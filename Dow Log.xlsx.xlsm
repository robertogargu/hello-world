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Oustanding Balances\DOW\Dashboard &amp; Logs\"/>
    </mc:Choice>
  </mc:AlternateContent>
  <xr:revisionPtr revIDLastSave="0" documentId="10_ncr:100000_{FFED9185-0108-4E5A-8D5A-227329089AAA}" xr6:coauthVersionLast="31" xr6:coauthVersionMax="31" xr10:uidLastSave="{00000000-0000-0000-0000-000000000000}"/>
  <bookViews>
    <workbookView xWindow="0" yWindow="0" windowWidth="23040" windowHeight="8508" tabRatio="831" firstSheet="1" activeTab="1" xr2:uid="{00000000-000D-0000-FFFF-FFFF00000000}"/>
  </bookViews>
  <sheets>
    <sheet name="CUSTOMERS" sheetId="17" state="hidden" r:id="rId1"/>
    <sheet name="BCOXT" sheetId="4" r:id="rId2"/>
    <sheet name="DAGXX" sheetId="1" r:id="rId3"/>
    <sheet name="DCPXX" sheetId="2" r:id="rId4"/>
    <sheet name="DHMXX" sheetId="6" r:id="rId5"/>
    <sheet name="DOCXX" sheetId="3" r:id="rId6"/>
    <sheet name="DWMXX" sheetId="10" r:id="rId7"/>
    <sheet name="PAYMENTS" sheetId="5" r:id="rId8"/>
    <sheet name="PIVOTS" sheetId="7" r:id="rId9"/>
    <sheet name="NOTPOSTED" sheetId="18" r:id="rId10"/>
    <sheet name="TBAPPLIED" sheetId="19" r:id="rId11"/>
    <sheet name="COA" sheetId="13" r:id="rId12"/>
    <sheet name="PENDING" sheetId="15" r:id="rId13"/>
  </sheets>
  <functionGroups builtInGroupCount="19"/>
  <calcPr calcId="179017"/>
  <pivotCaches>
    <pivotCache cacheId="25" r:id="rId14"/>
    <pivotCache cacheId="30" r:id="rId15"/>
    <pivotCache cacheId="35" r:id="rId16"/>
    <pivotCache cacheId="40" r:id="rId17"/>
    <pivotCache cacheId="45" r:id="rId18"/>
    <pivotCache cacheId="49" r:id="rId19"/>
    <pivotCache cacheId="52" r:id="rId20"/>
    <pivotCache cacheId="56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56" i="3" l="1"/>
  <c r="R1356" i="3" s="1"/>
  <c r="Q1356" i="3"/>
  <c r="M474" i="2" l="1"/>
  <c r="Q474" i="2"/>
  <c r="R474" i="2"/>
  <c r="M875" i="4"/>
  <c r="R875" i="4" s="1"/>
  <c r="Q875" i="4"/>
  <c r="M116" i="1" l="1"/>
  <c r="R116" i="1" s="1"/>
  <c r="Q116" i="1"/>
  <c r="F7" i="15"/>
  <c r="F8" i="15"/>
  <c r="F9" i="15"/>
  <c r="F10" i="15"/>
  <c r="H7" i="15"/>
  <c r="H8" i="15"/>
  <c r="H9" i="15"/>
  <c r="H10" i="15"/>
  <c r="F6" i="15"/>
  <c r="H6" i="15"/>
  <c r="M1161" i="3" l="1"/>
  <c r="R1161" i="3" s="1"/>
  <c r="Q1161" i="3"/>
  <c r="M1160" i="3"/>
  <c r="R1160" i="3" s="1"/>
  <c r="Q1160" i="3"/>
  <c r="M1159" i="3"/>
  <c r="R1159" i="3" s="1"/>
  <c r="Q1159" i="3"/>
  <c r="M1158" i="3"/>
  <c r="R1158" i="3" s="1"/>
  <c r="Q1158" i="3"/>
  <c r="M1157" i="3"/>
  <c r="R1157" i="3" s="1"/>
  <c r="Q1157" i="3"/>
  <c r="M1156" i="3"/>
  <c r="R1156" i="3" s="1"/>
  <c r="Q1156" i="3"/>
  <c r="M1155" i="3"/>
  <c r="R1155" i="3" s="1"/>
  <c r="Q1155" i="3"/>
  <c r="M1154" i="3"/>
  <c r="R1154" i="3" s="1"/>
  <c r="Q1154" i="3"/>
  <c r="M1153" i="3"/>
  <c r="R1153" i="3" s="1"/>
  <c r="Q1153" i="3"/>
  <c r="M1152" i="3"/>
  <c r="R1152" i="3" s="1"/>
  <c r="Q1152" i="3"/>
  <c r="M1151" i="3"/>
  <c r="R1151" i="3" s="1"/>
  <c r="Q1151" i="3"/>
  <c r="M1150" i="3"/>
  <c r="R1150" i="3" s="1"/>
  <c r="Q1150" i="3"/>
  <c r="M1149" i="3"/>
  <c r="R1149" i="3" s="1"/>
  <c r="Q1149" i="3"/>
  <c r="M1148" i="3"/>
  <c r="R1148" i="3" s="1"/>
  <c r="Q1148" i="3"/>
  <c r="M1147" i="3"/>
  <c r="R1147" i="3" s="1"/>
  <c r="Q1147" i="3"/>
  <c r="M1146" i="3"/>
  <c r="R1146" i="3" s="1"/>
  <c r="Q1146" i="3"/>
  <c r="M1145" i="3"/>
  <c r="R1145" i="3" s="1"/>
  <c r="Q1145" i="3"/>
  <c r="M1144" i="3"/>
  <c r="R1144" i="3" s="1"/>
  <c r="Q1144" i="3"/>
  <c r="M1143" i="3"/>
  <c r="R1143" i="3" s="1"/>
  <c r="Q1143" i="3"/>
  <c r="M1142" i="3"/>
  <c r="R1142" i="3" s="1"/>
  <c r="Q1142" i="3"/>
  <c r="M1141" i="3"/>
  <c r="R1141" i="3" s="1"/>
  <c r="Q1141" i="3"/>
  <c r="M948" i="3"/>
  <c r="R948" i="3" s="1"/>
  <c r="Q948" i="3"/>
  <c r="M947" i="3"/>
  <c r="R947" i="3" s="1"/>
  <c r="Q947" i="3"/>
  <c r="M946" i="3"/>
  <c r="R946" i="3" s="1"/>
  <c r="Q946" i="3"/>
  <c r="M945" i="3"/>
  <c r="R945" i="3" s="1"/>
  <c r="Q945" i="3"/>
  <c r="M944" i="3"/>
  <c r="R944" i="3" s="1"/>
  <c r="Q944" i="3"/>
  <c r="M943" i="3"/>
  <c r="R943" i="3" s="1"/>
  <c r="Q943" i="3"/>
  <c r="M942" i="3"/>
  <c r="R942" i="3" s="1"/>
  <c r="Q942" i="3"/>
  <c r="M941" i="3"/>
  <c r="R941" i="3" s="1"/>
  <c r="Q941" i="3"/>
  <c r="M940" i="3"/>
  <c r="R940" i="3" s="1"/>
  <c r="Q940" i="3"/>
  <c r="M939" i="3"/>
  <c r="R939" i="3" s="1"/>
  <c r="Q939" i="3"/>
  <c r="M938" i="3"/>
  <c r="R938" i="3" s="1"/>
  <c r="Q938" i="3"/>
  <c r="M937" i="3"/>
  <c r="R937" i="3" s="1"/>
  <c r="Q937" i="3"/>
  <c r="M936" i="3"/>
  <c r="R936" i="3" s="1"/>
  <c r="Q936" i="3"/>
  <c r="M935" i="3"/>
  <c r="R935" i="3" s="1"/>
  <c r="Q935" i="3"/>
  <c r="M934" i="3"/>
  <c r="R934" i="3" s="1"/>
  <c r="Q934" i="3"/>
  <c r="M933" i="3"/>
  <c r="R933" i="3" s="1"/>
  <c r="Q933" i="3"/>
  <c r="M932" i="3"/>
  <c r="R932" i="3" s="1"/>
  <c r="Q932" i="3"/>
  <c r="M931" i="3"/>
  <c r="R931" i="3" s="1"/>
  <c r="Q931" i="3"/>
  <c r="M930" i="3"/>
  <c r="R930" i="3" s="1"/>
  <c r="Q930" i="3"/>
  <c r="M929" i="3"/>
  <c r="R929" i="3" s="1"/>
  <c r="Q929" i="3"/>
  <c r="M928" i="3"/>
  <c r="R928" i="3" s="1"/>
  <c r="Q928" i="3"/>
  <c r="M1271" i="3"/>
  <c r="R1271" i="3" s="1"/>
  <c r="Q1271" i="3"/>
  <c r="M1270" i="3"/>
  <c r="R1270" i="3" s="1"/>
  <c r="Q1270" i="3"/>
  <c r="M1269" i="3"/>
  <c r="R1269" i="3" s="1"/>
  <c r="Q1269" i="3"/>
  <c r="M1268" i="3"/>
  <c r="R1268" i="3" s="1"/>
  <c r="Q1268" i="3"/>
  <c r="M1267" i="3"/>
  <c r="R1267" i="3" s="1"/>
  <c r="Q1267" i="3"/>
  <c r="M1266" i="3"/>
  <c r="R1266" i="3" s="1"/>
  <c r="Q1266" i="3"/>
  <c r="M1265" i="3"/>
  <c r="R1265" i="3" s="1"/>
  <c r="Q1265" i="3"/>
  <c r="M1264" i="3"/>
  <c r="R1264" i="3" s="1"/>
  <c r="Q1264" i="3"/>
  <c r="M1263" i="3"/>
  <c r="R1263" i="3" s="1"/>
  <c r="Q1263" i="3"/>
  <c r="M1262" i="3"/>
  <c r="R1262" i="3" s="1"/>
  <c r="Q1262" i="3"/>
  <c r="M1261" i="3"/>
  <c r="R1261" i="3" s="1"/>
  <c r="Q1261" i="3"/>
  <c r="M1260" i="3"/>
  <c r="R1260" i="3" s="1"/>
  <c r="Q1260" i="3"/>
  <c r="M1259" i="3"/>
  <c r="R1259" i="3" s="1"/>
  <c r="Q1259" i="3"/>
  <c r="M1258" i="3"/>
  <c r="R1258" i="3" s="1"/>
  <c r="Q1258" i="3"/>
  <c r="M1257" i="3"/>
  <c r="R1257" i="3" s="1"/>
  <c r="Q1257" i="3"/>
  <c r="M1256" i="3"/>
  <c r="R1256" i="3" s="1"/>
  <c r="Q1256" i="3"/>
  <c r="M1255" i="3"/>
  <c r="R1255" i="3" s="1"/>
  <c r="Q1255" i="3"/>
  <c r="M1254" i="3"/>
  <c r="R1254" i="3" s="1"/>
  <c r="Q1254" i="3"/>
  <c r="M1253" i="3"/>
  <c r="R1253" i="3" s="1"/>
  <c r="Q1253" i="3"/>
  <c r="M1252" i="3"/>
  <c r="R1252" i="3" s="1"/>
  <c r="Q1252" i="3"/>
  <c r="M1251" i="3"/>
  <c r="R1251" i="3" s="1"/>
  <c r="Q1251" i="3"/>
  <c r="M1250" i="3"/>
  <c r="R1250" i="3" s="1"/>
  <c r="Q1250" i="3"/>
  <c r="M1249" i="3"/>
  <c r="R1249" i="3" s="1"/>
  <c r="Q1249" i="3"/>
  <c r="M1248" i="3"/>
  <c r="R1248" i="3" s="1"/>
  <c r="Q1248" i="3"/>
  <c r="M1247" i="3"/>
  <c r="R1247" i="3" s="1"/>
  <c r="Q1247" i="3"/>
  <c r="M1246" i="3"/>
  <c r="R1246" i="3" s="1"/>
  <c r="Q1246" i="3"/>
  <c r="M1245" i="3"/>
  <c r="R1245" i="3" s="1"/>
  <c r="Q1245" i="3"/>
  <c r="M1244" i="3"/>
  <c r="R1244" i="3" s="1"/>
  <c r="Q1244" i="3"/>
  <c r="M1243" i="3"/>
  <c r="R1243" i="3" s="1"/>
  <c r="Q1243" i="3"/>
  <c r="M1242" i="3"/>
  <c r="R1242" i="3" s="1"/>
  <c r="Q1242" i="3"/>
  <c r="M1241" i="3"/>
  <c r="R1241" i="3" s="1"/>
  <c r="Q1241" i="3"/>
  <c r="M1240" i="3"/>
  <c r="R1240" i="3" s="1"/>
  <c r="Q1240" i="3"/>
  <c r="M1239" i="3"/>
  <c r="R1239" i="3" s="1"/>
  <c r="Q1239" i="3"/>
  <c r="M1238" i="3"/>
  <c r="R1238" i="3" s="1"/>
  <c r="Q1238" i="3"/>
  <c r="M1237" i="3"/>
  <c r="R1237" i="3" s="1"/>
  <c r="Q1237" i="3"/>
  <c r="M1236" i="3"/>
  <c r="R1236" i="3" s="1"/>
  <c r="Q1236" i="3"/>
  <c r="M1235" i="3"/>
  <c r="R1235" i="3" s="1"/>
  <c r="Q1235" i="3"/>
  <c r="M1234" i="3"/>
  <c r="R1234" i="3" s="1"/>
  <c r="Q1234" i="3"/>
  <c r="M1233" i="3"/>
  <c r="R1233" i="3" s="1"/>
  <c r="Q1233" i="3"/>
  <c r="M1232" i="3"/>
  <c r="R1232" i="3" s="1"/>
  <c r="Q1232" i="3"/>
  <c r="M1231" i="3"/>
  <c r="R1231" i="3" s="1"/>
  <c r="Q1231" i="3"/>
  <c r="M1230" i="3"/>
  <c r="R1230" i="3" s="1"/>
  <c r="Q1230" i="3"/>
  <c r="M1229" i="3"/>
  <c r="R1229" i="3" s="1"/>
  <c r="Q1229" i="3"/>
  <c r="M1228" i="3"/>
  <c r="R1228" i="3" s="1"/>
  <c r="Q1228" i="3"/>
  <c r="M1227" i="3"/>
  <c r="R1227" i="3" s="1"/>
  <c r="Q1227" i="3"/>
  <c r="M1226" i="3"/>
  <c r="R1226" i="3" s="1"/>
  <c r="Q1226" i="3"/>
  <c r="M1225" i="3"/>
  <c r="R1225" i="3" s="1"/>
  <c r="Q1225" i="3"/>
  <c r="M1224" i="3"/>
  <c r="R1224" i="3" s="1"/>
  <c r="Q1224" i="3"/>
  <c r="M1223" i="3"/>
  <c r="R1223" i="3" s="1"/>
  <c r="Q1223" i="3"/>
  <c r="M1222" i="3"/>
  <c r="R1222" i="3" s="1"/>
  <c r="Q1222" i="3"/>
  <c r="M1221" i="3"/>
  <c r="R1221" i="3" s="1"/>
  <c r="Q1221" i="3"/>
  <c r="M1220" i="3"/>
  <c r="R1220" i="3" s="1"/>
  <c r="Q1220" i="3"/>
  <c r="M1219" i="3"/>
  <c r="R1219" i="3" s="1"/>
  <c r="Q1219" i="3"/>
  <c r="M1218" i="3"/>
  <c r="R1218" i="3" s="1"/>
  <c r="Q1218" i="3"/>
  <c r="M1217" i="3"/>
  <c r="R1217" i="3" s="1"/>
  <c r="Q1217" i="3"/>
  <c r="M1216" i="3"/>
  <c r="R1216" i="3" s="1"/>
  <c r="Q1216" i="3"/>
  <c r="M1215" i="3"/>
  <c r="R1215" i="3" s="1"/>
  <c r="Q1215" i="3"/>
  <c r="M1214" i="3"/>
  <c r="R1214" i="3" s="1"/>
  <c r="Q1214" i="3"/>
  <c r="M1213" i="3"/>
  <c r="R1213" i="3" s="1"/>
  <c r="Q1213" i="3"/>
  <c r="M1212" i="3"/>
  <c r="R1212" i="3" s="1"/>
  <c r="Q1212" i="3"/>
  <c r="M1211" i="3"/>
  <c r="R1211" i="3" s="1"/>
  <c r="Q1211" i="3"/>
  <c r="M1210" i="3"/>
  <c r="R1210" i="3" s="1"/>
  <c r="Q1210" i="3"/>
  <c r="M1209" i="3"/>
  <c r="R1209" i="3" s="1"/>
  <c r="Q1209" i="3"/>
  <c r="M1208" i="3"/>
  <c r="R1208" i="3" s="1"/>
  <c r="Q1208" i="3"/>
  <c r="M1207" i="3"/>
  <c r="R1207" i="3" s="1"/>
  <c r="Q1207" i="3"/>
  <c r="M1355" i="3"/>
  <c r="R1355" i="3" s="1"/>
  <c r="Q1355" i="3"/>
  <c r="M1206" i="3"/>
  <c r="R1206" i="3" s="1"/>
  <c r="Q1206" i="3"/>
  <c r="M1205" i="3"/>
  <c r="R1205" i="3" s="1"/>
  <c r="Q1205" i="3"/>
  <c r="M1204" i="3"/>
  <c r="R1204" i="3" s="1"/>
  <c r="Q1204" i="3"/>
  <c r="M1203" i="3"/>
  <c r="R1203" i="3" s="1"/>
  <c r="Q1203" i="3"/>
  <c r="M1202" i="3"/>
  <c r="R1202" i="3" s="1"/>
  <c r="Q1202" i="3"/>
  <c r="M1201" i="3"/>
  <c r="R1201" i="3" s="1"/>
  <c r="Q1201" i="3"/>
  <c r="M1200" i="3"/>
  <c r="R1200" i="3" s="1"/>
  <c r="Q1200" i="3"/>
  <c r="M1199" i="3"/>
  <c r="R1199" i="3" s="1"/>
  <c r="Q1199" i="3"/>
  <c r="M1198" i="3"/>
  <c r="R1198" i="3" s="1"/>
  <c r="Q1198" i="3"/>
  <c r="M1197" i="3"/>
  <c r="R1197" i="3" s="1"/>
  <c r="Q1197" i="3"/>
  <c r="M1196" i="3"/>
  <c r="R1196" i="3" s="1"/>
  <c r="Q1196" i="3"/>
  <c r="M1195" i="3"/>
  <c r="R1195" i="3" s="1"/>
  <c r="Q1195" i="3"/>
  <c r="M1194" i="3"/>
  <c r="R1194" i="3" s="1"/>
  <c r="Q1194" i="3"/>
  <c r="M1193" i="3"/>
  <c r="R1193" i="3" s="1"/>
  <c r="Q1193" i="3"/>
  <c r="M1192" i="3"/>
  <c r="R1192" i="3" s="1"/>
  <c r="Q1192" i="3"/>
  <c r="M1191" i="3"/>
  <c r="R1191" i="3" s="1"/>
  <c r="Q1191" i="3"/>
  <c r="M1190" i="3"/>
  <c r="R1190" i="3" s="1"/>
  <c r="Q1190" i="3"/>
  <c r="M1189" i="3"/>
  <c r="R1189" i="3" s="1"/>
  <c r="Q1189" i="3"/>
  <c r="M1188" i="3"/>
  <c r="R1188" i="3" s="1"/>
  <c r="Q1188" i="3"/>
  <c r="M1187" i="3"/>
  <c r="R1187" i="3" s="1"/>
  <c r="Q1187" i="3"/>
  <c r="M1186" i="3"/>
  <c r="R1186" i="3" s="1"/>
  <c r="Q1186" i="3"/>
  <c r="M1185" i="3"/>
  <c r="R1185" i="3" s="1"/>
  <c r="Q1185" i="3"/>
  <c r="M1184" i="3"/>
  <c r="R1184" i="3" s="1"/>
  <c r="Q1184" i="3"/>
  <c r="M1183" i="3"/>
  <c r="R1183" i="3" s="1"/>
  <c r="Q1183" i="3"/>
  <c r="M1182" i="3"/>
  <c r="R1182" i="3" s="1"/>
  <c r="Q1182" i="3"/>
  <c r="M1181" i="3"/>
  <c r="R1181" i="3" s="1"/>
  <c r="Q1181" i="3"/>
  <c r="M1180" i="3"/>
  <c r="R1180" i="3" s="1"/>
  <c r="Q1180" i="3"/>
  <c r="M1179" i="3"/>
  <c r="R1179" i="3" s="1"/>
  <c r="Q1179" i="3"/>
  <c r="M1178" i="3"/>
  <c r="R1178" i="3" s="1"/>
  <c r="Q1178" i="3"/>
  <c r="M1177" i="3"/>
  <c r="R1177" i="3" s="1"/>
  <c r="Q1177" i="3"/>
  <c r="M1176" i="3"/>
  <c r="R1176" i="3" s="1"/>
  <c r="Q1176" i="3"/>
  <c r="M1175" i="3"/>
  <c r="R1175" i="3" s="1"/>
  <c r="Q1175" i="3"/>
  <c r="M1174" i="3"/>
  <c r="R1174" i="3" s="1"/>
  <c r="Q1174" i="3"/>
  <c r="M1173" i="3"/>
  <c r="R1173" i="3" s="1"/>
  <c r="Q1173" i="3"/>
  <c r="M1172" i="3"/>
  <c r="R1172" i="3" s="1"/>
  <c r="Q1172" i="3"/>
  <c r="M1353" i="3"/>
  <c r="R1353" i="3" s="1"/>
  <c r="Q1353" i="3"/>
  <c r="M1171" i="3"/>
  <c r="R1171" i="3" s="1"/>
  <c r="Q1171" i="3"/>
  <c r="M1170" i="3"/>
  <c r="R1170" i="3" s="1"/>
  <c r="Q1170" i="3"/>
  <c r="M1169" i="3"/>
  <c r="R1169" i="3" s="1"/>
  <c r="Q1169" i="3"/>
  <c r="M1168" i="3"/>
  <c r="R1168" i="3" s="1"/>
  <c r="Q1168" i="3"/>
  <c r="M1167" i="3"/>
  <c r="R1167" i="3" s="1"/>
  <c r="Q1167" i="3"/>
  <c r="M1166" i="3"/>
  <c r="R1166" i="3" s="1"/>
  <c r="Q1166" i="3"/>
  <c r="M1352" i="3"/>
  <c r="R1352" i="3" s="1"/>
  <c r="Q1352" i="3"/>
  <c r="M1351" i="3"/>
  <c r="R1351" i="3" s="1"/>
  <c r="Q1351" i="3"/>
  <c r="M1350" i="3"/>
  <c r="R1350" i="3" s="1"/>
  <c r="Q1350" i="3"/>
  <c r="M1349" i="3"/>
  <c r="R1349" i="3" s="1"/>
  <c r="Q1349" i="3"/>
  <c r="M1348" i="3"/>
  <c r="R1348" i="3" s="1"/>
  <c r="Q1348" i="3"/>
  <c r="M1347" i="3"/>
  <c r="R1347" i="3" s="1"/>
  <c r="Q1347" i="3"/>
  <c r="M1346" i="3"/>
  <c r="R1346" i="3" s="1"/>
  <c r="Q1346" i="3"/>
  <c r="M1345" i="3"/>
  <c r="R1345" i="3" s="1"/>
  <c r="Q1345" i="3"/>
  <c r="M1344" i="3"/>
  <c r="R1344" i="3" s="1"/>
  <c r="Q1344" i="3"/>
  <c r="M1343" i="3"/>
  <c r="R1343" i="3" s="1"/>
  <c r="Q1343" i="3"/>
  <c r="M1342" i="3"/>
  <c r="R1342" i="3" s="1"/>
  <c r="Q1342" i="3"/>
  <c r="M1341" i="3"/>
  <c r="R1341" i="3" s="1"/>
  <c r="Q1341" i="3"/>
  <c r="M1340" i="3"/>
  <c r="R1340" i="3" s="1"/>
  <c r="Q1340" i="3"/>
  <c r="M1339" i="3"/>
  <c r="R1339" i="3" s="1"/>
  <c r="Q1339" i="3"/>
  <c r="M1338" i="3"/>
  <c r="R1338" i="3" s="1"/>
  <c r="Q1338" i="3"/>
  <c r="M1337" i="3"/>
  <c r="R1337" i="3" s="1"/>
  <c r="Q1337" i="3"/>
  <c r="M1336" i="3"/>
  <c r="R1336" i="3" s="1"/>
  <c r="Q1336" i="3"/>
  <c r="M1335" i="3"/>
  <c r="R1335" i="3" s="1"/>
  <c r="Q1335" i="3"/>
  <c r="M1334" i="3"/>
  <c r="R1334" i="3" s="1"/>
  <c r="Q1334" i="3"/>
  <c r="M1333" i="3"/>
  <c r="R1333" i="3" s="1"/>
  <c r="Q1333" i="3"/>
  <c r="M1332" i="3"/>
  <c r="R1332" i="3" s="1"/>
  <c r="Q1332" i="3"/>
  <c r="M1331" i="3"/>
  <c r="R1331" i="3" s="1"/>
  <c r="Q1331" i="3"/>
  <c r="M1330" i="3"/>
  <c r="R1330" i="3" s="1"/>
  <c r="Q1330" i="3"/>
  <c r="M1329" i="3"/>
  <c r="R1329" i="3" s="1"/>
  <c r="Q1329" i="3"/>
  <c r="M1328" i="3"/>
  <c r="R1328" i="3" s="1"/>
  <c r="Q1328" i="3"/>
  <c r="M1327" i="3"/>
  <c r="R1327" i="3" s="1"/>
  <c r="Q1327" i="3"/>
  <c r="M1326" i="3"/>
  <c r="R1326" i="3" s="1"/>
  <c r="Q1326" i="3"/>
  <c r="M1325" i="3"/>
  <c r="R1325" i="3" s="1"/>
  <c r="Q1325" i="3"/>
  <c r="M1324" i="3"/>
  <c r="R1324" i="3" s="1"/>
  <c r="Q1324" i="3"/>
  <c r="M1323" i="3"/>
  <c r="R1323" i="3" s="1"/>
  <c r="Q1323" i="3"/>
  <c r="M1322" i="3"/>
  <c r="R1322" i="3" s="1"/>
  <c r="Q1322" i="3"/>
  <c r="M1321" i="3"/>
  <c r="R1321" i="3" s="1"/>
  <c r="Q1321" i="3"/>
  <c r="M1320" i="3"/>
  <c r="R1320" i="3" s="1"/>
  <c r="Q1320" i="3"/>
  <c r="M1319" i="3"/>
  <c r="R1319" i="3" s="1"/>
  <c r="Q1319" i="3"/>
  <c r="M1318" i="3"/>
  <c r="R1318" i="3" s="1"/>
  <c r="Q1318" i="3"/>
  <c r="M1317" i="3"/>
  <c r="R1317" i="3" s="1"/>
  <c r="Q1317" i="3"/>
  <c r="M1165" i="3"/>
  <c r="R1165" i="3" s="1"/>
  <c r="Q1165" i="3"/>
  <c r="M1316" i="3"/>
  <c r="R1316" i="3" s="1"/>
  <c r="Q1316" i="3"/>
  <c r="M1315" i="3"/>
  <c r="R1315" i="3" s="1"/>
  <c r="Q1315" i="3"/>
  <c r="M1314" i="3"/>
  <c r="R1314" i="3" s="1"/>
  <c r="Q1314" i="3"/>
  <c r="M1313" i="3"/>
  <c r="R1313" i="3" s="1"/>
  <c r="Q1313" i="3"/>
  <c r="M1312" i="3"/>
  <c r="R1312" i="3" s="1"/>
  <c r="Q1312" i="3"/>
  <c r="M1311" i="3"/>
  <c r="R1311" i="3" s="1"/>
  <c r="Q1311" i="3"/>
  <c r="M1310" i="3"/>
  <c r="R1310" i="3" s="1"/>
  <c r="Q1310" i="3"/>
  <c r="M1309" i="3"/>
  <c r="R1309" i="3" s="1"/>
  <c r="Q1309" i="3"/>
  <c r="M1308" i="3"/>
  <c r="R1308" i="3" s="1"/>
  <c r="Q1308" i="3"/>
  <c r="M1307" i="3"/>
  <c r="R1307" i="3" s="1"/>
  <c r="Q1307" i="3"/>
  <c r="M1306" i="3"/>
  <c r="R1306" i="3" s="1"/>
  <c r="Q1306" i="3"/>
  <c r="M1305" i="3"/>
  <c r="R1305" i="3" s="1"/>
  <c r="Q1305" i="3"/>
  <c r="M1304" i="3"/>
  <c r="R1304" i="3" s="1"/>
  <c r="Q1304" i="3"/>
  <c r="M1303" i="3"/>
  <c r="R1303" i="3" s="1"/>
  <c r="Q1303" i="3"/>
  <c r="M1302" i="3"/>
  <c r="R1302" i="3" s="1"/>
  <c r="Q1302" i="3"/>
  <c r="M1301" i="3"/>
  <c r="R1301" i="3" s="1"/>
  <c r="Q1301" i="3"/>
  <c r="M1300" i="3"/>
  <c r="R1300" i="3" s="1"/>
  <c r="Q1300" i="3"/>
  <c r="M1299" i="3"/>
  <c r="R1299" i="3" s="1"/>
  <c r="Q1299" i="3"/>
  <c r="M1298" i="3"/>
  <c r="R1298" i="3" s="1"/>
  <c r="Q1298" i="3"/>
  <c r="M1297" i="3"/>
  <c r="R1297" i="3" s="1"/>
  <c r="Q1297" i="3"/>
  <c r="M1296" i="3"/>
  <c r="R1296" i="3" s="1"/>
  <c r="Q1296" i="3"/>
  <c r="M1295" i="3"/>
  <c r="R1295" i="3" s="1"/>
  <c r="Q1295" i="3"/>
  <c r="M1354" i="3"/>
  <c r="R1354" i="3" s="1"/>
  <c r="Q1354" i="3"/>
  <c r="M1294" i="3"/>
  <c r="R1294" i="3" s="1"/>
  <c r="Q1294" i="3"/>
  <c r="M1293" i="3"/>
  <c r="R1293" i="3" s="1"/>
  <c r="Q1293" i="3"/>
  <c r="M1292" i="3"/>
  <c r="R1292" i="3" s="1"/>
  <c r="Q1292" i="3"/>
  <c r="M1291" i="3"/>
  <c r="R1291" i="3" s="1"/>
  <c r="Q1291" i="3"/>
  <c r="M1290" i="3"/>
  <c r="R1290" i="3" s="1"/>
  <c r="Q1290" i="3"/>
  <c r="M1289" i="3"/>
  <c r="R1289" i="3" s="1"/>
  <c r="Q1289" i="3"/>
  <c r="M1288" i="3"/>
  <c r="R1288" i="3" s="1"/>
  <c r="Q1288" i="3"/>
  <c r="M1287" i="3"/>
  <c r="R1287" i="3" s="1"/>
  <c r="Q1287" i="3"/>
  <c r="M1286" i="3"/>
  <c r="R1286" i="3" s="1"/>
  <c r="Q1286" i="3"/>
  <c r="M1285" i="3"/>
  <c r="R1285" i="3" s="1"/>
  <c r="Q1285" i="3"/>
  <c r="M1284" i="3"/>
  <c r="R1284" i="3" s="1"/>
  <c r="Q1284" i="3"/>
  <c r="M1283" i="3"/>
  <c r="R1283" i="3" s="1"/>
  <c r="Q1283" i="3"/>
  <c r="M1282" i="3"/>
  <c r="R1282" i="3" s="1"/>
  <c r="Q1282" i="3"/>
  <c r="M1281" i="3"/>
  <c r="R1281" i="3" s="1"/>
  <c r="Q1281" i="3"/>
  <c r="M1164" i="3"/>
  <c r="R1164" i="3" s="1"/>
  <c r="Q1164" i="3"/>
  <c r="M1280" i="3"/>
  <c r="R1280" i="3" s="1"/>
  <c r="Q1280" i="3"/>
  <c r="M1279" i="3"/>
  <c r="R1279" i="3" s="1"/>
  <c r="Q1279" i="3"/>
  <c r="M1278" i="3"/>
  <c r="R1278" i="3" s="1"/>
  <c r="Q1278" i="3"/>
  <c r="M1277" i="3"/>
  <c r="R1277" i="3" s="1"/>
  <c r="Q1277" i="3"/>
  <c r="M1276" i="3"/>
  <c r="R1276" i="3" s="1"/>
  <c r="Q1276" i="3"/>
  <c r="M1275" i="3"/>
  <c r="R1275" i="3" s="1"/>
  <c r="Q1275" i="3"/>
  <c r="M1274" i="3"/>
  <c r="R1274" i="3" s="1"/>
  <c r="Q1274" i="3"/>
  <c r="M1273" i="3"/>
  <c r="R1273" i="3" s="1"/>
  <c r="Q1273" i="3"/>
  <c r="M1272" i="3"/>
  <c r="R1272" i="3" s="1"/>
  <c r="Q1272" i="3"/>
  <c r="M1163" i="3"/>
  <c r="R1163" i="3" s="1"/>
  <c r="Q1163" i="3"/>
  <c r="M1162" i="3"/>
  <c r="R1162" i="3" s="1"/>
  <c r="Q1162" i="3"/>
  <c r="M1579" i="6"/>
  <c r="R1579" i="6" s="1"/>
  <c r="Q1579" i="6"/>
  <c r="M1578" i="6"/>
  <c r="R1578" i="6" s="1"/>
  <c r="Q1578" i="6"/>
  <c r="M1577" i="6"/>
  <c r="R1577" i="6" s="1"/>
  <c r="Q1577" i="6"/>
  <c r="M1576" i="6"/>
  <c r="R1576" i="6" s="1"/>
  <c r="Q1576" i="6"/>
  <c r="M1575" i="6"/>
  <c r="R1575" i="6" s="1"/>
  <c r="Q1575" i="6"/>
  <c r="M1574" i="6"/>
  <c r="R1574" i="6" s="1"/>
  <c r="Q1574" i="6"/>
  <c r="M1580" i="6"/>
  <c r="R1580" i="6" s="1"/>
  <c r="Q1580" i="6"/>
  <c r="H2" i="15"/>
  <c r="H3" i="15"/>
  <c r="H4" i="15"/>
  <c r="H5" i="15"/>
  <c r="E10" i="13" l="1"/>
  <c r="E2" i="13"/>
  <c r="E3" i="13"/>
  <c r="E4" i="13"/>
  <c r="E5" i="13"/>
  <c r="E6" i="13"/>
  <c r="E7" i="13"/>
  <c r="E8" i="13"/>
  <c r="E9" i="13"/>
  <c r="F5" i="15" l="1"/>
  <c r="F4" i="15"/>
  <c r="M8" i="10" l="1"/>
  <c r="R8" i="10" s="1"/>
  <c r="Q8" i="10"/>
  <c r="M874" i="4" l="1"/>
  <c r="R874" i="4" s="1"/>
  <c r="Q874" i="4"/>
  <c r="M660" i="4" l="1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1466" i="6" l="1"/>
  <c r="R1466" i="6" s="1"/>
  <c r="Q1466" i="6"/>
  <c r="M1465" i="6"/>
  <c r="R1465" i="6" s="1"/>
  <c r="Q1465" i="6"/>
  <c r="M1464" i="6"/>
  <c r="R1464" i="6" s="1"/>
  <c r="Q1464" i="6"/>
  <c r="M1463" i="6"/>
  <c r="R1463" i="6" s="1"/>
  <c r="Q1463" i="6"/>
  <c r="M1462" i="6"/>
  <c r="R1462" i="6" s="1"/>
  <c r="Q1462" i="6"/>
  <c r="M1461" i="6"/>
  <c r="R1461" i="6" s="1"/>
  <c r="Q1461" i="6"/>
  <c r="M1460" i="6"/>
  <c r="R1460" i="6" s="1"/>
  <c r="Q1460" i="6"/>
  <c r="M1459" i="6"/>
  <c r="R1459" i="6" s="1"/>
  <c r="Q1459" i="6"/>
  <c r="M1458" i="6"/>
  <c r="R1458" i="6" s="1"/>
  <c r="Q1458" i="6"/>
  <c r="M1457" i="6"/>
  <c r="R1457" i="6" s="1"/>
  <c r="Q1457" i="6"/>
  <c r="M1456" i="6"/>
  <c r="R1456" i="6" s="1"/>
  <c r="Q1456" i="6"/>
  <c r="M1455" i="6"/>
  <c r="R1455" i="6" s="1"/>
  <c r="Q1455" i="6"/>
  <c r="M1454" i="6"/>
  <c r="R1454" i="6" s="1"/>
  <c r="Q1454" i="6"/>
  <c r="M1453" i="6"/>
  <c r="R1453" i="6" s="1"/>
  <c r="Q1453" i="6"/>
  <c r="M1452" i="6"/>
  <c r="R1452" i="6" s="1"/>
  <c r="Q1452" i="6"/>
  <c r="M1451" i="6"/>
  <c r="R1451" i="6" s="1"/>
  <c r="Q1451" i="6"/>
  <c r="M1450" i="6"/>
  <c r="R1450" i="6" s="1"/>
  <c r="Q1450" i="6"/>
  <c r="M1449" i="6"/>
  <c r="R1449" i="6" s="1"/>
  <c r="Q1449" i="6"/>
  <c r="M1448" i="6"/>
  <c r="R1448" i="6" s="1"/>
  <c r="Q1448" i="6"/>
  <c r="M1447" i="6"/>
  <c r="R1447" i="6" s="1"/>
  <c r="Q1447" i="6"/>
  <c r="M1446" i="6"/>
  <c r="R1446" i="6" s="1"/>
  <c r="Q1446" i="6"/>
  <c r="M1445" i="6"/>
  <c r="R1445" i="6" s="1"/>
  <c r="Q1445" i="6"/>
  <c r="M1444" i="6"/>
  <c r="R1444" i="6" s="1"/>
  <c r="Q1444" i="6"/>
  <c r="M1443" i="6"/>
  <c r="R1443" i="6" s="1"/>
  <c r="Q1443" i="6"/>
  <c r="M1442" i="6"/>
  <c r="R1442" i="6" s="1"/>
  <c r="Q1442" i="6"/>
  <c r="M1441" i="6"/>
  <c r="R1441" i="6" s="1"/>
  <c r="Q1441" i="6"/>
  <c r="M1440" i="6"/>
  <c r="R1440" i="6" s="1"/>
  <c r="Q1440" i="6"/>
  <c r="M1439" i="6"/>
  <c r="R1439" i="6" s="1"/>
  <c r="Q1439" i="6"/>
  <c r="M1438" i="6"/>
  <c r="R1438" i="6" s="1"/>
  <c r="Q1438" i="6"/>
  <c r="M1437" i="6"/>
  <c r="R1437" i="6" s="1"/>
  <c r="Q1437" i="6"/>
  <c r="M1436" i="6"/>
  <c r="R1436" i="6" s="1"/>
  <c r="Q1436" i="6"/>
  <c r="M1435" i="6"/>
  <c r="R1435" i="6" s="1"/>
  <c r="Q1435" i="6"/>
  <c r="M1434" i="6"/>
  <c r="R1434" i="6" s="1"/>
  <c r="Q1434" i="6"/>
  <c r="M1433" i="6"/>
  <c r="R1433" i="6" s="1"/>
  <c r="Q1433" i="6"/>
  <c r="M1432" i="6"/>
  <c r="R1432" i="6" s="1"/>
  <c r="Q1432" i="6"/>
  <c r="M1431" i="6"/>
  <c r="R1431" i="6" s="1"/>
  <c r="Q1431" i="6"/>
  <c r="M1430" i="6"/>
  <c r="R1430" i="6" s="1"/>
  <c r="Q1430" i="6"/>
  <c r="M1429" i="6"/>
  <c r="R1429" i="6" s="1"/>
  <c r="Q1429" i="6"/>
  <c r="M1428" i="6"/>
  <c r="R1428" i="6" s="1"/>
  <c r="Q1428" i="6"/>
  <c r="M1427" i="6"/>
  <c r="R1427" i="6" s="1"/>
  <c r="Q1427" i="6"/>
  <c r="M1426" i="6"/>
  <c r="R1426" i="6" s="1"/>
  <c r="Q1426" i="6"/>
  <c r="M1425" i="6"/>
  <c r="R1425" i="6" s="1"/>
  <c r="Q1425" i="6"/>
  <c r="M1424" i="6"/>
  <c r="R1424" i="6" s="1"/>
  <c r="Q1424" i="6"/>
  <c r="M1423" i="6"/>
  <c r="R1423" i="6" s="1"/>
  <c r="Q1423" i="6"/>
  <c r="M1422" i="6"/>
  <c r="R1422" i="6" s="1"/>
  <c r="Q1422" i="6"/>
  <c r="M1421" i="6"/>
  <c r="R1421" i="6" s="1"/>
  <c r="Q1421" i="6"/>
  <c r="M1420" i="6"/>
  <c r="R1420" i="6" s="1"/>
  <c r="Q1420" i="6"/>
  <c r="M1419" i="6"/>
  <c r="R1419" i="6" s="1"/>
  <c r="Q1419" i="6"/>
  <c r="M1418" i="6"/>
  <c r="R1418" i="6" s="1"/>
  <c r="Q1418" i="6"/>
  <c r="M1417" i="6"/>
  <c r="R1417" i="6" s="1"/>
  <c r="Q1417" i="6"/>
  <c r="M1416" i="6"/>
  <c r="R1416" i="6" s="1"/>
  <c r="Q1416" i="6"/>
  <c r="M1415" i="6"/>
  <c r="R1415" i="6" s="1"/>
  <c r="Q1415" i="6"/>
  <c r="M1414" i="6"/>
  <c r="R1414" i="6" s="1"/>
  <c r="Q1414" i="6"/>
  <c r="M1413" i="6"/>
  <c r="R1413" i="6" s="1"/>
  <c r="Q1413" i="6"/>
  <c r="M1412" i="6"/>
  <c r="R1412" i="6" s="1"/>
  <c r="Q1412" i="6"/>
  <c r="M1411" i="6"/>
  <c r="R1411" i="6" s="1"/>
  <c r="Q1411" i="6"/>
  <c r="M1410" i="6"/>
  <c r="R1410" i="6" s="1"/>
  <c r="Q1410" i="6"/>
  <c r="M1587" i="6"/>
  <c r="R1587" i="6" s="1"/>
  <c r="Q1587" i="6"/>
  <c r="M1583" i="6"/>
  <c r="R1583" i="6" s="1"/>
  <c r="Q1583" i="6"/>
  <c r="M1569" i="6"/>
  <c r="R1569" i="6" s="1"/>
  <c r="Q1569" i="6"/>
  <c r="M1568" i="6"/>
  <c r="R1568" i="6" s="1"/>
  <c r="Q1568" i="6"/>
  <c r="M1567" i="6"/>
  <c r="R1567" i="6" s="1"/>
  <c r="Q1567" i="6"/>
  <c r="M1566" i="6"/>
  <c r="R1566" i="6" s="1"/>
  <c r="Q1566" i="6"/>
  <c r="M1565" i="6"/>
  <c r="R1565" i="6" s="1"/>
  <c r="Q1565" i="6"/>
  <c r="M1554" i="6"/>
  <c r="R1554" i="6" s="1"/>
  <c r="Q1554" i="6"/>
  <c r="M1553" i="6"/>
  <c r="R1553" i="6" s="1"/>
  <c r="Q1553" i="6"/>
  <c r="M1552" i="6"/>
  <c r="R1552" i="6" s="1"/>
  <c r="Q1552" i="6"/>
  <c r="M1551" i="6"/>
  <c r="R1551" i="6" s="1"/>
  <c r="Q1551" i="6"/>
  <c r="M1550" i="6"/>
  <c r="R1550" i="6" s="1"/>
  <c r="Q1550" i="6"/>
  <c r="M1549" i="6"/>
  <c r="R1549" i="6" s="1"/>
  <c r="Q1549" i="6"/>
  <c r="M1380" i="6"/>
  <c r="R1380" i="6" s="1"/>
  <c r="Q1380" i="6"/>
  <c r="M1379" i="6"/>
  <c r="R1379" i="6" s="1"/>
  <c r="Q1379" i="6"/>
  <c r="M1378" i="6"/>
  <c r="R1378" i="6" s="1"/>
  <c r="Q1378" i="6"/>
  <c r="M1377" i="6"/>
  <c r="R1377" i="6" s="1"/>
  <c r="Q1377" i="6"/>
  <c r="M1376" i="6"/>
  <c r="R1376" i="6" s="1"/>
  <c r="Q1376" i="6"/>
  <c r="M1375" i="6"/>
  <c r="R1375" i="6" s="1"/>
  <c r="Q1375" i="6"/>
  <c r="M1374" i="6"/>
  <c r="R1374" i="6" s="1"/>
  <c r="Q1374" i="6"/>
  <c r="M1373" i="6"/>
  <c r="R1373" i="6" s="1"/>
  <c r="Q1373" i="6"/>
  <c r="M1372" i="6"/>
  <c r="R1372" i="6" s="1"/>
  <c r="Q1372" i="6"/>
  <c r="M1371" i="6"/>
  <c r="R1371" i="6" s="1"/>
  <c r="Q1371" i="6"/>
  <c r="M1370" i="6"/>
  <c r="R1370" i="6" s="1"/>
  <c r="Q1370" i="6"/>
  <c r="M1369" i="6"/>
  <c r="R1369" i="6" s="1"/>
  <c r="Q1369" i="6"/>
  <c r="M1368" i="6"/>
  <c r="R1368" i="6" s="1"/>
  <c r="Q1368" i="6"/>
  <c r="M1367" i="6"/>
  <c r="R1367" i="6" s="1"/>
  <c r="Q1367" i="6"/>
  <c r="M1366" i="6"/>
  <c r="R1366" i="6" s="1"/>
  <c r="Q1366" i="6"/>
  <c r="M1365" i="6"/>
  <c r="R1365" i="6" s="1"/>
  <c r="Q1365" i="6"/>
  <c r="M1364" i="6"/>
  <c r="R1364" i="6" s="1"/>
  <c r="Q1364" i="6"/>
  <c r="M1363" i="6"/>
  <c r="R1363" i="6" s="1"/>
  <c r="Q1363" i="6"/>
  <c r="M1362" i="6"/>
  <c r="R1362" i="6" s="1"/>
  <c r="Q1362" i="6"/>
  <c r="M1361" i="6"/>
  <c r="R1361" i="6" s="1"/>
  <c r="Q1361" i="6"/>
  <c r="M1360" i="6"/>
  <c r="R1360" i="6" s="1"/>
  <c r="Q1360" i="6"/>
  <c r="M1359" i="6"/>
  <c r="R1359" i="6" s="1"/>
  <c r="Q1359" i="6"/>
  <c r="M1358" i="6"/>
  <c r="R1358" i="6" s="1"/>
  <c r="Q1358" i="6"/>
  <c r="M1357" i="6"/>
  <c r="R1357" i="6" s="1"/>
  <c r="Q1357" i="6"/>
  <c r="M1356" i="6"/>
  <c r="R1356" i="6" s="1"/>
  <c r="Q1356" i="6"/>
  <c r="M1355" i="6"/>
  <c r="R1355" i="6" s="1"/>
  <c r="Q1355" i="6"/>
  <c r="M1354" i="6"/>
  <c r="R1354" i="6" s="1"/>
  <c r="Q1354" i="6"/>
  <c r="M1353" i="6"/>
  <c r="R1353" i="6" s="1"/>
  <c r="Q1353" i="6"/>
  <c r="M1352" i="6"/>
  <c r="R1352" i="6" s="1"/>
  <c r="Q1352" i="6"/>
  <c r="M1351" i="6"/>
  <c r="R1351" i="6" s="1"/>
  <c r="Q1351" i="6"/>
  <c r="M1350" i="6"/>
  <c r="R1350" i="6" s="1"/>
  <c r="Q1350" i="6"/>
  <c r="M1349" i="6"/>
  <c r="R1349" i="6" s="1"/>
  <c r="Q1349" i="6"/>
  <c r="M1348" i="6"/>
  <c r="R1348" i="6" s="1"/>
  <c r="Q1348" i="6"/>
  <c r="M1347" i="6"/>
  <c r="R1347" i="6" s="1"/>
  <c r="Q1347" i="6"/>
  <c r="M1346" i="6"/>
  <c r="R1346" i="6" s="1"/>
  <c r="Q1346" i="6"/>
  <c r="M1345" i="6"/>
  <c r="R1345" i="6" s="1"/>
  <c r="Q1345" i="6"/>
  <c r="M1344" i="6"/>
  <c r="R1344" i="6" s="1"/>
  <c r="Q1344" i="6"/>
  <c r="M1343" i="6"/>
  <c r="R1343" i="6" s="1"/>
  <c r="Q1343" i="6"/>
  <c r="M1342" i="6"/>
  <c r="R1342" i="6" s="1"/>
  <c r="Q1342" i="6"/>
  <c r="M1341" i="6"/>
  <c r="R1341" i="6" s="1"/>
  <c r="Q1341" i="6"/>
  <c r="M1340" i="6"/>
  <c r="R1340" i="6" s="1"/>
  <c r="Q1340" i="6"/>
  <c r="M1339" i="6"/>
  <c r="R1339" i="6" s="1"/>
  <c r="Q1339" i="6"/>
  <c r="M1338" i="6"/>
  <c r="R1338" i="6" s="1"/>
  <c r="Q1338" i="6"/>
  <c r="M1337" i="6"/>
  <c r="R1337" i="6" s="1"/>
  <c r="Q1337" i="6"/>
  <c r="M1336" i="6"/>
  <c r="R1336" i="6" s="1"/>
  <c r="Q1336" i="6"/>
  <c r="M1335" i="6"/>
  <c r="R1335" i="6" s="1"/>
  <c r="Q1335" i="6"/>
  <c r="M1334" i="6"/>
  <c r="R1334" i="6" s="1"/>
  <c r="Q1334" i="6"/>
  <c r="M1333" i="6"/>
  <c r="R1333" i="6" s="1"/>
  <c r="Q1333" i="6"/>
  <c r="M1332" i="6"/>
  <c r="R1332" i="6" s="1"/>
  <c r="Q1332" i="6"/>
  <c r="M1331" i="6"/>
  <c r="R1331" i="6" s="1"/>
  <c r="Q1331" i="6"/>
  <c r="M1330" i="6"/>
  <c r="R1330" i="6" s="1"/>
  <c r="Q1330" i="6"/>
  <c r="M1329" i="6"/>
  <c r="R1329" i="6" s="1"/>
  <c r="Q1329" i="6"/>
  <c r="M1328" i="6"/>
  <c r="R1328" i="6" s="1"/>
  <c r="Q1328" i="6"/>
  <c r="M1327" i="6"/>
  <c r="R1327" i="6" s="1"/>
  <c r="Q1327" i="6"/>
  <c r="M1326" i="6"/>
  <c r="R1326" i="6" s="1"/>
  <c r="Q1326" i="6"/>
  <c r="M1325" i="6"/>
  <c r="R1325" i="6" s="1"/>
  <c r="Q1325" i="6"/>
  <c r="M1324" i="6"/>
  <c r="R1324" i="6" s="1"/>
  <c r="Q1324" i="6"/>
  <c r="M1323" i="6"/>
  <c r="R1323" i="6" s="1"/>
  <c r="Q1323" i="6"/>
  <c r="M1322" i="6"/>
  <c r="R1322" i="6" s="1"/>
  <c r="Q1322" i="6"/>
  <c r="M1321" i="6"/>
  <c r="R1321" i="6" s="1"/>
  <c r="Q1321" i="6"/>
  <c r="M1320" i="6"/>
  <c r="R1320" i="6" s="1"/>
  <c r="Q1320" i="6"/>
  <c r="M1319" i="6"/>
  <c r="R1319" i="6" s="1"/>
  <c r="Q1319" i="6"/>
  <c r="M1318" i="6"/>
  <c r="R1318" i="6" s="1"/>
  <c r="Q1318" i="6"/>
  <c r="M1317" i="6"/>
  <c r="R1317" i="6" s="1"/>
  <c r="Q1317" i="6"/>
  <c r="M1316" i="6"/>
  <c r="R1316" i="6" s="1"/>
  <c r="Q1316" i="6"/>
  <c r="M1315" i="6"/>
  <c r="R1315" i="6" s="1"/>
  <c r="Q1315" i="6"/>
  <c r="M1314" i="6"/>
  <c r="R1314" i="6" s="1"/>
  <c r="Q1314" i="6"/>
  <c r="M1564" i="6"/>
  <c r="R1564" i="6" s="1"/>
  <c r="Q1564" i="6"/>
  <c r="M1563" i="6"/>
  <c r="R1563" i="6" s="1"/>
  <c r="Q1563" i="6"/>
  <c r="M1562" i="6"/>
  <c r="R1562" i="6" s="1"/>
  <c r="Q1562" i="6"/>
  <c r="M1561" i="6"/>
  <c r="R1561" i="6" s="1"/>
  <c r="Q1561" i="6"/>
  <c r="M1560" i="6"/>
  <c r="R1560" i="6" s="1"/>
  <c r="Q1560" i="6"/>
  <c r="M1559" i="6"/>
  <c r="R1559" i="6" s="1"/>
  <c r="Q1559" i="6"/>
  <c r="M1558" i="6"/>
  <c r="R1558" i="6" s="1"/>
  <c r="Q1558" i="6"/>
  <c r="M1557" i="6"/>
  <c r="R1557" i="6" s="1"/>
  <c r="Q1557" i="6"/>
  <c r="M1556" i="6"/>
  <c r="R1556" i="6" s="1"/>
  <c r="Q1556" i="6"/>
  <c r="M1555" i="6"/>
  <c r="R1555" i="6" s="1"/>
  <c r="Q1555" i="6"/>
  <c r="M1313" i="6"/>
  <c r="R1313" i="6" s="1"/>
  <c r="Q1313" i="6"/>
  <c r="M1312" i="6"/>
  <c r="R1312" i="6" s="1"/>
  <c r="Q1312" i="6"/>
  <c r="M1311" i="6"/>
  <c r="R1311" i="6" s="1"/>
  <c r="Q1311" i="6"/>
  <c r="M1310" i="6"/>
  <c r="R1310" i="6" s="1"/>
  <c r="Q1310" i="6"/>
  <c r="M1309" i="6"/>
  <c r="R1309" i="6" s="1"/>
  <c r="Q1309" i="6"/>
  <c r="M1308" i="6"/>
  <c r="R1308" i="6" s="1"/>
  <c r="Q1308" i="6"/>
  <c r="M1307" i="6"/>
  <c r="R1307" i="6" s="1"/>
  <c r="Q1307" i="6"/>
  <c r="M1306" i="6"/>
  <c r="R1306" i="6" s="1"/>
  <c r="Q1306" i="6"/>
  <c r="M1305" i="6"/>
  <c r="R1305" i="6" s="1"/>
  <c r="Q1305" i="6"/>
  <c r="M1304" i="6"/>
  <c r="R1304" i="6" s="1"/>
  <c r="Q1304" i="6"/>
  <c r="M1303" i="6"/>
  <c r="R1303" i="6" s="1"/>
  <c r="Q1303" i="6"/>
  <c r="M1302" i="6"/>
  <c r="R1302" i="6" s="1"/>
  <c r="Q1302" i="6"/>
  <c r="M1301" i="6"/>
  <c r="R1301" i="6" s="1"/>
  <c r="Q1301" i="6"/>
  <c r="M1300" i="6"/>
  <c r="R1300" i="6" s="1"/>
  <c r="Q1300" i="6"/>
  <c r="M1299" i="6"/>
  <c r="R1299" i="6" s="1"/>
  <c r="Q1299" i="6"/>
  <c r="M1298" i="6"/>
  <c r="R1298" i="6" s="1"/>
  <c r="Q1298" i="6"/>
  <c r="M1297" i="6"/>
  <c r="R1297" i="6" s="1"/>
  <c r="Q1297" i="6"/>
  <c r="M1296" i="6"/>
  <c r="R1296" i="6" s="1"/>
  <c r="Q1296" i="6"/>
  <c r="M1295" i="6"/>
  <c r="R1295" i="6" s="1"/>
  <c r="Q1295" i="6"/>
  <c r="M1294" i="6"/>
  <c r="R1294" i="6" s="1"/>
  <c r="Q1294" i="6"/>
  <c r="M1293" i="6"/>
  <c r="R1293" i="6" s="1"/>
  <c r="Q1293" i="6"/>
  <c r="M1292" i="6"/>
  <c r="R1292" i="6" s="1"/>
  <c r="Q1292" i="6"/>
  <c r="M1291" i="6"/>
  <c r="R1291" i="6" s="1"/>
  <c r="Q1291" i="6"/>
  <c r="M1048" i="6"/>
  <c r="R1048" i="6" s="1"/>
  <c r="Q1048" i="6"/>
  <c r="M1548" i="6"/>
  <c r="R1548" i="6" s="1"/>
  <c r="Q1548" i="6"/>
  <c r="M1547" i="6"/>
  <c r="R1547" i="6" s="1"/>
  <c r="Q1547" i="6"/>
  <c r="M1546" i="6"/>
  <c r="R1546" i="6" s="1"/>
  <c r="Q1546" i="6"/>
  <c r="M1545" i="6"/>
  <c r="R1545" i="6" s="1"/>
  <c r="Q1545" i="6"/>
  <c r="M1544" i="6"/>
  <c r="R1544" i="6" s="1"/>
  <c r="Q1544" i="6"/>
  <c r="M1543" i="6"/>
  <c r="R1543" i="6" s="1"/>
  <c r="Q1543" i="6"/>
  <c r="M1542" i="6"/>
  <c r="R1542" i="6" s="1"/>
  <c r="Q1542" i="6"/>
  <c r="M1541" i="6"/>
  <c r="R1541" i="6" s="1"/>
  <c r="Q1541" i="6"/>
  <c r="M1540" i="6"/>
  <c r="R1540" i="6" s="1"/>
  <c r="Q1540" i="6"/>
  <c r="M1539" i="6"/>
  <c r="R1539" i="6" s="1"/>
  <c r="Q1539" i="6"/>
  <c r="M1538" i="6"/>
  <c r="R1538" i="6" s="1"/>
  <c r="Q1538" i="6"/>
  <c r="M1537" i="6"/>
  <c r="R1537" i="6" s="1"/>
  <c r="Q1537" i="6"/>
  <c r="M1536" i="6"/>
  <c r="R1536" i="6" s="1"/>
  <c r="Q1536" i="6"/>
  <c r="M1535" i="6"/>
  <c r="R1535" i="6" s="1"/>
  <c r="Q1535" i="6"/>
  <c r="M1534" i="6"/>
  <c r="R1534" i="6" s="1"/>
  <c r="Q1534" i="6"/>
  <c r="M1533" i="6"/>
  <c r="R1533" i="6" s="1"/>
  <c r="Q1533" i="6"/>
  <c r="M1532" i="6"/>
  <c r="R1532" i="6" s="1"/>
  <c r="Q1532" i="6"/>
  <c r="M1531" i="6"/>
  <c r="R1531" i="6" s="1"/>
  <c r="Q1531" i="6"/>
  <c r="M1530" i="6"/>
  <c r="R1530" i="6" s="1"/>
  <c r="Q1530" i="6"/>
  <c r="M1529" i="6"/>
  <c r="R1529" i="6" s="1"/>
  <c r="Q1529" i="6"/>
  <c r="M1528" i="6"/>
  <c r="R1528" i="6" s="1"/>
  <c r="Q1528" i="6"/>
  <c r="M1527" i="6"/>
  <c r="R1527" i="6" s="1"/>
  <c r="Q1527" i="6"/>
  <c r="M1526" i="6"/>
  <c r="R1526" i="6" s="1"/>
  <c r="Q1526" i="6"/>
  <c r="M1525" i="6"/>
  <c r="R1525" i="6" s="1"/>
  <c r="Q1525" i="6"/>
  <c r="M1524" i="6"/>
  <c r="R1524" i="6" s="1"/>
  <c r="Q1524" i="6"/>
  <c r="M1523" i="6"/>
  <c r="R1523" i="6" s="1"/>
  <c r="Q1523" i="6"/>
  <c r="M1522" i="6"/>
  <c r="R1522" i="6" s="1"/>
  <c r="Q1522" i="6"/>
  <c r="M1521" i="6"/>
  <c r="R1521" i="6" s="1"/>
  <c r="Q1521" i="6"/>
  <c r="M1520" i="6"/>
  <c r="R1520" i="6" s="1"/>
  <c r="Q1520" i="6"/>
  <c r="M1519" i="6"/>
  <c r="R1519" i="6" s="1"/>
  <c r="Q1519" i="6"/>
  <c r="M1518" i="6"/>
  <c r="R1518" i="6" s="1"/>
  <c r="Q1518" i="6"/>
  <c r="M1517" i="6"/>
  <c r="R1517" i="6" s="1"/>
  <c r="Q1517" i="6"/>
  <c r="M1516" i="6"/>
  <c r="R1516" i="6" s="1"/>
  <c r="Q1516" i="6"/>
  <c r="M1515" i="6"/>
  <c r="R1515" i="6" s="1"/>
  <c r="Q1515" i="6"/>
  <c r="M1514" i="6"/>
  <c r="R1514" i="6" s="1"/>
  <c r="Q1514" i="6"/>
  <c r="M1513" i="6"/>
  <c r="R1513" i="6" s="1"/>
  <c r="Q1513" i="6"/>
  <c r="M1512" i="6"/>
  <c r="R1512" i="6" s="1"/>
  <c r="Q1512" i="6"/>
  <c r="M1511" i="6"/>
  <c r="R1511" i="6" s="1"/>
  <c r="Q1511" i="6"/>
  <c r="M1510" i="6"/>
  <c r="R1510" i="6" s="1"/>
  <c r="Q1510" i="6"/>
  <c r="M1509" i="6"/>
  <c r="R1509" i="6" s="1"/>
  <c r="Q1509" i="6"/>
  <c r="M1508" i="6"/>
  <c r="R1508" i="6" s="1"/>
  <c r="Q1508" i="6"/>
  <c r="M1507" i="6"/>
  <c r="R1507" i="6" s="1"/>
  <c r="Q1507" i="6"/>
  <c r="M1506" i="6"/>
  <c r="R1506" i="6" s="1"/>
  <c r="Q1506" i="6"/>
  <c r="M1505" i="6"/>
  <c r="R1505" i="6" s="1"/>
  <c r="Q1505" i="6"/>
  <c r="M1504" i="6"/>
  <c r="R1504" i="6" s="1"/>
  <c r="Q1504" i="6"/>
  <c r="M1503" i="6"/>
  <c r="R1503" i="6" s="1"/>
  <c r="Q1503" i="6"/>
  <c r="M1502" i="6"/>
  <c r="R1502" i="6" s="1"/>
  <c r="Q1502" i="6"/>
  <c r="M1501" i="6"/>
  <c r="R1501" i="6" s="1"/>
  <c r="Q1501" i="6"/>
  <c r="M1500" i="6"/>
  <c r="R1500" i="6" s="1"/>
  <c r="Q1500" i="6"/>
  <c r="M1499" i="6"/>
  <c r="R1499" i="6" s="1"/>
  <c r="Q1499" i="6"/>
  <c r="M1498" i="6"/>
  <c r="R1498" i="6" s="1"/>
  <c r="Q1498" i="6"/>
  <c r="M1497" i="6"/>
  <c r="R1497" i="6" s="1"/>
  <c r="Q1497" i="6"/>
  <c r="M1496" i="6"/>
  <c r="R1496" i="6" s="1"/>
  <c r="Q1496" i="6"/>
  <c r="M1495" i="6"/>
  <c r="R1495" i="6" s="1"/>
  <c r="Q1495" i="6"/>
  <c r="M1494" i="6"/>
  <c r="R1494" i="6" s="1"/>
  <c r="Q1494" i="6"/>
  <c r="M1493" i="6"/>
  <c r="R1493" i="6" s="1"/>
  <c r="Q1493" i="6"/>
  <c r="M1492" i="6"/>
  <c r="R1492" i="6" s="1"/>
  <c r="Q1492" i="6"/>
  <c r="M1491" i="6"/>
  <c r="R1491" i="6" s="1"/>
  <c r="Q1491" i="6"/>
  <c r="M1490" i="6"/>
  <c r="R1490" i="6" s="1"/>
  <c r="Q1490" i="6"/>
  <c r="M1489" i="6"/>
  <c r="R1489" i="6" s="1"/>
  <c r="Q1489" i="6"/>
  <c r="M1488" i="6"/>
  <c r="R1488" i="6" s="1"/>
  <c r="Q1488" i="6"/>
  <c r="M1487" i="6"/>
  <c r="R1487" i="6" s="1"/>
  <c r="Q1487" i="6"/>
  <c r="M1486" i="6"/>
  <c r="R1486" i="6" s="1"/>
  <c r="Q1486" i="6"/>
  <c r="M1485" i="6"/>
  <c r="R1485" i="6" s="1"/>
  <c r="Q1485" i="6"/>
  <c r="M1484" i="6"/>
  <c r="R1484" i="6" s="1"/>
  <c r="Q1484" i="6"/>
  <c r="M1483" i="6"/>
  <c r="R1483" i="6" s="1"/>
  <c r="Q1483" i="6"/>
  <c r="M1482" i="6"/>
  <c r="R1482" i="6" s="1"/>
  <c r="Q1482" i="6"/>
  <c r="M1481" i="6"/>
  <c r="R1481" i="6" s="1"/>
  <c r="Q1481" i="6"/>
  <c r="M1480" i="6"/>
  <c r="R1480" i="6" s="1"/>
  <c r="Q1480" i="6"/>
  <c r="M1479" i="6"/>
  <c r="R1479" i="6" s="1"/>
  <c r="Q1479" i="6"/>
  <c r="M1478" i="6"/>
  <c r="R1478" i="6" s="1"/>
  <c r="Q1478" i="6"/>
  <c r="M1477" i="6"/>
  <c r="R1477" i="6" s="1"/>
  <c r="Q1477" i="6"/>
  <c r="M1476" i="6"/>
  <c r="R1476" i="6" s="1"/>
  <c r="Q1476" i="6"/>
  <c r="M1475" i="6"/>
  <c r="R1475" i="6" s="1"/>
  <c r="Q1475" i="6"/>
  <c r="M1474" i="6"/>
  <c r="R1474" i="6" s="1"/>
  <c r="Q1474" i="6"/>
  <c r="M1473" i="6"/>
  <c r="R1473" i="6" s="1"/>
  <c r="Q1473" i="6"/>
  <c r="M1472" i="6"/>
  <c r="R1472" i="6" s="1"/>
  <c r="Q1472" i="6"/>
  <c r="M1471" i="6"/>
  <c r="R1471" i="6" s="1"/>
  <c r="Q1471" i="6"/>
  <c r="M1470" i="6"/>
  <c r="R1470" i="6" s="1"/>
  <c r="Q1470" i="6"/>
  <c r="M1469" i="6"/>
  <c r="R1469" i="6" s="1"/>
  <c r="Q1469" i="6"/>
  <c r="M1468" i="6"/>
  <c r="R1468" i="6" s="1"/>
  <c r="Q1468" i="6"/>
  <c r="M1467" i="6"/>
  <c r="R1467" i="6" s="1"/>
  <c r="Q1467" i="6"/>
  <c r="M1409" i="6"/>
  <c r="R1409" i="6" s="1"/>
  <c r="Q1409" i="6"/>
  <c r="M1408" i="6"/>
  <c r="R1408" i="6" s="1"/>
  <c r="Q1408" i="6"/>
  <c r="M1407" i="6"/>
  <c r="R1407" i="6" s="1"/>
  <c r="Q1407" i="6"/>
  <c r="M1406" i="6"/>
  <c r="R1406" i="6" s="1"/>
  <c r="Q1406" i="6"/>
  <c r="M1405" i="6"/>
  <c r="R1405" i="6" s="1"/>
  <c r="Q1405" i="6"/>
  <c r="M1404" i="6"/>
  <c r="R1404" i="6" s="1"/>
  <c r="Q1404" i="6"/>
  <c r="M1403" i="6"/>
  <c r="R1403" i="6" s="1"/>
  <c r="Q1403" i="6"/>
  <c r="M1402" i="6"/>
  <c r="R1402" i="6" s="1"/>
  <c r="Q1402" i="6"/>
  <c r="M1401" i="6"/>
  <c r="R1401" i="6" s="1"/>
  <c r="Q1401" i="6"/>
  <c r="M1400" i="6"/>
  <c r="R1400" i="6" s="1"/>
  <c r="Q1400" i="6"/>
  <c r="M1399" i="6"/>
  <c r="R1399" i="6" s="1"/>
  <c r="Q1399" i="6"/>
  <c r="M1398" i="6"/>
  <c r="R1398" i="6" s="1"/>
  <c r="Q1398" i="6"/>
  <c r="M1397" i="6"/>
  <c r="R1397" i="6" s="1"/>
  <c r="Q1397" i="6"/>
  <c r="M1396" i="6"/>
  <c r="R1396" i="6" s="1"/>
  <c r="Q1396" i="6"/>
  <c r="M1395" i="6"/>
  <c r="R1395" i="6" s="1"/>
  <c r="Q1395" i="6"/>
  <c r="M1394" i="6"/>
  <c r="R1394" i="6" s="1"/>
  <c r="Q1394" i="6"/>
  <c r="M1393" i="6"/>
  <c r="R1393" i="6" s="1"/>
  <c r="Q1393" i="6"/>
  <c r="M1392" i="6"/>
  <c r="R1392" i="6" s="1"/>
  <c r="Q1392" i="6"/>
  <c r="M1391" i="6"/>
  <c r="R1391" i="6" s="1"/>
  <c r="Q1391" i="6"/>
  <c r="M1390" i="6"/>
  <c r="R1390" i="6" s="1"/>
  <c r="Q1390" i="6"/>
  <c r="M1389" i="6"/>
  <c r="R1389" i="6" s="1"/>
  <c r="Q1389" i="6"/>
  <c r="M1290" i="6"/>
  <c r="R1290" i="6" s="1"/>
  <c r="Q1290" i="6"/>
  <c r="M1289" i="6"/>
  <c r="R1289" i="6" s="1"/>
  <c r="Q1289" i="6"/>
  <c r="M1288" i="6"/>
  <c r="R1288" i="6" s="1"/>
  <c r="Q1288" i="6"/>
  <c r="M1287" i="6"/>
  <c r="R1287" i="6" s="1"/>
  <c r="Q1287" i="6"/>
  <c r="M1286" i="6"/>
  <c r="R1286" i="6" s="1"/>
  <c r="Q1286" i="6"/>
  <c r="M1285" i="6"/>
  <c r="R1285" i="6" s="1"/>
  <c r="Q1285" i="6"/>
  <c r="M1284" i="6"/>
  <c r="R1284" i="6" s="1"/>
  <c r="Q1284" i="6"/>
  <c r="M1283" i="6"/>
  <c r="R1283" i="6" s="1"/>
  <c r="Q1283" i="6"/>
  <c r="M1282" i="6"/>
  <c r="R1282" i="6" s="1"/>
  <c r="Q1282" i="6"/>
  <c r="M1281" i="6"/>
  <c r="R1281" i="6" s="1"/>
  <c r="Q1281" i="6"/>
  <c r="M1280" i="6"/>
  <c r="R1280" i="6" s="1"/>
  <c r="Q1280" i="6"/>
  <c r="M1279" i="6"/>
  <c r="R1279" i="6" s="1"/>
  <c r="Q1279" i="6"/>
  <c r="M1278" i="6"/>
  <c r="R1278" i="6" s="1"/>
  <c r="Q1278" i="6"/>
  <c r="M1277" i="6"/>
  <c r="R1277" i="6" s="1"/>
  <c r="Q1277" i="6"/>
  <c r="M1276" i="6"/>
  <c r="R1276" i="6" s="1"/>
  <c r="Q1276" i="6"/>
  <c r="M1275" i="6"/>
  <c r="R1275" i="6" s="1"/>
  <c r="Q1275" i="6"/>
  <c r="M1274" i="6"/>
  <c r="R1274" i="6" s="1"/>
  <c r="Q1274" i="6"/>
  <c r="M1273" i="6"/>
  <c r="R1273" i="6" s="1"/>
  <c r="Q1273" i="6"/>
  <c r="M1272" i="6"/>
  <c r="R1272" i="6" s="1"/>
  <c r="Q1272" i="6"/>
  <c r="M1271" i="6"/>
  <c r="R1271" i="6" s="1"/>
  <c r="Q1271" i="6"/>
  <c r="M1270" i="6"/>
  <c r="R1270" i="6" s="1"/>
  <c r="Q1270" i="6"/>
  <c r="M1269" i="6"/>
  <c r="R1269" i="6" s="1"/>
  <c r="Q1269" i="6"/>
  <c r="M1268" i="6"/>
  <c r="R1268" i="6" s="1"/>
  <c r="Q1268" i="6"/>
  <c r="M1267" i="6"/>
  <c r="R1267" i="6" s="1"/>
  <c r="Q1267" i="6"/>
  <c r="M1266" i="6"/>
  <c r="R1266" i="6" s="1"/>
  <c r="Q1266" i="6"/>
  <c r="M1265" i="6"/>
  <c r="R1265" i="6" s="1"/>
  <c r="Q1265" i="6"/>
  <c r="M1264" i="6"/>
  <c r="R1264" i="6" s="1"/>
  <c r="Q1264" i="6"/>
  <c r="M1263" i="6"/>
  <c r="R1263" i="6" s="1"/>
  <c r="Q1263" i="6"/>
  <c r="M1262" i="6"/>
  <c r="R1262" i="6" s="1"/>
  <c r="Q1262" i="6"/>
  <c r="M1261" i="6"/>
  <c r="R1261" i="6" s="1"/>
  <c r="Q1261" i="6"/>
  <c r="M1260" i="6"/>
  <c r="R1260" i="6" s="1"/>
  <c r="Q1260" i="6"/>
  <c r="M1259" i="6"/>
  <c r="R1259" i="6" s="1"/>
  <c r="Q1259" i="6"/>
  <c r="M1258" i="6"/>
  <c r="R1258" i="6" s="1"/>
  <c r="Q1258" i="6"/>
  <c r="M1257" i="6"/>
  <c r="R1257" i="6" s="1"/>
  <c r="Q1257" i="6"/>
  <c r="M1256" i="6"/>
  <c r="R1256" i="6" s="1"/>
  <c r="Q1256" i="6"/>
  <c r="M1255" i="6"/>
  <c r="R1255" i="6" s="1"/>
  <c r="Q1255" i="6"/>
  <c r="M1254" i="6"/>
  <c r="R1254" i="6" s="1"/>
  <c r="Q1254" i="6"/>
  <c r="M1253" i="6"/>
  <c r="R1253" i="6" s="1"/>
  <c r="Q1253" i="6"/>
  <c r="M1252" i="6"/>
  <c r="R1252" i="6" s="1"/>
  <c r="Q1252" i="6"/>
  <c r="M1251" i="6"/>
  <c r="R1251" i="6" s="1"/>
  <c r="Q1251" i="6"/>
  <c r="M1250" i="6"/>
  <c r="R1250" i="6" s="1"/>
  <c r="Q1250" i="6"/>
  <c r="M1249" i="6"/>
  <c r="R1249" i="6" s="1"/>
  <c r="Q1249" i="6"/>
  <c r="M1248" i="6"/>
  <c r="R1248" i="6" s="1"/>
  <c r="Q1248" i="6"/>
  <c r="M1247" i="6"/>
  <c r="R1247" i="6" s="1"/>
  <c r="Q1247" i="6"/>
  <c r="M1246" i="6"/>
  <c r="R1246" i="6" s="1"/>
  <c r="Q1246" i="6"/>
  <c r="M1245" i="6"/>
  <c r="R1245" i="6" s="1"/>
  <c r="Q1245" i="6"/>
  <c r="M1244" i="6"/>
  <c r="R1244" i="6" s="1"/>
  <c r="Q1244" i="6"/>
  <c r="M1243" i="6"/>
  <c r="R1243" i="6" s="1"/>
  <c r="Q1243" i="6"/>
  <c r="M1242" i="6"/>
  <c r="R1242" i="6" s="1"/>
  <c r="Q1242" i="6"/>
  <c r="M1241" i="6"/>
  <c r="R1241" i="6" s="1"/>
  <c r="Q1241" i="6"/>
  <c r="M1240" i="6"/>
  <c r="R1240" i="6" s="1"/>
  <c r="Q1240" i="6"/>
  <c r="M1239" i="6"/>
  <c r="R1239" i="6" s="1"/>
  <c r="Q1239" i="6"/>
  <c r="M1238" i="6"/>
  <c r="R1238" i="6" s="1"/>
  <c r="Q1238" i="6"/>
  <c r="M1237" i="6"/>
  <c r="R1237" i="6" s="1"/>
  <c r="Q1237" i="6"/>
  <c r="M1236" i="6"/>
  <c r="R1236" i="6" s="1"/>
  <c r="Q1236" i="6"/>
  <c r="M1235" i="6"/>
  <c r="R1235" i="6" s="1"/>
  <c r="Q1235" i="6"/>
  <c r="M1234" i="6"/>
  <c r="R1234" i="6" s="1"/>
  <c r="Q1234" i="6"/>
  <c r="M1233" i="6"/>
  <c r="R1233" i="6" s="1"/>
  <c r="Q1233" i="6"/>
  <c r="M1232" i="6"/>
  <c r="R1232" i="6" s="1"/>
  <c r="Q1232" i="6"/>
  <c r="M1231" i="6"/>
  <c r="R1231" i="6" s="1"/>
  <c r="Q1231" i="6"/>
  <c r="M1230" i="6"/>
  <c r="R1230" i="6" s="1"/>
  <c r="Q1230" i="6"/>
  <c r="M1229" i="6"/>
  <c r="R1229" i="6" s="1"/>
  <c r="Q1229" i="6"/>
  <c r="M1228" i="6"/>
  <c r="R1228" i="6" s="1"/>
  <c r="Q1228" i="6"/>
  <c r="M1227" i="6"/>
  <c r="R1227" i="6" s="1"/>
  <c r="Q1227" i="6"/>
  <c r="M1226" i="6"/>
  <c r="R1226" i="6" s="1"/>
  <c r="Q1226" i="6"/>
  <c r="M1225" i="6"/>
  <c r="R1225" i="6" s="1"/>
  <c r="Q1225" i="6"/>
  <c r="M1224" i="6"/>
  <c r="R1224" i="6" s="1"/>
  <c r="Q1224" i="6"/>
  <c r="M1223" i="6"/>
  <c r="R1223" i="6" s="1"/>
  <c r="Q1223" i="6"/>
  <c r="M1222" i="6"/>
  <c r="R1222" i="6" s="1"/>
  <c r="Q1222" i="6"/>
  <c r="M1221" i="6"/>
  <c r="R1221" i="6" s="1"/>
  <c r="Q1221" i="6"/>
  <c r="M1220" i="6"/>
  <c r="R1220" i="6" s="1"/>
  <c r="Q1220" i="6"/>
  <c r="M1219" i="6"/>
  <c r="R1219" i="6" s="1"/>
  <c r="Q1219" i="6"/>
  <c r="M1218" i="6"/>
  <c r="R1218" i="6" s="1"/>
  <c r="Q1218" i="6"/>
  <c r="M1217" i="6"/>
  <c r="R1217" i="6" s="1"/>
  <c r="Q1217" i="6"/>
  <c r="M1216" i="6"/>
  <c r="R1216" i="6" s="1"/>
  <c r="Q1216" i="6"/>
  <c r="M1215" i="6"/>
  <c r="R1215" i="6" s="1"/>
  <c r="Q1215" i="6"/>
  <c r="M1214" i="6"/>
  <c r="R1214" i="6" s="1"/>
  <c r="Q1214" i="6"/>
  <c r="M1213" i="6"/>
  <c r="R1213" i="6" s="1"/>
  <c r="Q1213" i="6"/>
  <c r="M1212" i="6"/>
  <c r="R1212" i="6" s="1"/>
  <c r="Q1212" i="6"/>
  <c r="M1211" i="6"/>
  <c r="R1211" i="6" s="1"/>
  <c r="Q1211" i="6"/>
  <c r="M1210" i="6"/>
  <c r="R1210" i="6" s="1"/>
  <c r="Q1210" i="6"/>
  <c r="M1209" i="6"/>
  <c r="R1209" i="6" s="1"/>
  <c r="Q1209" i="6"/>
  <c r="M1208" i="6"/>
  <c r="R1208" i="6" s="1"/>
  <c r="Q1208" i="6"/>
  <c r="M1207" i="6"/>
  <c r="R1207" i="6" s="1"/>
  <c r="Q1207" i="6"/>
  <c r="M1206" i="6"/>
  <c r="R1206" i="6" s="1"/>
  <c r="Q1206" i="6"/>
  <c r="M1205" i="6"/>
  <c r="R1205" i="6" s="1"/>
  <c r="Q1205" i="6"/>
  <c r="M1204" i="6"/>
  <c r="R1204" i="6" s="1"/>
  <c r="Q1204" i="6"/>
  <c r="M1203" i="6"/>
  <c r="R1203" i="6" s="1"/>
  <c r="Q1203" i="6"/>
  <c r="M1202" i="6"/>
  <c r="R1202" i="6" s="1"/>
  <c r="Q1202" i="6"/>
  <c r="M1201" i="6"/>
  <c r="R1201" i="6" s="1"/>
  <c r="Q1201" i="6"/>
  <c r="M1200" i="6"/>
  <c r="R1200" i="6" s="1"/>
  <c r="Q1200" i="6"/>
  <c r="M1199" i="6"/>
  <c r="R1199" i="6" s="1"/>
  <c r="Q1199" i="6"/>
  <c r="M1198" i="6"/>
  <c r="R1198" i="6" s="1"/>
  <c r="Q1198" i="6"/>
  <c r="M1197" i="6"/>
  <c r="R1197" i="6" s="1"/>
  <c r="Q1197" i="6"/>
  <c r="M1196" i="6"/>
  <c r="R1196" i="6" s="1"/>
  <c r="Q1196" i="6"/>
  <c r="M1195" i="6"/>
  <c r="R1195" i="6" s="1"/>
  <c r="Q1195" i="6"/>
  <c r="M1194" i="6"/>
  <c r="R1194" i="6" s="1"/>
  <c r="Q1194" i="6"/>
  <c r="M1193" i="6"/>
  <c r="R1193" i="6" s="1"/>
  <c r="Q1193" i="6"/>
  <c r="M1192" i="6"/>
  <c r="R1192" i="6" s="1"/>
  <c r="Q1192" i="6"/>
  <c r="M1191" i="6"/>
  <c r="R1191" i="6" s="1"/>
  <c r="Q1191" i="6"/>
  <c r="M1190" i="6"/>
  <c r="R1190" i="6" s="1"/>
  <c r="Q1190" i="6"/>
  <c r="M1189" i="6"/>
  <c r="R1189" i="6" s="1"/>
  <c r="Q1189" i="6"/>
  <c r="M1188" i="6"/>
  <c r="R1188" i="6" s="1"/>
  <c r="Q1188" i="6"/>
  <c r="M1187" i="6"/>
  <c r="R1187" i="6" s="1"/>
  <c r="Q1187" i="6"/>
  <c r="M1186" i="6"/>
  <c r="R1186" i="6" s="1"/>
  <c r="Q1186" i="6"/>
  <c r="M1185" i="6"/>
  <c r="R1185" i="6" s="1"/>
  <c r="Q1185" i="6"/>
  <c r="M1184" i="6"/>
  <c r="R1184" i="6" s="1"/>
  <c r="Q1184" i="6"/>
  <c r="M1183" i="6"/>
  <c r="R1183" i="6" s="1"/>
  <c r="Q1183" i="6"/>
  <c r="M1182" i="6"/>
  <c r="R1182" i="6" s="1"/>
  <c r="Q1182" i="6"/>
  <c r="M1181" i="6"/>
  <c r="R1181" i="6" s="1"/>
  <c r="Q1181" i="6"/>
  <c r="M1180" i="6"/>
  <c r="R1180" i="6" s="1"/>
  <c r="Q1180" i="6"/>
  <c r="M1179" i="6"/>
  <c r="R1179" i="6" s="1"/>
  <c r="Q1179" i="6"/>
  <c r="M1178" i="6"/>
  <c r="R1178" i="6" s="1"/>
  <c r="Q1178" i="6"/>
  <c r="M1177" i="6"/>
  <c r="R1177" i="6" s="1"/>
  <c r="Q1177" i="6"/>
  <c r="M1176" i="6"/>
  <c r="R1176" i="6" s="1"/>
  <c r="Q1176" i="6"/>
  <c r="M1175" i="6"/>
  <c r="R1175" i="6" s="1"/>
  <c r="Q1175" i="6"/>
  <c r="M1174" i="6"/>
  <c r="R1174" i="6" s="1"/>
  <c r="Q1174" i="6"/>
  <c r="M1173" i="6"/>
  <c r="R1173" i="6" s="1"/>
  <c r="Q1173" i="6"/>
  <c r="M1172" i="6"/>
  <c r="R1172" i="6" s="1"/>
  <c r="Q1172" i="6"/>
  <c r="M1171" i="6"/>
  <c r="R1171" i="6" s="1"/>
  <c r="Q1171" i="6"/>
  <c r="M1170" i="6"/>
  <c r="R1170" i="6" s="1"/>
  <c r="Q1170" i="6"/>
  <c r="M1169" i="6"/>
  <c r="R1169" i="6" s="1"/>
  <c r="Q1169" i="6"/>
  <c r="M1168" i="6"/>
  <c r="R1168" i="6" s="1"/>
  <c r="Q1168" i="6"/>
  <c r="M1167" i="6"/>
  <c r="R1167" i="6" s="1"/>
  <c r="Q1167" i="6"/>
  <c r="M1166" i="6"/>
  <c r="R1166" i="6" s="1"/>
  <c r="Q1166" i="6"/>
  <c r="M1165" i="6"/>
  <c r="R1165" i="6" s="1"/>
  <c r="Q1165" i="6"/>
  <c r="M1164" i="6"/>
  <c r="R1164" i="6" s="1"/>
  <c r="Q1164" i="6"/>
  <c r="M1163" i="6"/>
  <c r="R1163" i="6" s="1"/>
  <c r="Q1163" i="6"/>
  <c r="M1162" i="6"/>
  <c r="R1162" i="6" s="1"/>
  <c r="Q1162" i="6"/>
  <c r="M1161" i="6"/>
  <c r="R1161" i="6" s="1"/>
  <c r="Q1161" i="6"/>
  <c r="M1160" i="6"/>
  <c r="R1160" i="6" s="1"/>
  <c r="Q1160" i="6"/>
  <c r="M1159" i="6"/>
  <c r="R1159" i="6" s="1"/>
  <c r="Q1159" i="6"/>
  <c r="M1158" i="6"/>
  <c r="R1158" i="6" s="1"/>
  <c r="Q1158" i="6"/>
  <c r="M1157" i="6"/>
  <c r="R1157" i="6" s="1"/>
  <c r="Q1157" i="6"/>
  <c r="M1156" i="6"/>
  <c r="R1156" i="6" s="1"/>
  <c r="Q1156" i="6"/>
  <c r="M1155" i="6"/>
  <c r="R1155" i="6" s="1"/>
  <c r="Q1155" i="6"/>
  <c r="M1154" i="6"/>
  <c r="R1154" i="6" s="1"/>
  <c r="Q1154" i="6"/>
  <c r="M1153" i="6"/>
  <c r="R1153" i="6" s="1"/>
  <c r="Q1153" i="6"/>
  <c r="M1152" i="6"/>
  <c r="R1152" i="6" s="1"/>
  <c r="Q1152" i="6"/>
  <c r="M1151" i="6"/>
  <c r="R1151" i="6" s="1"/>
  <c r="Q1151" i="6"/>
  <c r="M1150" i="6"/>
  <c r="R1150" i="6" s="1"/>
  <c r="Q1150" i="6"/>
  <c r="M1149" i="6"/>
  <c r="R1149" i="6" s="1"/>
  <c r="Q1149" i="6"/>
  <c r="M1148" i="6"/>
  <c r="R1148" i="6" s="1"/>
  <c r="Q1148" i="6"/>
  <c r="M1147" i="6"/>
  <c r="R1147" i="6" s="1"/>
  <c r="Q1147" i="6"/>
  <c r="M1146" i="6"/>
  <c r="R1146" i="6" s="1"/>
  <c r="Q1146" i="6"/>
  <c r="M1145" i="6"/>
  <c r="R1145" i="6" s="1"/>
  <c r="Q1145" i="6"/>
  <c r="M1144" i="6"/>
  <c r="R1144" i="6" s="1"/>
  <c r="Q1144" i="6"/>
  <c r="M1143" i="6"/>
  <c r="R1143" i="6" s="1"/>
  <c r="Q1143" i="6"/>
  <c r="M1142" i="6"/>
  <c r="R1142" i="6" s="1"/>
  <c r="Q1142" i="6"/>
  <c r="M1141" i="6"/>
  <c r="R1141" i="6" s="1"/>
  <c r="Q1141" i="6"/>
  <c r="M1140" i="6"/>
  <c r="R1140" i="6" s="1"/>
  <c r="Q1140" i="6"/>
  <c r="M1139" i="6"/>
  <c r="R1139" i="6" s="1"/>
  <c r="Q1139" i="6"/>
  <c r="M1138" i="6"/>
  <c r="R1138" i="6" s="1"/>
  <c r="Q1138" i="6"/>
  <c r="M1137" i="6"/>
  <c r="R1137" i="6" s="1"/>
  <c r="Q1137" i="6"/>
  <c r="M1136" i="6"/>
  <c r="R1136" i="6" s="1"/>
  <c r="Q1136" i="6"/>
  <c r="M1135" i="6"/>
  <c r="R1135" i="6" s="1"/>
  <c r="Q1135" i="6"/>
  <c r="M1134" i="6"/>
  <c r="R1134" i="6" s="1"/>
  <c r="Q1134" i="6"/>
  <c r="M1133" i="6"/>
  <c r="R1133" i="6" s="1"/>
  <c r="Q1133" i="6"/>
  <c r="M1132" i="6"/>
  <c r="R1132" i="6" s="1"/>
  <c r="Q1132" i="6"/>
  <c r="M1131" i="6"/>
  <c r="R1131" i="6" s="1"/>
  <c r="Q1131" i="6"/>
  <c r="M1130" i="6"/>
  <c r="R1130" i="6" s="1"/>
  <c r="Q1130" i="6"/>
  <c r="M1129" i="6"/>
  <c r="R1129" i="6" s="1"/>
  <c r="Q1129" i="6"/>
  <c r="M1128" i="6"/>
  <c r="R1128" i="6" s="1"/>
  <c r="Q1128" i="6"/>
  <c r="M1127" i="6"/>
  <c r="R1127" i="6" s="1"/>
  <c r="Q1127" i="6"/>
  <c r="M1126" i="6"/>
  <c r="R1126" i="6" s="1"/>
  <c r="Q1126" i="6"/>
  <c r="M1125" i="6"/>
  <c r="R1125" i="6" s="1"/>
  <c r="Q1125" i="6"/>
  <c r="M1124" i="6"/>
  <c r="R1124" i="6" s="1"/>
  <c r="Q1124" i="6"/>
  <c r="M1123" i="6"/>
  <c r="R1123" i="6" s="1"/>
  <c r="Q1123" i="6"/>
  <c r="M1122" i="6"/>
  <c r="R1122" i="6" s="1"/>
  <c r="Q1122" i="6"/>
  <c r="M1121" i="6"/>
  <c r="R1121" i="6" s="1"/>
  <c r="Q1121" i="6"/>
  <c r="M1120" i="6"/>
  <c r="R1120" i="6" s="1"/>
  <c r="Q1120" i="6"/>
  <c r="M1119" i="6"/>
  <c r="R1119" i="6" s="1"/>
  <c r="Q1119" i="6"/>
  <c r="M1118" i="6"/>
  <c r="R1118" i="6" s="1"/>
  <c r="Q1118" i="6"/>
  <c r="M1117" i="6"/>
  <c r="R1117" i="6" s="1"/>
  <c r="Q1117" i="6"/>
  <c r="M1116" i="6"/>
  <c r="R1116" i="6" s="1"/>
  <c r="Q1116" i="6"/>
  <c r="M1115" i="6"/>
  <c r="R1115" i="6" s="1"/>
  <c r="Q1115" i="6"/>
  <c r="M1114" i="6"/>
  <c r="R1114" i="6" s="1"/>
  <c r="Q1114" i="6"/>
  <c r="M1113" i="6"/>
  <c r="R1113" i="6" s="1"/>
  <c r="Q1113" i="6"/>
  <c r="M1112" i="6"/>
  <c r="R1112" i="6" s="1"/>
  <c r="Q1112" i="6"/>
  <c r="M1111" i="6"/>
  <c r="R1111" i="6" s="1"/>
  <c r="Q1111" i="6"/>
  <c r="M1110" i="6"/>
  <c r="R1110" i="6" s="1"/>
  <c r="Q1110" i="6"/>
  <c r="M1109" i="6"/>
  <c r="R1109" i="6" s="1"/>
  <c r="Q1109" i="6"/>
  <c r="M1108" i="6"/>
  <c r="R1108" i="6" s="1"/>
  <c r="Q1108" i="6"/>
  <c r="M1107" i="6"/>
  <c r="R1107" i="6" s="1"/>
  <c r="Q1107" i="6"/>
  <c r="M1106" i="6"/>
  <c r="R1106" i="6" s="1"/>
  <c r="Q1106" i="6"/>
  <c r="M1105" i="6"/>
  <c r="R1105" i="6" s="1"/>
  <c r="Q1105" i="6"/>
  <c r="M1104" i="6"/>
  <c r="R1104" i="6" s="1"/>
  <c r="Q1104" i="6"/>
  <c r="M1103" i="6"/>
  <c r="R1103" i="6" s="1"/>
  <c r="Q1103" i="6"/>
  <c r="M1102" i="6"/>
  <c r="R1102" i="6" s="1"/>
  <c r="Q1102" i="6"/>
  <c r="M1101" i="6"/>
  <c r="R1101" i="6" s="1"/>
  <c r="Q1101" i="6"/>
  <c r="M1100" i="6"/>
  <c r="R1100" i="6" s="1"/>
  <c r="Q1100" i="6"/>
  <c r="M1099" i="6"/>
  <c r="R1099" i="6" s="1"/>
  <c r="Q1099" i="6"/>
  <c r="M1098" i="6"/>
  <c r="R1098" i="6" s="1"/>
  <c r="Q1098" i="6"/>
  <c r="M1097" i="6"/>
  <c r="R1097" i="6" s="1"/>
  <c r="Q1097" i="6"/>
  <c r="M1096" i="6"/>
  <c r="R1096" i="6" s="1"/>
  <c r="Q1096" i="6"/>
  <c r="M1095" i="6"/>
  <c r="R1095" i="6" s="1"/>
  <c r="Q1095" i="6"/>
  <c r="M1094" i="6"/>
  <c r="R1094" i="6" s="1"/>
  <c r="Q1094" i="6"/>
  <c r="M1093" i="6"/>
  <c r="R1093" i="6" s="1"/>
  <c r="Q1093" i="6"/>
  <c r="M1092" i="6"/>
  <c r="R1092" i="6" s="1"/>
  <c r="Q1092" i="6"/>
  <c r="M1091" i="6"/>
  <c r="R1091" i="6" s="1"/>
  <c r="Q1091" i="6"/>
  <c r="M1090" i="6"/>
  <c r="R1090" i="6" s="1"/>
  <c r="Q1090" i="6"/>
  <c r="M1089" i="6"/>
  <c r="R1089" i="6" s="1"/>
  <c r="Q1089" i="6"/>
  <c r="M1088" i="6"/>
  <c r="R1088" i="6" s="1"/>
  <c r="Q1088" i="6"/>
  <c r="M1087" i="6"/>
  <c r="R1087" i="6" s="1"/>
  <c r="Q1087" i="6"/>
  <c r="M1086" i="6"/>
  <c r="R1086" i="6" s="1"/>
  <c r="Q1086" i="6"/>
  <c r="M1085" i="6"/>
  <c r="R1085" i="6" s="1"/>
  <c r="Q1085" i="6"/>
  <c r="M1084" i="6"/>
  <c r="R1084" i="6" s="1"/>
  <c r="Q1084" i="6"/>
  <c r="M1083" i="6"/>
  <c r="R1083" i="6" s="1"/>
  <c r="Q1083" i="6"/>
  <c r="M1082" i="6"/>
  <c r="R1082" i="6" s="1"/>
  <c r="Q1082" i="6"/>
  <c r="M1081" i="6"/>
  <c r="R1081" i="6" s="1"/>
  <c r="Q1081" i="6"/>
  <c r="M1080" i="6"/>
  <c r="R1080" i="6" s="1"/>
  <c r="Q1080" i="6"/>
  <c r="M1079" i="6"/>
  <c r="R1079" i="6" s="1"/>
  <c r="Q1079" i="6"/>
  <c r="M1078" i="6"/>
  <c r="R1078" i="6" s="1"/>
  <c r="Q1078" i="6"/>
  <c r="M1077" i="6"/>
  <c r="R1077" i="6" s="1"/>
  <c r="Q1077" i="6"/>
  <c r="M1076" i="6"/>
  <c r="R1076" i="6" s="1"/>
  <c r="Q1076" i="6"/>
  <c r="M1075" i="6"/>
  <c r="R1075" i="6" s="1"/>
  <c r="Q1075" i="6"/>
  <c r="M1074" i="6"/>
  <c r="R1074" i="6" s="1"/>
  <c r="Q1074" i="6"/>
  <c r="M1073" i="6"/>
  <c r="R1073" i="6" s="1"/>
  <c r="Q1073" i="6"/>
  <c r="M1072" i="6"/>
  <c r="R1072" i="6" s="1"/>
  <c r="Q1072" i="6"/>
  <c r="M1071" i="6"/>
  <c r="R1071" i="6" s="1"/>
  <c r="Q1071" i="6"/>
  <c r="M1070" i="6"/>
  <c r="R1070" i="6" s="1"/>
  <c r="Q1070" i="6"/>
  <c r="M1069" i="6"/>
  <c r="R1069" i="6" s="1"/>
  <c r="Q1069" i="6"/>
  <c r="M1068" i="6"/>
  <c r="R1068" i="6" s="1"/>
  <c r="Q1068" i="6"/>
  <c r="M1067" i="6"/>
  <c r="R1067" i="6" s="1"/>
  <c r="Q1067" i="6"/>
  <c r="M1066" i="6"/>
  <c r="R1066" i="6" s="1"/>
  <c r="Q1066" i="6"/>
  <c r="M1065" i="6"/>
  <c r="R1065" i="6" s="1"/>
  <c r="Q1065" i="6"/>
  <c r="M1064" i="6"/>
  <c r="R1064" i="6" s="1"/>
  <c r="Q1064" i="6"/>
  <c r="M1063" i="6"/>
  <c r="R1063" i="6" s="1"/>
  <c r="Q1063" i="6"/>
  <c r="M1062" i="6"/>
  <c r="R1062" i="6" s="1"/>
  <c r="Q1062" i="6"/>
  <c r="M1061" i="6"/>
  <c r="R1061" i="6" s="1"/>
  <c r="Q1061" i="6"/>
  <c r="M1060" i="6"/>
  <c r="R1060" i="6" s="1"/>
  <c r="Q1060" i="6"/>
  <c r="M1059" i="6"/>
  <c r="R1059" i="6" s="1"/>
  <c r="Q1059" i="6"/>
  <c r="M1058" i="6"/>
  <c r="R1058" i="6" s="1"/>
  <c r="Q1058" i="6"/>
  <c r="M1057" i="6"/>
  <c r="R1057" i="6" s="1"/>
  <c r="Q1057" i="6"/>
  <c r="M1056" i="6"/>
  <c r="R1056" i="6" s="1"/>
  <c r="Q1056" i="6"/>
  <c r="M1055" i="6"/>
  <c r="R1055" i="6" s="1"/>
  <c r="Q1055" i="6"/>
  <c r="M1054" i="6"/>
  <c r="R1054" i="6" s="1"/>
  <c r="Q1054" i="6"/>
  <c r="M1053" i="6"/>
  <c r="R1053" i="6" s="1"/>
  <c r="Q1053" i="6"/>
  <c r="M1052" i="6"/>
  <c r="R1052" i="6" s="1"/>
  <c r="Q1052" i="6"/>
  <c r="M1051" i="6"/>
  <c r="R1051" i="6" s="1"/>
  <c r="Q1051" i="6"/>
  <c r="M1050" i="6"/>
  <c r="R1050" i="6" s="1"/>
  <c r="Q1050" i="6"/>
  <c r="M1049" i="6"/>
  <c r="R1049" i="6" s="1"/>
  <c r="Q1049" i="6"/>
  <c r="M1573" i="6"/>
  <c r="R1573" i="6" s="1"/>
  <c r="Q1573" i="6"/>
  <c r="M1572" i="6"/>
  <c r="R1572" i="6" s="1"/>
  <c r="Q1572" i="6"/>
  <c r="M1571" i="6"/>
  <c r="R1571" i="6" s="1"/>
  <c r="Q1571" i="6"/>
  <c r="M1570" i="6"/>
  <c r="R1570" i="6" s="1"/>
  <c r="Q1570" i="6"/>
  <c r="M1388" i="6"/>
  <c r="R1388" i="6" s="1"/>
  <c r="Q1388" i="6"/>
  <c r="M1387" i="6"/>
  <c r="R1387" i="6" s="1"/>
  <c r="Q1387" i="6"/>
  <c r="M1386" i="6"/>
  <c r="R1386" i="6" s="1"/>
  <c r="Q1386" i="6"/>
  <c r="M1385" i="6"/>
  <c r="R1385" i="6" s="1"/>
  <c r="Q1385" i="6"/>
  <c r="M1384" i="6"/>
  <c r="R1384" i="6" s="1"/>
  <c r="Q1384" i="6"/>
  <c r="M1383" i="6"/>
  <c r="R1383" i="6" s="1"/>
  <c r="Q1383" i="6"/>
  <c r="M1382" i="6"/>
  <c r="R1382" i="6" s="1"/>
  <c r="Q1382" i="6"/>
  <c r="M1381" i="6"/>
  <c r="R1381" i="6" s="1"/>
  <c r="Q1381" i="6"/>
  <c r="M1140" i="3"/>
  <c r="R1140" i="3" s="1"/>
  <c r="Q1140" i="3"/>
  <c r="M1139" i="3"/>
  <c r="R1139" i="3" s="1"/>
  <c r="Q1139" i="3"/>
  <c r="M1138" i="3"/>
  <c r="R1138" i="3" s="1"/>
  <c r="Q1138" i="3"/>
  <c r="M1137" i="3"/>
  <c r="R1137" i="3" s="1"/>
  <c r="Q1137" i="3"/>
  <c r="M1136" i="3"/>
  <c r="R1136" i="3" s="1"/>
  <c r="Q1136" i="3"/>
  <c r="M1135" i="3"/>
  <c r="R1135" i="3" s="1"/>
  <c r="Q1135" i="3"/>
  <c r="M1134" i="3"/>
  <c r="R1134" i="3" s="1"/>
  <c r="Q1134" i="3"/>
  <c r="M1133" i="3"/>
  <c r="R1133" i="3" s="1"/>
  <c r="Q1133" i="3"/>
  <c r="M1132" i="3"/>
  <c r="R1132" i="3" s="1"/>
  <c r="Q1132" i="3"/>
  <c r="M1131" i="3"/>
  <c r="R1131" i="3" s="1"/>
  <c r="Q1131" i="3"/>
  <c r="M1130" i="3"/>
  <c r="R1130" i="3" s="1"/>
  <c r="Q1130" i="3"/>
  <c r="M1129" i="3"/>
  <c r="R1129" i="3" s="1"/>
  <c r="Q1129" i="3"/>
  <c r="M1128" i="3"/>
  <c r="R1128" i="3" s="1"/>
  <c r="Q1128" i="3"/>
  <c r="M1127" i="3"/>
  <c r="R1127" i="3" s="1"/>
  <c r="Q1127" i="3"/>
  <c r="M1126" i="3"/>
  <c r="R1126" i="3" s="1"/>
  <c r="Q1126" i="3"/>
  <c r="M1125" i="3"/>
  <c r="R1125" i="3" s="1"/>
  <c r="Q1125" i="3"/>
  <c r="M1124" i="3"/>
  <c r="R1124" i="3" s="1"/>
  <c r="Q1124" i="3"/>
  <c r="M1123" i="3"/>
  <c r="R1123" i="3" s="1"/>
  <c r="Q1123" i="3"/>
  <c r="M1122" i="3"/>
  <c r="R1122" i="3" s="1"/>
  <c r="Q1122" i="3"/>
  <c r="M1121" i="3"/>
  <c r="R1121" i="3" s="1"/>
  <c r="Q1121" i="3"/>
  <c r="M1120" i="3"/>
  <c r="R1120" i="3" s="1"/>
  <c r="Q1120" i="3"/>
  <c r="M1119" i="3"/>
  <c r="R1119" i="3" s="1"/>
  <c r="Q1119" i="3"/>
  <c r="M1118" i="3"/>
  <c r="R1118" i="3" s="1"/>
  <c r="Q1118" i="3"/>
  <c r="M1117" i="3"/>
  <c r="R1117" i="3" s="1"/>
  <c r="Q1117" i="3"/>
  <c r="M1116" i="3"/>
  <c r="R1116" i="3" s="1"/>
  <c r="Q1116" i="3"/>
  <c r="M1115" i="3"/>
  <c r="R1115" i="3" s="1"/>
  <c r="Q1115" i="3"/>
  <c r="M1114" i="3"/>
  <c r="R1114" i="3" s="1"/>
  <c r="Q1114" i="3"/>
  <c r="M1113" i="3"/>
  <c r="R1113" i="3" s="1"/>
  <c r="Q1113" i="3"/>
  <c r="M1112" i="3"/>
  <c r="R1112" i="3" s="1"/>
  <c r="Q1112" i="3"/>
  <c r="M1111" i="3"/>
  <c r="R1111" i="3" s="1"/>
  <c r="Q1111" i="3"/>
  <c r="M1110" i="3"/>
  <c r="R1110" i="3" s="1"/>
  <c r="Q1110" i="3"/>
  <c r="M1109" i="3"/>
  <c r="R1109" i="3" s="1"/>
  <c r="Q1109" i="3"/>
  <c r="M1108" i="3"/>
  <c r="R1108" i="3" s="1"/>
  <c r="Q1108" i="3"/>
  <c r="M1107" i="3"/>
  <c r="R1107" i="3" s="1"/>
  <c r="Q1107" i="3"/>
  <c r="M1106" i="3"/>
  <c r="R1106" i="3" s="1"/>
  <c r="Q1106" i="3"/>
  <c r="M1105" i="3"/>
  <c r="R1105" i="3" s="1"/>
  <c r="Q1105" i="3"/>
  <c r="M1104" i="3"/>
  <c r="R1104" i="3" s="1"/>
  <c r="Q1104" i="3"/>
  <c r="M1103" i="3"/>
  <c r="R1103" i="3" s="1"/>
  <c r="Q1103" i="3"/>
  <c r="M1102" i="3"/>
  <c r="R1102" i="3" s="1"/>
  <c r="Q1102" i="3"/>
  <c r="M1101" i="3"/>
  <c r="R1101" i="3" s="1"/>
  <c r="Q1101" i="3"/>
  <c r="M1100" i="3"/>
  <c r="R1100" i="3" s="1"/>
  <c r="Q1100" i="3"/>
  <c r="M1099" i="3"/>
  <c r="R1099" i="3" s="1"/>
  <c r="Q1099" i="3"/>
  <c r="M1098" i="3"/>
  <c r="R1098" i="3" s="1"/>
  <c r="Q1098" i="3"/>
  <c r="M1097" i="3"/>
  <c r="R1097" i="3" s="1"/>
  <c r="Q1097" i="3"/>
  <c r="M1096" i="3"/>
  <c r="R1096" i="3" s="1"/>
  <c r="Q1096" i="3"/>
  <c r="M1095" i="3"/>
  <c r="R1095" i="3" s="1"/>
  <c r="Q1095" i="3"/>
  <c r="M1094" i="3"/>
  <c r="R1094" i="3" s="1"/>
  <c r="Q1094" i="3"/>
  <c r="M1093" i="3"/>
  <c r="R1093" i="3" s="1"/>
  <c r="Q1093" i="3"/>
  <c r="M1092" i="3"/>
  <c r="R1092" i="3" s="1"/>
  <c r="Q1092" i="3"/>
  <c r="M1091" i="3"/>
  <c r="R1091" i="3" s="1"/>
  <c r="Q1091" i="3"/>
  <c r="M1090" i="3"/>
  <c r="R1090" i="3" s="1"/>
  <c r="Q1090" i="3"/>
  <c r="M1089" i="3"/>
  <c r="R1089" i="3" s="1"/>
  <c r="Q1089" i="3"/>
  <c r="M1088" i="3"/>
  <c r="R1088" i="3" s="1"/>
  <c r="Q1088" i="3"/>
  <c r="M1087" i="3"/>
  <c r="R1087" i="3" s="1"/>
  <c r="Q1087" i="3"/>
  <c r="M1086" i="3"/>
  <c r="R1086" i="3" s="1"/>
  <c r="Q1086" i="3"/>
  <c r="M1085" i="3"/>
  <c r="R1085" i="3" s="1"/>
  <c r="Q1085" i="3"/>
  <c r="M1084" i="3"/>
  <c r="R1084" i="3" s="1"/>
  <c r="Q1084" i="3"/>
  <c r="M1083" i="3"/>
  <c r="R1083" i="3" s="1"/>
  <c r="Q1083" i="3"/>
  <c r="M1082" i="3"/>
  <c r="R1082" i="3" s="1"/>
  <c r="Q1082" i="3"/>
  <c r="M1081" i="3"/>
  <c r="R1081" i="3" s="1"/>
  <c r="Q1081" i="3"/>
  <c r="M1080" i="3"/>
  <c r="R1080" i="3" s="1"/>
  <c r="Q1080" i="3"/>
  <c r="M1079" i="3"/>
  <c r="R1079" i="3" s="1"/>
  <c r="Q1079" i="3"/>
  <c r="M1078" i="3"/>
  <c r="R1078" i="3" s="1"/>
  <c r="Q1078" i="3"/>
  <c r="M1077" i="3"/>
  <c r="R1077" i="3" s="1"/>
  <c r="Q1077" i="3"/>
  <c r="M1076" i="3"/>
  <c r="R1076" i="3" s="1"/>
  <c r="Q1076" i="3"/>
  <c r="M1075" i="3"/>
  <c r="R1075" i="3" s="1"/>
  <c r="Q1075" i="3"/>
  <c r="M1074" i="3"/>
  <c r="R1074" i="3" s="1"/>
  <c r="Q1074" i="3"/>
  <c r="M1073" i="3"/>
  <c r="R1073" i="3" s="1"/>
  <c r="Q1073" i="3"/>
  <c r="M1072" i="3"/>
  <c r="R1072" i="3" s="1"/>
  <c r="Q1072" i="3"/>
  <c r="M1071" i="3"/>
  <c r="R1071" i="3" s="1"/>
  <c r="Q1071" i="3"/>
  <c r="M1070" i="3"/>
  <c r="R1070" i="3" s="1"/>
  <c r="Q1070" i="3"/>
  <c r="M1069" i="3"/>
  <c r="R1069" i="3" s="1"/>
  <c r="Q1069" i="3"/>
  <c r="M1068" i="3"/>
  <c r="R1068" i="3" s="1"/>
  <c r="Q1068" i="3"/>
  <c r="M1067" i="3"/>
  <c r="R1067" i="3" s="1"/>
  <c r="Q1067" i="3"/>
  <c r="M1066" i="3"/>
  <c r="R1066" i="3" s="1"/>
  <c r="Q1066" i="3"/>
  <c r="M1065" i="3"/>
  <c r="R1065" i="3" s="1"/>
  <c r="Q1065" i="3"/>
  <c r="M1064" i="3"/>
  <c r="R1064" i="3" s="1"/>
  <c r="Q1064" i="3"/>
  <c r="M1063" i="3"/>
  <c r="R1063" i="3" s="1"/>
  <c r="Q1063" i="3"/>
  <c r="M1062" i="3"/>
  <c r="R1062" i="3" s="1"/>
  <c r="Q1062" i="3"/>
  <c r="M1061" i="3"/>
  <c r="R1061" i="3" s="1"/>
  <c r="Q1061" i="3"/>
  <c r="M1060" i="3"/>
  <c r="R1060" i="3" s="1"/>
  <c r="Q1060" i="3"/>
  <c r="M1059" i="3"/>
  <c r="R1059" i="3" s="1"/>
  <c r="Q1059" i="3"/>
  <c r="M1058" i="3"/>
  <c r="R1058" i="3" s="1"/>
  <c r="Q1058" i="3"/>
  <c r="M1057" i="3"/>
  <c r="R1057" i="3" s="1"/>
  <c r="Q1057" i="3"/>
  <c r="M1056" i="3"/>
  <c r="R1056" i="3" s="1"/>
  <c r="Q1056" i="3"/>
  <c r="M1055" i="3"/>
  <c r="R1055" i="3" s="1"/>
  <c r="Q1055" i="3"/>
  <c r="M1054" i="3"/>
  <c r="R1054" i="3" s="1"/>
  <c r="Q1054" i="3"/>
  <c r="M1053" i="3"/>
  <c r="R1053" i="3" s="1"/>
  <c r="Q1053" i="3"/>
  <c r="M1052" i="3"/>
  <c r="R1052" i="3" s="1"/>
  <c r="Q1052" i="3"/>
  <c r="M1051" i="3"/>
  <c r="R1051" i="3" s="1"/>
  <c r="Q1051" i="3"/>
  <c r="M1050" i="3"/>
  <c r="R1050" i="3" s="1"/>
  <c r="Q1050" i="3"/>
  <c r="M1049" i="3"/>
  <c r="R1049" i="3" s="1"/>
  <c r="Q1049" i="3"/>
  <c r="M1048" i="3"/>
  <c r="R1048" i="3" s="1"/>
  <c r="Q1048" i="3"/>
  <c r="M1047" i="3"/>
  <c r="R1047" i="3" s="1"/>
  <c r="Q1047" i="3"/>
  <c r="M1046" i="3"/>
  <c r="R1046" i="3" s="1"/>
  <c r="Q1046" i="3"/>
  <c r="M1045" i="3"/>
  <c r="R1045" i="3" s="1"/>
  <c r="Q1045" i="3"/>
  <c r="M1044" i="3"/>
  <c r="R1044" i="3" s="1"/>
  <c r="Q1044" i="3"/>
  <c r="M1043" i="3"/>
  <c r="R1043" i="3" s="1"/>
  <c r="Q1043" i="3"/>
  <c r="M1042" i="3"/>
  <c r="R1042" i="3" s="1"/>
  <c r="Q1042" i="3"/>
  <c r="M1041" i="3"/>
  <c r="R1041" i="3" s="1"/>
  <c r="Q1041" i="3"/>
  <c r="M1040" i="3"/>
  <c r="R1040" i="3" s="1"/>
  <c r="Q1040" i="3"/>
  <c r="M1039" i="3"/>
  <c r="R1039" i="3" s="1"/>
  <c r="Q1039" i="3"/>
  <c r="M1038" i="3"/>
  <c r="R1038" i="3" s="1"/>
  <c r="Q1038" i="3"/>
  <c r="M1037" i="3"/>
  <c r="R1037" i="3" s="1"/>
  <c r="Q1037" i="3"/>
  <c r="M1036" i="3"/>
  <c r="R1036" i="3" s="1"/>
  <c r="Q1036" i="3"/>
  <c r="M1035" i="3"/>
  <c r="R1035" i="3" s="1"/>
  <c r="Q1035" i="3"/>
  <c r="M1034" i="3"/>
  <c r="R1034" i="3" s="1"/>
  <c r="Q1034" i="3"/>
  <c r="M1033" i="3"/>
  <c r="R1033" i="3" s="1"/>
  <c r="Q1033" i="3"/>
  <c r="M1032" i="3"/>
  <c r="R1032" i="3" s="1"/>
  <c r="Q1032" i="3"/>
  <c r="M1031" i="3"/>
  <c r="R1031" i="3" s="1"/>
  <c r="Q1031" i="3"/>
  <c r="M1030" i="3"/>
  <c r="R1030" i="3" s="1"/>
  <c r="Q1030" i="3"/>
  <c r="M1029" i="3"/>
  <c r="R1029" i="3" s="1"/>
  <c r="Q1029" i="3"/>
  <c r="M1028" i="3"/>
  <c r="R1028" i="3" s="1"/>
  <c r="Q1028" i="3"/>
  <c r="M1027" i="3"/>
  <c r="R1027" i="3" s="1"/>
  <c r="Q1027" i="3"/>
  <c r="M1026" i="3"/>
  <c r="R1026" i="3" s="1"/>
  <c r="Q1026" i="3"/>
  <c r="M1025" i="3"/>
  <c r="R1025" i="3" s="1"/>
  <c r="Q1025" i="3"/>
  <c r="M1024" i="3"/>
  <c r="R1024" i="3" s="1"/>
  <c r="Q1024" i="3"/>
  <c r="M1023" i="3"/>
  <c r="R1023" i="3" s="1"/>
  <c r="Q1023" i="3"/>
  <c r="M1022" i="3"/>
  <c r="R1022" i="3" s="1"/>
  <c r="Q1022" i="3"/>
  <c r="M1021" i="3"/>
  <c r="R1021" i="3" s="1"/>
  <c r="Q1021" i="3"/>
  <c r="M1020" i="3"/>
  <c r="R1020" i="3" s="1"/>
  <c r="Q1020" i="3"/>
  <c r="M1019" i="3"/>
  <c r="R1019" i="3" s="1"/>
  <c r="Q1019" i="3"/>
  <c r="M1018" i="3"/>
  <c r="R1018" i="3" s="1"/>
  <c r="Q1018" i="3"/>
  <c r="M1017" i="3"/>
  <c r="R1017" i="3" s="1"/>
  <c r="Q1017" i="3"/>
  <c r="M1016" i="3"/>
  <c r="R1016" i="3" s="1"/>
  <c r="Q1016" i="3"/>
  <c r="M1015" i="3"/>
  <c r="R1015" i="3" s="1"/>
  <c r="Q1015" i="3"/>
  <c r="M1014" i="3"/>
  <c r="R1014" i="3" s="1"/>
  <c r="Q1014" i="3"/>
  <c r="M1013" i="3"/>
  <c r="R1013" i="3" s="1"/>
  <c r="Q1013" i="3"/>
  <c r="M1012" i="3"/>
  <c r="R1012" i="3" s="1"/>
  <c r="Q1012" i="3"/>
  <c r="M1011" i="3"/>
  <c r="R1011" i="3" s="1"/>
  <c r="Q1011" i="3"/>
  <c r="M1010" i="3"/>
  <c r="R1010" i="3" s="1"/>
  <c r="Q1010" i="3"/>
  <c r="M1009" i="3"/>
  <c r="R1009" i="3" s="1"/>
  <c r="Q1009" i="3"/>
  <c r="M1008" i="3"/>
  <c r="R1008" i="3" s="1"/>
  <c r="Q1008" i="3"/>
  <c r="M1007" i="3"/>
  <c r="R1007" i="3" s="1"/>
  <c r="Q1007" i="3"/>
  <c r="M1006" i="3"/>
  <c r="R1006" i="3" s="1"/>
  <c r="Q1006" i="3"/>
  <c r="M1005" i="3"/>
  <c r="R1005" i="3" s="1"/>
  <c r="Q1005" i="3"/>
  <c r="M1004" i="3"/>
  <c r="R1004" i="3" s="1"/>
  <c r="Q1004" i="3"/>
  <c r="M1003" i="3"/>
  <c r="R1003" i="3" s="1"/>
  <c r="Q1003" i="3"/>
  <c r="M1002" i="3"/>
  <c r="R1002" i="3" s="1"/>
  <c r="Q1002" i="3"/>
  <c r="M1001" i="3"/>
  <c r="R1001" i="3" s="1"/>
  <c r="Q1001" i="3"/>
  <c r="M1000" i="3"/>
  <c r="R1000" i="3" s="1"/>
  <c r="Q1000" i="3"/>
  <c r="M999" i="3"/>
  <c r="R999" i="3" s="1"/>
  <c r="Q999" i="3"/>
  <c r="M998" i="3"/>
  <c r="R998" i="3" s="1"/>
  <c r="Q998" i="3"/>
  <c r="M997" i="3"/>
  <c r="R997" i="3" s="1"/>
  <c r="Q997" i="3"/>
  <c r="M996" i="3"/>
  <c r="R996" i="3" s="1"/>
  <c r="Q996" i="3"/>
  <c r="M995" i="3"/>
  <c r="R995" i="3" s="1"/>
  <c r="Q995" i="3"/>
  <c r="M994" i="3"/>
  <c r="R994" i="3" s="1"/>
  <c r="Q994" i="3"/>
  <c r="M993" i="3"/>
  <c r="R993" i="3" s="1"/>
  <c r="Q993" i="3"/>
  <c r="M992" i="3"/>
  <c r="R992" i="3" s="1"/>
  <c r="Q992" i="3"/>
  <c r="M991" i="3"/>
  <c r="R991" i="3" s="1"/>
  <c r="Q991" i="3"/>
  <c r="M990" i="3"/>
  <c r="R990" i="3" s="1"/>
  <c r="Q990" i="3"/>
  <c r="M989" i="3"/>
  <c r="R989" i="3" s="1"/>
  <c r="Q989" i="3"/>
  <c r="M988" i="3"/>
  <c r="R988" i="3" s="1"/>
  <c r="Q988" i="3"/>
  <c r="M987" i="3"/>
  <c r="R987" i="3" s="1"/>
  <c r="Q987" i="3"/>
  <c r="M986" i="3"/>
  <c r="R986" i="3" s="1"/>
  <c r="Q986" i="3"/>
  <c r="M985" i="3"/>
  <c r="R985" i="3" s="1"/>
  <c r="Q985" i="3"/>
  <c r="M984" i="3"/>
  <c r="R984" i="3" s="1"/>
  <c r="Q984" i="3"/>
  <c r="M983" i="3"/>
  <c r="R983" i="3" s="1"/>
  <c r="Q983" i="3"/>
  <c r="M982" i="3"/>
  <c r="R982" i="3" s="1"/>
  <c r="Q982" i="3"/>
  <c r="M981" i="3"/>
  <c r="R981" i="3" s="1"/>
  <c r="Q981" i="3"/>
  <c r="M980" i="3"/>
  <c r="R980" i="3" s="1"/>
  <c r="Q980" i="3"/>
  <c r="M979" i="3"/>
  <c r="R979" i="3" s="1"/>
  <c r="Q979" i="3"/>
  <c r="M978" i="3"/>
  <c r="R978" i="3" s="1"/>
  <c r="Q978" i="3"/>
  <c r="M977" i="3"/>
  <c r="R977" i="3" s="1"/>
  <c r="Q977" i="3"/>
  <c r="M976" i="3"/>
  <c r="R976" i="3" s="1"/>
  <c r="Q976" i="3"/>
  <c r="M975" i="3"/>
  <c r="R975" i="3" s="1"/>
  <c r="Q975" i="3"/>
  <c r="M974" i="3"/>
  <c r="R974" i="3" s="1"/>
  <c r="Q974" i="3"/>
  <c r="M973" i="3"/>
  <c r="R973" i="3" s="1"/>
  <c r="Q973" i="3"/>
  <c r="M972" i="3"/>
  <c r="R972" i="3" s="1"/>
  <c r="Q972" i="3"/>
  <c r="M971" i="3"/>
  <c r="R971" i="3" s="1"/>
  <c r="Q971" i="3"/>
  <c r="M970" i="3"/>
  <c r="R970" i="3" s="1"/>
  <c r="Q970" i="3"/>
  <c r="M969" i="3"/>
  <c r="R969" i="3" s="1"/>
  <c r="Q969" i="3"/>
  <c r="M968" i="3"/>
  <c r="R968" i="3" s="1"/>
  <c r="Q968" i="3"/>
  <c r="M967" i="3"/>
  <c r="R967" i="3" s="1"/>
  <c r="Q967" i="3"/>
  <c r="M966" i="3"/>
  <c r="R966" i="3" s="1"/>
  <c r="Q966" i="3"/>
  <c r="M965" i="3"/>
  <c r="R965" i="3" s="1"/>
  <c r="Q965" i="3"/>
  <c r="M964" i="3"/>
  <c r="R964" i="3" s="1"/>
  <c r="Q964" i="3"/>
  <c r="M963" i="3"/>
  <c r="R963" i="3" s="1"/>
  <c r="Q963" i="3"/>
  <c r="M962" i="3"/>
  <c r="R962" i="3" s="1"/>
  <c r="Q962" i="3"/>
  <c r="M961" i="3"/>
  <c r="R961" i="3" s="1"/>
  <c r="Q961" i="3"/>
  <c r="M960" i="3"/>
  <c r="R960" i="3" s="1"/>
  <c r="Q960" i="3"/>
  <c r="M959" i="3"/>
  <c r="R959" i="3" s="1"/>
  <c r="Q959" i="3"/>
  <c r="M958" i="3"/>
  <c r="R958" i="3" s="1"/>
  <c r="Q958" i="3"/>
  <c r="M957" i="3"/>
  <c r="R957" i="3" s="1"/>
  <c r="Q957" i="3"/>
  <c r="M956" i="3"/>
  <c r="R956" i="3" s="1"/>
  <c r="Q956" i="3"/>
  <c r="M955" i="3"/>
  <c r="R955" i="3" s="1"/>
  <c r="Q955" i="3"/>
  <c r="M954" i="3"/>
  <c r="R954" i="3" s="1"/>
  <c r="Q954" i="3"/>
  <c r="M953" i="3"/>
  <c r="R953" i="3" s="1"/>
  <c r="Q953" i="3"/>
  <c r="M952" i="3"/>
  <c r="R952" i="3" s="1"/>
  <c r="Q952" i="3"/>
  <c r="M951" i="3"/>
  <c r="R951" i="3" s="1"/>
  <c r="Q951" i="3"/>
  <c r="M950" i="3"/>
  <c r="R950" i="3" s="1"/>
  <c r="Q950" i="3"/>
  <c r="M949" i="3"/>
  <c r="R949" i="3" s="1"/>
  <c r="Q949" i="3"/>
  <c r="Q78" i="1" l="1"/>
  <c r="R78" i="1"/>
  <c r="Q77" i="1"/>
  <c r="R77" i="1"/>
  <c r="Q76" i="1"/>
  <c r="R76" i="1"/>
  <c r="Q75" i="1"/>
  <c r="R75" i="1"/>
  <c r="Q74" i="1"/>
  <c r="R74" i="1"/>
  <c r="Q73" i="1"/>
  <c r="R73" i="1"/>
  <c r="Q72" i="1"/>
  <c r="R72" i="1"/>
  <c r="Q71" i="1"/>
  <c r="R71" i="1"/>
  <c r="Q70" i="1"/>
  <c r="R70" i="1"/>
  <c r="Q69" i="1"/>
  <c r="R69" i="1"/>
  <c r="Q68" i="1"/>
  <c r="R68" i="1"/>
  <c r="Q67" i="1"/>
  <c r="R67" i="1"/>
  <c r="Q66" i="1"/>
  <c r="R66" i="1"/>
  <c r="Q65" i="1"/>
  <c r="R65" i="1"/>
  <c r="Q64" i="1"/>
  <c r="R64" i="1"/>
  <c r="Q63" i="1"/>
  <c r="R63" i="1"/>
  <c r="Q62" i="1"/>
  <c r="R62" i="1"/>
  <c r="Q61" i="1"/>
  <c r="R61" i="1"/>
  <c r="Q60" i="1"/>
  <c r="R60" i="1"/>
  <c r="Q59" i="1"/>
  <c r="R59" i="1"/>
  <c r="Q58" i="1"/>
  <c r="R58" i="1"/>
  <c r="Q57" i="1"/>
  <c r="R57" i="1"/>
  <c r="Q56" i="1"/>
  <c r="R56" i="1"/>
  <c r="Q873" i="4"/>
  <c r="R873" i="4"/>
  <c r="Q872" i="4"/>
  <c r="R872" i="4"/>
  <c r="Q871" i="4"/>
  <c r="R871" i="4"/>
  <c r="Q870" i="4"/>
  <c r="R870" i="4"/>
  <c r="Q869" i="4"/>
  <c r="R869" i="4"/>
  <c r="Q868" i="4"/>
  <c r="R868" i="4"/>
  <c r="Q867" i="4"/>
  <c r="R867" i="4"/>
  <c r="Q866" i="4"/>
  <c r="R866" i="4"/>
  <c r="Q865" i="4"/>
  <c r="R865" i="4"/>
  <c r="Q864" i="4"/>
  <c r="R864" i="4"/>
  <c r="Q863" i="4"/>
  <c r="R863" i="4"/>
  <c r="Q862" i="4"/>
  <c r="R862" i="4"/>
  <c r="Q861" i="4"/>
  <c r="R861" i="4"/>
  <c r="Q860" i="4"/>
  <c r="R860" i="4"/>
  <c r="Q859" i="4"/>
  <c r="R859" i="4"/>
  <c r="Q858" i="4"/>
  <c r="R858" i="4"/>
  <c r="Q857" i="4"/>
  <c r="R857" i="4"/>
  <c r="Q856" i="4"/>
  <c r="R856" i="4"/>
  <c r="Q855" i="4"/>
  <c r="R855" i="4"/>
  <c r="Q854" i="4"/>
  <c r="R854" i="4"/>
  <c r="Q853" i="4"/>
  <c r="R853" i="4"/>
  <c r="Q852" i="4"/>
  <c r="R852" i="4"/>
  <c r="Q851" i="4"/>
  <c r="R851" i="4"/>
  <c r="Q850" i="4"/>
  <c r="R850" i="4"/>
  <c r="Q849" i="4"/>
  <c r="R849" i="4"/>
  <c r="Q848" i="4"/>
  <c r="R848" i="4"/>
  <c r="Q847" i="4"/>
  <c r="R847" i="4"/>
  <c r="Q846" i="4"/>
  <c r="R846" i="4"/>
  <c r="Q845" i="4"/>
  <c r="R845" i="4"/>
  <c r="Q844" i="4"/>
  <c r="R844" i="4"/>
  <c r="Q843" i="4"/>
  <c r="R843" i="4"/>
  <c r="Q842" i="4"/>
  <c r="R842" i="4"/>
  <c r="Q841" i="4"/>
  <c r="R841" i="4"/>
  <c r="Q840" i="4"/>
  <c r="R840" i="4"/>
  <c r="Q839" i="4"/>
  <c r="R839" i="4"/>
  <c r="Q838" i="4"/>
  <c r="R838" i="4"/>
  <c r="Q837" i="4"/>
  <c r="R837" i="4"/>
  <c r="Q836" i="4"/>
  <c r="R836" i="4"/>
  <c r="Q835" i="4"/>
  <c r="R835" i="4"/>
  <c r="Q834" i="4"/>
  <c r="R834" i="4"/>
  <c r="Q833" i="4"/>
  <c r="R833" i="4"/>
  <c r="Q832" i="4"/>
  <c r="R832" i="4"/>
  <c r="Q831" i="4"/>
  <c r="R831" i="4"/>
  <c r="Q830" i="4"/>
  <c r="R830" i="4"/>
  <c r="Q829" i="4"/>
  <c r="R829" i="4"/>
  <c r="Q828" i="4"/>
  <c r="R828" i="4"/>
  <c r="Q827" i="4"/>
  <c r="R827" i="4"/>
  <c r="Q826" i="4"/>
  <c r="R826" i="4"/>
  <c r="Q825" i="4"/>
  <c r="R825" i="4"/>
  <c r="Q824" i="4"/>
  <c r="R824" i="4"/>
  <c r="Q823" i="4"/>
  <c r="R823" i="4"/>
  <c r="Q822" i="4"/>
  <c r="R822" i="4"/>
  <c r="Q821" i="4"/>
  <c r="R821" i="4"/>
  <c r="Q820" i="4"/>
  <c r="R820" i="4"/>
  <c r="Q819" i="4"/>
  <c r="R819" i="4"/>
  <c r="Q818" i="4"/>
  <c r="R818" i="4"/>
  <c r="Q817" i="4"/>
  <c r="R817" i="4"/>
  <c r="Q816" i="4"/>
  <c r="R816" i="4"/>
  <c r="Q815" i="4"/>
  <c r="R815" i="4"/>
  <c r="Q814" i="4"/>
  <c r="R814" i="4"/>
  <c r="Q813" i="4"/>
  <c r="R813" i="4"/>
  <c r="Q812" i="4"/>
  <c r="R812" i="4"/>
  <c r="Q811" i="4"/>
  <c r="R811" i="4"/>
  <c r="Q810" i="4"/>
  <c r="R810" i="4"/>
  <c r="Q809" i="4"/>
  <c r="R809" i="4"/>
  <c r="Q808" i="4"/>
  <c r="R808" i="4"/>
  <c r="Q807" i="4"/>
  <c r="R807" i="4"/>
  <c r="Q806" i="4"/>
  <c r="R806" i="4"/>
  <c r="Q805" i="4"/>
  <c r="R805" i="4"/>
  <c r="Q804" i="4"/>
  <c r="R804" i="4"/>
  <c r="Q803" i="4"/>
  <c r="R803" i="4"/>
  <c r="Q802" i="4"/>
  <c r="R802" i="4"/>
  <c r="Q801" i="4"/>
  <c r="R801" i="4"/>
  <c r="Q800" i="4"/>
  <c r="R800" i="4"/>
  <c r="Q799" i="4"/>
  <c r="R799" i="4"/>
  <c r="Q798" i="4"/>
  <c r="R798" i="4"/>
  <c r="Q797" i="4"/>
  <c r="R797" i="4"/>
  <c r="Q796" i="4"/>
  <c r="R796" i="4"/>
  <c r="Q795" i="4"/>
  <c r="R795" i="4"/>
  <c r="Q794" i="4"/>
  <c r="R794" i="4"/>
  <c r="Q793" i="4"/>
  <c r="R793" i="4"/>
  <c r="Q792" i="4"/>
  <c r="R792" i="4"/>
  <c r="Q791" i="4"/>
  <c r="R791" i="4"/>
  <c r="Q790" i="4"/>
  <c r="R790" i="4"/>
  <c r="Q789" i="4"/>
  <c r="R789" i="4"/>
  <c r="Q788" i="4"/>
  <c r="R788" i="4"/>
  <c r="Q787" i="4"/>
  <c r="R787" i="4"/>
  <c r="Q786" i="4"/>
  <c r="R786" i="4"/>
  <c r="Q785" i="4"/>
  <c r="R785" i="4"/>
  <c r="Q784" i="4"/>
  <c r="R784" i="4"/>
  <c r="Q783" i="4"/>
  <c r="R783" i="4"/>
  <c r="Q782" i="4"/>
  <c r="R782" i="4"/>
  <c r="Q781" i="4"/>
  <c r="R781" i="4"/>
  <c r="Q780" i="4"/>
  <c r="R780" i="4"/>
  <c r="Q779" i="4"/>
  <c r="R779" i="4"/>
  <c r="Q778" i="4"/>
  <c r="R778" i="4"/>
  <c r="Q777" i="4"/>
  <c r="R777" i="4"/>
  <c r="Q776" i="4"/>
  <c r="R776" i="4"/>
  <c r="Q775" i="4"/>
  <c r="R775" i="4"/>
  <c r="Q774" i="4"/>
  <c r="R774" i="4"/>
  <c r="Q773" i="4"/>
  <c r="R773" i="4"/>
  <c r="Q772" i="4"/>
  <c r="R772" i="4"/>
  <c r="Q771" i="4"/>
  <c r="R771" i="4"/>
  <c r="Q770" i="4"/>
  <c r="R770" i="4"/>
  <c r="Q769" i="4"/>
  <c r="R769" i="4"/>
  <c r="Q768" i="4"/>
  <c r="R768" i="4"/>
  <c r="Q767" i="4"/>
  <c r="R767" i="4"/>
  <c r="Q766" i="4"/>
  <c r="R766" i="4"/>
  <c r="Q765" i="4"/>
  <c r="R765" i="4"/>
  <c r="Q764" i="4"/>
  <c r="R764" i="4"/>
  <c r="Q763" i="4"/>
  <c r="R763" i="4"/>
  <c r="Q762" i="4"/>
  <c r="R762" i="4"/>
  <c r="Q761" i="4"/>
  <c r="R761" i="4"/>
  <c r="Q760" i="4"/>
  <c r="R760" i="4"/>
  <c r="Q759" i="4"/>
  <c r="R759" i="4"/>
  <c r="Q758" i="4"/>
  <c r="R758" i="4"/>
  <c r="Q757" i="4"/>
  <c r="R757" i="4"/>
  <c r="Q756" i="4"/>
  <c r="R756" i="4"/>
  <c r="Q755" i="4"/>
  <c r="R755" i="4"/>
  <c r="Q754" i="4"/>
  <c r="R754" i="4"/>
  <c r="Q753" i="4"/>
  <c r="R753" i="4"/>
  <c r="Q752" i="4"/>
  <c r="R752" i="4"/>
  <c r="Q751" i="4"/>
  <c r="R751" i="4"/>
  <c r="Q750" i="4"/>
  <c r="R750" i="4"/>
  <c r="Q749" i="4"/>
  <c r="R749" i="4"/>
  <c r="Q748" i="4"/>
  <c r="R748" i="4"/>
  <c r="Q747" i="4"/>
  <c r="R747" i="4"/>
  <c r="Q746" i="4"/>
  <c r="R746" i="4"/>
  <c r="Q745" i="4"/>
  <c r="R745" i="4"/>
  <c r="Q744" i="4"/>
  <c r="R744" i="4"/>
  <c r="Q743" i="4"/>
  <c r="R743" i="4"/>
  <c r="Q742" i="4"/>
  <c r="R742" i="4"/>
  <c r="Q741" i="4"/>
  <c r="R741" i="4"/>
  <c r="Q740" i="4"/>
  <c r="R740" i="4"/>
  <c r="Q739" i="4"/>
  <c r="R739" i="4"/>
  <c r="Q738" i="4"/>
  <c r="R738" i="4"/>
  <c r="Q737" i="4"/>
  <c r="R737" i="4"/>
  <c r="Q736" i="4"/>
  <c r="R736" i="4"/>
  <c r="Q735" i="4"/>
  <c r="R735" i="4"/>
  <c r="Q734" i="4"/>
  <c r="R734" i="4"/>
  <c r="Q733" i="4"/>
  <c r="R733" i="4"/>
  <c r="Q732" i="4"/>
  <c r="R732" i="4"/>
  <c r="Q731" i="4"/>
  <c r="R731" i="4"/>
  <c r="Q730" i="4"/>
  <c r="R730" i="4"/>
  <c r="Q729" i="4"/>
  <c r="R729" i="4"/>
  <c r="Q728" i="4"/>
  <c r="R728" i="4"/>
  <c r="Q727" i="4"/>
  <c r="R727" i="4"/>
  <c r="Q726" i="4"/>
  <c r="R726" i="4"/>
  <c r="Q725" i="4"/>
  <c r="R725" i="4"/>
  <c r="Q724" i="4"/>
  <c r="R724" i="4"/>
  <c r="Q723" i="4"/>
  <c r="R723" i="4"/>
  <c r="Q722" i="4"/>
  <c r="R722" i="4"/>
  <c r="Q721" i="4"/>
  <c r="R721" i="4"/>
  <c r="Q720" i="4"/>
  <c r="R720" i="4"/>
  <c r="Q719" i="4"/>
  <c r="R719" i="4"/>
  <c r="Q718" i="4"/>
  <c r="R718" i="4"/>
  <c r="Q717" i="4"/>
  <c r="R717" i="4"/>
  <c r="Q716" i="4"/>
  <c r="R716" i="4"/>
  <c r="Q715" i="4"/>
  <c r="R715" i="4"/>
  <c r="Q714" i="4"/>
  <c r="R714" i="4"/>
  <c r="Q713" i="4"/>
  <c r="R713" i="4"/>
  <c r="Q712" i="4"/>
  <c r="R712" i="4"/>
  <c r="Q711" i="4"/>
  <c r="R711" i="4"/>
  <c r="Q710" i="4"/>
  <c r="R710" i="4"/>
  <c r="Q709" i="4"/>
  <c r="R709" i="4"/>
  <c r="Q708" i="4"/>
  <c r="R708" i="4"/>
  <c r="Q707" i="4"/>
  <c r="R707" i="4"/>
  <c r="Q706" i="4"/>
  <c r="R706" i="4"/>
  <c r="Q705" i="4"/>
  <c r="R705" i="4"/>
  <c r="Q704" i="4"/>
  <c r="R704" i="4"/>
  <c r="Q703" i="4"/>
  <c r="R703" i="4"/>
  <c r="Q702" i="4"/>
  <c r="R702" i="4"/>
  <c r="Q701" i="4"/>
  <c r="R701" i="4"/>
  <c r="Q700" i="4"/>
  <c r="R700" i="4"/>
  <c r="Q699" i="4"/>
  <c r="R699" i="4"/>
  <c r="Q698" i="4"/>
  <c r="R698" i="4"/>
  <c r="Q697" i="4"/>
  <c r="R697" i="4"/>
  <c r="Q696" i="4"/>
  <c r="R696" i="4"/>
  <c r="Q695" i="4"/>
  <c r="R695" i="4"/>
  <c r="Q694" i="4"/>
  <c r="R694" i="4"/>
  <c r="Q693" i="4"/>
  <c r="R693" i="4"/>
  <c r="Q692" i="4"/>
  <c r="R692" i="4"/>
  <c r="Q691" i="4"/>
  <c r="R691" i="4"/>
  <c r="Q690" i="4"/>
  <c r="R690" i="4"/>
  <c r="Q689" i="4"/>
  <c r="R689" i="4"/>
  <c r="Q688" i="4"/>
  <c r="R688" i="4"/>
  <c r="Q687" i="4"/>
  <c r="R687" i="4"/>
  <c r="Q686" i="4"/>
  <c r="R686" i="4"/>
  <c r="Q685" i="4"/>
  <c r="R685" i="4"/>
  <c r="Q684" i="4"/>
  <c r="R684" i="4"/>
  <c r="Q683" i="4"/>
  <c r="R683" i="4"/>
  <c r="Q682" i="4"/>
  <c r="R682" i="4"/>
  <c r="Q681" i="4"/>
  <c r="R681" i="4"/>
  <c r="Q680" i="4"/>
  <c r="R680" i="4"/>
  <c r="Q679" i="4"/>
  <c r="R679" i="4"/>
  <c r="Q678" i="4"/>
  <c r="R678" i="4"/>
  <c r="Q677" i="4"/>
  <c r="R677" i="4"/>
  <c r="Q676" i="4"/>
  <c r="R676" i="4"/>
  <c r="Q675" i="4"/>
  <c r="R675" i="4"/>
  <c r="Q674" i="4"/>
  <c r="R674" i="4"/>
  <c r="Q673" i="4"/>
  <c r="R673" i="4"/>
  <c r="Q672" i="4"/>
  <c r="R672" i="4"/>
  <c r="Q671" i="4"/>
  <c r="R671" i="4"/>
  <c r="Q670" i="4"/>
  <c r="R670" i="4"/>
  <c r="Q669" i="4"/>
  <c r="R669" i="4"/>
  <c r="Q668" i="4"/>
  <c r="R668" i="4"/>
  <c r="Q667" i="4"/>
  <c r="R667" i="4"/>
  <c r="Q666" i="4"/>
  <c r="R666" i="4"/>
  <c r="Q665" i="4"/>
  <c r="R665" i="4"/>
  <c r="Q664" i="4"/>
  <c r="R664" i="4"/>
  <c r="Q663" i="4"/>
  <c r="R663" i="4"/>
  <c r="Q662" i="4"/>
  <c r="R662" i="4"/>
  <c r="Q661" i="4"/>
  <c r="R661" i="4"/>
  <c r="Q660" i="4"/>
  <c r="R660" i="4"/>
  <c r="M473" i="2"/>
  <c r="R473" i="2" s="1"/>
  <c r="Q473" i="2"/>
  <c r="M472" i="2"/>
  <c r="R472" i="2" s="1"/>
  <c r="Q472" i="2"/>
  <c r="M471" i="2"/>
  <c r="R471" i="2" s="1"/>
  <c r="Q471" i="2"/>
  <c r="M470" i="2"/>
  <c r="R470" i="2" s="1"/>
  <c r="Q470" i="2"/>
  <c r="M469" i="2"/>
  <c r="R469" i="2" s="1"/>
  <c r="Q469" i="2"/>
  <c r="M468" i="2"/>
  <c r="R468" i="2" s="1"/>
  <c r="Q468" i="2"/>
  <c r="M467" i="2"/>
  <c r="R467" i="2" s="1"/>
  <c r="Q467" i="2"/>
  <c r="M466" i="2"/>
  <c r="R466" i="2" s="1"/>
  <c r="Q466" i="2"/>
  <c r="M465" i="2"/>
  <c r="R465" i="2" s="1"/>
  <c r="Q465" i="2"/>
  <c r="M464" i="2"/>
  <c r="R464" i="2" s="1"/>
  <c r="Q464" i="2"/>
  <c r="M463" i="2"/>
  <c r="R463" i="2" s="1"/>
  <c r="Q463" i="2"/>
  <c r="M462" i="2"/>
  <c r="R462" i="2" s="1"/>
  <c r="Q462" i="2"/>
  <c r="M461" i="2"/>
  <c r="R461" i="2" s="1"/>
  <c r="Q461" i="2"/>
  <c r="M460" i="2"/>
  <c r="R460" i="2" s="1"/>
  <c r="Q460" i="2"/>
  <c r="M459" i="2"/>
  <c r="R459" i="2" s="1"/>
  <c r="Q459" i="2"/>
  <c r="M458" i="2"/>
  <c r="Q458" i="2"/>
  <c r="R458" i="2"/>
  <c r="M457" i="2"/>
  <c r="R457" i="2" s="1"/>
  <c r="Q457" i="2"/>
  <c r="M456" i="2"/>
  <c r="R456" i="2" s="1"/>
  <c r="Q456" i="2"/>
  <c r="M455" i="2"/>
  <c r="R455" i="2" s="1"/>
  <c r="Q455" i="2"/>
  <c r="M454" i="2"/>
  <c r="R454" i="2" s="1"/>
  <c r="Q454" i="2"/>
  <c r="M453" i="2"/>
  <c r="R453" i="2" s="1"/>
  <c r="Q453" i="2"/>
  <c r="M452" i="2"/>
  <c r="R452" i="2" s="1"/>
  <c r="Q452" i="2"/>
  <c r="M451" i="2"/>
  <c r="R451" i="2" s="1"/>
  <c r="Q451" i="2"/>
  <c r="M450" i="2"/>
  <c r="R450" i="2" s="1"/>
  <c r="Q450" i="2"/>
  <c r="M449" i="2"/>
  <c r="R449" i="2" s="1"/>
  <c r="Q449" i="2"/>
  <c r="M448" i="2"/>
  <c r="R448" i="2" s="1"/>
  <c r="Q448" i="2"/>
  <c r="M447" i="2"/>
  <c r="R447" i="2" s="1"/>
  <c r="Q447" i="2"/>
  <c r="M446" i="2"/>
  <c r="R446" i="2" s="1"/>
  <c r="Q446" i="2"/>
  <c r="M445" i="2"/>
  <c r="R445" i="2" s="1"/>
  <c r="Q445" i="2"/>
  <c r="M444" i="2"/>
  <c r="R444" i="2" s="1"/>
  <c r="Q444" i="2"/>
  <c r="M443" i="2"/>
  <c r="R443" i="2" s="1"/>
  <c r="Q443" i="2"/>
  <c r="M442" i="2"/>
  <c r="R442" i="2" s="1"/>
  <c r="Q442" i="2"/>
  <c r="M441" i="2"/>
  <c r="R441" i="2" s="1"/>
  <c r="Q441" i="2"/>
  <c r="M440" i="2"/>
  <c r="R440" i="2" s="1"/>
  <c r="Q440" i="2"/>
  <c r="M439" i="2"/>
  <c r="R439" i="2" s="1"/>
  <c r="Q439" i="2"/>
  <c r="M438" i="2"/>
  <c r="R438" i="2" s="1"/>
  <c r="Q438" i="2"/>
  <c r="M437" i="2"/>
  <c r="R437" i="2" s="1"/>
  <c r="Q437" i="2"/>
  <c r="M436" i="2"/>
  <c r="R436" i="2" s="1"/>
  <c r="Q436" i="2"/>
  <c r="M435" i="2"/>
  <c r="R435" i="2" s="1"/>
  <c r="Q435" i="2"/>
  <c r="M434" i="2"/>
  <c r="R434" i="2" s="1"/>
  <c r="Q434" i="2"/>
  <c r="M433" i="2"/>
  <c r="R433" i="2" s="1"/>
  <c r="Q433" i="2"/>
  <c r="M432" i="2"/>
  <c r="R432" i="2" s="1"/>
  <c r="Q432" i="2"/>
  <c r="M431" i="2"/>
  <c r="R431" i="2" s="1"/>
  <c r="Q431" i="2"/>
  <c r="M430" i="2"/>
  <c r="R430" i="2" s="1"/>
  <c r="Q430" i="2"/>
  <c r="M429" i="2"/>
  <c r="R429" i="2" s="1"/>
  <c r="Q429" i="2"/>
  <c r="M428" i="2"/>
  <c r="R428" i="2" s="1"/>
  <c r="Q428" i="2"/>
  <c r="M427" i="2"/>
  <c r="R427" i="2" s="1"/>
  <c r="Q427" i="2"/>
  <c r="M426" i="2"/>
  <c r="R426" i="2" s="1"/>
  <c r="Q426" i="2"/>
  <c r="M425" i="2"/>
  <c r="R425" i="2" s="1"/>
  <c r="Q425" i="2"/>
  <c r="M424" i="2"/>
  <c r="R424" i="2" s="1"/>
  <c r="Q424" i="2"/>
  <c r="M423" i="2"/>
  <c r="R423" i="2" s="1"/>
  <c r="Q423" i="2"/>
  <c r="M422" i="2"/>
  <c r="R422" i="2" s="1"/>
  <c r="Q422" i="2"/>
  <c r="M421" i="2"/>
  <c r="R421" i="2" s="1"/>
  <c r="Q421" i="2"/>
  <c r="M420" i="2"/>
  <c r="R420" i="2" s="1"/>
  <c r="Q420" i="2"/>
  <c r="M419" i="2"/>
  <c r="R419" i="2" s="1"/>
  <c r="Q419" i="2"/>
  <c r="M418" i="2"/>
  <c r="R418" i="2" s="1"/>
  <c r="Q418" i="2"/>
  <c r="M417" i="2"/>
  <c r="R417" i="2" s="1"/>
  <c r="Q417" i="2"/>
  <c r="M416" i="2"/>
  <c r="R416" i="2" s="1"/>
  <c r="Q416" i="2"/>
  <c r="M415" i="2"/>
  <c r="R415" i="2" s="1"/>
  <c r="Q415" i="2"/>
  <c r="M414" i="2"/>
  <c r="R414" i="2" s="1"/>
  <c r="Q414" i="2"/>
  <c r="M413" i="2"/>
  <c r="R413" i="2" s="1"/>
  <c r="Q413" i="2"/>
  <c r="M412" i="2"/>
  <c r="R412" i="2" s="1"/>
  <c r="Q412" i="2"/>
  <c r="M411" i="2"/>
  <c r="R411" i="2" s="1"/>
  <c r="Q411" i="2"/>
  <c r="M410" i="2"/>
  <c r="R410" i="2" s="1"/>
  <c r="Q410" i="2"/>
  <c r="M409" i="2"/>
  <c r="R409" i="2" s="1"/>
  <c r="Q409" i="2"/>
  <c r="M408" i="2"/>
  <c r="R408" i="2" s="1"/>
  <c r="Q408" i="2"/>
  <c r="M407" i="2"/>
  <c r="R407" i="2" s="1"/>
  <c r="Q407" i="2"/>
  <c r="M406" i="2"/>
  <c r="R406" i="2" s="1"/>
  <c r="Q406" i="2"/>
  <c r="M405" i="2"/>
  <c r="R405" i="2" s="1"/>
  <c r="Q405" i="2"/>
  <c r="M404" i="2"/>
  <c r="R404" i="2" s="1"/>
  <c r="Q404" i="2"/>
  <c r="M403" i="2"/>
  <c r="R403" i="2" s="1"/>
  <c r="Q403" i="2"/>
  <c r="M402" i="2"/>
  <c r="R402" i="2" s="1"/>
  <c r="Q402" i="2"/>
  <c r="M401" i="2"/>
  <c r="R401" i="2" s="1"/>
  <c r="Q401" i="2"/>
  <c r="M400" i="2"/>
  <c r="R400" i="2" s="1"/>
  <c r="Q400" i="2"/>
  <c r="M399" i="2"/>
  <c r="R399" i="2" s="1"/>
  <c r="Q399" i="2"/>
  <c r="M398" i="2"/>
  <c r="R398" i="2" s="1"/>
  <c r="Q398" i="2"/>
  <c r="M397" i="2"/>
  <c r="R397" i="2" s="1"/>
  <c r="Q397" i="2"/>
  <c r="M396" i="2"/>
  <c r="R396" i="2" s="1"/>
  <c r="Q396" i="2"/>
  <c r="M395" i="2"/>
  <c r="R395" i="2" s="1"/>
  <c r="Q395" i="2"/>
  <c r="M394" i="2"/>
  <c r="R394" i="2" s="1"/>
  <c r="Q394" i="2"/>
  <c r="M393" i="2"/>
  <c r="R393" i="2" s="1"/>
  <c r="Q393" i="2"/>
  <c r="M392" i="2"/>
  <c r="R392" i="2" s="1"/>
  <c r="Q392" i="2"/>
  <c r="M391" i="2"/>
  <c r="R391" i="2" s="1"/>
  <c r="Q391" i="2"/>
  <c r="M390" i="2"/>
  <c r="R390" i="2" s="1"/>
  <c r="Q390" i="2"/>
  <c r="M389" i="2"/>
  <c r="R389" i="2" s="1"/>
  <c r="Q389" i="2"/>
  <c r="M388" i="2"/>
  <c r="R388" i="2" s="1"/>
  <c r="Q388" i="2"/>
  <c r="M387" i="2"/>
  <c r="R387" i="2" s="1"/>
  <c r="Q387" i="2"/>
  <c r="M386" i="2"/>
  <c r="R386" i="2" s="1"/>
  <c r="Q386" i="2"/>
  <c r="M385" i="2"/>
  <c r="R385" i="2" s="1"/>
  <c r="Q385" i="2"/>
  <c r="M384" i="2"/>
  <c r="R384" i="2" s="1"/>
  <c r="Q384" i="2"/>
  <c r="M383" i="2"/>
  <c r="R383" i="2" s="1"/>
  <c r="Q383" i="2"/>
  <c r="M382" i="2"/>
  <c r="R382" i="2" s="1"/>
  <c r="Q382" i="2"/>
  <c r="M381" i="2"/>
  <c r="Q381" i="2"/>
  <c r="R381" i="2"/>
  <c r="M380" i="2"/>
  <c r="R380" i="2" s="1"/>
  <c r="Q380" i="2"/>
  <c r="M379" i="2"/>
  <c r="R379" i="2" s="1"/>
  <c r="Q379" i="2"/>
  <c r="M378" i="2"/>
  <c r="R378" i="2" s="1"/>
  <c r="Q378" i="2"/>
  <c r="M377" i="2"/>
  <c r="R377" i="2" s="1"/>
  <c r="Q377" i="2"/>
  <c r="M376" i="2"/>
  <c r="R376" i="2" s="1"/>
  <c r="Q376" i="2"/>
  <c r="M375" i="2"/>
  <c r="R375" i="2" s="1"/>
  <c r="Q375" i="2"/>
  <c r="M374" i="2"/>
  <c r="R374" i="2" s="1"/>
  <c r="Q374" i="2"/>
  <c r="M373" i="2"/>
  <c r="R373" i="2" s="1"/>
  <c r="Q373" i="2"/>
  <c r="M372" i="2"/>
  <c r="R372" i="2" s="1"/>
  <c r="Q372" i="2"/>
  <c r="M371" i="2"/>
  <c r="R371" i="2" s="1"/>
  <c r="Q371" i="2"/>
  <c r="M370" i="2"/>
  <c r="R370" i="2" s="1"/>
  <c r="Q370" i="2"/>
  <c r="M369" i="2"/>
  <c r="R369" i="2" s="1"/>
  <c r="Q369" i="2"/>
  <c r="M368" i="2"/>
  <c r="R368" i="2" s="1"/>
  <c r="Q368" i="2"/>
  <c r="M367" i="2"/>
  <c r="R367" i="2" s="1"/>
  <c r="Q367" i="2"/>
  <c r="M366" i="2"/>
  <c r="R366" i="2" s="1"/>
  <c r="Q366" i="2"/>
  <c r="M365" i="2"/>
  <c r="R365" i="2" s="1"/>
  <c r="Q365" i="2"/>
  <c r="M364" i="2"/>
  <c r="R364" i="2" s="1"/>
  <c r="Q364" i="2"/>
  <c r="M363" i="2"/>
  <c r="R363" i="2" s="1"/>
  <c r="Q363" i="2"/>
  <c r="M362" i="2"/>
  <c r="R362" i="2" s="1"/>
  <c r="Q362" i="2"/>
  <c r="M361" i="2"/>
  <c r="R361" i="2" s="1"/>
  <c r="Q361" i="2"/>
  <c r="M360" i="2"/>
  <c r="R360" i="2" s="1"/>
  <c r="Q360" i="2"/>
  <c r="M359" i="2"/>
  <c r="R359" i="2" s="1"/>
  <c r="Q359" i="2"/>
  <c r="M358" i="2"/>
  <c r="R358" i="2" s="1"/>
  <c r="Q358" i="2"/>
  <c r="M357" i="2"/>
  <c r="R357" i="2" s="1"/>
  <c r="Q357" i="2"/>
  <c r="M356" i="2"/>
  <c r="R356" i="2" s="1"/>
  <c r="Q356" i="2"/>
  <c r="M355" i="2"/>
  <c r="R355" i="2" s="1"/>
  <c r="Q355" i="2"/>
  <c r="M354" i="2"/>
  <c r="R354" i="2" s="1"/>
  <c r="Q354" i="2"/>
  <c r="M353" i="2"/>
  <c r="R353" i="2" s="1"/>
  <c r="Q353" i="2"/>
  <c r="M352" i="2"/>
  <c r="R352" i="2" s="1"/>
  <c r="Q352" i="2"/>
  <c r="M351" i="2"/>
  <c r="R351" i="2" s="1"/>
  <c r="Q351" i="2"/>
  <c r="M350" i="2"/>
  <c r="R350" i="2" s="1"/>
  <c r="Q350" i="2"/>
  <c r="M349" i="2"/>
  <c r="R349" i="2" s="1"/>
  <c r="Q349" i="2"/>
  <c r="M348" i="2"/>
  <c r="R348" i="2" s="1"/>
  <c r="Q348" i="2"/>
  <c r="M347" i="2"/>
  <c r="R347" i="2" s="1"/>
  <c r="Q347" i="2"/>
  <c r="M346" i="2"/>
  <c r="R346" i="2" s="1"/>
  <c r="Q346" i="2"/>
  <c r="M345" i="2"/>
  <c r="R345" i="2" s="1"/>
  <c r="Q345" i="2"/>
  <c r="M344" i="2"/>
  <c r="R344" i="2" s="1"/>
  <c r="Q344" i="2"/>
  <c r="M343" i="2"/>
  <c r="R343" i="2" s="1"/>
  <c r="Q343" i="2"/>
  <c r="M342" i="2"/>
  <c r="Q342" i="2"/>
  <c r="R342" i="2"/>
  <c r="M341" i="2"/>
  <c r="R341" i="2" s="1"/>
  <c r="Q341" i="2"/>
  <c r="M340" i="2"/>
  <c r="R340" i="2" s="1"/>
  <c r="Q340" i="2"/>
  <c r="M339" i="2"/>
  <c r="R339" i="2" s="1"/>
  <c r="Q339" i="2"/>
  <c r="M338" i="2"/>
  <c r="R338" i="2" s="1"/>
  <c r="Q338" i="2"/>
  <c r="M337" i="2"/>
  <c r="R337" i="2" s="1"/>
  <c r="Q337" i="2"/>
  <c r="M336" i="2"/>
  <c r="R336" i="2" s="1"/>
  <c r="Q336" i="2"/>
  <c r="M335" i="2"/>
  <c r="R335" i="2" s="1"/>
  <c r="Q335" i="2"/>
  <c r="M334" i="2"/>
  <c r="R334" i="2" s="1"/>
  <c r="Q334" i="2"/>
  <c r="M333" i="2"/>
  <c r="R333" i="2" s="1"/>
  <c r="Q333" i="2"/>
  <c r="M332" i="2"/>
  <c r="R332" i="2" s="1"/>
  <c r="Q332" i="2"/>
  <c r="M331" i="2"/>
  <c r="R331" i="2" s="1"/>
  <c r="Q331" i="2"/>
  <c r="M330" i="2"/>
  <c r="R330" i="2" s="1"/>
  <c r="Q330" i="2"/>
  <c r="M329" i="2"/>
  <c r="R329" i="2" s="1"/>
  <c r="Q329" i="2"/>
  <c r="M328" i="2"/>
  <c r="R328" i="2" s="1"/>
  <c r="Q328" i="2"/>
  <c r="M327" i="2"/>
  <c r="R327" i="2" s="1"/>
  <c r="Q327" i="2"/>
  <c r="M326" i="2"/>
  <c r="R326" i="2" s="1"/>
  <c r="Q326" i="2"/>
  <c r="M325" i="2"/>
  <c r="R325" i="2" s="1"/>
  <c r="Q325" i="2"/>
  <c r="M324" i="2"/>
  <c r="R324" i="2" s="1"/>
  <c r="Q324" i="2"/>
  <c r="M323" i="2"/>
  <c r="R323" i="2" s="1"/>
  <c r="Q323" i="2"/>
  <c r="M322" i="2"/>
  <c r="R322" i="2" s="1"/>
  <c r="Q322" i="2"/>
  <c r="M321" i="2"/>
  <c r="R321" i="2" s="1"/>
  <c r="Q321" i="2"/>
  <c r="M320" i="2"/>
  <c r="R320" i="2" s="1"/>
  <c r="Q320" i="2"/>
  <c r="F2" i="15" l="1"/>
  <c r="F3" i="15"/>
  <c r="Q1586" i="6" l="1"/>
  <c r="M1586" i="6"/>
  <c r="R1586" i="6" s="1"/>
  <c r="M1585" i="6"/>
  <c r="R1585" i="6" s="1"/>
  <c r="Q1585" i="6"/>
  <c r="M1582" i="6" l="1"/>
  <c r="R1582" i="6" s="1"/>
  <c r="Q1582" i="6"/>
  <c r="M1581" i="6"/>
  <c r="R1581" i="6" s="1"/>
  <c r="Q1581" i="6"/>
  <c r="M319" i="2"/>
  <c r="R319" i="2" s="1"/>
  <c r="Q319" i="2"/>
  <c r="M318" i="2"/>
  <c r="R318" i="2" s="1"/>
  <c r="Q318" i="2"/>
  <c r="M5" i="1" l="1"/>
  <c r="M6" i="1"/>
  <c r="Q6" i="1" l="1"/>
  <c r="R6" i="1"/>
  <c r="Q5" i="1"/>
  <c r="R5" i="1"/>
  <c r="M192" i="4"/>
  <c r="R192" i="4" s="1"/>
  <c r="M193" i="4"/>
  <c r="R193" i="4" s="1"/>
  <c r="M194" i="4"/>
  <c r="R194" i="4" s="1"/>
  <c r="M195" i="4"/>
  <c r="R195" i="4" s="1"/>
  <c r="M196" i="4"/>
  <c r="R196" i="4" s="1"/>
  <c r="M197" i="4"/>
  <c r="R197" i="4" s="1"/>
  <c r="M4" i="1"/>
  <c r="R4" i="1" s="1"/>
  <c r="Q4" i="1"/>
  <c r="Q197" i="4"/>
  <c r="Q196" i="4"/>
  <c r="Q195" i="4"/>
  <c r="Q194" i="4"/>
  <c r="Q193" i="4"/>
  <c r="Q192" i="4"/>
  <c r="M741" i="3" l="1"/>
  <c r="R741" i="3" s="1"/>
  <c r="Q741" i="3"/>
  <c r="M740" i="3"/>
  <c r="R740" i="3" s="1"/>
  <c r="Q740" i="3"/>
  <c r="M739" i="3"/>
  <c r="R739" i="3" s="1"/>
  <c r="Q739" i="3"/>
  <c r="M738" i="3"/>
  <c r="R738" i="3" s="1"/>
  <c r="Q738" i="3"/>
  <c r="M737" i="3"/>
  <c r="R737" i="3" s="1"/>
  <c r="Q737" i="3"/>
  <c r="M736" i="3"/>
  <c r="R736" i="3" s="1"/>
  <c r="Q736" i="3"/>
  <c r="M735" i="3"/>
  <c r="R735" i="3" s="1"/>
  <c r="Q735" i="3"/>
  <c r="M734" i="3"/>
  <c r="R734" i="3" s="1"/>
  <c r="Q734" i="3"/>
  <c r="M733" i="3"/>
  <c r="R733" i="3" s="1"/>
  <c r="Q733" i="3"/>
  <c r="M732" i="3"/>
  <c r="R732" i="3" s="1"/>
  <c r="Q732" i="3"/>
  <c r="M731" i="3"/>
  <c r="R731" i="3" s="1"/>
  <c r="Q731" i="3"/>
  <c r="M730" i="3"/>
  <c r="R730" i="3" s="1"/>
  <c r="Q730" i="3"/>
  <c r="M729" i="3"/>
  <c r="R729" i="3" s="1"/>
  <c r="Q729" i="3"/>
  <c r="M728" i="3"/>
  <c r="R728" i="3" s="1"/>
  <c r="Q728" i="3"/>
  <c r="M727" i="3"/>
  <c r="R727" i="3" s="1"/>
  <c r="Q727" i="3"/>
  <c r="M726" i="3"/>
  <c r="R726" i="3" s="1"/>
  <c r="Q726" i="3"/>
  <c r="M725" i="3"/>
  <c r="R725" i="3" s="1"/>
  <c r="Q725" i="3"/>
  <c r="M724" i="3"/>
  <c r="R724" i="3" s="1"/>
  <c r="Q724" i="3"/>
  <c r="M723" i="3"/>
  <c r="R723" i="3" s="1"/>
  <c r="Q723" i="3"/>
  <c r="M722" i="3"/>
  <c r="R722" i="3" s="1"/>
  <c r="Q722" i="3"/>
  <c r="M721" i="3"/>
  <c r="R721" i="3" s="1"/>
  <c r="Q721" i="3"/>
  <c r="M528" i="3"/>
  <c r="R528" i="3" s="1"/>
  <c r="Q528" i="3"/>
  <c r="M527" i="3"/>
  <c r="R527" i="3" s="1"/>
  <c r="Q527" i="3"/>
  <c r="M526" i="3"/>
  <c r="R526" i="3" s="1"/>
  <c r="Q526" i="3"/>
  <c r="M525" i="3"/>
  <c r="R525" i="3" s="1"/>
  <c r="Q525" i="3"/>
  <c r="M524" i="3"/>
  <c r="R524" i="3" s="1"/>
  <c r="Q524" i="3"/>
  <c r="M523" i="3"/>
  <c r="R523" i="3" s="1"/>
  <c r="Q523" i="3"/>
  <c r="M522" i="3"/>
  <c r="R522" i="3" s="1"/>
  <c r="Q522" i="3"/>
  <c r="M521" i="3"/>
  <c r="R521" i="3" s="1"/>
  <c r="Q521" i="3"/>
  <c r="M520" i="3"/>
  <c r="R520" i="3" s="1"/>
  <c r="Q520" i="3"/>
  <c r="M519" i="3"/>
  <c r="R519" i="3" s="1"/>
  <c r="Q519" i="3"/>
  <c r="M518" i="3"/>
  <c r="R518" i="3" s="1"/>
  <c r="Q518" i="3"/>
  <c r="M517" i="3"/>
  <c r="R517" i="3" s="1"/>
  <c r="Q517" i="3"/>
  <c r="M516" i="3"/>
  <c r="R516" i="3" s="1"/>
  <c r="Q516" i="3"/>
  <c r="M515" i="3"/>
  <c r="R515" i="3" s="1"/>
  <c r="Q515" i="3"/>
  <c r="M514" i="3"/>
  <c r="R514" i="3" s="1"/>
  <c r="Q514" i="3"/>
  <c r="M513" i="3"/>
  <c r="R513" i="3" s="1"/>
  <c r="Q513" i="3"/>
  <c r="M512" i="3"/>
  <c r="R512" i="3" s="1"/>
  <c r="Q512" i="3"/>
  <c r="M511" i="3"/>
  <c r="R511" i="3" s="1"/>
  <c r="Q511" i="3"/>
  <c r="M510" i="3"/>
  <c r="R510" i="3" s="1"/>
  <c r="Q510" i="3"/>
  <c r="M509" i="3"/>
  <c r="R509" i="3" s="1"/>
  <c r="Q509" i="3"/>
  <c r="M508" i="3"/>
  <c r="R508" i="3" s="1"/>
  <c r="Q508" i="3"/>
  <c r="M921" i="3"/>
  <c r="R921" i="3" s="1"/>
  <c r="Q921" i="3"/>
  <c r="M920" i="3"/>
  <c r="R920" i="3" s="1"/>
  <c r="Q920" i="3"/>
  <c r="M919" i="3"/>
  <c r="R919" i="3" s="1"/>
  <c r="Q919" i="3"/>
  <c r="M918" i="3"/>
  <c r="R918" i="3" s="1"/>
  <c r="Q918" i="3"/>
  <c r="M917" i="3"/>
  <c r="R917" i="3" s="1"/>
  <c r="Q917" i="3"/>
  <c r="M916" i="3"/>
  <c r="R916" i="3" s="1"/>
  <c r="Q916" i="3"/>
  <c r="M915" i="3"/>
  <c r="R915" i="3" s="1"/>
  <c r="Q915" i="3"/>
  <c r="M914" i="3"/>
  <c r="R914" i="3" s="1"/>
  <c r="Q914" i="3"/>
  <c r="M913" i="3"/>
  <c r="R913" i="3" s="1"/>
  <c r="Q913" i="3"/>
  <c r="M912" i="3"/>
  <c r="R912" i="3" s="1"/>
  <c r="Q912" i="3"/>
  <c r="M911" i="3"/>
  <c r="R911" i="3" s="1"/>
  <c r="Q911" i="3"/>
  <c r="M910" i="3"/>
  <c r="R910" i="3" s="1"/>
  <c r="Q910" i="3"/>
  <c r="M909" i="3"/>
  <c r="R909" i="3" s="1"/>
  <c r="Q909" i="3"/>
  <c r="M908" i="3"/>
  <c r="R908" i="3" s="1"/>
  <c r="Q908" i="3"/>
  <c r="M907" i="3"/>
  <c r="R907" i="3" s="1"/>
  <c r="Q907" i="3"/>
  <c r="M906" i="3"/>
  <c r="R906" i="3" s="1"/>
  <c r="Q906" i="3"/>
  <c r="M905" i="3"/>
  <c r="R905" i="3" s="1"/>
  <c r="Q905" i="3"/>
  <c r="M904" i="3"/>
  <c r="R904" i="3" s="1"/>
  <c r="Q904" i="3"/>
  <c r="M903" i="3"/>
  <c r="R903" i="3" s="1"/>
  <c r="Q903" i="3"/>
  <c r="M902" i="3"/>
  <c r="R902" i="3" s="1"/>
  <c r="Q902" i="3"/>
  <c r="M901" i="3"/>
  <c r="R901" i="3" s="1"/>
  <c r="Q901" i="3"/>
  <c r="M925" i="3"/>
  <c r="R925" i="3" s="1"/>
  <c r="Q925" i="3"/>
  <c r="M900" i="3"/>
  <c r="R900" i="3" s="1"/>
  <c r="Q900" i="3"/>
  <c r="M899" i="3"/>
  <c r="R899" i="3" s="1"/>
  <c r="Q899" i="3"/>
  <c r="M898" i="3"/>
  <c r="R898" i="3" s="1"/>
  <c r="Q898" i="3"/>
  <c r="M897" i="3"/>
  <c r="R897" i="3" s="1"/>
  <c r="Q897" i="3"/>
  <c r="M896" i="3"/>
  <c r="R896" i="3" s="1"/>
  <c r="Q896" i="3"/>
  <c r="M895" i="3"/>
  <c r="R895" i="3" s="1"/>
  <c r="Q895" i="3"/>
  <c r="M894" i="3"/>
  <c r="R894" i="3" s="1"/>
  <c r="Q894" i="3"/>
  <c r="M893" i="3"/>
  <c r="R893" i="3" s="1"/>
  <c r="Q893" i="3"/>
  <c r="M892" i="3"/>
  <c r="R892" i="3" s="1"/>
  <c r="Q892" i="3"/>
  <c r="M891" i="3"/>
  <c r="R891" i="3" s="1"/>
  <c r="Q891" i="3"/>
  <c r="M890" i="3"/>
  <c r="R890" i="3" s="1"/>
  <c r="Q890" i="3"/>
  <c r="M889" i="3"/>
  <c r="R889" i="3" s="1"/>
  <c r="Q889" i="3"/>
  <c r="M888" i="3"/>
  <c r="R888" i="3" s="1"/>
  <c r="Q888" i="3"/>
  <c r="M924" i="3"/>
  <c r="R924" i="3" s="1"/>
  <c r="Q924" i="3"/>
  <c r="M887" i="3"/>
  <c r="R887" i="3" s="1"/>
  <c r="Q887" i="3"/>
  <c r="M886" i="3"/>
  <c r="R886" i="3" s="1"/>
  <c r="Q886" i="3"/>
  <c r="M885" i="3"/>
  <c r="R885" i="3" s="1"/>
  <c r="Q885" i="3"/>
  <c r="M884" i="3"/>
  <c r="R884" i="3" s="1"/>
  <c r="Q884" i="3"/>
  <c r="M883" i="3"/>
  <c r="R883" i="3" s="1"/>
  <c r="Q883" i="3"/>
  <c r="M882" i="3"/>
  <c r="R882" i="3" s="1"/>
  <c r="Q882" i="3"/>
  <c r="M881" i="3"/>
  <c r="R881" i="3" s="1"/>
  <c r="Q881" i="3"/>
  <c r="M880" i="3"/>
  <c r="R880" i="3" s="1"/>
  <c r="Q880" i="3"/>
  <c r="M879" i="3"/>
  <c r="R879" i="3" s="1"/>
  <c r="Q879" i="3"/>
  <c r="M878" i="3"/>
  <c r="R878" i="3" s="1"/>
  <c r="Q878" i="3"/>
  <c r="M877" i="3"/>
  <c r="R877" i="3" s="1"/>
  <c r="Q877" i="3"/>
  <c r="M876" i="3"/>
  <c r="R876" i="3" s="1"/>
  <c r="Q876" i="3"/>
  <c r="M875" i="3"/>
  <c r="R875" i="3" s="1"/>
  <c r="Q875" i="3"/>
  <c r="M874" i="3"/>
  <c r="R874" i="3" s="1"/>
  <c r="Q874" i="3"/>
  <c r="M873" i="3"/>
  <c r="R873" i="3" s="1"/>
  <c r="Q873" i="3"/>
  <c r="M872" i="3"/>
  <c r="R872" i="3" s="1"/>
  <c r="Q872" i="3"/>
  <c r="M871" i="3"/>
  <c r="R871" i="3" s="1"/>
  <c r="Q871" i="3"/>
  <c r="M870" i="3"/>
  <c r="R870" i="3" s="1"/>
  <c r="Q870" i="3"/>
  <c r="M869" i="3"/>
  <c r="R869" i="3" s="1"/>
  <c r="Q869" i="3"/>
  <c r="M868" i="3"/>
  <c r="R868" i="3" s="1"/>
  <c r="Q868" i="3"/>
  <c r="M867" i="3"/>
  <c r="R867" i="3" s="1"/>
  <c r="Q867" i="3"/>
  <c r="M866" i="3"/>
  <c r="R866" i="3" s="1"/>
  <c r="Q866" i="3"/>
  <c r="M865" i="3"/>
  <c r="R865" i="3" s="1"/>
  <c r="Q865" i="3"/>
  <c r="M864" i="3"/>
  <c r="R864" i="3" s="1"/>
  <c r="Q864" i="3"/>
  <c r="M863" i="3"/>
  <c r="R863" i="3" s="1"/>
  <c r="Q863" i="3"/>
  <c r="M862" i="3"/>
  <c r="R862" i="3" s="1"/>
  <c r="Q862" i="3"/>
  <c r="M861" i="3"/>
  <c r="R861" i="3" s="1"/>
  <c r="Q861" i="3"/>
  <c r="M860" i="3"/>
  <c r="R860" i="3" s="1"/>
  <c r="Q860" i="3"/>
  <c r="M859" i="3"/>
  <c r="R859" i="3" s="1"/>
  <c r="Q859" i="3"/>
  <c r="M858" i="3"/>
  <c r="R858" i="3" s="1"/>
  <c r="Q858" i="3"/>
  <c r="M857" i="3"/>
  <c r="R857" i="3" s="1"/>
  <c r="Q857" i="3"/>
  <c r="M856" i="3"/>
  <c r="R856" i="3" s="1"/>
  <c r="Q856" i="3"/>
  <c r="M855" i="3"/>
  <c r="R855" i="3" s="1"/>
  <c r="Q855" i="3"/>
  <c r="M854" i="3"/>
  <c r="R854" i="3" s="1"/>
  <c r="Q854" i="3"/>
  <c r="M853" i="3"/>
  <c r="R853" i="3" s="1"/>
  <c r="Q853" i="3"/>
  <c r="M852" i="3"/>
  <c r="R852" i="3" s="1"/>
  <c r="Q852" i="3"/>
  <c r="M851" i="3"/>
  <c r="R851" i="3" s="1"/>
  <c r="Q851" i="3"/>
  <c r="M850" i="3"/>
  <c r="R850" i="3" s="1"/>
  <c r="Q850" i="3"/>
  <c r="M849" i="3"/>
  <c r="R849" i="3" s="1"/>
  <c r="Q849" i="3"/>
  <c r="M848" i="3"/>
  <c r="R848" i="3" s="1"/>
  <c r="Q848" i="3"/>
  <c r="M847" i="3"/>
  <c r="R847" i="3" s="1"/>
  <c r="Q847" i="3"/>
  <c r="M846" i="3"/>
  <c r="R846" i="3" s="1"/>
  <c r="Q846" i="3"/>
  <c r="M845" i="3"/>
  <c r="R845" i="3" s="1"/>
  <c r="Q845" i="3"/>
  <c r="M844" i="3"/>
  <c r="R844" i="3" s="1"/>
  <c r="Q844" i="3"/>
  <c r="M843" i="3"/>
  <c r="R843" i="3" s="1"/>
  <c r="Q843" i="3"/>
  <c r="M842" i="3"/>
  <c r="R842" i="3" s="1"/>
  <c r="Q842" i="3"/>
  <c r="M841" i="3"/>
  <c r="R841" i="3" s="1"/>
  <c r="Q841" i="3"/>
  <c r="M840" i="3"/>
  <c r="R840" i="3" s="1"/>
  <c r="Q840" i="3"/>
  <c r="M839" i="3"/>
  <c r="R839" i="3" s="1"/>
  <c r="Q839" i="3"/>
  <c r="M838" i="3"/>
  <c r="R838" i="3" s="1"/>
  <c r="Q838" i="3"/>
  <c r="M837" i="3"/>
  <c r="R837" i="3" s="1"/>
  <c r="Q837" i="3"/>
  <c r="M836" i="3"/>
  <c r="R836" i="3" s="1"/>
  <c r="Q836" i="3"/>
  <c r="M835" i="3"/>
  <c r="R835" i="3" s="1"/>
  <c r="Q835" i="3"/>
  <c r="M834" i="3"/>
  <c r="R834" i="3" s="1"/>
  <c r="Q834" i="3"/>
  <c r="M833" i="3"/>
  <c r="R833" i="3" s="1"/>
  <c r="Q833" i="3"/>
  <c r="M832" i="3"/>
  <c r="R832" i="3" s="1"/>
  <c r="Q832" i="3"/>
  <c r="M831" i="3"/>
  <c r="R831" i="3" s="1"/>
  <c r="Q831" i="3"/>
  <c r="M830" i="3"/>
  <c r="R830" i="3" s="1"/>
  <c r="Q830" i="3"/>
  <c r="M829" i="3"/>
  <c r="R829" i="3" s="1"/>
  <c r="Q829" i="3"/>
  <c r="M828" i="3"/>
  <c r="R828" i="3" s="1"/>
  <c r="Q828" i="3"/>
  <c r="M827" i="3"/>
  <c r="R827" i="3" s="1"/>
  <c r="Q827" i="3"/>
  <c r="M826" i="3"/>
  <c r="R826" i="3" s="1"/>
  <c r="Q826" i="3"/>
  <c r="M825" i="3"/>
  <c r="R825" i="3" s="1"/>
  <c r="Q825" i="3"/>
  <c r="M923" i="3"/>
  <c r="R923" i="3" s="1"/>
  <c r="Q923" i="3"/>
  <c r="M824" i="3"/>
  <c r="R824" i="3" s="1"/>
  <c r="Q824" i="3"/>
  <c r="M823" i="3"/>
  <c r="R823" i="3" s="1"/>
  <c r="Q823" i="3"/>
  <c r="M822" i="3"/>
  <c r="R822" i="3" s="1"/>
  <c r="Q822" i="3"/>
  <c r="M821" i="3"/>
  <c r="R821" i="3" s="1"/>
  <c r="Q821" i="3"/>
  <c r="M820" i="3"/>
  <c r="R820" i="3" s="1"/>
  <c r="Q820" i="3"/>
  <c r="M819" i="3"/>
  <c r="R819" i="3" s="1"/>
  <c r="Q819" i="3"/>
  <c r="M818" i="3"/>
  <c r="R818" i="3" s="1"/>
  <c r="Q818" i="3"/>
  <c r="M817" i="3"/>
  <c r="R817" i="3" s="1"/>
  <c r="Q817" i="3"/>
  <c r="M816" i="3"/>
  <c r="R816" i="3" s="1"/>
  <c r="Q816" i="3"/>
  <c r="M815" i="3"/>
  <c r="R815" i="3" s="1"/>
  <c r="Q815" i="3"/>
  <c r="M814" i="3"/>
  <c r="R814" i="3" s="1"/>
  <c r="Q814" i="3"/>
  <c r="M813" i="3"/>
  <c r="R813" i="3" s="1"/>
  <c r="Q813" i="3"/>
  <c r="M812" i="3"/>
  <c r="R812" i="3" s="1"/>
  <c r="Q812" i="3"/>
  <c r="M811" i="3"/>
  <c r="R811" i="3" s="1"/>
  <c r="Q811" i="3"/>
  <c r="M810" i="3"/>
  <c r="R810" i="3" s="1"/>
  <c r="Q810" i="3"/>
  <c r="M809" i="3"/>
  <c r="R809" i="3" s="1"/>
  <c r="Q809" i="3"/>
  <c r="M808" i="3"/>
  <c r="R808" i="3" s="1"/>
  <c r="Q808" i="3"/>
  <c r="M807" i="3"/>
  <c r="R807" i="3" s="1"/>
  <c r="Q807" i="3"/>
  <c r="M806" i="3"/>
  <c r="R806" i="3" s="1"/>
  <c r="Q806" i="3"/>
  <c r="M805" i="3"/>
  <c r="R805" i="3" s="1"/>
  <c r="Q805" i="3"/>
  <c r="M804" i="3"/>
  <c r="R804" i="3" s="1"/>
  <c r="Q804" i="3"/>
  <c r="M803" i="3"/>
  <c r="R803" i="3" s="1"/>
  <c r="Q803" i="3"/>
  <c r="M802" i="3"/>
  <c r="R802" i="3" s="1"/>
  <c r="Q802" i="3"/>
  <c r="M801" i="3"/>
  <c r="R801" i="3" s="1"/>
  <c r="Q801" i="3"/>
  <c r="M800" i="3"/>
  <c r="R800" i="3" s="1"/>
  <c r="Q800" i="3"/>
  <c r="M799" i="3"/>
  <c r="R799" i="3" s="1"/>
  <c r="Q799" i="3"/>
  <c r="M798" i="3"/>
  <c r="R798" i="3" s="1"/>
  <c r="Q798" i="3"/>
  <c r="M797" i="3"/>
  <c r="R797" i="3" s="1"/>
  <c r="Q797" i="3"/>
  <c r="M796" i="3"/>
  <c r="R796" i="3" s="1"/>
  <c r="Q796" i="3"/>
  <c r="M795" i="3"/>
  <c r="R795" i="3" s="1"/>
  <c r="Q795" i="3"/>
  <c r="M794" i="3"/>
  <c r="R794" i="3" s="1"/>
  <c r="Q794" i="3"/>
  <c r="M793" i="3"/>
  <c r="R793" i="3" s="1"/>
  <c r="Q793" i="3"/>
  <c r="M792" i="3"/>
  <c r="R792" i="3" s="1"/>
  <c r="Q792" i="3"/>
  <c r="M791" i="3"/>
  <c r="R791" i="3" s="1"/>
  <c r="Q791" i="3"/>
  <c r="M790" i="3"/>
  <c r="R790" i="3" s="1"/>
  <c r="Q790" i="3"/>
  <c r="M789" i="3"/>
  <c r="R789" i="3" s="1"/>
  <c r="Q789" i="3"/>
  <c r="M788" i="3"/>
  <c r="R788" i="3" s="1"/>
  <c r="Q788" i="3"/>
  <c r="M787" i="3"/>
  <c r="R787" i="3" s="1"/>
  <c r="Q787" i="3"/>
  <c r="M786" i="3"/>
  <c r="R786" i="3" s="1"/>
  <c r="Q786" i="3"/>
  <c r="M785" i="3"/>
  <c r="R785" i="3" s="1"/>
  <c r="Q785" i="3"/>
  <c r="M784" i="3"/>
  <c r="R784" i="3" s="1"/>
  <c r="Q784" i="3"/>
  <c r="M783" i="3"/>
  <c r="R783" i="3" s="1"/>
  <c r="Q783" i="3"/>
  <c r="M782" i="3"/>
  <c r="R782" i="3" s="1"/>
  <c r="Q782" i="3"/>
  <c r="M781" i="3"/>
  <c r="R781" i="3" s="1"/>
  <c r="Q781" i="3"/>
  <c r="M780" i="3"/>
  <c r="R780" i="3" s="1"/>
  <c r="Q780" i="3"/>
  <c r="M779" i="3"/>
  <c r="R779" i="3" s="1"/>
  <c r="Q779" i="3"/>
  <c r="M778" i="3"/>
  <c r="R778" i="3" s="1"/>
  <c r="Q778" i="3"/>
  <c r="M777" i="3"/>
  <c r="R777" i="3" s="1"/>
  <c r="Q777" i="3"/>
  <c r="M776" i="3"/>
  <c r="R776" i="3" s="1"/>
  <c r="Q776" i="3"/>
  <c r="M775" i="3"/>
  <c r="R775" i="3" s="1"/>
  <c r="Q775" i="3"/>
  <c r="M774" i="3"/>
  <c r="R774" i="3" s="1"/>
  <c r="Q774" i="3"/>
  <c r="M773" i="3"/>
  <c r="R773" i="3" s="1"/>
  <c r="Q773" i="3"/>
  <c r="M772" i="3"/>
  <c r="R772" i="3" s="1"/>
  <c r="Q772" i="3"/>
  <c r="M771" i="3"/>
  <c r="R771" i="3" s="1"/>
  <c r="Q771" i="3"/>
  <c r="M770" i="3"/>
  <c r="R770" i="3" s="1"/>
  <c r="Q770" i="3"/>
  <c r="M769" i="3"/>
  <c r="R769" i="3" s="1"/>
  <c r="Q769" i="3"/>
  <c r="M922" i="3"/>
  <c r="R922" i="3" s="1"/>
  <c r="Q922" i="3"/>
  <c r="M768" i="3"/>
  <c r="R768" i="3" s="1"/>
  <c r="Q768" i="3"/>
  <c r="M767" i="3"/>
  <c r="R767" i="3" s="1"/>
  <c r="Q767" i="3"/>
  <c r="M766" i="3"/>
  <c r="R766" i="3" s="1"/>
  <c r="Q766" i="3"/>
  <c r="M765" i="3"/>
  <c r="R765" i="3" s="1"/>
  <c r="Q765" i="3"/>
  <c r="M764" i="3"/>
  <c r="R764" i="3" s="1"/>
  <c r="Q764" i="3"/>
  <c r="M763" i="3"/>
  <c r="R763" i="3" s="1"/>
  <c r="Q763" i="3"/>
  <c r="M762" i="3"/>
  <c r="R762" i="3" s="1"/>
  <c r="Q762" i="3"/>
  <c r="M761" i="3"/>
  <c r="R761" i="3" s="1"/>
  <c r="Q761" i="3"/>
  <c r="M760" i="3"/>
  <c r="R760" i="3" s="1"/>
  <c r="Q760" i="3"/>
  <c r="M759" i="3"/>
  <c r="R759" i="3" s="1"/>
  <c r="Q759" i="3"/>
  <c r="M758" i="3"/>
  <c r="R758" i="3" s="1"/>
  <c r="Q758" i="3"/>
  <c r="M757" i="3"/>
  <c r="R757" i="3" s="1"/>
  <c r="Q757" i="3"/>
  <c r="M756" i="3"/>
  <c r="R756" i="3" s="1"/>
  <c r="Q756" i="3"/>
  <c r="M755" i="3"/>
  <c r="R755" i="3" s="1"/>
  <c r="Q755" i="3"/>
  <c r="M754" i="3"/>
  <c r="R754" i="3" s="1"/>
  <c r="Q754" i="3"/>
  <c r="M753" i="3"/>
  <c r="R753" i="3" s="1"/>
  <c r="Q753" i="3"/>
  <c r="M752" i="3"/>
  <c r="R752" i="3" s="1"/>
  <c r="Q752" i="3"/>
  <c r="M751" i="3"/>
  <c r="R751" i="3" s="1"/>
  <c r="Q751" i="3"/>
  <c r="M750" i="3"/>
  <c r="R750" i="3" s="1"/>
  <c r="Q750" i="3"/>
  <c r="M749" i="3"/>
  <c r="R749" i="3" s="1"/>
  <c r="Q749" i="3"/>
  <c r="M748" i="3"/>
  <c r="R748" i="3" s="1"/>
  <c r="Q748" i="3"/>
  <c r="M747" i="3"/>
  <c r="R747" i="3" s="1"/>
  <c r="Q747" i="3"/>
  <c r="M746" i="3"/>
  <c r="R746" i="3" s="1"/>
  <c r="Q746" i="3"/>
  <c r="M745" i="3"/>
  <c r="R745" i="3" s="1"/>
  <c r="Q745" i="3"/>
  <c r="M744" i="3"/>
  <c r="R744" i="3" s="1"/>
  <c r="Q744" i="3"/>
  <c r="M743" i="3"/>
  <c r="R743" i="3" s="1"/>
  <c r="Q743" i="3"/>
  <c r="M742" i="3"/>
  <c r="R742" i="3" s="1"/>
  <c r="Q742" i="3"/>
  <c r="M317" i="2" l="1"/>
  <c r="R317" i="2" s="1"/>
  <c r="Q317" i="2"/>
  <c r="M316" i="2"/>
  <c r="R316" i="2" s="1"/>
  <c r="Q316" i="2"/>
  <c r="M315" i="2"/>
  <c r="R315" i="2" s="1"/>
  <c r="Q315" i="2"/>
  <c r="M314" i="2"/>
  <c r="R314" i="2" s="1"/>
  <c r="Q314" i="2"/>
  <c r="M313" i="2"/>
  <c r="R313" i="2" s="1"/>
  <c r="Q313" i="2"/>
  <c r="M312" i="2"/>
  <c r="R312" i="2" s="1"/>
  <c r="Q312" i="2"/>
  <c r="M311" i="2"/>
  <c r="R311" i="2" s="1"/>
  <c r="Q311" i="2"/>
  <c r="M310" i="2"/>
  <c r="R310" i="2" s="1"/>
  <c r="Q310" i="2"/>
  <c r="M309" i="2"/>
  <c r="R309" i="2" s="1"/>
  <c r="Q309" i="2"/>
  <c r="M308" i="2"/>
  <c r="R308" i="2" s="1"/>
  <c r="Q308" i="2"/>
  <c r="M307" i="2"/>
  <c r="R307" i="2" s="1"/>
  <c r="Q307" i="2"/>
  <c r="M306" i="2"/>
  <c r="R306" i="2" s="1"/>
  <c r="Q306" i="2"/>
  <c r="M305" i="2"/>
  <c r="R305" i="2" s="1"/>
  <c r="Q305" i="2"/>
  <c r="M304" i="2"/>
  <c r="R304" i="2" s="1"/>
  <c r="Q304" i="2"/>
  <c r="M303" i="2"/>
  <c r="R303" i="2" s="1"/>
  <c r="Q303" i="2"/>
  <c r="M302" i="2"/>
  <c r="R302" i="2" s="1"/>
  <c r="Q302" i="2"/>
  <c r="M301" i="2"/>
  <c r="R301" i="2" s="1"/>
  <c r="Q301" i="2"/>
  <c r="M300" i="2"/>
  <c r="R300" i="2" s="1"/>
  <c r="Q300" i="2"/>
  <c r="M299" i="2"/>
  <c r="R299" i="2" s="1"/>
  <c r="Q299" i="2"/>
  <c r="M298" i="2"/>
  <c r="R298" i="2" s="1"/>
  <c r="Q298" i="2"/>
  <c r="M297" i="2"/>
  <c r="R297" i="2" s="1"/>
  <c r="Q297" i="2"/>
  <c r="M296" i="2"/>
  <c r="R296" i="2" s="1"/>
  <c r="Q296" i="2"/>
  <c r="M295" i="2"/>
  <c r="R295" i="2" s="1"/>
  <c r="Q295" i="2"/>
  <c r="M294" i="2"/>
  <c r="R294" i="2" s="1"/>
  <c r="Q294" i="2"/>
  <c r="M293" i="2"/>
  <c r="R293" i="2" s="1"/>
  <c r="Q293" i="2"/>
  <c r="M292" i="2"/>
  <c r="R292" i="2" s="1"/>
  <c r="Q292" i="2"/>
  <c r="M291" i="2"/>
  <c r="R291" i="2" s="1"/>
  <c r="Q291" i="2"/>
  <c r="M290" i="2"/>
  <c r="R290" i="2" s="1"/>
  <c r="Q290" i="2"/>
  <c r="M289" i="2"/>
  <c r="R289" i="2" s="1"/>
  <c r="Q289" i="2"/>
  <c r="M288" i="2"/>
  <c r="R288" i="2" s="1"/>
  <c r="Q288" i="2"/>
  <c r="M287" i="2"/>
  <c r="R287" i="2" s="1"/>
  <c r="Q287" i="2"/>
  <c r="M286" i="2"/>
  <c r="R286" i="2" s="1"/>
  <c r="Q286" i="2"/>
  <c r="M285" i="2"/>
  <c r="R285" i="2" s="1"/>
  <c r="Q285" i="2"/>
  <c r="M284" i="2"/>
  <c r="R284" i="2" s="1"/>
  <c r="Q284" i="2"/>
  <c r="M283" i="2"/>
  <c r="R283" i="2" s="1"/>
  <c r="Q283" i="2"/>
  <c r="M282" i="2"/>
  <c r="R282" i="2" s="1"/>
  <c r="Q282" i="2"/>
  <c r="M281" i="2"/>
  <c r="R281" i="2" s="1"/>
  <c r="Q281" i="2"/>
  <c r="M280" i="2"/>
  <c r="R280" i="2" s="1"/>
  <c r="Q280" i="2"/>
  <c r="M279" i="2"/>
  <c r="R279" i="2" s="1"/>
  <c r="Q279" i="2"/>
  <c r="M278" i="2"/>
  <c r="R278" i="2" s="1"/>
  <c r="Q278" i="2"/>
  <c r="M277" i="2"/>
  <c r="R277" i="2" s="1"/>
  <c r="Q277" i="2"/>
  <c r="M276" i="2"/>
  <c r="R276" i="2" s="1"/>
  <c r="Q276" i="2"/>
  <c r="M275" i="2"/>
  <c r="R275" i="2" s="1"/>
  <c r="Q275" i="2"/>
  <c r="M274" i="2"/>
  <c r="R274" i="2" s="1"/>
  <c r="Q274" i="2"/>
  <c r="M273" i="2"/>
  <c r="R273" i="2" s="1"/>
  <c r="Q273" i="2"/>
  <c r="M272" i="2"/>
  <c r="R272" i="2" s="1"/>
  <c r="Q272" i="2"/>
  <c r="M271" i="2"/>
  <c r="R271" i="2" s="1"/>
  <c r="Q271" i="2"/>
  <c r="M270" i="2"/>
  <c r="R270" i="2" s="1"/>
  <c r="Q270" i="2"/>
  <c r="M269" i="2"/>
  <c r="R269" i="2" s="1"/>
  <c r="Q269" i="2"/>
  <c r="M268" i="2"/>
  <c r="R268" i="2" s="1"/>
  <c r="Q268" i="2"/>
  <c r="M267" i="2"/>
  <c r="R267" i="2" s="1"/>
  <c r="Q267" i="2"/>
  <c r="M266" i="2"/>
  <c r="R266" i="2" s="1"/>
  <c r="Q266" i="2"/>
  <c r="M265" i="2"/>
  <c r="R265" i="2" s="1"/>
  <c r="Q265" i="2"/>
  <c r="M264" i="2"/>
  <c r="R264" i="2" s="1"/>
  <c r="Q264" i="2"/>
  <c r="M263" i="2"/>
  <c r="R263" i="2" s="1"/>
  <c r="Q263" i="2"/>
  <c r="M262" i="2"/>
  <c r="R262" i="2" s="1"/>
  <c r="Q262" i="2"/>
  <c r="M261" i="2"/>
  <c r="R261" i="2" s="1"/>
  <c r="Q261" i="2"/>
  <c r="M260" i="2"/>
  <c r="R260" i="2" s="1"/>
  <c r="Q260" i="2"/>
  <c r="M259" i="2"/>
  <c r="R259" i="2" s="1"/>
  <c r="Q259" i="2"/>
  <c r="M258" i="2"/>
  <c r="R258" i="2" s="1"/>
  <c r="Q258" i="2"/>
  <c r="M257" i="2"/>
  <c r="R257" i="2" s="1"/>
  <c r="Q257" i="2"/>
  <c r="M256" i="2"/>
  <c r="R256" i="2" s="1"/>
  <c r="Q256" i="2"/>
  <c r="M255" i="2"/>
  <c r="R255" i="2" s="1"/>
  <c r="Q255" i="2"/>
  <c r="M254" i="2"/>
  <c r="R254" i="2" s="1"/>
  <c r="Q254" i="2"/>
  <c r="M253" i="2"/>
  <c r="R253" i="2" s="1"/>
  <c r="Q253" i="2"/>
  <c r="M252" i="2"/>
  <c r="R252" i="2" s="1"/>
  <c r="Q252" i="2"/>
  <c r="M251" i="2"/>
  <c r="R251" i="2" s="1"/>
  <c r="Q251" i="2"/>
  <c r="M250" i="2"/>
  <c r="R250" i="2" s="1"/>
  <c r="Q250" i="2"/>
  <c r="M249" i="2"/>
  <c r="R249" i="2" s="1"/>
  <c r="Q249" i="2"/>
  <c r="M248" i="2"/>
  <c r="R248" i="2" s="1"/>
  <c r="Q248" i="2"/>
  <c r="M247" i="2"/>
  <c r="R247" i="2" s="1"/>
  <c r="Q247" i="2"/>
  <c r="M246" i="2"/>
  <c r="R246" i="2" s="1"/>
  <c r="Q246" i="2"/>
  <c r="M245" i="2"/>
  <c r="R245" i="2" s="1"/>
  <c r="Q245" i="2"/>
  <c r="M244" i="2"/>
  <c r="R244" i="2" s="1"/>
  <c r="Q244" i="2"/>
  <c r="M243" i="2"/>
  <c r="R243" i="2" s="1"/>
  <c r="Q243" i="2"/>
  <c r="M242" i="2"/>
  <c r="R242" i="2" s="1"/>
  <c r="Q242" i="2"/>
  <c r="M241" i="2"/>
  <c r="R241" i="2" s="1"/>
  <c r="Q241" i="2"/>
  <c r="M240" i="2"/>
  <c r="R240" i="2" s="1"/>
  <c r="Q240" i="2"/>
  <c r="M239" i="2"/>
  <c r="R239" i="2" s="1"/>
  <c r="Q239" i="2"/>
  <c r="M238" i="2"/>
  <c r="R238" i="2" s="1"/>
  <c r="Q238" i="2"/>
  <c r="M237" i="2"/>
  <c r="R237" i="2" s="1"/>
  <c r="Q237" i="2"/>
  <c r="M236" i="2"/>
  <c r="R236" i="2" s="1"/>
  <c r="Q236" i="2"/>
  <c r="M235" i="2"/>
  <c r="R235" i="2" s="1"/>
  <c r="Q235" i="2"/>
  <c r="M234" i="2"/>
  <c r="R234" i="2" s="1"/>
  <c r="Q234" i="2"/>
  <c r="M233" i="2"/>
  <c r="R233" i="2" s="1"/>
  <c r="Q233" i="2"/>
  <c r="M232" i="2"/>
  <c r="R232" i="2" s="1"/>
  <c r="Q232" i="2"/>
  <c r="M231" i="2"/>
  <c r="R231" i="2" s="1"/>
  <c r="Q231" i="2"/>
  <c r="M230" i="2"/>
  <c r="R230" i="2" s="1"/>
  <c r="Q230" i="2"/>
  <c r="M229" i="2"/>
  <c r="R229" i="2" s="1"/>
  <c r="Q229" i="2"/>
  <c r="M228" i="2"/>
  <c r="R228" i="2" s="1"/>
  <c r="Q228" i="2"/>
  <c r="M227" i="2"/>
  <c r="R227" i="2" s="1"/>
  <c r="Q227" i="2"/>
  <c r="M226" i="2"/>
  <c r="R226" i="2" s="1"/>
  <c r="Q226" i="2"/>
  <c r="M225" i="2"/>
  <c r="R225" i="2" s="1"/>
  <c r="Q225" i="2"/>
  <c r="M224" i="2"/>
  <c r="R224" i="2" s="1"/>
  <c r="Q224" i="2"/>
  <c r="M223" i="2"/>
  <c r="R223" i="2" s="1"/>
  <c r="Q223" i="2"/>
  <c r="M222" i="2"/>
  <c r="R222" i="2" s="1"/>
  <c r="Q222" i="2"/>
  <c r="M221" i="2"/>
  <c r="R221" i="2" s="1"/>
  <c r="Q221" i="2"/>
  <c r="M220" i="2"/>
  <c r="R220" i="2" s="1"/>
  <c r="Q220" i="2"/>
  <c r="M219" i="2"/>
  <c r="R219" i="2" s="1"/>
  <c r="Q219" i="2"/>
  <c r="M218" i="2"/>
  <c r="R218" i="2" s="1"/>
  <c r="Q218" i="2"/>
  <c r="M217" i="2"/>
  <c r="R217" i="2" s="1"/>
  <c r="Q217" i="2"/>
  <c r="M216" i="2"/>
  <c r="R216" i="2" s="1"/>
  <c r="Q216" i="2"/>
  <c r="M215" i="2"/>
  <c r="R215" i="2" s="1"/>
  <c r="Q215" i="2"/>
  <c r="M214" i="2"/>
  <c r="R214" i="2" s="1"/>
  <c r="Q214" i="2"/>
  <c r="M213" i="2"/>
  <c r="R213" i="2" s="1"/>
  <c r="Q213" i="2"/>
  <c r="M212" i="2"/>
  <c r="R212" i="2" s="1"/>
  <c r="Q212" i="2"/>
  <c r="M211" i="2"/>
  <c r="R211" i="2" s="1"/>
  <c r="Q211" i="2"/>
  <c r="M210" i="2"/>
  <c r="R210" i="2" s="1"/>
  <c r="Q210" i="2"/>
  <c r="M209" i="2"/>
  <c r="R209" i="2" s="1"/>
  <c r="Q209" i="2"/>
  <c r="M208" i="2"/>
  <c r="R208" i="2" s="1"/>
  <c r="Q208" i="2"/>
  <c r="M207" i="2"/>
  <c r="R207" i="2" s="1"/>
  <c r="Q207" i="2"/>
  <c r="M206" i="2"/>
  <c r="R206" i="2" s="1"/>
  <c r="Q206" i="2"/>
  <c r="M205" i="2"/>
  <c r="R205" i="2" s="1"/>
  <c r="Q205" i="2"/>
  <c r="M204" i="2"/>
  <c r="R204" i="2" s="1"/>
  <c r="Q204" i="2"/>
  <c r="M203" i="2"/>
  <c r="R203" i="2" s="1"/>
  <c r="Q203" i="2"/>
  <c r="M202" i="2"/>
  <c r="R202" i="2" s="1"/>
  <c r="Q202" i="2"/>
  <c r="M201" i="2"/>
  <c r="R201" i="2" s="1"/>
  <c r="Q201" i="2"/>
  <c r="M200" i="2"/>
  <c r="R200" i="2" s="1"/>
  <c r="Q200" i="2"/>
  <c r="M199" i="2"/>
  <c r="R199" i="2" s="1"/>
  <c r="Q199" i="2"/>
  <c r="M198" i="2"/>
  <c r="R198" i="2" s="1"/>
  <c r="Q198" i="2"/>
  <c r="M197" i="2"/>
  <c r="R197" i="2" s="1"/>
  <c r="Q197" i="2"/>
  <c r="M196" i="2"/>
  <c r="R196" i="2" s="1"/>
  <c r="Q196" i="2"/>
  <c r="M195" i="2"/>
  <c r="R195" i="2" s="1"/>
  <c r="Q195" i="2"/>
  <c r="M194" i="2"/>
  <c r="R194" i="2" s="1"/>
  <c r="Q194" i="2"/>
  <c r="M193" i="2"/>
  <c r="R193" i="2" s="1"/>
  <c r="Q193" i="2"/>
  <c r="M192" i="2"/>
  <c r="R192" i="2" s="1"/>
  <c r="Q192" i="2"/>
  <c r="M191" i="2"/>
  <c r="R191" i="2" s="1"/>
  <c r="Q191" i="2"/>
  <c r="M190" i="2"/>
  <c r="R190" i="2" s="1"/>
  <c r="Q190" i="2"/>
  <c r="M189" i="2"/>
  <c r="R189" i="2" s="1"/>
  <c r="Q189" i="2"/>
  <c r="M188" i="2"/>
  <c r="R188" i="2" s="1"/>
  <c r="Q188" i="2"/>
  <c r="M187" i="2"/>
  <c r="R187" i="2" s="1"/>
  <c r="Q187" i="2"/>
  <c r="M186" i="2"/>
  <c r="R186" i="2" s="1"/>
  <c r="Q186" i="2"/>
  <c r="M185" i="2"/>
  <c r="R185" i="2" s="1"/>
  <c r="Q185" i="2"/>
  <c r="M184" i="2"/>
  <c r="R184" i="2" s="1"/>
  <c r="Q184" i="2"/>
  <c r="M183" i="2"/>
  <c r="R183" i="2" s="1"/>
  <c r="Q183" i="2"/>
  <c r="M182" i="2"/>
  <c r="R182" i="2" s="1"/>
  <c r="Q182" i="2"/>
  <c r="M181" i="2"/>
  <c r="R181" i="2" s="1"/>
  <c r="Q181" i="2"/>
  <c r="M180" i="2"/>
  <c r="R180" i="2" s="1"/>
  <c r="Q180" i="2"/>
  <c r="M179" i="2"/>
  <c r="R179" i="2" s="1"/>
  <c r="Q179" i="2"/>
  <c r="M178" i="2"/>
  <c r="R178" i="2" s="1"/>
  <c r="Q178" i="2"/>
  <c r="M177" i="2"/>
  <c r="R177" i="2" s="1"/>
  <c r="Q177" i="2"/>
  <c r="M176" i="2"/>
  <c r="R176" i="2" s="1"/>
  <c r="Q176" i="2"/>
  <c r="M175" i="2"/>
  <c r="R175" i="2" s="1"/>
  <c r="Q175" i="2"/>
  <c r="M174" i="2"/>
  <c r="R174" i="2" s="1"/>
  <c r="Q174" i="2"/>
  <c r="M173" i="2"/>
  <c r="R173" i="2" s="1"/>
  <c r="Q173" i="2"/>
  <c r="M172" i="2"/>
  <c r="R172" i="2" s="1"/>
  <c r="Q172" i="2"/>
  <c r="M171" i="2"/>
  <c r="R171" i="2" s="1"/>
  <c r="Q171" i="2"/>
  <c r="M170" i="2"/>
  <c r="R170" i="2" s="1"/>
  <c r="Q170" i="2"/>
  <c r="M169" i="2"/>
  <c r="R169" i="2" s="1"/>
  <c r="Q169" i="2"/>
  <c r="M168" i="2"/>
  <c r="R168" i="2" s="1"/>
  <c r="Q168" i="2"/>
  <c r="M167" i="2"/>
  <c r="R167" i="2" s="1"/>
  <c r="Q167" i="2"/>
  <c r="M166" i="2"/>
  <c r="R166" i="2" s="1"/>
  <c r="Q166" i="2"/>
  <c r="M165" i="2"/>
  <c r="R165" i="2" s="1"/>
  <c r="Q165" i="2"/>
  <c r="M164" i="2"/>
  <c r="R164" i="2" s="1"/>
  <c r="Q164" i="2"/>
  <c r="M163" i="2"/>
  <c r="R163" i="2" s="1"/>
  <c r="Q163" i="2"/>
  <c r="M162" i="2"/>
  <c r="R162" i="2" s="1"/>
  <c r="Q162" i="2"/>
  <c r="M161" i="2"/>
  <c r="R161" i="2" s="1"/>
  <c r="Q161" i="2"/>
  <c r="M160" i="2"/>
  <c r="R160" i="2" s="1"/>
  <c r="Q160" i="2"/>
  <c r="M159" i="2"/>
  <c r="R159" i="2" s="1"/>
  <c r="Q159" i="2"/>
  <c r="M158" i="2"/>
  <c r="R158" i="2" s="1"/>
  <c r="Q158" i="2"/>
  <c r="M157" i="2"/>
  <c r="R157" i="2" s="1"/>
  <c r="Q157" i="2"/>
  <c r="M156" i="2"/>
  <c r="R156" i="2" s="1"/>
  <c r="Q156" i="2"/>
  <c r="M155" i="2"/>
  <c r="R155" i="2" s="1"/>
  <c r="Q155" i="2"/>
  <c r="M154" i="2"/>
  <c r="R154" i="2" s="1"/>
  <c r="Q154" i="2"/>
  <c r="S655" i="4"/>
  <c r="S149" i="4"/>
  <c r="S659" i="4"/>
  <c r="M149" i="4"/>
  <c r="R149" i="4" s="1"/>
  <c r="Q149" i="4"/>
  <c r="M720" i="3" l="1"/>
  <c r="R720" i="3" s="1"/>
  <c r="Q720" i="3"/>
  <c r="M719" i="3"/>
  <c r="R719" i="3" s="1"/>
  <c r="Q719" i="3"/>
  <c r="M718" i="3"/>
  <c r="R718" i="3" s="1"/>
  <c r="Q718" i="3"/>
  <c r="M717" i="3"/>
  <c r="R717" i="3" s="1"/>
  <c r="Q717" i="3"/>
  <c r="M716" i="3"/>
  <c r="R716" i="3" s="1"/>
  <c r="Q716" i="3"/>
  <c r="M715" i="3"/>
  <c r="R715" i="3" s="1"/>
  <c r="Q715" i="3"/>
  <c r="M714" i="3"/>
  <c r="R714" i="3" s="1"/>
  <c r="Q714" i="3"/>
  <c r="M713" i="3"/>
  <c r="R713" i="3" s="1"/>
  <c r="Q713" i="3"/>
  <c r="M712" i="3"/>
  <c r="R712" i="3" s="1"/>
  <c r="Q712" i="3"/>
  <c r="M711" i="3"/>
  <c r="R711" i="3" s="1"/>
  <c r="Q711" i="3"/>
  <c r="M710" i="3"/>
  <c r="R710" i="3" s="1"/>
  <c r="Q710" i="3"/>
  <c r="M709" i="3"/>
  <c r="R709" i="3" s="1"/>
  <c r="Q709" i="3"/>
  <c r="M708" i="3"/>
  <c r="R708" i="3" s="1"/>
  <c r="Q708" i="3"/>
  <c r="M707" i="3"/>
  <c r="R707" i="3" s="1"/>
  <c r="Q707" i="3"/>
  <c r="M706" i="3"/>
  <c r="R706" i="3" s="1"/>
  <c r="Q706" i="3"/>
  <c r="M705" i="3"/>
  <c r="R705" i="3" s="1"/>
  <c r="Q705" i="3"/>
  <c r="M704" i="3"/>
  <c r="R704" i="3" s="1"/>
  <c r="Q704" i="3"/>
  <c r="M703" i="3"/>
  <c r="R703" i="3" s="1"/>
  <c r="Q703" i="3"/>
  <c r="M702" i="3"/>
  <c r="R702" i="3" s="1"/>
  <c r="Q702" i="3"/>
  <c r="M701" i="3"/>
  <c r="R701" i="3" s="1"/>
  <c r="Q701" i="3"/>
  <c r="M700" i="3"/>
  <c r="R700" i="3" s="1"/>
  <c r="Q700" i="3"/>
  <c r="M699" i="3"/>
  <c r="R699" i="3" s="1"/>
  <c r="Q699" i="3"/>
  <c r="M698" i="3"/>
  <c r="R698" i="3" s="1"/>
  <c r="Q698" i="3"/>
  <c r="M697" i="3"/>
  <c r="R697" i="3" s="1"/>
  <c r="Q697" i="3"/>
  <c r="M696" i="3"/>
  <c r="R696" i="3" s="1"/>
  <c r="Q696" i="3"/>
  <c r="M695" i="3"/>
  <c r="R695" i="3" s="1"/>
  <c r="Q695" i="3"/>
  <c r="M694" i="3"/>
  <c r="R694" i="3" s="1"/>
  <c r="Q694" i="3"/>
  <c r="M693" i="3"/>
  <c r="R693" i="3" s="1"/>
  <c r="Q693" i="3"/>
  <c r="M692" i="3"/>
  <c r="R692" i="3" s="1"/>
  <c r="Q692" i="3"/>
  <c r="M691" i="3"/>
  <c r="R691" i="3" s="1"/>
  <c r="Q691" i="3"/>
  <c r="M690" i="3"/>
  <c r="R690" i="3" s="1"/>
  <c r="Q690" i="3"/>
  <c r="M689" i="3"/>
  <c r="R689" i="3" s="1"/>
  <c r="Q689" i="3"/>
  <c r="M688" i="3"/>
  <c r="R688" i="3" s="1"/>
  <c r="Q688" i="3"/>
  <c r="M687" i="3"/>
  <c r="R687" i="3" s="1"/>
  <c r="Q687" i="3"/>
  <c r="M686" i="3"/>
  <c r="R686" i="3" s="1"/>
  <c r="Q686" i="3"/>
  <c r="M685" i="3"/>
  <c r="R685" i="3" s="1"/>
  <c r="Q685" i="3"/>
  <c r="M684" i="3"/>
  <c r="R684" i="3" s="1"/>
  <c r="Q684" i="3"/>
  <c r="M683" i="3"/>
  <c r="R683" i="3" s="1"/>
  <c r="Q683" i="3"/>
  <c r="M682" i="3"/>
  <c r="R682" i="3" s="1"/>
  <c r="Q682" i="3"/>
  <c r="M681" i="3"/>
  <c r="R681" i="3" s="1"/>
  <c r="Q681" i="3"/>
  <c r="M680" i="3"/>
  <c r="R680" i="3" s="1"/>
  <c r="Q680" i="3"/>
  <c r="M679" i="3"/>
  <c r="R679" i="3" s="1"/>
  <c r="Q679" i="3"/>
  <c r="M678" i="3"/>
  <c r="R678" i="3" s="1"/>
  <c r="Q678" i="3"/>
  <c r="M677" i="3"/>
  <c r="R677" i="3" s="1"/>
  <c r="Q677" i="3"/>
  <c r="M676" i="3"/>
  <c r="R676" i="3" s="1"/>
  <c r="Q676" i="3"/>
  <c r="M675" i="3"/>
  <c r="R675" i="3" s="1"/>
  <c r="Q675" i="3"/>
  <c r="M674" i="3"/>
  <c r="R674" i="3" s="1"/>
  <c r="Q674" i="3"/>
  <c r="M673" i="3"/>
  <c r="R673" i="3" s="1"/>
  <c r="Q673" i="3"/>
  <c r="M672" i="3"/>
  <c r="R672" i="3" s="1"/>
  <c r="Q672" i="3"/>
  <c r="M671" i="3"/>
  <c r="R671" i="3" s="1"/>
  <c r="Q671" i="3"/>
  <c r="M670" i="3"/>
  <c r="R670" i="3" s="1"/>
  <c r="Q670" i="3"/>
  <c r="M669" i="3"/>
  <c r="R669" i="3" s="1"/>
  <c r="Q669" i="3"/>
  <c r="M668" i="3"/>
  <c r="R668" i="3" s="1"/>
  <c r="Q668" i="3"/>
  <c r="M667" i="3"/>
  <c r="R667" i="3" s="1"/>
  <c r="Q667" i="3"/>
  <c r="M666" i="3"/>
  <c r="R666" i="3" s="1"/>
  <c r="Q666" i="3"/>
  <c r="M665" i="3"/>
  <c r="R665" i="3" s="1"/>
  <c r="Q665" i="3"/>
  <c r="M664" i="3"/>
  <c r="R664" i="3" s="1"/>
  <c r="Q664" i="3"/>
  <c r="M663" i="3"/>
  <c r="R663" i="3" s="1"/>
  <c r="Q663" i="3"/>
  <c r="M662" i="3"/>
  <c r="R662" i="3" s="1"/>
  <c r="Q662" i="3"/>
  <c r="M661" i="3"/>
  <c r="R661" i="3" s="1"/>
  <c r="Q661" i="3"/>
  <c r="M660" i="3"/>
  <c r="R660" i="3" s="1"/>
  <c r="Q660" i="3"/>
  <c r="M659" i="3"/>
  <c r="R659" i="3" s="1"/>
  <c r="Q659" i="3"/>
  <c r="M658" i="3"/>
  <c r="R658" i="3" s="1"/>
  <c r="Q658" i="3"/>
  <c r="M657" i="3"/>
  <c r="R657" i="3" s="1"/>
  <c r="Q657" i="3"/>
  <c r="M656" i="3"/>
  <c r="R656" i="3" s="1"/>
  <c r="Q656" i="3"/>
  <c r="M655" i="3"/>
  <c r="R655" i="3" s="1"/>
  <c r="Q655" i="3"/>
  <c r="M654" i="3"/>
  <c r="R654" i="3" s="1"/>
  <c r="Q654" i="3"/>
  <c r="M653" i="3"/>
  <c r="R653" i="3" s="1"/>
  <c r="Q653" i="3"/>
  <c r="M652" i="3"/>
  <c r="R652" i="3" s="1"/>
  <c r="Q652" i="3"/>
  <c r="M651" i="3"/>
  <c r="R651" i="3" s="1"/>
  <c r="Q651" i="3"/>
  <c r="M650" i="3"/>
  <c r="R650" i="3" s="1"/>
  <c r="Q650" i="3"/>
  <c r="M649" i="3"/>
  <c r="R649" i="3" s="1"/>
  <c r="Q649" i="3"/>
  <c r="M648" i="3"/>
  <c r="R648" i="3" s="1"/>
  <c r="Q648" i="3"/>
  <c r="M647" i="3"/>
  <c r="R647" i="3" s="1"/>
  <c r="Q647" i="3"/>
  <c r="M646" i="3"/>
  <c r="R646" i="3" s="1"/>
  <c r="Q646" i="3"/>
  <c r="M645" i="3"/>
  <c r="R645" i="3" s="1"/>
  <c r="Q645" i="3"/>
  <c r="M644" i="3"/>
  <c r="R644" i="3" s="1"/>
  <c r="Q644" i="3"/>
  <c r="M643" i="3"/>
  <c r="R643" i="3" s="1"/>
  <c r="Q643" i="3"/>
  <c r="M642" i="3"/>
  <c r="R642" i="3" s="1"/>
  <c r="Q642" i="3"/>
  <c r="M641" i="3"/>
  <c r="R641" i="3" s="1"/>
  <c r="Q641" i="3"/>
  <c r="M640" i="3"/>
  <c r="R640" i="3" s="1"/>
  <c r="Q640" i="3"/>
  <c r="M639" i="3"/>
  <c r="R639" i="3" s="1"/>
  <c r="Q639" i="3"/>
  <c r="M638" i="3"/>
  <c r="R638" i="3" s="1"/>
  <c r="Q638" i="3"/>
  <c r="M637" i="3"/>
  <c r="R637" i="3" s="1"/>
  <c r="Q637" i="3"/>
  <c r="M636" i="3"/>
  <c r="R636" i="3" s="1"/>
  <c r="Q636" i="3"/>
  <c r="M635" i="3"/>
  <c r="R635" i="3" s="1"/>
  <c r="Q635" i="3"/>
  <c r="M634" i="3"/>
  <c r="R634" i="3" s="1"/>
  <c r="Q634" i="3"/>
  <c r="M633" i="3"/>
  <c r="R633" i="3" s="1"/>
  <c r="Q633" i="3"/>
  <c r="M632" i="3"/>
  <c r="R632" i="3" s="1"/>
  <c r="Q632" i="3"/>
  <c r="M631" i="3"/>
  <c r="R631" i="3" s="1"/>
  <c r="Q631" i="3"/>
  <c r="M630" i="3"/>
  <c r="R630" i="3" s="1"/>
  <c r="Q630" i="3"/>
  <c r="M629" i="3"/>
  <c r="R629" i="3" s="1"/>
  <c r="Q629" i="3"/>
  <c r="M628" i="3"/>
  <c r="R628" i="3" s="1"/>
  <c r="Q628" i="3"/>
  <c r="M627" i="3"/>
  <c r="R627" i="3" s="1"/>
  <c r="Q627" i="3"/>
  <c r="M626" i="3"/>
  <c r="R626" i="3" s="1"/>
  <c r="Q626" i="3"/>
  <c r="M625" i="3"/>
  <c r="R625" i="3" s="1"/>
  <c r="Q625" i="3"/>
  <c r="M624" i="3"/>
  <c r="R624" i="3" s="1"/>
  <c r="Q624" i="3"/>
  <c r="M623" i="3"/>
  <c r="R623" i="3" s="1"/>
  <c r="Q623" i="3"/>
  <c r="M622" i="3"/>
  <c r="R622" i="3" s="1"/>
  <c r="Q622" i="3"/>
  <c r="M621" i="3"/>
  <c r="R621" i="3" s="1"/>
  <c r="Q621" i="3"/>
  <c r="M620" i="3"/>
  <c r="R620" i="3" s="1"/>
  <c r="Q620" i="3"/>
  <c r="M619" i="3"/>
  <c r="R619" i="3" s="1"/>
  <c r="Q619" i="3"/>
  <c r="M618" i="3"/>
  <c r="R618" i="3" s="1"/>
  <c r="Q618" i="3"/>
  <c r="M617" i="3"/>
  <c r="R617" i="3" s="1"/>
  <c r="Q617" i="3"/>
  <c r="M616" i="3"/>
  <c r="R616" i="3" s="1"/>
  <c r="Q616" i="3"/>
  <c r="M615" i="3"/>
  <c r="R615" i="3" s="1"/>
  <c r="Q615" i="3"/>
  <c r="M614" i="3"/>
  <c r="R614" i="3" s="1"/>
  <c r="Q614" i="3"/>
  <c r="M613" i="3"/>
  <c r="R613" i="3" s="1"/>
  <c r="Q613" i="3"/>
  <c r="M612" i="3"/>
  <c r="R612" i="3" s="1"/>
  <c r="Q612" i="3"/>
  <c r="M611" i="3"/>
  <c r="R611" i="3" s="1"/>
  <c r="Q611" i="3"/>
  <c r="M610" i="3"/>
  <c r="R610" i="3" s="1"/>
  <c r="Q610" i="3"/>
  <c r="M609" i="3"/>
  <c r="R609" i="3" s="1"/>
  <c r="Q609" i="3"/>
  <c r="M608" i="3"/>
  <c r="R608" i="3" s="1"/>
  <c r="Q608" i="3"/>
  <c r="M607" i="3"/>
  <c r="R607" i="3" s="1"/>
  <c r="Q607" i="3"/>
  <c r="M606" i="3"/>
  <c r="R606" i="3" s="1"/>
  <c r="Q606" i="3"/>
  <c r="M605" i="3"/>
  <c r="R605" i="3" s="1"/>
  <c r="Q605" i="3"/>
  <c r="M604" i="3"/>
  <c r="R604" i="3" s="1"/>
  <c r="Q604" i="3"/>
  <c r="M603" i="3"/>
  <c r="R603" i="3" s="1"/>
  <c r="Q603" i="3"/>
  <c r="M602" i="3"/>
  <c r="R602" i="3" s="1"/>
  <c r="Q602" i="3"/>
  <c r="M601" i="3"/>
  <c r="R601" i="3" s="1"/>
  <c r="Q601" i="3"/>
  <c r="M600" i="3"/>
  <c r="R600" i="3" s="1"/>
  <c r="Q600" i="3"/>
  <c r="M599" i="3"/>
  <c r="R599" i="3" s="1"/>
  <c r="Q599" i="3"/>
  <c r="M598" i="3"/>
  <c r="R598" i="3" s="1"/>
  <c r="Q598" i="3"/>
  <c r="M597" i="3"/>
  <c r="R597" i="3" s="1"/>
  <c r="Q597" i="3"/>
  <c r="M596" i="3"/>
  <c r="R596" i="3" s="1"/>
  <c r="Q596" i="3"/>
  <c r="M595" i="3"/>
  <c r="R595" i="3" s="1"/>
  <c r="Q595" i="3"/>
  <c r="M594" i="3"/>
  <c r="R594" i="3" s="1"/>
  <c r="Q594" i="3"/>
  <c r="M593" i="3"/>
  <c r="R593" i="3" s="1"/>
  <c r="Q593" i="3"/>
  <c r="M592" i="3"/>
  <c r="R592" i="3" s="1"/>
  <c r="Q592" i="3"/>
  <c r="M591" i="3"/>
  <c r="R591" i="3" s="1"/>
  <c r="Q591" i="3"/>
  <c r="M590" i="3"/>
  <c r="R590" i="3" s="1"/>
  <c r="Q590" i="3"/>
  <c r="M589" i="3"/>
  <c r="R589" i="3" s="1"/>
  <c r="Q589" i="3"/>
  <c r="M588" i="3"/>
  <c r="R588" i="3" s="1"/>
  <c r="Q588" i="3"/>
  <c r="M587" i="3"/>
  <c r="R587" i="3" s="1"/>
  <c r="Q587" i="3"/>
  <c r="M586" i="3"/>
  <c r="R586" i="3" s="1"/>
  <c r="Q586" i="3"/>
  <c r="M585" i="3"/>
  <c r="R585" i="3" s="1"/>
  <c r="Q585" i="3"/>
  <c r="M584" i="3"/>
  <c r="R584" i="3" s="1"/>
  <c r="Q584" i="3"/>
  <c r="M583" i="3"/>
  <c r="R583" i="3" s="1"/>
  <c r="Q583" i="3"/>
  <c r="M582" i="3"/>
  <c r="R582" i="3" s="1"/>
  <c r="Q582" i="3"/>
  <c r="M581" i="3"/>
  <c r="R581" i="3" s="1"/>
  <c r="Q581" i="3"/>
  <c r="M580" i="3"/>
  <c r="R580" i="3" s="1"/>
  <c r="Q580" i="3"/>
  <c r="M579" i="3"/>
  <c r="R579" i="3" s="1"/>
  <c r="Q579" i="3"/>
  <c r="M578" i="3"/>
  <c r="R578" i="3" s="1"/>
  <c r="Q578" i="3"/>
  <c r="M577" i="3"/>
  <c r="R577" i="3" s="1"/>
  <c r="Q577" i="3"/>
  <c r="M576" i="3"/>
  <c r="R576" i="3" s="1"/>
  <c r="Q576" i="3"/>
  <c r="M575" i="3"/>
  <c r="R575" i="3" s="1"/>
  <c r="Q575" i="3"/>
  <c r="M574" i="3"/>
  <c r="R574" i="3" s="1"/>
  <c r="Q574" i="3"/>
  <c r="M573" i="3"/>
  <c r="R573" i="3" s="1"/>
  <c r="Q573" i="3"/>
  <c r="M572" i="3"/>
  <c r="R572" i="3" s="1"/>
  <c r="Q572" i="3"/>
  <c r="M571" i="3"/>
  <c r="R571" i="3" s="1"/>
  <c r="Q571" i="3"/>
  <c r="M570" i="3"/>
  <c r="R570" i="3" s="1"/>
  <c r="Q570" i="3"/>
  <c r="M569" i="3"/>
  <c r="R569" i="3" s="1"/>
  <c r="Q569" i="3"/>
  <c r="M568" i="3"/>
  <c r="R568" i="3" s="1"/>
  <c r="Q568" i="3"/>
  <c r="M567" i="3"/>
  <c r="R567" i="3" s="1"/>
  <c r="Q567" i="3"/>
  <c r="M566" i="3"/>
  <c r="R566" i="3" s="1"/>
  <c r="Q566" i="3"/>
  <c r="M565" i="3"/>
  <c r="R565" i="3" s="1"/>
  <c r="Q565" i="3"/>
  <c r="M564" i="3"/>
  <c r="R564" i="3" s="1"/>
  <c r="Q564" i="3"/>
  <c r="M563" i="3"/>
  <c r="R563" i="3" s="1"/>
  <c r="Q563" i="3"/>
  <c r="M562" i="3"/>
  <c r="R562" i="3" s="1"/>
  <c r="Q562" i="3"/>
  <c r="M561" i="3"/>
  <c r="R561" i="3" s="1"/>
  <c r="Q561" i="3"/>
  <c r="M560" i="3"/>
  <c r="R560" i="3" s="1"/>
  <c r="Q560" i="3"/>
  <c r="M559" i="3"/>
  <c r="R559" i="3" s="1"/>
  <c r="Q559" i="3"/>
  <c r="M558" i="3"/>
  <c r="R558" i="3" s="1"/>
  <c r="Q558" i="3"/>
  <c r="M557" i="3"/>
  <c r="R557" i="3" s="1"/>
  <c r="Q557" i="3"/>
  <c r="M556" i="3"/>
  <c r="R556" i="3" s="1"/>
  <c r="Q556" i="3"/>
  <c r="M555" i="3"/>
  <c r="R555" i="3" s="1"/>
  <c r="Q555" i="3"/>
  <c r="M554" i="3"/>
  <c r="R554" i="3" s="1"/>
  <c r="Q554" i="3"/>
  <c r="M553" i="3"/>
  <c r="R553" i="3" s="1"/>
  <c r="Q553" i="3"/>
  <c r="M552" i="3"/>
  <c r="R552" i="3" s="1"/>
  <c r="Q552" i="3"/>
  <c r="M551" i="3"/>
  <c r="R551" i="3" s="1"/>
  <c r="Q551" i="3"/>
  <c r="M550" i="3"/>
  <c r="R550" i="3" s="1"/>
  <c r="Q550" i="3"/>
  <c r="M549" i="3"/>
  <c r="R549" i="3" s="1"/>
  <c r="Q549" i="3"/>
  <c r="M548" i="3"/>
  <c r="R548" i="3" s="1"/>
  <c r="Q548" i="3"/>
  <c r="M547" i="3"/>
  <c r="R547" i="3" s="1"/>
  <c r="Q547" i="3"/>
  <c r="M546" i="3"/>
  <c r="R546" i="3" s="1"/>
  <c r="Q546" i="3"/>
  <c r="M545" i="3"/>
  <c r="R545" i="3" s="1"/>
  <c r="Q545" i="3"/>
  <c r="M544" i="3"/>
  <c r="R544" i="3" s="1"/>
  <c r="Q544" i="3"/>
  <c r="M543" i="3"/>
  <c r="R543" i="3" s="1"/>
  <c r="Q543" i="3"/>
  <c r="M542" i="3"/>
  <c r="R542" i="3" s="1"/>
  <c r="Q542" i="3"/>
  <c r="M541" i="3"/>
  <c r="R541" i="3" s="1"/>
  <c r="Q541" i="3"/>
  <c r="M540" i="3"/>
  <c r="R540" i="3" s="1"/>
  <c r="Q540" i="3"/>
  <c r="M539" i="3"/>
  <c r="R539" i="3" s="1"/>
  <c r="Q539" i="3"/>
  <c r="M538" i="3"/>
  <c r="R538" i="3" s="1"/>
  <c r="Q538" i="3"/>
  <c r="M537" i="3"/>
  <c r="R537" i="3" s="1"/>
  <c r="Q537" i="3"/>
  <c r="M536" i="3"/>
  <c r="R536" i="3" s="1"/>
  <c r="Q536" i="3"/>
  <c r="M535" i="3"/>
  <c r="R535" i="3" s="1"/>
  <c r="Q535" i="3"/>
  <c r="M534" i="3"/>
  <c r="R534" i="3" s="1"/>
  <c r="Q534" i="3"/>
  <c r="M533" i="3"/>
  <c r="R533" i="3" s="1"/>
  <c r="Q533" i="3"/>
  <c r="M532" i="3"/>
  <c r="R532" i="3" s="1"/>
  <c r="Q532" i="3"/>
  <c r="M531" i="3"/>
  <c r="R531" i="3" s="1"/>
  <c r="Q531" i="3"/>
  <c r="M530" i="3"/>
  <c r="R530" i="3" s="1"/>
  <c r="Q530" i="3"/>
  <c r="M529" i="3"/>
  <c r="R529" i="3" s="1"/>
  <c r="Q529" i="3"/>
  <c r="M954" i="6" l="1"/>
  <c r="R954" i="6" s="1"/>
  <c r="Q954" i="6"/>
  <c r="M953" i="6"/>
  <c r="R953" i="6" s="1"/>
  <c r="Q953" i="6"/>
  <c r="M952" i="6"/>
  <c r="R952" i="6" s="1"/>
  <c r="Q952" i="6"/>
  <c r="M951" i="6"/>
  <c r="R951" i="6" s="1"/>
  <c r="Q951" i="6"/>
  <c r="M950" i="6"/>
  <c r="R950" i="6" s="1"/>
  <c r="Q950" i="6"/>
  <c r="M949" i="6"/>
  <c r="R949" i="6" s="1"/>
  <c r="Q949" i="6"/>
  <c r="M948" i="6"/>
  <c r="R948" i="6" s="1"/>
  <c r="Q948" i="6"/>
  <c r="M947" i="6"/>
  <c r="R947" i="6" s="1"/>
  <c r="Q947" i="6"/>
  <c r="M946" i="6"/>
  <c r="R946" i="6" s="1"/>
  <c r="Q946" i="6"/>
  <c r="M945" i="6"/>
  <c r="R945" i="6" s="1"/>
  <c r="Q945" i="6"/>
  <c r="M944" i="6"/>
  <c r="R944" i="6" s="1"/>
  <c r="Q944" i="6"/>
  <c r="M943" i="6"/>
  <c r="R943" i="6" s="1"/>
  <c r="Q943" i="6"/>
  <c r="M942" i="6"/>
  <c r="R942" i="6" s="1"/>
  <c r="Q942" i="6"/>
  <c r="M941" i="6"/>
  <c r="R941" i="6" s="1"/>
  <c r="Q941" i="6"/>
  <c r="M940" i="6"/>
  <c r="R940" i="6" s="1"/>
  <c r="Q940" i="6"/>
  <c r="M939" i="6"/>
  <c r="R939" i="6" s="1"/>
  <c r="Q939" i="6"/>
  <c r="M938" i="6"/>
  <c r="R938" i="6" s="1"/>
  <c r="Q938" i="6"/>
  <c r="M937" i="6"/>
  <c r="R937" i="6" s="1"/>
  <c r="Q937" i="6"/>
  <c r="M936" i="6"/>
  <c r="R936" i="6" s="1"/>
  <c r="Q936" i="6"/>
  <c r="M935" i="6"/>
  <c r="R935" i="6" s="1"/>
  <c r="Q935" i="6"/>
  <c r="M934" i="6"/>
  <c r="R934" i="6" s="1"/>
  <c r="Q934" i="6"/>
  <c r="M933" i="6"/>
  <c r="R933" i="6" s="1"/>
  <c r="Q933" i="6"/>
  <c r="M932" i="6"/>
  <c r="R932" i="6" s="1"/>
  <c r="Q932" i="6"/>
  <c r="M931" i="6"/>
  <c r="R931" i="6" s="1"/>
  <c r="Q931" i="6"/>
  <c r="M930" i="6"/>
  <c r="R930" i="6" s="1"/>
  <c r="Q930" i="6"/>
  <c r="M929" i="6"/>
  <c r="R929" i="6" s="1"/>
  <c r="Q929" i="6"/>
  <c r="M928" i="6"/>
  <c r="R928" i="6" s="1"/>
  <c r="Q928" i="6"/>
  <c r="M927" i="6"/>
  <c r="R927" i="6" s="1"/>
  <c r="Q927" i="6"/>
  <c r="M926" i="6"/>
  <c r="R926" i="6" s="1"/>
  <c r="Q926" i="6"/>
  <c r="M925" i="6"/>
  <c r="R925" i="6" s="1"/>
  <c r="Q925" i="6"/>
  <c r="M924" i="6"/>
  <c r="R924" i="6" s="1"/>
  <c r="Q924" i="6"/>
  <c r="M923" i="6"/>
  <c r="R923" i="6" s="1"/>
  <c r="Q923" i="6"/>
  <c r="M922" i="6"/>
  <c r="R922" i="6" s="1"/>
  <c r="Q922" i="6"/>
  <c r="M921" i="6"/>
  <c r="R921" i="6" s="1"/>
  <c r="Q921" i="6"/>
  <c r="M920" i="6"/>
  <c r="R920" i="6" s="1"/>
  <c r="Q920" i="6"/>
  <c r="M919" i="6"/>
  <c r="R919" i="6" s="1"/>
  <c r="Q919" i="6"/>
  <c r="M918" i="6"/>
  <c r="R918" i="6" s="1"/>
  <c r="Q918" i="6"/>
  <c r="M917" i="6"/>
  <c r="R917" i="6" s="1"/>
  <c r="Q917" i="6"/>
  <c r="M916" i="6"/>
  <c r="R916" i="6" s="1"/>
  <c r="Q916" i="6"/>
  <c r="M915" i="6"/>
  <c r="R915" i="6" s="1"/>
  <c r="Q915" i="6"/>
  <c r="M914" i="6"/>
  <c r="R914" i="6" s="1"/>
  <c r="Q914" i="6"/>
  <c r="M913" i="6"/>
  <c r="R913" i="6" s="1"/>
  <c r="Q913" i="6"/>
  <c r="M912" i="6"/>
  <c r="R912" i="6" s="1"/>
  <c r="Q912" i="6"/>
  <c r="M911" i="6"/>
  <c r="R911" i="6" s="1"/>
  <c r="Q911" i="6"/>
  <c r="M910" i="6"/>
  <c r="R910" i="6" s="1"/>
  <c r="Q910" i="6"/>
  <c r="M909" i="6"/>
  <c r="R909" i="6" s="1"/>
  <c r="Q909" i="6"/>
  <c r="M908" i="6"/>
  <c r="R908" i="6" s="1"/>
  <c r="Q908" i="6"/>
  <c r="M907" i="6"/>
  <c r="R907" i="6" s="1"/>
  <c r="Q907" i="6"/>
  <c r="M906" i="6"/>
  <c r="R906" i="6" s="1"/>
  <c r="Q906" i="6"/>
  <c r="M905" i="6"/>
  <c r="R905" i="6" s="1"/>
  <c r="Q905" i="6"/>
  <c r="M904" i="6"/>
  <c r="R904" i="6" s="1"/>
  <c r="Q904" i="6"/>
  <c r="M903" i="6"/>
  <c r="R903" i="6" s="1"/>
  <c r="Q903" i="6"/>
  <c r="M902" i="6"/>
  <c r="R902" i="6" s="1"/>
  <c r="Q902" i="6"/>
  <c r="M901" i="6"/>
  <c r="R901" i="6" s="1"/>
  <c r="Q901" i="6"/>
  <c r="M900" i="6"/>
  <c r="R900" i="6" s="1"/>
  <c r="Q900" i="6"/>
  <c r="M899" i="6"/>
  <c r="R899" i="6" s="1"/>
  <c r="Q899" i="6"/>
  <c r="M898" i="6"/>
  <c r="R898" i="6" s="1"/>
  <c r="Q898" i="6"/>
  <c r="M1042" i="6"/>
  <c r="R1042" i="6" s="1"/>
  <c r="Q1042" i="6"/>
  <c r="M1041" i="6"/>
  <c r="R1041" i="6" s="1"/>
  <c r="Q1041" i="6"/>
  <c r="M1040" i="6"/>
  <c r="R1040" i="6" s="1"/>
  <c r="Q1040" i="6"/>
  <c r="M1039" i="6"/>
  <c r="R1039" i="6" s="1"/>
  <c r="Q1039" i="6"/>
  <c r="M1038" i="6"/>
  <c r="R1038" i="6" s="1"/>
  <c r="Q1038" i="6"/>
  <c r="M1037" i="6"/>
  <c r="R1037" i="6" s="1"/>
  <c r="Q1037" i="6"/>
  <c r="M876" i="6"/>
  <c r="R876" i="6" s="1"/>
  <c r="Q876" i="6"/>
  <c r="M875" i="6"/>
  <c r="R875" i="6" s="1"/>
  <c r="Q875" i="6"/>
  <c r="M874" i="6"/>
  <c r="R874" i="6" s="1"/>
  <c r="Q874" i="6"/>
  <c r="M873" i="6"/>
  <c r="R873" i="6" s="1"/>
  <c r="Q873" i="6"/>
  <c r="M872" i="6"/>
  <c r="R872" i="6" s="1"/>
  <c r="Q872" i="6"/>
  <c r="M871" i="6"/>
  <c r="R871" i="6" s="1"/>
  <c r="Q871" i="6"/>
  <c r="M870" i="6"/>
  <c r="R870" i="6" s="1"/>
  <c r="Q870" i="6"/>
  <c r="M869" i="6"/>
  <c r="R869" i="6" s="1"/>
  <c r="Q869" i="6"/>
  <c r="M868" i="6"/>
  <c r="R868" i="6" s="1"/>
  <c r="Q868" i="6"/>
  <c r="M867" i="6"/>
  <c r="R867" i="6" s="1"/>
  <c r="Q867" i="6"/>
  <c r="M866" i="6"/>
  <c r="R866" i="6" s="1"/>
  <c r="Q866" i="6"/>
  <c r="M865" i="6"/>
  <c r="R865" i="6" s="1"/>
  <c r="Q865" i="6"/>
  <c r="M864" i="6"/>
  <c r="R864" i="6" s="1"/>
  <c r="Q864" i="6"/>
  <c r="M863" i="6"/>
  <c r="R863" i="6" s="1"/>
  <c r="Q863" i="6"/>
  <c r="M862" i="6"/>
  <c r="R862" i="6" s="1"/>
  <c r="Q862" i="6"/>
  <c r="M861" i="6"/>
  <c r="R861" i="6" s="1"/>
  <c r="Q861" i="6"/>
  <c r="M860" i="6"/>
  <c r="R860" i="6" s="1"/>
  <c r="Q860" i="6"/>
  <c r="M859" i="6"/>
  <c r="R859" i="6" s="1"/>
  <c r="Q859" i="6"/>
  <c r="M858" i="6"/>
  <c r="R858" i="6" s="1"/>
  <c r="Q858" i="6"/>
  <c r="M857" i="6"/>
  <c r="R857" i="6" s="1"/>
  <c r="Q857" i="6"/>
  <c r="M856" i="6"/>
  <c r="R856" i="6" s="1"/>
  <c r="Q856" i="6"/>
  <c r="M855" i="6"/>
  <c r="R855" i="6" s="1"/>
  <c r="Q855" i="6"/>
  <c r="M854" i="6"/>
  <c r="R854" i="6" s="1"/>
  <c r="Q854" i="6"/>
  <c r="M853" i="6"/>
  <c r="R853" i="6" s="1"/>
  <c r="Q853" i="6"/>
  <c r="M852" i="6"/>
  <c r="R852" i="6" s="1"/>
  <c r="Q852" i="6"/>
  <c r="M851" i="6"/>
  <c r="R851" i="6" s="1"/>
  <c r="Q851" i="6"/>
  <c r="M850" i="6"/>
  <c r="R850" i="6" s="1"/>
  <c r="Q850" i="6"/>
  <c r="M849" i="6"/>
  <c r="R849" i="6" s="1"/>
  <c r="Q849" i="6"/>
  <c r="M848" i="6"/>
  <c r="R848" i="6" s="1"/>
  <c r="Q848" i="6"/>
  <c r="M847" i="6"/>
  <c r="R847" i="6" s="1"/>
  <c r="Q847" i="6"/>
  <c r="M846" i="6"/>
  <c r="R846" i="6" s="1"/>
  <c r="Q846" i="6"/>
  <c r="M845" i="6"/>
  <c r="R845" i="6" s="1"/>
  <c r="Q845" i="6"/>
  <c r="M844" i="6"/>
  <c r="R844" i="6" s="1"/>
  <c r="Q844" i="6"/>
  <c r="M843" i="6"/>
  <c r="R843" i="6" s="1"/>
  <c r="Q843" i="6"/>
  <c r="M842" i="6"/>
  <c r="R842" i="6" s="1"/>
  <c r="Q842" i="6"/>
  <c r="M841" i="6"/>
  <c r="R841" i="6" s="1"/>
  <c r="Q841" i="6"/>
  <c r="M840" i="6"/>
  <c r="R840" i="6" s="1"/>
  <c r="Q840" i="6"/>
  <c r="M839" i="6"/>
  <c r="R839" i="6" s="1"/>
  <c r="Q839" i="6"/>
  <c r="M838" i="6"/>
  <c r="R838" i="6" s="1"/>
  <c r="Q838" i="6"/>
  <c r="M837" i="6"/>
  <c r="R837" i="6" s="1"/>
  <c r="Q837" i="6"/>
  <c r="M836" i="6"/>
  <c r="R836" i="6" s="1"/>
  <c r="Q836" i="6"/>
  <c r="M835" i="6"/>
  <c r="R835" i="6" s="1"/>
  <c r="Q835" i="6"/>
  <c r="M834" i="6"/>
  <c r="R834" i="6" s="1"/>
  <c r="Q834" i="6"/>
  <c r="M833" i="6"/>
  <c r="R833" i="6" s="1"/>
  <c r="Q833" i="6"/>
  <c r="M832" i="6"/>
  <c r="R832" i="6" s="1"/>
  <c r="Q832" i="6"/>
  <c r="M831" i="6"/>
  <c r="R831" i="6" s="1"/>
  <c r="Q831" i="6"/>
  <c r="M830" i="6"/>
  <c r="R830" i="6" s="1"/>
  <c r="Q830" i="6"/>
  <c r="M829" i="6"/>
  <c r="R829" i="6" s="1"/>
  <c r="Q829" i="6"/>
  <c r="M828" i="6"/>
  <c r="R828" i="6" s="1"/>
  <c r="Q828" i="6"/>
  <c r="M827" i="6"/>
  <c r="R827" i="6" s="1"/>
  <c r="Q827" i="6"/>
  <c r="M826" i="6"/>
  <c r="R826" i="6" s="1"/>
  <c r="Q826" i="6"/>
  <c r="M825" i="6"/>
  <c r="R825" i="6" s="1"/>
  <c r="Q825" i="6"/>
  <c r="M824" i="6"/>
  <c r="R824" i="6" s="1"/>
  <c r="Q824" i="6"/>
  <c r="M823" i="6"/>
  <c r="R823" i="6" s="1"/>
  <c r="Q823" i="6"/>
  <c r="M822" i="6"/>
  <c r="R822" i="6" s="1"/>
  <c r="Q822" i="6"/>
  <c r="M821" i="6"/>
  <c r="R821" i="6" s="1"/>
  <c r="Q821" i="6"/>
  <c r="M820" i="6"/>
  <c r="R820" i="6" s="1"/>
  <c r="Q820" i="6"/>
  <c r="M819" i="6"/>
  <c r="R819" i="6" s="1"/>
  <c r="Q819" i="6"/>
  <c r="M818" i="6"/>
  <c r="R818" i="6" s="1"/>
  <c r="Q818" i="6"/>
  <c r="M817" i="6"/>
  <c r="R817" i="6" s="1"/>
  <c r="Q817" i="6"/>
  <c r="M816" i="6"/>
  <c r="R816" i="6" s="1"/>
  <c r="Q816" i="6"/>
  <c r="M815" i="6"/>
  <c r="R815" i="6" s="1"/>
  <c r="Q815" i="6"/>
  <c r="M814" i="6"/>
  <c r="R814" i="6" s="1"/>
  <c r="Q814" i="6"/>
  <c r="M813" i="6"/>
  <c r="R813" i="6" s="1"/>
  <c r="Q813" i="6"/>
  <c r="M812" i="6"/>
  <c r="R812" i="6" s="1"/>
  <c r="Q812" i="6"/>
  <c r="M811" i="6"/>
  <c r="R811" i="6" s="1"/>
  <c r="Q811" i="6"/>
  <c r="M810" i="6"/>
  <c r="R810" i="6" s="1"/>
  <c r="Q810" i="6"/>
  <c r="M809" i="6"/>
  <c r="R809" i="6" s="1"/>
  <c r="Q809" i="6"/>
  <c r="M808" i="6"/>
  <c r="R808" i="6" s="1"/>
  <c r="Q808" i="6"/>
  <c r="M807" i="6"/>
  <c r="R807" i="6" s="1"/>
  <c r="Q807" i="6"/>
  <c r="M806" i="6"/>
  <c r="R806" i="6" s="1"/>
  <c r="Q806" i="6"/>
  <c r="M805" i="6"/>
  <c r="R805" i="6" s="1"/>
  <c r="Q805" i="6"/>
  <c r="M804" i="6"/>
  <c r="R804" i="6" s="1"/>
  <c r="Q804" i="6"/>
  <c r="M803" i="6"/>
  <c r="R803" i="6" s="1"/>
  <c r="Q803" i="6"/>
  <c r="M802" i="6"/>
  <c r="R802" i="6" s="1"/>
  <c r="Q802" i="6"/>
  <c r="M801" i="6"/>
  <c r="R801" i="6" s="1"/>
  <c r="Q801" i="6"/>
  <c r="M800" i="6"/>
  <c r="R800" i="6" s="1"/>
  <c r="Q800" i="6"/>
  <c r="M799" i="6"/>
  <c r="R799" i="6" s="1"/>
  <c r="Q799" i="6"/>
  <c r="M798" i="6"/>
  <c r="R798" i="6" s="1"/>
  <c r="Q798" i="6"/>
  <c r="M797" i="6"/>
  <c r="R797" i="6" s="1"/>
  <c r="Q797" i="6"/>
  <c r="M796" i="6"/>
  <c r="R796" i="6" s="1"/>
  <c r="Q796" i="6"/>
  <c r="M795" i="6"/>
  <c r="R795" i="6" s="1"/>
  <c r="Q795" i="6"/>
  <c r="M794" i="6"/>
  <c r="R794" i="6" s="1"/>
  <c r="Q794" i="6"/>
  <c r="M793" i="6"/>
  <c r="R793" i="6" s="1"/>
  <c r="Q793" i="6"/>
  <c r="M792" i="6"/>
  <c r="R792" i="6" s="1"/>
  <c r="Q792" i="6"/>
  <c r="M791" i="6"/>
  <c r="R791" i="6" s="1"/>
  <c r="Q791" i="6"/>
  <c r="M790" i="6"/>
  <c r="R790" i="6" s="1"/>
  <c r="Q790" i="6"/>
  <c r="M789" i="6"/>
  <c r="R789" i="6" s="1"/>
  <c r="Q789" i="6"/>
  <c r="M788" i="6"/>
  <c r="R788" i="6" s="1"/>
  <c r="Q788" i="6"/>
  <c r="M787" i="6"/>
  <c r="R787" i="6" s="1"/>
  <c r="Q787" i="6"/>
  <c r="M786" i="6"/>
  <c r="R786" i="6" s="1"/>
  <c r="Q786" i="6"/>
  <c r="M785" i="6"/>
  <c r="R785" i="6" s="1"/>
  <c r="Q785" i="6"/>
  <c r="M784" i="6"/>
  <c r="R784" i="6" s="1"/>
  <c r="Q784" i="6"/>
  <c r="M783" i="6"/>
  <c r="R783" i="6" s="1"/>
  <c r="Q783" i="6"/>
  <c r="M782" i="6"/>
  <c r="R782" i="6" s="1"/>
  <c r="Q782" i="6"/>
  <c r="M781" i="6"/>
  <c r="R781" i="6" s="1"/>
  <c r="Q781" i="6"/>
  <c r="M1036" i="6"/>
  <c r="R1036" i="6" s="1"/>
  <c r="Q1036" i="6"/>
  <c r="M1035" i="6"/>
  <c r="R1035" i="6" s="1"/>
  <c r="Q1035" i="6"/>
  <c r="M1034" i="6"/>
  <c r="R1034" i="6" s="1"/>
  <c r="Q1034" i="6"/>
  <c r="M1033" i="6"/>
  <c r="R1033" i="6" s="1"/>
  <c r="Q1033" i="6"/>
  <c r="M1032" i="6"/>
  <c r="R1032" i="6" s="1"/>
  <c r="Q1032" i="6"/>
  <c r="M1031" i="6"/>
  <c r="R1031" i="6" s="1"/>
  <c r="Q1031" i="6"/>
  <c r="M1030" i="6"/>
  <c r="R1030" i="6" s="1"/>
  <c r="Q1030" i="6"/>
  <c r="M1029" i="6"/>
  <c r="R1029" i="6" s="1"/>
  <c r="Q1029" i="6"/>
  <c r="M1028" i="6"/>
  <c r="R1028" i="6" s="1"/>
  <c r="Q1028" i="6"/>
  <c r="M1027" i="6"/>
  <c r="R1027" i="6" s="1"/>
  <c r="Q1027" i="6"/>
  <c r="M1026" i="6"/>
  <c r="R1026" i="6" s="1"/>
  <c r="Q1026" i="6"/>
  <c r="M1025" i="6"/>
  <c r="R1025" i="6" s="1"/>
  <c r="Q1025" i="6"/>
  <c r="M1024" i="6"/>
  <c r="R1024" i="6" s="1"/>
  <c r="Q1024" i="6"/>
  <c r="M1023" i="6"/>
  <c r="R1023" i="6" s="1"/>
  <c r="Q1023" i="6"/>
  <c r="M1022" i="6"/>
  <c r="R1022" i="6" s="1"/>
  <c r="Q1022" i="6"/>
  <c r="M1021" i="6"/>
  <c r="R1021" i="6" s="1"/>
  <c r="Q1021" i="6"/>
  <c r="M1020" i="6"/>
  <c r="R1020" i="6" s="1"/>
  <c r="Q1020" i="6"/>
  <c r="M1019" i="6"/>
  <c r="R1019" i="6" s="1"/>
  <c r="Q1019" i="6"/>
  <c r="M1018" i="6"/>
  <c r="R1018" i="6" s="1"/>
  <c r="Q1018" i="6"/>
  <c r="M1017" i="6"/>
  <c r="R1017" i="6" s="1"/>
  <c r="Q1017" i="6"/>
  <c r="M1016" i="6"/>
  <c r="R1016" i="6" s="1"/>
  <c r="Q1016" i="6"/>
  <c r="M1015" i="6"/>
  <c r="R1015" i="6" s="1"/>
  <c r="Q1015" i="6"/>
  <c r="M1014" i="6"/>
  <c r="R1014" i="6" s="1"/>
  <c r="Q1014" i="6"/>
  <c r="M1013" i="6"/>
  <c r="R1013" i="6" s="1"/>
  <c r="Q1013" i="6"/>
  <c r="M1012" i="6"/>
  <c r="R1012" i="6" s="1"/>
  <c r="Q1012" i="6"/>
  <c r="M1011" i="6"/>
  <c r="R1011" i="6" s="1"/>
  <c r="Q1011" i="6"/>
  <c r="M1010" i="6"/>
  <c r="R1010" i="6" s="1"/>
  <c r="Q1010" i="6"/>
  <c r="M1009" i="6"/>
  <c r="R1009" i="6" s="1"/>
  <c r="Q1009" i="6"/>
  <c r="M1008" i="6"/>
  <c r="R1008" i="6" s="1"/>
  <c r="Q1008" i="6"/>
  <c r="M1007" i="6"/>
  <c r="R1007" i="6" s="1"/>
  <c r="Q1007" i="6"/>
  <c r="M1006" i="6"/>
  <c r="R1006" i="6" s="1"/>
  <c r="Q1006" i="6"/>
  <c r="M1005" i="6"/>
  <c r="R1005" i="6" s="1"/>
  <c r="Q1005" i="6"/>
  <c r="M1004" i="6"/>
  <c r="R1004" i="6" s="1"/>
  <c r="Q1004" i="6"/>
  <c r="M1003" i="6"/>
  <c r="R1003" i="6" s="1"/>
  <c r="Q1003" i="6"/>
  <c r="M1002" i="6"/>
  <c r="R1002" i="6" s="1"/>
  <c r="Q1002" i="6"/>
  <c r="M1001" i="6"/>
  <c r="R1001" i="6" s="1"/>
  <c r="Q1001" i="6"/>
  <c r="M1000" i="6"/>
  <c r="R1000" i="6" s="1"/>
  <c r="Q1000" i="6"/>
  <c r="M999" i="6"/>
  <c r="R999" i="6" s="1"/>
  <c r="Q999" i="6"/>
  <c r="M998" i="6"/>
  <c r="R998" i="6" s="1"/>
  <c r="Q998" i="6"/>
  <c r="M997" i="6"/>
  <c r="R997" i="6" s="1"/>
  <c r="Q997" i="6"/>
  <c r="M996" i="6"/>
  <c r="R996" i="6" s="1"/>
  <c r="Q996" i="6"/>
  <c r="M995" i="6"/>
  <c r="R995" i="6" s="1"/>
  <c r="Q995" i="6"/>
  <c r="M994" i="6"/>
  <c r="R994" i="6" s="1"/>
  <c r="Q994" i="6"/>
  <c r="M993" i="6"/>
  <c r="R993" i="6" s="1"/>
  <c r="Q993" i="6"/>
  <c r="M992" i="6"/>
  <c r="R992" i="6" s="1"/>
  <c r="Q992" i="6"/>
  <c r="M991" i="6"/>
  <c r="R991" i="6" s="1"/>
  <c r="Q991" i="6"/>
  <c r="M990" i="6"/>
  <c r="R990" i="6" s="1"/>
  <c r="Q990" i="6"/>
  <c r="M989" i="6"/>
  <c r="R989" i="6" s="1"/>
  <c r="Q989" i="6"/>
  <c r="M988" i="6"/>
  <c r="R988" i="6" s="1"/>
  <c r="Q988" i="6"/>
  <c r="M987" i="6"/>
  <c r="R987" i="6" s="1"/>
  <c r="Q987" i="6"/>
  <c r="M986" i="6"/>
  <c r="R986" i="6" s="1"/>
  <c r="Q986" i="6"/>
  <c r="M985" i="6"/>
  <c r="R985" i="6" s="1"/>
  <c r="Q985" i="6"/>
  <c r="M984" i="6"/>
  <c r="R984" i="6" s="1"/>
  <c r="Q984" i="6"/>
  <c r="M983" i="6"/>
  <c r="R983" i="6" s="1"/>
  <c r="Q983" i="6"/>
  <c r="M982" i="6"/>
  <c r="R982" i="6" s="1"/>
  <c r="Q982" i="6"/>
  <c r="M981" i="6"/>
  <c r="R981" i="6" s="1"/>
  <c r="Q981" i="6"/>
  <c r="M980" i="6"/>
  <c r="R980" i="6" s="1"/>
  <c r="Q980" i="6"/>
  <c r="M979" i="6"/>
  <c r="R979" i="6" s="1"/>
  <c r="Q979" i="6"/>
  <c r="M978" i="6"/>
  <c r="R978" i="6" s="1"/>
  <c r="Q978" i="6"/>
  <c r="M977" i="6"/>
  <c r="R977" i="6" s="1"/>
  <c r="Q977" i="6"/>
  <c r="M976" i="6"/>
  <c r="R976" i="6" s="1"/>
  <c r="Q976" i="6"/>
  <c r="M975" i="6"/>
  <c r="R975" i="6" s="1"/>
  <c r="Q975" i="6"/>
  <c r="M974" i="6"/>
  <c r="R974" i="6" s="1"/>
  <c r="Q974" i="6"/>
  <c r="M973" i="6"/>
  <c r="R973" i="6" s="1"/>
  <c r="Q973" i="6"/>
  <c r="M972" i="6"/>
  <c r="R972" i="6" s="1"/>
  <c r="Q972" i="6"/>
  <c r="M971" i="6"/>
  <c r="R971" i="6" s="1"/>
  <c r="Q971" i="6"/>
  <c r="M970" i="6"/>
  <c r="R970" i="6" s="1"/>
  <c r="Q970" i="6"/>
  <c r="M969" i="6"/>
  <c r="R969" i="6" s="1"/>
  <c r="Q969" i="6"/>
  <c r="M968" i="6"/>
  <c r="R968" i="6" s="1"/>
  <c r="Q968" i="6"/>
  <c r="M967" i="6"/>
  <c r="R967" i="6" s="1"/>
  <c r="Q967" i="6"/>
  <c r="M966" i="6"/>
  <c r="R966" i="6" s="1"/>
  <c r="Q966" i="6"/>
  <c r="M965" i="6"/>
  <c r="R965" i="6" s="1"/>
  <c r="Q965" i="6"/>
  <c r="M964" i="6"/>
  <c r="R964" i="6" s="1"/>
  <c r="Q964" i="6"/>
  <c r="M963" i="6"/>
  <c r="R963" i="6" s="1"/>
  <c r="Q963" i="6"/>
  <c r="M962" i="6"/>
  <c r="R962" i="6" s="1"/>
  <c r="Q962" i="6"/>
  <c r="M961" i="6"/>
  <c r="R961" i="6" s="1"/>
  <c r="Q961" i="6"/>
  <c r="M960" i="6"/>
  <c r="R960" i="6" s="1"/>
  <c r="Q960" i="6"/>
  <c r="M959" i="6"/>
  <c r="R959" i="6" s="1"/>
  <c r="Q959" i="6"/>
  <c r="M958" i="6"/>
  <c r="R958" i="6" s="1"/>
  <c r="Q958" i="6"/>
  <c r="M957" i="6"/>
  <c r="R957" i="6" s="1"/>
  <c r="Q957" i="6"/>
  <c r="M956" i="6"/>
  <c r="R956" i="6" s="1"/>
  <c r="Q956" i="6"/>
  <c r="M955" i="6"/>
  <c r="R955" i="6" s="1"/>
  <c r="Q955" i="6"/>
  <c r="M897" i="6"/>
  <c r="R897" i="6" s="1"/>
  <c r="Q897" i="6"/>
  <c r="M896" i="6"/>
  <c r="R896" i="6" s="1"/>
  <c r="Q896" i="6"/>
  <c r="M895" i="6"/>
  <c r="R895" i="6" s="1"/>
  <c r="Q895" i="6"/>
  <c r="M894" i="6"/>
  <c r="R894" i="6" s="1"/>
  <c r="Q894" i="6"/>
  <c r="M893" i="6"/>
  <c r="R893" i="6" s="1"/>
  <c r="Q893" i="6"/>
  <c r="M892" i="6"/>
  <c r="R892" i="6" s="1"/>
  <c r="Q892" i="6"/>
  <c r="M891" i="6"/>
  <c r="R891" i="6" s="1"/>
  <c r="Q891" i="6"/>
  <c r="M890" i="6"/>
  <c r="R890" i="6" s="1"/>
  <c r="Q890" i="6"/>
  <c r="M889" i="6"/>
  <c r="R889" i="6" s="1"/>
  <c r="Q889" i="6"/>
  <c r="M888" i="6"/>
  <c r="R888" i="6" s="1"/>
  <c r="Q888" i="6"/>
  <c r="M887" i="6"/>
  <c r="R887" i="6" s="1"/>
  <c r="Q887" i="6"/>
  <c r="M886" i="6"/>
  <c r="R886" i="6" s="1"/>
  <c r="Q886" i="6"/>
  <c r="M885" i="6"/>
  <c r="R885" i="6" s="1"/>
  <c r="Q885" i="6"/>
  <c r="M884" i="6"/>
  <c r="R884" i="6" s="1"/>
  <c r="Q884" i="6"/>
  <c r="M883" i="6"/>
  <c r="R883" i="6" s="1"/>
  <c r="Q883" i="6"/>
  <c r="M882" i="6"/>
  <c r="R882" i="6" s="1"/>
  <c r="Q882" i="6"/>
  <c r="M881" i="6"/>
  <c r="R881" i="6" s="1"/>
  <c r="Q881" i="6"/>
  <c r="M880" i="6"/>
  <c r="R880" i="6" s="1"/>
  <c r="Q880" i="6"/>
  <c r="M879" i="6"/>
  <c r="R879" i="6" s="1"/>
  <c r="Q879" i="6"/>
  <c r="M878" i="6"/>
  <c r="R878" i="6" s="1"/>
  <c r="Q878" i="6"/>
  <c r="M877" i="6"/>
  <c r="R877" i="6" s="1"/>
  <c r="Q877" i="6"/>
  <c r="M780" i="6"/>
  <c r="R780" i="6" s="1"/>
  <c r="Q780" i="6"/>
  <c r="M779" i="6"/>
  <c r="R779" i="6" s="1"/>
  <c r="Q779" i="6"/>
  <c r="M778" i="6"/>
  <c r="R778" i="6" s="1"/>
  <c r="Q778" i="6"/>
  <c r="M777" i="6"/>
  <c r="R777" i="6" s="1"/>
  <c r="Q777" i="6"/>
  <c r="M776" i="6"/>
  <c r="R776" i="6" s="1"/>
  <c r="Q776" i="6"/>
  <c r="M775" i="6"/>
  <c r="R775" i="6" s="1"/>
  <c r="Q775" i="6"/>
  <c r="M774" i="6"/>
  <c r="R774" i="6" s="1"/>
  <c r="Q774" i="6"/>
  <c r="M773" i="6"/>
  <c r="R773" i="6" s="1"/>
  <c r="Q773" i="6"/>
  <c r="M772" i="6"/>
  <c r="R772" i="6" s="1"/>
  <c r="Q772" i="6"/>
  <c r="M771" i="6"/>
  <c r="R771" i="6" s="1"/>
  <c r="Q771" i="6"/>
  <c r="M770" i="6"/>
  <c r="R770" i="6" s="1"/>
  <c r="Q770" i="6"/>
  <c r="M769" i="6"/>
  <c r="R769" i="6" s="1"/>
  <c r="Q769" i="6"/>
  <c r="M768" i="6"/>
  <c r="R768" i="6" s="1"/>
  <c r="Q768" i="6"/>
  <c r="M767" i="6"/>
  <c r="R767" i="6" s="1"/>
  <c r="Q767" i="6"/>
  <c r="M766" i="6"/>
  <c r="R766" i="6" s="1"/>
  <c r="Q766" i="6"/>
  <c r="M765" i="6"/>
  <c r="R765" i="6" s="1"/>
  <c r="Q765" i="6"/>
  <c r="M764" i="6"/>
  <c r="R764" i="6" s="1"/>
  <c r="Q764" i="6"/>
  <c r="M763" i="6"/>
  <c r="R763" i="6" s="1"/>
  <c r="Q763" i="6"/>
  <c r="M762" i="6"/>
  <c r="R762" i="6" s="1"/>
  <c r="Q762" i="6"/>
  <c r="M761" i="6"/>
  <c r="R761" i="6" s="1"/>
  <c r="Q761" i="6"/>
  <c r="M760" i="6"/>
  <c r="R760" i="6" s="1"/>
  <c r="Q760" i="6"/>
  <c r="M759" i="6"/>
  <c r="R759" i="6" s="1"/>
  <c r="Q759" i="6"/>
  <c r="M758" i="6"/>
  <c r="R758" i="6" s="1"/>
  <c r="Q758" i="6"/>
  <c r="M757" i="6"/>
  <c r="R757" i="6" s="1"/>
  <c r="Q757" i="6"/>
  <c r="M756" i="6"/>
  <c r="R756" i="6" s="1"/>
  <c r="Q756" i="6"/>
  <c r="M755" i="6"/>
  <c r="R755" i="6" s="1"/>
  <c r="Q755" i="6"/>
  <c r="M754" i="6"/>
  <c r="R754" i="6" s="1"/>
  <c r="Q754" i="6"/>
  <c r="M753" i="6"/>
  <c r="R753" i="6" s="1"/>
  <c r="Q753" i="6"/>
  <c r="M752" i="6"/>
  <c r="R752" i="6" s="1"/>
  <c r="Q752" i="6"/>
  <c r="M751" i="6"/>
  <c r="R751" i="6" s="1"/>
  <c r="Q751" i="6"/>
  <c r="M750" i="6"/>
  <c r="R750" i="6" s="1"/>
  <c r="Q750" i="6"/>
  <c r="M749" i="6"/>
  <c r="R749" i="6" s="1"/>
  <c r="Q749" i="6"/>
  <c r="M748" i="6"/>
  <c r="R748" i="6" s="1"/>
  <c r="Q748" i="6"/>
  <c r="M747" i="6"/>
  <c r="R747" i="6" s="1"/>
  <c r="Q747" i="6"/>
  <c r="M746" i="6"/>
  <c r="R746" i="6" s="1"/>
  <c r="Q746" i="6"/>
  <c r="M745" i="6"/>
  <c r="R745" i="6" s="1"/>
  <c r="Q745" i="6"/>
  <c r="M744" i="6"/>
  <c r="R744" i="6" s="1"/>
  <c r="Q744" i="6"/>
  <c r="M743" i="6"/>
  <c r="R743" i="6" s="1"/>
  <c r="Q743" i="6"/>
  <c r="M742" i="6"/>
  <c r="R742" i="6" s="1"/>
  <c r="Q742" i="6"/>
  <c r="M741" i="6"/>
  <c r="R741" i="6" s="1"/>
  <c r="Q741" i="6"/>
  <c r="M740" i="6"/>
  <c r="R740" i="6" s="1"/>
  <c r="Q740" i="6"/>
  <c r="M739" i="6"/>
  <c r="R739" i="6" s="1"/>
  <c r="Q739" i="6"/>
  <c r="M738" i="6"/>
  <c r="R738" i="6" s="1"/>
  <c r="Q738" i="6"/>
  <c r="M737" i="6"/>
  <c r="R737" i="6" s="1"/>
  <c r="Q737" i="6"/>
  <c r="M736" i="6"/>
  <c r="R736" i="6" s="1"/>
  <c r="Q736" i="6"/>
  <c r="M735" i="6"/>
  <c r="R735" i="6" s="1"/>
  <c r="Q735" i="6"/>
  <c r="M734" i="6"/>
  <c r="R734" i="6" s="1"/>
  <c r="Q734" i="6"/>
  <c r="M733" i="6"/>
  <c r="R733" i="6" s="1"/>
  <c r="Q733" i="6"/>
  <c r="M732" i="6"/>
  <c r="R732" i="6" s="1"/>
  <c r="Q732" i="6"/>
  <c r="M731" i="6"/>
  <c r="R731" i="6" s="1"/>
  <c r="Q731" i="6"/>
  <c r="M730" i="6"/>
  <c r="R730" i="6" s="1"/>
  <c r="Q730" i="6"/>
  <c r="M729" i="6"/>
  <c r="R729" i="6" s="1"/>
  <c r="Q729" i="6"/>
  <c r="M728" i="6"/>
  <c r="R728" i="6" s="1"/>
  <c r="Q728" i="6"/>
  <c r="M727" i="6"/>
  <c r="R727" i="6" s="1"/>
  <c r="Q727" i="6"/>
  <c r="M726" i="6"/>
  <c r="R726" i="6" s="1"/>
  <c r="Q726" i="6"/>
  <c r="M725" i="6"/>
  <c r="R725" i="6" s="1"/>
  <c r="Q725" i="6"/>
  <c r="M724" i="6"/>
  <c r="R724" i="6" s="1"/>
  <c r="Q724" i="6"/>
  <c r="M723" i="6"/>
  <c r="R723" i="6" s="1"/>
  <c r="Q723" i="6"/>
  <c r="M722" i="6"/>
  <c r="R722" i="6" s="1"/>
  <c r="Q722" i="6"/>
  <c r="M721" i="6"/>
  <c r="R721" i="6" s="1"/>
  <c r="Q721" i="6"/>
  <c r="M720" i="6"/>
  <c r="R720" i="6" s="1"/>
  <c r="Q720" i="6"/>
  <c r="M719" i="6"/>
  <c r="R719" i="6" s="1"/>
  <c r="Q719" i="6"/>
  <c r="M718" i="6"/>
  <c r="R718" i="6" s="1"/>
  <c r="Q718" i="6"/>
  <c r="M717" i="6"/>
  <c r="R717" i="6" s="1"/>
  <c r="Q717" i="6"/>
  <c r="M716" i="6"/>
  <c r="R716" i="6" s="1"/>
  <c r="Q716" i="6"/>
  <c r="M715" i="6"/>
  <c r="R715" i="6" s="1"/>
  <c r="Q715" i="6"/>
  <c r="M714" i="6"/>
  <c r="R714" i="6" s="1"/>
  <c r="Q714" i="6"/>
  <c r="M713" i="6"/>
  <c r="R713" i="6" s="1"/>
  <c r="Q713" i="6"/>
  <c r="M712" i="6"/>
  <c r="R712" i="6" s="1"/>
  <c r="Q712" i="6"/>
  <c r="M711" i="6"/>
  <c r="R711" i="6" s="1"/>
  <c r="Q711" i="6"/>
  <c r="M710" i="6"/>
  <c r="R710" i="6" s="1"/>
  <c r="Q710" i="6"/>
  <c r="M709" i="6"/>
  <c r="R709" i="6" s="1"/>
  <c r="Q709" i="6"/>
  <c r="M708" i="6"/>
  <c r="R708" i="6" s="1"/>
  <c r="Q708" i="6"/>
  <c r="M707" i="6"/>
  <c r="R707" i="6" s="1"/>
  <c r="Q707" i="6"/>
  <c r="M706" i="6"/>
  <c r="R706" i="6" s="1"/>
  <c r="Q706" i="6"/>
  <c r="M705" i="6"/>
  <c r="R705" i="6" s="1"/>
  <c r="Q705" i="6"/>
  <c r="M704" i="6"/>
  <c r="R704" i="6" s="1"/>
  <c r="Q704" i="6"/>
  <c r="M703" i="6"/>
  <c r="R703" i="6" s="1"/>
  <c r="Q703" i="6"/>
  <c r="M702" i="6"/>
  <c r="R702" i="6" s="1"/>
  <c r="Q702" i="6"/>
  <c r="M701" i="6"/>
  <c r="R701" i="6" s="1"/>
  <c r="Q701" i="6"/>
  <c r="M700" i="6"/>
  <c r="R700" i="6" s="1"/>
  <c r="Q700" i="6"/>
  <c r="M699" i="6"/>
  <c r="R699" i="6" s="1"/>
  <c r="Q699" i="6"/>
  <c r="M698" i="6"/>
  <c r="R698" i="6" s="1"/>
  <c r="Q698" i="6"/>
  <c r="M697" i="6"/>
  <c r="R697" i="6" s="1"/>
  <c r="Q697" i="6"/>
  <c r="M696" i="6"/>
  <c r="R696" i="6" s="1"/>
  <c r="Q696" i="6"/>
  <c r="M695" i="6"/>
  <c r="R695" i="6" s="1"/>
  <c r="Q695" i="6"/>
  <c r="M694" i="6"/>
  <c r="R694" i="6" s="1"/>
  <c r="Q694" i="6"/>
  <c r="M693" i="6"/>
  <c r="R693" i="6" s="1"/>
  <c r="Q693" i="6"/>
  <c r="M692" i="6"/>
  <c r="R692" i="6" s="1"/>
  <c r="Q692" i="6"/>
  <c r="M691" i="6"/>
  <c r="R691" i="6" s="1"/>
  <c r="Q691" i="6"/>
  <c r="M690" i="6"/>
  <c r="R690" i="6" s="1"/>
  <c r="Q690" i="6"/>
  <c r="M689" i="6"/>
  <c r="R689" i="6" s="1"/>
  <c r="Q689" i="6"/>
  <c r="M688" i="6"/>
  <c r="R688" i="6" s="1"/>
  <c r="Q688" i="6"/>
  <c r="M687" i="6"/>
  <c r="R687" i="6" s="1"/>
  <c r="Q687" i="6"/>
  <c r="M686" i="6"/>
  <c r="R686" i="6" s="1"/>
  <c r="Q686" i="6"/>
  <c r="M685" i="6"/>
  <c r="R685" i="6" s="1"/>
  <c r="Q685" i="6"/>
  <c r="M684" i="6"/>
  <c r="R684" i="6" s="1"/>
  <c r="Q684" i="6"/>
  <c r="M683" i="6"/>
  <c r="R683" i="6" s="1"/>
  <c r="Q683" i="6"/>
  <c r="M682" i="6"/>
  <c r="R682" i="6" s="1"/>
  <c r="Q682" i="6"/>
  <c r="M681" i="6"/>
  <c r="R681" i="6" s="1"/>
  <c r="Q681" i="6"/>
  <c r="M680" i="6"/>
  <c r="R680" i="6" s="1"/>
  <c r="Q680" i="6"/>
  <c r="M679" i="6"/>
  <c r="R679" i="6" s="1"/>
  <c r="Q679" i="6"/>
  <c r="M678" i="6"/>
  <c r="R678" i="6" s="1"/>
  <c r="Q678" i="6"/>
  <c r="M677" i="6"/>
  <c r="R677" i="6" s="1"/>
  <c r="Q677" i="6"/>
  <c r="M676" i="6"/>
  <c r="R676" i="6" s="1"/>
  <c r="Q676" i="6"/>
  <c r="M675" i="6"/>
  <c r="R675" i="6" s="1"/>
  <c r="Q675" i="6"/>
  <c r="M674" i="6"/>
  <c r="R674" i="6" s="1"/>
  <c r="Q674" i="6"/>
  <c r="M673" i="6"/>
  <c r="R673" i="6" s="1"/>
  <c r="Q673" i="6"/>
  <c r="M672" i="6"/>
  <c r="R672" i="6" s="1"/>
  <c r="Q672" i="6"/>
  <c r="M671" i="6"/>
  <c r="R671" i="6" s="1"/>
  <c r="Q671" i="6"/>
  <c r="M670" i="6"/>
  <c r="R670" i="6" s="1"/>
  <c r="Q670" i="6"/>
  <c r="M669" i="6"/>
  <c r="R669" i="6" s="1"/>
  <c r="Q669" i="6"/>
  <c r="M668" i="6"/>
  <c r="R668" i="6" s="1"/>
  <c r="Q668" i="6"/>
  <c r="M667" i="6"/>
  <c r="R667" i="6" s="1"/>
  <c r="Q667" i="6"/>
  <c r="M666" i="6"/>
  <c r="R666" i="6" s="1"/>
  <c r="Q666" i="6"/>
  <c r="M665" i="6"/>
  <c r="R665" i="6" s="1"/>
  <c r="Q665" i="6"/>
  <c r="M664" i="6"/>
  <c r="R664" i="6" s="1"/>
  <c r="Q664" i="6"/>
  <c r="M663" i="6"/>
  <c r="R663" i="6" s="1"/>
  <c r="Q663" i="6"/>
  <c r="M662" i="6"/>
  <c r="R662" i="6" s="1"/>
  <c r="Q662" i="6"/>
  <c r="M661" i="6"/>
  <c r="R661" i="6" s="1"/>
  <c r="Q661" i="6"/>
  <c r="M660" i="6"/>
  <c r="R660" i="6" s="1"/>
  <c r="Q660" i="6"/>
  <c r="M659" i="6"/>
  <c r="R659" i="6" s="1"/>
  <c r="Q659" i="6"/>
  <c r="M658" i="6"/>
  <c r="R658" i="6" s="1"/>
  <c r="Q658" i="6"/>
  <c r="M657" i="6"/>
  <c r="R657" i="6" s="1"/>
  <c r="Q657" i="6"/>
  <c r="M656" i="6"/>
  <c r="R656" i="6" s="1"/>
  <c r="Q656" i="6"/>
  <c r="M655" i="6"/>
  <c r="R655" i="6" s="1"/>
  <c r="Q655" i="6"/>
  <c r="M654" i="6"/>
  <c r="R654" i="6" s="1"/>
  <c r="Q654" i="6"/>
  <c r="M653" i="6"/>
  <c r="R653" i="6" s="1"/>
  <c r="Q653" i="6"/>
  <c r="M652" i="6"/>
  <c r="R652" i="6" s="1"/>
  <c r="Q652" i="6"/>
  <c r="M651" i="6"/>
  <c r="R651" i="6" s="1"/>
  <c r="Q651" i="6"/>
  <c r="M650" i="6"/>
  <c r="R650" i="6" s="1"/>
  <c r="Q650" i="6"/>
  <c r="M649" i="6"/>
  <c r="R649" i="6" s="1"/>
  <c r="Q649" i="6"/>
  <c r="M648" i="6"/>
  <c r="R648" i="6" s="1"/>
  <c r="Q648" i="6"/>
  <c r="M647" i="6"/>
  <c r="R647" i="6" s="1"/>
  <c r="Q647" i="6"/>
  <c r="M646" i="6"/>
  <c r="R646" i="6" s="1"/>
  <c r="Q646" i="6"/>
  <c r="M645" i="6"/>
  <c r="R645" i="6" s="1"/>
  <c r="Q645" i="6"/>
  <c r="M644" i="6"/>
  <c r="R644" i="6" s="1"/>
  <c r="Q644" i="6"/>
  <c r="M643" i="6"/>
  <c r="R643" i="6" s="1"/>
  <c r="Q643" i="6"/>
  <c r="M642" i="6"/>
  <c r="R642" i="6" s="1"/>
  <c r="Q642" i="6"/>
  <c r="M641" i="6"/>
  <c r="R641" i="6" s="1"/>
  <c r="Q641" i="6"/>
  <c r="M640" i="6"/>
  <c r="R640" i="6" s="1"/>
  <c r="Q640" i="6"/>
  <c r="M639" i="6"/>
  <c r="R639" i="6" s="1"/>
  <c r="Q639" i="6"/>
  <c r="M638" i="6"/>
  <c r="R638" i="6" s="1"/>
  <c r="Q638" i="6"/>
  <c r="M637" i="6"/>
  <c r="R637" i="6" s="1"/>
  <c r="Q637" i="6"/>
  <c r="M636" i="6"/>
  <c r="R636" i="6" s="1"/>
  <c r="Q636" i="6"/>
  <c r="M635" i="6"/>
  <c r="R635" i="6" s="1"/>
  <c r="Q635" i="6"/>
  <c r="M634" i="6"/>
  <c r="R634" i="6" s="1"/>
  <c r="Q634" i="6"/>
  <c r="M633" i="6"/>
  <c r="R633" i="6" s="1"/>
  <c r="Q633" i="6"/>
  <c r="M632" i="6"/>
  <c r="R632" i="6" s="1"/>
  <c r="Q632" i="6"/>
  <c r="M631" i="6"/>
  <c r="R631" i="6" s="1"/>
  <c r="Q631" i="6"/>
  <c r="M630" i="6"/>
  <c r="R630" i="6" s="1"/>
  <c r="Q630" i="6"/>
  <c r="M629" i="6"/>
  <c r="R629" i="6" s="1"/>
  <c r="Q629" i="6"/>
  <c r="M628" i="6"/>
  <c r="R628" i="6" s="1"/>
  <c r="Q628" i="6"/>
  <c r="M627" i="6"/>
  <c r="R627" i="6" s="1"/>
  <c r="Q627" i="6"/>
  <c r="M626" i="6"/>
  <c r="R626" i="6" s="1"/>
  <c r="Q626" i="6"/>
  <c r="M625" i="6"/>
  <c r="R625" i="6" s="1"/>
  <c r="Q625" i="6"/>
  <c r="M624" i="6"/>
  <c r="R624" i="6" s="1"/>
  <c r="Q624" i="6"/>
  <c r="M623" i="6"/>
  <c r="R623" i="6" s="1"/>
  <c r="Q623" i="6"/>
  <c r="M622" i="6"/>
  <c r="R622" i="6" s="1"/>
  <c r="Q622" i="6"/>
  <c r="M621" i="6"/>
  <c r="R621" i="6" s="1"/>
  <c r="Q621" i="6"/>
  <c r="M620" i="6"/>
  <c r="R620" i="6" s="1"/>
  <c r="Q620" i="6"/>
  <c r="M619" i="6"/>
  <c r="R619" i="6" s="1"/>
  <c r="Q619" i="6"/>
  <c r="M618" i="6"/>
  <c r="R618" i="6" s="1"/>
  <c r="Q618" i="6"/>
  <c r="M617" i="6"/>
  <c r="R617" i="6" s="1"/>
  <c r="Q617" i="6"/>
  <c r="M616" i="6"/>
  <c r="R616" i="6" s="1"/>
  <c r="Q616" i="6"/>
  <c r="M615" i="6"/>
  <c r="R615" i="6" s="1"/>
  <c r="Q615" i="6"/>
  <c r="M614" i="6"/>
  <c r="R614" i="6" s="1"/>
  <c r="Q614" i="6"/>
  <c r="M613" i="6"/>
  <c r="R613" i="6" s="1"/>
  <c r="Q613" i="6"/>
  <c r="M612" i="6"/>
  <c r="R612" i="6" s="1"/>
  <c r="Q612" i="6"/>
  <c r="M611" i="6"/>
  <c r="R611" i="6" s="1"/>
  <c r="Q611" i="6"/>
  <c r="M610" i="6"/>
  <c r="R610" i="6" s="1"/>
  <c r="Q610" i="6"/>
  <c r="M609" i="6"/>
  <c r="R609" i="6" s="1"/>
  <c r="Q609" i="6"/>
  <c r="M608" i="6"/>
  <c r="R608" i="6" s="1"/>
  <c r="Q608" i="6"/>
  <c r="M607" i="6"/>
  <c r="R607" i="6" s="1"/>
  <c r="Q607" i="6"/>
  <c r="M606" i="6"/>
  <c r="R606" i="6" s="1"/>
  <c r="Q606" i="6"/>
  <c r="M605" i="6"/>
  <c r="R605" i="6" s="1"/>
  <c r="Q605" i="6"/>
  <c r="M604" i="6"/>
  <c r="R604" i="6" s="1"/>
  <c r="Q604" i="6"/>
  <c r="M603" i="6"/>
  <c r="R603" i="6" s="1"/>
  <c r="Q603" i="6"/>
  <c r="M602" i="6"/>
  <c r="R602" i="6" s="1"/>
  <c r="Q602" i="6"/>
  <c r="M601" i="6"/>
  <c r="R601" i="6" s="1"/>
  <c r="Q601" i="6"/>
  <c r="M600" i="6"/>
  <c r="R600" i="6" s="1"/>
  <c r="Q600" i="6"/>
  <c r="M599" i="6"/>
  <c r="R599" i="6" s="1"/>
  <c r="Q599" i="6"/>
  <c r="M598" i="6"/>
  <c r="R598" i="6" s="1"/>
  <c r="Q598" i="6"/>
  <c r="M597" i="6"/>
  <c r="R597" i="6" s="1"/>
  <c r="Q597" i="6"/>
  <c r="M596" i="6"/>
  <c r="R596" i="6" s="1"/>
  <c r="Q596" i="6"/>
  <c r="M595" i="6"/>
  <c r="R595" i="6" s="1"/>
  <c r="Q595" i="6"/>
  <c r="M594" i="6"/>
  <c r="R594" i="6" s="1"/>
  <c r="Q594" i="6"/>
  <c r="M593" i="6"/>
  <c r="R593" i="6" s="1"/>
  <c r="Q593" i="6"/>
  <c r="M592" i="6"/>
  <c r="R592" i="6" s="1"/>
  <c r="Q592" i="6"/>
  <c r="M591" i="6"/>
  <c r="R591" i="6" s="1"/>
  <c r="Q591" i="6"/>
  <c r="M590" i="6"/>
  <c r="R590" i="6" s="1"/>
  <c r="Q590" i="6"/>
  <c r="M589" i="6"/>
  <c r="R589" i="6" s="1"/>
  <c r="Q589" i="6"/>
  <c r="M588" i="6"/>
  <c r="R588" i="6" s="1"/>
  <c r="Q588" i="6"/>
  <c r="M587" i="6"/>
  <c r="R587" i="6" s="1"/>
  <c r="Q587" i="6"/>
  <c r="M586" i="6"/>
  <c r="R586" i="6" s="1"/>
  <c r="Q586" i="6"/>
  <c r="M585" i="6"/>
  <c r="R585" i="6" s="1"/>
  <c r="Q585" i="6"/>
  <c r="M584" i="6"/>
  <c r="R584" i="6" s="1"/>
  <c r="Q584" i="6"/>
  <c r="M583" i="6"/>
  <c r="R583" i="6" s="1"/>
  <c r="Q583" i="6"/>
  <c r="M582" i="6"/>
  <c r="R582" i="6" s="1"/>
  <c r="Q582" i="6"/>
  <c r="M581" i="6"/>
  <c r="R581" i="6" s="1"/>
  <c r="Q581" i="6"/>
  <c r="M580" i="6"/>
  <c r="R580" i="6" s="1"/>
  <c r="Q580" i="6"/>
  <c r="M579" i="6"/>
  <c r="R579" i="6" s="1"/>
  <c r="Q579" i="6"/>
  <c r="M578" i="6"/>
  <c r="R578" i="6" s="1"/>
  <c r="Q578" i="6"/>
  <c r="M577" i="6"/>
  <c r="R577" i="6" s="1"/>
  <c r="Q577" i="6"/>
  <c r="M576" i="6"/>
  <c r="R576" i="6" s="1"/>
  <c r="Q576" i="6"/>
  <c r="M575" i="6"/>
  <c r="R575" i="6" s="1"/>
  <c r="Q575" i="6"/>
  <c r="M574" i="6"/>
  <c r="R574" i="6" s="1"/>
  <c r="Q574" i="6"/>
  <c r="M573" i="6"/>
  <c r="R573" i="6" s="1"/>
  <c r="Q573" i="6"/>
  <c r="M572" i="6"/>
  <c r="R572" i="6" s="1"/>
  <c r="Q572" i="6"/>
  <c r="M571" i="6"/>
  <c r="R571" i="6" s="1"/>
  <c r="Q571" i="6"/>
  <c r="M570" i="6"/>
  <c r="R570" i="6" s="1"/>
  <c r="Q570" i="6"/>
  <c r="M569" i="6"/>
  <c r="R569" i="6" s="1"/>
  <c r="Q569" i="6"/>
  <c r="M568" i="6"/>
  <c r="R568" i="6" s="1"/>
  <c r="Q568" i="6"/>
  <c r="M567" i="6"/>
  <c r="R567" i="6" s="1"/>
  <c r="Q567" i="6"/>
  <c r="M566" i="6"/>
  <c r="R566" i="6" s="1"/>
  <c r="Q566" i="6"/>
  <c r="M565" i="6"/>
  <c r="R565" i="6" s="1"/>
  <c r="Q565" i="6"/>
  <c r="M564" i="6"/>
  <c r="R564" i="6" s="1"/>
  <c r="Q564" i="6"/>
  <c r="M563" i="6"/>
  <c r="R563" i="6" s="1"/>
  <c r="Q563" i="6"/>
  <c r="M562" i="6"/>
  <c r="R562" i="6" s="1"/>
  <c r="Q562" i="6"/>
  <c r="M561" i="6"/>
  <c r="R561" i="6" s="1"/>
  <c r="Q561" i="6"/>
  <c r="M560" i="6"/>
  <c r="R560" i="6" s="1"/>
  <c r="Q560" i="6"/>
  <c r="M559" i="6"/>
  <c r="R559" i="6" s="1"/>
  <c r="Q559" i="6"/>
  <c r="M558" i="6"/>
  <c r="R558" i="6" s="1"/>
  <c r="Q558" i="6"/>
  <c r="M557" i="6"/>
  <c r="R557" i="6" s="1"/>
  <c r="Q557" i="6"/>
  <c r="M556" i="6"/>
  <c r="R556" i="6" s="1"/>
  <c r="Q556" i="6"/>
  <c r="M555" i="6"/>
  <c r="R555" i="6" s="1"/>
  <c r="Q555" i="6"/>
  <c r="M554" i="6"/>
  <c r="R554" i="6" s="1"/>
  <c r="Q554" i="6"/>
  <c r="M553" i="6"/>
  <c r="R553" i="6" s="1"/>
  <c r="Q553" i="6"/>
  <c r="M552" i="6"/>
  <c r="R552" i="6" s="1"/>
  <c r="Q552" i="6"/>
  <c r="M551" i="6"/>
  <c r="R551" i="6" s="1"/>
  <c r="Q551" i="6"/>
  <c r="M550" i="6"/>
  <c r="R550" i="6" s="1"/>
  <c r="Q550" i="6"/>
  <c r="M549" i="6"/>
  <c r="R549" i="6" s="1"/>
  <c r="Q549" i="6"/>
  <c r="M548" i="6"/>
  <c r="R548" i="6" s="1"/>
  <c r="Q548" i="6"/>
  <c r="M547" i="6"/>
  <c r="R547" i="6" s="1"/>
  <c r="Q547" i="6"/>
  <c r="M546" i="6"/>
  <c r="R546" i="6" s="1"/>
  <c r="Q546" i="6"/>
  <c r="M545" i="6"/>
  <c r="R545" i="6" s="1"/>
  <c r="Q545" i="6"/>
  <c r="M544" i="6"/>
  <c r="R544" i="6" s="1"/>
  <c r="Q544" i="6"/>
  <c r="M543" i="6"/>
  <c r="R543" i="6" s="1"/>
  <c r="Q543" i="6"/>
  <c r="M542" i="6"/>
  <c r="R542" i="6" s="1"/>
  <c r="Q542" i="6"/>
  <c r="M541" i="6"/>
  <c r="R541" i="6" s="1"/>
  <c r="Q541" i="6"/>
  <c r="M540" i="6"/>
  <c r="R540" i="6" s="1"/>
  <c r="Q540" i="6"/>
  <c r="M539" i="6"/>
  <c r="R539" i="6" s="1"/>
  <c r="Q539" i="6"/>
  <c r="M538" i="6"/>
  <c r="R538" i="6" s="1"/>
  <c r="Q538" i="6"/>
  <c r="M537" i="6"/>
  <c r="R537" i="6" s="1"/>
  <c r="Q537" i="6"/>
  <c r="M536" i="6"/>
  <c r="R536" i="6" s="1"/>
  <c r="Q536" i="6"/>
  <c r="M535" i="6"/>
  <c r="R535" i="6" s="1"/>
  <c r="Q535" i="6"/>
  <c r="M1043" i="6"/>
  <c r="R1043" i="6" s="1"/>
  <c r="Q1043" i="6"/>
  <c r="M1047" i="6"/>
  <c r="R1047" i="6" s="1"/>
  <c r="Q1047" i="6"/>
  <c r="M1046" i="6"/>
  <c r="R1046" i="6" s="1"/>
  <c r="Q1046" i="6"/>
  <c r="M1045" i="6"/>
  <c r="R1045" i="6" s="1"/>
  <c r="Q1045" i="6"/>
  <c r="M1044" i="6"/>
  <c r="R1044" i="6" s="1"/>
  <c r="Q1044" i="6"/>
  <c r="M534" i="6"/>
  <c r="R534" i="6" s="1"/>
  <c r="Q534" i="6"/>
  <c r="M533" i="6"/>
  <c r="R533" i="6" s="1"/>
  <c r="Q533" i="6"/>
  <c r="M532" i="6"/>
  <c r="R532" i="6" s="1"/>
  <c r="Q532" i="6"/>
  <c r="M531" i="6"/>
  <c r="R531" i="6" s="1"/>
  <c r="Q531" i="6"/>
  <c r="M530" i="6"/>
  <c r="R530" i="6" s="1"/>
  <c r="Q530" i="6"/>
  <c r="M529" i="6"/>
  <c r="R529" i="6" s="1"/>
  <c r="Q529" i="6"/>
  <c r="M528" i="6"/>
  <c r="R528" i="6" s="1"/>
  <c r="Q528" i="6"/>
  <c r="M527" i="6"/>
  <c r="R527" i="6" s="1"/>
  <c r="Q527" i="6"/>
  <c r="M7" i="10" l="1"/>
  <c r="R7" i="10" s="1"/>
  <c r="Q7" i="10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6" i="4"/>
  <c r="M657" i="4"/>
  <c r="M658" i="4"/>
  <c r="M659" i="4"/>
  <c r="M655" i="4"/>
  <c r="R655" i="4" s="1"/>
  <c r="Q655" i="4"/>
  <c r="M926" i="3"/>
  <c r="R926" i="3" s="1"/>
  <c r="Q926" i="3"/>
  <c r="M927" i="3"/>
  <c r="R927" i="3" s="1"/>
  <c r="Q927" i="3"/>
  <c r="M32" i="1"/>
  <c r="R32" i="1" s="1"/>
  <c r="Q32" i="1"/>
  <c r="Q659" i="4" l="1"/>
  <c r="R659" i="4"/>
  <c r="Q658" i="4"/>
  <c r="R658" i="4"/>
  <c r="Q657" i="4"/>
  <c r="R657" i="4"/>
  <c r="Q656" i="4"/>
  <c r="R656" i="4"/>
  <c r="Q654" i="4"/>
  <c r="R654" i="4"/>
  <c r="Q653" i="4"/>
  <c r="R653" i="4"/>
  <c r="Q652" i="4"/>
  <c r="R652" i="4"/>
  <c r="Q651" i="4"/>
  <c r="R651" i="4"/>
  <c r="Q650" i="4"/>
  <c r="R650" i="4"/>
  <c r="Q649" i="4"/>
  <c r="R649" i="4"/>
  <c r="Q648" i="4"/>
  <c r="R648" i="4"/>
  <c r="Q647" i="4"/>
  <c r="R647" i="4"/>
  <c r="Q646" i="4"/>
  <c r="R646" i="4"/>
  <c r="Q645" i="4"/>
  <c r="R645" i="4"/>
  <c r="Q644" i="4"/>
  <c r="R644" i="4"/>
  <c r="Q643" i="4"/>
  <c r="R643" i="4"/>
  <c r="Q642" i="4"/>
  <c r="R642" i="4"/>
  <c r="Q641" i="4"/>
  <c r="R641" i="4"/>
  <c r="Q640" i="4"/>
  <c r="R640" i="4"/>
  <c r="Q639" i="4"/>
  <c r="R639" i="4"/>
  <c r="Q638" i="4"/>
  <c r="R638" i="4"/>
  <c r="Q637" i="4"/>
  <c r="R637" i="4"/>
  <c r="Q636" i="4"/>
  <c r="R636" i="4"/>
  <c r="Q635" i="4"/>
  <c r="R635" i="4"/>
  <c r="Q634" i="4"/>
  <c r="R634" i="4"/>
  <c r="Q633" i="4"/>
  <c r="R633" i="4"/>
  <c r="Q632" i="4"/>
  <c r="R632" i="4"/>
  <c r="Q631" i="4"/>
  <c r="R631" i="4"/>
  <c r="Q630" i="4"/>
  <c r="R630" i="4"/>
  <c r="Q629" i="4"/>
  <c r="R629" i="4"/>
  <c r="Q628" i="4"/>
  <c r="R628" i="4"/>
  <c r="Q627" i="4"/>
  <c r="R627" i="4"/>
  <c r="Q626" i="4"/>
  <c r="R626" i="4"/>
  <c r="Q625" i="4"/>
  <c r="R625" i="4"/>
  <c r="Q624" i="4"/>
  <c r="R624" i="4"/>
  <c r="Q623" i="4"/>
  <c r="R623" i="4"/>
  <c r="Q622" i="4"/>
  <c r="R622" i="4"/>
  <c r="Q621" i="4"/>
  <c r="R621" i="4"/>
  <c r="Q620" i="4"/>
  <c r="R620" i="4"/>
  <c r="Q619" i="4"/>
  <c r="R619" i="4"/>
  <c r="Q618" i="4"/>
  <c r="R618" i="4"/>
  <c r="Q617" i="4"/>
  <c r="R617" i="4"/>
  <c r="Q616" i="4"/>
  <c r="R616" i="4"/>
  <c r="Q615" i="4"/>
  <c r="R615" i="4"/>
  <c r="Q614" i="4"/>
  <c r="R614" i="4"/>
  <c r="Q613" i="4"/>
  <c r="R613" i="4"/>
  <c r="Q612" i="4"/>
  <c r="R612" i="4"/>
  <c r="Q611" i="4"/>
  <c r="R611" i="4"/>
  <c r="Q610" i="4"/>
  <c r="R610" i="4"/>
  <c r="Q609" i="4"/>
  <c r="R609" i="4"/>
  <c r="Q608" i="4"/>
  <c r="R608" i="4"/>
  <c r="Q607" i="4"/>
  <c r="R607" i="4"/>
  <c r="Q606" i="4"/>
  <c r="R606" i="4"/>
  <c r="Q605" i="4"/>
  <c r="R605" i="4"/>
  <c r="Q604" i="4"/>
  <c r="R604" i="4"/>
  <c r="Q603" i="4"/>
  <c r="R603" i="4"/>
  <c r="Q602" i="4"/>
  <c r="R602" i="4"/>
  <c r="Q601" i="4"/>
  <c r="R601" i="4"/>
  <c r="Q600" i="4"/>
  <c r="R600" i="4"/>
  <c r="Q599" i="4"/>
  <c r="R599" i="4"/>
  <c r="Q598" i="4"/>
  <c r="R598" i="4"/>
  <c r="Q597" i="4"/>
  <c r="R597" i="4"/>
  <c r="Q596" i="4"/>
  <c r="R596" i="4"/>
  <c r="Q595" i="4"/>
  <c r="R595" i="4"/>
  <c r="Q594" i="4"/>
  <c r="R594" i="4"/>
  <c r="Q593" i="4"/>
  <c r="R593" i="4"/>
  <c r="Q592" i="4"/>
  <c r="R592" i="4"/>
  <c r="Q591" i="4"/>
  <c r="R591" i="4"/>
  <c r="Q590" i="4"/>
  <c r="R590" i="4"/>
  <c r="Q589" i="4"/>
  <c r="R589" i="4"/>
  <c r="Q588" i="4"/>
  <c r="R588" i="4"/>
  <c r="Q587" i="4"/>
  <c r="R587" i="4"/>
  <c r="Q586" i="4"/>
  <c r="R586" i="4"/>
  <c r="Q585" i="4"/>
  <c r="R585" i="4"/>
  <c r="Q584" i="4"/>
  <c r="R584" i="4"/>
  <c r="Q583" i="4"/>
  <c r="R583" i="4"/>
  <c r="Q582" i="4"/>
  <c r="R582" i="4"/>
  <c r="Q581" i="4"/>
  <c r="R581" i="4"/>
  <c r="Q580" i="4"/>
  <c r="R580" i="4"/>
  <c r="Q579" i="4"/>
  <c r="R579" i="4"/>
  <c r="Q578" i="4"/>
  <c r="R578" i="4"/>
  <c r="Q577" i="4"/>
  <c r="R577" i="4"/>
  <c r="Q576" i="4"/>
  <c r="R576" i="4"/>
  <c r="Q575" i="4"/>
  <c r="R575" i="4"/>
  <c r="Q574" i="4"/>
  <c r="R574" i="4"/>
  <c r="Q573" i="4"/>
  <c r="R573" i="4"/>
  <c r="Q572" i="4"/>
  <c r="R572" i="4"/>
  <c r="Q571" i="4"/>
  <c r="R571" i="4"/>
  <c r="Q570" i="4"/>
  <c r="R570" i="4"/>
  <c r="Q569" i="4"/>
  <c r="R569" i="4"/>
  <c r="Q568" i="4"/>
  <c r="R568" i="4"/>
  <c r="Q567" i="4"/>
  <c r="R567" i="4"/>
  <c r="Q566" i="4"/>
  <c r="R566" i="4"/>
  <c r="Q565" i="4"/>
  <c r="R565" i="4"/>
  <c r="Q564" i="4"/>
  <c r="R564" i="4"/>
  <c r="Q563" i="4"/>
  <c r="R563" i="4"/>
  <c r="Q562" i="4"/>
  <c r="R562" i="4"/>
  <c r="Q561" i="4"/>
  <c r="R561" i="4"/>
  <c r="Q560" i="4"/>
  <c r="R560" i="4"/>
  <c r="Q559" i="4"/>
  <c r="R559" i="4"/>
  <c r="Q558" i="4"/>
  <c r="R558" i="4"/>
  <c r="Q557" i="4"/>
  <c r="R557" i="4"/>
  <c r="Q556" i="4"/>
  <c r="R556" i="4"/>
  <c r="Q555" i="4"/>
  <c r="R555" i="4"/>
  <c r="Q554" i="4"/>
  <c r="R554" i="4"/>
  <c r="Q553" i="4"/>
  <c r="R553" i="4"/>
  <c r="Q552" i="4"/>
  <c r="R552" i="4"/>
  <c r="Q551" i="4"/>
  <c r="R551" i="4"/>
  <c r="Q550" i="4"/>
  <c r="R550" i="4"/>
  <c r="Q549" i="4"/>
  <c r="R549" i="4"/>
  <c r="Q548" i="4"/>
  <c r="R548" i="4"/>
  <c r="Q547" i="4"/>
  <c r="R547" i="4"/>
  <c r="Q546" i="4"/>
  <c r="R546" i="4"/>
  <c r="Q545" i="4"/>
  <c r="R545" i="4"/>
  <c r="Q544" i="4"/>
  <c r="R544" i="4"/>
  <c r="Q543" i="4"/>
  <c r="R543" i="4"/>
  <c r="Q542" i="4"/>
  <c r="R542" i="4"/>
  <c r="Q541" i="4"/>
  <c r="R541" i="4"/>
  <c r="Q540" i="4"/>
  <c r="R540" i="4"/>
  <c r="Q539" i="4"/>
  <c r="R539" i="4"/>
  <c r="Q538" i="4"/>
  <c r="R538" i="4"/>
  <c r="Q537" i="4"/>
  <c r="R537" i="4"/>
  <c r="Q536" i="4"/>
  <c r="R536" i="4"/>
  <c r="Q535" i="4"/>
  <c r="R535" i="4"/>
  <c r="Q534" i="4"/>
  <c r="R534" i="4"/>
  <c r="Q533" i="4"/>
  <c r="R533" i="4"/>
  <c r="Q532" i="4"/>
  <c r="R532" i="4"/>
  <c r="Q531" i="4"/>
  <c r="R531" i="4"/>
  <c r="Q530" i="4"/>
  <c r="R530" i="4"/>
  <c r="Q529" i="4"/>
  <c r="R529" i="4"/>
  <c r="Q528" i="4"/>
  <c r="R528" i="4"/>
  <c r="Q527" i="4"/>
  <c r="R527" i="4"/>
  <c r="Q526" i="4"/>
  <c r="R526" i="4"/>
  <c r="Q525" i="4"/>
  <c r="R525" i="4"/>
  <c r="Q524" i="4"/>
  <c r="R524" i="4"/>
  <c r="Q523" i="4"/>
  <c r="R523" i="4"/>
  <c r="Q522" i="4"/>
  <c r="R522" i="4"/>
  <c r="Q521" i="4"/>
  <c r="R521" i="4"/>
  <c r="Q520" i="4"/>
  <c r="R520" i="4"/>
  <c r="Q519" i="4"/>
  <c r="R519" i="4"/>
  <c r="Q518" i="4"/>
  <c r="R518" i="4"/>
  <c r="Q517" i="4"/>
  <c r="R517" i="4"/>
  <c r="Q516" i="4"/>
  <c r="R516" i="4"/>
  <c r="Q515" i="4"/>
  <c r="R515" i="4"/>
  <c r="Q514" i="4"/>
  <c r="R514" i="4"/>
  <c r="Q513" i="4"/>
  <c r="R513" i="4"/>
  <c r="Q512" i="4"/>
  <c r="R512" i="4"/>
  <c r="Q511" i="4"/>
  <c r="R511" i="4"/>
  <c r="Q510" i="4"/>
  <c r="R510" i="4"/>
  <c r="Q509" i="4"/>
  <c r="R509" i="4"/>
  <c r="Q508" i="4"/>
  <c r="R508" i="4"/>
  <c r="Q507" i="4"/>
  <c r="R507" i="4"/>
  <c r="Q506" i="4"/>
  <c r="R506" i="4"/>
  <c r="Q505" i="4"/>
  <c r="R505" i="4"/>
  <c r="Q504" i="4"/>
  <c r="R504" i="4"/>
  <c r="Q503" i="4"/>
  <c r="R503" i="4"/>
  <c r="Q502" i="4"/>
  <c r="R502" i="4"/>
  <c r="Q501" i="4"/>
  <c r="R501" i="4"/>
  <c r="Q500" i="4"/>
  <c r="R500" i="4"/>
  <c r="Q499" i="4"/>
  <c r="R499" i="4"/>
  <c r="Q498" i="4"/>
  <c r="R498" i="4"/>
  <c r="Q497" i="4"/>
  <c r="R497" i="4"/>
  <c r="Q496" i="4"/>
  <c r="R496" i="4"/>
  <c r="Q495" i="4"/>
  <c r="R495" i="4"/>
  <c r="Q494" i="4"/>
  <c r="R494" i="4"/>
  <c r="Q493" i="4"/>
  <c r="R493" i="4"/>
  <c r="Q492" i="4"/>
  <c r="R492" i="4"/>
  <c r="Q491" i="4"/>
  <c r="R491" i="4"/>
  <c r="Q490" i="4"/>
  <c r="R490" i="4"/>
  <c r="Q489" i="4"/>
  <c r="R489" i="4"/>
  <c r="Q488" i="4"/>
  <c r="R488" i="4"/>
  <c r="Q487" i="4"/>
  <c r="R487" i="4"/>
  <c r="Q486" i="4"/>
  <c r="R486" i="4"/>
  <c r="Q485" i="4"/>
  <c r="R485" i="4"/>
  <c r="Q484" i="4"/>
  <c r="R484" i="4"/>
  <c r="Q483" i="4"/>
  <c r="R483" i="4"/>
  <c r="Q482" i="4"/>
  <c r="R482" i="4"/>
  <c r="Q481" i="4"/>
  <c r="R481" i="4"/>
  <c r="Q480" i="4"/>
  <c r="R480" i="4"/>
  <c r="Q479" i="4"/>
  <c r="R479" i="4"/>
  <c r="Q478" i="4"/>
  <c r="R478" i="4"/>
  <c r="Q477" i="4"/>
  <c r="R477" i="4"/>
  <c r="Q476" i="4"/>
  <c r="R476" i="4"/>
  <c r="Q475" i="4"/>
  <c r="R475" i="4"/>
  <c r="Q474" i="4"/>
  <c r="R474" i="4"/>
  <c r="Q473" i="4"/>
  <c r="R473" i="4"/>
  <c r="Q472" i="4"/>
  <c r="R472" i="4"/>
  <c r="Q471" i="4"/>
  <c r="R471" i="4"/>
  <c r="Q470" i="4"/>
  <c r="R470" i="4"/>
  <c r="Q469" i="4"/>
  <c r="R469" i="4"/>
  <c r="Q468" i="4"/>
  <c r="R468" i="4"/>
  <c r="Q467" i="4"/>
  <c r="R467" i="4"/>
  <c r="Q466" i="4"/>
  <c r="R466" i="4"/>
  <c r="Q465" i="4"/>
  <c r="R465" i="4"/>
  <c r="Q464" i="4"/>
  <c r="R464" i="4"/>
  <c r="Q463" i="4"/>
  <c r="R463" i="4"/>
  <c r="Q462" i="4"/>
  <c r="R462" i="4"/>
  <c r="Q461" i="4"/>
  <c r="R461" i="4"/>
  <c r="Q460" i="4"/>
  <c r="R460" i="4"/>
  <c r="Q459" i="4"/>
  <c r="R459" i="4"/>
  <c r="Q458" i="4"/>
  <c r="R458" i="4"/>
  <c r="Q457" i="4"/>
  <c r="R457" i="4"/>
  <c r="Q456" i="4"/>
  <c r="R456" i="4"/>
  <c r="Q455" i="4"/>
  <c r="R455" i="4"/>
  <c r="Q454" i="4"/>
  <c r="R454" i="4"/>
  <c r="Q453" i="4"/>
  <c r="R453" i="4"/>
  <c r="Q452" i="4"/>
  <c r="R452" i="4"/>
  <c r="Q451" i="4"/>
  <c r="R451" i="4"/>
  <c r="Q450" i="4"/>
  <c r="R450" i="4"/>
  <c r="Q449" i="4"/>
  <c r="R449" i="4"/>
  <c r="Q448" i="4"/>
  <c r="R448" i="4"/>
  <c r="Q447" i="4"/>
  <c r="R447" i="4"/>
  <c r="Q446" i="4"/>
  <c r="R446" i="4"/>
  <c r="Q445" i="4"/>
  <c r="R445" i="4"/>
  <c r="Q444" i="4"/>
  <c r="R444" i="4"/>
  <c r="Q443" i="4"/>
  <c r="R443" i="4"/>
  <c r="Q442" i="4"/>
  <c r="R442" i="4"/>
  <c r="Q441" i="4"/>
  <c r="R441" i="4"/>
  <c r="Q440" i="4"/>
  <c r="R440" i="4"/>
  <c r="Q439" i="4"/>
  <c r="R439" i="4"/>
  <c r="Q438" i="4"/>
  <c r="R438" i="4"/>
  <c r="Q437" i="4"/>
  <c r="R437" i="4"/>
  <c r="Q436" i="4"/>
  <c r="R436" i="4"/>
  <c r="Q435" i="4"/>
  <c r="R435" i="4"/>
  <c r="Q434" i="4"/>
  <c r="R434" i="4"/>
  <c r="Q433" i="4"/>
  <c r="R433" i="4"/>
  <c r="Q432" i="4"/>
  <c r="R432" i="4"/>
  <c r="Q431" i="4"/>
  <c r="R431" i="4"/>
  <c r="Q430" i="4"/>
  <c r="R430" i="4"/>
  <c r="Q429" i="4"/>
  <c r="R429" i="4"/>
  <c r="Q428" i="4"/>
  <c r="R428" i="4"/>
  <c r="Q427" i="4"/>
  <c r="R427" i="4"/>
  <c r="Q426" i="4"/>
  <c r="R426" i="4"/>
  <c r="Q425" i="4"/>
  <c r="R425" i="4"/>
  <c r="M33" i="1"/>
  <c r="R33" i="1" s="1"/>
  <c r="M34" i="1"/>
  <c r="R34" i="1" s="1"/>
  <c r="M35" i="1"/>
  <c r="R35" i="1" s="1"/>
  <c r="M36" i="1"/>
  <c r="R36" i="1" s="1"/>
  <c r="M37" i="1"/>
  <c r="R37" i="1" s="1"/>
  <c r="M38" i="1"/>
  <c r="R38" i="1" s="1"/>
  <c r="M39" i="1"/>
  <c r="R39" i="1" s="1"/>
  <c r="M40" i="1"/>
  <c r="R40" i="1" s="1"/>
  <c r="M41" i="1"/>
  <c r="R41" i="1" s="1"/>
  <c r="M42" i="1"/>
  <c r="R42" i="1" s="1"/>
  <c r="M43" i="1"/>
  <c r="R43" i="1" s="1"/>
  <c r="M44" i="1"/>
  <c r="R44" i="1" s="1"/>
  <c r="M45" i="1"/>
  <c r="R45" i="1" s="1"/>
  <c r="M46" i="1"/>
  <c r="R46" i="1" s="1"/>
  <c r="M47" i="1"/>
  <c r="R47" i="1" s="1"/>
  <c r="M48" i="1"/>
  <c r="R48" i="1" s="1"/>
  <c r="M49" i="1"/>
  <c r="R49" i="1" s="1"/>
  <c r="M50" i="1"/>
  <c r="R50" i="1" s="1"/>
  <c r="M51" i="1"/>
  <c r="R51" i="1" s="1"/>
  <c r="M52" i="1"/>
  <c r="R52" i="1" s="1"/>
  <c r="M53" i="1"/>
  <c r="R53" i="1" s="1"/>
  <c r="M54" i="1"/>
  <c r="M55" i="1"/>
  <c r="R55" i="1" s="1"/>
  <c r="Q55" i="1"/>
  <c r="Q54" i="1"/>
  <c r="R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M84" i="3" l="1"/>
  <c r="R84" i="3" s="1"/>
  <c r="Q84" i="3"/>
  <c r="M11" i="3"/>
  <c r="R11" i="3" s="1"/>
  <c r="Q11" i="3"/>
  <c r="M81" i="3"/>
  <c r="R81" i="3" s="1"/>
  <c r="Q81" i="3"/>
  <c r="M80" i="3"/>
  <c r="R80" i="3" s="1"/>
  <c r="Q80" i="3"/>
  <c r="M79" i="3"/>
  <c r="R79" i="3" s="1"/>
  <c r="Q79" i="3"/>
  <c r="M78" i="3"/>
  <c r="R78" i="3" s="1"/>
  <c r="Q78" i="3"/>
  <c r="M77" i="3"/>
  <c r="R77" i="3" s="1"/>
  <c r="Q77" i="3"/>
  <c r="M76" i="3"/>
  <c r="R76" i="3" s="1"/>
  <c r="Q76" i="3"/>
  <c r="M75" i="3"/>
  <c r="R75" i="3" s="1"/>
  <c r="Q75" i="3"/>
  <c r="M74" i="3"/>
  <c r="R74" i="3" s="1"/>
  <c r="Q74" i="3"/>
  <c r="M73" i="3"/>
  <c r="R73" i="3" s="1"/>
  <c r="Q73" i="3"/>
  <c r="M72" i="3"/>
  <c r="R72" i="3" s="1"/>
  <c r="Q72" i="3"/>
  <c r="M71" i="3"/>
  <c r="R71" i="3" s="1"/>
  <c r="Q71" i="3"/>
  <c r="M70" i="3"/>
  <c r="R70" i="3" s="1"/>
  <c r="Q70" i="3"/>
  <c r="M69" i="3"/>
  <c r="R69" i="3" s="1"/>
  <c r="Q69" i="3"/>
  <c r="M68" i="3"/>
  <c r="R68" i="3" s="1"/>
  <c r="Q68" i="3"/>
  <c r="M67" i="3"/>
  <c r="R67" i="3" s="1"/>
  <c r="Q67" i="3"/>
  <c r="M66" i="3"/>
  <c r="R66" i="3" s="1"/>
  <c r="Q66" i="3"/>
  <c r="M65" i="3"/>
  <c r="R65" i="3" s="1"/>
  <c r="Q65" i="3"/>
  <c r="M64" i="3"/>
  <c r="R64" i="3" s="1"/>
  <c r="Q64" i="3"/>
  <c r="M63" i="3"/>
  <c r="R63" i="3" s="1"/>
  <c r="Q63" i="3"/>
  <c r="M62" i="3"/>
  <c r="R62" i="3" s="1"/>
  <c r="Q62" i="3"/>
  <c r="M61" i="3"/>
  <c r="R61" i="3" s="1"/>
  <c r="Q61" i="3"/>
  <c r="M60" i="3"/>
  <c r="R60" i="3" s="1"/>
  <c r="Q60" i="3"/>
  <c r="M59" i="3"/>
  <c r="R59" i="3" s="1"/>
  <c r="Q59" i="3"/>
  <c r="M58" i="3"/>
  <c r="R58" i="3" s="1"/>
  <c r="Q58" i="3"/>
  <c r="M57" i="3"/>
  <c r="R57" i="3" s="1"/>
  <c r="Q57" i="3"/>
  <c r="M56" i="3"/>
  <c r="R56" i="3" s="1"/>
  <c r="Q56" i="3"/>
  <c r="M55" i="3"/>
  <c r="R55" i="3" s="1"/>
  <c r="Q55" i="3"/>
  <c r="M54" i="3"/>
  <c r="R54" i="3" s="1"/>
  <c r="Q54" i="3"/>
  <c r="M53" i="3"/>
  <c r="R53" i="3" s="1"/>
  <c r="Q53" i="3"/>
  <c r="M52" i="3"/>
  <c r="R52" i="3" s="1"/>
  <c r="Q52" i="3"/>
  <c r="M51" i="3"/>
  <c r="R51" i="3" s="1"/>
  <c r="Q51" i="3"/>
  <c r="M50" i="3"/>
  <c r="R50" i="3" s="1"/>
  <c r="Q50" i="3"/>
  <c r="M49" i="3"/>
  <c r="R49" i="3" s="1"/>
  <c r="Q49" i="3"/>
  <c r="M48" i="3"/>
  <c r="R48" i="3" s="1"/>
  <c r="Q48" i="3"/>
  <c r="M47" i="3"/>
  <c r="R47" i="3" s="1"/>
  <c r="Q47" i="3"/>
  <c r="M46" i="3"/>
  <c r="R46" i="3" s="1"/>
  <c r="Q46" i="3"/>
  <c r="M45" i="3"/>
  <c r="R45" i="3" s="1"/>
  <c r="Q45" i="3"/>
  <c r="M44" i="3"/>
  <c r="R44" i="3" s="1"/>
  <c r="Q44" i="3"/>
  <c r="M43" i="3"/>
  <c r="R43" i="3" s="1"/>
  <c r="Q43" i="3"/>
  <c r="M42" i="3"/>
  <c r="R42" i="3" s="1"/>
  <c r="Q42" i="3"/>
  <c r="M41" i="3"/>
  <c r="R41" i="3" s="1"/>
  <c r="Q41" i="3"/>
  <c r="M40" i="3"/>
  <c r="R40" i="3" s="1"/>
  <c r="Q40" i="3"/>
  <c r="M39" i="3"/>
  <c r="R39" i="3" s="1"/>
  <c r="Q39" i="3"/>
  <c r="M38" i="3"/>
  <c r="R38" i="3" s="1"/>
  <c r="Q38" i="3"/>
  <c r="M37" i="3"/>
  <c r="R37" i="3" s="1"/>
  <c r="Q37" i="3"/>
  <c r="M36" i="3"/>
  <c r="R36" i="3" s="1"/>
  <c r="Q36" i="3"/>
  <c r="M35" i="3"/>
  <c r="R35" i="3" s="1"/>
  <c r="Q35" i="3"/>
  <c r="M34" i="3"/>
  <c r="R34" i="3" s="1"/>
  <c r="Q34" i="3"/>
  <c r="M33" i="3"/>
  <c r="R33" i="3" s="1"/>
  <c r="Q33" i="3"/>
  <c r="M32" i="3"/>
  <c r="R32" i="3" s="1"/>
  <c r="Q32" i="3"/>
  <c r="M31" i="3"/>
  <c r="R31" i="3" s="1"/>
  <c r="Q31" i="3"/>
  <c r="M30" i="3"/>
  <c r="R30" i="3" s="1"/>
  <c r="Q30" i="3"/>
  <c r="M29" i="3"/>
  <c r="R29" i="3" s="1"/>
  <c r="Q29" i="3"/>
  <c r="M28" i="3"/>
  <c r="R28" i="3" s="1"/>
  <c r="Q28" i="3"/>
  <c r="M27" i="3"/>
  <c r="R27" i="3" s="1"/>
  <c r="Q27" i="3"/>
  <c r="M26" i="3"/>
  <c r="R26" i="3" s="1"/>
  <c r="Q26" i="3"/>
  <c r="M25" i="3"/>
  <c r="R25" i="3" s="1"/>
  <c r="Q25" i="3"/>
  <c r="M24" i="3"/>
  <c r="R24" i="3" s="1"/>
  <c r="Q24" i="3"/>
  <c r="M23" i="3"/>
  <c r="R23" i="3" s="1"/>
  <c r="Q23" i="3"/>
  <c r="M22" i="3"/>
  <c r="R22" i="3" s="1"/>
  <c r="Q22" i="3"/>
  <c r="M21" i="3"/>
  <c r="R21" i="3" s="1"/>
  <c r="Q21" i="3"/>
  <c r="M20" i="3"/>
  <c r="R20" i="3" s="1"/>
  <c r="Q20" i="3"/>
  <c r="M19" i="3"/>
  <c r="R19" i="3" s="1"/>
  <c r="Q19" i="3"/>
  <c r="M18" i="3"/>
  <c r="R18" i="3" s="1"/>
  <c r="Q18" i="3"/>
  <c r="M17" i="3"/>
  <c r="R17" i="3" s="1"/>
  <c r="Q17" i="3"/>
  <c r="M16" i="3"/>
  <c r="R16" i="3" s="1"/>
  <c r="Q16" i="3"/>
  <c r="M15" i="3"/>
  <c r="R15" i="3" s="1"/>
  <c r="Q15" i="3"/>
  <c r="M14" i="3"/>
  <c r="R14" i="3" s="1"/>
  <c r="Q14" i="3"/>
  <c r="M13" i="3"/>
  <c r="R13" i="3" s="1"/>
  <c r="Q13" i="3"/>
  <c r="M12" i="3"/>
  <c r="R12" i="3" s="1"/>
  <c r="Q12" i="3"/>
  <c r="M83" i="3"/>
  <c r="R83" i="3" s="1"/>
  <c r="Q83" i="3"/>
  <c r="M82" i="3"/>
  <c r="R82" i="3" s="1"/>
  <c r="Q82" i="3"/>
  <c r="M6" i="3"/>
  <c r="R6" i="3" s="1"/>
  <c r="Q6" i="3"/>
  <c r="M10" i="3"/>
  <c r="R10" i="3" s="1"/>
  <c r="Q10" i="3"/>
  <c r="M5" i="3"/>
  <c r="R5" i="3" s="1"/>
  <c r="Q5" i="3"/>
  <c r="M4" i="3"/>
  <c r="R4" i="3" s="1"/>
  <c r="Q4" i="3"/>
  <c r="M3" i="3"/>
  <c r="R3" i="3" s="1"/>
  <c r="Q3" i="3"/>
  <c r="M9" i="3"/>
  <c r="R9" i="3" s="1"/>
  <c r="Q9" i="3"/>
  <c r="M8" i="3"/>
  <c r="R8" i="3" s="1"/>
  <c r="Q8" i="3"/>
  <c r="M2" i="3"/>
  <c r="R2" i="3" s="1"/>
  <c r="Q2" i="3"/>
  <c r="M7" i="3"/>
  <c r="R7" i="3" s="1"/>
  <c r="Q7" i="3"/>
  <c r="M16" i="4" l="1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86" i="4"/>
  <c r="M187" i="4"/>
  <c r="M188" i="4"/>
  <c r="M189" i="4"/>
  <c r="M191" i="4"/>
  <c r="M198" i="4"/>
  <c r="M424" i="4"/>
  <c r="M190" i="4"/>
  <c r="M199" i="4"/>
  <c r="Q185" i="4" l="1"/>
  <c r="R185" i="4"/>
  <c r="Q184" i="4"/>
  <c r="R184" i="4"/>
  <c r="Q183" i="4"/>
  <c r="R183" i="4"/>
  <c r="Q182" i="4"/>
  <c r="R182" i="4"/>
  <c r="Q181" i="4"/>
  <c r="R181" i="4"/>
  <c r="Q180" i="4"/>
  <c r="R180" i="4"/>
  <c r="Q179" i="4"/>
  <c r="R179" i="4"/>
  <c r="Q178" i="4"/>
  <c r="R178" i="4"/>
  <c r="Q177" i="4"/>
  <c r="R177" i="4"/>
  <c r="Q176" i="4"/>
  <c r="R176" i="4"/>
  <c r="Q175" i="4"/>
  <c r="R175" i="4"/>
  <c r="Q174" i="4"/>
  <c r="R174" i="4"/>
  <c r="Q173" i="4"/>
  <c r="R173" i="4"/>
  <c r="Q172" i="4"/>
  <c r="R172" i="4"/>
  <c r="Q171" i="4"/>
  <c r="R171" i="4"/>
  <c r="Q170" i="4"/>
  <c r="R170" i="4"/>
  <c r="Q169" i="4"/>
  <c r="R169" i="4"/>
  <c r="Q168" i="4"/>
  <c r="R168" i="4"/>
  <c r="Q167" i="4"/>
  <c r="R167" i="4"/>
  <c r="Q166" i="4"/>
  <c r="R166" i="4"/>
  <c r="Q165" i="4"/>
  <c r="R165" i="4"/>
  <c r="Q164" i="4"/>
  <c r="R164" i="4"/>
  <c r="Q163" i="4"/>
  <c r="R163" i="4"/>
  <c r="Q162" i="4"/>
  <c r="R162" i="4"/>
  <c r="Q161" i="4"/>
  <c r="R161" i="4"/>
  <c r="Q160" i="4"/>
  <c r="R160" i="4"/>
  <c r="Q159" i="4"/>
  <c r="R159" i="4"/>
  <c r="Q158" i="4"/>
  <c r="R158" i="4"/>
  <c r="Q157" i="4"/>
  <c r="R157" i="4"/>
  <c r="Q156" i="4"/>
  <c r="R156" i="4"/>
  <c r="Q155" i="4"/>
  <c r="R155" i="4"/>
  <c r="Q154" i="4"/>
  <c r="R154" i="4"/>
  <c r="Q153" i="4"/>
  <c r="R153" i="4"/>
  <c r="Q152" i="4"/>
  <c r="R152" i="4"/>
  <c r="Q151" i="4"/>
  <c r="R151" i="4"/>
  <c r="Q150" i="4"/>
  <c r="R150" i="4"/>
  <c r="Q148" i="4"/>
  <c r="R148" i="4"/>
  <c r="Q147" i="4"/>
  <c r="R147" i="4"/>
  <c r="Q146" i="4"/>
  <c r="R146" i="4"/>
  <c r="Q145" i="4"/>
  <c r="R145" i="4"/>
  <c r="Q144" i="4"/>
  <c r="R144" i="4"/>
  <c r="Q143" i="4"/>
  <c r="R143" i="4"/>
  <c r="Q142" i="4"/>
  <c r="R142" i="4"/>
  <c r="Q141" i="4"/>
  <c r="R141" i="4"/>
  <c r="Q140" i="4"/>
  <c r="R140" i="4"/>
  <c r="Q139" i="4"/>
  <c r="R139" i="4"/>
  <c r="Q138" i="4"/>
  <c r="R138" i="4"/>
  <c r="Q137" i="4"/>
  <c r="R137" i="4"/>
  <c r="Q136" i="4"/>
  <c r="R136" i="4"/>
  <c r="Q135" i="4"/>
  <c r="R135" i="4"/>
  <c r="Q134" i="4"/>
  <c r="R134" i="4"/>
  <c r="Q133" i="4"/>
  <c r="R133" i="4"/>
  <c r="Q132" i="4"/>
  <c r="R132" i="4"/>
  <c r="Q131" i="4"/>
  <c r="R131" i="4"/>
  <c r="Q130" i="4"/>
  <c r="R130" i="4"/>
  <c r="Q129" i="4"/>
  <c r="R129" i="4"/>
  <c r="Q128" i="4"/>
  <c r="R128" i="4"/>
  <c r="Q127" i="4"/>
  <c r="R127" i="4"/>
  <c r="Q126" i="4"/>
  <c r="R126" i="4"/>
  <c r="Q125" i="4"/>
  <c r="R125" i="4"/>
  <c r="Q124" i="4"/>
  <c r="R124" i="4"/>
  <c r="Q123" i="4"/>
  <c r="R123" i="4"/>
  <c r="Q122" i="4"/>
  <c r="R122" i="4"/>
  <c r="Q121" i="4"/>
  <c r="R121" i="4"/>
  <c r="Q120" i="4"/>
  <c r="R120" i="4"/>
  <c r="Q119" i="4"/>
  <c r="R119" i="4"/>
  <c r="Q118" i="4"/>
  <c r="R118" i="4"/>
  <c r="Q117" i="4"/>
  <c r="R117" i="4"/>
  <c r="Q116" i="4"/>
  <c r="R116" i="4"/>
  <c r="Q115" i="4"/>
  <c r="R115" i="4"/>
  <c r="Q114" i="4"/>
  <c r="R114" i="4"/>
  <c r="Q113" i="4"/>
  <c r="R113" i="4"/>
  <c r="Q112" i="4"/>
  <c r="R112" i="4"/>
  <c r="Q111" i="4"/>
  <c r="R111" i="4"/>
  <c r="Q110" i="4"/>
  <c r="R110" i="4"/>
  <c r="Q109" i="4"/>
  <c r="R109" i="4"/>
  <c r="Q108" i="4"/>
  <c r="R108" i="4"/>
  <c r="Q107" i="4"/>
  <c r="R107" i="4"/>
  <c r="Q106" i="4"/>
  <c r="R106" i="4"/>
  <c r="Q105" i="4"/>
  <c r="R105" i="4"/>
  <c r="Q104" i="4"/>
  <c r="R104" i="4"/>
  <c r="Q103" i="4"/>
  <c r="R103" i="4"/>
  <c r="Q102" i="4"/>
  <c r="R102" i="4"/>
  <c r="Q101" i="4"/>
  <c r="R101" i="4"/>
  <c r="Q100" i="4"/>
  <c r="R100" i="4"/>
  <c r="Q99" i="4"/>
  <c r="R99" i="4"/>
  <c r="Q98" i="4"/>
  <c r="R98" i="4"/>
  <c r="Q97" i="4"/>
  <c r="R97" i="4"/>
  <c r="Q96" i="4"/>
  <c r="R96" i="4"/>
  <c r="Q95" i="4"/>
  <c r="R95" i="4"/>
  <c r="Q94" i="4"/>
  <c r="R94" i="4"/>
  <c r="Q93" i="4"/>
  <c r="R93" i="4"/>
  <c r="Q92" i="4"/>
  <c r="R92" i="4"/>
  <c r="Q91" i="4"/>
  <c r="R91" i="4"/>
  <c r="Q90" i="4"/>
  <c r="R90" i="4"/>
  <c r="Q89" i="4"/>
  <c r="R89" i="4"/>
  <c r="Q88" i="4"/>
  <c r="R88" i="4"/>
  <c r="Q87" i="4"/>
  <c r="R87" i="4"/>
  <c r="Q86" i="4"/>
  <c r="R86" i="4"/>
  <c r="Q85" i="4"/>
  <c r="R85" i="4"/>
  <c r="Q84" i="4"/>
  <c r="R84" i="4"/>
  <c r="Q83" i="4"/>
  <c r="R83" i="4"/>
  <c r="Q82" i="4"/>
  <c r="R82" i="4"/>
  <c r="Q81" i="4"/>
  <c r="R81" i="4"/>
  <c r="Q80" i="4"/>
  <c r="R80" i="4"/>
  <c r="Q79" i="4"/>
  <c r="R79" i="4"/>
  <c r="Q78" i="4"/>
  <c r="R78" i="4"/>
  <c r="Q77" i="4"/>
  <c r="R77" i="4"/>
  <c r="Q76" i="4"/>
  <c r="R76" i="4"/>
  <c r="Q75" i="4"/>
  <c r="R75" i="4"/>
  <c r="Q74" i="4"/>
  <c r="R74" i="4"/>
  <c r="Q73" i="4"/>
  <c r="R73" i="4"/>
  <c r="Q72" i="4"/>
  <c r="R72" i="4"/>
  <c r="Q71" i="4"/>
  <c r="R71" i="4"/>
  <c r="Q70" i="4"/>
  <c r="R70" i="4"/>
  <c r="Q69" i="4"/>
  <c r="R69" i="4"/>
  <c r="Q68" i="4"/>
  <c r="R68" i="4"/>
  <c r="Q67" i="4"/>
  <c r="R67" i="4"/>
  <c r="Q66" i="4"/>
  <c r="R66" i="4"/>
  <c r="Q65" i="4"/>
  <c r="R65" i="4"/>
  <c r="Q64" i="4"/>
  <c r="R64" i="4"/>
  <c r="Q63" i="4"/>
  <c r="R63" i="4"/>
  <c r="Q62" i="4"/>
  <c r="R62" i="4"/>
  <c r="Q61" i="4"/>
  <c r="R61" i="4"/>
  <c r="Q60" i="4"/>
  <c r="R60" i="4"/>
  <c r="Q59" i="4"/>
  <c r="R59" i="4"/>
  <c r="Q58" i="4"/>
  <c r="R58" i="4"/>
  <c r="Q57" i="4"/>
  <c r="R57" i="4"/>
  <c r="Q56" i="4"/>
  <c r="R56" i="4"/>
  <c r="Q55" i="4"/>
  <c r="R55" i="4"/>
  <c r="Q54" i="4"/>
  <c r="R54" i="4"/>
  <c r="Q53" i="4"/>
  <c r="R53" i="4"/>
  <c r="Q52" i="4"/>
  <c r="R52" i="4"/>
  <c r="Q51" i="4"/>
  <c r="R51" i="4"/>
  <c r="Q50" i="4"/>
  <c r="R50" i="4"/>
  <c r="Q49" i="4"/>
  <c r="R49" i="4"/>
  <c r="Q48" i="4"/>
  <c r="R48" i="4"/>
  <c r="Q47" i="4"/>
  <c r="R47" i="4"/>
  <c r="Q46" i="4"/>
  <c r="R46" i="4"/>
  <c r="Q45" i="4"/>
  <c r="R45" i="4"/>
  <c r="Q44" i="4"/>
  <c r="R44" i="4"/>
  <c r="Q43" i="4"/>
  <c r="R43" i="4"/>
  <c r="Q42" i="4"/>
  <c r="R42" i="4"/>
  <c r="Q41" i="4"/>
  <c r="R41" i="4"/>
  <c r="Q40" i="4"/>
  <c r="R40" i="4"/>
  <c r="Q39" i="4"/>
  <c r="R39" i="4"/>
  <c r="Q38" i="4"/>
  <c r="R38" i="4"/>
  <c r="Q37" i="4"/>
  <c r="R37" i="4"/>
  <c r="Q36" i="4"/>
  <c r="R36" i="4"/>
  <c r="Q35" i="4"/>
  <c r="R35" i="4"/>
  <c r="Q34" i="4"/>
  <c r="R34" i="4"/>
  <c r="Q33" i="4"/>
  <c r="R33" i="4"/>
  <c r="Q32" i="4"/>
  <c r="R32" i="4"/>
  <c r="Q31" i="4"/>
  <c r="R31" i="4"/>
  <c r="Q30" i="4"/>
  <c r="R30" i="4"/>
  <c r="Q29" i="4"/>
  <c r="R29" i="4"/>
  <c r="Q28" i="4"/>
  <c r="R28" i="4"/>
  <c r="Q27" i="4"/>
  <c r="R27" i="4"/>
  <c r="Q26" i="4"/>
  <c r="R26" i="4"/>
  <c r="Q25" i="4"/>
  <c r="R25" i="4"/>
  <c r="Q24" i="4"/>
  <c r="R24" i="4"/>
  <c r="Q23" i="4"/>
  <c r="R23" i="4"/>
  <c r="Q22" i="4"/>
  <c r="R22" i="4"/>
  <c r="Q21" i="4"/>
  <c r="R21" i="4"/>
  <c r="Q20" i="4"/>
  <c r="R20" i="4"/>
  <c r="Q19" i="4"/>
  <c r="R19" i="4"/>
  <c r="Q18" i="4"/>
  <c r="R18" i="4"/>
  <c r="Q17" i="4"/>
  <c r="R17" i="4"/>
  <c r="Q16" i="4"/>
  <c r="R16" i="4"/>
  <c r="M501" i="3" l="1"/>
  <c r="R501" i="3" s="1"/>
  <c r="Q501" i="3"/>
  <c r="M500" i="3"/>
  <c r="R500" i="3" s="1"/>
  <c r="Q500" i="3"/>
  <c r="M499" i="3"/>
  <c r="R499" i="3" s="1"/>
  <c r="Q499" i="3"/>
  <c r="M498" i="3"/>
  <c r="R498" i="3" s="1"/>
  <c r="Q498" i="3"/>
  <c r="M497" i="3"/>
  <c r="R497" i="3" s="1"/>
  <c r="Q497" i="3"/>
  <c r="M496" i="3"/>
  <c r="R496" i="3" s="1"/>
  <c r="Q496" i="3"/>
  <c r="M495" i="3"/>
  <c r="R495" i="3" s="1"/>
  <c r="Q495" i="3"/>
  <c r="M494" i="3"/>
  <c r="R494" i="3" s="1"/>
  <c r="Q494" i="3"/>
  <c r="M493" i="3"/>
  <c r="R493" i="3" s="1"/>
  <c r="Q493" i="3"/>
  <c r="M492" i="3"/>
  <c r="R492" i="3" s="1"/>
  <c r="Q492" i="3"/>
  <c r="M491" i="3"/>
  <c r="R491" i="3" s="1"/>
  <c r="Q491" i="3"/>
  <c r="M490" i="3"/>
  <c r="R490" i="3" s="1"/>
  <c r="Q490" i="3"/>
  <c r="M489" i="3"/>
  <c r="R489" i="3" s="1"/>
  <c r="Q489" i="3"/>
  <c r="M488" i="3"/>
  <c r="R488" i="3" s="1"/>
  <c r="Q488" i="3"/>
  <c r="M487" i="3"/>
  <c r="R487" i="3" s="1"/>
  <c r="Q487" i="3"/>
  <c r="M486" i="3"/>
  <c r="R486" i="3" s="1"/>
  <c r="Q486" i="3"/>
  <c r="M485" i="3"/>
  <c r="R485" i="3" s="1"/>
  <c r="Q485" i="3"/>
  <c r="M484" i="3"/>
  <c r="R484" i="3" s="1"/>
  <c r="Q484" i="3"/>
  <c r="M483" i="3"/>
  <c r="R483" i="3" s="1"/>
  <c r="Q483" i="3"/>
  <c r="M482" i="3"/>
  <c r="R482" i="3" s="1"/>
  <c r="Q482" i="3"/>
  <c r="M481" i="3"/>
  <c r="R481" i="3" s="1"/>
  <c r="Q481" i="3"/>
  <c r="M480" i="3"/>
  <c r="R480" i="3" s="1"/>
  <c r="Q480" i="3"/>
  <c r="M479" i="3"/>
  <c r="R479" i="3" s="1"/>
  <c r="Q479" i="3"/>
  <c r="M478" i="3"/>
  <c r="R478" i="3" s="1"/>
  <c r="Q478" i="3"/>
  <c r="M477" i="3"/>
  <c r="R477" i="3" s="1"/>
  <c r="Q477" i="3"/>
  <c r="M476" i="3"/>
  <c r="R476" i="3" s="1"/>
  <c r="Q476" i="3"/>
  <c r="M475" i="3"/>
  <c r="R475" i="3" s="1"/>
  <c r="Q475" i="3"/>
  <c r="M474" i="3"/>
  <c r="R474" i="3" s="1"/>
  <c r="Q474" i="3"/>
  <c r="M473" i="3"/>
  <c r="R473" i="3" s="1"/>
  <c r="Q473" i="3"/>
  <c r="M472" i="3"/>
  <c r="R472" i="3" s="1"/>
  <c r="Q472" i="3"/>
  <c r="M471" i="3"/>
  <c r="R471" i="3" s="1"/>
  <c r="Q471" i="3"/>
  <c r="M470" i="3"/>
  <c r="R470" i="3" s="1"/>
  <c r="Q470" i="3"/>
  <c r="M469" i="3"/>
  <c r="R469" i="3" s="1"/>
  <c r="Q469" i="3"/>
  <c r="M468" i="3"/>
  <c r="R468" i="3" s="1"/>
  <c r="Q468" i="3"/>
  <c r="M467" i="3"/>
  <c r="R467" i="3" s="1"/>
  <c r="Q467" i="3"/>
  <c r="M466" i="3"/>
  <c r="R466" i="3" s="1"/>
  <c r="Q466" i="3"/>
  <c r="M465" i="3"/>
  <c r="R465" i="3" s="1"/>
  <c r="Q465" i="3"/>
  <c r="M464" i="3"/>
  <c r="R464" i="3" s="1"/>
  <c r="Q464" i="3"/>
  <c r="M463" i="3"/>
  <c r="R463" i="3" s="1"/>
  <c r="Q463" i="3"/>
  <c r="M462" i="3"/>
  <c r="R462" i="3" s="1"/>
  <c r="Q462" i="3"/>
  <c r="M461" i="3"/>
  <c r="R461" i="3" s="1"/>
  <c r="Q461" i="3"/>
  <c r="M460" i="3"/>
  <c r="R460" i="3" s="1"/>
  <c r="Q460" i="3"/>
  <c r="M459" i="3"/>
  <c r="R459" i="3" s="1"/>
  <c r="Q459" i="3"/>
  <c r="M458" i="3"/>
  <c r="R458" i="3" s="1"/>
  <c r="Q458" i="3"/>
  <c r="M506" i="3"/>
  <c r="R506" i="3" s="1"/>
  <c r="Q506" i="3"/>
  <c r="M457" i="3"/>
  <c r="R457" i="3" s="1"/>
  <c r="Q457" i="3"/>
  <c r="M456" i="3"/>
  <c r="R456" i="3" s="1"/>
  <c r="Q456" i="3"/>
  <c r="M455" i="3"/>
  <c r="R455" i="3" s="1"/>
  <c r="Q455" i="3"/>
  <c r="M454" i="3"/>
  <c r="R454" i="3" s="1"/>
  <c r="Q454" i="3"/>
  <c r="M453" i="3"/>
  <c r="R453" i="3" s="1"/>
  <c r="Q453" i="3"/>
  <c r="M452" i="3"/>
  <c r="R452" i="3" s="1"/>
  <c r="Q452" i="3"/>
  <c r="M451" i="3"/>
  <c r="R451" i="3" s="1"/>
  <c r="Q451" i="3"/>
  <c r="M450" i="3"/>
  <c r="R450" i="3" s="1"/>
  <c r="Q450" i="3"/>
  <c r="M449" i="3"/>
  <c r="R449" i="3" s="1"/>
  <c r="Q449" i="3"/>
  <c r="M448" i="3"/>
  <c r="R448" i="3" s="1"/>
  <c r="Q448" i="3"/>
  <c r="M447" i="3"/>
  <c r="R447" i="3" s="1"/>
  <c r="Q447" i="3"/>
  <c r="M446" i="3"/>
  <c r="R446" i="3" s="1"/>
  <c r="Q446" i="3"/>
  <c r="M445" i="3"/>
  <c r="R445" i="3" s="1"/>
  <c r="Q445" i="3"/>
  <c r="M444" i="3"/>
  <c r="R444" i="3" s="1"/>
  <c r="Q444" i="3"/>
  <c r="M443" i="3"/>
  <c r="R443" i="3" s="1"/>
  <c r="Q443" i="3"/>
  <c r="M442" i="3"/>
  <c r="R442" i="3" s="1"/>
  <c r="Q442" i="3"/>
  <c r="M441" i="3"/>
  <c r="R441" i="3" s="1"/>
  <c r="Q441" i="3"/>
  <c r="M440" i="3"/>
  <c r="R440" i="3" s="1"/>
  <c r="Q440" i="3"/>
  <c r="M439" i="3"/>
  <c r="R439" i="3" s="1"/>
  <c r="Q439" i="3"/>
  <c r="M438" i="3"/>
  <c r="R438" i="3" s="1"/>
  <c r="Q438" i="3"/>
  <c r="M437" i="3"/>
  <c r="R437" i="3" s="1"/>
  <c r="Q437" i="3"/>
  <c r="M436" i="3"/>
  <c r="R436" i="3" s="1"/>
  <c r="Q436" i="3"/>
  <c r="M435" i="3"/>
  <c r="R435" i="3" s="1"/>
  <c r="Q435" i="3"/>
  <c r="M434" i="3"/>
  <c r="R434" i="3" s="1"/>
  <c r="Q434" i="3"/>
  <c r="M433" i="3"/>
  <c r="R433" i="3" s="1"/>
  <c r="Q433" i="3"/>
  <c r="M432" i="3"/>
  <c r="R432" i="3" s="1"/>
  <c r="Q432" i="3"/>
  <c r="M431" i="3"/>
  <c r="R431" i="3" s="1"/>
  <c r="Q431" i="3"/>
  <c r="M430" i="3"/>
  <c r="R430" i="3" s="1"/>
  <c r="Q430" i="3"/>
  <c r="M429" i="3"/>
  <c r="R429" i="3" s="1"/>
  <c r="Q429" i="3"/>
  <c r="M428" i="3"/>
  <c r="R428" i="3" s="1"/>
  <c r="Q428" i="3"/>
  <c r="M427" i="3"/>
  <c r="R427" i="3" s="1"/>
  <c r="Q427" i="3"/>
  <c r="M426" i="3"/>
  <c r="R426" i="3" s="1"/>
  <c r="Q426" i="3"/>
  <c r="M425" i="3"/>
  <c r="R425" i="3" s="1"/>
  <c r="Q425" i="3"/>
  <c r="M424" i="3"/>
  <c r="R424" i="3" s="1"/>
  <c r="Q424" i="3"/>
  <c r="M423" i="3"/>
  <c r="R423" i="3" s="1"/>
  <c r="Q423" i="3"/>
  <c r="M422" i="3"/>
  <c r="R422" i="3" s="1"/>
  <c r="Q422" i="3"/>
  <c r="M421" i="3"/>
  <c r="R421" i="3" s="1"/>
  <c r="Q421" i="3"/>
  <c r="M420" i="3"/>
  <c r="R420" i="3" s="1"/>
  <c r="Q420" i="3"/>
  <c r="M419" i="3"/>
  <c r="R419" i="3" s="1"/>
  <c r="Q419" i="3"/>
  <c r="M418" i="3"/>
  <c r="R418" i="3" s="1"/>
  <c r="Q418" i="3"/>
  <c r="M505" i="3"/>
  <c r="R505" i="3" s="1"/>
  <c r="Q505" i="3"/>
  <c r="M417" i="3"/>
  <c r="R417" i="3" s="1"/>
  <c r="Q417" i="3"/>
  <c r="M416" i="3"/>
  <c r="R416" i="3" s="1"/>
  <c r="Q416" i="3"/>
  <c r="M415" i="3"/>
  <c r="R415" i="3" s="1"/>
  <c r="Q415" i="3"/>
  <c r="M414" i="3"/>
  <c r="R414" i="3" s="1"/>
  <c r="Q414" i="3"/>
  <c r="M413" i="3"/>
  <c r="R413" i="3" s="1"/>
  <c r="Q413" i="3"/>
  <c r="M412" i="3"/>
  <c r="R412" i="3" s="1"/>
  <c r="Q412" i="3"/>
  <c r="M411" i="3"/>
  <c r="R411" i="3" s="1"/>
  <c r="Q411" i="3"/>
  <c r="M410" i="3"/>
  <c r="R410" i="3" s="1"/>
  <c r="Q410" i="3"/>
  <c r="M409" i="3"/>
  <c r="R409" i="3" s="1"/>
  <c r="Q409" i="3"/>
  <c r="M408" i="3"/>
  <c r="R408" i="3" s="1"/>
  <c r="Q408" i="3"/>
  <c r="M407" i="3"/>
  <c r="R407" i="3" s="1"/>
  <c r="Q407" i="3"/>
  <c r="M406" i="3"/>
  <c r="R406" i="3" s="1"/>
  <c r="Q406" i="3"/>
  <c r="M405" i="3"/>
  <c r="R405" i="3" s="1"/>
  <c r="Q405" i="3"/>
  <c r="M404" i="3"/>
  <c r="R404" i="3" s="1"/>
  <c r="Q404" i="3"/>
  <c r="M403" i="3"/>
  <c r="R403" i="3" s="1"/>
  <c r="Q403" i="3"/>
  <c r="M402" i="3"/>
  <c r="R402" i="3" s="1"/>
  <c r="Q402" i="3"/>
  <c r="M401" i="3"/>
  <c r="R401" i="3" s="1"/>
  <c r="Q401" i="3"/>
  <c r="M400" i="3"/>
  <c r="R400" i="3" s="1"/>
  <c r="Q400" i="3"/>
  <c r="M399" i="3"/>
  <c r="R399" i="3" s="1"/>
  <c r="Q399" i="3"/>
  <c r="M398" i="3"/>
  <c r="R398" i="3" s="1"/>
  <c r="Q398" i="3"/>
  <c r="M397" i="3"/>
  <c r="R397" i="3" s="1"/>
  <c r="Q397" i="3"/>
  <c r="M396" i="3"/>
  <c r="R396" i="3" s="1"/>
  <c r="Q396" i="3"/>
  <c r="M395" i="3"/>
  <c r="R395" i="3" s="1"/>
  <c r="Q395" i="3"/>
  <c r="M394" i="3"/>
  <c r="R394" i="3" s="1"/>
  <c r="Q394" i="3"/>
  <c r="M393" i="3"/>
  <c r="R393" i="3" s="1"/>
  <c r="Q393" i="3"/>
  <c r="M392" i="3"/>
  <c r="R392" i="3" s="1"/>
  <c r="Q392" i="3"/>
  <c r="M391" i="3"/>
  <c r="R391" i="3" s="1"/>
  <c r="Q391" i="3"/>
  <c r="M390" i="3"/>
  <c r="R390" i="3" s="1"/>
  <c r="Q390" i="3"/>
  <c r="M389" i="3"/>
  <c r="R389" i="3" s="1"/>
  <c r="Q389" i="3"/>
  <c r="M388" i="3"/>
  <c r="R388" i="3" s="1"/>
  <c r="Q388" i="3"/>
  <c r="M387" i="3"/>
  <c r="R387" i="3" s="1"/>
  <c r="Q387" i="3"/>
  <c r="M386" i="3"/>
  <c r="R386" i="3" s="1"/>
  <c r="Q386" i="3"/>
  <c r="M385" i="3"/>
  <c r="R385" i="3" s="1"/>
  <c r="Q385" i="3"/>
  <c r="M384" i="3"/>
  <c r="R384" i="3" s="1"/>
  <c r="Q384" i="3"/>
  <c r="M383" i="3"/>
  <c r="R383" i="3" s="1"/>
  <c r="Q383" i="3"/>
  <c r="M382" i="3"/>
  <c r="R382" i="3" s="1"/>
  <c r="Q382" i="3"/>
  <c r="M381" i="3"/>
  <c r="R381" i="3" s="1"/>
  <c r="Q381" i="3"/>
  <c r="M380" i="3"/>
  <c r="R380" i="3" s="1"/>
  <c r="Q380" i="3"/>
  <c r="M379" i="3"/>
  <c r="R379" i="3" s="1"/>
  <c r="Q379" i="3"/>
  <c r="M378" i="3"/>
  <c r="R378" i="3" s="1"/>
  <c r="Q378" i="3"/>
  <c r="M377" i="3"/>
  <c r="R377" i="3" s="1"/>
  <c r="Q377" i="3"/>
  <c r="M376" i="3"/>
  <c r="R376" i="3" s="1"/>
  <c r="Q376" i="3"/>
  <c r="M375" i="3"/>
  <c r="R375" i="3" s="1"/>
  <c r="Q375" i="3"/>
  <c r="M374" i="3"/>
  <c r="R374" i="3" s="1"/>
  <c r="Q374" i="3"/>
  <c r="M373" i="3"/>
  <c r="R373" i="3" s="1"/>
  <c r="Q373" i="3"/>
  <c r="M372" i="3"/>
  <c r="R372" i="3" s="1"/>
  <c r="Q372" i="3"/>
  <c r="M371" i="3"/>
  <c r="R371" i="3" s="1"/>
  <c r="Q371" i="3"/>
  <c r="M370" i="3"/>
  <c r="R370" i="3" s="1"/>
  <c r="Q370" i="3"/>
  <c r="M369" i="3"/>
  <c r="R369" i="3" s="1"/>
  <c r="Q369" i="3"/>
  <c r="M368" i="3"/>
  <c r="R368" i="3" s="1"/>
  <c r="Q368" i="3"/>
  <c r="M367" i="3"/>
  <c r="R367" i="3" s="1"/>
  <c r="Q367" i="3"/>
  <c r="M366" i="3"/>
  <c r="R366" i="3" s="1"/>
  <c r="Q366" i="3"/>
  <c r="M365" i="3"/>
  <c r="R365" i="3" s="1"/>
  <c r="Q365" i="3"/>
  <c r="M364" i="3"/>
  <c r="R364" i="3" s="1"/>
  <c r="Q364" i="3"/>
  <c r="M363" i="3"/>
  <c r="R363" i="3" s="1"/>
  <c r="Q363" i="3"/>
  <c r="M362" i="3"/>
  <c r="R362" i="3" s="1"/>
  <c r="Q362" i="3"/>
  <c r="M361" i="3"/>
  <c r="R361" i="3" s="1"/>
  <c r="Q361" i="3"/>
  <c r="M504" i="3"/>
  <c r="R504" i="3" s="1"/>
  <c r="Q504" i="3"/>
  <c r="M503" i="3"/>
  <c r="R503" i="3" s="1"/>
  <c r="Q503" i="3"/>
  <c r="M502" i="3"/>
  <c r="R502" i="3" s="1"/>
  <c r="Q502" i="3"/>
  <c r="M360" i="3"/>
  <c r="R360" i="3" s="1"/>
  <c r="Q360" i="3"/>
  <c r="M359" i="3"/>
  <c r="R359" i="3" s="1"/>
  <c r="Q359" i="3"/>
  <c r="M358" i="3"/>
  <c r="R358" i="3" s="1"/>
  <c r="Q358" i="3"/>
  <c r="M357" i="3"/>
  <c r="R357" i="3" s="1"/>
  <c r="Q357" i="3"/>
  <c r="M356" i="3"/>
  <c r="R356" i="3" s="1"/>
  <c r="Q356" i="3"/>
  <c r="M355" i="3"/>
  <c r="R355" i="3" s="1"/>
  <c r="Q355" i="3"/>
  <c r="M354" i="3"/>
  <c r="R354" i="3" s="1"/>
  <c r="Q354" i="3"/>
  <c r="M353" i="3"/>
  <c r="R353" i="3" s="1"/>
  <c r="Q353" i="3"/>
  <c r="M352" i="3"/>
  <c r="R352" i="3" s="1"/>
  <c r="Q352" i="3"/>
  <c r="M351" i="3"/>
  <c r="R351" i="3" s="1"/>
  <c r="Q351" i="3"/>
  <c r="M350" i="3"/>
  <c r="R350" i="3" s="1"/>
  <c r="Q350" i="3"/>
  <c r="M349" i="3"/>
  <c r="R349" i="3" s="1"/>
  <c r="Q349" i="3"/>
  <c r="M348" i="3"/>
  <c r="R348" i="3" s="1"/>
  <c r="Q348" i="3"/>
  <c r="M347" i="3"/>
  <c r="R347" i="3" s="1"/>
  <c r="Q347" i="3"/>
  <c r="M346" i="3"/>
  <c r="R346" i="3" s="1"/>
  <c r="Q346" i="3"/>
  <c r="M345" i="3"/>
  <c r="R345" i="3" s="1"/>
  <c r="Q345" i="3"/>
  <c r="M344" i="3"/>
  <c r="R344" i="3" s="1"/>
  <c r="Q344" i="3"/>
  <c r="M343" i="3"/>
  <c r="R343" i="3" s="1"/>
  <c r="Q343" i="3"/>
  <c r="M342" i="3"/>
  <c r="R342" i="3" s="1"/>
  <c r="Q342" i="3"/>
  <c r="M341" i="3"/>
  <c r="R341" i="3" s="1"/>
  <c r="Q341" i="3"/>
  <c r="M340" i="3"/>
  <c r="R340" i="3" s="1"/>
  <c r="Q340" i="3"/>
  <c r="M339" i="3"/>
  <c r="R339" i="3" s="1"/>
  <c r="Q339" i="3"/>
  <c r="M338" i="3"/>
  <c r="R338" i="3" s="1"/>
  <c r="Q338" i="3"/>
  <c r="M337" i="3"/>
  <c r="R337" i="3" s="1"/>
  <c r="Q337" i="3"/>
  <c r="M336" i="3"/>
  <c r="R336" i="3" s="1"/>
  <c r="Q336" i="3"/>
  <c r="M335" i="3"/>
  <c r="R335" i="3" s="1"/>
  <c r="Q335" i="3"/>
  <c r="M334" i="3"/>
  <c r="R334" i="3" s="1"/>
  <c r="Q334" i="3"/>
  <c r="M333" i="3"/>
  <c r="R333" i="3" s="1"/>
  <c r="Q333" i="3"/>
  <c r="M332" i="3"/>
  <c r="R332" i="3" s="1"/>
  <c r="Q332" i="3"/>
  <c r="M331" i="3"/>
  <c r="R331" i="3" s="1"/>
  <c r="Q331" i="3"/>
  <c r="M330" i="3"/>
  <c r="R330" i="3" s="1"/>
  <c r="Q330" i="3"/>
  <c r="M329" i="3"/>
  <c r="R329" i="3" s="1"/>
  <c r="Q329" i="3"/>
  <c r="M328" i="3"/>
  <c r="R328" i="3" s="1"/>
  <c r="Q328" i="3"/>
  <c r="M327" i="3"/>
  <c r="R327" i="3" s="1"/>
  <c r="Q327" i="3"/>
  <c r="M326" i="3"/>
  <c r="R326" i="3" s="1"/>
  <c r="Q326" i="3"/>
  <c r="M325" i="3"/>
  <c r="R325" i="3" s="1"/>
  <c r="Q325" i="3"/>
  <c r="M324" i="3"/>
  <c r="R324" i="3" s="1"/>
  <c r="Q324" i="3"/>
  <c r="M323" i="3"/>
  <c r="R323" i="3" s="1"/>
  <c r="Q323" i="3"/>
  <c r="M322" i="3"/>
  <c r="R322" i="3" s="1"/>
  <c r="Q322" i="3"/>
  <c r="M321" i="3"/>
  <c r="R321" i="3" s="1"/>
  <c r="Q321" i="3"/>
  <c r="M320" i="3"/>
  <c r="R320" i="3" s="1"/>
  <c r="Q320" i="3"/>
  <c r="M319" i="3"/>
  <c r="R319" i="3" s="1"/>
  <c r="Q319" i="3"/>
  <c r="M105" i="3"/>
  <c r="R105" i="3" s="1"/>
  <c r="Q105" i="3"/>
  <c r="M104" i="3"/>
  <c r="R104" i="3" s="1"/>
  <c r="Q104" i="3"/>
  <c r="M103" i="3"/>
  <c r="R103" i="3" s="1"/>
  <c r="Q103" i="3"/>
  <c r="M102" i="3"/>
  <c r="R102" i="3" s="1"/>
  <c r="Q102" i="3"/>
  <c r="M101" i="3"/>
  <c r="R101" i="3" s="1"/>
  <c r="Q101" i="3"/>
  <c r="M100" i="3"/>
  <c r="R100" i="3" s="1"/>
  <c r="Q100" i="3"/>
  <c r="M99" i="3"/>
  <c r="R99" i="3" s="1"/>
  <c r="Q99" i="3"/>
  <c r="M98" i="3"/>
  <c r="R98" i="3" s="1"/>
  <c r="Q98" i="3"/>
  <c r="M97" i="3"/>
  <c r="R97" i="3" s="1"/>
  <c r="Q97" i="3"/>
  <c r="M96" i="3"/>
  <c r="R96" i="3" s="1"/>
  <c r="Q96" i="3"/>
  <c r="M95" i="3"/>
  <c r="R95" i="3" s="1"/>
  <c r="Q95" i="3"/>
  <c r="M94" i="3"/>
  <c r="R94" i="3" s="1"/>
  <c r="Q94" i="3"/>
  <c r="M93" i="3"/>
  <c r="R93" i="3" s="1"/>
  <c r="Q93" i="3"/>
  <c r="M92" i="3"/>
  <c r="R92" i="3" s="1"/>
  <c r="Q92" i="3"/>
  <c r="M91" i="3"/>
  <c r="R91" i="3" s="1"/>
  <c r="Q91" i="3"/>
  <c r="M90" i="3"/>
  <c r="R90" i="3" s="1"/>
  <c r="Q90" i="3"/>
  <c r="M89" i="3"/>
  <c r="R89" i="3" s="1"/>
  <c r="Q89" i="3"/>
  <c r="M88" i="3"/>
  <c r="R88" i="3" s="1"/>
  <c r="Q88" i="3"/>
  <c r="M87" i="3"/>
  <c r="R87" i="3" s="1"/>
  <c r="Q87" i="3"/>
  <c r="M86" i="3"/>
  <c r="R86" i="3" s="1"/>
  <c r="Q86" i="3"/>
  <c r="M85" i="3"/>
  <c r="R85" i="3" s="1"/>
  <c r="Q85" i="3"/>
  <c r="M318" i="3"/>
  <c r="R318" i="3" s="1"/>
  <c r="Q318" i="3"/>
  <c r="M317" i="3"/>
  <c r="R317" i="3" s="1"/>
  <c r="Q317" i="3"/>
  <c r="M316" i="3"/>
  <c r="R316" i="3" s="1"/>
  <c r="Q316" i="3"/>
  <c r="M315" i="3"/>
  <c r="R315" i="3" s="1"/>
  <c r="Q315" i="3"/>
  <c r="M314" i="3"/>
  <c r="R314" i="3" s="1"/>
  <c r="Q314" i="3"/>
  <c r="M313" i="3"/>
  <c r="R313" i="3" s="1"/>
  <c r="Q313" i="3"/>
  <c r="M312" i="3"/>
  <c r="R312" i="3" s="1"/>
  <c r="Q312" i="3"/>
  <c r="M311" i="3"/>
  <c r="R311" i="3" s="1"/>
  <c r="Q311" i="3"/>
  <c r="M310" i="3"/>
  <c r="R310" i="3" s="1"/>
  <c r="Q310" i="3"/>
  <c r="M309" i="3"/>
  <c r="R309" i="3" s="1"/>
  <c r="Q309" i="3"/>
  <c r="M308" i="3"/>
  <c r="R308" i="3" s="1"/>
  <c r="Q308" i="3"/>
  <c r="M307" i="3"/>
  <c r="R307" i="3" s="1"/>
  <c r="Q307" i="3"/>
  <c r="M306" i="3"/>
  <c r="R306" i="3" s="1"/>
  <c r="Q306" i="3"/>
  <c r="M305" i="3"/>
  <c r="R305" i="3" s="1"/>
  <c r="Q305" i="3"/>
  <c r="M304" i="3"/>
  <c r="R304" i="3" s="1"/>
  <c r="Q304" i="3"/>
  <c r="M303" i="3"/>
  <c r="R303" i="3" s="1"/>
  <c r="Q303" i="3"/>
  <c r="M302" i="3"/>
  <c r="R302" i="3" s="1"/>
  <c r="Q302" i="3"/>
  <c r="M301" i="3"/>
  <c r="R301" i="3" s="1"/>
  <c r="Q301" i="3"/>
  <c r="M300" i="3"/>
  <c r="R300" i="3" s="1"/>
  <c r="Q300" i="3"/>
  <c r="M299" i="3"/>
  <c r="R299" i="3" s="1"/>
  <c r="Q299" i="3"/>
  <c r="M298" i="3"/>
  <c r="R298" i="3" s="1"/>
  <c r="Q298" i="3"/>
  <c r="M507" i="3"/>
  <c r="R507" i="3" s="1"/>
  <c r="Q507" i="3"/>
  <c r="M1357" i="3" l="1"/>
  <c r="R1357" i="3" s="1"/>
  <c r="Q1357" i="3"/>
  <c r="M2" i="10" l="1"/>
  <c r="M3" i="10"/>
  <c r="M4" i="10"/>
  <c r="M5" i="10"/>
  <c r="M6" i="10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06" i="3"/>
  <c r="M1584" i="6"/>
  <c r="M524" i="6"/>
  <c r="M525" i="6"/>
  <c r="M526" i="6"/>
  <c r="M306" i="6"/>
  <c r="M307" i="6"/>
  <c r="M308" i="6"/>
  <c r="M309" i="6"/>
  <c r="M310" i="6"/>
  <c r="M520" i="6"/>
  <c r="M521" i="6"/>
  <c r="M522" i="6"/>
  <c r="M523" i="6"/>
  <c r="M465" i="6"/>
  <c r="M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466" i="6"/>
  <c r="M467" i="6"/>
  <c r="M468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469" i="6"/>
  <c r="M470" i="6"/>
  <c r="M471" i="6"/>
  <c r="M472" i="6"/>
  <c r="M473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474" i="6"/>
  <c r="M475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80" i="6"/>
  <c r="M381" i="6"/>
  <c r="M382" i="6"/>
  <c r="M517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518" i="6"/>
  <c r="M519" i="6"/>
  <c r="M461" i="6"/>
  <c r="M462" i="6"/>
  <c r="M463" i="6"/>
  <c r="M464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506" i="6"/>
  <c r="M507" i="6"/>
  <c r="M508" i="6"/>
  <c r="M509" i="6"/>
  <c r="M510" i="6"/>
  <c r="M511" i="6"/>
  <c r="M512" i="6"/>
  <c r="M513" i="6"/>
  <c r="M514" i="6"/>
  <c r="M515" i="6"/>
  <c r="M516" i="6"/>
  <c r="M370" i="6"/>
  <c r="M371" i="6"/>
  <c r="M372" i="6"/>
  <c r="M373" i="6"/>
  <c r="M374" i="6"/>
  <c r="M375" i="6"/>
  <c r="M376" i="6"/>
  <c r="M377" i="6"/>
  <c r="M378" i="6"/>
  <c r="M379" i="6"/>
  <c r="M305" i="6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2" i="2"/>
  <c r="M113" i="1"/>
  <c r="M114" i="1"/>
  <c r="M11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7" i="1"/>
  <c r="M31" i="1"/>
  <c r="M89" i="1"/>
  <c r="M90" i="1"/>
  <c r="M91" i="1"/>
  <c r="M92" i="1"/>
  <c r="M93" i="1"/>
  <c r="M94" i="1"/>
  <c r="M95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8" i="1"/>
  <c r="R2" i="10" l="1"/>
  <c r="R3" i="10"/>
  <c r="R4" i="10"/>
  <c r="R5" i="10"/>
  <c r="R6" i="10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305" i="6" l="1"/>
  <c r="R306" i="6"/>
  <c r="R307" i="6"/>
  <c r="R308" i="6"/>
  <c r="R309" i="6"/>
  <c r="R310" i="6"/>
  <c r="R520" i="6"/>
  <c r="R521" i="6"/>
  <c r="R522" i="6"/>
  <c r="R523" i="6"/>
  <c r="R465" i="6"/>
  <c r="R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466" i="6"/>
  <c r="R467" i="6"/>
  <c r="R468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469" i="6"/>
  <c r="R470" i="6"/>
  <c r="R471" i="6"/>
  <c r="R472" i="6"/>
  <c r="R473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474" i="6"/>
  <c r="R475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80" i="6"/>
  <c r="R381" i="6"/>
  <c r="R382" i="6"/>
  <c r="R517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518" i="6"/>
  <c r="R519" i="6"/>
  <c r="R461" i="6"/>
  <c r="R462" i="6"/>
  <c r="R463" i="6"/>
  <c r="R464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506" i="6"/>
  <c r="R507" i="6"/>
  <c r="R508" i="6"/>
  <c r="R509" i="6"/>
  <c r="R510" i="6"/>
  <c r="R511" i="6"/>
  <c r="R512" i="6"/>
  <c r="R513" i="6"/>
  <c r="R514" i="6"/>
  <c r="R515" i="6"/>
  <c r="R516" i="6"/>
  <c r="R370" i="6"/>
  <c r="R371" i="6"/>
  <c r="R372" i="6"/>
  <c r="R373" i="6"/>
  <c r="R374" i="6"/>
  <c r="R375" i="6"/>
  <c r="R376" i="6"/>
  <c r="R377" i="6"/>
  <c r="R378" i="6"/>
  <c r="R379" i="6"/>
  <c r="R1584" i="6"/>
  <c r="R524" i="6"/>
  <c r="R525" i="6"/>
  <c r="R526" i="6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2" i="2"/>
  <c r="R7" i="2"/>
  <c r="R10" i="2"/>
  <c r="R11" i="2"/>
  <c r="R152" i="2"/>
  <c r="R153" i="2"/>
  <c r="R5" i="2"/>
  <c r="R8" i="2"/>
  <c r="R6" i="2"/>
  <c r="R9" i="2"/>
  <c r="R3" i="2"/>
  <c r="R4" i="2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2" i="1"/>
  <c r="R7" i="1"/>
  <c r="R31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3" i="1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86" i="4"/>
  <c r="R187" i="4"/>
  <c r="R188" i="4"/>
  <c r="R189" i="4"/>
  <c r="R191" i="4"/>
  <c r="R198" i="4"/>
  <c r="R424" i="4"/>
  <c r="R190" i="4"/>
  <c r="Q524" i="6" l="1"/>
  <c r="Q525" i="6"/>
  <c r="Q187" i="4" l="1"/>
  <c r="Q188" i="4"/>
  <c r="Q189" i="4"/>
  <c r="Q191" i="4"/>
  <c r="Q198" i="4"/>
  <c r="Q424" i="4"/>
  <c r="Q190" i="4"/>
  <c r="Q2" i="1"/>
  <c r="Q7" i="1"/>
  <c r="Q31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3" i="1"/>
  <c r="Q2" i="2"/>
  <c r="Q7" i="2"/>
  <c r="Q10" i="2"/>
  <c r="Q11" i="2"/>
  <c r="Q152" i="2"/>
  <c r="Q153" i="2"/>
  <c r="Q5" i="2"/>
  <c r="Q8" i="2"/>
  <c r="Q6" i="2"/>
  <c r="Q9" i="2"/>
  <c r="Q3" i="2"/>
  <c r="Q4" i="2"/>
  <c r="Q1584" i="6"/>
  <c r="Q526" i="6"/>
  <c r="Q6" i="10"/>
  <c r="Q186" i="4" l="1"/>
  <c r="Q15" i="4" l="1"/>
  <c r="Q8" i="4"/>
  <c r="Q9" i="4"/>
  <c r="Q10" i="4"/>
  <c r="Q11" i="4"/>
  <c r="Q12" i="4"/>
  <c r="Q13" i="4"/>
  <c r="Q14" i="4"/>
  <c r="Q2" i="4" l="1"/>
  <c r="Q3" i="4"/>
  <c r="Q4" i="4"/>
  <c r="Q5" i="4"/>
  <c r="Q6" i="4"/>
  <c r="Q7" i="4"/>
  <c r="Q5" i="10" l="1"/>
  <c r="Q4" i="10"/>
  <c r="Q3" i="10"/>
  <c r="Q2" i="10"/>
  <c r="Q333" i="6" l="1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506" i="6"/>
  <c r="Q507" i="6"/>
  <c r="Q508" i="6"/>
  <c r="Q509" i="6"/>
  <c r="Q510" i="6"/>
  <c r="Q511" i="6"/>
  <c r="Q512" i="6"/>
  <c r="Q513" i="6"/>
  <c r="Q514" i="6"/>
  <c r="Q515" i="6"/>
  <c r="Q516" i="6"/>
  <c r="Q370" i="6"/>
  <c r="Q371" i="6"/>
  <c r="Q372" i="6"/>
  <c r="Q373" i="6"/>
  <c r="Q374" i="6"/>
  <c r="Q375" i="6"/>
  <c r="Q376" i="6"/>
  <c r="Q377" i="6"/>
  <c r="Q378" i="6"/>
  <c r="Q379" i="6"/>
  <c r="Q2" i="6" l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466" i="6"/>
  <c r="Q467" i="6"/>
  <c r="Q468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469" i="6"/>
  <c r="Q470" i="6"/>
  <c r="Q471" i="6"/>
  <c r="Q472" i="6"/>
  <c r="Q473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474" i="6"/>
  <c r="Q475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80" i="6"/>
  <c r="Q381" i="6"/>
  <c r="Q382" i="6"/>
  <c r="Q517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518" i="6"/>
  <c r="Q519" i="6"/>
  <c r="Q461" i="6"/>
  <c r="Q462" i="6"/>
  <c r="Q463" i="6"/>
  <c r="Q464" i="6"/>
  <c r="Q465" i="6"/>
  <c r="Q520" i="6"/>
  <c r="Q521" i="6"/>
  <c r="Q522" i="6"/>
  <c r="Q523" i="6"/>
  <c r="Q306" i="6"/>
  <c r="Q307" i="6"/>
  <c r="Q308" i="6"/>
  <c r="Q309" i="6"/>
  <c r="Q310" i="6"/>
  <c r="Q305" i="6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199" i="4"/>
  <c r="Q9" i="1" l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8" i="1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2" i="2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106" i="3"/>
</calcChain>
</file>

<file path=xl/sharedStrings.xml><?xml version="1.0" encoding="utf-8"?>
<sst xmlns="http://schemas.openxmlformats.org/spreadsheetml/2006/main" count="59822" uniqueCount="5439">
  <si>
    <t>COMPANY CODE</t>
  </si>
  <si>
    <t>INVNUMBER</t>
  </si>
  <si>
    <t>PLANT</t>
  </si>
  <si>
    <t>Rental</t>
  </si>
  <si>
    <t>Rental and Fees</t>
  </si>
  <si>
    <t>INV DOC DATE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</si>
  <si>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</si>
  <si>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</si>
  <si>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</si>
  <si>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</si>
  <si>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</si>
  <si>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</si>
  <si>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</si>
  <si>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</si>
  <si>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</si>
  <si>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</si>
  <si>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</si>
  <si>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</si>
  <si>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</si>
  <si>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</si>
  <si>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</si>
  <si>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</si>
  <si>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</si>
  <si>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</si>
  <si>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</si>
  <si>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</si>
  <si>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</si>
  <si>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</si>
  <si>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</si>
  <si>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EXT</t>
  </si>
  <si>
    <t>CC</t>
  </si>
  <si>
    <t>AMT OUTSTANDING</t>
  </si>
  <si>
    <t>SN</t>
  </si>
  <si>
    <t>INV TYPE</t>
  </si>
  <si>
    <t>INV384265</t>
  </si>
  <si>
    <t>PO</t>
  </si>
  <si>
    <t>ADV385454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</si>
  <si>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</si>
  <si>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</si>
  <si>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</si>
  <si>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</si>
  <si>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</si>
  <si>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</si>
  <si>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</si>
  <si>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</si>
  <si>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</si>
  <si>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</si>
  <si>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</si>
  <si>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</si>
  <si>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</si>
  <si>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</si>
  <si>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</si>
  <si>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</si>
  <si>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</si>
  <si>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</si>
  <si>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</si>
  <si>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</si>
  <si>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</si>
  <si>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</si>
  <si>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</si>
  <si>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</si>
  <si>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</si>
  <si>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</si>
  <si>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</si>
  <si>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</si>
  <si>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</si>
  <si>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</si>
  <si>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</si>
  <si>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</si>
  <si>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</si>
  <si>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</si>
  <si>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</si>
  <si>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</si>
  <si>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</si>
  <si>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</si>
  <si>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</si>
  <si>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</si>
  <si>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</si>
  <si>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</si>
  <si>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</si>
  <si>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</si>
  <si>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</si>
  <si>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</si>
  <si>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</si>
  <si>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</si>
  <si>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</si>
  <si>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</si>
  <si>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</si>
  <si>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</si>
  <si>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</si>
  <si>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</si>
  <si>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</si>
  <si>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</si>
  <si>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</si>
  <si>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</si>
  <si>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</si>
  <si>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</si>
  <si>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</si>
  <si>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</si>
  <si>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</si>
  <si>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</si>
  <si>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</si>
  <si>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</si>
  <si>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</si>
  <si>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</si>
  <si>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</si>
  <si>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</si>
  <si>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</si>
  <si>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</si>
  <si>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</si>
  <si>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</si>
  <si>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</si>
  <si>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</si>
  <si>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</si>
  <si>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</si>
  <si>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</si>
  <si>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</si>
  <si>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</si>
  <si>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</si>
  <si>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</si>
  <si>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</si>
  <si>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</si>
  <si>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</si>
  <si>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</si>
  <si>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</si>
  <si>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</si>
  <si>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</si>
  <si>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</si>
  <si>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</si>
  <si>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</si>
  <si>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</si>
  <si>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</si>
  <si>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</si>
  <si>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</si>
  <si>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</si>
  <si>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</si>
  <si>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</si>
  <si>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</si>
  <si>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</si>
  <si>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</si>
  <si>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</si>
  <si>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</si>
  <si>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</si>
  <si>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</si>
  <si>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</si>
  <si>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</si>
  <si>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</si>
  <si>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</si>
  <si>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</si>
  <si>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</si>
  <si>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</si>
  <si>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</si>
  <si>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</si>
  <si>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EXSZ 900664-2</t>
  </si>
  <si>
    <t>EXSZ 900666-3</t>
  </si>
  <si>
    <t>EXSZ 900668-4</t>
  </si>
  <si>
    <t>TRZZ 900418</t>
  </si>
  <si>
    <t>TRZZ 900577</t>
  </si>
  <si>
    <t>TRZZ 900624</t>
  </si>
  <si>
    <t>EXFU 175148-0</t>
  </si>
  <si>
    <t>EXFU 175161-8</t>
  </si>
  <si>
    <t>EXFU 175445-3</t>
  </si>
  <si>
    <t>EXFU 175447-4</t>
  </si>
  <si>
    <t>EXSZ 900643-1</t>
  </si>
  <si>
    <t>EXSZ 900662-1</t>
  </si>
  <si>
    <t>EXSZ 900672-4</t>
  </si>
  <si>
    <t>TRLU 175118-0</t>
  </si>
  <si>
    <t>TRLU 175125-6</t>
  </si>
  <si>
    <t>TRLU 175127-7</t>
  </si>
  <si>
    <t>TRLU 175129-8</t>
  </si>
  <si>
    <t>TRLU 175146-7</t>
  </si>
  <si>
    <t>TRZZ 900408</t>
  </si>
  <si>
    <t>TRZZ 900627</t>
  </si>
  <si>
    <t>TRZZ 900630</t>
  </si>
  <si>
    <t>TRZZ 900631</t>
  </si>
  <si>
    <t>TRZZ 900579</t>
  </si>
  <si>
    <t>TRZZ 900593</t>
  </si>
  <si>
    <t>TRZZ 900594</t>
  </si>
  <si>
    <t>TRZZ 900595</t>
  </si>
  <si>
    <t>TRZZ 900596</t>
  </si>
  <si>
    <t>TRZZ 900621</t>
  </si>
  <si>
    <t>TRZZ 900622</t>
  </si>
  <si>
    <t>TRZZ 900623</t>
  </si>
  <si>
    <t>EXFU 051979-0</t>
  </si>
  <si>
    <t>EXFU 051986-6</t>
  </si>
  <si>
    <t>EXFU 051987-1</t>
  </si>
  <si>
    <t>EXFU 052043-0</t>
  </si>
  <si>
    <t>EXFU 052046-6</t>
  </si>
  <si>
    <t>EXFU 052048-7</t>
  </si>
  <si>
    <t>EXFU 052055-3</t>
  </si>
  <si>
    <t>EXFU 052356-8</t>
  </si>
  <si>
    <t>EXFU 053598-0</t>
  </si>
  <si>
    <t>EXFU 440467-5</t>
  </si>
  <si>
    <t>EXFU 440486-5</t>
  </si>
  <si>
    <t>EXFU 440503-3</t>
  </si>
  <si>
    <t>EXFU 440513-6</t>
  </si>
  <si>
    <t>EXFU 440528-6</t>
  </si>
  <si>
    <t>EXFU 175149-6</t>
  </si>
  <si>
    <t>EXFU 175154-1</t>
  </si>
  <si>
    <t>EXFU 175157-8</t>
  </si>
  <si>
    <t>EXFU 175165-0</t>
  </si>
  <si>
    <t>EXFU 175446-9</t>
  </si>
  <si>
    <t>EXSZ 900644-7</t>
  </si>
  <si>
    <t>EXSZ 900661-6</t>
  </si>
  <si>
    <t>EXSZ 900663-7</t>
  </si>
  <si>
    <t>EXSZ 900670-3</t>
  </si>
  <si>
    <t>EXSZ 902057-9</t>
  </si>
  <si>
    <t>TRLU 175053-7</t>
  </si>
  <si>
    <t>TRLU 175130-1</t>
  </si>
  <si>
    <t>TRZZ 900419</t>
  </si>
  <si>
    <t>TRZZ 900439</t>
  </si>
  <si>
    <t>TRZZ 900580</t>
  </si>
  <si>
    <t>TRZZ 900588</t>
  </si>
  <si>
    <t>TRZZ 900589</t>
  </si>
  <si>
    <t>TRZZ 900591</t>
  </si>
  <si>
    <t>EXXU 999261-4</t>
  </si>
  <si>
    <t>EXXU 999264-0</t>
  </si>
  <si>
    <t>EXXU 999267-7</t>
  </si>
  <si>
    <t>EXXU 999268-2</t>
  </si>
  <si>
    <t>EXXU 999584-5</t>
  </si>
  <si>
    <t>EXXU 999587-1</t>
  </si>
  <si>
    <t>EXSZ 901032-8</t>
  </si>
  <si>
    <t>TRZZ 900417</t>
  </si>
  <si>
    <t>TRZZ 900578</t>
  </si>
  <si>
    <t>TRZZ 900628</t>
  </si>
  <si>
    <t>TRZZ 900629</t>
  </si>
  <si>
    <t>TRZZ 900632</t>
  </si>
  <si>
    <t>TRLU 175119-5</t>
  </si>
  <si>
    <t>TRZZ 900576</t>
  </si>
  <si>
    <t>TRZZ 900625</t>
  </si>
  <si>
    <t>TRZZ 900626</t>
  </si>
  <si>
    <t>TRZZ 900420</t>
  </si>
  <si>
    <t>TRZZ 900440</t>
  </si>
  <si>
    <t>EXFU 440531-0</t>
  </si>
  <si>
    <t>EXFU 053748-0</t>
  </si>
  <si>
    <t>EXFU 053897-4</t>
  </si>
  <si>
    <t>EXSZ 900669-0</t>
  </si>
  <si>
    <t>TRZZ 900574</t>
  </si>
  <si>
    <t>EXFU 175150-0</t>
  </si>
  <si>
    <t>EXFU 175151-5</t>
  </si>
  <si>
    <t>EXFU 175152-0</t>
  </si>
  <si>
    <t>EXFU 175153-6</t>
  </si>
  <si>
    <t>EXFU 175155-7</t>
  </si>
  <si>
    <t>EXFU 175156-2</t>
  </si>
  <si>
    <t>EXFU 175158-3</t>
  </si>
  <si>
    <t>EXFU 175159-9</t>
  </si>
  <si>
    <t>EXFU 175160-2</t>
  </si>
  <si>
    <t>EXFU 175162-3</t>
  </si>
  <si>
    <t>EXFU 175163-9</t>
  </si>
  <si>
    <t>EXFU 175164-4</t>
  </si>
  <si>
    <t>EXFU 175166-5</t>
  </si>
  <si>
    <t>EXFU 175167-0</t>
  </si>
  <si>
    <t>EXFU 175168-6</t>
  </si>
  <si>
    <t>EXFU 175169-1</t>
  </si>
  <si>
    <t>EXFU 175172-6</t>
  </si>
  <si>
    <t>EXFU 175174-7</t>
  </si>
  <si>
    <t>EXFU 175175-2</t>
  </si>
  <si>
    <t>EXFU 175176-8</t>
  </si>
  <si>
    <t>EXFU 175177-3</t>
  </si>
  <si>
    <t>EXFU 175178-9</t>
  </si>
  <si>
    <t>EXFU 175179-4</t>
  </si>
  <si>
    <t>EXFU 175180-8</t>
  </si>
  <si>
    <t>EXFU 175182-9</t>
  </si>
  <si>
    <t>EXFU 175183-4</t>
  </si>
  <si>
    <t>EXFU 175184-0</t>
  </si>
  <si>
    <t>EXFU 175185-5</t>
  </si>
  <si>
    <t>EXFU 175186-0</t>
  </si>
  <si>
    <t>EXFU 175187-6</t>
  </si>
  <si>
    <t>EXFU 175188-1</t>
  </si>
  <si>
    <t>EXFU 175189-7</t>
  </si>
  <si>
    <t>EXFU 175190-0</t>
  </si>
  <si>
    <t>EXFU 175191-6</t>
  </si>
  <si>
    <t>EXFU 175192-1</t>
  </si>
  <si>
    <t>EXFU 175346-2</t>
  </si>
  <si>
    <t>EXFU 175347-8</t>
  </si>
  <si>
    <t>EXFU 175348-3</t>
  </si>
  <si>
    <t>EXFU 175349-9</t>
  </si>
  <si>
    <t>EXFU 175350-2</t>
  </si>
  <si>
    <t>EXFU 175351-8</t>
  </si>
  <si>
    <t>TRLU 175136-4</t>
  </si>
  <si>
    <t>TRLU 175147-2</t>
  </si>
  <si>
    <t>EXFU 441527-9</t>
  </si>
  <si>
    <t>EXFU 441529-0</t>
  </si>
  <si>
    <t>EXFU 441536-6</t>
  </si>
  <si>
    <t>EXFU 441539-2</t>
  </si>
  <si>
    <t>EXFU 441552-0</t>
  </si>
  <si>
    <t>EXFU 441557-7</t>
  </si>
  <si>
    <t>EXFU 441793-9</t>
  </si>
  <si>
    <t>EXFU 441794-4</t>
  </si>
  <si>
    <t>EXFU 441796-5</t>
  </si>
  <si>
    <t>EXFU 441797-0</t>
  </si>
  <si>
    <t>EXFU 441795-0</t>
  </si>
  <si>
    <t>EXFU 441798-6</t>
  </si>
  <si>
    <t>H052</t>
  </si>
  <si>
    <t>INV384278</t>
  </si>
  <si>
    <t>AI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</si>
  <si>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</si>
  <si>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</si>
  <si>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</si>
  <si>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</si>
  <si>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</si>
  <si>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</si>
  <si>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</si>
  <si>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</si>
  <si>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</si>
  <si>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</si>
  <si>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</si>
  <si>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</si>
  <si>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</si>
  <si>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</si>
  <si>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</si>
  <si>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</si>
  <si>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</si>
  <si>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</si>
  <si>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</si>
  <si>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</si>
  <si>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</si>
  <si>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</si>
  <si>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</si>
  <si>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</si>
  <si>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</si>
  <si>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</si>
  <si>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</si>
  <si>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</si>
  <si>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</si>
  <si>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</si>
  <si>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</si>
  <si>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</si>
  <si>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</si>
  <si>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</si>
  <si>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</si>
  <si>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</si>
  <si>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</si>
  <si>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</si>
  <si>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</si>
  <si>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</si>
  <si>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</si>
  <si>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</si>
  <si>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</si>
  <si>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</si>
  <si>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</si>
  <si>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</si>
  <si>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</si>
  <si>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</si>
  <si>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</si>
  <si>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</si>
  <si>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</si>
  <si>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AMT INVOICED</t>
  </si>
  <si>
    <t>E340</t>
  </si>
  <si>
    <t>D449</t>
  </si>
  <si>
    <t>D358</t>
  </si>
  <si>
    <t>D381</t>
  </si>
  <si>
    <t>E324</t>
  </si>
  <si>
    <t>D777</t>
  </si>
  <si>
    <t>D355</t>
  </si>
  <si>
    <t>D266</t>
  </si>
  <si>
    <t>D213</t>
  </si>
  <si>
    <t>D009</t>
  </si>
  <si>
    <t>D344</t>
  </si>
  <si>
    <t>E320</t>
  </si>
  <si>
    <t>D284</t>
  </si>
  <si>
    <t>D688</t>
  </si>
  <si>
    <t>D638</t>
  </si>
  <si>
    <t>EXFU5211407</t>
  </si>
  <si>
    <t>EXFU5211794</t>
  </si>
  <si>
    <t>EXFU5211829</t>
  </si>
  <si>
    <t>EXSZ9010837</t>
  </si>
  <si>
    <t>EXSZ9010863</t>
  </si>
  <si>
    <t>EXSZ9011005</t>
  </si>
  <si>
    <t>EXSZ9011073</t>
  </si>
  <si>
    <t>EXSZ900989</t>
  </si>
  <si>
    <t>EXSZ900993</t>
  </si>
  <si>
    <t>ICSU0292543</t>
  </si>
  <si>
    <t>TPTU8205930</t>
  </si>
  <si>
    <t>TPTU8206006</t>
  </si>
  <si>
    <t>TPTU8206367</t>
  </si>
  <si>
    <t>TRLU0223315</t>
  </si>
  <si>
    <t>TRLU0212856</t>
  </si>
  <si>
    <t>EXXU9994520</t>
  </si>
  <si>
    <t>EXSZ9016882</t>
  </si>
  <si>
    <t>EXSZ9016898</t>
  </si>
  <si>
    <t>EXSZ9016901</t>
  </si>
  <si>
    <t>EXSZ9016917</t>
  </si>
  <si>
    <t>EXSZ9016922</t>
  </si>
  <si>
    <t>EXSZ9016938</t>
  </si>
  <si>
    <t>EXSZ9016943</t>
  </si>
  <si>
    <t>EXSZ9016959</t>
  </si>
  <si>
    <t>EXSZ9016964</t>
  </si>
  <si>
    <t>EXSZ9016970</t>
  </si>
  <si>
    <t>EXSZ9016985</t>
  </si>
  <si>
    <t>EXSZ9016990</t>
  </si>
  <si>
    <t>EXSZ9017003</t>
  </si>
  <si>
    <t>EXSZ9017019</t>
  </si>
  <si>
    <t>EXSZ9017024</t>
  </si>
  <si>
    <t>EXSZ9017030</t>
  </si>
  <si>
    <t>EXSZ9017045</t>
  </si>
  <si>
    <t>EXSZ9017050</t>
  </si>
  <si>
    <t>EXFU0618806</t>
  </si>
  <si>
    <t>EXFU0618874</t>
  </si>
  <si>
    <t>EXFU0523001</t>
  </si>
  <si>
    <t>EXFU1448216</t>
  </si>
  <si>
    <t>EXFU1448290</t>
  </si>
  <si>
    <t>EXFU4400962</t>
  </si>
  <si>
    <t>EXFU4400978</t>
  </si>
  <si>
    <t>EXFU4401001</t>
  </si>
  <si>
    <t>EXFU4401207</t>
  </si>
  <si>
    <t>EXFU4401228</t>
  </si>
  <si>
    <t>EXFU4401233</t>
  </si>
  <si>
    <t>EXFU4401249</t>
  </si>
  <si>
    <t>EXSZ9018838</t>
  </si>
  <si>
    <t>EXSZ9018864</t>
  </si>
  <si>
    <t>EXSZ9018988</t>
  </si>
  <si>
    <t>EXSZ9019069</t>
  </si>
  <si>
    <t>EXSZ9019670</t>
  </si>
  <si>
    <t>EXSZ9019686</t>
  </si>
  <si>
    <t>EXSZ9019731</t>
  </si>
  <si>
    <t>EXSZ9019855</t>
  </si>
  <si>
    <t>EXSZ9019984</t>
  </si>
  <si>
    <t>EXSZ9020033</t>
  </si>
  <si>
    <t>EXFU1455200</t>
  </si>
  <si>
    <t>EXFU1455283</t>
  </si>
  <si>
    <t>EXFU1448319</t>
  </si>
  <si>
    <t>EXFU1448324</t>
  </si>
  <si>
    <t>EXFU1448263</t>
  </si>
  <si>
    <t>EXFU0551024</t>
  </si>
  <si>
    <t>EXFU0551030</t>
  </si>
  <si>
    <t>EXFU0551132</t>
  </si>
  <si>
    <t>EXSZ9012418</t>
  </si>
  <si>
    <t>EXSZ9012423</t>
  </si>
  <si>
    <t>EXSZ9012439</t>
  </si>
  <si>
    <t>EXSZ9012640</t>
  </si>
  <si>
    <t>EXSZ9012819</t>
  </si>
  <si>
    <t>EXSZ9012850</t>
  </si>
  <si>
    <t>EXSZ9012866</t>
  </si>
  <si>
    <t>EXSZ9012871</t>
  </si>
  <si>
    <t>EXSZ9012887</t>
  </si>
  <si>
    <t>EXSZ9012980</t>
  </si>
  <si>
    <t>EXSZ9013013</t>
  </si>
  <si>
    <t>EXSZ9013029</t>
  </si>
  <si>
    <t>EXSZ9013040</t>
  </si>
  <si>
    <t>EXSZ9013522</t>
  </si>
  <si>
    <t>EXSZ9014278</t>
  </si>
  <si>
    <t>EXSZ9014299</t>
  </si>
  <si>
    <t>EXSZ9014344</t>
  </si>
  <si>
    <t>EXSZ9014365</t>
  </si>
  <si>
    <t>EXSZ9014386</t>
  </si>
  <si>
    <t>EXSZ9014405</t>
  </si>
  <si>
    <t>EXSZ9014473</t>
  </si>
  <si>
    <t>EXSZ9006895</t>
  </si>
  <si>
    <t>EXSZ9007227</t>
  </si>
  <si>
    <t>EXSZ9007269</t>
  </si>
  <si>
    <t>EXSZ9007464</t>
  </si>
  <si>
    <t>EXSZ9007588</t>
  </si>
  <si>
    <t>EXSZ900777</t>
  </si>
  <si>
    <t>EXSZ900953</t>
  </si>
  <si>
    <t>EXSZ900956</t>
  </si>
  <si>
    <t>EXSZ9010288</t>
  </si>
  <si>
    <t>EXSZ9015084</t>
  </si>
  <si>
    <t>EXSZ9015103</t>
  </si>
  <si>
    <t>EXSZ9015124</t>
  </si>
  <si>
    <t>EXSZ9015130</t>
  </si>
  <si>
    <t>EXSZ9015150</t>
  </si>
  <si>
    <t>EXSZ9015166</t>
  </si>
  <si>
    <t>EXSZ9015192</t>
  </si>
  <si>
    <t>EXSZ9015206</t>
  </si>
  <si>
    <t>EXSZ9015211</t>
  </si>
  <si>
    <t>EXSZ9015232</t>
  </si>
  <si>
    <t>EXSZ9015248</t>
  </si>
  <si>
    <t>EXSZ9015309</t>
  </si>
  <si>
    <t>EXSZ9015356</t>
  </si>
  <si>
    <t>EXSZ9015485</t>
  </si>
  <si>
    <t>EXSZ9015504</t>
  </si>
  <si>
    <t>EXSZ9015525</t>
  </si>
  <si>
    <t>EXSZ9015530</t>
  </si>
  <si>
    <t>EXSZ9015567</t>
  </si>
  <si>
    <t>EXSZ9015572</t>
  </si>
  <si>
    <t>EXSZ9016080</t>
  </si>
  <si>
    <t>EXSZ9016096</t>
  </si>
  <si>
    <t>EXSZ9016590</t>
  </si>
  <si>
    <t>EXSZ9016624</t>
  </si>
  <si>
    <t>TRZZ900455</t>
  </si>
  <si>
    <t>TRZZ900535</t>
  </si>
  <si>
    <t>TRZZ900543</t>
  </si>
  <si>
    <t>TRZZ900553</t>
  </si>
  <si>
    <t>TRZZ900554</t>
  </si>
  <si>
    <t>TRZZ900563</t>
  </si>
  <si>
    <t>TRZZ900573</t>
  </si>
  <si>
    <t>TRZZ900575</t>
  </si>
  <si>
    <t>TRZZ900583</t>
  </si>
  <si>
    <t>TRZZ900585</t>
  </si>
  <si>
    <t>USPU1247900</t>
  </si>
  <si>
    <t>EXXU9994915</t>
  </si>
  <si>
    <t>EXFU0599558</t>
  </si>
  <si>
    <t>EXSZ9018144</t>
  </si>
  <si>
    <t>EXSZ9018376</t>
  </si>
  <si>
    <t>EXSZ9014600</t>
  </si>
  <si>
    <t>EXSZ9014961</t>
  </si>
  <si>
    <t>EXSZ9014977</t>
  </si>
  <si>
    <t>EXFU0554403</t>
  </si>
  <si>
    <t>EXFU0622283</t>
  </si>
  <si>
    <t>EXFU1447781</t>
  </si>
  <si>
    <t>EXFU1448047</t>
  </si>
  <si>
    <t>EXFU1448108</t>
  </si>
  <si>
    <t>EXFU1448113</t>
  </si>
  <si>
    <t>EXFU1448129</t>
  </si>
  <si>
    <t>EXFU8218133</t>
  </si>
  <si>
    <t>EXFU1448303</t>
  </si>
  <si>
    <t>EXFU1448345</t>
  </si>
  <si>
    <t>EXFU1455318</t>
  </si>
  <si>
    <t>TPMU3514675</t>
  </si>
  <si>
    <t>EXXU9990735</t>
  </si>
  <si>
    <t>TRLU0222031</t>
  </si>
  <si>
    <t>EXSZ9016711</t>
  </si>
  <si>
    <t>EXSZ9016727</t>
  </si>
  <si>
    <t>EXSZ9017148</t>
  </si>
  <si>
    <t>EXSZ9017153</t>
  </si>
  <si>
    <t>EXSZ9017169</t>
  </si>
  <si>
    <t>EXSZ9017174</t>
  </si>
  <si>
    <t>EXSZ9017180</t>
  </si>
  <si>
    <t>EXSZ9017195</t>
  </si>
  <si>
    <t>EXFU8208855</t>
  </si>
  <si>
    <t>EXFU8208937</t>
  </si>
  <si>
    <t>EXFU8216444</t>
  </si>
  <si>
    <t>EXFU8216450</t>
  </si>
  <si>
    <t>EXFU8216470</t>
  </si>
  <si>
    <t>EXFU8216486</t>
  </si>
  <si>
    <t>EXFU8216505</t>
  </si>
  <si>
    <t>EXFU8216510</t>
  </si>
  <si>
    <t>EXFU8216526</t>
  </si>
  <si>
    <t>EXFU8216547</t>
  </si>
  <si>
    <t>EXFU8222088</t>
  </si>
  <si>
    <t>EXFU8222093</t>
  </si>
  <si>
    <t>EXFU8222107</t>
  </si>
  <si>
    <t>EXFU8222128</t>
  </si>
  <si>
    <t>EXFU8222154</t>
  </si>
  <si>
    <t>EXFU8222160</t>
  </si>
  <si>
    <t>EXFU8222175</t>
  </si>
  <si>
    <t>EXFU8222180</t>
  </si>
  <si>
    <t>EXFU8222200</t>
  </si>
  <si>
    <t>EXFU8222215</t>
  </si>
  <si>
    <t>EXFU8222278</t>
  </si>
  <si>
    <t>EXFU8222283</t>
  </si>
  <si>
    <t>EXFU8222299</t>
  </si>
  <si>
    <t>EXFU8222318</t>
  </si>
  <si>
    <t>EXFU8222323</t>
  </si>
  <si>
    <t>EXFU8222339</t>
  </si>
  <si>
    <t>EXFU8222344</t>
  </si>
  <si>
    <t>EXFU8222365</t>
  </si>
  <si>
    <t>EXFU8222370</t>
  </si>
  <si>
    <t>EXFU8222391</t>
  </si>
  <si>
    <t>TRLU0219608</t>
  </si>
  <si>
    <t>TRLU0223260</t>
  </si>
  <si>
    <t>USPU1226928</t>
  </si>
  <si>
    <t>USPU1246800</t>
  </si>
  <si>
    <t>TPMU1410162</t>
  </si>
  <si>
    <t>AMT PAID</t>
  </si>
  <si>
    <t>INV384286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</si>
  <si>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</si>
  <si>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</si>
  <si>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</si>
  <si>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</si>
  <si>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</si>
  <si>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</si>
  <si>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</si>
  <si>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</si>
  <si>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</si>
  <si>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</si>
  <si>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</si>
  <si>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</si>
  <si>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</si>
  <si>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</si>
  <si>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</si>
  <si>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</si>
  <si>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</si>
  <si>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</si>
  <si>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</si>
  <si>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</si>
  <si>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</si>
  <si>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</si>
  <si>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</si>
  <si>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</si>
  <si>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</si>
  <si>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</si>
  <si>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</si>
  <si>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</si>
  <si>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</si>
  <si>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</si>
  <si>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</si>
  <si>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</si>
  <si>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</si>
  <si>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EXFU 050873-2</t>
  </si>
  <si>
    <t>EXFU 051623-4</t>
  </si>
  <si>
    <t>EXFU 052714-1</t>
  </si>
  <si>
    <t>EXFU 052740-8</t>
  </si>
  <si>
    <t>EXFU 053036-1</t>
  </si>
  <si>
    <t>EXFU 054270-0</t>
  </si>
  <si>
    <t>EXFU 054319-0</t>
  </si>
  <si>
    <t>EXFU 054320-3</t>
  </si>
  <si>
    <t>EXFU 054538-2</t>
  </si>
  <si>
    <t>EXFU 054615-7</t>
  </si>
  <si>
    <t>EXFU 054618-3</t>
  </si>
  <si>
    <t>EXFU 055093-8</t>
  </si>
  <si>
    <t>EXFU 056376-6</t>
  </si>
  <si>
    <t>EXFU 059891-0</t>
  </si>
  <si>
    <t>EXFU 059950-0</t>
  </si>
  <si>
    <t>EXFU 060725-2</t>
  </si>
  <si>
    <t>EXFU 061111-8</t>
  </si>
  <si>
    <t>EXFU 061116-5</t>
  </si>
  <si>
    <t>EXFU 061119-1</t>
  </si>
  <si>
    <t>EXFU 061120-5</t>
  </si>
  <si>
    <t>EXFU 061121-0</t>
  </si>
  <si>
    <t>EXFU 061123-1</t>
  </si>
  <si>
    <t>EXFU 061126-8</t>
  </si>
  <si>
    <t>EXFU 061127-3</t>
  </si>
  <si>
    <t>EXFU 061129-4</t>
  </si>
  <si>
    <t>EXFU 062226-2</t>
  </si>
  <si>
    <t>EXFU 062232-3</t>
  </si>
  <si>
    <t>EXFU 062237-0</t>
  </si>
  <si>
    <t>EXFU 062238-6</t>
  </si>
  <si>
    <t>EXFU 062241-0</t>
  </si>
  <si>
    <t>EXFU 062242-6</t>
  </si>
  <si>
    <t>EXFU 062244-7</t>
  </si>
  <si>
    <t>EXFU 144782-1</t>
  </si>
  <si>
    <t>EXFU 144795-0</t>
  </si>
  <si>
    <t>EXFU 144799-2</t>
  </si>
  <si>
    <t>EXFU 144803-1</t>
  </si>
  <si>
    <t>EXFU 144806-8</t>
  </si>
  <si>
    <t>EXFU 144809-4</t>
  </si>
  <si>
    <t>EXFU 144825-8</t>
  </si>
  <si>
    <t>EXFU 144833-0</t>
  </si>
  <si>
    <t>EXFU 144835-0</t>
  </si>
  <si>
    <t>EXFU 144836-6</t>
  </si>
  <si>
    <t>EXFU 441799-1</t>
  </si>
  <si>
    <t>EXFU 441800-4</t>
  </si>
  <si>
    <t>EXFU 441801-0</t>
  </si>
  <si>
    <t>EXFU 441802-5</t>
  </si>
  <si>
    <t>EXFU 441803-0</t>
  </si>
  <si>
    <t>EXFU 441804-6</t>
  </si>
  <si>
    <t>EXFU 441805-1</t>
  </si>
  <si>
    <t>EXFU 441806-7</t>
  </si>
  <si>
    <t>EXFU 441808-8</t>
  </si>
  <si>
    <t>EXFU 441809-3</t>
  </si>
  <si>
    <t>EXFU 810137-9</t>
  </si>
  <si>
    <t>EXFU 810369-0</t>
  </si>
  <si>
    <t>EXFU 810389-6</t>
  </si>
  <si>
    <t>EXFU 810390-0</t>
  </si>
  <si>
    <t>EXFU 810414-6</t>
  </si>
  <si>
    <t>EXFU 810415-1</t>
  </si>
  <si>
    <t>EXFU 810416-7</t>
  </si>
  <si>
    <t>EXFU 810710-3</t>
  </si>
  <si>
    <t>EXFU 810748-5</t>
  </si>
  <si>
    <t>EXFU 810842-9</t>
  </si>
  <si>
    <t>EXFU 810843-4</t>
  </si>
  <si>
    <t>EXFU 810844-0</t>
  </si>
  <si>
    <t>EXFU 810856-3</t>
  </si>
  <si>
    <t>EXFU 810866-6</t>
  </si>
  <si>
    <t>EXFU 810867-1</t>
  </si>
  <si>
    <t>EXFU 810870-6</t>
  </si>
  <si>
    <t>EXFU 810872-7</t>
  </si>
  <si>
    <t>EXFU 810873-2</t>
  </si>
  <si>
    <t>EXFU 810874-8</t>
  </si>
  <si>
    <t>EXFU 810875-3</t>
  </si>
  <si>
    <t>EXFU 810878-0</t>
  </si>
  <si>
    <t>EXFU 810882-0</t>
  </si>
  <si>
    <t>EXFU 810883-5</t>
  </si>
  <si>
    <t>EXFU 810884-0</t>
  </si>
  <si>
    <t>EXFU 810885-6</t>
  </si>
  <si>
    <t>EXFU 810886-1</t>
  </si>
  <si>
    <t>EXFU 820723-1</t>
  </si>
  <si>
    <t>EXFU 820828-5</t>
  </si>
  <si>
    <t>EXFU 821445-7</t>
  </si>
  <si>
    <t>EXFU 821446-2</t>
  </si>
  <si>
    <t>EXFU 821447-8</t>
  </si>
  <si>
    <t>EXFU 821448-3</t>
  </si>
  <si>
    <t>EXFU 821465-2</t>
  </si>
  <si>
    <t>EXFU 821467-3</t>
  </si>
  <si>
    <t>EXFU 821625-4</t>
  </si>
  <si>
    <t>EXFU 821630-0</t>
  </si>
  <si>
    <t>EXFU 821631-5</t>
  </si>
  <si>
    <t>EXFU 821646-5</t>
  </si>
  <si>
    <t>EXFU 821649-1</t>
  </si>
  <si>
    <t>EXFU 821653-1</t>
  </si>
  <si>
    <t>EXFU 821841-0</t>
  </si>
  <si>
    <t>EXFU 830001-0</t>
  </si>
  <si>
    <t>EXFU 830002-5</t>
  </si>
  <si>
    <t>EXFU 830007-2</t>
  </si>
  <si>
    <t>EXFU 830008-8</t>
  </si>
  <si>
    <t>EXFU 830009-3</t>
  </si>
  <si>
    <t>EXSZ 900676-6</t>
  </si>
  <si>
    <t>EXSZ 900687-4</t>
  </si>
  <si>
    <t>EXSZ 900732-0</t>
  </si>
  <si>
    <t>EXSZ 900753-0</t>
  </si>
  <si>
    <t>EXSZ 900813</t>
  </si>
  <si>
    <t>EXSZ 900816</t>
  </si>
  <si>
    <t>EXSZ 900823</t>
  </si>
  <si>
    <t>EXSZ 900885</t>
  </si>
  <si>
    <t>EXSZ 901026-7</t>
  </si>
  <si>
    <t>EXSZ 901165-9</t>
  </si>
  <si>
    <t>EXSZ 901166-4</t>
  </si>
  <si>
    <t>EXSZ 901168-5</t>
  </si>
  <si>
    <t>EXSZ 901339-5</t>
  </si>
  <si>
    <t>EXSZ 901341-4</t>
  </si>
  <si>
    <t>EXSZ 901344-0</t>
  </si>
  <si>
    <t>EXSZ 901345-6</t>
  </si>
  <si>
    <t>EXSZ 901347-7</t>
  </si>
  <si>
    <t>EXSZ 901348-2</t>
  </si>
  <si>
    <t>EXSZ 901529-5</t>
  </si>
  <si>
    <t>EXSZ 901582-3</t>
  </si>
  <si>
    <t>EXSZ 901588-6</t>
  </si>
  <si>
    <t>EXSZ 901602-8</t>
  </si>
  <si>
    <t>EXSZ 901614-1</t>
  </si>
  <si>
    <t>EXSZ 901615-7</t>
  </si>
  <si>
    <t>EXSZ 901616-2</t>
  </si>
  <si>
    <t>EXSZ 901617-8</t>
  </si>
  <si>
    <t>EXSZ 901618-3</t>
  </si>
  <si>
    <t>EXSZ 901619-9</t>
  </si>
  <si>
    <t>EXSZ 901620-2</t>
  </si>
  <si>
    <t>EXSZ 901623-9</t>
  </si>
  <si>
    <t>EXSZ 901624-4</t>
  </si>
  <si>
    <t>EXSZ 901625-0</t>
  </si>
  <si>
    <t>EXSZ 901639-4</t>
  </si>
  <si>
    <t>EXSZ 901726-1</t>
  </si>
  <si>
    <t>EXSZ 901727-7</t>
  </si>
  <si>
    <t>EXSZ 901728-2</t>
  </si>
  <si>
    <t>EXSZ 901729-8</t>
  </si>
  <si>
    <t>EXSZ 901730-1</t>
  </si>
  <si>
    <t>EXSZ 901731-7</t>
  </si>
  <si>
    <t>EXSZ 901815-0</t>
  </si>
  <si>
    <t>EXSZ 901824-7</t>
  </si>
  <si>
    <t>EXSZ 901832-9</t>
  </si>
  <si>
    <t>EXSZ 902002-8</t>
  </si>
  <si>
    <t>EXSZ 902039-4</t>
  </si>
  <si>
    <t>EXSZ 902077-4</t>
  </si>
  <si>
    <t>EXSZ 902082-0</t>
  </si>
  <si>
    <t>EXSZ 902091-7</t>
  </si>
  <si>
    <t>EXSZ 902861-0</t>
  </si>
  <si>
    <t>EXSZ 902862-5</t>
  </si>
  <si>
    <t>EXSZ 902864-6</t>
  </si>
  <si>
    <t>EXSZ 903079-3</t>
  </si>
  <si>
    <t>EXSZ 903116-7</t>
  </si>
  <si>
    <t>EXSZ 903119-3</t>
  </si>
  <si>
    <t>EXSZ 903120-7</t>
  </si>
  <si>
    <t>EXSZ 903135-7</t>
  </si>
  <si>
    <t>EXSZ 903173-7</t>
  </si>
  <si>
    <t>EXSZ 903590-1</t>
  </si>
  <si>
    <t>EXSZ 903591-7</t>
  </si>
  <si>
    <t>EXSZ 903592-2</t>
  </si>
  <si>
    <t>EXSZ 903593-8</t>
  </si>
  <si>
    <t>EXSZ 903594-3</t>
  </si>
  <si>
    <t>EXSZ 903595-9</t>
  </si>
  <si>
    <t>EXSZ 903596-4</t>
  </si>
  <si>
    <t>EXSZ 903597-0</t>
  </si>
  <si>
    <t>EXSZ 903598-5</t>
  </si>
  <si>
    <t>EXSZ 903602-4</t>
  </si>
  <si>
    <t>EXSZ 903603-0</t>
  </si>
  <si>
    <t>EXSZ 903604-5</t>
  </si>
  <si>
    <t>EXSZ 903605-0</t>
  </si>
  <si>
    <t>EXSZ 903606-6</t>
  </si>
  <si>
    <t>EXSZ 903607-1</t>
  </si>
  <si>
    <t>EXSZ 903616-9</t>
  </si>
  <si>
    <t>EXSZ 903704-1</t>
  </si>
  <si>
    <t>EXSZ 903705-7</t>
  </si>
  <si>
    <t>EXSZ 903706-2</t>
  </si>
  <si>
    <t>EXXU 998108-1</t>
  </si>
  <si>
    <t>EXXU 999613-7</t>
  </si>
  <si>
    <t>TOLU 906039-0</t>
  </si>
  <si>
    <t>TOLU 926009-0</t>
  </si>
  <si>
    <t>TOLU 926022-7</t>
  </si>
  <si>
    <t>TOLU 926054-6</t>
  </si>
  <si>
    <t>TPMU 131017-9</t>
  </si>
  <si>
    <t>TPMU 451160-2</t>
  </si>
  <si>
    <t>TRLU 021020-0</t>
  </si>
  <si>
    <t>TRLU 021090-9</t>
  </si>
  <si>
    <t>TRLU 021264-5</t>
  </si>
  <si>
    <t>TRLU 021279-5</t>
  </si>
  <si>
    <t>TRLU 021458-7</t>
  </si>
  <si>
    <t>TRLU 021564-4</t>
  </si>
  <si>
    <t>TRLU 021626-0</t>
  </si>
  <si>
    <t>TRLU 021741-5</t>
  </si>
  <si>
    <t>TRLU 021805-2</t>
  </si>
  <si>
    <t>TRLU 021881-2</t>
  </si>
  <si>
    <t>TRLU 021882-8</t>
  </si>
  <si>
    <t>TRLU 021884-9</t>
  </si>
  <si>
    <t>TRLU 021886-0</t>
  </si>
  <si>
    <t>TRLU 021903-8</t>
  </si>
  <si>
    <t>TRLU 021909-0</t>
  </si>
  <si>
    <t>TRLU 021911-0</t>
  </si>
  <si>
    <t>TRLU 021945-0</t>
  </si>
  <si>
    <t>TRLU 022018-9</t>
  </si>
  <si>
    <t>TRLU 022022-9</t>
  </si>
  <si>
    <t>TRLU 022035-8</t>
  </si>
  <si>
    <t>TRLU 024027-2</t>
  </si>
  <si>
    <t>TRLU 026907-0</t>
  </si>
  <si>
    <t>TRLU 026910-5</t>
  </si>
  <si>
    <t>TRLU 027173-5</t>
  </si>
  <si>
    <t>TRLU 050562-2</t>
  </si>
  <si>
    <t>TRLU 830034-1</t>
  </si>
  <si>
    <t>TRLU 830041-8</t>
  </si>
  <si>
    <t>USPU 121314-0</t>
  </si>
  <si>
    <t>USPU 122054-0</t>
  </si>
  <si>
    <t>USPU 122448-4</t>
  </si>
  <si>
    <t>USPU 122485-9</t>
  </si>
  <si>
    <t>USPU 122501-1</t>
  </si>
  <si>
    <t>USPU 122783-7</t>
  </si>
  <si>
    <t>USPU 124136-8</t>
  </si>
  <si>
    <t>USPU 124144-0</t>
  </si>
  <si>
    <t>USPU 124504-4</t>
  </si>
  <si>
    <t>USPU 124608-2</t>
  </si>
  <si>
    <t>USPU 124667-3</t>
  </si>
  <si>
    <t>USPU 124789-6</t>
  </si>
  <si>
    <t>Handling Fee at Pickup</t>
  </si>
  <si>
    <t>Grand Total</t>
  </si>
  <si>
    <t>BCOXT</t>
  </si>
  <si>
    <t>DAGXX</t>
  </si>
  <si>
    <t>INVOICED</t>
  </si>
  <si>
    <t>PAID</t>
  </si>
  <si>
    <t>OUTSTANDING</t>
  </si>
  <si>
    <t>DCPXX</t>
  </si>
  <si>
    <t>DOCXX</t>
  </si>
  <si>
    <t>UNIT NUMBER</t>
  </si>
  <si>
    <t>CHARGE DESC</t>
  </si>
  <si>
    <t>EXFU4404192</t>
  </si>
  <si>
    <t>EXFU4404211</t>
  </si>
  <si>
    <t>EXFU8216830</t>
  </si>
  <si>
    <t>TRLU0215623</t>
  </si>
  <si>
    <t>TRLU0217360</t>
  </si>
  <si>
    <t>TRLU0221673</t>
  </si>
  <si>
    <t>INV384271</t>
  </si>
  <si>
    <t>EXSZ9012716</t>
  </si>
  <si>
    <t>EXSZ9012763</t>
  </si>
  <si>
    <t>EXFU1447020</t>
  </si>
  <si>
    <t>EXFU1447035</t>
  </si>
  <si>
    <t>T001</t>
  </si>
  <si>
    <t>INV384289</t>
  </si>
  <si>
    <t>TR</t>
  </si>
  <si>
    <t>A341</t>
  </si>
  <si>
    <t>USPU1228371</t>
  </si>
  <si>
    <t>INV384270</t>
  </si>
  <si>
    <t>RH</t>
  </si>
  <si>
    <t>D021</t>
  </si>
  <si>
    <t>D674</t>
  </si>
  <si>
    <t>D182</t>
  </si>
  <si>
    <t>D292</t>
  </si>
  <si>
    <t>D227</t>
  </si>
  <si>
    <t>D186</t>
  </si>
  <si>
    <t>D223</t>
  </si>
  <si>
    <t>D248</t>
  </si>
  <si>
    <t>B244</t>
  </si>
  <si>
    <t>D229</t>
  </si>
  <si>
    <t>D181</t>
  </si>
  <si>
    <t>D022</t>
  </si>
  <si>
    <t>D383</t>
  </si>
  <si>
    <t>D438</t>
  </si>
  <si>
    <t>D407</t>
  </si>
  <si>
    <t>D243</t>
  </si>
  <si>
    <t>D214</t>
  </si>
  <si>
    <t>E215</t>
  </si>
  <si>
    <t>D1950</t>
  </si>
  <si>
    <t>D215</t>
  </si>
  <si>
    <t>D348</t>
  </si>
  <si>
    <t>D618</t>
  </si>
  <si>
    <t>D058</t>
  </si>
  <si>
    <t>D059</t>
  </si>
  <si>
    <t>B304</t>
  </si>
  <si>
    <t>D210</t>
  </si>
  <si>
    <t>D669</t>
  </si>
  <si>
    <t>D804</t>
  </si>
  <si>
    <t>D678</t>
  </si>
  <si>
    <t>EXFU9991657</t>
  </si>
  <si>
    <t>EXFU0605028</t>
  </si>
  <si>
    <t>EXFU0599584</t>
  </si>
  <si>
    <t>EXFU0607273</t>
  </si>
  <si>
    <t>EXFU0607313</t>
  </si>
  <si>
    <t>EXFU0607397</t>
  </si>
  <si>
    <t>EXFU0607442</t>
  </si>
  <si>
    <t>EXFU0614077</t>
  </si>
  <si>
    <t>EXFU0598947</t>
  </si>
  <si>
    <t>EXFU4420378</t>
  </si>
  <si>
    <t>EXFU4420383</t>
  </si>
  <si>
    <t>EXFU8106180</t>
  </si>
  <si>
    <t>EXFU8106236</t>
  </si>
  <si>
    <t>EXFU0224757</t>
  </si>
  <si>
    <t>EXFU0224865</t>
  </si>
  <si>
    <t>EXFU0508748</t>
  </si>
  <si>
    <t>EXFU0508814</t>
  </si>
  <si>
    <t>EXFU0521333</t>
  </si>
  <si>
    <t>EXFU0526063</t>
  </si>
  <si>
    <t>EXFU0527223</t>
  </si>
  <si>
    <t>EXFU0530192</t>
  </si>
  <si>
    <t>EXFU0539570</t>
  </si>
  <si>
    <t>ICSU0288097</t>
  </si>
  <si>
    <t>TPTU8205524</t>
  </si>
  <si>
    <t>TRLU0214020</t>
  </si>
  <si>
    <t>TRLU0216907</t>
  </si>
  <si>
    <t>TRLU0218880</t>
  </si>
  <si>
    <t>TRLU0221647</t>
  </si>
  <si>
    <t>TRLU0222319</t>
  </si>
  <si>
    <t>TRLU0503933</t>
  </si>
  <si>
    <t>TRLU0504251</t>
  </si>
  <si>
    <t>TRLU0505469</t>
  </si>
  <si>
    <t>TRLU0505833</t>
  </si>
  <si>
    <t>USPU1224566</t>
  </si>
  <si>
    <t>USPU1241270</t>
  </si>
  <si>
    <t>TRLU0269086</t>
  </si>
  <si>
    <t>TRLU0217082</t>
  </si>
  <si>
    <t>EXFU8107567</t>
  </si>
  <si>
    <t>EXFU0526058</t>
  </si>
  <si>
    <t>USPU1241033</t>
  </si>
  <si>
    <t>EXFU8600547</t>
  </si>
  <si>
    <t>EXFU8216850</t>
  </si>
  <si>
    <t>EXFU0599049</t>
  </si>
  <si>
    <t>EXFU0599080</t>
  </si>
  <si>
    <t>EXFU0599542</t>
  </si>
  <si>
    <t>USPU1225454</t>
  </si>
  <si>
    <t>USPU1226487</t>
  </si>
  <si>
    <t>EXFU0527434</t>
  </si>
  <si>
    <t>USPU1224099</t>
  </si>
  <si>
    <t>TRLU0215876</t>
  </si>
  <si>
    <t>TRLU0219552</t>
  </si>
  <si>
    <t>TPTU8516254</t>
  </si>
  <si>
    <t>EXFU0599007</t>
  </si>
  <si>
    <t>TOLU9411869</t>
  </si>
  <si>
    <t>ICSU0281132</t>
  </si>
  <si>
    <t>SNIU1210984</t>
  </si>
  <si>
    <t>TRLU0501632</t>
  </si>
  <si>
    <t>TRLU0212542</t>
  </si>
  <si>
    <t>EXXU9990648</t>
  </si>
  <si>
    <t>EXFU0519697</t>
  </si>
  <si>
    <t>EXFU0518556</t>
  </si>
  <si>
    <t>EXFU1985792</t>
  </si>
  <si>
    <t>TRLU8404006</t>
  </si>
  <si>
    <t>TPTU8400428</t>
  </si>
  <si>
    <t>TPTU8401785</t>
  </si>
  <si>
    <t>TPMU1612585</t>
  </si>
  <si>
    <t>EXFU0518828</t>
  </si>
  <si>
    <t>EXFU0518854</t>
  </si>
  <si>
    <t>EXFU0518860</t>
  </si>
  <si>
    <t>EXFU0518875</t>
  </si>
  <si>
    <t>EXFU0518880</t>
  </si>
  <si>
    <t>EXFU0518520</t>
  </si>
  <si>
    <t>TPTU8517327</t>
  </si>
  <si>
    <t>USPU1242615</t>
  </si>
  <si>
    <t>EXFU0527413</t>
  </si>
  <si>
    <t>TOLU9061143</t>
  </si>
  <si>
    <t>TRLU0504884</t>
  </si>
  <si>
    <t>TPTU8205798</t>
  </si>
  <si>
    <t>EXFU8216779</t>
  </si>
  <si>
    <t>EXFU0518480</t>
  </si>
  <si>
    <t>EXFU0521307</t>
  </si>
  <si>
    <t>TRLU1750521</t>
  </si>
  <si>
    <t>TRLU1751209</t>
  </si>
  <si>
    <t>TRLU1751214</t>
  </si>
  <si>
    <t>EXFU0522659</t>
  </si>
  <si>
    <t>TPMU1518265</t>
  </si>
  <si>
    <t>EXFU0527054</t>
  </si>
  <si>
    <t>EXFU1985832</t>
  </si>
  <si>
    <t>TPTU8206080</t>
  </si>
  <si>
    <t>EXFU8218112</t>
  </si>
  <si>
    <t>TPMU3514926</t>
  </si>
  <si>
    <t>TPTU8300100</t>
  </si>
  <si>
    <t>TRLU8300275</t>
  </si>
  <si>
    <t>TRLU8300280</t>
  </si>
  <si>
    <t>TRLU8300296</t>
  </si>
  <si>
    <t>TRLU8300300</t>
  </si>
  <si>
    <t>TRLU8300315</t>
  </si>
  <si>
    <t>TRLU8300320</t>
  </si>
  <si>
    <t>TRLU8300336</t>
  </si>
  <si>
    <t>TRLU8300357</t>
  </si>
  <si>
    <t>TRLU8300362</t>
  </si>
  <si>
    <t>TRLU8300378</t>
  </si>
  <si>
    <t>TRLU8300383</t>
  </si>
  <si>
    <t>TRLU8300399</t>
  </si>
  <si>
    <t>TRLU8300402</t>
  </si>
  <si>
    <t>TRLU8604848</t>
  </si>
  <si>
    <t>USPU1224632</t>
  </si>
  <si>
    <t>USPU1224782</t>
  </si>
  <si>
    <t>USPU1224530</t>
  </si>
  <si>
    <t>USPU1225665</t>
  </si>
  <si>
    <t>USPU1228263</t>
  </si>
  <si>
    <t>USPU1228453</t>
  </si>
  <si>
    <t>USPU1300075</t>
  </si>
  <si>
    <t>EXFU8600552</t>
  </si>
  <si>
    <t>EXFU8600568</t>
  </si>
  <si>
    <t>EXFU8600573</t>
  </si>
  <si>
    <t>EXFU8300004</t>
  </si>
  <si>
    <t>EXFU8300030</t>
  </si>
  <si>
    <t>EXFU8300046</t>
  </si>
  <si>
    <t>EXFU8300051</t>
  </si>
  <si>
    <t>EXFU8300956</t>
  </si>
  <si>
    <t>EXFU8600526</t>
  </si>
  <si>
    <t>EXFU8600531</t>
  </si>
  <si>
    <t>EXFU0604952</t>
  </si>
  <si>
    <t>EXFU0605054</t>
  </si>
  <si>
    <t>EXXU9990653</t>
  </si>
  <si>
    <t>EXXU9990669</t>
  </si>
  <si>
    <t>EXFU8216655</t>
  </si>
  <si>
    <t>EXFU0537617</t>
  </si>
  <si>
    <t>USPU1227689</t>
  </si>
  <si>
    <t>TRLU0210642</t>
  </si>
  <si>
    <t>TRLU0211504</t>
  </si>
  <si>
    <t>EXFU0516255</t>
  </si>
  <si>
    <t>TOLU9260649</t>
  </si>
  <si>
    <t>EXFU8216737</t>
  </si>
  <si>
    <t>EXFU8216803</t>
  </si>
  <si>
    <t>EXFU0599033</t>
  </si>
  <si>
    <t>EXFU0577944</t>
  </si>
  <si>
    <t>EXFU0580700</t>
  </si>
  <si>
    <t>EXFU0516661</t>
  </si>
  <si>
    <t>EXFU0518474</t>
  </si>
  <si>
    <t>EXFU0516229</t>
  </si>
  <si>
    <t>EXFU0519700</t>
  </si>
  <si>
    <t>EXFU0520682</t>
  </si>
  <si>
    <t>EXFU0521734</t>
  </si>
  <si>
    <t>EXFU0519510</t>
  </si>
  <si>
    <t>EXFU0521246</t>
  </si>
  <si>
    <t>EXFU0502056</t>
  </si>
  <si>
    <t>EXFU0516050</t>
  </si>
  <si>
    <t>EXFU0516065</t>
  </si>
  <si>
    <t>EXFU0516147</t>
  </si>
  <si>
    <t>EXFU0516189</t>
  </si>
  <si>
    <t>EXFU0536009</t>
  </si>
  <si>
    <t>EXFU0531310</t>
  </si>
  <si>
    <t>EXFU0532805</t>
  </si>
  <si>
    <t>EXFU0539780</t>
  </si>
  <si>
    <t>EXFU0537833</t>
  </si>
  <si>
    <t>EXFU0539100</t>
  </si>
  <si>
    <t>EXFU0539271</t>
  </si>
  <si>
    <t>EXFU0539348</t>
  </si>
  <si>
    <t>EXFU0524311</t>
  </si>
  <si>
    <t>EXFU0525684</t>
  </si>
  <si>
    <t>EXFU0525827</t>
  </si>
  <si>
    <t>EXFU0525956</t>
  </si>
  <si>
    <t>EXFU0526000</t>
  </si>
  <si>
    <t>EXFU0527429</t>
  </si>
  <si>
    <t>EXFU8208990</t>
  </si>
  <si>
    <t>TOLU9473583</t>
  </si>
  <si>
    <t>EXXU9981100</t>
  </si>
  <si>
    <t>TRLU0212579</t>
  </si>
  <si>
    <t>TPTU8401002</t>
  </si>
  <si>
    <t>TPTU8401189</t>
  </si>
  <si>
    <t>TPTU8518180</t>
  </si>
  <si>
    <t>TPTU8726836</t>
  </si>
  <si>
    <t>TPTU8402605</t>
  </si>
  <si>
    <t>TPTU8512388</t>
  </si>
  <si>
    <t>TPTU8515978</t>
  </si>
  <si>
    <t>TPTU8206686</t>
  </si>
  <si>
    <t>TRLU0219655</t>
  </si>
  <si>
    <t>TRLU0219167</t>
  </si>
  <si>
    <t>TRLU0221884</t>
  </si>
  <si>
    <t>TRLU0216506</t>
  </si>
  <si>
    <t>TRLU0213770</t>
  </si>
  <si>
    <t>TRLU0213940</t>
  </si>
  <si>
    <t>TRLU0217225</t>
  </si>
  <si>
    <t>TRLU8604262</t>
  </si>
  <si>
    <t>TRLU8604283</t>
  </si>
  <si>
    <t>TRLU8604365</t>
  </si>
  <si>
    <t>TRLU0504919</t>
  </si>
  <si>
    <t>TRLU0220764</t>
  </si>
  <si>
    <t>TRLU0223721</t>
  </si>
  <si>
    <t>TRLU0237263</t>
  </si>
  <si>
    <t>TRLU0223249</t>
  </si>
  <si>
    <t>TRLU0253937</t>
  </si>
  <si>
    <t>TRLU0256999</t>
  </si>
  <si>
    <t>TRLU0503888</t>
  </si>
  <si>
    <t>USPU1224885</t>
  </si>
  <si>
    <t>USPU1221084</t>
  </si>
  <si>
    <t>USPU1228788</t>
  </si>
  <si>
    <t>USPU1237007</t>
  </si>
  <si>
    <t>USPU1226574</t>
  </si>
  <si>
    <t>USPU1227035</t>
  </si>
  <si>
    <t>USPU1225958</t>
  </si>
  <si>
    <t>USPU1226070</t>
  </si>
  <si>
    <t>TRLU0213831</t>
  </si>
  <si>
    <t>TRLU0213868</t>
  </si>
  <si>
    <t>TRLU0221800</t>
  </si>
  <si>
    <t>TRLU0219676</t>
  </si>
  <si>
    <t>TRLU0216975</t>
  </si>
  <si>
    <t>TPTU8205355</t>
  </si>
  <si>
    <t>TPTU8206562</t>
  </si>
  <si>
    <t>TPTU8205550</t>
  </si>
  <si>
    <t>TPMU1612712</t>
  </si>
  <si>
    <t>TRLU0210468</t>
  </si>
  <si>
    <t>TRLU0213580</t>
  </si>
  <si>
    <t>USPU1245609</t>
  </si>
  <si>
    <t>USPU1228448</t>
  </si>
  <si>
    <t>USPU1242981</t>
  </si>
  <si>
    <t>USPU1243416</t>
  </si>
  <si>
    <t>USPU1243437</t>
  </si>
  <si>
    <t>USPU1241223</t>
  </si>
  <si>
    <t>USPU1241809</t>
  </si>
  <si>
    <t>TPMU1410481</t>
  </si>
  <si>
    <t>TOLU9470476</t>
  </si>
  <si>
    <t>TOLU9472695</t>
  </si>
  <si>
    <t>EXFU8208670</t>
  </si>
  <si>
    <t>EXFU1880261</t>
  </si>
  <si>
    <t>EXFU8107459</t>
  </si>
  <si>
    <t>EXFU8107546</t>
  </si>
  <si>
    <t>EXFU8216845</t>
  </si>
  <si>
    <t>EXFU8216790</t>
  </si>
  <si>
    <t>EXFU8216640</t>
  </si>
  <si>
    <t>EXFU0527310</t>
  </si>
  <si>
    <t>EXFU0527331</t>
  </si>
  <si>
    <t>EXFU0537860</t>
  </si>
  <si>
    <t>EXFU0537495</t>
  </si>
  <si>
    <t>EXFU0507438</t>
  </si>
  <si>
    <t>EXFU0502035</t>
  </si>
  <si>
    <t>EXFU0519001</t>
  </si>
  <si>
    <t>EXFU0599012</t>
  </si>
  <si>
    <t>EXFU0599537</t>
  </si>
  <si>
    <t>EXFU0599096</t>
  </si>
  <si>
    <t>EXFU0599120</t>
  </si>
  <si>
    <t>EXFU0607289</t>
  </si>
  <si>
    <t>EXFU0613656</t>
  </si>
  <si>
    <t>EXFU0613698</t>
  </si>
  <si>
    <t>USPU1210979</t>
  </si>
  <si>
    <t>EXFU0554532</t>
  </si>
  <si>
    <t>EXSZ900802</t>
  </si>
  <si>
    <t>EXSZ900820</t>
  </si>
  <si>
    <t>EXSZ900908</t>
  </si>
  <si>
    <t>TOLU9260715</t>
  </si>
  <si>
    <t>SNIU1232601</t>
  </si>
  <si>
    <t>EXSZ9020748</t>
  </si>
  <si>
    <t>EXSZ9014236</t>
  </si>
  <si>
    <t>EXSZ9016619</t>
  </si>
  <si>
    <t>TOLU9465274</t>
  </si>
  <si>
    <t>EXSZ900961</t>
  </si>
  <si>
    <t>EXSZ9010919</t>
  </si>
  <si>
    <t>EXSZ9007382</t>
  </si>
  <si>
    <t>EXFU0599157</t>
  </si>
  <si>
    <t>EXFU0519022</t>
  </si>
  <si>
    <t>EXFU0540652</t>
  </si>
  <si>
    <t>EXFU0540668</t>
  </si>
  <si>
    <t>EXFU0527373</t>
  </si>
  <si>
    <t>USPU1212333</t>
  </si>
  <si>
    <t>USPU1225710</t>
  </si>
  <si>
    <t>TRLU5200164</t>
  </si>
  <si>
    <t>TRLU0218875</t>
  </si>
  <si>
    <t>EXFU1452448</t>
  </si>
  <si>
    <t>EXSZ9018340</t>
  </si>
  <si>
    <t>EXSZ9018360</t>
  </si>
  <si>
    <t>EXFU1447098</t>
  </si>
  <si>
    <t>EXFU1447879</t>
  </si>
  <si>
    <t>EXFU1447884</t>
  </si>
  <si>
    <t>EXFU1447842</t>
  </si>
  <si>
    <t>EXFU1448010</t>
  </si>
  <si>
    <t>EXFU1448073</t>
  </si>
  <si>
    <t>EXSZ9016012</t>
  </si>
  <si>
    <t>EXSZ9018062</t>
  </si>
  <si>
    <t>EXSZ9018170</t>
  </si>
  <si>
    <t>EXSZ9018205</t>
  </si>
  <si>
    <t>EXSZ9018252</t>
  </si>
  <si>
    <t>EXSZ9018308</t>
  </si>
  <si>
    <t>EXSZ9037099</t>
  </si>
  <si>
    <t>EXSZ9030788</t>
  </si>
  <si>
    <t>EXFU8300067</t>
  </si>
  <si>
    <t>USPU1330275</t>
  </si>
  <si>
    <t>EXFU8220280</t>
  </si>
  <si>
    <t>EXFU8220296</t>
  </si>
  <si>
    <t>EXFU8220300</t>
  </si>
  <si>
    <t>EXFU8220315</t>
  </si>
  <si>
    <t>EXFU8220336</t>
  </si>
  <si>
    <t>EXFU8220357</t>
  </si>
  <si>
    <t>EXSZ9034438</t>
  </si>
  <si>
    <t>EXSZ9034443</t>
  </si>
  <si>
    <t>EXSZ9034459</t>
  </si>
  <si>
    <t>EXSZ9034464</t>
  </si>
  <si>
    <t>EXSZ9034470</t>
  </si>
  <si>
    <t>EXSZ9034485</t>
  </si>
  <si>
    <t>EXSZ9034490</t>
  </si>
  <si>
    <t>EXSZ9034504</t>
  </si>
  <si>
    <t>EXSZ9034510</t>
  </si>
  <si>
    <t>EXSZ9034525</t>
  </si>
  <si>
    <t>EXSZ9034530</t>
  </si>
  <si>
    <t>EXSZ9034546</t>
  </si>
  <si>
    <t>EXFU4414544</t>
  </si>
  <si>
    <t>EXFU4414550</t>
  </si>
  <si>
    <t>EXFU4414570</t>
  </si>
  <si>
    <t>EXFU4414591</t>
  </si>
  <si>
    <t>EXFU4414605</t>
  </si>
  <si>
    <t>EXFU4414610</t>
  </si>
  <si>
    <t>EXFU4418112</t>
  </si>
  <si>
    <t>EXFU4418128</t>
  </si>
  <si>
    <t>EXFU4418154</t>
  </si>
  <si>
    <t>EXFU4418175</t>
  </si>
  <si>
    <t>EXFU4418180</t>
  </si>
  <si>
    <t>EXSZ9036148</t>
  </si>
  <si>
    <t>EXSZ9036153</t>
  </si>
  <si>
    <t>EXSZ9036322</t>
  </si>
  <si>
    <t>EXSZ9036338</t>
  </si>
  <si>
    <t>EXSZ9036343</t>
  </si>
  <si>
    <t>EXSZ9014581</t>
  </si>
  <si>
    <t>EXSZ9014616</t>
  </si>
  <si>
    <t>EXSZ9014998</t>
  </si>
  <si>
    <t>EXSZ9015016</t>
  </si>
  <si>
    <t>EXFU1449737</t>
  </si>
  <si>
    <t>EXFU1449779</t>
  </si>
  <si>
    <t>EXFU1449830</t>
  </si>
  <si>
    <t>EXFU1450050</t>
  </si>
  <si>
    <t>EXFU8220948</t>
  </si>
  <si>
    <t>EXFU8220953</t>
  </si>
  <si>
    <t>EXSZ9017981</t>
  </si>
  <si>
    <t>EXSZ9017997</t>
  </si>
  <si>
    <t>EXSZ9018000</t>
  </si>
  <si>
    <t>EXFU1448140</t>
  </si>
  <si>
    <t>EXFU1447858</t>
  </si>
  <si>
    <t>EXFU1447971</t>
  </si>
  <si>
    <t>EXFU1447987</t>
  </si>
  <si>
    <t>EXSZ9030670</t>
  </si>
  <si>
    <t>EXSZ9030767</t>
  </si>
  <si>
    <t>EXSZ9030772</t>
  </si>
  <si>
    <t>EXSZ9031613</t>
  </si>
  <si>
    <t>EXSZ9031629</t>
  </si>
  <si>
    <t>EXSZ9031634</t>
  </si>
  <si>
    <t>EXFU8222220</t>
  </si>
  <si>
    <t>EXFU8222241</t>
  </si>
  <si>
    <t>EXFU8222257</t>
  </si>
  <si>
    <t>EXFU8108373</t>
  </si>
  <si>
    <t>EXFU8108389</t>
  </si>
  <si>
    <t>EXFU8108413</t>
  </si>
  <si>
    <t>TRLU0800778</t>
  </si>
  <si>
    <t>TRLU0501648</t>
  </si>
  <si>
    <t>TRLU0504518</t>
  </si>
  <si>
    <t>ICLU9462429</t>
  </si>
  <si>
    <t>EXFU0519146</t>
  </si>
  <si>
    <t>EXFU0514397</t>
  </si>
  <si>
    <t>ICSU0286896</t>
  </si>
  <si>
    <t>TPMU1513577</t>
  </si>
  <si>
    <t>TPMU3512796</t>
  </si>
  <si>
    <t>TPMU3515481</t>
  </si>
  <si>
    <t>TPMU3517587</t>
  </si>
  <si>
    <t>TPMU3519975</t>
  </si>
  <si>
    <t>EXFU0516194</t>
  </si>
  <si>
    <t>USPU1211620</t>
  </si>
  <si>
    <t>USPU1210460</t>
  </si>
  <si>
    <t>USPU1212360</t>
  </si>
  <si>
    <t>USPU1223111</t>
  </si>
  <si>
    <t>TOLU9423474</t>
  </si>
  <si>
    <t>EXXU9990695</t>
  </si>
  <si>
    <t>EXXU9990709</t>
  </si>
  <si>
    <t>EXFU1875049</t>
  </si>
  <si>
    <t>EXFU0527352</t>
  </si>
  <si>
    <t>EXFU0527305</t>
  </si>
  <si>
    <t>ICSU0288522</t>
  </si>
  <si>
    <t>TRLU0223531</t>
  </si>
  <si>
    <t>TRLU0247786</t>
  </si>
  <si>
    <t>EXFU0519038</t>
  </si>
  <si>
    <t>EXFU0550990</t>
  </si>
  <si>
    <t>USPU1239709</t>
  </si>
  <si>
    <t>USPU1245574</t>
  </si>
  <si>
    <t>EXFU8208325</t>
  </si>
  <si>
    <t>EXFU8208346</t>
  </si>
  <si>
    <t>EXFU8208449</t>
  </si>
  <si>
    <t>EXFU8208860</t>
  </si>
  <si>
    <t>EXFU8211904</t>
  </si>
  <si>
    <t>EXFU8220125</t>
  </si>
  <si>
    <t>EXFU8220660</t>
  </si>
  <si>
    <t>EXFU8220676</t>
  </si>
  <si>
    <t>EXFU8220233</t>
  </si>
  <si>
    <t>EXFU8220911</t>
  </si>
  <si>
    <t>TRLU1750352</t>
  </si>
  <si>
    <t>TRLU1750645</t>
  </si>
  <si>
    <t>TPMU6310037</t>
  </si>
  <si>
    <t>EXFU0575710</t>
  </si>
  <si>
    <t>EXFU0575746</t>
  </si>
  <si>
    <t>EXFU0624542</t>
  </si>
  <si>
    <t>EXFU0624558</t>
  </si>
  <si>
    <t>EXFU0624630</t>
  </si>
  <si>
    <t>EXFU0550970</t>
  </si>
  <si>
    <t>EXFU0532908</t>
  </si>
  <si>
    <t>EXFU3803074</t>
  </si>
  <si>
    <t>SNIU1235046</t>
  </si>
  <si>
    <t>TRLU0252632</t>
  </si>
  <si>
    <t>TRLU0264551</t>
  </si>
  <si>
    <t>USPU1246734</t>
  </si>
  <si>
    <t>TRLU0215027</t>
  </si>
  <si>
    <t>ICSU0283393</t>
  </si>
  <si>
    <t>EXFU8216721</t>
  </si>
  <si>
    <t>EXFU8220547</t>
  </si>
  <si>
    <t>EXFU8220568</t>
  </si>
  <si>
    <t>EXFU0537690</t>
  </si>
  <si>
    <t>EXFU0521230</t>
  </si>
  <si>
    <t>EXFU0607611</t>
  </si>
  <si>
    <t>EXFU0607627</t>
  </si>
  <si>
    <t>EXFU0607308</t>
  </si>
  <si>
    <t>EXFU0607191</t>
  </si>
  <si>
    <t>EXFU0607231</t>
  </si>
  <si>
    <t>EXFU0598994</t>
  </si>
  <si>
    <t>EXFU8106370</t>
  </si>
  <si>
    <t>TOLU9161116</t>
  </si>
  <si>
    <t>TRLU0212352</t>
  </si>
  <si>
    <t>TRLU0217992</t>
  </si>
  <si>
    <t>TRLU0219357</t>
  </si>
  <si>
    <t>TRLU0219378</t>
  </si>
  <si>
    <t>TRLU0222345</t>
  </si>
  <si>
    <t>TRLU0221966</t>
  </si>
  <si>
    <t>TRLU0221987</t>
  </si>
  <si>
    <t>TRLU0222005</t>
  </si>
  <si>
    <t>TRLU0222290</t>
  </si>
  <si>
    <t>TRLU0218242</t>
  </si>
  <si>
    <t>TRLU0217420</t>
  </si>
  <si>
    <t>TRLU0217457</t>
  </si>
  <si>
    <t>TPTU8205890</t>
  </si>
  <si>
    <t>TRLU0211783</t>
  </si>
  <si>
    <t>USPU1228216</t>
  </si>
  <si>
    <t>EXFU8216681</t>
  </si>
  <si>
    <t>EXFU8216758</t>
  </si>
  <si>
    <t>EXFU8218093</t>
  </si>
  <si>
    <t>EXFU8214354</t>
  </si>
  <si>
    <t>EXFU8208665</t>
  </si>
  <si>
    <t>EXFU3802479</t>
  </si>
  <si>
    <t>EXFU0599516</t>
  </si>
  <si>
    <t>EXFU0538017</t>
  </si>
  <si>
    <t>TRLU0210318</t>
  </si>
  <si>
    <t>TPMU1610469</t>
  </si>
  <si>
    <t>TRLU0216949</t>
  </si>
  <si>
    <t>EXFU1447837</t>
  </si>
  <si>
    <t>EXSZ9018015</t>
  </si>
  <si>
    <t>EXFU8220130</t>
  </si>
  <si>
    <t>EXFU8220146</t>
  </si>
  <si>
    <t>EXFU8220167</t>
  </si>
  <si>
    <t>EXFU8220830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</si>
  <si>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</si>
  <si>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</si>
  <si>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</si>
  <si>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</si>
  <si>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</si>
  <si>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</si>
  <si>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</si>
  <si>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</si>
  <si>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</si>
  <si>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</si>
  <si>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</si>
  <si>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</si>
  <si>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</si>
  <si>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</si>
  <si>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</si>
  <si>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</si>
  <si>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</si>
  <si>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</si>
  <si>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</si>
  <si>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</si>
  <si>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</si>
  <si>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</si>
  <si>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</si>
  <si>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</si>
  <si>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</si>
  <si>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</si>
  <si>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</si>
  <si>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</si>
  <si>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</si>
  <si>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</si>
  <si>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</si>
  <si>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IW</t>
  </si>
  <si>
    <t>IX</t>
  </si>
  <si>
    <t>IY</t>
  </si>
  <si>
    <t>IZ</t>
  </si>
  <si>
    <t>JA</t>
  </si>
  <si>
    <t>JB</t>
  </si>
  <si>
    <t>JC</t>
  </si>
  <si>
    <t>JD</t>
  </si>
  <si>
    <t>JE</t>
  </si>
  <si>
    <t>JF</t>
  </si>
  <si>
    <t>JG</t>
  </si>
  <si>
    <t>JH</t>
  </si>
  <si>
    <t>JI</t>
  </si>
  <si>
    <t>JJ</t>
  </si>
  <si>
    <t>JK</t>
  </si>
  <si>
    <t>JL</t>
  </si>
  <si>
    <t>JM</t>
  </si>
  <si>
    <t>JN</t>
  </si>
  <si>
    <t>JO</t>
  </si>
  <si>
    <t>JP</t>
  </si>
  <si>
    <t>JQ</t>
  </si>
  <si>
    <t>JR</t>
  </si>
  <si>
    <t>JS</t>
  </si>
  <si>
    <t>JT</t>
  </si>
  <si>
    <t>JU</t>
  </si>
  <si>
    <t>JV</t>
  </si>
  <si>
    <t>JW</t>
  </si>
  <si>
    <t>JX</t>
  </si>
  <si>
    <t>JY</t>
  </si>
  <si>
    <t>JZ</t>
  </si>
  <si>
    <t>KA</t>
  </si>
  <si>
    <t>KB</t>
  </si>
  <si>
    <t>KC</t>
  </si>
  <si>
    <t>KD</t>
  </si>
  <si>
    <t>KE</t>
  </si>
  <si>
    <t>KF</t>
  </si>
  <si>
    <t>KG</t>
  </si>
  <si>
    <t>KH</t>
  </si>
  <si>
    <t>KI</t>
  </si>
  <si>
    <t>KJ</t>
  </si>
  <si>
    <t>KK</t>
  </si>
  <si>
    <t>KL</t>
  </si>
  <si>
    <t>KM</t>
  </si>
  <si>
    <t>KN</t>
  </si>
  <si>
    <t>KO</t>
  </si>
  <si>
    <t>KP</t>
  </si>
  <si>
    <t>KQ</t>
  </si>
  <si>
    <t>KR</t>
  </si>
  <si>
    <t>KS</t>
  </si>
  <si>
    <t>KT</t>
  </si>
  <si>
    <t>KU</t>
  </si>
  <si>
    <t>KV</t>
  </si>
  <si>
    <t>KW</t>
  </si>
  <si>
    <t>KX</t>
  </si>
  <si>
    <t>KY</t>
  </si>
  <si>
    <t>KZ</t>
  </si>
  <si>
    <t>LA</t>
  </si>
  <si>
    <t>LB</t>
  </si>
  <si>
    <t>LC</t>
  </si>
  <si>
    <t>LD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</si>
  <si>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</si>
  <si>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</si>
  <si>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</si>
  <si>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</si>
  <si>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</si>
  <si>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</si>
  <si>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</si>
  <si>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</si>
  <si>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</si>
  <si>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LN</t>
  </si>
  <si>
    <t>LO</t>
  </si>
  <si>
    <t>LP</t>
  </si>
  <si>
    <t>LQ</t>
  </si>
  <si>
    <t>LR</t>
  </si>
  <si>
    <t>LS</t>
  </si>
  <si>
    <t>LT</t>
  </si>
  <si>
    <t>LU</t>
  </si>
  <si>
    <t>LV</t>
  </si>
  <si>
    <t>LW</t>
  </si>
  <si>
    <t>LX</t>
  </si>
  <si>
    <t>LY</t>
  </si>
  <si>
    <t>LZ</t>
  </si>
  <si>
    <t>MA</t>
  </si>
  <si>
    <t>MB</t>
  </si>
  <si>
    <t>MC</t>
  </si>
  <si>
    <t>MD</t>
  </si>
  <si>
    <t>ME</t>
  </si>
  <si>
    <t>MF</t>
  </si>
  <si>
    <t>MG</t>
  </si>
  <si>
    <t>MH</t>
  </si>
  <si>
    <t>MI</t>
  </si>
  <si>
    <t>MJ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</si>
  <si>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</si>
  <si>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</si>
  <si>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</si>
  <si>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</si>
  <si>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</si>
  <si>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</si>
  <si>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</si>
  <si>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</si>
  <si>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</si>
  <si>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</si>
  <si>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</si>
  <si>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</si>
  <si>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</si>
  <si>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</si>
  <si>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</si>
  <si>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</si>
  <si>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</si>
  <si>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</si>
  <si>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</si>
  <si>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</si>
  <si>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</si>
  <si>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</si>
  <si>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</si>
  <si>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</si>
  <si>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</si>
  <si>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</si>
  <si>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</si>
  <si>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</si>
  <si>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</si>
  <si>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NN</t>
  </si>
  <si>
    <t>NO</t>
  </si>
  <si>
    <t>NP</t>
  </si>
  <si>
    <t>NQ</t>
  </si>
  <si>
    <t>NR</t>
  </si>
  <si>
    <t>NS</t>
  </si>
  <si>
    <t>NT</t>
  </si>
  <si>
    <t>NU</t>
  </si>
  <si>
    <t>NV</t>
  </si>
  <si>
    <t>NW</t>
  </si>
  <si>
    <t>NX</t>
  </si>
  <si>
    <t>NY</t>
  </si>
  <si>
    <t>NZ</t>
  </si>
  <si>
    <t>OA</t>
  </si>
  <si>
    <t>OB</t>
  </si>
  <si>
    <t>OC</t>
  </si>
  <si>
    <t>OD</t>
  </si>
  <si>
    <t>OE</t>
  </si>
  <si>
    <t>OF</t>
  </si>
  <si>
    <t>OG</t>
  </si>
  <si>
    <t>OH</t>
  </si>
  <si>
    <t>OI</t>
  </si>
  <si>
    <t>OJ</t>
  </si>
  <si>
    <t>OK</t>
  </si>
  <si>
    <t>OL</t>
  </si>
  <si>
    <t>OM</t>
  </si>
  <si>
    <t>ON</t>
  </si>
  <si>
    <t>OO</t>
  </si>
  <si>
    <t>OP</t>
  </si>
  <si>
    <t>OQ</t>
  </si>
  <si>
    <t>OR</t>
  </si>
  <si>
    <t>OS</t>
  </si>
  <si>
    <t>OT</t>
  </si>
  <si>
    <t>OU</t>
  </si>
  <si>
    <t>OV</t>
  </si>
  <si>
    <t>OW</t>
  </si>
  <si>
    <t>OX</t>
  </si>
  <si>
    <t>OY</t>
  </si>
  <si>
    <t>OZ</t>
  </si>
  <si>
    <t>PA</t>
  </si>
  <si>
    <t>PB</t>
  </si>
  <si>
    <t>PC</t>
  </si>
  <si>
    <t>PD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</si>
  <si>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</si>
  <si>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</si>
  <si>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</si>
  <si>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</si>
  <si>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</si>
  <si>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</si>
  <si>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</si>
  <si>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</si>
  <si>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</si>
  <si>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PN</t>
  </si>
  <si>
    <t>PP</t>
  </si>
  <si>
    <t>PQ</t>
  </si>
  <si>
    <t>PR</t>
  </si>
  <si>
    <t>PS</t>
  </si>
  <si>
    <t>PT</t>
  </si>
  <si>
    <t>PU</t>
  </si>
  <si>
    <t>PV</t>
  </si>
  <si>
    <t>PW</t>
  </si>
  <si>
    <t>PX</t>
  </si>
  <si>
    <t>PY</t>
  </si>
  <si>
    <t>PZ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</si>
  <si>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</si>
  <si>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</si>
  <si>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</si>
  <si>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</si>
  <si>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</si>
  <si>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</si>
  <si>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</si>
  <si>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</si>
  <si>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</si>
  <si>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</si>
  <si>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QK</t>
  </si>
  <si>
    <t>PRORATE</t>
  </si>
  <si>
    <t>INV384275</t>
  </si>
  <si>
    <t>DHMXX</t>
  </si>
  <si>
    <t>Customer Code</t>
  </si>
  <si>
    <t>Payment Date</t>
  </si>
  <si>
    <t>Payment Ref #</t>
  </si>
  <si>
    <t>Co Code</t>
  </si>
  <si>
    <t>Invoice #</t>
  </si>
  <si>
    <t>Doc Date</t>
  </si>
  <si>
    <t>Doc #</t>
  </si>
  <si>
    <t>Gross Amount</t>
  </si>
  <si>
    <t>13808000457838</t>
  </si>
  <si>
    <t>13808000457839</t>
  </si>
  <si>
    <t>INV384270CC</t>
  </si>
  <si>
    <t>INV384289CC</t>
  </si>
  <si>
    <t>INV384275CC</t>
  </si>
  <si>
    <t>INV384271CC</t>
  </si>
  <si>
    <t>INV384271SN</t>
  </si>
  <si>
    <t>1700101299</t>
  </si>
  <si>
    <t>1700101300</t>
  </si>
  <si>
    <t>1700101301</t>
  </si>
  <si>
    <t>1700101302</t>
  </si>
  <si>
    <t>1700101303</t>
  </si>
  <si>
    <t>1700101304</t>
  </si>
  <si>
    <t>1700101305</t>
  </si>
  <si>
    <t>1700101306</t>
  </si>
  <si>
    <t>1700101307</t>
  </si>
  <si>
    <t>1700101308</t>
  </si>
  <si>
    <t>1700101309</t>
  </si>
  <si>
    <t>1700101310</t>
  </si>
  <si>
    <t>1700101311</t>
  </si>
  <si>
    <t>1700101312</t>
  </si>
  <si>
    <t>1700101313</t>
  </si>
  <si>
    <t>1700101314</t>
  </si>
  <si>
    <t>1700101315</t>
  </si>
  <si>
    <t>1700101316</t>
  </si>
  <si>
    <t>1700101317</t>
  </si>
  <si>
    <t>1700101318</t>
  </si>
  <si>
    <t>1700101319</t>
  </si>
  <si>
    <t>1700101320</t>
  </si>
  <si>
    <t>1700101321</t>
  </si>
  <si>
    <t>1700101322</t>
  </si>
  <si>
    <t>1700101323</t>
  </si>
  <si>
    <t>1700101324</t>
  </si>
  <si>
    <t>1700101325</t>
  </si>
  <si>
    <t>1700101326</t>
  </si>
  <si>
    <t>1700101327</t>
  </si>
  <si>
    <t>1700101328</t>
  </si>
  <si>
    <t>1700101333</t>
  </si>
  <si>
    <t>1700101334</t>
  </si>
  <si>
    <t>1700101335</t>
  </si>
  <si>
    <t>1700101336</t>
  </si>
  <si>
    <t>1700101337</t>
  </si>
  <si>
    <t>1700101338</t>
  </si>
  <si>
    <t>1700101339</t>
  </si>
  <si>
    <t>1700101340</t>
  </si>
  <si>
    <t>1700101341</t>
  </si>
  <si>
    <t>1700101342</t>
  </si>
  <si>
    <t>1700101259</t>
  </si>
  <si>
    <t>1700101260</t>
  </si>
  <si>
    <t>1700101261</t>
  </si>
  <si>
    <t>1700101262</t>
  </si>
  <si>
    <t>1700101263</t>
  </si>
  <si>
    <t>1700101264</t>
  </si>
  <si>
    <t>1700101265</t>
  </si>
  <si>
    <t>1700101266</t>
  </si>
  <si>
    <t>1700101267</t>
  </si>
  <si>
    <t>1700101268</t>
  </si>
  <si>
    <t>1700101269</t>
  </si>
  <si>
    <t>1700101270</t>
  </si>
  <si>
    <t>1700101271</t>
  </si>
  <si>
    <t>1700101272</t>
  </si>
  <si>
    <t>1700101273</t>
  </si>
  <si>
    <t>1700101274</t>
  </si>
  <si>
    <t>1700101275</t>
  </si>
  <si>
    <t>1700101276</t>
  </si>
  <si>
    <t>1700101277</t>
  </si>
  <si>
    <t>1700101278</t>
  </si>
  <si>
    <t>1700101279</t>
  </si>
  <si>
    <t>1700101280</t>
  </si>
  <si>
    <t>1700101281</t>
  </si>
  <si>
    <t>1700101282</t>
  </si>
  <si>
    <t>1700101283</t>
  </si>
  <si>
    <t>1700101284</t>
  </si>
  <si>
    <t>1700101285</t>
  </si>
  <si>
    <t>1700101286</t>
  </si>
  <si>
    <t>1700101287</t>
  </si>
  <si>
    <t>1700101288</t>
  </si>
  <si>
    <t>1700101289</t>
  </si>
  <si>
    <t>1700101290</t>
  </si>
  <si>
    <t>1700101291</t>
  </si>
  <si>
    <t>1700101292</t>
  </si>
  <si>
    <t>1700101293</t>
  </si>
  <si>
    <t>1700101294</t>
  </si>
  <si>
    <t>1700101295</t>
  </si>
  <si>
    <t>1700101296</t>
  </si>
  <si>
    <t>1700101297</t>
  </si>
  <si>
    <t>1700101298</t>
  </si>
  <si>
    <t>1700458438</t>
  </si>
  <si>
    <t>1700458439</t>
  </si>
  <si>
    <t>1700458437</t>
  </si>
  <si>
    <t>1700458436</t>
  </si>
  <si>
    <t>1700458435</t>
  </si>
  <si>
    <t>1700458440</t>
  </si>
  <si>
    <t>1700458441</t>
  </si>
  <si>
    <t>1700458442</t>
  </si>
  <si>
    <t>1700458443</t>
  </si>
  <si>
    <t>1700458444</t>
  </si>
  <si>
    <t>1700458445</t>
  </si>
  <si>
    <t>1700458434</t>
  </si>
  <si>
    <t>1700458433</t>
  </si>
  <si>
    <t>1700458432</t>
  </si>
  <si>
    <t>1700458431</t>
  </si>
  <si>
    <t>1700458430</t>
  </si>
  <si>
    <t>1700458429</t>
  </si>
  <si>
    <t>1700458428</t>
  </si>
  <si>
    <t>1700458427</t>
  </si>
  <si>
    <t>1700458426</t>
  </si>
  <si>
    <t>1700458425</t>
  </si>
  <si>
    <t>1700458424</t>
  </si>
  <si>
    <t>1700458423</t>
  </si>
  <si>
    <t>1700458446</t>
  </si>
  <si>
    <t>1700458470</t>
  </si>
  <si>
    <t>1700458469</t>
  </si>
  <si>
    <t>1700458468</t>
  </si>
  <si>
    <t>1700458467</t>
  </si>
  <si>
    <t>1700458466</t>
  </si>
  <si>
    <t>1700458465</t>
  </si>
  <si>
    <t>1700458464</t>
  </si>
  <si>
    <t>1700458463</t>
  </si>
  <si>
    <t>1700458462</t>
  </si>
  <si>
    <t>1700458461</t>
  </si>
  <si>
    <t>1700458460</t>
  </si>
  <si>
    <t>1700458459</t>
  </si>
  <si>
    <t>1700458458</t>
  </si>
  <si>
    <t>1700458457</t>
  </si>
  <si>
    <t>1700458456</t>
  </si>
  <si>
    <t>1700458455</t>
  </si>
  <si>
    <t>1700458454</t>
  </si>
  <si>
    <t>1700458452</t>
  </si>
  <si>
    <t>1700458451</t>
  </si>
  <si>
    <t>1700458450</t>
  </si>
  <si>
    <t>1700458449</t>
  </si>
  <si>
    <t>1700458448</t>
  </si>
  <si>
    <t>1700458447</t>
  </si>
  <si>
    <t>1700458422</t>
  </si>
  <si>
    <t>1700458397</t>
  </si>
  <si>
    <t>1700458396</t>
  </si>
  <si>
    <t>1700458395</t>
  </si>
  <si>
    <t>1700458394</t>
  </si>
  <si>
    <t>1700458393</t>
  </si>
  <si>
    <t>1700458392</t>
  </si>
  <si>
    <t>1700458391</t>
  </si>
  <si>
    <t>1700458390</t>
  </si>
  <si>
    <t>1700458389</t>
  </si>
  <si>
    <t>1700458388</t>
  </si>
  <si>
    <t>1700458387</t>
  </si>
  <si>
    <t>1700458386</t>
  </si>
  <si>
    <t>1700458385</t>
  </si>
  <si>
    <t>1700458384</t>
  </si>
  <si>
    <t>1700458383</t>
  </si>
  <si>
    <t>1700458382</t>
  </si>
  <si>
    <t>1700458381</t>
  </si>
  <si>
    <t>1700458380</t>
  </si>
  <si>
    <t>1700458379</t>
  </si>
  <si>
    <t>1700458378</t>
  </si>
  <si>
    <t>1700458377</t>
  </si>
  <si>
    <t>1700458376</t>
  </si>
  <si>
    <t>1700458375</t>
  </si>
  <si>
    <t>1700458398</t>
  </si>
  <si>
    <t>1700458421</t>
  </si>
  <si>
    <t>1700458420</t>
  </si>
  <si>
    <t>1700458419</t>
  </si>
  <si>
    <t>1700458418</t>
  </si>
  <si>
    <t>1700458417</t>
  </si>
  <si>
    <t>1700458416</t>
  </si>
  <si>
    <t>1700458415</t>
  </si>
  <si>
    <t>1700458414</t>
  </si>
  <si>
    <t>1700458413</t>
  </si>
  <si>
    <t>1700458412</t>
  </si>
  <si>
    <t>1700458411</t>
  </si>
  <si>
    <t>1700458410</t>
  </si>
  <si>
    <t>1700458409</t>
  </si>
  <si>
    <t>1700458408</t>
  </si>
  <si>
    <t>1700458407</t>
  </si>
  <si>
    <t>1700458406</t>
  </si>
  <si>
    <t>1700458405</t>
  </si>
  <si>
    <t>1700458404</t>
  </si>
  <si>
    <t>1700458403</t>
  </si>
  <si>
    <t>1700458402</t>
  </si>
  <si>
    <t>1700458401</t>
  </si>
  <si>
    <t>1700458400</t>
  </si>
  <si>
    <t>1700458399</t>
  </si>
  <si>
    <t>1700458471</t>
  </si>
  <si>
    <t>1700458553</t>
  </si>
  <si>
    <t>1700458552</t>
  </si>
  <si>
    <t>1700458551</t>
  </si>
  <si>
    <t>1700458550</t>
  </si>
  <si>
    <t>1700458549</t>
  </si>
  <si>
    <t>1700458548</t>
  </si>
  <si>
    <t>1700458547</t>
  </si>
  <si>
    <t>1700458546</t>
  </si>
  <si>
    <t>1700458545</t>
  </si>
  <si>
    <t>1700458544</t>
  </si>
  <si>
    <t>1700458543</t>
  </si>
  <si>
    <t>1700458542</t>
  </si>
  <si>
    <t>1700458541</t>
  </si>
  <si>
    <t>1700458529</t>
  </si>
  <si>
    <t>1700458528</t>
  </si>
  <si>
    <t>1700458527</t>
  </si>
  <si>
    <t>1700458526</t>
  </si>
  <si>
    <t>1700458525</t>
  </si>
  <si>
    <t>1700458524</t>
  </si>
  <si>
    <t>1700458523</t>
  </si>
  <si>
    <t>1700458522</t>
  </si>
  <si>
    <t>1700458521</t>
  </si>
  <si>
    <t>1700458520</t>
  </si>
  <si>
    <t>1700458554</t>
  </si>
  <si>
    <t>1700458605</t>
  </si>
  <si>
    <t>1700458603</t>
  </si>
  <si>
    <t>1700458602</t>
  </si>
  <si>
    <t>1700458601</t>
  </si>
  <si>
    <t>1700458573</t>
  </si>
  <si>
    <t>1700458572</t>
  </si>
  <si>
    <t>1700458571</t>
  </si>
  <si>
    <t>1700458570</t>
  </si>
  <si>
    <t>1700458569</t>
  </si>
  <si>
    <t>1700458568</t>
  </si>
  <si>
    <t>1700458567</t>
  </si>
  <si>
    <t>1700458566</t>
  </si>
  <si>
    <t>1700458565</t>
  </si>
  <si>
    <t>1700458564</t>
  </si>
  <si>
    <t>1700458563</t>
  </si>
  <si>
    <t>1700458562</t>
  </si>
  <si>
    <t>1700458561</t>
  </si>
  <si>
    <t>1700458560</t>
  </si>
  <si>
    <t>1700458559</t>
  </si>
  <si>
    <t>1700458558</t>
  </si>
  <si>
    <t>1700458557</t>
  </si>
  <si>
    <t>1700458556</t>
  </si>
  <si>
    <t>1700458555</t>
  </si>
  <si>
    <t>1700458519</t>
  </si>
  <si>
    <t>1700458494</t>
  </si>
  <si>
    <t>1700458493</t>
  </si>
  <si>
    <t>1700458492</t>
  </si>
  <si>
    <t>1700458491</t>
  </si>
  <si>
    <t>1700458490</t>
  </si>
  <si>
    <t>1700458489</t>
  </si>
  <si>
    <t>1700458488</t>
  </si>
  <si>
    <t>1700458487</t>
  </si>
  <si>
    <t>1700458486</t>
  </si>
  <si>
    <t>1700458485</t>
  </si>
  <si>
    <t>1700458484</t>
  </si>
  <si>
    <t>1700458483</t>
  </si>
  <si>
    <t>1700458482</t>
  </si>
  <si>
    <t>1700458481</t>
  </si>
  <si>
    <t>1700458480</t>
  </si>
  <si>
    <t>1700458479</t>
  </si>
  <si>
    <t>1700458478</t>
  </si>
  <si>
    <t>1700458477</t>
  </si>
  <si>
    <t>1700458476</t>
  </si>
  <si>
    <t>1700458475</t>
  </si>
  <si>
    <t>1700458474</t>
  </si>
  <si>
    <t>1700458473</t>
  </si>
  <si>
    <t>1700458472</t>
  </si>
  <si>
    <t>1700458495</t>
  </si>
  <si>
    <t>1700458518</t>
  </si>
  <si>
    <t>1700458517</t>
  </si>
  <si>
    <t>1700458516</t>
  </si>
  <si>
    <t>1700458515</t>
  </si>
  <si>
    <t>1700458514</t>
  </si>
  <si>
    <t>1700458513</t>
  </si>
  <si>
    <t>1700458512</t>
  </si>
  <si>
    <t>1700458511</t>
  </si>
  <si>
    <t>1700458510</t>
  </si>
  <si>
    <t>1700458509</t>
  </si>
  <si>
    <t>1700458508</t>
  </si>
  <si>
    <t>1700458507</t>
  </si>
  <si>
    <t>1700458506</t>
  </si>
  <si>
    <t>1700458505</t>
  </si>
  <si>
    <t>1700458504</t>
  </si>
  <si>
    <t>1700458503</t>
  </si>
  <si>
    <t>1700458502</t>
  </si>
  <si>
    <t>1700458501</t>
  </si>
  <si>
    <t>1700458500</t>
  </si>
  <si>
    <t>1700458499</t>
  </si>
  <si>
    <t>1700458498</t>
  </si>
  <si>
    <t>1700458497</t>
  </si>
  <si>
    <t>1700458496</t>
  </si>
  <si>
    <t>1700458374</t>
  </si>
  <si>
    <t>1700458252</t>
  </si>
  <si>
    <t>1700458251</t>
  </si>
  <si>
    <t>1700458250</t>
  </si>
  <si>
    <t>1700458249</t>
  </si>
  <si>
    <t>1700458248</t>
  </si>
  <si>
    <t>1700458247</t>
  </si>
  <si>
    <t>1700458246</t>
  </si>
  <si>
    <t>1700458245</t>
  </si>
  <si>
    <t>1700458244</t>
  </si>
  <si>
    <t>1700458243</t>
  </si>
  <si>
    <t>1700458242</t>
  </si>
  <si>
    <t>1700458241</t>
  </si>
  <si>
    <t>1700458240</t>
  </si>
  <si>
    <t>1700458239</t>
  </si>
  <si>
    <t>1700458238</t>
  </si>
  <si>
    <t>1700458237</t>
  </si>
  <si>
    <t>1700458236</t>
  </si>
  <si>
    <t>1700458235</t>
  </si>
  <si>
    <t>1700458234</t>
  </si>
  <si>
    <t>1700458233</t>
  </si>
  <si>
    <t>1700458232</t>
  </si>
  <si>
    <t>1700458231</t>
  </si>
  <si>
    <t>1700458230</t>
  </si>
  <si>
    <t>1700458253</t>
  </si>
  <si>
    <t>1700458277</t>
  </si>
  <si>
    <t>1700458276</t>
  </si>
  <si>
    <t>1700458275</t>
  </si>
  <si>
    <t>1700458274</t>
  </si>
  <si>
    <t>1700458273</t>
  </si>
  <si>
    <t>1700458272</t>
  </si>
  <si>
    <t>1700458271</t>
  </si>
  <si>
    <t>1700458270</t>
  </si>
  <si>
    <t>1700458269</t>
  </si>
  <si>
    <t>1700458268</t>
  </si>
  <si>
    <t>1700458267</t>
  </si>
  <si>
    <t>1700458266</t>
  </si>
  <si>
    <t>1700458265</t>
  </si>
  <si>
    <t>1700458264</t>
  </si>
  <si>
    <t>1700458262</t>
  </si>
  <si>
    <t>1700458261</t>
  </si>
  <si>
    <t>1700458260</t>
  </si>
  <si>
    <t>1700458259</t>
  </si>
  <si>
    <t>1700458258</t>
  </si>
  <si>
    <t>1700458257</t>
  </si>
  <si>
    <t>1700458256</t>
  </si>
  <si>
    <t>1700458255</t>
  </si>
  <si>
    <t>1700458254</t>
  </si>
  <si>
    <t>1700458229</t>
  </si>
  <si>
    <t>1700458204</t>
  </si>
  <si>
    <t>1700458203</t>
  </si>
  <si>
    <t>1700458202</t>
  </si>
  <si>
    <t>1700458201</t>
  </si>
  <si>
    <t>1700458200</t>
  </si>
  <si>
    <t>1700458199</t>
  </si>
  <si>
    <t>1700458198</t>
  </si>
  <si>
    <t>1700458197</t>
  </si>
  <si>
    <t>1700458196</t>
  </si>
  <si>
    <t>1700458195</t>
  </si>
  <si>
    <t>1700458194</t>
  </si>
  <si>
    <t>1700458193</t>
  </si>
  <si>
    <t>1700458192</t>
  </si>
  <si>
    <t>1700458191</t>
  </si>
  <si>
    <t>1700458190</t>
  </si>
  <si>
    <t>1700458189</t>
  </si>
  <si>
    <t>1700458188</t>
  </si>
  <si>
    <t>1700454915</t>
  </si>
  <si>
    <t>1700454914</t>
  </si>
  <si>
    <t>1700454913</t>
  </si>
  <si>
    <t>1700454912</t>
  </si>
  <si>
    <t>1700454909</t>
  </si>
  <si>
    <t>1700454908</t>
  </si>
  <si>
    <t>1700458205</t>
  </si>
  <si>
    <t>1700458228</t>
  </si>
  <si>
    <t>1700458227</t>
  </si>
  <si>
    <t>1700458226</t>
  </si>
  <si>
    <t>1700458225</t>
  </si>
  <si>
    <t>1700458224</t>
  </si>
  <si>
    <t>1700458223</t>
  </si>
  <si>
    <t>1700458222</t>
  </si>
  <si>
    <t>1700458221</t>
  </si>
  <si>
    <t>1700458220</t>
  </si>
  <si>
    <t>1700458219</t>
  </si>
  <si>
    <t>1700458218</t>
  </si>
  <si>
    <t>1700458217</t>
  </si>
  <si>
    <t>1700458216</t>
  </si>
  <si>
    <t>1700458215</t>
  </si>
  <si>
    <t>1700458214</t>
  </si>
  <si>
    <t>1700458213</t>
  </si>
  <si>
    <t>1700458212</t>
  </si>
  <si>
    <t>1700458211</t>
  </si>
  <si>
    <t>1700458210</t>
  </si>
  <si>
    <t>1700458209</t>
  </si>
  <si>
    <t>1700458208</t>
  </si>
  <si>
    <t>1700458207</t>
  </si>
  <si>
    <t>1700458206</t>
  </si>
  <si>
    <t>1700458278</t>
  </si>
  <si>
    <t>1700458349</t>
  </si>
  <si>
    <t>1700458348</t>
  </si>
  <si>
    <t>1700458347</t>
  </si>
  <si>
    <t>1700458346</t>
  </si>
  <si>
    <t>1700458345</t>
  </si>
  <si>
    <t>1700458344</t>
  </si>
  <si>
    <t>1700458343</t>
  </si>
  <si>
    <t>1700458342</t>
  </si>
  <si>
    <t>1700458341</t>
  </si>
  <si>
    <t>1700458340</t>
  </si>
  <si>
    <t>1700458339</t>
  </si>
  <si>
    <t>1700458338</t>
  </si>
  <si>
    <t>1700458337</t>
  </si>
  <si>
    <t>1700458336</t>
  </si>
  <si>
    <t>1700458335</t>
  </si>
  <si>
    <t>1700458334</t>
  </si>
  <si>
    <t>1700458333</t>
  </si>
  <si>
    <t>1700458332</t>
  </si>
  <si>
    <t>1700458331</t>
  </si>
  <si>
    <t>1700458330</t>
  </si>
  <si>
    <t>1700458329</t>
  </si>
  <si>
    <t>1700458328</t>
  </si>
  <si>
    <t>1700458327</t>
  </si>
  <si>
    <t>1700458350</t>
  </si>
  <si>
    <t>1700458373</t>
  </si>
  <si>
    <t>1700458372</t>
  </si>
  <si>
    <t>1700458371</t>
  </si>
  <si>
    <t>1700458370</t>
  </si>
  <si>
    <t>1700458369</t>
  </si>
  <si>
    <t>1700458368</t>
  </si>
  <si>
    <t>1700458367</t>
  </si>
  <si>
    <t>1700458366</t>
  </si>
  <si>
    <t>1700458365</t>
  </si>
  <si>
    <t>1700458364</t>
  </si>
  <si>
    <t>1700458363</t>
  </si>
  <si>
    <t>1700458362</t>
  </si>
  <si>
    <t>1700458361</t>
  </si>
  <si>
    <t>1700458360</t>
  </si>
  <si>
    <t>1700458359</t>
  </si>
  <si>
    <t>1700458358</t>
  </si>
  <si>
    <t>1700458357</t>
  </si>
  <si>
    <t>1700458356</t>
  </si>
  <si>
    <t>1700458355</t>
  </si>
  <si>
    <t>1700458354</t>
  </si>
  <si>
    <t>1700458353</t>
  </si>
  <si>
    <t>1700458352</t>
  </si>
  <si>
    <t>1700458351</t>
  </si>
  <si>
    <t>1700458326</t>
  </si>
  <si>
    <t>1700458301</t>
  </si>
  <si>
    <t>1700458300</t>
  </si>
  <si>
    <t>1700458299</t>
  </si>
  <si>
    <t>1700458298</t>
  </si>
  <si>
    <t>1700458297</t>
  </si>
  <si>
    <t>1700458296</t>
  </si>
  <si>
    <t>1700458295</t>
  </si>
  <si>
    <t>1700458294</t>
  </si>
  <si>
    <t>1700458293</t>
  </si>
  <si>
    <t>1700458292</t>
  </si>
  <si>
    <t>1700458291</t>
  </si>
  <si>
    <t>1700458290</t>
  </si>
  <si>
    <t>1700458289</t>
  </si>
  <si>
    <t>1700458288</t>
  </si>
  <si>
    <t>1700458287</t>
  </si>
  <si>
    <t>1700458286</t>
  </si>
  <si>
    <t>1700458285</t>
  </si>
  <si>
    <t>1700458284</t>
  </si>
  <si>
    <t>1700458283</t>
  </si>
  <si>
    <t>1700458282</t>
  </si>
  <si>
    <t>1700458281</t>
  </si>
  <si>
    <t>1700458280</t>
  </si>
  <si>
    <t>1700458279</t>
  </si>
  <si>
    <t>1700458302</t>
  </si>
  <si>
    <t>1700458325</t>
  </si>
  <si>
    <t>1700458324</t>
  </si>
  <si>
    <t>1700458323</t>
  </si>
  <si>
    <t>1700458322</t>
  </si>
  <si>
    <t>1700458321</t>
  </si>
  <si>
    <t>1700458320</t>
  </si>
  <si>
    <t>1700458319</t>
  </si>
  <si>
    <t>1700458318</t>
  </si>
  <si>
    <t>1700458317</t>
  </si>
  <si>
    <t>1700458316</t>
  </si>
  <si>
    <t>1700458315</t>
  </si>
  <si>
    <t>1700458314</t>
  </si>
  <si>
    <t>1700458313</t>
  </si>
  <si>
    <t>1700458312</t>
  </si>
  <si>
    <t>1700458311</t>
  </si>
  <si>
    <t>1700458310</t>
  </si>
  <si>
    <t>1700458309</t>
  </si>
  <si>
    <t>1700458308</t>
  </si>
  <si>
    <t>1700458307</t>
  </si>
  <si>
    <t>1700458306</t>
  </si>
  <si>
    <t>1700458305</t>
  </si>
  <si>
    <t>1700458304</t>
  </si>
  <si>
    <t>1700458303</t>
  </si>
  <si>
    <t>Logged</t>
  </si>
  <si>
    <t>Yes</t>
  </si>
  <si>
    <t>CUST CO</t>
  </si>
  <si>
    <t>ADV367343</t>
  </si>
  <si>
    <t>DWMXX</t>
  </si>
  <si>
    <t>TOLU 936316-4</t>
  </si>
  <si>
    <t>ADV378287</t>
  </si>
  <si>
    <t>ADV380070</t>
  </si>
  <si>
    <t>ADV383732</t>
  </si>
  <si>
    <t>INV364208</t>
  </si>
  <si>
    <t>D553</t>
  </si>
  <si>
    <t>TOLU9060390</t>
  </si>
  <si>
    <t>TRLU0210200</t>
  </si>
  <si>
    <t>TRLU0210909</t>
  </si>
  <si>
    <t>TRLU0212645</t>
  </si>
  <si>
    <t>TRLU0216260</t>
  </si>
  <si>
    <t>TRLU0219090</t>
  </si>
  <si>
    <t>INV366038</t>
  </si>
  <si>
    <t>EXFU8300010</t>
  </si>
  <si>
    <t>EXFU0508732</t>
  </si>
  <si>
    <t>TOLU9260227</t>
  </si>
  <si>
    <t>EXFU8214457</t>
  </si>
  <si>
    <t>EXFU8214462</t>
  </si>
  <si>
    <t>EXFU8214478</t>
  </si>
  <si>
    <t>EXFU8214483</t>
  </si>
  <si>
    <t>INV375127</t>
  </si>
  <si>
    <t>13808000469446</t>
  </si>
  <si>
    <t>1700088125</t>
  </si>
  <si>
    <t>1700088124</t>
  </si>
  <si>
    <t>1700088123</t>
  </si>
  <si>
    <t>1700088122</t>
  </si>
  <si>
    <t>1700088033</t>
  </si>
  <si>
    <t>1700088032</t>
  </si>
  <si>
    <t>1700088031</t>
  </si>
  <si>
    <t>1700088029</t>
  </si>
  <si>
    <t>1700088028</t>
  </si>
  <si>
    <t>1700088027</t>
  </si>
  <si>
    <t>1700088026</t>
  </si>
  <si>
    <t>1700088025</t>
  </si>
  <si>
    <t>1700088024</t>
  </si>
  <si>
    <t>1700088023</t>
  </si>
  <si>
    <t>1700088022</t>
  </si>
  <si>
    <t>1700088017</t>
  </si>
  <si>
    <t>1700088016</t>
  </si>
  <si>
    <t>1700088015</t>
  </si>
  <si>
    <t>1700088014</t>
  </si>
  <si>
    <t>1700088013</t>
  </si>
  <si>
    <t>1700088012</t>
  </si>
  <si>
    <t>1700088011</t>
  </si>
  <si>
    <t>1700088010</t>
  </si>
  <si>
    <t>1700088009</t>
  </si>
  <si>
    <t>1700088008</t>
  </si>
  <si>
    <t>1700088007</t>
  </si>
  <si>
    <t>1700088006</t>
  </si>
  <si>
    <t>1700088005</t>
  </si>
  <si>
    <t>1700088004</t>
  </si>
  <si>
    <t>1700088003</t>
  </si>
  <si>
    <t>1700088002</t>
  </si>
  <si>
    <t>1700088001</t>
  </si>
  <si>
    <t>1700088000</t>
  </si>
  <si>
    <t>1700087999</t>
  </si>
  <si>
    <t>1700087998</t>
  </si>
  <si>
    <t>1700087997</t>
  </si>
  <si>
    <t>1700087996</t>
  </si>
  <si>
    <t>1700087995</t>
  </si>
  <si>
    <t>13808000469447</t>
  </si>
  <si>
    <t>1700101373</t>
  </si>
  <si>
    <t>1700101377</t>
  </si>
  <si>
    <t>1700101378</t>
  </si>
  <si>
    <t>1700101379</t>
  </si>
  <si>
    <t>1700101386</t>
  </si>
  <si>
    <t>13808000469449</t>
  </si>
  <si>
    <t>1700458911</t>
  </si>
  <si>
    <t>1700458913</t>
  </si>
  <si>
    <t>1700458916</t>
  </si>
  <si>
    <t>1700458918</t>
  </si>
  <si>
    <t>1700458919</t>
  </si>
  <si>
    <t>1700458921</t>
  </si>
  <si>
    <t>1700458922</t>
  </si>
  <si>
    <t>1700458923</t>
  </si>
  <si>
    <t>1700458925</t>
  </si>
  <si>
    <t>1700458927</t>
  </si>
  <si>
    <t>1700458928</t>
  </si>
  <si>
    <t>Rohm &amp; Haas</t>
  </si>
  <si>
    <t>INV384270RH</t>
  </si>
  <si>
    <t>Bank Detail</t>
  </si>
  <si>
    <t>13808000486574</t>
  </si>
  <si>
    <t>INV384265PO</t>
  </si>
  <si>
    <t>1700094241</t>
  </si>
  <si>
    <t>1700094240</t>
  </si>
  <si>
    <t>1700094239</t>
  </si>
  <si>
    <t>1700094238</t>
  </si>
  <si>
    <t>1700094237</t>
  </si>
  <si>
    <t>1700094236</t>
  </si>
  <si>
    <t>1700094235</t>
  </si>
  <si>
    <t>1700094234</t>
  </si>
  <si>
    <t>1700094233</t>
  </si>
  <si>
    <t>1700094232</t>
  </si>
  <si>
    <t>1700094231</t>
  </si>
  <si>
    <t>1700094230</t>
  </si>
  <si>
    <t>1700094229</t>
  </si>
  <si>
    <t>1700094228</t>
  </si>
  <si>
    <t>1700094226</t>
  </si>
  <si>
    <t>1700094225</t>
  </si>
  <si>
    <t>1700094224</t>
  </si>
  <si>
    <t>1700094223</t>
  </si>
  <si>
    <t>1700094222</t>
  </si>
  <si>
    <t>1700094221</t>
  </si>
  <si>
    <t>1700094220</t>
  </si>
  <si>
    <t>1700094218</t>
  </si>
  <si>
    <t>INV376970</t>
  </si>
  <si>
    <t>INV377586</t>
  </si>
  <si>
    <t>INV378082</t>
  </si>
  <si>
    <t>INV378090</t>
  </si>
  <si>
    <t>INV378747</t>
  </si>
  <si>
    <t>ADV385630</t>
  </si>
  <si>
    <t>INV384269</t>
  </si>
  <si>
    <t>INV384283</t>
  </si>
  <si>
    <t>INV384290</t>
  </si>
  <si>
    <t>RPR382317</t>
  </si>
  <si>
    <t>INV378744</t>
  </si>
  <si>
    <t>INV380561</t>
  </si>
  <si>
    <t>INV382400</t>
  </si>
  <si>
    <t>INV360872</t>
  </si>
  <si>
    <t>INV364462</t>
  </si>
  <si>
    <t>INV366287</t>
  </si>
  <si>
    <t>ADV370767</t>
  </si>
  <si>
    <t>ADV379894</t>
  </si>
  <si>
    <t>ADV381704</t>
  </si>
  <si>
    <t>ADV383557</t>
  </si>
  <si>
    <t>ADV385455</t>
  </si>
  <si>
    <t>ADV385467</t>
  </si>
  <si>
    <t>INV378723</t>
  </si>
  <si>
    <t>INV380567</t>
  </si>
  <si>
    <t>INV378722</t>
  </si>
  <si>
    <t>INV380540</t>
  </si>
  <si>
    <t>ADV374366</t>
  </si>
  <si>
    <t>ADV376258</t>
  </si>
  <si>
    <t>DRV376893</t>
  </si>
  <si>
    <t>INV384264</t>
  </si>
  <si>
    <t>INV384268</t>
  </si>
  <si>
    <t>RPR376878</t>
  </si>
  <si>
    <t>RPR376879</t>
  </si>
  <si>
    <t>RPR376880</t>
  </si>
  <si>
    <t>RPR382146</t>
  </si>
  <si>
    <t>RPR382147</t>
  </si>
  <si>
    <t>RPR382148</t>
  </si>
  <si>
    <t>RPR382149</t>
  </si>
  <si>
    <t>RPR382151</t>
  </si>
  <si>
    <t>RPR382152</t>
  </si>
  <si>
    <t>RPR382154</t>
  </si>
  <si>
    <t>RPR384050</t>
  </si>
  <si>
    <t>RPR384051</t>
  </si>
  <si>
    <t>RPR384052</t>
  </si>
  <si>
    <t>RPR384053</t>
  </si>
  <si>
    <t>RPR384054</t>
  </si>
  <si>
    <t>RPR384055</t>
  </si>
  <si>
    <t>RPR384056</t>
  </si>
  <si>
    <t>RPR384057</t>
  </si>
  <si>
    <t>RPR384058</t>
  </si>
  <si>
    <t>RPR384059</t>
  </si>
  <si>
    <t>RPR384060</t>
  </si>
  <si>
    <t>RPR384061</t>
  </si>
  <si>
    <t>RPR384062</t>
  </si>
  <si>
    <t>RPR384063</t>
  </si>
  <si>
    <t>RPR384064</t>
  </si>
  <si>
    <t>RPR384065</t>
  </si>
  <si>
    <t>RPR384066</t>
  </si>
  <si>
    <t>RPR384067</t>
  </si>
  <si>
    <t>RPR384068</t>
  </si>
  <si>
    <t>RPR384070</t>
  </si>
  <si>
    <t>RPR384091</t>
  </si>
  <si>
    <t>RPR384092</t>
  </si>
  <si>
    <t>RPR384093</t>
  </si>
  <si>
    <t>RPR384094</t>
  </si>
  <si>
    <t>RPR384095</t>
  </si>
  <si>
    <t>RPR384139</t>
  </si>
  <si>
    <t>RPR384148</t>
  </si>
  <si>
    <t>INV375108</t>
  </si>
  <si>
    <t>INV378726</t>
  </si>
  <si>
    <t>INV380543</t>
  </si>
  <si>
    <t>RPR384139PO</t>
  </si>
  <si>
    <t>1700077713</t>
  </si>
  <si>
    <t>Repair</t>
  </si>
  <si>
    <t>INV379339</t>
  </si>
  <si>
    <t>INV379845</t>
  </si>
  <si>
    <t>INV379851</t>
  </si>
  <si>
    <t>INV380565</t>
  </si>
  <si>
    <t>INV382404</t>
  </si>
  <si>
    <t>INV384287</t>
  </si>
  <si>
    <t>INV380564</t>
  </si>
  <si>
    <t>INV382403</t>
  </si>
  <si>
    <t>Trinseo</t>
  </si>
  <si>
    <t>INV384289TR</t>
  </si>
  <si>
    <t>13808000496854</t>
  </si>
  <si>
    <t>INV364462CC</t>
  </si>
  <si>
    <t>1700671307</t>
  </si>
  <si>
    <t>1700671309</t>
  </si>
  <si>
    <t>INV366287CC</t>
  </si>
  <si>
    <t>1700723082</t>
  </si>
  <si>
    <t>CLOSED</t>
  </si>
  <si>
    <t>(blank)</t>
  </si>
  <si>
    <t>380303751-2</t>
  </si>
  <si>
    <t>USPU1212354</t>
  </si>
  <si>
    <t>RV Invoice</t>
  </si>
  <si>
    <t>TRLU 027620-7</t>
  </si>
  <si>
    <t>EXFU 143879-5</t>
  </si>
  <si>
    <t>TRLU 027612-5</t>
  </si>
  <si>
    <t>Nedestra</t>
  </si>
  <si>
    <t>INV384286PO</t>
  </si>
  <si>
    <t>PAYMENT DATE</t>
  </si>
  <si>
    <t>AGE OF INV</t>
  </si>
  <si>
    <t>INV DUE DATE</t>
  </si>
  <si>
    <t>EXFU1455386</t>
  </si>
  <si>
    <t>Repair BFE</t>
  </si>
  <si>
    <t>BILLING DATE</t>
  </si>
  <si>
    <t>DRV376893PO</t>
  </si>
  <si>
    <t>16</t>
  </si>
  <si>
    <t>Freeport Tank Pool</t>
  </si>
  <si>
    <t>D356</t>
  </si>
  <si>
    <t>D015</t>
  </si>
  <si>
    <t>D357</t>
  </si>
  <si>
    <t>D360</t>
  </si>
  <si>
    <t>D002</t>
  </si>
  <si>
    <t>D232</t>
  </si>
  <si>
    <t>D017</t>
  </si>
  <si>
    <t>Freeport Chassis &amp; Other Pool</t>
  </si>
  <si>
    <t>Pool Shipment</t>
  </si>
  <si>
    <t>Various</t>
  </si>
  <si>
    <t>13808000541193</t>
  </si>
  <si>
    <t>RPR382146PO</t>
  </si>
  <si>
    <t>1700105463</t>
  </si>
  <si>
    <t>RPR382149PO</t>
  </si>
  <si>
    <t>1700105464</t>
  </si>
  <si>
    <t>RPR382147PO</t>
  </si>
  <si>
    <t>1700105465</t>
  </si>
  <si>
    <t>RPR382152PO</t>
  </si>
  <si>
    <t>1700105466</t>
  </si>
  <si>
    <t>RPR382151PO</t>
  </si>
  <si>
    <t>1700105467</t>
  </si>
  <si>
    <t>RPR382154PO</t>
  </si>
  <si>
    <t>1700105468</t>
  </si>
  <si>
    <t>RPR384092PO</t>
  </si>
  <si>
    <t>1700105469</t>
  </si>
  <si>
    <t>RPR384093PO</t>
  </si>
  <si>
    <t>1700105470</t>
  </si>
  <si>
    <t>RPR384094PO</t>
  </si>
  <si>
    <t>1700105471</t>
  </si>
  <si>
    <t>RPR384095PO</t>
  </si>
  <si>
    <t>1700105472</t>
  </si>
  <si>
    <t>RPR384148PO</t>
  </si>
  <si>
    <t>1700105473</t>
  </si>
  <si>
    <t>RPR382148PO</t>
  </si>
  <si>
    <t>1700105485</t>
  </si>
  <si>
    <t>D020</t>
  </si>
  <si>
    <t>USPU1225011</t>
  </si>
  <si>
    <t>EXFU1448258</t>
  </si>
  <si>
    <t>D300</t>
  </si>
  <si>
    <t>EXFU0542700</t>
  </si>
  <si>
    <t>EXFU0543190</t>
  </si>
  <si>
    <t>EXFU0543203</t>
  </si>
  <si>
    <t>EXFU0545382</t>
  </si>
  <si>
    <t>EXFU0546157</t>
  </si>
  <si>
    <t>EXFU0546183</t>
  </si>
  <si>
    <t>EXFU0563766</t>
  </si>
  <si>
    <t>EXFU0611118</t>
  </si>
  <si>
    <t>EXFU0611165</t>
  </si>
  <si>
    <t>EXFU0611191</t>
  </si>
  <si>
    <t>EXFU0611205</t>
  </si>
  <si>
    <t>EXFU0611210</t>
  </si>
  <si>
    <t>EXFU0611231</t>
  </si>
  <si>
    <t>EXFU0611268</t>
  </si>
  <si>
    <t>EXFU0611273</t>
  </si>
  <si>
    <t>EXFU0611294</t>
  </si>
  <si>
    <t>EXFU0622262</t>
  </si>
  <si>
    <t>EXFU0622323</t>
  </si>
  <si>
    <t>EXFU0622370</t>
  </si>
  <si>
    <t>EXFU0622386</t>
  </si>
  <si>
    <t>EXFU0622410</t>
  </si>
  <si>
    <t>EXFU0622426</t>
  </si>
  <si>
    <t>EXFU0622447</t>
  </si>
  <si>
    <t>EXSZ9017301</t>
  </si>
  <si>
    <t>EXSZ9017317</t>
  </si>
  <si>
    <t>EXFU8216465</t>
  </si>
  <si>
    <t>USPU1224859</t>
  </si>
  <si>
    <t>EXFU8101379</t>
  </si>
  <si>
    <t>EXFU8107103</t>
  </si>
  <si>
    <t>EXFU8107485</t>
  </si>
  <si>
    <t>TOLU9260090</t>
  </si>
  <si>
    <t>TOLU9260546</t>
  </si>
  <si>
    <t>EXFU0599500</t>
  </si>
  <si>
    <t>EXFU8300025</t>
  </si>
  <si>
    <t>EXSZ9017261</t>
  </si>
  <si>
    <t>EXSZ9017277</t>
  </si>
  <si>
    <t>EXSZ9017282</t>
  </si>
  <si>
    <t>EXSZ9017298</t>
  </si>
  <si>
    <t>TRLU0214587</t>
  </si>
  <si>
    <t>TRLU8300341</t>
  </si>
  <si>
    <t>TRLU8300418</t>
  </si>
  <si>
    <t>EXFU0598910</t>
  </si>
  <si>
    <t>USPU1246082</t>
  </si>
  <si>
    <t>USPU1246673</t>
  </si>
  <si>
    <t>EXFU8207231</t>
  </si>
  <si>
    <t>EXFU8214652</t>
  </si>
  <si>
    <t>EXFU8216254</t>
  </si>
  <si>
    <t>EXFU8216300</t>
  </si>
  <si>
    <t>EXFU8216315</t>
  </si>
  <si>
    <t>EXFU8218410</t>
  </si>
  <si>
    <t>EXSZ9016141</t>
  </si>
  <si>
    <t>EXSZ9016157</t>
  </si>
  <si>
    <t>EXSZ9016162</t>
  </si>
  <si>
    <t>EXSZ9016178</t>
  </si>
  <si>
    <t>EXSZ9016183</t>
  </si>
  <si>
    <t>EXSZ9016199</t>
  </si>
  <si>
    <t>EXSZ9016202</t>
  </si>
  <si>
    <t>EXSZ9016239</t>
  </si>
  <si>
    <t>EXSZ9016244</t>
  </si>
  <si>
    <t>EXSZ9016250</t>
  </si>
  <si>
    <t>TRLU0218052</t>
  </si>
  <si>
    <t>TRLU0220189</t>
  </si>
  <si>
    <t>TRLU0220358</t>
  </si>
  <si>
    <t>TRLU0271735</t>
  </si>
  <si>
    <t>USPU1220540</t>
  </si>
  <si>
    <t>USPU1245044</t>
  </si>
  <si>
    <t>EXFU0516234</t>
  </si>
  <si>
    <t>EXFU0530361</t>
  </si>
  <si>
    <t>EXFU1447821</t>
  </si>
  <si>
    <t>EXFU1447992</t>
  </si>
  <si>
    <t>EXFU1448031</t>
  </si>
  <si>
    <t>EXFU1448068</t>
  </si>
  <si>
    <t>EXFU1448094</t>
  </si>
  <si>
    <t>EXFU8214673</t>
  </si>
  <si>
    <t>EXFU8216491</t>
  </si>
  <si>
    <t>EXFU8216531</t>
  </si>
  <si>
    <t>EXSZ9015823</t>
  </si>
  <si>
    <t>EXSZ9015886</t>
  </si>
  <si>
    <t>EXSZ9016028</t>
  </si>
  <si>
    <t>EXSZ9018150</t>
  </si>
  <si>
    <t>EXSZ9018247</t>
  </si>
  <si>
    <t>EXSZ9018329</t>
  </si>
  <si>
    <t>EXXU9981081</t>
  </si>
  <si>
    <t>TPMU4511602</t>
  </si>
  <si>
    <t>TRLU0240272</t>
  </si>
  <si>
    <t>TRLU0269070</t>
  </si>
  <si>
    <t>TRLU0269105</t>
  </si>
  <si>
    <t>USPU1241440</t>
  </si>
  <si>
    <t>USPU1247896</t>
  </si>
  <si>
    <t>EXFU1447950</t>
  </si>
  <si>
    <t>EXFU8208285</t>
  </si>
  <si>
    <t>EXSZ9006766</t>
  </si>
  <si>
    <t>EXSZ9006874</t>
  </si>
  <si>
    <t>EXSZ9007320</t>
  </si>
  <si>
    <t>EXSZ9011659</t>
  </si>
  <si>
    <t>EXSZ9011664</t>
  </si>
  <si>
    <t>EXSZ9011685</t>
  </si>
  <si>
    <t>TRLU0212795</t>
  </si>
  <si>
    <t>TRLU0217415</t>
  </si>
  <si>
    <t>TRLU0218812</t>
  </si>
  <si>
    <t>TRLU0218828</t>
  </si>
  <si>
    <t>TRLU0218860</t>
  </si>
  <si>
    <t>TRLU0219038</t>
  </si>
  <si>
    <t>TRLU0219450</t>
  </si>
  <si>
    <t>TRLU0220229</t>
  </si>
  <si>
    <t>USPU1213140</t>
  </si>
  <si>
    <t>USPU1224484</t>
  </si>
  <si>
    <t>USPU1241368</t>
  </si>
  <si>
    <t>D410</t>
  </si>
  <si>
    <t>TRLU0218849</t>
  </si>
  <si>
    <t>TPMU1310179</t>
  </si>
  <si>
    <t>TRLU0215644</t>
  </si>
  <si>
    <t>EXFU0527141</t>
  </si>
  <si>
    <t>EXFU0527408</t>
  </si>
  <si>
    <t>EXFU0550938</t>
  </si>
  <si>
    <t>EXFU0607252</t>
  </si>
  <si>
    <t>TRLU0219110</t>
  </si>
  <si>
    <t>TRLU0505622</t>
  </si>
  <si>
    <t>USPU1227837</t>
  </si>
  <si>
    <t>EXFU8103896</t>
  </si>
  <si>
    <t>EXFU8103900</t>
  </si>
  <si>
    <t>EXFU8104146</t>
  </si>
  <si>
    <t>EXFU8104151</t>
  </si>
  <si>
    <t>EXFU8104167</t>
  </si>
  <si>
    <t>EXSZ9007530</t>
  </si>
  <si>
    <t>EXSZ900813</t>
  </si>
  <si>
    <t>EXSZ900816</t>
  </si>
  <si>
    <t>EXSZ900823</t>
  </si>
  <si>
    <t>EXSZ900885</t>
  </si>
  <si>
    <t>EXSZ9010267</t>
  </si>
  <si>
    <t>EXSZ9015295</t>
  </si>
  <si>
    <t>EXSZ9020028</t>
  </si>
  <si>
    <t>EXSZ9020394</t>
  </si>
  <si>
    <t>EXSZ9020774</t>
  </si>
  <si>
    <t>EXSZ9020820</t>
  </si>
  <si>
    <t>EXSZ9020917</t>
  </si>
  <si>
    <t>EXFU8300072</t>
  </si>
  <si>
    <t>Pickup fee</t>
  </si>
  <si>
    <t>EXFU8300088</t>
  </si>
  <si>
    <t>EXFU8300093</t>
  </si>
  <si>
    <t>EXSZ9031167</t>
  </si>
  <si>
    <t>EXSZ9031193</t>
  </si>
  <si>
    <t>EXSZ9031207</t>
  </si>
  <si>
    <t>EXFU1448330</t>
  </si>
  <si>
    <t>EXSZ9031357</t>
  </si>
  <si>
    <t>13808000556722</t>
  </si>
  <si>
    <t>INV384269CC</t>
  </si>
  <si>
    <t>1700547519</t>
  </si>
  <si>
    <t>1700547520</t>
  </si>
  <si>
    <t>1700547521</t>
  </si>
  <si>
    <t>1700547522</t>
  </si>
  <si>
    <t>1700547523</t>
  </si>
  <si>
    <t>1700547524</t>
  </si>
  <si>
    <t>1700547525</t>
  </si>
  <si>
    <t>1700547526</t>
  </si>
  <si>
    <t>1700547527</t>
  </si>
  <si>
    <t>1700547507</t>
  </si>
  <si>
    <t>1700547508</t>
  </si>
  <si>
    <t>1700547509</t>
  </si>
  <si>
    <t>1700547510</t>
  </si>
  <si>
    <t>1700547511</t>
  </si>
  <si>
    <t>1700547512</t>
  </si>
  <si>
    <t>1700547513</t>
  </si>
  <si>
    <t>1700547514</t>
  </si>
  <si>
    <t>1700547515</t>
  </si>
  <si>
    <t>1700547516</t>
  </si>
  <si>
    <t>1700547517</t>
  </si>
  <si>
    <t>1700547518</t>
  </si>
  <si>
    <t>INV384278CC</t>
  </si>
  <si>
    <t>1700481750</t>
  </si>
  <si>
    <t>1700481751</t>
  </si>
  <si>
    <t>1700481752</t>
  </si>
  <si>
    <t>1700481753</t>
  </si>
  <si>
    <t>1700481754</t>
  </si>
  <si>
    <t>1700481755</t>
  </si>
  <si>
    <t>1700481756</t>
  </si>
  <si>
    <t>1700481757</t>
  </si>
  <si>
    <t>1700481758</t>
  </si>
  <si>
    <t>1700481759</t>
  </si>
  <si>
    <t>1700481760</t>
  </si>
  <si>
    <t>1700481761</t>
  </si>
  <si>
    <t>1700481762</t>
  </si>
  <si>
    <t>1700481763</t>
  </si>
  <si>
    <t>1700481764</t>
  </si>
  <si>
    <t>1700481765</t>
  </si>
  <si>
    <t>1700481766</t>
  </si>
  <si>
    <t>1700481767</t>
  </si>
  <si>
    <t>1700481768</t>
  </si>
  <si>
    <t>1700481769</t>
  </si>
  <si>
    <t>1700481770</t>
  </si>
  <si>
    <t>1700481771</t>
  </si>
  <si>
    <t>1700481772</t>
  </si>
  <si>
    <t>1700481773</t>
  </si>
  <si>
    <t>1700481774</t>
  </si>
  <si>
    <t>1700481775</t>
  </si>
  <si>
    <t>1700481776</t>
  </si>
  <si>
    <t>1700481777</t>
  </si>
  <si>
    <t>1700481778</t>
  </si>
  <si>
    <t>1700481779</t>
  </si>
  <si>
    <t>1700481720</t>
  </si>
  <si>
    <t>1700481721</t>
  </si>
  <si>
    <t>1700481722</t>
  </si>
  <si>
    <t>1700481723</t>
  </si>
  <si>
    <t>1700481724</t>
  </si>
  <si>
    <t>1700481725</t>
  </si>
  <si>
    <t>1700481726</t>
  </si>
  <si>
    <t>1700481727</t>
  </si>
  <si>
    <t>1700481728</t>
  </si>
  <si>
    <t>1700481729</t>
  </si>
  <si>
    <t>1700481730</t>
  </si>
  <si>
    <t>1700481731</t>
  </si>
  <si>
    <t>1700481732</t>
  </si>
  <si>
    <t>1700481733</t>
  </si>
  <si>
    <t>1700481734</t>
  </si>
  <si>
    <t>1700481735</t>
  </si>
  <si>
    <t>1700481736</t>
  </si>
  <si>
    <t>1700481737</t>
  </si>
  <si>
    <t>1700481738</t>
  </si>
  <si>
    <t>1700481739</t>
  </si>
  <si>
    <t>1700481740</t>
  </si>
  <si>
    <t>1700481741</t>
  </si>
  <si>
    <t>1700481742</t>
  </si>
  <si>
    <t>1700481743</t>
  </si>
  <si>
    <t>1700481744</t>
  </si>
  <si>
    <t>1700481745</t>
  </si>
  <si>
    <t>1700481746</t>
  </si>
  <si>
    <t>1700481747</t>
  </si>
  <si>
    <t>1700481748</t>
  </si>
  <si>
    <t>1700481749</t>
  </si>
  <si>
    <t>1700481780</t>
  </si>
  <si>
    <t>1700481781</t>
  </si>
  <si>
    <t>1700481782</t>
  </si>
  <si>
    <t>1700481783</t>
  </si>
  <si>
    <t>1700481784</t>
  </si>
  <si>
    <t>1700481785</t>
  </si>
  <si>
    <t>1700481786</t>
  </si>
  <si>
    <t>1700481787</t>
  </si>
  <si>
    <t>1700481788</t>
  </si>
  <si>
    <t>1700481789</t>
  </si>
  <si>
    <t>1700481790</t>
  </si>
  <si>
    <t>1700481791</t>
  </si>
  <si>
    <t>1700481792</t>
  </si>
  <si>
    <t>1700481793</t>
  </si>
  <si>
    <t>1700481794</t>
  </si>
  <si>
    <t>1700481816</t>
  </si>
  <si>
    <t>1700481817</t>
  </si>
  <si>
    <t>1700481629</t>
  </si>
  <si>
    <t>1700481630</t>
  </si>
  <si>
    <t>1700481631</t>
  </si>
  <si>
    <t>1700481632</t>
  </si>
  <si>
    <t>1700481633</t>
  </si>
  <si>
    <t>1700481634</t>
  </si>
  <si>
    <t>1700481635</t>
  </si>
  <si>
    <t>1700481636</t>
  </si>
  <si>
    <t>1700481637</t>
  </si>
  <si>
    <t>1700481638</t>
  </si>
  <si>
    <t>1700481639</t>
  </si>
  <si>
    <t>1700481640</t>
  </si>
  <si>
    <t>1700481641</t>
  </si>
  <si>
    <t>1700481642</t>
  </si>
  <si>
    <t>1700481643</t>
  </si>
  <si>
    <t>1700481644</t>
  </si>
  <si>
    <t>1700481645</t>
  </si>
  <si>
    <t>1700481646</t>
  </si>
  <si>
    <t>1700481647</t>
  </si>
  <si>
    <t>1700481648</t>
  </si>
  <si>
    <t>1700481649</t>
  </si>
  <si>
    <t>1700481650</t>
  </si>
  <si>
    <t>1700481651</t>
  </si>
  <si>
    <t>1700481652</t>
  </si>
  <si>
    <t>1700481653</t>
  </si>
  <si>
    <t>1700481654</t>
  </si>
  <si>
    <t>1700481655</t>
  </si>
  <si>
    <t>1700481656</t>
  </si>
  <si>
    <t>1700481657</t>
  </si>
  <si>
    <t>1700481658</t>
  </si>
  <si>
    <t>1700481606</t>
  </si>
  <si>
    <t>1700481607</t>
  </si>
  <si>
    <t>1700481608</t>
  </si>
  <si>
    <t>1700481609</t>
  </si>
  <si>
    <t>1700481610</t>
  </si>
  <si>
    <t>1700481611</t>
  </si>
  <si>
    <t>1700481612</t>
  </si>
  <si>
    <t>1700481613</t>
  </si>
  <si>
    <t>1700481614</t>
  </si>
  <si>
    <t>1700481615</t>
  </si>
  <si>
    <t>1700481616</t>
  </si>
  <si>
    <t>1700481617</t>
  </si>
  <si>
    <t>1700481618</t>
  </si>
  <si>
    <t>1700481619</t>
  </si>
  <si>
    <t>1700481620</t>
  </si>
  <si>
    <t>1700481621</t>
  </si>
  <si>
    <t>1700481622</t>
  </si>
  <si>
    <t>1700481623</t>
  </si>
  <si>
    <t>1700481624</t>
  </si>
  <si>
    <t>1700481625</t>
  </si>
  <si>
    <t>1700481626</t>
  </si>
  <si>
    <t>1700481627</t>
  </si>
  <si>
    <t>1700481628</t>
  </si>
  <si>
    <t>1700481689</t>
  </si>
  <si>
    <t>1700481690</t>
  </si>
  <si>
    <t>1700481691</t>
  </si>
  <si>
    <t>1700481692</t>
  </si>
  <si>
    <t>1700481693</t>
  </si>
  <si>
    <t>1700481695</t>
  </si>
  <si>
    <t>1700481696</t>
  </si>
  <si>
    <t>1700481697</t>
  </si>
  <si>
    <t>1700481698</t>
  </si>
  <si>
    <t>1700481699</t>
  </si>
  <si>
    <t>1700481700</t>
  </si>
  <si>
    <t>1700481701</t>
  </si>
  <si>
    <t>1700481702</t>
  </si>
  <si>
    <t>1700481703</t>
  </si>
  <si>
    <t>1700481704</t>
  </si>
  <si>
    <t>1700481705</t>
  </si>
  <si>
    <t>1700481706</t>
  </si>
  <si>
    <t>1700481707</t>
  </si>
  <si>
    <t>1700481708</t>
  </si>
  <si>
    <t>1700481709</t>
  </si>
  <si>
    <t>1700481710</t>
  </si>
  <si>
    <t>1700481711</t>
  </si>
  <si>
    <t>1700481712</t>
  </si>
  <si>
    <t>1700481713</t>
  </si>
  <si>
    <t>1700481714</t>
  </si>
  <si>
    <t>1700481715</t>
  </si>
  <si>
    <t>1700481716</t>
  </si>
  <si>
    <t>1700481717</t>
  </si>
  <si>
    <t>1700481718</t>
  </si>
  <si>
    <t>1700481719</t>
  </si>
  <si>
    <t>1700481659</t>
  </si>
  <si>
    <t>1700481660</t>
  </si>
  <si>
    <t>1700481661</t>
  </si>
  <si>
    <t>1700481662</t>
  </si>
  <si>
    <t>1700481663</t>
  </si>
  <si>
    <t>1700481664</t>
  </si>
  <si>
    <t>1700481665</t>
  </si>
  <si>
    <t>1700481666</t>
  </si>
  <si>
    <t>1700481667</t>
  </si>
  <si>
    <t>1700481668</t>
  </si>
  <si>
    <t>1700481669</t>
  </si>
  <si>
    <t>1700481670</t>
  </si>
  <si>
    <t>1700481671</t>
  </si>
  <si>
    <t>1700481672</t>
  </si>
  <si>
    <t>1700481673</t>
  </si>
  <si>
    <t>1700481674</t>
  </si>
  <si>
    <t>1700481675</t>
  </si>
  <si>
    <t>1700481676</t>
  </si>
  <si>
    <t>1700481677</t>
  </si>
  <si>
    <t>1700481678</t>
  </si>
  <si>
    <t>1700481679</t>
  </si>
  <si>
    <t>1700481680</t>
  </si>
  <si>
    <t>1700481681</t>
  </si>
  <si>
    <t>1700481682</t>
  </si>
  <si>
    <t>1700481683</t>
  </si>
  <si>
    <t>1700481684</t>
  </si>
  <si>
    <t>1700481685</t>
  </si>
  <si>
    <t>1700481686</t>
  </si>
  <si>
    <t>1700481687</t>
  </si>
  <si>
    <t>1700481688</t>
  </si>
  <si>
    <t>INV384283CC</t>
  </si>
  <si>
    <t>1700547528</t>
  </si>
  <si>
    <t>1700547529</t>
  </si>
  <si>
    <t>1700547530</t>
  </si>
  <si>
    <t>1700547531</t>
  </si>
  <si>
    <t>1700547532</t>
  </si>
  <si>
    <t>1700547533</t>
  </si>
  <si>
    <t>1700547534</t>
  </si>
  <si>
    <t>1700547535</t>
  </si>
  <si>
    <t>1700547536</t>
  </si>
  <si>
    <t>1700547537</t>
  </si>
  <si>
    <t>1700547538</t>
  </si>
  <si>
    <t>1700547539</t>
  </si>
  <si>
    <t>1700547540</t>
  </si>
  <si>
    <t>1700547541</t>
  </si>
  <si>
    <t>1700547542</t>
  </si>
  <si>
    <t>1700547543</t>
  </si>
  <si>
    <t>1700547544</t>
  </si>
  <si>
    <t>1700547545</t>
  </si>
  <si>
    <t>1700547546</t>
  </si>
  <si>
    <t>1700547547</t>
  </si>
  <si>
    <t>1700547548</t>
  </si>
  <si>
    <t>RPR382317CC</t>
  </si>
  <si>
    <t>1700539997</t>
  </si>
  <si>
    <t>INV386053</t>
  </si>
  <si>
    <t>Multiple</t>
  </si>
  <si>
    <t>ADV387250</t>
  </si>
  <si>
    <t>MONTHLY LEASE</t>
  </si>
  <si>
    <t>INV386050</t>
  </si>
  <si>
    <t>INV386074</t>
  </si>
  <si>
    <t>EXFU 145516-0</t>
  </si>
  <si>
    <t>Handling Fee at Dropoff</t>
  </si>
  <si>
    <t>Lease Termination Fee</t>
  </si>
  <si>
    <t>INV387641</t>
  </si>
  <si>
    <t>INV386052</t>
  </si>
  <si>
    <t>Switzerland</t>
  </si>
  <si>
    <t>INV387642</t>
  </si>
  <si>
    <t>INV386077</t>
  </si>
  <si>
    <t>INV386075</t>
  </si>
  <si>
    <t>Brazil</t>
  </si>
  <si>
    <t>ADV387416</t>
  </si>
  <si>
    <t>Union Carbide</t>
  </si>
  <si>
    <t>INV386059</t>
  </si>
  <si>
    <t>USPU 121233-3</t>
  </si>
  <si>
    <t>TOLU 946527-4</t>
  </si>
  <si>
    <t>EXSZ 900738-2</t>
  </si>
  <si>
    <t>TRLU 021887-5</t>
  </si>
  <si>
    <t>EXFU 821683-0</t>
  </si>
  <si>
    <t>TRLU 022167-3</t>
  </si>
  <si>
    <t>TRLU 021562-3</t>
  </si>
  <si>
    <t>TRLU 021736-0</t>
  </si>
  <si>
    <t>INV386078</t>
  </si>
  <si>
    <t>EXFU 144702-0</t>
  </si>
  <si>
    <t>EXFU 144703-5</t>
  </si>
  <si>
    <t>EXSZ 901271-6</t>
  </si>
  <si>
    <t>EXSZ 901276-3</t>
  </si>
  <si>
    <t>INV386079</t>
  </si>
  <si>
    <t>USPU 122837-1</t>
  </si>
  <si>
    <t>INV386058</t>
  </si>
  <si>
    <t>EXFU 022475-7</t>
  </si>
  <si>
    <t>EXFU 022486-5</t>
  </si>
  <si>
    <t>EXFU 050874-8</t>
  </si>
  <si>
    <t>EXFU 050881-4</t>
  </si>
  <si>
    <t>EXFU 052133-3</t>
  </si>
  <si>
    <t>EXFU 052606-3</t>
  </si>
  <si>
    <t>EXFU 053019-2</t>
  </si>
  <si>
    <t>EXFU 053957-0</t>
  </si>
  <si>
    <t>EXFU 059958-4</t>
  </si>
  <si>
    <t>EXFU 060727-3</t>
  </si>
  <si>
    <t>EXFU 060731-3</t>
  </si>
  <si>
    <t>EXFU 060739-7</t>
  </si>
  <si>
    <t>EXFU 060744-2</t>
  </si>
  <si>
    <t>EXFU 061407-7</t>
  </si>
  <si>
    <t>EXFU 059894-7</t>
  </si>
  <si>
    <t>EXFU 442037-8</t>
  </si>
  <si>
    <t>EXFU 442038-3</t>
  </si>
  <si>
    <t>EXFU 810618-0</t>
  </si>
  <si>
    <t>EXFU 810623-6</t>
  </si>
  <si>
    <t>EXFU 052722-3</t>
  </si>
  <si>
    <t>ICSU 028809-7</t>
  </si>
  <si>
    <t>TPTU 820552-4</t>
  </si>
  <si>
    <t>TRLU 021402-0</t>
  </si>
  <si>
    <t>TRLU 022231-9</t>
  </si>
  <si>
    <t>TRLU 050393-3</t>
  </si>
  <si>
    <t>TRLU 050425-1</t>
  </si>
  <si>
    <t>TRLU 050546-9</t>
  </si>
  <si>
    <t>TRLU 050583-3</t>
  </si>
  <si>
    <t>TRLU 021690-7</t>
  </si>
  <si>
    <t>TRLU 021888-0</t>
  </si>
  <si>
    <t>TRLU 022164-7</t>
  </si>
  <si>
    <t>USPU 122456-6</t>
  </si>
  <si>
    <t>USPU 124127-0</t>
  </si>
  <si>
    <t>TRLU 021587-6</t>
  </si>
  <si>
    <t>EXFU 059900-7</t>
  </si>
  <si>
    <t>ICSU 028113-2</t>
  </si>
  <si>
    <t>TPTU 851625-4</t>
  </si>
  <si>
    <t>TRLU 021955-2</t>
  </si>
  <si>
    <t>TOLU 941186-9</t>
  </si>
  <si>
    <t>TOLU 926064-9</t>
  </si>
  <si>
    <t>EXFU 810756-7</t>
  </si>
  <si>
    <t>TRLU 026908-6</t>
  </si>
  <si>
    <t>TRLU 021708-2</t>
  </si>
  <si>
    <t>SNIU 121098-4</t>
  </si>
  <si>
    <t>TRLU 050163-2</t>
  </si>
  <si>
    <t>TRLU 021254-2</t>
  </si>
  <si>
    <t>EXFU 051855-6</t>
  </si>
  <si>
    <t>EXFU 051969-7</t>
  </si>
  <si>
    <t>EXXU 999064-8</t>
  </si>
  <si>
    <t>EXFU 198579-2</t>
  </si>
  <si>
    <t>TRLU 840400-6</t>
  </si>
  <si>
    <t>EXFU 051852-0</t>
  </si>
  <si>
    <t>EXFU 051882-8</t>
  </si>
  <si>
    <t>EXFU 051885-4</t>
  </si>
  <si>
    <t>EXFU 051886-0</t>
  </si>
  <si>
    <t>EXFU 051887-5</t>
  </si>
  <si>
    <t>EXFU 051888-0</t>
  </si>
  <si>
    <t>TPMU 161258-5</t>
  </si>
  <si>
    <t>TPTU 840042-8</t>
  </si>
  <si>
    <t>TPTU 840178-5</t>
  </si>
  <si>
    <t>TPTU 851732-7</t>
  </si>
  <si>
    <t>EXFU 052741-3</t>
  </si>
  <si>
    <t>TOLU 906114-3</t>
  </si>
  <si>
    <t>USPU 124261-5</t>
  </si>
  <si>
    <t>TRLU 050488-4</t>
  </si>
  <si>
    <t>EXFU 051848-0</t>
  </si>
  <si>
    <t>EXFU 821677-9</t>
  </si>
  <si>
    <t>TPTU 820579-8</t>
  </si>
  <si>
    <t>EXFU 052130-7</t>
  </si>
  <si>
    <t>TRLU 175052-1</t>
  </si>
  <si>
    <t>TRLU 175120-9</t>
  </si>
  <si>
    <t>TRLU 175121-4</t>
  </si>
  <si>
    <t>EXFU 052265-9</t>
  </si>
  <si>
    <t>TPMU 151826-5</t>
  </si>
  <si>
    <t>EXFU 198583-2</t>
  </si>
  <si>
    <t>TPTU 820608-0</t>
  </si>
  <si>
    <t>EXFU 821811-2</t>
  </si>
  <si>
    <t>TPMU 351492-6</t>
  </si>
  <si>
    <t>EXFU 830095-6</t>
  </si>
  <si>
    <t>EXFU 860052-6</t>
  </si>
  <si>
    <t>EXFU 860053-1</t>
  </si>
  <si>
    <t>EXFU 860055-2</t>
  </si>
  <si>
    <t>EXFU 860056-8</t>
  </si>
  <si>
    <t>EXFU 860057-3</t>
  </si>
  <si>
    <t>EXFU 830000-4</t>
  </si>
  <si>
    <t>EXFU 830003-0</t>
  </si>
  <si>
    <t>EXFU 830004-6</t>
  </si>
  <si>
    <t>EXFU 830005-1</t>
  </si>
  <si>
    <t>TPTU 830010-0</t>
  </si>
  <si>
    <t>TRLU 830027-5</t>
  </si>
  <si>
    <t>TRLU 830028-0</t>
  </si>
  <si>
    <t>TRLU 830029-6</t>
  </si>
  <si>
    <t>TRLU 830030-0</t>
  </si>
  <si>
    <t>TRLU 830031-5</t>
  </si>
  <si>
    <t>TRLU 830032-0</t>
  </si>
  <si>
    <t>TRLU 830033-6</t>
  </si>
  <si>
    <t>TRLU 830035-7</t>
  </si>
  <si>
    <t>TRLU 830036-2</t>
  </si>
  <si>
    <t>TRLU 830037-8</t>
  </si>
  <si>
    <t>TRLU 830038-3</t>
  </si>
  <si>
    <t>TRLU 830039-9</t>
  </si>
  <si>
    <t>TRLU 830040-2</t>
  </si>
  <si>
    <t>TRLU 860484-8</t>
  </si>
  <si>
    <t>USPU 122453-0</t>
  </si>
  <si>
    <t>USPU 122463-2</t>
  </si>
  <si>
    <t>USPU 122478-2</t>
  </si>
  <si>
    <t>USPU 122566-5</t>
  </si>
  <si>
    <t>USPU 122826-3</t>
  </si>
  <si>
    <t>USPU 122845-3</t>
  </si>
  <si>
    <t>USPU 130007-5</t>
  </si>
  <si>
    <t>EXFU 060495-2</t>
  </si>
  <si>
    <t>EXFU 060505-4</t>
  </si>
  <si>
    <t>EXXU 999065-3</t>
  </si>
  <si>
    <t>EXXU 999066-9</t>
  </si>
  <si>
    <t>EXFU 053761-7</t>
  </si>
  <si>
    <t>EXFU 821665-5</t>
  </si>
  <si>
    <t>TRLU 021064-2</t>
  </si>
  <si>
    <t>TRLU 021150-4</t>
  </si>
  <si>
    <t>USPU 122768-9</t>
  </si>
  <si>
    <t>EXFU 051625-5</t>
  </si>
  <si>
    <t>EXFU 059903-3</t>
  </si>
  <si>
    <t>EXFU 821673-7</t>
  </si>
  <si>
    <t>EXFU 821680-3</t>
  </si>
  <si>
    <t>EXFU 050205-6</t>
  </si>
  <si>
    <t>EXFU 051605-0</t>
  </si>
  <si>
    <t>EXFU 051606-5</t>
  </si>
  <si>
    <t>EXFU 051614-7</t>
  </si>
  <si>
    <t>EXFU 051618-9</t>
  </si>
  <si>
    <t>EXFU 051622-9</t>
  </si>
  <si>
    <t>EXFU 051666-1</t>
  </si>
  <si>
    <t>EXFU 051847-4</t>
  </si>
  <si>
    <t>EXFU 051951-0</t>
  </si>
  <si>
    <t>EXFU 051970-0</t>
  </si>
  <si>
    <t>EXFU 052068-2</t>
  </si>
  <si>
    <t>EXFU 052124-6</t>
  </si>
  <si>
    <t>EXFU 052173-4</t>
  </si>
  <si>
    <t>EXFU 052431-1</t>
  </si>
  <si>
    <t>EXFU 052568-4</t>
  </si>
  <si>
    <t>EXFU 052582-7</t>
  </si>
  <si>
    <t>EXFU 052595-6</t>
  </si>
  <si>
    <t>EXFU 052600-0</t>
  </si>
  <si>
    <t>EXFU 052742-9</t>
  </si>
  <si>
    <t>EXFU 053131-0</t>
  </si>
  <si>
    <t>EXFU 053280-5</t>
  </si>
  <si>
    <t>EXFU 053600-9</t>
  </si>
  <si>
    <t>EXFU 053783-3</t>
  </si>
  <si>
    <t>EXFU 053910-0</t>
  </si>
  <si>
    <t>EXFU 053927-1</t>
  </si>
  <si>
    <t>EXFU 053934-8</t>
  </si>
  <si>
    <t>EXFU 053978-0</t>
  </si>
  <si>
    <t>EXFU 057794-4</t>
  </si>
  <si>
    <t>EXFU 058070-0</t>
  </si>
  <si>
    <t>EXFU 820899-0</t>
  </si>
  <si>
    <t>EXXU 998110-0</t>
  </si>
  <si>
    <t>TPTU 820668-6</t>
  </si>
  <si>
    <t>TPTU 840100-2</t>
  </si>
  <si>
    <t>TPTU 840118-9</t>
  </si>
  <si>
    <t>TPTU 840260-5</t>
  </si>
  <si>
    <t>TPTU 851238-8</t>
  </si>
  <si>
    <t>TPTU 851597-8</t>
  </si>
  <si>
    <t>TPTU 851818-0</t>
  </si>
  <si>
    <t>TPTU 872683-6</t>
  </si>
  <si>
    <t>TRLU 021257-9</t>
  </si>
  <si>
    <t>TRLU 021377-0</t>
  </si>
  <si>
    <t>TRLU 021394-0</t>
  </si>
  <si>
    <t>TRLU 022188-4</t>
  </si>
  <si>
    <t>TRLU 022324-9</t>
  </si>
  <si>
    <t>TRLU 022372-1</t>
  </si>
  <si>
    <t>TRLU 023726-3</t>
  </si>
  <si>
    <t>TRLU 025393-7</t>
  </si>
  <si>
    <t>TRLU 050491-9</t>
  </si>
  <si>
    <t>TRLU 860426-2</t>
  </si>
  <si>
    <t>TRLU 860428-3</t>
  </si>
  <si>
    <t>TRLU 860436-5</t>
  </si>
  <si>
    <t>TOLU 947358-3</t>
  </si>
  <si>
    <t>TRLU 021650-6</t>
  </si>
  <si>
    <t>TRLU 021722-5</t>
  </si>
  <si>
    <t>TRLU 021916-7</t>
  </si>
  <si>
    <t>TRLU 021965-5</t>
  </si>
  <si>
    <t>TRLU 022076-4</t>
  </si>
  <si>
    <t>EXFU 050203-5</t>
  </si>
  <si>
    <t>EXFU 050743-8</t>
  </si>
  <si>
    <t>EXFU 051900-1</t>
  </si>
  <si>
    <t>EXFU 053749-5</t>
  </si>
  <si>
    <t>EXFU 053786-0</t>
  </si>
  <si>
    <t>EXFU 059953-7</t>
  </si>
  <si>
    <t>EXFU 060728-9</t>
  </si>
  <si>
    <t>EXFU 061365-6</t>
  </si>
  <si>
    <t>EXFU 061369-8</t>
  </si>
  <si>
    <t>EXFU 188026-1</t>
  </si>
  <si>
    <t>EXFU 059901-2</t>
  </si>
  <si>
    <t>EXFU 059909-6</t>
  </si>
  <si>
    <t>EXFU 059912-0</t>
  </si>
  <si>
    <t>EXFU 810745-9</t>
  </si>
  <si>
    <t>EXFU 810754-6</t>
  </si>
  <si>
    <t>EXFU 820867-0</t>
  </si>
  <si>
    <t>EXFU 821664-0</t>
  </si>
  <si>
    <t>EXFU 821679-0</t>
  </si>
  <si>
    <t>EXFU 821684-5</t>
  </si>
  <si>
    <t>EXFU 052731-0</t>
  </si>
  <si>
    <t>EXFU 052733-1</t>
  </si>
  <si>
    <t>TPMU 141048-1</t>
  </si>
  <si>
    <t>TPMU 161271-2</t>
  </si>
  <si>
    <t>TPTU 820535-5</t>
  </si>
  <si>
    <t>TPTU 820555-0</t>
  </si>
  <si>
    <t>TPTU 820656-2</t>
  </si>
  <si>
    <t>TRLU 021046-8</t>
  </si>
  <si>
    <t>TRLU 021358-0</t>
  </si>
  <si>
    <t>TRLU 021383-1</t>
  </si>
  <si>
    <t>TRLU 021386-8</t>
  </si>
  <si>
    <t>TRLU 022180-0</t>
  </si>
  <si>
    <t>TRLU 025699-9</t>
  </si>
  <si>
    <t>TRLU 050388-8</t>
  </si>
  <si>
    <t>TOLU 947047-6</t>
  </si>
  <si>
    <t>TOLU 947269-5</t>
  </si>
  <si>
    <t>TRLU 021697-5</t>
  </si>
  <si>
    <t>TRLU 021967-6</t>
  </si>
  <si>
    <t>USPU 122108-4</t>
  </si>
  <si>
    <t>USPU 122488-5</t>
  </si>
  <si>
    <t>USPU 122595-8</t>
  </si>
  <si>
    <t>USPU 122607-0</t>
  </si>
  <si>
    <t>USPU 122657-4</t>
  </si>
  <si>
    <t>USPU 122703-5</t>
  </si>
  <si>
    <t>USPU 122844-8</t>
  </si>
  <si>
    <t>USPU 122878-8</t>
  </si>
  <si>
    <t>USPU 123700-7</t>
  </si>
  <si>
    <t>USPU 124122-3</t>
  </si>
  <si>
    <t>USPU 124180-9</t>
  </si>
  <si>
    <t>USPU 124298-1</t>
  </si>
  <si>
    <t>USPU 124341-6</t>
  </si>
  <si>
    <t>USPU 124343-7</t>
  </si>
  <si>
    <t>USPU 124560-9</t>
  </si>
  <si>
    <t>USPU 121097-9</t>
  </si>
  <si>
    <t>EXFU 999165-7</t>
  </si>
  <si>
    <t>EXFU 060502-8</t>
  </si>
  <si>
    <t>EXFU 052605-8</t>
  </si>
  <si>
    <t>USPU 124103-3</t>
  </si>
  <si>
    <t>EXFU 860054-7</t>
  </si>
  <si>
    <t>EXFU 059954-2</t>
  </si>
  <si>
    <t>EXFU 059904-9</t>
  </si>
  <si>
    <t>EXFU 059908-0</t>
  </si>
  <si>
    <t>EXFU 821685-0</t>
  </si>
  <si>
    <t>USPU 122545-4</t>
  </si>
  <si>
    <t>USPU 122648-7</t>
  </si>
  <si>
    <t>EXFU 052743-4</t>
  </si>
  <si>
    <t>USPU 122409-9</t>
  </si>
  <si>
    <t>TOLU 926071-5</t>
  </si>
  <si>
    <t>SNIU 123260-1</t>
  </si>
  <si>
    <t>EXFU 055453-2</t>
  </si>
  <si>
    <t>EXSZ 900908</t>
  </si>
  <si>
    <t>EXSZ 902074-8</t>
  </si>
  <si>
    <t>EXSZ 900802</t>
  </si>
  <si>
    <t>EXSZ 900820</t>
  </si>
  <si>
    <t>EXFU 052705-4</t>
  </si>
  <si>
    <t>USPU 122571-0</t>
  </si>
  <si>
    <t>TRLU 520016-4</t>
  </si>
  <si>
    <t>EXSZ 901661-9</t>
  </si>
  <si>
    <t>EXSZ 901423-6</t>
  </si>
  <si>
    <t>EXSZ 900961</t>
  </si>
  <si>
    <t>EXFU 052737-3</t>
  </si>
  <si>
    <t>EXSZ 901091-9</t>
  </si>
  <si>
    <t>EXFU 059915-7</t>
  </si>
  <si>
    <t>EXFU 440419-2</t>
  </si>
  <si>
    <t>EXFU 440421-1</t>
  </si>
  <si>
    <t>EXFU 054065-2</t>
  </si>
  <si>
    <t>EXFU 054066-8</t>
  </si>
  <si>
    <t>EXFU 051902-2</t>
  </si>
  <si>
    <t>INV386076</t>
  </si>
  <si>
    <t>EXFU 822094-8</t>
  </si>
  <si>
    <t>EXFU 822095-3</t>
  </si>
  <si>
    <t>EXSZ 903614-8</t>
  </si>
  <si>
    <t>EXSZ 903615-3</t>
  </si>
  <si>
    <t>EXSZ 903632-2</t>
  </si>
  <si>
    <t>EXSZ 903633-8</t>
  </si>
  <si>
    <t>EXSZ 903634-3</t>
  </si>
  <si>
    <t>EXFU 441811-2</t>
  </si>
  <si>
    <t>EXFU 441812-8</t>
  </si>
  <si>
    <t>EXFU 441815-4</t>
  </si>
  <si>
    <t>EXFU 441817-5</t>
  </si>
  <si>
    <t>EXFU 441818-0</t>
  </si>
  <si>
    <t>EXSZ 901458-1</t>
  </si>
  <si>
    <t>EXSZ 901461-6</t>
  </si>
  <si>
    <t>EXSZ 901499-8</t>
  </si>
  <si>
    <t>EXSZ 901501-6</t>
  </si>
  <si>
    <t>EXFU 144973-7</t>
  </si>
  <si>
    <t>EXFU 144977-9</t>
  </si>
  <si>
    <t>EXFU 144983-0</t>
  </si>
  <si>
    <t>EXFU 145005-0</t>
  </si>
  <si>
    <t>EXSZ 901834-0</t>
  </si>
  <si>
    <t>EXSZ 901836-0</t>
  </si>
  <si>
    <t>EXFU 145244-8</t>
  </si>
  <si>
    <t>EXSZ 901798-1</t>
  </si>
  <si>
    <t>EXSZ 901799-7</t>
  </si>
  <si>
    <t>EXSZ 901800-0</t>
  </si>
  <si>
    <t>EXFU 144785-8</t>
  </si>
  <si>
    <t>EXFU 144797-1</t>
  </si>
  <si>
    <t>EXFU 144798-7</t>
  </si>
  <si>
    <t>EXFU 144814-0</t>
  </si>
  <si>
    <t>EXSZ 903067-0</t>
  </si>
  <si>
    <t>EXSZ 903076-7</t>
  </si>
  <si>
    <t>EXSZ 903077-2</t>
  </si>
  <si>
    <t>EXSZ 903161-3</t>
  </si>
  <si>
    <t>EXSZ 903162-9</t>
  </si>
  <si>
    <t>EXSZ 903163-4</t>
  </si>
  <si>
    <t>EXFU 822222-0</t>
  </si>
  <si>
    <t>EXFU 822224-1</t>
  </si>
  <si>
    <t>EXFU 822225-7</t>
  </si>
  <si>
    <t>EXFU 810837-3</t>
  </si>
  <si>
    <t>EXFU 810838-9</t>
  </si>
  <si>
    <t>EXFU 810841-3</t>
  </si>
  <si>
    <t>EXFU 144709-8</t>
  </si>
  <si>
    <t>EXSZ 901806-2</t>
  </si>
  <si>
    <t>EXSZ 901817-0</t>
  </si>
  <si>
    <t>EXSZ 901820-5</t>
  </si>
  <si>
    <t>EXSZ 901825-2</t>
  </si>
  <si>
    <t>EXSZ 901830-8</t>
  </si>
  <si>
    <t>EXSZ 901601-2</t>
  </si>
  <si>
    <t>EXFU 144784-2</t>
  </si>
  <si>
    <t>EXFU 144787-9</t>
  </si>
  <si>
    <t>EXFU 144788-4</t>
  </si>
  <si>
    <t>EXFU 144801-0</t>
  </si>
  <si>
    <t>EXFU 144807-3</t>
  </si>
  <si>
    <t>USPU 133027-5</t>
  </si>
  <si>
    <t>EXFU 830006-7</t>
  </si>
  <si>
    <t>EXSZ 903078-8</t>
  </si>
  <si>
    <t>EXSZ 903709-9</t>
  </si>
  <si>
    <t>EXSZ 903443-8</t>
  </si>
  <si>
    <t>EXSZ 903444-3</t>
  </si>
  <si>
    <t>EXSZ 903445-9</t>
  </si>
  <si>
    <t>EXSZ 903446-4</t>
  </si>
  <si>
    <t>EXSZ 903447-0</t>
  </si>
  <si>
    <t>EXSZ 903448-5</t>
  </si>
  <si>
    <t>EXSZ 903449-0</t>
  </si>
  <si>
    <t>EXSZ 903450-4</t>
  </si>
  <si>
    <t>EXSZ 903451-0</t>
  </si>
  <si>
    <t>EXSZ 903452-5</t>
  </si>
  <si>
    <t>EXSZ 903453-0</t>
  </si>
  <si>
    <t>EXSZ 903454-6</t>
  </si>
  <si>
    <t>EXFU 822028-0</t>
  </si>
  <si>
    <t>EXFU 822029-6</t>
  </si>
  <si>
    <t>EXFU 822030-0</t>
  </si>
  <si>
    <t>EXFU 822031-5</t>
  </si>
  <si>
    <t>EXFU 822033-6</t>
  </si>
  <si>
    <t>EXFU 822035-7</t>
  </si>
  <si>
    <t>EXFU 441454-4</t>
  </si>
  <si>
    <t>EXFU 441455-0</t>
  </si>
  <si>
    <t>EXFU 441457-0</t>
  </si>
  <si>
    <t>EXFU 441459-1</t>
  </si>
  <si>
    <t>EXFU 441460-5</t>
  </si>
  <si>
    <t>EXFU 441461-0</t>
  </si>
  <si>
    <t>EXFU 051439-7</t>
  </si>
  <si>
    <t>EXFU 051914-6</t>
  </si>
  <si>
    <t>ICLU 946242-9</t>
  </si>
  <si>
    <t>ICSU 028689-6</t>
  </si>
  <si>
    <t>TPMU 151357-7</t>
  </si>
  <si>
    <t>TPMU 351279-6</t>
  </si>
  <si>
    <t>TPMU 351548-1</t>
  </si>
  <si>
    <t>TPMU 351758-7</t>
  </si>
  <si>
    <t>TPMU 351997-5</t>
  </si>
  <si>
    <t>EXFU 051619-4</t>
  </si>
  <si>
    <t>USPU 121162-0</t>
  </si>
  <si>
    <t>USPU 121046-0</t>
  </si>
  <si>
    <t>USPU 121236-0</t>
  </si>
  <si>
    <t>USPU 122311-1</t>
  </si>
  <si>
    <t>TOLU 942347-4</t>
  </si>
  <si>
    <t>EXFU 187504-9</t>
  </si>
  <si>
    <t>EXXU 999069-5</t>
  </si>
  <si>
    <t>EXXU 999070-9</t>
  </si>
  <si>
    <t>EXFU 052730-5</t>
  </si>
  <si>
    <t>EXFU 052735-2</t>
  </si>
  <si>
    <t>ICSU 028852-2</t>
  </si>
  <si>
    <t>TRLU 022353-1</t>
  </si>
  <si>
    <t>EXFU 051903-8</t>
  </si>
  <si>
    <t>TRLU 024778-6</t>
  </si>
  <si>
    <t>TRLU 050164-8</t>
  </si>
  <si>
    <t>TRLU 050451-8</t>
  </si>
  <si>
    <t>TRLU 080077-8</t>
  </si>
  <si>
    <t>TPMU 631003-7</t>
  </si>
  <si>
    <t>TRLU 175035-2</t>
  </si>
  <si>
    <t>TRLU 175064-5</t>
  </si>
  <si>
    <t>EXFU 057571-0</t>
  </si>
  <si>
    <t>EXFU 057574-6</t>
  </si>
  <si>
    <t>EXFU 053290-8</t>
  </si>
  <si>
    <t>EXFU 062454-2</t>
  </si>
  <si>
    <t>EXFU 062455-8</t>
  </si>
  <si>
    <t>EXFU 062463-0</t>
  </si>
  <si>
    <t>EXFU 380307-4</t>
  </si>
  <si>
    <t>EXFU 055097-0</t>
  </si>
  <si>
    <t>SNIU 123504-6</t>
  </si>
  <si>
    <t>TRLU 025263-2</t>
  </si>
  <si>
    <t>TRLU 026455-1</t>
  </si>
  <si>
    <t>USPU 124673-4</t>
  </si>
  <si>
    <t>EXFU 052123-0</t>
  </si>
  <si>
    <t>EXFU 053769-0</t>
  </si>
  <si>
    <t>EXFU 060719-1</t>
  </si>
  <si>
    <t>EXFU 060723-1</t>
  </si>
  <si>
    <t>EXFU 060730-8</t>
  </si>
  <si>
    <t>EXFU 060761-1</t>
  </si>
  <si>
    <t>EXFU 060762-7</t>
  </si>
  <si>
    <t>EXFU 059899-4</t>
  </si>
  <si>
    <t>EXFU 810637-0</t>
  </si>
  <si>
    <t>EXFU 821672-1</t>
  </si>
  <si>
    <t>EXFU 822054-7</t>
  </si>
  <si>
    <t>EXFU 822056-8</t>
  </si>
  <si>
    <t>ICSU 028339-3</t>
  </si>
  <si>
    <t>TRLU 021502-7</t>
  </si>
  <si>
    <t>TOLU 916111-6</t>
  </si>
  <si>
    <t>TRLU 021235-2</t>
  </si>
  <si>
    <t>TRLU 022196-6</t>
  </si>
  <si>
    <t>TRLU 022198-7</t>
  </si>
  <si>
    <t>TRLU 022200-5</t>
  </si>
  <si>
    <t>TRLU 022229-0</t>
  </si>
  <si>
    <t>TRLU 022234-5</t>
  </si>
  <si>
    <t>TRLU 021935-7</t>
  </si>
  <si>
    <t>TRLU 021937-8</t>
  </si>
  <si>
    <t>TRLU 021799-2</t>
  </si>
  <si>
    <t>EXFU 820866-5</t>
  </si>
  <si>
    <t>EXFU 821435-4</t>
  </si>
  <si>
    <t>EXFU 821668-1</t>
  </si>
  <si>
    <t>EXFU 821675-8</t>
  </si>
  <si>
    <t>EXFU 821809-3</t>
  </si>
  <si>
    <t>TPTU 820589-0</t>
  </si>
  <si>
    <t>TRLU 021178-3</t>
  </si>
  <si>
    <t>TRLU 021742-0</t>
  </si>
  <si>
    <t>TRLU 021745-7</t>
  </si>
  <si>
    <t>TRLU 021824-2</t>
  </si>
  <si>
    <t>USPU 122821-6</t>
  </si>
  <si>
    <t>EXFU 053801-7</t>
  </si>
  <si>
    <t>EXFU 059951-6</t>
  </si>
  <si>
    <t>EXFU 380247-9</t>
  </si>
  <si>
    <t>TPMU 161046-9</t>
  </si>
  <si>
    <t>TRLU 021031-8</t>
  </si>
  <si>
    <t>TRLU 021694-9</t>
  </si>
  <si>
    <t>EXFU 055099-0</t>
  </si>
  <si>
    <t>USPU 123970-9</t>
  </si>
  <si>
    <t>USPU 124557-4</t>
  </si>
  <si>
    <t>EXFU 820832-5</t>
  </si>
  <si>
    <t>EXFU 820834-6</t>
  </si>
  <si>
    <t>EXFU 820844-9</t>
  </si>
  <si>
    <t>EXFU 820886-0</t>
  </si>
  <si>
    <t>EXFU 821190-4</t>
  </si>
  <si>
    <t>EXFU 822012-5</t>
  </si>
  <si>
    <t>EXFU 822023-3</t>
  </si>
  <si>
    <t>EXFU 822066-0</t>
  </si>
  <si>
    <t>EXFU 822067-6</t>
  </si>
  <si>
    <t>EXFU 822091-1</t>
  </si>
  <si>
    <t>EXFU 822083-0</t>
  </si>
  <si>
    <t>EXFU 822013-0</t>
  </si>
  <si>
    <t>EXFU 822014-6</t>
  </si>
  <si>
    <t>EXFU 822016-7</t>
  </si>
  <si>
    <t>EXSZ 901801-5</t>
  </si>
  <si>
    <t>EXFU 144783-7</t>
  </si>
  <si>
    <t>INV386063</t>
  </si>
  <si>
    <t>See unit #s on tab 2</t>
  </si>
  <si>
    <t>Hemlock</t>
  </si>
  <si>
    <t>INV386066</t>
  </si>
  <si>
    <t>EXFU 052300-1</t>
  </si>
  <si>
    <t>EXFU 061880-6</t>
  </si>
  <si>
    <t>EXFU 061887-4</t>
  </si>
  <si>
    <t>EXSZ 901688-2</t>
  </si>
  <si>
    <t>EXSZ 901689-8</t>
  </si>
  <si>
    <t>EXSZ 901690-1</t>
  </si>
  <si>
    <t>EXSZ 901691-7</t>
  </si>
  <si>
    <t>EXSZ 901692-2</t>
  </si>
  <si>
    <t>EXSZ 901693-8</t>
  </si>
  <si>
    <t>EXSZ 901694-3</t>
  </si>
  <si>
    <t>EXSZ 901695-9</t>
  </si>
  <si>
    <t>EXSZ 901696-4</t>
  </si>
  <si>
    <t>EXSZ 901697-0</t>
  </si>
  <si>
    <t>EXSZ 901698-5</t>
  </si>
  <si>
    <t>EXSZ 901699-0</t>
  </si>
  <si>
    <t>EXSZ 901700-3</t>
  </si>
  <si>
    <t>EXSZ 901701-9</t>
  </si>
  <si>
    <t>EXSZ 901702-4</t>
  </si>
  <si>
    <t>EXSZ 901703-0</t>
  </si>
  <si>
    <t>EXSZ 901704-5</t>
  </si>
  <si>
    <t>EXSZ 901705-0</t>
  </si>
  <si>
    <t>EXXU 999452-0</t>
  </si>
  <si>
    <t>TRLU 021285-6</t>
  </si>
  <si>
    <t>EXFU 144821-6</t>
  </si>
  <si>
    <t>EXFU 144829-0</t>
  </si>
  <si>
    <t>EXFU 055102-4</t>
  </si>
  <si>
    <t>EXFU 055103-0</t>
  </si>
  <si>
    <t>EXFU 055113-2</t>
  </si>
  <si>
    <t>EXSZ 900689-5</t>
  </si>
  <si>
    <t>EXSZ 900722-7</t>
  </si>
  <si>
    <t>EXSZ 900726-9</t>
  </si>
  <si>
    <t>EXSZ 900746-4</t>
  </si>
  <si>
    <t>EXSZ 900758-8</t>
  </si>
  <si>
    <t>EXSZ 900777</t>
  </si>
  <si>
    <t>EXSZ 900953</t>
  </si>
  <si>
    <t>EXSZ 900956</t>
  </si>
  <si>
    <t>EXSZ 901028-8</t>
  </si>
  <si>
    <t>EXSZ 901241-8</t>
  </si>
  <si>
    <t>EXSZ 901242-3</t>
  </si>
  <si>
    <t>EXSZ 901243-9</t>
  </si>
  <si>
    <t>EXSZ 901264-0</t>
  </si>
  <si>
    <t>EXSZ 901281-9</t>
  </si>
  <si>
    <t>EXSZ 901285-0</t>
  </si>
  <si>
    <t>EXSZ 901286-6</t>
  </si>
  <si>
    <t>EXSZ 901287-1</t>
  </si>
  <si>
    <t>EXSZ 901288-7</t>
  </si>
  <si>
    <t>EXSZ 901298-0</t>
  </si>
  <si>
    <t>EXSZ 901301-3</t>
  </si>
  <si>
    <t>EXSZ 901302-9</t>
  </si>
  <si>
    <t>EXSZ 901304-0</t>
  </si>
  <si>
    <t>EXSZ 901352-2</t>
  </si>
  <si>
    <t>EXSZ 901427-8</t>
  </si>
  <si>
    <t>EXSZ 901429-9</t>
  </si>
  <si>
    <t>EXSZ 901434-4</t>
  </si>
  <si>
    <t>EXSZ 901436-5</t>
  </si>
  <si>
    <t>EXSZ 901438-6</t>
  </si>
  <si>
    <t>EXSZ 901440-5</t>
  </si>
  <si>
    <t>EXSZ 901447-3</t>
  </si>
  <si>
    <t>EXSZ 901508-4</t>
  </si>
  <si>
    <t>EXSZ 901510-3</t>
  </si>
  <si>
    <t>EXSZ 901512-4</t>
  </si>
  <si>
    <t>EXSZ 901513-0</t>
  </si>
  <si>
    <t>EXSZ 901515-0</t>
  </si>
  <si>
    <t>EXSZ 901516-6</t>
  </si>
  <si>
    <t>EXSZ 901519-2</t>
  </si>
  <si>
    <t>EXSZ 901520-6</t>
  </si>
  <si>
    <t>EXSZ 901521-1</t>
  </si>
  <si>
    <t>EXSZ 901523-2</t>
  </si>
  <si>
    <t>EXSZ 901524-8</t>
  </si>
  <si>
    <t>EXSZ 901530-9</t>
  </si>
  <si>
    <t>EXSZ 901535-6</t>
  </si>
  <si>
    <t>EXSZ 901548-5</t>
  </si>
  <si>
    <t>EXSZ 901550-4</t>
  </si>
  <si>
    <t>EXSZ 901552-5</t>
  </si>
  <si>
    <t>EXSZ 901553-0</t>
  </si>
  <si>
    <t>EXSZ 901556-7</t>
  </si>
  <si>
    <t>EXSZ 901557-2</t>
  </si>
  <si>
    <t>EXSZ 901608-0</t>
  </si>
  <si>
    <t>EXSZ 901609-6</t>
  </si>
  <si>
    <t>EXSZ 901659-0</t>
  </si>
  <si>
    <t>EXSZ 901662-4</t>
  </si>
  <si>
    <t>TRZZ 900455</t>
  </si>
  <si>
    <t>TRZZ 900535</t>
  </si>
  <si>
    <t>TRZZ 900543</t>
  </si>
  <si>
    <t>TRZZ 900553</t>
  </si>
  <si>
    <t>TRZZ 900554</t>
  </si>
  <si>
    <t>TRZZ 900563</t>
  </si>
  <si>
    <t>TRZZ 900573</t>
  </si>
  <si>
    <t>TRZZ 900575</t>
  </si>
  <si>
    <t>TRZZ 900583</t>
  </si>
  <si>
    <t>TRZZ 900585</t>
  </si>
  <si>
    <t>USPU 124790-0</t>
  </si>
  <si>
    <t>EXXU 999491-5</t>
  </si>
  <si>
    <t>EXFU 521140-7</t>
  </si>
  <si>
    <t>EXFU 521179-4</t>
  </si>
  <si>
    <t>EXFU 521182-9</t>
  </si>
  <si>
    <t>EXFU 059955-8</t>
  </si>
  <si>
    <t>EXFU 055440-3</t>
  </si>
  <si>
    <t>EXFU 062228-3</t>
  </si>
  <si>
    <t>EXFU 144778-1</t>
  </si>
  <si>
    <t>EXFU 144804-7</t>
  </si>
  <si>
    <t>EXFU 144810-8</t>
  </si>
  <si>
    <t>EXFU 144811-3</t>
  </si>
  <si>
    <t>EXFU 144812-9</t>
  </si>
  <si>
    <t>EXSZ 901460-0</t>
  </si>
  <si>
    <t>EXSZ 901496-1</t>
  </si>
  <si>
    <t>EXSZ 901497-7</t>
  </si>
  <si>
    <t>EXSZ 901814-4</t>
  </si>
  <si>
    <t>EXSZ 901837-6</t>
  </si>
  <si>
    <t>EXFU 821813-3</t>
  </si>
  <si>
    <t>EXFU 144830-3</t>
  </si>
  <si>
    <t>EXFU 144834-5</t>
  </si>
  <si>
    <t>EXFU 145531-8</t>
  </si>
  <si>
    <t>EXXU 999073-5</t>
  </si>
  <si>
    <t>TPMU 351467-5</t>
  </si>
  <si>
    <t>EXFU 820885-5</t>
  </si>
  <si>
    <t>EXFU 820893-7</t>
  </si>
  <si>
    <t>EXFU 821644-4</t>
  </si>
  <si>
    <t>EXFU 821645-0</t>
  </si>
  <si>
    <t>EXFU 821647-0</t>
  </si>
  <si>
    <t>EXFU 821648-6</t>
  </si>
  <si>
    <t>EXFU 821650-5</t>
  </si>
  <si>
    <t>EXFU 821651-0</t>
  </si>
  <si>
    <t>EXFU 821652-6</t>
  </si>
  <si>
    <t>EXFU 821654-7</t>
  </si>
  <si>
    <t>EXSZ 901671-1</t>
  </si>
  <si>
    <t>EXSZ 901672-7</t>
  </si>
  <si>
    <t>EXSZ 901714-8</t>
  </si>
  <si>
    <t>EXSZ 901715-3</t>
  </si>
  <si>
    <t>EXSZ 901716-9</t>
  </si>
  <si>
    <t>EXSZ 901717-4</t>
  </si>
  <si>
    <t>EXSZ 901718-0</t>
  </si>
  <si>
    <t>EXSZ 901719-5</t>
  </si>
  <si>
    <t>TRLU 022203-1</t>
  </si>
  <si>
    <t>EXFU 822208-8</t>
  </si>
  <si>
    <t>EXFU 822209-3</t>
  </si>
  <si>
    <t>EXFU 822210-7</t>
  </si>
  <si>
    <t>EXFU 822212-8</t>
  </si>
  <si>
    <t>EXFU 822215-4</t>
  </si>
  <si>
    <t>EXFU 822216-0</t>
  </si>
  <si>
    <t>EXFU 822217-5</t>
  </si>
  <si>
    <t>EXFU 822218-0</t>
  </si>
  <si>
    <t>EXFU 822220-0</t>
  </si>
  <si>
    <t>EXFU 822221-5</t>
  </si>
  <si>
    <t>EXFU 822227-8</t>
  </si>
  <si>
    <t>EXFU 822228-3</t>
  </si>
  <si>
    <t>EXFU 822229-9</t>
  </si>
  <si>
    <t>EXFU 822231-8</t>
  </si>
  <si>
    <t>EXFU 822232-3</t>
  </si>
  <si>
    <t>EXFU 822233-9</t>
  </si>
  <si>
    <t>EXFU 822234-4</t>
  </si>
  <si>
    <t>EXFU 822236-5</t>
  </si>
  <si>
    <t>EXFU 822237-0</t>
  </si>
  <si>
    <t>EXFU 822239-1</t>
  </si>
  <si>
    <t>TRLU 021960-8</t>
  </si>
  <si>
    <t>TRLU 022326-0</t>
  </si>
  <si>
    <t>USPU 122692-8</t>
  </si>
  <si>
    <t>EXSZ 900989</t>
  </si>
  <si>
    <t>EXSZ 900993</t>
  </si>
  <si>
    <t>EXSZ 901083-7</t>
  </si>
  <si>
    <t>EXSZ 901086-3</t>
  </si>
  <si>
    <t>EXSZ 901100-5</t>
  </si>
  <si>
    <t>EXSZ 901107-3</t>
  </si>
  <si>
    <t>ICSU 029254-3</t>
  </si>
  <si>
    <t>TPTU 820593-0</t>
  </si>
  <si>
    <t>TPTU 820600-6</t>
  </si>
  <si>
    <t>TPTU 820636-7</t>
  </si>
  <si>
    <t>TRLU 022331-5</t>
  </si>
  <si>
    <t>EXFU 440096-2</t>
  </si>
  <si>
    <t>EXFU 440097-8</t>
  </si>
  <si>
    <t>EXFU 440100-1</t>
  </si>
  <si>
    <t>EXFU 440120-7</t>
  </si>
  <si>
    <t>EXFU 440122-8</t>
  </si>
  <si>
    <t>EXFU 440123-3</t>
  </si>
  <si>
    <t>EXFU 440124-9</t>
  </si>
  <si>
    <t>EXSZ 901883-8</t>
  </si>
  <si>
    <t>EXSZ 901886-4</t>
  </si>
  <si>
    <t>EXSZ 901898-8</t>
  </si>
  <si>
    <t>EXSZ 901906-9</t>
  </si>
  <si>
    <t>EXSZ 901967-0</t>
  </si>
  <si>
    <t>EXSZ 901968-6</t>
  </si>
  <si>
    <t>EXSZ 901973-1</t>
  </si>
  <si>
    <t>EXSZ 901985-5</t>
  </si>
  <si>
    <t>EXSZ 901998-4</t>
  </si>
  <si>
    <t>EXSZ 902003-3</t>
  </si>
  <si>
    <t>EXFU 145520-0</t>
  </si>
  <si>
    <t>EXFU 145528-3</t>
  </si>
  <si>
    <t>EXFU 144826-3</t>
  </si>
  <si>
    <t>EXFU 144831-9</t>
  </si>
  <si>
    <t>EXFU 144832-4</t>
  </si>
  <si>
    <t>USPU 124680-0</t>
  </si>
  <si>
    <t>TPMU 141016-2</t>
  </si>
  <si>
    <t>13808000575219</t>
  </si>
  <si>
    <t>ADV385454CC</t>
  </si>
  <si>
    <t>1700062209</t>
  </si>
  <si>
    <t>1700062208</t>
  </si>
  <si>
    <t>1700062207</t>
  </si>
  <si>
    <t>1700062206</t>
  </si>
  <si>
    <t>1700062205</t>
  </si>
  <si>
    <t>1700062204</t>
  </si>
  <si>
    <t>1700062203</t>
  </si>
  <si>
    <t>1700062202</t>
  </si>
  <si>
    <t>1700062201</t>
  </si>
  <si>
    <t>1700062200</t>
  </si>
  <si>
    <t>1700062199</t>
  </si>
  <si>
    <t>1700062198</t>
  </si>
  <si>
    <t>1700062197</t>
  </si>
  <si>
    <t>1700062196</t>
  </si>
  <si>
    <t>1700062195</t>
  </si>
  <si>
    <t>1700062194</t>
  </si>
  <si>
    <t>1700062193</t>
  </si>
  <si>
    <t>1700062192</t>
  </si>
  <si>
    <t>1700062191</t>
  </si>
  <si>
    <t>1700062190</t>
  </si>
  <si>
    <t>1700062189</t>
  </si>
  <si>
    <t>1700062188</t>
  </si>
  <si>
    <t>1700062187</t>
  </si>
  <si>
    <t>1700062186</t>
  </si>
  <si>
    <t>1700062185</t>
  </si>
  <si>
    <t>1700062184</t>
  </si>
  <si>
    <t>1700062183</t>
  </si>
  <si>
    <t>1700062182</t>
  </si>
  <si>
    <t>1700062181</t>
  </si>
  <si>
    <t>1700062180</t>
  </si>
  <si>
    <t>1700062179</t>
  </si>
  <si>
    <t>1700062178</t>
  </si>
  <si>
    <t>1700062177</t>
  </si>
  <si>
    <t>1700062176</t>
  </si>
  <si>
    <t>1700062175</t>
  </si>
  <si>
    <t>1700062244</t>
  </si>
  <si>
    <t>1700062243</t>
  </si>
  <si>
    <t>1700062242</t>
  </si>
  <si>
    <t>1700062241</t>
  </si>
  <si>
    <t>1700062240</t>
  </si>
  <si>
    <t>1700062239</t>
  </si>
  <si>
    <t>1700062238</t>
  </si>
  <si>
    <t>1700062237</t>
  </si>
  <si>
    <t>1700062236</t>
  </si>
  <si>
    <t>1700062235</t>
  </si>
  <si>
    <t>1700062234</t>
  </si>
  <si>
    <t>1700062233</t>
  </si>
  <si>
    <t>1700062232</t>
  </si>
  <si>
    <t>1700062231</t>
  </si>
  <si>
    <t>1700062230</t>
  </si>
  <si>
    <t>1700062229</t>
  </si>
  <si>
    <t>1700062228</t>
  </si>
  <si>
    <t>1700062227</t>
  </si>
  <si>
    <t>1700062226</t>
  </si>
  <si>
    <t>1700062225</t>
  </si>
  <si>
    <t>1700062224</t>
  </si>
  <si>
    <t>1700062223</t>
  </si>
  <si>
    <t>1700062222</t>
  </si>
  <si>
    <t>1700062221</t>
  </si>
  <si>
    <t>1700062220</t>
  </si>
  <si>
    <t>1700062219</t>
  </si>
  <si>
    <t>1700062218</t>
  </si>
  <si>
    <t>1700062217</t>
  </si>
  <si>
    <t>1700062216</t>
  </si>
  <si>
    <t>1700062215</t>
  </si>
  <si>
    <t>1700062214</t>
  </si>
  <si>
    <t>1700062213</t>
  </si>
  <si>
    <t>1700062212</t>
  </si>
  <si>
    <t>1700062211</t>
  </si>
  <si>
    <t>1700062210</t>
  </si>
  <si>
    <t>1700062139</t>
  </si>
  <si>
    <t>1700062138</t>
  </si>
  <si>
    <t>1700062137</t>
  </si>
  <si>
    <t>1700062136</t>
  </si>
  <si>
    <t>1700062135</t>
  </si>
  <si>
    <t>1700062134</t>
  </si>
  <si>
    <t>1700062133</t>
  </si>
  <si>
    <t>1700062132</t>
  </si>
  <si>
    <t>1700062131</t>
  </si>
  <si>
    <t>1700062130</t>
  </si>
  <si>
    <t>1700062129</t>
  </si>
  <si>
    <t>1700062128</t>
  </si>
  <si>
    <t>1700062127</t>
  </si>
  <si>
    <t>1700062126</t>
  </si>
  <si>
    <t>1700062125</t>
  </si>
  <si>
    <t>1700062124</t>
  </si>
  <si>
    <t>1700062123</t>
  </si>
  <si>
    <t>1700062122</t>
  </si>
  <si>
    <t>1700062121</t>
  </si>
  <si>
    <t>1700062120</t>
  </si>
  <si>
    <t>1700062119</t>
  </si>
  <si>
    <t>1700062118</t>
  </si>
  <si>
    <t>1700062117</t>
  </si>
  <si>
    <t>1700062116</t>
  </si>
  <si>
    <t>1700062115</t>
  </si>
  <si>
    <t>1700062114</t>
  </si>
  <si>
    <t>1700062113</t>
  </si>
  <si>
    <t>1700062112</t>
  </si>
  <si>
    <t>1700062111</t>
  </si>
  <si>
    <t>1700062110</t>
  </si>
  <si>
    <t>1700062109</t>
  </si>
  <si>
    <t>1700062108</t>
  </si>
  <si>
    <t>1700062107</t>
  </si>
  <si>
    <t>1700062106</t>
  </si>
  <si>
    <t>1700062105</t>
  </si>
  <si>
    <t>1700062174</t>
  </si>
  <si>
    <t>1700062173</t>
  </si>
  <si>
    <t>1700062172</t>
  </si>
  <si>
    <t>1700062171</t>
  </si>
  <si>
    <t>1700062170</t>
  </si>
  <si>
    <t>1700062169</t>
  </si>
  <si>
    <t>1700062168</t>
  </si>
  <si>
    <t>1700062167</t>
  </si>
  <si>
    <t>1700062166</t>
  </si>
  <si>
    <t>1700062165</t>
  </si>
  <si>
    <t>1700062164</t>
  </si>
  <si>
    <t>1700062163</t>
  </si>
  <si>
    <t>1700062162</t>
  </si>
  <si>
    <t>1700062161</t>
  </si>
  <si>
    <t>1700062160</t>
  </si>
  <si>
    <t>1700062159</t>
  </si>
  <si>
    <t>1700062158</t>
  </si>
  <si>
    <t>1700062157</t>
  </si>
  <si>
    <t>1700062156</t>
  </si>
  <si>
    <t>1700062155</t>
  </si>
  <si>
    <t>1700062154</t>
  </si>
  <si>
    <t>1700062153</t>
  </si>
  <si>
    <t>1700062152</t>
  </si>
  <si>
    <t>1700062151</t>
  </si>
  <si>
    <t>1700062150</t>
  </si>
  <si>
    <t>1700062149</t>
  </si>
  <si>
    <t>1700062148</t>
  </si>
  <si>
    <t>1700062147</t>
  </si>
  <si>
    <t>1700062146</t>
  </si>
  <si>
    <t>1700062145</t>
  </si>
  <si>
    <t>1700062144</t>
  </si>
  <si>
    <t>1700062143</t>
  </si>
  <si>
    <t>1700062142</t>
  </si>
  <si>
    <t>1700062141</t>
  </si>
  <si>
    <t>1700062140</t>
  </si>
  <si>
    <t>INV380561PO</t>
  </si>
  <si>
    <t>INV366038CC</t>
  </si>
  <si>
    <t>13808000575220</t>
  </si>
  <si>
    <t>INV384283SN</t>
  </si>
  <si>
    <t>1700123838</t>
  </si>
  <si>
    <t>1700123834</t>
  </si>
  <si>
    <t>1700123833</t>
  </si>
  <si>
    <t>1700123832</t>
  </si>
  <si>
    <t>1700123354</t>
  </si>
  <si>
    <t>1700123353</t>
  </si>
  <si>
    <t>1700123352</t>
  </si>
  <si>
    <t>1700123351</t>
  </si>
  <si>
    <t>1700123350</t>
  </si>
  <si>
    <t>1700123349</t>
  </si>
  <si>
    <t>1700123348</t>
  </si>
  <si>
    <t>1700123347</t>
  </si>
  <si>
    <t>1700123346</t>
  </si>
  <si>
    <t>1700123345</t>
  </si>
  <si>
    <t>1700123344</t>
  </si>
  <si>
    <t>1700123343</t>
  </si>
  <si>
    <t>1700123342</t>
  </si>
  <si>
    <t>1700123341</t>
  </si>
  <si>
    <t>1700123340</t>
  </si>
  <si>
    <t>1700123339</t>
  </si>
  <si>
    <t>1700123338</t>
  </si>
  <si>
    <t>1700123337</t>
  </si>
  <si>
    <t>1700123336</t>
  </si>
  <si>
    <t>1700123335</t>
  </si>
  <si>
    <t>1700123334</t>
  </si>
  <si>
    <t>1700123333</t>
  </si>
  <si>
    <t>1700123332</t>
  </si>
  <si>
    <t>1700123331</t>
  </si>
  <si>
    <t>13808000575221</t>
  </si>
  <si>
    <t>1700561367</t>
  </si>
  <si>
    <t>1700561366</t>
  </si>
  <si>
    <t>1700561365</t>
  </si>
  <si>
    <t>1700561364</t>
  </si>
  <si>
    <t>1700561363</t>
  </si>
  <si>
    <t>1700561362</t>
  </si>
  <si>
    <t>1700561361</t>
  </si>
  <si>
    <t>1700561360</t>
  </si>
  <si>
    <t>1700561359</t>
  </si>
  <si>
    <t>1700561358</t>
  </si>
  <si>
    <t>1700561357</t>
  </si>
  <si>
    <t>1700561356</t>
  </si>
  <si>
    <t>1700561355</t>
  </si>
  <si>
    <t>1700561354</t>
  </si>
  <si>
    <t>1700561353</t>
  </si>
  <si>
    <t>1700561351</t>
  </si>
  <si>
    <t>1700561350</t>
  </si>
  <si>
    <t>1700561349</t>
  </si>
  <si>
    <t>1700561348</t>
  </si>
  <si>
    <t>1700561347</t>
  </si>
  <si>
    <t>1700561346</t>
  </si>
  <si>
    <t>1700561345</t>
  </si>
  <si>
    <t>1700561344</t>
  </si>
  <si>
    <t>1700561343</t>
  </si>
  <si>
    <t>1700561342</t>
  </si>
  <si>
    <t>1700561341</t>
  </si>
  <si>
    <t>1700561340</t>
  </si>
  <si>
    <t>1700561339</t>
  </si>
  <si>
    <t>1700561338</t>
  </si>
  <si>
    <t>1700561337</t>
  </si>
  <si>
    <t>1700561336</t>
  </si>
  <si>
    <t>1700561335</t>
  </si>
  <si>
    <t>1700561334</t>
  </si>
  <si>
    <t>1700561333</t>
  </si>
  <si>
    <t>1700561331</t>
  </si>
  <si>
    <t>1700561330</t>
  </si>
  <si>
    <t>1700561328</t>
  </si>
  <si>
    <t>1700561327</t>
  </si>
  <si>
    <t>1700561368</t>
  </si>
  <si>
    <t>1700564756</t>
  </si>
  <si>
    <t>1700564748</t>
  </si>
  <si>
    <t>1700564747</t>
  </si>
  <si>
    <t>1700564744</t>
  </si>
  <si>
    <t>1700564742</t>
  </si>
  <si>
    <t>1700564741</t>
  </si>
  <si>
    <t>1700564739</t>
  </si>
  <si>
    <t>1700564736</t>
  </si>
  <si>
    <t>1700564735</t>
  </si>
  <si>
    <t>1700564733</t>
  </si>
  <si>
    <t>1700564732</t>
  </si>
  <si>
    <t>1700564731</t>
  </si>
  <si>
    <t>1700564730</t>
  </si>
  <si>
    <t>1700564726</t>
  </si>
  <si>
    <t>1700564725</t>
  </si>
  <si>
    <t>1700564724</t>
  </si>
  <si>
    <t>1700564722</t>
  </si>
  <si>
    <t>1700564721</t>
  </si>
  <si>
    <t>1700564719</t>
  </si>
  <si>
    <t>1700564718</t>
  </si>
  <si>
    <t>1700561441</t>
  </si>
  <si>
    <t>1700561387</t>
  </si>
  <si>
    <t>1700561386</t>
  </si>
  <si>
    <t>1700561385</t>
  </si>
  <si>
    <t>1700561384</t>
  </si>
  <si>
    <t>1700561383</t>
  </si>
  <si>
    <t>1700561382</t>
  </si>
  <si>
    <t>1700561381</t>
  </si>
  <si>
    <t>1700561380</t>
  </si>
  <si>
    <t>1700561379</t>
  </si>
  <si>
    <t>1700561378</t>
  </si>
  <si>
    <t>1700561377</t>
  </si>
  <si>
    <t>1700561376</t>
  </si>
  <si>
    <t>1700561375</t>
  </si>
  <si>
    <t>1700561372</t>
  </si>
  <si>
    <t>1700561371</t>
  </si>
  <si>
    <t>1700561370</t>
  </si>
  <si>
    <t>1700561369</t>
  </si>
  <si>
    <t>1700561326</t>
  </si>
  <si>
    <t>1700561282</t>
  </si>
  <si>
    <t>1700561281</t>
  </si>
  <si>
    <t>1700561280</t>
  </si>
  <si>
    <t>1700561279</t>
  </si>
  <si>
    <t>1700561278</t>
  </si>
  <si>
    <t>1700561277</t>
  </si>
  <si>
    <t>1700561276</t>
  </si>
  <si>
    <t>1700561275</t>
  </si>
  <si>
    <t>1700561274</t>
  </si>
  <si>
    <t>1700561273</t>
  </si>
  <si>
    <t>1700561272</t>
  </si>
  <si>
    <t>1700561271</t>
  </si>
  <si>
    <t>1700561270</t>
  </si>
  <si>
    <t>1700561269</t>
  </si>
  <si>
    <t>1700561268</t>
  </si>
  <si>
    <t>1700561267</t>
  </si>
  <si>
    <t>1700561266</t>
  </si>
  <si>
    <t>1700561265</t>
  </si>
  <si>
    <t>1700561264</t>
  </si>
  <si>
    <t>1700561263</t>
  </si>
  <si>
    <t>1700561262</t>
  </si>
  <si>
    <t>1700561261</t>
  </si>
  <si>
    <t>1700561260</t>
  </si>
  <si>
    <t>1700561259</t>
  </si>
  <si>
    <t>1700561258</t>
  </si>
  <si>
    <t>1700561257</t>
  </si>
  <si>
    <t>1700561256</t>
  </si>
  <si>
    <t>1700561255</t>
  </si>
  <si>
    <t>1700561254</t>
  </si>
  <si>
    <t>1700561252</t>
  </si>
  <si>
    <t>1700561251</t>
  </si>
  <si>
    <t>1700561250</t>
  </si>
  <si>
    <t>1700561249</t>
  </si>
  <si>
    <t>1700561248</t>
  </si>
  <si>
    <t>1700561247</t>
  </si>
  <si>
    <t>1700561246</t>
  </si>
  <si>
    <t>1700561245</t>
  </si>
  <si>
    <t>1700561244</t>
  </si>
  <si>
    <t>1700561283</t>
  </si>
  <si>
    <t>1700561324</t>
  </si>
  <si>
    <t>1700561323</t>
  </si>
  <si>
    <t>1700561322</t>
  </si>
  <si>
    <t>1700561321</t>
  </si>
  <si>
    <t>1700561320</t>
  </si>
  <si>
    <t>1700561319</t>
  </si>
  <si>
    <t>1700561318</t>
  </si>
  <si>
    <t>1700561317</t>
  </si>
  <si>
    <t>1700561316</t>
  </si>
  <si>
    <t>1700561314</t>
  </si>
  <si>
    <t>1700561313</t>
  </si>
  <si>
    <t>1700561312</t>
  </si>
  <si>
    <t>1700561311</t>
  </si>
  <si>
    <t>1700561310</t>
  </si>
  <si>
    <t>1700561308</t>
  </si>
  <si>
    <t>1700561307</t>
  </si>
  <si>
    <t>1700561306</t>
  </si>
  <si>
    <t>1700561305</t>
  </si>
  <si>
    <t>1700561304</t>
  </si>
  <si>
    <t>1700561303</t>
  </si>
  <si>
    <t>1700561302</t>
  </si>
  <si>
    <t>1700561301</t>
  </si>
  <si>
    <t>1700561300</t>
  </si>
  <si>
    <t>1700561299</t>
  </si>
  <si>
    <t>1700561298</t>
  </si>
  <si>
    <t>1700561297</t>
  </si>
  <si>
    <t>1700561296</t>
  </si>
  <si>
    <t>1700561295</t>
  </si>
  <si>
    <t>1700561293</t>
  </si>
  <si>
    <t>1700561292</t>
  </si>
  <si>
    <t>1700561291</t>
  </si>
  <si>
    <t>1700561290</t>
  </si>
  <si>
    <t>1700561289</t>
  </si>
  <si>
    <t>1700561288</t>
  </si>
  <si>
    <t>1700561287</t>
  </si>
  <si>
    <t>1700561286</t>
  </si>
  <si>
    <t>1700561285</t>
  </si>
  <si>
    <t>1700561284</t>
  </si>
  <si>
    <t>13808000580267</t>
  </si>
  <si>
    <t>INV386059SN</t>
  </si>
  <si>
    <t>1700581560</t>
  </si>
  <si>
    <t>1700581561</t>
  </si>
  <si>
    <t>1700581562</t>
  </si>
  <si>
    <t>1700581563</t>
  </si>
  <si>
    <t>1700581565</t>
  </si>
  <si>
    <t>1700581566</t>
  </si>
  <si>
    <t>1700581568</t>
  </si>
  <si>
    <t>1700581569</t>
  </si>
  <si>
    <t>EXFU 175640-9</t>
  </si>
  <si>
    <t>EXFU 175641-4</t>
  </si>
  <si>
    <t>EXFU 175642-0</t>
  </si>
  <si>
    <t>EXFU 175643-5</t>
  </si>
  <si>
    <t>EXFU 175644-0</t>
  </si>
  <si>
    <t>EXFU 175645-6</t>
  </si>
  <si>
    <t>Invoice</t>
  </si>
  <si>
    <t>Charge Type</t>
  </si>
  <si>
    <t>INV386058CC</t>
  </si>
  <si>
    <t>INV386053PO</t>
  </si>
  <si>
    <t>INV386063CC</t>
  </si>
  <si>
    <t>INV386076CC</t>
  </si>
  <si>
    <t>INV386066DC</t>
  </si>
  <si>
    <t>INV380561SN</t>
  </si>
  <si>
    <t>INV386059CC</t>
  </si>
  <si>
    <t>13808000597070</t>
  </si>
  <si>
    <t>INV386074PO</t>
  </si>
  <si>
    <t>INV387641PO</t>
  </si>
  <si>
    <t>INV386079RH</t>
  </si>
  <si>
    <t>INV386078TR</t>
  </si>
  <si>
    <t>The Dow Chemical Conpany</t>
  </si>
  <si>
    <t>PAYMENT REF</t>
  </si>
  <si>
    <t>AMOUNT</t>
  </si>
  <si>
    <t>REASON</t>
  </si>
  <si>
    <t>Rebilled and paid as INV380561POGB</t>
  </si>
  <si>
    <t>COA</t>
  </si>
  <si>
    <t>$</t>
  </si>
  <si>
    <t>PYMNT0110397</t>
  </si>
  <si>
    <t>PYMNT0103872</t>
  </si>
  <si>
    <t>PYMNT0109740</t>
  </si>
  <si>
    <t>PYMNT0109766</t>
  </si>
  <si>
    <t>PYMNT0109769</t>
  </si>
  <si>
    <t>PYMNT0109770</t>
  </si>
  <si>
    <t>PYMNT0109896</t>
  </si>
  <si>
    <t>PYMNT0110121</t>
  </si>
  <si>
    <t xml:space="preserve">INVOICE </t>
  </si>
  <si>
    <t>INVOICE DATE</t>
  </si>
  <si>
    <t>INV386071</t>
  </si>
  <si>
    <t>INV386057</t>
  </si>
  <si>
    <t>Pending Billing</t>
  </si>
  <si>
    <t>$ Pending</t>
  </si>
  <si>
    <t>INV MONTH</t>
  </si>
  <si>
    <t>DRV387732</t>
  </si>
  <si>
    <t>TPMU 629003-3</t>
  </si>
  <si>
    <t>CHARGE TYPE</t>
  </si>
  <si>
    <t>Freeport Chassis Pool</t>
  </si>
  <si>
    <t>Freeport Other Pool</t>
  </si>
  <si>
    <t>Overpaid INV366038</t>
  </si>
  <si>
    <t>Overpaid ADV358143</t>
  </si>
  <si>
    <t>4506444293</t>
  </si>
  <si>
    <t>Sao Paulo</t>
  </si>
  <si>
    <t>4503847404</t>
  </si>
  <si>
    <t>Versum Materials</t>
  </si>
  <si>
    <t>Cardiff Rd</t>
  </si>
  <si>
    <t>Hemlock Semiconductor Operations</t>
  </si>
  <si>
    <t>ADV387260</t>
  </si>
  <si>
    <t>ADV387261</t>
  </si>
  <si>
    <t>Slovakia</t>
  </si>
  <si>
    <t>4506924343</t>
  </si>
  <si>
    <t>4506682187</t>
  </si>
  <si>
    <t xml:space="preserve">INV368040 </t>
  </si>
  <si>
    <t>Blue Cube Brazil</t>
  </si>
  <si>
    <t>13808000653249</t>
  </si>
  <si>
    <t>1700127679</t>
  </si>
  <si>
    <t>1700127678</t>
  </si>
  <si>
    <t>1700127677</t>
  </si>
  <si>
    <t>RPR384050PO</t>
  </si>
  <si>
    <t>1700127940</t>
  </si>
  <si>
    <t>RPR384051PO</t>
  </si>
  <si>
    <t>1700127942</t>
  </si>
  <si>
    <t>RPR384052PO</t>
  </si>
  <si>
    <t>1700127939</t>
  </si>
  <si>
    <t>RPR384053PO</t>
  </si>
  <si>
    <t>1700127941</t>
  </si>
  <si>
    <t>RPR384054PO</t>
  </si>
  <si>
    <t>1700127943</t>
  </si>
  <si>
    <t>RPR384055PO</t>
  </si>
  <si>
    <t>1700127946</t>
  </si>
  <si>
    <t>RPR384056PO</t>
  </si>
  <si>
    <t>1700127948</t>
  </si>
  <si>
    <t>RPR384057PO</t>
  </si>
  <si>
    <t>1700127945</t>
  </si>
  <si>
    <t>RPR384058PO</t>
  </si>
  <si>
    <t>1700127947</t>
  </si>
  <si>
    <t>RPR384059PO</t>
  </si>
  <si>
    <t>1700127950</t>
  </si>
  <si>
    <t>RPR384060PO</t>
  </si>
  <si>
    <t>1700127944</t>
  </si>
  <si>
    <t>RPR384061PO</t>
  </si>
  <si>
    <t>1700127951</t>
  </si>
  <si>
    <t>RPR384062PO</t>
  </si>
  <si>
    <t>1700127956</t>
  </si>
  <si>
    <t>RPR384063PO</t>
  </si>
  <si>
    <t>1700127949</t>
  </si>
  <si>
    <t>RPR384064PO</t>
  </si>
  <si>
    <t>1700127953</t>
  </si>
  <si>
    <t>RPR384065PO</t>
  </si>
  <si>
    <t>1700127955</t>
  </si>
  <si>
    <t>RPR384066PO</t>
  </si>
  <si>
    <t>1700127952</t>
  </si>
  <si>
    <t>RPR384067PO</t>
  </si>
  <si>
    <t>1700127954</t>
  </si>
  <si>
    <t>RPR384068PO</t>
  </si>
  <si>
    <t>1700127957</t>
  </si>
  <si>
    <t>13808000663095</t>
  </si>
  <si>
    <t>INV386071SN</t>
  </si>
  <si>
    <t>4507115238</t>
  </si>
  <si>
    <t>1700144405</t>
  </si>
  <si>
    <t>4507180838</t>
  </si>
  <si>
    <t>1700144404</t>
  </si>
  <si>
    <t>1700144403</t>
  </si>
  <si>
    <t>1700144401</t>
  </si>
  <si>
    <t>1700144400</t>
  </si>
  <si>
    <t>1700144399</t>
  </si>
  <si>
    <t>4504299225</t>
  </si>
  <si>
    <t>1700144383</t>
  </si>
  <si>
    <t>4504263364</t>
  </si>
  <si>
    <t>1700144382</t>
  </si>
  <si>
    <t>4504410736</t>
  </si>
  <si>
    <t>1700144380</t>
  </si>
  <si>
    <t>4504473046</t>
  </si>
  <si>
    <t>1700144379</t>
  </si>
  <si>
    <t>1700144378</t>
  </si>
  <si>
    <t>1700144377</t>
  </si>
  <si>
    <t>4504311405</t>
  </si>
  <si>
    <t>1700144376</t>
  </si>
  <si>
    <t>4504258309</t>
  </si>
  <si>
    <t>1700144375</t>
  </si>
  <si>
    <t>4504176042</t>
  </si>
  <si>
    <t>1700144374</t>
  </si>
  <si>
    <t>4504183568</t>
  </si>
  <si>
    <t>1700144373</t>
  </si>
  <si>
    <t>4506399539</t>
  </si>
  <si>
    <t>1700144372</t>
  </si>
  <si>
    <t>4506536591</t>
  </si>
  <si>
    <t>1700144371</t>
  </si>
  <si>
    <t>4506483520</t>
  </si>
  <si>
    <t>1700144370</t>
  </si>
  <si>
    <t>4506149686</t>
  </si>
  <si>
    <t>1700144369</t>
  </si>
  <si>
    <t>4505126510</t>
  </si>
  <si>
    <t>1700144368</t>
  </si>
  <si>
    <t>4505825910</t>
  </si>
  <si>
    <t>1700144367</t>
  </si>
  <si>
    <t>4506065616</t>
  </si>
  <si>
    <t>1700144366</t>
  </si>
  <si>
    <t>4506232061</t>
  </si>
  <si>
    <t>1700144365</t>
  </si>
  <si>
    <t>4505538729</t>
  </si>
  <si>
    <t>1700144364</t>
  </si>
  <si>
    <t>4506035122</t>
  </si>
  <si>
    <t>1700144363</t>
  </si>
  <si>
    <t>1700144362</t>
  </si>
  <si>
    <t>4505345878</t>
  </si>
  <si>
    <t>1700144361</t>
  </si>
  <si>
    <t>4505521202</t>
  </si>
  <si>
    <t>1700144360</t>
  </si>
  <si>
    <t>13808000663096</t>
  </si>
  <si>
    <t>INV386071CC</t>
  </si>
  <si>
    <t/>
  </si>
  <si>
    <t>1700657924</t>
  </si>
  <si>
    <t>1700657925</t>
  </si>
  <si>
    <t>1700657926</t>
  </si>
  <si>
    <t>4507119015</t>
  </si>
  <si>
    <t>1700658150</t>
  </si>
  <si>
    <t>4507080570</t>
  </si>
  <si>
    <t>1700658157</t>
  </si>
  <si>
    <t>4507082357</t>
  </si>
  <si>
    <t>1700658159</t>
  </si>
  <si>
    <t>4507152146</t>
  </si>
  <si>
    <t>1700658161</t>
  </si>
  <si>
    <t>1700658163</t>
  </si>
  <si>
    <t>4507176429</t>
  </si>
  <si>
    <t>1700658166</t>
  </si>
  <si>
    <t>1700658169</t>
  </si>
  <si>
    <t>1700658171</t>
  </si>
  <si>
    <t>1700658173</t>
  </si>
  <si>
    <t>1700658174</t>
  </si>
  <si>
    <t>4507126527</t>
  </si>
  <si>
    <t>1700658176</t>
  </si>
  <si>
    <t>4507119310</t>
  </si>
  <si>
    <t>1700658184</t>
  </si>
  <si>
    <t>1700658186</t>
  </si>
  <si>
    <t>4507115252</t>
  </si>
  <si>
    <t>1700658190</t>
  </si>
  <si>
    <t>1700658191</t>
  </si>
  <si>
    <t>1700658192</t>
  </si>
  <si>
    <t>1700658193</t>
  </si>
  <si>
    <t>1700658194</t>
  </si>
  <si>
    <t>1700658196</t>
  </si>
  <si>
    <t>4507218725</t>
  </si>
  <si>
    <t>1700658197</t>
  </si>
  <si>
    <t>1700658200</t>
  </si>
  <si>
    <t>INV386066CC</t>
  </si>
  <si>
    <t>1700657896</t>
  </si>
  <si>
    <t>1700657897</t>
  </si>
  <si>
    <t>1700657898</t>
  </si>
  <si>
    <t>1700657903</t>
  </si>
  <si>
    <t>1700657904</t>
  </si>
  <si>
    <t>1700657905</t>
  </si>
  <si>
    <t>1700657906</t>
  </si>
  <si>
    <t>1700657907</t>
  </si>
  <si>
    <t>1700657908</t>
  </si>
  <si>
    <t>1700657909</t>
  </si>
  <si>
    <t>1700657910</t>
  </si>
  <si>
    <t>1700657911</t>
  </si>
  <si>
    <t>1700657912</t>
  </si>
  <si>
    <t>1700657913</t>
  </si>
  <si>
    <t>1700657914</t>
  </si>
  <si>
    <t>1700657915</t>
  </si>
  <si>
    <t>1700657916</t>
  </si>
  <si>
    <t>1700657917</t>
  </si>
  <si>
    <t>1700657918</t>
  </si>
  <si>
    <t>1700657919</t>
  </si>
  <si>
    <t>1700657920</t>
  </si>
  <si>
    <t>1700657921</t>
  </si>
  <si>
    <t>1700657922</t>
  </si>
  <si>
    <t>1700657923</t>
  </si>
  <si>
    <t>1700658255</t>
  </si>
  <si>
    <t>1700658256</t>
  </si>
  <si>
    <t>4507119280</t>
  </si>
  <si>
    <t>1700658258</t>
  </si>
  <si>
    <t>4507182401</t>
  </si>
  <si>
    <t>1700658261</t>
  </si>
  <si>
    <t>1700658262</t>
  </si>
  <si>
    <t>4507182926</t>
  </si>
  <si>
    <t>1700658263</t>
  </si>
  <si>
    <t>4507146279</t>
  </si>
  <si>
    <t>1700658265</t>
  </si>
  <si>
    <t>4507125283</t>
  </si>
  <si>
    <t>1700658268</t>
  </si>
  <si>
    <t>1700658272</t>
  </si>
  <si>
    <t>4507208526</t>
  </si>
  <si>
    <t>1700658275</t>
  </si>
  <si>
    <t>1700658277</t>
  </si>
  <si>
    <t>4507147223</t>
  </si>
  <si>
    <t>1700658280</t>
  </si>
  <si>
    <t>4507176415</t>
  </si>
  <si>
    <t>1700658281</t>
  </si>
  <si>
    <t>1700658285</t>
  </si>
  <si>
    <t>1700658288</t>
  </si>
  <si>
    <t>1700658290</t>
  </si>
  <si>
    <t>1700658292</t>
  </si>
  <si>
    <t>4507175819</t>
  </si>
  <si>
    <t>1700658296</t>
  </si>
  <si>
    <t>1700658297</t>
  </si>
  <si>
    <t>1700658303</t>
  </si>
  <si>
    <t>1700658305</t>
  </si>
  <si>
    <t>4507152141</t>
  </si>
  <si>
    <t>1700658308</t>
  </si>
  <si>
    <t>1700658310</t>
  </si>
  <si>
    <t>1700658311</t>
  </si>
  <si>
    <t>1700658202</t>
  </si>
  <si>
    <t>1700658204</t>
  </si>
  <si>
    <t>1700658206</t>
  </si>
  <si>
    <t>1700658207</t>
  </si>
  <si>
    <t>1700658209</t>
  </si>
  <si>
    <t>1700658211</t>
  </si>
  <si>
    <t>1700658213</t>
  </si>
  <si>
    <t>1700658214</t>
  </si>
  <si>
    <t>1700658218</t>
  </si>
  <si>
    <t>4507208524</t>
  </si>
  <si>
    <t>1700658221</t>
  </si>
  <si>
    <t>4506319483</t>
  </si>
  <si>
    <t>1700658223</t>
  </si>
  <si>
    <t>1700658224</t>
  </si>
  <si>
    <t>1700658225</t>
  </si>
  <si>
    <t>1700658227</t>
  </si>
  <si>
    <t>4506075970</t>
  </si>
  <si>
    <t>1700658228</t>
  </si>
  <si>
    <t>4505156542</t>
  </si>
  <si>
    <t>1700658234</t>
  </si>
  <si>
    <t>1700658235</t>
  </si>
  <si>
    <t>4507233028</t>
  </si>
  <si>
    <t>1700658240</t>
  </si>
  <si>
    <t>1700658242</t>
  </si>
  <si>
    <t>1700658244</t>
  </si>
  <si>
    <t>1700658246</t>
  </si>
  <si>
    <t>1700658248</t>
  </si>
  <si>
    <t>4507208470</t>
  </si>
  <si>
    <t>1700658250</t>
  </si>
  <si>
    <t>1700658253</t>
  </si>
  <si>
    <t>1700657895</t>
  </si>
  <si>
    <t>4506789649</t>
  </si>
  <si>
    <t>1700657581</t>
  </si>
  <si>
    <t>4506502300</t>
  </si>
  <si>
    <t>1700657582</t>
  </si>
  <si>
    <t>4506371433</t>
  </si>
  <si>
    <t>1700657583</t>
  </si>
  <si>
    <t>4506346893</t>
  </si>
  <si>
    <t>1700657584</t>
  </si>
  <si>
    <t>4506484734</t>
  </si>
  <si>
    <t>1700657585</t>
  </si>
  <si>
    <t>4506515526</t>
  </si>
  <si>
    <t>1700657586</t>
  </si>
  <si>
    <t>4506412575</t>
  </si>
  <si>
    <t>1700657587</t>
  </si>
  <si>
    <t>4506739186</t>
  </si>
  <si>
    <t>1700657588</t>
  </si>
  <si>
    <t>4501896060</t>
  </si>
  <si>
    <t>1700657589</t>
  </si>
  <si>
    <t>4506804102</t>
  </si>
  <si>
    <t>1700657590</t>
  </si>
  <si>
    <t>4506625667</t>
  </si>
  <si>
    <t>1700657591</t>
  </si>
  <si>
    <t>4506792943</t>
  </si>
  <si>
    <t>1700657592</t>
  </si>
  <si>
    <t>4506876346</t>
  </si>
  <si>
    <t>1700657593</t>
  </si>
  <si>
    <t>4506427068</t>
  </si>
  <si>
    <t>1700657594</t>
  </si>
  <si>
    <t>4506705797</t>
  </si>
  <si>
    <t>1700657595</t>
  </si>
  <si>
    <t>4506944408</t>
  </si>
  <si>
    <t>1700657596</t>
  </si>
  <si>
    <t>4507064183</t>
  </si>
  <si>
    <t>1700657597</t>
  </si>
  <si>
    <t>4507059404</t>
  </si>
  <si>
    <t>1700657598</t>
  </si>
  <si>
    <t>4506956697</t>
  </si>
  <si>
    <t>1700657599</t>
  </si>
  <si>
    <t>4507021219</t>
  </si>
  <si>
    <t>1700657600</t>
  </si>
  <si>
    <t>4507033573</t>
  </si>
  <si>
    <t>1700657602</t>
  </si>
  <si>
    <t>4507060824</t>
  </si>
  <si>
    <t>1700657603</t>
  </si>
  <si>
    <t>4502015297</t>
  </si>
  <si>
    <t>1700657604</t>
  </si>
  <si>
    <t>1700657605</t>
  </si>
  <si>
    <t>4505048375</t>
  </si>
  <si>
    <t>1700657554</t>
  </si>
  <si>
    <t>4504862662</t>
  </si>
  <si>
    <t>1700657556</t>
  </si>
  <si>
    <t>4505761472</t>
  </si>
  <si>
    <t>1700657557</t>
  </si>
  <si>
    <t>4505856490</t>
  </si>
  <si>
    <t>1700657558</t>
  </si>
  <si>
    <t>4505005902</t>
  </si>
  <si>
    <t>1700657559</t>
  </si>
  <si>
    <t>4501644232</t>
  </si>
  <si>
    <t>1700657560</t>
  </si>
  <si>
    <t>4505631563</t>
  </si>
  <si>
    <t>1700657561</t>
  </si>
  <si>
    <t>4505846531</t>
  </si>
  <si>
    <t>1700657562</t>
  </si>
  <si>
    <t>1700657564</t>
  </si>
  <si>
    <t>4506050532</t>
  </si>
  <si>
    <t>1700657565</t>
  </si>
  <si>
    <t>4506244401</t>
  </si>
  <si>
    <t>1700657566</t>
  </si>
  <si>
    <t>4506118805</t>
  </si>
  <si>
    <t>1700657567</t>
  </si>
  <si>
    <t>4506282451</t>
  </si>
  <si>
    <t>1700657568</t>
  </si>
  <si>
    <t>1700657570</t>
  </si>
  <si>
    <t>1700657571</t>
  </si>
  <si>
    <t>4506289169</t>
  </si>
  <si>
    <t>1700657572</t>
  </si>
  <si>
    <t>4506387437</t>
  </si>
  <si>
    <t>1700657573</t>
  </si>
  <si>
    <t>4506382427</t>
  </si>
  <si>
    <t>1700657574</t>
  </si>
  <si>
    <t>4506347678</t>
  </si>
  <si>
    <t>1700657575</t>
  </si>
  <si>
    <t>4501775543</t>
  </si>
  <si>
    <t>1700657576</t>
  </si>
  <si>
    <t>1700657577</t>
  </si>
  <si>
    <t>4506382057</t>
  </si>
  <si>
    <t>1700657578</t>
  </si>
  <si>
    <t>4506562339</t>
  </si>
  <si>
    <t>1700657579</t>
  </si>
  <si>
    <t>1700657580</t>
  </si>
  <si>
    <t>INV386057CC</t>
  </si>
  <si>
    <t>1700657870</t>
  </si>
  <si>
    <t>1700657871</t>
  </si>
  <si>
    <t>1700657872</t>
  </si>
  <si>
    <t>1700657873</t>
  </si>
  <si>
    <t>1700657875</t>
  </si>
  <si>
    <t>1700657876</t>
  </si>
  <si>
    <t>1700657877</t>
  </si>
  <si>
    <t>1700657878</t>
  </si>
  <si>
    <t>1700657879</t>
  </si>
  <si>
    <t>1700657880</t>
  </si>
  <si>
    <t>1700657881</t>
  </si>
  <si>
    <t>1700657882</t>
  </si>
  <si>
    <t>1700657883</t>
  </si>
  <si>
    <t>1700657884</t>
  </si>
  <si>
    <t>1700657885</t>
  </si>
  <si>
    <t>1700657886</t>
  </si>
  <si>
    <t>1700657887</t>
  </si>
  <si>
    <t>1700657888</t>
  </si>
  <si>
    <t>1700657889</t>
  </si>
  <si>
    <t>1700657890</t>
  </si>
  <si>
    <t>1700657891</t>
  </si>
  <si>
    <t>1700657892</t>
  </si>
  <si>
    <t>1700657893</t>
  </si>
  <si>
    <t>1700657894</t>
  </si>
  <si>
    <t>4502751617</t>
  </si>
  <si>
    <t>1700657606</t>
  </si>
  <si>
    <t>4503704006</t>
  </si>
  <si>
    <t>1700657607</t>
  </si>
  <si>
    <t>4504538347</t>
  </si>
  <si>
    <t>1700657608</t>
  </si>
  <si>
    <t>4503213547</t>
  </si>
  <si>
    <t>1700657609</t>
  </si>
  <si>
    <t>4504142070</t>
  </si>
  <si>
    <t>1700657610</t>
  </si>
  <si>
    <t>4504221674</t>
  </si>
  <si>
    <t>1700657611</t>
  </si>
  <si>
    <t>4504478148</t>
  </si>
  <si>
    <t>1700657612</t>
  </si>
  <si>
    <t>4504406863</t>
  </si>
  <si>
    <t>1700657613</t>
  </si>
  <si>
    <t>4504370086</t>
  </si>
  <si>
    <t>1700657614</t>
  </si>
  <si>
    <t>4504780705</t>
  </si>
  <si>
    <t>1700657615</t>
  </si>
  <si>
    <t>4504751447</t>
  </si>
  <si>
    <t>1700657616</t>
  </si>
  <si>
    <t>1700657618</t>
  </si>
  <si>
    <t>1700657735</t>
  </si>
  <si>
    <t>1700657859</t>
  </si>
  <si>
    <t>1700657860</t>
  </si>
  <si>
    <t>1700657861</t>
  </si>
  <si>
    <t>1700657862</t>
  </si>
  <si>
    <t>1700657863</t>
  </si>
  <si>
    <t>1700657864</t>
  </si>
  <si>
    <t>1700657865</t>
  </si>
  <si>
    <t>1700657866</t>
  </si>
  <si>
    <t>1700657867</t>
  </si>
  <si>
    <t>1700657868</t>
  </si>
  <si>
    <t>1700657869</t>
  </si>
  <si>
    <t>ADV389150</t>
  </si>
  <si>
    <t>EXFU 441462-6</t>
  </si>
  <si>
    <t>EXSZ 903728-9</t>
  </si>
  <si>
    <t>INV387965</t>
  </si>
  <si>
    <t>INV387989</t>
  </si>
  <si>
    <t>INV387968</t>
  </si>
  <si>
    <t>INV387981</t>
  </si>
  <si>
    <t>INV387986</t>
  </si>
  <si>
    <t>INV387972</t>
  </si>
  <si>
    <t>INV387974</t>
  </si>
  <si>
    <t>INV387993</t>
  </si>
  <si>
    <t>INV387973</t>
  </si>
  <si>
    <t>D668</t>
  </si>
  <si>
    <t>INV387991</t>
  </si>
  <si>
    <t>Invoice DRV</t>
  </si>
  <si>
    <t>INV389548</t>
  </si>
  <si>
    <t>RPR387697</t>
  </si>
  <si>
    <t>EXFU 051376-5</t>
  </si>
  <si>
    <t>RPR387698</t>
  </si>
  <si>
    <t>QL</t>
  </si>
  <si>
    <t>EXFU 051868-5</t>
  </si>
  <si>
    <t>RPR387699</t>
  </si>
  <si>
    <t>QM</t>
  </si>
  <si>
    <t>TPMU 629002-8</t>
  </si>
  <si>
    <t>RPR387700</t>
  </si>
  <si>
    <t>QN</t>
  </si>
  <si>
    <t>TPMU 629001-2</t>
  </si>
  <si>
    <t>RPR387701</t>
  </si>
  <si>
    <t>QO</t>
  </si>
  <si>
    <t>TPMU 629000-7</t>
  </si>
  <si>
    <t>RPR387821</t>
  </si>
  <si>
    <t>QP</t>
  </si>
  <si>
    <t>EXFU 051445-8</t>
  </si>
  <si>
    <t>RPR387901</t>
  </si>
  <si>
    <t>QR</t>
  </si>
  <si>
    <t>EXFU 051846-9</t>
  </si>
  <si>
    <t>INV387978</t>
  </si>
  <si>
    <t>Waiting to be sent</t>
  </si>
  <si>
    <t>INV387990</t>
  </si>
  <si>
    <t>INV387967</t>
  </si>
  <si>
    <t>INV387971</t>
  </si>
  <si>
    <t>INV389136</t>
  </si>
  <si>
    <t>INV387994</t>
  </si>
  <si>
    <t>ADV389318</t>
  </si>
  <si>
    <t>INV387992</t>
  </si>
  <si>
    <t>ADV389162</t>
  </si>
  <si>
    <t>ADV389163</t>
  </si>
  <si>
    <t>ADV389545</t>
  </si>
  <si>
    <t>13808000688918</t>
  </si>
  <si>
    <t>ADV387250CC</t>
  </si>
  <si>
    <t>1700089744</t>
  </si>
  <si>
    <t>1700089743</t>
  </si>
  <si>
    <t>1700089742</t>
  </si>
  <si>
    <t>1700089741</t>
  </si>
  <si>
    <t>1700089740</t>
  </si>
  <si>
    <t>1700089739</t>
  </si>
  <si>
    <t>1700089738</t>
  </si>
  <si>
    <t>1700089737</t>
  </si>
  <si>
    <t>1700089736</t>
  </si>
  <si>
    <t>1700089735</t>
  </si>
  <si>
    <t>1700089734</t>
  </si>
  <si>
    <t>1700089733</t>
  </si>
  <si>
    <t>1700089732</t>
  </si>
  <si>
    <t>1700089731</t>
  </si>
  <si>
    <t>1700089730</t>
  </si>
  <si>
    <t>1700089729</t>
  </si>
  <si>
    <t>1700089728</t>
  </si>
  <si>
    <t>1700089727</t>
  </si>
  <si>
    <t>1700089726</t>
  </si>
  <si>
    <t>1700089725</t>
  </si>
  <si>
    <t>1700089724</t>
  </si>
  <si>
    <t>1700089723</t>
  </si>
  <si>
    <t>1700089722</t>
  </si>
  <si>
    <t>1700089721</t>
  </si>
  <si>
    <t>1700089720</t>
  </si>
  <si>
    <t>1700089719</t>
  </si>
  <si>
    <t>1700089718</t>
  </si>
  <si>
    <t>1700089717</t>
  </si>
  <si>
    <t>1700089716</t>
  </si>
  <si>
    <t>1700089715</t>
  </si>
  <si>
    <t>1700089713</t>
  </si>
  <si>
    <t>1700089712</t>
  </si>
  <si>
    <t>1700089711</t>
  </si>
  <si>
    <t>1700089710</t>
  </si>
  <si>
    <t>1700089709</t>
  </si>
  <si>
    <t>1700089708</t>
  </si>
  <si>
    <t>1700089707</t>
  </si>
  <si>
    <t>1700089706</t>
  </si>
  <si>
    <t>1700089705</t>
  </si>
  <si>
    <t>1700089704</t>
  </si>
  <si>
    <t>1700089703</t>
  </si>
  <si>
    <t>1700089800</t>
  </si>
  <si>
    <t>1700089784</t>
  </si>
  <si>
    <t>1700089783</t>
  </si>
  <si>
    <t>1700089782</t>
  </si>
  <si>
    <t>1700089781</t>
  </si>
  <si>
    <t>1700089780</t>
  </si>
  <si>
    <t>1700089779</t>
  </si>
  <si>
    <t>1700089778</t>
  </si>
  <si>
    <t>1700089777</t>
  </si>
  <si>
    <t>1700089776</t>
  </si>
  <si>
    <t>1700089775</t>
  </si>
  <si>
    <t>1700089774</t>
  </si>
  <si>
    <t>1700089773</t>
  </si>
  <si>
    <t>1700089772</t>
  </si>
  <si>
    <t>1700089771</t>
  </si>
  <si>
    <t>1700089770</t>
  </si>
  <si>
    <t>1700089769</t>
  </si>
  <si>
    <t>1700089768</t>
  </si>
  <si>
    <t>1700089767</t>
  </si>
  <si>
    <t>1700089766</t>
  </si>
  <si>
    <t>1700089765</t>
  </si>
  <si>
    <t>1700089764</t>
  </si>
  <si>
    <t>1700089763</t>
  </si>
  <si>
    <t>1700089762</t>
  </si>
  <si>
    <t>1700089761</t>
  </si>
  <si>
    <t>1700089760</t>
  </si>
  <si>
    <t>1700089759</t>
  </si>
  <si>
    <t>1700089758</t>
  </si>
  <si>
    <t>1700089757</t>
  </si>
  <si>
    <t>1700089756</t>
  </si>
  <si>
    <t>1700089755</t>
  </si>
  <si>
    <t>1700089754</t>
  </si>
  <si>
    <t>1700089753</t>
  </si>
  <si>
    <t>1700089752</t>
  </si>
  <si>
    <t>1700089751</t>
  </si>
  <si>
    <t>1700089750</t>
  </si>
  <si>
    <t>1700089749</t>
  </si>
  <si>
    <t>1700089748</t>
  </si>
  <si>
    <t>1700089747</t>
  </si>
  <si>
    <t>1700089746</t>
  </si>
  <si>
    <t>1700089745</t>
  </si>
  <si>
    <t>1700089661</t>
  </si>
  <si>
    <t>1700089660</t>
  </si>
  <si>
    <t>1700089659</t>
  </si>
  <si>
    <t>1700089658</t>
  </si>
  <si>
    <t>1700089657</t>
  </si>
  <si>
    <t>1700089656</t>
  </si>
  <si>
    <t>1700089655</t>
  </si>
  <si>
    <t>1700089654</t>
  </si>
  <si>
    <t>1700089653</t>
  </si>
  <si>
    <t>1700089652</t>
  </si>
  <si>
    <t>1700089651</t>
  </si>
  <si>
    <t>1700089650</t>
  </si>
  <si>
    <t>1700089649</t>
  </si>
  <si>
    <t>1700089648</t>
  </si>
  <si>
    <t>1700089647</t>
  </si>
  <si>
    <t>1700089646</t>
  </si>
  <si>
    <t>1700089645</t>
  </si>
  <si>
    <t>1700089644</t>
  </si>
  <si>
    <t>1700089643</t>
  </si>
  <si>
    <t>1700089642</t>
  </si>
  <si>
    <t>1700089641</t>
  </si>
  <si>
    <t>1700089640</t>
  </si>
  <si>
    <t>1700089639</t>
  </si>
  <si>
    <t>INV386050CC</t>
  </si>
  <si>
    <t>1700089632</t>
  </si>
  <si>
    <t>1700089631</t>
  </si>
  <si>
    <t>1700089630</t>
  </si>
  <si>
    <t>1700089629</t>
  </si>
  <si>
    <t>1700089628</t>
  </si>
  <si>
    <t>1700089627</t>
  </si>
  <si>
    <t>1700089626</t>
  </si>
  <si>
    <t>1700089625</t>
  </si>
  <si>
    <t>1700089624</t>
  </si>
  <si>
    <t>1700089623</t>
  </si>
  <si>
    <t>1700089622</t>
  </si>
  <si>
    <t>1700089621</t>
  </si>
  <si>
    <t>1700089620</t>
  </si>
  <si>
    <t>1700089618</t>
  </si>
  <si>
    <t>1700089617</t>
  </si>
  <si>
    <t>1700089616</t>
  </si>
  <si>
    <t>1700089615</t>
  </si>
  <si>
    <t>1700089614</t>
  </si>
  <si>
    <t>1700089702</t>
  </si>
  <si>
    <t>1700089701</t>
  </si>
  <si>
    <t>1700089700</t>
  </si>
  <si>
    <t>1700089699</t>
  </si>
  <si>
    <t>1700089698</t>
  </si>
  <si>
    <t>1700089697</t>
  </si>
  <si>
    <t>1700089696</t>
  </si>
  <si>
    <t>1700089695</t>
  </si>
  <si>
    <t>1700089694</t>
  </si>
  <si>
    <t>1700089693</t>
  </si>
  <si>
    <t>1700089692</t>
  </si>
  <si>
    <t>1700089691</t>
  </si>
  <si>
    <t>1700089690</t>
  </si>
  <si>
    <t>1700089689</t>
  </si>
  <si>
    <t>1700089688</t>
  </si>
  <si>
    <t>1700089687</t>
  </si>
  <si>
    <t>1700089686</t>
  </si>
  <si>
    <t>1700089685</t>
  </si>
  <si>
    <t>1700089684</t>
  </si>
  <si>
    <t>1700089683</t>
  </si>
  <si>
    <t>1700089682</t>
  </si>
  <si>
    <t>1700089681</t>
  </si>
  <si>
    <t>1700089680</t>
  </si>
  <si>
    <t>1700089679</t>
  </si>
  <si>
    <t>1700089678</t>
  </si>
  <si>
    <t>1700089677</t>
  </si>
  <si>
    <t>1700089676</t>
  </si>
  <si>
    <t>1700089675</t>
  </si>
  <si>
    <t>1700089674</t>
  </si>
  <si>
    <t>1700089673</t>
  </si>
  <si>
    <t>1700089672</t>
  </si>
  <si>
    <t>1700089671</t>
  </si>
  <si>
    <t>1700089670</t>
  </si>
  <si>
    <t>1700089669</t>
  </si>
  <si>
    <t>1700089668</t>
  </si>
  <si>
    <t>1700089667</t>
  </si>
  <si>
    <t>1700089666</t>
  </si>
  <si>
    <t>1700089665</t>
  </si>
  <si>
    <t>1700089664</t>
  </si>
  <si>
    <t>1700089663</t>
  </si>
  <si>
    <t>1700089662</t>
  </si>
  <si>
    <t xml:space="preserve">INVNUMBER </t>
  </si>
  <si>
    <t>DOCDATE</t>
  </si>
  <si>
    <t>4700681102</t>
  </si>
  <si>
    <t>INV382403PO</t>
  </si>
  <si>
    <t>4300021652</t>
  </si>
  <si>
    <t>Dow International</t>
  </si>
  <si>
    <t>INV378726PO</t>
  </si>
  <si>
    <t>INV380543PO</t>
  </si>
  <si>
    <t>4380323209</t>
  </si>
  <si>
    <t>INV387968PO</t>
  </si>
  <si>
    <t>4380326608</t>
  </si>
  <si>
    <t>13808000706963</t>
  </si>
  <si>
    <t>INV387973CC</t>
  </si>
  <si>
    <t>1700136106</t>
  </si>
  <si>
    <t>1700136107</t>
  </si>
  <si>
    <t>1700136108</t>
  </si>
  <si>
    <t>1700136109</t>
  </si>
  <si>
    <t>1700136110</t>
  </si>
  <si>
    <t>1700136111</t>
  </si>
  <si>
    <t>1700136112</t>
  </si>
  <si>
    <t>1700136113</t>
  </si>
  <si>
    <t>1700136114</t>
  </si>
  <si>
    <t>1700136115</t>
  </si>
  <si>
    <t>1700136116</t>
  </si>
  <si>
    <t>1700136117</t>
  </si>
  <si>
    <t>1700136118</t>
  </si>
  <si>
    <t>1700136119</t>
  </si>
  <si>
    <t>1700136120</t>
  </si>
  <si>
    <t>INV389548CC</t>
  </si>
  <si>
    <t>1700136121</t>
  </si>
  <si>
    <t>1700136122</t>
  </si>
  <si>
    <t>1700136123</t>
  </si>
  <si>
    <t>1700136124</t>
  </si>
  <si>
    <t>1700136125</t>
  </si>
  <si>
    <t>1700136126</t>
  </si>
  <si>
    <t>1700136127</t>
  </si>
  <si>
    <t>1700136128</t>
  </si>
  <si>
    <t>1700136129</t>
  </si>
  <si>
    <t>1700136130</t>
  </si>
  <si>
    <t>1700136131</t>
  </si>
  <si>
    <t>RPR387700CC</t>
  </si>
  <si>
    <t>1700136132</t>
  </si>
  <si>
    <t>RPR387701CC</t>
  </si>
  <si>
    <t>1700136133</t>
  </si>
  <si>
    <t>RPR387699CC</t>
  </si>
  <si>
    <t>1700136134</t>
  </si>
  <si>
    <t>4380326616</t>
  </si>
  <si>
    <t>1700136301</t>
  </si>
  <si>
    <t>1700136303</t>
  </si>
  <si>
    <t>1700136304</t>
  </si>
  <si>
    <t>1700136305</t>
  </si>
  <si>
    <t>1700136306</t>
  </si>
  <si>
    <t>1700136105</t>
  </si>
  <si>
    <t>4380323855</t>
  </si>
  <si>
    <t>1700136070</t>
  </si>
  <si>
    <t>4380323842</t>
  </si>
  <si>
    <t>1700136071</t>
  </si>
  <si>
    <t>4380323852</t>
  </si>
  <si>
    <t>1700136072</t>
  </si>
  <si>
    <t>4380323210</t>
  </si>
  <si>
    <t>1700136073</t>
  </si>
  <si>
    <t>1700136074</t>
  </si>
  <si>
    <t>4380323862</t>
  </si>
  <si>
    <t>1700136075</t>
  </si>
  <si>
    <t>4380323859</t>
  </si>
  <si>
    <t>1700136076</t>
  </si>
  <si>
    <t>4380323860</t>
  </si>
  <si>
    <t>1700136077</t>
  </si>
  <si>
    <t>4380323861</t>
  </si>
  <si>
    <t>1700136078</t>
  </si>
  <si>
    <t>4380323858</t>
  </si>
  <si>
    <t>1700136079</t>
  </si>
  <si>
    <t>4380323865</t>
  </si>
  <si>
    <t>1700136080</t>
  </si>
  <si>
    <t>4380323881</t>
  </si>
  <si>
    <t>1700136081</t>
  </si>
  <si>
    <t>4380323864</t>
  </si>
  <si>
    <t>1700136082</t>
  </si>
  <si>
    <t>4380323863</t>
  </si>
  <si>
    <t>1700136083</t>
  </si>
  <si>
    <t>4380323867</t>
  </si>
  <si>
    <t>1700136084</t>
  </si>
  <si>
    <t>4380326207</t>
  </si>
  <si>
    <t>1700136085</t>
  </si>
  <si>
    <t>4380323887</t>
  </si>
  <si>
    <t>1700136086</t>
  </si>
  <si>
    <t>4380326354</t>
  </si>
  <si>
    <t>1700136087</t>
  </si>
  <si>
    <t>4380326353</t>
  </si>
  <si>
    <t>1700136088</t>
  </si>
  <si>
    <t>4380323875</t>
  </si>
  <si>
    <t>1700136089</t>
  </si>
  <si>
    <t>4380326359</t>
  </si>
  <si>
    <t>1700136090</t>
  </si>
  <si>
    <t>INV387978CC</t>
  </si>
  <si>
    <t>1700136092</t>
  </si>
  <si>
    <t>1700136093</t>
  </si>
  <si>
    <t>1700136094</t>
  </si>
  <si>
    <t>1700136095</t>
  </si>
  <si>
    <t>1700136096</t>
  </si>
  <si>
    <t>1700136097</t>
  </si>
  <si>
    <t>1700136098</t>
  </si>
  <si>
    <t>1700136099</t>
  </si>
  <si>
    <t>1700136100</t>
  </si>
  <si>
    <t>1700136101</t>
  </si>
  <si>
    <t>DRV387732CC</t>
  </si>
  <si>
    <t>1700136102</t>
  </si>
  <si>
    <t>1700136103</t>
  </si>
  <si>
    <t>1700136104</t>
  </si>
  <si>
    <t>13808000706964</t>
  </si>
  <si>
    <t>1700152782</t>
  </si>
  <si>
    <t>1700152783</t>
  </si>
  <si>
    <t>1700152784</t>
  </si>
  <si>
    <t>1700152785</t>
  </si>
  <si>
    <t>1700152786</t>
  </si>
  <si>
    <t>1700152787</t>
  </si>
  <si>
    <t>1700152788</t>
  </si>
  <si>
    <t>1700152789</t>
  </si>
  <si>
    <t>1700152790</t>
  </si>
  <si>
    <t>1700152791</t>
  </si>
  <si>
    <t>1700152792</t>
  </si>
  <si>
    <t>1700152793</t>
  </si>
  <si>
    <t>1700152794</t>
  </si>
  <si>
    <t>1700152795</t>
  </si>
  <si>
    <t>1700152796</t>
  </si>
  <si>
    <t>1700152797</t>
  </si>
  <si>
    <t>1700152798</t>
  </si>
  <si>
    <t>1700152799</t>
  </si>
  <si>
    <t>1700152800</t>
  </si>
  <si>
    <t>1700152801</t>
  </si>
  <si>
    <t>1700152802</t>
  </si>
  <si>
    <t>1700152803</t>
  </si>
  <si>
    <t>1700152804</t>
  </si>
  <si>
    <t>1700152805</t>
  </si>
  <si>
    <t>1700152806</t>
  </si>
  <si>
    <t>1700152807</t>
  </si>
  <si>
    <t>INV387991CC</t>
  </si>
  <si>
    <t>1700152808</t>
  </si>
  <si>
    <t>1700152809</t>
  </si>
  <si>
    <t>1700152810</t>
  </si>
  <si>
    <t>1700152811</t>
  </si>
  <si>
    <t>1700152812</t>
  </si>
  <si>
    <t>1700152813</t>
  </si>
  <si>
    <t>1700152814</t>
  </si>
  <si>
    <t>1700152815</t>
  </si>
  <si>
    <t>1700152816</t>
  </si>
  <si>
    <t>1700152817</t>
  </si>
  <si>
    <t>1700152818</t>
  </si>
  <si>
    <t>1700153027</t>
  </si>
  <si>
    <t>1700153028</t>
  </si>
  <si>
    <t>1700153029</t>
  </si>
  <si>
    <t>1700153030</t>
  </si>
  <si>
    <t>1700153031</t>
  </si>
  <si>
    <t>1700152781</t>
  </si>
  <si>
    <t>INV387981DC</t>
  </si>
  <si>
    <t>1700152738</t>
  </si>
  <si>
    <t>1700152739</t>
  </si>
  <si>
    <t>1700152740</t>
  </si>
  <si>
    <t>1700152741</t>
  </si>
  <si>
    <t>1700152742</t>
  </si>
  <si>
    <t>1700152743</t>
  </si>
  <si>
    <t>1700152744</t>
  </si>
  <si>
    <t>1700152745</t>
  </si>
  <si>
    <t>1700152746</t>
  </si>
  <si>
    <t>1700152747</t>
  </si>
  <si>
    <t>1700152748</t>
  </si>
  <si>
    <t>1700152749</t>
  </si>
  <si>
    <t>1700152751</t>
  </si>
  <si>
    <t>1700152752</t>
  </si>
  <si>
    <t>1700152753</t>
  </si>
  <si>
    <t>1700152754</t>
  </si>
  <si>
    <t>1700152755</t>
  </si>
  <si>
    <t>1700152756</t>
  </si>
  <si>
    <t>1700152757</t>
  </si>
  <si>
    <t>1700152758</t>
  </si>
  <si>
    <t>1700152759</t>
  </si>
  <si>
    <t>1700152760</t>
  </si>
  <si>
    <t>1700152761</t>
  </si>
  <si>
    <t>1700152762</t>
  </si>
  <si>
    <t>1700152763</t>
  </si>
  <si>
    <t>1700152764</t>
  </si>
  <si>
    <t>1700152765</t>
  </si>
  <si>
    <t>1700152766</t>
  </si>
  <si>
    <t>1700152767</t>
  </si>
  <si>
    <t>1700152768</t>
  </si>
  <si>
    <t>1700152769</t>
  </si>
  <si>
    <t>1700152770</t>
  </si>
  <si>
    <t>1700152771</t>
  </si>
  <si>
    <t>1700152772</t>
  </si>
  <si>
    <t>1700152773</t>
  </si>
  <si>
    <t>1700152774</t>
  </si>
  <si>
    <t>1700152775</t>
  </si>
  <si>
    <t>1700152776</t>
  </si>
  <si>
    <t>1700152777</t>
  </si>
  <si>
    <t>1700152778</t>
  </si>
  <si>
    <t>1700152779</t>
  </si>
  <si>
    <t>1700152780</t>
  </si>
  <si>
    <t>13808000706965</t>
  </si>
  <si>
    <t>1700698887</t>
  </si>
  <si>
    <t>1700698886</t>
  </si>
  <si>
    <t>1700698888</t>
  </si>
  <si>
    <t>1700698889</t>
  </si>
  <si>
    <t>1700698885</t>
  </si>
  <si>
    <t>1700698884</t>
  </si>
  <si>
    <t>1700698883</t>
  </si>
  <si>
    <t>1700698882</t>
  </si>
  <si>
    <t>1700698881</t>
  </si>
  <si>
    <t>1700698890</t>
  </si>
  <si>
    <t>1700698891</t>
  </si>
  <si>
    <t>1700698892</t>
  </si>
  <si>
    <t>1700698893</t>
  </si>
  <si>
    <t>1700698894</t>
  </si>
  <si>
    <t>1700698895</t>
  </si>
  <si>
    <t>1700698896</t>
  </si>
  <si>
    <t>1700698897</t>
  </si>
  <si>
    <t>1700698898</t>
  </si>
  <si>
    <t>1700698880</t>
  </si>
  <si>
    <t>1700698879</t>
  </si>
  <si>
    <t>1700698878</t>
  </si>
  <si>
    <t>1700698877</t>
  </si>
  <si>
    <t>1700698876</t>
  </si>
  <si>
    <t>1700698875</t>
  </si>
  <si>
    <t>1700698874</t>
  </si>
  <si>
    <t>1700698873</t>
  </si>
  <si>
    <t>1700698872</t>
  </si>
  <si>
    <t>1700698871</t>
  </si>
  <si>
    <t>1700698870</t>
  </si>
  <si>
    <t>1700698869</t>
  </si>
  <si>
    <t>1700698868</t>
  </si>
  <si>
    <t>1700698867</t>
  </si>
  <si>
    <t>1700698866</t>
  </si>
  <si>
    <t>1700698865</t>
  </si>
  <si>
    <t>1700698864</t>
  </si>
  <si>
    <t>1700698863</t>
  </si>
  <si>
    <t>1700698936</t>
  </si>
  <si>
    <t>1700698935</t>
  </si>
  <si>
    <t>1700698934</t>
  </si>
  <si>
    <t>1700698933</t>
  </si>
  <si>
    <t>1700698932</t>
  </si>
  <si>
    <t>1700698931</t>
  </si>
  <si>
    <t>1700698930</t>
  </si>
  <si>
    <t>1700698929</t>
  </si>
  <si>
    <t>1700698928</t>
  </si>
  <si>
    <t>1700698927</t>
  </si>
  <si>
    <t>1700698926</t>
  </si>
  <si>
    <t>1700698925</t>
  </si>
  <si>
    <t>1700698924</t>
  </si>
  <si>
    <t>1700698923</t>
  </si>
  <si>
    <t>1700698922</t>
  </si>
  <si>
    <t>1700698921</t>
  </si>
  <si>
    <t>1700698920</t>
  </si>
  <si>
    <t>1700698919</t>
  </si>
  <si>
    <t>1700698918</t>
  </si>
  <si>
    <t>1700698917</t>
  </si>
  <si>
    <t>1700698915</t>
  </si>
  <si>
    <t>1700698914</t>
  </si>
  <si>
    <t>1700698912</t>
  </si>
  <si>
    <t>1700698911</t>
  </si>
  <si>
    <t>1700698910</t>
  </si>
  <si>
    <t>1700698909</t>
  </si>
  <si>
    <t>1700698908</t>
  </si>
  <si>
    <t>1700698907</t>
  </si>
  <si>
    <t>1700698906</t>
  </si>
  <si>
    <t>1700698905</t>
  </si>
  <si>
    <t>1700698904</t>
  </si>
  <si>
    <t>1700698903</t>
  </si>
  <si>
    <t>1700698902</t>
  </si>
  <si>
    <t>1700698901</t>
  </si>
  <si>
    <t>1700698900</t>
  </si>
  <si>
    <t>1700698899</t>
  </si>
  <si>
    <t>1700698862</t>
  </si>
  <si>
    <t>1700698825</t>
  </si>
  <si>
    <t>1700698824</t>
  </si>
  <si>
    <t>1700698823</t>
  </si>
  <si>
    <t>1700698822</t>
  </si>
  <si>
    <t>1700698821</t>
  </si>
  <si>
    <t>1700698820</t>
  </si>
  <si>
    <t>1700698819</t>
  </si>
  <si>
    <t>1700698818</t>
  </si>
  <si>
    <t>1700698817</t>
  </si>
  <si>
    <t>1700698816</t>
  </si>
  <si>
    <t>1700698815</t>
  </si>
  <si>
    <t>1700698814</t>
  </si>
  <si>
    <t>1700698813</t>
  </si>
  <si>
    <t>1700698812</t>
  </si>
  <si>
    <t>1700698811</t>
  </si>
  <si>
    <t>1700698810</t>
  </si>
  <si>
    <t>1700698809</t>
  </si>
  <si>
    <t>1700698808</t>
  </si>
  <si>
    <t>1700698807</t>
  </si>
  <si>
    <t>1700698806</t>
  </si>
  <si>
    <t>1700698805</t>
  </si>
  <si>
    <t>1700698804</t>
  </si>
  <si>
    <t>1700698803</t>
  </si>
  <si>
    <t>1700698802</t>
  </si>
  <si>
    <t>1700698801</t>
  </si>
  <si>
    <t>1700698800</t>
  </si>
  <si>
    <t>1700698799</t>
  </si>
  <si>
    <t>1700698798</t>
  </si>
  <si>
    <t>1700698797</t>
  </si>
  <si>
    <t>1700698796</t>
  </si>
  <si>
    <t>1700698795</t>
  </si>
  <si>
    <t>1700698794</t>
  </si>
  <si>
    <t>1700698793</t>
  </si>
  <si>
    <t>1700698792</t>
  </si>
  <si>
    <t>1700698791</t>
  </si>
  <si>
    <t>1700698790</t>
  </si>
  <si>
    <t>1700698861</t>
  </si>
  <si>
    <t>1700698860</t>
  </si>
  <si>
    <t>1700698859</t>
  </si>
  <si>
    <t>1700698858</t>
  </si>
  <si>
    <t>1700698857</t>
  </si>
  <si>
    <t>1700698856</t>
  </si>
  <si>
    <t>1700698855</t>
  </si>
  <si>
    <t>1700698854</t>
  </si>
  <si>
    <t>1700698853</t>
  </si>
  <si>
    <t>1700698852</t>
  </si>
  <si>
    <t>1700698851</t>
  </si>
  <si>
    <t>1700698850</t>
  </si>
  <si>
    <t>1700698849</t>
  </si>
  <si>
    <t>1700698848</t>
  </si>
  <si>
    <t>1700698847</t>
  </si>
  <si>
    <t>1700698846</t>
  </si>
  <si>
    <t>1700698845</t>
  </si>
  <si>
    <t>1700698844</t>
  </si>
  <si>
    <t>1700698843</t>
  </si>
  <si>
    <t>1700698842</t>
  </si>
  <si>
    <t>1700698841</t>
  </si>
  <si>
    <t>1700698840</t>
  </si>
  <si>
    <t>1700698839</t>
  </si>
  <si>
    <t>1700698838</t>
  </si>
  <si>
    <t>1700698837</t>
  </si>
  <si>
    <t>1700698836</t>
  </si>
  <si>
    <t>1700698835</t>
  </si>
  <si>
    <t>1700698834</t>
  </si>
  <si>
    <t>1700698833</t>
  </si>
  <si>
    <t>1700698832</t>
  </si>
  <si>
    <t>1700698831</t>
  </si>
  <si>
    <t>1700698830</t>
  </si>
  <si>
    <t>1700698829</t>
  </si>
  <si>
    <t>1700698828</t>
  </si>
  <si>
    <t>1700698827</t>
  </si>
  <si>
    <t>1700698826</t>
  </si>
  <si>
    <t>1700698937</t>
  </si>
  <si>
    <t>1700699046</t>
  </si>
  <si>
    <t>1700699045</t>
  </si>
  <si>
    <t>1700699044</t>
  </si>
  <si>
    <t>1700699043</t>
  </si>
  <si>
    <t>1700699042</t>
  </si>
  <si>
    <t>1700699041</t>
  </si>
  <si>
    <t>1700699040</t>
  </si>
  <si>
    <t>1700699039</t>
  </si>
  <si>
    <t>1700699038</t>
  </si>
  <si>
    <t>1700699037</t>
  </si>
  <si>
    <t>1700699036</t>
  </si>
  <si>
    <t>1700699035</t>
  </si>
  <si>
    <t>1700699034</t>
  </si>
  <si>
    <t>1700699033</t>
  </si>
  <si>
    <t>1700699032</t>
  </si>
  <si>
    <t>1700699031</t>
  </si>
  <si>
    <t>1700699030</t>
  </si>
  <si>
    <t>1700699029</t>
  </si>
  <si>
    <t>1700699028</t>
  </si>
  <si>
    <t>1700699027</t>
  </si>
  <si>
    <t>1700699026</t>
  </si>
  <si>
    <t>1700699025</t>
  </si>
  <si>
    <t>1700699024</t>
  </si>
  <si>
    <t>1700699023</t>
  </si>
  <si>
    <t>1700699022</t>
  </si>
  <si>
    <t>1700699021</t>
  </si>
  <si>
    <t>1700699020</t>
  </si>
  <si>
    <t>1700699019</t>
  </si>
  <si>
    <t>1700699018</t>
  </si>
  <si>
    <t>1700699017</t>
  </si>
  <si>
    <t>1700699016</t>
  </si>
  <si>
    <t>1700699015</t>
  </si>
  <si>
    <t>1700699014</t>
  </si>
  <si>
    <t>1700699013</t>
  </si>
  <si>
    <t>1700699012</t>
  </si>
  <si>
    <t>INV387974CC</t>
  </si>
  <si>
    <t>1700699011</t>
  </si>
  <si>
    <t>1700699832</t>
  </si>
  <si>
    <t>1700699820</t>
  </si>
  <si>
    <t>1700699818</t>
  </si>
  <si>
    <t>1700699816</t>
  </si>
  <si>
    <t>1700699790</t>
  </si>
  <si>
    <t>1700699683</t>
  </si>
  <si>
    <t>1700699681</t>
  </si>
  <si>
    <t>1700699680</t>
  </si>
  <si>
    <t>1700699679</t>
  </si>
  <si>
    <t>RPR387697CC</t>
  </si>
  <si>
    <t>1700699076</t>
  </si>
  <si>
    <t>RPR387698CC</t>
  </si>
  <si>
    <t>1700699074</t>
  </si>
  <si>
    <t>1700699072</t>
  </si>
  <si>
    <t>1700699071</t>
  </si>
  <si>
    <t>1700699070</t>
  </si>
  <si>
    <t>1700699069</t>
  </si>
  <si>
    <t>1700699068</t>
  </si>
  <si>
    <t>1700699067</t>
  </si>
  <si>
    <t>1700699066</t>
  </si>
  <si>
    <t>1700699065</t>
  </si>
  <si>
    <t>1700699064</t>
  </si>
  <si>
    <t>1700699063</t>
  </si>
  <si>
    <t>1700699062</t>
  </si>
  <si>
    <t>1700699061</t>
  </si>
  <si>
    <t>1700699060</t>
  </si>
  <si>
    <t>1700699059</t>
  </si>
  <si>
    <t>1700699058</t>
  </si>
  <si>
    <t>1700699057</t>
  </si>
  <si>
    <t>1700699056</t>
  </si>
  <si>
    <t>1700699055</t>
  </si>
  <si>
    <t>1700699054</t>
  </si>
  <si>
    <t>1700699053</t>
  </si>
  <si>
    <t>1700699051</t>
  </si>
  <si>
    <t>1700699050</t>
  </si>
  <si>
    <t>1700699049</t>
  </si>
  <si>
    <t>1700699048</t>
  </si>
  <si>
    <t>1700699047</t>
  </si>
  <si>
    <t>1700699010</t>
  </si>
  <si>
    <t>1700698973</t>
  </si>
  <si>
    <t>1700698972</t>
  </si>
  <si>
    <t>1700698971</t>
  </si>
  <si>
    <t>1700698970</t>
  </si>
  <si>
    <t>1700698969</t>
  </si>
  <si>
    <t>1700698968</t>
  </si>
  <si>
    <t>1700698967</t>
  </si>
  <si>
    <t>1700698966</t>
  </si>
  <si>
    <t>1700698965</t>
  </si>
  <si>
    <t>1700698964</t>
  </si>
  <si>
    <t>1700698963</t>
  </si>
  <si>
    <t>1700698962</t>
  </si>
  <si>
    <t>1700698961</t>
  </si>
  <si>
    <t>1700698960</t>
  </si>
  <si>
    <t>1700698959</t>
  </si>
  <si>
    <t>1700698958</t>
  </si>
  <si>
    <t>1700698957</t>
  </si>
  <si>
    <t>1700698956</t>
  </si>
  <si>
    <t>1700698955</t>
  </si>
  <si>
    <t>1700698954</t>
  </si>
  <si>
    <t>1700698953</t>
  </si>
  <si>
    <t>1700698952</t>
  </si>
  <si>
    <t>1700698951</t>
  </si>
  <si>
    <t>1700698950</t>
  </si>
  <si>
    <t>1700698949</t>
  </si>
  <si>
    <t>1700698948</t>
  </si>
  <si>
    <t>1700698947</t>
  </si>
  <si>
    <t>1700698946</t>
  </si>
  <si>
    <t>1700698945</t>
  </si>
  <si>
    <t>1700698944</t>
  </si>
  <si>
    <t>1700698943</t>
  </si>
  <si>
    <t>1700698942</t>
  </si>
  <si>
    <t>1700698941</t>
  </si>
  <si>
    <t>1700698940</t>
  </si>
  <si>
    <t>1700698939</t>
  </si>
  <si>
    <t>1700698938</t>
  </si>
  <si>
    <t>1700699009</t>
  </si>
  <si>
    <t>1700699008</t>
  </si>
  <si>
    <t>1700699007</t>
  </si>
  <si>
    <t>1700699006</t>
  </si>
  <si>
    <t>1700699005</t>
  </si>
  <si>
    <t>1700699004</t>
  </si>
  <si>
    <t>1700699003</t>
  </si>
  <si>
    <t>1700699002</t>
  </si>
  <si>
    <t>1700699001</t>
  </si>
  <si>
    <t>1700699000</t>
  </si>
  <si>
    <t>1700698999</t>
  </si>
  <si>
    <t>1700698998</t>
  </si>
  <si>
    <t>1700698997</t>
  </si>
  <si>
    <t>1700698996</t>
  </si>
  <si>
    <t>1700698995</t>
  </si>
  <si>
    <t>1700698994</t>
  </si>
  <si>
    <t>1700698993</t>
  </si>
  <si>
    <t>1700698992</t>
  </si>
  <si>
    <t>1700698991</t>
  </si>
  <si>
    <t>1700698990</t>
  </si>
  <si>
    <t>1700698989</t>
  </si>
  <si>
    <t>1700698988</t>
  </si>
  <si>
    <t>1700698987</t>
  </si>
  <si>
    <t>1700698986</t>
  </si>
  <si>
    <t>1700698985</t>
  </si>
  <si>
    <t>1700698984</t>
  </si>
  <si>
    <t>1700698983</t>
  </si>
  <si>
    <t>1700698982</t>
  </si>
  <si>
    <t>1700698981</t>
  </si>
  <si>
    <t>1700698980</t>
  </si>
  <si>
    <t>1700698979</t>
  </si>
  <si>
    <t>1700698978</t>
  </si>
  <si>
    <t>1700698977</t>
  </si>
  <si>
    <t>1700698976</t>
  </si>
  <si>
    <t>1700698975</t>
  </si>
  <si>
    <t>1700698974</t>
  </si>
  <si>
    <t>1700698563</t>
  </si>
  <si>
    <t>1700698562</t>
  </si>
  <si>
    <t>1700698564</t>
  </si>
  <si>
    <t>1700698565</t>
  </si>
  <si>
    <t>1700698561</t>
  </si>
  <si>
    <t>1700698560</t>
  </si>
  <si>
    <t>1700698559</t>
  </si>
  <si>
    <t>1700698558</t>
  </si>
  <si>
    <t>1700698557</t>
  </si>
  <si>
    <t>1700698566</t>
  </si>
  <si>
    <t>1700698567</t>
  </si>
  <si>
    <t>1700698568</t>
  </si>
  <si>
    <t>1700698569</t>
  </si>
  <si>
    <t>1700698570</t>
  </si>
  <si>
    <t>1700698571</t>
  </si>
  <si>
    <t>1700698572</t>
  </si>
  <si>
    <t>1700698573</t>
  </si>
  <si>
    <t>1700698574</t>
  </si>
  <si>
    <t>1700698556</t>
  </si>
  <si>
    <t>1700698555</t>
  </si>
  <si>
    <t>1700698554</t>
  </si>
  <si>
    <t>1700698553</t>
  </si>
  <si>
    <t>1700698552</t>
  </si>
  <si>
    <t>1700698551</t>
  </si>
  <si>
    <t>1700698550</t>
  </si>
  <si>
    <t>1700698549</t>
  </si>
  <si>
    <t>1700698548</t>
  </si>
  <si>
    <t>1700698547</t>
  </si>
  <si>
    <t>1700698546</t>
  </si>
  <si>
    <t>1700698545</t>
  </si>
  <si>
    <t>1700698544</t>
  </si>
  <si>
    <t>1700698543</t>
  </si>
  <si>
    <t>1700698542</t>
  </si>
  <si>
    <t>1700698541</t>
  </si>
  <si>
    <t>1700698540</t>
  </si>
  <si>
    <t>1700698539</t>
  </si>
  <si>
    <t>1700698610</t>
  </si>
  <si>
    <t>1700698609</t>
  </si>
  <si>
    <t>1700698608</t>
  </si>
  <si>
    <t>1700698607</t>
  </si>
  <si>
    <t>1700698606</t>
  </si>
  <si>
    <t>1700698605</t>
  </si>
  <si>
    <t>1700698604</t>
  </si>
  <si>
    <t>1700698603</t>
  </si>
  <si>
    <t>1700698602</t>
  </si>
  <si>
    <t>1700698601</t>
  </si>
  <si>
    <t>1700698600</t>
  </si>
  <si>
    <t>1700698599</t>
  </si>
  <si>
    <t>1700698598</t>
  </si>
  <si>
    <t>1700698597</t>
  </si>
  <si>
    <t>1700698596</t>
  </si>
  <si>
    <t>1700698595</t>
  </si>
  <si>
    <t>1700698594</t>
  </si>
  <si>
    <t>1700698593</t>
  </si>
  <si>
    <t>1700698592</t>
  </si>
  <si>
    <t>1700698591</t>
  </si>
  <si>
    <t>1700698590</t>
  </si>
  <si>
    <t>1700698589</t>
  </si>
  <si>
    <t>1700698588</t>
  </si>
  <si>
    <t>1700698587</t>
  </si>
  <si>
    <t>1700698586</t>
  </si>
  <si>
    <t>1700698585</t>
  </si>
  <si>
    <t>1700698584</t>
  </si>
  <si>
    <t>1700698583</t>
  </si>
  <si>
    <t>1700698582</t>
  </si>
  <si>
    <t>1700698581</t>
  </si>
  <si>
    <t>1700698580</t>
  </si>
  <si>
    <t>1700698579</t>
  </si>
  <si>
    <t>1700698578</t>
  </si>
  <si>
    <t>1700698577</t>
  </si>
  <si>
    <t>1700698576</t>
  </si>
  <si>
    <t>1700698575</t>
  </si>
  <si>
    <t>1700698538</t>
  </si>
  <si>
    <t>1700698500</t>
  </si>
  <si>
    <t>1700698499</t>
  </si>
  <si>
    <t>1700698498</t>
  </si>
  <si>
    <t>1700698497</t>
  </si>
  <si>
    <t>1700698496</t>
  </si>
  <si>
    <t>1700698495</t>
  </si>
  <si>
    <t>1700698494</t>
  </si>
  <si>
    <t>1700698493</t>
  </si>
  <si>
    <t>1700698492</t>
  </si>
  <si>
    <t>1700698491</t>
  </si>
  <si>
    <t>1700698490</t>
  </si>
  <si>
    <t>1700698489</t>
  </si>
  <si>
    <t>1700698488</t>
  </si>
  <si>
    <t>1700698487</t>
  </si>
  <si>
    <t>1700698486</t>
  </si>
  <si>
    <t>1700698485</t>
  </si>
  <si>
    <t>1700698484</t>
  </si>
  <si>
    <t>1700698483</t>
  </si>
  <si>
    <t>1700698482</t>
  </si>
  <si>
    <t>1700698481</t>
  </si>
  <si>
    <t>1700698480</t>
  </si>
  <si>
    <t>1700698479</t>
  </si>
  <si>
    <t>1700698478</t>
  </si>
  <si>
    <t>1700698477</t>
  </si>
  <si>
    <t>1700698476</t>
  </si>
  <si>
    <t>1700698475</t>
  </si>
  <si>
    <t>1700698474</t>
  </si>
  <si>
    <t>1700698473</t>
  </si>
  <si>
    <t>INV387974SN</t>
  </si>
  <si>
    <t>4507332005</t>
  </si>
  <si>
    <t>1700697934</t>
  </si>
  <si>
    <t>4507213835</t>
  </si>
  <si>
    <t>1700697932</t>
  </si>
  <si>
    <t>4507086124</t>
  </si>
  <si>
    <t>1700697930</t>
  </si>
  <si>
    <t>1700697928</t>
  </si>
  <si>
    <t>4507176428</t>
  </si>
  <si>
    <t>1700697926</t>
  </si>
  <si>
    <t>4507248427</t>
  </si>
  <si>
    <t>1700697924</t>
  </si>
  <si>
    <t>1700697922</t>
  </si>
  <si>
    <t>4507078882</t>
  </si>
  <si>
    <t>1700697561</t>
  </si>
  <si>
    <t>1700698537</t>
  </si>
  <si>
    <t>1700698536</t>
  </si>
  <si>
    <t>1700698535</t>
  </si>
  <si>
    <t>1700698534</t>
  </si>
  <si>
    <t>1700698533</t>
  </si>
  <si>
    <t>1700698532</t>
  </si>
  <si>
    <t>1700698531</t>
  </si>
  <si>
    <t>1700698530</t>
  </si>
  <si>
    <t>1700698529</t>
  </si>
  <si>
    <t>1700698528</t>
  </si>
  <si>
    <t>1700698527</t>
  </si>
  <si>
    <t>1700698526</t>
  </si>
  <si>
    <t>1700698525</t>
  </si>
  <si>
    <t>1700698524</t>
  </si>
  <si>
    <t>1700698523</t>
  </si>
  <si>
    <t>1700698522</t>
  </si>
  <si>
    <t>1700698521</t>
  </si>
  <si>
    <t>1700698520</t>
  </si>
  <si>
    <t>1700698519</t>
  </si>
  <si>
    <t>1700698518</t>
  </si>
  <si>
    <t>1700698516</t>
  </si>
  <si>
    <t>1700698515</t>
  </si>
  <si>
    <t>1700698514</t>
  </si>
  <si>
    <t>1700698513</t>
  </si>
  <si>
    <t>1700698512</t>
  </si>
  <si>
    <t>1700698511</t>
  </si>
  <si>
    <t>1700698510</t>
  </si>
  <si>
    <t>1700698509</t>
  </si>
  <si>
    <t>1700698508</t>
  </si>
  <si>
    <t>1700698507</t>
  </si>
  <si>
    <t>1700698506</t>
  </si>
  <si>
    <t>1700698505</t>
  </si>
  <si>
    <t>1700698504</t>
  </si>
  <si>
    <t>1700698503</t>
  </si>
  <si>
    <t>1700698502</t>
  </si>
  <si>
    <t>1700698501</t>
  </si>
  <si>
    <t>1700698611</t>
  </si>
  <si>
    <t>1700698752</t>
  </si>
  <si>
    <t>1700698751</t>
  </si>
  <si>
    <t>1700698750</t>
  </si>
  <si>
    <t>1700698749</t>
  </si>
  <si>
    <t>1700698748</t>
  </si>
  <si>
    <t>1700698747</t>
  </si>
  <si>
    <t>1700698746</t>
  </si>
  <si>
    <t>1700698745</t>
  </si>
  <si>
    <t>1700698744</t>
  </si>
  <si>
    <t>1700698743</t>
  </si>
  <si>
    <t>1700698742</t>
  </si>
  <si>
    <t>1700698741</t>
  </si>
  <si>
    <t>1700698740</t>
  </si>
  <si>
    <t>1700698739</t>
  </si>
  <si>
    <t>1700698738</t>
  </si>
  <si>
    <t>1700698737</t>
  </si>
  <si>
    <t>1700698736</t>
  </si>
  <si>
    <t>1700698735</t>
  </si>
  <si>
    <t>1700698734</t>
  </si>
  <si>
    <t>1700698733</t>
  </si>
  <si>
    <t>1700698727</t>
  </si>
  <si>
    <t>1700698716</t>
  </si>
  <si>
    <t>1700698715</t>
  </si>
  <si>
    <t>1700698714</t>
  </si>
  <si>
    <t>1700698713</t>
  </si>
  <si>
    <t>1700698712</t>
  </si>
  <si>
    <t>1700698709</t>
  </si>
  <si>
    <t>1700698708</t>
  </si>
  <si>
    <t>1700698707</t>
  </si>
  <si>
    <t>1700698706</t>
  </si>
  <si>
    <t>1700698705</t>
  </si>
  <si>
    <t>1700698704</t>
  </si>
  <si>
    <t>1700698703</t>
  </si>
  <si>
    <t>1700698702</t>
  </si>
  <si>
    <t>1700698701</t>
  </si>
  <si>
    <t>1700698700</t>
  </si>
  <si>
    <t>1700698789</t>
  </si>
  <si>
    <t>1700698788</t>
  </si>
  <si>
    <t>1700698787</t>
  </si>
  <si>
    <t>1700698786</t>
  </si>
  <si>
    <t>1700698785</t>
  </si>
  <si>
    <t>1700698784</t>
  </si>
  <si>
    <t>1700698783</t>
  </si>
  <si>
    <t>1700698782</t>
  </si>
  <si>
    <t>1700698781</t>
  </si>
  <si>
    <t>1700698780</t>
  </si>
  <si>
    <t>1700698779</t>
  </si>
  <si>
    <t>1700698778</t>
  </si>
  <si>
    <t>1700698777</t>
  </si>
  <si>
    <t>1700698776</t>
  </si>
  <si>
    <t>1700698775</t>
  </si>
  <si>
    <t>1700698774</t>
  </si>
  <si>
    <t>1700698773</t>
  </si>
  <si>
    <t>1700698771</t>
  </si>
  <si>
    <t>1700698770</t>
  </si>
  <si>
    <t>1700698769</t>
  </si>
  <si>
    <t>1700698768</t>
  </si>
  <si>
    <t>1700698767</t>
  </si>
  <si>
    <t>1700698766</t>
  </si>
  <si>
    <t>1700698765</t>
  </si>
  <si>
    <t>1700698764</t>
  </si>
  <si>
    <t>1700698763</t>
  </si>
  <si>
    <t>1700698762</t>
  </si>
  <si>
    <t>1700698761</t>
  </si>
  <si>
    <t>1700698760</t>
  </si>
  <si>
    <t>1700698759</t>
  </si>
  <si>
    <t>1700698758</t>
  </si>
  <si>
    <t>1700698757</t>
  </si>
  <si>
    <t>1700698756</t>
  </si>
  <si>
    <t>1700698755</t>
  </si>
  <si>
    <t>1700698754</t>
  </si>
  <si>
    <t>1700698753</t>
  </si>
  <si>
    <t>1700698699</t>
  </si>
  <si>
    <t>1700698648</t>
  </si>
  <si>
    <t>1700698647</t>
  </si>
  <si>
    <t>1700698646</t>
  </si>
  <si>
    <t>1700698645</t>
  </si>
  <si>
    <t>1700698644</t>
  </si>
  <si>
    <t>1700698643</t>
  </si>
  <si>
    <t>1700698642</t>
  </si>
  <si>
    <t>1700698641</t>
  </si>
  <si>
    <t>1700698640</t>
  </si>
  <si>
    <t>1700698639</t>
  </si>
  <si>
    <t>1700698638</t>
  </si>
  <si>
    <t>1700698637</t>
  </si>
  <si>
    <t>1700698636</t>
  </si>
  <si>
    <t>1700698635</t>
  </si>
  <si>
    <t>1700698634</t>
  </si>
  <si>
    <t>1700698633</t>
  </si>
  <si>
    <t>1700698632</t>
  </si>
  <si>
    <t>1700698631</t>
  </si>
  <si>
    <t>1700698630</t>
  </si>
  <si>
    <t>1700698629</t>
  </si>
  <si>
    <t>1700698628</t>
  </si>
  <si>
    <t>1700698626</t>
  </si>
  <si>
    <t>1700698625</t>
  </si>
  <si>
    <t>1700698624</t>
  </si>
  <si>
    <t>1700698623</t>
  </si>
  <si>
    <t>1700698622</t>
  </si>
  <si>
    <t>1700698621</t>
  </si>
  <si>
    <t>1700698620</t>
  </si>
  <si>
    <t>1700698619</t>
  </si>
  <si>
    <t>1700698618</t>
  </si>
  <si>
    <t>1700698617</t>
  </si>
  <si>
    <t>1700698616</t>
  </si>
  <si>
    <t>1700698615</t>
  </si>
  <si>
    <t>1700698614</t>
  </si>
  <si>
    <t>1700698613</t>
  </si>
  <si>
    <t>1700698612</t>
  </si>
  <si>
    <t>1700698698</t>
  </si>
  <si>
    <t>1700698697</t>
  </si>
  <si>
    <t>1700698696</t>
  </si>
  <si>
    <t>1700698695</t>
  </si>
  <si>
    <t>1700698694</t>
  </si>
  <si>
    <t>1700698693</t>
  </si>
  <si>
    <t>1700698692</t>
  </si>
  <si>
    <t>1700698691</t>
  </si>
  <si>
    <t>1700698690</t>
  </si>
  <si>
    <t>1700698689</t>
  </si>
  <si>
    <t>1700698688</t>
  </si>
  <si>
    <t>1700698687</t>
  </si>
  <si>
    <t>1700698686</t>
  </si>
  <si>
    <t>1700698685</t>
  </si>
  <si>
    <t>1700698684</t>
  </si>
  <si>
    <t>1700698683</t>
  </si>
  <si>
    <t>1700698682</t>
  </si>
  <si>
    <t>1700698681</t>
  </si>
  <si>
    <t>1700698680</t>
  </si>
  <si>
    <t>1700698679</t>
  </si>
  <si>
    <t>1700698665</t>
  </si>
  <si>
    <t>1700698664</t>
  </si>
  <si>
    <t>1700698662</t>
  </si>
  <si>
    <t>1700698661</t>
  </si>
  <si>
    <t>1700698660</t>
  </si>
  <si>
    <t>1700698659</t>
  </si>
  <si>
    <t>1700698658</t>
  </si>
  <si>
    <t>1700698657</t>
  </si>
  <si>
    <t>1700698656</t>
  </si>
  <si>
    <t>1700698655</t>
  </si>
  <si>
    <t>1700698654</t>
  </si>
  <si>
    <t>1700698653</t>
  </si>
  <si>
    <t>1700698652</t>
  </si>
  <si>
    <t>1700698651</t>
  </si>
  <si>
    <t>1700698650</t>
  </si>
  <si>
    <t>1700698649</t>
  </si>
  <si>
    <t>AGE</t>
  </si>
  <si>
    <t xml:space="preserve">PYMNT0110547         </t>
  </si>
  <si>
    <t>CHARGE_TYPE</t>
  </si>
  <si>
    <t>Credit</t>
  </si>
  <si>
    <t>PAY DATE</t>
  </si>
  <si>
    <t>A255</t>
  </si>
  <si>
    <t>INV364208CC</t>
  </si>
  <si>
    <t>ADV389159</t>
  </si>
  <si>
    <t>Waiting on PO numbers</t>
  </si>
  <si>
    <t>INV387993TR</t>
  </si>
  <si>
    <t>5001</t>
  </si>
  <si>
    <t xml:space="preserve">ADV389158            </t>
  </si>
  <si>
    <t xml:space="preserve">RPR389727            </t>
  </si>
  <si>
    <t xml:space="preserve">RPR389728            </t>
  </si>
  <si>
    <t xml:space="preserve">RPR389729            </t>
  </si>
  <si>
    <t xml:space="preserve">RPR389730            </t>
  </si>
  <si>
    <t>INV378744SN</t>
  </si>
  <si>
    <t>INV387994RH</t>
  </si>
  <si>
    <t>13808000746081</t>
  </si>
  <si>
    <t>INV387986SN</t>
  </si>
  <si>
    <t>1700163020</t>
  </si>
  <si>
    <t>1700163019</t>
  </si>
  <si>
    <t>4507213572</t>
  </si>
  <si>
    <t>1700163018</t>
  </si>
  <si>
    <t>1700163017</t>
  </si>
  <si>
    <t>1700163016</t>
  </si>
  <si>
    <t>1700163015</t>
  </si>
  <si>
    <t>1700163014</t>
  </si>
  <si>
    <t>1700163013</t>
  </si>
  <si>
    <t>1700163012</t>
  </si>
  <si>
    <t>1700163011</t>
  </si>
  <si>
    <t>1700163010</t>
  </si>
  <si>
    <t>1700163009</t>
  </si>
  <si>
    <t>1700163008</t>
  </si>
  <si>
    <t>1700163007</t>
  </si>
  <si>
    <t>1700163006</t>
  </si>
  <si>
    <t>1700163005</t>
  </si>
  <si>
    <t>1700163004</t>
  </si>
  <si>
    <t>1700163003</t>
  </si>
  <si>
    <t>1700163002</t>
  </si>
  <si>
    <t>1700163001</t>
  </si>
  <si>
    <t>1700163000</t>
  </si>
  <si>
    <t>1700162999</t>
  </si>
  <si>
    <t>1700162998</t>
  </si>
  <si>
    <t>1700162997</t>
  </si>
  <si>
    <t>13808000746083</t>
  </si>
  <si>
    <t>2000018952CR</t>
  </si>
  <si>
    <t>INV387973RH</t>
  </si>
  <si>
    <t>1700126012</t>
  </si>
  <si>
    <t>1700126013</t>
  </si>
  <si>
    <t>1700126014</t>
  </si>
  <si>
    <t>1700126015</t>
  </si>
  <si>
    <t>1700126016</t>
  </si>
  <si>
    <t>1700126017</t>
  </si>
  <si>
    <t>13808000746084</t>
  </si>
  <si>
    <t>1700748763</t>
  </si>
  <si>
    <t>1700748762</t>
  </si>
  <si>
    <t>1700748761</t>
  </si>
  <si>
    <t>1700748760</t>
  </si>
  <si>
    <t>1700748759</t>
  </si>
  <si>
    <t>1700748758</t>
  </si>
  <si>
    <t>1700748757</t>
  </si>
  <si>
    <t>1700748756</t>
  </si>
  <si>
    <t>1700748755</t>
  </si>
  <si>
    <t>1700748754</t>
  </si>
  <si>
    <t>1700748753</t>
  </si>
  <si>
    <t>1700748752</t>
  </si>
  <si>
    <t>1700748751</t>
  </si>
  <si>
    <t>1700748750</t>
  </si>
  <si>
    <t>1700748749</t>
  </si>
  <si>
    <t>1700748748</t>
  </si>
  <si>
    <t>1700748747</t>
  </si>
  <si>
    <t>1700748746</t>
  </si>
  <si>
    <t>1700748745</t>
  </si>
  <si>
    <t>1700748744</t>
  </si>
  <si>
    <t>1700748743</t>
  </si>
  <si>
    <t>1700748742</t>
  </si>
  <si>
    <t>1700748741</t>
  </si>
  <si>
    <t>1700748740</t>
  </si>
  <si>
    <t>1700748739</t>
  </si>
  <si>
    <t>1700748738</t>
  </si>
  <si>
    <t>1700748737</t>
  </si>
  <si>
    <t>1700748736</t>
  </si>
  <si>
    <t>1700748735</t>
  </si>
  <si>
    <t>1700748734</t>
  </si>
  <si>
    <t>1700748733</t>
  </si>
  <si>
    <t>4507263311</t>
  </si>
  <si>
    <t>1700748732</t>
  </si>
  <si>
    <t>1700748877</t>
  </si>
  <si>
    <t>1700748866</t>
  </si>
  <si>
    <t>1700748829</t>
  </si>
  <si>
    <t>1700748794</t>
  </si>
  <si>
    <t>1700748793</t>
  </si>
  <si>
    <t>1700748791</t>
  </si>
  <si>
    <t>1700748790</t>
  </si>
  <si>
    <t>1700748789</t>
  </si>
  <si>
    <t>1700748788</t>
  </si>
  <si>
    <t>1700748787</t>
  </si>
  <si>
    <t>1700748786</t>
  </si>
  <si>
    <t>1700748785</t>
  </si>
  <si>
    <t>1700748784</t>
  </si>
  <si>
    <t>1700748783</t>
  </si>
  <si>
    <t>1700748782</t>
  </si>
  <si>
    <t>1700748781</t>
  </si>
  <si>
    <t>1700748780</t>
  </si>
  <si>
    <t>1700748779</t>
  </si>
  <si>
    <t>1700748777</t>
  </si>
  <si>
    <t>1700748776</t>
  </si>
  <si>
    <t>1700748775</t>
  </si>
  <si>
    <t>1700748774</t>
  </si>
  <si>
    <t>1700748773</t>
  </si>
  <si>
    <t>1700748772</t>
  </si>
  <si>
    <t>1700748771</t>
  </si>
  <si>
    <t>1700748770</t>
  </si>
  <si>
    <t>1700748769</t>
  </si>
  <si>
    <t>1700748768</t>
  </si>
  <si>
    <t>1700748767</t>
  </si>
  <si>
    <t>1700748766</t>
  </si>
  <si>
    <t>1700748765</t>
  </si>
  <si>
    <t>1700748764</t>
  </si>
  <si>
    <t>4506968370</t>
  </si>
  <si>
    <t>1700748731</t>
  </si>
  <si>
    <t>INV387981CC</t>
  </si>
  <si>
    <t>1700748677</t>
  </si>
  <si>
    <t>INV387972CC</t>
  </si>
  <si>
    <t>1700748676</t>
  </si>
  <si>
    <t>1700748675</t>
  </si>
  <si>
    <t>1700748674</t>
  </si>
  <si>
    <t>1700748673</t>
  </si>
  <si>
    <t>1700748672</t>
  </si>
  <si>
    <t>1700748671</t>
  </si>
  <si>
    <t>1700748670</t>
  </si>
  <si>
    <t>1700748669</t>
  </si>
  <si>
    <t>1700748668</t>
  </si>
  <si>
    <t>1700748667</t>
  </si>
  <si>
    <t>1700748666</t>
  </si>
  <si>
    <t>1700748665</t>
  </si>
  <si>
    <t>1700748664</t>
  </si>
  <si>
    <t>1700748663</t>
  </si>
  <si>
    <t>1700748662</t>
  </si>
  <si>
    <t>1700748661</t>
  </si>
  <si>
    <t>1700748660</t>
  </si>
  <si>
    <t>1700748659</t>
  </si>
  <si>
    <t>1700748658</t>
  </si>
  <si>
    <t>1700748657</t>
  </si>
  <si>
    <t>1700748656</t>
  </si>
  <si>
    <t>1700748655</t>
  </si>
  <si>
    <t>1700748654</t>
  </si>
  <si>
    <t>1700748653</t>
  </si>
  <si>
    <t>1700748652</t>
  </si>
  <si>
    <t>1700748651</t>
  </si>
  <si>
    <t>1700748650</t>
  </si>
  <si>
    <t>1700748649</t>
  </si>
  <si>
    <t>1700748648</t>
  </si>
  <si>
    <t>1700748647</t>
  </si>
  <si>
    <t>4506822756</t>
  </si>
  <si>
    <t>1700743822</t>
  </si>
  <si>
    <t>INV387986CC</t>
  </si>
  <si>
    <t>1700748709</t>
  </si>
  <si>
    <t>1700748708</t>
  </si>
  <si>
    <t>1700748707</t>
  </si>
  <si>
    <t>1700748706</t>
  </si>
  <si>
    <t>1700748705</t>
  </si>
  <si>
    <t>1700748704</t>
  </si>
  <si>
    <t>1700748703</t>
  </si>
  <si>
    <t>1700748702</t>
  </si>
  <si>
    <t>1700748701</t>
  </si>
  <si>
    <t>1700748700</t>
  </si>
  <si>
    <t>1700748699</t>
  </si>
  <si>
    <t>1700748698</t>
  </si>
  <si>
    <t>1700748697</t>
  </si>
  <si>
    <t>1700748696</t>
  </si>
  <si>
    <t>1700748695</t>
  </si>
  <si>
    <t>1700748694</t>
  </si>
  <si>
    <t>1700748693</t>
  </si>
  <si>
    <t>1700748692</t>
  </si>
  <si>
    <t>1700748691</t>
  </si>
  <si>
    <t>1700748690</t>
  </si>
  <si>
    <t>1700748689</t>
  </si>
  <si>
    <t>1700748688</t>
  </si>
  <si>
    <t>1700748687</t>
  </si>
  <si>
    <t>1700748686</t>
  </si>
  <si>
    <t>1700748685</t>
  </si>
  <si>
    <t>1700748684</t>
  </si>
  <si>
    <t>1700748683</t>
  </si>
  <si>
    <t>1700748682</t>
  </si>
  <si>
    <t>1700748681</t>
  </si>
  <si>
    <t>1700748680</t>
  </si>
  <si>
    <t>1700748679</t>
  </si>
  <si>
    <t>1700748678</t>
  </si>
  <si>
    <t>Hemlock Semiconductor Operations LLC</t>
  </si>
  <si>
    <t>13808000764164</t>
  </si>
  <si>
    <t>1700163038</t>
  </si>
  <si>
    <t>1700163039</t>
  </si>
  <si>
    <t>4507305315</t>
  </si>
  <si>
    <t>1700163040</t>
  </si>
  <si>
    <t>4507266306</t>
  </si>
  <si>
    <t>1700163041</t>
  </si>
  <si>
    <t>4507357002</t>
  </si>
  <si>
    <t>1700163045</t>
  </si>
  <si>
    <t>13808000764165</t>
  </si>
  <si>
    <t>4507267169</t>
  </si>
  <si>
    <t>1700748848</t>
  </si>
  <si>
    <t>1700748849</t>
  </si>
  <si>
    <t>4507307285</t>
  </si>
  <si>
    <t>1700748851</t>
  </si>
  <si>
    <t>4507270447</t>
  </si>
  <si>
    <t>1700748853</t>
  </si>
  <si>
    <t>4507239677</t>
  </si>
  <si>
    <t>1700748854</t>
  </si>
  <si>
    <t>1700748856</t>
  </si>
  <si>
    <t>4507264877</t>
  </si>
  <si>
    <t>1700748858</t>
  </si>
  <si>
    <t>1700748859</t>
  </si>
  <si>
    <t>1700748862</t>
  </si>
  <si>
    <t>4507239957</t>
  </si>
  <si>
    <t>1700748864</t>
  </si>
  <si>
    <t>4507241054</t>
  </si>
  <si>
    <t>1700748865</t>
  </si>
  <si>
    <t>1700748868</t>
  </si>
  <si>
    <t>1700748869</t>
  </si>
  <si>
    <t>1700748870</t>
  </si>
  <si>
    <t>1700748871</t>
  </si>
  <si>
    <t>1700748872</t>
  </si>
  <si>
    <t>4507306894</t>
  </si>
  <si>
    <t>1700748873</t>
  </si>
  <si>
    <t>4507213954</t>
  </si>
  <si>
    <t>1700748874</t>
  </si>
  <si>
    <t>1700748875</t>
  </si>
  <si>
    <t>1700748876</t>
  </si>
  <si>
    <t>1700748879</t>
  </si>
  <si>
    <t>1700748880</t>
  </si>
  <si>
    <t>4507341811</t>
  </si>
  <si>
    <t>1700748881</t>
  </si>
  <si>
    <t>4507335688</t>
  </si>
  <si>
    <t>1700748882</t>
  </si>
  <si>
    <t>1700748883</t>
  </si>
  <si>
    <t>4507223651</t>
  </si>
  <si>
    <t>1700748885</t>
  </si>
  <si>
    <t>1700748886</t>
  </si>
  <si>
    <t>4507316075</t>
  </si>
  <si>
    <t>1700748887</t>
  </si>
  <si>
    <t>1700748888</t>
  </si>
  <si>
    <t>4507369033</t>
  </si>
  <si>
    <t>1700748889</t>
  </si>
  <si>
    <t>1700748891</t>
  </si>
  <si>
    <t>4507299903</t>
  </si>
  <si>
    <t>1700748892</t>
  </si>
  <si>
    <t>1700748893</t>
  </si>
  <si>
    <t>1700748896</t>
  </si>
  <si>
    <t>1700748898</t>
  </si>
  <si>
    <t>4507329560</t>
  </si>
  <si>
    <t>1700748900</t>
  </si>
  <si>
    <t>4507264360</t>
  </si>
  <si>
    <t>1700748901</t>
  </si>
  <si>
    <t>1700748902</t>
  </si>
  <si>
    <t>INV368040SN</t>
  </si>
  <si>
    <t>4506247460</t>
  </si>
  <si>
    <t>1700754744</t>
  </si>
  <si>
    <t>1700754745</t>
  </si>
  <si>
    <t>RPR387821CC</t>
  </si>
  <si>
    <t>1700699075</t>
  </si>
  <si>
    <t>1700748801</t>
  </si>
  <si>
    <t>1700748802</t>
  </si>
  <si>
    <t>4507306330</t>
  </si>
  <si>
    <t>1700748803</t>
  </si>
  <si>
    <t>1700748804</t>
  </si>
  <si>
    <t>1700748805</t>
  </si>
  <si>
    <t>1700748806</t>
  </si>
  <si>
    <t>1700748807</t>
  </si>
  <si>
    <t>1700748808</t>
  </si>
  <si>
    <t>1700748809</t>
  </si>
  <si>
    <t>4507340434</t>
  </si>
  <si>
    <t>1700748810</t>
  </si>
  <si>
    <t>4507340435</t>
  </si>
  <si>
    <t>1700748812</t>
  </si>
  <si>
    <t>1700748813</t>
  </si>
  <si>
    <t>1700748814</t>
  </si>
  <si>
    <t>1700748815</t>
  </si>
  <si>
    <t>1700748816</t>
  </si>
  <si>
    <t>1700748817</t>
  </si>
  <si>
    <t>4507230738</t>
  </si>
  <si>
    <t>1700748818</t>
  </si>
  <si>
    <t>1700748820</t>
  </si>
  <si>
    <t>1700748821</t>
  </si>
  <si>
    <t>1700748822</t>
  </si>
  <si>
    <t>1700748823</t>
  </si>
  <si>
    <t>1700748824</t>
  </si>
  <si>
    <t>1700748825</t>
  </si>
  <si>
    <t>1700748826</t>
  </si>
  <si>
    <t>1700748827</t>
  </si>
  <si>
    <t>1700748830</t>
  </si>
  <si>
    <t>1700748831</t>
  </si>
  <si>
    <t>1700748832</t>
  </si>
  <si>
    <t>4507259101</t>
  </si>
  <si>
    <t>1700748833</t>
  </si>
  <si>
    <t>1700748834</t>
  </si>
  <si>
    <t>1700748836</t>
  </si>
  <si>
    <t>1700748837</t>
  </si>
  <si>
    <t>1700748839</t>
  </si>
  <si>
    <t>1700748840</t>
  </si>
  <si>
    <t>1700748841</t>
  </si>
  <si>
    <t>1700748842</t>
  </si>
  <si>
    <t>1700748843</t>
  </si>
  <si>
    <t>1700748844</t>
  </si>
  <si>
    <t>1700748845</t>
  </si>
  <si>
    <t>SCHEDULED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</si>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</sst>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&quot;$&quot;#,##0.00"/>
    <numFmt numFmtId="165" formatCode="[$-409]d\-mmm\-yy;@"/>
    <numFmt numFmtId="166" formatCode="mm/dd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20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24"/>
      <color rgb="FF000000"/>
      <name val="Calibri"/>
      <family val="2"/>
    </font>
    <font>
      <sz val="22"/>
      <color rgb="FF000000"/>
      <name val="Calibri"/>
      <family val="2"/>
    </font>
    <font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medium">
        <color indexed="64"/>
      </bottom>
      <diagonal/>
    </border>
    <border>
      <left/>
      <right style="thin">
        <color theme="4" tint="0.39997558519241921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44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Font="1"/>
    <xf numFmtId="8" fontId="0" fillId="0" borderId="0" xfId="0" applyNumberFormat="1"/>
    <xf numFmtId="0" fontId="0" fillId="0" borderId="0" xfId="0" applyBorder="1"/>
    <xf numFmtId="164" fontId="0" fillId="0" borderId="0" xfId="0" applyNumberFormat="1"/>
    <xf numFmtId="0" fontId="3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/>
    <xf numFmtId="0" fontId="3" fillId="0" borderId="0" xfId="0" applyFont="1" applyBorder="1" applyAlignment="1">
      <alignment horizontal="left"/>
    </xf>
    <xf numFmtId="14" fontId="0" fillId="0" borderId="0" xfId="0" applyNumberFormat="1" applyBorder="1"/>
    <xf numFmtId="0" fontId="0" fillId="0" borderId="0" xfId="0" applyFont="1" applyBorder="1"/>
    <xf numFmtId="164" fontId="0" fillId="0" borderId="0" xfId="0" applyNumberFormat="1" applyBorder="1"/>
    <xf numFmtId="0" fontId="0" fillId="0" borderId="0" xfId="0" applyFont="1" applyFill="1"/>
    <xf numFmtId="0" fontId="0" fillId="0" borderId="0" xfId="0" applyNumberFormat="1"/>
    <xf numFmtId="0" fontId="4" fillId="2" borderId="0" xfId="0" applyFont="1" applyFill="1"/>
    <xf numFmtId="0" fontId="0" fillId="0" borderId="0" xfId="0" applyAlignment="1">
      <alignment horizontal="left"/>
    </xf>
    <xf numFmtId="14" fontId="0" fillId="0" borderId="0" xfId="0" applyNumberFormat="1" applyFill="1" applyBorder="1" applyAlignment="1">
      <alignment horizontal="left" vertical="top"/>
    </xf>
    <xf numFmtId="49" fontId="0" fillId="0" borderId="0" xfId="0" applyNumberForma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164" fontId="0" fillId="0" borderId="0" xfId="0" applyNumberForma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 wrapText="1"/>
    </xf>
    <xf numFmtId="166" fontId="5" fillId="4" borderId="1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 applyBorder="1" applyAlignment="1"/>
    <xf numFmtId="164" fontId="0" fillId="0" borderId="0" xfId="0" applyNumberFormat="1" applyFont="1" applyAlignment="1"/>
    <xf numFmtId="164" fontId="0" fillId="0" borderId="0" xfId="0" applyNumberFormat="1" applyFont="1"/>
    <xf numFmtId="14" fontId="0" fillId="0" borderId="0" xfId="0" applyNumberFormat="1" applyFont="1"/>
    <xf numFmtId="14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164" fontId="0" fillId="0" borderId="0" xfId="0" applyNumberFormat="1" applyFill="1" applyAlignment="1">
      <alignment horizontal="left" vertical="top"/>
    </xf>
    <xf numFmtId="0" fontId="7" fillId="2" borderId="0" xfId="0" applyFont="1" applyFill="1"/>
    <xf numFmtId="0" fontId="0" fillId="0" borderId="0" xfId="0" applyFont="1" applyFill="1" applyBorder="1"/>
    <xf numFmtId="49" fontId="0" fillId="0" borderId="0" xfId="0" applyNumberFormat="1" applyBorder="1"/>
    <xf numFmtId="8" fontId="0" fillId="0" borderId="0" xfId="0" applyNumberFormat="1" applyAlignment="1">
      <alignment horizontal="right"/>
    </xf>
    <xf numFmtId="0" fontId="9" fillId="0" borderId="0" xfId="0" applyFont="1" applyFill="1" applyBorder="1" applyAlignment="1">
      <alignment horizontal="left" vertical="top"/>
    </xf>
    <xf numFmtId="0" fontId="0" fillId="0" borderId="0" xfId="0" pivotButton="1"/>
    <xf numFmtId="0" fontId="10" fillId="0" borderId="0" xfId="0" applyFont="1"/>
    <xf numFmtId="0" fontId="10" fillId="0" borderId="0" xfId="0" applyFont="1" applyBorder="1"/>
    <xf numFmtId="14" fontId="0" fillId="0" borderId="0" xfId="0" applyNumberFormat="1" applyFon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164" fontId="0" fillId="0" borderId="0" xfId="0" applyNumberFormat="1" applyFont="1" applyFill="1" applyBorder="1" applyAlignment="1">
      <alignment horizontal="left" vertical="top"/>
    </xf>
    <xf numFmtId="0" fontId="0" fillId="0" borderId="0" xfId="0" applyNumberFormat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0" fontId="2" fillId="0" borderId="0" xfId="0" applyNumberFormat="1" applyFont="1" applyBorder="1" applyAlignment="1" applyProtection="1">
      <alignment horizontal="right" vertical="top" wrapText="1" readingOrder="1"/>
      <protection locked="0"/>
    </xf>
    <xf numFmtId="0" fontId="0" fillId="0" borderId="0" xfId="0" applyNumberFormat="1" applyFont="1" applyAlignment="1">
      <alignment horizontal="right"/>
    </xf>
    <xf numFmtId="0" fontId="0" fillId="0" borderId="0" xfId="0" applyNumberFormat="1" applyFont="1"/>
    <xf numFmtId="0" fontId="0" fillId="0" borderId="0" xfId="0" applyNumberFormat="1" applyFill="1" applyAlignment="1">
      <alignment horizontal="left" vertical="top"/>
    </xf>
    <xf numFmtId="164" fontId="0" fillId="0" borderId="0" xfId="0" applyNumberFormat="1" applyAlignment="1">
      <alignment horizontal="left" vertical="top"/>
    </xf>
    <xf numFmtId="164" fontId="0" fillId="0" borderId="0" xfId="0" applyNumberFormat="1" applyFill="1" applyAlignment="1">
      <alignment vertical="top"/>
    </xf>
    <xf numFmtId="0" fontId="1" fillId="3" borderId="1" xfId="0" applyFont="1" applyFill="1" applyBorder="1" applyAlignment="1">
      <alignment horizontal="left"/>
    </xf>
    <xf numFmtId="164" fontId="1" fillId="3" borderId="1" xfId="0" applyNumberFormat="1" applyFont="1" applyFill="1" applyBorder="1" applyAlignment="1">
      <alignment horizontal="left"/>
    </xf>
    <xf numFmtId="0" fontId="1" fillId="3" borderId="1" xfId="0" applyNumberFormat="1" applyFont="1" applyFill="1" applyBorder="1" applyAlignment="1">
      <alignment horizontal="left"/>
    </xf>
    <xf numFmtId="14" fontId="1" fillId="3" borderId="1" xfId="0" applyNumberFormat="1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10" fillId="0" borderId="1" xfId="0" applyFont="1" applyBorder="1" applyAlignment="1">
      <alignment horizontal="left"/>
    </xf>
    <xf numFmtId="0" fontId="6" fillId="3" borderId="2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164" fontId="6" fillId="3" borderId="1" xfId="0" applyNumberFormat="1" applyFont="1" applyFill="1" applyBorder="1" applyAlignment="1">
      <alignment horizontal="left"/>
    </xf>
    <xf numFmtId="14" fontId="6" fillId="3" borderId="1" xfId="0" applyNumberFormat="1" applyFont="1" applyFill="1" applyBorder="1" applyAlignment="1">
      <alignment horizontal="left"/>
    </xf>
    <xf numFmtId="0" fontId="6" fillId="6" borderId="3" xfId="0" applyFont="1" applyFill="1" applyBorder="1" applyAlignment="1">
      <alignment horizontal="left"/>
    </xf>
    <xf numFmtId="0" fontId="0" fillId="0" borderId="5" xfId="0" applyFont="1" applyFill="1" applyBorder="1" applyAlignment="1">
      <alignment horizontal="left" vertical="top"/>
    </xf>
    <xf numFmtId="0" fontId="0" fillId="0" borderId="4" xfId="0" applyFont="1" applyFill="1" applyBorder="1" applyAlignment="1">
      <alignment horizontal="left" vertical="top"/>
    </xf>
    <xf numFmtId="14" fontId="0" fillId="0" borderId="0" xfId="0" applyNumberFormat="1" applyAlignment="1">
      <alignment horizontal="left"/>
    </xf>
    <xf numFmtId="0" fontId="0" fillId="7" borderId="5" xfId="0" applyFont="1" applyFill="1" applyBorder="1" applyAlignment="1">
      <alignment horizontal="left"/>
    </xf>
    <xf numFmtId="0" fontId="0" fillId="0" borderId="5" xfId="0" applyFont="1" applyBorder="1" applyAlignment="1">
      <alignment horizontal="left"/>
    </xf>
    <xf numFmtId="164" fontId="0" fillId="7" borderId="5" xfId="0" applyNumberFormat="1" applyFont="1" applyFill="1" applyBorder="1" applyAlignment="1">
      <alignment horizontal="left"/>
    </xf>
    <xf numFmtId="164" fontId="0" fillId="0" borderId="5" xfId="0" applyNumberFormat="1" applyFont="1" applyBorder="1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 applyFill="1" applyAlignment="1">
      <alignment horizontal="left" vertical="top"/>
    </xf>
    <xf numFmtId="14" fontId="0" fillId="7" borderId="5" xfId="0" applyNumberFormat="1" applyFont="1" applyFill="1" applyBorder="1"/>
    <xf numFmtId="164" fontId="0" fillId="7" borderId="5" xfId="0" applyNumberFormat="1" applyFont="1" applyFill="1" applyBorder="1"/>
    <xf numFmtId="49" fontId="0" fillId="7" borderId="5" xfId="0" applyNumberFormat="1" applyFont="1" applyFill="1" applyBorder="1"/>
    <xf numFmtId="0" fontId="1" fillId="0" borderId="7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7" xfId="0" applyFont="1" applyFill="1" applyBorder="1" applyAlignment="1">
      <alignment horizontal="center"/>
    </xf>
    <xf numFmtId="164" fontId="6" fillId="6" borderId="7" xfId="0" applyNumberFormat="1" applyFont="1" applyFill="1" applyBorder="1" applyAlignment="1">
      <alignment horizontal="center"/>
    </xf>
    <xf numFmtId="14" fontId="6" fillId="6" borderId="7" xfId="0" applyNumberFormat="1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0" fillId="0" borderId="1" xfId="0" applyBorder="1"/>
    <xf numFmtId="8" fontId="1" fillId="0" borderId="7" xfId="0" applyNumberFormat="1" applyFont="1" applyBorder="1" applyAlignment="1">
      <alignment horizontal="center"/>
    </xf>
    <xf numFmtId="0" fontId="2" fillId="0" borderId="0" xfId="0" applyFont="1" applyFill="1" applyBorder="1" applyAlignment="1" applyProtection="1">
      <protection locked="0"/>
    </xf>
    <xf numFmtId="0" fontId="0" fillId="0" borderId="0" xfId="0" applyFont="1" applyFill="1" applyBorder="1" applyAlignment="1"/>
    <xf numFmtId="49" fontId="0" fillId="0" borderId="0" xfId="0" applyNumberFormat="1" applyFont="1" applyAlignment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/>
    </xf>
    <xf numFmtId="164" fontId="0" fillId="0" borderId="0" xfId="0" applyNumberFormat="1" applyFont="1" applyBorder="1" applyAlignment="1"/>
    <xf numFmtId="164" fontId="0" fillId="0" borderId="0" xfId="0" applyNumberFormat="1" applyFont="1" applyBorder="1"/>
    <xf numFmtId="0" fontId="0" fillId="0" borderId="0" xfId="0" applyNumberFormat="1" applyFont="1" applyBorder="1"/>
    <xf numFmtId="164" fontId="0" fillId="0" borderId="0" xfId="0" applyNumberFormat="1" applyFont="1" applyFill="1" applyBorder="1"/>
    <xf numFmtId="0" fontId="0" fillId="0" borderId="0" xfId="0" applyNumberFormat="1" applyFont="1" applyAlignment="1"/>
    <xf numFmtId="49" fontId="0" fillId="0" borderId="0" xfId="0" applyNumberFormat="1" applyFont="1" applyAlignment="1">
      <alignment horizontal="left"/>
    </xf>
    <xf numFmtId="14" fontId="1" fillId="3" borderId="1" xfId="0" applyNumberFormat="1" applyFont="1" applyFill="1" applyBorder="1" applyAlignment="1"/>
    <xf numFmtId="14" fontId="0" fillId="0" borderId="0" xfId="0" applyNumberFormat="1" applyFont="1" applyAlignment="1"/>
    <xf numFmtId="14" fontId="0" fillId="0" borderId="0" xfId="0" applyNumberFormat="1" applyFont="1" applyBorder="1" applyAlignment="1"/>
    <xf numFmtId="14" fontId="0" fillId="0" borderId="0" xfId="0" applyNumberFormat="1" applyFont="1" applyFill="1" applyBorder="1" applyAlignment="1">
      <alignment vertical="top"/>
    </xf>
    <xf numFmtId="49" fontId="0" fillId="0" borderId="0" xfId="0" applyNumberFormat="1" applyFill="1" applyBorder="1" applyAlignment="1">
      <alignment horizontal="right" vertical="top"/>
    </xf>
    <xf numFmtId="49" fontId="0" fillId="0" borderId="0" xfId="0" applyNumberFormat="1" applyFill="1" applyAlignment="1">
      <alignment horizontal="right" vertical="top"/>
    </xf>
    <xf numFmtId="49" fontId="0" fillId="0" borderId="0" xfId="0" applyNumberFormat="1" applyFont="1" applyFill="1" applyBorder="1" applyAlignment="1">
      <alignment horizontal="right" vertical="top"/>
    </xf>
    <xf numFmtId="0" fontId="0" fillId="7" borderId="5" xfId="0" applyFont="1" applyFill="1" applyBorder="1" applyAlignment="1">
      <alignment horizontal="right"/>
    </xf>
    <xf numFmtId="0" fontId="0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/>
    </xf>
    <xf numFmtId="0" fontId="0" fillId="7" borderId="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 vertical="top"/>
    </xf>
    <xf numFmtId="8" fontId="0" fillId="0" borderId="0" xfId="0" applyNumberFormat="1" applyAlignment="1">
      <alignment horizontal="left"/>
    </xf>
    <xf numFmtId="0" fontId="6" fillId="6" borderId="11" xfId="0" applyFont="1" applyFill="1" applyBorder="1"/>
    <xf numFmtId="0" fontId="6" fillId="6" borderId="10" xfId="0" applyFont="1" applyFill="1" applyBorder="1"/>
    <xf numFmtId="8" fontId="6" fillId="6" borderId="10" xfId="0" applyNumberFormat="1" applyFont="1" applyFill="1" applyBorder="1"/>
    <xf numFmtId="0" fontId="6" fillId="6" borderId="12" xfId="0" applyFont="1" applyFill="1" applyBorder="1"/>
    <xf numFmtId="0" fontId="0" fillId="0" borderId="6" xfId="0" applyBorder="1" applyAlignment="1">
      <alignment horizontal="center"/>
    </xf>
    <xf numFmtId="0" fontId="0" fillId="7" borderId="5" xfId="0" applyFont="1" applyFill="1" applyBorder="1"/>
    <xf numFmtId="0" fontId="0" fillId="0" borderId="5" xfId="0" applyFont="1" applyBorder="1"/>
    <xf numFmtId="49" fontId="0" fillId="0" borderId="0" xfId="0" applyNumberFormat="1" applyAlignment="1"/>
    <xf numFmtId="8" fontId="0" fillId="0" borderId="4" xfId="0" applyNumberFormat="1" applyBorder="1" applyAlignment="1">
      <alignment horizontal="right"/>
    </xf>
    <xf numFmtId="0" fontId="0" fillId="0" borderId="0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8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ont="1" applyFill="1" applyBorder="1" applyAlignment="1"/>
    <xf numFmtId="0" fontId="14" fillId="0" borderId="0" xfId="0" applyFont="1"/>
    <xf numFmtId="0" fontId="0" fillId="7" borderId="0" xfId="0" applyFont="1" applyFill="1" applyBorder="1" applyAlignment="1">
      <alignment horizontal="left"/>
    </xf>
    <xf numFmtId="49" fontId="0" fillId="0" borderId="5" xfId="0" applyNumberFormat="1" applyFill="1" applyBorder="1" applyAlignment="1">
      <alignment horizontal="left" vertical="top"/>
    </xf>
    <xf numFmtId="0" fontId="0" fillId="0" borderId="0" xfId="0" applyFont="1" applyBorder="1" applyAlignment="1">
      <alignment horizontal="left"/>
    </xf>
    <xf numFmtId="0" fontId="0" fillId="0" borderId="5" xfId="0" applyFill="1" applyBorder="1" applyAlignment="1">
      <alignment horizontal="left" vertical="top"/>
    </xf>
    <xf numFmtId="0" fontId="0" fillId="7" borderId="0" xfId="0" applyFont="1" applyFill="1" applyBorder="1" applyAlignment="1">
      <alignment horizontal="right"/>
    </xf>
    <xf numFmtId="49" fontId="0" fillId="0" borderId="5" xfId="0" applyNumberFormat="1" applyFill="1" applyBorder="1" applyAlignment="1">
      <alignment horizontal="right" vertical="top"/>
    </xf>
    <xf numFmtId="0" fontId="0" fillId="0" borderId="0" xfId="0" applyFont="1" applyBorder="1" applyAlignment="1">
      <alignment horizontal="right"/>
    </xf>
    <xf numFmtId="164" fontId="0" fillId="7" borderId="0" xfId="0" applyNumberFormat="1" applyFont="1" applyFill="1" applyBorder="1" applyAlignment="1">
      <alignment horizontal="left"/>
    </xf>
    <xf numFmtId="164" fontId="0" fillId="0" borderId="5" xfId="0" applyNumberFormat="1" applyFill="1" applyBorder="1" applyAlignment="1">
      <alignment horizontal="left" vertical="top"/>
    </xf>
    <xf numFmtId="164" fontId="0" fillId="0" borderId="0" xfId="0" applyNumberFormat="1" applyFont="1" applyBorder="1" applyAlignment="1">
      <alignment horizontal="left"/>
    </xf>
  </cellXfs>
  <cellStyles count="1">
    <cellStyle name="Normal" xfId="0" builtinId="0"/>
  </cellStyles>
  <dxfs count="211">
    <dxf>
      <numFmt numFmtId="0" formatCode="General"/>
    </dxf>
    <dxf>
      <numFmt numFmtId="19" formatCode="m/d/yyyy"/>
    </dxf>
    <dxf>
      <numFmt numFmtId="19" formatCode="m/d/yyyy"/>
    </dxf>
    <dxf>
      <numFmt numFmtId="12" formatCode="&quot;$&quot;#,##0.00_);[Red]\(&quot;$&quot;#,##0.00\)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theme="4" tint="0.39997558519241921"/>
        </left>
        <right/>
      </border>
    </dxf>
    <dxf>
      <alignment horizontal="center" vertical="bottom" textRotation="0" wrapText="0" indent="0" justifyLastLine="0" shrinkToFit="0" readingOrder="0"/>
    </dxf>
    <dxf>
      <numFmt numFmtId="19" formatCode="m/d/yyyy"/>
    </dxf>
    <dxf>
      <numFmt numFmtId="164" formatCode="&quot;$&quot;#,##0.00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2" formatCode="&quot;$&quot;#,##0.00_);[Red]\(&quot;$&quot;#,##0.00\)"/>
    </dxf>
    <dxf>
      <border outline="0">
        <bottom style="thin">
          <color indexed="64"/>
        </bottom>
      </border>
    </dxf>
    <dxf>
      <numFmt numFmtId="0" formatCode="General"/>
    </dxf>
    <dxf>
      <numFmt numFmtId="19" formatCode="m/d/yyyy"/>
    </dxf>
    <dxf>
      <numFmt numFmtId="164" formatCode="&quot;$&quot;#,##0.00"/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rgb="FFFFFF00"/>
      </font>
    </dxf>
    <dxf>
      <fill>
        <patternFill patternType="solid">
          <bgColor rgb="FF002060"/>
        </patternFill>
      </fill>
    </dxf>
    <dxf>
      <alignment horizontal="center"/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color rgb="FFFFFF00"/>
      </font>
    </dxf>
    <dxf>
      <fill>
        <patternFill patternType="solid">
          <bgColor theme="4" tint="-0.249977111117893"/>
        </patternFill>
      </fill>
    </dxf>
    <dxf>
      <font>
        <b/>
      </font>
    </dxf>
    <dxf>
      <font>
        <color rgb="FFFFFF00"/>
      </font>
    </dxf>
    <dxf>
      <font>
        <color rgb="FFFF0000"/>
      </font>
    </dxf>
    <dxf>
      <fill>
        <patternFill patternType="solid">
          <bgColor theme="4" tint="-0.249977111117893"/>
        </patternFill>
      </fill>
    </dxf>
    <dxf>
      <fill>
        <patternFill>
          <bgColor theme="4" tint="-0.249977111117893"/>
        </patternFill>
      </fill>
    </dxf>
    <dxf>
      <numFmt numFmtId="12" formatCode="&quot;$&quot;#,##0.00_);[Red]\(&quot;$&quot;#,##0.00\)"/>
    </dxf>
    <dxf>
      <alignment horizontal="center"/>
    </dxf>
    <dxf>
      <font>
        <b/>
      </font>
    </dxf>
    <dxf>
      <font>
        <color rgb="FFFFFF00"/>
      </font>
    </dxf>
    <dxf>
      <fill>
        <patternFill patternType="solid">
          <bgColor rgb="FF002060"/>
        </patternFill>
      </fill>
    </dxf>
    <dxf>
      <numFmt numFmtId="164" formatCode="&quot;$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9" formatCode="m/d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9" formatCode="m/d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center" textRotation="0" indent="0" justifyLastLine="0" shrinkToFit="0" readingOrder="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numFmt numFmtId="164" formatCode="&quot;$&quot;#,##0.00"/>
    </dxf>
    <dxf>
      <numFmt numFmtId="164" formatCode="&quot;$&quot;#,##0.00"/>
    </dxf>
    <dxf>
      <numFmt numFmtId="19" formatCode="m/d/yyyy"/>
    </dxf>
    <dxf>
      <numFmt numFmtId="164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numFmt numFmtId="164" formatCode="&quot;$&quot;#,##0.00"/>
    </dxf>
    <dxf>
      <border outline="0">
        <top style="thin">
          <color theme="4" tint="0.39997558519241921"/>
        </top>
      </border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numFmt numFmtId="164" formatCode="&quot;$&quot;#,##0.00"/>
    </dxf>
    <dxf>
      <numFmt numFmtId="164" formatCode="&quot;$&quot;#,##0.00"/>
    </dxf>
    <dxf>
      <numFmt numFmtId="19" formatCode="m/d/yyyy"/>
    </dxf>
    <dxf>
      <numFmt numFmtId="164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numFmt numFmtId="164" formatCode="&quot;$&quot;#,##0.00"/>
    </dxf>
    <dxf>
      <numFmt numFmtId="164" formatCode="&quot;$&quot;#,##0.00"/>
    </dxf>
    <dxf>
      <numFmt numFmtId="19" formatCode="m/d/yyyy"/>
    </dxf>
    <dxf>
      <numFmt numFmtId="164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numFmt numFmtId="164" formatCode="&quot;$&quot;#,##0.00"/>
    </dxf>
    <dxf>
      <numFmt numFmtId="0" formatCode="General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border diagonalUp="0" diagonalDown="0">
        <left/>
        <right/>
        <top/>
        <bottom/>
      </border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numFmt numFmtId="164" formatCode="&quot;$&quot;#,##0.00"/>
      <border diagonalUp="0" diagonalDown="0" outline="0">
        <left/>
        <right/>
        <top/>
        <bottom/>
      </border>
    </dxf>
    <dxf>
      <numFmt numFmtId="164" formatCode="&quot;$&quot;#,##0.00"/>
    </dxf>
    <dxf>
      <numFmt numFmtId="164" formatCode="&quot;$&quot;#,##0.00"/>
      <border diagonalUp="0" diagonalDown="0" outline="0">
        <left/>
        <right/>
        <top/>
        <bottom/>
      </border>
    </dxf>
    <dxf>
      <numFmt numFmtId="164" formatCode="&quot;$&quot;#,##0.00"/>
    </dxf>
    <dxf>
      <numFmt numFmtId="164" formatCode="&quot;$&quot;#,##0.00"/>
      <border diagonalUp="0" diagonalDown="0" outline="0">
        <left/>
        <right/>
        <top/>
        <bottom/>
      </border>
    </dxf>
    <dxf>
      <numFmt numFmtId="19" formatCode="m/d/yyyy"/>
    </dxf>
    <dxf>
      <numFmt numFmtId="164" formatCode="&quot;$&quot;#,##0.00"/>
      <border diagonalUp="0" diagonalDown="0" outline="0">
        <left/>
        <right/>
        <top/>
        <bottom/>
      </border>
    </dxf>
    <dxf>
      <numFmt numFmtId="164" formatCode="&quot;$&quot;#,##0.00"/>
    </dxf>
    <dxf>
      <numFmt numFmtId="19" formatCode="m/d/yyyy"/>
      <border diagonalUp="0" diagonalDown="0" outline="0">
        <left/>
        <right/>
        <top/>
        <bottom/>
      </border>
    </dxf>
    <dxf>
      <numFmt numFmtId="19" formatCode="m/d/yyyy"/>
    </dxf>
    <dxf>
      <numFmt numFmtId="19" formatCode="m/d/yyyy"/>
      <border diagonalUp="0" diagonalDown="0" outline="0">
        <left/>
        <right/>
        <top/>
        <bottom/>
      </border>
    </dxf>
    <dxf>
      <numFmt numFmtId="19" formatCode="m/d/yyyy"/>
    </dxf>
    <dxf>
      <numFmt numFmtId="19" formatCode="m/d/yyyy"/>
      <border diagonalUp="0" diagonalDown="0" outline="0">
        <left/>
        <right/>
        <top/>
        <bottom/>
      </border>
    </dxf>
    <dxf>
      <numFmt numFmtId="19" formatCode="m/d/yyyy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&quot;$&quot;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&quot;$&quot;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right" textRotation="0" indent="0" justifyLastLine="0" shrinkToFit="0"/>
    </dxf>
    <dxf>
      <numFmt numFmtId="12" formatCode="&quot;$&quot;#,##0.00_);[Red]\(&quot;$&quot;#,##0.00\)"/>
      <alignment horizontal="righ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4" formatCode="&quot;$&quot;#,##0.0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m/d/yyyy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4" formatCode="&quot;$&quot;#,##0.0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4" formatCode="&quot;$&quot;#,##0.00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FFA7A7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31</xdr:row>
          <xdr:rowOff>22860</xdr:rowOff>
        </xdr:from>
        <xdr:to>
          <xdr:col>11</xdr:col>
          <xdr:colOff>144780</xdr:colOff>
          <xdr:row>37</xdr:row>
          <xdr:rowOff>144780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UPDATE TABLES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(Use after manual entries)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31</xdr:row>
          <xdr:rowOff>7620</xdr:rowOff>
        </xdr:from>
        <xdr:to>
          <xdr:col>20</xdr:col>
          <xdr:colOff>281940</xdr:colOff>
          <xdr:row>37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</a:rPr>
                <a:t>Clear Zeroes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(Use when invoice is paid in full)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130629</xdr:colOff>
      <xdr:row>34</xdr:row>
      <xdr:rowOff>32656</xdr:rowOff>
    </xdr:from>
    <xdr:to>
      <xdr:col>4</xdr:col>
      <xdr:colOff>250371</xdr:colOff>
      <xdr:row>38</xdr:row>
      <xdr:rowOff>130628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30629" y="6411685"/>
          <a:ext cx="3069771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NOTE:</a:t>
          </a:r>
          <a:r>
            <a:rPr lang="en-US" sz="1100" u="sng" baseline="0"/>
            <a:t> </a:t>
          </a:r>
          <a:r>
            <a:rPr lang="en-US" sz="1100"/>
            <a:t>Invoices</a:t>
          </a:r>
          <a:r>
            <a:rPr lang="en-US" sz="1100" baseline="0"/>
            <a:t> with scheduled payments that have not yet been received will continue to be shown as $0 balance and not be "Closed" until payment is actually received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525780</xdr:colOff>
          <xdr:row>31</xdr:row>
          <xdr:rowOff>22860</xdr:rowOff>
        </xdr:from>
        <xdr:to>
          <xdr:col>15</xdr:col>
          <xdr:colOff>182880</xdr:colOff>
          <xdr:row>37</xdr:row>
          <xdr:rowOff>106680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Scheduled Payment Received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88773146" createdVersion="6" refreshedVersion="6" minRefreshableVersion="3" recordCount="874" xr:uid="{00000000-000A-0000-FFFF-FFFFC4000000}">
  <cacheSource type="worksheet">
    <worksheetSource name="BCOXT"/>
  </cacheSource>
  <cacheFields count="21">
    <cacheField name="INVNUMBER" numFmtId="0">
      <sharedItems count="23">
        <s v="INV364208"/>
        <s v="INV366038"/>
        <s v="INV375127"/>
        <s v="INV376970"/>
        <s v="INV377586"/>
        <s v="INV378082"/>
        <s v="INV378090"/>
        <s v="INV378747"/>
        <s v="INV379339"/>
        <s v="INV379845"/>
        <s v="INV379851"/>
        <s v="INV380564"/>
        <s v="INV380565"/>
        <s v="INV382403"/>
        <s v="INV382404"/>
        <s v="INV384286"/>
        <s v="INV384287"/>
        <s v="INV386074"/>
        <s v="INV386075"/>
        <s v="INV387641"/>
        <s v="INV387989"/>
        <s v="INV387990"/>
        <s v="ADV389159"/>
      </sharedItems>
    </cacheField>
    <cacheField name="INV TYPE" numFmtId="0">
      <sharedItems containsBlank="1"/>
    </cacheField>
    <cacheField name="EXT" numFmtId="0">
      <sharedItems containsBlank="1"/>
    </cacheField>
    <cacheField name="COMPANY CODE" numFmtId="0">
      <sharedItems containsBlank="1" containsMixedTypes="1" containsNumber="1" containsInteger="1" minValue="5405" maxValue="5450"/>
    </cacheField>
    <cacheField name="AMT INVOICED" numFmtId="164">
      <sharedItems containsSemiMixedTypes="0" containsString="0" containsNumber="1" minValue="56" maxValue="50838.67"/>
    </cacheField>
    <cacheField name="SN" numFmtId="0">
      <sharedItems containsNonDate="0" containsString="0" containsBlank="1"/>
    </cacheField>
    <cacheField name="PO" numFmtId="0">
      <sharedItems containsString="0" containsBlank="1" containsNumber="1" containsInteger="1" minValue="4300021652" maxValue="4320249581"/>
    </cacheField>
    <cacheField name="CC" numFmtId="0">
      <sharedItems containsString="0" containsBlank="1" containsNumber="1" containsInteger="1" minValue="11759" maxValue="172441"/>
    </cacheField>
    <cacheField name="PLANT" numFmtId="0">
      <sharedItems containsBlank="1"/>
    </cacheField>
    <cacheField name="UNIT NUMBER" numFmtId="0">
      <sharedItems containsBlank="1"/>
    </cacheField>
    <cacheField name="CHARGE DESC" numFmtId="0">
      <sharedItems/>
    </cacheField>
    <cacheField name="INV DOC DATE" numFmtId="14">
      <sharedItems containsSemiMixedTypes="0" containsNonDate="0" containsDate="1" containsString="0" minDate="2017-05-01T00:00:00" maxDate="2018-07-02T00:00:00" count="11">
        <d v="2017-05-01T00:00:00"/>
        <d v="2017-06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</sharedItems>
    </cacheField>
    <cacheField name="INV DUE DATE" numFmtId="14">
      <sharedItems containsSemiMixedTypes="0" containsNonDate="0" containsDate="1" containsString="0" minDate="2017-05-31T00:00:00" maxDate="2018-08-01T00:00:00"/>
    </cacheField>
    <cacheField name="BILLING DATE" numFmtId="14">
      <sharedItems containsNonDate="0" containsDate="1" containsString="0" containsBlank="1" minDate="2018-01-12T00:00:00" maxDate="2018-07-21T00:00:00"/>
    </cacheField>
    <cacheField name="AMT PAID" numFmtId="164">
      <sharedItems containsString="0" containsBlank="1" containsNumber="1" minValue="56" maxValue="50838.67"/>
    </cacheField>
    <cacheField name="PAYMENT DATE" numFmtId="14">
      <sharedItems containsNonDate="0" containsDate="1" containsString="0" containsBlank="1" minDate="2018-05-14T00:00:00" maxDate="2018-07-14T00:00:00"/>
    </cacheField>
    <cacheField name="AMT OUTSTANDING" numFmtId="164">
      <sharedItems containsSemiMixedTypes="0" containsString="0" containsNumber="1" minValue="0" maxValue="1202.8"/>
    </cacheField>
    <cacheField name="AGE OF INV" numFmtId="0">
      <sharedItems/>
    </cacheField>
    <cacheField name="CUST CO" numFmtId="0">
      <sharedItems/>
    </cacheField>
    <cacheField name="CLOSED" numFmtId="0">
      <sharedItems containsBlank="1" count="2">
        <s v="CLOSED"/>
        <m/>
      </sharedItems>
    </cacheField>
    <cacheField name="Charge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8900463" createdVersion="6" refreshedVersion="6" minRefreshableVersion="3" recordCount="115" xr:uid="{00000000-000A-0000-FFFF-FFFFC5000000}">
  <cacheSource type="worksheet">
    <worksheetSource name="DAGXX"/>
  </cacheSource>
  <cacheFields count="21">
    <cacheField name="INVNUMBER" numFmtId="49">
      <sharedItems count="48">
        <s v="DRV376893"/>
        <s v="INV375108"/>
        <s v="INV378726"/>
        <s v="INV380543"/>
        <s v="INV384264"/>
        <s v="INV384265"/>
        <s v="INV384268"/>
        <s v="INV386052"/>
        <s v="INV386053"/>
        <s v="INV387968"/>
        <s v="RPR376878"/>
        <s v="RPR376879"/>
        <s v="RPR376880"/>
        <s v="RPR382146"/>
        <s v="RPR382147"/>
        <s v="RPR382148"/>
        <s v="RPR382149"/>
        <s v="RPR382151"/>
        <s v="RPR382152"/>
        <s v="RPR382154"/>
        <s v="RPR384050"/>
        <s v="RPR384051"/>
        <s v="RPR384052"/>
        <s v="RPR384053"/>
        <s v="RPR384054"/>
        <s v="RPR384055"/>
        <s v="RPR384056"/>
        <s v="RPR384057"/>
        <s v="RPR384058"/>
        <s v="RPR384059"/>
        <s v="RPR384060"/>
        <s v="RPR384061"/>
        <s v="RPR384062"/>
        <s v="RPR384063"/>
        <s v="RPR384064"/>
        <s v="RPR384065"/>
        <s v="RPR384066"/>
        <s v="RPR384067"/>
        <s v="RPR384068"/>
        <s v="RPR384070"/>
        <s v="RPR384091"/>
        <s v="RPR384092"/>
        <s v="RPR384093"/>
        <s v="RPR384094"/>
        <s v="RPR384095"/>
        <s v="RPR384139"/>
        <s v="RPR384148"/>
        <s v="INV387971"/>
      </sharedItems>
    </cacheField>
    <cacheField name="INV TYPE" numFmtId="49">
      <sharedItems containsBlank="1"/>
    </cacheField>
    <cacheField name="EXT" numFmtId="0">
      <sharedItems containsBlank="1"/>
    </cacheField>
    <cacheField name="COMPANY CODE" numFmtId="49">
      <sharedItems containsBlank="1" containsMixedTypes="1" containsNumber="1" containsInteger="1" minValue="16" maxValue="16"/>
    </cacheField>
    <cacheField name="AMT INVOICED" numFmtId="8">
      <sharedItems containsSemiMixedTypes="0" containsString="0" containsNumber="1" minValue="172.5" maxValue="294848.59999999998"/>
    </cacheField>
    <cacheField name="SN" numFmtId="0">
      <sharedItems containsNonDate="0" containsString="0" containsBlank="1"/>
    </cacheField>
    <cacheField name="PO" numFmtId="0">
      <sharedItems containsBlank="1" containsMixedTypes="1" containsNumber="1" containsInteger="1" minValue="4380303767" maxValue="4380391198"/>
    </cacheField>
    <cacheField name="CC" numFmtId="0">
      <sharedItems containsNonDate="0" containsString="0" containsBlank="1"/>
    </cacheField>
    <cacheField name="PLANT" numFmtId="0">
      <sharedItems containsNonDate="0" containsString="0" containsBlank="1"/>
    </cacheField>
    <cacheField name="UNIT NUMBER" numFmtId="0">
      <sharedItems containsBlank="1"/>
    </cacheField>
    <cacheField name="CHARGE DESC" numFmtId="49">
      <sharedItems containsBlank="1"/>
    </cacheField>
    <cacheField name="INV DOC DATE" numFmtId="14">
      <sharedItems containsSemiMixedTypes="0" containsNonDate="0" containsDate="1" containsString="0" minDate="2017-11-01T00:00:00" maxDate="2018-06-02T00:00:00" count="13">
        <d v="2017-12-21T00:00:00"/>
        <d v="2017-11-01T00:00:00"/>
        <d v="2018-01-01T00:00:00"/>
        <d v="2018-02-01T00:00:00"/>
        <d v="2018-04-01T00:00:00"/>
        <d v="2018-05-01T00:00:00"/>
        <d v="2018-06-01T00:00:00"/>
        <d v="2017-12-20T00:00:00"/>
        <d v="2018-03-01T00:00:00"/>
        <d v="2018-04-03T00:00:00"/>
        <d v="2018-04-04T00:00:00"/>
        <d v="2018-04-10T00:00:00"/>
        <d v="2018-04-11T00:00:00"/>
      </sharedItems>
    </cacheField>
    <cacheField name="INV DUE DATE" numFmtId="14">
      <sharedItems containsSemiMixedTypes="0" containsNonDate="0" containsDate="1" containsString="0" minDate="2017-12-01T00:00:00" maxDate="2018-07-02T00:00:00"/>
    </cacheField>
    <cacheField name="BILLING DATE" numFmtId="14">
      <sharedItems containsNonDate="0" containsDate="1" containsString="0" containsBlank="1" minDate="2018-04-30T00:00:00" maxDate="2018-06-29T00:00:00"/>
    </cacheField>
    <cacheField name="AMT PAID" numFmtId="0">
      <sharedItems containsString="0" containsBlank="1" containsNumber="1" minValue="172.5" maxValue="294848.59999999998"/>
    </cacheField>
    <cacheField name="PAYMENT DATE" numFmtId="0">
      <sharedItems containsNonDate="0" containsDate="1" containsString="0" containsBlank="1" minDate="2018-03-15T00:00:00" maxDate="2018-07-14T00:00:00"/>
    </cacheField>
    <cacheField name="AMT OUTSTANDING" numFmtId="8">
      <sharedItems containsSemiMixedTypes="0" containsString="0" containsNumber="1" containsInteger="1" minValue="0" maxValue="15879"/>
    </cacheField>
    <cacheField name="AGE OF INV" numFmtId="0">
      <sharedItems/>
    </cacheField>
    <cacheField name="CUST CO" numFmtId="0">
      <sharedItems/>
    </cacheField>
    <cacheField name="CLOSED" numFmtId="0">
      <sharedItems containsBlank="1" count="3">
        <s v="CLOSED"/>
        <m/>
        <s v="SCHEDULED" u="1"/>
      </sharedItems>
    </cacheField>
    <cacheField name="Charge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89351853" createdVersion="6" refreshedVersion="6" minRefreshableVersion="3" recordCount="473" xr:uid="{00000000-000A-0000-FFFF-FFFFC6000000}">
  <cacheSource type="worksheet">
    <worksheetSource name="DCPXX"/>
  </cacheSource>
  <cacheFields count="21">
    <cacheField name="INVNUMBER" numFmtId="0">
      <sharedItems count="20">
        <s v="ADV370767"/>
        <s v="ADV374366"/>
        <s v="ADV376258"/>
        <s v="INV378723"/>
        <s v="INV378722"/>
        <s v="ADV379894"/>
        <s v="INV380567"/>
        <s v="INV380540"/>
        <s v="ADV381704"/>
        <s v="ADV383557"/>
        <s v="ADV385454"/>
        <s v="ADV385455"/>
        <s v="ADV385467"/>
        <s v="INV386050"/>
        <s v="ADV387250"/>
        <s v="ADV387260"/>
        <s v="ADV387261"/>
        <s v="ADV389150"/>
        <s v="INV387965"/>
        <s v="ADV389162"/>
      </sharedItems>
    </cacheField>
    <cacheField name="INV TYPE" numFmtId="0">
      <sharedItems containsBlank="1"/>
    </cacheField>
    <cacheField name="EXT" numFmtId="0">
      <sharedItems containsBlank="1"/>
    </cacheField>
    <cacheField name="COMPANY CODE" numFmtId="0">
      <sharedItems containsBlank="1" containsMixedTypes="1" containsNumber="1" containsInteger="1" minValue="4301" maxValue="4301"/>
    </cacheField>
    <cacheField name="AMT INVOICED" numFmtId="164">
      <sharedItems containsSemiMixedTypes="0" containsString="0" containsNumber="1" minValue="-2520" maxValue="53456.4"/>
    </cacheField>
    <cacheField name="SN" numFmtId="0">
      <sharedItems containsNonDate="0" containsString="0" containsBlank="1"/>
    </cacheField>
    <cacheField name="PO" numFmtId="0">
      <sharedItems containsBlank="1" containsMixedTypes="1" containsNumber="1" containsInteger="1" minValue="4506444293" maxValue="4506924343"/>
    </cacheField>
    <cacheField name="CC" numFmtId="0">
      <sharedItems containsString="0" containsBlank="1" containsNumber="1" containsInteger="1" minValue="194567" maxValue="195163"/>
    </cacheField>
    <cacheField name="PLANT" numFmtId="0">
      <sharedItems containsBlank="1"/>
    </cacheField>
    <cacheField name="UNIT NUMBER" numFmtId="0">
      <sharedItems containsBlank="1"/>
    </cacheField>
    <cacheField name="CHARGE DESC" numFmtId="0">
      <sharedItems containsBlank="1"/>
    </cacheField>
    <cacheField name="INV DOC DATE" numFmtId="14">
      <sharedItems containsSemiMixedTypes="0" containsNonDate="0" containsDate="1" containsString="0" minDate="2017-09-01T00:00:00" maxDate="2018-07-02T00:00:00" count="10">
        <d v="2017-09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</sharedItems>
    </cacheField>
    <cacheField name="INV DUE DATE" numFmtId="14">
      <sharedItems containsSemiMixedTypes="0" containsNonDate="0" containsDate="1" containsString="0" minDate="2017-10-01T00:00:00" maxDate="2018-08-01T00:00:00"/>
    </cacheField>
    <cacheField name="BILLING DATE" numFmtId="14">
      <sharedItems containsNonDate="0" containsDate="1" containsString="0" containsBlank="1" minDate="2018-04-30T00:00:00" maxDate="2018-07-21T00:00:00"/>
    </cacheField>
    <cacheField name="AMT PAID" numFmtId="164">
      <sharedItems containsString="0" containsBlank="1" containsNumber="1" minValue="-2520" maxValue="51472.4"/>
    </cacheField>
    <cacheField name="PAYMENT DATE" numFmtId="14">
      <sharedItems containsNonDate="0" containsDate="1" containsString="0" containsBlank="1" minDate="2018-05-31T00:00:00" maxDate="2018-07-06T00:00:00"/>
    </cacheField>
    <cacheField name="AMT OUTSTANDING" numFmtId="164">
      <sharedItems containsSemiMixedTypes="0" containsString="0" containsNumber="1" minValue="-2396.15" maxValue="8680"/>
    </cacheField>
    <cacheField name="AGE OF INV" numFmtId="164">
      <sharedItems/>
    </cacheField>
    <cacheField name="CUST CO" numFmtId="0">
      <sharedItems/>
    </cacheField>
    <cacheField name="CLOSED" numFmtId="0">
      <sharedItems containsBlank="1" count="3">
        <m/>
        <s v="CLOSED"/>
        <s v="SCHEDULED" u="1"/>
      </sharedItems>
    </cacheField>
    <cacheField name="Charge Type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89583331" createdVersion="6" refreshedVersion="6" minRefreshableVersion="3" recordCount="1586" xr:uid="{00000000-000A-0000-FFFF-FFFFC7000000}">
  <cacheSource type="worksheet">
    <worksheetSource name="DHMXX"/>
  </cacheSource>
  <cacheFields count="22">
    <cacheField name="INVNUMBER" numFmtId="0">
      <sharedItems count="30">
        <s v="DRV387732"/>
        <s v="INV360872"/>
        <s v="INV364462"/>
        <s v="INV366287"/>
        <s v="INV368040 "/>
        <s v="INV384270"/>
        <s v="INV384271"/>
        <s v="INV384275"/>
        <s v="INV384289"/>
        <s v="INV386058"/>
        <s v="INV386059"/>
        <s v="INV386063"/>
        <s v="INV386076"/>
        <s v="INV386078"/>
        <s v="INV386079"/>
        <s v="INV387973"/>
        <s v="INV387974"/>
        <s v="INV387978"/>
        <s v="INV387991"/>
        <s v="INV387993"/>
        <s v="INV387994"/>
        <s v="INV389548"/>
        <s v="RPR387697"/>
        <s v="RPR387698"/>
        <s v="RPR387699"/>
        <s v="RPR387700"/>
        <s v="RPR387701"/>
        <s v="RPR387821"/>
        <s v="RPR387901"/>
        <s v="INV368040" u="1"/>
      </sharedItems>
    </cacheField>
    <cacheField name="INV TYPE" numFmtId="0">
      <sharedItems containsBlank="1"/>
    </cacheField>
    <cacheField name="EXT" numFmtId="0">
      <sharedItems containsBlank="1"/>
    </cacheField>
    <cacheField name="COMPANY CODE" numFmtId="0">
      <sharedItems containsString="0" containsBlank="1" containsNumber="1" containsInteger="1" minValue="1" maxValue="5001"/>
    </cacheField>
    <cacheField name="AMT INVOICED" numFmtId="164">
      <sharedItems containsSemiMixedTypes="0" containsString="0" containsNumber="1" minValue="-11.5" maxValue="90211"/>
    </cacheField>
    <cacheField name="SN" numFmtId="0">
      <sharedItems containsString="0" containsBlank="1" containsNumber="1" containsInteger="1" minValue="30080254" maxValue="32361812"/>
    </cacheField>
    <cacheField name="PO" numFmtId="0">
      <sharedItems containsNonDate="0" containsString="0" containsBlank="1"/>
    </cacheField>
    <cacheField name="CC" numFmtId="0">
      <sharedItems containsString="0" containsBlank="1" containsNumber="1" containsInteger="1" minValue="580" maxValue="201323"/>
    </cacheField>
    <cacheField name="PLANT" numFmtId="0">
      <sharedItems containsBlank="1"/>
    </cacheField>
    <cacheField name="UNIT NUMBER" numFmtId="0">
      <sharedItems containsBlank="1"/>
    </cacheField>
    <cacheField name="CHARGE DESC" numFmtId="0">
      <sharedItems containsBlank="1"/>
    </cacheField>
    <cacheField name="INV DOC DATE" numFmtId="14">
      <sharedItems containsSemiMixedTypes="0" containsNonDate="0" containsDate="1" containsString="0" minDate="2017-03-01T00:00:00" maxDate="2018-06-26T00:00:00" count="11">
        <d v="2018-06-05T00:00:00"/>
        <d v="2017-03-01T00:00:00"/>
        <d v="2017-05-01T00:00:00"/>
        <d v="2017-06-01T00:00:00"/>
        <d v="2017-07-01T00:00:00"/>
        <d v="2018-04-01T00:00:00"/>
        <d v="2018-05-01T00:00:00"/>
        <d v="2018-06-01T00:00:00"/>
        <d v="2018-05-30T00:00:00"/>
        <d v="2018-06-19T00:00:00"/>
        <d v="2018-06-25T00:00:00"/>
      </sharedItems>
      <fieldGroup par="21" base="11">
        <rangePr groupBy="days" startDate="2017-03-01T00:00:00" endDate="2018-06-26T00:00:00"/>
        <groupItems count="368">
          <s v="&lt;3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6/2018"/>
        </groupItems>
      </fieldGroup>
    </cacheField>
    <cacheField name="INV DUE DATE" numFmtId="14">
      <sharedItems containsSemiMixedTypes="0" containsNonDate="0" containsDate="1" containsString="0" minDate="2017-03-31T00:00:00" maxDate="2018-07-26T00:00:00"/>
    </cacheField>
    <cacheField name="BILLING DATE" numFmtId="14">
      <sharedItems containsNonDate="0" containsDate="1" containsString="0" containsBlank="1" minDate="2018-05-01T00:00:00" maxDate="2018-07-10T00:00:00"/>
    </cacheField>
    <cacheField name="AMT PAID" numFmtId="164">
      <sharedItems containsString="0" containsBlank="1" containsNumber="1" minValue="-11.5" maxValue="90211"/>
    </cacheField>
    <cacheField name="PAYMENT DATE" numFmtId="14">
      <sharedItems containsNonDate="0" containsDate="1" containsString="0" containsBlank="1" minDate="2018-05-07T00:00:00" maxDate="2018-07-24T00:00:00"/>
    </cacheField>
    <cacheField name="AMT OUTSTANDING" numFmtId="164">
      <sharedItems containsSemiMixedTypes="0" containsString="0" containsNumber="1" containsInteger="1" minValue="-217" maxValue="1470"/>
    </cacheField>
    <cacheField name="AGE OF INV" numFmtId="164">
      <sharedItems/>
    </cacheField>
    <cacheField name="CUST CO" numFmtId="0">
      <sharedItems/>
    </cacheField>
    <cacheField name="CLOSED" numFmtId="0">
      <sharedItems containsBlank="1" count="4">
        <s v="CLOSED"/>
        <m/>
        <s v="*WRITEOFF" u="1"/>
        <s v="SCHEDULED" u="1"/>
      </sharedItems>
    </cacheField>
    <cacheField name="Charge Type" numFmtId="0">
      <sharedItems/>
    </cacheField>
    <cacheField name="Months" numFmtId="0" databaseField="0">
      <fieldGroup base="11">
        <rangePr groupBy="months" startDate="2017-03-01T00:00:00" endDate="2018-06-26T00:00:00"/>
        <groupItems count="14">
          <s v="&lt;3/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900463" createdVersion="6" refreshedVersion="6" minRefreshableVersion="3" recordCount="1357" xr:uid="{00000000-000A-0000-FFFF-FFFFC8000000}">
  <cacheSource type="worksheet">
    <worksheetSource name="DOCXX"/>
  </cacheSource>
  <cacheFields count="21">
    <cacheField name="INVNUMBER" numFmtId="0">
      <sharedItems count="18">
        <s v="INV378744"/>
        <s v="INV380561"/>
        <s v="INV382400"/>
        <s v="INV384269"/>
        <s v="INV384278"/>
        <s v="INV384283"/>
        <s v="INV384290"/>
        <s v="INV386057"/>
        <s v="INV386066"/>
        <s v="INV386071"/>
        <s v="INV386077"/>
        <s v="INV387642"/>
        <s v="INV387972"/>
        <s v="INV387981"/>
        <s v="INV387986"/>
        <s v="RPR382317"/>
        <s v="2000018952CR"/>
        <s v="INV387992"/>
      </sharedItems>
    </cacheField>
    <cacheField name="INV TYPE" numFmtId="0">
      <sharedItems containsBlank="1"/>
    </cacheField>
    <cacheField name="EXT" numFmtId="0">
      <sharedItems containsBlank="1"/>
    </cacheField>
    <cacheField name="COMPANY CODE" numFmtId="0">
      <sharedItems containsString="0" containsBlank="1" containsNumber="1" containsInteger="1" minValue="1" maxValue="4049"/>
    </cacheField>
    <cacheField name="AMT INVOICED" numFmtId="164">
      <sharedItems containsSemiMixedTypes="0" containsString="0" containsNumber="1" minValue="9.35" maxValue="15966.5"/>
    </cacheField>
    <cacheField name="SN" numFmtId="0">
      <sharedItems containsString="0" containsBlank="1" containsNumber="1" containsInteger="1" minValue="23516020" maxValue="42311518"/>
    </cacheField>
    <cacheField name="PO" numFmtId="0">
      <sharedItems containsString="0" containsBlank="1" containsNumber="1" containsInteger="1" minValue="4320253960" maxValue="4700681102"/>
    </cacheField>
    <cacheField name="CC" numFmtId="0">
      <sharedItems containsString="0" containsBlank="1" containsNumber="1" containsInteger="1" minValue="1204" maxValue="172325"/>
    </cacheField>
    <cacheField name="PLANT" numFmtId="0">
      <sharedItems containsBlank="1"/>
    </cacheField>
    <cacheField name="UNIT NUMBER" numFmtId="0">
      <sharedItems containsBlank="1"/>
    </cacheField>
    <cacheField name="CHARGE DESC" numFmtId="0">
      <sharedItems containsBlank="1"/>
    </cacheField>
    <cacheField name="INV DOC DATE" numFmtId="14">
      <sharedItems containsSemiMixedTypes="0" containsNonDate="0" containsDate="1" containsString="0" minDate="2018-01-01T00:00:00" maxDate="2018-07-19T00:00:00" count="9">
        <d v="2018-01-01T00:00:00"/>
        <d v="2018-02-01T00:00:00"/>
        <d v="2018-03-01T00:00:00"/>
        <d v="2018-04-01T00:00:00"/>
        <d v="2018-04-30T00:00:00"/>
        <d v="2018-05-01T00:00:00"/>
        <d v="2018-06-01T00:00:00"/>
        <d v="2018-03-20T00:00:00"/>
        <d v="2018-07-18T00:00:00"/>
      </sharedItems>
    </cacheField>
    <cacheField name="INV DUE DATE" numFmtId="14">
      <sharedItems containsSemiMixedTypes="0" containsNonDate="0" containsDate="1" containsString="0" minDate="2018-01-31T00:00:00" maxDate="2018-08-18T00:00:00"/>
    </cacheField>
    <cacheField name="BILLING DATE" numFmtId="14">
      <sharedItems containsNonDate="0" containsDate="1" containsString="0" containsBlank="1" minDate="2018-04-30T00:00:00" maxDate="2018-07-10T00:00:00"/>
    </cacheField>
    <cacheField name="AMT PAID" numFmtId="164">
      <sharedItems containsString="0" containsBlank="1" containsNumber="1" minValue="9.35" maxValue="15966.5"/>
    </cacheField>
    <cacheField name="PAYMENT DATE" numFmtId="14">
      <sharedItems containsNonDate="0" containsDate="1" containsString="0" containsBlank="1" minDate="2018-05-30T00:00:00" maxDate="2018-07-24T00:00:00"/>
    </cacheField>
    <cacheField name="AMT OUTSTANDING" numFmtId="164">
      <sharedItems containsSemiMixedTypes="0" containsString="0" containsNumber="1" minValue="0" maxValue="8625"/>
    </cacheField>
    <cacheField name="AGE OF INV" numFmtId="164">
      <sharedItems/>
    </cacheField>
    <cacheField name="CUST CO" numFmtId="0">
      <sharedItems/>
    </cacheField>
    <cacheField name="CLOSED" numFmtId="0">
      <sharedItems containsBlank="1" count="3">
        <m/>
        <s v="CLOSED"/>
        <s v="SCHEDULED" u="1"/>
      </sharedItems>
    </cacheField>
    <cacheField name="Charge Type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90162039" createdVersion="6" refreshedVersion="6" minRefreshableVersion="3" recordCount="7" xr:uid="{00000000-000A-0000-FFFF-FFFFC9000000}">
  <cacheSource type="worksheet">
    <worksheetSource name="DWMXX"/>
  </cacheSource>
  <cacheFields count="21">
    <cacheField name="INVNUMBER" numFmtId="0">
      <sharedItems count="7">
        <s v="ADV367343"/>
        <s v="ADV378287"/>
        <s v="ADV380070"/>
        <s v="ADV383732"/>
        <s v="ADV385630"/>
        <s v="ADV387416"/>
        <s v="ADV389318"/>
      </sharedItems>
    </cacheField>
    <cacheField name="INV TYPE" numFmtId="0">
      <sharedItems containsNonDate="0" containsString="0" containsBlank="1"/>
    </cacheField>
    <cacheField name="EXT" numFmtId="0">
      <sharedItems containsNonDate="0" containsString="0" containsBlank="1"/>
    </cacheField>
    <cacheField name="COMPANY CODE" numFmtId="0">
      <sharedItems containsNonDate="0" containsString="0" containsBlank="1"/>
    </cacheField>
    <cacheField name="AMT INVOICED" numFmtId="164">
      <sharedItems containsSemiMixedTypes="0" containsString="0" containsNumber="1" containsInteger="1" minValue="224" maxValue="248"/>
    </cacheField>
    <cacheField name="SN" numFmtId="0">
      <sharedItems containsNonDate="0" containsString="0" containsBlank="1"/>
    </cacheField>
    <cacheField name="PO" numFmtId="0">
      <sharedItems containsString="0" containsBlank="1" containsNumber="1" containsInteger="1" minValue="4506180194" maxValue="4506180194"/>
    </cacheField>
    <cacheField name="CC" numFmtId="0">
      <sharedItems containsNonDate="0" containsString="0" containsBlank="1"/>
    </cacheField>
    <cacheField name="PLANT" numFmtId="0">
      <sharedItems containsNonDate="0" containsString="0" containsBlank="1"/>
    </cacheField>
    <cacheField name="UNIT NUMBER" numFmtId="0">
      <sharedItems containsBlank="1"/>
    </cacheField>
    <cacheField name="CHARGE DESC" numFmtId="0">
      <sharedItems/>
    </cacheField>
    <cacheField name="INV DOC DATE" numFmtId="14">
      <sharedItems containsSemiMixedTypes="0" containsNonDate="0" containsDate="1" containsString="0" minDate="2017-07-01T00:00:00" maxDate="2018-07-02T00:00:00"/>
    </cacheField>
    <cacheField name="INV DUE DATE" numFmtId="14">
      <sharedItems containsSemiMixedTypes="0" containsNonDate="0" containsDate="1" containsString="0" minDate="2017-07-31T00:00:00" maxDate="2018-08-01T00:00:00"/>
    </cacheField>
    <cacheField name="BILLING DATE" numFmtId="14">
      <sharedItems containsNonDate="0" containsDate="1" containsString="0" containsBlank="1" minDate="2018-05-31T00:00:00" maxDate="2018-06-30T00:00:00"/>
    </cacheField>
    <cacheField name="AMT PAID" numFmtId="164">
      <sharedItems containsNonDate="0" containsString="0" containsBlank="1"/>
    </cacheField>
    <cacheField name="PAYMENT DATE" numFmtId="14">
      <sharedItems containsNonDate="0" containsString="0" containsBlank="1"/>
    </cacheField>
    <cacheField name="AMT OUTSTANDING" numFmtId="164">
      <sharedItems containsSemiMixedTypes="0" containsString="0" containsNumber="1" containsInteger="1" minValue="224" maxValue="248"/>
    </cacheField>
    <cacheField name="AGE OF INV" numFmtId="164">
      <sharedItems/>
    </cacheField>
    <cacheField name="CUST CO" numFmtId="0">
      <sharedItems/>
    </cacheField>
    <cacheField name="CLOSED" numFmtId="0">
      <sharedItems containsNonDate="0" containsString="0" containsBlank="1" count="1">
        <m/>
      </sharedItems>
    </cacheField>
    <cacheField name="Charge Type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90277777" createdVersion="6" refreshedVersion="6" minRefreshableVersion="3" recordCount="9" xr:uid="{00000000-000A-0000-FFFF-FFFFCA000000}">
  <cacheSource type="worksheet">
    <worksheetSource name="COA"/>
  </cacheSource>
  <cacheFields count="7">
    <cacheField name="CUST CO" numFmtId="0">
      <sharedItems count="6">
        <s v="BCOXT"/>
        <s v="DCPXX"/>
        <s v="DOCXX"/>
        <s v="DWMXX" u="1"/>
        <s v="DHMXX" u="1"/>
        <s v="DAGXX" u="1"/>
      </sharedItems>
    </cacheField>
    <cacheField name="PAYMENT REF" numFmtId="0">
      <sharedItems/>
    </cacheField>
    <cacheField name="AMOUNT" numFmtId="8">
      <sharedItems containsSemiMixedTypes="0" containsString="0" containsNumber="1" minValue="-20355.57" maxValue="-24"/>
    </cacheField>
    <cacheField name="PAYMENT DATE" numFmtId="14">
      <sharedItems containsSemiMixedTypes="0" containsNonDate="0" containsDate="1" containsString="0" minDate="2017-06-16T00:00:00" maxDate="2018-06-14T00:00:00"/>
    </cacheField>
    <cacheField name="AGE" numFmtId="14">
      <sharedItems/>
    </cacheField>
    <cacheField name="CHARGE_TYPE" numFmtId="14">
      <sharedItems/>
    </cacheField>
    <cacheField name="REAS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o Gargurevich" refreshedDate="43304.515290509262" createdVersion="6" refreshedVersion="6" minRefreshableVersion="3" recordCount="9" xr:uid="{00000000-000A-0000-FFFF-FFFFCB000000}">
  <cacheSource type="worksheet">
    <worksheetSource name="PendingBilling"/>
  </cacheSource>
  <cacheFields count="8">
    <cacheField name="CUST CO" numFmtId="0">
      <sharedItems containsBlank="1" count="8">
        <s v="DAGXX"/>
        <s v="DCPXX"/>
        <s v="BCOXT"/>
        <m u="1"/>
        <s v="N/A" u="1"/>
        <s v="DWMXX" u="1"/>
        <s v="DHMXX" u="1"/>
        <s v="DOCXX" u="1"/>
      </sharedItems>
    </cacheField>
    <cacheField name="INVOICE " numFmtId="49">
      <sharedItems containsBlank="1" count="29">
        <s v="INV387967"/>
        <s v="INV389136"/>
        <s v="ADV389163"/>
        <s v="ADV389545"/>
        <s v="ADV389158            "/>
        <s v="RPR389727            "/>
        <s v="RPR389728            "/>
        <s v="RPR389729            "/>
        <s v="RPR389730            "/>
        <m u="1"/>
        <s v="INV387981 (Prorate portion)" u="1"/>
        <s v="INV387986" u="1"/>
        <s v="INV387973 (Rohm&amp;Hass portion)" u="1"/>
        <s v="INV387992" u="1"/>
        <s v="RPR387697" u="1"/>
        <s v="RPR387700" u="1"/>
        <s v="All invoices have been sent" u="1"/>
        <s v="INV386071" u="1"/>
        <s v="INV386066 (Pooled portion)" u="1"/>
        <s v="INV387994" u="1"/>
        <s v="INV387972" u="1"/>
        <s v="RPR387699" u="1"/>
        <s v="ADV389300" u="1"/>
        <s v="ADV389162" u="1"/>
        <s v="ADV389159" u="1"/>
        <s v="INV386057" u="1"/>
        <s v="INV387971" u="1"/>
        <s v="RPR387698" u="1"/>
        <s v="RPR387701" u="1"/>
      </sharedItems>
    </cacheField>
    <cacheField name="AMOUNT" numFmtId="164">
      <sharedItems containsSemiMixedTypes="0" containsString="0" containsNumber="1" minValue="431.58" maxValue="59207.21"/>
    </cacheField>
    <cacheField name="INVOICE DATE" numFmtId="14">
      <sharedItems containsSemiMixedTypes="0" containsNonDate="0" containsDate="1" containsString="0" minDate="2018-06-01T00:00:00" maxDate="2018-07-14T00:00:00"/>
    </cacheField>
    <cacheField name="REASON" numFmtId="0">
      <sharedItems/>
    </cacheField>
    <cacheField name="INV MONTH" numFmtId="0">
      <sharedItems/>
    </cacheField>
    <cacheField name="CHARGE TYPE" numFmtId="0">
      <sharedItems/>
    </cacheField>
    <cacheField name="AG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4">
  <r>
    <x v="0"/>
    <s v="CC"/>
    <s v="R"/>
    <n v="5405"/>
    <n v="248"/>
    <m/>
    <m/>
    <n v="11759"/>
    <s v="D553"/>
    <s v="TOLU9060390"/>
    <s v="Rental"/>
    <x v="0"/>
    <d v="2017-05-31T00:00:00"/>
    <m/>
    <n v="248"/>
    <d v="2018-07-09T00:00:00"/>
    <n v="0"/>
    <s v="More than 60 days"/>
    <s v="BCOXT"/>
    <x v="0"/>
    <s v="Invoice"/>
  </r>
  <r>
    <x v="0"/>
    <s v="CC"/>
    <s v="S"/>
    <n v="5405"/>
    <n v="248"/>
    <m/>
    <m/>
    <n v="11759"/>
    <s v="D553"/>
    <s v="TRLU0210200"/>
    <s v="Rental"/>
    <x v="0"/>
    <d v="2017-05-31T00:00:00"/>
    <m/>
    <n v="248"/>
    <d v="2018-07-09T00:00:00"/>
    <n v="0"/>
    <s v="More than 60 days"/>
    <s v="BCOXT"/>
    <x v="0"/>
    <s v="Invoice"/>
  </r>
  <r>
    <x v="0"/>
    <s v="CC"/>
    <s v="T"/>
    <n v="5405"/>
    <n v="248"/>
    <m/>
    <m/>
    <n v="11759"/>
    <s v="D553"/>
    <s v="TRLU0210909"/>
    <s v="Rental"/>
    <x v="0"/>
    <d v="2017-05-31T00:00:00"/>
    <m/>
    <n v="248"/>
    <d v="2018-07-09T00:00:00"/>
    <n v="0"/>
    <s v="More than 60 days"/>
    <s v="BCOXT"/>
    <x v="0"/>
    <s v="Invoice"/>
  </r>
  <r>
    <x v="0"/>
    <s v="CC"/>
    <s v="U"/>
    <n v="5405"/>
    <n v="248"/>
    <m/>
    <m/>
    <n v="11759"/>
    <s v="D553"/>
    <s v="TRLU0212645"/>
    <s v="Rental"/>
    <x v="0"/>
    <d v="2017-05-31T00:00:00"/>
    <m/>
    <n v="248"/>
    <d v="2018-07-09T00:00:00"/>
    <n v="0"/>
    <s v="More than 60 days"/>
    <s v="BCOXT"/>
    <x v="0"/>
    <s v="Invoice"/>
  </r>
  <r>
    <x v="0"/>
    <s v="CC"/>
    <s v="V"/>
    <n v="5405"/>
    <n v="248"/>
    <m/>
    <m/>
    <n v="11759"/>
    <s v="D553"/>
    <s v="TRLU0216260"/>
    <s v="Rental"/>
    <x v="0"/>
    <d v="2017-05-31T00:00:00"/>
    <m/>
    <n v="248"/>
    <d v="2018-07-09T00:00:00"/>
    <n v="0"/>
    <s v="More than 60 days"/>
    <s v="BCOXT"/>
    <x v="0"/>
    <s v="Invoice"/>
  </r>
  <r>
    <x v="0"/>
    <s v="CC"/>
    <s v="W"/>
    <n v="5405"/>
    <n v="248"/>
    <m/>
    <m/>
    <n v="11759"/>
    <s v="D553"/>
    <s v="TRLU0219090"/>
    <s v="Rental"/>
    <x v="0"/>
    <d v="2017-05-31T00:00:00"/>
    <m/>
    <n v="248"/>
    <d v="2018-07-09T00:00:00"/>
    <n v="0"/>
    <s v="More than 60 days"/>
    <s v="BCOXT"/>
    <x v="0"/>
    <s v="Invoice"/>
  </r>
  <r>
    <x v="1"/>
    <s v="CC"/>
    <s v="C"/>
    <n v="5405"/>
    <n v="577.5"/>
    <m/>
    <m/>
    <n v="68157"/>
    <s v="D059"/>
    <s v="EXFU8300010"/>
    <s v="Rental"/>
    <x v="1"/>
    <d v="2017-07-01T00:00:00"/>
    <m/>
    <n v="577.5"/>
    <d v="2018-06-04T00:00:00"/>
    <n v="0"/>
    <s v="More than 60 days"/>
    <s v="BCOXT"/>
    <x v="0"/>
    <s v="Invoice"/>
  </r>
  <r>
    <x v="1"/>
    <s v="CC"/>
    <s v="D"/>
    <n v="5405"/>
    <n v="240"/>
    <m/>
    <m/>
    <n v="68183"/>
    <s v="D059"/>
    <s v="EXFU0508732"/>
    <s v="Rental"/>
    <x v="1"/>
    <d v="2017-07-01T00:00:00"/>
    <m/>
    <n v="240"/>
    <d v="2018-06-04T00:00:00"/>
    <n v="0"/>
    <s v="More than 60 days"/>
    <s v="BCOXT"/>
    <x v="0"/>
    <s v="Invoice"/>
  </r>
  <r>
    <x v="1"/>
    <s v="CC"/>
    <s v="E"/>
    <n v="5405"/>
    <n v="240"/>
    <m/>
    <m/>
    <n v="82624"/>
    <s v="D181"/>
    <s v="TOLU9260227"/>
    <s v="Rental"/>
    <x v="1"/>
    <d v="2017-07-01T00:00:00"/>
    <m/>
    <n v="240"/>
    <d v="2018-06-04T00:00:00"/>
    <n v="0"/>
    <s v="More than 60 days"/>
    <s v="BCOXT"/>
    <x v="0"/>
    <s v="Invoice"/>
  </r>
  <r>
    <x v="1"/>
    <s v="CC"/>
    <s v="F"/>
    <n v="5405"/>
    <n v="240"/>
    <m/>
    <m/>
    <n v="56534"/>
    <s v="D229"/>
    <s v="EXFU8214457"/>
    <s v="Rental"/>
    <x v="1"/>
    <d v="2017-07-01T00:00:00"/>
    <m/>
    <n v="240"/>
    <d v="2018-06-04T00:00:00"/>
    <n v="0"/>
    <s v="More than 60 days"/>
    <s v="BCOXT"/>
    <x v="0"/>
    <s v="Invoice"/>
  </r>
  <r>
    <x v="1"/>
    <s v="CC"/>
    <s v="G"/>
    <n v="5405"/>
    <n v="240"/>
    <m/>
    <m/>
    <n v="56534"/>
    <s v="D229"/>
    <s v="EXFU8214462"/>
    <s v="Rental"/>
    <x v="1"/>
    <d v="2017-07-01T00:00:00"/>
    <m/>
    <n v="240"/>
    <d v="2018-06-04T00:00:00"/>
    <n v="0"/>
    <s v="More than 60 days"/>
    <s v="BCOXT"/>
    <x v="0"/>
    <s v="Invoice"/>
  </r>
  <r>
    <x v="1"/>
    <s v="CC"/>
    <s v="H"/>
    <n v="5405"/>
    <n v="240"/>
    <m/>
    <m/>
    <n v="56534"/>
    <s v="D229"/>
    <s v="EXFU8214478"/>
    <s v="Rental"/>
    <x v="1"/>
    <d v="2017-07-01T00:00:00"/>
    <m/>
    <n v="240"/>
    <d v="2018-06-04T00:00:00"/>
    <n v="0"/>
    <s v="More than 60 days"/>
    <s v="BCOXT"/>
    <x v="0"/>
    <s v="Invoice"/>
  </r>
  <r>
    <x v="1"/>
    <s v="CC"/>
    <s v="I"/>
    <n v="5405"/>
    <n v="240"/>
    <m/>
    <m/>
    <n v="56534"/>
    <s v="D229"/>
    <s v="EXFU8214483"/>
    <s v="Rental"/>
    <x v="1"/>
    <d v="2017-07-01T00:00:00"/>
    <m/>
    <n v="240"/>
    <d v="2018-06-04T00:00:00"/>
    <n v="0"/>
    <s v="More than 60 days"/>
    <s v="BCOXT"/>
    <x v="0"/>
    <s v="Invoice"/>
  </r>
  <r>
    <x v="2"/>
    <s v="PO"/>
    <s v="A"/>
    <n v="5405"/>
    <n v="240"/>
    <m/>
    <n v="4320000188"/>
    <m/>
    <m/>
    <s v="EXXU 999613-7"/>
    <s v="Rental"/>
    <x v="2"/>
    <d v="2017-12-01T00:00:00"/>
    <m/>
    <m/>
    <m/>
    <n v="240"/>
    <s v="More than 60 days"/>
    <s v="BCOXT"/>
    <x v="1"/>
    <s v="Invoice"/>
  </r>
  <r>
    <x v="3"/>
    <s v="CC"/>
    <s v="A"/>
    <n v="5405"/>
    <n v="248"/>
    <m/>
    <m/>
    <n v="66964"/>
    <s v="D020"/>
    <s v="USPU122501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"/>
    <n v="5405"/>
    <n v="271.25"/>
    <m/>
    <m/>
    <n v="67094"/>
    <s v="D020"/>
    <s v="EXFU1448258"/>
    <s v="Rental"/>
    <x v="3"/>
    <d v="2017-12-31T00:00:00"/>
    <d v="2018-01-12T00:00:00"/>
    <m/>
    <m/>
    <n v="271.25"/>
    <s v="More than 60 days"/>
    <s v="BCOXT"/>
    <x v="1"/>
    <s v="Invoice"/>
  </r>
  <r>
    <x v="3"/>
    <s v="CC"/>
    <s v="C"/>
    <n v="5405"/>
    <n v="248"/>
    <m/>
    <m/>
    <n v="68183"/>
    <s v="D059"/>
    <s v="EXFU050873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"/>
    <n v="5405"/>
    <n v="248"/>
    <m/>
    <m/>
    <n v="68355"/>
    <s v="D300"/>
    <s v="EXFU054270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E"/>
    <n v="5405"/>
    <n v="248"/>
    <m/>
    <m/>
    <n v="68355"/>
    <s v="D300"/>
    <s v="EXFU054319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F"/>
    <n v="5405"/>
    <n v="248"/>
    <m/>
    <m/>
    <n v="68355"/>
    <s v="D300"/>
    <s v="EXFU054320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G"/>
    <n v="5405"/>
    <n v="248"/>
    <m/>
    <m/>
    <n v="68355"/>
    <s v="D300"/>
    <s v="EXFU054538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H"/>
    <n v="5405"/>
    <n v="248"/>
    <m/>
    <m/>
    <n v="68355"/>
    <s v="D300"/>
    <s v="EXFU0546157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I"/>
    <n v="5405"/>
    <n v="248"/>
    <m/>
    <m/>
    <n v="68355"/>
    <s v="D300"/>
    <s v="EXFU054618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J"/>
    <n v="5405"/>
    <n v="248"/>
    <m/>
    <m/>
    <n v="68355"/>
    <s v="D300"/>
    <s v="EXFU0563766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K"/>
    <n v="5405"/>
    <n v="248"/>
    <m/>
    <m/>
    <n v="68355"/>
    <s v="D300"/>
    <s v="EXFU061111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L"/>
    <n v="5405"/>
    <n v="248"/>
    <m/>
    <m/>
    <n v="68355"/>
    <s v="D300"/>
    <s v="EXFU061116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M"/>
    <n v="5405"/>
    <n v="248"/>
    <m/>
    <m/>
    <n v="68355"/>
    <s v="D300"/>
    <s v="EXFU061119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N"/>
    <n v="5405"/>
    <n v="248"/>
    <m/>
    <m/>
    <n v="68355"/>
    <s v="D300"/>
    <s v="EXFU061120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O"/>
    <n v="5405"/>
    <n v="248"/>
    <m/>
    <m/>
    <n v="68355"/>
    <s v="D300"/>
    <s v="EXFU061121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P"/>
    <n v="5405"/>
    <n v="248"/>
    <m/>
    <m/>
    <n v="68355"/>
    <s v="D300"/>
    <s v="EXFU061123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Q"/>
    <n v="5405"/>
    <n v="248"/>
    <m/>
    <m/>
    <n v="68355"/>
    <s v="D300"/>
    <s v="EXFU061126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R"/>
    <n v="5405"/>
    <n v="248"/>
    <m/>
    <m/>
    <n v="68355"/>
    <s v="D300"/>
    <s v="EXFU061127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S"/>
    <n v="5405"/>
    <n v="248"/>
    <m/>
    <m/>
    <n v="68355"/>
    <s v="D300"/>
    <s v="EXFU0611294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T"/>
    <n v="5405"/>
    <n v="248"/>
    <m/>
    <m/>
    <n v="68355"/>
    <s v="D300"/>
    <s v="EXFU062226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U"/>
    <n v="5405"/>
    <n v="248"/>
    <m/>
    <m/>
    <n v="68355"/>
    <s v="D300"/>
    <s v="EXFU062232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V"/>
    <n v="5405"/>
    <n v="248"/>
    <m/>
    <m/>
    <n v="68355"/>
    <s v="D300"/>
    <s v="EXFU062237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W"/>
    <n v="5405"/>
    <n v="248"/>
    <m/>
    <m/>
    <n v="68355"/>
    <s v="D300"/>
    <s v="EXFU0622386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X"/>
    <n v="5405"/>
    <n v="248"/>
    <m/>
    <m/>
    <n v="68355"/>
    <s v="D300"/>
    <s v="EXFU062241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Y"/>
    <n v="5405"/>
    <n v="248"/>
    <m/>
    <m/>
    <n v="68355"/>
    <s v="D300"/>
    <s v="EXFU0622426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Z"/>
    <n v="5405"/>
    <n v="248"/>
    <m/>
    <m/>
    <n v="68355"/>
    <s v="D300"/>
    <s v="EXFU0622447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A"/>
    <n v="5405"/>
    <n v="263.5"/>
    <m/>
    <m/>
    <n v="67864"/>
    <s v="D344"/>
    <s v="EXSZ9017301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AB"/>
    <n v="5405"/>
    <n v="263.5"/>
    <m/>
    <m/>
    <n v="67864"/>
    <s v="D344"/>
    <s v="EXSZ9017317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AC"/>
    <n v="5405"/>
    <n v="248"/>
    <m/>
    <m/>
    <n v="68147"/>
    <s v="D344"/>
    <s v="EXFU821646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D"/>
    <n v="5405"/>
    <n v="248"/>
    <m/>
    <m/>
    <n v="68147"/>
    <s v="D344"/>
    <s v="USPU122485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E"/>
    <n v="5405"/>
    <n v="248"/>
    <m/>
    <m/>
    <n v="68156"/>
    <s v="D344"/>
    <s v="EXFU810137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F"/>
    <n v="5405"/>
    <n v="248"/>
    <m/>
    <m/>
    <n v="68156"/>
    <s v="D344"/>
    <s v="EXFU810710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G"/>
    <n v="5405"/>
    <n v="248"/>
    <m/>
    <m/>
    <n v="68156"/>
    <s v="D344"/>
    <s v="EXFU810748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H"/>
    <n v="5405"/>
    <n v="248"/>
    <m/>
    <m/>
    <n v="68156"/>
    <s v="D344"/>
    <s v="TOLU926009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I"/>
    <n v="5405"/>
    <n v="248"/>
    <m/>
    <m/>
    <n v="68156"/>
    <s v="D344"/>
    <s v="TOLU9260546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J"/>
    <n v="5405"/>
    <n v="248"/>
    <m/>
    <m/>
    <n v="68157"/>
    <s v="D344"/>
    <s v="EXFU059950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K"/>
    <n v="5405"/>
    <n v="596.75"/>
    <m/>
    <m/>
    <n v="68157"/>
    <s v="D344"/>
    <s v="EXFU8300010"/>
    <s v="Rental"/>
    <x v="3"/>
    <d v="2017-12-31T00:00:00"/>
    <d v="2018-01-12T00:00:00"/>
    <m/>
    <m/>
    <n v="596.75"/>
    <s v="More than 60 days"/>
    <s v="BCOXT"/>
    <x v="1"/>
    <s v="Invoice"/>
  </r>
  <r>
    <x v="3"/>
    <s v="CC"/>
    <s v="AL"/>
    <n v="5405"/>
    <n v="596.75"/>
    <m/>
    <m/>
    <n v="68157"/>
    <s v="D344"/>
    <s v="EXFU8300025"/>
    <s v="Rental"/>
    <x v="3"/>
    <d v="2017-12-31T00:00:00"/>
    <d v="2018-01-12T00:00:00"/>
    <m/>
    <m/>
    <n v="596.75"/>
    <s v="More than 60 days"/>
    <s v="BCOXT"/>
    <x v="1"/>
    <s v="Invoice"/>
  </r>
  <r>
    <x v="3"/>
    <s v="CC"/>
    <s v="AM"/>
    <n v="5405"/>
    <n v="263.5"/>
    <m/>
    <m/>
    <n v="68157"/>
    <s v="D344"/>
    <s v="EXSZ9017261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AN"/>
    <n v="5405"/>
    <n v="263.5"/>
    <m/>
    <m/>
    <n v="68157"/>
    <s v="D344"/>
    <s v="EXSZ9017277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AO"/>
    <n v="5405"/>
    <n v="263.5"/>
    <m/>
    <m/>
    <n v="68157"/>
    <s v="D344"/>
    <s v="EXSZ9017282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AP"/>
    <n v="5405"/>
    <n v="263.5"/>
    <m/>
    <m/>
    <n v="68157"/>
    <s v="D344"/>
    <s v="EXSZ9017298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AQ"/>
    <n v="5405"/>
    <n v="248"/>
    <m/>
    <m/>
    <n v="68157"/>
    <s v="D344"/>
    <s v="TRLU0214587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R"/>
    <n v="5405"/>
    <n v="502.2"/>
    <m/>
    <m/>
    <n v="68157"/>
    <s v="D344"/>
    <s v="TRLU8300341"/>
    <s v="Rental"/>
    <x v="3"/>
    <d v="2017-12-31T00:00:00"/>
    <d v="2018-01-12T00:00:00"/>
    <m/>
    <m/>
    <n v="502.2"/>
    <s v="More than 60 days"/>
    <s v="BCOXT"/>
    <x v="1"/>
    <s v="Invoice"/>
  </r>
  <r>
    <x v="3"/>
    <s v="CC"/>
    <s v="AS"/>
    <n v="5405"/>
    <n v="502.2"/>
    <m/>
    <m/>
    <n v="68157"/>
    <s v="D344"/>
    <s v="TRLU8300418"/>
    <s v="Rental"/>
    <x v="3"/>
    <d v="2017-12-31T00:00:00"/>
    <d v="2018-01-12T00:00:00"/>
    <m/>
    <m/>
    <n v="502.2"/>
    <s v="More than 60 days"/>
    <s v="BCOXT"/>
    <x v="1"/>
    <s v="Invoice"/>
  </r>
  <r>
    <x v="3"/>
    <s v="CC"/>
    <s v="AT"/>
    <n v="5405"/>
    <n v="270.94"/>
    <m/>
    <m/>
    <n v="68159"/>
    <s v="D344"/>
    <s v="EXFU0598910"/>
    <s v="Rental"/>
    <x v="3"/>
    <d v="2017-12-31T00:00:00"/>
    <d v="2018-01-12T00:00:00"/>
    <m/>
    <m/>
    <n v="270.94"/>
    <s v="More than 60 days"/>
    <s v="BCOXT"/>
    <x v="1"/>
    <s v="Invoice"/>
  </r>
  <r>
    <x v="3"/>
    <s v="CC"/>
    <s v="AU"/>
    <n v="5405"/>
    <n v="248"/>
    <m/>
    <m/>
    <n v="68159"/>
    <s v="D344"/>
    <s v="USPU124608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V"/>
    <n v="5405"/>
    <n v="248"/>
    <m/>
    <m/>
    <n v="68159"/>
    <s v="D344"/>
    <s v="USPU124667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W"/>
    <n v="5405"/>
    <n v="248"/>
    <m/>
    <m/>
    <n v="68161"/>
    <s v="D344"/>
    <s v="EXFU820723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X"/>
    <n v="5405"/>
    <n v="248"/>
    <m/>
    <m/>
    <n v="68161"/>
    <s v="D344"/>
    <s v="EXFU821465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Y"/>
    <n v="5405"/>
    <n v="248"/>
    <m/>
    <m/>
    <n v="68161"/>
    <s v="D344"/>
    <s v="EXFU8216254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AZ"/>
    <n v="5405"/>
    <n v="248"/>
    <m/>
    <m/>
    <n v="68161"/>
    <s v="D344"/>
    <s v="EXFU821630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A"/>
    <n v="5405"/>
    <n v="248"/>
    <m/>
    <m/>
    <n v="68161"/>
    <s v="D344"/>
    <s v="EXFU821631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B"/>
    <n v="5405"/>
    <n v="248"/>
    <m/>
    <m/>
    <n v="68161"/>
    <s v="D344"/>
    <s v="EXFU821841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C"/>
    <n v="5405"/>
    <n v="263.5"/>
    <m/>
    <m/>
    <n v="68161"/>
    <s v="D344"/>
    <s v="EXSZ9016141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D"/>
    <n v="5405"/>
    <n v="263.5"/>
    <m/>
    <m/>
    <n v="68161"/>
    <s v="D344"/>
    <s v="EXSZ9016157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E"/>
    <n v="5405"/>
    <n v="263.5"/>
    <m/>
    <m/>
    <n v="68161"/>
    <s v="D344"/>
    <s v="EXSZ9016162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F"/>
    <n v="5405"/>
    <n v="263.5"/>
    <m/>
    <m/>
    <n v="68161"/>
    <s v="D344"/>
    <s v="EXSZ9016178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G"/>
    <n v="5405"/>
    <n v="263.5"/>
    <m/>
    <m/>
    <n v="68161"/>
    <s v="D344"/>
    <s v="EXSZ9016183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H"/>
    <n v="5405"/>
    <n v="263.5"/>
    <m/>
    <m/>
    <n v="68161"/>
    <s v="D344"/>
    <s v="EXSZ9016199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I"/>
    <n v="5405"/>
    <n v="263.5"/>
    <m/>
    <m/>
    <n v="68161"/>
    <s v="D344"/>
    <s v="EXSZ9016202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J"/>
    <n v="5405"/>
    <n v="263.5"/>
    <m/>
    <m/>
    <n v="68161"/>
    <s v="D344"/>
    <s v="EXSZ9016239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K"/>
    <n v="5405"/>
    <n v="263.5"/>
    <m/>
    <m/>
    <n v="68161"/>
    <s v="D344"/>
    <s v="EXSZ9016244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L"/>
    <n v="5405"/>
    <n v="263.5"/>
    <m/>
    <m/>
    <n v="68161"/>
    <s v="D344"/>
    <s v="EXSZ9016250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BM"/>
    <n v="5405"/>
    <n v="248"/>
    <m/>
    <m/>
    <n v="68161"/>
    <s v="D344"/>
    <s v="TRLU021805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N"/>
    <n v="5405"/>
    <n v="248"/>
    <m/>
    <m/>
    <n v="68161"/>
    <s v="D344"/>
    <s v="TRLU022018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O"/>
    <n v="5405"/>
    <n v="248"/>
    <m/>
    <m/>
    <n v="68161"/>
    <s v="D344"/>
    <s v="TRLU022035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P"/>
    <n v="5405"/>
    <n v="248"/>
    <m/>
    <m/>
    <n v="68161"/>
    <s v="D344"/>
    <s v="TRLU027173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Q"/>
    <n v="5405"/>
    <n v="248"/>
    <m/>
    <m/>
    <n v="68161"/>
    <s v="D344"/>
    <s v="USPU122054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R"/>
    <n v="5405"/>
    <n v="248"/>
    <m/>
    <m/>
    <n v="68161"/>
    <s v="D344"/>
    <s v="USPU1245044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S"/>
    <n v="5405"/>
    <n v="248"/>
    <m/>
    <m/>
    <n v="68178"/>
    <s v="D344"/>
    <s v="EXFU0516234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T"/>
    <n v="5405"/>
    <n v="248"/>
    <m/>
    <m/>
    <n v="68178"/>
    <s v="D344"/>
    <s v="EXFU053036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BU"/>
    <n v="5405"/>
    <n v="558"/>
    <m/>
    <m/>
    <n v="68178"/>
    <s v="D344"/>
    <s v="EXFU1447821"/>
    <s v="Rental"/>
    <x v="3"/>
    <d v="2017-12-31T00:00:00"/>
    <d v="2018-01-12T00:00:00"/>
    <m/>
    <m/>
    <n v="558"/>
    <s v="More than 60 days"/>
    <s v="BCOXT"/>
    <x v="1"/>
    <s v="Invoice"/>
  </r>
  <r>
    <x v="3"/>
    <s v="CC"/>
    <s v="BV"/>
    <n v="5405"/>
    <n v="558"/>
    <m/>
    <m/>
    <n v="68178"/>
    <s v="D344"/>
    <s v="EXFU1447992"/>
    <s v="Rental"/>
    <x v="3"/>
    <d v="2017-12-31T00:00:00"/>
    <d v="2018-01-12T00:00:00"/>
    <m/>
    <m/>
    <n v="558"/>
    <s v="More than 60 days"/>
    <s v="BCOXT"/>
    <x v="1"/>
    <s v="Invoice"/>
  </r>
  <r>
    <x v="3"/>
    <s v="CC"/>
    <s v="BW"/>
    <n v="5405"/>
    <n v="558"/>
    <m/>
    <m/>
    <n v="68178"/>
    <s v="D344"/>
    <s v="EXFU1448031"/>
    <s v="Rental"/>
    <x v="3"/>
    <d v="2017-12-31T00:00:00"/>
    <d v="2018-01-12T00:00:00"/>
    <m/>
    <m/>
    <n v="558"/>
    <s v="More than 60 days"/>
    <s v="BCOXT"/>
    <x v="1"/>
    <s v="Invoice"/>
  </r>
  <r>
    <x v="3"/>
    <s v="CC"/>
    <s v="BX"/>
    <n v="5405"/>
    <n v="558"/>
    <m/>
    <m/>
    <n v="68178"/>
    <s v="D344"/>
    <s v="EXFU1448068"/>
    <s v="Rental"/>
    <x v="3"/>
    <d v="2017-12-31T00:00:00"/>
    <d v="2018-01-12T00:00:00"/>
    <m/>
    <m/>
    <n v="558"/>
    <s v="More than 60 days"/>
    <s v="BCOXT"/>
    <x v="1"/>
    <s v="Invoice"/>
  </r>
  <r>
    <x v="3"/>
    <s v="CC"/>
    <s v="BY"/>
    <n v="5405"/>
    <n v="558"/>
    <m/>
    <m/>
    <n v="68178"/>
    <s v="D344"/>
    <s v="EXFU1448094"/>
    <s v="Rental"/>
    <x v="3"/>
    <d v="2017-12-31T00:00:00"/>
    <d v="2018-01-12T00:00:00"/>
    <m/>
    <m/>
    <n v="558"/>
    <s v="More than 60 days"/>
    <s v="BCOXT"/>
    <x v="1"/>
    <s v="Invoice"/>
  </r>
  <r>
    <x v="3"/>
    <s v="CC"/>
    <s v="BZ"/>
    <n v="5405"/>
    <n v="248"/>
    <m/>
    <m/>
    <n v="68178"/>
    <s v="D344"/>
    <s v="EXFU821467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A"/>
    <n v="5405"/>
    <n v="248"/>
    <m/>
    <m/>
    <n v="68178"/>
    <s v="D344"/>
    <s v="EXFU821649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B"/>
    <n v="5405"/>
    <n v="248"/>
    <m/>
    <m/>
    <n v="68178"/>
    <s v="D344"/>
    <s v="EXFU821653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C"/>
    <n v="5405"/>
    <n v="372"/>
    <m/>
    <m/>
    <n v="68178"/>
    <s v="D344"/>
    <s v="EXSZ9015823"/>
    <s v="Rental"/>
    <x v="3"/>
    <d v="2017-12-31T00:00:00"/>
    <d v="2018-01-12T00:00:00"/>
    <m/>
    <m/>
    <n v="372"/>
    <s v="More than 60 days"/>
    <s v="BCOXT"/>
    <x v="1"/>
    <s v="Invoice"/>
  </r>
  <r>
    <x v="3"/>
    <s v="CC"/>
    <s v="CD"/>
    <n v="5405"/>
    <n v="372"/>
    <m/>
    <m/>
    <n v="68178"/>
    <s v="D344"/>
    <s v="EXSZ9015886"/>
    <s v="Rental"/>
    <x v="3"/>
    <d v="2017-12-31T00:00:00"/>
    <d v="2018-01-12T00:00:00"/>
    <m/>
    <m/>
    <n v="372"/>
    <s v="More than 60 days"/>
    <s v="BCOXT"/>
    <x v="1"/>
    <s v="Invoice"/>
  </r>
  <r>
    <x v="3"/>
    <s v="CC"/>
    <s v="CE"/>
    <n v="5405"/>
    <n v="372"/>
    <m/>
    <m/>
    <n v="68178"/>
    <s v="D344"/>
    <s v="EXSZ9016028"/>
    <s v="Rental"/>
    <x v="3"/>
    <d v="2017-12-31T00:00:00"/>
    <d v="2018-01-12T00:00:00"/>
    <m/>
    <m/>
    <n v="372"/>
    <s v="More than 60 days"/>
    <s v="BCOXT"/>
    <x v="1"/>
    <s v="Invoice"/>
  </r>
  <r>
    <x v="3"/>
    <s v="CC"/>
    <s v="CF"/>
    <n v="5405"/>
    <n v="372"/>
    <m/>
    <m/>
    <n v="68178"/>
    <s v="D344"/>
    <s v="EXSZ9018150"/>
    <s v="Rental"/>
    <x v="3"/>
    <d v="2017-12-31T00:00:00"/>
    <d v="2018-01-12T00:00:00"/>
    <m/>
    <m/>
    <n v="372"/>
    <s v="More than 60 days"/>
    <s v="BCOXT"/>
    <x v="1"/>
    <s v="Invoice"/>
  </r>
  <r>
    <x v="3"/>
    <s v="CC"/>
    <s v="CG"/>
    <n v="5405"/>
    <n v="372"/>
    <m/>
    <m/>
    <n v="68178"/>
    <s v="D344"/>
    <s v="EXSZ9018247"/>
    <s v="Rental"/>
    <x v="3"/>
    <d v="2017-12-31T00:00:00"/>
    <d v="2018-01-12T00:00:00"/>
    <m/>
    <m/>
    <n v="372"/>
    <s v="More than 60 days"/>
    <s v="BCOXT"/>
    <x v="1"/>
    <s v="Invoice"/>
  </r>
  <r>
    <x v="3"/>
    <s v="CC"/>
    <s v="CH"/>
    <n v="5405"/>
    <n v="372"/>
    <m/>
    <m/>
    <n v="68178"/>
    <s v="D344"/>
    <s v="EXSZ9018329"/>
    <s v="Rental"/>
    <x v="3"/>
    <d v="2017-12-31T00:00:00"/>
    <d v="2018-01-12T00:00:00"/>
    <m/>
    <m/>
    <n v="372"/>
    <s v="More than 60 days"/>
    <s v="BCOXT"/>
    <x v="1"/>
    <s v="Invoice"/>
  </r>
  <r>
    <x v="3"/>
    <s v="CC"/>
    <s v="CI"/>
    <n v="5405"/>
    <n v="248"/>
    <m/>
    <m/>
    <n v="68178"/>
    <s v="D344"/>
    <s v="EXXU998108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J"/>
    <n v="5405"/>
    <n v="248"/>
    <m/>
    <m/>
    <n v="68178"/>
    <s v="D344"/>
    <s v="TPMU451160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K"/>
    <n v="5405"/>
    <n v="248"/>
    <m/>
    <m/>
    <n v="68178"/>
    <s v="D344"/>
    <s v="TRLU024027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L"/>
    <n v="5405"/>
    <n v="248"/>
    <m/>
    <m/>
    <n v="68178"/>
    <s v="D344"/>
    <s v="TRLU026907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M"/>
    <n v="5405"/>
    <n v="248"/>
    <m/>
    <m/>
    <n v="68178"/>
    <s v="D344"/>
    <s v="TRLU026910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N"/>
    <n v="5405"/>
    <n v="248"/>
    <m/>
    <m/>
    <n v="68178"/>
    <s v="D344"/>
    <s v="USPU124144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O"/>
    <n v="5405"/>
    <n v="248"/>
    <m/>
    <m/>
    <n v="68178"/>
    <s v="D344"/>
    <s v="USPU1247896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P"/>
    <n v="5405"/>
    <n v="558"/>
    <m/>
    <m/>
    <n v="172441"/>
    <s v="D344"/>
    <s v="EXFU1447950"/>
    <s v="Rental"/>
    <x v="3"/>
    <d v="2017-12-31T00:00:00"/>
    <d v="2018-01-12T00:00:00"/>
    <m/>
    <m/>
    <n v="558"/>
    <s v="More than 60 days"/>
    <s v="BCOXT"/>
    <x v="1"/>
    <s v="Invoice"/>
  </r>
  <r>
    <x v="3"/>
    <s v="CC"/>
    <s v="CQ"/>
    <n v="5405"/>
    <n v="248"/>
    <m/>
    <m/>
    <n v="172441"/>
    <s v="D344"/>
    <s v="EXFU820828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R"/>
    <n v="5405"/>
    <n v="248"/>
    <m/>
    <m/>
    <n v="172441"/>
    <s v="D344"/>
    <s v="EXFU8214457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S"/>
    <n v="5405"/>
    <n v="248"/>
    <m/>
    <m/>
    <n v="172441"/>
    <s v="D344"/>
    <s v="EXFU821446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T"/>
    <n v="5405"/>
    <n v="248"/>
    <m/>
    <m/>
    <n v="172441"/>
    <s v="D344"/>
    <s v="EXFU821447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U"/>
    <n v="5405"/>
    <n v="248"/>
    <m/>
    <m/>
    <n v="172441"/>
    <s v="D344"/>
    <s v="EXFU8214483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CV"/>
    <n v="5405"/>
    <n v="263.5"/>
    <m/>
    <m/>
    <n v="172441"/>
    <s v="D344"/>
    <s v="EXSZ9006766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CW"/>
    <n v="5405"/>
    <n v="263.5"/>
    <m/>
    <m/>
    <n v="172441"/>
    <s v="D344"/>
    <s v="EXSZ9006874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CX"/>
    <n v="5405"/>
    <n v="263.5"/>
    <m/>
    <m/>
    <n v="172441"/>
    <s v="D344"/>
    <s v="EXSZ9007320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CY"/>
    <n v="5405"/>
    <n v="263.5"/>
    <m/>
    <m/>
    <n v="172441"/>
    <s v="D344"/>
    <s v="EXSZ9011659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CZ"/>
    <n v="5405"/>
    <n v="263.5"/>
    <m/>
    <m/>
    <n v="172441"/>
    <s v="D344"/>
    <s v="EXSZ9011664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DA"/>
    <n v="5405"/>
    <n v="263.5"/>
    <m/>
    <m/>
    <n v="172441"/>
    <s v="D344"/>
    <s v="EXSZ9011685"/>
    <s v="Rental"/>
    <x v="3"/>
    <d v="2017-12-31T00:00:00"/>
    <d v="2018-01-12T00:00:00"/>
    <m/>
    <m/>
    <n v="263.5"/>
    <s v="More than 60 days"/>
    <s v="BCOXT"/>
    <x v="1"/>
    <s v="Invoice"/>
  </r>
  <r>
    <x v="3"/>
    <s v="CC"/>
    <s v="DB"/>
    <n v="5405"/>
    <n v="248"/>
    <m/>
    <m/>
    <n v="172441"/>
    <s v="D344"/>
    <s v="TRLU021279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C"/>
    <n v="5405"/>
    <n v="248"/>
    <m/>
    <m/>
    <n v="172441"/>
    <s v="D344"/>
    <s v="TRLU021741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D"/>
    <n v="5405"/>
    <n v="248"/>
    <m/>
    <m/>
    <n v="172441"/>
    <s v="D344"/>
    <s v="TRLU021881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E"/>
    <n v="5405"/>
    <n v="248"/>
    <m/>
    <m/>
    <n v="172441"/>
    <s v="D344"/>
    <s v="TRLU021882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F"/>
    <n v="5405"/>
    <n v="248"/>
    <m/>
    <m/>
    <n v="172441"/>
    <s v="D344"/>
    <s v="TRLU021886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G"/>
    <n v="5405"/>
    <n v="248"/>
    <m/>
    <m/>
    <n v="172441"/>
    <s v="D344"/>
    <s v="TRLU021903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H"/>
    <n v="5405"/>
    <n v="248"/>
    <m/>
    <m/>
    <n v="172441"/>
    <s v="D344"/>
    <s v="TRLU021945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I"/>
    <n v="5405"/>
    <n v="248"/>
    <m/>
    <m/>
    <n v="172441"/>
    <s v="D344"/>
    <s v="TRLU022022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J"/>
    <n v="5405"/>
    <n v="248"/>
    <m/>
    <m/>
    <n v="172441"/>
    <s v="D344"/>
    <s v="USPU121314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K"/>
    <n v="5405"/>
    <n v="248"/>
    <m/>
    <m/>
    <n v="172441"/>
    <s v="D344"/>
    <s v="USPU1224484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L"/>
    <n v="5405"/>
    <n v="248"/>
    <m/>
    <m/>
    <n v="172441"/>
    <s v="D344"/>
    <s v="USPU124136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M"/>
    <n v="5405"/>
    <n v="248"/>
    <m/>
    <m/>
    <n v="82624"/>
    <s v="D407"/>
    <s v="TOLU9260227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N"/>
    <n v="5405"/>
    <n v="248"/>
    <m/>
    <m/>
    <n v="68144"/>
    <s v="D410"/>
    <s v="TRLU021884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O"/>
    <n v="5405"/>
    <n v="248"/>
    <m/>
    <m/>
    <n v="68148"/>
    <s v="D410"/>
    <s v="TPMU131017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P"/>
    <n v="5405"/>
    <n v="248"/>
    <m/>
    <m/>
    <n v="68148"/>
    <s v="D410"/>
    <s v="TRLU0215644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Q"/>
    <n v="5405"/>
    <n v="248"/>
    <m/>
    <m/>
    <n v="111759"/>
    <s v="D553"/>
    <s v="EXFU0527141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R"/>
    <n v="5405"/>
    <n v="248"/>
    <m/>
    <m/>
    <n v="111759"/>
    <s v="D553"/>
    <s v="EXFU052740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S"/>
    <n v="5405"/>
    <n v="248"/>
    <m/>
    <m/>
    <n v="111759"/>
    <s v="D553"/>
    <s v="EXFU0550938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T"/>
    <n v="5405"/>
    <n v="248"/>
    <m/>
    <m/>
    <n v="111759"/>
    <s v="D553"/>
    <s v="EXFU060725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U"/>
    <n v="5405"/>
    <n v="248"/>
    <m/>
    <m/>
    <n v="111759"/>
    <s v="D553"/>
    <s v="TOLU906039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V"/>
    <n v="5405"/>
    <n v="248"/>
    <m/>
    <m/>
    <n v="111759"/>
    <s v="D553"/>
    <s v="TRLU021020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W"/>
    <n v="5405"/>
    <n v="248"/>
    <m/>
    <m/>
    <n v="111759"/>
    <s v="D553"/>
    <s v="TRLU0210909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X"/>
    <n v="5405"/>
    <n v="248"/>
    <m/>
    <m/>
    <n v="111759"/>
    <s v="D553"/>
    <s v="TRLU0212645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Y"/>
    <n v="5405"/>
    <n v="248"/>
    <m/>
    <m/>
    <n v="111759"/>
    <s v="D553"/>
    <s v="TRLU021626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DZ"/>
    <n v="5405"/>
    <n v="248"/>
    <m/>
    <m/>
    <n v="111759"/>
    <s v="D553"/>
    <s v="TRLU021909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EA"/>
    <n v="5405"/>
    <n v="248"/>
    <m/>
    <m/>
    <n v="111759"/>
    <s v="D553"/>
    <s v="TRLU0219110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EB"/>
    <n v="5405"/>
    <n v="248"/>
    <m/>
    <m/>
    <n v="111759"/>
    <s v="D553"/>
    <s v="TRLU0505622"/>
    <s v="Rental"/>
    <x v="3"/>
    <d v="2017-12-31T00:00:00"/>
    <d v="2018-01-12T00:00:00"/>
    <m/>
    <m/>
    <n v="248"/>
    <s v="More than 60 days"/>
    <s v="BCOXT"/>
    <x v="1"/>
    <s v="Invoice"/>
  </r>
  <r>
    <x v="3"/>
    <s v="CC"/>
    <s v="EC"/>
    <n v="5405"/>
    <n v="248"/>
    <m/>
    <m/>
    <n v="111759"/>
    <s v="D553"/>
    <s v="USPU1227837"/>
    <s v="Rental"/>
    <x v="3"/>
    <d v="2017-12-31T00:00:00"/>
    <d v="2018-01-12T00:00:00"/>
    <m/>
    <m/>
    <n v="248"/>
    <s v="More than 60 days"/>
    <s v="BCOXT"/>
    <x v="1"/>
    <s v="Invoice"/>
  </r>
  <r>
    <x v="3"/>
    <s v="PO"/>
    <s v="A"/>
    <n v="5450"/>
    <n v="248"/>
    <m/>
    <n v="4320000188"/>
    <m/>
    <m/>
    <s v="EXXU 999613-7"/>
    <s v="Rental"/>
    <x v="3"/>
    <d v="2017-12-31T00:00:00"/>
    <m/>
    <m/>
    <m/>
    <n v="248"/>
    <s v="More than 60 days"/>
    <s v="BCOXT"/>
    <x v="1"/>
    <s v="Invoice"/>
  </r>
  <r>
    <x v="4"/>
    <s v="CC"/>
    <s v="ED"/>
    <n v="5405"/>
    <n v="248"/>
    <m/>
    <m/>
    <n v="172441"/>
    <s v="D344"/>
    <s v="EXFU8103896"/>
    <s v="Rental"/>
    <x v="3"/>
    <d v="2017-12-31T00:00:00"/>
    <d v="2018-01-12T00:00:00"/>
    <m/>
    <m/>
    <n v="248"/>
    <s v="More than 60 days"/>
    <s v="BCOXT"/>
    <x v="1"/>
    <s v="Invoice"/>
  </r>
  <r>
    <x v="4"/>
    <s v="CC"/>
    <s v="EE"/>
    <n v="5405"/>
    <n v="248"/>
    <m/>
    <m/>
    <n v="172441"/>
    <s v="D344"/>
    <s v="EXFU8103900"/>
    <s v="Rental"/>
    <x v="3"/>
    <d v="2017-12-31T00:00:00"/>
    <d v="2018-01-12T00:00:00"/>
    <m/>
    <m/>
    <n v="248"/>
    <s v="More than 60 days"/>
    <s v="BCOXT"/>
    <x v="1"/>
    <s v="Invoice"/>
  </r>
  <r>
    <x v="4"/>
    <s v="CC"/>
    <s v="EF"/>
    <n v="5405"/>
    <n v="248"/>
    <m/>
    <m/>
    <n v="172441"/>
    <s v="D344"/>
    <s v="EXFU8104146"/>
    <s v="Rental"/>
    <x v="3"/>
    <d v="2017-12-31T00:00:00"/>
    <d v="2018-01-12T00:00:00"/>
    <m/>
    <m/>
    <n v="248"/>
    <s v="More than 60 days"/>
    <s v="BCOXT"/>
    <x v="1"/>
    <s v="Invoice"/>
  </r>
  <r>
    <x v="4"/>
    <s v="CC"/>
    <s v="EG"/>
    <n v="5405"/>
    <n v="248"/>
    <m/>
    <m/>
    <n v="172441"/>
    <s v="D344"/>
    <s v="EXFU8104151"/>
    <s v="Rental"/>
    <x v="3"/>
    <d v="2017-12-31T00:00:00"/>
    <d v="2018-01-12T00:00:00"/>
    <m/>
    <m/>
    <n v="248"/>
    <s v="More than 60 days"/>
    <s v="BCOXT"/>
    <x v="1"/>
    <s v="Invoice"/>
  </r>
  <r>
    <x v="4"/>
    <s v="CC"/>
    <s v="EH"/>
    <n v="5405"/>
    <n v="248"/>
    <m/>
    <m/>
    <n v="172441"/>
    <s v="D344"/>
    <s v="EXFU8104167"/>
    <s v="Rental"/>
    <x v="3"/>
    <d v="2017-12-31T00:00:00"/>
    <d v="2018-01-12T00:00:00"/>
    <m/>
    <m/>
    <n v="248"/>
    <s v="More than 60 days"/>
    <s v="BCOXT"/>
    <x v="1"/>
    <s v="Invoice"/>
  </r>
  <r>
    <x v="4"/>
    <s v="CC"/>
    <s v="EI"/>
    <n v="5405"/>
    <n v="255.75"/>
    <m/>
    <m/>
    <n v="172441"/>
    <s v="D344"/>
    <s v="EXSZ9007530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J"/>
    <n v="5405"/>
    <n v="255.75"/>
    <m/>
    <m/>
    <n v="172441"/>
    <s v="D344"/>
    <s v="EXSZ900813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K"/>
    <n v="5405"/>
    <n v="255.75"/>
    <m/>
    <m/>
    <n v="172441"/>
    <s v="D344"/>
    <s v="EXSZ900816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L"/>
    <n v="5405"/>
    <n v="255.75"/>
    <m/>
    <m/>
    <n v="172441"/>
    <s v="D344"/>
    <s v="EXSZ900823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M"/>
    <n v="5405"/>
    <n v="255.75"/>
    <m/>
    <m/>
    <n v="172441"/>
    <s v="D344"/>
    <s v="EXSZ900885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N"/>
    <n v="5405"/>
    <n v="255.75"/>
    <m/>
    <m/>
    <n v="172441"/>
    <s v="D344"/>
    <s v="EXSZ9010267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O"/>
    <n v="5405"/>
    <n v="255.75"/>
    <m/>
    <m/>
    <n v="172441"/>
    <s v="D344"/>
    <s v="EXSZ9015295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P"/>
    <n v="5405"/>
    <n v="255.75"/>
    <m/>
    <m/>
    <n v="172441"/>
    <s v="D344"/>
    <s v="EXSZ9020028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Q"/>
    <n v="5405"/>
    <n v="255.75"/>
    <m/>
    <m/>
    <n v="172441"/>
    <s v="D344"/>
    <s v="EXSZ9020394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R"/>
    <n v="5405"/>
    <n v="255.75"/>
    <m/>
    <m/>
    <n v="172441"/>
    <s v="D344"/>
    <s v="EXSZ9020774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S"/>
    <n v="5405"/>
    <n v="255.75"/>
    <m/>
    <m/>
    <n v="172441"/>
    <s v="D344"/>
    <s v="EXSZ9020820"/>
    <s v="Rental"/>
    <x v="3"/>
    <d v="2017-12-31T00:00:00"/>
    <d v="2018-01-12T00:00:00"/>
    <m/>
    <m/>
    <n v="255.75"/>
    <s v="More than 60 days"/>
    <s v="BCOXT"/>
    <x v="1"/>
    <s v="Invoice"/>
  </r>
  <r>
    <x v="4"/>
    <s v="CC"/>
    <s v="ET"/>
    <n v="5405"/>
    <n v="255.75"/>
    <m/>
    <m/>
    <n v="172441"/>
    <s v="D344"/>
    <s v="EXSZ9020917"/>
    <s v="Rental"/>
    <x v="3"/>
    <d v="2017-12-31T00:00:00"/>
    <d v="2018-01-12T00:00:00"/>
    <m/>
    <m/>
    <n v="255.75"/>
    <s v="More than 60 days"/>
    <s v="BCOXT"/>
    <x v="1"/>
    <s v="Invoice"/>
  </r>
  <r>
    <x v="5"/>
    <s v="CC"/>
    <s v="EU"/>
    <n v="5405"/>
    <n v="220"/>
    <m/>
    <m/>
    <n v="68157"/>
    <s v="D344"/>
    <s v="EXFU8300072"/>
    <s v="Rental"/>
    <x v="3"/>
    <d v="2017-12-31T00:00:00"/>
    <d v="2018-01-12T00:00:00"/>
    <m/>
    <m/>
    <n v="220"/>
    <s v="More than 60 days"/>
    <s v="BCOXT"/>
    <x v="1"/>
    <s v="Invoice"/>
  </r>
  <r>
    <x v="5"/>
    <s v="CC"/>
    <s v="EV"/>
    <n v="5405"/>
    <n v="150"/>
    <m/>
    <m/>
    <n v="68157"/>
    <s v="D344"/>
    <s v="EXFU8300072"/>
    <s v="Pickup fee"/>
    <x v="3"/>
    <d v="2017-12-31T00:00:00"/>
    <d v="2018-01-12T00:00:00"/>
    <m/>
    <m/>
    <n v="150"/>
    <s v="More than 60 days"/>
    <s v="BCOXT"/>
    <x v="1"/>
    <s v="Invoice"/>
  </r>
  <r>
    <x v="5"/>
    <s v="CC"/>
    <s v="EW"/>
    <n v="5405"/>
    <n v="90"/>
    <m/>
    <m/>
    <n v="68157"/>
    <s v="D344"/>
    <s v="EXFU8300072"/>
    <s v="Handling Fee at Pickup"/>
    <x v="3"/>
    <d v="2017-12-31T00:00:00"/>
    <d v="2018-01-12T00:00:00"/>
    <m/>
    <m/>
    <n v="90"/>
    <s v="More than 60 days"/>
    <s v="BCOXT"/>
    <x v="1"/>
    <s v="Invoice"/>
  </r>
  <r>
    <x v="5"/>
    <s v="CC"/>
    <s v="EX"/>
    <n v="5405"/>
    <n v="572"/>
    <m/>
    <m/>
    <n v="68157"/>
    <s v="D344"/>
    <s v="EXFU8300088"/>
    <s v="Rental"/>
    <x v="3"/>
    <d v="2017-12-31T00:00:00"/>
    <d v="2018-01-12T00:00:00"/>
    <m/>
    <m/>
    <n v="572"/>
    <s v="More than 60 days"/>
    <s v="BCOXT"/>
    <x v="1"/>
    <s v="Invoice"/>
  </r>
  <r>
    <x v="5"/>
    <s v="CC"/>
    <s v="EY"/>
    <n v="5405"/>
    <n v="150"/>
    <m/>
    <m/>
    <n v="68157"/>
    <s v="D344"/>
    <s v="EXFU8300088"/>
    <s v="Pickup fee"/>
    <x v="3"/>
    <d v="2017-12-31T00:00:00"/>
    <d v="2018-01-12T00:00:00"/>
    <m/>
    <m/>
    <n v="150"/>
    <s v="More than 60 days"/>
    <s v="BCOXT"/>
    <x v="1"/>
    <s v="Invoice"/>
  </r>
  <r>
    <x v="5"/>
    <s v="CC"/>
    <s v="EZ"/>
    <n v="5405"/>
    <n v="90"/>
    <m/>
    <m/>
    <n v="68157"/>
    <s v="D344"/>
    <s v="EXFU8300088"/>
    <s v="Handling Fee at Pickup"/>
    <x v="3"/>
    <d v="2017-12-31T00:00:00"/>
    <d v="2018-01-12T00:00:00"/>
    <m/>
    <m/>
    <n v="90"/>
    <s v="More than 60 days"/>
    <s v="BCOXT"/>
    <x v="1"/>
    <s v="Invoice"/>
  </r>
  <r>
    <x v="5"/>
    <s v="CC"/>
    <s v="FA"/>
    <n v="5405"/>
    <n v="550"/>
    <m/>
    <m/>
    <n v="68157"/>
    <s v="D344"/>
    <s v="EXFU8300093"/>
    <s v="Rental"/>
    <x v="3"/>
    <d v="2017-12-31T00:00:00"/>
    <d v="2018-01-12T00:00:00"/>
    <m/>
    <m/>
    <n v="550"/>
    <s v="More than 60 days"/>
    <s v="BCOXT"/>
    <x v="1"/>
    <s v="Invoice"/>
  </r>
  <r>
    <x v="5"/>
    <s v="CC"/>
    <s v="FB"/>
    <n v="5405"/>
    <n v="150"/>
    <m/>
    <m/>
    <n v="68157"/>
    <s v="D344"/>
    <s v="EXFU8300093"/>
    <s v="Pickup fee"/>
    <x v="3"/>
    <d v="2017-12-31T00:00:00"/>
    <d v="2018-01-12T00:00:00"/>
    <m/>
    <m/>
    <n v="150"/>
    <s v="More than 60 days"/>
    <s v="BCOXT"/>
    <x v="1"/>
    <s v="Invoice"/>
  </r>
  <r>
    <x v="5"/>
    <s v="CC"/>
    <s v="FC"/>
    <n v="5405"/>
    <n v="90"/>
    <m/>
    <m/>
    <n v="68157"/>
    <s v="D344"/>
    <s v="EXFU8300093"/>
    <s v="Handling Fee at Pickup"/>
    <x v="3"/>
    <d v="2017-12-31T00:00:00"/>
    <d v="2018-01-12T00:00:00"/>
    <m/>
    <m/>
    <n v="90"/>
    <s v="More than 60 days"/>
    <s v="BCOXT"/>
    <x v="1"/>
    <s v="Invoice"/>
  </r>
  <r>
    <x v="5"/>
    <s v="CC"/>
    <s v="FD"/>
    <n v="5405"/>
    <n v="234"/>
    <m/>
    <m/>
    <n v="68157"/>
    <s v="D344"/>
    <s v="EXSZ9031167"/>
    <s v="Rental"/>
    <x v="3"/>
    <d v="2017-12-31T00:00:00"/>
    <d v="2018-01-12T00:00:00"/>
    <m/>
    <m/>
    <n v="234"/>
    <s v="More than 60 days"/>
    <s v="BCOXT"/>
    <x v="1"/>
    <s v="Invoice"/>
  </r>
  <r>
    <x v="5"/>
    <s v="CC"/>
    <s v="FE"/>
    <n v="5405"/>
    <n v="90"/>
    <m/>
    <m/>
    <n v="68157"/>
    <s v="D344"/>
    <s v="EXSZ9031167"/>
    <s v="Handling Fee at Pickup"/>
    <x v="3"/>
    <d v="2017-12-31T00:00:00"/>
    <d v="2018-01-12T00:00:00"/>
    <m/>
    <m/>
    <n v="90"/>
    <s v="More than 60 days"/>
    <s v="BCOXT"/>
    <x v="1"/>
    <s v="Invoice"/>
  </r>
  <r>
    <x v="5"/>
    <s v="CC"/>
    <s v="FF"/>
    <n v="5405"/>
    <n v="90"/>
    <m/>
    <m/>
    <n v="68157"/>
    <s v="D344"/>
    <s v="EXSZ9031193"/>
    <s v="Rental"/>
    <x v="3"/>
    <d v="2017-12-31T00:00:00"/>
    <d v="2018-01-12T00:00:00"/>
    <m/>
    <m/>
    <n v="90"/>
    <s v="More than 60 days"/>
    <s v="BCOXT"/>
    <x v="1"/>
    <s v="Invoice"/>
  </r>
  <r>
    <x v="5"/>
    <s v="CC"/>
    <s v="FG"/>
    <n v="5405"/>
    <n v="90"/>
    <m/>
    <m/>
    <n v="68157"/>
    <s v="D344"/>
    <s v="EXSZ9031193"/>
    <s v="Handling Fee at Pickup"/>
    <x v="3"/>
    <d v="2017-12-31T00:00:00"/>
    <d v="2018-01-12T00:00:00"/>
    <m/>
    <m/>
    <n v="90"/>
    <s v="More than 60 days"/>
    <s v="BCOXT"/>
    <x v="1"/>
    <s v="Invoice"/>
  </r>
  <r>
    <x v="5"/>
    <s v="CC"/>
    <s v="FH"/>
    <n v="5405"/>
    <n v="225"/>
    <m/>
    <m/>
    <n v="68157"/>
    <s v="D344"/>
    <s v="EXSZ9031207"/>
    <s v="Rental"/>
    <x v="3"/>
    <d v="2017-12-31T00:00:00"/>
    <d v="2018-01-12T00:00:00"/>
    <m/>
    <m/>
    <n v="225"/>
    <s v="More than 60 days"/>
    <s v="BCOXT"/>
    <x v="1"/>
    <s v="Invoice"/>
  </r>
  <r>
    <x v="5"/>
    <s v="CC"/>
    <s v="FI"/>
    <n v="5405"/>
    <n v="90"/>
    <m/>
    <m/>
    <n v="68157"/>
    <s v="D344"/>
    <s v="EXSZ9031207"/>
    <s v="Handling Fee at Pickup"/>
    <x v="3"/>
    <d v="2017-12-31T00:00:00"/>
    <d v="2018-01-12T00:00:00"/>
    <m/>
    <m/>
    <n v="90"/>
    <s v="More than 60 days"/>
    <s v="BCOXT"/>
    <x v="1"/>
    <s v="Invoice"/>
  </r>
  <r>
    <x v="6"/>
    <s v="CC"/>
    <s v="FJ"/>
    <n v="5405"/>
    <n v="148.75"/>
    <m/>
    <m/>
    <n v="67094"/>
    <s v="D020"/>
    <s v="EXFU1448330"/>
    <s v="Rental"/>
    <x v="3"/>
    <d v="2017-12-31T00:00:00"/>
    <d v="2018-01-12T00:00:00"/>
    <m/>
    <m/>
    <n v="148.75"/>
    <s v="More than 60 days"/>
    <s v="BCOXT"/>
    <x v="1"/>
    <s v="Invoice"/>
  </r>
  <r>
    <x v="6"/>
    <s v="CC"/>
    <s v="FK"/>
    <n v="5405"/>
    <n v="90"/>
    <m/>
    <m/>
    <n v="67094"/>
    <s v="D020"/>
    <s v="EXFU1448330"/>
    <s v="Handling Fee at Pickup"/>
    <x v="3"/>
    <d v="2017-12-31T00:00:00"/>
    <d v="2018-01-12T00:00:00"/>
    <m/>
    <m/>
    <n v="90"/>
    <s v="More than 60 days"/>
    <s v="BCOXT"/>
    <x v="1"/>
    <s v="Invoice"/>
  </r>
  <r>
    <x v="6"/>
    <s v="CC"/>
    <s v="FL"/>
    <n v="5405"/>
    <n v="131.75"/>
    <m/>
    <m/>
    <n v="67094"/>
    <s v="D020"/>
    <s v="EXSZ9031357"/>
    <s v="Rental"/>
    <x v="3"/>
    <d v="2017-12-31T00:00:00"/>
    <d v="2018-01-12T00:00:00"/>
    <m/>
    <m/>
    <n v="131.75"/>
    <s v="More than 60 days"/>
    <s v="BCOXT"/>
    <x v="1"/>
    <s v="Invoice"/>
  </r>
  <r>
    <x v="6"/>
    <s v="CC"/>
    <s v="FM"/>
    <n v="5405"/>
    <n v="90"/>
    <m/>
    <m/>
    <n v="67094"/>
    <s v="D020"/>
    <s v="EXSZ9031357"/>
    <s v="Handling Fee at Pickup"/>
    <x v="3"/>
    <d v="2017-12-31T00:00:00"/>
    <d v="2018-01-12T00:00:00"/>
    <m/>
    <m/>
    <n v="90"/>
    <s v="More than 60 days"/>
    <s v="BCOXT"/>
    <x v="1"/>
    <s v="Invoice"/>
  </r>
  <r>
    <x v="7"/>
    <m/>
    <m/>
    <n v="5405"/>
    <n v="37429.089999999997"/>
    <m/>
    <m/>
    <m/>
    <m/>
    <m/>
    <s v="Rental"/>
    <x v="4"/>
    <d v="2018-01-31T00:00:00"/>
    <m/>
    <n v="37429.089999999997"/>
    <d v="2018-05-14T00:00:00"/>
    <n v="0"/>
    <s v="More than 60 days"/>
    <s v="BCOXT"/>
    <x v="0"/>
    <s v="Invoice"/>
  </r>
  <r>
    <x v="8"/>
    <m/>
    <m/>
    <n v="5405"/>
    <n v="4309"/>
    <m/>
    <m/>
    <m/>
    <m/>
    <m/>
    <s v="Rental"/>
    <x v="4"/>
    <d v="2018-01-31T00:00:00"/>
    <m/>
    <n v="4309"/>
    <d v="2018-05-14T00:00:00"/>
    <n v="0"/>
    <s v="More than 60 days"/>
    <s v="BCOXT"/>
    <x v="0"/>
    <s v="Invoice"/>
  </r>
  <r>
    <x v="9"/>
    <m/>
    <m/>
    <n v="5405"/>
    <n v="2883"/>
    <m/>
    <m/>
    <m/>
    <m/>
    <m/>
    <s v="Rental"/>
    <x v="4"/>
    <d v="2018-01-31T00:00:00"/>
    <m/>
    <n v="2883"/>
    <d v="2018-05-14T00:00:00"/>
    <n v="0"/>
    <s v="More than 60 days"/>
    <s v="BCOXT"/>
    <x v="0"/>
    <s v="Invoice"/>
  </r>
  <r>
    <x v="10"/>
    <m/>
    <m/>
    <n v="5405"/>
    <n v="511.5"/>
    <m/>
    <m/>
    <m/>
    <m/>
    <m/>
    <s v="Rental"/>
    <x v="4"/>
    <d v="2018-01-31T00:00:00"/>
    <m/>
    <n v="511.5"/>
    <d v="2018-05-14T00:00:00"/>
    <n v="0"/>
    <s v="More than 60 days"/>
    <s v="BCOXT"/>
    <x v="0"/>
    <s v="Invoice"/>
  </r>
  <r>
    <x v="11"/>
    <m/>
    <m/>
    <n v="5405"/>
    <n v="50838.67"/>
    <m/>
    <m/>
    <m/>
    <m/>
    <m/>
    <s v="Rental"/>
    <x v="5"/>
    <d v="2018-03-03T00:00:00"/>
    <m/>
    <n v="50838.67"/>
    <d v="2018-05-14T00:00:00"/>
    <n v="0"/>
    <s v="More than 60 days"/>
    <s v="BCOXT"/>
    <x v="0"/>
    <s v="Invoice"/>
  </r>
  <r>
    <x v="12"/>
    <s v="Sao Paulo"/>
    <m/>
    <n v="5405"/>
    <n v="1086.4000000000001"/>
    <m/>
    <n v="4320150392"/>
    <m/>
    <m/>
    <s v="Various"/>
    <s v="Rental"/>
    <x v="5"/>
    <d v="2018-03-03T00:00:00"/>
    <m/>
    <n v="1086.4000000000001"/>
    <d v="2018-06-15T00:00:00"/>
    <n v="0"/>
    <s v="More than 60 days"/>
    <s v="BCOXT"/>
    <x v="0"/>
    <s v="Invoice"/>
  </r>
  <r>
    <x v="13"/>
    <s v="PO"/>
    <s v="BI"/>
    <n v="5405"/>
    <n v="90"/>
    <m/>
    <n v="4300021652"/>
    <m/>
    <m/>
    <s v="EXFU 810842-9"/>
    <s v="Handling Fee at Pickup"/>
    <x v="6"/>
    <d v="2018-03-31T00:00:00"/>
    <m/>
    <n v="90"/>
    <d v="2018-07-05T00:00:00"/>
    <n v="0"/>
    <s v="More than 60 days"/>
    <s v="BCOXT"/>
    <x v="0"/>
    <s v="Invoice"/>
  </r>
  <r>
    <x v="13"/>
    <s v="PO"/>
    <s v="BJ"/>
    <n v="5405"/>
    <n v="160"/>
    <m/>
    <n v="4300021652"/>
    <m/>
    <m/>
    <s v="EXFU 810842-9"/>
    <s v="Rental"/>
    <x v="6"/>
    <d v="2018-03-31T00:00:00"/>
    <m/>
    <n v="160"/>
    <d v="2018-07-05T00:00:00"/>
    <n v="0"/>
    <s v="More than 60 days"/>
    <s v="BCOXT"/>
    <x v="0"/>
    <s v="Invoice"/>
  </r>
  <r>
    <x v="13"/>
    <s v="PO"/>
    <s v="BL"/>
    <n v="5405"/>
    <n v="160"/>
    <m/>
    <n v="4300021652"/>
    <m/>
    <m/>
    <s v="EXFU 810843-4"/>
    <s v="Rental"/>
    <x v="6"/>
    <d v="2018-03-31T00:00:00"/>
    <m/>
    <n v="160"/>
    <d v="2018-07-05T00:00:00"/>
    <n v="0"/>
    <s v="More than 60 days"/>
    <s v="BCOXT"/>
    <x v="0"/>
    <s v="Invoice"/>
  </r>
  <r>
    <x v="13"/>
    <s v="PO"/>
    <s v="BM"/>
    <n v="5405"/>
    <n v="90"/>
    <m/>
    <n v="4300021652"/>
    <m/>
    <m/>
    <s v="EXFU 810844-0"/>
    <s v="Handling Fee at Pickup"/>
    <x v="6"/>
    <d v="2018-03-31T00:00:00"/>
    <m/>
    <n v="90"/>
    <d v="2018-07-05T00:00:00"/>
    <n v="0"/>
    <s v="More than 60 days"/>
    <s v="BCOXT"/>
    <x v="0"/>
    <s v="Invoice"/>
  </r>
  <r>
    <x v="13"/>
    <s v="PO"/>
    <s v="DP"/>
    <n v="5405"/>
    <n v="263.5"/>
    <m/>
    <n v="4300021652"/>
    <m/>
    <m/>
    <s v="EXSZ 901165-9"/>
    <s v="Rental"/>
    <x v="6"/>
    <d v="2018-03-31T00:00:00"/>
    <m/>
    <n v="263.5"/>
    <d v="2018-07-05T00:00:00"/>
    <n v="0"/>
    <s v="More than 60 days"/>
    <s v="BCOXT"/>
    <x v="0"/>
    <s v="Invoice"/>
  </r>
  <r>
    <x v="13"/>
    <s v="PO"/>
    <s v="GN"/>
    <n v="5405"/>
    <n v="180"/>
    <m/>
    <n v="4300021652"/>
    <m/>
    <m/>
    <s v="EXSZ 903616-9"/>
    <s v="Rental"/>
    <x v="6"/>
    <d v="2018-03-31T00:00:00"/>
    <m/>
    <n v="180"/>
    <d v="2018-07-05T00:00:00"/>
    <n v="0"/>
    <s v="More than 60 days"/>
    <s v="BCOXT"/>
    <x v="0"/>
    <s v="Invoice"/>
  </r>
  <r>
    <x v="14"/>
    <s v="Sao Paulo"/>
    <m/>
    <n v="5405"/>
    <n v="1202.8"/>
    <m/>
    <n v="4320249581"/>
    <m/>
    <m/>
    <s v="Various"/>
    <s v="Rental"/>
    <x v="6"/>
    <d v="2018-03-31T00:00:00"/>
    <m/>
    <m/>
    <m/>
    <n v="1202.8"/>
    <s v="More than 60 days"/>
    <s v="BCOXT"/>
    <x v="1"/>
    <s v="Invoice"/>
  </r>
  <r>
    <x v="15"/>
    <s v="PO"/>
    <s v="A"/>
    <n v="5405"/>
    <n v="240"/>
    <m/>
    <n v="4300021652"/>
    <m/>
    <m/>
    <s v="EXFU 050873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"/>
    <n v="5405"/>
    <n v="240"/>
    <m/>
    <n v="4300021652"/>
    <m/>
    <m/>
    <s v="EXFU 051623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"/>
    <n v="5405"/>
    <n v="240"/>
    <m/>
    <n v="4300021652"/>
    <m/>
    <m/>
    <s v="EXFU 052714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D"/>
    <n v="5405"/>
    <n v="240"/>
    <m/>
    <n v="4300021652"/>
    <m/>
    <m/>
    <s v="EXFU 052740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E"/>
    <n v="5405"/>
    <n v="240"/>
    <m/>
    <n v="4300021652"/>
    <m/>
    <m/>
    <s v="EXFU 053036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F"/>
    <n v="5405"/>
    <n v="240"/>
    <m/>
    <n v="4300021652"/>
    <m/>
    <m/>
    <s v="EXFU 054270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"/>
    <n v="5405"/>
    <n v="240"/>
    <m/>
    <n v="4300021652"/>
    <m/>
    <m/>
    <s v="EXFU 054319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"/>
    <n v="5405"/>
    <n v="240"/>
    <m/>
    <n v="4300021652"/>
    <m/>
    <m/>
    <s v="EXFU 054320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I"/>
    <n v="5405"/>
    <n v="240"/>
    <m/>
    <n v="4300021652"/>
    <m/>
    <m/>
    <s v="EXFU 054538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J"/>
    <n v="5405"/>
    <n v="240"/>
    <m/>
    <n v="4300021652"/>
    <m/>
    <m/>
    <s v="EXFU 054615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K"/>
    <n v="5405"/>
    <n v="240"/>
    <m/>
    <n v="4300021652"/>
    <m/>
    <m/>
    <s v="EXFU 054618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L"/>
    <n v="5405"/>
    <n v="240"/>
    <m/>
    <n v="4300021652"/>
    <m/>
    <m/>
    <s v="EXFU 055093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M"/>
    <n v="5405"/>
    <n v="240"/>
    <m/>
    <n v="4300021652"/>
    <m/>
    <m/>
    <s v="EXFU 056376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N"/>
    <n v="5405"/>
    <n v="262.2"/>
    <m/>
    <n v="4300021652"/>
    <m/>
    <m/>
    <s v="EXFU 059891-0"/>
    <s v="Rental"/>
    <x v="7"/>
    <d v="2018-05-01T00:00:00"/>
    <d v="2018-04-30T00:00:00"/>
    <n v="262.2"/>
    <d v="2018-05-14T00:00:00"/>
    <n v="0"/>
    <s v="More than 60 days"/>
    <s v="BCOXT"/>
    <x v="0"/>
    <s v="Invoice"/>
  </r>
  <r>
    <x v="15"/>
    <s v="PO"/>
    <s v="O"/>
    <n v="5405"/>
    <n v="240"/>
    <m/>
    <n v="4300021652"/>
    <m/>
    <m/>
    <s v="EXFU 059950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P"/>
    <n v="5405"/>
    <n v="240"/>
    <m/>
    <n v="4300021652"/>
    <m/>
    <m/>
    <s v="EXFU 060725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Q"/>
    <n v="5405"/>
    <n v="240"/>
    <m/>
    <n v="4300021652"/>
    <m/>
    <m/>
    <s v="EXFU 061111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R"/>
    <n v="5405"/>
    <n v="240"/>
    <m/>
    <n v="4300021652"/>
    <m/>
    <m/>
    <s v="EXFU 061116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S"/>
    <n v="5405"/>
    <n v="240"/>
    <m/>
    <n v="4300021652"/>
    <m/>
    <m/>
    <s v="EXFU 061119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T"/>
    <n v="5405"/>
    <n v="240"/>
    <m/>
    <n v="4300021652"/>
    <m/>
    <m/>
    <s v="EXFU 061120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U"/>
    <n v="5405"/>
    <n v="240"/>
    <m/>
    <n v="4300021652"/>
    <m/>
    <m/>
    <s v="EXFU 061121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V"/>
    <n v="5405"/>
    <n v="240"/>
    <m/>
    <n v="4300021652"/>
    <m/>
    <m/>
    <s v="EXFU 061123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W"/>
    <n v="5405"/>
    <n v="240"/>
    <m/>
    <n v="4300021652"/>
    <m/>
    <m/>
    <s v="EXFU 061126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X"/>
    <n v="5405"/>
    <n v="240"/>
    <m/>
    <n v="4300021652"/>
    <m/>
    <m/>
    <s v="EXFU 061127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Y"/>
    <n v="5405"/>
    <n v="240"/>
    <m/>
    <n v="4300021652"/>
    <m/>
    <m/>
    <s v="EXFU 061129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Z"/>
    <n v="5405"/>
    <n v="240"/>
    <m/>
    <n v="4300021652"/>
    <m/>
    <m/>
    <s v="EXFU 062226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A"/>
    <n v="5405"/>
    <n v="240"/>
    <m/>
    <n v="4300021652"/>
    <m/>
    <m/>
    <s v="EXFU 062232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B"/>
    <n v="5405"/>
    <n v="240"/>
    <m/>
    <n v="4300021652"/>
    <m/>
    <m/>
    <s v="EXFU 062237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C"/>
    <n v="5405"/>
    <n v="240"/>
    <m/>
    <n v="4300021652"/>
    <m/>
    <m/>
    <s v="EXFU 062238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D"/>
    <n v="5405"/>
    <n v="240"/>
    <m/>
    <n v="4300021652"/>
    <m/>
    <m/>
    <s v="EXFU 062241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E"/>
    <n v="5405"/>
    <n v="240"/>
    <m/>
    <n v="4300021652"/>
    <m/>
    <m/>
    <s v="EXFU 062242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F"/>
    <n v="5405"/>
    <n v="240"/>
    <m/>
    <n v="4300021652"/>
    <m/>
    <m/>
    <s v="EXFU 062244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G"/>
    <n v="5405"/>
    <n v="540"/>
    <m/>
    <n v="4300021652"/>
    <m/>
    <m/>
    <s v="EXFU 144782-1"/>
    <s v="Rental"/>
    <x v="7"/>
    <d v="2018-05-01T00:00:00"/>
    <d v="2018-04-30T00:00:00"/>
    <n v="540"/>
    <d v="2018-05-14T00:00:00"/>
    <n v="0"/>
    <s v="More than 60 days"/>
    <s v="BCOXT"/>
    <x v="0"/>
    <s v="Invoice"/>
  </r>
  <r>
    <x v="15"/>
    <s v="PO"/>
    <s v="AH"/>
    <n v="5405"/>
    <n v="540"/>
    <m/>
    <n v="4300021652"/>
    <m/>
    <m/>
    <s v="EXFU 144795-0"/>
    <s v="Rental"/>
    <x v="7"/>
    <d v="2018-05-01T00:00:00"/>
    <d v="2018-04-30T00:00:00"/>
    <n v="540"/>
    <d v="2018-05-14T00:00:00"/>
    <n v="0"/>
    <s v="More than 60 days"/>
    <s v="BCOXT"/>
    <x v="0"/>
    <s v="Invoice"/>
  </r>
  <r>
    <x v="15"/>
    <s v="PO"/>
    <s v="AI"/>
    <n v="5405"/>
    <n v="540"/>
    <m/>
    <n v="4300021652"/>
    <m/>
    <m/>
    <s v="EXFU 144799-2"/>
    <s v="Rental"/>
    <x v="7"/>
    <d v="2018-05-01T00:00:00"/>
    <d v="2018-04-30T00:00:00"/>
    <n v="540"/>
    <d v="2018-05-14T00:00:00"/>
    <n v="0"/>
    <s v="More than 60 days"/>
    <s v="BCOXT"/>
    <x v="0"/>
    <s v="Invoice"/>
  </r>
  <r>
    <x v="15"/>
    <s v="PO"/>
    <s v="AJ"/>
    <n v="5405"/>
    <n v="540"/>
    <m/>
    <n v="4300021652"/>
    <m/>
    <m/>
    <s v="EXFU 144803-1"/>
    <s v="Rental"/>
    <x v="7"/>
    <d v="2018-05-01T00:00:00"/>
    <d v="2018-04-30T00:00:00"/>
    <n v="540"/>
    <d v="2018-05-14T00:00:00"/>
    <n v="0"/>
    <s v="More than 60 days"/>
    <s v="BCOXT"/>
    <x v="0"/>
    <s v="Invoice"/>
  </r>
  <r>
    <x v="15"/>
    <s v="PO"/>
    <s v="AK"/>
    <n v="5405"/>
    <n v="540"/>
    <m/>
    <n v="4300021652"/>
    <m/>
    <m/>
    <s v="EXFU 144806-8"/>
    <s v="Rental"/>
    <x v="7"/>
    <d v="2018-05-01T00:00:00"/>
    <d v="2018-04-30T00:00:00"/>
    <n v="540"/>
    <d v="2018-05-14T00:00:00"/>
    <n v="0"/>
    <s v="More than 60 days"/>
    <s v="BCOXT"/>
    <x v="0"/>
    <s v="Invoice"/>
  </r>
  <r>
    <x v="15"/>
    <s v="PO"/>
    <s v="AL"/>
    <n v="5405"/>
    <n v="540"/>
    <m/>
    <n v="4300021652"/>
    <m/>
    <m/>
    <s v="EXFU 144809-4"/>
    <s v="Rental"/>
    <x v="7"/>
    <d v="2018-05-01T00:00:00"/>
    <d v="2018-04-30T00:00:00"/>
    <n v="540"/>
    <d v="2018-05-14T00:00:00"/>
    <n v="0"/>
    <s v="More than 60 days"/>
    <s v="BCOXT"/>
    <x v="0"/>
    <s v="Invoice"/>
  </r>
  <r>
    <x v="15"/>
    <s v="PO"/>
    <s v="AM"/>
    <n v="5405"/>
    <n v="262.5"/>
    <m/>
    <n v="4300021652"/>
    <m/>
    <m/>
    <s v="EXFU 144825-8"/>
    <s v="Rental"/>
    <x v="7"/>
    <d v="2018-05-01T00:00:00"/>
    <d v="2018-04-30T00:00:00"/>
    <n v="262.5"/>
    <d v="2018-05-14T00:00:00"/>
    <n v="0"/>
    <s v="More than 60 days"/>
    <s v="BCOXT"/>
    <x v="0"/>
    <s v="Invoice"/>
  </r>
  <r>
    <x v="15"/>
    <s v="PO"/>
    <s v="AN"/>
    <n v="5405"/>
    <n v="262.5"/>
    <m/>
    <n v="4300021652"/>
    <m/>
    <m/>
    <s v="EXFU 144833-0"/>
    <s v="Rental"/>
    <x v="7"/>
    <d v="2018-05-01T00:00:00"/>
    <d v="2018-04-30T00:00:00"/>
    <n v="262.5"/>
    <d v="2018-05-14T00:00:00"/>
    <n v="0"/>
    <s v="More than 60 days"/>
    <s v="BCOXT"/>
    <x v="0"/>
    <s v="Invoice"/>
  </r>
  <r>
    <x v="15"/>
    <s v="PO"/>
    <s v="AO"/>
    <n v="5405"/>
    <n v="146.88"/>
    <m/>
    <n v="4300021652"/>
    <m/>
    <m/>
    <s v="EXFU 144835-0"/>
    <s v="Rental"/>
    <x v="7"/>
    <d v="2018-05-01T00:00:00"/>
    <d v="2018-04-30T00:00:00"/>
    <n v="146.88"/>
    <d v="2018-05-14T00:00:00"/>
    <n v="0"/>
    <s v="More than 60 days"/>
    <s v="BCOXT"/>
    <x v="0"/>
    <s v="Invoice"/>
  </r>
  <r>
    <x v="15"/>
    <s v="PO"/>
    <s v="AP"/>
    <n v="5405"/>
    <n v="90"/>
    <m/>
    <n v="4300021652"/>
    <m/>
    <m/>
    <s v="EXFU 144835-0"/>
    <s v="Handling Fee at Pickup"/>
    <x v="7"/>
    <d v="2018-05-01T00:00:00"/>
    <d v="2018-04-30T00:00:00"/>
    <n v="90"/>
    <d v="2018-05-14T00:00:00"/>
    <n v="0"/>
    <s v="More than 60 days"/>
    <s v="BCOXT"/>
    <x v="0"/>
    <s v="Invoice"/>
  </r>
  <r>
    <x v="15"/>
    <s v="PO"/>
    <s v="AQ"/>
    <n v="5405"/>
    <n v="159.12"/>
    <m/>
    <n v="4300021652"/>
    <m/>
    <m/>
    <s v="EXFU 144836-6"/>
    <s v="Rental"/>
    <x v="7"/>
    <d v="2018-05-01T00:00:00"/>
    <d v="2018-04-30T00:00:00"/>
    <n v="159.12"/>
    <d v="2018-05-14T00:00:00"/>
    <n v="0"/>
    <s v="More than 60 days"/>
    <s v="BCOXT"/>
    <x v="0"/>
    <s v="Invoice"/>
  </r>
  <r>
    <x v="15"/>
    <s v="PO"/>
    <s v="AR"/>
    <n v="5405"/>
    <n v="90"/>
    <m/>
    <n v="4300021652"/>
    <m/>
    <m/>
    <s v="EXFU 144836-6"/>
    <s v="Handling Fee at Pickup"/>
    <x v="7"/>
    <d v="2018-05-01T00:00:00"/>
    <d v="2018-04-30T00:00:00"/>
    <n v="90"/>
    <d v="2018-05-14T00:00:00"/>
    <n v="0"/>
    <s v="More than 60 days"/>
    <s v="BCOXT"/>
    <x v="0"/>
    <s v="Invoice"/>
  </r>
  <r>
    <x v="15"/>
    <s v="PO"/>
    <s v="AS"/>
    <n v="5405"/>
    <n v="240"/>
    <m/>
    <n v="4300021652"/>
    <m/>
    <m/>
    <s v="EXFU 441799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T"/>
    <n v="5405"/>
    <n v="240"/>
    <m/>
    <n v="4300021652"/>
    <m/>
    <m/>
    <s v="EXFU 441800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U"/>
    <n v="5405"/>
    <n v="240"/>
    <m/>
    <n v="4300021652"/>
    <m/>
    <m/>
    <s v="EXFU 441801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V"/>
    <n v="5405"/>
    <n v="240"/>
    <m/>
    <n v="4300021652"/>
    <m/>
    <m/>
    <s v="EXFU 441802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W"/>
    <n v="5405"/>
    <n v="240"/>
    <m/>
    <n v="4300021652"/>
    <m/>
    <m/>
    <s v="EXFU 441803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X"/>
    <n v="5405"/>
    <n v="240"/>
    <m/>
    <n v="4300021652"/>
    <m/>
    <m/>
    <s v="EXFU 441804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Y"/>
    <n v="5405"/>
    <n v="240"/>
    <m/>
    <n v="4300021652"/>
    <m/>
    <m/>
    <s v="EXFU 441805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AZ"/>
    <n v="5405"/>
    <n v="240"/>
    <m/>
    <n v="4300021652"/>
    <m/>
    <m/>
    <s v="EXFU 441806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A"/>
    <n v="5405"/>
    <n v="240"/>
    <m/>
    <n v="4300021652"/>
    <m/>
    <m/>
    <s v="EXFU 441808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B"/>
    <n v="5405"/>
    <n v="240"/>
    <m/>
    <n v="4300021652"/>
    <m/>
    <m/>
    <s v="EXFU 441809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C"/>
    <n v="5405"/>
    <n v="240"/>
    <m/>
    <n v="4300021652"/>
    <m/>
    <m/>
    <s v="EXFU 810137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D"/>
    <n v="5405"/>
    <n v="240"/>
    <m/>
    <n v="4300021652"/>
    <m/>
    <m/>
    <s v="EXFU 810369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E"/>
    <n v="5405"/>
    <n v="240"/>
    <m/>
    <n v="4300021652"/>
    <m/>
    <m/>
    <s v="EXFU 810389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F"/>
    <n v="5405"/>
    <n v="240"/>
    <m/>
    <n v="4300021652"/>
    <m/>
    <m/>
    <s v="EXFU 810390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G"/>
    <n v="5405"/>
    <n v="240"/>
    <m/>
    <n v="4300021652"/>
    <m/>
    <m/>
    <s v="EXFU 810414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H"/>
    <n v="5405"/>
    <n v="240"/>
    <m/>
    <n v="4300021652"/>
    <m/>
    <m/>
    <s v="EXFU 810415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I"/>
    <n v="5405"/>
    <n v="240"/>
    <m/>
    <n v="4300021652"/>
    <m/>
    <m/>
    <s v="EXFU 810416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J"/>
    <n v="5405"/>
    <n v="240"/>
    <m/>
    <n v="4300021652"/>
    <m/>
    <m/>
    <s v="EXFU 810710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K"/>
    <n v="5405"/>
    <n v="240"/>
    <m/>
    <n v="4300021652"/>
    <m/>
    <m/>
    <s v="EXFU 810748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L"/>
    <n v="5405"/>
    <n v="240"/>
    <m/>
    <n v="4300021652"/>
    <m/>
    <m/>
    <s v="EXFU 810842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M"/>
    <n v="5405"/>
    <n v="240"/>
    <m/>
    <n v="4300021652"/>
    <m/>
    <m/>
    <s v="EXFU 810843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N"/>
    <n v="5405"/>
    <n v="240"/>
    <m/>
    <n v="4300021652"/>
    <m/>
    <m/>
    <s v="EXFU 810844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O"/>
    <n v="5405"/>
    <n v="240"/>
    <m/>
    <n v="4300021652"/>
    <m/>
    <m/>
    <s v="EXFU 810856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P"/>
    <n v="5405"/>
    <n v="240"/>
    <m/>
    <n v="4300021652"/>
    <m/>
    <m/>
    <s v="EXFU 810866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Q"/>
    <n v="5405"/>
    <n v="240"/>
    <m/>
    <n v="4300021652"/>
    <m/>
    <m/>
    <s v="EXFU 810867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R"/>
    <n v="5405"/>
    <n v="240"/>
    <m/>
    <n v="4300021652"/>
    <m/>
    <m/>
    <s v="EXFU 810870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S"/>
    <n v="5405"/>
    <n v="240"/>
    <m/>
    <n v="4300021652"/>
    <m/>
    <m/>
    <s v="EXFU 810872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T"/>
    <n v="5405"/>
    <n v="240"/>
    <m/>
    <n v="4300021652"/>
    <m/>
    <m/>
    <s v="EXFU 810873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U"/>
    <n v="5405"/>
    <n v="240"/>
    <m/>
    <n v="4300021652"/>
    <m/>
    <m/>
    <s v="EXFU 810874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V"/>
    <n v="5405"/>
    <n v="240"/>
    <m/>
    <n v="4300021652"/>
    <m/>
    <m/>
    <s v="EXFU 810875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W"/>
    <n v="5405"/>
    <n v="240"/>
    <m/>
    <n v="4300021652"/>
    <m/>
    <m/>
    <s v="EXFU 810878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X"/>
    <n v="5405"/>
    <n v="240"/>
    <m/>
    <n v="4300021652"/>
    <m/>
    <m/>
    <s v="EXFU 810882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Y"/>
    <n v="5405"/>
    <n v="240"/>
    <m/>
    <n v="4300021652"/>
    <m/>
    <m/>
    <s v="EXFU 810883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BZ"/>
    <n v="5405"/>
    <n v="240"/>
    <m/>
    <n v="4300021652"/>
    <m/>
    <m/>
    <s v="EXFU 810884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A"/>
    <n v="5405"/>
    <n v="195"/>
    <m/>
    <n v="4300021652"/>
    <m/>
    <m/>
    <s v="EXFU 810885-6"/>
    <s v="Rental"/>
    <x v="7"/>
    <d v="2018-05-01T00:00:00"/>
    <d v="2018-04-30T00:00:00"/>
    <n v="195"/>
    <d v="2018-05-14T00:00:00"/>
    <n v="0"/>
    <s v="More than 60 days"/>
    <s v="BCOXT"/>
    <x v="0"/>
    <s v="Invoice"/>
  </r>
  <r>
    <x v="15"/>
    <s v="PO"/>
    <s v="CB"/>
    <n v="5405"/>
    <n v="240"/>
    <m/>
    <n v="4300021652"/>
    <m/>
    <m/>
    <s v="EXFU 810886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C"/>
    <n v="5405"/>
    <n v="240"/>
    <m/>
    <n v="4300021652"/>
    <m/>
    <m/>
    <s v="EXFU 820723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D"/>
    <n v="5405"/>
    <n v="240"/>
    <m/>
    <n v="4300021652"/>
    <m/>
    <m/>
    <s v="EXFU 820828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E"/>
    <n v="5405"/>
    <n v="240"/>
    <m/>
    <n v="4300021652"/>
    <m/>
    <m/>
    <s v="EXFU 821445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F"/>
    <n v="5405"/>
    <n v="240"/>
    <m/>
    <n v="4300021652"/>
    <m/>
    <m/>
    <s v="EXFU 821446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G"/>
    <n v="5405"/>
    <n v="240"/>
    <m/>
    <n v="4300021652"/>
    <m/>
    <m/>
    <s v="EXFU 821447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H"/>
    <n v="5405"/>
    <n v="240"/>
    <m/>
    <n v="4300021652"/>
    <m/>
    <m/>
    <s v="EXFU 821448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I"/>
    <n v="5405"/>
    <n v="240"/>
    <m/>
    <n v="4300021652"/>
    <m/>
    <m/>
    <s v="EXFU 821465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J"/>
    <n v="5405"/>
    <n v="240"/>
    <m/>
    <n v="4300021652"/>
    <m/>
    <m/>
    <s v="EXFU 821467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K"/>
    <n v="5405"/>
    <n v="240"/>
    <m/>
    <n v="4300021652"/>
    <m/>
    <m/>
    <s v="EXFU 821625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L"/>
    <n v="5405"/>
    <n v="240"/>
    <m/>
    <n v="4300021652"/>
    <m/>
    <m/>
    <s v="EXFU 821630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M"/>
    <n v="5405"/>
    <n v="240"/>
    <m/>
    <n v="4300021652"/>
    <m/>
    <m/>
    <s v="EXFU 821631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N"/>
    <n v="5405"/>
    <n v="240"/>
    <m/>
    <n v="4300021652"/>
    <m/>
    <m/>
    <s v="EXFU 821646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O"/>
    <n v="5405"/>
    <n v="240"/>
    <m/>
    <n v="4300021652"/>
    <m/>
    <m/>
    <s v="EXFU 821649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P"/>
    <n v="5405"/>
    <n v="240"/>
    <m/>
    <n v="4300021652"/>
    <m/>
    <m/>
    <s v="EXFU 821653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Q"/>
    <n v="5405"/>
    <n v="240"/>
    <m/>
    <n v="4300021652"/>
    <m/>
    <m/>
    <s v="EXFU 821841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CR"/>
    <n v="5405"/>
    <n v="577.5"/>
    <m/>
    <n v="4300021652"/>
    <m/>
    <m/>
    <s v="EXFU 830001-0"/>
    <s v="Rental"/>
    <x v="7"/>
    <d v="2018-05-01T00:00:00"/>
    <d v="2018-04-30T00:00:00"/>
    <n v="577.5"/>
    <d v="2018-05-14T00:00:00"/>
    <n v="0"/>
    <s v="More than 60 days"/>
    <s v="BCOXT"/>
    <x v="0"/>
    <s v="Invoice"/>
  </r>
  <r>
    <x v="15"/>
    <s v="PO"/>
    <s v="CS"/>
    <n v="5405"/>
    <n v="577.5"/>
    <m/>
    <n v="4300021652"/>
    <m/>
    <m/>
    <s v="EXFU 830002-5"/>
    <s v="Rental"/>
    <x v="7"/>
    <d v="2018-05-01T00:00:00"/>
    <d v="2018-04-30T00:00:00"/>
    <n v="577.5"/>
    <d v="2018-05-14T00:00:00"/>
    <n v="0"/>
    <s v="More than 60 days"/>
    <s v="BCOXT"/>
    <x v="0"/>
    <s v="Invoice"/>
  </r>
  <r>
    <x v="15"/>
    <s v="PO"/>
    <s v="CT"/>
    <n v="5405"/>
    <n v="660"/>
    <m/>
    <n v="4300021652"/>
    <m/>
    <m/>
    <s v="EXFU 830007-2"/>
    <s v="Rental"/>
    <x v="7"/>
    <d v="2018-05-01T00:00:00"/>
    <d v="2018-04-30T00:00:00"/>
    <n v="660"/>
    <d v="2018-05-14T00:00:00"/>
    <n v="0"/>
    <s v="More than 60 days"/>
    <s v="BCOXT"/>
    <x v="0"/>
    <s v="Invoice"/>
  </r>
  <r>
    <x v="15"/>
    <s v="PO"/>
    <s v="CU"/>
    <n v="5405"/>
    <n v="660"/>
    <m/>
    <n v="4300021652"/>
    <m/>
    <m/>
    <s v="EXFU 830008-8"/>
    <s v="Rental"/>
    <x v="7"/>
    <d v="2018-05-01T00:00:00"/>
    <d v="2018-04-30T00:00:00"/>
    <n v="660"/>
    <d v="2018-05-14T00:00:00"/>
    <n v="0"/>
    <s v="More than 60 days"/>
    <s v="BCOXT"/>
    <x v="0"/>
    <s v="Invoice"/>
  </r>
  <r>
    <x v="15"/>
    <s v="PO"/>
    <s v="CV"/>
    <n v="5405"/>
    <n v="660"/>
    <m/>
    <n v="4300021652"/>
    <m/>
    <m/>
    <s v="EXFU 830009-3"/>
    <s v="Rental"/>
    <x v="7"/>
    <d v="2018-05-01T00:00:00"/>
    <d v="2018-04-30T00:00:00"/>
    <n v="660"/>
    <d v="2018-05-14T00:00:00"/>
    <n v="0"/>
    <s v="More than 60 days"/>
    <s v="BCOXT"/>
    <x v="0"/>
    <s v="Invoice"/>
  </r>
  <r>
    <x v="15"/>
    <s v="PO"/>
    <s v="CW"/>
    <n v="5405"/>
    <n v="255"/>
    <m/>
    <n v="4300021652"/>
    <m/>
    <m/>
    <s v="EXSZ 900676-6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CX"/>
    <n v="5405"/>
    <n v="255"/>
    <m/>
    <n v="4300021652"/>
    <m/>
    <m/>
    <s v="EXSZ 900687-4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CY"/>
    <n v="5405"/>
    <n v="255"/>
    <m/>
    <n v="4300021652"/>
    <m/>
    <m/>
    <s v="EXSZ 900732-0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CZ"/>
    <n v="5405"/>
    <n v="247.5"/>
    <m/>
    <n v="4300021652"/>
    <m/>
    <m/>
    <s v="EXSZ 900753-0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A"/>
    <n v="5405"/>
    <n v="247.5"/>
    <m/>
    <n v="4300021652"/>
    <m/>
    <m/>
    <s v="EXSZ 900813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B"/>
    <n v="5405"/>
    <n v="247.5"/>
    <m/>
    <n v="4300021652"/>
    <m/>
    <m/>
    <s v="EXSZ 900816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C"/>
    <n v="5405"/>
    <n v="247.5"/>
    <m/>
    <n v="4300021652"/>
    <m/>
    <m/>
    <s v="EXSZ 900823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D"/>
    <n v="5405"/>
    <n v="247.5"/>
    <m/>
    <n v="4300021652"/>
    <m/>
    <m/>
    <s v="EXSZ 900885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E"/>
    <n v="5405"/>
    <n v="247.5"/>
    <m/>
    <n v="4300021652"/>
    <m/>
    <m/>
    <s v="EXSZ 901026-7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F"/>
    <n v="5405"/>
    <n v="255"/>
    <m/>
    <n v="4300021652"/>
    <m/>
    <m/>
    <s v="EXSZ 901165-9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G"/>
    <n v="5405"/>
    <n v="255"/>
    <m/>
    <n v="4300021652"/>
    <m/>
    <m/>
    <s v="EXSZ 901166-4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H"/>
    <n v="5405"/>
    <n v="255"/>
    <m/>
    <n v="4300021652"/>
    <m/>
    <m/>
    <s v="EXSZ 901168-5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I"/>
    <n v="5405"/>
    <n v="270"/>
    <m/>
    <n v="4300021652"/>
    <m/>
    <m/>
    <s v="EXSZ 901339-5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DJ"/>
    <n v="5405"/>
    <n v="270"/>
    <m/>
    <n v="4300021652"/>
    <m/>
    <m/>
    <s v="EXSZ 901341-4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DK"/>
    <n v="5405"/>
    <n v="270"/>
    <m/>
    <n v="4300021652"/>
    <m/>
    <m/>
    <s v="EXSZ 901344-0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DL"/>
    <n v="5405"/>
    <n v="270"/>
    <m/>
    <n v="4300021652"/>
    <m/>
    <m/>
    <s v="EXSZ 901345-6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DM"/>
    <n v="5405"/>
    <n v="270"/>
    <m/>
    <n v="4300021652"/>
    <m/>
    <m/>
    <s v="EXSZ 901347-7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DN"/>
    <n v="5405"/>
    <n v="270"/>
    <m/>
    <n v="4300021652"/>
    <m/>
    <m/>
    <s v="EXSZ 901348-2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DO"/>
    <n v="5405"/>
    <n v="247.5"/>
    <m/>
    <n v="4300021652"/>
    <m/>
    <m/>
    <s v="EXSZ 901529-5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DP"/>
    <n v="5405"/>
    <n v="360"/>
    <m/>
    <n v="4300021652"/>
    <m/>
    <m/>
    <s v="EXSZ 901582-3"/>
    <s v="Rental"/>
    <x v="7"/>
    <d v="2018-05-01T00:00:00"/>
    <d v="2018-04-30T00:00:00"/>
    <n v="360"/>
    <d v="2018-05-14T00:00:00"/>
    <n v="0"/>
    <s v="More than 60 days"/>
    <s v="BCOXT"/>
    <x v="0"/>
    <s v="Invoice"/>
  </r>
  <r>
    <x v="15"/>
    <s v="PO"/>
    <s v="DQ"/>
    <n v="5405"/>
    <n v="360"/>
    <m/>
    <n v="4300021652"/>
    <m/>
    <m/>
    <s v="EXSZ 901588-6"/>
    <s v="Rental"/>
    <x v="7"/>
    <d v="2018-05-01T00:00:00"/>
    <d v="2018-04-30T00:00:00"/>
    <n v="360"/>
    <d v="2018-05-14T00:00:00"/>
    <n v="0"/>
    <s v="More than 60 days"/>
    <s v="BCOXT"/>
    <x v="0"/>
    <s v="Invoice"/>
  </r>
  <r>
    <x v="15"/>
    <s v="PO"/>
    <s v="DR"/>
    <n v="5405"/>
    <n v="360"/>
    <m/>
    <n v="4300021652"/>
    <m/>
    <m/>
    <s v="EXSZ 901602-8"/>
    <s v="Rental"/>
    <x v="7"/>
    <d v="2018-05-01T00:00:00"/>
    <d v="2018-04-30T00:00:00"/>
    <n v="360"/>
    <d v="2018-05-14T00:00:00"/>
    <n v="0"/>
    <s v="More than 60 days"/>
    <s v="BCOXT"/>
    <x v="0"/>
    <s v="Invoice"/>
  </r>
  <r>
    <x v="15"/>
    <s v="PO"/>
    <s v="DS"/>
    <n v="5405"/>
    <n v="255"/>
    <m/>
    <n v="4300021652"/>
    <m/>
    <m/>
    <s v="EXSZ 901614-1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T"/>
    <n v="5405"/>
    <n v="255"/>
    <m/>
    <n v="4300021652"/>
    <m/>
    <m/>
    <s v="EXSZ 901615-7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U"/>
    <n v="5405"/>
    <n v="255"/>
    <m/>
    <n v="4300021652"/>
    <m/>
    <m/>
    <s v="EXSZ 901616-2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V"/>
    <n v="5405"/>
    <n v="255"/>
    <m/>
    <n v="4300021652"/>
    <m/>
    <m/>
    <s v="EXSZ 901617-8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W"/>
    <n v="5405"/>
    <n v="255"/>
    <m/>
    <n v="4300021652"/>
    <m/>
    <m/>
    <s v="EXSZ 901618-3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X"/>
    <n v="5405"/>
    <n v="255"/>
    <m/>
    <n v="4300021652"/>
    <m/>
    <m/>
    <s v="EXSZ 901619-9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Y"/>
    <n v="5405"/>
    <n v="255"/>
    <m/>
    <n v="4300021652"/>
    <m/>
    <m/>
    <s v="EXSZ 901620-2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DZ"/>
    <n v="5405"/>
    <n v="255"/>
    <m/>
    <n v="4300021652"/>
    <m/>
    <m/>
    <s v="EXSZ 901623-9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A"/>
    <n v="5405"/>
    <n v="255"/>
    <m/>
    <n v="4300021652"/>
    <m/>
    <m/>
    <s v="EXSZ 901624-4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B"/>
    <n v="5405"/>
    <n v="255"/>
    <m/>
    <n v="4300021652"/>
    <m/>
    <m/>
    <s v="EXSZ 901625-0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C"/>
    <n v="5405"/>
    <n v="270"/>
    <m/>
    <n v="4300021652"/>
    <m/>
    <m/>
    <s v="EXSZ 901639-4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D"/>
    <n v="5405"/>
    <n v="255"/>
    <m/>
    <n v="4300021652"/>
    <m/>
    <m/>
    <s v="EXSZ 901726-1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E"/>
    <n v="5405"/>
    <n v="255"/>
    <m/>
    <n v="4300021652"/>
    <m/>
    <m/>
    <s v="EXSZ 901727-7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F"/>
    <n v="5405"/>
    <n v="255"/>
    <m/>
    <n v="4300021652"/>
    <m/>
    <m/>
    <s v="EXSZ 901728-2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G"/>
    <n v="5405"/>
    <n v="255"/>
    <m/>
    <n v="4300021652"/>
    <m/>
    <m/>
    <s v="EXSZ 901729-8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H"/>
    <n v="5405"/>
    <n v="255"/>
    <m/>
    <n v="4300021652"/>
    <m/>
    <m/>
    <s v="EXSZ 901730-1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I"/>
    <n v="5405"/>
    <n v="255"/>
    <m/>
    <n v="4300021652"/>
    <m/>
    <m/>
    <s v="EXSZ 901731-7"/>
    <s v="Rental"/>
    <x v="7"/>
    <d v="2018-05-01T00:00:00"/>
    <d v="2018-04-30T00:00:00"/>
    <n v="255"/>
    <d v="2018-05-14T00:00:00"/>
    <n v="0"/>
    <s v="More than 60 days"/>
    <s v="BCOXT"/>
    <x v="0"/>
    <s v="Invoice"/>
  </r>
  <r>
    <x v="15"/>
    <s v="PO"/>
    <s v="EJ"/>
    <n v="5405"/>
    <n v="360"/>
    <m/>
    <n v="4300021652"/>
    <m/>
    <m/>
    <s v="EXSZ 901815-0"/>
    <s v="Rental"/>
    <x v="7"/>
    <d v="2018-05-01T00:00:00"/>
    <d v="2018-04-30T00:00:00"/>
    <n v="360"/>
    <d v="2018-05-14T00:00:00"/>
    <n v="0"/>
    <s v="More than 60 days"/>
    <s v="BCOXT"/>
    <x v="0"/>
    <s v="Invoice"/>
  </r>
  <r>
    <x v="15"/>
    <s v="PO"/>
    <s v="EK"/>
    <n v="5405"/>
    <n v="360"/>
    <m/>
    <n v="4300021652"/>
    <m/>
    <m/>
    <s v="EXSZ 901824-7"/>
    <s v="Rental"/>
    <x v="7"/>
    <d v="2018-05-01T00:00:00"/>
    <d v="2018-04-30T00:00:00"/>
    <n v="360"/>
    <d v="2018-05-14T00:00:00"/>
    <n v="0"/>
    <s v="More than 60 days"/>
    <s v="BCOXT"/>
    <x v="0"/>
    <s v="Invoice"/>
  </r>
  <r>
    <x v="15"/>
    <s v="PO"/>
    <s v="EL"/>
    <n v="5405"/>
    <n v="360"/>
    <m/>
    <n v="4300021652"/>
    <m/>
    <m/>
    <s v="EXSZ 901832-9"/>
    <s v="Rental"/>
    <x v="7"/>
    <d v="2018-05-01T00:00:00"/>
    <d v="2018-04-30T00:00:00"/>
    <n v="360"/>
    <d v="2018-05-14T00:00:00"/>
    <n v="0"/>
    <s v="More than 60 days"/>
    <s v="BCOXT"/>
    <x v="0"/>
    <s v="Invoice"/>
  </r>
  <r>
    <x v="15"/>
    <s v="PO"/>
    <s v="EM"/>
    <n v="5405"/>
    <n v="247.5"/>
    <m/>
    <n v="4300021652"/>
    <m/>
    <m/>
    <s v="EXSZ 902002-8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EN"/>
    <n v="5405"/>
    <n v="247.5"/>
    <m/>
    <n v="4300021652"/>
    <m/>
    <m/>
    <s v="EXSZ 902039-4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EO"/>
    <n v="5405"/>
    <n v="247.5"/>
    <m/>
    <n v="4300021652"/>
    <m/>
    <m/>
    <s v="EXSZ 902077-4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EP"/>
    <n v="5405"/>
    <n v="247.5"/>
    <m/>
    <n v="4300021652"/>
    <m/>
    <m/>
    <s v="EXSZ 902082-0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EQ"/>
    <n v="5405"/>
    <n v="247.5"/>
    <m/>
    <n v="4300021652"/>
    <m/>
    <m/>
    <s v="EXSZ 902091-7"/>
    <s v="Rental"/>
    <x v="7"/>
    <d v="2018-05-01T00:00:00"/>
    <d v="2018-04-30T00:00:00"/>
    <n v="247.5"/>
    <d v="2018-05-14T00:00:00"/>
    <n v="0"/>
    <s v="More than 60 days"/>
    <s v="BCOXT"/>
    <x v="0"/>
    <s v="Invoice"/>
  </r>
  <r>
    <x v="15"/>
    <s v="PO"/>
    <s v="ER"/>
    <n v="5405"/>
    <n v="232.5"/>
    <m/>
    <n v="4300021652"/>
    <m/>
    <m/>
    <s v="EXSZ 902861-0"/>
    <s v="Rental"/>
    <x v="7"/>
    <d v="2018-05-01T00:00:00"/>
    <d v="2018-04-30T00:00:00"/>
    <n v="232.5"/>
    <d v="2018-05-14T00:00:00"/>
    <n v="0"/>
    <s v="More than 60 days"/>
    <s v="BCOXT"/>
    <x v="0"/>
    <s v="Invoice"/>
  </r>
  <r>
    <x v="15"/>
    <s v="PO"/>
    <s v="ES"/>
    <n v="5405"/>
    <n v="270"/>
    <m/>
    <n v="4300021652"/>
    <m/>
    <m/>
    <s v="EXSZ 902862-5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T"/>
    <n v="5405"/>
    <n v="270"/>
    <m/>
    <n v="4300021652"/>
    <m/>
    <m/>
    <s v="EXSZ 902864-6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U"/>
    <n v="5405"/>
    <n v="270"/>
    <m/>
    <n v="4300021652"/>
    <m/>
    <m/>
    <s v="EXSZ 903079-3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V"/>
    <n v="5405"/>
    <n v="270"/>
    <m/>
    <n v="4300021652"/>
    <m/>
    <m/>
    <s v="EXSZ 903116-7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W"/>
    <n v="5405"/>
    <n v="270"/>
    <m/>
    <n v="4300021652"/>
    <m/>
    <m/>
    <s v="EXSZ 903119-3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X"/>
    <n v="5405"/>
    <n v="270"/>
    <m/>
    <n v="4300021652"/>
    <m/>
    <m/>
    <s v="EXSZ 903120-7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EY"/>
    <n v="5405"/>
    <n v="232.5"/>
    <m/>
    <n v="4300021652"/>
    <m/>
    <m/>
    <s v="EXSZ 903135-7"/>
    <s v="Rental"/>
    <x v="7"/>
    <d v="2018-05-01T00:00:00"/>
    <d v="2018-04-30T00:00:00"/>
    <n v="232.5"/>
    <d v="2018-05-14T00:00:00"/>
    <n v="0"/>
    <s v="More than 60 days"/>
    <s v="BCOXT"/>
    <x v="0"/>
    <s v="Invoice"/>
  </r>
  <r>
    <x v="15"/>
    <s v="PO"/>
    <s v="EZ"/>
    <n v="5405"/>
    <n v="270"/>
    <m/>
    <n v="4300021652"/>
    <m/>
    <m/>
    <s v="EXSZ 903173-7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A"/>
    <n v="5405"/>
    <n v="270"/>
    <m/>
    <n v="4300021652"/>
    <m/>
    <m/>
    <s v="EXSZ 903590-1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B"/>
    <n v="5405"/>
    <n v="270"/>
    <m/>
    <n v="4300021652"/>
    <m/>
    <m/>
    <s v="EXSZ 903591-7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C"/>
    <n v="5405"/>
    <n v="270"/>
    <m/>
    <n v="4300021652"/>
    <m/>
    <m/>
    <s v="EXSZ 903592-2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D"/>
    <n v="5405"/>
    <n v="270"/>
    <m/>
    <n v="4300021652"/>
    <m/>
    <m/>
    <s v="EXSZ 903593-8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E"/>
    <n v="5405"/>
    <n v="270"/>
    <m/>
    <n v="4300021652"/>
    <m/>
    <m/>
    <s v="EXSZ 903594-3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F"/>
    <n v="5405"/>
    <n v="270"/>
    <m/>
    <n v="4300021652"/>
    <m/>
    <m/>
    <s v="EXSZ 903595-9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G"/>
    <n v="5405"/>
    <n v="270"/>
    <m/>
    <n v="4300021652"/>
    <m/>
    <m/>
    <s v="EXSZ 903596-4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H"/>
    <n v="5405"/>
    <n v="270"/>
    <m/>
    <n v="4300021652"/>
    <m/>
    <m/>
    <s v="EXSZ 903597-0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I"/>
    <n v="5405"/>
    <n v="270"/>
    <m/>
    <n v="4300021652"/>
    <m/>
    <m/>
    <s v="EXSZ 903598-5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J"/>
    <n v="5405"/>
    <n v="270"/>
    <m/>
    <n v="4300021652"/>
    <m/>
    <m/>
    <s v="EXSZ 903602-4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K"/>
    <n v="5405"/>
    <n v="270"/>
    <m/>
    <n v="4300021652"/>
    <m/>
    <m/>
    <s v="EXSZ 903603-0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L"/>
    <n v="5405"/>
    <n v="270"/>
    <m/>
    <n v="4300021652"/>
    <m/>
    <m/>
    <s v="EXSZ 903604-5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M"/>
    <n v="5405"/>
    <n v="270"/>
    <m/>
    <n v="4300021652"/>
    <m/>
    <m/>
    <s v="EXSZ 903605-0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N"/>
    <n v="5405"/>
    <n v="270"/>
    <m/>
    <n v="4300021652"/>
    <m/>
    <m/>
    <s v="EXSZ 903606-6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O"/>
    <n v="5405"/>
    <n v="270"/>
    <m/>
    <n v="4300021652"/>
    <m/>
    <m/>
    <s v="EXSZ 903607-1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P"/>
    <n v="5405"/>
    <n v="270"/>
    <m/>
    <n v="4300021652"/>
    <m/>
    <m/>
    <s v="EXSZ 903616-9"/>
    <s v="Rental"/>
    <x v="7"/>
    <d v="2018-05-01T00:00:00"/>
    <d v="2018-04-30T00:00:00"/>
    <n v="270"/>
    <d v="2018-05-14T00:00:00"/>
    <n v="0"/>
    <s v="More than 60 days"/>
    <s v="BCOXT"/>
    <x v="0"/>
    <s v="Invoice"/>
  </r>
  <r>
    <x v="15"/>
    <s v="PO"/>
    <s v="FQ"/>
    <n v="5405"/>
    <n v="93"/>
    <m/>
    <n v="4300021652"/>
    <m/>
    <m/>
    <s v="EXSZ 903704-1"/>
    <s v="Rental"/>
    <x v="7"/>
    <d v="2018-05-01T00:00:00"/>
    <d v="2018-04-30T00:00:00"/>
    <n v="93"/>
    <d v="2018-05-14T00:00:00"/>
    <n v="0"/>
    <s v="More than 60 days"/>
    <s v="BCOXT"/>
    <x v="0"/>
    <s v="Invoice"/>
  </r>
  <r>
    <x v="15"/>
    <s v="PO"/>
    <s v="FR"/>
    <n v="5405"/>
    <n v="90"/>
    <m/>
    <n v="4300021652"/>
    <m/>
    <m/>
    <s v="EXSZ 903704-1"/>
    <s v="Handling Fee at Pickup"/>
    <x v="7"/>
    <d v="2018-05-01T00:00:00"/>
    <d v="2018-04-30T00:00:00"/>
    <n v="90"/>
    <d v="2018-05-14T00:00:00"/>
    <n v="0"/>
    <s v="More than 60 days"/>
    <s v="BCOXT"/>
    <x v="0"/>
    <s v="Invoice"/>
  </r>
  <r>
    <x v="15"/>
    <s v="PO"/>
    <s v="FS"/>
    <n v="5405"/>
    <n v="85.25"/>
    <m/>
    <n v="4300021652"/>
    <m/>
    <m/>
    <s v="EXSZ 903705-7"/>
    <s v="Rental"/>
    <x v="7"/>
    <d v="2018-05-01T00:00:00"/>
    <d v="2018-04-30T00:00:00"/>
    <n v="85.25"/>
    <d v="2018-05-14T00:00:00"/>
    <n v="0"/>
    <s v="More than 60 days"/>
    <s v="BCOXT"/>
    <x v="0"/>
    <s v="Invoice"/>
  </r>
  <r>
    <x v="15"/>
    <s v="PO"/>
    <s v="FT"/>
    <n v="5405"/>
    <n v="90"/>
    <m/>
    <n v="4300021652"/>
    <m/>
    <m/>
    <s v="EXSZ 903705-7"/>
    <s v="Handling Fee at Pickup"/>
    <x v="7"/>
    <d v="2018-05-01T00:00:00"/>
    <d v="2018-04-30T00:00:00"/>
    <n v="90"/>
    <d v="2018-05-14T00:00:00"/>
    <n v="0"/>
    <s v="More than 60 days"/>
    <s v="BCOXT"/>
    <x v="0"/>
    <s v="Invoice"/>
  </r>
  <r>
    <x v="15"/>
    <s v="PO"/>
    <s v="FU"/>
    <n v="5405"/>
    <n v="100.75"/>
    <m/>
    <n v="4300021652"/>
    <m/>
    <m/>
    <s v="EXSZ 903706-2"/>
    <s v="Rental"/>
    <x v="7"/>
    <d v="2018-05-01T00:00:00"/>
    <d v="2018-04-30T00:00:00"/>
    <n v="100.75"/>
    <d v="2018-05-14T00:00:00"/>
    <n v="0"/>
    <s v="More than 60 days"/>
    <s v="BCOXT"/>
    <x v="0"/>
    <s v="Invoice"/>
  </r>
  <r>
    <x v="15"/>
    <s v="PO"/>
    <s v="FV"/>
    <n v="5405"/>
    <n v="90"/>
    <m/>
    <n v="4300021652"/>
    <m/>
    <m/>
    <s v="EXSZ 903706-2"/>
    <s v="Handling Fee at Pickup"/>
    <x v="7"/>
    <d v="2018-05-01T00:00:00"/>
    <d v="2018-04-30T00:00:00"/>
    <n v="90"/>
    <d v="2018-05-14T00:00:00"/>
    <n v="0"/>
    <s v="More than 60 days"/>
    <s v="BCOXT"/>
    <x v="0"/>
    <s v="Invoice"/>
  </r>
  <r>
    <x v="15"/>
    <s v="PO"/>
    <s v="FW"/>
    <n v="5405"/>
    <n v="240"/>
    <m/>
    <n v="4300021652"/>
    <m/>
    <m/>
    <s v="EXXU 998108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FX"/>
    <n v="5405"/>
    <n v="240"/>
    <m/>
    <n v="4300021652"/>
    <m/>
    <m/>
    <s v="EXXU 999613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FY"/>
    <n v="5405"/>
    <n v="240"/>
    <m/>
    <n v="4300021652"/>
    <m/>
    <m/>
    <s v="TOLU 906039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FZ"/>
    <n v="5405"/>
    <n v="240"/>
    <m/>
    <n v="4300021652"/>
    <m/>
    <m/>
    <s v="TOLU 926009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A"/>
    <n v="5405"/>
    <n v="240"/>
    <m/>
    <n v="4300021652"/>
    <m/>
    <m/>
    <s v="TOLU 926022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B"/>
    <n v="5405"/>
    <n v="240"/>
    <m/>
    <n v="4300021652"/>
    <m/>
    <m/>
    <s v="TOLU 926054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C"/>
    <n v="5405"/>
    <n v="240"/>
    <m/>
    <n v="4300021652"/>
    <m/>
    <m/>
    <s v="TPMU 131017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D"/>
    <n v="5405"/>
    <n v="240"/>
    <m/>
    <n v="4300021652"/>
    <m/>
    <m/>
    <s v="TPMU 451160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E"/>
    <n v="5405"/>
    <n v="240"/>
    <m/>
    <n v="4300021652"/>
    <m/>
    <m/>
    <s v="TRLU 021020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F"/>
    <n v="5405"/>
    <n v="240"/>
    <m/>
    <n v="4300021652"/>
    <m/>
    <m/>
    <s v="TRLU 021090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G"/>
    <n v="5405"/>
    <n v="240"/>
    <m/>
    <n v="4300021652"/>
    <m/>
    <m/>
    <s v="TRLU 021264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H"/>
    <n v="5405"/>
    <n v="240"/>
    <m/>
    <n v="4300021652"/>
    <m/>
    <m/>
    <s v="TRLU 021279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I"/>
    <n v="5405"/>
    <n v="240"/>
    <m/>
    <n v="4300021652"/>
    <m/>
    <m/>
    <s v="TRLU 021458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J"/>
    <n v="5405"/>
    <n v="240"/>
    <m/>
    <n v="4300021652"/>
    <m/>
    <m/>
    <s v="TRLU 021564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K"/>
    <n v="5405"/>
    <n v="240"/>
    <m/>
    <n v="4300021652"/>
    <m/>
    <m/>
    <s v="TRLU 021626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L"/>
    <n v="5405"/>
    <n v="240"/>
    <m/>
    <n v="4300021652"/>
    <m/>
    <m/>
    <s v="TRLU 021741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M"/>
    <n v="5405"/>
    <n v="240"/>
    <m/>
    <n v="4300021652"/>
    <m/>
    <m/>
    <s v="TRLU 021805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N"/>
    <n v="5405"/>
    <n v="240"/>
    <m/>
    <n v="4300021652"/>
    <m/>
    <m/>
    <s v="TRLU 021881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O"/>
    <n v="5405"/>
    <n v="240"/>
    <m/>
    <n v="4300021652"/>
    <m/>
    <m/>
    <s v="TRLU 021882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P"/>
    <n v="5405"/>
    <n v="240"/>
    <m/>
    <n v="4300021652"/>
    <m/>
    <m/>
    <s v="TRLU 021884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Q"/>
    <n v="5405"/>
    <n v="240"/>
    <m/>
    <n v="4300021652"/>
    <m/>
    <m/>
    <s v="TRLU 021886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R"/>
    <n v="5405"/>
    <n v="240"/>
    <m/>
    <n v="4300021652"/>
    <m/>
    <m/>
    <s v="TRLU 021903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S"/>
    <n v="5405"/>
    <n v="240"/>
    <m/>
    <n v="4300021652"/>
    <m/>
    <m/>
    <s v="TRLU 021909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T"/>
    <n v="5405"/>
    <n v="240"/>
    <m/>
    <n v="4300021652"/>
    <m/>
    <m/>
    <s v="TRLU 021911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U"/>
    <n v="5405"/>
    <n v="240"/>
    <m/>
    <n v="4300021652"/>
    <m/>
    <m/>
    <s v="TRLU 021945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V"/>
    <n v="5405"/>
    <n v="240"/>
    <m/>
    <n v="4300021652"/>
    <m/>
    <m/>
    <s v="TRLU 022018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W"/>
    <n v="5405"/>
    <n v="240"/>
    <m/>
    <n v="4300021652"/>
    <m/>
    <m/>
    <s v="TRLU 022022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X"/>
    <n v="5405"/>
    <n v="240"/>
    <m/>
    <n v="4300021652"/>
    <m/>
    <m/>
    <s v="TRLU 022035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Y"/>
    <n v="5405"/>
    <n v="240"/>
    <m/>
    <n v="4300021652"/>
    <m/>
    <m/>
    <s v="TRLU 024027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GZ"/>
    <n v="5405"/>
    <n v="240"/>
    <m/>
    <n v="4300021652"/>
    <m/>
    <m/>
    <s v="TRLU 026907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A"/>
    <n v="5405"/>
    <n v="240"/>
    <m/>
    <n v="4300021652"/>
    <m/>
    <m/>
    <s v="TRLU 026910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B"/>
    <n v="5405"/>
    <n v="240"/>
    <m/>
    <n v="4300021652"/>
    <m/>
    <m/>
    <s v="TRLU 027173-5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C"/>
    <n v="5405"/>
    <n v="240"/>
    <m/>
    <n v="4300021652"/>
    <m/>
    <m/>
    <s v="TRLU 050562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D"/>
    <n v="5405"/>
    <n v="486"/>
    <m/>
    <n v="4300021652"/>
    <m/>
    <m/>
    <s v="TRLU 830034-1"/>
    <s v="Rental"/>
    <x v="7"/>
    <d v="2018-05-01T00:00:00"/>
    <d v="2018-04-30T00:00:00"/>
    <n v="486"/>
    <d v="2018-05-14T00:00:00"/>
    <n v="0"/>
    <s v="More than 60 days"/>
    <s v="BCOXT"/>
    <x v="0"/>
    <s v="Invoice"/>
  </r>
  <r>
    <x v="15"/>
    <s v="PO"/>
    <s v="HE"/>
    <n v="5405"/>
    <n v="486"/>
    <m/>
    <n v="4300021652"/>
    <m/>
    <m/>
    <s v="TRLU 830041-8"/>
    <s v="Rental"/>
    <x v="7"/>
    <d v="2018-05-01T00:00:00"/>
    <d v="2018-04-30T00:00:00"/>
    <n v="486"/>
    <d v="2018-05-14T00:00:00"/>
    <n v="0"/>
    <s v="More than 60 days"/>
    <s v="BCOXT"/>
    <x v="0"/>
    <s v="Invoice"/>
  </r>
  <r>
    <x v="15"/>
    <s v="PO"/>
    <s v="HF"/>
    <n v="5405"/>
    <n v="240"/>
    <m/>
    <n v="4300021652"/>
    <m/>
    <m/>
    <s v="USPU 121314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G"/>
    <n v="5405"/>
    <n v="240"/>
    <m/>
    <n v="4300021652"/>
    <m/>
    <m/>
    <s v="USPU 122054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H"/>
    <n v="5405"/>
    <n v="240"/>
    <m/>
    <n v="4300021652"/>
    <m/>
    <m/>
    <s v="USPU 122448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I"/>
    <n v="5405"/>
    <n v="240"/>
    <m/>
    <n v="4300021652"/>
    <m/>
    <m/>
    <s v="USPU 122485-9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J"/>
    <n v="5405"/>
    <n v="240"/>
    <m/>
    <n v="4300021652"/>
    <m/>
    <m/>
    <s v="USPU 122501-1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K"/>
    <n v="5405"/>
    <n v="240"/>
    <m/>
    <n v="4300021652"/>
    <m/>
    <m/>
    <s v="USPU 122783-7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L"/>
    <n v="5405"/>
    <n v="240"/>
    <m/>
    <n v="4300021652"/>
    <m/>
    <m/>
    <s v="USPU 124136-8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M"/>
    <n v="5405"/>
    <n v="240"/>
    <m/>
    <n v="4300021652"/>
    <m/>
    <m/>
    <s v="USPU 124144-0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N"/>
    <n v="5405"/>
    <n v="240"/>
    <m/>
    <n v="4300021652"/>
    <m/>
    <m/>
    <s v="USPU 124504-4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O"/>
    <n v="5405"/>
    <n v="240"/>
    <m/>
    <n v="4300021652"/>
    <m/>
    <m/>
    <s v="USPU 124608-2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P"/>
    <n v="5405"/>
    <n v="240"/>
    <m/>
    <n v="4300021652"/>
    <m/>
    <m/>
    <s v="USPU 124667-3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5"/>
    <s v="PO"/>
    <s v="HQ"/>
    <n v="5405"/>
    <n v="240"/>
    <m/>
    <n v="4300021652"/>
    <m/>
    <m/>
    <s v="USPU 124789-6"/>
    <s v="Rental"/>
    <x v="7"/>
    <d v="2018-05-01T00:00:00"/>
    <d v="2018-04-30T00:00:00"/>
    <n v="240"/>
    <d v="2018-05-14T00:00:00"/>
    <n v="0"/>
    <s v="More than 60 days"/>
    <s v="BCOXT"/>
    <x v="0"/>
    <s v="Invoice"/>
  </r>
  <r>
    <x v="16"/>
    <s v="Sao Paulo"/>
    <m/>
    <n v="5405"/>
    <n v="1164"/>
    <m/>
    <n v="4320249581"/>
    <m/>
    <m/>
    <s v="Various"/>
    <s v="Rental"/>
    <x v="7"/>
    <d v="2018-05-01T00:00:00"/>
    <m/>
    <m/>
    <m/>
    <n v="1164"/>
    <s v="More than 60 days"/>
    <s v="BCOXT"/>
    <x v="1"/>
    <s v="Invoice"/>
  </r>
  <r>
    <x v="17"/>
    <s v="PO"/>
    <s v="A"/>
    <n v="5405"/>
    <n v="248"/>
    <m/>
    <n v="4300021652"/>
    <m/>
    <m/>
    <s v="EXFU 050873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"/>
    <n v="5405"/>
    <n v="248"/>
    <m/>
    <n v="4300021652"/>
    <m/>
    <m/>
    <s v="EXFU 051623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"/>
    <n v="5405"/>
    <n v="248"/>
    <m/>
    <n v="4300021652"/>
    <m/>
    <m/>
    <s v="EXFU 052714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D"/>
    <n v="5405"/>
    <n v="248"/>
    <m/>
    <n v="4300021652"/>
    <m/>
    <m/>
    <s v="EXFU 052740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E"/>
    <n v="5405"/>
    <n v="248"/>
    <m/>
    <n v="4300021652"/>
    <m/>
    <m/>
    <s v="EXFU 053036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F"/>
    <n v="5405"/>
    <n v="248"/>
    <m/>
    <n v="4300021652"/>
    <m/>
    <m/>
    <s v="EXFU 054270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"/>
    <n v="5405"/>
    <n v="248"/>
    <m/>
    <n v="4300021652"/>
    <m/>
    <m/>
    <s v="EXFU 054319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"/>
    <n v="5405"/>
    <n v="248"/>
    <m/>
    <n v="4300021652"/>
    <m/>
    <m/>
    <s v="EXFU 054320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I"/>
    <n v="5405"/>
    <n v="248"/>
    <m/>
    <n v="4300021652"/>
    <m/>
    <m/>
    <s v="EXFU 054538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J"/>
    <n v="5405"/>
    <n v="248"/>
    <m/>
    <n v="4300021652"/>
    <m/>
    <m/>
    <s v="EXFU 054615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K"/>
    <n v="5405"/>
    <n v="248"/>
    <m/>
    <n v="4300021652"/>
    <m/>
    <m/>
    <s v="EXFU 054618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L"/>
    <n v="5405"/>
    <n v="248"/>
    <m/>
    <n v="4300021652"/>
    <m/>
    <m/>
    <s v="EXFU 055093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M"/>
    <n v="5405"/>
    <n v="248"/>
    <m/>
    <n v="4300021652"/>
    <m/>
    <m/>
    <s v="EXFU 056376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N"/>
    <n v="5405"/>
    <n v="270.94"/>
    <m/>
    <n v="4300021652"/>
    <m/>
    <m/>
    <s v="EXFU 059891-0"/>
    <s v="Rental"/>
    <x v="8"/>
    <d v="2018-05-31T00:00:00"/>
    <d v="2018-05-30T00:00:00"/>
    <n v="270.94"/>
    <d v="2018-06-11T00:00:00"/>
    <n v="0"/>
    <s v="30-60 days"/>
    <s v="BCOXT"/>
    <x v="0"/>
    <s v="Invoice"/>
  </r>
  <r>
    <x v="17"/>
    <s v="PO"/>
    <s v="O"/>
    <n v="5405"/>
    <n v="248"/>
    <m/>
    <n v="4300021652"/>
    <m/>
    <m/>
    <s v="EXFU 059950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P"/>
    <n v="5405"/>
    <n v="248"/>
    <m/>
    <n v="4300021652"/>
    <m/>
    <m/>
    <s v="EXFU 060725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Q"/>
    <n v="5405"/>
    <n v="248"/>
    <m/>
    <n v="4300021652"/>
    <m/>
    <m/>
    <s v="EXFU 061111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R"/>
    <n v="5405"/>
    <n v="248"/>
    <m/>
    <n v="4300021652"/>
    <m/>
    <m/>
    <s v="EXFU 061116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S"/>
    <n v="5405"/>
    <n v="248"/>
    <m/>
    <n v="4300021652"/>
    <m/>
    <m/>
    <s v="EXFU 061119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T"/>
    <n v="5405"/>
    <n v="248"/>
    <m/>
    <n v="4300021652"/>
    <m/>
    <m/>
    <s v="EXFU 061120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U"/>
    <n v="5405"/>
    <n v="248"/>
    <m/>
    <n v="4300021652"/>
    <m/>
    <m/>
    <s v="EXFU 061121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V"/>
    <n v="5405"/>
    <n v="248"/>
    <m/>
    <n v="4300021652"/>
    <m/>
    <m/>
    <s v="EXFU 061123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W"/>
    <n v="5405"/>
    <n v="248"/>
    <m/>
    <n v="4300021652"/>
    <m/>
    <m/>
    <s v="EXFU 061126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X"/>
    <n v="5405"/>
    <n v="248"/>
    <m/>
    <n v="4300021652"/>
    <m/>
    <m/>
    <s v="EXFU 061127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Y"/>
    <n v="5405"/>
    <n v="248"/>
    <m/>
    <n v="4300021652"/>
    <m/>
    <m/>
    <s v="EXFU 061129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Z"/>
    <n v="5405"/>
    <n v="248"/>
    <m/>
    <n v="4300021652"/>
    <m/>
    <m/>
    <s v="EXFU 062226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A"/>
    <n v="5405"/>
    <n v="248"/>
    <m/>
    <n v="4300021652"/>
    <m/>
    <m/>
    <s v="EXFU 062232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B"/>
    <n v="5405"/>
    <n v="248"/>
    <m/>
    <n v="4300021652"/>
    <m/>
    <m/>
    <s v="EXFU 062237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C"/>
    <n v="5405"/>
    <n v="248"/>
    <m/>
    <n v="4300021652"/>
    <m/>
    <m/>
    <s v="EXFU 062238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D"/>
    <n v="5405"/>
    <n v="248"/>
    <m/>
    <n v="4300021652"/>
    <m/>
    <m/>
    <s v="EXFU 062241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E"/>
    <n v="5405"/>
    <n v="248"/>
    <m/>
    <n v="4300021652"/>
    <m/>
    <m/>
    <s v="EXFU 062242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F"/>
    <n v="5405"/>
    <n v="248"/>
    <m/>
    <n v="4300021652"/>
    <m/>
    <m/>
    <s v="EXFU 062244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G"/>
    <n v="5405"/>
    <n v="558"/>
    <m/>
    <n v="4300021652"/>
    <m/>
    <m/>
    <s v="EXFU 144782-1"/>
    <s v="Rental"/>
    <x v="8"/>
    <d v="2018-05-31T00:00:00"/>
    <d v="2018-05-30T00:00:00"/>
    <n v="558"/>
    <d v="2018-06-11T00:00:00"/>
    <n v="0"/>
    <s v="30-60 days"/>
    <s v="BCOXT"/>
    <x v="0"/>
    <s v="Invoice"/>
  </r>
  <r>
    <x v="17"/>
    <s v="PO"/>
    <s v="AH"/>
    <n v="5405"/>
    <n v="558"/>
    <m/>
    <n v="4300021652"/>
    <m/>
    <m/>
    <s v="EXFU 144795-0"/>
    <s v="Rental"/>
    <x v="8"/>
    <d v="2018-05-31T00:00:00"/>
    <d v="2018-05-30T00:00:00"/>
    <n v="558"/>
    <d v="2018-06-11T00:00:00"/>
    <n v="0"/>
    <s v="30-60 days"/>
    <s v="BCOXT"/>
    <x v="0"/>
    <s v="Invoice"/>
  </r>
  <r>
    <x v="17"/>
    <s v="PO"/>
    <s v="AI"/>
    <n v="5405"/>
    <n v="558"/>
    <m/>
    <n v="4300021652"/>
    <m/>
    <m/>
    <s v="EXFU 144799-2"/>
    <s v="Rental"/>
    <x v="8"/>
    <d v="2018-05-31T00:00:00"/>
    <d v="2018-05-30T00:00:00"/>
    <n v="558"/>
    <d v="2018-06-11T00:00:00"/>
    <n v="0"/>
    <s v="30-60 days"/>
    <s v="BCOXT"/>
    <x v="0"/>
    <s v="Invoice"/>
  </r>
  <r>
    <x v="17"/>
    <s v="PO"/>
    <s v="AJ"/>
    <n v="5405"/>
    <n v="558"/>
    <m/>
    <n v="4300021652"/>
    <m/>
    <m/>
    <s v="EXFU 144803-1"/>
    <s v="Rental"/>
    <x v="8"/>
    <d v="2018-05-31T00:00:00"/>
    <d v="2018-05-30T00:00:00"/>
    <n v="558"/>
    <d v="2018-06-11T00:00:00"/>
    <n v="0"/>
    <s v="30-60 days"/>
    <s v="BCOXT"/>
    <x v="0"/>
    <s v="Invoice"/>
  </r>
  <r>
    <x v="17"/>
    <s v="PO"/>
    <s v="AK"/>
    <n v="5405"/>
    <n v="558"/>
    <m/>
    <n v="4300021652"/>
    <m/>
    <m/>
    <s v="EXFU 144806-8"/>
    <s v="Rental"/>
    <x v="8"/>
    <d v="2018-05-31T00:00:00"/>
    <d v="2018-05-30T00:00:00"/>
    <n v="558"/>
    <d v="2018-06-11T00:00:00"/>
    <n v="0"/>
    <s v="30-60 days"/>
    <s v="BCOXT"/>
    <x v="0"/>
    <s v="Invoice"/>
  </r>
  <r>
    <x v="17"/>
    <s v="PO"/>
    <s v="AL"/>
    <n v="5405"/>
    <n v="558"/>
    <m/>
    <n v="4300021652"/>
    <m/>
    <m/>
    <s v="EXFU 144809-4"/>
    <s v="Rental"/>
    <x v="8"/>
    <d v="2018-05-31T00:00:00"/>
    <d v="2018-05-30T00:00:00"/>
    <n v="558"/>
    <d v="2018-06-11T00:00:00"/>
    <n v="0"/>
    <s v="30-60 days"/>
    <s v="BCOXT"/>
    <x v="0"/>
    <s v="Invoice"/>
  </r>
  <r>
    <x v="17"/>
    <s v="PO"/>
    <s v="AM"/>
    <n v="5405"/>
    <n v="271.25"/>
    <m/>
    <n v="4300021652"/>
    <m/>
    <m/>
    <s v="EXFU 144825-8"/>
    <s v="Rental"/>
    <x v="8"/>
    <d v="2018-05-31T00:00:00"/>
    <d v="2018-05-30T00:00:00"/>
    <n v="271.25"/>
    <d v="2018-06-11T00:00:00"/>
    <n v="0"/>
    <s v="30-60 days"/>
    <s v="BCOXT"/>
    <x v="0"/>
    <s v="Invoice"/>
  </r>
  <r>
    <x v="17"/>
    <s v="PO"/>
    <s v="AN"/>
    <n v="5405"/>
    <n v="271.25"/>
    <m/>
    <n v="4300021652"/>
    <m/>
    <m/>
    <s v="EXFU 144833-0"/>
    <s v="Rental"/>
    <x v="8"/>
    <d v="2018-05-31T00:00:00"/>
    <d v="2018-05-30T00:00:00"/>
    <n v="271.25"/>
    <d v="2018-06-11T00:00:00"/>
    <n v="0"/>
    <s v="30-60 days"/>
    <s v="BCOXT"/>
    <x v="0"/>
    <s v="Invoice"/>
  </r>
  <r>
    <x v="17"/>
    <s v="PO"/>
    <s v="AO"/>
    <n v="5405"/>
    <n v="379.44"/>
    <m/>
    <n v="4300021652"/>
    <m/>
    <m/>
    <s v="EXFU 144835-0"/>
    <s v="Rental"/>
    <x v="8"/>
    <d v="2018-05-31T00:00:00"/>
    <d v="2018-05-30T00:00:00"/>
    <n v="379.44"/>
    <d v="2018-06-11T00:00:00"/>
    <n v="0"/>
    <s v="30-60 days"/>
    <s v="BCOXT"/>
    <x v="0"/>
    <s v="Invoice"/>
  </r>
  <r>
    <x v="17"/>
    <s v="PO"/>
    <s v="AP"/>
    <n v="5405"/>
    <n v="379.44"/>
    <m/>
    <n v="4300021652"/>
    <m/>
    <m/>
    <s v="EXFU 144836-6"/>
    <s v="Rental"/>
    <x v="8"/>
    <d v="2018-05-31T00:00:00"/>
    <d v="2018-05-30T00:00:00"/>
    <n v="379.44"/>
    <d v="2018-06-11T00:00:00"/>
    <n v="0"/>
    <s v="30-60 days"/>
    <s v="BCOXT"/>
    <x v="0"/>
    <s v="Invoice"/>
  </r>
  <r>
    <x v="17"/>
    <s v="PO"/>
    <s v="AQ"/>
    <n v="5405"/>
    <n v="342.72"/>
    <m/>
    <n v="4300021652"/>
    <m/>
    <m/>
    <s v="EXFU 145516-0"/>
    <s v="Rental"/>
    <x v="8"/>
    <d v="2018-05-31T00:00:00"/>
    <d v="2018-05-30T00:00:00"/>
    <n v="342.72"/>
    <d v="2018-06-11T00:00:00"/>
    <n v="0"/>
    <s v="30-60 days"/>
    <s v="BCOXT"/>
    <x v="0"/>
    <s v="Invoice"/>
  </r>
  <r>
    <x v="17"/>
    <s v="PO"/>
    <s v="AR"/>
    <n v="5405"/>
    <n v="90"/>
    <m/>
    <n v="4300021652"/>
    <m/>
    <m/>
    <s v="EXFU 145516-0"/>
    <s v="Handling Fee at Pickup"/>
    <x v="8"/>
    <d v="2018-05-31T00:00:00"/>
    <d v="2018-05-30T00:00:00"/>
    <n v="90"/>
    <d v="2018-06-11T00:00:00"/>
    <n v="0"/>
    <s v="30-60 days"/>
    <s v="BCOXT"/>
    <x v="0"/>
    <s v="Invoice"/>
  </r>
  <r>
    <x v="17"/>
    <s v="PO"/>
    <s v="AS"/>
    <n v="5405"/>
    <n v="248"/>
    <m/>
    <n v="4300021652"/>
    <m/>
    <m/>
    <s v="EXFU 441799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T"/>
    <n v="5405"/>
    <n v="248"/>
    <m/>
    <n v="4300021652"/>
    <m/>
    <m/>
    <s v="EXFU 441800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U"/>
    <n v="5405"/>
    <n v="248"/>
    <m/>
    <n v="4300021652"/>
    <m/>
    <m/>
    <s v="EXFU 441801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V"/>
    <n v="5405"/>
    <n v="248"/>
    <m/>
    <n v="4300021652"/>
    <m/>
    <m/>
    <s v="EXFU 441802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W"/>
    <n v="5405"/>
    <n v="248"/>
    <m/>
    <n v="4300021652"/>
    <m/>
    <m/>
    <s v="EXFU 441803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X"/>
    <n v="5405"/>
    <n v="248"/>
    <m/>
    <n v="4300021652"/>
    <m/>
    <m/>
    <s v="EXFU 441804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Y"/>
    <n v="5405"/>
    <n v="248"/>
    <m/>
    <n v="4300021652"/>
    <m/>
    <m/>
    <s v="EXFU 441805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AZ"/>
    <n v="5405"/>
    <n v="248"/>
    <m/>
    <n v="4300021652"/>
    <m/>
    <m/>
    <s v="EXFU 441806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A"/>
    <n v="5405"/>
    <n v="248"/>
    <m/>
    <n v="4300021652"/>
    <m/>
    <m/>
    <s v="EXFU 441808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B"/>
    <n v="5405"/>
    <n v="248"/>
    <m/>
    <n v="4300021652"/>
    <m/>
    <m/>
    <s v="EXFU 441809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C"/>
    <n v="5405"/>
    <n v="248"/>
    <m/>
    <n v="4300021652"/>
    <m/>
    <m/>
    <s v="EXFU 810137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D"/>
    <n v="5405"/>
    <n v="248"/>
    <m/>
    <n v="4300021652"/>
    <m/>
    <m/>
    <s v="EXFU 810369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E"/>
    <n v="5405"/>
    <n v="248"/>
    <m/>
    <n v="4300021652"/>
    <m/>
    <m/>
    <s v="EXFU 810389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F"/>
    <n v="5405"/>
    <n v="248"/>
    <m/>
    <n v="4300021652"/>
    <m/>
    <m/>
    <s v="EXFU 810390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G"/>
    <n v="5405"/>
    <n v="248"/>
    <m/>
    <n v="4300021652"/>
    <m/>
    <m/>
    <s v="EXFU 810414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H"/>
    <n v="5405"/>
    <n v="248"/>
    <m/>
    <n v="4300021652"/>
    <m/>
    <m/>
    <s v="EXFU 810415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I"/>
    <n v="5405"/>
    <n v="248"/>
    <m/>
    <n v="4300021652"/>
    <m/>
    <m/>
    <s v="EXFU 810416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J"/>
    <n v="5405"/>
    <n v="248"/>
    <m/>
    <n v="4300021652"/>
    <m/>
    <m/>
    <s v="EXFU 810710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K"/>
    <n v="5405"/>
    <n v="248"/>
    <m/>
    <n v="4300021652"/>
    <m/>
    <m/>
    <s v="EXFU 810748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L"/>
    <n v="5405"/>
    <n v="248"/>
    <m/>
    <n v="4300021652"/>
    <m/>
    <m/>
    <s v="EXFU 810842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M"/>
    <n v="5405"/>
    <n v="248"/>
    <m/>
    <n v="4300021652"/>
    <m/>
    <m/>
    <s v="EXFU 810843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N"/>
    <n v="5405"/>
    <n v="248"/>
    <m/>
    <n v="4300021652"/>
    <m/>
    <m/>
    <s v="EXFU 810844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O"/>
    <n v="5405"/>
    <n v="248"/>
    <m/>
    <n v="4300021652"/>
    <m/>
    <m/>
    <s v="EXFU 810856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P"/>
    <n v="5405"/>
    <n v="248"/>
    <m/>
    <n v="4300021652"/>
    <m/>
    <m/>
    <s v="EXFU 810866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Q"/>
    <n v="5405"/>
    <n v="248"/>
    <m/>
    <n v="4300021652"/>
    <m/>
    <m/>
    <s v="EXFU 810867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R"/>
    <n v="5405"/>
    <n v="248"/>
    <m/>
    <n v="4300021652"/>
    <m/>
    <m/>
    <s v="EXFU 810870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S"/>
    <n v="5405"/>
    <n v="248"/>
    <m/>
    <n v="4300021652"/>
    <m/>
    <m/>
    <s v="EXFU 810872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T"/>
    <n v="5405"/>
    <n v="248"/>
    <m/>
    <n v="4300021652"/>
    <m/>
    <m/>
    <s v="EXFU 810873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U"/>
    <n v="5405"/>
    <n v="248"/>
    <m/>
    <n v="4300021652"/>
    <m/>
    <m/>
    <s v="EXFU 810874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V"/>
    <n v="5405"/>
    <n v="248"/>
    <m/>
    <n v="4300021652"/>
    <m/>
    <m/>
    <s v="EXFU 810875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W"/>
    <n v="5405"/>
    <n v="248"/>
    <m/>
    <n v="4300021652"/>
    <m/>
    <m/>
    <s v="EXFU 810878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X"/>
    <n v="5405"/>
    <n v="248"/>
    <m/>
    <n v="4300021652"/>
    <m/>
    <m/>
    <s v="EXFU 810882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Y"/>
    <n v="5405"/>
    <n v="248"/>
    <m/>
    <n v="4300021652"/>
    <m/>
    <m/>
    <s v="EXFU 810883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BZ"/>
    <n v="5405"/>
    <n v="248"/>
    <m/>
    <n v="4300021652"/>
    <m/>
    <m/>
    <s v="EXFU 810884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A"/>
    <n v="5405"/>
    <n v="201.5"/>
    <m/>
    <n v="4300021652"/>
    <m/>
    <m/>
    <s v="EXFU 810885-6"/>
    <s v="Rental"/>
    <x v="8"/>
    <d v="2018-05-31T00:00:00"/>
    <d v="2018-05-30T00:00:00"/>
    <n v="201.5"/>
    <d v="2018-06-11T00:00:00"/>
    <n v="0"/>
    <s v="30-60 days"/>
    <s v="BCOXT"/>
    <x v="0"/>
    <s v="Invoice"/>
  </r>
  <r>
    <x v="17"/>
    <s v="PO"/>
    <s v="CB"/>
    <n v="5405"/>
    <n v="248"/>
    <m/>
    <n v="4300021652"/>
    <m/>
    <m/>
    <s v="EXFU 810886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C"/>
    <n v="5405"/>
    <n v="248"/>
    <m/>
    <n v="4300021652"/>
    <m/>
    <m/>
    <s v="EXFU 820723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D"/>
    <n v="5405"/>
    <n v="248"/>
    <m/>
    <n v="4300021652"/>
    <m/>
    <m/>
    <s v="EXFU 820828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E"/>
    <n v="5405"/>
    <n v="56"/>
    <m/>
    <n v="4300021652"/>
    <m/>
    <m/>
    <s v="EXFU 821447-8"/>
    <s v="Rental"/>
    <x v="8"/>
    <d v="2018-05-31T00:00:00"/>
    <d v="2018-05-30T00:00:00"/>
    <n v="56"/>
    <d v="2018-06-11T00:00:00"/>
    <n v="0"/>
    <s v="30-60 days"/>
    <s v="BCOXT"/>
    <x v="0"/>
    <s v="Invoice"/>
  </r>
  <r>
    <x v="17"/>
    <s v="PO"/>
    <s v="CF"/>
    <n v="5405"/>
    <n v="90"/>
    <m/>
    <n v="4300021652"/>
    <m/>
    <m/>
    <s v="EXFU 821447-8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7"/>
    <s v="PO"/>
    <s v="CG"/>
    <n v="5405"/>
    <n v="120"/>
    <m/>
    <n v="4300021652"/>
    <m/>
    <m/>
    <s v="EXFU 821447-8"/>
    <s v="Lease Termination Fee"/>
    <x v="8"/>
    <d v="2018-05-31T00:00:00"/>
    <d v="2018-05-30T00:00:00"/>
    <n v="120"/>
    <d v="2018-06-11T00:00:00"/>
    <n v="0"/>
    <s v="30-60 days"/>
    <s v="BCOXT"/>
    <x v="0"/>
    <s v="Invoice"/>
  </r>
  <r>
    <x v="17"/>
    <s v="PO"/>
    <s v="CH"/>
    <n v="5405"/>
    <n v="56"/>
    <m/>
    <n v="4300021652"/>
    <m/>
    <m/>
    <s v="EXFU 821448-3"/>
    <s v="Rental"/>
    <x v="8"/>
    <d v="2018-05-31T00:00:00"/>
    <d v="2018-05-30T00:00:00"/>
    <n v="56"/>
    <d v="2018-06-11T00:00:00"/>
    <n v="0"/>
    <s v="30-60 days"/>
    <s v="BCOXT"/>
    <x v="0"/>
    <s v="Invoice"/>
  </r>
  <r>
    <x v="17"/>
    <s v="PO"/>
    <s v="CI"/>
    <n v="5405"/>
    <n v="90"/>
    <m/>
    <n v="4300021652"/>
    <m/>
    <m/>
    <s v="EXFU 821448-3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7"/>
    <s v="PO"/>
    <s v="CJ"/>
    <n v="5405"/>
    <n v="120"/>
    <m/>
    <n v="4300021652"/>
    <m/>
    <m/>
    <s v="EXFU 821448-3"/>
    <s v="Lease Termination Fee"/>
    <x v="8"/>
    <d v="2018-05-31T00:00:00"/>
    <d v="2018-05-30T00:00:00"/>
    <n v="120"/>
    <d v="2018-06-11T00:00:00"/>
    <n v="0"/>
    <s v="30-60 days"/>
    <s v="BCOXT"/>
    <x v="0"/>
    <s v="Invoice"/>
  </r>
  <r>
    <x v="17"/>
    <s v="PO"/>
    <s v="CK"/>
    <n v="5405"/>
    <n v="248"/>
    <m/>
    <n v="4300021652"/>
    <m/>
    <m/>
    <s v="EXFU 821465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L"/>
    <n v="5405"/>
    <n v="248"/>
    <m/>
    <n v="4300021652"/>
    <m/>
    <m/>
    <s v="EXFU 821467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M"/>
    <n v="5405"/>
    <n v="248"/>
    <m/>
    <n v="4300021652"/>
    <m/>
    <m/>
    <s v="EXFU 821625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N"/>
    <n v="5405"/>
    <n v="248"/>
    <m/>
    <n v="4300021652"/>
    <m/>
    <m/>
    <s v="EXFU 821630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O"/>
    <n v="5405"/>
    <n v="248"/>
    <m/>
    <n v="4300021652"/>
    <m/>
    <m/>
    <s v="EXFU 821631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P"/>
    <n v="5405"/>
    <n v="248"/>
    <m/>
    <n v="4300021652"/>
    <m/>
    <m/>
    <s v="EXFU 821646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Q"/>
    <n v="5405"/>
    <n v="248"/>
    <m/>
    <n v="4300021652"/>
    <m/>
    <m/>
    <s v="EXFU 821649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R"/>
    <n v="5405"/>
    <n v="248"/>
    <m/>
    <n v="4300021652"/>
    <m/>
    <m/>
    <s v="EXFU 821653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S"/>
    <n v="5405"/>
    <n v="248"/>
    <m/>
    <n v="4300021652"/>
    <m/>
    <m/>
    <s v="EXFU 821841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CT"/>
    <n v="5405"/>
    <n v="596.75"/>
    <m/>
    <n v="4300021652"/>
    <m/>
    <m/>
    <s v="EXFU 830001-0"/>
    <s v="Rental"/>
    <x v="8"/>
    <d v="2018-05-31T00:00:00"/>
    <d v="2018-05-30T00:00:00"/>
    <n v="596.75"/>
    <d v="2018-06-11T00:00:00"/>
    <n v="0"/>
    <s v="30-60 days"/>
    <s v="BCOXT"/>
    <x v="0"/>
    <s v="Invoice"/>
  </r>
  <r>
    <x v="17"/>
    <s v="PO"/>
    <s v="CU"/>
    <n v="5405"/>
    <n v="596.75"/>
    <m/>
    <n v="4300021652"/>
    <m/>
    <m/>
    <s v="EXFU 830002-5"/>
    <s v="Rental"/>
    <x v="8"/>
    <d v="2018-05-31T00:00:00"/>
    <d v="2018-05-30T00:00:00"/>
    <n v="596.75"/>
    <d v="2018-06-11T00:00:00"/>
    <n v="0"/>
    <s v="30-60 days"/>
    <s v="BCOXT"/>
    <x v="0"/>
    <s v="Invoice"/>
  </r>
  <r>
    <x v="17"/>
    <s v="PO"/>
    <s v="CV"/>
    <n v="5405"/>
    <n v="682"/>
    <m/>
    <n v="4300021652"/>
    <m/>
    <m/>
    <s v="EXFU 830007-2"/>
    <s v="Rental"/>
    <x v="8"/>
    <d v="2018-05-31T00:00:00"/>
    <d v="2018-05-30T00:00:00"/>
    <n v="682"/>
    <d v="2018-06-11T00:00:00"/>
    <n v="0"/>
    <s v="30-60 days"/>
    <s v="BCOXT"/>
    <x v="0"/>
    <s v="Invoice"/>
  </r>
  <r>
    <x v="17"/>
    <s v="PO"/>
    <s v="CW"/>
    <n v="5405"/>
    <n v="484"/>
    <m/>
    <n v="4300021652"/>
    <m/>
    <m/>
    <s v="EXFU 830008-8"/>
    <s v="Rental"/>
    <x v="8"/>
    <d v="2018-05-31T00:00:00"/>
    <d v="2018-05-30T00:00:00"/>
    <n v="484"/>
    <d v="2018-06-11T00:00:00"/>
    <n v="0"/>
    <s v="30-60 days"/>
    <s v="BCOXT"/>
    <x v="0"/>
    <s v="Invoice"/>
  </r>
  <r>
    <x v="17"/>
    <s v="PO"/>
    <s v="CX"/>
    <n v="5405"/>
    <n v="90"/>
    <m/>
    <n v="4300021652"/>
    <m/>
    <m/>
    <s v="EXFU 830008-8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7"/>
    <s v="PO"/>
    <s v="CY"/>
    <n v="5405"/>
    <n v="330"/>
    <m/>
    <n v="4300021652"/>
    <m/>
    <m/>
    <s v="EXFU 830008-8"/>
    <s v="Lease Termination Fee"/>
    <x v="8"/>
    <d v="2018-05-31T00:00:00"/>
    <d v="2018-05-30T00:00:00"/>
    <n v="330"/>
    <d v="2018-06-11T00:00:00"/>
    <n v="0"/>
    <s v="30-60 days"/>
    <s v="BCOXT"/>
    <x v="0"/>
    <s v="Invoice"/>
  </r>
  <r>
    <x v="17"/>
    <s v="PO"/>
    <s v="CZ"/>
    <n v="5405"/>
    <n v="682"/>
    <m/>
    <n v="4300021652"/>
    <m/>
    <m/>
    <s v="EXFU 830009-3"/>
    <s v="Rental"/>
    <x v="8"/>
    <d v="2018-05-31T00:00:00"/>
    <d v="2018-05-30T00:00:00"/>
    <n v="682"/>
    <d v="2018-06-11T00:00:00"/>
    <n v="0"/>
    <s v="30-60 days"/>
    <s v="BCOXT"/>
    <x v="0"/>
    <s v="Invoice"/>
  </r>
  <r>
    <x v="17"/>
    <s v="PO"/>
    <s v="DA"/>
    <n v="5405"/>
    <n v="263.5"/>
    <m/>
    <n v="4300021652"/>
    <m/>
    <m/>
    <s v="EXSZ 900676-6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B"/>
    <n v="5405"/>
    <n v="263.5"/>
    <m/>
    <n v="4300021652"/>
    <m/>
    <m/>
    <s v="EXSZ 900687-4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C"/>
    <n v="5405"/>
    <n v="263.5"/>
    <m/>
    <n v="4300021652"/>
    <m/>
    <m/>
    <s v="EXSZ 900732-0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D"/>
    <n v="5405"/>
    <n v="255.75"/>
    <m/>
    <n v="4300021652"/>
    <m/>
    <m/>
    <s v="EXSZ 900753-0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E"/>
    <n v="5405"/>
    <n v="255.75"/>
    <m/>
    <n v="4300021652"/>
    <m/>
    <m/>
    <s v="EXSZ 900813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F"/>
    <n v="5405"/>
    <n v="255.75"/>
    <m/>
    <n v="4300021652"/>
    <m/>
    <m/>
    <s v="EXSZ 900816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G"/>
    <n v="5405"/>
    <n v="255.75"/>
    <m/>
    <n v="4300021652"/>
    <m/>
    <m/>
    <s v="EXSZ 900823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H"/>
    <n v="5405"/>
    <n v="255.75"/>
    <m/>
    <n v="4300021652"/>
    <m/>
    <m/>
    <s v="EXSZ 900885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I"/>
    <n v="5405"/>
    <n v="255.75"/>
    <m/>
    <n v="4300021652"/>
    <m/>
    <m/>
    <s v="EXSZ 901026-7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J"/>
    <n v="5405"/>
    <n v="263.5"/>
    <m/>
    <n v="4300021652"/>
    <m/>
    <m/>
    <s v="EXSZ 901165-9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K"/>
    <n v="5405"/>
    <n v="263.5"/>
    <m/>
    <n v="4300021652"/>
    <m/>
    <m/>
    <s v="EXSZ 901166-4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L"/>
    <n v="5405"/>
    <n v="263.5"/>
    <m/>
    <n v="4300021652"/>
    <m/>
    <m/>
    <s v="EXSZ 901168-5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M"/>
    <n v="5405"/>
    <n v="279"/>
    <m/>
    <n v="4300021652"/>
    <m/>
    <m/>
    <s v="EXSZ 901339-5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DN"/>
    <n v="5405"/>
    <n v="279"/>
    <m/>
    <n v="4300021652"/>
    <m/>
    <m/>
    <s v="EXSZ 901341-4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DO"/>
    <n v="5405"/>
    <n v="279"/>
    <m/>
    <n v="4300021652"/>
    <m/>
    <m/>
    <s v="EXSZ 901344-0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DP"/>
    <n v="5405"/>
    <n v="279"/>
    <m/>
    <n v="4300021652"/>
    <m/>
    <m/>
    <s v="EXSZ 901345-6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DQ"/>
    <n v="5405"/>
    <n v="279"/>
    <m/>
    <n v="4300021652"/>
    <m/>
    <m/>
    <s v="EXSZ 901347-7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DR"/>
    <n v="5405"/>
    <n v="279"/>
    <m/>
    <n v="4300021652"/>
    <m/>
    <m/>
    <s v="EXSZ 901348-2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DS"/>
    <n v="5405"/>
    <n v="255.75"/>
    <m/>
    <n v="4300021652"/>
    <m/>
    <m/>
    <s v="EXSZ 901529-5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DT"/>
    <n v="5405"/>
    <n v="372"/>
    <m/>
    <n v="4300021652"/>
    <m/>
    <m/>
    <s v="EXSZ 901582-3"/>
    <s v="Rental"/>
    <x v="8"/>
    <d v="2018-05-31T00:00:00"/>
    <d v="2018-05-30T00:00:00"/>
    <n v="372"/>
    <d v="2018-06-11T00:00:00"/>
    <n v="0"/>
    <s v="30-60 days"/>
    <s v="BCOXT"/>
    <x v="0"/>
    <s v="Invoice"/>
  </r>
  <r>
    <x v="17"/>
    <s v="PO"/>
    <s v="DU"/>
    <n v="5405"/>
    <n v="372"/>
    <m/>
    <n v="4300021652"/>
    <m/>
    <m/>
    <s v="EXSZ 901588-6"/>
    <s v="Rental"/>
    <x v="8"/>
    <d v="2018-05-31T00:00:00"/>
    <d v="2018-05-30T00:00:00"/>
    <n v="372"/>
    <d v="2018-06-11T00:00:00"/>
    <n v="0"/>
    <s v="30-60 days"/>
    <s v="BCOXT"/>
    <x v="0"/>
    <s v="Invoice"/>
  </r>
  <r>
    <x v="17"/>
    <s v="PO"/>
    <s v="DV"/>
    <n v="5405"/>
    <n v="372"/>
    <m/>
    <n v="4300021652"/>
    <m/>
    <m/>
    <s v="EXSZ 901602-8"/>
    <s v="Rental"/>
    <x v="8"/>
    <d v="2018-05-31T00:00:00"/>
    <d v="2018-05-30T00:00:00"/>
    <n v="372"/>
    <d v="2018-06-11T00:00:00"/>
    <n v="0"/>
    <s v="30-60 days"/>
    <s v="BCOXT"/>
    <x v="0"/>
    <s v="Invoice"/>
  </r>
  <r>
    <x v="17"/>
    <s v="PO"/>
    <s v="DW"/>
    <n v="5405"/>
    <n v="263.5"/>
    <m/>
    <n v="4300021652"/>
    <m/>
    <m/>
    <s v="EXSZ 901614-1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X"/>
    <n v="5405"/>
    <n v="263.5"/>
    <m/>
    <n v="4300021652"/>
    <m/>
    <m/>
    <s v="EXSZ 901615-7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Y"/>
    <n v="5405"/>
    <n v="263.5"/>
    <m/>
    <n v="4300021652"/>
    <m/>
    <m/>
    <s v="EXSZ 901616-2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DZ"/>
    <n v="5405"/>
    <n v="263.5"/>
    <m/>
    <n v="4300021652"/>
    <m/>
    <m/>
    <s v="EXSZ 901617-8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A"/>
    <n v="5405"/>
    <n v="263.5"/>
    <m/>
    <n v="4300021652"/>
    <m/>
    <m/>
    <s v="EXSZ 901618-3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B"/>
    <n v="5405"/>
    <n v="263.5"/>
    <m/>
    <n v="4300021652"/>
    <m/>
    <m/>
    <s v="EXSZ 901619-9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C"/>
    <n v="5405"/>
    <n v="263.5"/>
    <m/>
    <n v="4300021652"/>
    <m/>
    <m/>
    <s v="EXSZ 901620-2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D"/>
    <n v="5405"/>
    <n v="263.5"/>
    <m/>
    <n v="4300021652"/>
    <m/>
    <m/>
    <s v="EXSZ 901623-9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E"/>
    <n v="5405"/>
    <n v="263.5"/>
    <m/>
    <n v="4300021652"/>
    <m/>
    <m/>
    <s v="EXSZ 901624-4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F"/>
    <n v="5405"/>
    <n v="263.5"/>
    <m/>
    <n v="4300021652"/>
    <m/>
    <m/>
    <s v="EXSZ 901625-0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G"/>
    <n v="5405"/>
    <n v="279"/>
    <m/>
    <n v="4300021652"/>
    <m/>
    <m/>
    <s v="EXSZ 901639-4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EH"/>
    <n v="5405"/>
    <n v="263.5"/>
    <m/>
    <n v="4300021652"/>
    <m/>
    <m/>
    <s v="EXSZ 901726-1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I"/>
    <n v="5405"/>
    <n v="263.5"/>
    <m/>
    <n v="4300021652"/>
    <m/>
    <m/>
    <s v="EXSZ 901727-7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J"/>
    <n v="5405"/>
    <n v="263.5"/>
    <m/>
    <n v="4300021652"/>
    <m/>
    <m/>
    <s v="EXSZ 901728-2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K"/>
    <n v="5405"/>
    <n v="263.5"/>
    <m/>
    <n v="4300021652"/>
    <m/>
    <m/>
    <s v="EXSZ 901729-8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L"/>
    <n v="5405"/>
    <n v="263.5"/>
    <m/>
    <n v="4300021652"/>
    <m/>
    <m/>
    <s v="EXSZ 901730-1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M"/>
    <n v="5405"/>
    <n v="263.5"/>
    <m/>
    <n v="4300021652"/>
    <m/>
    <m/>
    <s v="EXSZ 901731-7"/>
    <s v="Rental"/>
    <x v="8"/>
    <d v="2018-05-31T00:00:00"/>
    <d v="2018-05-30T00:00:00"/>
    <n v="263.5"/>
    <d v="2018-06-11T00:00:00"/>
    <n v="0"/>
    <s v="30-60 days"/>
    <s v="BCOXT"/>
    <x v="0"/>
    <s v="Invoice"/>
  </r>
  <r>
    <x v="17"/>
    <s v="PO"/>
    <s v="EN"/>
    <n v="5405"/>
    <n v="372"/>
    <m/>
    <n v="4300021652"/>
    <m/>
    <m/>
    <s v="EXSZ 901815-0"/>
    <s v="Rental"/>
    <x v="8"/>
    <d v="2018-05-31T00:00:00"/>
    <d v="2018-05-30T00:00:00"/>
    <n v="372"/>
    <d v="2018-06-11T00:00:00"/>
    <n v="0"/>
    <s v="30-60 days"/>
    <s v="BCOXT"/>
    <x v="0"/>
    <s v="Invoice"/>
  </r>
  <r>
    <x v="17"/>
    <s v="PO"/>
    <s v="EO"/>
    <n v="5405"/>
    <n v="372"/>
    <m/>
    <n v="4300021652"/>
    <m/>
    <m/>
    <s v="EXSZ 901824-7"/>
    <s v="Rental"/>
    <x v="8"/>
    <d v="2018-05-31T00:00:00"/>
    <d v="2018-05-30T00:00:00"/>
    <n v="372"/>
    <d v="2018-06-11T00:00:00"/>
    <n v="0"/>
    <s v="30-60 days"/>
    <s v="BCOXT"/>
    <x v="0"/>
    <s v="Invoice"/>
  </r>
  <r>
    <x v="17"/>
    <s v="PO"/>
    <s v="EP"/>
    <n v="5405"/>
    <n v="372"/>
    <m/>
    <n v="4300021652"/>
    <m/>
    <m/>
    <s v="EXSZ 901832-9"/>
    <s v="Rental"/>
    <x v="8"/>
    <d v="2018-05-31T00:00:00"/>
    <d v="2018-05-30T00:00:00"/>
    <n v="372"/>
    <d v="2018-06-11T00:00:00"/>
    <n v="0"/>
    <s v="30-60 days"/>
    <s v="BCOXT"/>
    <x v="0"/>
    <s v="Invoice"/>
  </r>
  <r>
    <x v="17"/>
    <s v="PO"/>
    <s v="EQ"/>
    <n v="5405"/>
    <n v="255.75"/>
    <m/>
    <n v="4300021652"/>
    <m/>
    <m/>
    <s v="EXSZ 902002-8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ER"/>
    <n v="5405"/>
    <n v="255.75"/>
    <m/>
    <n v="4300021652"/>
    <m/>
    <m/>
    <s v="EXSZ 902039-4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ES"/>
    <n v="5405"/>
    <n v="255.75"/>
    <m/>
    <n v="4300021652"/>
    <m/>
    <m/>
    <s v="EXSZ 902077-4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ET"/>
    <n v="5405"/>
    <n v="255.75"/>
    <m/>
    <n v="4300021652"/>
    <m/>
    <m/>
    <s v="EXSZ 902082-0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EU"/>
    <n v="5405"/>
    <n v="255.75"/>
    <m/>
    <n v="4300021652"/>
    <m/>
    <m/>
    <s v="EXSZ 902091-7"/>
    <s v="Rental"/>
    <x v="8"/>
    <d v="2018-05-31T00:00:00"/>
    <d v="2018-05-30T00:00:00"/>
    <n v="255.75"/>
    <d v="2018-06-11T00:00:00"/>
    <n v="0"/>
    <s v="30-60 days"/>
    <s v="BCOXT"/>
    <x v="0"/>
    <s v="Invoice"/>
  </r>
  <r>
    <x v="17"/>
    <s v="PO"/>
    <s v="EV"/>
    <n v="5405"/>
    <n v="240.25"/>
    <m/>
    <n v="4300021652"/>
    <m/>
    <m/>
    <s v="EXSZ 902861-0"/>
    <s v="Rental"/>
    <x v="8"/>
    <d v="2018-05-31T00:00:00"/>
    <d v="2018-05-30T00:00:00"/>
    <n v="240.25"/>
    <d v="2018-06-11T00:00:00"/>
    <n v="0"/>
    <s v="30-60 days"/>
    <s v="BCOXT"/>
    <x v="0"/>
    <s v="Invoice"/>
  </r>
  <r>
    <x v="17"/>
    <s v="PO"/>
    <s v="EW"/>
    <n v="5405"/>
    <n v="279"/>
    <m/>
    <n v="4300021652"/>
    <m/>
    <m/>
    <s v="EXSZ 902862-5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EX"/>
    <n v="5405"/>
    <n v="279"/>
    <m/>
    <n v="4300021652"/>
    <m/>
    <m/>
    <s v="EXSZ 902864-6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EY"/>
    <n v="5405"/>
    <n v="279"/>
    <m/>
    <n v="4300021652"/>
    <m/>
    <m/>
    <s v="EXSZ 903079-3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EZ"/>
    <n v="5405"/>
    <n v="198"/>
    <m/>
    <n v="4300021652"/>
    <m/>
    <m/>
    <s v="EXSZ 903116-7"/>
    <s v="Rental"/>
    <x v="8"/>
    <d v="2018-05-31T00:00:00"/>
    <d v="2018-05-30T00:00:00"/>
    <n v="198"/>
    <d v="2018-06-11T00:00:00"/>
    <n v="0"/>
    <s v="30-60 days"/>
    <s v="BCOXT"/>
    <x v="0"/>
    <s v="Invoice"/>
  </r>
  <r>
    <x v="17"/>
    <s v="PO"/>
    <s v="FA"/>
    <n v="5405"/>
    <n v="90"/>
    <m/>
    <n v="4300021652"/>
    <m/>
    <m/>
    <s v="EXSZ 903116-7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7"/>
    <s v="PO"/>
    <s v="FB"/>
    <n v="5405"/>
    <n v="135"/>
    <m/>
    <n v="4300021652"/>
    <m/>
    <m/>
    <s v="EXSZ 903116-7"/>
    <s v="Lease Termination Fee"/>
    <x v="8"/>
    <d v="2018-05-31T00:00:00"/>
    <d v="2018-05-30T00:00:00"/>
    <n v="135"/>
    <d v="2018-06-11T00:00:00"/>
    <n v="0"/>
    <s v="30-60 days"/>
    <s v="BCOXT"/>
    <x v="0"/>
    <s v="Invoice"/>
  </r>
  <r>
    <x v="17"/>
    <s v="PO"/>
    <s v="FC"/>
    <n v="5405"/>
    <n v="279"/>
    <m/>
    <n v="4300021652"/>
    <m/>
    <m/>
    <s v="EXSZ 903119-3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D"/>
    <n v="5405"/>
    <n v="279"/>
    <m/>
    <n v="4300021652"/>
    <m/>
    <m/>
    <s v="EXSZ 903120-7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E"/>
    <n v="5405"/>
    <n v="240.25"/>
    <m/>
    <n v="4300021652"/>
    <m/>
    <m/>
    <s v="EXSZ 903135-7"/>
    <s v="Rental"/>
    <x v="8"/>
    <d v="2018-05-31T00:00:00"/>
    <d v="2018-05-30T00:00:00"/>
    <n v="240.25"/>
    <d v="2018-06-11T00:00:00"/>
    <n v="0"/>
    <s v="30-60 days"/>
    <s v="BCOXT"/>
    <x v="0"/>
    <s v="Invoice"/>
  </r>
  <r>
    <x v="17"/>
    <s v="PO"/>
    <s v="FF"/>
    <n v="5405"/>
    <n v="279"/>
    <m/>
    <n v="4300021652"/>
    <m/>
    <m/>
    <s v="EXSZ 903173-7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G"/>
    <n v="5405"/>
    <n v="279"/>
    <m/>
    <n v="4300021652"/>
    <m/>
    <m/>
    <s v="EXSZ 903590-1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H"/>
    <n v="5405"/>
    <n v="279"/>
    <m/>
    <n v="4300021652"/>
    <m/>
    <m/>
    <s v="EXSZ 903591-7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I"/>
    <n v="5405"/>
    <n v="279"/>
    <m/>
    <n v="4300021652"/>
    <m/>
    <m/>
    <s v="EXSZ 903592-2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J"/>
    <n v="5405"/>
    <n v="279"/>
    <m/>
    <n v="4300021652"/>
    <m/>
    <m/>
    <s v="EXSZ 903593-8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K"/>
    <n v="5405"/>
    <n v="279"/>
    <m/>
    <n v="4300021652"/>
    <m/>
    <m/>
    <s v="EXSZ 903594-3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L"/>
    <n v="5405"/>
    <n v="279"/>
    <m/>
    <n v="4300021652"/>
    <m/>
    <m/>
    <s v="EXSZ 903595-9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M"/>
    <n v="5405"/>
    <n v="279"/>
    <m/>
    <n v="4300021652"/>
    <m/>
    <m/>
    <s v="EXSZ 903596-4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N"/>
    <n v="5405"/>
    <n v="279"/>
    <m/>
    <n v="4300021652"/>
    <m/>
    <m/>
    <s v="EXSZ 903597-0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O"/>
    <n v="5405"/>
    <n v="279"/>
    <m/>
    <n v="4300021652"/>
    <m/>
    <m/>
    <s v="EXSZ 903598-5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P"/>
    <n v="5405"/>
    <n v="279"/>
    <m/>
    <n v="4300021652"/>
    <m/>
    <m/>
    <s v="EXSZ 903602-4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Q"/>
    <n v="5405"/>
    <n v="279"/>
    <m/>
    <n v="4300021652"/>
    <m/>
    <m/>
    <s v="EXSZ 903603-0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R"/>
    <n v="5405"/>
    <n v="279"/>
    <m/>
    <n v="4300021652"/>
    <m/>
    <m/>
    <s v="EXSZ 903604-5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S"/>
    <n v="5405"/>
    <n v="279"/>
    <m/>
    <n v="4300021652"/>
    <m/>
    <m/>
    <s v="EXSZ 903605-0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T"/>
    <n v="5405"/>
    <n v="279"/>
    <m/>
    <n v="4300021652"/>
    <m/>
    <m/>
    <s v="EXSZ 903606-6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U"/>
    <n v="5405"/>
    <n v="279"/>
    <m/>
    <n v="4300021652"/>
    <m/>
    <m/>
    <s v="EXSZ 903607-1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V"/>
    <n v="5405"/>
    <n v="279"/>
    <m/>
    <n v="4300021652"/>
    <m/>
    <m/>
    <s v="EXSZ 903616-9"/>
    <s v="Rental"/>
    <x v="8"/>
    <d v="2018-05-31T00:00:00"/>
    <d v="2018-05-30T00:00:00"/>
    <n v="279"/>
    <d v="2018-06-11T00:00:00"/>
    <n v="0"/>
    <s v="30-60 days"/>
    <s v="BCOXT"/>
    <x v="0"/>
    <s v="Invoice"/>
  </r>
  <r>
    <x v="17"/>
    <s v="PO"/>
    <s v="FW"/>
    <n v="5405"/>
    <n v="240.25"/>
    <m/>
    <n v="4300021652"/>
    <m/>
    <m/>
    <s v="EXSZ 903704-1"/>
    <s v="Rental"/>
    <x v="8"/>
    <d v="2018-05-31T00:00:00"/>
    <d v="2018-05-30T00:00:00"/>
    <n v="240.25"/>
    <d v="2018-06-11T00:00:00"/>
    <n v="0"/>
    <s v="30-60 days"/>
    <s v="BCOXT"/>
    <x v="0"/>
    <s v="Invoice"/>
  </r>
  <r>
    <x v="17"/>
    <s v="PO"/>
    <s v="FX"/>
    <n v="5405"/>
    <n v="240.25"/>
    <m/>
    <n v="4300021652"/>
    <m/>
    <m/>
    <s v="EXSZ 903705-7"/>
    <s v="Rental"/>
    <x v="8"/>
    <d v="2018-05-31T00:00:00"/>
    <d v="2018-05-30T00:00:00"/>
    <n v="240.25"/>
    <d v="2018-06-11T00:00:00"/>
    <n v="0"/>
    <s v="30-60 days"/>
    <s v="BCOXT"/>
    <x v="0"/>
    <s v="Invoice"/>
  </r>
  <r>
    <x v="17"/>
    <s v="PO"/>
    <s v="FY"/>
    <n v="5405"/>
    <n v="240.25"/>
    <m/>
    <n v="4300021652"/>
    <m/>
    <m/>
    <s v="EXSZ 903706-2"/>
    <s v="Rental"/>
    <x v="8"/>
    <d v="2018-05-31T00:00:00"/>
    <d v="2018-05-30T00:00:00"/>
    <n v="240.25"/>
    <d v="2018-06-11T00:00:00"/>
    <n v="0"/>
    <s v="30-60 days"/>
    <s v="BCOXT"/>
    <x v="0"/>
    <s v="Invoice"/>
  </r>
  <r>
    <x v="17"/>
    <s v="PO"/>
    <s v="FZ"/>
    <n v="5405"/>
    <n v="248"/>
    <m/>
    <n v="4300021652"/>
    <m/>
    <m/>
    <s v="EXXU 998108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A"/>
    <n v="5405"/>
    <n v="248"/>
    <m/>
    <n v="4300021652"/>
    <m/>
    <m/>
    <s v="EXXU 999613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B"/>
    <n v="5405"/>
    <n v="248"/>
    <m/>
    <n v="4300021652"/>
    <m/>
    <m/>
    <s v="TOLU 906039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C"/>
    <n v="5405"/>
    <n v="248"/>
    <m/>
    <n v="4300021652"/>
    <m/>
    <m/>
    <s v="TOLU 926009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D"/>
    <n v="5405"/>
    <n v="248"/>
    <m/>
    <n v="4300021652"/>
    <m/>
    <m/>
    <s v="TOLU 926022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E"/>
    <n v="5405"/>
    <n v="248"/>
    <m/>
    <n v="4300021652"/>
    <m/>
    <m/>
    <s v="TOLU 926054-6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F"/>
    <n v="5405"/>
    <n v="248"/>
    <m/>
    <n v="4300021652"/>
    <m/>
    <m/>
    <s v="TPMU 131017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G"/>
    <n v="5405"/>
    <n v="248"/>
    <m/>
    <n v="4300021652"/>
    <m/>
    <m/>
    <s v="TPMU 451160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H"/>
    <n v="5405"/>
    <n v="248"/>
    <m/>
    <n v="4300021652"/>
    <m/>
    <m/>
    <s v="TRLU 021020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I"/>
    <n v="5405"/>
    <n v="248"/>
    <m/>
    <n v="4300021652"/>
    <m/>
    <m/>
    <s v="TRLU 021090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J"/>
    <n v="5405"/>
    <n v="248"/>
    <m/>
    <n v="4300021652"/>
    <m/>
    <m/>
    <s v="TRLU 021264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K"/>
    <n v="5405"/>
    <n v="248"/>
    <m/>
    <n v="4300021652"/>
    <m/>
    <m/>
    <s v="TRLU 021279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L"/>
    <n v="5405"/>
    <n v="248"/>
    <m/>
    <n v="4300021652"/>
    <m/>
    <m/>
    <s v="TRLU 021458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M"/>
    <n v="5405"/>
    <n v="248"/>
    <m/>
    <n v="4300021652"/>
    <m/>
    <m/>
    <s v="TRLU 021564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N"/>
    <n v="5405"/>
    <n v="248"/>
    <m/>
    <n v="4300021652"/>
    <m/>
    <m/>
    <s v="TRLU 021626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O"/>
    <n v="5405"/>
    <n v="248"/>
    <m/>
    <n v="4300021652"/>
    <m/>
    <m/>
    <s v="TRLU 021741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P"/>
    <n v="5405"/>
    <n v="248"/>
    <m/>
    <n v="4300021652"/>
    <m/>
    <m/>
    <s v="TRLU 021805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Q"/>
    <n v="5405"/>
    <n v="248"/>
    <m/>
    <n v="4300021652"/>
    <m/>
    <m/>
    <s v="TRLU 021881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R"/>
    <n v="5405"/>
    <n v="248"/>
    <m/>
    <n v="4300021652"/>
    <m/>
    <m/>
    <s v="TRLU 021882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S"/>
    <n v="5405"/>
    <n v="248"/>
    <m/>
    <n v="4300021652"/>
    <m/>
    <m/>
    <s v="TRLU 021884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T"/>
    <n v="5405"/>
    <n v="248"/>
    <m/>
    <n v="4300021652"/>
    <m/>
    <m/>
    <s v="TRLU 021886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U"/>
    <n v="5405"/>
    <n v="248"/>
    <m/>
    <n v="4300021652"/>
    <m/>
    <m/>
    <s v="TRLU 021903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V"/>
    <n v="5405"/>
    <n v="248"/>
    <m/>
    <n v="4300021652"/>
    <m/>
    <m/>
    <s v="TRLU 021909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W"/>
    <n v="5405"/>
    <n v="248"/>
    <m/>
    <n v="4300021652"/>
    <m/>
    <m/>
    <s v="TRLU 021911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X"/>
    <n v="5405"/>
    <n v="248"/>
    <m/>
    <n v="4300021652"/>
    <m/>
    <m/>
    <s v="TRLU 021945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Y"/>
    <n v="5405"/>
    <n v="248"/>
    <m/>
    <n v="4300021652"/>
    <m/>
    <m/>
    <s v="TRLU 022018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GZ"/>
    <n v="5405"/>
    <n v="248"/>
    <m/>
    <n v="4300021652"/>
    <m/>
    <m/>
    <s v="TRLU 022022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A"/>
    <n v="5405"/>
    <n v="248"/>
    <m/>
    <n v="4300021652"/>
    <m/>
    <m/>
    <s v="TRLU 022035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B"/>
    <n v="5405"/>
    <n v="248"/>
    <m/>
    <n v="4300021652"/>
    <m/>
    <m/>
    <s v="TRLU 024027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C"/>
    <n v="5405"/>
    <n v="248"/>
    <m/>
    <n v="4300021652"/>
    <m/>
    <m/>
    <s v="TRLU 026907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D"/>
    <n v="5405"/>
    <n v="248"/>
    <m/>
    <n v="4300021652"/>
    <m/>
    <m/>
    <s v="TRLU 026910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E"/>
    <n v="5405"/>
    <n v="248"/>
    <m/>
    <n v="4300021652"/>
    <m/>
    <m/>
    <s v="TRLU 027173-5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F"/>
    <n v="5405"/>
    <n v="248"/>
    <m/>
    <n v="4300021652"/>
    <m/>
    <m/>
    <s v="TRLU 050562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G"/>
    <n v="5405"/>
    <n v="502.2"/>
    <m/>
    <n v="4300021652"/>
    <m/>
    <m/>
    <s v="TRLU 830034-1"/>
    <s v="Rental"/>
    <x v="8"/>
    <d v="2018-05-31T00:00:00"/>
    <d v="2018-05-30T00:00:00"/>
    <n v="502.2"/>
    <d v="2018-06-11T00:00:00"/>
    <n v="0"/>
    <s v="30-60 days"/>
    <s v="BCOXT"/>
    <x v="0"/>
    <s v="Invoice"/>
  </r>
  <r>
    <x v="17"/>
    <s v="PO"/>
    <s v="HH"/>
    <n v="5405"/>
    <n v="372.6"/>
    <m/>
    <n v="4300021652"/>
    <m/>
    <m/>
    <s v="TRLU 830041-8"/>
    <s v="Rental"/>
    <x v="8"/>
    <d v="2018-05-31T00:00:00"/>
    <d v="2018-05-30T00:00:00"/>
    <n v="372.6"/>
    <d v="2018-06-11T00:00:00"/>
    <n v="0"/>
    <s v="30-60 days"/>
    <s v="BCOXT"/>
    <x v="0"/>
    <s v="Invoice"/>
  </r>
  <r>
    <x v="17"/>
    <s v="PO"/>
    <s v="HI"/>
    <n v="5405"/>
    <n v="90"/>
    <m/>
    <n v="4300021652"/>
    <m/>
    <m/>
    <s v="TRLU 830041-8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7"/>
    <s v="PO"/>
    <s v="HJ"/>
    <n v="5405"/>
    <n v="243"/>
    <m/>
    <n v="4300021652"/>
    <m/>
    <m/>
    <s v="TRLU 830041-8"/>
    <s v="Lease Termination Fee"/>
    <x v="8"/>
    <d v="2018-05-31T00:00:00"/>
    <d v="2018-05-30T00:00:00"/>
    <n v="243"/>
    <d v="2018-06-11T00:00:00"/>
    <n v="0"/>
    <s v="30-60 days"/>
    <s v="BCOXT"/>
    <x v="0"/>
    <s v="Invoice"/>
  </r>
  <r>
    <x v="17"/>
    <s v="PO"/>
    <s v="HK"/>
    <n v="5405"/>
    <n v="248"/>
    <m/>
    <n v="4300021652"/>
    <m/>
    <m/>
    <s v="USPU 121314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L"/>
    <n v="5405"/>
    <n v="248"/>
    <m/>
    <n v="4300021652"/>
    <m/>
    <m/>
    <s v="USPU 122054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M"/>
    <n v="5405"/>
    <n v="248"/>
    <m/>
    <n v="4300021652"/>
    <m/>
    <m/>
    <s v="USPU 122448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N"/>
    <n v="5405"/>
    <n v="248"/>
    <m/>
    <n v="4300021652"/>
    <m/>
    <m/>
    <s v="USPU 122485-9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O"/>
    <n v="5405"/>
    <n v="248"/>
    <m/>
    <n v="4300021652"/>
    <m/>
    <m/>
    <s v="USPU 122501-1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P"/>
    <n v="5405"/>
    <n v="248"/>
    <m/>
    <n v="4300021652"/>
    <m/>
    <m/>
    <s v="USPU 122783-7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Q"/>
    <n v="5405"/>
    <n v="248"/>
    <m/>
    <n v="4300021652"/>
    <m/>
    <m/>
    <s v="USPU 124136-8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R"/>
    <n v="5405"/>
    <n v="248"/>
    <m/>
    <n v="4300021652"/>
    <m/>
    <m/>
    <s v="USPU 124144-0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S"/>
    <n v="5405"/>
    <n v="248"/>
    <m/>
    <n v="4300021652"/>
    <m/>
    <m/>
    <s v="USPU 124504-4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T"/>
    <n v="5405"/>
    <n v="248"/>
    <m/>
    <n v="4300021652"/>
    <m/>
    <m/>
    <s v="USPU 124608-2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U"/>
    <n v="5405"/>
    <n v="248"/>
    <m/>
    <n v="4300021652"/>
    <m/>
    <m/>
    <s v="USPU 124667-3"/>
    <s v="Rental"/>
    <x v="8"/>
    <d v="2018-05-31T00:00:00"/>
    <d v="2018-05-30T00:00:00"/>
    <n v="248"/>
    <d v="2018-06-11T00:00:00"/>
    <n v="0"/>
    <s v="30-60 days"/>
    <s v="BCOXT"/>
    <x v="0"/>
    <s v="Invoice"/>
  </r>
  <r>
    <x v="17"/>
    <s v="PO"/>
    <s v="HV"/>
    <n v="5405"/>
    <n v="248"/>
    <m/>
    <n v="4300021652"/>
    <m/>
    <m/>
    <s v="USPU 124789-6"/>
    <s v="Rental"/>
    <x v="8"/>
    <d v="2018-05-31T00:00:00"/>
    <d v="2018-05-30T00:00:00"/>
    <n v="248"/>
    <d v="2018-06-11T00:00:00"/>
    <n v="0"/>
    <s v="30-60 days"/>
    <s v="BCOXT"/>
    <x v="0"/>
    <s v="Invoice"/>
  </r>
  <r>
    <x v="18"/>
    <s v="Brazil"/>
    <m/>
    <m/>
    <n v="1202.8"/>
    <m/>
    <n v="4320249581"/>
    <m/>
    <m/>
    <s v="Multiple"/>
    <s v="Rental"/>
    <x v="8"/>
    <d v="2018-05-31T00:00:00"/>
    <d v="2018-05-31T00:00:00"/>
    <n v="1164.8"/>
    <d v="2018-07-13T00:00:00"/>
    <n v="38"/>
    <s v="30-60 days"/>
    <s v="BCOXT"/>
    <x v="1"/>
    <s v="Invoice"/>
  </r>
  <r>
    <x v="19"/>
    <s v="PO"/>
    <s v="HW"/>
    <n v="5405"/>
    <n v="90"/>
    <m/>
    <n v="4300021652"/>
    <m/>
    <m/>
    <s v="EXFU 821445-7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9"/>
    <s v="PO"/>
    <s v="HX"/>
    <n v="5405"/>
    <n v="120"/>
    <m/>
    <n v="4300021652"/>
    <m/>
    <m/>
    <s v="EXFU 821445-7"/>
    <s v="Lease Termination Fee"/>
    <x v="8"/>
    <d v="2018-05-31T00:00:00"/>
    <d v="2018-05-30T00:00:00"/>
    <n v="120"/>
    <d v="2018-06-11T00:00:00"/>
    <n v="0"/>
    <s v="30-60 days"/>
    <s v="BCOXT"/>
    <x v="0"/>
    <s v="Invoice"/>
  </r>
  <r>
    <x v="19"/>
    <s v="PO"/>
    <s v="HY"/>
    <n v="5405"/>
    <n v="90"/>
    <m/>
    <n v="4300021652"/>
    <m/>
    <m/>
    <s v="EXFU 821446-2"/>
    <s v="Handling Fee at Dropoff"/>
    <x v="8"/>
    <d v="2018-05-31T00:00:00"/>
    <d v="2018-05-30T00:00:00"/>
    <n v="90"/>
    <d v="2018-06-11T00:00:00"/>
    <n v="0"/>
    <s v="30-60 days"/>
    <s v="BCOXT"/>
    <x v="0"/>
    <s v="Invoice"/>
  </r>
  <r>
    <x v="19"/>
    <s v="PO"/>
    <s v="HZ"/>
    <n v="5405"/>
    <n v="120"/>
    <m/>
    <n v="4300021652"/>
    <m/>
    <m/>
    <s v="EXFU 821446-2"/>
    <s v="Lease Termination Fee"/>
    <x v="8"/>
    <d v="2018-05-31T00:00:00"/>
    <d v="2018-05-30T00:00:00"/>
    <n v="120"/>
    <d v="2018-06-11T00:00:00"/>
    <n v="0"/>
    <s v="30-60 days"/>
    <s v="BCOXT"/>
    <x v="0"/>
    <s v="Invoice"/>
  </r>
  <r>
    <x v="20"/>
    <s v="PO"/>
    <s v="A"/>
    <n v="5405"/>
    <n v="240"/>
    <m/>
    <n v="4300021652"/>
    <m/>
    <m/>
    <s v="EXFU 050873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"/>
    <n v="5405"/>
    <n v="240"/>
    <m/>
    <n v="4300021652"/>
    <m/>
    <m/>
    <s v="EXFU 051623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"/>
    <n v="5405"/>
    <n v="240"/>
    <m/>
    <n v="4300021652"/>
    <m/>
    <m/>
    <s v="EXFU 052714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D"/>
    <n v="5405"/>
    <n v="240"/>
    <m/>
    <n v="4300021652"/>
    <m/>
    <m/>
    <s v="EXFU 052740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E"/>
    <n v="5405"/>
    <n v="240"/>
    <m/>
    <n v="4300021652"/>
    <m/>
    <m/>
    <s v="EXFU 053036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"/>
    <n v="5405"/>
    <n v="240"/>
    <m/>
    <n v="4300021652"/>
    <m/>
    <m/>
    <s v="EXFU 054270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"/>
    <n v="5405"/>
    <n v="240"/>
    <m/>
    <n v="4300021652"/>
    <m/>
    <m/>
    <s v="EXFU 054319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"/>
    <n v="5405"/>
    <n v="240"/>
    <m/>
    <n v="4300021652"/>
    <m/>
    <m/>
    <s v="EXFU 054320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I"/>
    <n v="5405"/>
    <n v="240"/>
    <m/>
    <n v="4300021652"/>
    <m/>
    <m/>
    <s v="EXFU 054538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J"/>
    <n v="5405"/>
    <n v="240"/>
    <m/>
    <n v="4300021652"/>
    <m/>
    <m/>
    <s v="EXFU 054615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K"/>
    <n v="5405"/>
    <n v="240"/>
    <m/>
    <n v="4300021652"/>
    <m/>
    <m/>
    <s v="EXFU 054618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L"/>
    <n v="5405"/>
    <n v="240"/>
    <m/>
    <n v="4300021652"/>
    <m/>
    <m/>
    <s v="EXFU 055093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M"/>
    <n v="5405"/>
    <n v="240"/>
    <m/>
    <n v="4300021652"/>
    <m/>
    <m/>
    <s v="EXFU 056376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N"/>
    <n v="5405"/>
    <n v="262.2"/>
    <m/>
    <n v="4300021652"/>
    <m/>
    <m/>
    <s v="EXFU 059891-0"/>
    <s v="Rental"/>
    <x v="9"/>
    <d v="2018-07-01T00:00:00"/>
    <d v="2018-06-28T00:00:00"/>
    <m/>
    <m/>
    <n v="262.2"/>
    <s v="Less than 30 days"/>
    <s v="BCOXT"/>
    <x v="1"/>
    <s v="Invoice"/>
  </r>
  <r>
    <x v="20"/>
    <s v="PO"/>
    <s v="O"/>
    <n v="5405"/>
    <n v="240"/>
    <m/>
    <n v="4300021652"/>
    <m/>
    <m/>
    <s v="EXFU 059950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P"/>
    <n v="5405"/>
    <n v="240"/>
    <m/>
    <n v="4300021652"/>
    <m/>
    <m/>
    <s v="EXFU 060725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Q"/>
    <n v="5405"/>
    <n v="240"/>
    <m/>
    <n v="4300021652"/>
    <m/>
    <m/>
    <s v="EXFU 061111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R"/>
    <n v="5405"/>
    <n v="240"/>
    <m/>
    <n v="4300021652"/>
    <m/>
    <m/>
    <s v="EXFU 061116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S"/>
    <n v="5405"/>
    <n v="240"/>
    <m/>
    <n v="4300021652"/>
    <m/>
    <m/>
    <s v="EXFU 061119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T"/>
    <n v="5405"/>
    <n v="240"/>
    <m/>
    <n v="4300021652"/>
    <m/>
    <m/>
    <s v="EXFU 061120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U"/>
    <n v="5405"/>
    <n v="240"/>
    <m/>
    <n v="4300021652"/>
    <m/>
    <m/>
    <s v="EXFU 061121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V"/>
    <n v="5405"/>
    <n v="240"/>
    <m/>
    <n v="4300021652"/>
    <m/>
    <m/>
    <s v="EXFU 061123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W"/>
    <n v="5405"/>
    <n v="240"/>
    <m/>
    <n v="4300021652"/>
    <m/>
    <m/>
    <s v="EXFU 061126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X"/>
    <n v="5405"/>
    <n v="240"/>
    <m/>
    <n v="4300021652"/>
    <m/>
    <m/>
    <s v="EXFU 061127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Y"/>
    <n v="5405"/>
    <n v="240"/>
    <m/>
    <n v="4300021652"/>
    <m/>
    <m/>
    <s v="EXFU 061129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Z"/>
    <n v="5405"/>
    <n v="240"/>
    <m/>
    <n v="4300021652"/>
    <m/>
    <m/>
    <s v="EXFU 062226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A"/>
    <n v="5405"/>
    <n v="240"/>
    <m/>
    <n v="4300021652"/>
    <m/>
    <m/>
    <s v="EXFU 062232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B"/>
    <n v="5405"/>
    <n v="240"/>
    <m/>
    <n v="4300021652"/>
    <m/>
    <m/>
    <s v="EXFU 062237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C"/>
    <n v="5405"/>
    <n v="240"/>
    <m/>
    <n v="4300021652"/>
    <m/>
    <m/>
    <s v="EXFU 062238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D"/>
    <n v="5405"/>
    <n v="240"/>
    <m/>
    <n v="4300021652"/>
    <m/>
    <m/>
    <s v="EXFU 062241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E"/>
    <n v="5405"/>
    <n v="240"/>
    <m/>
    <n v="4300021652"/>
    <m/>
    <m/>
    <s v="EXFU 062242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F"/>
    <n v="5405"/>
    <n v="240"/>
    <m/>
    <n v="4300021652"/>
    <m/>
    <m/>
    <s v="EXFU 062244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G"/>
    <n v="5405"/>
    <n v="540"/>
    <m/>
    <n v="4300021652"/>
    <m/>
    <m/>
    <s v="EXFU 144782-1"/>
    <s v="Rental"/>
    <x v="9"/>
    <d v="2018-07-01T00:00:00"/>
    <d v="2018-06-28T00:00:00"/>
    <m/>
    <m/>
    <n v="540"/>
    <s v="Less than 30 days"/>
    <s v="BCOXT"/>
    <x v="1"/>
    <s v="Invoice"/>
  </r>
  <r>
    <x v="20"/>
    <s v="PO"/>
    <s v="AH"/>
    <n v="5405"/>
    <n v="540"/>
    <m/>
    <n v="4300021652"/>
    <m/>
    <m/>
    <s v="EXFU 144795-0"/>
    <s v="Rental"/>
    <x v="9"/>
    <d v="2018-07-01T00:00:00"/>
    <d v="2018-06-28T00:00:00"/>
    <m/>
    <m/>
    <n v="540"/>
    <s v="Less than 30 days"/>
    <s v="BCOXT"/>
    <x v="1"/>
    <s v="Invoice"/>
  </r>
  <r>
    <x v="20"/>
    <s v="PO"/>
    <s v="AI"/>
    <n v="5405"/>
    <n v="540"/>
    <m/>
    <n v="4300021652"/>
    <m/>
    <m/>
    <s v="EXFU 144799-2"/>
    <s v="Rental"/>
    <x v="9"/>
    <d v="2018-07-01T00:00:00"/>
    <d v="2018-06-28T00:00:00"/>
    <m/>
    <m/>
    <n v="540"/>
    <s v="Less than 30 days"/>
    <s v="BCOXT"/>
    <x v="1"/>
    <s v="Invoice"/>
  </r>
  <r>
    <x v="20"/>
    <s v="PO"/>
    <s v="AJ"/>
    <n v="5405"/>
    <n v="540"/>
    <m/>
    <n v="4300021652"/>
    <m/>
    <m/>
    <s v="EXFU 144803-1"/>
    <s v="Rental"/>
    <x v="9"/>
    <d v="2018-07-01T00:00:00"/>
    <d v="2018-06-28T00:00:00"/>
    <m/>
    <m/>
    <n v="540"/>
    <s v="Less than 30 days"/>
    <s v="BCOXT"/>
    <x v="1"/>
    <s v="Invoice"/>
  </r>
  <r>
    <x v="20"/>
    <s v="PO"/>
    <s v="AK"/>
    <n v="5405"/>
    <n v="540"/>
    <m/>
    <n v="4300021652"/>
    <m/>
    <m/>
    <s v="EXFU 144806-8"/>
    <s v="Rental"/>
    <x v="9"/>
    <d v="2018-07-01T00:00:00"/>
    <d v="2018-06-28T00:00:00"/>
    <m/>
    <m/>
    <n v="540"/>
    <s v="Less than 30 days"/>
    <s v="BCOXT"/>
    <x v="1"/>
    <s v="Invoice"/>
  </r>
  <r>
    <x v="20"/>
    <s v="PO"/>
    <s v="AL"/>
    <n v="5405"/>
    <n v="540"/>
    <m/>
    <n v="4300021652"/>
    <m/>
    <m/>
    <s v="EXFU 144809-4"/>
    <s v="Rental"/>
    <x v="9"/>
    <d v="2018-07-01T00:00:00"/>
    <d v="2018-06-28T00:00:00"/>
    <m/>
    <m/>
    <n v="540"/>
    <s v="Less than 30 days"/>
    <s v="BCOXT"/>
    <x v="1"/>
    <s v="Invoice"/>
  </r>
  <r>
    <x v="20"/>
    <s v="PO"/>
    <s v="AM"/>
    <n v="5405"/>
    <n v="262.5"/>
    <m/>
    <n v="4300021652"/>
    <m/>
    <m/>
    <s v="EXFU 144825-8"/>
    <s v="Rental"/>
    <x v="9"/>
    <d v="2018-07-01T00:00:00"/>
    <d v="2018-06-28T00:00:00"/>
    <m/>
    <m/>
    <n v="262.5"/>
    <s v="Less than 30 days"/>
    <s v="BCOXT"/>
    <x v="1"/>
    <s v="Invoice"/>
  </r>
  <r>
    <x v="20"/>
    <s v="PO"/>
    <s v="AN"/>
    <n v="5405"/>
    <n v="262.5"/>
    <m/>
    <n v="4300021652"/>
    <m/>
    <m/>
    <s v="EXFU 144833-0"/>
    <s v="Rental"/>
    <x v="9"/>
    <d v="2018-07-01T00:00:00"/>
    <d v="2018-06-28T00:00:00"/>
    <m/>
    <m/>
    <n v="262.5"/>
    <s v="Less than 30 days"/>
    <s v="BCOXT"/>
    <x v="1"/>
    <s v="Invoice"/>
  </r>
  <r>
    <x v="20"/>
    <s v="PO"/>
    <s v="AO"/>
    <n v="5405"/>
    <n v="367.2"/>
    <m/>
    <n v="4300021652"/>
    <m/>
    <m/>
    <s v="EXFU 144835-0"/>
    <s v="Rental"/>
    <x v="9"/>
    <d v="2018-07-01T00:00:00"/>
    <d v="2018-06-28T00:00:00"/>
    <m/>
    <m/>
    <n v="367.2"/>
    <s v="Less than 30 days"/>
    <s v="BCOXT"/>
    <x v="1"/>
    <s v="Invoice"/>
  </r>
  <r>
    <x v="20"/>
    <s v="PO"/>
    <s v="AP"/>
    <n v="5405"/>
    <n v="367.2"/>
    <m/>
    <n v="4300021652"/>
    <m/>
    <m/>
    <s v="EXFU 144836-6"/>
    <s v="Rental"/>
    <x v="9"/>
    <d v="2018-07-01T00:00:00"/>
    <d v="2018-06-28T00:00:00"/>
    <m/>
    <m/>
    <n v="367.2"/>
    <s v="Less than 30 days"/>
    <s v="BCOXT"/>
    <x v="1"/>
    <s v="Invoice"/>
  </r>
  <r>
    <x v="20"/>
    <s v="PO"/>
    <s v="AQ"/>
    <n v="5405"/>
    <n v="367.2"/>
    <m/>
    <n v="4300021652"/>
    <m/>
    <m/>
    <s v="EXFU 145516-0"/>
    <s v="Rental"/>
    <x v="9"/>
    <d v="2018-07-01T00:00:00"/>
    <d v="2018-06-28T00:00:00"/>
    <m/>
    <m/>
    <n v="367.2"/>
    <s v="Less than 30 days"/>
    <s v="BCOXT"/>
    <x v="1"/>
    <s v="Invoice"/>
  </r>
  <r>
    <x v="20"/>
    <s v="PO"/>
    <s v="AR"/>
    <n v="5405"/>
    <n v="240"/>
    <m/>
    <n v="4300021652"/>
    <m/>
    <m/>
    <s v="EXFU 441799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S"/>
    <n v="5405"/>
    <n v="240"/>
    <m/>
    <n v="4300021652"/>
    <m/>
    <m/>
    <s v="EXFU 441800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T"/>
    <n v="5405"/>
    <n v="240"/>
    <m/>
    <n v="4300021652"/>
    <m/>
    <m/>
    <s v="EXFU 441801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U"/>
    <n v="5405"/>
    <n v="240"/>
    <m/>
    <n v="4300021652"/>
    <m/>
    <m/>
    <s v="EXFU 441802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V"/>
    <n v="5405"/>
    <n v="240"/>
    <m/>
    <n v="4300021652"/>
    <m/>
    <m/>
    <s v="EXFU 441803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W"/>
    <n v="5405"/>
    <n v="240"/>
    <m/>
    <n v="4300021652"/>
    <m/>
    <m/>
    <s v="EXFU 441804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X"/>
    <n v="5405"/>
    <n v="240"/>
    <m/>
    <n v="4300021652"/>
    <m/>
    <m/>
    <s v="EXFU 441805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Y"/>
    <n v="5405"/>
    <n v="240"/>
    <m/>
    <n v="4300021652"/>
    <m/>
    <m/>
    <s v="EXFU 441806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AZ"/>
    <n v="5405"/>
    <n v="240"/>
    <m/>
    <n v="4300021652"/>
    <m/>
    <m/>
    <s v="EXFU 441808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A"/>
    <n v="5405"/>
    <n v="240"/>
    <m/>
    <n v="4300021652"/>
    <m/>
    <m/>
    <s v="EXFU 441809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B"/>
    <n v="5405"/>
    <n v="240"/>
    <m/>
    <n v="4300021652"/>
    <m/>
    <m/>
    <s v="EXFU 810137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C"/>
    <n v="5405"/>
    <n v="240"/>
    <m/>
    <n v="4300021652"/>
    <m/>
    <m/>
    <s v="EXFU 810369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D"/>
    <n v="5405"/>
    <n v="240"/>
    <m/>
    <n v="4300021652"/>
    <m/>
    <m/>
    <s v="EXFU 810389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E"/>
    <n v="5405"/>
    <n v="240"/>
    <m/>
    <n v="4300021652"/>
    <m/>
    <m/>
    <s v="EXFU 810390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F"/>
    <n v="5405"/>
    <n v="240"/>
    <m/>
    <n v="4300021652"/>
    <m/>
    <m/>
    <s v="EXFU 810414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G"/>
    <n v="5405"/>
    <n v="240"/>
    <m/>
    <n v="4300021652"/>
    <m/>
    <m/>
    <s v="EXFU 810415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H"/>
    <n v="5405"/>
    <n v="240"/>
    <m/>
    <n v="4300021652"/>
    <m/>
    <m/>
    <s v="EXFU 810416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I"/>
    <n v="5405"/>
    <n v="240"/>
    <m/>
    <n v="4300021652"/>
    <m/>
    <m/>
    <s v="EXFU 810710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J"/>
    <n v="5405"/>
    <n v="240"/>
    <m/>
    <n v="4300021652"/>
    <m/>
    <m/>
    <s v="EXFU 810748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K"/>
    <n v="5405"/>
    <n v="240"/>
    <m/>
    <n v="4300021652"/>
    <m/>
    <m/>
    <s v="EXFU 810842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L"/>
    <n v="5405"/>
    <n v="240"/>
    <m/>
    <n v="4300021652"/>
    <m/>
    <m/>
    <s v="EXFU 810843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M"/>
    <n v="5405"/>
    <n v="240"/>
    <m/>
    <n v="4300021652"/>
    <m/>
    <m/>
    <s v="EXFU 810844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N"/>
    <n v="5405"/>
    <n v="240"/>
    <m/>
    <n v="4300021652"/>
    <m/>
    <m/>
    <s v="EXFU 810856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O"/>
    <n v="5405"/>
    <n v="240"/>
    <m/>
    <n v="4300021652"/>
    <m/>
    <m/>
    <s v="EXFU 810866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P"/>
    <n v="5405"/>
    <n v="240"/>
    <m/>
    <n v="4300021652"/>
    <m/>
    <m/>
    <s v="EXFU 810867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Q"/>
    <n v="5405"/>
    <n v="240"/>
    <m/>
    <n v="4300021652"/>
    <m/>
    <m/>
    <s v="EXFU 810870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R"/>
    <n v="5405"/>
    <n v="240"/>
    <m/>
    <n v="4300021652"/>
    <m/>
    <m/>
    <s v="EXFU 810872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S"/>
    <n v="5405"/>
    <n v="240"/>
    <m/>
    <n v="4300021652"/>
    <m/>
    <m/>
    <s v="EXFU 810873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T"/>
    <n v="5405"/>
    <n v="240"/>
    <m/>
    <n v="4300021652"/>
    <m/>
    <m/>
    <s v="EXFU 810874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U"/>
    <n v="5405"/>
    <n v="240"/>
    <m/>
    <n v="4300021652"/>
    <m/>
    <m/>
    <s v="EXFU 810875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V"/>
    <n v="5405"/>
    <n v="240"/>
    <m/>
    <n v="4300021652"/>
    <m/>
    <m/>
    <s v="EXFU 810878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W"/>
    <n v="5405"/>
    <n v="240"/>
    <m/>
    <n v="4300021652"/>
    <m/>
    <m/>
    <s v="EXFU 810882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X"/>
    <n v="5405"/>
    <n v="240"/>
    <m/>
    <n v="4300021652"/>
    <m/>
    <m/>
    <s v="EXFU 810883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Y"/>
    <n v="5405"/>
    <n v="240"/>
    <m/>
    <n v="4300021652"/>
    <m/>
    <m/>
    <s v="EXFU 810884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BZ"/>
    <n v="5405"/>
    <n v="195"/>
    <m/>
    <n v="4300021652"/>
    <m/>
    <m/>
    <s v="EXFU 810885-6"/>
    <s v="Rental"/>
    <x v="9"/>
    <d v="2018-07-01T00:00:00"/>
    <d v="2018-06-28T00:00:00"/>
    <m/>
    <m/>
    <n v="195"/>
    <s v="Less than 30 days"/>
    <s v="BCOXT"/>
    <x v="1"/>
    <s v="Invoice"/>
  </r>
  <r>
    <x v="20"/>
    <s v="PO"/>
    <s v="CA"/>
    <n v="5405"/>
    <n v="240"/>
    <m/>
    <n v="4300021652"/>
    <m/>
    <m/>
    <s v="EXFU 810886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B"/>
    <n v="5405"/>
    <n v="240"/>
    <m/>
    <n v="4300021652"/>
    <m/>
    <m/>
    <s v="EXFU 820723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C"/>
    <n v="5405"/>
    <n v="240"/>
    <m/>
    <n v="4300021652"/>
    <m/>
    <m/>
    <s v="EXFU 820828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D"/>
    <n v="5405"/>
    <n v="240"/>
    <m/>
    <n v="4300021652"/>
    <m/>
    <m/>
    <s v="EXFU 821465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E"/>
    <n v="5405"/>
    <n v="240"/>
    <m/>
    <n v="4300021652"/>
    <m/>
    <m/>
    <s v="EXFU 821467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F"/>
    <n v="5405"/>
    <n v="240"/>
    <m/>
    <n v="4300021652"/>
    <m/>
    <m/>
    <s v="EXFU 821625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G"/>
    <n v="5405"/>
    <n v="240"/>
    <m/>
    <n v="4300021652"/>
    <m/>
    <m/>
    <s v="EXFU 821630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H"/>
    <n v="5405"/>
    <n v="240"/>
    <m/>
    <n v="4300021652"/>
    <m/>
    <m/>
    <s v="EXFU 821631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I"/>
    <n v="5405"/>
    <n v="240"/>
    <m/>
    <n v="4300021652"/>
    <m/>
    <m/>
    <s v="EXFU 821646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J"/>
    <n v="5405"/>
    <n v="240"/>
    <m/>
    <n v="4300021652"/>
    <m/>
    <m/>
    <s v="EXFU 821649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K"/>
    <n v="5405"/>
    <n v="240"/>
    <m/>
    <n v="4300021652"/>
    <m/>
    <m/>
    <s v="EXFU 821653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L"/>
    <n v="5405"/>
    <n v="240"/>
    <m/>
    <n v="4300021652"/>
    <m/>
    <m/>
    <s v="EXFU 821841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CM"/>
    <n v="5405"/>
    <n v="577.5"/>
    <m/>
    <n v="4300021652"/>
    <m/>
    <m/>
    <s v="EXFU 830001-0"/>
    <s v="Rental"/>
    <x v="9"/>
    <d v="2018-07-01T00:00:00"/>
    <d v="2018-06-28T00:00:00"/>
    <m/>
    <m/>
    <n v="577.5"/>
    <s v="Less than 30 days"/>
    <s v="BCOXT"/>
    <x v="1"/>
    <s v="Invoice"/>
  </r>
  <r>
    <x v="20"/>
    <s v="PO"/>
    <s v="CN"/>
    <n v="5405"/>
    <n v="577.5"/>
    <m/>
    <n v="4300021652"/>
    <m/>
    <m/>
    <s v="EXFU 830002-5"/>
    <s v="Rental"/>
    <x v="9"/>
    <d v="2018-07-01T00:00:00"/>
    <d v="2018-06-28T00:00:00"/>
    <m/>
    <m/>
    <n v="577.5"/>
    <s v="Less than 30 days"/>
    <s v="BCOXT"/>
    <x v="1"/>
    <s v="Invoice"/>
  </r>
  <r>
    <x v="20"/>
    <s v="PO"/>
    <s v="CO"/>
    <n v="5405"/>
    <n v="660"/>
    <m/>
    <n v="4300021652"/>
    <m/>
    <m/>
    <s v="EXFU 830007-2"/>
    <s v="Rental"/>
    <x v="9"/>
    <d v="2018-07-01T00:00:00"/>
    <d v="2018-06-28T00:00:00"/>
    <m/>
    <m/>
    <n v="660"/>
    <s v="Less than 30 days"/>
    <s v="BCOXT"/>
    <x v="1"/>
    <s v="Invoice"/>
  </r>
  <r>
    <x v="20"/>
    <s v="PO"/>
    <s v="CP"/>
    <n v="5405"/>
    <n v="660"/>
    <m/>
    <n v="4300021652"/>
    <m/>
    <m/>
    <s v="EXFU 830009-3"/>
    <s v="Rental"/>
    <x v="9"/>
    <d v="2018-07-01T00:00:00"/>
    <d v="2018-06-28T00:00:00"/>
    <m/>
    <m/>
    <n v="660"/>
    <s v="Less than 30 days"/>
    <s v="BCOXT"/>
    <x v="1"/>
    <s v="Invoice"/>
  </r>
  <r>
    <x v="20"/>
    <s v="PO"/>
    <s v="CQ"/>
    <n v="5405"/>
    <n v="255"/>
    <m/>
    <n v="4300021652"/>
    <m/>
    <m/>
    <s v="EXSZ 900676-6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CR"/>
    <n v="5405"/>
    <n v="255"/>
    <m/>
    <n v="4300021652"/>
    <m/>
    <m/>
    <s v="EXSZ 900687-4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CS"/>
    <n v="5405"/>
    <n v="255"/>
    <m/>
    <n v="4300021652"/>
    <m/>
    <m/>
    <s v="EXSZ 900732-0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CT"/>
    <n v="5405"/>
    <n v="247.5"/>
    <m/>
    <n v="4300021652"/>
    <m/>
    <m/>
    <s v="EXSZ 900753-0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CU"/>
    <n v="5405"/>
    <n v="247.5"/>
    <m/>
    <n v="4300021652"/>
    <m/>
    <m/>
    <s v="EXSZ 900813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CV"/>
    <n v="5405"/>
    <n v="247.5"/>
    <m/>
    <n v="4300021652"/>
    <m/>
    <m/>
    <s v="EXSZ 900816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CW"/>
    <n v="5405"/>
    <n v="247.5"/>
    <m/>
    <n v="4300021652"/>
    <m/>
    <m/>
    <s v="EXSZ 900823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CX"/>
    <n v="5405"/>
    <n v="247.5"/>
    <m/>
    <n v="4300021652"/>
    <m/>
    <m/>
    <s v="EXSZ 900885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CY"/>
    <n v="5405"/>
    <n v="247.5"/>
    <m/>
    <n v="4300021652"/>
    <m/>
    <m/>
    <s v="EXSZ 901026-7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CZ"/>
    <n v="5405"/>
    <n v="255"/>
    <m/>
    <n v="4300021652"/>
    <m/>
    <m/>
    <s v="EXSZ 901165-9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A"/>
    <n v="5405"/>
    <n v="255"/>
    <m/>
    <n v="4300021652"/>
    <m/>
    <m/>
    <s v="EXSZ 901166-4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B"/>
    <n v="5405"/>
    <n v="255"/>
    <m/>
    <n v="4300021652"/>
    <m/>
    <m/>
    <s v="EXSZ 901168-5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C"/>
    <n v="5405"/>
    <n v="270"/>
    <m/>
    <n v="4300021652"/>
    <m/>
    <m/>
    <s v="EXSZ 901339-5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D"/>
    <n v="5405"/>
    <n v="270"/>
    <m/>
    <n v="4300021652"/>
    <m/>
    <m/>
    <s v="EXSZ 901341-4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E"/>
    <n v="5405"/>
    <n v="270"/>
    <m/>
    <n v="4300021652"/>
    <m/>
    <m/>
    <s v="EXSZ 901344-0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F"/>
    <n v="5405"/>
    <n v="270"/>
    <m/>
    <n v="4300021652"/>
    <m/>
    <m/>
    <s v="EXSZ 901345-6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G"/>
    <n v="5405"/>
    <n v="270"/>
    <m/>
    <n v="4300021652"/>
    <m/>
    <m/>
    <s v="EXSZ 901347-7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H"/>
    <n v="5405"/>
    <n v="270"/>
    <m/>
    <n v="4300021652"/>
    <m/>
    <m/>
    <s v="EXSZ 901348-2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I"/>
    <n v="5405"/>
    <n v="247.5"/>
    <m/>
    <n v="4300021652"/>
    <m/>
    <m/>
    <s v="EXSZ 901529-5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DJ"/>
    <n v="5405"/>
    <n v="360"/>
    <m/>
    <n v="4300021652"/>
    <m/>
    <m/>
    <s v="EXSZ 901582-3"/>
    <s v="Rental"/>
    <x v="9"/>
    <d v="2018-07-01T00:00:00"/>
    <d v="2018-06-28T00:00:00"/>
    <m/>
    <m/>
    <n v="360"/>
    <s v="Less than 30 days"/>
    <s v="BCOXT"/>
    <x v="1"/>
    <s v="Invoice"/>
  </r>
  <r>
    <x v="20"/>
    <s v="PO"/>
    <s v="DK"/>
    <n v="5405"/>
    <n v="360"/>
    <m/>
    <n v="4300021652"/>
    <m/>
    <m/>
    <s v="EXSZ 901588-6"/>
    <s v="Rental"/>
    <x v="9"/>
    <d v="2018-07-01T00:00:00"/>
    <d v="2018-06-28T00:00:00"/>
    <m/>
    <m/>
    <n v="360"/>
    <s v="Less than 30 days"/>
    <s v="BCOXT"/>
    <x v="1"/>
    <s v="Invoice"/>
  </r>
  <r>
    <x v="20"/>
    <s v="PO"/>
    <s v="DL"/>
    <n v="5405"/>
    <n v="360"/>
    <m/>
    <n v="4300021652"/>
    <m/>
    <m/>
    <s v="EXSZ 901602-8"/>
    <s v="Rental"/>
    <x v="9"/>
    <d v="2018-07-01T00:00:00"/>
    <d v="2018-06-28T00:00:00"/>
    <m/>
    <m/>
    <n v="360"/>
    <s v="Less than 30 days"/>
    <s v="BCOXT"/>
    <x v="1"/>
    <s v="Invoice"/>
  </r>
  <r>
    <x v="20"/>
    <s v="PO"/>
    <s v="DM"/>
    <n v="5405"/>
    <n v="255"/>
    <m/>
    <n v="4300021652"/>
    <m/>
    <m/>
    <s v="EXSZ 901614-1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N"/>
    <n v="5405"/>
    <n v="255"/>
    <m/>
    <n v="4300021652"/>
    <m/>
    <m/>
    <s v="EXSZ 901615-7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O"/>
    <n v="5405"/>
    <n v="255"/>
    <m/>
    <n v="4300021652"/>
    <m/>
    <m/>
    <s v="EXSZ 901616-2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P"/>
    <n v="5405"/>
    <n v="255"/>
    <m/>
    <n v="4300021652"/>
    <m/>
    <m/>
    <s v="EXSZ 901617-8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Q"/>
    <n v="5405"/>
    <n v="255"/>
    <m/>
    <n v="4300021652"/>
    <m/>
    <m/>
    <s v="EXSZ 901618-3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R"/>
    <n v="5405"/>
    <n v="255"/>
    <m/>
    <n v="4300021652"/>
    <m/>
    <m/>
    <s v="EXSZ 901619-9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S"/>
    <n v="5405"/>
    <n v="255"/>
    <m/>
    <n v="4300021652"/>
    <m/>
    <m/>
    <s v="EXSZ 901620-2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T"/>
    <n v="5405"/>
    <n v="255"/>
    <m/>
    <n v="4300021652"/>
    <m/>
    <m/>
    <s v="EXSZ 901623-9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U"/>
    <n v="5405"/>
    <n v="255"/>
    <m/>
    <n v="4300021652"/>
    <m/>
    <m/>
    <s v="EXSZ 901624-4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V"/>
    <n v="5405"/>
    <n v="255"/>
    <m/>
    <n v="4300021652"/>
    <m/>
    <m/>
    <s v="EXSZ 901625-0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W"/>
    <n v="5405"/>
    <n v="270"/>
    <m/>
    <n v="4300021652"/>
    <m/>
    <m/>
    <s v="EXSZ 901639-4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DX"/>
    <n v="5405"/>
    <n v="255"/>
    <m/>
    <n v="4300021652"/>
    <m/>
    <m/>
    <s v="EXSZ 901726-1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Y"/>
    <n v="5405"/>
    <n v="255"/>
    <m/>
    <n v="4300021652"/>
    <m/>
    <m/>
    <s v="EXSZ 901727-7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DZ"/>
    <n v="5405"/>
    <n v="255"/>
    <m/>
    <n v="4300021652"/>
    <m/>
    <m/>
    <s v="EXSZ 901728-2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EA"/>
    <n v="5405"/>
    <n v="255"/>
    <m/>
    <n v="4300021652"/>
    <m/>
    <m/>
    <s v="EXSZ 901729-8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EB"/>
    <n v="5405"/>
    <n v="255"/>
    <m/>
    <n v="4300021652"/>
    <m/>
    <m/>
    <s v="EXSZ 901730-1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EC"/>
    <n v="5405"/>
    <n v="255"/>
    <m/>
    <n v="4300021652"/>
    <m/>
    <m/>
    <s v="EXSZ 901731-7"/>
    <s v="Rental"/>
    <x v="9"/>
    <d v="2018-07-01T00:00:00"/>
    <d v="2018-06-28T00:00:00"/>
    <m/>
    <m/>
    <n v="255"/>
    <s v="Less than 30 days"/>
    <s v="BCOXT"/>
    <x v="1"/>
    <s v="Invoice"/>
  </r>
  <r>
    <x v="20"/>
    <s v="PO"/>
    <s v="ED"/>
    <n v="5405"/>
    <n v="360"/>
    <m/>
    <n v="4300021652"/>
    <m/>
    <m/>
    <s v="EXSZ 901815-0"/>
    <s v="Rental"/>
    <x v="9"/>
    <d v="2018-07-01T00:00:00"/>
    <d v="2018-06-28T00:00:00"/>
    <m/>
    <m/>
    <n v="360"/>
    <s v="Less than 30 days"/>
    <s v="BCOXT"/>
    <x v="1"/>
    <s v="Invoice"/>
  </r>
  <r>
    <x v="20"/>
    <s v="PO"/>
    <s v="EE"/>
    <n v="5405"/>
    <n v="360"/>
    <m/>
    <n v="4300021652"/>
    <m/>
    <m/>
    <s v="EXSZ 901824-7"/>
    <s v="Rental"/>
    <x v="9"/>
    <d v="2018-07-01T00:00:00"/>
    <d v="2018-06-28T00:00:00"/>
    <m/>
    <m/>
    <n v="360"/>
    <s v="Less than 30 days"/>
    <s v="BCOXT"/>
    <x v="1"/>
    <s v="Invoice"/>
  </r>
  <r>
    <x v="20"/>
    <s v="PO"/>
    <s v="EF"/>
    <n v="5405"/>
    <n v="360"/>
    <m/>
    <n v="4300021652"/>
    <m/>
    <m/>
    <s v="EXSZ 901832-9"/>
    <s v="Rental"/>
    <x v="9"/>
    <d v="2018-07-01T00:00:00"/>
    <d v="2018-06-28T00:00:00"/>
    <m/>
    <m/>
    <n v="360"/>
    <s v="Less than 30 days"/>
    <s v="BCOXT"/>
    <x v="1"/>
    <s v="Invoice"/>
  </r>
  <r>
    <x v="20"/>
    <s v="PO"/>
    <s v="EG"/>
    <n v="5405"/>
    <n v="247.5"/>
    <m/>
    <n v="4300021652"/>
    <m/>
    <m/>
    <s v="EXSZ 902002-8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EH"/>
    <n v="5405"/>
    <n v="247.5"/>
    <m/>
    <n v="4300021652"/>
    <m/>
    <m/>
    <s v="EXSZ 902039-4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EI"/>
    <n v="5405"/>
    <n v="247.5"/>
    <m/>
    <n v="4300021652"/>
    <m/>
    <m/>
    <s v="EXSZ 902077-4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EJ"/>
    <n v="5405"/>
    <n v="247.5"/>
    <m/>
    <n v="4300021652"/>
    <m/>
    <m/>
    <s v="EXSZ 902082-0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EK"/>
    <n v="5405"/>
    <n v="247.5"/>
    <m/>
    <n v="4300021652"/>
    <m/>
    <m/>
    <s v="EXSZ 902091-7"/>
    <s v="Rental"/>
    <x v="9"/>
    <d v="2018-07-01T00:00:00"/>
    <d v="2018-06-28T00:00:00"/>
    <m/>
    <m/>
    <n v="247.5"/>
    <s v="Less than 30 days"/>
    <s v="BCOXT"/>
    <x v="1"/>
    <s v="Invoice"/>
  </r>
  <r>
    <x v="20"/>
    <s v="PO"/>
    <s v="EL"/>
    <n v="5405"/>
    <n v="232.5"/>
    <m/>
    <n v="4300021652"/>
    <m/>
    <m/>
    <s v="EXSZ 902861-0"/>
    <s v="Rental"/>
    <x v="9"/>
    <d v="2018-07-01T00:00:00"/>
    <d v="2018-06-28T00:00:00"/>
    <m/>
    <m/>
    <n v="232.5"/>
    <s v="Less than 30 days"/>
    <s v="BCOXT"/>
    <x v="1"/>
    <s v="Invoice"/>
  </r>
  <r>
    <x v="20"/>
    <s v="PO"/>
    <s v="EM"/>
    <n v="5405"/>
    <n v="270"/>
    <m/>
    <n v="4300021652"/>
    <m/>
    <m/>
    <s v="EXSZ 902862-5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N"/>
    <n v="5405"/>
    <n v="270"/>
    <m/>
    <n v="4300021652"/>
    <m/>
    <m/>
    <s v="EXSZ 902864-6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O"/>
    <n v="5405"/>
    <n v="270"/>
    <m/>
    <n v="4300021652"/>
    <m/>
    <m/>
    <s v="EXSZ 903079-3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P"/>
    <n v="5405"/>
    <n v="270"/>
    <m/>
    <n v="4300021652"/>
    <m/>
    <m/>
    <s v="EXSZ 903119-3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Q"/>
    <n v="5405"/>
    <n v="270"/>
    <m/>
    <n v="4300021652"/>
    <m/>
    <m/>
    <s v="EXSZ 903120-7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R"/>
    <n v="5405"/>
    <n v="232.5"/>
    <m/>
    <n v="4300021652"/>
    <m/>
    <m/>
    <s v="EXSZ 903135-7"/>
    <s v="Rental"/>
    <x v="9"/>
    <d v="2018-07-01T00:00:00"/>
    <d v="2018-06-28T00:00:00"/>
    <m/>
    <m/>
    <n v="232.5"/>
    <s v="Less than 30 days"/>
    <s v="BCOXT"/>
    <x v="1"/>
    <s v="Invoice"/>
  </r>
  <r>
    <x v="20"/>
    <s v="PO"/>
    <s v="ES"/>
    <n v="5405"/>
    <n v="270"/>
    <m/>
    <n v="4300021652"/>
    <m/>
    <m/>
    <s v="EXSZ 903173-7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T"/>
    <n v="5405"/>
    <n v="270"/>
    <m/>
    <n v="4300021652"/>
    <m/>
    <m/>
    <s v="EXSZ 903590-1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U"/>
    <n v="5405"/>
    <n v="270"/>
    <m/>
    <n v="4300021652"/>
    <m/>
    <m/>
    <s v="EXSZ 903591-7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V"/>
    <n v="5405"/>
    <n v="270"/>
    <m/>
    <n v="4300021652"/>
    <m/>
    <m/>
    <s v="EXSZ 903592-2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W"/>
    <n v="5405"/>
    <n v="270"/>
    <m/>
    <n v="4300021652"/>
    <m/>
    <m/>
    <s v="EXSZ 903593-8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X"/>
    <n v="5405"/>
    <n v="270"/>
    <m/>
    <n v="4300021652"/>
    <m/>
    <m/>
    <s v="EXSZ 903594-3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Y"/>
    <n v="5405"/>
    <n v="270"/>
    <m/>
    <n v="4300021652"/>
    <m/>
    <m/>
    <s v="EXSZ 903595-9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EZ"/>
    <n v="5405"/>
    <n v="270"/>
    <m/>
    <n v="4300021652"/>
    <m/>
    <m/>
    <s v="EXSZ 903596-4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A"/>
    <n v="5405"/>
    <n v="270"/>
    <m/>
    <n v="4300021652"/>
    <m/>
    <m/>
    <s v="EXSZ 903597-0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B"/>
    <n v="5405"/>
    <n v="270"/>
    <m/>
    <n v="4300021652"/>
    <m/>
    <m/>
    <s v="EXSZ 903598-5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C"/>
    <n v="5405"/>
    <n v="270"/>
    <m/>
    <n v="4300021652"/>
    <m/>
    <m/>
    <s v="EXSZ 903602-4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D"/>
    <n v="5405"/>
    <n v="270"/>
    <m/>
    <n v="4300021652"/>
    <m/>
    <m/>
    <s v="EXSZ 903603-0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E"/>
    <n v="5405"/>
    <n v="270"/>
    <m/>
    <n v="4300021652"/>
    <m/>
    <m/>
    <s v="EXSZ 903604-5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F"/>
    <n v="5405"/>
    <n v="270"/>
    <m/>
    <n v="4300021652"/>
    <m/>
    <m/>
    <s v="EXSZ 903605-0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G"/>
    <n v="5405"/>
    <n v="270"/>
    <m/>
    <n v="4300021652"/>
    <m/>
    <m/>
    <s v="EXSZ 903606-6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H"/>
    <n v="5405"/>
    <n v="270"/>
    <m/>
    <n v="4300021652"/>
    <m/>
    <m/>
    <s v="EXSZ 903607-1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I"/>
    <n v="5405"/>
    <n v="270"/>
    <m/>
    <n v="4300021652"/>
    <m/>
    <m/>
    <s v="EXSZ 903616-9"/>
    <s v="Rental"/>
    <x v="9"/>
    <d v="2018-07-01T00:00:00"/>
    <d v="2018-06-28T00:00:00"/>
    <m/>
    <m/>
    <n v="270"/>
    <s v="Less than 30 days"/>
    <s v="BCOXT"/>
    <x v="1"/>
    <s v="Invoice"/>
  </r>
  <r>
    <x v="20"/>
    <s v="PO"/>
    <s v="FJ"/>
    <n v="5405"/>
    <n v="232.5"/>
    <m/>
    <n v="4300021652"/>
    <m/>
    <m/>
    <s v="EXSZ 903704-1"/>
    <s v="Rental"/>
    <x v="9"/>
    <d v="2018-07-01T00:00:00"/>
    <d v="2018-06-28T00:00:00"/>
    <m/>
    <m/>
    <n v="232.5"/>
    <s v="Less than 30 days"/>
    <s v="BCOXT"/>
    <x v="1"/>
    <s v="Invoice"/>
  </r>
  <r>
    <x v="20"/>
    <s v="PO"/>
    <s v="FK"/>
    <n v="5405"/>
    <n v="232.5"/>
    <m/>
    <n v="4300021652"/>
    <m/>
    <m/>
    <s v="EXSZ 903705-7"/>
    <s v="Rental"/>
    <x v="9"/>
    <d v="2018-07-01T00:00:00"/>
    <d v="2018-06-28T00:00:00"/>
    <m/>
    <m/>
    <n v="232.5"/>
    <s v="Less than 30 days"/>
    <s v="BCOXT"/>
    <x v="1"/>
    <s v="Invoice"/>
  </r>
  <r>
    <x v="20"/>
    <s v="PO"/>
    <s v="FL"/>
    <n v="5405"/>
    <n v="232.5"/>
    <m/>
    <n v="4300021652"/>
    <m/>
    <m/>
    <s v="EXSZ 903706-2"/>
    <s v="Rental"/>
    <x v="9"/>
    <d v="2018-07-01T00:00:00"/>
    <d v="2018-06-28T00:00:00"/>
    <m/>
    <m/>
    <n v="232.5"/>
    <s v="Less than 30 days"/>
    <s v="BCOXT"/>
    <x v="1"/>
    <s v="Invoice"/>
  </r>
  <r>
    <x v="20"/>
    <s v="PO"/>
    <s v="FM"/>
    <n v="5405"/>
    <n v="240"/>
    <m/>
    <n v="4300021652"/>
    <m/>
    <m/>
    <s v="EXXU 998108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N"/>
    <n v="5405"/>
    <n v="240"/>
    <m/>
    <n v="4300021652"/>
    <m/>
    <m/>
    <s v="EXXU 999613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O"/>
    <n v="5405"/>
    <n v="240"/>
    <m/>
    <n v="4300021652"/>
    <m/>
    <m/>
    <s v="TOLU 906039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P"/>
    <n v="5405"/>
    <n v="240"/>
    <m/>
    <n v="4300021652"/>
    <m/>
    <m/>
    <s v="TOLU 926009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Q"/>
    <n v="5405"/>
    <n v="240"/>
    <m/>
    <n v="4300021652"/>
    <m/>
    <m/>
    <s v="TOLU 926022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R"/>
    <n v="5405"/>
    <n v="240"/>
    <m/>
    <n v="4300021652"/>
    <m/>
    <m/>
    <s v="TOLU 926054-6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S"/>
    <n v="5405"/>
    <n v="240"/>
    <m/>
    <n v="4300021652"/>
    <m/>
    <m/>
    <s v="TPMU 131017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T"/>
    <n v="5405"/>
    <n v="240"/>
    <m/>
    <n v="4300021652"/>
    <m/>
    <m/>
    <s v="TPMU 451160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U"/>
    <n v="5405"/>
    <n v="240"/>
    <m/>
    <n v="4300021652"/>
    <m/>
    <m/>
    <s v="TRLU 021020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V"/>
    <n v="5405"/>
    <n v="240"/>
    <m/>
    <n v="4300021652"/>
    <m/>
    <m/>
    <s v="TRLU 021090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W"/>
    <n v="5405"/>
    <n v="240"/>
    <m/>
    <n v="4300021652"/>
    <m/>
    <m/>
    <s v="TRLU 021264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X"/>
    <n v="5405"/>
    <n v="240"/>
    <m/>
    <n v="4300021652"/>
    <m/>
    <m/>
    <s v="TRLU 021279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Y"/>
    <n v="5405"/>
    <n v="240"/>
    <m/>
    <n v="4300021652"/>
    <m/>
    <m/>
    <s v="TRLU 021458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FZ"/>
    <n v="5405"/>
    <n v="240"/>
    <m/>
    <n v="4300021652"/>
    <m/>
    <m/>
    <s v="TRLU 021564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A"/>
    <n v="5405"/>
    <n v="240"/>
    <m/>
    <n v="4300021652"/>
    <m/>
    <m/>
    <s v="TRLU 021626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B"/>
    <n v="5405"/>
    <n v="240"/>
    <m/>
    <n v="4300021652"/>
    <m/>
    <m/>
    <s v="TRLU 021741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C"/>
    <n v="5405"/>
    <n v="240"/>
    <m/>
    <n v="4300021652"/>
    <m/>
    <m/>
    <s v="TRLU 021805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D"/>
    <n v="5405"/>
    <n v="240"/>
    <m/>
    <n v="4300021652"/>
    <m/>
    <m/>
    <s v="TRLU 021881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E"/>
    <n v="5405"/>
    <n v="240"/>
    <m/>
    <n v="4300021652"/>
    <m/>
    <m/>
    <s v="TRLU 021882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F"/>
    <n v="5405"/>
    <n v="240"/>
    <m/>
    <n v="4300021652"/>
    <m/>
    <m/>
    <s v="TRLU 021884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G"/>
    <n v="5405"/>
    <n v="240"/>
    <m/>
    <n v="4300021652"/>
    <m/>
    <m/>
    <s v="TRLU 021886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H"/>
    <n v="5405"/>
    <n v="240"/>
    <m/>
    <n v="4300021652"/>
    <m/>
    <m/>
    <s v="TRLU 021903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I"/>
    <n v="5405"/>
    <n v="240"/>
    <m/>
    <n v="4300021652"/>
    <m/>
    <m/>
    <s v="TRLU 021909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J"/>
    <n v="5405"/>
    <n v="240"/>
    <m/>
    <n v="4300021652"/>
    <m/>
    <m/>
    <s v="TRLU 021911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K"/>
    <n v="5405"/>
    <n v="240"/>
    <m/>
    <n v="4300021652"/>
    <m/>
    <m/>
    <s v="TRLU 021945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L"/>
    <n v="5405"/>
    <n v="240"/>
    <m/>
    <n v="4300021652"/>
    <m/>
    <m/>
    <s v="TRLU 022018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M"/>
    <n v="5405"/>
    <n v="240"/>
    <m/>
    <n v="4300021652"/>
    <m/>
    <m/>
    <s v="TRLU 022022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N"/>
    <n v="5405"/>
    <n v="240"/>
    <m/>
    <n v="4300021652"/>
    <m/>
    <m/>
    <s v="TRLU 022035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O"/>
    <n v="5405"/>
    <n v="240"/>
    <m/>
    <n v="4300021652"/>
    <m/>
    <m/>
    <s v="TRLU 024027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P"/>
    <n v="5405"/>
    <n v="240"/>
    <m/>
    <n v="4300021652"/>
    <m/>
    <m/>
    <s v="TRLU 026907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Q"/>
    <n v="5405"/>
    <n v="240"/>
    <m/>
    <n v="4300021652"/>
    <m/>
    <m/>
    <s v="TRLU 026910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R"/>
    <n v="5405"/>
    <n v="240"/>
    <m/>
    <n v="4300021652"/>
    <m/>
    <m/>
    <s v="TRLU 027173-5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S"/>
    <n v="5405"/>
    <n v="240"/>
    <m/>
    <n v="4300021652"/>
    <m/>
    <m/>
    <s v="TRLU 050562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T"/>
    <n v="5405"/>
    <n v="486"/>
    <m/>
    <n v="4300021652"/>
    <m/>
    <m/>
    <s v="TRLU 830034-1"/>
    <s v="Rental"/>
    <x v="9"/>
    <d v="2018-07-01T00:00:00"/>
    <d v="2018-06-28T00:00:00"/>
    <m/>
    <m/>
    <n v="486"/>
    <s v="Less than 30 days"/>
    <s v="BCOXT"/>
    <x v="1"/>
    <s v="Invoice"/>
  </r>
  <r>
    <x v="20"/>
    <s v="PO"/>
    <s v="GU"/>
    <n v="5405"/>
    <n v="240"/>
    <m/>
    <n v="4300021652"/>
    <m/>
    <m/>
    <s v="USPU 121314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V"/>
    <n v="5405"/>
    <n v="240"/>
    <m/>
    <n v="4300021652"/>
    <m/>
    <m/>
    <s v="USPU 122054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W"/>
    <n v="5405"/>
    <n v="240"/>
    <m/>
    <n v="4300021652"/>
    <m/>
    <m/>
    <s v="USPU 122448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X"/>
    <n v="5405"/>
    <n v="240"/>
    <m/>
    <n v="4300021652"/>
    <m/>
    <m/>
    <s v="USPU 122485-9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Y"/>
    <n v="5405"/>
    <n v="240"/>
    <m/>
    <n v="4300021652"/>
    <m/>
    <m/>
    <s v="USPU 122501-1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GZ"/>
    <n v="5405"/>
    <n v="240"/>
    <m/>
    <n v="4300021652"/>
    <m/>
    <m/>
    <s v="USPU 122783-7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A"/>
    <n v="5405"/>
    <n v="240"/>
    <m/>
    <n v="4300021652"/>
    <m/>
    <m/>
    <s v="USPU 124136-8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B"/>
    <n v="5405"/>
    <n v="240"/>
    <m/>
    <n v="4300021652"/>
    <m/>
    <m/>
    <s v="USPU 124144-0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C"/>
    <n v="5405"/>
    <n v="240"/>
    <m/>
    <n v="4300021652"/>
    <m/>
    <m/>
    <s v="USPU 124504-4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D"/>
    <n v="5405"/>
    <n v="240"/>
    <m/>
    <n v="4300021652"/>
    <m/>
    <m/>
    <s v="USPU 124608-2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E"/>
    <n v="5405"/>
    <n v="240"/>
    <m/>
    <n v="4300021652"/>
    <m/>
    <m/>
    <s v="USPU 124667-3"/>
    <s v="Rental"/>
    <x v="9"/>
    <d v="2018-07-01T00:00:00"/>
    <d v="2018-06-28T00:00:00"/>
    <m/>
    <m/>
    <n v="240"/>
    <s v="Less than 30 days"/>
    <s v="BCOXT"/>
    <x v="1"/>
    <s v="Invoice"/>
  </r>
  <r>
    <x v="20"/>
    <s v="PO"/>
    <s v="HF"/>
    <n v="5405"/>
    <n v="240"/>
    <m/>
    <n v="4300021652"/>
    <m/>
    <m/>
    <s v="USPU 124789-6"/>
    <s v="Rental"/>
    <x v="9"/>
    <d v="2018-07-01T00:00:00"/>
    <d v="2018-06-28T00:00:00"/>
    <m/>
    <m/>
    <n v="240"/>
    <s v="Less than 30 days"/>
    <s v="BCOXT"/>
    <x v="1"/>
    <s v="Invoice"/>
  </r>
  <r>
    <x v="21"/>
    <s v="PO"/>
    <m/>
    <s v="Brazil"/>
    <n v="1164"/>
    <m/>
    <n v="4320249581"/>
    <m/>
    <m/>
    <s v="Various"/>
    <s v="Rental"/>
    <x v="9"/>
    <d v="2018-07-01T00:00:00"/>
    <d v="2018-06-28T00:00:00"/>
    <m/>
    <m/>
    <n v="1164"/>
    <s v="Less than 30 days"/>
    <s v="BCOXT"/>
    <x v="1"/>
    <s v="Invoice"/>
  </r>
  <r>
    <x v="22"/>
    <s v="PO"/>
    <m/>
    <s v="Brazil"/>
    <n v="1202.8"/>
    <m/>
    <n v="4320249581"/>
    <m/>
    <m/>
    <s v="Various"/>
    <s v="Rental"/>
    <x v="10"/>
    <d v="2018-07-31T00:00:00"/>
    <d v="2018-07-20T00:00:00"/>
    <m/>
    <m/>
    <n v="1202.8"/>
    <s v="Less than 30 days"/>
    <s v="BCOXT"/>
    <x v="1"/>
    <s v="Invoic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x v="0"/>
    <s v="PO"/>
    <m/>
    <n v="16"/>
    <n v="14000"/>
    <m/>
    <s v="380303751-2"/>
    <m/>
    <m/>
    <s v="USPU1212354"/>
    <s v="RV Invoice"/>
    <x v="0"/>
    <d v="2018-01-20T00:00:00"/>
    <m/>
    <n v="14000"/>
    <d v="2018-05-21T00:00:00"/>
    <n v="0"/>
    <s v="More than 60 days"/>
    <s v="DAGXX"/>
    <x v="0"/>
    <s v="DV"/>
  </r>
  <r>
    <x v="1"/>
    <m/>
    <m/>
    <m/>
    <n v="294848.59999999998"/>
    <m/>
    <m/>
    <m/>
    <m/>
    <m/>
    <m/>
    <x v="1"/>
    <d v="2017-12-01T00:00:00"/>
    <m/>
    <n v="294848.59999999998"/>
    <d v="2018-05-25T00:00:00"/>
    <n v="0"/>
    <s v="More than 60 days"/>
    <s v="DAGXX"/>
    <x v="0"/>
    <s v="Invoice"/>
  </r>
  <r>
    <x v="2"/>
    <s v="PO"/>
    <s v="A"/>
    <n v="16"/>
    <n v="21770.99"/>
    <m/>
    <n v="4380323209"/>
    <m/>
    <m/>
    <s v="Multiple"/>
    <s v="Rental"/>
    <x v="2"/>
    <d v="2018-01-31T00:00:00"/>
    <m/>
    <n v="21770.99"/>
    <d v="2018-07-05T00:00:00"/>
    <n v="0"/>
    <s v="More than 60 days"/>
    <s v="DAGXX"/>
    <x v="0"/>
    <s v="Invoice"/>
  </r>
  <r>
    <x v="3"/>
    <s v="PO"/>
    <s v="A"/>
    <n v="16"/>
    <n v="19664.12"/>
    <m/>
    <n v="4380323209"/>
    <m/>
    <m/>
    <s v="Multiple"/>
    <s v="Rental"/>
    <x v="3"/>
    <d v="2018-03-03T00:00:00"/>
    <d v="2018-06-15T00:00:00"/>
    <n v="19664.12"/>
    <d v="2018-07-05T00:00:00"/>
    <n v="0"/>
    <s v="More than 60 days"/>
    <s v="DAGXX"/>
    <x v="0"/>
    <s v="Invoice"/>
  </r>
  <r>
    <x v="3"/>
    <s v="PO"/>
    <s v="V"/>
    <n v="16"/>
    <n v="5516"/>
    <m/>
    <n v="4380326608"/>
    <m/>
    <m/>
    <s v="Multiple"/>
    <s v="Rental"/>
    <x v="3"/>
    <d v="2018-03-03T00:00:00"/>
    <d v="2018-06-15T00:00:00"/>
    <n v="5516"/>
    <d v="2018-03-15T00:00:00"/>
    <n v="0"/>
    <s v="More than 60 days"/>
    <s v="DAGXX"/>
    <x v="0"/>
    <s v="Invoice"/>
  </r>
  <r>
    <x v="4"/>
    <m/>
    <m/>
    <n v="16"/>
    <n v="2100"/>
    <m/>
    <m/>
    <m/>
    <m/>
    <m/>
    <m/>
    <x v="4"/>
    <d v="2018-05-01T00:00:00"/>
    <m/>
    <n v="2100"/>
    <d v="2018-05-09T00:00:00"/>
    <n v="0"/>
    <s v="More than 60 days"/>
    <s v="DAGXX"/>
    <x v="0"/>
    <s v="Invoice"/>
  </r>
  <r>
    <x v="5"/>
    <s v="PO"/>
    <s v="A"/>
    <n v="16"/>
    <n v="21068.699999999997"/>
    <m/>
    <n v="4380323209"/>
    <m/>
    <m/>
    <m/>
    <s v="Rental"/>
    <x v="4"/>
    <d v="2018-05-01T00:00:00"/>
    <d v="2018-04-30T00:00:00"/>
    <n v="21068.7"/>
    <d v="2018-05-14T00:00:00"/>
    <n v="0"/>
    <s v="More than 60 days"/>
    <s v="DAGXX"/>
    <x v="0"/>
    <s v="Invoice"/>
  </r>
  <r>
    <x v="5"/>
    <s v="PO"/>
    <s v="B"/>
    <n v="16"/>
    <n v="24563.099999999988"/>
    <m/>
    <n v="4380323210"/>
    <m/>
    <m/>
    <m/>
    <s v="Rental"/>
    <x v="4"/>
    <d v="2018-05-01T00:00:00"/>
    <d v="2018-04-30T00:00:00"/>
    <n v="24563.1"/>
    <d v="2018-05-14T00:00:00"/>
    <n v="0"/>
    <s v="More than 60 days"/>
    <s v="DAGXX"/>
    <x v="0"/>
    <s v="Invoice"/>
  </r>
  <r>
    <x v="5"/>
    <s v="PO"/>
    <s v="C"/>
    <n v="16"/>
    <n v="172.5"/>
    <m/>
    <n v="4380323842"/>
    <m/>
    <m/>
    <m/>
    <s v="Rental"/>
    <x v="4"/>
    <d v="2018-05-01T00:00:00"/>
    <d v="2018-04-30T00:00:00"/>
    <n v="172.5"/>
    <d v="2018-05-14T00:00:00"/>
    <n v="0"/>
    <s v="More than 60 days"/>
    <s v="DAGXX"/>
    <x v="0"/>
    <s v="Invoice"/>
  </r>
  <r>
    <x v="5"/>
    <s v="PO"/>
    <s v="D"/>
    <n v="16"/>
    <n v="11597.699999999997"/>
    <m/>
    <n v="4380323852"/>
    <m/>
    <m/>
    <m/>
    <s v="Rental"/>
    <x v="4"/>
    <d v="2018-05-01T00:00:00"/>
    <d v="2018-04-30T00:00:00"/>
    <n v="11597.7"/>
    <d v="2018-05-14T00:00:00"/>
    <n v="0"/>
    <s v="More than 60 days"/>
    <s v="DAGXX"/>
    <x v="0"/>
    <s v="Invoice"/>
  </r>
  <r>
    <x v="5"/>
    <s v="PO"/>
    <s v="E"/>
    <n v="16"/>
    <n v="1140"/>
    <m/>
    <n v="4380323855"/>
    <m/>
    <m/>
    <m/>
    <s v="Rental"/>
    <x v="4"/>
    <d v="2018-05-01T00:00:00"/>
    <d v="2018-04-30T00:00:00"/>
    <n v="1140"/>
    <d v="2018-05-14T00:00:00"/>
    <n v="0"/>
    <s v="More than 60 days"/>
    <s v="DAGXX"/>
    <x v="0"/>
    <s v="Invoice"/>
  </r>
  <r>
    <x v="5"/>
    <s v="PO"/>
    <s v="F"/>
    <n v="16"/>
    <n v="6900"/>
    <m/>
    <n v="4380323858"/>
    <m/>
    <m/>
    <m/>
    <s v="Rental"/>
    <x v="4"/>
    <d v="2018-05-01T00:00:00"/>
    <d v="2018-04-30T00:00:00"/>
    <n v="6900"/>
    <d v="2018-05-14T00:00:00"/>
    <n v="0"/>
    <s v="More than 60 days"/>
    <s v="DAGXX"/>
    <x v="0"/>
    <s v="Invoice"/>
  </r>
  <r>
    <x v="5"/>
    <s v="PO"/>
    <s v="G"/>
    <n v="16"/>
    <n v="517.5"/>
    <m/>
    <n v="4380323859"/>
    <m/>
    <m/>
    <m/>
    <s v="Rental"/>
    <x v="4"/>
    <d v="2018-05-01T00:00:00"/>
    <d v="2018-04-30T00:00:00"/>
    <n v="517.5"/>
    <d v="2018-05-14T00:00:00"/>
    <n v="0"/>
    <s v="More than 60 days"/>
    <s v="DAGXX"/>
    <x v="0"/>
    <s v="Invoice"/>
  </r>
  <r>
    <x v="5"/>
    <s v="PO"/>
    <s v="H"/>
    <n v="16"/>
    <n v="1935"/>
    <m/>
    <n v="4380323860"/>
    <m/>
    <m/>
    <m/>
    <s v="Rental"/>
    <x v="4"/>
    <d v="2018-05-01T00:00:00"/>
    <d v="2018-04-30T00:00:00"/>
    <n v="1935"/>
    <d v="2018-05-14T00:00:00"/>
    <n v="0"/>
    <s v="More than 60 days"/>
    <s v="DAGXX"/>
    <x v="0"/>
    <s v="Invoice"/>
  </r>
  <r>
    <x v="5"/>
    <s v="PO"/>
    <s v="I"/>
    <n v="16"/>
    <n v="18160.800000000003"/>
    <m/>
    <n v="4380323861"/>
    <m/>
    <m/>
    <m/>
    <s v="Rental"/>
    <x v="4"/>
    <d v="2018-05-01T00:00:00"/>
    <d v="2018-04-30T00:00:00"/>
    <n v="18160.8"/>
    <d v="2018-05-14T00:00:00"/>
    <n v="0"/>
    <s v="More than 60 days"/>
    <s v="DAGXX"/>
    <x v="0"/>
    <s v="Invoice"/>
  </r>
  <r>
    <x v="5"/>
    <s v="PO"/>
    <s v="J"/>
    <n v="16"/>
    <n v="8580"/>
    <m/>
    <n v="4380323862"/>
    <m/>
    <m/>
    <m/>
    <s v="Rental"/>
    <x v="4"/>
    <d v="2018-05-01T00:00:00"/>
    <d v="2018-04-30T00:00:00"/>
    <n v="8580"/>
    <d v="2018-05-14T00:00:00"/>
    <n v="0"/>
    <s v="More than 60 days"/>
    <s v="DAGXX"/>
    <x v="0"/>
    <s v="Invoice"/>
  </r>
  <r>
    <x v="5"/>
    <s v="PO"/>
    <s v="K"/>
    <n v="16"/>
    <n v="8122.5"/>
    <m/>
    <n v="4380323863"/>
    <m/>
    <m/>
    <m/>
    <s v="Rental"/>
    <x v="4"/>
    <d v="2018-05-01T00:00:00"/>
    <d v="2018-04-30T00:00:00"/>
    <n v="8122.5"/>
    <d v="2018-05-14T00:00:00"/>
    <n v="0"/>
    <s v="More than 60 days"/>
    <s v="DAGXX"/>
    <x v="0"/>
    <s v="Invoice"/>
  </r>
  <r>
    <x v="5"/>
    <s v="PO"/>
    <s v="L"/>
    <n v="16"/>
    <n v="3000"/>
    <m/>
    <n v="4380323864"/>
    <m/>
    <m/>
    <m/>
    <s v="Rental"/>
    <x v="4"/>
    <d v="2018-05-01T00:00:00"/>
    <d v="2018-04-30T00:00:00"/>
    <n v="3000"/>
    <d v="2018-05-14T00:00:00"/>
    <n v="0"/>
    <s v="More than 60 days"/>
    <s v="DAGXX"/>
    <x v="0"/>
    <s v="Invoice"/>
  </r>
  <r>
    <x v="5"/>
    <s v="PO"/>
    <s v="M"/>
    <n v="16"/>
    <n v="862.5"/>
    <m/>
    <n v="4380323865"/>
    <m/>
    <m/>
    <m/>
    <s v="Rental"/>
    <x v="4"/>
    <d v="2018-05-01T00:00:00"/>
    <d v="2018-04-30T00:00:00"/>
    <n v="862.5"/>
    <d v="2018-05-14T00:00:00"/>
    <n v="0"/>
    <s v="More than 60 days"/>
    <s v="DAGXX"/>
    <x v="0"/>
    <s v="Invoice"/>
  </r>
  <r>
    <x v="5"/>
    <s v="PO"/>
    <s v="N"/>
    <n v="16"/>
    <n v="7245"/>
    <m/>
    <n v="4380323867"/>
    <m/>
    <m/>
    <m/>
    <s v="Rental"/>
    <x v="4"/>
    <d v="2018-05-01T00:00:00"/>
    <d v="2018-04-30T00:00:00"/>
    <n v="7245"/>
    <d v="2018-05-14T00:00:00"/>
    <n v="0"/>
    <s v="More than 60 days"/>
    <s v="DAGXX"/>
    <x v="0"/>
    <s v="Invoice"/>
  </r>
  <r>
    <x v="5"/>
    <s v="PO"/>
    <s v="O"/>
    <n v="16"/>
    <n v="21823.5"/>
    <m/>
    <n v="4380323875"/>
    <m/>
    <m/>
    <m/>
    <s v="Rental"/>
    <x v="4"/>
    <d v="2018-05-01T00:00:00"/>
    <d v="2018-04-30T00:00:00"/>
    <n v="21823.5"/>
    <d v="2018-05-14T00:00:00"/>
    <n v="0"/>
    <s v="More than 60 days"/>
    <s v="DAGXX"/>
    <x v="0"/>
    <s v="Invoice"/>
  </r>
  <r>
    <x v="5"/>
    <s v="PO"/>
    <s v="P"/>
    <n v="16"/>
    <n v="870"/>
    <m/>
    <n v="4380323881"/>
    <m/>
    <m/>
    <m/>
    <s v="Rental"/>
    <x v="4"/>
    <d v="2018-05-01T00:00:00"/>
    <d v="2018-04-30T00:00:00"/>
    <n v="870"/>
    <d v="2018-05-14T00:00:00"/>
    <n v="0"/>
    <s v="More than 60 days"/>
    <s v="DAGXX"/>
    <x v="0"/>
    <s v="Invoice"/>
  </r>
  <r>
    <x v="5"/>
    <s v="PO"/>
    <s v="Q"/>
    <n v="16"/>
    <n v="2037"/>
    <m/>
    <n v="4380323887"/>
    <m/>
    <m/>
    <m/>
    <s v="Rental"/>
    <x v="4"/>
    <d v="2018-05-01T00:00:00"/>
    <d v="2018-04-30T00:00:00"/>
    <n v="2037"/>
    <d v="2018-05-14T00:00:00"/>
    <n v="0"/>
    <s v="More than 60 days"/>
    <s v="DAGXX"/>
    <x v="0"/>
    <s v="Invoice"/>
  </r>
  <r>
    <x v="5"/>
    <s v="PO"/>
    <s v="R"/>
    <n v="16"/>
    <n v="23963.999999999989"/>
    <m/>
    <n v="4380326207"/>
    <m/>
    <m/>
    <m/>
    <s v="Rental"/>
    <x v="4"/>
    <d v="2018-05-01T00:00:00"/>
    <d v="2018-04-30T00:00:00"/>
    <n v="23964"/>
    <d v="2018-05-14T00:00:00"/>
    <n v="0"/>
    <s v="More than 60 days"/>
    <s v="DAGXX"/>
    <x v="0"/>
    <s v="Invoice"/>
  </r>
  <r>
    <x v="5"/>
    <s v="PO"/>
    <s v="S"/>
    <n v="16"/>
    <n v="24563.099999999988"/>
    <m/>
    <n v="4380326353"/>
    <m/>
    <m/>
    <m/>
    <s v="Rental"/>
    <x v="4"/>
    <d v="2018-05-01T00:00:00"/>
    <d v="2018-04-30T00:00:00"/>
    <n v="24563.1"/>
    <d v="2018-05-14T00:00:00"/>
    <n v="0"/>
    <s v="More than 60 days"/>
    <s v="DAGXX"/>
    <x v="0"/>
    <s v="Invoice"/>
  </r>
  <r>
    <x v="5"/>
    <s v="PO"/>
    <s v="T"/>
    <n v="16"/>
    <n v="3072"/>
    <m/>
    <n v="4380326354"/>
    <m/>
    <m/>
    <m/>
    <s v="Rental"/>
    <x v="4"/>
    <d v="2018-05-01T00:00:00"/>
    <d v="2018-04-30T00:00:00"/>
    <n v="3072"/>
    <d v="2018-05-14T00:00:00"/>
    <n v="0"/>
    <s v="More than 60 days"/>
    <s v="DAGXX"/>
    <x v="0"/>
    <s v="Invoice"/>
  </r>
  <r>
    <x v="5"/>
    <s v="PO"/>
    <s v="U"/>
    <n v="16"/>
    <n v="4457.3999999999996"/>
    <m/>
    <n v="4380326359"/>
    <m/>
    <m/>
    <m/>
    <s v="Rental"/>
    <x v="4"/>
    <d v="2018-05-01T00:00:00"/>
    <d v="2018-04-30T00:00:00"/>
    <n v="4457.3999999999996"/>
    <d v="2018-05-14T00:00:00"/>
    <n v="0"/>
    <s v="More than 60 days"/>
    <s v="DAGXX"/>
    <x v="0"/>
    <s v="Invoice"/>
  </r>
  <r>
    <x v="5"/>
    <s v="PO"/>
    <s v="V"/>
    <n v="16"/>
    <n v="6360"/>
    <m/>
    <n v="4380326608"/>
    <m/>
    <m/>
    <m/>
    <s v="Rental and Fees"/>
    <x v="4"/>
    <d v="2018-05-01T00:00:00"/>
    <d v="2018-04-30T00:00:00"/>
    <n v="6360"/>
    <d v="2018-05-17T00:00:00"/>
    <n v="0"/>
    <s v="More than 60 days"/>
    <s v="DAGXX"/>
    <x v="0"/>
    <s v="Invoice"/>
  </r>
  <r>
    <x v="5"/>
    <s v="PO"/>
    <s v="W"/>
    <n v="16"/>
    <n v="27000"/>
    <m/>
    <n v="4380326616"/>
    <m/>
    <m/>
    <m/>
    <s v="Rental"/>
    <x v="4"/>
    <d v="2018-05-01T00:00:00"/>
    <d v="2018-04-30T00:00:00"/>
    <n v="27000"/>
    <d v="2018-05-14T00:00:00"/>
    <n v="0"/>
    <s v="More than 60 days"/>
    <s v="DAGXX"/>
    <x v="0"/>
    <s v="Invoice"/>
  </r>
  <r>
    <x v="6"/>
    <m/>
    <m/>
    <n v="16"/>
    <n v="1725"/>
    <m/>
    <m/>
    <m/>
    <m/>
    <m/>
    <m/>
    <x v="4"/>
    <d v="2018-05-01T00:00:00"/>
    <m/>
    <n v="1725"/>
    <d v="2018-05-25T00:00:00"/>
    <n v="0"/>
    <s v="More than 60 days"/>
    <s v="DAGXX"/>
    <x v="0"/>
    <s v="Invoice"/>
  </r>
  <r>
    <x v="7"/>
    <s v="Switzerland"/>
    <m/>
    <m/>
    <n v="2170"/>
    <m/>
    <n v="4380326341"/>
    <m/>
    <m/>
    <s v="Multiple"/>
    <s v="Rental"/>
    <x v="5"/>
    <d v="2018-05-31T00:00:00"/>
    <d v="2018-05-31T00:00:00"/>
    <n v="2170"/>
    <d v="2018-06-11T00:00:00"/>
    <n v="0"/>
    <s v="30-60 days"/>
    <s v="DAGXX"/>
    <x v="0"/>
    <s v="Invoice"/>
  </r>
  <r>
    <x v="8"/>
    <s v="PO"/>
    <s v="A"/>
    <n v="16"/>
    <n v="21770.99"/>
    <m/>
    <n v="4380323209"/>
    <m/>
    <m/>
    <s v="Multiple"/>
    <s v="Rental"/>
    <x v="5"/>
    <d v="2018-05-31T00:00:00"/>
    <d v="2018-05-30T00:00:00"/>
    <n v="21770.99"/>
    <d v="2018-06-11T00:00:00"/>
    <n v="0"/>
    <s v="30-60 days"/>
    <s v="DAGXX"/>
    <x v="0"/>
    <s v="Invoice"/>
  </r>
  <r>
    <x v="8"/>
    <s v="PO"/>
    <s v="B"/>
    <n v="16"/>
    <n v="25381.87"/>
    <m/>
    <n v="4380323210"/>
    <m/>
    <m/>
    <s v="Multiple"/>
    <s v="Rental"/>
    <x v="5"/>
    <d v="2018-05-31T00:00:00"/>
    <d v="2018-05-30T00:00:00"/>
    <n v="25381.87"/>
    <d v="2018-06-11T00:00:00"/>
    <n v="0"/>
    <s v="30-60 days"/>
    <s v="DAGXX"/>
    <x v="0"/>
    <s v="Invoice"/>
  </r>
  <r>
    <x v="8"/>
    <s v="PO"/>
    <s v="C"/>
    <n v="16"/>
    <n v="178.25"/>
    <m/>
    <n v="4380323842"/>
    <m/>
    <m/>
    <s v="Multiple"/>
    <s v="Rental"/>
    <x v="5"/>
    <d v="2018-05-31T00:00:00"/>
    <d v="2018-05-30T00:00:00"/>
    <n v="178.25"/>
    <d v="2018-06-11T00:00:00"/>
    <n v="0"/>
    <s v="30-60 days"/>
    <s v="DAGXX"/>
    <x v="0"/>
    <s v="Invoice"/>
  </r>
  <r>
    <x v="8"/>
    <s v="PO"/>
    <s v="D"/>
    <n v="16"/>
    <n v="11984.29"/>
    <m/>
    <n v="4380323852"/>
    <m/>
    <m/>
    <s v="Multiple"/>
    <s v="Rental"/>
    <x v="5"/>
    <d v="2018-05-31T00:00:00"/>
    <d v="2018-05-30T00:00:00"/>
    <n v="11984.29"/>
    <d v="2018-06-11T00:00:00"/>
    <n v="0"/>
    <s v="30-60 days"/>
    <s v="DAGXX"/>
    <x v="0"/>
    <s v="Invoice"/>
  </r>
  <r>
    <x v="8"/>
    <s v="PO"/>
    <s v="E"/>
    <n v="16"/>
    <n v="1178"/>
    <m/>
    <n v="4380323855"/>
    <m/>
    <m/>
    <s v="Multiple"/>
    <s v="Rental"/>
    <x v="5"/>
    <d v="2018-05-31T00:00:00"/>
    <d v="2018-05-30T00:00:00"/>
    <n v="1178"/>
    <d v="2018-06-11T00:00:00"/>
    <n v="0"/>
    <s v="30-60 days"/>
    <s v="DAGXX"/>
    <x v="0"/>
    <s v="Invoice"/>
  </r>
  <r>
    <x v="8"/>
    <s v="PO"/>
    <s v="F"/>
    <n v="16"/>
    <n v="7130"/>
    <m/>
    <n v="4380323858"/>
    <m/>
    <m/>
    <s v="Multiple"/>
    <s v="Rental"/>
    <x v="5"/>
    <d v="2018-05-31T00:00:00"/>
    <d v="2018-05-30T00:00:00"/>
    <n v="7130"/>
    <d v="2018-06-11T00:00:00"/>
    <n v="0"/>
    <s v="30-60 days"/>
    <s v="DAGXX"/>
    <x v="0"/>
    <s v="Invoice"/>
  </r>
  <r>
    <x v="8"/>
    <s v="PO"/>
    <s v="G"/>
    <n v="16"/>
    <n v="534.75"/>
    <m/>
    <n v="4380323859"/>
    <m/>
    <m/>
    <s v="Multiple"/>
    <s v="Rental"/>
    <x v="5"/>
    <d v="2018-05-31T00:00:00"/>
    <d v="2018-05-30T00:00:00"/>
    <n v="534.75"/>
    <d v="2018-06-11T00:00:00"/>
    <n v="0"/>
    <s v="30-60 days"/>
    <s v="DAGXX"/>
    <x v="0"/>
    <s v="Invoice"/>
  </r>
  <r>
    <x v="8"/>
    <s v="PO"/>
    <s v="H"/>
    <n v="16"/>
    <n v="1999.5"/>
    <m/>
    <n v="4380323860"/>
    <m/>
    <m/>
    <s v="Multiple"/>
    <s v="Rental"/>
    <x v="5"/>
    <d v="2018-05-31T00:00:00"/>
    <d v="2018-05-30T00:00:00"/>
    <n v="1999.5"/>
    <d v="2018-06-11T00:00:00"/>
    <n v="0"/>
    <s v="30-60 days"/>
    <s v="DAGXX"/>
    <x v="0"/>
    <s v="Invoice"/>
  </r>
  <r>
    <x v="8"/>
    <s v="PO"/>
    <s v="I"/>
    <n v="16"/>
    <n v="18766.16"/>
    <m/>
    <n v="4380323861"/>
    <m/>
    <m/>
    <s v="Multiple"/>
    <s v="Rental"/>
    <x v="5"/>
    <d v="2018-05-31T00:00:00"/>
    <d v="2018-05-30T00:00:00"/>
    <n v="18766.16"/>
    <d v="2018-06-11T00:00:00"/>
    <n v="0"/>
    <s v="30-60 days"/>
    <s v="DAGXX"/>
    <x v="0"/>
    <s v="Invoice"/>
  </r>
  <r>
    <x v="8"/>
    <s v="PO"/>
    <s v="J"/>
    <n v="16"/>
    <n v="8866"/>
    <m/>
    <n v="4380323862"/>
    <m/>
    <m/>
    <s v="Multiple"/>
    <s v="Rental"/>
    <x v="5"/>
    <d v="2018-05-31T00:00:00"/>
    <d v="2018-05-30T00:00:00"/>
    <n v="8866"/>
    <d v="2018-06-11T00:00:00"/>
    <n v="0"/>
    <s v="30-60 days"/>
    <s v="DAGXX"/>
    <x v="0"/>
    <s v="Invoice"/>
  </r>
  <r>
    <x v="8"/>
    <s v="PO"/>
    <s v="K"/>
    <n v="16"/>
    <n v="8393.25"/>
    <m/>
    <n v="4380323863"/>
    <m/>
    <m/>
    <s v="Multiple"/>
    <s v="Rental"/>
    <x v="5"/>
    <d v="2018-05-31T00:00:00"/>
    <d v="2018-05-30T00:00:00"/>
    <n v="8393.25"/>
    <d v="2018-06-11T00:00:00"/>
    <n v="0"/>
    <s v="30-60 days"/>
    <s v="DAGXX"/>
    <x v="0"/>
    <s v="Invoice"/>
  </r>
  <r>
    <x v="8"/>
    <s v="PO"/>
    <s v="L"/>
    <n v="16"/>
    <n v="3100"/>
    <m/>
    <n v="4380323864"/>
    <m/>
    <m/>
    <s v="Multiple"/>
    <s v="Rental"/>
    <x v="5"/>
    <d v="2018-05-31T00:00:00"/>
    <d v="2018-05-30T00:00:00"/>
    <n v="3100"/>
    <d v="2018-06-11T00:00:00"/>
    <n v="0"/>
    <s v="30-60 days"/>
    <s v="DAGXX"/>
    <x v="0"/>
    <s v="Invoice"/>
  </r>
  <r>
    <x v="8"/>
    <s v="PO"/>
    <s v="M"/>
    <n v="16"/>
    <n v="891.25"/>
    <m/>
    <n v="4380323865"/>
    <m/>
    <m/>
    <s v="Multiple"/>
    <s v="Rental"/>
    <x v="5"/>
    <d v="2018-05-31T00:00:00"/>
    <d v="2018-05-30T00:00:00"/>
    <n v="891.25"/>
    <d v="2018-06-11T00:00:00"/>
    <n v="0"/>
    <s v="30-60 days"/>
    <s v="DAGXX"/>
    <x v="0"/>
    <s v="Invoice"/>
  </r>
  <r>
    <x v="8"/>
    <s v="PO"/>
    <s v="N"/>
    <n v="16"/>
    <n v="7486.5"/>
    <m/>
    <n v="4380323867"/>
    <m/>
    <m/>
    <s v="Multiple"/>
    <s v="Rental"/>
    <x v="5"/>
    <d v="2018-05-31T00:00:00"/>
    <d v="2018-05-30T00:00:00"/>
    <n v="7486.5"/>
    <d v="2018-06-11T00:00:00"/>
    <n v="0"/>
    <s v="30-60 days"/>
    <s v="DAGXX"/>
    <x v="0"/>
    <s v="Invoice"/>
  </r>
  <r>
    <x v="8"/>
    <s v="PO"/>
    <s v="O"/>
    <n v="16"/>
    <n v="22550.95"/>
    <m/>
    <n v="4380323875"/>
    <m/>
    <m/>
    <s v="Multiple"/>
    <s v="Rental"/>
    <x v="5"/>
    <d v="2018-05-31T00:00:00"/>
    <d v="2018-05-30T00:00:00"/>
    <n v="22550.95"/>
    <d v="2018-06-11T00:00:00"/>
    <n v="0"/>
    <s v="30-60 days"/>
    <s v="DAGXX"/>
    <x v="0"/>
    <s v="Invoice"/>
  </r>
  <r>
    <x v="8"/>
    <s v="PO"/>
    <s v="P"/>
    <n v="16"/>
    <n v="899"/>
    <m/>
    <n v="4380323881"/>
    <m/>
    <m/>
    <s v="Multiple"/>
    <s v="Rental"/>
    <x v="5"/>
    <d v="2018-05-31T00:00:00"/>
    <d v="2018-05-30T00:00:00"/>
    <n v="899"/>
    <d v="2018-06-11T00:00:00"/>
    <n v="0"/>
    <s v="30-60 days"/>
    <s v="DAGXX"/>
    <x v="0"/>
    <s v="Invoice"/>
  </r>
  <r>
    <x v="8"/>
    <s v="PO"/>
    <s v="Q"/>
    <n v="16"/>
    <n v="2104.9"/>
    <m/>
    <n v="4380323887"/>
    <m/>
    <m/>
    <s v="Multiple"/>
    <s v="Rental"/>
    <x v="5"/>
    <d v="2018-05-31T00:00:00"/>
    <d v="2018-05-30T00:00:00"/>
    <n v="2104.9"/>
    <d v="2018-06-11T00:00:00"/>
    <n v="0"/>
    <s v="30-60 days"/>
    <s v="DAGXX"/>
    <x v="0"/>
    <s v="Invoice"/>
  </r>
  <r>
    <x v="8"/>
    <s v="PO"/>
    <s v="R"/>
    <n v="16"/>
    <n v="24762.799999999999"/>
    <m/>
    <n v="4380326207"/>
    <m/>
    <m/>
    <s v="Multiple"/>
    <s v="Rental"/>
    <x v="5"/>
    <d v="2018-05-31T00:00:00"/>
    <d v="2018-05-30T00:00:00"/>
    <n v="24762.799999999999"/>
    <d v="2018-06-11T00:00:00"/>
    <n v="0"/>
    <s v="30-60 days"/>
    <s v="DAGXX"/>
    <x v="0"/>
    <s v="Invoice"/>
  </r>
  <r>
    <x v="8"/>
    <s v="PO"/>
    <s v="S"/>
    <n v="16"/>
    <n v="25381.87"/>
    <m/>
    <n v="4380326353"/>
    <m/>
    <m/>
    <s v="Multiple"/>
    <s v="Rental"/>
    <x v="5"/>
    <d v="2018-05-31T00:00:00"/>
    <d v="2018-05-30T00:00:00"/>
    <n v="25381.87"/>
    <d v="2018-06-11T00:00:00"/>
    <n v="0"/>
    <s v="30-60 days"/>
    <s v="DAGXX"/>
    <x v="0"/>
    <s v="Invoice"/>
  </r>
  <r>
    <x v="8"/>
    <s v="PO"/>
    <s v="T"/>
    <n v="16"/>
    <n v="3174.4"/>
    <m/>
    <n v="4380326354"/>
    <m/>
    <m/>
    <s v="Multiple"/>
    <s v="Rental"/>
    <x v="5"/>
    <d v="2018-05-31T00:00:00"/>
    <d v="2018-05-30T00:00:00"/>
    <n v="3174.4"/>
    <d v="2018-06-11T00:00:00"/>
    <n v="0"/>
    <s v="30-60 days"/>
    <s v="DAGXX"/>
    <x v="0"/>
    <s v="Invoice"/>
  </r>
  <r>
    <x v="8"/>
    <s v="PO"/>
    <s v="U"/>
    <n v="16"/>
    <n v="4605.9799999999996"/>
    <m/>
    <n v="4380326359"/>
    <m/>
    <m/>
    <s v="Multiple"/>
    <s v="Rental"/>
    <x v="5"/>
    <d v="2018-05-31T00:00:00"/>
    <d v="2018-05-30T00:00:00"/>
    <n v="4605.9799999999996"/>
    <d v="2018-06-11T00:00:00"/>
    <n v="0"/>
    <s v="30-60 days"/>
    <s v="DAGXX"/>
    <x v="0"/>
    <s v="Invoice"/>
  </r>
  <r>
    <x v="8"/>
    <s v="PO"/>
    <s v="V"/>
    <n v="16"/>
    <n v="6572"/>
    <m/>
    <n v="4380326608"/>
    <m/>
    <m/>
    <s v="Multiple"/>
    <s v="Rental"/>
    <x v="5"/>
    <d v="2018-05-31T00:00:00"/>
    <d v="2018-05-30T00:00:00"/>
    <n v="6572"/>
    <d v="2018-06-14T00:00:00"/>
    <n v="0"/>
    <s v="30-60 days"/>
    <s v="DAGXX"/>
    <x v="0"/>
    <s v="Invoice"/>
  </r>
  <r>
    <x v="8"/>
    <s v="PO"/>
    <s v="W"/>
    <n v="16"/>
    <n v="27900"/>
    <m/>
    <n v="4380326616"/>
    <m/>
    <m/>
    <s v="Multiple"/>
    <s v="Rental"/>
    <x v="5"/>
    <d v="2018-05-31T00:00:00"/>
    <d v="2018-05-30T00:00:00"/>
    <n v="27900"/>
    <d v="2018-06-11T00:00:00"/>
    <n v="0"/>
    <s v="30-60 days"/>
    <s v="DAGXX"/>
    <x v="0"/>
    <s v="Invoice"/>
  </r>
  <r>
    <x v="9"/>
    <s v="PO"/>
    <s v="A"/>
    <n v="16"/>
    <n v="21068.7"/>
    <m/>
    <n v="4380323209"/>
    <m/>
    <m/>
    <s v="Multiple"/>
    <s v="Rental"/>
    <x v="6"/>
    <d v="2018-07-01T00:00:00"/>
    <d v="2018-06-28T00:00:00"/>
    <n v="21068.7"/>
    <d v="2018-07-09T00:00:00"/>
    <n v="0"/>
    <s v="Less than 30 days"/>
    <s v="DAGXX"/>
    <x v="0"/>
    <s v="Invoice"/>
  </r>
  <r>
    <x v="9"/>
    <s v="PO"/>
    <s v="B"/>
    <n v="16"/>
    <n v="24563.1"/>
    <m/>
    <n v="4380323210"/>
    <m/>
    <m/>
    <s v="Multiple"/>
    <s v="Rental"/>
    <x v="6"/>
    <d v="2018-07-01T00:00:00"/>
    <d v="2018-06-28T00:00:00"/>
    <n v="24563.1"/>
    <d v="2018-07-09T00:00:00"/>
    <n v="0"/>
    <s v="Less than 30 days"/>
    <s v="DAGXX"/>
    <x v="0"/>
    <s v="Invoice"/>
  </r>
  <r>
    <x v="9"/>
    <s v="PO"/>
    <s v="C"/>
    <n v="16"/>
    <n v="172.5"/>
    <m/>
    <n v="4380323842"/>
    <m/>
    <m/>
    <s v="Multiple"/>
    <s v="Rental"/>
    <x v="6"/>
    <d v="2018-07-01T00:00:00"/>
    <d v="2018-06-28T00:00:00"/>
    <n v="172.5"/>
    <d v="2018-07-09T00:00:00"/>
    <n v="0"/>
    <s v="Less than 30 days"/>
    <s v="DAGXX"/>
    <x v="0"/>
    <s v="Invoice"/>
  </r>
  <r>
    <x v="9"/>
    <s v="PO"/>
    <s v="D"/>
    <n v="16"/>
    <n v="11597.7"/>
    <m/>
    <n v="4380323852"/>
    <m/>
    <m/>
    <s v="Multiple"/>
    <s v="Rental"/>
    <x v="6"/>
    <d v="2018-07-01T00:00:00"/>
    <d v="2018-06-28T00:00:00"/>
    <n v="11597.7"/>
    <d v="2018-07-09T00:00:00"/>
    <n v="0"/>
    <s v="Less than 30 days"/>
    <s v="DAGXX"/>
    <x v="0"/>
    <s v="Invoice"/>
  </r>
  <r>
    <x v="9"/>
    <s v="PO"/>
    <s v="E"/>
    <n v="16"/>
    <n v="1140"/>
    <m/>
    <n v="4380323855"/>
    <m/>
    <m/>
    <s v="Multiple"/>
    <s v="Rental"/>
    <x v="6"/>
    <d v="2018-07-01T00:00:00"/>
    <d v="2018-06-28T00:00:00"/>
    <n v="1140"/>
    <d v="2018-07-09T00:00:00"/>
    <n v="0"/>
    <s v="Less than 30 days"/>
    <s v="DAGXX"/>
    <x v="0"/>
    <s v="Invoice"/>
  </r>
  <r>
    <x v="9"/>
    <s v="PO"/>
    <s v="F"/>
    <n v="16"/>
    <n v="6900"/>
    <m/>
    <n v="4380323858"/>
    <m/>
    <m/>
    <s v="Multiple"/>
    <s v="Rental"/>
    <x v="6"/>
    <d v="2018-07-01T00:00:00"/>
    <d v="2018-06-28T00:00:00"/>
    <n v="6900"/>
    <d v="2018-07-09T00:00:00"/>
    <n v="0"/>
    <s v="Less than 30 days"/>
    <s v="DAGXX"/>
    <x v="0"/>
    <s v="Invoice"/>
  </r>
  <r>
    <x v="9"/>
    <s v="PO"/>
    <s v="G"/>
    <n v="16"/>
    <n v="517.5"/>
    <m/>
    <n v="4380323859"/>
    <m/>
    <m/>
    <s v="Multiple"/>
    <s v="Rental"/>
    <x v="6"/>
    <d v="2018-07-01T00:00:00"/>
    <d v="2018-06-28T00:00:00"/>
    <n v="517.5"/>
    <d v="2018-07-09T00:00:00"/>
    <n v="0"/>
    <s v="Less than 30 days"/>
    <s v="DAGXX"/>
    <x v="0"/>
    <s v="Invoice"/>
  </r>
  <r>
    <x v="9"/>
    <s v="PO"/>
    <s v="H"/>
    <n v="16"/>
    <n v="1935"/>
    <m/>
    <n v="4380323860"/>
    <m/>
    <m/>
    <s v="Multiple"/>
    <s v="Rental"/>
    <x v="6"/>
    <d v="2018-07-01T00:00:00"/>
    <d v="2018-06-28T00:00:00"/>
    <n v="1935"/>
    <d v="2018-07-09T00:00:00"/>
    <n v="0"/>
    <s v="Less than 30 days"/>
    <s v="DAGXX"/>
    <x v="0"/>
    <s v="Invoice"/>
  </r>
  <r>
    <x v="9"/>
    <s v="PO"/>
    <s v="I"/>
    <n v="16"/>
    <n v="18160.8"/>
    <m/>
    <n v="4380323861"/>
    <m/>
    <m/>
    <s v="Multiple"/>
    <s v="Rental"/>
    <x v="6"/>
    <d v="2018-07-01T00:00:00"/>
    <d v="2018-06-28T00:00:00"/>
    <n v="18160.8"/>
    <d v="2018-07-09T00:00:00"/>
    <n v="0"/>
    <s v="Less than 30 days"/>
    <s v="DAGXX"/>
    <x v="0"/>
    <s v="Invoice"/>
  </r>
  <r>
    <x v="9"/>
    <s v="PO"/>
    <s v="J"/>
    <n v="16"/>
    <n v="8580"/>
    <m/>
    <n v="4380323862"/>
    <m/>
    <m/>
    <s v="Multiple"/>
    <s v="Rental"/>
    <x v="6"/>
    <d v="2018-07-01T00:00:00"/>
    <d v="2018-06-28T00:00:00"/>
    <n v="8580"/>
    <d v="2018-07-09T00:00:00"/>
    <n v="0"/>
    <s v="Less than 30 days"/>
    <s v="DAGXX"/>
    <x v="0"/>
    <s v="Invoice"/>
  </r>
  <r>
    <x v="9"/>
    <s v="PO"/>
    <s v="K"/>
    <n v="16"/>
    <n v="8122.5"/>
    <m/>
    <n v="4380323863"/>
    <m/>
    <m/>
    <s v="Multiple"/>
    <s v="Rental"/>
    <x v="6"/>
    <d v="2018-07-01T00:00:00"/>
    <d v="2018-06-28T00:00:00"/>
    <n v="8122.5"/>
    <d v="2018-07-09T00:00:00"/>
    <n v="0"/>
    <s v="Less than 30 days"/>
    <s v="DAGXX"/>
    <x v="0"/>
    <s v="Invoice"/>
  </r>
  <r>
    <x v="9"/>
    <s v="PO"/>
    <s v="L"/>
    <n v="16"/>
    <n v="3000"/>
    <m/>
    <n v="4380323864"/>
    <m/>
    <m/>
    <s v="Multiple"/>
    <s v="Rental"/>
    <x v="6"/>
    <d v="2018-07-01T00:00:00"/>
    <d v="2018-06-28T00:00:00"/>
    <n v="3000"/>
    <d v="2018-07-09T00:00:00"/>
    <n v="0"/>
    <s v="Less than 30 days"/>
    <s v="DAGXX"/>
    <x v="0"/>
    <s v="Invoice"/>
  </r>
  <r>
    <x v="9"/>
    <s v="PO"/>
    <s v="M"/>
    <n v="16"/>
    <n v="862.5"/>
    <m/>
    <n v="4380323865"/>
    <m/>
    <m/>
    <s v="Multiple"/>
    <s v="Rental"/>
    <x v="6"/>
    <d v="2018-07-01T00:00:00"/>
    <d v="2018-06-28T00:00:00"/>
    <n v="862.5"/>
    <d v="2018-07-09T00:00:00"/>
    <n v="0"/>
    <s v="Less than 30 days"/>
    <s v="DAGXX"/>
    <x v="0"/>
    <s v="Invoice"/>
  </r>
  <r>
    <x v="9"/>
    <s v="PO"/>
    <s v="N"/>
    <n v="16"/>
    <n v="7245"/>
    <m/>
    <n v="4380323867"/>
    <m/>
    <m/>
    <s v="Multiple"/>
    <s v="Rental"/>
    <x v="6"/>
    <d v="2018-07-01T00:00:00"/>
    <d v="2018-06-28T00:00:00"/>
    <n v="7245"/>
    <d v="2018-07-09T00:00:00"/>
    <n v="0"/>
    <s v="Less than 30 days"/>
    <s v="DAGXX"/>
    <x v="0"/>
    <s v="Invoice"/>
  </r>
  <r>
    <x v="9"/>
    <s v="PO"/>
    <s v="O"/>
    <n v="16"/>
    <n v="27416.799999999999"/>
    <m/>
    <n v="4380323875"/>
    <m/>
    <m/>
    <s v="Multiple"/>
    <s v="Rental and Fees"/>
    <x v="6"/>
    <d v="2018-07-01T00:00:00"/>
    <d v="2018-06-28T00:00:00"/>
    <n v="27416.799999999999"/>
    <d v="2018-07-09T00:00:00"/>
    <n v="0"/>
    <s v="Less than 30 days"/>
    <s v="DAGXX"/>
    <x v="0"/>
    <s v="Invoice"/>
  </r>
  <r>
    <x v="9"/>
    <s v="PO"/>
    <s v="P"/>
    <n v="16"/>
    <n v="870"/>
    <m/>
    <n v="4380323881"/>
    <m/>
    <m/>
    <s v="Multiple"/>
    <s v="Rental"/>
    <x v="6"/>
    <d v="2018-07-01T00:00:00"/>
    <d v="2018-06-28T00:00:00"/>
    <n v="870"/>
    <d v="2018-07-09T00:00:00"/>
    <n v="0"/>
    <s v="Less than 30 days"/>
    <s v="DAGXX"/>
    <x v="0"/>
    <s v="Invoice"/>
  </r>
  <r>
    <x v="9"/>
    <s v="PO"/>
    <s v="Q"/>
    <n v="16"/>
    <n v="2037"/>
    <m/>
    <n v="4380323887"/>
    <m/>
    <m/>
    <s v="Multiple"/>
    <s v="Rental"/>
    <x v="6"/>
    <d v="2018-07-01T00:00:00"/>
    <d v="2018-06-28T00:00:00"/>
    <n v="2037"/>
    <d v="2018-07-09T00:00:00"/>
    <n v="0"/>
    <s v="Less than 30 days"/>
    <s v="DAGXX"/>
    <x v="0"/>
    <s v="Invoice"/>
  </r>
  <r>
    <x v="9"/>
    <s v="PO"/>
    <s v="R"/>
    <n v="16"/>
    <n v="23964"/>
    <m/>
    <n v="4380326207"/>
    <m/>
    <m/>
    <s v="Multiple"/>
    <s v="Rental"/>
    <x v="6"/>
    <d v="2018-07-01T00:00:00"/>
    <d v="2018-06-28T00:00:00"/>
    <n v="23964"/>
    <d v="2018-07-09T00:00:00"/>
    <n v="0"/>
    <s v="Less than 30 days"/>
    <s v="DAGXX"/>
    <x v="0"/>
    <s v="Invoice"/>
  </r>
  <r>
    <x v="9"/>
    <s v="PO"/>
    <s v="S"/>
    <n v="16"/>
    <n v="24563.1"/>
    <m/>
    <n v="4380326353"/>
    <m/>
    <m/>
    <s v="Multiple"/>
    <s v="Rental"/>
    <x v="6"/>
    <d v="2018-07-01T00:00:00"/>
    <d v="2018-06-28T00:00:00"/>
    <n v="24563.1"/>
    <d v="2018-07-09T00:00:00"/>
    <n v="0"/>
    <s v="Less than 30 days"/>
    <s v="DAGXX"/>
    <x v="0"/>
    <s v="Invoice"/>
  </r>
  <r>
    <x v="9"/>
    <s v="PO"/>
    <s v="T"/>
    <n v="16"/>
    <n v="3072"/>
    <m/>
    <n v="4380326354"/>
    <m/>
    <m/>
    <s v="Multiple"/>
    <s v="Rental"/>
    <x v="6"/>
    <d v="2018-07-01T00:00:00"/>
    <d v="2018-06-28T00:00:00"/>
    <n v="3072"/>
    <d v="2018-07-09T00:00:00"/>
    <n v="0"/>
    <s v="Less than 30 days"/>
    <s v="DAGXX"/>
    <x v="0"/>
    <s v="Invoice"/>
  </r>
  <r>
    <x v="9"/>
    <s v="PO"/>
    <s v="U"/>
    <n v="16"/>
    <n v="4457.3999999999996"/>
    <m/>
    <n v="4380326359"/>
    <m/>
    <m/>
    <s v="Multiple"/>
    <s v="Rental"/>
    <x v="6"/>
    <d v="2018-07-01T00:00:00"/>
    <d v="2018-06-28T00:00:00"/>
    <n v="4457.3999999999996"/>
    <d v="2018-07-09T00:00:00"/>
    <n v="0"/>
    <s v="Less than 30 days"/>
    <s v="DAGXX"/>
    <x v="0"/>
    <s v="Invoice"/>
  </r>
  <r>
    <x v="9"/>
    <s v="PO"/>
    <s v="V"/>
    <n v="16"/>
    <n v="6360"/>
    <m/>
    <n v="4380326608"/>
    <m/>
    <m/>
    <s v="Multiple"/>
    <s v="Rental"/>
    <x v="6"/>
    <d v="2018-07-01T00:00:00"/>
    <d v="2018-06-28T00:00:00"/>
    <n v="6360"/>
    <d v="2018-07-05T00:00:00"/>
    <n v="0"/>
    <s v="Less than 30 days"/>
    <s v="DAGXX"/>
    <x v="0"/>
    <s v="Invoice"/>
  </r>
  <r>
    <x v="9"/>
    <s v="PO"/>
    <s v="W"/>
    <n v="16"/>
    <n v="27000"/>
    <m/>
    <n v="4380326616"/>
    <m/>
    <m/>
    <s v="Multiple"/>
    <s v="Rental"/>
    <x v="6"/>
    <d v="2018-07-01T00:00:00"/>
    <d v="2018-06-28T00:00:00"/>
    <n v="27000"/>
    <d v="2018-07-09T00:00:00"/>
    <n v="0"/>
    <s v="Less than 30 days"/>
    <s v="DAGXX"/>
    <x v="0"/>
    <s v="Invoice"/>
  </r>
  <r>
    <x v="10"/>
    <m/>
    <m/>
    <n v="16"/>
    <n v="16225"/>
    <m/>
    <n v="4380303767"/>
    <m/>
    <m/>
    <s v="EXFU 143879-5"/>
    <s v="Repair"/>
    <x v="7"/>
    <d v="2018-01-19T00:00:00"/>
    <m/>
    <n v="16225"/>
    <d v="2018-06-25T00:00:00"/>
    <n v="0"/>
    <s v="More than 60 days"/>
    <s v="DAGXX"/>
    <x v="0"/>
    <s v="Repair"/>
  </r>
  <r>
    <x v="11"/>
    <m/>
    <m/>
    <n v="16"/>
    <n v="17750"/>
    <m/>
    <n v="4380303767"/>
    <m/>
    <m/>
    <s v="TRLU 027620-7"/>
    <s v="Repair"/>
    <x v="7"/>
    <d v="2018-01-19T00:00:00"/>
    <m/>
    <n v="17750"/>
    <d v="2018-06-25T00:00:00"/>
    <n v="0"/>
    <s v="More than 60 days"/>
    <s v="DAGXX"/>
    <x v="0"/>
    <s v="Repair"/>
  </r>
  <r>
    <x v="12"/>
    <m/>
    <m/>
    <n v="16"/>
    <n v="17750"/>
    <m/>
    <n v="4380303767"/>
    <m/>
    <m/>
    <s v="TRLU 027612-5"/>
    <s v="Repair"/>
    <x v="7"/>
    <d v="2018-01-19T00:00:00"/>
    <m/>
    <n v="17750"/>
    <d v="2018-06-25T00:00:00"/>
    <n v="0"/>
    <s v="More than 60 days"/>
    <s v="DAGXX"/>
    <x v="0"/>
    <s v="Repair"/>
  </r>
  <r>
    <x v="13"/>
    <s v="PO"/>
    <s v="B"/>
    <n v="16"/>
    <n v="16002.97"/>
    <m/>
    <m/>
    <m/>
    <m/>
    <m/>
    <s v="Repair"/>
    <x v="8"/>
    <d v="2018-03-31T00:00:00"/>
    <m/>
    <n v="16002.97"/>
    <d v="2018-05-29T00:00:00"/>
    <n v="0"/>
    <s v="More than 60 days"/>
    <s v="DAGXX"/>
    <x v="0"/>
    <s v="Repair"/>
  </r>
  <r>
    <x v="14"/>
    <s v="PO"/>
    <s v="C"/>
    <n v="16"/>
    <n v="15805"/>
    <m/>
    <m/>
    <m/>
    <m/>
    <m/>
    <s v="Repair"/>
    <x v="8"/>
    <d v="2018-03-31T00:00:00"/>
    <m/>
    <n v="15805"/>
    <d v="2018-05-29T00:00:00"/>
    <n v="0"/>
    <s v="More than 60 days"/>
    <s v="DAGXX"/>
    <x v="0"/>
    <s v="Repair"/>
  </r>
  <r>
    <x v="15"/>
    <s v="PO"/>
    <s v="D"/>
    <n v="16"/>
    <n v="16078.5"/>
    <m/>
    <m/>
    <m/>
    <m/>
    <m/>
    <s v="Repair"/>
    <x v="8"/>
    <d v="2018-03-31T00:00:00"/>
    <m/>
    <n v="16078.5"/>
    <d v="2018-05-29T00:00:00"/>
    <n v="0"/>
    <s v="More than 60 days"/>
    <s v="DAGXX"/>
    <x v="0"/>
    <s v="Repair"/>
  </r>
  <r>
    <x v="16"/>
    <s v="PO"/>
    <s v="E"/>
    <n v="16"/>
    <n v="15778.97"/>
    <m/>
    <m/>
    <m/>
    <m/>
    <m/>
    <s v="Repair"/>
    <x v="8"/>
    <d v="2018-03-31T00:00:00"/>
    <m/>
    <n v="15778.97"/>
    <d v="2018-05-29T00:00:00"/>
    <n v="0"/>
    <s v="More than 60 days"/>
    <s v="DAGXX"/>
    <x v="0"/>
    <s v="Repair"/>
  </r>
  <r>
    <x v="17"/>
    <s v="PO"/>
    <s v="G"/>
    <n v="16"/>
    <n v="16136"/>
    <m/>
    <m/>
    <m/>
    <m/>
    <m/>
    <s v="Repair"/>
    <x v="8"/>
    <d v="2018-03-31T00:00:00"/>
    <m/>
    <n v="16136"/>
    <d v="2018-05-29T00:00:00"/>
    <n v="0"/>
    <s v="More than 60 days"/>
    <s v="DAGXX"/>
    <x v="0"/>
    <s v="Repair"/>
  </r>
  <r>
    <x v="18"/>
    <s v="PO"/>
    <s v="H"/>
    <n v="16"/>
    <n v="16103"/>
    <m/>
    <m/>
    <m/>
    <m/>
    <m/>
    <s v="Repair"/>
    <x v="8"/>
    <d v="2018-03-31T00:00:00"/>
    <m/>
    <n v="16103"/>
    <d v="2018-05-29T00:00:00"/>
    <n v="0"/>
    <s v="More than 60 days"/>
    <s v="DAGXX"/>
    <x v="0"/>
    <s v="Repair"/>
  </r>
  <r>
    <x v="19"/>
    <s v="PO"/>
    <s v="J"/>
    <n v="16"/>
    <n v="16081.8"/>
    <m/>
    <m/>
    <m/>
    <m/>
    <m/>
    <s v="Repair"/>
    <x v="8"/>
    <d v="2018-03-31T00:00:00"/>
    <m/>
    <n v="16081.8"/>
    <d v="2018-05-29T00:00:00"/>
    <n v="0"/>
    <s v="More than 60 days"/>
    <s v="DAGXX"/>
    <x v="0"/>
    <s v="Repair"/>
  </r>
  <r>
    <x v="20"/>
    <s v="PO"/>
    <s v="K"/>
    <n v="16"/>
    <n v="16019"/>
    <m/>
    <n v="4380380275"/>
    <m/>
    <m/>
    <m/>
    <s v="Repair"/>
    <x v="9"/>
    <d v="2018-05-03T00:00:00"/>
    <m/>
    <n v="16019"/>
    <d v="2018-06-25T00:00:00"/>
    <n v="0"/>
    <s v="More than 60 days"/>
    <s v="DAGXX"/>
    <x v="0"/>
    <s v="Repair"/>
  </r>
  <r>
    <x v="21"/>
    <s v="PO"/>
    <s v="L"/>
    <n v="16"/>
    <n v="16001"/>
    <m/>
    <n v="4380380275"/>
    <m/>
    <m/>
    <m/>
    <s v="Repair"/>
    <x v="9"/>
    <d v="2018-05-03T00:00:00"/>
    <m/>
    <n v="16001"/>
    <d v="2018-06-25T00:00:00"/>
    <n v="0"/>
    <s v="More than 60 days"/>
    <s v="DAGXX"/>
    <x v="0"/>
    <s v="Repair"/>
  </r>
  <r>
    <x v="22"/>
    <s v="PO"/>
    <s v="M"/>
    <n v="16"/>
    <n v="15834.97"/>
    <m/>
    <n v="4380380275"/>
    <m/>
    <m/>
    <m/>
    <s v="Repair"/>
    <x v="9"/>
    <d v="2018-05-03T00:00:00"/>
    <m/>
    <n v="15834.97"/>
    <d v="2018-06-25T00:00:00"/>
    <n v="0"/>
    <s v="More than 60 days"/>
    <s v="DAGXX"/>
    <x v="0"/>
    <s v="Repair"/>
  </r>
  <r>
    <x v="23"/>
    <s v="PO"/>
    <s v="N"/>
    <n v="16"/>
    <n v="16141"/>
    <m/>
    <n v="4380380275"/>
    <m/>
    <m/>
    <m/>
    <s v="Repair"/>
    <x v="9"/>
    <d v="2018-05-03T00:00:00"/>
    <m/>
    <n v="16141"/>
    <d v="2018-06-25T00:00:00"/>
    <n v="0"/>
    <s v="More than 60 days"/>
    <s v="DAGXX"/>
    <x v="0"/>
    <s v="Repair"/>
  </r>
  <r>
    <x v="24"/>
    <s v="PO"/>
    <s v="O"/>
    <n v="16"/>
    <n v="15805"/>
    <m/>
    <n v="4380380275"/>
    <m/>
    <m/>
    <m/>
    <s v="Repair"/>
    <x v="9"/>
    <d v="2018-05-03T00:00:00"/>
    <m/>
    <n v="15805"/>
    <d v="2018-06-25T00:00:00"/>
    <n v="0"/>
    <s v="More than 60 days"/>
    <s v="DAGXX"/>
    <x v="0"/>
    <s v="Repair"/>
  </r>
  <r>
    <x v="25"/>
    <s v="PO"/>
    <s v="P"/>
    <n v="16"/>
    <n v="15805"/>
    <m/>
    <n v="4380380275"/>
    <m/>
    <m/>
    <m/>
    <s v="Repair"/>
    <x v="9"/>
    <d v="2018-05-03T00:00:00"/>
    <m/>
    <n v="15805"/>
    <d v="2018-06-25T00:00:00"/>
    <n v="0"/>
    <s v="More than 60 days"/>
    <s v="DAGXX"/>
    <x v="0"/>
    <s v="Repair"/>
  </r>
  <r>
    <x v="26"/>
    <s v="PO"/>
    <s v="Q"/>
    <n v="16"/>
    <n v="16389.16"/>
    <m/>
    <n v="4380380275"/>
    <m/>
    <m/>
    <m/>
    <s v="Repair"/>
    <x v="9"/>
    <d v="2018-05-03T00:00:00"/>
    <m/>
    <n v="16389.16"/>
    <d v="2018-06-25T00:00:00"/>
    <n v="0"/>
    <s v="More than 60 days"/>
    <s v="DAGXX"/>
    <x v="0"/>
    <s v="Repair"/>
  </r>
  <r>
    <x v="27"/>
    <s v="PO"/>
    <s v="R"/>
    <n v="16"/>
    <n v="16094.63"/>
    <m/>
    <n v="4380380275"/>
    <m/>
    <m/>
    <m/>
    <s v="Repair"/>
    <x v="9"/>
    <d v="2018-05-03T00:00:00"/>
    <m/>
    <n v="16094.63"/>
    <d v="2018-06-25T00:00:00"/>
    <n v="0"/>
    <s v="More than 60 days"/>
    <s v="DAGXX"/>
    <x v="0"/>
    <s v="Repair"/>
  </r>
  <r>
    <x v="28"/>
    <s v="PO"/>
    <s v="S"/>
    <n v="16"/>
    <n v="15945"/>
    <m/>
    <n v="4380380275"/>
    <m/>
    <m/>
    <m/>
    <s v="Repair"/>
    <x v="9"/>
    <d v="2018-05-03T00:00:00"/>
    <m/>
    <n v="15945"/>
    <d v="2018-06-25T00:00:00"/>
    <n v="0"/>
    <s v="More than 60 days"/>
    <s v="DAGXX"/>
    <x v="0"/>
    <s v="Repair"/>
  </r>
  <r>
    <x v="29"/>
    <s v="PO"/>
    <s v="T"/>
    <n v="16"/>
    <n v="16308"/>
    <m/>
    <n v="4380380275"/>
    <m/>
    <m/>
    <m/>
    <s v="Repair"/>
    <x v="9"/>
    <d v="2018-05-03T00:00:00"/>
    <m/>
    <n v="16308"/>
    <d v="2018-06-25T00:00:00"/>
    <n v="0"/>
    <s v="More than 60 days"/>
    <s v="DAGXX"/>
    <x v="0"/>
    <s v="Repair"/>
  </r>
  <r>
    <x v="30"/>
    <s v="PO"/>
    <s v="U"/>
    <n v="16"/>
    <n v="16119.16"/>
    <m/>
    <n v="4380380275"/>
    <m/>
    <m/>
    <m/>
    <s v="Repair"/>
    <x v="9"/>
    <d v="2018-05-03T00:00:00"/>
    <m/>
    <n v="16119.16"/>
    <d v="2018-06-25T00:00:00"/>
    <n v="0"/>
    <s v="More than 60 days"/>
    <s v="DAGXX"/>
    <x v="0"/>
    <s v="Repair"/>
  </r>
  <r>
    <x v="31"/>
    <s v="PO"/>
    <s v="V"/>
    <n v="16"/>
    <n v="15839.16"/>
    <m/>
    <n v="4380380275"/>
    <m/>
    <m/>
    <m/>
    <s v="Repair"/>
    <x v="9"/>
    <d v="2018-05-03T00:00:00"/>
    <m/>
    <n v="15839.16"/>
    <d v="2018-06-25T00:00:00"/>
    <n v="0"/>
    <s v="More than 60 days"/>
    <s v="DAGXX"/>
    <x v="0"/>
    <s v="Repair"/>
  </r>
  <r>
    <x v="32"/>
    <s v="PO"/>
    <s v="W"/>
    <n v="16"/>
    <n v="16001"/>
    <m/>
    <n v="4380380275"/>
    <m/>
    <m/>
    <m/>
    <s v="Repair"/>
    <x v="9"/>
    <d v="2018-05-03T00:00:00"/>
    <m/>
    <n v="16001"/>
    <d v="2018-06-25T00:00:00"/>
    <n v="0"/>
    <s v="More than 60 days"/>
    <s v="DAGXX"/>
    <x v="0"/>
    <s v="Repair"/>
  </r>
  <r>
    <x v="33"/>
    <s v="PO"/>
    <s v="X"/>
    <n v="16"/>
    <n v="16067.66"/>
    <m/>
    <n v="4380380275"/>
    <m/>
    <m/>
    <m/>
    <s v="Repair"/>
    <x v="9"/>
    <d v="2018-05-03T00:00:00"/>
    <m/>
    <n v="16067.66"/>
    <d v="2018-06-25T00:00:00"/>
    <n v="0"/>
    <s v="More than 60 days"/>
    <s v="DAGXX"/>
    <x v="0"/>
    <s v="Repair"/>
  </r>
  <r>
    <x v="34"/>
    <s v="PO"/>
    <s v="Y"/>
    <n v="16"/>
    <n v="15892.13"/>
    <m/>
    <n v="4380380275"/>
    <m/>
    <m/>
    <m/>
    <s v="Repair"/>
    <x v="9"/>
    <d v="2018-05-03T00:00:00"/>
    <m/>
    <n v="15892.13"/>
    <d v="2018-06-25T00:00:00"/>
    <n v="0"/>
    <s v="More than 60 days"/>
    <s v="DAGXX"/>
    <x v="0"/>
    <s v="Repair"/>
  </r>
  <r>
    <x v="35"/>
    <s v="PO"/>
    <s v="Z"/>
    <n v="16"/>
    <n v="16481.16"/>
    <m/>
    <n v="4380380275"/>
    <m/>
    <m/>
    <m/>
    <s v="Repair"/>
    <x v="9"/>
    <d v="2018-05-03T00:00:00"/>
    <m/>
    <n v="16481.16"/>
    <d v="2018-06-25T00:00:00"/>
    <n v="0"/>
    <s v="More than 60 days"/>
    <s v="DAGXX"/>
    <x v="0"/>
    <s v="Repair"/>
  </r>
  <r>
    <x v="36"/>
    <s v="PO"/>
    <s v="AA"/>
    <n v="16"/>
    <n v="16867"/>
    <m/>
    <n v="4380380275"/>
    <m/>
    <m/>
    <m/>
    <s v="Repair"/>
    <x v="9"/>
    <d v="2018-05-03T00:00:00"/>
    <m/>
    <n v="16867"/>
    <d v="2018-06-25T00:00:00"/>
    <n v="0"/>
    <s v="More than 60 days"/>
    <s v="DAGXX"/>
    <x v="0"/>
    <s v="Repair"/>
  </r>
  <r>
    <x v="37"/>
    <s v="PO"/>
    <s v="AB"/>
    <n v="16"/>
    <n v="15818"/>
    <m/>
    <n v="4380380275"/>
    <m/>
    <m/>
    <m/>
    <s v="Repair"/>
    <x v="9"/>
    <d v="2018-05-03T00:00:00"/>
    <m/>
    <n v="15818"/>
    <d v="2018-06-25T00:00:00"/>
    <n v="0"/>
    <s v="More than 60 days"/>
    <s v="DAGXX"/>
    <x v="0"/>
    <s v="Repair"/>
  </r>
  <r>
    <x v="38"/>
    <s v="PO"/>
    <s v="AC"/>
    <n v="16"/>
    <n v="16553.66"/>
    <m/>
    <n v="4380380275"/>
    <m/>
    <m/>
    <m/>
    <s v="Repair"/>
    <x v="9"/>
    <d v="2018-05-03T00:00:00"/>
    <m/>
    <n v="16553.66"/>
    <d v="2018-06-25T00:00:00"/>
    <n v="0"/>
    <s v="More than 60 days"/>
    <s v="DAGXX"/>
    <x v="0"/>
    <s v="Repair"/>
  </r>
  <r>
    <x v="39"/>
    <m/>
    <m/>
    <n v="16"/>
    <n v="15762"/>
    <m/>
    <m/>
    <m/>
    <m/>
    <m/>
    <s v="Repair"/>
    <x v="9"/>
    <d v="2018-05-03T00:00:00"/>
    <m/>
    <m/>
    <m/>
    <n v="15762"/>
    <s v="More than 60 days"/>
    <s v="DAGXX"/>
    <x v="1"/>
    <s v="Repair"/>
  </r>
  <r>
    <x v="40"/>
    <m/>
    <m/>
    <n v="16"/>
    <n v="15879"/>
    <m/>
    <m/>
    <m/>
    <m/>
    <m/>
    <s v="Repair"/>
    <x v="9"/>
    <d v="2018-05-03T00:00:00"/>
    <m/>
    <m/>
    <m/>
    <n v="15879"/>
    <s v="More than 60 days"/>
    <s v="DAGXX"/>
    <x v="1"/>
    <s v="Repair"/>
  </r>
  <r>
    <x v="41"/>
    <s v="PO"/>
    <s v="AG"/>
    <n v="16"/>
    <n v="15717.16"/>
    <m/>
    <m/>
    <m/>
    <m/>
    <m/>
    <s v="Repair"/>
    <x v="10"/>
    <d v="2018-05-04T00:00:00"/>
    <m/>
    <n v="15717.16"/>
    <d v="2018-05-29T00:00:00"/>
    <n v="0"/>
    <s v="More than 60 days"/>
    <s v="DAGXX"/>
    <x v="0"/>
    <s v="Repair"/>
  </r>
  <r>
    <x v="42"/>
    <s v="PO"/>
    <s v="AH"/>
    <n v="16"/>
    <n v="16022"/>
    <m/>
    <m/>
    <m/>
    <m/>
    <m/>
    <s v="Repair"/>
    <x v="10"/>
    <d v="2018-05-04T00:00:00"/>
    <m/>
    <n v="16022"/>
    <d v="2018-05-29T00:00:00"/>
    <n v="0"/>
    <s v="More than 60 days"/>
    <s v="DAGXX"/>
    <x v="0"/>
    <s v="Repair"/>
  </r>
  <r>
    <x v="43"/>
    <s v="PO"/>
    <s v="AI"/>
    <n v="16"/>
    <n v="17750"/>
    <m/>
    <m/>
    <m/>
    <m/>
    <m/>
    <s v="Repair"/>
    <x v="10"/>
    <d v="2018-05-04T00:00:00"/>
    <m/>
    <n v="17750"/>
    <d v="2018-05-29T00:00:00"/>
    <n v="0"/>
    <s v="More than 60 days"/>
    <s v="DAGXX"/>
    <x v="0"/>
    <s v="Repair"/>
  </r>
  <r>
    <x v="44"/>
    <s v="PO"/>
    <s v="AJ"/>
    <n v="16"/>
    <n v="16037"/>
    <m/>
    <m/>
    <m/>
    <m/>
    <m/>
    <s v="Repair"/>
    <x v="10"/>
    <d v="2018-05-04T00:00:00"/>
    <m/>
    <n v="16037"/>
    <d v="2018-05-29T00:00:00"/>
    <n v="0"/>
    <s v="More than 60 days"/>
    <s v="DAGXX"/>
    <x v="0"/>
    <s v="Repair"/>
  </r>
  <r>
    <x v="45"/>
    <s v="PO"/>
    <s v="AK"/>
    <n v="16"/>
    <n v="16464.810000000001"/>
    <m/>
    <n v="4380391198"/>
    <m/>
    <m/>
    <m/>
    <s v="Repair"/>
    <x v="11"/>
    <d v="2018-05-10T00:00:00"/>
    <m/>
    <n v="16464.810000000001"/>
    <d v="2018-05-14T00:00:00"/>
    <n v="0"/>
    <s v="More than 60 days"/>
    <s v="DAGXX"/>
    <x v="0"/>
    <s v="Repair"/>
  </r>
  <r>
    <x v="46"/>
    <s v="PO"/>
    <s v="AL"/>
    <s v="16"/>
    <n v="16282.03"/>
    <m/>
    <m/>
    <m/>
    <m/>
    <m/>
    <s v="Repair"/>
    <x v="12"/>
    <d v="2018-05-11T00:00:00"/>
    <m/>
    <n v="16282.03"/>
    <d v="2018-05-29T00:00:00"/>
    <n v="0"/>
    <s v="More than 60 days"/>
    <s v="DAGXX"/>
    <x v="0"/>
    <s v="Repair"/>
  </r>
  <r>
    <x v="47"/>
    <m/>
    <m/>
    <m/>
    <n v="1725"/>
    <m/>
    <m/>
    <m/>
    <m/>
    <m/>
    <s v="Rental"/>
    <x v="6"/>
    <d v="2018-07-01T00:00:00"/>
    <m/>
    <n v="1725"/>
    <d v="2018-07-13T00:00:00"/>
    <n v="0"/>
    <s v="Less than 30 days"/>
    <s v="DAGXX"/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3">
  <r>
    <x v="0"/>
    <s v="Versum Materials"/>
    <m/>
    <m/>
    <n v="540"/>
    <m/>
    <s v="4503847404"/>
    <m/>
    <m/>
    <s v="Various"/>
    <s v="Rental"/>
    <x v="0"/>
    <d v="2017-10-01T00:00:00"/>
    <m/>
    <m/>
    <m/>
    <n v="540"/>
    <s v="More than 60 days"/>
    <s v="DCPXX"/>
    <x v="0"/>
    <s v="Invoice"/>
  </r>
  <r>
    <x v="1"/>
    <s v="PO"/>
    <m/>
    <m/>
    <n v="51732"/>
    <m/>
    <s v="4506444293"/>
    <m/>
    <m/>
    <s v="Various"/>
    <s v="Rental"/>
    <x v="1"/>
    <d v="2017-12-01T00:00:00"/>
    <m/>
    <n v="49812"/>
    <m/>
    <n v="1920"/>
    <s v="More than 60 days"/>
    <s v="DCPXX"/>
    <x v="0"/>
    <s v="Invoice"/>
  </r>
  <r>
    <x v="2"/>
    <s v="PO"/>
    <m/>
    <m/>
    <n v="53456.4"/>
    <m/>
    <n v="4506444293"/>
    <m/>
    <m/>
    <s v="Various"/>
    <s v="Rental"/>
    <x v="2"/>
    <d v="2017-12-31T00:00:00"/>
    <m/>
    <n v="51472.4"/>
    <m/>
    <n v="1984"/>
    <s v="More than 60 days"/>
    <s v="DCPXX"/>
    <x v="0"/>
    <s v="Invoice"/>
  </r>
  <r>
    <x v="3"/>
    <s v="Cardiff Rd"/>
    <m/>
    <m/>
    <n v="8680"/>
    <m/>
    <n v="4506539882"/>
    <m/>
    <m/>
    <s v="Various"/>
    <s v="Rental"/>
    <x v="3"/>
    <d v="2018-01-31T00:00:00"/>
    <m/>
    <m/>
    <m/>
    <n v="8680"/>
    <s v="More than 60 days"/>
    <s v="DCPXX"/>
    <x v="0"/>
    <s v="Invoice"/>
  </r>
  <r>
    <x v="4"/>
    <s v="PO"/>
    <m/>
    <m/>
    <n v="-2396.15"/>
    <m/>
    <m/>
    <m/>
    <m/>
    <m/>
    <m/>
    <x v="3"/>
    <d v="2018-01-31T00:00:00"/>
    <m/>
    <m/>
    <m/>
    <n v="-2396.15"/>
    <s v="More than 60 days"/>
    <s v="DCPXX"/>
    <x v="0"/>
    <s v="Invoice"/>
  </r>
  <r>
    <x v="5"/>
    <s v="Cardiff Rd"/>
    <m/>
    <m/>
    <n v="7840"/>
    <m/>
    <n v="4506539882"/>
    <m/>
    <m/>
    <s v="Various"/>
    <s v="Rental"/>
    <x v="4"/>
    <d v="2018-03-03T00:00:00"/>
    <m/>
    <m/>
    <m/>
    <n v="7840"/>
    <s v="More than 60 days"/>
    <s v="DCPXX"/>
    <x v="0"/>
    <s v="Invoice"/>
  </r>
  <r>
    <x v="6"/>
    <m/>
    <m/>
    <m/>
    <n v="2520"/>
    <m/>
    <m/>
    <m/>
    <m/>
    <m/>
    <m/>
    <x v="4"/>
    <d v="2018-03-03T00:00:00"/>
    <m/>
    <n v="2520"/>
    <m/>
    <n v="0"/>
    <s v="More than 60 days"/>
    <s v="DCPXX"/>
    <x v="1"/>
    <s v="Invoice"/>
  </r>
  <r>
    <x v="7"/>
    <m/>
    <m/>
    <m/>
    <n v="-2520"/>
    <m/>
    <m/>
    <m/>
    <m/>
    <m/>
    <m/>
    <x v="4"/>
    <d v="2018-03-03T00:00:00"/>
    <m/>
    <n v="-2520"/>
    <m/>
    <n v="0"/>
    <s v="More than 60 days"/>
    <s v="DCPXX"/>
    <x v="1"/>
    <s v="Invoice"/>
  </r>
  <r>
    <x v="8"/>
    <s v="Cardiff Rd"/>
    <m/>
    <m/>
    <n v="8680"/>
    <m/>
    <n v="4506539882"/>
    <m/>
    <m/>
    <s v="Various"/>
    <s v="Rental"/>
    <x v="5"/>
    <d v="2018-03-31T00:00:00"/>
    <m/>
    <m/>
    <m/>
    <n v="8680"/>
    <s v="More than 60 days"/>
    <s v="DCPXX"/>
    <x v="0"/>
    <s v="Invoice"/>
  </r>
  <r>
    <x v="9"/>
    <s v="Cardiff Rd"/>
    <m/>
    <m/>
    <n v="8400"/>
    <m/>
    <n v="4506539882"/>
    <m/>
    <m/>
    <s v="Various"/>
    <s v="Rental"/>
    <x v="6"/>
    <d v="2018-05-01T00:00:00"/>
    <m/>
    <m/>
    <m/>
    <n v="8400"/>
    <s v="More than 60 days"/>
    <s v="DCPXX"/>
    <x v="0"/>
    <s v="Invoice"/>
  </r>
  <r>
    <x v="10"/>
    <s v="CC"/>
    <s v="A"/>
    <n v="4301"/>
    <n v="232.5"/>
    <m/>
    <m/>
    <n v="194659"/>
    <s v="H052"/>
    <s v="EXSZ 900664-2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"/>
    <n v="4301"/>
    <n v="232.5"/>
    <m/>
    <m/>
    <n v="194659"/>
    <s v="H052"/>
    <s v="EXSZ 900666-3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"/>
    <n v="4301"/>
    <n v="232.5"/>
    <m/>
    <m/>
    <n v="194659"/>
    <s v="H052"/>
    <s v="EXSZ 900668-4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D"/>
    <n v="4301"/>
    <n v="232.5"/>
    <m/>
    <m/>
    <n v="194659"/>
    <s v="H052"/>
    <s v="TRZZ 900418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"/>
    <n v="4301"/>
    <n v="232.5"/>
    <m/>
    <m/>
    <n v="194659"/>
    <s v="H052"/>
    <s v="TRZZ 900577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F"/>
    <n v="4301"/>
    <n v="232.5"/>
    <m/>
    <m/>
    <n v="194659"/>
    <s v="H052"/>
    <s v="TRZZ 900624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G"/>
    <n v="4301"/>
    <n v="434"/>
    <m/>
    <m/>
    <n v="194760"/>
    <s v="H052"/>
    <s v="EXFU 175148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H"/>
    <n v="4301"/>
    <n v="434"/>
    <m/>
    <m/>
    <n v="194760"/>
    <s v="H052"/>
    <s v="EXFU 175161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I"/>
    <n v="4301"/>
    <n v="434"/>
    <m/>
    <m/>
    <n v="194760"/>
    <s v="H052"/>
    <s v="EXFU 175445-3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J"/>
    <n v="4301"/>
    <n v="434"/>
    <m/>
    <m/>
    <n v="194760"/>
    <s v="H052"/>
    <s v="EXFU 175447-4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K"/>
    <n v="4301"/>
    <n v="232.5"/>
    <m/>
    <m/>
    <n v="194760"/>
    <s v="H052"/>
    <s v="EXSZ 900643-1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L"/>
    <n v="4301"/>
    <n v="232.5"/>
    <m/>
    <m/>
    <n v="194760"/>
    <s v="H052"/>
    <s v="EXSZ 900662-1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M"/>
    <n v="4301"/>
    <n v="232.5"/>
    <m/>
    <m/>
    <n v="194760"/>
    <s v="H052"/>
    <s v="EXSZ 900672-4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N"/>
    <n v="4301"/>
    <n v="434"/>
    <m/>
    <m/>
    <n v="194760"/>
    <s v="H052"/>
    <s v="TRLU 175118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O"/>
    <n v="4301"/>
    <n v="434"/>
    <m/>
    <m/>
    <n v="194760"/>
    <s v="H052"/>
    <s v="TRLU 175125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P"/>
    <n v="4301"/>
    <n v="434"/>
    <m/>
    <m/>
    <n v="194760"/>
    <s v="H052"/>
    <s v="TRLU 175127-7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Q"/>
    <n v="4301"/>
    <n v="434"/>
    <m/>
    <m/>
    <n v="194760"/>
    <s v="H052"/>
    <s v="TRLU 175129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R"/>
    <n v="4301"/>
    <n v="434"/>
    <m/>
    <m/>
    <n v="194760"/>
    <s v="H052"/>
    <s v="TRLU 175146-7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S"/>
    <n v="4301"/>
    <n v="232.5"/>
    <m/>
    <m/>
    <n v="194760"/>
    <s v="H052"/>
    <s v="TRZZ 900408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T"/>
    <n v="4301"/>
    <n v="232.5"/>
    <m/>
    <m/>
    <n v="194760"/>
    <s v="H052"/>
    <s v="TRZZ 900627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U"/>
    <n v="4301"/>
    <n v="232.5"/>
    <m/>
    <m/>
    <n v="194760"/>
    <s v="H052"/>
    <s v="TRZZ 90063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V"/>
    <n v="4301"/>
    <n v="232.5"/>
    <m/>
    <m/>
    <n v="194760"/>
    <s v="H052"/>
    <s v="TRZZ 900631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W"/>
    <n v="4301"/>
    <n v="232.5"/>
    <m/>
    <m/>
    <n v="194664"/>
    <s v="H052"/>
    <s v="TRZZ 90057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X"/>
    <n v="4301"/>
    <n v="232.5"/>
    <m/>
    <m/>
    <n v="194664"/>
    <s v="H052"/>
    <s v="TRZZ 900593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Y"/>
    <n v="4301"/>
    <n v="232.5"/>
    <m/>
    <m/>
    <n v="194664"/>
    <s v="H052"/>
    <s v="TRZZ 900594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Z"/>
    <n v="4301"/>
    <n v="232.5"/>
    <m/>
    <m/>
    <n v="194664"/>
    <s v="H052"/>
    <s v="TRZZ 900595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AA"/>
    <n v="4301"/>
    <n v="232.5"/>
    <m/>
    <m/>
    <n v="194664"/>
    <s v="H052"/>
    <s v="TRZZ 900596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AB"/>
    <n v="4301"/>
    <n v="232.5"/>
    <m/>
    <m/>
    <n v="194664"/>
    <s v="H052"/>
    <s v="TRZZ 900621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AC"/>
    <n v="4301"/>
    <n v="232.5"/>
    <m/>
    <m/>
    <n v="194664"/>
    <s v="H052"/>
    <s v="TRZZ 900622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AD"/>
    <n v="4301"/>
    <n v="232.5"/>
    <m/>
    <m/>
    <n v="194664"/>
    <s v="H052"/>
    <s v="TRZZ 900623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AE"/>
    <n v="4301"/>
    <n v="178.25"/>
    <m/>
    <m/>
    <n v="194841"/>
    <s v="H052"/>
    <s v="EXFU 051979-0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F"/>
    <n v="4301"/>
    <n v="178.25"/>
    <m/>
    <m/>
    <n v="194841"/>
    <s v="H052"/>
    <s v="EXFU 051986-6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G"/>
    <n v="4301"/>
    <n v="178.25"/>
    <m/>
    <m/>
    <n v="194841"/>
    <s v="H052"/>
    <s v="EXFU 051987-1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H"/>
    <n v="4301"/>
    <n v="178.25"/>
    <m/>
    <m/>
    <n v="194841"/>
    <s v="H052"/>
    <s v="EXFU 052043-0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J"/>
    <n v="4301"/>
    <n v="178.25"/>
    <m/>
    <m/>
    <n v="194841"/>
    <s v="H052"/>
    <s v="EXFU 052046-6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K"/>
    <n v="4301"/>
    <n v="178.25"/>
    <m/>
    <m/>
    <n v="194841"/>
    <s v="H052"/>
    <s v="EXFU 052048-7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L"/>
    <n v="4301"/>
    <n v="178.25"/>
    <m/>
    <m/>
    <n v="194841"/>
    <s v="H052"/>
    <s v="EXFU 052055-3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M"/>
    <n v="4301"/>
    <n v="178.25"/>
    <m/>
    <m/>
    <n v="194841"/>
    <s v="H052"/>
    <s v="EXFU 052356-8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N"/>
    <n v="4301"/>
    <n v="178.25"/>
    <m/>
    <m/>
    <n v="194841"/>
    <s v="H052"/>
    <s v="EXFU 053598-0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O"/>
    <n v="4301"/>
    <n v="178.25"/>
    <m/>
    <m/>
    <n v="194841"/>
    <s v="H052"/>
    <s v="EXFU 440467-5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P"/>
    <n v="4301"/>
    <n v="178.25"/>
    <m/>
    <m/>
    <n v="194841"/>
    <s v="H052"/>
    <s v="EXFU 440486-5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Q"/>
    <n v="4301"/>
    <n v="178.25"/>
    <m/>
    <m/>
    <n v="194841"/>
    <s v="H052"/>
    <s v="EXFU 440503-3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R"/>
    <n v="4301"/>
    <n v="178.25"/>
    <m/>
    <m/>
    <n v="194841"/>
    <s v="H052"/>
    <s v="EXFU 440513-6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S"/>
    <n v="4301"/>
    <n v="178.25"/>
    <m/>
    <m/>
    <n v="194841"/>
    <s v="H052"/>
    <s v="EXFU 440528-6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AT"/>
    <n v="4301"/>
    <n v="434"/>
    <m/>
    <m/>
    <n v="194663"/>
    <s v="H052"/>
    <s v="EXFU 175149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AU"/>
    <n v="4301"/>
    <n v="434"/>
    <m/>
    <m/>
    <n v="194663"/>
    <s v="H052"/>
    <s v="EXFU 175154-1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AV"/>
    <n v="4301"/>
    <n v="434"/>
    <m/>
    <m/>
    <n v="194663"/>
    <s v="H052"/>
    <s v="EXFU 175157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AW"/>
    <n v="4301"/>
    <n v="434"/>
    <m/>
    <m/>
    <n v="194663"/>
    <s v="H052"/>
    <s v="EXFU 175165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AX"/>
    <n v="4301"/>
    <n v="434"/>
    <m/>
    <m/>
    <n v="194663"/>
    <s v="H052"/>
    <s v="EXFU 175446-9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AY"/>
    <n v="4301"/>
    <n v="232.5"/>
    <m/>
    <m/>
    <n v="194663"/>
    <s v="H052"/>
    <s v="EXSZ 900644-7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AZ"/>
    <n v="4301"/>
    <n v="232.5"/>
    <m/>
    <m/>
    <n v="194663"/>
    <s v="H052"/>
    <s v="EXSZ 900661-6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A"/>
    <n v="4301"/>
    <n v="232.5"/>
    <m/>
    <m/>
    <n v="194663"/>
    <s v="H052"/>
    <s v="EXSZ 900663-7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B"/>
    <n v="4301"/>
    <n v="232.5"/>
    <m/>
    <m/>
    <n v="194663"/>
    <s v="H052"/>
    <s v="EXSZ 900670-3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C"/>
    <n v="4301"/>
    <n v="232.5"/>
    <m/>
    <m/>
    <n v="194663"/>
    <s v="H052"/>
    <s v="EXSZ 902057-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D"/>
    <n v="4301"/>
    <n v="434"/>
    <m/>
    <m/>
    <n v="194663"/>
    <s v="H052"/>
    <s v="TRLU 175053-7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BE"/>
    <n v="4301"/>
    <n v="434"/>
    <m/>
    <m/>
    <n v="194663"/>
    <s v="H052"/>
    <s v="TRLU 175130-1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BF"/>
    <n v="4301"/>
    <n v="232.5"/>
    <m/>
    <m/>
    <n v="194663"/>
    <s v="H052"/>
    <s v="TRZZ 90041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G"/>
    <n v="4301"/>
    <n v="232.5"/>
    <m/>
    <m/>
    <n v="194663"/>
    <s v="H052"/>
    <s v="TRZZ 90043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H"/>
    <n v="4301"/>
    <n v="232.5"/>
    <m/>
    <m/>
    <n v="194663"/>
    <s v="H052"/>
    <s v="TRZZ 90058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I"/>
    <n v="4301"/>
    <n v="232.5"/>
    <m/>
    <m/>
    <n v="194663"/>
    <s v="H052"/>
    <s v="TRZZ 900588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J"/>
    <n v="4301"/>
    <n v="232.5"/>
    <m/>
    <m/>
    <n v="194663"/>
    <s v="H052"/>
    <s v="TRZZ 90058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K"/>
    <n v="4301"/>
    <n v="232.5"/>
    <m/>
    <m/>
    <n v="194663"/>
    <s v="H052"/>
    <s v="TRZZ 900591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L"/>
    <n v="4301"/>
    <n v="178.25"/>
    <m/>
    <m/>
    <n v="194841"/>
    <s v="H052"/>
    <s v="EXXU 999261-4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BM"/>
    <n v="4301"/>
    <n v="178.25"/>
    <m/>
    <m/>
    <n v="194841"/>
    <s v="H052"/>
    <s v="EXXU 999264-0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BN"/>
    <n v="4301"/>
    <n v="178.25"/>
    <m/>
    <m/>
    <n v="194841"/>
    <s v="H052"/>
    <s v="EXXU 999267-7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BO"/>
    <n v="4301"/>
    <n v="178.25"/>
    <m/>
    <m/>
    <n v="194841"/>
    <s v="H052"/>
    <s v="EXXU 999268-2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BP"/>
    <n v="4301"/>
    <n v="178.25"/>
    <m/>
    <m/>
    <n v="194841"/>
    <s v="H052"/>
    <s v="EXXU 999584-5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BQ"/>
    <n v="4301"/>
    <n v="178.25"/>
    <m/>
    <m/>
    <n v="194841"/>
    <s v="H052"/>
    <s v="EXXU 999587-1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BR"/>
    <n v="4301"/>
    <n v="232.5"/>
    <m/>
    <m/>
    <n v="195163"/>
    <s v="H052"/>
    <s v="EXSZ 901032-8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S"/>
    <n v="4301"/>
    <n v="232.5"/>
    <m/>
    <m/>
    <n v="195163"/>
    <s v="H052"/>
    <s v="TRZZ 900417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T"/>
    <n v="4301"/>
    <n v="232.5"/>
    <m/>
    <m/>
    <n v="195163"/>
    <s v="H052"/>
    <s v="TRZZ 900578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U"/>
    <n v="4301"/>
    <n v="232.5"/>
    <m/>
    <m/>
    <n v="195163"/>
    <s v="H052"/>
    <s v="TRZZ 900628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V"/>
    <n v="4301"/>
    <n v="232.5"/>
    <m/>
    <m/>
    <n v="195163"/>
    <s v="H052"/>
    <s v="TRZZ 90062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W"/>
    <n v="4301"/>
    <n v="232.5"/>
    <m/>
    <m/>
    <n v="195163"/>
    <s v="H052"/>
    <s v="TRZZ 900632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X"/>
    <n v="4301"/>
    <n v="434"/>
    <m/>
    <m/>
    <n v="194662"/>
    <s v="H052"/>
    <s v="TRLU 175119-5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BY"/>
    <n v="4301"/>
    <n v="232.5"/>
    <m/>
    <m/>
    <n v="194662"/>
    <s v="H052"/>
    <s v="TRZZ 900576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BZ"/>
    <n v="4301"/>
    <n v="232.5"/>
    <m/>
    <m/>
    <n v="194659"/>
    <s v="H052"/>
    <s v="TRZZ 900625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A"/>
    <n v="4301"/>
    <n v="232.5"/>
    <m/>
    <m/>
    <n v="194659"/>
    <s v="H052"/>
    <s v="TRZZ 900626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B"/>
    <n v="4301"/>
    <n v="232.5"/>
    <m/>
    <m/>
    <n v="194659"/>
    <s v="H052"/>
    <s v="TRZZ 90042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C"/>
    <n v="4301"/>
    <n v="232.5"/>
    <m/>
    <m/>
    <n v="194659"/>
    <s v="H052"/>
    <s v="TRZZ 90044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D"/>
    <n v="4301"/>
    <n v="178.25"/>
    <m/>
    <m/>
    <n v="194661"/>
    <s v="H052"/>
    <s v="EXFU 440531-0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CE"/>
    <n v="4301"/>
    <n v="178.25"/>
    <m/>
    <m/>
    <n v="194567"/>
    <s v="H052"/>
    <s v="EXFU 053748-0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CF"/>
    <n v="4301"/>
    <n v="178.25"/>
    <m/>
    <m/>
    <n v="194567"/>
    <s v="H052"/>
    <s v="EXFU 053897-4"/>
    <s v="Rental"/>
    <x v="7"/>
    <d v="2018-05-31T00:00:00"/>
    <d v="2018-04-30T00:00:00"/>
    <n v="178.25"/>
    <d v="2018-06-04T00:00:00"/>
    <n v="0"/>
    <s v="30-60 days"/>
    <s v="DCPXX"/>
    <x v="1"/>
    <s v="Invoice"/>
  </r>
  <r>
    <x v="10"/>
    <s v="CC"/>
    <s v="CG"/>
    <n v="4301"/>
    <n v="232.5"/>
    <m/>
    <m/>
    <n v="194756"/>
    <s v="H052"/>
    <s v="EXSZ 900669-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H"/>
    <n v="4301"/>
    <n v="232.5"/>
    <m/>
    <m/>
    <n v="194756"/>
    <s v="H052"/>
    <s v="TRZZ 900574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CI"/>
    <n v="4301"/>
    <n v="434"/>
    <m/>
    <m/>
    <n v="194567"/>
    <s v="H052"/>
    <s v="EXFU 175150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J"/>
    <n v="4301"/>
    <n v="434"/>
    <m/>
    <m/>
    <n v="194567"/>
    <s v="H052"/>
    <s v="EXFU 175151-5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K"/>
    <n v="4301"/>
    <n v="434"/>
    <m/>
    <m/>
    <n v="194567"/>
    <s v="H052"/>
    <s v="EXFU 175152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L"/>
    <n v="4301"/>
    <n v="434"/>
    <m/>
    <m/>
    <n v="194567"/>
    <s v="H052"/>
    <s v="EXFU 175153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M"/>
    <n v="4301"/>
    <n v="434"/>
    <m/>
    <m/>
    <n v="194567"/>
    <s v="H052"/>
    <s v="EXFU 175155-7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N"/>
    <n v="4301"/>
    <n v="434"/>
    <m/>
    <m/>
    <n v="194567"/>
    <s v="H052"/>
    <s v="EXFU 175156-2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O"/>
    <n v="4301"/>
    <n v="434"/>
    <m/>
    <m/>
    <n v="194567"/>
    <s v="H052"/>
    <s v="EXFU 175158-3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P"/>
    <n v="4301"/>
    <n v="434"/>
    <m/>
    <m/>
    <n v="194567"/>
    <s v="H052"/>
    <s v="EXFU 175159-9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Q"/>
    <n v="4301"/>
    <n v="434"/>
    <m/>
    <m/>
    <n v="194567"/>
    <s v="H052"/>
    <s v="EXFU 175160-2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R"/>
    <n v="4301"/>
    <n v="434"/>
    <m/>
    <m/>
    <n v="194567"/>
    <s v="H052"/>
    <s v="EXFU 175162-3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S"/>
    <n v="4301"/>
    <n v="434"/>
    <m/>
    <m/>
    <n v="194567"/>
    <s v="H052"/>
    <s v="EXFU 175163-9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T"/>
    <n v="4301"/>
    <n v="434"/>
    <m/>
    <m/>
    <n v="194567"/>
    <s v="H052"/>
    <s v="EXFU 175164-4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U"/>
    <n v="4301"/>
    <n v="434"/>
    <m/>
    <m/>
    <n v="194567"/>
    <s v="H052"/>
    <s v="EXFU 175166-5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V"/>
    <n v="4301"/>
    <n v="434"/>
    <m/>
    <m/>
    <n v="194567"/>
    <s v="H052"/>
    <s v="EXFU 175167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W"/>
    <n v="4301"/>
    <n v="434"/>
    <m/>
    <m/>
    <n v="194567"/>
    <s v="H052"/>
    <s v="EXFU 175168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X"/>
    <n v="4301"/>
    <n v="434"/>
    <m/>
    <m/>
    <n v="194567"/>
    <s v="H052"/>
    <s v="EXFU 175169-1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Y"/>
    <n v="4301"/>
    <n v="434"/>
    <m/>
    <m/>
    <n v="194567"/>
    <s v="H052"/>
    <s v="EXFU 175172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CZ"/>
    <n v="4301"/>
    <n v="434"/>
    <m/>
    <m/>
    <n v="194567"/>
    <s v="H052"/>
    <s v="EXFU 175174-7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A"/>
    <n v="4301"/>
    <n v="434"/>
    <m/>
    <m/>
    <n v="194567"/>
    <s v="H052"/>
    <s v="EXFU 175175-2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B"/>
    <n v="4301"/>
    <n v="434"/>
    <m/>
    <m/>
    <n v="194567"/>
    <s v="H052"/>
    <s v="EXFU 175176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C"/>
    <n v="4301"/>
    <n v="434"/>
    <m/>
    <m/>
    <n v="194567"/>
    <s v="H052"/>
    <s v="EXFU 175177-3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D"/>
    <n v="4301"/>
    <n v="434"/>
    <m/>
    <m/>
    <n v="194567"/>
    <s v="H052"/>
    <s v="EXFU 175178-9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E"/>
    <n v="4301"/>
    <n v="434"/>
    <m/>
    <m/>
    <n v="194567"/>
    <s v="H052"/>
    <s v="EXFU 175179-4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F"/>
    <n v="4301"/>
    <n v="434"/>
    <m/>
    <m/>
    <n v="194567"/>
    <s v="H052"/>
    <s v="EXFU 175180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G"/>
    <n v="4301"/>
    <n v="434"/>
    <m/>
    <m/>
    <n v="194567"/>
    <s v="H052"/>
    <s v="EXFU 175182-9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H"/>
    <n v="4301"/>
    <n v="434"/>
    <m/>
    <m/>
    <n v="194567"/>
    <s v="H052"/>
    <s v="EXFU 175183-4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I"/>
    <n v="4301"/>
    <n v="434"/>
    <m/>
    <m/>
    <n v="194567"/>
    <s v="H052"/>
    <s v="EXFU 175184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J"/>
    <n v="4301"/>
    <n v="434"/>
    <m/>
    <m/>
    <n v="194567"/>
    <s v="H052"/>
    <s v="EXFU 175185-5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K"/>
    <n v="4301"/>
    <n v="434"/>
    <m/>
    <m/>
    <n v="194567"/>
    <s v="H052"/>
    <s v="EXFU 175186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L"/>
    <n v="4301"/>
    <n v="434"/>
    <m/>
    <m/>
    <n v="194567"/>
    <s v="H052"/>
    <s v="EXFU 175187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M"/>
    <n v="4301"/>
    <n v="434"/>
    <m/>
    <m/>
    <n v="194567"/>
    <s v="H052"/>
    <s v="EXFU 175188-1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N"/>
    <n v="4301"/>
    <n v="434"/>
    <m/>
    <m/>
    <n v="194567"/>
    <s v="H052"/>
    <s v="EXFU 175189-7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O"/>
    <n v="4301"/>
    <n v="434"/>
    <m/>
    <m/>
    <n v="194567"/>
    <s v="H052"/>
    <s v="EXFU 175190-0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P"/>
    <n v="4301"/>
    <n v="434"/>
    <m/>
    <m/>
    <n v="194567"/>
    <s v="H052"/>
    <s v="EXFU 175191-6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Q"/>
    <n v="4301"/>
    <n v="434"/>
    <m/>
    <m/>
    <n v="194567"/>
    <s v="H052"/>
    <s v="EXFU 175192-1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R"/>
    <n v="4301"/>
    <n v="434"/>
    <m/>
    <m/>
    <n v="194567"/>
    <s v="H052"/>
    <s v="EXFU 175346-2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S"/>
    <n v="4301"/>
    <n v="434"/>
    <m/>
    <m/>
    <n v="194567"/>
    <s v="H052"/>
    <s v="EXFU 175347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T"/>
    <n v="4301"/>
    <n v="434"/>
    <m/>
    <m/>
    <n v="194567"/>
    <s v="H052"/>
    <s v="EXFU 175348-3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U"/>
    <n v="4301"/>
    <n v="434"/>
    <m/>
    <m/>
    <n v="194567"/>
    <s v="H052"/>
    <s v="EXFU 175349-9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V"/>
    <n v="4301"/>
    <n v="434"/>
    <m/>
    <m/>
    <n v="194567"/>
    <s v="H052"/>
    <s v="EXFU 175350-2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W"/>
    <n v="4301"/>
    <n v="434"/>
    <m/>
    <m/>
    <n v="194567"/>
    <s v="H052"/>
    <s v="EXFU 175351-8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X"/>
    <n v="4301"/>
    <n v="434"/>
    <m/>
    <m/>
    <n v="194567"/>
    <s v="H052"/>
    <s v="TRLU 175136-4"/>
    <s v="Rental"/>
    <x v="7"/>
    <d v="2018-05-31T00:00:00"/>
    <d v="2018-04-30T00:00:00"/>
    <n v="434"/>
    <d v="2018-06-04T00:00:00"/>
    <n v="0"/>
    <s v="30-60 days"/>
    <s v="DCPXX"/>
    <x v="1"/>
    <s v="Invoice"/>
  </r>
  <r>
    <x v="10"/>
    <s v="CC"/>
    <s v="DY"/>
    <n v="4301"/>
    <n v="310"/>
    <m/>
    <m/>
    <n v="194567"/>
    <s v="H052"/>
    <s v="TRLU 175147-2"/>
    <s v="Rental"/>
    <x v="7"/>
    <d v="2018-05-31T00:00:00"/>
    <d v="2018-04-30T00:00:00"/>
    <n v="310"/>
    <d v="2018-06-04T00:00:00"/>
    <n v="0"/>
    <s v="30-60 days"/>
    <s v="DCPXX"/>
    <x v="1"/>
    <s v="Invoice"/>
  </r>
  <r>
    <x v="10"/>
    <s v="CC"/>
    <s v="DZ"/>
    <n v="4301"/>
    <n v="232.5"/>
    <m/>
    <m/>
    <n v="194759"/>
    <s v="H052"/>
    <s v="EXFU 441527-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A"/>
    <n v="4301"/>
    <n v="232.5"/>
    <m/>
    <m/>
    <n v="194759"/>
    <s v="H052"/>
    <s v="EXFU 441529-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B"/>
    <n v="4301"/>
    <n v="232.5"/>
    <m/>
    <m/>
    <n v="194759"/>
    <s v="H052"/>
    <s v="EXFU 441536-6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C"/>
    <n v="4301"/>
    <n v="232.5"/>
    <m/>
    <m/>
    <n v="194759"/>
    <s v="H052"/>
    <s v="EXFU 441539-2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D"/>
    <n v="4301"/>
    <n v="232.5"/>
    <m/>
    <m/>
    <n v="194759"/>
    <s v="H052"/>
    <s v="EXFU 441552-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E"/>
    <n v="4301"/>
    <n v="232.5"/>
    <m/>
    <m/>
    <n v="194759"/>
    <s v="H052"/>
    <s v="EXFU 441557-7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F"/>
    <n v="4301"/>
    <n v="232.5"/>
    <m/>
    <m/>
    <n v="194759"/>
    <s v="H052"/>
    <s v="EXFU 441793-9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G"/>
    <n v="4301"/>
    <n v="232.5"/>
    <m/>
    <m/>
    <n v="194759"/>
    <s v="H052"/>
    <s v="EXFU 441794-4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H"/>
    <n v="4301"/>
    <n v="232.5"/>
    <m/>
    <m/>
    <n v="194759"/>
    <s v="H052"/>
    <s v="EXFU 441796-5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I"/>
    <n v="4301"/>
    <n v="232.5"/>
    <m/>
    <m/>
    <n v="194759"/>
    <s v="H052"/>
    <s v="EXFU 441797-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J"/>
    <n v="4301"/>
    <n v="232.5"/>
    <m/>
    <m/>
    <n v="194759"/>
    <s v="H052"/>
    <s v="EXFU 441795-0"/>
    <s v="Rental"/>
    <x v="7"/>
    <d v="2018-05-31T00:00:00"/>
    <d v="2018-04-30T00:00:00"/>
    <n v="232.5"/>
    <d v="2018-06-04T00:00:00"/>
    <n v="0"/>
    <s v="30-60 days"/>
    <s v="DCPXX"/>
    <x v="1"/>
    <s v="Invoice"/>
  </r>
  <r>
    <x v="10"/>
    <s v="CC"/>
    <s v="EK"/>
    <n v="4301"/>
    <n v="232.5"/>
    <m/>
    <m/>
    <n v="194759"/>
    <s v="H052"/>
    <s v="EXFU 441798-6"/>
    <s v="Rental"/>
    <x v="7"/>
    <d v="2018-05-31T00:00:00"/>
    <d v="2018-04-30T00:00:00"/>
    <n v="232.5"/>
    <d v="2018-06-04T00:00:00"/>
    <n v="0"/>
    <s v="30-60 days"/>
    <s v="DCPXX"/>
    <x v="1"/>
    <s v="Invoice"/>
  </r>
  <r>
    <x v="11"/>
    <s v="Cardiff Rd"/>
    <m/>
    <m/>
    <n v="8680"/>
    <m/>
    <n v="4506539882"/>
    <m/>
    <m/>
    <s v="Various"/>
    <s v="Rental"/>
    <x v="7"/>
    <d v="2018-05-31T00:00:00"/>
    <m/>
    <m/>
    <m/>
    <n v="8680"/>
    <s v="30-60 days"/>
    <s v="DCPXX"/>
    <x v="0"/>
    <s v="Invoice"/>
  </r>
  <r>
    <x v="12"/>
    <s v="Hemlock Semiconductor Operations"/>
    <m/>
    <m/>
    <n v="2790"/>
    <m/>
    <n v="4506924343"/>
    <m/>
    <m/>
    <s v="Various"/>
    <s v="Rental"/>
    <x v="7"/>
    <d v="2018-05-31T00:00:00"/>
    <m/>
    <n v="2790"/>
    <d v="2018-05-31T00:00:00"/>
    <n v="0"/>
    <s v="30-60 days"/>
    <s v="DCPXX"/>
    <x v="1"/>
    <s v="Invoice"/>
  </r>
  <r>
    <x v="13"/>
    <s v="CC"/>
    <s v="A"/>
    <n v="4301"/>
    <n v="90"/>
    <m/>
    <m/>
    <n v="194840"/>
    <s v="H052"/>
    <s v="EXFU 175640-9"/>
    <s v="Handling Fee at Pickup"/>
    <x v="7"/>
    <d v="2018-05-31T00:00:00"/>
    <d v="2018-05-30T00:00:00"/>
    <n v="90"/>
    <d v="2018-07-03T00:00:00"/>
    <n v="0"/>
    <s v="30-60 days"/>
    <s v="DCPXX"/>
    <x v="1"/>
    <s v="Invoice"/>
  </r>
  <r>
    <x v="13"/>
    <s v="CC"/>
    <s v="B"/>
    <n v="4301"/>
    <n v="1600"/>
    <m/>
    <m/>
    <n v="194840"/>
    <s v="H052"/>
    <s v="EXFU 175640-9"/>
    <s v="Pickup fee"/>
    <x v="7"/>
    <d v="2018-05-31T00:00:00"/>
    <d v="2018-05-30T00:00:00"/>
    <n v="1600"/>
    <d v="2018-07-03T00:00:00"/>
    <n v="0"/>
    <s v="30-60 days"/>
    <s v="DCPXX"/>
    <x v="1"/>
    <s v="Invoice"/>
  </r>
  <r>
    <x v="13"/>
    <s v="CC"/>
    <s v="C"/>
    <n v="4301"/>
    <n v="226.55"/>
    <m/>
    <m/>
    <n v="194840"/>
    <s v="H052"/>
    <s v="EXFU 175640-9"/>
    <s v="MONTHLY LEASE"/>
    <x v="7"/>
    <d v="2018-05-31T00:00:00"/>
    <d v="2018-05-30T00:00:00"/>
    <n v="226.55"/>
    <d v="2018-07-03T00:00:00"/>
    <n v="0"/>
    <s v="30-60 days"/>
    <s v="DCPXX"/>
    <x v="1"/>
    <s v="Invoice"/>
  </r>
  <r>
    <x v="13"/>
    <s v="CC"/>
    <s v="D"/>
    <n v="4301"/>
    <n v="226.55"/>
    <m/>
    <m/>
    <n v="194840"/>
    <s v="H052"/>
    <s v="EXFU 175641-4"/>
    <s v="MONTHLY LEASE"/>
    <x v="7"/>
    <d v="2018-05-31T00:00:00"/>
    <d v="2018-05-30T00:00:00"/>
    <n v="226.55"/>
    <d v="2018-07-03T00:00:00"/>
    <n v="0"/>
    <s v="30-60 days"/>
    <s v="DCPXX"/>
    <x v="1"/>
    <s v="Invoice"/>
  </r>
  <r>
    <x v="13"/>
    <s v="CC"/>
    <s v="E"/>
    <n v="4301"/>
    <n v="1600"/>
    <m/>
    <m/>
    <n v="194840"/>
    <s v="H052"/>
    <s v="EXFU 175641-4"/>
    <s v="Pickup fee"/>
    <x v="7"/>
    <d v="2018-05-31T00:00:00"/>
    <d v="2018-05-30T00:00:00"/>
    <n v="1600"/>
    <d v="2018-07-03T00:00:00"/>
    <n v="0"/>
    <s v="30-60 days"/>
    <s v="DCPXX"/>
    <x v="1"/>
    <s v="Invoice"/>
  </r>
  <r>
    <x v="13"/>
    <s v="CC"/>
    <s v="F"/>
    <n v="4301"/>
    <n v="90"/>
    <m/>
    <m/>
    <n v="194840"/>
    <s v="H052"/>
    <s v="EXFU 175641-4"/>
    <s v="Handling Fee at Pickup"/>
    <x v="7"/>
    <d v="2018-05-31T00:00:00"/>
    <d v="2018-05-30T00:00:00"/>
    <n v="90"/>
    <d v="2018-07-03T00:00:00"/>
    <n v="0"/>
    <s v="30-60 days"/>
    <s v="DCPXX"/>
    <x v="1"/>
    <s v="Invoice"/>
  </r>
  <r>
    <x v="13"/>
    <s v="CC"/>
    <s v="G"/>
    <n v="4301"/>
    <n v="285.64999999999998"/>
    <m/>
    <m/>
    <n v="194840"/>
    <s v="H052"/>
    <s v="EXFU 175642-0"/>
    <s v="MONTHLY LEASE"/>
    <x v="7"/>
    <d v="2018-05-31T00:00:00"/>
    <d v="2018-05-30T00:00:00"/>
    <n v="285.64999999999998"/>
    <d v="2018-07-03T00:00:00"/>
    <n v="0"/>
    <s v="30-60 days"/>
    <s v="DCPXX"/>
    <x v="1"/>
    <s v="Invoice"/>
  </r>
  <r>
    <x v="13"/>
    <s v="CC"/>
    <s v="H"/>
    <n v="4301"/>
    <n v="1600"/>
    <m/>
    <m/>
    <n v="194840"/>
    <s v="H052"/>
    <s v="EXFU 175642-0"/>
    <s v="Pickup fee"/>
    <x v="7"/>
    <d v="2018-05-31T00:00:00"/>
    <d v="2018-05-30T00:00:00"/>
    <n v="1600"/>
    <d v="2018-07-03T00:00:00"/>
    <n v="0"/>
    <s v="30-60 days"/>
    <s v="DCPXX"/>
    <x v="1"/>
    <s v="Invoice"/>
  </r>
  <r>
    <x v="13"/>
    <s v="CC"/>
    <s v="I"/>
    <n v="4301"/>
    <n v="90"/>
    <m/>
    <m/>
    <n v="194840"/>
    <s v="H052"/>
    <s v="EXFU 175642-0"/>
    <s v="Handling Fee at Pickup"/>
    <x v="7"/>
    <d v="2018-05-31T00:00:00"/>
    <d v="2018-05-30T00:00:00"/>
    <n v="90"/>
    <d v="2018-07-03T00:00:00"/>
    <n v="0"/>
    <s v="30-60 days"/>
    <s v="DCPXX"/>
    <x v="1"/>
    <s v="Invoice"/>
  </r>
  <r>
    <x v="13"/>
    <s v="CC"/>
    <s v="J"/>
    <n v="4301"/>
    <n v="285.64999999999998"/>
    <m/>
    <m/>
    <n v="194840"/>
    <s v="H052"/>
    <s v="EXFU 175643-5"/>
    <s v="MONTHLY LEASE"/>
    <x v="7"/>
    <d v="2018-05-31T00:00:00"/>
    <d v="2018-05-30T00:00:00"/>
    <n v="285.64999999999998"/>
    <d v="2018-07-03T00:00:00"/>
    <n v="0"/>
    <s v="30-60 days"/>
    <s v="DCPXX"/>
    <x v="1"/>
    <s v="Invoice"/>
  </r>
  <r>
    <x v="13"/>
    <s v="CC"/>
    <s v="K"/>
    <n v="4301"/>
    <n v="1600"/>
    <m/>
    <m/>
    <n v="194840"/>
    <s v="H052"/>
    <s v="EXFU 175643-5"/>
    <s v="Pickup fee"/>
    <x v="7"/>
    <d v="2018-05-31T00:00:00"/>
    <d v="2018-05-30T00:00:00"/>
    <n v="1600"/>
    <d v="2018-07-03T00:00:00"/>
    <n v="0"/>
    <s v="30-60 days"/>
    <s v="DCPXX"/>
    <x v="1"/>
    <s v="Invoice"/>
  </r>
  <r>
    <x v="13"/>
    <s v="CC"/>
    <s v="L"/>
    <n v="4301"/>
    <n v="90"/>
    <m/>
    <m/>
    <n v="194840"/>
    <s v="H052"/>
    <s v="EXFU 175643-5"/>
    <s v="Handling Fee at Pickup"/>
    <x v="7"/>
    <d v="2018-05-31T00:00:00"/>
    <d v="2018-05-30T00:00:00"/>
    <n v="90"/>
    <d v="2018-07-03T00:00:00"/>
    <n v="0"/>
    <s v="30-60 days"/>
    <s v="DCPXX"/>
    <x v="1"/>
    <s v="Invoice"/>
  </r>
  <r>
    <x v="13"/>
    <s v="CC"/>
    <s v="M"/>
    <n v="4301"/>
    <n v="275.8"/>
    <m/>
    <m/>
    <n v="194840"/>
    <s v="H052"/>
    <s v="EXFU 175644-0"/>
    <s v="MONTHLY LEASE"/>
    <x v="7"/>
    <d v="2018-05-31T00:00:00"/>
    <d v="2018-05-30T00:00:00"/>
    <n v="275.8"/>
    <d v="2018-07-03T00:00:00"/>
    <n v="0"/>
    <s v="30-60 days"/>
    <s v="DCPXX"/>
    <x v="1"/>
    <s v="Invoice"/>
  </r>
  <r>
    <x v="13"/>
    <s v="CC"/>
    <s v="N"/>
    <n v="4301"/>
    <n v="1600"/>
    <m/>
    <m/>
    <n v="194840"/>
    <s v="H052"/>
    <s v="EXFU 175644-0"/>
    <s v="Pickup fee"/>
    <x v="7"/>
    <d v="2018-05-31T00:00:00"/>
    <d v="2018-05-30T00:00:00"/>
    <n v="1600"/>
    <d v="2018-07-03T00:00:00"/>
    <n v="0"/>
    <s v="30-60 days"/>
    <s v="DCPXX"/>
    <x v="1"/>
    <s v="Invoice"/>
  </r>
  <r>
    <x v="13"/>
    <s v="CC"/>
    <s v="O"/>
    <n v="4301"/>
    <n v="90"/>
    <m/>
    <m/>
    <n v="194840"/>
    <s v="H052"/>
    <s v="EXFU 175644-0"/>
    <s v="Handling Fee at Pickup"/>
    <x v="7"/>
    <d v="2018-05-31T00:00:00"/>
    <d v="2018-05-30T00:00:00"/>
    <n v="90"/>
    <d v="2018-07-03T00:00:00"/>
    <n v="0"/>
    <s v="30-60 days"/>
    <s v="DCPXX"/>
    <x v="1"/>
    <s v="Invoice"/>
  </r>
  <r>
    <x v="13"/>
    <s v="CC"/>
    <s v="P"/>
    <n v="4301"/>
    <n v="275.8"/>
    <m/>
    <m/>
    <n v="194840"/>
    <s v="H052"/>
    <s v="EXFU 175645-6"/>
    <s v="MONTHLY LEASE"/>
    <x v="7"/>
    <d v="2018-05-31T00:00:00"/>
    <d v="2018-05-30T00:00:00"/>
    <n v="275.8"/>
    <d v="2018-07-03T00:00:00"/>
    <n v="0"/>
    <s v="30-60 days"/>
    <s v="DCPXX"/>
    <x v="1"/>
    <s v="Invoice"/>
  </r>
  <r>
    <x v="13"/>
    <s v="CC"/>
    <s v="Q"/>
    <n v="4301"/>
    <n v="1600"/>
    <m/>
    <m/>
    <n v="194840"/>
    <s v="H052"/>
    <s v="EXFU 175645-6"/>
    <s v="Pickup fee"/>
    <x v="7"/>
    <d v="2018-05-31T00:00:00"/>
    <d v="2018-05-30T00:00:00"/>
    <n v="1600"/>
    <d v="2018-07-03T00:00:00"/>
    <n v="0"/>
    <s v="30-60 days"/>
    <s v="DCPXX"/>
    <x v="1"/>
    <s v="Invoice"/>
  </r>
  <r>
    <x v="13"/>
    <s v="CC"/>
    <s v="R"/>
    <n v="4301"/>
    <n v="90"/>
    <m/>
    <m/>
    <n v="194840"/>
    <s v="H052"/>
    <s v="EXFU 175645-6"/>
    <s v="Handling Fee at Pickup"/>
    <x v="7"/>
    <d v="2018-05-31T00:00:00"/>
    <d v="2018-05-30T00:00:00"/>
    <n v="90"/>
    <d v="2018-07-03T00:00:00"/>
    <n v="0"/>
    <s v="30-60 days"/>
    <s v="DCPXX"/>
    <x v="1"/>
    <s v="Invoice"/>
  </r>
  <r>
    <x v="14"/>
    <s v="CC"/>
    <s v="A"/>
    <n v="4301"/>
    <n v="172.5"/>
    <m/>
    <m/>
    <n v="194567"/>
    <s v="H052"/>
    <s v="EXFU 053748-0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B"/>
    <n v="4301"/>
    <n v="172.5"/>
    <m/>
    <m/>
    <n v="194567"/>
    <s v="H052"/>
    <s v="EXFU 053897-4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C"/>
    <n v="4301"/>
    <n v="420"/>
    <m/>
    <m/>
    <n v="194567"/>
    <s v="H052"/>
    <s v="EXFU 175150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D"/>
    <n v="4301"/>
    <n v="420"/>
    <m/>
    <m/>
    <n v="194567"/>
    <s v="H052"/>
    <s v="EXFU 175151-5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E"/>
    <n v="4301"/>
    <n v="420"/>
    <m/>
    <m/>
    <n v="194567"/>
    <s v="H052"/>
    <s v="EXFU 175152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F"/>
    <n v="4301"/>
    <n v="420"/>
    <m/>
    <m/>
    <n v="194567"/>
    <s v="H052"/>
    <s v="EXFU 175153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G"/>
    <n v="4301"/>
    <n v="420"/>
    <m/>
    <m/>
    <n v="194567"/>
    <s v="H052"/>
    <s v="EXFU 175155-7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H"/>
    <n v="4301"/>
    <n v="420"/>
    <m/>
    <m/>
    <n v="194567"/>
    <s v="H052"/>
    <s v="EXFU 175156-2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I"/>
    <n v="4301"/>
    <n v="420"/>
    <m/>
    <m/>
    <n v="194567"/>
    <s v="H052"/>
    <s v="EXFU 175158-3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J"/>
    <n v="4301"/>
    <n v="420"/>
    <m/>
    <m/>
    <n v="194567"/>
    <s v="H052"/>
    <s v="EXFU 175159-9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K"/>
    <n v="4301"/>
    <n v="420"/>
    <m/>
    <m/>
    <n v="194567"/>
    <s v="H052"/>
    <s v="EXFU 175160-2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L"/>
    <n v="4301"/>
    <n v="420"/>
    <m/>
    <m/>
    <n v="194567"/>
    <s v="H052"/>
    <s v="EXFU 175162-3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M"/>
    <n v="4301"/>
    <n v="420"/>
    <m/>
    <m/>
    <n v="194567"/>
    <s v="H052"/>
    <s v="EXFU 175163-9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N"/>
    <n v="4301"/>
    <n v="420"/>
    <m/>
    <m/>
    <n v="194567"/>
    <s v="H052"/>
    <s v="EXFU 175164-4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O"/>
    <n v="4301"/>
    <n v="420"/>
    <m/>
    <m/>
    <n v="194567"/>
    <s v="H052"/>
    <s v="EXFU 175166-5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P"/>
    <n v="4301"/>
    <n v="420"/>
    <m/>
    <m/>
    <n v="194567"/>
    <s v="H052"/>
    <s v="EXFU 175167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Q"/>
    <n v="4301"/>
    <n v="420"/>
    <m/>
    <m/>
    <n v="194567"/>
    <s v="H052"/>
    <s v="EXFU 175168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R"/>
    <n v="4301"/>
    <n v="420"/>
    <m/>
    <m/>
    <n v="194567"/>
    <s v="H052"/>
    <s v="EXFU 175169-1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S"/>
    <n v="4301"/>
    <n v="420"/>
    <m/>
    <m/>
    <n v="194567"/>
    <s v="H052"/>
    <s v="EXFU 175172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T"/>
    <n v="4301"/>
    <n v="420"/>
    <m/>
    <m/>
    <n v="194567"/>
    <s v="H052"/>
    <s v="EXFU 175174-7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U"/>
    <n v="4301"/>
    <n v="420"/>
    <m/>
    <m/>
    <n v="194567"/>
    <s v="H052"/>
    <s v="EXFU 175175-2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V"/>
    <n v="4301"/>
    <n v="420"/>
    <m/>
    <m/>
    <n v="194567"/>
    <s v="H052"/>
    <s v="EXFU 175176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W"/>
    <n v="4301"/>
    <n v="420"/>
    <m/>
    <m/>
    <n v="194567"/>
    <s v="H052"/>
    <s v="EXFU 175177-3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X"/>
    <n v="4301"/>
    <n v="420"/>
    <m/>
    <m/>
    <n v="194567"/>
    <s v="H052"/>
    <s v="EXFU 175178-9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Y"/>
    <n v="4301"/>
    <n v="420"/>
    <m/>
    <m/>
    <n v="194567"/>
    <s v="H052"/>
    <s v="EXFU 175179-4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Z"/>
    <n v="4301"/>
    <n v="420"/>
    <m/>
    <m/>
    <n v="194567"/>
    <s v="H052"/>
    <s v="EXFU 175180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A"/>
    <n v="4301"/>
    <n v="420"/>
    <m/>
    <m/>
    <n v="194567"/>
    <s v="H052"/>
    <s v="EXFU 175182-9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B"/>
    <n v="4301"/>
    <n v="420"/>
    <m/>
    <m/>
    <n v="194567"/>
    <s v="H052"/>
    <s v="EXFU 175183-4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C"/>
    <n v="4301"/>
    <n v="420"/>
    <m/>
    <m/>
    <n v="194567"/>
    <s v="H052"/>
    <s v="EXFU 175184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D"/>
    <n v="4301"/>
    <n v="420"/>
    <m/>
    <m/>
    <n v="194567"/>
    <s v="H052"/>
    <s v="EXFU 175185-5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E"/>
    <n v="4301"/>
    <n v="420"/>
    <m/>
    <m/>
    <n v="194567"/>
    <s v="H052"/>
    <s v="EXFU 175186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F"/>
    <n v="4301"/>
    <n v="420"/>
    <m/>
    <m/>
    <n v="194567"/>
    <s v="H052"/>
    <s v="EXFU 175187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G"/>
    <n v="4301"/>
    <n v="420"/>
    <m/>
    <m/>
    <n v="194567"/>
    <s v="H052"/>
    <s v="EXFU 175188-1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H"/>
    <n v="4301"/>
    <n v="420"/>
    <m/>
    <m/>
    <n v="194567"/>
    <s v="H052"/>
    <s v="EXFU 175189-7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I"/>
    <n v="4301"/>
    <n v="420"/>
    <m/>
    <m/>
    <n v="194567"/>
    <s v="H052"/>
    <s v="EXFU 175190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J"/>
    <n v="4301"/>
    <n v="420"/>
    <m/>
    <m/>
    <n v="194567"/>
    <s v="H052"/>
    <s v="EXFU 175191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K"/>
    <n v="4301"/>
    <n v="420"/>
    <m/>
    <m/>
    <n v="194567"/>
    <s v="H052"/>
    <s v="EXFU 175192-1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L"/>
    <n v="4301"/>
    <n v="420"/>
    <m/>
    <m/>
    <n v="194567"/>
    <s v="H052"/>
    <s v="EXFU 175346-2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M"/>
    <n v="4301"/>
    <n v="420"/>
    <m/>
    <m/>
    <n v="194567"/>
    <s v="H052"/>
    <s v="EXFU 175347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N"/>
    <n v="4301"/>
    <n v="420"/>
    <m/>
    <m/>
    <n v="194567"/>
    <s v="H052"/>
    <s v="EXFU 175348-3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O"/>
    <n v="4301"/>
    <n v="420"/>
    <m/>
    <m/>
    <n v="194567"/>
    <s v="H052"/>
    <s v="EXFU 175349-9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P"/>
    <n v="4301"/>
    <n v="420"/>
    <m/>
    <m/>
    <n v="194567"/>
    <s v="H052"/>
    <s v="EXFU 175350-2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Q"/>
    <n v="4301"/>
    <n v="420"/>
    <m/>
    <m/>
    <n v="194567"/>
    <s v="H052"/>
    <s v="EXFU 175351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R"/>
    <n v="4301"/>
    <n v="420"/>
    <m/>
    <m/>
    <n v="194567"/>
    <s v="H052"/>
    <s v="TRLU 175136-4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AS"/>
    <n v="4301"/>
    <n v="300"/>
    <m/>
    <m/>
    <n v="194567"/>
    <s v="H052"/>
    <s v="TRLU 175147-2"/>
    <s v="MONTHLY LEASE"/>
    <x v="8"/>
    <d v="2018-07-01T00:00:00"/>
    <d v="2018-05-30T00:00:00"/>
    <n v="300"/>
    <d v="2018-07-03T00:00:00"/>
    <n v="0"/>
    <s v="Less than 30 days"/>
    <s v="DCPXX"/>
    <x v="1"/>
    <s v="Invoice"/>
  </r>
  <r>
    <x v="14"/>
    <s v="CC"/>
    <s v="AT"/>
    <n v="4301"/>
    <n v="225"/>
    <m/>
    <m/>
    <n v="194659"/>
    <s v="H052"/>
    <s v="EXSZ 900664-2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AU"/>
    <n v="4301"/>
    <n v="225"/>
    <m/>
    <m/>
    <n v="194659"/>
    <s v="H052"/>
    <s v="EXSZ 900666-3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AV"/>
    <n v="4301"/>
    <n v="225"/>
    <m/>
    <m/>
    <n v="194659"/>
    <s v="H052"/>
    <s v="EXSZ 900668-4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AW"/>
    <n v="4301"/>
    <n v="225"/>
    <m/>
    <m/>
    <n v="194659"/>
    <s v="H052"/>
    <s v="TRZZ 900418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AX"/>
    <n v="4301"/>
    <n v="225"/>
    <m/>
    <m/>
    <n v="194659"/>
    <s v="H052"/>
    <s v="TRZZ 90042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AY"/>
    <n v="4301"/>
    <n v="225"/>
    <m/>
    <m/>
    <n v="194659"/>
    <s v="H052"/>
    <s v="TRZZ 90044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AZ"/>
    <n v="4301"/>
    <n v="225"/>
    <m/>
    <m/>
    <n v="194659"/>
    <s v="H052"/>
    <s v="TRZZ 900577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A"/>
    <n v="4301"/>
    <n v="225"/>
    <m/>
    <m/>
    <n v="194659"/>
    <s v="H052"/>
    <s v="TRZZ 900624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B"/>
    <n v="4301"/>
    <n v="225"/>
    <m/>
    <m/>
    <n v="194659"/>
    <s v="H052"/>
    <s v="TRZZ 900625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C"/>
    <n v="4301"/>
    <n v="225"/>
    <m/>
    <m/>
    <n v="194659"/>
    <s v="H052"/>
    <s v="TRZZ 900626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D"/>
    <n v="4301"/>
    <n v="172.5"/>
    <m/>
    <m/>
    <n v="194661"/>
    <s v="H052"/>
    <s v="EXFU 440531-0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BE"/>
    <n v="4301"/>
    <n v="420"/>
    <m/>
    <m/>
    <n v="194662"/>
    <s v="H052"/>
    <s v="TRLU 175119-5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F"/>
    <n v="4301"/>
    <n v="225"/>
    <m/>
    <m/>
    <n v="194662"/>
    <s v="H052"/>
    <s v="TRZZ 900576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G"/>
    <n v="4301"/>
    <n v="420"/>
    <m/>
    <m/>
    <n v="194663"/>
    <s v="H052"/>
    <s v="EXFU 175149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H"/>
    <n v="4301"/>
    <n v="420"/>
    <m/>
    <m/>
    <n v="194663"/>
    <s v="H052"/>
    <s v="EXFU 175154-1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I"/>
    <n v="4301"/>
    <n v="420"/>
    <m/>
    <m/>
    <n v="194663"/>
    <s v="H052"/>
    <s v="EXFU 175157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J"/>
    <n v="4301"/>
    <n v="420"/>
    <m/>
    <m/>
    <n v="194663"/>
    <s v="H052"/>
    <s v="EXFU 175165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K"/>
    <n v="4301"/>
    <n v="420"/>
    <m/>
    <m/>
    <n v="194663"/>
    <s v="H052"/>
    <s v="EXFU 175446-9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L"/>
    <n v="4301"/>
    <n v="225"/>
    <m/>
    <m/>
    <n v="194663"/>
    <s v="H052"/>
    <s v="EXSZ 900644-7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M"/>
    <n v="4301"/>
    <n v="225"/>
    <m/>
    <m/>
    <n v="194663"/>
    <s v="H052"/>
    <s v="EXSZ 900661-6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N"/>
    <n v="4301"/>
    <n v="225"/>
    <m/>
    <m/>
    <n v="194663"/>
    <s v="H052"/>
    <s v="EXSZ 900663-7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O"/>
    <n v="4301"/>
    <n v="225"/>
    <m/>
    <m/>
    <n v="194663"/>
    <s v="H052"/>
    <s v="EXSZ 900670-3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P"/>
    <n v="4301"/>
    <n v="225"/>
    <m/>
    <m/>
    <n v="194663"/>
    <s v="H052"/>
    <s v="EXSZ 902057-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Q"/>
    <n v="4301"/>
    <n v="420"/>
    <m/>
    <m/>
    <n v="194663"/>
    <s v="H052"/>
    <s v="TRLU 175053-7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R"/>
    <n v="4301"/>
    <n v="420"/>
    <m/>
    <m/>
    <n v="194663"/>
    <s v="H052"/>
    <s v="TRLU 175130-1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BS"/>
    <n v="4301"/>
    <n v="225"/>
    <m/>
    <m/>
    <n v="194663"/>
    <s v="H052"/>
    <s v="TRZZ 90041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T"/>
    <n v="4301"/>
    <n v="225"/>
    <m/>
    <m/>
    <n v="194663"/>
    <s v="H052"/>
    <s v="TRZZ 90043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U"/>
    <n v="4301"/>
    <n v="225"/>
    <m/>
    <m/>
    <n v="194663"/>
    <s v="H052"/>
    <s v="TRZZ 90058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V"/>
    <n v="4301"/>
    <n v="225"/>
    <m/>
    <m/>
    <n v="194663"/>
    <s v="H052"/>
    <s v="TRZZ 900588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W"/>
    <n v="4301"/>
    <n v="225"/>
    <m/>
    <m/>
    <n v="194663"/>
    <s v="H052"/>
    <s v="TRZZ 90058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X"/>
    <n v="4301"/>
    <n v="225"/>
    <m/>
    <m/>
    <n v="194663"/>
    <s v="H052"/>
    <s v="TRZZ 900591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Y"/>
    <n v="4301"/>
    <n v="225"/>
    <m/>
    <m/>
    <n v="194664"/>
    <s v="H052"/>
    <s v="TRZZ 90057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BZ"/>
    <n v="4301"/>
    <n v="225"/>
    <m/>
    <m/>
    <n v="194664"/>
    <s v="H052"/>
    <s v="TRZZ 900593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A"/>
    <n v="4301"/>
    <n v="225"/>
    <m/>
    <m/>
    <n v="194664"/>
    <s v="H052"/>
    <s v="TRZZ 900594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B"/>
    <n v="4301"/>
    <n v="225"/>
    <m/>
    <m/>
    <n v="194664"/>
    <s v="H052"/>
    <s v="TRZZ 900595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C"/>
    <n v="4301"/>
    <n v="225"/>
    <m/>
    <m/>
    <n v="194664"/>
    <s v="H052"/>
    <s v="TRZZ 900596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D"/>
    <n v="4301"/>
    <n v="225"/>
    <m/>
    <m/>
    <n v="194664"/>
    <s v="H052"/>
    <s v="TRZZ 900621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E"/>
    <n v="4301"/>
    <n v="225"/>
    <m/>
    <m/>
    <n v="194664"/>
    <s v="H052"/>
    <s v="TRZZ 900622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F"/>
    <n v="4301"/>
    <n v="225"/>
    <m/>
    <m/>
    <n v="194664"/>
    <s v="H052"/>
    <s v="TRZZ 900623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G"/>
    <n v="4301"/>
    <n v="225"/>
    <m/>
    <m/>
    <n v="194756"/>
    <s v="H052"/>
    <s v="EXSZ 900669-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H"/>
    <n v="4301"/>
    <n v="225"/>
    <m/>
    <m/>
    <n v="194756"/>
    <s v="H052"/>
    <s v="TRZZ 900574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I"/>
    <n v="4301"/>
    <n v="225"/>
    <m/>
    <m/>
    <n v="194759"/>
    <s v="H052"/>
    <s v="EXFU 441527-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J"/>
    <n v="4301"/>
    <n v="225"/>
    <m/>
    <m/>
    <n v="194759"/>
    <s v="H052"/>
    <s v="EXFU 441529-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K"/>
    <n v="4301"/>
    <n v="225"/>
    <m/>
    <m/>
    <n v="194759"/>
    <s v="H052"/>
    <s v="EXFU 441536-6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L"/>
    <n v="4301"/>
    <n v="225"/>
    <m/>
    <m/>
    <n v="194759"/>
    <s v="H052"/>
    <s v="EXFU 441539-2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M"/>
    <n v="4301"/>
    <n v="225"/>
    <m/>
    <m/>
    <n v="194759"/>
    <s v="H052"/>
    <s v="EXFU 441552-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N"/>
    <n v="4301"/>
    <n v="225"/>
    <m/>
    <m/>
    <n v="194759"/>
    <s v="H052"/>
    <s v="EXFU 441557-7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O"/>
    <n v="4301"/>
    <n v="225"/>
    <m/>
    <m/>
    <n v="194759"/>
    <s v="H052"/>
    <s v="EXFU 441793-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P"/>
    <n v="4301"/>
    <n v="225"/>
    <m/>
    <m/>
    <n v="194759"/>
    <s v="H052"/>
    <s v="EXFU 441794-4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Q"/>
    <n v="4301"/>
    <n v="225"/>
    <m/>
    <m/>
    <n v="194759"/>
    <s v="H052"/>
    <s v="EXFU 441795-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R"/>
    <n v="4301"/>
    <n v="225"/>
    <m/>
    <m/>
    <n v="194759"/>
    <s v="H052"/>
    <s v="EXFU 441796-5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S"/>
    <n v="4301"/>
    <n v="225"/>
    <m/>
    <m/>
    <n v="194759"/>
    <s v="H052"/>
    <s v="EXFU 441797-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T"/>
    <n v="4301"/>
    <n v="225"/>
    <m/>
    <m/>
    <n v="194759"/>
    <s v="H052"/>
    <s v="EXFU 441798-6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U"/>
    <n v="4301"/>
    <n v="420"/>
    <m/>
    <m/>
    <n v="194760"/>
    <s v="H052"/>
    <s v="EXFU 175148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CV"/>
    <n v="4301"/>
    <n v="420"/>
    <m/>
    <m/>
    <n v="194760"/>
    <s v="H052"/>
    <s v="EXFU 175161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CW"/>
    <n v="4301"/>
    <n v="420"/>
    <m/>
    <m/>
    <n v="194760"/>
    <s v="H052"/>
    <s v="EXFU 175445-3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CX"/>
    <n v="4301"/>
    <n v="420"/>
    <m/>
    <m/>
    <n v="194760"/>
    <s v="H052"/>
    <s v="EXFU 175447-4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CY"/>
    <n v="4301"/>
    <n v="225"/>
    <m/>
    <m/>
    <n v="194760"/>
    <s v="H052"/>
    <s v="EXSZ 900643-1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CZ"/>
    <n v="4301"/>
    <n v="225"/>
    <m/>
    <m/>
    <n v="194760"/>
    <s v="H052"/>
    <s v="EXSZ 900662-1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DA"/>
    <n v="4301"/>
    <n v="225"/>
    <m/>
    <m/>
    <n v="194760"/>
    <s v="H052"/>
    <s v="EXSZ 900672-4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DB"/>
    <n v="4301"/>
    <n v="420"/>
    <m/>
    <m/>
    <n v="194760"/>
    <s v="H052"/>
    <s v="TRLU 175118-0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DC"/>
    <n v="4301"/>
    <n v="420"/>
    <m/>
    <m/>
    <n v="194760"/>
    <s v="H052"/>
    <s v="TRLU 175125-6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DD"/>
    <n v="4301"/>
    <n v="420"/>
    <m/>
    <m/>
    <n v="194760"/>
    <s v="H052"/>
    <s v="TRLU 175127-7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DE"/>
    <n v="4301"/>
    <n v="420"/>
    <m/>
    <m/>
    <n v="194760"/>
    <s v="H052"/>
    <s v="TRLU 175129-8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DF"/>
    <n v="4301"/>
    <n v="420"/>
    <m/>
    <m/>
    <n v="194760"/>
    <s v="H052"/>
    <s v="TRLU 175146-7"/>
    <s v="MONTHLY LEASE"/>
    <x v="8"/>
    <d v="2018-07-01T00:00:00"/>
    <d v="2018-05-30T00:00:00"/>
    <n v="420"/>
    <d v="2018-07-03T00:00:00"/>
    <n v="0"/>
    <s v="Less than 30 days"/>
    <s v="DCPXX"/>
    <x v="1"/>
    <s v="Invoice"/>
  </r>
  <r>
    <x v="14"/>
    <s v="CC"/>
    <s v="DG"/>
    <n v="4301"/>
    <n v="225"/>
    <m/>
    <m/>
    <n v="194760"/>
    <s v="H052"/>
    <s v="TRZZ 900408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DH"/>
    <n v="4301"/>
    <n v="225"/>
    <m/>
    <m/>
    <n v="194760"/>
    <s v="H052"/>
    <s v="TRZZ 900627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DI"/>
    <n v="4301"/>
    <n v="225"/>
    <m/>
    <m/>
    <n v="194760"/>
    <s v="H052"/>
    <s v="TRZZ 900630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DJ"/>
    <n v="4301"/>
    <n v="225"/>
    <m/>
    <m/>
    <n v="194760"/>
    <s v="H052"/>
    <s v="TRZZ 900631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DK"/>
    <n v="4301"/>
    <n v="295.5"/>
    <m/>
    <m/>
    <n v="194840"/>
    <s v="H052"/>
    <s v="EXFU 175640-9"/>
    <s v="MONTHLY LEASE"/>
    <x v="8"/>
    <d v="2018-07-01T00:00:00"/>
    <d v="2018-05-30T00:00:00"/>
    <n v="295.5"/>
    <d v="2018-07-03T00:00:00"/>
    <n v="0"/>
    <s v="Less than 30 days"/>
    <s v="DCPXX"/>
    <x v="1"/>
    <s v="Invoice"/>
  </r>
  <r>
    <x v="14"/>
    <s v="CC"/>
    <s v="DL"/>
    <n v="4301"/>
    <n v="295.5"/>
    <m/>
    <m/>
    <n v="194840"/>
    <s v="H052"/>
    <s v="EXFU 175641-4"/>
    <s v="MONTHLY LEASE"/>
    <x v="8"/>
    <d v="2018-07-01T00:00:00"/>
    <d v="2018-05-30T00:00:00"/>
    <n v="295.5"/>
    <d v="2018-07-03T00:00:00"/>
    <n v="0"/>
    <s v="Less than 30 days"/>
    <s v="DCPXX"/>
    <x v="1"/>
    <s v="Invoice"/>
  </r>
  <r>
    <x v="14"/>
    <s v="CC"/>
    <s v="DM"/>
    <n v="4301"/>
    <n v="295.5"/>
    <m/>
    <m/>
    <n v="194840"/>
    <s v="H052"/>
    <s v="EXFU 175642-0"/>
    <s v="MONTHLY LEASE"/>
    <x v="8"/>
    <d v="2018-07-01T00:00:00"/>
    <d v="2018-05-30T00:00:00"/>
    <n v="295.5"/>
    <d v="2018-07-03T00:00:00"/>
    <n v="0"/>
    <s v="Less than 30 days"/>
    <s v="DCPXX"/>
    <x v="1"/>
    <s v="Invoice"/>
  </r>
  <r>
    <x v="14"/>
    <s v="CC"/>
    <s v="DN"/>
    <n v="4301"/>
    <n v="295.5"/>
    <m/>
    <m/>
    <n v="194840"/>
    <s v="H052"/>
    <s v="EXFU 175643-5"/>
    <s v="MONTHLY LEASE"/>
    <x v="8"/>
    <d v="2018-07-01T00:00:00"/>
    <d v="2018-05-30T00:00:00"/>
    <n v="295.5"/>
    <d v="2018-07-03T00:00:00"/>
    <n v="0"/>
    <s v="Less than 30 days"/>
    <s v="DCPXX"/>
    <x v="1"/>
    <s v="Invoice"/>
  </r>
  <r>
    <x v="14"/>
    <s v="CC"/>
    <s v="DO"/>
    <n v="4301"/>
    <n v="295.5"/>
    <m/>
    <m/>
    <n v="194840"/>
    <s v="H052"/>
    <s v="EXFU 175644-0"/>
    <s v="MONTHLY LEASE"/>
    <x v="8"/>
    <d v="2018-07-01T00:00:00"/>
    <d v="2018-05-30T00:00:00"/>
    <n v="295.5"/>
    <d v="2018-07-03T00:00:00"/>
    <n v="0"/>
    <s v="Less than 30 days"/>
    <s v="DCPXX"/>
    <x v="1"/>
    <s v="Invoice"/>
  </r>
  <r>
    <x v="14"/>
    <s v="CC"/>
    <s v="DP"/>
    <n v="4301"/>
    <n v="295.5"/>
    <m/>
    <m/>
    <n v="194840"/>
    <s v="H052"/>
    <s v="EXFU 175645-6"/>
    <s v="MONTHLY LEASE"/>
    <x v="8"/>
    <d v="2018-07-01T00:00:00"/>
    <d v="2018-05-30T00:00:00"/>
    <n v="295.5"/>
    <d v="2018-07-03T00:00:00"/>
    <n v="0"/>
    <s v="Less than 30 days"/>
    <s v="DCPXX"/>
    <x v="1"/>
    <s v="Invoice"/>
  </r>
  <r>
    <x v="14"/>
    <s v="CC"/>
    <s v="DQ"/>
    <n v="4301"/>
    <n v="172.5"/>
    <m/>
    <m/>
    <n v="194841"/>
    <s v="H052"/>
    <s v="EXFU 051979-0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R"/>
    <n v="4301"/>
    <n v="172.5"/>
    <m/>
    <m/>
    <n v="194841"/>
    <s v="H052"/>
    <s v="EXFU 051986-6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S"/>
    <n v="4301"/>
    <n v="172.5"/>
    <m/>
    <m/>
    <n v="194841"/>
    <s v="H052"/>
    <s v="EXFU 051987-1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T"/>
    <n v="4301"/>
    <n v="172.5"/>
    <m/>
    <m/>
    <n v="194841"/>
    <s v="H052"/>
    <s v="EXFU 052043-0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U"/>
    <n v="4301"/>
    <n v="172.5"/>
    <m/>
    <m/>
    <n v="194841"/>
    <s v="H052"/>
    <s v="EXFU 052046-6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V"/>
    <n v="4301"/>
    <n v="172.5"/>
    <m/>
    <m/>
    <n v="194841"/>
    <s v="H052"/>
    <s v="EXFU 052048-7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W"/>
    <n v="4301"/>
    <n v="172.5"/>
    <m/>
    <m/>
    <n v="194841"/>
    <s v="H052"/>
    <s v="EXFU 052055-3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X"/>
    <n v="4301"/>
    <n v="172.5"/>
    <m/>
    <m/>
    <n v="194841"/>
    <s v="H052"/>
    <s v="EXFU 052356-8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Y"/>
    <n v="4301"/>
    <n v="172.5"/>
    <m/>
    <m/>
    <n v="194841"/>
    <s v="H052"/>
    <s v="EXFU 053598-0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DZ"/>
    <n v="4301"/>
    <n v="172.5"/>
    <m/>
    <m/>
    <n v="194841"/>
    <s v="H052"/>
    <s v="EXFU 440467-5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A"/>
    <n v="4301"/>
    <n v="172.5"/>
    <m/>
    <m/>
    <n v="194841"/>
    <s v="H052"/>
    <s v="EXFU 440486-5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B"/>
    <n v="4301"/>
    <n v="172.5"/>
    <m/>
    <m/>
    <n v="194841"/>
    <s v="H052"/>
    <s v="EXFU 440503-3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C"/>
    <n v="4301"/>
    <n v="172.5"/>
    <m/>
    <m/>
    <n v="194841"/>
    <s v="H052"/>
    <s v="EXFU 440513-6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D"/>
    <n v="4301"/>
    <n v="172.5"/>
    <m/>
    <m/>
    <n v="194841"/>
    <s v="H052"/>
    <s v="EXFU 440528-6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E"/>
    <n v="4301"/>
    <n v="172.5"/>
    <m/>
    <m/>
    <n v="194841"/>
    <s v="H052"/>
    <s v="EXXU 999261-4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F"/>
    <n v="4301"/>
    <n v="172.5"/>
    <m/>
    <m/>
    <n v="194841"/>
    <s v="H052"/>
    <s v="EXXU 999264-0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G"/>
    <n v="4301"/>
    <n v="172.5"/>
    <m/>
    <m/>
    <n v="194841"/>
    <s v="H052"/>
    <s v="EXXU 999267-7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H"/>
    <n v="4301"/>
    <n v="172.5"/>
    <m/>
    <m/>
    <n v="194841"/>
    <s v="H052"/>
    <s v="EXXU 999268-2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I"/>
    <n v="4301"/>
    <n v="172.5"/>
    <m/>
    <m/>
    <n v="194841"/>
    <s v="H052"/>
    <s v="EXXU 999584-5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J"/>
    <n v="4301"/>
    <n v="172.5"/>
    <m/>
    <m/>
    <n v="194841"/>
    <s v="H052"/>
    <s v="EXXU 999587-1"/>
    <s v="MONTHLY LEASE"/>
    <x v="8"/>
    <d v="2018-07-01T00:00:00"/>
    <d v="2018-05-30T00:00:00"/>
    <n v="172.5"/>
    <d v="2018-07-03T00:00:00"/>
    <n v="0"/>
    <s v="Less than 30 days"/>
    <s v="DCPXX"/>
    <x v="1"/>
    <s v="Invoice"/>
  </r>
  <r>
    <x v="14"/>
    <s v="CC"/>
    <s v="EK"/>
    <n v="4301"/>
    <n v="225"/>
    <m/>
    <m/>
    <n v="195163"/>
    <s v="H052"/>
    <s v="EXSZ 901032-8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EL"/>
    <n v="4301"/>
    <n v="225"/>
    <m/>
    <m/>
    <n v="195163"/>
    <s v="H052"/>
    <s v="TRZZ 900417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EM"/>
    <n v="4301"/>
    <n v="225"/>
    <m/>
    <m/>
    <n v="195163"/>
    <s v="H052"/>
    <s v="TRZZ 900578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EN"/>
    <n v="4301"/>
    <n v="225"/>
    <m/>
    <m/>
    <n v="195163"/>
    <s v="H052"/>
    <s v="TRZZ 900628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EO"/>
    <n v="4301"/>
    <n v="225"/>
    <m/>
    <m/>
    <n v="195163"/>
    <s v="H052"/>
    <s v="TRZZ 900629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4"/>
    <s v="CC"/>
    <s v="EP"/>
    <n v="4301"/>
    <n v="225"/>
    <m/>
    <m/>
    <n v="195163"/>
    <s v="H052"/>
    <s v="TRZZ 900632"/>
    <s v="MONTHLY LEASE"/>
    <x v="8"/>
    <d v="2018-07-01T00:00:00"/>
    <d v="2018-05-30T00:00:00"/>
    <n v="225"/>
    <d v="2018-07-03T00:00:00"/>
    <n v="0"/>
    <s v="Less than 30 days"/>
    <s v="DCPXX"/>
    <x v="1"/>
    <s v="Invoice"/>
  </r>
  <r>
    <x v="15"/>
    <m/>
    <m/>
    <m/>
    <n v="2700"/>
    <m/>
    <s v="4506924343"/>
    <m/>
    <m/>
    <s v="Various"/>
    <s v="Rental"/>
    <x v="8"/>
    <d v="2018-07-01T00:00:00"/>
    <d v="2018-05-30T00:00:00"/>
    <n v="2700"/>
    <d v="2018-07-05T00:00:00"/>
    <n v="0"/>
    <s v="Less than 30 days"/>
    <s v="DCPXX"/>
    <x v="1"/>
    <s v="Invoice"/>
  </r>
  <r>
    <x v="16"/>
    <s v="Slovakia"/>
    <m/>
    <m/>
    <n v="8400"/>
    <m/>
    <s v="4506682187"/>
    <m/>
    <m/>
    <s v="Various"/>
    <s v="Rental"/>
    <x v="8"/>
    <d v="2018-07-01T00:00:00"/>
    <d v="2018-05-30T00:00:00"/>
    <m/>
    <m/>
    <n v="8400"/>
    <s v="Less than 30 days"/>
    <s v="DCPXX"/>
    <x v="0"/>
    <s v="Invoice"/>
  </r>
  <r>
    <x v="17"/>
    <s v="CC"/>
    <s v="A"/>
    <n v="4301"/>
    <n v="178.25"/>
    <m/>
    <m/>
    <n v="194567"/>
    <s v="H052"/>
    <s v="EXFU 053748-0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B"/>
    <n v="4301"/>
    <n v="178.25"/>
    <m/>
    <m/>
    <n v="194567"/>
    <s v="H052"/>
    <s v="EXFU 053897-4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C"/>
    <n v="4301"/>
    <n v="434"/>
    <m/>
    <m/>
    <n v="194567"/>
    <s v="H052"/>
    <s v="EXFU 175150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"/>
    <n v="4301"/>
    <n v="434"/>
    <m/>
    <m/>
    <n v="194567"/>
    <s v="H052"/>
    <s v="EXFU 175151-5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E"/>
    <n v="4301"/>
    <n v="434"/>
    <m/>
    <m/>
    <n v="194567"/>
    <s v="H052"/>
    <s v="EXFU 175152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F"/>
    <n v="4301"/>
    <n v="434"/>
    <m/>
    <m/>
    <n v="194567"/>
    <s v="H052"/>
    <s v="EXFU 175153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G"/>
    <n v="4301"/>
    <n v="434"/>
    <m/>
    <m/>
    <n v="194567"/>
    <s v="H052"/>
    <s v="EXFU 175155-7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H"/>
    <n v="4301"/>
    <n v="434"/>
    <m/>
    <m/>
    <n v="194567"/>
    <s v="H052"/>
    <s v="EXFU 175156-2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I"/>
    <n v="4301"/>
    <n v="434"/>
    <m/>
    <m/>
    <n v="194567"/>
    <s v="H052"/>
    <s v="EXFU 175158-3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J"/>
    <n v="4301"/>
    <n v="434"/>
    <m/>
    <m/>
    <n v="194567"/>
    <s v="H052"/>
    <s v="EXFU 175159-9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K"/>
    <n v="4301"/>
    <n v="434"/>
    <m/>
    <m/>
    <n v="194567"/>
    <s v="H052"/>
    <s v="EXFU 175160-2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L"/>
    <n v="4301"/>
    <n v="434"/>
    <m/>
    <m/>
    <n v="194567"/>
    <s v="H052"/>
    <s v="EXFU 175162-3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M"/>
    <n v="4301"/>
    <n v="434"/>
    <m/>
    <m/>
    <n v="194567"/>
    <s v="H052"/>
    <s v="EXFU 175163-9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N"/>
    <n v="4301"/>
    <n v="434"/>
    <m/>
    <m/>
    <n v="194567"/>
    <s v="H052"/>
    <s v="EXFU 175164-4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O"/>
    <n v="4301"/>
    <n v="434"/>
    <m/>
    <m/>
    <n v="194567"/>
    <s v="H052"/>
    <s v="EXFU 175166-5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P"/>
    <n v="4301"/>
    <n v="434"/>
    <m/>
    <m/>
    <n v="194567"/>
    <s v="H052"/>
    <s v="EXFU 175167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Q"/>
    <n v="4301"/>
    <n v="434"/>
    <m/>
    <m/>
    <n v="194567"/>
    <s v="H052"/>
    <s v="EXFU 175168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R"/>
    <n v="4301"/>
    <n v="434"/>
    <m/>
    <m/>
    <n v="194567"/>
    <s v="H052"/>
    <s v="EXFU 175169-1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S"/>
    <n v="4301"/>
    <n v="434"/>
    <m/>
    <m/>
    <n v="194567"/>
    <s v="H052"/>
    <s v="EXFU 175172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T"/>
    <n v="4301"/>
    <n v="434"/>
    <m/>
    <m/>
    <n v="194567"/>
    <s v="H052"/>
    <s v="EXFU 175174-7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U"/>
    <n v="4301"/>
    <n v="434"/>
    <m/>
    <m/>
    <n v="194567"/>
    <s v="H052"/>
    <s v="EXFU 175175-2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V"/>
    <n v="4301"/>
    <n v="434"/>
    <m/>
    <m/>
    <n v="194567"/>
    <s v="H052"/>
    <s v="EXFU 175176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W"/>
    <n v="4301"/>
    <n v="434"/>
    <m/>
    <m/>
    <n v="194567"/>
    <s v="H052"/>
    <s v="EXFU 175177-3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X"/>
    <n v="4301"/>
    <n v="434"/>
    <m/>
    <m/>
    <n v="194567"/>
    <s v="H052"/>
    <s v="EXFU 175178-9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Y"/>
    <n v="4301"/>
    <n v="434"/>
    <m/>
    <m/>
    <n v="194567"/>
    <s v="H052"/>
    <s v="EXFU 175179-4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Z"/>
    <n v="4301"/>
    <n v="434"/>
    <m/>
    <m/>
    <n v="194567"/>
    <s v="H052"/>
    <s v="EXFU 175180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A"/>
    <n v="4301"/>
    <n v="434"/>
    <m/>
    <m/>
    <n v="194567"/>
    <s v="H052"/>
    <s v="EXFU 175182-9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B"/>
    <n v="4301"/>
    <n v="434"/>
    <m/>
    <m/>
    <n v="194567"/>
    <s v="H052"/>
    <s v="EXFU 175183-4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C"/>
    <n v="4301"/>
    <n v="434"/>
    <m/>
    <m/>
    <n v="194567"/>
    <s v="H052"/>
    <s v="EXFU 175184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D"/>
    <n v="4301"/>
    <n v="434"/>
    <m/>
    <m/>
    <n v="194567"/>
    <s v="H052"/>
    <s v="EXFU 175185-5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E"/>
    <n v="4301"/>
    <n v="434"/>
    <m/>
    <m/>
    <n v="194567"/>
    <s v="H052"/>
    <s v="EXFU 175186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F"/>
    <n v="4301"/>
    <n v="434"/>
    <m/>
    <m/>
    <n v="194567"/>
    <s v="H052"/>
    <s v="EXFU 175187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G"/>
    <n v="4301"/>
    <n v="434"/>
    <m/>
    <m/>
    <n v="194567"/>
    <s v="H052"/>
    <s v="EXFU 175188-1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H"/>
    <n v="4301"/>
    <n v="434"/>
    <m/>
    <m/>
    <n v="194567"/>
    <s v="H052"/>
    <s v="EXFU 175189-7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I"/>
    <n v="4301"/>
    <n v="434"/>
    <m/>
    <m/>
    <n v="194567"/>
    <s v="H052"/>
    <s v="EXFU 175190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J"/>
    <n v="4301"/>
    <n v="434"/>
    <m/>
    <m/>
    <n v="194567"/>
    <s v="H052"/>
    <s v="EXFU 175191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K"/>
    <n v="4301"/>
    <n v="434"/>
    <m/>
    <m/>
    <n v="194567"/>
    <s v="H052"/>
    <s v="EXFU 175192-1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L"/>
    <n v="4301"/>
    <n v="434"/>
    <m/>
    <m/>
    <n v="194567"/>
    <s v="H052"/>
    <s v="EXFU 175346-2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M"/>
    <n v="4301"/>
    <n v="434"/>
    <m/>
    <m/>
    <n v="194567"/>
    <s v="H052"/>
    <s v="EXFU 175347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N"/>
    <n v="4301"/>
    <n v="434"/>
    <m/>
    <m/>
    <n v="194567"/>
    <s v="H052"/>
    <s v="EXFU 175348-3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O"/>
    <n v="4301"/>
    <n v="434"/>
    <m/>
    <m/>
    <n v="194567"/>
    <s v="H052"/>
    <s v="EXFU 175349-9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P"/>
    <n v="4301"/>
    <n v="434"/>
    <m/>
    <m/>
    <n v="194567"/>
    <s v="H052"/>
    <s v="EXFU 175350-2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Q"/>
    <n v="4301"/>
    <n v="434"/>
    <m/>
    <m/>
    <n v="194567"/>
    <s v="H052"/>
    <s v="EXFU 175351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R"/>
    <n v="4301"/>
    <n v="178.25"/>
    <m/>
    <m/>
    <n v="194567"/>
    <s v="H052"/>
    <s v="EXFU 441462-6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AS"/>
    <n v="4301"/>
    <n v="232.5"/>
    <m/>
    <m/>
    <n v="194567"/>
    <s v="H052"/>
    <s v="EXSZ 903728-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AT"/>
    <n v="4301"/>
    <n v="434"/>
    <m/>
    <m/>
    <n v="194567"/>
    <s v="H052"/>
    <s v="TRLU 175136-4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AU"/>
    <n v="4301"/>
    <n v="310"/>
    <m/>
    <m/>
    <n v="194567"/>
    <s v="H052"/>
    <s v="TRLU 175147-2"/>
    <s v="MONTHLY LEASE"/>
    <x v="9"/>
    <d v="2018-07-31T00:00:00"/>
    <d v="2018-06-28T00:00:00"/>
    <m/>
    <m/>
    <n v="310"/>
    <s v="Less than 30 days"/>
    <s v="DCPXX"/>
    <x v="0"/>
    <s v="Invoice"/>
  </r>
  <r>
    <x v="17"/>
    <s v="CC"/>
    <s v="AV"/>
    <n v="4301"/>
    <n v="232.5"/>
    <m/>
    <m/>
    <n v="194659"/>
    <s v="H052"/>
    <s v="EXSZ 900664-2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AW"/>
    <n v="4301"/>
    <n v="232.5"/>
    <m/>
    <m/>
    <n v="194659"/>
    <s v="H052"/>
    <s v="EXSZ 900666-3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AX"/>
    <n v="4301"/>
    <n v="232.5"/>
    <m/>
    <m/>
    <n v="194659"/>
    <s v="H052"/>
    <s v="EXSZ 900668-4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AY"/>
    <n v="4301"/>
    <n v="232.5"/>
    <m/>
    <m/>
    <n v="194659"/>
    <s v="H052"/>
    <s v="TRZZ 900418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AZ"/>
    <n v="4301"/>
    <n v="232.5"/>
    <m/>
    <m/>
    <n v="194659"/>
    <s v="H052"/>
    <s v="TRZZ 90042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A"/>
    <n v="4301"/>
    <n v="232.5"/>
    <m/>
    <m/>
    <n v="194659"/>
    <s v="H052"/>
    <s v="TRZZ 90044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B"/>
    <n v="4301"/>
    <n v="232.5"/>
    <m/>
    <m/>
    <n v="194659"/>
    <s v="H052"/>
    <s v="TRZZ 900577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C"/>
    <n v="4301"/>
    <n v="232.5"/>
    <m/>
    <m/>
    <n v="194659"/>
    <s v="H052"/>
    <s v="TRZZ 900624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D"/>
    <n v="4301"/>
    <n v="232.5"/>
    <m/>
    <m/>
    <n v="194659"/>
    <s v="H052"/>
    <s v="TRZZ 900625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E"/>
    <n v="4301"/>
    <n v="232.5"/>
    <m/>
    <m/>
    <n v="194659"/>
    <s v="H052"/>
    <s v="TRZZ 900626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F"/>
    <n v="4301"/>
    <n v="178.25"/>
    <m/>
    <m/>
    <n v="194661"/>
    <s v="H052"/>
    <s v="EXFU 440531-0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BG"/>
    <n v="4301"/>
    <n v="434"/>
    <m/>
    <m/>
    <n v="194662"/>
    <s v="H052"/>
    <s v="TRLU 175119-5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H"/>
    <n v="4301"/>
    <n v="232.5"/>
    <m/>
    <m/>
    <n v="194662"/>
    <s v="H052"/>
    <s v="TRZZ 900576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I"/>
    <n v="4301"/>
    <n v="434"/>
    <m/>
    <m/>
    <n v="194663"/>
    <s v="H052"/>
    <s v="EXFU 175149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J"/>
    <n v="4301"/>
    <n v="434"/>
    <m/>
    <m/>
    <n v="194663"/>
    <s v="H052"/>
    <s v="EXFU 175154-1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K"/>
    <n v="4301"/>
    <n v="434"/>
    <m/>
    <m/>
    <n v="194663"/>
    <s v="H052"/>
    <s v="EXFU 175157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L"/>
    <n v="4301"/>
    <n v="434"/>
    <m/>
    <m/>
    <n v="194663"/>
    <s v="H052"/>
    <s v="EXFU 175165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M"/>
    <n v="4301"/>
    <n v="434"/>
    <m/>
    <m/>
    <n v="194663"/>
    <s v="H052"/>
    <s v="EXFU 175446-9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N"/>
    <n v="4301"/>
    <n v="232.5"/>
    <m/>
    <m/>
    <n v="194663"/>
    <s v="H052"/>
    <s v="EXSZ 900644-7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O"/>
    <n v="4301"/>
    <n v="232.5"/>
    <m/>
    <m/>
    <n v="194663"/>
    <s v="H052"/>
    <s v="EXSZ 900661-6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P"/>
    <n v="4301"/>
    <n v="232.5"/>
    <m/>
    <m/>
    <n v="194663"/>
    <s v="H052"/>
    <s v="EXSZ 900663-7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Q"/>
    <n v="4301"/>
    <n v="232.5"/>
    <m/>
    <m/>
    <n v="194663"/>
    <s v="H052"/>
    <s v="EXSZ 900670-3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R"/>
    <n v="4301"/>
    <n v="232.5"/>
    <m/>
    <m/>
    <n v="194663"/>
    <s v="H052"/>
    <s v="EXSZ 902057-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S"/>
    <n v="4301"/>
    <n v="434"/>
    <m/>
    <m/>
    <n v="194663"/>
    <s v="H052"/>
    <s v="TRLU 175053-7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T"/>
    <n v="4301"/>
    <n v="434"/>
    <m/>
    <m/>
    <n v="194663"/>
    <s v="H052"/>
    <s v="TRLU 175130-1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BU"/>
    <n v="4301"/>
    <n v="232.5"/>
    <m/>
    <m/>
    <n v="194663"/>
    <s v="H052"/>
    <s v="TRZZ 90041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V"/>
    <n v="4301"/>
    <n v="232.5"/>
    <m/>
    <m/>
    <n v="194663"/>
    <s v="H052"/>
    <s v="TRZZ 90043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W"/>
    <n v="4301"/>
    <n v="232.5"/>
    <m/>
    <m/>
    <n v="194663"/>
    <s v="H052"/>
    <s v="TRZZ 90058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X"/>
    <n v="4301"/>
    <n v="232.5"/>
    <m/>
    <m/>
    <n v="194663"/>
    <s v="H052"/>
    <s v="TRZZ 900588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Y"/>
    <n v="4301"/>
    <n v="232.5"/>
    <m/>
    <m/>
    <n v="194663"/>
    <s v="H052"/>
    <s v="TRZZ 90058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BZ"/>
    <n v="4301"/>
    <n v="232.5"/>
    <m/>
    <m/>
    <n v="194663"/>
    <s v="H052"/>
    <s v="TRZZ 900591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A"/>
    <n v="4301"/>
    <n v="232.5"/>
    <m/>
    <m/>
    <n v="194664"/>
    <s v="H052"/>
    <s v="TRZZ 90057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B"/>
    <n v="4301"/>
    <n v="232.5"/>
    <m/>
    <m/>
    <n v="194664"/>
    <s v="H052"/>
    <s v="TRZZ 900593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C"/>
    <n v="4301"/>
    <n v="232.5"/>
    <m/>
    <m/>
    <n v="194664"/>
    <s v="H052"/>
    <s v="TRZZ 900594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D"/>
    <n v="4301"/>
    <n v="232.5"/>
    <m/>
    <m/>
    <n v="194664"/>
    <s v="H052"/>
    <s v="TRZZ 900595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E"/>
    <n v="4301"/>
    <n v="232.5"/>
    <m/>
    <m/>
    <n v="194664"/>
    <s v="H052"/>
    <s v="TRZZ 900596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F"/>
    <n v="4301"/>
    <n v="232.5"/>
    <m/>
    <m/>
    <n v="194664"/>
    <s v="H052"/>
    <s v="TRZZ 900621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G"/>
    <n v="4301"/>
    <n v="232.5"/>
    <m/>
    <m/>
    <n v="194664"/>
    <s v="H052"/>
    <s v="TRZZ 900622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H"/>
    <n v="4301"/>
    <n v="232.5"/>
    <m/>
    <m/>
    <n v="194664"/>
    <s v="H052"/>
    <s v="TRZZ 900623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I"/>
    <n v="4301"/>
    <n v="232.5"/>
    <m/>
    <m/>
    <n v="194756"/>
    <s v="H052"/>
    <s v="EXSZ 900669-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J"/>
    <n v="4301"/>
    <n v="232.5"/>
    <m/>
    <m/>
    <n v="194756"/>
    <s v="H052"/>
    <s v="TRZZ 900574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K"/>
    <n v="4301"/>
    <n v="232.5"/>
    <m/>
    <m/>
    <n v="194759"/>
    <s v="H052"/>
    <s v="EXFU 441527-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L"/>
    <n v="4301"/>
    <n v="232.5"/>
    <m/>
    <m/>
    <n v="194759"/>
    <s v="H052"/>
    <s v="EXFU 441529-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M"/>
    <n v="4301"/>
    <n v="232.5"/>
    <m/>
    <m/>
    <n v="194759"/>
    <s v="H052"/>
    <s v="EXFU 441536-6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N"/>
    <n v="4301"/>
    <n v="232.5"/>
    <m/>
    <m/>
    <n v="194759"/>
    <s v="H052"/>
    <s v="EXFU 441539-2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O"/>
    <n v="4301"/>
    <n v="232.5"/>
    <m/>
    <m/>
    <n v="194759"/>
    <s v="H052"/>
    <s v="EXFU 441552-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P"/>
    <n v="4301"/>
    <n v="232.5"/>
    <m/>
    <m/>
    <n v="194759"/>
    <s v="H052"/>
    <s v="EXFU 441557-7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Q"/>
    <n v="4301"/>
    <n v="232.5"/>
    <m/>
    <m/>
    <n v="194759"/>
    <s v="H052"/>
    <s v="EXFU 441793-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R"/>
    <n v="4301"/>
    <n v="232.5"/>
    <m/>
    <m/>
    <n v="194759"/>
    <s v="H052"/>
    <s v="EXFU 441794-4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S"/>
    <n v="4301"/>
    <n v="232.5"/>
    <m/>
    <m/>
    <n v="194759"/>
    <s v="H052"/>
    <s v="EXFU 441795-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T"/>
    <n v="4301"/>
    <n v="232.5"/>
    <m/>
    <m/>
    <n v="194759"/>
    <s v="H052"/>
    <s v="EXFU 441796-5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U"/>
    <n v="4301"/>
    <n v="232.5"/>
    <m/>
    <m/>
    <n v="194759"/>
    <s v="H052"/>
    <s v="EXFU 441797-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V"/>
    <n v="4301"/>
    <n v="232.5"/>
    <m/>
    <m/>
    <n v="194759"/>
    <s v="H052"/>
    <s v="EXFU 441798-6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CW"/>
    <n v="4301"/>
    <n v="434"/>
    <m/>
    <m/>
    <n v="194760"/>
    <s v="H052"/>
    <s v="EXFU 175148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CX"/>
    <n v="4301"/>
    <n v="434"/>
    <m/>
    <m/>
    <n v="194760"/>
    <s v="H052"/>
    <s v="EXFU 175161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CY"/>
    <n v="4301"/>
    <n v="434"/>
    <m/>
    <m/>
    <n v="194760"/>
    <s v="H052"/>
    <s v="EXFU 175445-3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CZ"/>
    <n v="4301"/>
    <n v="434"/>
    <m/>
    <m/>
    <n v="194760"/>
    <s v="H052"/>
    <s v="EXFU 175447-4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A"/>
    <n v="4301"/>
    <n v="232.5"/>
    <m/>
    <m/>
    <n v="194760"/>
    <s v="H052"/>
    <s v="EXSZ 900643-1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B"/>
    <n v="4301"/>
    <n v="232.5"/>
    <m/>
    <m/>
    <n v="194760"/>
    <s v="H052"/>
    <s v="EXSZ 900662-1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C"/>
    <n v="4301"/>
    <n v="232.5"/>
    <m/>
    <m/>
    <n v="194760"/>
    <s v="H052"/>
    <s v="EXSZ 900672-4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D"/>
    <n v="4301"/>
    <n v="434"/>
    <m/>
    <m/>
    <n v="194760"/>
    <s v="H052"/>
    <s v="TRLU 175118-0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E"/>
    <n v="4301"/>
    <n v="434"/>
    <m/>
    <m/>
    <n v="194760"/>
    <s v="H052"/>
    <s v="TRLU 175125-6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F"/>
    <n v="4301"/>
    <n v="434"/>
    <m/>
    <m/>
    <n v="194760"/>
    <s v="H052"/>
    <s v="TRLU 175127-7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G"/>
    <n v="4301"/>
    <n v="434"/>
    <m/>
    <m/>
    <n v="194760"/>
    <s v="H052"/>
    <s v="TRLU 175129-8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H"/>
    <n v="4301"/>
    <n v="434"/>
    <m/>
    <m/>
    <n v="194760"/>
    <s v="H052"/>
    <s v="TRLU 175146-7"/>
    <s v="MONTHLY LEASE"/>
    <x v="9"/>
    <d v="2018-07-31T00:00:00"/>
    <d v="2018-06-28T00:00:00"/>
    <m/>
    <m/>
    <n v="434"/>
    <s v="Less than 30 days"/>
    <s v="DCPXX"/>
    <x v="0"/>
    <s v="Invoice"/>
  </r>
  <r>
    <x v="17"/>
    <s v="CC"/>
    <s v="DI"/>
    <n v="4301"/>
    <n v="232.5"/>
    <m/>
    <m/>
    <n v="194760"/>
    <s v="H052"/>
    <s v="TRZZ 900408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J"/>
    <n v="4301"/>
    <n v="232.5"/>
    <m/>
    <m/>
    <n v="194760"/>
    <s v="H052"/>
    <s v="TRZZ 900627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K"/>
    <n v="4301"/>
    <n v="232.5"/>
    <m/>
    <m/>
    <n v="194760"/>
    <s v="H052"/>
    <s v="TRZZ 900630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L"/>
    <n v="4301"/>
    <n v="232.5"/>
    <m/>
    <m/>
    <n v="194760"/>
    <s v="H052"/>
    <s v="TRZZ 900631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DM"/>
    <n v="4301"/>
    <n v="305.35000000000002"/>
    <m/>
    <m/>
    <n v="194840"/>
    <s v="H052"/>
    <s v="EXFU 175640-9"/>
    <s v="MONTHLY LEASE"/>
    <x v="9"/>
    <d v="2018-07-31T00:00:00"/>
    <d v="2018-06-28T00:00:00"/>
    <m/>
    <m/>
    <n v="305.35000000000002"/>
    <s v="Less than 30 days"/>
    <s v="DCPXX"/>
    <x v="0"/>
    <s v="Invoice"/>
  </r>
  <r>
    <x v="17"/>
    <s v="CC"/>
    <s v="DN"/>
    <n v="4301"/>
    <n v="305.35000000000002"/>
    <m/>
    <m/>
    <n v="194840"/>
    <s v="H052"/>
    <s v="EXFU 175641-4"/>
    <s v="MONTHLY LEASE"/>
    <x v="9"/>
    <d v="2018-07-31T00:00:00"/>
    <d v="2018-06-28T00:00:00"/>
    <m/>
    <m/>
    <n v="305.35000000000002"/>
    <s v="Less than 30 days"/>
    <s v="DCPXX"/>
    <x v="0"/>
    <s v="Invoice"/>
  </r>
  <r>
    <x v="17"/>
    <s v="CC"/>
    <s v="DO"/>
    <n v="4301"/>
    <n v="305.35000000000002"/>
    <m/>
    <m/>
    <n v="194840"/>
    <s v="H052"/>
    <s v="EXFU 175642-0"/>
    <s v="MONTHLY LEASE"/>
    <x v="9"/>
    <d v="2018-07-31T00:00:00"/>
    <d v="2018-06-28T00:00:00"/>
    <m/>
    <m/>
    <n v="305.35000000000002"/>
    <s v="Less than 30 days"/>
    <s v="DCPXX"/>
    <x v="0"/>
    <s v="Invoice"/>
  </r>
  <r>
    <x v="17"/>
    <s v="CC"/>
    <s v="DP"/>
    <n v="4301"/>
    <n v="305.35000000000002"/>
    <m/>
    <m/>
    <n v="194840"/>
    <s v="H052"/>
    <s v="EXFU 175643-5"/>
    <s v="MONTHLY LEASE"/>
    <x v="9"/>
    <d v="2018-07-31T00:00:00"/>
    <d v="2018-06-28T00:00:00"/>
    <m/>
    <m/>
    <n v="305.35000000000002"/>
    <s v="Less than 30 days"/>
    <s v="DCPXX"/>
    <x v="0"/>
    <s v="Invoice"/>
  </r>
  <r>
    <x v="17"/>
    <s v="CC"/>
    <s v="DQ"/>
    <n v="4301"/>
    <n v="305.35000000000002"/>
    <m/>
    <m/>
    <n v="194840"/>
    <s v="H052"/>
    <s v="EXFU 175644-0"/>
    <s v="MONTHLY LEASE"/>
    <x v="9"/>
    <d v="2018-07-31T00:00:00"/>
    <d v="2018-06-28T00:00:00"/>
    <m/>
    <m/>
    <n v="305.35000000000002"/>
    <s v="Less than 30 days"/>
    <s v="DCPXX"/>
    <x v="0"/>
    <s v="Invoice"/>
  </r>
  <r>
    <x v="17"/>
    <s v="CC"/>
    <s v="DR"/>
    <n v="4301"/>
    <n v="305.35000000000002"/>
    <m/>
    <m/>
    <n v="194840"/>
    <s v="H052"/>
    <s v="EXFU 175645-6"/>
    <s v="MONTHLY LEASE"/>
    <x v="9"/>
    <d v="2018-07-31T00:00:00"/>
    <d v="2018-06-28T00:00:00"/>
    <m/>
    <m/>
    <n v="305.35000000000002"/>
    <s v="Less than 30 days"/>
    <s v="DCPXX"/>
    <x v="0"/>
    <s v="Invoice"/>
  </r>
  <r>
    <x v="17"/>
    <s v="CC"/>
    <s v="DS"/>
    <n v="4301"/>
    <n v="178.25"/>
    <m/>
    <m/>
    <n v="194841"/>
    <s v="H052"/>
    <s v="EXFU 051979-0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T"/>
    <n v="4301"/>
    <n v="178.25"/>
    <m/>
    <m/>
    <n v="194841"/>
    <s v="H052"/>
    <s v="EXFU 051986-6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U"/>
    <n v="4301"/>
    <n v="178.25"/>
    <m/>
    <m/>
    <n v="194841"/>
    <s v="H052"/>
    <s v="EXFU 051987-1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V"/>
    <n v="4301"/>
    <n v="178.25"/>
    <m/>
    <m/>
    <n v="194841"/>
    <s v="H052"/>
    <s v="EXFU 052043-0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W"/>
    <n v="4301"/>
    <n v="178.25"/>
    <m/>
    <m/>
    <n v="194841"/>
    <s v="H052"/>
    <s v="EXFU 052046-6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X"/>
    <n v="4301"/>
    <n v="178.25"/>
    <m/>
    <m/>
    <n v="194841"/>
    <s v="H052"/>
    <s v="EXFU 052048-7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Y"/>
    <n v="4301"/>
    <n v="178.25"/>
    <m/>
    <m/>
    <n v="194841"/>
    <s v="H052"/>
    <s v="EXFU 052055-3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DZ"/>
    <n v="4301"/>
    <n v="178.25"/>
    <m/>
    <m/>
    <n v="194841"/>
    <s v="H052"/>
    <s v="EXFU 052356-8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A"/>
    <n v="4301"/>
    <n v="178.25"/>
    <m/>
    <m/>
    <n v="194841"/>
    <s v="H052"/>
    <s v="EXFU 053598-0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B"/>
    <n v="4301"/>
    <n v="178.25"/>
    <m/>
    <m/>
    <n v="194841"/>
    <s v="H052"/>
    <s v="EXFU 440467-5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C"/>
    <n v="4301"/>
    <n v="178.25"/>
    <m/>
    <m/>
    <n v="194841"/>
    <s v="H052"/>
    <s v="EXFU 440486-5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D"/>
    <n v="4301"/>
    <n v="178.25"/>
    <m/>
    <m/>
    <n v="194841"/>
    <s v="H052"/>
    <s v="EXFU 440503-3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E"/>
    <n v="4301"/>
    <n v="178.25"/>
    <m/>
    <m/>
    <n v="194841"/>
    <s v="H052"/>
    <s v="EXFU 440513-6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F"/>
    <n v="4301"/>
    <n v="178.25"/>
    <m/>
    <m/>
    <n v="194841"/>
    <s v="H052"/>
    <s v="EXFU 440528-6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G"/>
    <n v="4301"/>
    <n v="178.25"/>
    <m/>
    <m/>
    <n v="194841"/>
    <s v="H052"/>
    <s v="EXXU 999261-4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H"/>
    <n v="4301"/>
    <n v="178.25"/>
    <m/>
    <m/>
    <n v="194841"/>
    <s v="H052"/>
    <s v="EXXU 999264-0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I"/>
    <n v="4301"/>
    <n v="178.25"/>
    <m/>
    <m/>
    <n v="194841"/>
    <s v="H052"/>
    <s v="EXXU 999267-7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J"/>
    <n v="4301"/>
    <n v="178.25"/>
    <m/>
    <m/>
    <n v="194841"/>
    <s v="H052"/>
    <s v="EXXU 999268-2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K"/>
    <n v="4301"/>
    <n v="178.25"/>
    <m/>
    <m/>
    <n v="194841"/>
    <s v="H052"/>
    <s v="EXXU 999584-5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L"/>
    <n v="4301"/>
    <n v="178.25"/>
    <m/>
    <m/>
    <n v="194841"/>
    <s v="H052"/>
    <s v="EXXU 999587-1"/>
    <s v="MONTHLY LEASE"/>
    <x v="9"/>
    <d v="2018-07-31T00:00:00"/>
    <d v="2018-06-28T00:00:00"/>
    <m/>
    <m/>
    <n v="178.25"/>
    <s v="Less than 30 days"/>
    <s v="DCPXX"/>
    <x v="0"/>
    <s v="Invoice"/>
  </r>
  <r>
    <x v="17"/>
    <s v="CC"/>
    <s v="EM"/>
    <n v="4301"/>
    <n v="232.5"/>
    <m/>
    <m/>
    <n v="195163"/>
    <s v="H052"/>
    <s v="EXSZ 901032-8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EN"/>
    <n v="4301"/>
    <n v="232.5"/>
    <m/>
    <m/>
    <n v="195163"/>
    <s v="H052"/>
    <s v="TRZZ 900417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EO"/>
    <n v="4301"/>
    <n v="232.5"/>
    <m/>
    <m/>
    <n v="195163"/>
    <s v="H052"/>
    <s v="TRZZ 900578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EP"/>
    <n v="4301"/>
    <n v="232.5"/>
    <m/>
    <m/>
    <n v="195163"/>
    <s v="H052"/>
    <s v="TRZZ 900628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EQ"/>
    <n v="4301"/>
    <n v="232.5"/>
    <m/>
    <m/>
    <n v="195163"/>
    <s v="H052"/>
    <s v="TRZZ 900629"/>
    <s v="MONTHLY LEASE"/>
    <x v="9"/>
    <d v="2018-07-31T00:00:00"/>
    <d v="2018-06-28T00:00:00"/>
    <m/>
    <m/>
    <n v="232.5"/>
    <s v="Less than 30 days"/>
    <s v="DCPXX"/>
    <x v="0"/>
    <s v="Invoice"/>
  </r>
  <r>
    <x v="17"/>
    <s v="CC"/>
    <s v="ER"/>
    <n v="4301"/>
    <n v="232.5"/>
    <m/>
    <m/>
    <n v="195163"/>
    <s v="H052"/>
    <s v="TRZZ 900632"/>
    <s v="MONTHLY LEASE"/>
    <x v="9"/>
    <d v="2018-07-31T00:00:00"/>
    <d v="2018-06-28T00:00:00"/>
    <m/>
    <m/>
    <n v="232.5"/>
    <s v="Less than 30 days"/>
    <s v="DCPXX"/>
    <x v="0"/>
    <s v="Invoice"/>
  </r>
  <r>
    <x v="18"/>
    <s v="CC"/>
    <s v="A"/>
    <n v="4301"/>
    <n v="63.25"/>
    <m/>
    <m/>
    <n v="194567"/>
    <s v="H052"/>
    <s v="EXFU 441462-6"/>
    <s v="MONTHLY LEASE"/>
    <x v="8"/>
    <d v="2018-07-01T00:00:00"/>
    <d v="2018-06-28T00:00:00"/>
    <m/>
    <m/>
    <n v="63.25"/>
    <s v="Less than 30 days"/>
    <s v="DCPXX"/>
    <x v="0"/>
    <s v="Invoice"/>
  </r>
  <r>
    <x v="18"/>
    <s v="CC"/>
    <s v="B"/>
    <n v="4301"/>
    <n v="1700"/>
    <m/>
    <m/>
    <n v="194567"/>
    <s v="H052"/>
    <s v="EXFU 441462-6"/>
    <s v="Pickup fee"/>
    <x v="8"/>
    <d v="2018-07-01T00:00:00"/>
    <d v="2018-06-28T00:00:00"/>
    <m/>
    <m/>
    <n v="1700"/>
    <s v="Less than 30 days"/>
    <s v="DCPXX"/>
    <x v="0"/>
    <s v="Invoice"/>
  </r>
  <r>
    <x v="18"/>
    <s v="CC"/>
    <s v="C"/>
    <n v="4301"/>
    <n v="90"/>
    <m/>
    <m/>
    <n v="194567"/>
    <s v="H052"/>
    <s v="EXFU 441462-6"/>
    <s v="Handling Fee at Pickup"/>
    <x v="8"/>
    <d v="2018-07-01T00:00:00"/>
    <d v="2018-06-28T00:00:00"/>
    <m/>
    <m/>
    <n v="90"/>
    <s v="Less than 30 days"/>
    <s v="DCPXX"/>
    <x v="0"/>
    <s v="Invoice"/>
  </r>
  <r>
    <x v="18"/>
    <s v="CC"/>
    <s v="D"/>
    <n v="4301"/>
    <n v="90"/>
    <m/>
    <m/>
    <n v="194567"/>
    <s v="H052"/>
    <s v="EXSZ 903728-9"/>
    <s v="Handling Fee at Pickup"/>
    <x v="8"/>
    <d v="2018-07-01T00:00:00"/>
    <d v="2018-06-28T00:00:00"/>
    <m/>
    <m/>
    <n v="90"/>
    <s v="Less than 30 days"/>
    <s v="DCPXX"/>
    <x v="0"/>
    <s v="Invoice"/>
  </r>
  <r>
    <x v="18"/>
    <s v="CC"/>
    <s v="E"/>
    <n v="4301"/>
    <n v="1700"/>
    <m/>
    <m/>
    <n v="194567"/>
    <s v="H052"/>
    <s v="EXSZ 903728-9"/>
    <s v="Pickup fee"/>
    <x v="8"/>
    <d v="2018-07-01T00:00:00"/>
    <d v="2018-06-28T00:00:00"/>
    <m/>
    <m/>
    <n v="1700"/>
    <s v="Less than 30 days"/>
    <s v="DCPXX"/>
    <x v="0"/>
    <s v="Invoice"/>
  </r>
  <r>
    <x v="18"/>
    <s v="CC"/>
    <s v="F"/>
    <n v="4301"/>
    <n v="82.5"/>
    <m/>
    <m/>
    <n v="194567"/>
    <s v="H052"/>
    <s v="EXSZ 903728-9"/>
    <s v="MONTHLY LEASE"/>
    <x v="8"/>
    <d v="2018-07-01T00:00:00"/>
    <d v="2018-06-28T00:00:00"/>
    <m/>
    <m/>
    <n v="82.5"/>
    <s v="Less than 30 days"/>
    <s v="DCPXX"/>
    <x v="0"/>
    <s v="Invoice"/>
  </r>
  <r>
    <x v="19"/>
    <s v="PO"/>
    <m/>
    <s v="Hemlock Semiconductor Operations LLC"/>
    <n v="2790"/>
    <m/>
    <n v="4506924343"/>
    <m/>
    <m/>
    <s v="Various"/>
    <s v="Rental"/>
    <x v="9"/>
    <d v="2018-07-31T00:00:00"/>
    <d v="2018-07-20T00:00:00"/>
    <m/>
    <m/>
    <n v="2790"/>
    <s v="Less than 30 days"/>
    <s v="DCPXX"/>
    <x v="0"/>
    <s v="Invoic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6">
  <r>
    <x v="0"/>
    <s v="CC"/>
    <s v="MH"/>
    <n v="16"/>
    <n v="7500"/>
    <m/>
    <m/>
    <n v="56656"/>
    <s v="D058"/>
    <s v="TPMU 629003-3"/>
    <s v="Invoice DRV"/>
    <x v="0"/>
    <d v="2018-07-05T00:00:00"/>
    <d v="2018-06-28T00:00:00"/>
    <n v="7500"/>
    <d v="2018-07-09T00:00:00"/>
    <n v="0"/>
    <s v="Less than 30 days"/>
    <s v="DHMXX"/>
    <x v="0"/>
    <s v="DV"/>
  </r>
  <r>
    <x v="1"/>
    <m/>
    <m/>
    <m/>
    <n v="90211"/>
    <m/>
    <m/>
    <m/>
    <m/>
    <m/>
    <m/>
    <x v="1"/>
    <d v="2017-03-31T00:00:00"/>
    <m/>
    <n v="90211"/>
    <m/>
    <n v="0"/>
    <s v="More than 60 days"/>
    <s v="DHMXX"/>
    <x v="0"/>
    <s v="Invoice"/>
  </r>
  <r>
    <x v="1"/>
    <s v="CC"/>
    <s v="LD"/>
    <n v="16"/>
    <n v="248"/>
    <m/>
    <m/>
    <n v="82223"/>
    <s v="D215"/>
    <s v="TRLU0223531"/>
    <s v="Rental"/>
    <x v="1"/>
    <d v="2017-03-31T00:00:00"/>
    <m/>
    <m/>
    <m/>
    <n v="248"/>
    <s v="More than 60 days"/>
    <s v="DHMXX"/>
    <x v="1"/>
    <s v="Invoice"/>
  </r>
  <r>
    <x v="1"/>
    <s v="CC"/>
    <s v="LF"/>
    <n v="16"/>
    <n v="248"/>
    <m/>
    <m/>
    <n v="82227"/>
    <s v="D215"/>
    <s v="EXFU0519038"/>
    <s v="Rental"/>
    <x v="1"/>
    <d v="2017-03-31T00:00:00"/>
    <m/>
    <m/>
    <m/>
    <n v="248"/>
    <s v="More than 60 days"/>
    <s v="DHMXX"/>
    <x v="1"/>
    <s v="Invoice"/>
  </r>
  <r>
    <x v="2"/>
    <s v="CC"/>
    <s v="X"/>
    <n v="1"/>
    <n v="481.19"/>
    <m/>
    <m/>
    <m/>
    <m/>
    <m/>
    <s v="Rental"/>
    <x v="2"/>
    <d v="2017-05-31T00:00:00"/>
    <m/>
    <n v="481.19"/>
    <d v="2018-05-16T00:00:00"/>
    <n v="0"/>
    <s v="More than 60 days"/>
    <s v="DHMXX"/>
    <x v="0"/>
    <s v="Invoice"/>
  </r>
  <r>
    <x v="2"/>
    <s v="CC"/>
    <s v="AB"/>
    <n v="1"/>
    <n v="1684.16"/>
    <m/>
    <m/>
    <m/>
    <m/>
    <m/>
    <s v="Rental"/>
    <x v="2"/>
    <d v="2017-05-31T00:00:00"/>
    <m/>
    <n v="1684.16"/>
    <d v="2018-05-16T00:00:00"/>
    <n v="0"/>
    <s v="More than 60 days"/>
    <s v="DHMXX"/>
    <x v="0"/>
    <s v="Invoice"/>
  </r>
  <r>
    <x v="3"/>
    <s v="CC"/>
    <s v="Y"/>
    <n v="1"/>
    <n v="460.12"/>
    <m/>
    <m/>
    <m/>
    <m/>
    <m/>
    <s v="Rental"/>
    <x v="3"/>
    <d v="2017-07-01T00:00:00"/>
    <m/>
    <n v="460.12"/>
    <d v="2018-05-16T00:00:00"/>
    <n v="0"/>
    <s v="More than 60 days"/>
    <s v="DHMXX"/>
    <x v="0"/>
    <s v="Invoice"/>
  </r>
  <r>
    <x v="4"/>
    <s v="SN"/>
    <s v="G"/>
    <n v="1"/>
    <n v="255.75"/>
    <n v="30080254"/>
    <m/>
    <m/>
    <m/>
    <s v="EXSZ9007382"/>
    <s v="Rental"/>
    <x v="4"/>
    <d v="2017-07-31T00:00:00"/>
    <m/>
    <n v="255.75"/>
    <d v="2018-07-23T00:00:00"/>
    <n v="0"/>
    <s v="More than 60 days"/>
    <s v="DHMXX"/>
    <x v="1"/>
    <s v="Invoice"/>
  </r>
  <r>
    <x v="4"/>
    <s v="SN"/>
    <s v="K"/>
    <n v="1"/>
    <n v="260.39999999999998"/>
    <n v="30080254"/>
    <m/>
    <m/>
    <m/>
    <s v="TRLU0218875"/>
    <s v="Rental"/>
    <x v="4"/>
    <d v="2017-07-31T00:00:00"/>
    <m/>
    <n v="260.39999999999998"/>
    <d v="2018-07-23T00:00:00"/>
    <n v="0"/>
    <s v="More than 60 days"/>
    <s v="DHMXX"/>
    <x v="1"/>
    <s v="Invoice"/>
  </r>
  <r>
    <x v="5"/>
    <s v="RH"/>
    <s v="A"/>
    <n v="4007"/>
    <n v="172.5"/>
    <m/>
    <m/>
    <n v="165014"/>
    <s v="A341"/>
    <s v="USPU1228371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A"/>
    <n v="1"/>
    <n v="172.5"/>
    <m/>
    <m/>
    <n v="94783"/>
    <s v="D284"/>
    <s v="EXFU999165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"/>
    <n v="1"/>
    <n v="172.5"/>
    <m/>
    <m/>
    <n v="115229"/>
    <s v="D449"/>
    <s v="EXFU060502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"/>
    <n v="1"/>
    <n v="172.5"/>
    <m/>
    <m/>
    <n v="1274"/>
    <s v="D358"/>
    <s v="EXFU059958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D"/>
    <n v="1"/>
    <n v="172.5"/>
    <m/>
    <m/>
    <n v="1274"/>
    <s v="D358"/>
    <s v="EXFU060727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"/>
    <n v="1"/>
    <n v="172.5"/>
    <m/>
    <m/>
    <n v="1274"/>
    <s v="D358"/>
    <s v="EXFU060731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"/>
    <n v="1"/>
    <n v="172.5"/>
    <m/>
    <m/>
    <n v="1274"/>
    <s v="D358"/>
    <s v="EXFU060739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"/>
    <n v="1"/>
    <n v="172.5"/>
    <m/>
    <m/>
    <n v="1274"/>
    <s v="D358"/>
    <s v="EXFU060744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"/>
    <n v="1"/>
    <n v="172.5"/>
    <m/>
    <m/>
    <n v="1274"/>
    <s v="D358"/>
    <s v="EXFU061407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"/>
    <n v="1"/>
    <n v="172.5"/>
    <m/>
    <m/>
    <n v="1274"/>
    <s v="D358"/>
    <s v="EXFU059894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J"/>
    <n v="1"/>
    <n v="172.5"/>
    <m/>
    <m/>
    <n v="1274"/>
    <s v="D358"/>
    <s v="EXFU442037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K"/>
    <n v="1"/>
    <n v="172.5"/>
    <m/>
    <m/>
    <n v="1274"/>
    <s v="D358"/>
    <s v="EXFU442038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L"/>
    <n v="1"/>
    <n v="172.5"/>
    <m/>
    <m/>
    <n v="1274"/>
    <s v="D358"/>
    <s v="EXFU81061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M"/>
    <n v="1"/>
    <n v="172.5"/>
    <m/>
    <m/>
    <n v="1274"/>
    <s v="D358"/>
    <s v="EXFU810623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"/>
    <n v="1"/>
    <n v="172.5"/>
    <m/>
    <m/>
    <n v="1274"/>
    <s v="D358"/>
    <s v="EXFU022475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"/>
    <n v="1"/>
    <n v="172.5"/>
    <m/>
    <m/>
    <n v="1274"/>
    <s v="D358"/>
    <s v="EXFU022486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"/>
    <n v="1"/>
    <n v="172.5"/>
    <m/>
    <m/>
    <n v="1274"/>
    <s v="D358"/>
    <s v="EXFU050874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Q"/>
    <n v="1"/>
    <n v="172.5"/>
    <m/>
    <m/>
    <n v="1274"/>
    <s v="D358"/>
    <s v="EXFU050881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R"/>
    <n v="1"/>
    <n v="172.5"/>
    <m/>
    <m/>
    <n v="1274"/>
    <s v="D358"/>
    <s v="EXFU05213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S"/>
    <n v="1"/>
    <n v="172.5"/>
    <m/>
    <m/>
    <n v="1274"/>
    <s v="D358"/>
    <s v="EXFU052606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T"/>
    <n v="1"/>
    <n v="172.5"/>
    <m/>
    <m/>
    <n v="1274"/>
    <s v="D358"/>
    <s v="EXFU052722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U"/>
    <n v="1"/>
    <n v="172.5"/>
    <m/>
    <m/>
    <n v="1274"/>
    <s v="D358"/>
    <s v="EXFU053019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V"/>
    <n v="1"/>
    <n v="172.5"/>
    <m/>
    <m/>
    <n v="1274"/>
    <s v="D358"/>
    <s v="EXFU05395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W"/>
    <n v="1"/>
    <n v="172.5"/>
    <m/>
    <m/>
    <n v="1274"/>
    <s v="D358"/>
    <s v="ICSU028809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X"/>
    <n v="1"/>
    <n v="172.5"/>
    <m/>
    <m/>
    <n v="1274"/>
    <s v="D358"/>
    <s v="TPTU820552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Y"/>
    <n v="1"/>
    <n v="172.5"/>
    <m/>
    <m/>
    <n v="1274"/>
    <s v="D358"/>
    <s v="TRLU021402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Z"/>
    <n v="1"/>
    <n v="172.5"/>
    <m/>
    <m/>
    <n v="1274"/>
    <s v="D358"/>
    <s v="TRLU021690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A"/>
    <n v="1"/>
    <n v="172.5"/>
    <m/>
    <m/>
    <n v="1274"/>
    <s v="D358"/>
    <s v="TRLU02188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B"/>
    <n v="1"/>
    <n v="172.5"/>
    <m/>
    <m/>
    <n v="1274"/>
    <s v="D358"/>
    <s v="TRLU022164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C"/>
    <n v="1"/>
    <n v="172.5"/>
    <m/>
    <m/>
    <n v="1274"/>
    <s v="D358"/>
    <s v="TRLU022231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D"/>
    <n v="1"/>
    <n v="172.5"/>
    <m/>
    <m/>
    <n v="1274"/>
    <s v="D358"/>
    <s v="TRLU05039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E"/>
    <n v="1"/>
    <n v="172.5"/>
    <m/>
    <m/>
    <n v="1274"/>
    <s v="D358"/>
    <s v="TRLU050425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F"/>
    <n v="1"/>
    <n v="172.5"/>
    <m/>
    <m/>
    <n v="1274"/>
    <s v="D358"/>
    <s v="TRLU050546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G"/>
    <n v="1"/>
    <n v="172.5"/>
    <m/>
    <m/>
    <n v="1274"/>
    <s v="D358"/>
    <s v="TRLU05058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H"/>
    <n v="1"/>
    <n v="172.5"/>
    <m/>
    <m/>
    <n v="1274"/>
    <s v="D358"/>
    <s v="USPU122456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I"/>
    <n v="1"/>
    <n v="172.5"/>
    <m/>
    <m/>
    <n v="1274"/>
    <s v="D358"/>
    <s v="USPU12412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J"/>
    <n v="1"/>
    <n v="172.5"/>
    <m/>
    <m/>
    <n v="13342"/>
    <s v="D021"/>
    <s v="TRLU026908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AK"/>
    <n v="1"/>
    <n v="172.5"/>
    <m/>
    <m/>
    <n v="13342"/>
    <s v="D021"/>
    <s v="TRLU0217082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AL"/>
    <n v="1"/>
    <n v="172.5"/>
    <m/>
    <m/>
    <n v="13342"/>
    <s v="D021"/>
    <s v="EXFU8107567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AM"/>
    <n v="1"/>
    <n v="172.5"/>
    <m/>
    <m/>
    <n v="140140"/>
    <s v="D674"/>
    <s v="EXFU052605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N"/>
    <n v="1"/>
    <n v="172.5"/>
    <m/>
    <m/>
    <n v="140140"/>
    <s v="D674"/>
    <s v="USPU12410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O"/>
    <n v="1"/>
    <n v="465"/>
    <m/>
    <m/>
    <n v="142910"/>
    <s v="D182"/>
    <s v="EXFU8600547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AP"/>
    <n v="1"/>
    <n v="172.5"/>
    <m/>
    <m/>
    <n v="148833"/>
    <s v="D292"/>
    <s v="EXFU821685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Q"/>
    <n v="1"/>
    <n v="172.5"/>
    <m/>
    <m/>
    <n v="148833"/>
    <s v="D292"/>
    <s v="EXFU059904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R"/>
    <n v="1"/>
    <n v="172.5"/>
    <m/>
    <m/>
    <n v="148833"/>
    <s v="D292"/>
    <s v="EXFU05990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S"/>
    <n v="1"/>
    <n v="172.5"/>
    <m/>
    <m/>
    <n v="148833"/>
    <s v="D292"/>
    <s v="EXFU059954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T"/>
    <n v="1"/>
    <n v="172.5"/>
    <m/>
    <m/>
    <n v="148833"/>
    <s v="D292"/>
    <s v="USPU122545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U"/>
    <n v="1"/>
    <n v="172.5"/>
    <m/>
    <m/>
    <n v="148833"/>
    <s v="D292"/>
    <s v="USPU122648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V"/>
    <n v="1"/>
    <n v="172.5"/>
    <m/>
    <m/>
    <n v="162604"/>
    <s v="D292"/>
    <s v="EXFU052743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W"/>
    <n v="1"/>
    <n v="172.5"/>
    <m/>
    <m/>
    <n v="165685"/>
    <s v="D227"/>
    <s v="USPU122409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X"/>
    <n v="1"/>
    <n v="172.5"/>
    <m/>
    <m/>
    <n v="2747"/>
    <s v="D186"/>
    <s v="TRLU021587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Y"/>
    <n v="1"/>
    <n v="172.5"/>
    <m/>
    <m/>
    <n v="3825"/>
    <s v="D223"/>
    <s v="TRLU021955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AZ"/>
    <n v="1"/>
    <n v="172.5"/>
    <m/>
    <m/>
    <n v="3825"/>
    <s v="D223"/>
    <s v="TPTU851625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A"/>
    <n v="1"/>
    <n v="172.5"/>
    <m/>
    <m/>
    <n v="3825"/>
    <s v="D223"/>
    <s v="EXFU059900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B"/>
    <n v="1"/>
    <n v="172.5"/>
    <m/>
    <m/>
    <n v="3825"/>
    <s v="D223"/>
    <s v="TOLU941186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C"/>
    <n v="1"/>
    <n v="172.5"/>
    <m/>
    <m/>
    <n v="3825"/>
    <s v="D223"/>
    <s v="ICSU028113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D"/>
    <n v="1"/>
    <n v="172.5"/>
    <m/>
    <m/>
    <n v="54876"/>
    <s v="D182"/>
    <s v="SNIU121098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E"/>
    <n v="1"/>
    <n v="172.5"/>
    <m/>
    <m/>
    <n v="54876"/>
    <s v="D182"/>
    <s v="TRLU050163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F"/>
    <n v="1"/>
    <n v="172.5"/>
    <m/>
    <m/>
    <n v="55052"/>
    <s v="D777"/>
    <s v="TRLU021254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G"/>
    <n v="1"/>
    <n v="172.5"/>
    <m/>
    <m/>
    <n v="55242"/>
    <s v="D777"/>
    <s v="EXXU9990648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BH"/>
    <n v="1"/>
    <n v="172.5"/>
    <m/>
    <m/>
    <n v="55242"/>
    <s v="D777"/>
    <s v="EXFU0519697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BI"/>
    <n v="1"/>
    <n v="172.5"/>
    <m/>
    <m/>
    <n v="55242"/>
    <s v="D777"/>
    <s v="EXFU051855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BJ"/>
    <n v="1"/>
    <n v="172.5"/>
    <m/>
    <m/>
    <n v="55253"/>
    <s v="D777"/>
    <s v="EXFU1985792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BK"/>
    <n v="1"/>
    <n v="172.5"/>
    <m/>
    <m/>
    <n v="55253"/>
    <s v="D777"/>
    <s v="TRLU840400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BL"/>
    <n v="1"/>
    <n v="172.5"/>
    <m/>
    <m/>
    <n v="55292"/>
    <s v="D777"/>
    <s v="TPTU840042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M"/>
    <n v="1"/>
    <n v="172.5"/>
    <m/>
    <m/>
    <n v="55292"/>
    <s v="D777"/>
    <s v="TPTU840178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N"/>
    <n v="1"/>
    <n v="172.5"/>
    <m/>
    <m/>
    <n v="55292"/>
    <s v="D777"/>
    <s v="TPMU161258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O"/>
    <n v="1"/>
    <n v="172.5"/>
    <m/>
    <m/>
    <n v="55292"/>
    <s v="D777"/>
    <s v="EXFU051882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P"/>
    <n v="1"/>
    <n v="172.5"/>
    <m/>
    <m/>
    <n v="55292"/>
    <s v="D777"/>
    <s v="EXFU051885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Q"/>
    <n v="1"/>
    <n v="172.5"/>
    <m/>
    <m/>
    <n v="55292"/>
    <s v="D777"/>
    <s v="EXFU051886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R"/>
    <n v="1"/>
    <n v="172.5"/>
    <m/>
    <m/>
    <n v="55292"/>
    <s v="D777"/>
    <s v="EXFU051887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S"/>
    <n v="1"/>
    <n v="172.5"/>
    <m/>
    <m/>
    <n v="55292"/>
    <s v="D777"/>
    <s v="EXFU05188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T"/>
    <n v="1"/>
    <n v="172.5"/>
    <m/>
    <m/>
    <n v="55292"/>
    <s v="D777"/>
    <s v="EXFU051852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U"/>
    <n v="1"/>
    <n v="172.5"/>
    <m/>
    <m/>
    <n v="55477"/>
    <s v="D248"/>
    <s v="TPTU851732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V"/>
    <n v="1"/>
    <n v="172.5"/>
    <m/>
    <m/>
    <n v="55766"/>
    <s v="B244"/>
    <s v="USPU124261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W"/>
    <n v="1"/>
    <n v="172.5"/>
    <m/>
    <m/>
    <n v="55766"/>
    <s v="B244"/>
    <s v="EXFU052741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X"/>
    <n v="1"/>
    <n v="172.5"/>
    <m/>
    <m/>
    <n v="55766"/>
    <s v="B244"/>
    <s v="TOLU906114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Y"/>
    <n v="1"/>
    <n v="172.5"/>
    <m/>
    <m/>
    <n v="55785"/>
    <s v="D355"/>
    <s v="TRLU050488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BZ"/>
    <n v="1"/>
    <n v="172.5"/>
    <m/>
    <m/>
    <n v="56539"/>
    <s v="D229"/>
    <s v="TPTU820579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A"/>
    <n v="1"/>
    <n v="172.5"/>
    <m/>
    <m/>
    <n v="56539"/>
    <s v="D229"/>
    <s v="EXFU821677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B"/>
    <n v="1"/>
    <n v="172.5"/>
    <m/>
    <m/>
    <n v="56539"/>
    <s v="D229"/>
    <s v="EXFU05184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C"/>
    <n v="1"/>
    <n v="172.5"/>
    <m/>
    <m/>
    <n v="56774"/>
    <s v="D181"/>
    <s v="EXFU052130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D"/>
    <n v="1"/>
    <n v="420"/>
    <m/>
    <m/>
    <n v="56774"/>
    <s v="D181"/>
    <s v="TRLU1750521"/>
    <s v="Rental"/>
    <x v="5"/>
    <d v="2018-05-01T00:00:00"/>
    <d v="2018-05-01T00:00:00"/>
    <n v="420"/>
    <d v="2018-05-07T00:00:00"/>
    <n v="0"/>
    <s v="More than 60 days"/>
    <s v="DHMXX"/>
    <x v="0"/>
    <s v="Invoice"/>
  </r>
  <r>
    <x v="5"/>
    <s v="CC"/>
    <s v="CE"/>
    <n v="1"/>
    <n v="420"/>
    <m/>
    <m/>
    <n v="56774"/>
    <s v="D181"/>
    <s v="TRLU1751209"/>
    <s v="Rental"/>
    <x v="5"/>
    <d v="2018-05-01T00:00:00"/>
    <d v="2018-05-01T00:00:00"/>
    <n v="420"/>
    <d v="2018-05-07T00:00:00"/>
    <n v="0"/>
    <s v="More than 60 days"/>
    <s v="DHMXX"/>
    <x v="0"/>
    <s v="Invoice"/>
  </r>
  <r>
    <x v="5"/>
    <s v="CC"/>
    <s v="CF"/>
    <n v="1"/>
    <n v="420"/>
    <m/>
    <m/>
    <n v="56774"/>
    <s v="D181"/>
    <s v="TRLU1751214"/>
    <s v="Rental"/>
    <x v="5"/>
    <d v="2018-05-01T00:00:00"/>
    <d v="2018-05-01T00:00:00"/>
    <n v="420"/>
    <d v="2018-05-07T00:00:00"/>
    <n v="0"/>
    <s v="More than 60 days"/>
    <s v="DHMXX"/>
    <x v="0"/>
    <s v="Invoice"/>
  </r>
  <r>
    <x v="5"/>
    <s v="CC"/>
    <s v="CG"/>
    <n v="1"/>
    <n v="172.5"/>
    <m/>
    <m/>
    <n v="58008"/>
    <s v="D266"/>
    <s v="EXFU052265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H"/>
    <n v="1"/>
    <n v="172.5"/>
    <m/>
    <m/>
    <n v="59994"/>
    <s v="D022"/>
    <s v="TPMU151826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I"/>
    <n v="1"/>
    <n v="172.5"/>
    <m/>
    <m/>
    <n v="64179"/>
    <s v="D223"/>
    <s v="EXFU052705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J"/>
    <n v="1"/>
    <n v="172.5"/>
    <m/>
    <m/>
    <n v="66343"/>
    <s v="D777"/>
    <s v="EXFU198583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K"/>
    <n v="1"/>
    <n v="172.5"/>
    <m/>
    <m/>
    <n v="66343"/>
    <s v="D777"/>
    <s v="TPTU82060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L"/>
    <n v="1"/>
    <n v="172.5"/>
    <m/>
    <m/>
    <n v="66652"/>
    <s v="D213"/>
    <s v="EXFU821811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M"/>
    <n v="1"/>
    <n v="172.5"/>
    <m/>
    <m/>
    <n v="66988"/>
    <s v="D449"/>
    <s v="TPMU351492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CN"/>
    <n v="1"/>
    <n v="465"/>
    <m/>
    <m/>
    <n v="67865"/>
    <s v="D449"/>
    <s v="TPTU8300100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O"/>
    <n v="1"/>
    <n v="465"/>
    <m/>
    <m/>
    <n v="67865"/>
    <s v="D449"/>
    <s v="TRLU8300275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P"/>
    <n v="1"/>
    <n v="465"/>
    <m/>
    <m/>
    <n v="67865"/>
    <s v="D449"/>
    <s v="TRLU8300280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Q"/>
    <n v="1"/>
    <n v="465"/>
    <m/>
    <m/>
    <n v="67865"/>
    <s v="D449"/>
    <s v="TRLU8300296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R"/>
    <n v="1"/>
    <n v="465"/>
    <m/>
    <m/>
    <n v="67865"/>
    <s v="D449"/>
    <s v="TRLU8300300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S"/>
    <n v="1"/>
    <n v="465"/>
    <m/>
    <m/>
    <n v="67865"/>
    <s v="D449"/>
    <s v="TRLU8300315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T"/>
    <n v="1"/>
    <n v="465"/>
    <m/>
    <m/>
    <n v="67865"/>
    <s v="D449"/>
    <s v="TRLU8300320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U"/>
    <n v="1"/>
    <n v="465"/>
    <m/>
    <m/>
    <n v="67865"/>
    <s v="D449"/>
    <s v="TRLU8300336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V"/>
    <n v="1"/>
    <n v="465"/>
    <m/>
    <m/>
    <n v="67865"/>
    <s v="D449"/>
    <s v="TRLU8300357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W"/>
    <n v="1"/>
    <n v="465"/>
    <m/>
    <m/>
    <n v="67865"/>
    <s v="D449"/>
    <s v="TRLU8300362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X"/>
    <n v="1"/>
    <n v="465"/>
    <m/>
    <m/>
    <n v="67865"/>
    <s v="D449"/>
    <s v="TRLU8300378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Y"/>
    <n v="1"/>
    <n v="465"/>
    <m/>
    <m/>
    <n v="67865"/>
    <s v="D449"/>
    <s v="TRLU8300383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CZ"/>
    <n v="1"/>
    <n v="465"/>
    <m/>
    <m/>
    <n v="67865"/>
    <s v="D449"/>
    <s v="TRLU8300399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A"/>
    <n v="1"/>
    <n v="465"/>
    <m/>
    <m/>
    <n v="67865"/>
    <s v="D449"/>
    <s v="TRLU8300402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B"/>
    <n v="1"/>
    <n v="465"/>
    <m/>
    <m/>
    <n v="67865"/>
    <s v="D449"/>
    <s v="TRLU8604848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C"/>
    <n v="1"/>
    <n v="465"/>
    <m/>
    <m/>
    <n v="67865"/>
    <s v="D449"/>
    <s v="USPU1224632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D"/>
    <n v="1"/>
    <n v="465"/>
    <m/>
    <m/>
    <n v="67865"/>
    <s v="D449"/>
    <s v="USPU1224782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E"/>
    <n v="1"/>
    <n v="465"/>
    <m/>
    <m/>
    <n v="67865"/>
    <s v="D449"/>
    <s v="USPU1224530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F"/>
    <n v="1"/>
    <n v="465"/>
    <m/>
    <m/>
    <n v="67865"/>
    <s v="D449"/>
    <s v="USPU1225665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G"/>
    <n v="1"/>
    <n v="465"/>
    <m/>
    <m/>
    <n v="67865"/>
    <s v="D449"/>
    <s v="USPU1228263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H"/>
    <n v="1"/>
    <n v="465"/>
    <m/>
    <m/>
    <n v="67865"/>
    <s v="D449"/>
    <s v="USPU1228453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I"/>
    <n v="1"/>
    <n v="465"/>
    <m/>
    <m/>
    <n v="67865"/>
    <s v="D449"/>
    <s v="USPU1300075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J"/>
    <n v="1"/>
    <n v="465"/>
    <m/>
    <m/>
    <n v="67865"/>
    <s v="D449"/>
    <s v="EXFU8600552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K"/>
    <n v="1"/>
    <n v="465"/>
    <m/>
    <m/>
    <n v="67865"/>
    <s v="D449"/>
    <s v="EXFU8600568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L"/>
    <n v="1"/>
    <n v="465"/>
    <m/>
    <m/>
    <n v="67865"/>
    <s v="D449"/>
    <s v="EXFU8600573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M"/>
    <n v="1"/>
    <n v="577.5"/>
    <m/>
    <m/>
    <n v="67865"/>
    <s v="D449"/>
    <s v="EXFU8300004"/>
    <s v="Rental"/>
    <x v="5"/>
    <d v="2018-05-01T00:00:00"/>
    <d v="2018-05-01T00:00:00"/>
    <n v="577.5"/>
    <d v="2018-05-07T00:00:00"/>
    <n v="0"/>
    <s v="More than 60 days"/>
    <s v="DHMXX"/>
    <x v="0"/>
    <s v="Invoice"/>
  </r>
  <r>
    <x v="5"/>
    <s v="CC"/>
    <s v="DN"/>
    <n v="1"/>
    <n v="577.5"/>
    <m/>
    <m/>
    <n v="67865"/>
    <s v="D449"/>
    <s v="EXFU8300030"/>
    <s v="Rental"/>
    <x v="5"/>
    <d v="2018-05-01T00:00:00"/>
    <d v="2018-05-01T00:00:00"/>
    <n v="577.5"/>
    <d v="2018-05-07T00:00:00"/>
    <n v="0"/>
    <s v="More than 60 days"/>
    <s v="DHMXX"/>
    <x v="0"/>
    <s v="Invoice"/>
  </r>
  <r>
    <x v="5"/>
    <s v="CC"/>
    <s v="DO"/>
    <n v="1"/>
    <n v="577.5"/>
    <m/>
    <m/>
    <n v="67865"/>
    <s v="D449"/>
    <s v="EXFU8300046"/>
    <s v="Rental"/>
    <x v="5"/>
    <d v="2018-05-01T00:00:00"/>
    <d v="2018-05-01T00:00:00"/>
    <n v="577.5"/>
    <d v="2018-05-07T00:00:00"/>
    <n v="0"/>
    <s v="More than 60 days"/>
    <s v="DHMXX"/>
    <x v="0"/>
    <s v="Invoice"/>
  </r>
  <r>
    <x v="5"/>
    <s v="CC"/>
    <s v="DP"/>
    <n v="1"/>
    <n v="577.5"/>
    <m/>
    <m/>
    <n v="67865"/>
    <s v="D449"/>
    <s v="EXFU8300051"/>
    <s v="Rental"/>
    <x v="5"/>
    <d v="2018-05-01T00:00:00"/>
    <d v="2018-05-01T00:00:00"/>
    <n v="577.5"/>
    <d v="2018-05-07T00:00:00"/>
    <n v="0"/>
    <s v="More than 60 days"/>
    <s v="DHMXX"/>
    <x v="0"/>
    <s v="Invoice"/>
  </r>
  <r>
    <x v="5"/>
    <s v="CC"/>
    <s v="DQ"/>
    <n v="1"/>
    <n v="465"/>
    <m/>
    <m/>
    <n v="67865"/>
    <s v="D449"/>
    <s v="EXFU8300956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R"/>
    <n v="1"/>
    <n v="465"/>
    <m/>
    <m/>
    <n v="67865"/>
    <s v="D449"/>
    <s v="EXFU8600526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S"/>
    <n v="1"/>
    <n v="465"/>
    <m/>
    <m/>
    <n v="67865"/>
    <s v="D449"/>
    <s v="EXFU8600531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DT"/>
    <n v="1"/>
    <n v="172.5"/>
    <m/>
    <m/>
    <n v="68161"/>
    <s v="D344"/>
    <s v="EXFU0604952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DU"/>
    <n v="1"/>
    <n v="172.5"/>
    <m/>
    <m/>
    <n v="68161"/>
    <s v="D344"/>
    <s v="EXFU0605054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DV"/>
    <n v="1"/>
    <n v="172.5"/>
    <m/>
    <m/>
    <n v="76024"/>
    <s v="D383"/>
    <s v="EXXU999065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DW"/>
    <n v="1"/>
    <n v="172.5"/>
    <m/>
    <m/>
    <n v="76024"/>
    <s v="D383"/>
    <s v="EXXU999066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DX"/>
    <n v="1"/>
    <n v="172.5"/>
    <m/>
    <m/>
    <n v="76833"/>
    <s v="D438"/>
    <s v="EXFU821665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DY"/>
    <n v="1"/>
    <n v="172.5"/>
    <m/>
    <m/>
    <n v="76833"/>
    <s v="D229"/>
    <s v="EXFU053761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DZ"/>
    <n v="1"/>
    <n v="172.5"/>
    <m/>
    <m/>
    <n v="76833"/>
    <s v="D438"/>
    <s v="USPU122768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A"/>
    <n v="1"/>
    <n v="172.5"/>
    <m/>
    <m/>
    <n v="76833"/>
    <s v="D438"/>
    <s v="TRLU021064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B"/>
    <n v="1"/>
    <n v="172.5"/>
    <m/>
    <m/>
    <n v="76833"/>
    <s v="D438"/>
    <s v="TRLU021150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C"/>
    <n v="1"/>
    <n v="172.5"/>
    <m/>
    <m/>
    <n v="82624"/>
    <s v="D407"/>
    <s v="EXFU051625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D"/>
    <n v="1"/>
    <n v="172.5"/>
    <m/>
    <m/>
    <n v="8327"/>
    <s v="D243"/>
    <s v="TOLU926064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E"/>
    <n v="1"/>
    <n v="172.5"/>
    <m/>
    <m/>
    <n v="85175"/>
    <s v="D021"/>
    <s v="EXFU821673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F"/>
    <n v="1"/>
    <n v="172.5"/>
    <m/>
    <m/>
    <n v="85175"/>
    <s v="D021"/>
    <s v="EXFU821680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G"/>
    <n v="1"/>
    <n v="172.5"/>
    <m/>
    <m/>
    <n v="85175"/>
    <s v="D021"/>
    <s v="EXFU05990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H"/>
    <n v="1"/>
    <n v="172.5"/>
    <m/>
    <m/>
    <n v="90352"/>
    <s v="D214"/>
    <s v="EXFU057794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I"/>
    <n v="1"/>
    <n v="172.5"/>
    <m/>
    <m/>
    <n v="90352"/>
    <s v="D214"/>
    <s v="EXFU05807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J"/>
    <n v="1"/>
    <n v="172.5"/>
    <m/>
    <m/>
    <n v="90352"/>
    <s v="D214"/>
    <s v="EXFU051666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K"/>
    <n v="1"/>
    <n v="172.5"/>
    <m/>
    <m/>
    <n v="90352"/>
    <s v="D214"/>
    <s v="EXFU051847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L"/>
    <n v="1"/>
    <n v="172.5"/>
    <m/>
    <m/>
    <n v="90352"/>
    <s v="D214"/>
    <s v="EXFU051622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M"/>
    <n v="1"/>
    <n v="172.5"/>
    <m/>
    <m/>
    <n v="90352"/>
    <s v="D214"/>
    <s v="EXFU05197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N"/>
    <n v="1"/>
    <n v="172.5"/>
    <m/>
    <m/>
    <n v="90352"/>
    <s v="D214"/>
    <s v="EXFU052068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O"/>
    <n v="1"/>
    <n v="172.5"/>
    <m/>
    <m/>
    <n v="90352"/>
    <s v="D214"/>
    <s v="EXFU052173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P"/>
    <n v="1"/>
    <n v="172.5"/>
    <m/>
    <m/>
    <n v="90352"/>
    <s v="D214"/>
    <s v="EXFU051951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Q"/>
    <n v="1"/>
    <n v="172.5"/>
    <m/>
    <m/>
    <n v="90352"/>
    <s v="D214"/>
    <s v="EXFU052124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R"/>
    <n v="1"/>
    <n v="172.5"/>
    <m/>
    <m/>
    <n v="90352"/>
    <s v="D214"/>
    <s v="EXFU050205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S"/>
    <n v="1"/>
    <n v="172.5"/>
    <m/>
    <m/>
    <n v="90352"/>
    <s v="D214"/>
    <s v="EXFU051605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T"/>
    <n v="1"/>
    <n v="172.5"/>
    <m/>
    <m/>
    <n v="90352"/>
    <s v="D214"/>
    <s v="EXFU051606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U"/>
    <n v="1"/>
    <n v="172.5"/>
    <m/>
    <m/>
    <n v="90352"/>
    <s v="D214"/>
    <s v="EXFU051614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V"/>
    <n v="1"/>
    <n v="172.5"/>
    <m/>
    <m/>
    <n v="90352"/>
    <s v="D214"/>
    <s v="EXFU051618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W"/>
    <n v="1"/>
    <n v="172.5"/>
    <m/>
    <m/>
    <n v="90352"/>
    <s v="D214"/>
    <s v="EXFU053600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X"/>
    <n v="1"/>
    <n v="172.5"/>
    <m/>
    <m/>
    <n v="90352"/>
    <s v="D214"/>
    <s v="EXFU053131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Y"/>
    <n v="1"/>
    <n v="172.5"/>
    <m/>
    <m/>
    <n v="90352"/>
    <s v="D214"/>
    <s v="EXFU053280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EZ"/>
    <n v="1"/>
    <n v="172.5"/>
    <m/>
    <m/>
    <n v="90352"/>
    <s v="D214"/>
    <s v="EXFU05397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A"/>
    <n v="1"/>
    <n v="172.5"/>
    <m/>
    <m/>
    <n v="90352"/>
    <s v="D214"/>
    <s v="EXFU05378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B"/>
    <n v="1"/>
    <n v="172.5"/>
    <m/>
    <m/>
    <n v="90352"/>
    <s v="D214"/>
    <s v="EXFU05391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C"/>
    <n v="1"/>
    <n v="172.5"/>
    <m/>
    <m/>
    <n v="90352"/>
    <s v="D214"/>
    <s v="EXFU053927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D"/>
    <n v="1"/>
    <n v="172.5"/>
    <m/>
    <m/>
    <n v="90352"/>
    <s v="D214"/>
    <s v="EXFU053934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E"/>
    <n v="1"/>
    <n v="172.5"/>
    <m/>
    <m/>
    <n v="90352"/>
    <s v="D214"/>
    <s v="EXFU052431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F"/>
    <n v="1"/>
    <n v="172.5"/>
    <m/>
    <m/>
    <n v="90352"/>
    <s v="D214"/>
    <s v="EXFU052568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G"/>
    <n v="1"/>
    <n v="172.5"/>
    <m/>
    <m/>
    <n v="90352"/>
    <s v="D214"/>
    <s v="EXFU052582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H"/>
    <n v="1"/>
    <n v="172.5"/>
    <m/>
    <m/>
    <n v="90352"/>
    <s v="D214"/>
    <s v="EXFU052595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I"/>
    <n v="1"/>
    <n v="172.5"/>
    <m/>
    <m/>
    <n v="90352"/>
    <s v="D214"/>
    <s v="EXFU05260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J"/>
    <n v="1"/>
    <n v="172.5"/>
    <m/>
    <m/>
    <n v="90352"/>
    <s v="D214"/>
    <s v="EXFU052742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K"/>
    <n v="1"/>
    <n v="172.5"/>
    <m/>
    <m/>
    <n v="90352"/>
    <s v="D214"/>
    <s v="EXFU820899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L"/>
    <n v="1"/>
    <n v="172.5"/>
    <m/>
    <m/>
    <n v="90352"/>
    <s v="D214"/>
    <s v="TOLU947358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M"/>
    <n v="1"/>
    <n v="172.5"/>
    <m/>
    <m/>
    <n v="90352"/>
    <s v="D214"/>
    <s v="EXXU99811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N"/>
    <n v="1"/>
    <n v="172.5"/>
    <m/>
    <m/>
    <n v="90352"/>
    <s v="D214"/>
    <s v="TRLU021257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O"/>
    <n v="1"/>
    <n v="172.5"/>
    <m/>
    <m/>
    <n v="90352"/>
    <s v="D214"/>
    <s v="TPTU840100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P"/>
    <n v="1"/>
    <n v="172.5"/>
    <m/>
    <m/>
    <n v="90352"/>
    <s v="D214"/>
    <s v="TPTU840118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Q"/>
    <n v="1"/>
    <n v="172.5"/>
    <m/>
    <m/>
    <n v="90352"/>
    <s v="D214"/>
    <s v="TPTU85181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R"/>
    <n v="1"/>
    <n v="172.5"/>
    <m/>
    <m/>
    <n v="90352"/>
    <s v="D214"/>
    <s v="TPTU872683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S"/>
    <n v="1"/>
    <n v="172.5"/>
    <m/>
    <m/>
    <n v="90352"/>
    <s v="D214"/>
    <s v="TPTU840260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T"/>
    <n v="1"/>
    <n v="172.5"/>
    <m/>
    <m/>
    <n v="90352"/>
    <s v="D214"/>
    <s v="TPTU851238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U"/>
    <n v="1"/>
    <n v="172.5"/>
    <m/>
    <m/>
    <n v="90352"/>
    <s v="D214"/>
    <s v="TPTU851597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V"/>
    <n v="1"/>
    <n v="172.5"/>
    <m/>
    <m/>
    <n v="90352"/>
    <s v="D214"/>
    <s v="TPTU820668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W"/>
    <n v="1"/>
    <n v="172.5"/>
    <m/>
    <m/>
    <n v="90352"/>
    <s v="D214"/>
    <s v="TRLU021965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X"/>
    <n v="1"/>
    <n v="172.5"/>
    <m/>
    <m/>
    <n v="90352"/>
    <s v="D214"/>
    <s v="TRLU021916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Y"/>
    <n v="1"/>
    <n v="172.5"/>
    <m/>
    <m/>
    <n v="90352"/>
    <s v="D214"/>
    <s v="TRLU022188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FZ"/>
    <n v="1"/>
    <n v="172.5"/>
    <m/>
    <m/>
    <n v="90352"/>
    <s v="D214"/>
    <s v="TRLU021650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A"/>
    <n v="1"/>
    <n v="172.5"/>
    <m/>
    <m/>
    <n v="90352"/>
    <s v="D214"/>
    <s v="TRLU02137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B"/>
    <n v="1"/>
    <n v="172.5"/>
    <m/>
    <m/>
    <n v="90352"/>
    <s v="D214"/>
    <s v="TRLU021394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C"/>
    <n v="1"/>
    <n v="172.5"/>
    <m/>
    <m/>
    <n v="90352"/>
    <s v="D214"/>
    <s v="TRLU021722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D"/>
    <n v="1"/>
    <n v="465"/>
    <m/>
    <m/>
    <n v="90352"/>
    <s v="D214"/>
    <s v="TRLU8604262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GE"/>
    <n v="1"/>
    <n v="465"/>
    <m/>
    <m/>
    <n v="90352"/>
    <s v="D214"/>
    <s v="TRLU8604283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GF"/>
    <n v="1"/>
    <n v="465"/>
    <m/>
    <m/>
    <n v="90352"/>
    <s v="D214"/>
    <s v="TRLU8604365"/>
    <s v="Rental"/>
    <x v="5"/>
    <d v="2018-05-01T00:00:00"/>
    <d v="2018-05-01T00:00:00"/>
    <n v="465"/>
    <d v="2018-05-07T00:00:00"/>
    <n v="0"/>
    <s v="More than 60 days"/>
    <s v="DHMXX"/>
    <x v="0"/>
    <s v="Invoice"/>
  </r>
  <r>
    <x v="5"/>
    <s v="CC"/>
    <s v="GG"/>
    <n v="1"/>
    <n v="172.5"/>
    <m/>
    <m/>
    <n v="90352"/>
    <s v="D214"/>
    <s v="TRLU050491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H"/>
    <n v="1"/>
    <n v="172.5"/>
    <m/>
    <m/>
    <n v="90352"/>
    <s v="D214"/>
    <s v="TRLU022076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I"/>
    <n v="1"/>
    <n v="172.5"/>
    <m/>
    <m/>
    <n v="90352"/>
    <s v="D214"/>
    <s v="TRLU022372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J"/>
    <n v="1"/>
    <n v="172.5"/>
    <m/>
    <m/>
    <n v="90352"/>
    <s v="D214"/>
    <s v="TRLU023726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K"/>
    <n v="1"/>
    <n v="172.5"/>
    <m/>
    <m/>
    <n v="90352"/>
    <s v="D214"/>
    <s v="TRLU022324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L"/>
    <n v="1"/>
    <n v="172.5"/>
    <m/>
    <m/>
    <n v="90352"/>
    <s v="D214"/>
    <s v="TRLU025393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M"/>
    <n v="1"/>
    <n v="172.5"/>
    <m/>
    <m/>
    <n v="91295"/>
    <s v="D284"/>
    <s v="TRLU025699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N"/>
    <n v="1"/>
    <n v="172.5"/>
    <m/>
    <m/>
    <n v="91295"/>
    <s v="D284"/>
    <s v="TRLU050388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O"/>
    <n v="1"/>
    <n v="172.5"/>
    <m/>
    <m/>
    <n v="91295"/>
    <s v="D284"/>
    <s v="USPU122488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P"/>
    <n v="1"/>
    <n v="172.5"/>
    <m/>
    <m/>
    <n v="91295"/>
    <s v="D284"/>
    <s v="USPU122108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Q"/>
    <n v="1"/>
    <n v="172.5"/>
    <m/>
    <m/>
    <n v="91295"/>
    <s v="D284"/>
    <s v="USPU122878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R"/>
    <n v="1"/>
    <n v="172.5"/>
    <m/>
    <m/>
    <n v="91295"/>
    <s v="D284"/>
    <s v="USPU123700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S"/>
    <n v="1"/>
    <n v="172.5"/>
    <m/>
    <m/>
    <n v="91295"/>
    <s v="D284"/>
    <s v="USPU122657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T"/>
    <n v="1"/>
    <n v="172.5"/>
    <m/>
    <m/>
    <n v="91295"/>
    <s v="D284"/>
    <s v="USPU122703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U"/>
    <n v="1"/>
    <n v="172.5"/>
    <m/>
    <m/>
    <n v="91295"/>
    <s v="D284"/>
    <s v="USPU122595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V"/>
    <n v="1"/>
    <n v="172.5"/>
    <m/>
    <m/>
    <n v="91295"/>
    <s v="D284"/>
    <s v="USPU12260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W"/>
    <n v="1"/>
    <n v="172.5"/>
    <m/>
    <m/>
    <n v="91295"/>
    <s v="D284"/>
    <s v="TRLU021383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X"/>
    <n v="1"/>
    <n v="172.5"/>
    <m/>
    <m/>
    <n v="91295"/>
    <s v="D284"/>
    <s v="TRLU021386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Y"/>
    <n v="1"/>
    <n v="172.5"/>
    <m/>
    <m/>
    <n v="91295"/>
    <s v="D284"/>
    <s v="TRLU02218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GZ"/>
    <n v="1"/>
    <n v="172.5"/>
    <m/>
    <m/>
    <n v="91295"/>
    <s v="D284"/>
    <s v="TRLU021967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A"/>
    <n v="1"/>
    <n v="172.5"/>
    <m/>
    <m/>
    <n v="91295"/>
    <s v="D284"/>
    <s v="TRLU021697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B"/>
    <n v="1"/>
    <n v="172.5"/>
    <m/>
    <m/>
    <n v="91295"/>
    <s v="D284"/>
    <s v="TPTU820535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C"/>
    <n v="1"/>
    <n v="172.5"/>
    <m/>
    <m/>
    <n v="91295"/>
    <s v="D284"/>
    <s v="TPTU820656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D"/>
    <n v="1"/>
    <n v="172.5"/>
    <m/>
    <m/>
    <n v="91295"/>
    <s v="D284"/>
    <s v="TPTU820555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E"/>
    <n v="1"/>
    <n v="172.5"/>
    <m/>
    <m/>
    <n v="91295"/>
    <s v="D284"/>
    <s v="TPMU161271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F"/>
    <n v="1"/>
    <n v="172.5"/>
    <m/>
    <m/>
    <n v="91295"/>
    <s v="D284"/>
    <s v="TRLU021046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G"/>
    <n v="1"/>
    <n v="172.5"/>
    <m/>
    <m/>
    <n v="91295"/>
    <s v="D284"/>
    <s v="TRLU02135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H"/>
    <n v="1"/>
    <n v="172.5"/>
    <m/>
    <m/>
    <n v="91295"/>
    <s v="D284"/>
    <s v="USPU124560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I"/>
    <n v="1"/>
    <n v="172.5"/>
    <m/>
    <m/>
    <n v="91295"/>
    <s v="D284"/>
    <s v="USPU122844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J"/>
    <n v="1"/>
    <n v="172.5"/>
    <m/>
    <m/>
    <n v="91295"/>
    <s v="D284"/>
    <s v="USPU124298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K"/>
    <n v="1"/>
    <n v="172.5"/>
    <m/>
    <m/>
    <n v="91295"/>
    <s v="D284"/>
    <s v="USPU124341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L"/>
    <n v="1"/>
    <n v="172.5"/>
    <m/>
    <m/>
    <n v="91295"/>
    <s v="D284"/>
    <s v="USPU124343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M"/>
    <n v="1"/>
    <n v="172.5"/>
    <m/>
    <m/>
    <n v="91295"/>
    <s v="D284"/>
    <s v="USPU124122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N"/>
    <n v="1"/>
    <n v="172.5"/>
    <m/>
    <m/>
    <n v="91295"/>
    <s v="D284"/>
    <s v="USPU124180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O"/>
    <n v="1"/>
    <n v="172.5"/>
    <m/>
    <m/>
    <n v="91295"/>
    <s v="D284"/>
    <s v="TPMU141048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P"/>
    <n v="1"/>
    <n v="172.5"/>
    <m/>
    <m/>
    <n v="91295"/>
    <s v="D284"/>
    <s v="TOLU947047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Q"/>
    <n v="1"/>
    <n v="172.5"/>
    <m/>
    <m/>
    <n v="91295"/>
    <s v="D284"/>
    <s v="TOLU947269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R"/>
    <n v="1"/>
    <n v="172.5"/>
    <m/>
    <m/>
    <n v="91295"/>
    <s v="D284"/>
    <s v="EXFU82086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S"/>
    <n v="1"/>
    <n v="172.5"/>
    <m/>
    <m/>
    <n v="91295"/>
    <s v="D284"/>
    <s v="EXFU188026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T"/>
    <n v="1"/>
    <n v="172.5"/>
    <m/>
    <m/>
    <n v="91295"/>
    <s v="D284"/>
    <s v="EXFU810745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U"/>
    <n v="1"/>
    <n v="172.5"/>
    <m/>
    <m/>
    <n v="91295"/>
    <s v="D284"/>
    <s v="EXFU810754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V"/>
    <n v="1"/>
    <n v="172.5"/>
    <m/>
    <m/>
    <n v="91295"/>
    <s v="D284"/>
    <s v="EXFU821684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W"/>
    <n v="1"/>
    <n v="172.5"/>
    <m/>
    <m/>
    <n v="91295"/>
    <s v="D284"/>
    <s v="EXFU821679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X"/>
    <n v="1"/>
    <n v="172.5"/>
    <m/>
    <m/>
    <n v="91295"/>
    <s v="D284"/>
    <s v="EXFU821664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Y"/>
    <n v="1"/>
    <n v="172.5"/>
    <m/>
    <m/>
    <n v="91295"/>
    <s v="D284"/>
    <s v="EXFU052731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HZ"/>
    <n v="1"/>
    <n v="172.5"/>
    <m/>
    <m/>
    <n v="91295"/>
    <s v="D284"/>
    <s v="EXFU052733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A"/>
    <n v="1"/>
    <n v="172.5"/>
    <m/>
    <m/>
    <n v="91295"/>
    <s v="D284"/>
    <s v="EXFU053786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B"/>
    <n v="1"/>
    <n v="172.5"/>
    <m/>
    <m/>
    <n v="91295"/>
    <s v="D284"/>
    <s v="EXFU053749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C"/>
    <n v="1"/>
    <n v="172.5"/>
    <m/>
    <m/>
    <n v="91295"/>
    <s v="D284"/>
    <s v="EXFU050743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D"/>
    <n v="1"/>
    <n v="172.5"/>
    <m/>
    <m/>
    <n v="91295"/>
    <s v="D284"/>
    <s v="EXFU050203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E"/>
    <n v="1"/>
    <n v="172.5"/>
    <m/>
    <m/>
    <n v="91295"/>
    <s v="D284"/>
    <s v="EXFU051900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F"/>
    <n v="1"/>
    <n v="172.5"/>
    <m/>
    <m/>
    <n v="91295"/>
    <s v="D284"/>
    <s v="EXFU059901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G"/>
    <n v="1"/>
    <n v="172.5"/>
    <m/>
    <m/>
    <n v="91295"/>
    <s v="D284"/>
    <s v="EXFU059953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H"/>
    <n v="1"/>
    <n v="172.5"/>
    <m/>
    <m/>
    <n v="91295"/>
    <s v="D284"/>
    <s v="EXFU059909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I"/>
    <n v="1"/>
    <n v="172.5"/>
    <m/>
    <m/>
    <n v="91295"/>
    <s v="D284"/>
    <s v="EXFU059912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J"/>
    <n v="1"/>
    <n v="172.5"/>
    <m/>
    <m/>
    <n v="91295"/>
    <s v="D284"/>
    <s v="EXFU060728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K"/>
    <n v="1"/>
    <n v="172.5"/>
    <m/>
    <m/>
    <n v="91295"/>
    <s v="D284"/>
    <s v="EXFU061365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L"/>
    <n v="1"/>
    <n v="172.5"/>
    <m/>
    <m/>
    <n v="91295"/>
    <s v="D284"/>
    <s v="EXFU061369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IM"/>
    <n v="1"/>
    <n v="172.5"/>
    <m/>
    <m/>
    <n v="92676"/>
    <s v="D243"/>
    <s v="USPU121097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MN"/>
    <n v="16"/>
    <n v="172.5"/>
    <m/>
    <m/>
    <n v="115325"/>
    <s v="D618"/>
    <s v="TRLU0800778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O"/>
    <n v="16"/>
    <n v="172.5"/>
    <m/>
    <m/>
    <n v="115325"/>
    <s v="D618"/>
    <s v="TRLU0501648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P"/>
    <n v="16"/>
    <n v="172.5"/>
    <m/>
    <m/>
    <n v="115325"/>
    <s v="D618"/>
    <s v="TRLU0504518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Q"/>
    <n v="16"/>
    <n v="172.5"/>
    <m/>
    <m/>
    <n v="55031"/>
    <s v="D058"/>
    <s v="ICLU9462429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R"/>
    <n v="16"/>
    <n v="172.5"/>
    <m/>
    <m/>
    <n v="55031"/>
    <s v="D058"/>
    <s v="EXFU051914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S"/>
    <n v="16"/>
    <n v="172.5"/>
    <m/>
    <m/>
    <n v="55031"/>
    <s v="D058"/>
    <s v="EXFU0514397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T"/>
    <n v="16"/>
    <n v="172.5"/>
    <m/>
    <m/>
    <n v="55245"/>
    <s v="D058"/>
    <s v="ICSU028689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U"/>
    <n v="16"/>
    <n v="172.5"/>
    <m/>
    <m/>
    <n v="55245"/>
    <s v="D058"/>
    <s v="TPMU1513577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V"/>
    <n v="16"/>
    <n v="172.5"/>
    <m/>
    <m/>
    <n v="55245"/>
    <s v="D058"/>
    <s v="TPMU351279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W"/>
    <n v="16"/>
    <n v="172.5"/>
    <m/>
    <m/>
    <n v="55245"/>
    <s v="D058"/>
    <s v="TPMU3515481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X"/>
    <n v="16"/>
    <n v="172.5"/>
    <m/>
    <m/>
    <n v="55245"/>
    <s v="D058"/>
    <s v="TPMU3517587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Y"/>
    <n v="16"/>
    <n v="172.5"/>
    <m/>
    <m/>
    <n v="55245"/>
    <s v="D058"/>
    <s v="TPMU3519975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MZ"/>
    <n v="16"/>
    <n v="172.5"/>
    <m/>
    <m/>
    <n v="55256"/>
    <s v="D777"/>
    <s v="EXFU0516194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A"/>
    <n v="16"/>
    <n v="172.5"/>
    <m/>
    <m/>
    <n v="55314"/>
    <s v="D059"/>
    <s v="USPU1211620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B"/>
    <n v="16"/>
    <n v="172.5"/>
    <m/>
    <m/>
    <n v="55322"/>
    <s v="D059"/>
    <s v="USPU1210460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C"/>
    <n v="16"/>
    <n v="172.5"/>
    <m/>
    <m/>
    <n v="55322"/>
    <s v="D059"/>
    <s v="USPU1212360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D"/>
    <n v="16"/>
    <n v="172.5"/>
    <m/>
    <m/>
    <n v="55322"/>
    <s v="D059"/>
    <s v="USPU1223111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E"/>
    <n v="16"/>
    <n v="172.5"/>
    <m/>
    <m/>
    <n v="55322"/>
    <s v="D059"/>
    <s v="TOLU9423474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F"/>
    <n v="16"/>
    <n v="172.5"/>
    <m/>
    <m/>
    <n v="55327"/>
    <s v="D059"/>
    <s v="EXXU9990695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G"/>
    <n v="16"/>
    <n v="172.5"/>
    <m/>
    <m/>
    <n v="55327"/>
    <s v="D059"/>
    <s v="EXXU9990709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H"/>
    <n v="16"/>
    <n v="172.5"/>
    <m/>
    <m/>
    <n v="55327"/>
    <s v="D059"/>
    <s v="EXFU1875049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I"/>
    <n v="16"/>
    <n v="172.5"/>
    <m/>
    <m/>
    <n v="56656"/>
    <s v="D058"/>
    <s v="EXFU0527352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J"/>
    <n v="16"/>
    <n v="172.5"/>
    <m/>
    <m/>
    <n v="56656"/>
    <s v="D058"/>
    <s v="EXFU0527305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K"/>
    <n v="16"/>
    <n v="172.5"/>
    <m/>
    <m/>
    <n v="56660"/>
    <s v="D058"/>
    <s v="ICSU0288522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L"/>
    <n v="16"/>
    <n v="172.5"/>
    <m/>
    <m/>
    <n v="82223"/>
    <s v="D215"/>
    <s v="TRLU0223531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M"/>
    <n v="16"/>
    <n v="172.5"/>
    <m/>
    <m/>
    <n v="82227"/>
    <s v="D215"/>
    <s v="TRLU0247786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N"/>
    <n v="16"/>
    <n v="172.5"/>
    <m/>
    <m/>
    <n v="82227"/>
    <s v="D215"/>
    <s v="EXFU0519038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O"/>
    <n v="2000"/>
    <n v="172.5"/>
    <m/>
    <m/>
    <n v="172035"/>
    <s v="B304"/>
    <s v="EXFU0550990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P"/>
    <n v="2000"/>
    <n v="172.5"/>
    <m/>
    <m/>
    <n v="172035"/>
    <s v="B304"/>
    <s v="USPU1239709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Q"/>
    <n v="2000"/>
    <n v="172.5"/>
    <m/>
    <m/>
    <n v="172035"/>
    <s v="B304"/>
    <s v="USPU1245574"/>
    <s v="Rental"/>
    <x v="5"/>
    <d v="2018-05-01T00:00:00"/>
    <d v="2018-05-01T00:00:00"/>
    <n v="172.5"/>
    <d v="2018-05-09T00:00:00"/>
    <n v="0"/>
    <s v="More than 60 days"/>
    <s v="DHMXX"/>
    <x v="0"/>
    <s v="Invoice"/>
  </r>
  <r>
    <x v="5"/>
    <s v="CC"/>
    <s v="NR"/>
    <n v="2000"/>
    <n v="172.5"/>
    <m/>
    <m/>
    <n v="182140"/>
    <s v="D210"/>
    <s v="EXFU820832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S"/>
    <n v="2000"/>
    <n v="172.5"/>
    <m/>
    <m/>
    <n v="182140"/>
    <s v="D210"/>
    <s v="EXFU820834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T"/>
    <n v="2000"/>
    <n v="172.5"/>
    <m/>
    <m/>
    <n v="182140"/>
    <s v="D210"/>
    <s v="EXFU820844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U"/>
    <n v="2000"/>
    <n v="172.5"/>
    <m/>
    <m/>
    <n v="182140"/>
    <s v="D210"/>
    <s v="EXFU820886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V"/>
    <n v="2000"/>
    <n v="172.5"/>
    <m/>
    <m/>
    <n v="182140"/>
    <s v="D210"/>
    <s v="EXFU821190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W"/>
    <n v="2000"/>
    <n v="172.5"/>
    <m/>
    <m/>
    <n v="182140"/>
    <s v="D210"/>
    <s v="EXFU822012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X"/>
    <n v="2000"/>
    <n v="172.5"/>
    <m/>
    <m/>
    <n v="182140"/>
    <s v="D210"/>
    <s v="EXFU822066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Y"/>
    <n v="2000"/>
    <n v="172.5"/>
    <m/>
    <m/>
    <n v="182140"/>
    <s v="D210"/>
    <s v="EXFU822067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NZ"/>
    <n v="2000"/>
    <n v="172.5"/>
    <m/>
    <m/>
    <n v="182140"/>
    <s v="D210"/>
    <s v="EXFU82202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A"/>
    <n v="2000"/>
    <n v="172.5"/>
    <m/>
    <m/>
    <n v="182140"/>
    <s v="D210"/>
    <s v="EXFU822091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B"/>
    <n v="2000"/>
    <n v="420"/>
    <m/>
    <m/>
    <n v="36784"/>
    <s v="D669"/>
    <s v="TRLU1750352"/>
    <s v="Rental"/>
    <x v="5"/>
    <d v="2018-05-01T00:00:00"/>
    <d v="2018-05-01T00:00:00"/>
    <n v="420"/>
    <d v="2018-05-07T00:00:00"/>
    <n v="0"/>
    <s v="More than 60 days"/>
    <s v="DHMXX"/>
    <x v="0"/>
    <s v="Invoice"/>
  </r>
  <r>
    <x v="5"/>
    <s v="CC"/>
    <s v="OC"/>
    <n v="2000"/>
    <n v="420"/>
    <m/>
    <m/>
    <n v="36784"/>
    <s v="D669"/>
    <s v="TRLU1750645"/>
    <s v="Rental"/>
    <x v="5"/>
    <d v="2018-05-01T00:00:00"/>
    <d v="2018-05-01T00:00:00"/>
    <n v="420"/>
    <d v="2018-05-07T00:00:00"/>
    <n v="0"/>
    <s v="More than 60 days"/>
    <s v="DHMXX"/>
    <x v="0"/>
    <s v="Invoice"/>
  </r>
  <r>
    <x v="5"/>
    <s v="CC"/>
    <s v="OD"/>
    <n v="2000"/>
    <n v="420"/>
    <m/>
    <m/>
    <n v="36784"/>
    <s v="D669"/>
    <s v="TPMU6310037"/>
    <s v="Rental"/>
    <x v="5"/>
    <d v="2018-05-01T00:00:00"/>
    <d v="2018-05-01T00:00:00"/>
    <n v="420"/>
    <d v="2018-05-07T00:00:00"/>
    <n v="0"/>
    <s v="More than 60 days"/>
    <s v="DHMXX"/>
    <x v="0"/>
    <s v="Invoice"/>
  </r>
  <r>
    <x v="5"/>
    <s v="CC"/>
    <s v="OE"/>
    <n v="2000"/>
    <n v="172.5"/>
    <m/>
    <m/>
    <n v="36989"/>
    <s v="D688"/>
    <s v="EXFU057571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F"/>
    <n v="2000"/>
    <n v="172.5"/>
    <m/>
    <m/>
    <n v="36989"/>
    <s v="D688"/>
    <s v="EXFU057574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G"/>
    <n v="2000"/>
    <n v="172.5"/>
    <m/>
    <m/>
    <n v="36992"/>
    <s v="D688"/>
    <s v="EXFU062454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H"/>
    <n v="2000"/>
    <n v="172.5"/>
    <m/>
    <m/>
    <n v="36992"/>
    <s v="D688"/>
    <s v="EXFU062455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I"/>
    <n v="2000"/>
    <n v="172.5"/>
    <m/>
    <m/>
    <n v="36992"/>
    <s v="D688"/>
    <s v="EXFU062463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J"/>
    <n v="2000"/>
    <n v="172.5"/>
    <m/>
    <m/>
    <n v="36992"/>
    <s v="D688"/>
    <s v="EXFU05509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K"/>
    <n v="2000"/>
    <n v="172.5"/>
    <m/>
    <m/>
    <n v="36992"/>
    <s v="D688"/>
    <s v="EXFU053290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L"/>
    <n v="2000"/>
    <n v="172.5"/>
    <m/>
    <m/>
    <n v="36992"/>
    <s v="D688"/>
    <s v="EXFU380307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M"/>
    <n v="2000"/>
    <n v="172.5"/>
    <m/>
    <m/>
    <n v="36992"/>
    <s v="D688"/>
    <s v="SNIU123504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N"/>
    <n v="2000"/>
    <n v="172.5"/>
    <m/>
    <m/>
    <n v="36992"/>
    <s v="D688"/>
    <s v="TRLU025263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O"/>
    <n v="2000"/>
    <n v="172.5"/>
    <m/>
    <m/>
    <n v="36992"/>
    <s v="D688"/>
    <s v="TRLU026455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P"/>
    <n v="2000"/>
    <n v="172.5"/>
    <m/>
    <m/>
    <n v="36992"/>
    <s v="D688"/>
    <s v="USPU124673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Q"/>
    <n v="2000"/>
    <n v="172.5"/>
    <m/>
    <m/>
    <n v="36997"/>
    <s v="D638"/>
    <s v="TRLU021502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R"/>
    <n v="2000"/>
    <n v="172.5"/>
    <m/>
    <m/>
    <n v="36997"/>
    <s v="D638"/>
    <s v="ICSU028339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S"/>
    <n v="2000"/>
    <n v="172.5"/>
    <m/>
    <m/>
    <n v="36997"/>
    <s v="D638"/>
    <s v="EXFU821672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T"/>
    <n v="2000"/>
    <n v="172.5"/>
    <m/>
    <m/>
    <n v="36997"/>
    <s v="D638"/>
    <s v="EXFU822054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U"/>
    <n v="2000"/>
    <n v="172.5"/>
    <m/>
    <m/>
    <n v="36997"/>
    <s v="D638"/>
    <s v="EXFU822056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V"/>
    <n v="2000"/>
    <n v="172.5"/>
    <m/>
    <m/>
    <n v="36997"/>
    <s v="D638"/>
    <s v="EXFU053769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W"/>
    <n v="2000"/>
    <n v="172.5"/>
    <m/>
    <m/>
    <n v="36997"/>
    <s v="D688"/>
    <s v="EXFU052123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X"/>
    <n v="2000"/>
    <n v="172.5"/>
    <m/>
    <m/>
    <n v="36997"/>
    <s v="D638"/>
    <s v="EXFU060761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Y"/>
    <n v="2000"/>
    <n v="172.5"/>
    <m/>
    <m/>
    <n v="36997"/>
    <s v="D688"/>
    <s v="EXFU060762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OZ"/>
    <n v="2000"/>
    <n v="172.5"/>
    <m/>
    <m/>
    <n v="36997"/>
    <s v="D688"/>
    <s v="EXFU060730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A"/>
    <n v="2000"/>
    <n v="172.5"/>
    <m/>
    <m/>
    <n v="36997"/>
    <s v="D688"/>
    <s v="EXFU060719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B"/>
    <n v="2000"/>
    <n v="172.5"/>
    <m/>
    <m/>
    <n v="36997"/>
    <s v="D688"/>
    <s v="EXFU060723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C"/>
    <n v="2000"/>
    <n v="172.5"/>
    <m/>
    <m/>
    <n v="36997"/>
    <s v="D688"/>
    <s v="EXFU059899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D"/>
    <n v="2000"/>
    <n v="172.5"/>
    <m/>
    <m/>
    <n v="36997"/>
    <s v="D638"/>
    <s v="EXFU81063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E"/>
    <n v="2000"/>
    <n v="172.5"/>
    <m/>
    <m/>
    <n v="37463"/>
    <s v="D804"/>
    <s v="TOLU916111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F"/>
    <n v="2000"/>
    <n v="172.5"/>
    <m/>
    <m/>
    <n v="37463"/>
    <s v="D804"/>
    <s v="TRLU021235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G"/>
    <n v="2000"/>
    <n v="172.5"/>
    <m/>
    <m/>
    <n v="37463"/>
    <s v="D804"/>
    <s v="TRLU021799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H"/>
    <n v="2000"/>
    <n v="172.5"/>
    <m/>
    <m/>
    <n v="37463"/>
    <s v="D804"/>
    <s v="TRLU021935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I"/>
    <n v="2000"/>
    <n v="172.5"/>
    <m/>
    <m/>
    <n v="37463"/>
    <s v="D804"/>
    <s v="TRLU021937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J"/>
    <n v="2000"/>
    <n v="172.5"/>
    <m/>
    <m/>
    <n v="37463"/>
    <s v="D804"/>
    <s v="TRLU022234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K"/>
    <n v="2000"/>
    <n v="172.5"/>
    <m/>
    <m/>
    <n v="37463"/>
    <s v="D804"/>
    <s v="TRLU022196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L"/>
    <n v="2000"/>
    <n v="172.5"/>
    <m/>
    <m/>
    <n v="37463"/>
    <s v="D804"/>
    <s v="TRLU022198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M"/>
    <n v="2000"/>
    <n v="172.5"/>
    <m/>
    <m/>
    <n v="37463"/>
    <s v="D804"/>
    <s v="TRLU022200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N"/>
    <n v="2000"/>
    <n v="172.5"/>
    <m/>
    <m/>
    <n v="37463"/>
    <s v="D804"/>
    <s v="TRLU022229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O"/>
    <n v="2000"/>
    <n v="172.5"/>
    <m/>
    <m/>
    <n v="37912"/>
    <s v="D638"/>
    <s v="TRLU021824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P"/>
    <n v="2000"/>
    <n v="172.5"/>
    <m/>
    <m/>
    <n v="37912"/>
    <s v="D638"/>
    <s v="TRLU021742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Q"/>
    <n v="2000"/>
    <n v="172.5"/>
    <m/>
    <m/>
    <n v="37912"/>
    <s v="D638"/>
    <s v="TRLU021745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R"/>
    <n v="2000"/>
    <n v="172.5"/>
    <m/>
    <m/>
    <n v="37912"/>
    <s v="D638"/>
    <s v="TPTU820589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S"/>
    <n v="2000"/>
    <n v="172.5"/>
    <m/>
    <m/>
    <n v="37912"/>
    <s v="D638"/>
    <s v="TRLU021178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T"/>
    <n v="2000"/>
    <n v="172.5"/>
    <m/>
    <m/>
    <n v="37912"/>
    <s v="D638"/>
    <s v="USPU122821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U"/>
    <n v="2000"/>
    <n v="172.5"/>
    <m/>
    <m/>
    <n v="37912"/>
    <s v="D638"/>
    <s v="EXFU821668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V"/>
    <n v="2000"/>
    <n v="172.5"/>
    <m/>
    <m/>
    <n v="37912"/>
    <s v="D638"/>
    <s v="EXFU821675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W"/>
    <n v="2000"/>
    <n v="172.5"/>
    <m/>
    <m/>
    <n v="37912"/>
    <s v="D638"/>
    <s v="EXFU821809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X"/>
    <n v="2000"/>
    <n v="172.5"/>
    <m/>
    <m/>
    <n v="37912"/>
    <s v="D638"/>
    <s v="EXFU821435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Y"/>
    <n v="2000"/>
    <n v="172.5"/>
    <m/>
    <m/>
    <n v="37912"/>
    <s v="D638"/>
    <s v="EXFU820866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PZ"/>
    <n v="2000"/>
    <n v="172.5"/>
    <m/>
    <m/>
    <n v="82957"/>
    <s v="D678"/>
    <s v="EXFU380247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QA"/>
    <n v="2000"/>
    <n v="172.5"/>
    <m/>
    <m/>
    <n v="82957"/>
    <s v="D678"/>
    <s v="EXFU059951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QB"/>
    <n v="2000"/>
    <n v="172.5"/>
    <m/>
    <m/>
    <n v="82957"/>
    <s v="D678"/>
    <s v="EXFU053801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QC"/>
    <n v="2000"/>
    <n v="172.5"/>
    <m/>
    <m/>
    <n v="82957"/>
    <s v="D678"/>
    <s v="TRLU021031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QD"/>
    <n v="2000"/>
    <n v="172.5"/>
    <m/>
    <m/>
    <n v="82957"/>
    <s v="D678"/>
    <s v="TPMU161046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5"/>
    <s v="CC"/>
    <s v="QE"/>
    <n v="2000"/>
    <n v="172.5"/>
    <m/>
    <m/>
    <n v="91299"/>
    <s v="D678"/>
    <s v="TRLU0216949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SN"/>
    <s v="A"/>
    <n v="1"/>
    <n v="172.5"/>
    <n v="31727649"/>
    <m/>
    <m/>
    <m/>
    <s v="EXFU440419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SN"/>
    <s v="B"/>
    <n v="1"/>
    <n v="172.5"/>
    <n v="31727649"/>
    <m/>
    <m/>
    <m/>
    <s v="EXFU440421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SN"/>
    <s v="C"/>
    <n v="1"/>
    <n v="172.5"/>
    <n v="31696450"/>
    <m/>
    <m/>
    <m/>
    <s v="EXFU821683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SN"/>
    <s v="D"/>
    <n v="1"/>
    <n v="172.5"/>
    <n v="31675614"/>
    <m/>
    <m/>
    <m/>
    <s v="TRLU021562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SN"/>
    <s v="E"/>
    <n v="1"/>
    <n v="172.5"/>
    <n v="31675614"/>
    <m/>
    <m/>
    <m/>
    <s v="TRLU021736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SN"/>
    <s v="F"/>
    <n v="1"/>
    <n v="172.5"/>
    <n v="31696450"/>
    <m/>
    <m/>
    <m/>
    <s v="TRLU022167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IN"/>
    <n v="1"/>
    <n v="172.5"/>
    <m/>
    <m/>
    <n v="64179"/>
    <s v="D223"/>
    <s v="EXFU055453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IO"/>
    <n v="1"/>
    <n v="225"/>
    <m/>
    <m/>
    <n v="64179"/>
    <s v="D223"/>
    <s v="EXSZ900802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P"/>
    <n v="1"/>
    <n v="225"/>
    <m/>
    <m/>
    <n v="64179"/>
    <s v="D223"/>
    <s v="EXSZ900820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Q"/>
    <n v="1"/>
    <n v="225"/>
    <m/>
    <m/>
    <n v="64179"/>
    <s v="D223"/>
    <s v="EXSZ900908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R"/>
    <n v="1"/>
    <n v="172.5"/>
    <m/>
    <m/>
    <n v="64179"/>
    <s v="D223"/>
    <s v="TOLU926071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IS"/>
    <n v="1"/>
    <n v="172.5"/>
    <m/>
    <m/>
    <n v="64179"/>
    <s v="D223"/>
    <s v="SNIU123260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IT"/>
    <n v="1"/>
    <n v="225"/>
    <m/>
    <m/>
    <n v="64179"/>
    <s v="D223"/>
    <s v="EXSZ9020748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U"/>
    <n v="1"/>
    <n v="225"/>
    <m/>
    <m/>
    <n v="64248"/>
    <s v="D223"/>
    <s v="EXSZ9014236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V"/>
    <n v="1"/>
    <n v="225"/>
    <m/>
    <m/>
    <n v="64248"/>
    <s v="D223"/>
    <s v="EXSZ9016619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W"/>
    <n v="1"/>
    <n v="172.5"/>
    <m/>
    <m/>
    <n v="64248"/>
    <s v="D223"/>
    <s v="TOLU946527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IX"/>
    <n v="1"/>
    <n v="225"/>
    <m/>
    <m/>
    <n v="64248"/>
    <s v="D223"/>
    <s v="EXSZ900961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Y"/>
    <n v="1"/>
    <n v="225"/>
    <m/>
    <m/>
    <n v="64248"/>
    <s v="D223"/>
    <s v="EXSZ9010919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IZ"/>
    <n v="1"/>
    <n v="225"/>
    <m/>
    <m/>
    <n v="64248"/>
    <s v="D223"/>
    <s v="EXSZ9007382"/>
    <s v="Rental"/>
    <x v="5"/>
    <d v="2018-05-01T00:00:00"/>
    <d v="2018-05-01T00:00:00"/>
    <n v="225"/>
    <d v="2018-05-07T00:00:00"/>
    <n v="0"/>
    <s v="More than 60 days"/>
    <s v="DHMXX"/>
    <x v="0"/>
    <s v="Invoice"/>
  </r>
  <r>
    <x v="6"/>
    <s v="CC"/>
    <s v="JA"/>
    <n v="1"/>
    <n v="172.5"/>
    <m/>
    <m/>
    <n v="64248"/>
    <s v="D223"/>
    <s v="EXFU059915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B"/>
    <n v="1"/>
    <n v="172.5"/>
    <m/>
    <m/>
    <n v="64248"/>
    <s v="D223"/>
    <s v="EXFU051902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C"/>
    <n v="1"/>
    <n v="172.5"/>
    <m/>
    <m/>
    <n v="64248"/>
    <s v="D223"/>
    <s v="EXFU054065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D"/>
    <n v="1"/>
    <n v="172.5"/>
    <m/>
    <m/>
    <n v="64248"/>
    <s v="D223"/>
    <s v="EXFU054066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E"/>
    <n v="1"/>
    <n v="172.5"/>
    <m/>
    <m/>
    <n v="64248"/>
    <s v="D223"/>
    <s v="EXFU052737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F"/>
    <n v="1"/>
    <n v="172.5"/>
    <m/>
    <m/>
    <n v="64248"/>
    <s v="D223"/>
    <s v="USPU121233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G"/>
    <n v="1"/>
    <n v="172.5"/>
    <m/>
    <m/>
    <n v="64248"/>
    <s v="D223"/>
    <s v="USPU122571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6"/>
    <s v="CC"/>
    <s v="JH"/>
    <n v="1"/>
    <n v="300"/>
    <m/>
    <m/>
    <n v="64248"/>
    <s v="D223"/>
    <s v="TRLU5200164"/>
    <s v="Rental"/>
    <x v="5"/>
    <d v="2018-05-01T00:00:00"/>
    <d v="2018-05-01T00:00:00"/>
    <n v="300"/>
    <d v="2018-05-07T00:00:00"/>
    <n v="0"/>
    <s v="More than 60 days"/>
    <s v="DHMXX"/>
    <x v="0"/>
    <s v="Invoice"/>
  </r>
  <r>
    <x v="6"/>
    <s v="CC"/>
    <s v="JI"/>
    <n v="1"/>
    <n v="172.5"/>
    <m/>
    <m/>
    <n v="64248"/>
    <s v="D223"/>
    <s v="TRLU021887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7"/>
    <s v="CC"/>
    <s v="A"/>
    <n v="1"/>
    <n v="6813.83"/>
    <m/>
    <m/>
    <n v="1274"/>
    <s v="D358"/>
    <s v="PRORATE"/>
    <s v="Rental"/>
    <x v="5"/>
    <d v="2018-05-01T00:00:00"/>
    <d v="2018-05-01T00:00:00"/>
    <n v="6813.83"/>
    <d v="2018-05-07T00:00:00"/>
    <n v="0"/>
    <s v="More than 60 days"/>
    <s v="DHMXX"/>
    <x v="0"/>
    <s v="Invoice"/>
  </r>
  <r>
    <x v="7"/>
    <s v="CC"/>
    <s v="B"/>
    <n v="1"/>
    <n v="206.48"/>
    <m/>
    <m/>
    <n v="2747"/>
    <s v="D186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C"/>
    <n v="1"/>
    <n v="1032.4000000000001"/>
    <m/>
    <m/>
    <n v="3825"/>
    <s v="D223"/>
    <s v="PRORATE"/>
    <s v="Rental"/>
    <x v="5"/>
    <d v="2018-05-01T00:00:00"/>
    <d v="2018-05-01T00:00:00"/>
    <n v="1032.4000000000001"/>
    <d v="2018-05-07T00:00:00"/>
    <n v="0"/>
    <s v="More than 60 days"/>
    <s v="DHMXX"/>
    <x v="0"/>
    <s v="Invoice"/>
  </r>
  <r>
    <x v="7"/>
    <s v="CC"/>
    <s v="D"/>
    <n v="1"/>
    <n v="206.48"/>
    <m/>
    <m/>
    <n v="8327"/>
    <s v="D243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E"/>
    <n v="1"/>
    <n v="619.44000000000005"/>
    <m/>
    <m/>
    <n v="13342"/>
    <s v="D021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F"/>
    <n v="1"/>
    <n v="412.96"/>
    <m/>
    <m/>
    <n v="54876"/>
    <s v="D182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G"/>
    <n v="1"/>
    <n v="206.48"/>
    <m/>
    <m/>
    <n v="55052"/>
    <s v="D777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H"/>
    <n v="1"/>
    <n v="619.44000000000005"/>
    <m/>
    <m/>
    <n v="55242"/>
    <s v="D777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I"/>
    <n v="1"/>
    <n v="412.96"/>
    <m/>
    <m/>
    <n v="55253"/>
    <s v="D777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J"/>
    <n v="1"/>
    <n v="1858.32"/>
    <m/>
    <m/>
    <n v="55292"/>
    <s v="D777"/>
    <s v="PRORATE"/>
    <s v="Rental"/>
    <x v="5"/>
    <d v="2018-05-01T00:00:00"/>
    <d v="2018-05-01T00:00:00"/>
    <n v="1858.32"/>
    <d v="2018-05-07T00:00:00"/>
    <n v="0"/>
    <s v="More than 60 days"/>
    <s v="DHMXX"/>
    <x v="0"/>
    <s v="Invoice"/>
  </r>
  <r>
    <x v="7"/>
    <s v="CC"/>
    <s v="K"/>
    <n v="1"/>
    <n v="206.48"/>
    <m/>
    <m/>
    <n v="55477"/>
    <s v="D248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L"/>
    <n v="1"/>
    <n v="619.44000000000005"/>
    <m/>
    <m/>
    <n v="55766"/>
    <s v="B244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M"/>
    <n v="1"/>
    <n v="206.48"/>
    <m/>
    <m/>
    <n v="55785"/>
    <s v="D355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N"/>
    <n v="1"/>
    <n v="619.44000000000005"/>
    <m/>
    <m/>
    <n v="56539"/>
    <s v="D229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O"/>
    <n v="1"/>
    <n v="825.92"/>
    <m/>
    <m/>
    <n v="56774"/>
    <s v="D181"/>
    <s v="PRORATE"/>
    <s v="Rental"/>
    <x v="5"/>
    <d v="2018-05-01T00:00:00"/>
    <d v="2018-05-01T00:00:00"/>
    <n v="825.92"/>
    <d v="2018-05-07T00:00:00"/>
    <n v="0"/>
    <s v="More than 60 days"/>
    <s v="DHMXX"/>
    <x v="0"/>
    <s v="Invoice"/>
  </r>
  <r>
    <x v="7"/>
    <s v="CC"/>
    <s v="P"/>
    <n v="1"/>
    <n v="206.48"/>
    <m/>
    <m/>
    <n v="58008"/>
    <s v="D266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Q"/>
    <n v="1"/>
    <n v="206.48"/>
    <m/>
    <m/>
    <n v="59994"/>
    <s v="D022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R"/>
    <n v="1"/>
    <n v="206.48"/>
    <m/>
    <m/>
    <n v="64179"/>
    <s v="D223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S"/>
    <n v="1"/>
    <n v="412.96"/>
    <m/>
    <m/>
    <n v="66343"/>
    <s v="D777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T"/>
    <n v="1"/>
    <n v="206.48"/>
    <m/>
    <m/>
    <n v="66652"/>
    <s v="D213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U"/>
    <n v="1"/>
    <n v="206.48"/>
    <m/>
    <m/>
    <n v="66988"/>
    <s v="D449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V"/>
    <n v="1"/>
    <n v="6607.35"/>
    <m/>
    <m/>
    <n v="67865"/>
    <s v="D449"/>
    <s v="PRORATE"/>
    <s v="Rental"/>
    <x v="5"/>
    <d v="2018-05-01T00:00:00"/>
    <d v="2018-05-01T00:00:00"/>
    <n v="6607.35"/>
    <d v="2018-05-07T00:00:00"/>
    <n v="0"/>
    <s v="More than 60 days"/>
    <s v="DHMXX"/>
    <x v="0"/>
    <s v="Invoice"/>
  </r>
  <r>
    <x v="7"/>
    <s v="CC"/>
    <s v="W"/>
    <n v="1"/>
    <n v="412.96"/>
    <m/>
    <m/>
    <n v="68161"/>
    <s v="D344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X"/>
    <n v="1"/>
    <n v="412.96"/>
    <m/>
    <m/>
    <n v="76024"/>
    <s v="D383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Y"/>
    <n v="1"/>
    <n v="1032.4000000000001"/>
    <m/>
    <m/>
    <n v="76833"/>
    <s v="D438"/>
    <s v="PRORATE"/>
    <s v="Rental"/>
    <x v="5"/>
    <d v="2018-05-01T00:00:00"/>
    <d v="2018-05-01T00:00:00"/>
    <n v="1032.4000000000001"/>
    <d v="2018-05-07T00:00:00"/>
    <n v="0"/>
    <s v="More than 60 days"/>
    <s v="DHMXX"/>
    <x v="0"/>
    <s v="Invoice"/>
  </r>
  <r>
    <x v="7"/>
    <s v="CC"/>
    <s v="Z"/>
    <n v="1"/>
    <n v="206.48"/>
    <m/>
    <m/>
    <n v="82624"/>
    <s v="D407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A"/>
    <n v="1"/>
    <n v="619.44000000000005"/>
    <m/>
    <m/>
    <n v="85175"/>
    <s v="D021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AB"/>
    <n v="1"/>
    <n v="11769.27"/>
    <m/>
    <m/>
    <n v="90352"/>
    <s v="D214"/>
    <s v="PRORATE"/>
    <s v="Rental"/>
    <x v="5"/>
    <d v="2018-05-01T00:00:00"/>
    <d v="2018-05-01T00:00:00"/>
    <n v="11769.27"/>
    <d v="2018-05-07T00:00:00"/>
    <n v="0"/>
    <s v="More than 60 days"/>
    <s v="DHMXX"/>
    <x v="0"/>
    <s v="Invoice"/>
  </r>
  <r>
    <x v="7"/>
    <s v="CC"/>
    <s v="AC"/>
    <n v="1"/>
    <n v="10736.94"/>
    <m/>
    <m/>
    <n v="91295"/>
    <s v="D284"/>
    <s v="PRORATE"/>
    <s v="Rental"/>
    <x v="5"/>
    <d v="2018-05-01T00:00:00"/>
    <d v="2018-05-01T00:00:00"/>
    <n v="10736.94"/>
    <d v="2018-05-07T00:00:00"/>
    <n v="0"/>
    <s v="More than 60 days"/>
    <s v="DHMXX"/>
    <x v="0"/>
    <s v="Invoice"/>
  </r>
  <r>
    <x v="7"/>
    <s v="CC"/>
    <s v="AD"/>
    <n v="1"/>
    <n v="206.48"/>
    <m/>
    <m/>
    <n v="92676"/>
    <s v="D243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E"/>
    <n v="1"/>
    <n v="206.48"/>
    <m/>
    <m/>
    <n v="94783"/>
    <s v="D284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F"/>
    <n v="1"/>
    <n v="206.48"/>
    <m/>
    <m/>
    <n v="115229"/>
    <s v="D449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G"/>
    <n v="1"/>
    <n v="412.96"/>
    <m/>
    <m/>
    <n v="140140"/>
    <s v="D674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AH"/>
    <n v="1"/>
    <n v="206.48"/>
    <m/>
    <m/>
    <n v="142910"/>
    <s v="D182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I"/>
    <n v="1"/>
    <n v="1238.8800000000001"/>
    <m/>
    <m/>
    <n v="148833"/>
    <s v="D292"/>
    <s v="PRORATE"/>
    <s v="Rental"/>
    <x v="5"/>
    <d v="2018-05-01T00:00:00"/>
    <d v="2018-05-01T00:00:00"/>
    <n v="1238.8800000000001"/>
    <d v="2018-05-07T00:00:00"/>
    <n v="0"/>
    <s v="More than 60 days"/>
    <s v="DHMXX"/>
    <x v="0"/>
    <s v="Invoice"/>
  </r>
  <r>
    <x v="7"/>
    <s v="CC"/>
    <s v="AJ"/>
    <n v="1"/>
    <n v="206.48"/>
    <m/>
    <m/>
    <n v="162604"/>
    <s v="D292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K"/>
    <n v="1"/>
    <n v="206.48"/>
    <m/>
    <m/>
    <n v="165685"/>
    <s v="D227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AL"/>
    <n v="16"/>
    <n v="619.44000000000005"/>
    <m/>
    <m/>
    <n v="55031"/>
    <s v="D058"/>
    <s v="PRORATE"/>
    <s v="Rental"/>
    <x v="5"/>
    <d v="2018-05-01T00:00:00"/>
    <d v="2018-05-01T00:00:00"/>
    <n v="619.44000000000005"/>
    <d v="2018-05-09T00:00:00"/>
    <n v="0"/>
    <s v="More than 60 days"/>
    <s v="DHMXX"/>
    <x v="0"/>
    <s v="Invoice"/>
  </r>
  <r>
    <x v="7"/>
    <s v="CC"/>
    <s v="AM"/>
    <n v="16"/>
    <n v="1238.8800000000001"/>
    <m/>
    <m/>
    <n v="55245"/>
    <s v="D058"/>
    <s v="PRORATE"/>
    <s v="Rental"/>
    <x v="5"/>
    <d v="2018-05-01T00:00:00"/>
    <d v="2018-05-01T00:00:00"/>
    <n v="1238.8800000000001"/>
    <d v="2018-05-09T00:00:00"/>
    <n v="0"/>
    <s v="More than 60 days"/>
    <s v="DHMXX"/>
    <x v="0"/>
    <s v="Invoice"/>
  </r>
  <r>
    <x v="7"/>
    <s v="CC"/>
    <s v="AN"/>
    <n v="16"/>
    <n v="206.48"/>
    <m/>
    <m/>
    <n v="55256"/>
    <s v="D777"/>
    <s v="PRORATE"/>
    <s v="Rental"/>
    <x v="5"/>
    <d v="2018-05-01T00:00:00"/>
    <d v="2018-05-01T00:00:00"/>
    <n v="206.48"/>
    <d v="2018-05-09T00:00:00"/>
    <n v="0"/>
    <s v="More than 60 days"/>
    <s v="DHMXX"/>
    <x v="0"/>
    <s v="Invoice"/>
  </r>
  <r>
    <x v="7"/>
    <s v="CC"/>
    <s v="AO"/>
    <n v="16"/>
    <n v="206.48"/>
    <m/>
    <m/>
    <n v="55314"/>
    <s v="D059"/>
    <s v="PRORATE"/>
    <s v="Rental"/>
    <x v="5"/>
    <d v="2018-05-01T00:00:00"/>
    <d v="2018-05-01T00:00:00"/>
    <n v="206.48"/>
    <d v="2018-05-09T00:00:00"/>
    <n v="0"/>
    <s v="More than 60 days"/>
    <s v="DHMXX"/>
    <x v="0"/>
    <s v="Invoice"/>
  </r>
  <r>
    <x v="7"/>
    <s v="CC"/>
    <s v="AP"/>
    <n v="16"/>
    <n v="825.92"/>
    <m/>
    <m/>
    <n v="55322"/>
    <s v="D059"/>
    <s v="PRORATE"/>
    <s v="Rental"/>
    <x v="5"/>
    <d v="2018-05-01T00:00:00"/>
    <d v="2018-05-01T00:00:00"/>
    <n v="825.92"/>
    <d v="2018-05-09T00:00:00"/>
    <n v="0"/>
    <s v="More than 60 days"/>
    <s v="DHMXX"/>
    <x v="0"/>
    <s v="Invoice"/>
  </r>
  <r>
    <x v="7"/>
    <s v="CC"/>
    <s v="AQ"/>
    <n v="16"/>
    <n v="619.44000000000005"/>
    <m/>
    <m/>
    <n v="55327"/>
    <s v="D059"/>
    <s v="PRORATE"/>
    <s v="Rental"/>
    <x v="5"/>
    <d v="2018-05-01T00:00:00"/>
    <d v="2018-05-01T00:00:00"/>
    <n v="619.44000000000005"/>
    <d v="2018-05-09T00:00:00"/>
    <n v="0"/>
    <s v="More than 60 days"/>
    <s v="DHMXX"/>
    <x v="0"/>
    <s v="Invoice"/>
  </r>
  <r>
    <x v="7"/>
    <s v="CC"/>
    <s v="AR"/>
    <n v="16"/>
    <n v="412.96"/>
    <m/>
    <m/>
    <n v="56656"/>
    <s v="D058"/>
    <s v="PRORATE"/>
    <s v="Rental"/>
    <x v="5"/>
    <d v="2018-05-01T00:00:00"/>
    <d v="2018-05-01T00:00:00"/>
    <n v="412.96"/>
    <d v="2018-05-09T00:00:00"/>
    <n v="0"/>
    <s v="More than 60 days"/>
    <s v="DHMXX"/>
    <x v="0"/>
    <s v="Invoice"/>
  </r>
  <r>
    <x v="7"/>
    <s v="CC"/>
    <s v="AS"/>
    <n v="16"/>
    <n v="206.48"/>
    <m/>
    <m/>
    <n v="56660"/>
    <s v="D058"/>
    <s v="PRORATE"/>
    <s v="Rental"/>
    <x v="5"/>
    <d v="2018-05-01T00:00:00"/>
    <d v="2018-05-01T00:00:00"/>
    <n v="206.48"/>
    <d v="2018-05-09T00:00:00"/>
    <n v="0"/>
    <s v="More than 60 days"/>
    <s v="DHMXX"/>
    <x v="0"/>
    <s v="Invoice"/>
  </r>
  <r>
    <x v="7"/>
    <s v="CC"/>
    <s v="AT"/>
    <n v="16"/>
    <n v="206.48"/>
    <m/>
    <m/>
    <n v="82223"/>
    <s v="D215"/>
    <s v="PRORATE"/>
    <s v="Rental"/>
    <x v="5"/>
    <d v="2018-05-01T00:00:00"/>
    <d v="2018-05-01T00:00:00"/>
    <n v="206.48"/>
    <d v="2018-05-09T00:00:00"/>
    <n v="0"/>
    <s v="More than 60 days"/>
    <s v="DHMXX"/>
    <x v="0"/>
    <s v="Invoice"/>
  </r>
  <r>
    <x v="7"/>
    <s v="CC"/>
    <s v="AU"/>
    <n v="16"/>
    <n v="412.96"/>
    <m/>
    <m/>
    <n v="82227"/>
    <s v="D215"/>
    <s v="PRORATE"/>
    <s v="Rental"/>
    <x v="5"/>
    <d v="2018-05-01T00:00:00"/>
    <d v="2018-05-01T00:00:00"/>
    <n v="412.96"/>
    <d v="2018-05-09T00:00:00"/>
    <n v="0"/>
    <s v="More than 60 days"/>
    <s v="DHMXX"/>
    <x v="0"/>
    <s v="Invoice"/>
  </r>
  <r>
    <x v="7"/>
    <s v="CC"/>
    <s v="AV"/>
    <n v="16"/>
    <n v="619.44000000000005"/>
    <m/>
    <m/>
    <n v="115325"/>
    <s v="D618"/>
    <s v="PRORATE"/>
    <s v="Rental"/>
    <x v="5"/>
    <d v="2018-05-01T00:00:00"/>
    <d v="2018-05-01T00:00:00"/>
    <n v="619.44000000000005"/>
    <d v="2018-05-09T00:00:00"/>
    <n v="0"/>
    <s v="More than 60 days"/>
    <s v="DHMXX"/>
    <x v="0"/>
    <s v="Invoice"/>
  </r>
  <r>
    <x v="7"/>
    <s v="CC"/>
    <s v="AW"/>
    <n v="2000"/>
    <n v="619.44000000000005"/>
    <m/>
    <m/>
    <n v="36784"/>
    <s v="D669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AX"/>
    <n v="2000"/>
    <n v="412.96"/>
    <m/>
    <m/>
    <n v="36989"/>
    <s v="D688"/>
    <s v="PRORATE"/>
    <s v="Rental"/>
    <x v="5"/>
    <d v="2018-05-01T00:00:00"/>
    <d v="2018-05-01T00:00:00"/>
    <n v="412.96"/>
    <d v="2018-05-07T00:00:00"/>
    <n v="0"/>
    <s v="More than 60 days"/>
    <s v="DHMXX"/>
    <x v="0"/>
    <s v="Invoice"/>
  </r>
  <r>
    <x v="7"/>
    <s v="CC"/>
    <s v="AY"/>
    <n v="2000"/>
    <n v="2064.8000000000002"/>
    <m/>
    <m/>
    <n v="36992"/>
    <s v="D688"/>
    <s v="PRORATE"/>
    <s v="Rental"/>
    <x v="5"/>
    <d v="2018-05-01T00:00:00"/>
    <d v="2018-05-01T00:00:00"/>
    <n v="2064.8000000000002"/>
    <d v="2018-05-07T00:00:00"/>
    <n v="0"/>
    <s v="More than 60 days"/>
    <s v="DHMXX"/>
    <x v="0"/>
    <s v="Invoice"/>
  </r>
  <r>
    <x v="7"/>
    <s v="CC"/>
    <s v="AZ"/>
    <n v="2000"/>
    <n v="2890.71"/>
    <m/>
    <m/>
    <n v="36997"/>
    <s v="D638"/>
    <s v="PRORATE"/>
    <s v="Rental"/>
    <x v="5"/>
    <d v="2018-05-01T00:00:00"/>
    <d v="2018-05-01T00:00:00"/>
    <n v="2890.71"/>
    <d v="2018-05-07T00:00:00"/>
    <n v="0"/>
    <s v="More than 60 days"/>
    <s v="DHMXX"/>
    <x v="0"/>
    <s v="Invoice"/>
  </r>
  <r>
    <x v="7"/>
    <s v="CC"/>
    <s v="BA"/>
    <n v="2000"/>
    <n v="2064.8000000000002"/>
    <m/>
    <m/>
    <n v="37463"/>
    <s v="D804"/>
    <s v="PRORATE"/>
    <s v="Rental"/>
    <x v="5"/>
    <d v="2018-05-01T00:00:00"/>
    <d v="2018-05-01T00:00:00"/>
    <n v="2064.8000000000002"/>
    <d v="2018-05-07T00:00:00"/>
    <n v="0"/>
    <s v="More than 60 days"/>
    <s v="DHMXX"/>
    <x v="0"/>
    <s v="Invoice"/>
  </r>
  <r>
    <x v="7"/>
    <s v="CC"/>
    <s v="BB"/>
    <n v="2000"/>
    <n v="2271.2800000000002"/>
    <m/>
    <m/>
    <n v="37912"/>
    <s v="D638"/>
    <s v="PRORATE"/>
    <s v="Rental"/>
    <x v="5"/>
    <d v="2018-05-01T00:00:00"/>
    <d v="2018-05-01T00:00:00"/>
    <n v="2271.2800000000002"/>
    <d v="2018-05-07T00:00:00"/>
    <n v="0"/>
    <s v="More than 60 days"/>
    <s v="DHMXX"/>
    <x v="0"/>
    <s v="Invoice"/>
  </r>
  <r>
    <x v="7"/>
    <s v="CC"/>
    <s v="BC"/>
    <n v="2000"/>
    <n v="1032.4000000000001"/>
    <m/>
    <m/>
    <n v="82957"/>
    <s v="D678"/>
    <s v="PRORATE"/>
    <s v="Rental"/>
    <x v="5"/>
    <d v="2018-05-01T00:00:00"/>
    <d v="2018-05-01T00:00:00"/>
    <n v="1032.4000000000001"/>
    <d v="2018-05-07T00:00:00"/>
    <n v="0"/>
    <s v="More than 60 days"/>
    <s v="DHMXX"/>
    <x v="0"/>
    <s v="Invoice"/>
  </r>
  <r>
    <x v="7"/>
    <s v="CC"/>
    <s v="BD"/>
    <n v="2000"/>
    <n v="206.48"/>
    <m/>
    <m/>
    <n v="91299"/>
    <s v="D678"/>
    <s v="PRORATE"/>
    <s v="Rental"/>
    <x v="5"/>
    <d v="2018-05-01T00:00:00"/>
    <d v="2018-05-01T00:00:00"/>
    <n v="206.48"/>
    <d v="2018-05-07T00:00:00"/>
    <n v="0"/>
    <s v="More than 60 days"/>
    <s v="DHMXX"/>
    <x v="0"/>
    <s v="Invoice"/>
  </r>
  <r>
    <x v="7"/>
    <s v="CC"/>
    <s v="BE"/>
    <n v="2000"/>
    <n v="619.44000000000005"/>
    <m/>
    <m/>
    <n v="172035"/>
    <s v="B304"/>
    <s v="PRORATE"/>
    <s v="Rental"/>
    <x v="5"/>
    <d v="2018-05-01T00:00:00"/>
    <d v="2018-05-01T00:00:00"/>
    <n v="619.44000000000005"/>
    <d v="2018-05-07T00:00:00"/>
    <n v="0"/>
    <s v="More than 60 days"/>
    <s v="DHMXX"/>
    <x v="0"/>
    <s v="Invoice"/>
  </r>
  <r>
    <x v="7"/>
    <s v="CC"/>
    <s v="BF"/>
    <n v="2000"/>
    <n v="2064.8000000000002"/>
    <m/>
    <m/>
    <n v="182140"/>
    <s v="D210"/>
    <s v="PRORATE"/>
    <s v="Rental"/>
    <x v="5"/>
    <d v="2018-05-01T00:00:00"/>
    <d v="2018-05-01T00:00:00"/>
    <n v="2064.8000000000002"/>
    <d v="2018-05-07T00:00:00"/>
    <n v="0"/>
    <s v="More than 60 days"/>
    <s v="DHMXX"/>
    <x v="0"/>
    <s v="Invoice"/>
  </r>
  <r>
    <x v="8"/>
    <s v="TR"/>
    <s v="A"/>
    <n v="5001"/>
    <n v="270"/>
    <m/>
    <m/>
    <n v="117423"/>
    <s v="T001"/>
    <s v="EXSZ9012716"/>
    <s v="Rental"/>
    <x v="5"/>
    <d v="2018-05-01T00:00:00"/>
    <d v="2018-05-01T00:00:00"/>
    <n v="270"/>
    <d v="2018-05-11T00:00:00"/>
    <n v="0"/>
    <s v="More than 60 days"/>
    <s v="DHMXX"/>
    <x v="0"/>
    <s v="Invoice"/>
  </r>
  <r>
    <x v="8"/>
    <s v="TR"/>
    <s v="B"/>
    <n v="5001"/>
    <n v="270"/>
    <m/>
    <m/>
    <n v="117423"/>
    <s v="T001"/>
    <s v="EXSZ9012763"/>
    <s v="Rental"/>
    <x v="5"/>
    <d v="2018-05-01T00:00:00"/>
    <d v="2018-05-01T00:00:00"/>
    <n v="270"/>
    <d v="2018-05-11T00:00:00"/>
    <n v="0"/>
    <s v="More than 60 days"/>
    <s v="DHMXX"/>
    <x v="0"/>
    <s v="Invoice"/>
  </r>
  <r>
    <x v="8"/>
    <s v="TR"/>
    <s v="C"/>
    <n v="5001"/>
    <n v="480"/>
    <m/>
    <m/>
    <n v="117423"/>
    <s v="T001"/>
    <s v="EXFU1447020"/>
    <s v="Rental"/>
    <x v="5"/>
    <d v="2018-05-01T00:00:00"/>
    <d v="2018-05-01T00:00:00"/>
    <n v="480"/>
    <d v="2018-05-11T00:00:00"/>
    <n v="0"/>
    <s v="More than 60 days"/>
    <s v="DHMXX"/>
    <x v="0"/>
    <s v="Invoice"/>
  </r>
  <r>
    <x v="8"/>
    <s v="TR"/>
    <s v="D"/>
    <n v="5001"/>
    <n v="480"/>
    <m/>
    <m/>
    <n v="117423"/>
    <s v="T001"/>
    <s v="EXFU1447035"/>
    <s v="Rental"/>
    <x v="5"/>
    <d v="2018-05-01T00:00:00"/>
    <d v="2018-05-01T00:00:00"/>
    <n v="480"/>
    <d v="2018-05-11T00:00:00"/>
    <n v="0"/>
    <s v="More than 60 days"/>
    <s v="DHMXX"/>
    <x v="0"/>
    <s v="Invoice"/>
  </r>
  <r>
    <x v="8"/>
    <s v="CC"/>
    <s v="JJ"/>
    <n v="1"/>
    <n v="480"/>
    <m/>
    <m/>
    <n v="20028"/>
    <s v="D407"/>
    <s v="EXFU1452448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JK"/>
    <n v="1"/>
    <n v="270"/>
    <m/>
    <m/>
    <n v="20028"/>
    <s v="D407"/>
    <s v="EXSZ9018340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L"/>
    <n v="1"/>
    <n v="270"/>
    <m/>
    <m/>
    <n v="20028"/>
    <s v="D407"/>
    <s v="EXSZ9018360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M"/>
    <n v="1"/>
    <n v="480"/>
    <m/>
    <m/>
    <n v="77572"/>
    <s v="T001"/>
    <s v="EXFU1447098"/>
    <s v="Rental"/>
    <x v="5"/>
    <d v="2018-05-01T00:00:00"/>
    <d v="2018-05-01T00:00:00"/>
    <n v="480"/>
    <d v="2018-05-09T00:00:00"/>
    <n v="0"/>
    <s v="More than 60 days"/>
    <s v="DHMXX"/>
    <x v="0"/>
    <s v="Invoice"/>
  </r>
  <r>
    <x v="8"/>
    <s v="CC"/>
    <s v="JN"/>
    <n v="1"/>
    <n v="480"/>
    <m/>
    <m/>
    <n v="141188"/>
    <s v="D777"/>
    <s v="EXFU1447879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JO"/>
    <n v="1"/>
    <n v="480"/>
    <m/>
    <m/>
    <n v="141188"/>
    <s v="D777"/>
    <s v="EXFU1447884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JP"/>
    <n v="1"/>
    <n v="480"/>
    <m/>
    <m/>
    <n v="141188"/>
    <s v="D777"/>
    <s v="EXFU1447842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JQ"/>
    <n v="1"/>
    <n v="480"/>
    <m/>
    <m/>
    <n v="141188"/>
    <s v="D777"/>
    <s v="EXFU1448010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JR"/>
    <n v="1"/>
    <n v="480"/>
    <m/>
    <m/>
    <n v="141188"/>
    <s v="D777"/>
    <s v="EXFU1448073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JS"/>
    <n v="1"/>
    <n v="270"/>
    <m/>
    <m/>
    <n v="141188"/>
    <s v="D777"/>
    <s v="EXSZ9016012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T"/>
    <n v="1"/>
    <n v="270"/>
    <m/>
    <m/>
    <n v="141188"/>
    <s v="D777"/>
    <s v="EXSZ9018062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U"/>
    <n v="1"/>
    <n v="270"/>
    <m/>
    <m/>
    <n v="141188"/>
    <s v="D777"/>
    <s v="EXSZ9018170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V"/>
    <n v="1"/>
    <n v="270"/>
    <m/>
    <m/>
    <n v="141188"/>
    <s v="D777"/>
    <s v="EXSZ9018205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W"/>
    <n v="1"/>
    <n v="270"/>
    <m/>
    <m/>
    <n v="141188"/>
    <s v="D777"/>
    <s v="EXSZ9018252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X"/>
    <n v="1"/>
    <n v="270"/>
    <m/>
    <m/>
    <n v="141188"/>
    <s v="D777"/>
    <s v="EXSZ9018308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JY"/>
    <n v="1"/>
    <n v="225"/>
    <m/>
    <m/>
    <n v="142910"/>
    <s v="D182"/>
    <s v="EXSZ9037099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JZ"/>
    <n v="1"/>
    <n v="232.5"/>
    <m/>
    <m/>
    <n v="142910"/>
    <s v="D182"/>
    <s v="EXSZ9030788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KA"/>
    <n v="1"/>
    <n v="540"/>
    <m/>
    <m/>
    <n v="142910"/>
    <s v="D182"/>
    <s v="EXFU8300067"/>
    <s v="Rental"/>
    <x v="5"/>
    <d v="2018-05-01T00:00:00"/>
    <d v="2018-05-01T00:00:00"/>
    <n v="540"/>
    <d v="2018-05-07T00:00:00"/>
    <n v="0"/>
    <s v="More than 60 days"/>
    <s v="DHMXX"/>
    <x v="0"/>
    <s v="Invoice"/>
  </r>
  <r>
    <x v="8"/>
    <s v="CC"/>
    <s v="KB"/>
    <n v="1"/>
    <n v="465"/>
    <m/>
    <m/>
    <n v="142910"/>
    <s v="D182"/>
    <s v="USPU1330275"/>
    <s v="Rental"/>
    <x v="5"/>
    <d v="2018-05-01T00:00:00"/>
    <d v="2018-05-01T00:00:00"/>
    <n v="465"/>
    <d v="2018-05-07T00:00:00"/>
    <n v="0"/>
    <s v="More than 60 days"/>
    <s v="DHMXX"/>
    <x v="0"/>
    <s v="Invoice"/>
  </r>
  <r>
    <x v="8"/>
    <s v="CC"/>
    <s v="KC"/>
    <n v="1"/>
    <n v="172.5"/>
    <m/>
    <m/>
    <n v="201323"/>
    <s v="E215"/>
    <s v="EXFU82202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D"/>
    <n v="1"/>
    <n v="172.5"/>
    <m/>
    <m/>
    <n v="201323"/>
    <s v="E215"/>
    <s v="EXFU822029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E"/>
    <n v="1"/>
    <n v="172.5"/>
    <m/>
    <m/>
    <n v="201323"/>
    <s v="E215"/>
    <s v="EXFU822030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F"/>
    <n v="1"/>
    <n v="172.5"/>
    <m/>
    <m/>
    <n v="201323"/>
    <s v="E215"/>
    <s v="EXFU822031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G"/>
    <n v="1"/>
    <n v="172.5"/>
    <m/>
    <m/>
    <n v="201323"/>
    <s v="E215"/>
    <s v="EXFU822033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H"/>
    <n v="1"/>
    <n v="172.5"/>
    <m/>
    <m/>
    <n v="201323"/>
    <s v="E215"/>
    <s v="EXFU822035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I"/>
    <n v="1"/>
    <n v="225"/>
    <m/>
    <m/>
    <n v="201323"/>
    <s v="E215"/>
    <s v="EXSZ9034438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J"/>
    <n v="1"/>
    <n v="225"/>
    <m/>
    <m/>
    <n v="201323"/>
    <s v="E215"/>
    <s v="EXSZ9034443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K"/>
    <n v="1"/>
    <n v="225"/>
    <m/>
    <m/>
    <n v="201323"/>
    <s v="E215"/>
    <s v="EXSZ9034459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L"/>
    <n v="1"/>
    <n v="225"/>
    <m/>
    <m/>
    <n v="201323"/>
    <s v="E215"/>
    <s v="EXSZ9034464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M"/>
    <n v="1"/>
    <n v="225"/>
    <m/>
    <m/>
    <n v="201323"/>
    <s v="E215"/>
    <s v="EXSZ9034470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N"/>
    <n v="1"/>
    <n v="225"/>
    <m/>
    <m/>
    <n v="201323"/>
    <s v="E215"/>
    <s v="EXSZ9034485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O"/>
    <n v="1"/>
    <n v="225"/>
    <m/>
    <m/>
    <n v="201323"/>
    <s v="E215"/>
    <s v="EXSZ9034490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P"/>
    <n v="1"/>
    <n v="225"/>
    <m/>
    <m/>
    <n v="201323"/>
    <s v="E215"/>
    <s v="EXSZ9034504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Q"/>
    <n v="1"/>
    <n v="225"/>
    <m/>
    <m/>
    <n v="201323"/>
    <s v="E215"/>
    <s v="EXSZ9034510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R"/>
    <n v="1"/>
    <n v="225"/>
    <m/>
    <m/>
    <n v="201323"/>
    <s v="E215"/>
    <s v="EXSZ9034525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S"/>
    <n v="1"/>
    <n v="225"/>
    <m/>
    <m/>
    <n v="201323"/>
    <s v="E215"/>
    <s v="EXSZ9034530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T"/>
    <n v="1"/>
    <n v="225"/>
    <m/>
    <m/>
    <n v="201323"/>
    <s v="E215"/>
    <s v="EXSZ9034546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KU"/>
    <n v="1"/>
    <n v="172.5"/>
    <m/>
    <m/>
    <n v="201323"/>
    <s v="E215"/>
    <s v="EXFU441454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V"/>
    <n v="1"/>
    <n v="172.5"/>
    <m/>
    <m/>
    <n v="201323"/>
    <s v="E215"/>
    <s v="EXFU441455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W"/>
    <n v="1"/>
    <n v="172.5"/>
    <m/>
    <m/>
    <n v="201323"/>
    <s v="E215"/>
    <s v="EXFU441457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X"/>
    <n v="1"/>
    <n v="172.5"/>
    <m/>
    <m/>
    <n v="201323"/>
    <s v="E215"/>
    <s v="EXFU4414591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Y"/>
    <n v="1"/>
    <n v="172.5"/>
    <m/>
    <m/>
    <n v="201323"/>
    <s v="E215"/>
    <s v="EXFU441460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KZ"/>
    <n v="1"/>
    <n v="172.5"/>
    <m/>
    <m/>
    <n v="201323"/>
    <s v="E215"/>
    <s v="EXFU441461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A"/>
    <n v="1"/>
    <n v="172.5"/>
    <m/>
    <m/>
    <n v="3824"/>
    <s v="D021"/>
    <s v="EXFU4418112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B"/>
    <n v="1"/>
    <n v="172.5"/>
    <m/>
    <m/>
    <n v="3824"/>
    <s v="D021"/>
    <s v="EXFU441812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C"/>
    <n v="1"/>
    <n v="172.5"/>
    <m/>
    <m/>
    <n v="3824"/>
    <s v="D021"/>
    <s v="EXFU4418154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D"/>
    <n v="1"/>
    <n v="172.5"/>
    <m/>
    <m/>
    <n v="3824"/>
    <s v="D021"/>
    <s v="EXFU4418175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E"/>
    <n v="1"/>
    <n v="172.5"/>
    <m/>
    <m/>
    <n v="3824"/>
    <s v="D021"/>
    <s v="EXFU441818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F"/>
    <n v="1"/>
    <n v="225"/>
    <m/>
    <m/>
    <n v="3824"/>
    <s v="D021"/>
    <s v="EXSZ9036148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LG"/>
    <n v="1"/>
    <n v="225"/>
    <m/>
    <m/>
    <n v="3824"/>
    <s v="D021"/>
    <s v="EXSZ9036153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LH"/>
    <n v="1"/>
    <n v="225"/>
    <m/>
    <m/>
    <n v="3824"/>
    <s v="D021"/>
    <s v="EXSZ9036322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LI"/>
    <n v="1"/>
    <n v="225"/>
    <m/>
    <m/>
    <n v="3824"/>
    <s v="D021"/>
    <s v="EXSZ9036338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LJ"/>
    <n v="1"/>
    <n v="225"/>
    <m/>
    <m/>
    <n v="3824"/>
    <s v="D021"/>
    <s v="EXSZ9036343"/>
    <s v="Rental"/>
    <x v="5"/>
    <d v="2018-05-01T00:00:00"/>
    <d v="2018-05-01T00:00:00"/>
    <n v="225"/>
    <d v="2018-05-07T00:00:00"/>
    <n v="0"/>
    <s v="More than 60 days"/>
    <s v="DHMXX"/>
    <x v="0"/>
    <s v="Invoice"/>
  </r>
  <r>
    <x v="8"/>
    <s v="CC"/>
    <s v="LK"/>
    <n v="1"/>
    <n v="270"/>
    <m/>
    <m/>
    <n v="3825"/>
    <s v="D223"/>
    <s v="EXSZ9014581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L"/>
    <n v="1"/>
    <n v="270"/>
    <m/>
    <m/>
    <n v="3825"/>
    <s v="D223"/>
    <s v="EXSZ9014616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M"/>
    <n v="1"/>
    <n v="270"/>
    <m/>
    <m/>
    <n v="3825"/>
    <s v="D223"/>
    <s v="EXSZ9014998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N"/>
    <n v="1"/>
    <n v="270"/>
    <m/>
    <m/>
    <n v="3825"/>
    <s v="D223"/>
    <s v="EXSZ9015016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O"/>
    <n v="1"/>
    <n v="480"/>
    <m/>
    <m/>
    <n v="3825"/>
    <s v="D223"/>
    <s v="EXFU1449737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LP"/>
    <n v="1"/>
    <n v="480"/>
    <m/>
    <m/>
    <n v="3825"/>
    <s v="D223"/>
    <s v="EXFU1449779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LQ"/>
    <n v="1"/>
    <n v="480"/>
    <m/>
    <m/>
    <n v="3825"/>
    <s v="D223"/>
    <s v="EXFU1449830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LR"/>
    <n v="1"/>
    <n v="480"/>
    <m/>
    <m/>
    <n v="3825"/>
    <s v="D223"/>
    <s v="EXFU1450050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LS"/>
    <n v="1"/>
    <n v="172.5"/>
    <m/>
    <m/>
    <n v="580"/>
    <s v="D1950"/>
    <s v="EXFU8220948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T"/>
    <n v="1"/>
    <n v="172.5"/>
    <m/>
    <m/>
    <n v="580"/>
    <s v="D1950"/>
    <s v="EXFU8220953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LU"/>
    <n v="1"/>
    <n v="270"/>
    <m/>
    <m/>
    <n v="73868"/>
    <s v="D215"/>
    <s v="EXSZ9017981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V"/>
    <n v="1"/>
    <n v="270"/>
    <m/>
    <m/>
    <n v="73868"/>
    <s v="D215"/>
    <s v="EXSZ9017997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W"/>
    <n v="1"/>
    <n v="270"/>
    <m/>
    <m/>
    <n v="73868"/>
    <s v="D215"/>
    <s v="EXSZ9018000"/>
    <s v="Rental"/>
    <x v="5"/>
    <d v="2018-05-01T00:00:00"/>
    <d v="2018-05-01T00:00:00"/>
    <n v="270"/>
    <d v="2018-05-07T00:00:00"/>
    <n v="0"/>
    <s v="More than 60 days"/>
    <s v="DHMXX"/>
    <x v="0"/>
    <s v="Invoice"/>
  </r>
  <r>
    <x v="8"/>
    <s v="CC"/>
    <s v="LX"/>
    <n v="1"/>
    <n v="480"/>
    <m/>
    <m/>
    <n v="73868"/>
    <s v="D215"/>
    <s v="EXFU1448140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LY"/>
    <n v="1"/>
    <n v="480"/>
    <m/>
    <m/>
    <n v="73868"/>
    <s v="D215"/>
    <s v="EXFU1447858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LZ"/>
    <n v="1"/>
    <n v="480"/>
    <m/>
    <m/>
    <n v="73868"/>
    <s v="D215"/>
    <s v="EXFU1447971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MA"/>
    <n v="1"/>
    <n v="480"/>
    <m/>
    <m/>
    <n v="73868"/>
    <s v="D215"/>
    <s v="EXFU1447987"/>
    <s v="Rental"/>
    <x v="5"/>
    <d v="2018-05-01T00:00:00"/>
    <d v="2018-05-01T00:00:00"/>
    <n v="480"/>
    <d v="2018-05-07T00:00:00"/>
    <n v="0"/>
    <s v="More than 60 days"/>
    <s v="DHMXX"/>
    <x v="0"/>
    <s v="Invoice"/>
  </r>
  <r>
    <x v="8"/>
    <s v="CC"/>
    <s v="MB"/>
    <n v="1"/>
    <n v="232.5"/>
    <m/>
    <m/>
    <n v="75810"/>
    <s v="D223"/>
    <s v="EXSZ9030670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MC"/>
    <n v="1"/>
    <n v="232.5"/>
    <m/>
    <m/>
    <n v="75810"/>
    <s v="D223"/>
    <s v="EXSZ9030767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MD"/>
    <n v="1"/>
    <n v="232.5"/>
    <m/>
    <m/>
    <n v="75810"/>
    <s v="D223"/>
    <s v="EXSZ9030772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ME"/>
    <n v="1"/>
    <n v="232.5"/>
    <m/>
    <m/>
    <n v="75810"/>
    <s v="D348"/>
    <s v="EXSZ9031613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MF"/>
    <n v="1"/>
    <n v="232.5"/>
    <m/>
    <m/>
    <n v="75810"/>
    <s v="D348"/>
    <s v="EXSZ9031629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MG"/>
    <n v="1"/>
    <n v="232.5"/>
    <m/>
    <m/>
    <n v="75810"/>
    <s v="D348"/>
    <s v="EXSZ9031634"/>
    <s v="Rental"/>
    <x v="5"/>
    <d v="2018-05-01T00:00:00"/>
    <d v="2018-05-01T00:00:00"/>
    <n v="232.5"/>
    <d v="2018-05-07T00:00:00"/>
    <n v="0"/>
    <s v="More than 60 days"/>
    <s v="DHMXX"/>
    <x v="0"/>
    <s v="Invoice"/>
  </r>
  <r>
    <x v="8"/>
    <s v="CC"/>
    <s v="MH"/>
    <n v="1"/>
    <n v="556.79999999999995"/>
    <m/>
    <m/>
    <n v="75810"/>
    <s v="D223"/>
    <s v="EXFU8222220"/>
    <s v="Rental"/>
    <x v="5"/>
    <d v="2018-05-01T00:00:00"/>
    <d v="2018-05-01T00:00:00"/>
    <n v="556.79999999999995"/>
    <d v="2018-05-07T00:00:00"/>
    <n v="0"/>
    <s v="More than 60 days"/>
    <s v="DHMXX"/>
    <x v="0"/>
    <s v="Invoice"/>
  </r>
  <r>
    <x v="8"/>
    <s v="CC"/>
    <s v="MI"/>
    <n v="1"/>
    <n v="556.79999999999995"/>
    <m/>
    <m/>
    <n v="75810"/>
    <s v="D223"/>
    <s v="EXFU8222241"/>
    <s v="Rental"/>
    <x v="5"/>
    <d v="2018-05-01T00:00:00"/>
    <d v="2018-05-01T00:00:00"/>
    <n v="556.79999999999995"/>
    <d v="2018-05-07T00:00:00"/>
    <n v="0"/>
    <s v="More than 60 days"/>
    <s v="DHMXX"/>
    <x v="0"/>
    <s v="Invoice"/>
  </r>
  <r>
    <x v="8"/>
    <s v="CC"/>
    <s v="MJ"/>
    <n v="1"/>
    <n v="556.79999999999995"/>
    <m/>
    <m/>
    <n v="75810"/>
    <s v="D223"/>
    <s v="EXFU8222257"/>
    <s v="Rental"/>
    <x v="5"/>
    <d v="2018-05-01T00:00:00"/>
    <d v="2018-05-01T00:00:00"/>
    <n v="556.79999999999995"/>
    <d v="2018-05-07T00:00:00"/>
    <n v="0"/>
    <s v="More than 60 days"/>
    <s v="DHMXX"/>
    <x v="0"/>
    <s v="Invoice"/>
  </r>
  <r>
    <x v="8"/>
    <s v="CC"/>
    <s v="MK"/>
    <n v="1"/>
    <n v="556.79999999999995"/>
    <m/>
    <m/>
    <n v="75810"/>
    <s v="D348"/>
    <s v="EXFU8108373"/>
    <s v="Rental"/>
    <x v="5"/>
    <d v="2018-05-01T00:00:00"/>
    <d v="2018-05-01T00:00:00"/>
    <n v="556.79999999999995"/>
    <d v="2018-05-07T00:00:00"/>
    <n v="0"/>
    <s v="More than 60 days"/>
    <s v="DHMXX"/>
    <x v="0"/>
    <s v="Invoice"/>
  </r>
  <r>
    <x v="8"/>
    <s v="CC"/>
    <s v="ML"/>
    <n v="1"/>
    <n v="556.79999999999995"/>
    <m/>
    <m/>
    <n v="75810"/>
    <s v="D348"/>
    <s v="EXFU8108389"/>
    <s v="Rental"/>
    <x v="5"/>
    <d v="2018-05-01T00:00:00"/>
    <d v="2018-05-01T00:00:00"/>
    <n v="556.79999999999995"/>
    <d v="2018-05-07T00:00:00"/>
    <n v="0"/>
    <s v="More than 60 days"/>
    <s v="DHMXX"/>
    <x v="0"/>
    <s v="Invoice"/>
  </r>
  <r>
    <x v="8"/>
    <s v="CC"/>
    <s v="MM"/>
    <n v="1"/>
    <n v="556.79999999999995"/>
    <m/>
    <m/>
    <n v="75810"/>
    <s v="D348"/>
    <s v="EXFU8108413"/>
    <s v="Rental"/>
    <x v="5"/>
    <d v="2018-05-01T00:00:00"/>
    <d v="2018-05-01T00:00:00"/>
    <n v="556.79999999999995"/>
    <d v="2018-05-07T00:00:00"/>
    <n v="0"/>
    <s v="More than 60 days"/>
    <s v="DHMXX"/>
    <x v="0"/>
    <s v="Invoice"/>
  </r>
  <r>
    <x v="8"/>
    <s v="CC"/>
    <s v="QF"/>
    <n v="2000"/>
    <n v="480"/>
    <m/>
    <m/>
    <n v="132622"/>
    <s v="T001"/>
    <s v="EXFU1447837"/>
    <s v="Rental"/>
    <x v="5"/>
    <d v="2018-05-01T00:00:00"/>
    <d v="2018-05-01T00:00:00"/>
    <n v="480"/>
    <d v="2018-05-09T00:00:00"/>
    <n v="0"/>
    <s v="More than 60 days"/>
    <s v="DHMXX"/>
    <x v="0"/>
    <s v="Invoice"/>
  </r>
  <r>
    <x v="8"/>
    <s v="CC"/>
    <s v="QG"/>
    <n v="2000"/>
    <n v="270"/>
    <m/>
    <m/>
    <n v="132622"/>
    <s v="T001"/>
    <s v="EXSZ9018015"/>
    <s v="Rental"/>
    <x v="5"/>
    <d v="2018-05-01T00:00:00"/>
    <d v="2018-05-01T00:00:00"/>
    <n v="270"/>
    <d v="2018-05-09T00:00:00"/>
    <n v="0"/>
    <s v="More than 60 days"/>
    <s v="DHMXX"/>
    <x v="0"/>
    <s v="Invoice"/>
  </r>
  <r>
    <x v="8"/>
    <s v="CC"/>
    <s v="QH"/>
    <n v="2000"/>
    <n v="172.5"/>
    <m/>
    <m/>
    <n v="37912"/>
    <s v="D638"/>
    <s v="EXFU822013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QI"/>
    <n v="2000"/>
    <n v="172.5"/>
    <m/>
    <m/>
    <n v="37912"/>
    <s v="D638"/>
    <s v="EXFU8220146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QJ"/>
    <n v="2000"/>
    <n v="172.5"/>
    <m/>
    <m/>
    <n v="37912"/>
    <s v="D638"/>
    <s v="EXFU8220167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8"/>
    <s v="CC"/>
    <s v="QK"/>
    <n v="2000"/>
    <n v="172.5"/>
    <m/>
    <m/>
    <n v="37912"/>
    <s v="D638"/>
    <s v="EXFU8220830"/>
    <s v="Rental"/>
    <x v="5"/>
    <d v="2018-05-01T00:00:00"/>
    <d v="2018-05-01T00:00:00"/>
    <n v="172.5"/>
    <d v="2018-05-07T00:00:00"/>
    <n v="0"/>
    <s v="More than 60 days"/>
    <s v="DHMXX"/>
    <x v="0"/>
    <s v="Invoice"/>
  </r>
  <r>
    <x v="9"/>
    <s v="CC"/>
    <s v="A"/>
    <n v="1"/>
    <n v="178.25"/>
    <m/>
    <m/>
    <n v="1274"/>
    <s v="D358"/>
    <s v="EXFU 022475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"/>
    <n v="1"/>
    <n v="178.25"/>
    <m/>
    <m/>
    <n v="1274"/>
    <s v="D358"/>
    <s v="EXFU 022486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C"/>
    <n v="1"/>
    <n v="178.25"/>
    <m/>
    <m/>
    <n v="1274"/>
    <s v="D358"/>
    <s v="EXFU 050874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"/>
    <n v="1"/>
    <n v="178.25"/>
    <m/>
    <m/>
    <n v="1274"/>
    <s v="D358"/>
    <s v="EXFU 050881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"/>
    <n v="1"/>
    <n v="178.25"/>
    <m/>
    <m/>
    <n v="1274"/>
    <s v="D358"/>
    <s v="EXFU 05213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"/>
    <n v="1"/>
    <n v="178.25"/>
    <m/>
    <m/>
    <n v="1274"/>
    <s v="D358"/>
    <s v="EXFU 052606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"/>
    <n v="1"/>
    <n v="178.25"/>
    <m/>
    <m/>
    <n v="1274"/>
    <s v="D358"/>
    <s v="EXFU 053019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"/>
    <n v="1"/>
    <n v="178.25"/>
    <m/>
    <m/>
    <n v="1274"/>
    <s v="D358"/>
    <s v="EXFU 05395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"/>
    <n v="1"/>
    <n v="178.25"/>
    <m/>
    <m/>
    <n v="1274"/>
    <s v="D358"/>
    <s v="EXFU 059958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J"/>
    <n v="1"/>
    <n v="178.25"/>
    <m/>
    <m/>
    <n v="1274"/>
    <s v="D358"/>
    <s v="EXFU 060727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K"/>
    <n v="1"/>
    <n v="178.25"/>
    <m/>
    <m/>
    <n v="1274"/>
    <s v="D358"/>
    <s v="EXFU 060731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L"/>
    <n v="1"/>
    <n v="178.25"/>
    <m/>
    <m/>
    <n v="1274"/>
    <s v="D358"/>
    <s v="EXFU 060739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"/>
    <n v="1"/>
    <n v="178.25"/>
    <m/>
    <m/>
    <n v="1274"/>
    <s v="D358"/>
    <s v="EXFU 060744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"/>
    <n v="1"/>
    <n v="178.25"/>
    <m/>
    <m/>
    <n v="1274"/>
    <s v="D358"/>
    <s v="EXFU 061407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"/>
    <n v="1"/>
    <n v="178.25"/>
    <m/>
    <m/>
    <n v="1274"/>
    <s v="D358"/>
    <s v="EXFU 059894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"/>
    <n v="1"/>
    <n v="178.25"/>
    <m/>
    <m/>
    <n v="1274"/>
    <s v="D358"/>
    <s v="EXFU 442037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Q"/>
    <n v="1"/>
    <n v="178.25"/>
    <m/>
    <m/>
    <n v="1274"/>
    <s v="D358"/>
    <s v="EXFU 442038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R"/>
    <n v="1"/>
    <n v="178.25"/>
    <m/>
    <m/>
    <n v="1274"/>
    <s v="D358"/>
    <s v="EXFU 81061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S"/>
    <n v="1"/>
    <n v="178.25"/>
    <m/>
    <m/>
    <n v="1274"/>
    <s v="D358"/>
    <s v="EXFU 810623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T"/>
    <n v="1"/>
    <n v="178.25"/>
    <m/>
    <m/>
    <n v="1274"/>
    <s v="D358"/>
    <s v="EXFU 052722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U"/>
    <n v="1"/>
    <n v="178.25"/>
    <m/>
    <m/>
    <n v="1274"/>
    <s v="D358"/>
    <s v="ICSU 028809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V"/>
    <n v="1"/>
    <n v="178.25"/>
    <m/>
    <m/>
    <n v="1274"/>
    <s v="D358"/>
    <s v="TPTU 820552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W"/>
    <n v="1"/>
    <n v="178.25"/>
    <m/>
    <m/>
    <n v="1274"/>
    <s v="D358"/>
    <s v="TRLU 021402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X"/>
    <n v="1"/>
    <n v="178.25"/>
    <m/>
    <m/>
    <n v="1274"/>
    <s v="D358"/>
    <s v="TRLU 022231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Y"/>
    <n v="1"/>
    <n v="178.25"/>
    <m/>
    <m/>
    <n v="1274"/>
    <s v="D358"/>
    <s v="TRLU 05039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Z"/>
    <n v="1"/>
    <n v="178.25"/>
    <m/>
    <m/>
    <n v="1274"/>
    <s v="D358"/>
    <s v="TRLU 050425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A"/>
    <n v="1"/>
    <n v="178.25"/>
    <m/>
    <m/>
    <n v="1274"/>
    <s v="D358"/>
    <s v="TRLU 050546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B"/>
    <n v="1"/>
    <n v="178.25"/>
    <m/>
    <m/>
    <n v="1274"/>
    <s v="D358"/>
    <s v="TRLU 05058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C"/>
    <n v="1"/>
    <n v="178.25"/>
    <m/>
    <m/>
    <n v="1274"/>
    <s v="D358"/>
    <s v="TRLU 021690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D"/>
    <n v="1"/>
    <n v="178.25"/>
    <m/>
    <m/>
    <n v="1274"/>
    <s v="D358"/>
    <s v="TRLU 02188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E"/>
    <n v="1"/>
    <n v="178.25"/>
    <m/>
    <m/>
    <n v="1274"/>
    <s v="D358"/>
    <s v="TRLU 022164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F"/>
    <n v="1"/>
    <n v="178.25"/>
    <m/>
    <m/>
    <n v="1274"/>
    <s v="D358"/>
    <s v="USPU 122456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G"/>
    <n v="1"/>
    <n v="178.25"/>
    <m/>
    <m/>
    <n v="1274"/>
    <s v="D358"/>
    <s v="USPU 12412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H"/>
    <n v="1"/>
    <n v="178.25"/>
    <m/>
    <m/>
    <n v="2747"/>
    <s v="D186"/>
    <s v="TRLU 021587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I"/>
    <n v="1"/>
    <n v="178.25"/>
    <m/>
    <m/>
    <n v="3825"/>
    <s v="D223"/>
    <s v="EXFU 059900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J"/>
    <n v="1"/>
    <n v="178.25"/>
    <m/>
    <m/>
    <n v="3825"/>
    <s v="D223"/>
    <s v="ICSU 028113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K"/>
    <n v="1"/>
    <n v="178.25"/>
    <m/>
    <m/>
    <n v="3825"/>
    <s v="D223"/>
    <s v="TPTU 851625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L"/>
    <n v="1"/>
    <n v="178.25"/>
    <m/>
    <m/>
    <n v="3825"/>
    <s v="D223"/>
    <s v="TRLU 021955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M"/>
    <n v="1"/>
    <n v="178.25"/>
    <m/>
    <m/>
    <n v="3825"/>
    <s v="D223"/>
    <s v="TOLU 941186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N"/>
    <n v="1"/>
    <n v="178.25"/>
    <m/>
    <m/>
    <n v="8327"/>
    <s v="D243"/>
    <s v="TOLU 926064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O"/>
    <n v="1"/>
    <n v="178.25"/>
    <m/>
    <m/>
    <n v="13342"/>
    <s v="D021"/>
    <s v="EXFU 810756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P"/>
    <n v="1"/>
    <n v="178.25"/>
    <m/>
    <m/>
    <n v="13342"/>
    <s v="D021"/>
    <s v="TRLU 026908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Q"/>
    <n v="1"/>
    <n v="178.25"/>
    <m/>
    <m/>
    <n v="13342"/>
    <s v="D021"/>
    <s v="TRLU 021708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R"/>
    <n v="1"/>
    <n v="178.25"/>
    <m/>
    <m/>
    <n v="54876"/>
    <s v="D182"/>
    <s v="SNIU 121098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S"/>
    <n v="1"/>
    <n v="178.25"/>
    <m/>
    <m/>
    <n v="54876"/>
    <s v="D182"/>
    <s v="TRLU 050163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T"/>
    <n v="1"/>
    <n v="178.25"/>
    <m/>
    <m/>
    <n v="55052"/>
    <s v="D777"/>
    <s v="TRLU 021254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U"/>
    <n v="1"/>
    <n v="178.25"/>
    <m/>
    <m/>
    <n v="55242"/>
    <s v="D777"/>
    <s v="EXFU 051855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V"/>
    <n v="1"/>
    <n v="178.25"/>
    <m/>
    <m/>
    <n v="55242"/>
    <s v="D777"/>
    <s v="EXFU 051969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W"/>
    <n v="1"/>
    <n v="178.25"/>
    <m/>
    <m/>
    <n v="55242"/>
    <s v="D777"/>
    <s v="EXXU 999064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X"/>
    <n v="1"/>
    <n v="178.25"/>
    <m/>
    <m/>
    <n v="55253"/>
    <s v="D777"/>
    <s v="EXFU 198579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Y"/>
    <n v="1"/>
    <n v="178.25"/>
    <m/>
    <m/>
    <n v="55253"/>
    <s v="D777"/>
    <s v="TRLU 840400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AZ"/>
    <n v="1"/>
    <n v="178.25"/>
    <m/>
    <m/>
    <n v="55292"/>
    <s v="D777"/>
    <s v="EXFU 051852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A"/>
    <n v="1"/>
    <n v="178.25"/>
    <m/>
    <m/>
    <n v="55292"/>
    <s v="D777"/>
    <s v="EXFU 051882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B"/>
    <n v="1"/>
    <n v="178.25"/>
    <m/>
    <m/>
    <n v="55292"/>
    <s v="D777"/>
    <s v="EXFU 051885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C"/>
    <n v="1"/>
    <n v="178.25"/>
    <m/>
    <m/>
    <n v="55292"/>
    <s v="D777"/>
    <s v="EXFU 051886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D"/>
    <n v="1"/>
    <n v="178.25"/>
    <m/>
    <m/>
    <n v="55292"/>
    <s v="D777"/>
    <s v="EXFU 051887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E"/>
    <n v="1"/>
    <n v="178.25"/>
    <m/>
    <m/>
    <n v="55292"/>
    <s v="D777"/>
    <s v="EXFU 05188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F"/>
    <n v="1"/>
    <n v="178.25"/>
    <m/>
    <m/>
    <n v="55292"/>
    <s v="D777"/>
    <s v="TPMU 161258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G"/>
    <n v="1"/>
    <n v="178.25"/>
    <m/>
    <m/>
    <n v="55292"/>
    <s v="D777"/>
    <s v="TPTU 840042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H"/>
    <n v="1"/>
    <n v="178.25"/>
    <m/>
    <m/>
    <n v="55292"/>
    <s v="D777"/>
    <s v="TPTU 840178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I"/>
    <n v="1"/>
    <n v="178.25"/>
    <m/>
    <m/>
    <n v="55477"/>
    <s v="D248"/>
    <s v="TPTU 851732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J"/>
    <n v="1"/>
    <n v="178.25"/>
    <m/>
    <m/>
    <n v="55766"/>
    <s v="B244"/>
    <s v="EXFU 052741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K"/>
    <n v="1"/>
    <n v="178.25"/>
    <m/>
    <m/>
    <n v="55766"/>
    <s v="B244"/>
    <s v="TOLU 906114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L"/>
    <n v="1"/>
    <n v="178.25"/>
    <m/>
    <m/>
    <n v="55766"/>
    <s v="B244"/>
    <s v="USPU 124261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M"/>
    <n v="1"/>
    <n v="178.25"/>
    <m/>
    <m/>
    <n v="55785"/>
    <s v="D355"/>
    <s v="TRLU 050488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N"/>
    <n v="1"/>
    <n v="178.25"/>
    <m/>
    <m/>
    <n v="56539"/>
    <s v="D229"/>
    <s v="EXFU 05184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O"/>
    <n v="1"/>
    <n v="178.25"/>
    <m/>
    <m/>
    <n v="56539"/>
    <s v="D229"/>
    <s v="EXFU 821677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P"/>
    <n v="1"/>
    <n v="178.25"/>
    <m/>
    <m/>
    <n v="56539"/>
    <s v="D229"/>
    <s v="TPTU 820579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Q"/>
    <n v="1"/>
    <n v="178.25"/>
    <m/>
    <m/>
    <n v="56774"/>
    <s v="D181"/>
    <s v="EXFU 052130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R"/>
    <n v="1"/>
    <n v="434"/>
    <m/>
    <m/>
    <n v="56774"/>
    <s v="D181"/>
    <s v="TRLU 175052-1"/>
    <s v="Rental"/>
    <x v="6"/>
    <d v="2018-05-31T00:00:00"/>
    <d v="2018-05-31T00:00:00"/>
    <n v="434"/>
    <d v="2018-06-11T00:00:00"/>
    <n v="0"/>
    <s v="30-60 days"/>
    <s v="DHMXX"/>
    <x v="0"/>
    <s v="Invoice"/>
  </r>
  <r>
    <x v="9"/>
    <s v="CC"/>
    <s v="BS"/>
    <n v="1"/>
    <n v="434"/>
    <m/>
    <m/>
    <n v="56774"/>
    <s v="D181"/>
    <s v="TRLU 175120-9"/>
    <s v="Rental"/>
    <x v="6"/>
    <d v="2018-05-31T00:00:00"/>
    <d v="2018-05-31T00:00:00"/>
    <n v="434"/>
    <d v="2018-06-11T00:00:00"/>
    <n v="0"/>
    <s v="30-60 days"/>
    <s v="DHMXX"/>
    <x v="0"/>
    <s v="Invoice"/>
  </r>
  <r>
    <x v="9"/>
    <s v="CC"/>
    <s v="BT"/>
    <n v="1"/>
    <n v="434"/>
    <m/>
    <m/>
    <n v="56774"/>
    <s v="D181"/>
    <s v="TRLU 175121-4"/>
    <s v="Rental"/>
    <x v="6"/>
    <d v="2018-05-31T00:00:00"/>
    <d v="2018-05-31T00:00:00"/>
    <n v="434"/>
    <d v="2018-06-11T00:00:00"/>
    <n v="0"/>
    <s v="30-60 days"/>
    <s v="DHMXX"/>
    <x v="0"/>
    <s v="Invoice"/>
  </r>
  <r>
    <x v="9"/>
    <s v="CC"/>
    <s v="BU"/>
    <n v="1"/>
    <n v="178.25"/>
    <m/>
    <m/>
    <n v="58008"/>
    <s v="D266"/>
    <s v="EXFU 052265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V"/>
    <n v="1"/>
    <n v="178.25"/>
    <m/>
    <m/>
    <n v="59994"/>
    <s v="D022"/>
    <s v="TPMU 151826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W"/>
    <n v="1"/>
    <n v="178.25"/>
    <m/>
    <m/>
    <n v="66343"/>
    <s v="D777"/>
    <s v="EXFU 198583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X"/>
    <n v="1"/>
    <n v="178.25"/>
    <m/>
    <m/>
    <n v="66343"/>
    <s v="D777"/>
    <s v="TPTU 82060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Y"/>
    <n v="1"/>
    <n v="178.25"/>
    <m/>
    <m/>
    <n v="66652"/>
    <s v="D213"/>
    <s v="EXFU 821811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BZ"/>
    <n v="1"/>
    <n v="178.25"/>
    <m/>
    <m/>
    <n v="66988"/>
    <s v="D449"/>
    <s v="TPMU 351492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CA"/>
    <n v="1"/>
    <n v="480.5"/>
    <m/>
    <m/>
    <n v="67865"/>
    <s v="D449"/>
    <s v="EXFU 830095-6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B"/>
    <n v="1"/>
    <n v="480.5"/>
    <m/>
    <m/>
    <n v="67865"/>
    <s v="D449"/>
    <s v="EXFU 860052-6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C"/>
    <n v="1"/>
    <n v="480.5"/>
    <m/>
    <m/>
    <n v="67865"/>
    <s v="D449"/>
    <s v="EXFU 860053-1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D"/>
    <n v="1"/>
    <n v="480.5"/>
    <m/>
    <m/>
    <n v="67865"/>
    <s v="D449"/>
    <s v="EXFU 860055-2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E"/>
    <n v="1"/>
    <n v="480.5"/>
    <m/>
    <m/>
    <n v="67865"/>
    <s v="D449"/>
    <s v="EXFU 860056-8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F"/>
    <n v="1"/>
    <n v="480.5"/>
    <m/>
    <m/>
    <n v="67865"/>
    <s v="D449"/>
    <s v="EXFU 860057-3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G"/>
    <n v="1"/>
    <n v="596.75"/>
    <m/>
    <m/>
    <n v="67865"/>
    <s v="D449"/>
    <s v="EXFU 830000-4"/>
    <s v="Rental"/>
    <x v="6"/>
    <d v="2018-05-31T00:00:00"/>
    <d v="2018-05-31T00:00:00"/>
    <n v="596.75"/>
    <d v="2018-06-11T00:00:00"/>
    <n v="0"/>
    <s v="30-60 days"/>
    <s v="DHMXX"/>
    <x v="0"/>
    <s v="Invoice"/>
  </r>
  <r>
    <x v="9"/>
    <s v="CC"/>
    <s v="CH"/>
    <n v="1"/>
    <n v="596.75"/>
    <m/>
    <m/>
    <n v="67865"/>
    <s v="D449"/>
    <s v="EXFU 830003-0"/>
    <s v="Rental"/>
    <x v="6"/>
    <d v="2018-05-31T00:00:00"/>
    <d v="2018-05-31T00:00:00"/>
    <n v="596.75"/>
    <d v="2018-06-11T00:00:00"/>
    <n v="0"/>
    <s v="30-60 days"/>
    <s v="DHMXX"/>
    <x v="0"/>
    <s v="Invoice"/>
  </r>
  <r>
    <x v="9"/>
    <s v="CC"/>
    <s v="CI"/>
    <n v="1"/>
    <n v="596.75"/>
    <m/>
    <m/>
    <n v="67865"/>
    <s v="D449"/>
    <s v="EXFU 830004-6"/>
    <s v="Rental"/>
    <x v="6"/>
    <d v="2018-05-31T00:00:00"/>
    <d v="2018-05-31T00:00:00"/>
    <n v="596.75"/>
    <d v="2018-06-11T00:00:00"/>
    <n v="0"/>
    <s v="30-60 days"/>
    <s v="DHMXX"/>
    <x v="0"/>
    <s v="Invoice"/>
  </r>
  <r>
    <x v="9"/>
    <s v="CC"/>
    <s v="CJ"/>
    <n v="1"/>
    <n v="596.75"/>
    <m/>
    <m/>
    <n v="67865"/>
    <s v="D449"/>
    <s v="EXFU 830005-1"/>
    <s v="Rental"/>
    <x v="6"/>
    <d v="2018-05-31T00:00:00"/>
    <d v="2018-05-31T00:00:00"/>
    <n v="596.75"/>
    <d v="2018-06-11T00:00:00"/>
    <n v="0"/>
    <s v="30-60 days"/>
    <s v="DHMXX"/>
    <x v="0"/>
    <s v="Invoice"/>
  </r>
  <r>
    <x v="9"/>
    <s v="CC"/>
    <s v="CK"/>
    <n v="1"/>
    <n v="480.5"/>
    <m/>
    <m/>
    <n v="67865"/>
    <s v="D449"/>
    <s v="TPTU 830010-0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L"/>
    <n v="1"/>
    <n v="480.5"/>
    <m/>
    <m/>
    <n v="67865"/>
    <s v="D449"/>
    <s v="TRLU 830027-5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M"/>
    <n v="1"/>
    <n v="480.5"/>
    <m/>
    <m/>
    <n v="67865"/>
    <s v="D449"/>
    <s v="TRLU 830028-0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N"/>
    <n v="1"/>
    <n v="480.5"/>
    <m/>
    <m/>
    <n v="67865"/>
    <s v="D449"/>
    <s v="TRLU 830029-6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O"/>
    <n v="1"/>
    <n v="480.5"/>
    <m/>
    <m/>
    <n v="67865"/>
    <s v="D449"/>
    <s v="TRLU 830030-0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P"/>
    <n v="1"/>
    <n v="480.5"/>
    <m/>
    <m/>
    <n v="67865"/>
    <s v="D449"/>
    <s v="TRLU 830031-5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Q"/>
    <n v="1"/>
    <n v="480.5"/>
    <m/>
    <m/>
    <n v="67865"/>
    <s v="D449"/>
    <s v="TRLU 830032-0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R"/>
    <n v="1"/>
    <n v="480.5"/>
    <m/>
    <m/>
    <n v="67865"/>
    <s v="D449"/>
    <s v="TRLU 830033-6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S"/>
    <n v="1"/>
    <n v="480.5"/>
    <m/>
    <m/>
    <n v="67865"/>
    <s v="D449"/>
    <s v="TRLU 830035-7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T"/>
    <n v="1"/>
    <n v="480.5"/>
    <m/>
    <m/>
    <n v="67865"/>
    <s v="D449"/>
    <s v="TRLU 830036-2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U"/>
    <n v="1"/>
    <n v="480.5"/>
    <m/>
    <m/>
    <n v="67865"/>
    <s v="D449"/>
    <s v="TRLU 830037-8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V"/>
    <n v="1"/>
    <n v="480.5"/>
    <m/>
    <m/>
    <n v="67865"/>
    <s v="D449"/>
    <s v="TRLU 830038-3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W"/>
    <n v="1"/>
    <n v="480.5"/>
    <m/>
    <m/>
    <n v="67865"/>
    <s v="D449"/>
    <s v="TRLU 830039-9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X"/>
    <n v="1"/>
    <n v="480.5"/>
    <m/>
    <m/>
    <n v="67865"/>
    <s v="D449"/>
    <s v="TRLU 830040-2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Y"/>
    <n v="1"/>
    <n v="480.5"/>
    <m/>
    <m/>
    <n v="67865"/>
    <s v="D449"/>
    <s v="TRLU 860484-8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CZ"/>
    <n v="1"/>
    <n v="480.5"/>
    <m/>
    <m/>
    <n v="67865"/>
    <s v="D449"/>
    <s v="USPU 122453-0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A"/>
    <n v="1"/>
    <n v="480.5"/>
    <m/>
    <m/>
    <n v="67865"/>
    <s v="D449"/>
    <s v="USPU 122463-2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B"/>
    <n v="1"/>
    <n v="480.5"/>
    <m/>
    <m/>
    <n v="67865"/>
    <s v="D449"/>
    <s v="USPU 122478-2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C"/>
    <n v="1"/>
    <n v="480.5"/>
    <m/>
    <m/>
    <n v="67865"/>
    <s v="D449"/>
    <s v="USPU 122566-5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D"/>
    <n v="1"/>
    <n v="480.5"/>
    <m/>
    <m/>
    <n v="67865"/>
    <s v="D449"/>
    <s v="USPU 122826-3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E"/>
    <n v="1"/>
    <n v="480.5"/>
    <m/>
    <m/>
    <n v="67865"/>
    <s v="D449"/>
    <s v="USPU 122845-3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F"/>
    <n v="1"/>
    <n v="480.5"/>
    <m/>
    <m/>
    <n v="67865"/>
    <s v="D449"/>
    <s v="USPU 130007-5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DG"/>
    <n v="1"/>
    <n v="178.25"/>
    <m/>
    <m/>
    <n v="68161"/>
    <s v="D344"/>
    <s v="EXFU 060495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H"/>
    <n v="1"/>
    <n v="178.25"/>
    <m/>
    <m/>
    <n v="68161"/>
    <s v="D344"/>
    <s v="EXFU 060505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I"/>
    <n v="1"/>
    <n v="178.25"/>
    <m/>
    <m/>
    <n v="76024"/>
    <s v="D383"/>
    <s v="EXXU 999065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J"/>
    <n v="1"/>
    <n v="178.25"/>
    <m/>
    <m/>
    <n v="76024"/>
    <s v="D383"/>
    <s v="EXXU 999066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K"/>
    <n v="1"/>
    <n v="178.25"/>
    <m/>
    <m/>
    <n v="76833"/>
    <s v="D229"/>
    <s v="EXFU 053761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L"/>
    <n v="1"/>
    <n v="178.25"/>
    <m/>
    <m/>
    <n v="76833"/>
    <s v="D438"/>
    <s v="EXFU 821665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M"/>
    <n v="1"/>
    <n v="178.25"/>
    <m/>
    <m/>
    <n v="76833"/>
    <s v="D438"/>
    <s v="TRLU 021064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N"/>
    <n v="1"/>
    <n v="178.25"/>
    <m/>
    <m/>
    <n v="76833"/>
    <s v="D438"/>
    <s v="TRLU 021150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O"/>
    <n v="1"/>
    <n v="178.25"/>
    <m/>
    <m/>
    <n v="76833"/>
    <s v="D438"/>
    <s v="USPU 122768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P"/>
    <n v="1"/>
    <n v="178.25"/>
    <m/>
    <m/>
    <n v="82624"/>
    <s v="D407"/>
    <s v="EXFU 051625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Q"/>
    <n v="1"/>
    <n v="178.25"/>
    <m/>
    <m/>
    <n v="85175"/>
    <s v="D021"/>
    <s v="EXFU 05990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R"/>
    <n v="1"/>
    <n v="178.25"/>
    <m/>
    <m/>
    <n v="85175"/>
    <s v="D021"/>
    <s v="EXFU 821673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S"/>
    <n v="1"/>
    <n v="178.25"/>
    <m/>
    <m/>
    <n v="85175"/>
    <s v="D021"/>
    <s v="EXFU 821680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T"/>
    <n v="1"/>
    <n v="178.25"/>
    <m/>
    <m/>
    <n v="90352"/>
    <s v="D214"/>
    <s v="EXFU 050205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U"/>
    <n v="1"/>
    <n v="178.25"/>
    <m/>
    <m/>
    <n v="90352"/>
    <s v="D214"/>
    <s v="EXFU 051605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V"/>
    <n v="1"/>
    <n v="178.25"/>
    <m/>
    <m/>
    <n v="90352"/>
    <s v="D214"/>
    <s v="EXFU 051606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W"/>
    <n v="1"/>
    <n v="178.25"/>
    <m/>
    <m/>
    <n v="90352"/>
    <s v="D214"/>
    <s v="EXFU 051614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X"/>
    <n v="1"/>
    <n v="178.25"/>
    <m/>
    <m/>
    <n v="90352"/>
    <s v="D214"/>
    <s v="EXFU 051618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Y"/>
    <n v="1"/>
    <n v="178.25"/>
    <m/>
    <m/>
    <n v="90352"/>
    <s v="D214"/>
    <s v="EXFU 051622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DZ"/>
    <n v="1"/>
    <n v="178.25"/>
    <m/>
    <m/>
    <n v="90352"/>
    <s v="D214"/>
    <s v="EXFU 051666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A"/>
    <n v="1"/>
    <n v="178.25"/>
    <m/>
    <m/>
    <n v="90352"/>
    <s v="D214"/>
    <s v="EXFU 051847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B"/>
    <n v="1"/>
    <n v="178.25"/>
    <m/>
    <m/>
    <n v="90352"/>
    <s v="D214"/>
    <s v="EXFU 051951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C"/>
    <n v="1"/>
    <n v="178.25"/>
    <m/>
    <m/>
    <n v="90352"/>
    <s v="D214"/>
    <s v="EXFU 051970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D"/>
    <n v="1"/>
    <n v="178.25"/>
    <m/>
    <m/>
    <n v="90352"/>
    <s v="D214"/>
    <s v="EXFU 052068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E"/>
    <n v="1"/>
    <n v="178.25"/>
    <m/>
    <m/>
    <n v="90352"/>
    <s v="D214"/>
    <s v="EXFU 052124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F"/>
    <n v="1"/>
    <n v="178.25"/>
    <m/>
    <m/>
    <n v="90352"/>
    <s v="D214"/>
    <s v="EXFU 052173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G"/>
    <n v="1"/>
    <n v="178.25"/>
    <m/>
    <m/>
    <n v="90352"/>
    <s v="D214"/>
    <s v="EXFU 052431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H"/>
    <n v="1"/>
    <n v="178.25"/>
    <m/>
    <m/>
    <n v="90352"/>
    <s v="D214"/>
    <s v="EXFU 052568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I"/>
    <n v="1"/>
    <n v="178.25"/>
    <m/>
    <m/>
    <n v="90352"/>
    <s v="D214"/>
    <s v="EXFU 052582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J"/>
    <n v="1"/>
    <n v="178.25"/>
    <m/>
    <m/>
    <n v="90352"/>
    <s v="D214"/>
    <s v="EXFU 052595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K"/>
    <n v="1"/>
    <n v="178.25"/>
    <m/>
    <m/>
    <n v="90352"/>
    <s v="D214"/>
    <s v="EXFU 052600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L"/>
    <n v="1"/>
    <n v="178.25"/>
    <m/>
    <m/>
    <n v="90352"/>
    <s v="D214"/>
    <s v="EXFU 052742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M"/>
    <n v="1"/>
    <n v="178.25"/>
    <m/>
    <m/>
    <n v="90352"/>
    <s v="D214"/>
    <s v="EXFU 053131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N"/>
    <n v="1"/>
    <n v="178.25"/>
    <m/>
    <m/>
    <n v="90352"/>
    <s v="D214"/>
    <s v="EXFU 053280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O"/>
    <n v="1"/>
    <n v="178.25"/>
    <m/>
    <m/>
    <n v="90352"/>
    <s v="D214"/>
    <s v="EXFU 053600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P"/>
    <n v="1"/>
    <n v="178.25"/>
    <m/>
    <m/>
    <n v="90352"/>
    <s v="D214"/>
    <s v="EXFU 05378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Q"/>
    <n v="1"/>
    <n v="178.25"/>
    <m/>
    <m/>
    <n v="90352"/>
    <s v="D214"/>
    <s v="EXFU 053910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R"/>
    <n v="1"/>
    <n v="178.25"/>
    <m/>
    <m/>
    <n v="90352"/>
    <s v="D214"/>
    <s v="EXFU 053927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S"/>
    <n v="1"/>
    <n v="178.25"/>
    <m/>
    <m/>
    <n v="90352"/>
    <s v="D214"/>
    <s v="EXFU 053934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T"/>
    <n v="1"/>
    <n v="178.25"/>
    <m/>
    <m/>
    <n v="90352"/>
    <s v="D214"/>
    <s v="EXFU 05397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U"/>
    <n v="1"/>
    <n v="178.25"/>
    <m/>
    <m/>
    <n v="90352"/>
    <s v="D214"/>
    <s v="EXFU 057794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V"/>
    <n v="1"/>
    <n v="178.25"/>
    <m/>
    <m/>
    <n v="90352"/>
    <s v="D214"/>
    <s v="EXFU 058070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W"/>
    <n v="1"/>
    <n v="178.25"/>
    <m/>
    <m/>
    <n v="90352"/>
    <s v="D214"/>
    <s v="EXFU 820899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X"/>
    <n v="1"/>
    <n v="178.25"/>
    <m/>
    <m/>
    <n v="90352"/>
    <s v="D214"/>
    <s v="EXXU 998110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Y"/>
    <n v="1"/>
    <n v="178.25"/>
    <m/>
    <m/>
    <n v="90352"/>
    <s v="D214"/>
    <s v="TPTU 820668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EZ"/>
    <n v="1"/>
    <n v="178.25"/>
    <m/>
    <m/>
    <n v="90352"/>
    <s v="D214"/>
    <s v="TPTU 840100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A"/>
    <n v="1"/>
    <n v="178.25"/>
    <m/>
    <m/>
    <n v="90352"/>
    <s v="D214"/>
    <s v="TPTU 840118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B"/>
    <n v="1"/>
    <n v="178.25"/>
    <m/>
    <m/>
    <n v="90352"/>
    <s v="D214"/>
    <s v="TPTU 840260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C"/>
    <n v="1"/>
    <n v="178.25"/>
    <m/>
    <m/>
    <n v="90352"/>
    <s v="D214"/>
    <s v="TPTU 851238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D"/>
    <n v="1"/>
    <n v="178.25"/>
    <m/>
    <m/>
    <n v="90352"/>
    <s v="D214"/>
    <s v="TPTU 851597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E"/>
    <n v="1"/>
    <n v="178.25"/>
    <m/>
    <m/>
    <n v="90352"/>
    <s v="D214"/>
    <s v="TPTU 85181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F"/>
    <n v="1"/>
    <n v="178.25"/>
    <m/>
    <m/>
    <n v="90352"/>
    <s v="D214"/>
    <s v="TPTU 872683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G"/>
    <n v="1"/>
    <n v="178.25"/>
    <m/>
    <m/>
    <n v="90352"/>
    <s v="D214"/>
    <s v="TRLU 021257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H"/>
    <n v="1"/>
    <n v="178.25"/>
    <m/>
    <m/>
    <n v="90352"/>
    <s v="D214"/>
    <s v="TRLU 02137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I"/>
    <n v="1"/>
    <n v="178.25"/>
    <m/>
    <m/>
    <n v="90352"/>
    <s v="D214"/>
    <s v="TRLU 021394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J"/>
    <n v="1"/>
    <n v="178.25"/>
    <m/>
    <m/>
    <n v="90352"/>
    <s v="D214"/>
    <s v="TRLU 022188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K"/>
    <n v="1"/>
    <n v="178.25"/>
    <m/>
    <m/>
    <n v="90352"/>
    <s v="D214"/>
    <s v="TRLU 022324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L"/>
    <n v="1"/>
    <n v="178.25"/>
    <m/>
    <m/>
    <n v="90352"/>
    <s v="D214"/>
    <s v="TRLU 022372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M"/>
    <n v="1"/>
    <n v="178.25"/>
    <m/>
    <m/>
    <n v="90352"/>
    <s v="D214"/>
    <s v="TRLU 023726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N"/>
    <n v="1"/>
    <n v="178.25"/>
    <m/>
    <m/>
    <n v="90352"/>
    <s v="D214"/>
    <s v="TRLU 025393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O"/>
    <n v="1"/>
    <n v="178.25"/>
    <m/>
    <m/>
    <n v="90352"/>
    <s v="D214"/>
    <s v="TRLU 050491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P"/>
    <n v="1"/>
    <n v="480.5"/>
    <m/>
    <m/>
    <n v="90352"/>
    <s v="D214"/>
    <s v="TRLU 860426-2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FQ"/>
    <n v="1"/>
    <n v="480.5"/>
    <m/>
    <m/>
    <n v="90352"/>
    <s v="D214"/>
    <s v="TRLU 860428-3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FR"/>
    <n v="1"/>
    <n v="480.5"/>
    <m/>
    <m/>
    <n v="90352"/>
    <s v="D214"/>
    <s v="TRLU 860436-5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FS"/>
    <n v="1"/>
    <n v="178.25"/>
    <m/>
    <m/>
    <n v="90352"/>
    <s v="D214"/>
    <s v="TOLU 947358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T"/>
    <n v="1"/>
    <n v="178.25"/>
    <m/>
    <m/>
    <n v="90352"/>
    <s v="D214"/>
    <s v="TRLU 021650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U"/>
    <n v="1"/>
    <n v="178.25"/>
    <m/>
    <m/>
    <n v="90352"/>
    <s v="D214"/>
    <s v="TRLU 021722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V"/>
    <n v="1"/>
    <n v="178.25"/>
    <m/>
    <m/>
    <n v="90352"/>
    <s v="D214"/>
    <s v="TRLU 021916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W"/>
    <n v="1"/>
    <n v="178.25"/>
    <m/>
    <m/>
    <n v="90352"/>
    <s v="D214"/>
    <s v="TRLU 021965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X"/>
    <n v="1"/>
    <n v="178.25"/>
    <m/>
    <m/>
    <n v="90352"/>
    <s v="D214"/>
    <s v="TRLU 022076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Y"/>
    <n v="1"/>
    <n v="178.25"/>
    <m/>
    <m/>
    <n v="91295"/>
    <s v="D284"/>
    <s v="EXFU 050203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FZ"/>
    <n v="1"/>
    <n v="178.25"/>
    <m/>
    <m/>
    <n v="91295"/>
    <s v="D284"/>
    <s v="EXFU 050743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A"/>
    <n v="1"/>
    <n v="178.25"/>
    <m/>
    <m/>
    <n v="91295"/>
    <s v="D284"/>
    <s v="EXFU 051900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B"/>
    <n v="1"/>
    <n v="178.25"/>
    <m/>
    <m/>
    <n v="91295"/>
    <s v="D284"/>
    <s v="EXFU 053749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C"/>
    <n v="1"/>
    <n v="178.25"/>
    <m/>
    <m/>
    <n v="91295"/>
    <s v="D284"/>
    <s v="EXFU 053786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D"/>
    <n v="1"/>
    <n v="178.25"/>
    <m/>
    <m/>
    <n v="91295"/>
    <s v="D284"/>
    <s v="EXFU 059953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E"/>
    <n v="1"/>
    <n v="178.25"/>
    <m/>
    <m/>
    <n v="91295"/>
    <s v="D284"/>
    <s v="EXFU 060728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F"/>
    <n v="1"/>
    <n v="178.25"/>
    <m/>
    <m/>
    <n v="91295"/>
    <s v="D284"/>
    <s v="EXFU 061365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G"/>
    <n v="1"/>
    <n v="178.25"/>
    <m/>
    <m/>
    <n v="91295"/>
    <s v="D284"/>
    <s v="EXFU 061369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H"/>
    <n v="1"/>
    <n v="178.25"/>
    <m/>
    <m/>
    <n v="91295"/>
    <s v="D284"/>
    <s v="EXFU 188026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I"/>
    <n v="1"/>
    <n v="178.25"/>
    <m/>
    <m/>
    <n v="91295"/>
    <s v="D284"/>
    <s v="EXFU 059901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J"/>
    <n v="1"/>
    <n v="178.25"/>
    <m/>
    <m/>
    <n v="91295"/>
    <s v="D284"/>
    <s v="EXFU 059909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K"/>
    <n v="1"/>
    <n v="178.25"/>
    <m/>
    <m/>
    <n v="91295"/>
    <s v="D284"/>
    <s v="EXFU 059912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L"/>
    <n v="1"/>
    <n v="178.25"/>
    <m/>
    <m/>
    <n v="91295"/>
    <s v="D284"/>
    <s v="EXFU 810745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M"/>
    <n v="1"/>
    <n v="178.25"/>
    <m/>
    <m/>
    <n v="91295"/>
    <s v="D284"/>
    <s v="EXFU 810754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N"/>
    <n v="1"/>
    <n v="178.25"/>
    <m/>
    <m/>
    <n v="91295"/>
    <s v="D284"/>
    <s v="EXFU 82086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O"/>
    <n v="1"/>
    <n v="178.25"/>
    <m/>
    <m/>
    <n v="91295"/>
    <s v="D284"/>
    <s v="EXFU 821664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P"/>
    <n v="1"/>
    <n v="178.25"/>
    <m/>
    <m/>
    <n v="91295"/>
    <s v="D284"/>
    <s v="EXFU 821679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Q"/>
    <n v="1"/>
    <n v="178.25"/>
    <m/>
    <m/>
    <n v="91295"/>
    <s v="D284"/>
    <s v="EXFU 821684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R"/>
    <n v="1"/>
    <n v="178.25"/>
    <m/>
    <m/>
    <n v="91295"/>
    <s v="D284"/>
    <s v="EXFU 052731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S"/>
    <n v="1"/>
    <n v="178.25"/>
    <m/>
    <m/>
    <n v="91295"/>
    <s v="D284"/>
    <s v="EXFU 052733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T"/>
    <n v="1"/>
    <n v="178.25"/>
    <m/>
    <m/>
    <n v="91295"/>
    <s v="D284"/>
    <s v="TPMU 141048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U"/>
    <n v="1"/>
    <n v="178.25"/>
    <m/>
    <m/>
    <n v="91295"/>
    <s v="D284"/>
    <s v="TPMU 161271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V"/>
    <n v="1"/>
    <n v="178.25"/>
    <m/>
    <m/>
    <n v="91295"/>
    <s v="D284"/>
    <s v="TPTU 820535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W"/>
    <n v="1"/>
    <n v="178.25"/>
    <m/>
    <m/>
    <n v="91295"/>
    <s v="D284"/>
    <s v="TPTU 820555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X"/>
    <n v="1"/>
    <n v="178.25"/>
    <m/>
    <m/>
    <n v="91295"/>
    <s v="D284"/>
    <s v="TPTU 820656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Y"/>
    <n v="1"/>
    <n v="178.25"/>
    <m/>
    <m/>
    <n v="91295"/>
    <s v="D284"/>
    <s v="TRLU 021046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GZ"/>
    <n v="1"/>
    <n v="178.25"/>
    <m/>
    <m/>
    <n v="91295"/>
    <s v="D284"/>
    <s v="TRLU 02135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A"/>
    <n v="1"/>
    <n v="178.25"/>
    <m/>
    <m/>
    <n v="91295"/>
    <s v="D284"/>
    <s v="TRLU 021383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B"/>
    <n v="1"/>
    <n v="178.25"/>
    <m/>
    <m/>
    <n v="91295"/>
    <s v="D284"/>
    <s v="TRLU 021386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C"/>
    <n v="1"/>
    <n v="178.25"/>
    <m/>
    <m/>
    <n v="91295"/>
    <s v="D284"/>
    <s v="TRLU 022180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D"/>
    <n v="1"/>
    <n v="178.25"/>
    <m/>
    <m/>
    <n v="91295"/>
    <s v="D284"/>
    <s v="TRLU 025699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E"/>
    <n v="1"/>
    <n v="178.25"/>
    <m/>
    <m/>
    <n v="91295"/>
    <s v="D284"/>
    <s v="TRLU 050388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F"/>
    <n v="1"/>
    <n v="178.25"/>
    <m/>
    <m/>
    <n v="91295"/>
    <s v="D284"/>
    <s v="TOLU 947047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G"/>
    <n v="1"/>
    <n v="178.25"/>
    <m/>
    <m/>
    <n v="91295"/>
    <s v="D284"/>
    <s v="TOLU 947269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H"/>
    <n v="1"/>
    <n v="178.25"/>
    <m/>
    <m/>
    <n v="91295"/>
    <s v="D284"/>
    <s v="TRLU 021697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I"/>
    <n v="1"/>
    <n v="178.25"/>
    <m/>
    <m/>
    <n v="91295"/>
    <s v="D284"/>
    <s v="TRLU 021967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J"/>
    <n v="1"/>
    <n v="178.25"/>
    <m/>
    <m/>
    <n v="91295"/>
    <s v="D284"/>
    <s v="USPU 122108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K"/>
    <n v="1"/>
    <n v="178.25"/>
    <m/>
    <m/>
    <n v="91295"/>
    <s v="D284"/>
    <s v="USPU 122488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L"/>
    <n v="1"/>
    <n v="178.25"/>
    <m/>
    <m/>
    <n v="91295"/>
    <s v="D284"/>
    <s v="USPU 122595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M"/>
    <n v="1"/>
    <n v="178.25"/>
    <m/>
    <m/>
    <n v="91295"/>
    <s v="D284"/>
    <s v="USPU 12260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N"/>
    <n v="1"/>
    <n v="178.25"/>
    <m/>
    <m/>
    <n v="91295"/>
    <s v="D284"/>
    <s v="USPU 122657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O"/>
    <n v="1"/>
    <n v="178.25"/>
    <m/>
    <m/>
    <n v="91295"/>
    <s v="D284"/>
    <s v="USPU 122703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P"/>
    <n v="1"/>
    <n v="178.25"/>
    <m/>
    <m/>
    <n v="91295"/>
    <s v="D284"/>
    <s v="USPU 122844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Q"/>
    <n v="1"/>
    <n v="178.25"/>
    <m/>
    <m/>
    <n v="91295"/>
    <s v="D284"/>
    <s v="USPU 122878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R"/>
    <n v="1"/>
    <n v="178.25"/>
    <m/>
    <m/>
    <n v="91295"/>
    <s v="D284"/>
    <s v="USPU 123700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S"/>
    <n v="1"/>
    <n v="178.25"/>
    <m/>
    <m/>
    <n v="91295"/>
    <s v="D284"/>
    <s v="USPU 124122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T"/>
    <n v="1"/>
    <n v="178.25"/>
    <m/>
    <m/>
    <n v="91295"/>
    <s v="D284"/>
    <s v="USPU 124180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U"/>
    <n v="1"/>
    <n v="178.25"/>
    <m/>
    <m/>
    <n v="91295"/>
    <s v="D284"/>
    <s v="USPU 124298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V"/>
    <n v="1"/>
    <n v="178.25"/>
    <m/>
    <m/>
    <n v="91295"/>
    <s v="D284"/>
    <s v="USPU 124341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W"/>
    <n v="1"/>
    <n v="178.25"/>
    <m/>
    <m/>
    <n v="91295"/>
    <s v="D284"/>
    <s v="USPU 124343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X"/>
    <n v="1"/>
    <n v="178.25"/>
    <m/>
    <m/>
    <n v="91295"/>
    <s v="D284"/>
    <s v="USPU 124560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Y"/>
    <n v="1"/>
    <n v="178.25"/>
    <m/>
    <m/>
    <n v="92676"/>
    <s v="D243"/>
    <s v="USPU 121097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HZ"/>
    <n v="1"/>
    <n v="178.25"/>
    <m/>
    <m/>
    <n v="94783"/>
    <s v="D284"/>
    <s v="EXFU 999165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A"/>
    <n v="1"/>
    <n v="178.25"/>
    <m/>
    <m/>
    <n v="115229"/>
    <s v="D449"/>
    <s v="EXFU 060502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B"/>
    <n v="1"/>
    <n v="178.25"/>
    <m/>
    <m/>
    <n v="140140"/>
    <s v="D674"/>
    <s v="EXFU 052605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C"/>
    <n v="1"/>
    <n v="178.25"/>
    <m/>
    <m/>
    <n v="140140"/>
    <s v="D674"/>
    <s v="USPU 12410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D"/>
    <n v="1"/>
    <n v="480.5"/>
    <m/>
    <m/>
    <n v="142910"/>
    <s v="D182"/>
    <s v="EXFU 860054-7"/>
    <s v="Rental"/>
    <x v="6"/>
    <d v="2018-05-31T00:00:00"/>
    <d v="2018-05-31T00:00:00"/>
    <n v="480.5"/>
    <d v="2018-06-11T00:00:00"/>
    <n v="0"/>
    <s v="30-60 days"/>
    <s v="DHMXX"/>
    <x v="0"/>
    <s v="Invoice"/>
  </r>
  <r>
    <x v="9"/>
    <s v="CC"/>
    <s v="IE"/>
    <n v="1"/>
    <n v="178.25"/>
    <m/>
    <m/>
    <n v="148833"/>
    <s v="D292"/>
    <s v="EXFU 059954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F"/>
    <n v="1"/>
    <n v="178.25"/>
    <m/>
    <m/>
    <n v="148833"/>
    <s v="D292"/>
    <s v="EXFU 059904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G"/>
    <n v="1"/>
    <n v="178.25"/>
    <m/>
    <m/>
    <n v="148833"/>
    <s v="D292"/>
    <s v="EXFU 059908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H"/>
    <n v="1"/>
    <n v="178.25"/>
    <m/>
    <m/>
    <n v="148833"/>
    <s v="D292"/>
    <s v="EXFU 821685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I"/>
    <n v="1"/>
    <n v="178.25"/>
    <m/>
    <m/>
    <n v="148833"/>
    <s v="D292"/>
    <s v="USPU 122545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J"/>
    <n v="1"/>
    <n v="178.25"/>
    <m/>
    <m/>
    <n v="148833"/>
    <s v="D292"/>
    <s v="USPU 122648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K"/>
    <n v="1"/>
    <n v="178.25"/>
    <m/>
    <m/>
    <n v="162604"/>
    <s v="D292"/>
    <s v="EXFU 052743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IL"/>
    <n v="1"/>
    <n v="178.25"/>
    <m/>
    <m/>
    <n v="165685"/>
    <s v="D227"/>
    <s v="USPU 122409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L"/>
    <n v="16"/>
    <n v="178.25"/>
    <m/>
    <m/>
    <n v="55031"/>
    <s v="D058"/>
    <s v="EXFU 051439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M"/>
    <n v="16"/>
    <n v="178.25"/>
    <m/>
    <m/>
    <n v="55031"/>
    <s v="D058"/>
    <s v="EXFU 051914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N"/>
    <n v="16"/>
    <n v="178.25"/>
    <m/>
    <m/>
    <n v="55031"/>
    <s v="D058"/>
    <s v="ICLU 946242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O"/>
    <n v="16"/>
    <n v="178.25"/>
    <m/>
    <m/>
    <n v="55245"/>
    <s v="D058"/>
    <s v="ICSU 028689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P"/>
    <n v="16"/>
    <n v="178.25"/>
    <m/>
    <m/>
    <n v="55245"/>
    <s v="D058"/>
    <s v="TPMU 151357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Q"/>
    <n v="16"/>
    <n v="178.25"/>
    <m/>
    <m/>
    <n v="55245"/>
    <s v="D058"/>
    <s v="TPMU 351279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R"/>
    <n v="16"/>
    <n v="178.25"/>
    <m/>
    <m/>
    <n v="55245"/>
    <s v="D058"/>
    <s v="TPMU 351548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S"/>
    <n v="16"/>
    <n v="178.25"/>
    <m/>
    <m/>
    <n v="55245"/>
    <s v="D058"/>
    <s v="TPMU 351758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T"/>
    <n v="16"/>
    <n v="178.25"/>
    <m/>
    <m/>
    <n v="55245"/>
    <s v="D058"/>
    <s v="TPMU 351997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U"/>
    <n v="16"/>
    <n v="178.25"/>
    <m/>
    <m/>
    <n v="55256"/>
    <s v="D777"/>
    <s v="EXFU 051619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V"/>
    <n v="16"/>
    <n v="178.25"/>
    <m/>
    <m/>
    <n v="55314"/>
    <s v="D059"/>
    <s v="USPU 121162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W"/>
    <n v="16"/>
    <n v="178.25"/>
    <m/>
    <m/>
    <n v="55322"/>
    <s v="D059"/>
    <s v="USPU 121046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X"/>
    <n v="16"/>
    <n v="178.25"/>
    <m/>
    <m/>
    <n v="55322"/>
    <s v="D059"/>
    <s v="USPU 121236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Y"/>
    <n v="16"/>
    <n v="178.25"/>
    <m/>
    <m/>
    <n v="55322"/>
    <s v="D059"/>
    <s v="USPU 122311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MZ"/>
    <n v="16"/>
    <n v="178.25"/>
    <m/>
    <m/>
    <n v="55322"/>
    <s v="D059"/>
    <s v="TOLU 942347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A"/>
    <n v="16"/>
    <n v="178.25"/>
    <m/>
    <m/>
    <n v="55327"/>
    <s v="D059"/>
    <s v="EXFU 187504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B"/>
    <n v="16"/>
    <n v="178.25"/>
    <m/>
    <m/>
    <n v="55327"/>
    <s v="D059"/>
    <s v="EXXU 999069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C"/>
    <n v="16"/>
    <n v="178.25"/>
    <m/>
    <m/>
    <n v="55327"/>
    <s v="D059"/>
    <s v="EXXU 999070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D"/>
    <n v="16"/>
    <n v="178.25"/>
    <m/>
    <m/>
    <n v="56656"/>
    <s v="D058"/>
    <s v="EXFU 052730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E"/>
    <n v="16"/>
    <n v="178.25"/>
    <m/>
    <m/>
    <n v="56656"/>
    <s v="D058"/>
    <s v="EXFU 052735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F"/>
    <n v="16"/>
    <n v="178.25"/>
    <m/>
    <m/>
    <n v="56660"/>
    <s v="D058"/>
    <s v="ICSU 028852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G"/>
    <n v="16"/>
    <n v="178.25"/>
    <m/>
    <m/>
    <n v="82223"/>
    <s v="D215"/>
    <s v="TRLU 022353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H"/>
    <n v="16"/>
    <n v="178.25"/>
    <m/>
    <m/>
    <n v="82227"/>
    <s v="D215"/>
    <s v="EXFU 051903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I"/>
    <n v="16"/>
    <n v="178.25"/>
    <m/>
    <m/>
    <n v="82227"/>
    <s v="D215"/>
    <s v="TRLU 024778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J"/>
    <n v="16"/>
    <n v="178.25"/>
    <m/>
    <m/>
    <n v="115325"/>
    <s v="D618"/>
    <s v="TRLU 050164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K"/>
    <n v="16"/>
    <n v="178.25"/>
    <m/>
    <m/>
    <n v="115325"/>
    <s v="D618"/>
    <s v="TRLU 050451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L"/>
    <n v="16"/>
    <n v="178.25"/>
    <m/>
    <m/>
    <n v="115325"/>
    <s v="D618"/>
    <s v="TRLU 080077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M"/>
    <n v="2000"/>
    <n v="434"/>
    <m/>
    <m/>
    <n v="36784"/>
    <s v="D669"/>
    <s v="TPMU 631003-7"/>
    <s v="Rental"/>
    <x v="6"/>
    <d v="2018-05-31T00:00:00"/>
    <d v="2018-05-31T00:00:00"/>
    <n v="434"/>
    <d v="2018-06-11T00:00:00"/>
    <n v="0"/>
    <s v="30-60 days"/>
    <s v="DHMXX"/>
    <x v="0"/>
    <s v="Invoice"/>
  </r>
  <r>
    <x v="9"/>
    <s v="CC"/>
    <s v="NN"/>
    <n v="2000"/>
    <n v="434"/>
    <m/>
    <m/>
    <n v="36784"/>
    <s v="D669"/>
    <s v="TRLU 175035-2"/>
    <s v="Rental"/>
    <x v="6"/>
    <d v="2018-05-31T00:00:00"/>
    <d v="2018-05-31T00:00:00"/>
    <n v="434"/>
    <d v="2018-06-11T00:00:00"/>
    <n v="0"/>
    <s v="30-60 days"/>
    <s v="DHMXX"/>
    <x v="0"/>
    <s v="Invoice"/>
  </r>
  <r>
    <x v="9"/>
    <s v="CC"/>
    <s v="NO"/>
    <n v="2000"/>
    <n v="434"/>
    <m/>
    <m/>
    <n v="36784"/>
    <s v="D669"/>
    <s v="TRLU 175064-5"/>
    <s v="Rental"/>
    <x v="6"/>
    <d v="2018-05-31T00:00:00"/>
    <d v="2018-05-31T00:00:00"/>
    <n v="434"/>
    <d v="2018-06-11T00:00:00"/>
    <n v="0"/>
    <s v="30-60 days"/>
    <s v="DHMXX"/>
    <x v="0"/>
    <s v="Invoice"/>
  </r>
  <r>
    <x v="9"/>
    <s v="CC"/>
    <s v="NP"/>
    <n v="2000"/>
    <n v="178.25"/>
    <m/>
    <m/>
    <n v="36989"/>
    <s v="D688"/>
    <s v="EXFU 057571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Q"/>
    <n v="2000"/>
    <n v="178.25"/>
    <m/>
    <m/>
    <n v="36989"/>
    <s v="D688"/>
    <s v="EXFU 057574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R"/>
    <n v="2000"/>
    <n v="178.25"/>
    <m/>
    <m/>
    <n v="36992"/>
    <s v="D688"/>
    <s v="EXFU 053290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S"/>
    <n v="2000"/>
    <n v="178.25"/>
    <m/>
    <m/>
    <n v="36992"/>
    <s v="D688"/>
    <s v="EXFU 062454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T"/>
    <n v="2000"/>
    <n v="178.25"/>
    <m/>
    <m/>
    <n v="36992"/>
    <s v="D688"/>
    <s v="EXFU 062455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U"/>
    <n v="2000"/>
    <n v="178.25"/>
    <m/>
    <m/>
    <n v="36992"/>
    <s v="D688"/>
    <s v="EXFU 062463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V"/>
    <n v="2000"/>
    <n v="178.25"/>
    <m/>
    <m/>
    <n v="36992"/>
    <s v="D688"/>
    <s v="EXFU 380307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W"/>
    <n v="2000"/>
    <n v="178.25"/>
    <m/>
    <m/>
    <n v="36992"/>
    <s v="D688"/>
    <s v="EXFU 05509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X"/>
    <n v="2000"/>
    <n v="178.25"/>
    <m/>
    <m/>
    <n v="36992"/>
    <s v="D688"/>
    <s v="SNIU 123504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Y"/>
    <n v="2000"/>
    <n v="178.25"/>
    <m/>
    <m/>
    <n v="36992"/>
    <s v="D688"/>
    <s v="TRLU 025263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NZ"/>
    <n v="2000"/>
    <n v="178.25"/>
    <m/>
    <m/>
    <n v="36992"/>
    <s v="D688"/>
    <s v="TRLU 026455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A"/>
    <n v="2000"/>
    <n v="178.25"/>
    <m/>
    <m/>
    <n v="36992"/>
    <s v="D688"/>
    <s v="USPU 124673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B"/>
    <n v="2000"/>
    <n v="178.25"/>
    <m/>
    <m/>
    <n v="36997"/>
    <s v="D688"/>
    <s v="EXFU 052123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C"/>
    <n v="2000"/>
    <n v="178.25"/>
    <m/>
    <m/>
    <n v="36997"/>
    <s v="D638"/>
    <s v="EXFU 053769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D"/>
    <n v="2000"/>
    <n v="178.25"/>
    <m/>
    <m/>
    <n v="36997"/>
    <s v="D688"/>
    <s v="EXFU 060719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E"/>
    <n v="2000"/>
    <n v="178.25"/>
    <m/>
    <m/>
    <n v="36997"/>
    <s v="D688"/>
    <s v="EXFU 060723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F"/>
    <n v="2000"/>
    <n v="178.25"/>
    <m/>
    <m/>
    <n v="36997"/>
    <s v="D688"/>
    <s v="EXFU 060730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G"/>
    <n v="2000"/>
    <n v="178.25"/>
    <m/>
    <m/>
    <n v="36997"/>
    <s v="D638"/>
    <s v="EXFU 060761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H"/>
    <n v="2000"/>
    <n v="178.25"/>
    <m/>
    <m/>
    <n v="36997"/>
    <s v="D688"/>
    <s v="EXFU 060762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I"/>
    <n v="2000"/>
    <n v="178.25"/>
    <m/>
    <m/>
    <n v="36997"/>
    <s v="D688"/>
    <s v="EXFU 059899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J"/>
    <n v="2000"/>
    <n v="178.25"/>
    <m/>
    <m/>
    <n v="36997"/>
    <s v="D638"/>
    <s v="EXFU 810637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K"/>
    <n v="2000"/>
    <n v="178.25"/>
    <m/>
    <m/>
    <n v="36997"/>
    <s v="D638"/>
    <s v="EXFU 821672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L"/>
    <n v="2000"/>
    <n v="178.25"/>
    <m/>
    <m/>
    <n v="36997"/>
    <s v="D638"/>
    <s v="EXFU 822054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M"/>
    <n v="2000"/>
    <n v="178.25"/>
    <m/>
    <m/>
    <n v="36997"/>
    <s v="D638"/>
    <s v="EXFU 822056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N"/>
    <n v="2000"/>
    <n v="178.25"/>
    <m/>
    <m/>
    <n v="36997"/>
    <s v="D638"/>
    <s v="ICSU 028339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O"/>
    <n v="2000"/>
    <n v="178.25"/>
    <m/>
    <m/>
    <n v="36997"/>
    <s v="D638"/>
    <s v="TRLU 021502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P"/>
    <n v="2000"/>
    <n v="178.25"/>
    <m/>
    <m/>
    <n v="37463"/>
    <s v="D804"/>
    <s v="TOLU 916111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Q"/>
    <n v="2000"/>
    <n v="178.25"/>
    <m/>
    <m/>
    <n v="37463"/>
    <s v="D804"/>
    <s v="TRLU 021235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R"/>
    <n v="2000"/>
    <n v="178.25"/>
    <m/>
    <m/>
    <n v="37463"/>
    <s v="D804"/>
    <s v="TRLU 022196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S"/>
    <n v="2000"/>
    <n v="178.25"/>
    <m/>
    <m/>
    <n v="37463"/>
    <s v="D804"/>
    <s v="TRLU 022198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T"/>
    <n v="2000"/>
    <n v="178.25"/>
    <m/>
    <m/>
    <n v="37463"/>
    <s v="D804"/>
    <s v="TRLU 022200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U"/>
    <n v="2000"/>
    <n v="178.25"/>
    <m/>
    <m/>
    <n v="37463"/>
    <s v="D804"/>
    <s v="TRLU 022229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V"/>
    <n v="2000"/>
    <n v="178.25"/>
    <m/>
    <m/>
    <n v="37463"/>
    <s v="D804"/>
    <s v="TRLU 022234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W"/>
    <n v="2000"/>
    <n v="178.25"/>
    <m/>
    <m/>
    <n v="37463"/>
    <s v="D804"/>
    <s v="TRLU 021935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X"/>
    <n v="2000"/>
    <n v="178.25"/>
    <m/>
    <m/>
    <n v="37463"/>
    <s v="D804"/>
    <s v="TRLU 021937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Y"/>
    <n v="2000"/>
    <n v="178.25"/>
    <m/>
    <m/>
    <n v="37463"/>
    <s v="D804"/>
    <s v="TRLU 021799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OZ"/>
    <n v="2000"/>
    <n v="178.25"/>
    <m/>
    <m/>
    <n v="37912"/>
    <s v="D638"/>
    <s v="EXFU 820866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A"/>
    <n v="2000"/>
    <n v="178.25"/>
    <m/>
    <m/>
    <n v="37912"/>
    <s v="D638"/>
    <s v="EXFU 821435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B"/>
    <n v="2000"/>
    <n v="178.25"/>
    <m/>
    <m/>
    <n v="37912"/>
    <s v="D638"/>
    <s v="EXFU 821668-1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C"/>
    <n v="2000"/>
    <n v="178.25"/>
    <m/>
    <m/>
    <n v="37912"/>
    <s v="D638"/>
    <s v="EXFU 821675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D"/>
    <n v="2000"/>
    <n v="178.25"/>
    <m/>
    <m/>
    <n v="37912"/>
    <s v="D638"/>
    <s v="EXFU 821809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E"/>
    <n v="2000"/>
    <n v="178.25"/>
    <m/>
    <m/>
    <n v="37912"/>
    <s v="D638"/>
    <s v="TPTU 820589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F"/>
    <n v="2000"/>
    <n v="178.25"/>
    <m/>
    <m/>
    <n v="37912"/>
    <s v="D638"/>
    <s v="TRLU 021178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G"/>
    <n v="2000"/>
    <n v="178.25"/>
    <m/>
    <m/>
    <n v="37912"/>
    <s v="D638"/>
    <s v="TRLU 021742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H"/>
    <n v="2000"/>
    <n v="178.25"/>
    <m/>
    <m/>
    <n v="37912"/>
    <s v="D638"/>
    <s v="TRLU 021745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I"/>
    <n v="2000"/>
    <n v="178.25"/>
    <m/>
    <m/>
    <n v="37912"/>
    <s v="D638"/>
    <s v="TRLU 021824-2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J"/>
    <n v="2000"/>
    <n v="178.25"/>
    <m/>
    <m/>
    <n v="37912"/>
    <s v="D638"/>
    <s v="USPU 122821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K"/>
    <n v="2000"/>
    <n v="178.25"/>
    <m/>
    <m/>
    <n v="82957"/>
    <s v="D678"/>
    <s v="EXFU 053801-7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L"/>
    <n v="2000"/>
    <n v="178.25"/>
    <m/>
    <m/>
    <n v="82957"/>
    <s v="D678"/>
    <s v="EXFU 059951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M"/>
    <n v="2000"/>
    <n v="178.25"/>
    <m/>
    <m/>
    <n v="82957"/>
    <s v="D678"/>
    <s v="EXFU 380247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N"/>
    <n v="2000"/>
    <n v="178.25"/>
    <m/>
    <m/>
    <n v="82957"/>
    <s v="D678"/>
    <s v="TPMU 161046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O"/>
    <n v="2000"/>
    <n v="178.25"/>
    <m/>
    <m/>
    <n v="82957"/>
    <s v="D678"/>
    <s v="TRLU 021031-8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P"/>
    <n v="2000"/>
    <n v="178.25"/>
    <m/>
    <m/>
    <n v="91299"/>
    <s v="D678"/>
    <s v="TRLU 021694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Q"/>
    <n v="2000"/>
    <n v="178.25"/>
    <m/>
    <m/>
    <n v="172035"/>
    <s v="B304"/>
    <s v="EXFU 055099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R"/>
    <n v="2000"/>
    <n v="178.25"/>
    <m/>
    <m/>
    <n v="172035"/>
    <s v="B304"/>
    <s v="USPU 123970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S"/>
    <n v="2000"/>
    <n v="178.25"/>
    <m/>
    <m/>
    <n v="172035"/>
    <s v="B304"/>
    <s v="USPU 124557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T"/>
    <n v="2000"/>
    <n v="178.25"/>
    <m/>
    <m/>
    <n v="182140"/>
    <s v="D210"/>
    <s v="EXFU 820832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U"/>
    <n v="2000"/>
    <n v="178.25"/>
    <m/>
    <m/>
    <n v="182140"/>
    <s v="D210"/>
    <s v="EXFU 820834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V"/>
    <n v="2000"/>
    <n v="178.25"/>
    <m/>
    <m/>
    <n v="182140"/>
    <s v="D210"/>
    <s v="EXFU 820844-9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W"/>
    <n v="2000"/>
    <n v="178.25"/>
    <m/>
    <m/>
    <n v="182140"/>
    <s v="D210"/>
    <s v="EXFU 820886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X"/>
    <n v="2000"/>
    <n v="178.25"/>
    <m/>
    <m/>
    <n v="182140"/>
    <s v="D210"/>
    <s v="EXFU 821190-4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Y"/>
    <n v="2000"/>
    <n v="178.25"/>
    <m/>
    <m/>
    <n v="182140"/>
    <s v="D210"/>
    <s v="EXFU 822012-5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PZ"/>
    <n v="2000"/>
    <n v="178.25"/>
    <m/>
    <m/>
    <n v="182140"/>
    <s v="D210"/>
    <s v="EXFU 822023-3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QA"/>
    <n v="2000"/>
    <n v="178.25"/>
    <m/>
    <m/>
    <n v="182140"/>
    <s v="D210"/>
    <s v="EXFU 822066-0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QB"/>
    <n v="2000"/>
    <n v="178.25"/>
    <m/>
    <m/>
    <n v="182140"/>
    <s v="D210"/>
    <s v="EXFU 822067-6"/>
    <s v="Rental"/>
    <x v="6"/>
    <d v="2018-05-31T00:00:00"/>
    <d v="2018-05-31T00:00:00"/>
    <n v="178.25"/>
    <d v="2018-06-11T00:00:00"/>
    <n v="0"/>
    <s v="30-60 days"/>
    <s v="DHMXX"/>
    <x v="0"/>
    <s v="Invoice"/>
  </r>
  <r>
    <x v="9"/>
    <s v="CC"/>
    <s v="QC"/>
    <n v="2000"/>
    <n v="178.25"/>
    <m/>
    <m/>
    <n v="182140"/>
    <s v="D210"/>
    <s v="EXFU 822091-1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SN"/>
    <s v="A"/>
    <n v="1"/>
    <n v="178.25"/>
    <n v="31943760"/>
    <m/>
    <m/>
    <m/>
    <s v="USPU 121233-3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SN"/>
    <s v="B"/>
    <n v="1"/>
    <n v="178.25"/>
    <n v="31970999"/>
    <m/>
    <m/>
    <m/>
    <s v="TOLU 946527-4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SN"/>
    <s v="C"/>
    <n v="1"/>
    <n v="232.5"/>
    <n v="32052188"/>
    <m/>
    <m/>
    <m/>
    <s v="EXSZ 900738-2"/>
    <s v="Rental"/>
    <x v="6"/>
    <d v="2018-05-31T00:00:00"/>
    <d v="2018-05-31T00:00:00"/>
    <n v="232.5"/>
    <d v="2018-06-06T00:00:00"/>
    <n v="0"/>
    <s v="30-60 days"/>
    <s v="DHMXX"/>
    <x v="0"/>
    <s v="Invoice"/>
  </r>
  <r>
    <x v="10"/>
    <s v="SN"/>
    <s v="D"/>
    <n v="1"/>
    <n v="178.25"/>
    <n v="32052188"/>
    <m/>
    <m/>
    <m/>
    <s v="TRLU 021887-5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SN"/>
    <s v="E"/>
    <n v="1"/>
    <n v="178.25"/>
    <n v="32063850"/>
    <m/>
    <m/>
    <m/>
    <s v="EXFU 821683-0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SN"/>
    <s v="F"/>
    <n v="1"/>
    <n v="178.25"/>
    <n v="32063850"/>
    <m/>
    <m/>
    <m/>
    <s v="TRLU 022167-3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SN"/>
    <s v="G"/>
    <n v="1"/>
    <n v="178.25"/>
    <n v="32099344"/>
    <m/>
    <m/>
    <m/>
    <s v="TRLU 021562-3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SN"/>
    <s v="H"/>
    <n v="1"/>
    <n v="178.25"/>
    <n v="32099344"/>
    <m/>
    <m/>
    <m/>
    <s v="TRLU 021736-0"/>
    <s v="Rental"/>
    <x v="6"/>
    <d v="2018-05-31T00:00:00"/>
    <d v="2018-05-31T00:00:00"/>
    <n v="178.25"/>
    <d v="2018-06-06T00:00:00"/>
    <n v="0"/>
    <s v="30-60 days"/>
    <s v="DHMXX"/>
    <x v="0"/>
    <s v="Invoice"/>
  </r>
  <r>
    <x v="10"/>
    <s v="CC"/>
    <s v="IM"/>
    <n v="1"/>
    <n v="178.25"/>
    <m/>
    <m/>
    <n v="64179"/>
    <s v="D223"/>
    <s v="TOLU 926071-5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IN"/>
    <n v="1"/>
    <n v="178.25"/>
    <m/>
    <m/>
    <n v="64179"/>
    <s v="D223"/>
    <s v="SNIU 123260-1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IO"/>
    <n v="1"/>
    <n v="178.25"/>
    <m/>
    <m/>
    <n v="64179"/>
    <s v="D223"/>
    <s v="EXFU 055453-2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IP"/>
    <n v="1"/>
    <n v="232.5"/>
    <m/>
    <m/>
    <n v="64179"/>
    <s v="D223"/>
    <s v="EXSZ 900908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Q"/>
    <n v="1"/>
    <n v="232.5"/>
    <m/>
    <m/>
    <n v="64179"/>
    <s v="D223"/>
    <s v="EXSZ 902074-8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R"/>
    <n v="1"/>
    <n v="232.5"/>
    <m/>
    <m/>
    <n v="64179"/>
    <s v="D223"/>
    <s v="EXSZ 900802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S"/>
    <n v="1"/>
    <n v="232.5"/>
    <m/>
    <m/>
    <n v="64179"/>
    <s v="D223"/>
    <s v="EXSZ 900820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T"/>
    <n v="1"/>
    <n v="178.25"/>
    <m/>
    <m/>
    <n v="64179"/>
    <s v="D223"/>
    <s v="EXFU 052705-4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IU"/>
    <n v="1"/>
    <n v="178.25"/>
    <m/>
    <m/>
    <n v="64248"/>
    <s v="D223"/>
    <s v="USPU 122571-0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IV"/>
    <n v="1"/>
    <n v="310"/>
    <m/>
    <m/>
    <n v="64248"/>
    <s v="D223"/>
    <s v="TRLU 520016-4"/>
    <s v="Rental"/>
    <x v="6"/>
    <d v="2018-05-31T00:00:00"/>
    <d v="2018-05-31T00:00:00"/>
    <n v="310"/>
    <d v="2018-06-11T00:00:00"/>
    <n v="0"/>
    <s v="30-60 days"/>
    <s v="DHMXX"/>
    <x v="0"/>
    <s v="Invoice"/>
  </r>
  <r>
    <x v="10"/>
    <s v="CC"/>
    <s v="IW"/>
    <n v="1"/>
    <n v="232.5"/>
    <m/>
    <m/>
    <n v="64248"/>
    <s v="D223"/>
    <s v="EXSZ 901661-9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X"/>
    <n v="1"/>
    <n v="232.5"/>
    <m/>
    <m/>
    <n v="64248"/>
    <s v="D223"/>
    <s v="EXSZ 901423-6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Y"/>
    <n v="1"/>
    <n v="232.5"/>
    <m/>
    <m/>
    <n v="64248"/>
    <s v="D223"/>
    <s v="EXSZ 900961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IZ"/>
    <n v="1"/>
    <n v="178.25"/>
    <m/>
    <m/>
    <n v="64248"/>
    <s v="D223"/>
    <s v="EXFU 052737-3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JA"/>
    <n v="1"/>
    <n v="232.5"/>
    <m/>
    <m/>
    <n v="64248"/>
    <s v="D223"/>
    <s v="EXSZ 901091-9"/>
    <s v="Rental"/>
    <x v="6"/>
    <d v="2018-05-31T00:00:00"/>
    <d v="2018-05-31T00:00:00"/>
    <n v="232.5"/>
    <d v="2018-06-11T00:00:00"/>
    <n v="0"/>
    <s v="30-60 days"/>
    <s v="DHMXX"/>
    <x v="0"/>
    <s v="Invoice"/>
  </r>
  <r>
    <x v="10"/>
    <s v="CC"/>
    <s v="JB"/>
    <n v="1"/>
    <n v="178.25"/>
    <m/>
    <m/>
    <n v="64248"/>
    <s v="D223"/>
    <s v="EXFU 059915-7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JC"/>
    <n v="1"/>
    <n v="178.25"/>
    <m/>
    <m/>
    <n v="64248"/>
    <s v="D223"/>
    <s v="EXFU 440419-2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JD"/>
    <n v="1"/>
    <n v="178.25"/>
    <m/>
    <m/>
    <n v="64248"/>
    <s v="D223"/>
    <s v="EXFU 440421-1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JE"/>
    <n v="1"/>
    <n v="178.25"/>
    <m/>
    <m/>
    <n v="64248"/>
    <s v="D223"/>
    <s v="EXFU 054065-2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JF"/>
    <n v="1"/>
    <n v="178.25"/>
    <m/>
    <m/>
    <n v="64248"/>
    <s v="D223"/>
    <s v="EXFU 054066-8"/>
    <s v="Rental"/>
    <x v="6"/>
    <d v="2018-05-31T00:00:00"/>
    <d v="2018-05-31T00:00:00"/>
    <n v="178.25"/>
    <d v="2018-06-11T00:00:00"/>
    <n v="0"/>
    <s v="30-60 days"/>
    <s v="DHMXX"/>
    <x v="0"/>
    <s v="Invoice"/>
  </r>
  <r>
    <x v="10"/>
    <s v="CC"/>
    <s v="JG"/>
    <n v="1"/>
    <n v="178.25"/>
    <m/>
    <m/>
    <n v="64248"/>
    <s v="D223"/>
    <s v="EXFU 051902-2"/>
    <s v="Rental"/>
    <x v="6"/>
    <d v="2018-05-31T00:00:00"/>
    <d v="2018-05-31T00:00:00"/>
    <n v="178.25"/>
    <d v="2018-06-11T00:00:00"/>
    <n v="0"/>
    <s v="30-60 days"/>
    <s v="DHMXX"/>
    <x v="0"/>
    <s v="Invoice"/>
  </r>
  <r>
    <x v="11"/>
    <s v="CC"/>
    <s v="A"/>
    <n v="1"/>
    <n v="7061.54"/>
    <m/>
    <m/>
    <n v="1274"/>
    <s v="D358"/>
    <s v="See unit #s on tab 2"/>
    <s v="Rental"/>
    <x v="6"/>
    <d v="2018-05-31T00:00:00"/>
    <d v="2018-05-31T00:00:00"/>
    <n v="7061.54"/>
    <d v="2018-06-11T00:00:00"/>
    <n v="0"/>
    <s v="30-60 days"/>
    <s v="DHMXX"/>
    <x v="0"/>
    <s v="Invoice"/>
  </r>
  <r>
    <x v="11"/>
    <s v="CC"/>
    <s v="B"/>
    <n v="1"/>
    <n v="213.99"/>
    <m/>
    <m/>
    <n v="2747"/>
    <s v="D186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C"/>
    <n v="1"/>
    <n v="1069.93"/>
    <m/>
    <m/>
    <n v="3825"/>
    <s v="D223"/>
    <s v="See unit #s on tab 2"/>
    <s v="Rental"/>
    <x v="6"/>
    <d v="2018-05-31T00:00:00"/>
    <d v="2018-05-31T00:00:00"/>
    <n v="1069.93"/>
    <d v="2018-06-11T00:00:00"/>
    <n v="0"/>
    <s v="30-60 days"/>
    <s v="DHMXX"/>
    <x v="0"/>
    <s v="Invoice"/>
  </r>
  <r>
    <x v="11"/>
    <s v="CC"/>
    <s v="D"/>
    <n v="1"/>
    <n v="213.99"/>
    <m/>
    <m/>
    <n v="8327"/>
    <s v="D243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E"/>
    <n v="1"/>
    <n v="641.96"/>
    <m/>
    <m/>
    <n v="13342"/>
    <s v="D021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F"/>
    <n v="1"/>
    <n v="427.97"/>
    <m/>
    <m/>
    <n v="54876"/>
    <s v="D182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G"/>
    <n v="1"/>
    <n v="213.99"/>
    <m/>
    <m/>
    <n v="55052"/>
    <s v="D777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H"/>
    <n v="1"/>
    <n v="641.96"/>
    <m/>
    <m/>
    <n v="55242"/>
    <s v="D777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I"/>
    <n v="1"/>
    <n v="427.97"/>
    <m/>
    <m/>
    <n v="55253"/>
    <s v="D777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J"/>
    <n v="1"/>
    <n v="1925.88"/>
    <m/>
    <m/>
    <n v="55292"/>
    <s v="D777"/>
    <s v="See unit #s on tab 2"/>
    <s v="Rental"/>
    <x v="6"/>
    <d v="2018-05-31T00:00:00"/>
    <d v="2018-05-31T00:00:00"/>
    <n v="1925.88"/>
    <d v="2018-06-11T00:00:00"/>
    <n v="0"/>
    <s v="30-60 days"/>
    <s v="DHMXX"/>
    <x v="0"/>
    <s v="Invoice"/>
  </r>
  <r>
    <x v="11"/>
    <s v="CC"/>
    <s v="K"/>
    <n v="1"/>
    <n v="213.99"/>
    <m/>
    <m/>
    <n v="55477"/>
    <s v="D248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L"/>
    <n v="1"/>
    <n v="641.96"/>
    <m/>
    <m/>
    <n v="55766"/>
    <s v="B244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M"/>
    <n v="1"/>
    <n v="213.99"/>
    <m/>
    <m/>
    <n v="55785"/>
    <s v="D355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N"/>
    <n v="1"/>
    <n v="641.96"/>
    <m/>
    <m/>
    <n v="56539"/>
    <s v="D229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O"/>
    <n v="1"/>
    <n v="855.94"/>
    <m/>
    <m/>
    <n v="56774"/>
    <s v="D181"/>
    <s v="See unit #s on tab 2"/>
    <s v="Rental"/>
    <x v="6"/>
    <d v="2018-05-31T00:00:00"/>
    <d v="2018-05-31T00:00:00"/>
    <n v="855.94"/>
    <d v="2018-06-11T00:00:00"/>
    <n v="0"/>
    <s v="30-60 days"/>
    <s v="DHMXX"/>
    <x v="0"/>
    <s v="Invoice"/>
  </r>
  <r>
    <x v="11"/>
    <s v="CC"/>
    <s v="P"/>
    <n v="1"/>
    <n v="213.99"/>
    <m/>
    <m/>
    <n v="58008"/>
    <s v="D266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Q"/>
    <n v="1"/>
    <n v="213.99"/>
    <m/>
    <m/>
    <n v="59994"/>
    <s v="D022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R"/>
    <n v="1"/>
    <n v="427.97"/>
    <m/>
    <m/>
    <n v="66343"/>
    <s v="D777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S"/>
    <n v="1"/>
    <n v="213.99"/>
    <m/>
    <m/>
    <n v="66652"/>
    <s v="D213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T"/>
    <n v="1"/>
    <n v="213.99"/>
    <m/>
    <m/>
    <n v="66988"/>
    <s v="D449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U"/>
    <n v="1"/>
    <n v="6847.56"/>
    <m/>
    <m/>
    <n v="67865"/>
    <s v="D449"/>
    <s v="See unit #s on tab 2"/>
    <s v="Rental"/>
    <x v="6"/>
    <d v="2018-05-31T00:00:00"/>
    <d v="2018-05-31T00:00:00"/>
    <n v="6847.56"/>
    <d v="2018-06-11T00:00:00"/>
    <n v="0"/>
    <s v="30-60 days"/>
    <s v="DHMXX"/>
    <x v="0"/>
    <s v="Invoice"/>
  </r>
  <r>
    <x v="11"/>
    <s v="CC"/>
    <s v="V"/>
    <n v="1"/>
    <n v="427.97"/>
    <m/>
    <m/>
    <n v="68161"/>
    <s v="D344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W"/>
    <n v="1"/>
    <n v="427.97"/>
    <m/>
    <m/>
    <n v="76024"/>
    <s v="D383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X"/>
    <n v="1"/>
    <n v="1069.93"/>
    <m/>
    <m/>
    <n v="76833"/>
    <s v="D229"/>
    <s v="See unit #s on tab 2"/>
    <s v="Rental"/>
    <x v="6"/>
    <d v="2018-05-31T00:00:00"/>
    <d v="2018-05-31T00:00:00"/>
    <n v="1069.93"/>
    <d v="2018-06-11T00:00:00"/>
    <n v="0"/>
    <s v="30-60 days"/>
    <s v="DHMXX"/>
    <x v="0"/>
    <s v="Invoice"/>
  </r>
  <r>
    <x v="11"/>
    <s v="CC"/>
    <s v="Y"/>
    <n v="1"/>
    <n v="213.99"/>
    <m/>
    <m/>
    <n v="82624"/>
    <s v="D407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Z"/>
    <n v="1"/>
    <n v="641.96"/>
    <m/>
    <m/>
    <n v="85175"/>
    <s v="D021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AA"/>
    <n v="1"/>
    <n v="12197.12"/>
    <m/>
    <m/>
    <n v="90352"/>
    <s v="D214"/>
    <s v="See unit #s on tab 2"/>
    <s v="Rental"/>
    <x v="6"/>
    <d v="2018-05-31T00:00:00"/>
    <d v="2018-05-31T00:00:00"/>
    <n v="12197.12"/>
    <d v="2018-06-11T00:00:00"/>
    <n v="0"/>
    <s v="30-60 days"/>
    <s v="DHMXX"/>
    <x v="0"/>
    <s v="Invoice"/>
  </r>
  <r>
    <x v="11"/>
    <s v="CC"/>
    <s v="AB"/>
    <n v="1"/>
    <n v="11127.28"/>
    <m/>
    <m/>
    <n v="91295"/>
    <s v="D284"/>
    <s v="See unit #s on tab 2"/>
    <s v="Rental"/>
    <x v="6"/>
    <d v="2018-05-31T00:00:00"/>
    <d v="2018-05-31T00:00:00"/>
    <n v="11127.28"/>
    <d v="2018-06-11T00:00:00"/>
    <n v="0"/>
    <s v="30-60 days"/>
    <s v="DHMXX"/>
    <x v="0"/>
    <s v="Invoice"/>
  </r>
  <r>
    <x v="11"/>
    <s v="CC"/>
    <s v="AC"/>
    <n v="1"/>
    <n v="213.99"/>
    <m/>
    <m/>
    <n v="92676"/>
    <s v="D243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D"/>
    <n v="1"/>
    <n v="213.99"/>
    <m/>
    <m/>
    <n v="94783"/>
    <s v="D284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E"/>
    <n v="1"/>
    <n v="213.99"/>
    <m/>
    <m/>
    <n v="115229"/>
    <s v="D449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F"/>
    <n v="1"/>
    <n v="427.97"/>
    <m/>
    <m/>
    <n v="140140"/>
    <s v="D674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AG"/>
    <n v="1"/>
    <n v="213.99"/>
    <m/>
    <m/>
    <n v="142910"/>
    <s v="D182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H"/>
    <n v="1"/>
    <n v="1283.92"/>
    <m/>
    <m/>
    <n v="148833"/>
    <s v="D292"/>
    <s v="See unit #s on tab 2"/>
    <s v="Rental"/>
    <x v="6"/>
    <d v="2018-05-31T00:00:00"/>
    <d v="2018-05-31T00:00:00"/>
    <n v="1283.92"/>
    <d v="2018-06-11T00:00:00"/>
    <n v="0"/>
    <s v="30-60 days"/>
    <s v="DHMXX"/>
    <x v="0"/>
    <s v="Invoice"/>
  </r>
  <r>
    <x v="11"/>
    <s v="CC"/>
    <s v="AI"/>
    <n v="1"/>
    <n v="213.99"/>
    <m/>
    <m/>
    <n v="162604"/>
    <s v="D292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J"/>
    <n v="1"/>
    <n v="213.99"/>
    <m/>
    <m/>
    <n v="165685"/>
    <s v="D227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K"/>
    <n v="16"/>
    <n v="641.96"/>
    <m/>
    <m/>
    <n v="55031"/>
    <s v="D058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AL"/>
    <n v="16"/>
    <n v="1283.92"/>
    <m/>
    <m/>
    <n v="55245"/>
    <s v="D058"/>
    <s v="See unit #s on tab 2"/>
    <s v="Rental"/>
    <x v="6"/>
    <d v="2018-05-31T00:00:00"/>
    <d v="2018-05-31T00:00:00"/>
    <n v="1283.92"/>
    <d v="2018-06-11T00:00:00"/>
    <n v="0"/>
    <s v="30-60 days"/>
    <s v="DHMXX"/>
    <x v="0"/>
    <s v="Invoice"/>
  </r>
  <r>
    <x v="11"/>
    <s v="CC"/>
    <s v="AM"/>
    <n v="16"/>
    <n v="213.99"/>
    <m/>
    <m/>
    <n v="55256"/>
    <s v="D777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N"/>
    <n v="16"/>
    <n v="213.99"/>
    <m/>
    <m/>
    <n v="55314"/>
    <s v="D059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O"/>
    <n v="16"/>
    <n v="855.94"/>
    <m/>
    <m/>
    <n v="55322"/>
    <s v="D059"/>
    <s v="See unit #s on tab 2"/>
    <s v="Rental"/>
    <x v="6"/>
    <d v="2018-05-31T00:00:00"/>
    <d v="2018-05-31T00:00:00"/>
    <n v="855.94"/>
    <d v="2018-06-11T00:00:00"/>
    <n v="0"/>
    <s v="30-60 days"/>
    <s v="DHMXX"/>
    <x v="0"/>
    <s v="Invoice"/>
  </r>
  <r>
    <x v="11"/>
    <s v="CC"/>
    <s v="AP"/>
    <n v="16"/>
    <n v="641.96"/>
    <m/>
    <m/>
    <n v="55327"/>
    <s v="D059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AQ"/>
    <n v="16"/>
    <n v="427.97"/>
    <m/>
    <m/>
    <n v="56656"/>
    <s v="D058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AR"/>
    <n v="16"/>
    <n v="213.99"/>
    <m/>
    <m/>
    <n v="56660"/>
    <s v="D058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S"/>
    <n v="16"/>
    <n v="213.99"/>
    <m/>
    <m/>
    <n v="82223"/>
    <s v="D215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AT"/>
    <n v="16"/>
    <n v="427.97"/>
    <m/>
    <m/>
    <n v="82227"/>
    <s v="D215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AU"/>
    <n v="16"/>
    <n v="641.96"/>
    <m/>
    <m/>
    <n v="115325"/>
    <s v="D618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AV"/>
    <n v="2000"/>
    <n v="641.96"/>
    <m/>
    <m/>
    <n v="36784"/>
    <s v="D669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AW"/>
    <n v="2000"/>
    <n v="427.97"/>
    <m/>
    <m/>
    <n v="36989"/>
    <s v="D688"/>
    <s v="See unit #s on tab 2"/>
    <s v="Rental"/>
    <x v="6"/>
    <d v="2018-05-31T00:00:00"/>
    <d v="2018-05-31T00:00:00"/>
    <n v="427.97"/>
    <d v="2018-06-11T00:00:00"/>
    <n v="0"/>
    <s v="30-60 days"/>
    <s v="DHMXX"/>
    <x v="0"/>
    <s v="Invoice"/>
  </r>
  <r>
    <x v="11"/>
    <s v="CC"/>
    <s v="AX"/>
    <n v="2000"/>
    <n v="2139.86"/>
    <m/>
    <m/>
    <n v="36992"/>
    <s v="D688"/>
    <s v="See unit #s on tab 2"/>
    <s v="Rental"/>
    <x v="6"/>
    <d v="2018-05-31T00:00:00"/>
    <d v="2018-05-31T00:00:00"/>
    <n v="2139.86"/>
    <d v="2018-06-11T00:00:00"/>
    <n v="0"/>
    <s v="30-60 days"/>
    <s v="DHMXX"/>
    <x v="0"/>
    <s v="Invoice"/>
  </r>
  <r>
    <x v="11"/>
    <s v="CC"/>
    <s v="AY"/>
    <n v="2000"/>
    <n v="2995.81"/>
    <m/>
    <m/>
    <n v="36997"/>
    <s v="D688"/>
    <s v="See unit #s on tab 2"/>
    <s v="Rental"/>
    <x v="6"/>
    <d v="2018-05-31T00:00:00"/>
    <d v="2018-05-31T00:00:00"/>
    <n v="2995.81"/>
    <d v="2018-06-11T00:00:00"/>
    <n v="0"/>
    <s v="30-60 days"/>
    <s v="DHMXX"/>
    <x v="0"/>
    <s v="Invoice"/>
  </r>
  <r>
    <x v="11"/>
    <s v="CC"/>
    <s v="AZ"/>
    <n v="2000"/>
    <n v="2139.86"/>
    <m/>
    <m/>
    <n v="37463"/>
    <s v="D804"/>
    <s v="See unit #s on tab 2"/>
    <s v="Rental"/>
    <x v="6"/>
    <d v="2018-05-31T00:00:00"/>
    <d v="2018-05-31T00:00:00"/>
    <n v="2139.86"/>
    <d v="2018-06-11T00:00:00"/>
    <n v="0"/>
    <s v="30-60 days"/>
    <s v="DHMXX"/>
    <x v="0"/>
    <s v="Invoice"/>
  </r>
  <r>
    <x v="11"/>
    <s v="CC"/>
    <s v="BA"/>
    <n v="2000"/>
    <n v="2353.85"/>
    <m/>
    <m/>
    <n v="37912"/>
    <s v="D638"/>
    <s v="See unit #s on tab 2"/>
    <s v="Rental"/>
    <x v="6"/>
    <d v="2018-05-31T00:00:00"/>
    <d v="2018-05-31T00:00:00"/>
    <n v="2353.85"/>
    <d v="2018-06-11T00:00:00"/>
    <n v="0"/>
    <s v="30-60 days"/>
    <s v="DHMXX"/>
    <x v="0"/>
    <s v="Invoice"/>
  </r>
  <r>
    <x v="11"/>
    <s v="CC"/>
    <s v="BB"/>
    <n v="2000"/>
    <n v="1069.93"/>
    <m/>
    <m/>
    <n v="82957"/>
    <s v="D678"/>
    <s v="See unit #s on tab 2"/>
    <s v="Rental"/>
    <x v="6"/>
    <d v="2018-05-31T00:00:00"/>
    <d v="2018-05-31T00:00:00"/>
    <n v="1069.93"/>
    <d v="2018-06-11T00:00:00"/>
    <n v="0"/>
    <s v="30-60 days"/>
    <s v="DHMXX"/>
    <x v="0"/>
    <s v="Invoice"/>
  </r>
  <r>
    <x v="11"/>
    <s v="CC"/>
    <s v="BC"/>
    <n v="2000"/>
    <n v="213.99"/>
    <m/>
    <m/>
    <n v="91299"/>
    <s v="D678"/>
    <s v="See unit #s on tab 2"/>
    <s v="Rental"/>
    <x v="6"/>
    <d v="2018-05-31T00:00:00"/>
    <d v="2018-05-31T00:00:00"/>
    <n v="213.99"/>
    <d v="2018-06-11T00:00:00"/>
    <n v="0"/>
    <s v="30-60 days"/>
    <s v="DHMXX"/>
    <x v="0"/>
    <s v="Invoice"/>
  </r>
  <r>
    <x v="11"/>
    <s v="CC"/>
    <s v="BD"/>
    <n v="2000"/>
    <n v="641.96"/>
    <m/>
    <m/>
    <n v="172035"/>
    <s v="B304"/>
    <s v="See unit #s on tab 2"/>
    <s v="Rental"/>
    <x v="6"/>
    <d v="2018-05-31T00:00:00"/>
    <d v="2018-05-31T00:00:00"/>
    <n v="641.96"/>
    <d v="2018-06-11T00:00:00"/>
    <n v="0"/>
    <s v="30-60 days"/>
    <s v="DHMXX"/>
    <x v="0"/>
    <s v="Invoice"/>
  </r>
  <r>
    <x v="11"/>
    <s v="CC"/>
    <s v="BE"/>
    <n v="2000"/>
    <n v="2139.86"/>
    <m/>
    <m/>
    <n v="182140"/>
    <s v="D210"/>
    <s v="See unit #s on tab 2"/>
    <s v="Rental"/>
    <x v="6"/>
    <d v="2018-05-31T00:00:00"/>
    <d v="2018-05-31T00:00:00"/>
    <n v="2139.86"/>
    <d v="2018-06-11T00:00:00"/>
    <n v="0"/>
    <s v="30-60 days"/>
    <s v="DHMXX"/>
    <x v="0"/>
    <s v="Invoice"/>
  </r>
  <r>
    <x v="12"/>
    <s v="CC"/>
    <s v="JH"/>
    <n v="1"/>
    <n v="178.25"/>
    <m/>
    <m/>
    <n v="580"/>
    <s v="D1950"/>
    <s v="EXFU 822094-8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I"/>
    <n v="1"/>
    <n v="178.25"/>
    <m/>
    <m/>
    <n v="580"/>
    <s v="D1950"/>
    <s v="EXFU 822095-3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J"/>
    <n v="1"/>
    <n v="232.5"/>
    <m/>
    <m/>
    <n v="3824"/>
    <s v="D021"/>
    <s v="EXSZ 903614-8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JK"/>
    <n v="1"/>
    <n v="232.5"/>
    <m/>
    <m/>
    <n v="3824"/>
    <s v="D021"/>
    <s v="EXSZ 903615-3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JL"/>
    <n v="1"/>
    <n v="232.5"/>
    <m/>
    <m/>
    <n v="3824"/>
    <s v="D021"/>
    <s v="EXSZ 903632-2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JM"/>
    <n v="1"/>
    <n v="232.5"/>
    <m/>
    <m/>
    <n v="3824"/>
    <s v="D021"/>
    <s v="EXSZ 903633-8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JN"/>
    <n v="1"/>
    <n v="232.5"/>
    <m/>
    <m/>
    <n v="3824"/>
    <s v="D021"/>
    <s v="EXSZ 903634-3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JO"/>
    <n v="1"/>
    <n v="178.25"/>
    <m/>
    <m/>
    <n v="3824"/>
    <s v="D021"/>
    <s v="EXFU 441811-2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P"/>
    <n v="1"/>
    <n v="178.25"/>
    <m/>
    <m/>
    <n v="3824"/>
    <s v="D021"/>
    <s v="EXFU 441812-8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Q"/>
    <n v="1"/>
    <n v="178.25"/>
    <m/>
    <m/>
    <n v="3824"/>
    <s v="D021"/>
    <s v="EXFU 441815-4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R"/>
    <n v="1"/>
    <n v="178.25"/>
    <m/>
    <m/>
    <n v="3824"/>
    <s v="D021"/>
    <s v="EXFU 441817-5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S"/>
    <n v="1"/>
    <n v="178.25"/>
    <m/>
    <m/>
    <n v="3824"/>
    <s v="D021"/>
    <s v="EXFU 441818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JT"/>
    <n v="1"/>
    <n v="279"/>
    <m/>
    <m/>
    <n v="3825"/>
    <s v="D223"/>
    <s v="EXSZ 901458-1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JU"/>
    <n v="1"/>
    <n v="279"/>
    <m/>
    <m/>
    <n v="3825"/>
    <s v="D223"/>
    <s v="EXSZ 901461-6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JV"/>
    <n v="1"/>
    <n v="279"/>
    <m/>
    <m/>
    <n v="3825"/>
    <s v="D223"/>
    <s v="EXSZ 901499-8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JW"/>
    <n v="1"/>
    <n v="279"/>
    <m/>
    <m/>
    <n v="3825"/>
    <s v="D223"/>
    <s v="EXSZ 901501-6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JX"/>
    <n v="1"/>
    <n v="496"/>
    <m/>
    <m/>
    <n v="3825"/>
    <s v="D223"/>
    <s v="EXFU 144973-7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JY"/>
    <n v="1"/>
    <n v="496"/>
    <m/>
    <m/>
    <n v="3825"/>
    <s v="D223"/>
    <s v="EXFU 144977-9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JZ"/>
    <n v="1"/>
    <n v="496"/>
    <m/>
    <m/>
    <n v="3825"/>
    <s v="D223"/>
    <s v="EXFU 144983-0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A"/>
    <n v="1"/>
    <n v="496"/>
    <m/>
    <m/>
    <n v="3825"/>
    <s v="D223"/>
    <s v="EXFU 145005-0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B"/>
    <n v="1"/>
    <n v="279"/>
    <m/>
    <m/>
    <n v="20028"/>
    <s v="D407"/>
    <s v="EXSZ 901834-0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KC"/>
    <n v="1"/>
    <n v="279"/>
    <m/>
    <m/>
    <n v="20028"/>
    <s v="D407"/>
    <s v="EXSZ 901836-0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KD"/>
    <n v="1"/>
    <n v="496"/>
    <m/>
    <m/>
    <n v="20028"/>
    <s v="D407"/>
    <s v="EXFU 145244-8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E"/>
    <n v="1"/>
    <n v="279"/>
    <m/>
    <m/>
    <n v="73868"/>
    <s v="D215"/>
    <s v="EXSZ 901798-1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KF"/>
    <n v="1"/>
    <n v="279"/>
    <m/>
    <m/>
    <n v="73868"/>
    <s v="D215"/>
    <s v="EXSZ 901799-7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KG"/>
    <n v="1"/>
    <n v="279"/>
    <m/>
    <m/>
    <n v="73868"/>
    <s v="D215"/>
    <s v="EXSZ 901800-0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KH"/>
    <n v="1"/>
    <n v="496"/>
    <m/>
    <m/>
    <n v="73868"/>
    <s v="D215"/>
    <s v="EXFU 144785-8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I"/>
    <n v="1"/>
    <n v="496"/>
    <m/>
    <m/>
    <n v="73868"/>
    <s v="D215"/>
    <s v="EXFU 144797-1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J"/>
    <n v="1"/>
    <n v="496"/>
    <m/>
    <m/>
    <n v="73868"/>
    <s v="D215"/>
    <s v="EXFU 144798-7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K"/>
    <n v="1"/>
    <n v="496"/>
    <m/>
    <m/>
    <n v="73868"/>
    <s v="D215"/>
    <s v="EXFU 144814-0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L"/>
    <n v="1"/>
    <n v="240.25"/>
    <m/>
    <m/>
    <n v="75810"/>
    <s v="D223"/>
    <s v="EXSZ 903067-0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KM"/>
    <n v="1"/>
    <n v="240.25"/>
    <m/>
    <m/>
    <n v="75810"/>
    <s v="D223"/>
    <s v="EXSZ 903076-7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KN"/>
    <n v="1"/>
    <n v="240.25"/>
    <m/>
    <m/>
    <n v="75810"/>
    <s v="D223"/>
    <s v="EXSZ 903077-2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KO"/>
    <n v="1"/>
    <n v="240.25"/>
    <m/>
    <m/>
    <n v="75810"/>
    <s v="D348"/>
    <s v="EXSZ 903161-3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KP"/>
    <n v="1"/>
    <n v="240.25"/>
    <m/>
    <m/>
    <n v="75810"/>
    <s v="D348"/>
    <s v="EXSZ 903162-9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KQ"/>
    <n v="1"/>
    <n v="240.25"/>
    <m/>
    <m/>
    <n v="75810"/>
    <s v="D348"/>
    <s v="EXSZ 903163-4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KR"/>
    <n v="1"/>
    <n v="575.36"/>
    <m/>
    <m/>
    <n v="75810"/>
    <s v="D223"/>
    <s v="EXFU 822222-0"/>
    <s v="Rental"/>
    <x v="6"/>
    <d v="2018-05-31T00:00:00"/>
    <d v="2018-05-31T00:00:00"/>
    <n v="575.36"/>
    <d v="2018-06-11T00:00:00"/>
    <n v="0"/>
    <s v="30-60 days"/>
    <s v="DHMXX"/>
    <x v="0"/>
    <s v="Invoice"/>
  </r>
  <r>
    <x v="12"/>
    <s v="CC"/>
    <s v="KS"/>
    <n v="1"/>
    <n v="575.36"/>
    <m/>
    <m/>
    <n v="75810"/>
    <s v="D223"/>
    <s v="EXFU 822224-1"/>
    <s v="Rental"/>
    <x v="6"/>
    <d v="2018-05-31T00:00:00"/>
    <d v="2018-05-31T00:00:00"/>
    <n v="575.36"/>
    <d v="2018-06-11T00:00:00"/>
    <n v="0"/>
    <s v="30-60 days"/>
    <s v="DHMXX"/>
    <x v="0"/>
    <s v="Invoice"/>
  </r>
  <r>
    <x v="12"/>
    <s v="CC"/>
    <s v="KT"/>
    <n v="1"/>
    <n v="575.36"/>
    <m/>
    <m/>
    <n v="75810"/>
    <s v="D223"/>
    <s v="EXFU 822225-7"/>
    <s v="Rental"/>
    <x v="6"/>
    <d v="2018-05-31T00:00:00"/>
    <d v="2018-05-31T00:00:00"/>
    <n v="575.36"/>
    <d v="2018-06-11T00:00:00"/>
    <n v="0"/>
    <s v="30-60 days"/>
    <s v="DHMXX"/>
    <x v="0"/>
    <s v="Invoice"/>
  </r>
  <r>
    <x v="12"/>
    <s v="CC"/>
    <s v="KU"/>
    <n v="1"/>
    <n v="575.36"/>
    <m/>
    <m/>
    <n v="75810"/>
    <s v="D348"/>
    <s v="EXFU 810837-3"/>
    <s v="Rental"/>
    <x v="6"/>
    <d v="2018-05-31T00:00:00"/>
    <d v="2018-05-31T00:00:00"/>
    <n v="575.36"/>
    <d v="2018-06-11T00:00:00"/>
    <n v="0"/>
    <s v="30-60 days"/>
    <s v="DHMXX"/>
    <x v="0"/>
    <s v="Invoice"/>
  </r>
  <r>
    <x v="12"/>
    <s v="CC"/>
    <s v="KV"/>
    <n v="1"/>
    <n v="575.36"/>
    <m/>
    <m/>
    <n v="75810"/>
    <s v="D348"/>
    <s v="EXFU 810838-9"/>
    <s v="Rental"/>
    <x v="6"/>
    <d v="2018-05-31T00:00:00"/>
    <d v="2018-05-31T00:00:00"/>
    <n v="575.36"/>
    <d v="2018-06-11T00:00:00"/>
    <n v="0"/>
    <s v="30-60 days"/>
    <s v="DHMXX"/>
    <x v="0"/>
    <s v="Invoice"/>
  </r>
  <r>
    <x v="12"/>
    <s v="CC"/>
    <s v="KW"/>
    <n v="1"/>
    <n v="575.36"/>
    <m/>
    <m/>
    <n v="75810"/>
    <s v="D348"/>
    <s v="EXFU 810841-3"/>
    <s v="Rental"/>
    <x v="6"/>
    <d v="2018-05-31T00:00:00"/>
    <d v="2018-05-31T00:00:00"/>
    <n v="575.36"/>
    <d v="2018-06-11T00:00:00"/>
    <n v="0"/>
    <s v="30-60 days"/>
    <s v="DHMXX"/>
    <x v="0"/>
    <s v="Invoice"/>
  </r>
  <r>
    <x v="12"/>
    <s v="CC"/>
    <s v="KX"/>
    <n v="1"/>
    <n v="496"/>
    <m/>
    <m/>
    <n v="77572"/>
    <s v="T001"/>
    <s v="EXFU 144709-8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KY"/>
    <n v="1"/>
    <n v="279"/>
    <m/>
    <m/>
    <n v="141188"/>
    <s v="D777"/>
    <s v="EXSZ 901806-2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KZ"/>
    <n v="1"/>
    <n v="279"/>
    <m/>
    <m/>
    <n v="141188"/>
    <s v="D777"/>
    <s v="EXSZ 901817-0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LA"/>
    <n v="1"/>
    <n v="279"/>
    <m/>
    <m/>
    <n v="141188"/>
    <s v="D777"/>
    <s v="EXSZ 901820-5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LB"/>
    <n v="1"/>
    <n v="279"/>
    <m/>
    <m/>
    <n v="141188"/>
    <s v="D777"/>
    <s v="EXSZ 901825-2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LC"/>
    <n v="1"/>
    <n v="279"/>
    <m/>
    <m/>
    <n v="141188"/>
    <s v="D777"/>
    <s v="EXSZ 901830-8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LD"/>
    <n v="1"/>
    <n v="279"/>
    <m/>
    <m/>
    <n v="141188"/>
    <s v="D777"/>
    <s v="EXSZ 901601-2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LE"/>
    <n v="1"/>
    <n v="496"/>
    <m/>
    <m/>
    <n v="141188"/>
    <s v="D777"/>
    <s v="EXFU 144784-2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LF"/>
    <n v="1"/>
    <n v="496"/>
    <m/>
    <m/>
    <n v="141188"/>
    <s v="D777"/>
    <s v="EXFU 144787-9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LG"/>
    <n v="1"/>
    <n v="496"/>
    <m/>
    <m/>
    <n v="141188"/>
    <s v="D777"/>
    <s v="EXFU 144788-4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LH"/>
    <n v="1"/>
    <n v="496"/>
    <m/>
    <m/>
    <n v="141188"/>
    <s v="D777"/>
    <s v="EXFU 144801-0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LI"/>
    <n v="1"/>
    <n v="496"/>
    <m/>
    <m/>
    <n v="141188"/>
    <s v="D777"/>
    <s v="EXFU 144807-3"/>
    <s v="Rental"/>
    <x v="6"/>
    <d v="2018-05-31T00:00:00"/>
    <d v="2018-05-31T00:00:00"/>
    <n v="496"/>
    <d v="2018-06-11T00:00:00"/>
    <n v="0"/>
    <s v="30-60 days"/>
    <s v="DHMXX"/>
    <x v="0"/>
    <s v="Invoice"/>
  </r>
  <r>
    <x v="12"/>
    <s v="CC"/>
    <s v="LJ"/>
    <n v="1"/>
    <n v="480.5"/>
    <m/>
    <m/>
    <n v="142910"/>
    <s v="D182"/>
    <s v="USPU 133027-5"/>
    <s v="Rental"/>
    <x v="6"/>
    <d v="2018-05-31T00:00:00"/>
    <d v="2018-05-31T00:00:00"/>
    <n v="480.5"/>
    <d v="2018-06-11T00:00:00"/>
    <n v="0"/>
    <s v="30-60 days"/>
    <s v="DHMXX"/>
    <x v="0"/>
    <s v="Invoice"/>
  </r>
  <r>
    <x v="12"/>
    <s v="CC"/>
    <s v="LK"/>
    <n v="1"/>
    <n v="558"/>
    <m/>
    <m/>
    <n v="142910"/>
    <s v="D182"/>
    <s v="EXFU 830006-7"/>
    <s v="Rental"/>
    <x v="6"/>
    <d v="2018-05-31T00:00:00"/>
    <d v="2018-05-31T00:00:00"/>
    <n v="558"/>
    <d v="2018-06-11T00:00:00"/>
    <n v="0"/>
    <s v="30-60 days"/>
    <s v="DHMXX"/>
    <x v="0"/>
    <s v="Invoice"/>
  </r>
  <r>
    <x v="12"/>
    <s v="CC"/>
    <s v="LL"/>
    <n v="1"/>
    <n v="240.25"/>
    <m/>
    <m/>
    <n v="142910"/>
    <s v="D182"/>
    <s v="EXSZ 903078-8"/>
    <s v="Rental"/>
    <x v="6"/>
    <d v="2018-05-31T00:00:00"/>
    <d v="2018-05-31T00:00:00"/>
    <n v="240.25"/>
    <d v="2018-06-11T00:00:00"/>
    <n v="0"/>
    <s v="30-60 days"/>
    <s v="DHMXX"/>
    <x v="0"/>
    <s v="Invoice"/>
  </r>
  <r>
    <x v="12"/>
    <s v="CC"/>
    <s v="LM"/>
    <n v="1"/>
    <n v="232.5"/>
    <m/>
    <m/>
    <n v="142910"/>
    <s v="D182"/>
    <s v="EXSZ 903709-9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N"/>
    <n v="1"/>
    <n v="232.5"/>
    <m/>
    <m/>
    <n v="201323"/>
    <s v="E215"/>
    <s v="EXSZ 903443-8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O"/>
    <n v="1"/>
    <n v="232.5"/>
    <m/>
    <m/>
    <n v="201323"/>
    <s v="E215"/>
    <s v="EXSZ 903444-3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P"/>
    <n v="1"/>
    <n v="232.5"/>
    <m/>
    <m/>
    <n v="201323"/>
    <s v="E215"/>
    <s v="EXSZ 903445-9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Q"/>
    <n v="1"/>
    <n v="232.5"/>
    <m/>
    <m/>
    <n v="201323"/>
    <s v="E215"/>
    <s v="EXSZ 903446-4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R"/>
    <n v="1"/>
    <n v="232.5"/>
    <m/>
    <m/>
    <n v="201323"/>
    <s v="E215"/>
    <s v="EXSZ 903447-0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S"/>
    <n v="1"/>
    <n v="232.5"/>
    <m/>
    <m/>
    <n v="201323"/>
    <s v="E215"/>
    <s v="EXSZ 903448-5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T"/>
    <n v="1"/>
    <n v="232.5"/>
    <m/>
    <m/>
    <n v="201323"/>
    <s v="E215"/>
    <s v="EXSZ 903449-0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U"/>
    <n v="1"/>
    <n v="232.5"/>
    <m/>
    <m/>
    <n v="201323"/>
    <s v="E215"/>
    <s v="EXSZ 903450-4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V"/>
    <n v="1"/>
    <n v="232.5"/>
    <m/>
    <m/>
    <n v="201323"/>
    <s v="E215"/>
    <s v="EXSZ 903451-0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W"/>
    <n v="1"/>
    <n v="232.5"/>
    <m/>
    <m/>
    <n v="201323"/>
    <s v="E215"/>
    <s v="EXSZ 903452-5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X"/>
    <n v="1"/>
    <n v="232.5"/>
    <m/>
    <m/>
    <n v="201323"/>
    <s v="E215"/>
    <s v="EXSZ 903453-0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Y"/>
    <n v="1"/>
    <n v="232.5"/>
    <m/>
    <m/>
    <n v="201323"/>
    <s v="E215"/>
    <s v="EXSZ 903454-6"/>
    <s v="Rental"/>
    <x v="6"/>
    <d v="2018-05-31T00:00:00"/>
    <d v="2018-05-31T00:00:00"/>
    <n v="232.5"/>
    <d v="2018-06-11T00:00:00"/>
    <n v="0"/>
    <s v="30-60 days"/>
    <s v="DHMXX"/>
    <x v="0"/>
    <s v="Invoice"/>
  </r>
  <r>
    <x v="12"/>
    <s v="CC"/>
    <s v="LZ"/>
    <n v="1"/>
    <n v="178.25"/>
    <m/>
    <m/>
    <n v="201323"/>
    <s v="E215"/>
    <s v="EXFU 822028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A"/>
    <n v="1"/>
    <n v="178.25"/>
    <m/>
    <m/>
    <n v="201323"/>
    <s v="E215"/>
    <s v="EXFU 822029-6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B"/>
    <n v="1"/>
    <n v="178.25"/>
    <m/>
    <m/>
    <n v="201323"/>
    <s v="E215"/>
    <s v="EXFU 822030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C"/>
    <n v="1"/>
    <n v="178.25"/>
    <m/>
    <m/>
    <n v="201323"/>
    <s v="E215"/>
    <s v="EXFU 822031-5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D"/>
    <n v="1"/>
    <n v="178.25"/>
    <m/>
    <m/>
    <n v="201323"/>
    <s v="E215"/>
    <s v="EXFU 822033-6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E"/>
    <n v="1"/>
    <n v="178.25"/>
    <m/>
    <m/>
    <n v="201323"/>
    <s v="E215"/>
    <s v="EXFU 822035-7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F"/>
    <n v="1"/>
    <n v="178.25"/>
    <m/>
    <m/>
    <n v="201323"/>
    <s v="E215"/>
    <s v="EXFU 441454-4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G"/>
    <n v="1"/>
    <n v="178.25"/>
    <m/>
    <m/>
    <n v="201323"/>
    <s v="E215"/>
    <s v="EXFU 441455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H"/>
    <n v="1"/>
    <n v="178.25"/>
    <m/>
    <m/>
    <n v="201323"/>
    <s v="E215"/>
    <s v="EXFU 441457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I"/>
    <n v="1"/>
    <n v="178.25"/>
    <m/>
    <m/>
    <n v="201323"/>
    <s v="E215"/>
    <s v="EXFU 441459-1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J"/>
    <n v="1"/>
    <n v="178.25"/>
    <m/>
    <m/>
    <n v="201323"/>
    <s v="E215"/>
    <s v="EXFU 441460-5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MK"/>
    <n v="1"/>
    <n v="178.25"/>
    <m/>
    <m/>
    <n v="201323"/>
    <s v="E215"/>
    <s v="EXFU 441461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QD"/>
    <n v="2000"/>
    <n v="178.25"/>
    <m/>
    <m/>
    <n v="37912"/>
    <s v="D638"/>
    <s v="EXFU 822083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QE"/>
    <n v="2000"/>
    <n v="178.25"/>
    <m/>
    <m/>
    <n v="37912"/>
    <s v="D638"/>
    <s v="EXFU 822013-0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QF"/>
    <n v="2000"/>
    <n v="178.25"/>
    <m/>
    <m/>
    <n v="37912"/>
    <s v="D638"/>
    <s v="EXFU 822014-6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QG"/>
    <n v="2000"/>
    <n v="178.25"/>
    <m/>
    <m/>
    <n v="37912"/>
    <s v="D638"/>
    <s v="EXFU 822016-7"/>
    <s v="Rental"/>
    <x v="6"/>
    <d v="2018-05-31T00:00:00"/>
    <d v="2018-05-31T00:00:00"/>
    <n v="178.25"/>
    <d v="2018-06-11T00:00:00"/>
    <n v="0"/>
    <s v="30-60 days"/>
    <s v="DHMXX"/>
    <x v="0"/>
    <s v="Invoice"/>
  </r>
  <r>
    <x v="12"/>
    <s v="CC"/>
    <s v="QH"/>
    <n v="2000"/>
    <n v="279"/>
    <m/>
    <m/>
    <n v="132622"/>
    <s v="T001"/>
    <s v="EXSZ 901801-5"/>
    <s v="Rental"/>
    <x v="6"/>
    <d v="2018-05-31T00:00:00"/>
    <d v="2018-05-31T00:00:00"/>
    <n v="279"/>
    <d v="2018-06-11T00:00:00"/>
    <n v="0"/>
    <s v="30-60 days"/>
    <s v="DHMXX"/>
    <x v="0"/>
    <s v="Invoice"/>
  </r>
  <r>
    <x v="12"/>
    <s v="CC"/>
    <s v="QI"/>
    <n v="2000"/>
    <n v="496"/>
    <m/>
    <m/>
    <n v="132622"/>
    <s v="T001"/>
    <s v="EXFU 144783-7"/>
    <s v="Rental"/>
    <x v="6"/>
    <d v="2018-05-31T00:00:00"/>
    <d v="2018-05-31T00:00:00"/>
    <n v="496"/>
    <d v="2018-06-11T00:00:00"/>
    <n v="0"/>
    <s v="30-60 days"/>
    <s v="DHMXX"/>
    <x v="0"/>
    <s v="Invoice"/>
  </r>
  <r>
    <x v="13"/>
    <s v="TR"/>
    <s v="A"/>
    <n v="5001"/>
    <n v="496"/>
    <m/>
    <m/>
    <n v="117423"/>
    <s v="T001"/>
    <s v="EXFU 144702-0"/>
    <s v="Rental"/>
    <x v="6"/>
    <d v="2018-05-31T00:00:00"/>
    <d v="2018-05-31T00:00:00"/>
    <n v="279"/>
    <d v="2018-06-13T00:00:00"/>
    <n v="217"/>
    <s v="30-60 days"/>
    <s v="DHMXX"/>
    <x v="0"/>
    <s v="Invoice"/>
  </r>
  <r>
    <x v="13"/>
    <s v="TR"/>
    <s v="B"/>
    <n v="5001"/>
    <n v="496"/>
    <m/>
    <m/>
    <n v="117423"/>
    <s v="T001"/>
    <s v="EXFU 144703-5"/>
    <s v="Rental"/>
    <x v="6"/>
    <d v="2018-05-31T00:00:00"/>
    <d v="2018-05-31T00:00:00"/>
    <n v="279"/>
    <d v="2018-06-13T00:00:00"/>
    <n v="217"/>
    <s v="30-60 days"/>
    <s v="DHMXX"/>
    <x v="0"/>
    <s v="Invoice"/>
  </r>
  <r>
    <x v="13"/>
    <s v="TR"/>
    <s v="C"/>
    <n v="5001"/>
    <n v="279"/>
    <m/>
    <m/>
    <n v="117423"/>
    <s v="T001"/>
    <s v="EXSZ 901271-6"/>
    <s v="Rental"/>
    <x v="6"/>
    <d v="2018-05-31T00:00:00"/>
    <d v="2018-05-31T00:00:00"/>
    <n v="496"/>
    <d v="2018-06-13T00:00:00"/>
    <n v="-217"/>
    <s v="30-60 days"/>
    <s v="DHMXX"/>
    <x v="0"/>
    <s v="Invoice"/>
  </r>
  <r>
    <x v="13"/>
    <s v="TR"/>
    <s v="D"/>
    <n v="5001"/>
    <n v="279"/>
    <m/>
    <m/>
    <n v="117423"/>
    <s v="T001"/>
    <s v="EXSZ 901276-3"/>
    <s v="Rental"/>
    <x v="6"/>
    <d v="2018-05-31T00:00:00"/>
    <d v="2018-05-31T00:00:00"/>
    <n v="496"/>
    <d v="2018-06-13T00:00:00"/>
    <n v="-217"/>
    <s v="30-60 days"/>
    <s v="DHMXX"/>
    <x v="0"/>
    <s v="Invoice"/>
  </r>
  <r>
    <x v="14"/>
    <s v="RH"/>
    <s v="A"/>
    <n v="4007"/>
    <n v="178.25"/>
    <m/>
    <m/>
    <n v="165014"/>
    <s v="A341"/>
    <s v="USPU 122837-1"/>
    <s v="Rental"/>
    <x v="6"/>
    <d v="2018-05-31T00:00:00"/>
    <d v="2018-05-31T00:00:00"/>
    <n v="178.25"/>
    <d v="2018-06-11T00:00:00"/>
    <n v="0"/>
    <s v="30-60 days"/>
    <s v="DHMXX"/>
    <x v="0"/>
    <s v="Invoice"/>
  </r>
  <r>
    <x v="15"/>
    <s v="CC"/>
    <s v="A"/>
    <n v="1"/>
    <n v="172.5"/>
    <m/>
    <m/>
    <n v="1274"/>
    <s v="D358"/>
    <s v="TPTU 820552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"/>
    <n v="1"/>
    <n v="172.5"/>
    <m/>
    <m/>
    <n v="1274"/>
    <s v="D358"/>
    <s v="TRLU 021402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C"/>
    <n v="1"/>
    <n v="172.5"/>
    <m/>
    <m/>
    <n v="1274"/>
    <s v="D358"/>
    <s v="ICSU 028809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"/>
    <n v="1"/>
    <n v="172.5"/>
    <m/>
    <m/>
    <n v="1274"/>
    <s v="D358"/>
    <s v="TRLU 021690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"/>
    <n v="1"/>
    <n v="172.5"/>
    <m/>
    <m/>
    <n v="1274"/>
    <s v="D358"/>
    <s v="TRLU 02188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"/>
    <n v="1"/>
    <n v="172.5"/>
    <m/>
    <m/>
    <n v="1274"/>
    <s v="D358"/>
    <s v="TRLU 022231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"/>
    <n v="1"/>
    <n v="172.5"/>
    <m/>
    <m/>
    <n v="1274"/>
    <s v="D358"/>
    <s v="EXFU 022475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"/>
    <n v="1"/>
    <n v="172.5"/>
    <m/>
    <m/>
    <n v="1274"/>
    <s v="D358"/>
    <s v="EXFU 022486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I"/>
    <n v="1"/>
    <n v="172.5"/>
    <m/>
    <m/>
    <n v="1274"/>
    <s v="D358"/>
    <s v="EXFU 050874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J"/>
    <n v="1"/>
    <n v="172.5"/>
    <m/>
    <m/>
    <n v="1274"/>
    <s v="D358"/>
    <s v="EXFU 050881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K"/>
    <n v="1"/>
    <n v="172.5"/>
    <m/>
    <m/>
    <n v="1274"/>
    <s v="D358"/>
    <s v="EXFU 05213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L"/>
    <n v="1"/>
    <n v="172.5"/>
    <m/>
    <m/>
    <n v="1274"/>
    <s v="D358"/>
    <s v="EXFU 052606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"/>
    <n v="1"/>
    <n v="172.5"/>
    <m/>
    <m/>
    <n v="1274"/>
    <s v="D358"/>
    <s v="EXFU 053019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"/>
    <n v="1"/>
    <n v="172.5"/>
    <m/>
    <m/>
    <n v="1274"/>
    <s v="D358"/>
    <s v="EXFU 05395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"/>
    <n v="1"/>
    <n v="172.5"/>
    <m/>
    <m/>
    <n v="1274"/>
    <s v="D358"/>
    <s v="EXFU 052722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"/>
    <n v="1"/>
    <n v="172.5"/>
    <m/>
    <m/>
    <n v="1274"/>
    <s v="D358"/>
    <s v="EXFU 059958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Q"/>
    <n v="1"/>
    <n v="172.5"/>
    <m/>
    <m/>
    <n v="1274"/>
    <s v="D358"/>
    <s v="EXFU 060727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R"/>
    <n v="1"/>
    <n v="172.5"/>
    <m/>
    <m/>
    <n v="1274"/>
    <s v="D358"/>
    <s v="EXFU 060731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S"/>
    <n v="1"/>
    <n v="172.5"/>
    <m/>
    <m/>
    <n v="1274"/>
    <s v="D358"/>
    <s v="EXFU 060739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T"/>
    <n v="1"/>
    <n v="172.5"/>
    <m/>
    <m/>
    <n v="1274"/>
    <s v="D358"/>
    <s v="EXFU 060744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U"/>
    <n v="1"/>
    <n v="172.5"/>
    <m/>
    <m/>
    <n v="1274"/>
    <s v="D358"/>
    <s v="EXFU 061407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V"/>
    <n v="1"/>
    <n v="172.5"/>
    <m/>
    <m/>
    <n v="1274"/>
    <s v="D358"/>
    <s v="EXFU 059894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W"/>
    <n v="1"/>
    <n v="172.5"/>
    <m/>
    <m/>
    <n v="1274"/>
    <s v="D358"/>
    <s v="EXFU 442037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X"/>
    <n v="1"/>
    <n v="172.5"/>
    <m/>
    <m/>
    <n v="1274"/>
    <s v="D358"/>
    <s v="EXFU 442038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Y"/>
    <n v="1"/>
    <n v="172.5"/>
    <m/>
    <m/>
    <n v="1274"/>
    <s v="D358"/>
    <s v="EXFU 810623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Z"/>
    <n v="1"/>
    <n v="172.5"/>
    <m/>
    <m/>
    <n v="1274"/>
    <s v="D358"/>
    <s v="TRLU 050546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A"/>
    <n v="1"/>
    <n v="172.5"/>
    <m/>
    <m/>
    <n v="1274"/>
    <s v="D358"/>
    <s v="TRLU 05039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B"/>
    <n v="1"/>
    <n v="172.5"/>
    <m/>
    <m/>
    <n v="1274"/>
    <s v="D358"/>
    <s v="TRLU 050425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C"/>
    <n v="1"/>
    <n v="172.5"/>
    <m/>
    <m/>
    <n v="1274"/>
    <s v="D358"/>
    <s v="USPU 122456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D"/>
    <n v="1"/>
    <n v="172.5"/>
    <m/>
    <m/>
    <n v="1274"/>
    <s v="D358"/>
    <s v="USPU 12412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E"/>
    <n v="1"/>
    <n v="172.5"/>
    <m/>
    <m/>
    <n v="2747"/>
    <s v="D186"/>
    <s v="TRLU 021587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F"/>
    <n v="1"/>
    <n v="172.5"/>
    <m/>
    <m/>
    <n v="3825"/>
    <s v="D223"/>
    <s v="TPTU 851625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G"/>
    <n v="1"/>
    <n v="172.5"/>
    <m/>
    <m/>
    <n v="3825"/>
    <s v="D223"/>
    <s v="ICSU 028113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H"/>
    <n v="1"/>
    <n v="172.5"/>
    <m/>
    <m/>
    <n v="3825"/>
    <s v="D223"/>
    <s v="TOLU 941186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I"/>
    <n v="1"/>
    <n v="172.5"/>
    <m/>
    <m/>
    <n v="3825"/>
    <s v="D223"/>
    <s v="TRLU 021955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J"/>
    <n v="1"/>
    <n v="172.5"/>
    <m/>
    <m/>
    <n v="3825"/>
    <s v="D223"/>
    <s v="EXFU 059900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K"/>
    <n v="1"/>
    <n v="172.5"/>
    <m/>
    <m/>
    <n v="8327"/>
    <s v="D243"/>
    <s v="TOLU 926064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L"/>
    <n v="1"/>
    <n v="172.5"/>
    <m/>
    <m/>
    <n v="13342"/>
    <s v="D021"/>
    <s v="TRLU 026908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M"/>
    <n v="1"/>
    <n v="172.5"/>
    <m/>
    <m/>
    <n v="54876"/>
    <s v="D182"/>
    <s v="SNIU 121098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N"/>
    <n v="1"/>
    <n v="172.5"/>
    <m/>
    <m/>
    <n v="54876"/>
    <s v="D182"/>
    <s v="TRLU 050163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O"/>
    <n v="1"/>
    <n v="172.5"/>
    <m/>
    <m/>
    <n v="55052"/>
    <s v="D777"/>
    <s v="TRLU 021254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P"/>
    <n v="1"/>
    <n v="172.5"/>
    <m/>
    <m/>
    <n v="55242"/>
    <s v="D777"/>
    <s v="EXXU 999064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Q"/>
    <n v="1"/>
    <n v="172.5"/>
    <m/>
    <m/>
    <n v="55242"/>
    <s v="D777"/>
    <s v="EXFU 051969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R"/>
    <n v="1"/>
    <n v="172.5"/>
    <m/>
    <m/>
    <n v="55242"/>
    <s v="D777"/>
    <s v="EXFU 051855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S"/>
    <n v="1"/>
    <n v="172.5"/>
    <m/>
    <m/>
    <n v="55253"/>
    <s v="D777"/>
    <s v="EXFU 198579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T"/>
    <n v="1"/>
    <n v="172.5"/>
    <m/>
    <m/>
    <n v="55253"/>
    <s v="D777"/>
    <s v="TRLU 840400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U"/>
    <n v="1"/>
    <n v="172.5"/>
    <m/>
    <m/>
    <n v="55292"/>
    <s v="D777"/>
    <s v="TPTU 840042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V"/>
    <n v="1"/>
    <n v="172.5"/>
    <m/>
    <m/>
    <n v="55292"/>
    <s v="D777"/>
    <s v="TPTU 840178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W"/>
    <n v="1"/>
    <n v="172.5"/>
    <m/>
    <m/>
    <n v="55292"/>
    <s v="D777"/>
    <s v="TPMU 161258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X"/>
    <n v="1"/>
    <n v="172.5"/>
    <m/>
    <m/>
    <n v="55292"/>
    <s v="D777"/>
    <s v="EXFU 051852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Y"/>
    <n v="1"/>
    <n v="172.5"/>
    <m/>
    <m/>
    <n v="55292"/>
    <s v="D777"/>
    <s v="EXFU 051882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AZ"/>
    <n v="1"/>
    <n v="172.5"/>
    <m/>
    <m/>
    <n v="55292"/>
    <s v="D777"/>
    <s v="EXFU 051885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A"/>
    <n v="1"/>
    <n v="172.5"/>
    <m/>
    <m/>
    <n v="55292"/>
    <s v="D777"/>
    <s v="EXFU 05188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B"/>
    <n v="1"/>
    <n v="172.5"/>
    <m/>
    <m/>
    <n v="55292"/>
    <s v="D777"/>
    <s v="EXFU 051887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C"/>
    <n v="1"/>
    <n v="172.5"/>
    <m/>
    <m/>
    <n v="55292"/>
    <s v="D777"/>
    <s v="EXFU 05188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D"/>
    <n v="1"/>
    <n v="172.5"/>
    <m/>
    <m/>
    <n v="55477"/>
    <s v="D248"/>
    <s v="TPTU 851732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E"/>
    <n v="1"/>
    <n v="172.5"/>
    <m/>
    <m/>
    <n v="55766"/>
    <s v="B244"/>
    <s v="TOLU 906114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F"/>
    <n v="1"/>
    <n v="172.5"/>
    <m/>
    <m/>
    <n v="55766"/>
    <s v="B244"/>
    <s v="EXFU 052741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G"/>
    <n v="1"/>
    <n v="172.5"/>
    <m/>
    <m/>
    <n v="55766"/>
    <s v="B244"/>
    <s v="USPU 124261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H"/>
    <n v="1"/>
    <n v="172.5"/>
    <m/>
    <m/>
    <n v="55785"/>
    <s v="D355"/>
    <s v="TRLU 050488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I"/>
    <n v="1"/>
    <n v="172.5"/>
    <m/>
    <m/>
    <n v="56539"/>
    <s v="D229"/>
    <s v="EXFU 05184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J"/>
    <n v="1"/>
    <n v="172.5"/>
    <m/>
    <m/>
    <n v="56774"/>
    <s v="D181"/>
    <s v="EXFU 052130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K"/>
    <n v="1"/>
    <n v="420"/>
    <m/>
    <m/>
    <n v="56774"/>
    <s v="D181"/>
    <s v="TRLU 175052-1"/>
    <s v="Rental"/>
    <x v="7"/>
    <d v="2018-07-01T00:00:00"/>
    <d v="2018-06-28T00:00:00"/>
    <n v="420"/>
    <d v="2018-07-09T00:00:00"/>
    <n v="0"/>
    <s v="Less than 30 days"/>
    <s v="DHMXX"/>
    <x v="0"/>
    <s v="Invoice"/>
  </r>
  <r>
    <x v="15"/>
    <s v="CC"/>
    <s v="BL"/>
    <n v="1"/>
    <n v="420"/>
    <m/>
    <m/>
    <n v="56774"/>
    <s v="D181"/>
    <s v="TRLU 175120-9"/>
    <s v="Rental"/>
    <x v="7"/>
    <d v="2018-07-01T00:00:00"/>
    <d v="2018-06-28T00:00:00"/>
    <n v="420"/>
    <d v="2018-07-09T00:00:00"/>
    <n v="0"/>
    <s v="Less than 30 days"/>
    <s v="DHMXX"/>
    <x v="0"/>
    <s v="Invoice"/>
  </r>
  <r>
    <x v="15"/>
    <s v="CC"/>
    <s v="BM"/>
    <n v="1"/>
    <n v="420"/>
    <m/>
    <m/>
    <n v="56774"/>
    <s v="D181"/>
    <s v="TRLU 175121-4"/>
    <s v="Rental"/>
    <x v="7"/>
    <d v="2018-07-01T00:00:00"/>
    <d v="2018-06-28T00:00:00"/>
    <n v="420"/>
    <d v="2018-07-09T00:00:00"/>
    <n v="0"/>
    <s v="Less than 30 days"/>
    <s v="DHMXX"/>
    <x v="0"/>
    <s v="Invoice"/>
  </r>
  <r>
    <x v="15"/>
    <s v="CC"/>
    <s v="BN"/>
    <n v="1"/>
    <n v="172.5"/>
    <m/>
    <m/>
    <n v="58008"/>
    <s v="D266"/>
    <s v="EXFU 052265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O"/>
    <n v="1"/>
    <n v="172.5"/>
    <m/>
    <m/>
    <n v="59994"/>
    <s v="D022"/>
    <s v="TPMU 151826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P"/>
    <n v="1"/>
    <n v="172.5"/>
    <m/>
    <m/>
    <n v="59994"/>
    <s v="D022"/>
    <s v="TRLU 021708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Q"/>
    <n v="1"/>
    <n v="172.5"/>
    <m/>
    <m/>
    <n v="59994"/>
    <s v="D022"/>
    <s v="EXFU 810756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R"/>
    <n v="1"/>
    <n v="172.5"/>
    <m/>
    <m/>
    <n v="66343"/>
    <s v="D777"/>
    <s v="TPTU 82060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S"/>
    <n v="1"/>
    <n v="172.5"/>
    <m/>
    <m/>
    <n v="66343"/>
    <s v="D777"/>
    <s v="EXFU 198583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T"/>
    <n v="1"/>
    <n v="172.5"/>
    <m/>
    <m/>
    <n v="66652"/>
    <s v="D213"/>
    <s v="EXFU 821811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U"/>
    <n v="1"/>
    <n v="172.5"/>
    <m/>
    <m/>
    <n v="66988"/>
    <s v="D449"/>
    <s v="TPMU 351492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BV"/>
    <n v="1"/>
    <n v="465"/>
    <m/>
    <m/>
    <n v="67865"/>
    <s v="D449"/>
    <s v="TPTU 830010-0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BW"/>
    <n v="1"/>
    <n v="465"/>
    <m/>
    <m/>
    <n v="67865"/>
    <s v="D449"/>
    <s v="EXFU 830095-6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BX"/>
    <n v="1"/>
    <n v="465"/>
    <m/>
    <m/>
    <n v="67865"/>
    <s v="D449"/>
    <s v="EXFU 860052-6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BY"/>
    <n v="1"/>
    <n v="465"/>
    <m/>
    <m/>
    <n v="67865"/>
    <s v="D449"/>
    <s v="EXFU 860053-1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BZ"/>
    <n v="1"/>
    <n v="465"/>
    <m/>
    <m/>
    <n v="67865"/>
    <s v="D449"/>
    <s v="EXFU 860055-2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A"/>
    <n v="1"/>
    <n v="465"/>
    <m/>
    <m/>
    <n v="67865"/>
    <s v="D449"/>
    <s v="EXFU 860056-8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B"/>
    <n v="1"/>
    <n v="465"/>
    <m/>
    <m/>
    <n v="67865"/>
    <s v="D449"/>
    <s v="EXFU 860057-3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C"/>
    <n v="1"/>
    <n v="577.5"/>
    <m/>
    <m/>
    <n v="67865"/>
    <s v="D449"/>
    <s v="EXFU 830000-4"/>
    <s v="Rental"/>
    <x v="7"/>
    <d v="2018-07-01T00:00:00"/>
    <d v="2018-06-28T00:00:00"/>
    <n v="577.5"/>
    <d v="2018-07-09T00:00:00"/>
    <n v="0"/>
    <s v="Less than 30 days"/>
    <s v="DHMXX"/>
    <x v="0"/>
    <s v="Invoice"/>
  </r>
  <r>
    <x v="15"/>
    <s v="CC"/>
    <s v="CD"/>
    <n v="1"/>
    <n v="577.5"/>
    <m/>
    <m/>
    <n v="67865"/>
    <s v="D449"/>
    <s v="EXFU 830003-0"/>
    <s v="Rental"/>
    <x v="7"/>
    <d v="2018-07-01T00:00:00"/>
    <d v="2018-06-28T00:00:00"/>
    <n v="577.5"/>
    <d v="2018-07-09T00:00:00"/>
    <n v="0"/>
    <s v="Less than 30 days"/>
    <s v="DHMXX"/>
    <x v="0"/>
    <s v="Invoice"/>
  </r>
  <r>
    <x v="15"/>
    <s v="CC"/>
    <s v="CE"/>
    <n v="1"/>
    <n v="577.5"/>
    <m/>
    <m/>
    <n v="67865"/>
    <s v="D449"/>
    <s v="EXFU 830004-6"/>
    <s v="Rental"/>
    <x v="7"/>
    <d v="2018-07-01T00:00:00"/>
    <d v="2018-06-28T00:00:00"/>
    <n v="577.5"/>
    <d v="2018-07-09T00:00:00"/>
    <n v="0"/>
    <s v="Less than 30 days"/>
    <s v="DHMXX"/>
    <x v="0"/>
    <s v="Invoice"/>
  </r>
  <r>
    <x v="15"/>
    <s v="CC"/>
    <s v="CF"/>
    <n v="1"/>
    <n v="577.5"/>
    <m/>
    <m/>
    <n v="67865"/>
    <s v="D449"/>
    <s v="EXFU 830005-1"/>
    <s v="Rental"/>
    <x v="7"/>
    <d v="2018-07-01T00:00:00"/>
    <d v="2018-06-28T00:00:00"/>
    <n v="577.5"/>
    <d v="2018-07-09T00:00:00"/>
    <n v="0"/>
    <s v="Less than 30 days"/>
    <s v="DHMXX"/>
    <x v="0"/>
    <s v="Invoice"/>
  </r>
  <r>
    <x v="15"/>
    <s v="CC"/>
    <s v="CG"/>
    <n v="1"/>
    <n v="465"/>
    <m/>
    <m/>
    <n v="67865"/>
    <s v="D449"/>
    <s v="TRLU 830027-5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H"/>
    <n v="1"/>
    <n v="465"/>
    <m/>
    <m/>
    <n v="67865"/>
    <s v="D449"/>
    <s v="TRLU 830028-0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I"/>
    <n v="1"/>
    <n v="465"/>
    <m/>
    <m/>
    <n v="67865"/>
    <s v="D449"/>
    <s v="TRLU 830029-6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J"/>
    <n v="1"/>
    <n v="465"/>
    <m/>
    <m/>
    <n v="67865"/>
    <s v="D449"/>
    <s v="TRLU 830030-0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K"/>
    <n v="1"/>
    <n v="465"/>
    <m/>
    <m/>
    <n v="67865"/>
    <s v="D449"/>
    <s v="TRLU 830031-5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L"/>
    <n v="1"/>
    <n v="465"/>
    <m/>
    <m/>
    <n v="67865"/>
    <s v="D449"/>
    <s v="TRLU 830032-0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M"/>
    <n v="1"/>
    <n v="465"/>
    <m/>
    <m/>
    <n v="67865"/>
    <s v="D449"/>
    <s v="TRLU 830033-6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N"/>
    <n v="1"/>
    <n v="465"/>
    <m/>
    <m/>
    <n v="67865"/>
    <s v="D449"/>
    <s v="TRLU 830035-7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O"/>
    <n v="1"/>
    <n v="465"/>
    <m/>
    <m/>
    <n v="67865"/>
    <s v="D449"/>
    <s v="TRLU 830036-2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P"/>
    <n v="1"/>
    <n v="465"/>
    <m/>
    <m/>
    <n v="67865"/>
    <s v="D449"/>
    <s v="TRLU 830037-8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Q"/>
    <n v="1"/>
    <n v="465"/>
    <m/>
    <m/>
    <n v="67865"/>
    <s v="D449"/>
    <s v="TRLU 830038-3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R"/>
    <n v="1"/>
    <n v="465"/>
    <m/>
    <m/>
    <n v="67865"/>
    <s v="D449"/>
    <s v="TRLU 830039-9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S"/>
    <n v="1"/>
    <n v="465"/>
    <m/>
    <m/>
    <n v="67865"/>
    <s v="D449"/>
    <s v="TRLU 830040-2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T"/>
    <n v="1"/>
    <n v="465"/>
    <m/>
    <m/>
    <n v="67865"/>
    <s v="D449"/>
    <s v="TRLU 860484-8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U"/>
    <n v="1"/>
    <n v="465"/>
    <m/>
    <m/>
    <n v="67865"/>
    <s v="D449"/>
    <s v="USPU 122453-0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V"/>
    <n v="1"/>
    <n v="465"/>
    <m/>
    <m/>
    <n v="67865"/>
    <s v="D449"/>
    <s v="USPU 122463-2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W"/>
    <n v="1"/>
    <n v="465"/>
    <m/>
    <m/>
    <n v="67865"/>
    <s v="D449"/>
    <s v="USPU 122478-2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X"/>
    <n v="1"/>
    <n v="465"/>
    <m/>
    <m/>
    <n v="67865"/>
    <s v="D449"/>
    <s v="USPU 122566-5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Y"/>
    <n v="1"/>
    <n v="465"/>
    <m/>
    <m/>
    <n v="67865"/>
    <s v="D449"/>
    <s v="USPU 122826-3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CZ"/>
    <n v="1"/>
    <n v="465"/>
    <m/>
    <m/>
    <n v="67865"/>
    <s v="D449"/>
    <s v="USPU 122845-3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DA"/>
    <n v="1"/>
    <n v="465"/>
    <m/>
    <m/>
    <n v="67865"/>
    <s v="D449"/>
    <s v="USPU 130007-5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DB"/>
    <n v="1"/>
    <n v="172.5"/>
    <m/>
    <m/>
    <n v="68161"/>
    <s v="D344"/>
    <s v="EXFU 060495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C"/>
    <n v="1"/>
    <n v="172.5"/>
    <m/>
    <m/>
    <n v="76024"/>
    <s v="D383"/>
    <s v="EXXU 999065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D"/>
    <n v="1"/>
    <n v="172.5"/>
    <m/>
    <m/>
    <n v="76024"/>
    <s v="D383"/>
    <s v="EXXU 999066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E"/>
    <n v="1"/>
    <n v="172.5"/>
    <m/>
    <m/>
    <n v="76833"/>
    <s v="D438"/>
    <s v="TRLU 021064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F"/>
    <n v="1"/>
    <n v="172.5"/>
    <m/>
    <m/>
    <n v="76833"/>
    <s v="D438"/>
    <s v="TRLU 021150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G"/>
    <n v="1"/>
    <n v="172.5"/>
    <m/>
    <m/>
    <n v="76833"/>
    <s v="D229"/>
    <s v="EXFU 053761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H"/>
    <n v="1"/>
    <n v="172.5"/>
    <m/>
    <m/>
    <n v="76833"/>
    <s v="D438"/>
    <s v="EXFU 821665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I"/>
    <n v="1"/>
    <n v="172.5"/>
    <m/>
    <m/>
    <n v="76833"/>
    <s v="D438"/>
    <s v="USPU 122768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J"/>
    <n v="1"/>
    <n v="172.5"/>
    <m/>
    <m/>
    <n v="82624"/>
    <s v="D407"/>
    <s v="EXFU 051625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K"/>
    <n v="1"/>
    <n v="172.5"/>
    <m/>
    <m/>
    <n v="85175"/>
    <s v="D021"/>
    <s v="EXFU 05990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L"/>
    <n v="1"/>
    <n v="172.5"/>
    <m/>
    <m/>
    <n v="85175"/>
    <s v="D021"/>
    <s v="EXFU 821673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M"/>
    <n v="1"/>
    <n v="172.5"/>
    <m/>
    <m/>
    <n v="85175"/>
    <s v="D021"/>
    <s v="EXFU 821680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N"/>
    <n v="1"/>
    <n v="172.5"/>
    <m/>
    <m/>
    <n v="91295"/>
    <s v="D284"/>
    <s v="TPTU 820535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O"/>
    <n v="1"/>
    <n v="172.5"/>
    <m/>
    <m/>
    <n v="91295"/>
    <s v="D284"/>
    <s v="TPTU 820555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P"/>
    <n v="1"/>
    <n v="172.5"/>
    <m/>
    <m/>
    <n v="91295"/>
    <s v="D284"/>
    <s v="TPTU 820656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Q"/>
    <n v="1"/>
    <n v="172.5"/>
    <m/>
    <m/>
    <n v="91295"/>
    <s v="D284"/>
    <s v="TRLU 021046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R"/>
    <n v="1"/>
    <n v="172.5"/>
    <m/>
    <m/>
    <n v="91295"/>
    <s v="D284"/>
    <s v="TRLU 02135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S"/>
    <n v="1"/>
    <n v="172.5"/>
    <m/>
    <m/>
    <n v="91295"/>
    <s v="D284"/>
    <s v="TRLU 021383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T"/>
    <n v="1"/>
    <n v="172.5"/>
    <m/>
    <m/>
    <n v="91295"/>
    <s v="D284"/>
    <s v="TRLU 021386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U"/>
    <n v="1"/>
    <n v="172.5"/>
    <m/>
    <m/>
    <n v="91295"/>
    <s v="D284"/>
    <s v="TOLU 947047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V"/>
    <n v="1"/>
    <n v="172.5"/>
    <m/>
    <m/>
    <n v="91295"/>
    <s v="D284"/>
    <s v="TOLU 947269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W"/>
    <n v="1"/>
    <n v="172.5"/>
    <m/>
    <m/>
    <n v="91295"/>
    <s v="D284"/>
    <s v="TPMU 141048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X"/>
    <n v="1"/>
    <n v="172.5"/>
    <m/>
    <m/>
    <n v="91295"/>
    <s v="D284"/>
    <s v="TPMU 161271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Y"/>
    <n v="1"/>
    <n v="172.5"/>
    <m/>
    <m/>
    <n v="91295"/>
    <s v="D284"/>
    <s v="TRLU 021697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DZ"/>
    <n v="1"/>
    <n v="172.5"/>
    <m/>
    <m/>
    <n v="91295"/>
    <s v="D284"/>
    <s v="TRLU 021967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A"/>
    <n v="1"/>
    <n v="172.5"/>
    <m/>
    <m/>
    <n v="91295"/>
    <s v="D284"/>
    <s v="TRLU 02218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B"/>
    <n v="1"/>
    <n v="172.5"/>
    <m/>
    <m/>
    <n v="91295"/>
    <s v="D284"/>
    <s v="TRLU 025699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C"/>
    <n v="1"/>
    <n v="172.5"/>
    <m/>
    <m/>
    <n v="91295"/>
    <s v="D284"/>
    <s v="EXFU 050203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D"/>
    <n v="1"/>
    <n v="172.5"/>
    <m/>
    <m/>
    <n v="91295"/>
    <s v="D284"/>
    <s v="EXFU 050743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E"/>
    <n v="1"/>
    <n v="172.5"/>
    <m/>
    <m/>
    <n v="91295"/>
    <s v="D284"/>
    <s v="EXFU 053749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F"/>
    <n v="1"/>
    <n v="172.5"/>
    <m/>
    <m/>
    <n v="91295"/>
    <s v="D284"/>
    <s v="EXFU 05378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G"/>
    <n v="1"/>
    <n v="172.5"/>
    <m/>
    <m/>
    <n v="91295"/>
    <s v="D284"/>
    <s v="EXFU 051900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H"/>
    <n v="1"/>
    <n v="172.5"/>
    <m/>
    <m/>
    <n v="91295"/>
    <s v="D284"/>
    <s v="EXFU 052731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I"/>
    <n v="1"/>
    <n v="172.5"/>
    <m/>
    <m/>
    <n v="91295"/>
    <s v="D284"/>
    <s v="EXFU 052733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J"/>
    <n v="1"/>
    <n v="172.5"/>
    <m/>
    <m/>
    <n v="91295"/>
    <s v="D284"/>
    <s v="EXFU 059953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K"/>
    <n v="1"/>
    <n v="172.5"/>
    <m/>
    <m/>
    <n v="91295"/>
    <s v="D284"/>
    <s v="EXFU 060728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L"/>
    <n v="1"/>
    <n v="172.5"/>
    <m/>
    <m/>
    <n v="91295"/>
    <s v="D284"/>
    <s v="EXFU 061365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M"/>
    <n v="1"/>
    <n v="172.5"/>
    <m/>
    <m/>
    <n v="91295"/>
    <s v="D284"/>
    <s v="EXFU 061369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N"/>
    <n v="1"/>
    <n v="172.5"/>
    <m/>
    <m/>
    <n v="91295"/>
    <s v="D284"/>
    <s v="EXFU 188026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O"/>
    <n v="1"/>
    <n v="172.5"/>
    <m/>
    <m/>
    <n v="91295"/>
    <s v="D284"/>
    <s v="EXFU 059901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P"/>
    <n v="1"/>
    <n v="172.5"/>
    <m/>
    <m/>
    <n v="91295"/>
    <s v="D284"/>
    <s v="EXFU 059909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Q"/>
    <n v="1"/>
    <n v="172.5"/>
    <m/>
    <m/>
    <n v="91295"/>
    <s v="D284"/>
    <s v="EXFU 059912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R"/>
    <n v="1"/>
    <n v="172.5"/>
    <m/>
    <m/>
    <n v="91295"/>
    <s v="D284"/>
    <s v="EXFU 810745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S"/>
    <n v="1"/>
    <n v="172.5"/>
    <m/>
    <m/>
    <n v="91295"/>
    <s v="D284"/>
    <s v="EXFU 81075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T"/>
    <n v="1"/>
    <n v="172.5"/>
    <m/>
    <m/>
    <n v="91295"/>
    <s v="D284"/>
    <s v="EXFU 82086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U"/>
    <n v="1"/>
    <n v="172.5"/>
    <m/>
    <m/>
    <n v="91295"/>
    <s v="D284"/>
    <s v="EXFU 821664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V"/>
    <n v="1"/>
    <n v="172.5"/>
    <m/>
    <m/>
    <n v="91295"/>
    <s v="D284"/>
    <s v="EXFU 821679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W"/>
    <n v="1"/>
    <n v="172.5"/>
    <m/>
    <m/>
    <n v="91295"/>
    <s v="D284"/>
    <s v="EXFU 821684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X"/>
    <n v="1"/>
    <n v="172.5"/>
    <m/>
    <m/>
    <n v="91295"/>
    <s v="D284"/>
    <s v="TRLU 050388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Y"/>
    <n v="1"/>
    <n v="172.5"/>
    <m/>
    <m/>
    <n v="91295"/>
    <s v="D284"/>
    <s v="USPU 122108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EZ"/>
    <n v="1"/>
    <n v="172.5"/>
    <m/>
    <m/>
    <n v="91295"/>
    <s v="D284"/>
    <s v="USPU 122488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A"/>
    <n v="1"/>
    <n v="172.5"/>
    <m/>
    <m/>
    <n v="91295"/>
    <s v="D284"/>
    <s v="USPU 122595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B"/>
    <n v="1"/>
    <n v="172.5"/>
    <m/>
    <m/>
    <n v="91295"/>
    <s v="D284"/>
    <s v="USPU 12260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C"/>
    <n v="1"/>
    <n v="172.5"/>
    <m/>
    <m/>
    <n v="91295"/>
    <s v="D284"/>
    <s v="USPU 122657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D"/>
    <n v="1"/>
    <n v="172.5"/>
    <m/>
    <m/>
    <n v="91295"/>
    <s v="D284"/>
    <s v="USPU 122703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E"/>
    <n v="1"/>
    <n v="172.5"/>
    <m/>
    <m/>
    <n v="91295"/>
    <s v="D284"/>
    <s v="USPU 122844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F"/>
    <n v="1"/>
    <n v="172.5"/>
    <m/>
    <m/>
    <n v="91295"/>
    <s v="D284"/>
    <s v="USPU 122878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G"/>
    <n v="1"/>
    <n v="172.5"/>
    <m/>
    <m/>
    <n v="91295"/>
    <s v="D284"/>
    <s v="USPU 123700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H"/>
    <n v="1"/>
    <n v="172.5"/>
    <m/>
    <m/>
    <n v="91295"/>
    <s v="D284"/>
    <s v="USPU 124122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I"/>
    <n v="1"/>
    <n v="172.5"/>
    <m/>
    <m/>
    <n v="91295"/>
    <s v="D284"/>
    <s v="USPU 124180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J"/>
    <n v="1"/>
    <n v="172.5"/>
    <m/>
    <m/>
    <n v="91295"/>
    <s v="D284"/>
    <s v="USPU 124298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K"/>
    <n v="1"/>
    <n v="172.5"/>
    <m/>
    <m/>
    <n v="91295"/>
    <s v="D284"/>
    <s v="USPU 124341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L"/>
    <n v="1"/>
    <n v="172.5"/>
    <m/>
    <m/>
    <n v="91295"/>
    <s v="D284"/>
    <s v="USPU 124343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M"/>
    <n v="1"/>
    <n v="172.5"/>
    <m/>
    <m/>
    <n v="91295"/>
    <s v="D284"/>
    <s v="USPU 124560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N"/>
    <n v="1"/>
    <n v="172.5"/>
    <m/>
    <m/>
    <n v="92676"/>
    <s v="D243"/>
    <s v="USPU 121097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O"/>
    <n v="1"/>
    <n v="172.5"/>
    <m/>
    <m/>
    <n v="94783"/>
    <s v="D284"/>
    <s v="EXFU 999165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P"/>
    <n v="1"/>
    <n v="172.5"/>
    <m/>
    <m/>
    <n v="115229"/>
    <s v="D449"/>
    <s v="EXFU 060502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Q"/>
    <n v="1"/>
    <n v="172.5"/>
    <m/>
    <m/>
    <n v="140140"/>
    <s v="D674"/>
    <s v="EXFU 052605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R"/>
    <n v="1"/>
    <n v="172.5"/>
    <m/>
    <m/>
    <n v="140140"/>
    <s v="D674"/>
    <s v="USPU 12410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S"/>
    <n v="1"/>
    <n v="465"/>
    <m/>
    <m/>
    <n v="142910"/>
    <s v="D182"/>
    <s v="EXFU 860054-7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FT"/>
    <n v="1"/>
    <n v="172.5"/>
    <m/>
    <m/>
    <n v="148833"/>
    <s v="D292"/>
    <s v="EXFU 059954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U"/>
    <n v="1"/>
    <n v="172.5"/>
    <m/>
    <m/>
    <n v="148833"/>
    <s v="D292"/>
    <s v="EXFU 059904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V"/>
    <n v="1"/>
    <n v="172.5"/>
    <m/>
    <m/>
    <n v="148833"/>
    <s v="D292"/>
    <s v="EXFU 05990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W"/>
    <n v="1"/>
    <n v="172.5"/>
    <m/>
    <m/>
    <n v="148833"/>
    <s v="D292"/>
    <s v="EXFU 821685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X"/>
    <n v="1"/>
    <n v="172.5"/>
    <m/>
    <m/>
    <n v="148833"/>
    <s v="D292"/>
    <s v="USPU 122545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Y"/>
    <n v="1"/>
    <n v="172.5"/>
    <m/>
    <m/>
    <n v="148833"/>
    <s v="D292"/>
    <s v="USPU 122648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FZ"/>
    <n v="1"/>
    <n v="172.5"/>
    <m/>
    <m/>
    <n v="162604"/>
    <s v="D292"/>
    <s v="EXFU 052743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A"/>
    <n v="1"/>
    <n v="172.5"/>
    <m/>
    <m/>
    <n v="165685"/>
    <s v="D227"/>
    <s v="USPU 122409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B"/>
    <n v="1"/>
    <n v="172.5"/>
    <m/>
    <m/>
    <n v="172041"/>
    <s v="D668"/>
    <s v="TRLU 022164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C"/>
    <n v="1"/>
    <n v="172.5"/>
    <m/>
    <m/>
    <n v="172041"/>
    <s v="D668"/>
    <s v="EXFU 060505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D"/>
    <n v="1"/>
    <n v="172.5"/>
    <m/>
    <m/>
    <n v="172259"/>
    <s v="D214"/>
    <s v="TPTU 820668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E"/>
    <n v="1"/>
    <n v="172.5"/>
    <m/>
    <m/>
    <n v="172259"/>
    <s v="D214"/>
    <s v="TPTU 840100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F"/>
    <n v="1"/>
    <n v="172.5"/>
    <m/>
    <m/>
    <n v="172259"/>
    <s v="D214"/>
    <s v="TPTU 840118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G"/>
    <n v="1"/>
    <n v="172.5"/>
    <m/>
    <m/>
    <n v="172259"/>
    <s v="D214"/>
    <s v="TPTU 840260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H"/>
    <n v="1"/>
    <n v="172.5"/>
    <m/>
    <m/>
    <n v="172259"/>
    <s v="D214"/>
    <s v="TPTU 851238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I"/>
    <n v="1"/>
    <n v="172.5"/>
    <m/>
    <m/>
    <n v="172259"/>
    <s v="D214"/>
    <s v="TPTU 851597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J"/>
    <n v="1"/>
    <n v="172.5"/>
    <m/>
    <m/>
    <n v="172259"/>
    <s v="D214"/>
    <s v="TPTU 85181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K"/>
    <n v="1"/>
    <n v="172.5"/>
    <m/>
    <m/>
    <n v="172259"/>
    <s v="D214"/>
    <s v="TPTU 872683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L"/>
    <n v="1"/>
    <n v="172.5"/>
    <m/>
    <m/>
    <n v="172259"/>
    <s v="D214"/>
    <s v="TRLU 021257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M"/>
    <n v="1"/>
    <n v="172.5"/>
    <m/>
    <m/>
    <n v="172259"/>
    <s v="D214"/>
    <s v="TRLU 02137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N"/>
    <n v="1"/>
    <n v="172.5"/>
    <m/>
    <m/>
    <n v="172259"/>
    <s v="D214"/>
    <s v="TRLU 021394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O"/>
    <n v="1"/>
    <n v="172.5"/>
    <m/>
    <m/>
    <n v="172259"/>
    <s v="D214"/>
    <s v="EXXU 99811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P"/>
    <n v="1"/>
    <n v="172.5"/>
    <m/>
    <m/>
    <n v="172259"/>
    <s v="D214"/>
    <s v="TOLU 947358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Q"/>
    <n v="1"/>
    <n v="172.5"/>
    <m/>
    <m/>
    <n v="172259"/>
    <s v="D214"/>
    <s v="TRLU 021650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R"/>
    <n v="1"/>
    <n v="172.5"/>
    <m/>
    <m/>
    <n v="172259"/>
    <s v="D214"/>
    <s v="TRLU 021722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S"/>
    <n v="1"/>
    <n v="172.5"/>
    <m/>
    <m/>
    <n v="172259"/>
    <s v="D214"/>
    <s v="TRLU 021916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T"/>
    <n v="1"/>
    <n v="172.5"/>
    <m/>
    <m/>
    <n v="172259"/>
    <s v="D214"/>
    <s v="TRLU 021965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U"/>
    <n v="1"/>
    <n v="172.5"/>
    <m/>
    <m/>
    <n v="172259"/>
    <s v="D214"/>
    <s v="TRLU 022076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V"/>
    <n v="1"/>
    <n v="172.5"/>
    <m/>
    <m/>
    <n v="172259"/>
    <s v="D214"/>
    <s v="TRLU 022188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W"/>
    <n v="1"/>
    <n v="172.5"/>
    <m/>
    <m/>
    <n v="172259"/>
    <s v="D214"/>
    <s v="TRLU 022324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X"/>
    <n v="1"/>
    <n v="172.5"/>
    <m/>
    <m/>
    <n v="172259"/>
    <s v="D214"/>
    <s v="TRLU 022372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Y"/>
    <n v="1"/>
    <n v="172.5"/>
    <m/>
    <m/>
    <n v="172259"/>
    <s v="D214"/>
    <s v="TRLU 023726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GZ"/>
    <n v="1"/>
    <n v="172.5"/>
    <m/>
    <m/>
    <n v="172259"/>
    <s v="D214"/>
    <s v="TRLU 025393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A"/>
    <n v="1"/>
    <n v="172.5"/>
    <m/>
    <m/>
    <n v="172259"/>
    <s v="D214"/>
    <s v="EXFU 050205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B"/>
    <n v="1"/>
    <n v="172.5"/>
    <m/>
    <m/>
    <n v="172259"/>
    <s v="D214"/>
    <s v="EXFU 051605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C"/>
    <n v="1"/>
    <n v="172.5"/>
    <m/>
    <m/>
    <n v="172259"/>
    <s v="D214"/>
    <s v="EXFU 051606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D"/>
    <n v="1"/>
    <n v="172.5"/>
    <m/>
    <m/>
    <n v="172259"/>
    <s v="D214"/>
    <s v="EXFU 051614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E"/>
    <n v="1"/>
    <n v="172.5"/>
    <m/>
    <m/>
    <n v="172259"/>
    <s v="D214"/>
    <s v="EXFU 051618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F"/>
    <n v="1"/>
    <n v="172.5"/>
    <m/>
    <m/>
    <n v="172259"/>
    <s v="D214"/>
    <s v="EXFU 051622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G"/>
    <n v="1"/>
    <n v="172.5"/>
    <m/>
    <m/>
    <n v="172259"/>
    <s v="D214"/>
    <s v="EXFU 051666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H"/>
    <n v="1"/>
    <n v="172.5"/>
    <m/>
    <m/>
    <n v="172259"/>
    <s v="D214"/>
    <s v="EXFU 051951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I"/>
    <n v="1"/>
    <n v="172.5"/>
    <m/>
    <m/>
    <n v="172259"/>
    <s v="D214"/>
    <s v="EXFU 05197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J"/>
    <n v="1"/>
    <n v="172.5"/>
    <m/>
    <m/>
    <n v="172259"/>
    <s v="D214"/>
    <s v="EXFU 052068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K"/>
    <n v="1"/>
    <n v="172.5"/>
    <m/>
    <m/>
    <n v="172259"/>
    <s v="D214"/>
    <s v="EXFU 05212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L"/>
    <n v="1"/>
    <n v="172.5"/>
    <m/>
    <m/>
    <n v="172259"/>
    <s v="D214"/>
    <s v="EXFU 052173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M"/>
    <n v="1"/>
    <n v="172.5"/>
    <m/>
    <m/>
    <n v="172259"/>
    <s v="D214"/>
    <s v="EXFU 052431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N"/>
    <n v="1"/>
    <n v="172.5"/>
    <m/>
    <m/>
    <n v="172259"/>
    <s v="D214"/>
    <s v="EXFU 052568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O"/>
    <n v="1"/>
    <n v="172.5"/>
    <m/>
    <m/>
    <n v="172259"/>
    <s v="D214"/>
    <s v="EXFU 052582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P"/>
    <n v="1"/>
    <n v="172.5"/>
    <m/>
    <m/>
    <n v="172259"/>
    <s v="D214"/>
    <s v="EXFU 052595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Q"/>
    <n v="1"/>
    <n v="172.5"/>
    <m/>
    <m/>
    <n v="172259"/>
    <s v="D214"/>
    <s v="EXFU 05260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R"/>
    <n v="1"/>
    <n v="172.5"/>
    <m/>
    <m/>
    <n v="172259"/>
    <s v="D214"/>
    <s v="EXFU 052742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S"/>
    <n v="1"/>
    <n v="172.5"/>
    <m/>
    <m/>
    <n v="172259"/>
    <s v="D214"/>
    <s v="EXFU 053131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T"/>
    <n v="1"/>
    <n v="172.5"/>
    <m/>
    <m/>
    <n v="172259"/>
    <s v="D214"/>
    <s v="EXFU 053280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U"/>
    <n v="1"/>
    <n v="172.5"/>
    <m/>
    <m/>
    <n v="172259"/>
    <s v="D214"/>
    <s v="EXFU 053600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V"/>
    <n v="1"/>
    <n v="172.5"/>
    <m/>
    <m/>
    <n v="172259"/>
    <s v="D214"/>
    <s v="EXFU 05378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W"/>
    <n v="1"/>
    <n v="172.5"/>
    <m/>
    <m/>
    <n v="172259"/>
    <s v="D214"/>
    <s v="EXFU 05391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X"/>
    <n v="1"/>
    <n v="172.5"/>
    <m/>
    <m/>
    <n v="172259"/>
    <s v="D214"/>
    <s v="EXFU 053927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Y"/>
    <n v="1"/>
    <n v="172.5"/>
    <m/>
    <m/>
    <n v="172259"/>
    <s v="D214"/>
    <s v="EXFU 053934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HZ"/>
    <n v="1"/>
    <n v="172.5"/>
    <m/>
    <m/>
    <n v="172259"/>
    <s v="D214"/>
    <s v="EXFU 05397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IA"/>
    <n v="1"/>
    <n v="172.5"/>
    <m/>
    <m/>
    <n v="172259"/>
    <s v="D214"/>
    <s v="EXFU 051847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IB"/>
    <n v="1"/>
    <n v="172.5"/>
    <m/>
    <m/>
    <n v="172259"/>
    <s v="D214"/>
    <s v="EXFU 057794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IC"/>
    <n v="1"/>
    <n v="172.5"/>
    <m/>
    <m/>
    <n v="172259"/>
    <s v="D214"/>
    <s v="EXFU 05807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ID"/>
    <n v="1"/>
    <n v="172.5"/>
    <m/>
    <m/>
    <n v="172259"/>
    <s v="D214"/>
    <s v="EXFU 820899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IE"/>
    <n v="1"/>
    <n v="465"/>
    <m/>
    <m/>
    <n v="172259"/>
    <s v="D214"/>
    <s v="TRLU 860426-2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IF"/>
    <n v="1"/>
    <n v="465"/>
    <m/>
    <m/>
    <n v="172259"/>
    <s v="D214"/>
    <s v="TRLU 860428-3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IG"/>
    <n v="1"/>
    <n v="465"/>
    <m/>
    <m/>
    <n v="172259"/>
    <s v="D214"/>
    <s v="TRLU 860436-5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5"/>
    <s v="CC"/>
    <s v="IH"/>
    <n v="1"/>
    <n v="172.5"/>
    <m/>
    <m/>
    <n v="172259"/>
    <s v="D214"/>
    <s v="TRLU 050491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I"/>
    <n v="16"/>
    <n v="172.5"/>
    <m/>
    <m/>
    <n v="55031"/>
    <s v="D058"/>
    <s v="EXFU 05191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J"/>
    <n v="16"/>
    <n v="172.5"/>
    <m/>
    <m/>
    <n v="55031"/>
    <s v="D058"/>
    <s v="EXFU 051439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K"/>
    <n v="16"/>
    <n v="172.5"/>
    <m/>
    <m/>
    <n v="55245"/>
    <s v="D058"/>
    <s v="ICSU 028689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L"/>
    <n v="16"/>
    <n v="172.5"/>
    <m/>
    <m/>
    <n v="55245"/>
    <s v="D058"/>
    <s v="TPMU 151357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M"/>
    <n v="16"/>
    <n v="172.5"/>
    <m/>
    <m/>
    <n v="55245"/>
    <s v="D058"/>
    <s v="TPMU 351279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N"/>
    <n v="16"/>
    <n v="172.5"/>
    <m/>
    <m/>
    <n v="55245"/>
    <s v="D058"/>
    <s v="TPMU 351548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O"/>
    <n v="16"/>
    <n v="172.5"/>
    <m/>
    <m/>
    <n v="55245"/>
    <s v="D058"/>
    <s v="TPMU 351758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P"/>
    <n v="16"/>
    <n v="172.5"/>
    <m/>
    <m/>
    <n v="55245"/>
    <s v="D058"/>
    <s v="TPMU 351997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Q"/>
    <n v="16"/>
    <n v="172.5"/>
    <m/>
    <m/>
    <n v="55256"/>
    <s v="D777"/>
    <s v="EXFU 051619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R"/>
    <n v="16"/>
    <n v="172.5"/>
    <m/>
    <m/>
    <n v="55314"/>
    <s v="D059"/>
    <s v="USPU 121162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S"/>
    <n v="16"/>
    <n v="172.5"/>
    <m/>
    <m/>
    <n v="55322"/>
    <s v="D059"/>
    <s v="TOLU 942347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T"/>
    <n v="16"/>
    <n v="172.5"/>
    <m/>
    <m/>
    <n v="55322"/>
    <s v="D059"/>
    <s v="USPU 12123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U"/>
    <n v="16"/>
    <n v="172.5"/>
    <m/>
    <m/>
    <n v="55322"/>
    <s v="D059"/>
    <s v="USPU 122311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V"/>
    <n v="16"/>
    <n v="172.5"/>
    <m/>
    <m/>
    <n v="55322"/>
    <s v="D059"/>
    <s v="USPU 12104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W"/>
    <n v="16"/>
    <n v="172.5"/>
    <m/>
    <m/>
    <n v="55327"/>
    <s v="D059"/>
    <s v="EXXU 999069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X"/>
    <n v="16"/>
    <n v="172.5"/>
    <m/>
    <m/>
    <n v="55327"/>
    <s v="D059"/>
    <s v="EXXU 999070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Y"/>
    <n v="16"/>
    <n v="172.5"/>
    <m/>
    <m/>
    <n v="55327"/>
    <s v="D059"/>
    <s v="EXFU 187504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MZ"/>
    <n v="16"/>
    <n v="172.5"/>
    <m/>
    <m/>
    <n v="56656"/>
    <s v="D058"/>
    <s v="EXFU 052730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A"/>
    <n v="16"/>
    <n v="172.5"/>
    <m/>
    <m/>
    <n v="56656"/>
    <s v="D058"/>
    <s v="EXFU 052735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B"/>
    <n v="16"/>
    <n v="172.5"/>
    <m/>
    <m/>
    <n v="56660"/>
    <s v="D058"/>
    <s v="ICSU 028852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C"/>
    <n v="16"/>
    <n v="172.5"/>
    <m/>
    <m/>
    <n v="82223"/>
    <s v="D215"/>
    <s v="TRLU 022353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D"/>
    <n v="16"/>
    <n v="172.5"/>
    <m/>
    <m/>
    <n v="82227"/>
    <s v="D215"/>
    <s v="TRLU 024778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E"/>
    <n v="16"/>
    <n v="172.5"/>
    <m/>
    <m/>
    <n v="82227"/>
    <s v="D215"/>
    <s v="EXFU 051903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P"/>
    <n v="2000"/>
    <n v="420"/>
    <m/>
    <m/>
    <n v="36784"/>
    <s v="D669"/>
    <s v="TPMU 631003-7"/>
    <s v="Rental"/>
    <x v="7"/>
    <d v="2018-07-01T00:00:00"/>
    <d v="2018-06-28T00:00:00"/>
    <n v="420"/>
    <d v="2018-07-09T00:00:00"/>
    <n v="0"/>
    <s v="Less than 30 days"/>
    <s v="DHMXX"/>
    <x v="0"/>
    <s v="Invoice"/>
  </r>
  <r>
    <x v="15"/>
    <s v="CC"/>
    <s v="NQ"/>
    <n v="2000"/>
    <n v="420"/>
    <m/>
    <m/>
    <n v="36784"/>
    <s v="D669"/>
    <s v="TRLU 175035-2"/>
    <s v="Rental"/>
    <x v="7"/>
    <d v="2018-07-01T00:00:00"/>
    <d v="2018-06-28T00:00:00"/>
    <n v="420"/>
    <d v="2018-07-09T00:00:00"/>
    <n v="0"/>
    <s v="Less than 30 days"/>
    <s v="DHMXX"/>
    <x v="0"/>
    <s v="Invoice"/>
  </r>
  <r>
    <x v="15"/>
    <s v="CC"/>
    <s v="NR"/>
    <n v="2000"/>
    <n v="420"/>
    <m/>
    <m/>
    <n v="36784"/>
    <s v="D669"/>
    <s v="TRLU 175064-5"/>
    <s v="Rental"/>
    <x v="7"/>
    <d v="2018-07-01T00:00:00"/>
    <d v="2018-06-28T00:00:00"/>
    <n v="420"/>
    <d v="2018-07-09T00:00:00"/>
    <n v="0"/>
    <s v="Less than 30 days"/>
    <s v="DHMXX"/>
    <x v="0"/>
    <s v="Invoice"/>
  </r>
  <r>
    <x v="15"/>
    <s v="CC"/>
    <s v="NS"/>
    <n v="2000"/>
    <n v="172.5"/>
    <m/>
    <m/>
    <n v="36989"/>
    <s v="D688"/>
    <s v="EXFU 057571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T"/>
    <n v="2000"/>
    <n v="172.5"/>
    <m/>
    <m/>
    <n v="36989"/>
    <s v="D688"/>
    <s v="EXFU 05757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U"/>
    <n v="2000"/>
    <n v="172.5"/>
    <m/>
    <m/>
    <n v="36992"/>
    <s v="D688"/>
    <s v="SNIU 12350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V"/>
    <n v="2000"/>
    <n v="172.5"/>
    <m/>
    <m/>
    <n v="36992"/>
    <s v="D688"/>
    <s v="TRLU 025263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W"/>
    <n v="2000"/>
    <n v="172.5"/>
    <m/>
    <m/>
    <n v="36992"/>
    <s v="D688"/>
    <s v="TRLU 026455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X"/>
    <n v="2000"/>
    <n v="172.5"/>
    <m/>
    <m/>
    <n v="36992"/>
    <s v="D688"/>
    <s v="EXFU 053290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Y"/>
    <n v="2000"/>
    <n v="172.5"/>
    <m/>
    <m/>
    <n v="36992"/>
    <s v="D688"/>
    <s v="EXFU 05509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NZ"/>
    <n v="2000"/>
    <n v="172.5"/>
    <m/>
    <m/>
    <n v="36992"/>
    <s v="D688"/>
    <s v="EXFU 062454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A"/>
    <n v="2000"/>
    <n v="172.5"/>
    <m/>
    <m/>
    <n v="36992"/>
    <s v="D688"/>
    <s v="EXFU 062455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B"/>
    <n v="2000"/>
    <n v="172.5"/>
    <m/>
    <m/>
    <n v="36992"/>
    <s v="D688"/>
    <s v="EXFU 062463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C"/>
    <n v="2000"/>
    <n v="172.5"/>
    <m/>
    <m/>
    <n v="36992"/>
    <s v="D688"/>
    <s v="EXFU 380307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D"/>
    <n v="2000"/>
    <n v="172.5"/>
    <m/>
    <m/>
    <n v="36992"/>
    <s v="D688"/>
    <s v="USPU 124673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E"/>
    <n v="2000"/>
    <n v="172.5"/>
    <m/>
    <m/>
    <n v="36997"/>
    <s v="D638"/>
    <s v="TRLU 021502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F"/>
    <n v="2000"/>
    <n v="172.5"/>
    <m/>
    <m/>
    <n v="36997"/>
    <s v="D638"/>
    <s v="ICSU 028339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G"/>
    <n v="2000"/>
    <n v="172.5"/>
    <m/>
    <m/>
    <n v="36997"/>
    <s v="D688"/>
    <s v="EXFU 052123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H"/>
    <n v="2000"/>
    <n v="172.5"/>
    <m/>
    <m/>
    <n v="36997"/>
    <s v="D638"/>
    <s v="EXFU 053769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I"/>
    <n v="2000"/>
    <n v="172.5"/>
    <m/>
    <m/>
    <n v="36997"/>
    <s v="D688"/>
    <s v="EXFU 060719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J"/>
    <n v="2000"/>
    <n v="172.5"/>
    <m/>
    <m/>
    <n v="36997"/>
    <s v="D688"/>
    <s v="EXFU 060723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K"/>
    <n v="2000"/>
    <n v="172.5"/>
    <m/>
    <m/>
    <n v="36997"/>
    <s v="D688"/>
    <s v="EXFU 060730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L"/>
    <n v="2000"/>
    <n v="172.5"/>
    <m/>
    <m/>
    <n v="36997"/>
    <s v="D638"/>
    <s v="EXFU 060761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M"/>
    <n v="2000"/>
    <n v="172.5"/>
    <m/>
    <m/>
    <n v="36997"/>
    <s v="D688"/>
    <s v="EXFU 060762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N"/>
    <n v="2000"/>
    <n v="172.5"/>
    <m/>
    <m/>
    <n v="36997"/>
    <s v="D688"/>
    <s v="EXFU 059899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O"/>
    <n v="2000"/>
    <n v="172.5"/>
    <m/>
    <m/>
    <n v="36997"/>
    <s v="D638"/>
    <s v="EXFU 81063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P"/>
    <n v="2000"/>
    <n v="172.5"/>
    <m/>
    <m/>
    <n v="36997"/>
    <s v="D638"/>
    <s v="EXFU 821672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Q"/>
    <n v="2000"/>
    <n v="172.5"/>
    <m/>
    <m/>
    <n v="36997"/>
    <s v="D638"/>
    <s v="EXFU 822054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R"/>
    <n v="2000"/>
    <n v="172.5"/>
    <m/>
    <m/>
    <n v="36997"/>
    <s v="D638"/>
    <s v="EXFU 822056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S"/>
    <n v="2000"/>
    <n v="172.5"/>
    <m/>
    <m/>
    <n v="37463"/>
    <s v="D804"/>
    <s v="TRLU 021235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T"/>
    <n v="2000"/>
    <n v="172.5"/>
    <m/>
    <m/>
    <n v="37463"/>
    <s v="D804"/>
    <s v="TOLU 916111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U"/>
    <n v="2000"/>
    <n v="172.5"/>
    <m/>
    <m/>
    <n v="37463"/>
    <s v="D804"/>
    <s v="TRLU 021799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V"/>
    <n v="2000"/>
    <n v="172.5"/>
    <m/>
    <m/>
    <n v="37463"/>
    <s v="D804"/>
    <s v="TRLU 021935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W"/>
    <n v="2000"/>
    <n v="172.5"/>
    <m/>
    <m/>
    <n v="37463"/>
    <s v="D804"/>
    <s v="TRLU 021937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X"/>
    <n v="2000"/>
    <n v="172.5"/>
    <m/>
    <m/>
    <n v="37463"/>
    <s v="D804"/>
    <s v="TRLU 022196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Y"/>
    <n v="2000"/>
    <n v="172.5"/>
    <m/>
    <m/>
    <n v="37463"/>
    <s v="D804"/>
    <s v="TRLU 022198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OZ"/>
    <n v="2000"/>
    <n v="172.5"/>
    <m/>
    <m/>
    <n v="37463"/>
    <s v="D804"/>
    <s v="TRLU 022200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A"/>
    <n v="2000"/>
    <n v="172.5"/>
    <m/>
    <m/>
    <n v="37463"/>
    <s v="D804"/>
    <s v="TRLU 022229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B"/>
    <n v="2000"/>
    <n v="172.5"/>
    <m/>
    <m/>
    <n v="37463"/>
    <s v="D804"/>
    <s v="TRLU 022234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C"/>
    <n v="2000"/>
    <n v="172.5"/>
    <m/>
    <m/>
    <n v="37912"/>
    <s v="D638"/>
    <s v="TPTU 820589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D"/>
    <n v="2000"/>
    <n v="172.5"/>
    <m/>
    <m/>
    <n v="37912"/>
    <s v="D638"/>
    <s v="TRLU 021178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E"/>
    <n v="2000"/>
    <n v="172.5"/>
    <m/>
    <m/>
    <n v="37912"/>
    <s v="D638"/>
    <s v="TRLU 021742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F"/>
    <n v="2000"/>
    <n v="172.5"/>
    <m/>
    <m/>
    <n v="37912"/>
    <s v="D638"/>
    <s v="TRLU 021745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G"/>
    <n v="2000"/>
    <n v="172.5"/>
    <m/>
    <m/>
    <n v="37912"/>
    <s v="D638"/>
    <s v="TRLU 021824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H"/>
    <n v="2000"/>
    <n v="172.5"/>
    <m/>
    <m/>
    <n v="37912"/>
    <s v="D638"/>
    <s v="EXFU 820866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I"/>
    <n v="2000"/>
    <n v="172.5"/>
    <m/>
    <m/>
    <n v="37912"/>
    <s v="D638"/>
    <s v="EXFU 821668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J"/>
    <n v="2000"/>
    <n v="172.5"/>
    <m/>
    <m/>
    <n v="37912"/>
    <s v="D638"/>
    <s v="EXFU 821675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K"/>
    <n v="2000"/>
    <n v="172.5"/>
    <m/>
    <m/>
    <n v="37912"/>
    <s v="D638"/>
    <s v="EXFU 821809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L"/>
    <n v="2000"/>
    <n v="172.5"/>
    <m/>
    <m/>
    <n v="37912"/>
    <s v="D638"/>
    <s v="USPU 122821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M"/>
    <n v="2000"/>
    <n v="172.5"/>
    <m/>
    <m/>
    <n v="82957"/>
    <s v="D678"/>
    <s v="TRLU 021031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N"/>
    <n v="2000"/>
    <n v="172.5"/>
    <m/>
    <m/>
    <n v="82957"/>
    <s v="D678"/>
    <s v="TPMU 161046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O"/>
    <n v="2000"/>
    <n v="172.5"/>
    <m/>
    <m/>
    <n v="82957"/>
    <s v="D678"/>
    <s v="EXFU 053801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P"/>
    <n v="2000"/>
    <n v="172.5"/>
    <m/>
    <m/>
    <n v="82957"/>
    <s v="D678"/>
    <s v="EXFU 059951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Q"/>
    <n v="2000"/>
    <n v="172.5"/>
    <m/>
    <m/>
    <n v="82957"/>
    <s v="D678"/>
    <s v="EXFU 380247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R"/>
    <n v="2000"/>
    <n v="172.5"/>
    <m/>
    <m/>
    <n v="91299"/>
    <s v="D678"/>
    <s v="TRLU 021694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S"/>
    <n v="2000"/>
    <n v="172.5"/>
    <m/>
    <m/>
    <n v="172035"/>
    <s v="B304"/>
    <s v="EXFU 055099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T"/>
    <n v="2000"/>
    <n v="172.5"/>
    <m/>
    <m/>
    <n v="172035"/>
    <s v="B304"/>
    <s v="USPU 123970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U"/>
    <n v="2000"/>
    <n v="172.5"/>
    <m/>
    <m/>
    <n v="172035"/>
    <s v="B304"/>
    <s v="USPU 124557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V"/>
    <n v="2000"/>
    <n v="172.5"/>
    <m/>
    <m/>
    <n v="182140"/>
    <s v="D210"/>
    <s v="EXFU 820832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W"/>
    <n v="2000"/>
    <n v="172.5"/>
    <m/>
    <m/>
    <n v="182140"/>
    <s v="D210"/>
    <s v="EXFU 82083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X"/>
    <n v="2000"/>
    <n v="172.5"/>
    <m/>
    <m/>
    <n v="182140"/>
    <s v="D210"/>
    <s v="EXFU 820844-9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Y"/>
    <n v="2000"/>
    <n v="172.5"/>
    <m/>
    <m/>
    <n v="182140"/>
    <s v="D210"/>
    <s v="EXFU 82088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PZ"/>
    <n v="2000"/>
    <n v="172.5"/>
    <m/>
    <m/>
    <n v="182140"/>
    <s v="D210"/>
    <s v="EXFU 821190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QA"/>
    <n v="2000"/>
    <n v="172.5"/>
    <m/>
    <m/>
    <n v="182140"/>
    <s v="D210"/>
    <s v="EXFU 82202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QB"/>
    <n v="2000"/>
    <n v="172.5"/>
    <m/>
    <m/>
    <n v="182140"/>
    <s v="D210"/>
    <s v="EXFU 82206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QC"/>
    <n v="2000"/>
    <n v="172.5"/>
    <m/>
    <m/>
    <n v="182140"/>
    <s v="D210"/>
    <s v="EXFU 822067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CC"/>
    <s v="QD"/>
    <n v="2000"/>
    <n v="172.5"/>
    <m/>
    <m/>
    <n v="182140"/>
    <s v="D210"/>
    <s v="EXFU 822091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5"/>
    <s v="RH"/>
    <s v="B"/>
    <n v="4049"/>
    <n v="172.5"/>
    <m/>
    <m/>
    <n v="104378"/>
    <s v="A255"/>
    <s v="TPTU 820579-8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15"/>
    <s v="RH"/>
    <s v="C"/>
    <n v="4049"/>
    <n v="172.5"/>
    <m/>
    <m/>
    <n v="104378"/>
    <s v="A255"/>
    <s v="EXFU 810618-0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15"/>
    <s v="RH"/>
    <s v="D"/>
    <n v="4049"/>
    <n v="172.5"/>
    <m/>
    <m/>
    <n v="104378"/>
    <s v="A255"/>
    <s v="EXFU 821435-4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15"/>
    <s v="RH"/>
    <s v="E"/>
    <n v="4049"/>
    <n v="172.5"/>
    <m/>
    <m/>
    <n v="104378"/>
    <s v="A255"/>
    <s v="EXFU 821677-9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15"/>
    <s v="RH"/>
    <s v="F"/>
    <n v="4049"/>
    <n v="172.5"/>
    <m/>
    <m/>
    <n v="104378"/>
    <s v="A255"/>
    <s v="EXFU 822012-5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15"/>
    <s v="RH"/>
    <s v="G"/>
    <n v="4049"/>
    <n v="172.5"/>
    <m/>
    <m/>
    <n v="104378"/>
    <s v="A255"/>
    <s v="TRLU 050583-3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16"/>
    <s v="SN"/>
    <s v="A"/>
    <n v="1"/>
    <n v="172.5"/>
    <n v="31943760"/>
    <m/>
    <m/>
    <m/>
    <s v="USPU 121233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B"/>
    <n v="1"/>
    <n v="172.5"/>
    <n v="31970999"/>
    <m/>
    <m/>
    <m/>
    <s v="TOLU 946527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C"/>
    <n v="1"/>
    <n v="172.5"/>
    <n v="32086652"/>
    <m/>
    <m/>
    <m/>
    <s v="EXFU 440421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D"/>
    <n v="1"/>
    <n v="172.5"/>
    <n v="32161555"/>
    <m/>
    <m/>
    <m/>
    <s v="EXFU 821683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E"/>
    <n v="1"/>
    <n v="172.5"/>
    <n v="32161555"/>
    <m/>
    <m/>
    <m/>
    <s v="TRLU 022167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F"/>
    <n v="1"/>
    <n v="172.5"/>
    <n v="32220157"/>
    <m/>
    <m/>
    <m/>
    <s v="TRLU 021562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G"/>
    <n v="1"/>
    <n v="172.5"/>
    <n v="32220157"/>
    <m/>
    <m/>
    <m/>
    <s v="TRLU 021736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SN"/>
    <s v="H"/>
    <n v="1"/>
    <n v="172.5"/>
    <n v="32361812"/>
    <m/>
    <m/>
    <m/>
    <s v="EXFU 440419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I"/>
    <n v="1"/>
    <n v="225"/>
    <m/>
    <m/>
    <n v="64179"/>
    <s v="D223"/>
    <s v="EXSZ 900802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IJ"/>
    <n v="1"/>
    <n v="225"/>
    <m/>
    <m/>
    <n v="64179"/>
    <s v="D223"/>
    <s v="EXSZ 900820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IK"/>
    <n v="1"/>
    <n v="172.5"/>
    <m/>
    <m/>
    <n v="64179"/>
    <s v="D223"/>
    <s v="EXFU 055453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L"/>
    <n v="1"/>
    <n v="172.5"/>
    <m/>
    <m/>
    <n v="64179"/>
    <s v="D223"/>
    <s v="EXFU 052705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M"/>
    <n v="1"/>
    <n v="172.5"/>
    <m/>
    <m/>
    <n v="64179"/>
    <s v="D223"/>
    <s v="SNIU 123260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N"/>
    <n v="1"/>
    <n v="172.5"/>
    <m/>
    <m/>
    <n v="64179"/>
    <s v="D223"/>
    <s v="TOLU 926071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O"/>
    <n v="1"/>
    <n v="225"/>
    <m/>
    <m/>
    <n v="64179"/>
    <s v="D223"/>
    <s v="EXSZ 900908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IP"/>
    <n v="1"/>
    <n v="225"/>
    <m/>
    <m/>
    <n v="64179"/>
    <s v="D223"/>
    <s v="EXSZ 902074-8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IQ"/>
    <n v="1"/>
    <n v="172.5"/>
    <m/>
    <m/>
    <n v="64248"/>
    <s v="D223"/>
    <s v="USPU 122571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R"/>
    <n v="1"/>
    <n v="300"/>
    <m/>
    <m/>
    <n v="64248"/>
    <s v="D223"/>
    <s v="TRLU 520016-4"/>
    <s v="Rental"/>
    <x v="7"/>
    <d v="2018-07-01T00:00:00"/>
    <d v="2018-06-28T00:00:00"/>
    <n v="300"/>
    <d v="2018-07-09T00:00:00"/>
    <n v="0"/>
    <s v="Less than 30 days"/>
    <s v="DHMXX"/>
    <x v="0"/>
    <s v="Invoice"/>
  </r>
  <r>
    <x v="16"/>
    <s v="CC"/>
    <s v="IS"/>
    <n v="1"/>
    <n v="225"/>
    <m/>
    <m/>
    <n v="64248"/>
    <s v="D223"/>
    <s v="EXSZ 900961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IT"/>
    <n v="1"/>
    <n v="225"/>
    <m/>
    <m/>
    <n v="64248"/>
    <s v="D223"/>
    <s v="EXSZ 900738-2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IU"/>
    <n v="1"/>
    <n v="172.5"/>
    <m/>
    <m/>
    <n v="64248"/>
    <s v="D223"/>
    <s v="EXFU 059915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V"/>
    <n v="1"/>
    <n v="172.5"/>
    <m/>
    <m/>
    <n v="64248"/>
    <s v="D223"/>
    <s v="EXFU 052737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W"/>
    <n v="1"/>
    <n v="172.5"/>
    <m/>
    <m/>
    <n v="64248"/>
    <s v="D223"/>
    <s v="EXFU 051902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X"/>
    <n v="1"/>
    <n v="172.5"/>
    <m/>
    <m/>
    <n v="64248"/>
    <s v="D223"/>
    <s v="EXFU 054065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Y"/>
    <n v="1"/>
    <n v="172.5"/>
    <m/>
    <m/>
    <n v="64248"/>
    <s v="D223"/>
    <s v="EXFU 054066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IZ"/>
    <n v="1"/>
    <n v="172.5"/>
    <m/>
    <m/>
    <n v="64248"/>
    <s v="D223"/>
    <s v="TRLU 021887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6"/>
    <s v="CC"/>
    <s v="JA"/>
    <n v="1"/>
    <n v="225"/>
    <m/>
    <m/>
    <n v="64248"/>
    <s v="D223"/>
    <s v="EXSZ 901423-6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JB"/>
    <n v="1"/>
    <n v="225"/>
    <m/>
    <m/>
    <n v="64248"/>
    <s v="D223"/>
    <s v="EXSZ 901661-9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6"/>
    <s v="CC"/>
    <s v="JC"/>
    <n v="1"/>
    <n v="225"/>
    <m/>
    <m/>
    <n v="64248"/>
    <s v="D223"/>
    <s v="EXSZ 901091-9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7"/>
    <s v="CC"/>
    <s v="A"/>
    <n v="1"/>
    <n v="6399.62"/>
    <m/>
    <m/>
    <n v="1274"/>
    <s v="D358"/>
    <s v="See unit #s on tab 2"/>
    <s v="Rental"/>
    <x v="7"/>
    <d v="2018-07-01T00:00:00"/>
    <d v="2018-06-28T00:00:00"/>
    <n v="6399.62"/>
    <d v="2018-07-09T00:00:00"/>
    <n v="0"/>
    <s v="Less than 30 days"/>
    <s v="DHMXX"/>
    <x v="0"/>
    <s v="Invoice"/>
  </r>
  <r>
    <x v="17"/>
    <s v="CC"/>
    <s v="B"/>
    <n v="1"/>
    <n v="213.32"/>
    <m/>
    <m/>
    <n v="2747"/>
    <s v="D186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C"/>
    <n v="1"/>
    <n v="1066.5999999999999"/>
    <m/>
    <m/>
    <n v="3825"/>
    <s v="D223"/>
    <s v="See unit #s on tab 2"/>
    <s v="Rental"/>
    <x v="7"/>
    <d v="2018-07-01T00:00:00"/>
    <d v="2018-06-28T00:00:00"/>
    <n v="1066.5999999999999"/>
    <d v="2018-07-09T00:00:00"/>
    <n v="0"/>
    <s v="Less than 30 days"/>
    <s v="DHMXX"/>
    <x v="0"/>
    <s v="Invoice"/>
  </r>
  <r>
    <x v="17"/>
    <s v="CC"/>
    <s v="D"/>
    <n v="1"/>
    <n v="213.32"/>
    <m/>
    <m/>
    <n v="8327"/>
    <s v="D243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E"/>
    <n v="1"/>
    <n v="213.32"/>
    <m/>
    <m/>
    <n v="13342"/>
    <s v="D021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F"/>
    <n v="1"/>
    <n v="426.64"/>
    <m/>
    <m/>
    <n v="54876"/>
    <s v="D182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G"/>
    <n v="1"/>
    <n v="213.32"/>
    <m/>
    <m/>
    <n v="55052"/>
    <s v="D777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H"/>
    <n v="1"/>
    <n v="639.96"/>
    <m/>
    <m/>
    <n v="55242"/>
    <s v="D777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I"/>
    <n v="1"/>
    <n v="426.64"/>
    <m/>
    <m/>
    <n v="55253"/>
    <s v="D777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J"/>
    <n v="1"/>
    <n v="1919.89"/>
    <m/>
    <m/>
    <n v="55292"/>
    <s v="D777"/>
    <s v="See unit #s on tab 2"/>
    <s v="Rental"/>
    <x v="7"/>
    <d v="2018-07-01T00:00:00"/>
    <d v="2018-06-28T00:00:00"/>
    <n v="1919.89"/>
    <d v="2018-07-09T00:00:00"/>
    <n v="0"/>
    <s v="Less than 30 days"/>
    <s v="DHMXX"/>
    <x v="0"/>
    <s v="Invoice"/>
  </r>
  <r>
    <x v="17"/>
    <s v="CC"/>
    <s v="K"/>
    <n v="1"/>
    <n v="213.32"/>
    <m/>
    <m/>
    <n v="55477"/>
    <s v="D248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L"/>
    <n v="1"/>
    <n v="639.96"/>
    <m/>
    <m/>
    <n v="55766"/>
    <s v="B244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M"/>
    <n v="1"/>
    <n v="213.32"/>
    <m/>
    <m/>
    <n v="55785"/>
    <s v="D355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N"/>
    <n v="1"/>
    <n v="213.32"/>
    <m/>
    <m/>
    <n v="56539"/>
    <s v="D229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O"/>
    <n v="1"/>
    <n v="853.28"/>
    <m/>
    <m/>
    <n v="56774"/>
    <s v="D181"/>
    <s v="See unit #s on tab 2"/>
    <s v="Rental"/>
    <x v="7"/>
    <d v="2018-07-01T00:00:00"/>
    <d v="2018-06-28T00:00:00"/>
    <n v="853.28"/>
    <d v="2018-07-09T00:00:00"/>
    <n v="0"/>
    <s v="Less than 30 days"/>
    <s v="DHMXX"/>
    <x v="0"/>
    <s v="Invoice"/>
  </r>
  <r>
    <x v="17"/>
    <s v="CC"/>
    <s v="P"/>
    <n v="1"/>
    <n v="213.32"/>
    <m/>
    <m/>
    <n v="58008"/>
    <s v="D266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Q"/>
    <n v="1"/>
    <n v="639.96"/>
    <m/>
    <m/>
    <n v="59994"/>
    <s v="D022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R"/>
    <n v="1"/>
    <n v="426.64"/>
    <m/>
    <m/>
    <n v="66343"/>
    <s v="D777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S"/>
    <n v="1"/>
    <n v="213.32"/>
    <m/>
    <m/>
    <n v="66652"/>
    <s v="D213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T"/>
    <n v="1"/>
    <n v="213.32"/>
    <m/>
    <m/>
    <n v="66988"/>
    <s v="D449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U"/>
    <n v="1"/>
    <n v="6826.27"/>
    <m/>
    <m/>
    <n v="67865"/>
    <s v="D449"/>
    <s v="See unit #s on tab 2"/>
    <s v="Rental"/>
    <x v="7"/>
    <d v="2018-07-01T00:00:00"/>
    <d v="2018-06-28T00:00:00"/>
    <n v="6826.27"/>
    <d v="2018-07-09T00:00:00"/>
    <n v="0"/>
    <s v="Less than 30 days"/>
    <s v="DHMXX"/>
    <x v="0"/>
    <s v="Invoice"/>
  </r>
  <r>
    <x v="17"/>
    <s v="CC"/>
    <s v="V"/>
    <n v="1"/>
    <n v="213.32"/>
    <m/>
    <m/>
    <n v="68161"/>
    <s v="D344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W"/>
    <n v="1"/>
    <n v="426.64"/>
    <m/>
    <m/>
    <n v="76024"/>
    <s v="D383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X"/>
    <n v="1"/>
    <n v="1066.5999999999999"/>
    <m/>
    <m/>
    <n v="76833"/>
    <s v="D438"/>
    <s v="See unit #s on tab 2"/>
    <s v="Rental"/>
    <x v="7"/>
    <d v="2018-07-01T00:00:00"/>
    <d v="2018-06-28T00:00:00"/>
    <n v="1066.5999999999999"/>
    <d v="2018-07-09T00:00:00"/>
    <n v="0"/>
    <s v="Less than 30 days"/>
    <s v="DHMXX"/>
    <x v="0"/>
    <s v="Invoice"/>
  </r>
  <r>
    <x v="17"/>
    <s v="CC"/>
    <s v="Y"/>
    <n v="1"/>
    <n v="213.32"/>
    <m/>
    <m/>
    <n v="82624"/>
    <s v="D407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Z"/>
    <n v="1"/>
    <n v="639.96"/>
    <m/>
    <m/>
    <n v="85175"/>
    <s v="D021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AA"/>
    <n v="1"/>
    <n v="11092.68"/>
    <m/>
    <m/>
    <n v="91295"/>
    <s v="D284"/>
    <s v="See unit #s on tab 2"/>
    <s v="Rental"/>
    <x v="7"/>
    <d v="2018-07-01T00:00:00"/>
    <d v="2018-06-28T00:00:00"/>
    <n v="11092.68"/>
    <d v="2018-07-09T00:00:00"/>
    <n v="0"/>
    <s v="Less than 30 days"/>
    <s v="DHMXX"/>
    <x v="0"/>
    <s v="Invoice"/>
  </r>
  <r>
    <x v="17"/>
    <s v="CC"/>
    <s v="AB"/>
    <n v="1"/>
    <n v="213.32"/>
    <m/>
    <m/>
    <n v="92676"/>
    <s v="D243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C"/>
    <n v="1"/>
    <n v="213.32"/>
    <m/>
    <m/>
    <n v="94783"/>
    <s v="D284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D"/>
    <n v="1"/>
    <n v="213.32"/>
    <m/>
    <m/>
    <n v="115229"/>
    <s v="D449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E"/>
    <n v="1"/>
    <n v="426.64"/>
    <m/>
    <m/>
    <n v="140140"/>
    <s v="D674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AF"/>
    <n v="1"/>
    <n v="213.32"/>
    <m/>
    <m/>
    <n v="142910"/>
    <s v="D182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G"/>
    <n v="1"/>
    <n v="1279.92"/>
    <m/>
    <m/>
    <n v="148833"/>
    <s v="D292"/>
    <s v="See unit #s on tab 2"/>
    <s v="Rental"/>
    <x v="7"/>
    <d v="2018-07-01T00:00:00"/>
    <d v="2018-06-28T00:00:00"/>
    <n v="1279.92"/>
    <d v="2018-07-09T00:00:00"/>
    <n v="0"/>
    <s v="Less than 30 days"/>
    <s v="DHMXX"/>
    <x v="0"/>
    <s v="Invoice"/>
  </r>
  <r>
    <x v="17"/>
    <s v="CC"/>
    <s v="AH"/>
    <n v="1"/>
    <n v="213.32"/>
    <m/>
    <m/>
    <n v="162604"/>
    <s v="D292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I"/>
    <n v="1"/>
    <n v="213.32"/>
    <m/>
    <m/>
    <n v="165685"/>
    <s v="D227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J"/>
    <n v="16"/>
    <n v="426.64"/>
    <m/>
    <m/>
    <n v="55031"/>
    <s v="D058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AK"/>
    <n v="16"/>
    <n v="1279.92"/>
    <m/>
    <m/>
    <n v="55245"/>
    <s v="D058"/>
    <s v="See unit #s on tab 2"/>
    <s v="Rental"/>
    <x v="7"/>
    <d v="2018-07-01T00:00:00"/>
    <d v="2018-06-28T00:00:00"/>
    <n v="1279.92"/>
    <d v="2018-07-09T00:00:00"/>
    <n v="0"/>
    <s v="Less than 30 days"/>
    <s v="DHMXX"/>
    <x v="0"/>
    <s v="Invoice"/>
  </r>
  <r>
    <x v="17"/>
    <s v="CC"/>
    <s v="AL"/>
    <n v="16"/>
    <n v="213.32"/>
    <m/>
    <m/>
    <n v="55256"/>
    <s v="D777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M"/>
    <n v="16"/>
    <n v="213.32"/>
    <m/>
    <m/>
    <n v="55314"/>
    <s v="D059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N"/>
    <n v="16"/>
    <n v="853.28"/>
    <m/>
    <m/>
    <n v="55322"/>
    <s v="D059"/>
    <s v="See unit #s on tab 2"/>
    <s v="Rental"/>
    <x v="7"/>
    <d v="2018-07-01T00:00:00"/>
    <d v="2018-06-28T00:00:00"/>
    <n v="853.28"/>
    <d v="2018-07-09T00:00:00"/>
    <n v="0"/>
    <s v="Less than 30 days"/>
    <s v="DHMXX"/>
    <x v="0"/>
    <s v="Invoice"/>
  </r>
  <r>
    <x v="17"/>
    <s v="CC"/>
    <s v="AO"/>
    <n v="16"/>
    <n v="639.96"/>
    <m/>
    <m/>
    <n v="55327"/>
    <s v="D059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AP"/>
    <n v="16"/>
    <n v="426.64"/>
    <m/>
    <m/>
    <n v="56656"/>
    <s v="D058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AQ"/>
    <n v="16"/>
    <n v="213.32"/>
    <m/>
    <m/>
    <n v="56660"/>
    <s v="D058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R"/>
    <n v="16"/>
    <n v="213.32"/>
    <m/>
    <m/>
    <n v="82223"/>
    <s v="D215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AS"/>
    <n v="16"/>
    <n v="426.64"/>
    <m/>
    <m/>
    <n v="82227"/>
    <s v="D215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AT"/>
    <n v="2000"/>
    <n v="639.96"/>
    <m/>
    <m/>
    <n v="36784"/>
    <s v="D669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AU"/>
    <n v="2000"/>
    <n v="426.64"/>
    <m/>
    <m/>
    <n v="36989"/>
    <s v="D688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AV"/>
    <n v="2000"/>
    <n v="2133.21"/>
    <m/>
    <m/>
    <n v="36992"/>
    <s v="D688"/>
    <s v="See unit #s on tab 2"/>
    <s v="Rental"/>
    <x v="7"/>
    <d v="2018-07-01T00:00:00"/>
    <d v="2018-06-28T00:00:00"/>
    <n v="2133.21"/>
    <d v="2018-07-09T00:00:00"/>
    <n v="0"/>
    <s v="Less than 30 days"/>
    <s v="DHMXX"/>
    <x v="0"/>
    <s v="Invoice"/>
  </r>
  <r>
    <x v="17"/>
    <s v="CC"/>
    <s v="AW"/>
    <n v="2000"/>
    <n v="2986.49"/>
    <m/>
    <m/>
    <n v="36997"/>
    <s v="D638"/>
    <s v="See unit #s on tab 2"/>
    <s v="Rental"/>
    <x v="7"/>
    <d v="2018-07-01T00:00:00"/>
    <d v="2018-06-28T00:00:00"/>
    <n v="2986.49"/>
    <d v="2018-07-09T00:00:00"/>
    <n v="0"/>
    <s v="Less than 30 days"/>
    <s v="DHMXX"/>
    <x v="0"/>
    <s v="Invoice"/>
  </r>
  <r>
    <x v="17"/>
    <s v="CC"/>
    <s v="AX"/>
    <n v="2000"/>
    <n v="2133.21"/>
    <m/>
    <m/>
    <n v="37463"/>
    <s v="D804"/>
    <s v="See unit #s on tab 2"/>
    <s v="Rental"/>
    <x v="7"/>
    <d v="2018-07-01T00:00:00"/>
    <d v="2018-06-28T00:00:00"/>
    <n v="2133.21"/>
    <d v="2018-07-09T00:00:00"/>
    <n v="0"/>
    <s v="Less than 30 days"/>
    <s v="DHMXX"/>
    <x v="0"/>
    <s v="Invoice"/>
  </r>
  <r>
    <x v="17"/>
    <s v="CC"/>
    <s v="AY"/>
    <n v="2000"/>
    <n v="2133.21"/>
    <m/>
    <m/>
    <n v="37912"/>
    <s v="D638"/>
    <s v="See unit #s on tab 2"/>
    <s v="Rental"/>
    <x v="7"/>
    <d v="2018-07-01T00:00:00"/>
    <d v="2018-06-28T00:00:00"/>
    <n v="2133.21"/>
    <d v="2018-07-09T00:00:00"/>
    <n v="0"/>
    <s v="Less than 30 days"/>
    <s v="DHMXX"/>
    <x v="0"/>
    <s v="Invoice"/>
  </r>
  <r>
    <x v="17"/>
    <s v="CC"/>
    <s v="AZ"/>
    <n v="2000"/>
    <n v="1066.5999999999999"/>
    <m/>
    <m/>
    <n v="82957"/>
    <s v="D678"/>
    <s v="See unit #s on tab 2"/>
    <s v="Rental"/>
    <x v="7"/>
    <d v="2018-07-01T00:00:00"/>
    <d v="2018-06-28T00:00:00"/>
    <n v="1066.5999999999999"/>
    <d v="2018-07-09T00:00:00"/>
    <n v="0"/>
    <s v="Less than 30 days"/>
    <s v="DHMXX"/>
    <x v="0"/>
    <s v="Invoice"/>
  </r>
  <r>
    <x v="17"/>
    <s v="CC"/>
    <s v="BA"/>
    <n v="2000"/>
    <n v="213.32"/>
    <m/>
    <m/>
    <n v="91299"/>
    <s v="D678"/>
    <s v="See unit #s on tab 2"/>
    <s v="Rental"/>
    <x v="7"/>
    <d v="2018-07-01T00:00:00"/>
    <d v="2018-06-28T00:00:00"/>
    <n v="213.32"/>
    <d v="2018-07-09T00:00:00"/>
    <n v="0"/>
    <s v="Less than 30 days"/>
    <s v="DHMXX"/>
    <x v="0"/>
    <s v="Invoice"/>
  </r>
  <r>
    <x v="17"/>
    <s v="CC"/>
    <s v="BB"/>
    <n v="2000"/>
    <n v="639.96"/>
    <m/>
    <m/>
    <n v="172035"/>
    <s v="B304"/>
    <s v="See unit #s on tab 2"/>
    <s v="Rental"/>
    <x v="7"/>
    <d v="2018-07-01T00:00:00"/>
    <d v="2018-06-28T00:00:00"/>
    <n v="639.96"/>
    <d v="2018-07-09T00:00:00"/>
    <n v="0"/>
    <s v="Less than 30 days"/>
    <s v="DHMXX"/>
    <x v="0"/>
    <s v="Invoice"/>
  </r>
  <r>
    <x v="17"/>
    <s v="CC"/>
    <s v="BC"/>
    <n v="2000"/>
    <n v="1919.89"/>
    <m/>
    <m/>
    <n v="182140"/>
    <s v="D210"/>
    <s v="See unit #s on tab 2"/>
    <s v="Rental"/>
    <x v="7"/>
    <d v="2018-07-01T00:00:00"/>
    <d v="2018-06-28T00:00:00"/>
    <n v="1919.89"/>
    <d v="2018-07-09T00:00:00"/>
    <n v="0"/>
    <s v="Less than 30 days"/>
    <s v="DHMXX"/>
    <x v="0"/>
    <s v="Invoice"/>
  </r>
  <r>
    <x v="17"/>
    <s v="CC"/>
    <s v="BD"/>
    <n v="1"/>
    <n v="426.64"/>
    <m/>
    <m/>
    <n v="172041"/>
    <s v="D668"/>
    <s v="See unit #s on tab 2"/>
    <s v="Rental"/>
    <x v="7"/>
    <d v="2018-07-01T00:00:00"/>
    <d v="2018-06-28T00:00:00"/>
    <n v="426.64"/>
    <d v="2018-07-09T00:00:00"/>
    <n v="0"/>
    <s v="Less than 30 days"/>
    <s v="DHMXX"/>
    <x v="0"/>
    <s v="Invoice"/>
  </r>
  <r>
    <x v="17"/>
    <s v="CC"/>
    <s v="BE"/>
    <n v="1"/>
    <n v="12159.35"/>
    <m/>
    <m/>
    <n v="172259"/>
    <s v="D214"/>
    <s v="See unit #s on tab 2"/>
    <s v="Rental"/>
    <x v="7"/>
    <d v="2018-07-01T00:00:00"/>
    <d v="2018-06-28T00:00:00"/>
    <n v="12159.35"/>
    <d v="2018-07-09T00:00:00"/>
    <n v="0"/>
    <s v="Less than 30 days"/>
    <s v="DHMXX"/>
    <x v="0"/>
    <s v="Invoice"/>
  </r>
  <r>
    <x v="18"/>
    <s v="CC"/>
    <s v="JD"/>
    <n v="1"/>
    <n v="172.5"/>
    <m/>
    <m/>
    <n v="580"/>
    <s v="D1950"/>
    <s v="EXFU 822094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E"/>
    <n v="1"/>
    <n v="172.5"/>
    <m/>
    <m/>
    <n v="580"/>
    <s v="D1950"/>
    <s v="EXFU 822095-3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F"/>
    <n v="1"/>
    <n v="172.5"/>
    <m/>
    <m/>
    <n v="3824"/>
    <s v="D021"/>
    <s v="EXFU 441811-2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G"/>
    <n v="1"/>
    <n v="172.5"/>
    <m/>
    <m/>
    <n v="3824"/>
    <s v="D021"/>
    <s v="EXFU 441812-8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H"/>
    <n v="1"/>
    <n v="172.5"/>
    <m/>
    <m/>
    <n v="3824"/>
    <s v="D021"/>
    <s v="EXFU 441815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I"/>
    <n v="1"/>
    <n v="172.5"/>
    <m/>
    <m/>
    <n v="3824"/>
    <s v="D021"/>
    <s v="EXFU 441817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J"/>
    <n v="1"/>
    <n v="172.5"/>
    <m/>
    <m/>
    <n v="3824"/>
    <s v="D021"/>
    <s v="EXFU 44181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JK"/>
    <n v="1"/>
    <n v="225"/>
    <m/>
    <m/>
    <n v="3824"/>
    <s v="D021"/>
    <s v="EXSZ 903614-8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JL"/>
    <n v="1"/>
    <n v="225"/>
    <m/>
    <m/>
    <n v="3824"/>
    <s v="D021"/>
    <s v="EXSZ 903615-3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JM"/>
    <n v="1"/>
    <n v="225"/>
    <m/>
    <m/>
    <n v="3824"/>
    <s v="D021"/>
    <s v="EXSZ 903632-2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JN"/>
    <n v="1"/>
    <n v="225"/>
    <m/>
    <m/>
    <n v="3824"/>
    <s v="D021"/>
    <s v="EXSZ 903633-8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JO"/>
    <n v="1"/>
    <n v="225"/>
    <m/>
    <m/>
    <n v="3824"/>
    <s v="D021"/>
    <s v="EXSZ 903634-3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JP"/>
    <n v="1"/>
    <n v="480"/>
    <m/>
    <m/>
    <n v="3825"/>
    <s v="D223"/>
    <s v="EXFU 144973-7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JQ"/>
    <n v="1"/>
    <n v="480"/>
    <m/>
    <m/>
    <n v="3825"/>
    <s v="D223"/>
    <s v="EXFU 144977-9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JR"/>
    <n v="1"/>
    <n v="480"/>
    <m/>
    <m/>
    <n v="3825"/>
    <s v="D223"/>
    <s v="EXFU 144983-0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JS"/>
    <n v="1"/>
    <n v="480"/>
    <m/>
    <m/>
    <n v="3825"/>
    <s v="D223"/>
    <s v="EXFU 145005-0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JT"/>
    <n v="1"/>
    <n v="270"/>
    <m/>
    <m/>
    <n v="3825"/>
    <s v="D223"/>
    <s v="EXSZ 901458-1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JU"/>
    <n v="1"/>
    <n v="270"/>
    <m/>
    <m/>
    <n v="3825"/>
    <s v="D223"/>
    <s v="EXSZ 901461-6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JV"/>
    <n v="1"/>
    <n v="270"/>
    <m/>
    <m/>
    <n v="3825"/>
    <s v="D223"/>
    <s v="EXSZ 901499-8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JW"/>
    <n v="1"/>
    <n v="270"/>
    <m/>
    <m/>
    <n v="3825"/>
    <s v="D223"/>
    <s v="EXSZ 901501-6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JX"/>
    <n v="1"/>
    <n v="480"/>
    <m/>
    <m/>
    <n v="20028"/>
    <s v="D407"/>
    <s v="EXFU 145244-8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JY"/>
    <n v="1"/>
    <n v="270"/>
    <m/>
    <m/>
    <n v="20028"/>
    <s v="D407"/>
    <s v="EXSZ 901834-0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JZ"/>
    <n v="1"/>
    <n v="270"/>
    <m/>
    <m/>
    <n v="20028"/>
    <s v="D407"/>
    <s v="EXSZ 901836-0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KA"/>
    <n v="1"/>
    <n v="480"/>
    <m/>
    <m/>
    <n v="73868"/>
    <s v="D215"/>
    <s v="EXFU 144785-8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B"/>
    <n v="1"/>
    <n v="480"/>
    <m/>
    <m/>
    <n v="73868"/>
    <s v="D215"/>
    <s v="EXFU 144797-1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C"/>
    <n v="1"/>
    <n v="480"/>
    <m/>
    <m/>
    <n v="73868"/>
    <s v="D215"/>
    <s v="EXFU 144798-7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D"/>
    <n v="1"/>
    <n v="480"/>
    <m/>
    <m/>
    <n v="73868"/>
    <s v="D215"/>
    <s v="EXFU 144814-0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E"/>
    <n v="1"/>
    <n v="270"/>
    <m/>
    <m/>
    <n v="73868"/>
    <s v="D215"/>
    <s v="EXSZ 901798-1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KF"/>
    <n v="1"/>
    <n v="270"/>
    <m/>
    <m/>
    <n v="73868"/>
    <s v="D215"/>
    <s v="EXSZ 901799-7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KG"/>
    <n v="1"/>
    <n v="270"/>
    <m/>
    <m/>
    <n v="73868"/>
    <s v="D215"/>
    <s v="EXSZ 901800-0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KH"/>
    <n v="1"/>
    <n v="556.79999999999995"/>
    <m/>
    <m/>
    <n v="75810"/>
    <s v="D223"/>
    <s v="EXFU 822222-0"/>
    <s v="Rental"/>
    <x v="7"/>
    <d v="2018-07-01T00:00:00"/>
    <d v="2018-06-28T00:00:00"/>
    <n v="556.79999999999995"/>
    <d v="2018-07-09T00:00:00"/>
    <n v="0"/>
    <s v="Less than 30 days"/>
    <s v="DHMXX"/>
    <x v="0"/>
    <s v="Invoice"/>
  </r>
  <r>
    <x v="18"/>
    <s v="CC"/>
    <s v="KI"/>
    <n v="1"/>
    <n v="556.79999999999995"/>
    <m/>
    <m/>
    <n v="75810"/>
    <s v="D223"/>
    <s v="EXFU 822224-1"/>
    <s v="Rental"/>
    <x v="7"/>
    <d v="2018-07-01T00:00:00"/>
    <d v="2018-06-28T00:00:00"/>
    <n v="556.79999999999995"/>
    <d v="2018-07-09T00:00:00"/>
    <n v="0"/>
    <s v="Less than 30 days"/>
    <s v="DHMXX"/>
    <x v="0"/>
    <s v="Invoice"/>
  </r>
  <r>
    <x v="18"/>
    <s v="CC"/>
    <s v="KJ"/>
    <n v="1"/>
    <n v="556.79999999999995"/>
    <m/>
    <m/>
    <n v="75810"/>
    <s v="D223"/>
    <s v="EXFU 822225-7"/>
    <s v="Rental"/>
    <x v="7"/>
    <d v="2018-07-01T00:00:00"/>
    <d v="2018-06-28T00:00:00"/>
    <n v="556.79999999999995"/>
    <d v="2018-07-09T00:00:00"/>
    <n v="0"/>
    <s v="Less than 30 days"/>
    <s v="DHMXX"/>
    <x v="0"/>
    <s v="Invoice"/>
  </r>
  <r>
    <x v="18"/>
    <s v="CC"/>
    <s v="KK"/>
    <n v="1"/>
    <n v="556.79999999999995"/>
    <m/>
    <m/>
    <n v="75810"/>
    <s v="D348"/>
    <s v="EXFU 810837-3"/>
    <s v="Rental"/>
    <x v="7"/>
    <d v="2018-07-01T00:00:00"/>
    <d v="2018-06-28T00:00:00"/>
    <n v="556.79999999999995"/>
    <d v="2018-07-09T00:00:00"/>
    <n v="0"/>
    <s v="Less than 30 days"/>
    <s v="DHMXX"/>
    <x v="0"/>
    <s v="Invoice"/>
  </r>
  <r>
    <x v="18"/>
    <s v="CC"/>
    <s v="KL"/>
    <n v="1"/>
    <n v="556.79999999999995"/>
    <m/>
    <m/>
    <n v="75810"/>
    <s v="D348"/>
    <s v="EXFU 810838-9"/>
    <s v="Rental"/>
    <x v="7"/>
    <d v="2018-07-01T00:00:00"/>
    <d v="2018-06-28T00:00:00"/>
    <n v="556.79999999999995"/>
    <d v="2018-07-09T00:00:00"/>
    <n v="0"/>
    <s v="Less than 30 days"/>
    <s v="DHMXX"/>
    <x v="0"/>
    <s v="Invoice"/>
  </r>
  <r>
    <x v="18"/>
    <s v="CC"/>
    <s v="KM"/>
    <n v="1"/>
    <n v="556.79999999999995"/>
    <m/>
    <m/>
    <n v="75810"/>
    <s v="D348"/>
    <s v="EXFU 810841-3"/>
    <s v="Rental"/>
    <x v="7"/>
    <d v="2018-07-01T00:00:00"/>
    <d v="2018-06-28T00:00:00"/>
    <n v="556.79999999999995"/>
    <d v="2018-07-09T00:00:00"/>
    <n v="0"/>
    <s v="Less than 30 days"/>
    <s v="DHMXX"/>
    <x v="0"/>
    <s v="Invoice"/>
  </r>
  <r>
    <x v="18"/>
    <s v="CC"/>
    <s v="KN"/>
    <n v="1"/>
    <n v="232.5"/>
    <m/>
    <m/>
    <n v="75810"/>
    <s v="D223"/>
    <s v="EXSZ 903067-0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KO"/>
    <n v="1"/>
    <n v="232.5"/>
    <m/>
    <m/>
    <n v="75810"/>
    <s v="D223"/>
    <s v="EXSZ 903076-7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KP"/>
    <n v="1"/>
    <n v="232.5"/>
    <m/>
    <m/>
    <n v="75810"/>
    <s v="D223"/>
    <s v="EXSZ 903077-2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KQ"/>
    <n v="1"/>
    <n v="232.5"/>
    <m/>
    <m/>
    <n v="75810"/>
    <s v="D348"/>
    <s v="EXSZ 903161-3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KR"/>
    <n v="1"/>
    <n v="232.5"/>
    <m/>
    <m/>
    <n v="75810"/>
    <s v="D348"/>
    <s v="EXSZ 903162-9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KS"/>
    <n v="1"/>
    <n v="232.5"/>
    <m/>
    <m/>
    <n v="75810"/>
    <s v="D348"/>
    <s v="EXSZ 903163-4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KT"/>
    <n v="1"/>
    <n v="480"/>
    <m/>
    <m/>
    <n v="77572"/>
    <s v="T001"/>
    <s v="EXFU 144709-8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U"/>
    <n v="1"/>
    <n v="480"/>
    <m/>
    <m/>
    <n v="141188"/>
    <s v="D777"/>
    <s v="EXFU 144784-2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V"/>
    <n v="1"/>
    <n v="480"/>
    <m/>
    <m/>
    <n v="141188"/>
    <s v="D777"/>
    <s v="EXFU 144787-9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W"/>
    <n v="1"/>
    <n v="480"/>
    <m/>
    <m/>
    <n v="141188"/>
    <s v="D777"/>
    <s v="EXFU 144788-4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X"/>
    <n v="1"/>
    <n v="480"/>
    <m/>
    <m/>
    <n v="141188"/>
    <s v="D777"/>
    <s v="EXFU 144801-0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Y"/>
    <n v="1"/>
    <n v="480"/>
    <m/>
    <m/>
    <n v="141188"/>
    <s v="D777"/>
    <s v="EXFU 144807-3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KZ"/>
    <n v="1"/>
    <n v="270"/>
    <m/>
    <m/>
    <n v="141188"/>
    <s v="D777"/>
    <s v="EXSZ 901806-2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LA"/>
    <n v="1"/>
    <n v="270"/>
    <m/>
    <m/>
    <n v="141188"/>
    <s v="D777"/>
    <s v="EXSZ 901817-0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LB"/>
    <n v="1"/>
    <n v="270"/>
    <m/>
    <m/>
    <n v="141188"/>
    <s v="D777"/>
    <s v="EXSZ 901820-5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LC"/>
    <n v="1"/>
    <n v="270"/>
    <m/>
    <m/>
    <n v="141188"/>
    <s v="D777"/>
    <s v="EXSZ 901825-2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LD"/>
    <n v="1"/>
    <n v="270"/>
    <m/>
    <m/>
    <n v="141188"/>
    <s v="D777"/>
    <s v="EXSZ 901830-8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LE"/>
    <n v="1"/>
    <n v="270"/>
    <m/>
    <m/>
    <n v="141188"/>
    <s v="D777"/>
    <s v="EXSZ 901601-2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8"/>
    <s v="CC"/>
    <s v="LF"/>
    <n v="1"/>
    <n v="465"/>
    <m/>
    <m/>
    <n v="142910"/>
    <s v="D182"/>
    <s v="USPU 133027-5"/>
    <s v="Rental"/>
    <x v="7"/>
    <d v="2018-07-01T00:00:00"/>
    <d v="2018-06-28T00:00:00"/>
    <n v="465"/>
    <d v="2018-07-09T00:00:00"/>
    <n v="0"/>
    <s v="Less than 30 days"/>
    <s v="DHMXX"/>
    <x v="0"/>
    <s v="Invoice"/>
  </r>
  <r>
    <x v="18"/>
    <s v="CC"/>
    <s v="LG"/>
    <n v="1"/>
    <n v="540"/>
    <m/>
    <m/>
    <n v="142910"/>
    <s v="D182"/>
    <s v="EXFU 830006-7"/>
    <s v="Rental"/>
    <x v="7"/>
    <d v="2018-07-01T00:00:00"/>
    <d v="2018-06-28T00:00:00"/>
    <n v="540"/>
    <d v="2018-07-09T00:00:00"/>
    <n v="0"/>
    <s v="Less than 30 days"/>
    <s v="DHMXX"/>
    <x v="0"/>
    <s v="Invoice"/>
  </r>
  <r>
    <x v="18"/>
    <s v="CC"/>
    <s v="LH"/>
    <n v="1"/>
    <n v="232.5"/>
    <m/>
    <m/>
    <n v="142910"/>
    <s v="D182"/>
    <s v="EXSZ 903078-8"/>
    <s v="Rental"/>
    <x v="7"/>
    <d v="2018-07-01T00:00:00"/>
    <d v="2018-06-28T00:00:00"/>
    <n v="232.5"/>
    <d v="2018-07-09T00:00:00"/>
    <n v="0"/>
    <s v="Less than 30 days"/>
    <s v="DHMXX"/>
    <x v="0"/>
    <s v="Invoice"/>
  </r>
  <r>
    <x v="18"/>
    <s v="CC"/>
    <s v="LI"/>
    <n v="1"/>
    <n v="225"/>
    <m/>
    <m/>
    <n v="142910"/>
    <s v="D182"/>
    <s v="EXSZ 903709-9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LJ"/>
    <n v="1"/>
    <n v="172.5"/>
    <m/>
    <m/>
    <n v="201323"/>
    <s v="E215"/>
    <s v="EXFU 822028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K"/>
    <n v="1"/>
    <n v="172.5"/>
    <m/>
    <m/>
    <n v="201323"/>
    <s v="E215"/>
    <s v="EXFU 822029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L"/>
    <n v="1"/>
    <n v="172.5"/>
    <m/>
    <m/>
    <n v="201323"/>
    <s v="E215"/>
    <s v="EXFU 822030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M"/>
    <n v="1"/>
    <n v="172.5"/>
    <m/>
    <m/>
    <n v="201323"/>
    <s v="E215"/>
    <s v="EXFU 822031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N"/>
    <n v="1"/>
    <n v="172.5"/>
    <m/>
    <m/>
    <n v="201323"/>
    <s v="E215"/>
    <s v="EXFU 822033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O"/>
    <n v="1"/>
    <n v="172.5"/>
    <m/>
    <m/>
    <n v="201323"/>
    <s v="E215"/>
    <s v="EXFU 822035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P"/>
    <n v="1"/>
    <n v="172.5"/>
    <m/>
    <m/>
    <n v="201323"/>
    <s v="E215"/>
    <s v="EXFU 441454-4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Q"/>
    <n v="1"/>
    <n v="172.5"/>
    <m/>
    <m/>
    <n v="201323"/>
    <s v="E215"/>
    <s v="EXFU 441455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R"/>
    <n v="1"/>
    <n v="172.5"/>
    <m/>
    <m/>
    <n v="201323"/>
    <s v="E215"/>
    <s v="EXFU 441457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S"/>
    <n v="1"/>
    <n v="172.5"/>
    <m/>
    <m/>
    <n v="201323"/>
    <s v="E215"/>
    <s v="EXFU 441459-1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T"/>
    <n v="1"/>
    <n v="172.5"/>
    <m/>
    <m/>
    <n v="201323"/>
    <s v="E215"/>
    <s v="EXFU 441460-5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U"/>
    <n v="1"/>
    <n v="172.5"/>
    <m/>
    <m/>
    <n v="201323"/>
    <s v="E215"/>
    <s v="EXFU 441461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LV"/>
    <n v="1"/>
    <n v="225"/>
    <m/>
    <m/>
    <n v="201323"/>
    <s v="E215"/>
    <s v="EXSZ 903443-8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LW"/>
    <n v="1"/>
    <n v="225"/>
    <m/>
    <m/>
    <n v="201323"/>
    <s v="E215"/>
    <s v="EXSZ 903444-3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LX"/>
    <n v="1"/>
    <n v="225"/>
    <m/>
    <m/>
    <n v="201323"/>
    <s v="E215"/>
    <s v="EXSZ 903445-9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LY"/>
    <n v="1"/>
    <n v="225"/>
    <m/>
    <m/>
    <n v="201323"/>
    <s v="E215"/>
    <s v="EXSZ 903446-4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LZ"/>
    <n v="1"/>
    <n v="225"/>
    <m/>
    <m/>
    <n v="201323"/>
    <s v="E215"/>
    <s v="EXSZ 903447-0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A"/>
    <n v="1"/>
    <n v="225"/>
    <m/>
    <m/>
    <n v="201323"/>
    <s v="E215"/>
    <s v="EXSZ 903448-5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B"/>
    <n v="1"/>
    <n v="225"/>
    <m/>
    <m/>
    <n v="201323"/>
    <s v="E215"/>
    <s v="EXSZ 903449-0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C"/>
    <n v="1"/>
    <n v="225"/>
    <m/>
    <m/>
    <n v="201323"/>
    <s v="E215"/>
    <s v="EXSZ 903450-4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D"/>
    <n v="1"/>
    <n v="225"/>
    <m/>
    <m/>
    <n v="201323"/>
    <s v="E215"/>
    <s v="EXSZ 903451-0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E"/>
    <n v="1"/>
    <n v="225"/>
    <m/>
    <m/>
    <n v="201323"/>
    <s v="E215"/>
    <s v="EXSZ 903452-5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F"/>
    <n v="1"/>
    <n v="225"/>
    <m/>
    <m/>
    <n v="201323"/>
    <s v="E215"/>
    <s v="EXSZ 903453-0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MG"/>
    <n v="1"/>
    <n v="225"/>
    <m/>
    <m/>
    <n v="201323"/>
    <s v="E215"/>
    <s v="EXSZ 903454-6"/>
    <s v="Rental"/>
    <x v="7"/>
    <d v="2018-07-01T00:00:00"/>
    <d v="2018-06-28T00:00:00"/>
    <n v="225"/>
    <d v="2018-07-09T00:00:00"/>
    <n v="0"/>
    <s v="Less than 30 days"/>
    <s v="DHMXX"/>
    <x v="0"/>
    <s v="Invoice"/>
  </r>
  <r>
    <x v="18"/>
    <s v="CC"/>
    <s v="QE"/>
    <n v="2000"/>
    <n v="172.5"/>
    <m/>
    <m/>
    <n v="37912"/>
    <s v="D638"/>
    <s v="EXFU 822083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QF"/>
    <n v="2000"/>
    <n v="172.5"/>
    <m/>
    <m/>
    <n v="37912"/>
    <s v="D638"/>
    <s v="EXFU 822013-0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QG"/>
    <n v="2000"/>
    <n v="172.5"/>
    <m/>
    <m/>
    <n v="37912"/>
    <s v="D638"/>
    <s v="EXFU 822014-6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QH"/>
    <n v="2000"/>
    <n v="172.5"/>
    <m/>
    <m/>
    <n v="37912"/>
    <s v="D638"/>
    <s v="EXFU 822016-7"/>
    <s v="Rental"/>
    <x v="7"/>
    <d v="2018-07-01T00:00:00"/>
    <d v="2018-06-28T00:00:00"/>
    <n v="172.5"/>
    <d v="2018-07-09T00:00:00"/>
    <n v="0"/>
    <s v="Less than 30 days"/>
    <s v="DHMXX"/>
    <x v="0"/>
    <s v="Invoice"/>
  </r>
  <r>
    <x v="18"/>
    <s v="CC"/>
    <s v="QI"/>
    <n v="2000"/>
    <n v="480"/>
    <m/>
    <m/>
    <n v="132622"/>
    <s v="T001"/>
    <s v="EXFU 144783-7"/>
    <s v="Rental"/>
    <x v="7"/>
    <d v="2018-07-01T00:00:00"/>
    <d v="2018-06-28T00:00:00"/>
    <n v="480"/>
    <d v="2018-07-09T00:00:00"/>
    <n v="0"/>
    <s v="Less than 30 days"/>
    <s v="DHMXX"/>
    <x v="0"/>
    <s v="Invoice"/>
  </r>
  <r>
    <x v="18"/>
    <s v="CC"/>
    <s v="QJ"/>
    <n v="2000"/>
    <n v="270"/>
    <m/>
    <m/>
    <n v="132622"/>
    <s v="T001"/>
    <s v="EXSZ 901801-5"/>
    <s v="Rental"/>
    <x v="7"/>
    <d v="2018-07-01T00:00:00"/>
    <d v="2018-06-28T00:00:00"/>
    <n v="270"/>
    <d v="2018-07-09T00:00:00"/>
    <n v="0"/>
    <s v="Less than 30 days"/>
    <s v="DHMXX"/>
    <x v="0"/>
    <s v="Invoice"/>
  </r>
  <r>
    <x v="19"/>
    <s v="TR"/>
    <s v="A"/>
    <n v="5001"/>
    <n v="480"/>
    <m/>
    <m/>
    <n v="117423"/>
    <s v="T001"/>
    <s v="EXFU 144702-0"/>
    <s v="Rental"/>
    <x v="7"/>
    <d v="2018-07-01T00:00:00"/>
    <d v="2018-06-28T00:00:00"/>
    <n v="480"/>
    <d v="2018-07-11T00:00:00"/>
    <n v="0"/>
    <s v="Less than 30 days"/>
    <s v="DHMXX"/>
    <x v="0"/>
    <s v="Invoice"/>
  </r>
  <r>
    <x v="19"/>
    <s v="TR"/>
    <s v="B"/>
    <n v="5001"/>
    <n v="480"/>
    <m/>
    <m/>
    <n v="117423"/>
    <s v="T001"/>
    <s v="EXFU 144703-5"/>
    <s v="Rental"/>
    <x v="7"/>
    <d v="2018-07-01T00:00:00"/>
    <d v="2018-06-28T00:00:00"/>
    <n v="480"/>
    <d v="2018-07-11T00:00:00"/>
    <n v="0"/>
    <s v="Less than 30 days"/>
    <s v="DHMXX"/>
    <x v="0"/>
    <s v="Invoice"/>
  </r>
  <r>
    <x v="19"/>
    <s v="TR"/>
    <s v="C"/>
    <n v="5001"/>
    <n v="270"/>
    <m/>
    <m/>
    <n v="117423"/>
    <s v="T001"/>
    <s v="EXSZ 901271-6"/>
    <s v="Rental"/>
    <x v="7"/>
    <d v="2018-07-01T00:00:00"/>
    <d v="2018-06-28T00:00:00"/>
    <n v="270"/>
    <d v="2018-07-11T00:00:00"/>
    <n v="0"/>
    <s v="Less than 30 days"/>
    <s v="DHMXX"/>
    <x v="0"/>
    <s v="Invoice"/>
  </r>
  <r>
    <x v="19"/>
    <s v="TR"/>
    <s v="D"/>
    <n v="5001"/>
    <n v="270"/>
    <m/>
    <m/>
    <n v="117423"/>
    <s v="T001"/>
    <s v="EXSZ 901276-3"/>
    <s v="Rental"/>
    <x v="7"/>
    <d v="2018-07-01T00:00:00"/>
    <d v="2018-06-28T00:00:00"/>
    <n v="270"/>
    <d v="2018-07-11T00:00:00"/>
    <n v="0"/>
    <s v="Less than 30 days"/>
    <s v="DHMXX"/>
    <x v="0"/>
    <s v="Invoice"/>
  </r>
  <r>
    <x v="20"/>
    <s v="RH"/>
    <s v="A"/>
    <n v="4007"/>
    <n v="172.5"/>
    <m/>
    <m/>
    <n v="165014"/>
    <s v="A341"/>
    <s v="USPU 122837-1"/>
    <s v="Rental"/>
    <x v="7"/>
    <d v="2018-07-01T00:00:00"/>
    <d v="2018-07-09T00:00:00"/>
    <n v="172.5"/>
    <d v="2018-07-18T00:00:00"/>
    <n v="0"/>
    <s v="Less than 30 days"/>
    <s v="DHMXX"/>
    <x v="0"/>
    <s v="Invoice"/>
  </r>
  <r>
    <x v="21"/>
    <s v="CC"/>
    <s v="NF"/>
    <n v="16"/>
    <n v="90"/>
    <m/>
    <m/>
    <n v="55031"/>
    <s v="D058"/>
    <s v="ICLU 946242-9"/>
    <s v="Handling Fee at Dropoff"/>
    <x v="7"/>
    <d v="2018-07-01T00:00:00"/>
    <d v="2018-06-28T00:00:00"/>
    <n v="90"/>
    <d v="2018-07-09T00:00:00"/>
    <n v="0"/>
    <s v="Less than 30 days"/>
    <s v="DHMXX"/>
    <x v="0"/>
    <s v="Invoice"/>
  </r>
  <r>
    <x v="21"/>
    <s v="CC"/>
    <s v="NG"/>
    <n v="16"/>
    <n v="86.25"/>
    <m/>
    <m/>
    <n v="55031"/>
    <s v="D058"/>
    <s v="ICLU 946242-9"/>
    <s v="Lease Termination Fee"/>
    <x v="7"/>
    <d v="2018-07-01T00:00:00"/>
    <d v="2018-06-28T00:00:00"/>
    <n v="86.25"/>
    <d v="2018-07-09T00:00:00"/>
    <n v="0"/>
    <s v="Less than 30 days"/>
    <s v="DHMXX"/>
    <x v="0"/>
    <s v="Invoice"/>
  </r>
  <r>
    <x v="21"/>
    <s v="CC"/>
    <s v="NH"/>
    <n v="16"/>
    <n v="-11.5"/>
    <m/>
    <m/>
    <n v="55031"/>
    <s v="D058"/>
    <s v="ICLU 946242-9"/>
    <s v="Rental"/>
    <x v="7"/>
    <d v="2018-07-01T00:00:00"/>
    <d v="2018-06-28T00:00:00"/>
    <n v="-11.5"/>
    <d v="2018-07-09T00:00:00"/>
    <n v="0"/>
    <s v="Less than 30 days"/>
    <s v="DHMXX"/>
    <x v="0"/>
    <s v="Invoice"/>
  </r>
  <r>
    <x v="21"/>
    <s v="CC"/>
    <s v="NI"/>
    <n v="16"/>
    <n v="90"/>
    <m/>
    <m/>
    <n v="115325"/>
    <s v="D618"/>
    <s v="TRLU 050451-8"/>
    <s v="Handling Fee at Dropoff"/>
    <x v="7"/>
    <d v="2018-07-01T00:00:00"/>
    <d v="2018-06-28T00:00:00"/>
    <n v="90"/>
    <d v="2018-07-09T00:00:00"/>
    <n v="0"/>
    <s v="Less than 30 days"/>
    <s v="DHMXX"/>
    <x v="0"/>
    <s v="Invoice"/>
  </r>
  <r>
    <x v="21"/>
    <s v="CC"/>
    <s v="NJ"/>
    <n v="16"/>
    <n v="86.25"/>
    <m/>
    <m/>
    <n v="115325"/>
    <s v="D618"/>
    <s v="TRLU 050451-8"/>
    <s v="Lease Termination Fee"/>
    <x v="7"/>
    <d v="2018-07-01T00:00:00"/>
    <d v="2018-06-28T00:00:00"/>
    <n v="86.25"/>
    <d v="2018-07-09T00:00:00"/>
    <n v="0"/>
    <s v="Less than 30 days"/>
    <s v="DHMXX"/>
    <x v="0"/>
    <s v="Invoice"/>
  </r>
  <r>
    <x v="21"/>
    <s v="CC"/>
    <s v="NK"/>
    <n v="16"/>
    <n v="90"/>
    <m/>
    <m/>
    <n v="115325"/>
    <s v="D618"/>
    <s v="TRLU 080077-8"/>
    <s v="Handling Fee at Dropoff"/>
    <x v="7"/>
    <d v="2018-07-01T00:00:00"/>
    <d v="2018-06-28T00:00:00"/>
    <n v="90"/>
    <d v="2018-07-09T00:00:00"/>
    <n v="0"/>
    <s v="Less than 30 days"/>
    <s v="DHMXX"/>
    <x v="0"/>
    <s v="Invoice"/>
  </r>
  <r>
    <x v="21"/>
    <s v="CC"/>
    <s v="NL"/>
    <n v="16"/>
    <n v="86.25"/>
    <m/>
    <m/>
    <n v="115325"/>
    <s v="D618"/>
    <s v="TRLU 080077-8"/>
    <s v="Lease Termination Fee"/>
    <x v="7"/>
    <d v="2018-07-01T00:00:00"/>
    <d v="2018-06-28T00:00:00"/>
    <n v="86.25"/>
    <d v="2018-07-09T00:00:00"/>
    <n v="0"/>
    <s v="Less than 30 days"/>
    <s v="DHMXX"/>
    <x v="0"/>
    <s v="Invoice"/>
  </r>
  <r>
    <x v="21"/>
    <s v="CC"/>
    <s v="NM"/>
    <n v="16"/>
    <n v="-11.5"/>
    <m/>
    <m/>
    <n v="115325"/>
    <s v="D618"/>
    <s v="TRLU 080077-8"/>
    <s v="Rental"/>
    <x v="7"/>
    <d v="2018-07-01T00:00:00"/>
    <d v="2018-06-28T00:00:00"/>
    <n v="-11.5"/>
    <d v="2018-07-09T00:00:00"/>
    <n v="0"/>
    <s v="Less than 30 days"/>
    <s v="DHMXX"/>
    <x v="0"/>
    <s v="Invoice"/>
  </r>
  <r>
    <x v="21"/>
    <s v="CC"/>
    <s v="NN"/>
    <n v="16"/>
    <n v="90"/>
    <m/>
    <m/>
    <n v="115325"/>
    <s v="D618"/>
    <s v="TRLU 050164-8"/>
    <s v="Handling Fee at Dropoff"/>
    <x v="7"/>
    <d v="2018-07-01T00:00:00"/>
    <d v="2018-06-28T00:00:00"/>
    <n v="90"/>
    <d v="2018-07-09T00:00:00"/>
    <n v="0"/>
    <s v="Less than 30 days"/>
    <s v="DHMXX"/>
    <x v="0"/>
    <s v="Invoice"/>
  </r>
  <r>
    <x v="21"/>
    <s v="CC"/>
    <s v="NO"/>
    <n v="16"/>
    <n v="86.25"/>
    <m/>
    <m/>
    <n v="115325"/>
    <s v="D618"/>
    <s v="TRLU 050164-8"/>
    <s v="Lease Termination Fee"/>
    <x v="7"/>
    <d v="2018-07-01T00:00:00"/>
    <d v="2018-06-28T00:00:00"/>
    <n v="86.25"/>
    <d v="2018-07-09T00:00:00"/>
    <n v="0"/>
    <s v="Less than 30 days"/>
    <s v="DHMXX"/>
    <x v="0"/>
    <s v="Invoice"/>
  </r>
  <r>
    <x v="22"/>
    <s v="CC"/>
    <s v="QK"/>
    <n v="1"/>
    <n v="2626.31"/>
    <m/>
    <m/>
    <n v="55292"/>
    <s v="D777"/>
    <s v="EXFU 051376-5"/>
    <s v="Repair"/>
    <x v="8"/>
    <d v="2018-06-29T00:00:00"/>
    <d v="2018-06-28T00:00:00"/>
    <n v="2626.31"/>
    <d v="2018-07-09T00:00:00"/>
    <n v="0"/>
    <s v="Less than 30 days"/>
    <s v="DHMXX"/>
    <x v="0"/>
    <s v="Repair"/>
  </r>
  <r>
    <x v="23"/>
    <s v="CC"/>
    <s v="QL"/>
    <n v="1"/>
    <n v="2365.2199999999998"/>
    <m/>
    <m/>
    <n v="55292"/>
    <s v="D777"/>
    <s v="EXFU 051868-5"/>
    <s v="Repair"/>
    <x v="8"/>
    <d v="2018-06-29T00:00:00"/>
    <d v="2018-06-28T00:00:00"/>
    <n v="2365.2199999999998"/>
    <d v="2018-07-09T00:00:00"/>
    <n v="0"/>
    <s v="Less than 30 days"/>
    <s v="DHMXX"/>
    <x v="0"/>
    <s v="Repair"/>
  </r>
  <r>
    <x v="24"/>
    <s v="CC"/>
    <s v="QM"/>
    <n v="16"/>
    <n v="2372.94"/>
    <m/>
    <m/>
    <n v="56656"/>
    <s v="D058"/>
    <s v="TPMU 629002-8"/>
    <s v="Repair"/>
    <x v="8"/>
    <d v="2018-06-29T00:00:00"/>
    <d v="2018-06-28T00:00:00"/>
    <n v="2372.94"/>
    <d v="2018-07-09T00:00:00"/>
    <n v="0"/>
    <s v="Less than 30 days"/>
    <s v="DHMXX"/>
    <x v="0"/>
    <s v="Repair"/>
  </r>
  <r>
    <x v="25"/>
    <s v="CC"/>
    <s v="QN"/>
    <n v="16"/>
    <n v="2377.04"/>
    <m/>
    <m/>
    <n v="56656"/>
    <s v="D058"/>
    <s v="TPMU 629001-2"/>
    <s v="Repair"/>
    <x v="8"/>
    <d v="2018-06-29T00:00:00"/>
    <d v="2018-06-28T00:00:00"/>
    <n v="2377.04"/>
    <d v="2018-07-09T00:00:00"/>
    <n v="0"/>
    <s v="Less than 30 days"/>
    <s v="DHMXX"/>
    <x v="0"/>
    <s v="Repair"/>
  </r>
  <r>
    <x v="26"/>
    <s v="CC"/>
    <s v="QO"/>
    <n v="16"/>
    <n v="2665.03"/>
    <m/>
    <m/>
    <n v="56656"/>
    <s v="D058"/>
    <s v="TPMU 629000-7"/>
    <s v="Repair"/>
    <x v="8"/>
    <d v="2018-06-29T00:00:00"/>
    <d v="2018-06-28T00:00:00"/>
    <n v="2665.03"/>
    <d v="2018-07-09T00:00:00"/>
    <n v="0"/>
    <s v="Less than 30 days"/>
    <s v="DHMXX"/>
    <x v="0"/>
    <s v="Repair"/>
  </r>
  <r>
    <x v="27"/>
    <s v="CC"/>
    <s v="QP"/>
    <n v="1"/>
    <n v="2296.29"/>
    <m/>
    <m/>
    <n v="55292"/>
    <s v="D777"/>
    <s v="EXFU 051445-8"/>
    <s v="Repair"/>
    <x v="9"/>
    <d v="2018-07-19T00:00:00"/>
    <d v="2018-06-28T00:00:00"/>
    <n v="2296.29"/>
    <d v="2018-07-23T00:00:00"/>
    <n v="0"/>
    <s v="Less than 30 days"/>
    <s v="DHMXX"/>
    <x v="1"/>
    <s v="Repair"/>
  </r>
  <r>
    <x v="28"/>
    <s v="CC"/>
    <s v="QR"/>
    <n v="1"/>
    <n v="1470"/>
    <m/>
    <m/>
    <n v="1274"/>
    <s v="D358"/>
    <s v="EXFU 051846-9"/>
    <s v="Repair"/>
    <x v="10"/>
    <d v="2018-07-25T00:00:00"/>
    <d v="2018-06-28T00:00:00"/>
    <m/>
    <m/>
    <n v="1470"/>
    <s v="Less than 30 days"/>
    <s v="DHMXX"/>
    <x v="1"/>
    <s v="Repair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7">
  <r>
    <x v="0"/>
    <s v="SN"/>
    <s v="BV"/>
    <n v="1"/>
    <n v="18.7"/>
    <n v="31183515"/>
    <m/>
    <m/>
    <m/>
    <s v="Pool Shipment"/>
    <s v="Rental"/>
    <x v="0"/>
    <d v="2018-01-31T00:00:00"/>
    <d v="2018-05-25T00:00:00"/>
    <m/>
    <m/>
    <n v="18.7"/>
    <s v="More than 60 days"/>
    <s v="DOCXX"/>
    <x v="0"/>
    <s v="Invoice"/>
  </r>
  <r>
    <x v="0"/>
    <s v="SN"/>
    <s v="DS"/>
    <n v="1"/>
    <n v="74.8"/>
    <n v="31319115"/>
    <m/>
    <m/>
    <m/>
    <s v="Pool Shipment"/>
    <s v="Rental"/>
    <x v="0"/>
    <d v="2018-01-31T00:00:00"/>
    <d v="2018-05-25T00:00:00"/>
    <n v="74.8"/>
    <d v="2018-07-18T00:00:00"/>
    <n v="0"/>
    <s v="More than 60 days"/>
    <s v="DOCXX"/>
    <x v="0"/>
    <s v="Invoice"/>
  </r>
  <r>
    <x v="0"/>
    <s v="SN"/>
    <s v="DU"/>
    <n v="1"/>
    <n v="18.7"/>
    <n v="32448833"/>
    <m/>
    <m/>
    <m/>
    <s v="Pool Shipment"/>
    <s v="Rental"/>
    <x v="0"/>
    <d v="2018-01-31T00:00:00"/>
    <d v="2018-05-25T00:00:00"/>
    <m/>
    <m/>
    <n v="18.7"/>
    <s v="More than 60 days"/>
    <s v="DOCXX"/>
    <x v="0"/>
    <s v="Invoice"/>
  </r>
  <r>
    <x v="0"/>
    <s v="SN"/>
    <s v="DV"/>
    <n v="1"/>
    <n v="158.94999999999999"/>
    <n v="38519031"/>
    <m/>
    <m/>
    <m/>
    <s v="Pool Shipment"/>
    <s v="Rental"/>
    <x v="0"/>
    <d v="2018-01-31T00:00:00"/>
    <d v="2018-05-25T00:00:00"/>
    <m/>
    <m/>
    <n v="158.94999999999999"/>
    <s v="More than 60 days"/>
    <s v="DOCXX"/>
    <x v="0"/>
    <s v="Invoice"/>
  </r>
  <r>
    <x v="0"/>
    <s v="SN"/>
    <s v="DW"/>
    <n v="1"/>
    <n v="289.85000000000002"/>
    <n v="42270153"/>
    <m/>
    <m/>
    <m/>
    <s v="Pool Shipment"/>
    <s v="Rental"/>
    <x v="0"/>
    <d v="2018-01-31T00:00:00"/>
    <d v="2018-05-25T00:00:00"/>
    <n v="289.85000000000002"/>
    <d v="2018-07-18T00:00:00"/>
    <n v="0"/>
    <s v="More than 60 days"/>
    <s v="DOCXX"/>
    <x v="0"/>
    <s v="Invoice"/>
  </r>
  <r>
    <x v="0"/>
    <s v="SN"/>
    <s v="DX"/>
    <n v="1"/>
    <n v="289.85000000000002"/>
    <n v="42272913"/>
    <m/>
    <m/>
    <m/>
    <s v="Pool Shipment"/>
    <s v="Rental"/>
    <x v="0"/>
    <d v="2018-01-31T00:00:00"/>
    <d v="2018-05-25T00:00:00"/>
    <n v="289.85000000000002"/>
    <d v="2018-07-18T00:00:00"/>
    <n v="0"/>
    <s v="More than 60 days"/>
    <s v="DOCXX"/>
    <x v="0"/>
    <s v="Invoice"/>
  </r>
  <r>
    <x v="0"/>
    <s v="SN"/>
    <s v="DY"/>
    <n v="1"/>
    <n v="196.35"/>
    <n v="42277150"/>
    <m/>
    <m/>
    <m/>
    <s v="Pool Shipment"/>
    <s v="Rental"/>
    <x v="0"/>
    <d v="2018-01-31T00:00:00"/>
    <d v="2018-05-25T00:00:00"/>
    <n v="196.35"/>
    <d v="2018-07-18T00:00:00"/>
    <n v="0"/>
    <s v="More than 60 days"/>
    <s v="DOCXX"/>
    <x v="0"/>
    <s v="Invoice"/>
  </r>
  <r>
    <x v="0"/>
    <s v="SN"/>
    <s v="FJ"/>
    <n v="1"/>
    <n v="299.2"/>
    <n v="28443652"/>
    <m/>
    <m/>
    <m/>
    <s v="Pool Shipment"/>
    <s v="Rental"/>
    <x v="0"/>
    <d v="2018-01-31T00:00:00"/>
    <d v="2018-05-25T00:00:00"/>
    <m/>
    <m/>
    <n v="299.2"/>
    <s v="More than 60 days"/>
    <s v="DOCXX"/>
    <x v="0"/>
    <s v="Invoice"/>
  </r>
  <r>
    <x v="0"/>
    <s v="SN"/>
    <s v="FK"/>
    <n v="1"/>
    <n v="299.2"/>
    <n v="42243565"/>
    <m/>
    <m/>
    <m/>
    <s v="Pool Shipment"/>
    <s v="Rental"/>
    <x v="0"/>
    <d v="2018-01-31T00:00:00"/>
    <d v="2018-05-25T00:00:00"/>
    <n v="299.2"/>
    <d v="2018-07-18T00:00:00"/>
    <n v="0"/>
    <s v="More than 60 days"/>
    <s v="DOCXX"/>
    <x v="0"/>
    <s v="Invoice"/>
  </r>
  <r>
    <x v="1"/>
    <s v="SN"/>
    <s v="AC"/>
    <n v="1"/>
    <n v="271.14999999999998"/>
    <n v="28443652"/>
    <m/>
    <m/>
    <m/>
    <s v="Pool Shipment"/>
    <s v="Rental"/>
    <x v="1"/>
    <d v="2018-03-03T00:00:00"/>
    <d v="2018-05-25T00:00:00"/>
    <n v="271.14999999999998"/>
    <d v="2018-06-13T00:00:00"/>
    <n v="0"/>
    <s v="More than 60 days"/>
    <s v="DOCXX"/>
    <x v="1"/>
    <s v="Invoice"/>
  </r>
  <r>
    <x v="1"/>
    <s v="SN"/>
    <s v="DI"/>
    <n v="1"/>
    <n v="84.15"/>
    <n v="31283903"/>
    <m/>
    <m/>
    <m/>
    <s v="Pool Shipment"/>
    <s v="Rental"/>
    <x v="1"/>
    <d v="2018-03-03T00:00:00"/>
    <d v="2018-05-25T00:00:00"/>
    <n v="84.15"/>
    <d v="2018-06-13T00:00:00"/>
    <n v="0"/>
    <s v="More than 60 days"/>
    <s v="DOCXX"/>
    <x v="1"/>
    <s v="Invoice"/>
  </r>
  <r>
    <x v="1"/>
    <s v="SN"/>
    <s v="DJ"/>
    <n v="1"/>
    <n v="196.35"/>
    <n v="31289683"/>
    <m/>
    <m/>
    <m/>
    <s v="Pool Shipment"/>
    <s v="Rental"/>
    <x v="1"/>
    <d v="2018-03-03T00:00:00"/>
    <d v="2018-05-25T00:00:00"/>
    <n v="196.35"/>
    <d v="2018-06-11T00:00:00"/>
    <n v="0"/>
    <s v="More than 60 days"/>
    <s v="DOCXX"/>
    <x v="1"/>
    <s v="Invoice"/>
  </r>
  <r>
    <x v="1"/>
    <s v="SN"/>
    <s v="DK"/>
    <n v="1"/>
    <n v="261.8"/>
    <n v="31309200"/>
    <m/>
    <m/>
    <m/>
    <s v="Pool Shipment"/>
    <s v="Rental"/>
    <x v="1"/>
    <d v="2018-03-03T00:00:00"/>
    <d v="2018-05-25T00:00:00"/>
    <n v="261.8"/>
    <d v="2018-06-11T00:00:00"/>
    <n v="0"/>
    <s v="More than 60 days"/>
    <s v="DOCXX"/>
    <x v="1"/>
    <s v="Invoice"/>
  </r>
  <r>
    <x v="1"/>
    <s v="SN"/>
    <s v="DL"/>
    <n v="1"/>
    <n v="196.35"/>
    <n v="31318060"/>
    <m/>
    <m/>
    <m/>
    <s v="Pool Shipment"/>
    <s v="Rental"/>
    <x v="1"/>
    <d v="2018-03-03T00:00:00"/>
    <d v="2018-05-25T00:00:00"/>
    <n v="196.35"/>
    <d v="2018-06-11T00:00:00"/>
    <n v="0"/>
    <s v="More than 60 days"/>
    <s v="DOCXX"/>
    <x v="1"/>
    <s v="Invoice"/>
  </r>
  <r>
    <x v="1"/>
    <s v="SN"/>
    <s v="DM"/>
    <n v="1"/>
    <n v="196.35"/>
    <n v="31318060"/>
    <m/>
    <m/>
    <m/>
    <s v="Pool Shipment"/>
    <s v="Rental"/>
    <x v="1"/>
    <d v="2018-03-03T00:00:00"/>
    <d v="2018-05-25T00:00:00"/>
    <n v="196.35"/>
    <d v="2018-06-11T00:00:00"/>
    <n v="0"/>
    <s v="More than 60 days"/>
    <s v="DOCXX"/>
    <x v="1"/>
    <s v="Invoice"/>
  </r>
  <r>
    <x v="1"/>
    <s v="SN"/>
    <s v="DN"/>
    <n v="1"/>
    <n v="177.65"/>
    <n v="31318061"/>
    <m/>
    <m/>
    <m/>
    <s v="Pool Shipment"/>
    <s v="Rental"/>
    <x v="1"/>
    <d v="2018-03-03T00:00:00"/>
    <d v="2018-05-25T00:00:00"/>
    <n v="177.65"/>
    <d v="2018-06-11T00:00:00"/>
    <n v="0"/>
    <s v="More than 60 days"/>
    <s v="DOCXX"/>
    <x v="1"/>
    <s v="Invoice"/>
  </r>
  <r>
    <x v="1"/>
    <s v="SN"/>
    <s v="DO"/>
    <n v="1"/>
    <n v="271.14999999999998"/>
    <n v="31318062"/>
    <m/>
    <m/>
    <m/>
    <s v="Pool Shipment"/>
    <s v="Rental"/>
    <x v="1"/>
    <d v="2018-03-03T00:00:00"/>
    <d v="2018-05-25T00:00:00"/>
    <n v="271.14999999999998"/>
    <d v="2018-06-11T00:00:00"/>
    <n v="0"/>
    <s v="More than 60 days"/>
    <s v="DOCXX"/>
    <x v="1"/>
    <s v="Invoice"/>
  </r>
  <r>
    <x v="1"/>
    <s v="SN"/>
    <s v="DP"/>
    <n v="1"/>
    <n v="271.14999999999998"/>
    <n v="31318063"/>
    <m/>
    <m/>
    <m/>
    <s v="Pool Shipment"/>
    <s v="Rental"/>
    <x v="1"/>
    <d v="2018-03-03T00:00:00"/>
    <d v="2018-05-25T00:00:00"/>
    <n v="271.14999999999998"/>
    <d v="2018-06-11T00:00:00"/>
    <n v="0"/>
    <s v="More than 60 days"/>
    <s v="DOCXX"/>
    <x v="1"/>
    <s v="Invoice"/>
  </r>
  <r>
    <x v="1"/>
    <s v="SN"/>
    <s v="DQ"/>
    <n v="1"/>
    <n v="187"/>
    <n v="31318064"/>
    <m/>
    <m/>
    <m/>
    <s v="Pool Shipment"/>
    <s v="Rental"/>
    <x v="1"/>
    <d v="2018-03-03T00:00:00"/>
    <d v="2018-05-25T00:00:00"/>
    <n v="187"/>
    <d v="2018-06-11T00:00:00"/>
    <n v="0"/>
    <s v="More than 60 days"/>
    <s v="DOCXX"/>
    <x v="1"/>
    <s v="Invoice"/>
  </r>
  <r>
    <x v="1"/>
    <s v="SN"/>
    <s v="DR"/>
    <n v="1"/>
    <n v="46.75"/>
    <n v="31319488"/>
    <m/>
    <m/>
    <m/>
    <s v="Pool Shipment"/>
    <s v="Rental"/>
    <x v="1"/>
    <d v="2018-03-03T00:00:00"/>
    <d v="2018-05-25T00:00:00"/>
    <n v="46.75"/>
    <d v="2018-06-11T00:00:00"/>
    <n v="0"/>
    <s v="More than 60 days"/>
    <s v="DOCXX"/>
    <x v="1"/>
    <s v="Invoice"/>
  </r>
  <r>
    <x v="1"/>
    <s v="SN"/>
    <s v="DS"/>
    <n v="1"/>
    <n v="271.14999999999998"/>
    <n v="31325410"/>
    <m/>
    <m/>
    <m/>
    <s v="Pool Shipment"/>
    <s v="Rental"/>
    <x v="1"/>
    <d v="2018-03-03T00:00:00"/>
    <d v="2018-05-25T00:00:00"/>
    <n v="271.14999999999998"/>
    <d v="2018-06-11T00:00:00"/>
    <n v="0"/>
    <s v="More than 60 days"/>
    <s v="DOCXX"/>
    <x v="1"/>
    <s v="Invoice"/>
  </r>
  <r>
    <x v="1"/>
    <s v="SN"/>
    <s v="DT"/>
    <n v="1"/>
    <n v="271.14999999999998"/>
    <n v="31325411"/>
    <m/>
    <m/>
    <m/>
    <s v="Pool Shipment"/>
    <s v="Rental"/>
    <x v="1"/>
    <d v="2018-03-03T00:00:00"/>
    <d v="2018-05-25T00:00:00"/>
    <n v="271.14999999999998"/>
    <d v="2018-06-11T00:00:00"/>
    <n v="0"/>
    <s v="More than 60 days"/>
    <s v="DOCXX"/>
    <x v="1"/>
    <s v="Invoice"/>
  </r>
  <r>
    <x v="1"/>
    <s v="SN"/>
    <s v="DU"/>
    <n v="1"/>
    <n v="224.4"/>
    <n v="31325629"/>
    <m/>
    <m/>
    <m/>
    <s v="Pool Shipment"/>
    <s v="Rental"/>
    <x v="1"/>
    <d v="2018-03-03T00:00:00"/>
    <d v="2018-05-25T00:00:00"/>
    <n v="224.4"/>
    <d v="2018-06-11T00:00:00"/>
    <n v="0"/>
    <s v="More than 60 days"/>
    <s v="DOCXX"/>
    <x v="1"/>
    <s v="Invoice"/>
  </r>
  <r>
    <x v="1"/>
    <s v="SN"/>
    <s v="DV"/>
    <n v="1"/>
    <n v="84.15"/>
    <n v="31327216"/>
    <m/>
    <m/>
    <m/>
    <s v="Pool Shipment"/>
    <s v="Rental"/>
    <x v="1"/>
    <d v="2018-03-03T00:00:00"/>
    <d v="2018-05-25T00:00:00"/>
    <n v="84.15"/>
    <d v="2018-06-11T00:00:00"/>
    <n v="0"/>
    <s v="More than 60 days"/>
    <s v="DOCXX"/>
    <x v="1"/>
    <s v="Invoice"/>
  </r>
  <r>
    <x v="1"/>
    <s v="SN"/>
    <s v="DW"/>
    <n v="1"/>
    <n v="271.14999999999998"/>
    <n v="31332841"/>
    <m/>
    <m/>
    <m/>
    <s v="Pool Shipment"/>
    <s v="Rental"/>
    <x v="1"/>
    <d v="2018-03-03T00:00:00"/>
    <d v="2018-05-25T00:00:00"/>
    <n v="271.14999999999998"/>
    <d v="2018-06-11T00:00:00"/>
    <n v="0"/>
    <s v="More than 60 days"/>
    <s v="DOCXX"/>
    <x v="1"/>
    <s v="Invoice"/>
  </r>
  <r>
    <x v="1"/>
    <s v="SN"/>
    <s v="DX"/>
    <n v="1"/>
    <n v="112.2"/>
    <n v="31333667"/>
    <m/>
    <m/>
    <m/>
    <s v="Pool Shipment"/>
    <s v="Rental"/>
    <x v="1"/>
    <d v="2018-03-03T00:00:00"/>
    <d v="2018-05-25T00:00:00"/>
    <n v="112.2"/>
    <d v="2018-06-11T00:00:00"/>
    <n v="0"/>
    <s v="More than 60 days"/>
    <s v="DOCXX"/>
    <x v="1"/>
    <s v="Invoice"/>
  </r>
  <r>
    <x v="1"/>
    <s v="SN"/>
    <s v="DY"/>
    <n v="1"/>
    <n v="271.14999999999998"/>
    <n v="31334213"/>
    <m/>
    <m/>
    <m/>
    <s v="Pool Shipment"/>
    <s v="Rental"/>
    <x v="1"/>
    <d v="2018-03-03T00:00:00"/>
    <d v="2018-05-25T00:00:00"/>
    <n v="271.14999999999998"/>
    <d v="2018-06-11T00:00:00"/>
    <n v="0"/>
    <s v="More than 60 days"/>
    <s v="DOCXX"/>
    <x v="1"/>
    <s v="Invoice"/>
  </r>
  <r>
    <x v="1"/>
    <s v="SN"/>
    <s v="DZ"/>
    <n v="1"/>
    <n v="233.75"/>
    <n v="31334214"/>
    <m/>
    <m/>
    <m/>
    <s v="Pool Shipment"/>
    <s v="Rental"/>
    <x v="1"/>
    <d v="2018-03-03T00:00:00"/>
    <d v="2018-05-25T00:00:00"/>
    <n v="233.75"/>
    <d v="2018-06-11T00:00:00"/>
    <n v="0"/>
    <s v="More than 60 days"/>
    <s v="DOCXX"/>
    <x v="1"/>
    <s v="Invoice"/>
  </r>
  <r>
    <x v="1"/>
    <s v="SN"/>
    <s v="EA"/>
    <n v="1"/>
    <n v="205.7"/>
    <n v="31337974"/>
    <m/>
    <m/>
    <m/>
    <s v="Pool Shipment"/>
    <s v="Rental"/>
    <x v="1"/>
    <d v="2018-03-03T00:00:00"/>
    <d v="2018-05-25T00:00:00"/>
    <n v="205.7"/>
    <d v="2018-06-11T00:00:00"/>
    <n v="0"/>
    <s v="More than 60 days"/>
    <s v="DOCXX"/>
    <x v="1"/>
    <s v="Invoice"/>
  </r>
  <r>
    <x v="1"/>
    <s v="SN"/>
    <s v="EB"/>
    <n v="1"/>
    <n v="196.35"/>
    <n v="31352125"/>
    <m/>
    <m/>
    <m/>
    <s v="Pool Shipment"/>
    <s v="Rental"/>
    <x v="1"/>
    <d v="2018-03-03T00:00:00"/>
    <d v="2018-05-25T00:00:00"/>
    <n v="196.35"/>
    <d v="2018-06-11T00:00:00"/>
    <n v="0"/>
    <s v="More than 60 days"/>
    <s v="DOCXX"/>
    <x v="1"/>
    <s v="Invoice"/>
  </r>
  <r>
    <x v="1"/>
    <s v="SN"/>
    <s v="EC"/>
    <n v="1"/>
    <n v="233.75"/>
    <n v="31362221"/>
    <m/>
    <m/>
    <m/>
    <s v="Pool Shipment"/>
    <s v="Rental"/>
    <x v="1"/>
    <d v="2018-03-03T00:00:00"/>
    <d v="2018-05-25T00:00:00"/>
    <n v="233.75"/>
    <d v="2018-06-11T00:00:00"/>
    <n v="0"/>
    <s v="More than 60 days"/>
    <s v="DOCXX"/>
    <x v="1"/>
    <s v="Invoice"/>
  </r>
  <r>
    <x v="1"/>
    <s v="SN"/>
    <s v="ED"/>
    <n v="1"/>
    <n v="93.5"/>
    <n v="31380497"/>
    <m/>
    <m/>
    <m/>
    <s v="Pool Shipment"/>
    <s v="Rental"/>
    <x v="1"/>
    <d v="2018-03-03T00:00:00"/>
    <d v="2018-05-25T00:00:00"/>
    <n v="93.5"/>
    <d v="2018-06-11T00:00:00"/>
    <n v="0"/>
    <s v="More than 60 days"/>
    <s v="DOCXX"/>
    <x v="1"/>
    <s v="Invoice"/>
  </r>
  <r>
    <x v="1"/>
    <s v="SN"/>
    <s v="EE"/>
    <n v="1"/>
    <n v="121.55"/>
    <n v="31383175"/>
    <m/>
    <m/>
    <m/>
    <s v="Pool Shipment"/>
    <s v="Rental"/>
    <x v="1"/>
    <d v="2018-03-03T00:00:00"/>
    <d v="2018-05-25T00:00:00"/>
    <n v="121.55"/>
    <d v="2018-06-11T00:00:00"/>
    <n v="0"/>
    <s v="More than 60 days"/>
    <s v="DOCXX"/>
    <x v="1"/>
    <s v="Invoice"/>
  </r>
  <r>
    <x v="1"/>
    <s v="SN"/>
    <s v="EF"/>
    <n v="1"/>
    <n v="102.85"/>
    <n v="31383176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EG"/>
    <n v="1"/>
    <n v="130.9"/>
    <n v="31391395"/>
    <m/>
    <m/>
    <m/>
    <s v="Pool Shipment"/>
    <s v="Rental"/>
    <x v="1"/>
    <d v="2018-03-03T00:00:00"/>
    <d v="2018-05-25T00:00:00"/>
    <n v="130.9"/>
    <d v="2018-06-11T00:00:00"/>
    <n v="0"/>
    <s v="More than 60 days"/>
    <s v="DOCXX"/>
    <x v="1"/>
    <s v="Invoice"/>
  </r>
  <r>
    <x v="1"/>
    <s v="SN"/>
    <s v="EH"/>
    <n v="1"/>
    <n v="205.7"/>
    <n v="31392286"/>
    <m/>
    <m/>
    <m/>
    <s v="Pool Shipment"/>
    <s v="Rental"/>
    <x v="1"/>
    <d v="2018-03-03T00:00:00"/>
    <d v="2018-05-25T00:00:00"/>
    <n v="205.7"/>
    <d v="2018-06-11T00:00:00"/>
    <n v="0"/>
    <s v="More than 60 days"/>
    <s v="DOCXX"/>
    <x v="1"/>
    <s v="Invoice"/>
  </r>
  <r>
    <x v="1"/>
    <s v="SN"/>
    <s v="EI"/>
    <n v="1"/>
    <n v="130.9"/>
    <n v="31392417"/>
    <m/>
    <m/>
    <m/>
    <s v="Pool Shipment"/>
    <s v="Rental"/>
    <x v="1"/>
    <d v="2018-03-03T00:00:00"/>
    <d v="2018-05-25T00:00:00"/>
    <n v="130.9"/>
    <d v="2018-06-11T00:00:00"/>
    <n v="0"/>
    <s v="More than 60 days"/>
    <s v="DOCXX"/>
    <x v="1"/>
    <s v="Invoice"/>
  </r>
  <r>
    <x v="1"/>
    <s v="SN"/>
    <s v="EJ"/>
    <n v="1"/>
    <n v="187"/>
    <n v="31392696"/>
    <m/>
    <m/>
    <m/>
    <s v="Pool Shipment"/>
    <s v="Rental"/>
    <x v="1"/>
    <d v="2018-03-03T00:00:00"/>
    <d v="2018-05-25T00:00:00"/>
    <n v="187"/>
    <d v="2018-06-11T00:00:00"/>
    <n v="0"/>
    <s v="More than 60 days"/>
    <s v="DOCXX"/>
    <x v="1"/>
    <s v="Invoice"/>
  </r>
  <r>
    <x v="1"/>
    <s v="SN"/>
    <s v="EK"/>
    <n v="1"/>
    <n v="46.75"/>
    <n v="31400029"/>
    <m/>
    <m/>
    <m/>
    <s v="Pool Shipment"/>
    <s v="Rental"/>
    <x v="1"/>
    <d v="2018-03-03T00:00:00"/>
    <d v="2018-05-25T00:00:00"/>
    <n v="46.75"/>
    <d v="2018-06-11T00:00:00"/>
    <n v="0"/>
    <s v="More than 60 days"/>
    <s v="DOCXX"/>
    <x v="1"/>
    <s v="Invoice"/>
  </r>
  <r>
    <x v="1"/>
    <s v="SN"/>
    <s v="EL"/>
    <n v="1"/>
    <n v="196.35"/>
    <n v="31400686"/>
    <m/>
    <m/>
    <m/>
    <s v="Pool Shipment"/>
    <s v="Rental"/>
    <x v="1"/>
    <d v="2018-03-03T00:00:00"/>
    <d v="2018-05-25T00:00:00"/>
    <n v="196.35"/>
    <d v="2018-06-11T00:00:00"/>
    <n v="0"/>
    <s v="More than 60 days"/>
    <s v="DOCXX"/>
    <x v="1"/>
    <s v="Invoice"/>
  </r>
  <r>
    <x v="1"/>
    <s v="SN"/>
    <s v="EM"/>
    <n v="1"/>
    <n v="149.6"/>
    <n v="31401462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EN"/>
    <n v="1"/>
    <n v="149.6"/>
    <n v="31403087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EO"/>
    <n v="1"/>
    <n v="37.4"/>
    <n v="31403471"/>
    <m/>
    <m/>
    <m/>
    <s v="Pool Shipment"/>
    <s v="Rental"/>
    <x v="1"/>
    <d v="2018-03-03T00:00:00"/>
    <d v="2018-05-25T00:00:00"/>
    <n v="37.4"/>
    <d v="2018-06-11T00:00:00"/>
    <n v="0"/>
    <s v="More than 60 days"/>
    <s v="DOCXX"/>
    <x v="1"/>
    <s v="Invoice"/>
  </r>
  <r>
    <x v="1"/>
    <s v="SN"/>
    <s v="EP"/>
    <n v="1"/>
    <n v="196.35"/>
    <n v="31403472"/>
    <m/>
    <m/>
    <m/>
    <s v="Pool Shipment"/>
    <s v="Rental"/>
    <x v="1"/>
    <d v="2018-03-03T00:00:00"/>
    <d v="2018-05-25T00:00:00"/>
    <n v="196.35"/>
    <d v="2018-06-11T00:00:00"/>
    <n v="0"/>
    <s v="More than 60 days"/>
    <s v="DOCXX"/>
    <x v="1"/>
    <s v="Invoice"/>
  </r>
  <r>
    <x v="1"/>
    <s v="SN"/>
    <s v="EQ"/>
    <n v="1"/>
    <n v="168.3"/>
    <n v="31403473"/>
    <m/>
    <m/>
    <m/>
    <s v="Pool Shipment"/>
    <s v="Rental"/>
    <x v="1"/>
    <d v="2018-03-03T00:00:00"/>
    <d v="2018-05-25T00:00:00"/>
    <n v="168.3"/>
    <d v="2018-06-11T00:00:00"/>
    <n v="0"/>
    <s v="More than 60 days"/>
    <s v="DOCXX"/>
    <x v="1"/>
    <s v="Invoice"/>
  </r>
  <r>
    <x v="1"/>
    <s v="SN"/>
    <s v="ER"/>
    <n v="1"/>
    <n v="158.94999999999999"/>
    <n v="31410542"/>
    <m/>
    <m/>
    <m/>
    <s v="Pool Shipment"/>
    <s v="Rental"/>
    <x v="1"/>
    <d v="2018-03-03T00:00:00"/>
    <d v="2018-05-25T00:00:00"/>
    <n v="158.94999999999999"/>
    <d v="2018-06-11T00:00:00"/>
    <n v="0"/>
    <s v="More than 60 days"/>
    <s v="DOCXX"/>
    <x v="1"/>
    <s v="Invoice"/>
  </r>
  <r>
    <x v="1"/>
    <s v="SN"/>
    <s v="ES"/>
    <n v="1"/>
    <n v="149.6"/>
    <n v="31410776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ET"/>
    <n v="1"/>
    <n v="168.3"/>
    <n v="31410786"/>
    <m/>
    <m/>
    <m/>
    <s v="Pool Shipment"/>
    <s v="Rental"/>
    <x v="1"/>
    <d v="2018-03-03T00:00:00"/>
    <d v="2018-05-25T00:00:00"/>
    <n v="168.3"/>
    <d v="2018-06-11T00:00:00"/>
    <n v="0"/>
    <s v="More than 60 days"/>
    <s v="DOCXX"/>
    <x v="1"/>
    <s v="Invoice"/>
  </r>
  <r>
    <x v="1"/>
    <s v="SN"/>
    <s v="EU"/>
    <n v="1"/>
    <n v="158.94999999999999"/>
    <n v="31410787"/>
    <m/>
    <m/>
    <m/>
    <s v="Pool Shipment"/>
    <s v="Rental"/>
    <x v="1"/>
    <d v="2018-03-03T00:00:00"/>
    <d v="2018-05-25T00:00:00"/>
    <n v="158.94999999999999"/>
    <d v="2018-06-11T00:00:00"/>
    <n v="0"/>
    <s v="More than 60 days"/>
    <s v="DOCXX"/>
    <x v="1"/>
    <s v="Invoice"/>
  </r>
  <r>
    <x v="1"/>
    <s v="SN"/>
    <s v="EV"/>
    <n v="1"/>
    <n v="168.3"/>
    <n v="31410788"/>
    <m/>
    <m/>
    <m/>
    <s v="Pool Shipment"/>
    <s v="Rental"/>
    <x v="1"/>
    <d v="2018-03-03T00:00:00"/>
    <d v="2018-05-25T00:00:00"/>
    <n v="168.3"/>
    <d v="2018-06-11T00:00:00"/>
    <n v="0"/>
    <s v="More than 60 days"/>
    <s v="DOCXX"/>
    <x v="1"/>
    <s v="Invoice"/>
  </r>
  <r>
    <x v="1"/>
    <s v="SN"/>
    <s v="EW"/>
    <n v="1"/>
    <n v="140.25"/>
    <n v="31410844"/>
    <m/>
    <m/>
    <m/>
    <s v="Pool Shipment"/>
    <s v="Rental"/>
    <x v="1"/>
    <d v="2018-03-03T00:00:00"/>
    <d v="2018-05-25T00:00:00"/>
    <n v="140.25"/>
    <d v="2018-06-11T00:00:00"/>
    <n v="0"/>
    <s v="More than 60 days"/>
    <s v="DOCXX"/>
    <x v="1"/>
    <s v="Invoice"/>
  </r>
  <r>
    <x v="1"/>
    <s v="SN"/>
    <s v="EX"/>
    <n v="1"/>
    <n v="158.94999999999999"/>
    <n v="31423223"/>
    <m/>
    <m/>
    <m/>
    <s v="Pool Shipment"/>
    <s v="Rental"/>
    <x v="1"/>
    <d v="2018-03-03T00:00:00"/>
    <d v="2018-05-25T00:00:00"/>
    <n v="158.94999999999999"/>
    <d v="2018-06-11T00:00:00"/>
    <n v="0"/>
    <s v="More than 60 days"/>
    <s v="DOCXX"/>
    <x v="1"/>
    <s v="Invoice"/>
  </r>
  <r>
    <x v="1"/>
    <s v="SN"/>
    <s v="EY"/>
    <n v="1"/>
    <n v="121.55"/>
    <n v="31423224"/>
    <m/>
    <m/>
    <m/>
    <s v="Pool Shipment"/>
    <s v="Rental"/>
    <x v="1"/>
    <d v="2018-03-03T00:00:00"/>
    <d v="2018-05-25T00:00:00"/>
    <n v="121.55"/>
    <d v="2018-06-11T00:00:00"/>
    <n v="0"/>
    <s v="More than 60 days"/>
    <s v="DOCXX"/>
    <x v="1"/>
    <s v="Invoice"/>
  </r>
  <r>
    <x v="1"/>
    <s v="SN"/>
    <s v="EZ"/>
    <n v="1"/>
    <n v="149.6"/>
    <n v="31423225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FA"/>
    <n v="1"/>
    <n v="158.94999999999999"/>
    <n v="31423651"/>
    <m/>
    <m/>
    <m/>
    <s v="Pool Shipment"/>
    <s v="Rental"/>
    <x v="1"/>
    <d v="2018-03-03T00:00:00"/>
    <d v="2018-05-25T00:00:00"/>
    <n v="158.94999999999999"/>
    <d v="2018-06-11T00:00:00"/>
    <n v="0"/>
    <s v="More than 60 days"/>
    <s v="DOCXX"/>
    <x v="1"/>
    <s v="Invoice"/>
  </r>
  <r>
    <x v="1"/>
    <s v="SN"/>
    <s v="FB"/>
    <n v="1"/>
    <n v="149.6"/>
    <n v="31426556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FC"/>
    <n v="1"/>
    <n v="149.6"/>
    <n v="31426556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FD"/>
    <n v="1"/>
    <n v="130.9"/>
    <n v="31426557"/>
    <m/>
    <m/>
    <m/>
    <s v="Pool Shipment"/>
    <s v="Rental"/>
    <x v="1"/>
    <d v="2018-03-03T00:00:00"/>
    <d v="2018-05-25T00:00:00"/>
    <n v="130.9"/>
    <d v="2018-06-11T00:00:00"/>
    <n v="0"/>
    <s v="More than 60 days"/>
    <s v="DOCXX"/>
    <x v="1"/>
    <s v="Invoice"/>
  </r>
  <r>
    <x v="1"/>
    <s v="SN"/>
    <s v="FE"/>
    <n v="1"/>
    <n v="130.9"/>
    <n v="31426557"/>
    <m/>
    <m/>
    <m/>
    <s v="Pool Shipment"/>
    <s v="Rental"/>
    <x v="1"/>
    <d v="2018-03-03T00:00:00"/>
    <d v="2018-05-25T00:00:00"/>
    <n v="130.9"/>
    <d v="2018-06-11T00:00:00"/>
    <n v="0"/>
    <s v="More than 60 days"/>
    <s v="DOCXX"/>
    <x v="1"/>
    <s v="Invoice"/>
  </r>
  <r>
    <x v="1"/>
    <s v="SN"/>
    <s v="FF"/>
    <n v="1"/>
    <n v="102.85"/>
    <n v="31426558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G"/>
    <n v="1"/>
    <n v="102.85"/>
    <n v="31426559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H"/>
    <n v="1"/>
    <n v="102.85"/>
    <n v="31426559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I"/>
    <n v="1"/>
    <n v="140.25"/>
    <n v="31431413"/>
    <m/>
    <m/>
    <m/>
    <s v="Pool Shipment"/>
    <s v="Rental"/>
    <x v="1"/>
    <d v="2018-03-03T00:00:00"/>
    <d v="2018-05-25T00:00:00"/>
    <n v="140.25"/>
    <d v="2018-06-11T00:00:00"/>
    <n v="0"/>
    <s v="More than 60 days"/>
    <s v="DOCXX"/>
    <x v="1"/>
    <s v="Invoice"/>
  </r>
  <r>
    <x v="1"/>
    <s v="SN"/>
    <s v="FJ"/>
    <n v="1"/>
    <n v="149.6"/>
    <n v="31431417"/>
    <m/>
    <m/>
    <m/>
    <s v="Pool Shipment"/>
    <s v="Rental"/>
    <x v="1"/>
    <d v="2018-03-03T00:00:00"/>
    <d v="2018-05-25T00:00:00"/>
    <n v="149.6"/>
    <d v="2018-06-11T00:00:00"/>
    <n v="0"/>
    <s v="More than 60 days"/>
    <s v="DOCXX"/>
    <x v="1"/>
    <s v="Invoice"/>
  </r>
  <r>
    <x v="1"/>
    <s v="SN"/>
    <s v="FK"/>
    <n v="1"/>
    <n v="158.94999999999999"/>
    <n v="31433651"/>
    <m/>
    <m/>
    <m/>
    <s v="Pool Shipment"/>
    <s v="Rental"/>
    <x v="1"/>
    <d v="2018-03-03T00:00:00"/>
    <d v="2018-05-25T00:00:00"/>
    <n v="158.94999999999999"/>
    <d v="2018-06-11T00:00:00"/>
    <n v="0"/>
    <s v="More than 60 days"/>
    <s v="DOCXX"/>
    <x v="1"/>
    <s v="Invoice"/>
  </r>
  <r>
    <x v="1"/>
    <s v="SN"/>
    <s v="FL"/>
    <n v="1"/>
    <n v="168.3"/>
    <n v="31434521"/>
    <m/>
    <m/>
    <m/>
    <s v="Pool Shipment"/>
    <s v="Rental"/>
    <x v="1"/>
    <d v="2018-03-03T00:00:00"/>
    <d v="2018-05-25T00:00:00"/>
    <n v="168.3"/>
    <d v="2018-06-11T00:00:00"/>
    <n v="0"/>
    <s v="More than 60 days"/>
    <s v="DOCXX"/>
    <x v="1"/>
    <s v="Invoice"/>
  </r>
  <r>
    <x v="1"/>
    <s v="SN"/>
    <s v="FM"/>
    <n v="1"/>
    <n v="65.45"/>
    <n v="31434525"/>
    <m/>
    <m/>
    <m/>
    <s v="Pool Shipment"/>
    <s v="Rental"/>
    <x v="1"/>
    <d v="2018-03-03T00:00:00"/>
    <d v="2018-05-25T00:00:00"/>
    <n v="65.45"/>
    <d v="2018-06-11T00:00:00"/>
    <n v="0"/>
    <s v="More than 60 days"/>
    <s v="DOCXX"/>
    <x v="1"/>
    <s v="Invoice"/>
  </r>
  <r>
    <x v="1"/>
    <s v="SN"/>
    <s v="FN"/>
    <n v="1"/>
    <n v="65.45"/>
    <n v="31434525"/>
    <m/>
    <m/>
    <m/>
    <s v="Pool Shipment"/>
    <s v="Rental"/>
    <x v="1"/>
    <d v="2018-03-03T00:00:00"/>
    <d v="2018-05-25T00:00:00"/>
    <n v="65.45"/>
    <d v="2018-06-11T00:00:00"/>
    <n v="0"/>
    <s v="More than 60 days"/>
    <s v="DOCXX"/>
    <x v="1"/>
    <s v="Invoice"/>
  </r>
  <r>
    <x v="1"/>
    <s v="SN"/>
    <s v="FO"/>
    <n v="1"/>
    <n v="140.25"/>
    <n v="31434536"/>
    <m/>
    <m/>
    <m/>
    <s v="Pool Shipment"/>
    <s v="Rental"/>
    <x v="1"/>
    <d v="2018-03-03T00:00:00"/>
    <d v="2018-05-25T00:00:00"/>
    <n v="140.25"/>
    <d v="2018-06-11T00:00:00"/>
    <n v="0"/>
    <s v="More than 60 days"/>
    <s v="DOCXX"/>
    <x v="1"/>
    <s v="Invoice"/>
  </r>
  <r>
    <x v="1"/>
    <s v="SN"/>
    <s v="FP"/>
    <n v="1"/>
    <n v="158.94999999999999"/>
    <n v="31434538"/>
    <m/>
    <m/>
    <m/>
    <s v="Pool Shipment"/>
    <s v="Rental"/>
    <x v="1"/>
    <d v="2018-03-03T00:00:00"/>
    <d v="2018-05-25T00:00:00"/>
    <n v="158.94999999999999"/>
    <d v="2018-06-11T00:00:00"/>
    <n v="0"/>
    <s v="More than 60 days"/>
    <s v="DOCXX"/>
    <x v="1"/>
    <s v="Invoice"/>
  </r>
  <r>
    <x v="1"/>
    <s v="SN"/>
    <s v="FQ"/>
    <n v="1"/>
    <n v="93.5"/>
    <n v="31452426"/>
    <m/>
    <m/>
    <m/>
    <s v="Pool Shipment"/>
    <s v="Rental"/>
    <x v="1"/>
    <d v="2018-03-03T00:00:00"/>
    <d v="2018-05-25T00:00:00"/>
    <n v="93.5"/>
    <d v="2018-06-11T00:00:00"/>
    <n v="0"/>
    <s v="More than 60 days"/>
    <s v="DOCXX"/>
    <x v="1"/>
    <s v="Invoice"/>
  </r>
  <r>
    <x v="1"/>
    <s v="SN"/>
    <s v="FR"/>
    <n v="1"/>
    <n v="65.45"/>
    <n v="31460448"/>
    <m/>
    <m/>
    <m/>
    <s v="Pool Shipment"/>
    <s v="Rental"/>
    <x v="1"/>
    <d v="2018-03-03T00:00:00"/>
    <d v="2018-05-25T00:00:00"/>
    <n v="65.45"/>
    <d v="2018-06-11T00:00:00"/>
    <n v="0"/>
    <s v="More than 60 days"/>
    <s v="DOCXX"/>
    <x v="1"/>
    <s v="Invoice"/>
  </r>
  <r>
    <x v="1"/>
    <s v="SN"/>
    <s v="FS"/>
    <n v="1"/>
    <n v="65.45"/>
    <n v="31460449"/>
    <m/>
    <m/>
    <m/>
    <s v="Pool Shipment"/>
    <s v="Rental"/>
    <x v="1"/>
    <d v="2018-03-03T00:00:00"/>
    <d v="2018-05-25T00:00:00"/>
    <n v="65.45"/>
    <d v="2018-06-11T00:00:00"/>
    <n v="0"/>
    <s v="More than 60 days"/>
    <s v="DOCXX"/>
    <x v="1"/>
    <s v="Invoice"/>
  </r>
  <r>
    <x v="1"/>
    <s v="SN"/>
    <s v="FT"/>
    <n v="1"/>
    <n v="102.85"/>
    <n v="31461172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U"/>
    <n v="1"/>
    <n v="102.85"/>
    <n v="31473661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V"/>
    <n v="1"/>
    <n v="102.85"/>
    <n v="31473661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W"/>
    <n v="1"/>
    <n v="102.85"/>
    <n v="31473966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X"/>
    <n v="1"/>
    <n v="93.5"/>
    <n v="31494716"/>
    <m/>
    <m/>
    <m/>
    <s v="Pool Shipment"/>
    <s v="Rental"/>
    <x v="1"/>
    <d v="2018-03-03T00:00:00"/>
    <d v="2018-05-25T00:00:00"/>
    <n v="93.5"/>
    <d v="2018-06-11T00:00:00"/>
    <n v="0"/>
    <s v="More than 60 days"/>
    <s v="DOCXX"/>
    <x v="1"/>
    <s v="Invoice"/>
  </r>
  <r>
    <x v="1"/>
    <s v="SN"/>
    <s v="FY"/>
    <n v="1"/>
    <n v="102.85"/>
    <n v="31494717"/>
    <m/>
    <m/>
    <m/>
    <s v="Pool Shipment"/>
    <s v="Rental"/>
    <x v="1"/>
    <d v="2018-03-03T00:00:00"/>
    <d v="2018-05-25T00:00:00"/>
    <n v="102.85"/>
    <d v="2018-06-11T00:00:00"/>
    <n v="0"/>
    <s v="More than 60 days"/>
    <s v="DOCXX"/>
    <x v="1"/>
    <s v="Invoice"/>
  </r>
  <r>
    <x v="1"/>
    <s v="SN"/>
    <s v="FZ"/>
    <n v="1"/>
    <n v="93.5"/>
    <n v="31494719"/>
    <m/>
    <m/>
    <m/>
    <s v="Pool Shipment"/>
    <s v="Rental"/>
    <x v="1"/>
    <d v="2018-03-03T00:00:00"/>
    <d v="2018-05-25T00:00:00"/>
    <n v="93.5"/>
    <d v="2018-06-11T00:00:00"/>
    <n v="0"/>
    <s v="More than 60 days"/>
    <s v="DOCXX"/>
    <x v="1"/>
    <s v="Invoice"/>
  </r>
  <r>
    <x v="1"/>
    <s v="SN"/>
    <s v="GA"/>
    <n v="1"/>
    <n v="84.15"/>
    <n v="31495315"/>
    <m/>
    <m/>
    <m/>
    <s v="Pool Shipment"/>
    <s v="Rental"/>
    <x v="1"/>
    <d v="2018-03-03T00:00:00"/>
    <d v="2018-05-25T00:00:00"/>
    <n v="84.15"/>
    <d v="2018-06-11T00:00:00"/>
    <n v="0"/>
    <s v="More than 60 days"/>
    <s v="DOCXX"/>
    <x v="1"/>
    <s v="Invoice"/>
  </r>
  <r>
    <x v="1"/>
    <s v="PO"/>
    <s v="GB"/>
    <n v="1"/>
    <n v="271.14999999999998"/>
    <m/>
    <n v="4320253960"/>
    <m/>
    <m/>
    <s v="Pool Shipment"/>
    <s v="Rental"/>
    <x v="1"/>
    <d v="2018-03-03T00:00:00"/>
    <d v="2018-05-25T00:00:00"/>
    <n v="271.14999999999998"/>
    <d v="2018-06-04T00:00:00"/>
    <n v="0"/>
    <s v="More than 60 days"/>
    <s v="DOCXX"/>
    <x v="1"/>
    <s v="Invoice"/>
  </r>
  <r>
    <x v="2"/>
    <s v="RH"/>
    <s v="A"/>
    <n v="4007"/>
    <n v="299.2"/>
    <n v="28443652"/>
    <m/>
    <m/>
    <m/>
    <s v="Pool Shipment"/>
    <s v="Rental"/>
    <x v="2"/>
    <d v="2018-03-31T00:00:00"/>
    <d v="2018-05-25T00:00:00"/>
    <m/>
    <m/>
    <n v="299.2"/>
    <s v="More than 60 days"/>
    <s v="DOCXX"/>
    <x v="0"/>
    <s v="Invoice"/>
  </r>
  <r>
    <x v="3"/>
    <s v="CC"/>
    <s v="V"/>
    <n v="1"/>
    <n v="10628.57"/>
    <m/>
    <m/>
    <n v="1274"/>
    <s v="D358"/>
    <s v="Freeport Chassis &amp; Other Pool"/>
    <s v="Rental"/>
    <x v="3"/>
    <d v="2018-05-01T00:00:00"/>
    <d v="2018-05-23T00:00:00"/>
    <n v="10628.57"/>
    <d v="2018-05-30T00:00:00"/>
    <n v="0"/>
    <s v="More than 60 days"/>
    <s v="DOCXX"/>
    <x v="1"/>
    <s v="Invoice"/>
  </r>
  <r>
    <x v="3"/>
    <s v="CC"/>
    <s v="W"/>
    <n v="1"/>
    <n v="9380.7000000000007"/>
    <m/>
    <m/>
    <n v="1273"/>
    <s v="D358"/>
    <s v="Freeport Chassis &amp; Other Pool"/>
    <s v="Rental"/>
    <x v="3"/>
    <d v="2018-05-01T00:00:00"/>
    <d v="2018-05-23T00:00:00"/>
    <n v="9380.7000000000007"/>
    <d v="2018-05-30T00:00:00"/>
    <n v="0"/>
    <s v="More than 60 days"/>
    <s v="DOCXX"/>
    <x v="1"/>
    <s v="Invoice"/>
  </r>
  <r>
    <x v="3"/>
    <s v="CC"/>
    <s v="X"/>
    <n v="1"/>
    <n v="9031.85"/>
    <m/>
    <m/>
    <n v="58008"/>
    <s v="D266"/>
    <s v="Freeport Chassis &amp; Other Pool"/>
    <s v="Rental"/>
    <x v="3"/>
    <d v="2018-05-01T00:00:00"/>
    <d v="2018-05-23T00:00:00"/>
    <n v="9031.85"/>
    <d v="2018-05-30T00:00:00"/>
    <n v="0"/>
    <s v="More than 60 days"/>
    <s v="DOCXX"/>
    <x v="1"/>
    <s v="Invoice"/>
  </r>
  <r>
    <x v="3"/>
    <s v="CC"/>
    <s v="Y"/>
    <n v="1"/>
    <n v="4954.95"/>
    <m/>
    <m/>
    <n v="66660"/>
    <s v="D009"/>
    <s v="Freeport Chassis &amp; Other Pool"/>
    <s v="Rental"/>
    <x v="3"/>
    <d v="2018-05-01T00:00:00"/>
    <d v="2018-05-23T00:00:00"/>
    <n v="4954.95"/>
    <d v="2018-05-30T00:00:00"/>
    <n v="0"/>
    <s v="More than 60 days"/>
    <s v="DOCXX"/>
    <x v="1"/>
    <s v="Invoice"/>
  </r>
  <r>
    <x v="3"/>
    <s v="CC"/>
    <s v="Z"/>
    <n v="1"/>
    <n v="4253.54"/>
    <m/>
    <m/>
    <n v="97900"/>
    <s v="D358"/>
    <s v="Freeport Chassis &amp; Other Pool"/>
    <s v="Rental"/>
    <x v="3"/>
    <d v="2018-05-01T00:00:00"/>
    <d v="2018-05-23T00:00:00"/>
    <n v="4253.54"/>
    <d v="2018-05-30T00:00:00"/>
    <n v="0"/>
    <s v="More than 60 days"/>
    <s v="DOCXX"/>
    <x v="1"/>
    <s v="Invoice"/>
  </r>
  <r>
    <x v="3"/>
    <s v="CC"/>
    <s v="AA"/>
    <n v="1"/>
    <n v="2857.14"/>
    <m/>
    <m/>
    <n v="66665"/>
    <s v="D356"/>
    <s v="Freeport Chassis &amp; Other Pool"/>
    <s v="Rental"/>
    <x v="3"/>
    <d v="2018-05-01T00:00:00"/>
    <d v="2018-05-23T00:00:00"/>
    <n v="2857.14"/>
    <d v="2018-05-30T00:00:00"/>
    <n v="0"/>
    <s v="More than 60 days"/>
    <s v="DOCXX"/>
    <x v="1"/>
    <s v="Invoice"/>
  </r>
  <r>
    <x v="3"/>
    <s v="CC"/>
    <s v="AB"/>
    <n v="1"/>
    <n v="2850.71"/>
    <m/>
    <m/>
    <n v="167840"/>
    <s v="D015"/>
    <s v="Freeport Chassis &amp; Other Pool"/>
    <s v="Rental"/>
    <x v="3"/>
    <d v="2018-05-01T00:00:00"/>
    <d v="2018-05-23T00:00:00"/>
    <n v="2850.71"/>
    <d v="2018-05-30T00:00:00"/>
    <n v="0"/>
    <s v="More than 60 days"/>
    <s v="DOCXX"/>
    <x v="1"/>
    <s v="Invoice"/>
  </r>
  <r>
    <x v="3"/>
    <s v="CC"/>
    <s v="AC"/>
    <n v="1"/>
    <n v="2451.7399999999998"/>
    <m/>
    <m/>
    <n v="68162"/>
    <s v="D344"/>
    <s v="Freeport Chassis &amp; Other Pool"/>
    <s v="Rental"/>
    <x v="3"/>
    <d v="2018-05-01T00:00:00"/>
    <d v="2018-05-23T00:00:00"/>
    <n v="2451.7399999999998"/>
    <d v="2018-05-30T00:00:00"/>
    <n v="0"/>
    <s v="More than 60 days"/>
    <s v="DOCXX"/>
    <x v="1"/>
    <s v="Invoice"/>
  </r>
  <r>
    <x v="3"/>
    <s v="CC"/>
    <s v="AD"/>
    <n v="1"/>
    <n v="2213.64"/>
    <m/>
    <m/>
    <n v="55785"/>
    <s v="D355"/>
    <s v="Freeport Chassis &amp; Other Pool"/>
    <s v="Rental"/>
    <x v="3"/>
    <d v="2018-05-01T00:00:00"/>
    <d v="2018-05-23T00:00:00"/>
    <n v="2213.64"/>
    <d v="2018-05-30T00:00:00"/>
    <n v="0"/>
    <s v="More than 60 days"/>
    <s v="DOCXX"/>
    <x v="1"/>
    <s v="Invoice"/>
  </r>
  <r>
    <x v="3"/>
    <s v="CC"/>
    <s v="AE"/>
    <n v="1"/>
    <n v="1994.85"/>
    <m/>
    <m/>
    <n v="82624"/>
    <s v="D407"/>
    <s v="Freeport Chassis &amp; Other Pool"/>
    <s v="Rental"/>
    <x v="3"/>
    <d v="2018-05-01T00:00:00"/>
    <d v="2018-05-23T00:00:00"/>
    <n v="1994.85"/>
    <d v="2018-05-30T00:00:00"/>
    <n v="0"/>
    <s v="More than 60 days"/>
    <s v="DOCXX"/>
    <x v="1"/>
    <s v="Invoice"/>
  </r>
  <r>
    <x v="3"/>
    <s v="CC"/>
    <s v="AF"/>
    <n v="1"/>
    <n v="1917.63"/>
    <m/>
    <m/>
    <n v="67904"/>
    <s v="D407"/>
    <s v="Freeport Chassis &amp; Other Pool"/>
    <s v="Rental"/>
    <x v="3"/>
    <d v="2018-05-01T00:00:00"/>
    <d v="2018-05-23T00:00:00"/>
    <n v="1917.63"/>
    <d v="2018-05-30T00:00:00"/>
    <n v="0"/>
    <s v="More than 60 days"/>
    <s v="DOCXX"/>
    <x v="1"/>
    <s v="Invoice"/>
  </r>
  <r>
    <x v="3"/>
    <s v="CC"/>
    <s v="AG"/>
    <n v="1"/>
    <n v="1756.76"/>
    <m/>
    <m/>
    <n v="66652"/>
    <s v="D213"/>
    <s v="Freeport Chassis &amp; Other Pool"/>
    <s v="Rental"/>
    <x v="3"/>
    <d v="2018-05-01T00:00:00"/>
    <d v="2018-05-23T00:00:00"/>
    <n v="1756.76"/>
    <d v="2018-05-30T00:00:00"/>
    <n v="0"/>
    <s v="More than 60 days"/>
    <s v="DOCXX"/>
    <x v="1"/>
    <s v="Invoice"/>
  </r>
  <r>
    <x v="3"/>
    <s v="CC"/>
    <s v="AH"/>
    <n v="1"/>
    <n v="1750.32"/>
    <m/>
    <m/>
    <n v="1204"/>
    <s v="D357"/>
    <s v="Freeport Chassis &amp; Other Pool"/>
    <s v="Rental"/>
    <x v="3"/>
    <d v="2018-05-01T00:00:00"/>
    <d v="2018-05-23T00:00:00"/>
    <n v="1750.32"/>
    <d v="2018-05-30T00:00:00"/>
    <n v="0"/>
    <s v="More than 60 days"/>
    <s v="DOCXX"/>
    <x v="1"/>
    <s v="Invoice"/>
  </r>
  <r>
    <x v="3"/>
    <s v="CC"/>
    <s v="AI"/>
    <n v="1"/>
    <n v="1576.58"/>
    <m/>
    <m/>
    <n v="75797"/>
    <s v="D348"/>
    <s v="Freeport Chassis &amp; Other Pool"/>
    <s v="Rental"/>
    <x v="3"/>
    <d v="2018-05-01T00:00:00"/>
    <d v="2018-05-23T00:00:00"/>
    <n v="1576.58"/>
    <d v="2018-05-30T00:00:00"/>
    <n v="0"/>
    <s v="More than 60 days"/>
    <s v="DOCXX"/>
    <x v="1"/>
    <s v="Invoice"/>
  </r>
  <r>
    <x v="3"/>
    <s v="CC"/>
    <s v="AJ"/>
    <n v="1"/>
    <n v="1492.92"/>
    <m/>
    <m/>
    <n v="55609"/>
    <s v="D449"/>
    <s v="Freeport Chassis &amp; Other Pool"/>
    <s v="Rental"/>
    <x v="3"/>
    <d v="2018-05-01T00:00:00"/>
    <d v="2018-05-23T00:00:00"/>
    <n v="1492.92"/>
    <d v="2018-05-30T00:00:00"/>
    <n v="0"/>
    <s v="More than 60 days"/>
    <s v="DOCXX"/>
    <x v="1"/>
    <s v="Invoice"/>
  </r>
  <r>
    <x v="3"/>
    <s v="CC"/>
    <s v="AK"/>
    <n v="1"/>
    <n v="1280.57"/>
    <m/>
    <m/>
    <n v="1356"/>
    <s v="D360"/>
    <s v="Freeport Chassis &amp; Other Pool"/>
    <s v="Rental"/>
    <x v="3"/>
    <d v="2018-05-01T00:00:00"/>
    <d v="2018-05-23T00:00:00"/>
    <n v="1280.57"/>
    <d v="2018-05-30T00:00:00"/>
    <n v="0"/>
    <s v="More than 60 days"/>
    <s v="DOCXX"/>
    <x v="1"/>
    <s v="Invoice"/>
  </r>
  <r>
    <x v="3"/>
    <s v="CC"/>
    <s v="AL"/>
    <n v="1"/>
    <n v="1222.6500000000001"/>
    <m/>
    <m/>
    <n v="68260"/>
    <s v="D002"/>
    <s v="Freeport Chassis &amp; Other Pool"/>
    <s v="Rental"/>
    <x v="3"/>
    <d v="2018-05-01T00:00:00"/>
    <d v="2018-05-23T00:00:00"/>
    <n v="1222.6500000000001"/>
    <d v="2018-05-30T00:00:00"/>
    <n v="0"/>
    <s v="More than 60 days"/>
    <s v="DOCXX"/>
    <x v="1"/>
    <s v="Invoice"/>
  </r>
  <r>
    <x v="3"/>
    <s v="CC"/>
    <s v="AM"/>
    <n v="1"/>
    <n v="804.38"/>
    <m/>
    <m/>
    <n v="82294"/>
    <s v="D407"/>
    <s v="Freeport Chassis &amp; Other Pool"/>
    <s v="Rental"/>
    <x v="3"/>
    <d v="2018-05-01T00:00:00"/>
    <d v="2018-05-23T00:00:00"/>
    <n v="804.38"/>
    <d v="2018-05-30T00:00:00"/>
    <n v="0"/>
    <s v="More than 60 days"/>
    <s v="DOCXX"/>
    <x v="1"/>
    <s v="Invoice"/>
  </r>
  <r>
    <x v="3"/>
    <s v="CC"/>
    <s v="AN"/>
    <n v="1"/>
    <n v="643.5"/>
    <m/>
    <m/>
    <n v="68235"/>
    <s v="D232"/>
    <s v="Freeport Chassis &amp; Other Pool"/>
    <s v="Rental"/>
    <x v="3"/>
    <d v="2018-05-01T00:00:00"/>
    <d v="2018-05-23T00:00:00"/>
    <n v="643.5"/>
    <d v="2018-05-30T00:00:00"/>
    <n v="0"/>
    <s v="More than 60 days"/>
    <s v="DOCXX"/>
    <x v="1"/>
    <s v="Invoice"/>
  </r>
  <r>
    <x v="3"/>
    <s v="CC"/>
    <s v="AO"/>
    <n v="1"/>
    <n v="643.5"/>
    <m/>
    <m/>
    <n v="172324"/>
    <s v="E324"/>
    <s v="Freeport Chassis &amp; Other Pool"/>
    <s v="Rental"/>
    <x v="3"/>
    <d v="2018-05-01T00:00:00"/>
    <d v="2018-05-23T00:00:00"/>
    <n v="643.5"/>
    <d v="2018-05-30T00:00:00"/>
    <n v="0"/>
    <s v="More than 60 days"/>
    <s v="DOCXX"/>
    <x v="1"/>
    <s v="Invoice"/>
  </r>
  <r>
    <x v="3"/>
    <s v="CC"/>
    <s v="AP"/>
    <n v="1"/>
    <n v="643.5"/>
    <m/>
    <m/>
    <n v="82330"/>
    <s v="D017"/>
    <s v="Freeport Chassis &amp; Other Pool"/>
    <s v="Rental"/>
    <x v="3"/>
    <d v="2018-05-01T00:00:00"/>
    <d v="2018-05-23T00:00:00"/>
    <n v="643.5"/>
    <d v="2018-05-30T00:00:00"/>
    <n v="0"/>
    <s v="More than 60 days"/>
    <s v="DOCXX"/>
    <x v="1"/>
    <s v="Invoice"/>
  </r>
  <r>
    <x v="4"/>
    <s v="CC"/>
    <s v="A"/>
    <n v="1"/>
    <n v="300"/>
    <m/>
    <m/>
    <n v="55644"/>
    <s v="E340"/>
    <s v="EXFU5211407"/>
    <s v="Rental"/>
    <x v="4"/>
    <d v="2018-05-30T00:00:00"/>
    <d v="2018-04-30T00:00:00"/>
    <n v="300"/>
    <d v="2018-05-30T00:00:00"/>
    <n v="0"/>
    <s v="30-60 days"/>
    <s v="DOCXX"/>
    <x v="1"/>
    <s v="Invoice"/>
  </r>
  <r>
    <x v="4"/>
    <s v="CC"/>
    <s v="B"/>
    <n v="1"/>
    <n v="300"/>
    <m/>
    <m/>
    <n v="55644"/>
    <s v="E340"/>
    <s v="EXFU5211794"/>
    <s v="Rental"/>
    <x v="4"/>
    <d v="2018-05-30T00:00:00"/>
    <d v="2018-04-30T00:00:00"/>
    <n v="300"/>
    <d v="2018-05-30T00:00:00"/>
    <n v="0"/>
    <s v="30-60 days"/>
    <s v="DOCXX"/>
    <x v="1"/>
    <s v="Invoice"/>
  </r>
  <r>
    <x v="4"/>
    <s v="CC"/>
    <s v="C"/>
    <n v="1"/>
    <n v="300"/>
    <m/>
    <m/>
    <n v="55644"/>
    <s v="E340"/>
    <s v="EXFU5211829"/>
    <s v="Rental"/>
    <x v="4"/>
    <d v="2018-05-30T00:00:00"/>
    <d v="2018-04-30T00:00:00"/>
    <n v="300"/>
    <d v="2018-05-30T00:00:00"/>
    <n v="0"/>
    <s v="30-60 days"/>
    <s v="DOCXX"/>
    <x v="1"/>
    <s v="Invoice"/>
  </r>
  <r>
    <x v="4"/>
    <s v="CC"/>
    <s v="D"/>
    <n v="1"/>
    <n v="225"/>
    <m/>
    <m/>
    <n v="122967"/>
    <s v="D449"/>
    <s v="EXSZ901083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"/>
    <n v="1"/>
    <n v="225"/>
    <m/>
    <m/>
    <n v="122967"/>
    <s v="D449"/>
    <s v="EXSZ901086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F"/>
    <n v="1"/>
    <n v="225"/>
    <m/>
    <m/>
    <n v="122967"/>
    <s v="D449"/>
    <s v="EXSZ901100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G"/>
    <n v="1"/>
    <n v="225"/>
    <m/>
    <m/>
    <n v="122967"/>
    <s v="D449"/>
    <s v="EXSZ901107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H"/>
    <n v="1"/>
    <n v="225"/>
    <m/>
    <m/>
    <n v="122967"/>
    <s v="D449"/>
    <s v="EXSZ90098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I"/>
    <n v="1"/>
    <n v="225"/>
    <m/>
    <m/>
    <n v="122967"/>
    <s v="D449"/>
    <s v="EXSZ90099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J"/>
    <n v="1"/>
    <n v="172.5"/>
    <m/>
    <m/>
    <n v="122967"/>
    <s v="D449"/>
    <s v="ICSU029254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K"/>
    <n v="1"/>
    <n v="172.5"/>
    <m/>
    <m/>
    <n v="122967"/>
    <s v="D449"/>
    <s v="TPTU820593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L"/>
    <n v="1"/>
    <n v="172.5"/>
    <m/>
    <m/>
    <n v="122967"/>
    <s v="D449"/>
    <s v="TPTU8206006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M"/>
    <n v="1"/>
    <n v="172.5"/>
    <m/>
    <m/>
    <n v="122967"/>
    <s v="D449"/>
    <s v="TPTU8206367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N"/>
    <n v="1"/>
    <n v="172.5"/>
    <m/>
    <m/>
    <n v="122967"/>
    <s v="D449"/>
    <s v="TRLU022331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O"/>
    <n v="1"/>
    <n v="172.5"/>
    <m/>
    <m/>
    <n v="1273"/>
    <s v="D358"/>
    <s v="TRLU0212856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P"/>
    <n v="1"/>
    <n v="172.5"/>
    <m/>
    <m/>
    <n v="1273"/>
    <s v="D358"/>
    <s v="EXXU999452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Q"/>
    <n v="1"/>
    <n v="225"/>
    <m/>
    <m/>
    <n v="1273"/>
    <s v="D358"/>
    <s v="EXSZ9016882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R"/>
    <n v="1"/>
    <n v="225"/>
    <m/>
    <m/>
    <n v="1273"/>
    <s v="D358"/>
    <s v="EXSZ901689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S"/>
    <n v="1"/>
    <n v="225"/>
    <m/>
    <m/>
    <n v="1273"/>
    <s v="D358"/>
    <s v="EXSZ9016901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T"/>
    <n v="1"/>
    <n v="225"/>
    <m/>
    <m/>
    <n v="1273"/>
    <s v="D358"/>
    <s v="EXSZ901691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U"/>
    <n v="1"/>
    <n v="225"/>
    <m/>
    <m/>
    <n v="1273"/>
    <s v="D358"/>
    <s v="EXSZ9016922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V"/>
    <n v="1"/>
    <n v="225"/>
    <m/>
    <m/>
    <n v="1273"/>
    <s v="D358"/>
    <s v="EXSZ901693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W"/>
    <n v="1"/>
    <n v="225"/>
    <m/>
    <m/>
    <n v="1273"/>
    <s v="D358"/>
    <s v="EXSZ901694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X"/>
    <n v="1"/>
    <n v="225"/>
    <m/>
    <m/>
    <n v="1273"/>
    <s v="D358"/>
    <s v="EXSZ901695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Y"/>
    <n v="1"/>
    <n v="225"/>
    <m/>
    <m/>
    <n v="1273"/>
    <s v="D358"/>
    <s v="EXSZ901696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Z"/>
    <n v="1"/>
    <n v="225"/>
    <m/>
    <m/>
    <n v="1273"/>
    <s v="D358"/>
    <s v="EXSZ901697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A"/>
    <n v="1"/>
    <n v="225"/>
    <m/>
    <m/>
    <n v="1273"/>
    <s v="D358"/>
    <s v="EXSZ901698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B"/>
    <n v="1"/>
    <n v="225"/>
    <m/>
    <m/>
    <n v="1273"/>
    <s v="D358"/>
    <s v="EXSZ901699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C"/>
    <n v="1"/>
    <n v="225"/>
    <m/>
    <m/>
    <n v="1273"/>
    <s v="D358"/>
    <s v="EXSZ901700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D"/>
    <n v="1"/>
    <n v="225"/>
    <m/>
    <m/>
    <n v="1273"/>
    <s v="D358"/>
    <s v="EXSZ901701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E"/>
    <n v="1"/>
    <n v="225"/>
    <m/>
    <m/>
    <n v="1273"/>
    <s v="D358"/>
    <s v="EXSZ901702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F"/>
    <n v="1"/>
    <n v="225"/>
    <m/>
    <m/>
    <n v="1273"/>
    <s v="D358"/>
    <s v="EXSZ901703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G"/>
    <n v="1"/>
    <n v="225"/>
    <m/>
    <m/>
    <n v="1273"/>
    <s v="D358"/>
    <s v="EXSZ901704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H"/>
    <n v="1"/>
    <n v="225"/>
    <m/>
    <m/>
    <n v="1273"/>
    <s v="D358"/>
    <s v="EXSZ901705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I"/>
    <n v="1"/>
    <n v="172.5"/>
    <m/>
    <m/>
    <n v="1273"/>
    <s v="D358"/>
    <s v="EXFU0618806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J"/>
    <n v="1"/>
    <n v="172.5"/>
    <m/>
    <m/>
    <n v="1273"/>
    <s v="D358"/>
    <s v="EXFU0618874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K"/>
    <n v="1"/>
    <n v="172.5"/>
    <m/>
    <m/>
    <n v="1273"/>
    <s v="D358"/>
    <s v="EXFU0523001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L"/>
    <n v="1"/>
    <n v="172.5"/>
    <m/>
    <m/>
    <n v="1274"/>
    <s v="D358"/>
    <s v="EXFU1448216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M"/>
    <n v="1"/>
    <n v="172.5"/>
    <m/>
    <m/>
    <n v="1274"/>
    <s v="D358"/>
    <s v="EXFU144829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N"/>
    <n v="1"/>
    <n v="172.5"/>
    <m/>
    <m/>
    <n v="127678"/>
    <s v="D449"/>
    <s v="EXFU4400962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O"/>
    <n v="1"/>
    <n v="172.5"/>
    <m/>
    <m/>
    <n v="127678"/>
    <s v="D449"/>
    <s v="EXFU440097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P"/>
    <n v="1"/>
    <n v="172.5"/>
    <m/>
    <m/>
    <n v="127678"/>
    <s v="D449"/>
    <s v="EXFU4401001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Q"/>
    <n v="1"/>
    <n v="172.5"/>
    <m/>
    <m/>
    <n v="127678"/>
    <s v="D449"/>
    <s v="EXFU4401207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R"/>
    <n v="1"/>
    <n v="172.5"/>
    <m/>
    <m/>
    <n v="127678"/>
    <s v="D449"/>
    <s v="EXFU440122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S"/>
    <n v="1"/>
    <n v="172.5"/>
    <m/>
    <m/>
    <n v="127678"/>
    <s v="D449"/>
    <s v="EXFU440123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T"/>
    <n v="1"/>
    <n v="172.5"/>
    <m/>
    <m/>
    <n v="127678"/>
    <s v="D449"/>
    <s v="EXFU4401249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AU"/>
    <n v="1"/>
    <n v="225"/>
    <m/>
    <m/>
    <n v="127678"/>
    <s v="D449"/>
    <s v="EXSZ901883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V"/>
    <n v="1"/>
    <n v="225"/>
    <m/>
    <m/>
    <n v="127678"/>
    <s v="D449"/>
    <s v="EXSZ901886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W"/>
    <n v="1"/>
    <n v="225"/>
    <m/>
    <m/>
    <n v="127678"/>
    <s v="D449"/>
    <s v="EXSZ901898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X"/>
    <n v="1"/>
    <n v="225"/>
    <m/>
    <m/>
    <n v="127678"/>
    <s v="D449"/>
    <s v="EXSZ901906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Y"/>
    <n v="1"/>
    <n v="225"/>
    <m/>
    <m/>
    <n v="127678"/>
    <s v="D449"/>
    <s v="EXSZ901967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AZ"/>
    <n v="1"/>
    <n v="225"/>
    <m/>
    <m/>
    <n v="127678"/>
    <s v="D449"/>
    <s v="EXSZ901968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A"/>
    <n v="1"/>
    <n v="225"/>
    <m/>
    <m/>
    <n v="127678"/>
    <s v="D449"/>
    <s v="EXSZ9019731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B"/>
    <n v="1"/>
    <n v="225"/>
    <m/>
    <m/>
    <n v="127678"/>
    <s v="D449"/>
    <s v="EXSZ901985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C"/>
    <n v="1"/>
    <n v="225"/>
    <m/>
    <m/>
    <n v="127678"/>
    <s v="D449"/>
    <s v="EXSZ901998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D"/>
    <n v="1"/>
    <n v="225"/>
    <m/>
    <m/>
    <n v="127678"/>
    <s v="D449"/>
    <s v="EXSZ902003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E"/>
    <n v="1"/>
    <n v="172.5"/>
    <m/>
    <m/>
    <n v="137491"/>
    <s v="D381"/>
    <s v="EXFU145520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F"/>
    <n v="1"/>
    <n v="172.5"/>
    <m/>
    <m/>
    <n v="137491"/>
    <s v="D381"/>
    <s v="EXFU145528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G"/>
    <n v="1"/>
    <n v="172.5"/>
    <m/>
    <m/>
    <n v="172324"/>
    <s v="E324"/>
    <s v="EXFU1448319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H"/>
    <n v="1"/>
    <n v="172.5"/>
    <m/>
    <m/>
    <n v="172324"/>
    <s v="E324"/>
    <s v="EXFU1448324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I"/>
    <n v="1"/>
    <n v="172.5"/>
    <m/>
    <m/>
    <n v="172324"/>
    <s v="E324"/>
    <s v="EXFU144826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J"/>
    <n v="1"/>
    <n v="172.5"/>
    <m/>
    <m/>
    <n v="55601"/>
    <s v="D777"/>
    <s v="EXFU0551024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K"/>
    <n v="1"/>
    <n v="172.5"/>
    <m/>
    <m/>
    <n v="55601"/>
    <s v="D777"/>
    <s v="EXFU055103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L"/>
    <n v="1"/>
    <n v="172.5"/>
    <m/>
    <m/>
    <n v="55601"/>
    <s v="D777"/>
    <s v="EXFU0551132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BM"/>
    <n v="1"/>
    <n v="225"/>
    <m/>
    <m/>
    <n v="55601"/>
    <s v="D777"/>
    <s v="EXSZ901241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N"/>
    <n v="1"/>
    <n v="225"/>
    <m/>
    <m/>
    <n v="55601"/>
    <s v="D777"/>
    <s v="EXSZ901242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O"/>
    <n v="1"/>
    <n v="225"/>
    <m/>
    <m/>
    <n v="55601"/>
    <s v="D777"/>
    <s v="EXSZ901243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P"/>
    <n v="1"/>
    <n v="225"/>
    <m/>
    <m/>
    <n v="55601"/>
    <s v="D777"/>
    <s v="EXSZ901264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Q"/>
    <n v="1"/>
    <n v="225"/>
    <m/>
    <m/>
    <n v="55601"/>
    <s v="D777"/>
    <s v="EXSZ901281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R"/>
    <n v="1"/>
    <n v="225"/>
    <m/>
    <m/>
    <n v="55601"/>
    <s v="D777"/>
    <s v="EXSZ901285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S"/>
    <n v="1"/>
    <n v="225"/>
    <m/>
    <m/>
    <n v="55601"/>
    <s v="D777"/>
    <s v="EXSZ901286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T"/>
    <n v="1"/>
    <n v="225"/>
    <m/>
    <m/>
    <n v="55601"/>
    <s v="D777"/>
    <s v="EXSZ9012871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U"/>
    <n v="1"/>
    <n v="225"/>
    <m/>
    <m/>
    <n v="55601"/>
    <s v="D777"/>
    <s v="EXSZ901288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V"/>
    <n v="1"/>
    <n v="225"/>
    <m/>
    <m/>
    <n v="55601"/>
    <s v="D777"/>
    <s v="EXSZ901298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W"/>
    <n v="1"/>
    <n v="225"/>
    <m/>
    <m/>
    <n v="55601"/>
    <s v="D777"/>
    <s v="EXSZ901301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X"/>
    <n v="1"/>
    <n v="225"/>
    <m/>
    <m/>
    <n v="55601"/>
    <s v="D777"/>
    <s v="EXSZ901302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Y"/>
    <n v="1"/>
    <n v="225"/>
    <m/>
    <m/>
    <n v="55601"/>
    <s v="D777"/>
    <s v="EXSZ901304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BZ"/>
    <n v="1"/>
    <n v="225"/>
    <m/>
    <m/>
    <n v="55601"/>
    <s v="D777"/>
    <s v="EXSZ9013522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A"/>
    <n v="1"/>
    <n v="225"/>
    <m/>
    <m/>
    <n v="55601"/>
    <s v="D777"/>
    <s v="EXSZ901427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B"/>
    <n v="1"/>
    <n v="225"/>
    <m/>
    <m/>
    <n v="55601"/>
    <s v="D777"/>
    <s v="EXSZ901429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C"/>
    <n v="1"/>
    <n v="225"/>
    <m/>
    <m/>
    <n v="55601"/>
    <s v="D777"/>
    <s v="EXSZ901434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D"/>
    <n v="1"/>
    <n v="225"/>
    <m/>
    <m/>
    <n v="55601"/>
    <s v="D777"/>
    <s v="EXSZ901436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E"/>
    <n v="1"/>
    <n v="225"/>
    <m/>
    <m/>
    <n v="55601"/>
    <s v="D777"/>
    <s v="EXSZ901438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F"/>
    <n v="1"/>
    <n v="225"/>
    <m/>
    <m/>
    <n v="55601"/>
    <s v="D777"/>
    <s v="EXSZ901440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G"/>
    <n v="1"/>
    <n v="225"/>
    <m/>
    <m/>
    <n v="55601"/>
    <s v="D777"/>
    <s v="EXSZ901447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H"/>
    <n v="1"/>
    <n v="225"/>
    <m/>
    <m/>
    <n v="55601"/>
    <s v="D777"/>
    <s v="EXSZ900689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I"/>
    <n v="1"/>
    <n v="225"/>
    <m/>
    <m/>
    <n v="55601"/>
    <s v="D777"/>
    <s v="EXSZ900722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J"/>
    <n v="1"/>
    <n v="225"/>
    <m/>
    <m/>
    <n v="55601"/>
    <s v="D777"/>
    <s v="EXSZ900726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K"/>
    <n v="1"/>
    <n v="225"/>
    <m/>
    <m/>
    <n v="55601"/>
    <s v="D777"/>
    <s v="EXSZ900746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L"/>
    <n v="1"/>
    <n v="225"/>
    <m/>
    <m/>
    <n v="55601"/>
    <s v="D777"/>
    <s v="EXSZ900758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M"/>
    <n v="1"/>
    <n v="225"/>
    <m/>
    <m/>
    <n v="55601"/>
    <s v="D777"/>
    <s v="EXSZ90077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N"/>
    <n v="1"/>
    <n v="225"/>
    <m/>
    <m/>
    <n v="55601"/>
    <s v="D777"/>
    <s v="EXSZ90095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O"/>
    <n v="1"/>
    <n v="225"/>
    <m/>
    <m/>
    <n v="55601"/>
    <s v="D777"/>
    <s v="EXSZ90095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P"/>
    <n v="1"/>
    <n v="225"/>
    <m/>
    <m/>
    <n v="55601"/>
    <s v="D777"/>
    <s v="EXSZ901028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Q"/>
    <n v="1"/>
    <n v="225"/>
    <m/>
    <m/>
    <n v="55601"/>
    <s v="D777"/>
    <s v="EXSZ901508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R"/>
    <n v="1"/>
    <n v="225"/>
    <m/>
    <m/>
    <n v="55601"/>
    <s v="D777"/>
    <s v="EXSZ901510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S"/>
    <n v="1"/>
    <n v="225"/>
    <m/>
    <m/>
    <n v="55601"/>
    <s v="D777"/>
    <s v="EXSZ901512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T"/>
    <n v="1"/>
    <n v="225"/>
    <m/>
    <m/>
    <n v="55601"/>
    <s v="D777"/>
    <s v="EXSZ901513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U"/>
    <n v="1"/>
    <n v="225"/>
    <m/>
    <m/>
    <n v="55601"/>
    <s v="D777"/>
    <s v="EXSZ901515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V"/>
    <n v="1"/>
    <n v="225"/>
    <m/>
    <m/>
    <n v="55601"/>
    <s v="D777"/>
    <s v="EXSZ901516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W"/>
    <n v="1"/>
    <n v="225"/>
    <m/>
    <m/>
    <n v="55601"/>
    <s v="D777"/>
    <s v="EXSZ9015192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X"/>
    <n v="1"/>
    <n v="225"/>
    <m/>
    <m/>
    <n v="55601"/>
    <s v="D777"/>
    <s v="EXSZ901520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Y"/>
    <n v="1"/>
    <n v="225"/>
    <m/>
    <m/>
    <n v="55601"/>
    <s v="D777"/>
    <s v="EXSZ9015211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CZ"/>
    <n v="1"/>
    <n v="225"/>
    <m/>
    <m/>
    <n v="55601"/>
    <s v="D777"/>
    <s v="EXSZ9015232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A"/>
    <n v="1"/>
    <n v="225"/>
    <m/>
    <m/>
    <n v="55601"/>
    <s v="D777"/>
    <s v="EXSZ901524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B"/>
    <n v="1"/>
    <n v="225"/>
    <m/>
    <m/>
    <n v="55601"/>
    <s v="D777"/>
    <s v="EXSZ901530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C"/>
    <n v="1"/>
    <n v="225"/>
    <m/>
    <m/>
    <n v="55601"/>
    <s v="D777"/>
    <s v="EXSZ901535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D"/>
    <n v="1"/>
    <n v="225"/>
    <m/>
    <m/>
    <n v="55601"/>
    <s v="D777"/>
    <s v="EXSZ901548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E"/>
    <n v="1"/>
    <n v="225"/>
    <m/>
    <m/>
    <n v="55601"/>
    <s v="D777"/>
    <s v="EXSZ901550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F"/>
    <n v="1"/>
    <n v="225"/>
    <m/>
    <m/>
    <n v="55601"/>
    <s v="D777"/>
    <s v="EXSZ901552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G"/>
    <n v="1"/>
    <n v="225"/>
    <m/>
    <m/>
    <n v="55601"/>
    <s v="D777"/>
    <s v="EXSZ901553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H"/>
    <n v="1"/>
    <n v="225"/>
    <m/>
    <m/>
    <n v="55601"/>
    <s v="D777"/>
    <s v="EXSZ901556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I"/>
    <n v="1"/>
    <n v="225"/>
    <m/>
    <m/>
    <n v="55601"/>
    <s v="D777"/>
    <s v="EXSZ9015572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J"/>
    <n v="1"/>
    <n v="225"/>
    <m/>
    <m/>
    <n v="55601"/>
    <s v="D777"/>
    <s v="EXSZ901608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K"/>
    <n v="1"/>
    <n v="225"/>
    <m/>
    <m/>
    <n v="55601"/>
    <s v="D777"/>
    <s v="EXSZ9016096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L"/>
    <n v="1"/>
    <n v="225"/>
    <m/>
    <m/>
    <n v="55601"/>
    <s v="D777"/>
    <s v="EXSZ901659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M"/>
    <n v="1"/>
    <n v="225"/>
    <m/>
    <m/>
    <n v="55601"/>
    <s v="D777"/>
    <s v="EXSZ901662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N"/>
    <n v="1"/>
    <n v="225"/>
    <m/>
    <m/>
    <n v="55601"/>
    <s v="D777"/>
    <s v="TRZZ90045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O"/>
    <n v="1"/>
    <n v="225"/>
    <m/>
    <m/>
    <n v="55601"/>
    <s v="D777"/>
    <s v="TRZZ90053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P"/>
    <n v="1"/>
    <n v="225"/>
    <m/>
    <m/>
    <n v="55601"/>
    <s v="D777"/>
    <s v="TRZZ90054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Q"/>
    <n v="1"/>
    <n v="225"/>
    <m/>
    <m/>
    <n v="55601"/>
    <s v="D777"/>
    <s v="TRZZ90055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R"/>
    <n v="1"/>
    <n v="225"/>
    <m/>
    <m/>
    <n v="55601"/>
    <s v="D777"/>
    <s v="TRZZ90055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S"/>
    <n v="1"/>
    <n v="225"/>
    <m/>
    <m/>
    <n v="55601"/>
    <s v="D777"/>
    <s v="TRZZ90056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T"/>
    <n v="1"/>
    <n v="225"/>
    <m/>
    <m/>
    <n v="55601"/>
    <s v="D777"/>
    <s v="TRZZ90057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U"/>
    <n v="1"/>
    <n v="225"/>
    <m/>
    <m/>
    <n v="55601"/>
    <s v="D777"/>
    <s v="TRZZ90057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V"/>
    <n v="1"/>
    <n v="225"/>
    <m/>
    <m/>
    <n v="55601"/>
    <s v="D777"/>
    <s v="TRZZ90058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W"/>
    <n v="1"/>
    <n v="225"/>
    <m/>
    <m/>
    <n v="55601"/>
    <s v="D777"/>
    <s v="TRZZ90058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DX"/>
    <n v="1"/>
    <n v="172.5"/>
    <m/>
    <m/>
    <n v="55601"/>
    <s v="D777"/>
    <s v="USPU124790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DY"/>
    <n v="1"/>
    <n v="172.5"/>
    <m/>
    <m/>
    <n v="55609"/>
    <s v="D449"/>
    <s v="EXXU999491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DZ"/>
    <n v="1"/>
    <n v="172.5"/>
    <m/>
    <m/>
    <n v="55785"/>
    <s v="D355"/>
    <s v="EXFU059955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A"/>
    <n v="1"/>
    <n v="270"/>
    <m/>
    <m/>
    <n v="58008"/>
    <s v="D266"/>
    <s v="EXSZ9018144"/>
    <s v="Rental"/>
    <x v="4"/>
    <d v="2018-05-30T00:00:00"/>
    <d v="2018-04-30T00:00:00"/>
    <n v="270"/>
    <d v="2018-05-30T00:00:00"/>
    <n v="0"/>
    <s v="30-60 days"/>
    <s v="DOCXX"/>
    <x v="1"/>
    <s v="Invoice"/>
  </r>
  <r>
    <x v="4"/>
    <s v="CC"/>
    <s v="EB"/>
    <n v="1"/>
    <n v="270"/>
    <m/>
    <m/>
    <n v="58008"/>
    <s v="D266"/>
    <s v="EXSZ9018376"/>
    <s v="Rental"/>
    <x v="4"/>
    <d v="2018-05-30T00:00:00"/>
    <d v="2018-04-30T00:00:00"/>
    <n v="270"/>
    <d v="2018-05-30T00:00:00"/>
    <n v="0"/>
    <s v="30-60 days"/>
    <s v="DOCXX"/>
    <x v="1"/>
    <s v="Invoice"/>
  </r>
  <r>
    <x v="4"/>
    <s v="CC"/>
    <s v="EC"/>
    <n v="1"/>
    <n v="270"/>
    <m/>
    <m/>
    <n v="58008"/>
    <s v="D266"/>
    <s v="EXSZ9014600"/>
    <s v="Rental"/>
    <x v="4"/>
    <d v="2018-05-30T00:00:00"/>
    <d v="2018-04-30T00:00:00"/>
    <n v="270"/>
    <d v="2018-05-30T00:00:00"/>
    <n v="0"/>
    <s v="30-60 days"/>
    <s v="DOCXX"/>
    <x v="1"/>
    <s v="Invoice"/>
  </r>
  <r>
    <x v="4"/>
    <s v="CC"/>
    <s v="ED"/>
    <n v="1"/>
    <n v="270"/>
    <m/>
    <m/>
    <n v="58008"/>
    <s v="D266"/>
    <s v="EXSZ9014961"/>
    <s v="Rental"/>
    <x v="4"/>
    <d v="2018-05-30T00:00:00"/>
    <d v="2018-04-30T00:00:00"/>
    <n v="270"/>
    <d v="2018-05-30T00:00:00"/>
    <n v="0"/>
    <s v="30-60 days"/>
    <s v="DOCXX"/>
    <x v="1"/>
    <s v="Invoice"/>
  </r>
  <r>
    <x v="4"/>
    <s v="CC"/>
    <s v="EE"/>
    <n v="1"/>
    <n v="270"/>
    <m/>
    <m/>
    <n v="58008"/>
    <s v="D266"/>
    <s v="EXSZ9014977"/>
    <s v="Rental"/>
    <x v="4"/>
    <d v="2018-05-30T00:00:00"/>
    <d v="2018-04-30T00:00:00"/>
    <n v="270"/>
    <d v="2018-05-30T00:00:00"/>
    <n v="0"/>
    <s v="30-60 days"/>
    <s v="DOCXX"/>
    <x v="1"/>
    <s v="Invoice"/>
  </r>
  <r>
    <x v="4"/>
    <s v="CC"/>
    <s v="EF"/>
    <n v="1"/>
    <n v="172.5"/>
    <m/>
    <m/>
    <n v="58008"/>
    <s v="D266"/>
    <s v="EXFU055440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G"/>
    <n v="1"/>
    <n v="172.5"/>
    <m/>
    <m/>
    <n v="58008"/>
    <s v="D266"/>
    <s v="EXFU062228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H"/>
    <n v="1"/>
    <n v="480"/>
    <m/>
    <m/>
    <n v="58008"/>
    <s v="D266"/>
    <s v="EXFU1447781"/>
    <s v="Rental"/>
    <x v="4"/>
    <d v="2018-05-30T00:00:00"/>
    <d v="2018-04-30T00:00:00"/>
    <n v="480"/>
    <d v="2018-05-30T00:00:00"/>
    <n v="0"/>
    <s v="30-60 days"/>
    <s v="DOCXX"/>
    <x v="1"/>
    <s v="Invoice"/>
  </r>
  <r>
    <x v="4"/>
    <s v="CC"/>
    <s v="EI"/>
    <n v="1"/>
    <n v="480"/>
    <m/>
    <m/>
    <n v="58008"/>
    <s v="D266"/>
    <s v="EXFU1448047"/>
    <s v="Rental"/>
    <x v="4"/>
    <d v="2018-05-30T00:00:00"/>
    <d v="2018-04-30T00:00:00"/>
    <n v="480"/>
    <d v="2018-05-30T00:00:00"/>
    <n v="0"/>
    <s v="30-60 days"/>
    <s v="DOCXX"/>
    <x v="1"/>
    <s v="Invoice"/>
  </r>
  <r>
    <x v="4"/>
    <s v="CC"/>
    <s v="EJ"/>
    <n v="1"/>
    <n v="480"/>
    <m/>
    <m/>
    <n v="58008"/>
    <s v="D266"/>
    <s v="EXFU1448108"/>
    <s v="Rental"/>
    <x v="4"/>
    <d v="2018-05-30T00:00:00"/>
    <d v="2018-04-30T00:00:00"/>
    <n v="480"/>
    <d v="2018-05-30T00:00:00"/>
    <n v="0"/>
    <s v="30-60 days"/>
    <s v="DOCXX"/>
    <x v="1"/>
    <s v="Invoice"/>
  </r>
  <r>
    <x v="4"/>
    <s v="CC"/>
    <s v="EK"/>
    <n v="1"/>
    <n v="480"/>
    <m/>
    <m/>
    <n v="58008"/>
    <s v="D266"/>
    <s v="EXFU1448113"/>
    <s v="Rental"/>
    <x v="4"/>
    <d v="2018-05-30T00:00:00"/>
    <d v="2018-04-30T00:00:00"/>
    <n v="480"/>
    <d v="2018-05-30T00:00:00"/>
    <n v="0"/>
    <s v="30-60 days"/>
    <s v="DOCXX"/>
    <x v="1"/>
    <s v="Invoice"/>
  </r>
  <r>
    <x v="4"/>
    <s v="CC"/>
    <s v="EL"/>
    <n v="1"/>
    <n v="480"/>
    <m/>
    <m/>
    <n v="58008"/>
    <s v="D266"/>
    <s v="EXFU1448129"/>
    <s v="Rental"/>
    <x v="4"/>
    <d v="2018-05-30T00:00:00"/>
    <d v="2018-04-30T00:00:00"/>
    <n v="480"/>
    <d v="2018-05-30T00:00:00"/>
    <n v="0"/>
    <s v="30-60 days"/>
    <s v="DOCXX"/>
    <x v="1"/>
    <s v="Invoice"/>
  </r>
  <r>
    <x v="4"/>
    <s v="CC"/>
    <s v="EM"/>
    <n v="1"/>
    <n v="172.5"/>
    <m/>
    <m/>
    <n v="66652"/>
    <s v="D213"/>
    <s v="EXFU821813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N"/>
    <n v="1"/>
    <n v="172.5"/>
    <m/>
    <m/>
    <n v="66660"/>
    <s v="D009"/>
    <s v="EXFU144830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O"/>
    <n v="1"/>
    <n v="172.5"/>
    <m/>
    <m/>
    <n v="66660"/>
    <s v="D009"/>
    <s v="EXFU144834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P"/>
    <n v="1"/>
    <n v="172.5"/>
    <m/>
    <m/>
    <n v="66660"/>
    <s v="D009"/>
    <s v="EXFU145531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Q"/>
    <n v="1"/>
    <n v="172.5"/>
    <m/>
    <m/>
    <n v="67859"/>
    <s v="D449"/>
    <s v="TPMU351467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R"/>
    <n v="1"/>
    <n v="172.5"/>
    <m/>
    <m/>
    <n v="67859"/>
    <s v="D449"/>
    <s v="EXXU999073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S"/>
    <n v="1"/>
    <n v="172.5"/>
    <m/>
    <m/>
    <n v="68162"/>
    <s v="D344"/>
    <s v="TRLU0222031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ET"/>
    <n v="1"/>
    <n v="225"/>
    <m/>
    <m/>
    <n v="68162"/>
    <s v="D344"/>
    <s v="EXSZ9016711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U"/>
    <n v="1"/>
    <n v="225"/>
    <m/>
    <m/>
    <n v="68162"/>
    <s v="D344"/>
    <s v="EXSZ9016727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V"/>
    <n v="1"/>
    <n v="225"/>
    <m/>
    <m/>
    <n v="68162"/>
    <s v="D344"/>
    <s v="EXSZ9017148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W"/>
    <n v="1"/>
    <n v="225"/>
    <m/>
    <m/>
    <n v="68162"/>
    <s v="D344"/>
    <s v="EXSZ9017153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X"/>
    <n v="1"/>
    <n v="225"/>
    <m/>
    <m/>
    <n v="68162"/>
    <s v="D344"/>
    <s v="EXSZ9017169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Y"/>
    <n v="1"/>
    <n v="225"/>
    <m/>
    <m/>
    <n v="68162"/>
    <s v="D344"/>
    <s v="EXSZ9017174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EZ"/>
    <n v="1"/>
    <n v="225"/>
    <m/>
    <m/>
    <n v="68162"/>
    <s v="D344"/>
    <s v="EXSZ9017180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FA"/>
    <n v="1"/>
    <n v="225"/>
    <m/>
    <m/>
    <n v="68162"/>
    <s v="D344"/>
    <s v="EXSZ9017195"/>
    <s v="Rental"/>
    <x v="4"/>
    <d v="2018-05-30T00:00:00"/>
    <d v="2018-04-30T00:00:00"/>
    <n v="225"/>
    <d v="2018-05-30T00:00:00"/>
    <n v="0"/>
    <s v="30-60 days"/>
    <s v="DOCXX"/>
    <x v="1"/>
    <s v="Invoice"/>
  </r>
  <r>
    <x v="4"/>
    <s v="CC"/>
    <s v="FB"/>
    <n v="1"/>
    <n v="172.5"/>
    <m/>
    <m/>
    <n v="68162"/>
    <s v="D344"/>
    <s v="EXFU820885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C"/>
    <n v="1"/>
    <n v="172.5"/>
    <m/>
    <m/>
    <n v="68162"/>
    <s v="D344"/>
    <s v="EXFU8208937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D"/>
    <n v="1"/>
    <n v="172.5"/>
    <m/>
    <m/>
    <n v="68162"/>
    <s v="D344"/>
    <s v="EXFU8216444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E"/>
    <n v="1"/>
    <n v="172.5"/>
    <m/>
    <m/>
    <n v="68162"/>
    <s v="D344"/>
    <s v="EXFU821645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F"/>
    <n v="1"/>
    <n v="172.5"/>
    <m/>
    <m/>
    <n v="68162"/>
    <s v="D344"/>
    <s v="EXFU821647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G"/>
    <n v="1"/>
    <n v="172.5"/>
    <m/>
    <m/>
    <n v="68162"/>
    <s v="D344"/>
    <s v="EXFU8216486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H"/>
    <n v="1"/>
    <n v="172.5"/>
    <m/>
    <m/>
    <n v="68162"/>
    <s v="D344"/>
    <s v="EXFU821650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I"/>
    <n v="1"/>
    <n v="172.5"/>
    <m/>
    <m/>
    <n v="68162"/>
    <s v="D344"/>
    <s v="EXFU821651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J"/>
    <n v="1"/>
    <n v="172.5"/>
    <m/>
    <m/>
    <n v="68162"/>
    <s v="D344"/>
    <s v="EXFU8216526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K"/>
    <n v="1"/>
    <n v="172.5"/>
    <m/>
    <m/>
    <n v="68162"/>
    <s v="D344"/>
    <s v="EXFU8216547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L"/>
    <n v="1"/>
    <n v="172.5"/>
    <m/>
    <m/>
    <n v="75797"/>
    <s v="E320"/>
    <s v="EXFU822208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M"/>
    <n v="1"/>
    <n v="172.5"/>
    <m/>
    <m/>
    <n v="75797"/>
    <s v="E320"/>
    <s v="EXFU822209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N"/>
    <n v="1"/>
    <n v="172.5"/>
    <m/>
    <m/>
    <n v="75797"/>
    <s v="E320"/>
    <s v="EXFU8222107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O"/>
    <n v="1"/>
    <n v="172.5"/>
    <m/>
    <m/>
    <n v="75797"/>
    <s v="E320"/>
    <s v="EXFU822212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P"/>
    <n v="1"/>
    <n v="172.5"/>
    <m/>
    <m/>
    <n v="75797"/>
    <s v="E320"/>
    <s v="EXFU8222154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Q"/>
    <n v="1"/>
    <n v="172.5"/>
    <m/>
    <m/>
    <n v="75797"/>
    <s v="E320"/>
    <s v="EXFU822216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R"/>
    <n v="1"/>
    <n v="172.5"/>
    <m/>
    <m/>
    <n v="75797"/>
    <s v="E320"/>
    <s v="EXFU822217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S"/>
    <n v="1"/>
    <n v="172.5"/>
    <m/>
    <m/>
    <n v="75797"/>
    <s v="E320"/>
    <s v="EXFU822218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T"/>
    <n v="1"/>
    <n v="172.5"/>
    <m/>
    <m/>
    <n v="75797"/>
    <s v="E320"/>
    <s v="EXFU822220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U"/>
    <n v="1"/>
    <n v="172.5"/>
    <m/>
    <m/>
    <n v="75797"/>
    <s v="E320"/>
    <s v="EXFU822221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V"/>
    <n v="1"/>
    <n v="172.5"/>
    <m/>
    <m/>
    <n v="75797"/>
    <s v="E320"/>
    <s v="EXFU822227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W"/>
    <n v="1"/>
    <n v="172.5"/>
    <m/>
    <m/>
    <n v="75797"/>
    <s v="E320"/>
    <s v="EXFU822228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X"/>
    <n v="1"/>
    <n v="172.5"/>
    <m/>
    <m/>
    <n v="75797"/>
    <s v="E320"/>
    <s v="EXFU8222299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Y"/>
    <n v="1"/>
    <n v="172.5"/>
    <m/>
    <m/>
    <n v="75797"/>
    <s v="E320"/>
    <s v="EXFU822231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FZ"/>
    <n v="1"/>
    <n v="172.5"/>
    <m/>
    <m/>
    <n v="75797"/>
    <s v="E320"/>
    <s v="EXFU8222323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A"/>
    <n v="1"/>
    <n v="172.5"/>
    <m/>
    <m/>
    <n v="75797"/>
    <s v="E320"/>
    <s v="EXFU8222339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B"/>
    <n v="1"/>
    <n v="172.5"/>
    <m/>
    <m/>
    <n v="75797"/>
    <s v="E320"/>
    <s v="EXFU8222344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C"/>
    <n v="1"/>
    <n v="172.5"/>
    <m/>
    <m/>
    <n v="75797"/>
    <s v="E320"/>
    <s v="EXFU8222365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D"/>
    <n v="1"/>
    <n v="172.5"/>
    <m/>
    <m/>
    <n v="75797"/>
    <s v="E320"/>
    <s v="EXFU822237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E"/>
    <n v="1"/>
    <n v="172.5"/>
    <m/>
    <m/>
    <n v="75797"/>
    <s v="E320"/>
    <s v="EXFU8222391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F"/>
    <n v="1"/>
    <n v="172.5"/>
    <m/>
    <m/>
    <n v="77559"/>
    <s v="D449"/>
    <s v="TRLU021960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G"/>
    <n v="1"/>
    <n v="172.5"/>
    <m/>
    <m/>
    <n v="91295"/>
    <s v="D284"/>
    <s v="TRLU022326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H"/>
    <n v="1"/>
    <n v="172.5"/>
    <m/>
    <m/>
    <n v="97900"/>
    <s v="D358"/>
    <s v="USPU1226928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I"/>
    <n v="2000"/>
    <n v="172.5"/>
    <m/>
    <m/>
    <n v="11843"/>
    <s v="D688"/>
    <s v="USPU1246800"/>
    <s v="Rental"/>
    <x v="4"/>
    <d v="2018-05-30T00:00:00"/>
    <d v="2018-04-30T00:00:00"/>
    <n v="172.5"/>
    <d v="2018-05-30T00:00:00"/>
    <n v="0"/>
    <s v="30-60 days"/>
    <s v="DOCXX"/>
    <x v="1"/>
    <s v="Invoice"/>
  </r>
  <r>
    <x v="4"/>
    <s v="CC"/>
    <s v="GJ"/>
    <n v="2000"/>
    <n v="172.5"/>
    <m/>
    <m/>
    <n v="37912"/>
    <s v="D638"/>
    <s v="TPMU1410162"/>
    <s v="Rental"/>
    <x v="4"/>
    <d v="2018-05-30T00:00:00"/>
    <d v="2018-04-30T00:00:00"/>
    <n v="172.5"/>
    <d v="2018-05-30T00:00:00"/>
    <n v="0"/>
    <s v="30-60 days"/>
    <s v="DOCXX"/>
    <x v="1"/>
    <s v="Invoice"/>
  </r>
  <r>
    <x v="5"/>
    <s v="CC"/>
    <s v="A"/>
    <n v="1"/>
    <n v="12704.5"/>
    <m/>
    <m/>
    <n v="1274"/>
    <s v="D358"/>
    <s v="Freeport Tank Pool"/>
    <s v="Rental"/>
    <x v="3"/>
    <d v="2018-05-01T00:00:00"/>
    <d v="2018-05-23T00:00:00"/>
    <n v="12704.5"/>
    <d v="2018-05-30T00:00:00"/>
    <n v="0"/>
    <s v="More than 60 days"/>
    <s v="DOCXX"/>
    <x v="0"/>
    <s v="Invoice"/>
  </r>
  <r>
    <x v="5"/>
    <s v="CC"/>
    <s v="B"/>
    <n v="1"/>
    <n v="11212.86"/>
    <m/>
    <m/>
    <n v="1273"/>
    <s v="D358"/>
    <s v="Freeport Tank Pool"/>
    <s v="Rental"/>
    <x v="3"/>
    <d v="2018-05-01T00:00:00"/>
    <d v="2018-05-23T00:00:00"/>
    <n v="11212.86"/>
    <d v="2018-05-30T00:00:00"/>
    <n v="0"/>
    <s v="More than 60 days"/>
    <s v="DOCXX"/>
    <x v="0"/>
    <s v="Invoice"/>
  </r>
  <r>
    <x v="5"/>
    <s v="CC"/>
    <s v="C"/>
    <n v="1"/>
    <n v="10795.87"/>
    <m/>
    <m/>
    <n v="58008"/>
    <s v="D266"/>
    <s v="Freeport Tank Pool"/>
    <s v="Rental"/>
    <x v="3"/>
    <d v="2018-05-01T00:00:00"/>
    <d v="2018-05-23T00:00:00"/>
    <n v="10795.87"/>
    <d v="2018-05-30T00:00:00"/>
    <n v="0"/>
    <s v="More than 60 days"/>
    <s v="DOCXX"/>
    <x v="0"/>
    <s v="Invoice"/>
  </r>
  <r>
    <x v="5"/>
    <s v="CC"/>
    <s v="D"/>
    <n v="1"/>
    <n v="5922.71"/>
    <m/>
    <m/>
    <n v="66660"/>
    <s v="D009"/>
    <s v="Freeport Tank Pool"/>
    <s v="Rental"/>
    <x v="3"/>
    <d v="2018-05-01T00:00:00"/>
    <d v="2018-05-23T00:00:00"/>
    <n v="5922.71"/>
    <d v="2018-05-30T00:00:00"/>
    <n v="0"/>
    <s v="More than 60 days"/>
    <s v="DOCXX"/>
    <x v="0"/>
    <s v="Invoice"/>
  </r>
  <r>
    <x v="5"/>
    <s v="CC"/>
    <s v="E"/>
    <n v="1"/>
    <n v="5084.3"/>
    <m/>
    <m/>
    <n v="97900"/>
    <s v="D358"/>
    <s v="Freeport Tank Pool"/>
    <s v="Rental"/>
    <x v="3"/>
    <d v="2018-05-01T00:00:00"/>
    <d v="2018-05-23T00:00:00"/>
    <n v="5084.3"/>
    <d v="2018-05-30T00:00:00"/>
    <n v="0"/>
    <s v="More than 60 days"/>
    <s v="DOCXX"/>
    <x v="0"/>
    <s v="Invoice"/>
  </r>
  <r>
    <x v="5"/>
    <s v="CC"/>
    <s v="F"/>
    <n v="1"/>
    <n v="3415.17"/>
    <m/>
    <m/>
    <n v="66665"/>
    <s v="D356"/>
    <s v="Freeport Tank Pool"/>
    <s v="Rental"/>
    <x v="3"/>
    <d v="2018-05-01T00:00:00"/>
    <d v="2018-05-23T00:00:00"/>
    <n v="3415.17"/>
    <d v="2018-05-30T00:00:00"/>
    <n v="0"/>
    <s v="More than 60 days"/>
    <s v="DOCXX"/>
    <x v="0"/>
    <s v="Invoice"/>
  </r>
  <r>
    <x v="5"/>
    <s v="CC"/>
    <s v="G"/>
    <n v="1"/>
    <n v="3407.48"/>
    <m/>
    <m/>
    <n v="167840"/>
    <s v="D015"/>
    <s v="Freeport Tank Pool"/>
    <s v="Rental"/>
    <x v="3"/>
    <d v="2018-05-01T00:00:00"/>
    <d v="2018-05-23T00:00:00"/>
    <n v="3407.48"/>
    <d v="2018-05-30T00:00:00"/>
    <n v="0"/>
    <s v="More than 60 days"/>
    <s v="DOCXX"/>
    <x v="0"/>
    <s v="Invoice"/>
  </r>
  <r>
    <x v="5"/>
    <s v="CC"/>
    <s v="H"/>
    <n v="1"/>
    <n v="2930.59"/>
    <m/>
    <m/>
    <n v="68162"/>
    <s v="D344"/>
    <s v="Freeport Tank Pool"/>
    <s v="Rental"/>
    <x v="3"/>
    <d v="2018-05-01T00:00:00"/>
    <d v="2018-05-23T00:00:00"/>
    <n v="2930.59"/>
    <d v="2018-05-30T00:00:00"/>
    <n v="0"/>
    <s v="More than 60 days"/>
    <s v="DOCXX"/>
    <x v="0"/>
    <s v="Invoice"/>
  </r>
  <r>
    <x v="5"/>
    <s v="CC"/>
    <s v="I"/>
    <n v="1"/>
    <n v="2645.99"/>
    <m/>
    <m/>
    <n v="55785"/>
    <s v="D355"/>
    <s v="Freeport Tank Pool"/>
    <s v="Rental"/>
    <x v="3"/>
    <d v="2018-05-01T00:00:00"/>
    <d v="2018-05-23T00:00:00"/>
    <n v="2645.99"/>
    <d v="2018-05-30T00:00:00"/>
    <n v="0"/>
    <s v="More than 60 days"/>
    <s v="DOCXX"/>
    <x v="0"/>
    <s v="Invoice"/>
  </r>
  <r>
    <x v="5"/>
    <s v="CC"/>
    <s v="J"/>
    <n v="1"/>
    <n v="2384.4699999999998"/>
    <m/>
    <m/>
    <n v="82624"/>
    <s v="D407"/>
    <s v="Freeport Tank Pool"/>
    <s v="Rental"/>
    <x v="3"/>
    <d v="2018-05-01T00:00:00"/>
    <d v="2018-05-23T00:00:00"/>
    <n v="2384.4699999999998"/>
    <d v="2018-05-30T00:00:00"/>
    <n v="0"/>
    <s v="More than 60 days"/>
    <s v="DOCXX"/>
    <x v="0"/>
    <s v="Invoice"/>
  </r>
  <r>
    <x v="5"/>
    <s v="CC"/>
    <s v="K"/>
    <n v="1"/>
    <n v="2292.17"/>
    <m/>
    <m/>
    <n v="67904"/>
    <s v="D407"/>
    <s v="Freeport Tank Pool"/>
    <s v="Rental"/>
    <x v="3"/>
    <d v="2018-05-01T00:00:00"/>
    <d v="2018-05-23T00:00:00"/>
    <n v="2292.17"/>
    <d v="2018-05-30T00:00:00"/>
    <n v="0"/>
    <s v="More than 60 days"/>
    <s v="DOCXX"/>
    <x v="0"/>
    <s v="Invoice"/>
  </r>
  <r>
    <x v="5"/>
    <s v="CC"/>
    <s v="L"/>
    <n v="1"/>
    <n v="2099.87"/>
    <m/>
    <m/>
    <n v="66652"/>
    <s v="D213"/>
    <s v="Freeport Tank Pool"/>
    <s v="Rental"/>
    <x v="3"/>
    <d v="2018-05-01T00:00:00"/>
    <d v="2018-05-23T00:00:00"/>
    <n v="2099.87"/>
    <d v="2018-05-30T00:00:00"/>
    <n v="0"/>
    <s v="More than 60 days"/>
    <s v="DOCXX"/>
    <x v="0"/>
    <s v="Invoice"/>
  </r>
  <r>
    <x v="5"/>
    <s v="CC"/>
    <s v="M"/>
    <n v="1"/>
    <n v="2092.1799999999998"/>
    <m/>
    <m/>
    <n v="1204"/>
    <s v="D357"/>
    <s v="Freeport Tank Pool"/>
    <s v="Rental"/>
    <x v="3"/>
    <d v="2018-05-01T00:00:00"/>
    <d v="2018-05-23T00:00:00"/>
    <n v="2092.1799999999998"/>
    <d v="2018-05-30T00:00:00"/>
    <n v="0"/>
    <s v="More than 60 days"/>
    <s v="DOCXX"/>
    <x v="0"/>
    <s v="Invoice"/>
  </r>
  <r>
    <x v="5"/>
    <s v="CC"/>
    <s v="N"/>
    <n v="1"/>
    <n v="1884.5"/>
    <m/>
    <m/>
    <n v="75797"/>
    <s v="D348"/>
    <s v="Freeport Tank Pool"/>
    <s v="Rental"/>
    <x v="3"/>
    <d v="2018-05-01T00:00:00"/>
    <d v="2018-05-23T00:00:00"/>
    <n v="1884.5"/>
    <d v="2018-05-30T00:00:00"/>
    <n v="0"/>
    <s v="More than 60 days"/>
    <s v="DOCXX"/>
    <x v="0"/>
    <s v="Invoice"/>
  </r>
  <r>
    <x v="5"/>
    <s v="CC"/>
    <s v="O"/>
    <n v="1"/>
    <n v="1784.5"/>
    <m/>
    <m/>
    <n v="55609"/>
    <s v="D449"/>
    <s v="Freeport Tank Pool"/>
    <s v="Rental"/>
    <x v="3"/>
    <d v="2018-05-01T00:00:00"/>
    <d v="2018-05-23T00:00:00"/>
    <n v="1784.5"/>
    <d v="2018-05-30T00:00:00"/>
    <n v="0"/>
    <s v="More than 60 days"/>
    <s v="DOCXX"/>
    <x v="0"/>
    <s v="Invoice"/>
  </r>
  <r>
    <x v="5"/>
    <s v="CC"/>
    <s v="P"/>
    <n v="1"/>
    <n v="1530.67"/>
    <m/>
    <m/>
    <n v="1356"/>
    <s v="D360"/>
    <s v="Freeport Tank Pool"/>
    <s v="Rental"/>
    <x v="3"/>
    <d v="2018-05-01T00:00:00"/>
    <d v="2018-05-23T00:00:00"/>
    <n v="1530.67"/>
    <d v="2018-05-30T00:00:00"/>
    <n v="0"/>
    <s v="More than 60 days"/>
    <s v="DOCXX"/>
    <x v="0"/>
    <s v="Invoice"/>
  </r>
  <r>
    <x v="5"/>
    <s v="CC"/>
    <s v="Q"/>
    <n v="1"/>
    <n v="1461.45"/>
    <m/>
    <m/>
    <n v="68260"/>
    <s v="D002"/>
    <s v="Freeport Tank Pool"/>
    <s v="Rental"/>
    <x v="3"/>
    <d v="2018-05-01T00:00:00"/>
    <d v="2018-05-23T00:00:00"/>
    <n v="1461.45"/>
    <d v="2018-05-30T00:00:00"/>
    <n v="0"/>
    <s v="More than 60 days"/>
    <s v="DOCXX"/>
    <x v="0"/>
    <s v="Invoice"/>
  </r>
  <r>
    <x v="5"/>
    <s v="CC"/>
    <s v="R"/>
    <n v="1"/>
    <n v="961.48"/>
    <m/>
    <m/>
    <n v="82294"/>
    <s v="D407"/>
    <s v="Freeport Tank Pool"/>
    <s v="Rental"/>
    <x v="3"/>
    <d v="2018-05-01T00:00:00"/>
    <d v="2018-05-23T00:00:00"/>
    <n v="961.48"/>
    <d v="2018-05-30T00:00:00"/>
    <n v="0"/>
    <s v="More than 60 days"/>
    <s v="DOCXX"/>
    <x v="0"/>
    <s v="Invoice"/>
  </r>
  <r>
    <x v="5"/>
    <s v="CC"/>
    <s v="S"/>
    <n v="1"/>
    <n v="769.18"/>
    <m/>
    <m/>
    <n v="68235"/>
    <s v="D232"/>
    <s v="Freeport Tank Pool"/>
    <s v="Rental"/>
    <x v="3"/>
    <d v="2018-05-01T00:00:00"/>
    <d v="2018-05-23T00:00:00"/>
    <n v="769.18"/>
    <d v="2018-05-30T00:00:00"/>
    <n v="0"/>
    <s v="More than 60 days"/>
    <s v="DOCXX"/>
    <x v="0"/>
    <s v="Invoice"/>
  </r>
  <r>
    <x v="5"/>
    <s v="CC"/>
    <s v="T"/>
    <n v="1"/>
    <n v="769.18"/>
    <m/>
    <m/>
    <n v="172324"/>
    <s v="E324"/>
    <s v="Freeport Tank Pool"/>
    <s v="Rental"/>
    <x v="3"/>
    <d v="2018-05-01T00:00:00"/>
    <d v="2018-05-23T00:00:00"/>
    <n v="769.18"/>
    <d v="2018-05-30T00:00:00"/>
    <n v="0"/>
    <s v="More than 60 days"/>
    <s v="DOCXX"/>
    <x v="0"/>
    <s v="Invoice"/>
  </r>
  <r>
    <x v="5"/>
    <s v="CC"/>
    <s v="U"/>
    <n v="1"/>
    <n v="769.18"/>
    <m/>
    <m/>
    <n v="82330"/>
    <s v="D017"/>
    <s v="Freeport Tank Pool"/>
    <s v="Rental"/>
    <x v="3"/>
    <d v="2018-05-01T00:00:00"/>
    <d v="2018-05-23T00:00:00"/>
    <n v="769.18"/>
    <d v="2018-05-30T00:00:00"/>
    <n v="0"/>
    <s v="More than 60 days"/>
    <s v="DOCXX"/>
    <x v="0"/>
    <s v="Invoice"/>
  </r>
  <r>
    <x v="5"/>
    <s v="SN"/>
    <s v="A"/>
    <n v="1"/>
    <n v="196.35"/>
    <n v="27084675"/>
    <m/>
    <m/>
    <m/>
    <s v="Pool Shipment"/>
    <s v="Rental"/>
    <x v="3"/>
    <d v="2018-05-01T00:00:00"/>
    <d v="2018-05-24T00:00:00"/>
    <n v="196.35"/>
    <d v="2018-06-04T00:00:00"/>
    <n v="0"/>
    <s v="More than 60 days"/>
    <s v="DOCXX"/>
    <x v="0"/>
    <s v="Invoice"/>
  </r>
  <r>
    <x v="5"/>
    <s v="SN"/>
    <s v="B"/>
    <n v="1"/>
    <n v="243.1"/>
    <n v="31281322"/>
    <m/>
    <m/>
    <m/>
    <s v="Pool Shipment"/>
    <s v="Rental"/>
    <x v="3"/>
    <d v="2018-05-01T00:00:00"/>
    <d v="2018-05-24T00:00:00"/>
    <n v="243.1"/>
    <d v="2018-06-04T00:00:00"/>
    <n v="0"/>
    <s v="More than 60 days"/>
    <s v="DOCXX"/>
    <x v="0"/>
    <s v="Invoice"/>
  </r>
  <r>
    <x v="5"/>
    <s v="SN"/>
    <s v="C"/>
    <n v="1"/>
    <n v="289.85000000000002"/>
    <n v="3146044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"/>
    <n v="1"/>
    <n v="168.3"/>
    <n v="31482909"/>
    <m/>
    <m/>
    <m/>
    <s v="Pool Shipment"/>
    <s v="Rental"/>
    <x v="3"/>
    <d v="2018-05-01T00:00:00"/>
    <d v="2018-05-24T00:00:00"/>
    <n v="168.3"/>
    <d v="2018-06-04T00:00:00"/>
    <n v="0"/>
    <s v="More than 60 days"/>
    <s v="DOCXX"/>
    <x v="0"/>
    <s v="Invoice"/>
  </r>
  <r>
    <x v="5"/>
    <s v="SN"/>
    <s v="E"/>
    <n v="1"/>
    <n v="177.65"/>
    <n v="31483060"/>
    <m/>
    <m/>
    <m/>
    <s v="Pool Shipment"/>
    <s v="Rental"/>
    <x v="3"/>
    <d v="2018-05-01T00:00:00"/>
    <d v="2018-05-24T00:00:00"/>
    <n v="177.65"/>
    <d v="2018-06-04T00:00:00"/>
    <n v="0"/>
    <s v="More than 60 days"/>
    <s v="DOCXX"/>
    <x v="0"/>
    <s v="Invoice"/>
  </r>
  <r>
    <x v="5"/>
    <s v="SN"/>
    <s v="F"/>
    <n v="1"/>
    <n v="289.85000000000002"/>
    <n v="3148306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"/>
    <n v="1"/>
    <n v="177.65"/>
    <n v="31483062"/>
    <m/>
    <m/>
    <m/>
    <s v="Pool Shipment"/>
    <s v="Rental"/>
    <x v="3"/>
    <d v="2018-05-01T00:00:00"/>
    <d v="2018-05-24T00:00:00"/>
    <n v="177.65"/>
    <d v="2018-06-04T00:00:00"/>
    <n v="0"/>
    <s v="More than 60 days"/>
    <s v="DOCXX"/>
    <x v="0"/>
    <s v="Invoice"/>
  </r>
  <r>
    <x v="5"/>
    <s v="SN"/>
    <s v="H"/>
    <n v="1"/>
    <n v="289.85000000000002"/>
    <n v="3151988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I"/>
    <n v="1"/>
    <n v="289.85000000000002"/>
    <n v="31612063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J"/>
    <n v="1"/>
    <n v="158.94999999999999"/>
    <n v="31683931"/>
    <m/>
    <m/>
    <m/>
    <s v="Pool Shipment"/>
    <s v="Rental"/>
    <x v="3"/>
    <d v="2018-05-01T00:00:00"/>
    <d v="2018-05-24T00:00:00"/>
    <n v="158.94999999999999"/>
    <d v="2018-06-04T00:00:00"/>
    <n v="0"/>
    <s v="More than 60 days"/>
    <s v="DOCXX"/>
    <x v="0"/>
    <s v="Invoice"/>
  </r>
  <r>
    <x v="5"/>
    <s v="SN"/>
    <s v="K"/>
    <n v="1"/>
    <n v="289.85000000000002"/>
    <n v="3174072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L"/>
    <n v="1"/>
    <n v="140.25"/>
    <n v="31740727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M"/>
    <n v="1"/>
    <n v="56.1"/>
    <n v="31742081"/>
    <m/>
    <m/>
    <m/>
    <s v="Pool Shipment"/>
    <s v="Rental"/>
    <x v="3"/>
    <d v="2018-05-01T00:00:00"/>
    <d v="2018-05-24T00:00:00"/>
    <n v="56.1"/>
    <d v="2018-06-04T00:00:00"/>
    <n v="0"/>
    <s v="More than 60 days"/>
    <s v="DOCXX"/>
    <x v="0"/>
    <s v="Invoice"/>
  </r>
  <r>
    <x v="5"/>
    <s v="SN"/>
    <s v="N"/>
    <n v="1"/>
    <n v="56.1"/>
    <n v="31752978"/>
    <m/>
    <m/>
    <m/>
    <s v="Pool Shipment"/>
    <s v="Rental"/>
    <x v="3"/>
    <d v="2018-05-01T00:00:00"/>
    <d v="2018-05-24T00:00:00"/>
    <n v="56.1"/>
    <d v="2018-06-04T00:00:00"/>
    <n v="0"/>
    <s v="More than 60 days"/>
    <s v="DOCXX"/>
    <x v="0"/>
    <s v="Invoice"/>
  </r>
  <r>
    <x v="5"/>
    <s v="SN"/>
    <s v="O"/>
    <n v="1"/>
    <n v="93.5"/>
    <n v="31752979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P"/>
    <n v="1"/>
    <n v="46.75"/>
    <n v="31753150"/>
    <m/>
    <m/>
    <m/>
    <s v="Pool Shipment"/>
    <s v="Rental"/>
    <x v="3"/>
    <d v="2018-05-01T00:00:00"/>
    <d v="2018-05-24T00:00:00"/>
    <n v="46.75"/>
    <d v="2018-06-04T00:00:00"/>
    <n v="0"/>
    <s v="More than 60 days"/>
    <s v="DOCXX"/>
    <x v="0"/>
    <s v="Invoice"/>
  </r>
  <r>
    <x v="5"/>
    <s v="SN"/>
    <s v="Q"/>
    <n v="1"/>
    <n v="271.14999999999998"/>
    <n v="31753150"/>
    <m/>
    <m/>
    <m/>
    <s v="Pool Shipment"/>
    <s v="Rental"/>
    <x v="3"/>
    <d v="2018-05-01T00:00:00"/>
    <d v="2018-05-24T00:00:00"/>
    <n v="271.14999999999998"/>
    <d v="2018-06-04T00:00:00"/>
    <n v="0"/>
    <s v="More than 60 days"/>
    <s v="DOCXX"/>
    <x v="0"/>
    <s v="Invoice"/>
  </r>
  <r>
    <x v="5"/>
    <s v="SN"/>
    <s v="R"/>
    <n v="1"/>
    <n v="84.15"/>
    <n v="31753151"/>
    <m/>
    <m/>
    <m/>
    <s v="Pool Shipment"/>
    <s v="Rental"/>
    <x v="3"/>
    <d v="2018-05-01T00:00:00"/>
    <d v="2018-05-24T00:00:00"/>
    <n v="84.15"/>
    <d v="2018-06-04T00:00:00"/>
    <n v="0"/>
    <s v="More than 60 days"/>
    <s v="DOCXX"/>
    <x v="0"/>
    <s v="Invoice"/>
  </r>
  <r>
    <x v="5"/>
    <s v="SN"/>
    <s v="S"/>
    <n v="1"/>
    <n v="140.25"/>
    <n v="31753152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T"/>
    <n v="1"/>
    <n v="121.55"/>
    <n v="31753153"/>
    <m/>
    <m/>
    <m/>
    <s v="Pool Shipment"/>
    <s v="Rental"/>
    <x v="3"/>
    <d v="2018-05-01T00:00:00"/>
    <d v="2018-05-24T00:00:00"/>
    <n v="121.55"/>
    <d v="2018-06-04T00:00:00"/>
    <n v="0"/>
    <s v="More than 60 days"/>
    <s v="DOCXX"/>
    <x v="0"/>
    <s v="Invoice"/>
  </r>
  <r>
    <x v="5"/>
    <s v="SN"/>
    <s v="U"/>
    <n v="1"/>
    <n v="205.7"/>
    <n v="31753154"/>
    <m/>
    <m/>
    <m/>
    <s v="Pool Shipment"/>
    <s v="Rental"/>
    <x v="3"/>
    <d v="2018-05-01T00:00:00"/>
    <d v="2018-05-24T00:00:00"/>
    <n v="205.7"/>
    <d v="2018-06-04T00:00:00"/>
    <n v="0"/>
    <s v="More than 60 days"/>
    <s v="DOCXX"/>
    <x v="0"/>
    <s v="Invoice"/>
  </r>
  <r>
    <x v="5"/>
    <s v="SN"/>
    <s v="V"/>
    <n v="1"/>
    <n v="65.45"/>
    <n v="31753155"/>
    <m/>
    <m/>
    <m/>
    <s v="Pool Shipment"/>
    <s v="Rental"/>
    <x v="3"/>
    <d v="2018-05-01T00:00:00"/>
    <d v="2018-05-24T00:00:00"/>
    <n v="65.45"/>
    <d v="2018-06-04T00:00:00"/>
    <n v="0"/>
    <s v="More than 60 days"/>
    <s v="DOCXX"/>
    <x v="0"/>
    <s v="Invoice"/>
  </r>
  <r>
    <x v="5"/>
    <s v="SN"/>
    <s v="W"/>
    <n v="1"/>
    <n v="215.05"/>
    <n v="31753156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X"/>
    <n v="1"/>
    <n v="215.05"/>
    <n v="31753157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Y"/>
    <n v="1"/>
    <n v="9.35"/>
    <n v="31753158"/>
    <m/>
    <m/>
    <m/>
    <s v="Pool Shipment"/>
    <s v="Rental"/>
    <x v="3"/>
    <d v="2018-05-01T00:00:00"/>
    <d v="2018-05-24T00:00:00"/>
    <n v="9.35"/>
    <d v="2018-06-04T00:00:00"/>
    <n v="0"/>
    <s v="More than 60 days"/>
    <s v="DOCXX"/>
    <x v="0"/>
    <s v="Invoice"/>
  </r>
  <r>
    <x v="5"/>
    <s v="SN"/>
    <s v="Z"/>
    <n v="1"/>
    <n v="252.45"/>
    <n v="31753158"/>
    <m/>
    <m/>
    <m/>
    <s v="Pool Shipment"/>
    <s v="Rental"/>
    <x v="3"/>
    <d v="2018-05-01T00:00:00"/>
    <d v="2018-05-24T00:00:00"/>
    <n v="252.45"/>
    <d v="2018-06-04T00:00:00"/>
    <n v="0"/>
    <s v="More than 60 days"/>
    <s v="DOCXX"/>
    <x v="0"/>
    <s v="Invoice"/>
  </r>
  <r>
    <x v="5"/>
    <s v="SN"/>
    <s v="AA"/>
    <n v="1"/>
    <n v="224.4"/>
    <n v="31753159"/>
    <m/>
    <m/>
    <m/>
    <s v="Pool Shipment"/>
    <s v="Rental"/>
    <x v="3"/>
    <d v="2018-05-01T00:00:00"/>
    <d v="2018-05-24T00:00:00"/>
    <n v="224.4"/>
    <d v="2018-06-04T00:00:00"/>
    <n v="0"/>
    <s v="More than 60 days"/>
    <s v="DOCXX"/>
    <x v="0"/>
    <s v="Invoice"/>
  </r>
  <r>
    <x v="5"/>
    <s v="SN"/>
    <s v="AB"/>
    <n v="1"/>
    <n v="205.7"/>
    <n v="31753160"/>
    <m/>
    <m/>
    <m/>
    <s v="Pool Shipment"/>
    <s v="Rental"/>
    <x v="3"/>
    <d v="2018-05-01T00:00:00"/>
    <d v="2018-05-24T00:00:00"/>
    <n v="205.7"/>
    <d v="2018-06-04T00:00:00"/>
    <n v="0"/>
    <s v="More than 60 days"/>
    <s v="DOCXX"/>
    <x v="0"/>
    <s v="Invoice"/>
  </r>
  <r>
    <x v="5"/>
    <s v="SN"/>
    <s v="AC"/>
    <n v="1"/>
    <n v="252.45"/>
    <n v="31753161"/>
    <m/>
    <m/>
    <m/>
    <s v="Pool Shipment"/>
    <s v="Rental"/>
    <x v="3"/>
    <d v="2018-05-01T00:00:00"/>
    <d v="2018-05-24T00:00:00"/>
    <n v="252.45"/>
    <d v="2018-06-04T00:00:00"/>
    <n v="0"/>
    <s v="More than 60 days"/>
    <s v="DOCXX"/>
    <x v="0"/>
    <s v="Invoice"/>
  </r>
  <r>
    <x v="5"/>
    <s v="SN"/>
    <s v="AD"/>
    <n v="1"/>
    <n v="196.35"/>
    <n v="31753162"/>
    <m/>
    <m/>
    <m/>
    <s v="Pool Shipment"/>
    <s v="Rental"/>
    <x v="3"/>
    <d v="2018-05-01T00:00:00"/>
    <d v="2018-05-24T00:00:00"/>
    <n v="196.35"/>
    <d v="2018-06-04T00:00:00"/>
    <n v="0"/>
    <s v="More than 60 days"/>
    <s v="DOCXX"/>
    <x v="0"/>
    <s v="Invoice"/>
  </r>
  <r>
    <x v="5"/>
    <s v="SN"/>
    <s v="AE"/>
    <n v="1"/>
    <n v="243.1"/>
    <n v="31753163"/>
    <m/>
    <m/>
    <m/>
    <s v="Pool Shipment"/>
    <s v="Rental"/>
    <x v="3"/>
    <d v="2018-05-01T00:00:00"/>
    <d v="2018-05-24T00:00:00"/>
    <n v="243.1"/>
    <d v="2018-06-04T00:00:00"/>
    <n v="0"/>
    <s v="More than 60 days"/>
    <s v="DOCXX"/>
    <x v="0"/>
    <s v="Invoice"/>
  </r>
  <r>
    <x v="5"/>
    <s v="SN"/>
    <s v="AF"/>
    <n v="1"/>
    <n v="215.05"/>
    <n v="31753164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AG"/>
    <n v="1"/>
    <n v="93.5"/>
    <n v="31753165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AH"/>
    <n v="1"/>
    <n v="84.15"/>
    <n v="31754116"/>
    <m/>
    <m/>
    <m/>
    <s v="Pool Shipment"/>
    <s v="Rental"/>
    <x v="3"/>
    <d v="2018-05-01T00:00:00"/>
    <d v="2018-05-24T00:00:00"/>
    <n v="84.15"/>
    <d v="2018-06-04T00:00:00"/>
    <n v="0"/>
    <s v="More than 60 days"/>
    <s v="DOCXX"/>
    <x v="0"/>
    <s v="Invoice"/>
  </r>
  <r>
    <x v="5"/>
    <s v="SN"/>
    <s v="AI"/>
    <n v="1"/>
    <n v="130.9"/>
    <n v="31754217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AJ"/>
    <n v="1"/>
    <n v="102.85"/>
    <n v="31754259"/>
    <m/>
    <m/>
    <m/>
    <s v="Pool Shipment"/>
    <s v="Rental"/>
    <x v="3"/>
    <d v="2018-05-01T00:00:00"/>
    <d v="2018-05-24T00:00:00"/>
    <n v="102.85"/>
    <d v="2018-06-04T00:00:00"/>
    <n v="0"/>
    <s v="More than 60 days"/>
    <s v="DOCXX"/>
    <x v="0"/>
    <s v="Invoice"/>
  </r>
  <r>
    <x v="5"/>
    <s v="SN"/>
    <s v="AK"/>
    <n v="1"/>
    <n v="46.75"/>
    <n v="31754360"/>
    <m/>
    <m/>
    <m/>
    <s v="Pool Shipment"/>
    <s v="Rental"/>
    <x v="3"/>
    <d v="2018-05-01T00:00:00"/>
    <d v="2018-05-24T00:00:00"/>
    <n v="46.75"/>
    <d v="2018-06-04T00:00:00"/>
    <n v="0"/>
    <s v="More than 60 days"/>
    <s v="DOCXX"/>
    <x v="0"/>
    <s v="Invoice"/>
  </r>
  <r>
    <x v="5"/>
    <s v="SN"/>
    <s v="AL"/>
    <n v="1"/>
    <n v="140.25"/>
    <n v="31754361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AM"/>
    <n v="1"/>
    <n v="130.9"/>
    <n v="31754362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AN"/>
    <n v="1"/>
    <n v="56.1"/>
    <n v="31759383"/>
    <m/>
    <m/>
    <m/>
    <s v="Pool Shipment"/>
    <s v="Rental"/>
    <x v="3"/>
    <d v="2018-05-01T00:00:00"/>
    <d v="2018-05-24T00:00:00"/>
    <n v="56.1"/>
    <d v="2018-06-04T00:00:00"/>
    <n v="0"/>
    <s v="More than 60 days"/>
    <s v="DOCXX"/>
    <x v="0"/>
    <s v="Invoice"/>
  </r>
  <r>
    <x v="5"/>
    <s v="SN"/>
    <s v="AO"/>
    <n v="1"/>
    <n v="112.2"/>
    <n v="31767530"/>
    <m/>
    <m/>
    <m/>
    <s v="Pool Shipment"/>
    <s v="Rental"/>
    <x v="3"/>
    <d v="2018-05-01T00:00:00"/>
    <d v="2018-05-24T00:00:00"/>
    <n v="112.2"/>
    <d v="2018-06-04T00:00:00"/>
    <n v="0"/>
    <s v="More than 60 days"/>
    <s v="DOCXX"/>
    <x v="0"/>
    <s v="Invoice"/>
  </r>
  <r>
    <x v="5"/>
    <s v="SN"/>
    <s v="AP"/>
    <n v="1"/>
    <n v="130.9"/>
    <n v="31777567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AQ"/>
    <n v="1"/>
    <n v="112.2"/>
    <n v="31778348"/>
    <m/>
    <m/>
    <m/>
    <s v="Pool Shipment"/>
    <s v="Rental"/>
    <x v="3"/>
    <d v="2018-05-01T00:00:00"/>
    <d v="2018-05-24T00:00:00"/>
    <m/>
    <m/>
    <n v="112.2"/>
    <s v="More than 60 days"/>
    <s v="DOCXX"/>
    <x v="0"/>
    <s v="Invoice"/>
  </r>
  <r>
    <x v="5"/>
    <s v="SN"/>
    <s v="AR"/>
    <n v="1"/>
    <n v="112.2"/>
    <n v="31778349"/>
    <m/>
    <m/>
    <m/>
    <s v="Pool Shipment"/>
    <s v="Rental"/>
    <x v="3"/>
    <d v="2018-05-01T00:00:00"/>
    <d v="2018-05-24T00:00:00"/>
    <m/>
    <m/>
    <n v="112.2"/>
    <s v="More than 60 days"/>
    <s v="DOCXX"/>
    <x v="0"/>
    <s v="Invoice"/>
  </r>
  <r>
    <x v="5"/>
    <s v="SN"/>
    <s v="AS"/>
    <n v="1"/>
    <n v="102.85"/>
    <n v="31778730"/>
    <m/>
    <m/>
    <m/>
    <s v="Pool Shipment"/>
    <s v="Rental"/>
    <x v="3"/>
    <d v="2018-05-01T00:00:00"/>
    <d v="2018-05-24T00:00:00"/>
    <m/>
    <m/>
    <n v="102.85"/>
    <s v="More than 60 days"/>
    <s v="DOCXX"/>
    <x v="0"/>
    <s v="Invoice"/>
  </r>
  <r>
    <x v="5"/>
    <s v="SN"/>
    <s v="AT"/>
    <n v="1"/>
    <n v="149.6"/>
    <n v="31787059"/>
    <m/>
    <m/>
    <m/>
    <s v="Pool Shipment"/>
    <s v="Rental"/>
    <x v="3"/>
    <d v="2018-05-01T00:00:00"/>
    <d v="2018-05-24T00:00:00"/>
    <n v="149.6"/>
    <d v="2018-06-04T00:00:00"/>
    <n v="0"/>
    <s v="More than 60 days"/>
    <s v="DOCXX"/>
    <x v="0"/>
    <s v="Invoice"/>
  </r>
  <r>
    <x v="5"/>
    <s v="SN"/>
    <s v="AU"/>
    <n v="1"/>
    <n v="130.9"/>
    <n v="31790911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AV"/>
    <n v="1"/>
    <n v="140.25"/>
    <n v="31798089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AW"/>
    <n v="1"/>
    <n v="177.65"/>
    <n v="31808995"/>
    <m/>
    <m/>
    <m/>
    <s v="Pool Shipment"/>
    <s v="Rental"/>
    <x v="3"/>
    <d v="2018-05-01T00:00:00"/>
    <d v="2018-05-24T00:00:00"/>
    <n v="177.65"/>
    <d v="2018-06-04T00:00:00"/>
    <n v="0"/>
    <s v="More than 60 days"/>
    <s v="DOCXX"/>
    <x v="0"/>
    <s v="Invoice"/>
  </r>
  <r>
    <x v="5"/>
    <s v="SN"/>
    <s v="AX"/>
    <n v="1"/>
    <n v="93.5"/>
    <n v="31808996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AY"/>
    <n v="1"/>
    <n v="140.25"/>
    <n v="31810490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AZ"/>
    <n v="1"/>
    <n v="93.5"/>
    <n v="31810491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BA"/>
    <n v="1"/>
    <n v="215.05"/>
    <n v="31823359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BB"/>
    <n v="1"/>
    <n v="261.8"/>
    <n v="31823884"/>
    <m/>
    <m/>
    <m/>
    <s v="Pool Shipment"/>
    <s v="Rental"/>
    <x v="3"/>
    <d v="2018-05-01T00:00:00"/>
    <d v="2018-05-24T00:00:00"/>
    <n v="261.8"/>
    <d v="2018-06-04T00:00:00"/>
    <n v="0"/>
    <s v="More than 60 days"/>
    <s v="DOCXX"/>
    <x v="0"/>
    <s v="Invoice"/>
  </r>
  <r>
    <x v="5"/>
    <s v="SN"/>
    <s v="BC"/>
    <n v="1"/>
    <n v="271.14999999999998"/>
    <n v="31823885"/>
    <m/>
    <m/>
    <m/>
    <s v="Pool Shipment"/>
    <s v="Rental"/>
    <x v="3"/>
    <d v="2018-05-01T00:00:00"/>
    <d v="2018-05-24T00:00:00"/>
    <n v="271.14999999999998"/>
    <d v="2018-06-04T00:00:00"/>
    <n v="0"/>
    <s v="More than 60 days"/>
    <s v="DOCXX"/>
    <x v="0"/>
    <s v="Invoice"/>
  </r>
  <r>
    <x v="5"/>
    <s v="SN"/>
    <s v="BD"/>
    <n v="1"/>
    <n v="187"/>
    <n v="31823888"/>
    <m/>
    <m/>
    <m/>
    <s v="Pool Shipment"/>
    <s v="Rental"/>
    <x v="3"/>
    <d v="2018-05-01T00:00:00"/>
    <d v="2018-05-24T00:00:00"/>
    <n v="187"/>
    <d v="2018-06-04T00:00:00"/>
    <n v="0"/>
    <s v="More than 60 days"/>
    <s v="DOCXX"/>
    <x v="0"/>
    <s v="Invoice"/>
  </r>
  <r>
    <x v="5"/>
    <s v="SN"/>
    <s v="BE"/>
    <n v="1"/>
    <n v="93.5"/>
    <n v="31823889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BF"/>
    <n v="1"/>
    <n v="65.45"/>
    <n v="31823890"/>
    <m/>
    <m/>
    <m/>
    <s v="Pool Shipment"/>
    <s v="Rental"/>
    <x v="3"/>
    <d v="2018-05-01T00:00:00"/>
    <d v="2018-05-24T00:00:00"/>
    <n v="65.45"/>
    <d v="2018-06-04T00:00:00"/>
    <n v="0"/>
    <s v="More than 60 days"/>
    <s v="DOCXX"/>
    <x v="0"/>
    <s v="Invoice"/>
  </r>
  <r>
    <x v="5"/>
    <s v="SN"/>
    <s v="BG"/>
    <n v="1"/>
    <n v="74.8"/>
    <n v="31823891"/>
    <m/>
    <m/>
    <m/>
    <s v="Pool Shipment"/>
    <s v="Rental"/>
    <x v="3"/>
    <d v="2018-05-01T00:00:00"/>
    <d v="2018-05-24T00:00:00"/>
    <n v="74.8"/>
    <d v="2018-06-04T00:00:00"/>
    <n v="0"/>
    <s v="More than 60 days"/>
    <s v="DOCXX"/>
    <x v="0"/>
    <s v="Invoice"/>
  </r>
  <r>
    <x v="5"/>
    <s v="SN"/>
    <s v="BH"/>
    <n v="1"/>
    <n v="243.1"/>
    <n v="31823892"/>
    <m/>
    <m/>
    <m/>
    <s v="Pool Shipment"/>
    <s v="Rental"/>
    <x v="3"/>
    <d v="2018-05-01T00:00:00"/>
    <d v="2018-05-24T00:00:00"/>
    <n v="243.1"/>
    <d v="2018-06-04T00:00:00"/>
    <n v="0"/>
    <s v="More than 60 days"/>
    <s v="DOCXX"/>
    <x v="0"/>
    <s v="Invoice"/>
  </r>
  <r>
    <x v="5"/>
    <s v="SN"/>
    <s v="BI"/>
    <n v="1"/>
    <n v="37.4"/>
    <n v="31823893"/>
    <m/>
    <m/>
    <m/>
    <s v="Pool Shipment"/>
    <s v="Rental"/>
    <x v="3"/>
    <d v="2018-05-01T00:00:00"/>
    <d v="2018-05-24T00:00:00"/>
    <n v="37.4"/>
    <d v="2018-06-04T00:00:00"/>
    <n v="0"/>
    <s v="More than 60 days"/>
    <s v="DOCXX"/>
    <x v="0"/>
    <s v="Invoice"/>
  </r>
  <r>
    <x v="5"/>
    <s v="SN"/>
    <s v="BJ"/>
    <n v="1"/>
    <n v="215.05"/>
    <n v="31823894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BK"/>
    <n v="1"/>
    <n v="215.05"/>
    <n v="31830737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BL"/>
    <n v="1"/>
    <n v="215.05"/>
    <n v="31830738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BM"/>
    <n v="1"/>
    <n v="205.7"/>
    <n v="31832161"/>
    <m/>
    <m/>
    <m/>
    <s v="Pool Shipment"/>
    <s v="Rental"/>
    <x v="3"/>
    <d v="2018-05-01T00:00:00"/>
    <d v="2018-05-24T00:00:00"/>
    <n v="205.7"/>
    <d v="2018-06-04T00:00:00"/>
    <n v="0"/>
    <s v="More than 60 days"/>
    <s v="DOCXX"/>
    <x v="0"/>
    <s v="Invoice"/>
  </r>
  <r>
    <x v="5"/>
    <s v="SN"/>
    <s v="BN"/>
    <n v="1"/>
    <n v="93.5"/>
    <n v="31845282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BO"/>
    <n v="1"/>
    <n v="93.5"/>
    <n v="31845282"/>
    <m/>
    <m/>
    <m/>
    <s v="Pool Shipment"/>
    <s v="Rental"/>
    <x v="3"/>
    <d v="2018-05-01T00:00:00"/>
    <d v="2018-05-24T00:00:00"/>
    <n v="93.5"/>
    <d v="2018-06-04T00:00:00"/>
    <n v="0"/>
    <s v="More than 60 days"/>
    <s v="DOCXX"/>
    <x v="0"/>
    <s v="Invoice"/>
  </r>
  <r>
    <x v="5"/>
    <s v="SN"/>
    <s v="BP"/>
    <n v="1"/>
    <n v="177.65"/>
    <n v="31845283"/>
    <m/>
    <m/>
    <m/>
    <s v="Pool Shipment"/>
    <s v="Rental"/>
    <x v="3"/>
    <d v="2018-05-01T00:00:00"/>
    <d v="2018-05-24T00:00:00"/>
    <n v="177.65"/>
    <d v="2018-06-04T00:00:00"/>
    <n v="0"/>
    <s v="More than 60 days"/>
    <s v="DOCXX"/>
    <x v="0"/>
    <s v="Invoice"/>
  </r>
  <r>
    <x v="5"/>
    <s v="SN"/>
    <s v="BQ"/>
    <n v="1"/>
    <n v="177.65"/>
    <n v="31845283"/>
    <m/>
    <m/>
    <m/>
    <s v="Pool Shipment"/>
    <s v="Rental"/>
    <x v="3"/>
    <d v="2018-05-01T00:00:00"/>
    <d v="2018-05-24T00:00:00"/>
    <n v="177.65"/>
    <d v="2018-06-04T00:00:00"/>
    <n v="0"/>
    <s v="More than 60 days"/>
    <s v="DOCXX"/>
    <x v="0"/>
    <s v="Invoice"/>
  </r>
  <r>
    <x v="5"/>
    <s v="SN"/>
    <s v="BR"/>
    <n v="1"/>
    <n v="140.25"/>
    <n v="31845284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BS"/>
    <n v="1"/>
    <n v="140.25"/>
    <n v="31845284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BT"/>
    <n v="1"/>
    <n v="149.6"/>
    <n v="31845285"/>
    <m/>
    <m/>
    <m/>
    <s v="Pool Shipment"/>
    <s v="Rental"/>
    <x v="3"/>
    <d v="2018-05-01T00:00:00"/>
    <d v="2018-05-24T00:00:00"/>
    <n v="149.6"/>
    <d v="2018-06-04T00:00:00"/>
    <n v="0"/>
    <s v="More than 60 days"/>
    <s v="DOCXX"/>
    <x v="0"/>
    <s v="Invoice"/>
  </r>
  <r>
    <x v="5"/>
    <s v="SN"/>
    <s v="BU"/>
    <n v="1"/>
    <n v="84.15"/>
    <n v="31845912"/>
    <m/>
    <m/>
    <m/>
    <s v="Pool Shipment"/>
    <s v="Rental"/>
    <x v="3"/>
    <d v="2018-05-01T00:00:00"/>
    <d v="2018-05-24T00:00:00"/>
    <n v="84.15"/>
    <d v="2018-06-04T00:00:00"/>
    <n v="0"/>
    <s v="More than 60 days"/>
    <s v="DOCXX"/>
    <x v="0"/>
    <s v="Invoice"/>
  </r>
  <r>
    <x v="5"/>
    <s v="SN"/>
    <s v="BV"/>
    <n v="1"/>
    <n v="215.05"/>
    <n v="31846335"/>
    <m/>
    <m/>
    <m/>
    <s v="Pool Shipment"/>
    <s v="Rental"/>
    <x v="3"/>
    <d v="2018-05-01T00:00:00"/>
    <d v="2018-05-24T00:00:00"/>
    <n v="215.05"/>
    <d v="2018-06-04T00:00:00"/>
    <n v="0"/>
    <s v="More than 60 days"/>
    <s v="DOCXX"/>
    <x v="0"/>
    <s v="Invoice"/>
  </r>
  <r>
    <x v="5"/>
    <s v="SN"/>
    <s v="BW"/>
    <n v="1"/>
    <n v="196.35"/>
    <n v="31846336"/>
    <m/>
    <m/>
    <m/>
    <s v="Pool Shipment"/>
    <s v="Rental"/>
    <x v="3"/>
    <d v="2018-05-01T00:00:00"/>
    <d v="2018-05-24T00:00:00"/>
    <n v="196.35"/>
    <d v="2018-06-04T00:00:00"/>
    <n v="0"/>
    <s v="More than 60 days"/>
    <s v="DOCXX"/>
    <x v="0"/>
    <s v="Invoice"/>
  </r>
  <r>
    <x v="5"/>
    <s v="SN"/>
    <s v="BX"/>
    <n v="1"/>
    <n v="243.1"/>
    <n v="31846490"/>
    <m/>
    <m/>
    <m/>
    <s v="Pool Shipment"/>
    <s v="Rental"/>
    <x v="3"/>
    <d v="2018-05-01T00:00:00"/>
    <d v="2018-05-24T00:00:00"/>
    <n v="243.1"/>
    <d v="2018-06-04T00:00:00"/>
    <n v="0"/>
    <s v="More than 60 days"/>
    <s v="DOCXX"/>
    <x v="0"/>
    <s v="Invoice"/>
  </r>
  <r>
    <x v="5"/>
    <s v="SN"/>
    <s v="BY"/>
    <n v="1"/>
    <n v="243.1"/>
    <n v="31846490"/>
    <m/>
    <m/>
    <m/>
    <s v="Pool Shipment"/>
    <s v="Rental"/>
    <x v="3"/>
    <d v="2018-05-01T00:00:00"/>
    <d v="2018-05-24T00:00:00"/>
    <n v="243.1"/>
    <d v="2018-06-04T00:00:00"/>
    <n v="0"/>
    <s v="More than 60 days"/>
    <s v="DOCXX"/>
    <x v="0"/>
    <s v="Invoice"/>
  </r>
  <r>
    <x v="5"/>
    <s v="SN"/>
    <s v="BZ"/>
    <n v="1"/>
    <n v="187"/>
    <n v="31853536"/>
    <m/>
    <m/>
    <m/>
    <s v="Pool Shipment"/>
    <s v="Rental"/>
    <x v="3"/>
    <d v="2018-05-01T00:00:00"/>
    <d v="2018-05-24T00:00:00"/>
    <n v="187"/>
    <d v="2018-06-04T00:00:00"/>
    <n v="0"/>
    <s v="More than 60 days"/>
    <s v="DOCXX"/>
    <x v="0"/>
    <s v="Invoice"/>
  </r>
  <r>
    <x v="5"/>
    <s v="SN"/>
    <s v="CA"/>
    <n v="1"/>
    <n v="65.45"/>
    <n v="31853728"/>
    <m/>
    <m/>
    <m/>
    <s v="Pool Shipment"/>
    <s v="Rental"/>
    <x v="3"/>
    <d v="2018-05-01T00:00:00"/>
    <d v="2018-05-24T00:00:00"/>
    <n v="65.45"/>
    <d v="2018-06-04T00:00:00"/>
    <n v="0"/>
    <s v="More than 60 days"/>
    <s v="DOCXX"/>
    <x v="0"/>
    <s v="Invoice"/>
  </r>
  <r>
    <x v="5"/>
    <s v="SN"/>
    <s v="CB"/>
    <n v="1"/>
    <n v="149.6"/>
    <n v="31865682"/>
    <m/>
    <m/>
    <m/>
    <s v="Pool Shipment"/>
    <s v="Rental"/>
    <x v="3"/>
    <d v="2018-05-01T00:00:00"/>
    <d v="2018-05-24T00:00:00"/>
    <n v="149.6"/>
    <d v="2018-06-04T00:00:00"/>
    <n v="0"/>
    <s v="More than 60 days"/>
    <s v="DOCXX"/>
    <x v="0"/>
    <s v="Invoice"/>
  </r>
  <r>
    <x v="5"/>
    <s v="SN"/>
    <s v="CC"/>
    <n v="1"/>
    <n v="149.6"/>
    <n v="31866188"/>
    <m/>
    <m/>
    <m/>
    <s v="Pool Shipment"/>
    <s v="Rental"/>
    <x v="3"/>
    <d v="2018-05-01T00:00:00"/>
    <d v="2018-05-24T00:00:00"/>
    <n v="149.6"/>
    <d v="2018-06-04T00:00:00"/>
    <n v="0"/>
    <s v="More than 60 days"/>
    <s v="DOCXX"/>
    <x v="0"/>
    <s v="Invoice"/>
  </r>
  <r>
    <x v="5"/>
    <s v="SN"/>
    <s v="CD"/>
    <n v="1"/>
    <n v="121.55"/>
    <n v="31887216"/>
    <m/>
    <m/>
    <m/>
    <s v="Pool Shipment"/>
    <s v="Rental"/>
    <x v="3"/>
    <d v="2018-05-01T00:00:00"/>
    <d v="2018-05-24T00:00:00"/>
    <n v="121.55"/>
    <d v="2018-06-04T00:00:00"/>
    <n v="0"/>
    <s v="More than 60 days"/>
    <s v="DOCXX"/>
    <x v="0"/>
    <s v="Invoice"/>
  </r>
  <r>
    <x v="5"/>
    <s v="SN"/>
    <s v="CE"/>
    <n v="1"/>
    <n v="112.2"/>
    <n v="31888761"/>
    <m/>
    <m/>
    <m/>
    <s v="Pool Shipment"/>
    <s v="Rental"/>
    <x v="3"/>
    <d v="2018-05-01T00:00:00"/>
    <d v="2018-05-24T00:00:00"/>
    <n v="112.2"/>
    <d v="2018-06-04T00:00:00"/>
    <n v="0"/>
    <s v="More than 60 days"/>
    <s v="DOCXX"/>
    <x v="0"/>
    <s v="Invoice"/>
  </r>
  <r>
    <x v="5"/>
    <s v="SN"/>
    <s v="CF"/>
    <n v="1"/>
    <n v="158.94999999999999"/>
    <n v="31888763"/>
    <m/>
    <m/>
    <m/>
    <s v="Pool Shipment"/>
    <s v="Rental"/>
    <x v="3"/>
    <d v="2018-05-01T00:00:00"/>
    <d v="2018-05-24T00:00:00"/>
    <n v="158.94999999999999"/>
    <d v="2018-06-04T00:00:00"/>
    <n v="0"/>
    <s v="More than 60 days"/>
    <s v="DOCXX"/>
    <x v="0"/>
    <s v="Invoice"/>
  </r>
  <r>
    <x v="5"/>
    <s v="SN"/>
    <s v="CG"/>
    <n v="1"/>
    <n v="149.6"/>
    <n v="31899301"/>
    <m/>
    <m/>
    <m/>
    <s v="Pool Shipment"/>
    <s v="Rental"/>
    <x v="3"/>
    <d v="2018-05-01T00:00:00"/>
    <d v="2018-05-24T00:00:00"/>
    <n v="149.6"/>
    <d v="2018-06-04T00:00:00"/>
    <n v="0"/>
    <s v="More than 60 days"/>
    <s v="DOCXX"/>
    <x v="0"/>
    <s v="Invoice"/>
  </r>
  <r>
    <x v="5"/>
    <s v="SN"/>
    <s v="CH"/>
    <n v="1"/>
    <n v="130.9"/>
    <n v="31899302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CI"/>
    <n v="1"/>
    <n v="140.25"/>
    <n v="31899303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CJ"/>
    <n v="1"/>
    <n v="140.25"/>
    <n v="31899304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CK"/>
    <n v="1"/>
    <n v="149.6"/>
    <n v="31899307"/>
    <m/>
    <m/>
    <m/>
    <s v="Pool Shipment"/>
    <s v="Rental"/>
    <x v="3"/>
    <d v="2018-05-01T00:00:00"/>
    <d v="2018-05-24T00:00:00"/>
    <n v="149.6"/>
    <d v="2018-06-04T00:00:00"/>
    <n v="0"/>
    <s v="More than 60 days"/>
    <s v="DOCXX"/>
    <x v="0"/>
    <s v="Invoice"/>
  </r>
  <r>
    <x v="5"/>
    <s v="SN"/>
    <s v="CL"/>
    <n v="1"/>
    <n v="187"/>
    <n v="31899308"/>
    <m/>
    <m/>
    <m/>
    <s v="Pool Shipment"/>
    <s v="Rental"/>
    <x v="3"/>
    <d v="2018-05-01T00:00:00"/>
    <d v="2018-05-24T00:00:00"/>
    <n v="187"/>
    <d v="2018-06-04T00:00:00"/>
    <n v="0"/>
    <s v="More than 60 days"/>
    <s v="DOCXX"/>
    <x v="0"/>
    <s v="Invoice"/>
  </r>
  <r>
    <x v="5"/>
    <s v="SN"/>
    <s v="CM"/>
    <n v="1"/>
    <n v="130.9"/>
    <n v="31920271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CN"/>
    <n v="1"/>
    <n v="112.2"/>
    <n v="31921066"/>
    <m/>
    <m/>
    <m/>
    <s v="Pool Shipment"/>
    <s v="Rental"/>
    <x v="3"/>
    <d v="2018-05-01T00:00:00"/>
    <d v="2018-05-24T00:00:00"/>
    <n v="112.2"/>
    <d v="2018-06-04T00:00:00"/>
    <n v="0"/>
    <s v="More than 60 days"/>
    <s v="DOCXX"/>
    <x v="0"/>
    <s v="Invoice"/>
  </r>
  <r>
    <x v="5"/>
    <s v="SN"/>
    <s v="CO"/>
    <n v="1"/>
    <n v="140.25"/>
    <n v="31932184"/>
    <m/>
    <m/>
    <m/>
    <s v="Pool Shipment"/>
    <s v="Rental"/>
    <x v="3"/>
    <d v="2018-05-01T00:00:00"/>
    <d v="2018-05-24T00:00:00"/>
    <n v="140.25"/>
    <d v="2018-06-04T00:00:00"/>
    <n v="0"/>
    <s v="More than 60 days"/>
    <s v="DOCXX"/>
    <x v="0"/>
    <s v="Invoice"/>
  </r>
  <r>
    <x v="5"/>
    <s v="SN"/>
    <s v="CP"/>
    <n v="1"/>
    <n v="65.45"/>
    <n v="31933540"/>
    <m/>
    <m/>
    <m/>
    <s v="Pool Shipment"/>
    <s v="Rental"/>
    <x v="3"/>
    <d v="2018-05-01T00:00:00"/>
    <d v="2018-05-24T00:00:00"/>
    <n v="65.45"/>
    <d v="2018-06-04T00:00:00"/>
    <n v="0"/>
    <s v="More than 60 days"/>
    <s v="DOCXX"/>
    <x v="0"/>
    <s v="Invoice"/>
  </r>
  <r>
    <x v="5"/>
    <s v="SN"/>
    <s v="CQ"/>
    <n v="1"/>
    <n v="121.55"/>
    <n v="31935373"/>
    <m/>
    <m/>
    <m/>
    <s v="Pool Shipment"/>
    <s v="Rental"/>
    <x v="3"/>
    <d v="2018-05-01T00:00:00"/>
    <d v="2018-05-24T00:00:00"/>
    <n v="121.55"/>
    <d v="2018-06-04T00:00:00"/>
    <n v="0"/>
    <s v="More than 60 days"/>
    <s v="DOCXX"/>
    <x v="0"/>
    <s v="Invoice"/>
  </r>
  <r>
    <x v="5"/>
    <s v="SN"/>
    <s v="CR"/>
    <n v="1"/>
    <n v="130.9"/>
    <n v="31935710"/>
    <m/>
    <m/>
    <m/>
    <s v="Pool Shipment"/>
    <s v="Rental"/>
    <x v="3"/>
    <d v="2018-05-01T00:00:00"/>
    <d v="2018-05-24T00:00:00"/>
    <n v="130.9"/>
    <d v="2018-06-04T00:00:00"/>
    <n v="0"/>
    <s v="More than 60 days"/>
    <s v="DOCXX"/>
    <x v="0"/>
    <s v="Invoice"/>
  </r>
  <r>
    <x v="5"/>
    <s v="SN"/>
    <s v="CS"/>
    <n v="1"/>
    <n v="112.2"/>
    <n v="31935712"/>
    <m/>
    <m/>
    <m/>
    <s v="Pool Shipment"/>
    <s v="Rental"/>
    <x v="3"/>
    <d v="2018-05-01T00:00:00"/>
    <d v="2018-05-24T00:00:00"/>
    <n v="112.2"/>
    <d v="2018-06-04T00:00:00"/>
    <n v="0"/>
    <s v="More than 60 days"/>
    <s v="DOCXX"/>
    <x v="0"/>
    <s v="Invoice"/>
  </r>
  <r>
    <x v="5"/>
    <s v="SN"/>
    <s v="CT"/>
    <n v="1"/>
    <n v="46.75"/>
    <n v="31942811"/>
    <m/>
    <m/>
    <m/>
    <s v="Pool Shipment"/>
    <s v="Rental"/>
    <x v="3"/>
    <d v="2018-05-01T00:00:00"/>
    <d v="2018-05-24T00:00:00"/>
    <n v="46.75"/>
    <d v="2018-06-04T00:00:00"/>
    <n v="0"/>
    <s v="More than 60 days"/>
    <s v="DOCXX"/>
    <x v="0"/>
    <s v="Invoice"/>
  </r>
  <r>
    <x v="5"/>
    <s v="SN"/>
    <s v="CU"/>
    <n v="1"/>
    <n v="18.7"/>
    <n v="31944807"/>
    <m/>
    <m/>
    <m/>
    <s v="Pool Shipment"/>
    <s v="Rental"/>
    <x v="3"/>
    <d v="2018-05-01T00:00:00"/>
    <d v="2018-05-24T00:00:00"/>
    <n v="18.7"/>
    <d v="2018-06-04T00:00:00"/>
    <n v="0"/>
    <s v="More than 60 days"/>
    <s v="DOCXX"/>
    <x v="0"/>
    <s v="Invoice"/>
  </r>
  <r>
    <x v="5"/>
    <s v="SN"/>
    <s v="CV"/>
    <n v="1"/>
    <n v="74.8"/>
    <n v="31945969"/>
    <m/>
    <m/>
    <m/>
    <s v="Pool Shipment"/>
    <s v="Rental"/>
    <x v="3"/>
    <d v="2018-05-01T00:00:00"/>
    <d v="2018-05-24T00:00:00"/>
    <n v="74.8"/>
    <d v="2018-06-04T00:00:00"/>
    <n v="0"/>
    <s v="More than 60 days"/>
    <s v="DOCXX"/>
    <x v="0"/>
    <s v="Invoice"/>
  </r>
  <r>
    <x v="5"/>
    <s v="SN"/>
    <s v="CW"/>
    <n v="1"/>
    <n v="18.7"/>
    <n v="31993483"/>
    <m/>
    <m/>
    <m/>
    <s v="Pool Shipment"/>
    <s v="Rental"/>
    <x v="3"/>
    <d v="2018-05-01T00:00:00"/>
    <d v="2018-05-24T00:00:00"/>
    <n v="18.7"/>
    <d v="2018-06-04T00:00:00"/>
    <n v="0"/>
    <s v="More than 60 days"/>
    <s v="DOCXX"/>
    <x v="0"/>
    <s v="Invoice"/>
  </r>
  <r>
    <x v="5"/>
    <s v="SN"/>
    <s v="CX"/>
    <n v="1"/>
    <n v="18.7"/>
    <n v="32002914"/>
    <m/>
    <m/>
    <m/>
    <s v="Pool Shipment"/>
    <s v="Rental"/>
    <x v="3"/>
    <d v="2018-05-01T00:00:00"/>
    <d v="2018-05-24T00:00:00"/>
    <n v="18.7"/>
    <d v="2018-06-04T00:00:00"/>
    <n v="0"/>
    <s v="More than 60 days"/>
    <s v="DOCXX"/>
    <x v="0"/>
    <s v="Invoice"/>
  </r>
  <r>
    <x v="5"/>
    <s v="SN"/>
    <s v="CY"/>
    <n v="1"/>
    <n v="149.6"/>
    <n v="42304562"/>
    <m/>
    <m/>
    <m/>
    <s v="Pool Shipment"/>
    <s v="Rental"/>
    <x v="3"/>
    <d v="2018-05-01T00:00:00"/>
    <d v="2018-05-24T00:00:00"/>
    <m/>
    <m/>
    <n v="149.6"/>
    <s v="More than 60 days"/>
    <s v="DOCXX"/>
    <x v="0"/>
    <s v="Invoice"/>
  </r>
  <r>
    <x v="5"/>
    <s v="SN"/>
    <s v="CZ"/>
    <n v="1"/>
    <n v="289.85000000000002"/>
    <n v="2874031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A"/>
    <n v="1"/>
    <n v="289.85000000000002"/>
    <n v="3172303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B"/>
    <n v="1"/>
    <n v="289.85000000000002"/>
    <n v="3078878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C"/>
    <n v="1"/>
    <n v="289.85000000000002"/>
    <n v="2851937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D"/>
    <n v="1"/>
    <n v="289.85000000000002"/>
    <n v="3146044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E"/>
    <n v="1"/>
    <n v="289.85000000000002"/>
    <n v="2765636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F"/>
    <n v="1"/>
    <n v="289.85000000000002"/>
    <n v="2792079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G"/>
    <n v="1"/>
    <n v="289.85000000000002"/>
    <n v="2760913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H"/>
    <n v="1"/>
    <n v="289.85000000000002"/>
    <n v="2995389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I"/>
    <n v="1"/>
    <n v="289.85000000000002"/>
    <n v="3104861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J"/>
    <n v="1"/>
    <n v="289.85000000000002"/>
    <n v="3132541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K"/>
    <n v="1"/>
    <n v="289.85000000000002"/>
    <n v="2760913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L"/>
    <n v="1"/>
    <n v="289.85000000000002"/>
    <n v="3104026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M"/>
    <n v="1"/>
    <n v="289.85000000000002"/>
    <n v="2777987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N"/>
    <n v="1"/>
    <n v="289.85000000000002"/>
    <n v="2685906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O"/>
    <n v="1"/>
    <n v="289.85000000000002"/>
    <n v="2781902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P"/>
    <n v="1"/>
    <n v="289.85000000000002"/>
    <n v="2747522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Q"/>
    <n v="1"/>
    <n v="289.85000000000002"/>
    <n v="3108148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R"/>
    <n v="1"/>
    <n v="289.85000000000002"/>
    <n v="3123663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S"/>
    <n v="1"/>
    <n v="289.85000000000002"/>
    <n v="2790899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T"/>
    <n v="1"/>
    <n v="289.85000000000002"/>
    <n v="3173205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U"/>
    <n v="1"/>
    <n v="289.85000000000002"/>
    <n v="3073003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V"/>
    <n v="1"/>
    <n v="289.85000000000002"/>
    <n v="2867747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W"/>
    <n v="1"/>
    <n v="289.85000000000002"/>
    <n v="3121152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X"/>
    <n v="1"/>
    <n v="289.85000000000002"/>
    <n v="2791972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Y"/>
    <n v="1"/>
    <n v="289.85000000000002"/>
    <n v="2833059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DZ"/>
    <n v="1"/>
    <n v="289.85000000000002"/>
    <n v="3161928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A"/>
    <n v="1"/>
    <n v="289.85000000000002"/>
    <n v="3093999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B"/>
    <n v="1"/>
    <n v="289.85000000000002"/>
    <n v="3070983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C"/>
    <n v="1"/>
    <n v="289.85000000000002"/>
    <n v="30466964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D"/>
    <n v="1"/>
    <n v="289.85000000000002"/>
    <n v="25866744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E"/>
    <n v="1"/>
    <n v="289.85000000000002"/>
    <n v="2405816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F"/>
    <n v="1"/>
    <n v="289.85000000000002"/>
    <n v="28434103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G"/>
    <n v="1"/>
    <n v="289.85000000000002"/>
    <n v="3044841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H"/>
    <n v="1"/>
    <n v="289.85000000000002"/>
    <n v="2760926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I"/>
    <n v="1"/>
    <n v="289.85000000000002"/>
    <n v="3073847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J"/>
    <n v="1"/>
    <n v="289.85000000000002"/>
    <n v="30668263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K"/>
    <n v="1"/>
    <n v="289.85000000000002"/>
    <n v="2751108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L"/>
    <n v="1"/>
    <n v="289.85000000000002"/>
    <n v="3100308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M"/>
    <n v="1"/>
    <n v="289.85000000000002"/>
    <n v="3047345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N"/>
    <n v="1"/>
    <n v="289.85000000000002"/>
    <n v="28443652"/>
    <m/>
    <m/>
    <m/>
    <s v="Pool Shipment"/>
    <s v="Rental"/>
    <x v="3"/>
    <d v="2018-05-01T00:00:00"/>
    <d v="2018-05-24T00:00:00"/>
    <m/>
    <m/>
    <n v="289.85000000000002"/>
    <s v="More than 60 days"/>
    <s v="DOCXX"/>
    <x v="0"/>
    <s v="Invoice"/>
  </r>
  <r>
    <x v="5"/>
    <s v="SN"/>
    <s v="EO"/>
    <n v="1"/>
    <n v="289.85000000000002"/>
    <n v="3136222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P"/>
    <n v="1"/>
    <n v="289.85000000000002"/>
    <n v="3114686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Q"/>
    <n v="1"/>
    <n v="289.85000000000002"/>
    <n v="3058800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R"/>
    <n v="1"/>
    <n v="289.85000000000002"/>
    <n v="2784097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S"/>
    <n v="1"/>
    <n v="289.85000000000002"/>
    <n v="2351602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T"/>
    <n v="1"/>
    <n v="289.85000000000002"/>
    <n v="3030861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U"/>
    <n v="1"/>
    <n v="289.85000000000002"/>
    <n v="3030861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V"/>
    <n v="1"/>
    <n v="289.85000000000002"/>
    <n v="2740659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W"/>
    <n v="1"/>
    <n v="289.85000000000002"/>
    <n v="3030861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X"/>
    <n v="1"/>
    <n v="289.85000000000002"/>
    <n v="27629934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Y"/>
    <n v="1"/>
    <n v="289.85000000000002"/>
    <n v="3070659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EZ"/>
    <n v="1"/>
    <n v="289.85000000000002"/>
    <n v="3078504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A"/>
    <n v="1"/>
    <n v="289.85000000000002"/>
    <n v="3085039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B"/>
    <n v="1"/>
    <n v="289.85000000000002"/>
    <n v="2820674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C"/>
    <n v="1"/>
    <n v="289.85000000000002"/>
    <n v="2377095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D"/>
    <n v="1"/>
    <n v="289.85000000000002"/>
    <n v="3057375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E"/>
    <n v="1"/>
    <n v="289.85000000000002"/>
    <n v="2865120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F"/>
    <n v="1"/>
    <n v="289.85000000000002"/>
    <n v="3085039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G"/>
    <n v="1"/>
    <n v="289.85000000000002"/>
    <n v="27656481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H"/>
    <n v="1"/>
    <n v="289.85000000000002"/>
    <n v="2942062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I"/>
    <n v="1"/>
    <n v="289.85000000000002"/>
    <n v="2987767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J"/>
    <n v="1"/>
    <n v="289.85000000000002"/>
    <n v="2987264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K"/>
    <n v="1"/>
    <n v="289.85000000000002"/>
    <n v="29421038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L"/>
    <n v="1"/>
    <n v="289.85000000000002"/>
    <n v="2884731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M"/>
    <n v="1"/>
    <n v="289.85000000000002"/>
    <n v="3172303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N"/>
    <n v="1"/>
    <n v="289.85000000000002"/>
    <n v="3071397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O"/>
    <n v="1"/>
    <n v="289.85000000000002"/>
    <n v="25417840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P"/>
    <n v="1"/>
    <n v="289.85000000000002"/>
    <n v="3069159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Q"/>
    <n v="1"/>
    <n v="289.85000000000002"/>
    <n v="2766548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R"/>
    <n v="1"/>
    <n v="289.85000000000002"/>
    <n v="3026050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S"/>
    <n v="1"/>
    <n v="289.85000000000002"/>
    <n v="31334214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T"/>
    <n v="1"/>
    <n v="289.85000000000002"/>
    <n v="3025949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U"/>
    <n v="1"/>
    <n v="289.85000000000002"/>
    <n v="2755695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V"/>
    <n v="1"/>
    <n v="289.85000000000002"/>
    <n v="3070983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W"/>
    <n v="1"/>
    <n v="289.85000000000002"/>
    <n v="30771122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X"/>
    <n v="1"/>
    <n v="289.85000000000002"/>
    <n v="30307894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Y"/>
    <n v="1"/>
    <n v="289.85000000000002"/>
    <n v="30839527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FZ"/>
    <n v="1"/>
    <n v="289.85000000000002"/>
    <n v="30274933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A"/>
    <n v="1"/>
    <n v="289.85000000000002"/>
    <n v="2947385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B"/>
    <n v="1"/>
    <n v="289.85000000000002"/>
    <n v="2415326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C"/>
    <n v="1"/>
    <n v="289.85000000000002"/>
    <n v="31629569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D"/>
    <n v="1"/>
    <n v="289.85000000000002"/>
    <n v="30721205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E"/>
    <n v="1"/>
    <n v="289.85000000000002"/>
    <n v="3078806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5"/>
    <s v="SN"/>
    <s v="GF"/>
    <n v="1"/>
    <n v="289.85000000000002"/>
    <n v="31473966"/>
    <m/>
    <m/>
    <m/>
    <s v="Pool Shipment"/>
    <s v="Rental"/>
    <x v="3"/>
    <d v="2018-05-01T00:00:00"/>
    <d v="2018-05-24T00:00:00"/>
    <n v="289.85000000000002"/>
    <d v="2018-06-04T00:00:00"/>
    <n v="0"/>
    <s v="More than 60 days"/>
    <s v="DOCXX"/>
    <x v="0"/>
    <s v="Invoice"/>
  </r>
  <r>
    <x v="6"/>
    <s v="PO"/>
    <m/>
    <m/>
    <n v="13838"/>
    <m/>
    <n v="4700681102"/>
    <m/>
    <m/>
    <s v="Various"/>
    <s v="Rental and Fees"/>
    <x v="3"/>
    <d v="2018-05-01T00:00:00"/>
    <d v="2018-05-24T00:00:00"/>
    <n v="13838"/>
    <d v="2018-06-28T00:00:00"/>
    <n v="0"/>
    <s v="More than 60 days"/>
    <s v="DOCXX"/>
    <x v="1"/>
    <s v="Invoice"/>
  </r>
  <r>
    <x v="7"/>
    <s v="CC"/>
    <s v="V"/>
    <n v="1"/>
    <n v="8294.77"/>
    <m/>
    <m/>
    <n v="1274"/>
    <s v="D358"/>
    <s v="Freeport Chassis Pool"/>
    <s v="Rental"/>
    <x v="5"/>
    <d v="2018-05-31T00:00:00"/>
    <d v="2018-06-15T00:00:00"/>
    <n v="8294.77"/>
    <d v="2018-06-27T00:00:00"/>
    <n v="0"/>
    <s v="30-60 days"/>
    <s v="DOCXX"/>
    <x v="1"/>
    <s v="Invoice"/>
  </r>
  <r>
    <x v="7"/>
    <s v="CC"/>
    <s v="W"/>
    <n v="1"/>
    <n v="7320.88"/>
    <m/>
    <m/>
    <n v="1273"/>
    <s v="D358"/>
    <s v="Freeport Chassis Pool"/>
    <s v="Rental"/>
    <x v="5"/>
    <d v="2018-05-31T00:00:00"/>
    <d v="2018-06-15T00:00:00"/>
    <n v="7320.88"/>
    <d v="2018-06-27T00:00:00"/>
    <n v="0"/>
    <s v="30-60 days"/>
    <s v="DOCXX"/>
    <x v="1"/>
    <s v="Invoice"/>
  </r>
  <r>
    <x v="7"/>
    <s v="CC"/>
    <s v="X"/>
    <n v="1"/>
    <n v="7048.63"/>
    <m/>
    <m/>
    <n v="58008"/>
    <s v="D266"/>
    <s v="Freeport Chassis Pool"/>
    <s v="Rental"/>
    <x v="5"/>
    <d v="2018-05-31T00:00:00"/>
    <d v="2018-06-15T00:00:00"/>
    <n v="7048.63"/>
    <d v="2018-06-27T00:00:00"/>
    <n v="0"/>
    <s v="30-60 days"/>
    <s v="DOCXX"/>
    <x v="1"/>
    <s v="Invoice"/>
  </r>
  <r>
    <x v="7"/>
    <s v="CC"/>
    <s v="Y"/>
    <n v="1"/>
    <n v="3866.94"/>
    <m/>
    <m/>
    <n v="66660"/>
    <s v="D009"/>
    <s v="Freeport Chassis Pool"/>
    <s v="Rental"/>
    <x v="5"/>
    <d v="2018-05-31T00:00:00"/>
    <d v="2018-06-15T00:00:00"/>
    <n v="3866.94"/>
    <d v="2018-06-27T00:00:00"/>
    <n v="0"/>
    <s v="30-60 days"/>
    <s v="DOCXX"/>
    <x v="1"/>
    <s v="Invoice"/>
  </r>
  <r>
    <x v="7"/>
    <s v="CC"/>
    <s v="Z"/>
    <n v="1"/>
    <n v="3319.54"/>
    <m/>
    <m/>
    <n v="97900"/>
    <s v="D358"/>
    <s v="Freeport Chassis Pool"/>
    <s v="Rental"/>
    <x v="5"/>
    <d v="2018-05-31T00:00:00"/>
    <d v="2018-06-15T00:00:00"/>
    <n v="3319.54"/>
    <d v="2018-06-27T00:00:00"/>
    <n v="0"/>
    <s v="30-60 days"/>
    <s v="DOCXX"/>
    <x v="1"/>
    <s v="Invoice"/>
  </r>
  <r>
    <x v="7"/>
    <s v="CC"/>
    <s v="AA"/>
    <n v="1"/>
    <n v="2229.77"/>
    <m/>
    <m/>
    <n v="66665"/>
    <s v="D356"/>
    <s v="Freeport Chassis Pool"/>
    <s v="Rental"/>
    <x v="5"/>
    <d v="2018-05-31T00:00:00"/>
    <d v="2018-06-15T00:00:00"/>
    <n v="2229.77"/>
    <d v="2018-06-27T00:00:00"/>
    <n v="0"/>
    <s v="30-60 days"/>
    <s v="DOCXX"/>
    <x v="1"/>
    <s v="Invoice"/>
  </r>
  <r>
    <x v="7"/>
    <s v="CC"/>
    <s v="AB"/>
    <n v="1"/>
    <n v="2224.75"/>
    <m/>
    <m/>
    <n v="167840"/>
    <s v="D015"/>
    <s v="Freeport Chassis Pool"/>
    <s v="Rental"/>
    <x v="5"/>
    <d v="2018-05-31T00:00:00"/>
    <d v="2018-06-15T00:00:00"/>
    <n v="2224.75"/>
    <d v="2018-06-27T00:00:00"/>
    <n v="0"/>
    <s v="30-60 days"/>
    <s v="DOCXX"/>
    <x v="1"/>
    <s v="Invoice"/>
  </r>
  <r>
    <x v="7"/>
    <s v="CC"/>
    <s v="AC"/>
    <n v="1"/>
    <n v="1913.38"/>
    <m/>
    <m/>
    <n v="68162"/>
    <s v="D344"/>
    <s v="Freeport Chassis Pool"/>
    <s v="Rental"/>
    <x v="5"/>
    <d v="2018-05-31T00:00:00"/>
    <d v="2018-06-15T00:00:00"/>
    <n v="1913.38"/>
    <d v="2018-06-27T00:00:00"/>
    <n v="0"/>
    <s v="30-60 days"/>
    <s v="DOCXX"/>
    <x v="1"/>
    <s v="Invoice"/>
  </r>
  <r>
    <x v="7"/>
    <s v="CC"/>
    <s v="AD"/>
    <n v="1"/>
    <n v="1727.57"/>
    <m/>
    <m/>
    <n v="55785"/>
    <s v="D355"/>
    <s v="Freeport Chassis Pool"/>
    <s v="Rental"/>
    <x v="5"/>
    <d v="2018-05-31T00:00:00"/>
    <d v="2018-06-15T00:00:00"/>
    <n v="1727.57"/>
    <d v="2018-06-27T00:00:00"/>
    <n v="0"/>
    <s v="30-60 days"/>
    <s v="DOCXX"/>
    <x v="1"/>
    <s v="Invoice"/>
  </r>
  <r>
    <x v="7"/>
    <s v="CC"/>
    <s v="AE"/>
    <n v="1"/>
    <n v="1556.82"/>
    <m/>
    <m/>
    <n v="82624"/>
    <s v="D407"/>
    <s v="Freeport Chassis Pool"/>
    <s v="Rental"/>
    <x v="5"/>
    <d v="2018-05-31T00:00:00"/>
    <d v="2018-06-15T00:00:00"/>
    <n v="1556.82"/>
    <d v="2018-06-27T00:00:00"/>
    <n v="0"/>
    <s v="30-60 days"/>
    <s v="DOCXX"/>
    <x v="1"/>
    <s v="Invoice"/>
  </r>
  <r>
    <x v="7"/>
    <s v="CC"/>
    <s v="AF"/>
    <n v="1"/>
    <n v="1496.56"/>
    <m/>
    <m/>
    <n v="67904"/>
    <s v="D407"/>
    <s v="Freeport Chassis Pool"/>
    <s v="Rental"/>
    <x v="5"/>
    <d v="2018-05-31T00:00:00"/>
    <d v="2018-06-15T00:00:00"/>
    <n v="1496.56"/>
    <d v="2018-06-27T00:00:00"/>
    <n v="0"/>
    <s v="30-60 days"/>
    <s v="DOCXX"/>
    <x v="1"/>
    <s v="Invoice"/>
  </r>
  <r>
    <x v="7"/>
    <s v="CC"/>
    <s v="AG"/>
    <n v="1"/>
    <n v="1371.01"/>
    <m/>
    <m/>
    <n v="66652"/>
    <s v="D213"/>
    <s v="Freeport Chassis Pool"/>
    <s v="Rental"/>
    <x v="5"/>
    <d v="2018-05-31T00:00:00"/>
    <d v="2018-06-15T00:00:00"/>
    <n v="1371.01"/>
    <d v="2018-06-27T00:00:00"/>
    <n v="0"/>
    <s v="30-60 days"/>
    <s v="DOCXX"/>
    <x v="1"/>
    <s v="Invoice"/>
  </r>
  <r>
    <x v="7"/>
    <s v="CC"/>
    <s v="AH"/>
    <n v="1"/>
    <n v="1365.98"/>
    <m/>
    <m/>
    <n v="1204"/>
    <s v="D357"/>
    <s v="Freeport Chassis Pool"/>
    <s v="Rental"/>
    <x v="5"/>
    <d v="2018-05-31T00:00:00"/>
    <d v="2018-06-15T00:00:00"/>
    <n v="1365.98"/>
    <d v="2018-06-27T00:00:00"/>
    <n v="0"/>
    <s v="30-60 days"/>
    <s v="DOCXX"/>
    <x v="1"/>
    <s v="Invoice"/>
  </r>
  <r>
    <x v="7"/>
    <s v="CC"/>
    <s v="AI"/>
    <n v="1"/>
    <n v="1230.3900000000001"/>
    <m/>
    <m/>
    <n v="75797"/>
    <s v="D348"/>
    <s v="Freeport Chassis Pool"/>
    <s v="Rental"/>
    <x v="5"/>
    <d v="2018-05-31T00:00:00"/>
    <d v="2018-06-15T00:00:00"/>
    <n v="1230.3900000000001"/>
    <d v="2018-06-27T00:00:00"/>
    <n v="0"/>
    <s v="30-60 days"/>
    <s v="DOCXX"/>
    <x v="1"/>
    <s v="Invoice"/>
  </r>
  <r>
    <x v="7"/>
    <s v="CC"/>
    <s v="AJ"/>
    <n v="1"/>
    <n v="1165.0999999999999"/>
    <m/>
    <m/>
    <n v="55609"/>
    <s v="D449"/>
    <s v="Freeport Chassis Pool"/>
    <s v="Rental"/>
    <x v="5"/>
    <d v="2018-05-31T00:00:00"/>
    <d v="2018-06-15T00:00:00"/>
    <n v="1165.0999999999999"/>
    <d v="2018-06-27T00:00:00"/>
    <n v="0"/>
    <s v="30-60 days"/>
    <s v="DOCXX"/>
    <x v="1"/>
    <s v="Invoice"/>
  </r>
  <r>
    <x v="7"/>
    <s v="CC"/>
    <s v="AK"/>
    <n v="1"/>
    <n v="999.38"/>
    <m/>
    <m/>
    <n v="1356"/>
    <s v="D360"/>
    <s v="Freeport Chassis Pool"/>
    <s v="Rental"/>
    <x v="5"/>
    <d v="2018-05-31T00:00:00"/>
    <d v="2018-06-15T00:00:00"/>
    <n v="999.38"/>
    <d v="2018-06-27T00:00:00"/>
    <n v="0"/>
    <s v="30-60 days"/>
    <s v="DOCXX"/>
    <x v="1"/>
    <s v="Invoice"/>
  </r>
  <r>
    <x v="7"/>
    <s v="CC"/>
    <s v="AL"/>
    <n v="1"/>
    <n v="954.18"/>
    <m/>
    <m/>
    <n v="68260"/>
    <s v="D002"/>
    <s v="Freeport Chassis Pool"/>
    <s v="Rental"/>
    <x v="5"/>
    <d v="2018-05-31T00:00:00"/>
    <d v="2018-06-15T00:00:00"/>
    <n v="954.18"/>
    <d v="2018-06-27T00:00:00"/>
    <n v="0"/>
    <s v="30-60 days"/>
    <s v="DOCXX"/>
    <x v="1"/>
    <s v="Invoice"/>
  </r>
  <r>
    <x v="7"/>
    <s v="CC"/>
    <s v="AM"/>
    <n v="1"/>
    <n v="627.75"/>
    <m/>
    <m/>
    <n v="82294"/>
    <s v="D407"/>
    <s v="Freeport Chassis Pool"/>
    <s v="Rental"/>
    <x v="5"/>
    <d v="2018-05-31T00:00:00"/>
    <d v="2018-06-15T00:00:00"/>
    <n v="627.75"/>
    <d v="2018-06-27T00:00:00"/>
    <n v="0"/>
    <s v="30-60 days"/>
    <s v="DOCXX"/>
    <x v="1"/>
    <s v="Invoice"/>
  </r>
  <r>
    <x v="7"/>
    <s v="CC"/>
    <s v="AN"/>
    <n v="1"/>
    <n v="502.2"/>
    <m/>
    <m/>
    <n v="68235"/>
    <s v="D232"/>
    <s v="Freeport Chassis Pool"/>
    <s v="Rental"/>
    <x v="5"/>
    <d v="2018-05-31T00:00:00"/>
    <d v="2018-06-15T00:00:00"/>
    <n v="502.2"/>
    <d v="2018-06-27T00:00:00"/>
    <n v="0"/>
    <s v="30-60 days"/>
    <s v="DOCXX"/>
    <x v="1"/>
    <s v="Invoice"/>
  </r>
  <r>
    <x v="7"/>
    <s v="CC"/>
    <s v="AO"/>
    <n v="1"/>
    <n v="502.2"/>
    <m/>
    <m/>
    <n v="172324"/>
    <s v="E324"/>
    <s v="Freeport Chassis Pool"/>
    <s v="Rental"/>
    <x v="5"/>
    <d v="2018-05-31T00:00:00"/>
    <d v="2018-06-15T00:00:00"/>
    <n v="502.2"/>
    <d v="2018-06-27T00:00:00"/>
    <n v="0"/>
    <s v="30-60 days"/>
    <s v="DOCXX"/>
    <x v="1"/>
    <s v="Invoice"/>
  </r>
  <r>
    <x v="7"/>
    <s v="CC"/>
    <s v="AP"/>
    <n v="1"/>
    <n v="502.2"/>
    <m/>
    <m/>
    <n v="82330"/>
    <s v="D017"/>
    <s v="Freeport Chassis Pool"/>
    <s v="Rental"/>
    <x v="5"/>
    <d v="2018-05-31T00:00:00"/>
    <d v="2018-06-15T00:00:00"/>
    <n v="502.2"/>
    <d v="2018-06-27T00:00:00"/>
    <n v="0"/>
    <s v="30-60 days"/>
    <s v="DOCXX"/>
    <x v="1"/>
    <s v="Invoice"/>
  </r>
  <r>
    <x v="8"/>
    <s v="DC"/>
    <s v="A"/>
    <n v="1"/>
    <n v="178.25"/>
    <m/>
    <m/>
    <n v="1273"/>
    <s v="D358"/>
    <s v="EXFU 052300-1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B"/>
    <n v="1"/>
    <n v="178.25"/>
    <m/>
    <m/>
    <n v="1273"/>
    <s v="D358"/>
    <s v="EXFU 061880-6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C"/>
    <n v="1"/>
    <n v="178.25"/>
    <m/>
    <m/>
    <n v="1273"/>
    <s v="D358"/>
    <s v="EXFU 061887-4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"/>
    <n v="1"/>
    <n v="232.5"/>
    <m/>
    <m/>
    <n v="1273"/>
    <s v="D358"/>
    <s v="EXSZ 901688-2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E"/>
    <n v="1"/>
    <n v="232.5"/>
    <m/>
    <m/>
    <n v="1273"/>
    <s v="D358"/>
    <s v="EXSZ 901689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"/>
    <n v="1"/>
    <n v="232.5"/>
    <m/>
    <m/>
    <n v="1273"/>
    <s v="D358"/>
    <s v="EXSZ 901690-1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G"/>
    <n v="1"/>
    <n v="232.5"/>
    <m/>
    <m/>
    <n v="1273"/>
    <s v="D358"/>
    <s v="EXSZ 901691-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H"/>
    <n v="1"/>
    <n v="232.5"/>
    <m/>
    <m/>
    <n v="1273"/>
    <s v="D358"/>
    <s v="EXSZ 901692-2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I"/>
    <n v="1"/>
    <n v="232.5"/>
    <m/>
    <m/>
    <n v="1273"/>
    <s v="D358"/>
    <s v="EXSZ 901693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J"/>
    <n v="1"/>
    <n v="232.5"/>
    <m/>
    <m/>
    <n v="1273"/>
    <s v="D358"/>
    <s v="EXSZ 901694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K"/>
    <n v="1"/>
    <n v="232.5"/>
    <m/>
    <m/>
    <n v="1273"/>
    <s v="D358"/>
    <s v="EXSZ 901695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L"/>
    <n v="1"/>
    <n v="232.5"/>
    <m/>
    <m/>
    <n v="1273"/>
    <s v="D358"/>
    <s v="EXSZ 901696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M"/>
    <n v="1"/>
    <n v="232.5"/>
    <m/>
    <m/>
    <n v="1273"/>
    <s v="D358"/>
    <s v="EXSZ 901697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N"/>
    <n v="1"/>
    <n v="232.5"/>
    <m/>
    <m/>
    <n v="1273"/>
    <s v="D358"/>
    <s v="EXSZ 901698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O"/>
    <n v="1"/>
    <n v="232.5"/>
    <m/>
    <m/>
    <n v="1273"/>
    <s v="D358"/>
    <s v="EXSZ 901699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P"/>
    <n v="1"/>
    <n v="232.5"/>
    <m/>
    <m/>
    <n v="1273"/>
    <s v="D358"/>
    <s v="EXSZ 901700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Q"/>
    <n v="1"/>
    <n v="232.5"/>
    <m/>
    <m/>
    <n v="1273"/>
    <s v="D358"/>
    <s v="EXSZ 901701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R"/>
    <n v="1"/>
    <n v="232.5"/>
    <m/>
    <m/>
    <n v="1273"/>
    <s v="D358"/>
    <s v="EXSZ 901702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S"/>
    <n v="1"/>
    <n v="232.5"/>
    <m/>
    <m/>
    <n v="1273"/>
    <s v="D358"/>
    <s v="EXSZ 901703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T"/>
    <n v="1"/>
    <n v="232.5"/>
    <m/>
    <m/>
    <n v="1273"/>
    <s v="D358"/>
    <s v="EXSZ 901704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U"/>
    <n v="1"/>
    <n v="232.5"/>
    <m/>
    <m/>
    <n v="1273"/>
    <s v="D358"/>
    <s v="EXSZ 901705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V"/>
    <n v="1"/>
    <n v="178.25"/>
    <m/>
    <m/>
    <n v="1273"/>
    <s v="D358"/>
    <s v="EXXU 999452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W"/>
    <n v="1"/>
    <n v="178.25"/>
    <m/>
    <m/>
    <n v="1273"/>
    <s v="D358"/>
    <s v="TRLU 021285-6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X"/>
    <n v="1"/>
    <n v="178.25"/>
    <m/>
    <m/>
    <n v="1274"/>
    <s v="D358"/>
    <s v="EXFU 144821-6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Y"/>
    <n v="1"/>
    <n v="178.25"/>
    <m/>
    <m/>
    <n v="1274"/>
    <s v="D358"/>
    <s v="EXFU 144829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Z"/>
    <n v="1"/>
    <n v="178.25"/>
    <m/>
    <m/>
    <n v="55601"/>
    <s v="D777"/>
    <s v="EXFU 055102-4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AA"/>
    <n v="1"/>
    <n v="178.25"/>
    <m/>
    <m/>
    <n v="55601"/>
    <s v="D777"/>
    <s v="EXFU 055103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AB"/>
    <n v="1"/>
    <n v="178.25"/>
    <m/>
    <m/>
    <n v="55601"/>
    <s v="D777"/>
    <s v="EXFU 055113-2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AC"/>
    <n v="1"/>
    <n v="232.5"/>
    <m/>
    <m/>
    <n v="55601"/>
    <s v="D777"/>
    <s v="EXSZ 900689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D"/>
    <n v="1"/>
    <n v="232.5"/>
    <m/>
    <m/>
    <n v="55601"/>
    <s v="D777"/>
    <s v="EXSZ 900722-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E"/>
    <n v="1"/>
    <n v="232.5"/>
    <m/>
    <m/>
    <n v="55601"/>
    <s v="D777"/>
    <s v="EXSZ 900726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F"/>
    <n v="1"/>
    <n v="232.5"/>
    <m/>
    <m/>
    <n v="55601"/>
    <s v="D777"/>
    <s v="EXSZ 900746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G"/>
    <n v="1"/>
    <n v="232.5"/>
    <m/>
    <m/>
    <n v="55601"/>
    <s v="D777"/>
    <s v="EXSZ 900758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H"/>
    <n v="1"/>
    <n v="232.5"/>
    <m/>
    <m/>
    <n v="55601"/>
    <s v="D777"/>
    <s v="EXSZ 90077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I"/>
    <n v="1"/>
    <n v="232.5"/>
    <m/>
    <m/>
    <n v="55601"/>
    <s v="D777"/>
    <s v="EXSZ 90095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J"/>
    <n v="1"/>
    <n v="232.5"/>
    <m/>
    <m/>
    <n v="55601"/>
    <s v="D777"/>
    <s v="EXSZ 90095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K"/>
    <n v="1"/>
    <n v="232.5"/>
    <m/>
    <m/>
    <n v="55601"/>
    <s v="D777"/>
    <s v="EXSZ 901028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L"/>
    <n v="1"/>
    <n v="232.5"/>
    <m/>
    <m/>
    <n v="55601"/>
    <s v="D777"/>
    <s v="EXSZ 901241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M"/>
    <n v="1"/>
    <n v="232.5"/>
    <m/>
    <m/>
    <n v="55601"/>
    <s v="D777"/>
    <s v="EXSZ 901242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N"/>
    <n v="1"/>
    <n v="232.5"/>
    <m/>
    <m/>
    <n v="55601"/>
    <s v="D777"/>
    <s v="EXSZ 901243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O"/>
    <n v="1"/>
    <n v="232.5"/>
    <m/>
    <m/>
    <n v="55601"/>
    <s v="D777"/>
    <s v="EXSZ 901264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P"/>
    <n v="1"/>
    <n v="232.5"/>
    <m/>
    <m/>
    <n v="55601"/>
    <s v="D777"/>
    <s v="EXSZ 901281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Q"/>
    <n v="1"/>
    <n v="232.5"/>
    <m/>
    <m/>
    <n v="55601"/>
    <s v="D777"/>
    <s v="EXSZ 901285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R"/>
    <n v="1"/>
    <n v="232.5"/>
    <m/>
    <m/>
    <n v="55601"/>
    <s v="D777"/>
    <s v="EXSZ 901286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S"/>
    <n v="1"/>
    <n v="232.5"/>
    <m/>
    <m/>
    <n v="55601"/>
    <s v="D777"/>
    <s v="EXSZ 901287-1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T"/>
    <n v="1"/>
    <n v="232.5"/>
    <m/>
    <m/>
    <n v="55601"/>
    <s v="D777"/>
    <s v="EXSZ 901288-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U"/>
    <n v="1"/>
    <n v="232.5"/>
    <m/>
    <m/>
    <n v="55601"/>
    <s v="D777"/>
    <s v="EXSZ 901298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V"/>
    <n v="1"/>
    <n v="232.5"/>
    <m/>
    <m/>
    <n v="55601"/>
    <s v="D777"/>
    <s v="EXSZ 901301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W"/>
    <n v="1"/>
    <n v="232.5"/>
    <m/>
    <m/>
    <n v="55601"/>
    <s v="D777"/>
    <s v="EXSZ 901302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X"/>
    <n v="1"/>
    <n v="232.5"/>
    <m/>
    <m/>
    <n v="55601"/>
    <s v="D777"/>
    <s v="EXSZ 901304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Y"/>
    <n v="1"/>
    <n v="232.5"/>
    <m/>
    <m/>
    <n v="55601"/>
    <s v="D777"/>
    <s v="EXSZ 901352-2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AZ"/>
    <n v="1"/>
    <n v="232.5"/>
    <m/>
    <m/>
    <n v="55601"/>
    <s v="D777"/>
    <s v="EXSZ 901427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A"/>
    <n v="1"/>
    <n v="232.5"/>
    <m/>
    <m/>
    <n v="55601"/>
    <s v="D777"/>
    <s v="EXSZ 901429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B"/>
    <n v="1"/>
    <n v="232.5"/>
    <m/>
    <m/>
    <n v="55601"/>
    <s v="D777"/>
    <s v="EXSZ 901434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C"/>
    <n v="1"/>
    <n v="232.5"/>
    <m/>
    <m/>
    <n v="55601"/>
    <s v="D777"/>
    <s v="EXSZ 901436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D"/>
    <n v="1"/>
    <n v="232.5"/>
    <m/>
    <m/>
    <n v="55601"/>
    <s v="D777"/>
    <s v="EXSZ 901438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E"/>
    <n v="1"/>
    <n v="232.5"/>
    <m/>
    <m/>
    <n v="55601"/>
    <s v="D777"/>
    <s v="EXSZ 901440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F"/>
    <n v="1"/>
    <n v="232.5"/>
    <m/>
    <m/>
    <n v="55601"/>
    <s v="D777"/>
    <s v="EXSZ 901447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G"/>
    <n v="1"/>
    <n v="232.5"/>
    <m/>
    <m/>
    <n v="55601"/>
    <s v="D777"/>
    <s v="EXSZ 901508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H"/>
    <n v="1"/>
    <n v="232.5"/>
    <m/>
    <m/>
    <n v="55601"/>
    <s v="D777"/>
    <s v="EXSZ 901510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I"/>
    <n v="1"/>
    <n v="232.5"/>
    <m/>
    <m/>
    <n v="55601"/>
    <s v="D777"/>
    <s v="EXSZ 901512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J"/>
    <n v="1"/>
    <n v="232.5"/>
    <m/>
    <m/>
    <n v="55601"/>
    <s v="D777"/>
    <s v="EXSZ 901513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K"/>
    <n v="1"/>
    <n v="232.5"/>
    <m/>
    <m/>
    <n v="55601"/>
    <s v="D777"/>
    <s v="EXSZ 901515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L"/>
    <n v="1"/>
    <n v="232.5"/>
    <m/>
    <m/>
    <n v="55601"/>
    <s v="D777"/>
    <s v="EXSZ 901516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M"/>
    <n v="1"/>
    <n v="232.5"/>
    <m/>
    <m/>
    <n v="55601"/>
    <s v="D777"/>
    <s v="EXSZ 901519-2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N"/>
    <n v="1"/>
    <n v="232.5"/>
    <m/>
    <m/>
    <n v="55601"/>
    <s v="D777"/>
    <s v="EXSZ 901520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O"/>
    <n v="1"/>
    <n v="232.5"/>
    <m/>
    <m/>
    <n v="55601"/>
    <s v="D777"/>
    <s v="EXSZ 901521-1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P"/>
    <n v="1"/>
    <n v="232.5"/>
    <m/>
    <m/>
    <n v="55601"/>
    <s v="D777"/>
    <s v="EXSZ 901523-2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Q"/>
    <n v="1"/>
    <n v="232.5"/>
    <m/>
    <m/>
    <n v="55601"/>
    <s v="D777"/>
    <s v="EXSZ 901524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R"/>
    <n v="1"/>
    <n v="232.5"/>
    <m/>
    <m/>
    <n v="55601"/>
    <s v="D777"/>
    <s v="EXSZ 901530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S"/>
    <n v="1"/>
    <n v="232.5"/>
    <m/>
    <m/>
    <n v="55601"/>
    <s v="D777"/>
    <s v="EXSZ 901535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T"/>
    <n v="1"/>
    <n v="232.5"/>
    <m/>
    <m/>
    <n v="55601"/>
    <s v="D777"/>
    <s v="EXSZ 901548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U"/>
    <n v="1"/>
    <n v="232.5"/>
    <m/>
    <m/>
    <n v="55601"/>
    <s v="D777"/>
    <s v="EXSZ 901550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V"/>
    <n v="1"/>
    <n v="232.5"/>
    <m/>
    <m/>
    <n v="55601"/>
    <s v="D777"/>
    <s v="EXSZ 901552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W"/>
    <n v="1"/>
    <n v="232.5"/>
    <m/>
    <m/>
    <n v="55601"/>
    <s v="D777"/>
    <s v="EXSZ 901553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X"/>
    <n v="1"/>
    <n v="232.5"/>
    <m/>
    <m/>
    <n v="55601"/>
    <s v="D777"/>
    <s v="EXSZ 901556-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Y"/>
    <n v="1"/>
    <n v="232.5"/>
    <m/>
    <m/>
    <n v="55601"/>
    <s v="D777"/>
    <s v="EXSZ 901557-2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BZ"/>
    <n v="1"/>
    <n v="232.5"/>
    <m/>
    <m/>
    <n v="55601"/>
    <s v="D777"/>
    <s v="EXSZ 901608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A"/>
    <n v="1"/>
    <n v="232.5"/>
    <m/>
    <m/>
    <n v="55601"/>
    <s v="D777"/>
    <s v="EXSZ 901609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B"/>
    <n v="1"/>
    <n v="232.5"/>
    <m/>
    <m/>
    <n v="55601"/>
    <s v="D777"/>
    <s v="EXSZ 901659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C"/>
    <n v="1"/>
    <n v="232.5"/>
    <m/>
    <m/>
    <n v="55601"/>
    <s v="D777"/>
    <s v="EXSZ 901662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D"/>
    <n v="1"/>
    <n v="232.5"/>
    <m/>
    <m/>
    <n v="55601"/>
    <s v="D777"/>
    <s v="TRZZ 90045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E"/>
    <n v="1"/>
    <n v="232.5"/>
    <m/>
    <m/>
    <n v="55601"/>
    <s v="D777"/>
    <s v="TRZZ 90053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F"/>
    <n v="1"/>
    <n v="232.5"/>
    <m/>
    <m/>
    <n v="55601"/>
    <s v="D777"/>
    <s v="TRZZ 90054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G"/>
    <n v="1"/>
    <n v="232.5"/>
    <m/>
    <m/>
    <n v="55601"/>
    <s v="D777"/>
    <s v="TRZZ 90055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H"/>
    <n v="1"/>
    <n v="232.5"/>
    <m/>
    <m/>
    <n v="55601"/>
    <s v="D777"/>
    <s v="TRZZ 90055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I"/>
    <n v="1"/>
    <n v="232.5"/>
    <m/>
    <m/>
    <n v="55601"/>
    <s v="D777"/>
    <s v="TRZZ 90056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J"/>
    <n v="1"/>
    <n v="232.5"/>
    <m/>
    <m/>
    <n v="55601"/>
    <s v="D777"/>
    <s v="TRZZ 90057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K"/>
    <n v="1"/>
    <n v="232.5"/>
    <m/>
    <m/>
    <n v="55601"/>
    <s v="D777"/>
    <s v="TRZZ 90057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L"/>
    <n v="1"/>
    <n v="232.5"/>
    <m/>
    <m/>
    <n v="55601"/>
    <s v="D777"/>
    <s v="TRZZ 90058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M"/>
    <n v="1"/>
    <n v="232.5"/>
    <m/>
    <m/>
    <n v="55601"/>
    <s v="D777"/>
    <s v="TRZZ 90058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CN"/>
    <n v="1"/>
    <n v="178.25"/>
    <m/>
    <m/>
    <n v="55601"/>
    <s v="D777"/>
    <s v="USPU 124790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CO"/>
    <n v="1"/>
    <n v="178.25"/>
    <m/>
    <m/>
    <n v="55609"/>
    <s v="D449"/>
    <s v="EXXU 999491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CP"/>
    <n v="1"/>
    <n v="310"/>
    <m/>
    <m/>
    <n v="55644"/>
    <s v="E340"/>
    <s v="EXFU 521140-7"/>
    <s v="Rental"/>
    <x v="5"/>
    <d v="2018-05-31T00:00:00"/>
    <d v="2018-06-01T00:00:00"/>
    <n v="310"/>
    <d v="2018-06-11T00:00:00"/>
    <n v="0"/>
    <s v="30-60 days"/>
    <s v="DOCXX"/>
    <x v="1"/>
    <s v="Invoice"/>
  </r>
  <r>
    <x v="8"/>
    <s v="DC"/>
    <s v="CQ"/>
    <n v="1"/>
    <n v="310"/>
    <m/>
    <m/>
    <n v="55644"/>
    <s v="E340"/>
    <s v="EXFU 521179-4"/>
    <s v="Rental"/>
    <x v="5"/>
    <d v="2018-05-31T00:00:00"/>
    <d v="2018-06-01T00:00:00"/>
    <n v="310"/>
    <d v="2018-06-11T00:00:00"/>
    <n v="0"/>
    <s v="30-60 days"/>
    <s v="DOCXX"/>
    <x v="1"/>
    <s v="Invoice"/>
  </r>
  <r>
    <x v="8"/>
    <s v="DC"/>
    <s v="CR"/>
    <n v="1"/>
    <n v="310"/>
    <m/>
    <m/>
    <n v="55644"/>
    <s v="E340"/>
    <s v="EXFU 521182-9"/>
    <s v="Rental"/>
    <x v="5"/>
    <d v="2018-05-31T00:00:00"/>
    <d v="2018-06-01T00:00:00"/>
    <n v="310"/>
    <d v="2018-06-11T00:00:00"/>
    <n v="0"/>
    <s v="30-60 days"/>
    <s v="DOCXX"/>
    <x v="1"/>
    <s v="Invoice"/>
  </r>
  <r>
    <x v="8"/>
    <s v="DC"/>
    <s v="CS"/>
    <n v="1"/>
    <n v="178.25"/>
    <m/>
    <m/>
    <n v="55785"/>
    <s v="D355"/>
    <s v="EXFU 059955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CT"/>
    <n v="1"/>
    <n v="178.25"/>
    <m/>
    <m/>
    <n v="58008"/>
    <s v="D266"/>
    <s v="EXFU 055440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CU"/>
    <n v="1"/>
    <n v="178.25"/>
    <m/>
    <m/>
    <n v="58008"/>
    <s v="D266"/>
    <s v="EXFU 062228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CV"/>
    <n v="1"/>
    <n v="496"/>
    <m/>
    <m/>
    <n v="58008"/>
    <s v="D266"/>
    <s v="EXFU 144778-1"/>
    <s v="Rental"/>
    <x v="5"/>
    <d v="2018-05-31T00:00:00"/>
    <d v="2018-06-01T00:00:00"/>
    <n v="496"/>
    <d v="2018-06-11T00:00:00"/>
    <n v="0"/>
    <s v="30-60 days"/>
    <s v="DOCXX"/>
    <x v="1"/>
    <s v="Invoice"/>
  </r>
  <r>
    <x v="8"/>
    <s v="DC"/>
    <s v="CW"/>
    <n v="1"/>
    <n v="496"/>
    <m/>
    <m/>
    <n v="58008"/>
    <s v="D266"/>
    <s v="EXFU 144804-7"/>
    <s v="Rental"/>
    <x v="5"/>
    <d v="2018-05-31T00:00:00"/>
    <d v="2018-06-01T00:00:00"/>
    <n v="496"/>
    <d v="2018-06-11T00:00:00"/>
    <n v="0"/>
    <s v="30-60 days"/>
    <s v="DOCXX"/>
    <x v="1"/>
    <s v="Invoice"/>
  </r>
  <r>
    <x v="8"/>
    <s v="DC"/>
    <s v="CX"/>
    <n v="1"/>
    <n v="496"/>
    <m/>
    <m/>
    <n v="58008"/>
    <s v="D266"/>
    <s v="EXFU 144810-8"/>
    <s v="Rental"/>
    <x v="5"/>
    <d v="2018-05-31T00:00:00"/>
    <d v="2018-06-01T00:00:00"/>
    <n v="496"/>
    <d v="2018-06-11T00:00:00"/>
    <n v="0"/>
    <s v="30-60 days"/>
    <s v="DOCXX"/>
    <x v="1"/>
    <s v="Invoice"/>
  </r>
  <r>
    <x v="8"/>
    <s v="DC"/>
    <s v="CY"/>
    <n v="1"/>
    <n v="496"/>
    <m/>
    <m/>
    <n v="58008"/>
    <s v="D266"/>
    <s v="EXFU 144811-3"/>
    <s v="Rental"/>
    <x v="5"/>
    <d v="2018-05-31T00:00:00"/>
    <d v="2018-06-01T00:00:00"/>
    <n v="496"/>
    <d v="2018-06-11T00:00:00"/>
    <n v="0"/>
    <s v="30-60 days"/>
    <s v="DOCXX"/>
    <x v="1"/>
    <s v="Invoice"/>
  </r>
  <r>
    <x v="8"/>
    <s v="DC"/>
    <s v="CZ"/>
    <n v="1"/>
    <n v="496"/>
    <m/>
    <m/>
    <n v="58008"/>
    <s v="D266"/>
    <s v="EXFU 144812-9"/>
    <s v="Rental"/>
    <x v="5"/>
    <d v="2018-05-31T00:00:00"/>
    <d v="2018-06-01T00:00:00"/>
    <n v="496"/>
    <d v="2018-06-11T00:00:00"/>
    <n v="0"/>
    <s v="30-60 days"/>
    <s v="DOCXX"/>
    <x v="1"/>
    <s v="Invoice"/>
  </r>
  <r>
    <x v="8"/>
    <s v="DC"/>
    <s v="DA"/>
    <n v="1"/>
    <n v="279"/>
    <m/>
    <m/>
    <n v="58008"/>
    <s v="D266"/>
    <s v="EXSZ 901460-0"/>
    <s v="Rental"/>
    <x v="5"/>
    <d v="2018-05-31T00:00:00"/>
    <d v="2018-06-01T00:00:00"/>
    <n v="279"/>
    <d v="2018-06-11T00:00:00"/>
    <n v="0"/>
    <s v="30-60 days"/>
    <s v="DOCXX"/>
    <x v="1"/>
    <s v="Invoice"/>
  </r>
  <r>
    <x v="8"/>
    <s v="DC"/>
    <s v="DB"/>
    <n v="1"/>
    <n v="279"/>
    <m/>
    <m/>
    <n v="58008"/>
    <s v="D266"/>
    <s v="EXSZ 901496-1"/>
    <s v="Rental"/>
    <x v="5"/>
    <d v="2018-05-31T00:00:00"/>
    <d v="2018-06-01T00:00:00"/>
    <n v="279"/>
    <d v="2018-06-11T00:00:00"/>
    <n v="0"/>
    <s v="30-60 days"/>
    <s v="DOCXX"/>
    <x v="1"/>
    <s v="Invoice"/>
  </r>
  <r>
    <x v="8"/>
    <s v="DC"/>
    <s v="DC"/>
    <n v="1"/>
    <n v="279"/>
    <m/>
    <m/>
    <n v="58008"/>
    <s v="D266"/>
    <s v="EXSZ 901497-7"/>
    <s v="Rental"/>
    <x v="5"/>
    <d v="2018-05-31T00:00:00"/>
    <d v="2018-06-01T00:00:00"/>
    <n v="279"/>
    <d v="2018-06-11T00:00:00"/>
    <n v="0"/>
    <s v="30-60 days"/>
    <s v="DOCXX"/>
    <x v="1"/>
    <s v="Invoice"/>
  </r>
  <r>
    <x v="8"/>
    <s v="DC"/>
    <s v="DD"/>
    <n v="1"/>
    <n v="279"/>
    <m/>
    <m/>
    <n v="58008"/>
    <s v="D266"/>
    <s v="EXSZ 901814-4"/>
    <s v="Rental"/>
    <x v="5"/>
    <d v="2018-05-31T00:00:00"/>
    <d v="2018-06-01T00:00:00"/>
    <n v="279"/>
    <d v="2018-06-11T00:00:00"/>
    <n v="0"/>
    <s v="30-60 days"/>
    <s v="DOCXX"/>
    <x v="1"/>
    <s v="Invoice"/>
  </r>
  <r>
    <x v="8"/>
    <s v="DC"/>
    <s v="DE"/>
    <n v="1"/>
    <n v="279"/>
    <m/>
    <m/>
    <n v="58008"/>
    <s v="D266"/>
    <s v="EXSZ 901837-6"/>
    <s v="Rental"/>
    <x v="5"/>
    <d v="2018-05-31T00:00:00"/>
    <d v="2018-06-01T00:00:00"/>
    <n v="279"/>
    <d v="2018-06-11T00:00:00"/>
    <n v="0"/>
    <s v="30-60 days"/>
    <s v="DOCXX"/>
    <x v="1"/>
    <s v="Invoice"/>
  </r>
  <r>
    <x v="8"/>
    <s v="DC"/>
    <s v="DF"/>
    <n v="1"/>
    <n v="178.25"/>
    <m/>
    <m/>
    <n v="66652"/>
    <s v="D213"/>
    <s v="EXFU 821813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G"/>
    <n v="1"/>
    <n v="178.25"/>
    <m/>
    <m/>
    <n v="66660"/>
    <s v="D009"/>
    <s v="EXFU 144830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H"/>
    <n v="1"/>
    <n v="178.25"/>
    <m/>
    <m/>
    <n v="66660"/>
    <s v="D009"/>
    <s v="EXFU 144834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I"/>
    <n v="1"/>
    <n v="178.25"/>
    <m/>
    <m/>
    <n v="66660"/>
    <s v="D009"/>
    <s v="EXFU 145531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J"/>
    <n v="1"/>
    <n v="178.25"/>
    <m/>
    <m/>
    <n v="67859"/>
    <s v="D449"/>
    <s v="EXXU 999073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K"/>
    <n v="1"/>
    <n v="178.25"/>
    <m/>
    <m/>
    <n v="67859"/>
    <s v="D449"/>
    <s v="TPMU 351467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L"/>
    <n v="1"/>
    <n v="178.25"/>
    <m/>
    <m/>
    <n v="68162"/>
    <s v="D344"/>
    <s v="EXFU 820885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M"/>
    <n v="1"/>
    <n v="178.25"/>
    <m/>
    <m/>
    <n v="68162"/>
    <s v="D344"/>
    <s v="EXFU 820893-7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N"/>
    <n v="1"/>
    <n v="178.25"/>
    <m/>
    <m/>
    <n v="68162"/>
    <s v="D344"/>
    <s v="EXFU 821644-4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O"/>
    <n v="1"/>
    <n v="178.25"/>
    <m/>
    <m/>
    <n v="68162"/>
    <s v="D344"/>
    <s v="EXFU 821645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P"/>
    <n v="1"/>
    <n v="178.25"/>
    <m/>
    <m/>
    <n v="68162"/>
    <s v="D344"/>
    <s v="EXFU 821647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Q"/>
    <n v="1"/>
    <n v="178.25"/>
    <m/>
    <m/>
    <n v="68162"/>
    <s v="D344"/>
    <s v="EXFU 821648-6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R"/>
    <n v="1"/>
    <n v="178.25"/>
    <m/>
    <m/>
    <n v="68162"/>
    <s v="D344"/>
    <s v="EXFU 821650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S"/>
    <n v="1"/>
    <n v="178.25"/>
    <m/>
    <m/>
    <n v="68162"/>
    <s v="D344"/>
    <s v="EXFU 821651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T"/>
    <n v="1"/>
    <n v="178.25"/>
    <m/>
    <m/>
    <n v="68162"/>
    <s v="D344"/>
    <s v="EXFU 821652-6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U"/>
    <n v="1"/>
    <n v="178.25"/>
    <m/>
    <m/>
    <n v="68162"/>
    <s v="D344"/>
    <s v="EXFU 821654-7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DV"/>
    <n v="1"/>
    <n v="232.5"/>
    <m/>
    <m/>
    <n v="68162"/>
    <s v="D344"/>
    <s v="EXSZ 901671-1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DW"/>
    <n v="1"/>
    <n v="232.5"/>
    <m/>
    <m/>
    <n v="68162"/>
    <s v="D344"/>
    <s v="EXSZ 901672-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DX"/>
    <n v="1"/>
    <n v="232.5"/>
    <m/>
    <m/>
    <n v="68162"/>
    <s v="D344"/>
    <s v="EXSZ 901714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DY"/>
    <n v="1"/>
    <n v="232.5"/>
    <m/>
    <m/>
    <n v="68162"/>
    <s v="D344"/>
    <s v="EXSZ 901715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DZ"/>
    <n v="1"/>
    <n v="232.5"/>
    <m/>
    <m/>
    <n v="68162"/>
    <s v="D344"/>
    <s v="EXSZ 901716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EA"/>
    <n v="1"/>
    <n v="232.5"/>
    <m/>
    <m/>
    <n v="68162"/>
    <s v="D344"/>
    <s v="EXSZ 901717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EB"/>
    <n v="1"/>
    <n v="232.5"/>
    <m/>
    <m/>
    <n v="68162"/>
    <s v="D344"/>
    <s v="EXSZ 901718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EC"/>
    <n v="1"/>
    <n v="232.5"/>
    <m/>
    <m/>
    <n v="68162"/>
    <s v="D344"/>
    <s v="EXSZ 901719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ED"/>
    <n v="1"/>
    <n v="178.25"/>
    <m/>
    <m/>
    <n v="68162"/>
    <s v="D344"/>
    <s v="TRLU 022203-1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E"/>
    <n v="1"/>
    <n v="178.25"/>
    <m/>
    <m/>
    <n v="75797"/>
    <s v="E320"/>
    <s v="EXFU 822208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F"/>
    <n v="1"/>
    <n v="178.25"/>
    <m/>
    <m/>
    <n v="75797"/>
    <s v="E320"/>
    <s v="EXFU 822209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G"/>
    <n v="1"/>
    <n v="178.25"/>
    <m/>
    <m/>
    <n v="75797"/>
    <s v="E320"/>
    <s v="EXFU 822210-7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H"/>
    <n v="1"/>
    <n v="178.25"/>
    <m/>
    <m/>
    <n v="75797"/>
    <s v="E320"/>
    <s v="EXFU 822212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I"/>
    <n v="1"/>
    <n v="178.25"/>
    <m/>
    <m/>
    <n v="75797"/>
    <s v="E320"/>
    <s v="EXFU 822215-4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J"/>
    <n v="1"/>
    <n v="178.25"/>
    <m/>
    <m/>
    <n v="75797"/>
    <s v="E320"/>
    <s v="EXFU 822216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K"/>
    <n v="1"/>
    <n v="178.25"/>
    <m/>
    <m/>
    <n v="75797"/>
    <s v="E320"/>
    <s v="EXFU 822217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L"/>
    <n v="1"/>
    <n v="178.25"/>
    <m/>
    <m/>
    <n v="75797"/>
    <s v="E320"/>
    <s v="EXFU 822218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M"/>
    <n v="1"/>
    <n v="178.25"/>
    <m/>
    <m/>
    <n v="75797"/>
    <s v="E320"/>
    <s v="EXFU 822220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N"/>
    <n v="1"/>
    <n v="178.25"/>
    <m/>
    <m/>
    <n v="75797"/>
    <s v="E320"/>
    <s v="EXFU 822221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O"/>
    <n v="1"/>
    <n v="178.25"/>
    <m/>
    <m/>
    <n v="75797"/>
    <s v="E320"/>
    <s v="EXFU 822227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P"/>
    <n v="1"/>
    <n v="178.25"/>
    <m/>
    <m/>
    <n v="75797"/>
    <s v="E320"/>
    <s v="EXFU 822228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Q"/>
    <n v="1"/>
    <n v="178.25"/>
    <m/>
    <m/>
    <n v="75797"/>
    <s v="E320"/>
    <s v="EXFU 822229-9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R"/>
    <n v="1"/>
    <n v="178.25"/>
    <m/>
    <m/>
    <n v="75797"/>
    <s v="E320"/>
    <s v="EXFU 822231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S"/>
    <n v="1"/>
    <n v="178.25"/>
    <m/>
    <m/>
    <n v="75797"/>
    <s v="E320"/>
    <s v="EXFU 822232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T"/>
    <n v="1"/>
    <n v="178.25"/>
    <m/>
    <m/>
    <n v="75797"/>
    <s v="E320"/>
    <s v="EXFU 822233-9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U"/>
    <n v="1"/>
    <n v="178.25"/>
    <m/>
    <m/>
    <n v="75797"/>
    <s v="E320"/>
    <s v="EXFU 822234-4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V"/>
    <n v="1"/>
    <n v="178.25"/>
    <m/>
    <m/>
    <n v="75797"/>
    <s v="E320"/>
    <s v="EXFU 822236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W"/>
    <n v="1"/>
    <n v="178.25"/>
    <m/>
    <m/>
    <n v="75797"/>
    <s v="E320"/>
    <s v="EXFU 822237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X"/>
    <n v="1"/>
    <n v="178.25"/>
    <m/>
    <m/>
    <n v="75797"/>
    <s v="E320"/>
    <s v="EXFU 822239-1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Y"/>
    <n v="1"/>
    <n v="178.25"/>
    <m/>
    <m/>
    <n v="77559"/>
    <s v="D449"/>
    <s v="TRLU 021960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EZ"/>
    <n v="1"/>
    <n v="178.25"/>
    <m/>
    <m/>
    <n v="91295"/>
    <s v="D284"/>
    <s v="TRLU 022326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A"/>
    <n v="1"/>
    <n v="178.25"/>
    <m/>
    <m/>
    <n v="97900"/>
    <s v="D358"/>
    <s v="USPU 122692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B"/>
    <n v="1"/>
    <n v="232.5"/>
    <m/>
    <m/>
    <n v="122967"/>
    <s v="D449"/>
    <s v="EXSZ 90098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C"/>
    <n v="1"/>
    <n v="232.5"/>
    <m/>
    <m/>
    <n v="122967"/>
    <s v="D449"/>
    <s v="EXSZ 90099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D"/>
    <n v="1"/>
    <n v="232.5"/>
    <m/>
    <m/>
    <n v="122967"/>
    <s v="D449"/>
    <s v="EXSZ 901083-7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E"/>
    <n v="1"/>
    <n v="232.5"/>
    <m/>
    <m/>
    <n v="122967"/>
    <s v="D449"/>
    <s v="EXSZ 901086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F"/>
    <n v="1"/>
    <n v="232.5"/>
    <m/>
    <m/>
    <n v="122967"/>
    <s v="D449"/>
    <s v="EXSZ 901100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G"/>
    <n v="1"/>
    <n v="232.5"/>
    <m/>
    <m/>
    <n v="122967"/>
    <s v="D449"/>
    <s v="EXSZ 901107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H"/>
    <n v="1"/>
    <n v="178.25"/>
    <m/>
    <m/>
    <n v="122967"/>
    <s v="D449"/>
    <s v="ICSU 029254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I"/>
    <n v="1"/>
    <n v="178.25"/>
    <m/>
    <m/>
    <n v="122967"/>
    <s v="D449"/>
    <s v="TPTU 820593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J"/>
    <n v="1"/>
    <n v="178.25"/>
    <m/>
    <m/>
    <n v="122967"/>
    <s v="D449"/>
    <s v="TPTU 820600-6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K"/>
    <n v="1"/>
    <n v="178.25"/>
    <m/>
    <m/>
    <n v="122967"/>
    <s v="D449"/>
    <s v="TPTU 820636-7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L"/>
    <n v="1"/>
    <n v="178.25"/>
    <m/>
    <m/>
    <n v="122967"/>
    <s v="D449"/>
    <s v="TRLU 022331-5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M"/>
    <n v="1"/>
    <n v="178.25"/>
    <m/>
    <m/>
    <n v="127678"/>
    <s v="D449"/>
    <s v="EXFU 440096-2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N"/>
    <n v="1"/>
    <n v="178.25"/>
    <m/>
    <m/>
    <n v="127678"/>
    <s v="D449"/>
    <s v="EXFU 440097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O"/>
    <n v="1"/>
    <n v="178.25"/>
    <m/>
    <m/>
    <n v="127678"/>
    <s v="D449"/>
    <s v="EXFU 440100-1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P"/>
    <n v="1"/>
    <n v="178.25"/>
    <m/>
    <m/>
    <n v="127678"/>
    <s v="D449"/>
    <s v="EXFU 440120-7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Q"/>
    <n v="1"/>
    <n v="178.25"/>
    <m/>
    <m/>
    <n v="127678"/>
    <s v="D449"/>
    <s v="EXFU 440122-8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R"/>
    <n v="1"/>
    <n v="178.25"/>
    <m/>
    <m/>
    <n v="127678"/>
    <s v="D449"/>
    <s v="EXFU 440123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S"/>
    <n v="1"/>
    <n v="178.25"/>
    <m/>
    <m/>
    <n v="127678"/>
    <s v="D449"/>
    <s v="EXFU 440124-9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FT"/>
    <n v="1"/>
    <n v="232.5"/>
    <m/>
    <m/>
    <n v="127678"/>
    <s v="D449"/>
    <s v="EXSZ 901883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U"/>
    <n v="1"/>
    <n v="232.5"/>
    <m/>
    <m/>
    <n v="127678"/>
    <s v="D449"/>
    <s v="EXSZ 901886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V"/>
    <n v="1"/>
    <n v="232.5"/>
    <m/>
    <m/>
    <n v="127678"/>
    <s v="D449"/>
    <s v="EXSZ 901898-8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W"/>
    <n v="1"/>
    <n v="232.5"/>
    <m/>
    <m/>
    <n v="127678"/>
    <s v="D449"/>
    <s v="EXSZ 901906-9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X"/>
    <n v="1"/>
    <n v="232.5"/>
    <m/>
    <m/>
    <n v="127678"/>
    <s v="D449"/>
    <s v="EXSZ 901967-0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Y"/>
    <n v="1"/>
    <n v="232.5"/>
    <m/>
    <m/>
    <n v="127678"/>
    <s v="D449"/>
    <s v="EXSZ 901968-6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FZ"/>
    <n v="1"/>
    <n v="232.5"/>
    <m/>
    <m/>
    <n v="127678"/>
    <s v="D449"/>
    <s v="EXSZ 901973-1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GA"/>
    <n v="1"/>
    <n v="232.5"/>
    <m/>
    <m/>
    <n v="127678"/>
    <s v="D449"/>
    <s v="EXSZ 901985-5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GB"/>
    <n v="1"/>
    <n v="232.5"/>
    <m/>
    <m/>
    <n v="127678"/>
    <s v="D449"/>
    <s v="EXSZ 901998-4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GC"/>
    <n v="1"/>
    <n v="232.5"/>
    <m/>
    <m/>
    <n v="127678"/>
    <s v="D449"/>
    <s v="EXSZ 902003-3"/>
    <s v="Rental"/>
    <x v="5"/>
    <d v="2018-05-31T00:00:00"/>
    <d v="2018-06-01T00:00:00"/>
    <n v="232.5"/>
    <d v="2018-06-11T00:00:00"/>
    <n v="0"/>
    <s v="30-60 days"/>
    <s v="DOCXX"/>
    <x v="1"/>
    <s v="Invoice"/>
  </r>
  <r>
    <x v="8"/>
    <s v="DC"/>
    <s v="GD"/>
    <n v="1"/>
    <n v="178.25"/>
    <m/>
    <m/>
    <n v="137491"/>
    <s v="D381"/>
    <s v="EXFU 145520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GE"/>
    <n v="1"/>
    <n v="178.25"/>
    <m/>
    <m/>
    <n v="137491"/>
    <s v="D381"/>
    <s v="EXFU 145528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GF"/>
    <n v="1"/>
    <n v="178.25"/>
    <m/>
    <m/>
    <n v="172324"/>
    <s v="E324"/>
    <s v="EXFU 144826-3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GG"/>
    <n v="1"/>
    <n v="178.25"/>
    <m/>
    <m/>
    <n v="172324"/>
    <s v="E324"/>
    <s v="EXFU 144831-9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GH"/>
    <n v="1"/>
    <n v="178.25"/>
    <m/>
    <m/>
    <n v="172324"/>
    <s v="E324"/>
    <s v="EXFU 144832-4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GI"/>
    <n v="2000"/>
    <n v="178.25"/>
    <m/>
    <m/>
    <n v="11843"/>
    <s v="D688"/>
    <s v="USPU 124680-0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DC"/>
    <s v="GJ"/>
    <n v="2000"/>
    <n v="178.25"/>
    <m/>
    <m/>
    <n v="37912"/>
    <s v="D638"/>
    <s v="TPMU 141016-2"/>
    <s v="Rental"/>
    <x v="5"/>
    <d v="2018-05-31T00:00:00"/>
    <d v="2018-06-01T00:00:00"/>
    <n v="178.25"/>
    <d v="2018-06-11T00:00:00"/>
    <n v="0"/>
    <s v="30-60 days"/>
    <s v="DOCXX"/>
    <x v="1"/>
    <s v="Invoice"/>
  </r>
  <r>
    <x v="8"/>
    <s v="CC"/>
    <s v="AQ"/>
    <n v="1"/>
    <n v="2688.09"/>
    <m/>
    <m/>
    <n v="1274"/>
    <s v="D358"/>
    <s v="Freeport Other Pool"/>
    <s v="Rental"/>
    <x v="5"/>
    <d v="2018-05-31T00:00:00"/>
    <d v="2018-06-15T00:00:00"/>
    <n v="2688.09"/>
    <d v="2018-06-27T00:00:00"/>
    <n v="0"/>
    <s v="30-60 days"/>
    <s v="DOCXX"/>
    <x v="1"/>
    <s v="Invoice"/>
  </r>
  <r>
    <x v="8"/>
    <s v="CC"/>
    <s v="AR"/>
    <n v="1"/>
    <n v="2372.5100000000002"/>
    <m/>
    <m/>
    <n v="1273"/>
    <s v="D358"/>
    <s v="Freeport Other Pool"/>
    <s v="Rental"/>
    <x v="5"/>
    <d v="2018-05-31T00:00:00"/>
    <d v="2018-06-15T00:00:00"/>
    <n v="2372.5100000000002"/>
    <d v="2018-06-27T00:00:00"/>
    <n v="0"/>
    <s v="30-60 days"/>
    <s v="DOCXX"/>
    <x v="1"/>
    <s v="Invoice"/>
  </r>
  <r>
    <x v="8"/>
    <s v="CC"/>
    <s v="AS"/>
    <n v="1"/>
    <n v="2284.2800000000002"/>
    <m/>
    <m/>
    <n v="58008"/>
    <s v="D266"/>
    <s v="Freeport Other Pool"/>
    <s v="Rental"/>
    <x v="5"/>
    <d v="2018-05-31T00:00:00"/>
    <d v="2018-06-15T00:00:00"/>
    <n v="2284.2800000000002"/>
    <d v="2018-06-27T00:00:00"/>
    <n v="0"/>
    <s v="30-60 days"/>
    <s v="DOCXX"/>
    <x v="1"/>
    <s v="Invoice"/>
  </r>
  <r>
    <x v="8"/>
    <s v="CC"/>
    <s v="AT"/>
    <n v="1"/>
    <n v="1253.18"/>
    <m/>
    <m/>
    <n v="66660"/>
    <s v="D009"/>
    <s v="Freeport Other Pool"/>
    <s v="Rental"/>
    <x v="5"/>
    <d v="2018-05-31T00:00:00"/>
    <d v="2018-06-15T00:00:00"/>
    <n v="1253.18"/>
    <d v="2018-06-27T00:00:00"/>
    <n v="0"/>
    <s v="30-60 days"/>
    <s v="DOCXX"/>
    <x v="1"/>
    <s v="Invoice"/>
  </r>
  <r>
    <x v="8"/>
    <s v="CC"/>
    <s v="AU"/>
    <n v="1"/>
    <n v="1075.78"/>
    <m/>
    <m/>
    <n v="97900"/>
    <s v="D358"/>
    <s v="Freeport Other Pool"/>
    <s v="Rental"/>
    <x v="5"/>
    <d v="2018-05-31T00:00:00"/>
    <d v="2018-06-15T00:00:00"/>
    <n v="1075.78"/>
    <d v="2018-06-27T00:00:00"/>
    <n v="0"/>
    <s v="30-60 days"/>
    <s v="DOCXX"/>
    <x v="1"/>
    <s v="Invoice"/>
  </r>
  <r>
    <x v="8"/>
    <s v="CC"/>
    <s v="AV"/>
    <n v="1"/>
    <n v="722.61"/>
    <m/>
    <m/>
    <n v="66665"/>
    <s v="D356"/>
    <s v="Freeport Other Pool"/>
    <s v="Rental"/>
    <x v="5"/>
    <d v="2018-05-31T00:00:00"/>
    <d v="2018-06-15T00:00:00"/>
    <n v="722.61"/>
    <d v="2018-06-27T00:00:00"/>
    <n v="0"/>
    <s v="30-60 days"/>
    <s v="DOCXX"/>
    <x v="1"/>
    <s v="Invoice"/>
  </r>
  <r>
    <x v="8"/>
    <s v="CC"/>
    <s v="AW"/>
    <n v="1"/>
    <n v="720.98"/>
    <m/>
    <m/>
    <n v="167840"/>
    <s v="D015"/>
    <s v="Freeport Other Pool"/>
    <s v="Rental"/>
    <x v="5"/>
    <d v="2018-05-31T00:00:00"/>
    <d v="2018-06-15T00:00:00"/>
    <n v="720.98"/>
    <d v="2018-06-27T00:00:00"/>
    <n v="0"/>
    <s v="30-60 days"/>
    <s v="DOCXX"/>
    <x v="1"/>
    <s v="Invoice"/>
  </r>
  <r>
    <x v="8"/>
    <s v="CC"/>
    <s v="AX"/>
    <n v="1"/>
    <n v="620.08000000000004"/>
    <m/>
    <m/>
    <n v="68162"/>
    <s v="D344"/>
    <s v="Freeport Other Pool"/>
    <s v="Rental"/>
    <x v="5"/>
    <d v="2018-05-31T00:00:00"/>
    <d v="2018-06-15T00:00:00"/>
    <n v="620.08000000000004"/>
    <d v="2018-06-27T00:00:00"/>
    <n v="0"/>
    <s v="30-60 days"/>
    <s v="DOCXX"/>
    <x v="1"/>
    <s v="Invoice"/>
  </r>
  <r>
    <x v="8"/>
    <s v="CC"/>
    <s v="AY"/>
    <n v="1"/>
    <n v="559.86"/>
    <m/>
    <m/>
    <n v="55785"/>
    <s v="D355"/>
    <s v="Freeport Other Pool"/>
    <s v="Rental"/>
    <x v="5"/>
    <d v="2018-05-31T00:00:00"/>
    <d v="2018-06-15T00:00:00"/>
    <n v="559.86"/>
    <d v="2018-06-27T00:00:00"/>
    <n v="0"/>
    <s v="30-60 days"/>
    <s v="DOCXX"/>
    <x v="1"/>
    <s v="Invoice"/>
  </r>
  <r>
    <x v="8"/>
    <s v="CC"/>
    <s v="AZ"/>
    <n v="1"/>
    <n v="504.53"/>
    <m/>
    <m/>
    <n v="82624"/>
    <s v="D407"/>
    <s v="Freeport Other Pool"/>
    <s v="Rental"/>
    <x v="5"/>
    <d v="2018-05-31T00:00:00"/>
    <d v="2018-06-15T00:00:00"/>
    <n v="504.53"/>
    <d v="2018-06-27T00:00:00"/>
    <n v="0"/>
    <s v="30-60 days"/>
    <s v="DOCXX"/>
    <x v="1"/>
    <s v="Invoice"/>
  </r>
  <r>
    <x v="8"/>
    <s v="CC"/>
    <s v="BA"/>
    <n v="1"/>
    <n v="485"/>
    <m/>
    <m/>
    <n v="67904"/>
    <s v="D407"/>
    <s v="Freeport Other Pool"/>
    <s v="Rental"/>
    <x v="5"/>
    <d v="2018-05-31T00:00:00"/>
    <d v="2018-06-15T00:00:00"/>
    <n v="485"/>
    <d v="2018-06-27T00:00:00"/>
    <n v="0"/>
    <s v="30-60 days"/>
    <s v="DOCXX"/>
    <x v="1"/>
    <s v="Invoice"/>
  </r>
  <r>
    <x v="8"/>
    <s v="CC"/>
    <s v="BB"/>
    <n v="1"/>
    <n v="444.31"/>
    <m/>
    <m/>
    <n v="66652"/>
    <s v="D213"/>
    <s v="Freeport Other Pool"/>
    <s v="Rental"/>
    <x v="5"/>
    <d v="2018-05-31T00:00:00"/>
    <d v="2018-06-15T00:00:00"/>
    <n v="444.31"/>
    <d v="2018-06-27T00:00:00"/>
    <n v="0"/>
    <s v="30-60 days"/>
    <s v="DOCXX"/>
    <x v="1"/>
    <s v="Invoice"/>
  </r>
  <r>
    <x v="8"/>
    <s v="CC"/>
    <s v="BC"/>
    <n v="1"/>
    <n v="442.68"/>
    <m/>
    <m/>
    <n v="1204"/>
    <s v="D357"/>
    <s v="Freeport Other Pool"/>
    <s v="Rental"/>
    <x v="5"/>
    <d v="2018-05-31T00:00:00"/>
    <d v="2018-06-15T00:00:00"/>
    <n v="442.68"/>
    <d v="2018-06-27T00:00:00"/>
    <n v="0"/>
    <s v="30-60 days"/>
    <s v="DOCXX"/>
    <x v="1"/>
    <s v="Invoice"/>
  </r>
  <r>
    <x v="8"/>
    <s v="CC"/>
    <s v="BD"/>
    <n v="1"/>
    <n v="398.74"/>
    <m/>
    <m/>
    <n v="75797"/>
    <s v="D348"/>
    <s v="Freeport Other Pool"/>
    <s v="Rental"/>
    <x v="5"/>
    <d v="2018-05-31T00:00:00"/>
    <d v="2018-06-15T00:00:00"/>
    <n v="398.74"/>
    <d v="2018-06-27T00:00:00"/>
    <n v="0"/>
    <s v="30-60 days"/>
    <s v="DOCXX"/>
    <x v="1"/>
    <s v="Invoice"/>
  </r>
  <r>
    <x v="8"/>
    <s v="CC"/>
    <s v="BE"/>
    <n v="1"/>
    <n v="377.58"/>
    <m/>
    <m/>
    <n v="55609"/>
    <s v="D449"/>
    <s v="Freeport Other Pool"/>
    <s v="Rental"/>
    <x v="5"/>
    <d v="2018-05-31T00:00:00"/>
    <d v="2018-06-15T00:00:00"/>
    <n v="377.58"/>
    <d v="2018-06-27T00:00:00"/>
    <n v="0"/>
    <s v="30-60 days"/>
    <s v="DOCXX"/>
    <x v="1"/>
    <s v="Invoice"/>
  </r>
  <r>
    <x v="8"/>
    <s v="CC"/>
    <s v="BF"/>
    <n v="1"/>
    <n v="323.87"/>
    <m/>
    <m/>
    <n v="1356"/>
    <s v="D360"/>
    <s v="Freeport Other Pool"/>
    <s v="Rental"/>
    <x v="5"/>
    <d v="2018-05-31T00:00:00"/>
    <d v="2018-06-15T00:00:00"/>
    <n v="323.87"/>
    <d v="2018-06-27T00:00:00"/>
    <n v="0"/>
    <s v="30-60 days"/>
    <s v="DOCXX"/>
    <x v="1"/>
    <s v="Invoice"/>
  </r>
  <r>
    <x v="8"/>
    <s v="CC"/>
    <s v="BG"/>
    <n v="1"/>
    <n v="309.23"/>
    <m/>
    <m/>
    <n v="68260"/>
    <s v="D002"/>
    <s v="Freeport Other Pool"/>
    <s v="Rental"/>
    <x v="5"/>
    <d v="2018-05-31T00:00:00"/>
    <d v="2018-06-15T00:00:00"/>
    <n v="309.23"/>
    <d v="2018-06-27T00:00:00"/>
    <n v="0"/>
    <s v="30-60 days"/>
    <s v="DOCXX"/>
    <x v="1"/>
    <s v="Invoice"/>
  </r>
  <r>
    <x v="8"/>
    <s v="CC"/>
    <s v="BH"/>
    <n v="1"/>
    <n v="203.44"/>
    <m/>
    <m/>
    <n v="82294"/>
    <s v="D407"/>
    <s v="Freeport Other Pool"/>
    <s v="Rental"/>
    <x v="5"/>
    <d v="2018-05-31T00:00:00"/>
    <d v="2018-06-15T00:00:00"/>
    <n v="203.44"/>
    <d v="2018-06-27T00:00:00"/>
    <n v="0"/>
    <s v="30-60 days"/>
    <s v="DOCXX"/>
    <x v="1"/>
    <s v="Invoice"/>
  </r>
  <r>
    <x v="8"/>
    <s v="CC"/>
    <s v="BI"/>
    <n v="1"/>
    <n v="162.75"/>
    <m/>
    <m/>
    <n v="68235"/>
    <s v="D232"/>
    <s v="Freeport Other Pool"/>
    <s v="Rental"/>
    <x v="5"/>
    <d v="2018-05-31T00:00:00"/>
    <d v="2018-06-15T00:00:00"/>
    <n v="162.75"/>
    <d v="2018-06-27T00:00:00"/>
    <n v="0"/>
    <s v="30-60 days"/>
    <s v="DOCXX"/>
    <x v="1"/>
    <s v="Invoice"/>
  </r>
  <r>
    <x v="8"/>
    <s v="CC"/>
    <s v="BJ"/>
    <n v="1"/>
    <n v="162.75"/>
    <m/>
    <m/>
    <n v="172324"/>
    <s v="E324"/>
    <s v="Freeport Other Pool"/>
    <s v="Rental"/>
    <x v="5"/>
    <d v="2018-05-31T00:00:00"/>
    <d v="2018-06-15T00:00:00"/>
    <n v="162.75"/>
    <d v="2018-06-27T00:00:00"/>
    <n v="0"/>
    <s v="30-60 days"/>
    <s v="DOCXX"/>
    <x v="1"/>
    <s v="Invoice"/>
  </r>
  <r>
    <x v="8"/>
    <s v="CC"/>
    <s v="BK"/>
    <n v="1"/>
    <n v="162.75"/>
    <m/>
    <m/>
    <n v="82330"/>
    <s v="D017"/>
    <s v="Freeport Other Pool"/>
    <s v="Rental"/>
    <x v="5"/>
    <d v="2018-05-31T00:00:00"/>
    <d v="2018-06-15T00:00:00"/>
    <n v="162.75"/>
    <d v="2018-06-27T00:00:00"/>
    <n v="0"/>
    <s v="30-60 days"/>
    <s v="DOCXX"/>
    <x v="1"/>
    <s v="Invoice"/>
  </r>
  <r>
    <x v="9"/>
    <s v="SN"/>
    <s v="A"/>
    <n v="1"/>
    <n v="299.2"/>
    <n v="2351602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"/>
    <n v="1"/>
    <n v="299.2"/>
    <n v="2377095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"/>
    <n v="1"/>
    <n v="299.2"/>
    <n v="2405816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D"/>
    <n v="1"/>
    <n v="299.2"/>
    <n v="2415326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E"/>
    <n v="1"/>
    <n v="299.2"/>
    <n v="2541784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F"/>
    <n v="1"/>
    <n v="299.2"/>
    <n v="25866744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G"/>
    <n v="1"/>
    <n v="299.2"/>
    <n v="2685906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H"/>
    <n v="1"/>
    <n v="299.2"/>
    <n v="2740659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I"/>
    <n v="1"/>
    <n v="299.2"/>
    <n v="2747522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J"/>
    <n v="1"/>
    <n v="299.2"/>
    <n v="2751108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K"/>
    <n v="1"/>
    <n v="299.2"/>
    <n v="2755695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L"/>
    <n v="1"/>
    <n v="299.2"/>
    <n v="2760913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M"/>
    <n v="1"/>
    <n v="299.2"/>
    <n v="2760913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N"/>
    <n v="1"/>
    <n v="299.2"/>
    <n v="27609261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O"/>
    <n v="1"/>
    <n v="299.2"/>
    <n v="27629934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P"/>
    <n v="1"/>
    <n v="299.2"/>
    <n v="2765636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Q"/>
    <n v="1"/>
    <n v="299.2"/>
    <n v="27656481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R"/>
    <n v="1"/>
    <n v="299.2"/>
    <n v="2766548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S"/>
    <n v="1"/>
    <n v="299.2"/>
    <n v="2777987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T"/>
    <n v="1"/>
    <n v="299.2"/>
    <n v="2781902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U"/>
    <n v="1"/>
    <n v="299.2"/>
    <n v="2784097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V"/>
    <n v="1"/>
    <n v="299.2"/>
    <n v="2790899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W"/>
    <n v="1"/>
    <n v="299.2"/>
    <n v="2791972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X"/>
    <n v="1"/>
    <n v="299.2"/>
    <n v="2792079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Y"/>
    <n v="1"/>
    <n v="299.2"/>
    <n v="2820674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Z"/>
    <n v="1"/>
    <n v="299.2"/>
    <n v="2833059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A"/>
    <n v="1"/>
    <n v="299.2"/>
    <n v="28434103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B"/>
    <n v="1"/>
    <n v="299.2"/>
    <n v="28443652"/>
    <m/>
    <m/>
    <m/>
    <s v="Pool Shipment"/>
    <s v="Rental"/>
    <x v="5"/>
    <d v="2018-05-31T00:00:00"/>
    <d v="2018-06-15T00:00:00"/>
    <m/>
    <m/>
    <n v="299.2"/>
    <s v="30-60 days"/>
    <s v="DOCXX"/>
    <x v="0"/>
    <s v="Invoice"/>
  </r>
  <r>
    <x v="9"/>
    <s v="SN"/>
    <s v="AC"/>
    <n v="1"/>
    <n v="299.2"/>
    <n v="2851937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D"/>
    <n v="1"/>
    <n v="299.2"/>
    <n v="2865120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E"/>
    <n v="1"/>
    <n v="299.2"/>
    <n v="2867747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F"/>
    <n v="1"/>
    <n v="299.2"/>
    <n v="2874031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G"/>
    <n v="1"/>
    <n v="299.2"/>
    <n v="2884731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H"/>
    <n v="1"/>
    <n v="299.2"/>
    <n v="2942062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I"/>
    <n v="1"/>
    <n v="299.2"/>
    <n v="2942103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J"/>
    <n v="1"/>
    <n v="299.2"/>
    <n v="2947385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K"/>
    <n v="1"/>
    <n v="121.55"/>
    <n v="29746687"/>
    <m/>
    <m/>
    <m/>
    <s v="Pool Shipment"/>
    <s v="Rental"/>
    <x v="5"/>
    <d v="2018-05-31T00:00:00"/>
    <d v="2018-06-15T00:00:00"/>
    <n v="121.55"/>
    <d v="2018-06-27T00:00:00"/>
    <n v="0"/>
    <s v="30-60 days"/>
    <s v="DOCXX"/>
    <x v="0"/>
    <s v="Invoice"/>
  </r>
  <r>
    <x v="9"/>
    <s v="SN"/>
    <s v="AL"/>
    <n v="1"/>
    <n v="121.55"/>
    <n v="29773720"/>
    <m/>
    <m/>
    <m/>
    <s v="Pool Shipment"/>
    <s v="Rental"/>
    <x v="5"/>
    <d v="2018-05-31T00:00:00"/>
    <d v="2018-06-15T00:00:00"/>
    <n v="121.55"/>
    <d v="2018-06-27T00:00:00"/>
    <n v="0"/>
    <s v="30-60 days"/>
    <s v="DOCXX"/>
    <x v="0"/>
    <s v="Invoice"/>
  </r>
  <r>
    <x v="9"/>
    <s v="SN"/>
    <s v="AM"/>
    <n v="1"/>
    <n v="299.2"/>
    <n v="2987264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N"/>
    <n v="1"/>
    <n v="299.2"/>
    <n v="2987767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O"/>
    <n v="1"/>
    <n v="299.2"/>
    <n v="29953891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P"/>
    <n v="1"/>
    <n v="299.2"/>
    <n v="3025949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Q"/>
    <n v="1"/>
    <n v="299.2"/>
    <n v="3026050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R"/>
    <n v="1"/>
    <n v="299.2"/>
    <n v="30274933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S"/>
    <n v="1"/>
    <n v="299.2"/>
    <n v="30307894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T"/>
    <n v="1"/>
    <n v="299.2"/>
    <n v="3030861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U"/>
    <n v="1"/>
    <n v="299.2"/>
    <n v="3030861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V"/>
    <n v="1"/>
    <n v="299.2"/>
    <n v="3030861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W"/>
    <n v="1"/>
    <n v="299.2"/>
    <n v="3044841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X"/>
    <n v="1"/>
    <n v="299.2"/>
    <n v="30466964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Y"/>
    <n v="1"/>
    <n v="299.2"/>
    <n v="3047345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AZ"/>
    <n v="1"/>
    <n v="299.2"/>
    <n v="30573759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A"/>
    <n v="1"/>
    <n v="299.2"/>
    <n v="3058800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B"/>
    <n v="1"/>
    <n v="299.2"/>
    <n v="30668263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C"/>
    <n v="1"/>
    <n v="261.8"/>
    <n v="30691595"/>
    <m/>
    <m/>
    <m/>
    <s v="Pool Shipment"/>
    <s v="Rental"/>
    <x v="5"/>
    <d v="2018-05-31T00:00:00"/>
    <d v="2018-06-15T00:00:00"/>
    <n v="261.8"/>
    <d v="2018-06-27T00:00:00"/>
    <n v="0"/>
    <s v="30-60 days"/>
    <s v="DOCXX"/>
    <x v="0"/>
    <s v="Invoice"/>
  </r>
  <r>
    <x v="9"/>
    <s v="SN"/>
    <s v="BD"/>
    <n v="1"/>
    <n v="299.2"/>
    <n v="3070659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E"/>
    <n v="1"/>
    <n v="299.2"/>
    <n v="3070983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F"/>
    <n v="1"/>
    <n v="299.2"/>
    <n v="3070983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G"/>
    <n v="1"/>
    <n v="299.2"/>
    <n v="3071397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H"/>
    <n v="1"/>
    <n v="299.2"/>
    <n v="3072120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I"/>
    <n v="1"/>
    <n v="299.2"/>
    <n v="3073003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J"/>
    <n v="1"/>
    <n v="299.2"/>
    <n v="3073847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K"/>
    <n v="1"/>
    <n v="299.2"/>
    <n v="3077112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L"/>
    <n v="1"/>
    <n v="299.2"/>
    <n v="3078504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M"/>
    <n v="1"/>
    <n v="299.2"/>
    <n v="3078806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N"/>
    <n v="1"/>
    <n v="299.2"/>
    <n v="3078878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O"/>
    <n v="1"/>
    <n v="299.2"/>
    <n v="30839527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P"/>
    <n v="1"/>
    <n v="299.2"/>
    <n v="3085039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Q"/>
    <n v="1"/>
    <n v="299.2"/>
    <n v="3085039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R"/>
    <n v="1"/>
    <n v="299.2"/>
    <n v="3093999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S"/>
    <n v="1"/>
    <n v="299.2"/>
    <n v="3100308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T"/>
    <n v="1"/>
    <n v="299.2"/>
    <n v="31040260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U"/>
    <n v="1"/>
    <n v="299.2"/>
    <n v="31048611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V"/>
    <n v="1"/>
    <n v="299.2"/>
    <n v="3108148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W"/>
    <n v="1"/>
    <n v="299.2"/>
    <n v="3123663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X"/>
    <n v="1"/>
    <n v="299.2"/>
    <n v="31325411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Y"/>
    <n v="1"/>
    <n v="299.2"/>
    <n v="31334214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BZ"/>
    <n v="1"/>
    <n v="299.2"/>
    <n v="31473966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A"/>
    <n v="1"/>
    <n v="56.1"/>
    <n v="31496660"/>
    <m/>
    <m/>
    <m/>
    <s v="Pool Shipment"/>
    <s v="Rental"/>
    <x v="5"/>
    <d v="2018-05-31T00:00:00"/>
    <d v="2018-06-15T00:00:00"/>
    <n v="56.1"/>
    <d v="2018-06-27T00:00:00"/>
    <n v="0"/>
    <s v="30-60 days"/>
    <s v="DOCXX"/>
    <x v="0"/>
    <s v="Invoice"/>
  </r>
  <r>
    <x v="9"/>
    <s v="SN"/>
    <s v="CB"/>
    <n v="1"/>
    <n v="299.2"/>
    <n v="3151988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C"/>
    <n v="1"/>
    <n v="299.2"/>
    <n v="31612063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D"/>
    <n v="1"/>
    <n v="299.2"/>
    <n v="3173205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E"/>
    <n v="1"/>
    <n v="299.2"/>
    <n v="31759383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F"/>
    <n v="1"/>
    <n v="252.45"/>
    <n v="31790911"/>
    <m/>
    <m/>
    <m/>
    <s v="Pool Shipment"/>
    <s v="Rental"/>
    <x v="5"/>
    <d v="2018-05-31T00:00:00"/>
    <d v="2018-06-15T00:00:00"/>
    <n v="252.45"/>
    <d v="2018-06-27T00:00:00"/>
    <n v="0"/>
    <s v="30-60 days"/>
    <s v="DOCXX"/>
    <x v="0"/>
    <s v="Invoice"/>
  </r>
  <r>
    <x v="9"/>
    <s v="SN"/>
    <s v="CG"/>
    <n v="1"/>
    <n v="65.45"/>
    <n v="31800079"/>
    <m/>
    <m/>
    <m/>
    <s v="Pool Shipment"/>
    <s v="Rental"/>
    <x v="5"/>
    <d v="2018-05-31T00:00:00"/>
    <d v="2018-06-15T00:00:00"/>
    <m/>
    <m/>
    <n v="65.45"/>
    <s v="30-60 days"/>
    <s v="DOCXX"/>
    <x v="0"/>
    <s v="Invoice"/>
  </r>
  <r>
    <x v="9"/>
    <s v="SN"/>
    <s v="CH"/>
    <n v="1"/>
    <n v="112.2"/>
    <n v="31845285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CI"/>
    <n v="1"/>
    <n v="299.2"/>
    <n v="31865682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J"/>
    <n v="1"/>
    <n v="299.2"/>
    <n v="31866188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K"/>
    <n v="1"/>
    <n v="299.2"/>
    <n v="31897935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CL"/>
    <n v="1"/>
    <n v="102.85"/>
    <n v="31899302"/>
    <m/>
    <m/>
    <m/>
    <s v="Pool Shipment"/>
    <s v="Rental"/>
    <x v="5"/>
    <d v="2018-05-31T00:00:00"/>
    <d v="2018-06-15T00:00:00"/>
    <n v="102.85"/>
    <d v="2018-06-27T00:00:00"/>
    <n v="0"/>
    <s v="30-60 days"/>
    <s v="DOCXX"/>
    <x v="0"/>
    <s v="Invoice"/>
  </r>
  <r>
    <x v="9"/>
    <s v="SN"/>
    <s v="CM"/>
    <n v="1"/>
    <n v="102.85"/>
    <n v="31899303"/>
    <m/>
    <m/>
    <m/>
    <s v="Pool Shipment"/>
    <s v="Rental"/>
    <x v="5"/>
    <d v="2018-05-31T00:00:00"/>
    <d v="2018-06-15T00:00:00"/>
    <n v="102.85"/>
    <d v="2018-06-27T00:00:00"/>
    <n v="0"/>
    <s v="30-60 days"/>
    <s v="DOCXX"/>
    <x v="0"/>
    <s v="Invoice"/>
  </r>
  <r>
    <x v="9"/>
    <s v="SN"/>
    <s v="CN"/>
    <n v="1"/>
    <n v="112.2"/>
    <n v="31899305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CO"/>
    <n v="1"/>
    <n v="102.85"/>
    <n v="31899306"/>
    <m/>
    <m/>
    <m/>
    <s v="Pool Shipment"/>
    <s v="Rental"/>
    <x v="5"/>
    <d v="2018-05-31T00:00:00"/>
    <d v="2018-06-15T00:00:00"/>
    <n v="102.85"/>
    <d v="2018-06-27T00:00:00"/>
    <n v="0"/>
    <s v="30-60 days"/>
    <s v="DOCXX"/>
    <x v="0"/>
    <s v="Invoice"/>
  </r>
  <r>
    <x v="9"/>
    <s v="SN"/>
    <s v="CP"/>
    <n v="1"/>
    <n v="102.85"/>
    <n v="31899309"/>
    <m/>
    <m/>
    <m/>
    <s v="Pool Shipment"/>
    <s v="Rental"/>
    <x v="5"/>
    <d v="2018-05-31T00:00:00"/>
    <d v="2018-06-15T00:00:00"/>
    <n v="102.85"/>
    <d v="2018-06-27T00:00:00"/>
    <n v="0"/>
    <s v="30-60 days"/>
    <s v="DOCXX"/>
    <x v="0"/>
    <s v="Invoice"/>
  </r>
  <r>
    <x v="9"/>
    <s v="SN"/>
    <s v="CQ"/>
    <n v="1"/>
    <n v="112.2"/>
    <n v="31899310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CR"/>
    <n v="1"/>
    <n v="112.2"/>
    <n v="31899311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CS"/>
    <n v="1"/>
    <n v="252.45"/>
    <n v="31899312"/>
    <m/>
    <m/>
    <m/>
    <s v="Pool Shipment"/>
    <s v="Rental"/>
    <x v="5"/>
    <d v="2018-05-31T00:00:00"/>
    <d v="2018-06-15T00:00:00"/>
    <n v="252.45"/>
    <d v="2018-06-27T00:00:00"/>
    <n v="0"/>
    <s v="30-60 days"/>
    <s v="DOCXX"/>
    <x v="0"/>
    <s v="Invoice"/>
  </r>
  <r>
    <x v="9"/>
    <s v="SN"/>
    <s v="CT"/>
    <n v="1"/>
    <n v="243.1"/>
    <n v="31899313"/>
    <m/>
    <m/>
    <m/>
    <s v="Pool Shipment"/>
    <s v="Rental"/>
    <x v="5"/>
    <d v="2018-05-31T00:00:00"/>
    <d v="2018-06-15T00:00:00"/>
    <n v="243.1"/>
    <d v="2018-06-27T00:00:00"/>
    <n v="0"/>
    <s v="30-60 days"/>
    <s v="DOCXX"/>
    <x v="0"/>
    <s v="Invoice"/>
  </r>
  <r>
    <x v="9"/>
    <s v="SN"/>
    <s v="CU"/>
    <n v="1"/>
    <n v="158.94999999999999"/>
    <n v="31899314"/>
    <m/>
    <m/>
    <m/>
    <s v="Pool Shipment"/>
    <s v="Rental"/>
    <x v="5"/>
    <d v="2018-05-31T00:00:00"/>
    <d v="2018-06-15T00:00:00"/>
    <n v="158.94999999999999"/>
    <d v="2018-06-27T00:00:00"/>
    <n v="0"/>
    <s v="30-60 days"/>
    <s v="DOCXX"/>
    <x v="0"/>
    <s v="Invoice"/>
  </r>
  <r>
    <x v="9"/>
    <s v="SN"/>
    <s v="CV"/>
    <n v="1"/>
    <n v="102.85"/>
    <n v="31899315"/>
    <m/>
    <m/>
    <m/>
    <s v="Pool Shipment"/>
    <s v="Rental"/>
    <x v="5"/>
    <d v="2018-05-31T00:00:00"/>
    <d v="2018-06-15T00:00:00"/>
    <n v="102.85"/>
    <d v="2018-06-27T00:00:00"/>
    <n v="0"/>
    <s v="30-60 days"/>
    <s v="DOCXX"/>
    <x v="0"/>
    <s v="Invoice"/>
  </r>
  <r>
    <x v="9"/>
    <s v="SN"/>
    <s v="CW"/>
    <n v="1"/>
    <n v="93.5"/>
    <n v="31899316"/>
    <m/>
    <m/>
    <m/>
    <s v="Pool Shipment"/>
    <s v="Rental"/>
    <x v="5"/>
    <d v="2018-05-31T00:00:00"/>
    <d v="2018-06-15T00:00:00"/>
    <n v="93.5"/>
    <d v="2018-06-27T00:00:00"/>
    <n v="0"/>
    <s v="30-60 days"/>
    <s v="DOCXX"/>
    <x v="0"/>
    <s v="Invoice"/>
  </r>
  <r>
    <x v="9"/>
    <s v="SN"/>
    <s v="CX"/>
    <n v="1"/>
    <n v="196.35"/>
    <n v="31899317"/>
    <m/>
    <m/>
    <m/>
    <s v="Pool Shipment"/>
    <s v="Rental"/>
    <x v="5"/>
    <d v="2018-05-31T00:00:00"/>
    <d v="2018-06-15T00:00:00"/>
    <n v="196.35"/>
    <d v="2018-06-27T00:00:00"/>
    <n v="0"/>
    <s v="30-60 days"/>
    <s v="DOCXX"/>
    <x v="0"/>
    <s v="Invoice"/>
  </r>
  <r>
    <x v="9"/>
    <s v="SN"/>
    <s v="CY"/>
    <n v="1"/>
    <n v="93.5"/>
    <n v="31899318"/>
    <m/>
    <m/>
    <m/>
    <s v="Pool Shipment"/>
    <s v="Rental"/>
    <x v="5"/>
    <d v="2018-05-31T00:00:00"/>
    <d v="2018-06-15T00:00:00"/>
    <n v="93.5"/>
    <d v="2018-06-27T00:00:00"/>
    <n v="0"/>
    <s v="30-60 days"/>
    <s v="DOCXX"/>
    <x v="0"/>
    <s v="Invoice"/>
  </r>
  <r>
    <x v="9"/>
    <s v="SN"/>
    <s v="CZ"/>
    <n v="1"/>
    <n v="84.15"/>
    <n v="31899319"/>
    <m/>
    <m/>
    <m/>
    <s v="Pool Shipment"/>
    <s v="Rental"/>
    <x v="5"/>
    <d v="2018-05-31T00:00:00"/>
    <d v="2018-06-15T00:00:00"/>
    <n v="84.15"/>
    <d v="2018-06-27T00:00:00"/>
    <n v="0"/>
    <s v="30-60 days"/>
    <s v="DOCXX"/>
    <x v="0"/>
    <s v="Invoice"/>
  </r>
  <r>
    <x v="9"/>
    <s v="SN"/>
    <s v="DA"/>
    <n v="1"/>
    <n v="149.6"/>
    <n v="31899320"/>
    <m/>
    <m/>
    <m/>
    <s v="Pool Shipment"/>
    <s v="Rental"/>
    <x v="5"/>
    <d v="2018-05-31T00:00:00"/>
    <d v="2018-06-15T00:00:00"/>
    <n v="149.6"/>
    <d v="2018-06-27T00:00:00"/>
    <n v="0"/>
    <s v="30-60 days"/>
    <s v="DOCXX"/>
    <x v="0"/>
    <s v="Invoice"/>
  </r>
  <r>
    <x v="9"/>
    <s v="SN"/>
    <s v="DB"/>
    <n v="1"/>
    <n v="102.85"/>
    <n v="31899321"/>
    <m/>
    <m/>
    <m/>
    <s v="Pool Shipment"/>
    <s v="Rental"/>
    <x v="5"/>
    <d v="2018-05-31T00:00:00"/>
    <d v="2018-06-15T00:00:00"/>
    <n v="102.85"/>
    <d v="2018-06-27T00:00:00"/>
    <n v="0"/>
    <s v="30-60 days"/>
    <s v="DOCXX"/>
    <x v="0"/>
    <s v="Invoice"/>
  </r>
  <r>
    <x v="9"/>
    <s v="SN"/>
    <s v="DC"/>
    <n v="1"/>
    <n v="205.7"/>
    <n v="31900039"/>
    <m/>
    <m/>
    <m/>
    <s v="Pool Shipment"/>
    <s v="Rental"/>
    <x v="5"/>
    <d v="2018-05-31T00:00:00"/>
    <d v="2018-06-15T00:00:00"/>
    <n v="205.7"/>
    <d v="2018-06-27T00:00:00"/>
    <n v="0"/>
    <s v="30-60 days"/>
    <s v="DOCXX"/>
    <x v="0"/>
    <s v="Invoice"/>
  </r>
  <r>
    <x v="9"/>
    <s v="SN"/>
    <s v="DD"/>
    <n v="1"/>
    <n v="224.4"/>
    <n v="31900070"/>
    <m/>
    <m/>
    <m/>
    <s v="Pool Shipment"/>
    <s v="Rental"/>
    <x v="5"/>
    <d v="2018-05-31T00:00:00"/>
    <d v="2018-06-15T00:00:00"/>
    <n v="224.4"/>
    <d v="2018-06-27T00:00:00"/>
    <n v="0"/>
    <s v="30-60 days"/>
    <s v="DOCXX"/>
    <x v="0"/>
    <s v="Invoice"/>
  </r>
  <r>
    <x v="9"/>
    <s v="SN"/>
    <s v="DE"/>
    <n v="1"/>
    <n v="93.5"/>
    <n v="31900071"/>
    <m/>
    <m/>
    <m/>
    <s v="Pool Shipment"/>
    <s v="Rental"/>
    <x v="5"/>
    <d v="2018-05-31T00:00:00"/>
    <d v="2018-06-15T00:00:00"/>
    <n v="93.5"/>
    <d v="2018-06-27T00:00:00"/>
    <n v="0"/>
    <s v="30-60 days"/>
    <s v="DOCXX"/>
    <x v="0"/>
    <s v="Invoice"/>
  </r>
  <r>
    <x v="9"/>
    <s v="SN"/>
    <s v="DF"/>
    <n v="1"/>
    <n v="215.05"/>
    <n v="31900073"/>
    <m/>
    <m/>
    <m/>
    <s v="Pool Shipment"/>
    <s v="Rental"/>
    <x v="5"/>
    <d v="2018-05-31T00:00:00"/>
    <d v="2018-06-15T00:00:00"/>
    <n v="215.05"/>
    <d v="2018-06-27T00:00:00"/>
    <n v="0"/>
    <s v="30-60 days"/>
    <s v="DOCXX"/>
    <x v="0"/>
    <s v="Invoice"/>
  </r>
  <r>
    <x v="9"/>
    <s v="SN"/>
    <s v="DG"/>
    <n v="1"/>
    <n v="205.7"/>
    <n v="31900074"/>
    <m/>
    <m/>
    <m/>
    <s v="Pool Shipment"/>
    <s v="Rental"/>
    <x v="5"/>
    <d v="2018-05-31T00:00:00"/>
    <d v="2018-06-15T00:00:00"/>
    <n v="205.7"/>
    <d v="2018-06-27T00:00:00"/>
    <n v="0"/>
    <s v="30-60 days"/>
    <s v="DOCXX"/>
    <x v="0"/>
    <s v="Invoice"/>
  </r>
  <r>
    <x v="9"/>
    <s v="SN"/>
    <s v="DH"/>
    <n v="1"/>
    <n v="205.7"/>
    <n v="31900075"/>
    <m/>
    <m/>
    <m/>
    <s v="Pool Shipment"/>
    <s v="Rental"/>
    <x v="5"/>
    <d v="2018-05-31T00:00:00"/>
    <d v="2018-06-15T00:00:00"/>
    <n v="205.7"/>
    <d v="2018-06-27T00:00:00"/>
    <n v="0"/>
    <s v="30-60 days"/>
    <s v="DOCXX"/>
    <x v="0"/>
    <s v="Invoice"/>
  </r>
  <r>
    <x v="9"/>
    <s v="SN"/>
    <s v="DI"/>
    <n v="1"/>
    <n v="196.35"/>
    <n v="31900076"/>
    <m/>
    <m/>
    <m/>
    <s v="Pool Shipment"/>
    <s v="Rental"/>
    <x v="5"/>
    <d v="2018-05-31T00:00:00"/>
    <d v="2018-06-15T00:00:00"/>
    <n v="196.35"/>
    <d v="2018-06-27T00:00:00"/>
    <n v="0"/>
    <s v="30-60 days"/>
    <s v="DOCXX"/>
    <x v="0"/>
    <s v="Invoice"/>
  </r>
  <r>
    <x v="9"/>
    <s v="SN"/>
    <s v="DJ"/>
    <n v="1"/>
    <n v="196.35"/>
    <n v="31900077"/>
    <m/>
    <m/>
    <m/>
    <s v="Pool Shipment"/>
    <s v="Rental"/>
    <x v="5"/>
    <d v="2018-05-31T00:00:00"/>
    <d v="2018-06-15T00:00:00"/>
    <n v="196.35"/>
    <d v="2018-06-27T00:00:00"/>
    <n v="0"/>
    <s v="30-60 days"/>
    <s v="DOCXX"/>
    <x v="0"/>
    <s v="Invoice"/>
  </r>
  <r>
    <x v="9"/>
    <s v="SN"/>
    <s v="DK"/>
    <n v="1"/>
    <n v="187"/>
    <n v="31900078"/>
    <m/>
    <m/>
    <m/>
    <s v="Pool Shipment"/>
    <s v="Rental"/>
    <x v="5"/>
    <d v="2018-05-31T00:00:00"/>
    <d v="2018-06-15T00:00:00"/>
    <n v="187"/>
    <d v="2018-06-27T00:00:00"/>
    <n v="0"/>
    <s v="30-60 days"/>
    <s v="DOCXX"/>
    <x v="0"/>
    <s v="Invoice"/>
  </r>
  <r>
    <x v="9"/>
    <s v="SN"/>
    <s v="DL"/>
    <n v="1"/>
    <n v="130.9"/>
    <n v="31900082"/>
    <m/>
    <m/>
    <m/>
    <s v="Pool Shipment"/>
    <s v="Rental"/>
    <x v="5"/>
    <d v="2018-05-31T00:00:00"/>
    <d v="2018-06-15T00:00:00"/>
    <n v="130.9"/>
    <d v="2018-06-27T00:00:00"/>
    <n v="0"/>
    <s v="30-60 days"/>
    <s v="DOCXX"/>
    <x v="0"/>
    <s v="Invoice"/>
  </r>
  <r>
    <x v="9"/>
    <s v="SN"/>
    <s v="DM"/>
    <n v="1"/>
    <n v="130.9"/>
    <n v="31935711"/>
    <m/>
    <m/>
    <m/>
    <s v="Pool Shipment"/>
    <s v="Rental"/>
    <x v="5"/>
    <d v="2018-05-31T00:00:00"/>
    <d v="2018-06-15T00:00:00"/>
    <n v="130.9"/>
    <d v="2018-06-27T00:00:00"/>
    <n v="0"/>
    <s v="30-60 days"/>
    <s v="DOCXX"/>
    <x v="0"/>
    <s v="Invoice"/>
  </r>
  <r>
    <x v="9"/>
    <s v="SN"/>
    <s v="DN"/>
    <n v="1"/>
    <n v="233.75"/>
    <n v="31943809"/>
    <m/>
    <m/>
    <m/>
    <s v="Pool Shipment"/>
    <s v="Rental"/>
    <x v="5"/>
    <d v="2018-05-31T00:00:00"/>
    <d v="2018-06-15T00:00:00"/>
    <n v="233.75"/>
    <d v="2018-06-27T00:00:00"/>
    <n v="0"/>
    <s v="30-60 days"/>
    <s v="DOCXX"/>
    <x v="0"/>
    <s v="Invoice"/>
  </r>
  <r>
    <x v="9"/>
    <s v="SN"/>
    <s v="DO"/>
    <n v="1"/>
    <n v="112.2"/>
    <n v="31944807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DP"/>
    <n v="1"/>
    <n v="205.7"/>
    <n v="31952595"/>
    <m/>
    <m/>
    <m/>
    <s v="Pool Shipment"/>
    <s v="Rental"/>
    <x v="5"/>
    <d v="2018-05-31T00:00:00"/>
    <d v="2018-06-15T00:00:00"/>
    <n v="205.7"/>
    <d v="2018-06-27T00:00:00"/>
    <n v="0"/>
    <s v="30-60 days"/>
    <s v="DOCXX"/>
    <x v="0"/>
    <s v="Invoice"/>
  </r>
  <r>
    <x v="9"/>
    <s v="SN"/>
    <s v="DQ"/>
    <n v="1"/>
    <n v="93.5"/>
    <n v="31963082"/>
    <m/>
    <m/>
    <m/>
    <s v="Pool Shipment"/>
    <s v="Rental"/>
    <x v="5"/>
    <d v="2018-05-31T00:00:00"/>
    <d v="2018-06-15T00:00:00"/>
    <n v="93.5"/>
    <d v="2018-06-27T00:00:00"/>
    <n v="0"/>
    <s v="30-60 days"/>
    <s v="DOCXX"/>
    <x v="0"/>
    <s v="Invoice"/>
  </r>
  <r>
    <x v="9"/>
    <s v="SN"/>
    <s v="DR"/>
    <n v="1"/>
    <n v="261.8"/>
    <n v="31990232"/>
    <m/>
    <m/>
    <m/>
    <s v="Pool Shipment"/>
    <s v="Rental"/>
    <x v="5"/>
    <d v="2018-05-31T00:00:00"/>
    <d v="2018-06-15T00:00:00"/>
    <n v="261.8"/>
    <d v="2018-06-27T00:00:00"/>
    <n v="0"/>
    <s v="30-60 days"/>
    <s v="DOCXX"/>
    <x v="0"/>
    <s v="Invoice"/>
  </r>
  <r>
    <x v="9"/>
    <s v="SN"/>
    <s v="DS"/>
    <n v="1"/>
    <n v="299.2"/>
    <n v="31993483"/>
    <m/>
    <m/>
    <m/>
    <s v="Pool Shipment"/>
    <s v="Rental"/>
    <x v="5"/>
    <d v="2018-05-31T00:00:00"/>
    <d v="2018-06-15T00:00:00"/>
    <n v="299.2"/>
    <d v="2018-06-27T00:00:00"/>
    <n v="0"/>
    <s v="30-60 days"/>
    <s v="DOCXX"/>
    <x v="0"/>
    <s v="Invoice"/>
  </r>
  <r>
    <x v="9"/>
    <s v="SN"/>
    <s v="DT"/>
    <n v="1"/>
    <n v="187"/>
    <n v="31993484"/>
    <m/>
    <m/>
    <m/>
    <s v="Pool Shipment"/>
    <s v="Rental"/>
    <x v="5"/>
    <d v="2018-05-31T00:00:00"/>
    <d v="2018-06-15T00:00:00"/>
    <n v="187"/>
    <d v="2018-06-27T00:00:00"/>
    <n v="0"/>
    <s v="30-60 days"/>
    <s v="DOCXX"/>
    <x v="0"/>
    <s v="Invoice"/>
  </r>
  <r>
    <x v="9"/>
    <s v="SN"/>
    <s v="DU"/>
    <n v="1"/>
    <n v="65.45"/>
    <n v="31998971"/>
    <m/>
    <m/>
    <m/>
    <s v="Pool Shipment"/>
    <s v="Rental"/>
    <x v="5"/>
    <d v="2018-05-31T00:00:00"/>
    <d v="2018-06-15T00:00:00"/>
    <n v="65.45"/>
    <d v="2018-06-27T00:00:00"/>
    <n v="0"/>
    <s v="30-60 days"/>
    <s v="DOCXX"/>
    <x v="0"/>
    <s v="Invoice"/>
  </r>
  <r>
    <x v="9"/>
    <s v="SN"/>
    <s v="DV"/>
    <n v="1"/>
    <n v="121.55"/>
    <n v="32002914"/>
    <m/>
    <m/>
    <m/>
    <s v="Pool Shipment"/>
    <s v="Rental"/>
    <x v="5"/>
    <d v="2018-05-31T00:00:00"/>
    <d v="2018-06-15T00:00:00"/>
    <n v="121.55"/>
    <d v="2018-06-27T00:00:00"/>
    <n v="0"/>
    <s v="30-60 days"/>
    <s v="DOCXX"/>
    <x v="0"/>
    <s v="Invoice"/>
  </r>
  <r>
    <x v="9"/>
    <s v="SN"/>
    <s v="DW"/>
    <n v="1"/>
    <n v="149.6"/>
    <n v="32002915"/>
    <m/>
    <m/>
    <m/>
    <s v="Pool Shipment"/>
    <s v="Rental"/>
    <x v="5"/>
    <d v="2018-05-31T00:00:00"/>
    <d v="2018-06-15T00:00:00"/>
    <n v="149.6"/>
    <d v="2018-06-27T00:00:00"/>
    <n v="0"/>
    <s v="30-60 days"/>
    <s v="DOCXX"/>
    <x v="0"/>
    <s v="Invoice"/>
  </r>
  <r>
    <x v="9"/>
    <s v="SN"/>
    <s v="DX"/>
    <n v="1"/>
    <n v="271.14999999999998"/>
    <n v="32003071"/>
    <m/>
    <m/>
    <m/>
    <s v="Pool Shipment"/>
    <s v="Rental"/>
    <x v="5"/>
    <d v="2018-05-31T00:00:00"/>
    <d v="2018-06-15T00:00:00"/>
    <n v="271.14999999999998"/>
    <d v="2018-06-27T00:00:00"/>
    <n v="0"/>
    <s v="30-60 days"/>
    <s v="DOCXX"/>
    <x v="0"/>
    <s v="Invoice"/>
  </r>
  <r>
    <x v="9"/>
    <s v="SN"/>
    <s v="DY"/>
    <n v="1"/>
    <n v="140.25"/>
    <n v="32003072"/>
    <m/>
    <m/>
    <m/>
    <s v="Pool Shipment"/>
    <s v="Rental"/>
    <x v="5"/>
    <d v="2018-05-31T00:00:00"/>
    <d v="2018-06-15T00:00:00"/>
    <n v="140.25"/>
    <d v="2018-06-27T00:00:00"/>
    <n v="0"/>
    <s v="30-60 days"/>
    <s v="DOCXX"/>
    <x v="0"/>
    <s v="Invoice"/>
  </r>
  <r>
    <x v="9"/>
    <s v="SN"/>
    <s v="DZ"/>
    <n v="1"/>
    <n v="280.5"/>
    <n v="32003073"/>
    <m/>
    <m/>
    <m/>
    <s v="Pool Shipment"/>
    <s v="Rental"/>
    <x v="5"/>
    <d v="2018-05-31T00:00:00"/>
    <d v="2018-06-15T00:00:00"/>
    <n v="280.5"/>
    <d v="2018-06-27T00:00:00"/>
    <n v="0"/>
    <s v="30-60 days"/>
    <s v="DOCXX"/>
    <x v="0"/>
    <s v="Invoice"/>
  </r>
  <r>
    <x v="9"/>
    <s v="SN"/>
    <s v="EA"/>
    <n v="1"/>
    <n v="280.5"/>
    <n v="32003073"/>
    <m/>
    <m/>
    <m/>
    <s v="Pool Shipment"/>
    <s v="Rental"/>
    <x v="5"/>
    <d v="2018-05-31T00:00:00"/>
    <d v="2018-06-15T00:00:00"/>
    <n v="280.5"/>
    <d v="2018-06-27T00:00:00"/>
    <n v="0"/>
    <s v="30-60 days"/>
    <s v="DOCXX"/>
    <x v="0"/>
    <s v="Invoice"/>
  </r>
  <r>
    <x v="9"/>
    <s v="SN"/>
    <s v="EB"/>
    <n v="1"/>
    <n v="280.5"/>
    <n v="32003074"/>
    <m/>
    <m/>
    <m/>
    <s v="Pool Shipment"/>
    <s v="Rental"/>
    <x v="5"/>
    <d v="2018-05-31T00:00:00"/>
    <d v="2018-06-15T00:00:00"/>
    <n v="280.5"/>
    <d v="2018-06-27T00:00:00"/>
    <n v="0"/>
    <s v="30-60 days"/>
    <s v="DOCXX"/>
    <x v="0"/>
    <s v="Invoice"/>
  </r>
  <r>
    <x v="9"/>
    <s v="SN"/>
    <s v="EC"/>
    <n v="1"/>
    <n v="280.5"/>
    <n v="32003074"/>
    <m/>
    <m/>
    <m/>
    <s v="Pool Shipment"/>
    <s v="Rental"/>
    <x v="5"/>
    <d v="2018-05-31T00:00:00"/>
    <d v="2018-06-15T00:00:00"/>
    <n v="280.5"/>
    <d v="2018-06-27T00:00:00"/>
    <n v="0"/>
    <s v="30-60 days"/>
    <s v="DOCXX"/>
    <x v="0"/>
    <s v="Invoice"/>
  </r>
  <r>
    <x v="9"/>
    <s v="SN"/>
    <s v="ED"/>
    <n v="1"/>
    <n v="280.5"/>
    <n v="32003075"/>
    <m/>
    <m/>
    <m/>
    <s v="Pool Shipment"/>
    <s v="Rental"/>
    <x v="5"/>
    <d v="2018-05-31T00:00:00"/>
    <d v="2018-06-15T00:00:00"/>
    <n v="280.5"/>
    <d v="2018-06-27T00:00:00"/>
    <n v="0"/>
    <s v="30-60 days"/>
    <s v="DOCXX"/>
    <x v="0"/>
    <s v="Invoice"/>
  </r>
  <r>
    <x v="9"/>
    <s v="SN"/>
    <s v="EE"/>
    <n v="1"/>
    <n v="177.65"/>
    <n v="32009397"/>
    <m/>
    <m/>
    <m/>
    <s v="Pool Shipment"/>
    <s v="Rental"/>
    <x v="5"/>
    <d v="2018-05-31T00:00:00"/>
    <d v="2018-06-15T00:00:00"/>
    <n v="177.65"/>
    <d v="2018-06-27T00:00:00"/>
    <n v="0"/>
    <s v="30-60 days"/>
    <s v="DOCXX"/>
    <x v="0"/>
    <s v="Invoice"/>
  </r>
  <r>
    <x v="9"/>
    <s v="SN"/>
    <s v="EF"/>
    <n v="1"/>
    <n v="149.6"/>
    <n v="32018737"/>
    <m/>
    <m/>
    <m/>
    <s v="Pool Shipment"/>
    <s v="Rental"/>
    <x v="5"/>
    <d v="2018-05-31T00:00:00"/>
    <d v="2018-06-15T00:00:00"/>
    <n v="149.6"/>
    <d v="2018-06-27T00:00:00"/>
    <n v="0"/>
    <s v="30-60 days"/>
    <s v="DOCXX"/>
    <x v="0"/>
    <s v="Invoice"/>
  </r>
  <r>
    <x v="9"/>
    <s v="SN"/>
    <s v="EG"/>
    <n v="1"/>
    <n v="271.14999999999998"/>
    <n v="32020318"/>
    <m/>
    <m/>
    <m/>
    <s v="Pool Shipment"/>
    <s v="Rental"/>
    <x v="5"/>
    <d v="2018-05-31T00:00:00"/>
    <d v="2018-06-15T00:00:00"/>
    <n v="271.14999999999998"/>
    <d v="2018-06-27T00:00:00"/>
    <n v="0"/>
    <s v="30-60 days"/>
    <s v="DOCXX"/>
    <x v="0"/>
    <s v="Invoice"/>
  </r>
  <r>
    <x v="9"/>
    <s v="SN"/>
    <s v="EH"/>
    <n v="1"/>
    <n v="252.45"/>
    <n v="32020756"/>
    <m/>
    <m/>
    <m/>
    <s v="Pool Shipment"/>
    <s v="Rental"/>
    <x v="5"/>
    <d v="2018-05-31T00:00:00"/>
    <d v="2018-06-15T00:00:00"/>
    <n v="252.45"/>
    <d v="2018-06-27T00:00:00"/>
    <n v="0"/>
    <s v="30-60 days"/>
    <s v="DOCXX"/>
    <x v="0"/>
    <s v="Invoice"/>
  </r>
  <r>
    <x v="9"/>
    <s v="SN"/>
    <s v="EI"/>
    <n v="1"/>
    <n v="130.9"/>
    <n v="32021268"/>
    <m/>
    <m/>
    <m/>
    <s v="Pool Shipment"/>
    <s v="Rental"/>
    <x v="5"/>
    <d v="2018-05-31T00:00:00"/>
    <d v="2018-06-15T00:00:00"/>
    <n v="130.9"/>
    <d v="2018-06-27T00:00:00"/>
    <n v="0"/>
    <s v="30-60 days"/>
    <s v="DOCXX"/>
    <x v="0"/>
    <s v="Invoice"/>
  </r>
  <r>
    <x v="9"/>
    <s v="SN"/>
    <s v="EJ"/>
    <n v="1"/>
    <n v="140.25"/>
    <n v="32021269"/>
    <m/>
    <m/>
    <m/>
    <s v="Pool Shipment"/>
    <s v="Rental"/>
    <x v="5"/>
    <d v="2018-05-31T00:00:00"/>
    <d v="2018-06-15T00:00:00"/>
    <n v="140.25"/>
    <d v="2018-06-27T00:00:00"/>
    <n v="0"/>
    <s v="30-60 days"/>
    <s v="DOCXX"/>
    <x v="0"/>
    <s v="Invoice"/>
  </r>
  <r>
    <x v="9"/>
    <s v="SN"/>
    <s v="EK"/>
    <n v="1"/>
    <n v="74.8"/>
    <n v="32021721"/>
    <m/>
    <m/>
    <m/>
    <s v="Pool Shipment"/>
    <s v="Rental"/>
    <x v="5"/>
    <d v="2018-05-31T00:00:00"/>
    <d v="2018-06-15T00:00:00"/>
    <n v="74.8"/>
    <d v="2018-06-27T00:00:00"/>
    <n v="0"/>
    <s v="30-60 days"/>
    <s v="DOCXX"/>
    <x v="0"/>
    <s v="Invoice"/>
  </r>
  <r>
    <x v="9"/>
    <s v="SN"/>
    <s v="EL"/>
    <n v="1"/>
    <n v="130.9"/>
    <n v="32042671"/>
    <m/>
    <m/>
    <m/>
    <s v="Pool Shipment"/>
    <s v="Rental"/>
    <x v="5"/>
    <d v="2018-05-31T00:00:00"/>
    <d v="2018-06-15T00:00:00"/>
    <n v="130.9"/>
    <d v="2018-06-27T00:00:00"/>
    <n v="0"/>
    <s v="30-60 days"/>
    <s v="DOCXX"/>
    <x v="0"/>
    <s v="Invoice"/>
  </r>
  <r>
    <x v="9"/>
    <s v="SN"/>
    <s v="EM"/>
    <n v="1"/>
    <n v="215.05"/>
    <n v="32043109"/>
    <m/>
    <m/>
    <m/>
    <s v="Pool Shipment"/>
    <s v="Rental"/>
    <x v="5"/>
    <d v="2018-05-31T00:00:00"/>
    <d v="2018-06-15T00:00:00"/>
    <n v="215.05"/>
    <d v="2018-06-27T00:00:00"/>
    <n v="0"/>
    <s v="30-60 days"/>
    <s v="DOCXX"/>
    <x v="0"/>
    <s v="Invoice"/>
  </r>
  <r>
    <x v="9"/>
    <s v="SN"/>
    <s v="EN"/>
    <n v="1"/>
    <n v="121.55"/>
    <n v="32055916"/>
    <m/>
    <m/>
    <m/>
    <s v="Pool Shipment"/>
    <s v="Rental"/>
    <x v="5"/>
    <d v="2018-05-31T00:00:00"/>
    <d v="2018-06-15T00:00:00"/>
    <n v="121.55"/>
    <d v="2018-06-27T00:00:00"/>
    <n v="0"/>
    <s v="30-60 days"/>
    <s v="DOCXX"/>
    <x v="0"/>
    <s v="Invoice"/>
  </r>
  <r>
    <x v="9"/>
    <s v="SN"/>
    <s v="EO"/>
    <n v="1"/>
    <n v="74.8"/>
    <n v="32055917"/>
    <m/>
    <m/>
    <m/>
    <s v="Pool Shipment"/>
    <s v="Rental"/>
    <x v="5"/>
    <d v="2018-05-31T00:00:00"/>
    <d v="2018-06-15T00:00:00"/>
    <n v="74.8"/>
    <d v="2018-06-27T00:00:00"/>
    <n v="0"/>
    <s v="30-60 days"/>
    <s v="DOCXX"/>
    <x v="0"/>
    <s v="Invoice"/>
  </r>
  <r>
    <x v="9"/>
    <s v="SN"/>
    <s v="EP"/>
    <n v="1"/>
    <n v="187"/>
    <n v="32055919"/>
    <m/>
    <m/>
    <m/>
    <s v="Pool Shipment"/>
    <s v="Rental"/>
    <x v="5"/>
    <d v="2018-05-31T00:00:00"/>
    <d v="2018-06-15T00:00:00"/>
    <n v="187"/>
    <d v="2018-06-27T00:00:00"/>
    <n v="0"/>
    <s v="30-60 days"/>
    <s v="DOCXX"/>
    <x v="0"/>
    <s v="Invoice"/>
  </r>
  <r>
    <x v="9"/>
    <s v="SN"/>
    <s v="EQ"/>
    <n v="1"/>
    <n v="187"/>
    <n v="32065660"/>
    <m/>
    <m/>
    <m/>
    <s v="Pool Shipment"/>
    <s v="Rental"/>
    <x v="5"/>
    <d v="2018-05-31T00:00:00"/>
    <d v="2018-06-15T00:00:00"/>
    <n v="187"/>
    <d v="2018-06-27T00:00:00"/>
    <n v="0"/>
    <s v="30-60 days"/>
    <s v="DOCXX"/>
    <x v="0"/>
    <s v="Invoice"/>
  </r>
  <r>
    <x v="9"/>
    <s v="SN"/>
    <s v="ER"/>
    <n v="1"/>
    <n v="112.2"/>
    <n v="32065661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ES"/>
    <n v="1"/>
    <n v="18.7"/>
    <n v="32073799"/>
    <m/>
    <m/>
    <m/>
    <s v="Pool Shipment"/>
    <s v="Rental"/>
    <x v="5"/>
    <d v="2018-05-31T00:00:00"/>
    <d v="2018-06-15T00:00:00"/>
    <m/>
    <m/>
    <n v="18.7"/>
    <s v="30-60 days"/>
    <s v="DOCXX"/>
    <x v="0"/>
    <s v="Invoice"/>
  </r>
  <r>
    <x v="9"/>
    <s v="SN"/>
    <s v="ET"/>
    <n v="1"/>
    <n v="121.55"/>
    <n v="32107698"/>
    <m/>
    <m/>
    <m/>
    <s v="Pool Shipment"/>
    <s v="Rental"/>
    <x v="5"/>
    <d v="2018-05-31T00:00:00"/>
    <d v="2018-06-15T00:00:00"/>
    <n v="121.55"/>
    <d v="2018-06-27T00:00:00"/>
    <n v="0"/>
    <s v="30-60 days"/>
    <s v="DOCXX"/>
    <x v="0"/>
    <s v="Invoice"/>
  </r>
  <r>
    <x v="9"/>
    <s v="SN"/>
    <s v="EU"/>
    <n v="1"/>
    <n v="121.55"/>
    <n v="32107699"/>
    <m/>
    <m/>
    <m/>
    <s v="Pool Shipment"/>
    <s v="Rental"/>
    <x v="5"/>
    <d v="2018-05-31T00:00:00"/>
    <d v="2018-06-15T00:00:00"/>
    <n v="121.55"/>
    <d v="2018-06-27T00:00:00"/>
    <n v="0"/>
    <s v="30-60 days"/>
    <s v="DOCXX"/>
    <x v="0"/>
    <s v="Invoice"/>
  </r>
  <r>
    <x v="9"/>
    <s v="SN"/>
    <s v="EV"/>
    <n v="1"/>
    <n v="140.25"/>
    <n v="32112059"/>
    <m/>
    <m/>
    <m/>
    <s v="Pool Shipment"/>
    <s v="Rental"/>
    <x v="5"/>
    <d v="2018-05-31T00:00:00"/>
    <d v="2018-06-15T00:00:00"/>
    <n v="140.25"/>
    <d v="2018-06-27T00:00:00"/>
    <n v="0"/>
    <s v="30-60 days"/>
    <s v="DOCXX"/>
    <x v="0"/>
    <s v="Invoice"/>
  </r>
  <r>
    <x v="9"/>
    <s v="SN"/>
    <s v="EW"/>
    <n v="1"/>
    <n v="130.9"/>
    <n v="32112140"/>
    <m/>
    <m/>
    <m/>
    <s v="Pool Shipment"/>
    <s v="Rental"/>
    <x v="5"/>
    <d v="2018-05-31T00:00:00"/>
    <d v="2018-06-15T00:00:00"/>
    <n v="130.9"/>
    <d v="2018-06-27T00:00:00"/>
    <n v="0"/>
    <s v="30-60 days"/>
    <s v="DOCXX"/>
    <x v="0"/>
    <s v="Invoice"/>
  </r>
  <r>
    <x v="9"/>
    <s v="SN"/>
    <s v="EX"/>
    <n v="1"/>
    <n v="112.2"/>
    <n v="32118265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EY"/>
    <n v="1"/>
    <n v="74.8"/>
    <n v="32118266"/>
    <m/>
    <m/>
    <m/>
    <s v="Pool Shipment"/>
    <s v="Rental"/>
    <x v="5"/>
    <d v="2018-05-31T00:00:00"/>
    <d v="2018-06-15T00:00:00"/>
    <n v="74.8"/>
    <d v="2018-06-27T00:00:00"/>
    <n v="0"/>
    <s v="30-60 days"/>
    <s v="DOCXX"/>
    <x v="0"/>
    <s v="Invoice"/>
  </r>
  <r>
    <x v="9"/>
    <s v="SN"/>
    <s v="EZ"/>
    <n v="1"/>
    <n v="65.45"/>
    <n v="32119166"/>
    <m/>
    <m/>
    <m/>
    <s v="Pool Shipment"/>
    <s v="Rental"/>
    <x v="5"/>
    <d v="2018-05-31T00:00:00"/>
    <d v="2018-06-15T00:00:00"/>
    <n v="65.45"/>
    <d v="2018-06-27T00:00:00"/>
    <n v="0"/>
    <s v="30-60 days"/>
    <s v="DOCXX"/>
    <x v="0"/>
    <s v="Invoice"/>
  </r>
  <r>
    <x v="9"/>
    <s v="SN"/>
    <s v="FA"/>
    <n v="1"/>
    <n v="112.2"/>
    <n v="32153053"/>
    <m/>
    <m/>
    <m/>
    <s v="Pool Shipment"/>
    <s v="Rental"/>
    <x v="5"/>
    <d v="2018-05-31T00:00:00"/>
    <d v="2018-06-15T00:00:00"/>
    <n v="112.2"/>
    <d v="2018-06-27T00:00:00"/>
    <n v="0"/>
    <s v="30-60 days"/>
    <s v="DOCXX"/>
    <x v="0"/>
    <s v="Invoice"/>
  </r>
  <r>
    <x v="9"/>
    <s v="SN"/>
    <s v="FB"/>
    <n v="1"/>
    <n v="84.15"/>
    <n v="32153054"/>
    <m/>
    <m/>
    <m/>
    <s v="Pool Shipment"/>
    <s v="Rental"/>
    <x v="5"/>
    <d v="2018-05-31T00:00:00"/>
    <d v="2018-06-15T00:00:00"/>
    <n v="84.15"/>
    <d v="2018-06-27T00:00:00"/>
    <n v="0"/>
    <s v="30-60 days"/>
    <s v="DOCXX"/>
    <x v="0"/>
    <s v="Invoice"/>
  </r>
  <r>
    <x v="9"/>
    <s v="SN"/>
    <s v="FC"/>
    <n v="1"/>
    <n v="56.1"/>
    <n v="32153055"/>
    <m/>
    <m/>
    <m/>
    <s v="Pool Shipment"/>
    <s v="Rental"/>
    <x v="5"/>
    <d v="2018-05-31T00:00:00"/>
    <d v="2018-06-15T00:00:00"/>
    <n v="56.1"/>
    <d v="2018-06-27T00:00:00"/>
    <n v="0"/>
    <s v="30-60 days"/>
    <s v="DOCXX"/>
    <x v="0"/>
    <s v="Invoice"/>
  </r>
  <r>
    <x v="9"/>
    <s v="SN"/>
    <s v="FD"/>
    <n v="1"/>
    <n v="74.8"/>
    <n v="32173533"/>
    <m/>
    <m/>
    <m/>
    <s v="Pool Shipment"/>
    <s v="Rental"/>
    <x v="5"/>
    <d v="2018-05-31T00:00:00"/>
    <d v="2018-06-15T00:00:00"/>
    <n v="74.8"/>
    <d v="2018-06-27T00:00:00"/>
    <n v="0"/>
    <s v="30-60 days"/>
    <s v="DOCXX"/>
    <x v="0"/>
    <s v="Invoice"/>
  </r>
  <r>
    <x v="9"/>
    <s v="SN"/>
    <s v="FE"/>
    <n v="1"/>
    <n v="56.1"/>
    <n v="32173634"/>
    <m/>
    <m/>
    <m/>
    <s v="Pool Shipment"/>
    <s v="Rental"/>
    <x v="5"/>
    <d v="2018-05-31T00:00:00"/>
    <d v="2018-06-15T00:00:00"/>
    <n v="56.1"/>
    <d v="2018-06-27T00:00:00"/>
    <n v="0"/>
    <s v="30-60 days"/>
    <s v="DOCXX"/>
    <x v="0"/>
    <s v="Invoice"/>
  </r>
  <r>
    <x v="9"/>
    <s v="SN"/>
    <s v="FF"/>
    <n v="1"/>
    <n v="18.7"/>
    <n v="32213731"/>
    <m/>
    <m/>
    <m/>
    <s v="Pool Shipment"/>
    <s v="Rental"/>
    <x v="5"/>
    <d v="2018-05-31T00:00:00"/>
    <d v="2018-06-15T00:00:00"/>
    <n v="18.7"/>
    <d v="2018-06-27T00:00:00"/>
    <n v="0"/>
    <s v="30-60 days"/>
    <s v="DOCXX"/>
    <x v="0"/>
    <s v="Invoice"/>
  </r>
  <r>
    <x v="9"/>
    <s v="SN"/>
    <s v="FG"/>
    <n v="1"/>
    <n v="121.55"/>
    <n v="42311518"/>
    <m/>
    <m/>
    <m/>
    <s v="Pool Shipment"/>
    <s v="Rental"/>
    <x v="5"/>
    <d v="2018-05-31T00:00:00"/>
    <d v="2018-06-15T00:00:00"/>
    <m/>
    <m/>
    <n v="121.55"/>
    <s v="30-60 days"/>
    <s v="DOCXX"/>
    <x v="0"/>
    <s v="Invoice"/>
  </r>
  <r>
    <x v="9"/>
    <s v="CC"/>
    <s v="A"/>
    <n v="1"/>
    <n v="13879.68"/>
    <m/>
    <m/>
    <n v="1274"/>
    <s v="D358"/>
    <s v="Freeport Tank Pool"/>
    <s v="Rental"/>
    <x v="5"/>
    <d v="2018-05-31T00:00:00"/>
    <d v="2018-06-15T00:00:00"/>
    <n v="13879.68"/>
    <d v="2018-06-27T00:00:00"/>
    <n v="0"/>
    <s v="30-60 days"/>
    <s v="DOCXX"/>
    <x v="0"/>
    <s v="Invoice"/>
  </r>
  <r>
    <x v="9"/>
    <s v="CC"/>
    <s v="B"/>
    <n v="1"/>
    <n v="12250.04"/>
    <m/>
    <m/>
    <n v="1273"/>
    <s v="D358"/>
    <s v="Freeport Tank Pool"/>
    <s v="Rental"/>
    <x v="5"/>
    <d v="2018-05-31T00:00:00"/>
    <d v="2018-06-15T00:00:00"/>
    <n v="12250.04"/>
    <d v="2018-06-27T00:00:00"/>
    <n v="0"/>
    <s v="30-60 days"/>
    <s v="DOCXX"/>
    <x v="0"/>
    <s v="Invoice"/>
  </r>
  <r>
    <x v="9"/>
    <s v="CC"/>
    <s v="C"/>
    <n v="1"/>
    <n v="11794.48"/>
    <m/>
    <m/>
    <n v="58008"/>
    <s v="D266"/>
    <s v="Freeport Tank Pool"/>
    <s v="Rental"/>
    <x v="5"/>
    <d v="2018-05-31T00:00:00"/>
    <d v="2018-06-15T00:00:00"/>
    <n v="11794.48"/>
    <d v="2018-06-27T00:00:00"/>
    <n v="0"/>
    <s v="30-60 days"/>
    <s v="DOCXX"/>
    <x v="0"/>
    <s v="Invoice"/>
  </r>
  <r>
    <x v="9"/>
    <s v="CC"/>
    <s v="D"/>
    <n v="1"/>
    <n v="6470.56"/>
    <m/>
    <m/>
    <n v="66660"/>
    <s v="D009"/>
    <s v="Freeport Tank Pool"/>
    <s v="Rental"/>
    <x v="5"/>
    <d v="2018-05-31T00:00:00"/>
    <d v="2018-06-15T00:00:00"/>
    <n v="6470.56"/>
    <d v="2018-06-27T00:00:00"/>
    <n v="0"/>
    <s v="30-60 days"/>
    <s v="DOCXX"/>
    <x v="0"/>
    <s v="Invoice"/>
  </r>
  <r>
    <x v="9"/>
    <s v="CC"/>
    <s v="E"/>
    <n v="1"/>
    <n v="5554.59"/>
    <m/>
    <m/>
    <n v="97900"/>
    <s v="D358"/>
    <s v="Freeport Tank Pool"/>
    <s v="Rental"/>
    <x v="5"/>
    <d v="2018-05-31T00:00:00"/>
    <d v="2018-06-15T00:00:00"/>
    <n v="5554.59"/>
    <d v="2018-06-27T00:00:00"/>
    <n v="0"/>
    <s v="30-60 days"/>
    <s v="DOCXX"/>
    <x v="0"/>
    <s v="Invoice"/>
  </r>
  <r>
    <x v="9"/>
    <s v="CC"/>
    <s v="F"/>
    <n v="1"/>
    <n v="3731.07"/>
    <m/>
    <m/>
    <n v="66665"/>
    <s v="D356"/>
    <s v="Freeport Tank Pool"/>
    <s v="Rental"/>
    <x v="5"/>
    <d v="2018-05-31T00:00:00"/>
    <d v="2018-06-15T00:00:00"/>
    <n v="3731.07"/>
    <d v="2018-06-27T00:00:00"/>
    <n v="0"/>
    <s v="30-60 days"/>
    <s v="DOCXX"/>
    <x v="0"/>
    <s v="Invoice"/>
  </r>
  <r>
    <x v="9"/>
    <s v="CC"/>
    <s v="G"/>
    <n v="1"/>
    <n v="3722.67"/>
    <m/>
    <m/>
    <n v="167840"/>
    <s v="D015"/>
    <s v="Freeport Tank Pool"/>
    <s v="Rental"/>
    <x v="5"/>
    <d v="2018-05-31T00:00:00"/>
    <d v="2018-06-15T00:00:00"/>
    <n v="3722.67"/>
    <d v="2018-06-27T00:00:00"/>
    <n v="0"/>
    <s v="30-60 days"/>
    <s v="DOCXX"/>
    <x v="0"/>
    <s v="Invoice"/>
  </r>
  <r>
    <x v="9"/>
    <s v="CC"/>
    <s v="H"/>
    <n v="1"/>
    <n v="3201.66"/>
    <m/>
    <m/>
    <n v="68162"/>
    <s v="D344"/>
    <s v="Freeport Tank Pool"/>
    <s v="Rental"/>
    <x v="5"/>
    <d v="2018-05-31T00:00:00"/>
    <d v="2018-06-15T00:00:00"/>
    <n v="3201.66"/>
    <d v="2018-06-27T00:00:00"/>
    <n v="0"/>
    <s v="30-60 days"/>
    <s v="DOCXX"/>
    <x v="0"/>
    <s v="Invoice"/>
  </r>
  <r>
    <x v="9"/>
    <s v="CC"/>
    <s v="I"/>
    <n v="1"/>
    <n v="2890.74"/>
    <m/>
    <m/>
    <n v="55785"/>
    <s v="D355"/>
    <s v="Freeport Tank Pool"/>
    <s v="Rental"/>
    <x v="5"/>
    <d v="2018-05-31T00:00:00"/>
    <d v="2018-06-15T00:00:00"/>
    <n v="2890.74"/>
    <d v="2018-06-27T00:00:00"/>
    <n v="0"/>
    <s v="30-60 days"/>
    <s v="DOCXX"/>
    <x v="0"/>
    <s v="Invoice"/>
  </r>
  <r>
    <x v="9"/>
    <s v="CC"/>
    <s v="J"/>
    <n v="1"/>
    <n v="2605.0300000000002"/>
    <m/>
    <m/>
    <n v="82624"/>
    <s v="D407"/>
    <s v="Freeport Tank Pool"/>
    <s v="Rental"/>
    <x v="5"/>
    <d v="2018-05-31T00:00:00"/>
    <d v="2018-06-15T00:00:00"/>
    <n v="2605.0300000000002"/>
    <d v="2018-06-27T00:00:00"/>
    <n v="0"/>
    <s v="30-60 days"/>
    <s v="DOCXX"/>
    <x v="0"/>
    <s v="Invoice"/>
  </r>
  <r>
    <x v="9"/>
    <s v="CC"/>
    <s v="K"/>
    <n v="1"/>
    <n v="2504.19"/>
    <m/>
    <m/>
    <n v="67904"/>
    <s v="D407"/>
    <s v="Freeport Tank Pool"/>
    <s v="Rental"/>
    <x v="5"/>
    <d v="2018-05-31T00:00:00"/>
    <d v="2018-06-15T00:00:00"/>
    <n v="2504.19"/>
    <d v="2018-06-27T00:00:00"/>
    <n v="0"/>
    <s v="30-60 days"/>
    <s v="DOCXX"/>
    <x v="0"/>
    <s v="Invoice"/>
  </r>
  <r>
    <x v="9"/>
    <s v="CC"/>
    <s v="L"/>
    <n v="1"/>
    <n v="2294.11"/>
    <m/>
    <m/>
    <n v="66652"/>
    <s v="D213"/>
    <s v="Freeport Tank Pool"/>
    <s v="Rental"/>
    <x v="5"/>
    <d v="2018-05-31T00:00:00"/>
    <d v="2018-06-15T00:00:00"/>
    <n v="2294.11"/>
    <d v="2018-06-27T00:00:00"/>
    <n v="0"/>
    <s v="30-60 days"/>
    <s v="DOCXX"/>
    <x v="0"/>
    <s v="Invoice"/>
  </r>
  <r>
    <x v="9"/>
    <s v="CC"/>
    <s v="M"/>
    <n v="1"/>
    <n v="2285.6999999999998"/>
    <m/>
    <m/>
    <n v="1204"/>
    <s v="D357"/>
    <s v="Freeport Tank Pool"/>
    <s v="Rental"/>
    <x v="5"/>
    <d v="2018-05-31T00:00:00"/>
    <d v="2018-06-15T00:00:00"/>
    <n v="2285.6999999999998"/>
    <d v="2018-06-27T00:00:00"/>
    <n v="0"/>
    <s v="30-60 days"/>
    <s v="DOCXX"/>
    <x v="0"/>
    <s v="Invoice"/>
  </r>
  <r>
    <x v="9"/>
    <s v="CC"/>
    <s v="N"/>
    <n v="1"/>
    <n v="2058.81"/>
    <m/>
    <m/>
    <n v="75797"/>
    <s v="D348"/>
    <s v="Freeport Tank Pool"/>
    <s v="Rental"/>
    <x v="5"/>
    <d v="2018-05-31T00:00:00"/>
    <d v="2018-06-15T00:00:00"/>
    <n v="2058.81"/>
    <d v="2018-06-27T00:00:00"/>
    <n v="0"/>
    <s v="30-60 days"/>
    <s v="DOCXX"/>
    <x v="0"/>
    <s v="Invoice"/>
  </r>
  <r>
    <x v="9"/>
    <s v="CC"/>
    <s v="O"/>
    <n v="1"/>
    <n v="1949.57"/>
    <m/>
    <m/>
    <n v="55609"/>
    <s v="D449"/>
    <s v="Freeport Tank Pool"/>
    <s v="Rental"/>
    <x v="5"/>
    <d v="2018-05-31T00:00:00"/>
    <d v="2018-06-15T00:00:00"/>
    <n v="1949.57"/>
    <d v="2018-06-27T00:00:00"/>
    <n v="0"/>
    <s v="30-60 days"/>
    <s v="DOCXX"/>
    <x v="0"/>
    <s v="Invoice"/>
  </r>
  <r>
    <x v="9"/>
    <s v="CC"/>
    <s v="P"/>
    <n v="1"/>
    <n v="1672.26"/>
    <m/>
    <m/>
    <n v="1356"/>
    <s v="D360"/>
    <s v="Freeport Tank Pool"/>
    <s v="Rental"/>
    <x v="5"/>
    <d v="2018-05-31T00:00:00"/>
    <d v="2018-06-15T00:00:00"/>
    <n v="1672.26"/>
    <d v="2018-06-27T00:00:00"/>
    <n v="0"/>
    <s v="30-60 days"/>
    <s v="DOCXX"/>
    <x v="0"/>
    <s v="Invoice"/>
  </r>
  <r>
    <x v="9"/>
    <s v="CC"/>
    <s v="Q"/>
    <n v="1"/>
    <n v="1596.63"/>
    <m/>
    <m/>
    <n v="68260"/>
    <s v="D002"/>
    <s v="Freeport Tank Pool"/>
    <s v="Rental"/>
    <x v="5"/>
    <d v="2018-05-31T00:00:00"/>
    <d v="2018-06-15T00:00:00"/>
    <n v="1596.63"/>
    <d v="2018-06-27T00:00:00"/>
    <n v="0"/>
    <s v="30-60 days"/>
    <s v="DOCXX"/>
    <x v="0"/>
    <s v="Invoice"/>
  </r>
  <r>
    <x v="9"/>
    <s v="CC"/>
    <s v="R"/>
    <n v="1"/>
    <n v="1050.42"/>
    <m/>
    <m/>
    <n v="82294"/>
    <s v="D407"/>
    <s v="Freeport Tank Pool"/>
    <s v="Rental"/>
    <x v="5"/>
    <d v="2018-05-31T00:00:00"/>
    <d v="2018-06-15T00:00:00"/>
    <n v="1050.42"/>
    <d v="2018-06-27T00:00:00"/>
    <n v="0"/>
    <s v="30-60 days"/>
    <s v="DOCXX"/>
    <x v="0"/>
    <s v="Invoice"/>
  </r>
  <r>
    <x v="9"/>
    <s v="CC"/>
    <s v="S"/>
    <n v="1"/>
    <n v="840.33"/>
    <m/>
    <m/>
    <n v="68235"/>
    <s v="D232"/>
    <s v="Freeport Tank Pool"/>
    <s v="Rental"/>
    <x v="5"/>
    <d v="2018-05-31T00:00:00"/>
    <d v="2018-06-15T00:00:00"/>
    <n v="840.33"/>
    <d v="2018-06-27T00:00:00"/>
    <n v="0"/>
    <s v="30-60 days"/>
    <s v="DOCXX"/>
    <x v="0"/>
    <s v="Invoice"/>
  </r>
  <r>
    <x v="9"/>
    <s v="CC"/>
    <s v="T"/>
    <n v="1"/>
    <n v="840.33"/>
    <m/>
    <m/>
    <n v="172324"/>
    <s v="E324"/>
    <s v="Freeport Tank Pool"/>
    <s v="Rental"/>
    <x v="5"/>
    <d v="2018-05-31T00:00:00"/>
    <d v="2018-06-15T00:00:00"/>
    <n v="840.33"/>
    <d v="2018-06-27T00:00:00"/>
    <n v="0"/>
    <s v="30-60 days"/>
    <s v="DOCXX"/>
    <x v="0"/>
    <s v="Invoice"/>
  </r>
  <r>
    <x v="9"/>
    <s v="CC"/>
    <s v="U"/>
    <n v="1"/>
    <n v="840.33"/>
    <m/>
    <m/>
    <n v="82330"/>
    <s v="D017"/>
    <s v="Freeport Tank Pool"/>
    <s v="Rental"/>
    <x v="5"/>
    <d v="2018-05-31T00:00:00"/>
    <d v="2018-06-15T00:00:00"/>
    <n v="840.33"/>
    <d v="2018-06-27T00:00:00"/>
    <n v="0"/>
    <s v="30-60 days"/>
    <s v="DOCXX"/>
    <x v="0"/>
    <s v="Invoice"/>
  </r>
  <r>
    <x v="10"/>
    <m/>
    <m/>
    <m/>
    <n v="10972.5"/>
    <m/>
    <n v="4700681102"/>
    <m/>
    <m/>
    <s v="Multiple"/>
    <s v="Rental and Fees"/>
    <x v="5"/>
    <d v="2018-05-31T00:00:00"/>
    <d v="2018-05-31T00:00:00"/>
    <n v="10972.5"/>
    <d v="2018-07-05T00:00:00"/>
    <n v="0"/>
    <s v="30-60 days"/>
    <s v="DOCXX"/>
    <x v="1"/>
    <s v="Invoice"/>
  </r>
  <r>
    <x v="11"/>
    <m/>
    <m/>
    <m/>
    <n v="9603.5"/>
    <m/>
    <n v="4700681102"/>
    <m/>
    <m/>
    <s v="Multiple"/>
    <s v="Rental and Fees"/>
    <x v="5"/>
    <d v="2018-05-31T00:00:00"/>
    <d v="2018-05-31T00:00:00"/>
    <n v="9603.5"/>
    <d v="2018-07-05T00:00:00"/>
    <n v="0"/>
    <s v="30-60 days"/>
    <s v="DOCXX"/>
    <x v="1"/>
    <s v="Invoice"/>
  </r>
  <r>
    <x v="12"/>
    <s v="CC"/>
    <s v="V"/>
    <n v="1"/>
    <n v="9676.7900000000009"/>
    <m/>
    <m/>
    <n v="1274"/>
    <s v="D358"/>
    <s v="Freeport Chassis Pool"/>
    <s v="Rental"/>
    <x v="6"/>
    <d v="2018-07-01T00:00:00"/>
    <d v="2018-07-09T00:00:00"/>
    <n v="9676.7900000000009"/>
    <d v="2018-07-18T00:00:00"/>
    <n v="0"/>
    <s v="Less than 30 days"/>
    <s v="DOCXX"/>
    <x v="1"/>
    <s v="Invoice"/>
  </r>
  <r>
    <x v="12"/>
    <s v="CC"/>
    <s v="W"/>
    <n v="1"/>
    <n v="8540.6299999999992"/>
    <m/>
    <m/>
    <n v="1273"/>
    <s v="D358"/>
    <s v="Freeport Chassis Pool"/>
    <s v="Rental"/>
    <x v="6"/>
    <d v="2018-07-01T00:00:00"/>
    <d v="2018-07-09T00:00:00"/>
    <n v="8540.6299999999992"/>
    <d v="2018-07-18T00:00:00"/>
    <n v="0"/>
    <s v="Less than 30 days"/>
    <s v="DOCXX"/>
    <x v="1"/>
    <s v="Invoice"/>
  </r>
  <r>
    <x v="12"/>
    <s v="CC"/>
    <s v="X"/>
    <n v="1"/>
    <n v="8223.02"/>
    <m/>
    <m/>
    <n v="58008"/>
    <s v="D266"/>
    <s v="Freeport Chassis Pool"/>
    <s v="Rental"/>
    <x v="6"/>
    <d v="2018-07-01T00:00:00"/>
    <d v="2018-07-09T00:00:00"/>
    <n v="8223.02"/>
    <d v="2018-07-18T00:00:00"/>
    <n v="0"/>
    <s v="Less than 30 days"/>
    <s v="DOCXX"/>
    <x v="1"/>
    <s v="Invoice"/>
  </r>
  <r>
    <x v="12"/>
    <s v="CC"/>
    <s v="Y"/>
    <n v="1"/>
    <n v="4511.22"/>
    <m/>
    <m/>
    <n v="66660"/>
    <s v="D009"/>
    <s v="Freeport Chassis Pool"/>
    <s v="Rental"/>
    <x v="6"/>
    <d v="2018-07-01T00:00:00"/>
    <d v="2018-07-09T00:00:00"/>
    <n v="4511.22"/>
    <d v="2018-07-18T00:00:00"/>
    <n v="0"/>
    <s v="Less than 30 days"/>
    <s v="DOCXX"/>
    <x v="1"/>
    <s v="Invoice"/>
  </r>
  <r>
    <x v="12"/>
    <s v="CC"/>
    <s v="Z"/>
    <n v="1"/>
    <n v="3872.62"/>
    <m/>
    <m/>
    <n v="97900"/>
    <s v="D358"/>
    <s v="Freeport Chassis Pool"/>
    <s v="Rental"/>
    <x v="6"/>
    <d v="2018-07-01T00:00:00"/>
    <d v="2018-07-09T00:00:00"/>
    <n v="3872.62"/>
    <d v="2018-07-18T00:00:00"/>
    <n v="0"/>
    <s v="Less than 30 days"/>
    <s v="DOCXX"/>
    <x v="1"/>
    <s v="Invoice"/>
  </r>
  <r>
    <x v="12"/>
    <s v="CC"/>
    <s v="AA"/>
    <n v="1"/>
    <n v="2601.27"/>
    <m/>
    <m/>
    <n v="66665"/>
    <s v="D356"/>
    <s v="Freeport Chassis Pool"/>
    <s v="Rental"/>
    <x v="6"/>
    <d v="2018-07-01T00:00:00"/>
    <d v="2018-07-09T00:00:00"/>
    <n v="2601.27"/>
    <d v="2018-07-18T00:00:00"/>
    <n v="0"/>
    <s v="Less than 30 days"/>
    <s v="DOCXX"/>
    <x v="1"/>
    <s v="Invoice"/>
  </r>
  <r>
    <x v="12"/>
    <s v="CC"/>
    <s v="AB"/>
    <n v="1"/>
    <n v="2595.42"/>
    <m/>
    <m/>
    <n v="167840"/>
    <s v="D015"/>
    <s v="Freeport Chassis Pool"/>
    <s v="Rental"/>
    <x v="6"/>
    <d v="2018-07-01T00:00:00"/>
    <d v="2018-07-09T00:00:00"/>
    <n v="2595.42"/>
    <d v="2018-07-18T00:00:00"/>
    <n v="0"/>
    <s v="Less than 30 days"/>
    <s v="DOCXX"/>
    <x v="1"/>
    <s v="Invoice"/>
  </r>
  <r>
    <x v="12"/>
    <s v="CC"/>
    <s v="AC"/>
    <n v="1"/>
    <n v="2232.17"/>
    <m/>
    <m/>
    <n v="68162"/>
    <s v="D344"/>
    <s v="Freeport Chassis Pool"/>
    <s v="Rental"/>
    <x v="6"/>
    <d v="2018-07-01T00:00:00"/>
    <d v="2018-07-09T00:00:00"/>
    <n v="2232.17"/>
    <d v="2018-07-18T00:00:00"/>
    <n v="0"/>
    <s v="Less than 30 days"/>
    <s v="DOCXX"/>
    <x v="1"/>
    <s v="Invoice"/>
  </r>
  <r>
    <x v="12"/>
    <s v="CC"/>
    <s v="AD"/>
    <n v="1"/>
    <n v="2015.4"/>
    <m/>
    <m/>
    <n v="55785"/>
    <s v="D355"/>
    <s v="Freeport Chassis Pool"/>
    <s v="Rental"/>
    <x v="6"/>
    <d v="2018-07-01T00:00:00"/>
    <d v="2018-07-09T00:00:00"/>
    <n v="2015.4"/>
    <d v="2018-07-18T00:00:00"/>
    <n v="0"/>
    <s v="Less than 30 days"/>
    <s v="DOCXX"/>
    <x v="1"/>
    <s v="Invoice"/>
  </r>
  <r>
    <x v="12"/>
    <s v="CC"/>
    <s v="AE"/>
    <n v="1"/>
    <n v="1816.2"/>
    <m/>
    <m/>
    <n v="82624"/>
    <s v="D407"/>
    <s v="Freeport Chassis Pool"/>
    <s v="Rental"/>
    <x v="6"/>
    <d v="2018-07-01T00:00:00"/>
    <d v="2018-07-09T00:00:00"/>
    <n v="1816.2"/>
    <d v="2018-07-18T00:00:00"/>
    <n v="0"/>
    <s v="Less than 30 days"/>
    <s v="DOCXX"/>
    <x v="1"/>
    <s v="Invoice"/>
  </r>
  <r>
    <x v="12"/>
    <s v="CC"/>
    <s v="AF"/>
    <n v="1"/>
    <n v="1745.9"/>
    <m/>
    <m/>
    <n v="67904"/>
    <s v="D407"/>
    <s v="Freeport Chassis Pool"/>
    <s v="Rental"/>
    <x v="6"/>
    <d v="2018-07-01T00:00:00"/>
    <d v="2018-07-09T00:00:00"/>
    <n v="1745.9"/>
    <d v="2018-07-18T00:00:00"/>
    <n v="0"/>
    <s v="Less than 30 days"/>
    <s v="DOCXX"/>
    <x v="1"/>
    <s v="Invoice"/>
  </r>
  <r>
    <x v="12"/>
    <s v="CC"/>
    <s v="AG"/>
    <n v="1"/>
    <n v="1599.43"/>
    <m/>
    <m/>
    <n v="66652"/>
    <s v="D213"/>
    <s v="Freeport Chassis Pool"/>
    <s v="Rental"/>
    <x v="6"/>
    <d v="2018-07-01T00:00:00"/>
    <d v="2018-07-09T00:00:00"/>
    <n v="1599.43"/>
    <d v="2018-07-18T00:00:00"/>
    <n v="0"/>
    <s v="Less than 30 days"/>
    <s v="DOCXX"/>
    <x v="1"/>
    <s v="Invoice"/>
  </r>
  <r>
    <x v="12"/>
    <s v="CC"/>
    <s v="AH"/>
    <n v="1"/>
    <n v="1593.57"/>
    <m/>
    <m/>
    <n v="1204"/>
    <s v="D357"/>
    <s v="Freeport Chassis Pool"/>
    <s v="Rental"/>
    <x v="6"/>
    <d v="2018-07-01T00:00:00"/>
    <d v="2018-07-09T00:00:00"/>
    <n v="1593.57"/>
    <d v="2018-07-18T00:00:00"/>
    <n v="0"/>
    <s v="Less than 30 days"/>
    <s v="DOCXX"/>
    <x v="1"/>
    <s v="Invoice"/>
  </r>
  <r>
    <x v="12"/>
    <s v="CC"/>
    <s v="AI"/>
    <n v="1"/>
    <n v="1435.39"/>
    <m/>
    <m/>
    <n v="75797"/>
    <s v="D348"/>
    <s v="Freeport Chassis Pool"/>
    <s v="Rental"/>
    <x v="6"/>
    <d v="2018-07-01T00:00:00"/>
    <d v="2018-07-09T00:00:00"/>
    <n v="1435.39"/>
    <d v="2018-07-18T00:00:00"/>
    <n v="0"/>
    <s v="Less than 30 days"/>
    <s v="DOCXX"/>
    <x v="1"/>
    <s v="Invoice"/>
  </r>
  <r>
    <x v="12"/>
    <s v="CC"/>
    <s v="AJ"/>
    <n v="1"/>
    <n v="1359.22"/>
    <m/>
    <m/>
    <n v="55609"/>
    <s v="D449"/>
    <s v="Freeport Chassis Pool"/>
    <s v="Rental"/>
    <x v="6"/>
    <d v="2018-07-01T00:00:00"/>
    <d v="2018-07-09T00:00:00"/>
    <n v="1359.22"/>
    <d v="2018-07-18T00:00:00"/>
    <n v="0"/>
    <s v="Less than 30 days"/>
    <s v="DOCXX"/>
    <x v="1"/>
    <s v="Invoice"/>
  </r>
  <r>
    <x v="12"/>
    <s v="CC"/>
    <s v="AK"/>
    <n v="1"/>
    <n v="1165.8900000000001"/>
    <m/>
    <m/>
    <n v="1356"/>
    <s v="D360"/>
    <s v="Freeport Chassis Pool"/>
    <s v="Rental"/>
    <x v="6"/>
    <d v="2018-07-01T00:00:00"/>
    <d v="2018-07-09T00:00:00"/>
    <n v="1165.8900000000001"/>
    <d v="2018-07-18T00:00:00"/>
    <n v="0"/>
    <s v="Less than 30 days"/>
    <s v="DOCXX"/>
    <x v="1"/>
    <s v="Invoice"/>
  </r>
  <r>
    <x v="12"/>
    <s v="CC"/>
    <s v="AL"/>
    <n v="1"/>
    <n v="1113.1600000000001"/>
    <m/>
    <m/>
    <n v="68260"/>
    <s v="D002"/>
    <s v="Freeport Chassis Pool"/>
    <s v="Rental"/>
    <x v="6"/>
    <d v="2018-07-01T00:00:00"/>
    <d v="2018-07-09T00:00:00"/>
    <n v="1113.1600000000001"/>
    <d v="2018-07-18T00:00:00"/>
    <n v="0"/>
    <s v="Less than 30 days"/>
    <s v="DOCXX"/>
    <x v="1"/>
    <s v="Invoice"/>
  </r>
  <r>
    <x v="12"/>
    <s v="CC"/>
    <s v="AM"/>
    <n v="1"/>
    <n v="732.34"/>
    <m/>
    <m/>
    <n v="82294"/>
    <s v="D407"/>
    <s v="Freeport Chassis Pool"/>
    <s v="Rental"/>
    <x v="6"/>
    <d v="2018-07-01T00:00:00"/>
    <d v="2018-07-09T00:00:00"/>
    <n v="732.34"/>
    <d v="2018-07-18T00:00:00"/>
    <n v="0"/>
    <s v="Less than 30 days"/>
    <s v="DOCXX"/>
    <x v="1"/>
    <s v="Invoice"/>
  </r>
  <r>
    <x v="12"/>
    <s v="CC"/>
    <s v="AN"/>
    <n v="1"/>
    <n v="585.87"/>
    <m/>
    <m/>
    <n v="68235"/>
    <s v="D232"/>
    <s v="Freeport Chassis Pool"/>
    <s v="Rental"/>
    <x v="6"/>
    <d v="2018-07-01T00:00:00"/>
    <d v="2018-07-09T00:00:00"/>
    <n v="585.87"/>
    <d v="2018-07-18T00:00:00"/>
    <n v="0"/>
    <s v="Less than 30 days"/>
    <s v="DOCXX"/>
    <x v="1"/>
    <s v="Invoice"/>
  </r>
  <r>
    <x v="12"/>
    <s v="CC"/>
    <s v="AO"/>
    <n v="1"/>
    <n v="585.87"/>
    <m/>
    <m/>
    <n v="172324"/>
    <s v="E324"/>
    <s v="Freeport Chassis Pool"/>
    <s v="Rental"/>
    <x v="6"/>
    <d v="2018-07-01T00:00:00"/>
    <d v="2018-07-09T00:00:00"/>
    <n v="585.87"/>
    <d v="2018-07-18T00:00:00"/>
    <n v="0"/>
    <s v="Less than 30 days"/>
    <s v="DOCXX"/>
    <x v="1"/>
    <s v="Invoice"/>
  </r>
  <r>
    <x v="12"/>
    <s v="CC"/>
    <s v="AP"/>
    <n v="1"/>
    <n v="585.87"/>
    <m/>
    <m/>
    <n v="82330"/>
    <s v="D017"/>
    <s v="Freeport Chassis Pool"/>
    <s v="Rental"/>
    <x v="6"/>
    <d v="2018-07-01T00:00:00"/>
    <d v="2018-07-09T00:00:00"/>
    <n v="585.87"/>
    <d v="2018-07-18T00:00:00"/>
    <n v="0"/>
    <s v="Less than 30 days"/>
    <s v="DOCXX"/>
    <x v="1"/>
    <s v="Invoice"/>
  </r>
  <r>
    <x v="13"/>
    <s v="DC"/>
    <s v="A"/>
    <n v="1"/>
    <n v="172.5"/>
    <m/>
    <m/>
    <n v="1273"/>
    <s v="D358"/>
    <s v="EXFU 052300-1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B"/>
    <n v="1"/>
    <n v="172.5"/>
    <m/>
    <m/>
    <n v="1273"/>
    <s v="D358"/>
    <s v="EXFU 061880-6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C"/>
    <n v="1"/>
    <n v="172.5"/>
    <m/>
    <m/>
    <n v="1273"/>
    <s v="D358"/>
    <s v="EXFU 061887-4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"/>
    <n v="1"/>
    <n v="225"/>
    <m/>
    <m/>
    <n v="1273"/>
    <s v="D358"/>
    <s v="EXSZ 901688-2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E"/>
    <n v="1"/>
    <n v="225"/>
    <m/>
    <m/>
    <n v="1273"/>
    <s v="D358"/>
    <s v="EXSZ 901689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"/>
    <n v="1"/>
    <n v="225"/>
    <m/>
    <m/>
    <n v="1273"/>
    <s v="D358"/>
    <s v="EXSZ 901690-1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G"/>
    <n v="1"/>
    <n v="225"/>
    <m/>
    <m/>
    <n v="1273"/>
    <s v="D358"/>
    <s v="EXSZ 901691-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H"/>
    <n v="1"/>
    <n v="225"/>
    <m/>
    <m/>
    <n v="1273"/>
    <s v="D358"/>
    <s v="EXSZ 901692-2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I"/>
    <n v="1"/>
    <n v="225"/>
    <m/>
    <m/>
    <n v="1273"/>
    <s v="D358"/>
    <s v="EXSZ 901693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J"/>
    <n v="1"/>
    <n v="225"/>
    <m/>
    <m/>
    <n v="1273"/>
    <s v="D358"/>
    <s v="EXSZ 901694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K"/>
    <n v="1"/>
    <n v="225"/>
    <m/>
    <m/>
    <n v="1273"/>
    <s v="D358"/>
    <s v="EXSZ 901695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L"/>
    <n v="1"/>
    <n v="225"/>
    <m/>
    <m/>
    <n v="1273"/>
    <s v="D358"/>
    <s v="EXSZ 901696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M"/>
    <n v="1"/>
    <n v="225"/>
    <m/>
    <m/>
    <n v="1273"/>
    <s v="D358"/>
    <s v="EXSZ 901697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N"/>
    <n v="1"/>
    <n v="225"/>
    <m/>
    <m/>
    <n v="1273"/>
    <s v="D358"/>
    <s v="EXSZ 901698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O"/>
    <n v="1"/>
    <n v="225"/>
    <m/>
    <m/>
    <n v="1273"/>
    <s v="D358"/>
    <s v="EXSZ 901699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P"/>
    <n v="1"/>
    <n v="225"/>
    <m/>
    <m/>
    <n v="1273"/>
    <s v="D358"/>
    <s v="EXSZ 901700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Q"/>
    <n v="1"/>
    <n v="225"/>
    <m/>
    <m/>
    <n v="1273"/>
    <s v="D358"/>
    <s v="EXSZ 901701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R"/>
    <n v="1"/>
    <n v="225"/>
    <m/>
    <m/>
    <n v="1273"/>
    <s v="D358"/>
    <s v="EXSZ 901702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S"/>
    <n v="1"/>
    <n v="225"/>
    <m/>
    <m/>
    <n v="1273"/>
    <s v="D358"/>
    <s v="EXSZ 901703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T"/>
    <n v="1"/>
    <n v="225"/>
    <m/>
    <m/>
    <n v="1273"/>
    <s v="D358"/>
    <s v="EXSZ 901704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U"/>
    <n v="1"/>
    <n v="225"/>
    <m/>
    <m/>
    <n v="1273"/>
    <s v="D358"/>
    <s v="EXSZ 901705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V"/>
    <n v="1"/>
    <n v="172.5"/>
    <m/>
    <m/>
    <n v="1273"/>
    <s v="D358"/>
    <s v="EXXU 999452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W"/>
    <n v="1"/>
    <n v="172.5"/>
    <m/>
    <m/>
    <n v="1273"/>
    <s v="D358"/>
    <s v="TRLU 021285-6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X"/>
    <n v="1"/>
    <n v="172.5"/>
    <m/>
    <m/>
    <n v="1274"/>
    <s v="D358"/>
    <s v="EXFU 144821-6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Y"/>
    <n v="1"/>
    <n v="172.5"/>
    <m/>
    <m/>
    <n v="1274"/>
    <s v="D358"/>
    <s v="EXFU 144829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Z"/>
    <n v="1"/>
    <n v="172.5"/>
    <m/>
    <m/>
    <n v="55601"/>
    <s v="D777"/>
    <s v="EXFU 055102-4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AA"/>
    <n v="1"/>
    <n v="172.5"/>
    <m/>
    <m/>
    <n v="55601"/>
    <s v="D777"/>
    <s v="EXFU 055103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AB"/>
    <n v="1"/>
    <n v="172.5"/>
    <m/>
    <m/>
    <n v="55601"/>
    <s v="D777"/>
    <s v="EXFU 055113-2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AC"/>
    <n v="1"/>
    <n v="225"/>
    <m/>
    <m/>
    <n v="55601"/>
    <s v="D777"/>
    <s v="EXSZ 900689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D"/>
    <n v="1"/>
    <n v="225"/>
    <m/>
    <m/>
    <n v="55601"/>
    <s v="D777"/>
    <s v="EXSZ 900722-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E"/>
    <n v="1"/>
    <n v="225"/>
    <m/>
    <m/>
    <n v="55601"/>
    <s v="D777"/>
    <s v="EXSZ 900726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F"/>
    <n v="1"/>
    <n v="225"/>
    <m/>
    <m/>
    <n v="55601"/>
    <s v="D777"/>
    <s v="EXSZ 900746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G"/>
    <n v="1"/>
    <n v="225"/>
    <m/>
    <m/>
    <n v="55601"/>
    <s v="D777"/>
    <s v="EXSZ 900758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H"/>
    <n v="1"/>
    <n v="225"/>
    <m/>
    <m/>
    <n v="55601"/>
    <s v="D777"/>
    <s v="EXSZ 90077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I"/>
    <n v="1"/>
    <n v="225"/>
    <m/>
    <m/>
    <n v="55601"/>
    <s v="D777"/>
    <s v="EXSZ 90095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J"/>
    <n v="1"/>
    <n v="225"/>
    <m/>
    <m/>
    <n v="55601"/>
    <s v="D777"/>
    <s v="EXSZ 90095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K"/>
    <n v="1"/>
    <n v="225"/>
    <m/>
    <m/>
    <n v="55601"/>
    <s v="D777"/>
    <s v="EXSZ 901028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L"/>
    <n v="1"/>
    <n v="225"/>
    <m/>
    <m/>
    <n v="55601"/>
    <s v="D777"/>
    <s v="EXSZ 901241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M"/>
    <n v="1"/>
    <n v="225"/>
    <m/>
    <m/>
    <n v="55601"/>
    <s v="D777"/>
    <s v="EXSZ 901242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N"/>
    <n v="1"/>
    <n v="225"/>
    <m/>
    <m/>
    <n v="55601"/>
    <s v="D777"/>
    <s v="EXSZ 901243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O"/>
    <n v="1"/>
    <n v="225"/>
    <m/>
    <m/>
    <n v="55601"/>
    <s v="D777"/>
    <s v="EXSZ 901264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P"/>
    <n v="1"/>
    <n v="225"/>
    <m/>
    <m/>
    <n v="55601"/>
    <s v="D777"/>
    <s v="EXSZ 901281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Q"/>
    <n v="1"/>
    <n v="225"/>
    <m/>
    <m/>
    <n v="55601"/>
    <s v="D777"/>
    <s v="EXSZ 901285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R"/>
    <n v="1"/>
    <n v="225"/>
    <m/>
    <m/>
    <n v="55601"/>
    <s v="D777"/>
    <s v="EXSZ 901286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S"/>
    <n v="1"/>
    <n v="225"/>
    <m/>
    <m/>
    <n v="55601"/>
    <s v="D777"/>
    <s v="EXSZ 901287-1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T"/>
    <n v="1"/>
    <n v="225"/>
    <m/>
    <m/>
    <n v="55601"/>
    <s v="D777"/>
    <s v="EXSZ 901288-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U"/>
    <n v="1"/>
    <n v="225"/>
    <m/>
    <m/>
    <n v="55601"/>
    <s v="D777"/>
    <s v="EXSZ 901298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V"/>
    <n v="1"/>
    <n v="225"/>
    <m/>
    <m/>
    <n v="55601"/>
    <s v="D777"/>
    <s v="EXSZ 901301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W"/>
    <n v="1"/>
    <n v="225"/>
    <m/>
    <m/>
    <n v="55601"/>
    <s v="D777"/>
    <s v="EXSZ 901302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X"/>
    <n v="1"/>
    <n v="225"/>
    <m/>
    <m/>
    <n v="55601"/>
    <s v="D777"/>
    <s v="EXSZ 901304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Y"/>
    <n v="1"/>
    <n v="225"/>
    <m/>
    <m/>
    <n v="55601"/>
    <s v="D777"/>
    <s v="EXSZ 901352-2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AZ"/>
    <n v="1"/>
    <n v="225"/>
    <m/>
    <m/>
    <n v="55601"/>
    <s v="D777"/>
    <s v="EXSZ 901427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A"/>
    <n v="1"/>
    <n v="225"/>
    <m/>
    <m/>
    <n v="55601"/>
    <s v="D777"/>
    <s v="EXSZ 901429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B"/>
    <n v="1"/>
    <n v="225"/>
    <m/>
    <m/>
    <n v="55601"/>
    <s v="D777"/>
    <s v="EXSZ 901434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C"/>
    <n v="1"/>
    <n v="225"/>
    <m/>
    <m/>
    <n v="55601"/>
    <s v="D777"/>
    <s v="EXSZ 901436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D"/>
    <n v="1"/>
    <n v="225"/>
    <m/>
    <m/>
    <n v="55601"/>
    <s v="D777"/>
    <s v="EXSZ 901438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E"/>
    <n v="1"/>
    <n v="225"/>
    <m/>
    <m/>
    <n v="55601"/>
    <s v="D777"/>
    <s v="EXSZ 901440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F"/>
    <n v="1"/>
    <n v="225"/>
    <m/>
    <m/>
    <n v="55601"/>
    <s v="D777"/>
    <s v="EXSZ 901447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G"/>
    <n v="1"/>
    <n v="225"/>
    <m/>
    <m/>
    <n v="55601"/>
    <s v="D777"/>
    <s v="EXSZ 901508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H"/>
    <n v="1"/>
    <n v="225"/>
    <m/>
    <m/>
    <n v="55601"/>
    <s v="D777"/>
    <s v="EXSZ 901510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I"/>
    <n v="1"/>
    <n v="225"/>
    <m/>
    <m/>
    <n v="55601"/>
    <s v="D777"/>
    <s v="EXSZ 901512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J"/>
    <n v="1"/>
    <n v="225"/>
    <m/>
    <m/>
    <n v="55601"/>
    <s v="D777"/>
    <s v="EXSZ 901513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K"/>
    <n v="1"/>
    <n v="225"/>
    <m/>
    <m/>
    <n v="55601"/>
    <s v="D777"/>
    <s v="EXSZ 901515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L"/>
    <n v="1"/>
    <n v="225"/>
    <m/>
    <m/>
    <n v="55601"/>
    <s v="D777"/>
    <s v="EXSZ 901516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M"/>
    <n v="1"/>
    <n v="225"/>
    <m/>
    <m/>
    <n v="55601"/>
    <s v="D777"/>
    <s v="EXSZ 901519-2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N"/>
    <n v="1"/>
    <n v="225"/>
    <m/>
    <m/>
    <n v="55601"/>
    <s v="D777"/>
    <s v="EXSZ 901520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O"/>
    <n v="1"/>
    <n v="225"/>
    <m/>
    <m/>
    <n v="55601"/>
    <s v="D777"/>
    <s v="EXSZ 901521-1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P"/>
    <n v="1"/>
    <n v="225"/>
    <m/>
    <m/>
    <n v="55601"/>
    <s v="D777"/>
    <s v="EXSZ 901523-2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Q"/>
    <n v="1"/>
    <n v="225"/>
    <m/>
    <m/>
    <n v="55601"/>
    <s v="D777"/>
    <s v="EXSZ 901524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R"/>
    <n v="1"/>
    <n v="225"/>
    <m/>
    <m/>
    <n v="55601"/>
    <s v="D777"/>
    <s v="EXSZ 901530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S"/>
    <n v="1"/>
    <n v="225"/>
    <m/>
    <m/>
    <n v="55601"/>
    <s v="D777"/>
    <s v="EXSZ 901535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T"/>
    <n v="1"/>
    <n v="225"/>
    <m/>
    <m/>
    <n v="55601"/>
    <s v="D777"/>
    <s v="EXSZ 901548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U"/>
    <n v="1"/>
    <n v="225"/>
    <m/>
    <m/>
    <n v="55601"/>
    <s v="D777"/>
    <s v="EXSZ 901550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V"/>
    <n v="1"/>
    <n v="225"/>
    <m/>
    <m/>
    <n v="55601"/>
    <s v="D777"/>
    <s v="EXSZ 901552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W"/>
    <n v="1"/>
    <n v="225"/>
    <m/>
    <m/>
    <n v="55601"/>
    <s v="D777"/>
    <s v="EXSZ 901553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X"/>
    <n v="1"/>
    <n v="225"/>
    <m/>
    <m/>
    <n v="55601"/>
    <s v="D777"/>
    <s v="EXSZ 901556-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Y"/>
    <n v="1"/>
    <n v="225"/>
    <m/>
    <m/>
    <n v="55601"/>
    <s v="D777"/>
    <s v="EXSZ 901557-2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BZ"/>
    <n v="1"/>
    <n v="225"/>
    <m/>
    <m/>
    <n v="55601"/>
    <s v="D777"/>
    <s v="EXSZ 901608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A"/>
    <n v="1"/>
    <n v="225"/>
    <m/>
    <m/>
    <n v="55601"/>
    <s v="D777"/>
    <s v="EXSZ 901609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B"/>
    <n v="1"/>
    <n v="225"/>
    <m/>
    <m/>
    <n v="55601"/>
    <s v="D777"/>
    <s v="EXSZ 901659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C"/>
    <n v="1"/>
    <n v="225"/>
    <m/>
    <m/>
    <n v="55601"/>
    <s v="D777"/>
    <s v="EXSZ 901662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D"/>
    <n v="1"/>
    <n v="225"/>
    <m/>
    <m/>
    <n v="55601"/>
    <s v="D777"/>
    <s v="TRZZ 90045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E"/>
    <n v="1"/>
    <n v="225"/>
    <m/>
    <m/>
    <n v="55601"/>
    <s v="D777"/>
    <s v="TRZZ 90053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F"/>
    <n v="1"/>
    <n v="225"/>
    <m/>
    <m/>
    <n v="55601"/>
    <s v="D777"/>
    <s v="TRZZ 90054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G"/>
    <n v="1"/>
    <n v="225"/>
    <m/>
    <m/>
    <n v="55601"/>
    <s v="D777"/>
    <s v="TRZZ 90055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H"/>
    <n v="1"/>
    <n v="225"/>
    <m/>
    <m/>
    <n v="55601"/>
    <s v="D777"/>
    <s v="TRZZ 90055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I"/>
    <n v="1"/>
    <n v="225"/>
    <m/>
    <m/>
    <n v="55601"/>
    <s v="D777"/>
    <s v="TRZZ 90056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J"/>
    <n v="1"/>
    <n v="225"/>
    <m/>
    <m/>
    <n v="55601"/>
    <s v="D777"/>
    <s v="TRZZ 90057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K"/>
    <n v="1"/>
    <n v="225"/>
    <m/>
    <m/>
    <n v="55601"/>
    <s v="D777"/>
    <s v="TRZZ 90057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L"/>
    <n v="1"/>
    <n v="225"/>
    <m/>
    <m/>
    <n v="55601"/>
    <s v="D777"/>
    <s v="TRZZ 90058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M"/>
    <n v="1"/>
    <n v="225"/>
    <m/>
    <m/>
    <n v="55601"/>
    <s v="D777"/>
    <s v="TRZZ 90058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CN"/>
    <n v="1"/>
    <n v="172.5"/>
    <m/>
    <m/>
    <n v="55601"/>
    <s v="D777"/>
    <s v="USPU 124790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CO"/>
    <n v="1"/>
    <n v="172.5"/>
    <m/>
    <m/>
    <n v="55609"/>
    <s v="D449"/>
    <s v="EXXU 999491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CP"/>
    <n v="1"/>
    <n v="300"/>
    <m/>
    <m/>
    <n v="55644"/>
    <s v="E340"/>
    <s v="EXFU 521140-7"/>
    <s v="Rental"/>
    <x v="6"/>
    <d v="2018-07-01T00:00:00"/>
    <d v="2018-06-28T00:00:00"/>
    <n v="300"/>
    <d v="2018-07-09T00:00:00"/>
    <n v="0"/>
    <s v="Less than 30 days"/>
    <s v="DOCXX"/>
    <x v="1"/>
    <s v="Invoice"/>
  </r>
  <r>
    <x v="13"/>
    <s v="DC"/>
    <s v="CQ"/>
    <n v="1"/>
    <n v="300"/>
    <m/>
    <m/>
    <n v="55644"/>
    <s v="E340"/>
    <s v="EXFU 521179-4"/>
    <s v="Rental"/>
    <x v="6"/>
    <d v="2018-07-01T00:00:00"/>
    <d v="2018-06-28T00:00:00"/>
    <n v="300"/>
    <d v="2018-07-09T00:00:00"/>
    <n v="0"/>
    <s v="Less than 30 days"/>
    <s v="DOCXX"/>
    <x v="1"/>
    <s v="Invoice"/>
  </r>
  <r>
    <x v="13"/>
    <s v="DC"/>
    <s v="CR"/>
    <n v="1"/>
    <n v="300"/>
    <m/>
    <m/>
    <n v="55644"/>
    <s v="E340"/>
    <s v="EXFU 521182-9"/>
    <s v="Rental"/>
    <x v="6"/>
    <d v="2018-07-01T00:00:00"/>
    <d v="2018-06-28T00:00:00"/>
    <n v="300"/>
    <d v="2018-07-09T00:00:00"/>
    <n v="0"/>
    <s v="Less than 30 days"/>
    <s v="DOCXX"/>
    <x v="1"/>
    <s v="Invoice"/>
  </r>
  <r>
    <x v="13"/>
    <s v="DC"/>
    <s v="CS"/>
    <n v="1"/>
    <n v="172.5"/>
    <m/>
    <m/>
    <n v="55785"/>
    <s v="D355"/>
    <s v="EXFU 059955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CT"/>
    <n v="1"/>
    <n v="172.5"/>
    <m/>
    <m/>
    <n v="58008"/>
    <s v="D266"/>
    <s v="EXFU 055440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CU"/>
    <n v="1"/>
    <n v="172.5"/>
    <m/>
    <m/>
    <n v="58008"/>
    <s v="D266"/>
    <s v="EXFU 062228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CV"/>
    <n v="1"/>
    <n v="480"/>
    <m/>
    <m/>
    <n v="58008"/>
    <s v="D266"/>
    <s v="EXFU 144778-1"/>
    <s v="Rental"/>
    <x v="6"/>
    <d v="2018-07-01T00:00:00"/>
    <d v="2018-06-28T00:00:00"/>
    <n v="480"/>
    <d v="2018-07-09T00:00:00"/>
    <n v="0"/>
    <s v="Less than 30 days"/>
    <s v="DOCXX"/>
    <x v="1"/>
    <s v="Invoice"/>
  </r>
  <r>
    <x v="13"/>
    <s v="DC"/>
    <s v="CW"/>
    <n v="1"/>
    <n v="480"/>
    <m/>
    <m/>
    <n v="58008"/>
    <s v="D266"/>
    <s v="EXFU 144804-7"/>
    <s v="Rental"/>
    <x v="6"/>
    <d v="2018-07-01T00:00:00"/>
    <d v="2018-06-28T00:00:00"/>
    <n v="480"/>
    <d v="2018-07-09T00:00:00"/>
    <n v="0"/>
    <s v="Less than 30 days"/>
    <s v="DOCXX"/>
    <x v="1"/>
    <s v="Invoice"/>
  </r>
  <r>
    <x v="13"/>
    <s v="DC"/>
    <s v="CX"/>
    <n v="1"/>
    <n v="480"/>
    <m/>
    <m/>
    <n v="58008"/>
    <s v="D266"/>
    <s v="EXFU 144810-8"/>
    <s v="Rental"/>
    <x v="6"/>
    <d v="2018-07-01T00:00:00"/>
    <d v="2018-06-28T00:00:00"/>
    <n v="480"/>
    <d v="2018-07-09T00:00:00"/>
    <n v="0"/>
    <s v="Less than 30 days"/>
    <s v="DOCXX"/>
    <x v="1"/>
    <s v="Invoice"/>
  </r>
  <r>
    <x v="13"/>
    <s v="DC"/>
    <s v="CY"/>
    <n v="1"/>
    <n v="480"/>
    <m/>
    <m/>
    <n v="58008"/>
    <s v="D266"/>
    <s v="EXFU 144811-3"/>
    <s v="Rental"/>
    <x v="6"/>
    <d v="2018-07-01T00:00:00"/>
    <d v="2018-06-28T00:00:00"/>
    <n v="480"/>
    <d v="2018-07-09T00:00:00"/>
    <n v="0"/>
    <s v="Less than 30 days"/>
    <s v="DOCXX"/>
    <x v="1"/>
    <s v="Invoice"/>
  </r>
  <r>
    <x v="13"/>
    <s v="DC"/>
    <s v="CZ"/>
    <n v="1"/>
    <n v="480"/>
    <m/>
    <m/>
    <n v="58008"/>
    <s v="D266"/>
    <s v="EXFU 144812-9"/>
    <s v="Rental"/>
    <x v="6"/>
    <d v="2018-07-01T00:00:00"/>
    <d v="2018-06-28T00:00:00"/>
    <n v="480"/>
    <d v="2018-07-09T00:00:00"/>
    <n v="0"/>
    <s v="Less than 30 days"/>
    <s v="DOCXX"/>
    <x v="1"/>
    <s v="Invoice"/>
  </r>
  <r>
    <x v="13"/>
    <s v="DC"/>
    <s v="DA"/>
    <n v="1"/>
    <n v="270"/>
    <m/>
    <m/>
    <n v="58008"/>
    <s v="D266"/>
    <s v="EXSZ 901460-0"/>
    <s v="Rental"/>
    <x v="6"/>
    <d v="2018-07-01T00:00:00"/>
    <d v="2018-06-28T00:00:00"/>
    <n v="270"/>
    <d v="2018-07-09T00:00:00"/>
    <n v="0"/>
    <s v="Less than 30 days"/>
    <s v="DOCXX"/>
    <x v="1"/>
    <s v="Invoice"/>
  </r>
  <r>
    <x v="13"/>
    <s v="DC"/>
    <s v="DB"/>
    <n v="1"/>
    <n v="270"/>
    <m/>
    <m/>
    <n v="58008"/>
    <s v="D266"/>
    <s v="EXSZ 901496-1"/>
    <s v="Rental"/>
    <x v="6"/>
    <d v="2018-07-01T00:00:00"/>
    <d v="2018-06-28T00:00:00"/>
    <n v="270"/>
    <d v="2018-07-09T00:00:00"/>
    <n v="0"/>
    <s v="Less than 30 days"/>
    <s v="DOCXX"/>
    <x v="1"/>
    <s v="Invoice"/>
  </r>
  <r>
    <x v="13"/>
    <s v="DC"/>
    <s v="DC"/>
    <n v="1"/>
    <n v="270"/>
    <m/>
    <m/>
    <n v="58008"/>
    <s v="D266"/>
    <s v="EXSZ 901497-7"/>
    <s v="Rental"/>
    <x v="6"/>
    <d v="2018-07-01T00:00:00"/>
    <d v="2018-06-28T00:00:00"/>
    <n v="270"/>
    <d v="2018-07-09T00:00:00"/>
    <n v="0"/>
    <s v="Less than 30 days"/>
    <s v="DOCXX"/>
    <x v="1"/>
    <s v="Invoice"/>
  </r>
  <r>
    <x v="13"/>
    <s v="DC"/>
    <s v="DD"/>
    <n v="1"/>
    <n v="270"/>
    <m/>
    <m/>
    <n v="58008"/>
    <s v="D266"/>
    <s v="EXSZ 901814-4"/>
    <s v="Rental"/>
    <x v="6"/>
    <d v="2018-07-01T00:00:00"/>
    <d v="2018-06-28T00:00:00"/>
    <n v="270"/>
    <d v="2018-07-09T00:00:00"/>
    <n v="0"/>
    <s v="Less than 30 days"/>
    <s v="DOCXX"/>
    <x v="1"/>
    <s v="Invoice"/>
  </r>
  <r>
    <x v="13"/>
    <s v="DC"/>
    <s v="DE"/>
    <n v="1"/>
    <n v="270"/>
    <m/>
    <m/>
    <n v="58008"/>
    <s v="D266"/>
    <s v="EXSZ 901837-6"/>
    <s v="Rental"/>
    <x v="6"/>
    <d v="2018-07-01T00:00:00"/>
    <d v="2018-06-28T00:00:00"/>
    <n v="270"/>
    <d v="2018-07-09T00:00:00"/>
    <n v="0"/>
    <s v="Less than 30 days"/>
    <s v="DOCXX"/>
    <x v="1"/>
    <s v="Invoice"/>
  </r>
  <r>
    <x v="13"/>
    <s v="DC"/>
    <s v="DF"/>
    <n v="1"/>
    <n v="172.5"/>
    <m/>
    <m/>
    <n v="66652"/>
    <s v="D213"/>
    <s v="EXFU 821813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G"/>
    <n v="1"/>
    <n v="172.5"/>
    <m/>
    <m/>
    <n v="66660"/>
    <s v="D009"/>
    <s v="EXFU 144830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H"/>
    <n v="1"/>
    <n v="172.5"/>
    <m/>
    <m/>
    <n v="66660"/>
    <s v="D009"/>
    <s v="EXFU 144834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I"/>
    <n v="1"/>
    <n v="172.5"/>
    <m/>
    <m/>
    <n v="66660"/>
    <s v="D009"/>
    <s v="EXFU 145531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J"/>
    <n v="1"/>
    <n v="172.5"/>
    <m/>
    <m/>
    <n v="67859"/>
    <s v="D449"/>
    <s v="EXXU 999073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K"/>
    <n v="1"/>
    <n v="172.5"/>
    <m/>
    <m/>
    <n v="67859"/>
    <s v="D449"/>
    <s v="TPMU 351467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L"/>
    <n v="1"/>
    <n v="172.5"/>
    <m/>
    <m/>
    <n v="68162"/>
    <s v="D344"/>
    <s v="EXFU 820885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M"/>
    <n v="1"/>
    <n v="172.5"/>
    <m/>
    <m/>
    <n v="68162"/>
    <s v="D344"/>
    <s v="EXFU 820893-7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N"/>
    <n v="1"/>
    <n v="172.5"/>
    <m/>
    <m/>
    <n v="68162"/>
    <s v="D344"/>
    <s v="EXFU 821644-4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O"/>
    <n v="1"/>
    <n v="172.5"/>
    <m/>
    <m/>
    <n v="68162"/>
    <s v="D344"/>
    <s v="EXFU 821645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P"/>
    <n v="1"/>
    <n v="172.5"/>
    <m/>
    <m/>
    <n v="68162"/>
    <s v="D344"/>
    <s v="EXFU 821647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Q"/>
    <n v="1"/>
    <n v="172.5"/>
    <m/>
    <m/>
    <n v="68162"/>
    <s v="D344"/>
    <s v="EXFU 821648-6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R"/>
    <n v="1"/>
    <n v="172.5"/>
    <m/>
    <m/>
    <n v="68162"/>
    <s v="D344"/>
    <s v="EXFU 821650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S"/>
    <n v="1"/>
    <n v="172.5"/>
    <m/>
    <m/>
    <n v="68162"/>
    <s v="D344"/>
    <s v="EXFU 821651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T"/>
    <n v="1"/>
    <n v="172.5"/>
    <m/>
    <m/>
    <n v="68162"/>
    <s v="D344"/>
    <s v="EXFU 821652-6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U"/>
    <n v="1"/>
    <n v="172.5"/>
    <m/>
    <m/>
    <n v="68162"/>
    <s v="D344"/>
    <s v="EXFU 821654-7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DV"/>
    <n v="1"/>
    <n v="225"/>
    <m/>
    <m/>
    <n v="68162"/>
    <s v="D344"/>
    <s v="EXSZ 901671-1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DW"/>
    <n v="1"/>
    <n v="225"/>
    <m/>
    <m/>
    <n v="68162"/>
    <s v="D344"/>
    <s v="EXSZ 901672-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DX"/>
    <n v="1"/>
    <n v="225"/>
    <m/>
    <m/>
    <n v="68162"/>
    <s v="D344"/>
    <s v="EXSZ 901714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DY"/>
    <n v="1"/>
    <n v="225"/>
    <m/>
    <m/>
    <n v="68162"/>
    <s v="D344"/>
    <s v="EXSZ 901715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DZ"/>
    <n v="1"/>
    <n v="225"/>
    <m/>
    <m/>
    <n v="68162"/>
    <s v="D344"/>
    <s v="EXSZ 901716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EA"/>
    <n v="1"/>
    <n v="225"/>
    <m/>
    <m/>
    <n v="68162"/>
    <s v="D344"/>
    <s v="EXSZ 901717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EB"/>
    <n v="1"/>
    <n v="225"/>
    <m/>
    <m/>
    <n v="68162"/>
    <s v="D344"/>
    <s v="EXSZ 901718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EC"/>
    <n v="1"/>
    <n v="225"/>
    <m/>
    <m/>
    <n v="68162"/>
    <s v="D344"/>
    <s v="EXSZ 901719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ED"/>
    <n v="1"/>
    <n v="172.5"/>
    <m/>
    <m/>
    <n v="68162"/>
    <s v="D344"/>
    <s v="TRLU 022203-1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E"/>
    <n v="1"/>
    <n v="172.5"/>
    <m/>
    <m/>
    <n v="75797"/>
    <s v="E320"/>
    <s v="EXFU 822208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F"/>
    <n v="1"/>
    <n v="172.5"/>
    <m/>
    <m/>
    <n v="75797"/>
    <s v="E320"/>
    <s v="EXFU 822209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G"/>
    <n v="1"/>
    <n v="172.5"/>
    <m/>
    <m/>
    <n v="75797"/>
    <s v="E320"/>
    <s v="EXFU 822210-7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H"/>
    <n v="1"/>
    <n v="172.5"/>
    <m/>
    <m/>
    <n v="75797"/>
    <s v="E320"/>
    <s v="EXFU 822212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I"/>
    <n v="1"/>
    <n v="172.5"/>
    <m/>
    <m/>
    <n v="75797"/>
    <s v="E320"/>
    <s v="EXFU 822215-4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J"/>
    <n v="1"/>
    <n v="172.5"/>
    <m/>
    <m/>
    <n v="75797"/>
    <s v="E320"/>
    <s v="EXFU 822216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K"/>
    <n v="1"/>
    <n v="172.5"/>
    <m/>
    <m/>
    <n v="75797"/>
    <s v="E320"/>
    <s v="EXFU 822217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L"/>
    <n v="1"/>
    <n v="172.5"/>
    <m/>
    <m/>
    <n v="75797"/>
    <s v="E320"/>
    <s v="EXFU 822218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M"/>
    <n v="1"/>
    <n v="172.5"/>
    <m/>
    <m/>
    <n v="75797"/>
    <s v="E320"/>
    <s v="EXFU 822220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N"/>
    <n v="1"/>
    <n v="172.5"/>
    <m/>
    <m/>
    <n v="75797"/>
    <s v="E320"/>
    <s v="EXFU 822221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O"/>
    <n v="1"/>
    <n v="172.5"/>
    <m/>
    <m/>
    <n v="75797"/>
    <s v="E320"/>
    <s v="EXFU 822227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P"/>
    <n v="1"/>
    <n v="172.5"/>
    <m/>
    <m/>
    <n v="75797"/>
    <s v="E320"/>
    <s v="EXFU 822228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Q"/>
    <n v="1"/>
    <n v="172.5"/>
    <m/>
    <m/>
    <n v="75797"/>
    <s v="E320"/>
    <s v="EXFU 822229-9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R"/>
    <n v="1"/>
    <n v="172.5"/>
    <m/>
    <m/>
    <n v="75797"/>
    <s v="E320"/>
    <s v="EXFU 822231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S"/>
    <n v="1"/>
    <n v="172.5"/>
    <m/>
    <m/>
    <n v="75797"/>
    <s v="E320"/>
    <s v="EXFU 822232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T"/>
    <n v="1"/>
    <n v="172.5"/>
    <m/>
    <m/>
    <n v="75797"/>
    <s v="E320"/>
    <s v="EXFU 822233-9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U"/>
    <n v="1"/>
    <n v="172.5"/>
    <m/>
    <m/>
    <n v="75797"/>
    <s v="E320"/>
    <s v="EXFU 822234-4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V"/>
    <n v="1"/>
    <n v="172.5"/>
    <m/>
    <m/>
    <n v="75797"/>
    <s v="E320"/>
    <s v="EXFU 822236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W"/>
    <n v="1"/>
    <n v="172.5"/>
    <m/>
    <m/>
    <n v="75797"/>
    <s v="E320"/>
    <s v="EXFU 822237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X"/>
    <n v="1"/>
    <n v="172.5"/>
    <m/>
    <m/>
    <n v="75797"/>
    <s v="E320"/>
    <s v="EXFU 822239-1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Y"/>
    <n v="1"/>
    <n v="172.5"/>
    <m/>
    <m/>
    <n v="77559"/>
    <s v="D449"/>
    <s v="TRLU 021960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EZ"/>
    <n v="1"/>
    <n v="172.5"/>
    <m/>
    <m/>
    <n v="91295"/>
    <s v="D284"/>
    <s v="TRLU 022326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A"/>
    <n v="1"/>
    <n v="172.5"/>
    <m/>
    <m/>
    <n v="97900"/>
    <s v="D358"/>
    <s v="USPU 122692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B"/>
    <n v="1"/>
    <n v="225"/>
    <m/>
    <m/>
    <n v="122967"/>
    <s v="D449"/>
    <s v="EXSZ 90098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C"/>
    <n v="1"/>
    <n v="225"/>
    <m/>
    <m/>
    <n v="122967"/>
    <s v="D449"/>
    <s v="EXSZ 90099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D"/>
    <n v="1"/>
    <n v="225"/>
    <m/>
    <m/>
    <n v="122967"/>
    <s v="D449"/>
    <s v="EXSZ 901083-7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E"/>
    <n v="1"/>
    <n v="225"/>
    <m/>
    <m/>
    <n v="122967"/>
    <s v="D449"/>
    <s v="EXSZ 901086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F"/>
    <n v="1"/>
    <n v="225"/>
    <m/>
    <m/>
    <n v="122967"/>
    <s v="D449"/>
    <s v="EXSZ 901100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G"/>
    <n v="1"/>
    <n v="225"/>
    <m/>
    <m/>
    <n v="122967"/>
    <s v="D449"/>
    <s v="EXSZ 901107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H"/>
    <n v="1"/>
    <n v="172.5"/>
    <m/>
    <m/>
    <n v="122967"/>
    <s v="D449"/>
    <s v="ICSU 029254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I"/>
    <n v="1"/>
    <n v="172.5"/>
    <m/>
    <m/>
    <n v="122967"/>
    <s v="D449"/>
    <s v="TPTU 820593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J"/>
    <n v="1"/>
    <n v="172.5"/>
    <m/>
    <m/>
    <n v="122967"/>
    <s v="D449"/>
    <s v="TPTU 820600-6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K"/>
    <n v="1"/>
    <n v="172.5"/>
    <m/>
    <m/>
    <n v="122967"/>
    <s v="D449"/>
    <s v="TPTU 820636-7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L"/>
    <n v="1"/>
    <n v="172.5"/>
    <m/>
    <m/>
    <n v="122967"/>
    <s v="D449"/>
    <s v="TRLU 022331-5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M"/>
    <n v="1"/>
    <n v="172.5"/>
    <m/>
    <m/>
    <n v="127678"/>
    <s v="D449"/>
    <s v="EXFU 440096-2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N"/>
    <n v="1"/>
    <n v="172.5"/>
    <m/>
    <m/>
    <n v="127678"/>
    <s v="D449"/>
    <s v="EXFU 440097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O"/>
    <n v="1"/>
    <n v="172.5"/>
    <m/>
    <m/>
    <n v="127678"/>
    <s v="D449"/>
    <s v="EXFU 440100-1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P"/>
    <n v="1"/>
    <n v="172.5"/>
    <m/>
    <m/>
    <n v="127678"/>
    <s v="D449"/>
    <s v="EXFU 440120-7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Q"/>
    <n v="1"/>
    <n v="172.5"/>
    <m/>
    <m/>
    <n v="127678"/>
    <s v="D449"/>
    <s v="EXFU 440122-8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R"/>
    <n v="1"/>
    <n v="172.5"/>
    <m/>
    <m/>
    <n v="127678"/>
    <s v="D449"/>
    <s v="EXFU 440123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S"/>
    <n v="1"/>
    <n v="172.5"/>
    <m/>
    <m/>
    <n v="127678"/>
    <s v="D449"/>
    <s v="EXFU 440124-9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FT"/>
    <n v="1"/>
    <n v="225"/>
    <m/>
    <m/>
    <n v="127678"/>
    <s v="D449"/>
    <s v="EXSZ 901883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U"/>
    <n v="1"/>
    <n v="225"/>
    <m/>
    <m/>
    <n v="127678"/>
    <s v="D449"/>
    <s v="EXSZ 901886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V"/>
    <n v="1"/>
    <n v="225"/>
    <m/>
    <m/>
    <n v="127678"/>
    <s v="D449"/>
    <s v="EXSZ 901898-8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W"/>
    <n v="1"/>
    <n v="225"/>
    <m/>
    <m/>
    <n v="127678"/>
    <s v="D449"/>
    <s v="EXSZ 901906-9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X"/>
    <n v="1"/>
    <n v="225"/>
    <m/>
    <m/>
    <n v="127678"/>
    <s v="D449"/>
    <s v="EXSZ 901967-0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Y"/>
    <n v="1"/>
    <n v="225"/>
    <m/>
    <m/>
    <n v="127678"/>
    <s v="D449"/>
    <s v="EXSZ 901968-6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FZ"/>
    <n v="1"/>
    <n v="225"/>
    <m/>
    <m/>
    <n v="127678"/>
    <s v="D449"/>
    <s v="EXSZ 901973-1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GA"/>
    <n v="1"/>
    <n v="225"/>
    <m/>
    <m/>
    <n v="127678"/>
    <s v="D449"/>
    <s v="EXSZ 901985-5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GB"/>
    <n v="1"/>
    <n v="225"/>
    <m/>
    <m/>
    <n v="127678"/>
    <s v="D449"/>
    <s v="EXSZ 901998-4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GC"/>
    <n v="1"/>
    <n v="225"/>
    <m/>
    <m/>
    <n v="127678"/>
    <s v="D449"/>
    <s v="EXSZ 902003-3"/>
    <s v="Rental"/>
    <x v="6"/>
    <d v="2018-07-01T00:00:00"/>
    <d v="2018-06-28T00:00:00"/>
    <n v="225"/>
    <d v="2018-07-09T00:00:00"/>
    <n v="0"/>
    <s v="Less than 30 days"/>
    <s v="DOCXX"/>
    <x v="1"/>
    <s v="Invoice"/>
  </r>
  <r>
    <x v="13"/>
    <s v="DC"/>
    <s v="GD"/>
    <n v="1"/>
    <n v="172.5"/>
    <m/>
    <m/>
    <n v="137491"/>
    <s v="D381"/>
    <s v="EXFU 145520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GE"/>
    <n v="1"/>
    <n v="172.5"/>
    <m/>
    <m/>
    <n v="137491"/>
    <s v="D381"/>
    <s v="EXFU 145528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GF"/>
    <n v="1"/>
    <n v="172.5"/>
    <m/>
    <m/>
    <n v="172324"/>
    <s v="E324"/>
    <s v="EXFU 144826-3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GG"/>
    <n v="1"/>
    <n v="172.5"/>
    <m/>
    <m/>
    <n v="172324"/>
    <s v="E324"/>
    <s v="EXFU 144831-9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GH"/>
    <n v="1"/>
    <n v="172.5"/>
    <m/>
    <m/>
    <n v="172324"/>
    <s v="E324"/>
    <s v="EXFU 144832-4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GI"/>
    <n v="2000"/>
    <n v="172.5"/>
    <m/>
    <m/>
    <n v="11843"/>
    <s v="D688"/>
    <s v="USPU 124680-0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DC"/>
    <s v="GJ"/>
    <n v="2000"/>
    <n v="172.5"/>
    <m/>
    <m/>
    <n v="37912"/>
    <s v="D638"/>
    <s v="TPMU 141016-2"/>
    <s v="Rental"/>
    <x v="6"/>
    <d v="2018-07-01T00:00:00"/>
    <d v="2018-06-28T00:00:00"/>
    <n v="172.5"/>
    <d v="2018-07-09T00:00:00"/>
    <n v="0"/>
    <s v="Less than 30 days"/>
    <s v="DOCXX"/>
    <x v="1"/>
    <s v="Invoice"/>
  </r>
  <r>
    <x v="13"/>
    <s v="CC"/>
    <s v="AQ"/>
    <n v="1"/>
    <n v="2601.37"/>
    <m/>
    <m/>
    <n v="1274"/>
    <s v="D358"/>
    <s v="Freeport Other Pool"/>
    <s v="Rental"/>
    <x v="6"/>
    <d v="2018-07-01T00:00:00"/>
    <d v="2018-07-09T00:00:00"/>
    <n v="2601.37"/>
    <d v="2018-07-18T00:00:00"/>
    <n v="0"/>
    <s v="Less than 30 days"/>
    <s v="DOCXX"/>
    <x v="1"/>
    <s v="Invoice"/>
  </r>
  <r>
    <x v="13"/>
    <s v="CC"/>
    <s v="AR"/>
    <n v="1"/>
    <n v="2295.98"/>
    <m/>
    <m/>
    <n v="1273"/>
    <s v="D358"/>
    <s v="Freeport Other Pool"/>
    <s v="Rental"/>
    <x v="6"/>
    <d v="2018-07-01T00:00:00"/>
    <d v="2018-07-09T00:00:00"/>
    <n v="2295.98"/>
    <d v="2018-07-18T00:00:00"/>
    <n v="0"/>
    <s v="Less than 30 days"/>
    <s v="DOCXX"/>
    <x v="1"/>
    <s v="Invoice"/>
  </r>
  <r>
    <x v="13"/>
    <s v="CC"/>
    <s v="AS"/>
    <n v="1"/>
    <n v="2210.59"/>
    <m/>
    <m/>
    <n v="58008"/>
    <s v="D266"/>
    <s v="Freeport Other Pool"/>
    <s v="Rental"/>
    <x v="6"/>
    <d v="2018-07-01T00:00:00"/>
    <d v="2018-07-09T00:00:00"/>
    <n v="2210.59"/>
    <d v="2018-07-18T00:00:00"/>
    <n v="0"/>
    <s v="Less than 30 days"/>
    <s v="DOCXX"/>
    <x v="1"/>
    <s v="Invoice"/>
  </r>
  <r>
    <x v="13"/>
    <s v="CC"/>
    <s v="AT"/>
    <n v="1"/>
    <n v="1212.75"/>
    <m/>
    <m/>
    <n v="66660"/>
    <s v="D009"/>
    <s v="Freeport Other Pool"/>
    <s v="Rental"/>
    <x v="6"/>
    <d v="2018-07-01T00:00:00"/>
    <d v="2018-07-09T00:00:00"/>
    <n v="1212.75"/>
    <d v="2018-07-18T00:00:00"/>
    <n v="0"/>
    <s v="Less than 30 days"/>
    <s v="DOCXX"/>
    <x v="1"/>
    <s v="Invoice"/>
  </r>
  <r>
    <x v="13"/>
    <s v="CC"/>
    <s v="AU"/>
    <n v="1"/>
    <n v="1041.08"/>
    <m/>
    <m/>
    <n v="97900"/>
    <s v="D358"/>
    <s v="Freeport Other Pool"/>
    <s v="Rental"/>
    <x v="6"/>
    <d v="2018-07-01T00:00:00"/>
    <d v="2018-07-09T00:00:00"/>
    <n v="1041.08"/>
    <d v="2018-07-18T00:00:00"/>
    <n v="0"/>
    <s v="Less than 30 days"/>
    <s v="DOCXX"/>
    <x v="1"/>
    <s v="Invoice"/>
  </r>
  <r>
    <x v="13"/>
    <s v="CC"/>
    <s v="AV"/>
    <n v="1"/>
    <n v="699.3"/>
    <m/>
    <m/>
    <n v="66665"/>
    <s v="D356"/>
    <s v="Freeport Other Pool"/>
    <s v="Rental"/>
    <x v="6"/>
    <d v="2018-07-01T00:00:00"/>
    <d v="2018-07-09T00:00:00"/>
    <n v="699.3"/>
    <d v="2018-07-18T00:00:00"/>
    <n v="0"/>
    <s v="Less than 30 days"/>
    <s v="DOCXX"/>
    <x v="1"/>
    <s v="Invoice"/>
  </r>
  <r>
    <x v="13"/>
    <s v="CC"/>
    <s v="AW"/>
    <n v="1"/>
    <n v="697.73"/>
    <m/>
    <m/>
    <n v="167840"/>
    <s v="D015"/>
    <s v="Freeport Other Pool"/>
    <s v="Rental"/>
    <x v="6"/>
    <d v="2018-07-01T00:00:00"/>
    <d v="2018-07-09T00:00:00"/>
    <n v="697.73"/>
    <d v="2018-07-18T00:00:00"/>
    <n v="0"/>
    <s v="Less than 30 days"/>
    <s v="DOCXX"/>
    <x v="1"/>
    <s v="Invoice"/>
  </r>
  <r>
    <x v="13"/>
    <s v="CC"/>
    <s v="AX"/>
    <n v="1"/>
    <n v="600.08000000000004"/>
    <m/>
    <m/>
    <n v="68162"/>
    <s v="D344"/>
    <s v="Freeport Other Pool"/>
    <s v="Rental"/>
    <x v="6"/>
    <d v="2018-07-01T00:00:00"/>
    <d v="2018-07-09T00:00:00"/>
    <n v="600.08000000000004"/>
    <d v="2018-07-18T00:00:00"/>
    <n v="0"/>
    <s v="Less than 30 days"/>
    <s v="DOCXX"/>
    <x v="1"/>
    <s v="Invoice"/>
  </r>
  <r>
    <x v="13"/>
    <s v="CC"/>
    <s v="AY"/>
    <n v="1"/>
    <n v="541.79999999999995"/>
    <m/>
    <m/>
    <n v="55785"/>
    <s v="D355"/>
    <s v="Freeport Other Pool"/>
    <s v="Rental"/>
    <x v="6"/>
    <d v="2018-07-01T00:00:00"/>
    <d v="2018-07-09T00:00:00"/>
    <n v="541.79999999999995"/>
    <d v="2018-07-18T00:00:00"/>
    <n v="0"/>
    <s v="Less than 30 days"/>
    <s v="DOCXX"/>
    <x v="1"/>
    <s v="Invoice"/>
  </r>
  <r>
    <x v="13"/>
    <s v="CC"/>
    <s v="AZ"/>
    <n v="1"/>
    <n v="488.25"/>
    <m/>
    <m/>
    <n v="82624"/>
    <s v="D407"/>
    <s v="Freeport Other Pool"/>
    <s v="Rental"/>
    <x v="6"/>
    <d v="2018-07-01T00:00:00"/>
    <d v="2018-07-09T00:00:00"/>
    <n v="488.25"/>
    <d v="2018-07-18T00:00:00"/>
    <n v="0"/>
    <s v="Less than 30 days"/>
    <s v="DOCXX"/>
    <x v="1"/>
    <s v="Invoice"/>
  </r>
  <r>
    <x v="13"/>
    <s v="CC"/>
    <s v="BA"/>
    <n v="1"/>
    <n v="469.35"/>
    <m/>
    <m/>
    <n v="67904"/>
    <s v="D407"/>
    <s v="Freeport Other Pool"/>
    <s v="Rental"/>
    <x v="6"/>
    <d v="2018-07-01T00:00:00"/>
    <d v="2018-07-09T00:00:00"/>
    <n v="469.35"/>
    <d v="2018-07-18T00:00:00"/>
    <n v="0"/>
    <s v="Less than 30 days"/>
    <s v="DOCXX"/>
    <x v="1"/>
    <s v="Invoice"/>
  </r>
  <r>
    <x v="13"/>
    <s v="CC"/>
    <s v="BB"/>
    <n v="1"/>
    <n v="429.98"/>
    <m/>
    <m/>
    <n v="66652"/>
    <s v="D213"/>
    <s v="Freeport Other Pool"/>
    <s v="Rental"/>
    <x v="6"/>
    <d v="2018-07-01T00:00:00"/>
    <d v="2018-07-09T00:00:00"/>
    <n v="429.98"/>
    <d v="2018-07-18T00:00:00"/>
    <n v="0"/>
    <s v="Less than 30 days"/>
    <s v="DOCXX"/>
    <x v="1"/>
    <s v="Invoice"/>
  </r>
  <r>
    <x v="13"/>
    <s v="CC"/>
    <s v="BC"/>
    <n v="1"/>
    <n v="428.4"/>
    <m/>
    <m/>
    <n v="1204"/>
    <s v="D357"/>
    <s v="Freeport Other Pool"/>
    <s v="Rental"/>
    <x v="6"/>
    <d v="2018-07-01T00:00:00"/>
    <d v="2018-07-09T00:00:00"/>
    <n v="428.4"/>
    <d v="2018-07-18T00:00:00"/>
    <n v="0"/>
    <s v="Less than 30 days"/>
    <s v="DOCXX"/>
    <x v="1"/>
    <s v="Invoice"/>
  </r>
  <r>
    <x v="13"/>
    <s v="CC"/>
    <s v="BD"/>
    <n v="1"/>
    <n v="385.88"/>
    <m/>
    <m/>
    <n v="75797"/>
    <s v="D348"/>
    <s v="Freeport Other Pool"/>
    <s v="Rental"/>
    <x v="6"/>
    <d v="2018-07-01T00:00:00"/>
    <d v="2018-07-09T00:00:00"/>
    <n v="385.88"/>
    <d v="2018-07-18T00:00:00"/>
    <n v="0"/>
    <s v="Less than 30 days"/>
    <s v="DOCXX"/>
    <x v="1"/>
    <s v="Invoice"/>
  </r>
  <r>
    <x v="13"/>
    <s v="CC"/>
    <s v="BE"/>
    <n v="1"/>
    <n v="365.4"/>
    <m/>
    <m/>
    <n v="55609"/>
    <s v="D449"/>
    <s v="Freeport Other Pool"/>
    <s v="Rental"/>
    <x v="6"/>
    <d v="2018-07-01T00:00:00"/>
    <d v="2018-07-09T00:00:00"/>
    <n v="365.4"/>
    <d v="2018-07-18T00:00:00"/>
    <n v="0"/>
    <s v="Less than 30 days"/>
    <s v="DOCXX"/>
    <x v="1"/>
    <s v="Invoice"/>
  </r>
  <r>
    <x v="13"/>
    <s v="CC"/>
    <s v="BF"/>
    <n v="1"/>
    <n v="313.43"/>
    <m/>
    <m/>
    <n v="1356"/>
    <s v="D360"/>
    <s v="Freeport Other Pool"/>
    <s v="Rental"/>
    <x v="6"/>
    <d v="2018-07-01T00:00:00"/>
    <d v="2018-07-09T00:00:00"/>
    <n v="313.43"/>
    <d v="2018-07-18T00:00:00"/>
    <n v="0"/>
    <s v="Less than 30 days"/>
    <s v="DOCXX"/>
    <x v="1"/>
    <s v="Invoice"/>
  </r>
  <r>
    <x v="13"/>
    <s v="CC"/>
    <s v="BG"/>
    <n v="1"/>
    <n v="299.25"/>
    <m/>
    <m/>
    <n v="68260"/>
    <s v="D002"/>
    <s v="Freeport Other Pool"/>
    <s v="Rental"/>
    <x v="6"/>
    <d v="2018-07-01T00:00:00"/>
    <d v="2018-07-09T00:00:00"/>
    <n v="299.25"/>
    <d v="2018-07-18T00:00:00"/>
    <n v="0"/>
    <s v="Less than 30 days"/>
    <s v="DOCXX"/>
    <x v="1"/>
    <s v="Invoice"/>
  </r>
  <r>
    <x v="13"/>
    <s v="CC"/>
    <s v="BH"/>
    <n v="1"/>
    <n v="196.88"/>
    <m/>
    <m/>
    <n v="82294"/>
    <s v="D407"/>
    <s v="Freeport Other Pool"/>
    <s v="Rental"/>
    <x v="6"/>
    <d v="2018-07-01T00:00:00"/>
    <d v="2018-07-09T00:00:00"/>
    <n v="196.88"/>
    <d v="2018-07-18T00:00:00"/>
    <n v="0"/>
    <s v="Less than 30 days"/>
    <s v="DOCXX"/>
    <x v="1"/>
    <s v="Invoice"/>
  </r>
  <r>
    <x v="13"/>
    <s v="CC"/>
    <s v="BI"/>
    <n v="1"/>
    <n v="157.5"/>
    <m/>
    <m/>
    <n v="68235"/>
    <s v="D232"/>
    <s v="Freeport Other Pool"/>
    <s v="Rental"/>
    <x v="6"/>
    <d v="2018-07-01T00:00:00"/>
    <d v="2018-07-09T00:00:00"/>
    <n v="157.5"/>
    <d v="2018-07-18T00:00:00"/>
    <n v="0"/>
    <s v="Less than 30 days"/>
    <s v="DOCXX"/>
    <x v="1"/>
    <s v="Invoice"/>
  </r>
  <r>
    <x v="13"/>
    <s v="CC"/>
    <s v="BJ"/>
    <n v="1"/>
    <n v="157.5"/>
    <m/>
    <m/>
    <n v="172324"/>
    <s v="E324"/>
    <s v="Freeport Other Pool"/>
    <s v="Rental"/>
    <x v="6"/>
    <d v="2018-07-01T00:00:00"/>
    <d v="2018-07-09T00:00:00"/>
    <n v="157.5"/>
    <d v="2018-07-18T00:00:00"/>
    <n v="0"/>
    <s v="Less than 30 days"/>
    <s v="DOCXX"/>
    <x v="1"/>
    <s v="Invoice"/>
  </r>
  <r>
    <x v="13"/>
    <s v="CC"/>
    <s v="BK"/>
    <n v="1"/>
    <n v="157.5"/>
    <m/>
    <m/>
    <n v="82330"/>
    <s v="D017"/>
    <s v="Freeport Other Pool"/>
    <s v="Rental"/>
    <x v="6"/>
    <d v="2018-07-01T00:00:00"/>
    <d v="2018-07-09T00:00:00"/>
    <n v="157.5"/>
    <d v="2018-07-18T00:00:00"/>
    <n v="0"/>
    <s v="Less than 30 days"/>
    <s v="DOCXX"/>
    <x v="1"/>
    <s v="Invoice"/>
  </r>
  <r>
    <x v="14"/>
    <s v="SN"/>
    <s v="A"/>
    <n v="1"/>
    <n v="18.7"/>
    <n v="31740726"/>
    <m/>
    <m/>
    <m/>
    <s v="Pool Shipment"/>
    <s v="Rental"/>
    <x v="6"/>
    <d v="2018-07-01T00:00:00"/>
    <d v="2018-07-09T00:00:00"/>
    <n v="18.7"/>
    <d v="2018-07-18T00:00:00"/>
    <n v="0"/>
    <s v="Less than 30 days"/>
    <s v="DOCXX"/>
    <x v="0"/>
    <s v="Invoice"/>
  </r>
  <r>
    <x v="14"/>
    <s v="SN"/>
    <s v="B"/>
    <n v="1"/>
    <n v="289.85000000000002"/>
    <n v="3190008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"/>
    <n v="1"/>
    <n v="149.6"/>
    <n v="31900081"/>
    <m/>
    <m/>
    <m/>
    <s v="Pool Shipment"/>
    <s v="Rental"/>
    <x v="6"/>
    <d v="2018-07-01T00:00:00"/>
    <d v="2018-07-09T00:00:00"/>
    <n v="149.6"/>
    <d v="2018-07-23T00:00:00"/>
    <n v="0"/>
    <s v="Less than 30 days"/>
    <s v="DOCXX"/>
    <x v="0"/>
    <s v="Invoice"/>
  </r>
  <r>
    <x v="14"/>
    <s v="SN"/>
    <s v="D"/>
    <n v="1"/>
    <n v="289.85000000000002"/>
    <n v="31942860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E"/>
    <n v="1"/>
    <n v="196.35"/>
    <n v="31942861"/>
    <m/>
    <m/>
    <m/>
    <s v="Pool Shipment"/>
    <s v="Rental"/>
    <x v="6"/>
    <d v="2018-07-01T00:00:00"/>
    <d v="2018-07-09T00:00:00"/>
    <n v="196.35"/>
    <d v="2018-07-23T00:00:00"/>
    <n v="0"/>
    <s v="Less than 30 days"/>
    <s v="DOCXX"/>
    <x v="0"/>
    <s v="Invoice"/>
  </r>
  <r>
    <x v="14"/>
    <s v="SN"/>
    <s v="F"/>
    <n v="1"/>
    <n v="233.75"/>
    <n v="32055918"/>
    <m/>
    <m/>
    <m/>
    <s v="Pool Shipment"/>
    <s v="Rental"/>
    <x v="6"/>
    <d v="2018-07-01T00:00:00"/>
    <d v="2018-07-09T00:00:00"/>
    <n v="233.75"/>
    <d v="2018-07-23T00:00:00"/>
    <n v="0"/>
    <s v="Less than 30 days"/>
    <s v="DOCXX"/>
    <x v="0"/>
    <s v="Invoice"/>
  </r>
  <r>
    <x v="14"/>
    <s v="SN"/>
    <s v="G"/>
    <n v="1"/>
    <n v="289.85000000000002"/>
    <n v="32063480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H"/>
    <n v="1"/>
    <n v="289.85000000000002"/>
    <n v="32099380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I"/>
    <n v="1"/>
    <n v="289.85000000000002"/>
    <n v="32118265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J"/>
    <n v="1"/>
    <n v="280.5"/>
    <n v="32118266"/>
    <m/>
    <m/>
    <m/>
    <s v="Pool Shipment"/>
    <s v="Rental"/>
    <x v="6"/>
    <d v="2018-07-01T00:00:00"/>
    <d v="2018-07-09T00:00:00"/>
    <n v="280.5"/>
    <d v="2018-07-23T00:00:00"/>
    <n v="0"/>
    <s v="Less than 30 days"/>
    <s v="DOCXX"/>
    <x v="0"/>
    <s v="Invoice"/>
  </r>
  <r>
    <x v="14"/>
    <s v="SN"/>
    <s v="K"/>
    <n v="1"/>
    <n v="289.85000000000002"/>
    <n v="32122029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L"/>
    <n v="1"/>
    <n v="37.4"/>
    <n v="32181080"/>
    <m/>
    <m/>
    <m/>
    <s v="Pool Shipment"/>
    <s v="Rental"/>
    <x v="6"/>
    <d v="2018-07-01T00:00:00"/>
    <d v="2018-07-09T00:00:00"/>
    <n v="37.4"/>
    <d v="2018-07-18T00:00:00"/>
    <n v="0"/>
    <s v="Less than 30 days"/>
    <s v="DOCXX"/>
    <x v="0"/>
    <s v="Invoice"/>
  </r>
  <r>
    <x v="14"/>
    <s v="SN"/>
    <s v="M"/>
    <n v="1"/>
    <n v="187"/>
    <n v="32184080"/>
    <m/>
    <m/>
    <m/>
    <s v="Pool Shipment"/>
    <s v="Rental"/>
    <x v="6"/>
    <d v="2018-07-01T00:00:00"/>
    <d v="2018-07-09T00:00:00"/>
    <n v="187"/>
    <d v="2018-07-23T00:00:00"/>
    <n v="0"/>
    <s v="Less than 30 days"/>
    <s v="DOCXX"/>
    <x v="0"/>
    <s v="Invoice"/>
  </r>
  <r>
    <x v="14"/>
    <s v="SN"/>
    <s v="N"/>
    <n v="1"/>
    <n v="233.75"/>
    <n v="32184081"/>
    <m/>
    <m/>
    <m/>
    <s v="Pool Shipment"/>
    <s v="Rental"/>
    <x v="6"/>
    <d v="2018-07-01T00:00:00"/>
    <d v="2018-07-09T00:00:00"/>
    <n v="233.75"/>
    <d v="2018-07-23T00:00:00"/>
    <n v="0"/>
    <s v="Less than 30 days"/>
    <s v="DOCXX"/>
    <x v="0"/>
    <s v="Invoice"/>
  </r>
  <r>
    <x v="14"/>
    <s v="SN"/>
    <s v="O"/>
    <n v="1"/>
    <n v="187"/>
    <n v="32184082"/>
    <m/>
    <m/>
    <m/>
    <s v="Pool Shipment"/>
    <s v="Rental"/>
    <x v="6"/>
    <d v="2018-07-01T00:00:00"/>
    <d v="2018-07-09T00:00:00"/>
    <n v="187"/>
    <d v="2018-07-23T00:00:00"/>
    <n v="0"/>
    <s v="Less than 30 days"/>
    <s v="DOCXX"/>
    <x v="0"/>
    <s v="Invoice"/>
  </r>
  <r>
    <x v="14"/>
    <s v="SN"/>
    <s v="P"/>
    <n v="1"/>
    <n v="289.85000000000002"/>
    <n v="32184083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Q"/>
    <n v="1"/>
    <n v="233.75"/>
    <n v="32184084"/>
    <m/>
    <m/>
    <m/>
    <s v="Pool Shipment"/>
    <s v="Rental"/>
    <x v="6"/>
    <d v="2018-07-01T00:00:00"/>
    <d v="2018-07-09T00:00:00"/>
    <n v="233.75"/>
    <d v="2018-07-23T00:00:00"/>
    <n v="0"/>
    <s v="Less than 30 days"/>
    <s v="DOCXX"/>
    <x v="0"/>
    <s v="Invoice"/>
  </r>
  <r>
    <x v="14"/>
    <s v="SN"/>
    <s v="R"/>
    <n v="1"/>
    <n v="289.85000000000002"/>
    <n v="32199849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S"/>
    <n v="1"/>
    <n v="289.85000000000002"/>
    <n v="32209887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T"/>
    <n v="1"/>
    <n v="289.85000000000002"/>
    <n v="32209888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U"/>
    <n v="1"/>
    <n v="233.75"/>
    <n v="32209889"/>
    <m/>
    <m/>
    <m/>
    <s v="Pool Shipment"/>
    <s v="Rental"/>
    <x v="6"/>
    <d v="2018-07-01T00:00:00"/>
    <d v="2018-07-09T00:00:00"/>
    <n v="233.75"/>
    <d v="2018-07-23T00:00:00"/>
    <n v="0"/>
    <s v="Less than 30 days"/>
    <s v="DOCXX"/>
    <x v="0"/>
    <s v="Invoice"/>
  </r>
  <r>
    <x v="14"/>
    <s v="SN"/>
    <s v="V"/>
    <n v="1"/>
    <n v="74.8"/>
    <n v="32209930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W"/>
    <n v="1"/>
    <n v="130.9"/>
    <n v="32213733"/>
    <m/>
    <m/>
    <m/>
    <s v="Pool Shipment"/>
    <s v="Rental"/>
    <x v="6"/>
    <d v="2018-07-01T00:00:00"/>
    <d v="2018-07-09T00:00:00"/>
    <n v="130.9"/>
    <d v="2018-07-23T00:00:00"/>
    <n v="0"/>
    <s v="Less than 30 days"/>
    <s v="DOCXX"/>
    <x v="0"/>
    <s v="Invoice"/>
  </r>
  <r>
    <x v="14"/>
    <s v="SN"/>
    <s v="X"/>
    <n v="1"/>
    <n v="74.8"/>
    <n v="32232208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Y"/>
    <n v="1"/>
    <n v="121.55"/>
    <n v="32232209"/>
    <m/>
    <m/>
    <m/>
    <s v="Pool Shipment"/>
    <s v="Rental"/>
    <x v="6"/>
    <d v="2018-07-01T00:00:00"/>
    <d v="2018-07-09T00:00:00"/>
    <n v="121.55"/>
    <d v="2018-07-23T00:00:00"/>
    <n v="0"/>
    <s v="Less than 30 days"/>
    <s v="DOCXX"/>
    <x v="0"/>
    <s v="Invoice"/>
  </r>
  <r>
    <x v="14"/>
    <s v="SN"/>
    <s v="Z"/>
    <n v="1"/>
    <n v="102.85"/>
    <n v="32245837"/>
    <m/>
    <m/>
    <m/>
    <s v="Pool Shipment"/>
    <s v="Rental"/>
    <x v="6"/>
    <d v="2018-07-01T00:00:00"/>
    <d v="2018-07-09T00:00:00"/>
    <n v="102.85"/>
    <d v="2018-07-23T00:00:00"/>
    <n v="0"/>
    <s v="Less than 30 days"/>
    <s v="DOCXX"/>
    <x v="0"/>
    <s v="Invoice"/>
  </r>
  <r>
    <x v="14"/>
    <s v="SN"/>
    <s v="AA"/>
    <n v="1"/>
    <n v="9.35"/>
    <n v="32245838"/>
    <m/>
    <m/>
    <m/>
    <s v="Pool Shipment"/>
    <s v="Rental"/>
    <x v="6"/>
    <d v="2018-07-01T00:00:00"/>
    <d v="2018-07-09T00:00:00"/>
    <m/>
    <m/>
    <n v="9.35"/>
    <s v="Less than 30 days"/>
    <s v="DOCXX"/>
    <x v="0"/>
    <s v="Invoice"/>
  </r>
  <r>
    <x v="14"/>
    <s v="SN"/>
    <s v="AB"/>
    <n v="1"/>
    <n v="65.45"/>
    <n v="32245839"/>
    <m/>
    <m/>
    <m/>
    <s v="Pool Shipment"/>
    <s v="Rental"/>
    <x v="6"/>
    <d v="2018-07-01T00:00:00"/>
    <d v="2018-07-09T00:00:00"/>
    <n v="65.45"/>
    <d v="2018-07-23T00:00:00"/>
    <n v="0"/>
    <s v="Less than 30 days"/>
    <s v="DOCXX"/>
    <x v="0"/>
    <s v="Invoice"/>
  </r>
  <r>
    <x v="14"/>
    <s v="SN"/>
    <s v="AC"/>
    <n v="1"/>
    <n v="74.8"/>
    <n v="32246570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AD"/>
    <n v="1"/>
    <n v="130.9"/>
    <n v="32246571"/>
    <m/>
    <m/>
    <m/>
    <s v="Pool Shipment"/>
    <s v="Rental"/>
    <x v="6"/>
    <d v="2018-07-01T00:00:00"/>
    <d v="2018-07-09T00:00:00"/>
    <n v="130.9"/>
    <d v="2018-07-23T00:00:00"/>
    <n v="0"/>
    <s v="Less than 30 days"/>
    <s v="DOCXX"/>
    <x v="0"/>
    <s v="Invoice"/>
  </r>
  <r>
    <x v="14"/>
    <s v="SN"/>
    <s v="AE"/>
    <n v="1"/>
    <n v="84.15"/>
    <n v="32246572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AF"/>
    <n v="1"/>
    <n v="65.45"/>
    <n v="32246573"/>
    <m/>
    <m/>
    <m/>
    <s v="Pool Shipment"/>
    <s v="Rental"/>
    <x v="6"/>
    <d v="2018-07-01T00:00:00"/>
    <d v="2018-07-09T00:00:00"/>
    <n v="65.45"/>
    <d v="2018-07-23T00:00:00"/>
    <n v="0"/>
    <s v="Less than 30 days"/>
    <s v="DOCXX"/>
    <x v="0"/>
    <s v="Invoice"/>
  </r>
  <r>
    <x v="14"/>
    <s v="SN"/>
    <s v="AG"/>
    <n v="1"/>
    <n v="93.5"/>
    <n v="32246574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AH"/>
    <n v="1"/>
    <n v="93.5"/>
    <n v="32246575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AI"/>
    <n v="1"/>
    <n v="93.5"/>
    <n v="32246579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AJ"/>
    <n v="1"/>
    <n v="84.15"/>
    <n v="32246625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AK"/>
    <n v="1"/>
    <n v="196.35"/>
    <n v="32246627"/>
    <m/>
    <m/>
    <m/>
    <s v="Pool Shipment"/>
    <s v="Rental"/>
    <x v="6"/>
    <d v="2018-07-01T00:00:00"/>
    <d v="2018-07-09T00:00:00"/>
    <n v="196.35"/>
    <d v="2018-07-23T00:00:00"/>
    <n v="0"/>
    <s v="Less than 30 days"/>
    <s v="DOCXX"/>
    <x v="0"/>
    <s v="Invoice"/>
  </r>
  <r>
    <x v="14"/>
    <s v="SN"/>
    <s v="AL"/>
    <n v="1"/>
    <n v="140.25"/>
    <n v="32246697"/>
    <m/>
    <m/>
    <m/>
    <s v="Pool Shipment"/>
    <s v="Rental"/>
    <x v="6"/>
    <d v="2018-07-01T00:00:00"/>
    <d v="2018-07-09T00:00:00"/>
    <n v="140.25"/>
    <d v="2018-07-23T00:00:00"/>
    <n v="0"/>
    <s v="Less than 30 days"/>
    <s v="DOCXX"/>
    <x v="0"/>
    <s v="Invoice"/>
  </r>
  <r>
    <x v="14"/>
    <s v="SN"/>
    <s v="AM"/>
    <n v="1"/>
    <n v="84.15"/>
    <n v="32246770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AN"/>
    <n v="1"/>
    <n v="149.6"/>
    <n v="32246771"/>
    <m/>
    <m/>
    <m/>
    <s v="Pool Shipment"/>
    <s v="Rental"/>
    <x v="6"/>
    <d v="2018-07-01T00:00:00"/>
    <d v="2018-07-09T00:00:00"/>
    <n v="149.6"/>
    <d v="2018-07-23T00:00:00"/>
    <n v="0"/>
    <s v="Less than 30 days"/>
    <s v="DOCXX"/>
    <x v="0"/>
    <s v="Invoice"/>
  </r>
  <r>
    <x v="14"/>
    <s v="SN"/>
    <s v="AO"/>
    <n v="1"/>
    <n v="93.5"/>
    <n v="32246772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AP"/>
    <n v="1"/>
    <n v="215.05"/>
    <n v="32246773"/>
    <m/>
    <m/>
    <m/>
    <s v="Pool Shipment"/>
    <s v="Rental"/>
    <x v="6"/>
    <d v="2018-07-01T00:00:00"/>
    <d v="2018-07-09T00:00:00"/>
    <n v="215.05"/>
    <d v="2018-07-23T00:00:00"/>
    <n v="0"/>
    <s v="Less than 30 days"/>
    <s v="DOCXX"/>
    <x v="0"/>
    <s v="Invoice"/>
  </r>
  <r>
    <x v="14"/>
    <s v="SN"/>
    <s v="AQ"/>
    <n v="1"/>
    <n v="84.15"/>
    <n v="32246775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AR"/>
    <n v="1"/>
    <n v="93.5"/>
    <n v="32246776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AS"/>
    <n v="1"/>
    <n v="37.4"/>
    <n v="32246777"/>
    <m/>
    <m/>
    <m/>
    <s v="Pool Shipment"/>
    <s v="Rental"/>
    <x v="6"/>
    <d v="2018-07-01T00:00:00"/>
    <d v="2018-07-09T00:00:00"/>
    <n v="37.4"/>
    <d v="2018-07-23T00:00:00"/>
    <n v="0"/>
    <s v="Less than 30 days"/>
    <s v="DOCXX"/>
    <x v="0"/>
    <s v="Invoice"/>
  </r>
  <r>
    <x v="14"/>
    <s v="SN"/>
    <s v="AT"/>
    <n v="1"/>
    <n v="121.55"/>
    <n v="32246778"/>
    <m/>
    <m/>
    <m/>
    <s v="Pool Shipment"/>
    <s v="Rental"/>
    <x v="6"/>
    <d v="2018-07-01T00:00:00"/>
    <d v="2018-07-09T00:00:00"/>
    <n v="121.55"/>
    <d v="2018-07-23T00:00:00"/>
    <n v="0"/>
    <s v="Less than 30 days"/>
    <s v="DOCXX"/>
    <x v="0"/>
    <s v="Invoice"/>
  </r>
  <r>
    <x v="14"/>
    <s v="SN"/>
    <s v="AU"/>
    <n v="1"/>
    <n v="37.4"/>
    <n v="32246779"/>
    <m/>
    <m/>
    <m/>
    <s v="Pool Shipment"/>
    <s v="Rental"/>
    <x v="6"/>
    <d v="2018-07-01T00:00:00"/>
    <d v="2018-07-09T00:00:00"/>
    <n v="37.4"/>
    <d v="2018-07-23T00:00:00"/>
    <n v="0"/>
    <s v="Less than 30 days"/>
    <s v="DOCXX"/>
    <x v="0"/>
    <s v="Invoice"/>
  </r>
  <r>
    <x v="14"/>
    <s v="SN"/>
    <s v="AV"/>
    <n v="1"/>
    <n v="65.45"/>
    <n v="32246830"/>
    <m/>
    <m/>
    <m/>
    <s v="Pool Shipment"/>
    <s v="Rental"/>
    <x v="6"/>
    <d v="2018-07-01T00:00:00"/>
    <d v="2018-07-09T00:00:00"/>
    <n v="65.45"/>
    <d v="2018-07-23T00:00:00"/>
    <n v="0"/>
    <s v="Less than 30 days"/>
    <s v="DOCXX"/>
    <x v="0"/>
    <s v="Invoice"/>
  </r>
  <r>
    <x v="14"/>
    <s v="SN"/>
    <s v="AW"/>
    <n v="1"/>
    <n v="130.9"/>
    <n v="32246861"/>
    <m/>
    <m/>
    <m/>
    <s v="Pool Shipment"/>
    <s v="Rental"/>
    <x v="6"/>
    <d v="2018-07-01T00:00:00"/>
    <d v="2018-07-09T00:00:00"/>
    <n v="130.9"/>
    <d v="2018-07-23T00:00:00"/>
    <n v="0"/>
    <s v="Less than 30 days"/>
    <s v="DOCXX"/>
    <x v="0"/>
    <s v="Invoice"/>
  </r>
  <r>
    <x v="14"/>
    <s v="SN"/>
    <s v="AX"/>
    <n v="1"/>
    <n v="18.7"/>
    <n v="32246880"/>
    <m/>
    <m/>
    <m/>
    <s v="Pool Shipment"/>
    <s v="Rental"/>
    <x v="6"/>
    <d v="2018-07-01T00:00:00"/>
    <d v="2018-07-09T00:00:00"/>
    <n v="18.7"/>
    <d v="2018-07-18T00:00:00"/>
    <n v="0"/>
    <s v="Less than 30 days"/>
    <s v="DOCXX"/>
    <x v="0"/>
    <s v="Invoice"/>
  </r>
  <r>
    <x v="14"/>
    <s v="SN"/>
    <s v="AY"/>
    <n v="1"/>
    <n v="74.8"/>
    <n v="32246941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AZ"/>
    <n v="1"/>
    <n v="84.15"/>
    <n v="32246942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BA"/>
    <n v="1"/>
    <n v="74.8"/>
    <n v="32246943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BB"/>
    <n v="1"/>
    <n v="121.55"/>
    <n v="32246946"/>
    <m/>
    <m/>
    <m/>
    <s v="Pool Shipment"/>
    <s v="Rental"/>
    <x v="6"/>
    <d v="2018-07-01T00:00:00"/>
    <d v="2018-07-09T00:00:00"/>
    <n v="121.55"/>
    <d v="2018-07-23T00:00:00"/>
    <n v="0"/>
    <s v="Less than 30 days"/>
    <s v="DOCXX"/>
    <x v="0"/>
    <s v="Invoice"/>
  </r>
  <r>
    <x v="14"/>
    <s v="SN"/>
    <s v="BC"/>
    <n v="1"/>
    <n v="93.5"/>
    <n v="32246947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BD"/>
    <n v="1"/>
    <n v="149.6"/>
    <n v="32246948"/>
    <m/>
    <m/>
    <m/>
    <s v="Pool Shipment"/>
    <s v="Rental"/>
    <x v="6"/>
    <d v="2018-07-01T00:00:00"/>
    <d v="2018-07-09T00:00:00"/>
    <n v="149.6"/>
    <d v="2018-07-23T00:00:00"/>
    <n v="0"/>
    <s v="Less than 30 days"/>
    <s v="DOCXX"/>
    <x v="0"/>
    <s v="Invoice"/>
  </r>
  <r>
    <x v="14"/>
    <s v="SN"/>
    <s v="BE"/>
    <n v="1"/>
    <n v="74.8"/>
    <n v="32247181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BF"/>
    <n v="1"/>
    <n v="140.25"/>
    <n v="32247182"/>
    <m/>
    <m/>
    <m/>
    <s v="Pool Shipment"/>
    <s v="Rental"/>
    <x v="6"/>
    <d v="2018-07-01T00:00:00"/>
    <d v="2018-07-09T00:00:00"/>
    <n v="140.25"/>
    <d v="2018-07-23T00:00:00"/>
    <n v="0"/>
    <s v="Less than 30 days"/>
    <s v="DOCXX"/>
    <x v="0"/>
    <s v="Invoice"/>
  </r>
  <r>
    <x v="14"/>
    <s v="SN"/>
    <s v="BG"/>
    <n v="1"/>
    <n v="168.3"/>
    <n v="32257822"/>
    <m/>
    <m/>
    <m/>
    <s v="Pool Shipment"/>
    <s v="Rental"/>
    <x v="6"/>
    <d v="2018-07-01T00:00:00"/>
    <d v="2018-07-09T00:00:00"/>
    <n v="168.3"/>
    <d v="2018-07-23T00:00:00"/>
    <n v="0"/>
    <s v="Less than 30 days"/>
    <s v="DOCXX"/>
    <x v="0"/>
    <s v="Invoice"/>
  </r>
  <r>
    <x v="14"/>
    <s v="SN"/>
    <s v="BH"/>
    <n v="1"/>
    <n v="158.94999999999999"/>
    <n v="32266102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I"/>
    <n v="1"/>
    <n v="158.94999999999999"/>
    <n v="32266103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J"/>
    <n v="1"/>
    <n v="158.94999999999999"/>
    <n v="32266104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K"/>
    <n v="1"/>
    <n v="158.94999999999999"/>
    <n v="32266105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L"/>
    <n v="1"/>
    <n v="168.3"/>
    <n v="32266106"/>
    <m/>
    <m/>
    <m/>
    <s v="Pool Shipment"/>
    <s v="Rental"/>
    <x v="6"/>
    <d v="2018-07-01T00:00:00"/>
    <d v="2018-07-09T00:00:00"/>
    <n v="168.3"/>
    <d v="2018-07-23T00:00:00"/>
    <n v="0"/>
    <s v="Less than 30 days"/>
    <s v="DOCXX"/>
    <x v="0"/>
    <s v="Invoice"/>
  </r>
  <r>
    <x v="14"/>
    <s v="SN"/>
    <s v="BM"/>
    <n v="1"/>
    <n v="158.94999999999999"/>
    <n v="32266107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N"/>
    <n v="1"/>
    <n v="140.25"/>
    <n v="32266803"/>
    <m/>
    <m/>
    <m/>
    <s v="Pool Shipment"/>
    <s v="Rental"/>
    <x v="6"/>
    <d v="2018-07-01T00:00:00"/>
    <d v="2018-07-09T00:00:00"/>
    <n v="140.25"/>
    <d v="2018-07-23T00:00:00"/>
    <n v="0"/>
    <s v="Less than 30 days"/>
    <s v="DOCXX"/>
    <x v="0"/>
    <s v="Invoice"/>
  </r>
  <r>
    <x v="14"/>
    <s v="SN"/>
    <s v="BO"/>
    <n v="1"/>
    <n v="93.5"/>
    <n v="32268829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BP"/>
    <n v="1"/>
    <n v="158.94999999999999"/>
    <n v="32275517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Q"/>
    <n v="1"/>
    <n v="158.94999999999999"/>
    <n v="32286851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R"/>
    <n v="1"/>
    <n v="158.94999999999999"/>
    <n v="32286852"/>
    <m/>
    <m/>
    <m/>
    <s v="Pool Shipment"/>
    <s v="Rental"/>
    <x v="6"/>
    <d v="2018-07-01T00:00:00"/>
    <d v="2018-07-09T00:00:00"/>
    <n v="158.94999999999999"/>
    <d v="2018-07-23T00:00:00"/>
    <n v="0"/>
    <s v="Less than 30 days"/>
    <s v="DOCXX"/>
    <x v="0"/>
    <s v="Invoice"/>
  </r>
  <r>
    <x v="14"/>
    <s v="SN"/>
    <s v="BS"/>
    <n v="1"/>
    <n v="84.15"/>
    <n v="32309116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BT"/>
    <n v="1"/>
    <n v="140.25"/>
    <n v="32311510"/>
    <m/>
    <m/>
    <m/>
    <s v="Pool Shipment"/>
    <s v="Rental"/>
    <x v="6"/>
    <d v="2018-07-01T00:00:00"/>
    <d v="2018-07-09T00:00:00"/>
    <n v="140.25"/>
    <d v="2018-07-23T00:00:00"/>
    <n v="0"/>
    <s v="Less than 30 days"/>
    <s v="DOCXX"/>
    <x v="0"/>
    <s v="Invoice"/>
  </r>
  <r>
    <x v="14"/>
    <s v="SN"/>
    <s v="BU"/>
    <n v="1"/>
    <n v="149.6"/>
    <n v="32321667"/>
    <m/>
    <m/>
    <m/>
    <s v="Pool Shipment"/>
    <s v="Rental"/>
    <x v="6"/>
    <d v="2018-07-01T00:00:00"/>
    <d v="2018-07-09T00:00:00"/>
    <n v="149.6"/>
    <d v="2018-07-23T00:00:00"/>
    <n v="0"/>
    <s v="Less than 30 days"/>
    <s v="DOCXX"/>
    <x v="0"/>
    <s v="Invoice"/>
  </r>
  <r>
    <x v="14"/>
    <s v="SN"/>
    <s v="BV"/>
    <n v="1"/>
    <n v="149.6"/>
    <n v="32331900"/>
    <m/>
    <m/>
    <m/>
    <s v="Pool Shipment"/>
    <s v="Rental"/>
    <x v="6"/>
    <d v="2018-07-01T00:00:00"/>
    <d v="2018-07-09T00:00:00"/>
    <n v="149.6"/>
    <d v="2018-07-23T00:00:00"/>
    <n v="0"/>
    <s v="Less than 30 days"/>
    <s v="DOCXX"/>
    <x v="0"/>
    <s v="Invoice"/>
  </r>
  <r>
    <x v="14"/>
    <s v="SN"/>
    <s v="BW"/>
    <n v="1"/>
    <n v="121.55"/>
    <n v="32341617"/>
    <m/>
    <m/>
    <m/>
    <s v="Pool Shipment"/>
    <s v="Rental"/>
    <x v="6"/>
    <d v="2018-07-01T00:00:00"/>
    <d v="2018-07-09T00:00:00"/>
    <n v="121.55"/>
    <d v="2018-07-23T00:00:00"/>
    <n v="0"/>
    <s v="Less than 30 days"/>
    <s v="DOCXX"/>
    <x v="0"/>
    <s v="Invoice"/>
  </r>
  <r>
    <x v="14"/>
    <s v="SN"/>
    <s v="BX"/>
    <n v="1"/>
    <n v="93.5"/>
    <n v="32342401"/>
    <m/>
    <m/>
    <m/>
    <s v="Pool Shipment"/>
    <s v="Rental"/>
    <x v="6"/>
    <d v="2018-07-01T00:00:00"/>
    <d v="2018-07-09T00:00:00"/>
    <n v="93.5"/>
    <d v="2018-07-23T00:00:00"/>
    <n v="0"/>
    <s v="Less than 30 days"/>
    <s v="DOCXX"/>
    <x v="0"/>
    <s v="Invoice"/>
  </r>
  <r>
    <x v="14"/>
    <s v="SN"/>
    <s v="BY"/>
    <n v="1"/>
    <n v="140.25"/>
    <n v="32352181"/>
    <m/>
    <m/>
    <m/>
    <s v="Pool Shipment"/>
    <s v="Rental"/>
    <x v="6"/>
    <d v="2018-07-01T00:00:00"/>
    <d v="2018-07-09T00:00:00"/>
    <n v="140.25"/>
    <d v="2018-07-23T00:00:00"/>
    <n v="0"/>
    <s v="Less than 30 days"/>
    <s v="DOCXX"/>
    <x v="0"/>
    <s v="Invoice"/>
  </r>
  <r>
    <x v="14"/>
    <s v="SN"/>
    <s v="BZ"/>
    <n v="1"/>
    <n v="102.85"/>
    <n v="32362571"/>
    <m/>
    <m/>
    <m/>
    <s v="Pool Shipment"/>
    <s v="Rental"/>
    <x v="6"/>
    <d v="2018-07-01T00:00:00"/>
    <d v="2018-07-09T00:00:00"/>
    <n v="102.85"/>
    <d v="2018-07-23T00:00:00"/>
    <n v="0"/>
    <s v="Less than 30 days"/>
    <s v="DOCXX"/>
    <x v="0"/>
    <s v="Invoice"/>
  </r>
  <r>
    <x v="14"/>
    <s v="SN"/>
    <s v="CA"/>
    <n v="1"/>
    <n v="102.85"/>
    <n v="32372623"/>
    <m/>
    <m/>
    <m/>
    <s v="Pool Shipment"/>
    <s v="Rental"/>
    <x v="6"/>
    <d v="2018-07-01T00:00:00"/>
    <d v="2018-07-09T00:00:00"/>
    <n v="102.85"/>
    <d v="2018-07-23T00:00:00"/>
    <n v="0"/>
    <s v="Less than 30 days"/>
    <s v="DOCXX"/>
    <x v="0"/>
    <s v="Invoice"/>
  </r>
  <r>
    <x v="14"/>
    <s v="SN"/>
    <s v="CB"/>
    <n v="1"/>
    <n v="102.85"/>
    <n v="32372623"/>
    <m/>
    <m/>
    <m/>
    <s v="Pool Shipment"/>
    <s v="Rental"/>
    <x v="6"/>
    <d v="2018-07-01T00:00:00"/>
    <d v="2018-07-09T00:00:00"/>
    <n v="102.85"/>
    <d v="2018-07-23T00:00:00"/>
    <n v="0"/>
    <s v="Less than 30 days"/>
    <s v="DOCXX"/>
    <x v="0"/>
    <s v="Invoice"/>
  </r>
  <r>
    <x v="14"/>
    <s v="SN"/>
    <s v="CC"/>
    <n v="1"/>
    <n v="84.15"/>
    <n v="32383916"/>
    <m/>
    <m/>
    <m/>
    <s v="Pool Shipment"/>
    <s v="Rental"/>
    <x v="6"/>
    <d v="2018-07-01T00:00:00"/>
    <d v="2018-07-09T00:00:00"/>
    <n v="84.15"/>
    <d v="2018-07-23T00:00:00"/>
    <n v="0"/>
    <s v="Less than 30 days"/>
    <s v="DOCXX"/>
    <x v="0"/>
    <s v="Invoice"/>
  </r>
  <r>
    <x v="14"/>
    <s v="SN"/>
    <s v="CD"/>
    <n v="1"/>
    <n v="37.4"/>
    <n v="32393562"/>
    <m/>
    <m/>
    <m/>
    <s v="Pool Shipment"/>
    <s v="Rental"/>
    <x v="6"/>
    <d v="2018-07-01T00:00:00"/>
    <d v="2018-07-09T00:00:00"/>
    <n v="37.4"/>
    <d v="2018-07-23T00:00:00"/>
    <n v="0"/>
    <s v="Less than 30 days"/>
    <s v="DOCXX"/>
    <x v="0"/>
    <s v="Invoice"/>
  </r>
  <r>
    <x v="14"/>
    <s v="SN"/>
    <s v="CE"/>
    <n v="1"/>
    <n v="65.45"/>
    <n v="32393563"/>
    <m/>
    <m/>
    <m/>
    <s v="Pool Shipment"/>
    <s v="Rental"/>
    <x v="6"/>
    <d v="2018-07-01T00:00:00"/>
    <d v="2018-07-09T00:00:00"/>
    <n v="65.45"/>
    <d v="2018-07-23T00:00:00"/>
    <n v="0"/>
    <s v="Less than 30 days"/>
    <s v="DOCXX"/>
    <x v="0"/>
    <s v="Invoice"/>
  </r>
  <r>
    <x v="14"/>
    <s v="SN"/>
    <s v="CF"/>
    <n v="1"/>
    <n v="74.8"/>
    <n v="32407801"/>
    <m/>
    <m/>
    <m/>
    <s v="Pool Shipment"/>
    <s v="Rental"/>
    <x v="6"/>
    <d v="2018-07-01T00:00:00"/>
    <d v="2018-07-09T00:00:00"/>
    <n v="74.8"/>
    <d v="2018-07-23T00:00:00"/>
    <n v="0"/>
    <s v="Less than 30 days"/>
    <s v="DOCXX"/>
    <x v="0"/>
    <s v="Invoice"/>
  </r>
  <r>
    <x v="14"/>
    <s v="SN"/>
    <s v="CG"/>
    <n v="1"/>
    <n v="28.05"/>
    <n v="32418615"/>
    <m/>
    <m/>
    <m/>
    <s v="Pool Shipment"/>
    <s v="Rental"/>
    <x v="6"/>
    <d v="2018-07-01T00:00:00"/>
    <d v="2018-07-09T00:00:00"/>
    <n v="28.05"/>
    <d v="2018-07-23T00:00:00"/>
    <n v="0"/>
    <s v="Less than 30 days"/>
    <s v="DOCXX"/>
    <x v="0"/>
    <s v="Invoice"/>
  </r>
  <r>
    <x v="14"/>
    <s v="SN"/>
    <s v="CH"/>
    <n v="1"/>
    <n v="37.4"/>
    <n v="32435059"/>
    <m/>
    <m/>
    <m/>
    <s v="Pool Shipment"/>
    <s v="Rental"/>
    <x v="6"/>
    <d v="2018-07-01T00:00:00"/>
    <d v="2018-07-09T00:00:00"/>
    <n v="37.4"/>
    <d v="2018-07-23T00:00:00"/>
    <n v="0"/>
    <s v="Less than 30 days"/>
    <s v="DOCXX"/>
    <x v="0"/>
    <s v="Invoice"/>
  </r>
  <r>
    <x v="14"/>
    <s v="SN"/>
    <s v="CI"/>
    <n v="1"/>
    <n v="289.85000000000002"/>
    <n v="2874031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J"/>
    <n v="1"/>
    <n v="289.85000000000002"/>
    <n v="3078878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K"/>
    <n v="1"/>
    <n v="289.85000000000002"/>
    <n v="3189793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L"/>
    <n v="1"/>
    <n v="289.85000000000002"/>
    <n v="2851937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M"/>
    <n v="1"/>
    <n v="289.85000000000002"/>
    <n v="3186568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N"/>
    <n v="1"/>
    <n v="289.85000000000002"/>
    <n v="2765636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O"/>
    <n v="1"/>
    <n v="289.85000000000002"/>
    <n v="32180796"/>
    <m/>
    <m/>
    <m/>
    <s v="Pool Shipment"/>
    <s v="Rental"/>
    <x v="6"/>
    <d v="2018-07-01T00:00:00"/>
    <d v="2018-07-09T00:00:00"/>
    <n v="289.85000000000002"/>
    <d v="2018-07-23T00:00:00"/>
    <n v="0"/>
    <s v="Less than 30 days"/>
    <s v="DOCXX"/>
    <x v="0"/>
    <s v="Invoice"/>
  </r>
  <r>
    <x v="14"/>
    <s v="SN"/>
    <s v="CP"/>
    <n v="1"/>
    <n v="289.85000000000002"/>
    <n v="2792079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Q"/>
    <n v="1"/>
    <n v="289.85000000000002"/>
    <n v="2760913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R"/>
    <n v="1"/>
    <n v="289.85000000000002"/>
    <n v="29953891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S"/>
    <n v="1"/>
    <n v="289.85000000000002"/>
    <n v="31048611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T"/>
    <n v="1"/>
    <n v="289.85000000000002"/>
    <n v="31325411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U"/>
    <n v="1"/>
    <n v="289.85000000000002"/>
    <n v="2760913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V"/>
    <n v="1"/>
    <n v="289.85000000000002"/>
    <n v="3104026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W"/>
    <n v="1"/>
    <n v="289.85000000000002"/>
    <n v="2777987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X"/>
    <n v="1"/>
    <n v="289.85000000000002"/>
    <n v="2685906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Y"/>
    <n v="1"/>
    <n v="289.85000000000002"/>
    <n v="2781902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CZ"/>
    <n v="1"/>
    <n v="289.85000000000002"/>
    <n v="2747522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A"/>
    <n v="1"/>
    <n v="289.85000000000002"/>
    <n v="3108148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B"/>
    <n v="1"/>
    <n v="289.85000000000002"/>
    <n v="3123663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C"/>
    <n v="1"/>
    <n v="289.85000000000002"/>
    <n v="2790899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D"/>
    <n v="1"/>
    <n v="289.85000000000002"/>
    <n v="3173205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E"/>
    <n v="1"/>
    <n v="289.85000000000002"/>
    <n v="3073003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F"/>
    <n v="1"/>
    <n v="289.85000000000002"/>
    <n v="2867747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G"/>
    <n v="1"/>
    <n v="289.85000000000002"/>
    <n v="3202031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H"/>
    <n v="1"/>
    <n v="289.85000000000002"/>
    <n v="2791972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I"/>
    <n v="1"/>
    <n v="65.45"/>
    <n v="32055919"/>
    <m/>
    <m/>
    <m/>
    <s v="Pool Shipment"/>
    <s v="Rental"/>
    <x v="6"/>
    <d v="2018-07-01T00:00:00"/>
    <d v="2018-07-09T00:00:00"/>
    <n v="65.45"/>
    <d v="2018-07-18T00:00:00"/>
    <n v="0"/>
    <s v="Less than 30 days"/>
    <s v="DOCXX"/>
    <x v="0"/>
    <s v="Invoice"/>
  </r>
  <r>
    <x v="14"/>
    <s v="SN"/>
    <s v="DJ"/>
    <n v="1"/>
    <n v="289.85000000000002"/>
    <n v="2833059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K"/>
    <n v="1"/>
    <n v="289.85000000000002"/>
    <n v="3093999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L"/>
    <n v="1"/>
    <n v="289.85000000000002"/>
    <n v="3070983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M"/>
    <n v="1"/>
    <n v="289.85000000000002"/>
    <n v="31759383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N"/>
    <n v="1"/>
    <n v="289.85000000000002"/>
    <n v="30466964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O"/>
    <n v="1"/>
    <n v="289.85000000000002"/>
    <n v="25866744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P"/>
    <n v="1"/>
    <n v="289.85000000000002"/>
    <n v="2405816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Q"/>
    <n v="1"/>
    <n v="289.85000000000002"/>
    <n v="28434103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R"/>
    <n v="1"/>
    <n v="289.85000000000002"/>
    <n v="3044841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S"/>
    <n v="1"/>
    <n v="289.85000000000002"/>
    <n v="27609261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T"/>
    <n v="1"/>
    <n v="289.85000000000002"/>
    <n v="3073847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U"/>
    <n v="1"/>
    <n v="289.85000000000002"/>
    <n v="30668263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V"/>
    <n v="1"/>
    <n v="289.85000000000002"/>
    <n v="2751108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W"/>
    <n v="1"/>
    <n v="289.85000000000002"/>
    <n v="3100308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X"/>
    <n v="1"/>
    <n v="289.85000000000002"/>
    <n v="3047345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DY"/>
    <n v="1"/>
    <n v="289.85000000000002"/>
    <n v="28443652"/>
    <m/>
    <m/>
    <m/>
    <s v="Pool Shipment"/>
    <s v="Rental"/>
    <x v="6"/>
    <d v="2018-07-01T00:00:00"/>
    <d v="2018-07-09T00:00:00"/>
    <m/>
    <m/>
    <n v="289.85000000000002"/>
    <s v="Less than 30 days"/>
    <s v="DOCXX"/>
    <x v="0"/>
    <s v="Invoice"/>
  </r>
  <r>
    <x v="14"/>
    <s v="SN"/>
    <s v="DZ"/>
    <n v="1"/>
    <n v="289.85000000000002"/>
    <n v="3058800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A"/>
    <n v="1"/>
    <n v="289.85000000000002"/>
    <n v="2784097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B"/>
    <n v="1"/>
    <n v="289.85000000000002"/>
    <n v="2351602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C"/>
    <n v="1"/>
    <n v="289.85000000000002"/>
    <n v="3030861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D"/>
    <n v="1"/>
    <n v="289.85000000000002"/>
    <n v="3030861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E"/>
    <n v="1"/>
    <n v="289.85000000000002"/>
    <n v="2740659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F"/>
    <n v="1"/>
    <n v="289.85000000000002"/>
    <n v="3030861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G"/>
    <n v="1"/>
    <n v="289.85000000000002"/>
    <n v="27629934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H"/>
    <n v="1"/>
    <n v="289.85000000000002"/>
    <n v="3070659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I"/>
    <n v="1"/>
    <n v="289.85000000000002"/>
    <n v="3078504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J"/>
    <n v="1"/>
    <n v="289.85000000000002"/>
    <n v="3186618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K"/>
    <n v="1"/>
    <n v="289.85000000000002"/>
    <n v="3200939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L"/>
    <n v="1"/>
    <n v="289.85000000000002"/>
    <n v="3085039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M"/>
    <n v="1"/>
    <n v="289.85000000000002"/>
    <n v="2820674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N"/>
    <n v="1"/>
    <n v="289.85000000000002"/>
    <n v="2377095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O"/>
    <n v="1"/>
    <n v="289.85000000000002"/>
    <n v="3057375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P"/>
    <n v="1"/>
    <n v="289.85000000000002"/>
    <n v="2865120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Q"/>
    <n v="1"/>
    <n v="289.85000000000002"/>
    <n v="3190008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R"/>
    <n v="1"/>
    <n v="289.85000000000002"/>
    <n v="3085039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S"/>
    <n v="1"/>
    <n v="289.85000000000002"/>
    <n v="27656481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T"/>
    <n v="1"/>
    <n v="289.85000000000002"/>
    <n v="2942062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U"/>
    <n v="1"/>
    <n v="84.15"/>
    <n v="29746687"/>
    <m/>
    <m/>
    <m/>
    <s v="Pool Shipment"/>
    <s v="Rental"/>
    <x v="6"/>
    <d v="2018-07-01T00:00:00"/>
    <d v="2018-07-09T00:00:00"/>
    <n v="84.15"/>
    <d v="2018-07-18T00:00:00"/>
    <n v="0"/>
    <s v="Less than 30 days"/>
    <s v="DOCXX"/>
    <x v="0"/>
    <s v="Invoice"/>
  </r>
  <r>
    <x v="14"/>
    <s v="SN"/>
    <s v="EV"/>
    <n v="1"/>
    <n v="289.85000000000002"/>
    <n v="2987767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W"/>
    <n v="1"/>
    <n v="289.85000000000002"/>
    <n v="2987264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X"/>
    <n v="1"/>
    <n v="289.85000000000002"/>
    <n v="29421038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Y"/>
    <n v="1"/>
    <n v="289.85000000000002"/>
    <n v="2884731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EZ"/>
    <n v="1"/>
    <n v="289.85000000000002"/>
    <n v="3071397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A"/>
    <n v="1"/>
    <n v="289.85000000000002"/>
    <n v="25417840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B"/>
    <n v="1"/>
    <n v="289.85000000000002"/>
    <n v="2766548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C"/>
    <n v="1"/>
    <n v="289.85000000000002"/>
    <n v="3026050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D"/>
    <n v="1"/>
    <n v="289.85000000000002"/>
    <n v="31334214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E"/>
    <n v="1"/>
    <n v="289.85000000000002"/>
    <n v="3025949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F"/>
    <n v="1"/>
    <n v="289.85000000000002"/>
    <n v="2755695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G"/>
    <n v="1"/>
    <n v="289.85000000000002"/>
    <n v="3070983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H"/>
    <n v="1"/>
    <n v="289.85000000000002"/>
    <n v="30771122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I"/>
    <n v="1"/>
    <n v="289.85000000000002"/>
    <n v="30307894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J"/>
    <n v="1"/>
    <n v="289.85000000000002"/>
    <n v="30839527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K"/>
    <n v="1"/>
    <n v="289.85000000000002"/>
    <n v="30274933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L"/>
    <n v="1"/>
    <n v="289.85000000000002"/>
    <n v="2947385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M"/>
    <n v="1"/>
    <n v="289.85000000000002"/>
    <n v="24153269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N"/>
    <n v="1"/>
    <n v="289.85000000000002"/>
    <n v="30721205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O"/>
    <n v="1"/>
    <n v="289.85000000000002"/>
    <n v="3078806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SN"/>
    <s v="FP"/>
    <n v="1"/>
    <n v="168.3"/>
    <n v="31519882"/>
    <m/>
    <m/>
    <m/>
    <s v="Pool Shipment"/>
    <s v="Rental"/>
    <x v="6"/>
    <d v="2018-07-01T00:00:00"/>
    <d v="2018-07-09T00:00:00"/>
    <n v="168.3"/>
    <d v="2018-07-18T00:00:00"/>
    <n v="0"/>
    <s v="Less than 30 days"/>
    <s v="DOCXX"/>
    <x v="0"/>
    <s v="Invoice"/>
  </r>
  <r>
    <x v="14"/>
    <s v="SN"/>
    <s v="FQ"/>
    <n v="1"/>
    <n v="289.85000000000002"/>
    <n v="31473966"/>
    <m/>
    <m/>
    <m/>
    <s v="Pool Shipment"/>
    <s v="Rental"/>
    <x v="6"/>
    <d v="2018-07-01T00:00:00"/>
    <d v="2018-07-09T00:00:00"/>
    <n v="289.85000000000002"/>
    <d v="2018-07-18T00:00:00"/>
    <n v="0"/>
    <s v="Less than 30 days"/>
    <s v="DOCXX"/>
    <x v="0"/>
    <s v="Invoice"/>
  </r>
  <r>
    <x v="14"/>
    <s v="CC"/>
    <s v="A"/>
    <n v="1"/>
    <n v="13289.8"/>
    <m/>
    <m/>
    <n v="1274"/>
    <s v="D358"/>
    <s v="Freeport Tank Pool"/>
    <s v="Rental"/>
    <x v="6"/>
    <d v="2018-07-01T00:00:00"/>
    <d v="2018-07-09T00:00:00"/>
    <n v="13289.8"/>
    <d v="2018-07-18T00:00:00"/>
    <n v="0"/>
    <s v="Less than 30 days"/>
    <s v="DOCXX"/>
    <x v="0"/>
    <s v="Invoice"/>
  </r>
  <r>
    <x v="14"/>
    <s v="CC"/>
    <s v="B"/>
    <n v="1"/>
    <n v="11729.44"/>
    <m/>
    <m/>
    <n v="1273"/>
    <s v="D358"/>
    <s v="Freeport Tank Pool"/>
    <s v="Rental"/>
    <x v="6"/>
    <d v="2018-07-01T00:00:00"/>
    <d v="2018-07-09T00:00:00"/>
    <n v="11729.44"/>
    <d v="2018-07-18T00:00:00"/>
    <n v="0"/>
    <s v="Less than 30 days"/>
    <s v="DOCXX"/>
    <x v="0"/>
    <s v="Invoice"/>
  </r>
  <r>
    <x v="14"/>
    <s v="CC"/>
    <s v="C"/>
    <n v="1"/>
    <n v="11293.24"/>
    <m/>
    <m/>
    <n v="58008"/>
    <s v="D266"/>
    <s v="Freeport Tank Pool"/>
    <s v="Rental"/>
    <x v="6"/>
    <d v="2018-07-01T00:00:00"/>
    <d v="2018-07-09T00:00:00"/>
    <n v="11293.24"/>
    <d v="2018-07-18T00:00:00"/>
    <n v="0"/>
    <s v="Less than 30 days"/>
    <s v="DOCXX"/>
    <x v="0"/>
    <s v="Invoice"/>
  </r>
  <r>
    <x v="14"/>
    <s v="CC"/>
    <s v="D"/>
    <n v="1"/>
    <n v="6195.57"/>
    <m/>
    <m/>
    <n v="66660"/>
    <s v="D009"/>
    <s v="Freeport Tank Pool"/>
    <s v="Rental"/>
    <x v="6"/>
    <d v="2018-07-01T00:00:00"/>
    <d v="2018-07-09T00:00:00"/>
    <n v="6195.57"/>
    <d v="2018-07-18T00:00:00"/>
    <n v="0"/>
    <s v="Less than 30 days"/>
    <s v="DOCXX"/>
    <x v="0"/>
    <s v="Invoice"/>
  </r>
  <r>
    <x v="14"/>
    <s v="CC"/>
    <s v="E"/>
    <n v="1"/>
    <n v="5318.53"/>
    <m/>
    <m/>
    <n v="97900"/>
    <s v="D358"/>
    <s v="Freeport Tank Pool"/>
    <s v="Rental"/>
    <x v="6"/>
    <d v="2018-07-01T00:00:00"/>
    <d v="2018-07-09T00:00:00"/>
    <n v="5318.53"/>
    <d v="2018-07-18T00:00:00"/>
    <n v="0"/>
    <s v="Less than 30 days"/>
    <s v="DOCXX"/>
    <x v="0"/>
    <s v="Invoice"/>
  </r>
  <r>
    <x v="14"/>
    <s v="CC"/>
    <s v="F"/>
    <n v="1"/>
    <n v="3572.51"/>
    <m/>
    <m/>
    <n v="66665"/>
    <s v="D356"/>
    <s v="Freeport Tank Pool"/>
    <s v="Rental"/>
    <x v="6"/>
    <d v="2018-07-01T00:00:00"/>
    <d v="2018-07-09T00:00:00"/>
    <n v="3572.51"/>
    <d v="2018-07-18T00:00:00"/>
    <n v="0"/>
    <s v="Less than 30 days"/>
    <s v="DOCXX"/>
    <x v="0"/>
    <s v="Invoice"/>
  </r>
  <r>
    <x v="14"/>
    <s v="CC"/>
    <s v="G"/>
    <n v="1"/>
    <n v="3564.46"/>
    <m/>
    <m/>
    <n v="167840"/>
    <s v="D015"/>
    <s v="Freeport Tank Pool"/>
    <s v="Rental"/>
    <x v="6"/>
    <d v="2018-07-01T00:00:00"/>
    <d v="2018-07-09T00:00:00"/>
    <n v="3564.46"/>
    <d v="2018-07-18T00:00:00"/>
    <n v="0"/>
    <s v="Less than 30 days"/>
    <s v="DOCXX"/>
    <x v="0"/>
    <s v="Invoice"/>
  </r>
  <r>
    <x v="14"/>
    <s v="CC"/>
    <s v="H"/>
    <n v="1"/>
    <n v="3065.6"/>
    <m/>
    <m/>
    <n v="68162"/>
    <s v="D344"/>
    <s v="Freeport Tank Pool"/>
    <s v="Rental"/>
    <x v="6"/>
    <d v="2018-07-01T00:00:00"/>
    <d v="2018-07-09T00:00:00"/>
    <n v="3065.6"/>
    <d v="2018-07-18T00:00:00"/>
    <n v="0"/>
    <s v="Less than 30 days"/>
    <s v="DOCXX"/>
    <x v="0"/>
    <s v="Invoice"/>
  </r>
  <r>
    <x v="14"/>
    <s v="CC"/>
    <s v="I"/>
    <n v="1"/>
    <n v="2767.89"/>
    <m/>
    <m/>
    <n v="55785"/>
    <s v="D355"/>
    <s v="Freeport Tank Pool"/>
    <s v="Rental"/>
    <x v="6"/>
    <d v="2018-07-01T00:00:00"/>
    <d v="2018-07-09T00:00:00"/>
    <n v="2767.89"/>
    <d v="2018-07-18T00:00:00"/>
    <n v="0"/>
    <s v="Less than 30 days"/>
    <s v="DOCXX"/>
    <x v="0"/>
    <s v="Invoice"/>
  </r>
  <r>
    <x v="14"/>
    <s v="CC"/>
    <s v="J"/>
    <n v="1"/>
    <n v="2494.3200000000002"/>
    <m/>
    <m/>
    <n v="82624"/>
    <s v="D407"/>
    <s v="Freeport Tank Pool"/>
    <s v="Rental"/>
    <x v="6"/>
    <d v="2018-07-01T00:00:00"/>
    <d v="2018-07-09T00:00:00"/>
    <n v="2494.3200000000002"/>
    <d v="2018-07-18T00:00:00"/>
    <n v="0"/>
    <s v="Less than 30 days"/>
    <s v="DOCXX"/>
    <x v="0"/>
    <s v="Invoice"/>
  </r>
  <r>
    <x v="14"/>
    <s v="CC"/>
    <s v="K"/>
    <n v="1"/>
    <n v="2397.77"/>
    <m/>
    <m/>
    <n v="67904"/>
    <s v="D407"/>
    <s v="Freeport Tank Pool"/>
    <s v="Rental"/>
    <x v="6"/>
    <d v="2018-07-01T00:00:00"/>
    <d v="2018-07-09T00:00:00"/>
    <n v="2397.77"/>
    <d v="2018-07-18T00:00:00"/>
    <n v="0"/>
    <s v="Less than 30 days"/>
    <s v="DOCXX"/>
    <x v="0"/>
    <s v="Invoice"/>
  </r>
  <r>
    <x v="14"/>
    <s v="CC"/>
    <s v="L"/>
    <n v="1"/>
    <n v="2196.61"/>
    <m/>
    <m/>
    <n v="66652"/>
    <s v="D213"/>
    <s v="Freeport Tank Pool"/>
    <s v="Rental"/>
    <x v="6"/>
    <d v="2018-07-01T00:00:00"/>
    <d v="2018-07-09T00:00:00"/>
    <n v="2196.61"/>
    <d v="2018-07-18T00:00:00"/>
    <n v="0"/>
    <s v="Less than 30 days"/>
    <s v="DOCXX"/>
    <x v="0"/>
    <s v="Invoice"/>
  </r>
  <r>
    <x v="14"/>
    <s v="CC"/>
    <s v="M"/>
    <n v="1"/>
    <n v="2188.5700000000002"/>
    <m/>
    <m/>
    <n v="1204"/>
    <s v="D357"/>
    <s v="Freeport Tank Pool"/>
    <s v="Rental"/>
    <x v="6"/>
    <d v="2018-07-01T00:00:00"/>
    <d v="2018-07-09T00:00:00"/>
    <n v="2188.5700000000002"/>
    <d v="2018-07-18T00:00:00"/>
    <n v="0"/>
    <s v="Less than 30 days"/>
    <s v="DOCXX"/>
    <x v="0"/>
    <s v="Invoice"/>
  </r>
  <r>
    <x v="14"/>
    <s v="CC"/>
    <s v="N"/>
    <n v="1"/>
    <n v="1971.32"/>
    <m/>
    <m/>
    <n v="75797"/>
    <s v="D348"/>
    <s v="Freeport Tank Pool"/>
    <s v="Rental"/>
    <x v="6"/>
    <d v="2018-07-01T00:00:00"/>
    <d v="2018-07-09T00:00:00"/>
    <n v="1971.32"/>
    <d v="2018-07-18T00:00:00"/>
    <n v="0"/>
    <s v="Less than 30 days"/>
    <s v="DOCXX"/>
    <x v="0"/>
    <s v="Invoice"/>
  </r>
  <r>
    <x v="14"/>
    <s v="CC"/>
    <s v="O"/>
    <n v="1"/>
    <n v="1866.72"/>
    <m/>
    <m/>
    <n v="55609"/>
    <s v="D449"/>
    <s v="Freeport Tank Pool"/>
    <s v="Rental"/>
    <x v="6"/>
    <d v="2018-07-01T00:00:00"/>
    <d v="2018-07-09T00:00:00"/>
    <n v="1866.72"/>
    <d v="2018-07-18T00:00:00"/>
    <n v="0"/>
    <s v="Less than 30 days"/>
    <s v="DOCXX"/>
    <x v="0"/>
    <s v="Invoice"/>
  </r>
  <r>
    <x v="14"/>
    <s v="CC"/>
    <s v="P"/>
    <n v="1"/>
    <n v="1601.19"/>
    <m/>
    <m/>
    <n v="1356"/>
    <s v="D360"/>
    <s v="Freeport Tank Pool"/>
    <s v="Rental"/>
    <x v="6"/>
    <d v="2018-07-01T00:00:00"/>
    <d v="2018-07-09T00:00:00"/>
    <n v="1601.19"/>
    <d v="2018-07-18T00:00:00"/>
    <n v="0"/>
    <s v="Less than 30 days"/>
    <s v="DOCXX"/>
    <x v="0"/>
    <s v="Invoice"/>
  </r>
  <r>
    <x v="14"/>
    <s v="CC"/>
    <s v="Q"/>
    <n v="1"/>
    <n v="1528.78"/>
    <m/>
    <m/>
    <n v="68260"/>
    <s v="D002"/>
    <s v="Freeport Tank Pool"/>
    <s v="Rental"/>
    <x v="6"/>
    <d v="2018-07-01T00:00:00"/>
    <d v="2018-07-09T00:00:00"/>
    <n v="1528.78"/>
    <d v="2018-07-18T00:00:00"/>
    <n v="0"/>
    <s v="Less than 30 days"/>
    <s v="DOCXX"/>
    <x v="0"/>
    <s v="Invoice"/>
  </r>
  <r>
    <x v="14"/>
    <s v="CC"/>
    <s v="R"/>
    <n v="1"/>
    <n v="1005.77"/>
    <m/>
    <m/>
    <n v="82294"/>
    <s v="D407"/>
    <s v="Freeport Tank Pool"/>
    <s v="Rental"/>
    <x v="6"/>
    <d v="2018-07-01T00:00:00"/>
    <d v="2018-07-09T00:00:00"/>
    <n v="1005.77"/>
    <d v="2018-07-18T00:00:00"/>
    <n v="0"/>
    <s v="Less than 30 days"/>
    <s v="DOCXX"/>
    <x v="0"/>
    <s v="Invoice"/>
  </r>
  <r>
    <x v="14"/>
    <s v="CC"/>
    <s v="S"/>
    <n v="1"/>
    <n v="804.62"/>
    <m/>
    <m/>
    <n v="68235"/>
    <s v="D232"/>
    <s v="Freeport Tank Pool"/>
    <s v="Rental"/>
    <x v="6"/>
    <d v="2018-07-01T00:00:00"/>
    <d v="2018-07-09T00:00:00"/>
    <n v="804.62"/>
    <d v="2018-07-18T00:00:00"/>
    <n v="0"/>
    <s v="Less than 30 days"/>
    <s v="DOCXX"/>
    <x v="0"/>
    <s v="Invoice"/>
  </r>
  <r>
    <x v="14"/>
    <s v="CC"/>
    <s v="T"/>
    <n v="1"/>
    <n v="804.62"/>
    <m/>
    <m/>
    <n v="172324"/>
    <s v="E324"/>
    <s v="Freeport Tank Pool"/>
    <s v="Rental"/>
    <x v="6"/>
    <d v="2018-07-01T00:00:00"/>
    <d v="2018-07-09T00:00:00"/>
    <n v="804.62"/>
    <d v="2018-07-18T00:00:00"/>
    <n v="0"/>
    <s v="Less than 30 days"/>
    <s v="DOCXX"/>
    <x v="0"/>
    <s v="Invoice"/>
  </r>
  <r>
    <x v="14"/>
    <s v="CC"/>
    <s v="U"/>
    <n v="1"/>
    <n v="804.62"/>
    <m/>
    <m/>
    <n v="82330"/>
    <s v="D017"/>
    <s v="Freeport Tank Pool"/>
    <s v="Rental"/>
    <x v="6"/>
    <d v="2018-07-01T00:00:00"/>
    <d v="2018-07-09T00:00:00"/>
    <n v="804.62"/>
    <d v="2018-07-18T00:00:00"/>
    <n v="0"/>
    <s v="Less than 30 days"/>
    <s v="DOCXX"/>
    <x v="0"/>
    <s v="Invoice"/>
  </r>
  <r>
    <x v="15"/>
    <s v="CC"/>
    <s v="A"/>
    <n v="1"/>
    <n v="15966.5"/>
    <m/>
    <m/>
    <n v="172325"/>
    <s v="D407"/>
    <s v="EXFU1455386"/>
    <s v="Repair BFE"/>
    <x v="7"/>
    <d v="2018-04-19T00:00:00"/>
    <d v="2018-05-21T00:00:00"/>
    <n v="15966.5"/>
    <d v="2018-05-30T00:00:00"/>
    <n v="0"/>
    <s v="More than 60 days"/>
    <s v="DOCXX"/>
    <x v="1"/>
    <s v="Repair"/>
  </r>
  <r>
    <x v="16"/>
    <m/>
    <m/>
    <n v="4049"/>
    <n v="598.4"/>
    <m/>
    <m/>
    <m/>
    <m/>
    <m/>
    <m/>
    <x v="8"/>
    <d v="2018-08-17T00:00:00"/>
    <m/>
    <m/>
    <m/>
    <n v="598.4"/>
    <s v="Less than 30 days"/>
    <s v="DOCXX"/>
    <x v="0"/>
    <s v="Invoice"/>
  </r>
  <r>
    <x v="17"/>
    <m/>
    <m/>
    <m/>
    <n v="8625"/>
    <m/>
    <m/>
    <m/>
    <m/>
    <m/>
    <m/>
    <x v="6"/>
    <d v="2018-07-01T00:00:00"/>
    <m/>
    <m/>
    <m/>
    <n v="8625"/>
    <s v="Less than 30 days"/>
    <s v="DOCXX"/>
    <x v="0"/>
    <s v="Invoice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m/>
    <m/>
    <m/>
    <n v="248"/>
    <m/>
    <m/>
    <m/>
    <m/>
    <s v="TOLU 936316-4"/>
    <s v="Rental"/>
    <d v="2017-07-01T00:00:00"/>
    <d v="2017-07-31T00:00:00"/>
    <m/>
    <m/>
    <m/>
    <n v="248"/>
    <s v="More than 60 days"/>
    <s v="DWMXX"/>
    <x v="0"/>
    <s v="Invoice"/>
  </r>
  <r>
    <x v="1"/>
    <m/>
    <m/>
    <m/>
    <n v="248"/>
    <m/>
    <m/>
    <m/>
    <m/>
    <s v="TOLU 936316-4"/>
    <s v="Rental"/>
    <d v="2018-01-01T00:00:00"/>
    <d v="2018-01-31T00:00:00"/>
    <m/>
    <m/>
    <m/>
    <n v="248"/>
    <s v="More than 60 days"/>
    <s v="DWMXX"/>
    <x v="0"/>
    <s v="Invoice"/>
  </r>
  <r>
    <x v="2"/>
    <m/>
    <m/>
    <m/>
    <n v="224"/>
    <m/>
    <m/>
    <m/>
    <m/>
    <s v="TOLU 936316-4"/>
    <s v="Rental"/>
    <d v="2018-02-01T00:00:00"/>
    <d v="2018-03-03T00:00:00"/>
    <m/>
    <m/>
    <m/>
    <n v="224"/>
    <s v="More than 60 days"/>
    <s v="DWMXX"/>
    <x v="0"/>
    <s v="Invoice"/>
  </r>
  <r>
    <x v="3"/>
    <m/>
    <m/>
    <m/>
    <n v="240"/>
    <m/>
    <m/>
    <m/>
    <m/>
    <s v="TOLU 936316-4"/>
    <s v="Rental"/>
    <d v="2018-03-01T00:00:00"/>
    <d v="2018-03-31T00:00:00"/>
    <m/>
    <m/>
    <m/>
    <n v="240"/>
    <s v="More than 60 days"/>
    <s v="DWMXX"/>
    <x v="0"/>
    <s v="Invoice"/>
  </r>
  <r>
    <x v="4"/>
    <m/>
    <m/>
    <m/>
    <n v="248"/>
    <m/>
    <m/>
    <m/>
    <m/>
    <m/>
    <s v="Rental"/>
    <d v="2018-05-01T00:00:00"/>
    <d v="2018-05-31T00:00:00"/>
    <m/>
    <m/>
    <m/>
    <n v="248"/>
    <s v="30-60 days"/>
    <s v="DWMXX"/>
    <x v="0"/>
    <s v="Invoice"/>
  </r>
  <r>
    <x v="5"/>
    <m/>
    <m/>
    <m/>
    <n v="240"/>
    <m/>
    <m/>
    <m/>
    <m/>
    <s v="TOLU 936316-4"/>
    <s v="Rental"/>
    <d v="2018-06-01T00:00:00"/>
    <d v="2018-07-01T00:00:00"/>
    <d v="2018-05-31T00:00:00"/>
    <m/>
    <m/>
    <n v="240"/>
    <s v="Less than 30 days"/>
    <s v="DWMXX"/>
    <x v="0"/>
    <s v="Invoice"/>
  </r>
  <r>
    <x v="6"/>
    <m/>
    <m/>
    <m/>
    <n v="248"/>
    <m/>
    <n v="4506180194"/>
    <m/>
    <m/>
    <s v="TOLU 936316-4"/>
    <s v="Rental"/>
    <d v="2018-07-01T00:00:00"/>
    <d v="2018-07-31T00:00:00"/>
    <d v="2018-06-29T00:00:00"/>
    <m/>
    <m/>
    <n v="248"/>
    <s v="Less than 30 days"/>
    <s v="DWMXX"/>
    <x v="0"/>
    <s v="Invoice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PYMNT0110397"/>
    <n v="-24"/>
    <d v="2018-06-04T00:00:00"/>
    <s v="Less than 30 days"/>
    <s v="Credit"/>
    <s v="Overpaid INV366038"/>
  </r>
  <r>
    <x v="1"/>
    <s v="PYMNT0103872"/>
    <n v="-744"/>
    <d v="2017-06-16T00:00:00"/>
    <s v="More than 60 days"/>
    <s v="Credit"/>
    <s v="Overpaid ADV358143"/>
  </r>
  <r>
    <x v="2"/>
    <s v="PYMNT0109740"/>
    <n v="-7970.76"/>
    <d v="2018-04-23T00:00:00"/>
    <s v="More than 60 days"/>
    <s v="Credit"/>
    <m/>
  </r>
  <r>
    <x v="2"/>
    <s v="PYMNT0109766"/>
    <n v="-20355.57"/>
    <d v="2018-04-25T00:00:00"/>
    <s v="30-60 days"/>
    <s v="Credit"/>
    <m/>
  </r>
  <r>
    <x v="2"/>
    <s v="PYMNT0109769"/>
    <n v="-289.85000000000002"/>
    <d v="2018-04-25T00:00:00"/>
    <s v="30-60 days"/>
    <s v="Credit"/>
    <m/>
  </r>
  <r>
    <x v="2"/>
    <s v="PYMNT0109770"/>
    <n v="-289.85000000000002"/>
    <d v="2018-04-25T00:00:00"/>
    <s v="30-60 days"/>
    <s v="Credit"/>
    <m/>
  </r>
  <r>
    <x v="2"/>
    <s v="PYMNT0109896"/>
    <n v="-46.75"/>
    <d v="2018-05-02T00:00:00"/>
    <s v="30-60 days"/>
    <s v="Credit"/>
    <m/>
  </r>
  <r>
    <x v="2"/>
    <s v="PYMNT0110121"/>
    <n v="-289.85000000000002"/>
    <d v="2018-05-16T00:00:00"/>
    <s v="30-60 days"/>
    <s v="Credit"/>
    <m/>
  </r>
  <r>
    <x v="2"/>
    <s v="PYMNT0110547         "/>
    <n v="-271.14999999999998"/>
    <d v="2018-06-13T00:00:00"/>
    <s v="Less than 30 days"/>
    <s v="Credit"/>
    <s v="Rebilled and paid as INV380561POGB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n v="2100"/>
    <d v="2018-06-01T00:00:00"/>
    <s v="Waiting to be sent"/>
    <s v="Jun-2018"/>
    <s v="Invoice"/>
    <s v="Less than 30 Days"/>
  </r>
  <r>
    <x v="1"/>
    <x v="1"/>
    <n v="24665"/>
    <d v="2018-06-01T00:00:00"/>
    <s v="Waiting on PO numbers"/>
    <s v="Jun-2018"/>
    <s v="Invoice"/>
    <s v="Less than 30 Days"/>
  </r>
  <r>
    <x v="1"/>
    <x v="2"/>
    <n v="8680"/>
    <d v="2018-07-01T00:00:00"/>
    <s v="Waiting to be sent"/>
    <s v="Jul-2018"/>
    <s v="Invoice"/>
    <s v="Less than 30 Days"/>
  </r>
  <r>
    <x v="1"/>
    <x v="3"/>
    <n v="7052.5"/>
    <d v="2018-07-01T00:00:00"/>
    <s v="Waiting to be sent"/>
    <s v="Jul-2018"/>
    <s v="Invoice"/>
    <s v="Less than 30 Days"/>
  </r>
  <r>
    <x v="2"/>
    <x v="4"/>
    <n v="59207.21"/>
    <d v="2018-07-01T00:00:00"/>
    <s v="Waiting to be sent"/>
    <s v="Jul-2018"/>
    <s v="Invoice"/>
    <s v="Less than 30 Days"/>
  </r>
  <r>
    <x v="2"/>
    <x v="5"/>
    <n v="458.44"/>
    <d v="2018-07-13T00:00:00"/>
    <s v="Waiting to be sent"/>
    <s v="Jul-2018"/>
    <s v="Repair"/>
    <s v="Less than 30 Days"/>
  </r>
  <r>
    <x v="2"/>
    <x v="6"/>
    <n v="471.88"/>
    <d v="2018-07-13T00:00:00"/>
    <s v="Waiting to be sent"/>
    <s v="Jul-2018"/>
    <s v="Repair"/>
    <s v="Less than 30 Days"/>
  </r>
  <r>
    <x v="2"/>
    <x v="7"/>
    <n v="431.58"/>
    <d v="2018-07-13T00:00:00"/>
    <s v="Waiting to be sent"/>
    <s v="Jul-2018"/>
    <s v="Repair"/>
    <s v="Less than 30 Days"/>
  </r>
  <r>
    <x v="2"/>
    <x v="8"/>
    <n v="431.58"/>
    <d v="2018-07-13T00:00:00"/>
    <s v="Waiting to be sent"/>
    <s v="Jul-2018"/>
    <s v="Repair"/>
    <s v="Less than 30 D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DHMXX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HMXX">
  <location ref="P3:S8" firstHeaderRow="0" firstDataRow="1" firstDataCol="1" rowPageCount="1" colPageCount="1"/>
  <pivotFields count="22">
    <pivotField axis="axisRow" subtotalTop="0" showAll="0" sortType="ascending">
      <items count="31">
        <item x="0"/>
        <item x="1"/>
        <item x="2"/>
        <item x="3"/>
        <item m="1" x="29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ubtotalTop="0" showAll="0"/>
    <pivotField subtotalTop="0" showAll="0"/>
    <pivotField subtotalTop="0" showAll="0"/>
    <pivotField dataField="1"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5" subtotalTop="0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numFmtId="14" showAll="0"/>
    <pivotField showAll="0"/>
    <pivotField dataField="1" subtotalTop="0" showAll="0"/>
    <pivotField showAll="0"/>
    <pivotField dataField="1" numFmtId="164" subtotalTop="0" showAll="0"/>
    <pivotField showAll="0"/>
    <pivotField showAll="0"/>
    <pivotField axis="axisPage" multipleItemSelectionAllowed="1" showAll="0">
      <items count="5">
        <item h="1" x="0"/>
        <item x="1"/>
        <item m="1" x="2"/>
        <item m="1" x="3"/>
        <item t="default"/>
      </items>
    </pivotField>
    <pivotField showAll="0"/>
    <pivotField showAll="0">
      <items count="15">
        <item sd="0" x="0"/>
        <item sd="0" x="1"/>
        <item sd="0" x="2"/>
        <item sd="0"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5">
    <i>
      <x v="1"/>
    </i>
    <i>
      <x v="5"/>
    </i>
    <i>
      <x v="28"/>
    </i>
    <i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9" hier="-1"/>
  </pageFields>
  <dataFields count="3">
    <dataField name="INVOICED" fld="4" baseField="0" baseItem="0" numFmtId="8"/>
    <dataField name="PAID" fld="14" baseField="15" baseItem="4" numFmtId="8"/>
    <dataField name="OUTSTANDING" fld="16" baseField="15" baseItem="4" numFmtId="8"/>
  </dataFields>
  <formats count="6">
    <format dxfId="27">
      <pivotArea field="21" type="button" dataOnly="0" labelOnly="1" outline="0"/>
    </format>
    <format dxfId="28">
      <pivotArea field="21" type="button" dataOnly="0" labelOnly="1" outline="0"/>
    </format>
    <format dxfId="29">
      <pivotArea field="11" type="button" dataOnly="0" labelOnly="1" outline="0"/>
    </format>
    <format dxfId="30">
      <pivotArea field="11" type="button" dataOnly="0" labelOnly="1" outline="0"/>
    </format>
    <format dxfId="31">
      <pivotArea field="0" type="button" dataOnly="0" labelOnly="1" outline="0" axis="axisRow" fieldPosition="0"/>
    </format>
    <format dxfId="32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DCPXX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CPXX">
  <location ref="K3:N17" firstHeaderRow="0" firstDataRow="1" firstDataCol="1" rowPageCount="1" colPageCount="1"/>
  <pivotFields count="21">
    <pivotField axis="axisRow" subtotalTop="0" showAll="0" sortType="ascending">
      <items count="21">
        <item x="0"/>
        <item x="1"/>
        <item x="2"/>
        <item x="5"/>
        <item x="8"/>
        <item x="9"/>
        <item x="10"/>
        <item x="11"/>
        <item x="12"/>
        <item x="14"/>
        <item x="15"/>
        <item x="16"/>
        <item x="17"/>
        <item x="19"/>
        <item x="4"/>
        <item x="3"/>
        <item x="7"/>
        <item x="6"/>
        <item x="13"/>
        <item x="18"/>
        <item t="default"/>
      </items>
    </pivotField>
    <pivotField subtotalTop="0" showAll="0"/>
    <pivotField subtotalTop="0" showAll="0"/>
    <pivotField subtotalTop="0" showAll="0"/>
    <pivotField dataField="1" numFmtId="164"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numFmtId="14" subtotalTop="0" showAll="0">
      <items count="11">
        <item x="7"/>
        <item x="0"/>
        <item x="4"/>
        <item x="5"/>
        <item x="6"/>
        <item x="3"/>
        <item x="1"/>
        <item x="2"/>
        <item x="8"/>
        <item x="9"/>
        <item t="default"/>
      </items>
    </pivotField>
    <pivotField numFmtId="14" showAll="0"/>
    <pivotField showAll="0"/>
    <pivotField dataField="1" subtotalTop="0" showAll="0"/>
    <pivotField showAll="0"/>
    <pivotField dataField="1" numFmtId="164" subtotalTop="0" showAll="0"/>
    <pivotField showAll="0"/>
    <pivotField showAll="0"/>
    <pivotField axis="axisPage" multipleItemSelectionAllowed="1" showAll="0">
      <items count="4">
        <item x="0"/>
        <item h="1" x="1"/>
        <item m="1" x="2"/>
        <item t="default"/>
      </items>
    </pivotField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7"/>
    </i>
    <i>
      <x v="11"/>
    </i>
    <i>
      <x v="12"/>
    </i>
    <i>
      <x v="13"/>
    </i>
    <i>
      <x v="14"/>
    </i>
    <i>
      <x v="15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9" hier="-1"/>
  </pageFields>
  <dataFields count="3">
    <dataField name="INVOICED" fld="4" baseField="11" baseItem="0" numFmtId="8"/>
    <dataField name="PAID" fld="14" baseField="11" baseItem="0" numFmtId="8"/>
    <dataField name="OUTSTANDING" fld="16" baseField="11" baseItem="0" numFmtId="8"/>
  </dataFields>
  <formats count="4">
    <format dxfId="54">
      <pivotArea field="11" type="button" dataOnly="0" labelOnly="1" outline="0"/>
    </format>
    <format dxfId="53">
      <pivotArea field="11" type="button" dataOnly="0" labelOnly="1" outline="0"/>
    </format>
    <format dxfId="52">
      <pivotArea field="0" type="button" dataOnly="0" labelOnly="1" outline="0" axis="axisRow" fieldPosition="0"/>
    </format>
    <format dxfId="51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PendingBilling" cacheId="5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ending Billing">
  <location ref="V25:W29" firstHeaderRow="1" firstDataRow="1" firstDataCol="1"/>
  <pivotFields count="8">
    <pivotField axis="axisRow" subtotalTop="0" showAll="0">
      <items count="9">
        <item sd="0" m="1" x="7"/>
        <item m="1" x="3"/>
        <item m="1" x="4"/>
        <item sd="0" x="2"/>
        <item sd="0" x="0"/>
        <item sd="0" x="1"/>
        <item sd="0" m="1" x="6"/>
        <item sd="0" m="1" x="5"/>
        <item t="default"/>
      </items>
    </pivotField>
    <pivotField axis="axisRow" subtotalTop="0" showAll="0">
      <items count="30">
        <item m="1" x="25"/>
        <item m="1" x="18"/>
        <item m="1" x="17"/>
        <item m="1" x="9"/>
        <item m="1" x="16"/>
        <item m="1" x="14"/>
        <item m="1" x="27"/>
        <item m="1" x="21"/>
        <item m="1" x="15"/>
        <item m="1" x="28"/>
        <item m="1" x="11"/>
        <item m="1" x="20"/>
        <item m="1" x="10"/>
        <item x="0"/>
        <item x="1"/>
        <item m="1" x="12"/>
        <item m="1" x="26"/>
        <item m="1" x="19"/>
        <item m="1" x="13"/>
        <item m="1" x="24"/>
        <item m="1" x="23"/>
        <item x="2"/>
        <item x="3"/>
        <item m="1" x="22"/>
        <item x="4"/>
        <item x="5"/>
        <item x="6"/>
        <item x="7"/>
        <item x="8"/>
        <item t="default"/>
      </items>
    </pivotField>
    <pivotField dataField="1" numFmtId="164" subtotalTop="0" showAll="0"/>
    <pivotField numFmtId="14" subtotalTop="0" showAll="0"/>
    <pivotField subtotalTop="0" showAll="0"/>
    <pivotField showAll="0"/>
    <pivotField showAll="0"/>
    <pivotField showAll="0"/>
  </pivotFields>
  <rowFields count="2">
    <field x="0"/>
    <field x="1"/>
  </rowFields>
  <rowItems count="4">
    <i>
      <x v="3"/>
    </i>
    <i>
      <x v="4"/>
    </i>
    <i>
      <x v="5"/>
    </i>
    <i t="grand">
      <x/>
    </i>
  </rowItems>
  <colItems count="1">
    <i/>
  </colItems>
  <dataFields count="1">
    <dataField name="$ Pending" fld="2" baseField="0" baseItem="0" numFmtId="8"/>
  </dataFields>
  <formats count="4">
    <format dxfId="58">
      <pivotArea dataOnly="0" outline="0" axis="axisValues" fieldPosition="0"/>
    </format>
    <format dxfId="57">
      <pivotArea field="0" type="button" dataOnly="0" labelOnly="1" outline="0" axis="axisRow" fieldPosition="0"/>
    </format>
    <format dxfId="56">
      <pivotArea field="0" type="button" dataOnly="0" labelOnly="1" outline="0" axis="axisRow" fieldPosition="0"/>
    </format>
    <format dxfId="55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DOCXX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OCXX">
  <location ref="U3:X11" firstHeaderRow="0" firstDataRow="1" firstDataCol="1" rowPageCount="1" colPageCount="1"/>
  <pivotFields count="21">
    <pivotField axis="axisRow" subtotalTop="0" showAll="0" sortType="ascending">
      <items count="19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7"/>
        <item x="15"/>
        <item t="default"/>
      </items>
    </pivotField>
    <pivotField subtotalTop="0" showAll="0"/>
    <pivotField subtotalTop="0" showAll="0"/>
    <pivotField subtotalTop="0" showAll="0"/>
    <pivotField dataField="1" numFmtId="164"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numFmtId="14" subtotalTop="0" showAll="0">
      <items count="10">
        <item x="4"/>
        <item x="3"/>
        <item x="7"/>
        <item x="0"/>
        <item x="1"/>
        <item x="2"/>
        <item x="5"/>
        <item x="6"/>
        <item x="8"/>
        <item t="default"/>
      </items>
    </pivotField>
    <pivotField numFmtId="14" showAll="0"/>
    <pivotField showAll="0"/>
    <pivotField dataField="1" subtotalTop="0" showAll="0"/>
    <pivotField showAll="0"/>
    <pivotField dataField="1" numFmtId="164" subtotalTop="0" showAll="0"/>
    <pivotField showAll="0"/>
    <pivotField showAll="0"/>
    <pivotField axis="axisPage" multipleItemSelectionAllowed="1" showAll="0">
      <items count="4">
        <item x="0"/>
        <item h="1" x="1"/>
        <item m="1" x="2"/>
        <item t="default"/>
      </items>
    </pivotField>
    <pivotField showAll="0"/>
  </pivotFields>
  <rowFields count="1">
    <field x="0"/>
  </rowFields>
  <rowItems count="8">
    <i>
      <x/>
    </i>
    <i>
      <x v="1"/>
    </i>
    <i>
      <x v="3"/>
    </i>
    <i>
      <x v="6"/>
    </i>
    <i>
      <x v="10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9" hier="-1"/>
  </pageFields>
  <dataFields count="3">
    <dataField name="INVOICED" fld="4" baseField="11" baseItem="0" numFmtId="8"/>
    <dataField name="PAID" fld="14" baseField="11" baseItem="0" numFmtId="8"/>
    <dataField name="OUTSTANDING" fld="16" baseField="11" baseItem="0" numFmtId="8"/>
  </dataFields>
  <formats count="4">
    <format dxfId="62">
      <pivotArea field="11" type="button" dataOnly="0" labelOnly="1" outline="0"/>
    </format>
    <format dxfId="61">
      <pivotArea field="11" type="button" dataOnly="0" labelOnly="1" outline="0"/>
    </format>
    <format dxfId="60">
      <pivotArea field="0" type="button" dataOnly="0" labelOnly="1" outline="0" axis="axisRow" fieldPosition="0"/>
    </format>
    <format dxfId="59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DAGXX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AGXX">
  <location ref="F3:I6" firstHeaderRow="0" firstDataRow="1" firstDataCol="1" rowPageCount="1" colPageCount="1"/>
  <pivotFields count="21">
    <pivotField axis="axisRow" subtotalTop="0" showAll="0" sortType="ascending">
      <items count="49">
        <item x="0"/>
        <item x="1"/>
        <item x="2"/>
        <item x="3"/>
        <item x="4"/>
        <item x="5"/>
        <item x="6"/>
        <item x="7"/>
        <item x="8"/>
        <item x="9"/>
        <item x="47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subtotalTop="0" showAll="0"/>
    <pivotField subtotalTop="0" showAll="0"/>
    <pivotField subtotalTop="0" showAll="0"/>
    <pivotField dataField="1" numFmtId="8" showAll="0"/>
    <pivotField subtotalTop="0" showAll="0"/>
    <pivotField showAll="0"/>
    <pivotField subtotalTop="0" showAll="0"/>
    <pivotField subtotalTop="0" showAll="0"/>
    <pivotField subtotalTop="0" showAll="0"/>
    <pivotField showAll="0"/>
    <pivotField numFmtId="14" subtotalTop="0" showAll="0">
      <items count="14">
        <item x="4"/>
        <item x="0"/>
        <item x="7"/>
        <item x="8"/>
        <item x="9"/>
        <item x="10"/>
        <item x="11"/>
        <item x="12"/>
        <item x="1"/>
        <item x="2"/>
        <item x="3"/>
        <item x="5"/>
        <item x="6"/>
        <item t="default"/>
      </items>
    </pivotField>
    <pivotField numFmtId="14" showAll="0"/>
    <pivotField showAll="0"/>
    <pivotField dataField="1" subtotalTop="0" showAll="0"/>
    <pivotField showAll="0"/>
    <pivotField dataField="1" numFmtId="8" subtotalTop="0" showAll="0"/>
    <pivotField showAll="0"/>
    <pivotField showAll="0"/>
    <pivotField axis="axisPage" multipleItemSelectionAllowed="1" showAll="0">
      <items count="4">
        <item h="1" x="0"/>
        <item x="1"/>
        <item m="1" x="2"/>
        <item t="default"/>
      </items>
    </pivotField>
    <pivotField showAll="0"/>
  </pivotFields>
  <rowFields count="1">
    <field x="0"/>
  </rowFields>
  <rowItems count="3">
    <i>
      <x v="40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9" hier="-1"/>
  </pageFields>
  <dataFields count="3">
    <dataField name="INVOICED" fld="4" baseField="0" baseItem="0" numFmtId="8"/>
    <dataField name="PAID" fld="14" baseField="0" baseItem="0" numFmtId="8"/>
    <dataField name="OUTSTANDING" fld="16" baseField="0" baseItem="0" numFmtId="8"/>
  </dataFields>
  <formats count="7">
    <format dxfId="69">
      <pivotArea field="11" type="button" dataOnly="0" labelOnly="1" outline="0"/>
    </format>
    <format dxfId="68">
      <pivotArea field="11" type="button" dataOnly="0" labelOnly="1" outline="0"/>
    </format>
    <format dxfId="67">
      <pivotArea field="0" type="button" dataOnly="0" labelOnly="1" outline="0" axis="axisRow" fieldPosition="0"/>
    </format>
    <format dxfId="66">
      <pivotArea field="0" type="button" dataOnly="0" labelOnly="1" outline="0" axis="axisRow" fieldPosition="0"/>
    </format>
    <format dxfId="65">
      <pivotArea outline="0" fieldPosition="0">
        <references count="1">
          <reference field="4294967294" count="1">
            <x v="0"/>
          </reference>
        </references>
      </pivotArea>
    </format>
    <format dxfId="64">
      <pivotArea outline="0" fieldPosition="0">
        <references count="1">
          <reference field="4294967294" count="1">
            <x v="1"/>
          </reference>
        </references>
      </pivotArea>
    </format>
    <format dxfId="6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BCOXT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COXT">
  <location ref="A3:D15" firstHeaderRow="0" firstDataRow="1" firstDataCol="1" rowPageCount="1" colPageCount="1"/>
  <pivotFields count="21">
    <pivotField axis="axisRow" subtotalTop="0" showAll="0" sortType="ascending">
      <items count="24"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ubtotalTop="0" showAll="0"/>
    <pivotField subtotalTop="0" showAll="0"/>
    <pivotField subtotalTop="0" showAll="0"/>
    <pivotField dataField="1" numFmtId="164"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numFmtId="14" subtotalTop="0" showAll="0">
      <items count="12">
        <item x="7"/>
        <item x="0"/>
        <item x="1"/>
        <item x="2"/>
        <item x="3"/>
        <item x="4"/>
        <item x="5"/>
        <item x="6"/>
        <item x="8"/>
        <item x="9"/>
        <item x="10"/>
        <item t="default"/>
      </items>
    </pivotField>
    <pivotField numFmtId="14" showAll="0"/>
    <pivotField showAll="0"/>
    <pivotField dataField="1" subtotalTop="0" showAll="0"/>
    <pivotField showAll="0"/>
    <pivotField dataField="1" numFmtId="164" subtotalTop="0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12">
    <i>
      <x/>
    </i>
    <i>
      <x v="3"/>
    </i>
    <i>
      <x v="4"/>
    </i>
    <i>
      <x v="5"/>
    </i>
    <i>
      <x v="6"/>
    </i>
    <i>
      <x v="7"/>
    </i>
    <i>
      <x v="15"/>
    </i>
    <i>
      <x v="17"/>
    </i>
    <i>
      <x v="19"/>
    </i>
    <i>
      <x v="21"/>
    </i>
    <i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9" item="0" hier="-1"/>
  </pageFields>
  <dataFields count="3">
    <dataField name="INVOICED" fld="4" baseField="11" baseItem="0" numFmtId="8"/>
    <dataField name="PAID" fld="14" baseField="11" baseItem="0" numFmtId="8"/>
    <dataField name="OUTSTANDING" fld="16" baseField="11" baseItem="0" numFmtId="8"/>
  </dataFields>
  <formats count="4">
    <format dxfId="73">
      <pivotArea field="11" type="button" dataOnly="0" labelOnly="1" outline="0"/>
    </format>
    <format dxfId="72">
      <pivotArea field="11" type="button" dataOnly="0" labelOnly="1" outline="0"/>
    </format>
    <format dxfId="71">
      <pivotArea field="0" type="button" dataOnly="0" labelOnly="1" outline="0" axis="axisRow" fieldPosition="0"/>
    </format>
    <format dxfId="70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DWMXX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WMXX">
  <location ref="Z3:AC11" firstHeaderRow="0" firstDataRow="1" firstDataCol="1" rowPageCount="1" colPageCount="1"/>
  <pivotFields count="21">
    <pivotField axis="axisRow" subtotalTop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ubtotalTop="0" showAll="0"/>
    <pivotField subtotalTop="0" showAll="0"/>
    <pivotField subtotalTop="0" showAll="0"/>
    <pivotField dataField="1"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4" subtotalTop="0" showAll="0"/>
    <pivotField numFmtId="14" showAll="0"/>
    <pivotField showAll="0"/>
    <pivotField dataField="1" subtotalTop="0" showAll="0"/>
    <pivotField showAll="0"/>
    <pivotField dataField="1" numFmtId="164" subtotalTop="0" showAll="0"/>
    <pivotField showAll="0"/>
    <pivotField subtotalTop="0" showAll="0"/>
    <pivotField axis="axisPage" showAll="0">
      <items count="2">
        <item x="0"/>
        <item t="default"/>
      </items>
    </pivotField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9" item="0" hier="-1"/>
  </pageFields>
  <dataFields count="3">
    <dataField name="INVOICED" fld="4" baseField="0" baseItem="0" numFmtId="8"/>
    <dataField name="PAID" fld="14" baseField="0" baseItem="0" numFmtId="8"/>
    <dataField name="OUTSTANDING" fld="16" baseField="0" baseItem="0" numFmtId="8"/>
  </dataFields>
  <formats count="4">
    <format dxfId="77">
      <pivotArea field="0" type="button" dataOnly="0" labelOnly="1" outline="0" axis="axisRow" fieldPosition="0"/>
    </format>
    <format dxfId="76">
      <pivotArea field="0" type="button" dataOnly="0" labelOnly="1" outline="0" axis="axisRow" fieldPosition="0"/>
    </format>
    <format dxfId="75">
      <pivotArea field="0" type="button" dataOnly="0" labelOnly="1" outline="0" axis="axisRow" fieldPosition="0"/>
    </format>
    <format dxfId="74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COA" cacheId="5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COA">
  <location ref="Z25:AA29" firstHeaderRow="1" firstDataRow="1" firstDataCol="1"/>
  <pivotFields count="7">
    <pivotField axis="axisRow" subtotalTop="0" showAll="0" sortType="ascending">
      <items count="7">
        <item x="0"/>
        <item m="1" x="5"/>
        <item x="1"/>
        <item m="1" x="4"/>
        <item x="2"/>
        <item m="1" x="3"/>
        <item t="default"/>
      </items>
    </pivotField>
    <pivotField subtotalTop="0" showAll="0"/>
    <pivotField dataField="1" numFmtId="164" subtotalTop="0" showAll="0"/>
    <pivotField numFmtId="14" subtotalTop="0" showAll="0"/>
    <pivotField showAll="0"/>
    <pivotField showAll="0"/>
    <pivotField subtotalTop="0" showAll="0"/>
  </pivotFields>
  <rowFields count="1">
    <field x="0"/>
  </rowFields>
  <rowItems count="4">
    <i>
      <x/>
    </i>
    <i>
      <x v="2"/>
    </i>
    <i>
      <x v="4"/>
    </i>
    <i t="grand">
      <x/>
    </i>
  </rowItems>
  <colItems count="1">
    <i/>
  </colItems>
  <dataFields count="1">
    <dataField name="$" fld="2" baseField="0" baseItem="0" numFmtId="8"/>
  </dataFields>
  <formats count="6">
    <format dxfId="83">
      <pivotArea field="0" type="button" dataOnly="0" labelOnly="1" outline="0" axis="axisRow" fieldPosition="0"/>
    </format>
    <format dxfId="82">
      <pivotArea field="0" type="button" dataOnly="0" labelOnly="1" outline="0" axis="axisRow" fieldPosition="0"/>
    </format>
    <format dxfId="81">
      <pivotArea field="0" type="button" dataOnly="0" labelOnly="1" outline="0" axis="axisRow" fieldPosition="0"/>
    </format>
    <format dxfId="80">
      <pivotArea dataOnly="0" outline="0" axis="axisValues" fieldPosition="0"/>
    </format>
    <format dxfId="79">
      <pivotArea outline="0" fieldPosition="0">
        <references count="1">
          <reference field="4294967294" count="1">
            <x v="0"/>
          </reference>
        </references>
      </pivotArea>
    </format>
    <format dxfId="78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CUSTOMERS" displayName="CUSTOMERS" ref="A1:A7" totalsRowShown="0" headerRowBorderDxfId="210">
  <autoFilter ref="A1:A7" xr:uid="{00000000-0009-0000-0100-00000D000000}"/>
  <tableColumns count="1">
    <tableColumn id="1" xr3:uid="{00000000-0010-0000-0000-000001000000}" name="CUST C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BCOXT" displayName="BCOXT" ref="A1:U875" totalsRowShown="0" headerRowDxfId="209" dataDxfId="207" headerRowBorderDxfId="208">
  <autoFilter ref="A1:U875" xr:uid="{00000000-0009-0000-0100-000001000000}"/>
  <sortState ref="A2:U659">
    <sortCondition ref="A620"/>
  </sortState>
  <tableColumns count="21">
    <tableColumn id="1" xr3:uid="{00000000-0010-0000-0100-000001000000}" name="INVNUMBER" dataDxfId="206"/>
    <tableColumn id="2" xr3:uid="{00000000-0010-0000-0100-000002000000}" name="INV TYPE" dataDxfId="205"/>
    <tableColumn id="3" xr3:uid="{00000000-0010-0000-0100-000003000000}" name="EXT" dataDxfId="204"/>
    <tableColumn id="4" xr3:uid="{00000000-0010-0000-0100-000004000000}" name="COMPANY CODE" dataDxfId="203"/>
    <tableColumn id="5" xr3:uid="{00000000-0010-0000-0100-000005000000}" name="AMT INVOICED" dataDxfId="202"/>
    <tableColumn id="6" xr3:uid="{00000000-0010-0000-0100-000006000000}" name="SN" dataDxfId="201"/>
    <tableColumn id="7" xr3:uid="{00000000-0010-0000-0100-000007000000}" name="PO" dataDxfId="200"/>
    <tableColumn id="8" xr3:uid="{00000000-0010-0000-0100-000008000000}" name="CC" dataDxfId="199"/>
    <tableColumn id="9" xr3:uid="{00000000-0010-0000-0100-000009000000}" name="PLANT" dataDxfId="198"/>
    <tableColumn id="10" xr3:uid="{00000000-0010-0000-0100-00000A000000}" name="UNIT NUMBER" dataDxfId="197"/>
    <tableColumn id="11" xr3:uid="{00000000-0010-0000-0100-00000B000000}" name="CHARGE DESC" dataDxfId="196"/>
    <tableColumn id="12" xr3:uid="{00000000-0010-0000-0100-00000C000000}" name="INV DOC DATE" dataDxfId="195"/>
    <tableColumn id="13" xr3:uid="{00000000-0010-0000-0100-00000D000000}" name="INV DUE DATE" dataDxfId="194"/>
    <tableColumn id="18" xr3:uid="{00000000-0010-0000-0100-000012000000}" name="BILLING DATE" dataDxfId="193"/>
    <tableColumn id="14" xr3:uid="{00000000-0010-0000-0100-00000E000000}" name="AMT PAID" dataDxfId="192"/>
    <tableColumn id="19" xr3:uid="{00000000-0010-0000-0100-000013000000}" name="PAYMENT DATE" dataDxfId="191"/>
    <tableColumn id="15" xr3:uid="{00000000-0010-0000-0100-00000F000000}" name="AMT OUTSTANDING" dataDxfId="190">
      <calculatedColumnFormula>$E2-$O2</calculatedColumnFormula>
    </tableColumn>
    <tableColumn id="23" xr3:uid="{00000000-0010-0000-0100-000017000000}" name="AGE OF INV" dataDxfId="189">
      <calculatedColumnFormula>IF(TODAY() - BCOXT[INV DUE DATE]&lt;30, "Less than 30 days",IF(TODAY()-BCOXT[INV DUE DATE]&lt;60,"30-60 days","More than 60 days"))</calculatedColumnFormula>
    </tableColumn>
    <tableColumn id="16" xr3:uid="{00000000-0010-0000-0100-000010000000}" name="CUST CO" dataDxfId="188"/>
    <tableColumn id="17" xr3:uid="{00000000-0010-0000-0100-000011000000}" name="CLOSED" dataDxfId="187"/>
    <tableColumn id="21" xr3:uid="{00000000-0010-0000-0100-000015000000}" name="Charge Type" dataDxfId="1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DAGXX" displayName="DAGXX" ref="A1:U116" totalsRowShown="0" headerRowDxfId="185" headerRowBorderDxfId="184">
  <autoFilter ref="A1:U116" xr:uid="{00000000-0009-0000-0100-000002000000}"/>
  <sortState ref="A2:U115">
    <sortCondition ref="A1"/>
  </sortState>
  <tableColumns count="21">
    <tableColumn id="1" xr3:uid="{00000000-0010-0000-0200-000001000000}" name="INVNUMBER" dataDxfId="183"/>
    <tableColumn id="2" xr3:uid="{00000000-0010-0000-0200-000002000000}" name="INV TYPE" dataDxfId="182"/>
    <tableColumn id="3" xr3:uid="{00000000-0010-0000-0200-000003000000}" name="EXT" dataDxfId="181"/>
    <tableColumn id="4" xr3:uid="{00000000-0010-0000-0200-000004000000}" name="COMPANY CODE" dataDxfId="180"/>
    <tableColumn id="5" xr3:uid="{00000000-0010-0000-0200-000005000000}" name="AMT INVOICED" dataDxfId="179"/>
    <tableColumn id="6" xr3:uid="{00000000-0010-0000-0200-000006000000}" name="SN"/>
    <tableColumn id="7" xr3:uid="{00000000-0010-0000-0200-000007000000}" name="PO" dataDxfId="178"/>
    <tableColumn id="8" xr3:uid="{00000000-0010-0000-0200-000008000000}" name="CC"/>
    <tableColumn id="9" xr3:uid="{00000000-0010-0000-0200-000009000000}" name="PLANT"/>
    <tableColumn id="10" xr3:uid="{00000000-0010-0000-0200-00000A000000}" name="UNIT NUMBER"/>
    <tableColumn id="11" xr3:uid="{00000000-0010-0000-0200-00000B000000}" name="CHARGE DESC" dataDxfId="177"/>
    <tableColumn id="12" xr3:uid="{00000000-0010-0000-0200-00000C000000}" name="INV DOC DATE" dataDxfId="176"/>
    <tableColumn id="13" xr3:uid="{00000000-0010-0000-0200-00000D000000}" name="INV DUE DATE" dataDxfId="175"/>
    <tableColumn id="18" xr3:uid="{00000000-0010-0000-0200-000012000000}" name="BILLING DATE" dataDxfId="174"/>
    <tableColumn id="14" xr3:uid="{00000000-0010-0000-0200-00000E000000}" name="AMT PAID" dataDxfId="173"/>
    <tableColumn id="23" xr3:uid="{00000000-0010-0000-0200-000017000000}" name="PAYMENT DATE" dataDxfId="172"/>
    <tableColumn id="15" xr3:uid="{00000000-0010-0000-0200-00000F000000}" name="AMT OUTSTANDING" dataDxfId="171">
      <calculatedColumnFormula>$E2-$O2</calculatedColumnFormula>
    </tableColumn>
    <tableColumn id="22" xr3:uid="{00000000-0010-0000-0200-000016000000}" name="AGE OF INV" dataDxfId="170">
      <calculatedColumnFormula>IF(TODAY() - DAGXX[INV DUE DATE]&lt;30, "Less than 30 days",IF(TODAY()-DAGXX[INV DUE DATE]&lt;60,"30-60 days","More than 60 days"))</calculatedColumnFormula>
    </tableColumn>
    <tableColumn id="16" xr3:uid="{00000000-0010-0000-0200-000010000000}" name="CUST CO"/>
    <tableColumn id="17" xr3:uid="{00000000-0010-0000-0200-000011000000}" name="CLOSED" dataDxfId="169"/>
    <tableColumn id="20" xr3:uid="{00000000-0010-0000-0200-000014000000}" name="Charge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DCPXX" displayName="DCPXX" ref="A1:U474" totalsRowShown="0" headerRowDxfId="168" headerRowBorderDxfId="167">
  <autoFilter ref="A1:U474" xr:uid="{00000000-0009-0000-0100-000003000000}"/>
  <sortState ref="A2:U317">
    <sortCondition ref="L83"/>
  </sortState>
  <tableColumns count="21">
    <tableColumn id="1" xr3:uid="{00000000-0010-0000-0300-000001000000}" name="INVNUMBER" totalsRowDxfId="166"/>
    <tableColumn id="2" xr3:uid="{00000000-0010-0000-0300-000002000000}" name="INV TYPE" totalsRowDxfId="165"/>
    <tableColumn id="3" xr3:uid="{00000000-0010-0000-0300-000003000000}" name="EXT" totalsRowDxfId="164"/>
    <tableColumn id="4" xr3:uid="{00000000-0010-0000-0300-000004000000}" name="COMPANY CODE" dataDxfId="163" totalsRowDxfId="162"/>
    <tableColumn id="5" xr3:uid="{00000000-0010-0000-0300-000005000000}" name="AMT INVOICED" dataDxfId="161" totalsRowDxfId="160"/>
    <tableColumn id="6" xr3:uid="{00000000-0010-0000-0300-000006000000}" name="SN" totalsRowDxfId="159"/>
    <tableColumn id="7" xr3:uid="{00000000-0010-0000-0300-000007000000}" name="PO" totalsRowDxfId="158"/>
    <tableColumn id="8" xr3:uid="{00000000-0010-0000-0300-000008000000}" name="CC" totalsRowDxfId="157"/>
    <tableColumn id="9" xr3:uid="{00000000-0010-0000-0300-000009000000}" name="PLANT" dataDxfId="156" totalsRowDxfId="155"/>
    <tableColumn id="10" xr3:uid="{00000000-0010-0000-0300-00000A000000}" name="UNIT NUMBER" totalsRowDxfId="154"/>
    <tableColumn id="11" xr3:uid="{00000000-0010-0000-0300-00000B000000}" name="CHARGE DESC" totalsRowDxfId="153"/>
    <tableColumn id="12" xr3:uid="{00000000-0010-0000-0300-00000C000000}" name="INV DOC DATE" dataDxfId="152" totalsRowDxfId="151"/>
    <tableColumn id="13" xr3:uid="{00000000-0010-0000-0300-00000D000000}" name="INV DUE DATE" dataDxfId="150" totalsRowDxfId="149">
      <calculatedColumnFormula>DCPXX[[#This Row],[INV DOC DATE]]+30</calculatedColumnFormula>
    </tableColumn>
    <tableColumn id="18" xr3:uid="{00000000-0010-0000-0300-000012000000}" name="BILLING DATE" dataDxfId="148" totalsRowDxfId="147"/>
    <tableColumn id="14" xr3:uid="{00000000-0010-0000-0300-00000E000000}" name="AMT PAID" dataDxfId="146" totalsRowDxfId="145"/>
    <tableColumn id="20" xr3:uid="{00000000-0010-0000-0300-000014000000}" name="PAYMENT DATE" dataDxfId="144" totalsRowDxfId="143"/>
    <tableColumn id="15" xr3:uid="{00000000-0010-0000-0300-00000F000000}" name="AMT OUTSTANDING" dataDxfId="142" totalsRowDxfId="141">
      <calculatedColumnFormula>$E2-$O2</calculatedColumnFormula>
    </tableColumn>
    <tableColumn id="22" xr3:uid="{00000000-0010-0000-0300-000016000000}" name="AGE OF INV" dataDxfId="140" totalsRowDxfId="139">
      <calculatedColumnFormula>IF(TODAY() - DCPXX[INV DUE DATE]&lt;30, "Less than 30 days",IF(TODAY()-DCPXX[INV DUE DATE]&lt;60,"30-60 days","More than 60 days"))</calculatedColumnFormula>
    </tableColumn>
    <tableColumn id="16" xr3:uid="{00000000-0010-0000-0300-000010000000}" name="CUST CO" totalsRowDxfId="138"/>
    <tableColumn id="17" xr3:uid="{00000000-0010-0000-0300-000011000000}" name="CLOSED" dataDxfId="137" totalsRowDxfId="136"/>
    <tableColumn id="21" xr3:uid="{00000000-0010-0000-0300-000015000000}" name="Charge Type" dataDxfId="135" totalsRowDxfId="1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DHMXX" displayName="DHMXX" ref="A1:U1587" totalsRowShown="0" headerRowDxfId="133" headerRowBorderDxfId="132">
  <autoFilter ref="A1:U1587" xr:uid="{00000000-0009-0000-0100-000004000000}"/>
  <sortState ref="A2:U1587">
    <sortCondition ref="P1:P1587"/>
  </sortState>
  <tableColumns count="21">
    <tableColumn id="1" xr3:uid="{00000000-0010-0000-0400-000001000000}" name="INVNUMBER"/>
    <tableColumn id="2" xr3:uid="{00000000-0010-0000-0400-000002000000}" name="INV TYPE"/>
    <tableColumn id="3" xr3:uid="{00000000-0010-0000-0400-000003000000}" name="EXT"/>
    <tableColumn id="4" xr3:uid="{00000000-0010-0000-0400-000004000000}" name="COMPANY CODE" dataDxfId="131"/>
    <tableColumn id="5" xr3:uid="{00000000-0010-0000-0400-000005000000}" name="AMT INVOICED" dataDxfId="130"/>
    <tableColumn id="6" xr3:uid="{00000000-0010-0000-0400-000006000000}" name="SN"/>
    <tableColumn id="7" xr3:uid="{00000000-0010-0000-0400-000007000000}" name="PO"/>
    <tableColumn id="8" xr3:uid="{00000000-0010-0000-0400-000008000000}" name="CC"/>
    <tableColumn id="9" xr3:uid="{00000000-0010-0000-0400-000009000000}" name="PLANT"/>
    <tableColumn id="10" xr3:uid="{00000000-0010-0000-0400-00000A000000}" name="UNIT NUMBER"/>
    <tableColumn id="11" xr3:uid="{00000000-0010-0000-0400-00000B000000}" name="CHARGE DESC"/>
    <tableColumn id="12" xr3:uid="{00000000-0010-0000-0400-00000C000000}" name="INV DOC DATE" dataDxfId="129"/>
    <tableColumn id="13" xr3:uid="{00000000-0010-0000-0400-00000D000000}" name="INV DUE DATE" dataDxfId="128">
      <calculatedColumnFormula>DHMXX[[#This Row],[INV DOC DATE]]+30</calculatedColumnFormula>
    </tableColumn>
    <tableColumn id="18" xr3:uid="{00000000-0010-0000-0400-000012000000}" name="BILLING DATE" dataDxfId="127"/>
    <tableColumn id="14" xr3:uid="{00000000-0010-0000-0400-00000E000000}" name="AMT PAID" dataDxfId="126"/>
    <tableColumn id="20" xr3:uid="{00000000-0010-0000-0400-000014000000}" name="PAYMENT DATE" dataDxfId="125"/>
    <tableColumn id="15" xr3:uid="{00000000-0010-0000-0400-00000F000000}" name="AMT OUTSTANDING" dataDxfId="124">
      <calculatedColumnFormula>$E2-$O2</calculatedColumnFormula>
    </tableColumn>
    <tableColumn id="22" xr3:uid="{00000000-0010-0000-0400-000016000000}" name="AGE OF INV" dataDxfId="123">
      <calculatedColumnFormula>IF(TODAY() - DHMXX[INV DUE DATE]&lt;30, "Less than 30 days",IF(TODAY()-DHMXX[INV DUE DATE]&lt;60,"30-60 days","More than 60 days"))</calculatedColumnFormula>
    </tableColumn>
    <tableColumn id="16" xr3:uid="{00000000-0010-0000-0400-000010000000}" name="CUST CO"/>
    <tableColumn id="17" xr3:uid="{00000000-0010-0000-0400-000011000000}" name="CLOSED" dataDxfId="122"/>
    <tableColumn id="21" xr3:uid="{00000000-0010-0000-0400-000015000000}" name="Charge 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DOCXX" displayName="DOCXX" ref="A1:U1357" totalsRowShown="0" headerRowDxfId="121" headerRowBorderDxfId="120">
  <autoFilter ref="A1:U1357" xr:uid="{00000000-0009-0000-0100-000005000000}"/>
  <sortState ref="A2:U1357">
    <sortCondition ref="A1:A1357"/>
  </sortState>
  <tableColumns count="21">
    <tableColumn id="1" xr3:uid="{00000000-0010-0000-0500-000001000000}" name="INVNUMBER" dataDxfId="119"/>
    <tableColumn id="2" xr3:uid="{00000000-0010-0000-0500-000002000000}" name="INV TYPE"/>
    <tableColumn id="3" xr3:uid="{00000000-0010-0000-0500-000003000000}" name="EXT"/>
    <tableColumn id="4" xr3:uid="{00000000-0010-0000-0500-000004000000}" name="COMPANY CODE"/>
    <tableColumn id="5" xr3:uid="{00000000-0010-0000-0500-000005000000}" name="AMT INVOICED" dataDxfId="118"/>
    <tableColumn id="6" xr3:uid="{00000000-0010-0000-0500-000006000000}" name="SN"/>
    <tableColumn id="7" xr3:uid="{00000000-0010-0000-0500-000007000000}" name="PO"/>
    <tableColumn id="8" xr3:uid="{00000000-0010-0000-0500-000008000000}" name="CC"/>
    <tableColumn id="9" xr3:uid="{00000000-0010-0000-0500-000009000000}" name="PLANT"/>
    <tableColumn id="10" xr3:uid="{00000000-0010-0000-0500-00000A000000}" name="UNIT NUMBER"/>
    <tableColumn id="11" xr3:uid="{00000000-0010-0000-0500-00000B000000}" name="CHARGE DESC"/>
    <tableColumn id="12" xr3:uid="{00000000-0010-0000-0500-00000C000000}" name="INV DOC DATE" dataDxfId="117"/>
    <tableColumn id="13" xr3:uid="{00000000-0010-0000-0500-00000D000000}" name="INV DUE DATE" dataDxfId="116">
      <calculatedColumnFormula>DOCXX[[#This Row],[INV DOC DATE]]+30</calculatedColumnFormula>
    </tableColumn>
    <tableColumn id="18" xr3:uid="{00000000-0010-0000-0500-000012000000}" name="BILLING DATE" dataDxfId="115"/>
    <tableColumn id="14" xr3:uid="{00000000-0010-0000-0500-00000E000000}" name="AMT PAID" dataDxfId="114"/>
    <tableColumn id="20" xr3:uid="{00000000-0010-0000-0500-000014000000}" name="PAYMENT DATE" dataDxfId="113"/>
    <tableColumn id="15" xr3:uid="{00000000-0010-0000-0500-00000F000000}" name="AMT OUTSTANDING" dataDxfId="112">
      <calculatedColumnFormula>$E2-$O2</calculatedColumnFormula>
    </tableColumn>
    <tableColumn id="22" xr3:uid="{00000000-0010-0000-0500-000016000000}" name="AGE OF INV" dataDxfId="111">
      <calculatedColumnFormula>IF(TODAY() - DOCXX[INV DUE DATE]&lt;30, "Less than 30 days",IF(TODAY()-DOCXX[INV DUE DATE]&lt;60,"30-60 days","More than 60 days"))</calculatedColumnFormula>
    </tableColumn>
    <tableColumn id="16" xr3:uid="{00000000-0010-0000-0500-000010000000}" name="CUST CO"/>
    <tableColumn id="17" xr3:uid="{00000000-0010-0000-0500-000011000000}" name="CLOSED" dataDxfId="110"/>
    <tableColumn id="21" xr3:uid="{00000000-0010-0000-0500-000015000000}" name="Charge Type" dataDxfId="10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WMXX" displayName="DWMXX" ref="A1:U8" totalsRowShown="0" headerRowDxfId="108" headerRowBorderDxfId="107" tableBorderDxfId="106">
  <autoFilter ref="A1:U8" xr:uid="{00000000-0009-0000-0100-000007000000}"/>
  <tableColumns count="21">
    <tableColumn id="1" xr3:uid="{00000000-0010-0000-0600-000001000000}" name="INVNUMBER"/>
    <tableColumn id="2" xr3:uid="{00000000-0010-0000-0600-000002000000}" name="INV TYPE"/>
    <tableColumn id="3" xr3:uid="{00000000-0010-0000-0600-000003000000}" name="EXT"/>
    <tableColumn id="4" xr3:uid="{00000000-0010-0000-0600-000004000000}" name="COMPANY CODE"/>
    <tableColumn id="5" xr3:uid="{00000000-0010-0000-0600-000005000000}" name="AMT INVOICED" dataDxfId="105"/>
    <tableColumn id="6" xr3:uid="{00000000-0010-0000-0600-000006000000}" name="SN"/>
    <tableColumn id="7" xr3:uid="{00000000-0010-0000-0600-000007000000}" name="PO"/>
    <tableColumn id="8" xr3:uid="{00000000-0010-0000-0600-000008000000}" name="CC"/>
    <tableColumn id="9" xr3:uid="{00000000-0010-0000-0600-000009000000}" name="PLANT"/>
    <tableColumn id="10" xr3:uid="{00000000-0010-0000-0600-00000A000000}" name="UNIT NUMBER"/>
    <tableColumn id="11" xr3:uid="{00000000-0010-0000-0600-00000B000000}" name="CHARGE DESC"/>
    <tableColumn id="12" xr3:uid="{00000000-0010-0000-0600-00000C000000}" name="INV DOC DATE" dataDxfId="104"/>
    <tableColumn id="13" xr3:uid="{00000000-0010-0000-0600-00000D000000}" name="INV DUE DATE" dataDxfId="103">
      <calculatedColumnFormula>DWMXX[[#This Row],[INV DOC DATE]]+30</calculatedColumnFormula>
    </tableColumn>
    <tableColumn id="18" xr3:uid="{00000000-0010-0000-0600-000012000000}" name="BILLING DATE" dataDxfId="102"/>
    <tableColumn id="14" xr3:uid="{00000000-0010-0000-0600-00000E000000}" name="AMT PAID" dataDxfId="101"/>
    <tableColumn id="20" xr3:uid="{00000000-0010-0000-0600-000014000000}" name="PAYMENT DATE" dataDxfId="100"/>
    <tableColumn id="15" xr3:uid="{00000000-0010-0000-0600-00000F000000}" name="AMT OUTSTANDING" dataDxfId="99">
      <calculatedColumnFormula>$E2-$O2</calculatedColumnFormula>
    </tableColumn>
    <tableColumn id="22" xr3:uid="{00000000-0010-0000-0600-000016000000}" name="AGE OF INV" dataDxfId="98">
      <calculatedColumnFormula>IF(TODAY() - DWMXX[INV DUE DATE]&lt;30, "Less than 30 days",IF(TODAY()-DWMXX[INV DUE DATE]&lt;60,"30-60 days","More than 60 days"))</calculatedColumnFormula>
    </tableColumn>
    <tableColumn id="16" xr3:uid="{00000000-0010-0000-0600-000010000000}" name="CUST CO"/>
    <tableColumn id="17" xr3:uid="{00000000-0010-0000-0600-000011000000}" name="CLOSED" dataDxfId="97"/>
    <tableColumn id="19" xr3:uid="{00000000-0010-0000-0600-000013000000}" name="Charge Type" dataDxfId="9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PaymentLog" displayName="PaymentLog" ref="A1:K3824" totalsRowShown="0" headerRowDxfId="95" dataDxfId="93" headerRowBorderDxfId="94">
  <sortState ref="A2:K3824">
    <sortCondition ref="B1"/>
  </sortState>
  <tableColumns count="11">
    <tableColumn id="1" xr3:uid="{00000000-0010-0000-0700-000001000000}" name="Customer Code"/>
    <tableColumn id="2" xr3:uid="{00000000-0010-0000-0700-000002000000}" name="Payment Date" dataDxfId="92"/>
    <tableColumn id="3" xr3:uid="{00000000-0010-0000-0700-000003000000}" name="Payment Ref #" dataDxfId="91"/>
    <tableColumn id="4" xr3:uid="{00000000-0010-0000-0700-000004000000}" name="Co Code" dataDxfId="90"/>
    <tableColumn id="5" xr3:uid="{00000000-0010-0000-0700-000005000000}" name="Invoice #" dataDxfId="89"/>
    <tableColumn id="6" xr3:uid="{00000000-0010-0000-0700-000006000000}" name="EXT" dataDxfId="88"/>
    <tableColumn id="7" xr3:uid="{00000000-0010-0000-0700-000007000000}" name="PO" dataDxfId="87"/>
    <tableColumn id="8" xr3:uid="{00000000-0010-0000-0700-000008000000}" name="Doc Date" dataDxfId="86"/>
    <tableColumn id="9" xr3:uid="{00000000-0010-0000-0700-000009000000}" name="Doc #" dataDxfId="85"/>
    <tableColumn id="10" xr3:uid="{00000000-0010-0000-0700-00000A000000}" name="Gross Amount" dataDxfId="84"/>
    <tableColumn id="11" xr3:uid="{00000000-0010-0000-0700-00000B000000}" name="Logge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NOTPOSTED" displayName="NOTPOSTED" ref="A1:F2" totalsRowShown="0">
  <autoFilter ref="A1:F2" xr:uid="{00000000-0009-0000-0100-000008000000}"/>
  <tableColumns count="6">
    <tableColumn id="1" xr3:uid="{00000000-0010-0000-0800-000001000000}" name="CUST CO"/>
    <tableColumn id="2" xr3:uid="{00000000-0010-0000-0800-000002000000}" name="INVNUMBER "/>
    <tableColumn id="3" xr3:uid="{00000000-0010-0000-0800-000003000000}" name="AMOUNT" dataDxfId="50"/>
    <tableColumn id="4" xr3:uid="{00000000-0010-0000-0800-000004000000}" name="DOCDATE" dataDxfId="49"/>
    <tableColumn id="5" xr3:uid="{00000000-0010-0000-0800-000005000000}" name="CHARGE_TYPE"/>
    <tableColumn id="6" xr3:uid="{00000000-0010-0000-0800-000006000000}" name="AGE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BApplied" displayName="TBApplied" ref="A1:H2" insertRow="1" totalsRowShown="0" headerRowDxfId="6" headerRowBorderDxfId="4" tableBorderDxfId="5">
  <autoFilter ref="A1:H2" xr:uid="{00000000-0009-0000-0100-000009000000}"/>
  <sortState ref="A2:G2">
    <sortCondition ref="A1:A2"/>
  </sortState>
  <tableColumns count="8">
    <tableColumn id="1" xr3:uid="{00000000-0010-0000-0900-000001000000}" name="CUST CO"/>
    <tableColumn id="2" xr3:uid="{00000000-0010-0000-0900-000002000000}" name="INVNUMBER "/>
    <tableColumn id="3" xr3:uid="{00000000-0010-0000-0900-000003000000}" name="AMOUNT" dataDxfId="3"/>
    <tableColumn id="4" xr3:uid="{00000000-0010-0000-0900-000004000000}" name="DOCDATE" dataDxfId="2"/>
    <tableColumn id="5" xr3:uid="{00000000-0010-0000-0900-000005000000}" name="PAY DATE" dataDxfId="1"/>
    <tableColumn id="6" xr3:uid="{00000000-0010-0000-0900-000006000000}" name="CHARGE_TYPE"/>
    <tableColumn id="7" xr3:uid="{00000000-0010-0000-0900-000007000000}" name="AGE" dataDxfId="0"/>
    <tableColumn id="9" xr3:uid="{54FB828B-80CE-4911-A133-85BB299295DA}" name="Column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COA" displayName="COA" ref="A1:G10" totalsRowShown="0" headerRowBorderDxfId="47">
  <autoFilter ref="A1:G10" xr:uid="{00000000-0009-0000-0100-00000A000000}"/>
  <sortState ref="A2:G10">
    <sortCondition ref="A1:A10"/>
  </sortState>
  <tableColumns count="7">
    <tableColumn id="1" xr3:uid="{00000000-0010-0000-0A00-000001000000}" name="CUST CO"/>
    <tableColumn id="2" xr3:uid="{00000000-0010-0000-0A00-000002000000}" name="PAYMENT REF"/>
    <tableColumn id="3" xr3:uid="{00000000-0010-0000-0A00-000003000000}" name="AMOUNT" dataDxfId="46"/>
    <tableColumn id="4" xr3:uid="{00000000-0010-0000-0A00-000004000000}" name="PAYMENT DATE" dataDxfId="45"/>
    <tableColumn id="5" xr3:uid="{00000000-0010-0000-0A00-000005000000}" name="AGE" dataDxfId="44">
      <calculatedColumnFormula>IF((TODAY()-(COA[PAYMENT DATE]+30))&lt;30,"Less than 30 days",IF((TODAY()-(COA[PAYMENT DATE]+30))&gt;60,"More than 60 days","30-60 days"))</calculatedColumnFormula>
    </tableColumn>
    <tableColumn id="7" xr3:uid="{00000000-0010-0000-0A00-000007000000}" name="CHARGE_TYPE" dataDxfId="43"/>
    <tableColumn id="6" xr3:uid="{00000000-0010-0000-0A00-000006000000}" name="REAS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PendingBilling" displayName="PendingBilling" ref="A1:H10" totalsRowShown="0" headerRowDxfId="42" headerRowBorderDxfId="41" tableBorderDxfId="40">
  <autoFilter ref="A1:H10" xr:uid="{00000000-0009-0000-0100-00000C000000}"/>
  <sortState ref="A2:H5">
    <sortCondition ref="A1:A5"/>
  </sortState>
  <tableColumns count="8">
    <tableColumn id="1" xr3:uid="{00000000-0010-0000-0B00-000001000000}" name="CUST CO"/>
    <tableColumn id="2" xr3:uid="{00000000-0010-0000-0B00-000002000000}" name="INVOICE " dataDxfId="39"/>
    <tableColumn id="3" xr3:uid="{00000000-0010-0000-0B00-000003000000}" name="AMOUNT" dataDxfId="38"/>
    <tableColumn id="4" xr3:uid="{00000000-0010-0000-0B00-000004000000}" name="INVOICE DATE" dataDxfId="37"/>
    <tableColumn id="5" xr3:uid="{00000000-0010-0000-0B00-000005000000}" name="REASON" dataDxfId="36"/>
    <tableColumn id="6" xr3:uid="{00000000-0010-0000-0B00-000006000000}" name="INV MONTH" dataDxfId="35">
      <calculatedColumnFormula>IF(ISBLANK(PendingBilling[[#This Row],[INVOICE DATE]]),"N/A",TEXT(PendingBilling[[#This Row],[INVOICE DATE]],"mmm-yyyy"))</calculatedColumnFormula>
    </tableColumn>
    <tableColumn id="7" xr3:uid="{00000000-0010-0000-0B00-000007000000}" name="CHARGE TYPE" dataDxfId="34"/>
    <tableColumn id="8" xr3:uid="{00000000-0010-0000-0B00-000008000000}" name="AGE" dataDxfId="33">
      <calculatedColumnFormula>IF((TODAY()-(PendingBilling[INVOICE DATE]+30))&lt;30,"Less than 30 Days",IF((TODAY()-(PendingBilling[INVOICE DATE]+30))&gt;60,"More than 60 days","30-60 days"))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vmlDrawing" Target="../drawings/vmlDrawing1.v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3.bin"/><Relationship Id="rId1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7"/>
  <sheetViews>
    <sheetView workbookViewId="0">
      <selection activeCell="I1" sqref="I1"/>
    </sheetView>
  </sheetViews>
  <sheetFormatPr defaultRowHeight="14.4" x14ac:dyDescent="0.3"/>
  <cols>
    <col min="1" max="1" width="19.21875" customWidth="1"/>
  </cols>
  <sheetData>
    <row r="1" spans="1:1" ht="15" thickBot="1" x14ac:dyDescent="0.35">
      <c r="A1" s="88" t="s">
        <v>2031</v>
      </c>
    </row>
    <row r="2" spans="1:1" x14ac:dyDescent="0.3">
      <c r="A2" t="s">
        <v>812</v>
      </c>
    </row>
    <row r="3" spans="1:1" x14ac:dyDescent="0.3">
      <c r="A3" t="s">
        <v>813</v>
      </c>
    </row>
    <row r="4" spans="1:1" x14ac:dyDescent="0.3">
      <c r="A4" t="s">
        <v>817</v>
      </c>
    </row>
    <row r="5" spans="1:1" x14ac:dyDescent="0.3">
      <c r="A5" t="s">
        <v>1550</v>
      </c>
    </row>
    <row r="6" spans="1:1" x14ac:dyDescent="0.3">
      <c r="A6" t="s">
        <v>818</v>
      </c>
    </row>
    <row r="7" spans="1:1" x14ac:dyDescent="0.3">
      <c r="A7" t="s">
        <v>2033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878"/>
  <sheetViews>
    <sheetView tabSelected="1" zoomScale="90" zoomScaleNormal="90" workbookViewId="0">
      <pane ySplit="1" topLeftCell="A848" activePane="bottomLeft" state="frozen"/>
      <selection pane="bottomLeft" activeCell="F877" sqref="F877"/>
    </sheetView>
  </sheetViews>
  <sheetFormatPr defaultRowHeight="14.4" x14ac:dyDescent="0.3"/>
  <cols>
    <col min="1" max="1" width="12.33203125" style="28" bestFit="1" customWidth="1"/>
    <col min="2" max="2" width="9.44140625" style="4" bestFit="1" customWidth="1"/>
    <col min="3" max="3" width="9.88671875" style="4" bestFit="1" customWidth="1"/>
    <col min="4" max="4" width="15.88671875" style="4" bestFit="1" customWidth="1"/>
    <col min="5" max="5" width="14.5546875" style="30" bestFit="1" customWidth="1"/>
    <col min="6" max="6" width="8.5546875" style="4" bestFit="1" customWidth="1"/>
    <col min="7" max="7" width="12.21875" style="4" bestFit="1" customWidth="1"/>
    <col min="8" max="8" width="8.5546875" style="4" bestFit="1" customWidth="1"/>
    <col min="9" max="9" width="6.6640625" style="4" bestFit="1" customWidth="1"/>
    <col min="10" max="10" width="15.44140625" style="28" bestFit="1" customWidth="1"/>
    <col min="11" max="11" width="21.6640625" style="28" bestFit="1" customWidth="1"/>
    <col min="12" max="12" width="13.77734375" style="4" bestFit="1" customWidth="1"/>
    <col min="13" max="13" width="13.5546875" style="4" bestFit="1" customWidth="1"/>
    <col min="14" max="14" width="13.109375" style="4" bestFit="1" customWidth="1"/>
    <col min="15" max="15" width="11" style="4" bestFit="1" customWidth="1"/>
    <col min="16" max="16" width="14.88671875" style="102" bestFit="1" customWidth="1"/>
    <col min="17" max="17" width="18.88671875" style="4" bestFit="1" customWidth="1"/>
    <col min="18" max="18" width="17.5546875" style="53" bestFit="1" customWidth="1"/>
    <col min="19" max="19" width="8.6640625" style="31" bestFit="1" customWidth="1"/>
    <col min="20" max="20" width="7.88671875" style="4" bestFit="1" customWidth="1"/>
    <col min="21" max="21" width="14.33203125" style="4" bestFit="1" customWidth="1"/>
    <col min="22" max="16384" width="8.88671875" style="4"/>
  </cols>
  <sheetData>
    <row r="1" spans="1:21" s="94" customFormat="1" ht="15" thickBot="1" x14ac:dyDescent="0.35">
      <c r="A1" s="57" t="s">
        <v>1</v>
      </c>
      <c r="B1" s="57" t="s">
        <v>33</v>
      </c>
      <c r="C1" s="57" t="s">
        <v>29</v>
      </c>
      <c r="D1" s="57" t="s">
        <v>0</v>
      </c>
      <c r="E1" s="58" t="s">
        <v>347</v>
      </c>
      <c r="F1" s="57" t="s">
        <v>32</v>
      </c>
      <c r="G1" s="57" t="s">
        <v>35</v>
      </c>
      <c r="H1" s="57" t="s">
        <v>30</v>
      </c>
      <c r="I1" s="57" t="s">
        <v>2</v>
      </c>
      <c r="J1" s="57" t="s">
        <v>819</v>
      </c>
      <c r="K1" s="57" t="s">
        <v>820</v>
      </c>
      <c r="L1" s="60" t="s">
        <v>5</v>
      </c>
      <c r="M1" s="60" t="s">
        <v>2241</v>
      </c>
      <c r="N1" s="60" t="s">
        <v>2244</v>
      </c>
      <c r="O1" s="58" t="s">
        <v>555</v>
      </c>
      <c r="P1" s="101" t="s">
        <v>2239</v>
      </c>
      <c r="Q1" s="58" t="s">
        <v>31</v>
      </c>
      <c r="R1" s="59" t="s">
        <v>2240</v>
      </c>
      <c r="S1" s="93" t="s">
        <v>2031</v>
      </c>
      <c r="T1" s="62" t="s">
        <v>2229</v>
      </c>
      <c r="U1" s="93" t="s">
        <v>3700</v>
      </c>
    </row>
    <row r="2" spans="1:21" x14ac:dyDescent="0.3">
      <c r="A2" s="90" t="s">
        <v>2038</v>
      </c>
      <c r="B2" s="4" t="s">
        <v>30</v>
      </c>
      <c r="C2" s="4" t="s">
        <v>23</v>
      </c>
      <c r="D2" s="4">
        <v>5405</v>
      </c>
      <c r="E2" s="30">
        <v>248</v>
      </c>
      <c r="H2" s="4">
        <v>11759</v>
      </c>
      <c r="I2" s="4" t="s">
        <v>2039</v>
      </c>
      <c r="J2" s="28" t="s">
        <v>2040</v>
      </c>
      <c r="K2" s="28" t="s">
        <v>3</v>
      </c>
      <c r="L2" s="32">
        <v>42856</v>
      </c>
      <c r="M2" s="32">
        <f>BCOXT[[#This Row],[INV DOC DATE]]+30</f>
        <v>42886</v>
      </c>
      <c r="N2" s="32"/>
      <c r="O2" s="31">
        <v>248</v>
      </c>
      <c r="P2" s="102">
        <v>43290</v>
      </c>
      <c r="Q2" s="31">
        <f t="shared" ref="Q2:Q65" si="0">$E2-$O2</f>
        <v>0</v>
      </c>
      <c r="R2" s="53" t="str">
        <f ca="1">IF(TODAY() - BCOXT[INV DUE DATE]&lt;30, "Less than 30 days",IF(TODAY()-BCOXT[INV DUE DATE]&lt;60,"30-60 days","More than 60 days"))</f>
        <v>More than 60 days</v>
      </c>
      <c r="S2" s="4" t="s">
        <v>812</v>
      </c>
      <c r="T2" s="43" t="s">
        <v>2229</v>
      </c>
      <c r="U2" s="4" t="s">
        <v>3699</v>
      </c>
    </row>
    <row r="3" spans="1:21" x14ac:dyDescent="0.3">
      <c r="A3" s="90" t="s">
        <v>2038</v>
      </c>
      <c r="B3" s="4" t="s">
        <v>30</v>
      </c>
      <c r="C3" s="4" t="s">
        <v>24</v>
      </c>
      <c r="D3" s="4">
        <v>5405</v>
      </c>
      <c r="E3" s="30">
        <v>248</v>
      </c>
      <c r="H3" s="4">
        <v>11759</v>
      </c>
      <c r="I3" s="4" t="s">
        <v>2039</v>
      </c>
      <c r="J3" s="28" t="s">
        <v>2041</v>
      </c>
      <c r="K3" s="28" t="s">
        <v>3</v>
      </c>
      <c r="L3" s="32">
        <v>42856</v>
      </c>
      <c r="M3" s="32">
        <f>BCOXT[[#This Row],[INV DOC DATE]]+30</f>
        <v>42886</v>
      </c>
      <c r="N3" s="32"/>
      <c r="O3" s="31">
        <v>248</v>
      </c>
      <c r="P3" s="102">
        <v>43290</v>
      </c>
      <c r="Q3" s="31">
        <f t="shared" si="0"/>
        <v>0</v>
      </c>
      <c r="R3" s="53" t="str">
        <f ca="1">IF(TODAY() - BCOXT[INV DUE DATE]&lt;30, "Less than 30 days",IF(TODAY()-BCOXT[INV DUE DATE]&lt;60,"30-60 days","More than 60 days"))</f>
        <v>More than 60 days</v>
      </c>
      <c r="S3" s="4" t="s">
        <v>812</v>
      </c>
      <c r="T3" s="43" t="s">
        <v>2229</v>
      </c>
      <c r="U3" s="4" t="s">
        <v>3699</v>
      </c>
    </row>
    <row r="4" spans="1:21" x14ac:dyDescent="0.3">
      <c r="A4" s="90" t="s">
        <v>2038</v>
      </c>
      <c r="B4" s="4" t="s">
        <v>30</v>
      </c>
      <c r="C4" s="4" t="s">
        <v>25</v>
      </c>
      <c r="D4" s="4">
        <v>5405</v>
      </c>
      <c r="E4" s="30">
        <v>248</v>
      </c>
      <c r="H4" s="4">
        <v>11759</v>
      </c>
      <c r="I4" s="4" t="s">
        <v>2039</v>
      </c>
      <c r="J4" s="28" t="s">
        <v>2042</v>
      </c>
      <c r="K4" s="28" t="s">
        <v>3</v>
      </c>
      <c r="L4" s="32">
        <v>42856</v>
      </c>
      <c r="M4" s="32">
        <f>BCOXT[[#This Row],[INV DOC DATE]]+30</f>
        <v>42886</v>
      </c>
      <c r="N4" s="32"/>
      <c r="O4" s="31">
        <v>248</v>
      </c>
      <c r="P4" s="102">
        <v>43290</v>
      </c>
      <c r="Q4" s="31">
        <f t="shared" si="0"/>
        <v>0</v>
      </c>
      <c r="R4" s="53" t="str">
        <f ca="1">IF(TODAY() - BCOXT[INV DUE DATE]&lt;30, "Less than 30 days",IF(TODAY()-BCOXT[INV DUE DATE]&lt;60,"30-60 days","More than 60 days"))</f>
        <v>More than 60 days</v>
      </c>
      <c r="S4" s="4" t="s">
        <v>812</v>
      </c>
      <c r="T4" s="43" t="s">
        <v>2229</v>
      </c>
      <c r="U4" s="4" t="s">
        <v>3699</v>
      </c>
    </row>
    <row r="5" spans="1:21" x14ac:dyDescent="0.3">
      <c r="A5" s="90" t="s">
        <v>2038</v>
      </c>
      <c r="B5" s="4" t="s">
        <v>30</v>
      </c>
      <c r="C5" s="4" t="s">
        <v>26</v>
      </c>
      <c r="D5" s="4">
        <v>5405</v>
      </c>
      <c r="E5" s="30">
        <v>248</v>
      </c>
      <c r="H5" s="4">
        <v>11759</v>
      </c>
      <c r="I5" s="4" t="s">
        <v>2039</v>
      </c>
      <c r="J5" s="28" t="s">
        <v>2043</v>
      </c>
      <c r="K5" s="28" t="s">
        <v>3</v>
      </c>
      <c r="L5" s="32">
        <v>42856</v>
      </c>
      <c r="M5" s="32">
        <f>BCOXT[[#This Row],[INV DOC DATE]]+30</f>
        <v>42886</v>
      </c>
      <c r="N5" s="32"/>
      <c r="O5" s="31">
        <v>248</v>
      </c>
      <c r="P5" s="102">
        <v>43290</v>
      </c>
      <c r="Q5" s="31">
        <f t="shared" si="0"/>
        <v>0</v>
      </c>
      <c r="R5" s="53" t="str">
        <f ca="1">IF(TODAY() - BCOXT[INV DUE DATE]&lt;30, "Less than 30 days",IF(TODAY()-BCOXT[INV DUE DATE]&lt;60,"30-60 days","More than 60 days"))</f>
        <v>More than 60 days</v>
      </c>
      <c r="S5" s="4" t="s">
        <v>812</v>
      </c>
      <c r="T5" s="43" t="s">
        <v>2229</v>
      </c>
      <c r="U5" s="4" t="s">
        <v>3699</v>
      </c>
    </row>
    <row r="6" spans="1:21" x14ac:dyDescent="0.3">
      <c r="A6" s="90" t="s">
        <v>2038</v>
      </c>
      <c r="B6" s="4" t="s">
        <v>30</v>
      </c>
      <c r="C6" s="4" t="s">
        <v>27</v>
      </c>
      <c r="D6" s="4">
        <v>5405</v>
      </c>
      <c r="E6" s="30">
        <v>248</v>
      </c>
      <c r="H6" s="4">
        <v>11759</v>
      </c>
      <c r="I6" s="4" t="s">
        <v>2039</v>
      </c>
      <c r="J6" s="28" t="s">
        <v>2044</v>
      </c>
      <c r="K6" s="28" t="s">
        <v>3</v>
      </c>
      <c r="L6" s="32">
        <v>42856</v>
      </c>
      <c r="M6" s="32">
        <f>BCOXT[[#This Row],[INV DOC DATE]]+30</f>
        <v>42886</v>
      </c>
      <c r="N6" s="32"/>
      <c r="O6" s="31">
        <v>248</v>
      </c>
      <c r="P6" s="102">
        <v>43290</v>
      </c>
      <c r="Q6" s="31">
        <f t="shared" si="0"/>
        <v>0</v>
      </c>
      <c r="R6" s="53" t="str">
        <f ca="1">IF(TODAY() - BCOXT[INV DUE DATE]&lt;30, "Less than 30 days",IF(TODAY()-BCOXT[INV DUE DATE]&lt;60,"30-60 days","More than 60 days"))</f>
        <v>More than 60 days</v>
      </c>
      <c r="S6" s="4" t="s">
        <v>812</v>
      </c>
      <c r="T6" s="43" t="s">
        <v>2229</v>
      </c>
      <c r="U6" s="4" t="s">
        <v>3699</v>
      </c>
    </row>
    <row r="7" spans="1:21" x14ac:dyDescent="0.3">
      <c r="A7" s="90" t="s">
        <v>2038</v>
      </c>
      <c r="B7" s="12" t="s">
        <v>30</v>
      </c>
      <c r="C7" s="12" t="s">
        <v>28</v>
      </c>
      <c r="D7" s="12">
        <v>5405</v>
      </c>
      <c r="E7" s="95">
        <v>248</v>
      </c>
      <c r="F7" s="12"/>
      <c r="G7" s="12"/>
      <c r="H7" s="12">
        <v>11759</v>
      </c>
      <c r="I7" s="12" t="s">
        <v>2039</v>
      </c>
      <c r="J7" s="29" t="s">
        <v>2045</v>
      </c>
      <c r="K7" s="29" t="s">
        <v>3</v>
      </c>
      <c r="L7" s="32">
        <v>42856</v>
      </c>
      <c r="M7" s="32">
        <f>BCOXT[[#This Row],[INV DOC DATE]]+30</f>
        <v>42886</v>
      </c>
      <c r="N7" s="32"/>
      <c r="O7" s="96">
        <v>248</v>
      </c>
      <c r="P7" s="103">
        <v>43290</v>
      </c>
      <c r="Q7" s="96">
        <f t="shared" si="0"/>
        <v>0</v>
      </c>
      <c r="R7" s="97" t="str">
        <f ca="1">IF(TODAY() - BCOXT[INV DUE DATE]&lt;30, "Less than 30 days",IF(TODAY()-BCOXT[INV DUE DATE]&lt;60,"30-60 days","More than 60 days"))</f>
        <v>More than 60 days</v>
      </c>
      <c r="S7" s="4" t="s">
        <v>812</v>
      </c>
      <c r="T7" s="43" t="s">
        <v>2229</v>
      </c>
      <c r="U7" s="4" t="s">
        <v>3699</v>
      </c>
    </row>
    <row r="8" spans="1:21" x14ac:dyDescent="0.3">
      <c r="A8" s="91" t="s">
        <v>2046</v>
      </c>
      <c r="B8" s="4" t="s">
        <v>30</v>
      </c>
      <c r="C8" s="4" t="s">
        <v>8</v>
      </c>
      <c r="D8" s="12">
        <v>5405</v>
      </c>
      <c r="E8" s="132">
        <v>577.5</v>
      </c>
      <c r="H8" s="4">
        <v>68157</v>
      </c>
      <c r="I8" s="4" t="s">
        <v>862</v>
      </c>
      <c r="J8" s="28" t="s">
        <v>2047</v>
      </c>
      <c r="K8" s="29" t="s">
        <v>3</v>
      </c>
      <c r="L8" s="32">
        <v>42887</v>
      </c>
      <c r="M8" s="32">
        <f>BCOXT[[#This Row],[INV DOC DATE]]+30</f>
        <v>42917</v>
      </c>
      <c r="N8" s="32"/>
      <c r="O8" s="31">
        <v>577.5</v>
      </c>
      <c r="P8" s="102">
        <v>43255</v>
      </c>
      <c r="Q8" s="96">
        <f t="shared" si="0"/>
        <v>0</v>
      </c>
      <c r="R8" s="97" t="str">
        <f ca="1">IF(TODAY() - BCOXT[INV DUE DATE]&lt;30, "Less than 30 days",IF(TODAY()-BCOXT[INV DUE DATE]&lt;60,"30-60 days","More than 60 days"))</f>
        <v>More than 60 days</v>
      </c>
      <c r="S8" s="4" t="s">
        <v>812</v>
      </c>
      <c r="T8" s="43" t="s">
        <v>2229</v>
      </c>
      <c r="U8" s="4" t="s">
        <v>3699</v>
      </c>
    </row>
    <row r="9" spans="1:21" x14ac:dyDescent="0.3">
      <c r="A9" s="91" t="s">
        <v>2046</v>
      </c>
      <c r="B9" s="4" t="s">
        <v>30</v>
      </c>
      <c r="C9" s="4" t="s">
        <v>9</v>
      </c>
      <c r="D9" s="12">
        <v>5405</v>
      </c>
      <c r="E9" s="98">
        <v>240</v>
      </c>
      <c r="H9" s="4">
        <v>68183</v>
      </c>
      <c r="I9" s="4" t="s">
        <v>862</v>
      </c>
      <c r="J9" s="28" t="s">
        <v>2048</v>
      </c>
      <c r="K9" s="29" t="s">
        <v>3</v>
      </c>
      <c r="L9" s="32">
        <v>42887</v>
      </c>
      <c r="M9" s="32">
        <f>BCOXT[[#This Row],[INV DOC DATE]]+30</f>
        <v>42917</v>
      </c>
      <c r="N9" s="32"/>
      <c r="O9" s="31">
        <v>240</v>
      </c>
      <c r="P9" s="102">
        <v>43255</v>
      </c>
      <c r="Q9" s="96">
        <f t="shared" si="0"/>
        <v>0</v>
      </c>
      <c r="R9" s="97" t="str">
        <f ca="1">IF(TODAY() - BCOXT[INV DUE DATE]&lt;30, "Less than 30 days",IF(TODAY()-BCOXT[INV DUE DATE]&lt;60,"30-60 days","More than 60 days"))</f>
        <v>More than 60 days</v>
      </c>
      <c r="S9" s="4" t="s">
        <v>812</v>
      </c>
      <c r="T9" s="43" t="s">
        <v>2229</v>
      </c>
      <c r="U9" s="4" t="s">
        <v>3699</v>
      </c>
    </row>
    <row r="10" spans="1:21" x14ac:dyDescent="0.3">
      <c r="A10" s="91" t="s">
        <v>2046</v>
      </c>
      <c r="B10" s="4" t="s">
        <v>30</v>
      </c>
      <c r="C10" s="4" t="s">
        <v>10</v>
      </c>
      <c r="D10" s="12">
        <v>5405</v>
      </c>
      <c r="E10" s="98">
        <v>240</v>
      </c>
      <c r="H10" s="4">
        <v>82624</v>
      </c>
      <c r="I10" s="4" t="s">
        <v>849</v>
      </c>
      <c r="J10" s="28" t="s">
        <v>2049</v>
      </c>
      <c r="K10" s="29" t="s">
        <v>3</v>
      </c>
      <c r="L10" s="32">
        <v>42887</v>
      </c>
      <c r="M10" s="32">
        <f>BCOXT[[#This Row],[INV DOC DATE]]+30</f>
        <v>42917</v>
      </c>
      <c r="N10" s="32"/>
      <c r="O10" s="31">
        <v>240</v>
      </c>
      <c r="P10" s="102">
        <v>43255</v>
      </c>
      <c r="Q10" s="96">
        <f t="shared" si="0"/>
        <v>0</v>
      </c>
      <c r="R10" s="97" t="str">
        <f ca="1">IF(TODAY() - BCOXT[INV DUE DATE]&lt;30, "Less than 30 days",IF(TODAY()-BCOXT[INV DUE DATE]&lt;60,"30-60 days","More than 60 days"))</f>
        <v>More than 60 days</v>
      </c>
      <c r="S10" s="4" t="s">
        <v>812</v>
      </c>
      <c r="T10" s="43" t="s">
        <v>2229</v>
      </c>
      <c r="U10" s="4" t="s">
        <v>3699</v>
      </c>
    </row>
    <row r="11" spans="1:21" x14ac:dyDescent="0.3">
      <c r="A11" s="91" t="s">
        <v>2046</v>
      </c>
      <c r="B11" s="4" t="s">
        <v>30</v>
      </c>
      <c r="C11" s="4" t="s">
        <v>11</v>
      </c>
      <c r="D11" s="12">
        <v>5405</v>
      </c>
      <c r="E11" s="98">
        <v>240</v>
      </c>
      <c r="H11" s="4">
        <v>56534</v>
      </c>
      <c r="I11" s="4" t="s">
        <v>848</v>
      </c>
      <c r="J11" s="28" t="s">
        <v>2050</v>
      </c>
      <c r="K11" s="29" t="s">
        <v>3</v>
      </c>
      <c r="L11" s="32">
        <v>42887</v>
      </c>
      <c r="M11" s="32">
        <f>BCOXT[[#This Row],[INV DOC DATE]]+30</f>
        <v>42917</v>
      </c>
      <c r="N11" s="32"/>
      <c r="O11" s="31">
        <v>240</v>
      </c>
      <c r="P11" s="102">
        <v>43255</v>
      </c>
      <c r="Q11" s="96">
        <f t="shared" si="0"/>
        <v>0</v>
      </c>
      <c r="R11" s="97" t="str">
        <f ca="1">IF(TODAY() - BCOXT[INV DUE DATE]&lt;30, "Less than 30 days",IF(TODAY()-BCOXT[INV DUE DATE]&lt;60,"30-60 days","More than 60 days"))</f>
        <v>More than 60 days</v>
      </c>
      <c r="S11" s="4" t="s">
        <v>812</v>
      </c>
      <c r="T11" s="43" t="s">
        <v>2229</v>
      </c>
      <c r="U11" s="4" t="s">
        <v>3699</v>
      </c>
    </row>
    <row r="12" spans="1:21" x14ac:dyDescent="0.3">
      <c r="A12" s="91" t="s">
        <v>2046</v>
      </c>
      <c r="B12" s="4" t="s">
        <v>30</v>
      </c>
      <c r="C12" s="4" t="s">
        <v>12</v>
      </c>
      <c r="D12" s="12">
        <v>5405</v>
      </c>
      <c r="E12" s="98">
        <v>240</v>
      </c>
      <c r="H12" s="4">
        <v>56534</v>
      </c>
      <c r="I12" s="4" t="s">
        <v>848</v>
      </c>
      <c r="J12" s="28" t="s">
        <v>2051</v>
      </c>
      <c r="K12" s="29" t="s">
        <v>3</v>
      </c>
      <c r="L12" s="32">
        <v>42887</v>
      </c>
      <c r="M12" s="32">
        <f>BCOXT[[#This Row],[INV DOC DATE]]+30</f>
        <v>42917</v>
      </c>
      <c r="N12" s="32"/>
      <c r="O12" s="31">
        <v>240</v>
      </c>
      <c r="P12" s="102">
        <v>43255</v>
      </c>
      <c r="Q12" s="96">
        <f t="shared" si="0"/>
        <v>0</v>
      </c>
      <c r="R12" s="97" t="str">
        <f ca="1">IF(TODAY() - BCOXT[INV DUE DATE]&lt;30, "Less than 30 days",IF(TODAY()-BCOXT[INV DUE DATE]&lt;60,"30-60 days","More than 60 days"))</f>
        <v>More than 60 days</v>
      </c>
      <c r="S12" s="4" t="s">
        <v>812</v>
      </c>
      <c r="T12" s="43" t="s">
        <v>2229</v>
      </c>
      <c r="U12" s="4" t="s">
        <v>3699</v>
      </c>
    </row>
    <row r="13" spans="1:21" x14ac:dyDescent="0.3">
      <c r="A13" s="91" t="s">
        <v>2046</v>
      </c>
      <c r="B13" s="4" t="s">
        <v>30</v>
      </c>
      <c r="C13" s="4" t="s">
        <v>13</v>
      </c>
      <c r="D13" s="12">
        <v>5405</v>
      </c>
      <c r="E13" s="98">
        <v>240</v>
      </c>
      <c r="H13" s="4">
        <v>56534</v>
      </c>
      <c r="I13" s="4" t="s">
        <v>848</v>
      </c>
      <c r="J13" s="28" t="s">
        <v>2052</v>
      </c>
      <c r="K13" s="29" t="s">
        <v>3</v>
      </c>
      <c r="L13" s="32">
        <v>42887</v>
      </c>
      <c r="M13" s="32">
        <f>BCOXT[[#This Row],[INV DOC DATE]]+30</f>
        <v>42917</v>
      </c>
      <c r="N13" s="32"/>
      <c r="O13" s="31">
        <v>240</v>
      </c>
      <c r="P13" s="102">
        <v>43255</v>
      </c>
      <c r="Q13" s="96">
        <f t="shared" si="0"/>
        <v>0</v>
      </c>
      <c r="R13" s="97" t="str">
        <f ca="1">IF(TODAY() - BCOXT[INV DUE DATE]&lt;30, "Less than 30 days",IF(TODAY()-BCOXT[INV DUE DATE]&lt;60,"30-60 days","More than 60 days"))</f>
        <v>More than 60 days</v>
      </c>
      <c r="S13" s="4" t="s">
        <v>812</v>
      </c>
      <c r="T13" s="43" t="s">
        <v>2229</v>
      </c>
      <c r="U13" s="4" t="s">
        <v>3699</v>
      </c>
    </row>
    <row r="14" spans="1:21" x14ac:dyDescent="0.3">
      <c r="A14" s="91" t="s">
        <v>2046</v>
      </c>
      <c r="B14" s="4" t="s">
        <v>30</v>
      </c>
      <c r="C14" s="12" t="s">
        <v>14</v>
      </c>
      <c r="D14" s="12">
        <v>5405</v>
      </c>
      <c r="E14" s="98">
        <v>240</v>
      </c>
      <c r="F14" s="12"/>
      <c r="G14" s="12"/>
      <c r="H14" s="12">
        <v>56534</v>
      </c>
      <c r="I14" s="12" t="s">
        <v>848</v>
      </c>
      <c r="J14" s="29" t="s">
        <v>2053</v>
      </c>
      <c r="K14" s="29" t="s">
        <v>3</v>
      </c>
      <c r="L14" s="32">
        <v>42887</v>
      </c>
      <c r="M14" s="32">
        <f>BCOXT[[#This Row],[INV DOC DATE]]+30</f>
        <v>42917</v>
      </c>
      <c r="N14" s="32"/>
      <c r="O14" s="96">
        <v>240</v>
      </c>
      <c r="P14" s="103">
        <v>43255</v>
      </c>
      <c r="Q14" s="96">
        <f t="shared" si="0"/>
        <v>0</v>
      </c>
      <c r="R14" s="97" t="str">
        <f ca="1">IF(TODAY() - BCOXT[INV DUE DATE]&lt;30, "Less than 30 days",IF(TODAY()-BCOXT[INV DUE DATE]&lt;60,"30-60 days","More than 60 days"))</f>
        <v>More than 60 days</v>
      </c>
      <c r="S14" s="4" t="s">
        <v>812</v>
      </c>
      <c r="T14" s="43" t="s">
        <v>2229</v>
      </c>
      <c r="U14" s="4" t="s">
        <v>3699</v>
      </c>
    </row>
    <row r="15" spans="1:21" x14ac:dyDescent="0.3">
      <c r="A15" s="28" t="s">
        <v>2054</v>
      </c>
      <c r="B15" s="4" t="s">
        <v>35</v>
      </c>
      <c r="C15" s="4" t="s">
        <v>6</v>
      </c>
      <c r="D15" s="99">
        <v>5405</v>
      </c>
      <c r="E15" s="30">
        <v>240</v>
      </c>
      <c r="G15" s="53">
        <v>4320000188</v>
      </c>
      <c r="J15" s="99" t="s">
        <v>764</v>
      </c>
      <c r="K15" s="29" t="s">
        <v>3</v>
      </c>
      <c r="L15" s="32">
        <v>43040</v>
      </c>
      <c r="M15" s="32">
        <f>BCOXT[[#This Row],[INV DOC DATE]]+30</f>
        <v>43070</v>
      </c>
      <c r="N15" s="32"/>
      <c r="O15" s="31"/>
      <c r="Q15" s="31">
        <f t="shared" si="0"/>
        <v>240</v>
      </c>
      <c r="R15" s="53" t="str">
        <f ca="1">IF(TODAY() - BCOXT[INV DUE DATE]&lt;30, "Less than 30 days",IF(TODAY()-BCOXT[INV DUE DATE]&lt;60,"30-60 days","More than 60 days"))</f>
        <v>More than 60 days</v>
      </c>
      <c r="S15" s="4" t="s">
        <v>812</v>
      </c>
      <c r="T15" s="43"/>
      <c r="U15" s="4" t="s">
        <v>3699</v>
      </c>
    </row>
    <row r="16" spans="1:21" x14ac:dyDescent="0.3">
      <c r="A16" s="28" t="s">
        <v>2139</v>
      </c>
      <c r="B16" s="4" t="s">
        <v>30</v>
      </c>
      <c r="C16" s="4" t="s">
        <v>6</v>
      </c>
      <c r="D16" s="4">
        <v>5405</v>
      </c>
      <c r="E16" s="30">
        <v>248</v>
      </c>
      <c r="H16" s="4">
        <v>66964</v>
      </c>
      <c r="I16" s="4" t="s">
        <v>2283</v>
      </c>
      <c r="J16" s="28" t="s">
        <v>2284</v>
      </c>
      <c r="K16" s="28" t="s">
        <v>3</v>
      </c>
      <c r="L16" s="32">
        <v>43070</v>
      </c>
      <c r="M16" s="32">
        <f>BCOXT[[#This Row],[INV DOC DATE]]+30</f>
        <v>43100</v>
      </c>
      <c r="N16" s="32">
        <v>43112</v>
      </c>
      <c r="O16" s="31"/>
      <c r="Q16" s="31">
        <f t="shared" si="0"/>
        <v>248</v>
      </c>
      <c r="R16" s="53" t="str">
        <f ca="1">IF(TODAY() - BCOXT[INV DUE DATE]&lt;30, "Less than 30 days",IF(TODAY()-BCOXT[INV DUE DATE]&lt;60,"30-60 days","More than 60 days"))</f>
        <v>More than 60 days</v>
      </c>
      <c r="S16" s="31" t="s">
        <v>812</v>
      </c>
      <c r="T16" s="43"/>
      <c r="U16" s="4" t="s">
        <v>3699</v>
      </c>
    </row>
    <row r="17" spans="1:21" x14ac:dyDescent="0.3">
      <c r="A17" s="28" t="s">
        <v>2139</v>
      </c>
      <c r="B17" s="4" t="s">
        <v>30</v>
      </c>
      <c r="C17" s="4" t="s">
        <v>7</v>
      </c>
      <c r="D17" s="4">
        <v>5405</v>
      </c>
      <c r="E17" s="30">
        <v>271.25</v>
      </c>
      <c r="H17" s="4">
        <v>67094</v>
      </c>
      <c r="I17" s="4" t="s">
        <v>2283</v>
      </c>
      <c r="J17" s="28" t="s">
        <v>2285</v>
      </c>
      <c r="K17" s="28" t="s">
        <v>3</v>
      </c>
      <c r="L17" s="32">
        <v>43070</v>
      </c>
      <c r="M17" s="32">
        <f>BCOXT[[#This Row],[INV DOC DATE]]+30</f>
        <v>43100</v>
      </c>
      <c r="N17" s="32">
        <v>43112</v>
      </c>
      <c r="O17" s="31"/>
      <c r="Q17" s="31">
        <f t="shared" si="0"/>
        <v>271.25</v>
      </c>
      <c r="R17" s="53" t="str">
        <f ca="1">IF(TODAY() - BCOXT[INV DUE DATE]&lt;30, "Less than 30 days",IF(TODAY()-BCOXT[INV DUE DATE]&lt;60,"30-60 days","More than 60 days"))</f>
        <v>More than 60 days</v>
      </c>
      <c r="S17" s="31" t="s">
        <v>812</v>
      </c>
      <c r="T17" s="43"/>
      <c r="U17" s="4" t="s">
        <v>3699</v>
      </c>
    </row>
    <row r="18" spans="1:21" x14ac:dyDescent="0.3">
      <c r="A18" s="28" t="s">
        <v>2139</v>
      </c>
      <c r="B18" s="4" t="s">
        <v>30</v>
      </c>
      <c r="C18" s="4" t="s">
        <v>8</v>
      </c>
      <c r="D18" s="4">
        <v>5405</v>
      </c>
      <c r="E18" s="30">
        <v>248</v>
      </c>
      <c r="H18" s="4">
        <v>68183</v>
      </c>
      <c r="I18" s="4" t="s">
        <v>862</v>
      </c>
      <c r="J18" s="28" t="s">
        <v>2048</v>
      </c>
      <c r="K18" s="28" t="s">
        <v>3</v>
      </c>
      <c r="L18" s="32">
        <v>43070</v>
      </c>
      <c r="M18" s="32">
        <f>BCOXT[[#This Row],[INV DOC DATE]]+30</f>
        <v>43100</v>
      </c>
      <c r="N18" s="32">
        <v>43112</v>
      </c>
      <c r="O18" s="31"/>
      <c r="Q18" s="31">
        <f t="shared" si="0"/>
        <v>248</v>
      </c>
      <c r="R18" s="53" t="str">
        <f ca="1">IF(TODAY() - BCOXT[INV DUE DATE]&lt;30, "Less than 30 days",IF(TODAY()-BCOXT[INV DUE DATE]&lt;60,"30-60 days","More than 60 days"))</f>
        <v>More than 60 days</v>
      </c>
      <c r="S18" s="31" t="s">
        <v>812</v>
      </c>
      <c r="T18" s="43"/>
      <c r="U18" s="4" t="s">
        <v>3699</v>
      </c>
    </row>
    <row r="19" spans="1:21" x14ac:dyDescent="0.3">
      <c r="A19" s="28" t="s">
        <v>2139</v>
      </c>
      <c r="B19" s="4" t="s">
        <v>30</v>
      </c>
      <c r="C19" s="4" t="s">
        <v>9</v>
      </c>
      <c r="D19" s="4">
        <v>5405</v>
      </c>
      <c r="E19" s="30">
        <v>248</v>
      </c>
      <c r="H19" s="4">
        <v>68355</v>
      </c>
      <c r="I19" s="4" t="s">
        <v>2286</v>
      </c>
      <c r="J19" s="28" t="s">
        <v>2287</v>
      </c>
      <c r="K19" s="28" t="s">
        <v>3</v>
      </c>
      <c r="L19" s="32">
        <v>43070</v>
      </c>
      <c r="M19" s="32">
        <f>BCOXT[[#This Row],[INV DOC DATE]]+30</f>
        <v>43100</v>
      </c>
      <c r="N19" s="32">
        <v>43112</v>
      </c>
      <c r="O19" s="31"/>
      <c r="Q19" s="31">
        <f t="shared" si="0"/>
        <v>248</v>
      </c>
      <c r="R19" s="53" t="str">
        <f ca="1">IF(TODAY() - BCOXT[INV DUE DATE]&lt;30, "Less than 30 days",IF(TODAY()-BCOXT[INV DUE DATE]&lt;60,"30-60 days","More than 60 days"))</f>
        <v>More than 60 days</v>
      </c>
      <c r="S19" s="31" t="s">
        <v>812</v>
      </c>
      <c r="T19" s="43"/>
      <c r="U19" s="4" t="s">
        <v>3699</v>
      </c>
    </row>
    <row r="20" spans="1:21" x14ac:dyDescent="0.3">
      <c r="A20" s="28" t="s">
        <v>2139</v>
      </c>
      <c r="B20" s="4" t="s">
        <v>30</v>
      </c>
      <c r="C20" s="4" t="s">
        <v>10</v>
      </c>
      <c r="D20" s="4">
        <v>5405</v>
      </c>
      <c r="E20" s="30">
        <v>248</v>
      </c>
      <c r="H20" s="4">
        <v>68355</v>
      </c>
      <c r="I20" s="4" t="s">
        <v>2286</v>
      </c>
      <c r="J20" s="28" t="s">
        <v>2288</v>
      </c>
      <c r="K20" s="28" t="s">
        <v>3</v>
      </c>
      <c r="L20" s="32">
        <v>43070</v>
      </c>
      <c r="M20" s="32">
        <f>BCOXT[[#This Row],[INV DOC DATE]]+30</f>
        <v>43100</v>
      </c>
      <c r="N20" s="32">
        <v>43112</v>
      </c>
      <c r="O20" s="31"/>
      <c r="Q20" s="31">
        <f t="shared" si="0"/>
        <v>248</v>
      </c>
      <c r="R20" s="53" t="str">
        <f ca="1">IF(TODAY() - BCOXT[INV DUE DATE]&lt;30, "Less than 30 days",IF(TODAY()-BCOXT[INV DUE DATE]&lt;60,"30-60 days","More than 60 days"))</f>
        <v>More than 60 days</v>
      </c>
      <c r="S20" s="31" t="s">
        <v>812</v>
      </c>
      <c r="T20" s="43"/>
      <c r="U20" s="4" t="s">
        <v>3699</v>
      </c>
    </row>
    <row r="21" spans="1:21" x14ac:dyDescent="0.3">
      <c r="A21" s="28" t="s">
        <v>2139</v>
      </c>
      <c r="B21" s="4" t="s">
        <v>30</v>
      </c>
      <c r="C21" s="4" t="s">
        <v>11</v>
      </c>
      <c r="D21" s="4">
        <v>5405</v>
      </c>
      <c r="E21" s="30">
        <v>248</v>
      </c>
      <c r="H21" s="4">
        <v>68355</v>
      </c>
      <c r="I21" s="4" t="s">
        <v>2286</v>
      </c>
      <c r="J21" s="28" t="s">
        <v>2289</v>
      </c>
      <c r="K21" s="28" t="s">
        <v>3</v>
      </c>
      <c r="L21" s="32">
        <v>43070</v>
      </c>
      <c r="M21" s="32">
        <f>BCOXT[[#This Row],[INV DOC DATE]]+30</f>
        <v>43100</v>
      </c>
      <c r="N21" s="32">
        <v>43112</v>
      </c>
      <c r="O21" s="31"/>
      <c r="Q21" s="31">
        <f t="shared" si="0"/>
        <v>248</v>
      </c>
      <c r="R21" s="53" t="str">
        <f ca="1">IF(TODAY() - BCOXT[INV DUE DATE]&lt;30, "Less than 30 days",IF(TODAY()-BCOXT[INV DUE DATE]&lt;60,"30-60 days","More than 60 days"))</f>
        <v>More than 60 days</v>
      </c>
      <c r="S21" s="31" t="s">
        <v>812</v>
      </c>
      <c r="T21" s="43"/>
      <c r="U21" s="4" t="s">
        <v>3699</v>
      </c>
    </row>
    <row r="22" spans="1:21" x14ac:dyDescent="0.3">
      <c r="A22" s="28" t="s">
        <v>2139</v>
      </c>
      <c r="B22" s="4" t="s">
        <v>30</v>
      </c>
      <c r="C22" s="4" t="s">
        <v>12</v>
      </c>
      <c r="D22" s="4">
        <v>5405</v>
      </c>
      <c r="E22" s="30">
        <v>248</v>
      </c>
      <c r="H22" s="4">
        <v>68355</v>
      </c>
      <c r="I22" s="4" t="s">
        <v>2286</v>
      </c>
      <c r="J22" s="28" t="s">
        <v>2290</v>
      </c>
      <c r="K22" s="28" t="s">
        <v>3</v>
      </c>
      <c r="L22" s="32">
        <v>43070</v>
      </c>
      <c r="M22" s="32">
        <f>BCOXT[[#This Row],[INV DOC DATE]]+30</f>
        <v>43100</v>
      </c>
      <c r="N22" s="32">
        <v>43112</v>
      </c>
      <c r="O22" s="31"/>
      <c r="Q22" s="31">
        <f t="shared" si="0"/>
        <v>248</v>
      </c>
      <c r="R22" s="53" t="str">
        <f ca="1">IF(TODAY() - BCOXT[INV DUE DATE]&lt;30, "Less than 30 days",IF(TODAY()-BCOXT[INV DUE DATE]&lt;60,"30-60 days","More than 60 days"))</f>
        <v>More than 60 days</v>
      </c>
      <c r="S22" s="31" t="s">
        <v>812</v>
      </c>
      <c r="T22" s="43"/>
      <c r="U22" s="4" t="s">
        <v>3699</v>
      </c>
    </row>
    <row r="23" spans="1:21" x14ac:dyDescent="0.3">
      <c r="A23" s="28" t="s">
        <v>2139</v>
      </c>
      <c r="B23" s="4" t="s">
        <v>30</v>
      </c>
      <c r="C23" s="4" t="s">
        <v>13</v>
      </c>
      <c r="D23" s="4">
        <v>5405</v>
      </c>
      <c r="E23" s="30">
        <v>248</v>
      </c>
      <c r="H23" s="4">
        <v>68355</v>
      </c>
      <c r="I23" s="4" t="s">
        <v>2286</v>
      </c>
      <c r="J23" s="28" t="s">
        <v>2291</v>
      </c>
      <c r="K23" s="28" t="s">
        <v>3</v>
      </c>
      <c r="L23" s="32">
        <v>43070</v>
      </c>
      <c r="M23" s="32">
        <f>BCOXT[[#This Row],[INV DOC DATE]]+30</f>
        <v>43100</v>
      </c>
      <c r="N23" s="32">
        <v>43112</v>
      </c>
      <c r="O23" s="31"/>
      <c r="Q23" s="31">
        <f t="shared" si="0"/>
        <v>248</v>
      </c>
      <c r="R23" s="53" t="str">
        <f ca="1">IF(TODAY() - BCOXT[INV DUE DATE]&lt;30, "Less than 30 days",IF(TODAY()-BCOXT[INV DUE DATE]&lt;60,"30-60 days","More than 60 days"))</f>
        <v>More than 60 days</v>
      </c>
      <c r="S23" s="31" t="s">
        <v>812</v>
      </c>
      <c r="T23" s="43"/>
      <c r="U23" s="4" t="s">
        <v>3699</v>
      </c>
    </row>
    <row r="24" spans="1:21" x14ac:dyDescent="0.3">
      <c r="A24" s="28" t="s">
        <v>2139</v>
      </c>
      <c r="B24" s="4" t="s">
        <v>30</v>
      </c>
      <c r="C24" s="4" t="s">
        <v>14</v>
      </c>
      <c r="D24" s="4">
        <v>5405</v>
      </c>
      <c r="E24" s="30">
        <v>248</v>
      </c>
      <c r="H24" s="4">
        <v>68355</v>
      </c>
      <c r="I24" s="4" t="s">
        <v>2286</v>
      </c>
      <c r="J24" s="28" t="s">
        <v>2292</v>
      </c>
      <c r="K24" s="28" t="s">
        <v>3</v>
      </c>
      <c r="L24" s="32">
        <v>43070</v>
      </c>
      <c r="M24" s="32">
        <f>BCOXT[[#This Row],[INV DOC DATE]]+30</f>
        <v>43100</v>
      </c>
      <c r="N24" s="32">
        <v>43112</v>
      </c>
      <c r="O24" s="31"/>
      <c r="Q24" s="31">
        <f t="shared" si="0"/>
        <v>248</v>
      </c>
      <c r="R24" s="53" t="str">
        <f ca="1">IF(TODAY() - BCOXT[INV DUE DATE]&lt;30, "Less than 30 days",IF(TODAY()-BCOXT[INV DUE DATE]&lt;60,"30-60 days","More than 60 days"))</f>
        <v>More than 60 days</v>
      </c>
      <c r="S24" s="31" t="s">
        <v>812</v>
      </c>
      <c r="T24" s="43"/>
      <c r="U24" s="4" t="s">
        <v>3699</v>
      </c>
    </row>
    <row r="25" spans="1:21" x14ac:dyDescent="0.3">
      <c r="A25" s="28" t="s">
        <v>2139</v>
      </c>
      <c r="B25" s="4" t="s">
        <v>30</v>
      </c>
      <c r="C25" s="4" t="s">
        <v>15</v>
      </c>
      <c r="D25" s="4">
        <v>5405</v>
      </c>
      <c r="E25" s="30">
        <v>248</v>
      </c>
      <c r="H25" s="4">
        <v>68355</v>
      </c>
      <c r="I25" s="4" t="s">
        <v>2286</v>
      </c>
      <c r="J25" s="28" t="s">
        <v>2293</v>
      </c>
      <c r="K25" s="28" t="s">
        <v>3</v>
      </c>
      <c r="L25" s="32">
        <v>43070</v>
      </c>
      <c r="M25" s="32">
        <f>BCOXT[[#This Row],[INV DOC DATE]]+30</f>
        <v>43100</v>
      </c>
      <c r="N25" s="32">
        <v>43112</v>
      </c>
      <c r="O25" s="31"/>
      <c r="Q25" s="31">
        <f t="shared" si="0"/>
        <v>248</v>
      </c>
      <c r="R25" s="53" t="str">
        <f ca="1">IF(TODAY() - BCOXT[INV DUE DATE]&lt;30, "Less than 30 days",IF(TODAY()-BCOXT[INV DUE DATE]&lt;60,"30-60 days","More than 60 days"))</f>
        <v>More than 60 days</v>
      </c>
      <c r="S25" s="31" t="s">
        <v>812</v>
      </c>
      <c r="T25" s="43"/>
      <c r="U25" s="4" t="s">
        <v>3699</v>
      </c>
    </row>
    <row r="26" spans="1:21" x14ac:dyDescent="0.3">
      <c r="A26" s="28" t="s">
        <v>2139</v>
      </c>
      <c r="B26" s="4" t="s">
        <v>30</v>
      </c>
      <c r="C26" s="4" t="s">
        <v>16</v>
      </c>
      <c r="D26" s="4">
        <v>5405</v>
      </c>
      <c r="E26" s="30">
        <v>248</v>
      </c>
      <c r="H26" s="4">
        <v>68355</v>
      </c>
      <c r="I26" s="4" t="s">
        <v>2286</v>
      </c>
      <c r="J26" s="28" t="s">
        <v>2294</v>
      </c>
      <c r="K26" s="28" t="s">
        <v>3</v>
      </c>
      <c r="L26" s="32">
        <v>43070</v>
      </c>
      <c r="M26" s="32">
        <f>BCOXT[[#This Row],[INV DOC DATE]]+30</f>
        <v>43100</v>
      </c>
      <c r="N26" s="32">
        <v>43112</v>
      </c>
      <c r="O26" s="31"/>
      <c r="Q26" s="31">
        <f t="shared" si="0"/>
        <v>248</v>
      </c>
      <c r="R26" s="53" t="str">
        <f ca="1">IF(TODAY() - BCOXT[INV DUE DATE]&lt;30, "Less than 30 days",IF(TODAY()-BCOXT[INV DUE DATE]&lt;60,"30-60 days","More than 60 days"))</f>
        <v>More than 60 days</v>
      </c>
      <c r="S26" s="31" t="s">
        <v>812</v>
      </c>
      <c r="T26" s="43"/>
      <c r="U26" s="4" t="s">
        <v>3699</v>
      </c>
    </row>
    <row r="27" spans="1:21" x14ac:dyDescent="0.3">
      <c r="A27" s="28" t="s">
        <v>2139</v>
      </c>
      <c r="B27" s="4" t="s">
        <v>30</v>
      </c>
      <c r="C27" s="4" t="s">
        <v>17</v>
      </c>
      <c r="D27" s="4">
        <v>5405</v>
      </c>
      <c r="E27" s="30">
        <v>248</v>
      </c>
      <c r="H27" s="4">
        <v>68355</v>
      </c>
      <c r="I27" s="4" t="s">
        <v>2286</v>
      </c>
      <c r="J27" s="28" t="s">
        <v>2295</v>
      </c>
      <c r="K27" s="28" t="s">
        <v>3</v>
      </c>
      <c r="L27" s="32">
        <v>43070</v>
      </c>
      <c r="M27" s="32">
        <f>BCOXT[[#This Row],[INV DOC DATE]]+30</f>
        <v>43100</v>
      </c>
      <c r="N27" s="32">
        <v>43112</v>
      </c>
      <c r="O27" s="31"/>
      <c r="Q27" s="31">
        <f t="shared" si="0"/>
        <v>248</v>
      </c>
      <c r="R27" s="53" t="str">
        <f ca="1">IF(TODAY() - BCOXT[INV DUE DATE]&lt;30, "Less than 30 days",IF(TODAY()-BCOXT[INV DUE DATE]&lt;60,"30-60 days","More than 60 days"))</f>
        <v>More than 60 days</v>
      </c>
      <c r="S27" s="31" t="s">
        <v>812</v>
      </c>
      <c r="T27" s="43"/>
      <c r="U27" s="4" t="s">
        <v>3699</v>
      </c>
    </row>
    <row r="28" spans="1:21" x14ac:dyDescent="0.3">
      <c r="A28" s="28" t="s">
        <v>2139</v>
      </c>
      <c r="B28" s="4" t="s">
        <v>30</v>
      </c>
      <c r="C28" s="4" t="s">
        <v>18</v>
      </c>
      <c r="D28" s="4">
        <v>5405</v>
      </c>
      <c r="E28" s="30">
        <v>248</v>
      </c>
      <c r="H28" s="4">
        <v>68355</v>
      </c>
      <c r="I28" s="4" t="s">
        <v>2286</v>
      </c>
      <c r="J28" s="28" t="s">
        <v>2296</v>
      </c>
      <c r="K28" s="28" t="s">
        <v>3</v>
      </c>
      <c r="L28" s="32">
        <v>43070</v>
      </c>
      <c r="M28" s="32">
        <f>BCOXT[[#This Row],[INV DOC DATE]]+30</f>
        <v>43100</v>
      </c>
      <c r="N28" s="32">
        <v>43112</v>
      </c>
      <c r="O28" s="31"/>
      <c r="Q28" s="31">
        <f t="shared" si="0"/>
        <v>248</v>
      </c>
      <c r="R28" s="53" t="str">
        <f ca="1">IF(TODAY() - BCOXT[INV DUE DATE]&lt;30, "Less than 30 days",IF(TODAY()-BCOXT[INV DUE DATE]&lt;60,"30-60 days","More than 60 days"))</f>
        <v>More than 60 days</v>
      </c>
      <c r="S28" s="31" t="s">
        <v>812</v>
      </c>
      <c r="T28" s="43"/>
      <c r="U28" s="4" t="s">
        <v>3699</v>
      </c>
    </row>
    <row r="29" spans="1:21" x14ac:dyDescent="0.3">
      <c r="A29" s="28" t="s">
        <v>2139</v>
      </c>
      <c r="B29" s="4" t="s">
        <v>30</v>
      </c>
      <c r="C29" s="4" t="s">
        <v>19</v>
      </c>
      <c r="D29" s="4">
        <v>5405</v>
      </c>
      <c r="E29" s="30">
        <v>248</v>
      </c>
      <c r="H29" s="4">
        <v>68355</v>
      </c>
      <c r="I29" s="4" t="s">
        <v>2286</v>
      </c>
      <c r="J29" s="28" t="s">
        <v>2297</v>
      </c>
      <c r="K29" s="28" t="s">
        <v>3</v>
      </c>
      <c r="L29" s="32">
        <v>43070</v>
      </c>
      <c r="M29" s="32">
        <f>BCOXT[[#This Row],[INV DOC DATE]]+30</f>
        <v>43100</v>
      </c>
      <c r="N29" s="32">
        <v>43112</v>
      </c>
      <c r="O29" s="31"/>
      <c r="Q29" s="31">
        <f t="shared" si="0"/>
        <v>248</v>
      </c>
      <c r="R29" s="53" t="str">
        <f ca="1">IF(TODAY() - BCOXT[INV DUE DATE]&lt;30, "Less than 30 days",IF(TODAY()-BCOXT[INV DUE DATE]&lt;60,"30-60 days","More than 60 days"))</f>
        <v>More than 60 days</v>
      </c>
      <c r="S29" s="31" t="s">
        <v>812</v>
      </c>
      <c r="T29" s="43"/>
      <c r="U29" s="4" t="s">
        <v>3699</v>
      </c>
    </row>
    <row r="30" spans="1:21" x14ac:dyDescent="0.3">
      <c r="A30" s="28" t="s">
        <v>2139</v>
      </c>
      <c r="B30" s="4" t="s">
        <v>30</v>
      </c>
      <c r="C30" s="4" t="s">
        <v>20</v>
      </c>
      <c r="D30" s="4">
        <v>5405</v>
      </c>
      <c r="E30" s="30">
        <v>248</v>
      </c>
      <c r="H30" s="4">
        <v>68355</v>
      </c>
      <c r="I30" s="4" t="s">
        <v>2286</v>
      </c>
      <c r="J30" s="28" t="s">
        <v>2298</v>
      </c>
      <c r="K30" s="28" t="s">
        <v>3</v>
      </c>
      <c r="L30" s="32">
        <v>43070</v>
      </c>
      <c r="M30" s="32">
        <f>BCOXT[[#This Row],[INV DOC DATE]]+30</f>
        <v>43100</v>
      </c>
      <c r="N30" s="32">
        <v>43112</v>
      </c>
      <c r="O30" s="31"/>
      <c r="Q30" s="31">
        <f t="shared" si="0"/>
        <v>248</v>
      </c>
      <c r="R30" s="53" t="str">
        <f ca="1">IF(TODAY() - BCOXT[INV DUE DATE]&lt;30, "Less than 30 days",IF(TODAY()-BCOXT[INV DUE DATE]&lt;60,"30-60 days","More than 60 days"))</f>
        <v>More than 60 days</v>
      </c>
      <c r="S30" s="31" t="s">
        <v>812</v>
      </c>
      <c r="T30" s="43"/>
      <c r="U30" s="4" t="s">
        <v>3699</v>
      </c>
    </row>
    <row r="31" spans="1:21" x14ac:dyDescent="0.3">
      <c r="A31" s="28" t="s">
        <v>2139</v>
      </c>
      <c r="B31" s="4" t="s">
        <v>30</v>
      </c>
      <c r="C31" s="4" t="s">
        <v>21</v>
      </c>
      <c r="D31" s="4">
        <v>5405</v>
      </c>
      <c r="E31" s="30">
        <v>248</v>
      </c>
      <c r="H31" s="4">
        <v>68355</v>
      </c>
      <c r="I31" s="4" t="s">
        <v>2286</v>
      </c>
      <c r="J31" s="28" t="s">
        <v>2299</v>
      </c>
      <c r="K31" s="28" t="s">
        <v>3</v>
      </c>
      <c r="L31" s="32">
        <v>43070</v>
      </c>
      <c r="M31" s="32">
        <f>BCOXT[[#This Row],[INV DOC DATE]]+30</f>
        <v>43100</v>
      </c>
      <c r="N31" s="32">
        <v>43112</v>
      </c>
      <c r="O31" s="31"/>
      <c r="Q31" s="31">
        <f t="shared" si="0"/>
        <v>248</v>
      </c>
      <c r="R31" s="53" t="str">
        <f ca="1">IF(TODAY() - BCOXT[INV DUE DATE]&lt;30, "Less than 30 days",IF(TODAY()-BCOXT[INV DUE DATE]&lt;60,"30-60 days","More than 60 days"))</f>
        <v>More than 60 days</v>
      </c>
      <c r="S31" s="31" t="s">
        <v>812</v>
      </c>
      <c r="T31" s="43"/>
      <c r="U31" s="4" t="s">
        <v>3699</v>
      </c>
    </row>
    <row r="32" spans="1:21" x14ac:dyDescent="0.3">
      <c r="A32" s="28" t="s">
        <v>2139</v>
      </c>
      <c r="B32" s="4" t="s">
        <v>30</v>
      </c>
      <c r="C32" s="4" t="s">
        <v>22</v>
      </c>
      <c r="D32" s="4">
        <v>5405</v>
      </c>
      <c r="E32" s="30">
        <v>248</v>
      </c>
      <c r="H32" s="4">
        <v>68355</v>
      </c>
      <c r="I32" s="4" t="s">
        <v>2286</v>
      </c>
      <c r="J32" s="28" t="s">
        <v>2300</v>
      </c>
      <c r="K32" s="28" t="s">
        <v>3</v>
      </c>
      <c r="L32" s="32">
        <v>43070</v>
      </c>
      <c r="M32" s="32">
        <f>BCOXT[[#This Row],[INV DOC DATE]]+30</f>
        <v>43100</v>
      </c>
      <c r="N32" s="32">
        <v>43112</v>
      </c>
      <c r="O32" s="31"/>
      <c r="Q32" s="31">
        <f t="shared" si="0"/>
        <v>248</v>
      </c>
      <c r="R32" s="53" t="str">
        <f ca="1">IF(TODAY() - BCOXT[INV DUE DATE]&lt;30, "Less than 30 days",IF(TODAY()-BCOXT[INV DUE DATE]&lt;60,"30-60 days","More than 60 days"))</f>
        <v>More than 60 days</v>
      </c>
      <c r="S32" s="31" t="s">
        <v>812</v>
      </c>
      <c r="T32" s="43"/>
      <c r="U32" s="4" t="s">
        <v>3699</v>
      </c>
    </row>
    <row r="33" spans="1:21" x14ac:dyDescent="0.3">
      <c r="A33" s="28" t="s">
        <v>2139</v>
      </c>
      <c r="B33" s="4" t="s">
        <v>30</v>
      </c>
      <c r="C33" s="4" t="s">
        <v>23</v>
      </c>
      <c r="D33" s="4">
        <v>5405</v>
      </c>
      <c r="E33" s="30">
        <v>248</v>
      </c>
      <c r="H33" s="4">
        <v>68355</v>
      </c>
      <c r="I33" s="4" t="s">
        <v>2286</v>
      </c>
      <c r="J33" s="28" t="s">
        <v>2301</v>
      </c>
      <c r="K33" s="28" t="s">
        <v>3</v>
      </c>
      <c r="L33" s="32">
        <v>43070</v>
      </c>
      <c r="M33" s="32">
        <f>BCOXT[[#This Row],[INV DOC DATE]]+30</f>
        <v>43100</v>
      </c>
      <c r="N33" s="32">
        <v>43112</v>
      </c>
      <c r="O33" s="31"/>
      <c r="Q33" s="31">
        <f t="shared" si="0"/>
        <v>248</v>
      </c>
      <c r="R33" s="53" t="str">
        <f ca="1">IF(TODAY() - BCOXT[INV DUE DATE]&lt;30, "Less than 30 days",IF(TODAY()-BCOXT[INV DUE DATE]&lt;60,"30-60 days","More than 60 days"))</f>
        <v>More than 60 days</v>
      </c>
      <c r="S33" s="31" t="s">
        <v>812</v>
      </c>
      <c r="T33" s="43"/>
      <c r="U33" s="4" t="s">
        <v>3699</v>
      </c>
    </row>
    <row r="34" spans="1:21" x14ac:dyDescent="0.3">
      <c r="A34" s="28" t="s">
        <v>2139</v>
      </c>
      <c r="B34" s="4" t="s">
        <v>30</v>
      </c>
      <c r="C34" s="4" t="s">
        <v>24</v>
      </c>
      <c r="D34" s="4">
        <v>5405</v>
      </c>
      <c r="E34" s="30">
        <v>248</v>
      </c>
      <c r="H34" s="4">
        <v>68355</v>
      </c>
      <c r="I34" s="4" t="s">
        <v>2286</v>
      </c>
      <c r="J34" s="28" t="s">
        <v>2302</v>
      </c>
      <c r="K34" s="28" t="s">
        <v>3</v>
      </c>
      <c r="L34" s="32">
        <v>43070</v>
      </c>
      <c r="M34" s="32">
        <f>BCOXT[[#This Row],[INV DOC DATE]]+30</f>
        <v>43100</v>
      </c>
      <c r="N34" s="32">
        <v>43112</v>
      </c>
      <c r="O34" s="31"/>
      <c r="Q34" s="31">
        <f t="shared" si="0"/>
        <v>248</v>
      </c>
      <c r="R34" s="53" t="str">
        <f ca="1">IF(TODAY() - BCOXT[INV DUE DATE]&lt;30, "Less than 30 days",IF(TODAY()-BCOXT[INV DUE DATE]&lt;60,"30-60 days","More than 60 days"))</f>
        <v>More than 60 days</v>
      </c>
      <c r="S34" s="31" t="s">
        <v>812</v>
      </c>
      <c r="T34" s="43"/>
      <c r="U34" s="4" t="s">
        <v>3699</v>
      </c>
    </row>
    <row r="35" spans="1:21" x14ac:dyDescent="0.3">
      <c r="A35" s="28" t="s">
        <v>2139</v>
      </c>
      <c r="B35" s="4" t="s">
        <v>30</v>
      </c>
      <c r="C35" s="4" t="s">
        <v>25</v>
      </c>
      <c r="D35" s="4">
        <v>5405</v>
      </c>
      <c r="E35" s="30">
        <v>248</v>
      </c>
      <c r="H35" s="4">
        <v>68355</v>
      </c>
      <c r="I35" s="4" t="s">
        <v>2286</v>
      </c>
      <c r="J35" s="28" t="s">
        <v>2303</v>
      </c>
      <c r="K35" s="28" t="s">
        <v>3</v>
      </c>
      <c r="L35" s="32">
        <v>43070</v>
      </c>
      <c r="M35" s="32">
        <f>BCOXT[[#This Row],[INV DOC DATE]]+30</f>
        <v>43100</v>
      </c>
      <c r="N35" s="32">
        <v>43112</v>
      </c>
      <c r="O35" s="31"/>
      <c r="Q35" s="31">
        <f t="shared" si="0"/>
        <v>248</v>
      </c>
      <c r="R35" s="53" t="str">
        <f ca="1">IF(TODAY() - BCOXT[INV DUE DATE]&lt;30, "Less than 30 days",IF(TODAY()-BCOXT[INV DUE DATE]&lt;60,"30-60 days","More than 60 days"))</f>
        <v>More than 60 days</v>
      </c>
      <c r="S35" s="31" t="s">
        <v>812</v>
      </c>
      <c r="T35" s="43"/>
      <c r="U35" s="4" t="s">
        <v>3699</v>
      </c>
    </row>
    <row r="36" spans="1:21" x14ac:dyDescent="0.3">
      <c r="A36" s="28" t="s">
        <v>2139</v>
      </c>
      <c r="B36" s="4" t="s">
        <v>30</v>
      </c>
      <c r="C36" s="4" t="s">
        <v>26</v>
      </c>
      <c r="D36" s="4">
        <v>5405</v>
      </c>
      <c r="E36" s="30">
        <v>248</v>
      </c>
      <c r="H36" s="4">
        <v>68355</v>
      </c>
      <c r="I36" s="4" t="s">
        <v>2286</v>
      </c>
      <c r="J36" s="28" t="s">
        <v>2304</v>
      </c>
      <c r="K36" s="28" t="s">
        <v>3</v>
      </c>
      <c r="L36" s="32">
        <v>43070</v>
      </c>
      <c r="M36" s="32">
        <f>BCOXT[[#This Row],[INV DOC DATE]]+30</f>
        <v>43100</v>
      </c>
      <c r="N36" s="32">
        <v>43112</v>
      </c>
      <c r="O36" s="31"/>
      <c r="Q36" s="31">
        <f t="shared" si="0"/>
        <v>248</v>
      </c>
      <c r="R36" s="53" t="str">
        <f ca="1">IF(TODAY() - BCOXT[INV DUE DATE]&lt;30, "Less than 30 days",IF(TODAY()-BCOXT[INV DUE DATE]&lt;60,"30-60 days","More than 60 days"))</f>
        <v>More than 60 days</v>
      </c>
      <c r="S36" s="31" t="s">
        <v>812</v>
      </c>
      <c r="T36" s="43"/>
      <c r="U36" s="4" t="s">
        <v>3699</v>
      </c>
    </row>
    <row r="37" spans="1:21" x14ac:dyDescent="0.3">
      <c r="A37" s="28" t="s">
        <v>2139</v>
      </c>
      <c r="B37" s="4" t="s">
        <v>30</v>
      </c>
      <c r="C37" s="4" t="s">
        <v>27</v>
      </c>
      <c r="D37" s="4">
        <v>5405</v>
      </c>
      <c r="E37" s="30">
        <v>248</v>
      </c>
      <c r="H37" s="4">
        <v>68355</v>
      </c>
      <c r="I37" s="4" t="s">
        <v>2286</v>
      </c>
      <c r="J37" s="28" t="s">
        <v>2305</v>
      </c>
      <c r="K37" s="28" t="s">
        <v>3</v>
      </c>
      <c r="L37" s="32">
        <v>43070</v>
      </c>
      <c r="M37" s="32">
        <f>BCOXT[[#This Row],[INV DOC DATE]]+30</f>
        <v>43100</v>
      </c>
      <c r="N37" s="32">
        <v>43112</v>
      </c>
      <c r="O37" s="31"/>
      <c r="Q37" s="31">
        <f t="shared" si="0"/>
        <v>248</v>
      </c>
      <c r="R37" s="53" t="str">
        <f ca="1">IF(TODAY() - BCOXT[INV DUE DATE]&lt;30, "Less than 30 days",IF(TODAY()-BCOXT[INV DUE DATE]&lt;60,"30-60 days","More than 60 days"))</f>
        <v>More than 60 days</v>
      </c>
      <c r="S37" s="31" t="s">
        <v>812</v>
      </c>
      <c r="T37" s="43"/>
      <c r="U37" s="4" t="s">
        <v>3699</v>
      </c>
    </row>
    <row r="38" spans="1:21" x14ac:dyDescent="0.3">
      <c r="A38" s="28" t="s">
        <v>2139</v>
      </c>
      <c r="B38" s="4" t="s">
        <v>30</v>
      </c>
      <c r="C38" s="4" t="s">
        <v>28</v>
      </c>
      <c r="D38" s="4">
        <v>5405</v>
      </c>
      <c r="E38" s="30">
        <v>248</v>
      </c>
      <c r="H38" s="4">
        <v>68355</v>
      </c>
      <c r="I38" s="4" t="s">
        <v>2286</v>
      </c>
      <c r="J38" s="28" t="s">
        <v>2306</v>
      </c>
      <c r="K38" s="28" t="s">
        <v>3</v>
      </c>
      <c r="L38" s="32">
        <v>43070</v>
      </c>
      <c r="M38" s="32">
        <f>BCOXT[[#This Row],[INV DOC DATE]]+30</f>
        <v>43100</v>
      </c>
      <c r="N38" s="32">
        <v>43112</v>
      </c>
      <c r="O38" s="31"/>
      <c r="Q38" s="31">
        <f t="shared" si="0"/>
        <v>248</v>
      </c>
      <c r="R38" s="53" t="str">
        <f ca="1">IF(TODAY() - BCOXT[INV DUE DATE]&lt;30, "Less than 30 days",IF(TODAY()-BCOXT[INV DUE DATE]&lt;60,"30-60 days","More than 60 days"))</f>
        <v>More than 60 days</v>
      </c>
      <c r="S38" s="31" t="s">
        <v>812</v>
      </c>
      <c r="T38" s="43"/>
      <c r="U38" s="4" t="s">
        <v>3699</v>
      </c>
    </row>
    <row r="39" spans="1:21" x14ac:dyDescent="0.3">
      <c r="A39" s="28" t="s">
        <v>2139</v>
      </c>
      <c r="B39" s="4" t="s">
        <v>30</v>
      </c>
      <c r="C39" s="4" t="s">
        <v>37</v>
      </c>
      <c r="D39" s="4">
        <v>5405</v>
      </c>
      <c r="E39" s="30">
        <v>248</v>
      </c>
      <c r="H39" s="4">
        <v>68355</v>
      </c>
      <c r="I39" s="4" t="s">
        <v>2286</v>
      </c>
      <c r="J39" s="28" t="s">
        <v>2307</v>
      </c>
      <c r="K39" s="28" t="s">
        <v>3</v>
      </c>
      <c r="L39" s="32">
        <v>43070</v>
      </c>
      <c r="M39" s="32">
        <f>BCOXT[[#This Row],[INV DOC DATE]]+30</f>
        <v>43100</v>
      </c>
      <c r="N39" s="32">
        <v>43112</v>
      </c>
      <c r="O39" s="31"/>
      <c r="Q39" s="31">
        <f t="shared" si="0"/>
        <v>248</v>
      </c>
      <c r="R39" s="53" t="str">
        <f ca="1">IF(TODAY() - BCOXT[INV DUE DATE]&lt;30, "Less than 30 days",IF(TODAY()-BCOXT[INV DUE DATE]&lt;60,"30-60 days","More than 60 days"))</f>
        <v>More than 60 days</v>
      </c>
      <c r="S39" s="31" t="s">
        <v>812</v>
      </c>
      <c r="T39" s="43"/>
      <c r="U39" s="4" t="s">
        <v>3699</v>
      </c>
    </row>
    <row r="40" spans="1:21" x14ac:dyDescent="0.3">
      <c r="A40" s="28" t="s">
        <v>2139</v>
      </c>
      <c r="B40" s="4" t="s">
        <v>30</v>
      </c>
      <c r="C40" s="4" t="s">
        <v>38</v>
      </c>
      <c r="D40" s="4">
        <v>5405</v>
      </c>
      <c r="E40" s="30">
        <v>248</v>
      </c>
      <c r="H40" s="4">
        <v>68355</v>
      </c>
      <c r="I40" s="4" t="s">
        <v>2286</v>
      </c>
      <c r="J40" s="28" t="s">
        <v>2308</v>
      </c>
      <c r="K40" s="28" t="s">
        <v>3</v>
      </c>
      <c r="L40" s="32">
        <v>43070</v>
      </c>
      <c r="M40" s="32">
        <f>BCOXT[[#This Row],[INV DOC DATE]]+30</f>
        <v>43100</v>
      </c>
      <c r="N40" s="32">
        <v>43112</v>
      </c>
      <c r="O40" s="31"/>
      <c r="Q40" s="31">
        <f t="shared" si="0"/>
        <v>248</v>
      </c>
      <c r="R40" s="53" t="str">
        <f ca="1">IF(TODAY() - BCOXT[INV DUE DATE]&lt;30, "Less than 30 days",IF(TODAY()-BCOXT[INV DUE DATE]&lt;60,"30-60 days","More than 60 days"))</f>
        <v>More than 60 days</v>
      </c>
      <c r="S40" s="31" t="s">
        <v>812</v>
      </c>
      <c r="T40" s="43"/>
      <c r="U40" s="4" t="s">
        <v>3699</v>
      </c>
    </row>
    <row r="41" spans="1:21" x14ac:dyDescent="0.3">
      <c r="A41" s="28" t="s">
        <v>2139</v>
      </c>
      <c r="B41" s="4" t="s">
        <v>30</v>
      </c>
      <c r="C41" s="4" t="s">
        <v>39</v>
      </c>
      <c r="D41" s="4">
        <v>5405</v>
      </c>
      <c r="E41" s="30">
        <v>248</v>
      </c>
      <c r="H41" s="4">
        <v>68355</v>
      </c>
      <c r="I41" s="4" t="s">
        <v>2286</v>
      </c>
      <c r="J41" s="28" t="s">
        <v>2309</v>
      </c>
      <c r="K41" s="28" t="s">
        <v>3</v>
      </c>
      <c r="L41" s="32">
        <v>43070</v>
      </c>
      <c r="M41" s="32">
        <f>BCOXT[[#This Row],[INV DOC DATE]]+30</f>
        <v>43100</v>
      </c>
      <c r="N41" s="32">
        <v>43112</v>
      </c>
      <c r="O41" s="31"/>
      <c r="Q41" s="31">
        <f t="shared" si="0"/>
        <v>248</v>
      </c>
      <c r="R41" s="53" t="str">
        <f ca="1">IF(TODAY() - BCOXT[INV DUE DATE]&lt;30, "Less than 30 days",IF(TODAY()-BCOXT[INV DUE DATE]&lt;60,"30-60 days","More than 60 days"))</f>
        <v>More than 60 days</v>
      </c>
      <c r="S41" s="31" t="s">
        <v>812</v>
      </c>
      <c r="T41" s="43"/>
      <c r="U41" s="4" t="s">
        <v>3699</v>
      </c>
    </row>
    <row r="42" spans="1:21" x14ac:dyDescent="0.3">
      <c r="A42" s="28" t="s">
        <v>2139</v>
      </c>
      <c r="B42" s="4" t="s">
        <v>30</v>
      </c>
      <c r="C42" s="4" t="s">
        <v>40</v>
      </c>
      <c r="D42" s="4">
        <v>5405</v>
      </c>
      <c r="E42" s="30">
        <v>263.5</v>
      </c>
      <c r="H42" s="4">
        <v>67864</v>
      </c>
      <c r="I42" s="4" t="s">
        <v>358</v>
      </c>
      <c r="J42" s="28" t="s">
        <v>2310</v>
      </c>
      <c r="K42" s="28" t="s">
        <v>3</v>
      </c>
      <c r="L42" s="32">
        <v>43070</v>
      </c>
      <c r="M42" s="32">
        <f>BCOXT[[#This Row],[INV DOC DATE]]+30</f>
        <v>43100</v>
      </c>
      <c r="N42" s="32">
        <v>43112</v>
      </c>
      <c r="O42" s="31"/>
      <c r="Q42" s="31">
        <f t="shared" si="0"/>
        <v>263.5</v>
      </c>
      <c r="R42" s="53" t="str">
        <f ca="1">IF(TODAY() - BCOXT[INV DUE DATE]&lt;30, "Less than 30 days",IF(TODAY()-BCOXT[INV DUE DATE]&lt;60,"30-60 days","More than 60 days"))</f>
        <v>More than 60 days</v>
      </c>
      <c r="S42" s="31" t="s">
        <v>812</v>
      </c>
      <c r="T42" s="43"/>
      <c r="U42" s="4" t="s">
        <v>3699</v>
      </c>
    </row>
    <row r="43" spans="1:21" x14ac:dyDescent="0.3">
      <c r="A43" s="28" t="s">
        <v>2139</v>
      </c>
      <c r="B43" s="4" t="s">
        <v>30</v>
      </c>
      <c r="C43" s="4" t="s">
        <v>41</v>
      </c>
      <c r="D43" s="4">
        <v>5405</v>
      </c>
      <c r="E43" s="30">
        <v>263.5</v>
      </c>
      <c r="H43" s="4">
        <v>67864</v>
      </c>
      <c r="I43" s="4" t="s">
        <v>358</v>
      </c>
      <c r="J43" s="28" t="s">
        <v>2311</v>
      </c>
      <c r="K43" s="28" t="s">
        <v>3</v>
      </c>
      <c r="L43" s="32">
        <v>43070</v>
      </c>
      <c r="M43" s="32">
        <f>BCOXT[[#This Row],[INV DOC DATE]]+30</f>
        <v>43100</v>
      </c>
      <c r="N43" s="32">
        <v>43112</v>
      </c>
      <c r="O43" s="31"/>
      <c r="Q43" s="31">
        <f t="shared" si="0"/>
        <v>263.5</v>
      </c>
      <c r="R43" s="53" t="str">
        <f ca="1">IF(TODAY() - BCOXT[INV DUE DATE]&lt;30, "Less than 30 days",IF(TODAY()-BCOXT[INV DUE DATE]&lt;60,"30-60 days","More than 60 days"))</f>
        <v>More than 60 days</v>
      </c>
      <c r="S43" s="31" t="s">
        <v>812</v>
      </c>
      <c r="T43" s="43"/>
      <c r="U43" s="4" t="s">
        <v>3699</v>
      </c>
    </row>
    <row r="44" spans="1:21" x14ac:dyDescent="0.3">
      <c r="A44" s="28" t="s">
        <v>2139</v>
      </c>
      <c r="B44" s="4" t="s">
        <v>30</v>
      </c>
      <c r="C44" s="4" t="s">
        <v>42</v>
      </c>
      <c r="D44" s="4">
        <v>5405</v>
      </c>
      <c r="E44" s="30">
        <v>248</v>
      </c>
      <c r="H44" s="4">
        <v>68147</v>
      </c>
      <c r="I44" s="4" t="s">
        <v>358</v>
      </c>
      <c r="J44" s="28" t="s">
        <v>2312</v>
      </c>
      <c r="K44" s="28" t="s">
        <v>3</v>
      </c>
      <c r="L44" s="32">
        <v>43070</v>
      </c>
      <c r="M44" s="32">
        <f>BCOXT[[#This Row],[INV DOC DATE]]+30</f>
        <v>43100</v>
      </c>
      <c r="N44" s="32">
        <v>43112</v>
      </c>
      <c r="O44" s="31"/>
      <c r="Q44" s="31">
        <f t="shared" si="0"/>
        <v>248</v>
      </c>
      <c r="R44" s="53" t="str">
        <f ca="1">IF(TODAY() - BCOXT[INV DUE DATE]&lt;30, "Less than 30 days",IF(TODAY()-BCOXT[INV DUE DATE]&lt;60,"30-60 days","More than 60 days"))</f>
        <v>More than 60 days</v>
      </c>
      <c r="S44" s="31" t="s">
        <v>812</v>
      </c>
      <c r="T44" s="43"/>
      <c r="U44" s="4" t="s">
        <v>3699</v>
      </c>
    </row>
    <row r="45" spans="1:21" x14ac:dyDescent="0.3">
      <c r="A45" s="28" t="s">
        <v>2139</v>
      </c>
      <c r="B45" s="4" t="s">
        <v>30</v>
      </c>
      <c r="C45" s="4" t="s">
        <v>43</v>
      </c>
      <c r="D45" s="4">
        <v>5405</v>
      </c>
      <c r="E45" s="30">
        <v>248</v>
      </c>
      <c r="H45" s="4">
        <v>68147</v>
      </c>
      <c r="I45" s="4" t="s">
        <v>358</v>
      </c>
      <c r="J45" s="28" t="s">
        <v>2313</v>
      </c>
      <c r="K45" s="28" t="s">
        <v>3</v>
      </c>
      <c r="L45" s="32">
        <v>43070</v>
      </c>
      <c r="M45" s="32">
        <f>BCOXT[[#This Row],[INV DOC DATE]]+30</f>
        <v>43100</v>
      </c>
      <c r="N45" s="32">
        <v>43112</v>
      </c>
      <c r="O45" s="31"/>
      <c r="Q45" s="31">
        <f t="shared" si="0"/>
        <v>248</v>
      </c>
      <c r="R45" s="53" t="str">
        <f ca="1">IF(TODAY() - BCOXT[INV DUE DATE]&lt;30, "Less than 30 days",IF(TODAY()-BCOXT[INV DUE DATE]&lt;60,"30-60 days","More than 60 days"))</f>
        <v>More than 60 days</v>
      </c>
      <c r="S45" s="31" t="s">
        <v>812</v>
      </c>
      <c r="T45" s="43"/>
      <c r="U45" s="4" t="s">
        <v>3699</v>
      </c>
    </row>
    <row r="46" spans="1:21" x14ac:dyDescent="0.3">
      <c r="A46" s="28" t="s">
        <v>2139</v>
      </c>
      <c r="B46" s="4" t="s">
        <v>30</v>
      </c>
      <c r="C46" s="4" t="s">
        <v>44</v>
      </c>
      <c r="D46" s="4">
        <v>5405</v>
      </c>
      <c r="E46" s="30">
        <v>248</v>
      </c>
      <c r="H46" s="4">
        <v>68156</v>
      </c>
      <c r="I46" s="4" t="s">
        <v>358</v>
      </c>
      <c r="J46" s="28" t="s">
        <v>2314</v>
      </c>
      <c r="K46" s="28" t="s">
        <v>3</v>
      </c>
      <c r="L46" s="32">
        <v>43070</v>
      </c>
      <c r="M46" s="32">
        <f>BCOXT[[#This Row],[INV DOC DATE]]+30</f>
        <v>43100</v>
      </c>
      <c r="N46" s="32">
        <v>43112</v>
      </c>
      <c r="O46" s="31"/>
      <c r="Q46" s="31">
        <f t="shared" si="0"/>
        <v>248</v>
      </c>
      <c r="R46" s="53" t="str">
        <f ca="1">IF(TODAY() - BCOXT[INV DUE DATE]&lt;30, "Less than 30 days",IF(TODAY()-BCOXT[INV DUE DATE]&lt;60,"30-60 days","More than 60 days"))</f>
        <v>More than 60 days</v>
      </c>
      <c r="S46" s="31" t="s">
        <v>812</v>
      </c>
      <c r="T46" s="43"/>
      <c r="U46" s="4" t="s">
        <v>3699</v>
      </c>
    </row>
    <row r="47" spans="1:21" x14ac:dyDescent="0.3">
      <c r="A47" s="28" t="s">
        <v>2139</v>
      </c>
      <c r="B47" s="4" t="s">
        <v>30</v>
      </c>
      <c r="C47" s="4" t="s">
        <v>45</v>
      </c>
      <c r="D47" s="4">
        <v>5405</v>
      </c>
      <c r="E47" s="30">
        <v>248</v>
      </c>
      <c r="H47" s="4">
        <v>68156</v>
      </c>
      <c r="I47" s="4" t="s">
        <v>358</v>
      </c>
      <c r="J47" s="28" t="s">
        <v>2315</v>
      </c>
      <c r="K47" s="28" t="s">
        <v>3</v>
      </c>
      <c r="L47" s="32">
        <v>43070</v>
      </c>
      <c r="M47" s="32">
        <f>BCOXT[[#This Row],[INV DOC DATE]]+30</f>
        <v>43100</v>
      </c>
      <c r="N47" s="32">
        <v>43112</v>
      </c>
      <c r="O47" s="31"/>
      <c r="Q47" s="31">
        <f t="shared" si="0"/>
        <v>248</v>
      </c>
      <c r="R47" s="53" t="str">
        <f ca="1">IF(TODAY() - BCOXT[INV DUE DATE]&lt;30, "Less than 30 days",IF(TODAY()-BCOXT[INV DUE DATE]&lt;60,"30-60 days","More than 60 days"))</f>
        <v>More than 60 days</v>
      </c>
      <c r="S47" s="31" t="s">
        <v>812</v>
      </c>
      <c r="T47" s="43"/>
      <c r="U47" s="4" t="s">
        <v>3699</v>
      </c>
    </row>
    <row r="48" spans="1:21" x14ac:dyDescent="0.3">
      <c r="A48" s="28" t="s">
        <v>2139</v>
      </c>
      <c r="B48" s="4" t="s">
        <v>30</v>
      </c>
      <c r="C48" s="4" t="s">
        <v>46</v>
      </c>
      <c r="D48" s="4">
        <v>5405</v>
      </c>
      <c r="E48" s="30">
        <v>248</v>
      </c>
      <c r="H48" s="4">
        <v>68156</v>
      </c>
      <c r="I48" s="4" t="s">
        <v>358</v>
      </c>
      <c r="J48" s="28" t="s">
        <v>2316</v>
      </c>
      <c r="K48" s="28" t="s">
        <v>3</v>
      </c>
      <c r="L48" s="32">
        <v>43070</v>
      </c>
      <c r="M48" s="32">
        <f>BCOXT[[#This Row],[INV DOC DATE]]+30</f>
        <v>43100</v>
      </c>
      <c r="N48" s="32">
        <v>43112</v>
      </c>
      <c r="O48" s="31"/>
      <c r="Q48" s="31">
        <f t="shared" si="0"/>
        <v>248</v>
      </c>
      <c r="R48" s="53" t="str">
        <f ca="1">IF(TODAY() - BCOXT[INV DUE DATE]&lt;30, "Less than 30 days",IF(TODAY()-BCOXT[INV DUE DATE]&lt;60,"30-60 days","More than 60 days"))</f>
        <v>More than 60 days</v>
      </c>
      <c r="S48" s="31" t="s">
        <v>812</v>
      </c>
      <c r="T48" s="43"/>
      <c r="U48" s="4" t="s">
        <v>3699</v>
      </c>
    </row>
    <row r="49" spans="1:21" x14ac:dyDescent="0.3">
      <c r="A49" s="28" t="s">
        <v>2139</v>
      </c>
      <c r="B49" s="4" t="s">
        <v>30</v>
      </c>
      <c r="C49" s="4" t="s">
        <v>47</v>
      </c>
      <c r="D49" s="4">
        <v>5405</v>
      </c>
      <c r="E49" s="30">
        <v>248</v>
      </c>
      <c r="H49" s="4">
        <v>68156</v>
      </c>
      <c r="I49" s="4" t="s">
        <v>358</v>
      </c>
      <c r="J49" s="28" t="s">
        <v>2317</v>
      </c>
      <c r="K49" s="28" t="s">
        <v>3</v>
      </c>
      <c r="L49" s="32">
        <v>43070</v>
      </c>
      <c r="M49" s="32">
        <f>BCOXT[[#This Row],[INV DOC DATE]]+30</f>
        <v>43100</v>
      </c>
      <c r="N49" s="32">
        <v>43112</v>
      </c>
      <c r="O49" s="31"/>
      <c r="Q49" s="31">
        <f t="shared" si="0"/>
        <v>248</v>
      </c>
      <c r="R49" s="53" t="str">
        <f ca="1">IF(TODAY() - BCOXT[INV DUE DATE]&lt;30, "Less than 30 days",IF(TODAY()-BCOXT[INV DUE DATE]&lt;60,"30-60 days","More than 60 days"))</f>
        <v>More than 60 days</v>
      </c>
      <c r="S49" s="31" t="s">
        <v>812</v>
      </c>
      <c r="T49" s="43"/>
      <c r="U49" s="4" t="s">
        <v>3699</v>
      </c>
    </row>
    <row r="50" spans="1:21" x14ac:dyDescent="0.3">
      <c r="A50" s="28" t="s">
        <v>2139</v>
      </c>
      <c r="B50" s="4" t="s">
        <v>30</v>
      </c>
      <c r="C50" s="4" t="s">
        <v>295</v>
      </c>
      <c r="D50" s="4">
        <v>5405</v>
      </c>
      <c r="E50" s="30">
        <v>248</v>
      </c>
      <c r="H50" s="4">
        <v>68156</v>
      </c>
      <c r="I50" s="4" t="s">
        <v>358</v>
      </c>
      <c r="J50" s="28" t="s">
        <v>2318</v>
      </c>
      <c r="K50" s="28" t="s">
        <v>3</v>
      </c>
      <c r="L50" s="32">
        <v>43070</v>
      </c>
      <c r="M50" s="32">
        <f>BCOXT[[#This Row],[INV DOC DATE]]+30</f>
        <v>43100</v>
      </c>
      <c r="N50" s="32">
        <v>43112</v>
      </c>
      <c r="O50" s="31"/>
      <c r="Q50" s="31">
        <f t="shared" si="0"/>
        <v>248</v>
      </c>
      <c r="R50" s="53" t="str">
        <f ca="1">IF(TODAY() - BCOXT[INV DUE DATE]&lt;30, "Less than 30 days",IF(TODAY()-BCOXT[INV DUE DATE]&lt;60,"30-60 days","More than 60 days"))</f>
        <v>More than 60 days</v>
      </c>
      <c r="S50" s="31" t="s">
        <v>812</v>
      </c>
      <c r="T50" s="43"/>
      <c r="U50" s="4" t="s">
        <v>3699</v>
      </c>
    </row>
    <row r="51" spans="1:21" x14ac:dyDescent="0.3">
      <c r="A51" s="28" t="s">
        <v>2139</v>
      </c>
      <c r="B51" s="4" t="s">
        <v>30</v>
      </c>
      <c r="C51" s="4" t="s">
        <v>48</v>
      </c>
      <c r="D51" s="4">
        <v>5405</v>
      </c>
      <c r="E51" s="30">
        <v>248</v>
      </c>
      <c r="H51" s="4">
        <v>68157</v>
      </c>
      <c r="I51" s="4" t="s">
        <v>358</v>
      </c>
      <c r="J51" s="28" t="s">
        <v>2319</v>
      </c>
      <c r="K51" s="28" t="s">
        <v>3</v>
      </c>
      <c r="L51" s="32">
        <v>43070</v>
      </c>
      <c r="M51" s="32">
        <f>BCOXT[[#This Row],[INV DOC DATE]]+30</f>
        <v>43100</v>
      </c>
      <c r="N51" s="32">
        <v>43112</v>
      </c>
      <c r="O51" s="31"/>
      <c r="Q51" s="31">
        <f t="shared" si="0"/>
        <v>248</v>
      </c>
      <c r="R51" s="53" t="str">
        <f ca="1">IF(TODAY() - BCOXT[INV DUE DATE]&lt;30, "Less than 30 days",IF(TODAY()-BCOXT[INV DUE DATE]&lt;60,"30-60 days","More than 60 days"))</f>
        <v>More than 60 days</v>
      </c>
      <c r="S51" s="31" t="s">
        <v>812</v>
      </c>
      <c r="T51" s="43"/>
      <c r="U51" s="4" t="s">
        <v>3699</v>
      </c>
    </row>
    <row r="52" spans="1:21" x14ac:dyDescent="0.3">
      <c r="A52" s="28" t="s">
        <v>2139</v>
      </c>
      <c r="B52" s="4" t="s">
        <v>30</v>
      </c>
      <c r="C52" s="4" t="s">
        <v>49</v>
      </c>
      <c r="D52" s="4">
        <v>5405</v>
      </c>
      <c r="E52" s="30">
        <v>596.75</v>
      </c>
      <c r="H52" s="4">
        <v>68157</v>
      </c>
      <c r="I52" s="4" t="s">
        <v>358</v>
      </c>
      <c r="J52" s="28" t="s">
        <v>2047</v>
      </c>
      <c r="K52" s="28" t="s">
        <v>3</v>
      </c>
      <c r="L52" s="32">
        <v>43070</v>
      </c>
      <c r="M52" s="32">
        <f>BCOXT[[#This Row],[INV DOC DATE]]+30</f>
        <v>43100</v>
      </c>
      <c r="N52" s="32">
        <v>43112</v>
      </c>
      <c r="O52" s="31"/>
      <c r="Q52" s="31">
        <f t="shared" si="0"/>
        <v>596.75</v>
      </c>
      <c r="R52" s="53" t="str">
        <f ca="1">IF(TODAY() - BCOXT[INV DUE DATE]&lt;30, "Less than 30 days",IF(TODAY()-BCOXT[INV DUE DATE]&lt;60,"30-60 days","More than 60 days"))</f>
        <v>More than 60 days</v>
      </c>
      <c r="S52" s="31" t="s">
        <v>812</v>
      </c>
      <c r="T52" s="43"/>
      <c r="U52" s="4" t="s">
        <v>3699</v>
      </c>
    </row>
    <row r="53" spans="1:21" x14ac:dyDescent="0.3">
      <c r="A53" s="28" t="s">
        <v>2139</v>
      </c>
      <c r="B53" s="4" t="s">
        <v>30</v>
      </c>
      <c r="C53" s="4" t="s">
        <v>50</v>
      </c>
      <c r="D53" s="4">
        <v>5405</v>
      </c>
      <c r="E53" s="30">
        <v>596.75</v>
      </c>
      <c r="H53" s="4">
        <v>68157</v>
      </c>
      <c r="I53" s="4" t="s">
        <v>358</v>
      </c>
      <c r="J53" s="28" t="s">
        <v>2320</v>
      </c>
      <c r="K53" s="28" t="s">
        <v>3</v>
      </c>
      <c r="L53" s="32">
        <v>43070</v>
      </c>
      <c r="M53" s="32">
        <f>BCOXT[[#This Row],[INV DOC DATE]]+30</f>
        <v>43100</v>
      </c>
      <c r="N53" s="32">
        <v>43112</v>
      </c>
      <c r="O53" s="31"/>
      <c r="Q53" s="31">
        <f t="shared" si="0"/>
        <v>596.75</v>
      </c>
      <c r="R53" s="53" t="str">
        <f ca="1">IF(TODAY() - BCOXT[INV DUE DATE]&lt;30, "Less than 30 days",IF(TODAY()-BCOXT[INV DUE DATE]&lt;60,"30-60 days","More than 60 days"))</f>
        <v>More than 60 days</v>
      </c>
      <c r="S53" s="31" t="s">
        <v>812</v>
      </c>
      <c r="T53" s="43"/>
      <c r="U53" s="4" t="s">
        <v>3699</v>
      </c>
    </row>
    <row r="54" spans="1:21" x14ac:dyDescent="0.3">
      <c r="A54" s="28" t="s">
        <v>2139</v>
      </c>
      <c r="B54" s="4" t="s">
        <v>30</v>
      </c>
      <c r="C54" s="4" t="s">
        <v>51</v>
      </c>
      <c r="D54" s="4">
        <v>5405</v>
      </c>
      <c r="E54" s="30">
        <v>263.5</v>
      </c>
      <c r="H54" s="4">
        <v>68157</v>
      </c>
      <c r="I54" s="4" t="s">
        <v>358</v>
      </c>
      <c r="J54" s="28" t="s">
        <v>2321</v>
      </c>
      <c r="K54" s="28" t="s">
        <v>3</v>
      </c>
      <c r="L54" s="32">
        <v>43070</v>
      </c>
      <c r="M54" s="32">
        <f>BCOXT[[#This Row],[INV DOC DATE]]+30</f>
        <v>43100</v>
      </c>
      <c r="N54" s="32">
        <v>43112</v>
      </c>
      <c r="O54" s="31"/>
      <c r="Q54" s="31">
        <f t="shared" si="0"/>
        <v>263.5</v>
      </c>
      <c r="R54" s="53" t="str">
        <f ca="1">IF(TODAY() - BCOXT[INV DUE DATE]&lt;30, "Less than 30 days",IF(TODAY()-BCOXT[INV DUE DATE]&lt;60,"30-60 days","More than 60 days"))</f>
        <v>More than 60 days</v>
      </c>
      <c r="S54" s="31" t="s">
        <v>812</v>
      </c>
      <c r="T54" s="43"/>
      <c r="U54" s="4" t="s">
        <v>3699</v>
      </c>
    </row>
    <row r="55" spans="1:21" x14ac:dyDescent="0.3">
      <c r="A55" s="28" t="s">
        <v>2139</v>
      </c>
      <c r="B55" s="4" t="s">
        <v>30</v>
      </c>
      <c r="C55" s="4" t="s">
        <v>52</v>
      </c>
      <c r="D55" s="4">
        <v>5405</v>
      </c>
      <c r="E55" s="30">
        <v>263.5</v>
      </c>
      <c r="H55" s="4">
        <v>68157</v>
      </c>
      <c r="I55" s="4" t="s">
        <v>358</v>
      </c>
      <c r="J55" s="28" t="s">
        <v>2322</v>
      </c>
      <c r="K55" s="28" t="s">
        <v>3</v>
      </c>
      <c r="L55" s="32">
        <v>43070</v>
      </c>
      <c r="M55" s="32">
        <f>BCOXT[[#This Row],[INV DOC DATE]]+30</f>
        <v>43100</v>
      </c>
      <c r="N55" s="32">
        <v>43112</v>
      </c>
      <c r="O55" s="31"/>
      <c r="Q55" s="31">
        <f t="shared" si="0"/>
        <v>263.5</v>
      </c>
      <c r="R55" s="53" t="str">
        <f ca="1">IF(TODAY() - BCOXT[INV DUE DATE]&lt;30, "Less than 30 days",IF(TODAY()-BCOXT[INV DUE DATE]&lt;60,"30-60 days","More than 60 days"))</f>
        <v>More than 60 days</v>
      </c>
      <c r="S55" s="31" t="s">
        <v>812</v>
      </c>
      <c r="T55" s="43"/>
      <c r="U55" s="4" t="s">
        <v>3699</v>
      </c>
    </row>
    <row r="56" spans="1:21" x14ac:dyDescent="0.3">
      <c r="A56" s="28" t="s">
        <v>2139</v>
      </c>
      <c r="B56" s="4" t="s">
        <v>30</v>
      </c>
      <c r="C56" s="4" t="s">
        <v>53</v>
      </c>
      <c r="D56" s="4">
        <v>5405</v>
      </c>
      <c r="E56" s="30">
        <v>263.5</v>
      </c>
      <c r="H56" s="4">
        <v>68157</v>
      </c>
      <c r="I56" s="4" t="s">
        <v>358</v>
      </c>
      <c r="J56" s="28" t="s">
        <v>2323</v>
      </c>
      <c r="K56" s="28" t="s">
        <v>3</v>
      </c>
      <c r="L56" s="32">
        <v>43070</v>
      </c>
      <c r="M56" s="32">
        <f>BCOXT[[#This Row],[INV DOC DATE]]+30</f>
        <v>43100</v>
      </c>
      <c r="N56" s="32">
        <v>43112</v>
      </c>
      <c r="O56" s="31"/>
      <c r="Q56" s="31">
        <f t="shared" si="0"/>
        <v>263.5</v>
      </c>
      <c r="R56" s="53" t="str">
        <f ca="1">IF(TODAY() - BCOXT[INV DUE DATE]&lt;30, "Less than 30 days",IF(TODAY()-BCOXT[INV DUE DATE]&lt;60,"30-60 days","More than 60 days"))</f>
        <v>More than 60 days</v>
      </c>
      <c r="S56" s="31" t="s">
        <v>812</v>
      </c>
      <c r="T56" s="43"/>
      <c r="U56" s="4" t="s">
        <v>3699</v>
      </c>
    </row>
    <row r="57" spans="1:21" x14ac:dyDescent="0.3">
      <c r="A57" s="28" t="s">
        <v>2139</v>
      </c>
      <c r="B57" s="4" t="s">
        <v>30</v>
      </c>
      <c r="C57" s="4" t="s">
        <v>54</v>
      </c>
      <c r="D57" s="4">
        <v>5405</v>
      </c>
      <c r="E57" s="30">
        <v>263.5</v>
      </c>
      <c r="H57" s="4">
        <v>68157</v>
      </c>
      <c r="I57" s="4" t="s">
        <v>358</v>
      </c>
      <c r="J57" s="28" t="s">
        <v>2324</v>
      </c>
      <c r="K57" s="28" t="s">
        <v>3</v>
      </c>
      <c r="L57" s="32">
        <v>43070</v>
      </c>
      <c r="M57" s="32">
        <f>BCOXT[[#This Row],[INV DOC DATE]]+30</f>
        <v>43100</v>
      </c>
      <c r="N57" s="32">
        <v>43112</v>
      </c>
      <c r="O57" s="31"/>
      <c r="Q57" s="31">
        <f t="shared" si="0"/>
        <v>263.5</v>
      </c>
      <c r="R57" s="53" t="str">
        <f ca="1">IF(TODAY() - BCOXT[INV DUE DATE]&lt;30, "Less than 30 days",IF(TODAY()-BCOXT[INV DUE DATE]&lt;60,"30-60 days","More than 60 days"))</f>
        <v>More than 60 days</v>
      </c>
      <c r="S57" s="31" t="s">
        <v>812</v>
      </c>
      <c r="T57" s="43"/>
      <c r="U57" s="4" t="s">
        <v>3699</v>
      </c>
    </row>
    <row r="58" spans="1:21" x14ac:dyDescent="0.3">
      <c r="A58" s="28" t="s">
        <v>2139</v>
      </c>
      <c r="B58" s="4" t="s">
        <v>30</v>
      </c>
      <c r="C58" s="4" t="s">
        <v>55</v>
      </c>
      <c r="D58" s="4">
        <v>5405</v>
      </c>
      <c r="E58" s="30">
        <v>248</v>
      </c>
      <c r="H58" s="4">
        <v>68157</v>
      </c>
      <c r="I58" s="4" t="s">
        <v>358</v>
      </c>
      <c r="J58" s="28" t="s">
        <v>2325</v>
      </c>
      <c r="K58" s="28" t="s">
        <v>3</v>
      </c>
      <c r="L58" s="32">
        <v>43070</v>
      </c>
      <c r="M58" s="32">
        <f>BCOXT[[#This Row],[INV DOC DATE]]+30</f>
        <v>43100</v>
      </c>
      <c r="N58" s="32">
        <v>43112</v>
      </c>
      <c r="O58" s="31"/>
      <c r="Q58" s="31">
        <f t="shared" si="0"/>
        <v>248</v>
      </c>
      <c r="R58" s="53" t="str">
        <f ca="1">IF(TODAY() - BCOXT[INV DUE DATE]&lt;30, "Less than 30 days",IF(TODAY()-BCOXT[INV DUE DATE]&lt;60,"30-60 days","More than 60 days"))</f>
        <v>More than 60 days</v>
      </c>
      <c r="S58" s="31" t="s">
        <v>812</v>
      </c>
      <c r="T58" s="43"/>
      <c r="U58" s="4" t="s">
        <v>3699</v>
      </c>
    </row>
    <row r="59" spans="1:21" x14ac:dyDescent="0.3">
      <c r="A59" s="28" t="s">
        <v>2139</v>
      </c>
      <c r="B59" s="4" t="s">
        <v>30</v>
      </c>
      <c r="C59" s="4" t="s">
        <v>56</v>
      </c>
      <c r="D59" s="4">
        <v>5405</v>
      </c>
      <c r="E59" s="30">
        <v>502.2</v>
      </c>
      <c r="H59" s="4">
        <v>68157</v>
      </c>
      <c r="I59" s="4" t="s">
        <v>358</v>
      </c>
      <c r="J59" s="28" t="s">
        <v>2326</v>
      </c>
      <c r="K59" s="28" t="s">
        <v>3</v>
      </c>
      <c r="L59" s="32">
        <v>43070</v>
      </c>
      <c r="M59" s="32">
        <f>BCOXT[[#This Row],[INV DOC DATE]]+30</f>
        <v>43100</v>
      </c>
      <c r="N59" s="32">
        <v>43112</v>
      </c>
      <c r="O59" s="31"/>
      <c r="Q59" s="31">
        <f t="shared" si="0"/>
        <v>502.2</v>
      </c>
      <c r="R59" s="53" t="str">
        <f ca="1">IF(TODAY() - BCOXT[INV DUE DATE]&lt;30, "Less than 30 days",IF(TODAY()-BCOXT[INV DUE DATE]&lt;60,"30-60 days","More than 60 days"))</f>
        <v>More than 60 days</v>
      </c>
      <c r="S59" s="31" t="s">
        <v>812</v>
      </c>
      <c r="T59" s="43"/>
      <c r="U59" s="4" t="s">
        <v>3699</v>
      </c>
    </row>
    <row r="60" spans="1:21" x14ac:dyDescent="0.3">
      <c r="A60" s="28" t="s">
        <v>2139</v>
      </c>
      <c r="B60" s="4" t="s">
        <v>30</v>
      </c>
      <c r="C60" s="4" t="s">
        <v>57</v>
      </c>
      <c r="D60" s="4">
        <v>5405</v>
      </c>
      <c r="E60" s="30">
        <v>502.2</v>
      </c>
      <c r="H60" s="4">
        <v>68157</v>
      </c>
      <c r="I60" s="4" t="s">
        <v>358</v>
      </c>
      <c r="J60" s="28" t="s">
        <v>2327</v>
      </c>
      <c r="K60" s="28" t="s">
        <v>3</v>
      </c>
      <c r="L60" s="32">
        <v>43070</v>
      </c>
      <c r="M60" s="32">
        <f>BCOXT[[#This Row],[INV DOC DATE]]+30</f>
        <v>43100</v>
      </c>
      <c r="N60" s="32">
        <v>43112</v>
      </c>
      <c r="O60" s="31"/>
      <c r="Q60" s="31">
        <f t="shared" si="0"/>
        <v>502.2</v>
      </c>
      <c r="R60" s="53" t="str">
        <f ca="1">IF(TODAY() - BCOXT[INV DUE DATE]&lt;30, "Less than 30 days",IF(TODAY()-BCOXT[INV DUE DATE]&lt;60,"30-60 days","More than 60 days"))</f>
        <v>More than 60 days</v>
      </c>
      <c r="S60" s="31" t="s">
        <v>812</v>
      </c>
      <c r="T60" s="43"/>
      <c r="U60" s="4" t="s">
        <v>3699</v>
      </c>
    </row>
    <row r="61" spans="1:21" x14ac:dyDescent="0.3">
      <c r="A61" s="28" t="s">
        <v>2139</v>
      </c>
      <c r="B61" s="4" t="s">
        <v>30</v>
      </c>
      <c r="C61" s="4" t="s">
        <v>58</v>
      </c>
      <c r="D61" s="4">
        <v>5405</v>
      </c>
      <c r="E61" s="30">
        <v>270.94</v>
      </c>
      <c r="H61" s="4">
        <v>68159</v>
      </c>
      <c r="I61" s="4" t="s">
        <v>358</v>
      </c>
      <c r="J61" s="28" t="s">
        <v>2328</v>
      </c>
      <c r="K61" s="28" t="s">
        <v>3</v>
      </c>
      <c r="L61" s="32">
        <v>43070</v>
      </c>
      <c r="M61" s="32">
        <f>BCOXT[[#This Row],[INV DOC DATE]]+30</f>
        <v>43100</v>
      </c>
      <c r="N61" s="32">
        <v>43112</v>
      </c>
      <c r="O61" s="31"/>
      <c r="Q61" s="31">
        <f t="shared" si="0"/>
        <v>270.94</v>
      </c>
      <c r="R61" s="53" t="str">
        <f ca="1">IF(TODAY() - BCOXT[INV DUE DATE]&lt;30, "Less than 30 days",IF(TODAY()-BCOXT[INV DUE DATE]&lt;60,"30-60 days","More than 60 days"))</f>
        <v>More than 60 days</v>
      </c>
      <c r="S61" s="31" t="s">
        <v>812</v>
      </c>
      <c r="T61" s="43"/>
      <c r="U61" s="4" t="s">
        <v>3699</v>
      </c>
    </row>
    <row r="62" spans="1:21" x14ac:dyDescent="0.3">
      <c r="A62" s="28" t="s">
        <v>2139</v>
      </c>
      <c r="B62" s="4" t="s">
        <v>30</v>
      </c>
      <c r="C62" s="4" t="s">
        <v>59</v>
      </c>
      <c r="D62" s="4">
        <v>5405</v>
      </c>
      <c r="E62" s="30">
        <v>248</v>
      </c>
      <c r="H62" s="4">
        <v>68159</v>
      </c>
      <c r="I62" s="4" t="s">
        <v>358</v>
      </c>
      <c r="J62" s="28" t="s">
        <v>2329</v>
      </c>
      <c r="K62" s="28" t="s">
        <v>3</v>
      </c>
      <c r="L62" s="32">
        <v>43070</v>
      </c>
      <c r="M62" s="32">
        <f>BCOXT[[#This Row],[INV DOC DATE]]+30</f>
        <v>43100</v>
      </c>
      <c r="N62" s="32">
        <v>43112</v>
      </c>
      <c r="O62" s="31"/>
      <c r="Q62" s="31">
        <f t="shared" si="0"/>
        <v>248</v>
      </c>
      <c r="R62" s="53" t="str">
        <f ca="1">IF(TODAY() - BCOXT[INV DUE DATE]&lt;30, "Less than 30 days",IF(TODAY()-BCOXT[INV DUE DATE]&lt;60,"30-60 days","More than 60 days"))</f>
        <v>More than 60 days</v>
      </c>
      <c r="S62" s="31" t="s">
        <v>812</v>
      </c>
      <c r="T62" s="43"/>
      <c r="U62" s="4" t="s">
        <v>3699</v>
      </c>
    </row>
    <row r="63" spans="1:21" x14ac:dyDescent="0.3">
      <c r="A63" s="28" t="s">
        <v>2139</v>
      </c>
      <c r="B63" s="4" t="s">
        <v>30</v>
      </c>
      <c r="C63" s="4" t="s">
        <v>60</v>
      </c>
      <c r="D63" s="4">
        <v>5405</v>
      </c>
      <c r="E63" s="30">
        <v>248</v>
      </c>
      <c r="H63" s="4">
        <v>68159</v>
      </c>
      <c r="I63" s="4" t="s">
        <v>358</v>
      </c>
      <c r="J63" s="28" t="s">
        <v>2330</v>
      </c>
      <c r="K63" s="28" t="s">
        <v>3</v>
      </c>
      <c r="L63" s="32">
        <v>43070</v>
      </c>
      <c r="M63" s="32">
        <f>BCOXT[[#This Row],[INV DOC DATE]]+30</f>
        <v>43100</v>
      </c>
      <c r="N63" s="32">
        <v>43112</v>
      </c>
      <c r="O63" s="31"/>
      <c r="Q63" s="31">
        <f t="shared" si="0"/>
        <v>248</v>
      </c>
      <c r="R63" s="53" t="str">
        <f ca="1">IF(TODAY() - BCOXT[INV DUE DATE]&lt;30, "Less than 30 days",IF(TODAY()-BCOXT[INV DUE DATE]&lt;60,"30-60 days","More than 60 days"))</f>
        <v>More than 60 days</v>
      </c>
      <c r="S63" s="31" t="s">
        <v>812</v>
      </c>
      <c r="T63" s="43"/>
      <c r="U63" s="4" t="s">
        <v>3699</v>
      </c>
    </row>
    <row r="64" spans="1:21" x14ac:dyDescent="0.3">
      <c r="A64" s="28" t="s">
        <v>2139</v>
      </c>
      <c r="B64" s="4" t="s">
        <v>30</v>
      </c>
      <c r="C64" s="4" t="s">
        <v>61</v>
      </c>
      <c r="D64" s="4">
        <v>5405</v>
      </c>
      <c r="E64" s="30">
        <v>248</v>
      </c>
      <c r="H64" s="4">
        <v>68161</v>
      </c>
      <c r="I64" s="4" t="s">
        <v>358</v>
      </c>
      <c r="J64" s="28" t="s">
        <v>2331</v>
      </c>
      <c r="K64" s="28" t="s">
        <v>3</v>
      </c>
      <c r="L64" s="32">
        <v>43070</v>
      </c>
      <c r="M64" s="32">
        <f>BCOXT[[#This Row],[INV DOC DATE]]+30</f>
        <v>43100</v>
      </c>
      <c r="N64" s="32">
        <v>43112</v>
      </c>
      <c r="O64" s="31"/>
      <c r="Q64" s="31">
        <f t="shared" si="0"/>
        <v>248</v>
      </c>
      <c r="R64" s="53" t="str">
        <f ca="1">IF(TODAY() - BCOXT[INV DUE DATE]&lt;30, "Less than 30 days",IF(TODAY()-BCOXT[INV DUE DATE]&lt;60,"30-60 days","More than 60 days"))</f>
        <v>More than 60 days</v>
      </c>
      <c r="S64" s="31" t="s">
        <v>812</v>
      </c>
      <c r="T64" s="43"/>
      <c r="U64" s="4" t="s">
        <v>3699</v>
      </c>
    </row>
    <row r="65" spans="1:21" x14ac:dyDescent="0.3">
      <c r="A65" s="28" t="s">
        <v>2139</v>
      </c>
      <c r="B65" s="4" t="s">
        <v>30</v>
      </c>
      <c r="C65" s="4" t="s">
        <v>62</v>
      </c>
      <c r="D65" s="4">
        <v>5405</v>
      </c>
      <c r="E65" s="30">
        <v>248</v>
      </c>
      <c r="H65" s="4">
        <v>68161</v>
      </c>
      <c r="I65" s="4" t="s">
        <v>358</v>
      </c>
      <c r="J65" s="28" t="s">
        <v>2332</v>
      </c>
      <c r="K65" s="28" t="s">
        <v>3</v>
      </c>
      <c r="L65" s="32">
        <v>43070</v>
      </c>
      <c r="M65" s="32">
        <f>BCOXT[[#This Row],[INV DOC DATE]]+30</f>
        <v>43100</v>
      </c>
      <c r="N65" s="32">
        <v>43112</v>
      </c>
      <c r="O65" s="31"/>
      <c r="Q65" s="31">
        <f t="shared" si="0"/>
        <v>248</v>
      </c>
      <c r="R65" s="53" t="str">
        <f ca="1">IF(TODAY() - BCOXT[INV DUE DATE]&lt;30, "Less than 30 days",IF(TODAY()-BCOXT[INV DUE DATE]&lt;60,"30-60 days","More than 60 days"))</f>
        <v>More than 60 days</v>
      </c>
      <c r="S65" s="31" t="s">
        <v>812</v>
      </c>
      <c r="T65" s="43"/>
      <c r="U65" s="4" t="s">
        <v>3699</v>
      </c>
    </row>
    <row r="66" spans="1:21" x14ac:dyDescent="0.3">
      <c r="A66" s="28" t="s">
        <v>2139</v>
      </c>
      <c r="B66" s="4" t="s">
        <v>30</v>
      </c>
      <c r="C66" s="4" t="s">
        <v>63</v>
      </c>
      <c r="D66" s="4">
        <v>5405</v>
      </c>
      <c r="E66" s="30">
        <v>248</v>
      </c>
      <c r="H66" s="4">
        <v>68161</v>
      </c>
      <c r="I66" s="4" t="s">
        <v>358</v>
      </c>
      <c r="J66" s="28" t="s">
        <v>2333</v>
      </c>
      <c r="K66" s="28" t="s">
        <v>3</v>
      </c>
      <c r="L66" s="32">
        <v>43070</v>
      </c>
      <c r="M66" s="32">
        <f>BCOXT[[#This Row],[INV DOC DATE]]+30</f>
        <v>43100</v>
      </c>
      <c r="N66" s="32">
        <v>43112</v>
      </c>
      <c r="O66" s="31"/>
      <c r="Q66" s="31">
        <f t="shared" ref="Q66:Q129" si="1">$E66-$O66</f>
        <v>248</v>
      </c>
      <c r="R66" s="53" t="str">
        <f ca="1">IF(TODAY() - BCOXT[INV DUE DATE]&lt;30, "Less than 30 days",IF(TODAY()-BCOXT[INV DUE DATE]&lt;60,"30-60 days","More than 60 days"))</f>
        <v>More than 60 days</v>
      </c>
      <c r="S66" s="31" t="s">
        <v>812</v>
      </c>
      <c r="T66" s="43"/>
      <c r="U66" s="4" t="s">
        <v>3699</v>
      </c>
    </row>
    <row r="67" spans="1:21" x14ac:dyDescent="0.3">
      <c r="A67" s="28" t="s">
        <v>2139</v>
      </c>
      <c r="B67" s="4" t="s">
        <v>30</v>
      </c>
      <c r="C67" s="4" t="s">
        <v>64</v>
      </c>
      <c r="D67" s="4">
        <v>5405</v>
      </c>
      <c r="E67" s="30">
        <v>248</v>
      </c>
      <c r="H67" s="4">
        <v>68161</v>
      </c>
      <c r="I67" s="4" t="s">
        <v>358</v>
      </c>
      <c r="J67" s="28" t="s">
        <v>2334</v>
      </c>
      <c r="K67" s="28" t="s">
        <v>3</v>
      </c>
      <c r="L67" s="32">
        <v>43070</v>
      </c>
      <c r="M67" s="32">
        <f>BCOXT[[#This Row],[INV DOC DATE]]+30</f>
        <v>43100</v>
      </c>
      <c r="N67" s="32">
        <v>43112</v>
      </c>
      <c r="O67" s="31"/>
      <c r="Q67" s="31">
        <f t="shared" si="1"/>
        <v>248</v>
      </c>
      <c r="R67" s="53" t="str">
        <f ca="1">IF(TODAY() - BCOXT[INV DUE DATE]&lt;30, "Less than 30 days",IF(TODAY()-BCOXT[INV DUE DATE]&lt;60,"30-60 days","More than 60 days"))</f>
        <v>More than 60 days</v>
      </c>
      <c r="S67" s="31" t="s">
        <v>812</v>
      </c>
      <c r="T67" s="43"/>
      <c r="U67" s="4" t="s">
        <v>3699</v>
      </c>
    </row>
    <row r="68" spans="1:21" x14ac:dyDescent="0.3">
      <c r="A68" s="28" t="s">
        <v>2139</v>
      </c>
      <c r="B68" s="4" t="s">
        <v>30</v>
      </c>
      <c r="C68" s="4" t="s">
        <v>65</v>
      </c>
      <c r="D68" s="4">
        <v>5405</v>
      </c>
      <c r="E68" s="30">
        <v>248</v>
      </c>
      <c r="H68" s="4">
        <v>68161</v>
      </c>
      <c r="I68" s="4" t="s">
        <v>358</v>
      </c>
      <c r="J68" s="28" t="s">
        <v>2335</v>
      </c>
      <c r="K68" s="28" t="s">
        <v>3</v>
      </c>
      <c r="L68" s="32">
        <v>43070</v>
      </c>
      <c r="M68" s="32">
        <f>BCOXT[[#This Row],[INV DOC DATE]]+30</f>
        <v>43100</v>
      </c>
      <c r="N68" s="32">
        <v>43112</v>
      </c>
      <c r="O68" s="31"/>
      <c r="Q68" s="31">
        <f t="shared" si="1"/>
        <v>248</v>
      </c>
      <c r="R68" s="53" t="str">
        <f ca="1">IF(TODAY() - BCOXT[INV DUE DATE]&lt;30, "Less than 30 days",IF(TODAY()-BCOXT[INV DUE DATE]&lt;60,"30-60 days","More than 60 days"))</f>
        <v>More than 60 days</v>
      </c>
      <c r="S68" s="31" t="s">
        <v>812</v>
      </c>
      <c r="T68" s="43"/>
      <c r="U68" s="4" t="s">
        <v>3699</v>
      </c>
    </row>
    <row r="69" spans="1:21" x14ac:dyDescent="0.3">
      <c r="A69" s="28" t="s">
        <v>2139</v>
      </c>
      <c r="B69" s="4" t="s">
        <v>30</v>
      </c>
      <c r="C69" s="4" t="s">
        <v>66</v>
      </c>
      <c r="D69" s="4">
        <v>5405</v>
      </c>
      <c r="E69" s="30">
        <v>248</v>
      </c>
      <c r="H69" s="4">
        <v>68161</v>
      </c>
      <c r="I69" s="4" t="s">
        <v>358</v>
      </c>
      <c r="J69" s="28" t="s">
        <v>2336</v>
      </c>
      <c r="K69" s="28" t="s">
        <v>3</v>
      </c>
      <c r="L69" s="32">
        <v>43070</v>
      </c>
      <c r="M69" s="32">
        <f>BCOXT[[#This Row],[INV DOC DATE]]+30</f>
        <v>43100</v>
      </c>
      <c r="N69" s="32">
        <v>43112</v>
      </c>
      <c r="O69" s="31"/>
      <c r="Q69" s="31">
        <f t="shared" si="1"/>
        <v>248</v>
      </c>
      <c r="R69" s="53" t="str">
        <f ca="1">IF(TODAY() - BCOXT[INV DUE DATE]&lt;30, "Less than 30 days",IF(TODAY()-BCOXT[INV DUE DATE]&lt;60,"30-60 days","More than 60 days"))</f>
        <v>More than 60 days</v>
      </c>
      <c r="S69" s="31" t="s">
        <v>812</v>
      </c>
      <c r="T69" s="43"/>
      <c r="U69" s="4" t="s">
        <v>3699</v>
      </c>
    </row>
    <row r="70" spans="1:21" x14ac:dyDescent="0.3">
      <c r="A70" s="28" t="s">
        <v>2139</v>
      </c>
      <c r="B70" s="4" t="s">
        <v>30</v>
      </c>
      <c r="C70" s="4" t="s">
        <v>67</v>
      </c>
      <c r="D70" s="4">
        <v>5405</v>
      </c>
      <c r="E70" s="30">
        <v>263.5</v>
      </c>
      <c r="H70" s="4">
        <v>68161</v>
      </c>
      <c r="I70" s="4" t="s">
        <v>358</v>
      </c>
      <c r="J70" s="28" t="s">
        <v>2337</v>
      </c>
      <c r="K70" s="28" t="s">
        <v>3</v>
      </c>
      <c r="L70" s="32">
        <v>43070</v>
      </c>
      <c r="M70" s="32">
        <f>BCOXT[[#This Row],[INV DOC DATE]]+30</f>
        <v>43100</v>
      </c>
      <c r="N70" s="32">
        <v>43112</v>
      </c>
      <c r="O70" s="31"/>
      <c r="Q70" s="31">
        <f t="shared" si="1"/>
        <v>263.5</v>
      </c>
      <c r="R70" s="53" t="str">
        <f ca="1">IF(TODAY() - BCOXT[INV DUE DATE]&lt;30, "Less than 30 days",IF(TODAY()-BCOXT[INV DUE DATE]&lt;60,"30-60 days","More than 60 days"))</f>
        <v>More than 60 days</v>
      </c>
      <c r="S70" s="31" t="s">
        <v>812</v>
      </c>
      <c r="T70" s="43"/>
      <c r="U70" s="4" t="s">
        <v>3699</v>
      </c>
    </row>
    <row r="71" spans="1:21" x14ac:dyDescent="0.3">
      <c r="A71" s="28" t="s">
        <v>2139</v>
      </c>
      <c r="B71" s="4" t="s">
        <v>30</v>
      </c>
      <c r="C71" s="4" t="s">
        <v>68</v>
      </c>
      <c r="D71" s="4">
        <v>5405</v>
      </c>
      <c r="E71" s="30">
        <v>263.5</v>
      </c>
      <c r="H71" s="4">
        <v>68161</v>
      </c>
      <c r="I71" s="4" t="s">
        <v>358</v>
      </c>
      <c r="J71" s="28" t="s">
        <v>2338</v>
      </c>
      <c r="K71" s="28" t="s">
        <v>3</v>
      </c>
      <c r="L71" s="32">
        <v>43070</v>
      </c>
      <c r="M71" s="32">
        <f>BCOXT[[#This Row],[INV DOC DATE]]+30</f>
        <v>43100</v>
      </c>
      <c r="N71" s="32">
        <v>43112</v>
      </c>
      <c r="O71" s="31"/>
      <c r="Q71" s="31">
        <f t="shared" si="1"/>
        <v>263.5</v>
      </c>
      <c r="R71" s="53" t="str">
        <f ca="1">IF(TODAY() - BCOXT[INV DUE DATE]&lt;30, "Less than 30 days",IF(TODAY()-BCOXT[INV DUE DATE]&lt;60,"30-60 days","More than 60 days"))</f>
        <v>More than 60 days</v>
      </c>
      <c r="S71" s="31" t="s">
        <v>812</v>
      </c>
      <c r="T71" s="43"/>
      <c r="U71" s="4" t="s">
        <v>3699</v>
      </c>
    </row>
    <row r="72" spans="1:21" x14ac:dyDescent="0.3">
      <c r="A72" s="28" t="s">
        <v>2139</v>
      </c>
      <c r="B72" s="4" t="s">
        <v>30</v>
      </c>
      <c r="C72" s="4" t="s">
        <v>69</v>
      </c>
      <c r="D72" s="4">
        <v>5405</v>
      </c>
      <c r="E72" s="30">
        <v>263.5</v>
      </c>
      <c r="H72" s="4">
        <v>68161</v>
      </c>
      <c r="I72" s="4" t="s">
        <v>358</v>
      </c>
      <c r="J72" s="28" t="s">
        <v>2339</v>
      </c>
      <c r="K72" s="28" t="s">
        <v>3</v>
      </c>
      <c r="L72" s="32">
        <v>43070</v>
      </c>
      <c r="M72" s="32">
        <f>BCOXT[[#This Row],[INV DOC DATE]]+30</f>
        <v>43100</v>
      </c>
      <c r="N72" s="32">
        <v>43112</v>
      </c>
      <c r="O72" s="31"/>
      <c r="Q72" s="31">
        <f t="shared" si="1"/>
        <v>263.5</v>
      </c>
      <c r="R72" s="53" t="str">
        <f ca="1">IF(TODAY() - BCOXT[INV DUE DATE]&lt;30, "Less than 30 days",IF(TODAY()-BCOXT[INV DUE DATE]&lt;60,"30-60 days","More than 60 days"))</f>
        <v>More than 60 days</v>
      </c>
      <c r="S72" s="31" t="s">
        <v>812</v>
      </c>
      <c r="T72" s="43"/>
      <c r="U72" s="4" t="s">
        <v>3699</v>
      </c>
    </row>
    <row r="73" spans="1:21" x14ac:dyDescent="0.3">
      <c r="A73" s="28" t="s">
        <v>2139</v>
      </c>
      <c r="B73" s="4" t="s">
        <v>30</v>
      </c>
      <c r="C73" s="4" t="s">
        <v>70</v>
      </c>
      <c r="D73" s="4">
        <v>5405</v>
      </c>
      <c r="E73" s="30">
        <v>263.5</v>
      </c>
      <c r="H73" s="4">
        <v>68161</v>
      </c>
      <c r="I73" s="4" t="s">
        <v>358</v>
      </c>
      <c r="J73" s="28" t="s">
        <v>2340</v>
      </c>
      <c r="K73" s="28" t="s">
        <v>3</v>
      </c>
      <c r="L73" s="32">
        <v>43070</v>
      </c>
      <c r="M73" s="32">
        <f>BCOXT[[#This Row],[INV DOC DATE]]+30</f>
        <v>43100</v>
      </c>
      <c r="N73" s="32">
        <v>43112</v>
      </c>
      <c r="O73" s="31"/>
      <c r="Q73" s="31">
        <f t="shared" si="1"/>
        <v>263.5</v>
      </c>
      <c r="R73" s="53" t="str">
        <f ca="1">IF(TODAY() - BCOXT[INV DUE DATE]&lt;30, "Less than 30 days",IF(TODAY()-BCOXT[INV DUE DATE]&lt;60,"30-60 days","More than 60 days"))</f>
        <v>More than 60 days</v>
      </c>
      <c r="S73" s="31" t="s">
        <v>812</v>
      </c>
      <c r="T73" s="43"/>
      <c r="U73" s="4" t="s">
        <v>3699</v>
      </c>
    </row>
    <row r="74" spans="1:21" x14ac:dyDescent="0.3">
      <c r="A74" s="28" t="s">
        <v>2139</v>
      </c>
      <c r="B74" s="4" t="s">
        <v>30</v>
      </c>
      <c r="C74" s="4" t="s">
        <v>71</v>
      </c>
      <c r="D74" s="4">
        <v>5405</v>
      </c>
      <c r="E74" s="30">
        <v>263.5</v>
      </c>
      <c r="H74" s="4">
        <v>68161</v>
      </c>
      <c r="I74" s="4" t="s">
        <v>358</v>
      </c>
      <c r="J74" s="28" t="s">
        <v>2341</v>
      </c>
      <c r="K74" s="28" t="s">
        <v>3</v>
      </c>
      <c r="L74" s="32">
        <v>43070</v>
      </c>
      <c r="M74" s="32">
        <f>BCOXT[[#This Row],[INV DOC DATE]]+30</f>
        <v>43100</v>
      </c>
      <c r="N74" s="32">
        <v>43112</v>
      </c>
      <c r="O74" s="31"/>
      <c r="Q74" s="31">
        <f t="shared" si="1"/>
        <v>263.5</v>
      </c>
      <c r="R74" s="53" t="str">
        <f ca="1">IF(TODAY() - BCOXT[INV DUE DATE]&lt;30, "Less than 30 days",IF(TODAY()-BCOXT[INV DUE DATE]&lt;60,"30-60 days","More than 60 days"))</f>
        <v>More than 60 days</v>
      </c>
      <c r="S74" s="31" t="s">
        <v>812</v>
      </c>
      <c r="T74" s="43"/>
      <c r="U74" s="4" t="s">
        <v>3699</v>
      </c>
    </row>
    <row r="75" spans="1:21" x14ac:dyDescent="0.3">
      <c r="A75" s="28" t="s">
        <v>2139</v>
      </c>
      <c r="B75" s="4" t="s">
        <v>30</v>
      </c>
      <c r="C75" s="4" t="s">
        <v>72</v>
      </c>
      <c r="D75" s="4">
        <v>5405</v>
      </c>
      <c r="E75" s="30">
        <v>263.5</v>
      </c>
      <c r="H75" s="4">
        <v>68161</v>
      </c>
      <c r="I75" s="4" t="s">
        <v>358</v>
      </c>
      <c r="J75" s="28" t="s">
        <v>2342</v>
      </c>
      <c r="K75" s="28" t="s">
        <v>3</v>
      </c>
      <c r="L75" s="32">
        <v>43070</v>
      </c>
      <c r="M75" s="32">
        <f>BCOXT[[#This Row],[INV DOC DATE]]+30</f>
        <v>43100</v>
      </c>
      <c r="N75" s="32">
        <v>43112</v>
      </c>
      <c r="O75" s="31"/>
      <c r="Q75" s="31">
        <f t="shared" si="1"/>
        <v>263.5</v>
      </c>
      <c r="R75" s="53" t="str">
        <f ca="1">IF(TODAY() - BCOXT[INV DUE DATE]&lt;30, "Less than 30 days",IF(TODAY()-BCOXT[INV DUE DATE]&lt;60,"30-60 days","More than 60 days"))</f>
        <v>More than 60 days</v>
      </c>
      <c r="S75" s="31" t="s">
        <v>812</v>
      </c>
      <c r="T75" s="43"/>
      <c r="U75" s="4" t="s">
        <v>3699</v>
      </c>
    </row>
    <row r="76" spans="1:21" x14ac:dyDescent="0.3">
      <c r="A76" s="28" t="s">
        <v>2139</v>
      </c>
      <c r="B76" s="4" t="s">
        <v>30</v>
      </c>
      <c r="C76" s="4" t="s">
        <v>73</v>
      </c>
      <c r="D76" s="4">
        <v>5405</v>
      </c>
      <c r="E76" s="30">
        <v>263.5</v>
      </c>
      <c r="H76" s="4">
        <v>68161</v>
      </c>
      <c r="I76" s="4" t="s">
        <v>358</v>
      </c>
      <c r="J76" s="28" t="s">
        <v>2343</v>
      </c>
      <c r="K76" s="28" t="s">
        <v>3</v>
      </c>
      <c r="L76" s="32">
        <v>43070</v>
      </c>
      <c r="M76" s="32">
        <f>BCOXT[[#This Row],[INV DOC DATE]]+30</f>
        <v>43100</v>
      </c>
      <c r="N76" s="32">
        <v>43112</v>
      </c>
      <c r="O76" s="31"/>
      <c r="Q76" s="31">
        <f t="shared" si="1"/>
        <v>263.5</v>
      </c>
      <c r="R76" s="53" t="str">
        <f ca="1">IF(TODAY() - BCOXT[INV DUE DATE]&lt;30, "Less than 30 days",IF(TODAY()-BCOXT[INV DUE DATE]&lt;60,"30-60 days","More than 60 days"))</f>
        <v>More than 60 days</v>
      </c>
      <c r="S76" s="31" t="s">
        <v>812</v>
      </c>
      <c r="T76" s="43"/>
      <c r="U76" s="4" t="s">
        <v>3699</v>
      </c>
    </row>
    <row r="77" spans="1:21" x14ac:dyDescent="0.3">
      <c r="A77" s="28" t="s">
        <v>2139</v>
      </c>
      <c r="B77" s="4" t="s">
        <v>30</v>
      </c>
      <c r="C77" s="4" t="s">
        <v>74</v>
      </c>
      <c r="D77" s="4">
        <v>5405</v>
      </c>
      <c r="E77" s="30">
        <v>263.5</v>
      </c>
      <c r="H77" s="4">
        <v>68161</v>
      </c>
      <c r="I77" s="4" t="s">
        <v>358</v>
      </c>
      <c r="J77" s="28" t="s">
        <v>2344</v>
      </c>
      <c r="K77" s="28" t="s">
        <v>3</v>
      </c>
      <c r="L77" s="32">
        <v>43070</v>
      </c>
      <c r="M77" s="32">
        <f>BCOXT[[#This Row],[INV DOC DATE]]+30</f>
        <v>43100</v>
      </c>
      <c r="N77" s="32">
        <v>43112</v>
      </c>
      <c r="O77" s="31"/>
      <c r="Q77" s="31">
        <f t="shared" si="1"/>
        <v>263.5</v>
      </c>
      <c r="R77" s="53" t="str">
        <f ca="1">IF(TODAY() - BCOXT[INV DUE DATE]&lt;30, "Less than 30 days",IF(TODAY()-BCOXT[INV DUE DATE]&lt;60,"30-60 days","More than 60 days"))</f>
        <v>More than 60 days</v>
      </c>
      <c r="S77" s="31" t="s">
        <v>812</v>
      </c>
      <c r="T77" s="43"/>
      <c r="U77" s="4" t="s">
        <v>3699</v>
      </c>
    </row>
    <row r="78" spans="1:21" x14ac:dyDescent="0.3">
      <c r="A78" s="28" t="s">
        <v>2139</v>
      </c>
      <c r="B78" s="4" t="s">
        <v>30</v>
      </c>
      <c r="C78" s="4" t="s">
        <v>75</v>
      </c>
      <c r="D78" s="4">
        <v>5405</v>
      </c>
      <c r="E78" s="30">
        <v>263.5</v>
      </c>
      <c r="H78" s="4">
        <v>68161</v>
      </c>
      <c r="I78" s="4" t="s">
        <v>358</v>
      </c>
      <c r="J78" s="28" t="s">
        <v>2345</v>
      </c>
      <c r="K78" s="28" t="s">
        <v>3</v>
      </c>
      <c r="L78" s="32">
        <v>43070</v>
      </c>
      <c r="M78" s="32">
        <f>BCOXT[[#This Row],[INV DOC DATE]]+30</f>
        <v>43100</v>
      </c>
      <c r="N78" s="32">
        <v>43112</v>
      </c>
      <c r="O78" s="31"/>
      <c r="Q78" s="31">
        <f t="shared" si="1"/>
        <v>263.5</v>
      </c>
      <c r="R78" s="53" t="str">
        <f ca="1">IF(TODAY() - BCOXT[INV DUE DATE]&lt;30, "Less than 30 days",IF(TODAY()-BCOXT[INV DUE DATE]&lt;60,"30-60 days","More than 60 days"))</f>
        <v>More than 60 days</v>
      </c>
      <c r="S78" s="31" t="s">
        <v>812</v>
      </c>
      <c r="T78" s="43"/>
      <c r="U78" s="4" t="s">
        <v>3699</v>
      </c>
    </row>
    <row r="79" spans="1:21" x14ac:dyDescent="0.3">
      <c r="A79" s="28" t="s">
        <v>2139</v>
      </c>
      <c r="B79" s="4" t="s">
        <v>30</v>
      </c>
      <c r="C79" s="4" t="s">
        <v>76</v>
      </c>
      <c r="D79" s="4">
        <v>5405</v>
      </c>
      <c r="E79" s="30">
        <v>263.5</v>
      </c>
      <c r="H79" s="4">
        <v>68161</v>
      </c>
      <c r="I79" s="4" t="s">
        <v>358</v>
      </c>
      <c r="J79" s="28" t="s">
        <v>2346</v>
      </c>
      <c r="K79" s="28" t="s">
        <v>3</v>
      </c>
      <c r="L79" s="32">
        <v>43070</v>
      </c>
      <c r="M79" s="32">
        <f>BCOXT[[#This Row],[INV DOC DATE]]+30</f>
        <v>43100</v>
      </c>
      <c r="N79" s="32">
        <v>43112</v>
      </c>
      <c r="O79" s="31"/>
      <c r="Q79" s="31">
        <f t="shared" si="1"/>
        <v>263.5</v>
      </c>
      <c r="R79" s="53" t="str">
        <f ca="1">IF(TODAY() - BCOXT[INV DUE DATE]&lt;30, "Less than 30 days",IF(TODAY()-BCOXT[INV DUE DATE]&lt;60,"30-60 days","More than 60 days"))</f>
        <v>More than 60 days</v>
      </c>
      <c r="S79" s="31" t="s">
        <v>812</v>
      </c>
      <c r="T79" s="43"/>
      <c r="U79" s="4" t="s">
        <v>3699</v>
      </c>
    </row>
    <row r="80" spans="1:21" x14ac:dyDescent="0.3">
      <c r="A80" s="28" t="s">
        <v>2139</v>
      </c>
      <c r="B80" s="4" t="s">
        <v>30</v>
      </c>
      <c r="C80" s="4" t="s">
        <v>77</v>
      </c>
      <c r="D80" s="4">
        <v>5405</v>
      </c>
      <c r="E80" s="30">
        <v>248</v>
      </c>
      <c r="H80" s="4">
        <v>68161</v>
      </c>
      <c r="I80" s="4" t="s">
        <v>358</v>
      </c>
      <c r="J80" s="28" t="s">
        <v>2347</v>
      </c>
      <c r="K80" s="28" t="s">
        <v>3</v>
      </c>
      <c r="L80" s="32">
        <v>43070</v>
      </c>
      <c r="M80" s="32">
        <f>BCOXT[[#This Row],[INV DOC DATE]]+30</f>
        <v>43100</v>
      </c>
      <c r="N80" s="32">
        <v>43112</v>
      </c>
      <c r="O80" s="31"/>
      <c r="Q80" s="31">
        <f t="shared" si="1"/>
        <v>248</v>
      </c>
      <c r="R80" s="53" t="str">
        <f ca="1">IF(TODAY() - BCOXT[INV DUE DATE]&lt;30, "Less than 30 days",IF(TODAY()-BCOXT[INV DUE DATE]&lt;60,"30-60 days","More than 60 days"))</f>
        <v>More than 60 days</v>
      </c>
      <c r="S80" s="31" t="s">
        <v>812</v>
      </c>
      <c r="T80" s="43"/>
      <c r="U80" s="4" t="s">
        <v>3699</v>
      </c>
    </row>
    <row r="81" spans="1:21" x14ac:dyDescent="0.3">
      <c r="A81" s="28" t="s">
        <v>2139</v>
      </c>
      <c r="B81" s="4" t="s">
        <v>30</v>
      </c>
      <c r="C81" s="4" t="s">
        <v>78</v>
      </c>
      <c r="D81" s="4">
        <v>5405</v>
      </c>
      <c r="E81" s="30">
        <v>248</v>
      </c>
      <c r="H81" s="4">
        <v>68161</v>
      </c>
      <c r="I81" s="4" t="s">
        <v>358</v>
      </c>
      <c r="J81" s="28" t="s">
        <v>2348</v>
      </c>
      <c r="K81" s="28" t="s">
        <v>3</v>
      </c>
      <c r="L81" s="32">
        <v>43070</v>
      </c>
      <c r="M81" s="32">
        <f>BCOXT[[#This Row],[INV DOC DATE]]+30</f>
        <v>43100</v>
      </c>
      <c r="N81" s="32">
        <v>43112</v>
      </c>
      <c r="O81" s="31"/>
      <c r="Q81" s="31">
        <f t="shared" si="1"/>
        <v>248</v>
      </c>
      <c r="R81" s="53" t="str">
        <f ca="1">IF(TODAY() - BCOXT[INV DUE DATE]&lt;30, "Less than 30 days",IF(TODAY()-BCOXT[INV DUE DATE]&lt;60,"30-60 days","More than 60 days"))</f>
        <v>More than 60 days</v>
      </c>
      <c r="S81" s="31" t="s">
        <v>812</v>
      </c>
      <c r="T81" s="43"/>
      <c r="U81" s="4" t="s">
        <v>3699</v>
      </c>
    </row>
    <row r="82" spans="1:21" x14ac:dyDescent="0.3">
      <c r="A82" s="28" t="s">
        <v>2139</v>
      </c>
      <c r="B82" s="4" t="s">
        <v>30</v>
      </c>
      <c r="C82" s="4" t="s">
        <v>79</v>
      </c>
      <c r="D82" s="4">
        <v>5405</v>
      </c>
      <c r="E82" s="30">
        <v>248</v>
      </c>
      <c r="H82" s="4">
        <v>68161</v>
      </c>
      <c r="I82" s="4" t="s">
        <v>358</v>
      </c>
      <c r="J82" s="28" t="s">
        <v>2349</v>
      </c>
      <c r="K82" s="28" t="s">
        <v>3</v>
      </c>
      <c r="L82" s="32">
        <v>43070</v>
      </c>
      <c r="M82" s="32">
        <f>BCOXT[[#This Row],[INV DOC DATE]]+30</f>
        <v>43100</v>
      </c>
      <c r="N82" s="32">
        <v>43112</v>
      </c>
      <c r="O82" s="31"/>
      <c r="Q82" s="31">
        <f t="shared" si="1"/>
        <v>248</v>
      </c>
      <c r="R82" s="53" t="str">
        <f ca="1">IF(TODAY() - BCOXT[INV DUE DATE]&lt;30, "Less than 30 days",IF(TODAY()-BCOXT[INV DUE DATE]&lt;60,"30-60 days","More than 60 days"))</f>
        <v>More than 60 days</v>
      </c>
      <c r="S82" s="31" t="s">
        <v>812</v>
      </c>
      <c r="T82" s="43"/>
      <c r="U82" s="4" t="s">
        <v>3699</v>
      </c>
    </row>
    <row r="83" spans="1:21" x14ac:dyDescent="0.3">
      <c r="A83" s="28" t="s">
        <v>2139</v>
      </c>
      <c r="B83" s="4" t="s">
        <v>30</v>
      </c>
      <c r="C83" s="4" t="s">
        <v>80</v>
      </c>
      <c r="D83" s="4">
        <v>5405</v>
      </c>
      <c r="E83" s="30">
        <v>248</v>
      </c>
      <c r="H83" s="4">
        <v>68161</v>
      </c>
      <c r="I83" s="4" t="s">
        <v>358</v>
      </c>
      <c r="J83" s="28" t="s">
        <v>2350</v>
      </c>
      <c r="K83" s="28" t="s">
        <v>3</v>
      </c>
      <c r="L83" s="32">
        <v>43070</v>
      </c>
      <c r="M83" s="32">
        <f>BCOXT[[#This Row],[INV DOC DATE]]+30</f>
        <v>43100</v>
      </c>
      <c r="N83" s="32">
        <v>43112</v>
      </c>
      <c r="O83" s="31"/>
      <c r="Q83" s="31">
        <f t="shared" si="1"/>
        <v>248</v>
      </c>
      <c r="R83" s="53" t="str">
        <f ca="1">IF(TODAY() - BCOXT[INV DUE DATE]&lt;30, "Less than 30 days",IF(TODAY()-BCOXT[INV DUE DATE]&lt;60,"30-60 days","More than 60 days"))</f>
        <v>More than 60 days</v>
      </c>
      <c r="S83" s="31" t="s">
        <v>812</v>
      </c>
      <c r="T83" s="43"/>
      <c r="U83" s="4" t="s">
        <v>3699</v>
      </c>
    </row>
    <row r="84" spans="1:21" x14ac:dyDescent="0.3">
      <c r="A84" s="28" t="s">
        <v>2139</v>
      </c>
      <c r="B84" s="4" t="s">
        <v>30</v>
      </c>
      <c r="C84" s="4" t="s">
        <v>81</v>
      </c>
      <c r="D84" s="4">
        <v>5405</v>
      </c>
      <c r="E84" s="30">
        <v>248</v>
      </c>
      <c r="H84" s="4">
        <v>68161</v>
      </c>
      <c r="I84" s="4" t="s">
        <v>358</v>
      </c>
      <c r="J84" s="28" t="s">
        <v>2351</v>
      </c>
      <c r="K84" s="28" t="s">
        <v>3</v>
      </c>
      <c r="L84" s="32">
        <v>43070</v>
      </c>
      <c r="M84" s="32">
        <f>BCOXT[[#This Row],[INV DOC DATE]]+30</f>
        <v>43100</v>
      </c>
      <c r="N84" s="32">
        <v>43112</v>
      </c>
      <c r="O84" s="31"/>
      <c r="Q84" s="31">
        <f t="shared" si="1"/>
        <v>248</v>
      </c>
      <c r="R84" s="53" t="str">
        <f ca="1">IF(TODAY() - BCOXT[INV DUE DATE]&lt;30, "Less than 30 days",IF(TODAY()-BCOXT[INV DUE DATE]&lt;60,"30-60 days","More than 60 days"))</f>
        <v>More than 60 days</v>
      </c>
      <c r="S84" s="31" t="s">
        <v>812</v>
      </c>
      <c r="T84" s="43"/>
      <c r="U84" s="4" t="s">
        <v>3699</v>
      </c>
    </row>
    <row r="85" spans="1:21" x14ac:dyDescent="0.3">
      <c r="A85" s="28" t="s">
        <v>2139</v>
      </c>
      <c r="B85" s="4" t="s">
        <v>30</v>
      </c>
      <c r="C85" s="4" t="s">
        <v>82</v>
      </c>
      <c r="D85" s="4">
        <v>5405</v>
      </c>
      <c r="E85" s="30">
        <v>248</v>
      </c>
      <c r="H85" s="4">
        <v>68161</v>
      </c>
      <c r="I85" s="4" t="s">
        <v>358</v>
      </c>
      <c r="J85" s="28" t="s">
        <v>2352</v>
      </c>
      <c r="K85" s="28" t="s">
        <v>3</v>
      </c>
      <c r="L85" s="32">
        <v>43070</v>
      </c>
      <c r="M85" s="32">
        <f>BCOXT[[#This Row],[INV DOC DATE]]+30</f>
        <v>43100</v>
      </c>
      <c r="N85" s="32">
        <v>43112</v>
      </c>
      <c r="O85" s="31"/>
      <c r="Q85" s="31">
        <f t="shared" si="1"/>
        <v>248</v>
      </c>
      <c r="R85" s="53" t="str">
        <f ca="1">IF(TODAY() - BCOXT[INV DUE DATE]&lt;30, "Less than 30 days",IF(TODAY()-BCOXT[INV DUE DATE]&lt;60,"30-60 days","More than 60 days"))</f>
        <v>More than 60 days</v>
      </c>
      <c r="S85" s="31" t="s">
        <v>812</v>
      </c>
      <c r="T85" s="43"/>
      <c r="U85" s="4" t="s">
        <v>3699</v>
      </c>
    </row>
    <row r="86" spans="1:21" x14ac:dyDescent="0.3">
      <c r="A86" s="28" t="s">
        <v>2139</v>
      </c>
      <c r="B86" s="4" t="s">
        <v>30</v>
      </c>
      <c r="C86" s="4" t="s">
        <v>83</v>
      </c>
      <c r="D86" s="4">
        <v>5405</v>
      </c>
      <c r="E86" s="30">
        <v>248</v>
      </c>
      <c r="H86" s="4">
        <v>68178</v>
      </c>
      <c r="I86" s="4" t="s">
        <v>358</v>
      </c>
      <c r="J86" s="28" t="s">
        <v>2353</v>
      </c>
      <c r="K86" s="28" t="s">
        <v>3</v>
      </c>
      <c r="L86" s="32">
        <v>43070</v>
      </c>
      <c r="M86" s="32">
        <f>BCOXT[[#This Row],[INV DOC DATE]]+30</f>
        <v>43100</v>
      </c>
      <c r="N86" s="32">
        <v>43112</v>
      </c>
      <c r="O86" s="31"/>
      <c r="Q86" s="31">
        <f t="shared" si="1"/>
        <v>248</v>
      </c>
      <c r="R86" s="53" t="str">
        <f ca="1">IF(TODAY() - BCOXT[INV DUE DATE]&lt;30, "Less than 30 days",IF(TODAY()-BCOXT[INV DUE DATE]&lt;60,"30-60 days","More than 60 days"))</f>
        <v>More than 60 days</v>
      </c>
      <c r="S86" s="31" t="s">
        <v>812</v>
      </c>
      <c r="T86" s="43"/>
      <c r="U86" s="4" t="s">
        <v>3699</v>
      </c>
    </row>
    <row r="87" spans="1:21" x14ac:dyDescent="0.3">
      <c r="A87" s="28" t="s">
        <v>2139</v>
      </c>
      <c r="B87" s="4" t="s">
        <v>30</v>
      </c>
      <c r="C87" s="4" t="s">
        <v>84</v>
      </c>
      <c r="D87" s="4">
        <v>5405</v>
      </c>
      <c r="E87" s="30">
        <v>248</v>
      </c>
      <c r="H87" s="4">
        <v>68178</v>
      </c>
      <c r="I87" s="4" t="s">
        <v>358</v>
      </c>
      <c r="J87" s="28" t="s">
        <v>2354</v>
      </c>
      <c r="K87" s="28" t="s">
        <v>3</v>
      </c>
      <c r="L87" s="32">
        <v>43070</v>
      </c>
      <c r="M87" s="32">
        <f>BCOXT[[#This Row],[INV DOC DATE]]+30</f>
        <v>43100</v>
      </c>
      <c r="N87" s="32">
        <v>43112</v>
      </c>
      <c r="O87" s="31"/>
      <c r="Q87" s="31">
        <f t="shared" si="1"/>
        <v>248</v>
      </c>
      <c r="R87" s="53" t="str">
        <f ca="1">IF(TODAY() - BCOXT[INV DUE DATE]&lt;30, "Less than 30 days",IF(TODAY()-BCOXT[INV DUE DATE]&lt;60,"30-60 days","More than 60 days"))</f>
        <v>More than 60 days</v>
      </c>
      <c r="S87" s="31" t="s">
        <v>812</v>
      </c>
      <c r="T87" s="43"/>
      <c r="U87" s="4" t="s">
        <v>3699</v>
      </c>
    </row>
    <row r="88" spans="1:21" x14ac:dyDescent="0.3">
      <c r="A88" s="28" t="s">
        <v>2139</v>
      </c>
      <c r="B88" s="4" t="s">
        <v>30</v>
      </c>
      <c r="C88" s="4" t="s">
        <v>85</v>
      </c>
      <c r="D88" s="4">
        <v>5405</v>
      </c>
      <c r="E88" s="30">
        <v>558</v>
      </c>
      <c r="H88" s="4">
        <v>68178</v>
      </c>
      <c r="I88" s="4" t="s">
        <v>358</v>
      </c>
      <c r="J88" s="28" t="s">
        <v>2355</v>
      </c>
      <c r="K88" s="28" t="s">
        <v>3</v>
      </c>
      <c r="L88" s="32">
        <v>43070</v>
      </c>
      <c r="M88" s="32">
        <f>BCOXT[[#This Row],[INV DOC DATE]]+30</f>
        <v>43100</v>
      </c>
      <c r="N88" s="32">
        <v>43112</v>
      </c>
      <c r="O88" s="31"/>
      <c r="Q88" s="31">
        <f t="shared" si="1"/>
        <v>558</v>
      </c>
      <c r="R88" s="53" t="str">
        <f ca="1">IF(TODAY() - BCOXT[INV DUE DATE]&lt;30, "Less than 30 days",IF(TODAY()-BCOXT[INV DUE DATE]&lt;60,"30-60 days","More than 60 days"))</f>
        <v>More than 60 days</v>
      </c>
      <c r="S88" s="31" t="s">
        <v>812</v>
      </c>
      <c r="T88" s="43"/>
      <c r="U88" s="4" t="s">
        <v>3699</v>
      </c>
    </row>
    <row r="89" spans="1:21" x14ac:dyDescent="0.3">
      <c r="A89" s="28" t="s">
        <v>2139</v>
      </c>
      <c r="B89" s="4" t="s">
        <v>30</v>
      </c>
      <c r="C89" s="4" t="s">
        <v>86</v>
      </c>
      <c r="D89" s="4">
        <v>5405</v>
      </c>
      <c r="E89" s="30">
        <v>558</v>
      </c>
      <c r="H89" s="4">
        <v>68178</v>
      </c>
      <c r="I89" s="4" t="s">
        <v>358</v>
      </c>
      <c r="J89" s="28" t="s">
        <v>2356</v>
      </c>
      <c r="K89" s="28" t="s">
        <v>3</v>
      </c>
      <c r="L89" s="32">
        <v>43070</v>
      </c>
      <c r="M89" s="32">
        <f>BCOXT[[#This Row],[INV DOC DATE]]+30</f>
        <v>43100</v>
      </c>
      <c r="N89" s="32">
        <v>43112</v>
      </c>
      <c r="O89" s="31"/>
      <c r="Q89" s="31">
        <f t="shared" si="1"/>
        <v>558</v>
      </c>
      <c r="R89" s="53" t="str">
        <f ca="1">IF(TODAY() - BCOXT[INV DUE DATE]&lt;30, "Less than 30 days",IF(TODAY()-BCOXT[INV DUE DATE]&lt;60,"30-60 days","More than 60 days"))</f>
        <v>More than 60 days</v>
      </c>
      <c r="S89" s="31" t="s">
        <v>812</v>
      </c>
      <c r="T89" s="43"/>
      <c r="U89" s="4" t="s">
        <v>3699</v>
      </c>
    </row>
    <row r="90" spans="1:21" x14ac:dyDescent="0.3">
      <c r="A90" s="28" t="s">
        <v>2139</v>
      </c>
      <c r="B90" s="4" t="s">
        <v>30</v>
      </c>
      <c r="C90" s="4" t="s">
        <v>87</v>
      </c>
      <c r="D90" s="4">
        <v>5405</v>
      </c>
      <c r="E90" s="30">
        <v>558</v>
      </c>
      <c r="H90" s="4">
        <v>68178</v>
      </c>
      <c r="I90" s="4" t="s">
        <v>358</v>
      </c>
      <c r="J90" s="28" t="s">
        <v>2357</v>
      </c>
      <c r="K90" s="28" t="s">
        <v>3</v>
      </c>
      <c r="L90" s="32">
        <v>43070</v>
      </c>
      <c r="M90" s="32">
        <f>BCOXT[[#This Row],[INV DOC DATE]]+30</f>
        <v>43100</v>
      </c>
      <c r="N90" s="32">
        <v>43112</v>
      </c>
      <c r="O90" s="31"/>
      <c r="Q90" s="31">
        <f t="shared" si="1"/>
        <v>558</v>
      </c>
      <c r="R90" s="53" t="str">
        <f ca="1">IF(TODAY() - BCOXT[INV DUE DATE]&lt;30, "Less than 30 days",IF(TODAY()-BCOXT[INV DUE DATE]&lt;60,"30-60 days","More than 60 days"))</f>
        <v>More than 60 days</v>
      </c>
      <c r="S90" s="31" t="s">
        <v>812</v>
      </c>
      <c r="T90" s="43"/>
      <c r="U90" s="4" t="s">
        <v>3699</v>
      </c>
    </row>
    <row r="91" spans="1:21" x14ac:dyDescent="0.3">
      <c r="A91" s="28" t="s">
        <v>2139</v>
      </c>
      <c r="B91" s="4" t="s">
        <v>30</v>
      </c>
      <c r="C91" s="4" t="s">
        <v>88</v>
      </c>
      <c r="D91" s="4">
        <v>5405</v>
      </c>
      <c r="E91" s="30">
        <v>558</v>
      </c>
      <c r="H91" s="4">
        <v>68178</v>
      </c>
      <c r="I91" s="4" t="s">
        <v>358</v>
      </c>
      <c r="J91" s="28" t="s">
        <v>2358</v>
      </c>
      <c r="K91" s="28" t="s">
        <v>3</v>
      </c>
      <c r="L91" s="32">
        <v>43070</v>
      </c>
      <c r="M91" s="32">
        <f>BCOXT[[#This Row],[INV DOC DATE]]+30</f>
        <v>43100</v>
      </c>
      <c r="N91" s="32">
        <v>43112</v>
      </c>
      <c r="O91" s="31"/>
      <c r="Q91" s="31">
        <f t="shared" si="1"/>
        <v>558</v>
      </c>
      <c r="R91" s="53" t="str">
        <f ca="1">IF(TODAY() - BCOXT[INV DUE DATE]&lt;30, "Less than 30 days",IF(TODAY()-BCOXT[INV DUE DATE]&lt;60,"30-60 days","More than 60 days"))</f>
        <v>More than 60 days</v>
      </c>
      <c r="S91" s="31" t="s">
        <v>812</v>
      </c>
      <c r="T91" s="43"/>
      <c r="U91" s="4" t="s">
        <v>3699</v>
      </c>
    </row>
    <row r="92" spans="1:21" x14ac:dyDescent="0.3">
      <c r="A92" s="28" t="s">
        <v>2139</v>
      </c>
      <c r="B92" s="4" t="s">
        <v>30</v>
      </c>
      <c r="C92" s="4" t="s">
        <v>89</v>
      </c>
      <c r="D92" s="4">
        <v>5405</v>
      </c>
      <c r="E92" s="30">
        <v>558</v>
      </c>
      <c r="H92" s="4">
        <v>68178</v>
      </c>
      <c r="I92" s="4" t="s">
        <v>358</v>
      </c>
      <c r="J92" s="28" t="s">
        <v>2359</v>
      </c>
      <c r="K92" s="28" t="s">
        <v>3</v>
      </c>
      <c r="L92" s="32">
        <v>43070</v>
      </c>
      <c r="M92" s="32">
        <f>BCOXT[[#This Row],[INV DOC DATE]]+30</f>
        <v>43100</v>
      </c>
      <c r="N92" s="32">
        <v>43112</v>
      </c>
      <c r="O92" s="31"/>
      <c r="Q92" s="31">
        <f t="shared" si="1"/>
        <v>558</v>
      </c>
      <c r="R92" s="53" t="str">
        <f ca="1">IF(TODAY() - BCOXT[INV DUE DATE]&lt;30, "Less than 30 days",IF(TODAY()-BCOXT[INV DUE DATE]&lt;60,"30-60 days","More than 60 days"))</f>
        <v>More than 60 days</v>
      </c>
      <c r="S92" s="31" t="s">
        <v>812</v>
      </c>
      <c r="T92" s="43"/>
      <c r="U92" s="4" t="s">
        <v>3699</v>
      </c>
    </row>
    <row r="93" spans="1:21" x14ac:dyDescent="0.3">
      <c r="A93" s="28" t="s">
        <v>2139</v>
      </c>
      <c r="B93" s="4" t="s">
        <v>30</v>
      </c>
      <c r="C93" s="4" t="s">
        <v>90</v>
      </c>
      <c r="D93" s="4">
        <v>5405</v>
      </c>
      <c r="E93" s="30">
        <v>248</v>
      </c>
      <c r="H93" s="4">
        <v>68178</v>
      </c>
      <c r="I93" s="4" t="s">
        <v>358</v>
      </c>
      <c r="J93" s="28" t="s">
        <v>2360</v>
      </c>
      <c r="K93" s="28" t="s">
        <v>3</v>
      </c>
      <c r="L93" s="32">
        <v>43070</v>
      </c>
      <c r="M93" s="32">
        <f>BCOXT[[#This Row],[INV DOC DATE]]+30</f>
        <v>43100</v>
      </c>
      <c r="N93" s="32">
        <v>43112</v>
      </c>
      <c r="O93" s="31"/>
      <c r="Q93" s="31">
        <f t="shared" si="1"/>
        <v>248</v>
      </c>
      <c r="R93" s="53" t="str">
        <f ca="1">IF(TODAY() - BCOXT[INV DUE DATE]&lt;30, "Less than 30 days",IF(TODAY()-BCOXT[INV DUE DATE]&lt;60,"30-60 days","More than 60 days"))</f>
        <v>More than 60 days</v>
      </c>
      <c r="S93" s="31" t="s">
        <v>812</v>
      </c>
      <c r="T93" s="43"/>
      <c r="U93" s="4" t="s">
        <v>3699</v>
      </c>
    </row>
    <row r="94" spans="1:21" x14ac:dyDescent="0.3">
      <c r="A94" s="28" t="s">
        <v>2139</v>
      </c>
      <c r="B94" s="4" t="s">
        <v>30</v>
      </c>
      <c r="C94" s="4" t="s">
        <v>91</v>
      </c>
      <c r="D94" s="4">
        <v>5405</v>
      </c>
      <c r="E94" s="30">
        <v>248</v>
      </c>
      <c r="H94" s="4">
        <v>68178</v>
      </c>
      <c r="I94" s="4" t="s">
        <v>358</v>
      </c>
      <c r="J94" s="28" t="s">
        <v>2361</v>
      </c>
      <c r="K94" s="28" t="s">
        <v>3</v>
      </c>
      <c r="L94" s="32">
        <v>43070</v>
      </c>
      <c r="M94" s="32">
        <f>BCOXT[[#This Row],[INV DOC DATE]]+30</f>
        <v>43100</v>
      </c>
      <c r="N94" s="32">
        <v>43112</v>
      </c>
      <c r="O94" s="31"/>
      <c r="Q94" s="31">
        <f t="shared" si="1"/>
        <v>248</v>
      </c>
      <c r="R94" s="53" t="str">
        <f ca="1">IF(TODAY() - BCOXT[INV DUE DATE]&lt;30, "Less than 30 days",IF(TODAY()-BCOXT[INV DUE DATE]&lt;60,"30-60 days","More than 60 days"))</f>
        <v>More than 60 days</v>
      </c>
      <c r="S94" s="31" t="s">
        <v>812</v>
      </c>
      <c r="T94" s="43"/>
      <c r="U94" s="4" t="s">
        <v>3699</v>
      </c>
    </row>
    <row r="95" spans="1:21" x14ac:dyDescent="0.3">
      <c r="A95" s="28" t="s">
        <v>2139</v>
      </c>
      <c r="B95" s="4" t="s">
        <v>30</v>
      </c>
      <c r="C95" s="4" t="s">
        <v>92</v>
      </c>
      <c r="D95" s="4">
        <v>5405</v>
      </c>
      <c r="E95" s="30">
        <v>248</v>
      </c>
      <c r="H95" s="4">
        <v>68178</v>
      </c>
      <c r="I95" s="4" t="s">
        <v>358</v>
      </c>
      <c r="J95" s="28" t="s">
        <v>2362</v>
      </c>
      <c r="K95" s="28" t="s">
        <v>3</v>
      </c>
      <c r="L95" s="32">
        <v>43070</v>
      </c>
      <c r="M95" s="32">
        <f>BCOXT[[#This Row],[INV DOC DATE]]+30</f>
        <v>43100</v>
      </c>
      <c r="N95" s="32">
        <v>43112</v>
      </c>
      <c r="O95" s="31"/>
      <c r="Q95" s="31">
        <f t="shared" si="1"/>
        <v>248</v>
      </c>
      <c r="R95" s="53" t="str">
        <f ca="1">IF(TODAY() - BCOXT[INV DUE DATE]&lt;30, "Less than 30 days",IF(TODAY()-BCOXT[INV DUE DATE]&lt;60,"30-60 days","More than 60 days"))</f>
        <v>More than 60 days</v>
      </c>
      <c r="S95" s="31" t="s">
        <v>812</v>
      </c>
      <c r="T95" s="43"/>
      <c r="U95" s="4" t="s">
        <v>3699</v>
      </c>
    </row>
    <row r="96" spans="1:21" x14ac:dyDescent="0.3">
      <c r="A96" s="28" t="s">
        <v>2139</v>
      </c>
      <c r="B96" s="4" t="s">
        <v>30</v>
      </c>
      <c r="C96" s="4" t="s">
        <v>30</v>
      </c>
      <c r="D96" s="4">
        <v>5405</v>
      </c>
      <c r="E96" s="30">
        <v>372</v>
      </c>
      <c r="H96" s="4">
        <v>68178</v>
      </c>
      <c r="I96" s="4" t="s">
        <v>358</v>
      </c>
      <c r="J96" s="28" t="s">
        <v>2363</v>
      </c>
      <c r="K96" s="28" t="s">
        <v>3</v>
      </c>
      <c r="L96" s="32">
        <v>43070</v>
      </c>
      <c r="M96" s="32">
        <f>BCOXT[[#This Row],[INV DOC DATE]]+30</f>
        <v>43100</v>
      </c>
      <c r="N96" s="32">
        <v>43112</v>
      </c>
      <c r="O96" s="31"/>
      <c r="Q96" s="31">
        <f t="shared" si="1"/>
        <v>372</v>
      </c>
      <c r="R96" s="53" t="str">
        <f ca="1">IF(TODAY() - BCOXT[INV DUE DATE]&lt;30, "Less than 30 days",IF(TODAY()-BCOXT[INV DUE DATE]&lt;60,"30-60 days","More than 60 days"))</f>
        <v>More than 60 days</v>
      </c>
      <c r="S96" s="31" t="s">
        <v>812</v>
      </c>
      <c r="T96" s="43"/>
      <c r="U96" s="4" t="s">
        <v>3699</v>
      </c>
    </row>
    <row r="97" spans="1:21" x14ac:dyDescent="0.3">
      <c r="A97" s="28" t="s">
        <v>2139</v>
      </c>
      <c r="B97" s="4" t="s">
        <v>30</v>
      </c>
      <c r="C97" s="4" t="s">
        <v>93</v>
      </c>
      <c r="D97" s="4">
        <v>5405</v>
      </c>
      <c r="E97" s="30">
        <v>372</v>
      </c>
      <c r="H97" s="4">
        <v>68178</v>
      </c>
      <c r="I97" s="4" t="s">
        <v>358</v>
      </c>
      <c r="J97" s="28" t="s">
        <v>2364</v>
      </c>
      <c r="K97" s="28" t="s">
        <v>3</v>
      </c>
      <c r="L97" s="32">
        <v>43070</v>
      </c>
      <c r="M97" s="32">
        <f>BCOXT[[#This Row],[INV DOC DATE]]+30</f>
        <v>43100</v>
      </c>
      <c r="N97" s="32">
        <v>43112</v>
      </c>
      <c r="O97" s="31"/>
      <c r="Q97" s="31">
        <f t="shared" si="1"/>
        <v>372</v>
      </c>
      <c r="R97" s="53" t="str">
        <f ca="1">IF(TODAY() - BCOXT[INV DUE DATE]&lt;30, "Less than 30 days",IF(TODAY()-BCOXT[INV DUE DATE]&lt;60,"30-60 days","More than 60 days"))</f>
        <v>More than 60 days</v>
      </c>
      <c r="S97" s="31" t="s">
        <v>812</v>
      </c>
      <c r="T97" s="43"/>
      <c r="U97" s="4" t="s">
        <v>3699</v>
      </c>
    </row>
    <row r="98" spans="1:21" x14ac:dyDescent="0.3">
      <c r="A98" s="28" t="s">
        <v>2139</v>
      </c>
      <c r="B98" s="4" t="s">
        <v>30</v>
      </c>
      <c r="C98" s="4" t="s">
        <v>94</v>
      </c>
      <c r="D98" s="4">
        <v>5405</v>
      </c>
      <c r="E98" s="30">
        <v>372</v>
      </c>
      <c r="H98" s="4">
        <v>68178</v>
      </c>
      <c r="I98" s="4" t="s">
        <v>358</v>
      </c>
      <c r="J98" s="28" t="s">
        <v>2365</v>
      </c>
      <c r="K98" s="28" t="s">
        <v>3</v>
      </c>
      <c r="L98" s="32">
        <v>43070</v>
      </c>
      <c r="M98" s="32">
        <f>BCOXT[[#This Row],[INV DOC DATE]]+30</f>
        <v>43100</v>
      </c>
      <c r="N98" s="32">
        <v>43112</v>
      </c>
      <c r="O98" s="31"/>
      <c r="Q98" s="31">
        <f t="shared" si="1"/>
        <v>372</v>
      </c>
      <c r="R98" s="53" t="str">
        <f ca="1">IF(TODAY() - BCOXT[INV DUE DATE]&lt;30, "Less than 30 days",IF(TODAY()-BCOXT[INV DUE DATE]&lt;60,"30-60 days","More than 60 days"))</f>
        <v>More than 60 days</v>
      </c>
      <c r="S98" s="31" t="s">
        <v>812</v>
      </c>
      <c r="T98" s="43"/>
      <c r="U98" s="4" t="s">
        <v>3699</v>
      </c>
    </row>
    <row r="99" spans="1:21" x14ac:dyDescent="0.3">
      <c r="A99" s="28" t="s">
        <v>2139</v>
      </c>
      <c r="B99" s="4" t="s">
        <v>30</v>
      </c>
      <c r="C99" s="4" t="s">
        <v>95</v>
      </c>
      <c r="D99" s="4">
        <v>5405</v>
      </c>
      <c r="E99" s="30">
        <v>372</v>
      </c>
      <c r="H99" s="4">
        <v>68178</v>
      </c>
      <c r="I99" s="4" t="s">
        <v>358</v>
      </c>
      <c r="J99" s="28" t="s">
        <v>2366</v>
      </c>
      <c r="K99" s="28" t="s">
        <v>3</v>
      </c>
      <c r="L99" s="32">
        <v>43070</v>
      </c>
      <c r="M99" s="32">
        <f>BCOXT[[#This Row],[INV DOC DATE]]+30</f>
        <v>43100</v>
      </c>
      <c r="N99" s="32">
        <v>43112</v>
      </c>
      <c r="O99" s="31"/>
      <c r="Q99" s="31">
        <f t="shared" si="1"/>
        <v>372</v>
      </c>
      <c r="R99" s="53" t="str">
        <f ca="1">IF(TODAY() - BCOXT[INV DUE DATE]&lt;30, "Less than 30 days",IF(TODAY()-BCOXT[INV DUE DATE]&lt;60,"30-60 days","More than 60 days"))</f>
        <v>More than 60 days</v>
      </c>
      <c r="S99" s="31" t="s">
        <v>812</v>
      </c>
      <c r="T99" s="43"/>
      <c r="U99" s="4" t="s">
        <v>3699</v>
      </c>
    </row>
    <row r="100" spans="1:21" x14ac:dyDescent="0.3">
      <c r="A100" s="28" t="s">
        <v>2139</v>
      </c>
      <c r="B100" s="4" t="s">
        <v>30</v>
      </c>
      <c r="C100" s="4" t="s">
        <v>96</v>
      </c>
      <c r="D100" s="4">
        <v>5405</v>
      </c>
      <c r="E100" s="30">
        <v>372</v>
      </c>
      <c r="H100" s="4">
        <v>68178</v>
      </c>
      <c r="I100" s="4" t="s">
        <v>358</v>
      </c>
      <c r="J100" s="28" t="s">
        <v>2367</v>
      </c>
      <c r="K100" s="28" t="s">
        <v>3</v>
      </c>
      <c r="L100" s="32">
        <v>43070</v>
      </c>
      <c r="M100" s="32">
        <f>BCOXT[[#This Row],[INV DOC DATE]]+30</f>
        <v>43100</v>
      </c>
      <c r="N100" s="32">
        <v>43112</v>
      </c>
      <c r="O100" s="31"/>
      <c r="Q100" s="31">
        <f t="shared" si="1"/>
        <v>372</v>
      </c>
      <c r="R100" s="53" t="str">
        <f ca="1">IF(TODAY() - BCOXT[INV DUE DATE]&lt;30, "Less than 30 days",IF(TODAY()-BCOXT[INV DUE DATE]&lt;60,"30-60 days","More than 60 days"))</f>
        <v>More than 60 days</v>
      </c>
      <c r="S100" s="31" t="s">
        <v>812</v>
      </c>
      <c r="T100" s="43"/>
      <c r="U100" s="4" t="s">
        <v>3699</v>
      </c>
    </row>
    <row r="101" spans="1:21" x14ac:dyDescent="0.3">
      <c r="A101" s="28" t="s">
        <v>2139</v>
      </c>
      <c r="B101" s="4" t="s">
        <v>30</v>
      </c>
      <c r="C101" s="4" t="s">
        <v>97</v>
      </c>
      <c r="D101" s="4">
        <v>5405</v>
      </c>
      <c r="E101" s="30">
        <v>372</v>
      </c>
      <c r="H101" s="4">
        <v>68178</v>
      </c>
      <c r="I101" s="4" t="s">
        <v>358</v>
      </c>
      <c r="J101" s="28" t="s">
        <v>2368</v>
      </c>
      <c r="K101" s="28" t="s">
        <v>3</v>
      </c>
      <c r="L101" s="32">
        <v>43070</v>
      </c>
      <c r="M101" s="32">
        <f>BCOXT[[#This Row],[INV DOC DATE]]+30</f>
        <v>43100</v>
      </c>
      <c r="N101" s="32">
        <v>43112</v>
      </c>
      <c r="O101" s="31"/>
      <c r="Q101" s="31">
        <f t="shared" si="1"/>
        <v>372</v>
      </c>
      <c r="R101" s="53" t="str">
        <f ca="1">IF(TODAY() - BCOXT[INV DUE DATE]&lt;30, "Less than 30 days",IF(TODAY()-BCOXT[INV DUE DATE]&lt;60,"30-60 days","More than 60 days"))</f>
        <v>More than 60 days</v>
      </c>
      <c r="S101" s="31" t="s">
        <v>812</v>
      </c>
      <c r="T101" s="43"/>
      <c r="U101" s="4" t="s">
        <v>3699</v>
      </c>
    </row>
    <row r="102" spans="1:21" x14ac:dyDescent="0.3">
      <c r="A102" s="28" t="s">
        <v>2139</v>
      </c>
      <c r="B102" s="4" t="s">
        <v>30</v>
      </c>
      <c r="C102" s="4" t="s">
        <v>98</v>
      </c>
      <c r="D102" s="4">
        <v>5405</v>
      </c>
      <c r="E102" s="30">
        <v>248</v>
      </c>
      <c r="H102" s="4">
        <v>68178</v>
      </c>
      <c r="I102" s="4" t="s">
        <v>358</v>
      </c>
      <c r="J102" s="28" t="s">
        <v>2369</v>
      </c>
      <c r="K102" s="28" t="s">
        <v>3</v>
      </c>
      <c r="L102" s="32">
        <v>43070</v>
      </c>
      <c r="M102" s="32">
        <f>BCOXT[[#This Row],[INV DOC DATE]]+30</f>
        <v>43100</v>
      </c>
      <c r="N102" s="32">
        <v>43112</v>
      </c>
      <c r="O102" s="31"/>
      <c r="Q102" s="31">
        <f t="shared" si="1"/>
        <v>248</v>
      </c>
      <c r="R102" s="53" t="str">
        <f ca="1">IF(TODAY() - BCOXT[INV DUE DATE]&lt;30, "Less than 30 days",IF(TODAY()-BCOXT[INV DUE DATE]&lt;60,"30-60 days","More than 60 days"))</f>
        <v>More than 60 days</v>
      </c>
      <c r="S102" s="31" t="s">
        <v>812</v>
      </c>
      <c r="T102" s="43"/>
      <c r="U102" s="4" t="s">
        <v>3699</v>
      </c>
    </row>
    <row r="103" spans="1:21" x14ac:dyDescent="0.3">
      <c r="A103" s="28" t="s">
        <v>2139</v>
      </c>
      <c r="B103" s="4" t="s">
        <v>30</v>
      </c>
      <c r="C103" s="4" t="s">
        <v>99</v>
      </c>
      <c r="D103" s="4">
        <v>5405</v>
      </c>
      <c r="E103" s="30">
        <v>248</v>
      </c>
      <c r="H103" s="4">
        <v>68178</v>
      </c>
      <c r="I103" s="4" t="s">
        <v>358</v>
      </c>
      <c r="J103" s="28" t="s">
        <v>2370</v>
      </c>
      <c r="K103" s="28" t="s">
        <v>3</v>
      </c>
      <c r="L103" s="32">
        <v>43070</v>
      </c>
      <c r="M103" s="32">
        <f>BCOXT[[#This Row],[INV DOC DATE]]+30</f>
        <v>43100</v>
      </c>
      <c r="N103" s="32">
        <v>43112</v>
      </c>
      <c r="O103" s="31"/>
      <c r="Q103" s="31">
        <f t="shared" si="1"/>
        <v>248</v>
      </c>
      <c r="R103" s="53" t="str">
        <f ca="1">IF(TODAY() - BCOXT[INV DUE DATE]&lt;30, "Less than 30 days",IF(TODAY()-BCOXT[INV DUE DATE]&lt;60,"30-60 days","More than 60 days"))</f>
        <v>More than 60 days</v>
      </c>
      <c r="S103" s="31" t="s">
        <v>812</v>
      </c>
      <c r="T103" s="43"/>
      <c r="U103" s="4" t="s">
        <v>3699</v>
      </c>
    </row>
    <row r="104" spans="1:21" x14ac:dyDescent="0.3">
      <c r="A104" s="28" t="s">
        <v>2139</v>
      </c>
      <c r="B104" s="4" t="s">
        <v>30</v>
      </c>
      <c r="C104" s="4" t="s">
        <v>100</v>
      </c>
      <c r="D104" s="4">
        <v>5405</v>
      </c>
      <c r="E104" s="30">
        <v>248</v>
      </c>
      <c r="H104" s="4">
        <v>68178</v>
      </c>
      <c r="I104" s="4" t="s">
        <v>358</v>
      </c>
      <c r="J104" s="28" t="s">
        <v>2371</v>
      </c>
      <c r="K104" s="28" t="s">
        <v>3</v>
      </c>
      <c r="L104" s="32">
        <v>43070</v>
      </c>
      <c r="M104" s="32">
        <f>BCOXT[[#This Row],[INV DOC DATE]]+30</f>
        <v>43100</v>
      </c>
      <c r="N104" s="32">
        <v>43112</v>
      </c>
      <c r="O104" s="31"/>
      <c r="Q104" s="31">
        <f t="shared" si="1"/>
        <v>248</v>
      </c>
      <c r="R104" s="53" t="str">
        <f ca="1">IF(TODAY() - BCOXT[INV DUE DATE]&lt;30, "Less than 30 days",IF(TODAY()-BCOXT[INV DUE DATE]&lt;60,"30-60 days","More than 60 days"))</f>
        <v>More than 60 days</v>
      </c>
      <c r="S104" s="31" t="s">
        <v>812</v>
      </c>
      <c r="T104" s="43"/>
      <c r="U104" s="4" t="s">
        <v>3699</v>
      </c>
    </row>
    <row r="105" spans="1:21" x14ac:dyDescent="0.3">
      <c r="A105" s="28" t="s">
        <v>2139</v>
      </c>
      <c r="B105" s="4" t="s">
        <v>30</v>
      </c>
      <c r="C105" s="4" t="s">
        <v>101</v>
      </c>
      <c r="D105" s="4">
        <v>5405</v>
      </c>
      <c r="E105" s="30">
        <v>248</v>
      </c>
      <c r="H105" s="4">
        <v>68178</v>
      </c>
      <c r="I105" s="4" t="s">
        <v>358</v>
      </c>
      <c r="J105" s="28" t="s">
        <v>2372</v>
      </c>
      <c r="K105" s="28" t="s">
        <v>3</v>
      </c>
      <c r="L105" s="32">
        <v>43070</v>
      </c>
      <c r="M105" s="32">
        <f>BCOXT[[#This Row],[INV DOC DATE]]+30</f>
        <v>43100</v>
      </c>
      <c r="N105" s="32">
        <v>43112</v>
      </c>
      <c r="O105" s="31"/>
      <c r="Q105" s="31">
        <f t="shared" si="1"/>
        <v>248</v>
      </c>
      <c r="R105" s="53" t="str">
        <f ca="1">IF(TODAY() - BCOXT[INV DUE DATE]&lt;30, "Less than 30 days",IF(TODAY()-BCOXT[INV DUE DATE]&lt;60,"30-60 days","More than 60 days"))</f>
        <v>More than 60 days</v>
      </c>
      <c r="S105" s="31" t="s">
        <v>812</v>
      </c>
      <c r="T105" s="43"/>
      <c r="U105" s="4" t="s">
        <v>3699</v>
      </c>
    </row>
    <row r="106" spans="1:21" x14ac:dyDescent="0.3">
      <c r="A106" s="28" t="s">
        <v>2139</v>
      </c>
      <c r="B106" s="4" t="s">
        <v>30</v>
      </c>
      <c r="C106" s="4" t="s">
        <v>102</v>
      </c>
      <c r="D106" s="4">
        <v>5405</v>
      </c>
      <c r="E106" s="30">
        <v>248</v>
      </c>
      <c r="H106" s="4">
        <v>68178</v>
      </c>
      <c r="I106" s="4" t="s">
        <v>358</v>
      </c>
      <c r="J106" s="28" t="s">
        <v>2373</v>
      </c>
      <c r="K106" s="28" t="s">
        <v>3</v>
      </c>
      <c r="L106" s="32">
        <v>43070</v>
      </c>
      <c r="M106" s="32">
        <f>BCOXT[[#This Row],[INV DOC DATE]]+30</f>
        <v>43100</v>
      </c>
      <c r="N106" s="32">
        <v>43112</v>
      </c>
      <c r="O106" s="31"/>
      <c r="Q106" s="31">
        <f t="shared" si="1"/>
        <v>248</v>
      </c>
      <c r="R106" s="53" t="str">
        <f ca="1">IF(TODAY() - BCOXT[INV DUE DATE]&lt;30, "Less than 30 days",IF(TODAY()-BCOXT[INV DUE DATE]&lt;60,"30-60 days","More than 60 days"))</f>
        <v>More than 60 days</v>
      </c>
      <c r="S106" s="31" t="s">
        <v>812</v>
      </c>
      <c r="T106" s="43"/>
      <c r="U106" s="4" t="s">
        <v>3699</v>
      </c>
    </row>
    <row r="107" spans="1:21" x14ac:dyDescent="0.3">
      <c r="A107" s="28" t="s">
        <v>2139</v>
      </c>
      <c r="B107" s="4" t="s">
        <v>30</v>
      </c>
      <c r="C107" s="4" t="s">
        <v>103</v>
      </c>
      <c r="D107" s="4">
        <v>5405</v>
      </c>
      <c r="E107" s="30">
        <v>248</v>
      </c>
      <c r="H107" s="4">
        <v>68178</v>
      </c>
      <c r="I107" s="4" t="s">
        <v>358</v>
      </c>
      <c r="J107" s="28" t="s">
        <v>2374</v>
      </c>
      <c r="K107" s="28" t="s">
        <v>3</v>
      </c>
      <c r="L107" s="32">
        <v>43070</v>
      </c>
      <c r="M107" s="32">
        <f>BCOXT[[#This Row],[INV DOC DATE]]+30</f>
        <v>43100</v>
      </c>
      <c r="N107" s="32">
        <v>43112</v>
      </c>
      <c r="O107" s="31"/>
      <c r="Q107" s="31">
        <f t="shared" si="1"/>
        <v>248</v>
      </c>
      <c r="R107" s="53" t="str">
        <f ca="1">IF(TODAY() - BCOXT[INV DUE DATE]&lt;30, "Less than 30 days",IF(TODAY()-BCOXT[INV DUE DATE]&lt;60,"30-60 days","More than 60 days"))</f>
        <v>More than 60 days</v>
      </c>
      <c r="S107" s="31" t="s">
        <v>812</v>
      </c>
      <c r="T107" s="43"/>
      <c r="U107" s="4" t="s">
        <v>3699</v>
      </c>
    </row>
    <row r="108" spans="1:21" x14ac:dyDescent="0.3">
      <c r="A108" s="28" t="s">
        <v>2139</v>
      </c>
      <c r="B108" s="4" t="s">
        <v>30</v>
      </c>
      <c r="C108" s="4" t="s">
        <v>104</v>
      </c>
      <c r="D108" s="4">
        <v>5405</v>
      </c>
      <c r="E108" s="30">
        <v>248</v>
      </c>
      <c r="H108" s="4">
        <v>68178</v>
      </c>
      <c r="I108" s="4" t="s">
        <v>358</v>
      </c>
      <c r="J108" s="28" t="s">
        <v>2375</v>
      </c>
      <c r="K108" s="28" t="s">
        <v>3</v>
      </c>
      <c r="L108" s="32">
        <v>43070</v>
      </c>
      <c r="M108" s="32">
        <f>BCOXT[[#This Row],[INV DOC DATE]]+30</f>
        <v>43100</v>
      </c>
      <c r="N108" s="32">
        <v>43112</v>
      </c>
      <c r="O108" s="31"/>
      <c r="Q108" s="31">
        <f t="shared" si="1"/>
        <v>248</v>
      </c>
      <c r="R108" s="53" t="str">
        <f ca="1">IF(TODAY() - BCOXT[INV DUE DATE]&lt;30, "Less than 30 days",IF(TODAY()-BCOXT[INV DUE DATE]&lt;60,"30-60 days","More than 60 days"))</f>
        <v>More than 60 days</v>
      </c>
      <c r="S108" s="31" t="s">
        <v>812</v>
      </c>
      <c r="T108" s="43"/>
      <c r="U108" s="4" t="s">
        <v>3699</v>
      </c>
    </row>
    <row r="109" spans="1:21" x14ac:dyDescent="0.3">
      <c r="A109" s="28" t="s">
        <v>2139</v>
      </c>
      <c r="B109" s="4" t="s">
        <v>30</v>
      </c>
      <c r="C109" s="4" t="s">
        <v>105</v>
      </c>
      <c r="D109" s="4">
        <v>5405</v>
      </c>
      <c r="E109" s="30">
        <v>558</v>
      </c>
      <c r="H109" s="4">
        <v>172441</v>
      </c>
      <c r="I109" s="4" t="s">
        <v>358</v>
      </c>
      <c r="J109" s="28" t="s">
        <v>2376</v>
      </c>
      <c r="K109" s="28" t="s">
        <v>3</v>
      </c>
      <c r="L109" s="32">
        <v>43070</v>
      </c>
      <c r="M109" s="32">
        <f>BCOXT[[#This Row],[INV DOC DATE]]+30</f>
        <v>43100</v>
      </c>
      <c r="N109" s="32">
        <v>43112</v>
      </c>
      <c r="O109" s="31"/>
      <c r="Q109" s="31">
        <f t="shared" si="1"/>
        <v>558</v>
      </c>
      <c r="R109" s="53" t="str">
        <f ca="1">IF(TODAY() - BCOXT[INV DUE DATE]&lt;30, "Less than 30 days",IF(TODAY()-BCOXT[INV DUE DATE]&lt;60,"30-60 days","More than 60 days"))</f>
        <v>More than 60 days</v>
      </c>
      <c r="S109" s="31" t="s">
        <v>812</v>
      </c>
      <c r="T109" s="43"/>
      <c r="U109" s="4" t="s">
        <v>3699</v>
      </c>
    </row>
    <row r="110" spans="1:21" x14ac:dyDescent="0.3">
      <c r="A110" s="28" t="s">
        <v>2139</v>
      </c>
      <c r="B110" s="4" t="s">
        <v>30</v>
      </c>
      <c r="C110" s="4" t="s">
        <v>106</v>
      </c>
      <c r="D110" s="4">
        <v>5405</v>
      </c>
      <c r="E110" s="30">
        <v>248</v>
      </c>
      <c r="H110" s="4">
        <v>172441</v>
      </c>
      <c r="I110" s="4" t="s">
        <v>358</v>
      </c>
      <c r="J110" s="28" t="s">
        <v>2377</v>
      </c>
      <c r="K110" s="28" t="s">
        <v>3</v>
      </c>
      <c r="L110" s="32">
        <v>43070</v>
      </c>
      <c r="M110" s="32">
        <f>BCOXT[[#This Row],[INV DOC DATE]]+30</f>
        <v>43100</v>
      </c>
      <c r="N110" s="32">
        <v>43112</v>
      </c>
      <c r="O110" s="31"/>
      <c r="Q110" s="31">
        <f t="shared" si="1"/>
        <v>248</v>
      </c>
      <c r="R110" s="53" t="str">
        <f ca="1">IF(TODAY() - BCOXT[INV DUE DATE]&lt;30, "Less than 30 days",IF(TODAY()-BCOXT[INV DUE DATE]&lt;60,"30-60 days","More than 60 days"))</f>
        <v>More than 60 days</v>
      </c>
      <c r="S110" s="31" t="s">
        <v>812</v>
      </c>
      <c r="T110" s="43"/>
      <c r="U110" s="4" t="s">
        <v>3699</v>
      </c>
    </row>
    <row r="111" spans="1:21" x14ac:dyDescent="0.3">
      <c r="A111" s="28" t="s">
        <v>2139</v>
      </c>
      <c r="B111" s="4" t="s">
        <v>30</v>
      </c>
      <c r="C111" s="4" t="s">
        <v>107</v>
      </c>
      <c r="D111" s="4">
        <v>5405</v>
      </c>
      <c r="E111" s="30">
        <v>248</v>
      </c>
      <c r="H111" s="4">
        <v>172441</v>
      </c>
      <c r="I111" s="4" t="s">
        <v>358</v>
      </c>
      <c r="J111" s="28" t="s">
        <v>2050</v>
      </c>
      <c r="K111" s="28" t="s">
        <v>3</v>
      </c>
      <c r="L111" s="32">
        <v>43070</v>
      </c>
      <c r="M111" s="32">
        <f>BCOXT[[#This Row],[INV DOC DATE]]+30</f>
        <v>43100</v>
      </c>
      <c r="N111" s="32">
        <v>43112</v>
      </c>
      <c r="O111" s="31"/>
      <c r="Q111" s="31">
        <f t="shared" si="1"/>
        <v>248</v>
      </c>
      <c r="R111" s="53" t="str">
        <f ca="1">IF(TODAY() - BCOXT[INV DUE DATE]&lt;30, "Less than 30 days",IF(TODAY()-BCOXT[INV DUE DATE]&lt;60,"30-60 days","More than 60 days"))</f>
        <v>More than 60 days</v>
      </c>
      <c r="S111" s="31" t="s">
        <v>812</v>
      </c>
      <c r="T111" s="43"/>
      <c r="U111" s="4" t="s">
        <v>3699</v>
      </c>
    </row>
    <row r="112" spans="1:21" x14ac:dyDescent="0.3">
      <c r="A112" s="28" t="s">
        <v>2139</v>
      </c>
      <c r="B112" s="4" t="s">
        <v>30</v>
      </c>
      <c r="C112" s="4" t="s">
        <v>108</v>
      </c>
      <c r="D112" s="4">
        <v>5405</v>
      </c>
      <c r="E112" s="30">
        <v>248</v>
      </c>
      <c r="H112" s="4">
        <v>172441</v>
      </c>
      <c r="I112" s="4" t="s">
        <v>358</v>
      </c>
      <c r="J112" s="28" t="s">
        <v>2051</v>
      </c>
      <c r="K112" s="28" t="s">
        <v>3</v>
      </c>
      <c r="L112" s="32">
        <v>43070</v>
      </c>
      <c r="M112" s="32">
        <f>BCOXT[[#This Row],[INV DOC DATE]]+30</f>
        <v>43100</v>
      </c>
      <c r="N112" s="32">
        <v>43112</v>
      </c>
      <c r="O112" s="31"/>
      <c r="Q112" s="31">
        <f t="shared" si="1"/>
        <v>248</v>
      </c>
      <c r="R112" s="53" t="str">
        <f ca="1">IF(TODAY() - BCOXT[INV DUE DATE]&lt;30, "Less than 30 days",IF(TODAY()-BCOXT[INV DUE DATE]&lt;60,"30-60 days","More than 60 days"))</f>
        <v>More than 60 days</v>
      </c>
      <c r="S112" s="31" t="s">
        <v>812</v>
      </c>
      <c r="T112" s="43"/>
      <c r="U112" s="4" t="s">
        <v>3699</v>
      </c>
    </row>
    <row r="113" spans="1:21" x14ac:dyDescent="0.3">
      <c r="A113" s="28" t="s">
        <v>2139</v>
      </c>
      <c r="B113" s="4" t="s">
        <v>30</v>
      </c>
      <c r="C113" s="4" t="s">
        <v>109</v>
      </c>
      <c r="D113" s="4">
        <v>5405</v>
      </c>
      <c r="E113" s="30">
        <v>248</v>
      </c>
      <c r="H113" s="4">
        <v>172441</v>
      </c>
      <c r="I113" s="4" t="s">
        <v>358</v>
      </c>
      <c r="J113" s="28" t="s">
        <v>2052</v>
      </c>
      <c r="K113" s="28" t="s">
        <v>3</v>
      </c>
      <c r="L113" s="32">
        <v>43070</v>
      </c>
      <c r="M113" s="32">
        <f>BCOXT[[#This Row],[INV DOC DATE]]+30</f>
        <v>43100</v>
      </c>
      <c r="N113" s="32">
        <v>43112</v>
      </c>
      <c r="O113" s="31"/>
      <c r="Q113" s="31">
        <f t="shared" si="1"/>
        <v>248</v>
      </c>
      <c r="R113" s="53" t="str">
        <f ca="1">IF(TODAY() - BCOXT[INV DUE DATE]&lt;30, "Less than 30 days",IF(TODAY()-BCOXT[INV DUE DATE]&lt;60,"30-60 days","More than 60 days"))</f>
        <v>More than 60 days</v>
      </c>
      <c r="S113" s="31" t="s">
        <v>812</v>
      </c>
      <c r="T113" s="43"/>
      <c r="U113" s="4" t="s">
        <v>3699</v>
      </c>
    </row>
    <row r="114" spans="1:21" x14ac:dyDescent="0.3">
      <c r="A114" s="28" t="s">
        <v>2139</v>
      </c>
      <c r="B114" s="4" t="s">
        <v>30</v>
      </c>
      <c r="C114" s="4" t="s">
        <v>110</v>
      </c>
      <c r="D114" s="4">
        <v>5405</v>
      </c>
      <c r="E114" s="30">
        <v>248</v>
      </c>
      <c r="H114" s="4">
        <v>172441</v>
      </c>
      <c r="I114" s="4" t="s">
        <v>358</v>
      </c>
      <c r="J114" s="28" t="s">
        <v>2053</v>
      </c>
      <c r="K114" s="28" t="s">
        <v>3</v>
      </c>
      <c r="L114" s="32">
        <v>43070</v>
      </c>
      <c r="M114" s="32">
        <f>BCOXT[[#This Row],[INV DOC DATE]]+30</f>
        <v>43100</v>
      </c>
      <c r="N114" s="32">
        <v>43112</v>
      </c>
      <c r="O114" s="31"/>
      <c r="Q114" s="31">
        <f t="shared" si="1"/>
        <v>248</v>
      </c>
      <c r="R114" s="53" t="str">
        <f ca="1">IF(TODAY() - BCOXT[INV DUE DATE]&lt;30, "Less than 30 days",IF(TODAY()-BCOXT[INV DUE DATE]&lt;60,"30-60 days","More than 60 days"))</f>
        <v>More than 60 days</v>
      </c>
      <c r="S114" s="31" t="s">
        <v>812</v>
      </c>
      <c r="T114" s="43"/>
      <c r="U114" s="4" t="s">
        <v>3699</v>
      </c>
    </row>
    <row r="115" spans="1:21" x14ac:dyDescent="0.3">
      <c r="A115" s="28" t="s">
        <v>2139</v>
      </c>
      <c r="B115" s="4" t="s">
        <v>30</v>
      </c>
      <c r="C115" s="4" t="s">
        <v>111</v>
      </c>
      <c r="D115" s="4">
        <v>5405</v>
      </c>
      <c r="E115" s="30">
        <v>263.5</v>
      </c>
      <c r="H115" s="4">
        <v>172441</v>
      </c>
      <c r="I115" s="4" t="s">
        <v>358</v>
      </c>
      <c r="J115" s="28" t="s">
        <v>2378</v>
      </c>
      <c r="K115" s="28" t="s">
        <v>3</v>
      </c>
      <c r="L115" s="32">
        <v>43070</v>
      </c>
      <c r="M115" s="32">
        <f>BCOXT[[#This Row],[INV DOC DATE]]+30</f>
        <v>43100</v>
      </c>
      <c r="N115" s="32">
        <v>43112</v>
      </c>
      <c r="O115" s="31"/>
      <c r="Q115" s="31">
        <f t="shared" si="1"/>
        <v>263.5</v>
      </c>
      <c r="R115" s="53" t="str">
        <f ca="1">IF(TODAY() - BCOXT[INV DUE DATE]&lt;30, "Less than 30 days",IF(TODAY()-BCOXT[INV DUE DATE]&lt;60,"30-60 days","More than 60 days"))</f>
        <v>More than 60 days</v>
      </c>
      <c r="S115" s="31" t="s">
        <v>812</v>
      </c>
      <c r="T115" s="43"/>
      <c r="U115" s="4" t="s">
        <v>3699</v>
      </c>
    </row>
    <row r="116" spans="1:21" x14ac:dyDescent="0.3">
      <c r="A116" s="28" t="s">
        <v>2139</v>
      </c>
      <c r="B116" s="4" t="s">
        <v>30</v>
      </c>
      <c r="C116" s="4" t="s">
        <v>112</v>
      </c>
      <c r="D116" s="4">
        <v>5405</v>
      </c>
      <c r="E116" s="30">
        <v>263.5</v>
      </c>
      <c r="H116" s="4">
        <v>172441</v>
      </c>
      <c r="I116" s="4" t="s">
        <v>358</v>
      </c>
      <c r="J116" s="28" t="s">
        <v>2379</v>
      </c>
      <c r="K116" s="28" t="s">
        <v>3</v>
      </c>
      <c r="L116" s="32">
        <v>43070</v>
      </c>
      <c r="M116" s="32">
        <f>BCOXT[[#This Row],[INV DOC DATE]]+30</f>
        <v>43100</v>
      </c>
      <c r="N116" s="32">
        <v>43112</v>
      </c>
      <c r="O116" s="31"/>
      <c r="Q116" s="31">
        <f t="shared" si="1"/>
        <v>263.5</v>
      </c>
      <c r="R116" s="53" t="str">
        <f ca="1">IF(TODAY() - BCOXT[INV DUE DATE]&lt;30, "Less than 30 days",IF(TODAY()-BCOXT[INV DUE DATE]&lt;60,"30-60 days","More than 60 days"))</f>
        <v>More than 60 days</v>
      </c>
      <c r="S116" s="31" t="s">
        <v>812</v>
      </c>
      <c r="T116" s="43"/>
      <c r="U116" s="4" t="s">
        <v>3699</v>
      </c>
    </row>
    <row r="117" spans="1:21" x14ac:dyDescent="0.3">
      <c r="A117" s="28" t="s">
        <v>2139</v>
      </c>
      <c r="B117" s="4" t="s">
        <v>30</v>
      </c>
      <c r="C117" s="4" t="s">
        <v>113</v>
      </c>
      <c r="D117" s="4">
        <v>5405</v>
      </c>
      <c r="E117" s="30">
        <v>263.5</v>
      </c>
      <c r="H117" s="4">
        <v>172441</v>
      </c>
      <c r="I117" s="4" t="s">
        <v>358</v>
      </c>
      <c r="J117" s="28" t="s">
        <v>2380</v>
      </c>
      <c r="K117" s="28" t="s">
        <v>3</v>
      </c>
      <c r="L117" s="32">
        <v>43070</v>
      </c>
      <c r="M117" s="32">
        <f>BCOXT[[#This Row],[INV DOC DATE]]+30</f>
        <v>43100</v>
      </c>
      <c r="N117" s="32">
        <v>43112</v>
      </c>
      <c r="O117" s="31"/>
      <c r="Q117" s="31">
        <f t="shared" si="1"/>
        <v>263.5</v>
      </c>
      <c r="R117" s="53" t="str">
        <f ca="1">IF(TODAY() - BCOXT[INV DUE DATE]&lt;30, "Less than 30 days",IF(TODAY()-BCOXT[INV DUE DATE]&lt;60,"30-60 days","More than 60 days"))</f>
        <v>More than 60 days</v>
      </c>
      <c r="S117" s="31" t="s">
        <v>812</v>
      </c>
      <c r="T117" s="43"/>
      <c r="U117" s="4" t="s">
        <v>3699</v>
      </c>
    </row>
    <row r="118" spans="1:21" x14ac:dyDescent="0.3">
      <c r="A118" s="28" t="s">
        <v>2139</v>
      </c>
      <c r="B118" s="4" t="s">
        <v>30</v>
      </c>
      <c r="C118" s="4" t="s">
        <v>114</v>
      </c>
      <c r="D118" s="4">
        <v>5405</v>
      </c>
      <c r="E118" s="30">
        <v>263.5</v>
      </c>
      <c r="H118" s="4">
        <v>172441</v>
      </c>
      <c r="I118" s="4" t="s">
        <v>358</v>
      </c>
      <c r="J118" s="28" t="s">
        <v>2381</v>
      </c>
      <c r="K118" s="28" t="s">
        <v>3</v>
      </c>
      <c r="L118" s="32">
        <v>43070</v>
      </c>
      <c r="M118" s="32">
        <f>BCOXT[[#This Row],[INV DOC DATE]]+30</f>
        <v>43100</v>
      </c>
      <c r="N118" s="32">
        <v>43112</v>
      </c>
      <c r="O118" s="31"/>
      <c r="Q118" s="31">
        <f t="shared" si="1"/>
        <v>263.5</v>
      </c>
      <c r="R118" s="53" t="str">
        <f ca="1">IF(TODAY() - BCOXT[INV DUE DATE]&lt;30, "Less than 30 days",IF(TODAY()-BCOXT[INV DUE DATE]&lt;60,"30-60 days","More than 60 days"))</f>
        <v>More than 60 days</v>
      </c>
      <c r="S118" s="31" t="s">
        <v>812</v>
      </c>
      <c r="T118" s="43"/>
      <c r="U118" s="4" t="s">
        <v>3699</v>
      </c>
    </row>
    <row r="119" spans="1:21" x14ac:dyDescent="0.3">
      <c r="A119" s="28" t="s">
        <v>2139</v>
      </c>
      <c r="B119" s="4" t="s">
        <v>30</v>
      </c>
      <c r="C119" s="4" t="s">
        <v>115</v>
      </c>
      <c r="D119" s="4">
        <v>5405</v>
      </c>
      <c r="E119" s="30">
        <v>263.5</v>
      </c>
      <c r="H119" s="4">
        <v>172441</v>
      </c>
      <c r="I119" s="4" t="s">
        <v>358</v>
      </c>
      <c r="J119" s="28" t="s">
        <v>2382</v>
      </c>
      <c r="K119" s="28" t="s">
        <v>3</v>
      </c>
      <c r="L119" s="32">
        <v>43070</v>
      </c>
      <c r="M119" s="32">
        <f>BCOXT[[#This Row],[INV DOC DATE]]+30</f>
        <v>43100</v>
      </c>
      <c r="N119" s="32">
        <v>43112</v>
      </c>
      <c r="O119" s="31"/>
      <c r="Q119" s="31">
        <f t="shared" si="1"/>
        <v>263.5</v>
      </c>
      <c r="R119" s="53" t="str">
        <f ca="1">IF(TODAY() - BCOXT[INV DUE DATE]&lt;30, "Less than 30 days",IF(TODAY()-BCOXT[INV DUE DATE]&lt;60,"30-60 days","More than 60 days"))</f>
        <v>More than 60 days</v>
      </c>
      <c r="S119" s="31" t="s">
        <v>812</v>
      </c>
      <c r="T119" s="43"/>
      <c r="U119" s="4" t="s">
        <v>3699</v>
      </c>
    </row>
    <row r="120" spans="1:21" x14ac:dyDescent="0.3">
      <c r="A120" s="28" t="s">
        <v>2139</v>
      </c>
      <c r="B120" s="4" t="s">
        <v>30</v>
      </c>
      <c r="C120" s="4" t="s">
        <v>116</v>
      </c>
      <c r="D120" s="4">
        <v>5405</v>
      </c>
      <c r="E120" s="30">
        <v>263.5</v>
      </c>
      <c r="H120" s="4">
        <v>172441</v>
      </c>
      <c r="I120" s="4" t="s">
        <v>358</v>
      </c>
      <c r="J120" s="28" t="s">
        <v>2383</v>
      </c>
      <c r="K120" s="28" t="s">
        <v>3</v>
      </c>
      <c r="L120" s="32">
        <v>43070</v>
      </c>
      <c r="M120" s="32">
        <f>BCOXT[[#This Row],[INV DOC DATE]]+30</f>
        <v>43100</v>
      </c>
      <c r="N120" s="32">
        <v>43112</v>
      </c>
      <c r="O120" s="31"/>
      <c r="Q120" s="31">
        <f t="shared" si="1"/>
        <v>263.5</v>
      </c>
      <c r="R120" s="53" t="str">
        <f ca="1">IF(TODAY() - BCOXT[INV DUE DATE]&lt;30, "Less than 30 days",IF(TODAY()-BCOXT[INV DUE DATE]&lt;60,"30-60 days","More than 60 days"))</f>
        <v>More than 60 days</v>
      </c>
      <c r="S120" s="31" t="s">
        <v>812</v>
      </c>
      <c r="T120" s="43"/>
      <c r="U120" s="4" t="s">
        <v>3699</v>
      </c>
    </row>
    <row r="121" spans="1:21" x14ac:dyDescent="0.3">
      <c r="A121" s="28" t="s">
        <v>2139</v>
      </c>
      <c r="B121" s="4" t="s">
        <v>30</v>
      </c>
      <c r="C121" s="4" t="s">
        <v>117</v>
      </c>
      <c r="D121" s="4">
        <v>5405</v>
      </c>
      <c r="E121" s="30">
        <v>248</v>
      </c>
      <c r="H121" s="4">
        <v>172441</v>
      </c>
      <c r="I121" s="4" t="s">
        <v>358</v>
      </c>
      <c r="J121" s="28" t="s">
        <v>2384</v>
      </c>
      <c r="K121" s="28" t="s">
        <v>3</v>
      </c>
      <c r="L121" s="32">
        <v>43070</v>
      </c>
      <c r="M121" s="32">
        <f>BCOXT[[#This Row],[INV DOC DATE]]+30</f>
        <v>43100</v>
      </c>
      <c r="N121" s="32">
        <v>43112</v>
      </c>
      <c r="O121" s="31"/>
      <c r="Q121" s="31">
        <f t="shared" si="1"/>
        <v>248</v>
      </c>
      <c r="R121" s="53" t="str">
        <f ca="1">IF(TODAY() - BCOXT[INV DUE DATE]&lt;30, "Less than 30 days",IF(TODAY()-BCOXT[INV DUE DATE]&lt;60,"30-60 days","More than 60 days"))</f>
        <v>More than 60 days</v>
      </c>
      <c r="S121" s="31" t="s">
        <v>812</v>
      </c>
      <c r="T121" s="43"/>
      <c r="U121" s="4" t="s">
        <v>3699</v>
      </c>
    </row>
    <row r="122" spans="1:21" x14ac:dyDescent="0.3">
      <c r="A122" s="28" t="s">
        <v>2139</v>
      </c>
      <c r="B122" s="4" t="s">
        <v>30</v>
      </c>
      <c r="C122" s="4" t="s">
        <v>118</v>
      </c>
      <c r="D122" s="4">
        <v>5405</v>
      </c>
      <c r="E122" s="30">
        <v>248</v>
      </c>
      <c r="H122" s="4">
        <v>172441</v>
      </c>
      <c r="I122" s="4" t="s">
        <v>358</v>
      </c>
      <c r="J122" s="28" t="s">
        <v>2385</v>
      </c>
      <c r="K122" s="28" t="s">
        <v>3</v>
      </c>
      <c r="L122" s="32">
        <v>43070</v>
      </c>
      <c r="M122" s="32">
        <f>BCOXT[[#This Row],[INV DOC DATE]]+30</f>
        <v>43100</v>
      </c>
      <c r="N122" s="32">
        <v>43112</v>
      </c>
      <c r="O122" s="31"/>
      <c r="Q122" s="31">
        <f t="shared" si="1"/>
        <v>248</v>
      </c>
      <c r="R122" s="53" t="str">
        <f ca="1">IF(TODAY() - BCOXT[INV DUE DATE]&lt;30, "Less than 30 days",IF(TODAY()-BCOXT[INV DUE DATE]&lt;60,"30-60 days","More than 60 days"))</f>
        <v>More than 60 days</v>
      </c>
      <c r="S122" s="31" t="s">
        <v>812</v>
      </c>
      <c r="T122" s="43"/>
      <c r="U122" s="4" t="s">
        <v>3699</v>
      </c>
    </row>
    <row r="123" spans="1:21" x14ac:dyDescent="0.3">
      <c r="A123" s="28" t="s">
        <v>2139</v>
      </c>
      <c r="B123" s="4" t="s">
        <v>30</v>
      </c>
      <c r="C123" s="4" t="s">
        <v>119</v>
      </c>
      <c r="D123" s="4">
        <v>5405</v>
      </c>
      <c r="E123" s="30">
        <v>248</v>
      </c>
      <c r="H123" s="4">
        <v>172441</v>
      </c>
      <c r="I123" s="4" t="s">
        <v>358</v>
      </c>
      <c r="J123" s="28" t="s">
        <v>2386</v>
      </c>
      <c r="K123" s="28" t="s">
        <v>3</v>
      </c>
      <c r="L123" s="32">
        <v>43070</v>
      </c>
      <c r="M123" s="32">
        <f>BCOXT[[#This Row],[INV DOC DATE]]+30</f>
        <v>43100</v>
      </c>
      <c r="N123" s="32">
        <v>43112</v>
      </c>
      <c r="O123" s="31"/>
      <c r="Q123" s="31">
        <f t="shared" si="1"/>
        <v>248</v>
      </c>
      <c r="R123" s="53" t="str">
        <f ca="1">IF(TODAY() - BCOXT[INV DUE DATE]&lt;30, "Less than 30 days",IF(TODAY()-BCOXT[INV DUE DATE]&lt;60,"30-60 days","More than 60 days"))</f>
        <v>More than 60 days</v>
      </c>
      <c r="S123" s="31" t="s">
        <v>812</v>
      </c>
      <c r="T123" s="43"/>
      <c r="U123" s="4" t="s">
        <v>3699</v>
      </c>
    </row>
    <row r="124" spans="1:21" x14ac:dyDescent="0.3">
      <c r="A124" s="28" t="s">
        <v>2139</v>
      </c>
      <c r="B124" s="4" t="s">
        <v>30</v>
      </c>
      <c r="C124" s="4" t="s">
        <v>120</v>
      </c>
      <c r="D124" s="4">
        <v>5405</v>
      </c>
      <c r="E124" s="30">
        <v>248</v>
      </c>
      <c r="H124" s="4">
        <v>172441</v>
      </c>
      <c r="I124" s="4" t="s">
        <v>358</v>
      </c>
      <c r="J124" s="28" t="s">
        <v>2387</v>
      </c>
      <c r="K124" s="28" t="s">
        <v>3</v>
      </c>
      <c r="L124" s="32">
        <v>43070</v>
      </c>
      <c r="M124" s="32">
        <f>BCOXT[[#This Row],[INV DOC DATE]]+30</f>
        <v>43100</v>
      </c>
      <c r="N124" s="32">
        <v>43112</v>
      </c>
      <c r="O124" s="31"/>
      <c r="Q124" s="31">
        <f t="shared" si="1"/>
        <v>248</v>
      </c>
      <c r="R124" s="53" t="str">
        <f ca="1">IF(TODAY() - BCOXT[INV DUE DATE]&lt;30, "Less than 30 days",IF(TODAY()-BCOXT[INV DUE DATE]&lt;60,"30-60 days","More than 60 days"))</f>
        <v>More than 60 days</v>
      </c>
      <c r="S124" s="31" t="s">
        <v>812</v>
      </c>
      <c r="T124" s="43"/>
      <c r="U124" s="4" t="s">
        <v>3699</v>
      </c>
    </row>
    <row r="125" spans="1:21" x14ac:dyDescent="0.3">
      <c r="A125" s="28" t="s">
        <v>2139</v>
      </c>
      <c r="B125" s="4" t="s">
        <v>30</v>
      </c>
      <c r="C125" s="4" t="s">
        <v>121</v>
      </c>
      <c r="D125" s="4">
        <v>5405</v>
      </c>
      <c r="E125" s="30">
        <v>248</v>
      </c>
      <c r="H125" s="4">
        <v>172441</v>
      </c>
      <c r="I125" s="4" t="s">
        <v>358</v>
      </c>
      <c r="J125" s="28" t="s">
        <v>2388</v>
      </c>
      <c r="K125" s="28" t="s">
        <v>3</v>
      </c>
      <c r="L125" s="32">
        <v>43070</v>
      </c>
      <c r="M125" s="32">
        <f>BCOXT[[#This Row],[INV DOC DATE]]+30</f>
        <v>43100</v>
      </c>
      <c r="N125" s="32">
        <v>43112</v>
      </c>
      <c r="O125" s="31"/>
      <c r="Q125" s="31">
        <f t="shared" si="1"/>
        <v>248</v>
      </c>
      <c r="R125" s="53" t="str">
        <f ca="1">IF(TODAY() - BCOXT[INV DUE DATE]&lt;30, "Less than 30 days",IF(TODAY()-BCOXT[INV DUE DATE]&lt;60,"30-60 days","More than 60 days"))</f>
        <v>More than 60 days</v>
      </c>
      <c r="S125" s="31" t="s">
        <v>812</v>
      </c>
      <c r="T125" s="43"/>
      <c r="U125" s="4" t="s">
        <v>3699</v>
      </c>
    </row>
    <row r="126" spans="1:21" x14ac:dyDescent="0.3">
      <c r="A126" s="28" t="s">
        <v>2139</v>
      </c>
      <c r="B126" s="4" t="s">
        <v>30</v>
      </c>
      <c r="C126" s="4" t="s">
        <v>122</v>
      </c>
      <c r="D126" s="4">
        <v>5405</v>
      </c>
      <c r="E126" s="30">
        <v>248</v>
      </c>
      <c r="H126" s="4">
        <v>172441</v>
      </c>
      <c r="I126" s="4" t="s">
        <v>358</v>
      </c>
      <c r="J126" s="28" t="s">
        <v>2389</v>
      </c>
      <c r="K126" s="28" t="s">
        <v>3</v>
      </c>
      <c r="L126" s="32">
        <v>43070</v>
      </c>
      <c r="M126" s="32">
        <f>BCOXT[[#This Row],[INV DOC DATE]]+30</f>
        <v>43100</v>
      </c>
      <c r="N126" s="32">
        <v>43112</v>
      </c>
      <c r="O126" s="31"/>
      <c r="Q126" s="31">
        <f t="shared" si="1"/>
        <v>248</v>
      </c>
      <c r="R126" s="53" t="str">
        <f ca="1">IF(TODAY() - BCOXT[INV DUE DATE]&lt;30, "Less than 30 days",IF(TODAY()-BCOXT[INV DUE DATE]&lt;60,"30-60 days","More than 60 days"))</f>
        <v>More than 60 days</v>
      </c>
      <c r="S126" s="31" t="s">
        <v>812</v>
      </c>
      <c r="T126" s="43"/>
      <c r="U126" s="4" t="s">
        <v>3699</v>
      </c>
    </row>
    <row r="127" spans="1:21" x14ac:dyDescent="0.3">
      <c r="A127" s="28" t="s">
        <v>2139</v>
      </c>
      <c r="B127" s="4" t="s">
        <v>30</v>
      </c>
      <c r="C127" s="4" t="s">
        <v>123</v>
      </c>
      <c r="D127" s="4">
        <v>5405</v>
      </c>
      <c r="E127" s="30">
        <v>248</v>
      </c>
      <c r="H127" s="4">
        <v>172441</v>
      </c>
      <c r="I127" s="4" t="s">
        <v>358</v>
      </c>
      <c r="J127" s="28" t="s">
        <v>2390</v>
      </c>
      <c r="K127" s="28" t="s">
        <v>3</v>
      </c>
      <c r="L127" s="32">
        <v>43070</v>
      </c>
      <c r="M127" s="32">
        <f>BCOXT[[#This Row],[INV DOC DATE]]+30</f>
        <v>43100</v>
      </c>
      <c r="N127" s="32">
        <v>43112</v>
      </c>
      <c r="O127" s="31"/>
      <c r="Q127" s="31">
        <f t="shared" si="1"/>
        <v>248</v>
      </c>
      <c r="R127" s="53" t="str">
        <f ca="1">IF(TODAY() - BCOXT[INV DUE DATE]&lt;30, "Less than 30 days",IF(TODAY()-BCOXT[INV DUE DATE]&lt;60,"30-60 days","More than 60 days"))</f>
        <v>More than 60 days</v>
      </c>
      <c r="S127" s="31" t="s">
        <v>812</v>
      </c>
      <c r="T127" s="43"/>
      <c r="U127" s="4" t="s">
        <v>3699</v>
      </c>
    </row>
    <row r="128" spans="1:21" x14ac:dyDescent="0.3">
      <c r="A128" s="28" t="s">
        <v>2139</v>
      </c>
      <c r="B128" s="4" t="s">
        <v>30</v>
      </c>
      <c r="C128" s="4" t="s">
        <v>124</v>
      </c>
      <c r="D128" s="4">
        <v>5405</v>
      </c>
      <c r="E128" s="30">
        <v>248</v>
      </c>
      <c r="H128" s="4">
        <v>172441</v>
      </c>
      <c r="I128" s="4" t="s">
        <v>358</v>
      </c>
      <c r="J128" s="28" t="s">
        <v>2391</v>
      </c>
      <c r="K128" s="28" t="s">
        <v>3</v>
      </c>
      <c r="L128" s="32">
        <v>43070</v>
      </c>
      <c r="M128" s="32">
        <f>BCOXT[[#This Row],[INV DOC DATE]]+30</f>
        <v>43100</v>
      </c>
      <c r="N128" s="32">
        <v>43112</v>
      </c>
      <c r="O128" s="31"/>
      <c r="Q128" s="31">
        <f t="shared" si="1"/>
        <v>248</v>
      </c>
      <c r="R128" s="53" t="str">
        <f ca="1">IF(TODAY() - BCOXT[INV DUE DATE]&lt;30, "Less than 30 days",IF(TODAY()-BCOXT[INV DUE DATE]&lt;60,"30-60 days","More than 60 days"))</f>
        <v>More than 60 days</v>
      </c>
      <c r="S128" s="31" t="s">
        <v>812</v>
      </c>
      <c r="T128" s="43"/>
      <c r="U128" s="4" t="s">
        <v>3699</v>
      </c>
    </row>
    <row r="129" spans="1:21" x14ac:dyDescent="0.3">
      <c r="A129" s="28" t="s">
        <v>2139</v>
      </c>
      <c r="B129" s="4" t="s">
        <v>30</v>
      </c>
      <c r="C129" s="4" t="s">
        <v>125</v>
      </c>
      <c r="D129" s="4">
        <v>5405</v>
      </c>
      <c r="E129" s="30">
        <v>248</v>
      </c>
      <c r="H129" s="4">
        <v>172441</v>
      </c>
      <c r="I129" s="4" t="s">
        <v>358</v>
      </c>
      <c r="J129" s="28" t="s">
        <v>2392</v>
      </c>
      <c r="K129" s="28" t="s">
        <v>3</v>
      </c>
      <c r="L129" s="32">
        <v>43070</v>
      </c>
      <c r="M129" s="32">
        <f>BCOXT[[#This Row],[INV DOC DATE]]+30</f>
        <v>43100</v>
      </c>
      <c r="N129" s="32">
        <v>43112</v>
      </c>
      <c r="O129" s="31"/>
      <c r="Q129" s="31">
        <f t="shared" si="1"/>
        <v>248</v>
      </c>
      <c r="R129" s="53" t="str">
        <f ca="1">IF(TODAY() - BCOXT[INV DUE DATE]&lt;30, "Less than 30 days",IF(TODAY()-BCOXT[INV DUE DATE]&lt;60,"30-60 days","More than 60 days"))</f>
        <v>More than 60 days</v>
      </c>
      <c r="S129" s="31" t="s">
        <v>812</v>
      </c>
      <c r="T129" s="43"/>
      <c r="U129" s="4" t="s">
        <v>3699</v>
      </c>
    </row>
    <row r="130" spans="1:21" x14ac:dyDescent="0.3">
      <c r="A130" s="28" t="s">
        <v>2139</v>
      </c>
      <c r="B130" s="4" t="s">
        <v>30</v>
      </c>
      <c r="C130" s="4" t="s">
        <v>126</v>
      </c>
      <c r="D130" s="4">
        <v>5405</v>
      </c>
      <c r="E130" s="30">
        <v>248</v>
      </c>
      <c r="H130" s="4">
        <v>172441</v>
      </c>
      <c r="I130" s="4" t="s">
        <v>358</v>
      </c>
      <c r="J130" s="28" t="s">
        <v>2393</v>
      </c>
      <c r="K130" s="28" t="s">
        <v>3</v>
      </c>
      <c r="L130" s="32">
        <v>43070</v>
      </c>
      <c r="M130" s="32">
        <f>BCOXT[[#This Row],[INV DOC DATE]]+30</f>
        <v>43100</v>
      </c>
      <c r="N130" s="32">
        <v>43112</v>
      </c>
      <c r="O130" s="31"/>
      <c r="Q130" s="31">
        <f t="shared" ref="Q130:Q193" si="2">$E130-$O130</f>
        <v>248</v>
      </c>
      <c r="R130" s="53" t="str">
        <f ca="1">IF(TODAY() - BCOXT[INV DUE DATE]&lt;30, "Less than 30 days",IF(TODAY()-BCOXT[INV DUE DATE]&lt;60,"30-60 days","More than 60 days"))</f>
        <v>More than 60 days</v>
      </c>
      <c r="S130" s="31" t="s">
        <v>812</v>
      </c>
      <c r="T130" s="43"/>
      <c r="U130" s="4" t="s">
        <v>3699</v>
      </c>
    </row>
    <row r="131" spans="1:21" x14ac:dyDescent="0.3">
      <c r="A131" s="28" t="s">
        <v>2139</v>
      </c>
      <c r="B131" s="4" t="s">
        <v>30</v>
      </c>
      <c r="C131" s="4" t="s">
        <v>127</v>
      </c>
      <c r="D131" s="4">
        <v>5405</v>
      </c>
      <c r="E131" s="30">
        <v>248</v>
      </c>
      <c r="H131" s="4">
        <v>172441</v>
      </c>
      <c r="I131" s="4" t="s">
        <v>358</v>
      </c>
      <c r="J131" s="28" t="s">
        <v>2394</v>
      </c>
      <c r="K131" s="28" t="s">
        <v>3</v>
      </c>
      <c r="L131" s="32">
        <v>43070</v>
      </c>
      <c r="M131" s="32">
        <f>BCOXT[[#This Row],[INV DOC DATE]]+30</f>
        <v>43100</v>
      </c>
      <c r="N131" s="32">
        <v>43112</v>
      </c>
      <c r="O131" s="31"/>
      <c r="Q131" s="31">
        <f t="shared" si="2"/>
        <v>248</v>
      </c>
      <c r="R131" s="53" t="str">
        <f ca="1">IF(TODAY() - BCOXT[INV DUE DATE]&lt;30, "Less than 30 days",IF(TODAY()-BCOXT[INV DUE DATE]&lt;60,"30-60 days","More than 60 days"))</f>
        <v>More than 60 days</v>
      </c>
      <c r="S131" s="31" t="s">
        <v>812</v>
      </c>
      <c r="T131" s="43"/>
      <c r="U131" s="4" t="s">
        <v>3699</v>
      </c>
    </row>
    <row r="132" spans="1:21" x14ac:dyDescent="0.3">
      <c r="A132" s="28" t="s">
        <v>2139</v>
      </c>
      <c r="B132" s="4" t="s">
        <v>30</v>
      </c>
      <c r="C132" s="4" t="s">
        <v>128</v>
      </c>
      <c r="D132" s="4">
        <v>5405</v>
      </c>
      <c r="E132" s="30">
        <v>248</v>
      </c>
      <c r="H132" s="4">
        <v>82624</v>
      </c>
      <c r="I132" s="4" t="s">
        <v>853</v>
      </c>
      <c r="J132" s="28" t="s">
        <v>2049</v>
      </c>
      <c r="K132" s="28" t="s">
        <v>3</v>
      </c>
      <c r="L132" s="32">
        <v>43070</v>
      </c>
      <c r="M132" s="32">
        <f>BCOXT[[#This Row],[INV DOC DATE]]+30</f>
        <v>43100</v>
      </c>
      <c r="N132" s="32">
        <v>43112</v>
      </c>
      <c r="O132" s="31"/>
      <c r="Q132" s="31">
        <f t="shared" si="2"/>
        <v>248</v>
      </c>
      <c r="R132" s="53" t="str">
        <f ca="1">IF(TODAY() - BCOXT[INV DUE DATE]&lt;30, "Less than 30 days",IF(TODAY()-BCOXT[INV DUE DATE]&lt;60,"30-60 days","More than 60 days"))</f>
        <v>More than 60 days</v>
      </c>
      <c r="S132" s="31" t="s">
        <v>812</v>
      </c>
      <c r="T132" s="43"/>
      <c r="U132" s="4" t="s">
        <v>3699</v>
      </c>
    </row>
    <row r="133" spans="1:21" x14ac:dyDescent="0.3">
      <c r="A133" s="28" t="s">
        <v>2139</v>
      </c>
      <c r="B133" s="4" t="s">
        <v>30</v>
      </c>
      <c r="C133" s="4" t="s">
        <v>129</v>
      </c>
      <c r="D133" s="4">
        <v>5405</v>
      </c>
      <c r="E133" s="30">
        <v>248</v>
      </c>
      <c r="H133" s="4">
        <v>68144</v>
      </c>
      <c r="I133" s="4" t="s">
        <v>2395</v>
      </c>
      <c r="J133" s="28" t="s">
        <v>2396</v>
      </c>
      <c r="K133" s="28" t="s">
        <v>3</v>
      </c>
      <c r="L133" s="32">
        <v>43070</v>
      </c>
      <c r="M133" s="32">
        <f>BCOXT[[#This Row],[INV DOC DATE]]+30</f>
        <v>43100</v>
      </c>
      <c r="N133" s="32">
        <v>43112</v>
      </c>
      <c r="O133" s="31"/>
      <c r="Q133" s="31">
        <f t="shared" si="2"/>
        <v>248</v>
      </c>
      <c r="R133" s="53" t="str">
        <f ca="1">IF(TODAY() - BCOXT[INV DUE DATE]&lt;30, "Less than 30 days",IF(TODAY()-BCOXT[INV DUE DATE]&lt;60,"30-60 days","More than 60 days"))</f>
        <v>More than 60 days</v>
      </c>
      <c r="S133" s="31" t="s">
        <v>812</v>
      </c>
      <c r="T133" s="43"/>
      <c r="U133" s="4" t="s">
        <v>3699</v>
      </c>
    </row>
    <row r="134" spans="1:21" x14ac:dyDescent="0.3">
      <c r="A134" s="28" t="s">
        <v>2139</v>
      </c>
      <c r="B134" s="4" t="s">
        <v>30</v>
      </c>
      <c r="C134" s="4" t="s">
        <v>130</v>
      </c>
      <c r="D134" s="4">
        <v>5405</v>
      </c>
      <c r="E134" s="30">
        <v>248</v>
      </c>
      <c r="H134" s="4">
        <v>68148</v>
      </c>
      <c r="I134" s="4" t="s">
        <v>2395</v>
      </c>
      <c r="J134" s="28" t="s">
        <v>2397</v>
      </c>
      <c r="K134" s="28" t="s">
        <v>3</v>
      </c>
      <c r="L134" s="32">
        <v>43070</v>
      </c>
      <c r="M134" s="32">
        <f>BCOXT[[#This Row],[INV DOC DATE]]+30</f>
        <v>43100</v>
      </c>
      <c r="N134" s="32">
        <v>43112</v>
      </c>
      <c r="O134" s="31"/>
      <c r="Q134" s="31">
        <f t="shared" si="2"/>
        <v>248</v>
      </c>
      <c r="R134" s="53" t="str">
        <f ca="1">IF(TODAY() - BCOXT[INV DUE DATE]&lt;30, "Less than 30 days",IF(TODAY()-BCOXT[INV DUE DATE]&lt;60,"30-60 days","More than 60 days"))</f>
        <v>More than 60 days</v>
      </c>
      <c r="S134" s="31" t="s">
        <v>812</v>
      </c>
      <c r="T134" s="43"/>
      <c r="U134" s="4" t="s">
        <v>3699</v>
      </c>
    </row>
    <row r="135" spans="1:21" x14ac:dyDescent="0.3">
      <c r="A135" s="28" t="s">
        <v>2139</v>
      </c>
      <c r="B135" s="4" t="s">
        <v>30</v>
      </c>
      <c r="C135" s="4" t="s">
        <v>131</v>
      </c>
      <c r="D135" s="4">
        <v>5405</v>
      </c>
      <c r="E135" s="30">
        <v>248</v>
      </c>
      <c r="H135" s="4">
        <v>68148</v>
      </c>
      <c r="I135" s="4" t="s">
        <v>2395</v>
      </c>
      <c r="J135" s="28" t="s">
        <v>2398</v>
      </c>
      <c r="K135" s="28" t="s">
        <v>3</v>
      </c>
      <c r="L135" s="32">
        <v>43070</v>
      </c>
      <c r="M135" s="32">
        <f>BCOXT[[#This Row],[INV DOC DATE]]+30</f>
        <v>43100</v>
      </c>
      <c r="N135" s="32">
        <v>43112</v>
      </c>
      <c r="O135" s="31"/>
      <c r="Q135" s="31">
        <f t="shared" si="2"/>
        <v>248</v>
      </c>
      <c r="R135" s="53" t="str">
        <f ca="1">IF(TODAY() - BCOXT[INV DUE DATE]&lt;30, "Less than 30 days",IF(TODAY()-BCOXT[INV DUE DATE]&lt;60,"30-60 days","More than 60 days"))</f>
        <v>More than 60 days</v>
      </c>
      <c r="S135" s="31" t="s">
        <v>812</v>
      </c>
      <c r="T135" s="43"/>
      <c r="U135" s="4" t="s">
        <v>3699</v>
      </c>
    </row>
    <row r="136" spans="1:21" x14ac:dyDescent="0.3">
      <c r="A136" s="28" t="s">
        <v>2139</v>
      </c>
      <c r="B136" s="4" t="s">
        <v>30</v>
      </c>
      <c r="C136" s="4" t="s">
        <v>132</v>
      </c>
      <c r="D136" s="4">
        <v>5405</v>
      </c>
      <c r="E136" s="30">
        <v>248</v>
      </c>
      <c r="H136" s="4">
        <v>111759</v>
      </c>
      <c r="I136" s="4" t="s">
        <v>2039</v>
      </c>
      <c r="J136" s="28" t="s">
        <v>2399</v>
      </c>
      <c r="K136" s="28" t="s">
        <v>3</v>
      </c>
      <c r="L136" s="32">
        <v>43070</v>
      </c>
      <c r="M136" s="32">
        <f>BCOXT[[#This Row],[INV DOC DATE]]+30</f>
        <v>43100</v>
      </c>
      <c r="N136" s="32">
        <v>43112</v>
      </c>
      <c r="O136" s="31"/>
      <c r="Q136" s="31">
        <f t="shared" si="2"/>
        <v>248</v>
      </c>
      <c r="R136" s="53" t="str">
        <f ca="1">IF(TODAY() - BCOXT[INV DUE DATE]&lt;30, "Less than 30 days",IF(TODAY()-BCOXT[INV DUE DATE]&lt;60,"30-60 days","More than 60 days"))</f>
        <v>More than 60 days</v>
      </c>
      <c r="S136" s="31" t="s">
        <v>812</v>
      </c>
      <c r="T136" s="43"/>
      <c r="U136" s="4" t="s">
        <v>3699</v>
      </c>
    </row>
    <row r="137" spans="1:21" x14ac:dyDescent="0.3">
      <c r="A137" s="28" t="s">
        <v>2139</v>
      </c>
      <c r="B137" s="4" t="s">
        <v>30</v>
      </c>
      <c r="C137" s="4" t="s">
        <v>133</v>
      </c>
      <c r="D137" s="4">
        <v>5405</v>
      </c>
      <c r="E137" s="30">
        <v>248</v>
      </c>
      <c r="H137" s="4">
        <v>111759</v>
      </c>
      <c r="I137" s="4" t="s">
        <v>2039</v>
      </c>
      <c r="J137" s="28" t="s">
        <v>2400</v>
      </c>
      <c r="K137" s="28" t="s">
        <v>3</v>
      </c>
      <c r="L137" s="32">
        <v>43070</v>
      </c>
      <c r="M137" s="32">
        <f>BCOXT[[#This Row],[INV DOC DATE]]+30</f>
        <v>43100</v>
      </c>
      <c r="N137" s="32">
        <v>43112</v>
      </c>
      <c r="O137" s="31"/>
      <c r="Q137" s="31">
        <f t="shared" si="2"/>
        <v>248</v>
      </c>
      <c r="R137" s="53" t="str">
        <f ca="1">IF(TODAY() - BCOXT[INV DUE DATE]&lt;30, "Less than 30 days",IF(TODAY()-BCOXT[INV DUE DATE]&lt;60,"30-60 days","More than 60 days"))</f>
        <v>More than 60 days</v>
      </c>
      <c r="S137" s="31" t="s">
        <v>812</v>
      </c>
      <c r="T137" s="43"/>
      <c r="U137" s="4" t="s">
        <v>3699</v>
      </c>
    </row>
    <row r="138" spans="1:21" x14ac:dyDescent="0.3">
      <c r="A138" s="28" t="s">
        <v>2139</v>
      </c>
      <c r="B138" s="4" t="s">
        <v>30</v>
      </c>
      <c r="C138" s="4" t="s">
        <v>134</v>
      </c>
      <c r="D138" s="4">
        <v>5405</v>
      </c>
      <c r="E138" s="30">
        <v>248</v>
      </c>
      <c r="H138" s="4">
        <v>111759</v>
      </c>
      <c r="I138" s="4" t="s">
        <v>2039</v>
      </c>
      <c r="J138" s="28" t="s">
        <v>2401</v>
      </c>
      <c r="K138" s="28" t="s">
        <v>3</v>
      </c>
      <c r="L138" s="32">
        <v>43070</v>
      </c>
      <c r="M138" s="32">
        <f>BCOXT[[#This Row],[INV DOC DATE]]+30</f>
        <v>43100</v>
      </c>
      <c r="N138" s="32">
        <v>43112</v>
      </c>
      <c r="O138" s="31"/>
      <c r="Q138" s="31">
        <f t="shared" si="2"/>
        <v>248</v>
      </c>
      <c r="R138" s="53" t="str">
        <f ca="1">IF(TODAY() - BCOXT[INV DUE DATE]&lt;30, "Less than 30 days",IF(TODAY()-BCOXT[INV DUE DATE]&lt;60,"30-60 days","More than 60 days"))</f>
        <v>More than 60 days</v>
      </c>
      <c r="S138" s="31" t="s">
        <v>812</v>
      </c>
      <c r="T138" s="43"/>
      <c r="U138" s="4" t="s">
        <v>3699</v>
      </c>
    </row>
    <row r="139" spans="1:21" x14ac:dyDescent="0.3">
      <c r="A139" s="28" t="s">
        <v>2139</v>
      </c>
      <c r="B139" s="4" t="s">
        <v>30</v>
      </c>
      <c r="C139" s="4" t="s">
        <v>135</v>
      </c>
      <c r="D139" s="4">
        <v>5405</v>
      </c>
      <c r="E139" s="30">
        <v>248</v>
      </c>
      <c r="H139" s="4">
        <v>111759</v>
      </c>
      <c r="I139" s="4" t="s">
        <v>2039</v>
      </c>
      <c r="J139" s="28" t="s">
        <v>2402</v>
      </c>
      <c r="K139" s="28" t="s">
        <v>3</v>
      </c>
      <c r="L139" s="32">
        <v>43070</v>
      </c>
      <c r="M139" s="32">
        <f>BCOXT[[#This Row],[INV DOC DATE]]+30</f>
        <v>43100</v>
      </c>
      <c r="N139" s="32">
        <v>43112</v>
      </c>
      <c r="O139" s="31"/>
      <c r="Q139" s="31">
        <f t="shared" si="2"/>
        <v>248</v>
      </c>
      <c r="R139" s="53" t="str">
        <f ca="1">IF(TODAY() - BCOXT[INV DUE DATE]&lt;30, "Less than 30 days",IF(TODAY()-BCOXT[INV DUE DATE]&lt;60,"30-60 days","More than 60 days"))</f>
        <v>More than 60 days</v>
      </c>
      <c r="S139" s="31" t="s">
        <v>812</v>
      </c>
      <c r="T139" s="43"/>
      <c r="U139" s="4" t="s">
        <v>3699</v>
      </c>
    </row>
    <row r="140" spans="1:21" x14ac:dyDescent="0.3">
      <c r="A140" s="28" t="s">
        <v>2139</v>
      </c>
      <c r="B140" s="4" t="s">
        <v>30</v>
      </c>
      <c r="C140" s="4" t="s">
        <v>136</v>
      </c>
      <c r="D140" s="4">
        <v>5405</v>
      </c>
      <c r="E140" s="30">
        <v>248</v>
      </c>
      <c r="H140" s="4">
        <v>111759</v>
      </c>
      <c r="I140" s="4" t="s">
        <v>2039</v>
      </c>
      <c r="J140" s="28" t="s">
        <v>2040</v>
      </c>
      <c r="K140" s="28" t="s">
        <v>3</v>
      </c>
      <c r="L140" s="32">
        <v>43070</v>
      </c>
      <c r="M140" s="32">
        <f>BCOXT[[#This Row],[INV DOC DATE]]+30</f>
        <v>43100</v>
      </c>
      <c r="N140" s="32">
        <v>43112</v>
      </c>
      <c r="O140" s="31"/>
      <c r="Q140" s="31">
        <f t="shared" si="2"/>
        <v>248</v>
      </c>
      <c r="R140" s="53" t="str">
        <f ca="1">IF(TODAY() - BCOXT[INV DUE DATE]&lt;30, "Less than 30 days",IF(TODAY()-BCOXT[INV DUE DATE]&lt;60,"30-60 days","More than 60 days"))</f>
        <v>More than 60 days</v>
      </c>
      <c r="S140" s="31" t="s">
        <v>812</v>
      </c>
      <c r="T140" s="43"/>
      <c r="U140" s="4" t="s">
        <v>3699</v>
      </c>
    </row>
    <row r="141" spans="1:21" x14ac:dyDescent="0.3">
      <c r="A141" s="28" t="s">
        <v>2139</v>
      </c>
      <c r="B141" s="4" t="s">
        <v>30</v>
      </c>
      <c r="C141" s="4" t="s">
        <v>137</v>
      </c>
      <c r="D141" s="4">
        <v>5405</v>
      </c>
      <c r="E141" s="30">
        <v>248</v>
      </c>
      <c r="H141" s="4">
        <v>111759</v>
      </c>
      <c r="I141" s="4" t="s">
        <v>2039</v>
      </c>
      <c r="J141" s="28" t="s">
        <v>2041</v>
      </c>
      <c r="K141" s="28" t="s">
        <v>3</v>
      </c>
      <c r="L141" s="32">
        <v>43070</v>
      </c>
      <c r="M141" s="32">
        <f>BCOXT[[#This Row],[INV DOC DATE]]+30</f>
        <v>43100</v>
      </c>
      <c r="N141" s="32">
        <v>43112</v>
      </c>
      <c r="O141" s="31"/>
      <c r="Q141" s="31">
        <f t="shared" si="2"/>
        <v>248</v>
      </c>
      <c r="R141" s="53" t="str">
        <f ca="1">IF(TODAY() - BCOXT[INV DUE DATE]&lt;30, "Less than 30 days",IF(TODAY()-BCOXT[INV DUE DATE]&lt;60,"30-60 days","More than 60 days"))</f>
        <v>More than 60 days</v>
      </c>
      <c r="S141" s="31" t="s">
        <v>812</v>
      </c>
      <c r="T141" s="43"/>
      <c r="U141" s="4" t="s">
        <v>3699</v>
      </c>
    </row>
    <row r="142" spans="1:21" x14ac:dyDescent="0.3">
      <c r="A142" s="28" t="s">
        <v>2139</v>
      </c>
      <c r="B142" s="4" t="s">
        <v>30</v>
      </c>
      <c r="C142" s="4" t="s">
        <v>138</v>
      </c>
      <c r="D142" s="4">
        <v>5405</v>
      </c>
      <c r="E142" s="30">
        <v>248</v>
      </c>
      <c r="H142" s="4">
        <v>111759</v>
      </c>
      <c r="I142" s="4" t="s">
        <v>2039</v>
      </c>
      <c r="J142" s="28" t="s">
        <v>2042</v>
      </c>
      <c r="K142" s="28" t="s">
        <v>3</v>
      </c>
      <c r="L142" s="32">
        <v>43070</v>
      </c>
      <c r="M142" s="32">
        <f>BCOXT[[#This Row],[INV DOC DATE]]+30</f>
        <v>43100</v>
      </c>
      <c r="N142" s="32">
        <v>43112</v>
      </c>
      <c r="O142" s="31"/>
      <c r="Q142" s="31">
        <f t="shared" si="2"/>
        <v>248</v>
      </c>
      <c r="R142" s="53" t="str">
        <f ca="1">IF(TODAY() - BCOXT[INV DUE DATE]&lt;30, "Less than 30 days",IF(TODAY()-BCOXT[INV DUE DATE]&lt;60,"30-60 days","More than 60 days"))</f>
        <v>More than 60 days</v>
      </c>
      <c r="S142" s="31" t="s">
        <v>812</v>
      </c>
      <c r="T142" s="43"/>
      <c r="U142" s="4" t="s">
        <v>3699</v>
      </c>
    </row>
    <row r="143" spans="1:21" x14ac:dyDescent="0.3">
      <c r="A143" s="28" t="s">
        <v>2139</v>
      </c>
      <c r="B143" s="4" t="s">
        <v>30</v>
      </c>
      <c r="C143" s="4" t="s">
        <v>139</v>
      </c>
      <c r="D143" s="4">
        <v>5405</v>
      </c>
      <c r="E143" s="30">
        <v>248</v>
      </c>
      <c r="H143" s="4">
        <v>111759</v>
      </c>
      <c r="I143" s="4" t="s">
        <v>2039</v>
      </c>
      <c r="J143" s="28" t="s">
        <v>2043</v>
      </c>
      <c r="K143" s="28" t="s">
        <v>3</v>
      </c>
      <c r="L143" s="32">
        <v>43070</v>
      </c>
      <c r="M143" s="32">
        <f>BCOXT[[#This Row],[INV DOC DATE]]+30</f>
        <v>43100</v>
      </c>
      <c r="N143" s="32">
        <v>43112</v>
      </c>
      <c r="O143" s="31"/>
      <c r="Q143" s="31">
        <f t="shared" si="2"/>
        <v>248</v>
      </c>
      <c r="R143" s="53" t="str">
        <f ca="1">IF(TODAY() - BCOXT[INV DUE DATE]&lt;30, "Less than 30 days",IF(TODAY()-BCOXT[INV DUE DATE]&lt;60,"30-60 days","More than 60 days"))</f>
        <v>More than 60 days</v>
      </c>
      <c r="S143" s="31" t="s">
        <v>812</v>
      </c>
      <c r="T143" s="43"/>
      <c r="U143" s="4" t="s">
        <v>3699</v>
      </c>
    </row>
    <row r="144" spans="1:21" x14ac:dyDescent="0.3">
      <c r="A144" s="28" t="s">
        <v>2139</v>
      </c>
      <c r="B144" s="4" t="s">
        <v>30</v>
      </c>
      <c r="C144" s="4" t="s">
        <v>140</v>
      </c>
      <c r="D144" s="4">
        <v>5405</v>
      </c>
      <c r="E144" s="30">
        <v>248</v>
      </c>
      <c r="H144" s="4">
        <v>111759</v>
      </c>
      <c r="I144" s="4" t="s">
        <v>2039</v>
      </c>
      <c r="J144" s="28" t="s">
        <v>2044</v>
      </c>
      <c r="K144" s="28" t="s">
        <v>3</v>
      </c>
      <c r="L144" s="32">
        <v>43070</v>
      </c>
      <c r="M144" s="32">
        <f>BCOXT[[#This Row],[INV DOC DATE]]+30</f>
        <v>43100</v>
      </c>
      <c r="N144" s="32">
        <v>43112</v>
      </c>
      <c r="O144" s="31"/>
      <c r="Q144" s="31">
        <f t="shared" si="2"/>
        <v>248</v>
      </c>
      <c r="R144" s="53" t="str">
        <f ca="1">IF(TODAY() - BCOXT[INV DUE DATE]&lt;30, "Less than 30 days",IF(TODAY()-BCOXT[INV DUE DATE]&lt;60,"30-60 days","More than 60 days"))</f>
        <v>More than 60 days</v>
      </c>
      <c r="S144" s="31" t="s">
        <v>812</v>
      </c>
      <c r="T144" s="43"/>
      <c r="U144" s="4" t="s">
        <v>3699</v>
      </c>
    </row>
    <row r="145" spans="1:21" x14ac:dyDescent="0.3">
      <c r="A145" s="28" t="s">
        <v>2139</v>
      </c>
      <c r="B145" s="4" t="s">
        <v>30</v>
      </c>
      <c r="C145" s="4" t="s">
        <v>141</v>
      </c>
      <c r="D145" s="4">
        <v>5405</v>
      </c>
      <c r="E145" s="30">
        <v>248</v>
      </c>
      <c r="H145" s="4">
        <v>111759</v>
      </c>
      <c r="I145" s="4" t="s">
        <v>2039</v>
      </c>
      <c r="J145" s="28" t="s">
        <v>2045</v>
      </c>
      <c r="K145" s="28" t="s">
        <v>3</v>
      </c>
      <c r="L145" s="32">
        <v>43070</v>
      </c>
      <c r="M145" s="32">
        <f>BCOXT[[#This Row],[INV DOC DATE]]+30</f>
        <v>43100</v>
      </c>
      <c r="N145" s="32">
        <v>43112</v>
      </c>
      <c r="O145" s="31"/>
      <c r="Q145" s="31">
        <f t="shared" si="2"/>
        <v>248</v>
      </c>
      <c r="R145" s="53" t="str">
        <f ca="1">IF(TODAY() - BCOXT[INV DUE DATE]&lt;30, "Less than 30 days",IF(TODAY()-BCOXT[INV DUE DATE]&lt;60,"30-60 days","More than 60 days"))</f>
        <v>More than 60 days</v>
      </c>
      <c r="S145" s="31" t="s">
        <v>812</v>
      </c>
      <c r="T145" s="43"/>
      <c r="U145" s="4" t="s">
        <v>3699</v>
      </c>
    </row>
    <row r="146" spans="1:21" x14ac:dyDescent="0.3">
      <c r="A146" s="28" t="s">
        <v>2139</v>
      </c>
      <c r="B146" s="4" t="s">
        <v>30</v>
      </c>
      <c r="C146" s="4" t="s">
        <v>142</v>
      </c>
      <c r="D146" s="4">
        <v>5405</v>
      </c>
      <c r="E146" s="30">
        <v>248</v>
      </c>
      <c r="H146" s="4">
        <v>111759</v>
      </c>
      <c r="I146" s="4" t="s">
        <v>2039</v>
      </c>
      <c r="J146" s="28" t="s">
        <v>2403</v>
      </c>
      <c r="K146" s="28" t="s">
        <v>3</v>
      </c>
      <c r="L146" s="32">
        <v>43070</v>
      </c>
      <c r="M146" s="32">
        <f>BCOXT[[#This Row],[INV DOC DATE]]+30</f>
        <v>43100</v>
      </c>
      <c r="N146" s="32">
        <v>43112</v>
      </c>
      <c r="O146" s="31"/>
      <c r="Q146" s="31">
        <f t="shared" si="2"/>
        <v>248</v>
      </c>
      <c r="R146" s="53" t="str">
        <f ca="1">IF(TODAY() - BCOXT[INV DUE DATE]&lt;30, "Less than 30 days",IF(TODAY()-BCOXT[INV DUE DATE]&lt;60,"30-60 days","More than 60 days"))</f>
        <v>More than 60 days</v>
      </c>
      <c r="S146" s="31" t="s">
        <v>812</v>
      </c>
      <c r="T146" s="43"/>
      <c r="U146" s="4" t="s">
        <v>3699</v>
      </c>
    </row>
    <row r="147" spans="1:21" x14ac:dyDescent="0.3">
      <c r="A147" s="28" t="s">
        <v>2139</v>
      </c>
      <c r="B147" s="4" t="s">
        <v>30</v>
      </c>
      <c r="C147" s="4" t="s">
        <v>143</v>
      </c>
      <c r="D147" s="4">
        <v>5405</v>
      </c>
      <c r="E147" s="30">
        <v>248</v>
      </c>
      <c r="H147" s="4">
        <v>111759</v>
      </c>
      <c r="I147" s="4" t="s">
        <v>2039</v>
      </c>
      <c r="J147" s="28" t="s">
        <v>2404</v>
      </c>
      <c r="K147" s="28" t="s">
        <v>3</v>
      </c>
      <c r="L147" s="32">
        <v>43070</v>
      </c>
      <c r="M147" s="32">
        <f>BCOXT[[#This Row],[INV DOC DATE]]+30</f>
        <v>43100</v>
      </c>
      <c r="N147" s="32">
        <v>43112</v>
      </c>
      <c r="O147" s="31"/>
      <c r="Q147" s="31">
        <f t="shared" si="2"/>
        <v>248</v>
      </c>
      <c r="R147" s="53" t="str">
        <f ca="1">IF(TODAY() - BCOXT[INV DUE DATE]&lt;30, "Less than 30 days",IF(TODAY()-BCOXT[INV DUE DATE]&lt;60,"30-60 days","More than 60 days"))</f>
        <v>More than 60 days</v>
      </c>
      <c r="S147" s="31" t="s">
        <v>812</v>
      </c>
      <c r="T147" s="43"/>
      <c r="U147" s="4" t="s">
        <v>3699</v>
      </c>
    </row>
    <row r="148" spans="1:21" x14ac:dyDescent="0.3">
      <c r="A148" s="28" t="s">
        <v>2139</v>
      </c>
      <c r="B148" s="4" t="s">
        <v>30</v>
      </c>
      <c r="C148" s="4" t="s">
        <v>144</v>
      </c>
      <c r="D148" s="4">
        <v>5405</v>
      </c>
      <c r="E148" s="30">
        <v>248</v>
      </c>
      <c r="H148" s="4">
        <v>111759</v>
      </c>
      <c r="I148" s="4" t="s">
        <v>2039</v>
      </c>
      <c r="J148" s="28" t="s">
        <v>2405</v>
      </c>
      <c r="K148" s="28" t="s">
        <v>3</v>
      </c>
      <c r="L148" s="32">
        <v>43070</v>
      </c>
      <c r="M148" s="32">
        <f>BCOXT[[#This Row],[INV DOC DATE]]+30</f>
        <v>43100</v>
      </c>
      <c r="N148" s="32">
        <v>43112</v>
      </c>
      <c r="O148" s="31"/>
      <c r="Q148" s="31">
        <f t="shared" si="2"/>
        <v>248</v>
      </c>
      <c r="R148" s="53" t="str">
        <f ca="1">IF(TODAY() - BCOXT[INV DUE DATE]&lt;30, "Less than 30 days",IF(TODAY()-BCOXT[INV DUE DATE]&lt;60,"30-60 days","More than 60 days"))</f>
        <v>More than 60 days</v>
      </c>
      <c r="S148" s="31" t="s">
        <v>812</v>
      </c>
      <c r="T148" s="43"/>
      <c r="U148" s="4" t="s">
        <v>3699</v>
      </c>
    </row>
    <row r="149" spans="1:21" x14ac:dyDescent="0.3">
      <c r="A149" s="28" t="s">
        <v>2139</v>
      </c>
      <c r="B149" s="4" t="s">
        <v>35</v>
      </c>
      <c r="C149" s="4" t="s">
        <v>6</v>
      </c>
      <c r="D149" s="4">
        <v>5450</v>
      </c>
      <c r="E149" s="30">
        <v>248</v>
      </c>
      <c r="G149" s="4">
        <v>4320000188</v>
      </c>
      <c r="J149" s="100" t="s">
        <v>764</v>
      </c>
      <c r="K149" s="28" t="s">
        <v>3</v>
      </c>
      <c r="L149" s="32">
        <v>43070</v>
      </c>
      <c r="M149" s="32">
        <f>BCOXT[[#This Row],[INV DOC DATE]]+30</f>
        <v>43100</v>
      </c>
      <c r="N149" s="32"/>
      <c r="O149" s="31"/>
      <c r="Q149" s="31">
        <f t="shared" si="2"/>
        <v>248</v>
      </c>
      <c r="R149" s="53" t="str">
        <f ca="1">IF(TODAY() - BCOXT[INV DUE DATE]&lt;30, "Less than 30 days",IF(TODAY()-BCOXT[INV DUE DATE]&lt;60,"30-60 days","More than 60 days"))</f>
        <v>More than 60 days</v>
      </c>
      <c r="S149" s="31" t="str">
        <f>"BCOXT"</f>
        <v>BCOXT</v>
      </c>
      <c r="T149" s="43"/>
      <c r="U149" s="4" t="s">
        <v>3699</v>
      </c>
    </row>
    <row r="150" spans="1:21" x14ac:dyDescent="0.3">
      <c r="A150" s="28" t="s">
        <v>2140</v>
      </c>
      <c r="B150" s="4" t="s">
        <v>30</v>
      </c>
      <c r="C150" s="4" t="s">
        <v>145</v>
      </c>
      <c r="D150" s="4">
        <v>5405</v>
      </c>
      <c r="E150" s="30">
        <v>248</v>
      </c>
      <c r="H150" s="4">
        <v>172441</v>
      </c>
      <c r="I150" s="4" t="s">
        <v>358</v>
      </c>
      <c r="J150" s="28" t="s">
        <v>2406</v>
      </c>
      <c r="K150" s="28" t="s">
        <v>3</v>
      </c>
      <c r="L150" s="32">
        <v>43070</v>
      </c>
      <c r="M150" s="32">
        <f>BCOXT[[#This Row],[INV DOC DATE]]+30</f>
        <v>43100</v>
      </c>
      <c r="N150" s="32">
        <v>43112</v>
      </c>
      <c r="O150" s="31"/>
      <c r="Q150" s="31">
        <f t="shared" si="2"/>
        <v>248</v>
      </c>
      <c r="R150" s="53" t="str">
        <f ca="1">IF(TODAY() - BCOXT[INV DUE DATE]&lt;30, "Less than 30 days",IF(TODAY()-BCOXT[INV DUE DATE]&lt;60,"30-60 days","More than 60 days"))</f>
        <v>More than 60 days</v>
      </c>
      <c r="S150" s="31" t="s">
        <v>812</v>
      </c>
      <c r="T150" s="43"/>
      <c r="U150" s="4" t="s">
        <v>3699</v>
      </c>
    </row>
    <row r="151" spans="1:21" x14ac:dyDescent="0.3">
      <c r="A151" s="28" t="s">
        <v>2140</v>
      </c>
      <c r="B151" s="4" t="s">
        <v>30</v>
      </c>
      <c r="C151" s="4" t="s">
        <v>146</v>
      </c>
      <c r="D151" s="4">
        <v>5405</v>
      </c>
      <c r="E151" s="30">
        <v>248</v>
      </c>
      <c r="H151" s="4">
        <v>172441</v>
      </c>
      <c r="I151" s="4" t="s">
        <v>358</v>
      </c>
      <c r="J151" s="28" t="s">
        <v>2407</v>
      </c>
      <c r="K151" s="28" t="s">
        <v>3</v>
      </c>
      <c r="L151" s="32">
        <v>43070</v>
      </c>
      <c r="M151" s="32">
        <f>BCOXT[[#This Row],[INV DOC DATE]]+30</f>
        <v>43100</v>
      </c>
      <c r="N151" s="32">
        <v>43112</v>
      </c>
      <c r="O151" s="31"/>
      <c r="Q151" s="31">
        <f t="shared" si="2"/>
        <v>248</v>
      </c>
      <c r="R151" s="53" t="str">
        <f ca="1">IF(TODAY() - BCOXT[INV DUE DATE]&lt;30, "Less than 30 days",IF(TODAY()-BCOXT[INV DUE DATE]&lt;60,"30-60 days","More than 60 days"))</f>
        <v>More than 60 days</v>
      </c>
      <c r="S151" s="31" t="s">
        <v>812</v>
      </c>
      <c r="T151" s="43"/>
      <c r="U151" s="4" t="s">
        <v>3699</v>
      </c>
    </row>
    <row r="152" spans="1:21" x14ac:dyDescent="0.3">
      <c r="A152" s="28" t="s">
        <v>2140</v>
      </c>
      <c r="B152" s="4" t="s">
        <v>30</v>
      </c>
      <c r="C152" s="4" t="s">
        <v>147</v>
      </c>
      <c r="D152" s="4">
        <v>5405</v>
      </c>
      <c r="E152" s="30">
        <v>248</v>
      </c>
      <c r="H152" s="4">
        <v>172441</v>
      </c>
      <c r="I152" s="4" t="s">
        <v>358</v>
      </c>
      <c r="J152" s="28" t="s">
        <v>2408</v>
      </c>
      <c r="K152" s="28" t="s">
        <v>3</v>
      </c>
      <c r="L152" s="32">
        <v>43070</v>
      </c>
      <c r="M152" s="32">
        <f>BCOXT[[#This Row],[INV DOC DATE]]+30</f>
        <v>43100</v>
      </c>
      <c r="N152" s="32">
        <v>43112</v>
      </c>
      <c r="O152" s="31"/>
      <c r="Q152" s="31">
        <f t="shared" si="2"/>
        <v>248</v>
      </c>
      <c r="R152" s="53" t="str">
        <f ca="1">IF(TODAY() - BCOXT[INV DUE DATE]&lt;30, "Less than 30 days",IF(TODAY()-BCOXT[INV DUE DATE]&lt;60,"30-60 days","More than 60 days"))</f>
        <v>More than 60 days</v>
      </c>
      <c r="S152" s="31" t="s">
        <v>812</v>
      </c>
      <c r="T152" s="43"/>
      <c r="U152" s="4" t="s">
        <v>3699</v>
      </c>
    </row>
    <row r="153" spans="1:21" x14ac:dyDescent="0.3">
      <c r="A153" s="28" t="s">
        <v>2140</v>
      </c>
      <c r="B153" s="4" t="s">
        <v>30</v>
      </c>
      <c r="C153" s="4" t="s">
        <v>148</v>
      </c>
      <c r="D153" s="4">
        <v>5405</v>
      </c>
      <c r="E153" s="30">
        <v>248</v>
      </c>
      <c r="H153" s="4">
        <v>172441</v>
      </c>
      <c r="I153" s="4" t="s">
        <v>358</v>
      </c>
      <c r="J153" s="28" t="s">
        <v>2409</v>
      </c>
      <c r="K153" s="28" t="s">
        <v>3</v>
      </c>
      <c r="L153" s="32">
        <v>43070</v>
      </c>
      <c r="M153" s="32">
        <f>BCOXT[[#This Row],[INV DOC DATE]]+30</f>
        <v>43100</v>
      </c>
      <c r="N153" s="32">
        <v>43112</v>
      </c>
      <c r="O153" s="31"/>
      <c r="Q153" s="31">
        <f t="shared" si="2"/>
        <v>248</v>
      </c>
      <c r="R153" s="53" t="str">
        <f ca="1">IF(TODAY() - BCOXT[INV DUE DATE]&lt;30, "Less than 30 days",IF(TODAY()-BCOXT[INV DUE DATE]&lt;60,"30-60 days","More than 60 days"))</f>
        <v>More than 60 days</v>
      </c>
      <c r="S153" s="31" t="s">
        <v>812</v>
      </c>
      <c r="T153" s="43"/>
      <c r="U153" s="4" t="s">
        <v>3699</v>
      </c>
    </row>
    <row r="154" spans="1:21" x14ac:dyDescent="0.3">
      <c r="A154" s="28" t="s">
        <v>2140</v>
      </c>
      <c r="B154" s="4" t="s">
        <v>30</v>
      </c>
      <c r="C154" s="4" t="s">
        <v>149</v>
      </c>
      <c r="D154" s="4">
        <v>5405</v>
      </c>
      <c r="E154" s="30">
        <v>248</v>
      </c>
      <c r="H154" s="4">
        <v>172441</v>
      </c>
      <c r="I154" s="4" t="s">
        <v>358</v>
      </c>
      <c r="J154" s="28" t="s">
        <v>2410</v>
      </c>
      <c r="K154" s="28" t="s">
        <v>3</v>
      </c>
      <c r="L154" s="32">
        <v>43070</v>
      </c>
      <c r="M154" s="32">
        <f>BCOXT[[#This Row],[INV DOC DATE]]+30</f>
        <v>43100</v>
      </c>
      <c r="N154" s="32">
        <v>43112</v>
      </c>
      <c r="O154" s="31"/>
      <c r="Q154" s="31">
        <f t="shared" si="2"/>
        <v>248</v>
      </c>
      <c r="R154" s="53" t="str">
        <f ca="1">IF(TODAY() - BCOXT[INV DUE DATE]&lt;30, "Less than 30 days",IF(TODAY()-BCOXT[INV DUE DATE]&lt;60,"30-60 days","More than 60 days"))</f>
        <v>More than 60 days</v>
      </c>
      <c r="S154" s="31" t="s">
        <v>812</v>
      </c>
      <c r="T154" s="43"/>
      <c r="U154" s="4" t="s">
        <v>3699</v>
      </c>
    </row>
    <row r="155" spans="1:21" x14ac:dyDescent="0.3">
      <c r="A155" s="28" t="s">
        <v>2140</v>
      </c>
      <c r="B155" s="4" t="s">
        <v>30</v>
      </c>
      <c r="C155" s="4" t="s">
        <v>150</v>
      </c>
      <c r="D155" s="4">
        <v>5405</v>
      </c>
      <c r="E155" s="30">
        <v>255.75</v>
      </c>
      <c r="H155" s="4">
        <v>172441</v>
      </c>
      <c r="I155" s="4" t="s">
        <v>358</v>
      </c>
      <c r="J155" s="28" t="s">
        <v>2411</v>
      </c>
      <c r="K155" s="28" t="s">
        <v>3</v>
      </c>
      <c r="L155" s="32">
        <v>43070</v>
      </c>
      <c r="M155" s="32">
        <f>BCOXT[[#This Row],[INV DOC DATE]]+30</f>
        <v>43100</v>
      </c>
      <c r="N155" s="32">
        <v>43112</v>
      </c>
      <c r="O155" s="31"/>
      <c r="Q155" s="31">
        <f t="shared" si="2"/>
        <v>255.75</v>
      </c>
      <c r="R155" s="53" t="str">
        <f ca="1">IF(TODAY() - BCOXT[INV DUE DATE]&lt;30, "Less than 30 days",IF(TODAY()-BCOXT[INV DUE DATE]&lt;60,"30-60 days","More than 60 days"))</f>
        <v>More than 60 days</v>
      </c>
      <c r="S155" s="31" t="s">
        <v>812</v>
      </c>
      <c r="T155" s="43"/>
      <c r="U155" s="4" t="s">
        <v>3699</v>
      </c>
    </row>
    <row r="156" spans="1:21" x14ac:dyDescent="0.3">
      <c r="A156" s="28" t="s">
        <v>2140</v>
      </c>
      <c r="B156" s="4" t="s">
        <v>30</v>
      </c>
      <c r="C156" s="4" t="s">
        <v>151</v>
      </c>
      <c r="D156" s="4">
        <v>5405</v>
      </c>
      <c r="E156" s="30">
        <v>255.75</v>
      </c>
      <c r="H156" s="4">
        <v>172441</v>
      </c>
      <c r="I156" s="4" t="s">
        <v>358</v>
      </c>
      <c r="J156" s="28" t="s">
        <v>2412</v>
      </c>
      <c r="K156" s="28" t="s">
        <v>3</v>
      </c>
      <c r="L156" s="32">
        <v>43070</v>
      </c>
      <c r="M156" s="32">
        <f>BCOXT[[#This Row],[INV DOC DATE]]+30</f>
        <v>43100</v>
      </c>
      <c r="N156" s="32">
        <v>43112</v>
      </c>
      <c r="O156" s="31"/>
      <c r="Q156" s="31">
        <f t="shared" si="2"/>
        <v>255.75</v>
      </c>
      <c r="R156" s="53" t="str">
        <f ca="1">IF(TODAY() - BCOXT[INV DUE DATE]&lt;30, "Less than 30 days",IF(TODAY()-BCOXT[INV DUE DATE]&lt;60,"30-60 days","More than 60 days"))</f>
        <v>More than 60 days</v>
      </c>
      <c r="S156" s="31" t="s">
        <v>812</v>
      </c>
      <c r="T156" s="43"/>
      <c r="U156" s="4" t="s">
        <v>3699</v>
      </c>
    </row>
    <row r="157" spans="1:21" x14ac:dyDescent="0.3">
      <c r="A157" s="28" t="s">
        <v>2140</v>
      </c>
      <c r="B157" s="4" t="s">
        <v>30</v>
      </c>
      <c r="C157" s="4" t="s">
        <v>152</v>
      </c>
      <c r="D157" s="4">
        <v>5405</v>
      </c>
      <c r="E157" s="30">
        <v>255.75</v>
      </c>
      <c r="H157" s="4">
        <v>172441</v>
      </c>
      <c r="I157" s="4" t="s">
        <v>358</v>
      </c>
      <c r="J157" s="28" t="s">
        <v>2413</v>
      </c>
      <c r="K157" s="28" t="s">
        <v>3</v>
      </c>
      <c r="L157" s="32">
        <v>43070</v>
      </c>
      <c r="M157" s="32">
        <f>BCOXT[[#This Row],[INV DOC DATE]]+30</f>
        <v>43100</v>
      </c>
      <c r="N157" s="32">
        <v>43112</v>
      </c>
      <c r="O157" s="31"/>
      <c r="Q157" s="31">
        <f t="shared" si="2"/>
        <v>255.75</v>
      </c>
      <c r="R157" s="53" t="str">
        <f ca="1">IF(TODAY() - BCOXT[INV DUE DATE]&lt;30, "Less than 30 days",IF(TODAY()-BCOXT[INV DUE DATE]&lt;60,"30-60 days","More than 60 days"))</f>
        <v>More than 60 days</v>
      </c>
      <c r="S157" s="31" t="s">
        <v>812</v>
      </c>
      <c r="T157" s="43"/>
      <c r="U157" s="4" t="s">
        <v>3699</v>
      </c>
    </row>
    <row r="158" spans="1:21" x14ac:dyDescent="0.3">
      <c r="A158" s="28" t="s">
        <v>2140</v>
      </c>
      <c r="B158" s="4" t="s">
        <v>30</v>
      </c>
      <c r="C158" s="4" t="s">
        <v>296</v>
      </c>
      <c r="D158" s="4">
        <v>5405</v>
      </c>
      <c r="E158" s="30">
        <v>255.75</v>
      </c>
      <c r="H158" s="4">
        <v>172441</v>
      </c>
      <c r="I158" s="4" t="s">
        <v>358</v>
      </c>
      <c r="J158" s="28" t="s">
        <v>2414</v>
      </c>
      <c r="K158" s="28" t="s">
        <v>3</v>
      </c>
      <c r="L158" s="32">
        <v>43070</v>
      </c>
      <c r="M158" s="32">
        <f>BCOXT[[#This Row],[INV DOC DATE]]+30</f>
        <v>43100</v>
      </c>
      <c r="N158" s="32">
        <v>43112</v>
      </c>
      <c r="O158" s="31"/>
      <c r="Q158" s="31">
        <f t="shared" si="2"/>
        <v>255.75</v>
      </c>
      <c r="R158" s="53" t="str">
        <f ca="1">IF(TODAY() - BCOXT[INV DUE DATE]&lt;30, "Less than 30 days",IF(TODAY()-BCOXT[INV DUE DATE]&lt;60,"30-60 days","More than 60 days"))</f>
        <v>More than 60 days</v>
      </c>
      <c r="S158" s="31" t="s">
        <v>812</v>
      </c>
      <c r="T158" s="43"/>
      <c r="U158" s="4" t="s">
        <v>3699</v>
      </c>
    </row>
    <row r="159" spans="1:21" x14ac:dyDescent="0.3">
      <c r="A159" s="28" t="s">
        <v>2140</v>
      </c>
      <c r="B159" s="4" t="s">
        <v>30</v>
      </c>
      <c r="C159" s="4" t="s">
        <v>297</v>
      </c>
      <c r="D159" s="4">
        <v>5405</v>
      </c>
      <c r="E159" s="30">
        <v>255.75</v>
      </c>
      <c r="H159" s="4">
        <v>172441</v>
      </c>
      <c r="I159" s="4" t="s">
        <v>358</v>
      </c>
      <c r="J159" s="28" t="s">
        <v>2415</v>
      </c>
      <c r="K159" s="28" t="s">
        <v>3</v>
      </c>
      <c r="L159" s="32">
        <v>43070</v>
      </c>
      <c r="M159" s="32">
        <f>BCOXT[[#This Row],[INV DOC DATE]]+30</f>
        <v>43100</v>
      </c>
      <c r="N159" s="32">
        <v>43112</v>
      </c>
      <c r="O159" s="31"/>
      <c r="Q159" s="31">
        <f t="shared" si="2"/>
        <v>255.75</v>
      </c>
      <c r="R159" s="53" t="str">
        <f ca="1">IF(TODAY() - BCOXT[INV DUE DATE]&lt;30, "Less than 30 days",IF(TODAY()-BCOXT[INV DUE DATE]&lt;60,"30-60 days","More than 60 days"))</f>
        <v>More than 60 days</v>
      </c>
      <c r="S159" s="31" t="s">
        <v>812</v>
      </c>
      <c r="T159" s="43"/>
      <c r="U159" s="4" t="s">
        <v>3699</v>
      </c>
    </row>
    <row r="160" spans="1:21" x14ac:dyDescent="0.3">
      <c r="A160" s="28" t="s">
        <v>2140</v>
      </c>
      <c r="B160" s="4" t="s">
        <v>30</v>
      </c>
      <c r="C160" s="4" t="s">
        <v>298</v>
      </c>
      <c r="D160" s="4">
        <v>5405</v>
      </c>
      <c r="E160" s="30">
        <v>255.75</v>
      </c>
      <c r="H160" s="4">
        <v>172441</v>
      </c>
      <c r="I160" s="4" t="s">
        <v>358</v>
      </c>
      <c r="J160" s="28" t="s">
        <v>2416</v>
      </c>
      <c r="K160" s="28" t="s">
        <v>3</v>
      </c>
      <c r="L160" s="32">
        <v>43070</v>
      </c>
      <c r="M160" s="32">
        <f>BCOXT[[#This Row],[INV DOC DATE]]+30</f>
        <v>43100</v>
      </c>
      <c r="N160" s="32">
        <v>43112</v>
      </c>
      <c r="O160" s="31"/>
      <c r="Q160" s="31">
        <f t="shared" si="2"/>
        <v>255.75</v>
      </c>
      <c r="R160" s="53" t="str">
        <f ca="1">IF(TODAY() - BCOXT[INV DUE DATE]&lt;30, "Less than 30 days",IF(TODAY()-BCOXT[INV DUE DATE]&lt;60,"30-60 days","More than 60 days"))</f>
        <v>More than 60 days</v>
      </c>
      <c r="S160" s="31" t="s">
        <v>812</v>
      </c>
      <c r="T160" s="43"/>
      <c r="U160" s="4" t="s">
        <v>3699</v>
      </c>
    </row>
    <row r="161" spans="1:21" x14ac:dyDescent="0.3">
      <c r="A161" s="28" t="s">
        <v>2140</v>
      </c>
      <c r="B161" s="4" t="s">
        <v>30</v>
      </c>
      <c r="C161" s="4" t="s">
        <v>299</v>
      </c>
      <c r="D161" s="4">
        <v>5405</v>
      </c>
      <c r="E161" s="30">
        <v>255.75</v>
      </c>
      <c r="H161" s="4">
        <v>172441</v>
      </c>
      <c r="I161" s="4" t="s">
        <v>358</v>
      </c>
      <c r="J161" s="28" t="s">
        <v>2417</v>
      </c>
      <c r="K161" s="28" t="s">
        <v>3</v>
      </c>
      <c r="L161" s="32">
        <v>43070</v>
      </c>
      <c r="M161" s="32">
        <f>BCOXT[[#This Row],[INV DOC DATE]]+30</f>
        <v>43100</v>
      </c>
      <c r="N161" s="32">
        <v>43112</v>
      </c>
      <c r="O161" s="31"/>
      <c r="Q161" s="31">
        <f t="shared" si="2"/>
        <v>255.75</v>
      </c>
      <c r="R161" s="53" t="str">
        <f ca="1">IF(TODAY() - BCOXT[INV DUE DATE]&lt;30, "Less than 30 days",IF(TODAY()-BCOXT[INV DUE DATE]&lt;60,"30-60 days","More than 60 days"))</f>
        <v>More than 60 days</v>
      </c>
      <c r="S161" s="31" t="s">
        <v>812</v>
      </c>
      <c r="T161" s="43"/>
      <c r="U161" s="4" t="s">
        <v>3699</v>
      </c>
    </row>
    <row r="162" spans="1:21" x14ac:dyDescent="0.3">
      <c r="A162" s="28" t="s">
        <v>2140</v>
      </c>
      <c r="B162" s="4" t="s">
        <v>30</v>
      </c>
      <c r="C162" s="4" t="s">
        <v>300</v>
      </c>
      <c r="D162" s="4">
        <v>5405</v>
      </c>
      <c r="E162" s="30">
        <v>255.75</v>
      </c>
      <c r="H162" s="4">
        <v>172441</v>
      </c>
      <c r="I162" s="4" t="s">
        <v>358</v>
      </c>
      <c r="J162" s="28" t="s">
        <v>2418</v>
      </c>
      <c r="K162" s="28" t="s">
        <v>3</v>
      </c>
      <c r="L162" s="32">
        <v>43070</v>
      </c>
      <c r="M162" s="32">
        <f>BCOXT[[#This Row],[INV DOC DATE]]+30</f>
        <v>43100</v>
      </c>
      <c r="N162" s="32">
        <v>43112</v>
      </c>
      <c r="O162" s="31"/>
      <c r="Q162" s="31">
        <f t="shared" si="2"/>
        <v>255.75</v>
      </c>
      <c r="R162" s="53" t="str">
        <f ca="1">IF(TODAY() - BCOXT[INV DUE DATE]&lt;30, "Less than 30 days",IF(TODAY()-BCOXT[INV DUE DATE]&lt;60,"30-60 days","More than 60 days"))</f>
        <v>More than 60 days</v>
      </c>
      <c r="S162" s="31" t="s">
        <v>812</v>
      </c>
      <c r="T162" s="43"/>
      <c r="U162" s="4" t="s">
        <v>3699</v>
      </c>
    </row>
    <row r="163" spans="1:21" x14ac:dyDescent="0.3">
      <c r="A163" s="28" t="s">
        <v>2140</v>
      </c>
      <c r="B163" s="4" t="s">
        <v>30</v>
      </c>
      <c r="C163" s="4" t="s">
        <v>301</v>
      </c>
      <c r="D163" s="4">
        <v>5405</v>
      </c>
      <c r="E163" s="30">
        <v>255.75</v>
      </c>
      <c r="H163" s="4">
        <v>172441</v>
      </c>
      <c r="I163" s="4" t="s">
        <v>358</v>
      </c>
      <c r="J163" s="28" t="s">
        <v>2419</v>
      </c>
      <c r="K163" s="28" t="s">
        <v>3</v>
      </c>
      <c r="L163" s="32">
        <v>43070</v>
      </c>
      <c r="M163" s="32">
        <f>BCOXT[[#This Row],[INV DOC DATE]]+30</f>
        <v>43100</v>
      </c>
      <c r="N163" s="32">
        <v>43112</v>
      </c>
      <c r="O163" s="31"/>
      <c r="Q163" s="31">
        <f t="shared" si="2"/>
        <v>255.75</v>
      </c>
      <c r="R163" s="53" t="str">
        <f ca="1">IF(TODAY() - BCOXT[INV DUE DATE]&lt;30, "Less than 30 days",IF(TODAY()-BCOXT[INV DUE DATE]&lt;60,"30-60 days","More than 60 days"))</f>
        <v>More than 60 days</v>
      </c>
      <c r="S163" s="31" t="s">
        <v>812</v>
      </c>
      <c r="T163" s="43"/>
      <c r="U163" s="4" t="s">
        <v>3699</v>
      </c>
    </row>
    <row r="164" spans="1:21" x14ac:dyDescent="0.3">
      <c r="A164" s="28" t="s">
        <v>2140</v>
      </c>
      <c r="B164" s="4" t="s">
        <v>30</v>
      </c>
      <c r="C164" s="4" t="s">
        <v>302</v>
      </c>
      <c r="D164" s="4">
        <v>5405</v>
      </c>
      <c r="E164" s="30">
        <v>255.75</v>
      </c>
      <c r="H164" s="4">
        <v>172441</v>
      </c>
      <c r="I164" s="4" t="s">
        <v>358</v>
      </c>
      <c r="J164" s="28" t="s">
        <v>2420</v>
      </c>
      <c r="K164" s="28" t="s">
        <v>3</v>
      </c>
      <c r="L164" s="32">
        <v>43070</v>
      </c>
      <c r="M164" s="32">
        <f>BCOXT[[#This Row],[INV DOC DATE]]+30</f>
        <v>43100</v>
      </c>
      <c r="N164" s="32">
        <v>43112</v>
      </c>
      <c r="O164" s="31"/>
      <c r="Q164" s="31">
        <f t="shared" si="2"/>
        <v>255.75</v>
      </c>
      <c r="R164" s="53" t="str">
        <f ca="1">IF(TODAY() - BCOXT[INV DUE DATE]&lt;30, "Less than 30 days",IF(TODAY()-BCOXT[INV DUE DATE]&lt;60,"30-60 days","More than 60 days"))</f>
        <v>More than 60 days</v>
      </c>
      <c r="S164" s="31" t="s">
        <v>812</v>
      </c>
      <c r="T164" s="43"/>
      <c r="U164" s="4" t="s">
        <v>3699</v>
      </c>
    </row>
    <row r="165" spans="1:21" x14ac:dyDescent="0.3">
      <c r="A165" s="28" t="s">
        <v>2140</v>
      </c>
      <c r="B165" s="4" t="s">
        <v>30</v>
      </c>
      <c r="C165" s="4" t="s">
        <v>303</v>
      </c>
      <c r="D165" s="4">
        <v>5405</v>
      </c>
      <c r="E165" s="30">
        <v>255.75</v>
      </c>
      <c r="H165" s="4">
        <v>172441</v>
      </c>
      <c r="I165" s="4" t="s">
        <v>358</v>
      </c>
      <c r="J165" s="28" t="s">
        <v>2421</v>
      </c>
      <c r="K165" s="28" t="s">
        <v>3</v>
      </c>
      <c r="L165" s="32">
        <v>43070</v>
      </c>
      <c r="M165" s="32">
        <f>BCOXT[[#This Row],[INV DOC DATE]]+30</f>
        <v>43100</v>
      </c>
      <c r="N165" s="32">
        <v>43112</v>
      </c>
      <c r="O165" s="31"/>
      <c r="Q165" s="31">
        <f t="shared" si="2"/>
        <v>255.75</v>
      </c>
      <c r="R165" s="53" t="str">
        <f ca="1">IF(TODAY() - BCOXT[INV DUE DATE]&lt;30, "Less than 30 days",IF(TODAY()-BCOXT[INV DUE DATE]&lt;60,"30-60 days","More than 60 days"))</f>
        <v>More than 60 days</v>
      </c>
      <c r="S165" s="31" t="s">
        <v>812</v>
      </c>
      <c r="T165" s="43"/>
      <c r="U165" s="4" t="s">
        <v>3699</v>
      </c>
    </row>
    <row r="166" spans="1:21" x14ac:dyDescent="0.3">
      <c r="A166" s="28" t="s">
        <v>2140</v>
      </c>
      <c r="B166" s="4" t="s">
        <v>30</v>
      </c>
      <c r="C166" s="4" t="s">
        <v>304</v>
      </c>
      <c r="D166" s="4">
        <v>5405</v>
      </c>
      <c r="E166" s="30">
        <v>255.75</v>
      </c>
      <c r="H166" s="4">
        <v>172441</v>
      </c>
      <c r="I166" s="4" t="s">
        <v>358</v>
      </c>
      <c r="J166" s="28" t="s">
        <v>2422</v>
      </c>
      <c r="K166" s="28" t="s">
        <v>3</v>
      </c>
      <c r="L166" s="32">
        <v>43070</v>
      </c>
      <c r="M166" s="32">
        <f>BCOXT[[#This Row],[INV DOC DATE]]+30</f>
        <v>43100</v>
      </c>
      <c r="N166" s="32">
        <v>43112</v>
      </c>
      <c r="O166" s="31"/>
      <c r="Q166" s="31">
        <f t="shared" si="2"/>
        <v>255.75</v>
      </c>
      <c r="R166" s="53" t="str">
        <f ca="1">IF(TODAY() - BCOXT[INV DUE DATE]&lt;30, "Less than 30 days",IF(TODAY()-BCOXT[INV DUE DATE]&lt;60,"30-60 days","More than 60 days"))</f>
        <v>More than 60 days</v>
      </c>
      <c r="S166" s="31" t="s">
        <v>812</v>
      </c>
      <c r="T166" s="43"/>
      <c r="U166" s="4" t="s">
        <v>3699</v>
      </c>
    </row>
    <row r="167" spans="1:21" x14ac:dyDescent="0.3">
      <c r="A167" s="28" t="s">
        <v>2141</v>
      </c>
      <c r="B167" s="4" t="s">
        <v>30</v>
      </c>
      <c r="C167" s="4" t="s">
        <v>305</v>
      </c>
      <c r="D167" s="4">
        <v>5405</v>
      </c>
      <c r="E167" s="30">
        <v>220</v>
      </c>
      <c r="H167" s="4">
        <v>68157</v>
      </c>
      <c r="I167" s="4" t="s">
        <v>358</v>
      </c>
      <c r="J167" s="28" t="s">
        <v>2423</v>
      </c>
      <c r="K167" s="28" t="s">
        <v>3</v>
      </c>
      <c r="L167" s="32">
        <v>43070</v>
      </c>
      <c r="M167" s="32">
        <f>BCOXT[[#This Row],[INV DOC DATE]]+30</f>
        <v>43100</v>
      </c>
      <c r="N167" s="32">
        <v>43112</v>
      </c>
      <c r="O167" s="31"/>
      <c r="Q167" s="31">
        <f t="shared" si="2"/>
        <v>220</v>
      </c>
      <c r="R167" s="53" t="str">
        <f ca="1">IF(TODAY() - BCOXT[INV DUE DATE]&lt;30, "Less than 30 days",IF(TODAY()-BCOXT[INV DUE DATE]&lt;60,"30-60 days","More than 60 days"))</f>
        <v>More than 60 days</v>
      </c>
      <c r="S167" s="31" t="s">
        <v>812</v>
      </c>
      <c r="T167" s="43"/>
      <c r="U167" s="4" t="s">
        <v>3699</v>
      </c>
    </row>
    <row r="168" spans="1:21" x14ac:dyDescent="0.3">
      <c r="A168" s="28" t="s">
        <v>2141</v>
      </c>
      <c r="B168" s="4" t="s">
        <v>30</v>
      </c>
      <c r="C168" s="4" t="s">
        <v>306</v>
      </c>
      <c r="D168" s="4">
        <v>5405</v>
      </c>
      <c r="E168" s="30">
        <v>150</v>
      </c>
      <c r="H168" s="4">
        <v>68157</v>
      </c>
      <c r="I168" s="4" t="s">
        <v>358</v>
      </c>
      <c r="J168" s="28" t="s">
        <v>2423</v>
      </c>
      <c r="K168" s="28" t="s">
        <v>2424</v>
      </c>
      <c r="L168" s="32">
        <v>43070</v>
      </c>
      <c r="M168" s="32">
        <f>BCOXT[[#This Row],[INV DOC DATE]]+30</f>
        <v>43100</v>
      </c>
      <c r="N168" s="32">
        <v>43112</v>
      </c>
      <c r="O168" s="31"/>
      <c r="Q168" s="31">
        <f t="shared" si="2"/>
        <v>150</v>
      </c>
      <c r="R168" s="53" t="str">
        <f ca="1">IF(TODAY() - BCOXT[INV DUE DATE]&lt;30, "Less than 30 days",IF(TODAY()-BCOXT[INV DUE DATE]&lt;60,"30-60 days","More than 60 days"))</f>
        <v>More than 60 days</v>
      </c>
      <c r="S168" s="31" t="s">
        <v>812</v>
      </c>
      <c r="T168" s="43"/>
      <c r="U168" s="4" t="s">
        <v>3699</v>
      </c>
    </row>
    <row r="169" spans="1:21" x14ac:dyDescent="0.3">
      <c r="A169" s="28" t="s">
        <v>2141</v>
      </c>
      <c r="B169" s="4" t="s">
        <v>30</v>
      </c>
      <c r="C169" s="4" t="s">
        <v>307</v>
      </c>
      <c r="D169" s="4">
        <v>5405</v>
      </c>
      <c r="E169" s="30">
        <v>90</v>
      </c>
      <c r="H169" s="4">
        <v>68157</v>
      </c>
      <c r="I169" s="4" t="s">
        <v>358</v>
      </c>
      <c r="J169" s="28" t="s">
        <v>2423</v>
      </c>
      <c r="K169" s="28" t="s">
        <v>810</v>
      </c>
      <c r="L169" s="32">
        <v>43070</v>
      </c>
      <c r="M169" s="32">
        <f>BCOXT[[#This Row],[INV DOC DATE]]+30</f>
        <v>43100</v>
      </c>
      <c r="N169" s="32">
        <v>43112</v>
      </c>
      <c r="O169" s="31"/>
      <c r="Q169" s="31">
        <f t="shared" si="2"/>
        <v>90</v>
      </c>
      <c r="R169" s="53" t="str">
        <f ca="1">IF(TODAY() - BCOXT[INV DUE DATE]&lt;30, "Less than 30 days",IF(TODAY()-BCOXT[INV DUE DATE]&lt;60,"30-60 days","More than 60 days"))</f>
        <v>More than 60 days</v>
      </c>
      <c r="S169" s="31" t="s">
        <v>812</v>
      </c>
      <c r="T169" s="43"/>
      <c r="U169" s="4" t="s">
        <v>3699</v>
      </c>
    </row>
    <row r="170" spans="1:21" x14ac:dyDescent="0.3">
      <c r="A170" s="28" t="s">
        <v>2141</v>
      </c>
      <c r="B170" s="4" t="s">
        <v>30</v>
      </c>
      <c r="C170" s="4" t="s">
        <v>308</v>
      </c>
      <c r="D170" s="4">
        <v>5405</v>
      </c>
      <c r="E170" s="30">
        <v>572</v>
      </c>
      <c r="H170" s="4">
        <v>68157</v>
      </c>
      <c r="I170" s="4" t="s">
        <v>358</v>
      </c>
      <c r="J170" s="28" t="s">
        <v>2425</v>
      </c>
      <c r="K170" s="28" t="s">
        <v>3</v>
      </c>
      <c r="L170" s="32">
        <v>43070</v>
      </c>
      <c r="M170" s="32">
        <f>BCOXT[[#This Row],[INV DOC DATE]]+30</f>
        <v>43100</v>
      </c>
      <c r="N170" s="32">
        <v>43112</v>
      </c>
      <c r="O170" s="31"/>
      <c r="Q170" s="31">
        <f t="shared" si="2"/>
        <v>572</v>
      </c>
      <c r="R170" s="53" t="str">
        <f ca="1">IF(TODAY() - BCOXT[INV DUE DATE]&lt;30, "Less than 30 days",IF(TODAY()-BCOXT[INV DUE DATE]&lt;60,"30-60 days","More than 60 days"))</f>
        <v>More than 60 days</v>
      </c>
      <c r="S170" s="31" t="s">
        <v>812</v>
      </c>
      <c r="T170" s="43"/>
      <c r="U170" s="4" t="s">
        <v>3699</v>
      </c>
    </row>
    <row r="171" spans="1:21" x14ac:dyDescent="0.3">
      <c r="A171" s="28" t="s">
        <v>2141</v>
      </c>
      <c r="B171" s="4" t="s">
        <v>30</v>
      </c>
      <c r="C171" s="4" t="s">
        <v>309</v>
      </c>
      <c r="D171" s="4">
        <v>5405</v>
      </c>
      <c r="E171" s="30">
        <v>150</v>
      </c>
      <c r="H171" s="4">
        <v>68157</v>
      </c>
      <c r="I171" s="4" t="s">
        <v>358</v>
      </c>
      <c r="J171" s="28" t="s">
        <v>2425</v>
      </c>
      <c r="K171" s="28" t="s">
        <v>2424</v>
      </c>
      <c r="L171" s="32">
        <v>43070</v>
      </c>
      <c r="M171" s="32">
        <f>BCOXT[[#This Row],[INV DOC DATE]]+30</f>
        <v>43100</v>
      </c>
      <c r="N171" s="32">
        <v>43112</v>
      </c>
      <c r="O171" s="31"/>
      <c r="Q171" s="31">
        <f t="shared" si="2"/>
        <v>150</v>
      </c>
      <c r="R171" s="53" t="str">
        <f ca="1">IF(TODAY() - BCOXT[INV DUE DATE]&lt;30, "Less than 30 days",IF(TODAY()-BCOXT[INV DUE DATE]&lt;60,"30-60 days","More than 60 days"))</f>
        <v>More than 60 days</v>
      </c>
      <c r="S171" s="31" t="s">
        <v>812</v>
      </c>
      <c r="T171" s="43"/>
      <c r="U171" s="4" t="s">
        <v>3699</v>
      </c>
    </row>
    <row r="172" spans="1:21" x14ac:dyDescent="0.3">
      <c r="A172" s="28" t="s">
        <v>2141</v>
      </c>
      <c r="B172" s="4" t="s">
        <v>30</v>
      </c>
      <c r="C172" s="4" t="s">
        <v>310</v>
      </c>
      <c r="D172" s="4">
        <v>5405</v>
      </c>
      <c r="E172" s="30">
        <v>90</v>
      </c>
      <c r="H172" s="4">
        <v>68157</v>
      </c>
      <c r="I172" s="4" t="s">
        <v>358</v>
      </c>
      <c r="J172" s="28" t="s">
        <v>2425</v>
      </c>
      <c r="K172" s="28" t="s">
        <v>810</v>
      </c>
      <c r="L172" s="32">
        <v>43070</v>
      </c>
      <c r="M172" s="32">
        <f>BCOXT[[#This Row],[INV DOC DATE]]+30</f>
        <v>43100</v>
      </c>
      <c r="N172" s="32">
        <v>43112</v>
      </c>
      <c r="O172" s="31"/>
      <c r="Q172" s="31">
        <f t="shared" si="2"/>
        <v>90</v>
      </c>
      <c r="R172" s="53" t="str">
        <f ca="1">IF(TODAY() - BCOXT[INV DUE DATE]&lt;30, "Less than 30 days",IF(TODAY()-BCOXT[INV DUE DATE]&lt;60,"30-60 days","More than 60 days"))</f>
        <v>More than 60 days</v>
      </c>
      <c r="S172" s="31" t="s">
        <v>812</v>
      </c>
      <c r="T172" s="43"/>
      <c r="U172" s="4" t="s">
        <v>3699</v>
      </c>
    </row>
    <row r="173" spans="1:21" x14ac:dyDescent="0.3">
      <c r="A173" s="28" t="s">
        <v>2141</v>
      </c>
      <c r="B173" s="4" t="s">
        <v>30</v>
      </c>
      <c r="C173" s="4" t="s">
        <v>311</v>
      </c>
      <c r="D173" s="4">
        <v>5405</v>
      </c>
      <c r="E173" s="30">
        <v>550</v>
      </c>
      <c r="H173" s="4">
        <v>68157</v>
      </c>
      <c r="I173" s="4" t="s">
        <v>358</v>
      </c>
      <c r="J173" s="28" t="s">
        <v>2426</v>
      </c>
      <c r="K173" s="28" t="s">
        <v>3</v>
      </c>
      <c r="L173" s="32">
        <v>43070</v>
      </c>
      <c r="M173" s="32">
        <f>BCOXT[[#This Row],[INV DOC DATE]]+30</f>
        <v>43100</v>
      </c>
      <c r="N173" s="32">
        <v>43112</v>
      </c>
      <c r="O173" s="31"/>
      <c r="Q173" s="31">
        <f t="shared" si="2"/>
        <v>550</v>
      </c>
      <c r="R173" s="53" t="str">
        <f ca="1">IF(TODAY() - BCOXT[INV DUE DATE]&lt;30, "Less than 30 days",IF(TODAY()-BCOXT[INV DUE DATE]&lt;60,"30-60 days","More than 60 days"))</f>
        <v>More than 60 days</v>
      </c>
      <c r="S173" s="31" t="s">
        <v>812</v>
      </c>
      <c r="T173" s="43"/>
      <c r="U173" s="4" t="s">
        <v>3699</v>
      </c>
    </row>
    <row r="174" spans="1:21" x14ac:dyDescent="0.3">
      <c r="A174" s="28" t="s">
        <v>2141</v>
      </c>
      <c r="B174" s="4" t="s">
        <v>30</v>
      </c>
      <c r="C174" s="4" t="s">
        <v>312</v>
      </c>
      <c r="D174" s="4">
        <v>5405</v>
      </c>
      <c r="E174" s="30">
        <v>150</v>
      </c>
      <c r="H174" s="4">
        <v>68157</v>
      </c>
      <c r="I174" s="4" t="s">
        <v>358</v>
      </c>
      <c r="J174" s="28" t="s">
        <v>2426</v>
      </c>
      <c r="K174" s="28" t="s">
        <v>2424</v>
      </c>
      <c r="L174" s="32">
        <v>43070</v>
      </c>
      <c r="M174" s="32">
        <f>BCOXT[[#This Row],[INV DOC DATE]]+30</f>
        <v>43100</v>
      </c>
      <c r="N174" s="32">
        <v>43112</v>
      </c>
      <c r="O174" s="31"/>
      <c r="Q174" s="31">
        <f t="shared" si="2"/>
        <v>150</v>
      </c>
      <c r="R174" s="53" t="str">
        <f ca="1">IF(TODAY() - BCOXT[INV DUE DATE]&lt;30, "Less than 30 days",IF(TODAY()-BCOXT[INV DUE DATE]&lt;60,"30-60 days","More than 60 days"))</f>
        <v>More than 60 days</v>
      </c>
      <c r="S174" s="31" t="s">
        <v>812</v>
      </c>
      <c r="T174" s="43"/>
      <c r="U174" s="4" t="s">
        <v>3699</v>
      </c>
    </row>
    <row r="175" spans="1:21" x14ac:dyDescent="0.3">
      <c r="A175" s="28" t="s">
        <v>2141</v>
      </c>
      <c r="B175" s="4" t="s">
        <v>30</v>
      </c>
      <c r="C175" s="4" t="s">
        <v>313</v>
      </c>
      <c r="D175" s="4">
        <v>5405</v>
      </c>
      <c r="E175" s="30">
        <v>90</v>
      </c>
      <c r="H175" s="4">
        <v>68157</v>
      </c>
      <c r="I175" s="4" t="s">
        <v>358</v>
      </c>
      <c r="J175" s="28" t="s">
        <v>2426</v>
      </c>
      <c r="K175" s="28" t="s">
        <v>810</v>
      </c>
      <c r="L175" s="32">
        <v>43070</v>
      </c>
      <c r="M175" s="32">
        <f>BCOXT[[#This Row],[INV DOC DATE]]+30</f>
        <v>43100</v>
      </c>
      <c r="N175" s="32">
        <v>43112</v>
      </c>
      <c r="O175" s="31"/>
      <c r="Q175" s="31">
        <f t="shared" si="2"/>
        <v>90</v>
      </c>
      <c r="R175" s="53" t="str">
        <f ca="1">IF(TODAY() - BCOXT[INV DUE DATE]&lt;30, "Less than 30 days",IF(TODAY()-BCOXT[INV DUE DATE]&lt;60,"30-60 days","More than 60 days"))</f>
        <v>More than 60 days</v>
      </c>
      <c r="S175" s="31" t="s">
        <v>812</v>
      </c>
      <c r="T175" s="43"/>
      <c r="U175" s="4" t="s">
        <v>3699</v>
      </c>
    </row>
    <row r="176" spans="1:21" x14ac:dyDescent="0.3">
      <c r="A176" s="28" t="s">
        <v>2141</v>
      </c>
      <c r="B176" s="4" t="s">
        <v>30</v>
      </c>
      <c r="C176" s="4" t="s">
        <v>314</v>
      </c>
      <c r="D176" s="4">
        <v>5405</v>
      </c>
      <c r="E176" s="30">
        <v>234</v>
      </c>
      <c r="H176" s="4">
        <v>68157</v>
      </c>
      <c r="I176" s="4" t="s">
        <v>358</v>
      </c>
      <c r="J176" s="28" t="s">
        <v>2427</v>
      </c>
      <c r="K176" s="28" t="s">
        <v>3</v>
      </c>
      <c r="L176" s="32">
        <v>43070</v>
      </c>
      <c r="M176" s="32">
        <f>BCOXT[[#This Row],[INV DOC DATE]]+30</f>
        <v>43100</v>
      </c>
      <c r="N176" s="32">
        <v>43112</v>
      </c>
      <c r="O176" s="31"/>
      <c r="Q176" s="31">
        <f t="shared" si="2"/>
        <v>234</v>
      </c>
      <c r="R176" s="53" t="str">
        <f ca="1">IF(TODAY() - BCOXT[INV DUE DATE]&lt;30, "Less than 30 days",IF(TODAY()-BCOXT[INV DUE DATE]&lt;60,"30-60 days","More than 60 days"))</f>
        <v>More than 60 days</v>
      </c>
      <c r="S176" s="31" t="s">
        <v>812</v>
      </c>
      <c r="T176" s="43"/>
      <c r="U176" s="4" t="s">
        <v>3699</v>
      </c>
    </row>
    <row r="177" spans="1:21" x14ac:dyDescent="0.3">
      <c r="A177" s="28" t="s">
        <v>2141</v>
      </c>
      <c r="B177" s="4" t="s">
        <v>30</v>
      </c>
      <c r="C177" s="4" t="s">
        <v>315</v>
      </c>
      <c r="D177" s="4">
        <v>5405</v>
      </c>
      <c r="E177" s="30">
        <v>90</v>
      </c>
      <c r="H177" s="4">
        <v>68157</v>
      </c>
      <c r="I177" s="4" t="s">
        <v>358</v>
      </c>
      <c r="J177" s="28" t="s">
        <v>2427</v>
      </c>
      <c r="K177" s="28" t="s">
        <v>810</v>
      </c>
      <c r="L177" s="32">
        <v>43070</v>
      </c>
      <c r="M177" s="32">
        <f>BCOXT[[#This Row],[INV DOC DATE]]+30</f>
        <v>43100</v>
      </c>
      <c r="N177" s="32">
        <v>43112</v>
      </c>
      <c r="O177" s="31"/>
      <c r="Q177" s="31">
        <f t="shared" si="2"/>
        <v>90</v>
      </c>
      <c r="R177" s="53" t="str">
        <f ca="1">IF(TODAY() - BCOXT[INV DUE DATE]&lt;30, "Less than 30 days",IF(TODAY()-BCOXT[INV DUE DATE]&lt;60,"30-60 days","More than 60 days"))</f>
        <v>More than 60 days</v>
      </c>
      <c r="S177" s="31" t="s">
        <v>812</v>
      </c>
      <c r="T177" s="43"/>
      <c r="U177" s="4" t="s">
        <v>3699</v>
      </c>
    </row>
    <row r="178" spans="1:21" x14ac:dyDescent="0.3">
      <c r="A178" s="28" t="s">
        <v>2141</v>
      </c>
      <c r="B178" s="4" t="s">
        <v>30</v>
      </c>
      <c r="C178" s="4" t="s">
        <v>316</v>
      </c>
      <c r="D178" s="4">
        <v>5405</v>
      </c>
      <c r="E178" s="30">
        <v>90</v>
      </c>
      <c r="H178" s="4">
        <v>68157</v>
      </c>
      <c r="I178" s="4" t="s">
        <v>358</v>
      </c>
      <c r="J178" s="28" t="s">
        <v>2428</v>
      </c>
      <c r="K178" s="28" t="s">
        <v>3</v>
      </c>
      <c r="L178" s="32">
        <v>43070</v>
      </c>
      <c r="M178" s="32">
        <f>BCOXT[[#This Row],[INV DOC DATE]]+30</f>
        <v>43100</v>
      </c>
      <c r="N178" s="32">
        <v>43112</v>
      </c>
      <c r="O178" s="31"/>
      <c r="Q178" s="31">
        <f t="shared" si="2"/>
        <v>90</v>
      </c>
      <c r="R178" s="53" t="str">
        <f ca="1">IF(TODAY() - BCOXT[INV DUE DATE]&lt;30, "Less than 30 days",IF(TODAY()-BCOXT[INV DUE DATE]&lt;60,"30-60 days","More than 60 days"))</f>
        <v>More than 60 days</v>
      </c>
      <c r="S178" s="31" t="s">
        <v>812</v>
      </c>
      <c r="T178" s="43"/>
      <c r="U178" s="4" t="s">
        <v>3699</v>
      </c>
    </row>
    <row r="179" spans="1:21" x14ac:dyDescent="0.3">
      <c r="A179" s="28" t="s">
        <v>2141</v>
      </c>
      <c r="B179" s="4" t="s">
        <v>30</v>
      </c>
      <c r="C179" s="4" t="s">
        <v>317</v>
      </c>
      <c r="D179" s="4">
        <v>5405</v>
      </c>
      <c r="E179" s="30">
        <v>90</v>
      </c>
      <c r="H179" s="4">
        <v>68157</v>
      </c>
      <c r="I179" s="4" t="s">
        <v>358</v>
      </c>
      <c r="J179" s="28" t="s">
        <v>2428</v>
      </c>
      <c r="K179" s="28" t="s">
        <v>810</v>
      </c>
      <c r="L179" s="32">
        <v>43070</v>
      </c>
      <c r="M179" s="32">
        <f>BCOXT[[#This Row],[INV DOC DATE]]+30</f>
        <v>43100</v>
      </c>
      <c r="N179" s="32">
        <v>43112</v>
      </c>
      <c r="O179" s="31"/>
      <c r="Q179" s="31">
        <f t="shared" si="2"/>
        <v>90</v>
      </c>
      <c r="R179" s="53" t="str">
        <f ca="1">IF(TODAY() - BCOXT[INV DUE DATE]&lt;30, "Less than 30 days",IF(TODAY()-BCOXT[INV DUE DATE]&lt;60,"30-60 days","More than 60 days"))</f>
        <v>More than 60 days</v>
      </c>
      <c r="S179" s="31" t="s">
        <v>812</v>
      </c>
      <c r="T179" s="43"/>
      <c r="U179" s="4" t="s">
        <v>3699</v>
      </c>
    </row>
    <row r="180" spans="1:21" x14ac:dyDescent="0.3">
      <c r="A180" s="28" t="s">
        <v>2141</v>
      </c>
      <c r="B180" s="4" t="s">
        <v>30</v>
      </c>
      <c r="C180" s="4" t="s">
        <v>318</v>
      </c>
      <c r="D180" s="4">
        <v>5405</v>
      </c>
      <c r="E180" s="30">
        <v>225</v>
      </c>
      <c r="H180" s="4">
        <v>68157</v>
      </c>
      <c r="I180" s="4" t="s">
        <v>358</v>
      </c>
      <c r="J180" s="28" t="s">
        <v>2429</v>
      </c>
      <c r="K180" s="28" t="s">
        <v>3</v>
      </c>
      <c r="L180" s="32">
        <v>43070</v>
      </c>
      <c r="M180" s="32">
        <f>BCOXT[[#This Row],[INV DOC DATE]]+30</f>
        <v>43100</v>
      </c>
      <c r="N180" s="32">
        <v>43112</v>
      </c>
      <c r="O180" s="31"/>
      <c r="Q180" s="31">
        <f t="shared" si="2"/>
        <v>225</v>
      </c>
      <c r="R180" s="53" t="str">
        <f ca="1">IF(TODAY() - BCOXT[INV DUE DATE]&lt;30, "Less than 30 days",IF(TODAY()-BCOXT[INV DUE DATE]&lt;60,"30-60 days","More than 60 days"))</f>
        <v>More than 60 days</v>
      </c>
      <c r="S180" s="31" t="s">
        <v>812</v>
      </c>
      <c r="T180" s="43"/>
      <c r="U180" s="4" t="s">
        <v>3699</v>
      </c>
    </row>
    <row r="181" spans="1:21" x14ac:dyDescent="0.3">
      <c r="A181" s="28" t="s">
        <v>2141</v>
      </c>
      <c r="B181" s="4" t="s">
        <v>30</v>
      </c>
      <c r="C181" s="4" t="s">
        <v>319</v>
      </c>
      <c r="D181" s="4">
        <v>5405</v>
      </c>
      <c r="E181" s="30">
        <v>90</v>
      </c>
      <c r="H181" s="4">
        <v>68157</v>
      </c>
      <c r="I181" s="4" t="s">
        <v>358</v>
      </c>
      <c r="J181" s="28" t="s">
        <v>2429</v>
      </c>
      <c r="K181" s="28" t="s">
        <v>810</v>
      </c>
      <c r="L181" s="32">
        <v>43070</v>
      </c>
      <c r="M181" s="32">
        <f>BCOXT[[#This Row],[INV DOC DATE]]+30</f>
        <v>43100</v>
      </c>
      <c r="N181" s="32">
        <v>43112</v>
      </c>
      <c r="O181" s="31"/>
      <c r="Q181" s="31">
        <f t="shared" si="2"/>
        <v>90</v>
      </c>
      <c r="R181" s="53" t="str">
        <f ca="1">IF(TODAY() - BCOXT[INV DUE DATE]&lt;30, "Less than 30 days",IF(TODAY()-BCOXT[INV DUE DATE]&lt;60,"30-60 days","More than 60 days"))</f>
        <v>More than 60 days</v>
      </c>
      <c r="S181" s="31" t="s">
        <v>812</v>
      </c>
      <c r="T181" s="43"/>
      <c r="U181" s="4" t="s">
        <v>3699</v>
      </c>
    </row>
    <row r="182" spans="1:21" x14ac:dyDescent="0.3">
      <c r="A182" s="28" t="s">
        <v>2142</v>
      </c>
      <c r="B182" s="4" t="s">
        <v>30</v>
      </c>
      <c r="C182" s="4" t="s">
        <v>320</v>
      </c>
      <c r="D182" s="4">
        <v>5405</v>
      </c>
      <c r="E182" s="30">
        <v>148.75</v>
      </c>
      <c r="H182" s="4">
        <v>67094</v>
      </c>
      <c r="I182" s="4" t="s">
        <v>2283</v>
      </c>
      <c r="J182" s="28" t="s">
        <v>2430</v>
      </c>
      <c r="K182" s="28" t="s">
        <v>3</v>
      </c>
      <c r="L182" s="32">
        <v>43070</v>
      </c>
      <c r="M182" s="32">
        <f>BCOXT[[#This Row],[INV DOC DATE]]+30</f>
        <v>43100</v>
      </c>
      <c r="N182" s="32">
        <v>43112</v>
      </c>
      <c r="O182" s="31"/>
      <c r="Q182" s="31">
        <f t="shared" si="2"/>
        <v>148.75</v>
      </c>
      <c r="R182" s="53" t="str">
        <f ca="1">IF(TODAY() - BCOXT[INV DUE DATE]&lt;30, "Less than 30 days",IF(TODAY()-BCOXT[INV DUE DATE]&lt;60,"30-60 days","More than 60 days"))</f>
        <v>More than 60 days</v>
      </c>
      <c r="S182" s="31" t="s">
        <v>812</v>
      </c>
      <c r="T182" s="43"/>
      <c r="U182" s="4" t="s">
        <v>3699</v>
      </c>
    </row>
    <row r="183" spans="1:21" x14ac:dyDescent="0.3">
      <c r="A183" s="28" t="s">
        <v>2142</v>
      </c>
      <c r="B183" s="4" t="s">
        <v>30</v>
      </c>
      <c r="C183" s="4" t="s">
        <v>321</v>
      </c>
      <c r="D183" s="4">
        <v>5405</v>
      </c>
      <c r="E183" s="30">
        <v>90</v>
      </c>
      <c r="H183" s="4">
        <v>67094</v>
      </c>
      <c r="I183" s="4" t="s">
        <v>2283</v>
      </c>
      <c r="J183" s="28" t="s">
        <v>2430</v>
      </c>
      <c r="K183" s="28" t="s">
        <v>810</v>
      </c>
      <c r="L183" s="32">
        <v>43070</v>
      </c>
      <c r="M183" s="32">
        <f>BCOXT[[#This Row],[INV DOC DATE]]+30</f>
        <v>43100</v>
      </c>
      <c r="N183" s="32">
        <v>43112</v>
      </c>
      <c r="O183" s="31"/>
      <c r="Q183" s="31">
        <f t="shared" si="2"/>
        <v>90</v>
      </c>
      <c r="R183" s="53" t="str">
        <f ca="1">IF(TODAY() - BCOXT[INV DUE DATE]&lt;30, "Less than 30 days",IF(TODAY()-BCOXT[INV DUE DATE]&lt;60,"30-60 days","More than 60 days"))</f>
        <v>More than 60 days</v>
      </c>
      <c r="S183" s="31" t="s">
        <v>812</v>
      </c>
      <c r="T183" s="43"/>
      <c r="U183" s="4" t="s">
        <v>3699</v>
      </c>
    </row>
    <row r="184" spans="1:21" x14ac:dyDescent="0.3">
      <c r="A184" s="28" t="s">
        <v>2142</v>
      </c>
      <c r="B184" s="4" t="s">
        <v>30</v>
      </c>
      <c r="C184" s="4" t="s">
        <v>322</v>
      </c>
      <c r="D184" s="4">
        <v>5405</v>
      </c>
      <c r="E184" s="30">
        <v>131.75</v>
      </c>
      <c r="H184" s="4">
        <v>67094</v>
      </c>
      <c r="I184" s="4" t="s">
        <v>2283</v>
      </c>
      <c r="J184" s="28" t="s">
        <v>2431</v>
      </c>
      <c r="K184" s="28" t="s">
        <v>3</v>
      </c>
      <c r="L184" s="32">
        <v>43070</v>
      </c>
      <c r="M184" s="32">
        <f>BCOXT[[#This Row],[INV DOC DATE]]+30</f>
        <v>43100</v>
      </c>
      <c r="N184" s="32">
        <v>43112</v>
      </c>
      <c r="O184" s="31"/>
      <c r="Q184" s="31">
        <f t="shared" si="2"/>
        <v>131.75</v>
      </c>
      <c r="R184" s="53" t="str">
        <f ca="1">IF(TODAY() - BCOXT[INV DUE DATE]&lt;30, "Less than 30 days",IF(TODAY()-BCOXT[INV DUE DATE]&lt;60,"30-60 days","More than 60 days"))</f>
        <v>More than 60 days</v>
      </c>
      <c r="S184" s="31" t="s">
        <v>812</v>
      </c>
      <c r="T184" s="43"/>
      <c r="U184" s="4" t="s">
        <v>3699</v>
      </c>
    </row>
    <row r="185" spans="1:21" x14ac:dyDescent="0.3">
      <c r="A185" s="28" t="s">
        <v>2142</v>
      </c>
      <c r="B185" s="4" t="s">
        <v>30</v>
      </c>
      <c r="C185" s="4" t="s">
        <v>323</v>
      </c>
      <c r="D185" s="4">
        <v>5405</v>
      </c>
      <c r="E185" s="30">
        <v>90</v>
      </c>
      <c r="H185" s="4">
        <v>67094</v>
      </c>
      <c r="I185" s="4" t="s">
        <v>2283</v>
      </c>
      <c r="J185" s="28" t="s">
        <v>2431</v>
      </c>
      <c r="K185" s="28" t="s">
        <v>810</v>
      </c>
      <c r="L185" s="32">
        <v>43070</v>
      </c>
      <c r="M185" s="32">
        <f>BCOXT[[#This Row],[INV DOC DATE]]+30</f>
        <v>43100</v>
      </c>
      <c r="N185" s="32">
        <v>43112</v>
      </c>
      <c r="O185" s="31"/>
      <c r="Q185" s="31">
        <f t="shared" si="2"/>
        <v>90</v>
      </c>
      <c r="R185" s="53" t="str">
        <f ca="1">IF(TODAY() - BCOXT[INV DUE DATE]&lt;30, "Less than 30 days",IF(TODAY()-BCOXT[INV DUE DATE]&lt;60,"30-60 days","More than 60 days"))</f>
        <v>More than 60 days</v>
      </c>
      <c r="S185" s="31" t="s">
        <v>812</v>
      </c>
      <c r="T185" s="43"/>
      <c r="U185" s="4" t="s">
        <v>3699</v>
      </c>
    </row>
    <row r="186" spans="1:21" x14ac:dyDescent="0.3">
      <c r="A186" s="28" t="s">
        <v>2143</v>
      </c>
      <c r="D186" s="99">
        <v>5405</v>
      </c>
      <c r="E186" s="30">
        <v>37429.089999999997</v>
      </c>
      <c r="K186" s="29" t="s">
        <v>3</v>
      </c>
      <c r="L186" s="32">
        <v>43101</v>
      </c>
      <c r="M186" s="32">
        <f>BCOXT[[#This Row],[INV DOC DATE]]+30</f>
        <v>43131</v>
      </c>
      <c r="N186" s="32"/>
      <c r="O186" s="30">
        <v>37429.089999999997</v>
      </c>
      <c r="P186" s="104">
        <v>43234</v>
      </c>
      <c r="Q186" s="31">
        <f t="shared" si="2"/>
        <v>0</v>
      </c>
      <c r="R186" s="53" t="str">
        <f ca="1">IF(TODAY() - BCOXT[INV DUE DATE]&lt;30, "Less than 30 days",IF(TODAY()-BCOXT[INV DUE DATE]&lt;60,"30-60 days","More than 60 days"))</f>
        <v>More than 60 days</v>
      </c>
      <c r="S186" s="4" t="s">
        <v>812</v>
      </c>
      <c r="T186" s="43" t="s">
        <v>2229</v>
      </c>
      <c r="U186" s="4" t="s">
        <v>3699</v>
      </c>
    </row>
    <row r="187" spans="1:21" x14ac:dyDescent="0.3">
      <c r="A187" s="28" t="s">
        <v>2213</v>
      </c>
      <c r="D187" s="99">
        <v>5405</v>
      </c>
      <c r="E187" s="31">
        <v>4309</v>
      </c>
      <c r="K187" s="29" t="s">
        <v>3</v>
      </c>
      <c r="L187" s="32">
        <v>43101</v>
      </c>
      <c r="M187" s="32">
        <f>BCOXT[[#This Row],[INV DOC DATE]]+30</f>
        <v>43131</v>
      </c>
      <c r="N187" s="32"/>
      <c r="O187" s="31">
        <v>4309</v>
      </c>
      <c r="P187" s="104">
        <v>43234</v>
      </c>
      <c r="Q187" s="31">
        <f t="shared" si="2"/>
        <v>0</v>
      </c>
      <c r="R187" s="53" t="str">
        <f ca="1">IF(TODAY() - BCOXT[INV DUE DATE]&lt;30, "Less than 30 days",IF(TODAY()-BCOXT[INV DUE DATE]&lt;60,"30-60 days","More than 60 days"))</f>
        <v>More than 60 days</v>
      </c>
      <c r="S187" s="4" t="s">
        <v>812</v>
      </c>
      <c r="T187" s="43" t="s">
        <v>2229</v>
      </c>
      <c r="U187" s="4" t="s">
        <v>3699</v>
      </c>
    </row>
    <row r="188" spans="1:21" x14ac:dyDescent="0.3">
      <c r="A188" s="28" t="s">
        <v>2214</v>
      </c>
      <c r="D188" s="99">
        <v>5405</v>
      </c>
      <c r="E188" s="31">
        <v>2883</v>
      </c>
      <c r="K188" s="29" t="s">
        <v>3</v>
      </c>
      <c r="L188" s="32">
        <v>43101</v>
      </c>
      <c r="M188" s="32">
        <f>BCOXT[[#This Row],[INV DOC DATE]]+30</f>
        <v>43131</v>
      </c>
      <c r="N188" s="32"/>
      <c r="O188" s="31">
        <v>2883</v>
      </c>
      <c r="P188" s="104">
        <v>43234</v>
      </c>
      <c r="Q188" s="31">
        <f t="shared" si="2"/>
        <v>0</v>
      </c>
      <c r="R188" s="53" t="str">
        <f ca="1">IF(TODAY() - BCOXT[INV DUE DATE]&lt;30, "Less than 30 days",IF(TODAY()-BCOXT[INV DUE DATE]&lt;60,"30-60 days","More than 60 days"))</f>
        <v>More than 60 days</v>
      </c>
      <c r="S188" s="4" t="s">
        <v>812</v>
      </c>
      <c r="T188" s="43" t="s">
        <v>2229</v>
      </c>
      <c r="U188" s="4" t="s">
        <v>3699</v>
      </c>
    </row>
    <row r="189" spans="1:21" x14ac:dyDescent="0.3">
      <c r="A189" s="28" t="s">
        <v>2215</v>
      </c>
      <c r="D189" s="99">
        <v>5405</v>
      </c>
      <c r="E189" s="31">
        <v>511.5</v>
      </c>
      <c r="K189" s="29" t="s">
        <v>3</v>
      </c>
      <c r="L189" s="32">
        <v>43101</v>
      </c>
      <c r="M189" s="32">
        <f>BCOXT[[#This Row],[INV DOC DATE]]+30</f>
        <v>43131</v>
      </c>
      <c r="N189" s="32"/>
      <c r="O189" s="31">
        <v>511.5</v>
      </c>
      <c r="P189" s="104">
        <v>43234</v>
      </c>
      <c r="Q189" s="31">
        <f t="shared" si="2"/>
        <v>0</v>
      </c>
      <c r="R189" s="53" t="str">
        <f ca="1">IF(TODAY() - BCOXT[INV DUE DATE]&lt;30, "Less than 30 days",IF(TODAY()-BCOXT[INV DUE DATE]&lt;60,"30-60 days","More than 60 days"))</f>
        <v>More than 60 days</v>
      </c>
      <c r="S189" s="4" t="s">
        <v>812</v>
      </c>
      <c r="T189" s="43" t="s">
        <v>2229</v>
      </c>
      <c r="U189" s="4" t="s">
        <v>3699</v>
      </c>
    </row>
    <row r="190" spans="1:21" x14ac:dyDescent="0.3">
      <c r="A190" s="28" t="s">
        <v>2219</v>
      </c>
      <c r="D190" s="99">
        <v>5405</v>
      </c>
      <c r="E190" s="31">
        <v>50838.67</v>
      </c>
      <c r="K190" s="29" t="s">
        <v>3</v>
      </c>
      <c r="L190" s="32">
        <v>43132</v>
      </c>
      <c r="M190" s="32">
        <f>BCOXT[[#This Row],[INV DOC DATE]]+30</f>
        <v>43162</v>
      </c>
      <c r="N190" s="32"/>
      <c r="O190" s="31">
        <v>50838.67</v>
      </c>
      <c r="P190" s="104">
        <v>43234</v>
      </c>
      <c r="Q190" s="31">
        <f t="shared" si="2"/>
        <v>0</v>
      </c>
      <c r="R190" s="53" t="str">
        <f ca="1">IF(TODAY() - BCOXT[INV DUE DATE]&lt;30, "Less than 30 days",IF(TODAY()-BCOXT[INV DUE DATE]&lt;60,"30-60 days","More than 60 days"))</f>
        <v>More than 60 days</v>
      </c>
      <c r="S190" s="4" t="s">
        <v>812</v>
      </c>
      <c r="T190" s="43" t="s">
        <v>2229</v>
      </c>
      <c r="U190" s="4" t="s">
        <v>3699</v>
      </c>
    </row>
    <row r="191" spans="1:21" x14ac:dyDescent="0.3">
      <c r="A191" s="28" t="s">
        <v>2216</v>
      </c>
      <c r="B191" s="4" t="s">
        <v>3743</v>
      </c>
      <c r="D191" s="99">
        <v>5405</v>
      </c>
      <c r="E191" s="31">
        <v>1086.4000000000001</v>
      </c>
      <c r="G191" s="4">
        <v>4320150392</v>
      </c>
      <c r="J191" s="28" t="s">
        <v>2257</v>
      </c>
      <c r="K191" s="29" t="s">
        <v>3</v>
      </c>
      <c r="L191" s="32">
        <v>43132</v>
      </c>
      <c r="M191" s="32">
        <f>BCOXT[[#This Row],[INV DOC DATE]]+30</f>
        <v>43162</v>
      </c>
      <c r="N191" s="32"/>
      <c r="O191" s="31">
        <v>1086.4000000000001</v>
      </c>
      <c r="P191" s="102">
        <v>43266</v>
      </c>
      <c r="Q191" s="31">
        <f t="shared" si="2"/>
        <v>0</v>
      </c>
      <c r="R191" s="53" t="str">
        <f ca="1">IF(TODAY() - BCOXT[INV DUE DATE]&lt;30, "Less than 30 days",IF(TODAY()-BCOXT[INV DUE DATE]&lt;60,"30-60 days","More than 60 days"))</f>
        <v>More than 60 days</v>
      </c>
      <c r="S191" s="4" t="s">
        <v>812</v>
      </c>
      <c r="T191" s="43" t="s">
        <v>2229</v>
      </c>
      <c r="U191" s="4" t="s">
        <v>3699</v>
      </c>
    </row>
    <row r="192" spans="1:21" x14ac:dyDescent="0.3">
      <c r="A192" s="28" t="s">
        <v>2220</v>
      </c>
      <c r="B192" s="4" t="s">
        <v>35</v>
      </c>
      <c r="C192" s="4" t="s">
        <v>73</v>
      </c>
      <c r="D192" s="4">
        <v>5405</v>
      </c>
      <c r="E192" s="30">
        <v>90</v>
      </c>
      <c r="G192" s="4">
        <v>4300021652</v>
      </c>
      <c r="J192" s="28" t="s">
        <v>651</v>
      </c>
      <c r="K192" s="28" t="s">
        <v>810</v>
      </c>
      <c r="L192" s="32">
        <v>43160</v>
      </c>
      <c r="M192" s="32">
        <f>BCOXT[[#This Row],[INV DOC DATE]]+30</f>
        <v>43190</v>
      </c>
      <c r="N192" s="32"/>
      <c r="O192" s="31">
        <v>90</v>
      </c>
      <c r="P192" s="102">
        <v>43286</v>
      </c>
      <c r="Q192" s="31">
        <f t="shared" si="2"/>
        <v>0</v>
      </c>
      <c r="R192" s="53" t="str">
        <f ca="1">IF(TODAY() - BCOXT[INV DUE DATE]&lt;30, "Less than 30 days",IF(TODAY()-BCOXT[INV DUE DATE]&lt;60,"30-60 days","More than 60 days"))</f>
        <v>More than 60 days</v>
      </c>
      <c r="S192" s="31" t="s">
        <v>812</v>
      </c>
      <c r="T192" s="43" t="s">
        <v>2229</v>
      </c>
      <c r="U192" s="4" t="s">
        <v>3699</v>
      </c>
    </row>
    <row r="193" spans="1:21" x14ac:dyDescent="0.3">
      <c r="A193" s="28" t="s">
        <v>2220</v>
      </c>
      <c r="B193" s="4" t="s">
        <v>35</v>
      </c>
      <c r="C193" s="4" t="s">
        <v>74</v>
      </c>
      <c r="D193" s="4">
        <v>5405</v>
      </c>
      <c r="E193" s="30">
        <v>160</v>
      </c>
      <c r="G193" s="4">
        <v>4300021652</v>
      </c>
      <c r="J193" s="28" t="s">
        <v>651</v>
      </c>
      <c r="K193" s="28" t="s">
        <v>3</v>
      </c>
      <c r="L193" s="32">
        <v>43160</v>
      </c>
      <c r="M193" s="32">
        <f>BCOXT[[#This Row],[INV DOC DATE]]+30</f>
        <v>43190</v>
      </c>
      <c r="N193" s="32"/>
      <c r="O193" s="31">
        <v>160</v>
      </c>
      <c r="P193" s="102">
        <v>43286</v>
      </c>
      <c r="Q193" s="31">
        <f t="shared" si="2"/>
        <v>0</v>
      </c>
      <c r="R193" s="53" t="str">
        <f ca="1">IF(TODAY() - BCOXT[INV DUE DATE]&lt;30, "Less than 30 days",IF(TODAY()-BCOXT[INV DUE DATE]&lt;60,"30-60 days","More than 60 days"))</f>
        <v>More than 60 days</v>
      </c>
      <c r="S193" s="31" t="s">
        <v>812</v>
      </c>
      <c r="T193" s="43" t="s">
        <v>2229</v>
      </c>
      <c r="U193" s="4" t="s">
        <v>3699</v>
      </c>
    </row>
    <row r="194" spans="1:21" x14ac:dyDescent="0.3">
      <c r="A194" s="28" t="s">
        <v>2220</v>
      </c>
      <c r="B194" s="4" t="s">
        <v>35</v>
      </c>
      <c r="C194" s="4" t="s">
        <v>76</v>
      </c>
      <c r="D194" s="4">
        <v>5405</v>
      </c>
      <c r="E194" s="30">
        <v>160</v>
      </c>
      <c r="G194" s="4">
        <v>4300021652</v>
      </c>
      <c r="J194" s="28" t="s">
        <v>652</v>
      </c>
      <c r="K194" s="28" t="s">
        <v>3</v>
      </c>
      <c r="L194" s="32">
        <v>43160</v>
      </c>
      <c r="M194" s="32">
        <f>BCOXT[[#This Row],[INV DOC DATE]]+30</f>
        <v>43190</v>
      </c>
      <c r="N194" s="32"/>
      <c r="O194" s="31">
        <v>160</v>
      </c>
      <c r="P194" s="102">
        <v>43286</v>
      </c>
      <c r="Q194" s="31">
        <f t="shared" ref="Q194:Q257" si="3">$E194-$O194</f>
        <v>0</v>
      </c>
      <c r="R194" s="53" t="str">
        <f ca="1">IF(TODAY() - BCOXT[INV DUE DATE]&lt;30, "Less than 30 days",IF(TODAY()-BCOXT[INV DUE DATE]&lt;60,"30-60 days","More than 60 days"))</f>
        <v>More than 60 days</v>
      </c>
      <c r="S194" s="31" t="s">
        <v>812</v>
      </c>
      <c r="T194" s="43" t="s">
        <v>2229</v>
      </c>
      <c r="U194" s="4" t="s">
        <v>3699</v>
      </c>
    </row>
    <row r="195" spans="1:21" x14ac:dyDescent="0.3">
      <c r="A195" s="28" t="s">
        <v>2220</v>
      </c>
      <c r="B195" s="4" t="s">
        <v>35</v>
      </c>
      <c r="C195" s="4" t="s">
        <v>77</v>
      </c>
      <c r="D195" s="4">
        <v>5405</v>
      </c>
      <c r="E195" s="30">
        <v>90</v>
      </c>
      <c r="G195" s="4">
        <v>4300021652</v>
      </c>
      <c r="J195" s="28" t="s">
        <v>653</v>
      </c>
      <c r="K195" s="28" t="s">
        <v>810</v>
      </c>
      <c r="L195" s="32">
        <v>43160</v>
      </c>
      <c r="M195" s="32">
        <f>BCOXT[[#This Row],[INV DOC DATE]]+30</f>
        <v>43190</v>
      </c>
      <c r="N195" s="32"/>
      <c r="O195" s="31">
        <v>90</v>
      </c>
      <c r="P195" s="102">
        <v>43286</v>
      </c>
      <c r="Q195" s="31">
        <f t="shared" si="3"/>
        <v>0</v>
      </c>
      <c r="R195" s="53" t="str">
        <f ca="1">IF(TODAY() - BCOXT[INV DUE DATE]&lt;30, "Less than 30 days",IF(TODAY()-BCOXT[INV DUE DATE]&lt;60,"30-60 days","More than 60 days"))</f>
        <v>More than 60 days</v>
      </c>
      <c r="S195" s="31" t="s">
        <v>812</v>
      </c>
      <c r="T195" s="43" t="s">
        <v>2229</v>
      </c>
      <c r="U195" s="4" t="s">
        <v>3699</v>
      </c>
    </row>
    <row r="196" spans="1:21" x14ac:dyDescent="0.3">
      <c r="A196" s="28" t="s">
        <v>2220</v>
      </c>
      <c r="B196" s="4" t="s">
        <v>35</v>
      </c>
      <c r="C196" s="4" t="s">
        <v>131</v>
      </c>
      <c r="D196" s="4">
        <v>5405</v>
      </c>
      <c r="E196" s="30">
        <v>263.5</v>
      </c>
      <c r="G196" s="4">
        <v>4300021652</v>
      </c>
      <c r="J196" s="28" t="s">
        <v>697</v>
      </c>
      <c r="K196" s="28" t="s">
        <v>3</v>
      </c>
      <c r="L196" s="32">
        <v>43160</v>
      </c>
      <c r="M196" s="32">
        <f>BCOXT[[#This Row],[INV DOC DATE]]+30</f>
        <v>43190</v>
      </c>
      <c r="N196" s="32"/>
      <c r="O196" s="31">
        <v>263.5</v>
      </c>
      <c r="P196" s="102">
        <v>43286</v>
      </c>
      <c r="Q196" s="31">
        <f t="shared" si="3"/>
        <v>0</v>
      </c>
      <c r="R196" s="53" t="str">
        <f ca="1">IF(TODAY() - BCOXT[INV DUE DATE]&lt;30, "Less than 30 days",IF(TODAY()-BCOXT[INV DUE DATE]&lt;60,"30-60 days","More than 60 days"))</f>
        <v>More than 60 days</v>
      </c>
      <c r="S196" s="31" t="s">
        <v>812</v>
      </c>
      <c r="T196" s="43" t="s">
        <v>2229</v>
      </c>
      <c r="U196" s="4" t="s">
        <v>3699</v>
      </c>
    </row>
    <row r="197" spans="1:21" x14ac:dyDescent="0.3">
      <c r="A197" s="28" t="s">
        <v>2220</v>
      </c>
      <c r="B197" s="4" t="s">
        <v>35</v>
      </c>
      <c r="C197" s="4" t="s">
        <v>560</v>
      </c>
      <c r="D197" s="4">
        <v>5405</v>
      </c>
      <c r="E197" s="30">
        <v>180</v>
      </c>
      <c r="G197" s="4">
        <v>4300021652</v>
      </c>
      <c r="J197" s="28" t="s">
        <v>759</v>
      </c>
      <c r="K197" s="28" t="s">
        <v>3</v>
      </c>
      <c r="L197" s="32">
        <v>43160</v>
      </c>
      <c r="M197" s="32">
        <f>BCOXT[[#This Row],[INV DOC DATE]]+30</f>
        <v>43190</v>
      </c>
      <c r="N197" s="32"/>
      <c r="O197" s="31">
        <v>180</v>
      </c>
      <c r="P197" s="102">
        <v>43286</v>
      </c>
      <c r="Q197" s="31">
        <f t="shared" si="3"/>
        <v>0</v>
      </c>
      <c r="R197" s="53" t="str">
        <f ca="1">IF(TODAY() - BCOXT[INV DUE DATE]&lt;30, "Less than 30 days",IF(TODAY()-BCOXT[INV DUE DATE]&lt;60,"30-60 days","More than 60 days"))</f>
        <v>More than 60 days</v>
      </c>
      <c r="S197" s="31" t="s">
        <v>812</v>
      </c>
      <c r="T197" s="43" t="s">
        <v>2229</v>
      </c>
      <c r="U197" s="4" t="s">
        <v>3699</v>
      </c>
    </row>
    <row r="198" spans="1:21" x14ac:dyDescent="0.3">
      <c r="A198" s="28" t="s">
        <v>2217</v>
      </c>
      <c r="B198" s="4" t="s">
        <v>3743</v>
      </c>
      <c r="D198" s="99">
        <v>5405</v>
      </c>
      <c r="E198" s="31">
        <v>1202.8</v>
      </c>
      <c r="G198" s="4">
        <v>4320249581</v>
      </c>
      <c r="J198" s="28" t="s">
        <v>2257</v>
      </c>
      <c r="K198" s="29" t="s">
        <v>3</v>
      </c>
      <c r="L198" s="32">
        <v>43160</v>
      </c>
      <c r="M198" s="32">
        <f>BCOXT[[#This Row],[INV DOC DATE]]+30</f>
        <v>43190</v>
      </c>
      <c r="N198" s="32"/>
      <c r="O198" s="31"/>
      <c r="Q198" s="31">
        <f t="shared" si="3"/>
        <v>1202.8</v>
      </c>
      <c r="R198" s="53" t="str">
        <f ca="1">IF(TODAY() - BCOXT[INV DUE DATE]&lt;30, "Less than 30 days",IF(TODAY()-BCOXT[INV DUE DATE]&lt;60,"30-60 days","More than 60 days"))</f>
        <v>More than 60 days</v>
      </c>
      <c r="S198" s="4" t="s">
        <v>812</v>
      </c>
      <c r="T198" s="43"/>
      <c r="U198" s="4" t="s">
        <v>3699</v>
      </c>
    </row>
    <row r="199" spans="1:21" x14ac:dyDescent="0.3">
      <c r="A199" s="92" t="s">
        <v>556</v>
      </c>
      <c r="B199" s="4" t="s">
        <v>35</v>
      </c>
      <c r="C199" s="4" t="s">
        <v>6</v>
      </c>
      <c r="D199" s="4">
        <v>5405</v>
      </c>
      <c r="E199" s="30">
        <v>240</v>
      </c>
      <c r="G199" s="4">
        <v>4300021652</v>
      </c>
      <c r="J199" s="28" t="s">
        <v>590</v>
      </c>
      <c r="K199" s="92" t="s">
        <v>3</v>
      </c>
      <c r="L199" s="32">
        <v>43191</v>
      </c>
      <c r="M199" s="32">
        <f>BCOXT[[#This Row],[INV DOC DATE]]+30</f>
        <v>43221</v>
      </c>
      <c r="N199" s="32">
        <v>43220</v>
      </c>
      <c r="O199" s="31">
        <v>240</v>
      </c>
      <c r="P199" s="102">
        <v>43234</v>
      </c>
      <c r="Q199" s="31">
        <f t="shared" si="3"/>
        <v>0</v>
      </c>
      <c r="R199" s="53" t="str">
        <f ca="1">IF(TODAY() - BCOXT[INV DUE DATE]&lt;30, "Less than 30 days",IF(TODAY()-BCOXT[INV DUE DATE]&lt;60,"30-60 days","More than 60 days"))</f>
        <v>More than 60 days</v>
      </c>
      <c r="S199" s="4" t="s">
        <v>812</v>
      </c>
      <c r="T199" s="43" t="s">
        <v>2229</v>
      </c>
      <c r="U199" s="4" t="s">
        <v>3699</v>
      </c>
    </row>
    <row r="200" spans="1:21" x14ac:dyDescent="0.3">
      <c r="A200" s="92" t="s">
        <v>556</v>
      </c>
      <c r="B200" s="4" t="s">
        <v>35</v>
      </c>
      <c r="C200" s="4" t="s">
        <v>7</v>
      </c>
      <c r="D200" s="4">
        <v>5405</v>
      </c>
      <c r="E200" s="30">
        <v>240</v>
      </c>
      <c r="G200" s="4">
        <v>4300021652</v>
      </c>
      <c r="J200" s="28" t="s">
        <v>591</v>
      </c>
      <c r="K200" s="92" t="s">
        <v>3</v>
      </c>
      <c r="L200" s="32">
        <v>43191</v>
      </c>
      <c r="M200" s="32">
        <f>BCOXT[[#This Row],[INV DOC DATE]]+30</f>
        <v>43221</v>
      </c>
      <c r="N200" s="32">
        <v>43220</v>
      </c>
      <c r="O200" s="31">
        <v>240</v>
      </c>
      <c r="P200" s="102">
        <v>43234</v>
      </c>
      <c r="Q200" s="31">
        <f t="shared" si="3"/>
        <v>0</v>
      </c>
      <c r="R200" s="53" t="str">
        <f ca="1">IF(TODAY() - BCOXT[INV DUE DATE]&lt;30, "Less than 30 days",IF(TODAY()-BCOXT[INV DUE DATE]&lt;60,"30-60 days","More than 60 days"))</f>
        <v>More than 60 days</v>
      </c>
      <c r="S200" s="4" t="s">
        <v>812</v>
      </c>
      <c r="T200" s="43" t="s">
        <v>2229</v>
      </c>
      <c r="U200" s="4" t="s">
        <v>3699</v>
      </c>
    </row>
    <row r="201" spans="1:21" x14ac:dyDescent="0.3">
      <c r="A201" s="92" t="s">
        <v>556</v>
      </c>
      <c r="B201" s="4" t="s">
        <v>35</v>
      </c>
      <c r="C201" s="4" t="s">
        <v>8</v>
      </c>
      <c r="D201" s="4">
        <v>5405</v>
      </c>
      <c r="E201" s="30">
        <v>240</v>
      </c>
      <c r="G201" s="4">
        <v>4300021652</v>
      </c>
      <c r="J201" s="28" t="s">
        <v>592</v>
      </c>
      <c r="K201" s="92" t="s">
        <v>3</v>
      </c>
      <c r="L201" s="32">
        <v>43191</v>
      </c>
      <c r="M201" s="32">
        <f>BCOXT[[#This Row],[INV DOC DATE]]+30</f>
        <v>43221</v>
      </c>
      <c r="N201" s="32">
        <v>43220</v>
      </c>
      <c r="O201" s="31">
        <v>240</v>
      </c>
      <c r="P201" s="102">
        <v>43234</v>
      </c>
      <c r="Q201" s="31">
        <f t="shared" si="3"/>
        <v>0</v>
      </c>
      <c r="R201" s="53" t="str">
        <f ca="1">IF(TODAY() - BCOXT[INV DUE DATE]&lt;30, "Less than 30 days",IF(TODAY()-BCOXT[INV DUE DATE]&lt;60,"30-60 days","More than 60 days"))</f>
        <v>More than 60 days</v>
      </c>
      <c r="S201" s="4" t="s">
        <v>812</v>
      </c>
      <c r="T201" s="43" t="s">
        <v>2229</v>
      </c>
      <c r="U201" s="4" t="s">
        <v>3699</v>
      </c>
    </row>
    <row r="202" spans="1:21" x14ac:dyDescent="0.3">
      <c r="A202" s="92" t="s">
        <v>556</v>
      </c>
      <c r="B202" s="4" t="s">
        <v>35</v>
      </c>
      <c r="C202" s="4" t="s">
        <v>9</v>
      </c>
      <c r="D202" s="4">
        <v>5405</v>
      </c>
      <c r="E202" s="30">
        <v>240</v>
      </c>
      <c r="G202" s="4">
        <v>4300021652</v>
      </c>
      <c r="J202" s="28" t="s">
        <v>593</v>
      </c>
      <c r="K202" s="92" t="s">
        <v>3</v>
      </c>
      <c r="L202" s="32">
        <v>43191</v>
      </c>
      <c r="M202" s="32">
        <f>BCOXT[[#This Row],[INV DOC DATE]]+30</f>
        <v>43221</v>
      </c>
      <c r="N202" s="32">
        <v>43220</v>
      </c>
      <c r="O202" s="31">
        <v>240</v>
      </c>
      <c r="P202" s="102">
        <v>43234</v>
      </c>
      <c r="Q202" s="31">
        <f t="shared" si="3"/>
        <v>0</v>
      </c>
      <c r="R202" s="53" t="str">
        <f ca="1">IF(TODAY() - BCOXT[INV DUE DATE]&lt;30, "Less than 30 days",IF(TODAY()-BCOXT[INV DUE DATE]&lt;60,"30-60 days","More than 60 days"))</f>
        <v>More than 60 days</v>
      </c>
      <c r="S202" s="4" t="s">
        <v>812</v>
      </c>
      <c r="T202" s="43" t="s">
        <v>2229</v>
      </c>
      <c r="U202" s="4" t="s">
        <v>3699</v>
      </c>
    </row>
    <row r="203" spans="1:21" x14ac:dyDescent="0.3">
      <c r="A203" s="92" t="s">
        <v>556</v>
      </c>
      <c r="B203" s="4" t="s">
        <v>35</v>
      </c>
      <c r="C203" s="4" t="s">
        <v>10</v>
      </c>
      <c r="D203" s="4">
        <v>5405</v>
      </c>
      <c r="E203" s="30">
        <v>240</v>
      </c>
      <c r="G203" s="4">
        <v>4300021652</v>
      </c>
      <c r="J203" s="28" t="s">
        <v>594</v>
      </c>
      <c r="K203" s="92" t="s">
        <v>3</v>
      </c>
      <c r="L203" s="32">
        <v>43191</v>
      </c>
      <c r="M203" s="32">
        <f>BCOXT[[#This Row],[INV DOC DATE]]+30</f>
        <v>43221</v>
      </c>
      <c r="N203" s="32">
        <v>43220</v>
      </c>
      <c r="O203" s="31">
        <v>240</v>
      </c>
      <c r="P203" s="102">
        <v>43234</v>
      </c>
      <c r="Q203" s="31">
        <f t="shared" si="3"/>
        <v>0</v>
      </c>
      <c r="R203" s="53" t="str">
        <f ca="1">IF(TODAY() - BCOXT[INV DUE DATE]&lt;30, "Less than 30 days",IF(TODAY()-BCOXT[INV DUE DATE]&lt;60,"30-60 days","More than 60 days"))</f>
        <v>More than 60 days</v>
      </c>
      <c r="S203" s="4" t="s">
        <v>812</v>
      </c>
      <c r="T203" s="43" t="s">
        <v>2229</v>
      </c>
      <c r="U203" s="4" t="s">
        <v>3699</v>
      </c>
    </row>
    <row r="204" spans="1:21" x14ac:dyDescent="0.3">
      <c r="A204" s="92" t="s">
        <v>556</v>
      </c>
      <c r="B204" s="4" t="s">
        <v>35</v>
      </c>
      <c r="C204" s="4" t="s">
        <v>11</v>
      </c>
      <c r="D204" s="4">
        <v>5405</v>
      </c>
      <c r="E204" s="30">
        <v>240</v>
      </c>
      <c r="G204" s="4">
        <v>4300021652</v>
      </c>
      <c r="J204" s="28" t="s">
        <v>595</v>
      </c>
      <c r="K204" s="92" t="s">
        <v>3</v>
      </c>
      <c r="L204" s="32">
        <v>43191</v>
      </c>
      <c r="M204" s="32">
        <f>BCOXT[[#This Row],[INV DOC DATE]]+30</f>
        <v>43221</v>
      </c>
      <c r="N204" s="32">
        <v>43220</v>
      </c>
      <c r="O204" s="31">
        <v>240</v>
      </c>
      <c r="P204" s="102">
        <v>43234</v>
      </c>
      <c r="Q204" s="31">
        <f t="shared" si="3"/>
        <v>0</v>
      </c>
      <c r="R204" s="53" t="str">
        <f ca="1">IF(TODAY() - BCOXT[INV DUE DATE]&lt;30, "Less than 30 days",IF(TODAY()-BCOXT[INV DUE DATE]&lt;60,"30-60 days","More than 60 days"))</f>
        <v>More than 60 days</v>
      </c>
      <c r="S204" s="4" t="s">
        <v>812</v>
      </c>
      <c r="T204" s="43" t="s">
        <v>2229</v>
      </c>
      <c r="U204" s="4" t="s">
        <v>3699</v>
      </c>
    </row>
    <row r="205" spans="1:21" x14ac:dyDescent="0.3">
      <c r="A205" s="92" t="s">
        <v>556</v>
      </c>
      <c r="B205" s="4" t="s">
        <v>35</v>
      </c>
      <c r="C205" s="4" t="s">
        <v>12</v>
      </c>
      <c r="D205" s="4">
        <v>5405</v>
      </c>
      <c r="E205" s="30">
        <v>240</v>
      </c>
      <c r="G205" s="4">
        <v>4300021652</v>
      </c>
      <c r="J205" s="28" t="s">
        <v>596</v>
      </c>
      <c r="K205" s="92" t="s">
        <v>3</v>
      </c>
      <c r="L205" s="32">
        <v>43191</v>
      </c>
      <c r="M205" s="32">
        <f>BCOXT[[#This Row],[INV DOC DATE]]+30</f>
        <v>43221</v>
      </c>
      <c r="N205" s="32">
        <v>43220</v>
      </c>
      <c r="O205" s="31">
        <v>240</v>
      </c>
      <c r="P205" s="102">
        <v>43234</v>
      </c>
      <c r="Q205" s="31">
        <f t="shared" si="3"/>
        <v>0</v>
      </c>
      <c r="R205" s="53" t="str">
        <f ca="1">IF(TODAY() - BCOXT[INV DUE DATE]&lt;30, "Less than 30 days",IF(TODAY()-BCOXT[INV DUE DATE]&lt;60,"30-60 days","More than 60 days"))</f>
        <v>More than 60 days</v>
      </c>
      <c r="S205" s="4" t="s">
        <v>812</v>
      </c>
      <c r="T205" s="43" t="s">
        <v>2229</v>
      </c>
      <c r="U205" s="4" t="s">
        <v>3699</v>
      </c>
    </row>
    <row r="206" spans="1:21" x14ac:dyDescent="0.3">
      <c r="A206" s="92" t="s">
        <v>556</v>
      </c>
      <c r="B206" s="4" t="s">
        <v>35</v>
      </c>
      <c r="C206" s="4" t="s">
        <v>13</v>
      </c>
      <c r="D206" s="4">
        <v>5405</v>
      </c>
      <c r="E206" s="30">
        <v>240</v>
      </c>
      <c r="G206" s="4">
        <v>4300021652</v>
      </c>
      <c r="J206" s="28" t="s">
        <v>597</v>
      </c>
      <c r="K206" s="92" t="s">
        <v>3</v>
      </c>
      <c r="L206" s="32">
        <v>43191</v>
      </c>
      <c r="M206" s="32">
        <f>BCOXT[[#This Row],[INV DOC DATE]]+30</f>
        <v>43221</v>
      </c>
      <c r="N206" s="32">
        <v>43220</v>
      </c>
      <c r="O206" s="31">
        <v>240</v>
      </c>
      <c r="P206" s="102">
        <v>43234</v>
      </c>
      <c r="Q206" s="31">
        <f t="shared" si="3"/>
        <v>0</v>
      </c>
      <c r="R206" s="53" t="str">
        <f ca="1">IF(TODAY() - BCOXT[INV DUE DATE]&lt;30, "Less than 30 days",IF(TODAY()-BCOXT[INV DUE DATE]&lt;60,"30-60 days","More than 60 days"))</f>
        <v>More than 60 days</v>
      </c>
      <c r="S206" s="4" t="s">
        <v>812</v>
      </c>
      <c r="T206" s="43" t="s">
        <v>2229</v>
      </c>
      <c r="U206" s="4" t="s">
        <v>3699</v>
      </c>
    </row>
    <row r="207" spans="1:21" x14ac:dyDescent="0.3">
      <c r="A207" s="92" t="s">
        <v>556</v>
      </c>
      <c r="B207" s="4" t="s">
        <v>35</v>
      </c>
      <c r="C207" s="4" t="s">
        <v>14</v>
      </c>
      <c r="D207" s="4">
        <v>5405</v>
      </c>
      <c r="E207" s="30">
        <v>240</v>
      </c>
      <c r="G207" s="4">
        <v>4300021652</v>
      </c>
      <c r="J207" s="28" t="s">
        <v>598</v>
      </c>
      <c r="K207" s="92" t="s">
        <v>3</v>
      </c>
      <c r="L207" s="32">
        <v>43191</v>
      </c>
      <c r="M207" s="32">
        <f>BCOXT[[#This Row],[INV DOC DATE]]+30</f>
        <v>43221</v>
      </c>
      <c r="N207" s="32">
        <v>43220</v>
      </c>
      <c r="O207" s="31">
        <v>240</v>
      </c>
      <c r="P207" s="102">
        <v>43234</v>
      </c>
      <c r="Q207" s="31">
        <f t="shared" si="3"/>
        <v>0</v>
      </c>
      <c r="R207" s="53" t="str">
        <f ca="1">IF(TODAY() - BCOXT[INV DUE DATE]&lt;30, "Less than 30 days",IF(TODAY()-BCOXT[INV DUE DATE]&lt;60,"30-60 days","More than 60 days"))</f>
        <v>More than 60 days</v>
      </c>
      <c r="S207" s="4" t="s">
        <v>812</v>
      </c>
      <c r="T207" s="43" t="s">
        <v>2229</v>
      </c>
      <c r="U207" s="4" t="s">
        <v>3699</v>
      </c>
    </row>
    <row r="208" spans="1:21" x14ac:dyDescent="0.3">
      <c r="A208" s="92" t="s">
        <v>556</v>
      </c>
      <c r="B208" s="4" t="s">
        <v>35</v>
      </c>
      <c r="C208" s="4" t="s">
        <v>15</v>
      </c>
      <c r="D208" s="4">
        <v>5405</v>
      </c>
      <c r="E208" s="30">
        <v>240</v>
      </c>
      <c r="G208" s="4">
        <v>4300021652</v>
      </c>
      <c r="J208" s="28" t="s">
        <v>599</v>
      </c>
      <c r="K208" s="92" t="s">
        <v>3</v>
      </c>
      <c r="L208" s="32">
        <v>43191</v>
      </c>
      <c r="M208" s="32">
        <f>BCOXT[[#This Row],[INV DOC DATE]]+30</f>
        <v>43221</v>
      </c>
      <c r="N208" s="32">
        <v>43220</v>
      </c>
      <c r="O208" s="31">
        <v>240</v>
      </c>
      <c r="P208" s="102">
        <v>43234</v>
      </c>
      <c r="Q208" s="31">
        <f t="shared" si="3"/>
        <v>0</v>
      </c>
      <c r="R208" s="53" t="str">
        <f ca="1">IF(TODAY() - BCOXT[INV DUE DATE]&lt;30, "Less than 30 days",IF(TODAY()-BCOXT[INV DUE DATE]&lt;60,"30-60 days","More than 60 days"))</f>
        <v>More than 60 days</v>
      </c>
      <c r="S208" s="4" t="s">
        <v>812</v>
      </c>
      <c r="T208" s="43" t="s">
        <v>2229</v>
      </c>
      <c r="U208" s="4" t="s">
        <v>3699</v>
      </c>
    </row>
    <row r="209" spans="1:21" x14ac:dyDescent="0.3">
      <c r="A209" s="92" t="s">
        <v>556</v>
      </c>
      <c r="B209" s="4" t="s">
        <v>35</v>
      </c>
      <c r="C209" s="4" t="s">
        <v>16</v>
      </c>
      <c r="D209" s="4">
        <v>5405</v>
      </c>
      <c r="E209" s="30">
        <v>240</v>
      </c>
      <c r="G209" s="4">
        <v>4300021652</v>
      </c>
      <c r="J209" s="28" t="s">
        <v>600</v>
      </c>
      <c r="K209" s="92" t="s">
        <v>3</v>
      </c>
      <c r="L209" s="32">
        <v>43191</v>
      </c>
      <c r="M209" s="32">
        <f>BCOXT[[#This Row],[INV DOC DATE]]+30</f>
        <v>43221</v>
      </c>
      <c r="N209" s="32">
        <v>43220</v>
      </c>
      <c r="O209" s="31">
        <v>240</v>
      </c>
      <c r="P209" s="102">
        <v>43234</v>
      </c>
      <c r="Q209" s="31">
        <f t="shared" si="3"/>
        <v>0</v>
      </c>
      <c r="R209" s="53" t="str">
        <f ca="1">IF(TODAY() - BCOXT[INV DUE DATE]&lt;30, "Less than 30 days",IF(TODAY()-BCOXT[INV DUE DATE]&lt;60,"30-60 days","More than 60 days"))</f>
        <v>More than 60 days</v>
      </c>
      <c r="S209" s="4" t="s">
        <v>812</v>
      </c>
      <c r="T209" s="43" t="s">
        <v>2229</v>
      </c>
      <c r="U209" s="4" t="s">
        <v>3699</v>
      </c>
    </row>
    <row r="210" spans="1:21" x14ac:dyDescent="0.3">
      <c r="A210" s="92" t="s">
        <v>556</v>
      </c>
      <c r="B210" s="4" t="s">
        <v>35</v>
      </c>
      <c r="C210" s="4" t="s">
        <v>17</v>
      </c>
      <c r="D210" s="4">
        <v>5405</v>
      </c>
      <c r="E210" s="30">
        <v>240</v>
      </c>
      <c r="G210" s="4">
        <v>4300021652</v>
      </c>
      <c r="J210" s="28" t="s">
        <v>601</v>
      </c>
      <c r="K210" s="92" t="s">
        <v>3</v>
      </c>
      <c r="L210" s="32">
        <v>43191</v>
      </c>
      <c r="M210" s="32">
        <f>BCOXT[[#This Row],[INV DOC DATE]]+30</f>
        <v>43221</v>
      </c>
      <c r="N210" s="32">
        <v>43220</v>
      </c>
      <c r="O210" s="31">
        <v>240</v>
      </c>
      <c r="P210" s="102">
        <v>43234</v>
      </c>
      <c r="Q210" s="31">
        <f t="shared" si="3"/>
        <v>0</v>
      </c>
      <c r="R210" s="53" t="str">
        <f ca="1">IF(TODAY() - BCOXT[INV DUE DATE]&lt;30, "Less than 30 days",IF(TODAY()-BCOXT[INV DUE DATE]&lt;60,"30-60 days","More than 60 days"))</f>
        <v>More than 60 days</v>
      </c>
      <c r="S210" s="4" t="s">
        <v>812</v>
      </c>
      <c r="T210" s="43" t="s">
        <v>2229</v>
      </c>
      <c r="U210" s="4" t="s">
        <v>3699</v>
      </c>
    </row>
    <row r="211" spans="1:21" x14ac:dyDescent="0.3">
      <c r="A211" s="92" t="s">
        <v>556</v>
      </c>
      <c r="B211" s="4" t="s">
        <v>35</v>
      </c>
      <c r="C211" s="4" t="s">
        <v>18</v>
      </c>
      <c r="D211" s="4">
        <v>5405</v>
      </c>
      <c r="E211" s="30">
        <v>240</v>
      </c>
      <c r="G211" s="4">
        <v>4300021652</v>
      </c>
      <c r="J211" s="28" t="s">
        <v>602</v>
      </c>
      <c r="K211" s="92" t="s">
        <v>3</v>
      </c>
      <c r="L211" s="32">
        <v>43191</v>
      </c>
      <c r="M211" s="32">
        <f>BCOXT[[#This Row],[INV DOC DATE]]+30</f>
        <v>43221</v>
      </c>
      <c r="N211" s="32">
        <v>43220</v>
      </c>
      <c r="O211" s="31">
        <v>240</v>
      </c>
      <c r="P211" s="102">
        <v>43234</v>
      </c>
      <c r="Q211" s="31">
        <f t="shared" si="3"/>
        <v>0</v>
      </c>
      <c r="R211" s="53" t="str">
        <f ca="1">IF(TODAY() - BCOXT[INV DUE DATE]&lt;30, "Less than 30 days",IF(TODAY()-BCOXT[INV DUE DATE]&lt;60,"30-60 days","More than 60 days"))</f>
        <v>More than 60 days</v>
      </c>
      <c r="S211" s="4" t="s">
        <v>812</v>
      </c>
      <c r="T211" s="43" t="s">
        <v>2229</v>
      </c>
      <c r="U211" s="4" t="s">
        <v>3699</v>
      </c>
    </row>
    <row r="212" spans="1:21" x14ac:dyDescent="0.3">
      <c r="A212" s="92" t="s">
        <v>556</v>
      </c>
      <c r="B212" s="4" t="s">
        <v>35</v>
      </c>
      <c r="C212" s="4" t="s">
        <v>19</v>
      </c>
      <c r="D212" s="4">
        <v>5405</v>
      </c>
      <c r="E212" s="30">
        <v>262.2</v>
      </c>
      <c r="G212" s="4">
        <v>4300021652</v>
      </c>
      <c r="J212" s="28" t="s">
        <v>603</v>
      </c>
      <c r="K212" s="92" t="s">
        <v>3</v>
      </c>
      <c r="L212" s="32">
        <v>43191</v>
      </c>
      <c r="M212" s="32">
        <f>BCOXT[[#This Row],[INV DOC DATE]]+30</f>
        <v>43221</v>
      </c>
      <c r="N212" s="32">
        <v>43220</v>
      </c>
      <c r="O212" s="31">
        <v>262.2</v>
      </c>
      <c r="P212" s="102">
        <v>43234</v>
      </c>
      <c r="Q212" s="31">
        <f t="shared" si="3"/>
        <v>0</v>
      </c>
      <c r="R212" s="53" t="str">
        <f ca="1">IF(TODAY() - BCOXT[INV DUE DATE]&lt;30, "Less than 30 days",IF(TODAY()-BCOXT[INV DUE DATE]&lt;60,"30-60 days","More than 60 days"))</f>
        <v>More than 60 days</v>
      </c>
      <c r="S212" s="4" t="s">
        <v>812</v>
      </c>
      <c r="T212" s="43" t="s">
        <v>2229</v>
      </c>
      <c r="U212" s="4" t="s">
        <v>3699</v>
      </c>
    </row>
    <row r="213" spans="1:21" x14ac:dyDescent="0.3">
      <c r="A213" s="92" t="s">
        <v>556</v>
      </c>
      <c r="B213" s="4" t="s">
        <v>35</v>
      </c>
      <c r="C213" s="4" t="s">
        <v>20</v>
      </c>
      <c r="D213" s="4">
        <v>5405</v>
      </c>
      <c r="E213" s="30">
        <v>240</v>
      </c>
      <c r="G213" s="4">
        <v>4300021652</v>
      </c>
      <c r="J213" s="28" t="s">
        <v>604</v>
      </c>
      <c r="K213" s="92" t="s">
        <v>3</v>
      </c>
      <c r="L213" s="32">
        <v>43191</v>
      </c>
      <c r="M213" s="32">
        <f>BCOXT[[#This Row],[INV DOC DATE]]+30</f>
        <v>43221</v>
      </c>
      <c r="N213" s="32">
        <v>43220</v>
      </c>
      <c r="O213" s="31">
        <v>240</v>
      </c>
      <c r="P213" s="102">
        <v>43234</v>
      </c>
      <c r="Q213" s="31">
        <f t="shared" si="3"/>
        <v>0</v>
      </c>
      <c r="R213" s="53" t="str">
        <f ca="1">IF(TODAY() - BCOXT[INV DUE DATE]&lt;30, "Less than 30 days",IF(TODAY()-BCOXT[INV DUE DATE]&lt;60,"30-60 days","More than 60 days"))</f>
        <v>More than 60 days</v>
      </c>
      <c r="S213" s="4" t="s">
        <v>812</v>
      </c>
      <c r="T213" s="43" t="s">
        <v>2229</v>
      </c>
      <c r="U213" s="4" t="s">
        <v>3699</v>
      </c>
    </row>
    <row r="214" spans="1:21" x14ac:dyDescent="0.3">
      <c r="A214" s="92" t="s">
        <v>556</v>
      </c>
      <c r="B214" s="4" t="s">
        <v>35</v>
      </c>
      <c r="C214" s="4" t="s">
        <v>21</v>
      </c>
      <c r="D214" s="4">
        <v>5405</v>
      </c>
      <c r="E214" s="30">
        <v>240</v>
      </c>
      <c r="G214" s="4">
        <v>4300021652</v>
      </c>
      <c r="J214" s="28" t="s">
        <v>605</v>
      </c>
      <c r="K214" s="92" t="s">
        <v>3</v>
      </c>
      <c r="L214" s="32">
        <v>43191</v>
      </c>
      <c r="M214" s="32">
        <f>BCOXT[[#This Row],[INV DOC DATE]]+30</f>
        <v>43221</v>
      </c>
      <c r="N214" s="32">
        <v>43220</v>
      </c>
      <c r="O214" s="31">
        <v>240</v>
      </c>
      <c r="P214" s="102">
        <v>43234</v>
      </c>
      <c r="Q214" s="31">
        <f t="shared" si="3"/>
        <v>0</v>
      </c>
      <c r="R214" s="53" t="str">
        <f ca="1">IF(TODAY() - BCOXT[INV DUE DATE]&lt;30, "Less than 30 days",IF(TODAY()-BCOXT[INV DUE DATE]&lt;60,"30-60 days","More than 60 days"))</f>
        <v>More than 60 days</v>
      </c>
      <c r="S214" s="4" t="s">
        <v>812</v>
      </c>
      <c r="T214" s="43" t="s">
        <v>2229</v>
      </c>
      <c r="U214" s="4" t="s">
        <v>3699</v>
      </c>
    </row>
    <row r="215" spans="1:21" x14ac:dyDescent="0.3">
      <c r="A215" s="92" t="s">
        <v>556</v>
      </c>
      <c r="B215" s="4" t="s">
        <v>35</v>
      </c>
      <c r="C215" s="4" t="s">
        <v>22</v>
      </c>
      <c r="D215" s="4">
        <v>5405</v>
      </c>
      <c r="E215" s="30">
        <v>240</v>
      </c>
      <c r="G215" s="4">
        <v>4300021652</v>
      </c>
      <c r="J215" s="28" t="s">
        <v>606</v>
      </c>
      <c r="K215" s="92" t="s">
        <v>3</v>
      </c>
      <c r="L215" s="32">
        <v>43191</v>
      </c>
      <c r="M215" s="32">
        <f>BCOXT[[#This Row],[INV DOC DATE]]+30</f>
        <v>43221</v>
      </c>
      <c r="N215" s="32">
        <v>43220</v>
      </c>
      <c r="O215" s="31">
        <v>240</v>
      </c>
      <c r="P215" s="102">
        <v>43234</v>
      </c>
      <c r="Q215" s="31">
        <f t="shared" si="3"/>
        <v>0</v>
      </c>
      <c r="R215" s="53" t="str">
        <f ca="1">IF(TODAY() - BCOXT[INV DUE DATE]&lt;30, "Less than 30 days",IF(TODAY()-BCOXT[INV DUE DATE]&lt;60,"30-60 days","More than 60 days"))</f>
        <v>More than 60 days</v>
      </c>
      <c r="S215" s="4" t="s">
        <v>812</v>
      </c>
      <c r="T215" s="43" t="s">
        <v>2229</v>
      </c>
      <c r="U215" s="4" t="s">
        <v>3699</v>
      </c>
    </row>
    <row r="216" spans="1:21" x14ac:dyDescent="0.3">
      <c r="A216" s="92" t="s">
        <v>556</v>
      </c>
      <c r="B216" s="4" t="s">
        <v>35</v>
      </c>
      <c r="C216" s="4" t="s">
        <v>23</v>
      </c>
      <c r="D216" s="4">
        <v>5405</v>
      </c>
      <c r="E216" s="30">
        <v>240</v>
      </c>
      <c r="G216" s="4">
        <v>4300021652</v>
      </c>
      <c r="J216" s="28" t="s">
        <v>607</v>
      </c>
      <c r="K216" s="92" t="s">
        <v>3</v>
      </c>
      <c r="L216" s="32">
        <v>43191</v>
      </c>
      <c r="M216" s="32">
        <f>BCOXT[[#This Row],[INV DOC DATE]]+30</f>
        <v>43221</v>
      </c>
      <c r="N216" s="32">
        <v>43220</v>
      </c>
      <c r="O216" s="31">
        <v>240</v>
      </c>
      <c r="P216" s="102">
        <v>43234</v>
      </c>
      <c r="Q216" s="31">
        <f t="shared" si="3"/>
        <v>0</v>
      </c>
      <c r="R216" s="53" t="str">
        <f ca="1">IF(TODAY() - BCOXT[INV DUE DATE]&lt;30, "Less than 30 days",IF(TODAY()-BCOXT[INV DUE DATE]&lt;60,"30-60 days","More than 60 days"))</f>
        <v>More than 60 days</v>
      </c>
      <c r="S216" s="4" t="s">
        <v>812</v>
      </c>
      <c r="T216" s="43" t="s">
        <v>2229</v>
      </c>
      <c r="U216" s="4" t="s">
        <v>3699</v>
      </c>
    </row>
    <row r="217" spans="1:21" x14ac:dyDescent="0.3">
      <c r="A217" s="92" t="s">
        <v>556</v>
      </c>
      <c r="B217" s="4" t="s">
        <v>35</v>
      </c>
      <c r="C217" s="4" t="s">
        <v>24</v>
      </c>
      <c r="D217" s="4">
        <v>5405</v>
      </c>
      <c r="E217" s="30">
        <v>240</v>
      </c>
      <c r="G217" s="4">
        <v>4300021652</v>
      </c>
      <c r="J217" s="28" t="s">
        <v>608</v>
      </c>
      <c r="K217" s="92" t="s">
        <v>3</v>
      </c>
      <c r="L217" s="32">
        <v>43191</v>
      </c>
      <c r="M217" s="32">
        <f>BCOXT[[#This Row],[INV DOC DATE]]+30</f>
        <v>43221</v>
      </c>
      <c r="N217" s="32">
        <v>43220</v>
      </c>
      <c r="O217" s="31">
        <v>240</v>
      </c>
      <c r="P217" s="102">
        <v>43234</v>
      </c>
      <c r="Q217" s="31">
        <f t="shared" si="3"/>
        <v>0</v>
      </c>
      <c r="R217" s="53" t="str">
        <f ca="1">IF(TODAY() - BCOXT[INV DUE DATE]&lt;30, "Less than 30 days",IF(TODAY()-BCOXT[INV DUE DATE]&lt;60,"30-60 days","More than 60 days"))</f>
        <v>More than 60 days</v>
      </c>
      <c r="S217" s="4" t="s">
        <v>812</v>
      </c>
      <c r="T217" s="43" t="s">
        <v>2229</v>
      </c>
      <c r="U217" s="4" t="s">
        <v>3699</v>
      </c>
    </row>
    <row r="218" spans="1:21" x14ac:dyDescent="0.3">
      <c r="A218" s="92" t="s">
        <v>556</v>
      </c>
      <c r="B218" s="4" t="s">
        <v>35</v>
      </c>
      <c r="C218" s="4" t="s">
        <v>25</v>
      </c>
      <c r="D218" s="4">
        <v>5405</v>
      </c>
      <c r="E218" s="30">
        <v>240</v>
      </c>
      <c r="G218" s="4">
        <v>4300021652</v>
      </c>
      <c r="J218" s="28" t="s">
        <v>609</v>
      </c>
      <c r="K218" s="92" t="s">
        <v>3</v>
      </c>
      <c r="L218" s="32">
        <v>43191</v>
      </c>
      <c r="M218" s="32">
        <f>BCOXT[[#This Row],[INV DOC DATE]]+30</f>
        <v>43221</v>
      </c>
      <c r="N218" s="32">
        <v>43220</v>
      </c>
      <c r="O218" s="31">
        <v>240</v>
      </c>
      <c r="P218" s="102">
        <v>43234</v>
      </c>
      <c r="Q218" s="31">
        <f t="shared" si="3"/>
        <v>0</v>
      </c>
      <c r="R218" s="53" t="str">
        <f ca="1">IF(TODAY() - BCOXT[INV DUE DATE]&lt;30, "Less than 30 days",IF(TODAY()-BCOXT[INV DUE DATE]&lt;60,"30-60 days","More than 60 days"))</f>
        <v>More than 60 days</v>
      </c>
      <c r="S218" s="4" t="s">
        <v>812</v>
      </c>
      <c r="T218" s="43" t="s">
        <v>2229</v>
      </c>
      <c r="U218" s="4" t="s">
        <v>3699</v>
      </c>
    </row>
    <row r="219" spans="1:21" x14ac:dyDescent="0.3">
      <c r="A219" s="92" t="s">
        <v>556</v>
      </c>
      <c r="B219" s="4" t="s">
        <v>35</v>
      </c>
      <c r="C219" s="4" t="s">
        <v>26</v>
      </c>
      <c r="D219" s="4">
        <v>5405</v>
      </c>
      <c r="E219" s="30">
        <v>240</v>
      </c>
      <c r="G219" s="4">
        <v>4300021652</v>
      </c>
      <c r="J219" s="28" t="s">
        <v>610</v>
      </c>
      <c r="K219" s="92" t="s">
        <v>3</v>
      </c>
      <c r="L219" s="32">
        <v>43191</v>
      </c>
      <c r="M219" s="32">
        <f>BCOXT[[#This Row],[INV DOC DATE]]+30</f>
        <v>43221</v>
      </c>
      <c r="N219" s="32">
        <v>43220</v>
      </c>
      <c r="O219" s="31">
        <v>240</v>
      </c>
      <c r="P219" s="102">
        <v>43234</v>
      </c>
      <c r="Q219" s="31">
        <f t="shared" si="3"/>
        <v>0</v>
      </c>
      <c r="R219" s="53" t="str">
        <f ca="1">IF(TODAY() - BCOXT[INV DUE DATE]&lt;30, "Less than 30 days",IF(TODAY()-BCOXT[INV DUE DATE]&lt;60,"30-60 days","More than 60 days"))</f>
        <v>More than 60 days</v>
      </c>
      <c r="S219" s="4" t="s">
        <v>812</v>
      </c>
      <c r="T219" s="43" t="s">
        <v>2229</v>
      </c>
      <c r="U219" s="4" t="s">
        <v>3699</v>
      </c>
    </row>
    <row r="220" spans="1:21" x14ac:dyDescent="0.3">
      <c r="A220" s="92" t="s">
        <v>556</v>
      </c>
      <c r="B220" s="4" t="s">
        <v>35</v>
      </c>
      <c r="C220" s="4" t="s">
        <v>27</v>
      </c>
      <c r="D220" s="4">
        <v>5405</v>
      </c>
      <c r="E220" s="30">
        <v>240</v>
      </c>
      <c r="G220" s="4">
        <v>4300021652</v>
      </c>
      <c r="J220" s="28" t="s">
        <v>611</v>
      </c>
      <c r="K220" s="92" t="s">
        <v>3</v>
      </c>
      <c r="L220" s="32">
        <v>43191</v>
      </c>
      <c r="M220" s="32">
        <f>BCOXT[[#This Row],[INV DOC DATE]]+30</f>
        <v>43221</v>
      </c>
      <c r="N220" s="32">
        <v>43220</v>
      </c>
      <c r="O220" s="31">
        <v>240</v>
      </c>
      <c r="P220" s="102">
        <v>43234</v>
      </c>
      <c r="Q220" s="31">
        <f t="shared" si="3"/>
        <v>0</v>
      </c>
      <c r="R220" s="53" t="str">
        <f ca="1">IF(TODAY() - BCOXT[INV DUE DATE]&lt;30, "Less than 30 days",IF(TODAY()-BCOXT[INV DUE DATE]&lt;60,"30-60 days","More than 60 days"))</f>
        <v>More than 60 days</v>
      </c>
      <c r="S220" s="4" t="s">
        <v>812</v>
      </c>
      <c r="T220" s="43" t="s">
        <v>2229</v>
      </c>
      <c r="U220" s="4" t="s">
        <v>3699</v>
      </c>
    </row>
    <row r="221" spans="1:21" x14ac:dyDescent="0.3">
      <c r="A221" s="92" t="s">
        <v>556</v>
      </c>
      <c r="B221" s="4" t="s">
        <v>35</v>
      </c>
      <c r="C221" s="4" t="s">
        <v>28</v>
      </c>
      <c r="D221" s="4">
        <v>5405</v>
      </c>
      <c r="E221" s="30">
        <v>240</v>
      </c>
      <c r="G221" s="4">
        <v>4300021652</v>
      </c>
      <c r="J221" s="28" t="s">
        <v>612</v>
      </c>
      <c r="K221" s="92" t="s">
        <v>3</v>
      </c>
      <c r="L221" s="32">
        <v>43191</v>
      </c>
      <c r="M221" s="32">
        <f>BCOXT[[#This Row],[INV DOC DATE]]+30</f>
        <v>43221</v>
      </c>
      <c r="N221" s="32">
        <v>43220</v>
      </c>
      <c r="O221" s="31">
        <v>240</v>
      </c>
      <c r="P221" s="102">
        <v>43234</v>
      </c>
      <c r="Q221" s="31">
        <f t="shared" si="3"/>
        <v>0</v>
      </c>
      <c r="R221" s="53" t="str">
        <f ca="1">IF(TODAY() - BCOXT[INV DUE DATE]&lt;30, "Less than 30 days",IF(TODAY()-BCOXT[INV DUE DATE]&lt;60,"30-60 days","More than 60 days"))</f>
        <v>More than 60 days</v>
      </c>
      <c r="S221" s="4" t="s">
        <v>812</v>
      </c>
      <c r="T221" s="43" t="s">
        <v>2229</v>
      </c>
      <c r="U221" s="4" t="s">
        <v>3699</v>
      </c>
    </row>
    <row r="222" spans="1:21" x14ac:dyDescent="0.3">
      <c r="A222" s="92" t="s">
        <v>556</v>
      </c>
      <c r="B222" s="4" t="s">
        <v>35</v>
      </c>
      <c r="C222" s="4" t="s">
        <v>37</v>
      </c>
      <c r="D222" s="4">
        <v>5405</v>
      </c>
      <c r="E222" s="30">
        <v>240</v>
      </c>
      <c r="G222" s="4">
        <v>4300021652</v>
      </c>
      <c r="J222" s="28" t="s">
        <v>613</v>
      </c>
      <c r="K222" s="28" t="s">
        <v>3</v>
      </c>
      <c r="L222" s="32">
        <v>43191</v>
      </c>
      <c r="M222" s="32">
        <f>BCOXT[[#This Row],[INV DOC DATE]]+30</f>
        <v>43221</v>
      </c>
      <c r="N222" s="32">
        <v>43220</v>
      </c>
      <c r="O222" s="31">
        <v>240</v>
      </c>
      <c r="P222" s="102">
        <v>43234</v>
      </c>
      <c r="Q222" s="31">
        <f t="shared" si="3"/>
        <v>0</v>
      </c>
      <c r="R222" s="53" t="str">
        <f ca="1">IF(TODAY() - BCOXT[INV DUE DATE]&lt;30, "Less than 30 days",IF(TODAY()-BCOXT[INV DUE DATE]&lt;60,"30-60 days","More than 60 days"))</f>
        <v>More than 60 days</v>
      </c>
      <c r="S222" s="4" t="s">
        <v>812</v>
      </c>
      <c r="T222" s="43" t="s">
        <v>2229</v>
      </c>
      <c r="U222" s="4" t="s">
        <v>3699</v>
      </c>
    </row>
    <row r="223" spans="1:21" x14ac:dyDescent="0.3">
      <c r="A223" s="92" t="s">
        <v>556</v>
      </c>
      <c r="B223" s="4" t="s">
        <v>35</v>
      </c>
      <c r="C223" s="4" t="s">
        <v>38</v>
      </c>
      <c r="D223" s="4">
        <v>5405</v>
      </c>
      <c r="E223" s="30">
        <v>240</v>
      </c>
      <c r="G223" s="4">
        <v>4300021652</v>
      </c>
      <c r="J223" s="28" t="s">
        <v>614</v>
      </c>
      <c r="K223" s="28" t="s">
        <v>3</v>
      </c>
      <c r="L223" s="32">
        <v>43191</v>
      </c>
      <c r="M223" s="32">
        <f>BCOXT[[#This Row],[INV DOC DATE]]+30</f>
        <v>43221</v>
      </c>
      <c r="N223" s="32">
        <v>43220</v>
      </c>
      <c r="O223" s="31">
        <v>240</v>
      </c>
      <c r="P223" s="102">
        <v>43234</v>
      </c>
      <c r="Q223" s="31">
        <f t="shared" si="3"/>
        <v>0</v>
      </c>
      <c r="R223" s="53" t="str">
        <f ca="1">IF(TODAY() - BCOXT[INV DUE DATE]&lt;30, "Less than 30 days",IF(TODAY()-BCOXT[INV DUE DATE]&lt;60,"30-60 days","More than 60 days"))</f>
        <v>More than 60 days</v>
      </c>
      <c r="S223" s="4" t="s">
        <v>812</v>
      </c>
      <c r="T223" s="43" t="s">
        <v>2229</v>
      </c>
      <c r="U223" s="4" t="s">
        <v>3699</v>
      </c>
    </row>
    <row r="224" spans="1:21" x14ac:dyDescent="0.3">
      <c r="A224" s="92" t="s">
        <v>556</v>
      </c>
      <c r="B224" s="4" t="s">
        <v>35</v>
      </c>
      <c r="C224" s="4" t="s">
        <v>39</v>
      </c>
      <c r="D224" s="4">
        <v>5405</v>
      </c>
      <c r="E224" s="30">
        <v>240</v>
      </c>
      <c r="G224" s="4">
        <v>4300021652</v>
      </c>
      <c r="J224" s="28" t="s">
        <v>615</v>
      </c>
      <c r="K224" s="28" t="s">
        <v>3</v>
      </c>
      <c r="L224" s="32">
        <v>43191</v>
      </c>
      <c r="M224" s="32">
        <f>BCOXT[[#This Row],[INV DOC DATE]]+30</f>
        <v>43221</v>
      </c>
      <c r="N224" s="32">
        <v>43220</v>
      </c>
      <c r="O224" s="31">
        <v>240</v>
      </c>
      <c r="P224" s="102">
        <v>43234</v>
      </c>
      <c r="Q224" s="31">
        <f t="shared" si="3"/>
        <v>0</v>
      </c>
      <c r="R224" s="53" t="str">
        <f ca="1">IF(TODAY() - BCOXT[INV DUE DATE]&lt;30, "Less than 30 days",IF(TODAY()-BCOXT[INV DUE DATE]&lt;60,"30-60 days","More than 60 days"))</f>
        <v>More than 60 days</v>
      </c>
      <c r="S224" s="4" t="s">
        <v>812</v>
      </c>
      <c r="T224" s="43" t="s">
        <v>2229</v>
      </c>
      <c r="U224" s="4" t="s">
        <v>3699</v>
      </c>
    </row>
    <row r="225" spans="1:21" x14ac:dyDescent="0.3">
      <c r="A225" s="28" t="s">
        <v>556</v>
      </c>
      <c r="B225" s="4" t="s">
        <v>35</v>
      </c>
      <c r="C225" s="4" t="s">
        <v>40</v>
      </c>
      <c r="D225" s="4">
        <v>5405</v>
      </c>
      <c r="E225" s="30">
        <v>240</v>
      </c>
      <c r="G225" s="4">
        <v>4300021652</v>
      </c>
      <c r="J225" s="28" t="s">
        <v>616</v>
      </c>
      <c r="K225" s="28" t="s">
        <v>3</v>
      </c>
      <c r="L225" s="32">
        <v>43191</v>
      </c>
      <c r="M225" s="32">
        <f>BCOXT[[#This Row],[INV DOC DATE]]+30</f>
        <v>43221</v>
      </c>
      <c r="N225" s="32">
        <v>43220</v>
      </c>
      <c r="O225" s="31">
        <v>240</v>
      </c>
      <c r="P225" s="102">
        <v>43234</v>
      </c>
      <c r="Q225" s="31">
        <f t="shared" si="3"/>
        <v>0</v>
      </c>
      <c r="R225" s="53" t="str">
        <f ca="1">IF(TODAY() - BCOXT[INV DUE DATE]&lt;30, "Less than 30 days",IF(TODAY()-BCOXT[INV DUE DATE]&lt;60,"30-60 days","More than 60 days"))</f>
        <v>More than 60 days</v>
      </c>
      <c r="S225" s="4" t="s">
        <v>812</v>
      </c>
      <c r="T225" s="43" t="s">
        <v>2229</v>
      </c>
      <c r="U225" s="4" t="s">
        <v>3699</v>
      </c>
    </row>
    <row r="226" spans="1:21" x14ac:dyDescent="0.3">
      <c r="A226" s="28" t="s">
        <v>556</v>
      </c>
      <c r="B226" s="4" t="s">
        <v>35</v>
      </c>
      <c r="C226" s="4" t="s">
        <v>41</v>
      </c>
      <c r="D226" s="4">
        <v>5405</v>
      </c>
      <c r="E226" s="30">
        <v>240</v>
      </c>
      <c r="G226" s="4">
        <v>4300021652</v>
      </c>
      <c r="J226" s="28" t="s">
        <v>617</v>
      </c>
      <c r="K226" s="28" t="s">
        <v>3</v>
      </c>
      <c r="L226" s="32">
        <v>43191</v>
      </c>
      <c r="M226" s="32">
        <f>BCOXT[[#This Row],[INV DOC DATE]]+30</f>
        <v>43221</v>
      </c>
      <c r="N226" s="32">
        <v>43220</v>
      </c>
      <c r="O226" s="31">
        <v>240</v>
      </c>
      <c r="P226" s="102">
        <v>43234</v>
      </c>
      <c r="Q226" s="31">
        <f t="shared" si="3"/>
        <v>0</v>
      </c>
      <c r="R226" s="53" t="str">
        <f ca="1">IF(TODAY() - BCOXT[INV DUE DATE]&lt;30, "Less than 30 days",IF(TODAY()-BCOXT[INV DUE DATE]&lt;60,"30-60 days","More than 60 days"))</f>
        <v>More than 60 days</v>
      </c>
      <c r="S226" s="4" t="s">
        <v>812</v>
      </c>
      <c r="T226" s="43" t="s">
        <v>2229</v>
      </c>
      <c r="U226" s="4" t="s">
        <v>3699</v>
      </c>
    </row>
    <row r="227" spans="1:21" x14ac:dyDescent="0.3">
      <c r="A227" s="28" t="s">
        <v>556</v>
      </c>
      <c r="B227" s="4" t="s">
        <v>35</v>
      </c>
      <c r="C227" s="4" t="s">
        <v>42</v>
      </c>
      <c r="D227" s="4">
        <v>5405</v>
      </c>
      <c r="E227" s="30">
        <v>240</v>
      </c>
      <c r="G227" s="4">
        <v>4300021652</v>
      </c>
      <c r="J227" s="28" t="s">
        <v>618</v>
      </c>
      <c r="K227" s="28" t="s">
        <v>3</v>
      </c>
      <c r="L227" s="32">
        <v>43191</v>
      </c>
      <c r="M227" s="32">
        <f>BCOXT[[#This Row],[INV DOC DATE]]+30</f>
        <v>43221</v>
      </c>
      <c r="N227" s="32">
        <v>43220</v>
      </c>
      <c r="O227" s="31">
        <v>240</v>
      </c>
      <c r="P227" s="102">
        <v>43234</v>
      </c>
      <c r="Q227" s="31">
        <f t="shared" si="3"/>
        <v>0</v>
      </c>
      <c r="R227" s="53" t="str">
        <f ca="1">IF(TODAY() - BCOXT[INV DUE DATE]&lt;30, "Less than 30 days",IF(TODAY()-BCOXT[INV DUE DATE]&lt;60,"30-60 days","More than 60 days"))</f>
        <v>More than 60 days</v>
      </c>
      <c r="S227" s="4" t="s">
        <v>812</v>
      </c>
      <c r="T227" s="43" t="s">
        <v>2229</v>
      </c>
      <c r="U227" s="4" t="s">
        <v>3699</v>
      </c>
    </row>
    <row r="228" spans="1:21" x14ac:dyDescent="0.3">
      <c r="A228" s="28" t="s">
        <v>556</v>
      </c>
      <c r="B228" s="4" t="s">
        <v>35</v>
      </c>
      <c r="C228" s="4" t="s">
        <v>43</v>
      </c>
      <c r="D228" s="4">
        <v>5405</v>
      </c>
      <c r="E228" s="30">
        <v>240</v>
      </c>
      <c r="G228" s="4">
        <v>4300021652</v>
      </c>
      <c r="J228" s="28" t="s">
        <v>619</v>
      </c>
      <c r="K228" s="28" t="s">
        <v>3</v>
      </c>
      <c r="L228" s="32">
        <v>43191</v>
      </c>
      <c r="M228" s="32">
        <f>BCOXT[[#This Row],[INV DOC DATE]]+30</f>
        <v>43221</v>
      </c>
      <c r="N228" s="32">
        <v>43220</v>
      </c>
      <c r="O228" s="31">
        <v>240</v>
      </c>
      <c r="P228" s="102">
        <v>43234</v>
      </c>
      <c r="Q228" s="31">
        <f t="shared" si="3"/>
        <v>0</v>
      </c>
      <c r="R228" s="53" t="str">
        <f ca="1">IF(TODAY() - BCOXT[INV DUE DATE]&lt;30, "Less than 30 days",IF(TODAY()-BCOXT[INV DUE DATE]&lt;60,"30-60 days","More than 60 days"))</f>
        <v>More than 60 days</v>
      </c>
      <c r="S228" s="4" t="s">
        <v>812</v>
      </c>
      <c r="T228" s="43" t="s">
        <v>2229</v>
      </c>
      <c r="U228" s="4" t="s">
        <v>3699</v>
      </c>
    </row>
    <row r="229" spans="1:21" x14ac:dyDescent="0.3">
      <c r="A229" s="28" t="s">
        <v>556</v>
      </c>
      <c r="B229" s="4" t="s">
        <v>35</v>
      </c>
      <c r="C229" s="4" t="s">
        <v>44</v>
      </c>
      <c r="D229" s="4">
        <v>5405</v>
      </c>
      <c r="E229" s="30">
        <v>240</v>
      </c>
      <c r="G229" s="4">
        <v>4300021652</v>
      </c>
      <c r="J229" s="28" t="s">
        <v>620</v>
      </c>
      <c r="K229" s="28" t="s">
        <v>3</v>
      </c>
      <c r="L229" s="32">
        <v>43191</v>
      </c>
      <c r="M229" s="32">
        <f>BCOXT[[#This Row],[INV DOC DATE]]+30</f>
        <v>43221</v>
      </c>
      <c r="N229" s="32">
        <v>43220</v>
      </c>
      <c r="O229" s="31">
        <v>240</v>
      </c>
      <c r="P229" s="102">
        <v>43234</v>
      </c>
      <c r="Q229" s="31">
        <f t="shared" si="3"/>
        <v>0</v>
      </c>
      <c r="R229" s="53" t="str">
        <f ca="1">IF(TODAY() - BCOXT[INV DUE DATE]&lt;30, "Less than 30 days",IF(TODAY()-BCOXT[INV DUE DATE]&lt;60,"30-60 days","More than 60 days"))</f>
        <v>More than 60 days</v>
      </c>
      <c r="S229" s="4" t="s">
        <v>812</v>
      </c>
      <c r="T229" s="43" t="s">
        <v>2229</v>
      </c>
      <c r="U229" s="4" t="s">
        <v>3699</v>
      </c>
    </row>
    <row r="230" spans="1:21" x14ac:dyDescent="0.3">
      <c r="A230" s="28" t="s">
        <v>556</v>
      </c>
      <c r="B230" s="4" t="s">
        <v>35</v>
      </c>
      <c r="C230" s="4" t="s">
        <v>45</v>
      </c>
      <c r="D230" s="4">
        <v>5405</v>
      </c>
      <c r="E230" s="30">
        <v>240</v>
      </c>
      <c r="G230" s="4">
        <v>4300021652</v>
      </c>
      <c r="J230" s="28" t="s">
        <v>621</v>
      </c>
      <c r="K230" s="28" t="s">
        <v>3</v>
      </c>
      <c r="L230" s="32">
        <v>43191</v>
      </c>
      <c r="M230" s="32">
        <f>BCOXT[[#This Row],[INV DOC DATE]]+30</f>
        <v>43221</v>
      </c>
      <c r="N230" s="32">
        <v>43220</v>
      </c>
      <c r="O230" s="31">
        <v>240</v>
      </c>
      <c r="P230" s="102">
        <v>43234</v>
      </c>
      <c r="Q230" s="31">
        <f t="shared" si="3"/>
        <v>0</v>
      </c>
      <c r="R230" s="53" t="str">
        <f ca="1">IF(TODAY() - BCOXT[INV DUE DATE]&lt;30, "Less than 30 days",IF(TODAY()-BCOXT[INV DUE DATE]&lt;60,"30-60 days","More than 60 days"))</f>
        <v>More than 60 days</v>
      </c>
      <c r="S230" s="4" t="s">
        <v>812</v>
      </c>
      <c r="T230" s="43" t="s">
        <v>2229</v>
      </c>
      <c r="U230" s="4" t="s">
        <v>3699</v>
      </c>
    </row>
    <row r="231" spans="1:21" x14ac:dyDescent="0.3">
      <c r="A231" s="28" t="s">
        <v>556</v>
      </c>
      <c r="B231" s="4" t="s">
        <v>35</v>
      </c>
      <c r="C231" s="4" t="s">
        <v>46</v>
      </c>
      <c r="D231" s="4">
        <v>5405</v>
      </c>
      <c r="E231" s="30">
        <v>540</v>
      </c>
      <c r="G231" s="4">
        <v>4300021652</v>
      </c>
      <c r="J231" s="28" t="s">
        <v>622</v>
      </c>
      <c r="K231" s="28" t="s">
        <v>3</v>
      </c>
      <c r="L231" s="32">
        <v>43191</v>
      </c>
      <c r="M231" s="32">
        <f>BCOXT[[#This Row],[INV DOC DATE]]+30</f>
        <v>43221</v>
      </c>
      <c r="N231" s="32">
        <v>43220</v>
      </c>
      <c r="O231" s="31">
        <v>540</v>
      </c>
      <c r="P231" s="102">
        <v>43234</v>
      </c>
      <c r="Q231" s="31">
        <f t="shared" si="3"/>
        <v>0</v>
      </c>
      <c r="R231" s="53" t="str">
        <f ca="1">IF(TODAY() - BCOXT[INV DUE DATE]&lt;30, "Less than 30 days",IF(TODAY()-BCOXT[INV DUE DATE]&lt;60,"30-60 days","More than 60 days"))</f>
        <v>More than 60 days</v>
      </c>
      <c r="S231" s="4" t="s">
        <v>812</v>
      </c>
      <c r="T231" s="43" t="s">
        <v>2229</v>
      </c>
      <c r="U231" s="4" t="s">
        <v>3699</v>
      </c>
    </row>
    <row r="232" spans="1:21" x14ac:dyDescent="0.3">
      <c r="A232" s="28" t="s">
        <v>556</v>
      </c>
      <c r="B232" s="4" t="s">
        <v>35</v>
      </c>
      <c r="C232" s="4" t="s">
        <v>47</v>
      </c>
      <c r="D232" s="4">
        <v>5405</v>
      </c>
      <c r="E232" s="30">
        <v>540</v>
      </c>
      <c r="G232" s="4">
        <v>4300021652</v>
      </c>
      <c r="J232" s="28" t="s">
        <v>623</v>
      </c>
      <c r="K232" s="28" t="s">
        <v>3</v>
      </c>
      <c r="L232" s="32">
        <v>43191</v>
      </c>
      <c r="M232" s="32">
        <f>BCOXT[[#This Row],[INV DOC DATE]]+30</f>
        <v>43221</v>
      </c>
      <c r="N232" s="32">
        <v>43220</v>
      </c>
      <c r="O232" s="31">
        <v>540</v>
      </c>
      <c r="P232" s="102">
        <v>43234</v>
      </c>
      <c r="Q232" s="31">
        <f t="shared" si="3"/>
        <v>0</v>
      </c>
      <c r="R232" s="53" t="str">
        <f ca="1">IF(TODAY() - BCOXT[INV DUE DATE]&lt;30, "Less than 30 days",IF(TODAY()-BCOXT[INV DUE DATE]&lt;60,"30-60 days","More than 60 days"))</f>
        <v>More than 60 days</v>
      </c>
      <c r="S232" s="4" t="s">
        <v>812</v>
      </c>
      <c r="T232" s="43" t="s">
        <v>2229</v>
      </c>
      <c r="U232" s="4" t="s">
        <v>3699</v>
      </c>
    </row>
    <row r="233" spans="1:21" x14ac:dyDescent="0.3">
      <c r="A233" s="28" t="s">
        <v>556</v>
      </c>
      <c r="B233" s="4" t="s">
        <v>35</v>
      </c>
      <c r="C233" s="4" t="s">
        <v>295</v>
      </c>
      <c r="D233" s="4">
        <v>5405</v>
      </c>
      <c r="E233" s="30">
        <v>540</v>
      </c>
      <c r="G233" s="4">
        <v>4300021652</v>
      </c>
      <c r="J233" s="28" t="s">
        <v>624</v>
      </c>
      <c r="K233" s="28" t="s">
        <v>3</v>
      </c>
      <c r="L233" s="32">
        <v>43191</v>
      </c>
      <c r="M233" s="32">
        <f>BCOXT[[#This Row],[INV DOC DATE]]+30</f>
        <v>43221</v>
      </c>
      <c r="N233" s="32">
        <v>43220</v>
      </c>
      <c r="O233" s="31">
        <v>540</v>
      </c>
      <c r="P233" s="102">
        <v>43234</v>
      </c>
      <c r="Q233" s="31">
        <f t="shared" si="3"/>
        <v>0</v>
      </c>
      <c r="R233" s="53" t="str">
        <f ca="1">IF(TODAY() - BCOXT[INV DUE DATE]&lt;30, "Less than 30 days",IF(TODAY()-BCOXT[INV DUE DATE]&lt;60,"30-60 days","More than 60 days"))</f>
        <v>More than 60 days</v>
      </c>
      <c r="S233" s="4" t="s">
        <v>812</v>
      </c>
      <c r="T233" s="43" t="s">
        <v>2229</v>
      </c>
      <c r="U233" s="4" t="s">
        <v>3699</v>
      </c>
    </row>
    <row r="234" spans="1:21" x14ac:dyDescent="0.3">
      <c r="A234" s="28" t="s">
        <v>556</v>
      </c>
      <c r="B234" s="4" t="s">
        <v>35</v>
      </c>
      <c r="C234" s="4" t="s">
        <v>48</v>
      </c>
      <c r="D234" s="4">
        <v>5405</v>
      </c>
      <c r="E234" s="30">
        <v>540</v>
      </c>
      <c r="G234" s="4">
        <v>4300021652</v>
      </c>
      <c r="J234" s="28" t="s">
        <v>625</v>
      </c>
      <c r="K234" s="28" t="s">
        <v>3</v>
      </c>
      <c r="L234" s="32">
        <v>43191</v>
      </c>
      <c r="M234" s="32">
        <f>BCOXT[[#This Row],[INV DOC DATE]]+30</f>
        <v>43221</v>
      </c>
      <c r="N234" s="32">
        <v>43220</v>
      </c>
      <c r="O234" s="31">
        <v>540</v>
      </c>
      <c r="P234" s="102">
        <v>43234</v>
      </c>
      <c r="Q234" s="31">
        <f t="shared" si="3"/>
        <v>0</v>
      </c>
      <c r="R234" s="53" t="str">
        <f ca="1">IF(TODAY() - BCOXT[INV DUE DATE]&lt;30, "Less than 30 days",IF(TODAY()-BCOXT[INV DUE DATE]&lt;60,"30-60 days","More than 60 days"))</f>
        <v>More than 60 days</v>
      </c>
      <c r="S234" s="4" t="s">
        <v>812</v>
      </c>
      <c r="T234" s="43" t="s">
        <v>2229</v>
      </c>
      <c r="U234" s="4" t="s">
        <v>3699</v>
      </c>
    </row>
    <row r="235" spans="1:21" x14ac:dyDescent="0.3">
      <c r="A235" s="28" t="s">
        <v>556</v>
      </c>
      <c r="B235" s="4" t="s">
        <v>35</v>
      </c>
      <c r="C235" s="4" t="s">
        <v>49</v>
      </c>
      <c r="D235" s="4">
        <v>5405</v>
      </c>
      <c r="E235" s="30">
        <v>540</v>
      </c>
      <c r="G235" s="4">
        <v>4300021652</v>
      </c>
      <c r="J235" s="28" t="s">
        <v>626</v>
      </c>
      <c r="K235" s="28" t="s">
        <v>3</v>
      </c>
      <c r="L235" s="32">
        <v>43191</v>
      </c>
      <c r="M235" s="32">
        <f>BCOXT[[#This Row],[INV DOC DATE]]+30</f>
        <v>43221</v>
      </c>
      <c r="N235" s="32">
        <v>43220</v>
      </c>
      <c r="O235" s="31">
        <v>540</v>
      </c>
      <c r="P235" s="102">
        <v>43234</v>
      </c>
      <c r="Q235" s="31">
        <f t="shared" si="3"/>
        <v>0</v>
      </c>
      <c r="R235" s="53" t="str">
        <f ca="1">IF(TODAY() - BCOXT[INV DUE DATE]&lt;30, "Less than 30 days",IF(TODAY()-BCOXT[INV DUE DATE]&lt;60,"30-60 days","More than 60 days"))</f>
        <v>More than 60 days</v>
      </c>
      <c r="S235" s="4" t="s">
        <v>812</v>
      </c>
      <c r="T235" s="43" t="s">
        <v>2229</v>
      </c>
      <c r="U235" s="4" t="s">
        <v>3699</v>
      </c>
    </row>
    <row r="236" spans="1:21" x14ac:dyDescent="0.3">
      <c r="A236" s="28" t="s">
        <v>556</v>
      </c>
      <c r="B236" s="4" t="s">
        <v>35</v>
      </c>
      <c r="C236" s="4" t="s">
        <v>50</v>
      </c>
      <c r="D236" s="4">
        <v>5405</v>
      </c>
      <c r="E236" s="30">
        <v>540</v>
      </c>
      <c r="G236" s="4">
        <v>4300021652</v>
      </c>
      <c r="J236" s="28" t="s">
        <v>627</v>
      </c>
      <c r="K236" s="28" t="s">
        <v>3</v>
      </c>
      <c r="L236" s="32">
        <v>43191</v>
      </c>
      <c r="M236" s="32">
        <f>BCOXT[[#This Row],[INV DOC DATE]]+30</f>
        <v>43221</v>
      </c>
      <c r="N236" s="32">
        <v>43220</v>
      </c>
      <c r="O236" s="31">
        <v>540</v>
      </c>
      <c r="P236" s="102">
        <v>43234</v>
      </c>
      <c r="Q236" s="31">
        <f t="shared" si="3"/>
        <v>0</v>
      </c>
      <c r="R236" s="53" t="str">
        <f ca="1">IF(TODAY() - BCOXT[INV DUE DATE]&lt;30, "Less than 30 days",IF(TODAY()-BCOXT[INV DUE DATE]&lt;60,"30-60 days","More than 60 days"))</f>
        <v>More than 60 days</v>
      </c>
      <c r="S236" s="4" t="s">
        <v>812</v>
      </c>
      <c r="T236" s="43" t="s">
        <v>2229</v>
      </c>
      <c r="U236" s="4" t="s">
        <v>3699</v>
      </c>
    </row>
    <row r="237" spans="1:21" x14ac:dyDescent="0.3">
      <c r="A237" s="28" t="s">
        <v>556</v>
      </c>
      <c r="B237" s="4" t="s">
        <v>35</v>
      </c>
      <c r="C237" s="4" t="s">
        <v>51</v>
      </c>
      <c r="D237" s="4">
        <v>5405</v>
      </c>
      <c r="E237" s="30">
        <v>262.5</v>
      </c>
      <c r="G237" s="4">
        <v>4300021652</v>
      </c>
      <c r="J237" s="28" t="s">
        <v>628</v>
      </c>
      <c r="K237" s="28" t="s">
        <v>3</v>
      </c>
      <c r="L237" s="32">
        <v>43191</v>
      </c>
      <c r="M237" s="32">
        <f>BCOXT[[#This Row],[INV DOC DATE]]+30</f>
        <v>43221</v>
      </c>
      <c r="N237" s="32">
        <v>43220</v>
      </c>
      <c r="O237" s="31">
        <v>262.5</v>
      </c>
      <c r="P237" s="102">
        <v>43234</v>
      </c>
      <c r="Q237" s="31">
        <f t="shared" si="3"/>
        <v>0</v>
      </c>
      <c r="R237" s="53" t="str">
        <f ca="1">IF(TODAY() - BCOXT[INV DUE DATE]&lt;30, "Less than 30 days",IF(TODAY()-BCOXT[INV DUE DATE]&lt;60,"30-60 days","More than 60 days"))</f>
        <v>More than 60 days</v>
      </c>
      <c r="S237" s="4" t="s">
        <v>812</v>
      </c>
      <c r="T237" s="43" t="s">
        <v>2229</v>
      </c>
      <c r="U237" s="4" t="s">
        <v>3699</v>
      </c>
    </row>
    <row r="238" spans="1:21" x14ac:dyDescent="0.3">
      <c r="A238" s="28" t="s">
        <v>556</v>
      </c>
      <c r="B238" s="4" t="s">
        <v>35</v>
      </c>
      <c r="C238" s="4" t="s">
        <v>52</v>
      </c>
      <c r="D238" s="4">
        <v>5405</v>
      </c>
      <c r="E238" s="30">
        <v>262.5</v>
      </c>
      <c r="G238" s="4">
        <v>4300021652</v>
      </c>
      <c r="J238" s="28" t="s">
        <v>629</v>
      </c>
      <c r="K238" s="28" t="s">
        <v>3</v>
      </c>
      <c r="L238" s="32">
        <v>43191</v>
      </c>
      <c r="M238" s="32">
        <f>BCOXT[[#This Row],[INV DOC DATE]]+30</f>
        <v>43221</v>
      </c>
      <c r="N238" s="32">
        <v>43220</v>
      </c>
      <c r="O238" s="31">
        <v>262.5</v>
      </c>
      <c r="P238" s="102">
        <v>43234</v>
      </c>
      <c r="Q238" s="31">
        <f t="shared" si="3"/>
        <v>0</v>
      </c>
      <c r="R238" s="53" t="str">
        <f ca="1">IF(TODAY() - BCOXT[INV DUE DATE]&lt;30, "Less than 30 days",IF(TODAY()-BCOXT[INV DUE DATE]&lt;60,"30-60 days","More than 60 days"))</f>
        <v>More than 60 days</v>
      </c>
      <c r="S238" s="4" t="s">
        <v>812</v>
      </c>
      <c r="T238" s="43" t="s">
        <v>2229</v>
      </c>
      <c r="U238" s="4" t="s">
        <v>3699</v>
      </c>
    </row>
    <row r="239" spans="1:21" x14ac:dyDescent="0.3">
      <c r="A239" s="28" t="s">
        <v>556</v>
      </c>
      <c r="B239" s="4" t="s">
        <v>35</v>
      </c>
      <c r="C239" s="4" t="s">
        <v>53</v>
      </c>
      <c r="D239" s="4">
        <v>5405</v>
      </c>
      <c r="E239" s="30">
        <v>146.88</v>
      </c>
      <c r="G239" s="4">
        <v>4300021652</v>
      </c>
      <c r="J239" s="28" t="s">
        <v>630</v>
      </c>
      <c r="K239" s="28" t="s">
        <v>3</v>
      </c>
      <c r="L239" s="32">
        <v>43191</v>
      </c>
      <c r="M239" s="32">
        <f>BCOXT[[#This Row],[INV DOC DATE]]+30</f>
        <v>43221</v>
      </c>
      <c r="N239" s="32">
        <v>43220</v>
      </c>
      <c r="O239" s="31">
        <v>146.88</v>
      </c>
      <c r="P239" s="102">
        <v>43234</v>
      </c>
      <c r="Q239" s="31">
        <f t="shared" si="3"/>
        <v>0</v>
      </c>
      <c r="R239" s="53" t="str">
        <f ca="1">IF(TODAY() - BCOXT[INV DUE DATE]&lt;30, "Less than 30 days",IF(TODAY()-BCOXT[INV DUE DATE]&lt;60,"30-60 days","More than 60 days"))</f>
        <v>More than 60 days</v>
      </c>
      <c r="S239" s="4" t="s">
        <v>812</v>
      </c>
      <c r="T239" s="43" t="s">
        <v>2229</v>
      </c>
      <c r="U239" s="4" t="s">
        <v>3699</v>
      </c>
    </row>
    <row r="240" spans="1:21" ht="13.8" customHeight="1" x14ac:dyDescent="0.3">
      <c r="A240" s="28" t="s">
        <v>556</v>
      </c>
      <c r="B240" s="4" t="s">
        <v>35</v>
      </c>
      <c r="C240" s="4" t="s">
        <v>54</v>
      </c>
      <c r="D240" s="4">
        <v>5405</v>
      </c>
      <c r="E240" s="30">
        <v>90</v>
      </c>
      <c r="G240" s="4">
        <v>4300021652</v>
      </c>
      <c r="J240" s="28" t="s">
        <v>630</v>
      </c>
      <c r="K240" s="28" t="s">
        <v>810</v>
      </c>
      <c r="L240" s="32">
        <v>43191</v>
      </c>
      <c r="M240" s="32">
        <f>BCOXT[[#This Row],[INV DOC DATE]]+30</f>
        <v>43221</v>
      </c>
      <c r="N240" s="32">
        <v>43220</v>
      </c>
      <c r="O240" s="31">
        <v>90</v>
      </c>
      <c r="P240" s="102">
        <v>43234</v>
      </c>
      <c r="Q240" s="31">
        <f t="shared" si="3"/>
        <v>0</v>
      </c>
      <c r="R240" s="53" t="str">
        <f ca="1">IF(TODAY() - BCOXT[INV DUE DATE]&lt;30, "Less than 30 days",IF(TODAY()-BCOXT[INV DUE DATE]&lt;60,"30-60 days","More than 60 days"))</f>
        <v>More than 60 days</v>
      </c>
      <c r="S240" s="4" t="s">
        <v>812</v>
      </c>
      <c r="T240" s="43" t="s">
        <v>2229</v>
      </c>
      <c r="U240" s="4" t="s">
        <v>3699</v>
      </c>
    </row>
    <row r="241" spans="1:21" x14ac:dyDescent="0.3">
      <c r="A241" s="28" t="s">
        <v>556</v>
      </c>
      <c r="B241" s="4" t="s">
        <v>35</v>
      </c>
      <c r="C241" s="4" t="s">
        <v>55</v>
      </c>
      <c r="D241" s="4">
        <v>5405</v>
      </c>
      <c r="E241" s="30">
        <v>159.12</v>
      </c>
      <c r="G241" s="4">
        <v>4300021652</v>
      </c>
      <c r="J241" s="28" t="s">
        <v>631</v>
      </c>
      <c r="K241" s="28" t="s">
        <v>3</v>
      </c>
      <c r="L241" s="32">
        <v>43191</v>
      </c>
      <c r="M241" s="32">
        <f>BCOXT[[#This Row],[INV DOC DATE]]+30</f>
        <v>43221</v>
      </c>
      <c r="N241" s="32">
        <v>43220</v>
      </c>
      <c r="O241" s="31">
        <v>159.12</v>
      </c>
      <c r="P241" s="102">
        <v>43234</v>
      </c>
      <c r="Q241" s="31">
        <f t="shared" si="3"/>
        <v>0</v>
      </c>
      <c r="R241" s="53" t="str">
        <f ca="1">IF(TODAY() - BCOXT[INV DUE DATE]&lt;30, "Less than 30 days",IF(TODAY()-BCOXT[INV DUE DATE]&lt;60,"30-60 days","More than 60 days"))</f>
        <v>More than 60 days</v>
      </c>
      <c r="S241" s="4" t="s">
        <v>812</v>
      </c>
      <c r="T241" s="43" t="s">
        <v>2229</v>
      </c>
      <c r="U241" s="4" t="s">
        <v>3699</v>
      </c>
    </row>
    <row r="242" spans="1:21" x14ac:dyDescent="0.3">
      <c r="A242" s="28" t="s">
        <v>556</v>
      </c>
      <c r="B242" s="4" t="s">
        <v>35</v>
      </c>
      <c r="C242" s="4" t="s">
        <v>56</v>
      </c>
      <c r="D242" s="4">
        <v>5405</v>
      </c>
      <c r="E242" s="30">
        <v>90</v>
      </c>
      <c r="G242" s="4">
        <v>4300021652</v>
      </c>
      <c r="J242" s="28" t="s">
        <v>631</v>
      </c>
      <c r="K242" s="28" t="s">
        <v>810</v>
      </c>
      <c r="L242" s="32">
        <v>43191</v>
      </c>
      <c r="M242" s="32">
        <f>BCOXT[[#This Row],[INV DOC DATE]]+30</f>
        <v>43221</v>
      </c>
      <c r="N242" s="32">
        <v>43220</v>
      </c>
      <c r="O242" s="31">
        <v>90</v>
      </c>
      <c r="P242" s="102">
        <v>43234</v>
      </c>
      <c r="Q242" s="31">
        <f t="shared" si="3"/>
        <v>0</v>
      </c>
      <c r="R242" s="53" t="str">
        <f ca="1">IF(TODAY() - BCOXT[INV DUE DATE]&lt;30, "Less than 30 days",IF(TODAY()-BCOXT[INV DUE DATE]&lt;60,"30-60 days","More than 60 days"))</f>
        <v>More than 60 days</v>
      </c>
      <c r="S242" s="4" t="s">
        <v>812</v>
      </c>
      <c r="T242" s="43" t="s">
        <v>2229</v>
      </c>
      <c r="U242" s="4" t="s">
        <v>3699</v>
      </c>
    </row>
    <row r="243" spans="1:21" x14ac:dyDescent="0.3">
      <c r="A243" s="28" t="s">
        <v>556</v>
      </c>
      <c r="B243" s="4" t="s">
        <v>35</v>
      </c>
      <c r="C243" s="4" t="s">
        <v>57</v>
      </c>
      <c r="D243" s="4">
        <v>5405</v>
      </c>
      <c r="E243" s="30">
        <v>240</v>
      </c>
      <c r="G243" s="4">
        <v>4300021652</v>
      </c>
      <c r="J243" s="28" t="s">
        <v>632</v>
      </c>
      <c r="K243" s="28" t="s">
        <v>3</v>
      </c>
      <c r="L243" s="32">
        <v>43191</v>
      </c>
      <c r="M243" s="32">
        <f>BCOXT[[#This Row],[INV DOC DATE]]+30</f>
        <v>43221</v>
      </c>
      <c r="N243" s="32">
        <v>43220</v>
      </c>
      <c r="O243" s="31">
        <v>240</v>
      </c>
      <c r="P243" s="102">
        <v>43234</v>
      </c>
      <c r="Q243" s="31">
        <f t="shared" si="3"/>
        <v>0</v>
      </c>
      <c r="R243" s="53" t="str">
        <f ca="1">IF(TODAY() - BCOXT[INV DUE DATE]&lt;30, "Less than 30 days",IF(TODAY()-BCOXT[INV DUE DATE]&lt;60,"30-60 days","More than 60 days"))</f>
        <v>More than 60 days</v>
      </c>
      <c r="S243" s="4" t="s">
        <v>812</v>
      </c>
      <c r="T243" s="43" t="s">
        <v>2229</v>
      </c>
      <c r="U243" s="4" t="s">
        <v>3699</v>
      </c>
    </row>
    <row r="244" spans="1:21" x14ac:dyDescent="0.3">
      <c r="A244" s="28" t="s">
        <v>556</v>
      </c>
      <c r="B244" s="4" t="s">
        <v>35</v>
      </c>
      <c r="C244" s="4" t="s">
        <v>58</v>
      </c>
      <c r="D244" s="4">
        <v>5405</v>
      </c>
      <c r="E244" s="30">
        <v>240</v>
      </c>
      <c r="G244" s="4">
        <v>4300021652</v>
      </c>
      <c r="J244" s="28" t="s">
        <v>633</v>
      </c>
      <c r="K244" s="28" t="s">
        <v>3</v>
      </c>
      <c r="L244" s="32">
        <v>43191</v>
      </c>
      <c r="M244" s="32">
        <f>BCOXT[[#This Row],[INV DOC DATE]]+30</f>
        <v>43221</v>
      </c>
      <c r="N244" s="32">
        <v>43220</v>
      </c>
      <c r="O244" s="31">
        <v>240</v>
      </c>
      <c r="P244" s="102">
        <v>43234</v>
      </c>
      <c r="Q244" s="31">
        <f t="shared" si="3"/>
        <v>0</v>
      </c>
      <c r="R244" s="53" t="str">
        <f ca="1">IF(TODAY() - BCOXT[INV DUE DATE]&lt;30, "Less than 30 days",IF(TODAY()-BCOXT[INV DUE DATE]&lt;60,"30-60 days","More than 60 days"))</f>
        <v>More than 60 days</v>
      </c>
      <c r="S244" s="4" t="s">
        <v>812</v>
      </c>
      <c r="T244" s="43" t="s">
        <v>2229</v>
      </c>
      <c r="U244" s="4" t="s">
        <v>3699</v>
      </c>
    </row>
    <row r="245" spans="1:21" x14ac:dyDescent="0.3">
      <c r="A245" s="28" t="s">
        <v>556</v>
      </c>
      <c r="B245" s="4" t="s">
        <v>35</v>
      </c>
      <c r="C245" s="4" t="s">
        <v>59</v>
      </c>
      <c r="D245" s="4">
        <v>5405</v>
      </c>
      <c r="E245" s="30">
        <v>240</v>
      </c>
      <c r="G245" s="4">
        <v>4300021652</v>
      </c>
      <c r="J245" s="28" t="s">
        <v>634</v>
      </c>
      <c r="K245" s="28" t="s">
        <v>3</v>
      </c>
      <c r="L245" s="32">
        <v>43191</v>
      </c>
      <c r="M245" s="32">
        <f>BCOXT[[#This Row],[INV DOC DATE]]+30</f>
        <v>43221</v>
      </c>
      <c r="N245" s="32">
        <v>43220</v>
      </c>
      <c r="O245" s="31">
        <v>240</v>
      </c>
      <c r="P245" s="102">
        <v>43234</v>
      </c>
      <c r="Q245" s="31">
        <f t="shared" si="3"/>
        <v>0</v>
      </c>
      <c r="R245" s="53" t="str">
        <f ca="1">IF(TODAY() - BCOXT[INV DUE DATE]&lt;30, "Less than 30 days",IF(TODAY()-BCOXT[INV DUE DATE]&lt;60,"30-60 days","More than 60 days"))</f>
        <v>More than 60 days</v>
      </c>
      <c r="S245" s="4" t="s">
        <v>812</v>
      </c>
      <c r="T245" s="43" t="s">
        <v>2229</v>
      </c>
      <c r="U245" s="4" t="s">
        <v>3699</v>
      </c>
    </row>
    <row r="246" spans="1:21" x14ac:dyDescent="0.3">
      <c r="A246" s="28" t="s">
        <v>556</v>
      </c>
      <c r="B246" s="4" t="s">
        <v>35</v>
      </c>
      <c r="C246" s="4" t="s">
        <v>60</v>
      </c>
      <c r="D246" s="4">
        <v>5405</v>
      </c>
      <c r="E246" s="30">
        <v>240</v>
      </c>
      <c r="G246" s="4">
        <v>4300021652</v>
      </c>
      <c r="J246" s="28" t="s">
        <v>635</v>
      </c>
      <c r="K246" s="28" t="s">
        <v>3</v>
      </c>
      <c r="L246" s="32">
        <v>43191</v>
      </c>
      <c r="M246" s="32">
        <f>BCOXT[[#This Row],[INV DOC DATE]]+30</f>
        <v>43221</v>
      </c>
      <c r="N246" s="32">
        <v>43220</v>
      </c>
      <c r="O246" s="31">
        <v>240</v>
      </c>
      <c r="P246" s="102">
        <v>43234</v>
      </c>
      <c r="Q246" s="31">
        <f t="shared" si="3"/>
        <v>0</v>
      </c>
      <c r="R246" s="53" t="str">
        <f ca="1">IF(TODAY() - BCOXT[INV DUE DATE]&lt;30, "Less than 30 days",IF(TODAY()-BCOXT[INV DUE DATE]&lt;60,"30-60 days","More than 60 days"))</f>
        <v>More than 60 days</v>
      </c>
      <c r="S246" s="4" t="s">
        <v>812</v>
      </c>
      <c r="T246" s="43" t="s">
        <v>2229</v>
      </c>
      <c r="U246" s="4" t="s">
        <v>3699</v>
      </c>
    </row>
    <row r="247" spans="1:21" x14ac:dyDescent="0.3">
      <c r="A247" s="28" t="s">
        <v>556</v>
      </c>
      <c r="B247" s="4" t="s">
        <v>35</v>
      </c>
      <c r="C247" s="4" t="s">
        <v>61</v>
      </c>
      <c r="D247" s="4">
        <v>5405</v>
      </c>
      <c r="E247" s="30">
        <v>240</v>
      </c>
      <c r="G247" s="4">
        <v>4300021652</v>
      </c>
      <c r="J247" s="28" t="s">
        <v>636</v>
      </c>
      <c r="K247" s="28" t="s">
        <v>3</v>
      </c>
      <c r="L247" s="32">
        <v>43191</v>
      </c>
      <c r="M247" s="32">
        <f>BCOXT[[#This Row],[INV DOC DATE]]+30</f>
        <v>43221</v>
      </c>
      <c r="N247" s="32">
        <v>43220</v>
      </c>
      <c r="O247" s="31">
        <v>240</v>
      </c>
      <c r="P247" s="102">
        <v>43234</v>
      </c>
      <c r="Q247" s="31">
        <f t="shared" si="3"/>
        <v>0</v>
      </c>
      <c r="R247" s="53" t="str">
        <f ca="1">IF(TODAY() - BCOXT[INV DUE DATE]&lt;30, "Less than 30 days",IF(TODAY()-BCOXT[INV DUE DATE]&lt;60,"30-60 days","More than 60 days"))</f>
        <v>More than 60 days</v>
      </c>
      <c r="S247" s="4" t="s">
        <v>812</v>
      </c>
      <c r="T247" s="43" t="s">
        <v>2229</v>
      </c>
      <c r="U247" s="4" t="s">
        <v>3699</v>
      </c>
    </row>
    <row r="248" spans="1:21" x14ac:dyDescent="0.3">
      <c r="A248" s="28" t="s">
        <v>556</v>
      </c>
      <c r="B248" s="4" t="s">
        <v>35</v>
      </c>
      <c r="C248" s="4" t="s">
        <v>62</v>
      </c>
      <c r="D248" s="4">
        <v>5405</v>
      </c>
      <c r="E248" s="30">
        <v>240</v>
      </c>
      <c r="G248" s="4">
        <v>4300021652</v>
      </c>
      <c r="J248" s="28" t="s">
        <v>637</v>
      </c>
      <c r="K248" s="28" t="s">
        <v>3</v>
      </c>
      <c r="L248" s="32">
        <v>43191</v>
      </c>
      <c r="M248" s="32">
        <f>BCOXT[[#This Row],[INV DOC DATE]]+30</f>
        <v>43221</v>
      </c>
      <c r="N248" s="32">
        <v>43220</v>
      </c>
      <c r="O248" s="31">
        <v>240</v>
      </c>
      <c r="P248" s="102">
        <v>43234</v>
      </c>
      <c r="Q248" s="31">
        <f t="shared" si="3"/>
        <v>0</v>
      </c>
      <c r="R248" s="53" t="str">
        <f ca="1">IF(TODAY() - BCOXT[INV DUE DATE]&lt;30, "Less than 30 days",IF(TODAY()-BCOXT[INV DUE DATE]&lt;60,"30-60 days","More than 60 days"))</f>
        <v>More than 60 days</v>
      </c>
      <c r="S248" s="4" t="s">
        <v>812</v>
      </c>
      <c r="T248" s="43" t="s">
        <v>2229</v>
      </c>
      <c r="U248" s="4" t="s">
        <v>3699</v>
      </c>
    </row>
    <row r="249" spans="1:21" x14ac:dyDescent="0.3">
      <c r="A249" s="28" t="s">
        <v>556</v>
      </c>
      <c r="B249" s="4" t="s">
        <v>35</v>
      </c>
      <c r="C249" s="4" t="s">
        <v>63</v>
      </c>
      <c r="D249" s="4">
        <v>5405</v>
      </c>
      <c r="E249" s="30">
        <v>240</v>
      </c>
      <c r="G249" s="4">
        <v>4300021652</v>
      </c>
      <c r="J249" s="28" t="s">
        <v>638</v>
      </c>
      <c r="K249" s="28" t="s">
        <v>3</v>
      </c>
      <c r="L249" s="32">
        <v>43191</v>
      </c>
      <c r="M249" s="32">
        <f>BCOXT[[#This Row],[INV DOC DATE]]+30</f>
        <v>43221</v>
      </c>
      <c r="N249" s="32">
        <v>43220</v>
      </c>
      <c r="O249" s="31">
        <v>240</v>
      </c>
      <c r="P249" s="102">
        <v>43234</v>
      </c>
      <c r="Q249" s="31">
        <f t="shared" si="3"/>
        <v>0</v>
      </c>
      <c r="R249" s="53" t="str">
        <f ca="1">IF(TODAY() - BCOXT[INV DUE DATE]&lt;30, "Less than 30 days",IF(TODAY()-BCOXT[INV DUE DATE]&lt;60,"30-60 days","More than 60 days"))</f>
        <v>More than 60 days</v>
      </c>
      <c r="S249" s="4" t="s">
        <v>812</v>
      </c>
      <c r="T249" s="43" t="s">
        <v>2229</v>
      </c>
      <c r="U249" s="4" t="s">
        <v>3699</v>
      </c>
    </row>
    <row r="250" spans="1:21" x14ac:dyDescent="0.3">
      <c r="A250" s="28" t="s">
        <v>556</v>
      </c>
      <c r="B250" s="4" t="s">
        <v>35</v>
      </c>
      <c r="C250" s="4" t="s">
        <v>64</v>
      </c>
      <c r="D250" s="4">
        <v>5405</v>
      </c>
      <c r="E250" s="30">
        <v>240</v>
      </c>
      <c r="G250" s="4">
        <v>4300021652</v>
      </c>
      <c r="J250" s="28" t="s">
        <v>639</v>
      </c>
      <c r="K250" s="28" t="s">
        <v>3</v>
      </c>
      <c r="L250" s="32">
        <v>43191</v>
      </c>
      <c r="M250" s="32">
        <f>BCOXT[[#This Row],[INV DOC DATE]]+30</f>
        <v>43221</v>
      </c>
      <c r="N250" s="32">
        <v>43220</v>
      </c>
      <c r="O250" s="31">
        <v>240</v>
      </c>
      <c r="P250" s="102">
        <v>43234</v>
      </c>
      <c r="Q250" s="31">
        <f t="shared" si="3"/>
        <v>0</v>
      </c>
      <c r="R250" s="53" t="str">
        <f ca="1">IF(TODAY() - BCOXT[INV DUE DATE]&lt;30, "Less than 30 days",IF(TODAY()-BCOXT[INV DUE DATE]&lt;60,"30-60 days","More than 60 days"))</f>
        <v>More than 60 days</v>
      </c>
      <c r="S250" s="4" t="s">
        <v>812</v>
      </c>
      <c r="T250" s="43" t="s">
        <v>2229</v>
      </c>
      <c r="U250" s="4" t="s">
        <v>3699</v>
      </c>
    </row>
    <row r="251" spans="1:21" x14ac:dyDescent="0.3">
      <c r="A251" s="28" t="s">
        <v>556</v>
      </c>
      <c r="B251" s="4" t="s">
        <v>35</v>
      </c>
      <c r="C251" s="4" t="s">
        <v>65</v>
      </c>
      <c r="D251" s="4">
        <v>5405</v>
      </c>
      <c r="E251" s="30">
        <v>240</v>
      </c>
      <c r="G251" s="4">
        <v>4300021652</v>
      </c>
      <c r="J251" s="28" t="s">
        <v>640</v>
      </c>
      <c r="K251" s="28" t="s">
        <v>3</v>
      </c>
      <c r="L251" s="32">
        <v>43191</v>
      </c>
      <c r="M251" s="32">
        <f>BCOXT[[#This Row],[INV DOC DATE]]+30</f>
        <v>43221</v>
      </c>
      <c r="N251" s="32">
        <v>43220</v>
      </c>
      <c r="O251" s="31">
        <v>240</v>
      </c>
      <c r="P251" s="102">
        <v>43234</v>
      </c>
      <c r="Q251" s="31">
        <f t="shared" si="3"/>
        <v>0</v>
      </c>
      <c r="R251" s="53" t="str">
        <f ca="1">IF(TODAY() - BCOXT[INV DUE DATE]&lt;30, "Less than 30 days",IF(TODAY()-BCOXT[INV DUE DATE]&lt;60,"30-60 days","More than 60 days"))</f>
        <v>More than 60 days</v>
      </c>
      <c r="S251" s="4" t="s">
        <v>812</v>
      </c>
      <c r="T251" s="43" t="s">
        <v>2229</v>
      </c>
      <c r="U251" s="4" t="s">
        <v>3699</v>
      </c>
    </row>
    <row r="252" spans="1:21" x14ac:dyDescent="0.3">
      <c r="A252" s="28" t="s">
        <v>556</v>
      </c>
      <c r="B252" s="4" t="s">
        <v>35</v>
      </c>
      <c r="C252" s="4" t="s">
        <v>66</v>
      </c>
      <c r="D252" s="4">
        <v>5405</v>
      </c>
      <c r="E252" s="30">
        <v>240</v>
      </c>
      <c r="G252" s="4">
        <v>4300021652</v>
      </c>
      <c r="J252" s="28" t="s">
        <v>641</v>
      </c>
      <c r="K252" s="28" t="s">
        <v>3</v>
      </c>
      <c r="L252" s="32">
        <v>43191</v>
      </c>
      <c r="M252" s="32">
        <f>BCOXT[[#This Row],[INV DOC DATE]]+30</f>
        <v>43221</v>
      </c>
      <c r="N252" s="32">
        <v>43220</v>
      </c>
      <c r="O252" s="31">
        <v>240</v>
      </c>
      <c r="P252" s="102">
        <v>43234</v>
      </c>
      <c r="Q252" s="31">
        <f t="shared" si="3"/>
        <v>0</v>
      </c>
      <c r="R252" s="53" t="str">
        <f ca="1">IF(TODAY() - BCOXT[INV DUE DATE]&lt;30, "Less than 30 days",IF(TODAY()-BCOXT[INV DUE DATE]&lt;60,"30-60 days","More than 60 days"))</f>
        <v>More than 60 days</v>
      </c>
      <c r="S252" s="4" t="s">
        <v>812</v>
      </c>
      <c r="T252" s="43" t="s">
        <v>2229</v>
      </c>
      <c r="U252" s="4" t="s">
        <v>3699</v>
      </c>
    </row>
    <row r="253" spans="1:21" x14ac:dyDescent="0.3">
      <c r="A253" s="28" t="s">
        <v>556</v>
      </c>
      <c r="B253" s="4" t="s">
        <v>35</v>
      </c>
      <c r="C253" s="4" t="s">
        <v>67</v>
      </c>
      <c r="D253" s="4">
        <v>5405</v>
      </c>
      <c r="E253" s="30">
        <v>240</v>
      </c>
      <c r="G253" s="4">
        <v>4300021652</v>
      </c>
      <c r="J253" s="28" t="s">
        <v>642</v>
      </c>
      <c r="K253" s="28" t="s">
        <v>3</v>
      </c>
      <c r="L253" s="32">
        <v>43191</v>
      </c>
      <c r="M253" s="32">
        <f>BCOXT[[#This Row],[INV DOC DATE]]+30</f>
        <v>43221</v>
      </c>
      <c r="N253" s="32">
        <v>43220</v>
      </c>
      <c r="O253" s="31">
        <v>240</v>
      </c>
      <c r="P253" s="102">
        <v>43234</v>
      </c>
      <c r="Q253" s="31">
        <f t="shared" si="3"/>
        <v>0</v>
      </c>
      <c r="R253" s="53" t="str">
        <f ca="1">IF(TODAY() - BCOXT[INV DUE DATE]&lt;30, "Less than 30 days",IF(TODAY()-BCOXT[INV DUE DATE]&lt;60,"30-60 days","More than 60 days"))</f>
        <v>More than 60 days</v>
      </c>
      <c r="S253" s="4" t="s">
        <v>812</v>
      </c>
      <c r="T253" s="43" t="s">
        <v>2229</v>
      </c>
      <c r="U253" s="4" t="s">
        <v>3699</v>
      </c>
    </row>
    <row r="254" spans="1:21" x14ac:dyDescent="0.3">
      <c r="A254" s="28" t="s">
        <v>556</v>
      </c>
      <c r="B254" s="4" t="s">
        <v>35</v>
      </c>
      <c r="C254" s="4" t="s">
        <v>68</v>
      </c>
      <c r="D254" s="4">
        <v>5405</v>
      </c>
      <c r="E254" s="30">
        <v>240</v>
      </c>
      <c r="G254" s="4">
        <v>4300021652</v>
      </c>
      <c r="J254" s="28" t="s">
        <v>643</v>
      </c>
      <c r="K254" s="28" t="s">
        <v>3</v>
      </c>
      <c r="L254" s="32">
        <v>43191</v>
      </c>
      <c r="M254" s="32">
        <f>BCOXT[[#This Row],[INV DOC DATE]]+30</f>
        <v>43221</v>
      </c>
      <c r="N254" s="32">
        <v>43220</v>
      </c>
      <c r="O254" s="31">
        <v>240</v>
      </c>
      <c r="P254" s="102">
        <v>43234</v>
      </c>
      <c r="Q254" s="31">
        <f t="shared" si="3"/>
        <v>0</v>
      </c>
      <c r="R254" s="53" t="str">
        <f ca="1">IF(TODAY() - BCOXT[INV DUE DATE]&lt;30, "Less than 30 days",IF(TODAY()-BCOXT[INV DUE DATE]&lt;60,"30-60 days","More than 60 days"))</f>
        <v>More than 60 days</v>
      </c>
      <c r="S254" s="4" t="s">
        <v>812</v>
      </c>
      <c r="T254" s="43" t="s">
        <v>2229</v>
      </c>
      <c r="U254" s="4" t="s">
        <v>3699</v>
      </c>
    </row>
    <row r="255" spans="1:21" x14ac:dyDescent="0.3">
      <c r="A255" s="28" t="s">
        <v>556</v>
      </c>
      <c r="B255" s="4" t="s">
        <v>35</v>
      </c>
      <c r="C255" s="4" t="s">
        <v>69</v>
      </c>
      <c r="D255" s="4">
        <v>5405</v>
      </c>
      <c r="E255" s="30">
        <v>240</v>
      </c>
      <c r="G255" s="4">
        <v>4300021652</v>
      </c>
      <c r="J255" s="28" t="s">
        <v>644</v>
      </c>
      <c r="K255" s="28" t="s">
        <v>3</v>
      </c>
      <c r="L255" s="32">
        <v>43191</v>
      </c>
      <c r="M255" s="32">
        <f>BCOXT[[#This Row],[INV DOC DATE]]+30</f>
        <v>43221</v>
      </c>
      <c r="N255" s="32">
        <v>43220</v>
      </c>
      <c r="O255" s="31">
        <v>240</v>
      </c>
      <c r="P255" s="102">
        <v>43234</v>
      </c>
      <c r="Q255" s="31">
        <f t="shared" si="3"/>
        <v>0</v>
      </c>
      <c r="R255" s="53" t="str">
        <f ca="1">IF(TODAY() - BCOXT[INV DUE DATE]&lt;30, "Less than 30 days",IF(TODAY()-BCOXT[INV DUE DATE]&lt;60,"30-60 days","More than 60 days"))</f>
        <v>More than 60 days</v>
      </c>
      <c r="S255" s="4" t="s">
        <v>812</v>
      </c>
      <c r="T255" s="43" t="s">
        <v>2229</v>
      </c>
      <c r="U255" s="4" t="s">
        <v>3699</v>
      </c>
    </row>
    <row r="256" spans="1:21" x14ac:dyDescent="0.3">
      <c r="A256" s="28" t="s">
        <v>556</v>
      </c>
      <c r="B256" s="4" t="s">
        <v>35</v>
      </c>
      <c r="C256" s="4" t="s">
        <v>70</v>
      </c>
      <c r="D256" s="4">
        <v>5405</v>
      </c>
      <c r="E256" s="30">
        <v>240</v>
      </c>
      <c r="G256" s="4">
        <v>4300021652</v>
      </c>
      <c r="J256" s="28" t="s">
        <v>645</v>
      </c>
      <c r="K256" s="28" t="s">
        <v>3</v>
      </c>
      <c r="L256" s="32">
        <v>43191</v>
      </c>
      <c r="M256" s="32">
        <f>BCOXT[[#This Row],[INV DOC DATE]]+30</f>
        <v>43221</v>
      </c>
      <c r="N256" s="32">
        <v>43220</v>
      </c>
      <c r="O256" s="31">
        <v>240</v>
      </c>
      <c r="P256" s="102">
        <v>43234</v>
      </c>
      <c r="Q256" s="31">
        <f t="shared" si="3"/>
        <v>0</v>
      </c>
      <c r="R256" s="53" t="str">
        <f ca="1">IF(TODAY() - BCOXT[INV DUE DATE]&lt;30, "Less than 30 days",IF(TODAY()-BCOXT[INV DUE DATE]&lt;60,"30-60 days","More than 60 days"))</f>
        <v>More than 60 days</v>
      </c>
      <c r="S256" s="4" t="s">
        <v>812</v>
      </c>
      <c r="T256" s="43" t="s">
        <v>2229</v>
      </c>
      <c r="U256" s="4" t="s">
        <v>3699</v>
      </c>
    </row>
    <row r="257" spans="1:21" x14ac:dyDescent="0.3">
      <c r="A257" s="28" t="s">
        <v>556</v>
      </c>
      <c r="B257" s="4" t="s">
        <v>35</v>
      </c>
      <c r="C257" s="4" t="s">
        <v>71</v>
      </c>
      <c r="D257" s="4">
        <v>5405</v>
      </c>
      <c r="E257" s="30">
        <v>240</v>
      </c>
      <c r="G257" s="4">
        <v>4300021652</v>
      </c>
      <c r="J257" s="28" t="s">
        <v>646</v>
      </c>
      <c r="K257" s="28" t="s">
        <v>3</v>
      </c>
      <c r="L257" s="32">
        <v>43191</v>
      </c>
      <c r="M257" s="32">
        <f>BCOXT[[#This Row],[INV DOC DATE]]+30</f>
        <v>43221</v>
      </c>
      <c r="N257" s="32">
        <v>43220</v>
      </c>
      <c r="O257" s="31">
        <v>240</v>
      </c>
      <c r="P257" s="102">
        <v>43234</v>
      </c>
      <c r="Q257" s="31">
        <f t="shared" si="3"/>
        <v>0</v>
      </c>
      <c r="R257" s="53" t="str">
        <f ca="1">IF(TODAY() - BCOXT[INV DUE DATE]&lt;30, "Less than 30 days",IF(TODAY()-BCOXT[INV DUE DATE]&lt;60,"30-60 days","More than 60 days"))</f>
        <v>More than 60 days</v>
      </c>
      <c r="S257" s="4" t="s">
        <v>812</v>
      </c>
      <c r="T257" s="43" t="s">
        <v>2229</v>
      </c>
      <c r="U257" s="4" t="s">
        <v>3699</v>
      </c>
    </row>
    <row r="258" spans="1:21" x14ac:dyDescent="0.3">
      <c r="A258" s="28" t="s">
        <v>556</v>
      </c>
      <c r="B258" s="4" t="s">
        <v>35</v>
      </c>
      <c r="C258" s="4" t="s">
        <v>72</v>
      </c>
      <c r="D258" s="4">
        <v>5405</v>
      </c>
      <c r="E258" s="30">
        <v>240</v>
      </c>
      <c r="G258" s="4">
        <v>4300021652</v>
      </c>
      <c r="J258" s="28" t="s">
        <v>647</v>
      </c>
      <c r="K258" s="28" t="s">
        <v>3</v>
      </c>
      <c r="L258" s="32">
        <v>43191</v>
      </c>
      <c r="M258" s="32">
        <f>BCOXT[[#This Row],[INV DOC DATE]]+30</f>
        <v>43221</v>
      </c>
      <c r="N258" s="32">
        <v>43220</v>
      </c>
      <c r="O258" s="31">
        <v>240</v>
      </c>
      <c r="P258" s="102">
        <v>43234</v>
      </c>
      <c r="Q258" s="31">
        <f t="shared" ref="Q258:Q321" si="4">$E258-$O258</f>
        <v>0</v>
      </c>
      <c r="R258" s="53" t="str">
        <f ca="1">IF(TODAY() - BCOXT[INV DUE DATE]&lt;30, "Less than 30 days",IF(TODAY()-BCOXT[INV DUE DATE]&lt;60,"30-60 days","More than 60 days"))</f>
        <v>More than 60 days</v>
      </c>
      <c r="S258" s="4" t="s">
        <v>812</v>
      </c>
      <c r="T258" s="43" t="s">
        <v>2229</v>
      </c>
      <c r="U258" s="4" t="s">
        <v>3699</v>
      </c>
    </row>
    <row r="259" spans="1:21" x14ac:dyDescent="0.3">
      <c r="A259" s="28" t="s">
        <v>556</v>
      </c>
      <c r="B259" s="4" t="s">
        <v>35</v>
      </c>
      <c r="C259" s="4" t="s">
        <v>73</v>
      </c>
      <c r="D259" s="4">
        <v>5405</v>
      </c>
      <c r="E259" s="30">
        <v>240</v>
      </c>
      <c r="G259" s="4">
        <v>4300021652</v>
      </c>
      <c r="J259" s="28" t="s">
        <v>648</v>
      </c>
      <c r="K259" s="28" t="s">
        <v>3</v>
      </c>
      <c r="L259" s="32">
        <v>43191</v>
      </c>
      <c r="M259" s="32">
        <f>BCOXT[[#This Row],[INV DOC DATE]]+30</f>
        <v>43221</v>
      </c>
      <c r="N259" s="32">
        <v>43220</v>
      </c>
      <c r="O259" s="31">
        <v>240</v>
      </c>
      <c r="P259" s="102">
        <v>43234</v>
      </c>
      <c r="Q259" s="31">
        <f t="shared" si="4"/>
        <v>0</v>
      </c>
      <c r="R259" s="53" t="str">
        <f ca="1">IF(TODAY() - BCOXT[INV DUE DATE]&lt;30, "Less than 30 days",IF(TODAY()-BCOXT[INV DUE DATE]&lt;60,"30-60 days","More than 60 days"))</f>
        <v>More than 60 days</v>
      </c>
      <c r="S259" s="4" t="s">
        <v>812</v>
      </c>
      <c r="T259" s="43" t="s">
        <v>2229</v>
      </c>
      <c r="U259" s="4" t="s">
        <v>3699</v>
      </c>
    </row>
    <row r="260" spans="1:21" x14ac:dyDescent="0.3">
      <c r="A260" s="28" t="s">
        <v>556</v>
      </c>
      <c r="B260" s="4" t="s">
        <v>35</v>
      </c>
      <c r="C260" s="4" t="s">
        <v>74</v>
      </c>
      <c r="D260" s="4">
        <v>5405</v>
      </c>
      <c r="E260" s="30">
        <v>240</v>
      </c>
      <c r="G260" s="4">
        <v>4300021652</v>
      </c>
      <c r="J260" s="28" t="s">
        <v>649</v>
      </c>
      <c r="K260" s="28" t="s">
        <v>3</v>
      </c>
      <c r="L260" s="32">
        <v>43191</v>
      </c>
      <c r="M260" s="32">
        <f>BCOXT[[#This Row],[INV DOC DATE]]+30</f>
        <v>43221</v>
      </c>
      <c r="N260" s="32">
        <v>43220</v>
      </c>
      <c r="O260" s="31">
        <v>240</v>
      </c>
      <c r="P260" s="102">
        <v>43234</v>
      </c>
      <c r="Q260" s="31">
        <f t="shared" si="4"/>
        <v>0</v>
      </c>
      <c r="R260" s="53" t="str">
        <f ca="1">IF(TODAY() - BCOXT[INV DUE DATE]&lt;30, "Less than 30 days",IF(TODAY()-BCOXT[INV DUE DATE]&lt;60,"30-60 days","More than 60 days"))</f>
        <v>More than 60 days</v>
      </c>
      <c r="S260" s="4" t="s">
        <v>812</v>
      </c>
      <c r="T260" s="43" t="s">
        <v>2229</v>
      </c>
      <c r="U260" s="4" t="s">
        <v>3699</v>
      </c>
    </row>
    <row r="261" spans="1:21" x14ac:dyDescent="0.3">
      <c r="A261" s="28" t="s">
        <v>556</v>
      </c>
      <c r="B261" s="4" t="s">
        <v>35</v>
      </c>
      <c r="C261" s="4" t="s">
        <v>75</v>
      </c>
      <c r="D261" s="4">
        <v>5405</v>
      </c>
      <c r="E261" s="30">
        <v>240</v>
      </c>
      <c r="G261" s="4">
        <v>4300021652</v>
      </c>
      <c r="J261" s="28" t="s">
        <v>650</v>
      </c>
      <c r="K261" s="28" t="s">
        <v>3</v>
      </c>
      <c r="L261" s="32">
        <v>43191</v>
      </c>
      <c r="M261" s="32">
        <f>BCOXT[[#This Row],[INV DOC DATE]]+30</f>
        <v>43221</v>
      </c>
      <c r="N261" s="32">
        <v>43220</v>
      </c>
      <c r="O261" s="31">
        <v>240</v>
      </c>
      <c r="P261" s="102">
        <v>43234</v>
      </c>
      <c r="Q261" s="31">
        <f t="shared" si="4"/>
        <v>0</v>
      </c>
      <c r="R261" s="53" t="str">
        <f ca="1">IF(TODAY() - BCOXT[INV DUE DATE]&lt;30, "Less than 30 days",IF(TODAY()-BCOXT[INV DUE DATE]&lt;60,"30-60 days","More than 60 days"))</f>
        <v>More than 60 days</v>
      </c>
      <c r="S261" s="4" t="s">
        <v>812</v>
      </c>
      <c r="T261" s="43" t="s">
        <v>2229</v>
      </c>
      <c r="U261" s="4" t="s">
        <v>3699</v>
      </c>
    </row>
    <row r="262" spans="1:21" x14ac:dyDescent="0.3">
      <c r="A262" s="28" t="s">
        <v>556</v>
      </c>
      <c r="B262" s="4" t="s">
        <v>35</v>
      </c>
      <c r="C262" s="4" t="s">
        <v>76</v>
      </c>
      <c r="D262" s="4">
        <v>5405</v>
      </c>
      <c r="E262" s="30">
        <v>240</v>
      </c>
      <c r="G262" s="4">
        <v>4300021652</v>
      </c>
      <c r="J262" s="28" t="s">
        <v>651</v>
      </c>
      <c r="K262" s="28" t="s">
        <v>3</v>
      </c>
      <c r="L262" s="32">
        <v>43191</v>
      </c>
      <c r="M262" s="32">
        <f>BCOXT[[#This Row],[INV DOC DATE]]+30</f>
        <v>43221</v>
      </c>
      <c r="N262" s="32">
        <v>43220</v>
      </c>
      <c r="O262" s="31">
        <v>240</v>
      </c>
      <c r="P262" s="102">
        <v>43234</v>
      </c>
      <c r="Q262" s="31">
        <f t="shared" si="4"/>
        <v>0</v>
      </c>
      <c r="R262" s="53" t="str">
        <f ca="1">IF(TODAY() - BCOXT[INV DUE DATE]&lt;30, "Less than 30 days",IF(TODAY()-BCOXT[INV DUE DATE]&lt;60,"30-60 days","More than 60 days"))</f>
        <v>More than 60 days</v>
      </c>
      <c r="S262" s="4" t="s">
        <v>812</v>
      </c>
      <c r="T262" s="43" t="s">
        <v>2229</v>
      </c>
      <c r="U262" s="4" t="s">
        <v>3699</v>
      </c>
    </row>
    <row r="263" spans="1:21" x14ac:dyDescent="0.3">
      <c r="A263" s="28" t="s">
        <v>556</v>
      </c>
      <c r="B263" s="4" t="s">
        <v>35</v>
      </c>
      <c r="C263" s="4" t="s">
        <v>77</v>
      </c>
      <c r="D263" s="4">
        <v>5405</v>
      </c>
      <c r="E263" s="30">
        <v>240</v>
      </c>
      <c r="G263" s="4">
        <v>4300021652</v>
      </c>
      <c r="J263" s="28" t="s">
        <v>652</v>
      </c>
      <c r="K263" s="28" t="s">
        <v>3</v>
      </c>
      <c r="L263" s="32">
        <v>43191</v>
      </c>
      <c r="M263" s="32">
        <f>BCOXT[[#This Row],[INV DOC DATE]]+30</f>
        <v>43221</v>
      </c>
      <c r="N263" s="32">
        <v>43220</v>
      </c>
      <c r="O263" s="31">
        <v>240</v>
      </c>
      <c r="P263" s="102">
        <v>43234</v>
      </c>
      <c r="Q263" s="31">
        <f t="shared" si="4"/>
        <v>0</v>
      </c>
      <c r="R263" s="53" t="str">
        <f ca="1">IF(TODAY() - BCOXT[INV DUE DATE]&lt;30, "Less than 30 days",IF(TODAY()-BCOXT[INV DUE DATE]&lt;60,"30-60 days","More than 60 days"))</f>
        <v>More than 60 days</v>
      </c>
      <c r="S263" s="4" t="s">
        <v>812</v>
      </c>
      <c r="T263" s="43" t="s">
        <v>2229</v>
      </c>
      <c r="U263" s="4" t="s">
        <v>3699</v>
      </c>
    </row>
    <row r="264" spans="1:21" x14ac:dyDescent="0.3">
      <c r="A264" s="28" t="s">
        <v>556</v>
      </c>
      <c r="B264" s="4" t="s">
        <v>35</v>
      </c>
      <c r="C264" s="4" t="s">
        <v>78</v>
      </c>
      <c r="D264" s="4">
        <v>5405</v>
      </c>
      <c r="E264" s="30">
        <v>240</v>
      </c>
      <c r="G264" s="4">
        <v>4300021652</v>
      </c>
      <c r="J264" s="28" t="s">
        <v>653</v>
      </c>
      <c r="K264" s="28" t="s">
        <v>3</v>
      </c>
      <c r="L264" s="32">
        <v>43191</v>
      </c>
      <c r="M264" s="32">
        <f>BCOXT[[#This Row],[INV DOC DATE]]+30</f>
        <v>43221</v>
      </c>
      <c r="N264" s="32">
        <v>43220</v>
      </c>
      <c r="O264" s="31">
        <v>240</v>
      </c>
      <c r="P264" s="102">
        <v>43234</v>
      </c>
      <c r="Q264" s="31">
        <f t="shared" si="4"/>
        <v>0</v>
      </c>
      <c r="R264" s="53" t="str">
        <f ca="1">IF(TODAY() - BCOXT[INV DUE DATE]&lt;30, "Less than 30 days",IF(TODAY()-BCOXT[INV DUE DATE]&lt;60,"30-60 days","More than 60 days"))</f>
        <v>More than 60 days</v>
      </c>
      <c r="S264" s="4" t="s">
        <v>812</v>
      </c>
      <c r="T264" s="43" t="s">
        <v>2229</v>
      </c>
      <c r="U264" s="4" t="s">
        <v>3699</v>
      </c>
    </row>
    <row r="265" spans="1:21" x14ac:dyDescent="0.3">
      <c r="A265" s="28" t="s">
        <v>556</v>
      </c>
      <c r="B265" s="4" t="s">
        <v>35</v>
      </c>
      <c r="C265" s="4" t="s">
        <v>79</v>
      </c>
      <c r="D265" s="4">
        <v>5405</v>
      </c>
      <c r="E265" s="30">
        <v>240</v>
      </c>
      <c r="G265" s="4">
        <v>4300021652</v>
      </c>
      <c r="J265" s="28" t="s">
        <v>654</v>
      </c>
      <c r="K265" s="28" t="s">
        <v>3</v>
      </c>
      <c r="L265" s="32">
        <v>43191</v>
      </c>
      <c r="M265" s="32">
        <f>BCOXT[[#This Row],[INV DOC DATE]]+30</f>
        <v>43221</v>
      </c>
      <c r="N265" s="32">
        <v>43220</v>
      </c>
      <c r="O265" s="31">
        <v>240</v>
      </c>
      <c r="P265" s="102">
        <v>43234</v>
      </c>
      <c r="Q265" s="31">
        <f t="shared" si="4"/>
        <v>0</v>
      </c>
      <c r="R265" s="53" t="str">
        <f ca="1">IF(TODAY() - BCOXT[INV DUE DATE]&lt;30, "Less than 30 days",IF(TODAY()-BCOXT[INV DUE DATE]&lt;60,"30-60 days","More than 60 days"))</f>
        <v>More than 60 days</v>
      </c>
      <c r="S265" s="4" t="s">
        <v>812</v>
      </c>
      <c r="T265" s="43" t="s">
        <v>2229</v>
      </c>
      <c r="U265" s="4" t="s">
        <v>3699</v>
      </c>
    </row>
    <row r="266" spans="1:21" x14ac:dyDescent="0.3">
      <c r="A266" s="28" t="s">
        <v>556</v>
      </c>
      <c r="B266" s="4" t="s">
        <v>35</v>
      </c>
      <c r="C266" s="4" t="s">
        <v>80</v>
      </c>
      <c r="D266" s="4">
        <v>5405</v>
      </c>
      <c r="E266" s="30">
        <v>240</v>
      </c>
      <c r="G266" s="4">
        <v>4300021652</v>
      </c>
      <c r="J266" s="28" t="s">
        <v>655</v>
      </c>
      <c r="K266" s="28" t="s">
        <v>3</v>
      </c>
      <c r="L266" s="32">
        <v>43191</v>
      </c>
      <c r="M266" s="32">
        <f>BCOXT[[#This Row],[INV DOC DATE]]+30</f>
        <v>43221</v>
      </c>
      <c r="N266" s="32">
        <v>43220</v>
      </c>
      <c r="O266" s="31">
        <v>240</v>
      </c>
      <c r="P266" s="102">
        <v>43234</v>
      </c>
      <c r="Q266" s="31">
        <f t="shared" si="4"/>
        <v>0</v>
      </c>
      <c r="R266" s="53" t="str">
        <f ca="1">IF(TODAY() - BCOXT[INV DUE DATE]&lt;30, "Less than 30 days",IF(TODAY()-BCOXT[INV DUE DATE]&lt;60,"30-60 days","More than 60 days"))</f>
        <v>More than 60 days</v>
      </c>
      <c r="S266" s="4" t="s">
        <v>812</v>
      </c>
      <c r="T266" s="43" t="s">
        <v>2229</v>
      </c>
      <c r="U266" s="4" t="s">
        <v>3699</v>
      </c>
    </row>
    <row r="267" spans="1:21" x14ac:dyDescent="0.3">
      <c r="A267" s="28" t="s">
        <v>556</v>
      </c>
      <c r="B267" s="4" t="s">
        <v>35</v>
      </c>
      <c r="C267" s="4" t="s">
        <v>81</v>
      </c>
      <c r="D267" s="4">
        <v>5405</v>
      </c>
      <c r="E267" s="30">
        <v>240</v>
      </c>
      <c r="G267" s="4">
        <v>4300021652</v>
      </c>
      <c r="J267" s="28" t="s">
        <v>656</v>
      </c>
      <c r="K267" s="28" t="s">
        <v>3</v>
      </c>
      <c r="L267" s="32">
        <v>43191</v>
      </c>
      <c r="M267" s="32">
        <f>BCOXT[[#This Row],[INV DOC DATE]]+30</f>
        <v>43221</v>
      </c>
      <c r="N267" s="32">
        <v>43220</v>
      </c>
      <c r="O267" s="31">
        <v>240</v>
      </c>
      <c r="P267" s="102">
        <v>43234</v>
      </c>
      <c r="Q267" s="31">
        <f t="shared" si="4"/>
        <v>0</v>
      </c>
      <c r="R267" s="53" t="str">
        <f ca="1">IF(TODAY() - BCOXT[INV DUE DATE]&lt;30, "Less than 30 days",IF(TODAY()-BCOXT[INV DUE DATE]&lt;60,"30-60 days","More than 60 days"))</f>
        <v>More than 60 days</v>
      </c>
      <c r="S267" s="4" t="s">
        <v>812</v>
      </c>
      <c r="T267" s="43" t="s">
        <v>2229</v>
      </c>
      <c r="U267" s="4" t="s">
        <v>3699</v>
      </c>
    </row>
    <row r="268" spans="1:21" x14ac:dyDescent="0.3">
      <c r="A268" s="28" t="s">
        <v>556</v>
      </c>
      <c r="B268" s="4" t="s">
        <v>35</v>
      </c>
      <c r="C268" s="4" t="s">
        <v>82</v>
      </c>
      <c r="D268" s="4">
        <v>5405</v>
      </c>
      <c r="E268" s="30">
        <v>240</v>
      </c>
      <c r="G268" s="4">
        <v>4300021652</v>
      </c>
      <c r="J268" s="28" t="s">
        <v>657</v>
      </c>
      <c r="K268" s="28" t="s">
        <v>3</v>
      </c>
      <c r="L268" s="32">
        <v>43191</v>
      </c>
      <c r="M268" s="32">
        <f>BCOXT[[#This Row],[INV DOC DATE]]+30</f>
        <v>43221</v>
      </c>
      <c r="N268" s="32">
        <v>43220</v>
      </c>
      <c r="O268" s="31">
        <v>240</v>
      </c>
      <c r="P268" s="102">
        <v>43234</v>
      </c>
      <c r="Q268" s="31">
        <f t="shared" si="4"/>
        <v>0</v>
      </c>
      <c r="R268" s="53" t="str">
        <f ca="1">IF(TODAY() - BCOXT[INV DUE DATE]&lt;30, "Less than 30 days",IF(TODAY()-BCOXT[INV DUE DATE]&lt;60,"30-60 days","More than 60 days"))</f>
        <v>More than 60 days</v>
      </c>
      <c r="S268" s="4" t="s">
        <v>812</v>
      </c>
      <c r="T268" s="43" t="s">
        <v>2229</v>
      </c>
      <c r="U268" s="4" t="s">
        <v>3699</v>
      </c>
    </row>
    <row r="269" spans="1:21" x14ac:dyDescent="0.3">
      <c r="A269" s="28" t="s">
        <v>556</v>
      </c>
      <c r="B269" s="4" t="s">
        <v>35</v>
      </c>
      <c r="C269" s="4" t="s">
        <v>83</v>
      </c>
      <c r="D269" s="4">
        <v>5405</v>
      </c>
      <c r="E269" s="30">
        <v>240</v>
      </c>
      <c r="G269" s="4">
        <v>4300021652</v>
      </c>
      <c r="J269" s="28" t="s">
        <v>658</v>
      </c>
      <c r="K269" s="28" t="s">
        <v>3</v>
      </c>
      <c r="L269" s="32">
        <v>43191</v>
      </c>
      <c r="M269" s="32">
        <f>BCOXT[[#This Row],[INV DOC DATE]]+30</f>
        <v>43221</v>
      </c>
      <c r="N269" s="32">
        <v>43220</v>
      </c>
      <c r="O269" s="31">
        <v>240</v>
      </c>
      <c r="P269" s="102">
        <v>43234</v>
      </c>
      <c r="Q269" s="31">
        <f t="shared" si="4"/>
        <v>0</v>
      </c>
      <c r="R269" s="53" t="str">
        <f ca="1">IF(TODAY() - BCOXT[INV DUE DATE]&lt;30, "Less than 30 days",IF(TODAY()-BCOXT[INV DUE DATE]&lt;60,"30-60 days","More than 60 days"))</f>
        <v>More than 60 days</v>
      </c>
      <c r="S269" s="4" t="s">
        <v>812</v>
      </c>
      <c r="T269" s="43" t="s">
        <v>2229</v>
      </c>
      <c r="U269" s="4" t="s">
        <v>3699</v>
      </c>
    </row>
    <row r="270" spans="1:21" x14ac:dyDescent="0.3">
      <c r="A270" s="28" t="s">
        <v>556</v>
      </c>
      <c r="B270" s="4" t="s">
        <v>35</v>
      </c>
      <c r="C270" s="4" t="s">
        <v>84</v>
      </c>
      <c r="D270" s="4">
        <v>5405</v>
      </c>
      <c r="E270" s="30">
        <v>240</v>
      </c>
      <c r="G270" s="4">
        <v>4300021652</v>
      </c>
      <c r="J270" s="28" t="s">
        <v>659</v>
      </c>
      <c r="K270" s="28" t="s">
        <v>3</v>
      </c>
      <c r="L270" s="32">
        <v>43191</v>
      </c>
      <c r="M270" s="32">
        <f>BCOXT[[#This Row],[INV DOC DATE]]+30</f>
        <v>43221</v>
      </c>
      <c r="N270" s="32">
        <v>43220</v>
      </c>
      <c r="O270" s="31">
        <v>240</v>
      </c>
      <c r="P270" s="102">
        <v>43234</v>
      </c>
      <c r="Q270" s="31">
        <f t="shared" si="4"/>
        <v>0</v>
      </c>
      <c r="R270" s="53" t="str">
        <f ca="1">IF(TODAY() - BCOXT[INV DUE DATE]&lt;30, "Less than 30 days",IF(TODAY()-BCOXT[INV DUE DATE]&lt;60,"30-60 days","More than 60 days"))</f>
        <v>More than 60 days</v>
      </c>
      <c r="S270" s="4" t="s">
        <v>812</v>
      </c>
      <c r="T270" s="43" t="s">
        <v>2229</v>
      </c>
      <c r="U270" s="4" t="s">
        <v>3699</v>
      </c>
    </row>
    <row r="271" spans="1:21" x14ac:dyDescent="0.3">
      <c r="A271" s="28" t="s">
        <v>556</v>
      </c>
      <c r="B271" s="4" t="s">
        <v>35</v>
      </c>
      <c r="C271" s="4" t="s">
        <v>85</v>
      </c>
      <c r="D271" s="4">
        <v>5405</v>
      </c>
      <c r="E271" s="30">
        <v>240</v>
      </c>
      <c r="G271" s="4">
        <v>4300021652</v>
      </c>
      <c r="J271" s="28" t="s">
        <v>660</v>
      </c>
      <c r="K271" s="28" t="s">
        <v>3</v>
      </c>
      <c r="L271" s="32">
        <v>43191</v>
      </c>
      <c r="M271" s="32">
        <f>BCOXT[[#This Row],[INV DOC DATE]]+30</f>
        <v>43221</v>
      </c>
      <c r="N271" s="32">
        <v>43220</v>
      </c>
      <c r="O271" s="31">
        <v>240</v>
      </c>
      <c r="P271" s="102">
        <v>43234</v>
      </c>
      <c r="Q271" s="31">
        <f t="shared" si="4"/>
        <v>0</v>
      </c>
      <c r="R271" s="53" t="str">
        <f ca="1">IF(TODAY() - BCOXT[INV DUE DATE]&lt;30, "Less than 30 days",IF(TODAY()-BCOXT[INV DUE DATE]&lt;60,"30-60 days","More than 60 days"))</f>
        <v>More than 60 days</v>
      </c>
      <c r="S271" s="4" t="s">
        <v>812</v>
      </c>
      <c r="T271" s="43" t="s">
        <v>2229</v>
      </c>
      <c r="U271" s="4" t="s">
        <v>3699</v>
      </c>
    </row>
    <row r="272" spans="1:21" x14ac:dyDescent="0.3">
      <c r="A272" s="28" t="s">
        <v>556</v>
      </c>
      <c r="B272" s="4" t="s">
        <v>35</v>
      </c>
      <c r="C272" s="4" t="s">
        <v>86</v>
      </c>
      <c r="D272" s="4">
        <v>5405</v>
      </c>
      <c r="E272" s="30">
        <v>240</v>
      </c>
      <c r="G272" s="4">
        <v>4300021652</v>
      </c>
      <c r="J272" s="28" t="s">
        <v>661</v>
      </c>
      <c r="K272" s="28" t="s">
        <v>3</v>
      </c>
      <c r="L272" s="32">
        <v>43191</v>
      </c>
      <c r="M272" s="32">
        <f>BCOXT[[#This Row],[INV DOC DATE]]+30</f>
        <v>43221</v>
      </c>
      <c r="N272" s="32">
        <v>43220</v>
      </c>
      <c r="O272" s="31">
        <v>240</v>
      </c>
      <c r="P272" s="102">
        <v>43234</v>
      </c>
      <c r="Q272" s="31">
        <f t="shared" si="4"/>
        <v>0</v>
      </c>
      <c r="R272" s="53" t="str">
        <f ca="1">IF(TODAY() - BCOXT[INV DUE DATE]&lt;30, "Less than 30 days",IF(TODAY()-BCOXT[INV DUE DATE]&lt;60,"30-60 days","More than 60 days"))</f>
        <v>More than 60 days</v>
      </c>
      <c r="S272" s="4" t="s">
        <v>812</v>
      </c>
      <c r="T272" s="43" t="s">
        <v>2229</v>
      </c>
      <c r="U272" s="4" t="s">
        <v>3699</v>
      </c>
    </row>
    <row r="273" spans="1:21" x14ac:dyDescent="0.3">
      <c r="A273" s="28" t="s">
        <v>556</v>
      </c>
      <c r="B273" s="4" t="s">
        <v>35</v>
      </c>
      <c r="C273" s="4" t="s">
        <v>87</v>
      </c>
      <c r="D273" s="4">
        <v>5405</v>
      </c>
      <c r="E273" s="30">
        <v>240</v>
      </c>
      <c r="G273" s="4">
        <v>4300021652</v>
      </c>
      <c r="J273" s="28" t="s">
        <v>662</v>
      </c>
      <c r="K273" s="28" t="s">
        <v>3</v>
      </c>
      <c r="L273" s="32">
        <v>43191</v>
      </c>
      <c r="M273" s="32">
        <f>BCOXT[[#This Row],[INV DOC DATE]]+30</f>
        <v>43221</v>
      </c>
      <c r="N273" s="32">
        <v>43220</v>
      </c>
      <c r="O273" s="31">
        <v>240</v>
      </c>
      <c r="P273" s="102">
        <v>43234</v>
      </c>
      <c r="Q273" s="31">
        <f t="shared" si="4"/>
        <v>0</v>
      </c>
      <c r="R273" s="53" t="str">
        <f ca="1">IF(TODAY() - BCOXT[INV DUE DATE]&lt;30, "Less than 30 days",IF(TODAY()-BCOXT[INV DUE DATE]&lt;60,"30-60 days","More than 60 days"))</f>
        <v>More than 60 days</v>
      </c>
      <c r="S273" s="4" t="s">
        <v>812</v>
      </c>
      <c r="T273" s="43" t="s">
        <v>2229</v>
      </c>
      <c r="U273" s="4" t="s">
        <v>3699</v>
      </c>
    </row>
    <row r="274" spans="1:21" x14ac:dyDescent="0.3">
      <c r="A274" s="28" t="s">
        <v>556</v>
      </c>
      <c r="B274" s="4" t="s">
        <v>35</v>
      </c>
      <c r="C274" s="4" t="s">
        <v>88</v>
      </c>
      <c r="D274" s="4">
        <v>5405</v>
      </c>
      <c r="E274" s="30">
        <v>240</v>
      </c>
      <c r="G274" s="4">
        <v>4300021652</v>
      </c>
      <c r="J274" s="28" t="s">
        <v>663</v>
      </c>
      <c r="K274" s="28" t="s">
        <v>3</v>
      </c>
      <c r="L274" s="32">
        <v>43191</v>
      </c>
      <c r="M274" s="32">
        <f>BCOXT[[#This Row],[INV DOC DATE]]+30</f>
        <v>43221</v>
      </c>
      <c r="N274" s="32">
        <v>43220</v>
      </c>
      <c r="O274" s="31">
        <v>240</v>
      </c>
      <c r="P274" s="102">
        <v>43234</v>
      </c>
      <c r="Q274" s="31">
        <f t="shared" si="4"/>
        <v>0</v>
      </c>
      <c r="R274" s="53" t="str">
        <f ca="1">IF(TODAY() - BCOXT[INV DUE DATE]&lt;30, "Less than 30 days",IF(TODAY()-BCOXT[INV DUE DATE]&lt;60,"30-60 days","More than 60 days"))</f>
        <v>More than 60 days</v>
      </c>
      <c r="S274" s="4" t="s">
        <v>812</v>
      </c>
      <c r="T274" s="43" t="s">
        <v>2229</v>
      </c>
      <c r="U274" s="4" t="s">
        <v>3699</v>
      </c>
    </row>
    <row r="275" spans="1:21" x14ac:dyDescent="0.3">
      <c r="A275" s="28" t="s">
        <v>556</v>
      </c>
      <c r="B275" s="4" t="s">
        <v>35</v>
      </c>
      <c r="C275" s="4" t="s">
        <v>89</v>
      </c>
      <c r="D275" s="4">
        <v>5405</v>
      </c>
      <c r="E275" s="30">
        <v>240</v>
      </c>
      <c r="G275" s="4">
        <v>4300021652</v>
      </c>
      <c r="J275" s="28" t="s">
        <v>664</v>
      </c>
      <c r="K275" s="28" t="s">
        <v>3</v>
      </c>
      <c r="L275" s="32">
        <v>43191</v>
      </c>
      <c r="M275" s="32">
        <f>BCOXT[[#This Row],[INV DOC DATE]]+30</f>
        <v>43221</v>
      </c>
      <c r="N275" s="32">
        <v>43220</v>
      </c>
      <c r="O275" s="31">
        <v>240</v>
      </c>
      <c r="P275" s="102">
        <v>43234</v>
      </c>
      <c r="Q275" s="31">
        <f t="shared" si="4"/>
        <v>0</v>
      </c>
      <c r="R275" s="53" t="str">
        <f ca="1">IF(TODAY() - BCOXT[INV DUE DATE]&lt;30, "Less than 30 days",IF(TODAY()-BCOXT[INV DUE DATE]&lt;60,"30-60 days","More than 60 days"))</f>
        <v>More than 60 days</v>
      </c>
      <c r="S275" s="4" t="s">
        <v>812</v>
      </c>
      <c r="T275" s="43" t="s">
        <v>2229</v>
      </c>
      <c r="U275" s="4" t="s">
        <v>3699</v>
      </c>
    </row>
    <row r="276" spans="1:21" x14ac:dyDescent="0.3">
      <c r="A276" s="28" t="s">
        <v>556</v>
      </c>
      <c r="B276" s="4" t="s">
        <v>35</v>
      </c>
      <c r="C276" s="4" t="s">
        <v>90</v>
      </c>
      <c r="D276" s="4">
        <v>5405</v>
      </c>
      <c r="E276" s="30">
        <v>240</v>
      </c>
      <c r="G276" s="4">
        <v>4300021652</v>
      </c>
      <c r="J276" s="28" t="s">
        <v>665</v>
      </c>
      <c r="K276" s="28" t="s">
        <v>3</v>
      </c>
      <c r="L276" s="32">
        <v>43191</v>
      </c>
      <c r="M276" s="32">
        <f>BCOXT[[#This Row],[INV DOC DATE]]+30</f>
        <v>43221</v>
      </c>
      <c r="N276" s="32">
        <v>43220</v>
      </c>
      <c r="O276" s="31">
        <v>240</v>
      </c>
      <c r="P276" s="102">
        <v>43234</v>
      </c>
      <c r="Q276" s="31">
        <f t="shared" si="4"/>
        <v>0</v>
      </c>
      <c r="R276" s="53" t="str">
        <f ca="1">IF(TODAY() - BCOXT[INV DUE DATE]&lt;30, "Less than 30 days",IF(TODAY()-BCOXT[INV DUE DATE]&lt;60,"30-60 days","More than 60 days"))</f>
        <v>More than 60 days</v>
      </c>
      <c r="S276" s="4" t="s">
        <v>812</v>
      </c>
      <c r="T276" s="43" t="s">
        <v>2229</v>
      </c>
      <c r="U276" s="4" t="s">
        <v>3699</v>
      </c>
    </row>
    <row r="277" spans="1:21" x14ac:dyDescent="0.3">
      <c r="A277" s="28" t="s">
        <v>556</v>
      </c>
      <c r="B277" s="4" t="s">
        <v>35</v>
      </c>
      <c r="C277" s="4" t="s">
        <v>91</v>
      </c>
      <c r="D277" s="4">
        <v>5405</v>
      </c>
      <c r="E277" s="30">
        <v>195</v>
      </c>
      <c r="G277" s="4">
        <v>4300021652</v>
      </c>
      <c r="J277" s="28" t="s">
        <v>666</v>
      </c>
      <c r="K277" s="28" t="s">
        <v>3</v>
      </c>
      <c r="L277" s="32">
        <v>43191</v>
      </c>
      <c r="M277" s="32">
        <f>BCOXT[[#This Row],[INV DOC DATE]]+30</f>
        <v>43221</v>
      </c>
      <c r="N277" s="32">
        <v>43220</v>
      </c>
      <c r="O277" s="31">
        <v>195</v>
      </c>
      <c r="P277" s="102">
        <v>43234</v>
      </c>
      <c r="Q277" s="31">
        <f t="shared" si="4"/>
        <v>0</v>
      </c>
      <c r="R277" s="53" t="str">
        <f ca="1">IF(TODAY() - BCOXT[INV DUE DATE]&lt;30, "Less than 30 days",IF(TODAY()-BCOXT[INV DUE DATE]&lt;60,"30-60 days","More than 60 days"))</f>
        <v>More than 60 days</v>
      </c>
      <c r="S277" s="4" t="s">
        <v>812</v>
      </c>
      <c r="T277" s="43" t="s">
        <v>2229</v>
      </c>
      <c r="U277" s="4" t="s">
        <v>3699</v>
      </c>
    </row>
    <row r="278" spans="1:21" x14ac:dyDescent="0.3">
      <c r="A278" s="28" t="s">
        <v>556</v>
      </c>
      <c r="B278" s="4" t="s">
        <v>35</v>
      </c>
      <c r="C278" s="4" t="s">
        <v>92</v>
      </c>
      <c r="D278" s="4">
        <v>5405</v>
      </c>
      <c r="E278" s="30">
        <v>240</v>
      </c>
      <c r="G278" s="4">
        <v>4300021652</v>
      </c>
      <c r="J278" s="28" t="s">
        <v>667</v>
      </c>
      <c r="K278" s="28" t="s">
        <v>3</v>
      </c>
      <c r="L278" s="32">
        <v>43191</v>
      </c>
      <c r="M278" s="32">
        <f>BCOXT[[#This Row],[INV DOC DATE]]+30</f>
        <v>43221</v>
      </c>
      <c r="N278" s="32">
        <v>43220</v>
      </c>
      <c r="O278" s="31">
        <v>240</v>
      </c>
      <c r="P278" s="102">
        <v>43234</v>
      </c>
      <c r="Q278" s="31">
        <f t="shared" si="4"/>
        <v>0</v>
      </c>
      <c r="R278" s="53" t="str">
        <f ca="1">IF(TODAY() - BCOXT[INV DUE DATE]&lt;30, "Less than 30 days",IF(TODAY()-BCOXT[INV DUE DATE]&lt;60,"30-60 days","More than 60 days"))</f>
        <v>More than 60 days</v>
      </c>
      <c r="S278" s="4" t="s">
        <v>812</v>
      </c>
      <c r="T278" s="43" t="s">
        <v>2229</v>
      </c>
      <c r="U278" s="4" t="s">
        <v>3699</v>
      </c>
    </row>
    <row r="279" spans="1:21" x14ac:dyDescent="0.3">
      <c r="A279" s="28" t="s">
        <v>556</v>
      </c>
      <c r="B279" s="4" t="s">
        <v>35</v>
      </c>
      <c r="C279" s="4" t="s">
        <v>30</v>
      </c>
      <c r="D279" s="4">
        <v>5405</v>
      </c>
      <c r="E279" s="30">
        <v>240</v>
      </c>
      <c r="G279" s="4">
        <v>4300021652</v>
      </c>
      <c r="J279" s="28" t="s">
        <v>668</v>
      </c>
      <c r="K279" s="28" t="s">
        <v>3</v>
      </c>
      <c r="L279" s="32">
        <v>43191</v>
      </c>
      <c r="M279" s="32">
        <f>BCOXT[[#This Row],[INV DOC DATE]]+30</f>
        <v>43221</v>
      </c>
      <c r="N279" s="32">
        <v>43220</v>
      </c>
      <c r="O279" s="31">
        <v>240</v>
      </c>
      <c r="P279" s="102">
        <v>43234</v>
      </c>
      <c r="Q279" s="31">
        <f t="shared" si="4"/>
        <v>0</v>
      </c>
      <c r="R279" s="53" t="str">
        <f ca="1">IF(TODAY() - BCOXT[INV DUE DATE]&lt;30, "Less than 30 days",IF(TODAY()-BCOXT[INV DUE DATE]&lt;60,"30-60 days","More than 60 days"))</f>
        <v>More than 60 days</v>
      </c>
      <c r="S279" s="4" t="s">
        <v>812</v>
      </c>
      <c r="T279" s="43" t="s">
        <v>2229</v>
      </c>
      <c r="U279" s="4" t="s">
        <v>3699</v>
      </c>
    </row>
    <row r="280" spans="1:21" x14ac:dyDescent="0.3">
      <c r="A280" s="28" t="s">
        <v>556</v>
      </c>
      <c r="B280" s="4" t="s">
        <v>35</v>
      </c>
      <c r="C280" s="4" t="s">
        <v>93</v>
      </c>
      <c r="D280" s="4">
        <v>5405</v>
      </c>
      <c r="E280" s="30">
        <v>240</v>
      </c>
      <c r="G280" s="4">
        <v>4300021652</v>
      </c>
      <c r="J280" s="28" t="s">
        <v>669</v>
      </c>
      <c r="K280" s="28" t="s">
        <v>3</v>
      </c>
      <c r="L280" s="32">
        <v>43191</v>
      </c>
      <c r="M280" s="32">
        <f>BCOXT[[#This Row],[INV DOC DATE]]+30</f>
        <v>43221</v>
      </c>
      <c r="N280" s="32">
        <v>43220</v>
      </c>
      <c r="O280" s="31">
        <v>240</v>
      </c>
      <c r="P280" s="102">
        <v>43234</v>
      </c>
      <c r="Q280" s="31">
        <f t="shared" si="4"/>
        <v>0</v>
      </c>
      <c r="R280" s="53" t="str">
        <f ca="1">IF(TODAY() - BCOXT[INV DUE DATE]&lt;30, "Less than 30 days",IF(TODAY()-BCOXT[INV DUE DATE]&lt;60,"30-60 days","More than 60 days"))</f>
        <v>More than 60 days</v>
      </c>
      <c r="S280" s="4" t="s">
        <v>812</v>
      </c>
      <c r="T280" s="43" t="s">
        <v>2229</v>
      </c>
      <c r="U280" s="4" t="s">
        <v>3699</v>
      </c>
    </row>
    <row r="281" spans="1:21" x14ac:dyDescent="0.3">
      <c r="A281" s="28" t="s">
        <v>556</v>
      </c>
      <c r="B281" s="4" t="s">
        <v>35</v>
      </c>
      <c r="C281" s="4" t="s">
        <v>94</v>
      </c>
      <c r="D281" s="4">
        <v>5405</v>
      </c>
      <c r="E281" s="30">
        <v>240</v>
      </c>
      <c r="G281" s="4">
        <v>4300021652</v>
      </c>
      <c r="J281" s="28" t="s">
        <v>670</v>
      </c>
      <c r="K281" s="28" t="s">
        <v>3</v>
      </c>
      <c r="L281" s="32">
        <v>43191</v>
      </c>
      <c r="M281" s="32">
        <f>BCOXT[[#This Row],[INV DOC DATE]]+30</f>
        <v>43221</v>
      </c>
      <c r="N281" s="32">
        <v>43220</v>
      </c>
      <c r="O281" s="31">
        <v>240</v>
      </c>
      <c r="P281" s="102">
        <v>43234</v>
      </c>
      <c r="Q281" s="31">
        <f t="shared" si="4"/>
        <v>0</v>
      </c>
      <c r="R281" s="53" t="str">
        <f ca="1">IF(TODAY() - BCOXT[INV DUE DATE]&lt;30, "Less than 30 days",IF(TODAY()-BCOXT[INV DUE DATE]&lt;60,"30-60 days","More than 60 days"))</f>
        <v>More than 60 days</v>
      </c>
      <c r="S281" s="4" t="s">
        <v>812</v>
      </c>
      <c r="T281" s="43" t="s">
        <v>2229</v>
      </c>
      <c r="U281" s="4" t="s">
        <v>3699</v>
      </c>
    </row>
    <row r="282" spans="1:21" x14ac:dyDescent="0.3">
      <c r="A282" s="28" t="s">
        <v>556</v>
      </c>
      <c r="B282" s="4" t="s">
        <v>35</v>
      </c>
      <c r="C282" s="4" t="s">
        <v>95</v>
      </c>
      <c r="D282" s="4">
        <v>5405</v>
      </c>
      <c r="E282" s="30">
        <v>240</v>
      </c>
      <c r="G282" s="4">
        <v>4300021652</v>
      </c>
      <c r="J282" s="28" t="s">
        <v>671</v>
      </c>
      <c r="K282" s="28" t="s">
        <v>3</v>
      </c>
      <c r="L282" s="32">
        <v>43191</v>
      </c>
      <c r="M282" s="32">
        <f>BCOXT[[#This Row],[INV DOC DATE]]+30</f>
        <v>43221</v>
      </c>
      <c r="N282" s="32">
        <v>43220</v>
      </c>
      <c r="O282" s="31">
        <v>240</v>
      </c>
      <c r="P282" s="102">
        <v>43234</v>
      </c>
      <c r="Q282" s="31">
        <f t="shared" si="4"/>
        <v>0</v>
      </c>
      <c r="R282" s="53" t="str">
        <f ca="1">IF(TODAY() - BCOXT[INV DUE DATE]&lt;30, "Less than 30 days",IF(TODAY()-BCOXT[INV DUE DATE]&lt;60,"30-60 days","More than 60 days"))</f>
        <v>More than 60 days</v>
      </c>
      <c r="S282" s="4" t="s">
        <v>812</v>
      </c>
      <c r="T282" s="43" t="s">
        <v>2229</v>
      </c>
      <c r="U282" s="4" t="s">
        <v>3699</v>
      </c>
    </row>
    <row r="283" spans="1:21" x14ac:dyDescent="0.3">
      <c r="A283" s="28" t="s">
        <v>556</v>
      </c>
      <c r="B283" s="4" t="s">
        <v>35</v>
      </c>
      <c r="C283" s="4" t="s">
        <v>96</v>
      </c>
      <c r="D283" s="4">
        <v>5405</v>
      </c>
      <c r="E283" s="30">
        <v>240</v>
      </c>
      <c r="G283" s="4">
        <v>4300021652</v>
      </c>
      <c r="J283" s="28" t="s">
        <v>672</v>
      </c>
      <c r="K283" s="28" t="s">
        <v>3</v>
      </c>
      <c r="L283" s="32">
        <v>43191</v>
      </c>
      <c r="M283" s="32">
        <f>BCOXT[[#This Row],[INV DOC DATE]]+30</f>
        <v>43221</v>
      </c>
      <c r="N283" s="32">
        <v>43220</v>
      </c>
      <c r="O283" s="31">
        <v>240</v>
      </c>
      <c r="P283" s="102">
        <v>43234</v>
      </c>
      <c r="Q283" s="31">
        <f t="shared" si="4"/>
        <v>0</v>
      </c>
      <c r="R283" s="53" t="str">
        <f ca="1">IF(TODAY() - BCOXT[INV DUE DATE]&lt;30, "Less than 30 days",IF(TODAY()-BCOXT[INV DUE DATE]&lt;60,"30-60 days","More than 60 days"))</f>
        <v>More than 60 days</v>
      </c>
      <c r="S283" s="4" t="s">
        <v>812</v>
      </c>
      <c r="T283" s="43" t="s">
        <v>2229</v>
      </c>
      <c r="U283" s="4" t="s">
        <v>3699</v>
      </c>
    </row>
    <row r="284" spans="1:21" x14ac:dyDescent="0.3">
      <c r="A284" s="28" t="s">
        <v>556</v>
      </c>
      <c r="B284" s="4" t="s">
        <v>35</v>
      </c>
      <c r="C284" s="4" t="s">
        <v>97</v>
      </c>
      <c r="D284" s="4">
        <v>5405</v>
      </c>
      <c r="E284" s="30">
        <v>240</v>
      </c>
      <c r="G284" s="4">
        <v>4300021652</v>
      </c>
      <c r="J284" s="28" t="s">
        <v>673</v>
      </c>
      <c r="K284" s="28" t="s">
        <v>3</v>
      </c>
      <c r="L284" s="32">
        <v>43191</v>
      </c>
      <c r="M284" s="32">
        <f>BCOXT[[#This Row],[INV DOC DATE]]+30</f>
        <v>43221</v>
      </c>
      <c r="N284" s="32">
        <v>43220</v>
      </c>
      <c r="O284" s="31">
        <v>240</v>
      </c>
      <c r="P284" s="102">
        <v>43234</v>
      </c>
      <c r="Q284" s="31">
        <f t="shared" si="4"/>
        <v>0</v>
      </c>
      <c r="R284" s="53" t="str">
        <f ca="1">IF(TODAY() - BCOXT[INV DUE DATE]&lt;30, "Less than 30 days",IF(TODAY()-BCOXT[INV DUE DATE]&lt;60,"30-60 days","More than 60 days"))</f>
        <v>More than 60 days</v>
      </c>
      <c r="S284" s="4" t="s">
        <v>812</v>
      </c>
      <c r="T284" s="43" t="s">
        <v>2229</v>
      </c>
      <c r="U284" s="4" t="s">
        <v>3699</v>
      </c>
    </row>
    <row r="285" spans="1:21" x14ac:dyDescent="0.3">
      <c r="A285" s="28" t="s">
        <v>556</v>
      </c>
      <c r="B285" s="4" t="s">
        <v>35</v>
      </c>
      <c r="C285" s="4" t="s">
        <v>98</v>
      </c>
      <c r="D285" s="4">
        <v>5405</v>
      </c>
      <c r="E285" s="30">
        <v>240</v>
      </c>
      <c r="G285" s="4">
        <v>4300021652</v>
      </c>
      <c r="J285" s="28" t="s">
        <v>674</v>
      </c>
      <c r="K285" s="28" t="s">
        <v>3</v>
      </c>
      <c r="L285" s="32">
        <v>43191</v>
      </c>
      <c r="M285" s="32">
        <f>BCOXT[[#This Row],[INV DOC DATE]]+30</f>
        <v>43221</v>
      </c>
      <c r="N285" s="32">
        <v>43220</v>
      </c>
      <c r="O285" s="31">
        <v>240</v>
      </c>
      <c r="P285" s="102">
        <v>43234</v>
      </c>
      <c r="Q285" s="31">
        <f t="shared" si="4"/>
        <v>0</v>
      </c>
      <c r="R285" s="53" t="str">
        <f ca="1">IF(TODAY() - BCOXT[INV DUE DATE]&lt;30, "Less than 30 days",IF(TODAY()-BCOXT[INV DUE DATE]&lt;60,"30-60 days","More than 60 days"))</f>
        <v>More than 60 days</v>
      </c>
      <c r="S285" s="4" t="s">
        <v>812</v>
      </c>
      <c r="T285" s="43" t="s">
        <v>2229</v>
      </c>
      <c r="U285" s="4" t="s">
        <v>3699</v>
      </c>
    </row>
    <row r="286" spans="1:21" x14ac:dyDescent="0.3">
      <c r="A286" s="28" t="s">
        <v>556</v>
      </c>
      <c r="B286" s="4" t="s">
        <v>35</v>
      </c>
      <c r="C286" s="4" t="s">
        <v>99</v>
      </c>
      <c r="D286" s="4">
        <v>5405</v>
      </c>
      <c r="E286" s="30">
        <v>240</v>
      </c>
      <c r="G286" s="4">
        <v>4300021652</v>
      </c>
      <c r="J286" s="28" t="s">
        <v>675</v>
      </c>
      <c r="K286" s="28" t="s">
        <v>3</v>
      </c>
      <c r="L286" s="32">
        <v>43191</v>
      </c>
      <c r="M286" s="32">
        <f>BCOXT[[#This Row],[INV DOC DATE]]+30</f>
        <v>43221</v>
      </c>
      <c r="N286" s="32">
        <v>43220</v>
      </c>
      <c r="O286" s="31">
        <v>240</v>
      </c>
      <c r="P286" s="102">
        <v>43234</v>
      </c>
      <c r="Q286" s="31">
        <f t="shared" si="4"/>
        <v>0</v>
      </c>
      <c r="R286" s="53" t="str">
        <f ca="1">IF(TODAY() - BCOXT[INV DUE DATE]&lt;30, "Less than 30 days",IF(TODAY()-BCOXT[INV DUE DATE]&lt;60,"30-60 days","More than 60 days"))</f>
        <v>More than 60 days</v>
      </c>
      <c r="S286" s="4" t="s">
        <v>812</v>
      </c>
      <c r="T286" s="43" t="s">
        <v>2229</v>
      </c>
      <c r="U286" s="4" t="s">
        <v>3699</v>
      </c>
    </row>
    <row r="287" spans="1:21" x14ac:dyDescent="0.3">
      <c r="A287" s="28" t="s">
        <v>556</v>
      </c>
      <c r="B287" s="4" t="s">
        <v>35</v>
      </c>
      <c r="C287" s="4" t="s">
        <v>100</v>
      </c>
      <c r="D287" s="4">
        <v>5405</v>
      </c>
      <c r="E287" s="30">
        <v>240</v>
      </c>
      <c r="G287" s="4">
        <v>4300021652</v>
      </c>
      <c r="J287" s="28" t="s">
        <v>676</v>
      </c>
      <c r="K287" s="28" t="s">
        <v>3</v>
      </c>
      <c r="L287" s="32">
        <v>43191</v>
      </c>
      <c r="M287" s="32">
        <f>BCOXT[[#This Row],[INV DOC DATE]]+30</f>
        <v>43221</v>
      </c>
      <c r="N287" s="32">
        <v>43220</v>
      </c>
      <c r="O287" s="31">
        <v>240</v>
      </c>
      <c r="P287" s="102">
        <v>43234</v>
      </c>
      <c r="Q287" s="31">
        <f t="shared" si="4"/>
        <v>0</v>
      </c>
      <c r="R287" s="53" t="str">
        <f ca="1">IF(TODAY() - BCOXT[INV DUE DATE]&lt;30, "Less than 30 days",IF(TODAY()-BCOXT[INV DUE DATE]&lt;60,"30-60 days","More than 60 days"))</f>
        <v>More than 60 days</v>
      </c>
      <c r="S287" s="4" t="s">
        <v>812</v>
      </c>
      <c r="T287" s="43" t="s">
        <v>2229</v>
      </c>
      <c r="U287" s="4" t="s">
        <v>3699</v>
      </c>
    </row>
    <row r="288" spans="1:21" x14ac:dyDescent="0.3">
      <c r="A288" s="28" t="s">
        <v>556</v>
      </c>
      <c r="B288" s="4" t="s">
        <v>35</v>
      </c>
      <c r="C288" s="4" t="s">
        <v>101</v>
      </c>
      <c r="D288" s="4">
        <v>5405</v>
      </c>
      <c r="E288" s="30">
        <v>240</v>
      </c>
      <c r="G288" s="4">
        <v>4300021652</v>
      </c>
      <c r="J288" s="28" t="s">
        <v>677</v>
      </c>
      <c r="K288" s="28" t="s">
        <v>3</v>
      </c>
      <c r="L288" s="32">
        <v>43191</v>
      </c>
      <c r="M288" s="32">
        <f>BCOXT[[#This Row],[INV DOC DATE]]+30</f>
        <v>43221</v>
      </c>
      <c r="N288" s="32">
        <v>43220</v>
      </c>
      <c r="O288" s="31">
        <v>240</v>
      </c>
      <c r="P288" s="102">
        <v>43234</v>
      </c>
      <c r="Q288" s="31">
        <f t="shared" si="4"/>
        <v>0</v>
      </c>
      <c r="R288" s="53" t="str">
        <f ca="1">IF(TODAY() - BCOXT[INV DUE DATE]&lt;30, "Less than 30 days",IF(TODAY()-BCOXT[INV DUE DATE]&lt;60,"30-60 days","More than 60 days"))</f>
        <v>More than 60 days</v>
      </c>
      <c r="S288" s="4" t="s">
        <v>812</v>
      </c>
      <c r="T288" s="43" t="s">
        <v>2229</v>
      </c>
      <c r="U288" s="4" t="s">
        <v>3699</v>
      </c>
    </row>
    <row r="289" spans="1:21" x14ac:dyDescent="0.3">
      <c r="A289" s="28" t="s">
        <v>556</v>
      </c>
      <c r="B289" s="4" t="s">
        <v>35</v>
      </c>
      <c r="C289" s="4" t="s">
        <v>102</v>
      </c>
      <c r="D289" s="4">
        <v>5405</v>
      </c>
      <c r="E289" s="30">
        <v>240</v>
      </c>
      <c r="G289" s="4">
        <v>4300021652</v>
      </c>
      <c r="J289" s="28" t="s">
        <v>678</v>
      </c>
      <c r="K289" s="28" t="s">
        <v>3</v>
      </c>
      <c r="L289" s="32">
        <v>43191</v>
      </c>
      <c r="M289" s="32">
        <f>BCOXT[[#This Row],[INV DOC DATE]]+30</f>
        <v>43221</v>
      </c>
      <c r="N289" s="32">
        <v>43220</v>
      </c>
      <c r="O289" s="31">
        <v>240</v>
      </c>
      <c r="P289" s="102">
        <v>43234</v>
      </c>
      <c r="Q289" s="31">
        <f t="shared" si="4"/>
        <v>0</v>
      </c>
      <c r="R289" s="53" t="str">
        <f ca="1">IF(TODAY() - BCOXT[INV DUE DATE]&lt;30, "Less than 30 days",IF(TODAY()-BCOXT[INV DUE DATE]&lt;60,"30-60 days","More than 60 days"))</f>
        <v>More than 60 days</v>
      </c>
      <c r="S289" s="4" t="s">
        <v>812</v>
      </c>
      <c r="T289" s="43" t="s">
        <v>2229</v>
      </c>
      <c r="U289" s="4" t="s">
        <v>3699</v>
      </c>
    </row>
    <row r="290" spans="1:21" x14ac:dyDescent="0.3">
      <c r="A290" s="28" t="s">
        <v>556</v>
      </c>
      <c r="B290" s="4" t="s">
        <v>35</v>
      </c>
      <c r="C290" s="4" t="s">
        <v>103</v>
      </c>
      <c r="D290" s="4">
        <v>5405</v>
      </c>
      <c r="E290" s="30">
        <v>240</v>
      </c>
      <c r="G290" s="4">
        <v>4300021652</v>
      </c>
      <c r="J290" s="28" t="s">
        <v>679</v>
      </c>
      <c r="K290" s="28" t="s">
        <v>3</v>
      </c>
      <c r="L290" s="32">
        <v>43191</v>
      </c>
      <c r="M290" s="32">
        <f>BCOXT[[#This Row],[INV DOC DATE]]+30</f>
        <v>43221</v>
      </c>
      <c r="N290" s="32">
        <v>43220</v>
      </c>
      <c r="O290" s="31">
        <v>240</v>
      </c>
      <c r="P290" s="102">
        <v>43234</v>
      </c>
      <c r="Q290" s="31">
        <f t="shared" si="4"/>
        <v>0</v>
      </c>
      <c r="R290" s="53" t="str">
        <f ca="1">IF(TODAY() - BCOXT[INV DUE DATE]&lt;30, "Less than 30 days",IF(TODAY()-BCOXT[INV DUE DATE]&lt;60,"30-60 days","More than 60 days"))</f>
        <v>More than 60 days</v>
      </c>
      <c r="S290" s="4" t="s">
        <v>812</v>
      </c>
      <c r="T290" s="43" t="s">
        <v>2229</v>
      </c>
      <c r="U290" s="4" t="s">
        <v>3699</v>
      </c>
    </row>
    <row r="291" spans="1:21" x14ac:dyDescent="0.3">
      <c r="A291" s="28" t="s">
        <v>556</v>
      </c>
      <c r="B291" s="4" t="s">
        <v>35</v>
      </c>
      <c r="C291" s="4" t="s">
        <v>104</v>
      </c>
      <c r="D291" s="4">
        <v>5405</v>
      </c>
      <c r="E291" s="30">
        <v>240</v>
      </c>
      <c r="G291" s="4">
        <v>4300021652</v>
      </c>
      <c r="J291" s="28" t="s">
        <v>680</v>
      </c>
      <c r="K291" s="28" t="s">
        <v>3</v>
      </c>
      <c r="L291" s="32">
        <v>43191</v>
      </c>
      <c r="M291" s="32">
        <f>BCOXT[[#This Row],[INV DOC DATE]]+30</f>
        <v>43221</v>
      </c>
      <c r="N291" s="32">
        <v>43220</v>
      </c>
      <c r="O291" s="31">
        <v>240</v>
      </c>
      <c r="P291" s="102">
        <v>43234</v>
      </c>
      <c r="Q291" s="31">
        <f t="shared" si="4"/>
        <v>0</v>
      </c>
      <c r="R291" s="53" t="str">
        <f ca="1">IF(TODAY() - BCOXT[INV DUE DATE]&lt;30, "Less than 30 days",IF(TODAY()-BCOXT[INV DUE DATE]&lt;60,"30-60 days","More than 60 days"))</f>
        <v>More than 60 days</v>
      </c>
      <c r="S291" s="4" t="s">
        <v>812</v>
      </c>
      <c r="T291" s="43" t="s">
        <v>2229</v>
      </c>
      <c r="U291" s="4" t="s">
        <v>3699</v>
      </c>
    </row>
    <row r="292" spans="1:21" x14ac:dyDescent="0.3">
      <c r="A292" s="28" t="s">
        <v>556</v>
      </c>
      <c r="B292" s="4" t="s">
        <v>35</v>
      </c>
      <c r="C292" s="4" t="s">
        <v>105</v>
      </c>
      <c r="D292" s="4">
        <v>5405</v>
      </c>
      <c r="E292" s="30">
        <v>240</v>
      </c>
      <c r="G292" s="4">
        <v>4300021652</v>
      </c>
      <c r="J292" s="28" t="s">
        <v>681</v>
      </c>
      <c r="K292" s="28" t="s">
        <v>3</v>
      </c>
      <c r="L292" s="32">
        <v>43191</v>
      </c>
      <c r="M292" s="32">
        <f>BCOXT[[#This Row],[INV DOC DATE]]+30</f>
        <v>43221</v>
      </c>
      <c r="N292" s="32">
        <v>43220</v>
      </c>
      <c r="O292" s="31">
        <v>240</v>
      </c>
      <c r="P292" s="102">
        <v>43234</v>
      </c>
      <c r="Q292" s="31">
        <f t="shared" si="4"/>
        <v>0</v>
      </c>
      <c r="R292" s="53" t="str">
        <f ca="1">IF(TODAY() - BCOXT[INV DUE DATE]&lt;30, "Less than 30 days",IF(TODAY()-BCOXT[INV DUE DATE]&lt;60,"30-60 days","More than 60 days"))</f>
        <v>More than 60 days</v>
      </c>
      <c r="S292" s="4" t="s">
        <v>812</v>
      </c>
      <c r="T292" s="43" t="s">
        <v>2229</v>
      </c>
      <c r="U292" s="4" t="s">
        <v>3699</v>
      </c>
    </row>
    <row r="293" spans="1:21" x14ac:dyDescent="0.3">
      <c r="A293" s="28" t="s">
        <v>556</v>
      </c>
      <c r="B293" s="4" t="s">
        <v>35</v>
      </c>
      <c r="C293" s="4" t="s">
        <v>106</v>
      </c>
      <c r="D293" s="4">
        <v>5405</v>
      </c>
      <c r="E293" s="30">
        <v>240</v>
      </c>
      <c r="G293" s="4">
        <v>4300021652</v>
      </c>
      <c r="J293" s="28" t="s">
        <v>682</v>
      </c>
      <c r="K293" s="28" t="s">
        <v>3</v>
      </c>
      <c r="L293" s="32">
        <v>43191</v>
      </c>
      <c r="M293" s="32">
        <f>BCOXT[[#This Row],[INV DOC DATE]]+30</f>
        <v>43221</v>
      </c>
      <c r="N293" s="32">
        <v>43220</v>
      </c>
      <c r="O293" s="31">
        <v>240</v>
      </c>
      <c r="P293" s="102">
        <v>43234</v>
      </c>
      <c r="Q293" s="31">
        <f t="shared" si="4"/>
        <v>0</v>
      </c>
      <c r="R293" s="53" t="str">
        <f ca="1">IF(TODAY() - BCOXT[INV DUE DATE]&lt;30, "Less than 30 days",IF(TODAY()-BCOXT[INV DUE DATE]&lt;60,"30-60 days","More than 60 days"))</f>
        <v>More than 60 days</v>
      </c>
      <c r="S293" s="4" t="s">
        <v>812</v>
      </c>
      <c r="T293" s="43" t="s">
        <v>2229</v>
      </c>
      <c r="U293" s="4" t="s">
        <v>3699</v>
      </c>
    </row>
    <row r="294" spans="1:21" x14ac:dyDescent="0.3">
      <c r="A294" s="28" t="s">
        <v>556</v>
      </c>
      <c r="B294" s="4" t="s">
        <v>35</v>
      </c>
      <c r="C294" s="4" t="s">
        <v>107</v>
      </c>
      <c r="D294" s="4">
        <v>5405</v>
      </c>
      <c r="E294" s="30">
        <v>577.5</v>
      </c>
      <c r="G294" s="4">
        <v>4300021652</v>
      </c>
      <c r="J294" s="28" t="s">
        <v>683</v>
      </c>
      <c r="K294" s="28" t="s">
        <v>3</v>
      </c>
      <c r="L294" s="32">
        <v>43191</v>
      </c>
      <c r="M294" s="32">
        <f>BCOXT[[#This Row],[INV DOC DATE]]+30</f>
        <v>43221</v>
      </c>
      <c r="N294" s="32">
        <v>43220</v>
      </c>
      <c r="O294" s="31">
        <v>577.5</v>
      </c>
      <c r="P294" s="102">
        <v>43234</v>
      </c>
      <c r="Q294" s="31">
        <f t="shared" si="4"/>
        <v>0</v>
      </c>
      <c r="R294" s="53" t="str">
        <f ca="1">IF(TODAY() - BCOXT[INV DUE DATE]&lt;30, "Less than 30 days",IF(TODAY()-BCOXT[INV DUE DATE]&lt;60,"30-60 days","More than 60 days"))</f>
        <v>More than 60 days</v>
      </c>
      <c r="S294" s="4" t="s">
        <v>812</v>
      </c>
      <c r="T294" s="43" t="s">
        <v>2229</v>
      </c>
      <c r="U294" s="4" t="s">
        <v>3699</v>
      </c>
    </row>
    <row r="295" spans="1:21" x14ac:dyDescent="0.3">
      <c r="A295" s="28" t="s">
        <v>556</v>
      </c>
      <c r="B295" s="4" t="s">
        <v>35</v>
      </c>
      <c r="C295" s="4" t="s">
        <v>108</v>
      </c>
      <c r="D295" s="4">
        <v>5405</v>
      </c>
      <c r="E295" s="30">
        <v>577.5</v>
      </c>
      <c r="G295" s="4">
        <v>4300021652</v>
      </c>
      <c r="J295" s="28" t="s">
        <v>684</v>
      </c>
      <c r="K295" s="28" t="s">
        <v>3</v>
      </c>
      <c r="L295" s="32">
        <v>43191</v>
      </c>
      <c r="M295" s="32">
        <f>BCOXT[[#This Row],[INV DOC DATE]]+30</f>
        <v>43221</v>
      </c>
      <c r="N295" s="32">
        <v>43220</v>
      </c>
      <c r="O295" s="31">
        <v>577.5</v>
      </c>
      <c r="P295" s="102">
        <v>43234</v>
      </c>
      <c r="Q295" s="31">
        <f t="shared" si="4"/>
        <v>0</v>
      </c>
      <c r="R295" s="53" t="str">
        <f ca="1">IF(TODAY() - BCOXT[INV DUE DATE]&lt;30, "Less than 30 days",IF(TODAY()-BCOXT[INV DUE DATE]&lt;60,"30-60 days","More than 60 days"))</f>
        <v>More than 60 days</v>
      </c>
      <c r="S295" s="4" t="s">
        <v>812</v>
      </c>
      <c r="T295" s="43" t="s">
        <v>2229</v>
      </c>
      <c r="U295" s="4" t="s">
        <v>3699</v>
      </c>
    </row>
    <row r="296" spans="1:21" x14ac:dyDescent="0.3">
      <c r="A296" s="28" t="s">
        <v>556</v>
      </c>
      <c r="B296" s="4" t="s">
        <v>35</v>
      </c>
      <c r="C296" s="4" t="s">
        <v>109</v>
      </c>
      <c r="D296" s="4">
        <v>5405</v>
      </c>
      <c r="E296" s="30">
        <v>660</v>
      </c>
      <c r="G296" s="4">
        <v>4300021652</v>
      </c>
      <c r="J296" s="28" t="s">
        <v>685</v>
      </c>
      <c r="K296" s="28" t="s">
        <v>3</v>
      </c>
      <c r="L296" s="32">
        <v>43191</v>
      </c>
      <c r="M296" s="32">
        <f>BCOXT[[#This Row],[INV DOC DATE]]+30</f>
        <v>43221</v>
      </c>
      <c r="N296" s="32">
        <v>43220</v>
      </c>
      <c r="O296" s="31">
        <v>660</v>
      </c>
      <c r="P296" s="102">
        <v>43234</v>
      </c>
      <c r="Q296" s="31">
        <f t="shared" si="4"/>
        <v>0</v>
      </c>
      <c r="R296" s="53" t="str">
        <f ca="1">IF(TODAY() - BCOXT[INV DUE DATE]&lt;30, "Less than 30 days",IF(TODAY()-BCOXT[INV DUE DATE]&lt;60,"30-60 days","More than 60 days"))</f>
        <v>More than 60 days</v>
      </c>
      <c r="S296" s="4" t="s">
        <v>812</v>
      </c>
      <c r="T296" s="43" t="s">
        <v>2229</v>
      </c>
      <c r="U296" s="4" t="s">
        <v>3699</v>
      </c>
    </row>
    <row r="297" spans="1:21" x14ac:dyDescent="0.3">
      <c r="A297" s="28" t="s">
        <v>556</v>
      </c>
      <c r="B297" s="4" t="s">
        <v>35</v>
      </c>
      <c r="C297" s="4" t="s">
        <v>110</v>
      </c>
      <c r="D297" s="4">
        <v>5405</v>
      </c>
      <c r="E297" s="30">
        <v>660</v>
      </c>
      <c r="G297" s="4">
        <v>4300021652</v>
      </c>
      <c r="J297" s="28" t="s">
        <v>686</v>
      </c>
      <c r="K297" s="28" t="s">
        <v>3</v>
      </c>
      <c r="L297" s="32">
        <v>43191</v>
      </c>
      <c r="M297" s="32">
        <f>BCOXT[[#This Row],[INV DOC DATE]]+30</f>
        <v>43221</v>
      </c>
      <c r="N297" s="32">
        <v>43220</v>
      </c>
      <c r="O297" s="31">
        <v>660</v>
      </c>
      <c r="P297" s="102">
        <v>43234</v>
      </c>
      <c r="Q297" s="31">
        <f t="shared" si="4"/>
        <v>0</v>
      </c>
      <c r="R297" s="53" t="str">
        <f ca="1">IF(TODAY() - BCOXT[INV DUE DATE]&lt;30, "Less than 30 days",IF(TODAY()-BCOXT[INV DUE DATE]&lt;60,"30-60 days","More than 60 days"))</f>
        <v>More than 60 days</v>
      </c>
      <c r="S297" s="4" t="s">
        <v>812</v>
      </c>
      <c r="T297" s="43" t="s">
        <v>2229</v>
      </c>
      <c r="U297" s="4" t="s">
        <v>3699</v>
      </c>
    </row>
    <row r="298" spans="1:21" x14ac:dyDescent="0.3">
      <c r="A298" s="28" t="s">
        <v>556</v>
      </c>
      <c r="B298" s="4" t="s">
        <v>35</v>
      </c>
      <c r="C298" s="4" t="s">
        <v>111</v>
      </c>
      <c r="D298" s="4">
        <v>5405</v>
      </c>
      <c r="E298" s="30">
        <v>660</v>
      </c>
      <c r="G298" s="4">
        <v>4300021652</v>
      </c>
      <c r="J298" s="28" t="s">
        <v>687</v>
      </c>
      <c r="K298" s="28" t="s">
        <v>3</v>
      </c>
      <c r="L298" s="32">
        <v>43191</v>
      </c>
      <c r="M298" s="32">
        <f>BCOXT[[#This Row],[INV DOC DATE]]+30</f>
        <v>43221</v>
      </c>
      <c r="N298" s="32">
        <v>43220</v>
      </c>
      <c r="O298" s="31">
        <v>660</v>
      </c>
      <c r="P298" s="102">
        <v>43234</v>
      </c>
      <c r="Q298" s="31">
        <f t="shared" si="4"/>
        <v>0</v>
      </c>
      <c r="R298" s="53" t="str">
        <f ca="1">IF(TODAY() - BCOXT[INV DUE DATE]&lt;30, "Less than 30 days",IF(TODAY()-BCOXT[INV DUE DATE]&lt;60,"30-60 days","More than 60 days"))</f>
        <v>More than 60 days</v>
      </c>
      <c r="S298" s="4" t="s">
        <v>812</v>
      </c>
      <c r="T298" s="43" t="s">
        <v>2229</v>
      </c>
      <c r="U298" s="4" t="s">
        <v>3699</v>
      </c>
    </row>
    <row r="299" spans="1:21" x14ac:dyDescent="0.3">
      <c r="A299" s="28" t="s">
        <v>556</v>
      </c>
      <c r="B299" s="4" t="s">
        <v>35</v>
      </c>
      <c r="C299" s="4" t="s">
        <v>112</v>
      </c>
      <c r="D299" s="4">
        <v>5405</v>
      </c>
      <c r="E299" s="30">
        <v>255</v>
      </c>
      <c r="G299" s="4">
        <v>4300021652</v>
      </c>
      <c r="J299" s="28" t="s">
        <v>688</v>
      </c>
      <c r="K299" s="28" t="s">
        <v>3</v>
      </c>
      <c r="L299" s="32">
        <v>43191</v>
      </c>
      <c r="M299" s="32">
        <f>BCOXT[[#This Row],[INV DOC DATE]]+30</f>
        <v>43221</v>
      </c>
      <c r="N299" s="32">
        <v>43220</v>
      </c>
      <c r="O299" s="31">
        <v>255</v>
      </c>
      <c r="P299" s="102">
        <v>43234</v>
      </c>
      <c r="Q299" s="31">
        <f t="shared" si="4"/>
        <v>0</v>
      </c>
      <c r="R299" s="53" t="str">
        <f ca="1">IF(TODAY() - BCOXT[INV DUE DATE]&lt;30, "Less than 30 days",IF(TODAY()-BCOXT[INV DUE DATE]&lt;60,"30-60 days","More than 60 days"))</f>
        <v>More than 60 days</v>
      </c>
      <c r="S299" s="4" t="s">
        <v>812</v>
      </c>
      <c r="T299" s="43" t="s">
        <v>2229</v>
      </c>
      <c r="U299" s="4" t="s">
        <v>3699</v>
      </c>
    </row>
    <row r="300" spans="1:21" x14ac:dyDescent="0.3">
      <c r="A300" s="28" t="s">
        <v>556</v>
      </c>
      <c r="B300" s="4" t="s">
        <v>35</v>
      </c>
      <c r="C300" s="4" t="s">
        <v>113</v>
      </c>
      <c r="D300" s="4">
        <v>5405</v>
      </c>
      <c r="E300" s="30">
        <v>255</v>
      </c>
      <c r="G300" s="4">
        <v>4300021652</v>
      </c>
      <c r="J300" s="28" t="s">
        <v>689</v>
      </c>
      <c r="K300" s="28" t="s">
        <v>3</v>
      </c>
      <c r="L300" s="32">
        <v>43191</v>
      </c>
      <c r="M300" s="32">
        <f>BCOXT[[#This Row],[INV DOC DATE]]+30</f>
        <v>43221</v>
      </c>
      <c r="N300" s="32">
        <v>43220</v>
      </c>
      <c r="O300" s="31">
        <v>255</v>
      </c>
      <c r="P300" s="102">
        <v>43234</v>
      </c>
      <c r="Q300" s="31">
        <f t="shared" si="4"/>
        <v>0</v>
      </c>
      <c r="R300" s="53" t="str">
        <f ca="1">IF(TODAY() - BCOXT[INV DUE DATE]&lt;30, "Less than 30 days",IF(TODAY()-BCOXT[INV DUE DATE]&lt;60,"30-60 days","More than 60 days"))</f>
        <v>More than 60 days</v>
      </c>
      <c r="S300" s="4" t="s">
        <v>812</v>
      </c>
      <c r="T300" s="43" t="s">
        <v>2229</v>
      </c>
      <c r="U300" s="4" t="s">
        <v>3699</v>
      </c>
    </row>
    <row r="301" spans="1:21" x14ac:dyDescent="0.3">
      <c r="A301" s="28" t="s">
        <v>556</v>
      </c>
      <c r="B301" s="4" t="s">
        <v>35</v>
      </c>
      <c r="C301" s="4" t="s">
        <v>114</v>
      </c>
      <c r="D301" s="4">
        <v>5405</v>
      </c>
      <c r="E301" s="30">
        <v>255</v>
      </c>
      <c r="G301" s="4">
        <v>4300021652</v>
      </c>
      <c r="J301" s="28" t="s">
        <v>690</v>
      </c>
      <c r="K301" s="28" t="s">
        <v>3</v>
      </c>
      <c r="L301" s="32">
        <v>43191</v>
      </c>
      <c r="M301" s="32">
        <f>BCOXT[[#This Row],[INV DOC DATE]]+30</f>
        <v>43221</v>
      </c>
      <c r="N301" s="32">
        <v>43220</v>
      </c>
      <c r="O301" s="31">
        <v>255</v>
      </c>
      <c r="P301" s="102">
        <v>43234</v>
      </c>
      <c r="Q301" s="31">
        <f t="shared" si="4"/>
        <v>0</v>
      </c>
      <c r="R301" s="53" t="str">
        <f ca="1">IF(TODAY() - BCOXT[INV DUE DATE]&lt;30, "Less than 30 days",IF(TODAY()-BCOXT[INV DUE DATE]&lt;60,"30-60 days","More than 60 days"))</f>
        <v>More than 60 days</v>
      </c>
      <c r="S301" s="4" t="s">
        <v>812</v>
      </c>
      <c r="T301" s="43" t="s">
        <v>2229</v>
      </c>
      <c r="U301" s="4" t="s">
        <v>3699</v>
      </c>
    </row>
    <row r="302" spans="1:21" x14ac:dyDescent="0.3">
      <c r="A302" s="28" t="s">
        <v>556</v>
      </c>
      <c r="B302" s="4" t="s">
        <v>35</v>
      </c>
      <c r="C302" s="4" t="s">
        <v>115</v>
      </c>
      <c r="D302" s="4">
        <v>5405</v>
      </c>
      <c r="E302" s="30">
        <v>247.5</v>
      </c>
      <c r="G302" s="4">
        <v>4300021652</v>
      </c>
      <c r="J302" s="28" t="s">
        <v>691</v>
      </c>
      <c r="K302" s="28" t="s">
        <v>3</v>
      </c>
      <c r="L302" s="32">
        <v>43191</v>
      </c>
      <c r="M302" s="32">
        <f>BCOXT[[#This Row],[INV DOC DATE]]+30</f>
        <v>43221</v>
      </c>
      <c r="N302" s="32">
        <v>43220</v>
      </c>
      <c r="O302" s="31">
        <v>247.5</v>
      </c>
      <c r="P302" s="102">
        <v>43234</v>
      </c>
      <c r="Q302" s="31">
        <f t="shared" si="4"/>
        <v>0</v>
      </c>
      <c r="R302" s="53" t="str">
        <f ca="1">IF(TODAY() - BCOXT[INV DUE DATE]&lt;30, "Less than 30 days",IF(TODAY()-BCOXT[INV DUE DATE]&lt;60,"30-60 days","More than 60 days"))</f>
        <v>More than 60 days</v>
      </c>
      <c r="S302" s="4" t="s">
        <v>812</v>
      </c>
      <c r="T302" s="43" t="s">
        <v>2229</v>
      </c>
      <c r="U302" s="4" t="s">
        <v>3699</v>
      </c>
    </row>
    <row r="303" spans="1:21" x14ac:dyDescent="0.3">
      <c r="A303" s="28" t="s">
        <v>556</v>
      </c>
      <c r="B303" s="4" t="s">
        <v>35</v>
      </c>
      <c r="C303" s="4" t="s">
        <v>116</v>
      </c>
      <c r="D303" s="4">
        <v>5405</v>
      </c>
      <c r="E303" s="30">
        <v>247.5</v>
      </c>
      <c r="G303" s="4">
        <v>4300021652</v>
      </c>
      <c r="J303" s="28" t="s">
        <v>692</v>
      </c>
      <c r="K303" s="28" t="s">
        <v>3</v>
      </c>
      <c r="L303" s="32">
        <v>43191</v>
      </c>
      <c r="M303" s="32">
        <f>BCOXT[[#This Row],[INV DOC DATE]]+30</f>
        <v>43221</v>
      </c>
      <c r="N303" s="32">
        <v>43220</v>
      </c>
      <c r="O303" s="31">
        <v>247.5</v>
      </c>
      <c r="P303" s="102">
        <v>43234</v>
      </c>
      <c r="Q303" s="31">
        <f t="shared" si="4"/>
        <v>0</v>
      </c>
      <c r="R303" s="53" t="str">
        <f ca="1">IF(TODAY() - BCOXT[INV DUE DATE]&lt;30, "Less than 30 days",IF(TODAY()-BCOXT[INV DUE DATE]&lt;60,"30-60 days","More than 60 days"))</f>
        <v>More than 60 days</v>
      </c>
      <c r="S303" s="4" t="s">
        <v>812</v>
      </c>
      <c r="T303" s="43" t="s">
        <v>2229</v>
      </c>
      <c r="U303" s="4" t="s">
        <v>3699</v>
      </c>
    </row>
    <row r="304" spans="1:21" x14ac:dyDescent="0.3">
      <c r="A304" s="28" t="s">
        <v>556</v>
      </c>
      <c r="B304" s="4" t="s">
        <v>35</v>
      </c>
      <c r="C304" s="4" t="s">
        <v>117</v>
      </c>
      <c r="D304" s="4">
        <v>5405</v>
      </c>
      <c r="E304" s="30">
        <v>247.5</v>
      </c>
      <c r="G304" s="4">
        <v>4300021652</v>
      </c>
      <c r="J304" s="28" t="s">
        <v>693</v>
      </c>
      <c r="K304" s="28" t="s">
        <v>3</v>
      </c>
      <c r="L304" s="32">
        <v>43191</v>
      </c>
      <c r="M304" s="32">
        <f>BCOXT[[#This Row],[INV DOC DATE]]+30</f>
        <v>43221</v>
      </c>
      <c r="N304" s="32">
        <v>43220</v>
      </c>
      <c r="O304" s="31">
        <v>247.5</v>
      </c>
      <c r="P304" s="102">
        <v>43234</v>
      </c>
      <c r="Q304" s="31">
        <f t="shared" si="4"/>
        <v>0</v>
      </c>
      <c r="R304" s="53" t="str">
        <f ca="1">IF(TODAY() - BCOXT[INV DUE DATE]&lt;30, "Less than 30 days",IF(TODAY()-BCOXT[INV DUE DATE]&lt;60,"30-60 days","More than 60 days"))</f>
        <v>More than 60 days</v>
      </c>
      <c r="S304" s="4" t="s">
        <v>812</v>
      </c>
      <c r="T304" s="43" t="s">
        <v>2229</v>
      </c>
      <c r="U304" s="4" t="s">
        <v>3699</v>
      </c>
    </row>
    <row r="305" spans="1:21" x14ac:dyDescent="0.3">
      <c r="A305" s="28" t="s">
        <v>556</v>
      </c>
      <c r="B305" s="4" t="s">
        <v>35</v>
      </c>
      <c r="C305" s="4" t="s">
        <v>118</v>
      </c>
      <c r="D305" s="4">
        <v>5405</v>
      </c>
      <c r="E305" s="30">
        <v>247.5</v>
      </c>
      <c r="G305" s="4">
        <v>4300021652</v>
      </c>
      <c r="J305" s="28" t="s">
        <v>694</v>
      </c>
      <c r="K305" s="28" t="s">
        <v>3</v>
      </c>
      <c r="L305" s="32">
        <v>43191</v>
      </c>
      <c r="M305" s="32">
        <f>BCOXT[[#This Row],[INV DOC DATE]]+30</f>
        <v>43221</v>
      </c>
      <c r="N305" s="32">
        <v>43220</v>
      </c>
      <c r="O305" s="31">
        <v>247.5</v>
      </c>
      <c r="P305" s="102">
        <v>43234</v>
      </c>
      <c r="Q305" s="31">
        <f t="shared" si="4"/>
        <v>0</v>
      </c>
      <c r="R305" s="53" t="str">
        <f ca="1">IF(TODAY() - BCOXT[INV DUE DATE]&lt;30, "Less than 30 days",IF(TODAY()-BCOXT[INV DUE DATE]&lt;60,"30-60 days","More than 60 days"))</f>
        <v>More than 60 days</v>
      </c>
      <c r="S305" s="4" t="s">
        <v>812</v>
      </c>
      <c r="T305" s="43" t="s">
        <v>2229</v>
      </c>
      <c r="U305" s="4" t="s">
        <v>3699</v>
      </c>
    </row>
    <row r="306" spans="1:21" x14ac:dyDescent="0.3">
      <c r="A306" s="28" t="s">
        <v>556</v>
      </c>
      <c r="B306" s="4" t="s">
        <v>35</v>
      </c>
      <c r="C306" s="4" t="s">
        <v>119</v>
      </c>
      <c r="D306" s="4">
        <v>5405</v>
      </c>
      <c r="E306" s="30">
        <v>247.5</v>
      </c>
      <c r="G306" s="4">
        <v>4300021652</v>
      </c>
      <c r="J306" s="28" t="s">
        <v>695</v>
      </c>
      <c r="K306" s="28" t="s">
        <v>3</v>
      </c>
      <c r="L306" s="32">
        <v>43191</v>
      </c>
      <c r="M306" s="32">
        <f>BCOXT[[#This Row],[INV DOC DATE]]+30</f>
        <v>43221</v>
      </c>
      <c r="N306" s="32">
        <v>43220</v>
      </c>
      <c r="O306" s="31">
        <v>247.5</v>
      </c>
      <c r="P306" s="102">
        <v>43234</v>
      </c>
      <c r="Q306" s="31">
        <f t="shared" si="4"/>
        <v>0</v>
      </c>
      <c r="R306" s="53" t="str">
        <f ca="1">IF(TODAY() - BCOXT[INV DUE DATE]&lt;30, "Less than 30 days",IF(TODAY()-BCOXT[INV DUE DATE]&lt;60,"30-60 days","More than 60 days"))</f>
        <v>More than 60 days</v>
      </c>
      <c r="S306" s="4" t="s">
        <v>812</v>
      </c>
      <c r="T306" s="43" t="s">
        <v>2229</v>
      </c>
      <c r="U306" s="4" t="s">
        <v>3699</v>
      </c>
    </row>
    <row r="307" spans="1:21" x14ac:dyDescent="0.3">
      <c r="A307" s="28" t="s">
        <v>556</v>
      </c>
      <c r="B307" s="4" t="s">
        <v>35</v>
      </c>
      <c r="C307" s="4" t="s">
        <v>120</v>
      </c>
      <c r="D307" s="4">
        <v>5405</v>
      </c>
      <c r="E307" s="30">
        <v>247.5</v>
      </c>
      <c r="G307" s="4">
        <v>4300021652</v>
      </c>
      <c r="J307" s="28" t="s">
        <v>696</v>
      </c>
      <c r="K307" s="28" t="s">
        <v>3</v>
      </c>
      <c r="L307" s="32">
        <v>43191</v>
      </c>
      <c r="M307" s="32">
        <f>BCOXT[[#This Row],[INV DOC DATE]]+30</f>
        <v>43221</v>
      </c>
      <c r="N307" s="32">
        <v>43220</v>
      </c>
      <c r="O307" s="31">
        <v>247.5</v>
      </c>
      <c r="P307" s="102">
        <v>43234</v>
      </c>
      <c r="Q307" s="31">
        <f t="shared" si="4"/>
        <v>0</v>
      </c>
      <c r="R307" s="53" t="str">
        <f ca="1">IF(TODAY() - BCOXT[INV DUE DATE]&lt;30, "Less than 30 days",IF(TODAY()-BCOXT[INV DUE DATE]&lt;60,"30-60 days","More than 60 days"))</f>
        <v>More than 60 days</v>
      </c>
      <c r="S307" s="4" t="s">
        <v>812</v>
      </c>
      <c r="T307" s="43" t="s">
        <v>2229</v>
      </c>
      <c r="U307" s="4" t="s">
        <v>3699</v>
      </c>
    </row>
    <row r="308" spans="1:21" x14ac:dyDescent="0.3">
      <c r="A308" s="28" t="s">
        <v>556</v>
      </c>
      <c r="B308" s="4" t="s">
        <v>35</v>
      </c>
      <c r="C308" s="4" t="s">
        <v>121</v>
      </c>
      <c r="D308" s="4">
        <v>5405</v>
      </c>
      <c r="E308" s="30">
        <v>255</v>
      </c>
      <c r="G308" s="4">
        <v>4300021652</v>
      </c>
      <c r="J308" s="28" t="s">
        <v>697</v>
      </c>
      <c r="K308" s="28" t="s">
        <v>3</v>
      </c>
      <c r="L308" s="32">
        <v>43191</v>
      </c>
      <c r="M308" s="32">
        <f>BCOXT[[#This Row],[INV DOC DATE]]+30</f>
        <v>43221</v>
      </c>
      <c r="N308" s="32">
        <v>43220</v>
      </c>
      <c r="O308" s="31">
        <v>255</v>
      </c>
      <c r="P308" s="102">
        <v>43234</v>
      </c>
      <c r="Q308" s="31">
        <f t="shared" si="4"/>
        <v>0</v>
      </c>
      <c r="R308" s="53" t="str">
        <f ca="1">IF(TODAY() - BCOXT[INV DUE DATE]&lt;30, "Less than 30 days",IF(TODAY()-BCOXT[INV DUE DATE]&lt;60,"30-60 days","More than 60 days"))</f>
        <v>More than 60 days</v>
      </c>
      <c r="S308" s="4" t="s">
        <v>812</v>
      </c>
      <c r="T308" s="43" t="s">
        <v>2229</v>
      </c>
      <c r="U308" s="4" t="s">
        <v>3699</v>
      </c>
    </row>
    <row r="309" spans="1:21" x14ac:dyDescent="0.3">
      <c r="A309" s="28" t="s">
        <v>556</v>
      </c>
      <c r="B309" s="4" t="s">
        <v>35</v>
      </c>
      <c r="C309" s="4" t="s">
        <v>122</v>
      </c>
      <c r="D309" s="4">
        <v>5405</v>
      </c>
      <c r="E309" s="30">
        <v>255</v>
      </c>
      <c r="G309" s="4">
        <v>4300021652</v>
      </c>
      <c r="J309" s="28" t="s">
        <v>698</v>
      </c>
      <c r="K309" s="28" t="s">
        <v>3</v>
      </c>
      <c r="L309" s="32">
        <v>43191</v>
      </c>
      <c r="M309" s="32">
        <f>BCOXT[[#This Row],[INV DOC DATE]]+30</f>
        <v>43221</v>
      </c>
      <c r="N309" s="32">
        <v>43220</v>
      </c>
      <c r="O309" s="31">
        <v>255</v>
      </c>
      <c r="P309" s="102">
        <v>43234</v>
      </c>
      <c r="Q309" s="31">
        <f t="shared" si="4"/>
        <v>0</v>
      </c>
      <c r="R309" s="53" t="str">
        <f ca="1">IF(TODAY() - BCOXT[INV DUE DATE]&lt;30, "Less than 30 days",IF(TODAY()-BCOXT[INV DUE DATE]&lt;60,"30-60 days","More than 60 days"))</f>
        <v>More than 60 days</v>
      </c>
      <c r="S309" s="4" t="s">
        <v>812</v>
      </c>
      <c r="T309" s="43" t="s">
        <v>2229</v>
      </c>
      <c r="U309" s="4" t="s">
        <v>3699</v>
      </c>
    </row>
    <row r="310" spans="1:21" x14ac:dyDescent="0.3">
      <c r="A310" s="28" t="s">
        <v>556</v>
      </c>
      <c r="B310" s="4" t="s">
        <v>35</v>
      </c>
      <c r="C310" s="4" t="s">
        <v>123</v>
      </c>
      <c r="D310" s="4">
        <v>5405</v>
      </c>
      <c r="E310" s="30">
        <v>255</v>
      </c>
      <c r="G310" s="4">
        <v>4300021652</v>
      </c>
      <c r="J310" s="28" t="s">
        <v>699</v>
      </c>
      <c r="K310" s="28" t="s">
        <v>3</v>
      </c>
      <c r="L310" s="32">
        <v>43191</v>
      </c>
      <c r="M310" s="32">
        <f>BCOXT[[#This Row],[INV DOC DATE]]+30</f>
        <v>43221</v>
      </c>
      <c r="N310" s="32">
        <v>43220</v>
      </c>
      <c r="O310" s="31">
        <v>255</v>
      </c>
      <c r="P310" s="102">
        <v>43234</v>
      </c>
      <c r="Q310" s="31">
        <f t="shared" si="4"/>
        <v>0</v>
      </c>
      <c r="R310" s="53" t="str">
        <f ca="1">IF(TODAY() - BCOXT[INV DUE DATE]&lt;30, "Less than 30 days",IF(TODAY()-BCOXT[INV DUE DATE]&lt;60,"30-60 days","More than 60 days"))</f>
        <v>More than 60 days</v>
      </c>
      <c r="S310" s="4" t="s">
        <v>812</v>
      </c>
      <c r="T310" s="43" t="s">
        <v>2229</v>
      </c>
      <c r="U310" s="4" t="s">
        <v>3699</v>
      </c>
    </row>
    <row r="311" spans="1:21" x14ac:dyDescent="0.3">
      <c r="A311" s="28" t="s">
        <v>556</v>
      </c>
      <c r="B311" s="4" t="s">
        <v>35</v>
      </c>
      <c r="C311" s="4" t="s">
        <v>124</v>
      </c>
      <c r="D311" s="4">
        <v>5405</v>
      </c>
      <c r="E311" s="30">
        <v>270</v>
      </c>
      <c r="G311" s="4">
        <v>4300021652</v>
      </c>
      <c r="J311" s="28" t="s">
        <v>700</v>
      </c>
      <c r="K311" s="28" t="s">
        <v>3</v>
      </c>
      <c r="L311" s="32">
        <v>43191</v>
      </c>
      <c r="M311" s="32">
        <f>BCOXT[[#This Row],[INV DOC DATE]]+30</f>
        <v>43221</v>
      </c>
      <c r="N311" s="32">
        <v>43220</v>
      </c>
      <c r="O311" s="31">
        <v>270</v>
      </c>
      <c r="P311" s="102">
        <v>43234</v>
      </c>
      <c r="Q311" s="31">
        <f t="shared" si="4"/>
        <v>0</v>
      </c>
      <c r="R311" s="53" t="str">
        <f ca="1">IF(TODAY() - BCOXT[INV DUE DATE]&lt;30, "Less than 30 days",IF(TODAY()-BCOXT[INV DUE DATE]&lt;60,"30-60 days","More than 60 days"))</f>
        <v>More than 60 days</v>
      </c>
      <c r="S311" s="4" t="s">
        <v>812</v>
      </c>
      <c r="T311" s="43" t="s">
        <v>2229</v>
      </c>
      <c r="U311" s="4" t="s">
        <v>3699</v>
      </c>
    </row>
    <row r="312" spans="1:21" x14ac:dyDescent="0.3">
      <c r="A312" s="28" t="s">
        <v>556</v>
      </c>
      <c r="B312" s="4" t="s">
        <v>35</v>
      </c>
      <c r="C312" s="4" t="s">
        <v>125</v>
      </c>
      <c r="D312" s="4">
        <v>5405</v>
      </c>
      <c r="E312" s="30">
        <v>270</v>
      </c>
      <c r="G312" s="4">
        <v>4300021652</v>
      </c>
      <c r="J312" s="28" t="s">
        <v>701</v>
      </c>
      <c r="K312" s="28" t="s">
        <v>3</v>
      </c>
      <c r="L312" s="32">
        <v>43191</v>
      </c>
      <c r="M312" s="32">
        <f>BCOXT[[#This Row],[INV DOC DATE]]+30</f>
        <v>43221</v>
      </c>
      <c r="N312" s="32">
        <v>43220</v>
      </c>
      <c r="O312" s="31">
        <v>270</v>
      </c>
      <c r="P312" s="102">
        <v>43234</v>
      </c>
      <c r="Q312" s="31">
        <f t="shared" si="4"/>
        <v>0</v>
      </c>
      <c r="R312" s="53" t="str">
        <f ca="1">IF(TODAY() - BCOXT[INV DUE DATE]&lt;30, "Less than 30 days",IF(TODAY()-BCOXT[INV DUE DATE]&lt;60,"30-60 days","More than 60 days"))</f>
        <v>More than 60 days</v>
      </c>
      <c r="S312" s="4" t="s">
        <v>812</v>
      </c>
      <c r="T312" s="43" t="s">
        <v>2229</v>
      </c>
      <c r="U312" s="4" t="s">
        <v>3699</v>
      </c>
    </row>
    <row r="313" spans="1:21" x14ac:dyDescent="0.3">
      <c r="A313" s="28" t="s">
        <v>556</v>
      </c>
      <c r="B313" s="4" t="s">
        <v>35</v>
      </c>
      <c r="C313" s="4" t="s">
        <v>126</v>
      </c>
      <c r="D313" s="4">
        <v>5405</v>
      </c>
      <c r="E313" s="30">
        <v>270</v>
      </c>
      <c r="G313" s="4">
        <v>4300021652</v>
      </c>
      <c r="J313" s="28" t="s">
        <v>702</v>
      </c>
      <c r="K313" s="28" t="s">
        <v>3</v>
      </c>
      <c r="L313" s="32">
        <v>43191</v>
      </c>
      <c r="M313" s="32">
        <f>BCOXT[[#This Row],[INV DOC DATE]]+30</f>
        <v>43221</v>
      </c>
      <c r="N313" s="32">
        <v>43220</v>
      </c>
      <c r="O313" s="31">
        <v>270</v>
      </c>
      <c r="P313" s="102">
        <v>43234</v>
      </c>
      <c r="Q313" s="31">
        <f t="shared" si="4"/>
        <v>0</v>
      </c>
      <c r="R313" s="53" t="str">
        <f ca="1">IF(TODAY() - BCOXT[INV DUE DATE]&lt;30, "Less than 30 days",IF(TODAY()-BCOXT[INV DUE DATE]&lt;60,"30-60 days","More than 60 days"))</f>
        <v>More than 60 days</v>
      </c>
      <c r="S313" s="4" t="s">
        <v>812</v>
      </c>
      <c r="T313" s="43" t="s">
        <v>2229</v>
      </c>
      <c r="U313" s="4" t="s">
        <v>3699</v>
      </c>
    </row>
    <row r="314" spans="1:21" x14ac:dyDescent="0.3">
      <c r="A314" s="28" t="s">
        <v>556</v>
      </c>
      <c r="B314" s="4" t="s">
        <v>35</v>
      </c>
      <c r="C314" s="4" t="s">
        <v>127</v>
      </c>
      <c r="D314" s="4">
        <v>5405</v>
      </c>
      <c r="E314" s="30">
        <v>270</v>
      </c>
      <c r="G314" s="4">
        <v>4300021652</v>
      </c>
      <c r="J314" s="28" t="s">
        <v>703</v>
      </c>
      <c r="K314" s="28" t="s">
        <v>3</v>
      </c>
      <c r="L314" s="32">
        <v>43191</v>
      </c>
      <c r="M314" s="32">
        <f>BCOXT[[#This Row],[INV DOC DATE]]+30</f>
        <v>43221</v>
      </c>
      <c r="N314" s="32">
        <v>43220</v>
      </c>
      <c r="O314" s="31">
        <v>270</v>
      </c>
      <c r="P314" s="102">
        <v>43234</v>
      </c>
      <c r="Q314" s="31">
        <f t="shared" si="4"/>
        <v>0</v>
      </c>
      <c r="R314" s="53" t="str">
        <f ca="1">IF(TODAY() - BCOXT[INV DUE DATE]&lt;30, "Less than 30 days",IF(TODAY()-BCOXT[INV DUE DATE]&lt;60,"30-60 days","More than 60 days"))</f>
        <v>More than 60 days</v>
      </c>
      <c r="S314" s="4" t="s">
        <v>812</v>
      </c>
      <c r="T314" s="43" t="s">
        <v>2229</v>
      </c>
      <c r="U314" s="4" t="s">
        <v>3699</v>
      </c>
    </row>
    <row r="315" spans="1:21" x14ac:dyDescent="0.3">
      <c r="A315" s="28" t="s">
        <v>556</v>
      </c>
      <c r="B315" s="4" t="s">
        <v>35</v>
      </c>
      <c r="C315" s="4" t="s">
        <v>128</v>
      </c>
      <c r="D315" s="4">
        <v>5405</v>
      </c>
      <c r="E315" s="30">
        <v>270</v>
      </c>
      <c r="G315" s="4">
        <v>4300021652</v>
      </c>
      <c r="J315" s="28" t="s">
        <v>704</v>
      </c>
      <c r="K315" s="28" t="s">
        <v>3</v>
      </c>
      <c r="L315" s="32">
        <v>43191</v>
      </c>
      <c r="M315" s="32">
        <f>BCOXT[[#This Row],[INV DOC DATE]]+30</f>
        <v>43221</v>
      </c>
      <c r="N315" s="32">
        <v>43220</v>
      </c>
      <c r="O315" s="31">
        <v>270</v>
      </c>
      <c r="P315" s="102">
        <v>43234</v>
      </c>
      <c r="Q315" s="31">
        <f t="shared" si="4"/>
        <v>0</v>
      </c>
      <c r="R315" s="53" t="str">
        <f ca="1">IF(TODAY() - BCOXT[INV DUE DATE]&lt;30, "Less than 30 days",IF(TODAY()-BCOXT[INV DUE DATE]&lt;60,"30-60 days","More than 60 days"))</f>
        <v>More than 60 days</v>
      </c>
      <c r="S315" s="4" t="s">
        <v>812</v>
      </c>
      <c r="T315" s="43" t="s">
        <v>2229</v>
      </c>
      <c r="U315" s="4" t="s">
        <v>3699</v>
      </c>
    </row>
    <row r="316" spans="1:21" x14ac:dyDescent="0.3">
      <c r="A316" s="28" t="s">
        <v>556</v>
      </c>
      <c r="B316" s="4" t="s">
        <v>35</v>
      </c>
      <c r="C316" s="4" t="s">
        <v>129</v>
      </c>
      <c r="D316" s="4">
        <v>5405</v>
      </c>
      <c r="E316" s="30">
        <v>270</v>
      </c>
      <c r="G316" s="4">
        <v>4300021652</v>
      </c>
      <c r="J316" s="28" t="s">
        <v>705</v>
      </c>
      <c r="K316" s="28" t="s">
        <v>3</v>
      </c>
      <c r="L316" s="32">
        <v>43191</v>
      </c>
      <c r="M316" s="32">
        <f>BCOXT[[#This Row],[INV DOC DATE]]+30</f>
        <v>43221</v>
      </c>
      <c r="N316" s="32">
        <v>43220</v>
      </c>
      <c r="O316" s="31">
        <v>270</v>
      </c>
      <c r="P316" s="102">
        <v>43234</v>
      </c>
      <c r="Q316" s="31">
        <f t="shared" si="4"/>
        <v>0</v>
      </c>
      <c r="R316" s="53" t="str">
        <f ca="1">IF(TODAY() - BCOXT[INV DUE DATE]&lt;30, "Less than 30 days",IF(TODAY()-BCOXT[INV DUE DATE]&lt;60,"30-60 days","More than 60 days"))</f>
        <v>More than 60 days</v>
      </c>
      <c r="S316" s="4" t="s">
        <v>812</v>
      </c>
      <c r="T316" s="43" t="s">
        <v>2229</v>
      </c>
      <c r="U316" s="4" t="s">
        <v>3699</v>
      </c>
    </row>
    <row r="317" spans="1:21" x14ac:dyDescent="0.3">
      <c r="A317" s="28" t="s">
        <v>556</v>
      </c>
      <c r="B317" s="4" t="s">
        <v>35</v>
      </c>
      <c r="C317" s="4" t="s">
        <v>130</v>
      </c>
      <c r="D317" s="4">
        <v>5405</v>
      </c>
      <c r="E317" s="30">
        <v>247.5</v>
      </c>
      <c r="G317" s="4">
        <v>4300021652</v>
      </c>
      <c r="J317" s="28" t="s">
        <v>706</v>
      </c>
      <c r="K317" s="28" t="s">
        <v>3</v>
      </c>
      <c r="L317" s="32">
        <v>43191</v>
      </c>
      <c r="M317" s="32">
        <f>BCOXT[[#This Row],[INV DOC DATE]]+30</f>
        <v>43221</v>
      </c>
      <c r="N317" s="32">
        <v>43220</v>
      </c>
      <c r="O317" s="31">
        <v>247.5</v>
      </c>
      <c r="P317" s="102">
        <v>43234</v>
      </c>
      <c r="Q317" s="31">
        <f t="shared" si="4"/>
        <v>0</v>
      </c>
      <c r="R317" s="53" t="str">
        <f ca="1">IF(TODAY() - BCOXT[INV DUE DATE]&lt;30, "Less than 30 days",IF(TODAY()-BCOXT[INV DUE DATE]&lt;60,"30-60 days","More than 60 days"))</f>
        <v>More than 60 days</v>
      </c>
      <c r="S317" s="4" t="s">
        <v>812</v>
      </c>
      <c r="T317" s="43" t="s">
        <v>2229</v>
      </c>
      <c r="U317" s="4" t="s">
        <v>3699</v>
      </c>
    </row>
    <row r="318" spans="1:21" x14ac:dyDescent="0.3">
      <c r="A318" s="28" t="s">
        <v>556</v>
      </c>
      <c r="B318" s="4" t="s">
        <v>35</v>
      </c>
      <c r="C318" s="4" t="s">
        <v>131</v>
      </c>
      <c r="D318" s="4">
        <v>5405</v>
      </c>
      <c r="E318" s="30">
        <v>360</v>
      </c>
      <c r="G318" s="4">
        <v>4300021652</v>
      </c>
      <c r="J318" s="28" t="s">
        <v>707</v>
      </c>
      <c r="K318" s="28" t="s">
        <v>3</v>
      </c>
      <c r="L318" s="32">
        <v>43191</v>
      </c>
      <c r="M318" s="32">
        <f>BCOXT[[#This Row],[INV DOC DATE]]+30</f>
        <v>43221</v>
      </c>
      <c r="N318" s="32">
        <v>43220</v>
      </c>
      <c r="O318" s="31">
        <v>360</v>
      </c>
      <c r="P318" s="102">
        <v>43234</v>
      </c>
      <c r="Q318" s="31">
        <f t="shared" si="4"/>
        <v>0</v>
      </c>
      <c r="R318" s="53" t="str">
        <f ca="1">IF(TODAY() - BCOXT[INV DUE DATE]&lt;30, "Less than 30 days",IF(TODAY()-BCOXT[INV DUE DATE]&lt;60,"30-60 days","More than 60 days"))</f>
        <v>More than 60 days</v>
      </c>
      <c r="S318" s="4" t="s">
        <v>812</v>
      </c>
      <c r="T318" s="43" t="s">
        <v>2229</v>
      </c>
      <c r="U318" s="4" t="s">
        <v>3699</v>
      </c>
    </row>
    <row r="319" spans="1:21" x14ac:dyDescent="0.3">
      <c r="A319" s="28" t="s">
        <v>556</v>
      </c>
      <c r="B319" s="4" t="s">
        <v>35</v>
      </c>
      <c r="C319" s="4" t="s">
        <v>132</v>
      </c>
      <c r="D319" s="4">
        <v>5405</v>
      </c>
      <c r="E319" s="30">
        <v>360</v>
      </c>
      <c r="G319" s="4">
        <v>4300021652</v>
      </c>
      <c r="J319" s="28" t="s">
        <v>708</v>
      </c>
      <c r="K319" s="28" t="s">
        <v>3</v>
      </c>
      <c r="L319" s="32">
        <v>43191</v>
      </c>
      <c r="M319" s="32">
        <f>BCOXT[[#This Row],[INV DOC DATE]]+30</f>
        <v>43221</v>
      </c>
      <c r="N319" s="32">
        <v>43220</v>
      </c>
      <c r="O319" s="31">
        <v>360</v>
      </c>
      <c r="P319" s="102">
        <v>43234</v>
      </c>
      <c r="Q319" s="31">
        <f t="shared" si="4"/>
        <v>0</v>
      </c>
      <c r="R319" s="53" t="str">
        <f ca="1">IF(TODAY() - BCOXT[INV DUE DATE]&lt;30, "Less than 30 days",IF(TODAY()-BCOXT[INV DUE DATE]&lt;60,"30-60 days","More than 60 days"))</f>
        <v>More than 60 days</v>
      </c>
      <c r="S319" s="4" t="s">
        <v>812</v>
      </c>
      <c r="T319" s="43" t="s">
        <v>2229</v>
      </c>
      <c r="U319" s="4" t="s">
        <v>3699</v>
      </c>
    </row>
    <row r="320" spans="1:21" x14ac:dyDescent="0.3">
      <c r="A320" s="28" t="s">
        <v>556</v>
      </c>
      <c r="B320" s="4" t="s">
        <v>35</v>
      </c>
      <c r="C320" s="4" t="s">
        <v>133</v>
      </c>
      <c r="D320" s="4">
        <v>5405</v>
      </c>
      <c r="E320" s="30">
        <v>360</v>
      </c>
      <c r="G320" s="4">
        <v>4300021652</v>
      </c>
      <c r="J320" s="28" t="s">
        <v>709</v>
      </c>
      <c r="K320" s="28" t="s">
        <v>3</v>
      </c>
      <c r="L320" s="32">
        <v>43191</v>
      </c>
      <c r="M320" s="32">
        <f>BCOXT[[#This Row],[INV DOC DATE]]+30</f>
        <v>43221</v>
      </c>
      <c r="N320" s="32">
        <v>43220</v>
      </c>
      <c r="O320" s="31">
        <v>360</v>
      </c>
      <c r="P320" s="102">
        <v>43234</v>
      </c>
      <c r="Q320" s="31">
        <f t="shared" si="4"/>
        <v>0</v>
      </c>
      <c r="R320" s="53" t="str">
        <f ca="1">IF(TODAY() - BCOXT[INV DUE DATE]&lt;30, "Less than 30 days",IF(TODAY()-BCOXT[INV DUE DATE]&lt;60,"30-60 days","More than 60 days"))</f>
        <v>More than 60 days</v>
      </c>
      <c r="S320" s="4" t="s">
        <v>812</v>
      </c>
      <c r="T320" s="43" t="s">
        <v>2229</v>
      </c>
      <c r="U320" s="4" t="s">
        <v>3699</v>
      </c>
    </row>
    <row r="321" spans="1:21" x14ac:dyDescent="0.3">
      <c r="A321" s="28" t="s">
        <v>556</v>
      </c>
      <c r="B321" s="4" t="s">
        <v>35</v>
      </c>
      <c r="C321" s="4" t="s">
        <v>134</v>
      </c>
      <c r="D321" s="4">
        <v>5405</v>
      </c>
      <c r="E321" s="30">
        <v>255</v>
      </c>
      <c r="G321" s="4">
        <v>4300021652</v>
      </c>
      <c r="J321" s="28" t="s">
        <v>710</v>
      </c>
      <c r="K321" s="28" t="s">
        <v>3</v>
      </c>
      <c r="L321" s="32">
        <v>43191</v>
      </c>
      <c r="M321" s="32">
        <f>BCOXT[[#This Row],[INV DOC DATE]]+30</f>
        <v>43221</v>
      </c>
      <c r="N321" s="32">
        <v>43220</v>
      </c>
      <c r="O321" s="31">
        <v>255</v>
      </c>
      <c r="P321" s="102">
        <v>43234</v>
      </c>
      <c r="Q321" s="31">
        <f t="shared" si="4"/>
        <v>0</v>
      </c>
      <c r="R321" s="53" t="str">
        <f ca="1">IF(TODAY() - BCOXT[INV DUE DATE]&lt;30, "Less than 30 days",IF(TODAY()-BCOXT[INV DUE DATE]&lt;60,"30-60 days","More than 60 days"))</f>
        <v>More than 60 days</v>
      </c>
      <c r="S321" s="4" t="s">
        <v>812</v>
      </c>
      <c r="T321" s="43" t="s">
        <v>2229</v>
      </c>
      <c r="U321" s="4" t="s">
        <v>3699</v>
      </c>
    </row>
    <row r="322" spans="1:21" x14ac:dyDescent="0.3">
      <c r="A322" s="28" t="s">
        <v>556</v>
      </c>
      <c r="B322" s="4" t="s">
        <v>35</v>
      </c>
      <c r="C322" s="4" t="s">
        <v>135</v>
      </c>
      <c r="D322" s="4">
        <v>5405</v>
      </c>
      <c r="E322" s="30">
        <v>255</v>
      </c>
      <c r="G322" s="4">
        <v>4300021652</v>
      </c>
      <c r="J322" s="28" t="s">
        <v>711</v>
      </c>
      <c r="K322" s="28" t="s">
        <v>3</v>
      </c>
      <c r="L322" s="32">
        <v>43191</v>
      </c>
      <c r="M322" s="32">
        <f>BCOXT[[#This Row],[INV DOC DATE]]+30</f>
        <v>43221</v>
      </c>
      <c r="N322" s="32">
        <v>43220</v>
      </c>
      <c r="O322" s="31">
        <v>255</v>
      </c>
      <c r="P322" s="102">
        <v>43234</v>
      </c>
      <c r="Q322" s="31">
        <f t="shared" ref="Q322:Q385" si="5">$E322-$O322</f>
        <v>0</v>
      </c>
      <c r="R322" s="53" t="str">
        <f ca="1">IF(TODAY() - BCOXT[INV DUE DATE]&lt;30, "Less than 30 days",IF(TODAY()-BCOXT[INV DUE DATE]&lt;60,"30-60 days","More than 60 days"))</f>
        <v>More than 60 days</v>
      </c>
      <c r="S322" s="4" t="s">
        <v>812</v>
      </c>
      <c r="T322" s="43" t="s">
        <v>2229</v>
      </c>
      <c r="U322" s="4" t="s">
        <v>3699</v>
      </c>
    </row>
    <row r="323" spans="1:21" x14ac:dyDescent="0.3">
      <c r="A323" s="28" t="s">
        <v>556</v>
      </c>
      <c r="B323" s="4" t="s">
        <v>35</v>
      </c>
      <c r="C323" s="4" t="s">
        <v>136</v>
      </c>
      <c r="D323" s="4">
        <v>5405</v>
      </c>
      <c r="E323" s="30">
        <v>255</v>
      </c>
      <c r="G323" s="4">
        <v>4300021652</v>
      </c>
      <c r="J323" s="28" t="s">
        <v>712</v>
      </c>
      <c r="K323" s="28" t="s">
        <v>3</v>
      </c>
      <c r="L323" s="32">
        <v>43191</v>
      </c>
      <c r="M323" s="32">
        <f>BCOXT[[#This Row],[INV DOC DATE]]+30</f>
        <v>43221</v>
      </c>
      <c r="N323" s="32">
        <v>43220</v>
      </c>
      <c r="O323" s="31">
        <v>255</v>
      </c>
      <c r="P323" s="102">
        <v>43234</v>
      </c>
      <c r="Q323" s="31">
        <f t="shared" si="5"/>
        <v>0</v>
      </c>
      <c r="R323" s="53" t="str">
        <f ca="1">IF(TODAY() - BCOXT[INV DUE DATE]&lt;30, "Less than 30 days",IF(TODAY()-BCOXT[INV DUE DATE]&lt;60,"30-60 days","More than 60 days"))</f>
        <v>More than 60 days</v>
      </c>
      <c r="S323" s="4" t="s">
        <v>812</v>
      </c>
      <c r="T323" s="43" t="s">
        <v>2229</v>
      </c>
      <c r="U323" s="4" t="s">
        <v>3699</v>
      </c>
    </row>
    <row r="324" spans="1:21" x14ac:dyDescent="0.3">
      <c r="A324" s="28" t="s">
        <v>556</v>
      </c>
      <c r="B324" s="4" t="s">
        <v>35</v>
      </c>
      <c r="C324" s="4" t="s">
        <v>137</v>
      </c>
      <c r="D324" s="4">
        <v>5405</v>
      </c>
      <c r="E324" s="30">
        <v>255</v>
      </c>
      <c r="G324" s="4">
        <v>4300021652</v>
      </c>
      <c r="J324" s="28" t="s">
        <v>713</v>
      </c>
      <c r="K324" s="28" t="s">
        <v>3</v>
      </c>
      <c r="L324" s="32">
        <v>43191</v>
      </c>
      <c r="M324" s="32">
        <f>BCOXT[[#This Row],[INV DOC DATE]]+30</f>
        <v>43221</v>
      </c>
      <c r="N324" s="32">
        <v>43220</v>
      </c>
      <c r="O324" s="31">
        <v>255</v>
      </c>
      <c r="P324" s="102">
        <v>43234</v>
      </c>
      <c r="Q324" s="31">
        <f t="shared" si="5"/>
        <v>0</v>
      </c>
      <c r="R324" s="53" t="str">
        <f ca="1">IF(TODAY() - BCOXT[INV DUE DATE]&lt;30, "Less than 30 days",IF(TODAY()-BCOXT[INV DUE DATE]&lt;60,"30-60 days","More than 60 days"))</f>
        <v>More than 60 days</v>
      </c>
      <c r="S324" s="4" t="s">
        <v>812</v>
      </c>
      <c r="T324" s="43" t="s">
        <v>2229</v>
      </c>
      <c r="U324" s="4" t="s">
        <v>3699</v>
      </c>
    </row>
    <row r="325" spans="1:21" x14ac:dyDescent="0.3">
      <c r="A325" s="28" t="s">
        <v>556</v>
      </c>
      <c r="B325" s="4" t="s">
        <v>35</v>
      </c>
      <c r="C325" s="4" t="s">
        <v>138</v>
      </c>
      <c r="D325" s="4">
        <v>5405</v>
      </c>
      <c r="E325" s="30">
        <v>255</v>
      </c>
      <c r="G325" s="4">
        <v>4300021652</v>
      </c>
      <c r="J325" s="28" t="s">
        <v>714</v>
      </c>
      <c r="K325" s="28" t="s">
        <v>3</v>
      </c>
      <c r="L325" s="32">
        <v>43191</v>
      </c>
      <c r="M325" s="32">
        <f>BCOXT[[#This Row],[INV DOC DATE]]+30</f>
        <v>43221</v>
      </c>
      <c r="N325" s="32">
        <v>43220</v>
      </c>
      <c r="O325" s="31">
        <v>255</v>
      </c>
      <c r="P325" s="102">
        <v>43234</v>
      </c>
      <c r="Q325" s="31">
        <f t="shared" si="5"/>
        <v>0</v>
      </c>
      <c r="R325" s="53" t="str">
        <f ca="1">IF(TODAY() - BCOXT[INV DUE DATE]&lt;30, "Less than 30 days",IF(TODAY()-BCOXT[INV DUE DATE]&lt;60,"30-60 days","More than 60 days"))</f>
        <v>More than 60 days</v>
      </c>
      <c r="S325" s="4" t="s">
        <v>812</v>
      </c>
      <c r="T325" s="43" t="s">
        <v>2229</v>
      </c>
      <c r="U325" s="4" t="s">
        <v>3699</v>
      </c>
    </row>
    <row r="326" spans="1:21" x14ac:dyDescent="0.3">
      <c r="A326" s="28" t="s">
        <v>556</v>
      </c>
      <c r="B326" s="4" t="s">
        <v>35</v>
      </c>
      <c r="C326" s="4" t="s">
        <v>139</v>
      </c>
      <c r="D326" s="4">
        <v>5405</v>
      </c>
      <c r="E326" s="30">
        <v>255</v>
      </c>
      <c r="G326" s="4">
        <v>4300021652</v>
      </c>
      <c r="J326" s="28" t="s">
        <v>715</v>
      </c>
      <c r="K326" s="28" t="s">
        <v>3</v>
      </c>
      <c r="L326" s="32">
        <v>43191</v>
      </c>
      <c r="M326" s="32">
        <f>BCOXT[[#This Row],[INV DOC DATE]]+30</f>
        <v>43221</v>
      </c>
      <c r="N326" s="32">
        <v>43220</v>
      </c>
      <c r="O326" s="31">
        <v>255</v>
      </c>
      <c r="P326" s="102">
        <v>43234</v>
      </c>
      <c r="Q326" s="31">
        <f t="shared" si="5"/>
        <v>0</v>
      </c>
      <c r="R326" s="53" t="str">
        <f ca="1">IF(TODAY() - BCOXT[INV DUE DATE]&lt;30, "Less than 30 days",IF(TODAY()-BCOXT[INV DUE DATE]&lt;60,"30-60 days","More than 60 days"))</f>
        <v>More than 60 days</v>
      </c>
      <c r="S326" s="4" t="s">
        <v>812</v>
      </c>
      <c r="T326" s="43" t="s">
        <v>2229</v>
      </c>
      <c r="U326" s="4" t="s">
        <v>3699</v>
      </c>
    </row>
    <row r="327" spans="1:21" x14ac:dyDescent="0.3">
      <c r="A327" s="28" t="s">
        <v>556</v>
      </c>
      <c r="B327" s="4" t="s">
        <v>35</v>
      </c>
      <c r="C327" s="4" t="s">
        <v>140</v>
      </c>
      <c r="D327" s="4">
        <v>5405</v>
      </c>
      <c r="E327" s="30">
        <v>255</v>
      </c>
      <c r="G327" s="4">
        <v>4300021652</v>
      </c>
      <c r="J327" s="28" t="s">
        <v>716</v>
      </c>
      <c r="K327" s="28" t="s">
        <v>3</v>
      </c>
      <c r="L327" s="32">
        <v>43191</v>
      </c>
      <c r="M327" s="32">
        <f>BCOXT[[#This Row],[INV DOC DATE]]+30</f>
        <v>43221</v>
      </c>
      <c r="N327" s="32">
        <v>43220</v>
      </c>
      <c r="O327" s="31">
        <v>255</v>
      </c>
      <c r="P327" s="102">
        <v>43234</v>
      </c>
      <c r="Q327" s="31">
        <f t="shared" si="5"/>
        <v>0</v>
      </c>
      <c r="R327" s="53" t="str">
        <f ca="1">IF(TODAY() - BCOXT[INV DUE DATE]&lt;30, "Less than 30 days",IF(TODAY()-BCOXT[INV DUE DATE]&lt;60,"30-60 days","More than 60 days"))</f>
        <v>More than 60 days</v>
      </c>
      <c r="S327" s="4" t="s">
        <v>812</v>
      </c>
      <c r="T327" s="43" t="s">
        <v>2229</v>
      </c>
      <c r="U327" s="4" t="s">
        <v>3699</v>
      </c>
    </row>
    <row r="328" spans="1:21" x14ac:dyDescent="0.3">
      <c r="A328" s="28" t="s">
        <v>556</v>
      </c>
      <c r="B328" s="4" t="s">
        <v>35</v>
      </c>
      <c r="C328" s="4" t="s">
        <v>141</v>
      </c>
      <c r="D328" s="4">
        <v>5405</v>
      </c>
      <c r="E328" s="30">
        <v>255</v>
      </c>
      <c r="G328" s="4">
        <v>4300021652</v>
      </c>
      <c r="J328" s="28" t="s">
        <v>717</v>
      </c>
      <c r="K328" s="28" t="s">
        <v>3</v>
      </c>
      <c r="L328" s="32">
        <v>43191</v>
      </c>
      <c r="M328" s="32">
        <f>BCOXT[[#This Row],[INV DOC DATE]]+30</f>
        <v>43221</v>
      </c>
      <c r="N328" s="32">
        <v>43220</v>
      </c>
      <c r="O328" s="31">
        <v>255</v>
      </c>
      <c r="P328" s="102">
        <v>43234</v>
      </c>
      <c r="Q328" s="31">
        <f t="shared" si="5"/>
        <v>0</v>
      </c>
      <c r="R328" s="53" t="str">
        <f ca="1">IF(TODAY() - BCOXT[INV DUE DATE]&lt;30, "Less than 30 days",IF(TODAY()-BCOXT[INV DUE DATE]&lt;60,"30-60 days","More than 60 days"))</f>
        <v>More than 60 days</v>
      </c>
      <c r="S328" s="4" t="s">
        <v>812</v>
      </c>
      <c r="T328" s="43" t="s">
        <v>2229</v>
      </c>
      <c r="U328" s="4" t="s">
        <v>3699</v>
      </c>
    </row>
    <row r="329" spans="1:21" x14ac:dyDescent="0.3">
      <c r="A329" s="28" t="s">
        <v>556</v>
      </c>
      <c r="B329" s="4" t="s">
        <v>35</v>
      </c>
      <c r="C329" s="4" t="s">
        <v>142</v>
      </c>
      <c r="D329" s="4">
        <v>5405</v>
      </c>
      <c r="E329" s="30">
        <v>255</v>
      </c>
      <c r="G329" s="4">
        <v>4300021652</v>
      </c>
      <c r="J329" s="28" t="s">
        <v>718</v>
      </c>
      <c r="K329" s="28" t="s">
        <v>3</v>
      </c>
      <c r="L329" s="32">
        <v>43191</v>
      </c>
      <c r="M329" s="32">
        <f>BCOXT[[#This Row],[INV DOC DATE]]+30</f>
        <v>43221</v>
      </c>
      <c r="N329" s="32">
        <v>43220</v>
      </c>
      <c r="O329" s="31">
        <v>255</v>
      </c>
      <c r="P329" s="102">
        <v>43234</v>
      </c>
      <c r="Q329" s="31">
        <f t="shared" si="5"/>
        <v>0</v>
      </c>
      <c r="R329" s="53" t="str">
        <f ca="1">IF(TODAY() - BCOXT[INV DUE DATE]&lt;30, "Less than 30 days",IF(TODAY()-BCOXT[INV DUE DATE]&lt;60,"30-60 days","More than 60 days"))</f>
        <v>More than 60 days</v>
      </c>
      <c r="S329" s="4" t="s">
        <v>812</v>
      </c>
      <c r="T329" s="43" t="s">
        <v>2229</v>
      </c>
      <c r="U329" s="4" t="s">
        <v>3699</v>
      </c>
    </row>
    <row r="330" spans="1:21" x14ac:dyDescent="0.3">
      <c r="A330" s="28" t="s">
        <v>556</v>
      </c>
      <c r="B330" s="4" t="s">
        <v>35</v>
      </c>
      <c r="C330" s="4" t="s">
        <v>143</v>
      </c>
      <c r="D330" s="4">
        <v>5405</v>
      </c>
      <c r="E330" s="30">
        <v>255</v>
      </c>
      <c r="G330" s="4">
        <v>4300021652</v>
      </c>
      <c r="J330" s="28" t="s">
        <v>719</v>
      </c>
      <c r="K330" s="28" t="s">
        <v>3</v>
      </c>
      <c r="L330" s="32">
        <v>43191</v>
      </c>
      <c r="M330" s="32">
        <f>BCOXT[[#This Row],[INV DOC DATE]]+30</f>
        <v>43221</v>
      </c>
      <c r="N330" s="32">
        <v>43220</v>
      </c>
      <c r="O330" s="31">
        <v>255</v>
      </c>
      <c r="P330" s="102">
        <v>43234</v>
      </c>
      <c r="Q330" s="31">
        <f t="shared" si="5"/>
        <v>0</v>
      </c>
      <c r="R330" s="53" t="str">
        <f ca="1">IF(TODAY() - BCOXT[INV DUE DATE]&lt;30, "Less than 30 days",IF(TODAY()-BCOXT[INV DUE DATE]&lt;60,"30-60 days","More than 60 days"))</f>
        <v>More than 60 days</v>
      </c>
      <c r="S330" s="4" t="s">
        <v>812</v>
      </c>
      <c r="T330" s="43" t="s">
        <v>2229</v>
      </c>
      <c r="U330" s="4" t="s">
        <v>3699</v>
      </c>
    </row>
    <row r="331" spans="1:21" x14ac:dyDescent="0.3">
      <c r="A331" s="28" t="s">
        <v>556</v>
      </c>
      <c r="B331" s="4" t="s">
        <v>35</v>
      </c>
      <c r="C331" s="4" t="s">
        <v>144</v>
      </c>
      <c r="D331" s="4">
        <v>5405</v>
      </c>
      <c r="E331" s="30">
        <v>270</v>
      </c>
      <c r="G331" s="4">
        <v>4300021652</v>
      </c>
      <c r="J331" s="28" t="s">
        <v>720</v>
      </c>
      <c r="K331" s="28" t="s">
        <v>3</v>
      </c>
      <c r="L331" s="32">
        <v>43191</v>
      </c>
      <c r="M331" s="32">
        <f>BCOXT[[#This Row],[INV DOC DATE]]+30</f>
        <v>43221</v>
      </c>
      <c r="N331" s="32">
        <v>43220</v>
      </c>
      <c r="O331" s="31">
        <v>270</v>
      </c>
      <c r="P331" s="102">
        <v>43234</v>
      </c>
      <c r="Q331" s="31">
        <f t="shared" si="5"/>
        <v>0</v>
      </c>
      <c r="R331" s="53" t="str">
        <f ca="1">IF(TODAY() - BCOXT[INV DUE DATE]&lt;30, "Less than 30 days",IF(TODAY()-BCOXT[INV DUE DATE]&lt;60,"30-60 days","More than 60 days"))</f>
        <v>More than 60 days</v>
      </c>
      <c r="S331" s="4" t="s">
        <v>812</v>
      </c>
      <c r="T331" s="43" t="s">
        <v>2229</v>
      </c>
      <c r="U331" s="4" t="s">
        <v>3699</v>
      </c>
    </row>
    <row r="332" spans="1:21" x14ac:dyDescent="0.3">
      <c r="A332" s="28" t="s">
        <v>556</v>
      </c>
      <c r="B332" s="4" t="s">
        <v>35</v>
      </c>
      <c r="C332" s="4" t="s">
        <v>145</v>
      </c>
      <c r="D332" s="4">
        <v>5405</v>
      </c>
      <c r="E332" s="30">
        <v>255</v>
      </c>
      <c r="G332" s="4">
        <v>4300021652</v>
      </c>
      <c r="J332" s="28" t="s">
        <v>721</v>
      </c>
      <c r="K332" s="28" t="s">
        <v>3</v>
      </c>
      <c r="L332" s="32">
        <v>43191</v>
      </c>
      <c r="M332" s="32">
        <f>BCOXT[[#This Row],[INV DOC DATE]]+30</f>
        <v>43221</v>
      </c>
      <c r="N332" s="32">
        <v>43220</v>
      </c>
      <c r="O332" s="31">
        <v>255</v>
      </c>
      <c r="P332" s="102">
        <v>43234</v>
      </c>
      <c r="Q332" s="31">
        <f t="shared" si="5"/>
        <v>0</v>
      </c>
      <c r="R332" s="53" t="str">
        <f ca="1">IF(TODAY() - BCOXT[INV DUE DATE]&lt;30, "Less than 30 days",IF(TODAY()-BCOXT[INV DUE DATE]&lt;60,"30-60 days","More than 60 days"))</f>
        <v>More than 60 days</v>
      </c>
      <c r="S332" s="4" t="s">
        <v>812</v>
      </c>
      <c r="T332" s="43" t="s">
        <v>2229</v>
      </c>
      <c r="U332" s="4" t="s">
        <v>3699</v>
      </c>
    </row>
    <row r="333" spans="1:21" x14ac:dyDescent="0.3">
      <c r="A333" s="28" t="s">
        <v>556</v>
      </c>
      <c r="B333" s="4" t="s">
        <v>35</v>
      </c>
      <c r="C333" s="4" t="s">
        <v>146</v>
      </c>
      <c r="D333" s="4">
        <v>5405</v>
      </c>
      <c r="E333" s="30">
        <v>255</v>
      </c>
      <c r="G333" s="4">
        <v>4300021652</v>
      </c>
      <c r="J333" s="28" t="s">
        <v>722</v>
      </c>
      <c r="K333" s="28" t="s">
        <v>3</v>
      </c>
      <c r="L333" s="32">
        <v>43191</v>
      </c>
      <c r="M333" s="32">
        <f>BCOXT[[#This Row],[INV DOC DATE]]+30</f>
        <v>43221</v>
      </c>
      <c r="N333" s="32">
        <v>43220</v>
      </c>
      <c r="O333" s="31">
        <v>255</v>
      </c>
      <c r="P333" s="102">
        <v>43234</v>
      </c>
      <c r="Q333" s="31">
        <f t="shared" si="5"/>
        <v>0</v>
      </c>
      <c r="R333" s="53" t="str">
        <f ca="1">IF(TODAY() - BCOXT[INV DUE DATE]&lt;30, "Less than 30 days",IF(TODAY()-BCOXT[INV DUE DATE]&lt;60,"30-60 days","More than 60 days"))</f>
        <v>More than 60 days</v>
      </c>
      <c r="S333" s="4" t="s">
        <v>812</v>
      </c>
      <c r="T333" s="43" t="s">
        <v>2229</v>
      </c>
      <c r="U333" s="4" t="s">
        <v>3699</v>
      </c>
    </row>
    <row r="334" spans="1:21" x14ac:dyDescent="0.3">
      <c r="A334" s="28" t="s">
        <v>556</v>
      </c>
      <c r="B334" s="4" t="s">
        <v>35</v>
      </c>
      <c r="C334" s="4" t="s">
        <v>147</v>
      </c>
      <c r="D334" s="4">
        <v>5405</v>
      </c>
      <c r="E334" s="30">
        <v>255</v>
      </c>
      <c r="G334" s="4">
        <v>4300021652</v>
      </c>
      <c r="J334" s="28" t="s">
        <v>723</v>
      </c>
      <c r="K334" s="28" t="s">
        <v>3</v>
      </c>
      <c r="L334" s="32">
        <v>43191</v>
      </c>
      <c r="M334" s="32">
        <f>BCOXT[[#This Row],[INV DOC DATE]]+30</f>
        <v>43221</v>
      </c>
      <c r="N334" s="32">
        <v>43220</v>
      </c>
      <c r="O334" s="31">
        <v>255</v>
      </c>
      <c r="P334" s="102">
        <v>43234</v>
      </c>
      <c r="Q334" s="31">
        <f t="shared" si="5"/>
        <v>0</v>
      </c>
      <c r="R334" s="53" t="str">
        <f ca="1">IF(TODAY() - BCOXT[INV DUE DATE]&lt;30, "Less than 30 days",IF(TODAY()-BCOXT[INV DUE DATE]&lt;60,"30-60 days","More than 60 days"))</f>
        <v>More than 60 days</v>
      </c>
      <c r="S334" s="4" t="s">
        <v>812</v>
      </c>
      <c r="T334" s="43" t="s">
        <v>2229</v>
      </c>
      <c r="U334" s="4" t="s">
        <v>3699</v>
      </c>
    </row>
    <row r="335" spans="1:21" x14ac:dyDescent="0.3">
      <c r="A335" s="28" t="s">
        <v>556</v>
      </c>
      <c r="B335" s="4" t="s">
        <v>35</v>
      </c>
      <c r="C335" s="4" t="s">
        <v>148</v>
      </c>
      <c r="D335" s="4">
        <v>5405</v>
      </c>
      <c r="E335" s="30">
        <v>255</v>
      </c>
      <c r="G335" s="4">
        <v>4300021652</v>
      </c>
      <c r="J335" s="28" t="s">
        <v>724</v>
      </c>
      <c r="K335" s="28" t="s">
        <v>3</v>
      </c>
      <c r="L335" s="32">
        <v>43191</v>
      </c>
      <c r="M335" s="32">
        <f>BCOXT[[#This Row],[INV DOC DATE]]+30</f>
        <v>43221</v>
      </c>
      <c r="N335" s="32">
        <v>43220</v>
      </c>
      <c r="O335" s="31">
        <v>255</v>
      </c>
      <c r="P335" s="102">
        <v>43234</v>
      </c>
      <c r="Q335" s="31">
        <f t="shared" si="5"/>
        <v>0</v>
      </c>
      <c r="R335" s="53" t="str">
        <f ca="1">IF(TODAY() - BCOXT[INV DUE DATE]&lt;30, "Less than 30 days",IF(TODAY()-BCOXT[INV DUE DATE]&lt;60,"30-60 days","More than 60 days"))</f>
        <v>More than 60 days</v>
      </c>
      <c r="S335" s="4" t="s">
        <v>812</v>
      </c>
      <c r="T335" s="43" t="s">
        <v>2229</v>
      </c>
      <c r="U335" s="4" t="s">
        <v>3699</v>
      </c>
    </row>
    <row r="336" spans="1:21" x14ac:dyDescent="0.3">
      <c r="A336" s="28" t="s">
        <v>556</v>
      </c>
      <c r="B336" s="4" t="s">
        <v>35</v>
      </c>
      <c r="C336" s="4" t="s">
        <v>149</v>
      </c>
      <c r="D336" s="4">
        <v>5405</v>
      </c>
      <c r="E336" s="30">
        <v>255</v>
      </c>
      <c r="G336" s="4">
        <v>4300021652</v>
      </c>
      <c r="J336" s="28" t="s">
        <v>725</v>
      </c>
      <c r="K336" s="28" t="s">
        <v>3</v>
      </c>
      <c r="L336" s="32">
        <v>43191</v>
      </c>
      <c r="M336" s="32">
        <f>BCOXT[[#This Row],[INV DOC DATE]]+30</f>
        <v>43221</v>
      </c>
      <c r="N336" s="32">
        <v>43220</v>
      </c>
      <c r="O336" s="31">
        <v>255</v>
      </c>
      <c r="P336" s="102">
        <v>43234</v>
      </c>
      <c r="Q336" s="31">
        <f t="shared" si="5"/>
        <v>0</v>
      </c>
      <c r="R336" s="53" t="str">
        <f ca="1">IF(TODAY() - BCOXT[INV DUE DATE]&lt;30, "Less than 30 days",IF(TODAY()-BCOXT[INV DUE DATE]&lt;60,"30-60 days","More than 60 days"))</f>
        <v>More than 60 days</v>
      </c>
      <c r="S336" s="4" t="s">
        <v>812</v>
      </c>
      <c r="T336" s="43" t="s">
        <v>2229</v>
      </c>
      <c r="U336" s="4" t="s">
        <v>3699</v>
      </c>
    </row>
    <row r="337" spans="1:21" x14ac:dyDescent="0.3">
      <c r="A337" s="28" t="s">
        <v>556</v>
      </c>
      <c r="B337" s="4" t="s">
        <v>35</v>
      </c>
      <c r="C337" s="4" t="s">
        <v>150</v>
      </c>
      <c r="D337" s="4">
        <v>5405</v>
      </c>
      <c r="E337" s="30">
        <v>255</v>
      </c>
      <c r="G337" s="4">
        <v>4300021652</v>
      </c>
      <c r="J337" s="28" t="s">
        <v>726</v>
      </c>
      <c r="K337" s="28" t="s">
        <v>3</v>
      </c>
      <c r="L337" s="32">
        <v>43191</v>
      </c>
      <c r="M337" s="32">
        <f>BCOXT[[#This Row],[INV DOC DATE]]+30</f>
        <v>43221</v>
      </c>
      <c r="N337" s="32">
        <v>43220</v>
      </c>
      <c r="O337" s="31">
        <v>255</v>
      </c>
      <c r="P337" s="102">
        <v>43234</v>
      </c>
      <c r="Q337" s="31">
        <f t="shared" si="5"/>
        <v>0</v>
      </c>
      <c r="R337" s="53" t="str">
        <f ca="1">IF(TODAY() - BCOXT[INV DUE DATE]&lt;30, "Less than 30 days",IF(TODAY()-BCOXT[INV DUE DATE]&lt;60,"30-60 days","More than 60 days"))</f>
        <v>More than 60 days</v>
      </c>
      <c r="S337" s="4" t="s">
        <v>812</v>
      </c>
      <c r="T337" s="43" t="s">
        <v>2229</v>
      </c>
      <c r="U337" s="4" t="s">
        <v>3699</v>
      </c>
    </row>
    <row r="338" spans="1:21" x14ac:dyDescent="0.3">
      <c r="A338" s="28" t="s">
        <v>556</v>
      </c>
      <c r="B338" s="4" t="s">
        <v>35</v>
      </c>
      <c r="C338" s="4" t="s">
        <v>151</v>
      </c>
      <c r="D338" s="4">
        <v>5405</v>
      </c>
      <c r="E338" s="30">
        <v>360</v>
      </c>
      <c r="G338" s="4">
        <v>4300021652</v>
      </c>
      <c r="J338" s="28" t="s">
        <v>727</v>
      </c>
      <c r="K338" s="28" t="s">
        <v>3</v>
      </c>
      <c r="L338" s="32">
        <v>43191</v>
      </c>
      <c r="M338" s="32">
        <f>BCOXT[[#This Row],[INV DOC DATE]]+30</f>
        <v>43221</v>
      </c>
      <c r="N338" s="32">
        <v>43220</v>
      </c>
      <c r="O338" s="31">
        <v>360</v>
      </c>
      <c r="P338" s="102">
        <v>43234</v>
      </c>
      <c r="Q338" s="31">
        <f t="shared" si="5"/>
        <v>0</v>
      </c>
      <c r="R338" s="53" t="str">
        <f ca="1">IF(TODAY() - BCOXT[INV DUE DATE]&lt;30, "Less than 30 days",IF(TODAY()-BCOXT[INV DUE DATE]&lt;60,"30-60 days","More than 60 days"))</f>
        <v>More than 60 days</v>
      </c>
      <c r="S338" s="4" t="s">
        <v>812</v>
      </c>
      <c r="T338" s="43" t="s">
        <v>2229</v>
      </c>
      <c r="U338" s="4" t="s">
        <v>3699</v>
      </c>
    </row>
    <row r="339" spans="1:21" x14ac:dyDescent="0.3">
      <c r="A339" s="28" t="s">
        <v>556</v>
      </c>
      <c r="B339" s="4" t="s">
        <v>35</v>
      </c>
      <c r="C339" s="4" t="s">
        <v>152</v>
      </c>
      <c r="D339" s="4">
        <v>5405</v>
      </c>
      <c r="E339" s="30">
        <v>360</v>
      </c>
      <c r="G339" s="4">
        <v>4300021652</v>
      </c>
      <c r="J339" s="28" t="s">
        <v>728</v>
      </c>
      <c r="K339" s="28" t="s">
        <v>3</v>
      </c>
      <c r="L339" s="32">
        <v>43191</v>
      </c>
      <c r="M339" s="32">
        <f>BCOXT[[#This Row],[INV DOC DATE]]+30</f>
        <v>43221</v>
      </c>
      <c r="N339" s="32">
        <v>43220</v>
      </c>
      <c r="O339" s="31">
        <v>360</v>
      </c>
      <c r="P339" s="102">
        <v>43234</v>
      </c>
      <c r="Q339" s="31">
        <f t="shared" si="5"/>
        <v>0</v>
      </c>
      <c r="R339" s="53" t="str">
        <f ca="1">IF(TODAY() - BCOXT[INV DUE DATE]&lt;30, "Less than 30 days",IF(TODAY()-BCOXT[INV DUE DATE]&lt;60,"30-60 days","More than 60 days"))</f>
        <v>More than 60 days</v>
      </c>
      <c r="S339" s="4" t="s">
        <v>812</v>
      </c>
      <c r="T339" s="43" t="s">
        <v>2229</v>
      </c>
      <c r="U339" s="4" t="s">
        <v>3699</v>
      </c>
    </row>
    <row r="340" spans="1:21" x14ac:dyDescent="0.3">
      <c r="A340" s="28" t="s">
        <v>556</v>
      </c>
      <c r="B340" s="4" t="s">
        <v>35</v>
      </c>
      <c r="C340" s="4" t="s">
        <v>296</v>
      </c>
      <c r="D340" s="4">
        <v>5405</v>
      </c>
      <c r="E340" s="30">
        <v>360</v>
      </c>
      <c r="G340" s="4">
        <v>4300021652</v>
      </c>
      <c r="J340" s="28" t="s">
        <v>729</v>
      </c>
      <c r="K340" s="28" t="s">
        <v>3</v>
      </c>
      <c r="L340" s="32">
        <v>43191</v>
      </c>
      <c r="M340" s="32">
        <f>BCOXT[[#This Row],[INV DOC DATE]]+30</f>
        <v>43221</v>
      </c>
      <c r="N340" s="32">
        <v>43220</v>
      </c>
      <c r="O340" s="31">
        <v>360</v>
      </c>
      <c r="P340" s="102">
        <v>43234</v>
      </c>
      <c r="Q340" s="31">
        <f t="shared" si="5"/>
        <v>0</v>
      </c>
      <c r="R340" s="53" t="str">
        <f ca="1">IF(TODAY() - BCOXT[INV DUE DATE]&lt;30, "Less than 30 days",IF(TODAY()-BCOXT[INV DUE DATE]&lt;60,"30-60 days","More than 60 days"))</f>
        <v>More than 60 days</v>
      </c>
      <c r="S340" s="4" t="s">
        <v>812</v>
      </c>
      <c r="T340" s="43" t="s">
        <v>2229</v>
      </c>
      <c r="U340" s="4" t="s">
        <v>3699</v>
      </c>
    </row>
    <row r="341" spans="1:21" x14ac:dyDescent="0.3">
      <c r="A341" s="28" t="s">
        <v>556</v>
      </c>
      <c r="B341" s="4" t="s">
        <v>35</v>
      </c>
      <c r="C341" s="4" t="s">
        <v>297</v>
      </c>
      <c r="D341" s="4">
        <v>5405</v>
      </c>
      <c r="E341" s="30">
        <v>247.5</v>
      </c>
      <c r="G341" s="4">
        <v>4300021652</v>
      </c>
      <c r="J341" s="28" t="s">
        <v>730</v>
      </c>
      <c r="K341" s="28" t="s">
        <v>3</v>
      </c>
      <c r="L341" s="32">
        <v>43191</v>
      </c>
      <c r="M341" s="32">
        <f>BCOXT[[#This Row],[INV DOC DATE]]+30</f>
        <v>43221</v>
      </c>
      <c r="N341" s="32">
        <v>43220</v>
      </c>
      <c r="O341" s="31">
        <v>247.5</v>
      </c>
      <c r="P341" s="102">
        <v>43234</v>
      </c>
      <c r="Q341" s="31">
        <f t="shared" si="5"/>
        <v>0</v>
      </c>
      <c r="R341" s="53" t="str">
        <f ca="1">IF(TODAY() - BCOXT[INV DUE DATE]&lt;30, "Less than 30 days",IF(TODAY()-BCOXT[INV DUE DATE]&lt;60,"30-60 days","More than 60 days"))</f>
        <v>More than 60 days</v>
      </c>
      <c r="S341" s="4" t="s">
        <v>812</v>
      </c>
      <c r="T341" s="43" t="s">
        <v>2229</v>
      </c>
      <c r="U341" s="4" t="s">
        <v>3699</v>
      </c>
    </row>
    <row r="342" spans="1:21" x14ac:dyDescent="0.3">
      <c r="A342" s="28" t="s">
        <v>556</v>
      </c>
      <c r="B342" s="4" t="s">
        <v>35</v>
      </c>
      <c r="C342" s="4" t="s">
        <v>298</v>
      </c>
      <c r="D342" s="4">
        <v>5405</v>
      </c>
      <c r="E342" s="30">
        <v>247.5</v>
      </c>
      <c r="G342" s="4">
        <v>4300021652</v>
      </c>
      <c r="J342" s="28" t="s">
        <v>731</v>
      </c>
      <c r="K342" s="28" t="s">
        <v>3</v>
      </c>
      <c r="L342" s="32">
        <v>43191</v>
      </c>
      <c r="M342" s="32">
        <f>BCOXT[[#This Row],[INV DOC DATE]]+30</f>
        <v>43221</v>
      </c>
      <c r="N342" s="32">
        <v>43220</v>
      </c>
      <c r="O342" s="31">
        <v>247.5</v>
      </c>
      <c r="P342" s="102">
        <v>43234</v>
      </c>
      <c r="Q342" s="31">
        <f t="shared" si="5"/>
        <v>0</v>
      </c>
      <c r="R342" s="53" t="str">
        <f ca="1">IF(TODAY() - BCOXT[INV DUE DATE]&lt;30, "Less than 30 days",IF(TODAY()-BCOXT[INV DUE DATE]&lt;60,"30-60 days","More than 60 days"))</f>
        <v>More than 60 days</v>
      </c>
      <c r="S342" s="4" t="s">
        <v>812</v>
      </c>
      <c r="T342" s="43" t="s">
        <v>2229</v>
      </c>
      <c r="U342" s="4" t="s">
        <v>3699</v>
      </c>
    </row>
    <row r="343" spans="1:21" x14ac:dyDescent="0.3">
      <c r="A343" s="28" t="s">
        <v>556</v>
      </c>
      <c r="B343" s="4" t="s">
        <v>35</v>
      </c>
      <c r="C343" s="4" t="s">
        <v>299</v>
      </c>
      <c r="D343" s="4">
        <v>5405</v>
      </c>
      <c r="E343" s="30">
        <v>247.5</v>
      </c>
      <c r="G343" s="4">
        <v>4300021652</v>
      </c>
      <c r="J343" s="28" t="s">
        <v>732</v>
      </c>
      <c r="K343" s="28" t="s">
        <v>3</v>
      </c>
      <c r="L343" s="32">
        <v>43191</v>
      </c>
      <c r="M343" s="32">
        <f>BCOXT[[#This Row],[INV DOC DATE]]+30</f>
        <v>43221</v>
      </c>
      <c r="N343" s="32">
        <v>43220</v>
      </c>
      <c r="O343" s="31">
        <v>247.5</v>
      </c>
      <c r="P343" s="102">
        <v>43234</v>
      </c>
      <c r="Q343" s="31">
        <f t="shared" si="5"/>
        <v>0</v>
      </c>
      <c r="R343" s="53" t="str">
        <f ca="1">IF(TODAY() - BCOXT[INV DUE DATE]&lt;30, "Less than 30 days",IF(TODAY()-BCOXT[INV DUE DATE]&lt;60,"30-60 days","More than 60 days"))</f>
        <v>More than 60 days</v>
      </c>
      <c r="S343" s="4" t="s">
        <v>812</v>
      </c>
      <c r="T343" s="43" t="s">
        <v>2229</v>
      </c>
      <c r="U343" s="4" t="s">
        <v>3699</v>
      </c>
    </row>
    <row r="344" spans="1:21" x14ac:dyDescent="0.3">
      <c r="A344" s="28" t="s">
        <v>556</v>
      </c>
      <c r="B344" s="4" t="s">
        <v>35</v>
      </c>
      <c r="C344" s="4" t="s">
        <v>300</v>
      </c>
      <c r="D344" s="4">
        <v>5405</v>
      </c>
      <c r="E344" s="30">
        <v>247.5</v>
      </c>
      <c r="G344" s="4">
        <v>4300021652</v>
      </c>
      <c r="J344" s="28" t="s">
        <v>733</v>
      </c>
      <c r="K344" s="28" t="s">
        <v>3</v>
      </c>
      <c r="L344" s="32">
        <v>43191</v>
      </c>
      <c r="M344" s="32">
        <f>BCOXT[[#This Row],[INV DOC DATE]]+30</f>
        <v>43221</v>
      </c>
      <c r="N344" s="32">
        <v>43220</v>
      </c>
      <c r="O344" s="31">
        <v>247.5</v>
      </c>
      <c r="P344" s="102">
        <v>43234</v>
      </c>
      <c r="Q344" s="31">
        <f t="shared" si="5"/>
        <v>0</v>
      </c>
      <c r="R344" s="53" t="str">
        <f ca="1">IF(TODAY() - BCOXT[INV DUE DATE]&lt;30, "Less than 30 days",IF(TODAY()-BCOXT[INV DUE DATE]&lt;60,"30-60 days","More than 60 days"))</f>
        <v>More than 60 days</v>
      </c>
      <c r="S344" s="4" t="s">
        <v>812</v>
      </c>
      <c r="T344" s="43" t="s">
        <v>2229</v>
      </c>
      <c r="U344" s="4" t="s">
        <v>3699</v>
      </c>
    </row>
    <row r="345" spans="1:21" x14ac:dyDescent="0.3">
      <c r="A345" s="28" t="s">
        <v>556</v>
      </c>
      <c r="B345" s="4" t="s">
        <v>35</v>
      </c>
      <c r="C345" s="4" t="s">
        <v>301</v>
      </c>
      <c r="D345" s="4">
        <v>5405</v>
      </c>
      <c r="E345" s="30">
        <v>247.5</v>
      </c>
      <c r="G345" s="4">
        <v>4300021652</v>
      </c>
      <c r="J345" s="28" t="s">
        <v>734</v>
      </c>
      <c r="K345" s="28" t="s">
        <v>3</v>
      </c>
      <c r="L345" s="32">
        <v>43191</v>
      </c>
      <c r="M345" s="32">
        <f>BCOXT[[#This Row],[INV DOC DATE]]+30</f>
        <v>43221</v>
      </c>
      <c r="N345" s="32">
        <v>43220</v>
      </c>
      <c r="O345" s="31">
        <v>247.5</v>
      </c>
      <c r="P345" s="102">
        <v>43234</v>
      </c>
      <c r="Q345" s="31">
        <f t="shared" si="5"/>
        <v>0</v>
      </c>
      <c r="R345" s="53" t="str">
        <f ca="1">IF(TODAY() - BCOXT[INV DUE DATE]&lt;30, "Less than 30 days",IF(TODAY()-BCOXT[INV DUE DATE]&lt;60,"30-60 days","More than 60 days"))</f>
        <v>More than 60 days</v>
      </c>
      <c r="S345" s="4" t="s">
        <v>812</v>
      </c>
      <c r="T345" s="43" t="s">
        <v>2229</v>
      </c>
      <c r="U345" s="4" t="s">
        <v>3699</v>
      </c>
    </row>
    <row r="346" spans="1:21" x14ac:dyDescent="0.3">
      <c r="A346" s="28" t="s">
        <v>556</v>
      </c>
      <c r="B346" s="4" t="s">
        <v>35</v>
      </c>
      <c r="C346" s="4" t="s">
        <v>302</v>
      </c>
      <c r="D346" s="4">
        <v>5405</v>
      </c>
      <c r="E346" s="30">
        <v>232.5</v>
      </c>
      <c r="G346" s="4">
        <v>4300021652</v>
      </c>
      <c r="J346" s="28" t="s">
        <v>735</v>
      </c>
      <c r="K346" s="28" t="s">
        <v>3</v>
      </c>
      <c r="L346" s="32">
        <v>43191</v>
      </c>
      <c r="M346" s="32">
        <f>BCOXT[[#This Row],[INV DOC DATE]]+30</f>
        <v>43221</v>
      </c>
      <c r="N346" s="32">
        <v>43220</v>
      </c>
      <c r="O346" s="31">
        <v>232.5</v>
      </c>
      <c r="P346" s="102">
        <v>43234</v>
      </c>
      <c r="Q346" s="31">
        <f t="shared" si="5"/>
        <v>0</v>
      </c>
      <c r="R346" s="53" t="str">
        <f ca="1">IF(TODAY() - BCOXT[INV DUE DATE]&lt;30, "Less than 30 days",IF(TODAY()-BCOXT[INV DUE DATE]&lt;60,"30-60 days","More than 60 days"))</f>
        <v>More than 60 days</v>
      </c>
      <c r="S346" s="4" t="s">
        <v>812</v>
      </c>
      <c r="T346" s="43" t="s">
        <v>2229</v>
      </c>
      <c r="U346" s="4" t="s">
        <v>3699</v>
      </c>
    </row>
    <row r="347" spans="1:21" x14ac:dyDescent="0.3">
      <c r="A347" s="28" t="s">
        <v>556</v>
      </c>
      <c r="B347" s="4" t="s">
        <v>35</v>
      </c>
      <c r="C347" s="4" t="s">
        <v>303</v>
      </c>
      <c r="D347" s="4">
        <v>5405</v>
      </c>
      <c r="E347" s="30">
        <v>270</v>
      </c>
      <c r="G347" s="4">
        <v>4300021652</v>
      </c>
      <c r="J347" s="28" t="s">
        <v>736</v>
      </c>
      <c r="K347" s="28" t="s">
        <v>3</v>
      </c>
      <c r="L347" s="32">
        <v>43191</v>
      </c>
      <c r="M347" s="32">
        <f>BCOXT[[#This Row],[INV DOC DATE]]+30</f>
        <v>43221</v>
      </c>
      <c r="N347" s="32">
        <v>43220</v>
      </c>
      <c r="O347" s="31">
        <v>270</v>
      </c>
      <c r="P347" s="102">
        <v>43234</v>
      </c>
      <c r="Q347" s="31">
        <f t="shared" si="5"/>
        <v>0</v>
      </c>
      <c r="R347" s="53" t="str">
        <f ca="1">IF(TODAY() - BCOXT[INV DUE DATE]&lt;30, "Less than 30 days",IF(TODAY()-BCOXT[INV DUE DATE]&lt;60,"30-60 days","More than 60 days"))</f>
        <v>More than 60 days</v>
      </c>
      <c r="S347" s="4" t="s">
        <v>812</v>
      </c>
      <c r="T347" s="43" t="s">
        <v>2229</v>
      </c>
      <c r="U347" s="4" t="s">
        <v>3699</v>
      </c>
    </row>
    <row r="348" spans="1:21" x14ac:dyDescent="0.3">
      <c r="A348" s="28" t="s">
        <v>556</v>
      </c>
      <c r="B348" s="4" t="s">
        <v>35</v>
      </c>
      <c r="C348" s="4" t="s">
        <v>304</v>
      </c>
      <c r="D348" s="4">
        <v>5405</v>
      </c>
      <c r="E348" s="30">
        <v>270</v>
      </c>
      <c r="G348" s="4">
        <v>4300021652</v>
      </c>
      <c r="J348" s="28" t="s">
        <v>737</v>
      </c>
      <c r="K348" s="28" t="s">
        <v>3</v>
      </c>
      <c r="L348" s="32">
        <v>43191</v>
      </c>
      <c r="M348" s="32">
        <f>BCOXT[[#This Row],[INV DOC DATE]]+30</f>
        <v>43221</v>
      </c>
      <c r="N348" s="32">
        <v>43220</v>
      </c>
      <c r="O348" s="31">
        <v>270</v>
      </c>
      <c r="P348" s="102">
        <v>43234</v>
      </c>
      <c r="Q348" s="31">
        <f t="shared" si="5"/>
        <v>0</v>
      </c>
      <c r="R348" s="53" t="str">
        <f ca="1">IF(TODAY() - BCOXT[INV DUE DATE]&lt;30, "Less than 30 days",IF(TODAY()-BCOXT[INV DUE DATE]&lt;60,"30-60 days","More than 60 days"))</f>
        <v>More than 60 days</v>
      </c>
      <c r="S348" s="4" t="s">
        <v>812</v>
      </c>
      <c r="T348" s="43" t="s">
        <v>2229</v>
      </c>
      <c r="U348" s="4" t="s">
        <v>3699</v>
      </c>
    </row>
    <row r="349" spans="1:21" x14ac:dyDescent="0.3">
      <c r="A349" s="28" t="s">
        <v>556</v>
      </c>
      <c r="B349" s="4" t="s">
        <v>35</v>
      </c>
      <c r="C349" s="4" t="s">
        <v>305</v>
      </c>
      <c r="D349" s="4">
        <v>5405</v>
      </c>
      <c r="E349" s="30">
        <v>270</v>
      </c>
      <c r="G349" s="4">
        <v>4300021652</v>
      </c>
      <c r="J349" s="28" t="s">
        <v>738</v>
      </c>
      <c r="K349" s="28" t="s">
        <v>3</v>
      </c>
      <c r="L349" s="32">
        <v>43191</v>
      </c>
      <c r="M349" s="32">
        <f>BCOXT[[#This Row],[INV DOC DATE]]+30</f>
        <v>43221</v>
      </c>
      <c r="N349" s="32">
        <v>43220</v>
      </c>
      <c r="O349" s="31">
        <v>270</v>
      </c>
      <c r="P349" s="102">
        <v>43234</v>
      </c>
      <c r="Q349" s="31">
        <f t="shared" si="5"/>
        <v>0</v>
      </c>
      <c r="R349" s="53" t="str">
        <f ca="1">IF(TODAY() - BCOXT[INV DUE DATE]&lt;30, "Less than 30 days",IF(TODAY()-BCOXT[INV DUE DATE]&lt;60,"30-60 days","More than 60 days"))</f>
        <v>More than 60 days</v>
      </c>
      <c r="S349" s="4" t="s">
        <v>812</v>
      </c>
      <c r="T349" s="43" t="s">
        <v>2229</v>
      </c>
      <c r="U349" s="4" t="s">
        <v>3699</v>
      </c>
    </row>
    <row r="350" spans="1:21" x14ac:dyDescent="0.3">
      <c r="A350" s="28" t="s">
        <v>556</v>
      </c>
      <c r="B350" s="4" t="s">
        <v>35</v>
      </c>
      <c r="C350" s="4" t="s">
        <v>306</v>
      </c>
      <c r="D350" s="4">
        <v>5405</v>
      </c>
      <c r="E350" s="30">
        <v>270</v>
      </c>
      <c r="G350" s="4">
        <v>4300021652</v>
      </c>
      <c r="J350" s="28" t="s">
        <v>739</v>
      </c>
      <c r="K350" s="28" t="s">
        <v>3</v>
      </c>
      <c r="L350" s="32">
        <v>43191</v>
      </c>
      <c r="M350" s="32">
        <f>BCOXT[[#This Row],[INV DOC DATE]]+30</f>
        <v>43221</v>
      </c>
      <c r="N350" s="32">
        <v>43220</v>
      </c>
      <c r="O350" s="31">
        <v>270</v>
      </c>
      <c r="P350" s="102">
        <v>43234</v>
      </c>
      <c r="Q350" s="31">
        <f t="shared" si="5"/>
        <v>0</v>
      </c>
      <c r="R350" s="53" t="str">
        <f ca="1">IF(TODAY() - BCOXT[INV DUE DATE]&lt;30, "Less than 30 days",IF(TODAY()-BCOXT[INV DUE DATE]&lt;60,"30-60 days","More than 60 days"))</f>
        <v>More than 60 days</v>
      </c>
      <c r="S350" s="4" t="s">
        <v>812</v>
      </c>
      <c r="T350" s="43" t="s">
        <v>2229</v>
      </c>
      <c r="U350" s="4" t="s">
        <v>3699</v>
      </c>
    </row>
    <row r="351" spans="1:21" x14ac:dyDescent="0.3">
      <c r="A351" s="28" t="s">
        <v>556</v>
      </c>
      <c r="B351" s="4" t="s">
        <v>35</v>
      </c>
      <c r="C351" s="4" t="s">
        <v>307</v>
      </c>
      <c r="D351" s="4">
        <v>5405</v>
      </c>
      <c r="E351" s="30">
        <v>270</v>
      </c>
      <c r="G351" s="4">
        <v>4300021652</v>
      </c>
      <c r="J351" s="28" t="s">
        <v>740</v>
      </c>
      <c r="K351" s="28" t="s">
        <v>3</v>
      </c>
      <c r="L351" s="32">
        <v>43191</v>
      </c>
      <c r="M351" s="32">
        <f>BCOXT[[#This Row],[INV DOC DATE]]+30</f>
        <v>43221</v>
      </c>
      <c r="N351" s="32">
        <v>43220</v>
      </c>
      <c r="O351" s="31">
        <v>270</v>
      </c>
      <c r="P351" s="102">
        <v>43234</v>
      </c>
      <c r="Q351" s="31">
        <f t="shared" si="5"/>
        <v>0</v>
      </c>
      <c r="R351" s="53" t="str">
        <f ca="1">IF(TODAY() - BCOXT[INV DUE DATE]&lt;30, "Less than 30 days",IF(TODAY()-BCOXT[INV DUE DATE]&lt;60,"30-60 days","More than 60 days"))</f>
        <v>More than 60 days</v>
      </c>
      <c r="S351" s="4" t="s">
        <v>812</v>
      </c>
      <c r="T351" s="43" t="s">
        <v>2229</v>
      </c>
      <c r="U351" s="4" t="s">
        <v>3699</v>
      </c>
    </row>
    <row r="352" spans="1:21" x14ac:dyDescent="0.3">
      <c r="A352" s="28" t="s">
        <v>556</v>
      </c>
      <c r="B352" s="4" t="s">
        <v>35</v>
      </c>
      <c r="C352" s="4" t="s">
        <v>308</v>
      </c>
      <c r="D352" s="4">
        <v>5405</v>
      </c>
      <c r="E352" s="30">
        <v>270</v>
      </c>
      <c r="G352" s="4">
        <v>4300021652</v>
      </c>
      <c r="J352" s="28" t="s">
        <v>741</v>
      </c>
      <c r="K352" s="28" t="s">
        <v>3</v>
      </c>
      <c r="L352" s="32">
        <v>43191</v>
      </c>
      <c r="M352" s="32">
        <f>BCOXT[[#This Row],[INV DOC DATE]]+30</f>
        <v>43221</v>
      </c>
      <c r="N352" s="32">
        <v>43220</v>
      </c>
      <c r="O352" s="31">
        <v>270</v>
      </c>
      <c r="P352" s="102">
        <v>43234</v>
      </c>
      <c r="Q352" s="31">
        <f t="shared" si="5"/>
        <v>0</v>
      </c>
      <c r="R352" s="53" t="str">
        <f ca="1">IF(TODAY() - BCOXT[INV DUE DATE]&lt;30, "Less than 30 days",IF(TODAY()-BCOXT[INV DUE DATE]&lt;60,"30-60 days","More than 60 days"))</f>
        <v>More than 60 days</v>
      </c>
      <c r="S352" s="4" t="s">
        <v>812</v>
      </c>
      <c r="T352" s="43" t="s">
        <v>2229</v>
      </c>
      <c r="U352" s="4" t="s">
        <v>3699</v>
      </c>
    </row>
    <row r="353" spans="1:21" x14ac:dyDescent="0.3">
      <c r="A353" s="28" t="s">
        <v>556</v>
      </c>
      <c r="B353" s="4" t="s">
        <v>35</v>
      </c>
      <c r="C353" s="4" t="s">
        <v>309</v>
      </c>
      <c r="D353" s="4">
        <v>5405</v>
      </c>
      <c r="E353" s="30">
        <v>232.5</v>
      </c>
      <c r="G353" s="4">
        <v>4300021652</v>
      </c>
      <c r="J353" s="28" t="s">
        <v>742</v>
      </c>
      <c r="K353" s="28" t="s">
        <v>3</v>
      </c>
      <c r="L353" s="32">
        <v>43191</v>
      </c>
      <c r="M353" s="32">
        <f>BCOXT[[#This Row],[INV DOC DATE]]+30</f>
        <v>43221</v>
      </c>
      <c r="N353" s="32">
        <v>43220</v>
      </c>
      <c r="O353" s="31">
        <v>232.5</v>
      </c>
      <c r="P353" s="102">
        <v>43234</v>
      </c>
      <c r="Q353" s="31">
        <f t="shared" si="5"/>
        <v>0</v>
      </c>
      <c r="R353" s="53" t="str">
        <f ca="1">IF(TODAY() - BCOXT[INV DUE DATE]&lt;30, "Less than 30 days",IF(TODAY()-BCOXT[INV DUE DATE]&lt;60,"30-60 days","More than 60 days"))</f>
        <v>More than 60 days</v>
      </c>
      <c r="S353" s="4" t="s">
        <v>812</v>
      </c>
      <c r="T353" s="43" t="s">
        <v>2229</v>
      </c>
      <c r="U353" s="4" t="s">
        <v>3699</v>
      </c>
    </row>
    <row r="354" spans="1:21" x14ac:dyDescent="0.3">
      <c r="A354" s="28" t="s">
        <v>556</v>
      </c>
      <c r="B354" s="4" t="s">
        <v>35</v>
      </c>
      <c r="C354" s="4" t="s">
        <v>310</v>
      </c>
      <c r="D354" s="4">
        <v>5405</v>
      </c>
      <c r="E354" s="30">
        <v>270</v>
      </c>
      <c r="G354" s="4">
        <v>4300021652</v>
      </c>
      <c r="J354" s="28" t="s">
        <v>743</v>
      </c>
      <c r="K354" s="28" t="s">
        <v>3</v>
      </c>
      <c r="L354" s="32">
        <v>43191</v>
      </c>
      <c r="M354" s="32">
        <f>BCOXT[[#This Row],[INV DOC DATE]]+30</f>
        <v>43221</v>
      </c>
      <c r="N354" s="32">
        <v>43220</v>
      </c>
      <c r="O354" s="31">
        <v>270</v>
      </c>
      <c r="P354" s="102">
        <v>43234</v>
      </c>
      <c r="Q354" s="31">
        <f t="shared" si="5"/>
        <v>0</v>
      </c>
      <c r="R354" s="53" t="str">
        <f ca="1">IF(TODAY() - BCOXT[INV DUE DATE]&lt;30, "Less than 30 days",IF(TODAY()-BCOXT[INV DUE DATE]&lt;60,"30-60 days","More than 60 days"))</f>
        <v>More than 60 days</v>
      </c>
      <c r="S354" s="4" t="s">
        <v>812</v>
      </c>
      <c r="T354" s="43" t="s">
        <v>2229</v>
      </c>
      <c r="U354" s="4" t="s">
        <v>3699</v>
      </c>
    </row>
    <row r="355" spans="1:21" x14ac:dyDescent="0.3">
      <c r="A355" s="28" t="s">
        <v>556</v>
      </c>
      <c r="B355" s="4" t="s">
        <v>35</v>
      </c>
      <c r="C355" s="4" t="s">
        <v>311</v>
      </c>
      <c r="D355" s="4">
        <v>5405</v>
      </c>
      <c r="E355" s="30">
        <v>270</v>
      </c>
      <c r="G355" s="4">
        <v>4300021652</v>
      </c>
      <c r="J355" s="28" t="s">
        <v>744</v>
      </c>
      <c r="K355" s="28" t="s">
        <v>3</v>
      </c>
      <c r="L355" s="32">
        <v>43191</v>
      </c>
      <c r="M355" s="32">
        <f>BCOXT[[#This Row],[INV DOC DATE]]+30</f>
        <v>43221</v>
      </c>
      <c r="N355" s="32">
        <v>43220</v>
      </c>
      <c r="O355" s="31">
        <v>270</v>
      </c>
      <c r="P355" s="102">
        <v>43234</v>
      </c>
      <c r="Q355" s="31">
        <f t="shared" si="5"/>
        <v>0</v>
      </c>
      <c r="R355" s="53" t="str">
        <f ca="1">IF(TODAY() - BCOXT[INV DUE DATE]&lt;30, "Less than 30 days",IF(TODAY()-BCOXT[INV DUE DATE]&lt;60,"30-60 days","More than 60 days"))</f>
        <v>More than 60 days</v>
      </c>
      <c r="S355" s="4" t="s">
        <v>812</v>
      </c>
      <c r="T355" s="43" t="s">
        <v>2229</v>
      </c>
      <c r="U355" s="4" t="s">
        <v>3699</v>
      </c>
    </row>
    <row r="356" spans="1:21" x14ac:dyDescent="0.3">
      <c r="A356" s="28" t="s">
        <v>556</v>
      </c>
      <c r="B356" s="4" t="s">
        <v>35</v>
      </c>
      <c r="C356" s="4" t="s">
        <v>312</v>
      </c>
      <c r="D356" s="4">
        <v>5405</v>
      </c>
      <c r="E356" s="30">
        <v>270</v>
      </c>
      <c r="G356" s="4">
        <v>4300021652</v>
      </c>
      <c r="J356" s="28" t="s">
        <v>745</v>
      </c>
      <c r="K356" s="28" t="s">
        <v>3</v>
      </c>
      <c r="L356" s="32">
        <v>43191</v>
      </c>
      <c r="M356" s="32">
        <f>BCOXT[[#This Row],[INV DOC DATE]]+30</f>
        <v>43221</v>
      </c>
      <c r="N356" s="32">
        <v>43220</v>
      </c>
      <c r="O356" s="31">
        <v>270</v>
      </c>
      <c r="P356" s="102">
        <v>43234</v>
      </c>
      <c r="Q356" s="31">
        <f t="shared" si="5"/>
        <v>0</v>
      </c>
      <c r="R356" s="53" t="str">
        <f ca="1">IF(TODAY() - BCOXT[INV DUE DATE]&lt;30, "Less than 30 days",IF(TODAY()-BCOXT[INV DUE DATE]&lt;60,"30-60 days","More than 60 days"))</f>
        <v>More than 60 days</v>
      </c>
      <c r="S356" s="4" t="s">
        <v>812</v>
      </c>
      <c r="T356" s="43" t="s">
        <v>2229</v>
      </c>
      <c r="U356" s="4" t="s">
        <v>3699</v>
      </c>
    </row>
    <row r="357" spans="1:21" x14ac:dyDescent="0.3">
      <c r="A357" s="28" t="s">
        <v>556</v>
      </c>
      <c r="B357" s="4" t="s">
        <v>35</v>
      </c>
      <c r="C357" s="4" t="s">
        <v>313</v>
      </c>
      <c r="D357" s="4">
        <v>5405</v>
      </c>
      <c r="E357" s="30">
        <v>270</v>
      </c>
      <c r="G357" s="4">
        <v>4300021652</v>
      </c>
      <c r="J357" s="28" t="s">
        <v>746</v>
      </c>
      <c r="K357" s="28" t="s">
        <v>3</v>
      </c>
      <c r="L357" s="32">
        <v>43191</v>
      </c>
      <c r="M357" s="32">
        <f>BCOXT[[#This Row],[INV DOC DATE]]+30</f>
        <v>43221</v>
      </c>
      <c r="N357" s="32">
        <v>43220</v>
      </c>
      <c r="O357" s="31">
        <v>270</v>
      </c>
      <c r="P357" s="102">
        <v>43234</v>
      </c>
      <c r="Q357" s="31">
        <f t="shared" si="5"/>
        <v>0</v>
      </c>
      <c r="R357" s="53" t="str">
        <f ca="1">IF(TODAY() - BCOXT[INV DUE DATE]&lt;30, "Less than 30 days",IF(TODAY()-BCOXT[INV DUE DATE]&lt;60,"30-60 days","More than 60 days"))</f>
        <v>More than 60 days</v>
      </c>
      <c r="S357" s="4" t="s">
        <v>812</v>
      </c>
      <c r="T357" s="43" t="s">
        <v>2229</v>
      </c>
      <c r="U357" s="4" t="s">
        <v>3699</v>
      </c>
    </row>
    <row r="358" spans="1:21" x14ac:dyDescent="0.3">
      <c r="A358" s="28" t="s">
        <v>556</v>
      </c>
      <c r="B358" s="4" t="s">
        <v>35</v>
      </c>
      <c r="C358" s="4" t="s">
        <v>314</v>
      </c>
      <c r="D358" s="4">
        <v>5405</v>
      </c>
      <c r="E358" s="30">
        <v>270</v>
      </c>
      <c r="G358" s="4">
        <v>4300021652</v>
      </c>
      <c r="J358" s="28" t="s">
        <v>747</v>
      </c>
      <c r="K358" s="28" t="s">
        <v>3</v>
      </c>
      <c r="L358" s="32">
        <v>43191</v>
      </c>
      <c r="M358" s="32">
        <f>BCOXT[[#This Row],[INV DOC DATE]]+30</f>
        <v>43221</v>
      </c>
      <c r="N358" s="32">
        <v>43220</v>
      </c>
      <c r="O358" s="31">
        <v>270</v>
      </c>
      <c r="P358" s="102">
        <v>43234</v>
      </c>
      <c r="Q358" s="31">
        <f t="shared" si="5"/>
        <v>0</v>
      </c>
      <c r="R358" s="53" t="str">
        <f ca="1">IF(TODAY() - BCOXT[INV DUE DATE]&lt;30, "Less than 30 days",IF(TODAY()-BCOXT[INV DUE DATE]&lt;60,"30-60 days","More than 60 days"))</f>
        <v>More than 60 days</v>
      </c>
      <c r="S358" s="4" t="s">
        <v>812</v>
      </c>
      <c r="T358" s="43" t="s">
        <v>2229</v>
      </c>
      <c r="U358" s="4" t="s">
        <v>3699</v>
      </c>
    </row>
    <row r="359" spans="1:21" x14ac:dyDescent="0.3">
      <c r="A359" s="28" t="s">
        <v>556</v>
      </c>
      <c r="B359" s="4" t="s">
        <v>35</v>
      </c>
      <c r="C359" s="4" t="s">
        <v>315</v>
      </c>
      <c r="D359" s="4">
        <v>5405</v>
      </c>
      <c r="E359" s="30">
        <v>270</v>
      </c>
      <c r="G359" s="4">
        <v>4300021652</v>
      </c>
      <c r="J359" s="28" t="s">
        <v>748</v>
      </c>
      <c r="K359" s="28" t="s">
        <v>3</v>
      </c>
      <c r="L359" s="32">
        <v>43191</v>
      </c>
      <c r="M359" s="32">
        <f>BCOXT[[#This Row],[INV DOC DATE]]+30</f>
        <v>43221</v>
      </c>
      <c r="N359" s="32">
        <v>43220</v>
      </c>
      <c r="O359" s="31">
        <v>270</v>
      </c>
      <c r="P359" s="102">
        <v>43234</v>
      </c>
      <c r="Q359" s="31">
        <f t="shared" si="5"/>
        <v>0</v>
      </c>
      <c r="R359" s="53" t="str">
        <f ca="1">IF(TODAY() - BCOXT[INV DUE DATE]&lt;30, "Less than 30 days",IF(TODAY()-BCOXT[INV DUE DATE]&lt;60,"30-60 days","More than 60 days"))</f>
        <v>More than 60 days</v>
      </c>
      <c r="S359" s="4" t="s">
        <v>812</v>
      </c>
      <c r="T359" s="43" t="s">
        <v>2229</v>
      </c>
      <c r="U359" s="4" t="s">
        <v>3699</v>
      </c>
    </row>
    <row r="360" spans="1:21" x14ac:dyDescent="0.3">
      <c r="A360" s="28" t="s">
        <v>556</v>
      </c>
      <c r="B360" s="4" t="s">
        <v>35</v>
      </c>
      <c r="C360" s="4" t="s">
        <v>316</v>
      </c>
      <c r="D360" s="4">
        <v>5405</v>
      </c>
      <c r="E360" s="30">
        <v>270</v>
      </c>
      <c r="G360" s="4">
        <v>4300021652</v>
      </c>
      <c r="J360" s="28" t="s">
        <v>749</v>
      </c>
      <c r="K360" s="28" t="s">
        <v>3</v>
      </c>
      <c r="L360" s="32">
        <v>43191</v>
      </c>
      <c r="M360" s="32">
        <f>BCOXT[[#This Row],[INV DOC DATE]]+30</f>
        <v>43221</v>
      </c>
      <c r="N360" s="32">
        <v>43220</v>
      </c>
      <c r="O360" s="31">
        <v>270</v>
      </c>
      <c r="P360" s="102">
        <v>43234</v>
      </c>
      <c r="Q360" s="31">
        <f t="shared" si="5"/>
        <v>0</v>
      </c>
      <c r="R360" s="53" t="str">
        <f ca="1">IF(TODAY() - BCOXT[INV DUE DATE]&lt;30, "Less than 30 days",IF(TODAY()-BCOXT[INV DUE DATE]&lt;60,"30-60 days","More than 60 days"))</f>
        <v>More than 60 days</v>
      </c>
      <c r="S360" s="4" t="s">
        <v>812</v>
      </c>
      <c r="T360" s="43" t="s">
        <v>2229</v>
      </c>
      <c r="U360" s="4" t="s">
        <v>3699</v>
      </c>
    </row>
    <row r="361" spans="1:21" x14ac:dyDescent="0.3">
      <c r="A361" s="28" t="s">
        <v>556</v>
      </c>
      <c r="B361" s="4" t="s">
        <v>35</v>
      </c>
      <c r="C361" s="4" t="s">
        <v>317</v>
      </c>
      <c r="D361" s="4">
        <v>5405</v>
      </c>
      <c r="E361" s="30">
        <v>270</v>
      </c>
      <c r="G361" s="4">
        <v>4300021652</v>
      </c>
      <c r="J361" s="28" t="s">
        <v>750</v>
      </c>
      <c r="K361" s="28" t="s">
        <v>3</v>
      </c>
      <c r="L361" s="32">
        <v>43191</v>
      </c>
      <c r="M361" s="32">
        <f>BCOXT[[#This Row],[INV DOC DATE]]+30</f>
        <v>43221</v>
      </c>
      <c r="N361" s="32">
        <v>43220</v>
      </c>
      <c r="O361" s="31">
        <v>270</v>
      </c>
      <c r="P361" s="102">
        <v>43234</v>
      </c>
      <c r="Q361" s="31">
        <f t="shared" si="5"/>
        <v>0</v>
      </c>
      <c r="R361" s="53" t="str">
        <f ca="1">IF(TODAY() - BCOXT[INV DUE DATE]&lt;30, "Less than 30 days",IF(TODAY()-BCOXT[INV DUE DATE]&lt;60,"30-60 days","More than 60 days"))</f>
        <v>More than 60 days</v>
      </c>
      <c r="S361" s="4" t="s">
        <v>812</v>
      </c>
      <c r="T361" s="43" t="s">
        <v>2229</v>
      </c>
      <c r="U361" s="4" t="s">
        <v>3699</v>
      </c>
    </row>
    <row r="362" spans="1:21" x14ac:dyDescent="0.3">
      <c r="A362" s="28" t="s">
        <v>556</v>
      </c>
      <c r="B362" s="4" t="s">
        <v>35</v>
      </c>
      <c r="C362" s="4" t="s">
        <v>318</v>
      </c>
      <c r="D362" s="4">
        <v>5405</v>
      </c>
      <c r="E362" s="30">
        <v>270</v>
      </c>
      <c r="G362" s="4">
        <v>4300021652</v>
      </c>
      <c r="J362" s="28" t="s">
        <v>751</v>
      </c>
      <c r="K362" s="28" t="s">
        <v>3</v>
      </c>
      <c r="L362" s="32">
        <v>43191</v>
      </c>
      <c r="M362" s="32">
        <f>BCOXT[[#This Row],[INV DOC DATE]]+30</f>
        <v>43221</v>
      </c>
      <c r="N362" s="32">
        <v>43220</v>
      </c>
      <c r="O362" s="31">
        <v>270</v>
      </c>
      <c r="P362" s="102">
        <v>43234</v>
      </c>
      <c r="Q362" s="31">
        <f t="shared" si="5"/>
        <v>0</v>
      </c>
      <c r="R362" s="53" t="str">
        <f ca="1">IF(TODAY() - BCOXT[INV DUE DATE]&lt;30, "Less than 30 days",IF(TODAY()-BCOXT[INV DUE DATE]&lt;60,"30-60 days","More than 60 days"))</f>
        <v>More than 60 days</v>
      </c>
      <c r="S362" s="4" t="s">
        <v>812</v>
      </c>
      <c r="T362" s="43" t="s">
        <v>2229</v>
      </c>
      <c r="U362" s="4" t="s">
        <v>3699</v>
      </c>
    </row>
    <row r="363" spans="1:21" x14ac:dyDescent="0.3">
      <c r="A363" s="28" t="s">
        <v>556</v>
      </c>
      <c r="B363" s="4" t="s">
        <v>35</v>
      </c>
      <c r="C363" s="4" t="s">
        <v>319</v>
      </c>
      <c r="D363" s="4">
        <v>5405</v>
      </c>
      <c r="E363" s="30">
        <v>270</v>
      </c>
      <c r="G363" s="4">
        <v>4300021652</v>
      </c>
      <c r="J363" s="28" t="s">
        <v>752</v>
      </c>
      <c r="K363" s="28" t="s">
        <v>3</v>
      </c>
      <c r="L363" s="32">
        <v>43191</v>
      </c>
      <c r="M363" s="32">
        <f>BCOXT[[#This Row],[INV DOC DATE]]+30</f>
        <v>43221</v>
      </c>
      <c r="N363" s="32">
        <v>43220</v>
      </c>
      <c r="O363" s="31">
        <v>270</v>
      </c>
      <c r="P363" s="102">
        <v>43234</v>
      </c>
      <c r="Q363" s="31">
        <f t="shared" si="5"/>
        <v>0</v>
      </c>
      <c r="R363" s="53" t="str">
        <f ca="1">IF(TODAY() - BCOXT[INV DUE DATE]&lt;30, "Less than 30 days",IF(TODAY()-BCOXT[INV DUE DATE]&lt;60,"30-60 days","More than 60 days"))</f>
        <v>More than 60 days</v>
      </c>
      <c r="S363" s="4" t="s">
        <v>812</v>
      </c>
      <c r="T363" s="43" t="s">
        <v>2229</v>
      </c>
      <c r="U363" s="4" t="s">
        <v>3699</v>
      </c>
    </row>
    <row r="364" spans="1:21" x14ac:dyDescent="0.3">
      <c r="A364" s="28" t="s">
        <v>556</v>
      </c>
      <c r="B364" s="4" t="s">
        <v>35</v>
      </c>
      <c r="C364" s="4" t="s">
        <v>320</v>
      </c>
      <c r="D364" s="4">
        <v>5405</v>
      </c>
      <c r="E364" s="30">
        <v>270</v>
      </c>
      <c r="G364" s="4">
        <v>4300021652</v>
      </c>
      <c r="J364" s="28" t="s">
        <v>753</v>
      </c>
      <c r="K364" s="28" t="s">
        <v>3</v>
      </c>
      <c r="L364" s="32">
        <v>43191</v>
      </c>
      <c r="M364" s="32">
        <f>BCOXT[[#This Row],[INV DOC DATE]]+30</f>
        <v>43221</v>
      </c>
      <c r="N364" s="32">
        <v>43220</v>
      </c>
      <c r="O364" s="31">
        <v>270</v>
      </c>
      <c r="P364" s="102">
        <v>43234</v>
      </c>
      <c r="Q364" s="31">
        <f t="shared" si="5"/>
        <v>0</v>
      </c>
      <c r="R364" s="53" t="str">
        <f ca="1">IF(TODAY() - BCOXT[INV DUE DATE]&lt;30, "Less than 30 days",IF(TODAY()-BCOXT[INV DUE DATE]&lt;60,"30-60 days","More than 60 days"))</f>
        <v>More than 60 days</v>
      </c>
      <c r="S364" s="4" t="s">
        <v>812</v>
      </c>
      <c r="T364" s="43" t="s">
        <v>2229</v>
      </c>
      <c r="U364" s="4" t="s">
        <v>3699</v>
      </c>
    </row>
    <row r="365" spans="1:21" x14ac:dyDescent="0.3">
      <c r="A365" s="28" t="s">
        <v>556</v>
      </c>
      <c r="B365" s="4" t="s">
        <v>35</v>
      </c>
      <c r="C365" s="4" t="s">
        <v>321</v>
      </c>
      <c r="D365" s="4">
        <v>5405</v>
      </c>
      <c r="E365" s="30">
        <v>270</v>
      </c>
      <c r="G365" s="4">
        <v>4300021652</v>
      </c>
      <c r="J365" s="28" t="s">
        <v>754</v>
      </c>
      <c r="K365" s="28" t="s">
        <v>3</v>
      </c>
      <c r="L365" s="32">
        <v>43191</v>
      </c>
      <c r="M365" s="32">
        <f>BCOXT[[#This Row],[INV DOC DATE]]+30</f>
        <v>43221</v>
      </c>
      <c r="N365" s="32">
        <v>43220</v>
      </c>
      <c r="O365" s="31">
        <v>270</v>
      </c>
      <c r="P365" s="102">
        <v>43234</v>
      </c>
      <c r="Q365" s="31">
        <f t="shared" si="5"/>
        <v>0</v>
      </c>
      <c r="R365" s="53" t="str">
        <f ca="1">IF(TODAY() - BCOXT[INV DUE DATE]&lt;30, "Less than 30 days",IF(TODAY()-BCOXT[INV DUE DATE]&lt;60,"30-60 days","More than 60 days"))</f>
        <v>More than 60 days</v>
      </c>
      <c r="S365" s="4" t="s">
        <v>812</v>
      </c>
      <c r="T365" s="43" t="s">
        <v>2229</v>
      </c>
      <c r="U365" s="4" t="s">
        <v>3699</v>
      </c>
    </row>
    <row r="366" spans="1:21" x14ac:dyDescent="0.3">
      <c r="A366" s="28" t="s">
        <v>556</v>
      </c>
      <c r="B366" s="4" t="s">
        <v>35</v>
      </c>
      <c r="C366" s="4" t="s">
        <v>322</v>
      </c>
      <c r="D366" s="4">
        <v>5405</v>
      </c>
      <c r="E366" s="30">
        <v>270</v>
      </c>
      <c r="G366" s="4">
        <v>4300021652</v>
      </c>
      <c r="J366" s="28" t="s">
        <v>755</v>
      </c>
      <c r="K366" s="28" t="s">
        <v>3</v>
      </c>
      <c r="L366" s="32">
        <v>43191</v>
      </c>
      <c r="M366" s="32">
        <f>BCOXT[[#This Row],[INV DOC DATE]]+30</f>
        <v>43221</v>
      </c>
      <c r="N366" s="32">
        <v>43220</v>
      </c>
      <c r="O366" s="31">
        <v>270</v>
      </c>
      <c r="P366" s="102">
        <v>43234</v>
      </c>
      <c r="Q366" s="31">
        <f t="shared" si="5"/>
        <v>0</v>
      </c>
      <c r="R366" s="53" t="str">
        <f ca="1">IF(TODAY() - BCOXT[INV DUE DATE]&lt;30, "Less than 30 days",IF(TODAY()-BCOXT[INV DUE DATE]&lt;60,"30-60 days","More than 60 days"))</f>
        <v>More than 60 days</v>
      </c>
      <c r="S366" s="4" t="s">
        <v>812</v>
      </c>
      <c r="T366" s="43" t="s">
        <v>2229</v>
      </c>
      <c r="U366" s="4" t="s">
        <v>3699</v>
      </c>
    </row>
    <row r="367" spans="1:21" x14ac:dyDescent="0.3">
      <c r="A367" s="28" t="s">
        <v>556</v>
      </c>
      <c r="B367" s="4" t="s">
        <v>35</v>
      </c>
      <c r="C367" s="4" t="s">
        <v>323</v>
      </c>
      <c r="D367" s="4">
        <v>5405</v>
      </c>
      <c r="E367" s="30">
        <v>270</v>
      </c>
      <c r="G367" s="4">
        <v>4300021652</v>
      </c>
      <c r="J367" s="28" t="s">
        <v>756</v>
      </c>
      <c r="K367" s="28" t="s">
        <v>3</v>
      </c>
      <c r="L367" s="32">
        <v>43191</v>
      </c>
      <c r="M367" s="32">
        <f>BCOXT[[#This Row],[INV DOC DATE]]+30</f>
        <v>43221</v>
      </c>
      <c r="N367" s="32">
        <v>43220</v>
      </c>
      <c r="O367" s="31">
        <v>270</v>
      </c>
      <c r="P367" s="102">
        <v>43234</v>
      </c>
      <c r="Q367" s="31">
        <f t="shared" si="5"/>
        <v>0</v>
      </c>
      <c r="R367" s="53" t="str">
        <f ca="1">IF(TODAY() - BCOXT[INV DUE DATE]&lt;30, "Less than 30 days",IF(TODAY()-BCOXT[INV DUE DATE]&lt;60,"30-60 days","More than 60 days"))</f>
        <v>More than 60 days</v>
      </c>
      <c r="S367" s="4" t="s">
        <v>812</v>
      </c>
      <c r="T367" s="43" t="s">
        <v>2229</v>
      </c>
      <c r="U367" s="4" t="s">
        <v>3699</v>
      </c>
    </row>
    <row r="368" spans="1:21" x14ac:dyDescent="0.3">
      <c r="A368" s="28" t="s">
        <v>556</v>
      </c>
      <c r="B368" s="4" t="s">
        <v>35</v>
      </c>
      <c r="C368" s="4" t="s">
        <v>324</v>
      </c>
      <c r="D368" s="4">
        <v>5405</v>
      </c>
      <c r="E368" s="30">
        <v>270</v>
      </c>
      <c r="G368" s="4">
        <v>4300021652</v>
      </c>
      <c r="J368" s="28" t="s">
        <v>757</v>
      </c>
      <c r="K368" s="28" t="s">
        <v>3</v>
      </c>
      <c r="L368" s="32">
        <v>43191</v>
      </c>
      <c r="M368" s="32">
        <f>BCOXT[[#This Row],[INV DOC DATE]]+30</f>
        <v>43221</v>
      </c>
      <c r="N368" s="32">
        <v>43220</v>
      </c>
      <c r="O368" s="31">
        <v>270</v>
      </c>
      <c r="P368" s="102">
        <v>43234</v>
      </c>
      <c r="Q368" s="31">
        <f t="shared" si="5"/>
        <v>0</v>
      </c>
      <c r="R368" s="53" t="str">
        <f ca="1">IF(TODAY() - BCOXT[INV DUE DATE]&lt;30, "Less than 30 days",IF(TODAY()-BCOXT[INV DUE DATE]&lt;60,"30-60 days","More than 60 days"))</f>
        <v>More than 60 days</v>
      </c>
      <c r="S368" s="4" t="s">
        <v>812</v>
      </c>
      <c r="T368" s="43" t="s">
        <v>2229</v>
      </c>
      <c r="U368" s="4" t="s">
        <v>3699</v>
      </c>
    </row>
    <row r="369" spans="1:21" x14ac:dyDescent="0.3">
      <c r="A369" s="28" t="s">
        <v>556</v>
      </c>
      <c r="B369" s="4" t="s">
        <v>35</v>
      </c>
      <c r="C369" s="4" t="s">
        <v>325</v>
      </c>
      <c r="D369" s="4">
        <v>5405</v>
      </c>
      <c r="E369" s="30">
        <v>270</v>
      </c>
      <c r="G369" s="4">
        <v>4300021652</v>
      </c>
      <c r="J369" s="28" t="s">
        <v>758</v>
      </c>
      <c r="K369" s="28" t="s">
        <v>3</v>
      </c>
      <c r="L369" s="32">
        <v>43191</v>
      </c>
      <c r="M369" s="32">
        <f>BCOXT[[#This Row],[INV DOC DATE]]+30</f>
        <v>43221</v>
      </c>
      <c r="N369" s="32">
        <v>43220</v>
      </c>
      <c r="O369" s="31">
        <v>270</v>
      </c>
      <c r="P369" s="102">
        <v>43234</v>
      </c>
      <c r="Q369" s="31">
        <f t="shared" si="5"/>
        <v>0</v>
      </c>
      <c r="R369" s="53" t="str">
        <f ca="1">IF(TODAY() - BCOXT[INV DUE DATE]&lt;30, "Less than 30 days",IF(TODAY()-BCOXT[INV DUE DATE]&lt;60,"30-60 days","More than 60 days"))</f>
        <v>More than 60 days</v>
      </c>
      <c r="S369" s="4" t="s">
        <v>812</v>
      </c>
      <c r="T369" s="43" t="s">
        <v>2229</v>
      </c>
      <c r="U369" s="4" t="s">
        <v>3699</v>
      </c>
    </row>
    <row r="370" spans="1:21" x14ac:dyDescent="0.3">
      <c r="A370" s="28" t="s">
        <v>556</v>
      </c>
      <c r="B370" s="4" t="s">
        <v>35</v>
      </c>
      <c r="C370" s="4" t="s">
        <v>326</v>
      </c>
      <c r="D370" s="4">
        <v>5405</v>
      </c>
      <c r="E370" s="30">
        <v>270</v>
      </c>
      <c r="G370" s="4">
        <v>4300021652</v>
      </c>
      <c r="J370" s="28" t="s">
        <v>759</v>
      </c>
      <c r="K370" s="28" t="s">
        <v>3</v>
      </c>
      <c r="L370" s="32">
        <v>43191</v>
      </c>
      <c r="M370" s="32">
        <f>BCOXT[[#This Row],[INV DOC DATE]]+30</f>
        <v>43221</v>
      </c>
      <c r="N370" s="32">
        <v>43220</v>
      </c>
      <c r="O370" s="31">
        <v>270</v>
      </c>
      <c r="P370" s="102">
        <v>43234</v>
      </c>
      <c r="Q370" s="31">
        <f t="shared" si="5"/>
        <v>0</v>
      </c>
      <c r="R370" s="53" t="str">
        <f ca="1">IF(TODAY() - BCOXT[INV DUE DATE]&lt;30, "Less than 30 days",IF(TODAY()-BCOXT[INV DUE DATE]&lt;60,"30-60 days","More than 60 days"))</f>
        <v>More than 60 days</v>
      </c>
      <c r="S370" s="4" t="s">
        <v>812</v>
      </c>
      <c r="T370" s="43" t="s">
        <v>2229</v>
      </c>
      <c r="U370" s="4" t="s">
        <v>3699</v>
      </c>
    </row>
    <row r="371" spans="1:21" x14ac:dyDescent="0.3">
      <c r="A371" s="28" t="s">
        <v>556</v>
      </c>
      <c r="B371" s="4" t="s">
        <v>35</v>
      </c>
      <c r="C371" s="4" t="s">
        <v>327</v>
      </c>
      <c r="D371" s="4">
        <v>5405</v>
      </c>
      <c r="E371" s="30">
        <v>93</v>
      </c>
      <c r="G371" s="4">
        <v>4300021652</v>
      </c>
      <c r="J371" s="28" t="s">
        <v>760</v>
      </c>
      <c r="K371" s="28" t="s">
        <v>3</v>
      </c>
      <c r="L371" s="32">
        <v>43191</v>
      </c>
      <c r="M371" s="32">
        <f>BCOXT[[#This Row],[INV DOC DATE]]+30</f>
        <v>43221</v>
      </c>
      <c r="N371" s="32">
        <v>43220</v>
      </c>
      <c r="O371" s="31">
        <v>93</v>
      </c>
      <c r="P371" s="102">
        <v>43234</v>
      </c>
      <c r="Q371" s="31">
        <f t="shared" si="5"/>
        <v>0</v>
      </c>
      <c r="R371" s="53" t="str">
        <f ca="1">IF(TODAY() - BCOXT[INV DUE DATE]&lt;30, "Less than 30 days",IF(TODAY()-BCOXT[INV DUE DATE]&lt;60,"30-60 days","More than 60 days"))</f>
        <v>More than 60 days</v>
      </c>
      <c r="S371" s="4" t="s">
        <v>812</v>
      </c>
      <c r="T371" s="43" t="s">
        <v>2229</v>
      </c>
      <c r="U371" s="4" t="s">
        <v>3699</v>
      </c>
    </row>
    <row r="372" spans="1:21" x14ac:dyDescent="0.3">
      <c r="A372" s="28" t="s">
        <v>556</v>
      </c>
      <c r="B372" s="4" t="s">
        <v>35</v>
      </c>
      <c r="C372" s="4" t="s">
        <v>328</v>
      </c>
      <c r="D372" s="4">
        <v>5405</v>
      </c>
      <c r="E372" s="30">
        <v>90</v>
      </c>
      <c r="G372" s="4">
        <v>4300021652</v>
      </c>
      <c r="J372" s="28" t="s">
        <v>760</v>
      </c>
      <c r="K372" s="28" t="s">
        <v>810</v>
      </c>
      <c r="L372" s="32">
        <v>43191</v>
      </c>
      <c r="M372" s="32">
        <f>BCOXT[[#This Row],[INV DOC DATE]]+30</f>
        <v>43221</v>
      </c>
      <c r="N372" s="32">
        <v>43220</v>
      </c>
      <c r="O372" s="31">
        <v>90</v>
      </c>
      <c r="P372" s="102">
        <v>43234</v>
      </c>
      <c r="Q372" s="31">
        <f t="shared" si="5"/>
        <v>0</v>
      </c>
      <c r="R372" s="53" t="str">
        <f ca="1">IF(TODAY() - BCOXT[INV DUE DATE]&lt;30, "Less than 30 days",IF(TODAY()-BCOXT[INV DUE DATE]&lt;60,"30-60 days","More than 60 days"))</f>
        <v>More than 60 days</v>
      </c>
      <c r="S372" s="4" t="s">
        <v>812</v>
      </c>
      <c r="T372" s="43" t="s">
        <v>2229</v>
      </c>
      <c r="U372" s="4" t="s">
        <v>3699</v>
      </c>
    </row>
    <row r="373" spans="1:21" x14ac:dyDescent="0.3">
      <c r="A373" s="28" t="s">
        <v>556</v>
      </c>
      <c r="B373" s="4" t="s">
        <v>35</v>
      </c>
      <c r="C373" s="4" t="s">
        <v>329</v>
      </c>
      <c r="D373" s="4">
        <v>5405</v>
      </c>
      <c r="E373" s="30">
        <v>85.25</v>
      </c>
      <c r="G373" s="4">
        <v>4300021652</v>
      </c>
      <c r="J373" s="28" t="s">
        <v>761</v>
      </c>
      <c r="K373" s="28" t="s">
        <v>3</v>
      </c>
      <c r="L373" s="32">
        <v>43191</v>
      </c>
      <c r="M373" s="32">
        <f>BCOXT[[#This Row],[INV DOC DATE]]+30</f>
        <v>43221</v>
      </c>
      <c r="N373" s="32">
        <v>43220</v>
      </c>
      <c r="O373" s="31">
        <v>85.25</v>
      </c>
      <c r="P373" s="102">
        <v>43234</v>
      </c>
      <c r="Q373" s="31">
        <f t="shared" si="5"/>
        <v>0</v>
      </c>
      <c r="R373" s="53" t="str">
        <f ca="1">IF(TODAY() - BCOXT[INV DUE DATE]&lt;30, "Less than 30 days",IF(TODAY()-BCOXT[INV DUE DATE]&lt;60,"30-60 days","More than 60 days"))</f>
        <v>More than 60 days</v>
      </c>
      <c r="S373" s="4" t="s">
        <v>812</v>
      </c>
      <c r="T373" s="43" t="s">
        <v>2229</v>
      </c>
      <c r="U373" s="4" t="s">
        <v>3699</v>
      </c>
    </row>
    <row r="374" spans="1:21" x14ac:dyDescent="0.3">
      <c r="A374" s="28" t="s">
        <v>556</v>
      </c>
      <c r="B374" s="4" t="s">
        <v>35</v>
      </c>
      <c r="C374" s="4" t="s">
        <v>330</v>
      </c>
      <c r="D374" s="4">
        <v>5405</v>
      </c>
      <c r="E374" s="30">
        <v>90</v>
      </c>
      <c r="G374" s="4">
        <v>4300021652</v>
      </c>
      <c r="J374" s="28" t="s">
        <v>761</v>
      </c>
      <c r="K374" s="28" t="s">
        <v>810</v>
      </c>
      <c r="L374" s="32">
        <v>43191</v>
      </c>
      <c r="M374" s="32">
        <f>BCOXT[[#This Row],[INV DOC DATE]]+30</f>
        <v>43221</v>
      </c>
      <c r="N374" s="32">
        <v>43220</v>
      </c>
      <c r="O374" s="31">
        <v>90</v>
      </c>
      <c r="P374" s="102">
        <v>43234</v>
      </c>
      <c r="Q374" s="31">
        <f t="shared" si="5"/>
        <v>0</v>
      </c>
      <c r="R374" s="53" t="str">
        <f ca="1">IF(TODAY() - BCOXT[INV DUE DATE]&lt;30, "Less than 30 days",IF(TODAY()-BCOXT[INV DUE DATE]&lt;60,"30-60 days","More than 60 days"))</f>
        <v>More than 60 days</v>
      </c>
      <c r="S374" s="4" t="s">
        <v>812</v>
      </c>
      <c r="T374" s="43" t="s">
        <v>2229</v>
      </c>
      <c r="U374" s="4" t="s">
        <v>3699</v>
      </c>
    </row>
    <row r="375" spans="1:21" x14ac:dyDescent="0.3">
      <c r="A375" s="28" t="s">
        <v>556</v>
      </c>
      <c r="B375" s="4" t="s">
        <v>35</v>
      </c>
      <c r="C375" s="4" t="s">
        <v>331</v>
      </c>
      <c r="D375" s="4">
        <v>5405</v>
      </c>
      <c r="E375" s="30">
        <v>100.75</v>
      </c>
      <c r="G375" s="4">
        <v>4300021652</v>
      </c>
      <c r="J375" s="28" t="s">
        <v>762</v>
      </c>
      <c r="K375" s="28" t="s">
        <v>3</v>
      </c>
      <c r="L375" s="32">
        <v>43191</v>
      </c>
      <c r="M375" s="32">
        <f>BCOXT[[#This Row],[INV DOC DATE]]+30</f>
        <v>43221</v>
      </c>
      <c r="N375" s="32">
        <v>43220</v>
      </c>
      <c r="O375" s="31">
        <v>100.75</v>
      </c>
      <c r="P375" s="102">
        <v>43234</v>
      </c>
      <c r="Q375" s="31">
        <f t="shared" si="5"/>
        <v>0</v>
      </c>
      <c r="R375" s="53" t="str">
        <f ca="1">IF(TODAY() - BCOXT[INV DUE DATE]&lt;30, "Less than 30 days",IF(TODAY()-BCOXT[INV DUE DATE]&lt;60,"30-60 days","More than 60 days"))</f>
        <v>More than 60 days</v>
      </c>
      <c r="S375" s="4" t="s">
        <v>812</v>
      </c>
      <c r="T375" s="43" t="s">
        <v>2229</v>
      </c>
      <c r="U375" s="4" t="s">
        <v>3699</v>
      </c>
    </row>
    <row r="376" spans="1:21" x14ac:dyDescent="0.3">
      <c r="A376" s="28" t="s">
        <v>556</v>
      </c>
      <c r="B376" s="4" t="s">
        <v>35</v>
      </c>
      <c r="C376" s="4" t="s">
        <v>332</v>
      </c>
      <c r="D376" s="4">
        <v>5405</v>
      </c>
      <c r="E376" s="30">
        <v>90</v>
      </c>
      <c r="G376" s="4">
        <v>4300021652</v>
      </c>
      <c r="J376" s="28" t="s">
        <v>762</v>
      </c>
      <c r="K376" s="28" t="s">
        <v>810</v>
      </c>
      <c r="L376" s="32">
        <v>43191</v>
      </c>
      <c r="M376" s="32">
        <f>BCOXT[[#This Row],[INV DOC DATE]]+30</f>
        <v>43221</v>
      </c>
      <c r="N376" s="32">
        <v>43220</v>
      </c>
      <c r="O376" s="31">
        <v>90</v>
      </c>
      <c r="P376" s="102">
        <v>43234</v>
      </c>
      <c r="Q376" s="31">
        <f t="shared" si="5"/>
        <v>0</v>
      </c>
      <c r="R376" s="53" t="str">
        <f ca="1">IF(TODAY() - BCOXT[INV DUE DATE]&lt;30, "Less than 30 days",IF(TODAY()-BCOXT[INV DUE DATE]&lt;60,"30-60 days","More than 60 days"))</f>
        <v>More than 60 days</v>
      </c>
      <c r="S376" s="4" t="s">
        <v>812</v>
      </c>
      <c r="T376" s="43" t="s">
        <v>2229</v>
      </c>
      <c r="U376" s="4" t="s">
        <v>3699</v>
      </c>
    </row>
    <row r="377" spans="1:21" x14ac:dyDescent="0.3">
      <c r="A377" s="28" t="s">
        <v>556</v>
      </c>
      <c r="B377" s="4" t="s">
        <v>35</v>
      </c>
      <c r="C377" s="4" t="s">
        <v>333</v>
      </c>
      <c r="D377" s="4">
        <v>5405</v>
      </c>
      <c r="E377" s="30">
        <v>240</v>
      </c>
      <c r="G377" s="4">
        <v>4300021652</v>
      </c>
      <c r="J377" s="28" t="s">
        <v>763</v>
      </c>
      <c r="K377" s="28" t="s">
        <v>3</v>
      </c>
      <c r="L377" s="32">
        <v>43191</v>
      </c>
      <c r="M377" s="32">
        <f>BCOXT[[#This Row],[INV DOC DATE]]+30</f>
        <v>43221</v>
      </c>
      <c r="N377" s="32">
        <v>43220</v>
      </c>
      <c r="O377" s="31">
        <v>240</v>
      </c>
      <c r="P377" s="102">
        <v>43234</v>
      </c>
      <c r="Q377" s="31">
        <f t="shared" si="5"/>
        <v>0</v>
      </c>
      <c r="R377" s="53" t="str">
        <f ca="1">IF(TODAY() - BCOXT[INV DUE DATE]&lt;30, "Less than 30 days",IF(TODAY()-BCOXT[INV DUE DATE]&lt;60,"30-60 days","More than 60 days"))</f>
        <v>More than 60 days</v>
      </c>
      <c r="S377" s="4" t="s">
        <v>812</v>
      </c>
      <c r="T377" s="43" t="s">
        <v>2229</v>
      </c>
      <c r="U377" s="4" t="s">
        <v>3699</v>
      </c>
    </row>
    <row r="378" spans="1:21" x14ac:dyDescent="0.3">
      <c r="A378" s="28" t="s">
        <v>556</v>
      </c>
      <c r="B378" s="4" t="s">
        <v>35</v>
      </c>
      <c r="C378" s="4" t="s">
        <v>334</v>
      </c>
      <c r="D378" s="4">
        <v>5405</v>
      </c>
      <c r="E378" s="30">
        <v>240</v>
      </c>
      <c r="G378" s="4">
        <v>4300021652</v>
      </c>
      <c r="J378" s="28" t="s">
        <v>764</v>
      </c>
      <c r="K378" s="28" t="s">
        <v>3</v>
      </c>
      <c r="L378" s="32">
        <v>43191</v>
      </c>
      <c r="M378" s="32">
        <f>BCOXT[[#This Row],[INV DOC DATE]]+30</f>
        <v>43221</v>
      </c>
      <c r="N378" s="32">
        <v>43220</v>
      </c>
      <c r="O378" s="31">
        <v>240</v>
      </c>
      <c r="P378" s="102">
        <v>43234</v>
      </c>
      <c r="Q378" s="31">
        <f t="shared" si="5"/>
        <v>0</v>
      </c>
      <c r="R378" s="53" t="str">
        <f ca="1">IF(TODAY() - BCOXT[INV DUE DATE]&lt;30, "Less than 30 days",IF(TODAY()-BCOXT[INV DUE DATE]&lt;60,"30-60 days","More than 60 days"))</f>
        <v>More than 60 days</v>
      </c>
      <c r="S378" s="4" t="s">
        <v>812</v>
      </c>
      <c r="T378" s="43" t="s">
        <v>2229</v>
      </c>
      <c r="U378" s="4" t="s">
        <v>3699</v>
      </c>
    </row>
    <row r="379" spans="1:21" x14ac:dyDescent="0.3">
      <c r="A379" s="28" t="s">
        <v>556</v>
      </c>
      <c r="B379" s="4" t="s">
        <v>35</v>
      </c>
      <c r="C379" s="4" t="s">
        <v>335</v>
      </c>
      <c r="D379" s="4">
        <v>5405</v>
      </c>
      <c r="E379" s="30">
        <v>240</v>
      </c>
      <c r="G379" s="4">
        <v>4300021652</v>
      </c>
      <c r="J379" s="28" t="s">
        <v>765</v>
      </c>
      <c r="K379" s="28" t="s">
        <v>3</v>
      </c>
      <c r="L379" s="32">
        <v>43191</v>
      </c>
      <c r="M379" s="32">
        <f>BCOXT[[#This Row],[INV DOC DATE]]+30</f>
        <v>43221</v>
      </c>
      <c r="N379" s="32">
        <v>43220</v>
      </c>
      <c r="O379" s="31">
        <v>240</v>
      </c>
      <c r="P379" s="102">
        <v>43234</v>
      </c>
      <c r="Q379" s="31">
        <f t="shared" si="5"/>
        <v>0</v>
      </c>
      <c r="R379" s="53" t="str">
        <f ca="1">IF(TODAY() - BCOXT[INV DUE DATE]&lt;30, "Less than 30 days",IF(TODAY()-BCOXT[INV DUE DATE]&lt;60,"30-60 days","More than 60 days"))</f>
        <v>More than 60 days</v>
      </c>
      <c r="S379" s="4" t="s">
        <v>812</v>
      </c>
      <c r="T379" s="43" t="s">
        <v>2229</v>
      </c>
      <c r="U379" s="4" t="s">
        <v>3699</v>
      </c>
    </row>
    <row r="380" spans="1:21" x14ac:dyDescent="0.3">
      <c r="A380" s="28" t="s">
        <v>556</v>
      </c>
      <c r="B380" s="4" t="s">
        <v>35</v>
      </c>
      <c r="C380" s="4" t="s">
        <v>336</v>
      </c>
      <c r="D380" s="4">
        <v>5405</v>
      </c>
      <c r="E380" s="30">
        <v>240</v>
      </c>
      <c r="G380" s="4">
        <v>4300021652</v>
      </c>
      <c r="J380" s="28" t="s">
        <v>766</v>
      </c>
      <c r="K380" s="28" t="s">
        <v>3</v>
      </c>
      <c r="L380" s="32">
        <v>43191</v>
      </c>
      <c r="M380" s="32">
        <f>BCOXT[[#This Row],[INV DOC DATE]]+30</f>
        <v>43221</v>
      </c>
      <c r="N380" s="32">
        <v>43220</v>
      </c>
      <c r="O380" s="31">
        <v>240</v>
      </c>
      <c r="P380" s="102">
        <v>43234</v>
      </c>
      <c r="Q380" s="31">
        <f t="shared" si="5"/>
        <v>0</v>
      </c>
      <c r="R380" s="53" t="str">
        <f ca="1">IF(TODAY() - BCOXT[INV DUE DATE]&lt;30, "Less than 30 days",IF(TODAY()-BCOXT[INV DUE DATE]&lt;60,"30-60 days","More than 60 days"))</f>
        <v>More than 60 days</v>
      </c>
      <c r="S380" s="4" t="s">
        <v>812</v>
      </c>
      <c r="T380" s="43" t="s">
        <v>2229</v>
      </c>
      <c r="U380" s="4" t="s">
        <v>3699</v>
      </c>
    </row>
    <row r="381" spans="1:21" x14ac:dyDescent="0.3">
      <c r="A381" s="28" t="s">
        <v>556</v>
      </c>
      <c r="B381" s="4" t="s">
        <v>35</v>
      </c>
      <c r="C381" s="4" t="s">
        <v>337</v>
      </c>
      <c r="D381" s="4">
        <v>5405</v>
      </c>
      <c r="E381" s="30">
        <v>240</v>
      </c>
      <c r="G381" s="4">
        <v>4300021652</v>
      </c>
      <c r="J381" s="28" t="s">
        <v>767</v>
      </c>
      <c r="K381" s="28" t="s">
        <v>3</v>
      </c>
      <c r="L381" s="32">
        <v>43191</v>
      </c>
      <c r="M381" s="32">
        <f>BCOXT[[#This Row],[INV DOC DATE]]+30</f>
        <v>43221</v>
      </c>
      <c r="N381" s="32">
        <v>43220</v>
      </c>
      <c r="O381" s="31">
        <v>240</v>
      </c>
      <c r="P381" s="102">
        <v>43234</v>
      </c>
      <c r="Q381" s="31">
        <f t="shared" si="5"/>
        <v>0</v>
      </c>
      <c r="R381" s="53" t="str">
        <f ca="1">IF(TODAY() - BCOXT[INV DUE DATE]&lt;30, "Less than 30 days",IF(TODAY()-BCOXT[INV DUE DATE]&lt;60,"30-60 days","More than 60 days"))</f>
        <v>More than 60 days</v>
      </c>
      <c r="S381" s="4" t="s">
        <v>812</v>
      </c>
      <c r="T381" s="43" t="s">
        <v>2229</v>
      </c>
      <c r="U381" s="4" t="s">
        <v>3699</v>
      </c>
    </row>
    <row r="382" spans="1:21" x14ac:dyDescent="0.3">
      <c r="A382" s="28" t="s">
        <v>556</v>
      </c>
      <c r="B382" s="4" t="s">
        <v>35</v>
      </c>
      <c r="C382" s="4" t="s">
        <v>338</v>
      </c>
      <c r="D382" s="4">
        <v>5405</v>
      </c>
      <c r="E382" s="30">
        <v>240</v>
      </c>
      <c r="G382" s="4">
        <v>4300021652</v>
      </c>
      <c r="J382" s="28" t="s">
        <v>768</v>
      </c>
      <c r="K382" s="28" t="s">
        <v>3</v>
      </c>
      <c r="L382" s="32">
        <v>43191</v>
      </c>
      <c r="M382" s="32">
        <f>BCOXT[[#This Row],[INV DOC DATE]]+30</f>
        <v>43221</v>
      </c>
      <c r="N382" s="32">
        <v>43220</v>
      </c>
      <c r="O382" s="31">
        <v>240</v>
      </c>
      <c r="P382" s="102">
        <v>43234</v>
      </c>
      <c r="Q382" s="31">
        <f t="shared" si="5"/>
        <v>0</v>
      </c>
      <c r="R382" s="53" t="str">
        <f ca="1">IF(TODAY() - BCOXT[INV DUE DATE]&lt;30, "Less than 30 days",IF(TODAY()-BCOXT[INV DUE DATE]&lt;60,"30-60 days","More than 60 days"))</f>
        <v>More than 60 days</v>
      </c>
      <c r="S382" s="4" t="s">
        <v>812</v>
      </c>
      <c r="T382" s="43" t="s">
        <v>2229</v>
      </c>
      <c r="U382" s="4" t="s">
        <v>3699</v>
      </c>
    </row>
    <row r="383" spans="1:21" x14ac:dyDescent="0.3">
      <c r="A383" s="28" t="s">
        <v>556</v>
      </c>
      <c r="B383" s="4" t="s">
        <v>35</v>
      </c>
      <c r="C383" s="4" t="s">
        <v>339</v>
      </c>
      <c r="D383" s="4">
        <v>5405</v>
      </c>
      <c r="E383" s="30">
        <v>240</v>
      </c>
      <c r="G383" s="4">
        <v>4300021652</v>
      </c>
      <c r="J383" s="28" t="s">
        <v>769</v>
      </c>
      <c r="K383" s="28" t="s">
        <v>3</v>
      </c>
      <c r="L383" s="32">
        <v>43191</v>
      </c>
      <c r="M383" s="32">
        <f>BCOXT[[#This Row],[INV DOC DATE]]+30</f>
        <v>43221</v>
      </c>
      <c r="N383" s="32">
        <v>43220</v>
      </c>
      <c r="O383" s="31">
        <v>240</v>
      </c>
      <c r="P383" s="102">
        <v>43234</v>
      </c>
      <c r="Q383" s="31">
        <f t="shared" si="5"/>
        <v>0</v>
      </c>
      <c r="R383" s="53" t="str">
        <f ca="1">IF(TODAY() - BCOXT[INV DUE DATE]&lt;30, "Less than 30 days",IF(TODAY()-BCOXT[INV DUE DATE]&lt;60,"30-60 days","More than 60 days"))</f>
        <v>More than 60 days</v>
      </c>
      <c r="S383" s="4" t="s">
        <v>812</v>
      </c>
      <c r="T383" s="43" t="s">
        <v>2229</v>
      </c>
      <c r="U383" s="4" t="s">
        <v>3699</v>
      </c>
    </row>
    <row r="384" spans="1:21" x14ac:dyDescent="0.3">
      <c r="A384" s="28" t="s">
        <v>556</v>
      </c>
      <c r="B384" s="4" t="s">
        <v>35</v>
      </c>
      <c r="C384" s="4" t="s">
        <v>340</v>
      </c>
      <c r="D384" s="4">
        <v>5405</v>
      </c>
      <c r="E384" s="30">
        <v>240</v>
      </c>
      <c r="G384" s="4">
        <v>4300021652</v>
      </c>
      <c r="J384" s="28" t="s">
        <v>770</v>
      </c>
      <c r="K384" s="28" t="s">
        <v>3</v>
      </c>
      <c r="L384" s="32">
        <v>43191</v>
      </c>
      <c r="M384" s="32">
        <f>BCOXT[[#This Row],[INV DOC DATE]]+30</f>
        <v>43221</v>
      </c>
      <c r="N384" s="32">
        <v>43220</v>
      </c>
      <c r="O384" s="31">
        <v>240</v>
      </c>
      <c r="P384" s="102">
        <v>43234</v>
      </c>
      <c r="Q384" s="31">
        <f t="shared" si="5"/>
        <v>0</v>
      </c>
      <c r="R384" s="53" t="str">
        <f ca="1">IF(TODAY() - BCOXT[INV DUE DATE]&lt;30, "Less than 30 days",IF(TODAY()-BCOXT[INV DUE DATE]&lt;60,"30-60 days","More than 60 days"))</f>
        <v>More than 60 days</v>
      </c>
      <c r="S384" s="4" t="s">
        <v>812</v>
      </c>
      <c r="T384" s="43" t="s">
        <v>2229</v>
      </c>
      <c r="U384" s="4" t="s">
        <v>3699</v>
      </c>
    </row>
    <row r="385" spans="1:21" x14ac:dyDescent="0.3">
      <c r="A385" s="28" t="s">
        <v>556</v>
      </c>
      <c r="B385" s="4" t="s">
        <v>35</v>
      </c>
      <c r="C385" s="4" t="s">
        <v>341</v>
      </c>
      <c r="D385" s="4">
        <v>5405</v>
      </c>
      <c r="E385" s="30">
        <v>240</v>
      </c>
      <c r="G385" s="4">
        <v>4300021652</v>
      </c>
      <c r="J385" s="28" t="s">
        <v>771</v>
      </c>
      <c r="K385" s="28" t="s">
        <v>3</v>
      </c>
      <c r="L385" s="32">
        <v>43191</v>
      </c>
      <c r="M385" s="32">
        <f>BCOXT[[#This Row],[INV DOC DATE]]+30</f>
        <v>43221</v>
      </c>
      <c r="N385" s="32">
        <v>43220</v>
      </c>
      <c r="O385" s="31">
        <v>240</v>
      </c>
      <c r="P385" s="102">
        <v>43234</v>
      </c>
      <c r="Q385" s="31">
        <f t="shared" si="5"/>
        <v>0</v>
      </c>
      <c r="R385" s="53" t="str">
        <f ca="1">IF(TODAY() - BCOXT[INV DUE DATE]&lt;30, "Less than 30 days",IF(TODAY()-BCOXT[INV DUE DATE]&lt;60,"30-60 days","More than 60 days"))</f>
        <v>More than 60 days</v>
      </c>
      <c r="S385" s="4" t="s">
        <v>812</v>
      </c>
      <c r="T385" s="43" t="s">
        <v>2229</v>
      </c>
      <c r="U385" s="4" t="s">
        <v>3699</v>
      </c>
    </row>
    <row r="386" spans="1:21" x14ac:dyDescent="0.3">
      <c r="A386" s="28" t="s">
        <v>556</v>
      </c>
      <c r="B386" s="4" t="s">
        <v>35</v>
      </c>
      <c r="C386" s="4" t="s">
        <v>342</v>
      </c>
      <c r="D386" s="4">
        <v>5405</v>
      </c>
      <c r="E386" s="30">
        <v>240</v>
      </c>
      <c r="G386" s="4">
        <v>4300021652</v>
      </c>
      <c r="J386" s="28" t="s">
        <v>772</v>
      </c>
      <c r="K386" s="28" t="s">
        <v>3</v>
      </c>
      <c r="L386" s="32">
        <v>43191</v>
      </c>
      <c r="M386" s="32">
        <f>BCOXT[[#This Row],[INV DOC DATE]]+30</f>
        <v>43221</v>
      </c>
      <c r="N386" s="32">
        <v>43220</v>
      </c>
      <c r="O386" s="31">
        <v>240</v>
      </c>
      <c r="P386" s="102">
        <v>43234</v>
      </c>
      <c r="Q386" s="31">
        <f t="shared" ref="Q386:Q449" si="6">$E386-$O386</f>
        <v>0</v>
      </c>
      <c r="R386" s="53" t="str">
        <f ca="1">IF(TODAY() - BCOXT[INV DUE DATE]&lt;30, "Less than 30 days",IF(TODAY()-BCOXT[INV DUE DATE]&lt;60,"30-60 days","More than 60 days"))</f>
        <v>More than 60 days</v>
      </c>
      <c r="S386" s="4" t="s">
        <v>812</v>
      </c>
      <c r="T386" s="43" t="s">
        <v>2229</v>
      </c>
      <c r="U386" s="4" t="s">
        <v>3699</v>
      </c>
    </row>
    <row r="387" spans="1:21" x14ac:dyDescent="0.3">
      <c r="A387" s="28" t="s">
        <v>556</v>
      </c>
      <c r="B387" s="4" t="s">
        <v>35</v>
      </c>
      <c r="C387" s="4" t="s">
        <v>343</v>
      </c>
      <c r="D387" s="4">
        <v>5405</v>
      </c>
      <c r="E387" s="30">
        <v>240</v>
      </c>
      <c r="G387" s="4">
        <v>4300021652</v>
      </c>
      <c r="J387" s="28" t="s">
        <v>773</v>
      </c>
      <c r="K387" s="28" t="s">
        <v>3</v>
      </c>
      <c r="L387" s="32">
        <v>43191</v>
      </c>
      <c r="M387" s="32">
        <f>BCOXT[[#This Row],[INV DOC DATE]]+30</f>
        <v>43221</v>
      </c>
      <c r="N387" s="32">
        <v>43220</v>
      </c>
      <c r="O387" s="31">
        <v>240</v>
      </c>
      <c r="P387" s="102">
        <v>43234</v>
      </c>
      <c r="Q387" s="31">
        <f t="shared" si="6"/>
        <v>0</v>
      </c>
      <c r="R387" s="53" t="str">
        <f ca="1">IF(TODAY() - BCOXT[INV DUE DATE]&lt;30, "Less than 30 days",IF(TODAY()-BCOXT[INV DUE DATE]&lt;60,"30-60 days","More than 60 days"))</f>
        <v>More than 60 days</v>
      </c>
      <c r="S387" s="4" t="s">
        <v>812</v>
      </c>
      <c r="T387" s="43" t="s">
        <v>2229</v>
      </c>
      <c r="U387" s="4" t="s">
        <v>3699</v>
      </c>
    </row>
    <row r="388" spans="1:21" x14ac:dyDescent="0.3">
      <c r="A388" s="28" t="s">
        <v>556</v>
      </c>
      <c r="B388" s="4" t="s">
        <v>35</v>
      </c>
      <c r="C388" s="4" t="s">
        <v>344</v>
      </c>
      <c r="D388" s="4">
        <v>5405</v>
      </c>
      <c r="E388" s="30">
        <v>240</v>
      </c>
      <c r="G388" s="4">
        <v>4300021652</v>
      </c>
      <c r="J388" s="28" t="s">
        <v>774</v>
      </c>
      <c r="K388" s="28" t="s">
        <v>3</v>
      </c>
      <c r="L388" s="32">
        <v>43191</v>
      </c>
      <c r="M388" s="32">
        <f>BCOXT[[#This Row],[INV DOC DATE]]+30</f>
        <v>43221</v>
      </c>
      <c r="N388" s="32">
        <v>43220</v>
      </c>
      <c r="O388" s="31">
        <v>240</v>
      </c>
      <c r="P388" s="102">
        <v>43234</v>
      </c>
      <c r="Q388" s="31">
        <f t="shared" si="6"/>
        <v>0</v>
      </c>
      <c r="R388" s="53" t="str">
        <f ca="1">IF(TODAY() - BCOXT[INV DUE DATE]&lt;30, "Less than 30 days",IF(TODAY()-BCOXT[INV DUE DATE]&lt;60,"30-60 days","More than 60 days"))</f>
        <v>More than 60 days</v>
      </c>
      <c r="S388" s="4" t="s">
        <v>812</v>
      </c>
      <c r="T388" s="43" t="s">
        <v>2229</v>
      </c>
      <c r="U388" s="4" t="s">
        <v>3699</v>
      </c>
    </row>
    <row r="389" spans="1:21" x14ac:dyDescent="0.3">
      <c r="A389" s="28" t="s">
        <v>556</v>
      </c>
      <c r="B389" s="4" t="s">
        <v>35</v>
      </c>
      <c r="C389" s="4" t="s">
        <v>345</v>
      </c>
      <c r="D389" s="4">
        <v>5405</v>
      </c>
      <c r="E389" s="30">
        <v>240</v>
      </c>
      <c r="G389" s="4">
        <v>4300021652</v>
      </c>
      <c r="J389" s="28" t="s">
        <v>775</v>
      </c>
      <c r="K389" s="28" t="s">
        <v>3</v>
      </c>
      <c r="L389" s="32">
        <v>43191</v>
      </c>
      <c r="M389" s="32">
        <f>BCOXT[[#This Row],[INV DOC DATE]]+30</f>
        <v>43221</v>
      </c>
      <c r="N389" s="32">
        <v>43220</v>
      </c>
      <c r="O389" s="31">
        <v>240</v>
      </c>
      <c r="P389" s="102">
        <v>43234</v>
      </c>
      <c r="Q389" s="31">
        <f t="shared" si="6"/>
        <v>0</v>
      </c>
      <c r="R389" s="53" t="str">
        <f ca="1">IF(TODAY() - BCOXT[INV DUE DATE]&lt;30, "Less than 30 days",IF(TODAY()-BCOXT[INV DUE DATE]&lt;60,"30-60 days","More than 60 days"))</f>
        <v>More than 60 days</v>
      </c>
      <c r="S389" s="4" t="s">
        <v>812</v>
      </c>
      <c r="T389" s="43" t="s">
        <v>2229</v>
      </c>
      <c r="U389" s="4" t="s">
        <v>3699</v>
      </c>
    </row>
    <row r="390" spans="1:21" x14ac:dyDescent="0.3">
      <c r="A390" s="28" t="s">
        <v>556</v>
      </c>
      <c r="B390" s="4" t="s">
        <v>35</v>
      </c>
      <c r="C390" s="4" t="s">
        <v>346</v>
      </c>
      <c r="D390" s="4">
        <v>5405</v>
      </c>
      <c r="E390" s="30">
        <v>240</v>
      </c>
      <c r="G390" s="4">
        <v>4300021652</v>
      </c>
      <c r="J390" s="28" t="s">
        <v>776</v>
      </c>
      <c r="K390" s="28" t="s">
        <v>3</v>
      </c>
      <c r="L390" s="32">
        <v>43191</v>
      </c>
      <c r="M390" s="32">
        <f>BCOXT[[#This Row],[INV DOC DATE]]+30</f>
        <v>43221</v>
      </c>
      <c r="N390" s="32">
        <v>43220</v>
      </c>
      <c r="O390" s="31">
        <v>240</v>
      </c>
      <c r="P390" s="102">
        <v>43234</v>
      </c>
      <c r="Q390" s="31">
        <f t="shared" si="6"/>
        <v>0</v>
      </c>
      <c r="R390" s="53" t="str">
        <f ca="1">IF(TODAY() - BCOXT[INV DUE DATE]&lt;30, "Less than 30 days",IF(TODAY()-BCOXT[INV DUE DATE]&lt;60,"30-60 days","More than 60 days"))</f>
        <v>More than 60 days</v>
      </c>
      <c r="S390" s="4" t="s">
        <v>812</v>
      </c>
      <c r="T390" s="43" t="s">
        <v>2229</v>
      </c>
      <c r="U390" s="4" t="s">
        <v>3699</v>
      </c>
    </row>
    <row r="391" spans="1:21" x14ac:dyDescent="0.3">
      <c r="A391" s="28" t="s">
        <v>556</v>
      </c>
      <c r="B391" s="4" t="s">
        <v>35</v>
      </c>
      <c r="C391" s="4" t="s">
        <v>557</v>
      </c>
      <c r="D391" s="4">
        <v>5405</v>
      </c>
      <c r="E391" s="30">
        <v>240</v>
      </c>
      <c r="G391" s="4">
        <v>4300021652</v>
      </c>
      <c r="J391" s="28" t="s">
        <v>777</v>
      </c>
      <c r="K391" s="28" t="s">
        <v>3</v>
      </c>
      <c r="L391" s="32">
        <v>43191</v>
      </c>
      <c r="M391" s="32">
        <f>BCOXT[[#This Row],[INV DOC DATE]]+30</f>
        <v>43221</v>
      </c>
      <c r="N391" s="32">
        <v>43220</v>
      </c>
      <c r="O391" s="31">
        <v>240</v>
      </c>
      <c r="P391" s="102">
        <v>43234</v>
      </c>
      <c r="Q391" s="31">
        <f t="shared" si="6"/>
        <v>0</v>
      </c>
      <c r="R391" s="53" t="str">
        <f ca="1">IF(TODAY() - BCOXT[INV DUE DATE]&lt;30, "Less than 30 days",IF(TODAY()-BCOXT[INV DUE DATE]&lt;60,"30-60 days","More than 60 days"))</f>
        <v>More than 60 days</v>
      </c>
      <c r="S391" s="4" t="s">
        <v>812</v>
      </c>
      <c r="T391" s="43" t="s">
        <v>2229</v>
      </c>
      <c r="U391" s="4" t="s">
        <v>3699</v>
      </c>
    </row>
    <row r="392" spans="1:21" x14ac:dyDescent="0.3">
      <c r="A392" s="28" t="s">
        <v>556</v>
      </c>
      <c r="B392" s="4" t="s">
        <v>35</v>
      </c>
      <c r="C392" s="4" t="s">
        <v>558</v>
      </c>
      <c r="D392" s="4">
        <v>5405</v>
      </c>
      <c r="E392" s="30">
        <v>240</v>
      </c>
      <c r="G392" s="4">
        <v>4300021652</v>
      </c>
      <c r="J392" s="28" t="s">
        <v>778</v>
      </c>
      <c r="K392" s="28" t="s">
        <v>3</v>
      </c>
      <c r="L392" s="32">
        <v>43191</v>
      </c>
      <c r="M392" s="32">
        <f>BCOXT[[#This Row],[INV DOC DATE]]+30</f>
        <v>43221</v>
      </c>
      <c r="N392" s="32">
        <v>43220</v>
      </c>
      <c r="O392" s="31">
        <v>240</v>
      </c>
      <c r="P392" s="102">
        <v>43234</v>
      </c>
      <c r="Q392" s="31">
        <f t="shared" si="6"/>
        <v>0</v>
      </c>
      <c r="R392" s="53" t="str">
        <f ca="1">IF(TODAY() - BCOXT[INV DUE DATE]&lt;30, "Less than 30 days",IF(TODAY()-BCOXT[INV DUE DATE]&lt;60,"30-60 days","More than 60 days"))</f>
        <v>More than 60 days</v>
      </c>
      <c r="S392" s="4" t="s">
        <v>812</v>
      </c>
      <c r="T392" s="43" t="s">
        <v>2229</v>
      </c>
      <c r="U392" s="4" t="s">
        <v>3699</v>
      </c>
    </row>
    <row r="393" spans="1:21" x14ac:dyDescent="0.3">
      <c r="A393" s="28" t="s">
        <v>556</v>
      </c>
      <c r="B393" s="4" t="s">
        <v>35</v>
      </c>
      <c r="C393" s="4" t="s">
        <v>559</v>
      </c>
      <c r="D393" s="4">
        <v>5405</v>
      </c>
      <c r="E393" s="30">
        <v>240</v>
      </c>
      <c r="G393" s="4">
        <v>4300021652</v>
      </c>
      <c r="J393" s="28" t="s">
        <v>779</v>
      </c>
      <c r="K393" s="28" t="s">
        <v>3</v>
      </c>
      <c r="L393" s="32">
        <v>43191</v>
      </c>
      <c r="M393" s="32">
        <f>BCOXT[[#This Row],[INV DOC DATE]]+30</f>
        <v>43221</v>
      </c>
      <c r="N393" s="32">
        <v>43220</v>
      </c>
      <c r="O393" s="31">
        <v>240</v>
      </c>
      <c r="P393" s="102">
        <v>43234</v>
      </c>
      <c r="Q393" s="31">
        <f t="shared" si="6"/>
        <v>0</v>
      </c>
      <c r="R393" s="53" t="str">
        <f ca="1">IF(TODAY() - BCOXT[INV DUE DATE]&lt;30, "Less than 30 days",IF(TODAY()-BCOXT[INV DUE DATE]&lt;60,"30-60 days","More than 60 days"))</f>
        <v>More than 60 days</v>
      </c>
      <c r="S393" s="4" t="s">
        <v>812</v>
      </c>
      <c r="T393" s="43" t="s">
        <v>2229</v>
      </c>
      <c r="U393" s="4" t="s">
        <v>3699</v>
      </c>
    </row>
    <row r="394" spans="1:21" x14ac:dyDescent="0.3">
      <c r="A394" s="28" t="s">
        <v>556</v>
      </c>
      <c r="B394" s="4" t="s">
        <v>35</v>
      </c>
      <c r="C394" s="4" t="s">
        <v>560</v>
      </c>
      <c r="D394" s="4">
        <v>5405</v>
      </c>
      <c r="E394" s="30">
        <v>240</v>
      </c>
      <c r="G394" s="4">
        <v>4300021652</v>
      </c>
      <c r="J394" s="28" t="s">
        <v>780</v>
      </c>
      <c r="K394" s="28" t="s">
        <v>3</v>
      </c>
      <c r="L394" s="32">
        <v>43191</v>
      </c>
      <c r="M394" s="32">
        <f>BCOXT[[#This Row],[INV DOC DATE]]+30</f>
        <v>43221</v>
      </c>
      <c r="N394" s="32">
        <v>43220</v>
      </c>
      <c r="O394" s="31">
        <v>240</v>
      </c>
      <c r="P394" s="102">
        <v>43234</v>
      </c>
      <c r="Q394" s="31">
        <f t="shared" si="6"/>
        <v>0</v>
      </c>
      <c r="R394" s="53" t="str">
        <f ca="1">IF(TODAY() - BCOXT[INV DUE DATE]&lt;30, "Less than 30 days",IF(TODAY()-BCOXT[INV DUE DATE]&lt;60,"30-60 days","More than 60 days"))</f>
        <v>More than 60 days</v>
      </c>
      <c r="S394" s="4" t="s">
        <v>812</v>
      </c>
      <c r="T394" s="43" t="s">
        <v>2229</v>
      </c>
      <c r="U394" s="4" t="s">
        <v>3699</v>
      </c>
    </row>
    <row r="395" spans="1:21" x14ac:dyDescent="0.3">
      <c r="A395" s="28" t="s">
        <v>556</v>
      </c>
      <c r="B395" s="4" t="s">
        <v>35</v>
      </c>
      <c r="C395" s="4" t="s">
        <v>561</v>
      </c>
      <c r="D395" s="4">
        <v>5405</v>
      </c>
      <c r="E395" s="30">
        <v>240</v>
      </c>
      <c r="G395" s="4">
        <v>4300021652</v>
      </c>
      <c r="J395" s="28" t="s">
        <v>781</v>
      </c>
      <c r="K395" s="28" t="s">
        <v>3</v>
      </c>
      <c r="L395" s="32">
        <v>43191</v>
      </c>
      <c r="M395" s="32">
        <f>BCOXT[[#This Row],[INV DOC DATE]]+30</f>
        <v>43221</v>
      </c>
      <c r="N395" s="32">
        <v>43220</v>
      </c>
      <c r="O395" s="31">
        <v>240</v>
      </c>
      <c r="P395" s="102">
        <v>43234</v>
      </c>
      <c r="Q395" s="31">
        <f t="shared" si="6"/>
        <v>0</v>
      </c>
      <c r="R395" s="53" t="str">
        <f ca="1">IF(TODAY() - BCOXT[INV DUE DATE]&lt;30, "Less than 30 days",IF(TODAY()-BCOXT[INV DUE DATE]&lt;60,"30-60 days","More than 60 days"))</f>
        <v>More than 60 days</v>
      </c>
      <c r="S395" s="4" t="s">
        <v>812</v>
      </c>
      <c r="T395" s="43" t="s">
        <v>2229</v>
      </c>
      <c r="U395" s="4" t="s">
        <v>3699</v>
      </c>
    </row>
    <row r="396" spans="1:21" x14ac:dyDescent="0.3">
      <c r="A396" s="28" t="s">
        <v>556</v>
      </c>
      <c r="B396" s="4" t="s">
        <v>35</v>
      </c>
      <c r="C396" s="4" t="s">
        <v>562</v>
      </c>
      <c r="D396" s="4">
        <v>5405</v>
      </c>
      <c r="E396" s="30">
        <v>240</v>
      </c>
      <c r="G396" s="4">
        <v>4300021652</v>
      </c>
      <c r="J396" s="28" t="s">
        <v>782</v>
      </c>
      <c r="K396" s="28" t="s">
        <v>3</v>
      </c>
      <c r="L396" s="32">
        <v>43191</v>
      </c>
      <c r="M396" s="32">
        <f>BCOXT[[#This Row],[INV DOC DATE]]+30</f>
        <v>43221</v>
      </c>
      <c r="N396" s="32">
        <v>43220</v>
      </c>
      <c r="O396" s="31">
        <v>240</v>
      </c>
      <c r="P396" s="102">
        <v>43234</v>
      </c>
      <c r="Q396" s="31">
        <f t="shared" si="6"/>
        <v>0</v>
      </c>
      <c r="R396" s="53" t="str">
        <f ca="1">IF(TODAY() - BCOXT[INV DUE DATE]&lt;30, "Less than 30 days",IF(TODAY()-BCOXT[INV DUE DATE]&lt;60,"30-60 days","More than 60 days"))</f>
        <v>More than 60 days</v>
      </c>
      <c r="S396" s="4" t="s">
        <v>812</v>
      </c>
      <c r="T396" s="43" t="s">
        <v>2229</v>
      </c>
      <c r="U396" s="4" t="s">
        <v>3699</v>
      </c>
    </row>
    <row r="397" spans="1:21" x14ac:dyDescent="0.3">
      <c r="A397" s="28" t="s">
        <v>556</v>
      </c>
      <c r="B397" s="4" t="s">
        <v>35</v>
      </c>
      <c r="C397" s="4" t="s">
        <v>563</v>
      </c>
      <c r="D397" s="4">
        <v>5405</v>
      </c>
      <c r="E397" s="30">
        <v>240</v>
      </c>
      <c r="G397" s="4">
        <v>4300021652</v>
      </c>
      <c r="J397" s="28" t="s">
        <v>783</v>
      </c>
      <c r="K397" s="28" t="s">
        <v>3</v>
      </c>
      <c r="L397" s="32">
        <v>43191</v>
      </c>
      <c r="M397" s="32">
        <f>BCOXT[[#This Row],[INV DOC DATE]]+30</f>
        <v>43221</v>
      </c>
      <c r="N397" s="32">
        <v>43220</v>
      </c>
      <c r="O397" s="31">
        <v>240</v>
      </c>
      <c r="P397" s="102">
        <v>43234</v>
      </c>
      <c r="Q397" s="31">
        <f t="shared" si="6"/>
        <v>0</v>
      </c>
      <c r="R397" s="53" t="str">
        <f ca="1">IF(TODAY() - BCOXT[INV DUE DATE]&lt;30, "Less than 30 days",IF(TODAY()-BCOXT[INV DUE DATE]&lt;60,"30-60 days","More than 60 days"))</f>
        <v>More than 60 days</v>
      </c>
      <c r="S397" s="4" t="s">
        <v>812</v>
      </c>
      <c r="T397" s="43" t="s">
        <v>2229</v>
      </c>
      <c r="U397" s="4" t="s">
        <v>3699</v>
      </c>
    </row>
    <row r="398" spans="1:21" x14ac:dyDescent="0.3">
      <c r="A398" s="28" t="s">
        <v>556</v>
      </c>
      <c r="B398" s="4" t="s">
        <v>35</v>
      </c>
      <c r="C398" s="4" t="s">
        <v>564</v>
      </c>
      <c r="D398" s="4">
        <v>5405</v>
      </c>
      <c r="E398" s="30">
        <v>240</v>
      </c>
      <c r="G398" s="4">
        <v>4300021652</v>
      </c>
      <c r="J398" s="28" t="s">
        <v>784</v>
      </c>
      <c r="K398" s="28" t="s">
        <v>3</v>
      </c>
      <c r="L398" s="32">
        <v>43191</v>
      </c>
      <c r="M398" s="32">
        <f>BCOXT[[#This Row],[INV DOC DATE]]+30</f>
        <v>43221</v>
      </c>
      <c r="N398" s="32">
        <v>43220</v>
      </c>
      <c r="O398" s="31">
        <v>240</v>
      </c>
      <c r="P398" s="102">
        <v>43234</v>
      </c>
      <c r="Q398" s="31">
        <f t="shared" si="6"/>
        <v>0</v>
      </c>
      <c r="R398" s="53" t="str">
        <f ca="1">IF(TODAY() - BCOXT[INV DUE DATE]&lt;30, "Less than 30 days",IF(TODAY()-BCOXT[INV DUE DATE]&lt;60,"30-60 days","More than 60 days"))</f>
        <v>More than 60 days</v>
      </c>
      <c r="S398" s="4" t="s">
        <v>812</v>
      </c>
      <c r="T398" s="43" t="s">
        <v>2229</v>
      </c>
      <c r="U398" s="4" t="s">
        <v>3699</v>
      </c>
    </row>
    <row r="399" spans="1:21" x14ac:dyDescent="0.3">
      <c r="A399" s="28" t="s">
        <v>556</v>
      </c>
      <c r="B399" s="4" t="s">
        <v>35</v>
      </c>
      <c r="C399" s="4" t="s">
        <v>565</v>
      </c>
      <c r="D399" s="4">
        <v>5405</v>
      </c>
      <c r="E399" s="30">
        <v>240</v>
      </c>
      <c r="G399" s="4">
        <v>4300021652</v>
      </c>
      <c r="J399" s="28" t="s">
        <v>785</v>
      </c>
      <c r="K399" s="28" t="s">
        <v>3</v>
      </c>
      <c r="L399" s="32">
        <v>43191</v>
      </c>
      <c r="M399" s="32">
        <f>BCOXT[[#This Row],[INV DOC DATE]]+30</f>
        <v>43221</v>
      </c>
      <c r="N399" s="32">
        <v>43220</v>
      </c>
      <c r="O399" s="31">
        <v>240</v>
      </c>
      <c r="P399" s="102">
        <v>43234</v>
      </c>
      <c r="Q399" s="31">
        <f t="shared" si="6"/>
        <v>0</v>
      </c>
      <c r="R399" s="53" t="str">
        <f ca="1">IF(TODAY() - BCOXT[INV DUE DATE]&lt;30, "Less than 30 days",IF(TODAY()-BCOXT[INV DUE DATE]&lt;60,"30-60 days","More than 60 days"))</f>
        <v>More than 60 days</v>
      </c>
      <c r="S399" s="4" t="s">
        <v>812</v>
      </c>
      <c r="T399" s="43" t="s">
        <v>2229</v>
      </c>
      <c r="U399" s="4" t="s">
        <v>3699</v>
      </c>
    </row>
    <row r="400" spans="1:21" x14ac:dyDescent="0.3">
      <c r="A400" s="28" t="s">
        <v>556</v>
      </c>
      <c r="B400" s="4" t="s">
        <v>35</v>
      </c>
      <c r="C400" s="4" t="s">
        <v>566</v>
      </c>
      <c r="D400" s="4">
        <v>5405</v>
      </c>
      <c r="E400" s="30">
        <v>240</v>
      </c>
      <c r="G400" s="4">
        <v>4300021652</v>
      </c>
      <c r="J400" s="28" t="s">
        <v>786</v>
      </c>
      <c r="K400" s="28" t="s">
        <v>3</v>
      </c>
      <c r="L400" s="32">
        <v>43191</v>
      </c>
      <c r="M400" s="32">
        <f>BCOXT[[#This Row],[INV DOC DATE]]+30</f>
        <v>43221</v>
      </c>
      <c r="N400" s="32">
        <v>43220</v>
      </c>
      <c r="O400" s="31">
        <v>240</v>
      </c>
      <c r="P400" s="102">
        <v>43234</v>
      </c>
      <c r="Q400" s="31">
        <f t="shared" si="6"/>
        <v>0</v>
      </c>
      <c r="R400" s="53" t="str">
        <f ca="1">IF(TODAY() - BCOXT[INV DUE DATE]&lt;30, "Less than 30 days",IF(TODAY()-BCOXT[INV DUE DATE]&lt;60,"30-60 days","More than 60 days"))</f>
        <v>More than 60 days</v>
      </c>
      <c r="S400" s="4" t="s">
        <v>812</v>
      </c>
      <c r="T400" s="43" t="s">
        <v>2229</v>
      </c>
      <c r="U400" s="4" t="s">
        <v>3699</v>
      </c>
    </row>
    <row r="401" spans="1:21" x14ac:dyDescent="0.3">
      <c r="A401" s="28" t="s">
        <v>556</v>
      </c>
      <c r="B401" s="4" t="s">
        <v>35</v>
      </c>
      <c r="C401" s="4" t="s">
        <v>567</v>
      </c>
      <c r="D401" s="4">
        <v>5405</v>
      </c>
      <c r="E401" s="30">
        <v>240</v>
      </c>
      <c r="G401" s="4">
        <v>4300021652</v>
      </c>
      <c r="J401" s="28" t="s">
        <v>787</v>
      </c>
      <c r="K401" s="28" t="s">
        <v>3</v>
      </c>
      <c r="L401" s="32">
        <v>43191</v>
      </c>
      <c r="M401" s="32">
        <f>BCOXT[[#This Row],[INV DOC DATE]]+30</f>
        <v>43221</v>
      </c>
      <c r="N401" s="32">
        <v>43220</v>
      </c>
      <c r="O401" s="31">
        <v>240</v>
      </c>
      <c r="P401" s="102">
        <v>43234</v>
      </c>
      <c r="Q401" s="31">
        <f t="shared" si="6"/>
        <v>0</v>
      </c>
      <c r="R401" s="53" t="str">
        <f ca="1">IF(TODAY() - BCOXT[INV DUE DATE]&lt;30, "Less than 30 days",IF(TODAY()-BCOXT[INV DUE DATE]&lt;60,"30-60 days","More than 60 days"))</f>
        <v>More than 60 days</v>
      </c>
      <c r="S401" s="4" t="s">
        <v>812</v>
      </c>
      <c r="T401" s="43" t="s">
        <v>2229</v>
      </c>
      <c r="U401" s="4" t="s">
        <v>3699</v>
      </c>
    </row>
    <row r="402" spans="1:21" x14ac:dyDescent="0.3">
      <c r="A402" s="28" t="s">
        <v>556</v>
      </c>
      <c r="B402" s="4" t="s">
        <v>35</v>
      </c>
      <c r="C402" s="4" t="s">
        <v>568</v>
      </c>
      <c r="D402" s="4">
        <v>5405</v>
      </c>
      <c r="E402" s="30">
        <v>240</v>
      </c>
      <c r="G402" s="4">
        <v>4300021652</v>
      </c>
      <c r="J402" s="28" t="s">
        <v>788</v>
      </c>
      <c r="K402" s="28" t="s">
        <v>3</v>
      </c>
      <c r="L402" s="32">
        <v>43191</v>
      </c>
      <c r="M402" s="32">
        <f>BCOXT[[#This Row],[INV DOC DATE]]+30</f>
        <v>43221</v>
      </c>
      <c r="N402" s="32">
        <v>43220</v>
      </c>
      <c r="O402" s="31">
        <v>240</v>
      </c>
      <c r="P402" s="102">
        <v>43234</v>
      </c>
      <c r="Q402" s="31">
        <f t="shared" si="6"/>
        <v>0</v>
      </c>
      <c r="R402" s="53" t="str">
        <f ca="1">IF(TODAY() - BCOXT[INV DUE DATE]&lt;30, "Less than 30 days",IF(TODAY()-BCOXT[INV DUE DATE]&lt;60,"30-60 days","More than 60 days"))</f>
        <v>More than 60 days</v>
      </c>
      <c r="S402" s="4" t="s">
        <v>812</v>
      </c>
      <c r="T402" s="43" t="s">
        <v>2229</v>
      </c>
      <c r="U402" s="4" t="s">
        <v>3699</v>
      </c>
    </row>
    <row r="403" spans="1:21" x14ac:dyDescent="0.3">
      <c r="A403" s="28" t="s">
        <v>556</v>
      </c>
      <c r="B403" s="4" t="s">
        <v>35</v>
      </c>
      <c r="C403" s="4" t="s">
        <v>569</v>
      </c>
      <c r="D403" s="4">
        <v>5405</v>
      </c>
      <c r="E403" s="30">
        <v>240</v>
      </c>
      <c r="G403" s="4">
        <v>4300021652</v>
      </c>
      <c r="J403" s="28" t="s">
        <v>789</v>
      </c>
      <c r="K403" s="28" t="s">
        <v>3</v>
      </c>
      <c r="L403" s="32">
        <v>43191</v>
      </c>
      <c r="M403" s="32">
        <f>BCOXT[[#This Row],[INV DOC DATE]]+30</f>
        <v>43221</v>
      </c>
      <c r="N403" s="32">
        <v>43220</v>
      </c>
      <c r="O403" s="31">
        <v>240</v>
      </c>
      <c r="P403" s="102">
        <v>43234</v>
      </c>
      <c r="Q403" s="31">
        <f t="shared" si="6"/>
        <v>0</v>
      </c>
      <c r="R403" s="53" t="str">
        <f ca="1">IF(TODAY() - BCOXT[INV DUE DATE]&lt;30, "Less than 30 days",IF(TODAY()-BCOXT[INV DUE DATE]&lt;60,"30-60 days","More than 60 days"))</f>
        <v>More than 60 days</v>
      </c>
      <c r="S403" s="4" t="s">
        <v>812</v>
      </c>
      <c r="T403" s="43" t="s">
        <v>2229</v>
      </c>
      <c r="U403" s="4" t="s">
        <v>3699</v>
      </c>
    </row>
    <row r="404" spans="1:21" x14ac:dyDescent="0.3">
      <c r="A404" s="28" t="s">
        <v>556</v>
      </c>
      <c r="B404" s="4" t="s">
        <v>35</v>
      </c>
      <c r="C404" s="4" t="s">
        <v>570</v>
      </c>
      <c r="D404" s="4">
        <v>5405</v>
      </c>
      <c r="E404" s="30">
        <v>240</v>
      </c>
      <c r="G404" s="4">
        <v>4300021652</v>
      </c>
      <c r="J404" s="28" t="s">
        <v>790</v>
      </c>
      <c r="K404" s="28" t="s">
        <v>3</v>
      </c>
      <c r="L404" s="32">
        <v>43191</v>
      </c>
      <c r="M404" s="32">
        <f>BCOXT[[#This Row],[INV DOC DATE]]+30</f>
        <v>43221</v>
      </c>
      <c r="N404" s="32">
        <v>43220</v>
      </c>
      <c r="O404" s="31">
        <v>240</v>
      </c>
      <c r="P404" s="102">
        <v>43234</v>
      </c>
      <c r="Q404" s="31">
        <f t="shared" si="6"/>
        <v>0</v>
      </c>
      <c r="R404" s="53" t="str">
        <f ca="1">IF(TODAY() - BCOXT[INV DUE DATE]&lt;30, "Less than 30 days",IF(TODAY()-BCOXT[INV DUE DATE]&lt;60,"30-60 days","More than 60 days"))</f>
        <v>More than 60 days</v>
      </c>
      <c r="S404" s="4" t="s">
        <v>812</v>
      </c>
      <c r="T404" s="43" t="s">
        <v>2229</v>
      </c>
      <c r="U404" s="4" t="s">
        <v>3699</v>
      </c>
    </row>
    <row r="405" spans="1:21" x14ac:dyDescent="0.3">
      <c r="A405" s="28" t="s">
        <v>556</v>
      </c>
      <c r="B405" s="4" t="s">
        <v>35</v>
      </c>
      <c r="C405" s="4" t="s">
        <v>571</v>
      </c>
      <c r="D405" s="4">
        <v>5405</v>
      </c>
      <c r="E405" s="30">
        <v>240</v>
      </c>
      <c r="G405" s="4">
        <v>4300021652</v>
      </c>
      <c r="J405" s="28" t="s">
        <v>791</v>
      </c>
      <c r="K405" s="28" t="s">
        <v>3</v>
      </c>
      <c r="L405" s="32">
        <v>43191</v>
      </c>
      <c r="M405" s="32">
        <f>BCOXT[[#This Row],[INV DOC DATE]]+30</f>
        <v>43221</v>
      </c>
      <c r="N405" s="32">
        <v>43220</v>
      </c>
      <c r="O405" s="31">
        <v>240</v>
      </c>
      <c r="P405" s="102">
        <v>43234</v>
      </c>
      <c r="Q405" s="31">
        <f t="shared" si="6"/>
        <v>0</v>
      </c>
      <c r="R405" s="53" t="str">
        <f ca="1">IF(TODAY() - BCOXT[INV DUE DATE]&lt;30, "Less than 30 days",IF(TODAY()-BCOXT[INV DUE DATE]&lt;60,"30-60 days","More than 60 days"))</f>
        <v>More than 60 days</v>
      </c>
      <c r="S405" s="4" t="s">
        <v>812</v>
      </c>
      <c r="T405" s="43" t="s">
        <v>2229</v>
      </c>
      <c r="U405" s="4" t="s">
        <v>3699</v>
      </c>
    </row>
    <row r="406" spans="1:21" x14ac:dyDescent="0.3">
      <c r="A406" s="28" t="s">
        <v>556</v>
      </c>
      <c r="B406" s="4" t="s">
        <v>35</v>
      </c>
      <c r="C406" s="4" t="s">
        <v>572</v>
      </c>
      <c r="D406" s="4">
        <v>5405</v>
      </c>
      <c r="E406" s="30">
        <v>240</v>
      </c>
      <c r="G406" s="4">
        <v>4300021652</v>
      </c>
      <c r="J406" s="28" t="s">
        <v>792</v>
      </c>
      <c r="K406" s="28" t="s">
        <v>3</v>
      </c>
      <c r="L406" s="32">
        <v>43191</v>
      </c>
      <c r="M406" s="32">
        <f>BCOXT[[#This Row],[INV DOC DATE]]+30</f>
        <v>43221</v>
      </c>
      <c r="N406" s="32">
        <v>43220</v>
      </c>
      <c r="O406" s="31">
        <v>240</v>
      </c>
      <c r="P406" s="102">
        <v>43234</v>
      </c>
      <c r="Q406" s="31">
        <f t="shared" si="6"/>
        <v>0</v>
      </c>
      <c r="R406" s="53" t="str">
        <f ca="1">IF(TODAY() - BCOXT[INV DUE DATE]&lt;30, "Less than 30 days",IF(TODAY()-BCOXT[INV DUE DATE]&lt;60,"30-60 days","More than 60 days"))</f>
        <v>More than 60 days</v>
      </c>
      <c r="S406" s="4" t="s">
        <v>812</v>
      </c>
      <c r="T406" s="43" t="s">
        <v>2229</v>
      </c>
      <c r="U406" s="4" t="s">
        <v>3699</v>
      </c>
    </row>
    <row r="407" spans="1:21" x14ac:dyDescent="0.3">
      <c r="A407" s="28" t="s">
        <v>556</v>
      </c>
      <c r="B407" s="4" t="s">
        <v>35</v>
      </c>
      <c r="C407" s="4" t="s">
        <v>573</v>
      </c>
      <c r="D407" s="4">
        <v>5405</v>
      </c>
      <c r="E407" s="30">
        <v>240</v>
      </c>
      <c r="G407" s="4">
        <v>4300021652</v>
      </c>
      <c r="J407" s="28" t="s">
        <v>793</v>
      </c>
      <c r="K407" s="28" t="s">
        <v>3</v>
      </c>
      <c r="L407" s="32">
        <v>43191</v>
      </c>
      <c r="M407" s="32">
        <f>BCOXT[[#This Row],[INV DOC DATE]]+30</f>
        <v>43221</v>
      </c>
      <c r="N407" s="32">
        <v>43220</v>
      </c>
      <c r="O407" s="31">
        <v>240</v>
      </c>
      <c r="P407" s="102">
        <v>43234</v>
      </c>
      <c r="Q407" s="31">
        <f t="shared" si="6"/>
        <v>0</v>
      </c>
      <c r="R407" s="53" t="str">
        <f ca="1">IF(TODAY() - BCOXT[INV DUE DATE]&lt;30, "Less than 30 days",IF(TODAY()-BCOXT[INV DUE DATE]&lt;60,"30-60 days","More than 60 days"))</f>
        <v>More than 60 days</v>
      </c>
      <c r="S407" s="4" t="s">
        <v>812</v>
      </c>
      <c r="T407" s="43" t="s">
        <v>2229</v>
      </c>
      <c r="U407" s="4" t="s">
        <v>3699</v>
      </c>
    </row>
    <row r="408" spans="1:21" x14ac:dyDescent="0.3">
      <c r="A408" s="28" t="s">
        <v>556</v>
      </c>
      <c r="B408" s="4" t="s">
        <v>35</v>
      </c>
      <c r="C408" s="4" t="s">
        <v>574</v>
      </c>
      <c r="D408" s="4">
        <v>5405</v>
      </c>
      <c r="E408" s="30">
        <v>240</v>
      </c>
      <c r="G408" s="4">
        <v>4300021652</v>
      </c>
      <c r="J408" s="28" t="s">
        <v>794</v>
      </c>
      <c r="K408" s="28" t="s">
        <v>3</v>
      </c>
      <c r="L408" s="32">
        <v>43191</v>
      </c>
      <c r="M408" s="32">
        <f>BCOXT[[#This Row],[INV DOC DATE]]+30</f>
        <v>43221</v>
      </c>
      <c r="N408" s="32">
        <v>43220</v>
      </c>
      <c r="O408" s="31">
        <v>240</v>
      </c>
      <c r="P408" s="102">
        <v>43234</v>
      </c>
      <c r="Q408" s="31">
        <f t="shared" si="6"/>
        <v>0</v>
      </c>
      <c r="R408" s="53" t="str">
        <f ca="1">IF(TODAY() - BCOXT[INV DUE DATE]&lt;30, "Less than 30 days",IF(TODAY()-BCOXT[INV DUE DATE]&lt;60,"30-60 days","More than 60 days"))</f>
        <v>More than 60 days</v>
      </c>
      <c r="S408" s="4" t="s">
        <v>812</v>
      </c>
      <c r="T408" s="43" t="s">
        <v>2229</v>
      </c>
      <c r="U408" s="4" t="s">
        <v>3699</v>
      </c>
    </row>
    <row r="409" spans="1:21" x14ac:dyDescent="0.3">
      <c r="A409" s="28" t="s">
        <v>556</v>
      </c>
      <c r="B409" s="4" t="s">
        <v>35</v>
      </c>
      <c r="C409" s="4" t="s">
        <v>575</v>
      </c>
      <c r="D409" s="4">
        <v>5405</v>
      </c>
      <c r="E409" s="30">
        <v>240</v>
      </c>
      <c r="G409" s="4">
        <v>4300021652</v>
      </c>
      <c r="J409" s="28" t="s">
        <v>795</v>
      </c>
      <c r="K409" s="28" t="s">
        <v>3</v>
      </c>
      <c r="L409" s="32">
        <v>43191</v>
      </c>
      <c r="M409" s="32">
        <f>BCOXT[[#This Row],[INV DOC DATE]]+30</f>
        <v>43221</v>
      </c>
      <c r="N409" s="32">
        <v>43220</v>
      </c>
      <c r="O409" s="31">
        <v>240</v>
      </c>
      <c r="P409" s="102">
        <v>43234</v>
      </c>
      <c r="Q409" s="31">
        <f t="shared" si="6"/>
        <v>0</v>
      </c>
      <c r="R409" s="53" t="str">
        <f ca="1">IF(TODAY() - BCOXT[INV DUE DATE]&lt;30, "Less than 30 days",IF(TODAY()-BCOXT[INV DUE DATE]&lt;60,"30-60 days","More than 60 days"))</f>
        <v>More than 60 days</v>
      </c>
      <c r="S409" s="4" t="s">
        <v>812</v>
      </c>
      <c r="T409" s="43" t="s">
        <v>2229</v>
      </c>
      <c r="U409" s="4" t="s">
        <v>3699</v>
      </c>
    </row>
    <row r="410" spans="1:21" x14ac:dyDescent="0.3">
      <c r="A410" s="28" t="s">
        <v>556</v>
      </c>
      <c r="B410" s="4" t="s">
        <v>35</v>
      </c>
      <c r="C410" s="4" t="s">
        <v>576</v>
      </c>
      <c r="D410" s="4">
        <v>5405</v>
      </c>
      <c r="E410" s="30">
        <v>486</v>
      </c>
      <c r="G410" s="4">
        <v>4300021652</v>
      </c>
      <c r="J410" s="28" t="s">
        <v>796</v>
      </c>
      <c r="K410" s="28" t="s">
        <v>3</v>
      </c>
      <c r="L410" s="32">
        <v>43191</v>
      </c>
      <c r="M410" s="32">
        <f>BCOXT[[#This Row],[INV DOC DATE]]+30</f>
        <v>43221</v>
      </c>
      <c r="N410" s="32">
        <v>43220</v>
      </c>
      <c r="O410" s="31">
        <v>486</v>
      </c>
      <c r="P410" s="102">
        <v>43234</v>
      </c>
      <c r="Q410" s="31">
        <f t="shared" si="6"/>
        <v>0</v>
      </c>
      <c r="R410" s="53" t="str">
        <f ca="1">IF(TODAY() - BCOXT[INV DUE DATE]&lt;30, "Less than 30 days",IF(TODAY()-BCOXT[INV DUE DATE]&lt;60,"30-60 days","More than 60 days"))</f>
        <v>More than 60 days</v>
      </c>
      <c r="S410" s="4" t="s">
        <v>812</v>
      </c>
      <c r="T410" s="43" t="s">
        <v>2229</v>
      </c>
      <c r="U410" s="4" t="s">
        <v>3699</v>
      </c>
    </row>
    <row r="411" spans="1:21" x14ac:dyDescent="0.3">
      <c r="A411" s="28" t="s">
        <v>556</v>
      </c>
      <c r="B411" s="4" t="s">
        <v>35</v>
      </c>
      <c r="C411" s="4" t="s">
        <v>577</v>
      </c>
      <c r="D411" s="4">
        <v>5405</v>
      </c>
      <c r="E411" s="30">
        <v>486</v>
      </c>
      <c r="G411" s="4">
        <v>4300021652</v>
      </c>
      <c r="J411" s="28" t="s">
        <v>797</v>
      </c>
      <c r="K411" s="28" t="s">
        <v>3</v>
      </c>
      <c r="L411" s="32">
        <v>43191</v>
      </c>
      <c r="M411" s="32">
        <f>BCOXT[[#This Row],[INV DOC DATE]]+30</f>
        <v>43221</v>
      </c>
      <c r="N411" s="32">
        <v>43220</v>
      </c>
      <c r="O411" s="31">
        <v>486</v>
      </c>
      <c r="P411" s="102">
        <v>43234</v>
      </c>
      <c r="Q411" s="31">
        <f t="shared" si="6"/>
        <v>0</v>
      </c>
      <c r="R411" s="53" t="str">
        <f ca="1">IF(TODAY() - BCOXT[INV DUE DATE]&lt;30, "Less than 30 days",IF(TODAY()-BCOXT[INV DUE DATE]&lt;60,"30-60 days","More than 60 days"))</f>
        <v>More than 60 days</v>
      </c>
      <c r="S411" s="4" t="s">
        <v>812</v>
      </c>
      <c r="T411" s="43" t="s">
        <v>2229</v>
      </c>
      <c r="U411" s="4" t="s">
        <v>3699</v>
      </c>
    </row>
    <row r="412" spans="1:21" x14ac:dyDescent="0.3">
      <c r="A412" s="28" t="s">
        <v>556</v>
      </c>
      <c r="B412" s="4" t="s">
        <v>35</v>
      </c>
      <c r="C412" s="4" t="s">
        <v>578</v>
      </c>
      <c r="D412" s="4">
        <v>5405</v>
      </c>
      <c r="E412" s="30">
        <v>240</v>
      </c>
      <c r="G412" s="4">
        <v>4300021652</v>
      </c>
      <c r="J412" s="28" t="s">
        <v>798</v>
      </c>
      <c r="K412" s="28" t="s">
        <v>3</v>
      </c>
      <c r="L412" s="32">
        <v>43191</v>
      </c>
      <c r="M412" s="32">
        <f>BCOXT[[#This Row],[INV DOC DATE]]+30</f>
        <v>43221</v>
      </c>
      <c r="N412" s="32">
        <v>43220</v>
      </c>
      <c r="O412" s="31">
        <v>240</v>
      </c>
      <c r="P412" s="102">
        <v>43234</v>
      </c>
      <c r="Q412" s="31">
        <f t="shared" si="6"/>
        <v>0</v>
      </c>
      <c r="R412" s="53" t="str">
        <f ca="1">IF(TODAY() - BCOXT[INV DUE DATE]&lt;30, "Less than 30 days",IF(TODAY()-BCOXT[INV DUE DATE]&lt;60,"30-60 days","More than 60 days"))</f>
        <v>More than 60 days</v>
      </c>
      <c r="S412" s="4" t="s">
        <v>812</v>
      </c>
      <c r="T412" s="43" t="s">
        <v>2229</v>
      </c>
      <c r="U412" s="4" t="s">
        <v>3699</v>
      </c>
    </row>
    <row r="413" spans="1:21" x14ac:dyDescent="0.3">
      <c r="A413" s="28" t="s">
        <v>556</v>
      </c>
      <c r="B413" s="4" t="s">
        <v>35</v>
      </c>
      <c r="C413" s="4" t="s">
        <v>579</v>
      </c>
      <c r="D413" s="4">
        <v>5405</v>
      </c>
      <c r="E413" s="30">
        <v>240</v>
      </c>
      <c r="G413" s="4">
        <v>4300021652</v>
      </c>
      <c r="J413" s="28" t="s">
        <v>799</v>
      </c>
      <c r="K413" s="28" t="s">
        <v>3</v>
      </c>
      <c r="L413" s="32">
        <v>43191</v>
      </c>
      <c r="M413" s="32">
        <f>BCOXT[[#This Row],[INV DOC DATE]]+30</f>
        <v>43221</v>
      </c>
      <c r="N413" s="32">
        <v>43220</v>
      </c>
      <c r="O413" s="31">
        <v>240</v>
      </c>
      <c r="P413" s="102">
        <v>43234</v>
      </c>
      <c r="Q413" s="31">
        <f t="shared" si="6"/>
        <v>0</v>
      </c>
      <c r="R413" s="53" t="str">
        <f ca="1">IF(TODAY() - BCOXT[INV DUE DATE]&lt;30, "Less than 30 days",IF(TODAY()-BCOXT[INV DUE DATE]&lt;60,"30-60 days","More than 60 days"))</f>
        <v>More than 60 days</v>
      </c>
      <c r="S413" s="4" t="s">
        <v>812</v>
      </c>
      <c r="T413" s="43" t="s">
        <v>2229</v>
      </c>
      <c r="U413" s="4" t="s">
        <v>3699</v>
      </c>
    </row>
    <row r="414" spans="1:21" x14ac:dyDescent="0.3">
      <c r="A414" s="28" t="s">
        <v>556</v>
      </c>
      <c r="B414" s="4" t="s">
        <v>35</v>
      </c>
      <c r="C414" s="4" t="s">
        <v>580</v>
      </c>
      <c r="D414" s="4">
        <v>5405</v>
      </c>
      <c r="E414" s="30">
        <v>240</v>
      </c>
      <c r="G414" s="4">
        <v>4300021652</v>
      </c>
      <c r="J414" s="28" t="s">
        <v>800</v>
      </c>
      <c r="K414" s="28" t="s">
        <v>3</v>
      </c>
      <c r="L414" s="32">
        <v>43191</v>
      </c>
      <c r="M414" s="32">
        <f>BCOXT[[#This Row],[INV DOC DATE]]+30</f>
        <v>43221</v>
      </c>
      <c r="N414" s="32">
        <v>43220</v>
      </c>
      <c r="O414" s="31">
        <v>240</v>
      </c>
      <c r="P414" s="102">
        <v>43234</v>
      </c>
      <c r="Q414" s="31">
        <f t="shared" si="6"/>
        <v>0</v>
      </c>
      <c r="R414" s="53" t="str">
        <f ca="1">IF(TODAY() - BCOXT[INV DUE DATE]&lt;30, "Less than 30 days",IF(TODAY()-BCOXT[INV DUE DATE]&lt;60,"30-60 days","More than 60 days"))</f>
        <v>More than 60 days</v>
      </c>
      <c r="S414" s="4" t="s">
        <v>812</v>
      </c>
      <c r="T414" s="43" t="s">
        <v>2229</v>
      </c>
      <c r="U414" s="4" t="s">
        <v>3699</v>
      </c>
    </row>
    <row r="415" spans="1:21" x14ac:dyDescent="0.3">
      <c r="A415" s="28" t="s">
        <v>556</v>
      </c>
      <c r="B415" s="4" t="s">
        <v>35</v>
      </c>
      <c r="C415" s="4" t="s">
        <v>581</v>
      </c>
      <c r="D415" s="4">
        <v>5405</v>
      </c>
      <c r="E415" s="30">
        <v>240</v>
      </c>
      <c r="G415" s="4">
        <v>4300021652</v>
      </c>
      <c r="J415" s="28" t="s">
        <v>801</v>
      </c>
      <c r="K415" s="28" t="s">
        <v>3</v>
      </c>
      <c r="L415" s="32">
        <v>43191</v>
      </c>
      <c r="M415" s="32">
        <f>BCOXT[[#This Row],[INV DOC DATE]]+30</f>
        <v>43221</v>
      </c>
      <c r="N415" s="32">
        <v>43220</v>
      </c>
      <c r="O415" s="31">
        <v>240</v>
      </c>
      <c r="P415" s="102">
        <v>43234</v>
      </c>
      <c r="Q415" s="31">
        <f t="shared" si="6"/>
        <v>0</v>
      </c>
      <c r="R415" s="53" t="str">
        <f ca="1">IF(TODAY() - BCOXT[INV DUE DATE]&lt;30, "Less than 30 days",IF(TODAY()-BCOXT[INV DUE DATE]&lt;60,"30-60 days","More than 60 days"))</f>
        <v>More than 60 days</v>
      </c>
      <c r="S415" s="4" t="s">
        <v>812</v>
      </c>
      <c r="T415" s="43" t="s">
        <v>2229</v>
      </c>
      <c r="U415" s="4" t="s">
        <v>3699</v>
      </c>
    </row>
    <row r="416" spans="1:21" x14ac:dyDescent="0.3">
      <c r="A416" s="28" t="s">
        <v>556</v>
      </c>
      <c r="B416" s="4" t="s">
        <v>35</v>
      </c>
      <c r="C416" s="4" t="s">
        <v>582</v>
      </c>
      <c r="D416" s="4">
        <v>5405</v>
      </c>
      <c r="E416" s="30">
        <v>240</v>
      </c>
      <c r="G416" s="4">
        <v>4300021652</v>
      </c>
      <c r="J416" s="28" t="s">
        <v>802</v>
      </c>
      <c r="K416" s="28" t="s">
        <v>3</v>
      </c>
      <c r="L416" s="32">
        <v>43191</v>
      </c>
      <c r="M416" s="32">
        <f>BCOXT[[#This Row],[INV DOC DATE]]+30</f>
        <v>43221</v>
      </c>
      <c r="N416" s="32">
        <v>43220</v>
      </c>
      <c r="O416" s="31">
        <v>240</v>
      </c>
      <c r="P416" s="102">
        <v>43234</v>
      </c>
      <c r="Q416" s="31">
        <f t="shared" si="6"/>
        <v>0</v>
      </c>
      <c r="R416" s="53" t="str">
        <f ca="1">IF(TODAY() - BCOXT[INV DUE DATE]&lt;30, "Less than 30 days",IF(TODAY()-BCOXT[INV DUE DATE]&lt;60,"30-60 days","More than 60 days"))</f>
        <v>More than 60 days</v>
      </c>
      <c r="S416" s="4" t="s">
        <v>812</v>
      </c>
      <c r="T416" s="43" t="s">
        <v>2229</v>
      </c>
      <c r="U416" s="4" t="s">
        <v>3699</v>
      </c>
    </row>
    <row r="417" spans="1:21" x14ac:dyDescent="0.3">
      <c r="A417" s="28" t="s">
        <v>556</v>
      </c>
      <c r="B417" s="4" t="s">
        <v>35</v>
      </c>
      <c r="C417" s="4" t="s">
        <v>583</v>
      </c>
      <c r="D417" s="4">
        <v>5405</v>
      </c>
      <c r="E417" s="30">
        <v>240</v>
      </c>
      <c r="G417" s="4">
        <v>4300021652</v>
      </c>
      <c r="J417" s="28" t="s">
        <v>803</v>
      </c>
      <c r="K417" s="28" t="s">
        <v>3</v>
      </c>
      <c r="L417" s="32">
        <v>43191</v>
      </c>
      <c r="M417" s="32">
        <f>BCOXT[[#This Row],[INV DOC DATE]]+30</f>
        <v>43221</v>
      </c>
      <c r="N417" s="32">
        <v>43220</v>
      </c>
      <c r="O417" s="31">
        <v>240</v>
      </c>
      <c r="P417" s="102">
        <v>43234</v>
      </c>
      <c r="Q417" s="31">
        <f t="shared" si="6"/>
        <v>0</v>
      </c>
      <c r="R417" s="53" t="str">
        <f ca="1">IF(TODAY() - BCOXT[INV DUE DATE]&lt;30, "Less than 30 days",IF(TODAY()-BCOXT[INV DUE DATE]&lt;60,"30-60 days","More than 60 days"))</f>
        <v>More than 60 days</v>
      </c>
      <c r="S417" s="4" t="s">
        <v>812</v>
      </c>
      <c r="T417" s="43" t="s">
        <v>2229</v>
      </c>
      <c r="U417" s="4" t="s">
        <v>3699</v>
      </c>
    </row>
    <row r="418" spans="1:21" x14ac:dyDescent="0.3">
      <c r="A418" s="28" t="s">
        <v>556</v>
      </c>
      <c r="B418" s="4" t="s">
        <v>35</v>
      </c>
      <c r="C418" s="4" t="s">
        <v>584</v>
      </c>
      <c r="D418" s="4">
        <v>5405</v>
      </c>
      <c r="E418" s="30">
        <v>240</v>
      </c>
      <c r="G418" s="4">
        <v>4300021652</v>
      </c>
      <c r="J418" s="28" t="s">
        <v>804</v>
      </c>
      <c r="K418" s="28" t="s">
        <v>3</v>
      </c>
      <c r="L418" s="32">
        <v>43191</v>
      </c>
      <c r="M418" s="32">
        <f>BCOXT[[#This Row],[INV DOC DATE]]+30</f>
        <v>43221</v>
      </c>
      <c r="N418" s="32">
        <v>43220</v>
      </c>
      <c r="O418" s="31">
        <v>240</v>
      </c>
      <c r="P418" s="102">
        <v>43234</v>
      </c>
      <c r="Q418" s="31">
        <f t="shared" si="6"/>
        <v>0</v>
      </c>
      <c r="R418" s="53" t="str">
        <f ca="1">IF(TODAY() - BCOXT[INV DUE DATE]&lt;30, "Less than 30 days",IF(TODAY()-BCOXT[INV DUE DATE]&lt;60,"30-60 days","More than 60 days"))</f>
        <v>More than 60 days</v>
      </c>
      <c r="S418" s="4" t="s">
        <v>812</v>
      </c>
      <c r="T418" s="43" t="s">
        <v>2229</v>
      </c>
      <c r="U418" s="4" t="s">
        <v>3699</v>
      </c>
    </row>
    <row r="419" spans="1:21" x14ac:dyDescent="0.3">
      <c r="A419" s="28" t="s">
        <v>556</v>
      </c>
      <c r="B419" s="4" t="s">
        <v>35</v>
      </c>
      <c r="C419" s="4" t="s">
        <v>585</v>
      </c>
      <c r="D419" s="4">
        <v>5405</v>
      </c>
      <c r="E419" s="30">
        <v>240</v>
      </c>
      <c r="G419" s="4">
        <v>4300021652</v>
      </c>
      <c r="J419" s="28" t="s">
        <v>805</v>
      </c>
      <c r="K419" s="28" t="s">
        <v>3</v>
      </c>
      <c r="L419" s="32">
        <v>43191</v>
      </c>
      <c r="M419" s="32">
        <f>BCOXT[[#This Row],[INV DOC DATE]]+30</f>
        <v>43221</v>
      </c>
      <c r="N419" s="32">
        <v>43220</v>
      </c>
      <c r="O419" s="31">
        <v>240</v>
      </c>
      <c r="P419" s="102">
        <v>43234</v>
      </c>
      <c r="Q419" s="31">
        <f t="shared" si="6"/>
        <v>0</v>
      </c>
      <c r="R419" s="53" t="str">
        <f ca="1">IF(TODAY() - BCOXT[INV DUE DATE]&lt;30, "Less than 30 days",IF(TODAY()-BCOXT[INV DUE DATE]&lt;60,"30-60 days","More than 60 days"))</f>
        <v>More than 60 days</v>
      </c>
      <c r="S419" s="4" t="s">
        <v>812</v>
      </c>
      <c r="T419" s="43" t="s">
        <v>2229</v>
      </c>
      <c r="U419" s="4" t="s">
        <v>3699</v>
      </c>
    </row>
    <row r="420" spans="1:21" x14ac:dyDescent="0.3">
      <c r="A420" s="28" t="s">
        <v>556</v>
      </c>
      <c r="B420" s="4" t="s">
        <v>35</v>
      </c>
      <c r="C420" s="4" t="s">
        <v>586</v>
      </c>
      <c r="D420" s="4">
        <v>5405</v>
      </c>
      <c r="E420" s="30">
        <v>240</v>
      </c>
      <c r="G420" s="4">
        <v>4300021652</v>
      </c>
      <c r="J420" s="28" t="s">
        <v>806</v>
      </c>
      <c r="K420" s="28" t="s">
        <v>3</v>
      </c>
      <c r="L420" s="32">
        <v>43191</v>
      </c>
      <c r="M420" s="32">
        <f>BCOXT[[#This Row],[INV DOC DATE]]+30</f>
        <v>43221</v>
      </c>
      <c r="N420" s="32">
        <v>43220</v>
      </c>
      <c r="O420" s="31">
        <v>240</v>
      </c>
      <c r="P420" s="102">
        <v>43234</v>
      </c>
      <c r="Q420" s="31">
        <f t="shared" si="6"/>
        <v>0</v>
      </c>
      <c r="R420" s="53" t="str">
        <f ca="1">IF(TODAY() - BCOXT[INV DUE DATE]&lt;30, "Less than 30 days",IF(TODAY()-BCOXT[INV DUE DATE]&lt;60,"30-60 days","More than 60 days"))</f>
        <v>More than 60 days</v>
      </c>
      <c r="S420" s="4" t="s">
        <v>812</v>
      </c>
      <c r="T420" s="43" t="s">
        <v>2229</v>
      </c>
      <c r="U420" s="4" t="s">
        <v>3699</v>
      </c>
    </row>
    <row r="421" spans="1:21" x14ac:dyDescent="0.3">
      <c r="A421" s="28" t="s">
        <v>556</v>
      </c>
      <c r="B421" s="4" t="s">
        <v>35</v>
      </c>
      <c r="C421" s="4" t="s">
        <v>587</v>
      </c>
      <c r="D421" s="4">
        <v>5405</v>
      </c>
      <c r="E421" s="30">
        <v>240</v>
      </c>
      <c r="G421" s="4">
        <v>4300021652</v>
      </c>
      <c r="J421" s="28" t="s">
        <v>807</v>
      </c>
      <c r="K421" s="28" t="s">
        <v>3</v>
      </c>
      <c r="L421" s="32">
        <v>43191</v>
      </c>
      <c r="M421" s="32">
        <f>BCOXT[[#This Row],[INV DOC DATE]]+30</f>
        <v>43221</v>
      </c>
      <c r="N421" s="32">
        <v>43220</v>
      </c>
      <c r="O421" s="31">
        <v>240</v>
      </c>
      <c r="P421" s="102">
        <v>43234</v>
      </c>
      <c r="Q421" s="31">
        <f t="shared" si="6"/>
        <v>0</v>
      </c>
      <c r="R421" s="53" t="str">
        <f ca="1">IF(TODAY() - BCOXT[INV DUE DATE]&lt;30, "Less than 30 days",IF(TODAY()-BCOXT[INV DUE DATE]&lt;60,"30-60 days","More than 60 days"))</f>
        <v>More than 60 days</v>
      </c>
      <c r="S421" s="4" t="s">
        <v>812</v>
      </c>
      <c r="T421" s="43" t="s">
        <v>2229</v>
      </c>
      <c r="U421" s="4" t="s">
        <v>3699</v>
      </c>
    </row>
    <row r="422" spans="1:21" x14ac:dyDescent="0.3">
      <c r="A422" s="28" t="s">
        <v>556</v>
      </c>
      <c r="B422" s="4" t="s">
        <v>35</v>
      </c>
      <c r="C422" s="4" t="s">
        <v>588</v>
      </c>
      <c r="D422" s="4">
        <v>5405</v>
      </c>
      <c r="E422" s="30">
        <v>240</v>
      </c>
      <c r="G422" s="4">
        <v>4300021652</v>
      </c>
      <c r="J422" s="28" t="s">
        <v>808</v>
      </c>
      <c r="K422" s="28" t="s">
        <v>3</v>
      </c>
      <c r="L422" s="32">
        <v>43191</v>
      </c>
      <c r="M422" s="32">
        <f>BCOXT[[#This Row],[INV DOC DATE]]+30</f>
        <v>43221</v>
      </c>
      <c r="N422" s="32">
        <v>43220</v>
      </c>
      <c r="O422" s="31">
        <v>240</v>
      </c>
      <c r="P422" s="102">
        <v>43234</v>
      </c>
      <c r="Q422" s="31">
        <f t="shared" si="6"/>
        <v>0</v>
      </c>
      <c r="R422" s="53" t="str">
        <f ca="1">IF(TODAY() - BCOXT[INV DUE DATE]&lt;30, "Less than 30 days",IF(TODAY()-BCOXT[INV DUE DATE]&lt;60,"30-60 days","More than 60 days"))</f>
        <v>More than 60 days</v>
      </c>
      <c r="S422" s="4" t="s">
        <v>812</v>
      </c>
      <c r="T422" s="43" t="s">
        <v>2229</v>
      </c>
      <c r="U422" s="4" t="s">
        <v>3699</v>
      </c>
    </row>
    <row r="423" spans="1:21" x14ac:dyDescent="0.3">
      <c r="A423" s="29" t="s">
        <v>556</v>
      </c>
      <c r="B423" s="4" t="s">
        <v>35</v>
      </c>
      <c r="C423" s="4" t="s">
        <v>589</v>
      </c>
      <c r="D423" s="4">
        <v>5405</v>
      </c>
      <c r="E423" s="30">
        <v>240</v>
      </c>
      <c r="G423" s="4">
        <v>4300021652</v>
      </c>
      <c r="J423" s="28" t="s">
        <v>809</v>
      </c>
      <c r="K423" s="28" t="s">
        <v>3</v>
      </c>
      <c r="L423" s="32">
        <v>43191</v>
      </c>
      <c r="M423" s="32">
        <f>BCOXT[[#This Row],[INV DOC DATE]]+30</f>
        <v>43221</v>
      </c>
      <c r="N423" s="32">
        <v>43220</v>
      </c>
      <c r="O423" s="31">
        <v>240</v>
      </c>
      <c r="P423" s="102">
        <v>43234</v>
      </c>
      <c r="Q423" s="31">
        <f t="shared" si="6"/>
        <v>0</v>
      </c>
      <c r="R423" s="53" t="str">
        <f ca="1">IF(TODAY() - BCOXT[INV DUE DATE]&lt;30, "Less than 30 days",IF(TODAY()-BCOXT[INV DUE DATE]&lt;60,"30-60 days","More than 60 days"))</f>
        <v>More than 60 days</v>
      </c>
      <c r="S423" s="4" t="s">
        <v>812</v>
      </c>
      <c r="T423" s="43" t="s">
        <v>2229</v>
      </c>
      <c r="U423" s="4" t="s">
        <v>3699</v>
      </c>
    </row>
    <row r="424" spans="1:21" x14ac:dyDescent="0.3">
      <c r="A424" s="28" t="s">
        <v>2218</v>
      </c>
      <c r="B424" s="4" t="s">
        <v>3743</v>
      </c>
      <c r="D424" s="99">
        <v>5405</v>
      </c>
      <c r="E424" s="31">
        <v>1164</v>
      </c>
      <c r="G424" s="4">
        <v>4320249581</v>
      </c>
      <c r="J424" s="28" t="s">
        <v>2257</v>
      </c>
      <c r="K424" s="29" t="s">
        <v>3</v>
      </c>
      <c r="L424" s="32">
        <v>43191</v>
      </c>
      <c r="M424" s="32">
        <f>BCOXT[[#This Row],[INV DOC DATE]]+30</f>
        <v>43221</v>
      </c>
      <c r="N424" s="32"/>
      <c r="O424" s="31"/>
      <c r="Q424" s="31">
        <f t="shared" si="6"/>
        <v>1164</v>
      </c>
      <c r="R424" s="53" t="str">
        <f ca="1">IF(TODAY() - BCOXT[INV DUE DATE]&lt;30, "Less than 30 days",IF(TODAY()-BCOXT[INV DUE DATE]&lt;60,"30-60 days","More than 60 days"))</f>
        <v>More than 60 days</v>
      </c>
      <c r="S424" s="4" t="s">
        <v>812</v>
      </c>
      <c r="T424" s="43"/>
      <c r="U424" s="4" t="s">
        <v>3699</v>
      </c>
    </row>
    <row r="425" spans="1:21" x14ac:dyDescent="0.3">
      <c r="A425" s="28" t="s">
        <v>2675</v>
      </c>
      <c r="B425" s="4" t="s">
        <v>35</v>
      </c>
      <c r="C425" s="4" t="s">
        <v>6</v>
      </c>
      <c r="D425" s="4">
        <v>5405</v>
      </c>
      <c r="E425" s="30">
        <v>248</v>
      </c>
      <c r="G425" s="4">
        <v>4300021652</v>
      </c>
      <c r="J425" s="28" t="s">
        <v>590</v>
      </c>
      <c r="K425" s="28" t="s">
        <v>3</v>
      </c>
      <c r="L425" s="32">
        <v>43221</v>
      </c>
      <c r="M425" s="32">
        <f>BCOXT[[#This Row],[INV DOC DATE]]+30</f>
        <v>43251</v>
      </c>
      <c r="N425" s="32">
        <v>43250</v>
      </c>
      <c r="O425" s="31">
        <v>248</v>
      </c>
      <c r="P425" s="102">
        <v>43262</v>
      </c>
      <c r="Q425" s="31">
        <f t="shared" si="6"/>
        <v>0</v>
      </c>
      <c r="R425" s="53" t="str">
        <f ca="1">IF(TODAY() - BCOXT[INV DUE DATE]&lt;30, "Less than 30 days",IF(TODAY()-BCOXT[INV DUE DATE]&lt;60,"30-60 days","More than 60 days"))</f>
        <v>30-60 days</v>
      </c>
      <c r="S425" s="31" t="s">
        <v>812</v>
      </c>
      <c r="T425" s="43" t="s">
        <v>2229</v>
      </c>
      <c r="U425" s="4" t="s">
        <v>3699</v>
      </c>
    </row>
    <row r="426" spans="1:21" x14ac:dyDescent="0.3">
      <c r="A426" s="28" t="s">
        <v>2675</v>
      </c>
      <c r="B426" s="4" t="s">
        <v>35</v>
      </c>
      <c r="C426" s="4" t="s">
        <v>7</v>
      </c>
      <c r="D426" s="4">
        <v>5405</v>
      </c>
      <c r="E426" s="30">
        <v>248</v>
      </c>
      <c r="G426" s="4">
        <v>4300021652</v>
      </c>
      <c r="J426" s="28" t="s">
        <v>591</v>
      </c>
      <c r="K426" s="28" t="s">
        <v>3</v>
      </c>
      <c r="L426" s="32">
        <v>43221</v>
      </c>
      <c r="M426" s="32">
        <f>BCOXT[[#This Row],[INV DOC DATE]]+30</f>
        <v>43251</v>
      </c>
      <c r="N426" s="32">
        <v>43250</v>
      </c>
      <c r="O426" s="31">
        <v>248</v>
      </c>
      <c r="P426" s="102">
        <v>43262</v>
      </c>
      <c r="Q426" s="31">
        <f t="shared" si="6"/>
        <v>0</v>
      </c>
      <c r="R426" s="53" t="str">
        <f ca="1">IF(TODAY() - BCOXT[INV DUE DATE]&lt;30, "Less than 30 days",IF(TODAY()-BCOXT[INV DUE DATE]&lt;60,"30-60 days","More than 60 days"))</f>
        <v>30-60 days</v>
      </c>
      <c r="S426" s="31" t="s">
        <v>812</v>
      </c>
      <c r="T426" s="43" t="s">
        <v>2229</v>
      </c>
      <c r="U426" s="4" t="s">
        <v>3699</v>
      </c>
    </row>
    <row r="427" spans="1:21" x14ac:dyDescent="0.3">
      <c r="A427" s="28" t="s">
        <v>2675</v>
      </c>
      <c r="B427" s="4" t="s">
        <v>35</v>
      </c>
      <c r="C427" s="4" t="s">
        <v>8</v>
      </c>
      <c r="D427" s="4">
        <v>5405</v>
      </c>
      <c r="E427" s="30">
        <v>248</v>
      </c>
      <c r="G427" s="4">
        <v>4300021652</v>
      </c>
      <c r="J427" s="28" t="s">
        <v>592</v>
      </c>
      <c r="K427" s="28" t="s">
        <v>3</v>
      </c>
      <c r="L427" s="32">
        <v>43221</v>
      </c>
      <c r="M427" s="32">
        <f>BCOXT[[#This Row],[INV DOC DATE]]+30</f>
        <v>43251</v>
      </c>
      <c r="N427" s="32">
        <v>43250</v>
      </c>
      <c r="O427" s="31">
        <v>248</v>
      </c>
      <c r="P427" s="102">
        <v>43262</v>
      </c>
      <c r="Q427" s="31">
        <f t="shared" si="6"/>
        <v>0</v>
      </c>
      <c r="R427" s="53" t="str">
        <f ca="1">IF(TODAY() - BCOXT[INV DUE DATE]&lt;30, "Less than 30 days",IF(TODAY()-BCOXT[INV DUE DATE]&lt;60,"30-60 days","More than 60 days"))</f>
        <v>30-60 days</v>
      </c>
      <c r="S427" s="31" t="s">
        <v>812</v>
      </c>
      <c r="T427" s="43" t="s">
        <v>2229</v>
      </c>
      <c r="U427" s="4" t="s">
        <v>3699</v>
      </c>
    </row>
    <row r="428" spans="1:21" x14ac:dyDescent="0.3">
      <c r="A428" s="28" t="s">
        <v>2675</v>
      </c>
      <c r="B428" s="4" t="s">
        <v>35</v>
      </c>
      <c r="C428" s="4" t="s">
        <v>9</v>
      </c>
      <c r="D428" s="4">
        <v>5405</v>
      </c>
      <c r="E428" s="30">
        <v>248</v>
      </c>
      <c r="G428" s="4">
        <v>4300021652</v>
      </c>
      <c r="J428" s="28" t="s">
        <v>593</v>
      </c>
      <c r="K428" s="28" t="s">
        <v>3</v>
      </c>
      <c r="L428" s="32">
        <v>43221</v>
      </c>
      <c r="M428" s="32">
        <f>BCOXT[[#This Row],[INV DOC DATE]]+30</f>
        <v>43251</v>
      </c>
      <c r="N428" s="32">
        <v>43250</v>
      </c>
      <c r="O428" s="31">
        <v>248</v>
      </c>
      <c r="P428" s="102">
        <v>43262</v>
      </c>
      <c r="Q428" s="31">
        <f t="shared" si="6"/>
        <v>0</v>
      </c>
      <c r="R428" s="53" t="str">
        <f ca="1">IF(TODAY() - BCOXT[INV DUE DATE]&lt;30, "Less than 30 days",IF(TODAY()-BCOXT[INV DUE DATE]&lt;60,"30-60 days","More than 60 days"))</f>
        <v>30-60 days</v>
      </c>
      <c r="S428" s="31" t="s">
        <v>812</v>
      </c>
      <c r="T428" s="43" t="s">
        <v>2229</v>
      </c>
      <c r="U428" s="4" t="s">
        <v>3699</v>
      </c>
    </row>
    <row r="429" spans="1:21" x14ac:dyDescent="0.3">
      <c r="A429" s="28" t="s">
        <v>2675</v>
      </c>
      <c r="B429" s="4" t="s">
        <v>35</v>
      </c>
      <c r="C429" s="4" t="s">
        <v>10</v>
      </c>
      <c r="D429" s="4">
        <v>5405</v>
      </c>
      <c r="E429" s="30">
        <v>248</v>
      </c>
      <c r="G429" s="4">
        <v>4300021652</v>
      </c>
      <c r="J429" s="28" t="s">
        <v>594</v>
      </c>
      <c r="K429" s="28" t="s">
        <v>3</v>
      </c>
      <c r="L429" s="32">
        <v>43221</v>
      </c>
      <c r="M429" s="32">
        <f>BCOXT[[#This Row],[INV DOC DATE]]+30</f>
        <v>43251</v>
      </c>
      <c r="N429" s="32">
        <v>43250</v>
      </c>
      <c r="O429" s="31">
        <v>248</v>
      </c>
      <c r="P429" s="102">
        <v>43262</v>
      </c>
      <c r="Q429" s="31">
        <f t="shared" si="6"/>
        <v>0</v>
      </c>
      <c r="R429" s="53" t="str">
        <f ca="1">IF(TODAY() - BCOXT[INV DUE DATE]&lt;30, "Less than 30 days",IF(TODAY()-BCOXT[INV DUE DATE]&lt;60,"30-60 days","More than 60 days"))</f>
        <v>30-60 days</v>
      </c>
      <c r="S429" s="31" t="s">
        <v>812</v>
      </c>
      <c r="T429" s="43" t="s">
        <v>2229</v>
      </c>
      <c r="U429" s="4" t="s">
        <v>3699</v>
      </c>
    </row>
    <row r="430" spans="1:21" x14ac:dyDescent="0.3">
      <c r="A430" s="28" t="s">
        <v>2675</v>
      </c>
      <c r="B430" s="4" t="s">
        <v>35</v>
      </c>
      <c r="C430" s="4" t="s">
        <v>11</v>
      </c>
      <c r="D430" s="4">
        <v>5405</v>
      </c>
      <c r="E430" s="30">
        <v>248</v>
      </c>
      <c r="G430" s="4">
        <v>4300021652</v>
      </c>
      <c r="J430" s="28" t="s">
        <v>595</v>
      </c>
      <c r="K430" s="28" t="s">
        <v>3</v>
      </c>
      <c r="L430" s="32">
        <v>43221</v>
      </c>
      <c r="M430" s="32">
        <f>BCOXT[[#This Row],[INV DOC DATE]]+30</f>
        <v>43251</v>
      </c>
      <c r="N430" s="32">
        <v>43250</v>
      </c>
      <c r="O430" s="31">
        <v>248</v>
      </c>
      <c r="P430" s="102">
        <v>43262</v>
      </c>
      <c r="Q430" s="31">
        <f t="shared" si="6"/>
        <v>0</v>
      </c>
      <c r="R430" s="53" t="str">
        <f ca="1">IF(TODAY() - BCOXT[INV DUE DATE]&lt;30, "Less than 30 days",IF(TODAY()-BCOXT[INV DUE DATE]&lt;60,"30-60 days","More than 60 days"))</f>
        <v>30-60 days</v>
      </c>
      <c r="S430" s="31" t="s">
        <v>812</v>
      </c>
      <c r="T430" s="43" t="s">
        <v>2229</v>
      </c>
      <c r="U430" s="4" t="s">
        <v>3699</v>
      </c>
    </row>
    <row r="431" spans="1:21" x14ac:dyDescent="0.3">
      <c r="A431" s="28" t="s">
        <v>2675</v>
      </c>
      <c r="B431" s="4" t="s">
        <v>35</v>
      </c>
      <c r="C431" s="4" t="s">
        <v>12</v>
      </c>
      <c r="D431" s="4">
        <v>5405</v>
      </c>
      <c r="E431" s="30">
        <v>248</v>
      </c>
      <c r="G431" s="4">
        <v>4300021652</v>
      </c>
      <c r="J431" s="28" t="s">
        <v>596</v>
      </c>
      <c r="K431" s="28" t="s">
        <v>3</v>
      </c>
      <c r="L431" s="32">
        <v>43221</v>
      </c>
      <c r="M431" s="32">
        <f>BCOXT[[#This Row],[INV DOC DATE]]+30</f>
        <v>43251</v>
      </c>
      <c r="N431" s="32">
        <v>43250</v>
      </c>
      <c r="O431" s="31">
        <v>248</v>
      </c>
      <c r="P431" s="102">
        <v>43262</v>
      </c>
      <c r="Q431" s="31">
        <f t="shared" si="6"/>
        <v>0</v>
      </c>
      <c r="R431" s="53" t="str">
        <f ca="1">IF(TODAY() - BCOXT[INV DUE DATE]&lt;30, "Less than 30 days",IF(TODAY()-BCOXT[INV DUE DATE]&lt;60,"30-60 days","More than 60 days"))</f>
        <v>30-60 days</v>
      </c>
      <c r="S431" s="31" t="s">
        <v>812</v>
      </c>
      <c r="T431" s="43" t="s">
        <v>2229</v>
      </c>
      <c r="U431" s="4" t="s">
        <v>3699</v>
      </c>
    </row>
    <row r="432" spans="1:21" x14ac:dyDescent="0.3">
      <c r="A432" s="28" t="s">
        <v>2675</v>
      </c>
      <c r="B432" s="4" t="s">
        <v>35</v>
      </c>
      <c r="C432" s="4" t="s">
        <v>13</v>
      </c>
      <c r="D432" s="4">
        <v>5405</v>
      </c>
      <c r="E432" s="30">
        <v>248</v>
      </c>
      <c r="G432" s="4">
        <v>4300021652</v>
      </c>
      <c r="J432" s="28" t="s">
        <v>597</v>
      </c>
      <c r="K432" s="28" t="s">
        <v>3</v>
      </c>
      <c r="L432" s="32">
        <v>43221</v>
      </c>
      <c r="M432" s="32">
        <f>BCOXT[[#This Row],[INV DOC DATE]]+30</f>
        <v>43251</v>
      </c>
      <c r="N432" s="32">
        <v>43250</v>
      </c>
      <c r="O432" s="31">
        <v>248</v>
      </c>
      <c r="P432" s="102">
        <v>43262</v>
      </c>
      <c r="Q432" s="31">
        <f t="shared" si="6"/>
        <v>0</v>
      </c>
      <c r="R432" s="53" t="str">
        <f ca="1">IF(TODAY() - BCOXT[INV DUE DATE]&lt;30, "Less than 30 days",IF(TODAY()-BCOXT[INV DUE DATE]&lt;60,"30-60 days","More than 60 days"))</f>
        <v>30-60 days</v>
      </c>
      <c r="S432" s="31" t="s">
        <v>812</v>
      </c>
      <c r="T432" s="43" t="s">
        <v>2229</v>
      </c>
      <c r="U432" s="4" t="s">
        <v>3699</v>
      </c>
    </row>
    <row r="433" spans="1:21" x14ac:dyDescent="0.3">
      <c r="A433" s="28" t="s">
        <v>2675</v>
      </c>
      <c r="B433" s="4" t="s">
        <v>35</v>
      </c>
      <c r="C433" s="4" t="s">
        <v>14</v>
      </c>
      <c r="D433" s="4">
        <v>5405</v>
      </c>
      <c r="E433" s="30">
        <v>248</v>
      </c>
      <c r="G433" s="4">
        <v>4300021652</v>
      </c>
      <c r="J433" s="28" t="s">
        <v>598</v>
      </c>
      <c r="K433" s="28" t="s">
        <v>3</v>
      </c>
      <c r="L433" s="32">
        <v>43221</v>
      </c>
      <c r="M433" s="32">
        <f>BCOXT[[#This Row],[INV DOC DATE]]+30</f>
        <v>43251</v>
      </c>
      <c r="N433" s="32">
        <v>43250</v>
      </c>
      <c r="O433" s="31">
        <v>248</v>
      </c>
      <c r="P433" s="102">
        <v>43262</v>
      </c>
      <c r="Q433" s="31">
        <f t="shared" si="6"/>
        <v>0</v>
      </c>
      <c r="R433" s="53" t="str">
        <f ca="1">IF(TODAY() - BCOXT[INV DUE DATE]&lt;30, "Less than 30 days",IF(TODAY()-BCOXT[INV DUE DATE]&lt;60,"30-60 days","More than 60 days"))</f>
        <v>30-60 days</v>
      </c>
      <c r="S433" s="31" t="s">
        <v>812</v>
      </c>
      <c r="T433" s="43" t="s">
        <v>2229</v>
      </c>
      <c r="U433" s="4" t="s">
        <v>3699</v>
      </c>
    </row>
    <row r="434" spans="1:21" x14ac:dyDescent="0.3">
      <c r="A434" s="28" t="s">
        <v>2675</v>
      </c>
      <c r="B434" s="4" t="s">
        <v>35</v>
      </c>
      <c r="C434" s="4" t="s">
        <v>15</v>
      </c>
      <c r="D434" s="4">
        <v>5405</v>
      </c>
      <c r="E434" s="30">
        <v>248</v>
      </c>
      <c r="G434" s="4">
        <v>4300021652</v>
      </c>
      <c r="J434" s="28" t="s">
        <v>599</v>
      </c>
      <c r="K434" s="28" t="s">
        <v>3</v>
      </c>
      <c r="L434" s="32">
        <v>43221</v>
      </c>
      <c r="M434" s="32">
        <f>BCOXT[[#This Row],[INV DOC DATE]]+30</f>
        <v>43251</v>
      </c>
      <c r="N434" s="32">
        <v>43250</v>
      </c>
      <c r="O434" s="31">
        <v>248</v>
      </c>
      <c r="P434" s="102">
        <v>43262</v>
      </c>
      <c r="Q434" s="31">
        <f t="shared" si="6"/>
        <v>0</v>
      </c>
      <c r="R434" s="53" t="str">
        <f ca="1">IF(TODAY() - BCOXT[INV DUE DATE]&lt;30, "Less than 30 days",IF(TODAY()-BCOXT[INV DUE DATE]&lt;60,"30-60 days","More than 60 days"))</f>
        <v>30-60 days</v>
      </c>
      <c r="S434" s="31" t="s">
        <v>812</v>
      </c>
      <c r="T434" s="43" t="s">
        <v>2229</v>
      </c>
      <c r="U434" s="4" t="s">
        <v>3699</v>
      </c>
    </row>
    <row r="435" spans="1:21" x14ac:dyDescent="0.3">
      <c r="A435" s="28" t="s">
        <v>2675</v>
      </c>
      <c r="B435" s="4" t="s">
        <v>35</v>
      </c>
      <c r="C435" s="4" t="s">
        <v>16</v>
      </c>
      <c r="D435" s="4">
        <v>5405</v>
      </c>
      <c r="E435" s="30">
        <v>248</v>
      </c>
      <c r="G435" s="4">
        <v>4300021652</v>
      </c>
      <c r="J435" s="28" t="s">
        <v>600</v>
      </c>
      <c r="K435" s="28" t="s">
        <v>3</v>
      </c>
      <c r="L435" s="32">
        <v>43221</v>
      </c>
      <c r="M435" s="32">
        <f>BCOXT[[#This Row],[INV DOC DATE]]+30</f>
        <v>43251</v>
      </c>
      <c r="N435" s="32">
        <v>43250</v>
      </c>
      <c r="O435" s="31">
        <v>248</v>
      </c>
      <c r="P435" s="102">
        <v>43262</v>
      </c>
      <c r="Q435" s="31">
        <f t="shared" si="6"/>
        <v>0</v>
      </c>
      <c r="R435" s="53" t="str">
        <f ca="1">IF(TODAY() - BCOXT[INV DUE DATE]&lt;30, "Less than 30 days",IF(TODAY()-BCOXT[INV DUE DATE]&lt;60,"30-60 days","More than 60 days"))</f>
        <v>30-60 days</v>
      </c>
      <c r="S435" s="31" t="s">
        <v>812</v>
      </c>
      <c r="T435" s="43" t="s">
        <v>2229</v>
      </c>
      <c r="U435" s="4" t="s">
        <v>3699</v>
      </c>
    </row>
    <row r="436" spans="1:21" x14ac:dyDescent="0.3">
      <c r="A436" s="28" t="s">
        <v>2675</v>
      </c>
      <c r="B436" s="4" t="s">
        <v>35</v>
      </c>
      <c r="C436" s="4" t="s">
        <v>17</v>
      </c>
      <c r="D436" s="4">
        <v>5405</v>
      </c>
      <c r="E436" s="30">
        <v>248</v>
      </c>
      <c r="G436" s="4">
        <v>4300021652</v>
      </c>
      <c r="J436" s="28" t="s">
        <v>601</v>
      </c>
      <c r="K436" s="28" t="s">
        <v>3</v>
      </c>
      <c r="L436" s="32">
        <v>43221</v>
      </c>
      <c r="M436" s="32">
        <f>BCOXT[[#This Row],[INV DOC DATE]]+30</f>
        <v>43251</v>
      </c>
      <c r="N436" s="32">
        <v>43250</v>
      </c>
      <c r="O436" s="31">
        <v>248</v>
      </c>
      <c r="P436" s="102">
        <v>43262</v>
      </c>
      <c r="Q436" s="31">
        <f t="shared" si="6"/>
        <v>0</v>
      </c>
      <c r="R436" s="53" t="str">
        <f ca="1">IF(TODAY() - BCOXT[INV DUE DATE]&lt;30, "Less than 30 days",IF(TODAY()-BCOXT[INV DUE DATE]&lt;60,"30-60 days","More than 60 days"))</f>
        <v>30-60 days</v>
      </c>
      <c r="S436" s="31" t="s">
        <v>812</v>
      </c>
      <c r="T436" s="43" t="s">
        <v>2229</v>
      </c>
      <c r="U436" s="4" t="s">
        <v>3699</v>
      </c>
    </row>
    <row r="437" spans="1:21" x14ac:dyDescent="0.3">
      <c r="A437" s="28" t="s">
        <v>2675</v>
      </c>
      <c r="B437" s="4" t="s">
        <v>35</v>
      </c>
      <c r="C437" s="4" t="s">
        <v>18</v>
      </c>
      <c r="D437" s="4">
        <v>5405</v>
      </c>
      <c r="E437" s="30">
        <v>248</v>
      </c>
      <c r="G437" s="4">
        <v>4300021652</v>
      </c>
      <c r="J437" s="28" t="s">
        <v>602</v>
      </c>
      <c r="K437" s="28" t="s">
        <v>3</v>
      </c>
      <c r="L437" s="32">
        <v>43221</v>
      </c>
      <c r="M437" s="32">
        <f>BCOXT[[#This Row],[INV DOC DATE]]+30</f>
        <v>43251</v>
      </c>
      <c r="N437" s="32">
        <v>43250</v>
      </c>
      <c r="O437" s="31">
        <v>248</v>
      </c>
      <c r="P437" s="102">
        <v>43262</v>
      </c>
      <c r="Q437" s="31">
        <f t="shared" si="6"/>
        <v>0</v>
      </c>
      <c r="R437" s="53" t="str">
        <f ca="1">IF(TODAY() - BCOXT[INV DUE DATE]&lt;30, "Less than 30 days",IF(TODAY()-BCOXT[INV DUE DATE]&lt;60,"30-60 days","More than 60 days"))</f>
        <v>30-60 days</v>
      </c>
      <c r="S437" s="31" t="s">
        <v>812</v>
      </c>
      <c r="T437" s="43" t="s">
        <v>2229</v>
      </c>
      <c r="U437" s="4" t="s">
        <v>3699</v>
      </c>
    </row>
    <row r="438" spans="1:21" x14ac:dyDescent="0.3">
      <c r="A438" s="28" t="s">
        <v>2675</v>
      </c>
      <c r="B438" s="4" t="s">
        <v>35</v>
      </c>
      <c r="C438" s="4" t="s">
        <v>19</v>
      </c>
      <c r="D438" s="4">
        <v>5405</v>
      </c>
      <c r="E438" s="30">
        <v>270.94</v>
      </c>
      <c r="G438" s="4">
        <v>4300021652</v>
      </c>
      <c r="J438" s="28" t="s">
        <v>603</v>
      </c>
      <c r="K438" s="28" t="s">
        <v>3</v>
      </c>
      <c r="L438" s="32">
        <v>43221</v>
      </c>
      <c r="M438" s="32">
        <f>BCOXT[[#This Row],[INV DOC DATE]]+30</f>
        <v>43251</v>
      </c>
      <c r="N438" s="32">
        <v>43250</v>
      </c>
      <c r="O438" s="31">
        <v>270.94</v>
      </c>
      <c r="P438" s="102">
        <v>43262</v>
      </c>
      <c r="Q438" s="31">
        <f t="shared" si="6"/>
        <v>0</v>
      </c>
      <c r="R438" s="53" t="str">
        <f ca="1">IF(TODAY() - BCOXT[INV DUE DATE]&lt;30, "Less than 30 days",IF(TODAY()-BCOXT[INV DUE DATE]&lt;60,"30-60 days","More than 60 days"))</f>
        <v>30-60 days</v>
      </c>
      <c r="S438" s="31" t="s">
        <v>812</v>
      </c>
      <c r="T438" s="43" t="s">
        <v>2229</v>
      </c>
      <c r="U438" s="4" t="s">
        <v>3699</v>
      </c>
    </row>
    <row r="439" spans="1:21" x14ac:dyDescent="0.3">
      <c r="A439" s="28" t="s">
        <v>2675</v>
      </c>
      <c r="B439" s="4" t="s">
        <v>35</v>
      </c>
      <c r="C439" s="4" t="s">
        <v>20</v>
      </c>
      <c r="D439" s="4">
        <v>5405</v>
      </c>
      <c r="E439" s="30">
        <v>248</v>
      </c>
      <c r="G439" s="4">
        <v>4300021652</v>
      </c>
      <c r="J439" s="28" t="s">
        <v>604</v>
      </c>
      <c r="K439" s="28" t="s">
        <v>3</v>
      </c>
      <c r="L439" s="32">
        <v>43221</v>
      </c>
      <c r="M439" s="32">
        <f>BCOXT[[#This Row],[INV DOC DATE]]+30</f>
        <v>43251</v>
      </c>
      <c r="N439" s="32">
        <v>43250</v>
      </c>
      <c r="O439" s="31">
        <v>248</v>
      </c>
      <c r="P439" s="102">
        <v>43262</v>
      </c>
      <c r="Q439" s="31">
        <f t="shared" si="6"/>
        <v>0</v>
      </c>
      <c r="R439" s="53" t="str">
        <f ca="1">IF(TODAY() - BCOXT[INV DUE DATE]&lt;30, "Less than 30 days",IF(TODAY()-BCOXT[INV DUE DATE]&lt;60,"30-60 days","More than 60 days"))</f>
        <v>30-60 days</v>
      </c>
      <c r="S439" s="31" t="s">
        <v>812</v>
      </c>
      <c r="T439" s="43" t="s">
        <v>2229</v>
      </c>
      <c r="U439" s="4" t="s">
        <v>3699</v>
      </c>
    </row>
    <row r="440" spans="1:21" x14ac:dyDescent="0.3">
      <c r="A440" s="28" t="s">
        <v>2675</v>
      </c>
      <c r="B440" s="4" t="s">
        <v>35</v>
      </c>
      <c r="C440" s="4" t="s">
        <v>21</v>
      </c>
      <c r="D440" s="4">
        <v>5405</v>
      </c>
      <c r="E440" s="30">
        <v>248</v>
      </c>
      <c r="G440" s="4">
        <v>4300021652</v>
      </c>
      <c r="J440" s="28" t="s">
        <v>605</v>
      </c>
      <c r="K440" s="28" t="s">
        <v>3</v>
      </c>
      <c r="L440" s="32">
        <v>43221</v>
      </c>
      <c r="M440" s="32">
        <f>BCOXT[[#This Row],[INV DOC DATE]]+30</f>
        <v>43251</v>
      </c>
      <c r="N440" s="32">
        <v>43250</v>
      </c>
      <c r="O440" s="31">
        <v>248</v>
      </c>
      <c r="P440" s="102">
        <v>43262</v>
      </c>
      <c r="Q440" s="31">
        <f t="shared" si="6"/>
        <v>0</v>
      </c>
      <c r="R440" s="53" t="str">
        <f ca="1">IF(TODAY() - BCOXT[INV DUE DATE]&lt;30, "Less than 30 days",IF(TODAY()-BCOXT[INV DUE DATE]&lt;60,"30-60 days","More than 60 days"))</f>
        <v>30-60 days</v>
      </c>
      <c r="S440" s="31" t="s">
        <v>812</v>
      </c>
      <c r="T440" s="43" t="s">
        <v>2229</v>
      </c>
      <c r="U440" s="4" t="s">
        <v>3699</v>
      </c>
    </row>
    <row r="441" spans="1:21" x14ac:dyDescent="0.3">
      <c r="A441" s="28" t="s">
        <v>2675</v>
      </c>
      <c r="B441" s="4" t="s">
        <v>35</v>
      </c>
      <c r="C441" s="4" t="s">
        <v>22</v>
      </c>
      <c r="D441" s="4">
        <v>5405</v>
      </c>
      <c r="E441" s="30">
        <v>248</v>
      </c>
      <c r="G441" s="4">
        <v>4300021652</v>
      </c>
      <c r="J441" s="28" t="s">
        <v>606</v>
      </c>
      <c r="K441" s="28" t="s">
        <v>3</v>
      </c>
      <c r="L441" s="32">
        <v>43221</v>
      </c>
      <c r="M441" s="32">
        <f>BCOXT[[#This Row],[INV DOC DATE]]+30</f>
        <v>43251</v>
      </c>
      <c r="N441" s="32">
        <v>43250</v>
      </c>
      <c r="O441" s="31">
        <v>248</v>
      </c>
      <c r="P441" s="102">
        <v>43262</v>
      </c>
      <c r="Q441" s="31">
        <f t="shared" si="6"/>
        <v>0</v>
      </c>
      <c r="R441" s="53" t="str">
        <f ca="1">IF(TODAY() - BCOXT[INV DUE DATE]&lt;30, "Less than 30 days",IF(TODAY()-BCOXT[INV DUE DATE]&lt;60,"30-60 days","More than 60 days"))</f>
        <v>30-60 days</v>
      </c>
      <c r="S441" s="31" t="s">
        <v>812</v>
      </c>
      <c r="T441" s="43" t="s">
        <v>2229</v>
      </c>
      <c r="U441" s="4" t="s">
        <v>3699</v>
      </c>
    </row>
    <row r="442" spans="1:21" x14ac:dyDescent="0.3">
      <c r="A442" s="28" t="s">
        <v>2675</v>
      </c>
      <c r="B442" s="4" t="s">
        <v>35</v>
      </c>
      <c r="C442" s="4" t="s">
        <v>23</v>
      </c>
      <c r="D442" s="4">
        <v>5405</v>
      </c>
      <c r="E442" s="30">
        <v>248</v>
      </c>
      <c r="G442" s="4">
        <v>4300021652</v>
      </c>
      <c r="J442" s="28" t="s">
        <v>607</v>
      </c>
      <c r="K442" s="28" t="s">
        <v>3</v>
      </c>
      <c r="L442" s="32">
        <v>43221</v>
      </c>
      <c r="M442" s="32">
        <f>BCOXT[[#This Row],[INV DOC DATE]]+30</f>
        <v>43251</v>
      </c>
      <c r="N442" s="32">
        <v>43250</v>
      </c>
      <c r="O442" s="31">
        <v>248</v>
      </c>
      <c r="P442" s="102">
        <v>43262</v>
      </c>
      <c r="Q442" s="31">
        <f t="shared" si="6"/>
        <v>0</v>
      </c>
      <c r="R442" s="53" t="str">
        <f ca="1">IF(TODAY() - BCOXT[INV DUE DATE]&lt;30, "Less than 30 days",IF(TODAY()-BCOXT[INV DUE DATE]&lt;60,"30-60 days","More than 60 days"))</f>
        <v>30-60 days</v>
      </c>
      <c r="S442" s="31" t="s">
        <v>812</v>
      </c>
      <c r="T442" s="43" t="s">
        <v>2229</v>
      </c>
      <c r="U442" s="4" t="s">
        <v>3699</v>
      </c>
    </row>
    <row r="443" spans="1:21" x14ac:dyDescent="0.3">
      <c r="A443" s="28" t="s">
        <v>2675</v>
      </c>
      <c r="B443" s="4" t="s">
        <v>35</v>
      </c>
      <c r="C443" s="4" t="s">
        <v>24</v>
      </c>
      <c r="D443" s="4">
        <v>5405</v>
      </c>
      <c r="E443" s="30">
        <v>248</v>
      </c>
      <c r="G443" s="4">
        <v>4300021652</v>
      </c>
      <c r="J443" s="28" t="s">
        <v>608</v>
      </c>
      <c r="K443" s="28" t="s">
        <v>3</v>
      </c>
      <c r="L443" s="32">
        <v>43221</v>
      </c>
      <c r="M443" s="32">
        <f>BCOXT[[#This Row],[INV DOC DATE]]+30</f>
        <v>43251</v>
      </c>
      <c r="N443" s="32">
        <v>43250</v>
      </c>
      <c r="O443" s="31">
        <v>248</v>
      </c>
      <c r="P443" s="102">
        <v>43262</v>
      </c>
      <c r="Q443" s="31">
        <f t="shared" si="6"/>
        <v>0</v>
      </c>
      <c r="R443" s="53" t="str">
        <f ca="1">IF(TODAY() - BCOXT[INV DUE DATE]&lt;30, "Less than 30 days",IF(TODAY()-BCOXT[INV DUE DATE]&lt;60,"30-60 days","More than 60 days"))</f>
        <v>30-60 days</v>
      </c>
      <c r="S443" s="31" t="s">
        <v>812</v>
      </c>
      <c r="T443" s="43" t="s">
        <v>2229</v>
      </c>
      <c r="U443" s="4" t="s">
        <v>3699</v>
      </c>
    </row>
    <row r="444" spans="1:21" x14ac:dyDescent="0.3">
      <c r="A444" s="28" t="s">
        <v>2675</v>
      </c>
      <c r="B444" s="4" t="s">
        <v>35</v>
      </c>
      <c r="C444" s="4" t="s">
        <v>25</v>
      </c>
      <c r="D444" s="4">
        <v>5405</v>
      </c>
      <c r="E444" s="30">
        <v>248</v>
      </c>
      <c r="G444" s="4">
        <v>4300021652</v>
      </c>
      <c r="J444" s="28" t="s">
        <v>609</v>
      </c>
      <c r="K444" s="28" t="s">
        <v>3</v>
      </c>
      <c r="L444" s="32">
        <v>43221</v>
      </c>
      <c r="M444" s="32">
        <f>BCOXT[[#This Row],[INV DOC DATE]]+30</f>
        <v>43251</v>
      </c>
      <c r="N444" s="32">
        <v>43250</v>
      </c>
      <c r="O444" s="31">
        <v>248</v>
      </c>
      <c r="P444" s="102">
        <v>43262</v>
      </c>
      <c r="Q444" s="31">
        <f t="shared" si="6"/>
        <v>0</v>
      </c>
      <c r="R444" s="53" t="str">
        <f ca="1">IF(TODAY() - BCOXT[INV DUE DATE]&lt;30, "Less than 30 days",IF(TODAY()-BCOXT[INV DUE DATE]&lt;60,"30-60 days","More than 60 days"))</f>
        <v>30-60 days</v>
      </c>
      <c r="S444" s="31" t="s">
        <v>812</v>
      </c>
      <c r="T444" s="43" t="s">
        <v>2229</v>
      </c>
      <c r="U444" s="4" t="s">
        <v>3699</v>
      </c>
    </row>
    <row r="445" spans="1:21" x14ac:dyDescent="0.3">
      <c r="A445" s="28" t="s">
        <v>2675</v>
      </c>
      <c r="B445" s="4" t="s">
        <v>35</v>
      </c>
      <c r="C445" s="4" t="s">
        <v>26</v>
      </c>
      <c r="D445" s="4">
        <v>5405</v>
      </c>
      <c r="E445" s="30">
        <v>248</v>
      </c>
      <c r="G445" s="4">
        <v>4300021652</v>
      </c>
      <c r="J445" s="28" t="s">
        <v>610</v>
      </c>
      <c r="K445" s="28" t="s">
        <v>3</v>
      </c>
      <c r="L445" s="32">
        <v>43221</v>
      </c>
      <c r="M445" s="32">
        <f>BCOXT[[#This Row],[INV DOC DATE]]+30</f>
        <v>43251</v>
      </c>
      <c r="N445" s="32">
        <v>43250</v>
      </c>
      <c r="O445" s="31">
        <v>248</v>
      </c>
      <c r="P445" s="102">
        <v>43262</v>
      </c>
      <c r="Q445" s="31">
        <f t="shared" si="6"/>
        <v>0</v>
      </c>
      <c r="R445" s="53" t="str">
        <f ca="1">IF(TODAY() - BCOXT[INV DUE DATE]&lt;30, "Less than 30 days",IF(TODAY()-BCOXT[INV DUE DATE]&lt;60,"30-60 days","More than 60 days"))</f>
        <v>30-60 days</v>
      </c>
      <c r="S445" s="31" t="s">
        <v>812</v>
      </c>
      <c r="T445" s="43" t="s">
        <v>2229</v>
      </c>
      <c r="U445" s="4" t="s">
        <v>3699</v>
      </c>
    </row>
    <row r="446" spans="1:21" x14ac:dyDescent="0.3">
      <c r="A446" s="28" t="s">
        <v>2675</v>
      </c>
      <c r="B446" s="4" t="s">
        <v>35</v>
      </c>
      <c r="C446" s="4" t="s">
        <v>27</v>
      </c>
      <c r="D446" s="4">
        <v>5405</v>
      </c>
      <c r="E446" s="30">
        <v>248</v>
      </c>
      <c r="G446" s="4">
        <v>4300021652</v>
      </c>
      <c r="J446" s="28" t="s">
        <v>611</v>
      </c>
      <c r="K446" s="28" t="s">
        <v>3</v>
      </c>
      <c r="L446" s="32">
        <v>43221</v>
      </c>
      <c r="M446" s="32">
        <f>BCOXT[[#This Row],[INV DOC DATE]]+30</f>
        <v>43251</v>
      </c>
      <c r="N446" s="32">
        <v>43250</v>
      </c>
      <c r="O446" s="31">
        <v>248</v>
      </c>
      <c r="P446" s="102">
        <v>43262</v>
      </c>
      <c r="Q446" s="31">
        <f t="shared" si="6"/>
        <v>0</v>
      </c>
      <c r="R446" s="53" t="str">
        <f ca="1">IF(TODAY() - BCOXT[INV DUE DATE]&lt;30, "Less than 30 days",IF(TODAY()-BCOXT[INV DUE DATE]&lt;60,"30-60 days","More than 60 days"))</f>
        <v>30-60 days</v>
      </c>
      <c r="S446" s="31" t="s">
        <v>812</v>
      </c>
      <c r="T446" s="43" t="s">
        <v>2229</v>
      </c>
      <c r="U446" s="4" t="s">
        <v>3699</v>
      </c>
    </row>
    <row r="447" spans="1:21" x14ac:dyDescent="0.3">
      <c r="A447" s="28" t="s">
        <v>2675</v>
      </c>
      <c r="B447" s="4" t="s">
        <v>35</v>
      </c>
      <c r="C447" s="4" t="s">
        <v>28</v>
      </c>
      <c r="D447" s="4">
        <v>5405</v>
      </c>
      <c r="E447" s="30">
        <v>248</v>
      </c>
      <c r="G447" s="4">
        <v>4300021652</v>
      </c>
      <c r="J447" s="28" t="s">
        <v>612</v>
      </c>
      <c r="K447" s="28" t="s">
        <v>3</v>
      </c>
      <c r="L447" s="32">
        <v>43221</v>
      </c>
      <c r="M447" s="32">
        <f>BCOXT[[#This Row],[INV DOC DATE]]+30</f>
        <v>43251</v>
      </c>
      <c r="N447" s="32">
        <v>43250</v>
      </c>
      <c r="O447" s="31">
        <v>248</v>
      </c>
      <c r="P447" s="102">
        <v>43262</v>
      </c>
      <c r="Q447" s="31">
        <f t="shared" si="6"/>
        <v>0</v>
      </c>
      <c r="R447" s="53" t="str">
        <f ca="1">IF(TODAY() - BCOXT[INV DUE DATE]&lt;30, "Less than 30 days",IF(TODAY()-BCOXT[INV DUE DATE]&lt;60,"30-60 days","More than 60 days"))</f>
        <v>30-60 days</v>
      </c>
      <c r="S447" s="31" t="s">
        <v>812</v>
      </c>
      <c r="T447" s="43" t="s">
        <v>2229</v>
      </c>
      <c r="U447" s="4" t="s">
        <v>3699</v>
      </c>
    </row>
    <row r="448" spans="1:21" x14ac:dyDescent="0.3">
      <c r="A448" s="28" t="s">
        <v>2675</v>
      </c>
      <c r="B448" s="4" t="s">
        <v>35</v>
      </c>
      <c r="C448" s="4" t="s">
        <v>37</v>
      </c>
      <c r="D448" s="4">
        <v>5405</v>
      </c>
      <c r="E448" s="30">
        <v>248</v>
      </c>
      <c r="G448" s="4">
        <v>4300021652</v>
      </c>
      <c r="J448" s="28" t="s">
        <v>613</v>
      </c>
      <c r="K448" s="28" t="s">
        <v>3</v>
      </c>
      <c r="L448" s="32">
        <v>43221</v>
      </c>
      <c r="M448" s="32">
        <f>BCOXT[[#This Row],[INV DOC DATE]]+30</f>
        <v>43251</v>
      </c>
      <c r="N448" s="32">
        <v>43250</v>
      </c>
      <c r="O448" s="31">
        <v>248</v>
      </c>
      <c r="P448" s="102">
        <v>43262</v>
      </c>
      <c r="Q448" s="31">
        <f t="shared" si="6"/>
        <v>0</v>
      </c>
      <c r="R448" s="53" t="str">
        <f ca="1">IF(TODAY() - BCOXT[INV DUE DATE]&lt;30, "Less than 30 days",IF(TODAY()-BCOXT[INV DUE DATE]&lt;60,"30-60 days","More than 60 days"))</f>
        <v>30-60 days</v>
      </c>
      <c r="S448" s="31" t="s">
        <v>812</v>
      </c>
      <c r="T448" s="43" t="s">
        <v>2229</v>
      </c>
      <c r="U448" s="4" t="s">
        <v>3699</v>
      </c>
    </row>
    <row r="449" spans="1:21" x14ac:dyDescent="0.3">
      <c r="A449" s="28" t="s">
        <v>2675</v>
      </c>
      <c r="B449" s="4" t="s">
        <v>35</v>
      </c>
      <c r="C449" s="4" t="s">
        <v>38</v>
      </c>
      <c r="D449" s="4">
        <v>5405</v>
      </c>
      <c r="E449" s="30">
        <v>248</v>
      </c>
      <c r="G449" s="4">
        <v>4300021652</v>
      </c>
      <c r="J449" s="28" t="s">
        <v>614</v>
      </c>
      <c r="K449" s="28" t="s">
        <v>3</v>
      </c>
      <c r="L449" s="32">
        <v>43221</v>
      </c>
      <c r="M449" s="32">
        <f>BCOXT[[#This Row],[INV DOC DATE]]+30</f>
        <v>43251</v>
      </c>
      <c r="N449" s="32">
        <v>43250</v>
      </c>
      <c r="O449" s="31">
        <v>248</v>
      </c>
      <c r="P449" s="102">
        <v>43262</v>
      </c>
      <c r="Q449" s="31">
        <f t="shared" si="6"/>
        <v>0</v>
      </c>
      <c r="R449" s="53" t="str">
        <f ca="1">IF(TODAY() - BCOXT[INV DUE DATE]&lt;30, "Less than 30 days",IF(TODAY()-BCOXT[INV DUE DATE]&lt;60,"30-60 days","More than 60 days"))</f>
        <v>30-60 days</v>
      </c>
      <c r="S449" s="31" t="s">
        <v>812</v>
      </c>
      <c r="T449" s="43" t="s">
        <v>2229</v>
      </c>
      <c r="U449" s="4" t="s">
        <v>3699</v>
      </c>
    </row>
    <row r="450" spans="1:21" x14ac:dyDescent="0.3">
      <c r="A450" s="28" t="s">
        <v>2675</v>
      </c>
      <c r="B450" s="4" t="s">
        <v>35</v>
      </c>
      <c r="C450" s="4" t="s">
        <v>39</v>
      </c>
      <c r="D450" s="4">
        <v>5405</v>
      </c>
      <c r="E450" s="30">
        <v>248</v>
      </c>
      <c r="G450" s="4">
        <v>4300021652</v>
      </c>
      <c r="J450" s="28" t="s">
        <v>615</v>
      </c>
      <c r="K450" s="28" t="s">
        <v>3</v>
      </c>
      <c r="L450" s="32">
        <v>43221</v>
      </c>
      <c r="M450" s="32">
        <f>BCOXT[[#This Row],[INV DOC DATE]]+30</f>
        <v>43251</v>
      </c>
      <c r="N450" s="32">
        <v>43250</v>
      </c>
      <c r="O450" s="31">
        <v>248</v>
      </c>
      <c r="P450" s="102">
        <v>43262</v>
      </c>
      <c r="Q450" s="31">
        <f t="shared" ref="Q450:Q513" si="7">$E450-$O450</f>
        <v>0</v>
      </c>
      <c r="R450" s="53" t="str">
        <f ca="1">IF(TODAY() - BCOXT[INV DUE DATE]&lt;30, "Less than 30 days",IF(TODAY()-BCOXT[INV DUE DATE]&lt;60,"30-60 days","More than 60 days"))</f>
        <v>30-60 days</v>
      </c>
      <c r="S450" s="31" t="s">
        <v>812</v>
      </c>
      <c r="T450" s="43" t="s">
        <v>2229</v>
      </c>
      <c r="U450" s="4" t="s">
        <v>3699</v>
      </c>
    </row>
    <row r="451" spans="1:21" x14ac:dyDescent="0.3">
      <c r="A451" s="28" t="s">
        <v>2675</v>
      </c>
      <c r="B451" s="4" t="s">
        <v>35</v>
      </c>
      <c r="C451" s="4" t="s">
        <v>40</v>
      </c>
      <c r="D451" s="4">
        <v>5405</v>
      </c>
      <c r="E451" s="30">
        <v>248</v>
      </c>
      <c r="G451" s="4">
        <v>4300021652</v>
      </c>
      <c r="J451" s="28" t="s">
        <v>616</v>
      </c>
      <c r="K451" s="28" t="s">
        <v>3</v>
      </c>
      <c r="L451" s="32">
        <v>43221</v>
      </c>
      <c r="M451" s="32">
        <f>BCOXT[[#This Row],[INV DOC DATE]]+30</f>
        <v>43251</v>
      </c>
      <c r="N451" s="32">
        <v>43250</v>
      </c>
      <c r="O451" s="31">
        <v>248</v>
      </c>
      <c r="P451" s="102">
        <v>43262</v>
      </c>
      <c r="Q451" s="31">
        <f t="shared" si="7"/>
        <v>0</v>
      </c>
      <c r="R451" s="53" t="str">
        <f ca="1">IF(TODAY() - BCOXT[INV DUE DATE]&lt;30, "Less than 30 days",IF(TODAY()-BCOXT[INV DUE DATE]&lt;60,"30-60 days","More than 60 days"))</f>
        <v>30-60 days</v>
      </c>
      <c r="S451" s="31" t="s">
        <v>812</v>
      </c>
      <c r="T451" s="43" t="s">
        <v>2229</v>
      </c>
      <c r="U451" s="4" t="s">
        <v>3699</v>
      </c>
    </row>
    <row r="452" spans="1:21" x14ac:dyDescent="0.3">
      <c r="A452" s="28" t="s">
        <v>2675</v>
      </c>
      <c r="B452" s="4" t="s">
        <v>35</v>
      </c>
      <c r="C452" s="4" t="s">
        <v>41</v>
      </c>
      <c r="D452" s="4">
        <v>5405</v>
      </c>
      <c r="E452" s="30">
        <v>248</v>
      </c>
      <c r="G452" s="4">
        <v>4300021652</v>
      </c>
      <c r="J452" s="28" t="s">
        <v>617</v>
      </c>
      <c r="K452" s="28" t="s">
        <v>3</v>
      </c>
      <c r="L452" s="32">
        <v>43221</v>
      </c>
      <c r="M452" s="32">
        <f>BCOXT[[#This Row],[INV DOC DATE]]+30</f>
        <v>43251</v>
      </c>
      <c r="N452" s="32">
        <v>43250</v>
      </c>
      <c r="O452" s="31">
        <v>248</v>
      </c>
      <c r="P452" s="102">
        <v>43262</v>
      </c>
      <c r="Q452" s="31">
        <f t="shared" si="7"/>
        <v>0</v>
      </c>
      <c r="R452" s="53" t="str">
        <f ca="1">IF(TODAY() - BCOXT[INV DUE DATE]&lt;30, "Less than 30 days",IF(TODAY()-BCOXT[INV DUE DATE]&lt;60,"30-60 days","More than 60 days"))</f>
        <v>30-60 days</v>
      </c>
      <c r="S452" s="31" t="s">
        <v>812</v>
      </c>
      <c r="T452" s="43" t="s">
        <v>2229</v>
      </c>
      <c r="U452" s="4" t="s">
        <v>3699</v>
      </c>
    </row>
    <row r="453" spans="1:21" x14ac:dyDescent="0.3">
      <c r="A453" s="28" t="s">
        <v>2675</v>
      </c>
      <c r="B453" s="4" t="s">
        <v>35</v>
      </c>
      <c r="C453" s="4" t="s">
        <v>42</v>
      </c>
      <c r="D453" s="4">
        <v>5405</v>
      </c>
      <c r="E453" s="30">
        <v>248</v>
      </c>
      <c r="G453" s="4">
        <v>4300021652</v>
      </c>
      <c r="J453" s="28" t="s">
        <v>618</v>
      </c>
      <c r="K453" s="28" t="s">
        <v>3</v>
      </c>
      <c r="L453" s="32">
        <v>43221</v>
      </c>
      <c r="M453" s="32">
        <f>BCOXT[[#This Row],[INV DOC DATE]]+30</f>
        <v>43251</v>
      </c>
      <c r="N453" s="32">
        <v>43250</v>
      </c>
      <c r="O453" s="31">
        <v>248</v>
      </c>
      <c r="P453" s="102">
        <v>43262</v>
      </c>
      <c r="Q453" s="31">
        <f t="shared" si="7"/>
        <v>0</v>
      </c>
      <c r="R453" s="53" t="str">
        <f ca="1">IF(TODAY() - BCOXT[INV DUE DATE]&lt;30, "Less than 30 days",IF(TODAY()-BCOXT[INV DUE DATE]&lt;60,"30-60 days","More than 60 days"))</f>
        <v>30-60 days</v>
      </c>
      <c r="S453" s="31" t="s">
        <v>812</v>
      </c>
      <c r="T453" s="43" t="s">
        <v>2229</v>
      </c>
      <c r="U453" s="4" t="s">
        <v>3699</v>
      </c>
    </row>
    <row r="454" spans="1:21" x14ac:dyDescent="0.3">
      <c r="A454" s="28" t="s">
        <v>2675</v>
      </c>
      <c r="B454" s="4" t="s">
        <v>35</v>
      </c>
      <c r="C454" s="4" t="s">
        <v>43</v>
      </c>
      <c r="D454" s="4">
        <v>5405</v>
      </c>
      <c r="E454" s="30">
        <v>248</v>
      </c>
      <c r="G454" s="4">
        <v>4300021652</v>
      </c>
      <c r="J454" s="28" t="s">
        <v>619</v>
      </c>
      <c r="K454" s="28" t="s">
        <v>3</v>
      </c>
      <c r="L454" s="32">
        <v>43221</v>
      </c>
      <c r="M454" s="32">
        <f>BCOXT[[#This Row],[INV DOC DATE]]+30</f>
        <v>43251</v>
      </c>
      <c r="N454" s="32">
        <v>43250</v>
      </c>
      <c r="O454" s="31">
        <v>248</v>
      </c>
      <c r="P454" s="102">
        <v>43262</v>
      </c>
      <c r="Q454" s="31">
        <f t="shared" si="7"/>
        <v>0</v>
      </c>
      <c r="R454" s="53" t="str">
        <f ca="1">IF(TODAY() - BCOXT[INV DUE DATE]&lt;30, "Less than 30 days",IF(TODAY()-BCOXT[INV DUE DATE]&lt;60,"30-60 days","More than 60 days"))</f>
        <v>30-60 days</v>
      </c>
      <c r="S454" s="31" t="s">
        <v>812</v>
      </c>
      <c r="T454" s="43" t="s">
        <v>2229</v>
      </c>
      <c r="U454" s="4" t="s">
        <v>3699</v>
      </c>
    </row>
    <row r="455" spans="1:21" x14ac:dyDescent="0.3">
      <c r="A455" s="28" t="s">
        <v>2675</v>
      </c>
      <c r="B455" s="4" t="s">
        <v>35</v>
      </c>
      <c r="C455" s="4" t="s">
        <v>44</v>
      </c>
      <c r="D455" s="4">
        <v>5405</v>
      </c>
      <c r="E455" s="30">
        <v>248</v>
      </c>
      <c r="G455" s="4">
        <v>4300021652</v>
      </c>
      <c r="J455" s="28" t="s">
        <v>620</v>
      </c>
      <c r="K455" s="28" t="s">
        <v>3</v>
      </c>
      <c r="L455" s="32">
        <v>43221</v>
      </c>
      <c r="M455" s="32">
        <f>BCOXT[[#This Row],[INV DOC DATE]]+30</f>
        <v>43251</v>
      </c>
      <c r="N455" s="32">
        <v>43250</v>
      </c>
      <c r="O455" s="31">
        <v>248</v>
      </c>
      <c r="P455" s="102">
        <v>43262</v>
      </c>
      <c r="Q455" s="31">
        <f t="shared" si="7"/>
        <v>0</v>
      </c>
      <c r="R455" s="53" t="str">
        <f ca="1">IF(TODAY() - BCOXT[INV DUE DATE]&lt;30, "Less than 30 days",IF(TODAY()-BCOXT[INV DUE DATE]&lt;60,"30-60 days","More than 60 days"))</f>
        <v>30-60 days</v>
      </c>
      <c r="S455" s="31" t="s">
        <v>812</v>
      </c>
      <c r="T455" s="43" t="s">
        <v>2229</v>
      </c>
      <c r="U455" s="4" t="s">
        <v>3699</v>
      </c>
    </row>
    <row r="456" spans="1:21" x14ac:dyDescent="0.3">
      <c r="A456" s="28" t="s">
        <v>2675</v>
      </c>
      <c r="B456" s="4" t="s">
        <v>35</v>
      </c>
      <c r="C456" s="4" t="s">
        <v>45</v>
      </c>
      <c r="D456" s="4">
        <v>5405</v>
      </c>
      <c r="E456" s="30">
        <v>248</v>
      </c>
      <c r="G456" s="4">
        <v>4300021652</v>
      </c>
      <c r="J456" s="28" t="s">
        <v>621</v>
      </c>
      <c r="K456" s="28" t="s">
        <v>3</v>
      </c>
      <c r="L456" s="32">
        <v>43221</v>
      </c>
      <c r="M456" s="32">
        <f>BCOXT[[#This Row],[INV DOC DATE]]+30</f>
        <v>43251</v>
      </c>
      <c r="N456" s="32">
        <v>43250</v>
      </c>
      <c r="O456" s="31">
        <v>248</v>
      </c>
      <c r="P456" s="102">
        <v>43262</v>
      </c>
      <c r="Q456" s="31">
        <f t="shared" si="7"/>
        <v>0</v>
      </c>
      <c r="R456" s="53" t="str">
        <f ca="1">IF(TODAY() - BCOXT[INV DUE DATE]&lt;30, "Less than 30 days",IF(TODAY()-BCOXT[INV DUE DATE]&lt;60,"30-60 days","More than 60 days"))</f>
        <v>30-60 days</v>
      </c>
      <c r="S456" s="31" t="s">
        <v>812</v>
      </c>
      <c r="T456" s="43" t="s">
        <v>2229</v>
      </c>
      <c r="U456" s="4" t="s">
        <v>3699</v>
      </c>
    </row>
    <row r="457" spans="1:21" x14ac:dyDescent="0.3">
      <c r="A457" s="28" t="s">
        <v>2675</v>
      </c>
      <c r="B457" s="4" t="s">
        <v>35</v>
      </c>
      <c r="C457" s="4" t="s">
        <v>46</v>
      </c>
      <c r="D457" s="4">
        <v>5405</v>
      </c>
      <c r="E457" s="30">
        <v>558</v>
      </c>
      <c r="G457" s="4">
        <v>4300021652</v>
      </c>
      <c r="J457" s="28" t="s">
        <v>622</v>
      </c>
      <c r="K457" s="28" t="s">
        <v>3</v>
      </c>
      <c r="L457" s="32">
        <v>43221</v>
      </c>
      <c r="M457" s="32">
        <f>BCOXT[[#This Row],[INV DOC DATE]]+30</f>
        <v>43251</v>
      </c>
      <c r="N457" s="32">
        <v>43250</v>
      </c>
      <c r="O457" s="31">
        <v>558</v>
      </c>
      <c r="P457" s="102">
        <v>43262</v>
      </c>
      <c r="Q457" s="31">
        <f t="shared" si="7"/>
        <v>0</v>
      </c>
      <c r="R457" s="53" t="str">
        <f ca="1">IF(TODAY() - BCOXT[INV DUE DATE]&lt;30, "Less than 30 days",IF(TODAY()-BCOXT[INV DUE DATE]&lt;60,"30-60 days","More than 60 days"))</f>
        <v>30-60 days</v>
      </c>
      <c r="S457" s="31" t="s">
        <v>812</v>
      </c>
      <c r="T457" s="43" t="s">
        <v>2229</v>
      </c>
      <c r="U457" s="4" t="s">
        <v>3699</v>
      </c>
    </row>
    <row r="458" spans="1:21" x14ac:dyDescent="0.3">
      <c r="A458" s="28" t="s">
        <v>2675</v>
      </c>
      <c r="B458" s="4" t="s">
        <v>35</v>
      </c>
      <c r="C458" s="4" t="s">
        <v>47</v>
      </c>
      <c r="D458" s="4">
        <v>5405</v>
      </c>
      <c r="E458" s="30">
        <v>558</v>
      </c>
      <c r="G458" s="4">
        <v>4300021652</v>
      </c>
      <c r="J458" s="28" t="s">
        <v>623</v>
      </c>
      <c r="K458" s="28" t="s">
        <v>3</v>
      </c>
      <c r="L458" s="32">
        <v>43221</v>
      </c>
      <c r="M458" s="32">
        <f>BCOXT[[#This Row],[INV DOC DATE]]+30</f>
        <v>43251</v>
      </c>
      <c r="N458" s="32">
        <v>43250</v>
      </c>
      <c r="O458" s="31">
        <v>558</v>
      </c>
      <c r="P458" s="102">
        <v>43262</v>
      </c>
      <c r="Q458" s="31">
        <f t="shared" si="7"/>
        <v>0</v>
      </c>
      <c r="R458" s="53" t="str">
        <f ca="1">IF(TODAY() - BCOXT[INV DUE DATE]&lt;30, "Less than 30 days",IF(TODAY()-BCOXT[INV DUE DATE]&lt;60,"30-60 days","More than 60 days"))</f>
        <v>30-60 days</v>
      </c>
      <c r="S458" s="31" t="s">
        <v>812</v>
      </c>
      <c r="T458" s="43" t="s">
        <v>2229</v>
      </c>
      <c r="U458" s="4" t="s">
        <v>3699</v>
      </c>
    </row>
    <row r="459" spans="1:21" x14ac:dyDescent="0.3">
      <c r="A459" s="28" t="s">
        <v>2675</v>
      </c>
      <c r="B459" s="4" t="s">
        <v>35</v>
      </c>
      <c r="C459" s="4" t="s">
        <v>295</v>
      </c>
      <c r="D459" s="4">
        <v>5405</v>
      </c>
      <c r="E459" s="30">
        <v>558</v>
      </c>
      <c r="G459" s="4">
        <v>4300021652</v>
      </c>
      <c r="J459" s="28" t="s">
        <v>624</v>
      </c>
      <c r="K459" s="28" t="s">
        <v>3</v>
      </c>
      <c r="L459" s="32">
        <v>43221</v>
      </c>
      <c r="M459" s="32">
        <f>BCOXT[[#This Row],[INV DOC DATE]]+30</f>
        <v>43251</v>
      </c>
      <c r="N459" s="32">
        <v>43250</v>
      </c>
      <c r="O459" s="31">
        <v>558</v>
      </c>
      <c r="P459" s="102">
        <v>43262</v>
      </c>
      <c r="Q459" s="31">
        <f t="shared" si="7"/>
        <v>0</v>
      </c>
      <c r="R459" s="53" t="str">
        <f ca="1">IF(TODAY() - BCOXT[INV DUE DATE]&lt;30, "Less than 30 days",IF(TODAY()-BCOXT[INV DUE DATE]&lt;60,"30-60 days","More than 60 days"))</f>
        <v>30-60 days</v>
      </c>
      <c r="S459" s="31" t="s">
        <v>812</v>
      </c>
      <c r="T459" s="43" t="s">
        <v>2229</v>
      </c>
      <c r="U459" s="4" t="s">
        <v>3699</v>
      </c>
    </row>
    <row r="460" spans="1:21" x14ac:dyDescent="0.3">
      <c r="A460" s="28" t="s">
        <v>2675</v>
      </c>
      <c r="B460" s="4" t="s">
        <v>35</v>
      </c>
      <c r="C460" s="4" t="s">
        <v>48</v>
      </c>
      <c r="D460" s="4">
        <v>5405</v>
      </c>
      <c r="E460" s="30">
        <v>558</v>
      </c>
      <c r="G460" s="4">
        <v>4300021652</v>
      </c>
      <c r="J460" s="28" t="s">
        <v>625</v>
      </c>
      <c r="K460" s="28" t="s">
        <v>3</v>
      </c>
      <c r="L460" s="32">
        <v>43221</v>
      </c>
      <c r="M460" s="32">
        <f>BCOXT[[#This Row],[INV DOC DATE]]+30</f>
        <v>43251</v>
      </c>
      <c r="N460" s="32">
        <v>43250</v>
      </c>
      <c r="O460" s="31">
        <v>558</v>
      </c>
      <c r="P460" s="102">
        <v>43262</v>
      </c>
      <c r="Q460" s="31">
        <f t="shared" si="7"/>
        <v>0</v>
      </c>
      <c r="R460" s="53" t="str">
        <f ca="1">IF(TODAY() - BCOXT[INV DUE DATE]&lt;30, "Less than 30 days",IF(TODAY()-BCOXT[INV DUE DATE]&lt;60,"30-60 days","More than 60 days"))</f>
        <v>30-60 days</v>
      </c>
      <c r="S460" s="31" t="s">
        <v>812</v>
      </c>
      <c r="T460" s="43" t="s">
        <v>2229</v>
      </c>
      <c r="U460" s="4" t="s">
        <v>3699</v>
      </c>
    </row>
    <row r="461" spans="1:21" x14ac:dyDescent="0.3">
      <c r="A461" s="28" t="s">
        <v>2675</v>
      </c>
      <c r="B461" s="4" t="s">
        <v>35</v>
      </c>
      <c r="C461" s="4" t="s">
        <v>49</v>
      </c>
      <c r="D461" s="4">
        <v>5405</v>
      </c>
      <c r="E461" s="30">
        <v>558</v>
      </c>
      <c r="G461" s="4">
        <v>4300021652</v>
      </c>
      <c r="J461" s="28" t="s">
        <v>626</v>
      </c>
      <c r="K461" s="28" t="s">
        <v>3</v>
      </c>
      <c r="L461" s="32">
        <v>43221</v>
      </c>
      <c r="M461" s="32">
        <f>BCOXT[[#This Row],[INV DOC DATE]]+30</f>
        <v>43251</v>
      </c>
      <c r="N461" s="32">
        <v>43250</v>
      </c>
      <c r="O461" s="31">
        <v>558</v>
      </c>
      <c r="P461" s="102">
        <v>43262</v>
      </c>
      <c r="Q461" s="31">
        <f t="shared" si="7"/>
        <v>0</v>
      </c>
      <c r="R461" s="53" t="str">
        <f ca="1">IF(TODAY() - BCOXT[INV DUE DATE]&lt;30, "Less than 30 days",IF(TODAY()-BCOXT[INV DUE DATE]&lt;60,"30-60 days","More than 60 days"))</f>
        <v>30-60 days</v>
      </c>
      <c r="S461" s="31" t="s">
        <v>812</v>
      </c>
      <c r="T461" s="43" t="s">
        <v>2229</v>
      </c>
      <c r="U461" s="4" t="s">
        <v>3699</v>
      </c>
    </row>
    <row r="462" spans="1:21" x14ac:dyDescent="0.3">
      <c r="A462" s="28" t="s">
        <v>2675</v>
      </c>
      <c r="B462" s="4" t="s">
        <v>35</v>
      </c>
      <c r="C462" s="4" t="s">
        <v>50</v>
      </c>
      <c r="D462" s="4">
        <v>5405</v>
      </c>
      <c r="E462" s="30">
        <v>558</v>
      </c>
      <c r="G462" s="4">
        <v>4300021652</v>
      </c>
      <c r="J462" s="28" t="s">
        <v>627</v>
      </c>
      <c r="K462" s="28" t="s">
        <v>3</v>
      </c>
      <c r="L462" s="32">
        <v>43221</v>
      </c>
      <c r="M462" s="32">
        <f>BCOXT[[#This Row],[INV DOC DATE]]+30</f>
        <v>43251</v>
      </c>
      <c r="N462" s="32">
        <v>43250</v>
      </c>
      <c r="O462" s="31">
        <v>558</v>
      </c>
      <c r="P462" s="102">
        <v>43262</v>
      </c>
      <c r="Q462" s="31">
        <f t="shared" si="7"/>
        <v>0</v>
      </c>
      <c r="R462" s="53" t="str">
        <f ca="1">IF(TODAY() - BCOXT[INV DUE DATE]&lt;30, "Less than 30 days",IF(TODAY()-BCOXT[INV DUE DATE]&lt;60,"30-60 days","More than 60 days"))</f>
        <v>30-60 days</v>
      </c>
      <c r="S462" s="31" t="s">
        <v>812</v>
      </c>
      <c r="T462" s="43" t="s">
        <v>2229</v>
      </c>
      <c r="U462" s="4" t="s">
        <v>3699</v>
      </c>
    </row>
    <row r="463" spans="1:21" x14ac:dyDescent="0.3">
      <c r="A463" s="28" t="s">
        <v>2675</v>
      </c>
      <c r="B463" s="4" t="s">
        <v>35</v>
      </c>
      <c r="C463" s="4" t="s">
        <v>51</v>
      </c>
      <c r="D463" s="4">
        <v>5405</v>
      </c>
      <c r="E463" s="30">
        <v>271.25</v>
      </c>
      <c r="G463" s="4">
        <v>4300021652</v>
      </c>
      <c r="J463" s="28" t="s">
        <v>628</v>
      </c>
      <c r="K463" s="28" t="s">
        <v>3</v>
      </c>
      <c r="L463" s="32">
        <v>43221</v>
      </c>
      <c r="M463" s="32">
        <f>BCOXT[[#This Row],[INV DOC DATE]]+30</f>
        <v>43251</v>
      </c>
      <c r="N463" s="32">
        <v>43250</v>
      </c>
      <c r="O463" s="31">
        <v>271.25</v>
      </c>
      <c r="P463" s="102">
        <v>43262</v>
      </c>
      <c r="Q463" s="31">
        <f t="shared" si="7"/>
        <v>0</v>
      </c>
      <c r="R463" s="53" t="str">
        <f ca="1">IF(TODAY() - BCOXT[INV DUE DATE]&lt;30, "Less than 30 days",IF(TODAY()-BCOXT[INV DUE DATE]&lt;60,"30-60 days","More than 60 days"))</f>
        <v>30-60 days</v>
      </c>
      <c r="S463" s="31" t="s">
        <v>812</v>
      </c>
      <c r="T463" s="43" t="s">
        <v>2229</v>
      </c>
      <c r="U463" s="4" t="s">
        <v>3699</v>
      </c>
    </row>
    <row r="464" spans="1:21" x14ac:dyDescent="0.3">
      <c r="A464" s="28" t="s">
        <v>2675</v>
      </c>
      <c r="B464" s="4" t="s">
        <v>35</v>
      </c>
      <c r="C464" s="4" t="s">
        <v>52</v>
      </c>
      <c r="D464" s="4">
        <v>5405</v>
      </c>
      <c r="E464" s="30">
        <v>271.25</v>
      </c>
      <c r="G464" s="4">
        <v>4300021652</v>
      </c>
      <c r="J464" s="28" t="s">
        <v>629</v>
      </c>
      <c r="K464" s="28" t="s">
        <v>3</v>
      </c>
      <c r="L464" s="32">
        <v>43221</v>
      </c>
      <c r="M464" s="32">
        <f>BCOXT[[#This Row],[INV DOC DATE]]+30</f>
        <v>43251</v>
      </c>
      <c r="N464" s="32">
        <v>43250</v>
      </c>
      <c r="O464" s="31">
        <v>271.25</v>
      </c>
      <c r="P464" s="102">
        <v>43262</v>
      </c>
      <c r="Q464" s="31">
        <f t="shared" si="7"/>
        <v>0</v>
      </c>
      <c r="R464" s="53" t="str">
        <f ca="1">IF(TODAY() - BCOXT[INV DUE DATE]&lt;30, "Less than 30 days",IF(TODAY()-BCOXT[INV DUE DATE]&lt;60,"30-60 days","More than 60 days"))</f>
        <v>30-60 days</v>
      </c>
      <c r="S464" s="31" t="s">
        <v>812</v>
      </c>
      <c r="T464" s="43" t="s">
        <v>2229</v>
      </c>
      <c r="U464" s="4" t="s">
        <v>3699</v>
      </c>
    </row>
    <row r="465" spans="1:21" x14ac:dyDescent="0.3">
      <c r="A465" s="28" t="s">
        <v>2675</v>
      </c>
      <c r="B465" s="4" t="s">
        <v>35</v>
      </c>
      <c r="C465" s="4" t="s">
        <v>53</v>
      </c>
      <c r="D465" s="4">
        <v>5405</v>
      </c>
      <c r="E465" s="30">
        <v>379.44</v>
      </c>
      <c r="G465" s="4">
        <v>4300021652</v>
      </c>
      <c r="J465" s="28" t="s">
        <v>630</v>
      </c>
      <c r="K465" s="28" t="s">
        <v>3</v>
      </c>
      <c r="L465" s="32">
        <v>43221</v>
      </c>
      <c r="M465" s="32">
        <f>BCOXT[[#This Row],[INV DOC DATE]]+30</f>
        <v>43251</v>
      </c>
      <c r="N465" s="32">
        <v>43250</v>
      </c>
      <c r="O465" s="31">
        <v>379.44</v>
      </c>
      <c r="P465" s="102">
        <v>43262</v>
      </c>
      <c r="Q465" s="31">
        <f t="shared" si="7"/>
        <v>0</v>
      </c>
      <c r="R465" s="53" t="str">
        <f ca="1">IF(TODAY() - BCOXT[INV DUE DATE]&lt;30, "Less than 30 days",IF(TODAY()-BCOXT[INV DUE DATE]&lt;60,"30-60 days","More than 60 days"))</f>
        <v>30-60 days</v>
      </c>
      <c r="S465" s="31" t="s">
        <v>812</v>
      </c>
      <c r="T465" s="43" t="s">
        <v>2229</v>
      </c>
      <c r="U465" s="4" t="s">
        <v>3699</v>
      </c>
    </row>
    <row r="466" spans="1:21" x14ac:dyDescent="0.3">
      <c r="A466" s="28" t="s">
        <v>2675</v>
      </c>
      <c r="B466" s="4" t="s">
        <v>35</v>
      </c>
      <c r="C466" s="4" t="s">
        <v>54</v>
      </c>
      <c r="D466" s="4">
        <v>5405</v>
      </c>
      <c r="E466" s="30">
        <v>379.44</v>
      </c>
      <c r="G466" s="4">
        <v>4300021652</v>
      </c>
      <c r="J466" s="28" t="s">
        <v>631</v>
      </c>
      <c r="K466" s="28" t="s">
        <v>3</v>
      </c>
      <c r="L466" s="32">
        <v>43221</v>
      </c>
      <c r="M466" s="32">
        <f>BCOXT[[#This Row],[INV DOC DATE]]+30</f>
        <v>43251</v>
      </c>
      <c r="N466" s="32">
        <v>43250</v>
      </c>
      <c r="O466" s="31">
        <v>379.44</v>
      </c>
      <c r="P466" s="102">
        <v>43262</v>
      </c>
      <c r="Q466" s="31">
        <f t="shared" si="7"/>
        <v>0</v>
      </c>
      <c r="R466" s="53" t="str">
        <f ca="1">IF(TODAY() - BCOXT[INV DUE DATE]&lt;30, "Less than 30 days",IF(TODAY()-BCOXT[INV DUE DATE]&lt;60,"30-60 days","More than 60 days"))</f>
        <v>30-60 days</v>
      </c>
      <c r="S466" s="31" t="s">
        <v>812</v>
      </c>
      <c r="T466" s="43" t="s">
        <v>2229</v>
      </c>
      <c r="U466" s="4" t="s">
        <v>3699</v>
      </c>
    </row>
    <row r="467" spans="1:21" x14ac:dyDescent="0.3">
      <c r="A467" s="28" t="s">
        <v>2675</v>
      </c>
      <c r="B467" s="4" t="s">
        <v>35</v>
      </c>
      <c r="C467" s="4" t="s">
        <v>55</v>
      </c>
      <c r="D467" s="4">
        <v>5405</v>
      </c>
      <c r="E467" s="30">
        <v>342.72</v>
      </c>
      <c r="G467" s="4">
        <v>4300021652</v>
      </c>
      <c r="J467" s="28" t="s">
        <v>2676</v>
      </c>
      <c r="K467" s="28" t="s">
        <v>3</v>
      </c>
      <c r="L467" s="32">
        <v>43221</v>
      </c>
      <c r="M467" s="32">
        <f>BCOXT[[#This Row],[INV DOC DATE]]+30</f>
        <v>43251</v>
      </c>
      <c r="N467" s="32">
        <v>43250</v>
      </c>
      <c r="O467" s="31">
        <v>342.72</v>
      </c>
      <c r="P467" s="102">
        <v>43262</v>
      </c>
      <c r="Q467" s="31">
        <f t="shared" si="7"/>
        <v>0</v>
      </c>
      <c r="R467" s="53" t="str">
        <f ca="1">IF(TODAY() - BCOXT[INV DUE DATE]&lt;30, "Less than 30 days",IF(TODAY()-BCOXT[INV DUE DATE]&lt;60,"30-60 days","More than 60 days"))</f>
        <v>30-60 days</v>
      </c>
      <c r="S467" s="31" t="s">
        <v>812</v>
      </c>
      <c r="T467" s="43" t="s">
        <v>2229</v>
      </c>
      <c r="U467" s="4" t="s">
        <v>3699</v>
      </c>
    </row>
    <row r="468" spans="1:21" x14ac:dyDescent="0.3">
      <c r="A468" s="28" t="s">
        <v>2675</v>
      </c>
      <c r="B468" s="4" t="s">
        <v>35</v>
      </c>
      <c r="C468" s="4" t="s">
        <v>56</v>
      </c>
      <c r="D468" s="4">
        <v>5405</v>
      </c>
      <c r="E468" s="30">
        <v>90</v>
      </c>
      <c r="G468" s="4">
        <v>4300021652</v>
      </c>
      <c r="J468" s="28" t="s">
        <v>2676</v>
      </c>
      <c r="K468" s="28" t="s">
        <v>810</v>
      </c>
      <c r="L468" s="32">
        <v>43221</v>
      </c>
      <c r="M468" s="32">
        <f>BCOXT[[#This Row],[INV DOC DATE]]+30</f>
        <v>43251</v>
      </c>
      <c r="N468" s="32">
        <v>43250</v>
      </c>
      <c r="O468" s="31">
        <v>90</v>
      </c>
      <c r="P468" s="102">
        <v>43262</v>
      </c>
      <c r="Q468" s="31">
        <f t="shared" si="7"/>
        <v>0</v>
      </c>
      <c r="R468" s="53" t="str">
        <f ca="1">IF(TODAY() - BCOXT[INV DUE DATE]&lt;30, "Less than 30 days",IF(TODAY()-BCOXT[INV DUE DATE]&lt;60,"30-60 days","More than 60 days"))</f>
        <v>30-60 days</v>
      </c>
      <c r="S468" s="31" t="s">
        <v>812</v>
      </c>
      <c r="T468" s="43" t="s">
        <v>2229</v>
      </c>
      <c r="U468" s="4" t="s">
        <v>3699</v>
      </c>
    </row>
    <row r="469" spans="1:21" x14ac:dyDescent="0.3">
      <c r="A469" s="28" t="s">
        <v>2675</v>
      </c>
      <c r="B469" s="4" t="s">
        <v>35</v>
      </c>
      <c r="C469" s="4" t="s">
        <v>57</v>
      </c>
      <c r="D469" s="4">
        <v>5405</v>
      </c>
      <c r="E469" s="30">
        <v>248</v>
      </c>
      <c r="G469" s="4">
        <v>4300021652</v>
      </c>
      <c r="J469" s="28" t="s">
        <v>632</v>
      </c>
      <c r="K469" s="28" t="s">
        <v>3</v>
      </c>
      <c r="L469" s="32">
        <v>43221</v>
      </c>
      <c r="M469" s="32">
        <f>BCOXT[[#This Row],[INV DOC DATE]]+30</f>
        <v>43251</v>
      </c>
      <c r="N469" s="32">
        <v>43250</v>
      </c>
      <c r="O469" s="31">
        <v>248</v>
      </c>
      <c r="P469" s="102">
        <v>43262</v>
      </c>
      <c r="Q469" s="31">
        <f t="shared" si="7"/>
        <v>0</v>
      </c>
      <c r="R469" s="53" t="str">
        <f ca="1">IF(TODAY() - BCOXT[INV DUE DATE]&lt;30, "Less than 30 days",IF(TODAY()-BCOXT[INV DUE DATE]&lt;60,"30-60 days","More than 60 days"))</f>
        <v>30-60 days</v>
      </c>
      <c r="S469" s="31" t="s">
        <v>812</v>
      </c>
      <c r="T469" s="43" t="s">
        <v>2229</v>
      </c>
      <c r="U469" s="4" t="s">
        <v>3699</v>
      </c>
    </row>
    <row r="470" spans="1:21" x14ac:dyDescent="0.3">
      <c r="A470" s="28" t="s">
        <v>2675</v>
      </c>
      <c r="B470" s="4" t="s">
        <v>35</v>
      </c>
      <c r="C470" s="4" t="s">
        <v>58</v>
      </c>
      <c r="D470" s="4">
        <v>5405</v>
      </c>
      <c r="E470" s="30">
        <v>248</v>
      </c>
      <c r="G470" s="4">
        <v>4300021652</v>
      </c>
      <c r="J470" s="28" t="s">
        <v>633</v>
      </c>
      <c r="K470" s="28" t="s">
        <v>3</v>
      </c>
      <c r="L470" s="32">
        <v>43221</v>
      </c>
      <c r="M470" s="32">
        <f>BCOXT[[#This Row],[INV DOC DATE]]+30</f>
        <v>43251</v>
      </c>
      <c r="N470" s="32">
        <v>43250</v>
      </c>
      <c r="O470" s="31">
        <v>248</v>
      </c>
      <c r="P470" s="102">
        <v>43262</v>
      </c>
      <c r="Q470" s="31">
        <f t="shared" si="7"/>
        <v>0</v>
      </c>
      <c r="R470" s="53" t="str">
        <f ca="1">IF(TODAY() - BCOXT[INV DUE DATE]&lt;30, "Less than 30 days",IF(TODAY()-BCOXT[INV DUE DATE]&lt;60,"30-60 days","More than 60 days"))</f>
        <v>30-60 days</v>
      </c>
      <c r="S470" s="31" t="s">
        <v>812</v>
      </c>
      <c r="T470" s="43" t="s">
        <v>2229</v>
      </c>
      <c r="U470" s="4" t="s">
        <v>3699</v>
      </c>
    </row>
    <row r="471" spans="1:21" x14ac:dyDescent="0.3">
      <c r="A471" s="28" t="s">
        <v>2675</v>
      </c>
      <c r="B471" s="4" t="s">
        <v>35</v>
      </c>
      <c r="C471" s="4" t="s">
        <v>59</v>
      </c>
      <c r="D471" s="4">
        <v>5405</v>
      </c>
      <c r="E471" s="30">
        <v>248</v>
      </c>
      <c r="G471" s="4">
        <v>4300021652</v>
      </c>
      <c r="J471" s="28" t="s">
        <v>634</v>
      </c>
      <c r="K471" s="28" t="s">
        <v>3</v>
      </c>
      <c r="L471" s="32">
        <v>43221</v>
      </c>
      <c r="M471" s="32">
        <f>BCOXT[[#This Row],[INV DOC DATE]]+30</f>
        <v>43251</v>
      </c>
      <c r="N471" s="32">
        <v>43250</v>
      </c>
      <c r="O471" s="31">
        <v>248</v>
      </c>
      <c r="P471" s="102">
        <v>43262</v>
      </c>
      <c r="Q471" s="31">
        <f t="shared" si="7"/>
        <v>0</v>
      </c>
      <c r="R471" s="53" t="str">
        <f ca="1">IF(TODAY() - BCOXT[INV DUE DATE]&lt;30, "Less than 30 days",IF(TODAY()-BCOXT[INV DUE DATE]&lt;60,"30-60 days","More than 60 days"))</f>
        <v>30-60 days</v>
      </c>
      <c r="S471" s="31" t="s">
        <v>812</v>
      </c>
      <c r="T471" s="43" t="s">
        <v>2229</v>
      </c>
      <c r="U471" s="4" t="s">
        <v>3699</v>
      </c>
    </row>
    <row r="472" spans="1:21" x14ac:dyDescent="0.3">
      <c r="A472" s="28" t="s">
        <v>2675</v>
      </c>
      <c r="B472" s="4" t="s">
        <v>35</v>
      </c>
      <c r="C472" s="4" t="s">
        <v>60</v>
      </c>
      <c r="D472" s="4">
        <v>5405</v>
      </c>
      <c r="E472" s="30">
        <v>248</v>
      </c>
      <c r="G472" s="4">
        <v>4300021652</v>
      </c>
      <c r="J472" s="28" t="s">
        <v>635</v>
      </c>
      <c r="K472" s="28" t="s">
        <v>3</v>
      </c>
      <c r="L472" s="32">
        <v>43221</v>
      </c>
      <c r="M472" s="32">
        <f>BCOXT[[#This Row],[INV DOC DATE]]+30</f>
        <v>43251</v>
      </c>
      <c r="N472" s="32">
        <v>43250</v>
      </c>
      <c r="O472" s="31">
        <v>248</v>
      </c>
      <c r="P472" s="102">
        <v>43262</v>
      </c>
      <c r="Q472" s="31">
        <f t="shared" si="7"/>
        <v>0</v>
      </c>
      <c r="R472" s="53" t="str">
        <f ca="1">IF(TODAY() - BCOXT[INV DUE DATE]&lt;30, "Less than 30 days",IF(TODAY()-BCOXT[INV DUE DATE]&lt;60,"30-60 days","More than 60 days"))</f>
        <v>30-60 days</v>
      </c>
      <c r="S472" s="31" t="s">
        <v>812</v>
      </c>
      <c r="T472" s="43" t="s">
        <v>2229</v>
      </c>
      <c r="U472" s="4" t="s">
        <v>3699</v>
      </c>
    </row>
    <row r="473" spans="1:21" x14ac:dyDescent="0.3">
      <c r="A473" s="28" t="s">
        <v>2675</v>
      </c>
      <c r="B473" s="4" t="s">
        <v>35</v>
      </c>
      <c r="C473" s="4" t="s">
        <v>61</v>
      </c>
      <c r="D473" s="4">
        <v>5405</v>
      </c>
      <c r="E473" s="30">
        <v>248</v>
      </c>
      <c r="G473" s="4">
        <v>4300021652</v>
      </c>
      <c r="J473" s="28" t="s">
        <v>636</v>
      </c>
      <c r="K473" s="28" t="s">
        <v>3</v>
      </c>
      <c r="L473" s="32">
        <v>43221</v>
      </c>
      <c r="M473" s="32">
        <f>BCOXT[[#This Row],[INV DOC DATE]]+30</f>
        <v>43251</v>
      </c>
      <c r="N473" s="32">
        <v>43250</v>
      </c>
      <c r="O473" s="31">
        <v>248</v>
      </c>
      <c r="P473" s="102">
        <v>43262</v>
      </c>
      <c r="Q473" s="31">
        <f t="shared" si="7"/>
        <v>0</v>
      </c>
      <c r="R473" s="53" t="str">
        <f ca="1">IF(TODAY() - BCOXT[INV DUE DATE]&lt;30, "Less than 30 days",IF(TODAY()-BCOXT[INV DUE DATE]&lt;60,"30-60 days","More than 60 days"))</f>
        <v>30-60 days</v>
      </c>
      <c r="S473" s="31" t="s">
        <v>812</v>
      </c>
      <c r="T473" s="43" t="s">
        <v>2229</v>
      </c>
      <c r="U473" s="4" t="s">
        <v>3699</v>
      </c>
    </row>
    <row r="474" spans="1:21" x14ac:dyDescent="0.3">
      <c r="A474" s="28" t="s">
        <v>2675</v>
      </c>
      <c r="B474" s="4" t="s">
        <v>35</v>
      </c>
      <c r="C474" s="4" t="s">
        <v>62</v>
      </c>
      <c r="D474" s="4">
        <v>5405</v>
      </c>
      <c r="E474" s="30">
        <v>248</v>
      </c>
      <c r="G474" s="4">
        <v>4300021652</v>
      </c>
      <c r="J474" s="28" t="s">
        <v>637</v>
      </c>
      <c r="K474" s="28" t="s">
        <v>3</v>
      </c>
      <c r="L474" s="32">
        <v>43221</v>
      </c>
      <c r="M474" s="32">
        <f>BCOXT[[#This Row],[INV DOC DATE]]+30</f>
        <v>43251</v>
      </c>
      <c r="N474" s="32">
        <v>43250</v>
      </c>
      <c r="O474" s="31">
        <v>248</v>
      </c>
      <c r="P474" s="102">
        <v>43262</v>
      </c>
      <c r="Q474" s="31">
        <f t="shared" si="7"/>
        <v>0</v>
      </c>
      <c r="R474" s="53" t="str">
        <f ca="1">IF(TODAY() - BCOXT[INV DUE DATE]&lt;30, "Less than 30 days",IF(TODAY()-BCOXT[INV DUE DATE]&lt;60,"30-60 days","More than 60 days"))</f>
        <v>30-60 days</v>
      </c>
      <c r="S474" s="31" t="s">
        <v>812</v>
      </c>
      <c r="T474" s="43" t="s">
        <v>2229</v>
      </c>
      <c r="U474" s="4" t="s">
        <v>3699</v>
      </c>
    </row>
    <row r="475" spans="1:21" x14ac:dyDescent="0.3">
      <c r="A475" s="28" t="s">
        <v>2675</v>
      </c>
      <c r="B475" s="4" t="s">
        <v>35</v>
      </c>
      <c r="C475" s="4" t="s">
        <v>63</v>
      </c>
      <c r="D475" s="4">
        <v>5405</v>
      </c>
      <c r="E475" s="30">
        <v>248</v>
      </c>
      <c r="G475" s="4">
        <v>4300021652</v>
      </c>
      <c r="J475" s="28" t="s">
        <v>638</v>
      </c>
      <c r="K475" s="28" t="s">
        <v>3</v>
      </c>
      <c r="L475" s="32">
        <v>43221</v>
      </c>
      <c r="M475" s="32">
        <f>BCOXT[[#This Row],[INV DOC DATE]]+30</f>
        <v>43251</v>
      </c>
      <c r="N475" s="32">
        <v>43250</v>
      </c>
      <c r="O475" s="31">
        <v>248</v>
      </c>
      <c r="P475" s="102">
        <v>43262</v>
      </c>
      <c r="Q475" s="31">
        <f t="shared" si="7"/>
        <v>0</v>
      </c>
      <c r="R475" s="53" t="str">
        <f ca="1">IF(TODAY() - BCOXT[INV DUE DATE]&lt;30, "Less than 30 days",IF(TODAY()-BCOXT[INV DUE DATE]&lt;60,"30-60 days","More than 60 days"))</f>
        <v>30-60 days</v>
      </c>
      <c r="S475" s="31" t="s">
        <v>812</v>
      </c>
      <c r="T475" s="43" t="s">
        <v>2229</v>
      </c>
      <c r="U475" s="4" t="s">
        <v>3699</v>
      </c>
    </row>
    <row r="476" spans="1:21" x14ac:dyDescent="0.3">
      <c r="A476" s="28" t="s">
        <v>2675</v>
      </c>
      <c r="B476" s="4" t="s">
        <v>35</v>
      </c>
      <c r="C476" s="4" t="s">
        <v>64</v>
      </c>
      <c r="D476" s="4">
        <v>5405</v>
      </c>
      <c r="E476" s="30">
        <v>248</v>
      </c>
      <c r="G476" s="4">
        <v>4300021652</v>
      </c>
      <c r="J476" s="28" t="s">
        <v>639</v>
      </c>
      <c r="K476" s="28" t="s">
        <v>3</v>
      </c>
      <c r="L476" s="32">
        <v>43221</v>
      </c>
      <c r="M476" s="32">
        <f>BCOXT[[#This Row],[INV DOC DATE]]+30</f>
        <v>43251</v>
      </c>
      <c r="N476" s="32">
        <v>43250</v>
      </c>
      <c r="O476" s="31">
        <v>248</v>
      </c>
      <c r="P476" s="102">
        <v>43262</v>
      </c>
      <c r="Q476" s="31">
        <f t="shared" si="7"/>
        <v>0</v>
      </c>
      <c r="R476" s="53" t="str">
        <f ca="1">IF(TODAY() - BCOXT[INV DUE DATE]&lt;30, "Less than 30 days",IF(TODAY()-BCOXT[INV DUE DATE]&lt;60,"30-60 days","More than 60 days"))</f>
        <v>30-60 days</v>
      </c>
      <c r="S476" s="31" t="s">
        <v>812</v>
      </c>
      <c r="T476" s="43" t="s">
        <v>2229</v>
      </c>
      <c r="U476" s="4" t="s">
        <v>3699</v>
      </c>
    </row>
    <row r="477" spans="1:21" x14ac:dyDescent="0.3">
      <c r="A477" s="28" t="s">
        <v>2675</v>
      </c>
      <c r="B477" s="4" t="s">
        <v>35</v>
      </c>
      <c r="C477" s="4" t="s">
        <v>65</v>
      </c>
      <c r="D477" s="4">
        <v>5405</v>
      </c>
      <c r="E477" s="30">
        <v>248</v>
      </c>
      <c r="G477" s="4">
        <v>4300021652</v>
      </c>
      <c r="J477" s="28" t="s">
        <v>640</v>
      </c>
      <c r="K477" s="28" t="s">
        <v>3</v>
      </c>
      <c r="L477" s="32">
        <v>43221</v>
      </c>
      <c r="M477" s="32">
        <f>BCOXT[[#This Row],[INV DOC DATE]]+30</f>
        <v>43251</v>
      </c>
      <c r="N477" s="32">
        <v>43250</v>
      </c>
      <c r="O477" s="31">
        <v>248</v>
      </c>
      <c r="P477" s="102">
        <v>43262</v>
      </c>
      <c r="Q477" s="31">
        <f t="shared" si="7"/>
        <v>0</v>
      </c>
      <c r="R477" s="53" t="str">
        <f ca="1">IF(TODAY() - BCOXT[INV DUE DATE]&lt;30, "Less than 30 days",IF(TODAY()-BCOXT[INV DUE DATE]&lt;60,"30-60 days","More than 60 days"))</f>
        <v>30-60 days</v>
      </c>
      <c r="S477" s="31" t="s">
        <v>812</v>
      </c>
      <c r="T477" s="43" t="s">
        <v>2229</v>
      </c>
      <c r="U477" s="4" t="s">
        <v>3699</v>
      </c>
    </row>
    <row r="478" spans="1:21" x14ac:dyDescent="0.3">
      <c r="A478" s="28" t="s">
        <v>2675</v>
      </c>
      <c r="B478" s="4" t="s">
        <v>35</v>
      </c>
      <c r="C478" s="4" t="s">
        <v>66</v>
      </c>
      <c r="D478" s="4">
        <v>5405</v>
      </c>
      <c r="E478" s="30">
        <v>248</v>
      </c>
      <c r="G478" s="4">
        <v>4300021652</v>
      </c>
      <c r="J478" s="28" t="s">
        <v>641</v>
      </c>
      <c r="K478" s="28" t="s">
        <v>3</v>
      </c>
      <c r="L478" s="32">
        <v>43221</v>
      </c>
      <c r="M478" s="32">
        <f>BCOXT[[#This Row],[INV DOC DATE]]+30</f>
        <v>43251</v>
      </c>
      <c r="N478" s="32">
        <v>43250</v>
      </c>
      <c r="O478" s="31">
        <v>248</v>
      </c>
      <c r="P478" s="102">
        <v>43262</v>
      </c>
      <c r="Q478" s="31">
        <f t="shared" si="7"/>
        <v>0</v>
      </c>
      <c r="R478" s="53" t="str">
        <f ca="1">IF(TODAY() - BCOXT[INV DUE DATE]&lt;30, "Less than 30 days",IF(TODAY()-BCOXT[INV DUE DATE]&lt;60,"30-60 days","More than 60 days"))</f>
        <v>30-60 days</v>
      </c>
      <c r="S478" s="31" t="s">
        <v>812</v>
      </c>
      <c r="T478" s="43" t="s">
        <v>2229</v>
      </c>
      <c r="U478" s="4" t="s">
        <v>3699</v>
      </c>
    </row>
    <row r="479" spans="1:21" x14ac:dyDescent="0.3">
      <c r="A479" s="28" t="s">
        <v>2675</v>
      </c>
      <c r="B479" s="4" t="s">
        <v>35</v>
      </c>
      <c r="C479" s="4" t="s">
        <v>67</v>
      </c>
      <c r="D479" s="4">
        <v>5405</v>
      </c>
      <c r="E479" s="30">
        <v>248</v>
      </c>
      <c r="G479" s="4">
        <v>4300021652</v>
      </c>
      <c r="J479" s="28" t="s">
        <v>642</v>
      </c>
      <c r="K479" s="28" t="s">
        <v>3</v>
      </c>
      <c r="L479" s="32">
        <v>43221</v>
      </c>
      <c r="M479" s="32">
        <f>BCOXT[[#This Row],[INV DOC DATE]]+30</f>
        <v>43251</v>
      </c>
      <c r="N479" s="32">
        <v>43250</v>
      </c>
      <c r="O479" s="31">
        <v>248</v>
      </c>
      <c r="P479" s="102">
        <v>43262</v>
      </c>
      <c r="Q479" s="31">
        <f t="shared" si="7"/>
        <v>0</v>
      </c>
      <c r="R479" s="53" t="str">
        <f ca="1">IF(TODAY() - BCOXT[INV DUE DATE]&lt;30, "Less than 30 days",IF(TODAY()-BCOXT[INV DUE DATE]&lt;60,"30-60 days","More than 60 days"))</f>
        <v>30-60 days</v>
      </c>
      <c r="S479" s="31" t="s">
        <v>812</v>
      </c>
      <c r="T479" s="43" t="s">
        <v>2229</v>
      </c>
      <c r="U479" s="4" t="s">
        <v>3699</v>
      </c>
    </row>
    <row r="480" spans="1:21" x14ac:dyDescent="0.3">
      <c r="A480" s="28" t="s">
        <v>2675</v>
      </c>
      <c r="B480" s="4" t="s">
        <v>35</v>
      </c>
      <c r="C480" s="4" t="s">
        <v>68</v>
      </c>
      <c r="D480" s="4">
        <v>5405</v>
      </c>
      <c r="E480" s="30">
        <v>248</v>
      </c>
      <c r="G480" s="4">
        <v>4300021652</v>
      </c>
      <c r="J480" s="28" t="s">
        <v>643</v>
      </c>
      <c r="K480" s="28" t="s">
        <v>3</v>
      </c>
      <c r="L480" s="32">
        <v>43221</v>
      </c>
      <c r="M480" s="32">
        <f>BCOXT[[#This Row],[INV DOC DATE]]+30</f>
        <v>43251</v>
      </c>
      <c r="N480" s="32">
        <v>43250</v>
      </c>
      <c r="O480" s="31">
        <v>248</v>
      </c>
      <c r="P480" s="102">
        <v>43262</v>
      </c>
      <c r="Q480" s="31">
        <f t="shared" si="7"/>
        <v>0</v>
      </c>
      <c r="R480" s="53" t="str">
        <f ca="1">IF(TODAY() - BCOXT[INV DUE DATE]&lt;30, "Less than 30 days",IF(TODAY()-BCOXT[INV DUE DATE]&lt;60,"30-60 days","More than 60 days"))</f>
        <v>30-60 days</v>
      </c>
      <c r="S480" s="31" t="s">
        <v>812</v>
      </c>
      <c r="T480" s="43" t="s">
        <v>2229</v>
      </c>
      <c r="U480" s="4" t="s">
        <v>3699</v>
      </c>
    </row>
    <row r="481" spans="1:21" x14ac:dyDescent="0.3">
      <c r="A481" s="28" t="s">
        <v>2675</v>
      </c>
      <c r="B481" s="4" t="s">
        <v>35</v>
      </c>
      <c r="C481" s="4" t="s">
        <v>69</v>
      </c>
      <c r="D481" s="4">
        <v>5405</v>
      </c>
      <c r="E481" s="30">
        <v>248</v>
      </c>
      <c r="G481" s="4">
        <v>4300021652</v>
      </c>
      <c r="J481" s="28" t="s">
        <v>644</v>
      </c>
      <c r="K481" s="28" t="s">
        <v>3</v>
      </c>
      <c r="L481" s="32">
        <v>43221</v>
      </c>
      <c r="M481" s="32">
        <f>BCOXT[[#This Row],[INV DOC DATE]]+30</f>
        <v>43251</v>
      </c>
      <c r="N481" s="32">
        <v>43250</v>
      </c>
      <c r="O481" s="31">
        <v>248</v>
      </c>
      <c r="P481" s="102">
        <v>43262</v>
      </c>
      <c r="Q481" s="31">
        <f t="shared" si="7"/>
        <v>0</v>
      </c>
      <c r="R481" s="53" t="str">
        <f ca="1">IF(TODAY() - BCOXT[INV DUE DATE]&lt;30, "Less than 30 days",IF(TODAY()-BCOXT[INV DUE DATE]&lt;60,"30-60 days","More than 60 days"))</f>
        <v>30-60 days</v>
      </c>
      <c r="S481" s="31" t="s">
        <v>812</v>
      </c>
      <c r="T481" s="43" t="s">
        <v>2229</v>
      </c>
      <c r="U481" s="4" t="s">
        <v>3699</v>
      </c>
    </row>
    <row r="482" spans="1:21" x14ac:dyDescent="0.3">
      <c r="A482" s="28" t="s">
        <v>2675</v>
      </c>
      <c r="B482" s="4" t="s">
        <v>35</v>
      </c>
      <c r="C482" s="4" t="s">
        <v>70</v>
      </c>
      <c r="D482" s="4">
        <v>5405</v>
      </c>
      <c r="E482" s="30">
        <v>248</v>
      </c>
      <c r="G482" s="4">
        <v>4300021652</v>
      </c>
      <c r="J482" s="28" t="s">
        <v>645</v>
      </c>
      <c r="K482" s="28" t="s">
        <v>3</v>
      </c>
      <c r="L482" s="32">
        <v>43221</v>
      </c>
      <c r="M482" s="32">
        <f>BCOXT[[#This Row],[INV DOC DATE]]+30</f>
        <v>43251</v>
      </c>
      <c r="N482" s="32">
        <v>43250</v>
      </c>
      <c r="O482" s="31">
        <v>248</v>
      </c>
      <c r="P482" s="102">
        <v>43262</v>
      </c>
      <c r="Q482" s="31">
        <f t="shared" si="7"/>
        <v>0</v>
      </c>
      <c r="R482" s="53" t="str">
        <f ca="1">IF(TODAY() - BCOXT[INV DUE DATE]&lt;30, "Less than 30 days",IF(TODAY()-BCOXT[INV DUE DATE]&lt;60,"30-60 days","More than 60 days"))</f>
        <v>30-60 days</v>
      </c>
      <c r="S482" s="31" t="s">
        <v>812</v>
      </c>
      <c r="T482" s="43" t="s">
        <v>2229</v>
      </c>
      <c r="U482" s="4" t="s">
        <v>3699</v>
      </c>
    </row>
    <row r="483" spans="1:21" x14ac:dyDescent="0.3">
      <c r="A483" s="28" t="s">
        <v>2675</v>
      </c>
      <c r="B483" s="4" t="s">
        <v>35</v>
      </c>
      <c r="C483" s="4" t="s">
        <v>71</v>
      </c>
      <c r="D483" s="4">
        <v>5405</v>
      </c>
      <c r="E483" s="30">
        <v>248</v>
      </c>
      <c r="G483" s="4">
        <v>4300021652</v>
      </c>
      <c r="J483" s="28" t="s">
        <v>646</v>
      </c>
      <c r="K483" s="28" t="s">
        <v>3</v>
      </c>
      <c r="L483" s="32">
        <v>43221</v>
      </c>
      <c r="M483" s="32">
        <f>BCOXT[[#This Row],[INV DOC DATE]]+30</f>
        <v>43251</v>
      </c>
      <c r="N483" s="32">
        <v>43250</v>
      </c>
      <c r="O483" s="31">
        <v>248</v>
      </c>
      <c r="P483" s="102">
        <v>43262</v>
      </c>
      <c r="Q483" s="31">
        <f t="shared" si="7"/>
        <v>0</v>
      </c>
      <c r="R483" s="53" t="str">
        <f ca="1">IF(TODAY() - BCOXT[INV DUE DATE]&lt;30, "Less than 30 days",IF(TODAY()-BCOXT[INV DUE DATE]&lt;60,"30-60 days","More than 60 days"))</f>
        <v>30-60 days</v>
      </c>
      <c r="S483" s="31" t="s">
        <v>812</v>
      </c>
      <c r="T483" s="43" t="s">
        <v>2229</v>
      </c>
      <c r="U483" s="4" t="s">
        <v>3699</v>
      </c>
    </row>
    <row r="484" spans="1:21" x14ac:dyDescent="0.3">
      <c r="A484" s="28" t="s">
        <v>2675</v>
      </c>
      <c r="B484" s="4" t="s">
        <v>35</v>
      </c>
      <c r="C484" s="4" t="s">
        <v>72</v>
      </c>
      <c r="D484" s="4">
        <v>5405</v>
      </c>
      <c r="E484" s="30">
        <v>248</v>
      </c>
      <c r="G484" s="4">
        <v>4300021652</v>
      </c>
      <c r="J484" s="28" t="s">
        <v>647</v>
      </c>
      <c r="K484" s="28" t="s">
        <v>3</v>
      </c>
      <c r="L484" s="32">
        <v>43221</v>
      </c>
      <c r="M484" s="32">
        <f>BCOXT[[#This Row],[INV DOC DATE]]+30</f>
        <v>43251</v>
      </c>
      <c r="N484" s="32">
        <v>43250</v>
      </c>
      <c r="O484" s="31">
        <v>248</v>
      </c>
      <c r="P484" s="102">
        <v>43262</v>
      </c>
      <c r="Q484" s="31">
        <f t="shared" si="7"/>
        <v>0</v>
      </c>
      <c r="R484" s="53" t="str">
        <f ca="1">IF(TODAY() - BCOXT[INV DUE DATE]&lt;30, "Less than 30 days",IF(TODAY()-BCOXT[INV DUE DATE]&lt;60,"30-60 days","More than 60 days"))</f>
        <v>30-60 days</v>
      </c>
      <c r="S484" s="31" t="s">
        <v>812</v>
      </c>
      <c r="T484" s="43" t="s">
        <v>2229</v>
      </c>
      <c r="U484" s="4" t="s">
        <v>3699</v>
      </c>
    </row>
    <row r="485" spans="1:21" x14ac:dyDescent="0.3">
      <c r="A485" s="28" t="s">
        <v>2675</v>
      </c>
      <c r="B485" s="4" t="s">
        <v>35</v>
      </c>
      <c r="C485" s="4" t="s">
        <v>73</v>
      </c>
      <c r="D485" s="4">
        <v>5405</v>
      </c>
      <c r="E485" s="30">
        <v>248</v>
      </c>
      <c r="G485" s="4">
        <v>4300021652</v>
      </c>
      <c r="J485" s="28" t="s">
        <v>648</v>
      </c>
      <c r="K485" s="28" t="s">
        <v>3</v>
      </c>
      <c r="L485" s="32">
        <v>43221</v>
      </c>
      <c r="M485" s="32">
        <f>BCOXT[[#This Row],[INV DOC DATE]]+30</f>
        <v>43251</v>
      </c>
      <c r="N485" s="32">
        <v>43250</v>
      </c>
      <c r="O485" s="31">
        <v>248</v>
      </c>
      <c r="P485" s="102">
        <v>43262</v>
      </c>
      <c r="Q485" s="31">
        <f t="shared" si="7"/>
        <v>0</v>
      </c>
      <c r="R485" s="53" t="str">
        <f ca="1">IF(TODAY() - BCOXT[INV DUE DATE]&lt;30, "Less than 30 days",IF(TODAY()-BCOXT[INV DUE DATE]&lt;60,"30-60 days","More than 60 days"))</f>
        <v>30-60 days</v>
      </c>
      <c r="S485" s="31" t="s">
        <v>812</v>
      </c>
      <c r="T485" s="43" t="s">
        <v>2229</v>
      </c>
      <c r="U485" s="4" t="s">
        <v>3699</v>
      </c>
    </row>
    <row r="486" spans="1:21" x14ac:dyDescent="0.3">
      <c r="A486" s="28" t="s">
        <v>2675</v>
      </c>
      <c r="B486" s="4" t="s">
        <v>35</v>
      </c>
      <c r="C486" s="4" t="s">
        <v>74</v>
      </c>
      <c r="D486" s="4">
        <v>5405</v>
      </c>
      <c r="E486" s="30">
        <v>248</v>
      </c>
      <c r="G486" s="4">
        <v>4300021652</v>
      </c>
      <c r="J486" s="28" t="s">
        <v>649</v>
      </c>
      <c r="K486" s="28" t="s">
        <v>3</v>
      </c>
      <c r="L486" s="32">
        <v>43221</v>
      </c>
      <c r="M486" s="32">
        <f>BCOXT[[#This Row],[INV DOC DATE]]+30</f>
        <v>43251</v>
      </c>
      <c r="N486" s="32">
        <v>43250</v>
      </c>
      <c r="O486" s="31">
        <v>248</v>
      </c>
      <c r="P486" s="102">
        <v>43262</v>
      </c>
      <c r="Q486" s="31">
        <f t="shared" si="7"/>
        <v>0</v>
      </c>
      <c r="R486" s="53" t="str">
        <f ca="1">IF(TODAY() - BCOXT[INV DUE DATE]&lt;30, "Less than 30 days",IF(TODAY()-BCOXT[INV DUE DATE]&lt;60,"30-60 days","More than 60 days"))</f>
        <v>30-60 days</v>
      </c>
      <c r="S486" s="31" t="s">
        <v>812</v>
      </c>
      <c r="T486" s="43" t="s">
        <v>2229</v>
      </c>
      <c r="U486" s="4" t="s">
        <v>3699</v>
      </c>
    </row>
    <row r="487" spans="1:21" x14ac:dyDescent="0.3">
      <c r="A487" s="28" t="s">
        <v>2675</v>
      </c>
      <c r="B487" s="4" t="s">
        <v>35</v>
      </c>
      <c r="C487" s="4" t="s">
        <v>75</v>
      </c>
      <c r="D487" s="4">
        <v>5405</v>
      </c>
      <c r="E487" s="30">
        <v>248</v>
      </c>
      <c r="G487" s="4">
        <v>4300021652</v>
      </c>
      <c r="J487" s="28" t="s">
        <v>650</v>
      </c>
      <c r="K487" s="28" t="s">
        <v>3</v>
      </c>
      <c r="L487" s="32">
        <v>43221</v>
      </c>
      <c r="M487" s="32">
        <f>BCOXT[[#This Row],[INV DOC DATE]]+30</f>
        <v>43251</v>
      </c>
      <c r="N487" s="32">
        <v>43250</v>
      </c>
      <c r="O487" s="31">
        <v>248</v>
      </c>
      <c r="P487" s="102">
        <v>43262</v>
      </c>
      <c r="Q487" s="31">
        <f t="shared" si="7"/>
        <v>0</v>
      </c>
      <c r="R487" s="53" t="str">
        <f ca="1">IF(TODAY() - BCOXT[INV DUE DATE]&lt;30, "Less than 30 days",IF(TODAY()-BCOXT[INV DUE DATE]&lt;60,"30-60 days","More than 60 days"))</f>
        <v>30-60 days</v>
      </c>
      <c r="S487" s="31" t="s">
        <v>812</v>
      </c>
      <c r="T487" s="43" t="s">
        <v>2229</v>
      </c>
      <c r="U487" s="4" t="s">
        <v>3699</v>
      </c>
    </row>
    <row r="488" spans="1:21" x14ac:dyDescent="0.3">
      <c r="A488" s="28" t="s">
        <v>2675</v>
      </c>
      <c r="B488" s="4" t="s">
        <v>35</v>
      </c>
      <c r="C488" s="4" t="s">
        <v>76</v>
      </c>
      <c r="D488" s="4">
        <v>5405</v>
      </c>
      <c r="E488" s="30">
        <v>248</v>
      </c>
      <c r="G488" s="4">
        <v>4300021652</v>
      </c>
      <c r="J488" s="28" t="s">
        <v>651</v>
      </c>
      <c r="K488" s="28" t="s">
        <v>3</v>
      </c>
      <c r="L488" s="32">
        <v>43221</v>
      </c>
      <c r="M488" s="32">
        <f>BCOXT[[#This Row],[INV DOC DATE]]+30</f>
        <v>43251</v>
      </c>
      <c r="N488" s="32">
        <v>43250</v>
      </c>
      <c r="O488" s="31">
        <v>248</v>
      </c>
      <c r="P488" s="102">
        <v>43262</v>
      </c>
      <c r="Q488" s="31">
        <f t="shared" si="7"/>
        <v>0</v>
      </c>
      <c r="R488" s="53" t="str">
        <f ca="1">IF(TODAY() - BCOXT[INV DUE DATE]&lt;30, "Less than 30 days",IF(TODAY()-BCOXT[INV DUE DATE]&lt;60,"30-60 days","More than 60 days"))</f>
        <v>30-60 days</v>
      </c>
      <c r="S488" s="31" t="s">
        <v>812</v>
      </c>
      <c r="T488" s="43" t="s">
        <v>2229</v>
      </c>
      <c r="U488" s="4" t="s">
        <v>3699</v>
      </c>
    </row>
    <row r="489" spans="1:21" x14ac:dyDescent="0.3">
      <c r="A489" s="28" t="s">
        <v>2675</v>
      </c>
      <c r="B489" s="4" t="s">
        <v>35</v>
      </c>
      <c r="C489" s="4" t="s">
        <v>77</v>
      </c>
      <c r="D489" s="4">
        <v>5405</v>
      </c>
      <c r="E489" s="30">
        <v>248</v>
      </c>
      <c r="G489" s="4">
        <v>4300021652</v>
      </c>
      <c r="J489" s="28" t="s">
        <v>652</v>
      </c>
      <c r="K489" s="28" t="s">
        <v>3</v>
      </c>
      <c r="L489" s="32">
        <v>43221</v>
      </c>
      <c r="M489" s="32">
        <f>BCOXT[[#This Row],[INV DOC DATE]]+30</f>
        <v>43251</v>
      </c>
      <c r="N489" s="32">
        <v>43250</v>
      </c>
      <c r="O489" s="31">
        <v>248</v>
      </c>
      <c r="P489" s="102">
        <v>43262</v>
      </c>
      <c r="Q489" s="31">
        <f t="shared" si="7"/>
        <v>0</v>
      </c>
      <c r="R489" s="53" t="str">
        <f ca="1">IF(TODAY() - BCOXT[INV DUE DATE]&lt;30, "Less than 30 days",IF(TODAY()-BCOXT[INV DUE DATE]&lt;60,"30-60 days","More than 60 days"))</f>
        <v>30-60 days</v>
      </c>
      <c r="S489" s="31" t="s">
        <v>812</v>
      </c>
      <c r="T489" s="43" t="s">
        <v>2229</v>
      </c>
      <c r="U489" s="4" t="s">
        <v>3699</v>
      </c>
    </row>
    <row r="490" spans="1:21" x14ac:dyDescent="0.3">
      <c r="A490" s="28" t="s">
        <v>2675</v>
      </c>
      <c r="B490" s="4" t="s">
        <v>35</v>
      </c>
      <c r="C490" s="4" t="s">
        <v>78</v>
      </c>
      <c r="D490" s="4">
        <v>5405</v>
      </c>
      <c r="E490" s="30">
        <v>248</v>
      </c>
      <c r="G490" s="4">
        <v>4300021652</v>
      </c>
      <c r="J490" s="28" t="s">
        <v>653</v>
      </c>
      <c r="K490" s="28" t="s">
        <v>3</v>
      </c>
      <c r="L490" s="32">
        <v>43221</v>
      </c>
      <c r="M490" s="32">
        <f>BCOXT[[#This Row],[INV DOC DATE]]+30</f>
        <v>43251</v>
      </c>
      <c r="N490" s="32">
        <v>43250</v>
      </c>
      <c r="O490" s="31">
        <v>248</v>
      </c>
      <c r="P490" s="102">
        <v>43262</v>
      </c>
      <c r="Q490" s="31">
        <f t="shared" si="7"/>
        <v>0</v>
      </c>
      <c r="R490" s="53" t="str">
        <f ca="1">IF(TODAY() - BCOXT[INV DUE DATE]&lt;30, "Less than 30 days",IF(TODAY()-BCOXT[INV DUE DATE]&lt;60,"30-60 days","More than 60 days"))</f>
        <v>30-60 days</v>
      </c>
      <c r="S490" s="31" t="s">
        <v>812</v>
      </c>
      <c r="T490" s="43" t="s">
        <v>2229</v>
      </c>
      <c r="U490" s="4" t="s">
        <v>3699</v>
      </c>
    </row>
    <row r="491" spans="1:21" x14ac:dyDescent="0.3">
      <c r="A491" s="28" t="s">
        <v>2675</v>
      </c>
      <c r="B491" s="4" t="s">
        <v>35</v>
      </c>
      <c r="C491" s="4" t="s">
        <v>79</v>
      </c>
      <c r="D491" s="4">
        <v>5405</v>
      </c>
      <c r="E491" s="30">
        <v>248</v>
      </c>
      <c r="G491" s="4">
        <v>4300021652</v>
      </c>
      <c r="J491" s="28" t="s">
        <v>654</v>
      </c>
      <c r="K491" s="28" t="s">
        <v>3</v>
      </c>
      <c r="L491" s="32">
        <v>43221</v>
      </c>
      <c r="M491" s="32">
        <f>BCOXT[[#This Row],[INV DOC DATE]]+30</f>
        <v>43251</v>
      </c>
      <c r="N491" s="32">
        <v>43250</v>
      </c>
      <c r="O491" s="31">
        <v>248</v>
      </c>
      <c r="P491" s="102">
        <v>43262</v>
      </c>
      <c r="Q491" s="31">
        <f t="shared" si="7"/>
        <v>0</v>
      </c>
      <c r="R491" s="53" t="str">
        <f ca="1">IF(TODAY() - BCOXT[INV DUE DATE]&lt;30, "Less than 30 days",IF(TODAY()-BCOXT[INV DUE DATE]&lt;60,"30-60 days","More than 60 days"))</f>
        <v>30-60 days</v>
      </c>
      <c r="S491" s="31" t="s">
        <v>812</v>
      </c>
      <c r="T491" s="43" t="s">
        <v>2229</v>
      </c>
      <c r="U491" s="4" t="s">
        <v>3699</v>
      </c>
    </row>
    <row r="492" spans="1:21" x14ac:dyDescent="0.3">
      <c r="A492" s="28" t="s">
        <v>2675</v>
      </c>
      <c r="B492" s="4" t="s">
        <v>35</v>
      </c>
      <c r="C492" s="4" t="s">
        <v>80</v>
      </c>
      <c r="D492" s="4">
        <v>5405</v>
      </c>
      <c r="E492" s="30">
        <v>248</v>
      </c>
      <c r="G492" s="4">
        <v>4300021652</v>
      </c>
      <c r="J492" s="28" t="s">
        <v>655</v>
      </c>
      <c r="K492" s="28" t="s">
        <v>3</v>
      </c>
      <c r="L492" s="32">
        <v>43221</v>
      </c>
      <c r="M492" s="32">
        <f>BCOXT[[#This Row],[INV DOC DATE]]+30</f>
        <v>43251</v>
      </c>
      <c r="N492" s="32">
        <v>43250</v>
      </c>
      <c r="O492" s="31">
        <v>248</v>
      </c>
      <c r="P492" s="102">
        <v>43262</v>
      </c>
      <c r="Q492" s="31">
        <f t="shared" si="7"/>
        <v>0</v>
      </c>
      <c r="R492" s="53" t="str">
        <f ca="1">IF(TODAY() - BCOXT[INV DUE DATE]&lt;30, "Less than 30 days",IF(TODAY()-BCOXT[INV DUE DATE]&lt;60,"30-60 days","More than 60 days"))</f>
        <v>30-60 days</v>
      </c>
      <c r="S492" s="31" t="s">
        <v>812</v>
      </c>
      <c r="T492" s="43" t="s">
        <v>2229</v>
      </c>
      <c r="U492" s="4" t="s">
        <v>3699</v>
      </c>
    </row>
    <row r="493" spans="1:21" x14ac:dyDescent="0.3">
      <c r="A493" s="28" t="s">
        <v>2675</v>
      </c>
      <c r="B493" s="4" t="s">
        <v>35</v>
      </c>
      <c r="C493" s="4" t="s">
        <v>81</v>
      </c>
      <c r="D493" s="4">
        <v>5405</v>
      </c>
      <c r="E493" s="30">
        <v>248</v>
      </c>
      <c r="G493" s="4">
        <v>4300021652</v>
      </c>
      <c r="J493" s="28" t="s">
        <v>656</v>
      </c>
      <c r="K493" s="28" t="s">
        <v>3</v>
      </c>
      <c r="L493" s="32">
        <v>43221</v>
      </c>
      <c r="M493" s="32">
        <f>BCOXT[[#This Row],[INV DOC DATE]]+30</f>
        <v>43251</v>
      </c>
      <c r="N493" s="32">
        <v>43250</v>
      </c>
      <c r="O493" s="31">
        <v>248</v>
      </c>
      <c r="P493" s="102">
        <v>43262</v>
      </c>
      <c r="Q493" s="31">
        <f t="shared" si="7"/>
        <v>0</v>
      </c>
      <c r="R493" s="53" t="str">
        <f ca="1">IF(TODAY() - BCOXT[INV DUE DATE]&lt;30, "Less than 30 days",IF(TODAY()-BCOXT[INV DUE DATE]&lt;60,"30-60 days","More than 60 days"))</f>
        <v>30-60 days</v>
      </c>
      <c r="S493" s="31" t="s">
        <v>812</v>
      </c>
      <c r="T493" s="43" t="s">
        <v>2229</v>
      </c>
      <c r="U493" s="4" t="s">
        <v>3699</v>
      </c>
    </row>
    <row r="494" spans="1:21" x14ac:dyDescent="0.3">
      <c r="A494" s="28" t="s">
        <v>2675</v>
      </c>
      <c r="B494" s="4" t="s">
        <v>35</v>
      </c>
      <c r="C494" s="4" t="s">
        <v>82</v>
      </c>
      <c r="D494" s="4">
        <v>5405</v>
      </c>
      <c r="E494" s="30">
        <v>248</v>
      </c>
      <c r="G494" s="4">
        <v>4300021652</v>
      </c>
      <c r="J494" s="28" t="s">
        <v>657</v>
      </c>
      <c r="K494" s="28" t="s">
        <v>3</v>
      </c>
      <c r="L494" s="32">
        <v>43221</v>
      </c>
      <c r="M494" s="32">
        <f>BCOXT[[#This Row],[INV DOC DATE]]+30</f>
        <v>43251</v>
      </c>
      <c r="N494" s="32">
        <v>43250</v>
      </c>
      <c r="O494" s="31">
        <v>248</v>
      </c>
      <c r="P494" s="102">
        <v>43262</v>
      </c>
      <c r="Q494" s="31">
        <f t="shared" si="7"/>
        <v>0</v>
      </c>
      <c r="R494" s="53" t="str">
        <f ca="1">IF(TODAY() - BCOXT[INV DUE DATE]&lt;30, "Less than 30 days",IF(TODAY()-BCOXT[INV DUE DATE]&lt;60,"30-60 days","More than 60 days"))</f>
        <v>30-60 days</v>
      </c>
      <c r="S494" s="31" t="s">
        <v>812</v>
      </c>
      <c r="T494" s="43" t="s">
        <v>2229</v>
      </c>
      <c r="U494" s="4" t="s">
        <v>3699</v>
      </c>
    </row>
    <row r="495" spans="1:21" x14ac:dyDescent="0.3">
      <c r="A495" s="28" t="s">
        <v>2675</v>
      </c>
      <c r="B495" s="4" t="s">
        <v>35</v>
      </c>
      <c r="C495" s="4" t="s">
        <v>83</v>
      </c>
      <c r="D495" s="4">
        <v>5405</v>
      </c>
      <c r="E495" s="30">
        <v>248</v>
      </c>
      <c r="G495" s="4">
        <v>4300021652</v>
      </c>
      <c r="J495" s="28" t="s">
        <v>658</v>
      </c>
      <c r="K495" s="28" t="s">
        <v>3</v>
      </c>
      <c r="L495" s="32">
        <v>43221</v>
      </c>
      <c r="M495" s="32">
        <f>BCOXT[[#This Row],[INV DOC DATE]]+30</f>
        <v>43251</v>
      </c>
      <c r="N495" s="32">
        <v>43250</v>
      </c>
      <c r="O495" s="31">
        <v>248</v>
      </c>
      <c r="P495" s="102">
        <v>43262</v>
      </c>
      <c r="Q495" s="31">
        <f t="shared" si="7"/>
        <v>0</v>
      </c>
      <c r="R495" s="53" t="str">
        <f ca="1">IF(TODAY() - BCOXT[INV DUE DATE]&lt;30, "Less than 30 days",IF(TODAY()-BCOXT[INV DUE DATE]&lt;60,"30-60 days","More than 60 days"))</f>
        <v>30-60 days</v>
      </c>
      <c r="S495" s="31" t="s">
        <v>812</v>
      </c>
      <c r="T495" s="43" t="s">
        <v>2229</v>
      </c>
      <c r="U495" s="4" t="s">
        <v>3699</v>
      </c>
    </row>
    <row r="496" spans="1:21" x14ac:dyDescent="0.3">
      <c r="A496" s="28" t="s">
        <v>2675</v>
      </c>
      <c r="B496" s="4" t="s">
        <v>35</v>
      </c>
      <c r="C496" s="4" t="s">
        <v>84</v>
      </c>
      <c r="D496" s="4">
        <v>5405</v>
      </c>
      <c r="E496" s="30">
        <v>248</v>
      </c>
      <c r="G496" s="4">
        <v>4300021652</v>
      </c>
      <c r="J496" s="28" t="s">
        <v>659</v>
      </c>
      <c r="K496" s="28" t="s">
        <v>3</v>
      </c>
      <c r="L496" s="32">
        <v>43221</v>
      </c>
      <c r="M496" s="32">
        <f>BCOXT[[#This Row],[INV DOC DATE]]+30</f>
        <v>43251</v>
      </c>
      <c r="N496" s="32">
        <v>43250</v>
      </c>
      <c r="O496" s="31">
        <v>248</v>
      </c>
      <c r="P496" s="102">
        <v>43262</v>
      </c>
      <c r="Q496" s="31">
        <f t="shared" si="7"/>
        <v>0</v>
      </c>
      <c r="R496" s="53" t="str">
        <f ca="1">IF(TODAY() - BCOXT[INV DUE DATE]&lt;30, "Less than 30 days",IF(TODAY()-BCOXT[INV DUE DATE]&lt;60,"30-60 days","More than 60 days"))</f>
        <v>30-60 days</v>
      </c>
      <c r="S496" s="31" t="s">
        <v>812</v>
      </c>
      <c r="T496" s="43" t="s">
        <v>2229</v>
      </c>
      <c r="U496" s="4" t="s">
        <v>3699</v>
      </c>
    </row>
    <row r="497" spans="1:21" x14ac:dyDescent="0.3">
      <c r="A497" s="28" t="s">
        <v>2675</v>
      </c>
      <c r="B497" s="4" t="s">
        <v>35</v>
      </c>
      <c r="C497" s="4" t="s">
        <v>85</v>
      </c>
      <c r="D497" s="4">
        <v>5405</v>
      </c>
      <c r="E497" s="30">
        <v>248</v>
      </c>
      <c r="G497" s="4">
        <v>4300021652</v>
      </c>
      <c r="J497" s="28" t="s">
        <v>660</v>
      </c>
      <c r="K497" s="28" t="s">
        <v>3</v>
      </c>
      <c r="L497" s="32">
        <v>43221</v>
      </c>
      <c r="M497" s="32">
        <f>BCOXT[[#This Row],[INV DOC DATE]]+30</f>
        <v>43251</v>
      </c>
      <c r="N497" s="32">
        <v>43250</v>
      </c>
      <c r="O497" s="31">
        <v>248</v>
      </c>
      <c r="P497" s="102">
        <v>43262</v>
      </c>
      <c r="Q497" s="31">
        <f t="shared" si="7"/>
        <v>0</v>
      </c>
      <c r="R497" s="53" t="str">
        <f ca="1">IF(TODAY() - BCOXT[INV DUE DATE]&lt;30, "Less than 30 days",IF(TODAY()-BCOXT[INV DUE DATE]&lt;60,"30-60 days","More than 60 days"))</f>
        <v>30-60 days</v>
      </c>
      <c r="S497" s="31" t="s">
        <v>812</v>
      </c>
      <c r="T497" s="43" t="s">
        <v>2229</v>
      </c>
      <c r="U497" s="4" t="s">
        <v>3699</v>
      </c>
    </row>
    <row r="498" spans="1:21" x14ac:dyDescent="0.3">
      <c r="A498" s="28" t="s">
        <v>2675</v>
      </c>
      <c r="B498" s="4" t="s">
        <v>35</v>
      </c>
      <c r="C498" s="4" t="s">
        <v>86</v>
      </c>
      <c r="D498" s="4">
        <v>5405</v>
      </c>
      <c r="E498" s="30">
        <v>248</v>
      </c>
      <c r="G498" s="4">
        <v>4300021652</v>
      </c>
      <c r="J498" s="28" t="s">
        <v>661</v>
      </c>
      <c r="K498" s="28" t="s">
        <v>3</v>
      </c>
      <c r="L498" s="32">
        <v>43221</v>
      </c>
      <c r="M498" s="32">
        <f>BCOXT[[#This Row],[INV DOC DATE]]+30</f>
        <v>43251</v>
      </c>
      <c r="N498" s="32">
        <v>43250</v>
      </c>
      <c r="O498" s="31">
        <v>248</v>
      </c>
      <c r="P498" s="102">
        <v>43262</v>
      </c>
      <c r="Q498" s="31">
        <f t="shared" si="7"/>
        <v>0</v>
      </c>
      <c r="R498" s="53" t="str">
        <f ca="1">IF(TODAY() - BCOXT[INV DUE DATE]&lt;30, "Less than 30 days",IF(TODAY()-BCOXT[INV DUE DATE]&lt;60,"30-60 days","More than 60 days"))</f>
        <v>30-60 days</v>
      </c>
      <c r="S498" s="31" t="s">
        <v>812</v>
      </c>
      <c r="T498" s="43" t="s">
        <v>2229</v>
      </c>
      <c r="U498" s="4" t="s">
        <v>3699</v>
      </c>
    </row>
    <row r="499" spans="1:21" x14ac:dyDescent="0.3">
      <c r="A499" s="28" t="s">
        <v>2675</v>
      </c>
      <c r="B499" s="4" t="s">
        <v>35</v>
      </c>
      <c r="C499" s="4" t="s">
        <v>87</v>
      </c>
      <c r="D499" s="4">
        <v>5405</v>
      </c>
      <c r="E499" s="30">
        <v>248</v>
      </c>
      <c r="G499" s="4">
        <v>4300021652</v>
      </c>
      <c r="J499" s="28" t="s">
        <v>662</v>
      </c>
      <c r="K499" s="28" t="s">
        <v>3</v>
      </c>
      <c r="L499" s="32">
        <v>43221</v>
      </c>
      <c r="M499" s="32">
        <f>BCOXT[[#This Row],[INV DOC DATE]]+30</f>
        <v>43251</v>
      </c>
      <c r="N499" s="32">
        <v>43250</v>
      </c>
      <c r="O499" s="31">
        <v>248</v>
      </c>
      <c r="P499" s="102">
        <v>43262</v>
      </c>
      <c r="Q499" s="31">
        <f t="shared" si="7"/>
        <v>0</v>
      </c>
      <c r="R499" s="53" t="str">
        <f ca="1">IF(TODAY() - BCOXT[INV DUE DATE]&lt;30, "Less than 30 days",IF(TODAY()-BCOXT[INV DUE DATE]&lt;60,"30-60 days","More than 60 days"))</f>
        <v>30-60 days</v>
      </c>
      <c r="S499" s="31" t="s">
        <v>812</v>
      </c>
      <c r="T499" s="43" t="s">
        <v>2229</v>
      </c>
      <c r="U499" s="4" t="s">
        <v>3699</v>
      </c>
    </row>
    <row r="500" spans="1:21" x14ac:dyDescent="0.3">
      <c r="A500" s="28" t="s">
        <v>2675</v>
      </c>
      <c r="B500" s="4" t="s">
        <v>35</v>
      </c>
      <c r="C500" s="4" t="s">
        <v>88</v>
      </c>
      <c r="D500" s="4">
        <v>5405</v>
      </c>
      <c r="E500" s="30">
        <v>248</v>
      </c>
      <c r="G500" s="4">
        <v>4300021652</v>
      </c>
      <c r="J500" s="28" t="s">
        <v>663</v>
      </c>
      <c r="K500" s="28" t="s">
        <v>3</v>
      </c>
      <c r="L500" s="32">
        <v>43221</v>
      </c>
      <c r="M500" s="32">
        <f>BCOXT[[#This Row],[INV DOC DATE]]+30</f>
        <v>43251</v>
      </c>
      <c r="N500" s="32">
        <v>43250</v>
      </c>
      <c r="O500" s="31">
        <v>248</v>
      </c>
      <c r="P500" s="102">
        <v>43262</v>
      </c>
      <c r="Q500" s="31">
        <f t="shared" si="7"/>
        <v>0</v>
      </c>
      <c r="R500" s="53" t="str">
        <f ca="1">IF(TODAY() - BCOXT[INV DUE DATE]&lt;30, "Less than 30 days",IF(TODAY()-BCOXT[INV DUE DATE]&lt;60,"30-60 days","More than 60 days"))</f>
        <v>30-60 days</v>
      </c>
      <c r="S500" s="31" t="s">
        <v>812</v>
      </c>
      <c r="T500" s="43" t="s">
        <v>2229</v>
      </c>
      <c r="U500" s="4" t="s">
        <v>3699</v>
      </c>
    </row>
    <row r="501" spans="1:21" x14ac:dyDescent="0.3">
      <c r="A501" s="28" t="s">
        <v>2675</v>
      </c>
      <c r="B501" s="4" t="s">
        <v>35</v>
      </c>
      <c r="C501" s="4" t="s">
        <v>89</v>
      </c>
      <c r="D501" s="4">
        <v>5405</v>
      </c>
      <c r="E501" s="30">
        <v>248</v>
      </c>
      <c r="G501" s="4">
        <v>4300021652</v>
      </c>
      <c r="J501" s="28" t="s">
        <v>664</v>
      </c>
      <c r="K501" s="28" t="s">
        <v>3</v>
      </c>
      <c r="L501" s="32">
        <v>43221</v>
      </c>
      <c r="M501" s="32">
        <f>BCOXT[[#This Row],[INV DOC DATE]]+30</f>
        <v>43251</v>
      </c>
      <c r="N501" s="32">
        <v>43250</v>
      </c>
      <c r="O501" s="31">
        <v>248</v>
      </c>
      <c r="P501" s="102">
        <v>43262</v>
      </c>
      <c r="Q501" s="31">
        <f t="shared" si="7"/>
        <v>0</v>
      </c>
      <c r="R501" s="53" t="str">
        <f ca="1">IF(TODAY() - BCOXT[INV DUE DATE]&lt;30, "Less than 30 days",IF(TODAY()-BCOXT[INV DUE DATE]&lt;60,"30-60 days","More than 60 days"))</f>
        <v>30-60 days</v>
      </c>
      <c r="S501" s="31" t="s">
        <v>812</v>
      </c>
      <c r="T501" s="43" t="s">
        <v>2229</v>
      </c>
      <c r="U501" s="4" t="s">
        <v>3699</v>
      </c>
    </row>
    <row r="502" spans="1:21" x14ac:dyDescent="0.3">
      <c r="A502" s="28" t="s">
        <v>2675</v>
      </c>
      <c r="B502" s="4" t="s">
        <v>35</v>
      </c>
      <c r="C502" s="4" t="s">
        <v>90</v>
      </c>
      <c r="D502" s="4">
        <v>5405</v>
      </c>
      <c r="E502" s="30">
        <v>248</v>
      </c>
      <c r="G502" s="4">
        <v>4300021652</v>
      </c>
      <c r="J502" s="28" t="s">
        <v>665</v>
      </c>
      <c r="K502" s="28" t="s">
        <v>3</v>
      </c>
      <c r="L502" s="32">
        <v>43221</v>
      </c>
      <c r="M502" s="32">
        <f>BCOXT[[#This Row],[INV DOC DATE]]+30</f>
        <v>43251</v>
      </c>
      <c r="N502" s="32">
        <v>43250</v>
      </c>
      <c r="O502" s="31">
        <v>248</v>
      </c>
      <c r="P502" s="102">
        <v>43262</v>
      </c>
      <c r="Q502" s="31">
        <f t="shared" si="7"/>
        <v>0</v>
      </c>
      <c r="R502" s="53" t="str">
        <f ca="1">IF(TODAY() - BCOXT[INV DUE DATE]&lt;30, "Less than 30 days",IF(TODAY()-BCOXT[INV DUE DATE]&lt;60,"30-60 days","More than 60 days"))</f>
        <v>30-60 days</v>
      </c>
      <c r="S502" s="31" t="s">
        <v>812</v>
      </c>
      <c r="T502" s="43" t="s">
        <v>2229</v>
      </c>
      <c r="U502" s="4" t="s">
        <v>3699</v>
      </c>
    </row>
    <row r="503" spans="1:21" x14ac:dyDescent="0.3">
      <c r="A503" s="28" t="s">
        <v>2675</v>
      </c>
      <c r="B503" s="4" t="s">
        <v>35</v>
      </c>
      <c r="C503" s="4" t="s">
        <v>91</v>
      </c>
      <c r="D503" s="4">
        <v>5405</v>
      </c>
      <c r="E503" s="30">
        <v>201.5</v>
      </c>
      <c r="G503" s="4">
        <v>4300021652</v>
      </c>
      <c r="J503" s="28" t="s">
        <v>666</v>
      </c>
      <c r="K503" s="28" t="s">
        <v>3</v>
      </c>
      <c r="L503" s="32">
        <v>43221</v>
      </c>
      <c r="M503" s="32">
        <f>BCOXT[[#This Row],[INV DOC DATE]]+30</f>
        <v>43251</v>
      </c>
      <c r="N503" s="32">
        <v>43250</v>
      </c>
      <c r="O503" s="31">
        <v>201.5</v>
      </c>
      <c r="P503" s="102">
        <v>43262</v>
      </c>
      <c r="Q503" s="31">
        <f t="shared" si="7"/>
        <v>0</v>
      </c>
      <c r="R503" s="53" t="str">
        <f ca="1">IF(TODAY() - BCOXT[INV DUE DATE]&lt;30, "Less than 30 days",IF(TODAY()-BCOXT[INV DUE DATE]&lt;60,"30-60 days","More than 60 days"))</f>
        <v>30-60 days</v>
      </c>
      <c r="S503" s="31" t="s">
        <v>812</v>
      </c>
      <c r="T503" s="43" t="s">
        <v>2229</v>
      </c>
      <c r="U503" s="4" t="s">
        <v>3699</v>
      </c>
    </row>
    <row r="504" spans="1:21" x14ac:dyDescent="0.3">
      <c r="A504" s="28" t="s">
        <v>2675</v>
      </c>
      <c r="B504" s="4" t="s">
        <v>35</v>
      </c>
      <c r="C504" s="4" t="s">
        <v>92</v>
      </c>
      <c r="D504" s="4">
        <v>5405</v>
      </c>
      <c r="E504" s="30">
        <v>248</v>
      </c>
      <c r="G504" s="4">
        <v>4300021652</v>
      </c>
      <c r="J504" s="28" t="s">
        <v>667</v>
      </c>
      <c r="K504" s="28" t="s">
        <v>3</v>
      </c>
      <c r="L504" s="32">
        <v>43221</v>
      </c>
      <c r="M504" s="32">
        <f>BCOXT[[#This Row],[INV DOC DATE]]+30</f>
        <v>43251</v>
      </c>
      <c r="N504" s="32">
        <v>43250</v>
      </c>
      <c r="O504" s="31">
        <v>248</v>
      </c>
      <c r="P504" s="102">
        <v>43262</v>
      </c>
      <c r="Q504" s="31">
        <f t="shared" si="7"/>
        <v>0</v>
      </c>
      <c r="R504" s="53" t="str">
        <f ca="1">IF(TODAY() - BCOXT[INV DUE DATE]&lt;30, "Less than 30 days",IF(TODAY()-BCOXT[INV DUE DATE]&lt;60,"30-60 days","More than 60 days"))</f>
        <v>30-60 days</v>
      </c>
      <c r="S504" s="31" t="s">
        <v>812</v>
      </c>
      <c r="T504" s="43" t="s">
        <v>2229</v>
      </c>
      <c r="U504" s="4" t="s">
        <v>3699</v>
      </c>
    </row>
    <row r="505" spans="1:21" x14ac:dyDescent="0.3">
      <c r="A505" s="28" t="s">
        <v>2675</v>
      </c>
      <c r="B505" s="4" t="s">
        <v>35</v>
      </c>
      <c r="C505" s="4" t="s">
        <v>30</v>
      </c>
      <c r="D505" s="4">
        <v>5405</v>
      </c>
      <c r="E505" s="30">
        <v>248</v>
      </c>
      <c r="G505" s="4">
        <v>4300021652</v>
      </c>
      <c r="J505" s="28" t="s">
        <v>668</v>
      </c>
      <c r="K505" s="28" t="s">
        <v>3</v>
      </c>
      <c r="L505" s="32">
        <v>43221</v>
      </c>
      <c r="M505" s="32">
        <f>BCOXT[[#This Row],[INV DOC DATE]]+30</f>
        <v>43251</v>
      </c>
      <c r="N505" s="32">
        <v>43250</v>
      </c>
      <c r="O505" s="31">
        <v>248</v>
      </c>
      <c r="P505" s="102">
        <v>43262</v>
      </c>
      <c r="Q505" s="31">
        <f t="shared" si="7"/>
        <v>0</v>
      </c>
      <c r="R505" s="53" t="str">
        <f ca="1">IF(TODAY() - BCOXT[INV DUE DATE]&lt;30, "Less than 30 days",IF(TODAY()-BCOXT[INV DUE DATE]&lt;60,"30-60 days","More than 60 days"))</f>
        <v>30-60 days</v>
      </c>
      <c r="S505" s="31" t="s">
        <v>812</v>
      </c>
      <c r="T505" s="43" t="s">
        <v>2229</v>
      </c>
      <c r="U505" s="4" t="s">
        <v>3699</v>
      </c>
    </row>
    <row r="506" spans="1:21" x14ac:dyDescent="0.3">
      <c r="A506" s="28" t="s">
        <v>2675</v>
      </c>
      <c r="B506" s="4" t="s">
        <v>35</v>
      </c>
      <c r="C506" s="4" t="s">
        <v>93</v>
      </c>
      <c r="D506" s="4">
        <v>5405</v>
      </c>
      <c r="E506" s="30">
        <v>248</v>
      </c>
      <c r="G506" s="4">
        <v>4300021652</v>
      </c>
      <c r="J506" s="28" t="s">
        <v>669</v>
      </c>
      <c r="K506" s="28" t="s">
        <v>3</v>
      </c>
      <c r="L506" s="32">
        <v>43221</v>
      </c>
      <c r="M506" s="32">
        <f>BCOXT[[#This Row],[INV DOC DATE]]+30</f>
        <v>43251</v>
      </c>
      <c r="N506" s="32">
        <v>43250</v>
      </c>
      <c r="O506" s="31">
        <v>248</v>
      </c>
      <c r="P506" s="102">
        <v>43262</v>
      </c>
      <c r="Q506" s="31">
        <f t="shared" si="7"/>
        <v>0</v>
      </c>
      <c r="R506" s="53" t="str">
        <f ca="1">IF(TODAY() - BCOXT[INV DUE DATE]&lt;30, "Less than 30 days",IF(TODAY()-BCOXT[INV DUE DATE]&lt;60,"30-60 days","More than 60 days"))</f>
        <v>30-60 days</v>
      </c>
      <c r="S506" s="31" t="s">
        <v>812</v>
      </c>
      <c r="T506" s="43" t="s">
        <v>2229</v>
      </c>
      <c r="U506" s="4" t="s">
        <v>3699</v>
      </c>
    </row>
    <row r="507" spans="1:21" x14ac:dyDescent="0.3">
      <c r="A507" s="28" t="s">
        <v>2675</v>
      </c>
      <c r="B507" s="4" t="s">
        <v>35</v>
      </c>
      <c r="C507" s="4" t="s">
        <v>94</v>
      </c>
      <c r="D507" s="4">
        <v>5405</v>
      </c>
      <c r="E507" s="30">
        <v>56</v>
      </c>
      <c r="G507" s="4">
        <v>4300021652</v>
      </c>
      <c r="J507" s="28" t="s">
        <v>672</v>
      </c>
      <c r="K507" s="28" t="s">
        <v>3</v>
      </c>
      <c r="L507" s="32">
        <v>43221</v>
      </c>
      <c r="M507" s="32">
        <f>BCOXT[[#This Row],[INV DOC DATE]]+30</f>
        <v>43251</v>
      </c>
      <c r="N507" s="32">
        <v>43250</v>
      </c>
      <c r="O507" s="31">
        <v>56</v>
      </c>
      <c r="P507" s="102">
        <v>43262</v>
      </c>
      <c r="Q507" s="31">
        <f t="shared" si="7"/>
        <v>0</v>
      </c>
      <c r="R507" s="53" t="str">
        <f ca="1">IF(TODAY() - BCOXT[INV DUE DATE]&lt;30, "Less than 30 days",IF(TODAY()-BCOXT[INV DUE DATE]&lt;60,"30-60 days","More than 60 days"))</f>
        <v>30-60 days</v>
      </c>
      <c r="S507" s="31" t="s">
        <v>812</v>
      </c>
      <c r="T507" s="43" t="s">
        <v>2229</v>
      </c>
      <c r="U507" s="4" t="s">
        <v>3699</v>
      </c>
    </row>
    <row r="508" spans="1:21" x14ac:dyDescent="0.3">
      <c r="A508" s="28" t="s">
        <v>2675</v>
      </c>
      <c r="B508" s="4" t="s">
        <v>35</v>
      </c>
      <c r="C508" s="4" t="s">
        <v>95</v>
      </c>
      <c r="D508" s="4">
        <v>5405</v>
      </c>
      <c r="E508" s="30">
        <v>90</v>
      </c>
      <c r="G508" s="4">
        <v>4300021652</v>
      </c>
      <c r="J508" s="28" t="s">
        <v>672</v>
      </c>
      <c r="K508" s="28" t="s">
        <v>2677</v>
      </c>
      <c r="L508" s="32">
        <v>43221</v>
      </c>
      <c r="M508" s="32">
        <f>BCOXT[[#This Row],[INV DOC DATE]]+30</f>
        <v>43251</v>
      </c>
      <c r="N508" s="32">
        <v>43250</v>
      </c>
      <c r="O508" s="31">
        <v>90</v>
      </c>
      <c r="P508" s="102">
        <v>43262</v>
      </c>
      <c r="Q508" s="31">
        <f t="shared" si="7"/>
        <v>0</v>
      </c>
      <c r="R508" s="53" t="str">
        <f ca="1">IF(TODAY() - BCOXT[INV DUE DATE]&lt;30, "Less than 30 days",IF(TODAY()-BCOXT[INV DUE DATE]&lt;60,"30-60 days","More than 60 days"))</f>
        <v>30-60 days</v>
      </c>
      <c r="S508" s="31" t="s">
        <v>812</v>
      </c>
      <c r="T508" s="43" t="s">
        <v>2229</v>
      </c>
      <c r="U508" s="4" t="s">
        <v>3699</v>
      </c>
    </row>
    <row r="509" spans="1:21" x14ac:dyDescent="0.3">
      <c r="A509" s="28" t="s">
        <v>2675</v>
      </c>
      <c r="B509" s="4" t="s">
        <v>35</v>
      </c>
      <c r="C509" s="4" t="s">
        <v>96</v>
      </c>
      <c r="D509" s="4">
        <v>5405</v>
      </c>
      <c r="E509" s="30">
        <v>120</v>
      </c>
      <c r="G509" s="4">
        <v>4300021652</v>
      </c>
      <c r="J509" s="28" t="s">
        <v>672</v>
      </c>
      <c r="K509" s="28" t="s">
        <v>2678</v>
      </c>
      <c r="L509" s="32">
        <v>43221</v>
      </c>
      <c r="M509" s="32">
        <f>BCOXT[[#This Row],[INV DOC DATE]]+30</f>
        <v>43251</v>
      </c>
      <c r="N509" s="32">
        <v>43250</v>
      </c>
      <c r="O509" s="31">
        <v>120</v>
      </c>
      <c r="P509" s="102">
        <v>43262</v>
      </c>
      <c r="Q509" s="31">
        <f t="shared" si="7"/>
        <v>0</v>
      </c>
      <c r="R509" s="53" t="str">
        <f ca="1">IF(TODAY() - BCOXT[INV DUE DATE]&lt;30, "Less than 30 days",IF(TODAY()-BCOXT[INV DUE DATE]&lt;60,"30-60 days","More than 60 days"))</f>
        <v>30-60 days</v>
      </c>
      <c r="S509" s="31" t="s">
        <v>812</v>
      </c>
      <c r="T509" s="43" t="s">
        <v>2229</v>
      </c>
      <c r="U509" s="4" t="s">
        <v>3699</v>
      </c>
    </row>
    <row r="510" spans="1:21" x14ac:dyDescent="0.3">
      <c r="A510" s="28" t="s">
        <v>2675</v>
      </c>
      <c r="B510" s="4" t="s">
        <v>35</v>
      </c>
      <c r="C510" s="4" t="s">
        <v>97</v>
      </c>
      <c r="D510" s="4">
        <v>5405</v>
      </c>
      <c r="E510" s="30">
        <v>56</v>
      </c>
      <c r="G510" s="4">
        <v>4300021652</v>
      </c>
      <c r="J510" s="28" t="s">
        <v>673</v>
      </c>
      <c r="K510" s="28" t="s">
        <v>3</v>
      </c>
      <c r="L510" s="32">
        <v>43221</v>
      </c>
      <c r="M510" s="32">
        <f>BCOXT[[#This Row],[INV DOC DATE]]+30</f>
        <v>43251</v>
      </c>
      <c r="N510" s="32">
        <v>43250</v>
      </c>
      <c r="O510" s="31">
        <v>56</v>
      </c>
      <c r="P510" s="102">
        <v>43262</v>
      </c>
      <c r="Q510" s="31">
        <f t="shared" si="7"/>
        <v>0</v>
      </c>
      <c r="R510" s="53" t="str">
        <f ca="1">IF(TODAY() - BCOXT[INV DUE DATE]&lt;30, "Less than 30 days",IF(TODAY()-BCOXT[INV DUE DATE]&lt;60,"30-60 days","More than 60 days"))</f>
        <v>30-60 days</v>
      </c>
      <c r="S510" s="31" t="s">
        <v>812</v>
      </c>
      <c r="T510" s="43" t="s">
        <v>2229</v>
      </c>
      <c r="U510" s="4" t="s">
        <v>3699</v>
      </c>
    </row>
    <row r="511" spans="1:21" x14ac:dyDescent="0.3">
      <c r="A511" s="28" t="s">
        <v>2675</v>
      </c>
      <c r="B511" s="4" t="s">
        <v>35</v>
      </c>
      <c r="C511" s="4" t="s">
        <v>98</v>
      </c>
      <c r="D511" s="4">
        <v>5405</v>
      </c>
      <c r="E511" s="30">
        <v>90</v>
      </c>
      <c r="G511" s="4">
        <v>4300021652</v>
      </c>
      <c r="J511" s="28" t="s">
        <v>673</v>
      </c>
      <c r="K511" s="28" t="s">
        <v>2677</v>
      </c>
      <c r="L511" s="32">
        <v>43221</v>
      </c>
      <c r="M511" s="32">
        <f>BCOXT[[#This Row],[INV DOC DATE]]+30</f>
        <v>43251</v>
      </c>
      <c r="N511" s="32">
        <v>43250</v>
      </c>
      <c r="O511" s="31">
        <v>90</v>
      </c>
      <c r="P511" s="102">
        <v>43262</v>
      </c>
      <c r="Q511" s="31">
        <f t="shared" si="7"/>
        <v>0</v>
      </c>
      <c r="R511" s="53" t="str">
        <f ca="1">IF(TODAY() - BCOXT[INV DUE DATE]&lt;30, "Less than 30 days",IF(TODAY()-BCOXT[INV DUE DATE]&lt;60,"30-60 days","More than 60 days"))</f>
        <v>30-60 days</v>
      </c>
      <c r="S511" s="31" t="s">
        <v>812</v>
      </c>
      <c r="T511" s="43" t="s">
        <v>2229</v>
      </c>
      <c r="U511" s="4" t="s">
        <v>3699</v>
      </c>
    </row>
    <row r="512" spans="1:21" x14ac:dyDescent="0.3">
      <c r="A512" s="28" t="s">
        <v>2675</v>
      </c>
      <c r="B512" s="4" t="s">
        <v>35</v>
      </c>
      <c r="C512" s="4" t="s">
        <v>99</v>
      </c>
      <c r="D512" s="4">
        <v>5405</v>
      </c>
      <c r="E512" s="30">
        <v>120</v>
      </c>
      <c r="G512" s="4">
        <v>4300021652</v>
      </c>
      <c r="J512" s="28" t="s">
        <v>673</v>
      </c>
      <c r="K512" s="28" t="s">
        <v>2678</v>
      </c>
      <c r="L512" s="32">
        <v>43221</v>
      </c>
      <c r="M512" s="32">
        <f>BCOXT[[#This Row],[INV DOC DATE]]+30</f>
        <v>43251</v>
      </c>
      <c r="N512" s="32">
        <v>43250</v>
      </c>
      <c r="O512" s="31">
        <v>120</v>
      </c>
      <c r="P512" s="102">
        <v>43262</v>
      </c>
      <c r="Q512" s="31">
        <f t="shared" si="7"/>
        <v>0</v>
      </c>
      <c r="R512" s="53" t="str">
        <f ca="1">IF(TODAY() - BCOXT[INV DUE DATE]&lt;30, "Less than 30 days",IF(TODAY()-BCOXT[INV DUE DATE]&lt;60,"30-60 days","More than 60 days"))</f>
        <v>30-60 days</v>
      </c>
      <c r="S512" s="31" t="s">
        <v>812</v>
      </c>
      <c r="T512" s="43" t="s">
        <v>2229</v>
      </c>
      <c r="U512" s="4" t="s">
        <v>3699</v>
      </c>
    </row>
    <row r="513" spans="1:21" x14ac:dyDescent="0.3">
      <c r="A513" s="28" t="s">
        <v>2675</v>
      </c>
      <c r="B513" s="4" t="s">
        <v>35</v>
      </c>
      <c r="C513" s="4" t="s">
        <v>100</v>
      </c>
      <c r="D513" s="4">
        <v>5405</v>
      </c>
      <c r="E513" s="30">
        <v>248</v>
      </c>
      <c r="G513" s="4">
        <v>4300021652</v>
      </c>
      <c r="J513" s="28" t="s">
        <v>674</v>
      </c>
      <c r="K513" s="28" t="s">
        <v>3</v>
      </c>
      <c r="L513" s="32">
        <v>43221</v>
      </c>
      <c r="M513" s="32">
        <f>BCOXT[[#This Row],[INV DOC DATE]]+30</f>
        <v>43251</v>
      </c>
      <c r="N513" s="32">
        <v>43250</v>
      </c>
      <c r="O513" s="31">
        <v>248</v>
      </c>
      <c r="P513" s="102">
        <v>43262</v>
      </c>
      <c r="Q513" s="31">
        <f t="shared" si="7"/>
        <v>0</v>
      </c>
      <c r="R513" s="53" t="str">
        <f ca="1">IF(TODAY() - BCOXT[INV DUE DATE]&lt;30, "Less than 30 days",IF(TODAY()-BCOXT[INV DUE DATE]&lt;60,"30-60 days","More than 60 days"))</f>
        <v>30-60 days</v>
      </c>
      <c r="S513" s="31" t="s">
        <v>812</v>
      </c>
      <c r="T513" s="43" t="s">
        <v>2229</v>
      </c>
      <c r="U513" s="4" t="s">
        <v>3699</v>
      </c>
    </row>
    <row r="514" spans="1:21" x14ac:dyDescent="0.3">
      <c r="A514" s="28" t="s">
        <v>2675</v>
      </c>
      <c r="B514" s="4" t="s">
        <v>35</v>
      </c>
      <c r="C514" s="4" t="s">
        <v>101</v>
      </c>
      <c r="D514" s="4">
        <v>5405</v>
      </c>
      <c r="E514" s="30">
        <v>248</v>
      </c>
      <c r="G514" s="4">
        <v>4300021652</v>
      </c>
      <c r="J514" s="28" t="s">
        <v>675</v>
      </c>
      <c r="K514" s="28" t="s">
        <v>3</v>
      </c>
      <c r="L514" s="32">
        <v>43221</v>
      </c>
      <c r="M514" s="32">
        <f>BCOXT[[#This Row],[INV DOC DATE]]+30</f>
        <v>43251</v>
      </c>
      <c r="N514" s="32">
        <v>43250</v>
      </c>
      <c r="O514" s="31">
        <v>248</v>
      </c>
      <c r="P514" s="102">
        <v>43262</v>
      </c>
      <c r="Q514" s="31">
        <f t="shared" ref="Q514:Q577" si="8">$E514-$O514</f>
        <v>0</v>
      </c>
      <c r="R514" s="53" t="str">
        <f ca="1">IF(TODAY() - BCOXT[INV DUE DATE]&lt;30, "Less than 30 days",IF(TODAY()-BCOXT[INV DUE DATE]&lt;60,"30-60 days","More than 60 days"))</f>
        <v>30-60 days</v>
      </c>
      <c r="S514" s="31" t="s">
        <v>812</v>
      </c>
      <c r="T514" s="43" t="s">
        <v>2229</v>
      </c>
      <c r="U514" s="4" t="s">
        <v>3699</v>
      </c>
    </row>
    <row r="515" spans="1:21" x14ac:dyDescent="0.3">
      <c r="A515" s="28" t="s">
        <v>2675</v>
      </c>
      <c r="B515" s="4" t="s">
        <v>35</v>
      </c>
      <c r="C515" s="4" t="s">
        <v>102</v>
      </c>
      <c r="D515" s="4">
        <v>5405</v>
      </c>
      <c r="E515" s="30">
        <v>248</v>
      </c>
      <c r="G515" s="4">
        <v>4300021652</v>
      </c>
      <c r="J515" s="28" t="s">
        <v>676</v>
      </c>
      <c r="K515" s="28" t="s">
        <v>3</v>
      </c>
      <c r="L515" s="32">
        <v>43221</v>
      </c>
      <c r="M515" s="32">
        <f>BCOXT[[#This Row],[INV DOC DATE]]+30</f>
        <v>43251</v>
      </c>
      <c r="N515" s="32">
        <v>43250</v>
      </c>
      <c r="O515" s="31">
        <v>248</v>
      </c>
      <c r="P515" s="102">
        <v>43262</v>
      </c>
      <c r="Q515" s="31">
        <f t="shared" si="8"/>
        <v>0</v>
      </c>
      <c r="R515" s="53" t="str">
        <f ca="1">IF(TODAY() - BCOXT[INV DUE DATE]&lt;30, "Less than 30 days",IF(TODAY()-BCOXT[INV DUE DATE]&lt;60,"30-60 days","More than 60 days"))</f>
        <v>30-60 days</v>
      </c>
      <c r="S515" s="31" t="s">
        <v>812</v>
      </c>
      <c r="T515" s="43" t="s">
        <v>2229</v>
      </c>
      <c r="U515" s="4" t="s">
        <v>3699</v>
      </c>
    </row>
    <row r="516" spans="1:21" x14ac:dyDescent="0.3">
      <c r="A516" s="28" t="s">
        <v>2675</v>
      </c>
      <c r="B516" s="4" t="s">
        <v>35</v>
      </c>
      <c r="C516" s="4" t="s">
        <v>103</v>
      </c>
      <c r="D516" s="4">
        <v>5405</v>
      </c>
      <c r="E516" s="30">
        <v>248</v>
      </c>
      <c r="G516" s="4">
        <v>4300021652</v>
      </c>
      <c r="J516" s="28" t="s">
        <v>677</v>
      </c>
      <c r="K516" s="28" t="s">
        <v>3</v>
      </c>
      <c r="L516" s="32">
        <v>43221</v>
      </c>
      <c r="M516" s="32">
        <f>BCOXT[[#This Row],[INV DOC DATE]]+30</f>
        <v>43251</v>
      </c>
      <c r="N516" s="32">
        <v>43250</v>
      </c>
      <c r="O516" s="31">
        <v>248</v>
      </c>
      <c r="P516" s="102">
        <v>43262</v>
      </c>
      <c r="Q516" s="31">
        <f t="shared" si="8"/>
        <v>0</v>
      </c>
      <c r="R516" s="53" t="str">
        <f ca="1">IF(TODAY() - BCOXT[INV DUE DATE]&lt;30, "Less than 30 days",IF(TODAY()-BCOXT[INV DUE DATE]&lt;60,"30-60 days","More than 60 days"))</f>
        <v>30-60 days</v>
      </c>
      <c r="S516" s="31" t="s">
        <v>812</v>
      </c>
      <c r="T516" s="43" t="s">
        <v>2229</v>
      </c>
      <c r="U516" s="4" t="s">
        <v>3699</v>
      </c>
    </row>
    <row r="517" spans="1:21" x14ac:dyDescent="0.3">
      <c r="A517" s="28" t="s">
        <v>2675</v>
      </c>
      <c r="B517" s="4" t="s">
        <v>35</v>
      </c>
      <c r="C517" s="4" t="s">
        <v>104</v>
      </c>
      <c r="D517" s="4">
        <v>5405</v>
      </c>
      <c r="E517" s="30">
        <v>248</v>
      </c>
      <c r="G517" s="4">
        <v>4300021652</v>
      </c>
      <c r="J517" s="28" t="s">
        <v>678</v>
      </c>
      <c r="K517" s="28" t="s">
        <v>3</v>
      </c>
      <c r="L517" s="32">
        <v>43221</v>
      </c>
      <c r="M517" s="32">
        <f>BCOXT[[#This Row],[INV DOC DATE]]+30</f>
        <v>43251</v>
      </c>
      <c r="N517" s="32">
        <v>43250</v>
      </c>
      <c r="O517" s="31">
        <v>248</v>
      </c>
      <c r="P517" s="102">
        <v>43262</v>
      </c>
      <c r="Q517" s="31">
        <f t="shared" si="8"/>
        <v>0</v>
      </c>
      <c r="R517" s="53" t="str">
        <f ca="1">IF(TODAY() - BCOXT[INV DUE DATE]&lt;30, "Less than 30 days",IF(TODAY()-BCOXT[INV DUE DATE]&lt;60,"30-60 days","More than 60 days"))</f>
        <v>30-60 days</v>
      </c>
      <c r="S517" s="31" t="s">
        <v>812</v>
      </c>
      <c r="T517" s="43" t="s">
        <v>2229</v>
      </c>
      <c r="U517" s="4" t="s">
        <v>3699</v>
      </c>
    </row>
    <row r="518" spans="1:21" x14ac:dyDescent="0.3">
      <c r="A518" s="28" t="s">
        <v>2675</v>
      </c>
      <c r="B518" s="4" t="s">
        <v>35</v>
      </c>
      <c r="C518" s="4" t="s">
        <v>105</v>
      </c>
      <c r="D518" s="4">
        <v>5405</v>
      </c>
      <c r="E518" s="30">
        <v>248</v>
      </c>
      <c r="G518" s="4">
        <v>4300021652</v>
      </c>
      <c r="J518" s="28" t="s">
        <v>679</v>
      </c>
      <c r="K518" s="28" t="s">
        <v>3</v>
      </c>
      <c r="L518" s="32">
        <v>43221</v>
      </c>
      <c r="M518" s="32">
        <f>BCOXT[[#This Row],[INV DOC DATE]]+30</f>
        <v>43251</v>
      </c>
      <c r="N518" s="32">
        <v>43250</v>
      </c>
      <c r="O518" s="31">
        <v>248</v>
      </c>
      <c r="P518" s="102">
        <v>43262</v>
      </c>
      <c r="Q518" s="31">
        <f t="shared" si="8"/>
        <v>0</v>
      </c>
      <c r="R518" s="53" t="str">
        <f ca="1">IF(TODAY() - BCOXT[INV DUE DATE]&lt;30, "Less than 30 days",IF(TODAY()-BCOXT[INV DUE DATE]&lt;60,"30-60 days","More than 60 days"))</f>
        <v>30-60 days</v>
      </c>
      <c r="S518" s="31" t="s">
        <v>812</v>
      </c>
      <c r="T518" s="43" t="s">
        <v>2229</v>
      </c>
      <c r="U518" s="4" t="s">
        <v>3699</v>
      </c>
    </row>
    <row r="519" spans="1:21" x14ac:dyDescent="0.3">
      <c r="A519" s="28" t="s">
        <v>2675</v>
      </c>
      <c r="B519" s="4" t="s">
        <v>35</v>
      </c>
      <c r="C519" s="4" t="s">
        <v>106</v>
      </c>
      <c r="D519" s="4">
        <v>5405</v>
      </c>
      <c r="E519" s="30">
        <v>248</v>
      </c>
      <c r="G519" s="4">
        <v>4300021652</v>
      </c>
      <c r="J519" s="28" t="s">
        <v>680</v>
      </c>
      <c r="K519" s="28" t="s">
        <v>3</v>
      </c>
      <c r="L519" s="32">
        <v>43221</v>
      </c>
      <c r="M519" s="32">
        <f>BCOXT[[#This Row],[INV DOC DATE]]+30</f>
        <v>43251</v>
      </c>
      <c r="N519" s="32">
        <v>43250</v>
      </c>
      <c r="O519" s="31">
        <v>248</v>
      </c>
      <c r="P519" s="102">
        <v>43262</v>
      </c>
      <c r="Q519" s="31">
        <f t="shared" si="8"/>
        <v>0</v>
      </c>
      <c r="R519" s="53" t="str">
        <f ca="1">IF(TODAY() - BCOXT[INV DUE DATE]&lt;30, "Less than 30 days",IF(TODAY()-BCOXT[INV DUE DATE]&lt;60,"30-60 days","More than 60 days"))</f>
        <v>30-60 days</v>
      </c>
      <c r="S519" s="31" t="s">
        <v>812</v>
      </c>
      <c r="T519" s="43" t="s">
        <v>2229</v>
      </c>
      <c r="U519" s="4" t="s">
        <v>3699</v>
      </c>
    </row>
    <row r="520" spans="1:21" x14ac:dyDescent="0.3">
      <c r="A520" s="28" t="s">
        <v>2675</v>
      </c>
      <c r="B520" s="4" t="s">
        <v>35</v>
      </c>
      <c r="C520" s="4" t="s">
        <v>107</v>
      </c>
      <c r="D520" s="4">
        <v>5405</v>
      </c>
      <c r="E520" s="30">
        <v>248</v>
      </c>
      <c r="G520" s="4">
        <v>4300021652</v>
      </c>
      <c r="J520" s="28" t="s">
        <v>681</v>
      </c>
      <c r="K520" s="28" t="s">
        <v>3</v>
      </c>
      <c r="L520" s="32">
        <v>43221</v>
      </c>
      <c r="M520" s="32">
        <f>BCOXT[[#This Row],[INV DOC DATE]]+30</f>
        <v>43251</v>
      </c>
      <c r="N520" s="32">
        <v>43250</v>
      </c>
      <c r="O520" s="31">
        <v>248</v>
      </c>
      <c r="P520" s="102">
        <v>43262</v>
      </c>
      <c r="Q520" s="31">
        <f t="shared" si="8"/>
        <v>0</v>
      </c>
      <c r="R520" s="53" t="str">
        <f ca="1">IF(TODAY() - BCOXT[INV DUE DATE]&lt;30, "Less than 30 days",IF(TODAY()-BCOXT[INV DUE DATE]&lt;60,"30-60 days","More than 60 days"))</f>
        <v>30-60 days</v>
      </c>
      <c r="S520" s="31" t="s">
        <v>812</v>
      </c>
      <c r="T520" s="43" t="s">
        <v>2229</v>
      </c>
      <c r="U520" s="4" t="s">
        <v>3699</v>
      </c>
    </row>
    <row r="521" spans="1:21" x14ac:dyDescent="0.3">
      <c r="A521" s="28" t="s">
        <v>2675</v>
      </c>
      <c r="B521" s="4" t="s">
        <v>35</v>
      </c>
      <c r="C521" s="4" t="s">
        <v>108</v>
      </c>
      <c r="D521" s="4">
        <v>5405</v>
      </c>
      <c r="E521" s="30">
        <v>248</v>
      </c>
      <c r="G521" s="4">
        <v>4300021652</v>
      </c>
      <c r="J521" s="28" t="s">
        <v>682</v>
      </c>
      <c r="K521" s="28" t="s">
        <v>3</v>
      </c>
      <c r="L521" s="32">
        <v>43221</v>
      </c>
      <c r="M521" s="32">
        <f>BCOXT[[#This Row],[INV DOC DATE]]+30</f>
        <v>43251</v>
      </c>
      <c r="N521" s="32">
        <v>43250</v>
      </c>
      <c r="O521" s="31">
        <v>248</v>
      </c>
      <c r="P521" s="102">
        <v>43262</v>
      </c>
      <c r="Q521" s="31">
        <f t="shared" si="8"/>
        <v>0</v>
      </c>
      <c r="R521" s="53" t="str">
        <f ca="1">IF(TODAY() - BCOXT[INV DUE DATE]&lt;30, "Less than 30 days",IF(TODAY()-BCOXT[INV DUE DATE]&lt;60,"30-60 days","More than 60 days"))</f>
        <v>30-60 days</v>
      </c>
      <c r="S521" s="31" t="s">
        <v>812</v>
      </c>
      <c r="T521" s="43" t="s">
        <v>2229</v>
      </c>
      <c r="U521" s="4" t="s">
        <v>3699</v>
      </c>
    </row>
    <row r="522" spans="1:21" x14ac:dyDescent="0.3">
      <c r="A522" s="28" t="s">
        <v>2675</v>
      </c>
      <c r="B522" s="4" t="s">
        <v>35</v>
      </c>
      <c r="C522" s="4" t="s">
        <v>109</v>
      </c>
      <c r="D522" s="4">
        <v>5405</v>
      </c>
      <c r="E522" s="30">
        <v>596.75</v>
      </c>
      <c r="G522" s="4">
        <v>4300021652</v>
      </c>
      <c r="J522" s="28" t="s">
        <v>683</v>
      </c>
      <c r="K522" s="28" t="s">
        <v>3</v>
      </c>
      <c r="L522" s="32">
        <v>43221</v>
      </c>
      <c r="M522" s="32">
        <f>BCOXT[[#This Row],[INV DOC DATE]]+30</f>
        <v>43251</v>
      </c>
      <c r="N522" s="32">
        <v>43250</v>
      </c>
      <c r="O522" s="31">
        <v>596.75</v>
      </c>
      <c r="P522" s="102">
        <v>43262</v>
      </c>
      <c r="Q522" s="31">
        <f t="shared" si="8"/>
        <v>0</v>
      </c>
      <c r="R522" s="53" t="str">
        <f ca="1">IF(TODAY() - BCOXT[INV DUE DATE]&lt;30, "Less than 30 days",IF(TODAY()-BCOXT[INV DUE DATE]&lt;60,"30-60 days","More than 60 days"))</f>
        <v>30-60 days</v>
      </c>
      <c r="S522" s="31" t="s">
        <v>812</v>
      </c>
      <c r="T522" s="43" t="s">
        <v>2229</v>
      </c>
      <c r="U522" s="4" t="s">
        <v>3699</v>
      </c>
    </row>
    <row r="523" spans="1:21" x14ac:dyDescent="0.3">
      <c r="A523" s="28" t="s">
        <v>2675</v>
      </c>
      <c r="B523" s="4" t="s">
        <v>35</v>
      </c>
      <c r="C523" s="4" t="s">
        <v>110</v>
      </c>
      <c r="D523" s="4">
        <v>5405</v>
      </c>
      <c r="E523" s="30">
        <v>596.75</v>
      </c>
      <c r="G523" s="4">
        <v>4300021652</v>
      </c>
      <c r="J523" s="28" t="s">
        <v>684</v>
      </c>
      <c r="K523" s="28" t="s">
        <v>3</v>
      </c>
      <c r="L523" s="32">
        <v>43221</v>
      </c>
      <c r="M523" s="32">
        <f>BCOXT[[#This Row],[INV DOC DATE]]+30</f>
        <v>43251</v>
      </c>
      <c r="N523" s="32">
        <v>43250</v>
      </c>
      <c r="O523" s="31">
        <v>596.75</v>
      </c>
      <c r="P523" s="102">
        <v>43262</v>
      </c>
      <c r="Q523" s="31">
        <f t="shared" si="8"/>
        <v>0</v>
      </c>
      <c r="R523" s="53" t="str">
        <f ca="1">IF(TODAY() - BCOXT[INV DUE DATE]&lt;30, "Less than 30 days",IF(TODAY()-BCOXT[INV DUE DATE]&lt;60,"30-60 days","More than 60 days"))</f>
        <v>30-60 days</v>
      </c>
      <c r="S523" s="31" t="s">
        <v>812</v>
      </c>
      <c r="T523" s="43" t="s">
        <v>2229</v>
      </c>
      <c r="U523" s="4" t="s">
        <v>3699</v>
      </c>
    </row>
    <row r="524" spans="1:21" x14ac:dyDescent="0.3">
      <c r="A524" s="28" t="s">
        <v>2675</v>
      </c>
      <c r="B524" s="4" t="s">
        <v>35</v>
      </c>
      <c r="C524" s="4" t="s">
        <v>111</v>
      </c>
      <c r="D524" s="4">
        <v>5405</v>
      </c>
      <c r="E524" s="30">
        <v>682</v>
      </c>
      <c r="G524" s="4">
        <v>4300021652</v>
      </c>
      <c r="J524" s="28" t="s">
        <v>685</v>
      </c>
      <c r="K524" s="28" t="s">
        <v>3</v>
      </c>
      <c r="L524" s="32">
        <v>43221</v>
      </c>
      <c r="M524" s="32">
        <f>BCOXT[[#This Row],[INV DOC DATE]]+30</f>
        <v>43251</v>
      </c>
      <c r="N524" s="32">
        <v>43250</v>
      </c>
      <c r="O524" s="31">
        <v>682</v>
      </c>
      <c r="P524" s="102">
        <v>43262</v>
      </c>
      <c r="Q524" s="31">
        <f t="shared" si="8"/>
        <v>0</v>
      </c>
      <c r="R524" s="53" t="str">
        <f ca="1">IF(TODAY() - BCOXT[INV DUE DATE]&lt;30, "Less than 30 days",IF(TODAY()-BCOXT[INV DUE DATE]&lt;60,"30-60 days","More than 60 days"))</f>
        <v>30-60 days</v>
      </c>
      <c r="S524" s="31" t="s">
        <v>812</v>
      </c>
      <c r="T524" s="43" t="s">
        <v>2229</v>
      </c>
      <c r="U524" s="4" t="s">
        <v>3699</v>
      </c>
    </row>
    <row r="525" spans="1:21" x14ac:dyDescent="0.3">
      <c r="A525" s="28" t="s">
        <v>2675</v>
      </c>
      <c r="B525" s="4" t="s">
        <v>35</v>
      </c>
      <c r="C525" s="4" t="s">
        <v>112</v>
      </c>
      <c r="D525" s="4">
        <v>5405</v>
      </c>
      <c r="E525" s="30">
        <v>484</v>
      </c>
      <c r="G525" s="4">
        <v>4300021652</v>
      </c>
      <c r="J525" s="28" t="s">
        <v>686</v>
      </c>
      <c r="K525" s="28" t="s">
        <v>3</v>
      </c>
      <c r="L525" s="32">
        <v>43221</v>
      </c>
      <c r="M525" s="32">
        <f>BCOXT[[#This Row],[INV DOC DATE]]+30</f>
        <v>43251</v>
      </c>
      <c r="N525" s="32">
        <v>43250</v>
      </c>
      <c r="O525" s="31">
        <v>484</v>
      </c>
      <c r="P525" s="102">
        <v>43262</v>
      </c>
      <c r="Q525" s="31">
        <f t="shared" si="8"/>
        <v>0</v>
      </c>
      <c r="R525" s="53" t="str">
        <f ca="1">IF(TODAY() - BCOXT[INV DUE DATE]&lt;30, "Less than 30 days",IF(TODAY()-BCOXT[INV DUE DATE]&lt;60,"30-60 days","More than 60 days"))</f>
        <v>30-60 days</v>
      </c>
      <c r="S525" s="31" t="s">
        <v>812</v>
      </c>
      <c r="T525" s="43" t="s">
        <v>2229</v>
      </c>
      <c r="U525" s="4" t="s">
        <v>3699</v>
      </c>
    </row>
    <row r="526" spans="1:21" x14ac:dyDescent="0.3">
      <c r="A526" s="28" t="s">
        <v>2675</v>
      </c>
      <c r="B526" s="4" t="s">
        <v>35</v>
      </c>
      <c r="C526" s="4" t="s">
        <v>113</v>
      </c>
      <c r="D526" s="4">
        <v>5405</v>
      </c>
      <c r="E526" s="30">
        <v>90</v>
      </c>
      <c r="G526" s="4">
        <v>4300021652</v>
      </c>
      <c r="J526" s="28" t="s">
        <v>686</v>
      </c>
      <c r="K526" s="28" t="s">
        <v>2677</v>
      </c>
      <c r="L526" s="32">
        <v>43221</v>
      </c>
      <c r="M526" s="32">
        <f>BCOXT[[#This Row],[INV DOC DATE]]+30</f>
        <v>43251</v>
      </c>
      <c r="N526" s="32">
        <v>43250</v>
      </c>
      <c r="O526" s="31">
        <v>90</v>
      </c>
      <c r="P526" s="102">
        <v>43262</v>
      </c>
      <c r="Q526" s="31">
        <f t="shared" si="8"/>
        <v>0</v>
      </c>
      <c r="R526" s="53" t="str">
        <f ca="1">IF(TODAY() - BCOXT[INV DUE DATE]&lt;30, "Less than 30 days",IF(TODAY()-BCOXT[INV DUE DATE]&lt;60,"30-60 days","More than 60 days"))</f>
        <v>30-60 days</v>
      </c>
      <c r="S526" s="31" t="s">
        <v>812</v>
      </c>
      <c r="T526" s="43" t="s">
        <v>2229</v>
      </c>
      <c r="U526" s="4" t="s">
        <v>3699</v>
      </c>
    </row>
    <row r="527" spans="1:21" x14ac:dyDescent="0.3">
      <c r="A527" s="28" t="s">
        <v>2675</v>
      </c>
      <c r="B527" s="4" t="s">
        <v>35</v>
      </c>
      <c r="C527" s="4" t="s">
        <v>114</v>
      </c>
      <c r="D527" s="4">
        <v>5405</v>
      </c>
      <c r="E527" s="30">
        <v>330</v>
      </c>
      <c r="G527" s="4">
        <v>4300021652</v>
      </c>
      <c r="J527" s="28" t="s">
        <v>686</v>
      </c>
      <c r="K527" s="28" t="s">
        <v>2678</v>
      </c>
      <c r="L527" s="32">
        <v>43221</v>
      </c>
      <c r="M527" s="32">
        <f>BCOXT[[#This Row],[INV DOC DATE]]+30</f>
        <v>43251</v>
      </c>
      <c r="N527" s="32">
        <v>43250</v>
      </c>
      <c r="O527" s="31">
        <v>330</v>
      </c>
      <c r="P527" s="102">
        <v>43262</v>
      </c>
      <c r="Q527" s="31">
        <f t="shared" si="8"/>
        <v>0</v>
      </c>
      <c r="R527" s="53" t="str">
        <f ca="1">IF(TODAY() - BCOXT[INV DUE DATE]&lt;30, "Less than 30 days",IF(TODAY()-BCOXT[INV DUE DATE]&lt;60,"30-60 days","More than 60 days"))</f>
        <v>30-60 days</v>
      </c>
      <c r="S527" s="31" t="s">
        <v>812</v>
      </c>
      <c r="T527" s="43" t="s">
        <v>2229</v>
      </c>
      <c r="U527" s="4" t="s">
        <v>3699</v>
      </c>
    </row>
    <row r="528" spans="1:21" x14ac:dyDescent="0.3">
      <c r="A528" s="28" t="s">
        <v>2675</v>
      </c>
      <c r="B528" s="4" t="s">
        <v>35</v>
      </c>
      <c r="C528" s="4" t="s">
        <v>115</v>
      </c>
      <c r="D528" s="4">
        <v>5405</v>
      </c>
      <c r="E528" s="30">
        <v>682</v>
      </c>
      <c r="G528" s="4">
        <v>4300021652</v>
      </c>
      <c r="J528" s="28" t="s">
        <v>687</v>
      </c>
      <c r="K528" s="28" t="s">
        <v>3</v>
      </c>
      <c r="L528" s="32">
        <v>43221</v>
      </c>
      <c r="M528" s="32">
        <f>BCOXT[[#This Row],[INV DOC DATE]]+30</f>
        <v>43251</v>
      </c>
      <c r="N528" s="32">
        <v>43250</v>
      </c>
      <c r="O528" s="31">
        <v>682</v>
      </c>
      <c r="P528" s="102">
        <v>43262</v>
      </c>
      <c r="Q528" s="31">
        <f t="shared" si="8"/>
        <v>0</v>
      </c>
      <c r="R528" s="53" t="str">
        <f ca="1">IF(TODAY() - BCOXT[INV DUE DATE]&lt;30, "Less than 30 days",IF(TODAY()-BCOXT[INV DUE DATE]&lt;60,"30-60 days","More than 60 days"))</f>
        <v>30-60 days</v>
      </c>
      <c r="S528" s="31" t="s">
        <v>812</v>
      </c>
      <c r="T528" s="43" t="s">
        <v>2229</v>
      </c>
      <c r="U528" s="4" t="s">
        <v>3699</v>
      </c>
    </row>
    <row r="529" spans="1:21" x14ac:dyDescent="0.3">
      <c r="A529" s="28" t="s">
        <v>2675</v>
      </c>
      <c r="B529" s="4" t="s">
        <v>35</v>
      </c>
      <c r="C529" s="4" t="s">
        <v>116</v>
      </c>
      <c r="D529" s="4">
        <v>5405</v>
      </c>
      <c r="E529" s="30">
        <v>263.5</v>
      </c>
      <c r="G529" s="4">
        <v>4300021652</v>
      </c>
      <c r="J529" s="28" t="s">
        <v>688</v>
      </c>
      <c r="K529" s="28" t="s">
        <v>3</v>
      </c>
      <c r="L529" s="32">
        <v>43221</v>
      </c>
      <c r="M529" s="32">
        <f>BCOXT[[#This Row],[INV DOC DATE]]+30</f>
        <v>43251</v>
      </c>
      <c r="N529" s="32">
        <v>43250</v>
      </c>
      <c r="O529" s="31">
        <v>263.5</v>
      </c>
      <c r="P529" s="102">
        <v>43262</v>
      </c>
      <c r="Q529" s="31">
        <f t="shared" si="8"/>
        <v>0</v>
      </c>
      <c r="R529" s="53" t="str">
        <f ca="1">IF(TODAY() - BCOXT[INV DUE DATE]&lt;30, "Less than 30 days",IF(TODAY()-BCOXT[INV DUE DATE]&lt;60,"30-60 days","More than 60 days"))</f>
        <v>30-60 days</v>
      </c>
      <c r="S529" s="31" t="s">
        <v>812</v>
      </c>
      <c r="T529" s="43" t="s">
        <v>2229</v>
      </c>
      <c r="U529" s="4" t="s">
        <v>3699</v>
      </c>
    </row>
    <row r="530" spans="1:21" x14ac:dyDescent="0.3">
      <c r="A530" s="28" t="s">
        <v>2675</v>
      </c>
      <c r="B530" s="4" t="s">
        <v>35</v>
      </c>
      <c r="C530" s="4" t="s">
        <v>117</v>
      </c>
      <c r="D530" s="4">
        <v>5405</v>
      </c>
      <c r="E530" s="30">
        <v>263.5</v>
      </c>
      <c r="G530" s="4">
        <v>4300021652</v>
      </c>
      <c r="J530" s="28" t="s">
        <v>689</v>
      </c>
      <c r="K530" s="28" t="s">
        <v>3</v>
      </c>
      <c r="L530" s="32">
        <v>43221</v>
      </c>
      <c r="M530" s="32">
        <f>BCOXT[[#This Row],[INV DOC DATE]]+30</f>
        <v>43251</v>
      </c>
      <c r="N530" s="32">
        <v>43250</v>
      </c>
      <c r="O530" s="31">
        <v>263.5</v>
      </c>
      <c r="P530" s="102">
        <v>43262</v>
      </c>
      <c r="Q530" s="31">
        <f t="shared" si="8"/>
        <v>0</v>
      </c>
      <c r="R530" s="53" t="str">
        <f ca="1">IF(TODAY() - BCOXT[INV DUE DATE]&lt;30, "Less than 30 days",IF(TODAY()-BCOXT[INV DUE DATE]&lt;60,"30-60 days","More than 60 days"))</f>
        <v>30-60 days</v>
      </c>
      <c r="S530" s="31" t="s">
        <v>812</v>
      </c>
      <c r="T530" s="43" t="s">
        <v>2229</v>
      </c>
      <c r="U530" s="4" t="s">
        <v>3699</v>
      </c>
    </row>
    <row r="531" spans="1:21" x14ac:dyDescent="0.3">
      <c r="A531" s="28" t="s">
        <v>2675</v>
      </c>
      <c r="B531" s="4" t="s">
        <v>35</v>
      </c>
      <c r="C531" s="4" t="s">
        <v>118</v>
      </c>
      <c r="D531" s="4">
        <v>5405</v>
      </c>
      <c r="E531" s="30">
        <v>263.5</v>
      </c>
      <c r="G531" s="4">
        <v>4300021652</v>
      </c>
      <c r="J531" s="28" t="s">
        <v>690</v>
      </c>
      <c r="K531" s="28" t="s">
        <v>3</v>
      </c>
      <c r="L531" s="32">
        <v>43221</v>
      </c>
      <c r="M531" s="32">
        <f>BCOXT[[#This Row],[INV DOC DATE]]+30</f>
        <v>43251</v>
      </c>
      <c r="N531" s="32">
        <v>43250</v>
      </c>
      <c r="O531" s="31">
        <v>263.5</v>
      </c>
      <c r="P531" s="102">
        <v>43262</v>
      </c>
      <c r="Q531" s="31">
        <f t="shared" si="8"/>
        <v>0</v>
      </c>
      <c r="R531" s="53" t="str">
        <f ca="1">IF(TODAY() - BCOXT[INV DUE DATE]&lt;30, "Less than 30 days",IF(TODAY()-BCOXT[INV DUE DATE]&lt;60,"30-60 days","More than 60 days"))</f>
        <v>30-60 days</v>
      </c>
      <c r="S531" s="31" t="s">
        <v>812</v>
      </c>
      <c r="T531" s="43" t="s">
        <v>2229</v>
      </c>
      <c r="U531" s="4" t="s">
        <v>3699</v>
      </c>
    </row>
    <row r="532" spans="1:21" x14ac:dyDescent="0.3">
      <c r="A532" s="28" t="s">
        <v>2675</v>
      </c>
      <c r="B532" s="4" t="s">
        <v>35</v>
      </c>
      <c r="C532" s="4" t="s">
        <v>119</v>
      </c>
      <c r="D532" s="4">
        <v>5405</v>
      </c>
      <c r="E532" s="30">
        <v>255.75</v>
      </c>
      <c r="G532" s="4">
        <v>4300021652</v>
      </c>
      <c r="J532" s="28" t="s">
        <v>691</v>
      </c>
      <c r="K532" s="28" t="s">
        <v>3</v>
      </c>
      <c r="L532" s="32">
        <v>43221</v>
      </c>
      <c r="M532" s="32">
        <f>BCOXT[[#This Row],[INV DOC DATE]]+30</f>
        <v>43251</v>
      </c>
      <c r="N532" s="32">
        <v>43250</v>
      </c>
      <c r="O532" s="31">
        <v>255.75</v>
      </c>
      <c r="P532" s="102">
        <v>43262</v>
      </c>
      <c r="Q532" s="31">
        <f t="shared" si="8"/>
        <v>0</v>
      </c>
      <c r="R532" s="53" t="str">
        <f ca="1">IF(TODAY() - BCOXT[INV DUE DATE]&lt;30, "Less than 30 days",IF(TODAY()-BCOXT[INV DUE DATE]&lt;60,"30-60 days","More than 60 days"))</f>
        <v>30-60 days</v>
      </c>
      <c r="S532" s="31" t="s">
        <v>812</v>
      </c>
      <c r="T532" s="43" t="s">
        <v>2229</v>
      </c>
      <c r="U532" s="4" t="s">
        <v>3699</v>
      </c>
    </row>
    <row r="533" spans="1:21" x14ac:dyDescent="0.3">
      <c r="A533" s="28" t="s">
        <v>2675</v>
      </c>
      <c r="B533" s="4" t="s">
        <v>35</v>
      </c>
      <c r="C533" s="4" t="s">
        <v>120</v>
      </c>
      <c r="D533" s="4">
        <v>5405</v>
      </c>
      <c r="E533" s="30">
        <v>255.75</v>
      </c>
      <c r="G533" s="4">
        <v>4300021652</v>
      </c>
      <c r="J533" s="28" t="s">
        <v>692</v>
      </c>
      <c r="K533" s="28" t="s">
        <v>3</v>
      </c>
      <c r="L533" s="32">
        <v>43221</v>
      </c>
      <c r="M533" s="32">
        <f>BCOXT[[#This Row],[INV DOC DATE]]+30</f>
        <v>43251</v>
      </c>
      <c r="N533" s="32">
        <v>43250</v>
      </c>
      <c r="O533" s="31">
        <v>255.75</v>
      </c>
      <c r="P533" s="102">
        <v>43262</v>
      </c>
      <c r="Q533" s="31">
        <f t="shared" si="8"/>
        <v>0</v>
      </c>
      <c r="R533" s="53" t="str">
        <f ca="1">IF(TODAY() - BCOXT[INV DUE DATE]&lt;30, "Less than 30 days",IF(TODAY()-BCOXT[INV DUE DATE]&lt;60,"30-60 days","More than 60 days"))</f>
        <v>30-60 days</v>
      </c>
      <c r="S533" s="31" t="s">
        <v>812</v>
      </c>
      <c r="T533" s="43" t="s">
        <v>2229</v>
      </c>
      <c r="U533" s="4" t="s">
        <v>3699</v>
      </c>
    </row>
    <row r="534" spans="1:21" x14ac:dyDescent="0.3">
      <c r="A534" s="28" t="s">
        <v>2675</v>
      </c>
      <c r="B534" s="4" t="s">
        <v>35</v>
      </c>
      <c r="C534" s="4" t="s">
        <v>121</v>
      </c>
      <c r="D534" s="4">
        <v>5405</v>
      </c>
      <c r="E534" s="30">
        <v>255.75</v>
      </c>
      <c r="G534" s="4">
        <v>4300021652</v>
      </c>
      <c r="J534" s="28" t="s">
        <v>693</v>
      </c>
      <c r="K534" s="28" t="s">
        <v>3</v>
      </c>
      <c r="L534" s="32">
        <v>43221</v>
      </c>
      <c r="M534" s="32">
        <f>BCOXT[[#This Row],[INV DOC DATE]]+30</f>
        <v>43251</v>
      </c>
      <c r="N534" s="32">
        <v>43250</v>
      </c>
      <c r="O534" s="31">
        <v>255.75</v>
      </c>
      <c r="P534" s="102">
        <v>43262</v>
      </c>
      <c r="Q534" s="31">
        <f t="shared" si="8"/>
        <v>0</v>
      </c>
      <c r="R534" s="53" t="str">
        <f ca="1">IF(TODAY() - BCOXT[INV DUE DATE]&lt;30, "Less than 30 days",IF(TODAY()-BCOXT[INV DUE DATE]&lt;60,"30-60 days","More than 60 days"))</f>
        <v>30-60 days</v>
      </c>
      <c r="S534" s="31" t="s">
        <v>812</v>
      </c>
      <c r="T534" s="43" t="s">
        <v>2229</v>
      </c>
      <c r="U534" s="4" t="s">
        <v>3699</v>
      </c>
    </row>
    <row r="535" spans="1:21" x14ac:dyDescent="0.3">
      <c r="A535" s="28" t="s">
        <v>2675</v>
      </c>
      <c r="B535" s="4" t="s">
        <v>35</v>
      </c>
      <c r="C535" s="4" t="s">
        <v>122</v>
      </c>
      <c r="D535" s="4">
        <v>5405</v>
      </c>
      <c r="E535" s="30">
        <v>255.75</v>
      </c>
      <c r="G535" s="4">
        <v>4300021652</v>
      </c>
      <c r="J535" s="28" t="s">
        <v>694</v>
      </c>
      <c r="K535" s="28" t="s">
        <v>3</v>
      </c>
      <c r="L535" s="32">
        <v>43221</v>
      </c>
      <c r="M535" s="32">
        <f>BCOXT[[#This Row],[INV DOC DATE]]+30</f>
        <v>43251</v>
      </c>
      <c r="N535" s="32">
        <v>43250</v>
      </c>
      <c r="O535" s="31">
        <v>255.75</v>
      </c>
      <c r="P535" s="102">
        <v>43262</v>
      </c>
      <c r="Q535" s="31">
        <f t="shared" si="8"/>
        <v>0</v>
      </c>
      <c r="R535" s="53" t="str">
        <f ca="1">IF(TODAY() - BCOXT[INV DUE DATE]&lt;30, "Less than 30 days",IF(TODAY()-BCOXT[INV DUE DATE]&lt;60,"30-60 days","More than 60 days"))</f>
        <v>30-60 days</v>
      </c>
      <c r="S535" s="31" t="s">
        <v>812</v>
      </c>
      <c r="T535" s="43" t="s">
        <v>2229</v>
      </c>
      <c r="U535" s="4" t="s">
        <v>3699</v>
      </c>
    </row>
    <row r="536" spans="1:21" x14ac:dyDescent="0.3">
      <c r="A536" s="28" t="s">
        <v>2675</v>
      </c>
      <c r="B536" s="4" t="s">
        <v>35</v>
      </c>
      <c r="C536" s="4" t="s">
        <v>123</v>
      </c>
      <c r="D536" s="4">
        <v>5405</v>
      </c>
      <c r="E536" s="30">
        <v>255.75</v>
      </c>
      <c r="G536" s="4">
        <v>4300021652</v>
      </c>
      <c r="J536" s="28" t="s">
        <v>695</v>
      </c>
      <c r="K536" s="28" t="s">
        <v>3</v>
      </c>
      <c r="L536" s="32">
        <v>43221</v>
      </c>
      <c r="M536" s="32">
        <f>BCOXT[[#This Row],[INV DOC DATE]]+30</f>
        <v>43251</v>
      </c>
      <c r="N536" s="32">
        <v>43250</v>
      </c>
      <c r="O536" s="31">
        <v>255.75</v>
      </c>
      <c r="P536" s="102">
        <v>43262</v>
      </c>
      <c r="Q536" s="31">
        <f t="shared" si="8"/>
        <v>0</v>
      </c>
      <c r="R536" s="53" t="str">
        <f ca="1">IF(TODAY() - BCOXT[INV DUE DATE]&lt;30, "Less than 30 days",IF(TODAY()-BCOXT[INV DUE DATE]&lt;60,"30-60 days","More than 60 days"))</f>
        <v>30-60 days</v>
      </c>
      <c r="S536" s="31" t="s">
        <v>812</v>
      </c>
      <c r="T536" s="43" t="s">
        <v>2229</v>
      </c>
      <c r="U536" s="4" t="s">
        <v>3699</v>
      </c>
    </row>
    <row r="537" spans="1:21" x14ac:dyDescent="0.3">
      <c r="A537" s="28" t="s">
        <v>2675</v>
      </c>
      <c r="B537" s="4" t="s">
        <v>35</v>
      </c>
      <c r="C537" s="4" t="s">
        <v>124</v>
      </c>
      <c r="D537" s="4">
        <v>5405</v>
      </c>
      <c r="E537" s="30">
        <v>255.75</v>
      </c>
      <c r="G537" s="4">
        <v>4300021652</v>
      </c>
      <c r="J537" s="28" t="s">
        <v>696</v>
      </c>
      <c r="K537" s="28" t="s">
        <v>3</v>
      </c>
      <c r="L537" s="32">
        <v>43221</v>
      </c>
      <c r="M537" s="32">
        <f>BCOXT[[#This Row],[INV DOC DATE]]+30</f>
        <v>43251</v>
      </c>
      <c r="N537" s="32">
        <v>43250</v>
      </c>
      <c r="O537" s="31">
        <v>255.75</v>
      </c>
      <c r="P537" s="102">
        <v>43262</v>
      </c>
      <c r="Q537" s="31">
        <f t="shared" si="8"/>
        <v>0</v>
      </c>
      <c r="R537" s="53" t="str">
        <f ca="1">IF(TODAY() - BCOXT[INV DUE DATE]&lt;30, "Less than 30 days",IF(TODAY()-BCOXT[INV DUE DATE]&lt;60,"30-60 days","More than 60 days"))</f>
        <v>30-60 days</v>
      </c>
      <c r="S537" s="31" t="s">
        <v>812</v>
      </c>
      <c r="T537" s="43" t="s">
        <v>2229</v>
      </c>
      <c r="U537" s="4" t="s">
        <v>3699</v>
      </c>
    </row>
    <row r="538" spans="1:21" x14ac:dyDescent="0.3">
      <c r="A538" s="28" t="s">
        <v>2675</v>
      </c>
      <c r="B538" s="4" t="s">
        <v>35</v>
      </c>
      <c r="C538" s="4" t="s">
        <v>125</v>
      </c>
      <c r="D538" s="4">
        <v>5405</v>
      </c>
      <c r="E538" s="30">
        <v>263.5</v>
      </c>
      <c r="G538" s="4">
        <v>4300021652</v>
      </c>
      <c r="J538" s="28" t="s">
        <v>697</v>
      </c>
      <c r="K538" s="28" t="s">
        <v>3</v>
      </c>
      <c r="L538" s="32">
        <v>43221</v>
      </c>
      <c r="M538" s="32">
        <f>BCOXT[[#This Row],[INV DOC DATE]]+30</f>
        <v>43251</v>
      </c>
      <c r="N538" s="32">
        <v>43250</v>
      </c>
      <c r="O538" s="31">
        <v>263.5</v>
      </c>
      <c r="P538" s="102">
        <v>43262</v>
      </c>
      <c r="Q538" s="31">
        <f t="shared" si="8"/>
        <v>0</v>
      </c>
      <c r="R538" s="53" t="str">
        <f ca="1">IF(TODAY() - BCOXT[INV DUE DATE]&lt;30, "Less than 30 days",IF(TODAY()-BCOXT[INV DUE DATE]&lt;60,"30-60 days","More than 60 days"))</f>
        <v>30-60 days</v>
      </c>
      <c r="S538" s="31" t="s">
        <v>812</v>
      </c>
      <c r="T538" s="43" t="s">
        <v>2229</v>
      </c>
      <c r="U538" s="4" t="s">
        <v>3699</v>
      </c>
    </row>
    <row r="539" spans="1:21" x14ac:dyDescent="0.3">
      <c r="A539" s="28" t="s">
        <v>2675</v>
      </c>
      <c r="B539" s="4" t="s">
        <v>35</v>
      </c>
      <c r="C539" s="4" t="s">
        <v>126</v>
      </c>
      <c r="D539" s="4">
        <v>5405</v>
      </c>
      <c r="E539" s="30">
        <v>263.5</v>
      </c>
      <c r="G539" s="4">
        <v>4300021652</v>
      </c>
      <c r="J539" s="28" t="s">
        <v>698</v>
      </c>
      <c r="K539" s="28" t="s">
        <v>3</v>
      </c>
      <c r="L539" s="32">
        <v>43221</v>
      </c>
      <c r="M539" s="32">
        <f>BCOXT[[#This Row],[INV DOC DATE]]+30</f>
        <v>43251</v>
      </c>
      <c r="N539" s="32">
        <v>43250</v>
      </c>
      <c r="O539" s="31">
        <v>263.5</v>
      </c>
      <c r="P539" s="102">
        <v>43262</v>
      </c>
      <c r="Q539" s="31">
        <f t="shared" si="8"/>
        <v>0</v>
      </c>
      <c r="R539" s="53" t="str">
        <f ca="1">IF(TODAY() - BCOXT[INV DUE DATE]&lt;30, "Less than 30 days",IF(TODAY()-BCOXT[INV DUE DATE]&lt;60,"30-60 days","More than 60 days"))</f>
        <v>30-60 days</v>
      </c>
      <c r="S539" s="31" t="s">
        <v>812</v>
      </c>
      <c r="T539" s="43" t="s">
        <v>2229</v>
      </c>
      <c r="U539" s="4" t="s">
        <v>3699</v>
      </c>
    </row>
    <row r="540" spans="1:21" x14ac:dyDescent="0.3">
      <c r="A540" s="28" t="s">
        <v>2675</v>
      </c>
      <c r="B540" s="4" t="s">
        <v>35</v>
      </c>
      <c r="C540" s="4" t="s">
        <v>127</v>
      </c>
      <c r="D540" s="4">
        <v>5405</v>
      </c>
      <c r="E540" s="30">
        <v>263.5</v>
      </c>
      <c r="G540" s="4">
        <v>4300021652</v>
      </c>
      <c r="J540" s="28" t="s">
        <v>699</v>
      </c>
      <c r="K540" s="28" t="s">
        <v>3</v>
      </c>
      <c r="L540" s="32">
        <v>43221</v>
      </c>
      <c r="M540" s="32">
        <f>BCOXT[[#This Row],[INV DOC DATE]]+30</f>
        <v>43251</v>
      </c>
      <c r="N540" s="32">
        <v>43250</v>
      </c>
      <c r="O540" s="31">
        <v>263.5</v>
      </c>
      <c r="P540" s="102">
        <v>43262</v>
      </c>
      <c r="Q540" s="31">
        <f t="shared" si="8"/>
        <v>0</v>
      </c>
      <c r="R540" s="53" t="str">
        <f ca="1">IF(TODAY() - BCOXT[INV DUE DATE]&lt;30, "Less than 30 days",IF(TODAY()-BCOXT[INV DUE DATE]&lt;60,"30-60 days","More than 60 days"))</f>
        <v>30-60 days</v>
      </c>
      <c r="S540" s="31" t="s">
        <v>812</v>
      </c>
      <c r="T540" s="43" t="s">
        <v>2229</v>
      </c>
      <c r="U540" s="4" t="s">
        <v>3699</v>
      </c>
    </row>
    <row r="541" spans="1:21" x14ac:dyDescent="0.3">
      <c r="A541" s="28" t="s">
        <v>2675</v>
      </c>
      <c r="B541" s="4" t="s">
        <v>35</v>
      </c>
      <c r="C541" s="4" t="s">
        <v>128</v>
      </c>
      <c r="D541" s="4">
        <v>5405</v>
      </c>
      <c r="E541" s="30">
        <v>279</v>
      </c>
      <c r="G541" s="4">
        <v>4300021652</v>
      </c>
      <c r="J541" s="28" t="s">
        <v>700</v>
      </c>
      <c r="K541" s="28" t="s">
        <v>3</v>
      </c>
      <c r="L541" s="32">
        <v>43221</v>
      </c>
      <c r="M541" s="32">
        <f>BCOXT[[#This Row],[INV DOC DATE]]+30</f>
        <v>43251</v>
      </c>
      <c r="N541" s="32">
        <v>43250</v>
      </c>
      <c r="O541" s="31">
        <v>279</v>
      </c>
      <c r="P541" s="102">
        <v>43262</v>
      </c>
      <c r="Q541" s="31">
        <f t="shared" si="8"/>
        <v>0</v>
      </c>
      <c r="R541" s="53" t="str">
        <f ca="1">IF(TODAY() - BCOXT[INV DUE DATE]&lt;30, "Less than 30 days",IF(TODAY()-BCOXT[INV DUE DATE]&lt;60,"30-60 days","More than 60 days"))</f>
        <v>30-60 days</v>
      </c>
      <c r="S541" s="31" t="s">
        <v>812</v>
      </c>
      <c r="T541" s="43" t="s">
        <v>2229</v>
      </c>
      <c r="U541" s="4" t="s">
        <v>3699</v>
      </c>
    </row>
    <row r="542" spans="1:21" x14ac:dyDescent="0.3">
      <c r="A542" s="28" t="s">
        <v>2675</v>
      </c>
      <c r="B542" s="4" t="s">
        <v>35</v>
      </c>
      <c r="C542" s="4" t="s">
        <v>129</v>
      </c>
      <c r="D542" s="4">
        <v>5405</v>
      </c>
      <c r="E542" s="30">
        <v>279</v>
      </c>
      <c r="G542" s="4">
        <v>4300021652</v>
      </c>
      <c r="J542" s="28" t="s">
        <v>701</v>
      </c>
      <c r="K542" s="28" t="s">
        <v>3</v>
      </c>
      <c r="L542" s="32">
        <v>43221</v>
      </c>
      <c r="M542" s="32">
        <f>BCOXT[[#This Row],[INV DOC DATE]]+30</f>
        <v>43251</v>
      </c>
      <c r="N542" s="32">
        <v>43250</v>
      </c>
      <c r="O542" s="31">
        <v>279</v>
      </c>
      <c r="P542" s="102">
        <v>43262</v>
      </c>
      <c r="Q542" s="31">
        <f t="shared" si="8"/>
        <v>0</v>
      </c>
      <c r="R542" s="53" t="str">
        <f ca="1">IF(TODAY() - BCOXT[INV DUE DATE]&lt;30, "Less than 30 days",IF(TODAY()-BCOXT[INV DUE DATE]&lt;60,"30-60 days","More than 60 days"))</f>
        <v>30-60 days</v>
      </c>
      <c r="S542" s="31" t="s">
        <v>812</v>
      </c>
      <c r="T542" s="43" t="s">
        <v>2229</v>
      </c>
      <c r="U542" s="4" t="s">
        <v>3699</v>
      </c>
    </row>
    <row r="543" spans="1:21" x14ac:dyDescent="0.3">
      <c r="A543" s="28" t="s">
        <v>2675</v>
      </c>
      <c r="B543" s="4" t="s">
        <v>35</v>
      </c>
      <c r="C543" s="4" t="s">
        <v>130</v>
      </c>
      <c r="D543" s="4">
        <v>5405</v>
      </c>
      <c r="E543" s="30">
        <v>279</v>
      </c>
      <c r="G543" s="4">
        <v>4300021652</v>
      </c>
      <c r="J543" s="28" t="s">
        <v>702</v>
      </c>
      <c r="K543" s="28" t="s">
        <v>3</v>
      </c>
      <c r="L543" s="32">
        <v>43221</v>
      </c>
      <c r="M543" s="32">
        <f>BCOXT[[#This Row],[INV DOC DATE]]+30</f>
        <v>43251</v>
      </c>
      <c r="N543" s="32">
        <v>43250</v>
      </c>
      <c r="O543" s="31">
        <v>279</v>
      </c>
      <c r="P543" s="102">
        <v>43262</v>
      </c>
      <c r="Q543" s="31">
        <f t="shared" si="8"/>
        <v>0</v>
      </c>
      <c r="R543" s="53" t="str">
        <f ca="1">IF(TODAY() - BCOXT[INV DUE DATE]&lt;30, "Less than 30 days",IF(TODAY()-BCOXT[INV DUE DATE]&lt;60,"30-60 days","More than 60 days"))</f>
        <v>30-60 days</v>
      </c>
      <c r="S543" s="31" t="s">
        <v>812</v>
      </c>
      <c r="T543" s="43" t="s">
        <v>2229</v>
      </c>
      <c r="U543" s="4" t="s">
        <v>3699</v>
      </c>
    </row>
    <row r="544" spans="1:21" x14ac:dyDescent="0.3">
      <c r="A544" s="28" t="s">
        <v>2675</v>
      </c>
      <c r="B544" s="4" t="s">
        <v>35</v>
      </c>
      <c r="C544" s="4" t="s">
        <v>131</v>
      </c>
      <c r="D544" s="4">
        <v>5405</v>
      </c>
      <c r="E544" s="30">
        <v>279</v>
      </c>
      <c r="G544" s="4">
        <v>4300021652</v>
      </c>
      <c r="J544" s="28" t="s">
        <v>703</v>
      </c>
      <c r="K544" s="28" t="s">
        <v>3</v>
      </c>
      <c r="L544" s="32">
        <v>43221</v>
      </c>
      <c r="M544" s="32">
        <f>BCOXT[[#This Row],[INV DOC DATE]]+30</f>
        <v>43251</v>
      </c>
      <c r="N544" s="32">
        <v>43250</v>
      </c>
      <c r="O544" s="31">
        <v>279</v>
      </c>
      <c r="P544" s="102">
        <v>43262</v>
      </c>
      <c r="Q544" s="31">
        <f t="shared" si="8"/>
        <v>0</v>
      </c>
      <c r="R544" s="53" t="str">
        <f ca="1">IF(TODAY() - BCOXT[INV DUE DATE]&lt;30, "Less than 30 days",IF(TODAY()-BCOXT[INV DUE DATE]&lt;60,"30-60 days","More than 60 days"))</f>
        <v>30-60 days</v>
      </c>
      <c r="S544" s="31" t="s">
        <v>812</v>
      </c>
      <c r="T544" s="43" t="s">
        <v>2229</v>
      </c>
      <c r="U544" s="4" t="s">
        <v>3699</v>
      </c>
    </row>
    <row r="545" spans="1:21" x14ac:dyDescent="0.3">
      <c r="A545" s="28" t="s">
        <v>2675</v>
      </c>
      <c r="B545" s="4" t="s">
        <v>35</v>
      </c>
      <c r="C545" s="4" t="s">
        <v>132</v>
      </c>
      <c r="D545" s="4">
        <v>5405</v>
      </c>
      <c r="E545" s="30">
        <v>279</v>
      </c>
      <c r="G545" s="4">
        <v>4300021652</v>
      </c>
      <c r="J545" s="28" t="s">
        <v>704</v>
      </c>
      <c r="K545" s="28" t="s">
        <v>3</v>
      </c>
      <c r="L545" s="32">
        <v>43221</v>
      </c>
      <c r="M545" s="32">
        <f>BCOXT[[#This Row],[INV DOC DATE]]+30</f>
        <v>43251</v>
      </c>
      <c r="N545" s="32">
        <v>43250</v>
      </c>
      <c r="O545" s="31">
        <v>279</v>
      </c>
      <c r="P545" s="102">
        <v>43262</v>
      </c>
      <c r="Q545" s="31">
        <f t="shared" si="8"/>
        <v>0</v>
      </c>
      <c r="R545" s="53" t="str">
        <f ca="1">IF(TODAY() - BCOXT[INV DUE DATE]&lt;30, "Less than 30 days",IF(TODAY()-BCOXT[INV DUE DATE]&lt;60,"30-60 days","More than 60 days"))</f>
        <v>30-60 days</v>
      </c>
      <c r="S545" s="31" t="s">
        <v>812</v>
      </c>
      <c r="T545" s="43" t="s">
        <v>2229</v>
      </c>
      <c r="U545" s="4" t="s">
        <v>3699</v>
      </c>
    </row>
    <row r="546" spans="1:21" x14ac:dyDescent="0.3">
      <c r="A546" s="28" t="s">
        <v>2675</v>
      </c>
      <c r="B546" s="4" t="s">
        <v>35</v>
      </c>
      <c r="C546" s="4" t="s">
        <v>133</v>
      </c>
      <c r="D546" s="4">
        <v>5405</v>
      </c>
      <c r="E546" s="30">
        <v>279</v>
      </c>
      <c r="G546" s="4">
        <v>4300021652</v>
      </c>
      <c r="J546" s="28" t="s">
        <v>705</v>
      </c>
      <c r="K546" s="28" t="s">
        <v>3</v>
      </c>
      <c r="L546" s="32">
        <v>43221</v>
      </c>
      <c r="M546" s="32">
        <f>BCOXT[[#This Row],[INV DOC DATE]]+30</f>
        <v>43251</v>
      </c>
      <c r="N546" s="32">
        <v>43250</v>
      </c>
      <c r="O546" s="31">
        <v>279</v>
      </c>
      <c r="P546" s="102">
        <v>43262</v>
      </c>
      <c r="Q546" s="31">
        <f t="shared" si="8"/>
        <v>0</v>
      </c>
      <c r="R546" s="53" t="str">
        <f ca="1">IF(TODAY() - BCOXT[INV DUE DATE]&lt;30, "Less than 30 days",IF(TODAY()-BCOXT[INV DUE DATE]&lt;60,"30-60 days","More than 60 days"))</f>
        <v>30-60 days</v>
      </c>
      <c r="S546" s="31" t="s">
        <v>812</v>
      </c>
      <c r="T546" s="43" t="s">
        <v>2229</v>
      </c>
      <c r="U546" s="4" t="s">
        <v>3699</v>
      </c>
    </row>
    <row r="547" spans="1:21" x14ac:dyDescent="0.3">
      <c r="A547" s="28" t="s">
        <v>2675</v>
      </c>
      <c r="B547" s="4" t="s">
        <v>35</v>
      </c>
      <c r="C547" s="4" t="s">
        <v>134</v>
      </c>
      <c r="D547" s="4">
        <v>5405</v>
      </c>
      <c r="E547" s="30">
        <v>255.75</v>
      </c>
      <c r="G547" s="4">
        <v>4300021652</v>
      </c>
      <c r="J547" s="28" t="s">
        <v>706</v>
      </c>
      <c r="K547" s="28" t="s">
        <v>3</v>
      </c>
      <c r="L547" s="32">
        <v>43221</v>
      </c>
      <c r="M547" s="32">
        <f>BCOXT[[#This Row],[INV DOC DATE]]+30</f>
        <v>43251</v>
      </c>
      <c r="N547" s="32">
        <v>43250</v>
      </c>
      <c r="O547" s="31">
        <v>255.75</v>
      </c>
      <c r="P547" s="102">
        <v>43262</v>
      </c>
      <c r="Q547" s="31">
        <f t="shared" si="8"/>
        <v>0</v>
      </c>
      <c r="R547" s="53" t="str">
        <f ca="1">IF(TODAY() - BCOXT[INV DUE DATE]&lt;30, "Less than 30 days",IF(TODAY()-BCOXT[INV DUE DATE]&lt;60,"30-60 days","More than 60 days"))</f>
        <v>30-60 days</v>
      </c>
      <c r="S547" s="31" t="s">
        <v>812</v>
      </c>
      <c r="T547" s="43" t="s">
        <v>2229</v>
      </c>
      <c r="U547" s="4" t="s">
        <v>3699</v>
      </c>
    </row>
    <row r="548" spans="1:21" x14ac:dyDescent="0.3">
      <c r="A548" s="28" t="s">
        <v>2675</v>
      </c>
      <c r="B548" s="4" t="s">
        <v>35</v>
      </c>
      <c r="C548" s="4" t="s">
        <v>135</v>
      </c>
      <c r="D548" s="4">
        <v>5405</v>
      </c>
      <c r="E548" s="30">
        <v>372</v>
      </c>
      <c r="G548" s="4">
        <v>4300021652</v>
      </c>
      <c r="J548" s="28" t="s">
        <v>707</v>
      </c>
      <c r="K548" s="28" t="s">
        <v>3</v>
      </c>
      <c r="L548" s="32">
        <v>43221</v>
      </c>
      <c r="M548" s="32">
        <f>BCOXT[[#This Row],[INV DOC DATE]]+30</f>
        <v>43251</v>
      </c>
      <c r="N548" s="32">
        <v>43250</v>
      </c>
      <c r="O548" s="31">
        <v>372</v>
      </c>
      <c r="P548" s="102">
        <v>43262</v>
      </c>
      <c r="Q548" s="31">
        <f t="shared" si="8"/>
        <v>0</v>
      </c>
      <c r="R548" s="53" t="str">
        <f ca="1">IF(TODAY() - BCOXT[INV DUE DATE]&lt;30, "Less than 30 days",IF(TODAY()-BCOXT[INV DUE DATE]&lt;60,"30-60 days","More than 60 days"))</f>
        <v>30-60 days</v>
      </c>
      <c r="S548" s="31" t="s">
        <v>812</v>
      </c>
      <c r="T548" s="43" t="s">
        <v>2229</v>
      </c>
      <c r="U548" s="4" t="s">
        <v>3699</v>
      </c>
    </row>
    <row r="549" spans="1:21" x14ac:dyDescent="0.3">
      <c r="A549" s="28" t="s">
        <v>2675</v>
      </c>
      <c r="B549" s="4" t="s">
        <v>35</v>
      </c>
      <c r="C549" s="4" t="s">
        <v>136</v>
      </c>
      <c r="D549" s="4">
        <v>5405</v>
      </c>
      <c r="E549" s="30">
        <v>372</v>
      </c>
      <c r="G549" s="4">
        <v>4300021652</v>
      </c>
      <c r="J549" s="28" t="s">
        <v>708</v>
      </c>
      <c r="K549" s="28" t="s">
        <v>3</v>
      </c>
      <c r="L549" s="32">
        <v>43221</v>
      </c>
      <c r="M549" s="32">
        <f>BCOXT[[#This Row],[INV DOC DATE]]+30</f>
        <v>43251</v>
      </c>
      <c r="N549" s="32">
        <v>43250</v>
      </c>
      <c r="O549" s="31">
        <v>372</v>
      </c>
      <c r="P549" s="102">
        <v>43262</v>
      </c>
      <c r="Q549" s="31">
        <f t="shared" si="8"/>
        <v>0</v>
      </c>
      <c r="R549" s="53" t="str">
        <f ca="1">IF(TODAY() - BCOXT[INV DUE DATE]&lt;30, "Less than 30 days",IF(TODAY()-BCOXT[INV DUE DATE]&lt;60,"30-60 days","More than 60 days"))</f>
        <v>30-60 days</v>
      </c>
      <c r="S549" s="31" t="s">
        <v>812</v>
      </c>
      <c r="T549" s="43" t="s">
        <v>2229</v>
      </c>
      <c r="U549" s="4" t="s">
        <v>3699</v>
      </c>
    </row>
    <row r="550" spans="1:21" x14ac:dyDescent="0.3">
      <c r="A550" s="28" t="s">
        <v>2675</v>
      </c>
      <c r="B550" s="4" t="s">
        <v>35</v>
      </c>
      <c r="C550" s="4" t="s">
        <v>137</v>
      </c>
      <c r="D550" s="4">
        <v>5405</v>
      </c>
      <c r="E550" s="30">
        <v>372</v>
      </c>
      <c r="G550" s="4">
        <v>4300021652</v>
      </c>
      <c r="J550" s="28" t="s">
        <v>709</v>
      </c>
      <c r="K550" s="28" t="s">
        <v>3</v>
      </c>
      <c r="L550" s="32">
        <v>43221</v>
      </c>
      <c r="M550" s="32">
        <f>BCOXT[[#This Row],[INV DOC DATE]]+30</f>
        <v>43251</v>
      </c>
      <c r="N550" s="32">
        <v>43250</v>
      </c>
      <c r="O550" s="31">
        <v>372</v>
      </c>
      <c r="P550" s="102">
        <v>43262</v>
      </c>
      <c r="Q550" s="31">
        <f t="shared" si="8"/>
        <v>0</v>
      </c>
      <c r="R550" s="53" t="str">
        <f ca="1">IF(TODAY() - BCOXT[INV DUE DATE]&lt;30, "Less than 30 days",IF(TODAY()-BCOXT[INV DUE DATE]&lt;60,"30-60 days","More than 60 days"))</f>
        <v>30-60 days</v>
      </c>
      <c r="S550" s="31" t="s">
        <v>812</v>
      </c>
      <c r="T550" s="43" t="s">
        <v>2229</v>
      </c>
      <c r="U550" s="4" t="s">
        <v>3699</v>
      </c>
    </row>
    <row r="551" spans="1:21" x14ac:dyDescent="0.3">
      <c r="A551" s="28" t="s">
        <v>2675</v>
      </c>
      <c r="B551" s="4" t="s">
        <v>35</v>
      </c>
      <c r="C551" s="4" t="s">
        <v>138</v>
      </c>
      <c r="D551" s="4">
        <v>5405</v>
      </c>
      <c r="E551" s="30">
        <v>263.5</v>
      </c>
      <c r="G551" s="4">
        <v>4300021652</v>
      </c>
      <c r="J551" s="28" t="s">
        <v>710</v>
      </c>
      <c r="K551" s="28" t="s">
        <v>3</v>
      </c>
      <c r="L551" s="32">
        <v>43221</v>
      </c>
      <c r="M551" s="32">
        <f>BCOXT[[#This Row],[INV DOC DATE]]+30</f>
        <v>43251</v>
      </c>
      <c r="N551" s="32">
        <v>43250</v>
      </c>
      <c r="O551" s="31">
        <v>263.5</v>
      </c>
      <c r="P551" s="102">
        <v>43262</v>
      </c>
      <c r="Q551" s="31">
        <f t="shared" si="8"/>
        <v>0</v>
      </c>
      <c r="R551" s="53" t="str">
        <f ca="1">IF(TODAY() - BCOXT[INV DUE DATE]&lt;30, "Less than 30 days",IF(TODAY()-BCOXT[INV DUE DATE]&lt;60,"30-60 days","More than 60 days"))</f>
        <v>30-60 days</v>
      </c>
      <c r="S551" s="31" t="s">
        <v>812</v>
      </c>
      <c r="T551" s="43" t="s">
        <v>2229</v>
      </c>
      <c r="U551" s="4" t="s">
        <v>3699</v>
      </c>
    </row>
    <row r="552" spans="1:21" x14ac:dyDescent="0.3">
      <c r="A552" s="28" t="s">
        <v>2675</v>
      </c>
      <c r="B552" s="4" t="s">
        <v>35</v>
      </c>
      <c r="C552" s="4" t="s">
        <v>139</v>
      </c>
      <c r="D552" s="4">
        <v>5405</v>
      </c>
      <c r="E552" s="30">
        <v>263.5</v>
      </c>
      <c r="G552" s="4">
        <v>4300021652</v>
      </c>
      <c r="J552" s="28" t="s">
        <v>711</v>
      </c>
      <c r="K552" s="28" t="s">
        <v>3</v>
      </c>
      <c r="L552" s="32">
        <v>43221</v>
      </c>
      <c r="M552" s="32">
        <f>BCOXT[[#This Row],[INV DOC DATE]]+30</f>
        <v>43251</v>
      </c>
      <c r="N552" s="32">
        <v>43250</v>
      </c>
      <c r="O552" s="31">
        <v>263.5</v>
      </c>
      <c r="P552" s="102">
        <v>43262</v>
      </c>
      <c r="Q552" s="31">
        <f t="shared" si="8"/>
        <v>0</v>
      </c>
      <c r="R552" s="53" t="str">
        <f ca="1">IF(TODAY() - BCOXT[INV DUE DATE]&lt;30, "Less than 30 days",IF(TODAY()-BCOXT[INV DUE DATE]&lt;60,"30-60 days","More than 60 days"))</f>
        <v>30-60 days</v>
      </c>
      <c r="S552" s="31" t="s">
        <v>812</v>
      </c>
      <c r="T552" s="43" t="s">
        <v>2229</v>
      </c>
      <c r="U552" s="4" t="s">
        <v>3699</v>
      </c>
    </row>
    <row r="553" spans="1:21" x14ac:dyDescent="0.3">
      <c r="A553" s="28" t="s">
        <v>2675</v>
      </c>
      <c r="B553" s="4" t="s">
        <v>35</v>
      </c>
      <c r="C553" s="4" t="s">
        <v>140</v>
      </c>
      <c r="D553" s="4">
        <v>5405</v>
      </c>
      <c r="E553" s="30">
        <v>263.5</v>
      </c>
      <c r="G553" s="4">
        <v>4300021652</v>
      </c>
      <c r="J553" s="28" t="s">
        <v>712</v>
      </c>
      <c r="K553" s="28" t="s">
        <v>3</v>
      </c>
      <c r="L553" s="32">
        <v>43221</v>
      </c>
      <c r="M553" s="32">
        <f>BCOXT[[#This Row],[INV DOC DATE]]+30</f>
        <v>43251</v>
      </c>
      <c r="N553" s="32">
        <v>43250</v>
      </c>
      <c r="O553" s="31">
        <v>263.5</v>
      </c>
      <c r="P553" s="102">
        <v>43262</v>
      </c>
      <c r="Q553" s="31">
        <f t="shared" si="8"/>
        <v>0</v>
      </c>
      <c r="R553" s="53" t="str">
        <f ca="1">IF(TODAY() - BCOXT[INV DUE DATE]&lt;30, "Less than 30 days",IF(TODAY()-BCOXT[INV DUE DATE]&lt;60,"30-60 days","More than 60 days"))</f>
        <v>30-60 days</v>
      </c>
      <c r="S553" s="31" t="s">
        <v>812</v>
      </c>
      <c r="T553" s="43" t="s">
        <v>2229</v>
      </c>
      <c r="U553" s="4" t="s">
        <v>3699</v>
      </c>
    </row>
    <row r="554" spans="1:21" x14ac:dyDescent="0.3">
      <c r="A554" s="28" t="s">
        <v>2675</v>
      </c>
      <c r="B554" s="4" t="s">
        <v>35</v>
      </c>
      <c r="C554" s="4" t="s">
        <v>141</v>
      </c>
      <c r="D554" s="4">
        <v>5405</v>
      </c>
      <c r="E554" s="30">
        <v>263.5</v>
      </c>
      <c r="G554" s="4">
        <v>4300021652</v>
      </c>
      <c r="J554" s="28" t="s">
        <v>713</v>
      </c>
      <c r="K554" s="28" t="s">
        <v>3</v>
      </c>
      <c r="L554" s="32">
        <v>43221</v>
      </c>
      <c r="M554" s="32">
        <f>BCOXT[[#This Row],[INV DOC DATE]]+30</f>
        <v>43251</v>
      </c>
      <c r="N554" s="32">
        <v>43250</v>
      </c>
      <c r="O554" s="31">
        <v>263.5</v>
      </c>
      <c r="P554" s="102">
        <v>43262</v>
      </c>
      <c r="Q554" s="31">
        <f t="shared" si="8"/>
        <v>0</v>
      </c>
      <c r="R554" s="53" t="str">
        <f ca="1">IF(TODAY() - BCOXT[INV DUE DATE]&lt;30, "Less than 30 days",IF(TODAY()-BCOXT[INV DUE DATE]&lt;60,"30-60 days","More than 60 days"))</f>
        <v>30-60 days</v>
      </c>
      <c r="S554" s="31" t="s">
        <v>812</v>
      </c>
      <c r="T554" s="43" t="s">
        <v>2229</v>
      </c>
      <c r="U554" s="4" t="s">
        <v>3699</v>
      </c>
    </row>
    <row r="555" spans="1:21" x14ac:dyDescent="0.3">
      <c r="A555" s="28" t="s">
        <v>2675</v>
      </c>
      <c r="B555" s="4" t="s">
        <v>35</v>
      </c>
      <c r="C555" s="4" t="s">
        <v>142</v>
      </c>
      <c r="D555" s="4">
        <v>5405</v>
      </c>
      <c r="E555" s="30">
        <v>263.5</v>
      </c>
      <c r="G555" s="4">
        <v>4300021652</v>
      </c>
      <c r="J555" s="28" t="s">
        <v>714</v>
      </c>
      <c r="K555" s="28" t="s">
        <v>3</v>
      </c>
      <c r="L555" s="32">
        <v>43221</v>
      </c>
      <c r="M555" s="32">
        <f>BCOXT[[#This Row],[INV DOC DATE]]+30</f>
        <v>43251</v>
      </c>
      <c r="N555" s="32">
        <v>43250</v>
      </c>
      <c r="O555" s="31">
        <v>263.5</v>
      </c>
      <c r="P555" s="102">
        <v>43262</v>
      </c>
      <c r="Q555" s="31">
        <f t="shared" si="8"/>
        <v>0</v>
      </c>
      <c r="R555" s="53" t="str">
        <f ca="1">IF(TODAY() - BCOXT[INV DUE DATE]&lt;30, "Less than 30 days",IF(TODAY()-BCOXT[INV DUE DATE]&lt;60,"30-60 days","More than 60 days"))</f>
        <v>30-60 days</v>
      </c>
      <c r="S555" s="31" t="s">
        <v>812</v>
      </c>
      <c r="T555" s="43" t="s">
        <v>2229</v>
      </c>
      <c r="U555" s="4" t="s">
        <v>3699</v>
      </c>
    </row>
    <row r="556" spans="1:21" x14ac:dyDescent="0.3">
      <c r="A556" s="28" t="s">
        <v>2675</v>
      </c>
      <c r="B556" s="4" t="s">
        <v>35</v>
      </c>
      <c r="C556" s="4" t="s">
        <v>143</v>
      </c>
      <c r="D556" s="4">
        <v>5405</v>
      </c>
      <c r="E556" s="30">
        <v>263.5</v>
      </c>
      <c r="G556" s="4">
        <v>4300021652</v>
      </c>
      <c r="J556" s="28" t="s">
        <v>715</v>
      </c>
      <c r="K556" s="28" t="s">
        <v>3</v>
      </c>
      <c r="L556" s="32">
        <v>43221</v>
      </c>
      <c r="M556" s="32">
        <f>BCOXT[[#This Row],[INV DOC DATE]]+30</f>
        <v>43251</v>
      </c>
      <c r="N556" s="32">
        <v>43250</v>
      </c>
      <c r="O556" s="31">
        <v>263.5</v>
      </c>
      <c r="P556" s="102">
        <v>43262</v>
      </c>
      <c r="Q556" s="31">
        <f t="shared" si="8"/>
        <v>0</v>
      </c>
      <c r="R556" s="53" t="str">
        <f ca="1">IF(TODAY() - BCOXT[INV DUE DATE]&lt;30, "Less than 30 days",IF(TODAY()-BCOXT[INV DUE DATE]&lt;60,"30-60 days","More than 60 days"))</f>
        <v>30-60 days</v>
      </c>
      <c r="S556" s="31" t="s">
        <v>812</v>
      </c>
      <c r="T556" s="43" t="s">
        <v>2229</v>
      </c>
      <c r="U556" s="4" t="s">
        <v>3699</v>
      </c>
    </row>
    <row r="557" spans="1:21" x14ac:dyDescent="0.3">
      <c r="A557" s="28" t="s">
        <v>2675</v>
      </c>
      <c r="B557" s="4" t="s">
        <v>35</v>
      </c>
      <c r="C557" s="4" t="s">
        <v>144</v>
      </c>
      <c r="D557" s="4">
        <v>5405</v>
      </c>
      <c r="E557" s="30">
        <v>263.5</v>
      </c>
      <c r="G557" s="4">
        <v>4300021652</v>
      </c>
      <c r="J557" s="28" t="s">
        <v>716</v>
      </c>
      <c r="K557" s="28" t="s">
        <v>3</v>
      </c>
      <c r="L557" s="32">
        <v>43221</v>
      </c>
      <c r="M557" s="32">
        <f>BCOXT[[#This Row],[INV DOC DATE]]+30</f>
        <v>43251</v>
      </c>
      <c r="N557" s="32">
        <v>43250</v>
      </c>
      <c r="O557" s="31">
        <v>263.5</v>
      </c>
      <c r="P557" s="102">
        <v>43262</v>
      </c>
      <c r="Q557" s="31">
        <f t="shared" si="8"/>
        <v>0</v>
      </c>
      <c r="R557" s="53" t="str">
        <f ca="1">IF(TODAY() - BCOXT[INV DUE DATE]&lt;30, "Less than 30 days",IF(TODAY()-BCOXT[INV DUE DATE]&lt;60,"30-60 days","More than 60 days"))</f>
        <v>30-60 days</v>
      </c>
      <c r="S557" s="31" t="s">
        <v>812</v>
      </c>
      <c r="T557" s="43" t="s">
        <v>2229</v>
      </c>
      <c r="U557" s="4" t="s">
        <v>3699</v>
      </c>
    </row>
    <row r="558" spans="1:21" x14ac:dyDescent="0.3">
      <c r="A558" s="28" t="s">
        <v>2675</v>
      </c>
      <c r="B558" s="4" t="s">
        <v>35</v>
      </c>
      <c r="C558" s="4" t="s">
        <v>145</v>
      </c>
      <c r="D558" s="4">
        <v>5405</v>
      </c>
      <c r="E558" s="30">
        <v>263.5</v>
      </c>
      <c r="G558" s="4">
        <v>4300021652</v>
      </c>
      <c r="J558" s="28" t="s">
        <v>717</v>
      </c>
      <c r="K558" s="28" t="s">
        <v>3</v>
      </c>
      <c r="L558" s="32">
        <v>43221</v>
      </c>
      <c r="M558" s="32">
        <f>BCOXT[[#This Row],[INV DOC DATE]]+30</f>
        <v>43251</v>
      </c>
      <c r="N558" s="32">
        <v>43250</v>
      </c>
      <c r="O558" s="31">
        <v>263.5</v>
      </c>
      <c r="P558" s="102">
        <v>43262</v>
      </c>
      <c r="Q558" s="31">
        <f t="shared" si="8"/>
        <v>0</v>
      </c>
      <c r="R558" s="53" t="str">
        <f ca="1">IF(TODAY() - BCOXT[INV DUE DATE]&lt;30, "Less than 30 days",IF(TODAY()-BCOXT[INV DUE DATE]&lt;60,"30-60 days","More than 60 days"))</f>
        <v>30-60 days</v>
      </c>
      <c r="S558" s="31" t="s">
        <v>812</v>
      </c>
      <c r="T558" s="43" t="s">
        <v>2229</v>
      </c>
      <c r="U558" s="4" t="s">
        <v>3699</v>
      </c>
    </row>
    <row r="559" spans="1:21" x14ac:dyDescent="0.3">
      <c r="A559" s="28" t="s">
        <v>2675</v>
      </c>
      <c r="B559" s="4" t="s">
        <v>35</v>
      </c>
      <c r="C559" s="4" t="s">
        <v>146</v>
      </c>
      <c r="D559" s="4">
        <v>5405</v>
      </c>
      <c r="E559" s="30">
        <v>263.5</v>
      </c>
      <c r="G559" s="4">
        <v>4300021652</v>
      </c>
      <c r="J559" s="28" t="s">
        <v>718</v>
      </c>
      <c r="K559" s="28" t="s">
        <v>3</v>
      </c>
      <c r="L559" s="32">
        <v>43221</v>
      </c>
      <c r="M559" s="32">
        <f>BCOXT[[#This Row],[INV DOC DATE]]+30</f>
        <v>43251</v>
      </c>
      <c r="N559" s="32">
        <v>43250</v>
      </c>
      <c r="O559" s="31">
        <v>263.5</v>
      </c>
      <c r="P559" s="102">
        <v>43262</v>
      </c>
      <c r="Q559" s="31">
        <f t="shared" si="8"/>
        <v>0</v>
      </c>
      <c r="R559" s="53" t="str">
        <f ca="1">IF(TODAY() - BCOXT[INV DUE DATE]&lt;30, "Less than 30 days",IF(TODAY()-BCOXT[INV DUE DATE]&lt;60,"30-60 days","More than 60 days"))</f>
        <v>30-60 days</v>
      </c>
      <c r="S559" s="31" t="s">
        <v>812</v>
      </c>
      <c r="T559" s="43" t="s">
        <v>2229</v>
      </c>
      <c r="U559" s="4" t="s">
        <v>3699</v>
      </c>
    </row>
    <row r="560" spans="1:21" x14ac:dyDescent="0.3">
      <c r="A560" s="28" t="s">
        <v>2675</v>
      </c>
      <c r="B560" s="4" t="s">
        <v>35</v>
      </c>
      <c r="C560" s="4" t="s">
        <v>147</v>
      </c>
      <c r="D560" s="4">
        <v>5405</v>
      </c>
      <c r="E560" s="30">
        <v>263.5</v>
      </c>
      <c r="G560" s="4">
        <v>4300021652</v>
      </c>
      <c r="J560" s="28" t="s">
        <v>719</v>
      </c>
      <c r="K560" s="28" t="s">
        <v>3</v>
      </c>
      <c r="L560" s="32">
        <v>43221</v>
      </c>
      <c r="M560" s="32">
        <f>BCOXT[[#This Row],[INV DOC DATE]]+30</f>
        <v>43251</v>
      </c>
      <c r="N560" s="32">
        <v>43250</v>
      </c>
      <c r="O560" s="31">
        <v>263.5</v>
      </c>
      <c r="P560" s="102">
        <v>43262</v>
      </c>
      <c r="Q560" s="31">
        <f t="shared" si="8"/>
        <v>0</v>
      </c>
      <c r="R560" s="53" t="str">
        <f ca="1">IF(TODAY() - BCOXT[INV DUE DATE]&lt;30, "Less than 30 days",IF(TODAY()-BCOXT[INV DUE DATE]&lt;60,"30-60 days","More than 60 days"))</f>
        <v>30-60 days</v>
      </c>
      <c r="S560" s="31" t="s">
        <v>812</v>
      </c>
      <c r="T560" s="43" t="s">
        <v>2229</v>
      </c>
      <c r="U560" s="4" t="s">
        <v>3699</v>
      </c>
    </row>
    <row r="561" spans="1:21" x14ac:dyDescent="0.3">
      <c r="A561" s="28" t="s">
        <v>2675</v>
      </c>
      <c r="B561" s="4" t="s">
        <v>35</v>
      </c>
      <c r="C561" s="4" t="s">
        <v>148</v>
      </c>
      <c r="D561" s="4">
        <v>5405</v>
      </c>
      <c r="E561" s="30">
        <v>279</v>
      </c>
      <c r="G561" s="4">
        <v>4300021652</v>
      </c>
      <c r="J561" s="28" t="s">
        <v>720</v>
      </c>
      <c r="K561" s="28" t="s">
        <v>3</v>
      </c>
      <c r="L561" s="32">
        <v>43221</v>
      </c>
      <c r="M561" s="32">
        <f>BCOXT[[#This Row],[INV DOC DATE]]+30</f>
        <v>43251</v>
      </c>
      <c r="N561" s="32">
        <v>43250</v>
      </c>
      <c r="O561" s="31">
        <v>279</v>
      </c>
      <c r="P561" s="102">
        <v>43262</v>
      </c>
      <c r="Q561" s="31">
        <f t="shared" si="8"/>
        <v>0</v>
      </c>
      <c r="R561" s="53" t="str">
        <f ca="1">IF(TODAY() - BCOXT[INV DUE DATE]&lt;30, "Less than 30 days",IF(TODAY()-BCOXT[INV DUE DATE]&lt;60,"30-60 days","More than 60 days"))</f>
        <v>30-60 days</v>
      </c>
      <c r="S561" s="31" t="s">
        <v>812</v>
      </c>
      <c r="T561" s="43" t="s">
        <v>2229</v>
      </c>
      <c r="U561" s="4" t="s">
        <v>3699</v>
      </c>
    </row>
    <row r="562" spans="1:21" x14ac:dyDescent="0.3">
      <c r="A562" s="28" t="s">
        <v>2675</v>
      </c>
      <c r="B562" s="4" t="s">
        <v>35</v>
      </c>
      <c r="C562" s="4" t="s">
        <v>149</v>
      </c>
      <c r="D562" s="4">
        <v>5405</v>
      </c>
      <c r="E562" s="30">
        <v>263.5</v>
      </c>
      <c r="G562" s="4">
        <v>4300021652</v>
      </c>
      <c r="J562" s="28" t="s">
        <v>721</v>
      </c>
      <c r="K562" s="28" t="s">
        <v>3</v>
      </c>
      <c r="L562" s="32">
        <v>43221</v>
      </c>
      <c r="M562" s="32">
        <f>BCOXT[[#This Row],[INV DOC DATE]]+30</f>
        <v>43251</v>
      </c>
      <c r="N562" s="32">
        <v>43250</v>
      </c>
      <c r="O562" s="31">
        <v>263.5</v>
      </c>
      <c r="P562" s="102">
        <v>43262</v>
      </c>
      <c r="Q562" s="31">
        <f t="shared" si="8"/>
        <v>0</v>
      </c>
      <c r="R562" s="53" t="str">
        <f ca="1">IF(TODAY() - BCOXT[INV DUE DATE]&lt;30, "Less than 30 days",IF(TODAY()-BCOXT[INV DUE DATE]&lt;60,"30-60 days","More than 60 days"))</f>
        <v>30-60 days</v>
      </c>
      <c r="S562" s="31" t="s">
        <v>812</v>
      </c>
      <c r="T562" s="43" t="s">
        <v>2229</v>
      </c>
      <c r="U562" s="4" t="s">
        <v>3699</v>
      </c>
    </row>
    <row r="563" spans="1:21" x14ac:dyDescent="0.3">
      <c r="A563" s="28" t="s">
        <v>2675</v>
      </c>
      <c r="B563" s="4" t="s">
        <v>35</v>
      </c>
      <c r="C563" s="4" t="s">
        <v>150</v>
      </c>
      <c r="D563" s="4">
        <v>5405</v>
      </c>
      <c r="E563" s="30">
        <v>263.5</v>
      </c>
      <c r="G563" s="4">
        <v>4300021652</v>
      </c>
      <c r="J563" s="28" t="s">
        <v>722</v>
      </c>
      <c r="K563" s="28" t="s">
        <v>3</v>
      </c>
      <c r="L563" s="32">
        <v>43221</v>
      </c>
      <c r="M563" s="32">
        <f>BCOXT[[#This Row],[INV DOC DATE]]+30</f>
        <v>43251</v>
      </c>
      <c r="N563" s="32">
        <v>43250</v>
      </c>
      <c r="O563" s="31">
        <v>263.5</v>
      </c>
      <c r="P563" s="102">
        <v>43262</v>
      </c>
      <c r="Q563" s="31">
        <f t="shared" si="8"/>
        <v>0</v>
      </c>
      <c r="R563" s="53" t="str">
        <f ca="1">IF(TODAY() - BCOXT[INV DUE DATE]&lt;30, "Less than 30 days",IF(TODAY()-BCOXT[INV DUE DATE]&lt;60,"30-60 days","More than 60 days"))</f>
        <v>30-60 days</v>
      </c>
      <c r="S563" s="31" t="s">
        <v>812</v>
      </c>
      <c r="T563" s="43" t="s">
        <v>2229</v>
      </c>
      <c r="U563" s="4" t="s">
        <v>3699</v>
      </c>
    </row>
    <row r="564" spans="1:21" x14ac:dyDescent="0.3">
      <c r="A564" s="28" t="s">
        <v>2675</v>
      </c>
      <c r="B564" s="4" t="s">
        <v>35</v>
      </c>
      <c r="C564" s="4" t="s">
        <v>151</v>
      </c>
      <c r="D564" s="4">
        <v>5405</v>
      </c>
      <c r="E564" s="30">
        <v>263.5</v>
      </c>
      <c r="G564" s="4">
        <v>4300021652</v>
      </c>
      <c r="J564" s="28" t="s">
        <v>723</v>
      </c>
      <c r="K564" s="28" t="s">
        <v>3</v>
      </c>
      <c r="L564" s="32">
        <v>43221</v>
      </c>
      <c r="M564" s="32">
        <f>BCOXT[[#This Row],[INV DOC DATE]]+30</f>
        <v>43251</v>
      </c>
      <c r="N564" s="32">
        <v>43250</v>
      </c>
      <c r="O564" s="31">
        <v>263.5</v>
      </c>
      <c r="P564" s="102">
        <v>43262</v>
      </c>
      <c r="Q564" s="31">
        <f t="shared" si="8"/>
        <v>0</v>
      </c>
      <c r="R564" s="53" t="str">
        <f ca="1">IF(TODAY() - BCOXT[INV DUE DATE]&lt;30, "Less than 30 days",IF(TODAY()-BCOXT[INV DUE DATE]&lt;60,"30-60 days","More than 60 days"))</f>
        <v>30-60 days</v>
      </c>
      <c r="S564" s="31" t="s">
        <v>812</v>
      </c>
      <c r="T564" s="43" t="s">
        <v>2229</v>
      </c>
      <c r="U564" s="4" t="s">
        <v>3699</v>
      </c>
    </row>
    <row r="565" spans="1:21" x14ac:dyDescent="0.3">
      <c r="A565" s="28" t="s">
        <v>2675</v>
      </c>
      <c r="B565" s="4" t="s">
        <v>35</v>
      </c>
      <c r="C565" s="4" t="s">
        <v>152</v>
      </c>
      <c r="D565" s="4">
        <v>5405</v>
      </c>
      <c r="E565" s="30">
        <v>263.5</v>
      </c>
      <c r="G565" s="4">
        <v>4300021652</v>
      </c>
      <c r="J565" s="28" t="s">
        <v>724</v>
      </c>
      <c r="K565" s="28" t="s">
        <v>3</v>
      </c>
      <c r="L565" s="32">
        <v>43221</v>
      </c>
      <c r="M565" s="32">
        <f>BCOXT[[#This Row],[INV DOC DATE]]+30</f>
        <v>43251</v>
      </c>
      <c r="N565" s="32">
        <v>43250</v>
      </c>
      <c r="O565" s="31">
        <v>263.5</v>
      </c>
      <c r="P565" s="102">
        <v>43262</v>
      </c>
      <c r="Q565" s="31">
        <f t="shared" si="8"/>
        <v>0</v>
      </c>
      <c r="R565" s="53" t="str">
        <f ca="1">IF(TODAY() - BCOXT[INV DUE DATE]&lt;30, "Less than 30 days",IF(TODAY()-BCOXT[INV DUE DATE]&lt;60,"30-60 days","More than 60 days"))</f>
        <v>30-60 days</v>
      </c>
      <c r="S565" s="31" t="s">
        <v>812</v>
      </c>
      <c r="T565" s="43" t="s">
        <v>2229</v>
      </c>
      <c r="U565" s="4" t="s">
        <v>3699</v>
      </c>
    </row>
    <row r="566" spans="1:21" x14ac:dyDescent="0.3">
      <c r="A566" s="28" t="s">
        <v>2675</v>
      </c>
      <c r="B566" s="4" t="s">
        <v>35</v>
      </c>
      <c r="C566" s="4" t="s">
        <v>296</v>
      </c>
      <c r="D566" s="4">
        <v>5405</v>
      </c>
      <c r="E566" s="30">
        <v>263.5</v>
      </c>
      <c r="G566" s="4">
        <v>4300021652</v>
      </c>
      <c r="J566" s="28" t="s">
        <v>725</v>
      </c>
      <c r="K566" s="28" t="s">
        <v>3</v>
      </c>
      <c r="L566" s="32">
        <v>43221</v>
      </c>
      <c r="M566" s="32">
        <f>BCOXT[[#This Row],[INV DOC DATE]]+30</f>
        <v>43251</v>
      </c>
      <c r="N566" s="32">
        <v>43250</v>
      </c>
      <c r="O566" s="31">
        <v>263.5</v>
      </c>
      <c r="P566" s="102">
        <v>43262</v>
      </c>
      <c r="Q566" s="31">
        <f t="shared" si="8"/>
        <v>0</v>
      </c>
      <c r="R566" s="53" t="str">
        <f ca="1">IF(TODAY() - BCOXT[INV DUE DATE]&lt;30, "Less than 30 days",IF(TODAY()-BCOXT[INV DUE DATE]&lt;60,"30-60 days","More than 60 days"))</f>
        <v>30-60 days</v>
      </c>
      <c r="S566" s="31" t="s">
        <v>812</v>
      </c>
      <c r="T566" s="43" t="s">
        <v>2229</v>
      </c>
      <c r="U566" s="4" t="s">
        <v>3699</v>
      </c>
    </row>
    <row r="567" spans="1:21" x14ac:dyDescent="0.3">
      <c r="A567" s="28" t="s">
        <v>2675</v>
      </c>
      <c r="B567" s="4" t="s">
        <v>35</v>
      </c>
      <c r="C567" s="4" t="s">
        <v>297</v>
      </c>
      <c r="D567" s="4">
        <v>5405</v>
      </c>
      <c r="E567" s="30">
        <v>263.5</v>
      </c>
      <c r="G567" s="4">
        <v>4300021652</v>
      </c>
      <c r="J567" s="28" t="s">
        <v>726</v>
      </c>
      <c r="K567" s="28" t="s">
        <v>3</v>
      </c>
      <c r="L567" s="32">
        <v>43221</v>
      </c>
      <c r="M567" s="32">
        <f>BCOXT[[#This Row],[INV DOC DATE]]+30</f>
        <v>43251</v>
      </c>
      <c r="N567" s="32">
        <v>43250</v>
      </c>
      <c r="O567" s="31">
        <v>263.5</v>
      </c>
      <c r="P567" s="102">
        <v>43262</v>
      </c>
      <c r="Q567" s="31">
        <f t="shared" si="8"/>
        <v>0</v>
      </c>
      <c r="R567" s="53" t="str">
        <f ca="1">IF(TODAY() - BCOXT[INV DUE DATE]&lt;30, "Less than 30 days",IF(TODAY()-BCOXT[INV DUE DATE]&lt;60,"30-60 days","More than 60 days"))</f>
        <v>30-60 days</v>
      </c>
      <c r="S567" s="31" t="s">
        <v>812</v>
      </c>
      <c r="T567" s="43" t="s">
        <v>2229</v>
      </c>
      <c r="U567" s="4" t="s">
        <v>3699</v>
      </c>
    </row>
    <row r="568" spans="1:21" x14ac:dyDescent="0.3">
      <c r="A568" s="28" t="s">
        <v>2675</v>
      </c>
      <c r="B568" s="4" t="s">
        <v>35</v>
      </c>
      <c r="C568" s="4" t="s">
        <v>298</v>
      </c>
      <c r="D568" s="4">
        <v>5405</v>
      </c>
      <c r="E568" s="30">
        <v>372</v>
      </c>
      <c r="G568" s="4">
        <v>4300021652</v>
      </c>
      <c r="J568" s="28" t="s">
        <v>727</v>
      </c>
      <c r="K568" s="28" t="s">
        <v>3</v>
      </c>
      <c r="L568" s="32">
        <v>43221</v>
      </c>
      <c r="M568" s="32">
        <f>BCOXT[[#This Row],[INV DOC DATE]]+30</f>
        <v>43251</v>
      </c>
      <c r="N568" s="32">
        <v>43250</v>
      </c>
      <c r="O568" s="31">
        <v>372</v>
      </c>
      <c r="P568" s="102">
        <v>43262</v>
      </c>
      <c r="Q568" s="31">
        <f t="shared" si="8"/>
        <v>0</v>
      </c>
      <c r="R568" s="53" t="str">
        <f ca="1">IF(TODAY() - BCOXT[INV DUE DATE]&lt;30, "Less than 30 days",IF(TODAY()-BCOXT[INV DUE DATE]&lt;60,"30-60 days","More than 60 days"))</f>
        <v>30-60 days</v>
      </c>
      <c r="S568" s="31" t="s">
        <v>812</v>
      </c>
      <c r="T568" s="43" t="s">
        <v>2229</v>
      </c>
      <c r="U568" s="4" t="s">
        <v>3699</v>
      </c>
    </row>
    <row r="569" spans="1:21" x14ac:dyDescent="0.3">
      <c r="A569" s="28" t="s">
        <v>2675</v>
      </c>
      <c r="B569" s="4" t="s">
        <v>35</v>
      </c>
      <c r="C569" s="4" t="s">
        <v>299</v>
      </c>
      <c r="D569" s="4">
        <v>5405</v>
      </c>
      <c r="E569" s="30">
        <v>372</v>
      </c>
      <c r="G569" s="4">
        <v>4300021652</v>
      </c>
      <c r="J569" s="28" t="s">
        <v>728</v>
      </c>
      <c r="K569" s="28" t="s">
        <v>3</v>
      </c>
      <c r="L569" s="32">
        <v>43221</v>
      </c>
      <c r="M569" s="32">
        <f>BCOXT[[#This Row],[INV DOC DATE]]+30</f>
        <v>43251</v>
      </c>
      <c r="N569" s="32">
        <v>43250</v>
      </c>
      <c r="O569" s="31">
        <v>372</v>
      </c>
      <c r="P569" s="102">
        <v>43262</v>
      </c>
      <c r="Q569" s="31">
        <f t="shared" si="8"/>
        <v>0</v>
      </c>
      <c r="R569" s="53" t="str">
        <f ca="1">IF(TODAY() - BCOXT[INV DUE DATE]&lt;30, "Less than 30 days",IF(TODAY()-BCOXT[INV DUE DATE]&lt;60,"30-60 days","More than 60 days"))</f>
        <v>30-60 days</v>
      </c>
      <c r="S569" s="31" t="s">
        <v>812</v>
      </c>
      <c r="T569" s="43" t="s">
        <v>2229</v>
      </c>
      <c r="U569" s="4" t="s">
        <v>3699</v>
      </c>
    </row>
    <row r="570" spans="1:21" x14ac:dyDescent="0.3">
      <c r="A570" s="28" t="s">
        <v>2675</v>
      </c>
      <c r="B570" s="4" t="s">
        <v>35</v>
      </c>
      <c r="C570" s="4" t="s">
        <v>300</v>
      </c>
      <c r="D570" s="4">
        <v>5405</v>
      </c>
      <c r="E570" s="30">
        <v>372</v>
      </c>
      <c r="G570" s="4">
        <v>4300021652</v>
      </c>
      <c r="J570" s="28" t="s">
        <v>729</v>
      </c>
      <c r="K570" s="28" t="s">
        <v>3</v>
      </c>
      <c r="L570" s="32">
        <v>43221</v>
      </c>
      <c r="M570" s="32">
        <f>BCOXT[[#This Row],[INV DOC DATE]]+30</f>
        <v>43251</v>
      </c>
      <c r="N570" s="32">
        <v>43250</v>
      </c>
      <c r="O570" s="31">
        <v>372</v>
      </c>
      <c r="P570" s="102">
        <v>43262</v>
      </c>
      <c r="Q570" s="31">
        <f t="shared" si="8"/>
        <v>0</v>
      </c>
      <c r="R570" s="53" t="str">
        <f ca="1">IF(TODAY() - BCOXT[INV DUE DATE]&lt;30, "Less than 30 days",IF(TODAY()-BCOXT[INV DUE DATE]&lt;60,"30-60 days","More than 60 days"))</f>
        <v>30-60 days</v>
      </c>
      <c r="S570" s="31" t="s">
        <v>812</v>
      </c>
      <c r="T570" s="43" t="s">
        <v>2229</v>
      </c>
      <c r="U570" s="4" t="s">
        <v>3699</v>
      </c>
    </row>
    <row r="571" spans="1:21" x14ac:dyDescent="0.3">
      <c r="A571" s="28" t="s">
        <v>2675</v>
      </c>
      <c r="B571" s="4" t="s">
        <v>35</v>
      </c>
      <c r="C571" s="4" t="s">
        <v>301</v>
      </c>
      <c r="D571" s="4">
        <v>5405</v>
      </c>
      <c r="E571" s="30">
        <v>255.75</v>
      </c>
      <c r="G571" s="4">
        <v>4300021652</v>
      </c>
      <c r="J571" s="28" t="s">
        <v>730</v>
      </c>
      <c r="K571" s="28" t="s">
        <v>3</v>
      </c>
      <c r="L571" s="32">
        <v>43221</v>
      </c>
      <c r="M571" s="32">
        <f>BCOXT[[#This Row],[INV DOC DATE]]+30</f>
        <v>43251</v>
      </c>
      <c r="N571" s="32">
        <v>43250</v>
      </c>
      <c r="O571" s="31">
        <v>255.75</v>
      </c>
      <c r="P571" s="102">
        <v>43262</v>
      </c>
      <c r="Q571" s="31">
        <f t="shared" si="8"/>
        <v>0</v>
      </c>
      <c r="R571" s="53" t="str">
        <f ca="1">IF(TODAY() - BCOXT[INV DUE DATE]&lt;30, "Less than 30 days",IF(TODAY()-BCOXT[INV DUE DATE]&lt;60,"30-60 days","More than 60 days"))</f>
        <v>30-60 days</v>
      </c>
      <c r="S571" s="31" t="s">
        <v>812</v>
      </c>
      <c r="T571" s="43" t="s">
        <v>2229</v>
      </c>
      <c r="U571" s="4" t="s">
        <v>3699</v>
      </c>
    </row>
    <row r="572" spans="1:21" x14ac:dyDescent="0.3">
      <c r="A572" s="28" t="s">
        <v>2675</v>
      </c>
      <c r="B572" s="4" t="s">
        <v>35</v>
      </c>
      <c r="C572" s="4" t="s">
        <v>302</v>
      </c>
      <c r="D572" s="4">
        <v>5405</v>
      </c>
      <c r="E572" s="30">
        <v>255.75</v>
      </c>
      <c r="G572" s="4">
        <v>4300021652</v>
      </c>
      <c r="J572" s="28" t="s">
        <v>731</v>
      </c>
      <c r="K572" s="28" t="s">
        <v>3</v>
      </c>
      <c r="L572" s="32">
        <v>43221</v>
      </c>
      <c r="M572" s="32">
        <f>BCOXT[[#This Row],[INV DOC DATE]]+30</f>
        <v>43251</v>
      </c>
      <c r="N572" s="32">
        <v>43250</v>
      </c>
      <c r="O572" s="31">
        <v>255.75</v>
      </c>
      <c r="P572" s="102">
        <v>43262</v>
      </c>
      <c r="Q572" s="31">
        <f t="shared" si="8"/>
        <v>0</v>
      </c>
      <c r="R572" s="53" t="str">
        <f ca="1">IF(TODAY() - BCOXT[INV DUE DATE]&lt;30, "Less than 30 days",IF(TODAY()-BCOXT[INV DUE DATE]&lt;60,"30-60 days","More than 60 days"))</f>
        <v>30-60 days</v>
      </c>
      <c r="S572" s="31" t="s">
        <v>812</v>
      </c>
      <c r="T572" s="43" t="s">
        <v>2229</v>
      </c>
      <c r="U572" s="4" t="s">
        <v>3699</v>
      </c>
    </row>
    <row r="573" spans="1:21" x14ac:dyDescent="0.3">
      <c r="A573" s="28" t="s">
        <v>2675</v>
      </c>
      <c r="B573" s="4" t="s">
        <v>35</v>
      </c>
      <c r="C573" s="4" t="s">
        <v>303</v>
      </c>
      <c r="D573" s="4">
        <v>5405</v>
      </c>
      <c r="E573" s="30">
        <v>255.75</v>
      </c>
      <c r="G573" s="4">
        <v>4300021652</v>
      </c>
      <c r="J573" s="28" t="s">
        <v>732</v>
      </c>
      <c r="K573" s="28" t="s">
        <v>3</v>
      </c>
      <c r="L573" s="32">
        <v>43221</v>
      </c>
      <c r="M573" s="32">
        <f>BCOXT[[#This Row],[INV DOC DATE]]+30</f>
        <v>43251</v>
      </c>
      <c r="N573" s="32">
        <v>43250</v>
      </c>
      <c r="O573" s="31">
        <v>255.75</v>
      </c>
      <c r="P573" s="102">
        <v>43262</v>
      </c>
      <c r="Q573" s="31">
        <f t="shared" si="8"/>
        <v>0</v>
      </c>
      <c r="R573" s="53" t="str">
        <f ca="1">IF(TODAY() - BCOXT[INV DUE DATE]&lt;30, "Less than 30 days",IF(TODAY()-BCOXT[INV DUE DATE]&lt;60,"30-60 days","More than 60 days"))</f>
        <v>30-60 days</v>
      </c>
      <c r="S573" s="31" t="s">
        <v>812</v>
      </c>
      <c r="T573" s="43" t="s">
        <v>2229</v>
      </c>
      <c r="U573" s="4" t="s">
        <v>3699</v>
      </c>
    </row>
    <row r="574" spans="1:21" x14ac:dyDescent="0.3">
      <c r="A574" s="28" t="s">
        <v>2675</v>
      </c>
      <c r="B574" s="4" t="s">
        <v>35</v>
      </c>
      <c r="C574" s="4" t="s">
        <v>304</v>
      </c>
      <c r="D574" s="4">
        <v>5405</v>
      </c>
      <c r="E574" s="30">
        <v>255.75</v>
      </c>
      <c r="G574" s="4">
        <v>4300021652</v>
      </c>
      <c r="J574" s="28" t="s">
        <v>733</v>
      </c>
      <c r="K574" s="28" t="s">
        <v>3</v>
      </c>
      <c r="L574" s="32">
        <v>43221</v>
      </c>
      <c r="M574" s="32">
        <f>BCOXT[[#This Row],[INV DOC DATE]]+30</f>
        <v>43251</v>
      </c>
      <c r="N574" s="32">
        <v>43250</v>
      </c>
      <c r="O574" s="31">
        <v>255.75</v>
      </c>
      <c r="P574" s="102">
        <v>43262</v>
      </c>
      <c r="Q574" s="31">
        <f t="shared" si="8"/>
        <v>0</v>
      </c>
      <c r="R574" s="53" t="str">
        <f ca="1">IF(TODAY() - BCOXT[INV DUE DATE]&lt;30, "Less than 30 days",IF(TODAY()-BCOXT[INV DUE DATE]&lt;60,"30-60 days","More than 60 days"))</f>
        <v>30-60 days</v>
      </c>
      <c r="S574" s="31" t="s">
        <v>812</v>
      </c>
      <c r="T574" s="43" t="s">
        <v>2229</v>
      </c>
      <c r="U574" s="4" t="s">
        <v>3699</v>
      </c>
    </row>
    <row r="575" spans="1:21" x14ac:dyDescent="0.3">
      <c r="A575" s="28" t="s">
        <v>2675</v>
      </c>
      <c r="B575" s="4" t="s">
        <v>35</v>
      </c>
      <c r="C575" s="4" t="s">
        <v>305</v>
      </c>
      <c r="D575" s="4">
        <v>5405</v>
      </c>
      <c r="E575" s="30">
        <v>255.75</v>
      </c>
      <c r="G575" s="4">
        <v>4300021652</v>
      </c>
      <c r="J575" s="28" t="s">
        <v>734</v>
      </c>
      <c r="K575" s="28" t="s">
        <v>3</v>
      </c>
      <c r="L575" s="32">
        <v>43221</v>
      </c>
      <c r="M575" s="32">
        <f>BCOXT[[#This Row],[INV DOC DATE]]+30</f>
        <v>43251</v>
      </c>
      <c r="N575" s="32">
        <v>43250</v>
      </c>
      <c r="O575" s="31">
        <v>255.75</v>
      </c>
      <c r="P575" s="102">
        <v>43262</v>
      </c>
      <c r="Q575" s="31">
        <f t="shared" si="8"/>
        <v>0</v>
      </c>
      <c r="R575" s="53" t="str">
        <f ca="1">IF(TODAY() - BCOXT[INV DUE DATE]&lt;30, "Less than 30 days",IF(TODAY()-BCOXT[INV DUE DATE]&lt;60,"30-60 days","More than 60 days"))</f>
        <v>30-60 days</v>
      </c>
      <c r="S575" s="31" t="s">
        <v>812</v>
      </c>
      <c r="T575" s="43" t="s">
        <v>2229</v>
      </c>
      <c r="U575" s="4" t="s">
        <v>3699</v>
      </c>
    </row>
    <row r="576" spans="1:21" x14ac:dyDescent="0.3">
      <c r="A576" s="28" t="s">
        <v>2675</v>
      </c>
      <c r="B576" s="4" t="s">
        <v>35</v>
      </c>
      <c r="C576" s="4" t="s">
        <v>306</v>
      </c>
      <c r="D576" s="4">
        <v>5405</v>
      </c>
      <c r="E576" s="30">
        <v>240.25</v>
      </c>
      <c r="G576" s="4">
        <v>4300021652</v>
      </c>
      <c r="J576" s="28" t="s">
        <v>735</v>
      </c>
      <c r="K576" s="28" t="s">
        <v>3</v>
      </c>
      <c r="L576" s="32">
        <v>43221</v>
      </c>
      <c r="M576" s="32">
        <f>BCOXT[[#This Row],[INV DOC DATE]]+30</f>
        <v>43251</v>
      </c>
      <c r="N576" s="32">
        <v>43250</v>
      </c>
      <c r="O576" s="31">
        <v>240.25</v>
      </c>
      <c r="P576" s="102">
        <v>43262</v>
      </c>
      <c r="Q576" s="31">
        <f t="shared" si="8"/>
        <v>0</v>
      </c>
      <c r="R576" s="53" t="str">
        <f ca="1">IF(TODAY() - BCOXT[INV DUE DATE]&lt;30, "Less than 30 days",IF(TODAY()-BCOXT[INV DUE DATE]&lt;60,"30-60 days","More than 60 days"))</f>
        <v>30-60 days</v>
      </c>
      <c r="S576" s="31" t="s">
        <v>812</v>
      </c>
      <c r="T576" s="43" t="s">
        <v>2229</v>
      </c>
      <c r="U576" s="4" t="s">
        <v>3699</v>
      </c>
    </row>
    <row r="577" spans="1:21" x14ac:dyDescent="0.3">
      <c r="A577" s="28" t="s">
        <v>2675</v>
      </c>
      <c r="B577" s="4" t="s">
        <v>35</v>
      </c>
      <c r="C577" s="4" t="s">
        <v>307</v>
      </c>
      <c r="D577" s="4">
        <v>5405</v>
      </c>
      <c r="E577" s="30">
        <v>279</v>
      </c>
      <c r="G577" s="4">
        <v>4300021652</v>
      </c>
      <c r="J577" s="28" t="s">
        <v>736</v>
      </c>
      <c r="K577" s="28" t="s">
        <v>3</v>
      </c>
      <c r="L577" s="32">
        <v>43221</v>
      </c>
      <c r="M577" s="32">
        <f>BCOXT[[#This Row],[INV DOC DATE]]+30</f>
        <v>43251</v>
      </c>
      <c r="N577" s="32">
        <v>43250</v>
      </c>
      <c r="O577" s="31">
        <v>279</v>
      </c>
      <c r="P577" s="102">
        <v>43262</v>
      </c>
      <c r="Q577" s="31">
        <f t="shared" si="8"/>
        <v>0</v>
      </c>
      <c r="R577" s="53" t="str">
        <f ca="1">IF(TODAY() - BCOXT[INV DUE DATE]&lt;30, "Less than 30 days",IF(TODAY()-BCOXT[INV DUE DATE]&lt;60,"30-60 days","More than 60 days"))</f>
        <v>30-60 days</v>
      </c>
      <c r="S577" s="31" t="s">
        <v>812</v>
      </c>
      <c r="T577" s="43" t="s">
        <v>2229</v>
      </c>
      <c r="U577" s="4" t="s">
        <v>3699</v>
      </c>
    </row>
    <row r="578" spans="1:21" x14ac:dyDescent="0.3">
      <c r="A578" s="28" t="s">
        <v>2675</v>
      </c>
      <c r="B578" s="4" t="s">
        <v>35</v>
      </c>
      <c r="C578" s="4" t="s">
        <v>308</v>
      </c>
      <c r="D578" s="4">
        <v>5405</v>
      </c>
      <c r="E578" s="30">
        <v>279</v>
      </c>
      <c r="G578" s="4">
        <v>4300021652</v>
      </c>
      <c r="J578" s="28" t="s">
        <v>737</v>
      </c>
      <c r="K578" s="28" t="s">
        <v>3</v>
      </c>
      <c r="L578" s="32">
        <v>43221</v>
      </c>
      <c r="M578" s="32">
        <f>BCOXT[[#This Row],[INV DOC DATE]]+30</f>
        <v>43251</v>
      </c>
      <c r="N578" s="32">
        <v>43250</v>
      </c>
      <c r="O578" s="31">
        <v>279</v>
      </c>
      <c r="P578" s="102">
        <v>43262</v>
      </c>
      <c r="Q578" s="31">
        <f t="shared" ref="Q578:Q641" si="9">$E578-$O578</f>
        <v>0</v>
      </c>
      <c r="R578" s="53" t="str">
        <f ca="1">IF(TODAY() - BCOXT[INV DUE DATE]&lt;30, "Less than 30 days",IF(TODAY()-BCOXT[INV DUE DATE]&lt;60,"30-60 days","More than 60 days"))</f>
        <v>30-60 days</v>
      </c>
      <c r="S578" s="31" t="s">
        <v>812</v>
      </c>
      <c r="T578" s="43" t="s">
        <v>2229</v>
      </c>
      <c r="U578" s="4" t="s">
        <v>3699</v>
      </c>
    </row>
    <row r="579" spans="1:21" x14ac:dyDescent="0.3">
      <c r="A579" s="28" t="s">
        <v>2675</v>
      </c>
      <c r="B579" s="4" t="s">
        <v>35</v>
      </c>
      <c r="C579" s="4" t="s">
        <v>309</v>
      </c>
      <c r="D579" s="4">
        <v>5405</v>
      </c>
      <c r="E579" s="30">
        <v>279</v>
      </c>
      <c r="G579" s="4">
        <v>4300021652</v>
      </c>
      <c r="J579" s="28" t="s">
        <v>738</v>
      </c>
      <c r="K579" s="28" t="s">
        <v>3</v>
      </c>
      <c r="L579" s="32">
        <v>43221</v>
      </c>
      <c r="M579" s="32">
        <f>BCOXT[[#This Row],[INV DOC DATE]]+30</f>
        <v>43251</v>
      </c>
      <c r="N579" s="32">
        <v>43250</v>
      </c>
      <c r="O579" s="31">
        <v>279</v>
      </c>
      <c r="P579" s="102">
        <v>43262</v>
      </c>
      <c r="Q579" s="31">
        <f t="shared" si="9"/>
        <v>0</v>
      </c>
      <c r="R579" s="53" t="str">
        <f ca="1">IF(TODAY() - BCOXT[INV DUE DATE]&lt;30, "Less than 30 days",IF(TODAY()-BCOXT[INV DUE DATE]&lt;60,"30-60 days","More than 60 days"))</f>
        <v>30-60 days</v>
      </c>
      <c r="S579" s="31" t="s">
        <v>812</v>
      </c>
      <c r="T579" s="43" t="s">
        <v>2229</v>
      </c>
      <c r="U579" s="4" t="s">
        <v>3699</v>
      </c>
    </row>
    <row r="580" spans="1:21" x14ac:dyDescent="0.3">
      <c r="A580" s="28" t="s">
        <v>2675</v>
      </c>
      <c r="B580" s="4" t="s">
        <v>35</v>
      </c>
      <c r="C580" s="4" t="s">
        <v>310</v>
      </c>
      <c r="D580" s="4">
        <v>5405</v>
      </c>
      <c r="E580" s="30">
        <v>198</v>
      </c>
      <c r="G580" s="4">
        <v>4300021652</v>
      </c>
      <c r="J580" s="28" t="s">
        <v>739</v>
      </c>
      <c r="K580" s="28" t="s">
        <v>3</v>
      </c>
      <c r="L580" s="32">
        <v>43221</v>
      </c>
      <c r="M580" s="32">
        <f>BCOXT[[#This Row],[INV DOC DATE]]+30</f>
        <v>43251</v>
      </c>
      <c r="N580" s="32">
        <v>43250</v>
      </c>
      <c r="O580" s="31">
        <v>198</v>
      </c>
      <c r="P580" s="102">
        <v>43262</v>
      </c>
      <c r="Q580" s="31">
        <f t="shared" si="9"/>
        <v>0</v>
      </c>
      <c r="R580" s="53" t="str">
        <f ca="1">IF(TODAY() - BCOXT[INV DUE DATE]&lt;30, "Less than 30 days",IF(TODAY()-BCOXT[INV DUE DATE]&lt;60,"30-60 days","More than 60 days"))</f>
        <v>30-60 days</v>
      </c>
      <c r="S580" s="31" t="s">
        <v>812</v>
      </c>
      <c r="T580" s="43" t="s">
        <v>2229</v>
      </c>
      <c r="U580" s="4" t="s">
        <v>3699</v>
      </c>
    </row>
    <row r="581" spans="1:21" x14ac:dyDescent="0.3">
      <c r="A581" s="28" t="s">
        <v>2675</v>
      </c>
      <c r="B581" s="4" t="s">
        <v>35</v>
      </c>
      <c r="C581" s="4" t="s">
        <v>311</v>
      </c>
      <c r="D581" s="4">
        <v>5405</v>
      </c>
      <c r="E581" s="30">
        <v>90</v>
      </c>
      <c r="G581" s="4">
        <v>4300021652</v>
      </c>
      <c r="J581" s="28" t="s">
        <v>739</v>
      </c>
      <c r="K581" s="28" t="s">
        <v>2677</v>
      </c>
      <c r="L581" s="32">
        <v>43221</v>
      </c>
      <c r="M581" s="32">
        <f>BCOXT[[#This Row],[INV DOC DATE]]+30</f>
        <v>43251</v>
      </c>
      <c r="N581" s="32">
        <v>43250</v>
      </c>
      <c r="O581" s="31">
        <v>90</v>
      </c>
      <c r="P581" s="102">
        <v>43262</v>
      </c>
      <c r="Q581" s="31">
        <f t="shared" si="9"/>
        <v>0</v>
      </c>
      <c r="R581" s="53" t="str">
        <f ca="1">IF(TODAY() - BCOXT[INV DUE DATE]&lt;30, "Less than 30 days",IF(TODAY()-BCOXT[INV DUE DATE]&lt;60,"30-60 days","More than 60 days"))</f>
        <v>30-60 days</v>
      </c>
      <c r="S581" s="31" t="s">
        <v>812</v>
      </c>
      <c r="T581" s="43" t="s">
        <v>2229</v>
      </c>
      <c r="U581" s="4" t="s">
        <v>3699</v>
      </c>
    </row>
    <row r="582" spans="1:21" x14ac:dyDescent="0.3">
      <c r="A582" s="28" t="s">
        <v>2675</v>
      </c>
      <c r="B582" s="4" t="s">
        <v>35</v>
      </c>
      <c r="C582" s="4" t="s">
        <v>312</v>
      </c>
      <c r="D582" s="4">
        <v>5405</v>
      </c>
      <c r="E582" s="30">
        <v>135</v>
      </c>
      <c r="G582" s="4">
        <v>4300021652</v>
      </c>
      <c r="J582" s="28" t="s">
        <v>739</v>
      </c>
      <c r="K582" s="28" t="s">
        <v>2678</v>
      </c>
      <c r="L582" s="32">
        <v>43221</v>
      </c>
      <c r="M582" s="32">
        <f>BCOXT[[#This Row],[INV DOC DATE]]+30</f>
        <v>43251</v>
      </c>
      <c r="N582" s="32">
        <v>43250</v>
      </c>
      <c r="O582" s="31">
        <v>135</v>
      </c>
      <c r="P582" s="102">
        <v>43262</v>
      </c>
      <c r="Q582" s="31">
        <f t="shared" si="9"/>
        <v>0</v>
      </c>
      <c r="R582" s="53" t="str">
        <f ca="1">IF(TODAY() - BCOXT[INV DUE DATE]&lt;30, "Less than 30 days",IF(TODAY()-BCOXT[INV DUE DATE]&lt;60,"30-60 days","More than 60 days"))</f>
        <v>30-60 days</v>
      </c>
      <c r="S582" s="31" t="s">
        <v>812</v>
      </c>
      <c r="T582" s="43" t="s">
        <v>2229</v>
      </c>
      <c r="U582" s="4" t="s">
        <v>3699</v>
      </c>
    </row>
    <row r="583" spans="1:21" x14ac:dyDescent="0.3">
      <c r="A583" s="28" t="s">
        <v>2675</v>
      </c>
      <c r="B583" s="4" t="s">
        <v>35</v>
      </c>
      <c r="C583" s="4" t="s">
        <v>313</v>
      </c>
      <c r="D583" s="4">
        <v>5405</v>
      </c>
      <c r="E583" s="30">
        <v>279</v>
      </c>
      <c r="G583" s="4">
        <v>4300021652</v>
      </c>
      <c r="J583" s="28" t="s">
        <v>740</v>
      </c>
      <c r="K583" s="28" t="s">
        <v>3</v>
      </c>
      <c r="L583" s="32">
        <v>43221</v>
      </c>
      <c r="M583" s="32">
        <f>BCOXT[[#This Row],[INV DOC DATE]]+30</f>
        <v>43251</v>
      </c>
      <c r="N583" s="32">
        <v>43250</v>
      </c>
      <c r="O583" s="31">
        <v>279</v>
      </c>
      <c r="P583" s="102">
        <v>43262</v>
      </c>
      <c r="Q583" s="31">
        <f t="shared" si="9"/>
        <v>0</v>
      </c>
      <c r="R583" s="53" t="str">
        <f ca="1">IF(TODAY() - BCOXT[INV DUE DATE]&lt;30, "Less than 30 days",IF(TODAY()-BCOXT[INV DUE DATE]&lt;60,"30-60 days","More than 60 days"))</f>
        <v>30-60 days</v>
      </c>
      <c r="S583" s="31" t="s">
        <v>812</v>
      </c>
      <c r="T583" s="43" t="s">
        <v>2229</v>
      </c>
      <c r="U583" s="4" t="s">
        <v>3699</v>
      </c>
    </row>
    <row r="584" spans="1:21" x14ac:dyDescent="0.3">
      <c r="A584" s="28" t="s">
        <v>2675</v>
      </c>
      <c r="B584" s="4" t="s">
        <v>35</v>
      </c>
      <c r="C584" s="4" t="s">
        <v>314</v>
      </c>
      <c r="D584" s="4">
        <v>5405</v>
      </c>
      <c r="E584" s="30">
        <v>279</v>
      </c>
      <c r="G584" s="4">
        <v>4300021652</v>
      </c>
      <c r="J584" s="28" t="s">
        <v>741</v>
      </c>
      <c r="K584" s="28" t="s">
        <v>3</v>
      </c>
      <c r="L584" s="32">
        <v>43221</v>
      </c>
      <c r="M584" s="32">
        <f>BCOXT[[#This Row],[INV DOC DATE]]+30</f>
        <v>43251</v>
      </c>
      <c r="N584" s="32">
        <v>43250</v>
      </c>
      <c r="O584" s="31">
        <v>279</v>
      </c>
      <c r="P584" s="102">
        <v>43262</v>
      </c>
      <c r="Q584" s="31">
        <f t="shared" si="9"/>
        <v>0</v>
      </c>
      <c r="R584" s="53" t="str">
        <f ca="1">IF(TODAY() - BCOXT[INV DUE DATE]&lt;30, "Less than 30 days",IF(TODAY()-BCOXT[INV DUE DATE]&lt;60,"30-60 days","More than 60 days"))</f>
        <v>30-60 days</v>
      </c>
      <c r="S584" s="31" t="s">
        <v>812</v>
      </c>
      <c r="T584" s="43" t="s">
        <v>2229</v>
      </c>
      <c r="U584" s="4" t="s">
        <v>3699</v>
      </c>
    </row>
    <row r="585" spans="1:21" x14ac:dyDescent="0.3">
      <c r="A585" s="28" t="s">
        <v>2675</v>
      </c>
      <c r="B585" s="4" t="s">
        <v>35</v>
      </c>
      <c r="C585" s="4" t="s">
        <v>315</v>
      </c>
      <c r="D585" s="4">
        <v>5405</v>
      </c>
      <c r="E585" s="30">
        <v>240.25</v>
      </c>
      <c r="G585" s="4">
        <v>4300021652</v>
      </c>
      <c r="J585" s="28" t="s">
        <v>742</v>
      </c>
      <c r="K585" s="28" t="s">
        <v>3</v>
      </c>
      <c r="L585" s="32">
        <v>43221</v>
      </c>
      <c r="M585" s="32">
        <f>BCOXT[[#This Row],[INV DOC DATE]]+30</f>
        <v>43251</v>
      </c>
      <c r="N585" s="32">
        <v>43250</v>
      </c>
      <c r="O585" s="31">
        <v>240.25</v>
      </c>
      <c r="P585" s="102">
        <v>43262</v>
      </c>
      <c r="Q585" s="31">
        <f t="shared" si="9"/>
        <v>0</v>
      </c>
      <c r="R585" s="53" t="str">
        <f ca="1">IF(TODAY() - BCOXT[INV DUE DATE]&lt;30, "Less than 30 days",IF(TODAY()-BCOXT[INV DUE DATE]&lt;60,"30-60 days","More than 60 days"))</f>
        <v>30-60 days</v>
      </c>
      <c r="S585" s="31" t="s">
        <v>812</v>
      </c>
      <c r="T585" s="43" t="s">
        <v>2229</v>
      </c>
      <c r="U585" s="4" t="s">
        <v>3699</v>
      </c>
    </row>
    <row r="586" spans="1:21" x14ac:dyDescent="0.3">
      <c r="A586" s="28" t="s">
        <v>2675</v>
      </c>
      <c r="B586" s="4" t="s">
        <v>35</v>
      </c>
      <c r="C586" s="4" t="s">
        <v>316</v>
      </c>
      <c r="D586" s="4">
        <v>5405</v>
      </c>
      <c r="E586" s="30">
        <v>279</v>
      </c>
      <c r="G586" s="4">
        <v>4300021652</v>
      </c>
      <c r="J586" s="28" t="s">
        <v>743</v>
      </c>
      <c r="K586" s="28" t="s">
        <v>3</v>
      </c>
      <c r="L586" s="32">
        <v>43221</v>
      </c>
      <c r="M586" s="32">
        <f>BCOXT[[#This Row],[INV DOC DATE]]+30</f>
        <v>43251</v>
      </c>
      <c r="N586" s="32">
        <v>43250</v>
      </c>
      <c r="O586" s="31">
        <v>279</v>
      </c>
      <c r="P586" s="102">
        <v>43262</v>
      </c>
      <c r="Q586" s="31">
        <f t="shared" si="9"/>
        <v>0</v>
      </c>
      <c r="R586" s="53" t="str">
        <f ca="1">IF(TODAY() - BCOXT[INV DUE DATE]&lt;30, "Less than 30 days",IF(TODAY()-BCOXT[INV DUE DATE]&lt;60,"30-60 days","More than 60 days"))</f>
        <v>30-60 days</v>
      </c>
      <c r="S586" s="31" t="s">
        <v>812</v>
      </c>
      <c r="T586" s="43" t="s">
        <v>2229</v>
      </c>
      <c r="U586" s="4" t="s">
        <v>3699</v>
      </c>
    </row>
    <row r="587" spans="1:21" x14ac:dyDescent="0.3">
      <c r="A587" s="28" t="s">
        <v>2675</v>
      </c>
      <c r="B587" s="4" t="s">
        <v>35</v>
      </c>
      <c r="C587" s="4" t="s">
        <v>317</v>
      </c>
      <c r="D587" s="4">
        <v>5405</v>
      </c>
      <c r="E587" s="30">
        <v>279</v>
      </c>
      <c r="G587" s="4">
        <v>4300021652</v>
      </c>
      <c r="J587" s="28" t="s">
        <v>744</v>
      </c>
      <c r="K587" s="28" t="s">
        <v>3</v>
      </c>
      <c r="L587" s="32">
        <v>43221</v>
      </c>
      <c r="M587" s="32">
        <f>BCOXT[[#This Row],[INV DOC DATE]]+30</f>
        <v>43251</v>
      </c>
      <c r="N587" s="32">
        <v>43250</v>
      </c>
      <c r="O587" s="31">
        <v>279</v>
      </c>
      <c r="P587" s="102">
        <v>43262</v>
      </c>
      <c r="Q587" s="31">
        <f t="shared" si="9"/>
        <v>0</v>
      </c>
      <c r="R587" s="53" t="str">
        <f ca="1">IF(TODAY() - BCOXT[INV DUE DATE]&lt;30, "Less than 30 days",IF(TODAY()-BCOXT[INV DUE DATE]&lt;60,"30-60 days","More than 60 days"))</f>
        <v>30-60 days</v>
      </c>
      <c r="S587" s="31" t="s">
        <v>812</v>
      </c>
      <c r="T587" s="43" t="s">
        <v>2229</v>
      </c>
      <c r="U587" s="4" t="s">
        <v>3699</v>
      </c>
    </row>
    <row r="588" spans="1:21" x14ac:dyDescent="0.3">
      <c r="A588" s="28" t="s">
        <v>2675</v>
      </c>
      <c r="B588" s="4" t="s">
        <v>35</v>
      </c>
      <c r="C588" s="4" t="s">
        <v>318</v>
      </c>
      <c r="D588" s="4">
        <v>5405</v>
      </c>
      <c r="E588" s="30">
        <v>279</v>
      </c>
      <c r="G588" s="4">
        <v>4300021652</v>
      </c>
      <c r="J588" s="28" t="s">
        <v>745</v>
      </c>
      <c r="K588" s="28" t="s">
        <v>3</v>
      </c>
      <c r="L588" s="32">
        <v>43221</v>
      </c>
      <c r="M588" s="32">
        <f>BCOXT[[#This Row],[INV DOC DATE]]+30</f>
        <v>43251</v>
      </c>
      <c r="N588" s="32">
        <v>43250</v>
      </c>
      <c r="O588" s="31">
        <v>279</v>
      </c>
      <c r="P588" s="102">
        <v>43262</v>
      </c>
      <c r="Q588" s="31">
        <f t="shared" si="9"/>
        <v>0</v>
      </c>
      <c r="R588" s="53" t="str">
        <f ca="1">IF(TODAY() - BCOXT[INV DUE DATE]&lt;30, "Less than 30 days",IF(TODAY()-BCOXT[INV DUE DATE]&lt;60,"30-60 days","More than 60 days"))</f>
        <v>30-60 days</v>
      </c>
      <c r="S588" s="31" t="s">
        <v>812</v>
      </c>
      <c r="T588" s="43" t="s">
        <v>2229</v>
      </c>
      <c r="U588" s="4" t="s">
        <v>3699</v>
      </c>
    </row>
    <row r="589" spans="1:21" x14ac:dyDescent="0.3">
      <c r="A589" s="28" t="s">
        <v>2675</v>
      </c>
      <c r="B589" s="4" t="s">
        <v>35</v>
      </c>
      <c r="C589" s="4" t="s">
        <v>319</v>
      </c>
      <c r="D589" s="4">
        <v>5405</v>
      </c>
      <c r="E589" s="30">
        <v>279</v>
      </c>
      <c r="G589" s="4">
        <v>4300021652</v>
      </c>
      <c r="J589" s="28" t="s">
        <v>746</v>
      </c>
      <c r="K589" s="28" t="s">
        <v>3</v>
      </c>
      <c r="L589" s="32">
        <v>43221</v>
      </c>
      <c r="M589" s="32">
        <f>BCOXT[[#This Row],[INV DOC DATE]]+30</f>
        <v>43251</v>
      </c>
      <c r="N589" s="32">
        <v>43250</v>
      </c>
      <c r="O589" s="31">
        <v>279</v>
      </c>
      <c r="P589" s="102">
        <v>43262</v>
      </c>
      <c r="Q589" s="31">
        <f t="shared" si="9"/>
        <v>0</v>
      </c>
      <c r="R589" s="53" t="str">
        <f ca="1">IF(TODAY() - BCOXT[INV DUE DATE]&lt;30, "Less than 30 days",IF(TODAY()-BCOXT[INV DUE DATE]&lt;60,"30-60 days","More than 60 days"))</f>
        <v>30-60 days</v>
      </c>
      <c r="S589" s="31" t="s">
        <v>812</v>
      </c>
      <c r="T589" s="43" t="s">
        <v>2229</v>
      </c>
      <c r="U589" s="4" t="s">
        <v>3699</v>
      </c>
    </row>
    <row r="590" spans="1:21" x14ac:dyDescent="0.3">
      <c r="A590" s="28" t="s">
        <v>2675</v>
      </c>
      <c r="B590" s="4" t="s">
        <v>35</v>
      </c>
      <c r="C590" s="4" t="s">
        <v>320</v>
      </c>
      <c r="D590" s="4">
        <v>5405</v>
      </c>
      <c r="E590" s="30">
        <v>279</v>
      </c>
      <c r="G590" s="4">
        <v>4300021652</v>
      </c>
      <c r="J590" s="28" t="s">
        <v>747</v>
      </c>
      <c r="K590" s="28" t="s">
        <v>3</v>
      </c>
      <c r="L590" s="32">
        <v>43221</v>
      </c>
      <c r="M590" s="32">
        <f>BCOXT[[#This Row],[INV DOC DATE]]+30</f>
        <v>43251</v>
      </c>
      <c r="N590" s="32">
        <v>43250</v>
      </c>
      <c r="O590" s="31">
        <v>279</v>
      </c>
      <c r="P590" s="102">
        <v>43262</v>
      </c>
      <c r="Q590" s="31">
        <f t="shared" si="9"/>
        <v>0</v>
      </c>
      <c r="R590" s="53" t="str">
        <f ca="1">IF(TODAY() - BCOXT[INV DUE DATE]&lt;30, "Less than 30 days",IF(TODAY()-BCOXT[INV DUE DATE]&lt;60,"30-60 days","More than 60 days"))</f>
        <v>30-60 days</v>
      </c>
      <c r="S590" s="31" t="s">
        <v>812</v>
      </c>
      <c r="T590" s="43" t="s">
        <v>2229</v>
      </c>
      <c r="U590" s="4" t="s">
        <v>3699</v>
      </c>
    </row>
    <row r="591" spans="1:21" x14ac:dyDescent="0.3">
      <c r="A591" s="28" t="s">
        <v>2675</v>
      </c>
      <c r="B591" s="4" t="s">
        <v>35</v>
      </c>
      <c r="C591" s="4" t="s">
        <v>321</v>
      </c>
      <c r="D591" s="4">
        <v>5405</v>
      </c>
      <c r="E591" s="30">
        <v>279</v>
      </c>
      <c r="G591" s="4">
        <v>4300021652</v>
      </c>
      <c r="J591" s="28" t="s">
        <v>748</v>
      </c>
      <c r="K591" s="28" t="s">
        <v>3</v>
      </c>
      <c r="L591" s="32">
        <v>43221</v>
      </c>
      <c r="M591" s="32">
        <f>BCOXT[[#This Row],[INV DOC DATE]]+30</f>
        <v>43251</v>
      </c>
      <c r="N591" s="32">
        <v>43250</v>
      </c>
      <c r="O591" s="31">
        <v>279</v>
      </c>
      <c r="P591" s="102">
        <v>43262</v>
      </c>
      <c r="Q591" s="31">
        <f t="shared" si="9"/>
        <v>0</v>
      </c>
      <c r="R591" s="53" t="str">
        <f ca="1">IF(TODAY() - BCOXT[INV DUE DATE]&lt;30, "Less than 30 days",IF(TODAY()-BCOXT[INV DUE DATE]&lt;60,"30-60 days","More than 60 days"))</f>
        <v>30-60 days</v>
      </c>
      <c r="S591" s="31" t="s">
        <v>812</v>
      </c>
      <c r="T591" s="43" t="s">
        <v>2229</v>
      </c>
      <c r="U591" s="4" t="s">
        <v>3699</v>
      </c>
    </row>
    <row r="592" spans="1:21" x14ac:dyDescent="0.3">
      <c r="A592" s="28" t="s">
        <v>2675</v>
      </c>
      <c r="B592" s="4" t="s">
        <v>35</v>
      </c>
      <c r="C592" s="4" t="s">
        <v>322</v>
      </c>
      <c r="D592" s="4">
        <v>5405</v>
      </c>
      <c r="E592" s="30">
        <v>279</v>
      </c>
      <c r="G592" s="4">
        <v>4300021652</v>
      </c>
      <c r="J592" s="28" t="s">
        <v>749</v>
      </c>
      <c r="K592" s="28" t="s">
        <v>3</v>
      </c>
      <c r="L592" s="32">
        <v>43221</v>
      </c>
      <c r="M592" s="32">
        <f>BCOXT[[#This Row],[INV DOC DATE]]+30</f>
        <v>43251</v>
      </c>
      <c r="N592" s="32">
        <v>43250</v>
      </c>
      <c r="O592" s="31">
        <v>279</v>
      </c>
      <c r="P592" s="102">
        <v>43262</v>
      </c>
      <c r="Q592" s="31">
        <f t="shared" si="9"/>
        <v>0</v>
      </c>
      <c r="R592" s="53" t="str">
        <f ca="1">IF(TODAY() - BCOXT[INV DUE DATE]&lt;30, "Less than 30 days",IF(TODAY()-BCOXT[INV DUE DATE]&lt;60,"30-60 days","More than 60 days"))</f>
        <v>30-60 days</v>
      </c>
      <c r="S592" s="31" t="s">
        <v>812</v>
      </c>
      <c r="T592" s="43" t="s">
        <v>2229</v>
      </c>
      <c r="U592" s="4" t="s">
        <v>3699</v>
      </c>
    </row>
    <row r="593" spans="1:21" x14ac:dyDescent="0.3">
      <c r="A593" s="28" t="s">
        <v>2675</v>
      </c>
      <c r="B593" s="4" t="s">
        <v>35</v>
      </c>
      <c r="C593" s="4" t="s">
        <v>323</v>
      </c>
      <c r="D593" s="4">
        <v>5405</v>
      </c>
      <c r="E593" s="30">
        <v>279</v>
      </c>
      <c r="G593" s="4">
        <v>4300021652</v>
      </c>
      <c r="J593" s="28" t="s">
        <v>750</v>
      </c>
      <c r="K593" s="28" t="s">
        <v>3</v>
      </c>
      <c r="L593" s="32">
        <v>43221</v>
      </c>
      <c r="M593" s="32">
        <f>BCOXT[[#This Row],[INV DOC DATE]]+30</f>
        <v>43251</v>
      </c>
      <c r="N593" s="32">
        <v>43250</v>
      </c>
      <c r="O593" s="31">
        <v>279</v>
      </c>
      <c r="P593" s="102">
        <v>43262</v>
      </c>
      <c r="Q593" s="31">
        <f t="shared" si="9"/>
        <v>0</v>
      </c>
      <c r="R593" s="53" t="str">
        <f ca="1">IF(TODAY() - BCOXT[INV DUE DATE]&lt;30, "Less than 30 days",IF(TODAY()-BCOXT[INV DUE DATE]&lt;60,"30-60 days","More than 60 days"))</f>
        <v>30-60 days</v>
      </c>
      <c r="S593" s="31" t="s">
        <v>812</v>
      </c>
      <c r="T593" s="43" t="s">
        <v>2229</v>
      </c>
      <c r="U593" s="4" t="s">
        <v>3699</v>
      </c>
    </row>
    <row r="594" spans="1:21" x14ac:dyDescent="0.3">
      <c r="A594" s="28" t="s">
        <v>2675</v>
      </c>
      <c r="B594" s="4" t="s">
        <v>35</v>
      </c>
      <c r="C594" s="4" t="s">
        <v>324</v>
      </c>
      <c r="D594" s="4">
        <v>5405</v>
      </c>
      <c r="E594" s="30">
        <v>279</v>
      </c>
      <c r="G594" s="4">
        <v>4300021652</v>
      </c>
      <c r="J594" s="28" t="s">
        <v>751</v>
      </c>
      <c r="K594" s="28" t="s">
        <v>3</v>
      </c>
      <c r="L594" s="32">
        <v>43221</v>
      </c>
      <c r="M594" s="32">
        <f>BCOXT[[#This Row],[INV DOC DATE]]+30</f>
        <v>43251</v>
      </c>
      <c r="N594" s="32">
        <v>43250</v>
      </c>
      <c r="O594" s="31">
        <v>279</v>
      </c>
      <c r="P594" s="102">
        <v>43262</v>
      </c>
      <c r="Q594" s="31">
        <f t="shared" si="9"/>
        <v>0</v>
      </c>
      <c r="R594" s="53" t="str">
        <f ca="1">IF(TODAY() - BCOXT[INV DUE DATE]&lt;30, "Less than 30 days",IF(TODAY()-BCOXT[INV DUE DATE]&lt;60,"30-60 days","More than 60 days"))</f>
        <v>30-60 days</v>
      </c>
      <c r="S594" s="31" t="s">
        <v>812</v>
      </c>
      <c r="T594" s="43" t="s">
        <v>2229</v>
      </c>
      <c r="U594" s="4" t="s">
        <v>3699</v>
      </c>
    </row>
    <row r="595" spans="1:21" x14ac:dyDescent="0.3">
      <c r="A595" s="28" t="s">
        <v>2675</v>
      </c>
      <c r="B595" s="4" t="s">
        <v>35</v>
      </c>
      <c r="C595" s="4" t="s">
        <v>325</v>
      </c>
      <c r="D595" s="4">
        <v>5405</v>
      </c>
      <c r="E595" s="30">
        <v>279</v>
      </c>
      <c r="G595" s="4">
        <v>4300021652</v>
      </c>
      <c r="J595" s="28" t="s">
        <v>752</v>
      </c>
      <c r="K595" s="28" t="s">
        <v>3</v>
      </c>
      <c r="L595" s="32">
        <v>43221</v>
      </c>
      <c r="M595" s="32">
        <f>BCOXT[[#This Row],[INV DOC DATE]]+30</f>
        <v>43251</v>
      </c>
      <c r="N595" s="32">
        <v>43250</v>
      </c>
      <c r="O595" s="31">
        <v>279</v>
      </c>
      <c r="P595" s="102">
        <v>43262</v>
      </c>
      <c r="Q595" s="31">
        <f t="shared" si="9"/>
        <v>0</v>
      </c>
      <c r="R595" s="53" t="str">
        <f ca="1">IF(TODAY() - BCOXT[INV DUE DATE]&lt;30, "Less than 30 days",IF(TODAY()-BCOXT[INV DUE DATE]&lt;60,"30-60 days","More than 60 days"))</f>
        <v>30-60 days</v>
      </c>
      <c r="S595" s="31" t="s">
        <v>812</v>
      </c>
      <c r="T595" s="43" t="s">
        <v>2229</v>
      </c>
      <c r="U595" s="4" t="s">
        <v>3699</v>
      </c>
    </row>
    <row r="596" spans="1:21" x14ac:dyDescent="0.3">
      <c r="A596" s="28" t="s">
        <v>2675</v>
      </c>
      <c r="B596" s="4" t="s">
        <v>35</v>
      </c>
      <c r="C596" s="4" t="s">
        <v>326</v>
      </c>
      <c r="D596" s="4">
        <v>5405</v>
      </c>
      <c r="E596" s="30">
        <v>279</v>
      </c>
      <c r="G596" s="4">
        <v>4300021652</v>
      </c>
      <c r="J596" s="28" t="s">
        <v>753</v>
      </c>
      <c r="K596" s="28" t="s">
        <v>3</v>
      </c>
      <c r="L596" s="32">
        <v>43221</v>
      </c>
      <c r="M596" s="32">
        <f>BCOXT[[#This Row],[INV DOC DATE]]+30</f>
        <v>43251</v>
      </c>
      <c r="N596" s="32">
        <v>43250</v>
      </c>
      <c r="O596" s="31">
        <v>279</v>
      </c>
      <c r="P596" s="102">
        <v>43262</v>
      </c>
      <c r="Q596" s="31">
        <f t="shared" si="9"/>
        <v>0</v>
      </c>
      <c r="R596" s="53" t="str">
        <f ca="1">IF(TODAY() - BCOXT[INV DUE DATE]&lt;30, "Less than 30 days",IF(TODAY()-BCOXT[INV DUE DATE]&lt;60,"30-60 days","More than 60 days"))</f>
        <v>30-60 days</v>
      </c>
      <c r="S596" s="31" t="s">
        <v>812</v>
      </c>
      <c r="T596" s="43" t="s">
        <v>2229</v>
      </c>
      <c r="U596" s="4" t="s">
        <v>3699</v>
      </c>
    </row>
    <row r="597" spans="1:21" x14ac:dyDescent="0.3">
      <c r="A597" s="28" t="s">
        <v>2675</v>
      </c>
      <c r="B597" s="4" t="s">
        <v>35</v>
      </c>
      <c r="C597" s="4" t="s">
        <v>327</v>
      </c>
      <c r="D597" s="4">
        <v>5405</v>
      </c>
      <c r="E597" s="30">
        <v>279</v>
      </c>
      <c r="G597" s="4">
        <v>4300021652</v>
      </c>
      <c r="J597" s="28" t="s">
        <v>754</v>
      </c>
      <c r="K597" s="28" t="s">
        <v>3</v>
      </c>
      <c r="L597" s="32">
        <v>43221</v>
      </c>
      <c r="M597" s="32">
        <f>BCOXT[[#This Row],[INV DOC DATE]]+30</f>
        <v>43251</v>
      </c>
      <c r="N597" s="32">
        <v>43250</v>
      </c>
      <c r="O597" s="31">
        <v>279</v>
      </c>
      <c r="P597" s="102">
        <v>43262</v>
      </c>
      <c r="Q597" s="31">
        <f t="shared" si="9"/>
        <v>0</v>
      </c>
      <c r="R597" s="53" t="str">
        <f ca="1">IF(TODAY() - BCOXT[INV DUE DATE]&lt;30, "Less than 30 days",IF(TODAY()-BCOXT[INV DUE DATE]&lt;60,"30-60 days","More than 60 days"))</f>
        <v>30-60 days</v>
      </c>
      <c r="S597" s="31" t="s">
        <v>812</v>
      </c>
      <c r="T597" s="43" t="s">
        <v>2229</v>
      </c>
      <c r="U597" s="4" t="s">
        <v>3699</v>
      </c>
    </row>
    <row r="598" spans="1:21" x14ac:dyDescent="0.3">
      <c r="A598" s="28" t="s">
        <v>2675</v>
      </c>
      <c r="B598" s="4" t="s">
        <v>35</v>
      </c>
      <c r="C598" s="4" t="s">
        <v>328</v>
      </c>
      <c r="D598" s="4">
        <v>5405</v>
      </c>
      <c r="E598" s="30">
        <v>279</v>
      </c>
      <c r="G598" s="4">
        <v>4300021652</v>
      </c>
      <c r="J598" s="28" t="s">
        <v>755</v>
      </c>
      <c r="K598" s="28" t="s">
        <v>3</v>
      </c>
      <c r="L598" s="32">
        <v>43221</v>
      </c>
      <c r="M598" s="32">
        <f>BCOXT[[#This Row],[INV DOC DATE]]+30</f>
        <v>43251</v>
      </c>
      <c r="N598" s="32">
        <v>43250</v>
      </c>
      <c r="O598" s="31">
        <v>279</v>
      </c>
      <c r="P598" s="102">
        <v>43262</v>
      </c>
      <c r="Q598" s="31">
        <f t="shared" si="9"/>
        <v>0</v>
      </c>
      <c r="R598" s="53" t="str">
        <f ca="1">IF(TODAY() - BCOXT[INV DUE DATE]&lt;30, "Less than 30 days",IF(TODAY()-BCOXT[INV DUE DATE]&lt;60,"30-60 days","More than 60 days"))</f>
        <v>30-60 days</v>
      </c>
      <c r="S598" s="31" t="s">
        <v>812</v>
      </c>
      <c r="T598" s="43" t="s">
        <v>2229</v>
      </c>
      <c r="U598" s="4" t="s">
        <v>3699</v>
      </c>
    </row>
    <row r="599" spans="1:21" x14ac:dyDescent="0.3">
      <c r="A599" s="28" t="s">
        <v>2675</v>
      </c>
      <c r="B599" s="4" t="s">
        <v>35</v>
      </c>
      <c r="C599" s="4" t="s">
        <v>329</v>
      </c>
      <c r="D599" s="4">
        <v>5405</v>
      </c>
      <c r="E599" s="30">
        <v>279</v>
      </c>
      <c r="G599" s="4">
        <v>4300021652</v>
      </c>
      <c r="J599" s="28" t="s">
        <v>756</v>
      </c>
      <c r="K599" s="28" t="s">
        <v>3</v>
      </c>
      <c r="L599" s="32">
        <v>43221</v>
      </c>
      <c r="M599" s="32">
        <f>BCOXT[[#This Row],[INV DOC DATE]]+30</f>
        <v>43251</v>
      </c>
      <c r="N599" s="32">
        <v>43250</v>
      </c>
      <c r="O599" s="31">
        <v>279</v>
      </c>
      <c r="P599" s="102">
        <v>43262</v>
      </c>
      <c r="Q599" s="31">
        <f t="shared" si="9"/>
        <v>0</v>
      </c>
      <c r="R599" s="53" t="str">
        <f ca="1">IF(TODAY() - BCOXT[INV DUE DATE]&lt;30, "Less than 30 days",IF(TODAY()-BCOXT[INV DUE DATE]&lt;60,"30-60 days","More than 60 days"))</f>
        <v>30-60 days</v>
      </c>
      <c r="S599" s="31" t="s">
        <v>812</v>
      </c>
      <c r="T599" s="43" t="s">
        <v>2229</v>
      </c>
      <c r="U599" s="4" t="s">
        <v>3699</v>
      </c>
    </row>
    <row r="600" spans="1:21" x14ac:dyDescent="0.3">
      <c r="A600" s="28" t="s">
        <v>2675</v>
      </c>
      <c r="B600" s="4" t="s">
        <v>35</v>
      </c>
      <c r="C600" s="4" t="s">
        <v>330</v>
      </c>
      <c r="D600" s="4">
        <v>5405</v>
      </c>
      <c r="E600" s="30">
        <v>279</v>
      </c>
      <c r="G600" s="4">
        <v>4300021652</v>
      </c>
      <c r="J600" s="28" t="s">
        <v>757</v>
      </c>
      <c r="K600" s="28" t="s">
        <v>3</v>
      </c>
      <c r="L600" s="32">
        <v>43221</v>
      </c>
      <c r="M600" s="32">
        <f>BCOXT[[#This Row],[INV DOC DATE]]+30</f>
        <v>43251</v>
      </c>
      <c r="N600" s="32">
        <v>43250</v>
      </c>
      <c r="O600" s="31">
        <v>279</v>
      </c>
      <c r="P600" s="102">
        <v>43262</v>
      </c>
      <c r="Q600" s="31">
        <f t="shared" si="9"/>
        <v>0</v>
      </c>
      <c r="R600" s="53" t="str">
        <f ca="1">IF(TODAY() - BCOXT[INV DUE DATE]&lt;30, "Less than 30 days",IF(TODAY()-BCOXT[INV DUE DATE]&lt;60,"30-60 days","More than 60 days"))</f>
        <v>30-60 days</v>
      </c>
      <c r="S600" s="31" t="s">
        <v>812</v>
      </c>
      <c r="T600" s="43" t="s">
        <v>2229</v>
      </c>
      <c r="U600" s="4" t="s">
        <v>3699</v>
      </c>
    </row>
    <row r="601" spans="1:21" x14ac:dyDescent="0.3">
      <c r="A601" s="28" t="s">
        <v>2675</v>
      </c>
      <c r="B601" s="4" t="s">
        <v>35</v>
      </c>
      <c r="C601" s="4" t="s">
        <v>331</v>
      </c>
      <c r="D601" s="4">
        <v>5405</v>
      </c>
      <c r="E601" s="30">
        <v>279</v>
      </c>
      <c r="G601" s="4">
        <v>4300021652</v>
      </c>
      <c r="J601" s="28" t="s">
        <v>758</v>
      </c>
      <c r="K601" s="28" t="s">
        <v>3</v>
      </c>
      <c r="L601" s="32">
        <v>43221</v>
      </c>
      <c r="M601" s="32">
        <f>BCOXT[[#This Row],[INV DOC DATE]]+30</f>
        <v>43251</v>
      </c>
      <c r="N601" s="32">
        <v>43250</v>
      </c>
      <c r="O601" s="31">
        <v>279</v>
      </c>
      <c r="P601" s="102">
        <v>43262</v>
      </c>
      <c r="Q601" s="31">
        <f t="shared" si="9"/>
        <v>0</v>
      </c>
      <c r="R601" s="53" t="str">
        <f ca="1">IF(TODAY() - BCOXT[INV DUE DATE]&lt;30, "Less than 30 days",IF(TODAY()-BCOXT[INV DUE DATE]&lt;60,"30-60 days","More than 60 days"))</f>
        <v>30-60 days</v>
      </c>
      <c r="S601" s="31" t="s">
        <v>812</v>
      </c>
      <c r="T601" s="43" t="s">
        <v>2229</v>
      </c>
      <c r="U601" s="4" t="s">
        <v>3699</v>
      </c>
    </row>
    <row r="602" spans="1:21" x14ac:dyDescent="0.3">
      <c r="A602" s="28" t="s">
        <v>2675</v>
      </c>
      <c r="B602" s="4" t="s">
        <v>35</v>
      </c>
      <c r="C602" s="4" t="s">
        <v>332</v>
      </c>
      <c r="D602" s="4">
        <v>5405</v>
      </c>
      <c r="E602" s="30">
        <v>279</v>
      </c>
      <c r="G602" s="4">
        <v>4300021652</v>
      </c>
      <c r="J602" s="28" t="s">
        <v>759</v>
      </c>
      <c r="K602" s="28" t="s">
        <v>3</v>
      </c>
      <c r="L602" s="32">
        <v>43221</v>
      </c>
      <c r="M602" s="32">
        <f>BCOXT[[#This Row],[INV DOC DATE]]+30</f>
        <v>43251</v>
      </c>
      <c r="N602" s="32">
        <v>43250</v>
      </c>
      <c r="O602" s="31">
        <v>279</v>
      </c>
      <c r="P602" s="102">
        <v>43262</v>
      </c>
      <c r="Q602" s="31">
        <f t="shared" si="9"/>
        <v>0</v>
      </c>
      <c r="R602" s="53" t="str">
        <f ca="1">IF(TODAY() - BCOXT[INV DUE DATE]&lt;30, "Less than 30 days",IF(TODAY()-BCOXT[INV DUE DATE]&lt;60,"30-60 days","More than 60 days"))</f>
        <v>30-60 days</v>
      </c>
      <c r="S602" s="31" t="s">
        <v>812</v>
      </c>
      <c r="T602" s="43" t="s">
        <v>2229</v>
      </c>
      <c r="U602" s="4" t="s">
        <v>3699</v>
      </c>
    </row>
    <row r="603" spans="1:21" x14ac:dyDescent="0.3">
      <c r="A603" s="28" t="s">
        <v>2675</v>
      </c>
      <c r="B603" s="4" t="s">
        <v>35</v>
      </c>
      <c r="C603" s="4" t="s">
        <v>333</v>
      </c>
      <c r="D603" s="4">
        <v>5405</v>
      </c>
      <c r="E603" s="30">
        <v>240.25</v>
      </c>
      <c r="G603" s="4">
        <v>4300021652</v>
      </c>
      <c r="J603" s="28" t="s">
        <v>760</v>
      </c>
      <c r="K603" s="28" t="s">
        <v>3</v>
      </c>
      <c r="L603" s="32">
        <v>43221</v>
      </c>
      <c r="M603" s="32">
        <f>BCOXT[[#This Row],[INV DOC DATE]]+30</f>
        <v>43251</v>
      </c>
      <c r="N603" s="32">
        <v>43250</v>
      </c>
      <c r="O603" s="31">
        <v>240.25</v>
      </c>
      <c r="P603" s="102">
        <v>43262</v>
      </c>
      <c r="Q603" s="31">
        <f t="shared" si="9"/>
        <v>0</v>
      </c>
      <c r="R603" s="53" t="str">
        <f ca="1">IF(TODAY() - BCOXT[INV DUE DATE]&lt;30, "Less than 30 days",IF(TODAY()-BCOXT[INV DUE DATE]&lt;60,"30-60 days","More than 60 days"))</f>
        <v>30-60 days</v>
      </c>
      <c r="S603" s="31" t="s">
        <v>812</v>
      </c>
      <c r="T603" s="43" t="s">
        <v>2229</v>
      </c>
      <c r="U603" s="4" t="s">
        <v>3699</v>
      </c>
    </row>
    <row r="604" spans="1:21" x14ac:dyDescent="0.3">
      <c r="A604" s="28" t="s">
        <v>2675</v>
      </c>
      <c r="B604" s="4" t="s">
        <v>35</v>
      </c>
      <c r="C604" s="4" t="s">
        <v>334</v>
      </c>
      <c r="D604" s="4">
        <v>5405</v>
      </c>
      <c r="E604" s="30">
        <v>240.25</v>
      </c>
      <c r="G604" s="4">
        <v>4300021652</v>
      </c>
      <c r="J604" s="28" t="s">
        <v>761</v>
      </c>
      <c r="K604" s="28" t="s">
        <v>3</v>
      </c>
      <c r="L604" s="32">
        <v>43221</v>
      </c>
      <c r="M604" s="32">
        <f>BCOXT[[#This Row],[INV DOC DATE]]+30</f>
        <v>43251</v>
      </c>
      <c r="N604" s="32">
        <v>43250</v>
      </c>
      <c r="O604" s="31">
        <v>240.25</v>
      </c>
      <c r="P604" s="102">
        <v>43262</v>
      </c>
      <c r="Q604" s="31">
        <f t="shared" si="9"/>
        <v>0</v>
      </c>
      <c r="R604" s="53" t="str">
        <f ca="1">IF(TODAY() - BCOXT[INV DUE DATE]&lt;30, "Less than 30 days",IF(TODAY()-BCOXT[INV DUE DATE]&lt;60,"30-60 days","More than 60 days"))</f>
        <v>30-60 days</v>
      </c>
      <c r="S604" s="31" t="s">
        <v>812</v>
      </c>
      <c r="T604" s="43" t="s">
        <v>2229</v>
      </c>
      <c r="U604" s="4" t="s">
        <v>3699</v>
      </c>
    </row>
    <row r="605" spans="1:21" x14ac:dyDescent="0.3">
      <c r="A605" s="28" t="s">
        <v>2675</v>
      </c>
      <c r="B605" s="4" t="s">
        <v>35</v>
      </c>
      <c r="C605" s="4" t="s">
        <v>335</v>
      </c>
      <c r="D605" s="4">
        <v>5405</v>
      </c>
      <c r="E605" s="30">
        <v>240.25</v>
      </c>
      <c r="G605" s="4">
        <v>4300021652</v>
      </c>
      <c r="J605" s="28" t="s">
        <v>762</v>
      </c>
      <c r="K605" s="28" t="s">
        <v>3</v>
      </c>
      <c r="L605" s="32">
        <v>43221</v>
      </c>
      <c r="M605" s="32">
        <f>BCOXT[[#This Row],[INV DOC DATE]]+30</f>
        <v>43251</v>
      </c>
      <c r="N605" s="32">
        <v>43250</v>
      </c>
      <c r="O605" s="31">
        <v>240.25</v>
      </c>
      <c r="P605" s="102">
        <v>43262</v>
      </c>
      <c r="Q605" s="31">
        <f t="shared" si="9"/>
        <v>0</v>
      </c>
      <c r="R605" s="53" t="str">
        <f ca="1">IF(TODAY() - BCOXT[INV DUE DATE]&lt;30, "Less than 30 days",IF(TODAY()-BCOXT[INV DUE DATE]&lt;60,"30-60 days","More than 60 days"))</f>
        <v>30-60 days</v>
      </c>
      <c r="S605" s="31" t="s">
        <v>812</v>
      </c>
      <c r="T605" s="43" t="s">
        <v>2229</v>
      </c>
      <c r="U605" s="4" t="s">
        <v>3699</v>
      </c>
    </row>
    <row r="606" spans="1:21" x14ac:dyDescent="0.3">
      <c r="A606" s="28" t="s">
        <v>2675</v>
      </c>
      <c r="B606" s="4" t="s">
        <v>35</v>
      </c>
      <c r="C606" s="4" t="s">
        <v>336</v>
      </c>
      <c r="D606" s="4">
        <v>5405</v>
      </c>
      <c r="E606" s="30">
        <v>248</v>
      </c>
      <c r="G606" s="4">
        <v>4300021652</v>
      </c>
      <c r="J606" s="28" t="s">
        <v>763</v>
      </c>
      <c r="K606" s="28" t="s">
        <v>3</v>
      </c>
      <c r="L606" s="32">
        <v>43221</v>
      </c>
      <c r="M606" s="32">
        <f>BCOXT[[#This Row],[INV DOC DATE]]+30</f>
        <v>43251</v>
      </c>
      <c r="N606" s="32">
        <v>43250</v>
      </c>
      <c r="O606" s="31">
        <v>248</v>
      </c>
      <c r="P606" s="102">
        <v>43262</v>
      </c>
      <c r="Q606" s="31">
        <f t="shared" si="9"/>
        <v>0</v>
      </c>
      <c r="R606" s="53" t="str">
        <f ca="1">IF(TODAY() - BCOXT[INV DUE DATE]&lt;30, "Less than 30 days",IF(TODAY()-BCOXT[INV DUE DATE]&lt;60,"30-60 days","More than 60 days"))</f>
        <v>30-60 days</v>
      </c>
      <c r="S606" s="31" t="s">
        <v>812</v>
      </c>
      <c r="T606" s="43" t="s">
        <v>2229</v>
      </c>
      <c r="U606" s="4" t="s">
        <v>3699</v>
      </c>
    </row>
    <row r="607" spans="1:21" x14ac:dyDescent="0.3">
      <c r="A607" s="28" t="s">
        <v>2675</v>
      </c>
      <c r="B607" s="4" t="s">
        <v>35</v>
      </c>
      <c r="C607" s="4" t="s">
        <v>337</v>
      </c>
      <c r="D607" s="4">
        <v>5405</v>
      </c>
      <c r="E607" s="30">
        <v>248</v>
      </c>
      <c r="G607" s="4">
        <v>4300021652</v>
      </c>
      <c r="J607" s="28" t="s">
        <v>764</v>
      </c>
      <c r="K607" s="28" t="s">
        <v>3</v>
      </c>
      <c r="L607" s="32">
        <v>43221</v>
      </c>
      <c r="M607" s="32">
        <f>BCOXT[[#This Row],[INV DOC DATE]]+30</f>
        <v>43251</v>
      </c>
      <c r="N607" s="32">
        <v>43250</v>
      </c>
      <c r="O607" s="31">
        <v>248</v>
      </c>
      <c r="P607" s="102">
        <v>43262</v>
      </c>
      <c r="Q607" s="31">
        <f t="shared" si="9"/>
        <v>0</v>
      </c>
      <c r="R607" s="53" t="str">
        <f ca="1">IF(TODAY() - BCOXT[INV DUE DATE]&lt;30, "Less than 30 days",IF(TODAY()-BCOXT[INV DUE DATE]&lt;60,"30-60 days","More than 60 days"))</f>
        <v>30-60 days</v>
      </c>
      <c r="S607" s="31" t="s">
        <v>812</v>
      </c>
      <c r="T607" s="43" t="s">
        <v>2229</v>
      </c>
      <c r="U607" s="4" t="s">
        <v>3699</v>
      </c>
    </row>
    <row r="608" spans="1:21" x14ac:dyDescent="0.3">
      <c r="A608" s="28" t="s">
        <v>2675</v>
      </c>
      <c r="B608" s="4" t="s">
        <v>35</v>
      </c>
      <c r="C608" s="4" t="s">
        <v>338</v>
      </c>
      <c r="D608" s="4">
        <v>5405</v>
      </c>
      <c r="E608" s="30">
        <v>248</v>
      </c>
      <c r="G608" s="4">
        <v>4300021652</v>
      </c>
      <c r="J608" s="28" t="s">
        <v>765</v>
      </c>
      <c r="K608" s="28" t="s">
        <v>3</v>
      </c>
      <c r="L608" s="32">
        <v>43221</v>
      </c>
      <c r="M608" s="32">
        <f>BCOXT[[#This Row],[INV DOC DATE]]+30</f>
        <v>43251</v>
      </c>
      <c r="N608" s="32">
        <v>43250</v>
      </c>
      <c r="O608" s="31">
        <v>248</v>
      </c>
      <c r="P608" s="102">
        <v>43262</v>
      </c>
      <c r="Q608" s="31">
        <f t="shared" si="9"/>
        <v>0</v>
      </c>
      <c r="R608" s="53" t="str">
        <f ca="1">IF(TODAY() - BCOXT[INV DUE DATE]&lt;30, "Less than 30 days",IF(TODAY()-BCOXT[INV DUE DATE]&lt;60,"30-60 days","More than 60 days"))</f>
        <v>30-60 days</v>
      </c>
      <c r="S608" s="31" t="s">
        <v>812</v>
      </c>
      <c r="T608" s="43" t="s">
        <v>2229</v>
      </c>
      <c r="U608" s="4" t="s">
        <v>3699</v>
      </c>
    </row>
    <row r="609" spans="1:21" x14ac:dyDescent="0.3">
      <c r="A609" s="28" t="s">
        <v>2675</v>
      </c>
      <c r="B609" s="4" t="s">
        <v>35</v>
      </c>
      <c r="C609" s="4" t="s">
        <v>339</v>
      </c>
      <c r="D609" s="4">
        <v>5405</v>
      </c>
      <c r="E609" s="30">
        <v>248</v>
      </c>
      <c r="G609" s="4">
        <v>4300021652</v>
      </c>
      <c r="J609" s="28" t="s">
        <v>766</v>
      </c>
      <c r="K609" s="28" t="s">
        <v>3</v>
      </c>
      <c r="L609" s="32">
        <v>43221</v>
      </c>
      <c r="M609" s="32">
        <f>BCOXT[[#This Row],[INV DOC DATE]]+30</f>
        <v>43251</v>
      </c>
      <c r="N609" s="32">
        <v>43250</v>
      </c>
      <c r="O609" s="31">
        <v>248</v>
      </c>
      <c r="P609" s="102">
        <v>43262</v>
      </c>
      <c r="Q609" s="31">
        <f t="shared" si="9"/>
        <v>0</v>
      </c>
      <c r="R609" s="53" t="str">
        <f ca="1">IF(TODAY() - BCOXT[INV DUE DATE]&lt;30, "Less than 30 days",IF(TODAY()-BCOXT[INV DUE DATE]&lt;60,"30-60 days","More than 60 days"))</f>
        <v>30-60 days</v>
      </c>
      <c r="S609" s="31" t="s">
        <v>812</v>
      </c>
      <c r="T609" s="43" t="s">
        <v>2229</v>
      </c>
      <c r="U609" s="4" t="s">
        <v>3699</v>
      </c>
    </row>
    <row r="610" spans="1:21" x14ac:dyDescent="0.3">
      <c r="A610" s="28" t="s">
        <v>2675</v>
      </c>
      <c r="B610" s="4" t="s">
        <v>35</v>
      </c>
      <c r="C610" s="4" t="s">
        <v>340</v>
      </c>
      <c r="D610" s="4">
        <v>5405</v>
      </c>
      <c r="E610" s="30">
        <v>248</v>
      </c>
      <c r="G610" s="4">
        <v>4300021652</v>
      </c>
      <c r="J610" s="28" t="s">
        <v>767</v>
      </c>
      <c r="K610" s="28" t="s">
        <v>3</v>
      </c>
      <c r="L610" s="32">
        <v>43221</v>
      </c>
      <c r="M610" s="32">
        <f>BCOXT[[#This Row],[INV DOC DATE]]+30</f>
        <v>43251</v>
      </c>
      <c r="N610" s="32">
        <v>43250</v>
      </c>
      <c r="O610" s="31">
        <v>248</v>
      </c>
      <c r="P610" s="102">
        <v>43262</v>
      </c>
      <c r="Q610" s="31">
        <f t="shared" si="9"/>
        <v>0</v>
      </c>
      <c r="R610" s="53" t="str">
        <f ca="1">IF(TODAY() - BCOXT[INV DUE DATE]&lt;30, "Less than 30 days",IF(TODAY()-BCOXT[INV DUE DATE]&lt;60,"30-60 days","More than 60 days"))</f>
        <v>30-60 days</v>
      </c>
      <c r="S610" s="31" t="s">
        <v>812</v>
      </c>
      <c r="T610" s="43" t="s">
        <v>2229</v>
      </c>
      <c r="U610" s="4" t="s">
        <v>3699</v>
      </c>
    </row>
    <row r="611" spans="1:21" x14ac:dyDescent="0.3">
      <c r="A611" s="28" t="s">
        <v>2675</v>
      </c>
      <c r="B611" s="4" t="s">
        <v>35</v>
      </c>
      <c r="C611" s="4" t="s">
        <v>341</v>
      </c>
      <c r="D611" s="4">
        <v>5405</v>
      </c>
      <c r="E611" s="30">
        <v>248</v>
      </c>
      <c r="G611" s="4">
        <v>4300021652</v>
      </c>
      <c r="J611" s="28" t="s">
        <v>768</v>
      </c>
      <c r="K611" s="28" t="s">
        <v>3</v>
      </c>
      <c r="L611" s="32">
        <v>43221</v>
      </c>
      <c r="M611" s="32">
        <f>BCOXT[[#This Row],[INV DOC DATE]]+30</f>
        <v>43251</v>
      </c>
      <c r="N611" s="32">
        <v>43250</v>
      </c>
      <c r="O611" s="31">
        <v>248</v>
      </c>
      <c r="P611" s="102">
        <v>43262</v>
      </c>
      <c r="Q611" s="31">
        <f t="shared" si="9"/>
        <v>0</v>
      </c>
      <c r="R611" s="53" t="str">
        <f ca="1">IF(TODAY() - BCOXT[INV DUE DATE]&lt;30, "Less than 30 days",IF(TODAY()-BCOXT[INV DUE DATE]&lt;60,"30-60 days","More than 60 days"))</f>
        <v>30-60 days</v>
      </c>
      <c r="S611" s="31" t="s">
        <v>812</v>
      </c>
      <c r="T611" s="43" t="s">
        <v>2229</v>
      </c>
      <c r="U611" s="4" t="s">
        <v>3699</v>
      </c>
    </row>
    <row r="612" spans="1:21" x14ac:dyDescent="0.3">
      <c r="A612" s="28" t="s">
        <v>2675</v>
      </c>
      <c r="B612" s="4" t="s">
        <v>35</v>
      </c>
      <c r="C612" s="4" t="s">
        <v>342</v>
      </c>
      <c r="D612" s="4">
        <v>5405</v>
      </c>
      <c r="E612" s="30">
        <v>248</v>
      </c>
      <c r="G612" s="4">
        <v>4300021652</v>
      </c>
      <c r="J612" s="28" t="s">
        <v>769</v>
      </c>
      <c r="K612" s="28" t="s">
        <v>3</v>
      </c>
      <c r="L612" s="32">
        <v>43221</v>
      </c>
      <c r="M612" s="32">
        <f>BCOXT[[#This Row],[INV DOC DATE]]+30</f>
        <v>43251</v>
      </c>
      <c r="N612" s="32">
        <v>43250</v>
      </c>
      <c r="O612" s="31">
        <v>248</v>
      </c>
      <c r="P612" s="102">
        <v>43262</v>
      </c>
      <c r="Q612" s="31">
        <f t="shared" si="9"/>
        <v>0</v>
      </c>
      <c r="R612" s="53" t="str">
        <f ca="1">IF(TODAY() - BCOXT[INV DUE DATE]&lt;30, "Less than 30 days",IF(TODAY()-BCOXT[INV DUE DATE]&lt;60,"30-60 days","More than 60 days"))</f>
        <v>30-60 days</v>
      </c>
      <c r="S612" s="31" t="s">
        <v>812</v>
      </c>
      <c r="T612" s="43" t="s">
        <v>2229</v>
      </c>
      <c r="U612" s="4" t="s">
        <v>3699</v>
      </c>
    </row>
    <row r="613" spans="1:21" x14ac:dyDescent="0.3">
      <c r="A613" s="28" t="s">
        <v>2675</v>
      </c>
      <c r="B613" s="4" t="s">
        <v>35</v>
      </c>
      <c r="C613" s="4" t="s">
        <v>343</v>
      </c>
      <c r="D613" s="4">
        <v>5405</v>
      </c>
      <c r="E613" s="30">
        <v>248</v>
      </c>
      <c r="G613" s="4">
        <v>4300021652</v>
      </c>
      <c r="J613" s="28" t="s">
        <v>770</v>
      </c>
      <c r="K613" s="28" t="s">
        <v>3</v>
      </c>
      <c r="L613" s="32">
        <v>43221</v>
      </c>
      <c r="M613" s="32">
        <f>BCOXT[[#This Row],[INV DOC DATE]]+30</f>
        <v>43251</v>
      </c>
      <c r="N613" s="32">
        <v>43250</v>
      </c>
      <c r="O613" s="31">
        <v>248</v>
      </c>
      <c r="P613" s="102">
        <v>43262</v>
      </c>
      <c r="Q613" s="31">
        <f t="shared" si="9"/>
        <v>0</v>
      </c>
      <c r="R613" s="53" t="str">
        <f ca="1">IF(TODAY() - BCOXT[INV DUE DATE]&lt;30, "Less than 30 days",IF(TODAY()-BCOXT[INV DUE DATE]&lt;60,"30-60 days","More than 60 days"))</f>
        <v>30-60 days</v>
      </c>
      <c r="S613" s="31" t="s">
        <v>812</v>
      </c>
      <c r="T613" s="43" t="s">
        <v>2229</v>
      </c>
      <c r="U613" s="4" t="s">
        <v>3699</v>
      </c>
    </row>
    <row r="614" spans="1:21" x14ac:dyDescent="0.3">
      <c r="A614" s="28" t="s">
        <v>2675</v>
      </c>
      <c r="B614" s="4" t="s">
        <v>35</v>
      </c>
      <c r="C614" s="4" t="s">
        <v>344</v>
      </c>
      <c r="D614" s="4">
        <v>5405</v>
      </c>
      <c r="E614" s="30">
        <v>248</v>
      </c>
      <c r="G614" s="4">
        <v>4300021652</v>
      </c>
      <c r="J614" s="28" t="s">
        <v>771</v>
      </c>
      <c r="K614" s="28" t="s">
        <v>3</v>
      </c>
      <c r="L614" s="32">
        <v>43221</v>
      </c>
      <c r="M614" s="32">
        <f>BCOXT[[#This Row],[INV DOC DATE]]+30</f>
        <v>43251</v>
      </c>
      <c r="N614" s="32">
        <v>43250</v>
      </c>
      <c r="O614" s="31">
        <v>248</v>
      </c>
      <c r="P614" s="102">
        <v>43262</v>
      </c>
      <c r="Q614" s="31">
        <f t="shared" si="9"/>
        <v>0</v>
      </c>
      <c r="R614" s="53" t="str">
        <f ca="1">IF(TODAY() - BCOXT[INV DUE DATE]&lt;30, "Less than 30 days",IF(TODAY()-BCOXT[INV DUE DATE]&lt;60,"30-60 days","More than 60 days"))</f>
        <v>30-60 days</v>
      </c>
      <c r="S614" s="31" t="s">
        <v>812</v>
      </c>
      <c r="T614" s="43" t="s">
        <v>2229</v>
      </c>
      <c r="U614" s="4" t="s">
        <v>3699</v>
      </c>
    </row>
    <row r="615" spans="1:21" x14ac:dyDescent="0.3">
      <c r="A615" s="28" t="s">
        <v>2675</v>
      </c>
      <c r="B615" s="4" t="s">
        <v>35</v>
      </c>
      <c r="C615" s="4" t="s">
        <v>345</v>
      </c>
      <c r="D615" s="4">
        <v>5405</v>
      </c>
      <c r="E615" s="30">
        <v>248</v>
      </c>
      <c r="G615" s="4">
        <v>4300021652</v>
      </c>
      <c r="J615" s="28" t="s">
        <v>772</v>
      </c>
      <c r="K615" s="28" t="s">
        <v>3</v>
      </c>
      <c r="L615" s="32">
        <v>43221</v>
      </c>
      <c r="M615" s="32">
        <f>BCOXT[[#This Row],[INV DOC DATE]]+30</f>
        <v>43251</v>
      </c>
      <c r="N615" s="32">
        <v>43250</v>
      </c>
      <c r="O615" s="31">
        <v>248</v>
      </c>
      <c r="P615" s="102">
        <v>43262</v>
      </c>
      <c r="Q615" s="31">
        <f t="shared" si="9"/>
        <v>0</v>
      </c>
      <c r="R615" s="53" t="str">
        <f ca="1">IF(TODAY() - BCOXT[INV DUE DATE]&lt;30, "Less than 30 days",IF(TODAY()-BCOXT[INV DUE DATE]&lt;60,"30-60 days","More than 60 days"))</f>
        <v>30-60 days</v>
      </c>
      <c r="S615" s="31" t="s">
        <v>812</v>
      </c>
      <c r="T615" s="43" t="s">
        <v>2229</v>
      </c>
      <c r="U615" s="4" t="s">
        <v>3699</v>
      </c>
    </row>
    <row r="616" spans="1:21" x14ac:dyDescent="0.3">
      <c r="A616" s="28" t="s">
        <v>2675</v>
      </c>
      <c r="B616" s="4" t="s">
        <v>35</v>
      </c>
      <c r="C616" s="4" t="s">
        <v>346</v>
      </c>
      <c r="D616" s="4">
        <v>5405</v>
      </c>
      <c r="E616" s="30">
        <v>248</v>
      </c>
      <c r="G616" s="4">
        <v>4300021652</v>
      </c>
      <c r="J616" s="28" t="s">
        <v>773</v>
      </c>
      <c r="K616" s="28" t="s">
        <v>3</v>
      </c>
      <c r="L616" s="32">
        <v>43221</v>
      </c>
      <c r="M616" s="32">
        <f>BCOXT[[#This Row],[INV DOC DATE]]+30</f>
        <v>43251</v>
      </c>
      <c r="N616" s="32">
        <v>43250</v>
      </c>
      <c r="O616" s="31">
        <v>248</v>
      </c>
      <c r="P616" s="102">
        <v>43262</v>
      </c>
      <c r="Q616" s="31">
        <f t="shared" si="9"/>
        <v>0</v>
      </c>
      <c r="R616" s="53" t="str">
        <f ca="1">IF(TODAY() - BCOXT[INV DUE DATE]&lt;30, "Less than 30 days",IF(TODAY()-BCOXT[INV DUE DATE]&lt;60,"30-60 days","More than 60 days"))</f>
        <v>30-60 days</v>
      </c>
      <c r="S616" s="31" t="s">
        <v>812</v>
      </c>
      <c r="T616" s="43" t="s">
        <v>2229</v>
      </c>
      <c r="U616" s="4" t="s">
        <v>3699</v>
      </c>
    </row>
    <row r="617" spans="1:21" x14ac:dyDescent="0.3">
      <c r="A617" s="28" t="s">
        <v>2675</v>
      </c>
      <c r="B617" s="4" t="s">
        <v>35</v>
      </c>
      <c r="C617" s="4" t="s">
        <v>557</v>
      </c>
      <c r="D617" s="4">
        <v>5405</v>
      </c>
      <c r="E617" s="30">
        <v>248</v>
      </c>
      <c r="G617" s="4">
        <v>4300021652</v>
      </c>
      <c r="J617" s="28" t="s">
        <v>774</v>
      </c>
      <c r="K617" s="28" t="s">
        <v>3</v>
      </c>
      <c r="L617" s="32">
        <v>43221</v>
      </c>
      <c r="M617" s="32">
        <f>BCOXT[[#This Row],[INV DOC DATE]]+30</f>
        <v>43251</v>
      </c>
      <c r="N617" s="32">
        <v>43250</v>
      </c>
      <c r="O617" s="31">
        <v>248</v>
      </c>
      <c r="P617" s="102">
        <v>43262</v>
      </c>
      <c r="Q617" s="31">
        <f t="shared" si="9"/>
        <v>0</v>
      </c>
      <c r="R617" s="53" t="str">
        <f ca="1">IF(TODAY() - BCOXT[INV DUE DATE]&lt;30, "Less than 30 days",IF(TODAY()-BCOXT[INV DUE DATE]&lt;60,"30-60 days","More than 60 days"))</f>
        <v>30-60 days</v>
      </c>
      <c r="S617" s="31" t="s">
        <v>812</v>
      </c>
      <c r="T617" s="43" t="s">
        <v>2229</v>
      </c>
      <c r="U617" s="4" t="s">
        <v>3699</v>
      </c>
    </row>
    <row r="618" spans="1:21" x14ac:dyDescent="0.3">
      <c r="A618" s="28" t="s">
        <v>2675</v>
      </c>
      <c r="B618" s="4" t="s">
        <v>35</v>
      </c>
      <c r="C618" s="4" t="s">
        <v>558</v>
      </c>
      <c r="D618" s="4">
        <v>5405</v>
      </c>
      <c r="E618" s="30">
        <v>248</v>
      </c>
      <c r="G618" s="4">
        <v>4300021652</v>
      </c>
      <c r="J618" s="28" t="s">
        <v>775</v>
      </c>
      <c r="K618" s="28" t="s">
        <v>3</v>
      </c>
      <c r="L618" s="32">
        <v>43221</v>
      </c>
      <c r="M618" s="32">
        <f>BCOXT[[#This Row],[INV DOC DATE]]+30</f>
        <v>43251</v>
      </c>
      <c r="N618" s="32">
        <v>43250</v>
      </c>
      <c r="O618" s="31">
        <v>248</v>
      </c>
      <c r="P618" s="102">
        <v>43262</v>
      </c>
      <c r="Q618" s="31">
        <f t="shared" si="9"/>
        <v>0</v>
      </c>
      <c r="R618" s="53" t="str">
        <f ca="1">IF(TODAY() - BCOXT[INV DUE DATE]&lt;30, "Less than 30 days",IF(TODAY()-BCOXT[INV DUE DATE]&lt;60,"30-60 days","More than 60 days"))</f>
        <v>30-60 days</v>
      </c>
      <c r="S618" s="31" t="s">
        <v>812</v>
      </c>
      <c r="T618" s="43" t="s">
        <v>2229</v>
      </c>
      <c r="U618" s="4" t="s">
        <v>3699</v>
      </c>
    </row>
    <row r="619" spans="1:21" x14ac:dyDescent="0.3">
      <c r="A619" s="28" t="s">
        <v>2675</v>
      </c>
      <c r="B619" s="4" t="s">
        <v>35</v>
      </c>
      <c r="C619" s="4" t="s">
        <v>559</v>
      </c>
      <c r="D619" s="4">
        <v>5405</v>
      </c>
      <c r="E619" s="30">
        <v>248</v>
      </c>
      <c r="G619" s="4">
        <v>4300021652</v>
      </c>
      <c r="J619" s="28" t="s">
        <v>776</v>
      </c>
      <c r="K619" s="28" t="s">
        <v>3</v>
      </c>
      <c r="L619" s="32">
        <v>43221</v>
      </c>
      <c r="M619" s="32">
        <f>BCOXT[[#This Row],[INV DOC DATE]]+30</f>
        <v>43251</v>
      </c>
      <c r="N619" s="32">
        <v>43250</v>
      </c>
      <c r="O619" s="31">
        <v>248</v>
      </c>
      <c r="P619" s="102">
        <v>43262</v>
      </c>
      <c r="Q619" s="31">
        <f t="shared" si="9"/>
        <v>0</v>
      </c>
      <c r="R619" s="53" t="str">
        <f ca="1">IF(TODAY() - BCOXT[INV DUE DATE]&lt;30, "Less than 30 days",IF(TODAY()-BCOXT[INV DUE DATE]&lt;60,"30-60 days","More than 60 days"))</f>
        <v>30-60 days</v>
      </c>
      <c r="S619" s="31" t="s">
        <v>812</v>
      </c>
      <c r="T619" s="43" t="s">
        <v>2229</v>
      </c>
      <c r="U619" s="4" t="s">
        <v>3699</v>
      </c>
    </row>
    <row r="620" spans="1:21" x14ac:dyDescent="0.3">
      <c r="A620" s="28" t="s">
        <v>2675</v>
      </c>
      <c r="B620" s="4" t="s">
        <v>35</v>
      </c>
      <c r="C620" s="4" t="s">
        <v>560</v>
      </c>
      <c r="D620" s="4">
        <v>5405</v>
      </c>
      <c r="E620" s="30">
        <v>248</v>
      </c>
      <c r="G620" s="4">
        <v>4300021652</v>
      </c>
      <c r="J620" s="28" t="s">
        <v>777</v>
      </c>
      <c r="K620" s="28" t="s">
        <v>3</v>
      </c>
      <c r="L620" s="32">
        <v>43221</v>
      </c>
      <c r="M620" s="32">
        <f>BCOXT[[#This Row],[INV DOC DATE]]+30</f>
        <v>43251</v>
      </c>
      <c r="N620" s="32">
        <v>43250</v>
      </c>
      <c r="O620" s="31">
        <v>248</v>
      </c>
      <c r="P620" s="102">
        <v>43262</v>
      </c>
      <c r="Q620" s="31">
        <f t="shared" si="9"/>
        <v>0</v>
      </c>
      <c r="R620" s="53" t="str">
        <f ca="1">IF(TODAY() - BCOXT[INV DUE DATE]&lt;30, "Less than 30 days",IF(TODAY()-BCOXT[INV DUE DATE]&lt;60,"30-60 days","More than 60 days"))</f>
        <v>30-60 days</v>
      </c>
      <c r="S620" s="31" t="s">
        <v>812</v>
      </c>
      <c r="T620" s="43" t="s">
        <v>2229</v>
      </c>
      <c r="U620" s="4" t="s">
        <v>3699</v>
      </c>
    </row>
    <row r="621" spans="1:21" x14ac:dyDescent="0.3">
      <c r="A621" s="28" t="s">
        <v>2675</v>
      </c>
      <c r="B621" s="4" t="s">
        <v>35</v>
      </c>
      <c r="C621" s="4" t="s">
        <v>561</v>
      </c>
      <c r="D621" s="4">
        <v>5405</v>
      </c>
      <c r="E621" s="30">
        <v>248</v>
      </c>
      <c r="G621" s="4">
        <v>4300021652</v>
      </c>
      <c r="J621" s="28" t="s">
        <v>778</v>
      </c>
      <c r="K621" s="28" t="s">
        <v>3</v>
      </c>
      <c r="L621" s="32">
        <v>43221</v>
      </c>
      <c r="M621" s="32">
        <f>BCOXT[[#This Row],[INV DOC DATE]]+30</f>
        <v>43251</v>
      </c>
      <c r="N621" s="32">
        <v>43250</v>
      </c>
      <c r="O621" s="31">
        <v>248</v>
      </c>
      <c r="P621" s="102">
        <v>43262</v>
      </c>
      <c r="Q621" s="31">
        <f t="shared" si="9"/>
        <v>0</v>
      </c>
      <c r="R621" s="53" t="str">
        <f ca="1">IF(TODAY() - BCOXT[INV DUE DATE]&lt;30, "Less than 30 days",IF(TODAY()-BCOXT[INV DUE DATE]&lt;60,"30-60 days","More than 60 days"))</f>
        <v>30-60 days</v>
      </c>
      <c r="S621" s="31" t="s">
        <v>812</v>
      </c>
      <c r="T621" s="43" t="s">
        <v>2229</v>
      </c>
      <c r="U621" s="4" t="s">
        <v>3699</v>
      </c>
    </row>
    <row r="622" spans="1:21" x14ac:dyDescent="0.3">
      <c r="A622" s="28" t="s">
        <v>2675</v>
      </c>
      <c r="B622" s="4" t="s">
        <v>35</v>
      </c>
      <c r="C622" s="4" t="s">
        <v>562</v>
      </c>
      <c r="D622" s="4">
        <v>5405</v>
      </c>
      <c r="E622" s="30">
        <v>248</v>
      </c>
      <c r="G622" s="4">
        <v>4300021652</v>
      </c>
      <c r="J622" s="28" t="s">
        <v>779</v>
      </c>
      <c r="K622" s="28" t="s">
        <v>3</v>
      </c>
      <c r="L622" s="32">
        <v>43221</v>
      </c>
      <c r="M622" s="32">
        <f>BCOXT[[#This Row],[INV DOC DATE]]+30</f>
        <v>43251</v>
      </c>
      <c r="N622" s="32">
        <v>43250</v>
      </c>
      <c r="O622" s="31">
        <v>248</v>
      </c>
      <c r="P622" s="102">
        <v>43262</v>
      </c>
      <c r="Q622" s="31">
        <f t="shared" si="9"/>
        <v>0</v>
      </c>
      <c r="R622" s="53" t="str">
        <f ca="1">IF(TODAY() - BCOXT[INV DUE DATE]&lt;30, "Less than 30 days",IF(TODAY()-BCOXT[INV DUE DATE]&lt;60,"30-60 days","More than 60 days"))</f>
        <v>30-60 days</v>
      </c>
      <c r="S622" s="31" t="s">
        <v>812</v>
      </c>
      <c r="T622" s="43" t="s">
        <v>2229</v>
      </c>
      <c r="U622" s="4" t="s">
        <v>3699</v>
      </c>
    </row>
    <row r="623" spans="1:21" x14ac:dyDescent="0.3">
      <c r="A623" s="28" t="s">
        <v>2675</v>
      </c>
      <c r="B623" s="4" t="s">
        <v>35</v>
      </c>
      <c r="C623" s="4" t="s">
        <v>563</v>
      </c>
      <c r="D623" s="4">
        <v>5405</v>
      </c>
      <c r="E623" s="30">
        <v>248</v>
      </c>
      <c r="G623" s="4">
        <v>4300021652</v>
      </c>
      <c r="J623" s="28" t="s">
        <v>780</v>
      </c>
      <c r="K623" s="28" t="s">
        <v>3</v>
      </c>
      <c r="L623" s="32">
        <v>43221</v>
      </c>
      <c r="M623" s="32">
        <f>BCOXT[[#This Row],[INV DOC DATE]]+30</f>
        <v>43251</v>
      </c>
      <c r="N623" s="32">
        <v>43250</v>
      </c>
      <c r="O623" s="31">
        <v>248</v>
      </c>
      <c r="P623" s="102">
        <v>43262</v>
      </c>
      <c r="Q623" s="31">
        <f t="shared" si="9"/>
        <v>0</v>
      </c>
      <c r="R623" s="53" t="str">
        <f ca="1">IF(TODAY() - BCOXT[INV DUE DATE]&lt;30, "Less than 30 days",IF(TODAY()-BCOXT[INV DUE DATE]&lt;60,"30-60 days","More than 60 days"))</f>
        <v>30-60 days</v>
      </c>
      <c r="S623" s="31" t="s">
        <v>812</v>
      </c>
      <c r="T623" s="43" t="s">
        <v>2229</v>
      </c>
      <c r="U623" s="4" t="s">
        <v>3699</v>
      </c>
    </row>
    <row r="624" spans="1:21" x14ac:dyDescent="0.3">
      <c r="A624" s="28" t="s">
        <v>2675</v>
      </c>
      <c r="B624" s="4" t="s">
        <v>35</v>
      </c>
      <c r="C624" s="4" t="s">
        <v>564</v>
      </c>
      <c r="D624" s="4">
        <v>5405</v>
      </c>
      <c r="E624" s="30">
        <v>248</v>
      </c>
      <c r="G624" s="4">
        <v>4300021652</v>
      </c>
      <c r="J624" s="28" t="s">
        <v>781</v>
      </c>
      <c r="K624" s="28" t="s">
        <v>3</v>
      </c>
      <c r="L624" s="32">
        <v>43221</v>
      </c>
      <c r="M624" s="32">
        <f>BCOXT[[#This Row],[INV DOC DATE]]+30</f>
        <v>43251</v>
      </c>
      <c r="N624" s="32">
        <v>43250</v>
      </c>
      <c r="O624" s="31">
        <v>248</v>
      </c>
      <c r="P624" s="102">
        <v>43262</v>
      </c>
      <c r="Q624" s="31">
        <f t="shared" si="9"/>
        <v>0</v>
      </c>
      <c r="R624" s="53" t="str">
        <f ca="1">IF(TODAY() - BCOXT[INV DUE DATE]&lt;30, "Less than 30 days",IF(TODAY()-BCOXT[INV DUE DATE]&lt;60,"30-60 days","More than 60 days"))</f>
        <v>30-60 days</v>
      </c>
      <c r="S624" s="31" t="s">
        <v>812</v>
      </c>
      <c r="T624" s="43" t="s">
        <v>2229</v>
      </c>
      <c r="U624" s="4" t="s">
        <v>3699</v>
      </c>
    </row>
    <row r="625" spans="1:21" x14ac:dyDescent="0.3">
      <c r="A625" s="28" t="s">
        <v>2675</v>
      </c>
      <c r="B625" s="4" t="s">
        <v>35</v>
      </c>
      <c r="C625" s="4" t="s">
        <v>565</v>
      </c>
      <c r="D625" s="4">
        <v>5405</v>
      </c>
      <c r="E625" s="30">
        <v>248</v>
      </c>
      <c r="G625" s="4">
        <v>4300021652</v>
      </c>
      <c r="J625" s="28" t="s">
        <v>782</v>
      </c>
      <c r="K625" s="28" t="s">
        <v>3</v>
      </c>
      <c r="L625" s="32">
        <v>43221</v>
      </c>
      <c r="M625" s="32">
        <f>BCOXT[[#This Row],[INV DOC DATE]]+30</f>
        <v>43251</v>
      </c>
      <c r="N625" s="32">
        <v>43250</v>
      </c>
      <c r="O625" s="31">
        <v>248</v>
      </c>
      <c r="P625" s="102">
        <v>43262</v>
      </c>
      <c r="Q625" s="31">
        <f t="shared" si="9"/>
        <v>0</v>
      </c>
      <c r="R625" s="53" t="str">
        <f ca="1">IF(TODAY() - BCOXT[INV DUE DATE]&lt;30, "Less than 30 days",IF(TODAY()-BCOXT[INV DUE DATE]&lt;60,"30-60 days","More than 60 days"))</f>
        <v>30-60 days</v>
      </c>
      <c r="S625" s="31" t="s">
        <v>812</v>
      </c>
      <c r="T625" s="43" t="s">
        <v>2229</v>
      </c>
      <c r="U625" s="4" t="s">
        <v>3699</v>
      </c>
    </row>
    <row r="626" spans="1:21" x14ac:dyDescent="0.3">
      <c r="A626" s="28" t="s">
        <v>2675</v>
      </c>
      <c r="B626" s="4" t="s">
        <v>35</v>
      </c>
      <c r="C626" s="4" t="s">
        <v>566</v>
      </c>
      <c r="D626" s="4">
        <v>5405</v>
      </c>
      <c r="E626" s="30">
        <v>248</v>
      </c>
      <c r="G626" s="4">
        <v>4300021652</v>
      </c>
      <c r="J626" s="28" t="s">
        <v>783</v>
      </c>
      <c r="K626" s="28" t="s">
        <v>3</v>
      </c>
      <c r="L626" s="32">
        <v>43221</v>
      </c>
      <c r="M626" s="32">
        <f>BCOXT[[#This Row],[INV DOC DATE]]+30</f>
        <v>43251</v>
      </c>
      <c r="N626" s="32">
        <v>43250</v>
      </c>
      <c r="O626" s="31">
        <v>248</v>
      </c>
      <c r="P626" s="102">
        <v>43262</v>
      </c>
      <c r="Q626" s="31">
        <f t="shared" si="9"/>
        <v>0</v>
      </c>
      <c r="R626" s="53" t="str">
        <f ca="1">IF(TODAY() - BCOXT[INV DUE DATE]&lt;30, "Less than 30 days",IF(TODAY()-BCOXT[INV DUE DATE]&lt;60,"30-60 days","More than 60 days"))</f>
        <v>30-60 days</v>
      </c>
      <c r="S626" s="31" t="s">
        <v>812</v>
      </c>
      <c r="T626" s="43" t="s">
        <v>2229</v>
      </c>
      <c r="U626" s="4" t="s">
        <v>3699</v>
      </c>
    </row>
    <row r="627" spans="1:21" x14ac:dyDescent="0.3">
      <c r="A627" s="28" t="s">
        <v>2675</v>
      </c>
      <c r="B627" s="4" t="s">
        <v>35</v>
      </c>
      <c r="C627" s="4" t="s">
        <v>567</v>
      </c>
      <c r="D627" s="4">
        <v>5405</v>
      </c>
      <c r="E627" s="30">
        <v>248</v>
      </c>
      <c r="G627" s="4">
        <v>4300021652</v>
      </c>
      <c r="J627" s="28" t="s">
        <v>784</v>
      </c>
      <c r="K627" s="28" t="s">
        <v>3</v>
      </c>
      <c r="L627" s="32">
        <v>43221</v>
      </c>
      <c r="M627" s="32">
        <f>BCOXT[[#This Row],[INV DOC DATE]]+30</f>
        <v>43251</v>
      </c>
      <c r="N627" s="32">
        <v>43250</v>
      </c>
      <c r="O627" s="31">
        <v>248</v>
      </c>
      <c r="P627" s="102">
        <v>43262</v>
      </c>
      <c r="Q627" s="31">
        <f t="shared" si="9"/>
        <v>0</v>
      </c>
      <c r="R627" s="53" t="str">
        <f ca="1">IF(TODAY() - BCOXT[INV DUE DATE]&lt;30, "Less than 30 days",IF(TODAY()-BCOXT[INV DUE DATE]&lt;60,"30-60 days","More than 60 days"))</f>
        <v>30-60 days</v>
      </c>
      <c r="S627" s="31" t="s">
        <v>812</v>
      </c>
      <c r="T627" s="43" t="s">
        <v>2229</v>
      </c>
      <c r="U627" s="4" t="s">
        <v>3699</v>
      </c>
    </row>
    <row r="628" spans="1:21" x14ac:dyDescent="0.3">
      <c r="A628" s="28" t="s">
        <v>2675</v>
      </c>
      <c r="B628" s="4" t="s">
        <v>35</v>
      </c>
      <c r="C628" s="4" t="s">
        <v>568</v>
      </c>
      <c r="D628" s="4">
        <v>5405</v>
      </c>
      <c r="E628" s="30">
        <v>248</v>
      </c>
      <c r="G628" s="4">
        <v>4300021652</v>
      </c>
      <c r="J628" s="28" t="s">
        <v>785</v>
      </c>
      <c r="K628" s="28" t="s">
        <v>3</v>
      </c>
      <c r="L628" s="32">
        <v>43221</v>
      </c>
      <c r="M628" s="32">
        <f>BCOXT[[#This Row],[INV DOC DATE]]+30</f>
        <v>43251</v>
      </c>
      <c r="N628" s="32">
        <v>43250</v>
      </c>
      <c r="O628" s="31">
        <v>248</v>
      </c>
      <c r="P628" s="102">
        <v>43262</v>
      </c>
      <c r="Q628" s="31">
        <f t="shared" si="9"/>
        <v>0</v>
      </c>
      <c r="R628" s="53" t="str">
        <f ca="1">IF(TODAY() - BCOXT[INV DUE DATE]&lt;30, "Less than 30 days",IF(TODAY()-BCOXT[INV DUE DATE]&lt;60,"30-60 days","More than 60 days"))</f>
        <v>30-60 days</v>
      </c>
      <c r="S628" s="31" t="s">
        <v>812</v>
      </c>
      <c r="T628" s="43" t="s">
        <v>2229</v>
      </c>
      <c r="U628" s="4" t="s">
        <v>3699</v>
      </c>
    </row>
    <row r="629" spans="1:21" x14ac:dyDescent="0.3">
      <c r="A629" s="28" t="s">
        <v>2675</v>
      </c>
      <c r="B629" s="4" t="s">
        <v>35</v>
      </c>
      <c r="C629" s="4" t="s">
        <v>569</v>
      </c>
      <c r="D629" s="4">
        <v>5405</v>
      </c>
      <c r="E629" s="30">
        <v>248</v>
      </c>
      <c r="G629" s="4">
        <v>4300021652</v>
      </c>
      <c r="J629" s="28" t="s">
        <v>786</v>
      </c>
      <c r="K629" s="28" t="s">
        <v>3</v>
      </c>
      <c r="L629" s="32">
        <v>43221</v>
      </c>
      <c r="M629" s="32">
        <f>BCOXT[[#This Row],[INV DOC DATE]]+30</f>
        <v>43251</v>
      </c>
      <c r="N629" s="32">
        <v>43250</v>
      </c>
      <c r="O629" s="31">
        <v>248</v>
      </c>
      <c r="P629" s="102">
        <v>43262</v>
      </c>
      <c r="Q629" s="31">
        <f t="shared" si="9"/>
        <v>0</v>
      </c>
      <c r="R629" s="53" t="str">
        <f ca="1">IF(TODAY() - BCOXT[INV DUE DATE]&lt;30, "Less than 30 days",IF(TODAY()-BCOXT[INV DUE DATE]&lt;60,"30-60 days","More than 60 days"))</f>
        <v>30-60 days</v>
      </c>
      <c r="S629" s="31" t="s">
        <v>812</v>
      </c>
      <c r="T629" s="43" t="s">
        <v>2229</v>
      </c>
      <c r="U629" s="4" t="s">
        <v>3699</v>
      </c>
    </row>
    <row r="630" spans="1:21" x14ac:dyDescent="0.3">
      <c r="A630" s="28" t="s">
        <v>2675</v>
      </c>
      <c r="B630" s="4" t="s">
        <v>35</v>
      </c>
      <c r="C630" s="4" t="s">
        <v>570</v>
      </c>
      <c r="D630" s="4">
        <v>5405</v>
      </c>
      <c r="E630" s="30">
        <v>248</v>
      </c>
      <c r="G630" s="4">
        <v>4300021652</v>
      </c>
      <c r="J630" s="28" t="s">
        <v>787</v>
      </c>
      <c r="K630" s="28" t="s">
        <v>3</v>
      </c>
      <c r="L630" s="32">
        <v>43221</v>
      </c>
      <c r="M630" s="32">
        <f>BCOXT[[#This Row],[INV DOC DATE]]+30</f>
        <v>43251</v>
      </c>
      <c r="N630" s="32">
        <v>43250</v>
      </c>
      <c r="O630" s="31">
        <v>248</v>
      </c>
      <c r="P630" s="102">
        <v>43262</v>
      </c>
      <c r="Q630" s="31">
        <f t="shared" si="9"/>
        <v>0</v>
      </c>
      <c r="R630" s="53" t="str">
        <f ca="1">IF(TODAY() - BCOXT[INV DUE DATE]&lt;30, "Less than 30 days",IF(TODAY()-BCOXT[INV DUE DATE]&lt;60,"30-60 days","More than 60 days"))</f>
        <v>30-60 days</v>
      </c>
      <c r="S630" s="31" t="s">
        <v>812</v>
      </c>
      <c r="T630" s="43" t="s">
        <v>2229</v>
      </c>
      <c r="U630" s="4" t="s">
        <v>3699</v>
      </c>
    </row>
    <row r="631" spans="1:21" x14ac:dyDescent="0.3">
      <c r="A631" s="28" t="s">
        <v>2675</v>
      </c>
      <c r="B631" s="4" t="s">
        <v>35</v>
      </c>
      <c r="C631" s="4" t="s">
        <v>571</v>
      </c>
      <c r="D631" s="4">
        <v>5405</v>
      </c>
      <c r="E631" s="30">
        <v>248</v>
      </c>
      <c r="G631" s="4">
        <v>4300021652</v>
      </c>
      <c r="J631" s="28" t="s">
        <v>788</v>
      </c>
      <c r="K631" s="28" t="s">
        <v>3</v>
      </c>
      <c r="L631" s="32">
        <v>43221</v>
      </c>
      <c r="M631" s="32">
        <f>BCOXT[[#This Row],[INV DOC DATE]]+30</f>
        <v>43251</v>
      </c>
      <c r="N631" s="32">
        <v>43250</v>
      </c>
      <c r="O631" s="31">
        <v>248</v>
      </c>
      <c r="P631" s="102">
        <v>43262</v>
      </c>
      <c r="Q631" s="31">
        <f t="shared" si="9"/>
        <v>0</v>
      </c>
      <c r="R631" s="53" t="str">
        <f ca="1">IF(TODAY() - BCOXT[INV DUE DATE]&lt;30, "Less than 30 days",IF(TODAY()-BCOXT[INV DUE DATE]&lt;60,"30-60 days","More than 60 days"))</f>
        <v>30-60 days</v>
      </c>
      <c r="S631" s="31" t="s">
        <v>812</v>
      </c>
      <c r="T631" s="43" t="s">
        <v>2229</v>
      </c>
      <c r="U631" s="4" t="s">
        <v>3699</v>
      </c>
    </row>
    <row r="632" spans="1:21" x14ac:dyDescent="0.3">
      <c r="A632" s="28" t="s">
        <v>2675</v>
      </c>
      <c r="B632" s="4" t="s">
        <v>35</v>
      </c>
      <c r="C632" s="4" t="s">
        <v>572</v>
      </c>
      <c r="D632" s="4">
        <v>5405</v>
      </c>
      <c r="E632" s="30">
        <v>248</v>
      </c>
      <c r="G632" s="4">
        <v>4300021652</v>
      </c>
      <c r="J632" s="28" t="s">
        <v>789</v>
      </c>
      <c r="K632" s="28" t="s">
        <v>3</v>
      </c>
      <c r="L632" s="32">
        <v>43221</v>
      </c>
      <c r="M632" s="32">
        <f>BCOXT[[#This Row],[INV DOC DATE]]+30</f>
        <v>43251</v>
      </c>
      <c r="N632" s="32">
        <v>43250</v>
      </c>
      <c r="O632" s="31">
        <v>248</v>
      </c>
      <c r="P632" s="102">
        <v>43262</v>
      </c>
      <c r="Q632" s="31">
        <f t="shared" si="9"/>
        <v>0</v>
      </c>
      <c r="R632" s="53" t="str">
        <f ca="1">IF(TODAY() - BCOXT[INV DUE DATE]&lt;30, "Less than 30 days",IF(TODAY()-BCOXT[INV DUE DATE]&lt;60,"30-60 days","More than 60 days"))</f>
        <v>30-60 days</v>
      </c>
      <c r="S632" s="31" t="s">
        <v>812</v>
      </c>
      <c r="T632" s="43" t="s">
        <v>2229</v>
      </c>
      <c r="U632" s="4" t="s">
        <v>3699</v>
      </c>
    </row>
    <row r="633" spans="1:21" x14ac:dyDescent="0.3">
      <c r="A633" s="28" t="s">
        <v>2675</v>
      </c>
      <c r="B633" s="4" t="s">
        <v>35</v>
      </c>
      <c r="C633" s="4" t="s">
        <v>573</v>
      </c>
      <c r="D633" s="4">
        <v>5405</v>
      </c>
      <c r="E633" s="30">
        <v>248</v>
      </c>
      <c r="G633" s="4">
        <v>4300021652</v>
      </c>
      <c r="J633" s="28" t="s">
        <v>790</v>
      </c>
      <c r="K633" s="28" t="s">
        <v>3</v>
      </c>
      <c r="L633" s="32">
        <v>43221</v>
      </c>
      <c r="M633" s="32">
        <f>BCOXT[[#This Row],[INV DOC DATE]]+30</f>
        <v>43251</v>
      </c>
      <c r="N633" s="32">
        <v>43250</v>
      </c>
      <c r="O633" s="31">
        <v>248</v>
      </c>
      <c r="P633" s="102">
        <v>43262</v>
      </c>
      <c r="Q633" s="31">
        <f t="shared" si="9"/>
        <v>0</v>
      </c>
      <c r="R633" s="53" t="str">
        <f ca="1">IF(TODAY() - BCOXT[INV DUE DATE]&lt;30, "Less than 30 days",IF(TODAY()-BCOXT[INV DUE DATE]&lt;60,"30-60 days","More than 60 days"))</f>
        <v>30-60 days</v>
      </c>
      <c r="S633" s="31" t="s">
        <v>812</v>
      </c>
      <c r="T633" s="43" t="s">
        <v>2229</v>
      </c>
      <c r="U633" s="4" t="s">
        <v>3699</v>
      </c>
    </row>
    <row r="634" spans="1:21" x14ac:dyDescent="0.3">
      <c r="A634" s="28" t="s">
        <v>2675</v>
      </c>
      <c r="B634" s="4" t="s">
        <v>35</v>
      </c>
      <c r="C634" s="4" t="s">
        <v>574</v>
      </c>
      <c r="D634" s="4">
        <v>5405</v>
      </c>
      <c r="E634" s="30">
        <v>248</v>
      </c>
      <c r="G634" s="4">
        <v>4300021652</v>
      </c>
      <c r="J634" s="28" t="s">
        <v>791</v>
      </c>
      <c r="K634" s="28" t="s">
        <v>3</v>
      </c>
      <c r="L634" s="32">
        <v>43221</v>
      </c>
      <c r="M634" s="32">
        <f>BCOXT[[#This Row],[INV DOC DATE]]+30</f>
        <v>43251</v>
      </c>
      <c r="N634" s="32">
        <v>43250</v>
      </c>
      <c r="O634" s="31">
        <v>248</v>
      </c>
      <c r="P634" s="102">
        <v>43262</v>
      </c>
      <c r="Q634" s="31">
        <f t="shared" si="9"/>
        <v>0</v>
      </c>
      <c r="R634" s="53" t="str">
        <f ca="1">IF(TODAY() - BCOXT[INV DUE DATE]&lt;30, "Less than 30 days",IF(TODAY()-BCOXT[INV DUE DATE]&lt;60,"30-60 days","More than 60 days"))</f>
        <v>30-60 days</v>
      </c>
      <c r="S634" s="31" t="s">
        <v>812</v>
      </c>
      <c r="T634" s="43" t="s">
        <v>2229</v>
      </c>
      <c r="U634" s="4" t="s">
        <v>3699</v>
      </c>
    </row>
    <row r="635" spans="1:21" x14ac:dyDescent="0.3">
      <c r="A635" s="28" t="s">
        <v>2675</v>
      </c>
      <c r="B635" s="4" t="s">
        <v>35</v>
      </c>
      <c r="C635" s="4" t="s">
        <v>575</v>
      </c>
      <c r="D635" s="4">
        <v>5405</v>
      </c>
      <c r="E635" s="30">
        <v>248</v>
      </c>
      <c r="G635" s="4">
        <v>4300021652</v>
      </c>
      <c r="J635" s="28" t="s">
        <v>792</v>
      </c>
      <c r="K635" s="28" t="s">
        <v>3</v>
      </c>
      <c r="L635" s="32">
        <v>43221</v>
      </c>
      <c r="M635" s="32">
        <f>BCOXT[[#This Row],[INV DOC DATE]]+30</f>
        <v>43251</v>
      </c>
      <c r="N635" s="32">
        <v>43250</v>
      </c>
      <c r="O635" s="31">
        <v>248</v>
      </c>
      <c r="P635" s="102">
        <v>43262</v>
      </c>
      <c r="Q635" s="31">
        <f t="shared" si="9"/>
        <v>0</v>
      </c>
      <c r="R635" s="53" t="str">
        <f ca="1">IF(TODAY() - BCOXT[INV DUE DATE]&lt;30, "Less than 30 days",IF(TODAY()-BCOXT[INV DUE DATE]&lt;60,"30-60 days","More than 60 days"))</f>
        <v>30-60 days</v>
      </c>
      <c r="S635" s="31" t="s">
        <v>812</v>
      </c>
      <c r="T635" s="43" t="s">
        <v>2229</v>
      </c>
      <c r="U635" s="4" t="s">
        <v>3699</v>
      </c>
    </row>
    <row r="636" spans="1:21" x14ac:dyDescent="0.3">
      <c r="A636" s="28" t="s">
        <v>2675</v>
      </c>
      <c r="B636" s="4" t="s">
        <v>35</v>
      </c>
      <c r="C636" s="4" t="s">
        <v>576</v>
      </c>
      <c r="D636" s="4">
        <v>5405</v>
      </c>
      <c r="E636" s="30">
        <v>248</v>
      </c>
      <c r="G636" s="4">
        <v>4300021652</v>
      </c>
      <c r="J636" s="28" t="s">
        <v>793</v>
      </c>
      <c r="K636" s="28" t="s">
        <v>3</v>
      </c>
      <c r="L636" s="32">
        <v>43221</v>
      </c>
      <c r="M636" s="32">
        <f>BCOXT[[#This Row],[INV DOC DATE]]+30</f>
        <v>43251</v>
      </c>
      <c r="N636" s="32">
        <v>43250</v>
      </c>
      <c r="O636" s="31">
        <v>248</v>
      </c>
      <c r="P636" s="102">
        <v>43262</v>
      </c>
      <c r="Q636" s="31">
        <f t="shared" si="9"/>
        <v>0</v>
      </c>
      <c r="R636" s="53" t="str">
        <f ca="1">IF(TODAY() - BCOXT[INV DUE DATE]&lt;30, "Less than 30 days",IF(TODAY()-BCOXT[INV DUE DATE]&lt;60,"30-60 days","More than 60 days"))</f>
        <v>30-60 days</v>
      </c>
      <c r="S636" s="31" t="s">
        <v>812</v>
      </c>
      <c r="T636" s="43" t="s">
        <v>2229</v>
      </c>
      <c r="U636" s="4" t="s">
        <v>3699</v>
      </c>
    </row>
    <row r="637" spans="1:21" x14ac:dyDescent="0.3">
      <c r="A637" s="28" t="s">
        <v>2675</v>
      </c>
      <c r="B637" s="4" t="s">
        <v>35</v>
      </c>
      <c r="C637" s="4" t="s">
        <v>577</v>
      </c>
      <c r="D637" s="4">
        <v>5405</v>
      </c>
      <c r="E637" s="30">
        <v>248</v>
      </c>
      <c r="G637" s="4">
        <v>4300021652</v>
      </c>
      <c r="J637" s="28" t="s">
        <v>794</v>
      </c>
      <c r="K637" s="28" t="s">
        <v>3</v>
      </c>
      <c r="L637" s="32">
        <v>43221</v>
      </c>
      <c r="M637" s="32">
        <f>BCOXT[[#This Row],[INV DOC DATE]]+30</f>
        <v>43251</v>
      </c>
      <c r="N637" s="32">
        <v>43250</v>
      </c>
      <c r="O637" s="31">
        <v>248</v>
      </c>
      <c r="P637" s="102">
        <v>43262</v>
      </c>
      <c r="Q637" s="31">
        <f t="shared" si="9"/>
        <v>0</v>
      </c>
      <c r="R637" s="53" t="str">
        <f ca="1">IF(TODAY() - BCOXT[INV DUE DATE]&lt;30, "Less than 30 days",IF(TODAY()-BCOXT[INV DUE DATE]&lt;60,"30-60 days","More than 60 days"))</f>
        <v>30-60 days</v>
      </c>
      <c r="S637" s="31" t="s">
        <v>812</v>
      </c>
      <c r="T637" s="43" t="s">
        <v>2229</v>
      </c>
      <c r="U637" s="4" t="s">
        <v>3699</v>
      </c>
    </row>
    <row r="638" spans="1:21" x14ac:dyDescent="0.3">
      <c r="A638" s="28" t="s">
        <v>2675</v>
      </c>
      <c r="B638" s="4" t="s">
        <v>35</v>
      </c>
      <c r="C638" s="4" t="s">
        <v>578</v>
      </c>
      <c r="D638" s="4">
        <v>5405</v>
      </c>
      <c r="E638" s="30">
        <v>248</v>
      </c>
      <c r="G638" s="4">
        <v>4300021652</v>
      </c>
      <c r="J638" s="28" t="s">
        <v>795</v>
      </c>
      <c r="K638" s="28" t="s">
        <v>3</v>
      </c>
      <c r="L638" s="32">
        <v>43221</v>
      </c>
      <c r="M638" s="32">
        <f>BCOXT[[#This Row],[INV DOC DATE]]+30</f>
        <v>43251</v>
      </c>
      <c r="N638" s="32">
        <v>43250</v>
      </c>
      <c r="O638" s="31">
        <v>248</v>
      </c>
      <c r="P638" s="102">
        <v>43262</v>
      </c>
      <c r="Q638" s="31">
        <f t="shared" si="9"/>
        <v>0</v>
      </c>
      <c r="R638" s="53" t="str">
        <f ca="1">IF(TODAY() - BCOXT[INV DUE DATE]&lt;30, "Less than 30 days",IF(TODAY()-BCOXT[INV DUE DATE]&lt;60,"30-60 days","More than 60 days"))</f>
        <v>30-60 days</v>
      </c>
      <c r="S638" s="31" t="s">
        <v>812</v>
      </c>
      <c r="T638" s="43" t="s">
        <v>2229</v>
      </c>
      <c r="U638" s="4" t="s">
        <v>3699</v>
      </c>
    </row>
    <row r="639" spans="1:21" x14ac:dyDescent="0.3">
      <c r="A639" s="28" t="s">
        <v>2675</v>
      </c>
      <c r="B639" s="4" t="s">
        <v>35</v>
      </c>
      <c r="C639" s="4" t="s">
        <v>579</v>
      </c>
      <c r="D639" s="4">
        <v>5405</v>
      </c>
      <c r="E639" s="30">
        <v>502.2</v>
      </c>
      <c r="G639" s="4">
        <v>4300021652</v>
      </c>
      <c r="J639" s="28" t="s">
        <v>796</v>
      </c>
      <c r="K639" s="28" t="s">
        <v>3</v>
      </c>
      <c r="L639" s="32">
        <v>43221</v>
      </c>
      <c r="M639" s="32">
        <f>BCOXT[[#This Row],[INV DOC DATE]]+30</f>
        <v>43251</v>
      </c>
      <c r="N639" s="32">
        <v>43250</v>
      </c>
      <c r="O639" s="31">
        <v>502.2</v>
      </c>
      <c r="P639" s="102">
        <v>43262</v>
      </c>
      <c r="Q639" s="31">
        <f t="shared" si="9"/>
        <v>0</v>
      </c>
      <c r="R639" s="53" t="str">
        <f ca="1">IF(TODAY() - BCOXT[INV DUE DATE]&lt;30, "Less than 30 days",IF(TODAY()-BCOXT[INV DUE DATE]&lt;60,"30-60 days","More than 60 days"))</f>
        <v>30-60 days</v>
      </c>
      <c r="S639" s="31" t="s">
        <v>812</v>
      </c>
      <c r="T639" s="43" t="s">
        <v>2229</v>
      </c>
      <c r="U639" s="4" t="s">
        <v>3699</v>
      </c>
    </row>
    <row r="640" spans="1:21" x14ac:dyDescent="0.3">
      <c r="A640" s="28" t="s">
        <v>2675</v>
      </c>
      <c r="B640" s="4" t="s">
        <v>35</v>
      </c>
      <c r="C640" s="4" t="s">
        <v>580</v>
      </c>
      <c r="D640" s="4">
        <v>5405</v>
      </c>
      <c r="E640" s="30">
        <v>372.6</v>
      </c>
      <c r="G640" s="4">
        <v>4300021652</v>
      </c>
      <c r="J640" s="28" t="s">
        <v>797</v>
      </c>
      <c r="K640" s="28" t="s">
        <v>3</v>
      </c>
      <c r="L640" s="32">
        <v>43221</v>
      </c>
      <c r="M640" s="32">
        <f>BCOXT[[#This Row],[INV DOC DATE]]+30</f>
        <v>43251</v>
      </c>
      <c r="N640" s="32">
        <v>43250</v>
      </c>
      <c r="O640" s="31">
        <v>372.6</v>
      </c>
      <c r="P640" s="102">
        <v>43262</v>
      </c>
      <c r="Q640" s="31">
        <f t="shared" si="9"/>
        <v>0</v>
      </c>
      <c r="R640" s="53" t="str">
        <f ca="1">IF(TODAY() - BCOXT[INV DUE DATE]&lt;30, "Less than 30 days",IF(TODAY()-BCOXT[INV DUE DATE]&lt;60,"30-60 days","More than 60 days"))</f>
        <v>30-60 days</v>
      </c>
      <c r="S640" s="31" t="s">
        <v>812</v>
      </c>
      <c r="T640" s="43" t="s">
        <v>2229</v>
      </c>
      <c r="U640" s="4" t="s">
        <v>3699</v>
      </c>
    </row>
    <row r="641" spans="1:21" x14ac:dyDescent="0.3">
      <c r="A641" s="28" t="s">
        <v>2675</v>
      </c>
      <c r="B641" s="4" t="s">
        <v>35</v>
      </c>
      <c r="C641" s="4" t="s">
        <v>581</v>
      </c>
      <c r="D641" s="4">
        <v>5405</v>
      </c>
      <c r="E641" s="30">
        <v>90</v>
      </c>
      <c r="G641" s="4">
        <v>4300021652</v>
      </c>
      <c r="J641" s="28" t="s">
        <v>797</v>
      </c>
      <c r="K641" s="28" t="s">
        <v>2677</v>
      </c>
      <c r="L641" s="32">
        <v>43221</v>
      </c>
      <c r="M641" s="32">
        <f>BCOXT[[#This Row],[INV DOC DATE]]+30</f>
        <v>43251</v>
      </c>
      <c r="N641" s="32">
        <v>43250</v>
      </c>
      <c r="O641" s="31">
        <v>90</v>
      </c>
      <c r="P641" s="102">
        <v>43262</v>
      </c>
      <c r="Q641" s="31">
        <f t="shared" si="9"/>
        <v>0</v>
      </c>
      <c r="R641" s="53" t="str">
        <f ca="1">IF(TODAY() - BCOXT[INV DUE DATE]&lt;30, "Less than 30 days",IF(TODAY()-BCOXT[INV DUE DATE]&lt;60,"30-60 days","More than 60 days"))</f>
        <v>30-60 days</v>
      </c>
      <c r="S641" s="31" t="s">
        <v>812</v>
      </c>
      <c r="T641" s="43" t="s">
        <v>2229</v>
      </c>
      <c r="U641" s="4" t="s">
        <v>3699</v>
      </c>
    </row>
    <row r="642" spans="1:21" x14ac:dyDescent="0.3">
      <c r="A642" s="28" t="s">
        <v>2675</v>
      </c>
      <c r="B642" s="4" t="s">
        <v>35</v>
      </c>
      <c r="C642" s="4" t="s">
        <v>582</v>
      </c>
      <c r="D642" s="4">
        <v>5405</v>
      </c>
      <c r="E642" s="30">
        <v>243</v>
      </c>
      <c r="G642" s="4">
        <v>4300021652</v>
      </c>
      <c r="J642" s="28" t="s">
        <v>797</v>
      </c>
      <c r="K642" s="28" t="s">
        <v>2678</v>
      </c>
      <c r="L642" s="32">
        <v>43221</v>
      </c>
      <c r="M642" s="32">
        <f>BCOXT[[#This Row],[INV DOC DATE]]+30</f>
        <v>43251</v>
      </c>
      <c r="N642" s="32">
        <v>43250</v>
      </c>
      <c r="O642" s="31">
        <v>243</v>
      </c>
      <c r="P642" s="102">
        <v>43262</v>
      </c>
      <c r="Q642" s="31">
        <f t="shared" ref="Q642:Q659" si="10">$E642-$O642</f>
        <v>0</v>
      </c>
      <c r="R642" s="53" t="str">
        <f ca="1">IF(TODAY() - BCOXT[INV DUE DATE]&lt;30, "Less than 30 days",IF(TODAY()-BCOXT[INV DUE DATE]&lt;60,"30-60 days","More than 60 days"))</f>
        <v>30-60 days</v>
      </c>
      <c r="S642" s="31" t="s">
        <v>812</v>
      </c>
      <c r="T642" s="43" t="s">
        <v>2229</v>
      </c>
      <c r="U642" s="4" t="s">
        <v>3699</v>
      </c>
    </row>
    <row r="643" spans="1:21" x14ac:dyDescent="0.3">
      <c r="A643" s="28" t="s">
        <v>2675</v>
      </c>
      <c r="B643" s="4" t="s">
        <v>35</v>
      </c>
      <c r="C643" s="4" t="s">
        <v>583</v>
      </c>
      <c r="D643" s="4">
        <v>5405</v>
      </c>
      <c r="E643" s="30">
        <v>248</v>
      </c>
      <c r="G643" s="4">
        <v>4300021652</v>
      </c>
      <c r="J643" s="28" t="s">
        <v>798</v>
      </c>
      <c r="K643" s="28" t="s">
        <v>3</v>
      </c>
      <c r="L643" s="32">
        <v>43221</v>
      </c>
      <c r="M643" s="32">
        <f>BCOXT[[#This Row],[INV DOC DATE]]+30</f>
        <v>43251</v>
      </c>
      <c r="N643" s="32">
        <v>43250</v>
      </c>
      <c r="O643" s="31">
        <v>248</v>
      </c>
      <c r="P643" s="102">
        <v>43262</v>
      </c>
      <c r="Q643" s="31">
        <f t="shared" si="10"/>
        <v>0</v>
      </c>
      <c r="R643" s="53" t="str">
        <f ca="1">IF(TODAY() - BCOXT[INV DUE DATE]&lt;30, "Less than 30 days",IF(TODAY()-BCOXT[INV DUE DATE]&lt;60,"30-60 days","More than 60 days"))</f>
        <v>30-60 days</v>
      </c>
      <c r="S643" s="31" t="s">
        <v>812</v>
      </c>
      <c r="T643" s="43" t="s">
        <v>2229</v>
      </c>
      <c r="U643" s="4" t="s">
        <v>3699</v>
      </c>
    </row>
    <row r="644" spans="1:21" x14ac:dyDescent="0.3">
      <c r="A644" s="28" t="s">
        <v>2675</v>
      </c>
      <c r="B644" s="4" t="s">
        <v>35</v>
      </c>
      <c r="C644" s="4" t="s">
        <v>584</v>
      </c>
      <c r="D644" s="4">
        <v>5405</v>
      </c>
      <c r="E644" s="30">
        <v>248</v>
      </c>
      <c r="G644" s="4">
        <v>4300021652</v>
      </c>
      <c r="J644" s="28" t="s">
        <v>799</v>
      </c>
      <c r="K644" s="28" t="s">
        <v>3</v>
      </c>
      <c r="L644" s="32">
        <v>43221</v>
      </c>
      <c r="M644" s="32">
        <f>BCOXT[[#This Row],[INV DOC DATE]]+30</f>
        <v>43251</v>
      </c>
      <c r="N644" s="32">
        <v>43250</v>
      </c>
      <c r="O644" s="31">
        <v>248</v>
      </c>
      <c r="P644" s="102">
        <v>43262</v>
      </c>
      <c r="Q644" s="31">
        <f t="shared" si="10"/>
        <v>0</v>
      </c>
      <c r="R644" s="53" t="str">
        <f ca="1">IF(TODAY() - BCOXT[INV DUE DATE]&lt;30, "Less than 30 days",IF(TODAY()-BCOXT[INV DUE DATE]&lt;60,"30-60 days","More than 60 days"))</f>
        <v>30-60 days</v>
      </c>
      <c r="S644" s="31" t="s">
        <v>812</v>
      </c>
      <c r="T644" s="43" t="s">
        <v>2229</v>
      </c>
      <c r="U644" s="4" t="s">
        <v>3699</v>
      </c>
    </row>
    <row r="645" spans="1:21" x14ac:dyDescent="0.3">
      <c r="A645" s="28" t="s">
        <v>2675</v>
      </c>
      <c r="B645" s="4" t="s">
        <v>35</v>
      </c>
      <c r="C645" s="4" t="s">
        <v>585</v>
      </c>
      <c r="D645" s="4">
        <v>5405</v>
      </c>
      <c r="E645" s="30">
        <v>248</v>
      </c>
      <c r="G645" s="4">
        <v>4300021652</v>
      </c>
      <c r="J645" s="28" t="s">
        <v>800</v>
      </c>
      <c r="K645" s="28" t="s">
        <v>3</v>
      </c>
      <c r="L645" s="32">
        <v>43221</v>
      </c>
      <c r="M645" s="32">
        <f>BCOXT[[#This Row],[INV DOC DATE]]+30</f>
        <v>43251</v>
      </c>
      <c r="N645" s="32">
        <v>43250</v>
      </c>
      <c r="O645" s="31">
        <v>248</v>
      </c>
      <c r="P645" s="102">
        <v>43262</v>
      </c>
      <c r="Q645" s="31">
        <f t="shared" si="10"/>
        <v>0</v>
      </c>
      <c r="R645" s="53" t="str">
        <f ca="1">IF(TODAY() - BCOXT[INV DUE DATE]&lt;30, "Less than 30 days",IF(TODAY()-BCOXT[INV DUE DATE]&lt;60,"30-60 days","More than 60 days"))</f>
        <v>30-60 days</v>
      </c>
      <c r="S645" s="31" t="s">
        <v>812</v>
      </c>
      <c r="T645" s="43" t="s">
        <v>2229</v>
      </c>
      <c r="U645" s="4" t="s">
        <v>3699</v>
      </c>
    </row>
    <row r="646" spans="1:21" x14ac:dyDescent="0.3">
      <c r="A646" s="28" t="s">
        <v>2675</v>
      </c>
      <c r="B646" s="4" t="s">
        <v>35</v>
      </c>
      <c r="C646" s="4" t="s">
        <v>586</v>
      </c>
      <c r="D646" s="4">
        <v>5405</v>
      </c>
      <c r="E646" s="30">
        <v>248</v>
      </c>
      <c r="G646" s="4">
        <v>4300021652</v>
      </c>
      <c r="J646" s="28" t="s">
        <v>801</v>
      </c>
      <c r="K646" s="28" t="s">
        <v>3</v>
      </c>
      <c r="L646" s="32">
        <v>43221</v>
      </c>
      <c r="M646" s="32">
        <f>BCOXT[[#This Row],[INV DOC DATE]]+30</f>
        <v>43251</v>
      </c>
      <c r="N646" s="32">
        <v>43250</v>
      </c>
      <c r="O646" s="31">
        <v>248</v>
      </c>
      <c r="P646" s="102">
        <v>43262</v>
      </c>
      <c r="Q646" s="31">
        <f t="shared" si="10"/>
        <v>0</v>
      </c>
      <c r="R646" s="53" t="str">
        <f ca="1">IF(TODAY() - BCOXT[INV DUE DATE]&lt;30, "Less than 30 days",IF(TODAY()-BCOXT[INV DUE DATE]&lt;60,"30-60 days","More than 60 days"))</f>
        <v>30-60 days</v>
      </c>
      <c r="S646" s="31" t="s">
        <v>812</v>
      </c>
      <c r="T646" s="43" t="s">
        <v>2229</v>
      </c>
      <c r="U646" s="4" t="s">
        <v>3699</v>
      </c>
    </row>
    <row r="647" spans="1:21" x14ac:dyDescent="0.3">
      <c r="A647" s="28" t="s">
        <v>2675</v>
      </c>
      <c r="B647" s="4" t="s">
        <v>35</v>
      </c>
      <c r="C647" s="4" t="s">
        <v>587</v>
      </c>
      <c r="D647" s="4">
        <v>5405</v>
      </c>
      <c r="E647" s="30">
        <v>248</v>
      </c>
      <c r="G647" s="4">
        <v>4300021652</v>
      </c>
      <c r="J647" s="28" t="s">
        <v>802</v>
      </c>
      <c r="K647" s="28" t="s">
        <v>3</v>
      </c>
      <c r="L647" s="32">
        <v>43221</v>
      </c>
      <c r="M647" s="32">
        <f>BCOXT[[#This Row],[INV DOC DATE]]+30</f>
        <v>43251</v>
      </c>
      <c r="N647" s="32">
        <v>43250</v>
      </c>
      <c r="O647" s="31">
        <v>248</v>
      </c>
      <c r="P647" s="102">
        <v>43262</v>
      </c>
      <c r="Q647" s="31">
        <f t="shared" si="10"/>
        <v>0</v>
      </c>
      <c r="R647" s="53" t="str">
        <f ca="1">IF(TODAY() - BCOXT[INV DUE DATE]&lt;30, "Less than 30 days",IF(TODAY()-BCOXT[INV DUE DATE]&lt;60,"30-60 days","More than 60 days"))</f>
        <v>30-60 days</v>
      </c>
      <c r="S647" s="31" t="s">
        <v>812</v>
      </c>
      <c r="T647" s="43" t="s">
        <v>2229</v>
      </c>
      <c r="U647" s="4" t="s">
        <v>3699</v>
      </c>
    </row>
    <row r="648" spans="1:21" x14ac:dyDescent="0.3">
      <c r="A648" s="28" t="s">
        <v>2675</v>
      </c>
      <c r="B648" s="4" t="s">
        <v>35</v>
      </c>
      <c r="C648" s="4" t="s">
        <v>588</v>
      </c>
      <c r="D648" s="4">
        <v>5405</v>
      </c>
      <c r="E648" s="30">
        <v>248</v>
      </c>
      <c r="G648" s="4">
        <v>4300021652</v>
      </c>
      <c r="J648" s="28" t="s">
        <v>803</v>
      </c>
      <c r="K648" s="28" t="s">
        <v>3</v>
      </c>
      <c r="L648" s="32">
        <v>43221</v>
      </c>
      <c r="M648" s="32">
        <f>BCOXT[[#This Row],[INV DOC DATE]]+30</f>
        <v>43251</v>
      </c>
      <c r="N648" s="32">
        <v>43250</v>
      </c>
      <c r="O648" s="31">
        <v>248</v>
      </c>
      <c r="P648" s="102">
        <v>43262</v>
      </c>
      <c r="Q648" s="31">
        <f t="shared" si="10"/>
        <v>0</v>
      </c>
      <c r="R648" s="53" t="str">
        <f ca="1">IF(TODAY() - BCOXT[INV DUE DATE]&lt;30, "Less than 30 days",IF(TODAY()-BCOXT[INV DUE DATE]&lt;60,"30-60 days","More than 60 days"))</f>
        <v>30-60 days</v>
      </c>
      <c r="S648" s="31" t="s">
        <v>812</v>
      </c>
      <c r="T648" s="43" t="s">
        <v>2229</v>
      </c>
      <c r="U648" s="4" t="s">
        <v>3699</v>
      </c>
    </row>
    <row r="649" spans="1:21" x14ac:dyDescent="0.3">
      <c r="A649" s="28" t="s">
        <v>2675</v>
      </c>
      <c r="B649" s="4" t="s">
        <v>35</v>
      </c>
      <c r="C649" s="4" t="s">
        <v>589</v>
      </c>
      <c r="D649" s="4">
        <v>5405</v>
      </c>
      <c r="E649" s="30">
        <v>248</v>
      </c>
      <c r="G649" s="4">
        <v>4300021652</v>
      </c>
      <c r="J649" s="28" t="s">
        <v>804</v>
      </c>
      <c r="K649" s="28" t="s">
        <v>3</v>
      </c>
      <c r="L649" s="32">
        <v>43221</v>
      </c>
      <c r="M649" s="32">
        <f>BCOXT[[#This Row],[INV DOC DATE]]+30</f>
        <v>43251</v>
      </c>
      <c r="N649" s="32">
        <v>43250</v>
      </c>
      <c r="O649" s="31">
        <v>248</v>
      </c>
      <c r="P649" s="102">
        <v>43262</v>
      </c>
      <c r="Q649" s="31">
        <f t="shared" si="10"/>
        <v>0</v>
      </c>
      <c r="R649" s="53" t="str">
        <f ca="1">IF(TODAY() - BCOXT[INV DUE DATE]&lt;30, "Less than 30 days",IF(TODAY()-BCOXT[INV DUE DATE]&lt;60,"30-60 days","More than 60 days"))</f>
        <v>30-60 days</v>
      </c>
      <c r="S649" s="31" t="s">
        <v>812</v>
      </c>
      <c r="T649" s="43" t="s">
        <v>2229</v>
      </c>
      <c r="U649" s="4" t="s">
        <v>3699</v>
      </c>
    </row>
    <row r="650" spans="1:21" x14ac:dyDescent="0.3">
      <c r="A650" s="28" t="s">
        <v>2675</v>
      </c>
      <c r="B650" s="4" t="s">
        <v>35</v>
      </c>
      <c r="C650" s="4" t="s">
        <v>1321</v>
      </c>
      <c r="D650" s="4">
        <v>5405</v>
      </c>
      <c r="E650" s="30">
        <v>248</v>
      </c>
      <c r="G650" s="4">
        <v>4300021652</v>
      </c>
      <c r="J650" s="28" t="s">
        <v>805</v>
      </c>
      <c r="K650" s="28" t="s">
        <v>3</v>
      </c>
      <c r="L650" s="32">
        <v>43221</v>
      </c>
      <c r="M650" s="32">
        <f>BCOXT[[#This Row],[INV DOC DATE]]+30</f>
        <v>43251</v>
      </c>
      <c r="N650" s="32">
        <v>43250</v>
      </c>
      <c r="O650" s="31">
        <v>248</v>
      </c>
      <c r="P650" s="102">
        <v>43262</v>
      </c>
      <c r="Q650" s="31">
        <f t="shared" si="10"/>
        <v>0</v>
      </c>
      <c r="R650" s="53" t="str">
        <f ca="1">IF(TODAY() - BCOXT[INV DUE DATE]&lt;30, "Less than 30 days",IF(TODAY()-BCOXT[INV DUE DATE]&lt;60,"30-60 days","More than 60 days"))</f>
        <v>30-60 days</v>
      </c>
      <c r="S650" s="31" t="s">
        <v>812</v>
      </c>
      <c r="T650" s="43" t="s">
        <v>2229</v>
      </c>
      <c r="U650" s="4" t="s">
        <v>3699</v>
      </c>
    </row>
    <row r="651" spans="1:21" x14ac:dyDescent="0.3">
      <c r="A651" s="28" t="s">
        <v>2675</v>
      </c>
      <c r="B651" s="4" t="s">
        <v>35</v>
      </c>
      <c r="C651" s="4" t="s">
        <v>1322</v>
      </c>
      <c r="D651" s="4">
        <v>5405</v>
      </c>
      <c r="E651" s="30">
        <v>248</v>
      </c>
      <c r="G651" s="4">
        <v>4300021652</v>
      </c>
      <c r="J651" s="28" t="s">
        <v>806</v>
      </c>
      <c r="K651" s="28" t="s">
        <v>3</v>
      </c>
      <c r="L651" s="32">
        <v>43221</v>
      </c>
      <c r="M651" s="32">
        <f>BCOXT[[#This Row],[INV DOC DATE]]+30</f>
        <v>43251</v>
      </c>
      <c r="N651" s="32">
        <v>43250</v>
      </c>
      <c r="O651" s="31">
        <v>248</v>
      </c>
      <c r="P651" s="102">
        <v>43262</v>
      </c>
      <c r="Q651" s="31">
        <f t="shared" si="10"/>
        <v>0</v>
      </c>
      <c r="R651" s="53" t="str">
        <f ca="1">IF(TODAY() - BCOXT[INV DUE DATE]&lt;30, "Less than 30 days",IF(TODAY()-BCOXT[INV DUE DATE]&lt;60,"30-60 days","More than 60 days"))</f>
        <v>30-60 days</v>
      </c>
      <c r="S651" s="31" t="s">
        <v>812</v>
      </c>
      <c r="T651" s="43" t="s">
        <v>2229</v>
      </c>
      <c r="U651" s="4" t="s">
        <v>3699</v>
      </c>
    </row>
    <row r="652" spans="1:21" x14ac:dyDescent="0.3">
      <c r="A652" s="28" t="s">
        <v>2675</v>
      </c>
      <c r="B652" s="4" t="s">
        <v>35</v>
      </c>
      <c r="C652" s="4" t="s">
        <v>1323</v>
      </c>
      <c r="D652" s="4">
        <v>5405</v>
      </c>
      <c r="E652" s="30">
        <v>248</v>
      </c>
      <c r="G652" s="4">
        <v>4300021652</v>
      </c>
      <c r="J652" s="28" t="s">
        <v>807</v>
      </c>
      <c r="K652" s="28" t="s">
        <v>3</v>
      </c>
      <c r="L652" s="32">
        <v>43221</v>
      </c>
      <c r="M652" s="32">
        <f>BCOXT[[#This Row],[INV DOC DATE]]+30</f>
        <v>43251</v>
      </c>
      <c r="N652" s="32">
        <v>43250</v>
      </c>
      <c r="O652" s="31">
        <v>248</v>
      </c>
      <c r="P652" s="102">
        <v>43262</v>
      </c>
      <c r="Q652" s="31">
        <f t="shared" si="10"/>
        <v>0</v>
      </c>
      <c r="R652" s="53" t="str">
        <f ca="1">IF(TODAY() - BCOXT[INV DUE DATE]&lt;30, "Less than 30 days",IF(TODAY()-BCOXT[INV DUE DATE]&lt;60,"30-60 days","More than 60 days"))</f>
        <v>30-60 days</v>
      </c>
      <c r="S652" s="31" t="s">
        <v>812</v>
      </c>
      <c r="T652" s="43" t="s">
        <v>2229</v>
      </c>
      <c r="U652" s="4" t="s">
        <v>3699</v>
      </c>
    </row>
    <row r="653" spans="1:21" x14ac:dyDescent="0.3">
      <c r="A653" s="28" t="s">
        <v>2675</v>
      </c>
      <c r="B653" s="4" t="s">
        <v>35</v>
      </c>
      <c r="C653" s="4" t="s">
        <v>1324</v>
      </c>
      <c r="D653" s="4">
        <v>5405</v>
      </c>
      <c r="E653" s="30">
        <v>248</v>
      </c>
      <c r="G653" s="4">
        <v>4300021652</v>
      </c>
      <c r="J653" s="28" t="s">
        <v>808</v>
      </c>
      <c r="K653" s="28" t="s">
        <v>3</v>
      </c>
      <c r="L653" s="32">
        <v>43221</v>
      </c>
      <c r="M653" s="32">
        <f>BCOXT[[#This Row],[INV DOC DATE]]+30</f>
        <v>43251</v>
      </c>
      <c r="N653" s="32">
        <v>43250</v>
      </c>
      <c r="O653" s="31">
        <v>248</v>
      </c>
      <c r="P653" s="102">
        <v>43262</v>
      </c>
      <c r="Q653" s="31">
        <f t="shared" si="10"/>
        <v>0</v>
      </c>
      <c r="R653" s="53" t="str">
        <f ca="1">IF(TODAY() - BCOXT[INV DUE DATE]&lt;30, "Less than 30 days",IF(TODAY()-BCOXT[INV DUE DATE]&lt;60,"30-60 days","More than 60 days"))</f>
        <v>30-60 days</v>
      </c>
      <c r="S653" s="31" t="s">
        <v>812</v>
      </c>
      <c r="T653" s="43" t="s">
        <v>2229</v>
      </c>
      <c r="U653" s="4" t="s">
        <v>3699</v>
      </c>
    </row>
    <row r="654" spans="1:21" x14ac:dyDescent="0.3">
      <c r="A654" s="28" t="s">
        <v>2675</v>
      </c>
      <c r="B654" s="4" t="s">
        <v>35</v>
      </c>
      <c r="C654" s="4" t="s">
        <v>1325</v>
      </c>
      <c r="D654" s="4">
        <v>5405</v>
      </c>
      <c r="E654" s="30">
        <v>248</v>
      </c>
      <c r="G654" s="4">
        <v>4300021652</v>
      </c>
      <c r="J654" s="28" t="s">
        <v>809</v>
      </c>
      <c r="K654" s="28" t="s">
        <v>3</v>
      </c>
      <c r="L654" s="32">
        <v>43221</v>
      </c>
      <c r="M654" s="32">
        <f>BCOXT[[#This Row],[INV DOC DATE]]+30</f>
        <v>43251</v>
      </c>
      <c r="N654" s="32">
        <v>43250</v>
      </c>
      <c r="O654" s="31">
        <v>248</v>
      </c>
      <c r="P654" s="102">
        <v>43262</v>
      </c>
      <c r="Q654" s="31">
        <f t="shared" si="10"/>
        <v>0</v>
      </c>
      <c r="R654" s="53" t="str">
        <f ca="1">IF(TODAY() - BCOXT[INV DUE DATE]&lt;30, "Less than 30 days",IF(TODAY()-BCOXT[INV DUE DATE]&lt;60,"30-60 days","More than 60 days"))</f>
        <v>30-60 days</v>
      </c>
      <c r="S654" s="31" t="s">
        <v>812</v>
      </c>
      <c r="T654" s="43" t="s">
        <v>2229</v>
      </c>
      <c r="U654" s="4" t="s">
        <v>3699</v>
      </c>
    </row>
    <row r="655" spans="1:21" x14ac:dyDescent="0.3">
      <c r="A655" s="28" t="s">
        <v>2684</v>
      </c>
      <c r="B655" s="4" t="s">
        <v>2685</v>
      </c>
      <c r="E655" s="30">
        <v>1202.8</v>
      </c>
      <c r="G655" s="4">
        <v>4320249581</v>
      </c>
      <c r="J655" s="28" t="s">
        <v>2671</v>
      </c>
      <c r="K655" s="28" t="s">
        <v>3</v>
      </c>
      <c r="L655" s="32">
        <v>43221</v>
      </c>
      <c r="M655" s="32">
        <f>BCOXT[[#This Row],[INV DOC DATE]]+30</f>
        <v>43251</v>
      </c>
      <c r="N655" s="32">
        <v>43251</v>
      </c>
      <c r="O655" s="31">
        <v>1164.8</v>
      </c>
      <c r="P655" s="102">
        <v>43294</v>
      </c>
      <c r="Q655" s="31">
        <f t="shared" si="10"/>
        <v>38</v>
      </c>
      <c r="R655" s="53" t="str">
        <f ca="1">IF(TODAY() - BCOXT[INV DUE DATE]&lt;30, "Less than 30 days",IF(TODAY()-BCOXT[INV DUE DATE]&lt;60,"30-60 days","More than 60 days"))</f>
        <v>30-60 days</v>
      </c>
      <c r="S655" s="31" t="str">
        <f>"BCOXT"</f>
        <v>BCOXT</v>
      </c>
      <c r="T655" s="43"/>
      <c r="U655" s="4" t="s">
        <v>3699</v>
      </c>
    </row>
    <row r="656" spans="1:21" x14ac:dyDescent="0.3">
      <c r="A656" s="28" t="s">
        <v>2679</v>
      </c>
      <c r="B656" s="4" t="s">
        <v>35</v>
      </c>
      <c r="C656" s="4" t="s">
        <v>1326</v>
      </c>
      <c r="D656" s="4">
        <v>5405</v>
      </c>
      <c r="E656" s="30">
        <v>90</v>
      </c>
      <c r="G656" s="4">
        <v>4300021652</v>
      </c>
      <c r="J656" s="28" t="s">
        <v>670</v>
      </c>
      <c r="K656" s="28" t="s">
        <v>2677</v>
      </c>
      <c r="L656" s="32">
        <v>43221</v>
      </c>
      <c r="M656" s="32">
        <f>BCOXT[[#This Row],[INV DOC DATE]]+30</f>
        <v>43251</v>
      </c>
      <c r="N656" s="32">
        <v>43250</v>
      </c>
      <c r="O656" s="31">
        <v>90</v>
      </c>
      <c r="P656" s="102">
        <v>43262</v>
      </c>
      <c r="Q656" s="31">
        <f t="shared" si="10"/>
        <v>0</v>
      </c>
      <c r="R656" s="53" t="str">
        <f ca="1">IF(TODAY() - BCOXT[INV DUE DATE]&lt;30, "Less than 30 days",IF(TODAY()-BCOXT[INV DUE DATE]&lt;60,"30-60 days","More than 60 days"))</f>
        <v>30-60 days</v>
      </c>
      <c r="S656" s="31" t="s">
        <v>812</v>
      </c>
      <c r="T656" s="43" t="s">
        <v>2229</v>
      </c>
      <c r="U656" s="4" t="s">
        <v>3699</v>
      </c>
    </row>
    <row r="657" spans="1:21" x14ac:dyDescent="0.3">
      <c r="A657" s="28" t="s">
        <v>2679</v>
      </c>
      <c r="B657" s="4" t="s">
        <v>35</v>
      </c>
      <c r="C657" s="4" t="s">
        <v>1327</v>
      </c>
      <c r="D657" s="4">
        <v>5405</v>
      </c>
      <c r="E657" s="30">
        <v>120</v>
      </c>
      <c r="G657" s="4">
        <v>4300021652</v>
      </c>
      <c r="J657" s="28" t="s">
        <v>670</v>
      </c>
      <c r="K657" s="28" t="s">
        <v>2678</v>
      </c>
      <c r="L657" s="32">
        <v>43221</v>
      </c>
      <c r="M657" s="32">
        <f>BCOXT[[#This Row],[INV DOC DATE]]+30</f>
        <v>43251</v>
      </c>
      <c r="N657" s="32">
        <v>43250</v>
      </c>
      <c r="O657" s="31">
        <v>120</v>
      </c>
      <c r="P657" s="102">
        <v>43262</v>
      </c>
      <c r="Q657" s="31">
        <f t="shared" si="10"/>
        <v>0</v>
      </c>
      <c r="R657" s="53" t="str">
        <f ca="1">IF(TODAY() - BCOXT[INV DUE DATE]&lt;30, "Less than 30 days",IF(TODAY()-BCOXT[INV DUE DATE]&lt;60,"30-60 days","More than 60 days"))</f>
        <v>30-60 days</v>
      </c>
      <c r="S657" s="31" t="s">
        <v>812</v>
      </c>
      <c r="T657" s="43" t="s">
        <v>2229</v>
      </c>
      <c r="U657" s="4" t="s">
        <v>3699</v>
      </c>
    </row>
    <row r="658" spans="1:21" x14ac:dyDescent="0.3">
      <c r="A658" s="28" t="s">
        <v>2679</v>
      </c>
      <c r="B658" s="4" t="s">
        <v>35</v>
      </c>
      <c r="C658" s="4" t="s">
        <v>1328</v>
      </c>
      <c r="D658" s="4">
        <v>5405</v>
      </c>
      <c r="E658" s="30">
        <v>90</v>
      </c>
      <c r="G658" s="4">
        <v>4300021652</v>
      </c>
      <c r="J658" s="28" t="s">
        <v>671</v>
      </c>
      <c r="K658" s="28" t="s">
        <v>2677</v>
      </c>
      <c r="L658" s="32">
        <v>43221</v>
      </c>
      <c r="M658" s="32">
        <f>BCOXT[[#This Row],[INV DOC DATE]]+30</f>
        <v>43251</v>
      </c>
      <c r="N658" s="32">
        <v>43250</v>
      </c>
      <c r="O658" s="31">
        <v>90</v>
      </c>
      <c r="P658" s="102">
        <v>43262</v>
      </c>
      <c r="Q658" s="31">
        <f t="shared" si="10"/>
        <v>0</v>
      </c>
      <c r="R658" s="53" t="str">
        <f ca="1">IF(TODAY() - BCOXT[INV DUE DATE]&lt;30, "Less than 30 days",IF(TODAY()-BCOXT[INV DUE DATE]&lt;60,"30-60 days","More than 60 days"))</f>
        <v>30-60 days</v>
      </c>
      <c r="S658" s="31" t="s">
        <v>812</v>
      </c>
      <c r="T658" s="43" t="s">
        <v>2229</v>
      </c>
      <c r="U658" s="4" t="s">
        <v>3699</v>
      </c>
    </row>
    <row r="659" spans="1:21" x14ac:dyDescent="0.3">
      <c r="A659" s="28" t="s">
        <v>2679</v>
      </c>
      <c r="B659" s="4" t="s">
        <v>35</v>
      </c>
      <c r="C659" s="4" t="s">
        <v>1329</v>
      </c>
      <c r="D659" s="4">
        <v>5405</v>
      </c>
      <c r="E659" s="30">
        <v>120</v>
      </c>
      <c r="G659" s="4">
        <v>4300021652</v>
      </c>
      <c r="J659" s="28" t="s">
        <v>671</v>
      </c>
      <c r="K659" s="28" t="s">
        <v>2678</v>
      </c>
      <c r="L659" s="32">
        <v>43221</v>
      </c>
      <c r="M659" s="32">
        <f>BCOXT[[#This Row],[INV DOC DATE]]+30</f>
        <v>43251</v>
      </c>
      <c r="N659" s="32">
        <v>43250</v>
      </c>
      <c r="O659" s="31">
        <v>120</v>
      </c>
      <c r="P659" s="102">
        <v>43262</v>
      </c>
      <c r="Q659" s="31">
        <f t="shared" si="10"/>
        <v>0</v>
      </c>
      <c r="R659" s="53" t="str">
        <f ca="1">IF(TODAY() - BCOXT[INV DUE DATE]&lt;30, "Less than 30 days",IF(TODAY()-BCOXT[INV DUE DATE]&lt;60,"30-60 days","More than 60 days"))</f>
        <v>30-60 days</v>
      </c>
      <c r="S659" s="31" t="str">
        <f>"BCOXT"</f>
        <v>BCOXT</v>
      </c>
      <c r="T659" s="43" t="s">
        <v>2229</v>
      </c>
      <c r="U659" s="4" t="s">
        <v>3699</v>
      </c>
    </row>
    <row r="660" spans="1:21" x14ac:dyDescent="0.3">
      <c r="A660" s="28" t="s">
        <v>4130</v>
      </c>
      <c r="B660" s="4" t="s">
        <v>35</v>
      </c>
      <c r="C660" s="4" t="s">
        <v>6</v>
      </c>
      <c r="D660" s="4">
        <v>5405</v>
      </c>
      <c r="E660" s="30">
        <v>240</v>
      </c>
      <c r="G660" s="4">
        <v>4300021652</v>
      </c>
      <c r="J660" s="28" t="s">
        <v>590</v>
      </c>
      <c r="K660" s="28" t="s">
        <v>3</v>
      </c>
      <c r="L660" s="32">
        <v>43252</v>
      </c>
      <c r="M660" s="32">
        <f>BCOXT[[#This Row],[INV DOC DATE]]+30</f>
        <v>43282</v>
      </c>
      <c r="N660" s="32">
        <v>43279</v>
      </c>
      <c r="O660" s="31"/>
      <c r="Q660" s="31">
        <f t="shared" ref="Q660:Q723" si="11">$E660-$O660</f>
        <v>240</v>
      </c>
      <c r="R660" s="53" t="str">
        <f ca="1">IF(TODAY() - BCOXT[INV DUE DATE]&lt;30, "Less than 30 days",IF(TODAY()-BCOXT[INV DUE DATE]&lt;60,"30-60 days","More than 60 days"))</f>
        <v>Less than 30 days</v>
      </c>
      <c r="S660" s="31" t="s">
        <v>812</v>
      </c>
      <c r="T660" s="43"/>
      <c r="U660" s="4" t="s">
        <v>3699</v>
      </c>
    </row>
    <row r="661" spans="1:21" x14ac:dyDescent="0.3">
      <c r="A661" s="28" t="s">
        <v>4130</v>
      </c>
      <c r="B661" s="4" t="s">
        <v>35</v>
      </c>
      <c r="C661" s="4" t="s">
        <v>7</v>
      </c>
      <c r="D661" s="4">
        <v>5405</v>
      </c>
      <c r="E661" s="30">
        <v>240</v>
      </c>
      <c r="G661" s="4">
        <v>4300021652</v>
      </c>
      <c r="J661" s="28" t="s">
        <v>591</v>
      </c>
      <c r="K661" s="28" t="s">
        <v>3</v>
      </c>
      <c r="L661" s="32">
        <v>43252</v>
      </c>
      <c r="M661" s="32">
        <f>BCOXT[[#This Row],[INV DOC DATE]]+30</f>
        <v>43282</v>
      </c>
      <c r="N661" s="32">
        <v>43279</v>
      </c>
      <c r="O661" s="31"/>
      <c r="Q661" s="31">
        <f t="shared" si="11"/>
        <v>240</v>
      </c>
      <c r="R661" s="53" t="str">
        <f ca="1">IF(TODAY() - BCOXT[INV DUE DATE]&lt;30, "Less than 30 days",IF(TODAY()-BCOXT[INV DUE DATE]&lt;60,"30-60 days","More than 60 days"))</f>
        <v>Less than 30 days</v>
      </c>
      <c r="S661" s="31" t="s">
        <v>812</v>
      </c>
      <c r="T661" s="43"/>
      <c r="U661" s="4" t="s">
        <v>3699</v>
      </c>
    </row>
    <row r="662" spans="1:21" x14ac:dyDescent="0.3">
      <c r="A662" s="28" t="s">
        <v>4130</v>
      </c>
      <c r="B662" s="4" t="s">
        <v>35</v>
      </c>
      <c r="C662" s="4" t="s">
        <v>8</v>
      </c>
      <c r="D662" s="4">
        <v>5405</v>
      </c>
      <c r="E662" s="30">
        <v>240</v>
      </c>
      <c r="G662" s="4">
        <v>4300021652</v>
      </c>
      <c r="J662" s="28" t="s">
        <v>592</v>
      </c>
      <c r="K662" s="28" t="s">
        <v>3</v>
      </c>
      <c r="L662" s="32">
        <v>43252</v>
      </c>
      <c r="M662" s="32">
        <f>BCOXT[[#This Row],[INV DOC DATE]]+30</f>
        <v>43282</v>
      </c>
      <c r="N662" s="32">
        <v>43279</v>
      </c>
      <c r="O662" s="31"/>
      <c r="Q662" s="31">
        <f t="shared" si="11"/>
        <v>240</v>
      </c>
      <c r="R662" s="53" t="str">
        <f ca="1">IF(TODAY() - BCOXT[INV DUE DATE]&lt;30, "Less than 30 days",IF(TODAY()-BCOXT[INV DUE DATE]&lt;60,"30-60 days","More than 60 days"))</f>
        <v>Less than 30 days</v>
      </c>
      <c r="S662" s="31" t="s">
        <v>812</v>
      </c>
      <c r="T662" s="43"/>
      <c r="U662" s="4" t="s">
        <v>3699</v>
      </c>
    </row>
    <row r="663" spans="1:21" x14ac:dyDescent="0.3">
      <c r="A663" s="28" t="s">
        <v>4130</v>
      </c>
      <c r="B663" s="4" t="s">
        <v>35</v>
      </c>
      <c r="C663" s="4" t="s">
        <v>9</v>
      </c>
      <c r="D663" s="4">
        <v>5405</v>
      </c>
      <c r="E663" s="30">
        <v>240</v>
      </c>
      <c r="G663" s="4">
        <v>4300021652</v>
      </c>
      <c r="J663" s="28" t="s">
        <v>593</v>
      </c>
      <c r="K663" s="28" t="s">
        <v>3</v>
      </c>
      <c r="L663" s="32">
        <v>43252</v>
      </c>
      <c r="M663" s="32">
        <f>BCOXT[[#This Row],[INV DOC DATE]]+30</f>
        <v>43282</v>
      </c>
      <c r="N663" s="32">
        <v>43279</v>
      </c>
      <c r="O663" s="31"/>
      <c r="Q663" s="31">
        <f t="shared" si="11"/>
        <v>240</v>
      </c>
      <c r="R663" s="53" t="str">
        <f ca="1">IF(TODAY() - BCOXT[INV DUE DATE]&lt;30, "Less than 30 days",IF(TODAY()-BCOXT[INV DUE DATE]&lt;60,"30-60 days","More than 60 days"))</f>
        <v>Less than 30 days</v>
      </c>
      <c r="S663" s="31" t="s">
        <v>812</v>
      </c>
      <c r="T663" s="43"/>
      <c r="U663" s="4" t="s">
        <v>3699</v>
      </c>
    </row>
    <row r="664" spans="1:21" x14ac:dyDescent="0.3">
      <c r="A664" s="28" t="s">
        <v>4130</v>
      </c>
      <c r="B664" s="4" t="s">
        <v>35</v>
      </c>
      <c r="C664" s="4" t="s">
        <v>10</v>
      </c>
      <c r="D664" s="4">
        <v>5405</v>
      </c>
      <c r="E664" s="30">
        <v>240</v>
      </c>
      <c r="G664" s="4">
        <v>4300021652</v>
      </c>
      <c r="J664" s="28" t="s">
        <v>594</v>
      </c>
      <c r="K664" s="28" t="s">
        <v>3</v>
      </c>
      <c r="L664" s="32">
        <v>43252</v>
      </c>
      <c r="M664" s="32">
        <f>BCOXT[[#This Row],[INV DOC DATE]]+30</f>
        <v>43282</v>
      </c>
      <c r="N664" s="32">
        <v>43279</v>
      </c>
      <c r="O664" s="31"/>
      <c r="Q664" s="31">
        <f t="shared" si="11"/>
        <v>240</v>
      </c>
      <c r="R664" s="53" t="str">
        <f ca="1">IF(TODAY() - BCOXT[INV DUE DATE]&lt;30, "Less than 30 days",IF(TODAY()-BCOXT[INV DUE DATE]&lt;60,"30-60 days","More than 60 days"))</f>
        <v>Less than 30 days</v>
      </c>
      <c r="S664" s="31" t="s">
        <v>812</v>
      </c>
      <c r="T664" s="43"/>
      <c r="U664" s="4" t="s">
        <v>3699</v>
      </c>
    </row>
    <row r="665" spans="1:21" x14ac:dyDescent="0.3">
      <c r="A665" s="28" t="s">
        <v>4130</v>
      </c>
      <c r="B665" s="4" t="s">
        <v>35</v>
      </c>
      <c r="C665" s="4" t="s">
        <v>11</v>
      </c>
      <c r="D665" s="4">
        <v>5405</v>
      </c>
      <c r="E665" s="30">
        <v>240</v>
      </c>
      <c r="G665" s="4">
        <v>4300021652</v>
      </c>
      <c r="J665" s="28" t="s">
        <v>595</v>
      </c>
      <c r="K665" s="28" t="s">
        <v>3</v>
      </c>
      <c r="L665" s="32">
        <v>43252</v>
      </c>
      <c r="M665" s="32">
        <f>BCOXT[[#This Row],[INV DOC DATE]]+30</f>
        <v>43282</v>
      </c>
      <c r="N665" s="32">
        <v>43279</v>
      </c>
      <c r="O665" s="31"/>
      <c r="Q665" s="31">
        <f t="shared" si="11"/>
        <v>240</v>
      </c>
      <c r="R665" s="53" t="str">
        <f ca="1">IF(TODAY() - BCOXT[INV DUE DATE]&lt;30, "Less than 30 days",IF(TODAY()-BCOXT[INV DUE DATE]&lt;60,"30-60 days","More than 60 days"))</f>
        <v>Less than 30 days</v>
      </c>
      <c r="S665" s="31" t="s">
        <v>812</v>
      </c>
      <c r="T665" s="43"/>
      <c r="U665" s="4" t="s">
        <v>3699</v>
      </c>
    </row>
    <row r="666" spans="1:21" x14ac:dyDescent="0.3">
      <c r="A666" s="28" t="s">
        <v>4130</v>
      </c>
      <c r="B666" s="4" t="s">
        <v>35</v>
      </c>
      <c r="C666" s="4" t="s">
        <v>12</v>
      </c>
      <c r="D666" s="4">
        <v>5405</v>
      </c>
      <c r="E666" s="30">
        <v>240</v>
      </c>
      <c r="G666" s="4">
        <v>4300021652</v>
      </c>
      <c r="J666" s="28" t="s">
        <v>596</v>
      </c>
      <c r="K666" s="28" t="s">
        <v>3</v>
      </c>
      <c r="L666" s="32">
        <v>43252</v>
      </c>
      <c r="M666" s="32">
        <f>BCOXT[[#This Row],[INV DOC DATE]]+30</f>
        <v>43282</v>
      </c>
      <c r="N666" s="32">
        <v>43279</v>
      </c>
      <c r="O666" s="31"/>
      <c r="Q666" s="31">
        <f t="shared" si="11"/>
        <v>240</v>
      </c>
      <c r="R666" s="53" t="str">
        <f ca="1">IF(TODAY() - BCOXT[INV DUE DATE]&lt;30, "Less than 30 days",IF(TODAY()-BCOXT[INV DUE DATE]&lt;60,"30-60 days","More than 60 days"))</f>
        <v>Less than 30 days</v>
      </c>
      <c r="S666" s="31" t="s">
        <v>812</v>
      </c>
      <c r="T666" s="43"/>
      <c r="U666" s="4" t="s">
        <v>3699</v>
      </c>
    </row>
    <row r="667" spans="1:21" x14ac:dyDescent="0.3">
      <c r="A667" s="28" t="s">
        <v>4130</v>
      </c>
      <c r="B667" s="4" t="s">
        <v>35</v>
      </c>
      <c r="C667" s="4" t="s">
        <v>13</v>
      </c>
      <c r="D667" s="4">
        <v>5405</v>
      </c>
      <c r="E667" s="30">
        <v>240</v>
      </c>
      <c r="G667" s="4">
        <v>4300021652</v>
      </c>
      <c r="J667" s="28" t="s">
        <v>597</v>
      </c>
      <c r="K667" s="28" t="s">
        <v>3</v>
      </c>
      <c r="L667" s="32">
        <v>43252</v>
      </c>
      <c r="M667" s="32">
        <f>BCOXT[[#This Row],[INV DOC DATE]]+30</f>
        <v>43282</v>
      </c>
      <c r="N667" s="32">
        <v>43279</v>
      </c>
      <c r="O667" s="31"/>
      <c r="Q667" s="31">
        <f t="shared" si="11"/>
        <v>240</v>
      </c>
      <c r="R667" s="53" t="str">
        <f ca="1">IF(TODAY() - BCOXT[INV DUE DATE]&lt;30, "Less than 30 days",IF(TODAY()-BCOXT[INV DUE DATE]&lt;60,"30-60 days","More than 60 days"))</f>
        <v>Less than 30 days</v>
      </c>
      <c r="S667" s="31" t="s">
        <v>812</v>
      </c>
      <c r="T667" s="43"/>
      <c r="U667" s="4" t="s">
        <v>3699</v>
      </c>
    </row>
    <row r="668" spans="1:21" x14ac:dyDescent="0.3">
      <c r="A668" s="28" t="s">
        <v>4130</v>
      </c>
      <c r="B668" s="4" t="s">
        <v>35</v>
      </c>
      <c r="C668" s="4" t="s">
        <v>14</v>
      </c>
      <c r="D668" s="4">
        <v>5405</v>
      </c>
      <c r="E668" s="30">
        <v>240</v>
      </c>
      <c r="G668" s="4">
        <v>4300021652</v>
      </c>
      <c r="J668" s="28" t="s">
        <v>598</v>
      </c>
      <c r="K668" s="28" t="s">
        <v>3</v>
      </c>
      <c r="L668" s="32">
        <v>43252</v>
      </c>
      <c r="M668" s="32">
        <f>BCOXT[[#This Row],[INV DOC DATE]]+30</f>
        <v>43282</v>
      </c>
      <c r="N668" s="32">
        <v>43279</v>
      </c>
      <c r="O668" s="31"/>
      <c r="Q668" s="31">
        <f t="shared" si="11"/>
        <v>240</v>
      </c>
      <c r="R668" s="53" t="str">
        <f ca="1">IF(TODAY() - BCOXT[INV DUE DATE]&lt;30, "Less than 30 days",IF(TODAY()-BCOXT[INV DUE DATE]&lt;60,"30-60 days","More than 60 days"))</f>
        <v>Less than 30 days</v>
      </c>
      <c r="S668" s="31" t="s">
        <v>812</v>
      </c>
      <c r="T668" s="43"/>
      <c r="U668" s="4" t="s">
        <v>3699</v>
      </c>
    </row>
    <row r="669" spans="1:21" x14ac:dyDescent="0.3">
      <c r="A669" s="28" t="s">
        <v>4130</v>
      </c>
      <c r="B669" s="4" t="s">
        <v>35</v>
      </c>
      <c r="C669" s="4" t="s">
        <v>15</v>
      </c>
      <c r="D669" s="4">
        <v>5405</v>
      </c>
      <c r="E669" s="30">
        <v>240</v>
      </c>
      <c r="G669" s="4">
        <v>4300021652</v>
      </c>
      <c r="J669" s="28" t="s">
        <v>599</v>
      </c>
      <c r="K669" s="28" t="s">
        <v>3</v>
      </c>
      <c r="L669" s="32">
        <v>43252</v>
      </c>
      <c r="M669" s="32">
        <f>BCOXT[[#This Row],[INV DOC DATE]]+30</f>
        <v>43282</v>
      </c>
      <c r="N669" s="32">
        <v>43279</v>
      </c>
      <c r="O669" s="31"/>
      <c r="Q669" s="31">
        <f t="shared" si="11"/>
        <v>240</v>
      </c>
      <c r="R669" s="53" t="str">
        <f ca="1">IF(TODAY() - BCOXT[INV DUE DATE]&lt;30, "Less than 30 days",IF(TODAY()-BCOXT[INV DUE DATE]&lt;60,"30-60 days","More than 60 days"))</f>
        <v>Less than 30 days</v>
      </c>
      <c r="S669" s="31" t="s">
        <v>812</v>
      </c>
      <c r="T669" s="43"/>
      <c r="U669" s="4" t="s">
        <v>3699</v>
      </c>
    </row>
    <row r="670" spans="1:21" x14ac:dyDescent="0.3">
      <c r="A670" s="28" t="s">
        <v>4130</v>
      </c>
      <c r="B670" s="4" t="s">
        <v>35</v>
      </c>
      <c r="C670" s="4" t="s">
        <v>16</v>
      </c>
      <c r="D670" s="4">
        <v>5405</v>
      </c>
      <c r="E670" s="30">
        <v>240</v>
      </c>
      <c r="G670" s="4">
        <v>4300021652</v>
      </c>
      <c r="J670" s="28" t="s">
        <v>600</v>
      </c>
      <c r="K670" s="28" t="s">
        <v>3</v>
      </c>
      <c r="L670" s="32">
        <v>43252</v>
      </c>
      <c r="M670" s="32">
        <f>BCOXT[[#This Row],[INV DOC DATE]]+30</f>
        <v>43282</v>
      </c>
      <c r="N670" s="32">
        <v>43279</v>
      </c>
      <c r="O670" s="31"/>
      <c r="Q670" s="31">
        <f t="shared" si="11"/>
        <v>240</v>
      </c>
      <c r="R670" s="53" t="str">
        <f ca="1">IF(TODAY() - BCOXT[INV DUE DATE]&lt;30, "Less than 30 days",IF(TODAY()-BCOXT[INV DUE DATE]&lt;60,"30-60 days","More than 60 days"))</f>
        <v>Less than 30 days</v>
      </c>
      <c r="S670" s="31" t="s">
        <v>812</v>
      </c>
      <c r="T670" s="43"/>
      <c r="U670" s="4" t="s">
        <v>3699</v>
      </c>
    </row>
    <row r="671" spans="1:21" x14ac:dyDescent="0.3">
      <c r="A671" s="28" t="s">
        <v>4130</v>
      </c>
      <c r="B671" s="4" t="s">
        <v>35</v>
      </c>
      <c r="C671" s="4" t="s">
        <v>17</v>
      </c>
      <c r="D671" s="4">
        <v>5405</v>
      </c>
      <c r="E671" s="30">
        <v>240</v>
      </c>
      <c r="G671" s="4">
        <v>4300021652</v>
      </c>
      <c r="J671" s="28" t="s">
        <v>601</v>
      </c>
      <c r="K671" s="28" t="s">
        <v>3</v>
      </c>
      <c r="L671" s="32">
        <v>43252</v>
      </c>
      <c r="M671" s="32">
        <f>BCOXT[[#This Row],[INV DOC DATE]]+30</f>
        <v>43282</v>
      </c>
      <c r="N671" s="32">
        <v>43279</v>
      </c>
      <c r="O671" s="31"/>
      <c r="Q671" s="31">
        <f t="shared" si="11"/>
        <v>240</v>
      </c>
      <c r="R671" s="53" t="str">
        <f ca="1">IF(TODAY() - BCOXT[INV DUE DATE]&lt;30, "Less than 30 days",IF(TODAY()-BCOXT[INV DUE DATE]&lt;60,"30-60 days","More than 60 days"))</f>
        <v>Less than 30 days</v>
      </c>
      <c r="S671" s="31" t="s">
        <v>812</v>
      </c>
      <c r="T671" s="43"/>
      <c r="U671" s="4" t="s">
        <v>3699</v>
      </c>
    </row>
    <row r="672" spans="1:21" x14ac:dyDescent="0.3">
      <c r="A672" s="28" t="s">
        <v>4130</v>
      </c>
      <c r="B672" s="4" t="s">
        <v>35</v>
      </c>
      <c r="C672" s="4" t="s">
        <v>18</v>
      </c>
      <c r="D672" s="4">
        <v>5405</v>
      </c>
      <c r="E672" s="30">
        <v>240</v>
      </c>
      <c r="G672" s="4">
        <v>4300021652</v>
      </c>
      <c r="J672" s="28" t="s">
        <v>602</v>
      </c>
      <c r="K672" s="28" t="s">
        <v>3</v>
      </c>
      <c r="L672" s="32">
        <v>43252</v>
      </c>
      <c r="M672" s="32">
        <f>BCOXT[[#This Row],[INV DOC DATE]]+30</f>
        <v>43282</v>
      </c>
      <c r="N672" s="32">
        <v>43279</v>
      </c>
      <c r="O672" s="31"/>
      <c r="Q672" s="31">
        <f t="shared" si="11"/>
        <v>240</v>
      </c>
      <c r="R672" s="53" t="str">
        <f ca="1">IF(TODAY() - BCOXT[INV DUE DATE]&lt;30, "Less than 30 days",IF(TODAY()-BCOXT[INV DUE DATE]&lt;60,"30-60 days","More than 60 days"))</f>
        <v>Less than 30 days</v>
      </c>
      <c r="S672" s="31" t="s">
        <v>812</v>
      </c>
      <c r="T672" s="43"/>
      <c r="U672" s="4" t="s">
        <v>3699</v>
      </c>
    </row>
    <row r="673" spans="1:21" x14ac:dyDescent="0.3">
      <c r="A673" s="28" t="s">
        <v>4130</v>
      </c>
      <c r="B673" s="4" t="s">
        <v>35</v>
      </c>
      <c r="C673" s="4" t="s">
        <v>19</v>
      </c>
      <c r="D673" s="4">
        <v>5405</v>
      </c>
      <c r="E673" s="30">
        <v>262.2</v>
      </c>
      <c r="G673" s="4">
        <v>4300021652</v>
      </c>
      <c r="J673" s="28" t="s">
        <v>603</v>
      </c>
      <c r="K673" s="28" t="s">
        <v>3</v>
      </c>
      <c r="L673" s="32">
        <v>43252</v>
      </c>
      <c r="M673" s="32">
        <f>BCOXT[[#This Row],[INV DOC DATE]]+30</f>
        <v>43282</v>
      </c>
      <c r="N673" s="32">
        <v>43279</v>
      </c>
      <c r="O673" s="31"/>
      <c r="Q673" s="31">
        <f t="shared" si="11"/>
        <v>262.2</v>
      </c>
      <c r="R673" s="53" t="str">
        <f ca="1">IF(TODAY() - BCOXT[INV DUE DATE]&lt;30, "Less than 30 days",IF(TODAY()-BCOXT[INV DUE DATE]&lt;60,"30-60 days","More than 60 days"))</f>
        <v>Less than 30 days</v>
      </c>
      <c r="S673" s="31" t="s">
        <v>812</v>
      </c>
      <c r="T673" s="43"/>
      <c r="U673" s="4" t="s">
        <v>3699</v>
      </c>
    </row>
    <row r="674" spans="1:21" x14ac:dyDescent="0.3">
      <c r="A674" s="28" t="s">
        <v>4130</v>
      </c>
      <c r="B674" s="4" t="s">
        <v>35</v>
      </c>
      <c r="C674" s="4" t="s">
        <v>20</v>
      </c>
      <c r="D674" s="4">
        <v>5405</v>
      </c>
      <c r="E674" s="30">
        <v>240</v>
      </c>
      <c r="G674" s="4">
        <v>4300021652</v>
      </c>
      <c r="J674" s="28" t="s">
        <v>604</v>
      </c>
      <c r="K674" s="28" t="s">
        <v>3</v>
      </c>
      <c r="L674" s="32">
        <v>43252</v>
      </c>
      <c r="M674" s="32">
        <f>BCOXT[[#This Row],[INV DOC DATE]]+30</f>
        <v>43282</v>
      </c>
      <c r="N674" s="32">
        <v>43279</v>
      </c>
      <c r="O674" s="31"/>
      <c r="Q674" s="31">
        <f t="shared" si="11"/>
        <v>240</v>
      </c>
      <c r="R674" s="53" t="str">
        <f ca="1">IF(TODAY() - BCOXT[INV DUE DATE]&lt;30, "Less than 30 days",IF(TODAY()-BCOXT[INV DUE DATE]&lt;60,"30-60 days","More than 60 days"))</f>
        <v>Less than 30 days</v>
      </c>
      <c r="S674" s="31" t="s">
        <v>812</v>
      </c>
      <c r="T674" s="43"/>
      <c r="U674" s="4" t="s">
        <v>3699</v>
      </c>
    </row>
    <row r="675" spans="1:21" x14ac:dyDescent="0.3">
      <c r="A675" s="28" t="s">
        <v>4130</v>
      </c>
      <c r="B675" s="4" t="s">
        <v>35</v>
      </c>
      <c r="C675" s="4" t="s">
        <v>21</v>
      </c>
      <c r="D675" s="4">
        <v>5405</v>
      </c>
      <c r="E675" s="30">
        <v>240</v>
      </c>
      <c r="G675" s="4">
        <v>4300021652</v>
      </c>
      <c r="J675" s="28" t="s">
        <v>605</v>
      </c>
      <c r="K675" s="28" t="s">
        <v>3</v>
      </c>
      <c r="L675" s="32">
        <v>43252</v>
      </c>
      <c r="M675" s="32">
        <f>BCOXT[[#This Row],[INV DOC DATE]]+30</f>
        <v>43282</v>
      </c>
      <c r="N675" s="32">
        <v>43279</v>
      </c>
      <c r="O675" s="31"/>
      <c r="Q675" s="31">
        <f t="shared" si="11"/>
        <v>240</v>
      </c>
      <c r="R675" s="53" t="str">
        <f ca="1">IF(TODAY() - BCOXT[INV DUE DATE]&lt;30, "Less than 30 days",IF(TODAY()-BCOXT[INV DUE DATE]&lt;60,"30-60 days","More than 60 days"))</f>
        <v>Less than 30 days</v>
      </c>
      <c r="S675" s="31" t="s">
        <v>812</v>
      </c>
      <c r="T675" s="43"/>
      <c r="U675" s="4" t="s">
        <v>3699</v>
      </c>
    </row>
    <row r="676" spans="1:21" x14ac:dyDescent="0.3">
      <c r="A676" s="28" t="s">
        <v>4130</v>
      </c>
      <c r="B676" s="4" t="s">
        <v>35</v>
      </c>
      <c r="C676" s="4" t="s">
        <v>22</v>
      </c>
      <c r="D676" s="4">
        <v>5405</v>
      </c>
      <c r="E676" s="30">
        <v>240</v>
      </c>
      <c r="G676" s="4">
        <v>4300021652</v>
      </c>
      <c r="J676" s="28" t="s">
        <v>606</v>
      </c>
      <c r="K676" s="28" t="s">
        <v>3</v>
      </c>
      <c r="L676" s="32">
        <v>43252</v>
      </c>
      <c r="M676" s="32">
        <f>BCOXT[[#This Row],[INV DOC DATE]]+30</f>
        <v>43282</v>
      </c>
      <c r="N676" s="32">
        <v>43279</v>
      </c>
      <c r="O676" s="31"/>
      <c r="Q676" s="31">
        <f t="shared" si="11"/>
        <v>240</v>
      </c>
      <c r="R676" s="53" t="str">
        <f ca="1">IF(TODAY() - BCOXT[INV DUE DATE]&lt;30, "Less than 30 days",IF(TODAY()-BCOXT[INV DUE DATE]&lt;60,"30-60 days","More than 60 days"))</f>
        <v>Less than 30 days</v>
      </c>
      <c r="S676" s="31" t="s">
        <v>812</v>
      </c>
      <c r="T676" s="43"/>
      <c r="U676" s="4" t="s">
        <v>3699</v>
      </c>
    </row>
    <row r="677" spans="1:21" x14ac:dyDescent="0.3">
      <c r="A677" s="28" t="s">
        <v>4130</v>
      </c>
      <c r="B677" s="4" t="s">
        <v>35</v>
      </c>
      <c r="C677" s="4" t="s">
        <v>23</v>
      </c>
      <c r="D677" s="4">
        <v>5405</v>
      </c>
      <c r="E677" s="30">
        <v>240</v>
      </c>
      <c r="G677" s="4">
        <v>4300021652</v>
      </c>
      <c r="J677" s="28" t="s">
        <v>607</v>
      </c>
      <c r="K677" s="28" t="s">
        <v>3</v>
      </c>
      <c r="L677" s="32">
        <v>43252</v>
      </c>
      <c r="M677" s="32">
        <f>BCOXT[[#This Row],[INV DOC DATE]]+30</f>
        <v>43282</v>
      </c>
      <c r="N677" s="32">
        <v>43279</v>
      </c>
      <c r="O677" s="31"/>
      <c r="Q677" s="31">
        <f t="shared" si="11"/>
        <v>240</v>
      </c>
      <c r="R677" s="53" t="str">
        <f ca="1">IF(TODAY() - BCOXT[INV DUE DATE]&lt;30, "Less than 30 days",IF(TODAY()-BCOXT[INV DUE DATE]&lt;60,"30-60 days","More than 60 days"))</f>
        <v>Less than 30 days</v>
      </c>
      <c r="S677" s="31" t="s">
        <v>812</v>
      </c>
      <c r="T677" s="43"/>
      <c r="U677" s="4" t="s">
        <v>3699</v>
      </c>
    </row>
    <row r="678" spans="1:21" x14ac:dyDescent="0.3">
      <c r="A678" s="28" t="s">
        <v>4130</v>
      </c>
      <c r="B678" s="4" t="s">
        <v>35</v>
      </c>
      <c r="C678" s="4" t="s">
        <v>24</v>
      </c>
      <c r="D678" s="4">
        <v>5405</v>
      </c>
      <c r="E678" s="30">
        <v>240</v>
      </c>
      <c r="G678" s="4">
        <v>4300021652</v>
      </c>
      <c r="J678" s="28" t="s">
        <v>608</v>
      </c>
      <c r="K678" s="28" t="s">
        <v>3</v>
      </c>
      <c r="L678" s="32">
        <v>43252</v>
      </c>
      <c r="M678" s="32">
        <f>BCOXT[[#This Row],[INV DOC DATE]]+30</f>
        <v>43282</v>
      </c>
      <c r="N678" s="32">
        <v>43279</v>
      </c>
      <c r="O678" s="31"/>
      <c r="Q678" s="31">
        <f t="shared" si="11"/>
        <v>240</v>
      </c>
      <c r="R678" s="53" t="str">
        <f ca="1">IF(TODAY() - BCOXT[INV DUE DATE]&lt;30, "Less than 30 days",IF(TODAY()-BCOXT[INV DUE DATE]&lt;60,"30-60 days","More than 60 days"))</f>
        <v>Less than 30 days</v>
      </c>
      <c r="S678" s="31" t="s">
        <v>812</v>
      </c>
      <c r="T678" s="43"/>
      <c r="U678" s="4" t="s">
        <v>3699</v>
      </c>
    </row>
    <row r="679" spans="1:21" x14ac:dyDescent="0.3">
      <c r="A679" s="28" t="s">
        <v>4130</v>
      </c>
      <c r="B679" s="4" t="s">
        <v>35</v>
      </c>
      <c r="C679" s="4" t="s">
        <v>25</v>
      </c>
      <c r="D679" s="4">
        <v>5405</v>
      </c>
      <c r="E679" s="30">
        <v>240</v>
      </c>
      <c r="G679" s="4">
        <v>4300021652</v>
      </c>
      <c r="J679" s="28" t="s">
        <v>609</v>
      </c>
      <c r="K679" s="28" t="s">
        <v>3</v>
      </c>
      <c r="L679" s="32">
        <v>43252</v>
      </c>
      <c r="M679" s="32">
        <f>BCOXT[[#This Row],[INV DOC DATE]]+30</f>
        <v>43282</v>
      </c>
      <c r="N679" s="32">
        <v>43279</v>
      </c>
      <c r="O679" s="31"/>
      <c r="Q679" s="31">
        <f t="shared" si="11"/>
        <v>240</v>
      </c>
      <c r="R679" s="53" t="str">
        <f ca="1">IF(TODAY() - BCOXT[INV DUE DATE]&lt;30, "Less than 30 days",IF(TODAY()-BCOXT[INV DUE DATE]&lt;60,"30-60 days","More than 60 days"))</f>
        <v>Less than 30 days</v>
      </c>
      <c r="S679" s="31" t="s">
        <v>812</v>
      </c>
      <c r="T679" s="43"/>
      <c r="U679" s="4" t="s">
        <v>3699</v>
      </c>
    </row>
    <row r="680" spans="1:21" x14ac:dyDescent="0.3">
      <c r="A680" s="28" t="s">
        <v>4130</v>
      </c>
      <c r="B680" s="4" t="s">
        <v>35</v>
      </c>
      <c r="C680" s="4" t="s">
        <v>26</v>
      </c>
      <c r="D680" s="4">
        <v>5405</v>
      </c>
      <c r="E680" s="30">
        <v>240</v>
      </c>
      <c r="G680" s="4">
        <v>4300021652</v>
      </c>
      <c r="J680" s="28" t="s">
        <v>610</v>
      </c>
      <c r="K680" s="28" t="s">
        <v>3</v>
      </c>
      <c r="L680" s="32">
        <v>43252</v>
      </c>
      <c r="M680" s="32">
        <f>BCOXT[[#This Row],[INV DOC DATE]]+30</f>
        <v>43282</v>
      </c>
      <c r="N680" s="32">
        <v>43279</v>
      </c>
      <c r="O680" s="31"/>
      <c r="Q680" s="31">
        <f t="shared" si="11"/>
        <v>240</v>
      </c>
      <c r="R680" s="53" t="str">
        <f ca="1">IF(TODAY() - BCOXT[INV DUE DATE]&lt;30, "Less than 30 days",IF(TODAY()-BCOXT[INV DUE DATE]&lt;60,"30-60 days","More than 60 days"))</f>
        <v>Less than 30 days</v>
      </c>
      <c r="S680" s="31" t="s">
        <v>812</v>
      </c>
      <c r="T680" s="43"/>
      <c r="U680" s="4" t="s">
        <v>3699</v>
      </c>
    </row>
    <row r="681" spans="1:21" x14ac:dyDescent="0.3">
      <c r="A681" s="28" t="s">
        <v>4130</v>
      </c>
      <c r="B681" s="4" t="s">
        <v>35</v>
      </c>
      <c r="C681" s="4" t="s">
        <v>27</v>
      </c>
      <c r="D681" s="4">
        <v>5405</v>
      </c>
      <c r="E681" s="30">
        <v>240</v>
      </c>
      <c r="G681" s="4">
        <v>4300021652</v>
      </c>
      <c r="J681" s="28" t="s">
        <v>611</v>
      </c>
      <c r="K681" s="28" t="s">
        <v>3</v>
      </c>
      <c r="L681" s="32">
        <v>43252</v>
      </c>
      <c r="M681" s="32">
        <f>BCOXT[[#This Row],[INV DOC DATE]]+30</f>
        <v>43282</v>
      </c>
      <c r="N681" s="32">
        <v>43279</v>
      </c>
      <c r="O681" s="31"/>
      <c r="Q681" s="31">
        <f t="shared" si="11"/>
        <v>240</v>
      </c>
      <c r="R681" s="53" t="str">
        <f ca="1">IF(TODAY() - BCOXT[INV DUE DATE]&lt;30, "Less than 30 days",IF(TODAY()-BCOXT[INV DUE DATE]&lt;60,"30-60 days","More than 60 days"))</f>
        <v>Less than 30 days</v>
      </c>
      <c r="S681" s="31" t="s">
        <v>812</v>
      </c>
      <c r="T681" s="43"/>
      <c r="U681" s="4" t="s">
        <v>3699</v>
      </c>
    </row>
    <row r="682" spans="1:21" x14ac:dyDescent="0.3">
      <c r="A682" s="28" t="s">
        <v>4130</v>
      </c>
      <c r="B682" s="4" t="s">
        <v>35</v>
      </c>
      <c r="C682" s="4" t="s">
        <v>28</v>
      </c>
      <c r="D682" s="4">
        <v>5405</v>
      </c>
      <c r="E682" s="30">
        <v>240</v>
      </c>
      <c r="G682" s="4">
        <v>4300021652</v>
      </c>
      <c r="J682" s="28" t="s">
        <v>612</v>
      </c>
      <c r="K682" s="28" t="s">
        <v>3</v>
      </c>
      <c r="L682" s="32">
        <v>43252</v>
      </c>
      <c r="M682" s="32">
        <f>BCOXT[[#This Row],[INV DOC DATE]]+30</f>
        <v>43282</v>
      </c>
      <c r="N682" s="32">
        <v>43279</v>
      </c>
      <c r="O682" s="31"/>
      <c r="Q682" s="31">
        <f t="shared" si="11"/>
        <v>240</v>
      </c>
      <c r="R682" s="53" t="str">
        <f ca="1">IF(TODAY() - BCOXT[INV DUE DATE]&lt;30, "Less than 30 days",IF(TODAY()-BCOXT[INV DUE DATE]&lt;60,"30-60 days","More than 60 days"))</f>
        <v>Less than 30 days</v>
      </c>
      <c r="S682" s="31" t="s">
        <v>812</v>
      </c>
      <c r="T682" s="43"/>
      <c r="U682" s="4" t="s">
        <v>3699</v>
      </c>
    </row>
    <row r="683" spans="1:21" x14ac:dyDescent="0.3">
      <c r="A683" s="28" t="s">
        <v>4130</v>
      </c>
      <c r="B683" s="4" t="s">
        <v>35</v>
      </c>
      <c r="C683" s="4" t="s">
        <v>37</v>
      </c>
      <c r="D683" s="4">
        <v>5405</v>
      </c>
      <c r="E683" s="30">
        <v>240</v>
      </c>
      <c r="G683" s="4">
        <v>4300021652</v>
      </c>
      <c r="J683" s="28" t="s">
        <v>613</v>
      </c>
      <c r="K683" s="28" t="s">
        <v>3</v>
      </c>
      <c r="L683" s="32">
        <v>43252</v>
      </c>
      <c r="M683" s="32">
        <f>BCOXT[[#This Row],[INV DOC DATE]]+30</f>
        <v>43282</v>
      </c>
      <c r="N683" s="32">
        <v>43279</v>
      </c>
      <c r="O683" s="31"/>
      <c r="Q683" s="31">
        <f t="shared" si="11"/>
        <v>240</v>
      </c>
      <c r="R683" s="53" t="str">
        <f ca="1">IF(TODAY() - BCOXT[INV DUE DATE]&lt;30, "Less than 30 days",IF(TODAY()-BCOXT[INV DUE DATE]&lt;60,"30-60 days","More than 60 days"))</f>
        <v>Less than 30 days</v>
      </c>
      <c r="S683" s="31" t="s">
        <v>812</v>
      </c>
      <c r="T683" s="43"/>
      <c r="U683" s="4" t="s">
        <v>3699</v>
      </c>
    </row>
    <row r="684" spans="1:21" x14ac:dyDescent="0.3">
      <c r="A684" s="28" t="s">
        <v>4130</v>
      </c>
      <c r="B684" s="4" t="s">
        <v>35</v>
      </c>
      <c r="C684" s="4" t="s">
        <v>38</v>
      </c>
      <c r="D684" s="4">
        <v>5405</v>
      </c>
      <c r="E684" s="30">
        <v>240</v>
      </c>
      <c r="G684" s="4">
        <v>4300021652</v>
      </c>
      <c r="J684" s="28" t="s">
        <v>614</v>
      </c>
      <c r="K684" s="28" t="s">
        <v>3</v>
      </c>
      <c r="L684" s="32">
        <v>43252</v>
      </c>
      <c r="M684" s="32">
        <f>BCOXT[[#This Row],[INV DOC DATE]]+30</f>
        <v>43282</v>
      </c>
      <c r="N684" s="32">
        <v>43279</v>
      </c>
      <c r="O684" s="31"/>
      <c r="Q684" s="31">
        <f t="shared" si="11"/>
        <v>240</v>
      </c>
      <c r="R684" s="53" t="str">
        <f ca="1">IF(TODAY() - BCOXT[INV DUE DATE]&lt;30, "Less than 30 days",IF(TODAY()-BCOXT[INV DUE DATE]&lt;60,"30-60 days","More than 60 days"))</f>
        <v>Less than 30 days</v>
      </c>
      <c r="S684" s="31" t="s">
        <v>812</v>
      </c>
      <c r="T684" s="43"/>
      <c r="U684" s="4" t="s">
        <v>3699</v>
      </c>
    </row>
    <row r="685" spans="1:21" x14ac:dyDescent="0.3">
      <c r="A685" s="28" t="s">
        <v>4130</v>
      </c>
      <c r="B685" s="4" t="s">
        <v>35</v>
      </c>
      <c r="C685" s="4" t="s">
        <v>39</v>
      </c>
      <c r="D685" s="4">
        <v>5405</v>
      </c>
      <c r="E685" s="30">
        <v>240</v>
      </c>
      <c r="G685" s="4">
        <v>4300021652</v>
      </c>
      <c r="J685" s="28" t="s">
        <v>615</v>
      </c>
      <c r="K685" s="28" t="s">
        <v>3</v>
      </c>
      <c r="L685" s="32">
        <v>43252</v>
      </c>
      <c r="M685" s="32">
        <f>BCOXT[[#This Row],[INV DOC DATE]]+30</f>
        <v>43282</v>
      </c>
      <c r="N685" s="32">
        <v>43279</v>
      </c>
      <c r="O685" s="31"/>
      <c r="Q685" s="31">
        <f t="shared" si="11"/>
        <v>240</v>
      </c>
      <c r="R685" s="53" t="str">
        <f ca="1">IF(TODAY() - BCOXT[INV DUE DATE]&lt;30, "Less than 30 days",IF(TODAY()-BCOXT[INV DUE DATE]&lt;60,"30-60 days","More than 60 days"))</f>
        <v>Less than 30 days</v>
      </c>
      <c r="S685" s="31" t="s">
        <v>812</v>
      </c>
      <c r="T685" s="43"/>
      <c r="U685" s="4" t="s">
        <v>3699</v>
      </c>
    </row>
    <row r="686" spans="1:21" x14ac:dyDescent="0.3">
      <c r="A686" s="28" t="s">
        <v>4130</v>
      </c>
      <c r="B686" s="4" t="s">
        <v>35</v>
      </c>
      <c r="C686" s="4" t="s">
        <v>40</v>
      </c>
      <c r="D686" s="4">
        <v>5405</v>
      </c>
      <c r="E686" s="30">
        <v>240</v>
      </c>
      <c r="G686" s="4">
        <v>4300021652</v>
      </c>
      <c r="J686" s="28" t="s">
        <v>616</v>
      </c>
      <c r="K686" s="28" t="s">
        <v>3</v>
      </c>
      <c r="L686" s="32">
        <v>43252</v>
      </c>
      <c r="M686" s="32">
        <f>BCOXT[[#This Row],[INV DOC DATE]]+30</f>
        <v>43282</v>
      </c>
      <c r="N686" s="32">
        <v>43279</v>
      </c>
      <c r="O686" s="31"/>
      <c r="Q686" s="31">
        <f t="shared" si="11"/>
        <v>240</v>
      </c>
      <c r="R686" s="53" t="str">
        <f ca="1">IF(TODAY() - BCOXT[INV DUE DATE]&lt;30, "Less than 30 days",IF(TODAY()-BCOXT[INV DUE DATE]&lt;60,"30-60 days","More than 60 days"))</f>
        <v>Less than 30 days</v>
      </c>
      <c r="S686" s="31" t="s">
        <v>812</v>
      </c>
      <c r="T686" s="43"/>
      <c r="U686" s="4" t="s">
        <v>3699</v>
      </c>
    </row>
    <row r="687" spans="1:21" x14ac:dyDescent="0.3">
      <c r="A687" s="28" t="s">
        <v>4130</v>
      </c>
      <c r="B687" s="4" t="s">
        <v>35</v>
      </c>
      <c r="C687" s="4" t="s">
        <v>41</v>
      </c>
      <c r="D687" s="4">
        <v>5405</v>
      </c>
      <c r="E687" s="30">
        <v>240</v>
      </c>
      <c r="G687" s="4">
        <v>4300021652</v>
      </c>
      <c r="J687" s="28" t="s">
        <v>617</v>
      </c>
      <c r="K687" s="28" t="s">
        <v>3</v>
      </c>
      <c r="L687" s="32">
        <v>43252</v>
      </c>
      <c r="M687" s="32">
        <f>BCOXT[[#This Row],[INV DOC DATE]]+30</f>
        <v>43282</v>
      </c>
      <c r="N687" s="32">
        <v>43279</v>
      </c>
      <c r="O687" s="31"/>
      <c r="Q687" s="31">
        <f t="shared" si="11"/>
        <v>240</v>
      </c>
      <c r="R687" s="53" t="str">
        <f ca="1">IF(TODAY() - BCOXT[INV DUE DATE]&lt;30, "Less than 30 days",IF(TODAY()-BCOXT[INV DUE DATE]&lt;60,"30-60 days","More than 60 days"))</f>
        <v>Less than 30 days</v>
      </c>
      <c r="S687" s="31" t="s">
        <v>812</v>
      </c>
      <c r="T687" s="43"/>
      <c r="U687" s="4" t="s">
        <v>3699</v>
      </c>
    </row>
    <row r="688" spans="1:21" x14ac:dyDescent="0.3">
      <c r="A688" s="28" t="s">
        <v>4130</v>
      </c>
      <c r="B688" s="4" t="s">
        <v>35</v>
      </c>
      <c r="C688" s="4" t="s">
        <v>42</v>
      </c>
      <c r="D688" s="4">
        <v>5405</v>
      </c>
      <c r="E688" s="30">
        <v>240</v>
      </c>
      <c r="G688" s="4">
        <v>4300021652</v>
      </c>
      <c r="J688" s="28" t="s">
        <v>618</v>
      </c>
      <c r="K688" s="28" t="s">
        <v>3</v>
      </c>
      <c r="L688" s="32">
        <v>43252</v>
      </c>
      <c r="M688" s="32">
        <f>BCOXT[[#This Row],[INV DOC DATE]]+30</f>
        <v>43282</v>
      </c>
      <c r="N688" s="32">
        <v>43279</v>
      </c>
      <c r="O688" s="31"/>
      <c r="Q688" s="31">
        <f t="shared" si="11"/>
        <v>240</v>
      </c>
      <c r="R688" s="53" t="str">
        <f ca="1">IF(TODAY() - BCOXT[INV DUE DATE]&lt;30, "Less than 30 days",IF(TODAY()-BCOXT[INV DUE DATE]&lt;60,"30-60 days","More than 60 days"))</f>
        <v>Less than 30 days</v>
      </c>
      <c r="S688" s="31" t="s">
        <v>812</v>
      </c>
      <c r="T688" s="43"/>
      <c r="U688" s="4" t="s">
        <v>3699</v>
      </c>
    </row>
    <row r="689" spans="1:21" x14ac:dyDescent="0.3">
      <c r="A689" s="28" t="s">
        <v>4130</v>
      </c>
      <c r="B689" s="4" t="s">
        <v>35</v>
      </c>
      <c r="C689" s="4" t="s">
        <v>43</v>
      </c>
      <c r="D689" s="4">
        <v>5405</v>
      </c>
      <c r="E689" s="30">
        <v>240</v>
      </c>
      <c r="G689" s="4">
        <v>4300021652</v>
      </c>
      <c r="J689" s="28" t="s">
        <v>619</v>
      </c>
      <c r="K689" s="28" t="s">
        <v>3</v>
      </c>
      <c r="L689" s="32">
        <v>43252</v>
      </c>
      <c r="M689" s="32">
        <f>BCOXT[[#This Row],[INV DOC DATE]]+30</f>
        <v>43282</v>
      </c>
      <c r="N689" s="32">
        <v>43279</v>
      </c>
      <c r="O689" s="31"/>
      <c r="Q689" s="31">
        <f t="shared" si="11"/>
        <v>240</v>
      </c>
      <c r="R689" s="53" t="str">
        <f ca="1">IF(TODAY() - BCOXT[INV DUE DATE]&lt;30, "Less than 30 days",IF(TODAY()-BCOXT[INV DUE DATE]&lt;60,"30-60 days","More than 60 days"))</f>
        <v>Less than 30 days</v>
      </c>
      <c r="S689" s="31" t="s">
        <v>812</v>
      </c>
      <c r="T689" s="43"/>
      <c r="U689" s="4" t="s">
        <v>3699</v>
      </c>
    </row>
    <row r="690" spans="1:21" x14ac:dyDescent="0.3">
      <c r="A690" s="28" t="s">
        <v>4130</v>
      </c>
      <c r="B690" s="4" t="s">
        <v>35</v>
      </c>
      <c r="C690" s="4" t="s">
        <v>44</v>
      </c>
      <c r="D690" s="4">
        <v>5405</v>
      </c>
      <c r="E690" s="30">
        <v>240</v>
      </c>
      <c r="G690" s="4">
        <v>4300021652</v>
      </c>
      <c r="J690" s="28" t="s">
        <v>620</v>
      </c>
      <c r="K690" s="28" t="s">
        <v>3</v>
      </c>
      <c r="L690" s="32">
        <v>43252</v>
      </c>
      <c r="M690" s="32">
        <f>BCOXT[[#This Row],[INV DOC DATE]]+30</f>
        <v>43282</v>
      </c>
      <c r="N690" s="32">
        <v>43279</v>
      </c>
      <c r="O690" s="31"/>
      <c r="Q690" s="31">
        <f t="shared" si="11"/>
        <v>240</v>
      </c>
      <c r="R690" s="53" t="str">
        <f ca="1">IF(TODAY() - BCOXT[INV DUE DATE]&lt;30, "Less than 30 days",IF(TODAY()-BCOXT[INV DUE DATE]&lt;60,"30-60 days","More than 60 days"))</f>
        <v>Less than 30 days</v>
      </c>
      <c r="S690" s="31" t="s">
        <v>812</v>
      </c>
      <c r="T690" s="43"/>
      <c r="U690" s="4" t="s">
        <v>3699</v>
      </c>
    </row>
    <row r="691" spans="1:21" x14ac:dyDescent="0.3">
      <c r="A691" s="28" t="s">
        <v>4130</v>
      </c>
      <c r="B691" s="4" t="s">
        <v>35</v>
      </c>
      <c r="C691" s="4" t="s">
        <v>45</v>
      </c>
      <c r="D691" s="4">
        <v>5405</v>
      </c>
      <c r="E691" s="30">
        <v>240</v>
      </c>
      <c r="G691" s="4">
        <v>4300021652</v>
      </c>
      <c r="J691" s="28" t="s">
        <v>621</v>
      </c>
      <c r="K691" s="28" t="s">
        <v>3</v>
      </c>
      <c r="L691" s="32">
        <v>43252</v>
      </c>
      <c r="M691" s="32">
        <f>BCOXT[[#This Row],[INV DOC DATE]]+30</f>
        <v>43282</v>
      </c>
      <c r="N691" s="32">
        <v>43279</v>
      </c>
      <c r="O691" s="31"/>
      <c r="Q691" s="31">
        <f t="shared" si="11"/>
        <v>240</v>
      </c>
      <c r="R691" s="53" t="str">
        <f ca="1">IF(TODAY() - BCOXT[INV DUE DATE]&lt;30, "Less than 30 days",IF(TODAY()-BCOXT[INV DUE DATE]&lt;60,"30-60 days","More than 60 days"))</f>
        <v>Less than 30 days</v>
      </c>
      <c r="S691" s="31" t="s">
        <v>812</v>
      </c>
      <c r="T691" s="43"/>
      <c r="U691" s="4" t="s">
        <v>3699</v>
      </c>
    </row>
    <row r="692" spans="1:21" x14ac:dyDescent="0.3">
      <c r="A692" s="28" t="s">
        <v>4130</v>
      </c>
      <c r="B692" s="4" t="s">
        <v>35</v>
      </c>
      <c r="C692" s="4" t="s">
        <v>46</v>
      </c>
      <c r="D692" s="4">
        <v>5405</v>
      </c>
      <c r="E692" s="30">
        <v>540</v>
      </c>
      <c r="G692" s="4">
        <v>4300021652</v>
      </c>
      <c r="J692" s="28" t="s">
        <v>622</v>
      </c>
      <c r="K692" s="28" t="s">
        <v>3</v>
      </c>
      <c r="L692" s="32">
        <v>43252</v>
      </c>
      <c r="M692" s="32">
        <f>BCOXT[[#This Row],[INV DOC DATE]]+30</f>
        <v>43282</v>
      </c>
      <c r="N692" s="32">
        <v>43279</v>
      </c>
      <c r="O692" s="31"/>
      <c r="Q692" s="31">
        <f t="shared" si="11"/>
        <v>540</v>
      </c>
      <c r="R692" s="53" t="str">
        <f ca="1">IF(TODAY() - BCOXT[INV DUE DATE]&lt;30, "Less than 30 days",IF(TODAY()-BCOXT[INV DUE DATE]&lt;60,"30-60 days","More than 60 days"))</f>
        <v>Less than 30 days</v>
      </c>
      <c r="S692" s="31" t="s">
        <v>812</v>
      </c>
      <c r="T692" s="43"/>
      <c r="U692" s="4" t="s">
        <v>3699</v>
      </c>
    </row>
    <row r="693" spans="1:21" x14ac:dyDescent="0.3">
      <c r="A693" s="28" t="s">
        <v>4130</v>
      </c>
      <c r="B693" s="4" t="s">
        <v>35</v>
      </c>
      <c r="C693" s="4" t="s">
        <v>47</v>
      </c>
      <c r="D693" s="4">
        <v>5405</v>
      </c>
      <c r="E693" s="30">
        <v>540</v>
      </c>
      <c r="G693" s="4">
        <v>4300021652</v>
      </c>
      <c r="J693" s="28" t="s">
        <v>623</v>
      </c>
      <c r="K693" s="28" t="s">
        <v>3</v>
      </c>
      <c r="L693" s="32">
        <v>43252</v>
      </c>
      <c r="M693" s="32">
        <f>BCOXT[[#This Row],[INV DOC DATE]]+30</f>
        <v>43282</v>
      </c>
      <c r="N693" s="32">
        <v>43279</v>
      </c>
      <c r="O693" s="31"/>
      <c r="Q693" s="31">
        <f t="shared" si="11"/>
        <v>540</v>
      </c>
      <c r="R693" s="53" t="str">
        <f ca="1">IF(TODAY() - BCOXT[INV DUE DATE]&lt;30, "Less than 30 days",IF(TODAY()-BCOXT[INV DUE DATE]&lt;60,"30-60 days","More than 60 days"))</f>
        <v>Less than 30 days</v>
      </c>
      <c r="S693" s="31" t="s">
        <v>812</v>
      </c>
      <c r="T693" s="43"/>
      <c r="U693" s="4" t="s">
        <v>3699</v>
      </c>
    </row>
    <row r="694" spans="1:21" x14ac:dyDescent="0.3">
      <c r="A694" s="28" t="s">
        <v>4130</v>
      </c>
      <c r="B694" s="4" t="s">
        <v>35</v>
      </c>
      <c r="C694" s="4" t="s">
        <v>295</v>
      </c>
      <c r="D694" s="4">
        <v>5405</v>
      </c>
      <c r="E694" s="30">
        <v>540</v>
      </c>
      <c r="G694" s="4">
        <v>4300021652</v>
      </c>
      <c r="J694" s="28" t="s">
        <v>624</v>
      </c>
      <c r="K694" s="28" t="s">
        <v>3</v>
      </c>
      <c r="L694" s="32">
        <v>43252</v>
      </c>
      <c r="M694" s="32">
        <f>BCOXT[[#This Row],[INV DOC DATE]]+30</f>
        <v>43282</v>
      </c>
      <c r="N694" s="32">
        <v>43279</v>
      </c>
      <c r="O694" s="31"/>
      <c r="Q694" s="31">
        <f t="shared" si="11"/>
        <v>540</v>
      </c>
      <c r="R694" s="53" t="str">
        <f ca="1">IF(TODAY() - BCOXT[INV DUE DATE]&lt;30, "Less than 30 days",IF(TODAY()-BCOXT[INV DUE DATE]&lt;60,"30-60 days","More than 60 days"))</f>
        <v>Less than 30 days</v>
      </c>
      <c r="S694" s="31" t="s">
        <v>812</v>
      </c>
      <c r="T694" s="43"/>
      <c r="U694" s="4" t="s">
        <v>3699</v>
      </c>
    </row>
    <row r="695" spans="1:21" x14ac:dyDescent="0.3">
      <c r="A695" s="28" t="s">
        <v>4130</v>
      </c>
      <c r="B695" s="4" t="s">
        <v>35</v>
      </c>
      <c r="C695" s="4" t="s">
        <v>48</v>
      </c>
      <c r="D695" s="4">
        <v>5405</v>
      </c>
      <c r="E695" s="30">
        <v>540</v>
      </c>
      <c r="G695" s="4">
        <v>4300021652</v>
      </c>
      <c r="J695" s="28" t="s">
        <v>625</v>
      </c>
      <c r="K695" s="28" t="s">
        <v>3</v>
      </c>
      <c r="L695" s="32">
        <v>43252</v>
      </c>
      <c r="M695" s="32">
        <f>BCOXT[[#This Row],[INV DOC DATE]]+30</f>
        <v>43282</v>
      </c>
      <c r="N695" s="32">
        <v>43279</v>
      </c>
      <c r="O695" s="31"/>
      <c r="Q695" s="31">
        <f t="shared" si="11"/>
        <v>540</v>
      </c>
      <c r="R695" s="53" t="str">
        <f ca="1">IF(TODAY() - BCOXT[INV DUE DATE]&lt;30, "Less than 30 days",IF(TODAY()-BCOXT[INV DUE DATE]&lt;60,"30-60 days","More than 60 days"))</f>
        <v>Less than 30 days</v>
      </c>
      <c r="S695" s="31" t="s">
        <v>812</v>
      </c>
      <c r="T695" s="43"/>
      <c r="U695" s="4" t="s">
        <v>3699</v>
      </c>
    </row>
    <row r="696" spans="1:21" x14ac:dyDescent="0.3">
      <c r="A696" s="28" t="s">
        <v>4130</v>
      </c>
      <c r="B696" s="4" t="s">
        <v>35</v>
      </c>
      <c r="C696" s="4" t="s">
        <v>49</v>
      </c>
      <c r="D696" s="4">
        <v>5405</v>
      </c>
      <c r="E696" s="30">
        <v>540</v>
      </c>
      <c r="G696" s="4">
        <v>4300021652</v>
      </c>
      <c r="J696" s="28" t="s">
        <v>626</v>
      </c>
      <c r="K696" s="28" t="s">
        <v>3</v>
      </c>
      <c r="L696" s="32">
        <v>43252</v>
      </c>
      <c r="M696" s="32">
        <f>BCOXT[[#This Row],[INV DOC DATE]]+30</f>
        <v>43282</v>
      </c>
      <c r="N696" s="32">
        <v>43279</v>
      </c>
      <c r="O696" s="31"/>
      <c r="Q696" s="31">
        <f t="shared" si="11"/>
        <v>540</v>
      </c>
      <c r="R696" s="53" t="str">
        <f ca="1">IF(TODAY() - BCOXT[INV DUE DATE]&lt;30, "Less than 30 days",IF(TODAY()-BCOXT[INV DUE DATE]&lt;60,"30-60 days","More than 60 days"))</f>
        <v>Less than 30 days</v>
      </c>
      <c r="S696" s="31" t="s">
        <v>812</v>
      </c>
      <c r="T696" s="43"/>
      <c r="U696" s="4" t="s">
        <v>3699</v>
      </c>
    </row>
    <row r="697" spans="1:21" x14ac:dyDescent="0.3">
      <c r="A697" s="28" t="s">
        <v>4130</v>
      </c>
      <c r="B697" s="4" t="s">
        <v>35</v>
      </c>
      <c r="C697" s="4" t="s">
        <v>50</v>
      </c>
      <c r="D697" s="4">
        <v>5405</v>
      </c>
      <c r="E697" s="30">
        <v>540</v>
      </c>
      <c r="G697" s="4">
        <v>4300021652</v>
      </c>
      <c r="J697" s="28" t="s">
        <v>627</v>
      </c>
      <c r="K697" s="28" t="s">
        <v>3</v>
      </c>
      <c r="L697" s="32">
        <v>43252</v>
      </c>
      <c r="M697" s="32">
        <f>BCOXT[[#This Row],[INV DOC DATE]]+30</f>
        <v>43282</v>
      </c>
      <c r="N697" s="32">
        <v>43279</v>
      </c>
      <c r="O697" s="31"/>
      <c r="Q697" s="31">
        <f t="shared" si="11"/>
        <v>540</v>
      </c>
      <c r="R697" s="53" t="str">
        <f ca="1">IF(TODAY() - BCOXT[INV DUE DATE]&lt;30, "Less than 30 days",IF(TODAY()-BCOXT[INV DUE DATE]&lt;60,"30-60 days","More than 60 days"))</f>
        <v>Less than 30 days</v>
      </c>
      <c r="S697" s="31" t="s">
        <v>812</v>
      </c>
      <c r="T697" s="43"/>
      <c r="U697" s="4" t="s">
        <v>3699</v>
      </c>
    </row>
    <row r="698" spans="1:21" x14ac:dyDescent="0.3">
      <c r="A698" s="28" t="s">
        <v>4130</v>
      </c>
      <c r="B698" s="4" t="s">
        <v>35</v>
      </c>
      <c r="C698" s="4" t="s">
        <v>51</v>
      </c>
      <c r="D698" s="4">
        <v>5405</v>
      </c>
      <c r="E698" s="30">
        <v>262.5</v>
      </c>
      <c r="G698" s="4">
        <v>4300021652</v>
      </c>
      <c r="J698" s="28" t="s">
        <v>628</v>
      </c>
      <c r="K698" s="28" t="s">
        <v>3</v>
      </c>
      <c r="L698" s="32">
        <v>43252</v>
      </c>
      <c r="M698" s="32">
        <f>BCOXT[[#This Row],[INV DOC DATE]]+30</f>
        <v>43282</v>
      </c>
      <c r="N698" s="32">
        <v>43279</v>
      </c>
      <c r="O698" s="31"/>
      <c r="Q698" s="31">
        <f t="shared" si="11"/>
        <v>262.5</v>
      </c>
      <c r="R698" s="53" t="str">
        <f ca="1">IF(TODAY() - BCOXT[INV DUE DATE]&lt;30, "Less than 30 days",IF(TODAY()-BCOXT[INV DUE DATE]&lt;60,"30-60 days","More than 60 days"))</f>
        <v>Less than 30 days</v>
      </c>
      <c r="S698" s="31" t="s">
        <v>812</v>
      </c>
      <c r="T698" s="43"/>
      <c r="U698" s="4" t="s">
        <v>3699</v>
      </c>
    </row>
    <row r="699" spans="1:21" x14ac:dyDescent="0.3">
      <c r="A699" s="28" t="s">
        <v>4130</v>
      </c>
      <c r="B699" s="4" t="s">
        <v>35</v>
      </c>
      <c r="C699" s="4" t="s">
        <v>52</v>
      </c>
      <c r="D699" s="4">
        <v>5405</v>
      </c>
      <c r="E699" s="30">
        <v>262.5</v>
      </c>
      <c r="G699" s="4">
        <v>4300021652</v>
      </c>
      <c r="J699" s="28" t="s">
        <v>629</v>
      </c>
      <c r="K699" s="28" t="s">
        <v>3</v>
      </c>
      <c r="L699" s="32">
        <v>43252</v>
      </c>
      <c r="M699" s="32">
        <f>BCOXT[[#This Row],[INV DOC DATE]]+30</f>
        <v>43282</v>
      </c>
      <c r="N699" s="32">
        <v>43279</v>
      </c>
      <c r="O699" s="31"/>
      <c r="Q699" s="31">
        <f t="shared" si="11"/>
        <v>262.5</v>
      </c>
      <c r="R699" s="53" t="str">
        <f ca="1">IF(TODAY() - BCOXT[INV DUE DATE]&lt;30, "Less than 30 days",IF(TODAY()-BCOXT[INV DUE DATE]&lt;60,"30-60 days","More than 60 days"))</f>
        <v>Less than 30 days</v>
      </c>
      <c r="S699" s="31" t="s">
        <v>812</v>
      </c>
      <c r="T699" s="43"/>
      <c r="U699" s="4" t="s">
        <v>3699</v>
      </c>
    </row>
    <row r="700" spans="1:21" x14ac:dyDescent="0.3">
      <c r="A700" s="28" t="s">
        <v>4130</v>
      </c>
      <c r="B700" s="4" t="s">
        <v>35</v>
      </c>
      <c r="C700" s="4" t="s">
        <v>53</v>
      </c>
      <c r="D700" s="4">
        <v>5405</v>
      </c>
      <c r="E700" s="30">
        <v>367.2</v>
      </c>
      <c r="G700" s="4">
        <v>4300021652</v>
      </c>
      <c r="J700" s="28" t="s">
        <v>630</v>
      </c>
      <c r="K700" s="28" t="s">
        <v>3</v>
      </c>
      <c r="L700" s="32">
        <v>43252</v>
      </c>
      <c r="M700" s="32">
        <f>BCOXT[[#This Row],[INV DOC DATE]]+30</f>
        <v>43282</v>
      </c>
      <c r="N700" s="32">
        <v>43279</v>
      </c>
      <c r="O700" s="31"/>
      <c r="Q700" s="31">
        <f t="shared" si="11"/>
        <v>367.2</v>
      </c>
      <c r="R700" s="53" t="str">
        <f ca="1">IF(TODAY() - BCOXT[INV DUE DATE]&lt;30, "Less than 30 days",IF(TODAY()-BCOXT[INV DUE DATE]&lt;60,"30-60 days","More than 60 days"))</f>
        <v>Less than 30 days</v>
      </c>
      <c r="S700" s="31" t="s">
        <v>812</v>
      </c>
      <c r="T700" s="43"/>
      <c r="U700" s="4" t="s">
        <v>3699</v>
      </c>
    </row>
    <row r="701" spans="1:21" x14ac:dyDescent="0.3">
      <c r="A701" s="28" t="s">
        <v>4130</v>
      </c>
      <c r="B701" s="4" t="s">
        <v>35</v>
      </c>
      <c r="C701" s="4" t="s">
        <v>54</v>
      </c>
      <c r="D701" s="4">
        <v>5405</v>
      </c>
      <c r="E701" s="30">
        <v>367.2</v>
      </c>
      <c r="G701" s="4">
        <v>4300021652</v>
      </c>
      <c r="J701" s="28" t="s">
        <v>631</v>
      </c>
      <c r="K701" s="28" t="s">
        <v>3</v>
      </c>
      <c r="L701" s="32">
        <v>43252</v>
      </c>
      <c r="M701" s="32">
        <f>BCOXT[[#This Row],[INV DOC DATE]]+30</f>
        <v>43282</v>
      </c>
      <c r="N701" s="32">
        <v>43279</v>
      </c>
      <c r="O701" s="31"/>
      <c r="Q701" s="31">
        <f t="shared" si="11"/>
        <v>367.2</v>
      </c>
      <c r="R701" s="53" t="str">
        <f ca="1">IF(TODAY() - BCOXT[INV DUE DATE]&lt;30, "Less than 30 days",IF(TODAY()-BCOXT[INV DUE DATE]&lt;60,"30-60 days","More than 60 days"))</f>
        <v>Less than 30 days</v>
      </c>
      <c r="S701" s="31" t="s">
        <v>812</v>
      </c>
      <c r="T701" s="43"/>
      <c r="U701" s="4" t="s">
        <v>3699</v>
      </c>
    </row>
    <row r="702" spans="1:21" x14ac:dyDescent="0.3">
      <c r="A702" s="28" t="s">
        <v>4130</v>
      </c>
      <c r="B702" s="4" t="s">
        <v>35</v>
      </c>
      <c r="C702" s="4" t="s">
        <v>55</v>
      </c>
      <c r="D702" s="4">
        <v>5405</v>
      </c>
      <c r="E702" s="30">
        <v>367.2</v>
      </c>
      <c r="G702" s="4">
        <v>4300021652</v>
      </c>
      <c r="J702" s="28" t="s">
        <v>2676</v>
      </c>
      <c r="K702" s="28" t="s">
        <v>3</v>
      </c>
      <c r="L702" s="32">
        <v>43252</v>
      </c>
      <c r="M702" s="32">
        <f>BCOXT[[#This Row],[INV DOC DATE]]+30</f>
        <v>43282</v>
      </c>
      <c r="N702" s="32">
        <v>43279</v>
      </c>
      <c r="O702" s="31"/>
      <c r="Q702" s="31">
        <f t="shared" si="11"/>
        <v>367.2</v>
      </c>
      <c r="R702" s="53" t="str">
        <f ca="1">IF(TODAY() - BCOXT[INV DUE DATE]&lt;30, "Less than 30 days",IF(TODAY()-BCOXT[INV DUE DATE]&lt;60,"30-60 days","More than 60 days"))</f>
        <v>Less than 30 days</v>
      </c>
      <c r="S702" s="31" t="s">
        <v>812</v>
      </c>
      <c r="T702" s="43"/>
      <c r="U702" s="4" t="s">
        <v>3699</v>
      </c>
    </row>
    <row r="703" spans="1:21" x14ac:dyDescent="0.3">
      <c r="A703" s="28" t="s">
        <v>4130</v>
      </c>
      <c r="B703" s="4" t="s">
        <v>35</v>
      </c>
      <c r="C703" s="4" t="s">
        <v>56</v>
      </c>
      <c r="D703" s="4">
        <v>5405</v>
      </c>
      <c r="E703" s="30">
        <v>240</v>
      </c>
      <c r="G703" s="4">
        <v>4300021652</v>
      </c>
      <c r="J703" s="28" t="s">
        <v>632</v>
      </c>
      <c r="K703" s="28" t="s">
        <v>3</v>
      </c>
      <c r="L703" s="32">
        <v>43252</v>
      </c>
      <c r="M703" s="32">
        <f>BCOXT[[#This Row],[INV DOC DATE]]+30</f>
        <v>43282</v>
      </c>
      <c r="N703" s="32">
        <v>43279</v>
      </c>
      <c r="O703" s="31"/>
      <c r="Q703" s="31">
        <f t="shared" si="11"/>
        <v>240</v>
      </c>
      <c r="R703" s="53" t="str">
        <f ca="1">IF(TODAY() - BCOXT[INV DUE DATE]&lt;30, "Less than 30 days",IF(TODAY()-BCOXT[INV DUE DATE]&lt;60,"30-60 days","More than 60 days"))</f>
        <v>Less than 30 days</v>
      </c>
      <c r="S703" s="31" t="s">
        <v>812</v>
      </c>
      <c r="T703" s="43"/>
      <c r="U703" s="4" t="s">
        <v>3699</v>
      </c>
    </row>
    <row r="704" spans="1:21" x14ac:dyDescent="0.3">
      <c r="A704" s="28" t="s">
        <v>4130</v>
      </c>
      <c r="B704" s="4" t="s">
        <v>35</v>
      </c>
      <c r="C704" s="4" t="s">
        <v>57</v>
      </c>
      <c r="D704" s="4">
        <v>5405</v>
      </c>
      <c r="E704" s="30">
        <v>240</v>
      </c>
      <c r="G704" s="4">
        <v>4300021652</v>
      </c>
      <c r="J704" s="28" t="s">
        <v>633</v>
      </c>
      <c r="K704" s="28" t="s">
        <v>3</v>
      </c>
      <c r="L704" s="32">
        <v>43252</v>
      </c>
      <c r="M704" s="32">
        <f>BCOXT[[#This Row],[INV DOC DATE]]+30</f>
        <v>43282</v>
      </c>
      <c r="N704" s="32">
        <v>43279</v>
      </c>
      <c r="O704" s="31"/>
      <c r="Q704" s="31">
        <f t="shared" si="11"/>
        <v>240</v>
      </c>
      <c r="R704" s="53" t="str">
        <f ca="1">IF(TODAY() - BCOXT[INV DUE DATE]&lt;30, "Less than 30 days",IF(TODAY()-BCOXT[INV DUE DATE]&lt;60,"30-60 days","More than 60 days"))</f>
        <v>Less than 30 days</v>
      </c>
      <c r="S704" s="31" t="s">
        <v>812</v>
      </c>
      <c r="T704" s="43"/>
      <c r="U704" s="4" t="s">
        <v>3699</v>
      </c>
    </row>
    <row r="705" spans="1:21" x14ac:dyDescent="0.3">
      <c r="A705" s="28" t="s">
        <v>4130</v>
      </c>
      <c r="B705" s="4" t="s">
        <v>35</v>
      </c>
      <c r="C705" s="4" t="s">
        <v>58</v>
      </c>
      <c r="D705" s="4">
        <v>5405</v>
      </c>
      <c r="E705" s="30">
        <v>240</v>
      </c>
      <c r="G705" s="4">
        <v>4300021652</v>
      </c>
      <c r="J705" s="28" t="s">
        <v>634</v>
      </c>
      <c r="K705" s="28" t="s">
        <v>3</v>
      </c>
      <c r="L705" s="32">
        <v>43252</v>
      </c>
      <c r="M705" s="32">
        <f>BCOXT[[#This Row],[INV DOC DATE]]+30</f>
        <v>43282</v>
      </c>
      <c r="N705" s="32">
        <v>43279</v>
      </c>
      <c r="O705" s="31"/>
      <c r="Q705" s="31">
        <f t="shared" si="11"/>
        <v>240</v>
      </c>
      <c r="R705" s="53" t="str">
        <f ca="1">IF(TODAY() - BCOXT[INV DUE DATE]&lt;30, "Less than 30 days",IF(TODAY()-BCOXT[INV DUE DATE]&lt;60,"30-60 days","More than 60 days"))</f>
        <v>Less than 30 days</v>
      </c>
      <c r="S705" s="31" t="s">
        <v>812</v>
      </c>
      <c r="T705" s="43"/>
      <c r="U705" s="4" t="s">
        <v>3699</v>
      </c>
    </row>
    <row r="706" spans="1:21" x14ac:dyDescent="0.3">
      <c r="A706" s="28" t="s">
        <v>4130</v>
      </c>
      <c r="B706" s="4" t="s">
        <v>35</v>
      </c>
      <c r="C706" s="4" t="s">
        <v>59</v>
      </c>
      <c r="D706" s="4">
        <v>5405</v>
      </c>
      <c r="E706" s="30">
        <v>240</v>
      </c>
      <c r="G706" s="4">
        <v>4300021652</v>
      </c>
      <c r="J706" s="28" t="s">
        <v>635</v>
      </c>
      <c r="K706" s="28" t="s">
        <v>3</v>
      </c>
      <c r="L706" s="32">
        <v>43252</v>
      </c>
      <c r="M706" s="32">
        <f>BCOXT[[#This Row],[INV DOC DATE]]+30</f>
        <v>43282</v>
      </c>
      <c r="N706" s="32">
        <v>43279</v>
      </c>
      <c r="O706" s="31"/>
      <c r="Q706" s="31">
        <f t="shared" si="11"/>
        <v>240</v>
      </c>
      <c r="R706" s="53" t="str">
        <f ca="1">IF(TODAY() - BCOXT[INV DUE DATE]&lt;30, "Less than 30 days",IF(TODAY()-BCOXT[INV DUE DATE]&lt;60,"30-60 days","More than 60 days"))</f>
        <v>Less than 30 days</v>
      </c>
      <c r="S706" s="31" t="s">
        <v>812</v>
      </c>
      <c r="T706" s="43"/>
      <c r="U706" s="4" t="s">
        <v>3699</v>
      </c>
    </row>
    <row r="707" spans="1:21" x14ac:dyDescent="0.3">
      <c r="A707" s="28" t="s">
        <v>4130</v>
      </c>
      <c r="B707" s="4" t="s">
        <v>35</v>
      </c>
      <c r="C707" s="4" t="s">
        <v>60</v>
      </c>
      <c r="D707" s="4">
        <v>5405</v>
      </c>
      <c r="E707" s="30">
        <v>240</v>
      </c>
      <c r="G707" s="4">
        <v>4300021652</v>
      </c>
      <c r="J707" s="28" t="s">
        <v>636</v>
      </c>
      <c r="K707" s="28" t="s">
        <v>3</v>
      </c>
      <c r="L707" s="32">
        <v>43252</v>
      </c>
      <c r="M707" s="32">
        <f>BCOXT[[#This Row],[INV DOC DATE]]+30</f>
        <v>43282</v>
      </c>
      <c r="N707" s="32">
        <v>43279</v>
      </c>
      <c r="O707" s="31"/>
      <c r="Q707" s="31">
        <f t="shared" si="11"/>
        <v>240</v>
      </c>
      <c r="R707" s="53" t="str">
        <f ca="1">IF(TODAY() - BCOXT[INV DUE DATE]&lt;30, "Less than 30 days",IF(TODAY()-BCOXT[INV DUE DATE]&lt;60,"30-60 days","More than 60 days"))</f>
        <v>Less than 30 days</v>
      </c>
      <c r="S707" s="31" t="s">
        <v>812</v>
      </c>
      <c r="T707" s="43"/>
      <c r="U707" s="4" t="s">
        <v>3699</v>
      </c>
    </row>
    <row r="708" spans="1:21" x14ac:dyDescent="0.3">
      <c r="A708" s="28" t="s">
        <v>4130</v>
      </c>
      <c r="B708" s="4" t="s">
        <v>35</v>
      </c>
      <c r="C708" s="4" t="s">
        <v>61</v>
      </c>
      <c r="D708" s="4">
        <v>5405</v>
      </c>
      <c r="E708" s="30">
        <v>240</v>
      </c>
      <c r="G708" s="4">
        <v>4300021652</v>
      </c>
      <c r="J708" s="28" t="s">
        <v>637</v>
      </c>
      <c r="K708" s="28" t="s">
        <v>3</v>
      </c>
      <c r="L708" s="32">
        <v>43252</v>
      </c>
      <c r="M708" s="32">
        <f>BCOXT[[#This Row],[INV DOC DATE]]+30</f>
        <v>43282</v>
      </c>
      <c r="N708" s="32">
        <v>43279</v>
      </c>
      <c r="O708" s="31"/>
      <c r="Q708" s="31">
        <f t="shared" si="11"/>
        <v>240</v>
      </c>
      <c r="R708" s="53" t="str">
        <f ca="1">IF(TODAY() - BCOXT[INV DUE DATE]&lt;30, "Less than 30 days",IF(TODAY()-BCOXT[INV DUE DATE]&lt;60,"30-60 days","More than 60 days"))</f>
        <v>Less than 30 days</v>
      </c>
      <c r="S708" s="31" t="s">
        <v>812</v>
      </c>
      <c r="T708" s="43"/>
      <c r="U708" s="4" t="s">
        <v>3699</v>
      </c>
    </row>
    <row r="709" spans="1:21" x14ac:dyDescent="0.3">
      <c r="A709" s="28" t="s">
        <v>4130</v>
      </c>
      <c r="B709" s="4" t="s">
        <v>35</v>
      </c>
      <c r="C709" s="4" t="s">
        <v>62</v>
      </c>
      <c r="D709" s="4">
        <v>5405</v>
      </c>
      <c r="E709" s="30">
        <v>240</v>
      </c>
      <c r="G709" s="4">
        <v>4300021652</v>
      </c>
      <c r="J709" s="28" t="s">
        <v>638</v>
      </c>
      <c r="K709" s="28" t="s">
        <v>3</v>
      </c>
      <c r="L709" s="32">
        <v>43252</v>
      </c>
      <c r="M709" s="32">
        <f>BCOXT[[#This Row],[INV DOC DATE]]+30</f>
        <v>43282</v>
      </c>
      <c r="N709" s="32">
        <v>43279</v>
      </c>
      <c r="O709" s="31"/>
      <c r="Q709" s="31">
        <f t="shared" si="11"/>
        <v>240</v>
      </c>
      <c r="R709" s="53" t="str">
        <f ca="1">IF(TODAY() - BCOXT[INV DUE DATE]&lt;30, "Less than 30 days",IF(TODAY()-BCOXT[INV DUE DATE]&lt;60,"30-60 days","More than 60 days"))</f>
        <v>Less than 30 days</v>
      </c>
      <c r="S709" s="31" t="s">
        <v>812</v>
      </c>
      <c r="T709" s="43"/>
      <c r="U709" s="4" t="s">
        <v>3699</v>
      </c>
    </row>
    <row r="710" spans="1:21" x14ac:dyDescent="0.3">
      <c r="A710" s="28" t="s">
        <v>4130</v>
      </c>
      <c r="B710" s="4" t="s">
        <v>35</v>
      </c>
      <c r="C710" s="4" t="s">
        <v>63</v>
      </c>
      <c r="D710" s="4">
        <v>5405</v>
      </c>
      <c r="E710" s="30">
        <v>240</v>
      </c>
      <c r="G710" s="4">
        <v>4300021652</v>
      </c>
      <c r="J710" s="28" t="s">
        <v>639</v>
      </c>
      <c r="K710" s="28" t="s">
        <v>3</v>
      </c>
      <c r="L710" s="32">
        <v>43252</v>
      </c>
      <c r="M710" s="32">
        <f>BCOXT[[#This Row],[INV DOC DATE]]+30</f>
        <v>43282</v>
      </c>
      <c r="N710" s="32">
        <v>43279</v>
      </c>
      <c r="O710" s="31"/>
      <c r="Q710" s="31">
        <f t="shared" si="11"/>
        <v>240</v>
      </c>
      <c r="R710" s="53" t="str">
        <f ca="1">IF(TODAY() - BCOXT[INV DUE DATE]&lt;30, "Less than 30 days",IF(TODAY()-BCOXT[INV DUE DATE]&lt;60,"30-60 days","More than 60 days"))</f>
        <v>Less than 30 days</v>
      </c>
      <c r="S710" s="31" t="s">
        <v>812</v>
      </c>
      <c r="T710" s="43"/>
      <c r="U710" s="4" t="s">
        <v>3699</v>
      </c>
    </row>
    <row r="711" spans="1:21" x14ac:dyDescent="0.3">
      <c r="A711" s="28" t="s">
        <v>4130</v>
      </c>
      <c r="B711" s="4" t="s">
        <v>35</v>
      </c>
      <c r="C711" s="4" t="s">
        <v>64</v>
      </c>
      <c r="D711" s="4">
        <v>5405</v>
      </c>
      <c r="E711" s="30">
        <v>240</v>
      </c>
      <c r="G711" s="4">
        <v>4300021652</v>
      </c>
      <c r="J711" s="28" t="s">
        <v>640</v>
      </c>
      <c r="K711" s="28" t="s">
        <v>3</v>
      </c>
      <c r="L711" s="32">
        <v>43252</v>
      </c>
      <c r="M711" s="32">
        <f>BCOXT[[#This Row],[INV DOC DATE]]+30</f>
        <v>43282</v>
      </c>
      <c r="N711" s="32">
        <v>43279</v>
      </c>
      <c r="O711" s="31"/>
      <c r="Q711" s="31">
        <f t="shared" si="11"/>
        <v>240</v>
      </c>
      <c r="R711" s="53" t="str">
        <f ca="1">IF(TODAY() - BCOXT[INV DUE DATE]&lt;30, "Less than 30 days",IF(TODAY()-BCOXT[INV DUE DATE]&lt;60,"30-60 days","More than 60 days"))</f>
        <v>Less than 30 days</v>
      </c>
      <c r="S711" s="31" t="s">
        <v>812</v>
      </c>
      <c r="T711" s="43"/>
      <c r="U711" s="4" t="s">
        <v>3699</v>
      </c>
    </row>
    <row r="712" spans="1:21" x14ac:dyDescent="0.3">
      <c r="A712" s="28" t="s">
        <v>4130</v>
      </c>
      <c r="B712" s="4" t="s">
        <v>35</v>
      </c>
      <c r="C712" s="4" t="s">
        <v>65</v>
      </c>
      <c r="D712" s="4">
        <v>5405</v>
      </c>
      <c r="E712" s="30">
        <v>240</v>
      </c>
      <c r="G712" s="4">
        <v>4300021652</v>
      </c>
      <c r="J712" s="28" t="s">
        <v>641</v>
      </c>
      <c r="K712" s="28" t="s">
        <v>3</v>
      </c>
      <c r="L712" s="32">
        <v>43252</v>
      </c>
      <c r="M712" s="32">
        <f>BCOXT[[#This Row],[INV DOC DATE]]+30</f>
        <v>43282</v>
      </c>
      <c r="N712" s="32">
        <v>43279</v>
      </c>
      <c r="O712" s="31"/>
      <c r="Q712" s="31">
        <f t="shared" si="11"/>
        <v>240</v>
      </c>
      <c r="R712" s="53" t="str">
        <f ca="1">IF(TODAY() - BCOXT[INV DUE DATE]&lt;30, "Less than 30 days",IF(TODAY()-BCOXT[INV DUE DATE]&lt;60,"30-60 days","More than 60 days"))</f>
        <v>Less than 30 days</v>
      </c>
      <c r="S712" s="31" t="s">
        <v>812</v>
      </c>
      <c r="T712" s="43"/>
      <c r="U712" s="4" t="s">
        <v>3699</v>
      </c>
    </row>
    <row r="713" spans="1:21" x14ac:dyDescent="0.3">
      <c r="A713" s="28" t="s">
        <v>4130</v>
      </c>
      <c r="B713" s="4" t="s">
        <v>35</v>
      </c>
      <c r="C713" s="4" t="s">
        <v>66</v>
      </c>
      <c r="D713" s="4">
        <v>5405</v>
      </c>
      <c r="E713" s="30">
        <v>240</v>
      </c>
      <c r="G713" s="4">
        <v>4300021652</v>
      </c>
      <c r="J713" s="28" t="s">
        <v>642</v>
      </c>
      <c r="K713" s="28" t="s">
        <v>3</v>
      </c>
      <c r="L713" s="32">
        <v>43252</v>
      </c>
      <c r="M713" s="32">
        <f>BCOXT[[#This Row],[INV DOC DATE]]+30</f>
        <v>43282</v>
      </c>
      <c r="N713" s="32">
        <v>43279</v>
      </c>
      <c r="O713" s="31"/>
      <c r="Q713" s="31">
        <f t="shared" si="11"/>
        <v>240</v>
      </c>
      <c r="R713" s="53" t="str">
        <f ca="1">IF(TODAY() - BCOXT[INV DUE DATE]&lt;30, "Less than 30 days",IF(TODAY()-BCOXT[INV DUE DATE]&lt;60,"30-60 days","More than 60 days"))</f>
        <v>Less than 30 days</v>
      </c>
      <c r="S713" s="31" t="s">
        <v>812</v>
      </c>
      <c r="T713" s="43"/>
      <c r="U713" s="4" t="s">
        <v>3699</v>
      </c>
    </row>
    <row r="714" spans="1:21" x14ac:dyDescent="0.3">
      <c r="A714" s="28" t="s">
        <v>4130</v>
      </c>
      <c r="B714" s="4" t="s">
        <v>35</v>
      </c>
      <c r="C714" s="4" t="s">
        <v>67</v>
      </c>
      <c r="D714" s="4">
        <v>5405</v>
      </c>
      <c r="E714" s="30">
        <v>240</v>
      </c>
      <c r="G714" s="4">
        <v>4300021652</v>
      </c>
      <c r="J714" s="28" t="s">
        <v>643</v>
      </c>
      <c r="K714" s="28" t="s">
        <v>3</v>
      </c>
      <c r="L714" s="32">
        <v>43252</v>
      </c>
      <c r="M714" s="32">
        <f>BCOXT[[#This Row],[INV DOC DATE]]+30</f>
        <v>43282</v>
      </c>
      <c r="N714" s="32">
        <v>43279</v>
      </c>
      <c r="O714" s="31"/>
      <c r="Q714" s="31">
        <f t="shared" si="11"/>
        <v>240</v>
      </c>
      <c r="R714" s="53" t="str">
        <f ca="1">IF(TODAY() - BCOXT[INV DUE DATE]&lt;30, "Less than 30 days",IF(TODAY()-BCOXT[INV DUE DATE]&lt;60,"30-60 days","More than 60 days"))</f>
        <v>Less than 30 days</v>
      </c>
      <c r="S714" s="31" t="s">
        <v>812</v>
      </c>
      <c r="T714" s="43"/>
      <c r="U714" s="4" t="s">
        <v>3699</v>
      </c>
    </row>
    <row r="715" spans="1:21" x14ac:dyDescent="0.3">
      <c r="A715" s="28" t="s">
        <v>4130</v>
      </c>
      <c r="B715" s="4" t="s">
        <v>35</v>
      </c>
      <c r="C715" s="4" t="s">
        <v>68</v>
      </c>
      <c r="D715" s="4">
        <v>5405</v>
      </c>
      <c r="E715" s="30">
        <v>240</v>
      </c>
      <c r="G715" s="4">
        <v>4300021652</v>
      </c>
      <c r="J715" s="28" t="s">
        <v>644</v>
      </c>
      <c r="K715" s="28" t="s">
        <v>3</v>
      </c>
      <c r="L715" s="32">
        <v>43252</v>
      </c>
      <c r="M715" s="32">
        <f>BCOXT[[#This Row],[INV DOC DATE]]+30</f>
        <v>43282</v>
      </c>
      <c r="N715" s="32">
        <v>43279</v>
      </c>
      <c r="O715" s="31"/>
      <c r="Q715" s="31">
        <f t="shared" si="11"/>
        <v>240</v>
      </c>
      <c r="R715" s="53" t="str">
        <f ca="1">IF(TODAY() - BCOXT[INV DUE DATE]&lt;30, "Less than 30 days",IF(TODAY()-BCOXT[INV DUE DATE]&lt;60,"30-60 days","More than 60 days"))</f>
        <v>Less than 30 days</v>
      </c>
      <c r="S715" s="31" t="s">
        <v>812</v>
      </c>
      <c r="T715" s="43"/>
      <c r="U715" s="4" t="s">
        <v>3699</v>
      </c>
    </row>
    <row r="716" spans="1:21" x14ac:dyDescent="0.3">
      <c r="A716" s="28" t="s">
        <v>4130</v>
      </c>
      <c r="B716" s="4" t="s">
        <v>35</v>
      </c>
      <c r="C716" s="4" t="s">
        <v>69</v>
      </c>
      <c r="D716" s="4">
        <v>5405</v>
      </c>
      <c r="E716" s="30">
        <v>240</v>
      </c>
      <c r="G716" s="4">
        <v>4300021652</v>
      </c>
      <c r="J716" s="28" t="s">
        <v>645</v>
      </c>
      <c r="K716" s="28" t="s">
        <v>3</v>
      </c>
      <c r="L716" s="32">
        <v>43252</v>
      </c>
      <c r="M716" s="32">
        <f>BCOXT[[#This Row],[INV DOC DATE]]+30</f>
        <v>43282</v>
      </c>
      <c r="N716" s="32">
        <v>43279</v>
      </c>
      <c r="O716" s="31"/>
      <c r="Q716" s="31">
        <f t="shared" si="11"/>
        <v>240</v>
      </c>
      <c r="R716" s="53" t="str">
        <f ca="1">IF(TODAY() - BCOXT[INV DUE DATE]&lt;30, "Less than 30 days",IF(TODAY()-BCOXT[INV DUE DATE]&lt;60,"30-60 days","More than 60 days"))</f>
        <v>Less than 30 days</v>
      </c>
      <c r="S716" s="31" t="s">
        <v>812</v>
      </c>
      <c r="T716" s="43"/>
      <c r="U716" s="4" t="s">
        <v>3699</v>
      </c>
    </row>
    <row r="717" spans="1:21" x14ac:dyDescent="0.3">
      <c r="A717" s="28" t="s">
        <v>4130</v>
      </c>
      <c r="B717" s="4" t="s">
        <v>35</v>
      </c>
      <c r="C717" s="4" t="s">
        <v>70</v>
      </c>
      <c r="D717" s="4">
        <v>5405</v>
      </c>
      <c r="E717" s="30">
        <v>240</v>
      </c>
      <c r="G717" s="4">
        <v>4300021652</v>
      </c>
      <c r="J717" s="28" t="s">
        <v>646</v>
      </c>
      <c r="K717" s="28" t="s">
        <v>3</v>
      </c>
      <c r="L717" s="32">
        <v>43252</v>
      </c>
      <c r="M717" s="32">
        <f>BCOXT[[#This Row],[INV DOC DATE]]+30</f>
        <v>43282</v>
      </c>
      <c r="N717" s="32">
        <v>43279</v>
      </c>
      <c r="O717" s="31"/>
      <c r="Q717" s="31">
        <f t="shared" si="11"/>
        <v>240</v>
      </c>
      <c r="R717" s="53" t="str">
        <f ca="1">IF(TODAY() - BCOXT[INV DUE DATE]&lt;30, "Less than 30 days",IF(TODAY()-BCOXT[INV DUE DATE]&lt;60,"30-60 days","More than 60 days"))</f>
        <v>Less than 30 days</v>
      </c>
      <c r="S717" s="31" t="s">
        <v>812</v>
      </c>
      <c r="T717" s="43"/>
      <c r="U717" s="4" t="s">
        <v>3699</v>
      </c>
    </row>
    <row r="718" spans="1:21" x14ac:dyDescent="0.3">
      <c r="A718" s="28" t="s">
        <v>4130</v>
      </c>
      <c r="B718" s="4" t="s">
        <v>35</v>
      </c>
      <c r="C718" s="4" t="s">
        <v>71</v>
      </c>
      <c r="D718" s="4">
        <v>5405</v>
      </c>
      <c r="E718" s="30">
        <v>240</v>
      </c>
      <c r="G718" s="4">
        <v>4300021652</v>
      </c>
      <c r="J718" s="28" t="s">
        <v>647</v>
      </c>
      <c r="K718" s="28" t="s">
        <v>3</v>
      </c>
      <c r="L718" s="32">
        <v>43252</v>
      </c>
      <c r="M718" s="32">
        <f>BCOXT[[#This Row],[INV DOC DATE]]+30</f>
        <v>43282</v>
      </c>
      <c r="N718" s="32">
        <v>43279</v>
      </c>
      <c r="O718" s="31"/>
      <c r="Q718" s="31">
        <f t="shared" si="11"/>
        <v>240</v>
      </c>
      <c r="R718" s="53" t="str">
        <f ca="1">IF(TODAY() - BCOXT[INV DUE DATE]&lt;30, "Less than 30 days",IF(TODAY()-BCOXT[INV DUE DATE]&lt;60,"30-60 days","More than 60 days"))</f>
        <v>Less than 30 days</v>
      </c>
      <c r="S718" s="31" t="s">
        <v>812</v>
      </c>
      <c r="T718" s="43"/>
      <c r="U718" s="4" t="s">
        <v>3699</v>
      </c>
    </row>
    <row r="719" spans="1:21" x14ac:dyDescent="0.3">
      <c r="A719" s="28" t="s">
        <v>4130</v>
      </c>
      <c r="B719" s="4" t="s">
        <v>35</v>
      </c>
      <c r="C719" s="4" t="s">
        <v>72</v>
      </c>
      <c r="D719" s="4">
        <v>5405</v>
      </c>
      <c r="E719" s="30">
        <v>240</v>
      </c>
      <c r="G719" s="4">
        <v>4300021652</v>
      </c>
      <c r="J719" s="28" t="s">
        <v>648</v>
      </c>
      <c r="K719" s="28" t="s">
        <v>3</v>
      </c>
      <c r="L719" s="32">
        <v>43252</v>
      </c>
      <c r="M719" s="32">
        <f>BCOXT[[#This Row],[INV DOC DATE]]+30</f>
        <v>43282</v>
      </c>
      <c r="N719" s="32">
        <v>43279</v>
      </c>
      <c r="O719" s="31"/>
      <c r="Q719" s="31">
        <f t="shared" si="11"/>
        <v>240</v>
      </c>
      <c r="R719" s="53" t="str">
        <f ca="1">IF(TODAY() - BCOXT[INV DUE DATE]&lt;30, "Less than 30 days",IF(TODAY()-BCOXT[INV DUE DATE]&lt;60,"30-60 days","More than 60 days"))</f>
        <v>Less than 30 days</v>
      </c>
      <c r="S719" s="31" t="s">
        <v>812</v>
      </c>
      <c r="T719" s="43"/>
      <c r="U719" s="4" t="s">
        <v>3699</v>
      </c>
    </row>
    <row r="720" spans="1:21" x14ac:dyDescent="0.3">
      <c r="A720" s="28" t="s">
        <v>4130</v>
      </c>
      <c r="B720" s="4" t="s">
        <v>35</v>
      </c>
      <c r="C720" s="4" t="s">
        <v>73</v>
      </c>
      <c r="D720" s="4">
        <v>5405</v>
      </c>
      <c r="E720" s="30">
        <v>240</v>
      </c>
      <c r="G720" s="4">
        <v>4300021652</v>
      </c>
      <c r="J720" s="28" t="s">
        <v>649</v>
      </c>
      <c r="K720" s="28" t="s">
        <v>3</v>
      </c>
      <c r="L720" s="32">
        <v>43252</v>
      </c>
      <c r="M720" s="32">
        <f>BCOXT[[#This Row],[INV DOC DATE]]+30</f>
        <v>43282</v>
      </c>
      <c r="N720" s="32">
        <v>43279</v>
      </c>
      <c r="O720" s="31"/>
      <c r="Q720" s="31">
        <f t="shared" si="11"/>
        <v>240</v>
      </c>
      <c r="R720" s="53" t="str">
        <f ca="1">IF(TODAY() - BCOXT[INV DUE DATE]&lt;30, "Less than 30 days",IF(TODAY()-BCOXT[INV DUE DATE]&lt;60,"30-60 days","More than 60 days"))</f>
        <v>Less than 30 days</v>
      </c>
      <c r="S720" s="31" t="s">
        <v>812</v>
      </c>
      <c r="T720" s="43"/>
      <c r="U720" s="4" t="s">
        <v>3699</v>
      </c>
    </row>
    <row r="721" spans="1:21" x14ac:dyDescent="0.3">
      <c r="A721" s="28" t="s">
        <v>4130</v>
      </c>
      <c r="B721" s="4" t="s">
        <v>35</v>
      </c>
      <c r="C721" s="4" t="s">
        <v>74</v>
      </c>
      <c r="D721" s="4">
        <v>5405</v>
      </c>
      <c r="E721" s="30">
        <v>240</v>
      </c>
      <c r="G721" s="4">
        <v>4300021652</v>
      </c>
      <c r="J721" s="28" t="s">
        <v>650</v>
      </c>
      <c r="K721" s="28" t="s">
        <v>3</v>
      </c>
      <c r="L721" s="32">
        <v>43252</v>
      </c>
      <c r="M721" s="32">
        <f>BCOXT[[#This Row],[INV DOC DATE]]+30</f>
        <v>43282</v>
      </c>
      <c r="N721" s="32">
        <v>43279</v>
      </c>
      <c r="O721" s="31"/>
      <c r="Q721" s="31">
        <f t="shared" si="11"/>
        <v>240</v>
      </c>
      <c r="R721" s="53" t="str">
        <f ca="1">IF(TODAY() - BCOXT[INV DUE DATE]&lt;30, "Less than 30 days",IF(TODAY()-BCOXT[INV DUE DATE]&lt;60,"30-60 days","More than 60 days"))</f>
        <v>Less than 30 days</v>
      </c>
      <c r="S721" s="31" t="s">
        <v>812</v>
      </c>
      <c r="T721" s="43"/>
      <c r="U721" s="4" t="s">
        <v>3699</v>
      </c>
    </row>
    <row r="722" spans="1:21" x14ac:dyDescent="0.3">
      <c r="A722" s="28" t="s">
        <v>4130</v>
      </c>
      <c r="B722" s="4" t="s">
        <v>35</v>
      </c>
      <c r="C722" s="4" t="s">
        <v>75</v>
      </c>
      <c r="D722" s="4">
        <v>5405</v>
      </c>
      <c r="E722" s="30">
        <v>240</v>
      </c>
      <c r="G722" s="4">
        <v>4300021652</v>
      </c>
      <c r="J722" s="28" t="s">
        <v>651</v>
      </c>
      <c r="K722" s="28" t="s">
        <v>3</v>
      </c>
      <c r="L722" s="32">
        <v>43252</v>
      </c>
      <c r="M722" s="32">
        <f>BCOXT[[#This Row],[INV DOC DATE]]+30</f>
        <v>43282</v>
      </c>
      <c r="N722" s="32">
        <v>43279</v>
      </c>
      <c r="O722" s="31"/>
      <c r="Q722" s="31">
        <f t="shared" si="11"/>
        <v>240</v>
      </c>
      <c r="R722" s="53" t="str">
        <f ca="1">IF(TODAY() - BCOXT[INV DUE DATE]&lt;30, "Less than 30 days",IF(TODAY()-BCOXT[INV DUE DATE]&lt;60,"30-60 days","More than 60 days"))</f>
        <v>Less than 30 days</v>
      </c>
      <c r="S722" s="31" t="s">
        <v>812</v>
      </c>
      <c r="T722" s="43"/>
      <c r="U722" s="4" t="s">
        <v>3699</v>
      </c>
    </row>
    <row r="723" spans="1:21" x14ac:dyDescent="0.3">
      <c r="A723" s="28" t="s">
        <v>4130</v>
      </c>
      <c r="B723" s="4" t="s">
        <v>35</v>
      </c>
      <c r="C723" s="4" t="s">
        <v>76</v>
      </c>
      <c r="D723" s="4">
        <v>5405</v>
      </c>
      <c r="E723" s="30">
        <v>240</v>
      </c>
      <c r="G723" s="4">
        <v>4300021652</v>
      </c>
      <c r="J723" s="28" t="s">
        <v>652</v>
      </c>
      <c r="K723" s="28" t="s">
        <v>3</v>
      </c>
      <c r="L723" s="32">
        <v>43252</v>
      </c>
      <c r="M723" s="32">
        <f>BCOXT[[#This Row],[INV DOC DATE]]+30</f>
        <v>43282</v>
      </c>
      <c r="N723" s="32">
        <v>43279</v>
      </c>
      <c r="O723" s="31"/>
      <c r="Q723" s="31">
        <f t="shared" si="11"/>
        <v>240</v>
      </c>
      <c r="R723" s="53" t="str">
        <f ca="1">IF(TODAY() - BCOXT[INV DUE DATE]&lt;30, "Less than 30 days",IF(TODAY()-BCOXT[INV DUE DATE]&lt;60,"30-60 days","More than 60 days"))</f>
        <v>Less than 30 days</v>
      </c>
      <c r="S723" s="31" t="s">
        <v>812</v>
      </c>
      <c r="T723" s="43"/>
      <c r="U723" s="4" t="s">
        <v>3699</v>
      </c>
    </row>
    <row r="724" spans="1:21" x14ac:dyDescent="0.3">
      <c r="A724" s="28" t="s">
        <v>4130</v>
      </c>
      <c r="B724" s="4" t="s">
        <v>35</v>
      </c>
      <c r="C724" s="4" t="s">
        <v>77</v>
      </c>
      <c r="D724" s="4">
        <v>5405</v>
      </c>
      <c r="E724" s="30">
        <v>240</v>
      </c>
      <c r="G724" s="4">
        <v>4300021652</v>
      </c>
      <c r="J724" s="28" t="s">
        <v>653</v>
      </c>
      <c r="K724" s="28" t="s">
        <v>3</v>
      </c>
      <c r="L724" s="32">
        <v>43252</v>
      </c>
      <c r="M724" s="32">
        <f>BCOXT[[#This Row],[INV DOC DATE]]+30</f>
        <v>43282</v>
      </c>
      <c r="N724" s="32">
        <v>43279</v>
      </c>
      <c r="O724" s="31"/>
      <c r="Q724" s="31">
        <f t="shared" ref="Q724:Q787" si="12">$E724-$O724</f>
        <v>240</v>
      </c>
      <c r="R724" s="53" t="str">
        <f ca="1">IF(TODAY() - BCOXT[INV DUE DATE]&lt;30, "Less than 30 days",IF(TODAY()-BCOXT[INV DUE DATE]&lt;60,"30-60 days","More than 60 days"))</f>
        <v>Less than 30 days</v>
      </c>
      <c r="S724" s="31" t="s">
        <v>812</v>
      </c>
      <c r="T724" s="43"/>
      <c r="U724" s="4" t="s">
        <v>3699</v>
      </c>
    </row>
    <row r="725" spans="1:21" x14ac:dyDescent="0.3">
      <c r="A725" s="28" t="s">
        <v>4130</v>
      </c>
      <c r="B725" s="4" t="s">
        <v>35</v>
      </c>
      <c r="C725" s="4" t="s">
        <v>78</v>
      </c>
      <c r="D725" s="4">
        <v>5405</v>
      </c>
      <c r="E725" s="30">
        <v>240</v>
      </c>
      <c r="G725" s="4">
        <v>4300021652</v>
      </c>
      <c r="J725" s="28" t="s">
        <v>654</v>
      </c>
      <c r="K725" s="28" t="s">
        <v>3</v>
      </c>
      <c r="L725" s="32">
        <v>43252</v>
      </c>
      <c r="M725" s="32">
        <f>BCOXT[[#This Row],[INV DOC DATE]]+30</f>
        <v>43282</v>
      </c>
      <c r="N725" s="32">
        <v>43279</v>
      </c>
      <c r="O725" s="31"/>
      <c r="Q725" s="31">
        <f t="shared" si="12"/>
        <v>240</v>
      </c>
      <c r="R725" s="53" t="str">
        <f ca="1">IF(TODAY() - BCOXT[INV DUE DATE]&lt;30, "Less than 30 days",IF(TODAY()-BCOXT[INV DUE DATE]&lt;60,"30-60 days","More than 60 days"))</f>
        <v>Less than 30 days</v>
      </c>
      <c r="S725" s="31" t="s">
        <v>812</v>
      </c>
      <c r="T725" s="43"/>
      <c r="U725" s="4" t="s">
        <v>3699</v>
      </c>
    </row>
    <row r="726" spans="1:21" x14ac:dyDescent="0.3">
      <c r="A726" s="28" t="s">
        <v>4130</v>
      </c>
      <c r="B726" s="4" t="s">
        <v>35</v>
      </c>
      <c r="C726" s="4" t="s">
        <v>79</v>
      </c>
      <c r="D726" s="4">
        <v>5405</v>
      </c>
      <c r="E726" s="30">
        <v>240</v>
      </c>
      <c r="G726" s="4">
        <v>4300021652</v>
      </c>
      <c r="J726" s="28" t="s">
        <v>655</v>
      </c>
      <c r="K726" s="28" t="s">
        <v>3</v>
      </c>
      <c r="L726" s="32">
        <v>43252</v>
      </c>
      <c r="M726" s="32">
        <f>BCOXT[[#This Row],[INV DOC DATE]]+30</f>
        <v>43282</v>
      </c>
      <c r="N726" s="32">
        <v>43279</v>
      </c>
      <c r="O726" s="31"/>
      <c r="Q726" s="31">
        <f t="shared" si="12"/>
        <v>240</v>
      </c>
      <c r="R726" s="53" t="str">
        <f ca="1">IF(TODAY() - BCOXT[INV DUE DATE]&lt;30, "Less than 30 days",IF(TODAY()-BCOXT[INV DUE DATE]&lt;60,"30-60 days","More than 60 days"))</f>
        <v>Less than 30 days</v>
      </c>
      <c r="S726" s="31" t="s">
        <v>812</v>
      </c>
      <c r="T726" s="43"/>
      <c r="U726" s="4" t="s">
        <v>3699</v>
      </c>
    </row>
    <row r="727" spans="1:21" x14ac:dyDescent="0.3">
      <c r="A727" s="28" t="s">
        <v>4130</v>
      </c>
      <c r="B727" s="4" t="s">
        <v>35</v>
      </c>
      <c r="C727" s="4" t="s">
        <v>80</v>
      </c>
      <c r="D727" s="4">
        <v>5405</v>
      </c>
      <c r="E727" s="30">
        <v>240</v>
      </c>
      <c r="G727" s="4">
        <v>4300021652</v>
      </c>
      <c r="J727" s="28" t="s">
        <v>656</v>
      </c>
      <c r="K727" s="28" t="s">
        <v>3</v>
      </c>
      <c r="L727" s="32">
        <v>43252</v>
      </c>
      <c r="M727" s="32">
        <f>BCOXT[[#This Row],[INV DOC DATE]]+30</f>
        <v>43282</v>
      </c>
      <c r="N727" s="32">
        <v>43279</v>
      </c>
      <c r="O727" s="31"/>
      <c r="Q727" s="31">
        <f t="shared" si="12"/>
        <v>240</v>
      </c>
      <c r="R727" s="53" t="str">
        <f ca="1">IF(TODAY() - BCOXT[INV DUE DATE]&lt;30, "Less than 30 days",IF(TODAY()-BCOXT[INV DUE DATE]&lt;60,"30-60 days","More than 60 days"))</f>
        <v>Less than 30 days</v>
      </c>
      <c r="S727" s="31" t="s">
        <v>812</v>
      </c>
      <c r="T727" s="43"/>
      <c r="U727" s="4" t="s">
        <v>3699</v>
      </c>
    </row>
    <row r="728" spans="1:21" x14ac:dyDescent="0.3">
      <c r="A728" s="28" t="s">
        <v>4130</v>
      </c>
      <c r="B728" s="4" t="s">
        <v>35</v>
      </c>
      <c r="C728" s="4" t="s">
        <v>81</v>
      </c>
      <c r="D728" s="4">
        <v>5405</v>
      </c>
      <c r="E728" s="30">
        <v>240</v>
      </c>
      <c r="G728" s="4">
        <v>4300021652</v>
      </c>
      <c r="J728" s="28" t="s">
        <v>657</v>
      </c>
      <c r="K728" s="28" t="s">
        <v>3</v>
      </c>
      <c r="L728" s="32">
        <v>43252</v>
      </c>
      <c r="M728" s="32">
        <f>BCOXT[[#This Row],[INV DOC DATE]]+30</f>
        <v>43282</v>
      </c>
      <c r="N728" s="32">
        <v>43279</v>
      </c>
      <c r="O728" s="31"/>
      <c r="Q728" s="31">
        <f t="shared" si="12"/>
        <v>240</v>
      </c>
      <c r="R728" s="53" t="str">
        <f ca="1">IF(TODAY() - BCOXT[INV DUE DATE]&lt;30, "Less than 30 days",IF(TODAY()-BCOXT[INV DUE DATE]&lt;60,"30-60 days","More than 60 days"))</f>
        <v>Less than 30 days</v>
      </c>
      <c r="S728" s="31" t="s">
        <v>812</v>
      </c>
      <c r="T728" s="43"/>
      <c r="U728" s="4" t="s">
        <v>3699</v>
      </c>
    </row>
    <row r="729" spans="1:21" x14ac:dyDescent="0.3">
      <c r="A729" s="28" t="s">
        <v>4130</v>
      </c>
      <c r="B729" s="4" t="s">
        <v>35</v>
      </c>
      <c r="C729" s="4" t="s">
        <v>82</v>
      </c>
      <c r="D729" s="4">
        <v>5405</v>
      </c>
      <c r="E729" s="30">
        <v>240</v>
      </c>
      <c r="G729" s="4">
        <v>4300021652</v>
      </c>
      <c r="J729" s="28" t="s">
        <v>658</v>
      </c>
      <c r="K729" s="28" t="s">
        <v>3</v>
      </c>
      <c r="L729" s="32">
        <v>43252</v>
      </c>
      <c r="M729" s="32">
        <f>BCOXT[[#This Row],[INV DOC DATE]]+30</f>
        <v>43282</v>
      </c>
      <c r="N729" s="32">
        <v>43279</v>
      </c>
      <c r="O729" s="31"/>
      <c r="Q729" s="31">
        <f t="shared" si="12"/>
        <v>240</v>
      </c>
      <c r="R729" s="53" t="str">
        <f ca="1">IF(TODAY() - BCOXT[INV DUE DATE]&lt;30, "Less than 30 days",IF(TODAY()-BCOXT[INV DUE DATE]&lt;60,"30-60 days","More than 60 days"))</f>
        <v>Less than 30 days</v>
      </c>
      <c r="S729" s="31" t="s">
        <v>812</v>
      </c>
      <c r="T729" s="43"/>
      <c r="U729" s="4" t="s">
        <v>3699</v>
      </c>
    </row>
    <row r="730" spans="1:21" x14ac:dyDescent="0.3">
      <c r="A730" s="28" t="s">
        <v>4130</v>
      </c>
      <c r="B730" s="4" t="s">
        <v>35</v>
      </c>
      <c r="C730" s="4" t="s">
        <v>83</v>
      </c>
      <c r="D730" s="4">
        <v>5405</v>
      </c>
      <c r="E730" s="30">
        <v>240</v>
      </c>
      <c r="G730" s="4">
        <v>4300021652</v>
      </c>
      <c r="J730" s="28" t="s">
        <v>659</v>
      </c>
      <c r="K730" s="28" t="s">
        <v>3</v>
      </c>
      <c r="L730" s="32">
        <v>43252</v>
      </c>
      <c r="M730" s="32">
        <f>BCOXT[[#This Row],[INV DOC DATE]]+30</f>
        <v>43282</v>
      </c>
      <c r="N730" s="32">
        <v>43279</v>
      </c>
      <c r="O730" s="31"/>
      <c r="Q730" s="31">
        <f t="shared" si="12"/>
        <v>240</v>
      </c>
      <c r="R730" s="53" t="str">
        <f ca="1">IF(TODAY() - BCOXT[INV DUE DATE]&lt;30, "Less than 30 days",IF(TODAY()-BCOXT[INV DUE DATE]&lt;60,"30-60 days","More than 60 days"))</f>
        <v>Less than 30 days</v>
      </c>
      <c r="S730" s="31" t="s">
        <v>812</v>
      </c>
      <c r="T730" s="43"/>
      <c r="U730" s="4" t="s">
        <v>3699</v>
      </c>
    </row>
    <row r="731" spans="1:21" x14ac:dyDescent="0.3">
      <c r="A731" s="28" t="s">
        <v>4130</v>
      </c>
      <c r="B731" s="4" t="s">
        <v>35</v>
      </c>
      <c r="C731" s="4" t="s">
        <v>84</v>
      </c>
      <c r="D731" s="4">
        <v>5405</v>
      </c>
      <c r="E731" s="30">
        <v>240</v>
      </c>
      <c r="G731" s="4">
        <v>4300021652</v>
      </c>
      <c r="J731" s="28" t="s">
        <v>660</v>
      </c>
      <c r="K731" s="28" t="s">
        <v>3</v>
      </c>
      <c r="L731" s="32">
        <v>43252</v>
      </c>
      <c r="M731" s="32">
        <f>BCOXT[[#This Row],[INV DOC DATE]]+30</f>
        <v>43282</v>
      </c>
      <c r="N731" s="32">
        <v>43279</v>
      </c>
      <c r="O731" s="31"/>
      <c r="Q731" s="31">
        <f t="shared" si="12"/>
        <v>240</v>
      </c>
      <c r="R731" s="53" t="str">
        <f ca="1">IF(TODAY() - BCOXT[INV DUE DATE]&lt;30, "Less than 30 days",IF(TODAY()-BCOXT[INV DUE DATE]&lt;60,"30-60 days","More than 60 days"))</f>
        <v>Less than 30 days</v>
      </c>
      <c r="S731" s="31" t="s">
        <v>812</v>
      </c>
      <c r="T731" s="43"/>
      <c r="U731" s="4" t="s">
        <v>3699</v>
      </c>
    </row>
    <row r="732" spans="1:21" x14ac:dyDescent="0.3">
      <c r="A732" s="28" t="s">
        <v>4130</v>
      </c>
      <c r="B732" s="4" t="s">
        <v>35</v>
      </c>
      <c r="C732" s="4" t="s">
        <v>85</v>
      </c>
      <c r="D732" s="4">
        <v>5405</v>
      </c>
      <c r="E732" s="30">
        <v>240</v>
      </c>
      <c r="G732" s="4">
        <v>4300021652</v>
      </c>
      <c r="J732" s="28" t="s">
        <v>661</v>
      </c>
      <c r="K732" s="28" t="s">
        <v>3</v>
      </c>
      <c r="L732" s="32">
        <v>43252</v>
      </c>
      <c r="M732" s="32">
        <f>BCOXT[[#This Row],[INV DOC DATE]]+30</f>
        <v>43282</v>
      </c>
      <c r="N732" s="32">
        <v>43279</v>
      </c>
      <c r="O732" s="31"/>
      <c r="Q732" s="31">
        <f t="shared" si="12"/>
        <v>240</v>
      </c>
      <c r="R732" s="53" t="str">
        <f ca="1">IF(TODAY() - BCOXT[INV DUE DATE]&lt;30, "Less than 30 days",IF(TODAY()-BCOXT[INV DUE DATE]&lt;60,"30-60 days","More than 60 days"))</f>
        <v>Less than 30 days</v>
      </c>
      <c r="S732" s="31" t="s">
        <v>812</v>
      </c>
      <c r="T732" s="43"/>
      <c r="U732" s="4" t="s">
        <v>3699</v>
      </c>
    </row>
    <row r="733" spans="1:21" x14ac:dyDescent="0.3">
      <c r="A733" s="28" t="s">
        <v>4130</v>
      </c>
      <c r="B733" s="4" t="s">
        <v>35</v>
      </c>
      <c r="C733" s="4" t="s">
        <v>86</v>
      </c>
      <c r="D733" s="4">
        <v>5405</v>
      </c>
      <c r="E733" s="30">
        <v>240</v>
      </c>
      <c r="G733" s="4">
        <v>4300021652</v>
      </c>
      <c r="J733" s="28" t="s">
        <v>662</v>
      </c>
      <c r="K733" s="28" t="s">
        <v>3</v>
      </c>
      <c r="L733" s="32">
        <v>43252</v>
      </c>
      <c r="M733" s="32">
        <f>BCOXT[[#This Row],[INV DOC DATE]]+30</f>
        <v>43282</v>
      </c>
      <c r="N733" s="32">
        <v>43279</v>
      </c>
      <c r="O733" s="31"/>
      <c r="Q733" s="31">
        <f t="shared" si="12"/>
        <v>240</v>
      </c>
      <c r="R733" s="53" t="str">
        <f ca="1">IF(TODAY() - BCOXT[INV DUE DATE]&lt;30, "Less than 30 days",IF(TODAY()-BCOXT[INV DUE DATE]&lt;60,"30-60 days","More than 60 days"))</f>
        <v>Less than 30 days</v>
      </c>
      <c r="S733" s="31" t="s">
        <v>812</v>
      </c>
      <c r="T733" s="43"/>
      <c r="U733" s="4" t="s">
        <v>3699</v>
      </c>
    </row>
    <row r="734" spans="1:21" x14ac:dyDescent="0.3">
      <c r="A734" s="28" t="s">
        <v>4130</v>
      </c>
      <c r="B734" s="4" t="s">
        <v>35</v>
      </c>
      <c r="C734" s="4" t="s">
        <v>87</v>
      </c>
      <c r="D734" s="4">
        <v>5405</v>
      </c>
      <c r="E734" s="30">
        <v>240</v>
      </c>
      <c r="G734" s="4">
        <v>4300021652</v>
      </c>
      <c r="J734" s="28" t="s">
        <v>663</v>
      </c>
      <c r="K734" s="28" t="s">
        <v>3</v>
      </c>
      <c r="L734" s="32">
        <v>43252</v>
      </c>
      <c r="M734" s="32">
        <f>BCOXT[[#This Row],[INV DOC DATE]]+30</f>
        <v>43282</v>
      </c>
      <c r="N734" s="32">
        <v>43279</v>
      </c>
      <c r="O734" s="31"/>
      <c r="Q734" s="31">
        <f t="shared" si="12"/>
        <v>240</v>
      </c>
      <c r="R734" s="53" t="str">
        <f ca="1">IF(TODAY() - BCOXT[INV DUE DATE]&lt;30, "Less than 30 days",IF(TODAY()-BCOXT[INV DUE DATE]&lt;60,"30-60 days","More than 60 days"))</f>
        <v>Less than 30 days</v>
      </c>
      <c r="S734" s="31" t="s">
        <v>812</v>
      </c>
      <c r="T734" s="43"/>
      <c r="U734" s="4" t="s">
        <v>3699</v>
      </c>
    </row>
    <row r="735" spans="1:21" x14ac:dyDescent="0.3">
      <c r="A735" s="28" t="s">
        <v>4130</v>
      </c>
      <c r="B735" s="4" t="s">
        <v>35</v>
      </c>
      <c r="C735" s="4" t="s">
        <v>88</v>
      </c>
      <c r="D735" s="4">
        <v>5405</v>
      </c>
      <c r="E735" s="30">
        <v>240</v>
      </c>
      <c r="G735" s="4">
        <v>4300021652</v>
      </c>
      <c r="J735" s="28" t="s">
        <v>664</v>
      </c>
      <c r="K735" s="28" t="s">
        <v>3</v>
      </c>
      <c r="L735" s="32">
        <v>43252</v>
      </c>
      <c r="M735" s="32">
        <f>BCOXT[[#This Row],[INV DOC DATE]]+30</f>
        <v>43282</v>
      </c>
      <c r="N735" s="32">
        <v>43279</v>
      </c>
      <c r="O735" s="31"/>
      <c r="Q735" s="31">
        <f t="shared" si="12"/>
        <v>240</v>
      </c>
      <c r="R735" s="53" t="str">
        <f ca="1">IF(TODAY() - BCOXT[INV DUE DATE]&lt;30, "Less than 30 days",IF(TODAY()-BCOXT[INV DUE DATE]&lt;60,"30-60 days","More than 60 days"))</f>
        <v>Less than 30 days</v>
      </c>
      <c r="S735" s="31" t="s">
        <v>812</v>
      </c>
      <c r="T735" s="43"/>
      <c r="U735" s="4" t="s">
        <v>3699</v>
      </c>
    </row>
    <row r="736" spans="1:21" x14ac:dyDescent="0.3">
      <c r="A736" s="28" t="s">
        <v>4130</v>
      </c>
      <c r="B736" s="4" t="s">
        <v>35</v>
      </c>
      <c r="C736" s="4" t="s">
        <v>89</v>
      </c>
      <c r="D736" s="4">
        <v>5405</v>
      </c>
      <c r="E736" s="30">
        <v>240</v>
      </c>
      <c r="G736" s="4">
        <v>4300021652</v>
      </c>
      <c r="J736" s="28" t="s">
        <v>665</v>
      </c>
      <c r="K736" s="28" t="s">
        <v>3</v>
      </c>
      <c r="L736" s="32">
        <v>43252</v>
      </c>
      <c r="M736" s="32">
        <f>BCOXT[[#This Row],[INV DOC DATE]]+30</f>
        <v>43282</v>
      </c>
      <c r="N736" s="32">
        <v>43279</v>
      </c>
      <c r="O736" s="31"/>
      <c r="Q736" s="31">
        <f t="shared" si="12"/>
        <v>240</v>
      </c>
      <c r="R736" s="53" t="str">
        <f ca="1">IF(TODAY() - BCOXT[INV DUE DATE]&lt;30, "Less than 30 days",IF(TODAY()-BCOXT[INV DUE DATE]&lt;60,"30-60 days","More than 60 days"))</f>
        <v>Less than 30 days</v>
      </c>
      <c r="S736" s="31" t="s">
        <v>812</v>
      </c>
      <c r="T736" s="43"/>
      <c r="U736" s="4" t="s">
        <v>3699</v>
      </c>
    </row>
    <row r="737" spans="1:21" x14ac:dyDescent="0.3">
      <c r="A737" s="28" t="s">
        <v>4130</v>
      </c>
      <c r="B737" s="4" t="s">
        <v>35</v>
      </c>
      <c r="C737" s="4" t="s">
        <v>90</v>
      </c>
      <c r="D737" s="4">
        <v>5405</v>
      </c>
      <c r="E737" s="30">
        <v>195</v>
      </c>
      <c r="G737" s="4">
        <v>4300021652</v>
      </c>
      <c r="J737" s="28" t="s">
        <v>666</v>
      </c>
      <c r="K737" s="28" t="s">
        <v>3</v>
      </c>
      <c r="L737" s="32">
        <v>43252</v>
      </c>
      <c r="M737" s="32">
        <f>BCOXT[[#This Row],[INV DOC DATE]]+30</f>
        <v>43282</v>
      </c>
      <c r="N737" s="32">
        <v>43279</v>
      </c>
      <c r="O737" s="31"/>
      <c r="Q737" s="31">
        <f t="shared" si="12"/>
        <v>195</v>
      </c>
      <c r="R737" s="53" t="str">
        <f ca="1">IF(TODAY() - BCOXT[INV DUE DATE]&lt;30, "Less than 30 days",IF(TODAY()-BCOXT[INV DUE DATE]&lt;60,"30-60 days","More than 60 days"))</f>
        <v>Less than 30 days</v>
      </c>
      <c r="S737" s="31" t="s">
        <v>812</v>
      </c>
      <c r="T737" s="43"/>
      <c r="U737" s="4" t="s">
        <v>3699</v>
      </c>
    </row>
    <row r="738" spans="1:21" x14ac:dyDescent="0.3">
      <c r="A738" s="28" t="s">
        <v>4130</v>
      </c>
      <c r="B738" s="4" t="s">
        <v>35</v>
      </c>
      <c r="C738" s="4" t="s">
        <v>91</v>
      </c>
      <c r="D738" s="4">
        <v>5405</v>
      </c>
      <c r="E738" s="30">
        <v>240</v>
      </c>
      <c r="G738" s="4">
        <v>4300021652</v>
      </c>
      <c r="J738" s="28" t="s">
        <v>667</v>
      </c>
      <c r="K738" s="28" t="s">
        <v>3</v>
      </c>
      <c r="L738" s="32">
        <v>43252</v>
      </c>
      <c r="M738" s="32">
        <f>BCOXT[[#This Row],[INV DOC DATE]]+30</f>
        <v>43282</v>
      </c>
      <c r="N738" s="32">
        <v>43279</v>
      </c>
      <c r="O738" s="31"/>
      <c r="Q738" s="31">
        <f t="shared" si="12"/>
        <v>240</v>
      </c>
      <c r="R738" s="53" t="str">
        <f ca="1">IF(TODAY() - BCOXT[INV DUE DATE]&lt;30, "Less than 30 days",IF(TODAY()-BCOXT[INV DUE DATE]&lt;60,"30-60 days","More than 60 days"))</f>
        <v>Less than 30 days</v>
      </c>
      <c r="S738" s="31" t="s">
        <v>812</v>
      </c>
      <c r="T738" s="43"/>
      <c r="U738" s="4" t="s">
        <v>3699</v>
      </c>
    </row>
    <row r="739" spans="1:21" x14ac:dyDescent="0.3">
      <c r="A739" s="28" t="s">
        <v>4130</v>
      </c>
      <c r="B739" s="4" t="s">
        <v>35</v>
      </c>
      <c r="C739" s="4" t="s">
        <v>92</v>
      </c>
      <c r="D739" s="4">
        <v>5405</v>
      </c>
      <c r="E739" s="30">
        <v>240</v>
      </c>
      <c r="G739" s="4">
        <v>4300021652</v>
      </c>
      <c r="J739" s="28" t="s">
        <v>668</v>
      </c>
      <c r="K739" s="28" t="s">
        <v>3</v>
      </c>
      <c r="L739" s="32">
        <v>43252</v>
      </c>
      <c r="M739" s="32">
        <f>BCOXT[[#This Row],[INV DOC DATE]]+30</f>
        <v>43282</v>
      </c>
      <c r="N739" s="32">
        <v>43279</v>
      </c>
      <c r="O739" s="31"/>
      <c r="Q739" s="31">
        <f t="shared" si="12"/>
        <v>240</v>
      </c>
      <c r="R739" s="53" t="str">
        <f ca="1">IF(TODAY() - BCOXT[INV DUE DATE]&lt;30, "Less than 30 days",IF(TODAY()-BCOXT[INV DUE DATE]&lt;60,"30-60 days","More than 60 days"))</f>
        <v>Less than 30 days</v>
      </c>
      <c r="S739" s="31" t="s">
        <v>812</v>
      </c>
      <c r="T739" s="43"/>
      <c r="U739" s="4" t="s">
        <v>3699</v>
      </c>
    </row>
    <row r="740" spans="1:21" x14ac:dyDescent="0.3">
      <c r="A740" s="28" t="s">
        <v>4130</v>
      </c>
      <c r="B740" s="4" t="s">
        <v>35</v>
      </c>
      <c r="C740" s="4" t="s">
        <v>30</v>
      </c>
      <c r="D740" s="4">
        <v>5405</v>
      </c>
      <c r="E740" s="30">
        <v>240</v>
      </c>
      <c r="G740" s="4">
        <v>4300021652</v>
      </c>
      <c r="J740" s="28" t="s">
        <v>669</v>
      </c>
      <c r="K740" s="28" t="s">
        <v>3</v>
      </c>
      <c r="L740" s="32">
        <v>43252</v>
      </c>
      <c r="M740" s="32">
        <f>BCOXT[[#This Row],[INV DOC DATE]]+30</f>
        <v>43282</v>
      </c>
      <c r="N740" s="32">
        <v>43279</v>
      </c>
      <c r="O740" s="31"/>
      <c r="Q740" s="31">
        <f t="shared" si="12"/>
        <v>240</v>
      </c>
      <c r="R740" s="53" t="str">
        <f ca="1">IF(TODAY() - BCOXT[INV DUE DATE]&lt;30, "Less than 30 days",IF(TODAY()-BCOXT[INV DUE DATE]&lt;60,"30-60 days","More than 60 days"))</f>
        <v>Less than 30 days</v>
      </c>
      <c r="S740" s="31" t="s">
        <v>812</v>
      </c>
      <c r="T740" s="43"/>
      <c r="U740" s="4" t="s">
        <v>3699</v>
      </c>
    </row>
    <row r="741" spans="1:21" x14ac:dyDescent="0.3">
      <c r="A741" s="28" t="s">
        <v>4130</v>
      </c>
      <c r="B741" s="4" t="s">
        <v>35</v>
      </c>
      <c r="C741" s="4" t="s">
        <v>93</v>
      </c>
      <c r="D741" s="4">
        <v>5405</v>
      </c>
      <c r="E741" s="30">
        <v>240</v>
      </c>
      <c r="G741" s="4">
        <v>4300021652</v>
      </c>
      <c r="J741" s="28" t="s">
        <v>674</v>
      </c>
      <c r="K741" s="28" t="s">
        <v>3</v>
      </c>
      <c r="L741" s="32">
        <v>43252</v>
      </c>
      <c r="M741" s="32">
        <f>BCOXT[[#This Row],[INV DOC DATE]]+30</f>
        <v>43282</v>
      </c>
      <c r="N741" s="32">
        <v>43279</v>
      </c>
      <c r="O741" s="31"/>
      <c r="Q741" s="31">
        <f t="shared" si="12"/>
        <v>240</v>
      </c>
      <c r="R741" s="53" t="str">
        <f ca="1">IF(TODAY() - BCOXT[INV DUE DATE]&lt;30, "Less than 30 days",IF(TODAY()-BCOXT[INV DUE DATE]&lt;60,"30-60 days","More than 60 days"))</f>
        <v>Less than 30 days</v>
      </c>
      <c r="S741" s="31" t="s">
        <v>812</v>
      </c>
      <c r="T741" s="43"/>
      <c r="U741" s="4" t="s">
        <v>3699</v>
      </c>
    </row>
    <row r="742" spans="1:21" x14ac:dyDescent="0.3">
      <c r="A742" s="28" t="s">
        <v>4130</v>
      </c>
      <c r="B742" s="4" t="s">
        <v>35</v>
      </c>
      <c r="C742" s="4" t="s">
        <v>94</v>
      </c>
      <c r="D742" s="4">
        <v>5405</v>
      </c>
      <c r="E742" s="30">
        <v>240</v>
      </c>
      <c r="G742" s="4">
        <v>4300021652</v>
      </c>
      <c r="J742" s="28" t="s">
        <v>675</v>
      </c>
      <c r="K742" s="28" t="s">
        <v>3</v>
      </c>
      <c r="L742" s="32">
        <v>43252</v>
      </c>
      <c r="M742" s="32">
        <f>BCOXT[[#This Row],[INV DOC DATE]]+30</f>
        <v>43282</v>
      </c>
      <c r="N742" s="32">
        <v>43279</v>
      </c>
      <c r="O742" s="31"/>
      <c r="Q742" s="31">
        <f t="shared" si="12"/>
        <v>240</v>
      </c>
      <c r="R742" s="53" t="str">
        <f ca="1">IF(TODAY() - BCOXT[INV DUE DATE]&lt;30, "Less than 30 days",IF(TODAY()-BCOXT[INV DUE DATE]&lt;60,"30-60 days","More than 60 days"))</f>
        <v>Less than 30 days</v>
      </c>
      <c r="S742" s="31" t="s">
        <v>812</v>
      </c>
      <c r="T742" s="43"/>
      <c r="U742" s="4" t="s">
        <v>3699</v>
      </c>
    </row>
    <row r="743" spans="1:21" x14ac:dyDescent="0.3">
      <c r="A743" s="28" t="s">
        <v>4130</v>
      </c>
      <c r="B743" s="4" t="s">
        <v>35</v>
      </c>
      <c r="C743" s="4" t="s">
        <v>95</v>
      </c>
      <c r="D743" s="4">
        <v>5405</v>
      </c>
      <c r="E743" s="30">
        <v>240</v>
      </c>
      <c r="G743" s="4">
        <v>4300021652</v>
      </c>
      <c r="J743" s="28" t="s">
        <v>676</v>
      </c>
      <c r="K743" s="28" t="s">
        <v>3</v>
      </c>
      <c r="L743" s="32">
        <v>43252</v>
      </c>
      <c r="M743" s="32">
        <f>BCOXT[[#This Row],[INV DOC DATE]]+30</f>
        <v>43282</v>
      </c>
      <c r="N743" s="32">
        <v>43279</v>
      </c>
      <c r="O743" s="31"/>
      <c r="Q743" s="31">
        <f t="shared" si="12"/>
        <v>240</v>
      </c>
      <c r="R743" s="53" t="str">
        <f ca="1">IF(TODAY() - BCOXT[INV DUE DATE]&lt;30, "Less than 30 days",IF(TODAY()-BCOXT[INV DUE DATE]&lt;60,"30-60 days","More than 60 days"))</f>
        <v>Less than 30 days</v>
      </c>
      <c r="S743" s="31" t="s">
        <v>812</v>
      </c>
      <c r="T743" s="43"/>
      <c r="U743" s="4" t="s">
        <v>3699</v>
      </c>
    </row>
    <row r="744" spans="1:21" x14ac:dyDescent="0.3">
      <c r="A744" s="28" t="s">
        <v>4130</v>
      </c>
      <c r="B744" s="4" t="s">
        <v>35</v>
      </c>
      <c r="C744" s="4" t="s">
        <v>96</v>
      </c>
      <c r="D744" s="4">
        <v>5405</v>
      </c>
      <c r="E744" s="30">
        <v>240</v>
      </c>
      <c r="G744" s="4">
        <v>4300021652</v>
      </c>
      <c r="J744" s="28" t="s">
        <v>677</v>
      </c>
      <c r="K744" s="28" t="s">
        <v>3</v>
      </c>
      <c r="L744" s="32">
        <v>43252</v>
      </c>
      <c r="M744" s="32">
        <f>BCOXT[[#This Row],[INV DOC DATE]]+30</f>
        <v>43282</v>
      </c>
      <c r="N744" s="32">
        <v>43279</v>
      </c>
      <c r="O744" s="31"/>
      <c r="Q744" s="31">
        <f t="shared" si="12"/>
        <v>240</v>
      </c>
      <c r="R744" s="53" t="str">
        <f ca="1">IF(TODAY() - BCOXT[INV DUE DATE]&lt;30, "Less than 30 days",IF(TODAY()-BCOXT[INV DUE DATE]&lt;60,"30-60 days","More than 60 days"))</f>
        <v>Less than 30 days</v>
      </c>
      <c r="S744" s="31" t="s">
        <v>812</v>
      </c>
      <c r="T744" s="43"/>
      <c r="U744" s="4" t="s">
        <v>3699</v>
      </c>
    </row>
    <row r="745" spans="1:21" x14ac:dyDescent="0.3">
      <c r="A745" s="28" t="s">
        <v>4130</v>
      </c>
      <c r="B745" s="4" t="s">
        <v>35</v>
      </c>
      <c r="C745" s="4" t="s">
        <v>97</v>
      </c>
      <c r="D745" s="4">
        <v>5405</v>
      </c>
      <c r="E745" s="30">
        <v>240</v>
      </c>
      <c r="G745" s="4">
        <v>4300021652</v>
      </c>
      <c r="J745" s="28" t="s">
        <v>678</v>
      </c>
      <c r="K745" s="28" t="s">
        <v>3</v>
      </c>
      <c r="L745" s="32">
        <v>43252</v>
      </c>
      <c r="M745" s="32">
        <f>BCOXT[[#This Row],[INV DOC DATE]]+30</f>
        <v>43282</v>
      </c>
      <c r="N745" s="32">
        <v>43279</v>
      </c>
      <c r="O745" s="31"/>
      <c r="Q745" s="31">
        <f t="shared" si="12"/>
        <v>240</v>
      </c>
      <c r="R745" s="53" t="str">
        <f ca="1">IF(TODAY() - BCOXT[INV DUE DATE]&lt;30, "Less than 30 days",IF(TODAY()-BCOXT[INV DUE DATE]&lt;60,"30-60 days","More than 60 days"))</f>
        <v>Less than 30 days</v>
      </c>
      <c r="S745" s="31" t="s">
        <v>812</v>
      </c>
      <c r="T745" s="43"/>
      <c r="U745" s="4" t="s">
        <v>3699</v>
      </c>
    </row>
    <row r="746" spans="1:21" x14ac:dyDescent="0.3">
      <c r="A746" s="28" t="s">
        <v>4130</v>
      </c>
      <c r="B746" s="4" t="s">
        <v>35</v>
      </c>
      <c r="C746" s="4" t="s">
        <v>98</v>
      </c>
      <c r="D746" s="4">
        <v>5405</v>
      </c>
      <c r="E746" s="30">
        <v>240</v>
      </c>
      <c r="G746" s="4">
        <v>4300021652</v>
      </c>
      <c r="J746" s="28" t="s">
        <v>679</v>
      </c>
      <c r="K746" s="28" t="s">
        <v>3</v>
      </c>
      <c r="L746" s="32">
        <v>43252</v>
      </c>
      <c r="M746" s="32">
        <f>BCOXT[[#This Row],[INV DOC DATE]]+30</f>
        <v>43282</v>
      </c>
      <c r="N746" s="32">
        <v>43279</v>
      </c>
      <c r="O746" s="31"/>
      <c r="Q746" s="31">
        <f t="shared" si="12"/>
        <v>240</v>
      </c>
      <c r="R746" s="53" t="str">
        <f ca="1">IF(TODAY() - BCOXT[INV DUE DATE]&lt;30, "Less than 30 days",IF(TODAY()-BCOXT[INV DUE DATE]&lt;60,"30-60 days","More than 60 days"))</f>
        <v>Less than 30 days</v>
      </c>
      <c r="S746" s="31" t="s">
        <v>812</v>
      </c>
      <c r="T746" s="43"/>
      <c r="U746" s="4" t="s">
        <v>3699</v>
      </c>
    </row>
    <row r="747" spans="1:21" x14ac:dyDescent="0.3">
      <c r="A747" s="28" t="s">
        <v>4130</v>
      </c>
      <c r="B747" s="4" t="s">
        <v>35</v>
      </c>
      <c r="C747" s="4" t="s">
        <v>99</v>
      </c>
      <c r="D747" s="4">
        <v>5405</v>
      </c>
      <c r="E747" s="30">
        <v>240</v>
      </c>
      <c r="G747" s="4">
        <v>4300021652</v>
      </c>
      <c r="J747" s="28" t="s">
        <v>680</v>
      </c>
      <c r="K747" s="28" t="s">
        <v>3</v>
      </c>
      <c r="L747" s="32">
        <v>43252</v>
      </c>
      <c r="M747" s="32">
        <f>BCOXT[[#This Row],[INV DOC DATE]]+30</f>
        <v>43282</v>
      </c>
      <c r="N747" s="32">
        <v>43279</v>
      </c>
      <c r="O747" s="31"/>
      <c r="Q747" s="31">
        <f t="shared" si="12"/>
        <v>240</v>
      </c>
      <c r="R747" s="53" t="str">
        <f ca="1">IF(TODAY() - BCOXT[INV DUE DATE]&lt;30, "Less than 30 days",IF(TODAY()-BCOXT[INV DUE DATE]&lt;60,"30-60 days","More than 60 days"))</f>
        <v>Less than 30 days</v>
      </c>
      <c r="S747" s="31" t="s">
        <v>812</v>
      </c>
      <c r="T747" s="43"/>
      <c r="U747" s="4" t="s">
        <v>3699</v>
      </c>
    </row>
    <row r="748" spans="1:21" x14ac:dyDescent="0.3">
      <c r="A748" s="28" t="s">
        <v>4130</v>
      </c>
      <c r="B748" s="4" t="s">
        <v>35</v>
      </c>
      <c r="C748" s="4" t="s">
        <v>100</v>
      </c>
      <c r="D748" s="4">
        <v>5405</v>
      </c>
      <c r="E748" s="30">
        <v>240</v>
      </c>
      <c r="G748" s="4">
        <v>4300021652</v>
      </c>
      <c r="J748" s="28" t="s">
        <v>681</v>
      </c>
      <c r="K748" s="28" t="s">
        <v>3</v>
      </c>
      <c r="L748" s="32">
        <v>43252</v>
      </c>
      <c r="M748" s="32">
        <f>BCOXT[[#This Row],[INV DOC DATE]]+30</f>
        <v>43282</v>
      </c>
      <c r="N748" s="32">
        <v>43279</v>
      </c>
      <c r="O748" s="31"/>
      <c r="Q748" s="31">
        <f t="shared" si="12"/>
        <v>240</v>
      </c>
      <c r="R748" s="53" t="str">
        <f ca="1">IF(TODAY() - BCOXT[INV DUE DATE]&lt;30, "Less than 30 days",IF(TODAY()-BCOXT[INV DUE DATE]&lt;60,"30-60 days","More than 60 days"))</f>
        <v>Less than 30 days</v>
      </c>
      <c r="S748" s="31" t="s">
        <v>812</v>
      </c>
      <c r="T748" s="43"/>
      <c r="U748" s="4" t="s">
        <v>3699</v>
      </c>
    </row>
    <row r="749" spans="1:21" x14ac:dyDescent="0.3">
      <c r="A749" s="28" t="s">
        <v>4130</v>
      </c>
      <c r="B749" s="4" t="s">
        <v>35</v>
      </c>
      <c r="C749" s="4" t="s">
        <v>101</v>
      </c>
      <c r="D749" s="4">
        <v>5405</v>
      </c>
      <c r="E749" s="30">
        <v>240</v>
      </c>
      <c r="G749" s="4">
        <v>4300021652</v>
      </c>
      <c r="J749" s="28" t="s">
        <v>682</v>
      </c>
      <c r="K749" s="28" t="s">
        <v>3</v>
      </c>
      <c r="L749" s="32">
        <v>43252</v>
      </c>
      <c r="M749" s="32">
        <f>BCOXT[[#This Row],[INV DOC DATE]]+30</f>
        <v>43282</v>
      </c>
      <c r="N749" s="32">
        <v>43279</v>
      </c>
      <c r="O749" s="31"/>
      <c r="Q749" s="31">
        <f t="shared" si="12"/>
        <v>240</v>
      </c>
      <c r="R749" s="53" t="str">
        <f ca="1">IF(TODAY() - BCOXT[INV DUE DATE]&lt;30, "Less than 30 days",IF(TODAY()-BCOXT[INV DUE DATE]&lt;60,"30-60 days","More than 60 days"))</f>
        <v>Less than 30 days</v>
      </c>
      <c r="S749" s="31" t="s">
        <v>812</v>
      </c>
      <c r="T749" s="43"/>
      <c r="U749" s="4" t="s">
        <v>3699</v>
      </c>
    </row>
    <row r="750" spans="1:21" x14ac:dyDescent="0.3">
      <c r="A750" s="28" t="s">
        <v>4130</v>
      </c>
      <c r="B750" s="4" t="s">
        <v>35</v>
      </c>
      <c r="C750" s="4" t="s">
        <v>102</v>
      </c>
      <c r="D750" s="4">
        <v>5405</v>
      </c>
      <c r="E750" s="30">
        <v>577.5</v>
      </c>
      <c r="G750" s="4">
        <v>4300021652</v>
      </c>
      <c r="J750" s="28" t="s">
        <v>683</v>
      </c>
      <c r="K750" s="28" t="s">
        <v>3</v>
      </c>
      <c r="L750" s="32">
        <v>43252</v>
      </c>
      <c r="M750" s="32">
        <f>BCOXT[[#This Row],[INV DOC DATE]]+30</f>
        <v>43282</v>
      </c>
      <c r="N750" s="32">
        <v>43279</v>
      </c>
      <c r="O750" s="31"/>
      <c r="Q750" s="31">
        <f t="shared" si="12"/>
        <v>577.5</v>
      </c>
      <c r="R750" s="53" t="str">
        <f ca="1">IF(TODAY() - BCOXT[INV DUE DATE]&lt;30, "Less than 30 days",IF(TODAY()-BCOXT[INV DUE DATE]&lt;60,"30-60 days","More than 60 days"))</f>
        <v>Less than 30 days</v>
      </c>
      <c r="S750" s="31" t="s">
        <v>812</v>
      </c>
      <c r="T750" s="43"/>
      <c r="U750" s="4" t="s">
        <v>3699</v>
      </c>
    </row>
    <row r="751" spans="1:21" x14ac:dyDescent="0.3">
      <c r="A751" s="28" t="s">
        <v>4130</v>
      </c>
      <c r="B751" s="4" t="s">
        <v>35</v>
      </c>
      <c r="C751" s="4" t="s">
        <v>103</v>
      </c>
      <c r="D751" s="4">
        <v>5405</v>
      </c>
      <c r="E751" s="30">
        <v>577.5</v>
      </c>
      <c r="G751" s="4">
        <v>4300021652</v>
      </c>
      <c r="J751" s="28" t="s">
        <v>684</v>
      </c>
      <c r="K751" s="28" t="s">
        <v>3</v>
      </c>
      <c r="L751" s="32">
        <v>43252</v>
      </c>
      <c r="M751" s="32">
        <f>BCOXT[[#This Row],[INV DOC DATE]]+30</f>
        <v>43282</v>
      </c>
      <c r="N751" s="32">
        <v>43279</v>
      </c>
      <c r="O751" s="31"/>
      <c r="Q751" s="31">
        <f t="shared" si="12"/>
        <v>577.5</v>
      </c>
      <c r="R751" s="53" t="str">
        <f ca="1">IF(TODAY() - BCOXT[INV DUE DATE]&lt;30, "Less than 30 days",IF(TODAY()-BCOXT[INV DUE DATE]&lt;60,"30-60 days","More than 60 days"))</f>
        <v>Less than 30 days</v>
      </c>
      <c r="S751" s="31" t="s">
        <v>812</v>
      </c>
      <c r="T751" s="43"/>
      <c r="U751" s="4" t="s">
        <v>3699</v>
      </c>
    </row>
    <row r="752" spans="1:21" x14ac:dyDescent="0.3">
      <c r="A752" s="28" t="s">
        <v>4130</v>
      </c>
      <c r="B752" s="4" t="s">
        <v>35</v>
      </c>
      <c r="C752" s="4" t="s">
        <v>104</v>
      </c>
      <c r="D752" s="4">
        <v>5405</v>
      </c>
      <c r="E752" s="30">
        <v>660</v>
      </c>
      <c r="G752" s="4">
        <v>4300021652</v>
      </c>
      <c r="J752" s="28" t="s">
        <v>685</v>
      </c>
      <c r="K752" s="28" t="s">
        <v>3</v>
      </c>
      <c r="L752" s="32">
        <v>43252</v>
      </c>
      <c r="M752" s="32">
        <f>BCOXT[[#This Row],[INV DOC DATE]]+30</f>
        <v>43282</v>
      </c>
      <c r="N752" s="32">
        <v>43279</v>
      </c>
      <c r="O752" s="31"/>
      <c r="Q752" s="31">
        <f t="shared" si="12"/>
        <v>660</v>
      </c>
      <c r="R752" s="53" t="str">
        <f ca="1">IF(TODAY() - BCOXT[INV DUE DATE]&lt;30, "Less than 30 days",IF(TODAY()-BCOXT[INV DUE DATE]&lt;60,"30-60 days","More than 60 days"))</f>
        <v>Less than 30 days</v>
      </c>
      <c r="S752" s="31" t="s">
        <v>812</v>
      </c>
      <c r="T752" s="43"/>
      <c r="U752" s="4" t="s">
        <v>3699</v>
      </c>
    </row>
    <row r="753" spans="1:21" x14ac:dyDescent="0.3">
      <c r="A753" s="28" t="s">
        <v>4130</v>
      </c>
      <c r="B753" s="4" t="s">
        <v>35</v>
      </c>
      <c r="C753" s="4" t="s">
        <v>105</v>
      </c>
      <c r="D753" s="4">
        <v>5405</v>
      </c>
      <c r="E753" s="30">
        <v>660</v>
      </c>
      <c r="G753" s="4">
        <v>4300021652</v>
      </c>
      <c r="J753" s="28" t="s">
        <v>687</v>
      </c>
      <c r="K753" s="28" t="s">
        <v>3</v>
      </c>
      <c r="L753" s="32">
        <v>43252</v>
      </c>
      <c r="M753" s="32">
        <f>BCOXT[[#This Row],[INV DOC DATE]]+30</f>
        <v>43282</v>
      </c>
      <c r="N753" s="32">
        <v>43279</v>
      </c>
      <c r="O753" s="31"/>
      <c r="Q753" s="31">
        <f t="shared" si="12"/>
        <v>660</v>
      </c>
      <c r="R753" s="53" t="str">
        <f ca="1">IF(TODAY() - BCOXT[INV DUE DATE]&lt;30, "Less than 30 days",IF(TODAY()-BCOXT[INV DUE DATE]&lt;60,"30-60 days","More than 60 days"))</f>
        <v>Less than 30 days</v>
      </c>
      <c r="S753" s="31" t="s">
        <v>812</v>
      </c>
      <c r="T753" s="43"/>
      <c r="U753" s="4" t="s">
        <v>3699</v>
      </c>
    </row>
    <row r="754" spans="1:21" x14ac:dyDescent="0.3">
      <c r="A754" s="28" t="s">
        <v>4130</v>
      </c>
      <c r="B754" s="4" t="s">
        <v>35</v>
      </c>
      <c r="C754" s="4" t="s">
        <v>106</v>
      </c>
      <c r="D754" s="4">
        <v>5405</v>
      </c>
      <c r="E754" s="30">
        <v>255</v>
      </c>
      <c r="G754" s="4">
        <v>4300021652</v>
      </c>
      <c r="J754" s="28" t="s">
        <v>688</v>
      </c>
      <c r="K754" s="28" t="s">
        <v>3</v>
      </c>
      <c r="L754" s="32">
        <v>43252</v>
      </c>
      <c r="M754" s="32">
        <f>BCOXT[[#This Row],[INV DOC DATE]]+30</f>
        <v>43282</v>
      </c>
      <c r="N754" s="32">
        <v>43279</v>
      </c>
      <c r="O754" s="31"/>
      <c r="Q754" s="31">
        <f t="shared" si="12"/>
        <v>255</v>
      </c>
      <c r="R754" s="53" t="str">
        <f ca="1">IF(TODAY() - BCOXT[INV DUE DATE]&lt;30, "Less than 30 days",IF(TODAY()-BCOXT[INV DUE DATE]&lt;60,"30-60 days","More than 60 days"))</f>
        <v>Less than 30 days</v>
      </c>
      <c r="S754" s="31" t="s">
        <v>812</v>
      </c>
      <c r="T754" s="43"/>
      <c r="U754" s="4" t="s">
        <v>3699</v>
      </c>
    </row>
    <row r="755" spans="1:21" x14ac:dyDescent="0.3">
      <c r="A755" s="28" t="s">
        <v>4130</v>
      </c>
      <c r="B755" s="4" t="s">
        <v>35</v>
      </c>
      <c r="C755" s="4" t="s">
        <v>107</v>
      </c>
      <c r="D755" s="4">
        <v>5405</v>
      </c>
      <c r="E755" s="30">
        <v>255</v>
      </c>
      <c r="G755" s="4">
        <v>4300021652</v>
      </c>
      <c r="J755" s="28" t="s">
        <v>689</v>
      </c>
      <c r="K755" s="28" t="s">
        <v>3</v>
      </c>
      <c r="L755" s="32">
        <v>43252</v>
      </c>
      <c r="M755" s="32">
        <f>BCOXT[[#This Row],[INV DOC DATE]]+30</f>
        <v>43282</v>
      </c>
      <c r="N755" s="32">
        <v>43279</v>
      </c>
      <c r="O755" s="31"/>
      <c r="Q755" s="31">
        <f t="shared" si="12"/>
        <v>255</v>
      </c>
      <c r="R755" s="53" t="str">
        <f ca="1">IF(TODAY() - BCOXT[INV DUE DATE]&lt;30, "Less than 30 days",IF(TODAY()-BCOXT[INV DUE DATE]&lt;60,"30-60 days","More than 60 days"))</f>
        <v>Less than 30 days</v>
      </c>
      <c r="S755" s="31" t="s">
        <v>812</v>
      </c>
      <c r="T755" s="43"/>
      <c r="U755" s="4" t="s">
        <v>3699</v>
      </c>
    </row>
    <row r="756" spans="1:21" x14ac:dyDescent="0.3">
      <c r="A756" s="28" t="s">
        <v>4130</v>
      </c>
      <c r="B756" s="4" t="s">
        <v>35</v>
      </c>
      <c r="C756" s="4" t="s">
        <v>108</v>
      </c>
      <c r="D756" s="4">
        <v>5405</v>
      </c>
      <c r="E756" s="30">
        <v>255</v>
      </c>
      <c r="G756" s="4">
        <v>4300021652</v>
      </c>
      <c r="J756" s="28" t="s">
        <v>690</v>
      </c>
      <c r="K756" s="28" t="s">
        <v>3</v>
      </c>
      <c r="L756" s="32">
        <v>43252</v>
      </c>
      <c r="M756" s="32">
        <f>BCOXT[[#This Row],[INV DOC DATE]]+30</f>
        <v>43282</v>
      </c>
      <c r="N756" s="32">
        <v>43279</v>
      </c>
      <c r="O756" s="31"/>
      <c r="Q756" s="31">
        <f t="shared" si="12"/>
        <v>255</v>
      </c>
      <c r="R756" s="53" t="str">
        <f ca="1">IF(TODAY() - BCOXT[INV DUE DATE]&lt;30, "Less than 30 days",IF(TODAY()-BCOXT[INV DUE DATE]&lt;60,"30-60 days","More than 60 days"))</f>
        <v>Less than 30 days</v>
      </c>
      <c r="S756" s="31" t="s">
        <v>812</v>
      </c>
      <c r="T756" s="43"/>
      <c r="U756" s="4" t="s">
        <v>3699</v>
      </c>
    </row>
    <row r="757" spans="1:21" x14ac:dyDescent="0.3">
      <c r="A757" s="28" t="s">
        <v>4130</v>
      </c>
      <c r="B757" s="4" t="s">
        <v>35</v>
      </c>
      <c r="C757" s="4" t="s">
        <v>109</v>
      </c>
      <c r="D757" s="4">
        <v>5405</v>
      </c>
      <c r="E757" s="30">
        <v>247.5</v>
      </c>
      <c r="G757" s="4">
        <v>4300021652</v>
      </c>
      <c r="J757" s="28" t="s">
        <v>691</v>
      </c>
      <c r="K757" s="28" t="s">
        <v>3</v>
      </c>
      <c r="L757" s="32">
        <v>43252</v>
      </c>
      <c r="M757" s="32">
        <f>BCOXT[[#This Row],[INV DOC DATE]]+30</f>
        <v>43282</v>
      </c>
      <c r="N757" s="32">
        <v>43279</v>
      </c>
      <c r="O757" s="31"/>
      <c r="Q757" s="31">
        <f t="shared" si="12"/>
        <v>247.5</v>
      </c>
      <c r="R757" s="53" t="str">
        <f ca="1">IF(TODAY() - BCOXT[INV DUE DATE]&lt;30, "Less than 30 days",IF(TODAY()-BCOXT[INV DUE DATE]&lt;60,"30-60 days","More than 60 days"))</f>
        <v>Less than 30 days</v>
      </c>
      <c r="S757" s="31" t="s">
        <v>812</v>
      </c>
      <c r="T757" s="43"/>
      <c r="U757" s="4" t="s">
        <v>3699</v>
      </c>
    </row>
    <row r="758" spans="1:21" x14ac:dyDescent="0.3">
      <c r="A758" s="28" t="s">
        <v>4130</v>
      </c>
      <c r="B758" s="4" t="s">
        <v>35</v>
      </c>
      <c r="C758" s="4" t="s">
        <v>110</v>
      </c>
      <c r="D758" s="4">
        <v>5405</v>
      </c>
      <c r="E758" s="30">
        <v>247.5</v>
      </c>
      <c r="G758" s="4">
        <v>4300021652</v>
      </c>
      <c r="J758" s="28" t="s">
        <v>692</v>
      </c>
      <c r="K758" s="28" t="s">
        <v>3</v>
      </c>
      <c r="L758" s="32">
        <v>43252</v>
      </c>
      <c r="M758" s="32">
        <f>BCOXT[[#This Row],[INV DOC DATE]]+30</f>
        <v>43282</v>
      </c>
      <c r="N758" s="32">
        <v>43279</v>
      </c>
      <c r="O758" s="31"/>
      <c r="Q758" s="31">
        <f t="shared" si="12"/>
        <v>247.5</v>
      </c>
      <c r="R758" s="53" t="str">
        <f ca="1">IF(TODAY() - BCOXT[INV DUE DATE]&lt;30, "Less than 30 days",IF(TODAY()-BCOXT[INV DUE DATE]&lt;60,"30-60 days","More than 60 days"))</f>
        <v>Less than 30 days</v>
      </c>
      <c r="S758" s="31" t="s">
        <v>812</v>
      </c>
      <c r="T758" s="43"/>
      <c r="U758" s="4" t="s">
        <v>3699</v>
      </c>
    </row>
    <row r="759" spans="1:21" x14ac:dyDescent="0.3">
      <c r="A759" s="28" t="s">
        <v>4130</v>
      </c>
      <c r="B759" s="4" t="s">
        <v>35</v>
      </c>
      <c r="C759" s="4" t="s">
        <v>111</v>
      </c>
      <c r="D759" s="4">
        <v>5405</v>
      </c>
      <c r="E759" s="30">
        <v>247.5</v>
      </c>
      <c r="G759" s="4">
        <v>4300021652</v>
      </c>
      <c r="J759" s="28" t="s">
        <v>693</v>
      </c>
      <c r="K759" s="28" t="s">
        <v>3</v>
      </c>
      <c r="L759" s="32">
        <v>43252</v>
      </c>
      <c r="M759" s="32">
        <f>BCOXT[[#This Row],[INV DOC DATE]]+30</f>
        <v>43282</v>
      </c>
      <c r="N759" s="32">
        <v>43279</v>
      </c>
      <c r="O759" s="31"/>
      <c r="Q759" s="31">
        <f t="shared" si="12"/>
        <v>247.5</v>
      </c>
      <c r="R759" s="53" t="str">
        <f ca="1">IF(TODAY() - BCOXT[INV DUE DATE]&lt;30, "Less than 30 days",IF(TODAY()-BCOXT[INV DUE DATE]&lt;60,"30-60 days","More than 60 days"))</f>
        <v>Less than 30 days</v>
      </c>
      <c r="S759" s="31" t="s">
        <v>812</v>
      </c>
      <c r="T759" s="43"/>
      <c r="U759" s="4" t="s">
        <v>3699</v>
      </c>
    </row>
    <row r="760" spans="1:21" x14ac:dyDescent="0.3">
      <c r="A760" s="28" t="s">
        <v>4130</v>
      </c>
      <c r="B760" s="4" t="s">
        <v>35</v>
      </c>
      <c r="C760" s="4" t="s">
        <v>112</v>
      </c>
      <c r="D760" s="4">
        <v>5405</v>
      </c>
      <c r="E760" s="30">
        <v>247.5</v>
      </c>
      <c r="G760" s="4">
        <v>4300021652</v>
      </c>
      <c r="J760" s="28" t="s">
        <v>694</v>
      </c>
      <c r="K760" s="28" t="s">
        <v>3</v>
      </c>
      <c r="L760" s="32">
        <v>43252</v>
      </c>
      <c r="M760" s="32">
        <f>BCOXT[[#This Row],[INV DOC DATE]]+30</f>
        <v>43282</v>
      </c>
      <c r="N760" s="32">
        <v>43279</v>
      </c>
      <c r="O760" s="31"/>
      <c r="Q760" s="31">
        <f t="shared" si="12"/>
        <v>247.5</v>
      </c>
      <c r="R760" s="53" t="str">
        <f ca="1">IF(TODAY() - BCOXT[INV DUE DATE]&lt;30, "Less than 30 days",IF(TODAY()-BCOXT[INV DUE DATE]&lt;60,"30-60 days","More than 60 days"))</f>
        <v>Less than 30 days</v>
      </c>
      <c r="S760" s="31" t="s">
        <v>812</v>
      </c>
      <c r="T760" s="43"/>
      <c r="U760" s="4" t="s">
        <v>3699</v>
      </c>
    </row>
    <row r="761" spans="1:21" x14ac:dyDescent="0.3">
      <c r="A761" s="28" t="s">
        <v>4130</v>
      </c>
      <c r="B761" s="4" t="s">
        <v>35</v>
      </c>
      <c r="C761" s="4" t="s">
        <v>113</v>
      </c>
      <c r="D761" s="4">
        <v>5405</v>
      </c>
      <c r="E761" s="30">
        <v>247.5</v>
      </c>
      <c r="G761" s="4">
        <v>4300021652</v>
      </c>
      <c r="J761" s="28" t="s">
        <v>695</v>
      </c>
      <c r="K761" s="28" t="s">
        <v>3</v>
      </c>
      <c r="L761" s="32">
        <v>43252</v>
      </c>
      <c r="M761" s="32">
        <f>BCOXT[[#This Row],[INV DOC DATE]]+30</f>
        <v>43282</v>
      </c>
      <c r="N761" s="32">
        <v>43279</v>
      </c>
      <c r="O761" s="31"/>
      <c r="Q761" s="31">
        <f t="shared" si="12"/>
        <v>247.5</v>
      </c>
      <c r="R761" s="53" t="str">
        <f ca="1">IF(TODAY() - BCOXT[INV DUE DATE]&lt;30, "Less than 30 days",IF(TODAY()-BCOXT[INV DUE DATE]&lt;60,"30-60 days","More than 60 days"))</f>
        <v>Less than 30 days</v>
      </c>
      <c r="S761" s="31" t="s">
        <v>812</v>
      </c>
      <c r="T761" s="43"/>
      <c r="U761" s="4" t="s">
        <v>3699</v>
      </c>
    </row>
    <row r="762" spans="1:21" x14ac:dyDescent="0.3">
      <c r="A762" s="28" t="s">
        <v>4130</v>
      </c>
      <c r="B762" s="4" t="s">
        <v>35</v>
      </c>
      <c r="C762" s="4" t="s">
        <v>114</v>
      </c>
      <c r="D762" s="4">
        <v>5405</v>
      </c>
      <c r="E762" s="30">
        <v>247.5</v>
      </c>
      <c r="G762" s="4">
        <v>4300021652</v>
      </c>
      <c r="J762" s="28" t="s">
        <v>696</v>
      </c>
      <c r="K762" s="28" t="s">
        <v>3</v>
      </c>
      <c r="L762" s="32">
        <v>43252</v>
      </c>
      <c r="M762" s="32">
        <f>BCOXT[[#This Row],[INV DOC DATE]]+30</f>
        <v>43282</v>
      </c>
      <c r="N762" s="32">
        <v>43279</v>
      </c>
      <c r="O762" s="31"/>
      <c r="Q762" s="31">
        <f t="shared" si="12"/>
        <v>247.5</v>
      </c>
      <c r="R762" s="53" t="str">
        <f ca="1">IF(TODAY() - BCOXT[INV DUE DATE]&lt;30, "Less than 30 days",IF(TODAY()-BCOXT[INV DUE DATE]&lt;60,"30-60 days","More than 60 days"))</f>
        <v>Less than 30 days</v>
      </c>
      <c r="S762" s="31" t="s">
        <v>812</v>
      </c>
      <c r="T762" s="43"/>
      <c r="U762" s="4" t="s">
        <v>3699</v>
      </c>
    </row>
    <row r="763" spans="1:21" x14ac:dyDescent="0.3">
      <c r="A763" s="28" t="s">
        <v>4130</v>
      </c>
      <c r="B763" s="4" t="s">
        <v>35</v>
      </c>
      <c r="C763" s="4" t="s">
        <v>115</v>
      </c>
      <c r="D763" s="4">
        <v>5405</v>
      </c>
      <c r="E763" s="30">
        <v>255</v>
      </c>
      <c r="G763" s="4">
        <v>4300021652</v>
      </c>
      <c r="J763" s="28" t="s">
        <v>697</v>
      </c>
      <c r="K763" s="28" t="s">
        <v>3</v>
      </c>
      <c r="L763" s="32">
        <v>43252</v>
      </c>
      <c r="M763" s="32">
        <f>BCOXT[[#This Row],[INV DOC DATE]]+30</f>
        <v>43282</v>
      </c>
      <c r="N763" s="32">
        <v>43279</v>
      </c>
      <c r="O763" s="31"/>
      <c r="Q763" s="31">
        <f t="shared" si="12"/>
        <v>255</v>
      </c>
      <c r="R763" s="53" t="str">
        <f ca="1">IF(TODAY() - BCOXT[INV DUE DATE]&lt;30, "Less than 30 days",IF(TODAY()-BCOXT[INV DUE DATE]&lt;60,"30-60 days","More than 60 days"))</f>
        <v>Less than 30 days</v>
      </c>
      <c r="S763" s="31" t="s">
        <v>812</v>
      </c>
      <c r="T763" s="43"/>
      <c r="U763" s="4" t="s">
        <v>3699</v>
      </c>
    </row>
    <row r="764" spans="1:21" x14ac:dyDescent="0.3">
      <c r="A764" s="28" t="s">
        <v>4130</v>
      </c>
      <c r="B764" s="4" t="s">
        <v>35</v>
      </c>
      <c r="C764" s="4" t="s">
        <v>116</v>
      </c>
      <c r="D764" s="4">
        <v>5405</v>
      </c>
      <c r="E764" s="30">
        <v>255</v>
      </c>
      <c r="G764" s="4">
        <v>4300021652</v>
      </c>
      <c r="J764" s="28" t="s">
        <v>698</v>
      </c>
      <c r="K764" s="28" t="s">
        <v>3</v>
      </c>
      <c r="L764" s="32">
        <v>43252</v>
      </c>
      <c r="M764" s="32">
        <f>BCOXT[[#This Row],[INV DOC DATE]]+30</f>
        <v>43282</v>
      </c>
      <c r="N764" s="32">
        <v>43279</v>
      </c>
      <c r="O764" s="31"/>
      <c r="Q764" s="31">
        <f t="shared" si="12"/>
        <v>255</v>
      </c>
      <c r="R764" s="53" t="str">
        <f ca="1">IF(TODAY() - BCOXT[INV DUE DATE]&lt;30, "Less than 30 days",IF(TODAY()-BCOXT[INV DUE DATE]&lt;60,"30-60 days","More than 60 days"))</f>
        <v>Less than 30 days</v>
      </c>
      <c r="S764" s="31" t="s">
        <v>812</v>
      </c>
      <c r="T764" s="43"/>
      <c r="U764" s="4" t="s">
        <v>3699</v>
      </c>
    </row>
    <row r="765" spans="1:21" x14ac:dyDescent="0.3">
      <c r="A765" s="28" t="s">
        <v>4130</v>
      </c>
      <c r="B765" s="4" t="s">
        <v>35</v>
      </c>
      <c r="C765" s="4" t="s">
        <v>117</v>
      </c>
      <c r="D765" s="4">
        <v>5405</v>
      </c>
      <c r="E765" s="30">
        <v>255</v>
      </c>
      <c r="G765" s="4">
        <v>4300021652</v>
      </c>
      <c r="J765" s="28" t="s">
        <v>699</v>
      </c>
      <c r="K765" s="28" t="s">
        <v>3</v>
      </c>
      <c r="L765" s="32">
        <v>43252</v>
      </c>
      <c r="M765" s="32">
        <f>BCOXT[[#This Row],[INV DOC DATE]]+30</f>
        <v>43282</v>
      </c>
      <c r="N765" s="32">
        <v>43279</v>
      </c>
      <c r="O765" s="31"/>
      <c r="Q765" s="31">
        <f t="shared" si="12"/>
        <v>255</v>
      </c>
      <c r="R765" s="53" t="str">
        <f ca="1">IF(TODAY() - BCOXT[INV DUE DATE]&lt;30, "Less than 30 days",IF(TODAY()-BCOXT[INV DUE DATE]&lt;60,"30-60 days","More than 60 days"))</f>
        <v>Less than 30 days</v>
      </c>
      <c r="S765" s="31" t="s">
        <v>812</v>
      </c>
      <c r="T765" s="43"/>
      <c r="U765" s="4" t="s">
        <v>3699</v>
      </c>
    </row>
    <row r="766" spans="1:21" x14ac:dyDescent="0.3">
      <c r="A766" s="28" t="s">
        <v>4130</v>
      </c>
      <c r="B766" s="4" t="s">
        <v>35</v>
      </c>
      <c r="C766" s="4" t="s">
        <v>118</v>
      </c>
      <c r="D766" s="4">
        <v>5405</v>
      </c>
      <c r="E766" s="30">
        <v>270</v>
      </c>
      <c r="G766" s="4">
        <v>4300021652</v>
      </c>
      <c r="J766" s="28" t="s">
        <v>700</v>
      </c>
      <c r="K766" s="28" t="s">
        <v>3</v>
      </c>
      <c r="L766" s="32">
        <v>43252</v>
      </c>
      <c r="M766" s="32">
        <f>BCOXT[[#This Row],[INV DOC DATE]]+30</f>
        <v>43282</v>
      </c>
      <c r="N766" s="32">
        <v>43279</v>
      </c>
      <c r="O766" s="31"/>
      <c r="Q766" s="31">
        <f t="shared" si="12"/>
        <v>270</v>
      </c>
      <c r="R766" s="53" t="str">
        <f ca="1">IF(TODAY() - BCOXT[INV DUE DATE]&lt;30, "Less than 30 days",IF(TODAY()-BCOXT[INV DUE DATE]&lt;60,"30-60 days","More than 60 days"))</f>
        <v>Less than 30 days</v>
      </c>
      <c r="S766" s="31" t="s">
        <v>812</v>
      </c>
      <c r="T766" s="43"/>
      <c r="U766" s="4" t="s">
        <v>3699</v>
      </c>
    </row>
    <row r="767" spans="1:21" x14ac:dyDescent="0.3">
      <c r="A767" s="28" t="s">
        <v>4130</v>
      </c>
      <c r="B767" s="4" t="s">
        <v>35</v>
      </c>
      <c r="C767" s="4" t="s">
        <v>119</v>
      </c>
      <c r="D767" s="4">
        <v>5405</v>
      </c>
      <c r="E767" s="30">
        <v>270</v>
      </c>
      <c r="G767" s="4">
        <v>4300021652</v>
      </c>
      <c r="J767" s="28" t="s">
        <v>701</v>
      </c>
      <c r="K767" s="28" t="s">
        <v>3</v>
      </c>
      <c r="L767" s="32">
        <v>43252</v>
      </c>
      <c r="M767" s="32">
        <f>BCOXT[[#This Row],[INV DOC DATE]]+30</f>
        <v>43282</v>
      </c>
      <c r="N767" s="32">
        <v>43279</v>
      </c>
      <c r="O767" s="31"/>
      <c r="Q767" s="31">
        <f t="shared" si="12"/>
        <v>270</v>
      </c>
      <c r="R767" s="53" t="str">
        <f ca="1">IF(TODAY() - BCOXT[INV DUE DATE]&lt;30, "Less than 30 days",IF(TODAY()-BCOXT[INV DUE DATE]&lt;60,"30-60 days","More than 60 days"))</f>
        <v>Less than 30 days</v>
      </c>
      <c r="S767" s="31" t="s">
        <v>812</v>
      </c>
      <c r="T767" s="43"/>
      <c r="U767" s="4" t="s">
        <v>3699</v>
      </c>
    </row>
    <row r="768" spans="1:21" x14ac:dyDescent="0.3">
      <c r="A768" s="28" t="s">
        <v>4130</v>
      </c>
      <c r="B768" s="4" t="s">
        <v>35</v>
      </c>
      <c r="C768" s="4" t="s">
        <v>120</v>
      </c>
      <c r="D768" s="4">
        <v>5405</v>
      </c>
      <c r="E768" s="30">
        <v>270</v>
      </c>
      <c r="G768" s="4">
        <v>4300021652</v>
      </c>
      <c r="J768" s="28" t="s">
        <v>702</v>
      </c>
      <c r="K768" s="28" t="s">
        <v>3</v>
      </c>
      <c r="L768" s="32">
        <v>43252</v>
      </c>
      <c r="M768" s="32">
        <f>BCOXT[[#This Row],[INV DOC DATE]]+30</f>
        <v>43282</v>
      </c>
      <c r="N768" s="32">
        <v>43279</v>
      </c>
      <c r="O768" s="31"/>
      <c r="Q768" s="31">
        <f t="shared" si="12"/>
        <v>270</v>
      </c>
      <c r="R768" s="53" t="str">
        <f ca="1">IF(TODAY() - BCOXT[INV DUE DATE]&lt;30, "Less than 30 days",IF(TODAY()-BCOXT[INV DUE DATE]&lt;60,"30-60 days","More than 60 days"))</f>
        <v>Less than 30 days</v>
      </c>
      <c r="S768" s="31" t="s">
        <v>812</v>
      </c>
      <c r="T768" s="43"/>
      <c r="U768" s="4" t="s">
        <v>3699</v>
      </c>
    </row>
    <row r="769" spans="1:21" x14ac:dyDescent="0.3">
      <c r="A769" s="28" t="s">
        <v>4130</v>
      </c>
      <c r="B769" s="4" t="s">
        <v>35</v>
      </c>
      <c r="C769" s="4" t="s">
        <v>121</v>
      </c>
      <c r="D769" s="4">
        <v>5405</v>
      </c>
      <c r="E769" s="30">
        <v>270</v>
      </c>
      <c r="G769" s="4">
        <v>4300021652</v>
      </c>
      <c r="J769" s="28" t="s">
        <v>703</v>
      </c>
      <c r="K769" s="28" t="s">
        <v>3</v>
      </c>
      <c r="L769" s="32">
        <v>43252</v>
      </c>
      <c r="M769" s="32">
        <f>BCOXT[[#This Row],[INV DOC DATE]]+30</f>
        <v>43282</v>
      </c>
      <c r="N769" s="32">
        <v>43279</v>
      </c>
      <c r="O769" s="31"/>
      <c r="Q769" s="31">
        <f t="shared" si="12"/>
        <v>270</v>
      </c>
      <c r="R769" s="53" t="str">
        <f ca="1">IF(TODAY() - BCOXT[INV DUE DATE]&lt;30, "Less than 30 days",IF(TODAY()-BCOXT[INV DUE DATE]&lt;60,"30-60 days","More than 60 days"))</f>
        <v>Less than 30 days</v>
      </c>
      <c r="S769" s="31" t="s">
        <v>812</v>
      </c>
      <c r="T769" s="43"/>
      <c r="U769" s="4" t="s">
        <v>3699</v>
      </c>
    </row>
    <row r="770" spans="1:21" x14ac:dyDescent="0.3">
      <c r="A770" s="28" t="s">
        <v>4130</v>
      </c>
      <c r="B770" s="4" t="s">
        <v>35</v>
      </c>
      <c r="C770" s="4" t="s">
        <v>122</v>
      </c>
      <c r="D770" s="4">
        <v>5405</v>
      </c>
      <c r="E770" s="30">
        <v>270</v>
      </c>
      <c r="G770" s="4">
        <v>4300021652</v>
      </c>
      <c r="J770" s="28" t="s">
        <v>704</v>
      </c>
      <c r="K770" s="28" t="s">
        <v>3</v>
      </c>
      <c r="L770" s="32">
        <v>43252</v>
      </c>
      <c r="M770" s="32">
        <f>BCOXT[[#This Row],[INV DOC DATE]]+30</f>
        <v>43282</v>
      </c>
      <c r="N770" s="32">
        <v>43279</v>
      </c>
      <c r="O770" s="31"/>
      <c r="Q770" s="31">
        <f t="shared" si="12"/>
        <v>270</v>
      </c>
      <c r="R770" s="53" t="str">
        <f ca="1">IF(TODAY() - BCOXT[INV DUE DATE]&lt;30, "Less than 30 days",IF(TODAY()-BCOXT[INV DUE DATE]&lt;60,"30-60 days","More than 60 days"))</f>
        <v>Less than 30 days</v>
      </c>
      <c r="S770" s="31" t="s">
        <v>812</v>
      </c>
      <c r="T770" s="43"/>
      <c r="U770" s="4" t="s">
        <v>3699</v>
      </c>
    </row>
    <row r="771" spans="1:21" x14ac:dyDescent="0.3">
      <c r="A771" s="28" t="s">
        <v>4130</v>
      </c>
      <c r="B771" s="4" t="s">
        <v>35</v>
      </c>
      <c r="C771" s="4" t="s">
        <v>123</v>
      </c>
      <c r="D771" s="4">
        <v>5405</v>
      </c>
      <c r="E771" s="30">
        <v>270</v>
      </c>
      <c r="G771" s="4">
        <v>4300021652</v>
      </c>
      <c r="J771" s="28" t="s">
        <v>705</v>
      </c>
      <c r="K771" s="28" t="s">
        <v>3</v>
      </c>
      <c r="L771" s="32">
        <v>43252</v>
      </c>
      <c r="M771" s="32">
        <f>BCOXT[[#This Row],[INV DOC DATE]]+30</f>
        <v>43282</v>
      </c>
      <c r="N771" s="32">
        <v>43279</v>
      </c>
      <c r="O771" s="31"/>
      <c r="Q771" s="31">
        <f t="shared" si="12"/>
        <v>270</v>
      </c>
      <c r="R771" s="53" t="str">
        <f ca="1">IF(TODAY() - BCOXT[INV DUE DATE]&lt;30, "Less than 30 days",IF(TODAY()-BCOXT[INV DUE DATE]&lt;60,"30-60 days","More than 60 days"))</f>
        <v>Less than 30 days</v>
      </c>
      <c r="S771" s="31" t="s">
        <v>812</v>
      </c>
      <c r="T771" s="43"/>
      <c r="U771" s="4" t="s">
        <v>3699</v>
      </c>
    </row>
    <row r="772" spans="1:21" x14ac:dyDescent="0.3">
      <c r="A772" s="28" t="s">
        <v>4130</v>
      </c>
      <c r="B772" s="4" t="s">
        <v>35</v>
      </c>
      <c r="C772" s="4" t="s">
        <v>124</v>
      </c>
      <c r="D772" s="4">
        <v>5405</v>
      </c>
      <c r="E772" s="30">
        <v>247.5</v>
      </c>
      <c r="G772" s="4">
        <v>4300021652</v>
      </c>
      <c r="J772" s="28" t="s">
        <v>706</v>
      </c>
      <c r="K772" s="28" t="s">
        <v>3</v>
      </c>
      <c r="L772" s="32">
        <v>43252</v>
      </c>
      <c r="M772" s="32">
        <f>BCOXT[[#This Row],[INV DOC DATE]]+30</f>
        <v>43282</v>
      </c>
      <c r="N772" s="32">
        <v>43279</v>
      </c>
      <c r="O772" s="31"/>
      <c r="Q772" s="31">
        <f t="shared" si="12"/>
        <v>247.5</v>
      </c>
      <c r="R772" s="53" t="str">
        <f ca="1">IF(TODAY() - BCOXT[INV DUE DATE]&lt;30, "Less than 30 days",IF(TODAY()-BCOXT[INV DUE DATE]&lt;60,"30-60 days","More than 60 days"))</f>
        <v>Less than 30 days</v>
      </c>
      <c r="S772" s="31" t="s">
        <v>812</v>
      </c>
      <c r="T772" s="43"/>
      <c r="U772" s="4" t="s">
        <v>3699</v>
      </c>
    </row>
    <row r="773" spans="1:21" x14ac:dyDescent="0.3">
      <c r="A773" s="28" t="s">
        <v>4130</v>
      </c>
      <c r="B773" s="4" t="s">
        <v>35</v>
      </c>
      <c r="C773" s="4" t="s">
        <v>125</v>
      </c>
      <c r="D773" s="4">
        <v>5405</v>
      </c>
      <c r="E773" s="30">
        <v>360</v>
      </c>
      <c r="G773" s="4">
        <v>4300021652</v>
      </c>
      <c r="J773" s="28" t="s">
        <v>707</v>
      </c>
      <c r="K773" s="28" t="s">
        <v>3</v>
      </c>
      <c r="L773" s="32">
        <v>43252</v>
      </c>
      <c r="M773" s="32">
        <f>BCOXT[[#This Row],[INV DOC DATE]]+30</f>
        <v>43282</v>
      </c>
      <c r="N773" s="32">
        <v>43279</v>
      </c>
      <c r="O773" s="31"/>
      <c r="Q773" s="31">
        <f t="shared" si="12"/>
        <v>360</v>
      </c>
      <c r="R773" s="53" t="str">
        <f ca="1">IF(TODAY() - BCOXT[INV DUE DATE]&lt;30, "Less than 30 days",IF(TODAY()-BCOXT[INV DUE DATE]&lt;60,"30-60 days","More than 60 days"))</f>
        <v>Less than 30 days</v>
      </c>
      <c r="S773" s="31" t="s">
        <v>812</v>
      </c>
      <c r="T773" s="43"/>
      <c r="U773" s="4" t="s">
        <v>3699</v>
      </c>
    </row>
    <row r="774" spans="1:21" x14ac:dyDescent="0.3">
      <c r="A774" s="28" t="s">
        <v>4130</v>
      </c>
      <c r="B774" s="4" t="s">
        <v>35</v>
      </c>
      <c r="C774" s="4" t="s">
        <v>126</v>
      </c>
      <c r="D774" s="4">
        <v>5405</v>
      </c>
      <c r="E774" s="30">
        <v>360</v>
      </c>
      <c r="G774" s="4">
        <v>4300021652</v>
      </c>
      <c r="J774" s="28" t="s">
        <v>708</v>
      </c>
      <c r="K774" s="28" t="s">
        <v>3</v>
      </c>
      <c r="L774" s="32">
        <v>43252</v>
      </c>
      <c r="M774" s="32">
        <f>BCOXT[[#This Row],[INV DOC DATE]]+30</f>
        <v>43282</v>
      </c>
      <c r="N774" s="32">
        <v>43279</v>
      </c>
      <c r="O774" s="31"/>
      <c r="Q774" s="31">
        <f t="shared" si="12"/>
        <v>360</v>
      </c>
      <c r="R774" s="53" t="str">
        <f ca="1">IF(TODAY() - BCOXT[INV DUE DATE]&lt;30, "Less than 30 days",IF(TODAY()-BCOXT[INV DUE DATE]&lt;60,"30-60 days","More than 60 days"))</f>
        <v>Less than 30 days</v>
      </c>
      <c r="S774" s="31" t="s">
        <v>812</v>
      </c>
      <c r="T774" s="43"/>
      <c r="U774" s="4" t="s">
        <v>3699</v>
      </c>
    </row>
    <row r="775" spans="1:21" x14ac:dyDescent="0.3">
      <c r="A775" s="28" t="s">
        <v>4130</v>
      </c>
      <c r="B775" s="4" t="s">
        <v>35</v>
      </c>
      <c r="C775" s="4" t="s">
        <v>127</v>
      </c>
      <c r="D775" s="4">
        <v>5405</v>
      </c>
      <c r="E775" s="30">
        <v>360</v>
      </c>
      <c r="G775" s="4">
        <v>4300021652</v>
      </c>
      <c r="J775" s="28" t="s">
        <v>709</v>
      </c>
      <c r="K775" s="28" t="s">
        <v>3</v>
      </c>
      <c r="L775" s="32">
        <v>43252</v>
      </c>
      <c r="M775" s="32">
        <f>BCOXT[[#This Row],[INV DOC DATE]]+30</f>
        <v>43282</v>
      </c>
      <c r="N775" s="32">
        <v>43279</v>
      </c>
      <c r="O775" s="31"/>
      <c r="Q775" s="31">
        <f t="shared" si="12"/>
        <v>360</v>
      </c>
      <c r="R775" s="53" t="str">
        <f ca="1">IF(TODAY() - BCOXT[INV DUE DATE]&lt;30, "Less than 30 days",IF(TODAY()-BCOXT[INV DUE DATE]&lt;60,"30-60 days","More than 60 days"))</f>
        <v>Less than 30 days</v>
      </c>
      <c r="S775" s="31" t="s">
        <v>812</v>
      </c>
      <c r="T775" s="43"/>
      <c r="U775" s="4" t="s">
        <v>3699</v>
      </c>
    </row>
    <row r="776" spans="1:21" x14ac:dyDescent="0.3">
      <c r="A776" s="28" t="s">
        <v>4130</v>
      </c>
      <c r="B776" s="4" t="s">
        <v>35</v>
      </c>
      <c r="C776" s="4" t="s">
        <v>128</v>
      </c>
      <c r="D776" s="4">
        <v>5405</v>
      </c>
      <c r="E776" s="30">
        <v>255</v>
      </c>
      <c r="G776" s="4">
        <v>4300021652</v>
      </c>
      <c r="J776" s="28" t="s">
        <v>710</v>
      </c>
      <c r="K776" s="28" t="s">
        <v>3</v>
      </c>
      <c r="L776" s="32">
        <v>43252</v>
      </c>
      <c r="M776" s="32">
        <f>BCOXT[[#This Row],[INV DOC DATE]]+30</f>
        <v>43282</v>
      </c>
      <c r="N776" s="32">
        <v>43279</v>
      </c>
      <c r="O776" s="31"/>
      <c r="Q776" s="31">
        <f t="shared" si="12"/>
        <v>255</v>
      </c>
      <c r="R776" s="53" t="str">
        <f ca="1">IF(TODAY() - BCOXT[INV DUE DATE]&lt;30, "Less than 30 days",IF(TODAY()-BCOXT[INV DUE DATE]&lt;60,"30-60 days","More than 60 days"))</f>
        <v>Less than 30 days</v>
      </c>
      <c r="S776" s="31" t="s">
        <v>812</v>
      </c>
      <c r="T776" s="43"/>
      <c r="U776" s="4" t="s">
        <v>3699</v>
      </c>
    </row>
    <row r="777" spans="1:21" x14ac:dyDescent="0.3">
      <c r="A777" s="28" t="s">
        <v>4130</v>
      </c>
      <c r="B777" s="4" t="s">
        <v>35</v>
      </c>
      <c r="C777" s="4" t="s">
        <v>129</v>
      </c>
      <c r="D777" s="4">
        <v>5405</v>
      </c>
      <c r="E777" s="30">
        <v>255</v>
      </c>
      <c r="G777" s="4">
        <v>4300021652</v>
      </c>
      <c r="J777" s="28" t="s">
        <v>711</v>
      </c>
      <c r="K777" s="28" t="s">
        <v>3</v>
      </c>
      <c r="L777" s="32">
        <v>43252</v>
      </c>
      <c r="M777" s="32">
        <f>BCOXT[[#This Row],[INV DOC DATE]]+30</f>
        <v>43282</v>
      </c>
      <c r="N777" s="32">
        <v>43279</v>
      </c>
      <c r="O777" s="31"/>
      <c r="Q777" s="31">
        <f t="shared" si="12"/>
        <v>255</v>
      </c>
      <c r="R777" s="53" t="str">
        <f ca="1">IF(TODAY() - BCOXT[INV DUE DATE]&lt;30, "Less than 30 days",IF(TODAY()-BCOXT[INV DUE DATE]&lt;60,"30-60 days","More than 60 days"))</f>
        <v>Less than 30 days</v>
      </c>
      <c r="S777" s="31" t="s">
        <v>812</v>
      </c>
      <c r="T777" s="43"/>
      <c r="U777" s="4" t="s">
        <v>3699</v>
      </c>
    </row>
    <row r="778" spans="1:21" x14ac:dyDescent="0.3">
      <c r="A778" s="28" t="s">
        <v>4130</v>
      </c>
      <c r="B778" s="4" t="s">
        <v>35</v>
      </c>
      <c r="C778" s="4" t="s">
        <v>130</v>
      </c>
      <c r="D778" s="4">
        <v>5405</v>
      </c>
      <c r="E778" s="30">
        <v>255</v>
      </c>
      <c r="G778" s="4">
        <v>4300021652</v>
      </c>
      <c r="J778" s="28" t="s">
        <v>712</v>
      </c>
      <c r="K778" s="28" t="s">
        <v>3</v>
      </c>
      <c r="L778" s="32">
        <v>43252</v>
      </c>
      <c r="M778" s="32">
        <f>BCOXT[[#This Row],[INV DOC DATE]]+30</f>
        <v>43282</v>
      </c>
      <c r="N778" s="32">
        <v>43279</v>
      </c>
      <c r="O778" s="31"/>
      <c r="Q778" s="31">
        <f t="shared" si="12"/>
        <v>255</v>
      </c>
      <c r="R778" s="53" t="str">
        <f ca="1">IF(TODAY() - BCOXT[INV DUE DATE]&lt;30, "Less than 30 days",IF(TODAY()-BCOXT[INV DUE DATE]&lt;60,"30-60 days","More than 60 days"))</f>
        <v>Less than 30 days</v>
      </c>
      <c r="S778" s="31" t="s">
        <v>812</v>
      </c>
      <c r="T778" s="43"/>
      <c r="U778" s="4" t="s">
        <v>3699</v>
      </c>
    </row>
    <row r="779" spans="1:21" x14ac:dyDescent="0.3">
      <c r="A779" s="28" t="s">
        <v>4130</v>
      </c>
      <c r="B779" s="4" t="s">
        <v>35</v>
      </c>
      <c r="C779" s="4" t="s">
        <v>131</v>
      </c>
      <c r="D779" s="4">
        <v>5405</v>
      </c>
      <c r="E779" s="30">
        <v>255</v>
      </c>
      <c r="G779" s="4">
        <v>4300021652</v>
      </c>
      <c r="J779" s="28" t="s">
        <v>713</v>
      </c>
      <c r="K779" s="28" t="s">
        <v>3</v>
      </c>
      <c r="L779" s="32">
        <v>43252</v>
      </c>
      <c r="M779" s="32">
        <f>BCOXT[[#This Row],[INV DOC DATE]]+30</f>
        <v>43282</v>
      </c>
      <c r="N779" s="32">
        <v>43279</v>
      </c>
      <c r="O779" s="31"/>
      <c r="Q779" s="31">
        <f t="shared" si="12"/>
        <v>255</v>
      </c>
      <c r="R779" s="53" t="str">
        <f ca="1">IF(TODAY() - BCOXT[INV DUE DATE]&lt;30, "Less than 30 days",IF(TODAY()-BCOXT[INV DUE DATE]&lt;60,"30-60 days","More than 60 days"))</f>
        <v>Less than 30 days</v>
      </c>
      <c r="S779" s="31" t="s">
        <v>812</v>
      </c>
      <c r="T779" s="43"/>
      <c r="U779" s="4" t="s">
        <v>3699</v>
      </c>
    </row>
    <row r="780" spans="1:21" x14ac:dyDescent="0.3">
      <c r="A780" s="28" t="s">
        <v>4130</v>
      </c>
      <c r="B780" s="4" t="s">
        <v>35</v>
      </c>
      <c r="C780" s="4" t="s">
        <v>132</v>
      </c>
      <c r="D780" s="4">
        <v>5405</v>
      </c>
      <c r="E780" s="30">
        <v>255</v>
      </c>
      <c r="G780" s="4">
        <v>4300021652</v>
      </c>
      <c r="J780" s="28" t="s">
        <v>714</v>
      </c>
      <c r="K780" s="28" t="s">
        <v>3</v>
      </c>
      <c r="L780" s="32">
        <v>43252</v>
      </c>
      <c r="M780" s="32">
        <f>BCOXT[[#This Row],[INV DOC DATE]]+30</f>
        <v>43282</v>
      </c>
      <c r="N780" s="32">
        <v>43279</v>
      </c>
      <c r="O780" s="31"/>
      <c r="Q780" s="31">
        <f t="shared" si="12"/>
        <v>255</v>
      </c>
      <c r="R780" s="53" t="str">
        <f ca="1">IF(TODAY() - BCOXT[INV DUE DATE]&lt;30, "Less than 30 days",IF(TODAY()-BCOXT[INV DUE DATE]&lt;60,"30-60 days","More than 60 days"))</f>
        <v>Less than 30 days</v>
      </c>
      <c r="S780" s="31" t="s">
        <v>812</v>
      </c>
      <c r="T780" s="43"/>
      <c r="U780" s="4" t="s">
        <v>3699</v>
      </c>
    </row>
    <row r="781" spans="1:21" x14ac:dyDescent="0.3">
      <c r="A781" s="28" t="s">
        <v>4130</v>
      </c>
      <c r="B781" s="4" t="s">
        <v>35</v>
      </c>
      <c r="C781" s="4" t="s">
        <v>133</v>
      </c>
      <c r="D781" s="4">
        <v>5405</v>
      </c>
      <c r="E781" s="30">
        <v>255</v>
      </c>
      <c r="G781" s="4">
        <v>4300021652</v>
      </c>
      <c r="J781" s="28" t="s">
        <v>715</v>
      </c>
      <c r="K781" s="28" t="s">
        <v>3</v>
      </c>
      <c r="L781" s="32">
        <v>43252</v>
      </c>
      <c r="M781" s="32">
        <f>BCOXT[[#This Row],[INV DOC DATE]]+30</f>
        <v>43282</v>
      </c>
      <c r="N781" s="32">
        <v>43279</v>
      </c>
      <c r="O781" s="31"/>
      <c r="Q781" s="31">
        <f t="shared" si="12"/>
        <v>255</v>
      </c>
      <c r="R781" s="53" t="str">
        <f ca="1">IF(TODAY() - BCOXT[INV DUE DATE]&lt;30, "Less than 30 days",IF(TODAY()-BCOXT[INV DUE DATE]&lt;60,"30-60 days","More than 60 days"))</f>
        <v>Less than 30 days</v>
      </c>
      <c r="S781" s="31" t="s">
        <v>812</v>
      </c>
      <c r="T781" s="43"/>
      <c r="U781" s="4" t="s">
        <v>3699</v>
      </c>
    </row>
    <row r="782" spans="1:21" x14ac:dyDescent="0.3">
      <c r="A782" s="28" t="s">
        <v>4130</v>
      </c>
      <c r="B782" s="4" t="s">
        <v>35</v>
      </c>
      <c r="C782" s="4" t="s">
        <v>134</v>
      </c>
      <c r="D782" s="4">
        <v>5405</v>
      </c>
      <c r="E782" s="30">
        <v>255</v>
      </c>
      <c r="G782" s="4">
        <v>4300021652</v>
      </c>
      <c r="J782" s="28" t="s">
        <v>716</v>
      </c>
      <c r="K782" s="28" t="s">
        <v>3</v>
      </c>
      <c r="L782" s="32">
        <v>43252</v>
      </c>
      <c r="M782" s="32">
        <f>BCOXT[[#This Row],[INV DOC DATE]]+30</f>
        <v>43282</v>
      </c>
      <c r="N782" s="32">
        <v>43279</v>
      </c>
      <c r="O782" s="31"/>
      <c r="Q782" s="31">
        <f t="shared" si="12"/>
        <v>255</v>
      </c>
      <c r="R782" s="53" t="str">
        <f ca="1">IF(TODAY() - BCOXT[INV DUE DATE]&lt;30, "Less than 30 days",IF(TODAY()-BCOXT[INV DUE DATE]&lt;60,"30-60 days","More than 60 days"))</f>
        <v>Less than 30 days</v>
      </c>
      <c r="S782" s="31" t="s">
        <v>812</v>
      </c>
      <c r="T782" s="43"/>
      <c r="U782" s="4" t="s">
        <v>3699</v>
      </c>
    </row>
    <row r="783" spans="1:21" x14ac:dyDescent="0.3">
      <c r="A783" s="28" t="s">
        <v>4130</v>
      </c>
      <c r="B783" s="4" t="s">
        <v>35</v>
      </c>
      <c r="C783" s="4" t="s">
        <v>135</v>
      </c>
      <c r="D783" s="4">
        <v>5405</v>
      </c>
      <c r="E783" s="30">
        <v>255</v>
      </c>
      <c r="G783" s="4">
        <v>4300021652</v>
      </c>
      <c r="J783" s="28" t="s">
        <v>717</v>
      </c>
      <c r="K783" s="28" t="s">
        <v>3</v>
      </c>
      <c r="L783" s="32">
        <v>43252</v>
      </c>
      <c r="M783" s="32">
        <f>BCOXT[[#This Row],[INV DOC DATE]]+30</f>
        <v>43282</v>
      </c>
      <c r="N783" s="32">
        <v>43279</v>
      </c>
      <c r="O783" s="31"/>
      <c r="Q783" s="31">
        <f t="shared" si="12"/>
        <v>255</v>
      </c>
      <c r="R783" s="53" t="str">
        <f ca="1">IF(TODAY() - BCOXT[INV DUE DATE]&lt;30, "Less than 30 days",IF(TODAY()-BCOXT[INV DUE DATE]&lt;60,"30-60 days","More than 60 days"))</f>
        <v>Less than 30 days</v>
      </c>
      <c r="S783" s="31" t="s">
        <v>812</v>
      </c>
      <c r="T783" s="43"/>
      <c r="U783" s="4" t="s">
        <v>3699</v>
      </c>
    </row>
    <row r="784" spans="1:21" x14ac:dyDescent="0.3">
      <c r="A784" s="28" t="s">
        <v>4130</v>
      </c>
      <c r="B784" s="4" t="s">
        <v>35</v>
      </c>
      <c r="C784" s="4" t="s">
        <v>136</v>
      </c>
      <c r="D784" s="4">
        <v>5405</v>
      </c>
      <c r="E784" s="30">
        <v>255</v>
      </c>
      <c r="G784" s="4">
        <v>4300021652</v>
      </c>
      <c r="J784" s="28" t="s">
        <v>718</v>
      </c>
      <c r="K784" s="28" t="s">
        <v>3</v>
      </c>
      <c r="L784" s="32">
        <v>43252</v>
      </c>
      <c r="M784" s="32">
        <f>BCOXT[[#This Row],[INV DOC DATE]]+30</f>
        <v>43282</v>
      </c>
      <c r="N784" s="32">
        <v>43279</v>
      </c>
      <c r="O784" s="31"/>
      <c r="Q784" s="31">
        <f t="shared" si="12"/>
        <v>255</v>
      </c>
      <c r="R784" s="53" t="str">
        <f ca="1">IF(TODAY() - BCOXT[INV DUE DATE]&lt;30, "Less than 30 days",IF(TODAY()-BCOXT[INV DUE DATE]&lt;60,"30-60 days","More than 60 days"))</f>
        <v>Less than 30 days</v>
      </c>
      <c r="S784" s="31" t="s">
        <v>812</v>
      </c>
      <c r="T784" s="43"/>
      <c r="U784" s="4" t="s">
        <v>3699</v>
      </c>
    </row>
    <row r="785" spans="1:21" x14ac:dyDescent="0.3">
      <c r="A785" s="28" t="s">
        <v>4130</v>
      </c>
      <c r="B785" s="4" t="s">
        <v>35</v>
      </c>
      <c r="C785" s="4" t="s">
        <v>137</v>
      </c>
      <c r="D785" s="4">
        <v>5405</v>
      </c>
      <c r="E785" s="30">
        <v>255</v>
      </c>
      <c r="G785" s="4">
        <v>4300021652</v>
      </c>
      <c r="J785" s="28" t="s">
        <v>719</v>
      </c>
      <c r="K785" s="28" t="s">
        <v>3</v>
      </c>
      <c r="L785" s="32">
        <v>43252</v>
      </c>
      <c r="M785" s="32">
        <f>BCOXT[[#This Row],[INV DOC DATE]]+30</f>
        <v>43282</v>
      </c>
      <c r="N785" s="32">
        <v>43279</v>
      </c>
      <c r="O785" s="31"/>
      <c r="Q785" s="31">
        <f t="shared" si="12"/>
        <v>255</v>
      </c>
      <c r="R785" s="53" t="str">
        <f ca="1">IF(TODAY() - BCOXT[INV DUE DATE]&lt;30, "Less than 30 days",IF(TODAY()-BCOXT[INV DUE DATE]&lt;60,"30-60 days","More than 60 days"))</f>
        <v>Less than 30 days</v>
      </c>
      <c r="S785" s="31" t="s">
        <v>812</v>
      </c>
      <c r="T785" s="43"/>
      <c r="U785" s="4" t="s">
        <v>3699</v>
      </c>
    </row>
    <row r="786" spans="1:21" x14ac:dyDescent="0.3">
      <c r="A786" s="28" t="s">
        <v>4130</v>
      </c>
      <c r="B786" s="4" t="s">
        <v>35</v>
      </c>
      <c r="C786" s="4" t="s">
        <v>138</v>
      </c>
      <c r="D786" s="4">
        <v>5405</v>
      </c>
      <c r="E786" s="30">
        <v>270</v>
      </c>
      <c r="G786" s="4">
        <v>4300021652</v>
      </c>
      <c r="J786" s="28" t="s">
        <v>720</v>
      </c>
      <c r="K786" s="28" t="s">
        <v>3</v>
      </c>
      <c r="L786" s="32">
        <v>43252</v>
      </c>
      <c r="M786" s="32">
        <f>BCOXT[[#This Row],[INV DOC DATE]]+30</f>
        <v>43282</v>
      </c>
      <c r="N786" s="32">
        <v>43279</v>
      </c>
      <c r="O786" s="31"/>
      <c r="Q786" s="31">
        <f t="shared" si="12"/>
        <v>270</v>
      </c>
      <c r="R786" s="53" t="str">
        <f ca="1">IF(TODAY() - BCOXT[INV DUE DATE]&lt;30, "Less than 30 days",IF(TODAY()-BCOXT[INV DUE DATE]&lt;60,"30-60 days","More than 60 days"))</f>
        <v>Less than 30 days</v>
      </c>
      <c r="S786" s="31" t="s">
        <v>812</v>
      </c>
      <c r="T786" s="43"/>
      <c r="U786" s="4" t="s">
        <v>3699</v>
      </c>
    </row>
    <row r="787" spans="1:21" x14ac:dyDescent="0.3">
      <c r="A787" s="28" t="s">
        <v>4130</v>
      </c>
      <c r="B787" s="4" t="s">
        <v>35</v>
      </c>
      <c r="C787" s="4" t="s">
        <v>139</v>
      </c>
      <c r="D787" s="4">
        <v>5405</v>
      </c>
      <c r="E787" s="30">
        <v>255</v>
      </c>
      <c r="G787" s="4">
        <v>4300021652</v>
      </c>
      <c r="J787" s="28" t="s">
        <v>721</v>
      </c>
      <c r="K787" s="28" t="s">
        <v>3</v>
      </c>
      <c r="L787" s="32">
        <v>43252</v>
      </c>
      <c r="M787" s="32">
        <f>BCOXT[[#This Row],[INV DOC DATE]]+30</f>
        <v>43282</v>
      </c>
      <c r="N787" s="32">
        <v>43279</v>
      </c>
      <c r="O787" s="31"/>
      <c r="Q787" s="31">
        <f t="shared" si="12"/>
        <v>255</v>
      </c>
      <c r="R787" s="53" t="str">
        <f ca="1">IF(TODAY() - BCOXT[INV DUE DATE]&lt;30, "Less than 30 days",IF(TODAY()-BCOXT[INV DUE DATE]&lt;60,"30-60 days","More than 60 days"))</f>
        <v>Less than 30 days</v>
      </c>
      <c r="S787" s="31" t="s">
        <v>812</v>
      </c>
      <c r="T787" s="43"/>
      <c r="U787" s="4" t="s">
        <v>3699</v>
      </c>
    </row>
    <row r="788" spans="1:21" x14ac:dyDescent="0.3">
      <c r="A788" s="28" t="s">
        <v>4130</v>
      </c>
      <c r="B788" s="4" t="s">
        <v>35</v>
      </c>
      <c r="C788" s="4" t="s">
        <v>140</v>
      </c>
      <c r="D788" s="4">
        <v>5405</v>
      </c>
      <c r="E788" s="30">
        <v>255</v>
      </c>
      <c r="G788" s="4">
        <v>4300021652</v>
      </c>
      <c r="J788" s="28" t="s">
        <v>722</v>
      </c>
      <c r="K788" s="28" t="s">
        <v>3</v>
      </c>
      <c r="L788" s="32">
        <v>43252</v>
      </c>
      <c r="M788" s="32">
        <f>BCOXT[[#This Row],[INV DOC DATE]]+30</f>
        <v>43282</v>
      </c>
      <c r="N788" s="32">
        <v>43279</v>
      </c>
      <c r="O788" s="31"/>
      <c r="Q788" s="31">
        <f t="shared" ref="Q788:Q851" si="13">$E788-$O788</f>
        <v>255</v>
      </c>
      <c r="R788" s="53" t="str">
        <f ca="1">IF(TODAY() - BCOXT[INV DUE DATE]&lt;30, "Less than 30 days",IF(TODAY()-BCOXT[INV DUE DATE]&lt;60,"30-60 days","More than 60 days"))</f>
        <v>Less than 30 days</v>
      </c>
      <c r="S788" s="31" t="s">
        <v>812</v>
      </c>
      <c r="T788" s="43"/>
      <c r="U788" s="4" t="s">
        <v>3699</v>
      </c>
    </row>
    <row r="789" spans="1:21" x14ac:dyDescent="0.3">
      <c r="A789" s="28" t="s">
        <v>4130</v>
      </c>
      <c r="B789" s="4" t="s">
        <v>35</v>
      </c>
      <c r="C789" s="4" t="s">
        <v>141</v>
      </c>
      <c r="D789" s="4">
        <v>5405</v>
      </c>
      <c r="E789" s="30">
        <v>255</v>
      </c>
      <c r="G789" s="4">
        <v>4300021652</v>
      </c>
      <c r="J789" s="28" t="s">
        <v>723</v>
      </c>
      <c r="K789" s="28" t="s">
        <v>3</v>
      </c>
      <c r="L789" s="32">
        <v>43252</v>
      </c>
      <c r="M789" s="32">
        <f>BCOXT[[#This Row],[INV DOC DATE]]+30</f>
        <v>43282</v>
      </c>
      <c r="N789" s="32">
        <v>43279</v>
      </c>
      <c r="O789" s="31"/>
      <c r="Q789" s="31">
        <f t="shared" si="13"/>
        <v>255</v>
      </c>
      <c r="R789" s="53" t="str">
        <f ca="1">IF(TODAY() - BCOXT[INV DUE DATE]&lt;30, "Less than 30 days",IF(TODAY()-BCOXT[INV DUE DATE]&lt;60,"30-60 days","More than 60 days"))</f>
        <v>Less than 30 days</v>
      </c>
      <c r="S789" s="31" t="s">
        <v>812</v>
      </c>
      <c r="T789" s="43"/>
      <c r="U789" s="4" t="s">
        <v>3699</v>
      </c>
    </row>
    <row r="790" spans="1:21" x14ac:dyDescent="0.3">
      <c r="A790" s="28" t="s">
        <v>4130</v>
      </c>
      <c r="B790" s="4" t="s">
        <v>35</v>
      </c>
      <c r="C790" s="4" t="s">
        <v>142</v>
      </c>
      <c r="D790" s="4">
        <v>5405</v>
      </c>
      <c r="E790" s="30">
        <v>255</v>
      </c>
      <c r="G790" s="4">
        <v>4300021652</v>
      </c>
      <c r="J790" s="28" t="s">
        <v>724</v>
      </c>
      <c r="K790" s="28" t="s">
        <v>3</v>
      </c>
      <c r="L790" s="32">
        <v>43252</v>
      </c>
      <c r="M790" s="32">
        <f>BCOXT[[#This Row],[INV DOC DATE]]+30</f>
        <v>43282</v>
      </c>
      <c r="N790" s="32">
        <v>43279</v>
      </c>
      <c r="O790" s="31"/>
      <c r="Q790" s="31">
        <f t="shared" si="13"/>
        <v>255</v>
      </c>
      <c r="R790" s="53" t="str">
        <f ca="1">IF(TODAY() - BCOXT[INV DUE DATE]&lt;30, "Less than 30 days",IF(TODAY()-BCOXT[INV DUE DATE]&lt;60,"30-60 days","More than 60 days"))</f>
        <v>Less than 30 days</v>
      </c>
      <c r="S790" s="31" t="s">
        <v>812</v>
      </c>
      <c r="T790" s="43"/>
      <c r="U790" s="4" t="s">
        <v>3699</v>
      </c>
    </row>
    <row r="791" spans="1:21" x14ac:dyDescent="0.3">
      <c r="A791" s="28" t="s">
        <v>4130</v>
      </c>
      <c r="B791" s="4" t="s">
        <v>35</v>
      </c>
      <c r="C791" s="4" t="s">
        <v>143</v>
      </c>
      <c r="D791" s="4">
        <v>5405</v>
      </c>
      <c r="E791" s="30">
        <v>255</v>
      </c>
      <c r="G791" s="4">
        <v>4300021652</v>
      </c>
      <c r="J791" s="28" t="s">
        <v>725</v>
      </c>
      <c r="K791" s="28" t="s">
        <v>3</v>
      </c>
      <c r="L791" s="32">
        <v>43252</v>
      </c>
      <c r="M791" s="32">
        <f>BCOXT[[#This Row],[INV DOC DATE]]+30</f>
        <v>43282</v>
      </c>
      <c r="N791" s="32">
        <v>43279</v>
      </c>
      <c r="O791" s="31"/>
      <c r="Q791" s="31">
        <f t="shared" si="13"/>
        <v>255</v>
      </c>
      <c r="R791" s="53" t="str">
        <f ca="1">IF(TODAY() - BCOXT[INV DUE DATE]&lt;30, "Less than 30 days",IF(TODAY()-BCOXT[INV DUE DATE]&lt;60,"30-60 days","More than 60 days"))</f>
        <v>Less than 30 days</v>
      </c>
      <c r="S791" s="31" t="s">
        <v>812</v>
      </c>
      <c r="T791" s="43"/>
      <c r="U791" s="4" t="s">
        <v>3699</v>
      </c>
    </row>
    <row r="792" spans="1:21" x14ac:dyDescent="0.3">
      <c r="A792" s="28" t="s">
        <v>4130</v>
      </c>
      <c r="B792" s="4" t="s">
        <v>35</v>
      </c>
      <c r="C792" s="4" t="s">
        <v>144</v>
      </c>
      <c r="D792" s="4">
        <v>5405</v>
      </c>
      <c r="E792" s="30">
        <v>255</v>
      </c>
      <c r="G792" s="4">
        <v>4300021652</v>
      </c>
      <c r="J792" s="28" t="s">
        <v>726</v>
      </c>
      <c r="K792" s="28" t="s">
        <v>3</v>
      </c>
      <c r="L792" s="32">
        <v>43252</v>
      </c>
      <c r="M792" s="32">
        <f>BCOXT[[#This Row],[INV DOC DATE]]+30</f>
        <v>43282</v>
      </c>
      <c r="N792" s="32">
        <v>43279</v>
      </c>
      <c r="O792" s="31"/>
      <c r="Q792" s="31">
        <f t="shared" si="13"/>
        <v>255</v>
      </c>
      <c r="R792" s="53" t="str">
        <f ca="1">IF(TODAY() - BCOXT[INV DUE DATE]&lt;30, "Less than 30 days",IF(TODAY()-BCOXT[INV DUE DATE]&lt;60,"30-60 days","More than 60 days"))</f>
        <v>Less than 30 days</v>
      </c>
      <c r="S792" s="31" t="s">
        <v>812</v>
      </c>
      <c r="T792" s="43"/>
      <c r="U792" s="4" t="s">
        <v>3699</v>
      </c>
    </row>
    <row r="793" spans="1:21" x14ac:dyDescent="0.3">
      <c r="A793" s="28" t="s">
        <v>4130</v>
      </c>
      <c r="B793" s="4" t="s">
        <v>35</v>
      </c>
      <c r="C793" s="4" t="s">
        <v>145</v>
      </c>
      <c r="D793" s="4">
        <v>5405</v>
      </c>
      <c r="E793" s="30">
        <v>360</v>
      </c>
      <c r="G793" s="4">
        <v>4300021652</v>
      </c>
      <c r="J793" s="28" t="s">
        <v>727</v>
      </c>
      <c r="K793" s="28" t="s">
        <v>3</v>
      </c>
      <c r="L793" s="32">
        <v>43252</v>
      </c>
      <c r="M793" s="32">
        <f>BCOXT[[#This Row],[INV DOC DATE]]+30</f>
        <v>43282</v>
      </c>
      <c r="N793" s="32">
        <v>43279</v>
      </c>
      <c r="O793" s="31"/>
      <c r="Q793" s="31">
        <f t="shared" si="13"/>
        <v>360</v>
      </c>
      <c r="R793" s="53" t="str">
        <f ca="1">IF(TODAY() - BCOXT[INV DUE DATE]&lt;30, "Less than 30 days",IF(TODAY()-BCOXT[INV DUE DATE]&lt;60,"30-60 days","More than 60 days"))</f>
        <v>Less than 30 days</v>
      </c>
      <c r="S793" s="31" t="s">
        <v>812</v>
      </c>
      <c r="T793" s="43"/>
      <c r="U793" s="4" t="s">
        <v>3699</v>
      </c>
    </row>
    <row r="794" spans="1:21" x14ac:dyDescent="0.3">
      <c r="A794" s="28" t="s">
        <v>4130</v>
      </c>
      <c r="B794" s="4" t="s">
        <v>35</v>
      </c>
      <c r="C794" s="4" t="s">
        <v>146</v>
      </c>
      <c r="D794" s="4">
        <v>5405</v>
      </c>
      <c r="E794" s="30">
        <v>360</v>
      </c>
      <c r="G794" s="4">
        <v>4300021652</v>
      </c>
      <c r="J794" s="28" t="s">
        <v>728</v>
      </c>
      <c r="K794" s="28" t="s">
        <v>3</v>
      </c>
      <c r="L794" s="32">
        <v>43252</v>
      </c>
      <c r="M794" s="32">
        <f>BCOXT[[#This Row],[INV DOC DATE]]+30</f>
        <v>43282</v>
      </c>
      <c r="N794" s="32">
        <v>43279</v>
      </c>
      <c r="O794" s="31"/>
      <c r="Q794" s="31">
        <f t="shared" si="13"/>
        <v>360</v>
      </c>
      <c r="R794" s="53" t="str">
        <f ca="1">IF(TODAY() - BCOXT[INV DUE DATE]&lt;30, "Less than 30 days",IF(TODAY()-BCOXT[INV DUE DATE]&lt;60,"30-60 days","More than 60 days"))</f>
        <v>Less than 30 days</v>
      </c>
      <c r="S794" s="31" t="s">
        <v>812</v>
      </c>
      <c r="T794" s="43"/>
      <c r="U794" s="4" t="s">
        <v>3699</v>
      </c>
    </row>
    <row r="795" spans="1:21" x14ac:dyDescent="0.3">
      <c r="A795" s="28" t="s">
        <v>4130</v>
      </c>
      <c r="B795" s="4" t="s">
        <v>35</v>
      </c>
      <c r="C795" s="4" t="s">
        <v>147</v>
      </c>
      <c r="D795" s="4">
        <v>5405</v>
      </c>
      <c r="E795" s="30">
        <v>360</v>
      </c>
      <c r="G795" s="4">
        <v>4300021652</v>
      </c>
      <c r="J795" s="28" t="s">
        <v>729</v>
      </c>
      <c r="K795" s="28" t="s">
        <v>3</v>
      </c>
      <c r="L795" s="32">
        <v>43252</v>
      </c>
      <c r="M795" s="32">
        <f>BCOXT[[#This Row],[INV DOC DATE]]+30</f>
        <v>43282</v>
      </c>
      <c r="N795" s="32">
        <v>43279</v>
      </c>
      <c r="O795" s="31"/>
      <c r="Q795" s="31">
        <f t="shared" si="13"/>
        <v>360</v>
      </c>
      <c r="R795" s="53" t="str">
        <f ca="1">IF(TODAY() - BCOXT[INV DUE DATE]&lt;30, "Less than 30 days",IF(TODAY()-BCOXT[INV DUE DATE]&lt;60,"30-60 days","More than 60 days"))</f>
        <v>Less than 30 days</v>
      </c>
      <c r="S795" s="31" t="s">
        <v>812</v>
      </c>
      <c r="T795" s="43"/>
      <c r="U795" s="4" t="s">
        <v>3699</v>
      </c>
    </row>
    <row r="796" spans="1:21" x14ac:dyDescent="0.3">
      <c r="A796" s="28" t="s">
        <v>4130</v>
      </c>
      <c r="B796" s="4" t="s">
        <v>35</v>
      </c>
      <c r="C796" s="4" t="s">
        <v>148</v>
      </c>
      <c r="D796" s="4">
        <v>5405</v>
      </c>
      <c r="E796" s="30">
        <v>247.5</v>
      </c>
      <c r="G796" s="4">
        <v>4300021652</v>
      </c>
      <c r="J796" s="28" t="s">
        <v>730</v>
      </c>
      <c r="K796" s="28" t="s">
        <v>3</v>
      </c>
      <c r="L796" s="32">
        <v>43252</v>
      </c>
      <c r="M796" s="32">
        <f>BCOXT[[#This Row],[INV DOC DATE]]+30</f>
        <v>43282</v>
      </c>
      <c r="N796" s="32">
        <v>43279</v>
      </c>
      <c r="O796" s="31"/>
      <c r="Q796" s="31">
        <f t="shared" si="13"/>
        <v>247.5</v>
      </c>
      <c r="R796" s="53" t="str">
        <f ca="1">IF(TODAY() - BCOXT[INV DUE DATE]&lt;30, "Less than 30 days",IF(TODAY()-BCOXT[INV DUE DATE]&lt;60,"30-60 days","More than 60 days"))</f>
        <v>Less than 30 days</v>
      </c>
      <c r="S796" s="31" t="s">
        <v>812</v>
      </c>
      <c r="T796" s="43"/>
      <c r="U796" s="4" t="s">
        <v>3699</v>
      </c>
    </row>
    <row r="797" spans="1:21" x14ac:dyDescent="0.3">
      <c r="A797" s="28" t="s">
        <v>4130</v>
      </c>
      <c r="B797" s="4" t="s">
        <v>35</v>
      </c>
      <c r="C797" s="4" t="s">
        <v>149</v>
      </c>
      <c r="D797" s="4">
        <v>5405</v>
      </c>
      <c r="E797" s="30">
        <v>247.5</v>
      </c>
      <c r="G797" s="4">
        <v>4300021652</v>
      </c>
      <c r="J797" s="28" t="s">
        <v>731</v>
      </c>
      <c r="K797" s="28" t="s">
        <v>3</v>
      </c>
      <c r="L797" s="32">
        <v>43252</v>
      </c>
      <c r="M797" s="32">
        <f>BCOXT[[#This Row],[INV DOC DATE]]+30</f>
        <v>43282</v>
      </c>
      <c r="N797" s="32">
        <v>43279</v>
      </c>
      <c r="O797" s="31"/>
      <c r="Q797" s="31">
        <f t="shared" si="13"/>
        <v>247.5</v>
      </c>
      <c r="R797" s="53" t="str">
        <f ca="1">IF(TODAY() - BCOXT[INV DUE DATE]&lt;30, "Less than 30 days",IF(TODAY()-BCOXT[INV DUE DATE]&lt;60,"30-60 days","More than 60 days"))</f>
        <v>Less than 30 days</v>
      </c>
      <c r="S797" s="31" t="s">
        <v>812</v>
      </c>
      <c r="T797" s="43"/>
      <c r="U797" s="4" t="s">
        <v>3699</v>
      </c>
    </row>
    <row r="798" spans="1:21" x14ac:dyDescent="0.3">
      <c r="A798" s="28" t="s">
        <v>4130</v>
      </c>
      <c r="B798" s="4" t="s">
        <v>35</v>
      </c>
      <c r="C798" s="4" t="s">
        <v>150</v>
      </c>
      <c r="D798" s="4">
        <v>5405</v>
      </c>
      <c r="E798" s="30">
        <v>247.5</v>
      </c>
      <c r="G798" s="4">
        <v>4300021652</v>
      </c>
      <c r="J798" s="28" t="s">
        <v>732</v>
      </c>
      <c r="K798" s="28" t="s">
        <v>3</v>
      </c>
      <c r="L798" s="32">
        <v>43252</v>
      </c>
      <c r="M798" s="32">
        <f>BCOXT[[#This Row],[INV DOC DATE]]+30</f>
        <v>43282</v>
      </c>
      <c r="N798" s="32">
        <v>43279</v>
      </c>
      <c r="O798" s="31"/>
      <c r="Q798" s="31">
        <f t="shared" si="13"/>
        <v>247.5</v>
      </c>
      <c r="R798" s="53" t="str">
        <f ca="1">IF(TODAY() - BCOXT[INV DUE DATE]&lt;30, "Less than 30 days",IF(TODAY()-BCOXT[INV DUE DATE]&lt;60,"30-60 days","More than 60 days"))</f>
        <v>Less than 30 days</v>
      </c>
      <c r="S798" s="31" t="s">
        <v>812</v>
      </c>
      <c r="T798" s="43"/>
      <c r="U798" s="4" t="s">
        <v>3699</v>
      </c>
    </row>
    <row r="799" spans="1:21" x14ac:dyDescent="0.3">
      <c r="A799" s="28" t="s">
        <v>4130</v>
      </c>
      <c r="B799" s="4" t="s">
        <v>35</v>
      </c>
      <c r="C799" s="4" t="s">
        <v>151</v>
      </c>
      <c r="D799" s="4">
        <v>5405</v>
      </c>
      <c r="E799" s="30">
        <v>247.5</v>
      </c>
      <c r="G799" s="4">
        <v>4300021652</v>
      </c>
      <c r="J799" s="28" t="s">
        <v>733</v>
      </c>
      <c r="K799" s="28" t="s">
        <v>3</v>
      </c>
      <c r="L799" s="32">
        <v>43252</v>
      </c>
      <c r="M799" s="32">
        <f>BCOXT[[#This Row],[INV DOC DATE]]+30</f>
        <v>43282</v>
      </c>
      <c r="N799" s="32">
        <v>43279</v>
      </c>
      <c r="O799" s="31"/>
      <c r="Q799" s="31">
        <f t="shared" si="13"/>
        <v>247.5</v>
      </c>
      <c r="R799" s="53" t="str">
        <f ca="1">IF(TODAY() - BCOXT[INV DUE DATE]&lt;30, "Less than 30 days",IF(TODAY()-BCOXT[INV DUE DATE]&lt;60,"30-60 days","More than 60 days"))</f>
        <v>Less than 30 days</v>
      </c>
      <c r="S799" s="31" t="s">
        <v>812</v>
      </c>
      <c r="T799" s="43"/>
      <c r="U799" s="4" t="s">
        <v>3699</v>
      </c>
    </row>
    <row r="800" spans="1:21" x14ac:dyDescent="0.3">
      <c r="A800" s="28" t="s">
        <v>4130</v>
      </c>
      <c r="B800" s="4" t="s">
        <v>35</v>
      </c>
      <c r="C800" s="4" t="s">
        <v>152</v>
      </c>
      <c r="D800" s="4">
        <v>5405</v>
      </c>
      <c r="E800" s="30">
        <v>247.5</v>
      </c>
      <c r="G800" s="4">
        <v>4300021652</v>
      </c>
      <c r="J800" s="28" t="s">
        <v>734</v>
      </c>
      <c r="K800" s="28" t="s">
        <v>3</v>
      </c>
      <c r="L800" s="32">
        <v>43252</v>
      </c>
      <c r="M800" s="32">
        <f>BCOXT[[#This Row],[INV DOC DATE]]+30</f>
        <v>43282</v>
      </c>
      <c r="N800" s="32">
        <v>43279</v>
      </c>
      <c r="O800" s="31"/>
      <c r="Q800" s="31">
        <f t="shared" si="13"/>
        <v>247.5</v>
      </c>
      <c r="R800" s="53" t="str">
        <f ca="1">IF(TODAY() - BCOXT[INV DUE DATE]&lt;30, "Less than 30 days",IF(TODAY()-BCOXT[INV DUE DATE]&lt;60,"30-60 days","More than 60 days"))</f>
        <v>Less than 30 days</v>
      </c>
      <c r="S800" s="31" t="s">
        <v>812</v>
      </c>
      <c r="T800" s="43"/>
      <c r="U800" s="4" t="s">
        <v>3699</v>
      </c>
    </row>
    <row r="801" spans="1:21" x14ac:dyDescent="0.3">
      <c r="A801" s="28" t="s">
        <v>4130</v>
      </c>
      <c r="B801" s="4" t="s">
        <v>35</v>
      </c>
      <c r="C801" s="4" t="s">
        <v>296</v>
      </c>
      <c r="D801" s="4">
        <v>5405</v>
      </c>
      <c r="E801" s="30">
        <v>232.5</v>
      </c>
      <c r="G801" s="4">
        <v>4300021652</v>
      </c>
      <c r="J801" s="28" t="s">
        <v>735</v>
      </c>
      <c r="K801" s="28" t="s">
        <v>3</v>
      </c>
      <c r="L801" s="32">
        <v>43252</v>
      </c>
      <c r="M801" s="32">
        <f>BCOXT[[#This Row],[INV DOC DATE]]+30</f>
        <v>43282</v>
      </c>
      <c r="N801" s="32">
        <v>43279</v>
      </c>
      <c r="O801" s="31"/>
      <c r="Q801" s="31">
        <f t="shared" si="13"/>
        <v>232.5</v>
      </c>
      <c r="R801" s="53" t="str">
        <f ca="1">IF(TODAY() - BCOXT[INV DUE DATE]&lt;30, "Less than 30 days",IF(TODAY()-BCOXT[INV DUE DATE]&lt;60,"30-60 days","More than 60 days"))</f>
        <v>Less than 30 days</v>
      </c>
      <c r="S801" s="31" t="s">
        <v>812</v>
      </c>
      <c r="T801" s="43"/>
      <c r="U801" s="4" t="s">
        <v>3699</v>
      </c>
    </row>
    <row r="802" spans="1:21" x14ac:dyDescent="0.3">
      <c r="A802" s="28" t="s">
        <v>4130</v>
      </c>
      <c r="B802" s="4" t="s">
        <v>35</v>
      </c>
      <c r="C802" s="4" t="s">
        <v>297</v>
      </c>
      <c r="D802" s="4">
        <v>5405</v>
      </c>
      <c r="E802" s="30">
        <v>270</v>
      </c>
      <c r="G802" s="4">
        <v>4300021652</v>
      </c>
      <c r="J802" s="28" t="s">
        <v>736</v>
      </c>
      <c r="K802" s="28" t="s">
        <v>3</v>
      </c>
      <c r="L802" s="32">
        <v>43252</v>
      </c>
      <c r="M802" s="32">
        <f>BCOXT[[#This Row],[INV DOC DATE]]+30</f>
        <v>43282</v>
      </c>
      <c r="N802" s="32">
        <v>43279</v>
      </c>
      <c r="O802" s="31"/>
      <c r="Q802" s="31">
        <f t="shared" si="13"/>
        <v>270</v>
      </c>
      <c r="R802" s="53" t="str">
        <f ca="1">IF(TODAY() - BCOXT[INV DUE DATE]&lt;30, "Less than 30 days",IF(TODAY()-BCOXT[INV DUE DATE]&lt;60,"30-60 days","More than 60 days"))</f>
        <v>Less than 30 days</v>
      </c>
      <c r="S802" s="31" t="s">
        <v>812</v>
      </c>
      <c r="T802" s="43"/>
      <c r="U802" s="4" t="s">
        <v>3699</v>
      </c>
    </row>
    <row r="803" spans="1:21" x14ac:dyDescent="0.3">
      <c r="A803" s="28" t="s">
        <v>4130</v>
      </c>
      <c r="B803" s="4" t="s">
        <v>35</v>
      </c>
      <c r="C803" s="4" t="s">
        <v>298</v>
      </c>
      <c r="D803" s="4">
        <v>5405</v>
      </c>
      <c r="E803" s="30">
        <v>270</v>
      </c>
      <c r="G803" s="4">
        <v>4300021652</v>
      </c>
      <c r="J803" s="28" t="s">
        <v>737</v>
      </c>
      <c r="K803" s="28" t="s">
        <v>3</v>
      </c>
      <c r="L803" s="32">
        <v>43252</v>
      </c>
      <c r="M803" s="32">
        <f>BCOXT[[#This Row],[INV DOC DATE]]+30</f>
        <v>43282</v>
      </c>
      <c r="N803" s="32">
        <v>43279</v>
      </c>
      <c r="O803" s="31"/>
      <c r="Q803" s="31">
        <f t="shared" si="13"/>
        <v>270</v>
      </c>
      <c r="R803" s="53" t="str">
        <f ca="1">IF(TODAY() - BCOXT[INV DUE DATE]&lt;30, "Less than 30 days",IF(TODAY()-BCOXT[INV DUE DATE]&lt;60,"30-60 days","More than 60 days"))</f>
        <v>Less than 30 days</v>
      </c>
      <c r="S803" s="31" t="s">
        <v>812</v>
      </c>
      <c r="T803" s="43"/>
      <c r="U803" s="4" t="s">
        <v>3699</v>
      </c>
    </row>
    <row r="804" spans="1:21" x14ac:dyDescent="0.3">
      <c r="A804" s="28" t="s">
        <v>4130</v>
      </c>
      <c r="B804" s="4" t="s">
        <v>35</v>
      </c>
      <c r="C804" s="4" t="s">
        <v>299</v>
      </c>
      <c r="D804" s="4">
        <v>5405</v>
      </c>
      <c r="E804" s="30">
        <v>270</v>
      </c>
      <c r="G804" s="4">
        <v>4300021652</v>
      </c>
      <c r="J804" s="28" t="s">
        <v>738</v>
      </c>
      <c r="K804" s="28" t="s">
        <v>3</v>
      </c>
      <c r="L804" s="32">
        <v>43252</v>
      </c>
      <c r="M804" s="32">
        <f>BCOXT[[#This Row],[INV DOC DATE]]+30</f>
        <v>43282</v>
      </c>
      <c r="N804" s="32">
        <v>43279</v>
      </c>
      <c r="O804" s="31"/>
      <c r="Q804" s="31">
        <f t="shared" si="13"/>
        <v>270</v>
      </c>
      <c r="R804" s="53" t="str">
        <f ca="1">IF(TODAY() - BCOXT[INV DUE DATE]&lt;30, "Less than 30 days",IF(TODAY()-BCOXT[INV DUE DATE]&lt;60,"30-60 days","More than 60 days"))</f>
        <v>Less than 30 days</v>
      </c>
      <c r="S804" s="31" t="s">
        <v>812</v>
      </c>
      <c r="T804" s="43"/>
      <c r="U804" s="4" t="s">
        <v>3699</v>
      </c>
    </row>
    <row r="805" spans="1:21" x14ac:dyDescent="0.3">
      <c r="A805" s="28" t="s">
        <v>4130</v>
      </c>
      <c r="B805" s="4" t="s">
        <v>35</v>
      </c>
      <c r="C805" s="4" t="s">
        <v>300</v>
      </c>
      <c r="D805" s="4">
        <v>5405</v>
      </c>
      <c r="E805" s="30">
        <v>270</v>
      </c>
      <c r="G805" s="4">
        <v>4300021652</v>
      </c>
      <c r="J805" s="28" t="s">
        <v>740</v>
      </c>
      <c r="K805" s="28" t="s">
        <v>3</v>
      </c>
      <c r="L805" s="32">
        <v>43252</v>
      </c>
      <c r="M805" s="32">
        <f>BCOXT[[#This Row],[INV DOC DATE]]+30</f>
        <v>43282</v>
      </c>
      <c r="N805" s="32">
        <v>43279</v>
      </c>
      <c r="O805" s="31"/>
      <c r="Q805" s="31">
        <f t="shared" si="13"/>
        <v>270</v>
      </c>
      <c r="R805" s="53" t="str">
        <f ca="1">IF(TODAY() - BCOXT[INV DUE DATE]&lt;30, "Less than 30 days",IF(TODAY()-BCOXT[INV DUE DATE]&lt;60,"30-60 days","More than 60 days"))</f>
        <v>Less than 30 days</v>
      </c>
      <c r="S805" s="31" t="s">
        <v>812</v>
      </c>
      <c r="T805" s="43"/>
      <c r="U805" s="4" t="s">
        <v>3699</v>
      </c>
    </row>
    <row r="806" spans="1:21" x14ac:dyDescent="0.3">
      <c r="A806" s="28" t="s">
        <v>4130</v>
      </c>
      <c r="B806" s="4" t="s">
        <v>35</v>
      </c>
      <c r="C806" s="4" t="s">
        <v>301</v>
      </c>
      <c r="D806" s="4">
        <v>5405</v>
      </c>
      <c r="E806" s="30">
        <v>270</v>
      </c>
      <c r="G806" s="4">
        <v>4300021652</v>
      </c>
      <c r="J806" s="28" t="s">
        <v>741</v>
      </c>
      <c r="K806" s="28" t="s">
        <v>3</v>
      </c>
      <c r="L806" s="32">
        <v>43252</v>
      </c>
      <c r="M806" s="32">
        <f>BCOXT[[#This Row],[INV DOC DATE]]+30</f>
        <v>43282</v>
      </c>
      <c r="N806" s="32">
        <v>43279</v>
      </c>
      <c r="O806" s="31"/>
      <c r="Q806" s="31">
        <f t="shared" si="13"/>
        <v>270</v>
      </c>
      <c r="R806" s="53" t="str">
        <f ca="1">IF(TODAY() - BCOXT[INV DUE DATE]&lt;30, "Less than 30 days",IF(TODAY()-BCOXT[INV DUE DATE]&lt;60,"30-60 days","More than 60 days"))</f>
        <v>Less than 30 days</v>
      </c>
      <c r="S806" s="31" t="s">
        <v>812</v>
      </c>
      <c r="T806" s="43"/>
      <c r="U806" s="4" t="s">
        <v>3699</v>
      </c>
    </row>
    <row r="807" spans="1:21" x14ac:dyDescent="0.3">
      <c r="A807" s="28" t="s">
        <v>4130</v>
      </c>
      <c r="B807" s="4" t="s">
        <v>35</v>
      </c>
      <c r="C807" s="4" t="s">
        <v>302</v>
      </c>
      <c r="D807" s="4">
        <v>5405</v>
      </c>
      <c r="E807" s="30">
        <v>232.5</v>
      </c>
      <c r="G807" s="4">
        <v>4300021652</v>
      </c>
      <c r="J807" s="28" t="s">
        <v>742</v>
      </c>
      <c r="K807" s="28" t="s">
        <v>3</v>
      </c>
      <c r="L807" s="32">
        <v>43252</v>
      </c>
      <c r="M807" s="32">
        <f>BCOXT[[#This Row],[INV DOC DATE]]+30</f>
        <v>43282</v>
      </c>
      <c r="N807" s="32">
        <v>43279</v>
      </c>
      <c r="O807" s="31"/>
      <c r="Q807" s="31">
        <f t="shared" si="13"/>
        <v>232.5</v>
      </c>
      <c r="R807" s="53" t="str">
        <f ca="1">IF(TODAY() - BCOXT[INV DUE DATE]&lt;30, "Less than 30 days",IF(TODAY()-BCOXT[INV DUE DATE]&lt;60,"30-60 days","More than 60 days"))</f>
        <v>Less than 30 days</v>
      </c>
      <c r="S807" s="31" t="s">
        <v>812</v>
      </c>
      <c r="T807" s="43"/>
      <c r="U807" s="4" t="s">
        <v>3699</v>
      </c>
    </row>
    <row r="808" spans="1:21" x14ac:dyDescent="0.3">
      <c r="A808" s="28" t="s">
        <v>4130</v>
      </c>
      <c r="B808" s="4" t="s">
        <v>35</v>
      </c>
      <c r="C808" s="4" t="s">
        <v>303</v>
      </c>
      <c r="D808" s="4">
        <v>5405</v>
      </c>
      <c r="E808" s="30">
        <v>270</v>
      </c>
      <c r="G808" s="4">
        <v>4300021652</v>
      </c>
      <c r="J808" s="28" t="s">
        <v>743</v>
      </c>
      <c r="K808" s="28" t="s">
        <v>3</v>
      </c>
      <c r="L808" s="32">
        <v>43252</v>
      </c>
      <c r="M808" s="32">
        <f>BCOXT[[#This Row],[INV DOC DATE]]+30</f>
        <v>43282</v>
      </c>
      <c r="N808" s="32">
        <v>43279</v>
      </c>
      <c r="O808" s="31"/>
      <c r="Q808" s="31">
        <f t="shared" si="13"/>
        <v>270</v>
      </c>
      <c r="R808" s="53" t="str">
        <f ca="1">IF(TODAY() - BCOXT[INV DUE DATE]&lt;30, "Less than 30 days",IF(TODAY()-BCOXT[INV DUE DATE]&lt;60,"30-60 days","More than 60 days"))</f>
        <v>Less than 30 days</v>
      </c>
      <c r="S808" s="31" t="s">
        <v>812</v>
      </c>
      <c r="T808" s="43"/>
      <c r="U808" s="4" t="s">
        <v>3699</v>
      </c>
    </row>
    <row r="809" spans="1:21" x14ac:dyDescent="0.3">
      <c r="A809" s="28" t="s">
        <v>4130</v>
      </c>
      <c r="B809" s="4" t="s">
        <v>35</v>
      </c>
      <c r="C809" s="4" t="s">
        <v>304</v>
      </c>
      <c r="D809" s="4">
        <v>5405</v>
      </c>
      <c r="E809" s="30">
        <v>270</v>
      </c>
      <c r="G809" s="4">
        <v>4300021652</v>
      </c>
      <c r="J809" s="28" t="s">
        <v>744</v>
      </c>
      <c r="K809" s="28" t="s">
        <v>3</v>
      </c>
      <c r="L809" s="32">
        <v>43252</v>
      </c>
      <c r="M809" s="32">
        <f>BCOXT[[#This Row],[INV DOC DATE]]+30</f>
        <v>43282</v>
      </c>
      <c r="N809" s="32">
        <v>43279</v>
      </c>
      <c r="O809" s="31"/>
      <c r="Q809" s="31">
        <f t="shared" si="13"/>
        <v>270</v>
      </c>
      <c r="R809" s="53" t="str">
        <f ca="1">IF(TODAY() - BCOXT[INV DUE DATE]&lt;30, "Less than 30 days",IF(TODAY()-BCOXT[INV DUE DATE]&lt;60,"30-60 days","More than 60 days"))</f>
        <v>Less than 30 days</v>
      </c>
      <c r="S809" s="31" t="s">
        <v>812</v>
      </c>
      <c r="T809" s="43"/>
      <c r="U809" s="4" t="s">
        <v>3699</v>
      </c>
    </row>
    <row r="810" spans="1:21" x14ac:dyDescent="0.3">
      <c r="A810" s="28" t="s">
        <v>4130</v>
      </c>
      <c r="B810" s="4" t="s">
        <v>35</v>
      </c>
      <c r="C810" s="4" t="s">
        <v>305</v>
      </c>
      <c r="D810" s="4">
        <v>5405</v>
      </c>
      <c r="E810" s="30">
        <v>270</v>
      </c>
      <c r="G810" s="4">
        <v>4300021652</v>
      </c>
      <c r="J810" s="28" t="s">
        <v>745</v>
      </c>
      <c r="K810" s="28" t="s">
        <v>3</v>
      </c>
      <c r="L810" s="32">
        <v>43252</v>
      </c>
      <c r="M810" s="32">
        <f>BCOXT[[#This Row],[INV DOC DATE]]+30</f>
        <v>43282</v>
      </c>
      <c r="N810" s="32">
        <v>43279</v>
      </c>
      <c r="O810" s="31"/>
      <c r="Q810" s="31">
        <f t="shared" si="13"/>
        <v>270</v>
      </c>
      <c r="R810" s="53" t="str">
        <f ca="1">IF(TODAY() - BCOXT[INV DUE DATE]&lt;30, "Less than 30 days",IF(TODAY()-BCOXT[INV DUE DATE]&lt;60,"30-60 days","More than 60 days"))</f>
        <v>Less than 30 days</v>
      </c>
      <c r="S810" s="31" t="s">
        <v>812</v>
      </c>
      <c r="T810" s="43"/>
      <c r="U810" s="4" t="s">
        <v>3699</v>
      </c>
    </row>
    <row r="811" spans="1:21" x14ac:dyDescent="0.3">
      <c r="A811" s="28" t="s">
        <v>4130</v>
      </c>
      <c r="B811" s="4" t="s">
        <v>35</v>
      </c>
      <c r="C811" s="4" t="s">
        <v>306</v>
      </c>
      <c r="D811" s="4">
        <v>5405</v>
      </c>
      <c r="E811" s="30">
        <v>270</v>
      </c>
      <c r="G811" s="4">
        <v>4300021652</v>
      </c>
      <c r="J811" s="28" t="s">
        <v>746</v>
      </c>
      <c r="K811" s="28" t="s">
        <v>3</v>
      </c>
      <c r="L811" s="32">
        <v>43252</v>
      </c>
      <c r="M811" s="32">
        <f>BCOXT[[#This Row],[INV DOC DATE]]+30</f>
        <v>43282</v>
      </c>
      <c r="N811" s="32">
        <v>43279</v>
      </c>
      <c r="O811" s="31"/>
      <c r="Q811" s="31">
        <f t="shared" si="13"/>
        <v>270</v>
      </c>
      <c r="R811" s="53" t="str">
        <f ca="1">IF(TODAY() - BCOXT[INV DUE DATE]&lt;30, "Less than 30 days",IF(TODAY()-BCOXT[INV DUE DATE]&lt;60,"30-60 days","More than 60 days"))</f>
        <v>Less than 30 days</v>
      </c>
      <c r="S811" s="31" t="s">
        <v>812</v>
      </c>
      <c r="T811" s="43"/>
      <c r="U811" s="4" t="s">
        <v>3699</v>
      </c>
    </row>
    <row r="812" spans="1:21" x14ac:dyDescent="0.3">
      <c r="A812" s="28" t="s">
        <v>4130</v>
      </c>
      <c r="B812" s="4" t="s">
        <v>35</v>
      </c>
      <c r="C812" s="4" t="s">
        <v>307</v>
      </c>
      <c r="D812" s="4">
        <v>5405</v>
      </c>
      <c r="E812" s="30">
        <v>270</v>
      </c>
      <c r="G812" s="4">
        <v>4300021652</v>
      </c>
      <c r="J812" s="28" t="s">
        <v>747</v>
      </c>
      <c r="K812" s="28" t="s">
        <v>3</v>
      </c>
      <c r="L812" s="32">
        <v>43252</v>
      </c>
      <c r="M812" s="32">
        <f>BCOXT[[#This Row],[INV DOC DATE]]+30</f>
        <v>43282</v>
      </c>
      <c r="N812" s="32">
        <v>43279</v>
      </c>
      <c r="O812" s="31"/>
      <c r="Q812" s="31">
        <f t="shared" si="13"/>
        <v>270</v>
      </c>
      <c r="R812" s="53" t="str">
        <f ca="1">IF(TODAY() - BCOXT[INV DUE DATE]&lt;30, "Less than 30 days",IF(TODAY()-BCOXT[INV DUE DATE]&lt;60,"30-60 days","More than 60 days"))</f>
        <v>Less than 30 days</v>
      </c>
      <c r="S812" s="31" t="s">
        <v>812</v>
      </c>
      <c r="T812" s="43"/>
      <c r="U812" s="4" t="s">
        <v>3699</v>
      </c>
    </row>
    <row r="813" spans="1:21" x14ac:dyDescent="0.3">
      <c r="A813" s="28" t="s">
        <v>4130</v>
      </c>
      <c r="B813" s="4" t="s">
        <v>35</v>
      </c>
      <c r="C813" s="4" t="s">
        <v>308</v>
      </c>
      <c r="D813" s="4">
        <v>5405</v>
      </c>
      <c r="E813" s="30">
        <v>270</v>
      </c>
      <c r="G813" s="4">
        <v>4300021652</v>
      </c>
      <c r="J813" s="28" t="s">
        <v>748</v>
      </c>
      <c r="K813" s="28" t="s">
        <v>3</v>
      </c>
      <c r="L813" s="32">
        <v>43252</v>
      </c>
      <c r="M813" s="32">
        <f>BCOXT[[#This Row],[INV DOC DATE]]+30</f>
        <v>43282</v>
      </c>
      <c r="N813" s="32">
        <v>43279</v>
      </c>
      <c r="O813" s="31"/>
      <c r="Q813" s="31">
        <f t="shared" si="13"/>
        <v>270</v>
      </c>
      <c r="R813" s="53" t="str">
        <f ca="1">IF(TODAY() - BCOXT[INV DUE DATE]&lt;30, "Less than 30 days",IF(TODAY()-BCOXT[INV DUE DATE]&lt;60,"30-60 days","More than 60 days"))</f>
        <v>Less than 30 days</v>
      </c>
      <c r="S813" s="31" t="s">
        <v>812</v>
      </c>
      <c r="T813" s="43"/>
      <c r="U813" s="4" t="s">
        <v>3699</v>
      </c>
    </row>
    <row r="814" spans="1:21" x14ac:dyDescent="0.3">
      <c r="A814" s="28" t="s">
        <v>4130</v>
      </c>
      <c r="B814" s="4" t="s">
        <v>35</v>
      </c>
      <c r="C814" s="4" t="s">
        <v>309</v>
      </c>
      <c r="D814" s="4">
        <v>5405</v>
      </c>
      <c r="E814" s="30">
        <v>270</v>
      </c>
      <c r="G814" s="4">
        <v>4300021652</v>
      </c>
      <c r="J814" s="28" t="s">
        <v>749</v>
      </c>
      <c r="K814" s="28" t="s">
        <v>3</v>
      </c>
      <c r="L814" s="32">
        <v>43252</v>
      </c>
      <c r="M814" s="32">
        <f>BCOXT[[#This Row],[INV DOC DATE]]+30</f>
        <v>43282</v>
      </c>
      <c r="N814" s="32">
        <v>43279</v>
      </c>
      <c r="O814" s="31"/>
      <c r="Q814" s="31">
        <f t="shared" si="13"/>
        <v>270</v>
      </c>
      <c r="R814" s="53" t="str">
        <f ca="1">IF(TODAY() - BCOXT[INV DUE DATE]&lt;30, "Less than 30 days",IF(TODAY()-BCOXT[INV DUE DATE]&lt;60,"30-60 days","More than 60 days"))</f>
        <v>Less than 30 days</v>
      </c>
      <c r="S814" s="31" t="s">
        <v>812</v>
      </c>
      <c r="T814" s="43"/>
      <c r="U814" s="4" t="s">
        <v>3699</v>
      </c>
    </row>
    <row r="815" spans="1:21" x14ac:dyDescent="0.3">
      <c r="A815" s="28" t="s">
        <v>4130</v>
      </c>
      <c r="B815" s="4" t="s">
        <v>35</v>
      </c>
      <c r="C815" s="4" t="s">
        <v>310</v>
      </c>
      <c r="D815" s="4">
        <v>5405</v>
      </c>
      <c r="E815" s="30">
        <v>270</v>
      </c>
      <c r="G815" s="4">
        <v>4300021652</v>
      </c>
      <c r="J815" s="28" t="s">
        <v>750</v>
      </c>
      <c r="K815" s="28" t="s">
        <v>3</v>
      </c>
      <c r="L815" s="32">
        <v>43252</v>
      </c>
      <c r="M815" s="32">
        <f>BCOXT[[#This Row],[INV DOC DATE]]+30</f>
        <v>43282</v>
      </c>
      <c r="N815" s="32">
        <v>43279</v>
      </c>
      <c r="O815" s="31"/>
      <c r="Q815" s="31">
        <f t="shared" si="13"/>
        <v>270</v>
      </c>
      <c r="R815" s="53" t="str">
        <f ca="1">IF(TODAY() - BCOXT[INV DUE DATE]&lt;30, "Less than 30 days",IF(TODAY()-BCOXT[INV DUE DATE]&lt;60,"30-60 days","More than 60 days"))</f>
        <v>Less than 30 days</v>
      </c>
      <c r="S815" s="31" t="s">
        <v>812</v>
      </c>
      <c r="T815" s="43"/>
      <c r="U815" s="4" t="s">
        <v>3699</v>
      </c>
    </row>
    <row r="816" spans="1:21" x14ac:dyDescent="0.3">
      <c r="A816" s="28" t="s">
        <v>4130</v>
      </c>
      <c r="B816" s="4" t="s">
        <v>35</v>
      </c>
      <c r="C816" s="4" t="s">
        <v>311</v>
      </c>
      <c r="D816" s="4">
        <v>5405</v>
      </c>
      <c r="E816" s="30">
        <v>270</v>
      </c>
      <c r="G816" s="4">
        <v>4300021652</v>
      </c>
      <c r="J816" s="28" t="s">
        <v>751</v>
      </c>
      <c r="K816" s="28" t="s">
        <v>3</v>
      </c>
      <c r="L816" s="32">
        <v>43252</v>
      </c>
      <c r="M816" s="32">
        <f>BCOXT[[#This Row],[INV DOC DATE]]+30</f>
        <v>43282</v>
      </c>
      <c r="N816" s="32">
        <v>43279</v>
      </c>
      <c r="O816" s="31"/>
      <c r="Q816" s="31">
        <f t="shared" si="13"/>
        <v>270</v>
      </c>
      <c r="R816" s="53" t="str">
        <f ca="1">IF(TODAY() - BCOXT[INV DUE DATE]&lt;30, "Less than 30 days",IF(TODAY()-BCOXT[INV DUE DATE]&lt;60,"30-60 days","More than 60 days"))</f>
        <v>Less than 30 days</v>
      </c>
      <c r="S816" s="31" t="s">
        <v>812</v>
      </c>
      <c r="T816" s="43"/>
      <c r="U816" s="4" t="s">
        <v>3699</v>
      </c>
    </row>
    <row r="817" spans="1:21" x14ac:dyDescent="0.3">
      <c r="A817" s="28" t="s">
        <v>4130</v>
      </c>
      <c r="B817" s="4" t="s">
        <v>35</v>
      </c>
      <c r="C817" s="4" t="s">
        <v>312</v>
      </c>
      <c r="D817" s="4">
        <v>5405</v>
      </c>
      <c r="E817" s="30">
        <v>270</v>
      </c>
      <c r="G817" s="4">
        <v>4300021652</v>
      </c>
      <c r="J817" s="28" t="s">
        <v>752</v>
      </c>
      <c r="K817" s="28" t="s">
        <v>3</v>
      </c>
      <c r="L817" s="32">
        <v>43252</v>
      </c>
      <c r="M817" s="32">
        <f>BCOXT[[#This Row],[INV DOC DATE]]+30</f>
        <v>43282</v>
      </c>
      <c r="N817" s="32">
        <v>43279</v>
      </c>
      <c r="O817" s="31"/>
      <c r="Q817" s="31">
        <f t="shared" si="13"/>
        <v>270</v>
      </c>
      <c r="R817" s="53" t="str">
        <f ca="1">IF(TODAY() - BCOXT[INV DUE DATE]&lt;30, "Less than 30 days",IF(TODAY()-BCOXT[INV DUE DATE]&lt;60,"30-60 days","More than 60 days"))</f>
        <v>Less than 30 days</v>
      </c>
      <c r="S817" s="31" t="s">
        <v>812</v>
      </c>
      <c r="T817" s="43"/>
      <c r="U817" s="4" t="s">
        <v>3699</v>
      </c>
    </row>
    <row r="818" spans="1:21" x14ac:dyDescent="0.3">
      <c r="A818" s="28" t="s">
        <v>4130</v>
      </c>
      <c r="B818" s="4" t="s">
        <v>35</v>
      </c>
      <c r="C818" s="4" t="s">
        <v>313</v>
      </c>
      <c r="D818" s="4">
        <v>5405</v>
      </c>
      <c r="E818" s="30">
        <v>270</v>
      </c>
      <c r="G818" s="4">
        <v>4300021652</v>
      </c>
      <c r="J818" s="28" t="s">
        <v>753</v>
      </c>
      <c r="K818" s="28" t="s">
        <v>3</v>
      </c>
      <c r="L818" s="32">
        <v>43252</v>
      </c>
      <c r="M818" s="32">
        <f>BCOXT[[#This Row],[INV DOC DATE]]+30</f>
        <v>43282</v>
      </c>
      <c r="N818" s="32">
        <v>43279</v>
      </c>
      <c r="O818" s="31"/>
      <c r="Q818" s="31">
        <f t="shared" si="13"/>
        <v>270</v>
      </c>
      <c r="R818" s="53" t="str">
        <f ca="1">IF(TODAY() - BCOXT[INV DUE DATE]&lt;30, "Less than 30 days",IF(TODAY()-BCOXT[INV DUE DATE]&lt;60,"30-60 days","More than 60 days"))</f>
        <v>Less than 30 days</v>
      </c>
      <c r="S818" s="31" t="s">
        <v>812</v>
      </c>
      <c r="T818" s="43"/>
      <c r="U818" s="4" t="s">
        <v>3699</v>
      </c>
    </row>
    <row r="819" spans="1:21" x14ac:dyDescent="0.3">
      <c r="A819" s="28" t="s">
        <v>4130</v>
      </c>
      <c r="B819" s="4" t="s">
        <v>35</v>
      </c>
      <c r="C819" s="4" t="s">
        <v>314</v>
      </c>
      <c r="D819" s="4">
        <v>5405</v>
      </c>
      <c r="E819" s="30">
        <v>270</v>
      </c>
      <c r="G819" s="4">
        <v>4300021652</v>
      </c>
      <c r="J819" s="28" t="s">
        <v>754</v>
      </c>
      <c r="K819" s="28" t="s">
        <v>3</v>
      </c>
      <c r="L819" s="32">
        <v>43252</v>
      </c>
      <c r="M819" s="32">
        <f>BCOXT[[#This Row],[INV DOC DATE]]+30</f>
        <v>43282</v>
      </c>
      <c r="N819" s="32">
        <v>43279</v>
      </c>
      <c r="O819" s="31"/>
      <c r="Q819" s="31">
        <f t="shared" si="13"/>
        <v>270</v>
      </c>
      <c r="R819" s="53" t="str">
        <f ca="1">IF(TODAY() - BCOXT[INV DUE DATE]&lt;30, "Less than 30 days",IF(TODAY()-BCOXT[INV DUE DATE]&lt;60,"30-60 days","More than 60 days"))</f>
        <v>Less than 30 days</v>
      </c>
      <c r="S819" s="31" t="s">
        <v>812</v>
      </c>
      <c r="T819" s="43"/>
      <c r="U819" s="4" t="s">
        <v>3699</v>
      </c>
    </row>
    <row r="820" spans="1:21" x14ac:dyDescent="0.3">
      <c r="A820" s="28" t="s">
        <v>4130</v>
      </c>
      <c r="B820" s="4" t="s">
        <v>35</v>
      </c>
      <c r="C820" s="4" t="s">
        <v>315</v>
      </c>
      <c r="D820" s="4">
        <v>5405</v>
      </c>
      <c r="E820" s="30">
        <v>270</v>
      </c>
      <c r="G820" s="4">
        <v>4300021652</v>
      </c>
      <c r="J820" s="28" t="s">
        <v>755</v>
      </c>
      <c r="K820" s="28" t="s">
        <v>3</v>
      </c>
      <c r="L820" s="32">
        <v>43252</v>
      </c>
      <c r="M820" s="32">
        <f>BCOXT[[#This Row],[INV DOC DATE]]+30</f>
        <v>43282</v>
      </c>
      <c r="N820" s="32">
        <v>43279</v>
      </c>
      <c r="O820" s="31"/>
      <c r="Q820" s="31">
        <f t="shared" si="13"/>
        <v>270</v>
      </c>
      <c r="R820" s="53" t="str">
        <f ca="1">IF(TODAY() - BCOXT[INV DUE DATE]&lt;30, "Less than 30 days",IF(TODAY()-BCOXT[INV DUE DATE]&lt;60,"30-60 days","More than 60 days"))</f>
        <v>Less than 30 days</v>
      </c>
      <c r="S820" s="31" t="s">
        <v>812</v>
      </c>
      <c r="T820" s="43"/>
      <c r="U820" s="4" t="s">
        <v>3699</v>
      </c>
    </row>
    <row r="821" spans="1:21" x14ac:dyDescent="0.3">
      <c r="A821" s="28" t="s">
        <v>4130</v>
      </c>
      <c r="B821" s="4" t="s">
        <v>35</v>
      </c>
      <c r="C821" s="4" t="s">
        <v>316</v>
      </c>
      <c r="D821" s="4">
        <v>5405</v>
      </c>
      <c r="E821" s="30">
        <v>270</v>
      </c>
      <c r="G821" s="4">
        <v>4300021652</v>
      </c>
      <c r="J821" s="28" t="s">
        <v>756</v>
      </c>
      <c r="K821" s="28" t="s">
        <v>3</v>
      </c>
      <c r="L821" s="32">
        <v>43252</v>
      </c>
      <c r="M821" s="32">
        <f>BCOXT[[#This Row],[INV DOC DATE]]+30</f>
        <v>43282</v>
      </c>
      <c r="N821" s="32">
        <v>43279</v>
      </c>
      <c r="O821" s="31"/>
      <c r="Q821" s="31">
        <f t="shared" si="13"/>
        <v>270</v>
      </c>
      <c r="R821" s="53" t="str">
        <f ca="1">IF(TODAY() - BCOXT[INV DUE DATE]&lt;30, "Less than 30 days",IF(TODAY()-BCOXT[INV DUE DATE]&lt;60,"30-60 days","More than 60 days"))</f>
        <v>Less than 30 days</v>
      </c>
      <c r="S821" s="31" t="s">
        <v>812</v>
      </c>
      <c r="T821" s="43"/>
      <c r="U821" s="4" t="s">
        <v>3699</v>
      </c>
    </row>
    <row r="822" spans="1:21" x14ac:dyDescent="0.3">
      <c r="A822" s="28" t="s">
        <v>4130</v>
      </c>
      <c r="B822" s="4" t="s">
        <v>35</v>
      </c>
      <c r="C822" s="4" t="s">
        <v>317</v>
      </c>
      <c r="D822" s="4">
        <v>5405</v>
      </c>
      <c r="E822" s="30">
        <v>270</v>
      </c>
      <c r="G822" s="4">
        <v>4300021652</v>
      </c>
      <c r="J822" s="28" t="s">
        <v>757</v>
      </c>
      <c r="K822" s="28" t="s">
        <v>3</v>
      </c>
      <c r="L822" s="32">
        <v>43252</v>
      </c>
      <c r="M822" s="32">
        <f>BCOXT[[#This Row],[INV DOC DATE]]+30</f>
        <v>43282</v>
      </c>
      <c r="N822" s="32">
        <v>43279</v>
      </c>
      <c r="O822" s="31"/>
      <c r="Q822" s="31">
        <f t="shared" si="13"/>
        <v>270</v>
      </c>
      <c r="R822" s="53" t="str">
        <f ca="1">IF(TODAY() - BCOXT[INV DUE DATE]&lt;30, "Less than 30 days",IF(TODAY()-BCOXT[INV DUE DATE]&lt;60,"30-60 days","More than 60 days"))</f>
        <v>Less than 30 days</v>
      </c>
      <c r="S822" s="31" t="s">
        <v>812</v>
      </c>
      <c r="T822" s="43"/>
      <c r="U822" s="4" t="s">
        <v>3699</v>
      </c>
    </row>
    <row r="823" spans="1:21" x14ac:dyDescent="0.3">
      <c r="A823" s="28" t="s">
        <v>4130</v>
      </c>
      <c r="B823" s="4" t="s">
        <v>35</v>
      </c>
      <c r="C823" s="4" t="s">
        <v>318</v>
      </c>
      <c r="D823" s="4">
        <v>5405</v>
      </c>
      <c r="E823" s="30">
        <v>270</v>
      </c>
      <c r="G823" s="4">
        <v>4300021652</v>
      </c>
      <c r="J823" s="28" t="s">
        <v>758</v>
      </c>
      <c r="K823" s="28" t="s">
        <v>3</v>
      </c>
      <c r="L823" s="32">
        <v>43252</v>
      </c>
      <c r="M823" s="32">
        <f>BCOXT[[#This Row],[INV DOC DATE]]+30</f>
        <v>43282</v>
      </c>
      <c r="N823" s="32">
        <v>43279</v>
      </c>
      <c r="O823" s="31"/>
      <c r="Q823" s="31">
        <f t="shared" si="13"/>
        <v>270</v>
      </c>
      <c r="R823" s="53" t="str">
        <f ca="1">IF(TODAY() - BCOXT[INV DUE DATE]&lt;30, "Less than 30 days",IF(TODAY()-BCOXT[INV DUE DATE]&lt;60,"30-60 days","More than 60 days"))</f>
        <v>Less than 30 days</v>
      </c>
      <c r="S823" s="31" t="s">
        <v>812</v>
      </c>
      <c r="T823" s="43"/>
      <c r="U823" s="4" t="s">
        <v>3699</v>
      </c>
    </row>
    <row r="824" spans="1:21" x14ac:dyDescent="0.3">
      <c r="A824" s="28" t="s">
        <v>4130</v>
      </c>
      <c r="B824" s="4" t="s">
        <v>35</v>
      </c>
      <c r="C824" s="4" t="s">
        <v>319</v>
      </c>
      <c r="D824" s="4">
        <v>5405</v>
      </c>
      <c r="E824" s="30">
        <v>270</v>
      </c>
      <c r="G824" s="4">
        <v>4300021652</v>
      </c>
      <c r="J824" s="28" t="s">
        <v>759</v>
      </c>
      <c r="K824" s="28" t="s">
        <v>3</v>
      </c>
      <c r="L824" s="32">
        <v>43252</v>
      </c>
      <c r="M824" s="32">
        <f>BCOXT[[#This Row],[INV DOC DATE]]+30</f>
        <v>43282</v>
      </c>
      <c r="N824" s="32">
        <v>43279</v>
      </c>
      <c r="O824" s="31"/>
      <c r="Q824" s="31">
        <f t="shared" si="13"/>
        <v>270</v>
      </c>
      <c r="R824" s="53" t="str">
        <f ca="1">IF(TODAY() - BCOXT[INV DUE DATE]&lt;30, "Less than 30 days",IF(TODAY()-BCOXT[INV DUE DATE]&lt;60,"30-60 days","More than 60 days"))</f>
        <v>Less than 30 days</v>
      </c>
      <c r="S824" s="31" t="s">
        <v>812</v>
      </c>
      <c r="T824" s="43"/>
      <c r="U824" s="4" t="s">
        <v>3699</v>
      </c>
    </row>
    <row r="825" spans="1:21" x14ac:dyDescent="0.3">
      <c r="A825" s="28" t="s">
        <v>4130</v>
      </c>
      <c r="B825" s="4" t="s">
        <v>35</v>
      </c>
      <c r="C825" s="4" t="s">
        <v>320</v>
      </c>
      <c r="D825" s="4">
        <v>5405</v>
      </c>
      <c r="E825" s="30">
        <v>232.5</v>
      </c>
      <c r="G825" s="4">
        <v>4300021652</v>
      </c>
      <c r="J825" s="28" t="s">
        <v>760</v>
      </c>
      <c r="K825" s="28" t="s">
        <v>3</v>
      </c>
      <c r="L825" s="32">
        <v>43252</v>
      </c>
      <c r="M825" s="32">
        <f>BCOXT[[#This Row],[INV DOC DATE]]+30</f>
        <v>43282</v>
      </c>
      <c r="N825" s="32">
        <v>43279</v>
      </c>
      <c r="O825" s="31"/>
      <c r="Q825" s="31">
        <f t="shared" si="13"/>
        <v>232.5</v>
      </c>
      <c r="R825" s="53" t="str">
        <f ca="1">IF(TODAY() - BCOXT[INV DUE DATE]&lt;30, "Less than 30 days",IF(TODAY()-BCOXT[INV DUE DATE]&lt;60,"30-60 days","More than 60 days"))</f>
        <v>Less than 30 days</v>
      </c>
      <c r="S825" s="31" t="s">
        <v>812</v>
      </c>
      <c r="T825" s="43"/>
      <c r="U825" s="4" t="s">
        <v>3699</v>
      </c>
    </row>
    <row r="826" spans="1:21" x14ac:dyDescent="0.3">
      <c r="A826" s="28" t="s">
        <v>4130</v>
      </c>
      <c r="B826" s="4" t="s">
        <v>35</v>
      </c>
      <c r="C826" s="4" t="s">
        <v>321</v>
      </c>
      <c r="D826" s="4">
        <v>5405</v>
      </c>
      <c r="E826" s="30">
        <v>232.5</v>
      </c>
      <c r="G826" s="4">
        <v>4300021652</v>
      </c>
      <c r="J826" s="28" t="s">
        <v>761</v>
      </c>
      <c r="K826" s="28" t="s">
        <v>3</v>
      </c>
      <c r="L826" s="32">
        <v>43252</v>
      </c>
      <c r="M826" s="32">
        <f>BCOXT[[#This Row],[INV DOC DATE]]+30</f>
        <v>43282</v>
      </c>
      <c r="N826" s="32">
        <v>43279</v>
      </c>
      <c r="O826" s="31"/>
      <c r="Q826" s="31">
        <f t="shared" si="13"/>
        <v>232.5</v>
      </c>
      <c r="R826" s="53" t="str">
        <f ca="1">IF(TODAY() - BCOXT[INV DUE DATE]&lt;30, "Less than 30 days",IF(TODAY()-BCOXT[INV DUE DATE]&lt;60,"30-60 days","More than 60 days"))</f>
        <v>Less than 30 days</v>
      </c>
      <c r="S826" s="31" t="s">
        <v>812</v>
      </c>
      <c r="T826" s="43"/>
      <c r="U826" s="4" t="s">
        <v>3699</v>
      </c>
    </row>
    <row r="827" spans="1:21" x14ac:dyDescent="0.3">
      <c r="A827" s="28" t="s">
        <v>4130</v>
      </c>
      <c r="B827" s="4" t="s">
        <v>35</v>
      </c>
      <c r="C827" s="4" t="s">
        <v>322</v>
      </c>
      <c r="D827" s="4">
        <v>5405</v>
      </c>
      <c r="E827" s="30">
        <v>232.5</v>
      </c>
      <c r="G827" s="4">
        <v>4300021652</v>
      </c>
      <c r="J827" s="28" t="s">
        <v>762</v>
      </c>
      <c r="K827" s="28" t="s">
        <v>3</v>
      </c>
      <c r="L827" s="32">
        <v>43252</v>
      </c>
      <c r="M827" s="32">
        <f>BCOXT[[#This Row],[INV DOC DATE]]+30</f>
        <v>43282</v>
      </c>
      <c r="N827" s="32">
        <v>43279</v>
      </c>
      <c r="O827" s="31"/>
      <c r="Q827" s="31">
        <f t="shared" si="13"/>
        <v>232.5</v>
      </c>
      <c r="R827" s="53" t="str">
        <f ca="1">IF(TODAY() - BCOXT[INV DUE DATE]&lt;30, "Less than 30 days",IF(TODAY()-BCOXT[INV DUE DATE]&lt;60,"30-60 days","More than 60 days"))</f>
        <v>Less than 30 days</v>
      </c>
      <c r="S827" s="31" t="s">
        <v>812</v>
      </c>
      <c r="T827" s="43"/>
      <c r="U827" s="4" t="s">
        <v>3699</v>
      </c>
    </row>
    <row r="828" spans="1:21" x14ac:dyDescent="0.3">
      <c r="A828" s="28" t="s">
        <v>4130</v>
      </c>
      <c r="B828" s="4" t="s">
        <v>35</v>
      </c>
      <c r="C828" s="4" t="s">
        <v>323</v>
      </c>
      <c r="D828" s="4">
        <v>5405</v>
      </c>
      <c r="E828" s="30">
        <v>240</v>
      </c>
      <c r="G828" s="4">
        <v>4300021652</v>
      </c>
      <c r="J828" s="28" t="s">
        <v>763</v>
      </c>
      <c r="K828" s="28" t="s">
        <v>3</v>
      </c>
      <c r="L828" s="32">
        <v>43252</v>
      </c>
      <c r="M828" s="32">
        <f>BCOXT[[#This Row],[INV DOC DATE]]+30</f>
        <v>43282</v>
      </c>
      <c r="N828" s="32">
        <v>43279</v>
      </c>
      <c r="O828" s="31"/>
      <c r="Q828" s="31">
        <f t="shared" si="13"/>
        <v>240</v>
      </c>
      <c r="R828" s="53" t="str">
        <f ca="1">IF(TODAY() - BCOXT[INV DUE DATE]&lt;30, "Less than 30 days",IF(TODAY()-BCOXT[INV DUE DATE]&lt;60,"30-60 days","More than 60 days"))</f>
        <v>Less than 30 days</v>
      </c>
      <c r="S828" s="31" t="s">
        <v>812</v>
      </c>
      <c r="T828" s="43"/>
      <c r="U828" s="4" t="s">
        <v>3699</v>
      </c>
    </row>
    <row r="829" spans="1:21" x14ac:dyDescent="0.3">
      <c r="A829" s="28" t="s">
        <v>4130</v>
      </c>
      <c r="B829" s="4" t="s">
        <v>35</v>
      </c>
      <c r="C829" s="4" t="s">
        <v>324</v>
      </c>
      <c r="D829" s="4">
        <v>5405</v>
      </c>
      <c r="E829" s="30">
        <v>240</v>
      </c>
      <c r="G829" s="4">
        <v>4300021652</v>
      </c>
      <c r="J829" s="28" t="s">
        <v>764</v>
      </c>
      <c r="K829" s="28" t="s">
        <v>3</v>
      </c>
      <c r="L829" s="32">
        <v>43252</v>
      </c>
      <c r="M829" s="32">
        <f>BCOXT[[#This Row],[INV DOC DATE]]+30</f>
        <v>43282</v>
      </c>
      <c r="N829" s="32">
        <v>43279</v>
      </c>
      <c r="O829" s="31"/>
      <c r="Q829" s="31">
        <f t="shared" si="13"/>
        <v>240</v>
      </c>
      <c r="R829" s="53" t="str">
        <f ca="1">IF(TODAY() - BCOXT[INV DUE DATE]&lt;30, "Less than 30 days",IF(TODAY()-BCOXT[INV DUE DATE]&lt;60,"30-60 days","More than 60 days"))</f>
        <v>Less than 30 days</v>
      </c>
      <c r="S829" s="31" t="s">
        <v>812</v>
      </c>
      <c r="T829" s="43"/>
      <c r="U829" s="4" t="s">
        <v>3699</v>
      </c>
    </row>
    <row r="830" spans="1:21" x14ac:dyDescent="0.3">
      <c r="A830" s="28" t="s">
        <v>4130</v>
      </c>
      <c r="B830" s="4" t="s">
        <v>35</v>
      </c>
      <c r="C830" s="4" t="s">
        <v>325</v>
      </c>
      <c r="D830" s="4">
        <v>5405</v>
      </c>
      <c r="E830" s="30">
        <v>240</v>
      </c>
      <c r="G830" s="4">
        <v>4300021652</v>
      </c>
      <c r="J830" s="28" t="s">
        <v>765</v>
      </c>
      <c r="K830" s="28" t="s">
        <v>3</v>
      </c>
      <c r="L830" s="32">
        <v>43252</v>
      </c>
      <c r="M830" s="32">
        <f>BCOXT[[#This Row],[INV DOC DATE]]+30</f>
        <v>43282</v>
      </c>
      <c r="N830" s="32">
        <v>43279</v>
      </c>
      <c r="O830" s="31"/>
      <c r="Q830" s="31">
        <f t="shared" si="13"/>
        <v>240</v>
      </c>
      <c r="R830" s="53" t="str">
        <f ca="1">IF(TODAY() - BCOXT[INV DUE DATE]&lt;30, "Less than 30 days",IF(TODAY()-BCOXT[INV DUE DATE]&lt;60,"30-60 days","More than 60 days"))</f>
        <v>Less than 30 days</v>
      </c>
      <c r="S830" s="31" t="s">
        <v>812</v>
      </c>
      <c r="T830" s="43"/>
      <c r="U830" s="4" t="s">
        <v>3699</v>
      </c>
    </row>
    <row r="831" spans="1:21" x14ac:dyDescent="0.3">
      <c r="A831" s="28" t="s">
        <v>4130</v>
      </c>
      <c r="B831" s="4" t="s">
        <v>35</v>
      </c>
      <c r="C831" s="4" t="s">
        <v>326</v>
      </c>
      <c r="D831" s="4">
        <v>5405</v>
      </c>
      <c r="E831" s="30">
        <v>240</v>
      </c>
      <c r="G831" s="4">
        <v>4300021652</v>
      </c>
      <c r="J831" s="28" t="s">
        <v>766</v>
      </c>
      <c r="K831" s="28" t="s">
        <v>3</v>
      </c>
      <c r="L831" s="32">
        <v>43252</v>
      </c>
      <c r="M831" s="32">
        <f>BCOXT[[#This Row],[INV DOC DATE]]+30</f>
        <v>43282</v>
      </c>
      <c r="N831" s="32">
        <v>43279</v>
      </c>
      <c r="O831" s="31"/>
      <c r="Q831" s="31">
        <f t="shared" si="13"/>
        <v>240</v>
      </c>
      <c r="R831" s="53" t="str">
        <f ca="1">IF(TODAY() - BCOXT[INV DUE DATE]&lt;30, "Less than 30 days",IF(TODAY()-BCOXT[INV DUE DATE]&lt;60,"30-60 days","More than 60 days"))</f>
        <v>Less than 30 days</v>
      </c>
      <c r="S831" s="31" t="s">
        <v>812</v>
      </c>
      <c r="T831" s="43"/>
      <c r="U831" s="4" t="s">
        <v>3699</v>
      </c>
    </row>
    <row r="832" spans="1:21" x14ac:dyDescent="0.3">
      <c r="A832" s="28" t="s">
        <v>4130</v>
      </c>
      <c r="B832" s="4" t="s">
        <v>35</v>
      </c>
      <c r="C832" s="4" t="s">
        <v>327</v>
      </c>
      <c r="D832" s="4">
        <v>5405</v>
      </c>
      <c r="E832" s="30">
        <v>240</v>
      </c>
      <c r="G832" s="4">
        <v>4300021652</v>
      </c>
      <c r="J832" s="28" t="s">
        <v>767</v>
      </c>
      <c r="K832" s="28" t="s">
        <v>3</v>
      </c>
      <c r="L832" s="32">
        <v>43252</v>
      </c>
      <c r="M832" s="32">
        <f>BCOXT[[#This Row],[INV DOC DATE]]+30</f>
        <v>43282</v>
      </c>
      <c r="N832" s="32">
        <v>43279</v>
      </c>
      <c r="O832" s="31"/>
      <c r="Q832" s="31">
        <f t="shared" si="13"/>
        <v>240</v>
      </c>
      <c r="R832" s="53" t="str">
        <f ca="1">IF(TODAY() - BCOXT[INV DUE DATE]&lt;30, "Less than 30 days",IF(TODAY()-BCOXT[INV DUE DATE]&lt;60,"30-60 days","More than 60 days"))</f>
        <v>Less than 30 days</v>
      </c>
      <c r="S832" s="31" t="s">
        <v>812</v>
      </c>
      <c r="T832" s="43"/>
      <c r="U832" s="4" t="s">
        <v>3699</v>
      </c>
    </row>
    <row r="833" spans="1:21" x14ac:dyDescent="0.3">
      <c r="A833" s="28" t="s">
        <v>4130</v>
      </c>
      <c r="B833" s="4" t="s">
        <v>35</v>
      </c>
      <c r="C833" s="4" t="s">
        <v>328</v>
      </c>
      <c r="D833" s="4">
        <v>5405</v>
      </c>
      <c r="E833" s="30">
        <v>240</v>
      </c>
      <c r="G833" s="4">
        <v>4300021652</v>
      </c>
      <c r="J833" s="28" t="s">
        <v>768</v>
      </c>
      <c r="K833" s="28" t="s">
        <v>3</v>
      </c>
      <c r="L833" s="32">
        <v>43252</v>
      </c>
      <c r="M833" s="32">
        <f>BCOXT[[#This Row],[INV DOC DATE]]+30</f>
        <v>43282</v>
      </c>
      <c r="N833" s="32">
        <v>43279</v>
      </c>
      <c r="O833" s="31"/>
      <c r="Q833" s="31">
        <f t="shared" si="13"/>
        <v>240</v>
      </c>
      <c r="R833" s="53" t="str">
        <f ca="1">IF(TODAY() - BCOXT[INV DUE DATE]&lt;30, "Less than 30 days",IF(TODAY()-BCOXT[INV DUE DATE]&lt;60,"30-60 days","More than 60 days"))</f>
        <v>Less than 30 days</v>
      </c>
      <c r="S833" s="31" t="s">
        <v>812</v>
      </c>
      <c r="T833" s="43"/>
      <c r="U833" s="4" t="s">
        <v>3699</v>
      </c>
    </row>
    <row r="834" spans="1:21" x14ac:dyDescent="0.3">
      <c r="A834" s="28" t="s">
        <v>4130</v>
      </c>
      <c r="B834" s="4" t="s">
        <v>35</v>
      </c>
      <c r="C834" s="4" t="s">
        <v>329</v>
      </c>
      <c r="D834" s="4">
        <v>5405</v>
      </c>
      <c r="E834" s="30">
        <v>240</v>
      </c>
      <c r="G834" s="4">
        <v>4300021652</v>
      </c>
      <c r="J834" s="28" t="s">
        <v>769</v>
      </c>
      <c r="K834" s="28" t="s">
        <v>3</v>
      </c>
      <c r="L834" s="32">
        <v>43252</v>
      </c>
      <c r="M834" s="32">
        <f>BCOXT[[#This Row],[INV DOC DATE]]+30</f>
        <v>43282</v>
      </c>
      <c r="N834" s="32">
        <v>43279</v>
      </c>
      <c r="O834" s="31"/>
      <c r="Q834" s="31">
        <f t="shared" si="13"/>
        <v>240</v>
      </c>
      <c r="R834" s="53" t="str">
        <f ca="1">IF(TODAY() - BCOXT[INV DUE DATE]&lt;30, "Less than 30 days",IF(TODAY()-BCOXT[INV DUE DATE]&lt;60,"30-60 days","More than 60 days"))</f>
        <v>Less than 30 days</v>
      </c>
      <c r="S834" s="31" t="s">
        <v>812</v>
      </c>
      <c r="T834" s="43"/>
      <c r="U834" s="4" t="s">
        <v>3699</v>
      </c>
    </row>
    <row r="835" spans="1:21" x14ac:dyDescent="0.3">
      <c r="A835" s="28" t="s">
        <v>4130</v>
      </c>
      <c r="B835" s="4" t="s">
        <v>35</v>
      </c>
      <c r="C835" s="4" t="s">
        <v>330</v>
      </c>
      <c r="D835" s="4">
        <v>5405</v>
      </c>
      <c r="E835" s="30">
        <v>240</v>
      </c>
      <c r="G835" s="4">
        <v>4300021652</v>
      </c>
      <c r="J835" s="28" t="s">
        <v>770</v>
      </c>
      <c r="K835" s="28" t="s">
        <v>3</v>
      </c>
      <c r="L835" s="32">
        <v>43252</v>
      </c>
      <c r="M835" s="32">
        <f>BCOXT[[#This Row],[INV DOC DATE]]+30</f>
        <v>43282</v>
      </c>
      <c r="N835" s="32">
        <v>43279</v>
      </c>
      <c r="O835" s="31"/>
      <c r="Q835" s="31">
        <f t="shared" si="13"/>
        <v>240</v>
      </c>
      <c r="R835" s="53" t="str">
        <f ca="1">IF(TODAY() - BCOXT[INV DUE DATE]&lt;30, "Less than 30 days",IF(TODAY()-BCOXT[INV DUE DATE]&lt;60,"30-60 days","More than 60 days"))</f>
        <v>Less than 30 days</v>
      </c>
      <c r="S835" s="31" t="s">
        <v>812</v>
      </c>
      <c r="T835" s="43"/>
      <c r="U835" s="4" t="s">
        <v>3699</v>
      </c>
    </row>
    <row r="836" spans="1:21" x14ac:dyDescent="0.3">
      <c r="A836" s="28" t="s">
        <v>4130</v>
      </c>
      <c r="B836" s="4" t="s">
        <v>35</v>
      </c>
      <c r="C836" s="4" t="s">
        <v>331</v>
      </c>
      <c r="D836" s="4">
        <v>5405</v>
      </c>
      <c r="E836" s="30">
        <v>240</v>
      </c>
      <c r="G836" s="4">
        <v>4300021652</v>
      </c>
      <c r="J836" s="28" t="s">
        <v>771</v>
      </c>
      <c r="K836" s="28" t="s">
        <v>3</v>
      </c>
      <c r="L836" s="32">
        <v>43252</v>
      </c>
      <c r="M836" s="32">
        <f>BCOXT[[#This Row],[INV DOC DATE]]+30</f>
        <v>43282</v>
      </c>
      <c r="N836" s="32">
        <v>43279</v>
      </c>
      <c r="O836" s="31"/>
      <c r="Q836" s="31">
        <f t="shared" si="13"/>
        <v>240</v>
      </c>
      <c r="R836" s="53" t="str">
        <f ca="1">IF(TODAY() - BCOXT[INV DUE DATE]&lt;30, "Less than 30 days",IF(TODAY()-BCOXT[INV DUE DATE]&lt;60,"30-60 days","More than 60 days"))</f>
        <v>Less than 30 days</v>
      </c>
      <c r="S836" s="31" t="s">
        <v>812</v>
      </c>
      <c r="T836" s="43"/>
      <c r="U836" s="4" t="s">
        <v>3699</v>
      </c>
    </row>
    <row r="837" spans="1:21" x14ac:dyDescent="0.3">
      <c r="A837" s="28" t="s">
        <v>4130</v>
      </c>
      <c r="B837" s="4" t="s">
        <v>35</v>
      </c>
      <c r="C837" s="4" t="s">
        <v>332</v>
      </c>
      <c r="D837" s="4">
        <v>5405</v>
      </c>
      <c r="E837" s="30">
        <v>240</v>
      </c>
      <c r="G837" s="4">
        <v>4300021652</v>
      </c>
      <c r="J837" s="28" t="s">
        <v>772</v>
      </c>
      <c r="K837" s="28" t="s">
        <v>3</v>
      </c>
      <c r="L837" s="32">
        <v>43252</v>
      </c>
      <c r="M837" s="32">
        <f>BCOXT[[#This Row],[INV DOC DATE]]+30</f>
        <v>43282</v>
      </c>
      <c r="N837" s="32">
        <v>43279</v>
      </c>
      <c r="O837" s="31"/>
      <c r="Q837" s="31">
        <f t="shared" si="13"/>
        <v>240</v>
      </c>
      <c r="R837" s="53" t="str">
        <f ca="1">IF(TODAY() - BCOXT[INV DUE DATE]&lt;30, "Less than 30 days",IF(TODAY()-BCOXT[INV DUE DATE]&lt;60,"30-60 days","More than 60 days"))</f>
        <v>Less than 30 days</v>
      </c>
      <c r="S837" s="31" t="s">
        <v>812</v>
      </c>
      <c r="T837" s="43"/>
      <c r="U837" s="4" t="s">
        <v>3699</v>
      </c>
    </row>
    <row r="838" spans="1:21" x14ac:dyDescent="0.3">
      <c r="A838" s="28" t="s">
        <v>4130</v>
      </c>
      <c r="B838" s="4" t="s">
        <v>35</v>
      </c>
      <c r="C838" s="4" t="s">
        <v>333</v>
      </c>
      <c r="D838" s="4">
        <v>5405</v>
      </c>
      <c r="E838" s="30">
        <v>240</v>
      </c>
      <c r="G838" s="4">
        <v>4300021652</v>
      </c>
      <c r="J838" s="28" t="s">
        <v>773</v>
      </c>
      <c r="K838" s="28" t="s">
        <v>3</v>
      </c>
      <c r="L838" s="32">
        <v>43252</v>
      </c>
      <c r="M838" s="32">
        <f>BCOXT[[#This Row],[INV DOC DATE]]+30</f>
        <v>43282</v>
      </c>
      <c r="N838" s="32">
        <v>43279</v>
      </c>
      <c r="O838" s="31"/>
      <c r="Q838" s="31">
        <f t="shared" si="13"/>
        <v>240</v>
      </c>
      <c r="R838" s="53" t="str">
        <f ca="1">IF(TODAY() - BCOXT[INV DUE DATE]&lt;30, "Less than 30 days",IF(TODAY()-BCOXT[INV DUE DATE]&lt;60,"30-60 days","More than 60 days"))</f>
        <v>Less than 30 days</v>
      </c>
      <c r="S838" s="31" t="s">
        <v>812</v>
      </c>
      <c r="T838" s="43"/>
      <c r="U838" s="4" t="s">
        <v>3699</v>
      </c>
    </row>
    <row r="839" spans="1:21" x14ac:dyDescent="0.3">
      <c r="A839" s="28" t="s">
        <v>4130</v>
      </c>
      <c r="B839" s="4" t="s">
        <v>35</v>
      </c>
      <c r="C839" s="4" t="s">
        <v>334</v>
      </c>
      <c r="D839" s="4">
        <v>5405</v>
      </c>
      <c r="E839" s="30">
        <v>240</v>
      </c>
      <c r="G839" s="4">
        <v>4300021652</v>
      </c>
      <c r="J839" s="28" t="s">
        <v>774</v>
      </c>
      <c r="K839" s="28" t="s">
        <v>3</v>
      </c>
      <c r="L839" s="32">
        <v>43252</v>
      </c>
      <c r="M839" s="32">
        <f>BCOXT[[#This Row],[INV DOC DATE]]+30</f>
        <v>43282</v>
      </c>
      <c r="N839" s="32">
        <v>43279</v>
      </c>
      <c r="O839" s="31"/>
      <c r="Q839" s="31">
        <f t="shared" si="13"/>
        <v>240</v>
      </c>
      <c r="R839" s="53" t="str">
        <f ca="1">IF(TODAY() - BCOXT[INV DUE DATE]&lt;30, "Less than 30 days",IF(TODAY()-BCOXT[INV DUE DATE]&lt;60,"30-60 days","More than 60 days"))</f>
        <v>Less than 30 days</v>
      </c>
      <c r="S839" s="31" t="s">
        <v>812</v>
      </c>
      <c r="T839" s="43"/>
      <c r="U839" s="4" t="s">
        <v>3699</v>
      </c>
    </row>
    <row r="840" spans="1:21" x14ac:dyDescent="0.3">
      <c r="A840" s="28" t="s">
        <v>4130</v>
      </c>
      <c r="B840" s="4" t="s">
        <v>35</v>
      </c>
      <c r="C840" s="4" t="s">
        <v>335</v>
      </c>
      <c r="D840" s="4">
        <v>5405</v>
      </c>
      <c r="E840" s="30">
        <v>240</v>
      </c>
      <c r="G840" s="4">
        <v>4300021652</v>
      </c>
      <c r="J840" s="28" t="s">
        <v>775</v>
      </c>
      <c r="K840" s="28" t="s">
        <v>3</v>
      </c>
      <c r="L840" s="32">
        <v>43252</v>
      </c>
      <c r="M840" s="32">
        <f>BCOXT[[#This Row],[INV DOC DATE]]+30</f>
        <v>43282</v>
      </c>
      <c r="N840" s="32">
        <v>43279</v>
      </c>
      <c r="O840" s="31"/>
      <c r="Q840" s="31">
        <f t="shared" si="13"/>
        <v>240</v>
      </c>
      <c r="R840" s="53" t="str">
        <f ca="1">IF(TODAY() - BCOXT[INV DUE DATE]&lt;30, "Less than 30 days",IF(TODAY()-BCOXT[INV DUE DATE]&lt;60,"30-60 days","More than 60 days"))</f>
        <v>Less than 30 days</v>
      </c>
      <c r="S840" s="31" t="s">
        <v>812</v>
      </c>
      <c r="T840" s="43"/>
      <c r="U840" s="4" t="s">
        <v>3699</v>
      </c>
    </row>
    <row r="841" spans="1:21" x14ac:dyDescent="0.3">
      <c r="A841" s="28" t="s">
        <v>4130</v>
      </c>
      <c r="B841" s="4" t="s">
        <v>35</v>
      </c>
      <c r="C841" s="4" t="s">
        <v>336</v>
      </c>
      <c r="D841" s="4">
        <v>5405</v>
      </c>
      <c r="E841" s="30">
        <v>240</v>
      </c>
      <c r="G841" s="4">
        <v>4300021652</v>
      </c>
      <c r="J841" s="28" t="s">
        <v>776</v>
      </c>
      <c r="K841" s="28" t="s">
        <v>3</v>
      </c>
      <c r="L841" s="32">
        <v>43252</v>
      </c>
      <c r="M841" s="32">
        <f>BCOXT[[#This Row],[INV DOC DATE]]+30</f>
        <v>43282</v>
      </c>
      <c r="N841" s="32">
        <v>43279</v>
      </c>
      <c r="O841" s="31"/>
      <c r="Q841" s="31">
        <f t="shared" si="13"/>
        <v>240</v>
      </c>
      <c r="R841" s="53" t="str">
        <f ca="1">IF(TODAY() - BCOXT[INV DUE DATE]&lt;30, "Less than 30 days",IF(TODAY()-BCOXT[INV DUE DATE]&lt;60,"30-60 days","More than 60 days"))</f>
        <v>Less than 30 days</v>
      </c>
      <c r="S841" s="31" t="s">
        <v>812</v>
      </c>
      <c r="T841" s="43"/>
      <c r="U841" s="4" t="s">
        <v>3699</v>
      </c>
    </row>
    <row r="842" spans="1:21" x14ac:dyDescent="0.3">
      <c r="A842" s="28" t="s">
        <v>4130</v>
      </c>
      <c r="B842" s="4" t="s">
        <v>35</v>
      </c>
      <c r="C842" s="4" t="s">
        <v>337</v>
      </c>
      <c r="D842" s="4">
        <v>5405</v>
      </c>
      <c r="E842" s="30">
        <v>240</v>
      </c>
      <c r="G842" s="4">
        <v>4300021652</v>
      </c>
      <c r="J842" s="28" t="s">
        <v>777</v>
      </c>
      <c r="K842" s="28" t="s">
        <v>3</v>
      </c>
      <c r="L842" s="32">
        <v>43252</v>
      </c>
      <c r="M842" s="32">
        <f>BCOXT[[#This Row],[INV DOC DATE]]+30</f>
        <v>43282</v>
      </c>
      <c r="N842" s="32">
        <v>43279</v>
      </c>
      <c r="O842" s="31"/>
      <c r="Q842" s="31">
        <f t="shared" si="13"/>
        <v>240</v>
      </c>
      <c r="R842" s="53" t="str">
        <f ca="1">IF(TODAY() - BCOXT[INV DUE DATE]&lt;30, "Less than 30 days",IF(TODAY()-BCOXT[INV DUE DATE]&lt;60,"30-60 days","More than 60 days"))</f>
        <v>Less than 30 days</v>
      </c>
      <c r="S842" s="31" t="s">
        <v>812</v>
      </c>
      <c r="T842" s="43"/>
      <c r="U842" s="4" t="s">
        <v>3699</v>
      </c>
    </row>
    <row r="843" spans="1:21" x14ac:dyDescent="0.3">
      <c r="A843" s="28" t="s">
        <v>4130</v>
      </c>
      <c r="B843" s="4" t="s">
        <v>35</v>
      </c>
      <c r="C843" s="4" t="s">
        <v>338</v>
      </c>
      <c r="D843" s="4">
        <v>5405</v>
      </c>
      <c r="E843" s="30">
        <v>240</v>
      </c>
      <c r="G843" s="4">
        <v>4300021652</v>
      </c>
      <c r="J843" s="28" t="s">
        <v>778</v>
      </c>
      <c r="K843" s="28" t="s">
        <v>3</v>
      </c>
      <c r="L843" s="32">
        <v>43252</v>
      </c>
      <c r="M843" s="32">
        <f>BCOXT[[#This Row],[INV DOC DATE]]+30</f>
        <v>43282</v>
      </c>
      <c r="N843" s="32">
        <v>43279</v>
      </c>
      <c r="O843" s="31"/>
      <c r="Q843" s="31">
        <f t="shared" si="13"/>
        <v>240</v>
      </c>
      <c r="R843" s="53" t="str">
        <f ca="1">IF(TODAY() - BCOXT[INV DUE DATE]&lt;30, "Less than 30 days",IF(TODAY()-BCOXT[INV DUE DATE]&lt;60,"30-60 days","More than 60 days"))</f>
        <v>Less than 30 days</v>
      </c>
      <c r="S843" s="31" t="s">
        <v>812</v>
      </c>
      <c r="T843" s="43"/>
      <c r="U843" s="4" t="s">
        <v>3699</v>
      </c>
    </row>
    <row r="844" spans="1:21" x14ac:dyDescent="0.3">
      <c r="A844" s="28" t="s">
        <v>4130</v>
      </c>
      <c r="B844" s="4" t="s">
        <v>35</v>
      </c>
      <c r="C844" s="4" t="s">
        <v>339</v>
      </c>
      <c r="D844" s="4">
        <v>5405</v>
      </c>
      <c r="E844" s="30">
        <v>240</v>
      </c>
      <c r="G844" s="4">
        <v>4300021652</v>
      </c>
      <c r="J844" s="28" t="s">
        <v>779</v>
      </c>
      <c r="K844" s="28" t="s">
        <v>3</v>
      </c>
      <c r="L844" s="32">
        <v>43252</v>
      </c>
      <c r="M844" s="32">
        <f>BCOXT[[#This Row],[INV DOC DATE]]+30</f>
        <v>43282</v>
      </c>
      <c r="N844" s="32">
        <v>43279</v>
      </c>
      <c r="O844" s="31"/>
      <c r="Q844" s="31">
        <f t="shared" si="13"/>
        <v>240</v>
      </c>
      <c r="R844" s="53" t="str">
        <f ca="1">IF(TODAY() - BCOXT[INV DUE DATE]&lt;30, "Less than 30 days",IF(TODAY()-BCOXT[INV DUE DATE]&lt;60,"30-60 days","More than 60 days"))</f>
        <v>Less than 30 days</v>
      </c>
      <c r="S844" s="31" t="s">
        <v>812</v>
      </c>
      <c r="T844" s="43"/>
      <c r="U844" s="4" t="s">
        <v>3699</v>
      </c>
    </row>
    <row r="845" spans="1:21" x14ac:dyDescent="0.3">
      <c r="A845" s="28" t="s">
        <v>4130</v>
      </c>
      <c r="B845" s="4" t="s">
        <v>35</v>
      </c>
      <c r="C845" s="4" t="s">
        <v>340</v>
      </c>
      <c r="D845" s="4">
        <v>5405</v>
      </c>
      <c r="E845" s="30">
        <v>240</v>
      </c>
      <c r="G845" s="4">
        <v>4300021652</v>
      </c>
      <c r="J845" s="28" t="s">
        <v>780</v>
      </c>
      <c r="K845" s="28" t="s">
        <v>3</v>
      </c>
      <c r="L845" s="32">
        <v>43252</v>
      </c>
      <c r="M845" s="32">
        <f>BCOXT[[#This Row],[INV DOC DATE]]+30</f>
        <v>43282</v>
      </c>
      <c r="N845" s="32">
        <v>43279</v>
      </c>
      <c r="O845" s="31"/>
      <c r="Q845" s="31">
        <f t="shared" si="13"/>
        <v>240</v>
      </c>
      <c r="R845" s="53" t="str">
        <f ca="1">IF(TODAY() - BCOXT[INV DUE DATE]&lt;30, "Less than 30 days",IF(TODAY()-BCOXT[INV DUE DATE]&lt;60,"30-60 days","More than 60 days"))</f>
        <v>Less than 30 days</v>
      </c>
      <c r="S845" s="31" t="s">
        <v>812</v>
      </c>
      <c r="T845" s="43"/>
      <c r="U845" s="4" t="s">
        <v>3699</v>
      </c>
    </row>
    <row r="846" spans="1:21" x14ac:dyDescent="0.3">
      <c r="A846" s="28" t="s">
        <v>4130</v>
      </c>
      <c r="B846" s="4" t="s">
        <v>35</v>
      </c>
      <c r="C846" s="4" t="s">
        <v>341</v>
      </c>
      <c r="D846" s="4">
        <v>5405</v>
      </c>
      <c r="E846" s="30">
        <v>240</v>
      </c>
      <c r="G846" s="4">
        <v>4300021652</v>
      </c>
      <c r="J846" s="28" t="s">
        <v>781</v>
      </c>
      <c r="K846" s="28" t="s">
        <v>3</v>
      </c>
      <c r="L846" s="32">
        <v>43252</v>
      </c>
      <c r="M846" s="32">
        <f>BCOXT[[#This Row],[INV DOC DATE]]+30</f>
        <v>43282</v>
      </c>
      <c r="N846" s="32">
        <v>43279</v>
      </c>
      <c r="O846" s="31"/>
      <c r="Q846" s="31">
        <f t="shared" si="13"/>
        <v>240</v>
      </c>
      <c r="R846" s="53" t="str">
        <f ca="1">IF(TODAY() - BCOXT[INV DUE DATE]&lt;30, "Less than 30 days",IF(TODAY()-BCOXT[INV DUE DATE]&lt;60,"30-60 days","More than 60 days"))</f>
        <v>Less than 30 days</v>
      </c>
      <c r="S846" s="31" t="s">
        <v>812</v>
      </c>
      <c r="T846" s="43"/>
      <c r="U846" s="4" t="s">
        <v>3699</v>
      </c>
    </row>
    <row r="847" spans="1:21" x14ac:dyDescent="0.3">
      <c r="A847" s="28" t="s">
        <v>4130</v>
      </c>
      <c r="B847" s="4" t="s">
        <v>35</v>
      </c>
      <c r="C847" s="4" t="s">
        <v>342</v>
      </c>
      <c r="D847" s="4">
        <v>5405</v>
      </c>
      <c r="E847" s="30">
        <v>240</v>
      </c>
      <c r="G847" s="4">
        <v>4300021652</v>
      </c>
      <c r="J847" s="28" t="s">
        <v>782</v>
      </c>
      <c r="K847" s="28" t="s">
        <v>3</v>
      </c>
      <c r="L847" s="32">
        <v>43252</v>
      </c>
      <c r="M847" s="32">
        <f>BCOXT[[#This Row],[INV DOC DATE]]+30</f>
        <v>43282</v>
      </c>
      <c r="N847" s="32">
        <v>43279</v>
      </c>
      <c r="O847" s="31"/>
      <c r="Q847" s="31">
        <f t="shared" si="13"/>
        <v>240</v>
      </c>
      <c r="R847" s="53" t="str">
        <f ca="1">IF(TODAY() - BCOXT[INV DUE DATE]&lt;30, "Less than 30 days",IF(TODAY()-BCOXT[INV DUE DATE]&lt;60,"30-60 days","More than 60 days"))</f>
        <v>Less than 30 days</v>
      </c>
      <c r="S847" s="31" t="s">
        <v>812</v>
      </c>
      <c r="T847" s="43"/>
      <c r="U847" s="4" t="s">
        <v>3699</v>
      </c>
    </row>
    <row r="848" spans="1:21" x14ac:dyDescent="0.3">
      <c r="A848" s="28" t="s">
        <v>4130</v>
      </c>
      <c r="B848" s="4" t="s">
        <v>35</v>
      </c>
      <c r="C848" s="4" t="s">
        <v>343</v>
      </c>
      <c r="D848" s="4">
        <v>5405</v>
      </c>
      <c r="E848" s="30">
        <v>240</v>
      </c>
      <c r="G848" s="4">
        <v>4300021652</v>
      </c>
      <c r="J848" s="28" t="s">
        <v>783</v>
      </c>
      <c r="K848" s="28" t="s">
        <v>3</v>
      </c>
      <c r="L848" s="32">
        <v>43252</v>
      </c>
      <c r="M848" s="32">
        <f>BCOXT[[#This Row],[INV DOC DATE]]+30</f>
        <v>43282</v>
      </c>
      <c r="N848" s="32">
        <v>43279</v>
      </c>
      <c r="O848" s="31"/>
      <c r="Q848" s="31">
        <f t="shared" si="13"/>
        <v>240</v>
      </c>
      <c r="R848" s="53" t="str">
        <f ca="1">IF(TODAY() - BCOXT[INV DUE DATE]&lt;30, "Less than 30 days",IF(TODAY()-BCOXT[INV DUE DATE]&lt;60,"30-60 days","More than 60 days"))</f>
        <v>Less than 30 days</v>
      </c>
      <c r="S848" s="31" t="s">
        <v>812</v>
      </c>
      <c r="T848" s="43"/>
      <c r="U848" s="4" t="s">
        <v>3699</v>
      </c>
    </row>
    <row r="849" spans="1:21" x14ac:dyDescent="0.3">
      <c r="A849" s="28" t="s">
        <v>4130</v>
      </c>
      <c r="B849" s="4" t="s">
        <v>35</v>
      </c>
      <c r="C849" s="4" t="s">
        <v>344</v>
      </c>
      <c r="D849" s="4">
        <v>5405</v>
      </c>
      <c r="E849" s="30">
        <v>240</v>
      </c>
      <c r="G849" s="4">
        <v>4300021652</v>
      </c>
      <c r="J849" s="28" t="s">
        <v>784</v>
      </c>
      <c r="K849" s="28" t="s">
        <v>3</v>
      </c>
      <c r="L849" s="32">
        <v>43252</v>
      </c>
      <c r="M849" s="32">
        <f>BCOXT[[#This Row],[INV DOC DATE]]+30</f>
        <v>43282</v>
      </c>
      <c r="N849" s="32">
        <v>43279</v>
      </c>
      <c r="O849" s="31"/>
      <c r="Q849" s="31">
        <f t="shared" si="13"/>
        <v>240</v>
      </c>
      <c r="R849" s="53" t="str">
        <f ca="1">IF(TODAY() - BCOXT[INV DUE DATE]&lt;30, "Less than 30 days",IF(TODAY()-BCOXT[INV DUE DATE]&lt;60,"30-60 days","More than 60 days"))</f>
        <v>Less than 30 days</v>
      </c>
      <c r="S849" s="31" t="s">
        <v>812</v>
      </c>
      <c r="T849" s="43"/>
      <c r="U849" s="4" t="s">
        <v>3699</v>
      </c>
    </row>
    <row r="850" spans="1:21" x14ac:dyDescent="0.3">
      <c r="A850" s="28" t="s">
        <v>4130</v>
      </c>
      <c r="B850" s="4" t="s">
        <v>35</v>
      </c>
      <c r="C850" s="4" t="s">
        <v>345</v>
      </c>
      <c r="D850" s="4">
        <v>5405</v>
      </c>
      <c r="E850" s="30">
        <v>240</v>
      </c>
      <c r="G850" s="4">
        <v>4300021652</v>
      </c>
      <c r="J850" s="28" t="s">
        <v>785</v>
      </c>
      <c r="K850" s="28" t="s">
        <v>3</v>
      </c>
      <c r="L850" s="32">
        <v>43252</v>
      </c>
      <c r="M850" s="32">
        <f>BCOXT[[#This Row],[INV DOC DATE]]+30</f>
        <v>43282</v>
      </c>
      <c r="N850" s="32">
        <v>43279</v>
      </c>
      <c r="O850" s="31"/>
      <c r="Q850" s="31">
        <f t="shared" si="13"/>
        <v>240</v>
      </c>
      <c r="R850" s="53" t="str">
        <f ca="1">IF(TODAY() - BCOXT[INV DUE DATE]&lt;30, "Less than 30 days",IF(TODAY()-BCOXT[INV DUE DATE]&lt;60,"30-60 days","More than 60 days"))</f>
        <v>Less than 30 days</v>
      </c>
      <c r="S850" s="31" t="s">
        <v>812</v>
      </c>
      <c r="T850" s="43"/>
      <c r="U850" s="4" t="s">
        <v>3699</v>
      </c>
    </row>
    <row r="851" spans="1:21" x14ac:dyDescent="0.3">
      <c r="A851" s="28" t="s">
        <v>4130</v>
      </c>
      <c r="B851" s="4" t="s">
        <v>35</v>
      </c>
      <c r="C851" s="4" t="s">
        <v>346</v>
      </c>
      <c r="D851" s="4">
        <v>5405</v>
      </c>
      <c r="E851" s="30">
        <v>240</v>
      </c>
      <c r="G851" s="4">
        <v>4300021652</v>
      </c>
      <c r="J851" s="28" t="s">
        <v>786</v>
      </c>
      <c r="K851" s="28" t="s">
        <v>3</v>
      </c>
      <c r="L851" s="32">
        <v>43252</v>
      </c>
      <c r="M851" s="32">
        <f>BCOXT[[#This Row],[INV DOC DATE]]+30</f>
        <v>43282</v>
      </c>
      <c r="N851" s="32">
        <v>43279</v>
      </c>
      <c r="O851" s="31"/>
      <c r="Q851" s="31">
        <f t="shared" si="13"/>
        <v>240</v>
      </c>
      <c r="R851" s="53" t="str">
        <f ca="1">IF(TODAY() - BCOXT[INV DUE DATE]&lt;30, "Less than 30 days",IF(TODAY()-BCOXT[INV DUE DATE]&lt;60,"30-60 days","More than 60 days"))</f>
        <v>Less than 30 days</v>
      </c>
      <c r="S851" s="31" t="s">
        <v>812</v>
      </c>
      <c r="T851" s="43"/>
      <c r="U851" s="4" t="s">
        <v>3699</v>
      </c>
    </row>
    <row r="852" spans="1:21" x14ac:dyDescent="0.3">
      <c r="A852" s="28" t="s">
        <v>4130</v>
      </c>
      <c r="B852" s="4" t="s">
        <v>35</v>
      </c>
      <c r="C852" s="4" t="s">
        <v>557</v>
      </c>
      <c r="D852" s="4">
        <v>5405</v>
      </c>
      <c r="E852" s="30">
        <v>240</v>
      </c>
      <c r="G852" s="4">
        <v>4300021652</v>
      </c>
      <c r="J852" s="28" t="s">
        <v>787</v>
      </c>
      <c r="K852" s="28" t="s">
        <v>3</v>
      </c>
      <c r="L852" s="32">
        <v>43252</v>
      </c>
      <c r="M852" s="32">
        <f>BCOXT[[#This Row],[INV DOC DATE]]+30</f>
        <v>43282</v>
      </c>
      <c r="N852" s="32">
        <v>43279</v>
      </c>
      <c r="O852" s="31"/>
      <c r="Q852" s="31">
        <f t="shared" ref="Q852:Q873" si="14">$E852-$O852</f>
        <v>240</v>
      </c>
      <c r="R852" s="53" t="str">
        <f ca="1">IF(TODAY() - BCOXT[INV DUE DATE]&lt;30, "Less than 30 days",IF(TODAY()-BCOXT[INV DUE DATE]&lt;60,"30-60 days","More than 60 days"))</f>
        <v>Less than 30 days</v>
      </c>
      <c r="S852" s="31" t="s">
        <v>812</v>
      </c>
      <c r="T852" s="43"/>
      <c r="U852" s="4" t="s">
        <v>3699</v>
      </c>
    </row>
    <row r="853" spans="1:21" x14ac:dyDescent="0.3">
      <c r="A853" s="28" t="s">
        <v>4130</v>
      </c>
      <c r="B853" s="4" t="s">
        <v>35</v>
      </c>
      <c r="C853" s="4" t="s">
        <v>558</v>
      </c>
      <c r="D853" s="4">
        <v>5405</v>
      </c>
      <c r="E853" s="30">
        <v>240</v>
      </c>
      <c r="G853" s="4">
        <v>4300021652</v>
      </c>
      <c r="J853" s="28" t="s">
        <v>788</v>
      </c>
      <c r="K853" s="28" t="s">
        <v>3</v>
      </c>
      <c r="L853" s="32">
        <v>43252</v>
      </c>
      <c r="M853" s="32">
        <f>BCOXT[[#This Row],[INV DOC DATE]]+30</f>
        <v>43282</v>
      </c>
      <c r="N853" s="32">
        <v>43279</v>
      </c>
      <c r="O853" s="31"/>
      <c r="Q853" s="31">
        <f t="shared" si="14"/>
        <v>240</v>
      </c>
      <c r="R853" s="53" t="str">
        <f ca="1">IF(TODAY() - BCOXT[INV DUE DATE]&lt;30, "Less than 30 days",IF(TODAY()-BCOXT[INV DUE DATE]&lt;60,"30-60 days","More than 60 days"))</f>
        <v>Less than 30 days</v>
      </c>
      <c r="S853" s="31" t="s">
        <v>812</v>
      </c>
      <c r="T853" s="43"/>
      <c r="U853" s="4" t="s">
        <v>3699</v>
      </c>
    </row>
    <row r="854" spans="1:21" x14ac:dyDescent="0.3">
      <c r="A854" s="28" t="s">
        <v>4130</v>
      </c>
      <c r="B854" s="4" t="s">
        <v>35</v>
      </c>
      <c r="C854" s="4" t="s">
        <v>559</v>
      </c>
      <c r="D854" s="4">
        <v>5405</v>
      </c>
      <c r="E854" s="30">
        <v>240</v>
      </c>
      <c r="G854" s="4">
        <v>4300021652</v>
      </c>
      <c r="J854" s="28" t="s">
        <v>789</v>
      </c>
      <c r="K854" s="28" t="s">
        <v>3</v>
      </c>
      <c r="L854" s="32">
        <v>43252</v>
      </c>
      <c r="M854" s="32">
        <f>BCOXT[[#This Row],[INV DOC DATE]]+30</f>
        <v>43282</v>
      </c>
      <c r="N854" s="32">
        <v>43279</v>
      </c>
      <c r="O854" s="31"/>
      <c r="Q854" s="31">
        <f t="shared" si="14"/>
        <v>240</v>
      </c>
      <c r="R854" s="53" t="str">
        <f ca="1">IF(TODAY() - BCOXT[INV DUE DATE]&lt;30, "Less than 30 days",IF(TODAY()-BCOXT[INV DUE DATE]&lt;60,"30-60 days","More than 60 days"))</f>
        <v>Less than 30 days</v>
      </c>
      <c r="S854" s="31" t="s">
        <v>812</v>
      </c>
      <c r="T854" s="43"/>
      <c r="U854" s="4" t="s">
        <v>3699</v>
      </c>
    </row>
    <row r="855" spans="1:21" x14ac:dyDescent="0.3">
      <c r="A855" s="28" t="s">
        <v>4130</v>
      </c>
      <c r="B855" s="4" t="s">
        <v>35</v>
      </c>
      <c r="C855" s="4" t="s">
        <v>560</v>
      </c>
      <c r="D855" s="4">
        <v>5405</v>
      </c>
      <c r="E855" s="30">
        <v>240</v>
      </c>
      <c r="G855" s="4">
        <v>4300021652</v>
      </c>
      <c r="J855" s="28" t="s">
        <v>790</v>
      </c>
      <c r="K855" s="28" t="s">
        <v>3</v>
      </c>
      <c r="L855" s="32">
        <v>43252</v>
      </c>
      <c r="M855" s="32">
        <f>BCOXT[[#This Row],[INV DOC DATE]]+30</f>
        <v>43282</v>
      </c>
      <c r="N855" s="32">
        <v>43279</v>
      </c>
      <c r="O855" s="31"/>
      <c r="Q855" s="31">
        <f t="shared" si="14"/>
        <v>240</v>
      </c>
      <c r="R855" s="53" t="str">
        <f ca="1">IF(TODAY() - BCOXT[INV DUE DATE]&lt;30, "Less than 30 days",IF(TODAY()-BCOXT[INV DUE DATE]&lt;60,"30-60 days","More than 60 days"))</f>
        <v>Less than 30 days</v>
      </c>
      <c r="S855" s="31" t="s">
        <v>812</v>
      </c>
      <c r="T855" s="43"/>
      <c r="U855" s="4" t="s">
        <v>3699</v>
      </c>
    </row>
    <row r="856" spans="1:21" x14ac:dyDescent="0.3">
      <c r="A856" s="28" t="s">
        <v>4130</v>
      </c>
      <c r="B856" s="4" t="s">
        <v>35</v>
      </c>
      <c r="C856" s="4" t="s">
        <v>561</v>
      </c>
      <c r="D856" s="4">
        <v>5405</v>
      </c>
      <c r="E856" s="30">
        <v>240</v>
      </c>
      <c r="G856" s="4">
        <v>4300021652</v>
      </c>
      <c r="J856" s="28" t="s">
        <v>791</v>
      </c>
      <c r="K856" s="28" t="s">
        <v>3</v>
      </c>
      <c r="L856" s="32">
        <v>43252</v>
      </c>
      <c r="M856" s="32">
        <f>BCOXT[[#This Row],[INV DOC DATE]]+30</f>
        <v>43282</v>
      </c>
      <c r="N856" s="32">
        <v>43279</v>
      </c>
      <c r="O856" s="31"/>
      <c r="Q856" s="31">
        <f t="shared" si="14"/>
        <v>240</v>
      </c>
      <c r="R856" s="53" t="str">
        <f ca="1">IF(TODAY() - BCOXT[INV DUE DATE]&lt;30, "Less than 30 days",IF(TODAY()-BCOXT[INV DUE DATE]&lt;60,"30-60 days","More than 60 days"))</f>
        <v>Less than 30 days</v>
      </c>
      <c r="S856" s="31" t="s">
        <v>812</v>
      </c>
      <c r="T856" s="43"/>
      <c r="U856" s="4" t="s">
        <v>3699</v>
      </c>
    </row>
    <row r="857" spans="1:21" x14ac:dyDescent="0.3">
      <c r="A857" s="28" t="s">
        <v>4130</v>
      </c>
      <c r="B857" s="4" t="s">
        <v>35</v>
      </c>
      <c r="C857" s="4" t="s">
        <v>562</v>
      </c>
      <c r="D857" s="4">
        <v>5405</v>
      </c>
      <c r="E857" s="30">
        <v>240</v>
      </c>
      <c r="G857" s="4">
        <v>4300021652</v>
      </c>
      <c r="J857" s="28" t="s">
        <v>792</v>
      </c>
      <c r="K857" s="28" t="s">
        <v>3</v>
      </c>
      <c r="L857" s="32">
        <v>43252</v>
      </c>
      <c r="M857" s="32">
        <f>BCOXT[[#This Row],[INV DOC DATE]]+30</f>
        <v>43282</v>
      </c>
      <c r="N857" s="32">
        <v>43279</v>
      </c>
      <c r="O857" s="31"/>
      <c r="Q857" s="31">
        <f t="shared" si="14"/>
        <v>240</v>
      </c>
      <c r="R857" s="53" t="str">
        <f ca="1">IF(TODAY() - BCOXT[INV DUE DATE]&lt;30, "Less than 30 days",IF(TODAY()-BCOXT[INV DUE DATE]&lt;60,"30-60 days","More than 60 days"))</f>
        <v>Less than 30 days</v>
      </c>
      <c r="S857" s="31" t="s">
        <v>812</v>
      </c>
      <c r="T857" s="43"/>
      <c r="U857" s="4" t="s">
        <v>3699</v>
      </c>
    </row>
    <row r="858" spans="1:21" x14ac:dyDescent="0.3">
      <c r="A858" s="28" t="s">
        <v>4130</v>
      </c>
      <c r="B858" s="4" t="s">
        <v>35</v>
      </c>
      <c r="C858" s="4" t="s">
        <v>563</v>
      </c>
      <c r="D858" s="4">
        <v>5405</v>
      </c>
      <c r="E858" s="30">
        <v>240</v>
      </c>
      <c r="G858" s="4">
        <v>4300021652</v>
      </c>
      <c r="J858" s="28" t="s">
        <v>793</v>
      </c>
      <c r="K858" s="28" t="s">
        <v>3</v>
      </c>
      <c r="L858" s="32">
        <v>43252</v>
      </c>
      <c r="M858" s="32">
        <f>BCOXT[[#This Row],[INV DOC DATE]]+30</f>
        <v>43282</v>
      </c>
      <c r="N858" s="32">
        <v>43279</v>
      </c>
      <c r="O858" s="31"/>
      <c r="Q858" s="31">
        <f t="shared" si="14"/>
        <v>240</v>
      </c>
      <c r="R858" s="53" t="str">
        <f ca="1">IF(TODAY() - BCOXT[INV DUE DATE]&lt;30, "Less than 30 days",IF(TODAY()-BCOXT[INV DUE DATE]&lt;60,"30-60 days","More than 60 days"))</f>
        <v>Less than 30 days</v>
      </c>
      <c r="S858" s="31" t="s">
        <v>812</v>
      </c>
      <c r="T858" s="43"/>
      <c r="U858" s="4" t="s">
        <v>3699</v>
      </c>
    </row>
    <row r="859" spans="1:21" x14ac:dyDescent="0.3">
      <c r="A859" s="28" t="s">
        <v>4130</v>
      </c>
      <c r="B859" s="4" t="s">
        <v>35</v>
      </c>
      <c r="C859" s="4" t="s">
        <v>564</v>
      </c>
      <c r="D859" s="4">
        <v>5405</v>
      </c>
      <c r="E859" s="30">
        <v>240</v>
      </c>
      <c r="G859" s="4">
        <v>4300021652</v>
      </c>
      <c r="J859" s="28" t="s">
        <v>794</v>
      </c>
      <c r="K859" s="28" t="s">
        <v>3</v>
      </c>
      <c r="L859" s="32">
        <v>43252</v>
      </c>
      <c r="M859" s="32">
        <f>BCOXT[[#This Row],[INV DOC DATE]]+30</f>
        <v>43282</v>
      </c>
      <c r="N859" s="32">
        <v>43279</v>
      </c>
      <c r="O859" s="31"/>
      <c r="Q859" s="31">
        <f t="shared" si="14"/>
        <v>240</v>
      </c>
      <c r="R859" s="53" t="str">
        <f ca="1">IF(TODAY() - BCOXT[INV DUE DATE]&lt;30, "Less than 30 days",IF(TODAY()-BCOXT[INV DUE DATE]&lt;60,"30-60 days","More than 60 days"))</f>
        <v>Less than 30 days</v>
      </c>
      <c r="S859" s="31" t="s">
        <v>812</v>
      </c>
      <c r="T859" s="43"/>
      <c r="U859" s="4" t="s">
        <v>3699</v>
      </c>
    </row>
    <row r="860" spans="1:21" x14ac:dyDescent="0.3">
      <c r="A860" s="28" t="s">
        <v>4130</v>
      </c>
      <c r="B860" s="4" t="s">
        <v>35</v>
      </c>
      <c r="C860" s="4" t="s">
        <v>565</v>
      </c>
      <c r="D860" s="4">
        <v>5405</v>
      </c>
      <c r="E860" s="30">
        <v>240</v>
      </c>
      <c r="G860" s="4">
        <v>4300021652</v>
      </c>
      <c r="J860" s="28" t="s">
        <v>795</v>
      </c>
      <c r="K860" s="28" t="s">
        <v>3</v>
      </c>
      <c r="L860" s="32">
        <v>43252</v>
      </c>
      <c r="M860" s="32">
        <f>BCOXT[[#This Row],[INV DOC DATE]]+30</f>
        <v>43282</v>
      </c>
      <c r="N860" s="32">
        <v>43279</v>
      </c>
      <c r="O860" s="31"/>
      <c r="Q860" s="31">
        <f t="shared" si="14"/>
        <v>240</v>
      </c>
      <c r="R860" s="53" t="str">
        <f ca="1">IF(TODAY() - BCOXT[INV DUE DATE]&lt;30, "Less than 30 days",IF(TODAY()-BCOXT[INV DUE DATE]&lt;60,"30-60 days","More than 60 days"))</f>
        <v>Less than 30 days</v>
      </c>
      <c r="S860" s="31" t="s">
        <v>812</v>
      </c>
      <c r="T860" s="43"/>
      <c r="U860" s="4" t="s">
        <v>3699</v>
      </c>
    </row>
    <row r="861" spans="1:21" x14ac:dyDescent="0.3">
      <c r="A861" s="28" t="s">
        <v>4130</v>
      </c>
      <c r="B861" s="4" t="s">
        <v>35</v>
      </c>
      <c r="C861" s="4" t="s">
        <v>566</v>
      </c>
      <c r="D861" s="4">
        <v>5405</v>
      </c>
      <c r="E861" s="30">
        <v>486</v>
      </c>
      <c r="G861" s="4">
        <v>4300021652</v>
      </c>
      <c r="J861" s="28" t="s">
        <v>796</v>
      </c>
      <c r="K861" s="28" t="s">
        <v>3</v>
      </c>
      <c r="L861" s="32">
        <v>43252</v>
      </c>
      <c r="M861" s="32">
        <f>BCOXT[[#This Row],[INV DOC DATE]]+30</f>
        <v>43282</v>
      </c>
      <c r="N861" s="32">
        <v>43279</v>
      </c>
      <c r="O861" s="31"/>
      <c r="Q861" s="31">
        <f t="shared" si="14"/>
        <v>486</v>
      </c>
      <c r="R861" s="53" t="str">
        <f ca="1">IF(TODAY() - BCOXT[INV DUE DATE]&lt;30, "Less than 30 days",IF(TODAY()-BCOXT[INV DUE DATE]&lt;60,"30-60 days","More than 60 days"))</f>
        <v>Less than 30 days</v>
      </c>
      <c r="S861" s="31" t="s">
        <v>812</v>
      </c>
      <c r="T861" s="43"/>
      <c r="U861" s="4" t="s">
        <v>3699</v>
      </c>
    </row>
    <row r="862" spans="1:21" x14ac:dyDescent="0.3">
      <c r="A862" s="28" t="s">
        <v>4130</v>
      </c>
      <c r="B862" s="4" t="s">
        <v>35</v>
      </c>
      <c r="C862" s="4" t="s">
        <v>567</v>
      </c>
      <c r="D862" s="4">
        <v>5405</v>
      </c>
      <c r="E862" s="30">
        <v>240</v>
      </c>
      <c r="G862" s="4">
        <v>4300021652</v>
      </c>
      <c r="J862" s="28" t="s">
        <v>798</v>
      </c>
      <c r="K862" s="28" t="s">
        <v>3</v>
      </c>
      <c r="L862" s="32">
        <v>43252</v>
      </c>
      <c r="M862" s="32">
        <f>BCOXT[[#This Row],[INV DOC DATE]]+30</f>
        <v>43282</v>
      </c>
      <c r="N862" s="32">
        <v>43279</v>
      </c>
      <c r="O862" s="31"/>
      <c r="Q862" s="31">
        <f t="shared" si="14"/>
        <v>240</v>
      </c>
      <c r="R862" s="53" t="str">
        <f ca="1">IF(TODAY() - BCOXT[INV DUE DATE]&lt;30, "Less than 30 days",IF(TODAY()-BCOXT[INV DUE DATE]&lt;60,"30-60 days","More than 60 days"))</f>
        <v>Less than 30 days</v>
      </c>
      <c r="S862" s="31" t="s">
        <v>812</v>
      </c>
      <c r="T862" s="43"/>
      <c r="U862" s="4" t="s">
        <v>3699</v>
      </c>
    </row>
    <row r="863" spans="1:21" x14ac:dyDescent="0.3">
      <c r="A863" s="28" t="s">
        <v>4130</v>
      </c>
      <c r="B863" s="4" t="s">
        <v>35</v>
      </c>
      <c r="C863" s="4" t="s">
        <v>568</v>
      </c>
      <c r="D863" s="4">
        <v>5405</v>
      </c>
      <c r="E863" s="30">
        <v>240</v>
      </c>
      <c r="G863" s="4">
        <v>4300021652</v>
      </c>
      <c r="J863" s="28" t="s">
        <v>799</v>
      </c>
      <c r="K863" s="28" t="s">
        <v>3</v>
      </c>
      <c r="L863" s="32">
        <v>43252</v>
      </c>
      <c r="M863" s="32">
        <f>BCOXT[[#This Row],[INV DOC DATE]]+30</f>
        <v>43282</v>
      </c>
      <c r="N863" s="32">
        <v>43279</v>
      </c>
      <c r="O863" s="31"/>
      <c r="Q863" s="31">
        <f t="shared" si="14"/>
        <v>240</v>
      </c>
      <c r="R863" s="53" t="str">
        <f ca="1">IF(TODAY() - BCOXT[INV DUE DATE]&lt;30, "Less than 30 days",IF(TODAY()-BCOXT[INV DUE DATE]&lt;60,"30-60 days","More than 60 days"))</f>
        <v>Less than 30 days</v>
      </c>
      <c r="S863" s="31" t="s">
        <v>812</v>
      </c>
      <c r="T863" s="43"/>
      <c r="U863" s="4" t="s">
        <v>3699</v>
      </c>
    </row>
    <row r="864" spans="1:21" x14ac:dyDescent="0.3">
      <c r="A864" s="28" t="s">
        <v>4130</v>
      </c>
      <c r="B864" s="4" t="s">
        <v>35</v>
      </c>
      <c r="C864" s="4" t="s">
        <v>569</v>
      </c>
      <c r="D864" s="4">
        <v>5405</v>
      </c>
      <c r="E864" s="30">
        <v>240</v>
      </c>
      <c r="G864" s="4">
        <v>4300021652</v>
      </c>
      <c r="J864" s="28" t="s">
        <v>800</v>
      </c>
      <c r="K864" s="28" t="s">
        <v>3</v>
      </c>
      <c r="L864" s="32">
        <v>43252</v>
      </c>
      <c r="M864" s="32">
        <f>BCOXT[[#This Row],[INV DOC DATE]]+30</f>
        <v>43282</v>
      </c>
      <c r="N864" s="32">
        <v>43279</v>
      </c>
      <c r="O864" s="31"/>
      <c r="Q864" s="31">
        <f t="shared" si="14"/>
        <v>240</v>
      </c>
      <c r="R864" s="53" t="str">
        <f ca="1">IF(TODAY() - BCOXT[INV DUE DATE]&lt;30, "Less than 30 days",IF(TODAY()-BCOXT[INV DUE DATE]&lt;60,"30-60 days","More than 60 days"))</f>
        <v>Less than 30 days</v>
      </c>
      <c r="S864" s="31" t="s">
        <v>812</v>
      </c>
      <c r="T864" s="43"/>
      <c r="U864" s="4" t="s">
        <v>3699</v>
      </c>
    </row>
    <row r="865" spans="1:21" x14ac:dyDescent="0.3">
      <c r="A865" s="28" t="s">
        <v>4130</v>
      </c>
      <c r="B865" s="4" t="s">
        <v>35</v>
      </c>
      <c r="C865" s="4" t="s">
        <v>570</v>
      </c>
      <c r="D865" s="4">
        <v>5405</v>
      </c>
      <c r="E865" s="30">
        <v>240</v>
      </c>
      <c r="G865" s="4">
        <v>4300021652</v>
      </c>
      <c r="J865" s="28" t="s">
        <v>801</v>
      </c>
      <c r="K865" s="28" t="s">
        <v>3</v>
      </c>
      <c r="L865" s="32">
        <v>43252</v>
      </c>
      <c r="M865" s="32">
        <f>BCOXT[[#This Row],[INV DOC DATE]]+30</f>
        <v>43282</v>
      </c>
      <c r="N865" s="32">
        <v>43279</v>
      </c>
      <c r="O865" s="31"/>
      <c r="Q865" s="31">
        <f t="shared" si="14"/>
        <v>240</v>
      </c>
      <c r="R865" s="53" t="str">
        <f ca="1">IF(TODAY() - BCOXT[INV DUE DATE]&lt;30, "Less than 30 days",IF(TODAY()-BCOXT[INV DUE DATE]&lt;60,"30-60 days","More than 60 days"))</f>
        <v>Less than 30 days</v>
      </c>
      <c r="S865" s="31" t="s">
        <v>812</v>
      </c>
      <c r="T865" s="43"/>
      <c r="U865" s="4" t="s">
        <v>3699</v>
      </c>
    </row>
    <row r="866" spans="1:21" x14ac:dyDescent="0.3">
      <c r="A866" s="28" t="s">
        <v>4130</v>
      </c>
      <c r="B866" s="4" t="s">
        <v>35</v>
      </c>
      <c r="C866" s="4" t="s">
        <v>571</v>
      </c>
      <c r="D866" s="4">
        <v>5405</v>
      </c>
      <c r="E866" s="30">
        <v>240</v>
      </c>
      <c r="G866" s="4">
        <v>4300021652</v>
      </c>
      <c r="J866" s="28" t="s">
        <v>802</v>
      </c>
      <c r="K866" s="28" t="s">
        <v>3</v>
      </c>
      <c r="L866" s="32">
        <v>43252</v>
      </c>
      <c r="M866" s="32">
        <f>BCOXT[[#This Row],[INV DOC DATE]]+30</f>
        <v>43282</v>
      </c>
      <c r="N866" s="32">
        <v>43279</v>
      </c>
      <c r="O866" s="31"/>
      <c r="Q866" s="31">
        <f t="shared" si="14"/>
        <v>240</v>
      </c>
      <c r="R866" s="53" t="str">
        <f ca="1">IF(TODAY() - BCOXT[INV DUE DATE]&lt;30, "Less than 30 days",IF(TODAY()-BCOXT[INV DUE DATE]&lt;60,"30-60 days","More than 60 days"))</f>
        <v>Less than 30 days</v>
      </c>
      <c r="S866" s="31" t="s">
        <v>812</v>
      </c>
      <c r="T866" s="43"/>
      <c r="U866" s="4" t="s">
        <v>3699</v>
      </c>
    </row>
    <row r="867" spans="1:21" x14ac:dyDescent="0.3">
      <c r="A867" s="28" t="s">
        <v>4130</v>
      </c>
      <c r="B867" s="4" t="s">
        <v>35</v>
      </c>
      <c r="C867" s="4" t="s">
        <v>572</v>
      </c>
      <c r="D867" s="4">
        <v>5405</v>
      </c>
      <c r="E867" s="30">
        <v>240</v>
      </c>
      <c r="G867" s="4">
        <v>4300021652</v>
      </c>
      <c r="J867" s="28" t="s">
        <v>803</v>
      </c>
      <c r="K867" s="28" t="s">
        <v>3</v>
      </c>
      <c r="L867" s="32">
        <v>43252</v>
      </c>
      <c r="M867" s="32">
        <f>BCOXT[[#This Row],[INV DOC DATE]]+30</f>
        <v>43282</v>
      </c>
      <c r="N867" s="32">
        <v>43279</v>
      </c>
      <c r="O867" s="31"/>
      <c r="Q867" s="31">
        <f t="shared" si="14"/>
        <v>240</v>
      </c>
      <c r="R867" s="53" t="str">
        <f ca="1">IF(TODAY() - BCOXT[INV DUE DATE]&lt;30, "Less than 30 days",IF(TODAY()-BCOXT[INV DUE DATE]&lt;60,"30-60 days","More than 60 days"))</f>
        <v>Less than 30 days</v>
      </c>
      <c r="S867" s="31" t="s">
        <v>812</v>
      </c>
      <c r="T867" s="43"/>
      <c r="U867" s="4" t="s">
        <v>3699</v>
      </c>
    </row>
    <row r="868" spans="1:21" x14ac:dyDescent="0.3">
      <c r="A868" s="28" t="s">
        <v>4130</v>
      </c>
      <c r="B868" s="4" t="s">
        <v>35</v>
      </c>
      <c r="C868" s="4" t="s">
        <v>573</v>
      </c>
      <c r="D868" s="4">
        <v>5405</v>
      </c>
      <c r="E868" s="30">
        <v>240</v>
      </c>
      <c r="G868" s="4">
        <v>4300021652</v>
      </c>
      <c r="J868" s="28" t="s">
        <v>804</v>
      </c>
      <c r="K868" s="28" t="s">
        <v>3</v>
      </c>
      <c r="L868" s="32">
        <v>43252</v>
      </c>
      <c r="M868" s="32">
        <f>BCOXT[[#This Row],[INV DOC DATE]]+30</f>
        <v>43282</v>
      </c>
      <c r="N868" s="32">
        <v>43279</v>
      </c>
      <c r="O868" s="31"/>
      <c r="Q868" s="31">
        <f t="shared" si="14"/>
        <v>240</v>
      </c>
      <c r="R868" s="53" t="str">
        <f ca="1">IF(TODAY() - BCOXT[INV DUE DATE]&lt;30, "Less than 30 days",IF(TODAY()-BCOXT[INV DUE DATE]&lt;60,"30-60 days","More than 60 days"))</f>
        <v>Less than 30 days</v>
      </c>
      <c r="S868" s="31" t="s">
        <v>812</v>
      </c>
      <c r="T868" s="43"/>
      <c r="U868" s="4" t="s">
        <v>3699</v>
      </c>
    </row>
    <row r="869" spans="1:21" x14ac:dyDescent="0.3">
      <c r="A869" s="28" t="s">
        <v>4130</v>
      </c>
      <c r="B869" s="4" t="s">
        <v>35</v>
      </c>
      <c r="C869" s="4" t="s">
        <v>574</v>
      </c>
      <c r="D869" s="4">
        <v>5405</v>
      </c>
      <c r="E869" s="30">
        <v>240</v>
      </c>
      <c r="G869" s="4">
        <v>4300021652</v>
      </c>
      <c r="J869" s="28" t="s">
        <v>805</v>
      </c>
      <c r="K869" s="28" t="s">
        <v>3</v>
      </c>
      <c r="L869" s="32">
        <v>43252</v>
      </c>
      <c r="M869" s="32">
        <f>BCOXT[[#This Row],[INV DOC DATE]]+30</f>
        <v>43282</v>
      </c>
      <c r="N869" s="32">
        <v>43279</v>
      </c>
      <c r="O869" s="31"/>
      <c r="Q869" s="31">
        <f t="shared" si="14"/>
        <v>240</v>
      </c>
      <c r="R869" s="53" t="str">
        <f ca="1">IF(TODAY() - BCOXT[INV DUE DATE]&lt;30, "Less than 30 days",IF(TODAY()-BCOXT[INV DUE DATE]&lt;60,"30-60 days","More than 60 days"))</f>
        <v>Less than 30 days</v>
      </c>
      <c r="S869" s="31" t="s">
        <v>812</v>
      </c>
      <c r="T869" s="43"/>
      <c r="U869" s="4" t="s">
        <v>3699</v>
      </c>
    </row>
    <row r="870" spans="1:21" x14ac:dyDescent="0.3">
      <c r="A870" s="28" t="s">
        <v>4130</v>
      </c>
      <c r="B870" s="4" t="s">
        <v>35</v>
      </c>
      <c r="C870" s="4" t="s">
        <v>575</v>
      </c>
      <c r="D870" s="4">
        <v>5405</v>
      </c>
      <c r="E870" s="30">
        <v>240</v>
      </c>
      <c r="G870" s="4">
        <v>4300021652</v>
      </c>
      <c r="J870" s="28" t="s">
        <v>806</v>
      </c>
      <c r="K870" s="28" t="s">
        <v>3</v>
      </c>
      <c r="L870" s="32">
        <v>43252</v>
      </c>
      <c r="M870" s="32">
        <f>BCOXT[[#This Row],[INV DOC DATE]]+30</f>
        <v>43282</v>
      </c>
      <c r="N870" s="32">
        <v>43279</v>
      </c>
      <c r="O870" s="31"/>
      <c r="Q870" s="31">
        <f t="shared" si="14"/>
        <v>240</v>
      </c>
      <c r="R870" s="53" t="str">
        <f ca="1">IF(TODAY() - BCOXT[INV DUE DATE]&lt;30, "Less than 30 days",IF(TODAY()-BCOXT[INV DUE DATE]&lt;60,"30-60 days","More than 60 days"))</f>
        <v>Less than 30 days</v>
      </c>
      <c r="S870" s="31" t="s">
        <v>812</v>
      </c>
      <c r="T870" s="43"/>
      <c r="U870" s="4" t="s">
        <v>3699</v>
      </c>
    </row>
    <row r="871" spans="1:21" x14ac:dyDescent="0.3">
      <c r="A871" s="28" t="s">
        <v>4130</v>
      </c>
      <c r="B871" s="4" t="s">
        <v>35</v>
      </c>
      <c r="C871" s="4" t="s">
        <v>576</v>
      </c>
      <c r="D871" s="4">
        <v>5405</v>
      </c>
      <c r="E871" s="30">
        <v>240</v>
      </c>
      <c r="G871" s="4">
        <v>4300021652</v>
      </c>
      <c r="J871" s="28" t="s">
        <v>807</v>
      </c>
      <c r="K871" s="28" t="s">
        <v>3</v>
      </c>
      <c r="L871" s="32">
        <v>43252</v>
      </c>
      <c r="M871" s="32">
        <f>BCOXT[[#This Row],[INV DOC DATE]]+30</f>
        <v>43282</v>
      </c>
      <c r="N871" s="32">
        <v>43279</v>
      </c>
      <c r="O871" s="31"/>
      <c r="Q871" s="31">
        <f t="shared" si="14"/>
        <v>240</v>
      </c>
      <c r="R871" s="53" t="str">
        <f ca="1">IF(TODAY() - BCOXT[INV DUE DATE]&lt;30, "Less than 30 days",IF(TODAY()-BCOXT[INV DUE DATE]&lt;60,"30-60 days","More than 60 days"))</f>
        <v>Less than 30 days</v>
      </c>
      <c r="S871" s="31" t="s">
        <v>812</v>
      </c>
      <c r="T871" s="43"/>
      <c r="U871" s="4" t="s">
        <v>3699</v>
      </c>
    </row>
    <row r="872" spans="1:21" x14ac:dyDescent="0.3">
      <c r="A872" s="28" t="s">
        <v>4130</v>
      </c>
      <c r="B872" s="4" t="s">
        <v>35</v>
      </c>
      <c r="C872" s="4" t="s">
        <v>577</v>
      </c>
      <c r="D872" s="4">
        <v>5405</v>
      </c>
      <c r="E872" s="30">
        <v>240</v>
      </c>
      <c r="G872" s="4">
        <v>4300021652</v>
      </c>
      <c r="J872" s="28" t="s">
        <v>808</v>
      </c>
      <c r="K872" s="28" t="s">
        <v>3</v>
      </c>
      <c r="L872" s="32">
        <v>43252</v>
      </c>
      <c r="M872" s="32">
        <f>BCOXT[[#This Row],[INV DOC DATE]]+30</f>
        <v>43282</v>
      </c>
      <c r="N872" s="32">
        <v>43279</v>
      </c>
      <c r="O872" s="31"/>
      <c r="Q872" s="31">
        <f t="shared" si="14"/>
        <v>240</v>
      </c>
      <c r="R872" s="53" t="str">
        <f ca="1">IF(TODAY() - BCOXT[INV DUE DATE]&lt;30, "Less than 30 days",IF(TODAY()-BCOXT[INV DUE DATE]&lt;60,"30-60 days","More than 60 days"))</f>
        <v>Less than 30 days</v>
      </c>
      <c r="S872" s="31" t="s">
        <v>812</v>
      </c>
      <c r="T872" s="43"/>
      <c r="U872" s="4" t="s">
        <v>3699</v>
      </c>
    </row>
    <row r="873" spans="1:21" x14ac:dyDescent="0.3">
      <c r="A873" s="28" t="s">
        <v>4130</v>
      </c>
      <c r="B873" s="4" t="s">
        <v>35</v>
      </c>
      <c r="C873" s="4" t="s">
        <v>578</v>
      </c>
      <c r="D873" s="4">
        <v>5405</v>
      </c>
      <c r="E873" s="30">
        <v>240</v>
      </c>
      <c r="G873" s="4">
        <v>4300021652</v>
      </c>
      <c r="J873" s="28" t="s">
        <v>809</v>
      </c>
      <c r="K873" s="28" t="s">
        <v>3</v>
      </c>
      <c r="L873" s="32">
        <v>43252</v>
      </c>
      <c r="M873" s="32">
        <f>BCOXT[[#This Row],[INV DOC DATE]]+30</f>
        <v>43282</v>
      </c>
      <c r="N873" s="32">
        <v>43279</v>
      </c>
      <c r="O873" s="31"/>
      <c r="Q873" s="31">
        <f t="shared" si="14"/>
        <v>240</v>
      </c>
      <c r="R873" s="53" t="str">
        <f ca="1">IF(TODAY() - BCOXT[INV DUE DATE]&lt;30, "Less than 30 days",IF(TODAY()-BCOXT[INV DUE DATE]&lt;60,"30-60 days","More than 60 days"))</f>
        <v>Less than 30 days</v>
      </c>
      <c r="S873" s="31" t="s">
        <v>812</v>
      </c>
      <c r="T873" s="43"/>
      <c r="U873" s="4" t="s">
        <v>3699</v>
      </c>
    </row>
    <row r="874" spans="1:21" x14ac:dyDescent="0.3">
      <c r="A874" s="28" t="s">
        <v>4164</v>
      </c>
      <c r="B874" s="4" t="s">
        <v>35</v>
      </c>
      <c r="D874" s="4" t="s">
        <v>2685</v>
      </c>
      <c r="E874" s="30">
        <v>1164</v>
      </c>
      <c r="G874" s="4">
        <v>4320249581</v>
      </c>
      <c r="J874" s="28" t="s">
        <v>2257</v>
      </c>
      <c r="K874" s="28" t="s">
        <v>3</v>
      </c>
      <c r="L874" s="32">
        <v>43252</v>
      </c>
      <c r="M874" s="32">
        <f>BCOXT[[#This Row],[INV DOC DATE]]+30</f>
        <v>43282</v>
      </c>
      <c r="N874" s="32">
        <v>43279</v>
      </c>
      <c r="O874" s="31"/>
      <c r="Q874" s="31">
        <f>$E874-$O874</f>
        <v>1164</v>
      </c>
      <c r="R874" s="53" t="str">
        <f ca="1">IF(TODAY() - BCOXT[INV DUE DATE]&lt;30, "Less than 30 days",IF(TODAY()-BCOXT[INV DUE DATE]&lt;60,"30-60 days","More than 60 days"))</f>
        <v>Less than 30 days</v>
      </c>
      <c r="S874" s="31" t="s">
        <v>812</v>
      </c>
      <c r="T874" s="43"/>
      <c r="U874" s="4" t="s">
        <v>3699</v>
      </c>
    </row>
    <row r="875" spans="1:21" x14ac:dyDescent="0.3">
      <c r="A875" s="28" t="s">
        <v>5138</v>
      </c>
      <c r="B875" s="4" t="s">
        <v>35</v>
      </c>
      <c r="D875" s="4" t="s">
        <v>2685</v>
      </c>
      <c r="E875" s="30">
        <v>1202.8</v>
      </c>
      <c r="G875" s="4">
        <v>4320249581</v>
      </c>
      <c r="J875" s="28" t="s">
        <v>2257</v>
      </c>
      <c r="K875" s="28" t="s">
        <v>3</v>
      </c>
      <c r="L875" s="32">
        <v>43282</v>
      </c>
      <c r="M875" s="32">
        <f>BCOXT[[#This Row],[INV DOC DATE]]+30</f>
        <v>43312</v>
      </c>
      <c r="N875" s="32">
        <v>43301</v>
      </c>
      <c r="O875" s="31"/>
      <c r="Q875" s="31">
        <f>$E875-$O875</f>
        <v>1202.8</v>
      </c>
      <c r="R875" s="53" t="str">
        <f ca="1">IF(TODAY() - BCOXT[INV DUE DATE]&lt;30, "Less than 30 days",IF(TODAY()-BCOXT[INV DUE DATE]&lt;60,"30-60 days","More than 60 days"))</f>
        <v>Less than 30 days</v>
      </c>
      <c r="S875" s="31" t="s">
        <v>812</v>
      </c>
      <c r="T875" s="43"/>
      <c r="U875" s="4" t="s">
        <v>3699</v>
      </c>
    </row>
    <row r="877" spans="1:21" x14ac:dyDescent="0.3">
      <c r="A877" s="4"/>
      <c r="B877" s="28"/>
      <c r="C877" s="28"/>
      <c r="E877" s="4"/>
      <c r="H877" s="102"/>
      <c r="J877" s="53"/>
      <c r="K877" s="31"/>
      <c r="P877" s="4"/>
      <c r="R877" s="4"/>
      <c r="S877" s="4"/>
    </row>
    <row r="878" spans="1:21" x14ac:dyDescent="0.3">
      <c r="A878" s="4"/>
      <c r="B878" s="28"/>
      <c r="C878" s="28"/>
      <c r="E878" s="4"/>
      <c r="H878" s="102"/>
      <c r="J878" s="53"/>
      <c r="K878" s="31"/>
      <c r="P878" s="4"/>
      <c r="R878" s="4"/>
      <c r="S878" s="4"/>
    </row>
  </sheetData>
  <pageMargins left="0.7" right="0.7" top="0.75" bottom="0.75" header="0.3" footer="0.3"/>
  <pageSetup orientation="portrait" horizontalDpi="200" verticalDpi="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16"/>
  <sheetViews>
    <sheetView zoomScale="90" zoomScaleNormal="90" workbookViewId="0">
      <pane ySplit="1" topLeftCell="A94" activePane="bottomLeft" state="frozen"/>
      <selection pane="bottomLeft" activeCell="A116" sqref="A116"/>
    </sheetView>
  </sheetViews>
  <sheetFormatPr defaultRowHeight="14.4" x14ac:dyDescent="0.3"/>
  <cols>
    <col min="1" max="1" width="12.33203125" bestFit="1" customWidth="1"/>
    <col min="2" max="2" width="11.109375" bestFit="1" customWidth="1"/>
    <col min="3" max="3" width="4.21875" bestFit="1" customWidth="1"/>
    <col min="4" max="4" width="15.88671875" bestFit="1" customWidth="1"/>
    <col min="5" max="5" width="14.5546875" style="40" bestFit="1" customWidth="1"/>
    <col min="6" max="6" width="3.44140625" bestFit="1" customWidth="1"/>
    <col min="7" max="7" width="12.77734375" style="52" bestFit="1" customWidth="1"/>
    <col min="8" max="8" width="3.33203125" bestFit="1" customWidth="1"/>
    <col min="9" max="9" width="6.6640625" bestFit="1" customWidth="1"/>
    <col min="10" max="10" width="14.5546875" bestFit="1" customWidth="1"/>
    <col min="11" max="11" width="14.6640625" bestFit="1" customWidth="1"/>
    <col min="12" max="12" width="13.77734375" style="2" bestFit="1" customWidth="1"/>
    <col min="13" max="13" width="13.5546875" style="2" bestFit="1" customWidth="1"/>
    <col min="14" max="14" width="13.109375" style="2" bestFit="1" customWidth="1"/>
    <col min="15" max="15" width="12.6640625" style="5" bestFit="1" customWidth="1"/>
    <col min="16" max="16" width="14.88671875" style="5" bestFit="1" customWidth="1"/>
    <col min="17" max="17" width="18.88671875" style="5" bestFit="1" customWidth="1"/>
    <col min="18" max="18" width="17.5546875" style="5" bestFit="1" customWidth="1"/>
    <col min="19" max="19" width="8.6640625" bestFit="1" customWidth="1"/>
    <col min="20" max="20" width="7.88671875" style="43" bestFit="1" customWidth="1"/>
    <col min="21" max="21" width="16.77734375" bestFit="1" customWidth="1"/>
    <col min="245" max="245" width="15.77734375" bestFit="1" customWidth="1"/>
    <col min="246" max="246" width="15.88671875" bestFit="1" customWidth="1"/>
    <col min="247" max="247" width="9.88671875" bestFit="1" customWidth="1"/>
    <col min="248" max="248" width="10.5546875" bestFit="1" customWidth="1"/>
    <col min="249" max="249" width="13.44140625" bestFit="1" customWidth="1"/>
    <col min="250" max="250" width="10.44140625" bestFit="1" customWidth="1"/>
    <col min="251" max="251" width="8.109375" bestFit="1" customWidth="1"/>
    <col min="252" max="252" width="16.44140625" bestFit="1" customWidth="1"/>
    <col min="253" max="253" width="9.5546875" bestFit="1" customWidth="1"/>
    <col min="254" max="254" width="7" bestFit="1" customWidth="1"/>
    <col min="255" max="255" width="33.109375" bestFit="1" customWidth="1"/>
    <col min="256" max="256" width="17.5546875" bestFit="1" customWidth="1"/>
    <col min="257" max="257" width="11.33203125" bestFit="1" customWidth="1"/>
    <col min="258" max="258" width="5" bestFit="1" customWidth="1"/>
    <col min="259" max="259" width="9.5546875" bestFit="1" customWidth="1"/>
    <col min="260" max="260" width="6.6640625" bestFit="1" customWidth="1"/>
    <col min="262" max="262" width="8.44140625" bestFit="1" customWidth="1"/>
    <col min="263" max="263" width="5.44140625" bestFit="1" customWidth="1"/>
    <col min="264" max="264" width="14.33203125" bestFit="1" customWidth="1"/>
    <col min="265" max="265" width="20.5546875" bestFit="1" customWidth="1"/>
    <col min="266" max="266" width="17.33203125" bestFit="1" customWidth="1"/>
    <col min="267" max="267" width="13.88671875" bestFit="1" customWidth="1"/>
    <col min="268" max="268" width="12.6640625" bestFit="1" customWidth="1"/>
    <col min="269" max="269" width="6.88671875" bestFit="1" customWidth="1"/>
    <col min="501" max="501" width="15.77734375" bestFit="1" customWidth="1"/>
    <col min="502" max="502" width="15.88671875" bestFit="1" customWidth="1"/>
    <col min="503" max="503" width="9.88671875" bestFit="1" customWidth="1"/>
    <col min="504" max="504" width="10.5546875" bestFit="1" customWidth="1"/>
    <col min="505" max="505" width="13.44140625" bestFit="1" customWidth="1"/>
    <col min="506" max="506" width="10.44140625" bestFit="1" customWidth="1"/>
    <col min="507" max="507" width="8.109375" bestFit="1" customWidth="1"/>
    <col min="508" max="508" width="16.44140625" bestFit="1" customWidth="1"/>
    <col min="509" max="509" width="9.5546875" bestFit="1" customWidth="1"/>
    <col min="510" max="510" width="7" bestFit="1" customWidth="1"/>
    <col min="511" max="511" width="33.109375" bestFit="1" customWidth="1"/>
    <col min="512" max="512" width="17.5546875" bestFit="1" customWidth="1"/>
    <col min="513" max="513" width="11.33203125" bestFit="1" customWidth="1"/>
    <col min="514" max="514" width="5" bestFit="1" customWidth="1"/>
    <col min="515" max="515" width="9.5546875" bestFit="1" customWidth="1"/>
    <col min="516" max="516" width="6.6640625" bestFit="1" customWidth="1"/>
    <col min="518" max="518" width="8.44140625" bestFit="1" customWidth="1"/>
    <col min="519" max="519" width="5.44140625" bestFit="1" customWidth="1"/>
    <col min="520" max="520" width="14.33203125" bestFit="1" customWidth="1"/>
    <col min="521" max="521" width="20.5546875" bestFit="1" customWidth="1"/>
    <col min="522" max="522" width="17.33203125" bestFit="1" customWidth="1"/>
    <col min="523" max="523" width="13.88671875" bestFit="1" customWidth="1"/>
    <col min="524" max="524" width="12.6640625" bestFit="1" customWidth="1"/>
    <col min="525" max="525" width="6.88671875" bestFit="1" customWidth="1"/>
    <col min="757" max="757" width="15.77734375" bestFit="1" customWidth="1"/>
    <col min="758" max="758" width="15.88671875" bestFit="1" customWidth="1"/>
    <col min="759" max="759" width="9.88671875" bestFit="1" customWidth="1"/>
    <col min="760" max="760" width="10.5546875" bestFit="1" customWidth="1"/>
    <col min="761" max="761" width="13.44140625" bestFit="1" customWidth="1"/>
    <col min="762" max="762" width="10.44140625" bestFit="1" customWidth="1"/>
    <col min="763" max="763" width="8.109375" bestFit="1" customWidth="1"/>
    <col min="764" max="764" width="16.44140625" bestFit="1" customWidth="1"/>
    <col min="765" max="765" width="9.5546875" bestFit="1" customWidth="1"/>
    <col min="766" max="766" width="7" bestFit="1" customWidth="1"/>
    <col min="767" max="767" width="33.109375" bestFit="1" customWidth="1"/>
    <col min="768" max="768" width="17.5546875" bestFit="1" customWidth="1"/>
    <col min="769" max="769" width="11.33203125" bestFit="1" customWidth="1"/>
    <col min="770" max="770" width="5" bestFit="1" customWidth="1"/>
    <col min="771" max="771" width="9.5546875" bestFit="1" customWidth="1"/>
    <col min="772" max="772" width="6.6640625" bestFit="1" customWidth="1"/>
    <col min="774" max="774" width="8.44140625" bestFit="1" customWidth="1"/>
    <col min="775" max="775" width="5.44140625" bestFit="1" customWidth="1"/>
    <col min="776" max="776" width="14.33203125" bestFit="1" customWidth="1"/>
    <col min="777" max="777" width="20.5546875" bestFit="1" customWidth="1"/>
    <col min="778" max="778" width="17.33203125" bestFit="1" customWidth="1"/>
    <col min="779" max="779" width="13.88671875" bestFit="1" customWidth="1"/>
    <col min="780" max="780" width="12.6640625" bestFit="1" customWidth="1"/>
    <col min="781" max="781" width="6.88671875" bestFit="1" customWidth="1"/>
    <col min="1013" max="1013" width="15.77734375" bestFit="1" customWidth="1"/>
    <col min="1014" max="1014" width="15.88671875" bestFit="1" customWidth="1"/>
    <col min="1015" max="1015" width="9.88671875" bestFit="1" customWidth="1"/>
    <col min="1016" max="1016" width="10.5546875" bestFit="1" customWidth="1"/>
    <col min="1017" max="1017" width="13.44140625" bestFit="1" customWidth="1"/>
    <col min="1018" max="1018" width="10.44140625" bestFit="1" customWidth="1"/>
    <col min="1019" max="1019" width="8.109375" bestFit="1" customWidth="1"/>
    <col min="1020" max="1020" width="16.44140625" bestFit="1" customWidth="1"/>
    <col min="1021" max="1021" width="9.5546875" bestFit="1" customWidth="1"/>
    <col min="1022" max="1022" width="7" bestFit="1" customWidth="1"/>
    <col min="1023" max="1023" width="33.109375" bestFit="1" customWidth="1"/>
    <col min="1024" max="1024" width="17.5546875" bestFit="1" customWidth="1"/>
    <col min="1025" max="1025" width="11.33203125" bestFit="1" customWidth="1"/>
    <col min="1026" max="1026" width="5" bestFit="1" customWidth="1"/>
    <col min="1027" max="1027" width="9.5546875" bestFit="1" customWidth="1"/>
    <col min="1028" max="1028" width="6.6640625" bestFit="1" customWidth="1"/>
    <col min="1030" max="1030" width="8.44140625" bestFit="1" customWidth="1"/>
    <col min="1031" max="1031" width="5.44140625" bestFit="1" customWidth="1"/>
    <col min="1032" max="1032" width="14.33203125" bestFit="1" customWidth="1"/>
    <col min="1033" max="1033" width="20.5546875" bestFit="1" customWidth="1"/>
    <col min="1034" max="1034" width="17.33203125" bestFit="1" customWidth="1"/>
    <col min="1035" max="1035" width="13.88671875" bestFit="1" customWidth="1"/>
    <col min="1036" max="1036" width="12.6640625" bestFit="1" customWidth="1"/>
    <col min="1037" max="1037" width="6.88671875" bestFit="1" customWidth="1"/>
    <col min="1269" max="1269" width="15.77734375" bestFit="1" customWidth="1"/>
    <col min="1270" max="1270" width="15.88671875" bestFit="1" customWidth="1"/>
    <col min="1271" max="1271" width="9.88671875" bestFit="1" customWidth="1"/>
    <col min="1272" max="1272" width="10.5546875" bestFit="1" customWidth="1"/>
    <col min="1273" max="1273" width="13.44140625" bestFit="1" customWidth="1"/>
    <col min="1274" max="1274" width="10.44140625" bestFit="1" customWidth="1"/>
    <col min="1275" max="1275" width="8.109375" bestFit="1" customWidth="1"/>
    <col min="1276" max="1276" width="16.44140625" bestFit="1" customWidth="1"/>
    <col min="1277" max="1277" width="9.5546875" bestFit="1" customWidth="1"/>
    <col min="1278" max="1278" width="7" bestFit="1" customWidth="1"/>
    <col min="1279" max="1279" width="33.109375" bestFit="1" customWidth="1"/>
    <col min="1280" max="1280" width="17.5546875" bestFit="1" customWidth="1"/>
    <col min="1281" max="1281" width="11.33203125" bestFit="1" customWidth="1"/>
    <col min="1282" max="1282" width="5" bestFit="1" customWidth="1"/>
    <col min="1283" max="1283" width="9.5546875" bestFit="1" customWidth="1"/>
    <col min="1284" max="1284" width="6.6640625" bestFit="1" customWidth="1"/>
    <col min="1286" max="1286" width="8.44140625" bestFit="1" customWidth="1"/>
    <col min="1287" max="1287" width="5.44140625" bestFit="1" customWidth="1"/>
    <col min="1288" max="1288" width="14.33203125" bestFit="1" customWidth="1"/>
    <col min="1289" max="1289" width="20.5546875" bestFit="1" customWidth="1"/>
    <col min="1290" max="1290" width="17.33203125" bestFit="1" customWidth="1"/>
    <col min="1291" max="1291" width="13.88671875" bestFit="1" customWidth="1"/>
    <col min="1292" max="1292" width="12.6640625" bestFit="1" customWidth="1"/>
    <col min="1293" max="1293" width="6.88671875" bestFit="1" customWidth="1"/>
    <col min="1525" max="1525" width="15.77734375" bestFit="1" customWidth="1"/>
    <col min="1526" max="1526" width="15.88671875" bestFit="1" customWidth="1"/>
    <col min="1527" max="1527" width="9.88671875" bestFit="1" customWidth="1"/>
    <col min="1528" max="1528" width="10.5546875" bestFit="1" customWidth="1"/>
    <col min="1529" max="1529" width="13.44140625" bestFit="1" customWidth="1"/>
    <col min="1530" max="1530" width="10.44140625" bestFit="1" customWidth="1"/>
    <col min="1531" max="1531" width="8.109375" bestFit="1" customWidth="1"/>
    <col min="1532" max="1532" width="16.44140625" bestFit="1" customWidth="1"/>
    <col min="1533" max="1533" width="9.5546875" bestFit="1" customWidth="1"/>
    <col min="1534" max="1534" width="7" bestFit="1" customWidth="1"/>
    <col min="1535" max="1535" width="33.109375" bestFit="1" customWidth="1"/>
    <col min="1536" max="1536" width="17.5546875" bestFit="1" customWidth="1"/>
    <col min="1537" max="1537" width="11.33203125" bestFit="1" customWidth="1"/>
    <col min="1538" max="1538" width="5" bestFit="1" customWidth="1"/>
    <col min="1539" max="1539" width="9.5546875" bestFit="1" customWidth="1"/>
    <col min="1540" max="1540" width="6.6640625" bestFit="1" customWidth="1"/>
    <col min="1542" max="1542" width="8.44140625" bestFit="1" customWidth="1"/>
    <col min="1543" max="1543" width="5.44140625" bestFit="1" customWidth="1"/>
    <col min="1544" max="1544" width="14.33203125" bestFit="1" customWidth="1"/>
    <col min="1545" max="1545" width="20.5546875" bestFit="1" customWidth="1"/>
    <col min="1546" max="1546" width="17.33203125" bestFit="1" customWidth="1"/>
    <col min="1547" max="1547" width="13.88671875" bestFit="1" customWidth="1"/>
    <col min="1548" max="1548" width="12.6640625" bestFit="1" customWidth="1"/>
    <col min="1549" max="1549" width="6.88671875" bestFit="1" customWidth="1"/>
    <col min="1781" max="1781" width="15.77734375" bestFit="1" customWidth="1"/>
    <col min="1782" max="1782" width="15.88671875" bestFit="1" customWidth="1"/>
    <col min="1783" max="1783" width="9.88671875" bestFit="1" customWidth="1"/>
    <col min="1784" max="1784" width="10.5546875" bestFit="1" customWidth="1"/>
    <col min="1785" max="1785" width="13.44140625" bestFit="1" customWidth="1"/>
    <col min="1786" max="1786" width="10.44140625" bestFit="1" customWidth="1"/>
    <col min="1787" max="1787" width="8.109375" bestFit="1" customWidth="1"/>
    <col min="1788" max="1788" width="16.44140625" bestFit="1" customWidth="1"/>
    <col min="1789" max="1789" width="9.5546875" bestFit="1" customWidth="1"/>
    <col min="1790" max="1790" width="7" bestFit="1" customWidth="1"/>
    <col min="1791" max="1791" width="33.109375" bestFit="1" customWidth="1"/>
    <col min="1792" max="1792" width="17.5546875" bestFit="1" customWidth="1"/>
    <col min="1793" max="1793" width="11.33203125" bestFit="1" customWidth="1"/>
    <col min="1794" max="1794" width="5" bestFit="1" customWidth="1"/>
    <col min="1795" max="1795" width="9.5546875" bestFit="1" customWidth="1"/>
    <col min="1796" max="1796" width="6.6640625" bestFit="1" customWidth="1"/>
    <col min="1798" max="1798" width="8.44140625" bestFit="1" customWidth="1"/>
    <col min="1799" max="1799" width="5.44140625" bestFit="1" customWidth="1"/>
    <col min="1800" max="1800" width="14.33203125" bestFit="1" customWidth="1"/>
    <col min="1801" max="1801" width="20.5546875" bestFit="1" customWidth="1"/>
    <col min="1802" max="1802" width="17.33203125" bestFit="1" customWidth="1"/>
    <col min="1803" max="1803" width="13.88671875" bestFit="1" customWidth="1"/>
    <col min="1804" max="1804" width="12.6640625" bestFit="1" customWidth="1"/>
    <col min="1805" max="1805" width="6.88671875" bestFit="1" customWidth="1"/>
    <col min="2037" max="2037" width="15.77734375" bestFit="1" customWidth="1"/>
    <col min="2038" max="2038" width="15.88671875" bestFit="1" customWidth="1"/>
    <col min="2039" max="2039" width="9.88671875" bestFit="1" customWidth="1"/>
    <col min="2040" max="2040" width="10.5546875" bestFit="1" customWidth="1"/>
    <col min="2041" max="2041" width="13.44140625" bestFit="1" customWidth="1"/>
    <col min="2042" max="2042" width="10.44140625" bestFit="1" customWidth="1"/>
    <col min="2043" max="2043" width="8.109375" bestFit="1" customWidth="1"/>
    <col min="2044" max="2044" width="16.44140625" bestFit="1" customWidth="1"/>
    <col min="2045" max="2045" width="9.5546875" bestFit="1" customWidth="1"/>
    <col min="2046" max="2046" width="7" bestFit="1" customWidth="1"/>
    <col min="2047" max="2047" width="33.109375" bestFit="1" customWidth="1"/>
    <col min="2048" max="2048" width="17.5546875" bestFit="1" customWidth="1"/>
    <col min="2049" max="2049" width="11.33203125" bestFit="1" customWidth="1"/>
    <col min="2050" max="2050" width="5" bestFit="1" customWidth="1"/>
    <col min="2051" max="2051" width="9.5546875" bestFit="1" customWidth="1"/>
    <col min="2052" max="2052" width="6.6640625" bestFit="1" customWidth="1"/>
    <col min="2054" max="2054" width="8.44140625" bestFit="1" customWidth="1"/>
    <col min="2055" max="2055" width="5.44140625" bestFit="1" customWidth="1"/>
    <col min="2056" max="2056" width="14.33203125" bestFit="1" customWidth="1"/>
    <col min="2057" max="2057" width="20.5546875" bestFit="1" customWidth="1"/>
    <col min="2058" max="2058" width="17.33203125" bestFit="1" customWidth="1"/>
    <col min="2059" max="2059" width="13.88671875" bestFit="1" customWidth="1"/>
    <col min="2060" max="2060" width="12.6640625" bestFit="1" customWidth="1"/>
    <col min="2061" max="2061" width="6.88671875" bestFit="1" customWidth="1"/>
    <col min="2293" max="2293" width="15.77734375" bestFit="1" customWidth="1"/>
    <col min="2294" max="2294" width="15.88671875" bestFit="1" customWidth="1"/>
    <col min="2295" max="2295" width="9.88671875" bestFit="1" customWidth="1"/>
    <col min="2296" max="2296" width="10.5546875" bestFit="1" customWidth="1"/>
    <col min="2297" max="2297" width="13.44140625" bestFit="1" customWidth="1"/>
    <col min="2298" max="2298" width="10.44140625" bestFit="1" customWidth="1"/>
    <col min="2299" max="2299" width="8.109375" bestFit="1" customWidth="1"/>
    <col min="2300" max="2300" width="16.44140625" bestFit="1" customWidth="1"/>
    <col min="2301" max="2301" width="9.5546875" bestFit="1" customWidth="1"/>
    <col min="2302" max="2302" width="7" bestFit="1" customWidth="1"/>
    <col min="2303" max="2303" width="33.109375" bestFit="1" customWidth="1"/>
    <col min="2304" max="2304" width="17.5546875" bestFit="1" customWidth="1"/>
    <col min="2305" max="2305" width="11.33203125" bestFit="1" customWidth="1"/>
    <col min="2306" max="2306" width="5" bestFit="1" customWidth="1"/>
    <col min="2307" max="2307" width="9.5546875" bestFit="1" customWidth="1"/>
    <col min="2308" max="2308" width="6.6640625" bestFit="1" customWidth="1"/>
    <col min="2310" max="2310" width="8.44140625" bestFit="1" customWidth="1"/>
    <col min="2311" max="2311" width="5.44140625" bestFit="1" customWidth="1"/>
    <col min="2312" max="2312" width="14.33203125" bestFit="1" customWidth="1"/>
    <col min="2313" max="2313" width="20.5546875" bestFit="1" customWidth="1"/>
    <col min="2314" max="2314" width="17.33203125" bestFit="1" customWidth="1"/>
    <col min="2315" max="2315" width="13.88671875" bestFit="1" customWidth="1"/>
    <col min="2316" max="2316" width="12.6640625" bestFit="1" customWidth="1"/>
    <col min="2317" max="2317" width="6.88671875" bestFit="1" customWidth="1"/>
    <col min="2549" max="2549" width="15.77734375" bestFit="1" customWidth="1"/>
    <col min="2550" max="2550" width="15.88671875" bestFit="1" customWidth="1"/>
    <col min="2551" max="2551" width="9.88671875" bestFit="1" customWidth="1"/>
    <col min="2552" max="2552" width="10.5546875" bestFit="1" customWidth="1"/>
    <col min="2553" max="2553" width="13.44140625" bestFit="1" customWidth="1"/>
    <col min="2554" max="2554" width="10.44140625" bestFit="1" customWidth="1"/>
    <col min="2555" max="2555" width="8.109375" bestFit="1" customWidth="1"/>
    <col min="2556" max="2556" width="16.44140625" bestFit="1" customWidth="1"/>
    <col min="2557" max="2557" width="9.5546875" bestFit="1" customWidth="1"/>
    <col min="2558" max="2558" width="7" bestFit="1" customWidth="1"/>
    <col min="2559" max="2559" width="33.109375" bestFit="1" customWidth="1"/>
    <col min="2560" max="2560" width="17.5546875" bestFit="1" customWidth="1"/>
    <col min="2561" max="2561" width="11.33203125" bestFit="1" customWidth="1"/>
    <col min="2562" max="2562" width="5" bestFit="1" customWidth="1"/>
    <col min="2563" max="2563" width="9.5546875" bestFit="1" customWidth="1"/>
    <col min="2564" max="2564" width="6.6640625" bestFit="1" customWidth="1"/>
    <col min="2566" max="2566" width="8.44140625" bestFit="1" customWidth="1"/>
    <col min="2567" max="2567" width="5.44140625" bestFit="1" customWidth="1"/>
    <col min="2568" max="2568" width="14.33203125" bestFit="1" customWidth="1"/>
    <col min="2569" max="2569" width="20.5546875" bestFit="1" customWidth="1"/>
    <col min="2570" max="2570" width="17.33203125" bestFit="1" customWidth="1"/>
    <col min="2571" max="2571" width="13.88671875" bestFit="1" customWidth="1"/>
    <col min="2572" max="2572" width="12.6640625" bestFit="1" customWidth="1"/>
    <col min="2573" max="2573" width="6.88671875" bestFit="1" customWidth="1"/>
    <col min="2805" max="2805" width="15.77734375" bestFit="1" customWidth="1"/>
    <col min="2806" max="2806" width="15.88671875" bestFit="1" customWidth="1"/>
    <col min="2807" max="2807" width="9.88671875" bestFit="1" customWidth="1"/>
    <col min="2808" max="2808" width="10.5546875" bestFit="1" customWidth="1"/>
    <col min="2809" max="2809" width="13.44140625" bestFit="1" customWidth="1"/>
    <col min="2810" max="2810" width="10.44140625" bestFit="1" customWidth="1"/>
    <col min="2811" max="2811" width="8.109375" bestFit="1" customWidth="1"/>
    <col min="2812" max="2812" width="16.44140625" bestFit="1" customWidth="1"/>
    <col min="2813" max="2813" width="9.5546875" bestFit="1" customWidth="1"/>
    <col min="2814" max="2814" width="7" bestFit="1" customWidth="1"/>
    <col min="2815" max="2815" width="33.109375" bestFit="1" customWidth="1"/>
    <col min="2816" max="2816" width="17.5546875" bestFit="1" customWidth="1"/>
    <col min="2817" max="2817" width="11.33203125" bestFit="1" customWidth="1"/>
    <col min="2818" max="2818" width="5" bestFit="1" customWidth="1"/>
    <col min="2819" max="2819" width="9.5546875" bestFit="1" customWidth="1"/>
    <col min="2820" max="2820" width="6.6640625" bestFit="1" customWidth="1"/>
    <col min="2822" max="2822" width="8.44140625" bestFit="1" customWidth="1"/>
    <col min="2823" max="2823" width="5.44140625" bestFit="1" customWidth="1"/>
    <col min="2824" max="2824" width="14.33203125" bestFit="1" customWidth="1"/>
    <col min="2825" max="2825" width="20.5546875" bestFit="1" customWidth="1"/>
    <col min="2826" max="2826" width="17.33203125" bestFit="1" customWidth="1"/>
    <col min="2827" max="2827" width="13.88671875" bestFit="1" customWidth="1"/>
    <col min="2828" max="2828" width="12.6640625" bestFit="1" customWidth="1"/>
    <col min="2829" max="2829" width="6.88671875" bestFit="1" customWidth="1"/>
    <col min="3061" max="3061" width="15.77734375" bestFit="1" customWidth="1"/>
    <col min="3062" max="3062" width="15.88671875" bestFit="1" customWidth="1"/>
    <col min="3063" max="3063" width="9.88671875" bestFit="1" customWidth="1"/>
    <col min="3064" max="3064" width="10.5546875" bestFit="1" customWidth="1"/>
    <col min="3065" max="3065" width="13.44140625" bestFit="1" customWidth="1"/>
    <col min="3066" max="3066" width="10.44140625" bestFit="1" customWidth="1"/>
    <col min="3067" max="3067" width="8.109375" bestFit="1" customWidth="1"/>
    <col min="3068" max="3068" width="16.44140625" bestFit="1" customWidth="1"/>
    <col min="3069" max="3069" width="9.5546875" bestFit="1" customWidth="1"/>
    <col min="3070" max="3070" width="7" bestFit="1" customWidth="1"/>
    <col min="3071" max="3071" width="33.109375" bestFit="1" customWidth="1"/>
    <col min="3072" max="3072" width="17.5546875" bestFit="1" customWidth="1"/>
    <col min="3073" max="3073" width="11.33203125" bestFit="1" customWidth="1"/>
    <col min="3074" max="3074" width="5" bestFit="1" customWidth="1"/>
    <col min="3075" max="3075" width="9.5546875" bestFit="1" customWidth="1"/>
    <col min="3076" max="3076" width="6.6640625" bestFit="1" customWidth="1"/>
    <col min="3078" max="3078" width="8.44140625" bestFit="1" customWidth="1"/>
    <col min="3079" max="3079" width="5.44140625" bestFit="1" customWidth="1"/>
    <col min="3080" max="3080" width="14.33203125" bestFit="1" customWidth="1"/>
    <col min="3081" max="3081" width="20.5546875" bestFit="1" customWidth="1"/>
    <col min="3082" max="3082" width="17.33203125" bestFit="1" customWidth="1"/>
    <col min="3083" max="3083" width="13.88671875" bestFit="1" customWidth="1"/>
    <col min="3084" max="3084" width="12.6640625" bestFit="1" customWidth="1"/>
    <col min="3085" max="3085" width="6.88671875" bestFit="1" customWidth="1"/>
    <col min="3317" max="3317" width="15.77734375" bestFit="1" customWidth="1"/>
    <col min="3318" max="3318" width="15.88671875" bestFit="1" customWidth="1"/>
    <col min="3319" max="3319" width="9.88671875" bestFit="1" customWidth="1"/>
    <col min="3320" max="3320" width="10.5546875" bestFit="1" customWidth="1"/>
    <col min="3321" max="3321" width="13.44140625" bestFit="1" customWidth="1"/>
    <col min="3322" max="3322" width="10.44140625" bestFit="1" customWidth="1"/>
    <col min="3323" max="3323" width="8.109375" bestFit="1" customWidth="1"/>
    <col min="3324" max="3324" width="16.44140625" bestFit="1" customWidth="1"/>
    <col min="3325" max="3325" width="9.5546875" bestFit="1" customWidth="1"/>
    <col min="3326" max="3326" width="7" bestFit="1" customWidth="1"/>
    <col min="3327" max="3327" width="33.109375" bestFit="1" customWidth="1"/>
    <col min="3328" max="3328" width="17.5546875" bestFit="1" customWidth="1"/>
    <col min="3329" max="3329" width="11.33203125" bestFit="1" customWidth="1"/>
    <col min="3330" max="3330" width="5" bestFit="1" customWidth="1"/>
    <col min="3331" max="3331" width="9.5546875" bestFit="1" customWidth="1"/>
    <col min="3332" max="3332" width="6.6640625" bestFit="1" customWidth="1"/>
    <col min="3334" max="3334" width="8.44140625" bestFit="1" customWidth="1"/>
    <col min="3335" max="3335" width="5.44140625" bestFit="1" customWidth="1"/>
    <col min="3336" max="3336" width="14.33203125" bestFit="1" customWidth="1"/>
    <col min="3337" max="3337" width="20.5546875" bestFit="1" customWidth="1"/>
    <col min="3338" max="3338" width="17.33203125" bestFit="1" customWidth="1"/>
    <col min="3339" max="3339" width="13.88671875" bestFit="1" customWidth="1"/>
    <col min="3340" max="3340" width="12.6640625" bestFit="1" customWidth="1"/>
    <col min="3341" max="3341" width="6.88671875" bestFit="1" customWidth="1"/>
    <col min="3573" max="3573" width="15.77734375" bestFit="1" customWidth="1"/>
    <col min="3574" max="3574" width="15.88671875" bestFit="1" customWidth="1"/>
    <col min="3575" max="3575" width="9.88671875" bestFit="1" customWidth="1"/>
    <col min="3576" max="3576" width="10.5546875" bestFit="1" customWidth="1"/>
    <col min="3577" max="3577" width="13.44140625" bestFit="1" customWidth="1"/>
    <col min="3578" max="3578" width="10.44140625" bestFit="1" customWidth="1"/>
    <col min="3579" max="3579" width="8.109375" bestFit="1" customWidth="1"/>
    <col min="3580" max="3580" width="16.44140625" bestFit="1" customWidth="1"/>
    <col min="3581" max="3581" width="9.5546875" bestFit="1" customWidth="1"/>
    <col min="3582" max="3582" width="7" bestFit="1" customWidth="1"/>
    <col min="3583" max="3583" width="33.109375" bestFit="1" customWidth="1"/>
    <col min="3584" max="3584" width="17.5546875" bestFit="1" customWidth="1"/>
    <col min="3585" max="3585" width="11.33203125" bestFit="1" customWidth="1"/>
    <col min="3586" max="3586" width="5" bestFit="1" customWidth="1"/>
    <col min="3587" max="3587" width="9.5546875" bestFit="1" customWidth="1"/>
    <col min="3588" max="3588" width="6.6640625" bestFit="1" customWidth="1"/>
    <col min="3590" max="3590" width="8.44140625" bestFit="1" customWidth="1"/>
    <col min="3591" max="3591" width="5.44140625" bestFit="1" customWidth="1"/>
    <col min="3592" max="3592" width="14.33203125" bestFit="1" customWidth="1"/>
    <col min="3593" max="3593" width="20.5546875" bestFit="1" customWidth="1"/>
    <col min="3594" max="3594" width="17.33203125" bestFit="1" customWidth="1"/>
    <col min="3595" max="3595" width="13.88671875" bestFit="1" customWidth="1"/>
    <col min="3596" max="3596" width="12.6640625" bestFit="1" customWidth="1"/>
    <col min="3597" max="3597" width="6.88671875" bestFit="1" customWidth="1"/>
    <col min="3829" max="3829" width="15.77734375" bestFit="1" customWidth="1"/>
    <col min="3830" max="3830" width="15.88671875" bestFit="1" customWidth="1"/>
    <col min="3831" max="3831" width="9.88671875" bestFit="1" customWidth="1"/>
    <col min="3832" max="3832" width="10.5546875" bestFit="1" customWidth="1"/>
    <col min="3833" max="3833" width="13.44140625" bestFit="1" customWidth="1"/>
    <col min="3834" max="3834" width="10.44140625" bestFit="1" customWidth="1"/>
    <col min="3835" max="3835" width="8.109375" bestFit="1" customWidth="1"/>
    <col min="3836" max="3836" width="16.44140625" bestFit="1" customWidth="1"/>
    <col min="3837" max="3837" width="9.5546875" bestFit="1" customWidth="1"/>
    <col min="3838" max="3838" width="7" bestFit="1" customWidth="1"/>
    <col min="3839" max="3839" width="33.109375" bestFit="1" customWidth="1"/>
    <col min="3840" max="3840" width="17.5546875" bestFit="1" customWidth="1"/>
    <col min="3841" max="3841" width="11.33203125" bestFit="1" customWidth="1"/>
    <col min="3842" max="3842" width="5" bestFit="1" customWidth="1"/>
    <col min="3843" max="3843" width="9.5546875" bestFit="1" customWidth="1"/>
    <col min="3844" max="3844" width="6.6640625" bestFit="1" customWidth="1"/>
    <col min="3846" max="3846" width="8.44140625" bestFit="1" customWidth="1"/>
    <col min="3847" max="3847" width="5.44140625" bestFit="1" customWidth="1"/>
    <col min="3848" max="3848" width="14.33203125" bestFit="1" customWidth="1"/>
    <col min="3849" max="3849" width="20.5546875" bestFit="1" customWidth="1"/>
    <col min="3850" max="3850" width="17.33203125" bestFit="1" customWidth="1"/>
    <col min="3851" max="3851" width="13.88671875" bestFit="1" customWidth="1"/>
    <col min="3852" max="3852" width="12.6640625" bestFit="1" customWidth="1"/>
    <col min="3853" max="3853" width="6.88671875" bestFit="1" customWidth="1"/>
    <col min="4085" max="4085" width="15.77734375" bestFit="1" customWidth="1"/>
    <col min="4086" max="4086" width="15.88671875" bestFit="1" customWidth="1"/>
    <col min="4087" max="4087" width="9.88671875" bestFit="1" customWidth="1"/>
    <col min="4088" max="4088" width="10.5546875" bestFit="1" customWidth="1"/>
    <col min="4089" max="4089" width="13.44140625" bestFit="1" customWidth="1"/>
    <col min="4090" max="4090" width="10.44140625" bestFit="1" customWidth="1"/>
    <col min="4091" max="4091" width="8.109375" bestFit="1" customWidth="1"/>
    <col min="4092" max="4092" width="16.44140625" bestFit="1" customWidth="1"/>
    <col min="4093" max="4093" width="9.5546875" bestFit="1" customWidth="1"/>
    <col min="4094" max="4094" width="7" bestFit="1" customWidth="1"/>
    <col min="4095" max="4095" width="33.109375" bestFit="1" customWidth="1"/>
    <col min="4096" max="4096" width="17.5546875" bestFit="1" customWidth="1"/>
    <col min="4097" max="4097" width="11.33203125" bestFit="1" customWidth="1"/>
    <col min="4098" max="4098" width="5" bestFit="1" customWidth="1"/>
    <col min="4099" max="4099" width="9.5546875" bestFit="1" customWidth="1"/>
    <col min="4100" max="4100" width="6.6640625" bestFit="1" customWidth="1"/>
    <col min="4102" max="4102" width="8.44140625" bestFit="1" customWidth="1"/>
    <col min="4103" max="4103" width="5.44140625" bestFit="1" customWidth="1"/>
    <col min="4104" max="4104" width="14.33203125" bestFit="1" customWidth="1"/>
    <col min="4105" max="4105" width="20.5546875" bestFit="1" customWidth="1"/>
    <col min="4106" max="4106" width="17.33203125" bestFit="1" customWidth="1"/>
    <col min="4107" max="4107" width="13.88671875" bestFit="1" customWidth="1"/>
    <col min="4108" max="4108" width="12.6640625" bestFit="1" customWidth="1"/>
    <col min="4109" max="4109" width="6.88671875" bestFit="1" customWidth="1"/>
    <col min="4341" max="4341" width="15.77734375" bestFit="1" customWidth="1"/>
    <col min="4342" max="4342" width="15.88671875" bestFit="1" customWidth="1"/>
    <col min="4343" max="4343" width="9.88671875" bestFit="1" customWidth="1"/>
    <col min="4344" max="4344" width="10.5546875" bestFit="1" customWidth="1"/>
    <col min="4345" max="4345" width="13.44140625" bestFit="1" customWidth="1"/>
    <col min="4346" max="4346" width="10.44140625" bestFit="1" customWidth="1"/>
    <col min="4347" max="4347" width="8.109375" bestFit="1" customWidth="1"/>
    <col min="4348" max="4348" width="16.44140625" bestFit="1" customWidth="1"/>
    <col min="4349" max="4349" width="9.5546875" bestFit="1" customWidth="1"/>
    <col min="4350" max="4350" width="7" bestFit="1" customWidth="1"/>
    <col min="4351" max="4351" width="33.109375" bestFit="1" customWidth="1"/>
    <col min="4352" max="4352" width="17.5546875" bestFit="1" customWidth="1"/>
    <col min="4353" max="4353" width="11.33203125" bestFit="1" customWidth="1"/>
    <col min="4354" max="4354" width="5" bestFit="1" customWidth="1"/>
    <col min="4355" max="4355" width="9.5546875" bestFit="1" customWidth="1"/>
    <col min="4356" max="4356" width="6.6640625" bestFit="1" customWidth="1"/>
    <col min="4358" max="4358" width="8.44140625" bestFit="1" customWidth="1"/>
    <col min="4359" max="4359" width="5.44140625" bestFit="1" customWidth="1"/>
    <col min="4360" max="4360" width="14.33203125" bestFit="1" customWidth="1"/>
    <col min="4361" max="4361" width="20.5546875" bestFit="1" customWidth="1"/>
    <col min="4362" max="4362" width="17.33203125" bestFit="1" customWidth="1"/>
    <col min="4363" max="4363" width="13.88671875" bestFit="1" customWidth="1"/>
    <col min="4364" max="4364" width="12.6640625" bestFit="1" customWidth="1"/>
    <col min="4365" max="4365" width="6.88671875" bestFit="1" customWidth="1"/>
    <col min="4597" max="4597" width="15.77734375" bestFit="1" customWidth="1"/>
    <col min="4598" max="4598" width="15.88671875" bestFit="1" customWidth="1"/>
    <col min="4599" max="4599" width="9.88671875" bestFit="1" customWidth="1"/>
    <col min="4600" max="4600" width="10.5546875" bestFit="1" customWidth="1"/>
    <col min="4601" max="4601" width="13.44140625" bestFit="1" customWidth="1"/>
    <col min="4602" max="4602" width="10.44140625" bestFit="1" customWidth="1"/>
    <col min="4603" max="4603" width="8.109375" bestFit="1" customWidth="1"/>
    <col min="4604" max="4604" width="16.44140625" bestFit="1" customWidth="1"/>
    <col min="4605" max="4605" width="9.5546875" bestFit="1" customWidth="1"/>
    <col min="4606" max="4606" width="7" bestFit="1" customWidth="1"/>
    <col min="4607" max="4607" width="33.109375" bestFit="1" customWidth="1"/>
    <col min="4608" max="4608" width="17.5546875" bestFit="1" customWidth="1"/>
    <col min="4609" max="4609" width="11.33203125" bestFit="1" customWidth="1"/>
    <col min="4610" max="4610" width="5" bestFit="1" customWidth="1"/>
    <col min="4611" max="4611" width="9.5546875" bestFit="1" customWidth="1"/>
    <col min="4612" max="4612" width="6.6640625" bestFit="1" customWidth="1"/>
    <col min="4614" max="4614" width="8.44140625" bestFit="1" customWidth="1"/>
    <col min="4615" max="4615" width="5.44140625" bestFit="1" customWidth="1"/>
    <col min="4616" max="4616" width="14.33203125" bestFit="1" customWidth="1"/>
    <col min="4617" max="4617" width="20.5546875" bestFit="1" customWidth="1"/>
    <col min="4618" max="4618" width="17.33203125" bestFit="1" customWidth="1"/>
    <col min="4619" max="4619" width="13.88671875" bestFit="1" customWidth="1"/>
    <col min="4620" max="4620" width="12.6640625" bestFit="1" customWidth="1"/>
    <col min="4621" max="4621" width="6.88671875" bestFit="1" customWidth="1"/>
    <col min="4853" max="4853" width="15.77734375" bestFit="1" customWidth="1"/>
    <col min="4854" max="4854" width="15.88671875" bestFit="1" customWidth="1"/>
    <col min="4855" max="4855" width="9.88671875" bestFit="1" customWidth="1"/>
    <col min="4856" max="4856" width="10.5546875" bestFit="1" customWidth="1"/>
    <col min="4857" max="4857" width="13.44140625" bestFit="1" customWidth="1"/>
    <col min="4858" max="4858" width="10.44140625" bestFit="1" customWidth="1"/>
    <col min="4859" max="4859" width="8.109375" bestFit="1" customWidth="1"/>
    <col min="4860" max="4860" width="16.44140625" bestFit="1" customWidth="1"/>
    <col min="4861" max="4861" width="9.5546875" bestFit="1" customWidth="1"/>
    <col min="4862" max="4862" width="7" bestFit="1" customWidth="1"/>
    <col min="4863" max="4863" width="33.109375" bestFit="1" customWidth="1"/>
    <col min="4864" max="4864" width="17.5546875" bestFit="1" customWidth="1"/>
    <col min="4865" max="4865" width="11.33203125" bestFit="1" customWidth="1"/>
    <col min="4866" max="4866" width="5" bestFit="1" customWidth="1"/>
    <col min="4867" max="4867" width="9.5546875" bestFit="1" customWidth="1"/>
    <col min="4868" max="4868" width="6.6640625" bestFit="1" customWidth="1"/>
    <col min="4870" max="4870" width="8.44140625" bestFit="1" customWidth="1"/>
    <col min="4871" max="4871" width="5.44140625" bestFit="1" customWidth="1"/>
    <col min="4872" max="4872" width="14.33203125" bestFit="1" customWidth="1"/>
    <col min="4873" max="4873" width="20.5546875" bestFit="1" customWidth="1"/>
    <col min="4874" max="4874" width="17.33203125" bestFit="1" customWidth="1"/>
    <col min="4875" max="4875" width="13.88671875" bestFit="1" customWidth="1"/>
    <col min="4876" max="4876" width="12.6640625" bestFit="1" customWidth="1"/>
    <col min="4877" max="4877" width="6.88671875" bestFit="1" customWidth="1"/>
    <col min="5109" max="5109" width="15.77734375" bestFit="1" customWidth="1"/>
    <col min="5110" max="5110" width="15.88671875" bestFit="1" customWidth="1"/>
    <col min="5111" max="5111" width="9.88671875" bestFit="1" customWidth="1"/>
    <col min="5112" max="5112" width="10.5546875" bestFit="1" customWidth="1"/>
    <col min="5113" max="5113" width="13.44140625" bestFit="1" customWidth="1"/>
    <col min="5114" max="5114" width="10.44140625" bestFit="1" customWidth="1"/>
    <col min="5115" max="5115" width="8.109375" bestFit="1" customWidth="1"/>
    <col min="5116" max="5116" width="16.44140625" bestFit="1" customWidth="1"/>
    <col min="5117" max="5117" width="9.5546875" bestFit="1" customWidth="1"/>
    <col min="5118" max="5118" width="7" bestFit="1" customWidth="1"/>
    <col min="5119" max="5119" width="33.109375" bestFit="1" customWidth="1"/>
    <col min="5120" max="5120" width="17.5546875" bestFit="1" customWidth="1"/>
    <col min="5121" max="5121" width="11.33203125" bestFit="1" customWidth="1"/>
    <col min="5122" max="5122" width="5" bestFit="1" customWidth="1"/>
    <col min="5123" max="5123" width="9.5546875" bestFit="1" customWidth="1"/>
    <col min="5124" max="5124" width="6.6640625" bestFit="1" customWidth="1"/>
    <col min="5126" max="5126" width="8.44140625" bestFit="1" customWidth="1"/>
    <col min="5127" max="5127" width="5.44140625" bestFit="1" customWidth="1"/>
    <col min="5128" max="5128" width="14.33203125" bestFit="1" customWidth="1"/>
    <col min="5129" max="5129" width="20.5546875" bestFit="1" customWidth="1"/>
    <col min="5130" max="5130" width="17.33203125" bestFit="1" customWidth="1"/>
    <col min="5131" max="5131" width="13.88671875" bestFit="1" customWidth="1"/>
    <col min="5132" max="5132" width="12.6640625" bestFit="1" customWidth="1"/>
    <col min="5133" max="5133" width="6.88671875" bestFit="1" customWidth="1"/>
    <col min="5365" max="5365" width="15.77734375" bestFit="1" customWidth="1"/>
    <col min="5366" max="5366" width="15.88671875" bestFit="1" customWidth="1"/>
    <col min="5367" max="5367" width="9.88671875" bestFit="1" customWidth="1"/>
    <col min="5368" max="5368" width="10.5546875" bestFit="1" customWidth="1"/>
    <col min="5369" max="5369" width="13.44140625" bestFit="1" customWidth="1"/>
    <col min="5370" max="5370" width="10.44140625" bestFit="1" customWidth="1"/>
    <col min="5371" max="5371" width="8.109375" bestFit="1" customWidth="1"/>
    <col min="5372" max="5372" width="16.44140625" bestFit="1" customWidth="1"/>
    <col min="5373" max="5373" width="9.5546875" bestFit="1" customWidth="1"/>
    <col min="5374" max="5374" width="7" bestFit="1" customWidth="1"/>
    <col min="5375" max="5375" width="33.109375" bestFit="1" customWidth="1"/>
    <col min="5376" max="5376" width="17.5546875" bestFit="1" customWidth="1"/>
    <col min="5377" max="5377" width="11.33203125" bestFit="1" customWidth="1"/>
    <col min="5378" max="5378" width="5" bestFit="1" customWidth="1"/>
    <col min="5379" max="5379" width="9.5546875" bestFit="1" customWidth="1"/>
    <col min="5380" max="5380" width="6.6640625" bestFit="1" customWidth="1"/>
    <col min="5382" max="5382" width="8.44140625" bestFit="1" customWidth="1"/>
    <col min="5383" max="5383" width="5.44140625" bestFit="1" customWidth="1"/>
    <col min="5384" max="5384" width="14.33203125" bestFit="1" customWidth="1"/>
    <col min="5385" max="5385" width="20.5546875" bestFit="1" customWidth="1"/>
    <col min="5386" max="5386" width="17.33203125" bestFit="1" customWidth="1"/>
    <col min="5387" max="5387" width="13.88671875" bestFit="1" customWidth="1"/>
    <col min="5388" max="5388" width="12.6640625" bestFit="1" customWidth="1"/>
    <col min="5389" max="5389" width="6.88671875" bestFit="1" customWidth="1"/>
    <col min="5621" max="5621" width="15.77734375" bestFit="1" customWidth="1"/>
    <col min="5622" max="5622" width="15.88671875" bestFit="1" customWidth="1"/>
    <col min="5623" max="5623" width="9.88671875" bestFit="1" customWidth="1"/>
    <col min="5624" max="5624" width="10.5546875" bestFit="1" customWidth="1"/>
    <col min="5625" max="5625" width="13.44140625" bestFit="1" customWidth="1"/>
    <col min="5626" max="5626" width="10.44140625" bestFit="1" customWidth="1"/>
    <col min="5627" max="5627" width="8.109375" bestFit="1" customWidth="1"/>
    <col min="5628" max="5628" width="16.44140625" bestFit="1" customWidth="1"/>
    <col min="5629" max="5629" width="9.5546875" bestFit="1" customWidth="1"/>
    <col min="5630" max="5630" width="7" bestFit="1" customWidth="1"/>
    <col min="5631" max="5631" width="33.109375" bestFit="1" customWidth="1"/>
    <col min="5632" max="5632" width="17.5546875" bestFit="1" customWidth="1"/>
    <col min="5633" max="5633" width="11.33203125" bestFit="1" customWidth="1"/>
    <col min="5634" max="5634" width="5" bestFit="1" customWidth="1"/>
    <col min="5635" max="5635" width="9.5546875" bestFit="1" customWidth="1"/>
    <col min="5636" max="5636" width="6.6640625" bestFit="1" customWidth="1"/>
    <col min="5638" max="5638" width="8.44140625" bestFit="1" customWidth="1"/>
    <col min="5639" max="5639" width="5.44140625" bestFit="1" customWidth="1"/>
    <col min="5640" max="5640" width="14.33203125" bestFit="1" customWidth="1"/>
    <col min="5641" max="5641" width="20.5546875" bestFit="1" customWidth="1"/>
    <col min="5642" max="5642" width="17.33203125" bestFit="1" customWidth="1"/>
    <col min="5643" max="5643" width="13.88671875" bestFit="1" customWidth="1"/>
    <col min="5644" max="5644" width="12.6640625" bestFit="1" customWidth="1"/>
    <col min="5645" max="5645" width="6.88671875" bestFit="1" customWidth="1"/>
    <col min="5877" max="5877" width="15.77734375" bestFit="1" customWidth="1"/>
    <col min="5878" max="5878" width="15.88671875" bestFit="1" customWidth="1"/>
    <col min="5879" max="5879" width="9.88671875" bestFit="1" customWidth="1"/>
    <col min="5880" max="5880" width="10.5546875" bestFit="1" customWidth="1"/>
    <col min="5881" max="5881" width="13.44140625" bestFit="1" customWidth="1"/>
    <col min="5882" max="5882" width="10.44140625" bestFit="1" customWidth="1"/>
    <col min="5883" max="5883" width="8.109375" bestFit="1" customWidth="1"/>
    <col min="5884" max="5884" width="16.44140625" bestFit="1" customWidth="1"/>
    <col min="5885" max="5885" width="9.5546875" bestFit="1" customWidth="1"/>
    <col min="5886" max="5886" width="7" bestFit="1" customWidth="1"/>
    <col min="5887" max="5887" width="33.109375" bestFit="1" customWidth="1"/>
    <col min="5888" max="5888" width="17.5546875" bestFit="1" customWidth="1"/>
    <col min="5889" max="5889" width="11.33203125" bestFit="1" customWidth="1"/>
    <col min="5890" max="5890" width="5" bestFit="1" customWidth="1"/>
    <col min="5891" max="5891" width="9.5546875" bestFit="1" customWidth="1"/>
    <col min="5892" max="5892" width="6.6640625" bestFit="1" customWidth="1"/>
    <col min="5894" max="5894" width="8.44140625" bestFit="1" customWidth="1"/>
    <col min="5895" max="5895" width="5.44140625" bestFit="1" customWidth="1"/>
    <col min="5896" max="5896" width="14.33203125" bestFit="1" customWidth="1"/>
    <col min="5897" max="5897" width="20.5546875" bestFit="1" customWidth="1"/>
    <col min="5898" max="5898" width="17.33203125" bestFit="1" customWidth="1"/>
    <col min="5899" max="5899" width="13.88671875" bestFit="1" customWidth="1"/>
    <col min="5900" max="5900" width="12.6640625" bestFit="1" customWidth="1"/>
    <col min="5901" max="5901" width="6.88671875" bestFit="1" customWidth="1"/>
    <col min="6133" max="6133" width="15.77734375" bestFit="1" customWidth="1"/>
    <col min="6134" max="6134" width="15.88671875" bestFit="1" customWidth="1"/>
    <col min="6135" max="6135" width="9.88671875" bestFit="1" customWidth="1"/>
    <col min="6136" max="6136" width="10.5546875" bestFit="1" customWidth="1"/>
    <col min="6137" max="6137" width="13.44140625" bestFit="1" customWidth="1"/>
    <col min="6138" max="6138" width="10.44140625" bestFit="1" customWidth="1"/>
    <col min="6139" max="6139" width="8.109375" bestFit="1" customWidth="1"/>
    <col min="6140" max="6140" width="16.44140625" bestFit="1" customWidth="1"/>
    <col min="6141" max="6141" width="9.5546875" bestFit="1" customWidth="1"/>
    <col min="6142" max="6142" width="7" bestFit="1" customWidth="1"/>
    <col min="6143" max="6143" width="33.109375" bestFit="1" customWidth="1"/>
    <col min="6144" max="6144" width="17.5546875" bestFit="1" customWidth="1"/>
    <col min="6145" max="6145" width="11.33203125" bestFit="1" customWidth="1"/>
    <col min="6146" max="6146" width="5" bestFit="1" customWidth="1"/>
    <col min="6147" max="6147" width="9.5546875" bestFit="1" customWidth="1"/>
    <col min="6148" max="6148" width="6.6640625" bestFit="1" customWidth="1"/>
    <col min="6150" max="6150" width="8.44140625" bestFit="1" customWidth="1"/>
    <col min="6151" max="6151" width="5.44140625" bestFit="1" customWidth="1"/>
    <col min="6152" max="6152" width="14.33203125" bestFit="1" customWidth="1"/>
    <col min="6153" max="6153" width="20.5546875" bestFit="1" customWidth="1"/>
    <col min="6154" max="6154" width="17.33203125" bestFit="1" customWidth="1"/>
    <col min="6155" max="6155" width="13.88671875" bestFit="1" customWidth="1"/>
    <col min="6156" max="6156" width="12.6640625" bestFit="1" customWidth="1"/>
    <col min="6157" max="6157" width="6.88671875" bestFit="1" customWidth="1"/>
    <col min="6389" max="6389" width="15.77734375" bestFit="1" customWidth="1"/>
    <col min="6390" max="6390" width="15.88671875" bestFit="1" customWidth="1"/>
    <col min="6391" max="6391" width="9.88671875" bestFit="1" customWidth="1"/>
    <col min="6392" max="6392" width="10.5546875" bestFit="1" customWidth="1"/>
    <col min="6393" max="6393" width="13.44140625" bestFit="1" customWidth="1"/>
    <col min="6394" max="6394" width="10.44140625" bestFit="1" customWidth="1"/>
    <col min="6395" max="6395" width="8.109375" bestFit="1" customWidth="1"/>
    <col min="6396" max="6396" width="16.44140625" bestFit="1" customWidth="1"/>
    <col min="6397" max="6397" width="9.5546875" bestFit="1" customWidth="1"/>
    <col min="6398" max="6398" width="7" bestFit="1" customWidth="1"/>
    <col min="6399" max="6399" width="33.109375" bestFit="1" customWidth="1"/>
    <col min="6400" max="6400" width="17.5546875" bestFit="1" customWidth="1"/>
    <col min="6401" max="6401" width="11.33203125" bestFit="1" customWidth="1"/>
    <col min="6402" max="6402" width="5" bestFit="1" customWidth="1"/>
    <col min="6403" max="6403" width="9.5546875" bestFit="1" customWidth="1"/>
    <col min="6404" max="6404" width="6.6640625" bestFit="1" customWidth="1"/>
    <col min="6406" max="6406" width="8.44140625" bestFit="1" customWidth="1"/>
    <col min="6407" max="6407" width="5.44140625" bestFit="1" customWidth="1"/>
    <col min="6408" max="6408" width="14.33203125" bestFit="1" customWidth="1"/>
    <col min="6409" max="6409" width="20.5546875" bestFit="1" customWidth="1"/>
    <col min="6410" max="6410" width="17.33203125" bestFit="1" customWidth="1"/>
    <col min="6411" max="6411" width="13.88671875" bestFit="1" customWidth="1"/>
    <col min="6412" max="6412" width="12.6640625" bestFit="1" customWidth="1"/>
    <col min="6413" max="6413" width="6.88671875" bestFit="1" customWidth="1"/>
    <col min="6645" max="6645" width="15.77734375" bestFit="1" customWidth="1"/>
    <col min="6646" max="6646" width="15.88671875" bestFit="1" customWidth="1"/>
    <col min="6647" max="6647" width="9.88671875" bestFit="1" customWidth="1"/>
    <col min="6648" max="6648" width="10.5546875" bestFit="1" customWidth="1"/>
    <col min="6649" max="6649" width="13.44140625" bestFit="1" customWidth="1"/>
    <col min="6650" max="6650" width="10.44140625" bestFit="1" customWidth="1"/>
    <col min="6651" max="6651" width="8.109375" bestFit="1" customWidth="1"/>
    <col min="6652" max="6652" width="16.44140625" bestFit="1" customWidth="1"/>
    <col min="6653" max="6653" width="9.5546875" bestFit="1" customWidth="1"/>
    <col min="6654" max="6654" width="7" bestFit="1" customWidth="1"/>
    <col min="6655" max="6655" width="33.109375" bestFit="1" customWidth="1"/>
    <col min="6656" max="6656" width="17.5546875" bestFit="1" customWidth="1"/>
    <col min="6657" max="6657" width="11.33203125" bestFit="1" customWidth="1"/>
    <col min="6658" max="6658" width="5" bestFit="1" customWidth="1"/>
    <col min="6659" max="6659" width="9.5546875" bestFit="1" customWidth="1"/>
    <col min="6660" max="6660" width="6.6640625" bestFit="1" customWidth="1"/>
    <col min="6662" max="6662" width="8.44140625" bestFit="1" customWidth="1"/>
    <col min="6663" max="6663" width="5.44140625" bestFit="1" customWidth="1"/>
    <col min="6664" max="6664" width="14.33203125" bestFit="1" customWidth="1"/>
    <col min="6665" max="6665" width="20.5546875" bestFit="1" customWidth="1"/>
    <col min="6666" max="6666" width="17.33203125" bestFit="1" customWidth="1"/>
    <col min="6667" max="6667" width="13.88671875" bestFit="1" customWidth="1"/>
    <col min="6668" max="6668" width="12.6640625" bestFit="1" customWidth="1"/>
    <col min="6669" max="6669" width="6.88671875" bestFit="1" customWidth="1"/>
    <col min="6901" max="6901" width="15.77734375" bestFit="1" customWidth="1"/>
    <col min="6902" max="6902" width="15.88671875" bestFit="1" customWidth="1"/>
    <col min="6903" max="6903" width="9.88671875" bestFit="1" customWidth="1"/>
    <col min="6904" max="6904" width="10.5546875" bestFit="1" customWidth="1"/>
    <col min="6905" max="6905" width="13.44140625" bestFit="1" customWidth="1"/>
    <col min="6906" max="6906" width="10.44140625" bestFit="1" customWidth="1"/>
    <col min="6907" max="6907" width="8.109375" bestFit="1" customWidth="1"/>
    <col min="6908" max="6908" width="16.44140625" bestFit="1" customWidth="1"/>
    <col min="6909" max="6909" width="9.5546875" bestFit="1" customWidth="1"/>
    <col min="6910" max="6910" width="7" bestFit="1" customWidth="1"/>
    <col min="6911" max="6911" width="33.109375" bestFit="1" customWidth="1"/>
    <col min="6912" max="6912" width="17.5546875" bestFit="1" customWidth="1"/>
    <col min="6913" max="6913" width="11.33203125" bestFit="1" customWidth="1"/>
    <col min="6914" max="6914" width="5" bestFit="1" customWidth="1"/>
    <col min="6915" max="6915" width="9.5546875" bestFit="1" customWidth="1"/>
    <col min="6916" max="6916" width="6.6640625" bestFit="1" customWidth="1"/>
    <col min="6918" max="6918" width="8.44140625" bestFit="1" customWidth="1"/>
    <col min="6919" max="6919" width="5.44140625" bestFit="1" customWidth="1"/>
    <col min="6920" max="6920" width="14.33203125" bestFit="1" customWidth="1"/>
    <col min="6921" max="6921" width="20.5546875" bestFit="1" customWidth="1"/>
    <col min="6922" max="6922" width="17.33203125" bestFit="1" customWidth="1"/>
    <col min="6923" max="6923" width="13.88671875" bestFit="1" customWidth="1"/>
    <col min="6924" max="6924" width="12.6640625" bestFit="1" customWidth="1"/>
    <col min="6925" max="6925" width="6.88671875" bestFit="1" customWidth="1"/>
    <col min="7157" max="7157" width="15.77734375" bestFit="1" customWidth="1"/>
    <col min="7158" max="7158" width="15.88671875" bestFit="1" customWidth="1"/>
    <col min="7159" max="7159" width="9.88671875" bestFit="1" customWidth="1"/>
    <col min="7160" max="7160" width="10.5546875" bestFit="1" customWidth="1"/>
    <col min="7161" max="7161" width="13.44140625" bestFit="1" customWidth="1"/>
    <col min="7162" max="7162" width="10.44140625" bestFit="1" customWidth="1"/>
    <col min="7163" max="7163" width="8.109375" bestFit="1" customWidth="1"/>
    <col min="7164" max="7164" width="16.44140625" bestFit="1" customWidth="1"/>
    <col min="7165" max="7165" width="9.5546875" bestFit="1" customWidth="1"/>
    <col min="7166" max="7166" width="7" bestFit="1" customWidth="1"/>
    <col min="7167" max="7167" width="33.109375" bestFit="1" customWidth="1"/>
    <col min="7168" max="7168" width="17.5546875" bestFit="1" customWidth="1"/>
    <col min="7169" max="7169" width="11.33203125" bestFit="1" customWidth="1"/>
    <col min="7170" max="7170" width="5" bestFit="1" customWidth="1"/>
    <col min="7171" max="7171" width="9.5546875" bestFit="1" customWidth="1"/>
    <col min="7172" max="7172" width="6.6640625" bestFit="1" customWidth="1"/>
    <col min="7174" max="7174" width="8.44140625" bestFit="1" customWidth="1"/>
    <col min="7175" max="7175" width="5.44140625" bestFit="1" customWidth="1"/>
    <col min="7176" max="7176" width="14.33203125" bestFit="1" customWidth="1"/>
    <col min="7177" max="7177" width="20.5546875" bestFit="1" customWidth="1"/>
    <col min="7178" max="7178" width="17.33203125" bestFit="1" customWidth="1"/>
    <col min="7179" max="7179" width="13.88671875" bestFit="1" customWidth="1"/>
    <col min="7180" max="7180" width="12.6640625" bestFit="1" customWidth="1"/>
    <col min="7181" max="7181" width="6.88671875" bestFit="1" customWidth="1"/>
    <col min="7413" max="7413" width="15.77734375" bestFit="1" customWidth="1"/>
    <col min="7414" max="7414" width="15.88671875" bestFit="1" customWidth="1"/>
    <col min="7415" max="7415" width="9.88671875" bestFit="1" customWidth="1"/>
    <col min="7416" max="7416" width="10.5546875" bestFit="1" customWidth="1"/>
    <col min="7417" max="7417" width="13.44140625" bestFit="1" customWidth="1"/>
    <col min="7418" max="7418" width="10.44140625" bestFit="1" customWidth="1"/>
    <col min="7419" max="7419" width="8.109375" bestFit="1" customWidth="1"/>
    <col min="7420" max="7420" width="16.44140625" bestFit="1" customWidth="1"/>
    <col min="7421" max="7421" width="9.5546875" bestFit="1" customWidth="1"/>
    <col min="7422" max="7422" width="7" bestFit="1" customWidth="1"/>
    <col min="7423" max="7423" width="33.109375" bestFit="1" customWidth="1"/>
    <col min="7424" max="7424" width="17.5546875" bestFit="1" customWidth="1"/>
    <col min="7425" max="7425" width="11.33203125" bestFit="1" customWidth="1"/>
    <col min="7426" max="7426" width="5" bestFit="1" customWidth="1"/>
    <col min="7427" max="7427" width="9.5546875" bestFit="1" customWidth="1"/>
    <col min="7428" max="7428" width="6.6640625" bestFit="1" customWidth="1"/>
    <col min="7430" max="7430" width="8.44140625" bestFit="1" customWidth="1"/>
    <col min="7431" max="7431" width="5.44140625" bestFit="1" customWidth="1"/>
    <col min="7432" max="7432" width="14.33203125" bestFit="1" customWidth="1"/>
    <col min="7433" max="7433" width="20.5546875" bestFit="1" customWidth="1"/>
    <col min="7434" max="7434" width="17.33203125" bestFit="1" customWidth="1"/>
    <col min="7435" max="7435" width="13.88671875" bestFit="1" customWidth="1"/>
    <col min="7436" max="7436" width="12.6640625" bestFit="1" customWidth="1"/>
    <col min="7437" max="7437" width="6.88671875" bestFit="1" customWidth="1"/>
    <col min="7669" max="7669" width="15.77734375" bestFit="1" customWidth="1"/>
    <col min="7670" max="7670" width="15.88671875" bestFit="1" customWidth="1"/>
    <col min="7671" max="7671" width="9.88671875" bestFit="1" customWidth="1"/>
    <col min="7672" max="7672" width="10.5546875" bestFit="1" customWidth="1"/>
    <col min="7673" max="7673" width="13.44140625" bestFit="1" customWidth="1"/>
    <col min="7674" max="7674" width="10.44140625" bestFit="1" customWidth="1"/>
    <col min="7675" max="7675" width="8.109375" bestFit="1" customWidth="1"/>
    <col min="7676" max="7676" width="16.44140625" bestFit="1" customWidth="1"/>
    <col min="7677" max="7677" width="9.5546875" bestFit="1" customWidth="1"/>
    <col min="7678" max="7678" width="7" bestFit="1" customWidth="1"/>
    <col min="7679" max="7679" width="33.109375" bestFit="1" customWidth="1"/>
    <col min="7680" max="7680" width="17.5546875" bestFit="1" customWidth="1"/>
    <col min="7681" max="7681" width="11.33203125" bestFit="1" customWidth="1"/>
    <col min="7682" max="7682" width="5" bestFit="1" customWidth="1"/>
    <col min="7683" max="7683" width="9.5546875" bestFit="1" customWidth="1"/>
    <col min="7684" max="7684" width="6.6640625" bestFit="1" customWidth="1"/>
    <col min="7686" max="7686" width="8.44140625" bestFit="1" customWidth="1"/>
    <col min="7687" max="7687" width="5.44140625" bestFit="1" customWidth="1"/>
    <col min="7688" max="7688" width="14.33203125" bestFit="1" customWidth="1"/>
    <col min="7689" max="7689" width="20.5546875" bestFit="1" customWidth="1"/>
    <col min="7690" max="7690" width="17.33203125" bestFit="1" customWidth="1"/>
    <col min="7691" max="7691" width="13.88671875" bestFit="1" customWidth="1"/>
    <col min="7692" max="7692" width="12.6640625" bestFit="1" customWidth="1"/>
    <col min="7693" max="7693" width="6.88671875" bestFit="1" customWidth="1"/>
    <col min="7925" max="7925" width="15.77734375" bestFit="1" customWidth="1"/>
    <col min="7926" max="7926" width="15.88671875" bestFit="1" customWidth="1"/>
    <col min="7927" max="7927" width="9.88671875" bestFit="1" customWidth="1"/>
    <col min="7928" max="7928" width="10.5546875" bestFit="1" customWidth="1"/>
    <col min="7929" max="7929" width="13.44140625" bestFit="1" customWidth="1"/>
    <col min="7930" max="7930" width="10.44140625" bestFit="1" customWidth="1"/>
    <col min="7931" max="7931" width="8.109375" bestFit="1" customWidth="1"/>
    <col min="7932" max="7932" width="16.44140625" bestFit="1" customWidth="1"/>
    <col min="7933" max="7933" width="9.5546875" bestFit="1" customWidth="1"/>
    <col min="7934" max="7934" width="7" bestFit="1" customWidth="1"/>
    <col min="7935" max="7935" width="33.109375" bestFit="1" customWidth="1"/>
    <col min="7936" max="7936" width="17.5546875" bestFit="1" customWidth="1"/>
    <col min="7937" max="7937" width="11.33203125" bestFit="1" customWidth="1"/>
    <col min="7938" max="7938" width="5" bestFit="1" customWidth="1"/>
    <col min="7939" max="7939" width="9.5546875" bestFit="1" customWidth="1"/>
    <col min="7940" max="7940" width="6.6640625" bestFit="1" customWidth="1"/>
    <col min="7942" max="7942" width="8.44140625" bestFit="1" customWidth="1"/>
    <col min="7943" max="7943" width="5.44140625" bestFit="1" customWidth="1"/>
    <col min="7944" max="7944" width="14.33203125" bestFit="1" customWidth="1"/>
    <col min="7945" max="7945" width="20.5546875" bestFit="1" customWidth="1"/>
    <col min="7946" max="7946" width="17.33203125" bestFit="1" customWidth="1"/>
    <col min="7947" max="7947" width="13.88671875" bestFit="1" customWidth="1"/>
    <col min="7948" max="7948" width="12.6640625" bestFit="1" customWidth="1"/>
    <col min="7949" max="7949" width="6.88671875" bestFit="1" customWidth="1"/>
    <col min="8181" max="8181" width="15.77734375" bestFit="1" customWidth="1"/>
    <col min="8182" max="8182" width="15.88671875" bestFit="1" customWidth="1"/>
    <col min="8183" max="8183" width="9.88671875" bestFit="1" customWidth="1"/>
    <col min="8184" max="8184" width="10.5546875" bestFit="1" customWidth="1"/>
    <col min="8185" max="8185" width="13.44140625" bestFit="1" customWidth="1"/>
    <col min="8186" max="8186" width="10.44140625" bestFit="1" customWidth="1"/>
    <col min="8187" max="8187" width="8.109375" bestFit="1" customWidth="1"/>
    <col min="8188" max="8188" width="16.44140625" bestFit="1" customWidth="1"/>
    <col min="8189" max="8189" width="9.5546875" bestFit="1" customWidth="1"/>
    <col min="8190" max="8190" width="7" bestFit="1" customWidth="1"/>
    <col min="8191" max="8191" width="33.109375" bestFit="1" customWidth="1"/>
    <col min="8192" max="8192" width="17.5546875" bestFit="1" customWidth="1"/>
    <col min="8193" max="8193" width="11.33203125" bestFit="1" customWidth="1"/>
    <col min="8194" max="8194" width="5" bestFit="1" customWidth="1"/>
    <col min="8195" max="8195" width="9.5546875" bestFit="1" customWidth="1"/>
    <col min="8196" max="8196" width="6.6640625" bestFit="1" customWidth="1"/>
    <col min="8198" max="8198" width="8.44140625" bestFit="1" customWidth="1"/>
    <col min="8199" max="8199" width="5.44140625" bestFit="1" customWidth="1"/>
    <col min="8200" max="8200" width="14.33203125" bestFit="1" customWidth="1"/>
    <col min="8201" max="8201" width="20.5546875" bestFit="1" customWidth="1"/>
    <col min="8202" max="8202" width="17.33203125" bestFit="1" customWidth="1"/>
    <col min="8203" max="8203" width="13.88671875" bestFit="1" customWidth="1"/>
    <col min="8204" max="8204" width="12.6640625" bestFit="1" customWidth="1"/>
    <col min="8205" max="8205" width="6.88671875" bestFit="1" customWidth="1"/>
    <col min="8437" max="8437" width="15.77734375" bestFit="1" customWidth="1"/>
    <col min="8438" max="8438" width="15.88671875" bestFit="1" customWidth="1"/>
    <col min="8439" max="8439" width="9.88671875" bestFit="1" customWidth="1"/>
    <col min="8440" max="8440" width="10.5546875" bestFit="1" customWidth="1"/>
    <col min="8441" max="8441" width="13.44140625" bestFit="1" customWidth="1"/>
    <col min="8442" max="8442" width="10.44140625" bestFit="1" customWidth="1"/>
    <col min="8443" max="8443" width="8.109375" bestFit="1" customWidth="1"/>
    <col min="8444" max="8444" width="16.44140625" bestFit="1" customWidth="1"/>
    <col min="8445" max="8445" width="9.5546875" bestFit="1" customWidth="1"/>
    <col min="8446" max="8446" width="7" bestFit="1" customWidth="1"/>
    <col min="8447" max="8447" width="33.109375" bestFit="1" customWidth="1"/>
    <col min="8448" max="8448" width="17.5546875" bestFit="1" customWidth="1"/>
    <col min="8449" max="8449" width="11.33203125" bestFit="1" customWidth="1"/>
    <col min="8450" max="8450" width="5" bestFit="1" customWidth="1"/>
    <col min="8451" max="8451" width="9.5546875" bestFit="1" customWidth="1"/>
    <col min="8452" max="8452" width="6.6640625" bestFit="1" customWidth="1"/>
    <col min="8454" max="8454" width="8.44140625" bestFit="1" customWidth="1"/>
    <col min="8455" max="8455" width="5.44140625" bestFit="1" customWidth="1"/>
    <col min="8456" max="8456" width="14.33203125" bestFit="1" customWidth="1"/>
    <col min="8457" max="8457" width="20.5546875" bestFit="1" customWidth="1"/>
    <col min="8458" max="8458" width="17.33203125" bestFit="1" customWidth="1"/>
    <col min="8459" max="8459" width="13.88671875" bestFit="1" customWidth="1"/>
    <col min="8460" max="8460" width="12.6640625" bestFit="1" customWidth="1"/>
    <col min="8461" max="8461" width="6.88671875" bestFit="1" customWidth="1"/>
    <col min="8693" max="8693" width="15.77734375" bestFit="1" customWidth="1"/>
    <col min="8694" max="8694" width="15.88671875" bestFit="1" customWidth="1"/>
    <col min="8695" max="8695" width="9.88671875" bestFit="1" customWidth="1"/>
    <col min="8696" max="8696" width="10.5546875" bestFit="1" customWidth="1"/>
    <col min="8697" max="8697" width="13.44140625" bestFit="1" customWidth="1"/>
    <col min="8698" max="8698" width="10.44140625" bestFit="1" customWidth="1"/>
    <col min="8699" max="8699" width="8.109375" bestFit="1" customWidth="1"/>
    <col min="8700" max="8700" width="16.44140625" bestFit="1" customWidth="1"/>
    <col min="8701" max="8701" width="9.5546875" bestFit="1" customWidth="1"/>
    <col min="8702" max="8702" width="7" bestFit="1" customWidth="1"/>
    <col min="8703" max="8703" width="33.109375" bestFit="1" customWidth="1"/>
    <col min="8704" max="8704" width="17.5546875" bestFit="1" customWidth="1"/>
    <col min="8705" max="8705" width="11.33203125" bestFit="1" customWidth="1"/>
    <col min="8706" max="8706" width="5" bestFit="1" customWidth="1"/>
    <col min="8707" max="8707" width="9.5546875" bestFit="1" customWidth="1"/>
    <col min="8708" max="8708" width="6.6640625" bestFit="1" customWidth="1"/>
    <col min="8710" max="8710" width="8.44140625" bestFit="1" customWidth="1"/>
    <col min="8711" max="8711" width="5.44140625" bestFit="1" customWidth="1"/>
    <col min="8712" max="8712" width="14.33203125" bestFit="1" customWidth="1"/>
    <col min="8713" max="8713" width="20.5546875" bestFit="1" customWidth="1"/>
    <col min="8714" max="8714" width="17.33203125" bestFit="1" customWidth="1"/>
    <col min="8715" max="8715" width="13.88671875" bestFit="1" customWidth="1"/>
    <col min="8716" max="8716" width="12.6640625" bestFit="1" customWidth="1"/>
    <col min="8717" max="8717" width="6.88671875" bestFit="1" customWidth="1"/>
    <col min="8949" max="8949" width="15.77734375" bestFit="1" customWidth="1"/>
    <col min="8950" max="8950" width="15.88671875" bestFit="1" customWidth="1"/>
    <col min="8951" max="8951" width="9.88671875" bestFit="1" customWidth="1"/>
    <col min="8952" max="8952" width="10.5546875" bestFit="1" customWidth="1"/>
    <col min="8953" max="8953" width="13.44140625" bestFit="1" customWidth="1"/>
    <col min="8954" max="8954" width="10.44140625" bestFit="1" customWidth="1"/>
    <col min="8955" max="8955" width="8.109375" bestFit="1" customWidth="1"/>
    <col min="8956" max="8956" width="16.44140625" bestFit="1" customWidth="1"/>
    <col min="8957" max="8957" width="9.5546875" bestFit="1" customWidth="1"/>
    <col min="8958" max="8958" width="7" bestFit="1" customWidth="1"/>
    <col min="8959" max="8959" width="33.109375" bestFit="1" customWidth="1"/>
    <col min="8960" max="8960" width="17.5546875" bestFit="1" customWidth="1"/>
    <col min="8961" max="8961" width="11.33203125" bestFit="1" customWidth="1"/>
    <col min="8962" max="8962" width="5" bestFit="1" customWidth="1"/>
    <col min="8963" max="8963" width="9.5546875" bestFit="1" customWidth="1"/>
    <col min="8964" max="8964" width="6.6640625" bestFit="1" customWidth="1"/>
    <col min="8966" max="8966" width="8.44140625" bestFit="1" customWidth="1"/>
    <col min="8967" max="8967" width="5.44140625" bestFit="1" customWidth="1"/>
    <col min="8968" max="8968" width="14.33203125" bestFit="1" customWidth="1"/>
    <col min="8969" max="8969" width="20.5546875" bestFit="1" customWidth="1"/>
    <col min="8970" max="8970" width="17.33203125" bestFit="1" customWidth="1"/>
    <col min="8971" max="8971" width="13.88671875" bestFit="1" customWidth="1"/>
    <col min="8972" max="8972" width="12.6640625" bestFit="1" customWidth="1"/>
    <col min="8973" max="8973" width="6.88671875" bestFit="1" customWidth="1"/>
    <col min="9205" max="9205" width="15.77734375" bestFit="1" customWidth="1"/>
    <col min="9206" max="9206" width="15.88671875" bestFit="1" customWidth="1"/>
    <col min="9207" max="9207" width="9.88671875" bestFit="1" customWidth="1"/>
    <col min="9208" max="9208" width="10.5546875" bestFit="1" customWidth="1"/>
    <col min="9209" max="9209" width="13.44140625" bestFit="1" customWidth="1"/>
    <col min="9210" max="9210" width="10.44140625" bestFit="1" customWidth="1"/>
    <col min="9211" max="9211" width="8.109375" bestFit="1" customWidth="1"/>
    <col min="9212" max="9212" width="16.44140625" bestFit="1" customWidth="1"/>
    <col min="9213" max="9213" width="9.5546875" bestFit="1" customWidth="1"/>
    <col min="9214" max="9214" width="7" bestFit="1" customWidth="1"/>
    <col min="9215" max="9215" width="33.109375" bestFit="1" customWidth="1"/>
    <col min="9216" max="9216" width="17.5546875" bestFit="1" customWidth="1"/>
    <col min="9217" max="9217" width="11.33203125" bestFit="1" customWidth="1"/>
    <col min="9218" max="9218" width="5" bestFit="1" customWidth="1"/>
    <col min="9219" max="9219" width="9.5546875" bestFit="1" customWidth="1"/>
    <col min="9220" max="9220" width="6.6640625" bestFit="1" customWidth="1"/>
    <col min="9222" max="9222" width="8.44140625" bestFit="1" customWidth="1"/>
    <col min="9223" max="9223" width="5.44140625" bestFit="1" customWidth="1"/>
    <col min="9224" max="9224" width="14.33203125" bestFit="1" customWidth="1"/>
    <col min="9225" max="9225" width="20.5546875" bestFit="1" customWidth="1"/>
    <col min="9226" max="9226" width="17.33203125" bestFit="1" customWidth="1"/>
    <col min="9227" max="9227" width="13.88671875" bestFit="1" customWidth="1"/>
    <col min="9228" max="9228" width="12.6640625" bestFit="1" customWidth="1"/>
    <col min="9229" max="9229" width="6.88671875" bestFit="1" customWidth="1"/>
    <col min="9461" max="9461" width="15.77734375" bestFit="1" customWidth="1"/>
    <col min="9462" max="9462" width="15.88671875" bestFit="1" customWidth="1"/>
    <col min="9463" max="9463" width="9.88671875" bestFit="1" customWidth="1"/>
    <col min="9464" max="9464" width="10.5546875" bestFit="1" customWidth="1"/>
    <col min="9465" max="9465" width="13.44140625" bestFit="1" customWidth="1"/>
    <col min="9466" max="9466" width="10.44140625" bestFit="1" customWidth="1"/>
    <col min="9467" max="9467" width="8.109375" bestFit="1" customWidth="1"/>
    <col min="9468" max="9468" width="16.44140625" bestFit="1" customWidth="1"/>
    <col min="9469" max="9469" width="9.5546875" bestFit="1" customWidth="1"/>
    <col min="9470" max="9470" width="7" bestFit="1" customWidth="1"/>
    <col min="9471" max="9471" width="33.109375" bestFit="1" customWidth="1"/>
    <col min="9472" max="9472" width="17.5546875" bestFit="1" customWidth="1"/>
    <col min="9473" max="9473" width="11.33203125" bestFit="1" customWidth="1"/>
    <col min="9474" max="9474" width="5" bestFit="1" customWidth="1"/>
    <col min="9475" max="9475" width="9.5546875" bestFit="1" customWidth="1"/>
    <col min="9476" max="9476" width="6.6640625" bestFit="1" customWidth="1"/>
    <col min="9478" max="9478" width="8.44140625" bestFit="1" customWidth="1"/>
    <col min="9479" max="9479" width="5.44140625" bestFit="1" customWidth="1"/>
    <col min="9480" max="9480" width="14.33203125" bestFit="1" customWidth="1"/>
    <col min="9481" max="9481" width="20.5546875" bestFit="1" customWidth="1"/>
    <col min="9482" max="9482" width="17.33203125" bestFit="1" customWidth="1"/>
    <col min="9483" max="9483" width="13.88671875" bestFit="1" customWidth="1"/>
    <col min="9484" max="9484" width="12.6640625" bestFit="1" customWidth="1"/>
    <col min="9485" max="9485" width="6.88671875" bestFit="1" customWidth="1"/>
    <col min="9717" max="9717" width="15.77734375" bestFit="1" customWidth="1"/>
    <col min="9718" max="9718" width="15.88671875" bestFit="1" customWidth="1"/>
    <col min="9719" max="9719" width="9.88671875" bestFit="1" customWidth="1"/>
    <col min="9720" max="9720" width="10.5546875" bestFit="1" customWidth="1"/>
    <col min="9721" max="9721" width="13.44140625" bestFit="1" customWidth="1"/>
    <col min="9722" max="9722" width="10.44140625" bestFit="1" customWidth="1"/>
    <col min="9723" max="9723" width="8.109375" bestFit="1" customWidth="1"/>
    <col min="9724" max="9724" width="16.44140625" bestFit="1" customWidth="1"/>
    <col min="9725" max="9725" width="9.5546875" bestFit="1" customWidth="1"/>
    <col min="9726" max="9726" width="7" bestFit="1" customWidth="1"/>
    <col min="9727" max="9727" width="33.109375" bestFit="1" customWidth="1"/>
    <col min="9728" max="9728" width="17.5546875" bestFit="1" customWidth="1"/>
    <col min="9729" max="9729" width="11.33203125" bestFit="1" customWidth="1"/>
    <col min="9730" max="9730" width="5" bestFit="1" customWidth="1"/>
    <col min="9731" max="9731" width="9.5546875" bestFit="1" customWidth="1"/>
    <col min="9732" max="9732" width="6.6640625" bestFit="1" customWidth="1"/>
    <col min="9734" max="9734" width="8.44140625" bestFit="1" customWidth="1"/>
    <col min="9735" max="9735" width="5.44140625" bestFit="1" customWidth="1"/>
    <col min="9736" max="9736" width="14.33203125" bestFit="1" customWidth="1"/>
    <col min="9737" max="9737" width="20.5546875" bestFit="1" customWidth="1"/>
    <col min="9738" max="9738" width="17.33203125" bestFit="1" customWidth="1"/>
    <col min="9739" max="9739" width="13.88671875" bestFit="1" customWidth="1"/>
    <col min="9740" max="9740" width="12.6640625" bestFit="1" customWidth="1"/>
    <col min="9741" max="9741" width="6.88671875" bestFit="1" customWidth="1"/>
    <col min="9973" max="9973" width="15.77734375" bestFit="1" customWidth="1"/>
    <col min="9974" max="9974" width="15.88671875" bestFit="1" customWidth="1"/>
    <col min="9975" max="9975" width="9.88671875" bestFit="1" customWidth="1"/>
    <col min="9976" max="9976" width="10.5546875" bestFit="1" customWidth="1"/>
    <col min="9977" max="9977" width="13.44140625" bestFit="1" customWidth="1"/>
    <col min="9978" max="9978" width="10.44140625" bestFit="1" customWidth="1"/>
    <col min="9979" max="9979" width="8.109375" bestFit="1" customWidth="1"/>
    <col min="9980" max="9980" width="16.44140625" bestFit="1" customWidth="1"/>
    <col min="9981" max="9981" width="9.5546875" bestFit="1" customWidth="1"/>
    <col min="9982" max="9982" width="7" bestFit="1" customWidth="1"/>
    <col min="9983" max="9983" width="33.109375" bestFit="1" customWidth="1"/>
    <col min="9984" max="9984" width="17.5546875" bestFit="1" customWidth="1"/>
    <col min="9985" max="9985" width="11.33203125" bestFit="1" customWidth="1"/>
    <col min="9986" max="9986" width="5" bestFit="1" customWidth="1"/>
    <col min="9987" max="9987" width="9.5546875" bestFit="1" customWidth="1"/>
    <col min="9988" max="9988" width="6.6640625" bestFit="1" customWidth="1"/>
    <col min="9990" max="9990" width="8.44140625" bestFit="1" customWidth="1"/>
    <col min="9991" max="9991" width="5.44140625" bestFit="1" customWidth="1"/>
    <col min="9992" max="9992" width="14.33203125" bestFit="1" customWidth="1"/>
    <col min="9993" max="9993" width="20.5546875" bestFit="1" customWidth="1"/>
    <col min="9994" max="9994" width="17.33203125" bestFit="1" customWidth="1"/>
    <col min="9995" max="9995" width="13.88671875" bestFit="1" customWidth="1"/>
    <col min="9996" max="9996" width="12.6640625" bestFit="1" customWidth="1"/>
    <col min="9997" max="9997" width="6.88671875" bestFit="1" customWidth="1"/>
    <col min="10229" max="10229" width="15.77734375" bestFit="1" customWidth="1"/>
    <col min="10230" max="10230" width="15.88671875" bestFit="1" customWidth="1"/>
    <col min="10231" max="10231" width="9.88671875" bestFit="1" customWidth="1"/>
    <col min="10232" max="10232" width="10.5546875" bestFit="1" customWidth="1"/>
    <col min="10233" max="10233" width="13.44140625" bestFit="1" customWidth="1"/>
    <col min="10234" max="10234" width="10.44140625" bestFit="1" customWidth="1"/>
    <col min="10235" max="10235" width="8.109375" bestFit="1" customWidth="1"/>
    <col min="10236" max="10236" width="16.44140625" bestFit="1" customWidth="1"/>
    <col min="10237" max="10237" width="9.5546875" bestFit="1" customWidth="1"/>
    <col min="10238" max="10238" width="7" bestFit="1" customWidth="1"/>
    <col min="10239" max="10239" width="33.109375" bestFit="1" customWidth="1"/>
    <col min="10240" max="10240" width="17.5546875" bestFit="1" customWidth="1"/>
    <col min="10241" max="10241" width="11.33203125" bestFit="1" customWidth="1"/>
    <col min="10242" max="10242" width="5" bestFit="1" customWidth="1"/>
    <col min="10243" max="10243" width="9.5546875" bestFit="1" customWidth="1"/>
    <col min="10244" max="10244" width="6.6640625" bestFit="1" customWidth="1"/>
    <col min="10246" max="10246" width="8.44140625" bestFit="1" customWidth="1"/>
    <col min="10247" max="10247" width="5.44140625" bestFit="1" customWidth="1"/>
    <col min="10248" max="10248" width="14.33203125" bestFit="1" customWidth="1"/>
    <col min="10249" max="10249" width="20.5546875" bestFit="1" customWidth="1"/>
    <col min="10250" max="10250" width="17.33203125" bestFit="1" customWidth="1"/>
    <col min="10251" max="10251" width="13.88671875" bestFit="1" customWidth="1"/>
    <col min="10252" max="10252" width="12.6640625" bestFit="1" customWidth="1"/>
    <col min="10253" max="10253" width="6.88671875" bestFit="1" customWidth="1"/>
    <col min="10485" max="10485" width="15.77734375" bestFit="1" customWidth="1"/>
    <col min="10486" max="10486" width="15.88671875" bestFit="1" customWidth="1"/>
    <col min="10487" max="10487" width="9.88671875" bestFit="1" customWidth="1"/>
    <col min="10488" max="10488" width="10.5546875" bestFit="1" customWidth="1"/>
    <col min="10489" max="10489" width="13.44140625" bestFit="1" customWidth="1"/>
    <col min="10490" max="10490" width="10.44140625" bestFit="1" customWidth="1"/>
    <col min="10491" max="10491" width="8.109375" bestFit="1" customWidth="1"/>
    <col min="10492" max="10492" width="16.44140625" bestFit="1" customWidth="1"/>
    <col min="10493" max="10493" width="9.5546875" bestFit="1" customWidth="1"/>
    <col min="10494" max="10494" width="7" bestFit="1" customWidth="1"/>
    <col min="10495" max="10495" width="33.109375" bestFit="1" customWidth="1"/>
    <col min="10496" max="10496" width="17.5546875" bestFit="1" customWidth="1"/>
    <col min="10497" max="10497" width="11.33203125" bestFit="1" customWidth="1"/>
    <col min="10498" max="10498" width="5" bestFit="1" customWidth="1"/>
    <col min="10499" max="10499" width="9.5546875" bestFit="1" customWidth="1"/>
    <col min="10500" max="10500" width="6.6640625" bestFit="1" customWidth="1"/>
    <col min="10502" max="10502" width="8.44140625" bestFit="1" customWidth="1"/>
    <col min="10503" max="10503" width="5.44140625" bestFit="1" customWidth="1"/>
    <col min="10504" max="10504" width="14.33203125" bestFit="1" customWidth="1"/>
    <col min="10505" max="10505" width="20.5546875" bestFit="1" customWidth="1"/>
    <col min="10506" max="10506" width="17.33203125" bestFit="1" customWidth="1"/>
    <col min="10507" max="10507" width="13.88671875" bestFit="1" customWidth="1"/>
    <col min="10508" max="10508" width="12.6640625" bestFit="1" customWidth="1"/>
    <col min="10509" max="10509" width="6.88671875" bestFit="1" customWidth="1"/>
    <col min="10741" max="10741" width="15.77734375" bestFit="1" customWidth="1"/>
    <col min="10742" max="10742" width="15.88671875" bestFit="1" customWidth="1"/>
    <col min="10743" max="10743" width="9.88671875" bestFit="1" customWidth="1"/>
    <col min="10744" max="10744" width="10.5546875" bestFit="1" customWidth="1"/>
    <col min="10745" max="10745" width="13.44140625" bestFit="1" customWidth="1"/>
    <col min="10746" max="10746" width="10.44140625" bestFit="1" customWidth="1"/>
    <col min="10747" max="10747" width="8.109375" bestFit="1" customWidth="1"/>
    <col min="10748" max="10748" width="16.44140625" bestFit="1" customWidth="1"/>
    <col min="10749" max="10749" width="9.5546875" bestFit="1" customWidth="1"/>
    <col min="10750" max="10750" width="7" bestFit="1" customWidth="1"/>
    <col min="10751" max="10751" width="33.109375" bestFit="1" customWidth="1"/>
    <col min="10752" max="10752" width="17.5546875" bestFit="1" customWidth="1"/>
    <col min="10753" max="10753" width="11.33203125" bestFit="1" customWidth="1"/>
    <col min="10754" max="10754" width="5" bestFit="1" customWidth="1"/>
    <col min="10755" max="10755" width="9.5546875" bestFit="1" customWidth="1"/>
    <col min="10756" max="10756" width="6.6640625" bestFit="1" customWidth="1"/>
    <col min="10758" max="10758" width="8.44140625" bestFit="1" customWidth="1"/>
    <col min="10759" max="10759" width="5.44140625" bestFit="1" customWidth="1"/>
    <col min="10760" max="10760" width="14.33203125" bestFit="1" customWidth="1"/>
    <col min="10761" max="10761" width="20.5546875" bestFit="1" customWidth="1"/>
    <col min="10762" max="10762" width="17.33203125" bestFit="1" customWidth="1"/>
    <col min="10763" max="10763" width="13.88671875" bestFit="1" customWidth="1"/>
    <col min="10764" max="10764" width="12.6640625" bestFit="1" customWidth="1"/>
    <col min="10765" max="10765" width="6.88671875" bestFit="1" customWidth="1"/>
    <col min="10997" max="10997" width="15.77734375" bestFit="1" customWidth="1"/>
    <col min="10998" max="10998" width="15.88671875" bestFit="1" customWidth="1"/>
    <col min="10999" max="10999" width="9.88671875" bestFit="1" customWidth="1"/>
    <col min="11000" max="11000" width="10.5546875" bestFit="1" customWidth="1"/>
    <col min="11001" max="11001" width="13.44140625" bestFit="1" customWidth="1"/>
    <col min="11002" max="11002" width="10.44140625" bestFit="1" customWidth="1"/>
    <col min="11003" max="11003" width="8.109375" bestFit="1" customWidth="1"/>
    <col min="11004" max="11004" width="16.44140625" bestFit="1" customWidth="1"/>
    <col min="11005" max="11005" width="9.5546875" bestFit="1" customWidth="1"/>
    <col min="11006" max="11006" width="7" bestFit="1" customWidth="1"/>
    <col min="11007" max="11007" width="33.109375" bestFit="1" customWidth="1"/>
    <col min="11008" max="11008" width="17.5546875" bestFit="1" customWidth="1"/>
    <col min="11009" max="11009" width="11.33203125" bestFit="1" customWidth="1"/>
    <col min="11010" max="11010" width="5" bestFit="1" customWidth="1"/>
    <col min="11011" max="11011" width="9.5546875" bestFit="1" customWidth="1"/>
    <col min="11012" max="11012" width="6.6640625" bestFit="1" customWidth="1"/>
    <col min="11014" max="11014" width="8.44140625" bestFit="1" customWidth="1"/>
    <col min="11015" max="11015" width="5.44140625" bestFit="1" customWidth="1"/>
    <col min="11016" max="11016" width="14.33203125" bestFit="1" customWidth="1"/>
    <col min="11017" max="11017" width="20.5546875" bestFit="1" customWidth="1"/>
    <col min="11018" max="11018" width="17.33203125" bestFit="1" customWidth="1"/>
    <col min="11019" max="11019" width="13.88671875" bestFit="1" customWidth="1"/>
    <col min="11020" max="11020" width="12.6640625" bestFit="1" customWidth="1"/>
    <col min="11021" max="11021" width="6.88671875" bestFit="1" customWidth="1"/>
    <col min="11253" max="11253" width="15.77734375" bestFit="1" customWidth="1"/>
    <col min="11254" max="11254" width="15.88671875" bestFit="1" customWidth="1"/>
    <col min="11255" max="11255" width="9.88671875" bestFit="1" customWidth="1"/>
    <col min="11256" max="11256" width="10.5546875" bestFit="1" customWidth="1"/>
    <col min="11257" max="11257" width="13.44140625" bestFit="1" customWidth="1"/>
    <col min="11258" max="11258" width="10.44140625" bestFit="1" customWidth="1"/>
    <col min="11259" max="11259" width="8.109375" bestFit="1" customWidth="1"/>
    <col min="11260" max="11260" width="16.44140625" bestFit="1" customWidth="1"/>
    <col min="11261" max="11261" width="9.5546875" bestFit="1" customWidth="1"/>
    <col min="11262" max="11262" width="7" bestFit="1" customWidth="1"/>
    <col min="11263" max="11263" width="33.109375" bestFit="1" customWidth="1"/>
    <col min="11264" max="11264" width="17.5546875" bestFit="1" customWidth="1"/>
    <col min="11265" max="11265" width="11.33203125" bestFit="1" customWidth="1"/>
    <col min="11266" max="11266" width="5" bestFit="1" customWidth="1"/>
    <col min="11267" max="11267" width="9.5546875" bestFit="1" customWidth="1"/>
    <col min="11268" max="11268" width="6.6640625" bestFit="1" customWidth="1"/>
    <col min="11270" max="11270" width="8.44140625" bestFit="1" customWidth="1"/>
    <col min="11271" max="11271" width="5.44140625" bestFit="1" customWidth="1"/>
    <col min="11272" max="11272" width="14.33203125" bestFit="1" customWidth="1"/>
    <col min="11273" max="11273" width="20.5546875" bestFit="1" customWidth="1"/>
    <col min="11274" max="11274" width="17.33203125" bestFit="1" customWidth="1"/>
    <col min="11275" max="11275" width="13.88671875" bestFit="1" customWidth="1"/>
    <col min="11276" max="11276" width="12.6640625" bestFit="1" customWidth="1"/>
    <col min="11277" max="11277" width="6.88671875" bestFit="1" customWidth="1"/>
    <col min="11509" max="11509" width="15.77734375" bestFit="1" customWidth="1"/>
    <col min="11510" max="11510" width="15.88671875" bestFit="1" customWidth="1"/>
    <col min="11511" max="11511" width="9.88671875" bestFit="1" customWidth="1"/>
    <col min="11512" max="11512" width="10.5546875" bestFit="1" customWidth="1"/>
    <col min="11513" max="11513" width="13.44140625" bestFit="1" customWidth="1"/>
    <col min="11514" max="11514" width="10.44140625" bestFit="1" customWidth="1"/>
    <col min="11515" max="11515" width="8.109375" bestFit="1" customWidth="1"/>
    <col min="11516" max="11516" width="16.44140625" bestFit="1" customWidth="1"/>
    <col min="11517" max="11517" width="9.5546875" bestFit="1" customWidth="1"/>
    <col min="11518" max="11518" width="7" bestFit="1" customWidth="1"/>
    <col min="11519" max="11519" width="33.109375" bestFit="1" customWidth="1"/>
    <col min="11520" max="11520" width="17.5546875" bestFit="1" customWidth="1"/>
    <col min="11521" max="11521" width="11.33203125" bestFit="1" customWidth="1"/>
    <col min="11522" max="11522" width="5" bestFit="1" customWidth="1"/>
    <col min="11523" max="11523" width="9.5546875" bestFit="1" customWidth="1"/>
    <col min="11524" max="11524" width="6.6640625" bestFit="1" customWidth="1"/>
    <col min="11526" max="11526" width="8.44140625" bestFit="1" customWidth="1"/>
    <col min="11527" max="11527" width="5.44140625" bestFit="1" customWidth="1"/>
    <col min="11528" max="11528" width="14.33203125" bestFit="1" customWidth="1"/>
    <col min="11529" max="11529" width="20.5546875" bestFit="1" customWidth="1"/>
    <col min="11530" max="11530" width="17.33203125" bestFit="1" customWidth="1"/>
    <col min="11531" max="11531" width="13.88671875" bestFit="1" customWidth="1"/>
    <col min="11532" max="11532" width="12.6640625" bestFit="1" customWidth="1"/>
    <col min="11533" max="11533" width="6.88671875" bestFit="1" customWidth="1"/>
    <col min="11765" max="11765" width="15.77734375" bestFit="1" customWidth="1"/>
    <col min="11766" max="11766" width="15.88671875" bestFit="1" customWidth="1"/>
    <col min="11767" max="11767" width="9.88671875" bestFit="1" customWidth="1"/>
    <col min="11768" max="11768" width="10.5546875" bestFit="1" customWidth="1"/>
    <col min="11769" max="11769" width="13.44140625" bestFit="1" customWidth="1"/>
    <col min="11770" max="11770" width="10.44140625" bestFit="1" customWidth="1"/>
    <col min="11771" max="11771" width="8.109375" bestFit="1" customWidth="1"/>
    <col min="11772" max="11772" width="16.44140625" bestFit="1" customWidth="1"/>
    <col min="11773" max="11773" width="9.5546875" bestFit="1" customWidth="1"/>
    <col min="11774" max="11774" width="7" bestFit="1" customWidth="1"/>
    <col min="11775" max="11775" width="33.109375" bestFit="1" customWidth="1"/>
    <col min="11776" max="11776" width="17.5546875" bestFit="1" customWidth="1"/>
    <col min="11777" max="11777" width="11.33203125" bestFit="1" customWidth="1"/>
    <col min="11778" max="11778" width="5" bestFit="1" customWidth="1"/>
    <col min="11779" max="11779" width="9.5546875" bestFit="1" customWidth="1"/>
    <col min="11780" max="11780" width="6.6640625" bestFit="1" customWidth="1"/>
    <col min="11782" max="11782" width="8.44140625" bestFit="1" customWidth="1"/>
    <col min="11783" max="11783" width="5.44140625" bestFit="1" customWidth="1"/>
    <col min="11784" max="11784" width="14.33203125" bestFit="1" customWidth="1"/>
    <col min="11785" max="11785" width="20.5546875" bestFit="1" customWidth="1"/>
    <col min="11786" max="11786" width="17.33203125" bestFit="1" customWidth="1"/>
    <col min="11787" max="11787" width="13.88671875" bestFit="1" customWidth="1"/>
    <col min="11788" max="11788" width="12.6640625" bestFit="1" customWidth="1"/>
    <col min="11789" max="11789" width="6.88671875" bestFit="1" customWidth="1"/>
    <col min="12021" max="12021" width="15.77734375" bestFit="1" customWidth="1"/>
    <col min="12022" max="12022" width="15.88671875" bestFit="1" customWidth="1"/>
    <col min="12023" max="12023" width="9.88671875" bestFit="1" customWidth="1"/>
    <col min="12024" max="12024" width="10.5546875" bestFit="1" customWidth="1"/>
    <col min="12025" max="12025" width="13.44140625" bestFit="1" customWidth="1"/>
    <col min="12026" max="12026" width="10.44140625" bestFit="1" customWidth="1"/>
    <col min="12027" max="12027" width="8.109375" bestFit="1" customWidth="1"/>
    <col min="12028" max="12028" width="16.44140625" bestFit="1" customWidth="1"/>
    <col min="12029" max="12029" width="9.5546875" bestFit="1" customWidth="1"/>
    <col min="12030" max="12030" width="7" bestFit="1" customWidth="1"/>
    <col min="12031" max="12031" width="33.109375" bestFit="1" customWidth="1"/>
    <col min="12032" max="12032" width="17.5546875" bestFit="1" customWidth="1"/>
    <col min="12033" max="12033" width="11.33203125" bestFit="1" customWidth="1"/>
    <col min="12034" max="12034" width="5" bestFit="1" customWidth="1"/>
    <col min="12035" max="12035" width="9.5546875" bestFit="1" customWidth="1"/>
    <col min="12036" max="12036" width="6.6640625" bestFit="1" customWidth="1"/>
    <col min="12038" max="12038" width="8.44140625" bestFit="1" customWidth="1"/>
    <col min="12039" max="12039" width="5.44140625" bestFit="1" customWidth="1"/>
    <col min="12040" max="12040" width="14.33203125" bestFit="1" customWidth="1"/>
    <col min="12041" max="12041" width="20.5546875" bestFit="1" customWidth="1"/>
    <col min="12042" max="12042" width="17.33203125" bestFit="1" customWidth="1"/>
    <col min="12043" max="12043" width="13.88671875" bestFit="1" customWidth="1"/>
    <col min="12044" max="12044" width="12.6640625" bestFit="1" customWidth="1"/>
    <col min="12045" max="12045" width="6.88671875" bestFit="1" customWidth="1"/>
    <col min="12277" max="12277" width="15.77734375" bestFit="1" customWidth="1"/>
    <col min="12278" max="12278" width="15.88671875" bestFit="1" customWidth="1"/>
    <col min="12279" max="12279" width="9.88671875" bestFit="1" customWidth="1"/>
    <col min="12280" max="12280" width="10.5546875" bestFit="1" customWidth="1"/>
    <col min="12281" max="12281" width="13.44140625" bestFit="1" customWidth="1"/>
    <col min="12282" max="12282" width="10.44140625" bestFit="1" customWidth="1"/>
    <col min="12283" max="12283" width="8.109375" bestFit="1" customWidth="1"/>
    <col min="12284" max="12284" width="16.44140625" bestFit="1" customWidth="1"/>
    <col min="12285" max="12285" width="9.5546875" bestFit="1" customWidth="1"/>
    <col min="12286" max="12286" width="7" bestFit="1" customWidth="1"/>
    <col min="12287" max="12287" width="33.109375" bestFit="1" customWidth="1"/>
    <col min="12288" max="12288" width="17.5546875" bestFit="1" customWidth="1"/>
    <col min="12289" max="12289" width="11.33203125" bestFit="1" customWidth="1"/>
    <col min="12290" max="12290" width="5" bestFit="1" customWidth="1"/>
    <col min="12291" max="12291" width="9.5546875" bestFit="1" customWidth="1"/>
    <col min="12292" max="12292" width="6.6640625" bestFit="1" customWidth="1"/>
    <col min="12294" max="12294" width="8.44140625" bestFit="1" customWidth="1"/>
    <col min="12295" max="12295" width="5.44140625" bestFit="1" customWidth="1"/>
    <col min="12296" max="12296" width="14.33203125" bestFit="1" customWidth="1"/>
    <col min="12297" max="12297" width="20.5546875" bestFit="1" customWidth="1"/>
    <col min="12298" max="12298" width="17.33203125" bestFit="1" customWidth="1"/>
    <col min="12299" max="12299" width="13.88671875" bestFit="1" customWidth="1"/>
    <col min="12300" max="12300" width="12.6640625" bestFit="1" customWidth="1"/>
    <col min="12301" max="12301" width="6.88671875" bestFit="1" customWidth="1"/>
    <col min="12533" max="12533" width="15.77734375" bestFit="1" customWidth="1"/>
    <col min="12534" max="12534" width="15.88671875" bestFit="1" customWidth="1"/>
    <col min="12535" max="12535" width="9.88671875" bestFit="1" customWidth="1"/>
    <col min="12536" max="12536" width="10.5546875" bestFit="1" customWidth="1"/>
    <col min="12537" max="12537" width="13.44140625" bestFit="1" customWidth="1"/>
    <col min="12538" max="12538" width="10.44140625" bestFit="1" customWidth="1"/>
    <col min="12539" max="12539" width="8.109375" bestFit="1" customWidth="1"/>
    <col min="12540" max="12540" width="16.44140625" bestFit="1" customWidth="1"/>
    <col min="12541" max="12541" width="9.5546875" bestFit="1" customWidth="1"/>
    <col min="12542" max="12542" width="7" bestFit="1" customWidth="1"/>
    <col min="12543" max="12543" width="33.109375" bestFit="1" customWidth="1"/>
    <col min="12544" max="12544" width="17.5546875" bestFit="1" customWidth="1"/>
    <col min="12545" max="12545" width="11.33203125" bestFit="1" customWidth="1"/>
    <col min="12546" max="12546" width="5" bestFit="1" customWidth="1"/>
    <col min="12547" max="12547" width="9.5546875" bestFit="1" customWidth="1"/>
    <col min="12548" max="12548" width="6.6640625" bestFit="1" customWidth="1"/>
    <col min="12550" max="12550" width="8.44140625" bestFit="1" customWidth="1"/>
    <col min="12551" max="12551" width="5.44140625" bestFit="1" customWidth="1"/>
    <col min="12552" max="12552" width="14.33203125" bestFit="1" customWidth="1"/>
    <col min="12553" max="12553" width="20.5546875" bestFit="1" customWidth="1"/>
    <col min="12554" max="12554" width="17.33203125" bestFit="1" customWidth="1"/>
    <col min="12555" max="12555" width="13.88671875" bestFit="1" customWidth="1"/>
    <col min="12556" max="12556" width="12.6640625" bestFit="1" customWidth="1"/>
    <col min="12557" max="12557" width="6.88671875" bestFit="1" customWidth="1"/>
    <col min="12789" max="12789" width="15.77734375" bestFit="1" customWidth="1"/>
    <col min="12790" max="12790" width="15.88671875" bestFit="1" customWidth="1"/>
    <col min="12791" max="12791" width="9.88671875" bestFit="1" customWidth="1"/>
    <col min="12792" max="12792" width="10.5546875" bestFit="1" customWidth="1"/>
    <col min="12793" max="12793" width="13.44140625" bestFit="1" customWidth="1"/>
    <col min="12794" max="12794" width="10.44140625" bestFit="1" customWidth="1"/>
    <col min="12795" max="12795" width="8.109375" bestFit="1" customWidth="1"/>
    <col min="12796" max="12796" width="16.44140625" bestFit="1" customWidth="1"/>
    <col min="12797" max="12797" width="9.5546875" bestFit="1" customWidth="1"/>
    <col min="12798" max="12798" width="7" bestFit="1" customWidth="1"/>
    <col min="12799" max="12799" width="33.109375" bestFit="1" customWidth="1"/>
    <col min="12800" max="12800" width="17.5546875" bestFit="1" customWidth="1"/>
    <col min="12801" max="12801" width="11.33203125" bestFit="1" customWidth="1"/>
    <col min="12802" max="12802" width="5" bestFit="1" customWidth="1"/>
    <col min="12803" max="12803" width="9.5546875" bestFit="1" customWidth="1"/>
    <col min="12804" max="12804" width="6.6640625" bestFit="1" customWidth="1"/>
    <col min="12806" max="12806" width="8.44140625" bestFit="1" customWidth="1"/>
    <col min="12807" max="12807" width="5.44140625" bestFit="1" customWidth="1"/>
    <col min="12808" max="12808" width="14.33203125" bestFit="1" customWidth="1"/>
    <col min="12809" max="12809" width="20.5546875" bestFit="1" customWidth="1"/>
    <col min="12810" max="12810" width="17.33203125" bestFit="1" customWidth="1"/>
    <col min="12811" max="12811" width="13.88671875" bestFit="1" customWidth="1"/>
    <col min="12812" max="12812" width="12.6640625" bestFit="1" customWidth="1"/>
    <col min="12813" max="12813" width="6.88671875" bestFit="1" customWidth="1"/>
    <col min="13045" max="13045" width="15.77734375" bestFit="1" customWidth="1"/>
    <col min="13046" max="13046" width="15.88671875" bestFit="1" customWidth="1"/>
    <col min="13047" max="13047" width="9.88671875" bestFit="1" customWidth="1"/>
    <col min="13048" max="13048" width="10.5546875" bestFit="1" customWidth="1"/>
    <col min="13049" max="13049" width="13.44140625" bestFit="1" customWidth="1"/>
    <col min="13050" max="13050" width="10.44140625" bestFit="1" customWidth="1"/>
    <col min="13051" max="13051" width="8.109375" bestFit="1" customWidth="1"/>
    <col min="13052" max="13052" width="16.44140625" bestFit="1" customWidth="1"/>
    <col min="13053" max="13053" width="9.5546875" bestFit="1" customWidth="1"/>
    <col min="13054" max="13054" width="7" bestFit="1" customWidth="1"/>
    <col min="13055" max="13055" width="33.109375" bestFit="1" customWidth="1"/>
    <col min="13056" max="13056" width="17.5546875" bestFit="1" customWidth="1"/>
    <col min="13057" max="13057" width="11.33203125" bestFit="1" customWidth="1"/>
    <col min="13058" max="13058" width="5" bestFit="1" customWidth="1"/>
    <col min="13059" max="13059" width="9.5546875" bestFit="1" customWidth="1"/>
    <col min="13060" max="13060" width="6.6640625" bestFit="1" customWidth="1"/>
    <col min="13062" max="13062" width="8.44140625" bestFit="1" customWidth="1"/>
    <col min="13063" max="13063" width="5.44140625" bestFit="1" customWidth="1"/>
    <col min="13064" max="13064" width="14.33203125" bestFit="1" customWidth="1"/>
    <col min="13065" max="13065" width="20.5546875" bestFit="1" customWidth="1"/>
    <col min="13066" max="13066" width="17.33203125" bestFit="1" customWidth="1"/>
    <col min="13067" max="13067" width="13.88671875" bestFit="1" customWidth="1"/>
    <col min="13068" max="13068" width="12.6640625" bestFit="1" customWidth="1"/>
    <col min="13069" max="13069" width="6.88671875" bestFit="1" customWidth="1"/>
    <col min="13301" max="13301" width="15.77734375" bestFit="1" customWidth="1"/>
    <col min="13302" max="13302" width="15.88671875" bestFit="1" customWidth="1"/>
    <col min="13303" max="13303" width="9.88671875" bestFit="1" customWidth="1"/>
    <col min="13304" max="13304" width="10.5546875" bestFit="1" customWidth="1"/>
    <col min="13305" max="13305" width="13.44140625" bestFit="1" customWidth="1"/>
    <col min="13306" max="13306" width="10.44140625" bestFit="1" customWidth="1"/>
    <col min="13307" max="13307" width="8.109375" bestFit="1" customWidth="1"/>
    <col min="13308" max="13308" width="16.44140625" bestFit="1" customWidth="1"/>
    <col min="13309" max="13309" width="9.5546875" bestFit="1" customWidth="1"/>
    <col min="13310" max="13310" width="7" bestFit="1" customWidth="1"/>
    <col min="13311" max="13311" width="33.109375" bestFit="1" customWidth="1"/>
    <col min="13312" max="13312" width="17.5546875" bestFit="1" customWidth="1"/>
    <col min="13313" max="13313" width="11.33203125" bestFit="1" customWidth="1"/>
    <col min="13314" max="13314" width="5" bestFit="1" customWidth="1"/>
    <col min="13315" max="13315" width="9.5546875" bestFit="1" customWidth="1"/>
    <col min="13316" max="13316" width="6.6640625" bestFit="1" customWidth="1"/>
    <col min="13318" max="13318" width="8.44140625" bestFit="1" customWidth="1"/>
    <col min="13319" max="13319" width="5.44140625" bestFit="1" customWidth="1"/>
    <col min="13320" max="13320" width="14.33203125" bestFit="1" customWidth="1"/>
    <col min="13321" max="13321" width="20.5546875" bestFit="1" customWidth="1"/>
    <col min="13322" max="13322" width="17.33203125" bestFit="1" customWidth="1"/>
    <col min="13323" max="13323" width="13.88671875" bestFit="1" customWidth="1"/>
    <col min="13324" max="13324" width="12.6640625" bestFit="1" customWidth="1"/>
    <col min="13325" max="13325" width="6.88671875" bestFit="1" customWidth="1"/>
    <col min="13557" max="13557" width="15.77734375" bestFit="1" customWidth="1"/>
    <col min="13558" max="13558" width="15.88671875" bestFit="1" customWidth="1"/>
    <col min="13559" max="13559" width="9.88671875" bestFit="1" customWidth="1"/>
    <col min="13560" max="13560" width="10.5546875" bestFit="1" customWidth="1"/>
    <col min="13561" max="13561" width="13.44140625" bestFit="1" customWidth="1"/>
    <col min="13562" max="13562" width="10.44140625" bestFit="1" customWidth="1"/>
    <col min="13563" max="13563" width="8.109375" bestFit="1" customWidth="1"/>
    <col min="13564" max="13564" width="16.44140625" bestFit="1" customWidth="1"/>
    <col min="13565" max="13565" width="9.5546875" bestFit="1" customWidth="1"/>
    <col min="13566" max="13566" width="7" bestFit="1" customWidth="1"/>
    <col min="13567" max="13567" width="33.109375" bestFit="1" customWidth="1"/>
    <col min="13568" max="13568" width="17.5546875" bestFit="1" customWidth="1"/>
    <col min="13569" max="13569" width="11.33203125" bestFit="1" customWidth="1"/>
    <col min="13570" max="13570" width="5" bestFit="1" customWidth="1"/>
    <col min="13571" max="13571" width="9.5546875" bestFit="1" customWidth="1"/>
    <col min="13572" max="13572" width="6.6640625" bestFit="1" customWidth="1"/>
    <col min="13574" max="13574" width="8.44140625" bestFit="1" customWidth="1"/>
    <col min="13575" max="13575" width="5.44140625" bestFit="1" customWidth="1"/>
    <col min="13576" max="13576" width="14.33203125" bestFit="1" customWidth="1"/>
    <col min="13577" max="13577" width="20.5546875" bestFit="1" customWidth="1"/>
    <col min="13578" max="13578" width="17.33203125" bestFit="1" customWidth="1"/>
    <col min="13579" max="13579" width="13.88671875" bestFit="1" customWidth="1"/>
    <col min="13580" max="13580" width="12.6640625" bestFit="1" customWidth="1"/>
    <col min="13581" max="13581" width="6.88671875" bestFit="1" customWidth="1"/>
    <col min="13813" max="13813" width="15.77734375" bestFit="1" customWidth="1"/>
    <col min="13814" max="13814" width="15.88671875" bestFit="1" customWidth="1"/>
    <col min="13815" max="13815" width="9.88671875" bestFit="1" customWidth="1"/>
    <col min="13816" max="13816" width="10.5546875" bestFit="1" customWidth="1"/>
    <col min="13817" max="13817" width="13.44140625" bestFit="1" customWidth="1"/>
    <col min="13818" max="13818" width="10.44140625" bestFit="1" customWidth="1"/>
    <col min="13819" max="13819" width="8.109375" bestFit="1" customWidth="1"/>
    <col min="13820" max="13820" width="16.44140625" bestFit="1" customWidth="1"/>
    <col min="13821" max="13821" width="9.5546875" bestFit="1" customWidth="1"/>
    <col min="13822" max="13822" width="7" bestFit="1" customWidth="1"/>
    <col min="13823" max="13823" width="33.109375" bestFit="1" customWidth="1"/>
    <col min="13824" max="13824" width="17.5546875" bestFit="1" customWidth="1"/>
    <col min="13825" max="13825" width="11.33203125" bestFit="1" customWidth="1"/>
    <col min="13826" max="13826" width="5" bestFit="1" customWidth="1"/>
    <col min="13827" max="13827" width="9.5546875" bestFit="1" customWidth="1"/>
    <col min="13828" max="13828" width="6.6640625" bestFit="1" customWidth="1"/>
    <col min="13830" max="13830" width="8.44140625" bestFit="1" customWidth="1"/>
    <col min="13831" max="13831" width="5.44140625" bestFit="1" customWidth="1"/>
    <col min="13832" max="13832" width="14.33203125" bestFit="1" customWidth="1"/>
    <col min="13833" max="13833" width="20.5546875" bestFit="1" customWidth="1"/>
    <col min="13834" max="13834" width="17.33203125" bestFit="1" customWidth="1"/>
    <col min="13835" max="13835" width="13.88671875" bestFit="1" customWidth="1"/>
    <col min="13836" max="13836" width="12.6640625" bestFit="1" customWidth="1"/>
    <col min="13837" max="13837" width="6.88671875" bestFit="1" customWidth="1"/>
    <col min="14069" max="14069" width="15.77734375" bestFit="1" customWidth="1"/>
    <col min="14070" max="14070" width="15.88671875" bestFit="1" customWidth="1"/>
    <col min="14071" max="14071" width="9.88671875" bestFit="1" customWidth="1"/>
    <col min="14072" max="14072" width="10.5546875" bestFit="1" customWidth="1"/>
    <col min="14073" max="14073" width="13.44140625" bestFit="1" customWidth="1"/>
    <col min="14074" max="14074" width="10.44140625" bestFit="1" customWidth="1"/>
    <col min="14075" max="14075" width="8.109375" bestFit="1" customWidth="1"/>
    <col min="14076" max="14076" width="16.44140625" bestFit="1" customWidth="1"/>
    <col min="14077" max="14077" width="9.5546875" bestFit="1" customWidth="1"/>
    <col min="14078" max="14078" width="7" bestFit="1" customWidth="1"/>
    <col min="14079" max="14079" width="33.109375" bestFit="1" customWidth="1"/>
    <col min="14080" max="14080" width="17.5546875" bestFit="1" customWidth="1"/>
    <col min="14081" max="14081" width="11.33203125" bestFit="1" customWidth="1"/>
    <col min="14082" max="14082" width="5" bestFit="1" customWidth="1"/>
    <col min="14083" max="14083" width="9.5546875" bestFit="1" customWidth="1"/>
    <col min="14084" max="14084" width="6.6640625" bestFit="1" customWidth="1"/>
    <col min="14086" max="14086" width="8.44140625" bestFit="1" customWidth="1"/>
    <col min="14087" max="14087" width="5.44140625" bestFit="1" customWidth="1"/>
    <col min="14088" max="14088" width="14.33203125" bestFit="1" customWidth="1"/>
    <col min="14089" max="14089" width="20.5546875" bestFit="1" customWidth="1"/>
    <col min="14090" max="14090" width="17.33203125" bestFit="1" customWidth="1"/>
    <col min="14091" max="14091" width="13.88671875" bestFit="1" customWidth="1"/>
    <col min="14092" max="14092" width="12.6640625" bestFit="1" customWidth="1"/>
    <col min="14093" max="14093" width="6.88671875" bestFit="1" customWidth="1"/>
    <col min="14325" max="14325" width="15.77734375" bestFit="1" customWidth="1"/>
    <col min="14326" max="14326" width="15.88671875" bestFit="1" customWidth="1"/>
    <col min="14327" max="14327" width="9.88671875" bestFit="1" customWidth="1"/>
    <col min="14328" max="14328" width="10.5546875" bestFit="1" customWidth="1"/>
    <col min="14329" max="14329" width="13.44140625" bestFit="1" customWidth="1"/>
    <col min="14330" max="14330" width="10.44140625" bestFit="1" customWidth="1"/>
    <col min="14331" max="14331" width="8.109375" bestFit="1" customWidth="1"/>
    <col min="14332" max="14332" width="16.44140625" bestFit="1" customWidth="1"/>
    <col min="14333" max="14333" width="9.5546875" bestFit="1" customWidth="1"/>
    <col min="14334" max="14334" width="7" bestFit="1" customWidth="1"/>
    <col min="14335" max="14335" width="33.109375" bestFit="1" customWidth="1"/>
    <col min="14336" max="14336" width="17.5546875" bestFit="1" customWidth="1"/>
    <col min="14337" max="14337" width="11.33203125" bestFit="1" customWidth="1"/>
    <col min="14338" max="14338" width="5" bestFit="1" customWidth="1"/>
    <col min="14339" max="14339" width="9.5546875" bestFit="1" customWidth="1"/>
    <col min="14340" max="14340" width="6.6640625" bestFit="1" customWidth="1"/>
    <col min="14342" max="14342" width="8.44140625" bestFit="1" customWidth="1"/>
    <col min="14343" max="14343" width="5.44140625" bestFit="1" customWidth="1"/>
    <col min="14344" max="14344" width="14.33203125" bestFit="1" customWidth="1"/>
    <col min="14345" max="14345" width="20.5546875" bestFit="1" customWidth="1"/>
    <col min="14346" max="14346" width="17.33203125" bestFit="1" customWidth="1"/>
    <col min="14347" max="14347" width="13.88671875" bestFit="1" customWidth="1"/>
    <col min="14348" max="14348" width="12.6640625" bestFit="1" customWidth="1"/>
    <col min="14349" max="14349" width="6.88671875" bestFit="1" customWidth="1"/>
    <col min="14581" max="14581" width="15.77734375" bestFit="1" customWidth="1"/>
    <col min="14582" max="14582" width="15.88671875" bestFit="1" customWidth="1"/>
    <col min="14583" max="14583" width="9.88671875" bestFit="1" customWidth="1"/>
    <col min="14584" max="14584" width="10.5546875" bestFit="1" customWidth="1"/>
    <col min="14585" max="14585" width="13.44140625" bestFit="1" customWidth="1"/>
    <col min="14586" max="14586" width="10.44140625" bestFit="1" customWidth="1"/>
    <col min="14587" max="14587" width="8.109375" bestFit="1" customWidth="1"/>
    <col min="14588" max="14588" width="16.44140625" bestFit="1" customWidth="1"/>
    <col min="14589" max="14589" width="9.5546875" bestFit="1" customWidth="1"/>
    <col min="14590" max="14590" width="7" bestFit="1" customWidth="1"/>
    <col min="14591" max="14591" width="33.109375" bestFit="1" customWidth="1"/>
    <col min="14592" max="14592" width="17.5546875" bestFit="1" customWidth="1"/>
    <col min="14593" max="14593" width="11.33203125" bestFit="1" customWidth="1"/>
    <col min="14594" max="14594" width="5" bestFit="1" customWidth="1"/>
    <col min="14595" max="14595" width="9.5546875" bestFit="1" customWidth="1"/>
    <col min="14596" max="14596" width="6.6640625" bestFit="1" customWidth="1"/>
    <col min="14598" max="14598" width="8.44140625" bestFit="1" customWidth="1"/>
    <col min="14599" max="14599" width="5.44140625" bestFit="1" customWidth="1"/>
    <col min="14600" max="14600" width="14.33203125" bestFit="1" customWidth="1"/>
    <col min="14601" max="14601" width="20.5546875" bestFit="1" customWidth="1"/>
    <col min="14602" max="14602" width="17.33203125" bestFit="1" customWidth="1"/>
    <col min="14603" max="14603" width="13.88671875" bestFit="1" customWidth="1"/>
    <col min="14604" max="14604" width="12.6640625" bestFit="1" customWidth="1"/>
    <col min="14605" max="14605" width="6.88671875" bestFit="1" customWidth="1"/>
    <col min="14837" max="14837" width="15.77734375" bestFit="1" customWidth="1"/>
    <col min="14838" max="14838" width="15.88671875" bestFit="1" customWidth="1"/>
    <col min="14839" max="14839" width="9.88671875" bestFit="1" customWidth="1"/>
    <col min="14840" max="14840" width="10.5546875" bestFit="1" customWidth="1"/>
    <col min="14841" max="14841" width="13.44140625" bestFit="1" customWidth="1"/>
    <col min="14842" max="14842" width="10.44140625" bestFit="1" customWidth="1"/>
    <col min="14843" max="14843" width="8.109375" bestFit="1" customWidth="1"/>
    <col min="14844" max="14844" width="16.44140625" bestFit="1" customWidth="1"/>
    <col min="14845" max="14845" width="9.5546875" bestFit="1" customWidth="1"/>
    <col min="14846" max="14846" width="7" bestFit="1" customWidth="1"/>
    <col min="14847" max="14847" width="33.109375" bestFit="1" customWidth="1"/>
    <col min="14848" max="14848" width="17.5546875" bestFit="1" customWidth="1"/>
    <col min="14849" max="14849" width="11.33203125" bestFit="1" customWidth="1"/>
    <col min="14850" max="14850" width="5" bestFit="1" customWidth="1"/>
    <col min="14851" max="14851" width="9.5546875" bestFit="1" customWidth="1"/>
    <col min="14852" max="14852" width="6.6640625" bestFit="1" customWidth="1"/>
    <col min="14854" max="14854" width="8.44140625" bestFit="1" customWidth="1"/>
    <col min="14855" max="14855" width="5.44140625" bestFit="1" customWidth="1"/>
    <col min="14856" max="14856" width="14.33203125" bestFit="1" customWidth="1"/>
    <col min="14857" max="14857" width="20.5546875" bestFit="1" customWidth="1"/>
    <col min="14858" max="14858" width="17.33203125" bestFit="1" customWidth="1"/>
    <col min="14859" max="14859" width="13.88671875" bestFit="1" customWidth="1"/>
    <col min="14860" max="14860" width="12.6640625" bestFit="1" customWidth="1"/>
    <col min="14861" max="14861" width="6.88671875" bestFit="1" customWidth="1"/>
    <col min="15093" max="15093" width="15.77734375" bestFit="1" customWidth="1"/>
    <col min="15094" max="15094" width="15.88671875" bestFit="1" customWidth="1"/>
    <col min="15095" max="15095" width="9.88671875" bestFit="1" customWidth="1"/>
    <col min="15096" max="15096" width="10.5546875" bestFit="1" customWidth="1"/>
    <col min="15097" max="15097" width="13.44140625" bestFit="1" customWidth="1"/>
    <col min="15098" max="15098" width="10.44140625" bestFit="1" customWidth="1"/>
    <col min="15099" max="15099" width="8.109375" bestFit="1" customWidth="1"/>
    <col min="15100" max="15100" width="16.44140625" bestFit="1" customWidth="1"/>
    <col min="15101" max="15101" width="9.5546875" bestFit="1" customWidth="1"/>
    <col min="15102" max="15102" width="7" bestFit="1" customWidth="1"/>
    <col min="15103" max="15103" width="33.109375" bestFit="1" customWidth="1"/>
    <col min="15104" max="15104" width="17.5546875" bestFit="1" customWidth="1"/>
    <col min="15105" max="15105" width="11.33203125" bestFit="1" customWidth="1"/>
    <col min="15106" max="15106" width="5" bestFit="1" customWidth="1"/>
    <col min="15107" max="15107" width="9.5546875" bestFit="1" customWidth="1"/>
    <col min="15108" max="15108" width="6.6640625" bestFit="1" customWidth="1"/>
    <col min="15110" max="15110" width="8.44140625" bestFit="1" customWidth="1"/>
    <col min="15111" max="15111" width="5.44140625" bestFit="1" customWidth="1"/>
    <col min="15112" max="15112" width="14.33203125" bestFit="1" customWidth="1"/>
    <col min="15113" max="15113" width="20.5546875" bestFit="1" customWidth="1"/>
    <col min="15114" max="15114" width="17.33203125" bestFit="1" customWidth="1"/>
    <col min="15115" max="15115" width="13.88671875" bestFit="1" customWidth="1"/>
    <col min="15116" max="15116" width="12.6640625" bestFit="1" customWidth="1"/>
    <col min="15117" max="15117" width="6.88671875" bestFit="1" customWidth="1"/>
    <col min="15349" max="15349" width="15.77734375" bestFit="1" customWidth="1"/>
    <col min="15350" max="15350" width="15.88671875" bestFit="1" customWidth="1"/>
    <col min="15351" max="15351" width="9.88671875" bestFit="1" customWidth="1"/>
    <col min="15352" max="15352" width="10.5546875" bestFit="1" customWidth="1"/>
    <col min="15353" max="15353" width="13.44140625" bestFit="1" customWidth="1"/>
    <col min="15354" max="15354" width="10.44140625" bestFit="1" customWidth="1"/>
    <col min="15355" max="15355" width="8.109375" bestFit="1" customWidth="1"/>
    <col min="15356" max="15356" width="16.44140625" bestFit="1" customWidth="1"/>
    <col min="15357" max="15357" width="9.5546875" bestFit="1" customWidth="1"/>
    <col min="15358" max="15358" width="7" bestFit="1" customWidth="1"/>
    <col min="15359" max="15359" width="33.109375" bestFit="1" customWidth="1"/>
    <col min="15360" max="15360" width="17.5546875" bestFit="1" customWidth="1"/>
    <col min="15361" max="15361" width="11.33203125" bestFit="1" customWidth="1"/>
    <col min="15362" max="15362" width="5" bestFit="1" customWidth="1"/>
    <col min="15363" max="15363" width="9.5546875" bestFit="1" customWidth="1"/>
    <col min="15364" max="15364" width="6.6640625" bestFit="1" customWidth="1"/>
    <col min="15366" max="15366" width="8.44140625" bestFit="1" customWidth="1"/>
    <col min="15367" max="15367" width="5.44140625" bestFit="1" customWidth="1"/>
    <col min="15368" max="15368" width="14.33203125" bestFit="1" customWidth="1"/>
    <col min="15369" max="15369" width="20.5546875" bestFit="1" customWidth="1"/>
    <col min="15370" max="15370" width="17.33203125" bestFit="1" customWidth="1"/>
    <col min="15371" max="15371" width="13.88671875" bestFit="1" customWidth="1"/>
    <col min="15372" max="15372" width="12.6640625" bestFit="1" customWidth="1"/>
    <col min="15373" max="15373" width="6.88671875" bestFit="1" customWidth="1"/>
    <col min="15605" max="15605" width="15.77734375" bestFit="1" customWidth="1"/>
    <col min="15606" max="15606" width="15.88671875" bestFit="1" customWidth="1"/>
    <col min="15607" max="15607" width="9.88671875" bestFit="1" customWidth="1"/>
    <col min="15608" max="15608" width="10.5546875" bestFit="1" customWidth="1"/>
    <col min="15609" max="15609" width="13.44140625" bestFit="1" customWidth="1"/>
    <col min="15610" max="15610" width="10.44140625" bestFit="1" customWidth="1"/>
    <col min="15611" max="15611" width="8.109375" bestFit="1" customWidth="1"/>
    <col min="15612" max="15612" width="16.44140625" bestFit="1" customWidth="1"/>
    <col min="15613" max="15613" width="9.5546875" bestFit="1" customWidth="1"/>
    <col min="15614" max="15614" width="7" bestFit="1" customWidth="1"/>
    <col min="15615" max="15615" width="33.109375" bestFit="1" customWidth="1"/>
    <col min="15616" max="15616" width="17.5546875" bestFit="1" customWidth="1"/>
    <col min="15617" max="15617" width="11.33203125" bestFit="1" customWidth="1"/>
    <col min="15618" max="15618" width="5" bestFit="1" customWidth="1"/>
    <col min="15619" max="15619" width="9.5546875" bestFit="1" customWidth="1"/>
    <col min="15620" max="15620" width="6.6640625" bestFit="1" customWidth="1"/>
    <col min="15622" max="15622" width="8.44140625" bestFit="1" customWidth="1"/>
    <col min="15623" max="15623" width="5.44140625" bestFit="1" customWidth="1"/>
    <col min="15624" max="15624" width="14.33203125" bestFit="1" customWidth="1"/>
    <col min="15625" max="15625" width="20.5546875" bestFit="1" customWidth="1"/>
    <col min="15626" max="15626" width="17.33203125" bestFit="1" customWidth="1"/>
    <col min="15627" max="15627" width="13.88671875" bestFit="1" customWidth="1"/>
    <col min="15628" max="15628" width="12.6640625" bestFit="1" customWidth="1"/>
    <col min="15629" max="15629" width="6.88671875" bestFit="1" customWidth="1"/>
    <col min="15861" max="15861" width="15.77734375" bestFit="1" customWidth="1"/>
    <col min="15862" max="15862" width="15.88671875" bestFit="1" customWidth="1"/>
    <col min="15863" max="15863" width="9.88671875" bestFit="1" customWidth="1"/>
    <col min="15864" max="15864" width="10.5546875" bestFit="1" customWidth="1"/>
    <col min="15865" max="15865" width="13.44140625" bestFit="1" customWidth="1"/>
    <col min="15866" max="15866" width="10.44140625" bestFit="1" customWidth="1"/>
    <col min="15867" max="15867" width="8.109375" bestFit="1" customWidth="1"/>
    <col min="15868" max="15868" width="16.44140625" bestFit="1" customWidth="1"/>
    <col min="15869" max="15869" width="9.5546875" bestFit="1" customWidth="1"/>
    <col min="15870" max="15870" width="7" bestFit="1" customWidth="1"/>
    <col min="15871" max="15871" width="33.109375" bestFit="1" customWidth="1"/>
    <col min="15872" max="15872" width="17.5546875" bestFit="1" customWidth="1"/>
    <col min="15873" max="15873" width="11.33203125" bestFit="1" customWidth="1"/>
    <col min="15874" max="15874" width="5" bestFit="1" customWidth="1"/>
    <col min="15875" max="15875" width="9.5546875" bestFit="1" customWidth="1"/>
    <col min="15876" max="15876" width="6.6640625" bestFit="1" customWidth="1"/>
    <col min="15878" max="15878" width="8.44140625" bestFit="1" customWidth="1"/>
    <col min="15879" max="15879" width="5.44140625" bestFit="1" customWidth="1"/>
    <col min="15880" max="15880" width="14.33203125" bestFit="1" customWidth="1"/>
    <col min="15881" max="15881" width="20.5546875" bestFit="1" customWidth="1"/>
    <col min="15882" max="15882" width="17.33203125" bestFit="1" customWidth="1"/>
    <col min="15883" max="15883" width="13.88671875" bestFit="1" customWidth="1"/>
    <col min="15884" max="15884" width="12.6640625" bestFit="1" customWidth="1"/>
    <col min="15885" max="15885" width="6.88671875" bestFit="1" customWidth="1"/>
    <col min="16117" max="16117" width="15.77734375" bestFit="1" customWidth="1"/>
    <col min="16118" max="16118" width="15.88671875" bestFit="1" customWidth="1"/>
    <col min="16119" max="16119" width="9.88671875" bestFit="1" customWidth="1"/>
    <col min="16120" max="16120" width="10.5546875" bestFit="1" customWidth="1"/>
    <col min="16121" max="16121" width="13.44140625" bestFit="1" customWidth="1"/>
    <col min="16122" max="16122" width="10.44140625" bestFit="1" customWidth="1"/>
    <col min="16123" max="16123" width="8.109375" bestFit="1" customWidth="1"/>
    <col min="16124" max="16124" width="16.44140625" bestFit="1" customWidth="1"/>
    <col min="16125" max="16125" width="9.5546875" bestFit="1" customWidth="1"/>
    <col min="16126" max="16126" width="7" bestFit="1" customWidth="1"/>
    <col min="16127" max="16127" width="33.109375" bestFit="1" customWidth="1"/>
    <col min="16128" max="16128" width="17.5546875" bestFit="1" customWidth="1"/>
    <col min="16129" max="16129" width="11.33203125" bestFit="1" customWidth="1"/>
    <col min="16130" max="16130" width="5" bestFit="1" customWidth="1"/>
    <col min="16131" max="16131" width="9.5546875" bestFit="1" customWidth="1"/>
    <col min="16132" max="16132" width="6.6640625" bestFit="1" customWidth="1"/>
    <col min="16134" max="16134" width="8.44140625" bestFit="1" customWidth="1"/>
    <col min="16135" max="16135" width="5.44140625" bestFit="1" customWidth="1"/>
    <col min="16136" max="16136" width="14.33203125" bestFit="1" customWidth="1"/>
    <col min="16137" max="16137" width="20.5546875" bestFit="1" customWidth="1"/>
    <col min="16138" max="16138" width="17.33203125" bestFit="1" customWidth="1"/>
    <col min="16139" max="16139" width="13.88671875" bestFit="1" customWidth="1"/>
    <col min="16140" max="16140" width="12.6640625" bestFit="1" customWidth="1"/>
    <col min="16141" max="16141" width="6.88671875" bestFit="1" customWidth="1"/>
  </cols>
  <sheetData>
    <row r="1" spans="1:21" s="17" customFormat="1" ht="15" thickBot="1" x14ac:dyDescent="0.35">
      <c r="A1" s="57" t="s">
        <v>1</v>
      </c>
      <c r="B1" s="57" t="s">
        <v>33</v>
      </c>
      <c r="C1" s="57" t="s">
        <v>29</v>
      </c>
      <c r="D1" s="57" t="s">
        <v>0</v>
      </c>
      <c r="E1" s="58" t="s">
        <v>347</v>
      </c>
      <c r="F1" s="57" t="s">
        <v>32</v>
      </c>
      <c r="G1" s="116" t="s">
        <v>35</v>
      </c>
      <c r="H1" s="57" t="s">
        <v>30</v>
      </c>
      <c r="I1" s="57" t="s">
        <v>2</v>
      </c>
      <c r="J1" s="57" t="s">
        <v>819</v>
      </c>
      <c r="K1" s="57" t="s">
        <v>820</v>
      </c>
      <c r="L1" s="60" t="s">
        <v>5</v>
      </c>
      <c r="M1" s="60" t="s">
        <v>2241</v>
      </c>
      <c r="N1" s="60" t="s">
        <v>2244</v>
      </c>
      <c r="O1" s="58" t="s">
        <v>555</v>
      </c>
      <c r="P1" s="58" t="s">
        <v>2239</v>
      </c>
      <c r="Q1" s="58" t="s">
        <v>31</v>
      </c>
      <c r="R1" s="59" t="s">
        <v>2240</v>
      </c>
      <c r="S1" s="61" t="s">
        <v>2031</v>
      </c>
      <c r="T1" s="62" t="s">
        <v>2229</v>
      </c>
      <c r="U1" s="61" t="s">
        <v>3700</v>
      </c>
    </row>
    <row r="2" spans="1:21" x14ac:dyDescent="0.3">
      <c r="A2" s="39" t="s">
        <v>2167</v>
      </c>
      <c r="B2" s="1" t="s">
        <v>35</v>
      </c>
      <c r="C2" s="1"/>
      <c r="D2" s="1">
        <v>16</v>
      </c>
      <c r="E2" s="40">
        <v>14000</v>
      </c>
      <c r="G2" s="49" t="s">
        <v>2231</v>
      </c>
      <c r="J2" s="1" t="s">
        <v>2232</v>
      </c>
      <c r="K2" s="3" t="s">
        <v>2233</v>
      </c>
      <c r="L2" s="11">
        <v>43090</v>
      </c>
      <c r="M2" s="2">
        <v>43120</v>
      </c>
      <c r="O2" s="5">
        <v>14000</v>
      </c>
      <c r="P2" s="2">
        <v>43241</v>
      </c>
      <c r="Q2" s="5">
        <f t="shared" ref="Q2:Q33" si="0">$E2-$O2</f>
        <v>0</v>
      </c>
      <c r="R2" s="15" t="str">
        <f ca="1">IF(TODAY() - DAGXX[INV DUE DATE]&lt;30, "Less than 30 days",IF(TODAY()-DAGXX[INV DUE DATE]&lt;60,"30-60 days","More than 60 days"))</f>
        <v>More than 60 days</v>
      </c>
      <c r="S2" t="s">
        <v>813</v>
      </c>
      <c r="T2" s="43" t="s">
        <v>2229</v>
      </c>
      <c r="U2" t="s">
        <v>137</v>
      </c>
    </row>
    <row r="3" spans="1:21" x14ac:dyDescent="0.3">
      <c r="A3" s="1" t="s">
        <v>2207</v>
      </c>
      <c r="B3" s="1"/>
      <c r="C3" s="1"/>
      <c r="D3" s="1"/>
      <c r="E3" s="40">
        <v>294848.59999999998</v>
      </c>
      <c r="K3" s="3"/>
      <c r="L3" s="2">
        <v>43040</v>
      </c>
      <c r="M3" s="2">
        <v>43070</v>
      </c>
      <c r="O3" s="5">
        <v>294848.59999999998</v>
      </c>
      <c r="P3" s="2">
        <v>43245</v>
      </c>
      <c r="Q3" s="5">
        <f t="shared" si="0"/>
        <v>0</v>
      </c>
      <c r="R3" s="15" t="str">
        <f ca="1">IF(TODAY() - DAGXX[INV DUE DATE]&lt;30, "Less than 30 days",IF(TODAY()-DAGXX[INV DUE DATE]&lt;60,"30-60 days","More than 60 days"))</f>
        <v>More than 60 days</v>
      </c>
      <c r="S3" t="s">
        <v>813</v>
      </c>
      <c r="T3" s="43" t="s">
        <v>2229</v>
      </c>
      <c r="U3" t="s">
        <v>3699</v>
      </c>
    </row>
    <row r="4" spans="1:21" x14ac:dyDescent="0.3">
      <c r="A4" s="1" t="s">
        <v>2208</v>
      </c>
      <c r="B4" s="1" t="s">
        <v>35</v>
      </c>
      <c r="C4" s="1" t="s">
        <v>6</v>
      </c>
      <c r="D4" s="1">
        <v>16</v>
      </c>
      <c r="E4" s="40">
        <v>21770.99</v>
      </c>
      <c r="G4" s="52">
        <v>4380323209</v>
      </c>
      <c r="J4" t="s">
        <v>2671</v>
      </c>
      <c r="K4" s="3" t="s">
        <v>3</v>
      </c>
      <c r="L4" s="2">
        <v>43101</v>
      </c>
      <c r="M4" s="2">
        <f>DAGXX[[#This Row],[INV DOC DATE]]+30</f>
        <v>43131</v>
      </c>
      <c r="O4" s="5">
        <v>21770.99</v>
      </c>
      <c r="P4" s="2">
        <v>43286</v>
      </c>
      <c r="Q4" s="5">
        <f t="shared" si="0"/>
        <v>0</v>
      </c>
      <c r="R4" s="15" t="str">
        <f ca="1">IF(TODAY() - DAGXX[INV DUE DATE]&lt;30, "Less than 30 days",IF(TODAY()-DAGXX[INV DUE DATE]&lt;60,"30-60 days","More than 60 days"))</f>
        <v>More than 60 days</v>
      </c>
      <c r="S4" t="s">
        <v>813</v>
      </c>
      <c r="T4" s="43" t="s">
        <v>2229</v>
      </c>
      <c r="U4" t="s">
        <v>3699</v>
      </c>
    </row>
    <row r="5" spans="1:21" x14ac:dyDescent="0.3">
      <c r="A5" s="1" t="s">
        <v>2209</v>
      </c>
      <c r="B5" s="1" t="s">
        <v>35</v>
      </c>
      <c r="C5" s="1" t="s">
        <v>6</v>
      </c>
      <c r="D5" s="1">
        <v>16</v>
      </c>
      <c r="E5" s="40">
        <v>19664.12</v>
      </c>
      <c r="G5" s="52">
        <v>4380323209</v>
      </c>
      <c r="J5" t="s">
        <v>2671</v>
      </c>
      <c r="K5" s="3" t="s">
        <v>3</v>
      </c>
      <c r="L5" s="2">
        <v>43132</v>
      </c>
      <c r="M5" s="2">
        <f>DAGXX[[#This Row],[INV DOC DATE]]+30</f>
        <v>43162</v>
      </c>
      <c r="N5" s="2">
        <v>43266</v>
      </c>
      <c r="O5" s="5">
        <v>19664.12</v>
      </c>
      <c r="P5" s="2">
        <v>43286</v>
      </c>
      <c r="Q5" s="5">
        <f t="shared" si="0"/>
        <v>0</v>
      </c>
      <c r="R5" s="15" t="str">
        <f ca="1">IF(TODAY() - DAGXX[INV DUE DATE]&lt;30, "Less than 30 days",IF(TODAY()-DAGXX[INV DUE DATE]&lt;60,"30-60 days","More than 60 days"))</f>
        <v>More than 60 days</v>
      </c>
      <c r="S5" t="s">
        <v>813</v>
      </c>
      <c r="T5" s="43" t="s">
        <v>2229</v>
      </c>
      <c r="U5" t="s">
        <v>3699</v>
      </c>
    </row>
    <row r="6" spans="1:21" x14ac:dyDescent="0.3">
      <c r="A6" s="1" t="s">
        <v>2209</v>
      </c>
      <c r="B6" s="1" t="s">
        <v>35</v>
      </c>
      <c r="C6" s="1" t="s">
        <v>27</v>
      </c>
      <c r="D6" s="1">
        <v>16</v>
      </c>
      <c r="E6" s="40">
        <v>5516</v>
      </c>
      <c r="G6" s="52">
        <v>4380326608</v>
      </c>
      <c r="J6" t="s">
        <v>2671</v>
      </c>
      <c r="K6" s="3" t="s">
        <v>3</v>
      </c>
      <c r="L6" s="2">
        <v>43132</v>
      </c>
      <c r="M6" s="2">
        <f>DAGXX[[#This Row],[INV DOC DATE]]+30</f>
        <v>43162</v>
      </c>
      <c r="N6" s="2">
        <v>43266</v>
      </c>
      <c r="O6" s="40">
        <v>5516</v>
      </c>
      <c r="P6" s="2">
        <v>43174</v>
      </c>
      <c r="Q6" s="5">
        <f t="shared" si="0"/>
        <v>0</v>
      </c>
      <c r="R6" s="15" t="str">
        <f ca="1">IF(TODAY() - DAGXX[INV DUE DATE]&lt;30, "Less than 30 days",IF(TODAY()-DAGXX[INV DUE DATE]&lt;60,"30-60 days","More than 60 days"))</f>
        <v>More than 60 days</v>
      </c>
      <c r="S6" t="s">
        <v>813</v>
      </c>
      <c r="T6" s="43" t="s">
        <v>2229</v>
      </c>
      <c r="U6" t="s">
        <v>3699</v>
      </c>
    </row>
    <row r="7" spans="1:21" x14ac:dyDescent="0.3">
      <c r="A7" s="1" t="s">
        <v>2168</v>
      </c>
      <c r="B7" s="1"/>
      <c r="C7" s="1"/>
      <c r="D7" s="1">
        <v>16</v>
      </c>
      <c r="E7" s="40">
        <v>2100</v>
      </c>
      <c r="G7" s="49"/>
      <c r="K7" s="3"/>
      <c r="L7" s="2">
        <v>43191</v>
      </c>
      <c r="M7" s="2">
        <f>DAGXX[[#This Row],[INV DOC DATE]]+30</f>
        <v>43221</v>
      </c>
      <c r="O7" s="5">
        <v>2100</v>
      </c>
      <c r="P7" s="2">
        <v>43229</v>
      </c>
      <c r="Q7" s="5">
        <f t="shared" si="0"/>
        <v>0</v>
      </c>
      <c r="R7" s="15" t="str">
        <f ca="1">IF(TODAY() - DAGXX[INV DUE DATE]&lt;30, "Less than 30 days",IF(TODAY()-DAGXX[INV DUE DATE]&lt;60,"30-60 days","More than 60 days"))</f>
        <v>More than 60 days</v>
      </c>
      <c r="S7" t="s">
        <v>813</v>
      </c>
      <c r="T7" s="43" t="s">
        <v>2229</v>
      </c>
      <c r="U7" t="s">
        <v>3699</v>
      </c>
    </row>
    <row r="8" spans="1:21" x14ac:dyDescent="0.3">
      <c r="A8" s="1" t="s">
        <v>34</v>
      </c>
      <c r="B8" s="1" t="s">
        <v>35</v>
      </c>
      <c r="C8" s="1" t="s">
        <v>6</v>
      </c>
      <c r="D8" s="1">
        <v>16</v>
      </c>
      <c r="E8" s="40">
        <v>21068.699999999997</v>
      </c>
      <c r="F8" s="1"/>
      <c r="G8" s="49">
        <v>4380323209</v>
      </c>
      <c r="H8" s="1"/>
      <c r="I8" s="1"/>
      <c r="J8" s="1"/>
      <c r="K8" s="3" t="s">
        <v>3</v>
      </c>
      <c r="L8" s="2">
        <v>43191</v>
      </c>
      <c r="M8" s="2">
        <f>DAGXX[[#This Row],[INV DOC DATE]]+30</f>
        <v>43221</v>
      </c>
      <c r="N8" s="2">
        <v>43220</v>
      </c>
      <c r="O8" s="5">
        <v>21068.7</v>
      </c>
      <c r="P8" s="2">
        <v>43234</v>
      </c>
      <c r="Q8" s="5">
        <f t="shared" si="0"/>
        <v>0</v>
      </c>
      <c r="R8" s="15" t="str">
        <f ca="1">IF(TODAY() - DAGXX[INV DUE DATE]&lt;30, "Less than 30 days",IF(TODAY()-DAGXX[INV DUE DATE]&lt;60,"30-60 days","More than 60 days"))</f>
        <v>More than 60 days</v>
      </c>
      <c r="S8" t="s">
        <v>813</v>
      </c>
      <c r="T8" s="43" t="s">
        <v>2229</v>
      </c>
      <c r="U8" t="s">
        <v>3699</v>
      </c>
    </row>
    <row r="9" spans="1:21" x14ac:dyDescent="0.3">
      <c r="A9" s="1" t="s">
        <v>34</v>
      </c>
      <c r="B9" s="1" t="s">
        <v>35</v>
      </c>
      <c r="C9" s="1" t="s">
        <v>7</v>
      </c>
      <c r="D9" s="1">
        <v>16</v>
      </c>
      <c r="E9" s="40">
        <v>24563.099999999988</v>
      </c>
      <c r="G9" s="49">
        <v>4380323210</v>
      </c>
      <c r="K9" s="3" t="s">
        <v>3</v>
      </c>
      <c r="L9" s="2">
        <v>43191</v>
      </c>
      <c r="M9" s="2">
        <f>DAGXX[[#This Row],[INV DOC DATE]]+30</f>
        <v>43221</v>
      </c>
      <c r="N9" s="2">
        <v>43220</v>
      </c>
      <c r="O9" s="5">
        <v>24563.1</v>
      </c>
      <c r="P9" s="2">
        <v>43234</v>
      </c>
      <c r="Q9" s="5">
        <f t="shared" si="0"/>
        <v>0</v>
      </c>
      <c r="R9" s="15" t="str">
        <f ca="1">IF(TODAY() - DAGXX[INV DUE DATE]&lt;30, "Less than 30 days",IF(TODAY()-DAGXX[INV DUE DATE]&lt;60,"30-60 days","More than 60 days"))</f>
        <v>More than 60 days</v>
      </c>
      <c r="S9" t="s">
        <v>813</v>
      </c>
      <c r="T9" s="43" t="s">
        <v>2229</v>
      </c>
      <c r="U9" t="s">
        <v>3699</v>
      </c>
    </row>
    <row r="10" spans="1:21" x14ac:dyDescent="0.3">
      <c r="A10" s="1" t="s">
        <v>34</v>
      </c>
      <c r="B10" s="1" t="s">
        <v>35</v>
      </c>
      <c r="C10" s="1" t="s">
        <v>8</v>
      </c>
      <c r="D10" s="1">
        <v>16</v>
      </c>
      <c r="E10" s="40">
        <v>172.5</v>
      </c>
      <c r="G10" s="49">
        <v>4380323842</v>
      </c>
      <c r="K10" s="3" t="s">
        <v>3</v>
      </c>
      <c r="L10" s="2">
        <v>43191</v>
      </c>
      <c r="M10" s="2">
        <f>DAGXX[[#This Row],[INV DOC DATE]]+30</f>
        <v>43221</v>
      </c>
      <c r="N10" s="2">
        <v>43220</v>
      </c>
      <c r="O10" s="5">
        <v>172.5</v>
      </c>
      <c r="P10" s="2">
        <v>43234</v>
      </c>
      <c r="Q10" s="5">
        <f t="shared" si="0"/>
        <v>0</v>
      </c>
      <c r="R10" s="15" t="str">
        <f ca="1">IF(TODAY() - DAGXX[INV DUE DATE]&lt;30, "Less than 30 days",IF(TODAY()-DAGXX[INV DUE DATE]&lt;60,"30-60 days","More than 60 days"))</f>
        <v>More than 60 days</v>
      </c>
      <c r="S10" t="s">
        <v>813</v>
      </c>
      <c r="T10" s="43" t="s">
        <v>2229</v>
      </c>
      <c r="U10" t="s">
        <v>3699</v>
      </c>
    </row>
    <row r="11" spans="1:21" x14ac:dyDescent="0.3">
      <c r="A11" s="1" t="s">
        <v>34</v>
      </c>
      <c r="B11" s="1" t="s">
        <v>35</v>
      </c>
      <c r="C11" s="1" t="s">
        <v>9</v>
      </c>
      <c r="D11" s="1">
        <v>16</v>
      </c>
      <c r="E11" s="40">
        <v>11597.699999999997</v>
      </c>
      <c r="G11" s="49">
        <v>4380323852</v>
      </c>
      <c r="K11" s="3" t="s">
        <v>3</v>
      </c>
      <c r="L11" s="2">
        <v>43191</v>
      </c>
      <c r="M11" s="2">
        <f>DAGXX[[#This Row],[INV DOC DATE]]+30</f>
        <v>43221</v>
      </c>
      <c r="N11" s="2">
        <v>43220</v>
      </c>
      <c r="O11" s="5">
        <v>11597.7</v>
      </c>
      <c r="P11" s="2">
        <v>43234</v>
      </c>
      <c r="Q11" s="5">
        <f t="shared" si="0"/>
        <v>0</v>
      </c>
      <c r="R11" s="15" t="str">
        <f ca="1">IF(TODAY() - DAGXX[INV DUE DATE]&lt;30, "Less than 30 days",IF(TODAY()-DAGXX[INV DUE DATE]&lt;60,"30-60 days","More than 60 days"))</f>
        <v>More than 60 days</v>
      </c>
      <c r="S11" t="s">
        <v>813</v>
      </c>
      <c r="T11" s="43" t="s">
        <v>2229</v>
      </c>
      <c r="U11" t="s">
        <v>3699</v>
      </c>
    </row>
    <row r="12" spans="1:21" x14ac:dyDescent="0.3">
      <c r="A12" s="1" t="s">
        <v>34</v>
      </c>
      <c r="B12" s="1" t="s">
        <v>35</v>
      </c>
      <c r="C12" s="1" t="s">
        <v>10</v>
      </c>
      <c r="D12" s="1">
        <v>16</v>
      </c>
      <c r="E12" s="40">
        <v>1140</v>
      </c>
      <c r="G12" s="49">
        <v>4380323855</v>
      </c>
      <c r="K12" s="3" t="s">
        <v>3</v>
      </c>
      <c r="L12" s="2">
        <v>43191</v>
      </c>
      <c r="M12" s="2">
        <f>DAGXX[[#This Row],[INV DOC DATE]]+30</f>
        <v>43221</v>
      </c>
      <c r="N12" s="2">
        <v>43220</v>
      </c>
      <c r="O12" s="5">
        <v>1140</v>
      </c>
      <c r="P12" s="2">
        <v>43234</v>
      </c>
      <c r="Q12" s="5">
        <f t="shared" si="0"/>
        <v>0</v>
      </c>
      <c r="R12" s="15" t="str">
        <f ca="1">IF(TODAY() - DAGXX[INV DUE DATE]&lt;30, "Less than 30 days",IF(TODAY()-DAGXX[INV DUE DATE]&lt;60,"30-60 days","More than 60 days"))</f>
        <v>More than 60 days</v>
      </c>
      <c r="S12" t="s">
        <v>813</v>
      </c>
      <c r="T12" s="43" t="s">
        <v>2229</v>
      </c>
      <c r="U12" t="s">
        <v>3699</v>
      </c>
    </row>
    <row r="13" spans="1:21" x14ac:dyDescent="0.3">
      <c r="A13" s="1" t="s">
        <v>34</v>
      </c>
      <c r="B13" s="1" t="s">
        <v>35</v>
      </c>
      <c r="C13" s="1" t="s">
        <v>11</v>
      </c>
      <c r="D13" s="1">
        <v>16</v>
      </c>
      <c r="E13" s="40">
        <v>6900</v>
      </c>
      <c r="G13" s="49">
        <v>4380323858</v>
      </c>
      <c r="K13" s="3" t="s">
        <v>3</v>
      </c>
      <c r="L13" s="2">
        <v>43191</v>
      </c>
      <c r="M13" s="2">
        <f>DAGXX[[#This Row],[INV DOC DATE]]+30</f>
        <v>43221</v>
      </c>
      <c r="N13" s="2">
        <v>43220</v>
      </c>
      <c r="O13" s="5">
        <v>6900</v>
      </c>
      <c r="P13" s="2">
        <v>43234</v>
      </c>
      <c r="Q13" s="5">
        <f t="shared" si="0"/>
        <v>0</v>
      </c>
      <c r="R13" s="15" t="str">
        <f ca="1">IF(TODAY() - DAGXX[INV DUE DATE]&lt;30, "Less than 30 days",IF(TODAY()-DAGXX[INV DUE DATE]&lt;60,"30-60 days","More than 60 days"))</f>
        <v>More than 60 days</v>
      </c>
      <c r="S13" t="s">
        <v>813</v>
      </c>
      <c r="T13" s="43" t="s">
        <v>2229</v>
      </c>
      <c r="U13" t="s">
        <v>3699</v>
      </c>
    </row>
    <row r="14" spans="1:21" x14ac:dyDescent="0.3">
      <c r="A14" s="1" t="s">
        <v>34</v>
      </c>
      <c r="B14" s="1" t="s">
        <v>35</v>
      </c>
      <c r="C14" s="1" t="s">
        <v>12</v>
      </c>
      <c r="D14" s="1">
        <v>16</v>
      </c>
      <c r="E14" s="40">
        <v>517.5</v>
      </c>
      <c r="G14" s="49">
        <v>4380323859</v>
      </c>
      <c r="K14" s="3" t="s">
        <v>3</v>
      </c>
      <c r="L14" s="2">
        <v>43191</v>
      </c>
      <c r="M14" s="2">
        <f>DAGXX[[#This Row],[INV DOC DATE]]+30</f>
        <v>43221</v>
      </c>
      <c r="N14" s="2">
        <v>43220</v>
      </c>
      <c r="O14" s="5">
        <v>517.5</v>
      </c>
      <c r="P14" s="2">
        <v>43234</v>
      </c>
      <c r="Q14" s="5">
        <f t="shared" si="0"/>
        <v>0</v>
      </c>
      <c r="R14" s="15" t="str">
        <f ca="1">IF(TODAY() - DAGXX[INV DUE DATE]&lt;30, "Less than 30 days",IF(TODAY()-DAGXX[INV DUE DATE]&lt;60,"30-60 days","More than 60 days"))</f>
        <v>More than 60 days</v>
      </c>
      <c r="S14" t="s">
        <v>813</v>
      </c>
      <c r="T14" s="43" t="s">
        <v>2229</v>
      </c>
      <c r="U14" t="s">
        <v>3699</v>
      </c>
    </row>
    <row r="15" spans="1:21" x14ac:dyDescent="0.3">
      <c r="A15" s="1" t="s">
        <v>34</v>
      </c>
      <c r="B15" s="1" t="s">
        <v>35</v>
      </c>
      <c r="C15" s="1" t="s">
        <v>13</v>
      </c>
      <c r="D15" s="1">
        <v>16</v>
      </c>
      <c r="E15" s="40">
        <v>1935</v>
      </c>
      <c r="G15" s="49">
        <v>4380323860</v>
      </c>
      <c r="K15" s="3" t="s">
        <v>3</v>
      </c>
      <c r="L15" s="2">
        <v>43191</v>
      </c>
      <c r="M15" s="2">
        <f>DAGXX[[#This Row],[INV DOC DATE]]+30</f>
        <v>43221</v>
      </c>
      <c r="N15" s="2">
        <v>43220</v>
      </c>
      <c r="O15" s="5">
        <v>1935</v>
      </c>
      <c r="P15" s="2">
        <v>43234</v>
      </c>
      <c r="Q15" s="5">
        <f t="shared" si="0"/>
        <v>0</v>
      </c>
      <c r="R15" s="15" t="str">
        <f ca="1">IF(TODAY() - DAGXX[INV DUE DATE]&lt;30, "Less than 30 days",IF(TODAY()-DAGXX[INV DUE DATE]&lt;60,"30-60 days","More than 60 days"))</f>
        <v>More than 60 days</v>
      </c>
      <c r="S15" t="s">
        <v>813</v>
      </c>
      <c r="T15" s="43" t="s">
        <v>2229</v>
      </c>
      <c r="U15" t="s">
        <v>3699</v>
      </c>
    </row>
    <row r="16" spans="1:21" x14ac:dyDescent="0.3">
      <c r="A16" s="1" t="s">
        <v>34</v>
      </c>
      <c r="B16" s="1" t="s">
        <v>35</v>
      </c>
      <c r="C16" s="1" t="s">
        <v>14</v>
      </c>
      <c r="D16" s="1">
        <v>16</v>
      </c>
      <c r="E16" s="40">
        <v>18160.800000000003</v>
      </c>
      <c r="G16" s="49">
        <v>4380323861</v>
      </c>
      <c r="K16" s="3" t="s">
        <v>3</v>
      </c>
      <c r="L16" s="2">
        <v>43191</v>
      </c>
      <c r="M16" s="2">
        <f>DAGXX[[#This Row],[INV DOC DATE]]+30</f>
        <v>43221</v>
      </c>
      <c r="N16" s="2">
        <v>43220</v>
      </c>
      <c r="O16" s="5">
        <v>18160.8</v>
      </c>
      <c r="P16" s="2">
        <v>43234</v>
      </c>
      <c r="Q16" s="5">
        <f t="shared" si="0"/>
        <v>0</v>
      </c>
      <c r="R16" s="15" t="str">
        <f ca="1">IF(TODAY() - DAGXX[INV DUE DATE]&lt;30, "Less than 30 days",IF(TODAY()-DAGXX[INV DUE DATE]&lt;60,"30-60 days","More than 60 days"))</f>
        <v>More than 60 days</v>
      </c>
      <c r="S16" t="s">
        <v>813</v>
      </c>
      <c r="T16" s="43" t="s">
        <v>2229</v>
      </c>
      <c r="U16" t="s">
        <v>3699</v>
      </c>
    </row>
    <row r="17" spans="1:21" x14ac:dyDescent="0.3">
      <c r="A17" s="1" t="s">
        <v>34</v>
      </c>
      <c r="B17" s="1" t="s">
        <v>35</v>
      </c>
      <c r="C17" s="1" t="s">
        <v>15</v>
      </c>
      <c r="D17" s="1">
        <v>16</v>
      </c>
      <c r="E17" s="40">
        <v>8580</v>
      </c>
      <c r="G17" s="49">
        <v>4380323862</v>
      </c>
      <c r="K17" s="3" t="s">
        <v>3</v>
      </c>
      <c r="L17" s="2">
        <v>43191</v>
      </c>
      <c r="M17" s="2">
        <f>DAGXX[[#This Row],[INV DOC DATE]]+30</f>
        <v>43221</v>
      </c>
      <c r="N17" s="2">
        <v>43220</v>
      </c>
      <c r="O17" s="5">
        <v>8580</v>
      </c>
      <c r="P17" s="2">
        <v>43234</v>
      </c>
      <c r="Q17" s="5">
        <f t="shared" si="0"/>
        <v>0</v>
      </c>
      <c r="R17" s="15" t="str">
        <f ca="1">IF(TODAY() - DAGXX[INV DUE DATE]&lt;30, "Less than 30 days",IF(TODAY()-DAGXX[INV DUE DATE]&lt;60,"30-60 days","More than 60 days"))</f>
        <v>More than 60 days</v>
      </c>
      <c r="S17" t="s">
        <v>813</v>
      </c>
      <c r="T17" s="43" t="s">
        <v>2229</v>
      </c>
      <c r="U17" t="s">
        <v>3699</v>
      </c>
    </row>
    <row r="18" spans="1:21" x14ac:dyDescent="0.3">
      <c r="A18" s="1" t="s">
        <v>34</v>
      </c>
      <c r="B18" s="1" t="s">
        <v>35</v>
      </c>
      <c r="C18" s="1" t="s">
        <v>16</v>
      </c>
      <c r="D18" s="1">
        <v>16</v>
      </c>
      <c r="E18" s="40">
        <v>8122.5</v>
      </c>
      <c r="G18" s="49">
        <v>4380323863</v>
      </c>
      <c r="K18" s="3" t="s">
        <v>3</v>
      </c>
      <c r="L18" s="2">
        <v>43191</v>
      </c>
      <c r="M18" s="2">
        <f>DAGXX[[#This Row],[INV DOC DATE]]+30</f>
        <v>43221</v>
      </c>
      <c r="N18" s="2">
        <v>43220</v>
      </c>
      <c r="O18" s="5">
        <v>8122.5</v>
      </c>
      <c r="P18" s="2">
        <v>43234</v>
      </c>
      <c r="Q18" s="5">
        <f t="shared" si="0"/>
        <v>0</v>
      </c>
      <c r="R18" s="15" t="str">
        <f ca="1">IF(TODAY() - DAGXX[INV DUE DATE]&lt;30, "Less than 30 days",IF(TODAY()-DAGXX[INV DUE DATE]&lt;60,"30-60 days","More than 60 days"))</f>
        <v>More than 60 days</v>
      </c>
      <c r="S18" t="s">
        <v>813</v>
      </c>
      <c r="T18" s="43" t="s">
        <v>2229</v>
      </c>
      <c r="U18" t="s">
        <v>3699</v>
      </c>
    </row>
    <row r="19" spans="1:21" x14ac:dyDescent="0.3">
      <c r="A19" s="1" t="s">
        <v>34</v>
      </c>
      <c r="B19" s="1" t="s">
        <v>35</v>
      </c>
      <c r="C19" s="1" t="s">
        <v>17</v>
      </c>
      <c r="D19" s="1">
        <v>16</v>
      </c>
      <c r="E19" s="40">
        <v>3000</v>
      </c>
      <c r="G19" s="49">
        <v>4380323864</v>
      </c>
      <c r="K19" s="3" t="s">
        <v>3</v>
      </c>
      <c r="L19" s="2">
        <v>43191</v>
      </c>
      <c r="M19" s="2">
        <f>DAGXX[[#This Row],[INV DOC DATE]]+30</f>
        <v>43221</v>
      </c>
      <c r="N19" s="2">
        <v>43220</v>
      </c>
      <c r="O19" s="5">
        <v>3000</v>
      </c>
      <c r="P19" s="2">
        <v>43234</v>
      </c>
      <c r="Q19" s="5">
        <f t="shared" si="0"/>
        <v>0</v>
      </c>
      <c r="R19" s="15" t="str">
        <f ca="1">IF(TODAY() - DAGXX[INV DUE DATE]&lt;30, "Less than 30 days",IF(TODAY()-DAGXX[INV DUE DATE]&lt;60,"30-60 days","More than 60 days"))</f>
        <v>More than 60 days</v>
      </c>
      <c r="S19" t="s">
        <v>813</v>
      </c>
      <c r="T19" s="43" t="s">
        <v>2229</v>
      </c>
      <c r="U19" t="s">
        <v>3699</v>
      </c>
    </row>
    <row r="20" spans="1:21" x14ac:dyDescent="0.3">
      <c r="A20" s="1" t="s">
        <v>34</v>
      </c>
      <c r="B20" s="1" t="s">
        <v>35</v>
      </c>
      <c r="C20" s="1" t="s">
        <v>18</v>
      </c>
      <c r="D20" s="1">
        <v>16</v>
      </c>
      <c r="E20" s="40">
        <v>862.5</v>
      </c>
      <c r="G20" s="49">
        <v>4380323865</v>
      </c>
      <c r="K20" s="3" t="s">
        <v>3</v>
      </c>
      <c r="L20" s="2">
        <v>43191</v>
      </c>
      <c r="M20" s="2">
        <f>DAGXX[[#This Row],[INV DOC DATE]]+30</f>
        <v>43221</v>
      </c>
      <c r="N20" s="2">
        <v>43220</v>
      </c>
      <c r="O20" s="5">
        <v>862.5</v>
      </c>
      <c r="P20" s="2">
        <v>43234</v>
      </c>
      <c r="Q20" s="5">
        <f t="shared" si="0"/>
        <v>0</v>
      </c>
      <c r="R20" s="15" t="str">
        <f ca="1">IF(TODAY() - DAGXX[INV DUE DATE]&lt;30, "Less than 30 days",IF(TODAY()-DAGXX[INV DUE DATE]&lt;60,"30-60 days","More than 60 days"))</f>
        <v>More than 60 days</v>
      </c>
      <c r="S20" t="s">
        <v>813</v>
      </c>
      <c r="T20" s="43" t="s">
        <v>2229</v>
      </c>
      <c r="U20" t="s">
        <v>3699</v>
      </c>
    </row>
    <row r="21" spans="1:21" x14ac:dyDescent="0.3">
      <c r="A21" s="1" t="s">
        <v>34</v>
      </c>
      <c r="B21" s="1" t="s">
        <v>35</v>
      </c>
      <c r="C21" s="1" t="s">
        <v>19</v>
      </c>
      <c r="D21" s="1">
        <v>16</v>
      </c>
      <c r="E21" s="40">
        <v>7245</v>
      </c>
      <c r="G21" s="49">
        <v>4380323867</v>
      </c>
      <c r="K21" s="3" t="s">
        <v>3</v>
      </c>
      <c r="L21" s="2">
        <v>43191</v>
      </c>
      <c r="M21" s="2">
        <f>DAGXX[[#This Row],[INV DOC DATE]]+30</f>
        <v>43221</v>
      </c>
      <c r="N21" s="2">
        <v>43220</v>
      </c>
      <c r="O21" s="5">
        <v>7245</v>
      </c>
      <c r="P21" s="2">
        <v>43234</v>
      </c>
      <c r="Q21" s="5">
        <f t="shared" si="0"/>
        <v>0</v>
      </c>
      <c r="R21" s="15" t="str">
        <f ca="1">IF(TODAY() - DAGXX[INV DUE DATE]&lt;30, "Less than 30 days",IF(TODAY()-DAGXX[INV DUE DATE]&lt;60,"30-60 days","More than 60 days"))</f>
        <v>More than 60 days</v>
      </c>
      <c r="S21" t="s">
        <v>813</v>
      </c>
      <c r="T21" s="43" t="s">
        <v>2229</v>
      </c>
      <c r="U21" t="s">
        <v>3699</v>
      </c>
    </row>
    <row r="22" spans="1:21" x14ac:dyDescent="0.3">
      <c r="A22" s="1" t="s">
        <v>34</v>
      </c>
      <c r="B22" s="1" t="s">
        <v>35</v>
      </c>
      <c r="C22" s="1" t="s">
        <v>20</v>
      </c>
      <c r="D22" s="1">
        <v>16</v>
      </c>
      <c r="E22" s="40">
        <v>21823.5</v>
      </c>
      <c r="G22" s="49">
        <v>4380323875</v>
      </c>
      <c r="K22" s="3" t="s">
        <v>3</v>
      </c>
      <c r="L22" s="2">
        <v>43191</v>
      </c>
      <c r="M22" s="2">
        <f>DAGXX[[#This Row],[INV DOC DATE]]+30</f>
        <v>43221</v>
      </c>
      <c r="N22" s="2">
        <v>43220</v>
      </c>
      <c r="O22" s="5">
        <v>21823.5</v>
      </c>
      <c r="P22" s="2">
        <v>43234</v>
      </c>
      <c r="Q22" s="5">
        <f t="shared" si="0"/>
        <v>0</v>
      </c>
      <c r="R22" s="15" t="str">
        <f ca="1">IF(TODAY() - DAGXX[INV DUE DATE]&lt;30, "Less than 30 days",IF(TODAY()-DAGXX[INV DUE DATE]&lt;60,"30-60 days","More than 60 days"))</f>
        <v>More than 60 days</v>
      </c>
      <c r="S22" t="s">
        <v>813</v>
      </c>
      <c r="T22" s="43" t="s">
        <v>2229</v>
      </c>
      <c r="U22" t="s">
        <v>3699</v>
      </c>
    </row>
    <row r="23" spans="1:21" x14ac:dyDescent="0.3">
      <c r="A23" s="1" t="s">
        <v>34</v>
      </c>
      <c r="B23" s="1" t="s">
        <v>35</v>
      </c>
      <c r="C23" s="1" t="s">
        <v>21</v>
      </c>
      <c r="D23" s="1">
        <v>16</v>
      </c>
      <c r="E23" s="40">
        <v>870</v>
      </c>
      <c r="G23" s="49">
        <v>4380323881</v>
      </c>
      <c r="K23" s="3" t="s">
        <v>3</v>
      </c>
      <c r="L23" s="2">
        <v>43191</v>
      </c>
      <c r="M23" s="2">
        <f>DAGXX[[#This Row],[INV DOC DATE]]+30</f>
        <v>43221</v>
      </c>
      <c r="N23" s="2">
        <v>43220</v>
      </c>
      <c r="O23" s="5">
        <v>870</v>
      </c>
      <c r="P23" s="2">
        <v>43234</v>
      </c>
      <c r="Q23" s="5">
        <f t="shared" si="0"/>
        <v>0</v>
      </c>
      <c r="R23" s="15" t="str">
        <f ca="1">IF(TODAY() - DAGXX[INV DUE DATE]&lt;30, "Less than 30 days",IF(TODAY()-DAGXX[INV DUE DATE]&lt;60,"30-60 days","More than 60 days"))</f>
        <v>More than 60 days</v>
      </c>
      <c r="S23" t="s">
        <v>813</v>
      </c>
      <c r="T23" s="43" t="s">
        <v>2229</v>
      </c>
      <c r="U23" t="s">
        <v>3699</v>
      </c>
    </row>
    <row r="24" spans="1:21" x14ac:dyDescent="0.3">
      <c r="A24" s="1" t="s">
        <v>34</v>
      </c>
      <c r="B24" s="1" t="s">
        <v>35</v>
      </c>
      <c r="C24" s="1" t="s">
        <v>22</v>
      </c>
      <c r="D24" s="1">
        <v>16</v>
      </c>
      <c r="E24" s="40">
        <v>2037</v>
      </c>
      <c r="G24" s="49">
        <v>4380323887</v>
      </c>
      <c r="K24" s="3" t="s">
        <v>3</v>
      </c>
      <c r="L24" s="2">
        <v>43191</v>
      </c>
      <c r="M24" s="2">
        <f>DAGXX[[#This Row],[INV DOC DATE]]+30</f>
        <v>43221</v>
      </c>
      <c r="N24" s="2">
        <v>43220</v>
      </c>
      <c r="O24" s="5">
        <v>2037</v>
      </c>
      <c r="P24" s="2">
        <v>43234</v>
      </c>
      <c r="Q24" s="5">
        <f t="shared" si="0"/>
        <v>0</v>
      </c>
      <c r="R24" s="15" t="str">
        <f ca="1">IF(TODAY() - DAGXX[INV DUE DATE]&lt;30, "Less than 30 days",IF(TODAY()-DAGXX[INV DUE DATE]&lt;60,"30-60 days","More than 60 days"))</f>
        <v>More than 60 days</v>
      </c>
      <c r="S24" t="s">
        <v>813</v>
      </c>
      <c r="T24" s="43" t="s">
        <v>2229</v>
      </c>
      <c r="U24" t="s">
        <v>3699</v>
      </c>
    </row>
    <row r="25" spans="1:21" x14ac:dyDescent="0.3">
      <c r="A25" s="1" t="s">
        <v>34</v>
      </c>
      <c r="B25" s="1" t="s">
        <v>35</v>
      </c>
      <c r="C25" s="1" t="s">
        <v>23</v>
      </c>
      <c r="D25" s="1">
        <v>16</v>
      </c>
      <c r="E25" s="40">
        <v>23963.999999999989</v>
      </c>
      <c r="G25" s="49">
        <v>4380326207</v>
      </c>
      <c r="K25" s="3" t="s">
        <v>3</v>
      </c>
      <c r="L25" s="2">
        <v>43191</v>
      </c>
      <c r="M25" s="2">
        <f>DAGXX[[#This Row],[INV DOC DATE]]+30</f>
        <v>43221</v>
      </c>
      <c r="N25" s="2">
        <v>43220</v>
      </c>
      <c r="O25" s="5">
        <v>23964</v>
      </c>
      <c r="P25" s="2">
        <v>43234</v>
      </c>
      <c r="Q25" s="5">
        <f t="shared" si="0"/>
        <v>0</v>
      </c>
      <c r="R25" s="15" t="str">
        <f ca="1">IF(TODAY() - DAGXX[INV DUE DATE]&lt;30, "Less than 30 days",IF(TODAY()-DAGXX[INV DUE DATE]&lt;60,"30-60 days","More than 60 days"))</f>
        <v>More than 60 days</v>
      </c>
      <c r="S25" t="s">
        <v>813</v>
      </c>
      <c r="T25" s="43" t="s">
        <v>2229</v>
      </c>
      <c r="U25" t="s">
        <v>3699</v>
      </c>
    </row>
    <row r="26" spans="1:21" x14ac:dyDescent="0.3">
      <c r="A26" s="1" t="s">
        <v>34</v>
      </c>
      <c r="B26" s="1" t="s">
        <v>35</v>
      </c>
      <c r="C26" s="1" t="s">
        <v>24</v>
      </c>
      <c r="D26" s="1">
        <v>16</v>
      </c>
      <c r="E26" s="40">
        <v>24563.099999999988</v>
      </c>
      <c r="G26" s="49">
        <v>4380326353</v>
      </c>
      <c r="K26" s="3" t="s">
        <v>3</v>
      </c>
      <c r="L26" s="2">
        <v>43191</v>
      </c>
      <c r="M26" s="2">
        <f>DAGXX[[#This Row],[INV DOC DATE]]+30</f>
        <v>43221</v>
      </c>
      <c r="N26" s="2">
        <v>43220</v>
      </c>
      <c r="O26" s="5">
        <v>24563.1</v>
      </c>
      <c r="P26" s="2">
        <v>43234</v>
      </c>
      <c r="Q26" s="5">
        <f t="shared" si="0"/>
        <v>0</v>
      </c>
      <c r="R26" s="15" t="str">
        <f ca="1">IF(TODAY() - DAGXX[INV DUE DATE]&lt;30, "Less than 30 days",IF(TODAY()-DAGXX[INV DUE DATE]&lt;60,"30-60 days","More than 60 days"))</f>
        <v>More than 60 days</v>
      </c>
      <c r="S26" t="s">
        <v>813</v>
      </c>
      <c r="T26" s="43" t="s">
        <v>2229</v>
      </c>
      <c r="U26" t="s">
        <v>3699</v>
      </c>
    </row>
    <row r="27" spans="1:21" x14ac:dyDescent="0.3">
      <c r="A27" s="1" t="s">
        <v>34</v>
      </c>
      <c r="B27" s="1" t="s">
        <v>35</v>
      </c>
      <c r="C27" s="1" t="s">
        <v>25</v>
      </c>
      <c r="D27" s="1">
        <v>16</v>
      </c>
      <c r="E27" s="40">
        <v>3072</v>
      </c>
      <c r="G27" s="49">
        <v>4380326354</v>
      </c>
      <c r="K27" s="3" t="s">
        <v>3</v>
      </c>
      <c r="L27" s="2">
        <v>43191</v>
      </c>
      <c r="M27" s="2">
        <f>DAGXX[[#This Row],[INV DOC DATE]]+30</f>
        <v>43221</v>
      </c>
      <c r="N27" s="2">
        <v>43220</v>
      </c>
      <c r="O27" s="5">
        <v>3072</v>
      </c>
      <c r="P27" s="2">
        <v>43234</v>
      </c>
      <c r="Q27" s="5">
        <f t="shared" si="0"/>
        <v>0</v>
      </c>
      <c r="R27" s="15" t="str">
        <f ca="1">IF(TODAY() - DAGXX[INV DUE DATE]&lt;30, "Less than 30 days",IF(TODAY()-DAGXX[INV DUE DATE]&lt;60,"30-60 days","More than 60 days"))</f>
        <v>More than 60 days</v>
      </c>
      <c r="S27" t="s">
        <v>813</v>
      </c>
      <c r="T27" s="43" t="s">
        <v>2229</v>
      </c>
      <c r="U27" t="s">
        <v>3699</v>
      </c>
    </row>
    <row r="28" spans="1:21" x14ac:dyDescent="0.3">
      <c r="A28" s="1" t="s">
        <v>34</v>
      </c>
      <c r="B28" s="1" t="s">
        <v>35</v>
      </c>
      <c r="C28" s="1" t="s">
        <v>26</v>
      </c>
      <c r="D28" s="1">
        <v>16</v>
      </c>
      <c r="E28" s="40">
        <v>4457.3999999999996</v>
      </c>
      <c r="G28" s="49">
        <v>4380326359</v>
      </c>
      <c r="K28" s="3" t="s">
        <v>3</v>
      </c>
      <c r="L28" s="2">
        <v>43191</v>
      </c>
      <c r="M28" s="2">
        <f>DAGXX[[#This Row],[INV DOC DATE]]+30</f>
        <v>43221</v>
      </c>
      <c r="N28" s="2">
        <v>43220</v>
      </c>
      <c r="O28" s="5">
        <v>4457.3999999999996</v>
      </c>
      <c r="P28" s="2">
        <v>43234</v>
      </c>
      <c r="Q28" s="5">
        <f t="shared" si="0"/>
        <v>0</v>
      </c>
      <c r="R28" s="15" t="str">
        <f ca="1">IF(TODAY() - DAGXX[INV DUE DATE]&lt;30, "Less than 30 days",IF(TODAY()-DAGXX[INV DUE DATE]&lt;60,"30-60 days","More than 60 days"))</f>
        <v>More than 60 days</v>
      </c>
      <c r="S28" t="s">
        <v>813</v>
      </c>
      <c r="T28" s="43" t="s">
        <v>2229</v>
      </c>
      <c r="U28" t="s">
        <v>3699</v>
      </c>
    </row>
    <row r="29" spans="1:21" x14ac:dyDescent="0.3">
      <c r="A29" s="1" t="s">
        <v>34</v>
      </c>
      <c r="B29" s="1" t="s">
        <v>35</v>
      </c>
      <c r="C29" s="1" t="s">
        <v>27</v>
      </c>
      <c r="D29" s="1">
        <v>16</v>
      </c>
      <c r="E29" s="40">
        <v>6360</v>
      </c>
      <c r="G29" s="50">
        <v>4380326608</v>
      </c>
      <c r="K29" s="3" t="s">
        <v>4</v>
      </c>
      <c r="L29" s="2">
        <v>43191</v>
      </c>
      <c r="M29" s="2">
        <f>DAGXX[[#This Row],[INV DOC DATE]]+30</f>
        <v>43221</v>
      </c>
      <c r="N29" s="2">
        <v>43220</v>
      </c>
      <c r="O29" s="5">
        <v>6360</v>
      </c>
      <c r="P29" s="2">
        <v>43237</v>
      </c>
      <c r="Q29" s="5">
        <f t="shared" si="0"/>
        <v>0</v>
      </c>
      <c r="R29" s="15" t="str">
        <f ca="1">IF(TODAY() - DAGXX[INV DUE DATE]&lt;30, "Less than 30 days",IF(TODAY()-DAGXX[INV DUE DATE]&lt;60,"30-60 days","More than 60 days"))</f>
        <v>More than 60 days</v>
      </c>
      <c r="S29" t="s">
        <v>813</v>
      </c>
      <c r="T29" s="43" t="s">
        <v>2229</v>
      </c>
      <c r="U29" t="s">
        <v>3699</v>
      </c>
    </row>
    <row r="30" spans="1:21" x14ac:dyDescent="0.3">
      <c r="A30" s="1" t="s">
        <v>34</v>
      </c>
      <c r="B30" s="1" t="s">
        <v>35</v>
      </c>
      <c r="C30" s="1" t="s">
        <v>28</v>
      </c>
      <c r="D30" s="1">
        <v>16</v>
      </c>
      <c r="E30" s="40">
        <v>27000</v>
      </c>
      <c r="G30" s="51">
        <v>4380326616</v>
      </c>
      <c r="K30" s="3" t="s">
        <v>3</v>
      </c>
      <c r="L30" s="2">
        <v>43191</v>
      </c>
      <c r="M30" s="2">
        <f>DAGXX[[#This Row],[INV DOC DATE]]+30</f>
        <v>43221</v>
      </c>
      <c r="N30" s="2">
        <v>43220</v>
      </c>
      <c r="O30" s="5">
        <v>27000</v>
      </c>
      <c r="P30" s="2">
        <v>43234</v>
      </c>
      <c r="Q30" s="5">
        <f t="shared" si="0"/>
        <v>0</v>
      </c>
      <c r="R30" s="15" t="str">
        <f ca="1">IF(TODAY() - DAGXX[INV DUE DATE]&lt;30, "Less than 30 days",IF(TODAY()-DAGXX[INV DUE DATE]&lt;60,"30-60 days","More than 60 days"))</f>
        <v>More than 60 days</v>
      </c>
      <c r="S30" t="s">
        <v>813</v>
      </c>
      <c r="T30" s="43" t="s">
        <v>2229</v>
      </c>
      <c r="U30" t="s">
        <v>3699</v>
      </c>
    </row>
    <row r="31" spans="1:21" x14ac:dyDescent="0.3">
      <c r="A31" s="1" t="s">
        <v>2169</v>
      </c>
      <c r="B31" s="1"/>
      <c r="C31" s="1"/>
      <c r="D31" s="1">
        <v>16</v>
      </c>
      <c r="E31" s="40">
        <v>1725</v>
      </c>
      <c r="G31" s="49"/>
      <c r="K31" s="3"/>
      <c r="L31" s="2">
        <v>43191</v>
      </c>
      <c r="M31" s="2">
        <f>DAGXX[[#This Row],[INV DOC DATE]]+30</f>
        <v>43221</v>
      </c>
      <c r="O31" s="5">
        <v>1725</v>
      </c>
      <c r="P31" s="2">
        <v>43245</v>
      </c>
      <c r="Q31" s="5">
        <f t="shared" si="0"/>
        <v>0</v>
      </c>
      <c r="R31" s="15" t="str">
        <f ca="1">IF(TODAY() - DAGXX[INV DUE DATE]&lt;30, "Less than 30 days",IF(TODAY()-DAGXX[INV DUE DATE]&lt;60,"30-60 days","More than 60 days"))</f>
        <v>More than 60 days</v>
      </c>
      <c r="S31" t="s">
        <v>813</v>
      </c>
      <c r="T31" s="43" t="s">
        <v>2229</v>
      </c>
      <c r="U31" t="s">
        <v>3699</v>
      </c>
    </row>
    <row r="32" spans="1:21" x14ac:dyDescent="0.3">
      <c r="A32" s="1" t="s">
        <v>2680</v>
      </c>
      <c r="B32" s="1" t="s">
        <v>2681</v>
      </c>
      <c r="C32" s="1"/>
      <c r="D32" s="1"/>
      <c r="E32" s="40">
        <v>2170</v>
      </c>
      <c r="G32" s="52">
        <v>4380326341</v>
      </c>
      <c r="J32" t="s">
        <v>2671</v>
      </c>
      <c r="K32" s="3" t="s">
        <v>3</v>
      </c>
      <c r="L32" s="2">
        <v>43221</v>
      </c>
      <c r="M32" s="2">
        <f>DAGXX[[#This Row],[INV DOC DATE]]+30</f>
        <v>43251</v>
      </c>
      <c r="N32" s="2">
        <v>43251</v>
      </c>
      <c r="O32" s="40">
        <v>2170</v>
      </c>
      <c r="P32" s="2">
        <v>43262</v>
      </c>
      <c r="Q32" s="5">
        <f t="shared" si="0"/>
        <v>0</v>
      </c>
      <c r="R32" s="15" t="str">
        <f ca="1">IF(TODAY() - DAGXX[INV DUE DATE]&lt;30, "Less than 30 days",IF(TODAY()-DAGXX[INV DUE DATE]&lt;60,"30-60 days","More than 60 days"))</f>
        <v>30-60 days</v>
      </c>
      <c r="S32" t="s">
        <v>813</v>
      </c>
      <c r="T32" s="43" t="s">
        <v>2229</v>
      </c>
      <c r="U32" t="s">
        <v>3699</v>
      </c>
    </row>
    <row r="33" spans="1:21" x14ac:dyDescent="0.3">
      <c r="A33" s="1" t="s">
        <v>2670</v>
      </c>
      <c r="B33" s="1" t="s">
        <v>35</v>
      </c>
      <c r="C33" s="1" t="s">
        <v>6</v>
      </c>
      <c r="D33" s="1">
        <v>16</v>
      </c>
      <c r="E33" s="40">
        <v>21770.99</v>
      </c>
      <c r="G33" s="52">
        <v>4380323209</v>
      </c>
      <c r="J33" t="s">
        <v>2671</v>
      </c>
      <c r="K33" s="3" t="s">
        <v>3</v>
      </c>
      <c r="L33" s="2">
        <v>43221</v>
      </c>
      <c r="M33" s="2">
        <f>DAGXX[[#This Row],[INV DOC DATE]]+30</f>
        <v>43251</v>
      </c>
      <c r="N33" s="2">
        <v>43250</v>
      </c>
      <c r="O33" s="5">
        <v>21770.99</v>
      </c>
      <c r="P33" s="2">
        <v>43262</v>
      </c>
      <c r="Q33" s="5">
        <f t="shared" si="0"/>
        <v>0</v>
      </c>
      <c r="R33" s="15" t="str">
        <f ca="1">IF(TODAY() - DAGXX[INV DUE DATE]&lt;30, "Less than 30 days",IF(TODAY()-DAGXX[INV DUE DATE]&lt;60,"30-60 days","More than 60 days"))</f>
        <v>30-60 days</v>
      </c>
      <c r="S33" t="s">
        <v>813</v>
      </c>
      <c r="T33" s="43" t="s">
        <v>2229</v>
      </c>
      <c r="U33" t="s">
        <v>3699</v>
      </c>
    </row>
    <row r="34" spans="1:21" x14ac:dyDescent="0.3">
      <c r="A34" s="1" t="s">
        <v>2670</v>
      </c>
      <c r="B34" s="1" t="s">
        <v>35</v>
      </c>
      <c r="C34" s="1" t="s">
        <v>7</v>
      </c>
      <c r="D34" s="1">
        <v>16</v>
      </c>
      <c r="E34" s="40">
        <v>25381.87</v>
      </c>
      <c r="G34" s="52">
        <v>4380323210</v>
      </c>
      <c r="J34" t="s">
        <v>2671</v>
      </c>
      <c r="K34" s="3" t="s">
        <v>3</v>
      </c>
      <c r="L34" s="2">
        <v>43221</v>
      </c>
      <c r="M34" s="2">
        <f>DAGXX[[#This Row],[INV DOC DATE]]+30</f>
        <v>43251</v>
      </c>
      <c r="N34" s="2">
        <v>43250</v>
      </c>
      <c r="O34" s="5">
        <v>25381.87</v>
      </c>
      <c r="P34" s="2">
        <v>43262</v>
      </c>
      <c r="Q34" s="5">
        <f t="shared" ref="Q34:Q65" si="1">$E34-$O34</f>
        <v>0</v>
      </c>
      <c r="R34" s="15" t="str">
        <f ca="1">IF(TODAY() - DAGXX[INV DUE DATE]&lt;30, "Less than 30 days",IF(TODAY()-DAGXX[INV DUE DATE]&lt;60,"30-60 days","More than 60 days"))</f>
        <v>30-60 days</v>
      </c>
      <c r="S34" t="s">
        <v>813</v>
      </c>
      <c r="T34" s="43" t="s">
        <v>2229</v>
      </c>
      <c r="U34" t="s">
        <v>3699</v>
      </c>
    </row>
    <row r="35" spans="1:21" x14ac:dyDescent="0.3">
      <c r="A35" s="1" t="s">
        <v>2670</v>
      </c>
      <c r="B35" s="1" t="s">
        <v>35</v>
      </c>
      <c r="C35" s="1" t="s">
        <v>8</v>
      </c>
      <c r="D35" s="1">
        <v>16</v>
      </c>
      <c r="E35" s="40">
        <v>178.25</v>
      </c>
      <c r="G35" s="52">
        <v>4380323842</v>
      </c>
      <c r="J35" t="s">
        <v>2671</v>
      </c>
      <c r="K35" s="3" t="s">
        <v>3</v>
      </c>
      <c r="L35" s="2">
        <v>43221</v>
      </c>
      <c r="M35" s="2">
        <f>DAGXX[[#This Row],[INV DOC DATE]]+30</f>
        <v>43251</v>
      </c>
      <c r="N35" s="2">
        <v>43250</v>
      </c>
      <c r="O35" s="5">
        <v>178.25</v>
      </c>
      <c r="P35" s="2">
        <v>43262</v>
      </c>
      <c r="Q35" s="5">
        <f t="shared" si="1"/>
        <v>0</v>
      </c>
      <c r="R35" s="15" t="str">
        <f ca="1">IF(TODAY() - DAGXX[INV DUE DATE]&lt;30, "Less than 30 days",IF(TODAY()-DAGXX[INV DUE DATE]&lt;60,"30-60 days","More than 60 days"))</f>
        <v>30-60 days</v>
      </c>
      <c r="S35" t="s">
        <v>813</v>
      </c>
      <c r="T35" s="43" t="s">
        <v>2229</v>
      </c>
      <c r="U35" t="s">
        <v>3699</v>
      </c>
    </row>
    <row r="36" spans="1:21" x14ac:dyDescent="0.3">
      <c r="A36" s="1" t="s">
        <v>2670</v>
      </c>
      <c r="B36" s="1" t="s">
        <v>35</v>
      </c>
      <c r="C36" s="1" t="s">
        <v>9</v>
      </c>
      <c r="D36" s="1">
        <v>16</v>
      </c>
      <c r="E36" s="40">
        <v>11984.29</v>
      </c>
      <c r="G36" s="52">
        <v>4380323852</v>
      </c>
      <c r="J36" t="s">
        <v>2671</v>
      </c>
      <c r="K36" s="3" t="s">
        <v>3</v>
      </c>
      <c r="L36" s="2">
        <v>43221</v>
      </c>
      <c r="M36" s="2">
        <f>DAGXX[[#This Row],[INV DOC DATE]]+30</f>
        <v>43251</v>
      </c>
      <c r="N36" s="2">
        <v>43250</v>
      </c>
      <c r="O36" s="5">
        <v>11984.29</v>
      </c>
      <c r="P36" s="2">
        <v>43262</v>
      </c>
      <c r="Q36" s="5">
        <f t="shared" si="1"/>
        <v>0</v>
      </c>
      <c r="R36" s="15" t="str">
        <f ca="1">IF(TODAY() - DAGXX[INV DUE DATE]&lt;30, "Less than 30 days",IF(TODAY()-DAGXX[INV DUE DATE]&lt;60,"30-60 days","More than 60 days"))</f>
        <v>30-60 days</v>
      </c>
      <c r="S36" t="s">
        <v>813</v>
      </c>
      <c r="T36" s="43" t="s">
        <v>2229</v>
      </c>
      <c r="U36" t="s">
        <v>3699</v>
      </c>
    </row>
    <row r="37" spans="1:21" x14ac:dyDescent="0.3">
      <c r="A37" s="1" t="s">
        <v>2670</v>
      </c>
      <c r="B37" s="1" t="s">
        <v>35</v>
      </c>
      <c r="C37" s="1" t="s">
        <v>10</v>
      </c>
      <c r="D37" s="1">
        <v>16</v>
      </c>
      <c r="E37" s="40">
        <v>1178</v>
      </c>
      <c r="G37" s="52">
        <v>4380323855</v>
      </c>
      <c r="J37" t="s">
        <v>2671</v>
      </c>
      <c r="K37" s="3" t="s">
        <v>3</v>
      </c>
      <c r="L37" s="2">
        <v>43221</v>
      </c>
      <c r="M37" s="2">
        <f>DAGXX[[#This Row],[INV DOC DATE]]+30</f>
        <v>43251</v>
      </c>
      <c r="N37" s="2">
        <v>43250</v>
      </c>
      <c r="O37" s="5">
        <v>1178</v>
      </c>
      <c r="P37" s="2">
        <v>43262</v>
      </c>
      <c r="Q37" s="5">
        <f t="shared" si="1"/>
        <v>0</v>
      </c>
      <c r="R37" s="15" t="str">
        <f ca="1">IF(TODAY() - DAGXX[INV DUE DATE]&lt;30, "Less than 30 days",IF(TODAY()-DAGXX[INV DUE DATE]&lt;60,"30-60 days","More than 60 days"))</f>
        <v>30-60 days</v>
      </c>
      <c r="S37" t="s">
        <v>813</v>
      </c>
      <c r="T37" s="43" t="s">
        <v>2229</v>
      </c>
      <c r="U37" t="s">
        <v>3699</v>
      </c>
    </row>
    <row r="38" spans="1:21" x14ac:dyDescent="0.3">
      <c r="A38" s="1" t="s">
        <v>2670</v>
      </c>
      <c r="B38" s="1" t="s">
        <v>35</v>
      </c>
      <c r="C38" s="1" t="s">
        <v>11</v>
      </c>
      <c r="D38" s="1">
        <v>16</v>
      </c>
      <c r="E38" s="40">
        <v>7130</v>
      </c>
      <c r="G38" s="52">
        <v>4380323858</v>
      </c>
      <c r="J38" t="s">
        <v>2671</v>
      </c>
      <c r="K38" s="3" t="s">
        <v>3</v>
      </c>
      <c r="L38" s="2">
        <v>43221</v>
      </c>
      <c r="M38" s="2">
        <f>DAGXX[[#This Row],[INV DOC DATE]]+30</f>
        <v>43251</v>
      </c>
      <c r="N38" s="2">
        <v>43250</v>
      </c>
      <c r="O38" s="5">
        <v>7130</v>
      </c>
      <c r="P38" s="2">
        <v>43262</v>
      </c>
      <c r="Q38" s="5">
        <f t="shared" si="1"/>
        <v>0</v>
      </c>
      <c r="R38" s="15" t="str">
        <f ca="1">IF(TODAY() - DAGXX[INV DUE DATE]&lt;30, "Less than 30 days",IF(TODAY()-DAGXX[INV DUE DATE]&lt;60,"30-60 days","More than 60 days"))</f>
        <v>30-60 days</v>
      </c>
      <c r="S38" t="s">
        <v>813</v>
      </c>
      <c r="T38" s="43" t="s">
        <v>2229</v>
      </c>
      <c r="U38" t="s">
        <v>3699</v>
      </c>
    </row>
    <row r="39" spans="1:21" x14ac:dyDescent="0.3">
      <c r="A39" s="1" t="s">
        <v>2670</v>
      </c>
      <c r="B39" s="1" t="s">
        <v>35</v>
      </c>
      <c r="C39" s="1" t="s">
        <v>12</v>
      </c>
      <c r="D39" s="1">
        <v>16</v>
      </c>
      <c r="E39" s="40">
        <v>534.75</v>
      </c>
      <c r="G39" s="52">
        <v>4380323859</v>
      </c>
      <c r="J39" t="s">
        <v>2671</v>
      </c>
      <c r="K39" s="3" t="s">
        <v>3</v>
      </c>
      <c r="L39" s="2">
        <v>43221</v>
      </c>
      <c r="M39" s="2">
        <f>DAGXX[[#This Row],[INV DOC DATE]]+30</f>
        <v>43251</v>
      </c>
      <c r="N39" s="2">
        <v>43250</v>
      </c>
      <c r="O39" s="5">
        <v>534.75</v>
      </c>
      <c r="P39" s="2">
        <v>43262</v>
      </c>
      <c r="Q39" s="5">
        <f t="shared" si="1"/>
        <v>0</v>
      </c>
      <c r="R39" s="15" t="str">
        <f ca="1">IF(TODAY() - DAGXX[INV DUE DATE]&lt;30, "Less than 30 days",IF(TODAY()-DAGXX[INV DUE DATE]&lt;60,"30-60 days","More than 60 days"))</f>
        <v>30-60 days</v>
      </c>
      <c r="S39" t="s">
        <v>813</v>
      </c>
      <c r="T39" s="43" t="s">
        <v>2229</v>
      </c>
      <c r="U39" t="s">
        <v>3699</v>
      </c>
    </row>
    <row r="40" spans="1:21" x14ac:dyDescent="0.3">
      <c r="A40" s="1" t="s">
        <v>2670</v>
      </c>
      <c r="B40" s="1" t="s">
        <v>35</v>
      </c>
      <c r="C40" s="1" t="s">
        <v>13</v>
      </c>
      <c r="D40" s="1">
        <v>16</v>
      </c>
      <c r="E40" s="40">
        <v>1999.5</v>
      </c>
      <c r="G40" s="52">
        <v>4380323860</v>
      </c>
      <c r="J40" t="s">
        <v>2671</v>
      </c>
      <c r="K40" s="3" t="s">
        <v>3</v>
      </c>
      <c r="L40" s="2">
        <v>43221</v>
      </c>
      <c r="M40" s="2">
        <f>DAGXX[[#This Row],[INV DOC DATE]]+30</f>
        <v>43251</v>
      </c>
      <c r="N40" s="2">
        <v>43250</v>
      </c>
      <c r="O40" s="5">
        <v>1999.5</v>
      </c>
      <c r="P40" s="2">
        <v>43262</v>
      </c>
      <c r="Q40" s="5">
        <f t="shared" si="1"/>
        <v>0</v>
      </c>
      <c r="R40" s="15" t="str">
        <f ca="1">IF(TODAY() - DAGXX[INV DUE DATE]&lt;30, "Less than 30 days",IF(TODAY()-DAGXX[INV DUE DATE]&lt;60,"30-60 days","More than 60 days"))</f>
        <v>30-60 days</v>
      </c>
      <c r="S40" t="s">
        <v>813</v>
      </c>
      <c r="T40" s="43" t="s">
        <v>2229</v>
      </c>
      <c r="U40" t="s">
        <v>3699</v>
      </c>
    </row>
    <row r="41" spans="1:21" x14ac:dyDescent="0.3">
      <c r="A41" s="1" t="s">
        <v>2670</v>
      </c>
      <c r="B41" s="1" t="s">
        <v>35</v>
      </c>
      <c r="C41" s="1" t="s">
        <v>14</v>
      </c>
      <c r="D41" s="1">
        <v>16</v>
      </c>
      <c r="E41" s="40">
        <v>18766.16</v>
      </c>
      <c r="G41" s="52">
        <v>4380323861</v>
      </c>
      <c r="J41" t="s">
        <v>2671</v>
      </c>
      <c r="K41" s="3" t="s">
        <v>3</v>
      </c>
      <c r="L41" s="2">
        <v>43221</v>
      </c>
      <c r="M41" s="2">
        <f>DAGXX[[#This Row],[INV DOC DATE]]+30</f>
        <v>43251</v>
      </c>
      <c r="N41" s="2">
        <v>43250</v>
      </c>
      <c r="O41" s="5">
        <v>18766.16</v>
      </c>
      <c r="P41" s="2">
        <v>43262</v>
      </c>
      <c r="Q41" s="5">
        <f t="shared" si="1"/>
        <v>0</v>
      </c>
      <c r="R41" s="15" t="str">
        <f ca="1">IF(TODAY() - DAGXX[INV DUE DATE]&lt;30, "Less than 30 days",IF(TODAY()-DAGXX[INV DUE DATE]&lt;60,"30-60 days","More than 60 days"))</f>
        <v>30-60 days</v>
      </c>
      <c r="S41" t="s">
        <v>813</v>
      </c>
      <c r="T41" s="43" t="s">
        <v>2229</v>
      </c>
      <c r="U41" t="s">
        <v>3699</v>
      </c>
    </row>
    <row r="42" spans="1:21" x14ac:dyDescent="0.3">
      <c r="A42" s="1" t="s">
        <v>2670</v>
      </c>
      <c r="B42" s="1" t="s">
        <v>35</v>
      </c>
      <c r="C42" s="1" t="s">
        <v>15</v>
      </c>
      <c r="D42" s="1">
        <v>16</v>
      </c>
      <c r="E42" s="40">
        <v>8866</v>
      </c>
      <c r="G42" s="52">
        <v>4380323862</v>
      </c>
      <c r="J42" t="s">
        <v>2671</v>
      </c>
      <c r="K42" s="3" t="s">
        <v>3</v>
      </c>
      <c r="L42" s="2">
        <v>43221</v>
      </c>
      <c r="M42" s="2">
        <f>DAGXX[[#This Row],[INV DOC DATE]]+30</f>
        <v>43251</v>
      </c>
      <c r="N42" s="2">
        <v>43250</v>
      </c>
      <c r="O42" s="5">
        <v>8866</v>
      </c>
      <c r="P42" s="2">
        <v>43262</v>
      </c>
      <c r="Q42" s="5">
        <f t="shared" si="1"/>
        <v>0</v>
      </c>
      <c r="R42" s="15" t="str">
        <f ca="1">IF(TODAY() - DAGXX[INV DUE DATE]&lt;30, "Less than 30 days",IF(TODAY()-DAGXX[INV DUE DATE]&lt;60,"30-60 days","More than 60 days"))</f>
        <v>30-60 days</v>
      </c>
      <c r="S42" t="s">
        <v>813</v>
      </c>
      <c r="T42" s="43" t="s">
        <v>2229</v>
      </c>
      <c r="U42" t="s">
        <v>3699</v>
      </c>
    </row>
    <row r="43" spans="1:21" x14ac:dyDescent="0.3">
      <c r="A43" s="1" t="s">
        <v>2670</v>
      </c>
      <c r="B43" s="1" t="s">
        <v>35</v>
      </c>
      <c r="C43" s="1" t="s">
        <v>16</v>
      </c>
      <c r="D43" s="1">
        <v>16</v>
      </c>
      <c r="E43" s="40">
        <v>8393.25</v>
      </c>
      <c r="G43" s="52">
        <v>4380323863</v>
      </c>
      <c r="J43" t="s">
        <v>2671</v>
      </c>
      <c r="K43" s="3" t="s">
        <v>3</v>
      </c>
      <c r="L43" s="2">
        <v>43221</v>
      </c>
      <c r="M43" s="2">
        <f>DAGXX[[#This Row],[INV DOC DATE]]+30</f>
        <v>43251</v>
      </c>
      <c r="N43" s="2">
        <v>43250</v>
      </c>
      <c r="O43" s="5">
        <v>8393.25</v>
      </c>
      <c r="P43" s="2">
        <v>43262</v>
      </c>
      <c r="Q43" s="5">
        <f t="shared" si="1"/>
        <v>0</v>
      </c>
      <c r="R43" s="15" t="str">
        <f ca="1">IF(TODAY() - DAGXX[INV DUE DATE]&lt;30, "Less than 30 days",IF(TODAY()-DAGXX[INV DUE DATE]&lt;60,"30-60 days","More than 60 days"))</f>
        <v>30-60 days</v>
      </c>
      <c r="S43" t="s">
        <v>813</v>
      </c>
      <c r="T43" s="43" t="s">
        <v>2229</v>
      </c>
      <c r="U43" t="s">
        <v>3699</v>
      </c>
    </row>
    <row r="44" spans="1:21" x14ac:dyDescent="0.3">
      <c r="A44" s="1" t="s">
        <v>2670</v>
      </c>
      <c r="B44" s="1" t="s">
        <v>35</v>
      </c>
      <c r="C44" s="1" t="s">
        <v>17</v>
      </c>
      <c r="D44" s="1">
        <v>16</v>
      </c>
      <c r="E44" s="40">
        <v>3100</v>
      </c>
      <c r="G44" s="52">
        <v>4380323864</v>
      </c>
      <c r="J44" t="s">
        <v>2671</v>
      </c>
      <c r="K44" s="3" t="s">
        <v>3</v>
      </c>
      <c r="L44" s="2">
        <v>43221</v>
      </c>
      <c r="M44" s="2">
        <f>DAGXX[[#This Row],[INV DOC DATE]]+30</f>
        <v>43251</v>
      </c>
      <c r="N44" s="2">
        <v>43250</v>
      </c>
      <c r="O44" s="5">
        <v>3100</v>
      </c>
      <c r="P44" s="2">
        <v>43262</v>
      </c>
      <c r="Q44" s="5">
        <f t="shared" si="1"/>
        <v>0</v>
      </c>
      <c r="R44" s="15" t="str">
        <f ca="1">IF(TODAY() - DAGXX[INV DUE DATE]&lt;30, "Less than 30 days",IF(TODAY()-DAGXX[INV DUE DATE]&lt;60,"30-60 days","More than 60 days"))</f>
        <v>30-60 days</v>
      </c>
      <c r="S44" t="s">
        <v>813</v>
      </c>
      <c r="T44" s="43" t="s">
        <v>2229</v>
      </c>
      <c r="U44" t="s">
        <v>3699</v>
      </c>
    </row>
    <row r="45" spans="1:21" x14ac:dyDescent="0.3">
      <c r="A45" s="1" t="s">
        <v>2670</v>
      </c>
      <c r="B45" s="1" t="s">
        <v>35</v>
      </c>
      <c r="C45" s="1" t="s">
        <v>18</v>
      </c>
      <c r="D45" s="1">
        <v>16</v>
      </c>
      <c r="E45" s="40">
        <v>891.25</v>
      </c>
      <c r="G45" s="52">
        <v>4380323865</v>
      </c>
      <c r="J45" t="s">
        <v>2671</v>
      </c>
      <c r="K45" s="3" t="s">
        <v>3</v>
      </c>
      <c r="L45" s="2">
        <v>43221</v>
      </c>
      <c r="M45" s="2">
        <f>DAGXX[[#This Row],[INV DOC DATE]]+30</f>
        <v>43251</v>
      </c>
      <c r="N45" s="2">
        <v>43250</v>
      </c>
      <c r="O45" s="5">
        <v>891.25</v>
      </c>
      <c r="P45" s="2">
        <v>43262</v>
      </c>
      <c r="Q45" s="5">
        <f t="shared" si="1"/>
        <v>0</v>
      </c>
      <c r="R45" s="15" t="str">
        <f ca="1">IF(TODAY() - DAGXX[INV DUE DATE]&lt;30, "Less than 30 days",IF(TODAY()-DAGXX[INV DUE DATE]&lt;60,"30-60 days","More than 60 days"))</f>
        <v>30-60 days</v>
      </c>
      <c r="S45" t="s">
        <v>813</v>
      </c>
      <c r="T45" s="43" t="s">
        <v>2229</v>
      </c>
      <c r="U45" t="s">
        <v>3699</v>
      </c>
    </row>
    <row r="46" spans="1:21" x14ac:dyDescent="0.3">
      <c r="A46" s="1" t="s">
        <v>2670</v>
      </c>
      <c r="B46" s="1" t="s">
        <v>35</v>
      </c>
      <c r="C46" s="1" t="s">
        <v>19</v>
      </c>
      <c r="D46" s="1">
        <v>16</v>
      </c>
      <c r="E46" s="40">
        <v>7486.5</v>
      </c>
      <c r="G46" s="52">
        <v>4380323867</v>
      </c>
      <c r="J46" t="s">
        <v>2671</v>
      </c>
      <c r="K46" s="3" t="s">
        <v>3</v>
      </c>
      <c r="L46" s="2">
        <v>43221</v>
      </c>
      <c r="M46" s="2">
        <f>DAGXX[[#This Row],[INV DOC DATE]]+30</f>
        <v>43251</v>
      </c>
      <c r="N46" s="2">
        <v>43250</v>
      </c>
      <c r="O46" s="5">
        <v>7486.5</v>
      </c>
      <c r="P46" s="2">
        <v>43262</v>
      </c>
      <c r="Q46" s="5">
        <f t="shared" si="1"/>
        <v>0</v>
      </c>
      <c r="R46" s="15" t="str">
        <f ca="1">IF(TODAY() - DAGXX[INV DUE DATE]&lt;30, "Less than 30 days",IF(TODAY()-DAGXX[INV DUE DATE]&lt;60,"30-60 days","More than 60 days"))</f>
        <v>30-60 days</v>
      </c>
      <c r="S46" t="s">
        <v>813</v>
      </c>
      <c r="T46" s="43" t="s">
        <v>2229</v>
      </c>
      <c r="U46" t="s">
        <v>3699</v>
      </c>
    </row>
    <row r="47" spans="1:21" x14ac:dyDescent="0.3">
      <c r="A47" s="1" t="s">
        <v>2670</v>
      </c>
      <c r="B47" s="1" t="s">
        <v>35</v>
      </c>
      <c r="C47" s="1" t="s">
        <v>20</v>
      </c>
      <c r="D47" s="1">
        <v>16</v>
      </c>
      <c r="E47" s="40">
        <v>22550.95</v>
      </c>
      <c r="G47" s="52">
        <v>4380323875</v>
      </c>
      <c r="J47" t="s">
        <v>2671</v>
      </c>
      <c r="K47" s="3" t="s">
        <v>3</v>
      </c>
      <c r="L47" s="2">
        <v>43221</v>
      </c>
      <c r="M47" s="2">
        <f>DAGXX[[#This Row],[INV DOC DATE]]+30</f>
        <v>43251</v>
      </c>
      <c r="N47" s="2">
        <v>43250</v>
      </c>
      <c r="O47" s="5">
        <v>22550.95</v>
      </c>
      <c r="P47" s="2">
        <v>43262</v>
      </c>
      <c r="Q47" s="5">
        <f t="shared" si="1"/>
        <v>0</v>
      </c>
      <c r="R47" s="15" t="str">
        <f ca="1">IF(TODAY() - DAGXX[INV DUE DATE]&lt;30, "Less than 30 days",IF(TODAY()-DAGXX[INV DUE DATE]&lt;60,"30-60 days","More than 60 days"))</f>
        <v>30-60 days</v>
      </c>
      <c r="S47" t="s">
        <v>813</v>
      </c>
      <c r="T47" s="43" t="s">
        <v>2229</v>
      </c>
      <c r="U47" t="s">
        <v>3699</v>
      </c>
    </row>
    <row r="48" spans="1:21" x14ac:dyDescent="0.3">
      <c r="A48" s="1" t="s">
        <v>2670</v>
      </c>
      <c r="B48" s="1" t="s">
        <v>35</v>
      </c>
      <c r="C48" s="1" t="s">
        <v>21</v>
      </c>
      <c r="D48" s="1">
        <v>16</v>
      </c>
      <c r="E48" s="40">
        <v>899</v>
      </c>
      <c r="G48" s="52">
        <v>4380323881</v>
      </c>
      <c r="J48" t="s">
        <v>2671</v>
      </c>
      <c r="K48" s="3" t="s">
        <v>3</v>
      </c>
      <c r="L48" s="2">
        <v>43221</v>
      </c>
      <c r="M48" s="2">
        <f>DAGXX[[#This Row],[INV DOC DATE]]+30</f>
        <v>43251</v>
      </c>
      <c r="N48" s="2">
        <v>43250</v>
      </c>
      <c r="O48" s="5">
        <v>899</v>
      </c>
      <c r="P48" s="2">
        <v>43262</v>
      </c>
      <c r="Q48" s="5">
        <f t="shared" si="1"/>
        <v>0</v>
      </c>
      <c r="R48" s="15" t="str">
        <f ca="1">IF(TODAY() - DAGXX[INV DUE DATE]&lt;30, "Less than 30 days",IF(TODAY()-DAGXX[INV DUE DATE]&lt;60,"30-60 days","More than 60 days"))</f>
        <v>30-60 days</v>
      </c>
      <c r="S48" t="s">
        <v>813</v>
      </c>
      <c r="T48" s="43" t="s">
        <v>2229</v>
      </c>
      <c r="U48" t="s">
        <v>3699</v>
      </c>
    </row>
    <row r="49" spans="1:21" x14ac:dyDescent="0.3">
      <c r="A49" s="1" t="s">
        <v>2670</v>
      </c>
      <c r="B49" s="1" t="s">
        <v>35</v>
      </c>
      <c r="C49" s="1" t="s">
        <v>22</v>
      </c>
      <c r="D49" s="1">
        <v>16</v>
      </c>
      <c r="E49" s="40">
        <v>2104.9</v>
      </c>
      <c r="G49" s="52">
        <v>4380323887</v>
      </c>
      <c r="J49" t="s">
        <v>2671</v>
      </c>
      <c r="K49" s="3" t="s">
        <v>3</v>
      </c>
      <c r="L49" s="2">
        <v>43221</v>
      </c>
      <c r="M49" s="2">
        <f>DAGXX[[#This Row],[INV DOC DATE]]+30</f>
        <v>43251</v>
      </c>
      <c r="N49" s="2">
        <v>43250</v>
      </c>
      <c r="O49" s="5">
        <v>2104.9</v>
      </c>
      <c r="P49" s="2">
        <v>43262</v>
      </c>
      <c r="Q49" s="5">
        <f t="shared" si="1"/>
        <v>0</v>
      </c>
      <c r="R49" s="15" t="str">
        <f ca="1">IF(TODAY() - DAGXX[INV DUE DATE]&lt;30, "Less than 30 days",IF(TODAY()-DAGXX[INV DUE DATE]&lt;60,"30-60 days","More than 60 days"))</f>
        <v>30-60 days</v>
      </c>
      <c r="S49" t="s">
        <v>813</v>
      </c>
      <c r="T49" s="43" t="s">
        <v>2229</v>
      </c>
      <c r="U49" t="s">
        <v>3699</v>
      </c>
    </row>
    <row r="50" spans="1:21" x14ac:dyDescent="0.3">
      <c r="A50" s="1" t="s">
        <v>2670</v>
      </c>
      <c r="B50" s="1" t="s">
        <v>35</v>
      </c>
      <c r="C50" s="1" t="s">
        <v>23</v>
      </c>
      <c r="D50" s="1">
        <v>16</v>
      </c>
      <c r="E50" s="40">
        <v>24762.799999999999</v>
      </c>
      <c r="G50" s="52">
        <v>4380326207</v>
      </c>
      <c r="J50" t="s">
        <v>2671</v>
      </c>
      <c r="K50" s="3" t="s">
        <v>3</v>
      </c>
      <c r="L50" s="2">
        <v>43221</v>
      </c>
      <c r="M50" s="2">
        <f>DAGXX[[#This Row],[INV DOC DATE]]+30</f>
        <v>43251</v>
      </c>
      <c r="N50" s="2">
        <v>43250</v>
      </c>
      <c r="O50" s="5">
        <v>24762.799999999999</v>
      </c>
      <c r="P50" s="2">
        <v>43262</v>
      </c>
      <c r="Q50" s="5">
        <f t="shared" si="1"/>
        <v>0</v>
      </c>
      <c r="R50" s="15" t="str">
        <f ca="1">IF(TODAY() - DAGXX[INV DUE DATE]&lt;30, "Less than 30 days",IF(TODAY()-DAGXX[INV DUE DATE]&lt;60,"30-60 days","More than 60 days"))</f>
        <v>30-60 days</v>
      </c>
      <c r="S50" t="s">
        <v>813</v>
      </c>
      <c r="T50" s="43" t="s">
        <v>2229</v>
      </c>
      <c r="U50" t="s">
        <v>3699</v>
      </c>
    </row>
    <row r="51" spans="1:21" x14ac:dyDescent="0.3">
      <c r="A51" s="1" t="s">
        <v>2670</v>
      </c>
      <c r="B51" s="1" t="s">
        <v>35</v>
      </c>
      <c r="C51" s="1" t="s">
        <v>24</v>
      </c>
      <c r="D51" s="1">
        <v>16</v>
      </c>
      <c r="E51" s="40">
        <v>25381.87</v>
      </c>
      <c r="G51" s="52">
        <v>4380326353</v>
      </c>
      <c r="J51" t="s">
        <v>2671</v>
      </c>
      <c r="K51" s="3" t="s">
        <v>3</v>
      </c>
      <c r="L51" s="2">
        <v>43221</v>
      </c>
      <c r="M51" s="2">
        <f>DAGXX[[#This Row],[INV DOC DATE]]+30</f>
        <v>43251</v>
      </c>
      <c r="N51" s="2">
        <v>43250</v>
      </c>
      <c r="O51" s="5">
        <v>25381.87</v>
      </c>
      <c r="P51" s="2">
        <v>43262</v>
      </c>
      <c r="Q51" s="5">
        <f t="shared" si="1"/>
        <v>0</v>
      </c>
      <c r="R51" s="15" t="str">
        <f ca="1">IF(TODAY() - DAGXX[INV DUE DATE]&lt;30, "Less than 30 days",IF(TODAY()-DAGXX[INV DUE DATE]&lt;60,"30-60 days","More than 60 days"))</f>
        <v>30-60 days</v>
      </c>
      <c r="S51" t="s">
        <v>813</v>
      </c>
      <c r="T51" s="43" t="s">
        <v>2229</v>
      </c>
      <c r="U51" t="s">
        <v>3699</v>
      </c>
    </row>
    <row r="52" spans="1:21" x14ac:dyDescent="0.3">
      <c r="A52" s="1" t="s">
        <v>2670</v>
      </c>
      <c r="B52" s="1" t="s">
        <v>35</v>
      </c>
      <c r="C52" s="1" t="s">
        <v>25</v>
      </c>
      <c r="D52" s="1">
        <v>16</v>
      </c>
      <c r="E52" s="40">
        <v>3174.4</v>
      </c>
      <c r="G52" s="52">
        <v>4380326354</v>
      </c>
      <c r="J52" t="s">
        <v>2671</v>
      </c>
      <c r="K52" s="3" t="s">
        <v>3</v>
      </c>
      <c r="L52" s="2">
        <v>43221</v>
      </c>
      <c r="M52" s="2">
        <f>DAGXX[[#This Row],[INV DOC DATE]]+30</f>
        <v>43251</v>
      </c>
      <c r="N52" s="2">
        <v>43250</v>
      </c>
      <c r="O52" s="5">
        <v>3174.4</v>
      </c>
      <c r="P52" s="2">
        <v>43262</v>
      </c>
      <c r="Q52" s="5">
        <f t="shared" si="1"/>
        <v>0</v>
      </c>
      <c r="R52" s="15" t="str">
        <f ca="1">IF(TODAY() - DAGXX[INV DUE DATE]&lt;30, "Less than 30 days",IF(TODAY()-DAGXX[INV DUE DATE]&lt;60,"30-60 days","More than 60 days"))</f>
        <v>30-60 days</v>
      </c>
      <c r="S52" t="s">
        <v>813</v>
      </c>
      <c r="T52" s="43" t="s">
        <v>2229</v>
      </c>
      <c r="U52" t="s">
        <v>3699</v>
      </c>
    </row>
    <row r="53" spans="1:21" x14ac:dyDescent="0.3">
      <c r="A53" s="1" t="s">
        <v>2670</v>
      </c>
      <c r="B53" s="1" t="s">
        <v>35</v>
      </c>
      <c r="C53" s="1" t="s">
        <v>26</v>
      </c>
      <c r="D53" s="1">
        <v>16</v>
      </c>
      <c r="E53" s="40">
        <v>4605.9799999999996</v>
      </c>
      <c r="G53" s="52">
        <v>4380326359</v>
      </c>
      <c r="J53" t="s">
        <v>2671</v>
      </c>
      <c r="K53" s="3" t="s">
        <v>3</v>
      </c>
      <c r="L53" s="2">
        <v>43221</v>
      </c>
      <c r="M53" s="2">
        <f>DAGXX[[#This Row],[INV DOC DATE]]+30</f>
        <v>43251</v>
      </c>
      <c r="N53" s="2">
        <v>43250</v>
      </c>
      <c r="O53" s="5">
        <v>4605.9799999999996</v>
      </c>
      <c r="P53" s="2">
        <v>43262</v>
      </c>
      <c r="Q53" s="5">
        <f t="shared" si="1"/>
        <v>0</v>
      </c>
      <c r="R53" s="15" t="str">
        <f ca="1">IF(TODAY() - DAGXX[INV DUE DATE]&lt;30, "Less than 30 days",IF(TODAY()-DAGXX[INV DUE DATE]&lt;60,"30-60 days","More than 60 days"))</f>
        <v>30-60 days</v>
      </c>
      <c r="S53" t="s">
        <v>813</v>
      </c>
      <c r="T53" s="43" t="s">
        <v>2229</v>
      </c>
      <c r="U53" t="s">
        <v>3699</v>
      </c>
    </row>
    <row r="54" spans="1:21" x14ac:dyDescent="0.3">
      <c r="A54" s="1" t="s">
        <v>2670</v>
      </c>
      <c r="B54" s="1" t="s">
        <v>35</v>
      </c>
      <c r="C54" s="1" t="s">
        <v>27</v>
      </c>
      <c r="D54" s="1">
        <v>16</v>
      </c>
      <c r="E54" s="40">
        <v>6572</v>
      </c>
      <c r="G54" s="52">
        <v>4380326608</v>
      </c>
      <c r="J54" t="s">
        <v>2671</v>
      </c>
      <c r="K54" s="3" t="s">
        <v>3</v>
      </c>
      <c r="L54" s="2">
        <v>43221</v>
      </c>
      <c r="M54" s="2">
        <f>DAGXX[[#This Row],[INV DOC DATE]]+30</f>
        <v>43251</v>
      </c>
      <c r="N54" s="2">
        <v>43250</v>
      </c>
      <c r="O54" s="5">
        <v>6572</v>
      </c>
      <c r="P54" s="2">
        <v>43265</v>
      </c>
      <c r="Q54" s="5">
        <f t="shared" si="1"/>
        <v>0</v>
      </c>
      <c r="R54" s="15" t="str">
        <f ca="1">IF(TODAY() - DAGXX[INV DUE DATE]&lt;30, "Less than 30 days",IF(TODAY()-DAGXX[INV DUE DATE]&lt;60,"30-60 days","More than 60 days"))</f>
        <v>30-60 days</v>
      </c>
      <c r="S54" t="s">
        <v>813</v>
      </c>
      <c r="T54" s="43" t="s">
        <v>2229</v>
      </c>
      <c r="U54" t="s">
        <v>3699</v>
      </c>
    </row>
    <row r="55" spans="1:21" x14ac:dyDescent="0.3">
      <c r="A55" s="1" t="s">
        <v>2670</v>
      </c>
      <c r="B55" s="1" t="s">
        <v>35</v>
      </c>
      <c r="C55" s="1" t="s">
        <v>28</v>
      </c>
      <c r="D55" s="1">
        <v>16</v>
      </c>
      <c r="E55" s="40">
        <v>27900</v>
      </c>
      <c r="G55" s="52">
        <v>4380326616</v>
      </c>
      <c r="J55" t="s">
        <v>2671</v>
      </c>
      <c r="K55" s="3" t="s">
        <v>3</v>
      </c>
      <c r="L55" s="2">
        <v>43221</v>
      </c>
      <c r="M55" s="2">
        <f>DAGXX[[#This Row],[INV DOC DATE]]+30</f>
        <v>43251</v>
      </c>
      <c r="N55" s="2">
        <v>43250</v>
      </c>
      <c r="O55" s="5">
        <v>27900</v>
      </c>
      <c r="P55" s="2">
        <v>43262</v>
      </c>
      <c r="Q55" s="5">
        <f t="shared" si="1"/>
        <v>0</v>
      </c>
      <c r="R55" s="15" t="str">
        <f ca="1">IF(TODAY() - DAGXX[INV DUE DATE]&lt;30, "Less than 30 days",IF(TODAY()-DAGXX[INV DUE DATE]&lt;60,"30-60 days","More than 60 days"))</f>
        <v>30-60 days</v>
      </c>
      <c r="S55" t="s">
        <v>813</v>
      </c>
      <c r="T55" s="43" t="s">
        <v>2229</v>
      </c>
      <c r="U55" t="s">
        <v>3699</v>
      </c>
    </row>
    <row r="56" spans="1:21" x14ac:dyDescent="0.3">
      <c r="A56" s="1" t="s">
        <v>4131</v>
      </c>
      <c r="B56" s="1" t="s">
        <v>35</v>
      </c>
      <c r="C56" s="1" t="s">
        <v>6</v>
      </c>
      <c r="D56" s="1">
        <v>16</v>
      </c>
      <c r="E56" s="40">
        <v>21068.7</v>
      </c>
      <c r="G56" s="52">
        <v>4380323209</v>
      </c>
      <c r="J56" t="s">
        <v>2671</v>
      </c>
      <c r="K56" s="3" t="s">
        <v>3</v>
      </c>
      <c r="L56" s="2">
        <v>43252</v>
      </c>
      <c r="M56" s="2">
        <f>DAGXX[[#This Row],[INV DOC DATE]]+30</f>
        <v>43282</v>
      </c>
      <c r="N56" s="2">
        <v>43279</v>
      </c>
      <c r="O56" s="5">
        <v>21068.7</v>
      </c>
      <c r="P56" s="2">
        <v>43290</v>
      </c>
      <c r="Q56" s="5">
        <f t="shared" si="1"/>
        <v>0</v>
      </c>
      <c r="R56" s="15" t="str">
        <f ca="1">IF(TODAY() - DAGXX[INV DUE DATE]&lt;30, "Less than 30 days",IF(TODAY()-DAGXX[INV DUE DATE]&lt;60,"30-60 days","More than 60 days"))</f>
        <v>Less than 30 days</v>
      </c>
      <c r="S56" t="s">
        <v>813</v>
      </c>
      <c r="T56" s="43" t="s">
        <v>2229</v>
      </c>
      <c r="U56" t="s">
        <v>3699</v>
      </c>
    </row>
    <row r="57" spans="1:21" x14ac:dyDescent="0.3">
      <c r="A57" s="1" t="s">
        <v>4131</v>
      </c>
      <c r="B57" s="1" t="s">
        <v>35</v>
      </c>
      <c r="C57" s="1" t="s">
        <v>7</v>
      </c>
      <c r="D57" s="1">
        <v>16</v>
      </c>
      <c r="E57" s="40">
        <v>24563.1</v>
      </c>
      <c r="G57" s="52">
        <v>4380323210</v>
      </c>
      <c r="J57" t="s">
        <v>2671</v>
      </c>
      <c r="K57" s="3" t="s">
        <v>3</v>
      </c>
      <c r="L57" s="2">
        <v>43252</v>
      </c>
      <c r="M57" s="2">
        <f>DAGXX[[#This Row],[INV DOC DATE]]+30</f>
        <v>43282</v>
      </c>
      <c r="N57" s="2">
        <v>43279</v>
      </c>
      <c r="O57" s="5">
        <v>24563.1</v>
      </c>
      <c r="P57" s="2">
        <v>43290</v>
      </c>
      <c r="Q57" s="5">
        <f t="shared" si="1"/>
        <v>0</v>
      </c>
      <c r="R57" s="15" t="str">
        <f ca="1">IF(TODAY() - DAGXX[INV DUE DATE]&lt;30, "Less than 30 days",IF(TODAY()-DAGXX[INV DUE DATE]&lt;60,"30-60 days","More than 60 days"))</f>
        <v>Less than 30 days</v>
      </c>
      <c r="S57" t="s">
        <v>813</v>
      </c>
      <c r="T57" s="43" t="s">
        <v>2229</v>
      </c>
      <c r="U57" t="s">
        <v>3699</v>
      </c>
    </row>
    <row r="58" spans="1:21" x14ac:dyDescent="0.3">
      <c r="A58" s="1" t="s">
        <v>4131</v>
      </c>
      <c r="B58" s="1" t="s">
        <v>35</v>
      </c>
      <c r="C58" s="1" t="s">
        <v>8</v>
      </c>
      <c r="D58" s="1">
        <v>16</v>
      </c>
      <c r="E58" s="40">
        <v>172.5</v>
      </c>
      <c r="G58" s="52">
        <v>4380323842</v>
      </c>
      <c r="J58" t="s">
        <v>2671</v>
      </c>
      <c r="K58" s="3" t="s">
        <v>3</v>
      </c>
      <c r="L58" s="2">
        <v>43252</v>
      </c>
      <c r="M58" s="2">
        <f>DAGXX[[#This Row],[INV DOC DATE]]+30</f>
        <v>43282</v>
      </c>
      <c r="N58" s="2">
        <v>43279</v>
      </c>
      <c r="O58" s="5">
        <v>172.5</v>
      </c>
      <c r="P58" s="2">
        <v>43290</v>
      </c>
      <c r="Q58" s="5">
        <f t="shared" si="1"/>
        <v>0</v>
      </c>
      <c r="R58" s="15" t="str">
        <f ca="1">IF(TODAY() - DAGXX[INV DUE DATE]&lt;30, "Less than 30 days",IF(TODAY()-DAGXX[INV DUE DATE]&lt;60,"30-60 days","More than 60 days"))</f>
        <v>Less than 30 days</v>
      </c>
      <c r="S58" t="s">
        <v>813</v>
      </c>
      <c r="T58" s="43" t="s">
        <v>2229</v>
      </c>
      <c r="U58" t="s">
        <v>3699</v>
      </c>
    </row>
    <row r="59" spans="1:21" x14ac:dyDescent="0.3">
      <c r="A59" s="1" t="s">
        <v>4131</v>
      </c>
      <c r="B59" s="1" t="s">
        <v>35</v>
      </c>
      <c r="C59" s="1" t="s">
        <v>9</v>
      </c>
      <c r="D59" s="1">
        <v>16</v>
      </c>
      <c r="E59" s="40">
        <v>11597.7</v>
      </c>
      <c r="G59" s="52">
        <v>4380323852</v>
      </c>
      <c r="J59" t="s">
        <v>2671</v>
      </c>
      <c r="K59" s="3" t="s">
        <v>3</v>
      </c>
      <c r="L59" s="2">
        <v>43252</v>
      </c>
      <c r="M59" s="2">
        <f>DAGXX[[#This Row],[INV DOC DATE]]+30</f>
        <v>43282</v>
      </c>
      <c r="N59" s="2">
        <v>43279</v>
      </c>
      <c r="O59" s="5">
        <v>11597.7</v>
      </c>
      <c r="P59" s="2">
        <v>43290</v>
      </c>
      <c r="Q59" s="5">
        <f t="shared" si="1"/>
        <v>0</v>
      </c>
      <c r="R59" s="15" t="str">
        <f ca="1">IF(TODAY() - DAGXX[INV DUE DATE]&lt;30, "Less than 30 days",IF(TODAY()-DAGXX[INV DUE DATE]&lt;60,"30-60 days","More than 60 days"))</f>
        <v>Less than 30 days</v>
      </c>
      <c r="S59" t="s">
        <v>813</v>
      </c>
      <c r="T59" s="43" t="s">
        <v>2229</v>
      </c>
      <c r="U59" t="s">
        <v>3699</v>
      </c>
    </row>
    <row r="60" spans="1:21" x14ac:dyDescent="0.3">
      <c r="A60" s="1" t="s">
        <v>4131</v>
      </c>
      <c r="B60" s="1" t="s">
        <v>35</v>
      </c>
      <c r="C60" s="1" t="s">
        <v>10</v>
      </c>
      <c r="D60" s="1">
        <v>16</v>
      </c>
      <c r="E60" s="40">
        <v>1140</v>
      </c>
      <c r="G60" s="52">
        <v>4380323855</v>
      </c>
      <c r="J60" t="s">
        <v>2671</v>
      </c>
      <c r="K60" s="3" t="s">
        <v>3</v>
      </c>
      <c r="L60" s="2">
        <v>43252</v>
      </c>
      <c r="M60" s="2">
        <f>DAGXX[[#This Row],[INV DOC DATE]]+30</f>
        <v>43282</v>
      </c>
      <c r="N60" s="2">
        <v>43279</v>
      </c>
      <c r="O60" s="5">
        <v>1140</v>
      </c>
      <c r="P60" s="2">
        <v>43290</v>
      </c>
      <c r="Q60" s="5">
        <f t="shared" si="1"/>
        <v>0</v>
      </c>
      <c r="R60" s="15" t="str">
        <f ca="1">IF(TODAY() - DAGXX[INV DUE DATE]&lt;30, "Less than 30 days",IF(TODAY()-DAGXX[INV DUE DATE]&lt;60,"30-60 days","More than 60 days"))</f>
        <v>Less than 30 days</v>
      </c>
      <c r="S60" t="s">
        <v>813</v>
      </c>
      <c r="T60" s="43" t="s">
        <v>2229</v>
      </c>
      <c r="U60" t="s">
        <v>3699</v>
      </c>
    </row>
    <row r="61" spans="1:21" x14ac:dyDescent="0.3">
      <c r="A61" s="1" t="s">
        <v>4131</v>
      </c>
      <c r="B61" s="1" t="s">
        <v>35</v>
      </c>
      <c r="C61" s="1" t="s">
        <v>11</v>
      </c>
      <c r="D61" s="1">
        <v>16</v>
      </c>
      <c r="E61" s="40">
        <v>6900</v>
      </c>
      <c r="G61" s="52">
        <v>4380323858</v>
      </c>
      <c r="J61" t="s">
        <v>2671</v>
      </c>
      <c r="K61" s="3" t="s">
        <v>3</v>
      </c>
      <c r="L61" s="2">
        <v>43252</v>
      </c>
      <c r="M61" s="2">
        <f>DAGXX[[#This Row],[INV DOC DATE]]+30</f>
        <v>43282</v>
      </c>
      <c r="N61" s="2">
        <v>43279</v>
      </c>
      <c r="O61" s="5">
        <v>6900</v>
      </c>
      <c r="P61" s="2">
        <v>43290</v>
      </c>
      <c r="Q61" s="5">
        <f t="shared" si="1"/>
        <v>0</v>
      </c>
      <c r="R61" s="15" t="str">
        <f ca="1">IF(TODAY() - DAGXX[INV DUE DATE]&lt;30, "Less than 30 days",IF(TODAY()-DAGXX[INV DUE DATE]&lt;60,"30-60 days","More than 60 days"))</f>
        <v>Less than 30 days</v>
      </c>
      <c r="S61" t="s">
        <v>813</v>
      </c>
      <c r="T61" s="43" t="s">
        <v>2229</v>
      </c>
      <c r="U61" t="s">
        <v>3699</v>
      </c>
    </row>
    <row r="62" spans="1:21" x14ac:dyDescent="0.3">
      <c r="A62" s="1" t="s">
        <v>4131</v>
      </c>
      <c r="B62" s="1" t="s">
        <v>35</v>
      </c>
      <c r="C62" s="1" t="s">
        <v>12</v>
      </c>
      <c r="D62" s="1">
        <v>16</v>
      </c>
      <c r="E62" s="40">
        <v>517.5</v>
      </c>
      <c r="G62" s="52">
        <v>4380323859</v>
      </c>
      <c r="J62" t="s">
        <v>2671</v>
      </c>
      <c r="K62" s="3" t="s">
        <v>3</v>
      </c>
      <c r="L62" s="2">
        <v>43252</v>
      </c>
      <c r="M62" s="2">
        <f>DAGXX[[#This Row],[INV DOC DATE]]+30</f>
        <v>43282</v>
      </c>
      <c r="N62" s="2">
        <v>43279</v>
      </c>
      <c r="O62" s="5">
        <v>517.5</v>
      </c>
      <c r="P62" s="2">
        <v>43290</v>
      </c>
      <c r="Q62" s="5">
        <f t="shared" si="1"/>
        <v>0</v>
      </c>
      <c r="R62" s="15" t="str">
        <f ca="1">IF(TODAY() - DAGXX[INV DUE DATE]&lt;30, "Less than 30 days",IF(TODAY()-DAGXX[INV DUE DATE]&lt;60,"30-60 days","More than 60 days"))</f>
        <v>Less than 30 days</v>
      </c>
      <c r="S62" t="s">
        <v>813</v>
      </c>
      <c r="T62" s="43" t="s">
        <v>2229</v>
      </c>
      <c r="U62" t="s">
        <v>3699</v>
      </c>
    </row>
    <row r="63" spans="1:21" x14ac:dyDescent="0.3">
      <c r="A63" s="1" t="s">
        <v>4131</v>
      </c>
      <c r="B63" s="1" t="s">
        <v>35</v>
      </c>
      <c r="C63" s="1" t="s">
        <v>13</v>
      </c>
      <c r="D63" s="1">
        <v>16</v>
      </c>
      <c r="E63" s="40">
        <v>1935</v>
      </c>
      <c r="G63" s="52">
        <v>4380323860</v>
      </c>
      <c r="J63" t="s">
        <v>2671</v>
      </c>
      <c r="K63" s="3" t="s">
        <v>3</v>
      </c>
      <c r="L63" s="2">
        <v>43252</v>
      </c>
      <c r="M63" s="2">
        <f>DAGXX[[#This Row],[INV DOC DATE]]+30</f>
        <v>43282</v>
      </c>
      <c r="N63" s="2">
        <v>43279</v>
      </c>
      <c r="O63" s="5">
        <v>1935</v>
      </c>
      <c r="P63" s="2">
        <v>43290</v>
      </c>
      <c r="Q63" s="5">
        <f t="shared" si="1"/>
        <v>0</v>
      </c>
      <c r="R63" s="15" t="str">
        <f ca="1">IF(TODAY() - DAGXX[INV DUE DATE]&lt;30, "Less than 30 days",IF(TODAY()-DAGXX[INV DUE DATE]&lt;60,"30-60 days","More than 60 days"))</f>
        <v>Less than 30 days</v>
      </c>
      <c r="S63" t="s">
        <v>813</v>
      </c>
      <c r="T63" s="43" t="s">
        <v>2229</v>
      </c>
      <c r="U63" t="s">
        <v>3699</v>
      </c>
    </row>
    <row r="64" spans="1:21" x14ac:dyDescent="0.3">
      <c r="A64" s="1" t="s">
        <v>4131</v>
      </c>
      <c r="B64" s="1" t="s">
        <v>35</v>
      </c>
      <c r="C64" s="1" t="s">
        <v>14</v>
      </c>
      <c r="D64" s="1">
        <v>16</v>
      </c>
      <c r="E64" s="40">
        <v>18160.8</v>
      </c>
      <c r="G64" s="52">
        <v>4380323861</v>
      </c>
      <c r="J64" t="s">
        <v>2671</v>
      </c>
      <c r="K64" s="3" t="s">
        <v>3</v>
      </c>
      <c r="L64" s="2">
        <v>43252</v>
      </c>
      <c r="M64" s="2">
        <f>DAGXX[[#This Row],[INV DOC DATE]]+30</f>
        <v>43282</v>
      </c>
      <c r="N64" s="2">
        <v>43279</v>
      </c>
      <c r="O64" s="5">
        <v>18160.8</v>
      </c>
      <c r="P64" s="2">
        <v>43290</v>
      </c>
      <c r="Q64" s="5">
        <f t="shared" si="1"/>
        <v>0</v>
      </c>
      <c r="R64" s="15" t="str">
        <f ca="1">IF(TODAY() - DAGXX[INV DUE DATE]&lt;30, "Less than 30 days",IF(TODAY()-DAGXX[INV DUE DATE]&lt;60,"30-60 days","More than 60 days"))</f>
        <v>Less than 30 days</v>
      </c>
      <c r="S64" t="s">
        <v>813</v>
      </c>
      <c r="T64" s="43" t="s">
        <v>2229</v>
      </c>
      <c r="U64" t="s">
        <v>3699</v>
      </c>
    </row>
    <row r="65" spans="1:21" x14ac:dyDescent="0.3">
      <c r="A65" s="1" t="s">
        <v>4131</v>
      </c>
      <c r="B65" s="1" t="s">
        <v>35</v>
      </c>
      <c r="C65" s="1" t="s">
        <v>15</v>
      </c>
      <c r="D65" s="1">
        <v>16</v>
      </c>
      <c r="E65" s="40">
        <v>8580</v>
      </c>
      <c r="G65" s="52">
        <v>4380323862</v>
      </c>
      <c r="J65" t="s">
        <v>2671</v>
      </c>
      <c r="K65" s="3" t="s">
        <v>3</v>
      </c>
      <c r="L65" s="2">
        <v>43252</v>
      </c>
      <c r="M65" s="2">
        <f>DAGXX[[#This Row],[INV DOC DATE]]+30</f>
        <v>43282</v>
      </c>
      <c r="N65" s="2">
        <v>43279</v>
      </c>
      <c r="O65" s="5">
        <v>8580</v>
      </c>
      <c r="P65" s="2">
        <v>43290</v>
      </c>
      <c r="Q65" s="5">
        <f t="shared" si="1"/>
        <v>0</v>
      </c>
      <c r="R65" s="15" t="str">
        <f ca="1">IF(TODAY() - DAGXX[INV DUE DATE]&lt;30, "Less than 30 days",IF(TODAY()-DAGXX[INV DUE DATE]&lt;60,"30-60 days","More than 60 days"))</f>
        <v>Less than 30 days</v>
      </c>
      <c r="S65" t="s">
        <v>813</v>
      </c>
      <c r="T65" s="43" t="s">
        <v>2229</v>
      </c>
      <c r="U65" t="s">
        <v>3699</v>
      </c>
    </row>
    <row r="66" spans="1:21" x14ac:dyDescent="0.3">
      <c r="A66" s="1" t="s">
        <v>4131</v>
      </c>
      <c r="B66" s="1" t="s">
        <v>35</v>
      </c>
      <c r="C66" s="1" t="s">
        <v>16</v>
      </c>
      <c r="D66" s="1">
        <v>16</v>
      </c>
      <c r="E66" s="40">
        <v>8122.5</v>
      </c>
      <c r="G66" s="52">
        <v>4380323863</v>
      </c>
      <c r="J66" t="s">
        <v>2671</v>
      </c>
      <c r="K66" s="3" t="s">
        <v>3</v>
      </c>
      <c r="L66" s="2">
        <v>43252</v>
      </c>
      <c r="M66" s="2">
        <f>DAGXX[[#This Row],[INV DOC DATE]]+30</f>
        <v>43282</v>
      </c>
      <c r="N66" s="2">
        <v>43279</v>
      </c>
      <c r="O66" s="5">
        <v>8122.5</v>
      </c>
      <c r="P66" s="2">
        <v>43290</v>
      </c>
      <c r="Q66" s="5">
        <f t="shared" ref="Q66:Q97" si="2">$E66-$O66</f>
        <v>0</v>
      </c>
      <c r="R66" s="15" t="str">
        <f ca="1">IF(TODAY() - DAGXX[INV DUE DATE]&lt;30, "Less than 30 days",IF(TODAY()-DAGXX[INV DUE DATE]&lt;60,"30-60 days","More than 60 days"))</f>
        <v>Less than 30 days</v>
      </c>
      <c r="S66" t="s">
        <v>813</v>
      </c>
      <c r="T66" s="43" t="s">
        <v>2229</v>
      </c>
      <c r="U66" t="s">
        <v>3699</v>
      </c>
    </row>
    <row r="67" spans="1:21" x14ac:dyDescent="0.3">
      <c r="A67" s="1" t="s">
        <v>4131</v>
      </c>
      <c r="B67" s="1" t="s">
        <v>35</v>
      </c>
      <c r="C67" s="1" t="s">
        <v>17</v>
      </c>
      <c r="D67" s="1">
        <v>16</v>
      </c>
      <c r="E67" s="40">
        <v>3000</v>
      </c>
      <c r="G67" s="52">
        <v>4380323864</v>
      </c>
      <c r="J67" t="s">
        <v>2671</v>
      </c>
      <c r="K67" s="3" t="s">
        <v>3</v>
      </c>
      <c r="L67" s="2">
        <v>43252</v>
      </c>
      <c r="M67" s="2">
        <f>DAGXX[[#This Row],[INV DOC DATE]]+30</f>
        <v>43282</v>
      </c>
      <c r="N67" s="2">
        <v>43279</v>
      </c>
      <c r="O67" s="5">
        <v>3000</v>
      </c>
      <c r="P67" s="2">
        <v>43290</v>
      </c>
      <c r="Q67" s="5">
        <f t="shared" si="2"/>
        <v>0</v>
      </c>
      <c r="R67" s="15" t="str">
        <f ca="1">IF(TODAY() - DAGXX[INV DUE DATE]&lt;30, "Less than 30 days",IF(TODAY()-DAGXX[INV DUE DATE]&lt;60,"30-60 days","More than 60 days"))</f>
        <v>Less than 30 days</v>
      </c>
      <c r="S67" t="s">
        <v>813</v>
      </c>
      <c r="T67" s="43" t="s">
        <v>2229</v>
      </c>
      <c r="U67" t="s">
        <v>3699</v>
      </c>
    </row>
    <row r="68" spans="1:21" x14ac:dyDescent="0.3">
      <c r="A68" s="1" t="s">
        <v>4131</v>
      </c>
      <c r="B68" s="1" t="s">
        <v>35</v>
      </c>
      <c r="C68" s="1" t="s">
        <v>18</v>
      </c>
      <c r="D68" s="1">
        <v>16</v>
      </c>
      <c r="E68" s="40">
        <v>862.5</v>
      </c>
      <c r="G68" s="52">
        <v>4380323865</v>
      </c>
      <c r="J68" t="s">
        <v>2671</v>
      </c>
      <c r="K68" s="3" t="s">
        <v>3</v>
      </c>
      <c r="L68" s="2">
        <v>43252</v>
      </c>
      <c r="M68" s="2">
        <f>DAGXX[[#This Row],[INV DOC DATE]]+30</f>
        <v>43282</v>
      </c>
      <c r="N68" s="2">
        <v>43279</v>
      </c>
      <c r="O68" s="5">
        <v>862.5</v>
      </c>
      <c r="P68" s="2">
        <v>43290</v>
      </c>
      <c r="Q68" s="5">
        <f t="shared" si="2"/>
        <v>0</v>
      </c>
      <c r="R68" s="15" t="str">
        <f ca="1">IF(TODAY() - DAGXX[INV DUE DATE]&lt;30, "Less than 30 days",IF(TODAY()-DAGXX[INV DUE DATE]&lt;60,"30-60 days","More than 60 days"))</f>
        <v>Less than 30 days</v>
      </c>
      <c r="S68" t="s">
        <v>813</v>
      </c>
      <c r="T68" s="43" t="s">
        <v>2229</v>
      </c>
      <c r="U68" t="s">
        <v>3699</v>
      </c>
    </row>
    <row r="69" spans="1:21" x14ac:dyDescent="0.3">
      <c r="A69" s="1" t="s">
        <v>4131</v>
      </c>
      <c r="B69" s="1" t="s">
        <v>35</v>
      </c>
      <c r="C69" s="1" t="s">
        <v>19</v>
      </c>
      <c r="D69" s="1">
        <v>16</v>
      </c>
      <c r="E69" s="40">
        <v>7245</v>
      </c>
      <c r="G69" s="52">
        <v>4380323867</v>
      </c>
      <c r="J69" t="s">
        <v>2671</v>
      </c>
      <c r="K69" s="3" t="s">
        <v>3</v>
      </c>
      <c r="L69" s="2">
        <v>43252</v>
      </c>
      <c r="M69" s="2">
        <f>DAGXX[[#This Row],[INV DOC DATE]]+30</f>
        <v>43282</v>
      </c>
      <c r="N69" s="2">
        <v>43279</v>
      </c>
      <c r="O69" s="5">
        <v>7245</v>
      </c>
      <c r="P69" s="2">
        <v>43290</v>
      </c>
      <c r="Q69" s="5">
        <f t="shared" si="2"/>
        <v>0</v>
      </c>
      <c r="R69" s="15" t="str">
        <f ca="1">IF(TODAY() - DAGXX[INV DUE DATE]&lt;30, "Less than 30 days",IF(TODAY()-DAGXX[INV DUE DATE]&lt;60,"30-60 days","More than 60 days"))</f>
        <v>Less than 30 days</v>
      </c>
      <c r="S69" t="s">
        <v>813</v>
      </c>
      <c r="T69" s="43" t="s">
        <v>2229</v>
      </c>
      <c r="U69" t="s">
        <v>3699</v>
      </c>
    </row>
    <row r="70" spans="1:21" x14ac:dyDescent="0.3">
      <c r="A70" s="1" t="s">
        <v>4131</v>
      </c>
      <c r="B70" s="1" t="s">
        <v>35</v>
      </c>
      <c r="C70" s="1" t="s">
        <v>20</v>
      </c>
      <c r="D70" s="1">
        <v>16</v>
      </c>
      <c r="E70" s="40">
        <v>27416.799999999999</v>
      </c>
      <c r="G70" s="52">
        <v>4380323875</v>
      </c>
      <c r="J70" t="s">
        <v>2671</v>
      </c>
      <c r="K70" s="3" t="s">
        <v>4</v>
      </c>
      <c r="L70" s="2">
        <v>43252</v>
      </c>
      <c r="M70" s="2">
        <f>DAGXX[[#This Row],[INV DOC DATE]]+30</f>
        <v>43282</v>
      </c>
      <c r="N70" s="2">
        <v>43279</v>
      </c>
      <c r="O70" s="5">
        <v>27416.799999999999</v>
      </c>
      <c r="P70" s="2">
        <v>43290</v>
      </c>
      <c r="Q70" s="5">
        <f t="shared" si="2"/>
        <v>0</v>
      </c>
      <c r="R70" s="15" t="str">
        <f ca="1">IF(TODAY() - DAGXX[INV DUE DATE]&lt;30, "Less than 30 days",IF(TODAY()-DAGXX[INV DUE DATE]&lt;60,"30-60 days","More than 60 days"))</f>
        <v>Less than 30 days</v>
      </c>
      <c r="S70" t="s">
        <v>813</v>
      </c>
      <c r="T70" s="43" t="s">
        <v>2229</v>
      </c>
      <c r="U70" t="s">
        <v>3699</v>
      </c>
    </row>
    <row r="71" spans="1:21" x14ac:dyDescent="0.3">
      <c r="A71" s="1" t="s">
        <v>4131</v>
      </c>
      <c r="B71" s="1" t="s">
        <v>35</v>
      </c>
      <c r="C71" s="1" t="s">
        <v>21</v>
      </c>
      <c r="D71" s="1">
        <v>16</v>
      </c>
      <c r="E71" s="40">
        <v>870</v>
      </c>
      <c r="G71" s="52">
        <v>4380323881</v>
      </c>
      <c r="J71" t="s">
        <v>2671</v>
      </c>
      <c r="K71" s="3" t="s">
        <v>3</v>
      </c>
      <c r="L71" s="2">
        <v>43252</v>
      </c>
      <c r="M71" s="2">
        <f>DAGXX[[#This Row],[INV DOC DATE]]+30</f>
        <v>43282</v>
      </c>
      <c r="N71" s="2">
        <v>43279</v>
      </c>
      <c r="O71" s="5">
        <v>870</v>
      </c>
      <c r="P71" s="2">
        <v>43290</v>
      </c>
      <c r="Q71" s="5">
        <f t="shared" si="2"/>
        <v>0</v>
      </c>
      <c r="R71" s="15" t="str">
        <f ca="1">IF(TODAY() - DAGXX[INV DUE DATE]&lt;30, "Less than 30 days",IF(TODAY()-DAGXX[INV DUE DATE]&lt;60,"30-60 days","More than 60 days"))</f>
        <v>Less than 30 days</v>
      </c>
      <c r="S71" t="s">
        <v>813</v>
      </c>
      <c r="T71" s="43" t="s">
        <v>2229</v>
      </c>
      <c r="U71" t="s">
        <v>3699</v>
      </c>
    </row>
    <row r="72" spans="1:21" x14ac:dyDescent="0.3">
      <c r="A72" s="1" t="s">
        <v>4131</v>
      </c>
      <c r="B72" s="1" t="s">
        <v>35</v>
      </c>
      <c r="C72" s="1" t="s">
        <v>22</v>
      </c>
      <c r="D72" s="1">
        <v>16</v>
      </c>
      <c r="E72" s="40">
        <v>2037</v>
      </c>
      <c r="G72" s="52">
        <v>4380323887</v>
      </c>
      <c r="J72" t="s">
        <v>2671</v>
      </c>
      <c r="K72" s="3" t="s">
        <v>3</v>
      </c>
      <c r="L72" s="2">
        <v>43252</v>
      </c>
      <c r="M72" s="2">
        <f>DAGXX[[#This Row],[INV DOC DATE]]+30</f>
        <v>43282</v>
      </c>
      <c r="N72" s="2">
        <v>43279</v>
      </c>
      <c r="O72" s="5">
        <v>2037</v>
      </c>
      <c r="P72" s="2">
        <v>43290</v>
      </c>
      <c r="Q72" s="5">
        <f t="shared" si="2"/>
        <v>0</v>
      </c>
      <c r="R72" s="15" t="str">
        <f ca="1">IF(TODAY() - DAGXX[INV DUE DATE]&lt;30, "Less than 30 days",IF(TODAY()-DAGXX[INV DUE DATE]&lt;60,"30-60 days","More than 60 days"))</f>
        <v>Less than 30 days</v>
      </c>
      <c r="S72" t="s">
        <v>813</v>
      </c>
      <c r="T72" s="43" t="s">
        <v>2229</v>
      </c>
      <c r="U72" t="s">
        <v>3699</v>
      </c>
    </row>
    <row r="73" spans="1:21" x14ac:dyDescent="0.3">
      <c r="A73" s="1" t="s">
        <v>4131</v>
      </c>
      <c r="B73" s="1" t="s">
        <v>35</v>
      </c>
      <c r="C73" s="1" t="s">
        <v>23</v>
      </c>
      <c r="D73" s="1">
        <v>16</v>
      </c>
      <c r="E73" s="40">
        <v>23964</v>
      </c>
      <c r="G73" s="52">
        <v>4380326207</v>
      </c>
      <c r="J73" t="s">
        <v>2671</v>
      </c>
      <c r="K73" s="3" t="s">
        <v>3</v>
      </c>
      <c r="L73" s="2">
        <v>43252</v>
      </c>
      <c r="M73" s="2">
        <f>DAGXX[[#This Row],[INV DOC DATE]]+30</f>
        <v>43282</v>
      </c>
      <c r="N73" s="2">
        <v>43279</v>
      </c>
      <c r="O73" s="5">
        <v>23964</v>
      </c>
      <c r="P73" s="2">
        <v>43290</v>
      </c>
      <c r="Q73" s="5">
        <f t="shared" si="2"/>
        <v>0</v>
      </c>
      <c r="R73" s="15" t="str">
        <f ca="1">IF(TODAY() - DAGXX[INV DUE DATE]&lt;30, "Less than 30 days",IF(TODAY()-DAGXX[INV DUE DATE]&lt;60,"30-60 days","More than 60 days"))</f>
        <v>Less than 30 days</v>
      </c>
      <c r="S73" t="s">
        <v>813</v>
      </c>
      <c r="T73" s="43" t="s">
        <v>2229</v>
      </c>
      <c r="U73" t="s">
        <v>3699</v>
      </c>
    </row>
    <row r="74" spans="1:21" x14ac:dyDescent="0.3">
      <c r="A74" s="1" t="s">
        <v>4131</v>
      </c>
      <c r="B74" s="1" t="s">
        <v>35</v>
      </c>
      <c r="C74" s="1" t="s">
        <v>24</v>
      </c>
      <c r="D74" s="1">
        <v>16</v>
      </c>
      <c r="E74" s="40">
        <v>24563.1</v>
      </c>
      <c r="G74" s="52">
        <v>4380326353</v>
      </c>
      <c r="J74" t="s">
        <v>2671</v>
      </c>
      <c r="K74" s="3" t="s">
        <v>3</v>
      </c>
      <c r="L74" s="2">
        <v>43252</v>
      </c>
      <c r="M74" s="2">
        <f>DAGXX[[#This Row],[INV DOC DATE]]+30</f>
        <v>43282</v>
      </c>
      <c r="N74" s="2">
        <v>43279</v>
      </c>
      <c r="O74" s="5">
        <v>24563.1</v>
      </c>
      <c r="P74" s="2">
        <v>43290</v>
      </c>
      <c r="Q74" s="5">
        <f t="shared" si="2"/>
        <v>0</v>
      </c>
      <c r="R74" s="15" t="str">
        <f ca="1">IF(TODAY() - DAGXX[INV DUE DATE]&lt;30, "Less than 30 days",IF(TODAY()-DAGXX[INV DUE DATE]&lt;60,"30-60 days","More than 60 days"))</f>
        <v>Less than 30 days</v>
      </c>
      <c r="S74" t="s">
        <v>813</v>
      </c>
      <c r="T74" s="43" t="s">
        <v>2229</v>
      </c>
      <c r="U74" t="s">
        <v>3699</v>
      </c>
    </row>
    <row r="75" spans="1:21" x14ac:dyDescent="0.3">
      <c r="A75" s="1" t="s">
        <v>4131</v>
      </c>
      <c r="B75" s="1" t="s">
        <v>35</v>
      </c>
      <c r="C75" s="1" t="s">
        <v>25</v>
      </c>
      <c r="D75" s="1">
        <v>16</v>
      </c>
      <c r="E75" s="40">
        <v>3072</v>
      </c>
      <c r="G75" s="52">
        <v>4380326354</v>
      </c>
      <c r="J75" t="s">
        <v>2671</v>
      </c>
      <c r="K75" s="3" t="s">
        <v>3</v>
      </c>
      <c r="L75" s="2">
        <v>43252</v>
      </c>
      <c r="M75" s="2">
        <f>DAGXX[[#This Row],[INV DOC DATE]]+30</f>
        <v>43282</v>
      </c>
      <c r="N75" s="2">
        <v>43279</v>
      </c>
      <c r="O75" s="5">
        <v>3072</v>
      </c>
      <c r="P75" s="2">
        <v>43290</v>
      </c>
      <c r="Q75" s="5">
        <f t="shared" si="2"/>
        <v>0</v>
      </c>
      <c r="R75" s="15" t="str">
        <f ca="1">IF(TODAY() - DAGXX[INV DUE DATE]&lt;30, "Less than 30 days",IF(TODAY()-DAGXX[INV DUE DATE]&lt;60,"30-60 days","More than 60 days"))</f>
        <v>Less than 30 days</v>
      </c>
      <c r="S75" t="s">
        <v>813</v>
      </c>
      <c r="T75" s="43" t="s">
        <v>2229</v>
      </c>
      <c r="U75" t="s">
        <v>3699</v>
      </c>
    </row>
    <row r="76" spans="1:21" x14ac:dyDescent="0.3">
      <c r="A76" s="1" t="s">
        <v>4131</v>
      </c>
      <c r="B76" s="1" t="s">
        <v>35</v>
      </c>
      <c r="C76" s="1" t="s">
        <v>26</v>
      </c>
      <c r="D76" s="1">
        <v>16</v>
      </c>
      <c r="E76" s="40">
        <v>4457.3999999999996</v>
      </c>
      <c r="G76" s="52">
        <v>4380326359</v>
      </c>
      <c r="J76" t="s">
        <v>2671</v>
      </c>
      <c r="K76" s="3" t="s">
        <v>3</v>
      </c>
      <c r="L76" s="2">
        <v>43252</v>
      </c>
      <c r="M76" s="2">
        <f>DAGXX[[#This Row],[INV DOC DATE]]+30</f>
        <v>43282</v>
      </c>
      <c r="N76" s="2">
        <v>43279</v>
      </c>
      <c r="O76" s="5">
        <v>4457.3999999999996</v>
      </c>
      <c r="P76" s="2">
        <v>43290</v>
      </c>
      <c r="Q76" s="5">
        <f t="shared" si="2"/>
        <v>0</v>
      </c>
      <c r="R76" s="15" t="str">
        <f ca="1">IF(TODAY() - DAGXX[INV DUE DATE]&lt;30, "Less than 30 days",IF(TODAY()-DAGXX[INV DUE DATE]&lt;60,"30-60 days","More than 60 days"))</f>
        <v>Less than 30 days</v>
      </c>
      <c r="S76" t="s">
        <v>813</v>
      </c>
      <c r="T76" s="43" t="s">
        <v>2229</v>
      </c>
      <c r="U76" t="s">
        <v>3699</v>
      </c>
    </row>
    <row r="77" spans="1:21" x14ac:dyDescent="0.3">
      <c r="A77" s="1" t="s">
        <v>4131</v>
      </c>
      <c r="B77" s="1" t="s">
        <v>35</v>
      </c>
      <c r="C77" s="1" t="s">
        <v>27</v>
      </c>
      <c r="D77" s="1">
        <v>16</v>
      </c>
      <c r="E77" s="40">
        <v>6360</v>
      </c>
      <c r="G77" s="52">
        <v>4380326608</v>
      </c>
      <c r="J77" t="s">
        <v>2671</v>
      </c>
      <c r="K77" s="3" t="s">
        <v>3</v>
      </c>
      <c r="L77" s="2">
        <v>43252</v>
      </c>
      <c r="M77" s="2">
        <f>DAGXX[[#This Row],[INV DOC DATE]]+30</f>
        <v>43282</v>
      </c>
      <c r="N77" s="2">
        <v>43279</v>
      </c>
      <c r="O77" s="5">
        <v>6360</v>
      </c>
      <c r="P77" s="2">
        <v>43286</v>
      </c>
      <c r="Q77" s="5">
        <f t="shared" si="2"/>
        <v>0</v>
      </c>
      <c r="R77" s="15" t="str">
        <f ca="1">IF(TODAY() - DAGXX[INV DUE DATE]&lt;30, "Less than 30 days",IF(TODAY()-DAGXX[INV DUE DATE]&lt;60,"30-60 days","More than 60 days"))</f>
        <v>Less than 30 days</v>
      </c>
      <c r="S77" t="s">
        <v>813</v>
      </c>
      <c r="T77" s="43" t="s">
        <v>2229</v>
      </c>
      <c r="U77" t="s">
        <v>3699</v>
      </c>
    </row>
    <row r="78" spans="1:21" x14ac:dyDescent="0.3">
      <c r="A78" s="1" t="s">
        <v>4131</v>
      </c>
      <c r="B78" s="1" t="s">
        <v>35</v>
      </c>
      <c r="C78" s="1" t="s">
        <v>28</v>
      </c>
      <c r="D78" s="1">
        <v>16</v>
      </c>
      <c r="E78" s="40">
        <v>27000</v>
      </c>
      <c r="G78" s="52">
        <v>4380326616</v>
      </c>
      <c r="J78" t="s">
        <v>2671</v>
      </c>
      <c r="K78" s="3" t="s">
        <v>3</v>
      </c>
      <c r="L78" s="2">
        <v>43252</v>
      </c>
      <c r="M78" s="2">
        <f>DAGXX[[#This Row],[INV DOC DATE]]+30</f>
        <v>43282</v>
      </c>
      <c r="N78" s="2">
        <v>43279</v>
      </c>
      <c r="O78" s="5">
        <v>27000</v>
      </c>
      <c r="P78" s="2">
        <v>43290</v>
      </c>
      <c r="Q78" s="5">
        <f t="shared" si="2"/>
        <v>0</v>
      </c>
      <c r="R78" s="15" t="str">
        <f ca="1">IF(TODAY() - DAGXX[INV DUE DATE]&lt;30, "Less than 30 days",IF(TODAY()-DAGXX[INV DUE DATE]&lt;60,"30-60 days","More than 60 days"))</f>
        <v>Less than 30 days</v>
      </c>
      <c r="S78" t="s">
        <v>813</v>
      </c>
      <c r="T78" s="43" t="s">
        <v>2229</v>
      </c>
      <c r="U78" t="s">
        <v>3699</v>
      </c>
    </row>
    <row r="79" spans="1:21" x14ac:dyDescent="0.3">
      <c r="A79" s="1" t="s">
        <v>2170</v>
      </c>
      <c r="B79" s="1"/>
      <c r="C79" s="1"/>
      <c r="D79" s="1">
        <v>16</v>
      </c>
      <c r="E79" s="40">
        <v>16225</v>
      </c>
      <c r="G79" s="52">
        <v>4380303767</v>
      </c>
      <c r="J79" t="s">
        <v>2235</v>
      </c>
      <c r="K79" s="3" t="s">
        <v>2212</v>
      </c>
      <c r="L79" s="2">
        <v>43089</v>
      </c>
      <c r="M79" s="2">
        <v>43119</v>
      </c>
      <c r="O79" s="117">
        <v>16225</v>
      </c>
      <c r="P79" s="2">
        <v>43276</v>
      </c>
      <c r="Q79" s="5">
        <f t="shared" si="2"/>
        <v>0</v>
      </c>
      <c r="R79" s="15" t="str">
        <f ca="1">IF(TODAY() - DAGXX[INV DUE DATE]&lt;30, "Less than 30 days",IF(TODAY()-DAGXX[INV DUE DATE]&lt;60,"30-60 days","More than 60 days"))</f>
        <v>More than 60 days</v>
      </c>
      <c r="S79" t="s">
        <v>813</v>
      </c>
      <c r="T79" s="43" t="s">
        <v>2229</v>
      </c>
      <c r="U79" t="s">
        <v>2212</v>
      </c>
    </row>
    <row r="80" spans="1:21" x14ac:dyDescent="0.3">
      <c r="A80" s="1" t="s">
        <v>2171</v>
      </c>
      <c r="B80" s="1"/>
      <c r="C80" s="1"/>
      <c r="D80" s="1">
        <v>16</v>
      </c>
      <c r="E80" s="40">
        <v>17750</v>
      </c>
      <c r="G80" s="52">
        <v>4380303767</v>
      </c>
      <c r="J80" t="s">
        <v>2234</v>
      </c>
      <c r="K80" s="3" t="s">
        <v>2212</v>
      </c>
      <c r="L80" s="2">
        <v>43089</v>
      </c>
      <c r="M80" s="2">
        <v>43119</v>
      </c>
      <c r="O80" s="117">
        <v>17750</v>
      </c>
      <c r="P80" s="2">
        <v>43276</v>
      </c>
      <c r="Q80" s="5">
        <f t="shared" si="2"/>
        <v>0</v>
      </c>
      <c r="R80" s="15" t="str">
        <f ca="1">IF(TODAY() - DAGXX[INV DUE DATE]&lt;30, "Less than 30 days",IF(TODAY()-DAGXX[INV DUE DATE]&lt;60,"30-60 days","More than 60 days"))</f>
        <v>More than 60 days</v>
      </c>
      <c r="S80" t="s">
        <v>813</v>
      </c>
      <c r="T80" s="43" t="s">
        <v>2229</v>
      </c>
      <c r="U80" t="s">
        <v>2212</v>
      </c>
    </row>
    <row r="81" spans="1:21" x14ac:dyDescent="0.3">
      <c r="A81" s="1" t="s">
        <v>2172</v>
      </c>
      <c r="B81" s="1"/>
      <c r="C81" s="1"/>
      <c r="D81" s="1">
        <v>16</v>
      </c>
      <c r="E81" s="40">
        <v>17750</v>
      </c>
      <c r="G81" s="52">
        <v>4380303767</v>
      </c>
      <c r="J81" t="s">
        <v>2236</v>
      </c>
      <c r="K81" s="3" t="s">
        <v>2212</v>
      </c>
      <c r="L81" s="2">
        <v>43089</v>
      </c>
      <c r="M81" s="2">
        <v>43119</v>
      </c>
      <c r="O81" s="117">
        <v>17750</v>
      </c>
      <c r="P81" s="2">
        <v>43276</v>
      </c>
      <c r="Q81" s="5">
        <f t="shared" si="2"/>
        <v>0</v>
      </c>
      <c r="R81" s="15" t="str">
        <f ca="1">IF(TODAY() - DAGXX[INV DUE DATE]&lt;30, "Less than 30 days",IF(TODAY()-DAGXX[INV DUE DATE]&lt;60,"30-60 days","More than 60 days"))</f>
        <v>More than 60 days</v>
      </c>
      <c r="S81" t="s">
        <v>813</v>
      </c>
      <c r="T81" s="43" t="s">
        <v>2229</v>
      </c>
      <c r="U81" t="s">
        <v>2212</v>
      </c>
    </row>
    <row r="82" spans="1:21" x14ac:dyDescent="0.3">
      <c r="A82" s="1" t="s">
        <v>2173</v>
      </c>
      <c r="B82" s="1" t="s">
        <v>35</v>
      </c>
      <c r="C82" s="1" t="s">
        <v>7</v>
      </c>
      <c r="D82" s="1">
        <v>16</v>
      </c>
      <c r="E82" s="40">
        <v>16002.97</v>
      </c>
      <c r="K82" s="3" t="s">
        <v>2212</v>
      </c>
      <c r="L82" s="2">
        <v>43160</v>
      </c>
      <c r="M82" s="2">
        <v>43190</v>
      </c>
      <c r="O82" s="5">
        <v>16002.97</v>
      </c>
      <c r="P82" s="2">
        <v>43249</v>
      </c>
      <c r="Q82" s="5">
        <f t="shared" si="2"/>
        <v>0</v>
      </c>
      <c r="R82" s="15" t="str">
        <f ca="1">IF(TODAY() - DAGXX[INV DUE DATE]&lt;30, "Less than 30 days",IF(TODAY()-DAGXX[INV DUE DATE]&lt;60,"30-60 days","More than 60 days"))</f>
        <v>More than 60 days</v>
      </c>
      <c r="S82" t="s">
        <v>813</v>
      </c>
      <c r="T82" s="43" t="s">
        <v>2229</v>
      </c>
      <c r="U82" t="s">
        <v>2212</v>
      </c>
    </row>
    <row r="83" spans="1:21" x14ac:dyDescent="0.3">
      <c r="A83" s="1" t="s">
        <v>2174</v>
      </c>
      <c r="B83" s="1" t="s">
        <v>35</v>
      </c>
      <c r="C83" s="1" t="s">
        <v>8</v>
      </c>
      <c r="D83" s="1">
        <v>16</v>
      </c>
      <c r="E83" s="40">
        <v>15805</v>
      </c>
      <c r="K83" s="3" t="s">
        <v>2212</v>
      </c>
      <c r="L83" s="2">
        <v>43160</v>
      </c>
      <c r="M83" s="2">
        <v>43190</v>
      </c>
      <c r="O83" s="5">
        <v>15805</v>
      </c>
      <c r="P83" s="2">
        <v>43249</v>
      </c>
      <c r="Q83" s="5">
        <f t="shared" si="2"/>
        <v>0</v>
      </c>
      <c r="R83" s="15" t="str">
        <f ca="1">IF(TODAY() - DAGXX[INV DUE DATE]&lt;30, "Less than 30 days",IF(TODAY()-DAGXX[INV DUE DATE]&lt;60,"30-60 days","More than 60 days"))</f>
        <v>More than 60 days</v>
      </c>
      <c r="S83" t="s">
        <v>813</v>
      </c>
      <c r="T83" s="43" t="s">
        <v>2229</v>
      </c>
      <c r="U83" t="s">
        <v>2212</v>
      </c>
    </row>
    <row r="84" spans="1:21" x14ac:dyDescent="0.3">
      <c r="A84" s="1" t="s">
        <v>2175</v>
      </c>
      <c r="B84" s="1" t="s">
        <v>35</v>
      </c>
      <c r="C84" s="1" t="s">
        <v>9</v>
      </c>
      <c r="D84" s="1">
        <v>16</v>
      </c>
      <c r="E84" s="40">
        <v>16078.5</v>
      </c>
      <c r="K84" s="3" t="s">
        <v>2212</v>
      </c>
      <c r="L84" s="2">
        <v>43160</v>
      </c>
      <c r="M84" s="2">
        <v>43190</v>
      </c>
      <c r="O84" s="5">
        <v>16078.5</v>
      </c>
      <c r="P84" s="2">
        <v>43249</v>
      </c>
      <c r="Q84" s="5">
        <f t="shared" si="2"/>
        <v>0</v>
      </c>
      <c r="R84" s="15" t="str">
        <f ca="1">IF(TODAY() - DAGXX[INV DUE DATE]&lt;30, "Less than 30 days",IF(TODAY()-DAGXX[INV DUE DATE]&lt;60,"30-60 days","More than 60 days"))</f>
        <v>More than 60 days</v>
      </c>
      <c r="S84" t="s">
        <v>813</v>
      </c>
      <c r="T84" s="43" t="s">
        <v>2229</v>
      </c>
      <c r="U84" t="s">
        <v>2212</v>
      </c>
    </row>
    <row r="85" spans="1:21" x14ac:dyDescent="0.3">
      <c r="A85" s="1" t="s">
        <v>2176</v>
      </c>
      <c r="B85" s="1" t="s">
        <v>35</v>
      </c>
      <c r="C85" s="1" t="s">
        <v>10</v>
      </c>
      <c r="D85" s="1">
        <v>16</v>
      </c>
      <c r="E85" s="40">
        <v>15778.97</v>
      </c>
      <c r="K85" s="3" t="s">
        <v>2212</v>
      </c>
      <c r="L85" s="2">
        <v>43160</v>
      </c>
      <c r="M85" s="2">
        <v>43190</v>
      </c>
      <c r="O85" s="5">
        <v>15778.97</v>
      </c>
      <c r="P85" s="2">
        <v>43249</v>
      </c>
      <c r="Q85" s="5">
        <f t="shared" si="2"/>
        <v>0</v>
      </c>
      <c r="R85" s="15" t="str">
        <f ca="1">IF(TODAY() - DAGXX[INV DUE DATE]&lt;30, "Less than 30 days",IF(TODAY()-DAGXX[INV DUE DATE]&lt;60,"30-60 days","More than 60 days"))</f>
        <v>More than 60 days</v>
      </c>
      <c r="S85" t="s">
        <v>813</v>
      </c>
      <c r="T85" s="43" t="s">
        <v>2229</v>
      </c>
      <c r="U85" t="s">
        <v>2212</v>
      </c>
    </row>
    <row r="86" spans="1:21" x14ac:dyDescent="0.3">
      <c r="A86" s="1" t="s">
        <v>2177</v>
      </c>
      <c r="B86" s="1" t="s">
        <v>35</v>
      </c>
      <c r="C86" s="1" t="s">
        <v>12</v>
      </c>
      <c r="D86" s="1">
        <v>16</v>
      </c>
      <c r="E86" s="40">
        <v>16136</v>
      </c>
      <c r="K86" s="3" t="s">
        <v>2212</v>
      </c>
      <c r="L86" s="2">
        <v>43160</v>
      </c>
      <c r="M86" s="2">
        <v>43190</v>
      </c>
      <c r="O86" s="5">
        <v>16136</v>
      </c>
      <c r="P86" s="2">
        <v>43249</v>
      </c>
      <c r="Q86" s="5">
        <f t="shared" si="2"/>
        <v>0</v>
      </c>
      <c r="R86" s="15" t="str">
        <f ca="1">IF(TODAY() - DAGXX[INV DUE DATE]&lt;30, "Less than 30 days",IF(TODAY()-DAGXX[INV DUE DATE]&lt;60,"30-60 days","More than 60 days"))</f>
        <v>More than 60 days</v>
      </c>
      <c r="S86" t="s">
        <v>813</v>
      </c>
      <c r="T86" s="43" t="s">
        <v>2229</v>
      </c>
      <c r="U86" t="s">
        <v>2212</v>
      </c>
    </row>
    <row r="87" spans="1:21" x14ac:dyDescent="0.3">
      <c r="A87" s="1" t="s">
        <v>2178</v>
      </c>
      <c r="B87" s="1" t="s">
        <v>35</v>
      </c>
      <c r="C87" s="1" t="s">
        <v>13</v>
      </c>
      <c r="D87" s="1">
        <v>16</v>
      </c>
      <c r="E87" s="40">
        <v>16103</v>
      </c>
      <c r="K87" s="3" t="s">
        <v>2212</v>
      </c>
      <c r="L87" s="2">
        <v>43160</v>
      </c>
      <c r="M87" s="2">
        <v>43190</v>
      </c>
      <c r="O87" s="5">
        <v>16103</v>
      </c>
      <c r="P87" s="2">
        <v>43249</v>
      </c>
      <c r="Q87" s="5">
        <f t="shared" si="2"/>
        <v>0</v>
      </c>
      <c r="R87" s="15" t="str">
        <f ca="1">IF(TODAY() - DAGXX[INV DUE DATE]&lt;30, "Less than 30 days",IF(TODAY()-DAGXX[INV DUE DATE]&lt;60,"30-60 days","More than 60 days"))</f>
        <v>More than 60 days</v>
      </c>
      <c r="S87" t="s">
        <v>813</v>
      </c>
      <c r="T87" s="43" t="s">
        <v>2229</v>
      </c>
      <c r="U87" t="s">
        <v>2212</v>
      </c>
    </row>
    <row r="88" spans="1:21" x14ac:dyDescent="0.3">
      <c r="A88" s="1" t="s">
        <v>2179</v>
      </c>
      <c r="B88" s="1" t="s">
        <v>35</v>
      </c>
      <c r="C88" s="1" t="s">
        <v>15</v>
      </c>
      <c r="D88" s="1">
        <v>16</v>
      </c>
      <c r="E88" s="40">
        <v>16081.8</v>
      </c>
      <c r="K88" s="3" t="s">
        <v>2212</v>
      </c>
      <c r="L88" s="2">
        <v>43160</v>
      </c>
      <c r="M88" s="2">
        <v>43190</v>
      </c>
      <c r="O88" s="5">
        <v>16081.8</v>
      </c>
      <c r="P88" s="2">
        <v>43249</v>
      </c>
      <c r="Q88" s="5">
        <f t="shared" si="2"/>
        <v>0</v>
      </c>
      <c r="R88" s="15" t="str">
        <f ca="1">IF(TODAY() - DAGXX[INV DUE DATE]&lt;30, "Less than 30 days",IF(TODAY()-DAGXX[INV DUE DATE]&lt;60,"30-60 days","More than 60 days"))</f>
        <v>More than 60 days</v>
      </c>
      <c r="S88" t="s">
        <v>813</v>
      </c>
      <c r="T88" s="43" t="s">
        <v>2229</v>
      </c>
      <c r="U88" t="s">
        <v>2212</v>
      </c>
    </row>
    <row r="89" spans="1:21" x14ac:dyDescent="0.3">
      <c r="A89" s="1" t="s">
        <v>2180</v>
      </c>
      <c r="B89" s="1" t="s">
        <v>35</v>
      </c>
      <c r="C89" s="20" t="s">
        <v>16</v>
      </c>
      <c r="D89" s="1">
        <v>16</v>
      </c>
      <c r="E89" s="40">
        <v>16019</v>
      </c>
      <c r="G89" s="105">
        <v>4380380275</v>
      </c>
      <c r="K89" s="3" t="s">
        <v>2212</v>
      </c>
      <c r="L89" s="2">
        <v>43193</v>
      </c>
      <c r="M89" s="2">
        <f>DAGXX[[#This Row],[INV DOC DATE]]+30</f>
        <v>43223</v>
      </c>
      <c r="O89" s="5">
        <v>16019</v>
      </c>
      <c r="P89" s="2">
        <v>43276</v>
      </c>
      <c r="Q89" s="5">
        <f t="shared" si="2"/>
        <v>0</v>
      </c>
      <c r="R89" s="15" t="str">
        <f ca="1">IF(TODAY() - DAGXX[INV DUE DATE]&lt;30, "Less than 30 days",IF(TODAY()-DAGXX[INV DUE DATE]&lt;60,"30-60 days","More than 60 days"))</f>
        <v>More than 60 days</v>
      </c>
      <c r="S89" t="s">
        <v>813</v>
      </c>
      <c r="T89" s="43" t="s">
        <v>2229</v>
      </c>
      <c r="U89" t="s">
        <v>2212</v>
      </c>
    </row>
    <row r="90" spans="1:21" x14ac:dyDescent="0.3">
      <c r="A90" s="1" t="s">
        <v>2181</v>
      </c>
      <c r="B90" s="1" t="s">
        <v>35</v>
      </c>
      <c r="C90" s="20" t="s">
        <v>17</v>
      </c>
      <c r="D90" s="1">
        <v>16</v>
      </c>
      <c r="E90" s="40">
        <v>16001</v>
      </c>
      <c r="G90" s="105">
        <v>4380380275</v>
      </c>
      <c r="K90" s="3" t="s">
        <v>2212</v>
      </c>
      <c r="L90" s="2">
        <v>43193</v>
      </c>
      <c r="M90" s="2">
        <f>DAGXX[[#This Row],[INV DOC DATE]]+30</f>
        <v>43223</v>
      </c>
      <c r="O90" s="5">
        <v>16001</v>
      </c>
      <c r="P90" s="2">
        <v>43276</v>
      </c>
      <c r="Q90" s="5">
        <f t="shared" si="2"/>
        <v>0</v>
      </c>
      <c r="R90" s="15" t="str">
        <f ca="1">IF(TODAY() - DAGXX[INV DUE DATE]&lt;30, "Less than 30 days",IF(TODAY()-DAGXX[INV DUE DATE]&lt;60,"30-60 days","More than 60 days"))</f>
        <v>More than 60 days</v>
      </c>
      <c r="S90" t="s">
        <v>813</v>
      </c>
      <c r="T90" s="43" t="s">
        <v>2229</v>
      </c>
      <c r="U90" t="s">
        <v>2212</v>
      </c>
    </row>
    <row r="91" spans="1:21" x14ac:dyDescent="0.3">
      <c r="A91" s="1" t="s">
        <v>2182</v>
      </c>
      <c r="B91" s="1" t="s">
        <v>35</v>
      </c>
      <c r="C91" s="20" t="s">
        <v>18</v>
      </c>
      <c r="D91" s="1">
        <v>16</v>
      </c>
      <c r="E91" s="40">
        <v>15834.97</v>
      </c>
      <c r="G91" s="105">
        <v>4380380275</v>
      </c>
      <c r="K91" s="3" t="s">
        <v>2212</v>
      </c>
      <c r="L91" s="2">
        <v>43193</v>
      </c>
      <c r="M91" s="2">
        <f>DAGXX[[#This Row],[INV DOC DATE]]+30</f>
        <v>43223</v>
      </c>
      <c r="O91" s="5">
        <v>15834.97</v>
      </c>
      <c r="P91" s="2">
        <v>43276</v>
      </c>
      <c r="Q91" s="5">
        <f t="shared" si="2"/>
        <v>0</v>
      </c>
      <c r="R91" s="15" t="str">
        <f ca="1">IF(TODAY() - DAGXX[INV DUE DATE]&lt;30, "Less than 30 days",IF(TODAY()-DAGXX[INV DUE DATE]&lt;60,"30-60 days","More than 60 days"))</f>
        <v>More than 60 days</v>
      </c>
      <c r="S91" t="s">
        <v>813</v>
      </c>
      <c r="T91" s="43" t="s">
        <v>2229</v>
      </c>
      <c r="U91" t="s">
        <v>2212</v>
      </c>
    </row>
    <row r="92" spans="1:21" x14ac:dyDescent="0.3">
      <c r="A92" s="1" t="s">
        <v>2183</v>
      </c>
      <c r="B92" s="1" t="s">
        <v>35</v>
      </c>
      <c r="C92" s="20" t="s">
        <v>19</v>
      </c>
      <c r="D92" s="1">
        <v>16</v>
      </c>
      <c r="E92" s="40">
        <v>16141</v>
      </c>
      <c r="G92" s="105">
        <v>4380380275</v>
      </c>
      <c r="K92" s="3" t="s">
        <v>2212</v>
      </c>
      <c r="L92" s="2">
        <v>43193</v>
      </c>
      <c r="M92" s="2">
        <f>DAGXX[[#This Row],[INV DOC DATE]]+30</f>
        <v>43223</v>
      </c>
      <c r="O92" s="5">
        <v>16141</v>
      </c>
      <c r="P92" s="2">
        <v>43276</v>
      </c>
      <c r="Q92" s="5">
        <f t="shared" si="2"/>
        <v>0</v>
      </c>
      <c r="R92" s="15" t="str">
        <f ca="1">IF(TODAY() - DAGXX[INV DUE DATE]&lt;30, "Less than 30 days",IF(TODAY()-DAGXX[INV DUE DATE]&lt;60,"30-60 days","More than 60 days"))</f>
        <v>More than 60 days</v>
      </c>
      <c r="S92" t="s">
        <v>813</v>
      </c>
      <c r="T92" s="43" t="s">
        <v>2229</v>
      </c>
      <c r="U92" t="s">
        <v>2212</v>
      </c>
    </row>
    <row r="93" spans="1:21" x14ac:dyDescent="0.3">
      <c r="A93" s="1" t="s">
        <v>2184</v>
      </c>
      <c r="B93" s="1" t="s">
        <v>35</v>
      </c>
      <c r="C93" s="20" t="s">
        <v>20</v>
      </c>
      <c r="D93" s="1">
        <v>16</v>
      </c>
      <c r="E93" s="40">
        <v>15805</v>
      </c>
      <c r="G93" s="105">
        <v>4380380275</v>
      </c>
      <c r="K93" s="3" t="s">
        <v>2212</v>
      </c>
      <c r="L93" s="2">
        <v>43193</v>
      </c>
      <c r="M93" s="2">
        <f>DAGXX[[#This Row],[INV DOC DATE]]+30</f>
        <v>43223</v>
      </c>
      <c r="O93" s="5">
        <v>15805</v>
      </c>
      <c r="P93" s="2">
        <v>43276</v>
      </c>
      <c r="Q93" s="5">
        <f t="shared" si="2"/>
        <v>0</v>
      </c>
      <c r="R93" s="15" t="str">
        <f ca="1">IF(TODAY() - DAGXX[INV DUE DATE]&lt;30, "Less than 30 days",IF(TODAY()-DAGXX[INV DUE DATE]&lt;60,"30-60 days","More than 60 days"))</f>
        <v>More than 60 days</v>
      </c>
      <c r="S93" t="s">
        <v>813</v>
      </c>
      <c r="T93" s="43" t="s">
        <v>2229</v>
      </c>
      <c r="U93" t="s">
        <v>2212</v>
      </c>
    </row>
    <row r="94" spans="1:21" x14ac:dyDescent="0.3">
      <c r="A94" s="1" t="s">
        <v>2185</v>
      </c>
      <c r="B94" s="1" t="s">
        <v>35</v>
      </c>
      <c r="C94" s="20" t="s">
        <v>21</v>
      </c>
      <c r="D94" s="1">
        <v>16</v>
      </c>
      <c r="E94" s="40">
        <v>15805</v>
      </c>
      <c r="G94" s="105">
        <v>4380380275</v>
      </c>
      <c r="K94" s="3" t="s">
        <v>2212</v>
      </c>
      <c r="L94" s="2">
        <v>43193</v>
      </c>
      <c r="M94" s="2">
        <f>DAGXX[[#This Row],[INV DOC DATE]]+30</f>
        <v>43223</v>
      </c>
      <c r="O94" s="5">
        <v>15805</v>
      </c>
      <c r="P94" s="2">
        <v>43276</v>
      </c>
      <c r="Q94" s="5">
        <f t="shared" si="2"/>
        <v>0</v>
      </c>
      <c r="R94" s="15" t="str">
        <f ca="1">IF(TODAY() - DAGXX[INV DUE DATE]&lt;30, "Less than 30 days",IF(TODAY()-DAGXX[INV DUE DATE]&lt;60,"30-60 days","More than 60 days"))</f>
        <v>More than 60 days</v>
      </c>
      <c r="S94" t="s">
        <v>813</v>
      </c>
      <c r="T94" s="43" t="s">
        <v>2229</v>
      </c>
      <c r="U94" t="s">
        <v>2212</v>
      </c>
    </row>
    <row r="95" spans="1:21" x14ac:dyDescent="0.3">
      <c r="A95" s="1" t="s">
        <v>2186</v>
      </c>
      <c r="B95" s="1" t="s">
        <v>35</v>
      </c>
      <c r="C95" s="20" t="s">
        <v>22</v>
      </c>
      <c r="D95" s="1">
        <v>16</v>
      </c>
      <c r="E95" s="40">
        <v>16389.16</v>
      </c>
      <c r="G95" s="105">
        <v>4380380275</v>
      </c>
      <c r="K95" s="3" t="s">
        <v>2212</v>
      </c>
      <c r="L95" s="2">
        <v>43193</v>
      </c>
      <c r="M95" s="2">
        <f>DAGXX[[#This Row],[INV DOC DATE]]+30</f>
        <v>43223</v>
      </c>
      <c r="O95" s="5">
        <v>16389.16</v>
      </c>
      <c r="P95" s="2">
        <v>43276</v>
      </c>
      <c r="Q95" s="5">
        <f t="shared" si="2"/>
        <v>0</v>
      </c>
      <c r="R95" s="15" t="str">
        <f ca="1">IF(TODAY() - DAGXX[INV DUE DATE]&lt;30, "Less than 30 days",IF(TODAY()-DAGXX[INV DUE DATE]&lt;60,"30-60 days","More than 60 days"))</f>
        <v>More than 60 days</v>
      </c>
      <c r="S95" t="s">
        <v>813</v>
      </c>
      <c r="T95" s="43" t="s">
        <v>2229</v>
      </c>
      <c r="U95" t="s">
        <v>2212</v>
      </c>
    </row>
    <row r="96" spans="1:21" x14ac:dyDescent="0.3">
      <c r="A96" s="1" t="s">
        <v>2187</v>
      </c>
      <c r="B96" s="1" t="s">
        <v>35</v>
      </c>
      <c r="C96" s="20" t="s">
        <v>23</v>
      </c>
      <c r="D96" s="1">
        <v>16</v>
      </c>
      <c r="E96" s="40">
        <v>16094.63</v>
      </c>
      <c r="G96" s="105">
        <v>4380380275</v>
      </c>
      <c r="K96" s="3" t="s">
        <v>2212</v>
      </c>
      <c r="L96" s="2">
        <v>43193</v>
      </c>
      <c r="M96" s="2">
        <f>DAGXX[[#This Row],[INV DOC DATE]]+30</f>
        <v>43223</v>
      </c>
      <c r="O96" s="5">
        <v>16094.63</v>
      </c>
      <c r="P96" s="2">
        <v>43276</v>
      </c>
      <c r="Q96" s="5">
        <f t="shared" si="2"/>
        <v>0</v>
      </c>
      <c r="R96" s="15" t="str">
        <f ca="1">IF(TODAY() - DAGXX[INV DUE DATE]&lt;30, "Less than 30 days",IF(TODAY()-DAGXX[INV DUE DATE]&lt;60,"30-60 days","More than 60 days"))</f>
        <v>More than 60 days</v>
      </c>
      <c r="S96" t="s">
        <v>813</v>
      </c>
      <c r="T96" s="43" t="s">
        <v>2229</v>
      </c>
      <c r="U96" t="s">
        <v>2212</v>
      </c>
    </row>
    <row r="97" spans="1:21" x14ac:dyDescent="0.3">
      <c r="A97" s="1" t="s">
        <v>2188</v>
      </c>
      <c r="B97" s="1" t="s">
        <v>35</v>
      </c>
      <c r="C97" s="20" t="s">
        <v>24</v>
      </c>
      <c r="D97" s="1">
        <v>16</v>
      </c>
      <c r="E97" s="40">
        <v>15945</v>
      </c>
      <c r="G97" s="105">
        <v>4380380275</v>
      </c>
      <c r="K97" s="3" t="s">
        <v>2212</v>
      </c>
      <c r="L97" s="2">
        <v>43193</v>
      </c>
      <c r="M97" s="2">
        <f>DAGXX[[#This Row],[INV DOC DATE]]+30</f>
        <v>43223</v>
      </c>
      <c r="O97" s="5">
        <v>15945</v>
      </c>
      <c r="P97" s="2">
        <v>43276</v>
      </c>
      <c r="Q97" s="5">
        <f t="shared" si="2"/>
        <v>0</v>
      </c>
      <c r="R97" s="15" t="str">
        <f ca="1">IF(TODAY() - DAGXX[INV DUE DATE]&lt;30, "Less than 30 days",IF(TODAY()-DAGXX[INV DUE DATE]&lt;60,"30-60 days","More than 60 days"))</f>
        <v>More than 60 days</v>
      </c>
      <c r="S97" t="s">
        <v>813</v>
      </c>
      <c r="T97" s="43" t="s">
        <v>2229</v>
      </c>
      <c r="U97" t="s">
        <v>2212</v>
      </c>
    </row>
    <row r="98" spans="1:21" x14ac:dyDescent="0.3">
      <c r="A98" s="1" t="s">
        <v>2189</v>
      </c>
      <c r="B98" s="1" t="s">
        <v>35</v>
      </c>
      <c r="C98" s="20" t="s">
        <v>25</v>
      </c>
      <c r="D98" s="1">
        <v>16</v>
      </c>
      <c r="E98" s="40">
        <v>16308</v>
      </c>
      <c r="G98" s="105">
        <v>4380380275</v>
      </c>
      <c r="K98" s="3" t="s">
        <v>2212</v>
      </c>
      <c r="L98" s="2">
        <v>43193</v>
      </c>
      <c r="M98" s="2">
        <f>DAGXX[[#This Row],[INV DOC DATE]]+30</f>
        <v>43223</v>
      </c>
      <c r="O98" s="5">
        <v>16308</v>
      </c>
      <c r="P98" s="2">
        <v>43276</v>
      </c>
      <c r="Q98" s="5">
        <f t="shared" ref="Q98:Q116" si="3">$E98-$O98</f>
        <v>0</v>
      </c>
      <c r="R98" s="15" t="str">
        <f ca="1">IF(TODAY() - DAGXX[INV DUE DATE]&lt;30, "Less than 30 days",IF(TODAY()-DAGXX[INV DUE DATE]&lt;60,"30-60 days","More than 60 days"))</f>
        <v>More than 60 days</v>
      </c>
      <c r="S98" t="s">
        <v>813</v>
      </c>
      <c r="T98" s="43" t="s">
        <v>2229</v>
      </c>
      <c r="U98" t="s">
        <v>2212</v>
      </c>
    </row>
    <row r="99" spans="1:21" x14ac:dyDescent="0.3">
      <c r="A99" s="1" t="s">
        <v>2190</v>
      </c>
      <c r="B99" s="1" t="s">
        <v>35</v>
      </c>
      <c r="C99" s="20" t="s">
        <v>26</v>
      </c>
      <c r="D99" s="1">
        <v>16</v>
      </c>
      <c r="E99" s="40">
        <v>16119.16</v>
      </c>
      <c r="G99" s="105">
        <v>4380380275</v>
      </c>
      <c r="K99" s="3" t="s">
        <v>2212</v>
      </c>
      <c r="L99" s="2">
        <v>43193</v>
      </c>
      <c r="M99" s="2">
        <f>DAGXX[[#This Row],[INV DOC DATE]]+30</f>
        <v>43223</v>
      </c>
      <c r="O99" s="5">
        <v>16119.16</v>
      </c>
      <c r="P99" s="2">
        <v>43276</v>
      </c>
      <c r="Q99" s="5">
        <f t="shared" si="3"/>
        <v>0</v>
      </c>
      <c r="R99" s="15" t="str">
        <f ca="1">IF(TODAY() - DAGXX[INV DUE DATE]&lt;30, "Less than 30 days",IF(TODAY()-DAGXX[INV DUE DATE]&lt;60,"30-60 days","More than 60 days"))</f>
        <v>More than 60 days</v>
      </c>
      <c r="S99" t="s">
        <v>813</v>
      </c>
      <c r="T99" s="43" t="s">
        <v>2229</v>
      </c>
      <c r="U99" t="s">
        <v>2212</v>
      </c>
    </row>
    <row r="100" spans="1:21" x14ac:dyDescent="0.3">
      <c r="A100" s="1" t="s">
        <v>2191</v>
      </c>
      <c r="B100" s="1" t="s">
        <v>35</v>
      </c>
      <c r="C100" s="20" t="s">
        <v>27</v>
      </c>
      <c r="D100" s="1">
        <v>16</v>
      </c>
      <c r="E100" s="40">
        <v>15839.16</v>
      </c>
      <c r="G100" s="105">
        <v>4380380275</v>
      </c>
      <c r="K100" s="3" t="s">
        <v>2212</v>
      </c>
      <c r="L100" s="2">
        <v>43193</v>
      </c>
      <c r="M100" s="2">
        <f>DAGXX[[#This Row],[INV DOC DATE]]+30</f>
        <v>43223</v>
      </c>
      <c r="O100" s="5">
        <v>15839.16</v>
      </c>
      <c r="P100" s="2">
        <v>43276</v>
      </c>
      <c r="Q100" s="5">
        <f t="shared" si="3"/>
        <v>0</v>
      </c>
      <c r="R100" s="15" t="str">
        <f ca="1">IF(TODAY() - DAGXX[INV DUE DATE]&lt;30, "Less than 30 days",IF(TODAY()-DAGXX[INV DUE DATE]&lt;60,"30-60 days","More than 60 days"))</f>
        <v>More than 60 days</v>
      </c>
      <c r="S100" t="s">
        <v>813</v>
      </c>
      <c r="T100" s="43" t="s">
        <v>2229</v>
      </c>
      <c r="U100" t="s">
        <v>2212</v>
      </c>
    </row>
    <row r="101" spans="1:21" x14ac:dyDescent="0.3">
      <c r="A101" s="1" t="s">
        <v>2192</v>
      </c>
      <c r="B101" s="1" t="s">
        <v>35</v>
      </c>
      <c r="C101" s="20" t="s">
        <v>28</v>
      </c>
      <c r="D101" s="1">
        <v>16</v>
      </c>
      <c r="E101" s="40">
        <v>16001</v>
      </c>
      <c r="G101" s="105">
        <v>4380380275</v>
      </c>
      <c r="K101" s="3" t="s">
        <v>2212</v>
      </c>
      <c r="L101" s="2">
        <v>43193</v>
      </c>
      <c r="M101" s="2">
        <f>DAGXX[[#This Row],[INV DOC DATE]]+30</f>
        <v>43223</v>
      </c>
      <c r="O101" s="5">
        <v>16001</v>
      </c>
      <c r="P101" s="2">
        <v>43276</v>
      </c>
      <c r="Q101" s="5">
        <f t="shared" si="3"/>
        <v>0</v>
      </c>
      <c r="R101" s="15" t="str">
        <f ca="1">IF(TODAY() - DAGXX[INV DUE DATE]&lt;30, "Less than 30 days",IF(TODAY()-DAGXX[INV DUE DATE]&lt;60,"30-60 days","More than 60 days"))</f>
        <v>More than 60 days</v>
      </c>
      <c r="S101" t="s">
        <v>813</v>
      </c>
      <c r="T101" s="43" t="s">
        <v>2229</v>
      </c>
      <c r="U101" t="s">
        <v>2212</v>
      </c>
    </row>
    <row r="102" spans="1:21" x14ac:dyDescent="0.3">
      <c r="A102" s="1" t="s">
        <v>2193</v>
      </c>
      <c r="B102" s="1" t="s">
        <v>35</v>
      </c>
      <c r="C102" s="20" t="s">
        <v>37</v>
      </c>
      <c r="D102" s="1">
        <v>16</v>
      </c>
      <c r="E102" s="40">
        <v>16067.66</v>
      </c>
      <c r="G102" s="105">
        <v>4380380275</v>
      </c>
      <c r="K102" s="3" t="s">
        <v>2212</v>
      </c>
      <c r="L102" s="2">
        <v>43193</v>
      </c>
      <c r="M102" s="2">
        <f>DAGXX[[#This Row],[INV DOC DATE]]+30</f>
        <v>43223</v>
      </c>
      <c r="O102" s="5">
        <v>16067.66</v>
      </c>
      <c r="P102" s="2">
        <v>43276</v>
      </c>
      <c r="Q102" s="5">
        <f t="shared" si="3"/>
        <v>0</v>
      </c>
      <c r="R102" s="15" t="str">
        <f ca="1">IF(TODAY() - DAGXX[INV DUE DATE]&lt;30, "Less than 30 days",IF(TODAY()-DAGXX[INV DUE DATE]&lt;60,"30-60 days","More than 60 days"))</f>
        <v>More than 60 days</v>
      </c>
      <c r="S102" t="s">
        <v>813</v>
      </c>
      <c r="T102" s="43" t="s">
        <v>2229</v>
      </c>
      <c r="U102" t="s">
        <v>2212</v>
      </c>
    </row>
    <row r="103" spans="1:21" x14ac:dyDescent="0.3">
      <c r="A103" s="1" t="s">
        <v>2194</v>
      </c>
      <c r="B103" s="1" t="s">
        <v>35</v>
      </c>
      <c r="C103" s="20" t="s">
        <v>38</v>
      </c>
      <c r="D103" s="1">
        <v>16</v>
      </c>
      <c r="E103" s="40">
        <v>15892.13</v>
      </c>
      <c r="G103" s="105">
        <v>4380380275</v>
      </c>
      <c r="K103" s="3" t="s">
        <v>2212</v>
      </c>
      <c r="L103" s="2">
        <v>43193</v>
      </c>
      <c r="M103" s="2">
        <f>DAGXX[[#This Row],[INV DOC DATE]]+30</f>
        <v>43223</v>
      </c>
      <c r="O103" s="5">
        <v>15892.13</v>
      </c>
      <c r="P103" s="2">
        <v>43276</v>
      </c>
      <c r="Q103" s="5">
        <f t="shared" si="3"/>
        <v>0</v>
      </c>
      <c r="R103" s="15" t="str">
        <f ca="1">IF(TODAY() - DAGXX[INV DUE DATE]&lt;30, "Less than 30 days",IF(TODAY()-DAGXX[INV DUE DATE]&lt;60,"30-60 days","More than 60 days"))</f>
        <v>More than 60 days</v>
      </c>
      <c r="S103" t="s">
        <v>813</v>
      </c>
      <c r="T103" s="43" t="s">
        <v>2229</v>
      </c>
      <c r="U103" t="s">
        <v>2212</v>
      </c>
    </row>
    <row r="104" spans="1:21" x14ac:dyDescent="0.3">
      <c r="A104" s="1" t="s">
        <v>2195</v>
      </c>
      <c r="B104" s="1" t="s">
        <v>35</v>
      </c>
      <c r="C104" s="20" t="s">
        <v>39</v>
      </c>
      <c r="D104" s="1">
        <v>16</v>
      </c>
      <c r="E104" s="40">
        <v>16481.16</v>
      </c>
      <c r="G104" s="105">
        <v>4380380275</v>
      </c>
      <c r="K104" s="3" t="s">
        <v>2212</v>
      </c>
      <c r="L104" s="2">
        <v>43193</v>
      </c>
      <c r="M104" s="2">
        <f>DAGXX[[#This Row],[INV DOC DATE]]+30</f>
        <v>43223</v>
      </c>
      <c r="O104" s="5">
        <v>16481.16</v>
      </c>
      <c r="P104" s="2">
        <v>43276</v>
      </c>
      <c r="Q104" s="5">
        <f t="shared" si="3"/>
        <v>0</v>
      </c>
      <c r="R104" s="15" t="str">
        <f ca="1">IF(TODAY() - DAGXX[INV DUE DATE]&lt;30, "Less than 30 days",IF(TODAY()-DAGXX[INV DUE DATE]&lt;60,"30-60 days","More than 60 days"))</f>
        <v>More than 60 days</v>
      </c>
      <c r="S104" t="s">
        <v>813</v>
      </c>
      <c r="T104" s="43" t="s">
        <v>2229</v>
      </c>
      <c r="U104" t="s">
        <v>2212</v>
      </c>
    </row>
    <row r="105" spans="1:21" x14ac:dyDescent="0.3">
      <c r="A105" s="1" t="s">
        <v>2196</v>
      </c>
      <c r="B105" s="1" t="s">
        <v>35</v>
      </c>
      <c r="C105" s="20" t="s">
        <v>40</v>
      </c>
      <c r="D105" s="1">
        <v>16</v>
      </c>
      <c r="E105" s="40">
        <v>16867</v>
      </c>
      <c r="G105" s="105">
        <v>4380380275</v>
      </c>
      <c r="K105" s="3" t="s">
        <v>2212</v>
      </c>
      <c r="L105" s="2">
        <v>43193</v>
      </c>
      <c r="M105" s="2">
        <f>DAGXX[[#This Row],[INV DOC DATE]]+30</f>
        <v>43223</v>
      </c>
      <c r="O105" s="5">
        <v>16867</v>
      </c>
      <c r="P105" s="2">
        <v>43276</v>
      </c>
      <c r="Q105" s="5">
        <f t="shared" si="3"/>
        <v>0</v>
      </c>
      <c r="R105" s="15" t="str">
        <f ca="1">IF(TODAY() - DAGXX[INV DUE DATE]&lt;30, "Less than 30 days",IF(TODAY()-DAGXX[INV DUE DATE]&lt;60,"30-60 days","More than 60 days"))</f>
        <v>More than 60 days</v>
      </c>
      <c r="S105" t="s">
        <v>813</v>
      </c>
      <c r="T105" s="43" t="s">
        <v>2229</v>
      </c>
      <c r="U105" t="s">
        <v>2212</v>
      </c>
    </row>
    <row r="106" spans="1:21" x14ac:dyDescent="0.3">
      <c r="A106" s="1" t="s">
        <v>2197</v>
      </c>
      <c r="B106" s="1" t="s">
        <v>35</v>
      </c>
      <c r="C106" s="20" t="s">
        <v>41</v>
      </c>
      <c r="D106" s="1">
        <v>16</v>
      </c>
      <c r="E106" s="40">
        <v>15818</v>
      </c>
      <c r="G106" s="105">
        <v>4380380275</v>
      </c>
      <c r="K106" s="3" t="s">
        <v>2212</v>
      </c>
      <c r="L106" s="2">
        <v>43193</v>
      </c>
      <c r="M106" s="2">
        <f>DAGXX[[#This Row],[INV DOC DATE]]+30</f>
        <v>43223</v>
      </c>
      <c r="O106" s="5">
        <v>15818</v>
      </c>
      <c r="P106" s="2">
        <v>43276</v>
      </c>
      <c r="Q106" s="5">
        <f t="shared" si="3"/>
        <v>0</v>
      </c>
      <c r="R106" s="15" t="str">
        <f ca="1">IF(TODAY() - DAGXX[INV DUE DATE]&lt;30, "Less than 30 days",IF(TODAY()-DAGXX[INV DUE DATE]&lt;60,"30-60 days","More than 60 days"))</f>
        <v>More than 60 days</v>
      </c>
      <c r="S106" t="s">
        <v>813</v>
      </c>
      <c r="T106" s="43" t="s">
        <v>2229</v>
      </c>
      <c r="U106" t="s">
        <v>2212</v>
      </c>
    </row>
    <row r="107" spans="1:21" x14ac:dyDescent="0.3">
      <c r="A107" s="1" t="s">
        <v>2198</v>
      </c>
      <c r="B107" s="1" t="s">
        <v>35</v>
      </c>
      <c r="C107" s="20" t="s">
        <v>42</v>
      </c>
      <c r="D107" s="1">
        <v>16</v>
      </c>
      <c r="E107" s="40">
        <v>16553.66</v>
      </c>
      <c r="G107" s="105">
        <v>4380380275</v>
      </c>
      <c r="K107" s="3" t="s">
        <v>2212</v>
      </c>
      <c r="L107" s="2">
        <v>43193</v>
      </c>
      <c r="M107" s="2">
        <f>DAGXX[[#This Row],[INV DOC DATE]]+30</f>
        <v>43223</v>
      </c>
      <c r="O107" s="5">
        <v>16553.66</v>
      </c>
      <c r="P107" s="2">
        <v>43276</v>
      </c>
      <c r="Q107" s="5">
        <f t="shared" si="3"/>
        <v>0</v>
      </c>
      <c r="R107" s="15" t="str">
        <f ca="1">IF(TODAY() - DAGXX[INV DUE DATE]&lt;30, "Less than 30 days",IF(TODAY()-DAGXX[INV DUE DATE]&lt;60,"30-60 days","More than 60 days"))</f>
        <v>More than 60 days</v>
      </c>
      <c r="S107" t="s">
        <v>813</v>
      </c>
      <c r="T107" s="43" t="s">
        <v>2229</v>
      </c>
      <c r="U107" t="s">
        <v>2212</v>
      </c>
    </row>
    <row r="108" spans="1:21" x14ac:dyDescent="0.3">
      <c r="A108" s="1" t="s">
        <v>2199</v>
      </c>
      <c r="B108" s="1"/>
      <c r="C108" s="1"/>
      <c r="D108" s="1">
        <v>16</v>
      </c>
      <c r="E108" s="40">
        <v>15762</v>
      </c>
      <c r="K108" s="3" t="s">
        <v>2212</v>
      </c>
      <c r="L108" s="2">
        <v>43193</v>
      </c>
      <c r="M108" s="2">
        <f>DAGXX[[#This Row],[INV DOC DATE]]+30</f>
        <v>43223</v>
      </c>
      <c r="Q108" s="5">
        <f t="shared" si="3"/>
        <v>15762</v>
      </c>
      <c r="R108" s="15" t="str">
        <f ca="1">IF(TODAY() - DAGXX[INV DUE DATE]&lt;30, "Less than 30 days",IF(TODAY()-DAGXX[INV DUE DATE]&lt;60,"30-60 days","More than 60 days"))</f>
        <v>More than 60 days</v>
      </c>
      <c r="S108" t="s">
        <v>813</v>
      </c>
      <c r="U108" t="s">
        <v>2212</v>
      </c>
    </row>
    <row r="109" spans="1:21" x14ac:dyDescent="0.3">
      <c r="A109" s="1" t="s">
        <v>2200</v>
      </c>
      <c r="B109" s="1"/>
      <c r="C109" s="1"/>
      <c r="D109" s="1">
        <v>16</v>
      </c>
      <c r="E109" s="40">
        <v>15879</v>
      </c>
      <c r="K109" s="3" t="s">
        <v>2212</v>
      </c>
      <c r="L109" s="2">
        <v>43193</v>
      </c>
      <c r="M109" s="2">
        <f>DAGXX[[#This Row],[INV DOC DATE]]+30</f>
        <v>43223</v>
      </c>
      <c r="Q109" s="5">
        <f t="shared" si="3"/>
        <v>15879</v>
      </c>
      <c r="R109" s="15" t="str">
        <f ca="1">IF(TODAY() - DAGXX[INV DUE DATE]&lt;30, "Less than 30 days",IF(TODAY()-DAGXX[INV DUE DATE]&lt;60,"30-60 days","More than 60 days"))</f>
        <v>More than 60 days</v>
      </c>
      <c r="S109" t="s">
        <v>813</v>
      </c>
      <c r="U109" t="s">
        <v>2212</v>
      </c>
    </row>
    <row r="110" spans="1:21" x14ac:dyDescent="0.3">
      <c r="A110" s="1" t="s">
        <v>2201</v>
      </c>
      <c r="B110" s="1" t="s">
        <v>35</v>
      </c>
      <c r="C110" s="1" t="s">
        <v>46</v>
      </c>
      <c r="D110" s="1">
        <v>16</v>
      </c>
      <c r="E110" s="40">
        <v>15717.16</v>
      </c>
      <c r="K110" s="3" t="s">
        <v>2212</v>
      </c>
      <c r="L110" s="2">
        <v>43194</v>
      </c>
      <c r="M110" s="2">
        <f>DAGXX[[#This Row],[INV DOC DATE]]+30</f>
        <v>43224</v>
      </c>
      <c r="O110" s="5">
        <v>15717.16</v>
      </c>
      <c r="P110" s="2">
        <v>43249</v>
      </c>
      <c r="Q110" s="5">
        <f t="shared" si="3"/>
        <v>0</v>
      </c>
      <c r="R110" s="15" t="str">
        <f ca="1">IF(TODAY() - DAGXX[INV DUE DATE]&lt;30, "Less than 30 days",IF(TODAY()-DAGXX[INV DUE DATE]&lt;60,"30-60 days","More than 60 days"))</f>
        <v>More than 60 days</v>
      </c>
      <c r="S110" t="s">
        <v>813</v>
      </c>
      <c r="T110" s="43" t="s">
        <v>2229</v>
      </c>
      <c r="U110" t="s">
        <v>2212</v>
      </c>
    </row>
    <row r="111" spans="1:21" x14ac:dyDescent="0.3">
      <c r="A111" s="1" t="s">
        <v>2202</v>
      </c>
      <c r="B111" s="1" t="s">
        <v>35</v>
      </c>
      <c r="C111" s="1" t="s">
        <v>47</v>
      </c>
      <c r="D111" s="1">
        <v>16</v>
      </c>
      <c r="E111" s="40">
        <v>16022</v>
      </c>
      <c r="K111" s="3" t="s">
        <v>2212</v>
      </c>
      <c r="L111" s="2">
        <v>43194</v>
      </c>
      <c r="M111" s="2">
        <f>DAGXX[[#This Row],[INV DOC DATE]]+30</f>
        <v>43224</v>
      </c>
      <c r="O111" s="5">
        <v>16022</v>
      </c>
      <c r="P111" s="2">
        <v>43249</v>
      </c>
      <c r="Q111" s="5">
        <f t="shared" si="3"/>
        <v>0</v>
      </c>
      <c r="R111" s="15" t="str">
        <f ca="1">IF(TODAY() - DAGXX[INV DUE DATE]&lt;30, "Less than 30 days",IF(TODAY()-DAGXX[INV DUE DATE]&lt;60,"30-60 days","More than 60 days"))</f>
        <v>More than 60 days</v>
      </c>
      <c r="S111" t="s">
        <v>813</v>
      </c>
      <c r="T111" s="43" t="s">
        <v>2229</v>
      </c>
      <c r="U111" t="s">
        <v>2212</v>
      </c>
    </row>
    <row r="112" spans="1:21" x14ac:dyDescent="0.3">
      <c r="A112" s="1" t="s">
        <v>2203</v>
      </c>
      <c r="B112" s="1" t="s">
        <v>35</v>
      </c>
      <c r="C112" s="1" t="s">
        <v>295</v>
      </c>
      <c r="D112" s="1">
        <v>16</v>
      </c>
      <c r="E112" s="40">
        <v>17750</v>
      </c>
      <c r="K112" s="3" t="s">
        <v>2212</v>
      </c>
      <c r="L112" s="2">
        <v>43194</v>
      </c>
      <c r="M112" s="2">
        <f>DAGXX[[#This Row],[INV DOC DATE]]+30</f>
        <v>43224</v>
      </c>
      <c r="O112" s="5">
        <v>17750</v>
      </c>
      <c r="P112" s="2">
        <v>43249</v>
      </c>
      <c r="Q112" s="5">
        <f t="shared" si="3"/>
        <v>0</v>
      </c>
      <c r="R112" s="15" t="str">
        <f ca="1">IF(TODAY() - DAGXX[INV DUE DATE]&lt;30, "Less than 30 days",IF(TODAY()-DAGXX[INV DUE DATE]&lt;60,"30-60 days","More than 60 days"))</f>
        <v>More than 60 days</v>
      </c>
      <c r="S112" t="s">
        <v>813</v>
      </c>
      <c r="T112" s="43" t="s">
        <v>2229</v>
      </c>
      <c r="U112" t="s">
        <v>2212</v>
      </c>
    </row>
    <row r="113" spans="1:21" x14ac:dyDescent="0.3">
      <c r="A113" s="1" t="s">
        <v>2204</v>
      </c>
      <c r="B113" s="1" t="s">
        <v>35</v>
      </c>
      <c r="C113" s="1" t="s">
        <v>48</v>
      </c>
      <c r="D113" s="1">
        <v>16</v>
      </c>
      <c r="E113" s="40">
        <v>16037</v>
      </c>
      <c r="K113" s="3" t="s">
        <v>2212</v>
      </c>
      <c r="L113" s="2">
        <v>43194</v>
      </c>
      <c r="M113" s="2">
        <f>DAGXX[[#This Row],[INV DOC DATE]]+30</f>
        <v>43224</v>
      </c>
      <c r="O113" s="5">
        <v>16037</v>
      </c>
      <c r="P113" s="2">
        <v>43249</v>
      </c>
      <c r="Q113" s="5">
        <f t="shared" si="3"/>
        <v>0</v>
      </c>
      <c r="R113" s="15" t="str">
        <f ca="1">IF(TODAY() - DAGXX[INV DUE DATE]&lt;30, "Less than 30 days",IF(TODAY()-DAGXX[INV DUE DATE]&lt;60,"30-60 days","More than 60 days"))</f>
        <v>More than 60 days</v>
      </c>
      <c r="S113" t="s">
        <v>813</v>
      </c>
      <c r="T113" s="43" t="s">
        <v>2229</v>
      </c>
      <c r="U113" t="s">
        <v>2212</v>
      </c>
    </row>
    <row r="114" spans="1:21" x14ac:dyDescent="0.3">
      <c r="A114" s="1" t="s">
        <v>2205</v>
      </c>
      <c r="B114" s="1" t="s">
        <v>35</v>
      </c>
      <c r="C114" s="20" t="s">
        <v>49</v>
      </c>
      <c r="D114" s="1">
        <v>16</v>
      </c>
      <c r="E114" s="40">
        <v>16464.810000000001</v>
      </c>
      <c r="G114" s="52">
        <v>4380391198</v>
      </c>
      <c r="K114" s="3" t="s">
        <v>2212</v>
      </c>
      <c r="L114" s="2">
        <v>43200</v>
      </c>
      <c r="M114" s="2">
        <f>DAGXX[[#This Row],[INV DOC DATE]]+30</f>
        <v>43230</v>
      </c>
      <c r="O114" s="5">
        <v>16464.810000000001</v>
      </c>
      <c r="P114" s="2">
        <v>43234</v>
      </c>
      <c r="Q114" s="5">
        <f t="shared" si="3"/>
        <v>0</v>
      </c>
      <c r="R114" s="15" t="str">
        <f ca="1">IF(TODAY() - DAGXX[INV DUE DATE]&lt;30, "Less than 30 days",IF(TODAY()-DAGXX[INV DUE DATE]&lt;60,"30-60 days","More than 60 days"))</f>
        <v>More than 60 days</v>
      </c>
      <c r="S114" t="s">
        <v>813</v>
      </c>
      <c r="T114" s="43" t="s">
        <v>2229</v>
      </c>
      <c r="U114" t="s">
        <v>2212</v>
      </c>
    </row>
    <row r="115" spans="1:21" x14ac:dyDescent="0.3">
      <c r="A115" s="1" t="s">
        <v>2206</v>
      </c>
      <c r="B115" s="1" t="s">
        <v>35</v>
      </c>
      <c r="C115" s="1" t="s">
        <v>50</v>
      </c>
      <c r="D115" s="1" t="s">
        <v>2246</v>
      </c>
      <c r="E115" s="40">
        <v>16282.03</v>
      </c>
      <c r="K115" s="3" t="s">
        <v>2212</v>
      </c>
      <c r="L115" s="2">
        <v>43201</v>
      </c>
      <c r="M115" s="2">
        <f>DAGXX[[#This Row],[INV DOC DATE]]+30</f>
        <v>43231</v>
      </c>
      <c r="O115" s="5">
        <v>16282.03</v>
      </c>
      <c r="P115" s="2">
        <v>43249</v>
      </c>
      <c r="Q115" s="5">
        <f t="shared" si="3"/>
        <v>0</v>
      </c>
      <c r="R115" s="15" t="str">
        <f ca="1">IF(TODAY() - DAGXX[INV DUE DATE]&lt;30, "Less than 30 days",IF(TODAY()-DAGXX[INV DUE DATE]&lt;60,"30-60 days","More than 60 days"))</f>
        <v>More than 60 days</v>
      </c>
      <c r="S115" t="s">
        <v>813</v>
      </c>
      <c r="T115" s="43" t="s">
        <v>2229</v>
      </c>
      <c r="U115" t="s">
        <v>2212</v>
      </c>
    </row>
    <row r="116" spans="1:21" x14ac:dyDescent="0.3">
      <c r="A116" s="39" t="s">
        <v>4166</v>
      </c>
      <c r="B116" s="39"/>
      <c r="C116" s="39"/>
      <c r="D116" s="39"/>
      <c r="E116" s="127">
        <v>1725</v>
      </c>
      <c r="F116" s="6"/>
      <c r="G116" s="128"/>
      <c r="H116" s="6"/>
      <c r="I116" s="6"/>
      <c r="J116" s="6"/>
      <c r="K116" s="129" t="s">
        <v>3</v>
      </c>
      <c r="L116" s="11">
        <v>43252</v>
      </c>
      <c r="M116" s="2">
        <f>DAGXX[[#This Row],[INV DOC DATE]]+30</f>
        <v>43282</v>
      </c>
      <c r="N116" s="11"/>
      <c r="O116" s="130">
        <v>1725</v>
      </c>
      <c r="P116" s="11">
        <v>43294</v>
      </c>
      <c r="Q116" s="130">
        <f t="shared" si="3"/>
        <v>0</v>
      </c>
      <c r="R116" s="131" t="str">
        <f ca="1">IF(TODAY() - DAGXX[INV DUE DATE]&lt;30, "Less than 30 days",IF(TODAY()-DAGXX[INV DUE DATE]&lt;60,"30-60 days","More than 60 days"))</f>
        <v>Less than 30 days</v>
      </c>
      <c r="S116" t="s">
        <v>813</v>
      </c>
      <c r="T116" s="44" t="s">
        <v>2229</v>
      </c>
      <c r="U11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474"/>
  <sheetViews>
    <sheetView workbookViewId="0">
      <pane ySplit="1" topLeftCell="A452" activePane="bottomLeft" state="frozen"/>
      <selection pane="bottomLeft" activeCell="U362" sqref="U362"/>
    </sheetView>
  </sheetViews>
  <sheetFormatPr defaultRowHeight="14.4" x14ac:dyDescent="0.3"/>
  <cols>
    <col min="1" max="1" width="11.77734375" style="6" bestFit="1" customWidth="1"/>
    <col min="2" max="2" width="30.77734375" style="6" bestFit="1" customWidth="1"/>
    <col min="3" max="3" width="4.109375" style="6" bestFit="1" customWidth="1"/>
    <col min="4" max="4" width="15.109375" style="6" bestFit="1" customWidth="1"/>
    <col min="5" max="5" width="13.88671875" style="13" bestFit="1" customWidth="1"/>
    <col min="6" max="6" width="3.33203125" style="6" bestFit="1" customWidth="1"/>
    <col min="7" max="7" width="11" style="6" bestFit="1" customWidth="1"/>
    <col min="8" max="8" width="7" style="6" bestFit="1" customWidth="1"/>
    <col min="9" max="9" width="6.5546875" style="6" bestFit="1" customWidth="1"/>
    <col min="10" max="10" width="13.5546875" style="6" bestFit="1" customWidth="1"/>
    <col min="11" max="11" width="19.33203125" style="6" bestFit="1" customWidth="1"/>
    <col min="12" max="12" width="13.21875" style="6" bestFit="1" customWidth="1"/>
    <col min="13" max="13" width="13.109375" style="11" bestFit="1" customWidth="1"/>
    <col min="14" max="14" width="12.44140625" style="11" bestFit="1" customWidth="1"/>
    <col min="15" max="15" width="10" style="13" bestFit="1" customWidth="1"/>
    <col min="16" max="16" width="14.44140625" style="11" bestFit="1" customWidth="1"/>
    <col min="17" max="17" width="18.21875" style="13" bestFit="1" customWidth="1"/>
    <col min="18" max="18" width="16.21875" style="13" bestFit="1" customWidth="1"/>
    <col min="19" max="19" width="8.33203125" style="6" bestFit="1" customWidth="1"/>
    <col min="20" max="20" width="7.5546875" style="44" bestFit="1" customWidth="1"/>
    <col min="21" max="21" width="13.6640625" style="6" bestFit="1" customWidth="1"/>
    <col min="22" max="16384" width="8.88671875" style="6"/>
  </cols>
  <sheetData>
    <row r="1" spans="1:21" s="17" customFormat="1" ht="15" thickBot="1" x14ac:dyDescent="0.35">
      <c r="A1" s="57" t="s">
        <v>1</v>
      </c>
      <c r="B1" s="57" t="s">
        <v>33</v>
      </c>
      <c r="C1" s="57" t="s">
        <v>29</v>
      </c>
      <c r="D1" s="57" t="s">
        <v>0</v>
      </c>
      <c r="E1" s="58" t="s">
        <v>347</v>
      </c>
      <c r="F1" s="57" t="s">
        <v>32</v>
      </c>
      <c r="G1" s="57" t="s">
        <v>35</v>
      </c>
      <c r="H1" s="57" t="s">
        <v>30</v>
      </c>
      <c r="I1" s="57" t="s">
        <v>2</v>
      </c>
      <c r="J1" s="57" t="s">
        <v>819</v>
      </c>
      <c r="K1" s="57" t="s">
        <v>820</v>
      </c>
      <c r="L1" s="60" t="s">
        <v>5</v>
      </c>
      <c r="M1" s="60" t="s">
        <v>2241</v>
      </c>
      <c r="N1" s="60" t="s">
        <v>2244</v>
      </c>
      <c r="O1" s="58" t="s">
        <v>555</v>
      </c>
      <c r="P1" s="60" t="s">
        <v>2239</v>
      </c>
      <c r="Q1" s="58" t="s">
        <v>31</v>
      </c>
      <c r="R1" s="58" t="s">
        <v>2240</v>
      </c>
      <c r="S1" s="61" t="s">
        <v>2031</v>
      </c>
      <c r="T1" s="62" t="s">
        <v>2229</v>
      </c>
      <c r="U1" s="61" t="s">
        <v>3700</v>
      </c>
    </row>
    <row r="2" spans="1:21" x14ac:dyDescent="0.3">
      <c r="A2" s="6" t="s">
        <v>2155</v>
      </c>
      <c r="B2" s="6" t="s">
        <v>3745</v>
      </c>
      <c r="D2" s="8"/>
      <c r="E2" s="13">
        <v>540</v>
      </c>
      <c r="G2" s="6" t="s">
        <v>3744</v>
      </c>
      <c r="I2" s="10"/>
      <c r="J2" s="6" t="s">
        <v>2257</v>
      </c>
      <c r="K2" s="6" t="s">
        <v>3</v>
      </c>
      <c r="L2" s="11">
        <v>42979</v>
      </c>
      <c r="M2" s="11">
        <f>DCPXX[[#This Row],[INV DOC DATE]]+30</f>
        <v>43009</v>
      </c>
      <c r="Q2" s="13">
        <f t="shared" ref="Q2:Q65" si="0">$E2-$O2</f>
        <v>540</v>
      </c>
      <c r="R2" s="13" t="str">
        <f ca="1">IF(TODAY() - DCPXX[INV DUE DATE]&lt;30, "Less than 30 days",IF(TODAY()-DCPXX[INV DUE DATE]&lt;60,"30-60 days","More than 60 days"))</f>
        <v>More than 60 days</v>
      </c>
      <c r="S2" s="6" t="s">
        <v>817</v>
      </c>
      <c r="U2" s="13" t="s">
        <v>3699</v>
      </c>
    </row>
    <row r="3" spans="1:21" x14ac:dyDescent="0.3">
      <c r="A3" t="s">
        <v>2165</v>
      </c>
      <c r="B3" s="6" t="s">
        <v>35</v>
      </c>
      <c r="D3" s="8"/>
      <c r="E3" s="7">
        <v>51732</v>
      </c>
      <c r="G3" s="6" t="s">
        <v>3742</v>
      </c>
      <c r="I3" s="10"/>
      <c r="J3" s="6" t="s">
        <v>2257</v>
      </c>
      <c r="K3" s="6" t="s">
        <v>3</v>
      </c>
      <c r="L3" s="2">
        <v>43040</v>
      </c>
      <c r="M3" s="11">
        <f>DCPXX[[#This Row],[INV DOC DATE]]+30</f>
        <v>43070</v>
      </c>
      <c r="O3" s="13">
        <v>49812</v>
      </c>
      <c r="Q3" s="13">
        <f t="shared" si="0"/>
        <v>1920</v>
      </c>
      <c r="R3" s="13" t="str">
        <f ca="1">IF(TODAY() - DCPXX[INV DUE DATE]&lt;30, "Less than 30 days",IF(TODAY()-DCPXX[INV DUE DATE]&lt;60,"30-60 days","More than 60 days"))</f>
        <v>More than 60 days</v>
      </c>
      <c r="S3" s="6" t="s">
        <v>817</v>
      </c>
      <c r="U3" s="13" t="s">
        <v>3699</v>
      </c>
    </row>
    <row r="4" spans="1:21" x14ac:dyDescent="0.3">
      <c r="A4" s="6" t="s">
        <v>2166</v>
      </c>
      <c r="B4" s="6" t="s">
        <v>35</v>
      </c>
      <c r="D4" s="8"/>
      <c r="E4" s="13">
        <v>53456.4</v>
      </c>
      <c r="G4" s="6">
        <v>4506444293</v>
      </c>
      <c r="I4" s="10"/>
      <c r="J4" s="6" t="s">
        <v>2257</v>
      </c>
      <c r="K4" s="6" t="s">
        <v>3</v>
      </c>
      <c r="L4" s="11">
        <v>43070</v>
      </c>
      <c r="M4" s="11">
        <f>DCPXX[[#This Row],[INV DOC DATE]]+30</f>
        <v>43100</v>
      </c>
      <c r="O4" s="13">
        <v>51472.4</v>
      </c>
      <c r="Q4" s="13">
        <f t="shared" si="0"/>
        <v>1984</v>
      </c>
      <c r="R4" s="13" t="str">
        <f ca="1">IF(TODAY() - DCPXX[INV DUE DATE]&lt;30, "Less than 30 days",IF(TODAY()-DCPXX[INV DUE DATE]&lt;60,"30-60 days","More than 60 days"))</f>
        <v>More than 60 days</v>
      </c>
      <c r="S4" s="6" t="s">
        <v>817</v>
      </c>
      <c r="U4" s="13" t="s">
        <v>3699</v>
      </c>
    </row>
    <row r="5" spans="1:21" x14ac:dyDescent="0.3">
      <c r="A5" t="s">
        <v>2161</v>
      </c>
      <c r="B5" s="6" t="s">
        <v>3746</v>
      </c>
      <c r="D5" s="8"/>
      <c r="E5" s="7">
        <v>8680</v>
      </c>
      <c r="G5" s="6">
        <v>4506539882</v>
      </c>
      <c r="I5" s="10"/>
      <c r="J5" s="6" t="s">
        <v>2257</v>
      </c>
      <c r="K5" s="6" t="s">
        <v>3</v>
      </c>
      <c r="L5" s="2">
        <v>43101</v>
      </c>
      <c r="M5" s="11">
        <f>DCPXX[[#This Row],[INV DOC DATE]]+30</f>
        <v>43131</v>
      </c>
      <c r="Q5" s="13">
        <f t="shared" si="0"/>
        <v>8680</v>
      </c>
      <c r="R5" s="13" t="str">
        <f ca="1">IF(TODAY() - DCPXX[INV DUE DATE]&lt;30, "Less than 30 days",IF(TODAY()-DCPXX[INV DUE DATE]&lt;60,"30-60 days","More than 60 days"))</f>
        <v>More than 60 days</v>
      </c>
      <c r="S5" s="6" t="s">
        <v>817</v>
      </c>
      <c r="U5" s="13" t="s">
        <v>3699</v>
      </c>
    </row>
    <row r="6" spans="1:21" x14ac:dyDescent="0.3">
      <c r="A6" t="s">
        <v>2163</v>
      </c>
      <c r="B6" s="6" t="s">
        <v>35</v>
      </c>
      <c r="D6" s="8"/>
      <c r="E6" s="7">
        <v>-2396.15</v>
      </c>
      <c r="I6" s="10"/>
      <c r="L6" s="2">
        <v>43101</v>
      </c>
      <c r="M6" s="11">
        <f>DCPXX[[#This Row],[INV DOC DATE]]+30</f>
        <v>43131</v>
      </c>
      <c r="Q6" s="13">
        <f t="shared" si="0"/>
        <v>-2396.15</v>
      </c>
      <c r="R6" s="13" t="str">
        <f ca="1">IF(TODAY() - DCPXX[INV DUE DATE]&lt;30, "Less than 30 days",IF(TODAY()-DCPXX[INV DUE DATE]&lt;60,"30-60 days","More than 60 days"))</f>
        <v>More than 60 days</v>
      </c>
      <c r="S6" s="6" t="s">
        <v>817</v>
      </c>
      <c r="U6" s="13" t="s">
        <v>3699</v>
      </c>
    </row>
    <row r="7" spans="1:21" x14ac:dyDescent="0.3">
      <c r="A7" t="s">
        <v>2156</v>
      </c>
      <c r="B7" s="6" t="s">
        <v>3746</v>
      </c>
      <c r="D7" s="8"/>
      <c r="E7" s="7">
        <v>7840</v>
      </c>
      <c r="G7" s="6">
        <v>4506539882</v>
      </c>
      <c r="I7" s="10"/>
      <c r="J7" s="6" t="s">
        <v>2257</v>
      </c>
      <c r="K7" s="6" t="s">
        <v>3</v>
      </c>
      <c r="L7" s="2">
        <v>43132</v>
      </c>
      <c r="M7" s="11">
        <f>DCPXX[[#This Row],[INV DOC DATE]]+30</f>
        <v>43162</v>
      </c>
      <c r="Q7" s="13">
        <f t="shared" si="0"/>
        <v>7840</v>
      </c>
      <c r="R7" s="13" t="str">
        <f ca="1">IF(TODAY() - DCPXX[INV DUE DATE]&lt;30, "Less than 30 days",IF(TODAY()-DCPXX[INV DUE DATE]&lt;60,"30-60 days","More than 60 days"))</f>
        <v>More than 60 days</v>
      </c>
      <c r="S7" s="6" t="s">
        <v>817</v>
      </c>
      <c r="U7" s="13" t="s">
        <v>3699</v>
      </c>
    </row>
    <row r="8" spans="1:21" x14ac:dyDescent="0.3">
      <c r="A8" t="s">
        <v>2162</v>
      </c>
      <c r="D8" s="8"/>
      <c r="E8" s="7">
        <v>2520</v>
      </c>
      <c r="I8" s="10"/>
      <c r="L8" s="2">
        <v>43132</v>
      </c>
      <c r="M8" s="11">
        <f>DCPXX[[#This Row],[INV DOC DATE]]+30</f>
        <v>43162</v>
      </c>
      <c r="O8" s="13">
        <v>2520</v>
      </c>
      <c r="Q8" s="13">
        <f t="shared" si="0"/>
        <v>0</v>
      </c>
      <c r="R8" s="13" t="str">
        <f ca="1">IF(TODAY() - DCPXX[INV DUE DATE]&lt;30, "Less than 30 days",IF(TODAY()-DCPXX[INV DUE DATE]&lt;60,"30-60 days","More than 60 days"))</f>
        <v>More than 60 days</v>
      </c>
      <c r="S8" s="6" t="s">
        <v>817</v>
      </c>
      <c r="T8" s="44" t="s">
        <v>2229</v>
      </c>
      <c r="U8" s="13" t="s">
        <v>3699</v>
      </c>
    </row>
    <row r="9" spans="1:21" x14ac:dyDescent="0.3">
      <c r="A9" t="s">
        <v>2164</v>
      </c>
      <c r="D9" s="8"/>
      <c r="E9" s="7">
        <v>-2520</v>
      </c>
      <c r="I9" s="10"/>
      <c r="L9" s="2">
        <v>43132</v>
      </c>
      <c r="M9" s="11">
        <f>DCPXX[[#This Row],[INV DOC DATE]]+30</f>
        <v>43162</v>
      </c>
      <c r="O9" s="13">
        <v>-2520</v>
      </c>
      <c r="Q9" s="13">
        <f t="shared" si="0"/>
        <v>0</v>
      </c>
      <c r="R9" s="13" t="str">
        <f ca="1">IF(TODAY() - DCPXX[INV DUE DATE]&lt;30, "Less than 30 days",IF(TODAY()-DCPXX[INV DUE DATE]&lt;60,"30-60 days","More than 60 days"))</f>
        <v>More than 60 days</v>
      </c>
      <c r="S9" s="6" t="s">
        <v>817</v>
      </c>
      <c r="T9" s="44" t="s">
        <v>2229</v>
      </c>
      <c r="U9" s="13" t="s">
        <v>3699</v>
      </c>
    </row>
    <row r="10" spans="1:21" x14ac:dyDescent="0.3">
      <c r="A10" t="s">
        <v>2157</v>
      </c>
      <c r="B10" s="6" t="s">
        <v>3746</v>
      </c>
      <c r="D10" s="8"/>
      <c r="E10" s="7">
        <v>8680</v>
      </c>
      <c r="G10" s="6">
        <v>4506539882</v>
      </c>
      <c r="I10" s="10"/>
      <c r="J10" s="6" t="s">
        <v>2257</v>
      </c>
      <c r="K10" s="6" t="s">
        <v>3</v>
      </c>
      <c r="L10" s="2">
        <v>43160</v>
      </c>
      <c r="M10" s="11">
        <f>DCPXX[[#This Row],[INV DOC DATE]]+30</f>
        <v>43190</v>
      </c>
      <c r="Q10" s="13">
        <f t="shared" si="0"/>
        <v>8680</v>
      </c>
      <c r="R10" s="13" t="str">
        <f ca="1">IF(TODAY() - DCPXX[INV DUE DATE]&lt;30, "Less than 30 days",IF(TODAY()-DCPXX[INV DUE DATE]&lt;60,"30-60 days","More than 60 days"))</f>
        <v>More than 60 days</v>
      </c>
      <c r="S10" s="6" t="s">
        <v>817</v>
      </c>
      <c r="U10" s="13" t="s">
        <v>3699</v>
      </c>
    </row>
    <row r="11" spans="1:21" x14ac:dyDescent="0.3">
      <c r="A11" t="s">
        <v>2158</v>
      </c>
      <c r="B11" s="6" t="s">
        <v>3746</v>
      </c>
      <c r="D11" s="8"/>
      <c r="E11" s="7">
        <v>8400</v>
      </c>
      <c r="G11" s="6">
        <v>4506539882</v>
      </c>
      <c r="I11" s="10"/>
      <c r="J11" s="6" t="s">
        <v>2257</v>
      </c>
      <c r="K11" s="6" t="s">
        <v>3</v>
      </c>
      <c r="L11" s="2">
        <v>43191</v>
      </c>
      <c r="M11" s="11">
        <f>DCPXX[[#This Row],[INV DOC DATE]]+30</f>
        <v>43221</v>
      </c>
      <c r="Q11" s="13">
        <f t="shared" si="0"/>
        <v>8400</v>
      </c>
      <c r="R11" s="13" t="str">
        <f ca="1">IF(TODAY() - DCPXX[INV DUE DATE]&lt;30, "Less than 30 days",IF(TODAY()-DCPXX[INV DUE DATE]&lt;60,"30-60 days","More than 60 days"))</f>
        <v>More than 60 days</v>
      </c>
      <c r="S11" s="6" t="s">
        <v>817</v>
      </c>
      <c r="U11" s="13" t="s">
        <v>3699</v>
      </c>
    </row>
    <row r="12" spans="1:21" x14ac:dyDescent="0.3">
      <c r="A12" s="6" t="s">
        <v>36</v>
      </c>
      <c r="B12" s="6" t="s">
        <v>30</v>
      </c>
      <c r="C12" s="6" t="s">
        <v>6</v>
      </c>
      <c r="D12" s="8">
        <v>4301</v>
      </c>
      <c r="E12" s="9">
        <v>232.5</v>
      </c>
      <c r="H12" s="6">
        <v>194659</v>
      </c>
      <c r="I12" s="10" t="s">
        <v>293</v>
      </c>
      <c r="J12" s="6" t="s">
        <v>153</v>
      </c>
      <c r="K12" s="6" t="s">
        <v>3</v>
      </c>
      <c r="L12" s="11">
        <v>43221</v>
      </c>
      <c r="M12" s="11">
        <f>DCPXX[[#This Row],[INV DOC DATE]]+30</f>
        <v>43251</v>
      </c>
      <c r="N12" s="11">
        <v>43220</v>
      </c>
      <c r="O12" s="13">
        <v>232.5</v>
      </c>
      <c r="P12" s="11">
        <v>43255</v>
      </c>
      <c r="Q12" s="13">
        <f t="shared" si="0"/>
        <v>0</v>
      </c>
      <c r="R12" s="13" t="str">
        <f ca="1">IF(TODAY() - DCPXX[INV DUE DATE]&lt;30, "Less than 30 days",IF(TODAY()-DCPXX[INV DUE DATE]&lt;60,"30-60 days","More than 60 days"))</f>
        <v>30-60 days</v>
      </c>
      <c r="S12" s="6" t="s">
        <v>817</v>
      </c>
      <c r="T12" s="44" t="s">
        <v>2229</v>
      </c>
      <c r="U12" s="13" t="s">
        <v>3699</v>
      </c>
    </row>
    <row r="13" spans="1:21" x14ac:dyDescent="0.3">
      <c r="A13" s="6" t="s">
        <v>36</v>
      </c>
      <c r="B13" s="6" t="s">
        <v>30</v>
      </c>
      <c r="C13" s="6" t="s">
        <v>7</v>
      </c>
      <c r="D13" s="8">
        <v>4301</v>
      </c>
      <c r="E13" s="9">
        <v>232.5</v>
      </c>
      <c r="H13" s="6">
        <v>194659</v>
      </c>
      <c r="I13" s="10" t="s">
        <v>293</v>
      </c>
      <c r="J13" s="6" t="s">
        <v>154</v>
      </c>
      <c r="K13" s="6" t="s">
        <v>3</v>
      </c>
      <c r="L13" s="11">
        <v>43221</v>
      </c>
      <c r="M13" s="11">
        <f>DCPXX[[#This Row],[INV DOC DATE]]+30</f>
        <v>43251</v>
      </c>
      <c r="N13" s="11">
        <v>43220</v>
      </c>
      <c r="O13" s="13">
        <v>232.5</v>
      </c>
      <c r="P13" s="11">
        <v>43255</v>
      </c>
      <c r="Q13" s="13">
        <f t="shared" si="0"/>
        <v>0</v>
      </c>
      <c r="R13" s="13" t="str">
        <f ca="1">IF(TODAY() - DCPXX[INV DUE DATE]&lt;30, "Less than 30 days",IF(TODAY()-DCPXX[INV DUE DATE]&lt;60,"30-60 days","More than 60 days"))</f>
        <v>30-60 days</v>
      </c>
      <c r="S13" s="6" t="s">
        <v>817</v>
      </c>
      <c r="T13" s="44" t="s">
        <v>2229</v>
      </c>
      <c r="U13" s="13" t="s">
        <v>3699</v>
      </c>
    </row>
    <row r="14" spans="1:21" x14ac:dyDescent="0.3">
      <c r="A14" s="6" t="s">
        <v>36</v>
      </c>
      <c r="B14" s="6" t="s">
        <v>30</v>
      </c>
      <c r="C14" s="6" t="s">
        <v>8</v>
      </c>
      <c r="D14" s="8">
        <v>4301</v>
      </c>
      <c r="E14" s="9">
        <v>232.5</v>
      </c>
      <c r="H14" s="6">
        <v>194659</v>
      </c>
      <c r="I14" s="10" t="s">
        <v>293</v>
      </c>
      <c r="J14" s="6" t="s">
        <v>155</v>
      </c>
      <c r="K14" s="6" t="s">
        <v>3</v>
      </c>
      <c r="L14" s="11">
        <v>43221</v>
      </c>
      <c r="M14" s="11">
        <f>DCPXX[[#This Row],[INV DOC DATE]]+30</f>
        <v>43251</v>
      </c>
      <c r="N14" s="11">
        <v>43220</v>
      </c>
      <c r="O14" s="13">
        <v>232.5</v>
      </c>
      <c r="P14" s="11">
        <v>43255</v>
      </c>
      <c r="Q14" s="13">
        <f t="shared" si="0"/>
        <v>0</v>
      </c>
      <c r="R14" s="13" t="str">
        <f ca="1">IF(TODAY() - DCPXX[INV DUE DATE]&lt;30, "Less than 30 days",IF(TODAY()-DCPXX[INV DUE DATE]&lt;60,"30-60 days","More than 60 days"))</f>
        <v>30-60 days</v>
      </c>
      <c r="S14" s="6" t="s">
        <v>817</v>
      </c>
      <c r="T14" s="44" t="s">
        <v>2229</v>
      </c>
      <c r="U14" s="13" t="s">
        <v>3699</v>
      </c>
    </row>
    <row r="15" spans="1:21" x14ac:dyDescent="0.3">
      <c r="A15" s="6" t="s">
        <v>36</v>
      </c>
      <c r="B15" s="6" t="s">
        <v>30</v>
      </c>
      <c r="C15" s="6" t="s">
        <v>9</v>
      </c>
      <c r="D15" s="8">
        <v>4301</v>
      </c>
      <c r="E15" s="9">
        <v>232.5</v>
      </c>
      <c r="H15" s="6">
        <v>194659</v>
      </c>
      <c r="I15" s="10" t="s">
        <v>293</v>
      </c>
      <c r="J15" s="6" t="s">
        <v>156</v>
      </c>
      <c r="K15" s="6" t="s">
        <v>3</v>
      </c>
      <c r="L15" s="11">
        <v>43221</v>
      </c>
      <c r="M15" s="11">
        <f>DCPXX[[#This Row],[INV DOC DATE]]+30</f>
        <v>43251</v>
      </c>
      <c r="N15" s="11">
        <v>43220</v>
      </c>
      <c r="O15" s="13">
        <v>232.5</v>
      </c>
      <c r="P15" s="11">
        <v>43255</v>
      </c>
      <c r="Q15" s="13">
        <f t="shared" si="0"/>
        <v>0</v>
      </c>
      <c r="R15" s="13" t="str">
        <f ca="1">IF(TODAY() - DCPXX[INV DUE DATE]&lt;30, "Less than 30 days",IF(TODAY()-DCPXX[INV DUE DATE]&lt;60,"30-60 days","More than 60 days"))</f>
        <v>30-60 days</v>
      </c>
      <c r="S15" s="6" t="s">
        <v>817</v>
      </c>
      <c r="T15" s="44" t="s">
        <v>2229</v>
      </c>
      <c r="U15" s="13" t="s">
        <v>3699</v>
      </c>
    </row>
    <row r="16" spans="1:21" x14ac:dyDescent="0.3">
      <c r="A16" s="6" t="s">
        <v>36</v>
      </c>
      <c r="B16" s="6" t="s">
        <v>30</v>
      </c>
      <c r="C16" s="6" t="s">
        <v>10</v>
      </c>
      <c r="D16" s="8">
        <v>4301</v>
      </c>
      <c r="E16" s="9">
        <v>232.5</v>
      </c>
      <c r="H16" s="6">
        <v>194659</v>
      </c>
      <c r="I16" s="10" t="s">
        <v>293</v>
      </c>
      <c r="J16" s="6" t="s">
        <v>157</v>
      </c>
      <c r="K16" s="6" t="s">
        <v>3</v>
      </c>
      <c r="L16" s="11">
        <v>43221</v>
      </c>
      <c r="M16" s="11">
        <f>DCPXX[[#This Row],[INV DOC DATE]]+30</f>
        <v>43251</v>
      </c>
      <c r="N16" s="11">
        <v>43220</v>
      </c>
      <c r="O16" s="13">
        <v>232.5</v>
      </c>
      <c r="P16" s="11">
        <v>43255</v>
      </c>
      <c r="Q16" s="13">
        <f t="shared" si="0"/>
        <v>0</v>
      </c>
      <c r="R16" s="13" t="str">
        <f ca="1">IF(TODAY() - DCPXX[INV DUE DATE]&lt;30, "Less than 30 days",IF(TODAY()-DCPXX[INV DUE DATE]&lt;60,"30-60 days","More than 60 days"))</f>
        <v>30-60 days</v>
      </c>
      <c r="S16" s="6" t="s">
        <v>817</v>
      </c>
      <c r="T16" s="44" t="s">
        <v>2229</v>
      </c>
      <c r="U16" s="13" t="s">
        <v>3699</v>
      </c>
    </row>
    <row r="17" spans="1:21" x14ac:dyDescent="0.3">
      <c r="A17" s="6" t="s">
        <v>36</v>
      </c>
      <c r="B17" s="6" t="s">
        <v>30</v>
      </c>
      <c r="C17" s="6" t="s">
        <v>11</v>
      </c>
      <c r="D17" s="8">
        <v>4301</v>
      </c>
      <c r="E17" s="9">
        <v>232.5</v>
      </c>
      <c r="H17" s="6">
        <v>194659</v>
      </c>
      <c r="I17" s="10" t="s">
        <v>293</v>
      </c>
      <c r="J17" s="6" t="s">
        <v>158</v>
      </c>
      <c r="K17" s="6" t="s">
        <v>3</v>
      </c>
      <c r="L17" s="11">
        <v>43221</v>
      </c>
      <c r="M17" s="11">
        <f>DCPXX[[#This Row],[INV DOC DATE]]+30</f>
        <v>43251</v>
      </c>
      <c r="N17" s="11">
        <v>43220</v>
      </c>
      <c r="O17" s="13">
        <v>232.5</v>
      </c>
      <c r="P17" s="11">
        <v>43255</v>
      </c>
      <c r="Q17" s="13">
        <f t="shared" si="0"/>
        <v>0</v>
      </c>
      <c r="R17" s="13" t="str">
        <f ca="1">IF(TODAY() - DCPXX[INV DUE DATE]&lt;30, "Less than 30 days",IF(TODAY()-DCPXX[INV DUE DATE]&lt;60,"30-60 days","More than 60 days"))</f>
        <v>30-60 days</v>
      </c>
      <c r="S17" s="6" t="s">
        <v>817</v>
      </c>
      <c r="T17" s="44" t="s">
        <v>2229</v>
      </c>
      <c r="U17" s="13" t="s">
        <v>3699</v>
      </c>
    </row>
    <row r="18" spans="1:21" x14ac:dyDescent="0.3">
      <c r="A18" s="6" t="s">
        <v>36</v>
      </c>
      <c r="B18" s="6" t="s">
        <v>30</v>
      </c>
      <c r="C18" s="6" t="s">
        <v>12</v>
      </c>
      <c r="D18" s="8">
        <v>4301</v>
      </c>
      <c r="E18" s="9">
        <v>434</v>
      </c>
      <c r="H18" s="6">
        <v>194760</v>
      </c>
      <c r="I18" s="10" t="s">
        <v>293</v>
      </c>
      <c r="J18" s="6" t="s">
        <v>159</v>
      </c>
      <c r="K18" s="6" t="s">
        <v>3</v>
      </c>
      <c r="L18" s="11">
        <v>43221</v>
      </c>
      <c r="M18" s="11">
        <f>DCPXX[[#This Row],[INV DOC DATE]]+30</f>
        <v>43251</v>
      </c>
      <c r="N18" s="11">
        <v>43220</v>
      </c>
      <c r="O18" s="13">
        <v>434</v>
      </c>
      <c r="P18" s="11">
        <v>43255</v>
      </c>
      <c r="Q18" s="13">
        <f t="shared" si="0"/>
        <v>0</v>
      </c>
      <c r="R18" s="13" t="str">
        <f ca="1">IF(TODAY() - DCPXX[INV DUE DATE]&lt;30, "Less than 30 days",IF(TODAY()-DCPXX[INV DUE DATE]&lt;60,"30-60 days","More than 60 days"))</f>
        <v>30-60 days</v>
      </c>
      <c r="S18" s="6" t="s">
        <v>817</v>
      </c>
      <c r="T18" s="44" t="s">
        <v>2229</v>
      </c>
      <c r="U18" s="13" t="s">
        <v>3699</v>
      </c>
    </row>
    <row r="19" spans="1:21" x14ac:dyDescent="0.3">
      <c r="A19" s="6" t="s">
        <v>36</v>
      </c>
      <c r="B19" s="6" t="s">
        <v>30</v>
      </c>
      <c r="C19" s="6" t="s">
        <v>13</v>
      </c>
      <c r="D19" s="8">
        <v>4301</v>
      </c>
      <c r="E19" s="9">
        <v>434</v>
      </c>
      <c r="H19" s="6">
        <v>194760</v>
      </c>
      <c r="I19" s="10" t="s">
        <v>293</v>
      </c>
      <c r="J19" s="6" t="s">
        <v>160</v>
      </c>
      <c r="K19" s="6" t="s">
        <v>3</v>
      </c>
      <c r="L19" s="11">
        <v>43221</v>
      </c>
      <c r="M19" s="11">
        <f>DCPXX[[#This Row],[INV DOC DATE]]+30</f>
        <v>43251</v>
      </c>
      <c r="N19" s="11">
        <v>43220</v>
      </c>
      <c r="O19" s="13">
        <v>434</v>
      </c>
      <c r="P19" s="11">
        <v>43255</v>
      </c>
      <c r="Q19" s="13">
        <f t="shared" si="0"/>
        <v>0</v>
      </c>
      <c r="R19" s="13" t="str">
        <f ca="1">IF(TODAY() - DCPXX[INV DUE DATE]&lt;30, "Less than 30 days",IF(TODAY()-DCPXX[INV DUE DATE]&lt;60,"30-60 days","More than 60 days"))</f>
        <v>30-60 days</v>
      </c>
      <c r="S19" s="6" t="s">
        <v>817</v>
      </c>
      <c r="T19" s="44" t="s">
        <v>2229</v>
      </c>
      <c r="U19" s="13" t="s">
        <v>3699</v>
      </c>
    </row>
    <row r="20" spans="1:21" x14ac:dyDescent="0.3">
      <c r="A20" s="6" t="s">
        <v>36</v>
      </c>
      <c r="B20" s="6" t="s">
        <v>30</v>
      </c>
      <c r="C20" s="6" t="s">
        <v>14</v>
      </c>
      <c r="D20" s="8">
        <v>4301</v>
      </c>
      <c r="E20" s="9">
        <v>434</v>
      </c>
      <c r="H20" s="6">
        <v>194760</v>
      </c>
      <c r="I20" s="10" t="s">
        <v>293</v>
      </c>
      <c r="J20" s="6" t="s">
        <v>161</v>
      </c>
      <c r="K20" s="6" t="s">
        <v>3</v>
      </c>
      <c r="L20" s="11">
        <v>43221</v>
      </c>
      <c r="M20" s="11">
        <f>DCPXX[[#This Row],[INV DOC DATE]]+30</f>
        <v>43251</v>
      </c>
      <c r="N20" s="11">
        <v>43220</v>
      </c>
      <c r="O20" s="13">
        <v>434</v>
      </c>
      <c r="P20" s="11">
        <v>43255</v>
      </c>
      <c r="Q20" s="13">
        <f t="shared" si="0"/>
        <v>0</v>
      </c>
      <c r="R20" s="13" t="str">
        <f ca="1">IF(TODAY() - DCPXX[INV DUE DATE]&lt;30, "Less than 30 days",IF(TODAY()-DCPXX[INV DUE DATE]&lt;60,"30-60 days","More than 60 days"))</f>
        <v>30-60 days</v>
      </c>
      <c r="S20" s="6" t="s">
        <v>817</v>
      </c>
      <c r="T20" s="44" t="s">
        <v>2229</v>
      </c>
      <c r="U20" s="13" t="s">
        <v>3699</v>
      </c>
    </row>
    <row r="21" spans="1:21" x14ac:dyDescent="0.3">
      <c r="A21" s="6" t="s">
        <v>36</v>
      </c>
      <c r="B21" s="6" t="s">
        <v>30</v>
      </c>
      <c r="C21" s="6" t="s">
        <v>15</v>
      </c>
      <c r="D21" s="8">
        <v>4301</v>
      </c>
      <c r="E21" s="9">
        <v>434</v>
      </c>
      <c r="H21" s="6">
        <v>194760</v>
      </c>
      <c r="I21" s="10" t="s">
        <v>293</v>
      </c>
      <c r="J21" s="6" t="s">
        <v>162</v>
      </c>
      <c r="K21" s="6" t="s">
        <v>3</v>
      </c>
      <c r="L21" s="11">
        <v>43221</v>
      </c>
      <c r="M21" s="11">
        <f>DCPXX[[#This Row],[INV DOC DATE]]+30</f>
        <v>43251</v>
      </c>
      <c r="N21" s="11">
        <v>43220</v>
      </c>
      <c r="O21" s="13">
        <v>434</v>
      </c>
      <c r="P21" s="11">
        <v>43255</v>
      </c>
      <c r="Q21" s="13">
        <f t="shared" si="0"/>
        <v>0</v>
      </c>
      <c r="R21" s="13" t="str">
        <f ca="1">IF(TODAY() - DCPXX[INV DUE DATE]&lt;30, "Less than 30 days",IF(TODAY()-DCPXX[INV DUE DATE]&lt;60,"30-60 days","More than 60 days"))</f>
        <v>30-60 days</v>
      </c>
      <c r="S21" s="6" t="s">
        <v>817</v>
      </c>
      <c r="T21" s="44" t="s">
        <v>2229</v>
      </c>
      <c r="U21" s="13" t="s">
        <v>3699</v>
      </c>
    </row>
    <row r="22" spans="1:21" x14ac:dyDescent="0.3">
      <c r="A22" s="6" t="s">
        <v>36</v>
      </c>
      <c r="B22" s="6" t="s">
        <v>30</v>
      </c>
      <c r="C22" s="6" t="s">
        <v>16</v>
      </c>
      <c r="D22" s="8">
        <v>4301</v>
      </c>
      <c r="E22" s="9">
        <v>232.5</v>
      </c>
      <c r="H22" s="6">
        <v>194760</v>
      </c>
      <c r="I22" s="10" t="s">
        <v>293</v>
      </c>
      <c r="J22" s="6" t="s">
        <v>163</v>
      </c>
      <c r="K22" s="6" t="s">
        <v>3</v>
      </c>
      <c r="L22" s="11">
        <v>43221</v>
      </c>
      <c r="M22" s="11">
        <f>DCPXX[[#This Row],[INV DOC DATE]]+30</f>
        <v>43251</v>
      </c>
      <c r="N22" s="11">
        <v>43220</v>
      </c>
      <c r="O22" s="13">
        <v>232.5</v>
      </c>
      <c r="P22" s="11">
        <v>43255</v>
      </c>
      <c r="Q22" s="13">
        <f t="shared" si="0"/>
        <v>0</v>
      </c>
      <c r="R22" s="13" t="str">
        <f ca="1">IF(TODAY() - DCPXX[INV DUE DATE]&lt;30, "Less than 30 days",IF(TODAY()-DCPXX[INV DUE DATE]&lt;60,"30-60 days","More than 60 days"))</f>
        <v>30-60 days</v>
      </c>
      <c r="S22" s="6" t="s">
        <v>817</v>
      </c>
      <c r="T22" s="44" t="s">
        <v>2229</v>
      </c>
      <c r="U22" s="13" t="s">
        <v>3699</v>
      </c>
    </row>
    <row r="23" spans="1:21" x14ac:dyDescent="0.3">
      <c r="A23" s="6" t="s">
        <v>36</v>
      </c>
      <c r="B23" s="6" t="s">
        <v>30</v>
      </c>
      <c r="C23" s="6" t="s">
        <v>17</v>
      </c>
      <c r="D23" s="8">
        <v>4301</v>
      </c>
      <c r="E23" s="9">
        <v>232.5</v>
      </c>
      <c r="H23" s="6">
        <v>194760</v>
      </c>
      <c r="I23" s="10" t="s">
        <v>293</v>
      </c>
      <c r="J23" s="6" t="s">
        <v>164</v>
      </c>
      <c r="K23" s="6" t="s">
        <v>3</v>
      </c>
      <c r="L23" s="11">
        <v>43221</v>
      </c>
      <c r="M23" s="11">
        <f>DCPXX[[#This Row],[INV DOC DATE]]+30</f>
        <v>43251</v>
      </c>
      <c r="N23" s="11">
        <v>43220</v>
      </c>
      <c r="O23" s="13">
        <v>232.5</v>
      </c>
      <c r="P23" s="11">
        <v>43255</v>
      </c>
      <c r="Q23" s="13">
        <f t="shared" si="0"/>
        <v>0</v>
      </c>
      <c r="R23" s="13" t="str">
        <f ca="1">IF(TODAY() - DCPXX[INV DUE DATE]&lt;30, "Less than 30 days",IF(TODAY()-DCPXX[INV DUE DATE]&lt;60,"30-60 days","More than 60 days"))</f>
        <v>30-60 days</v>
      </c>
      <c r="S23" s="6" t="s">
        <v>817</v>
      </c>
      <c r="T23" s="44" t="s">
        <v>2229</v>
      </c>
      <c r="U23" s="13" t="s">
        <v>3699</v>
      </c>
    </row>
    <row r="24" spans="1:21" x14ac:dyDescent="0.3">
      <c r="A24" s="6" t="s">
        <v>36</v>
      </c>
      <c r="B24" s="6" t="s">
        <v>30</v>
      </c>
      <c r="C24" s="6" t="s">
        <v>18</v>
      </c>
      <c r="D24" s="8">
        <v>4301</v>
      </c>
      <c r="E24" s="9">
        <v>232.5</v>
      </c>
      <c r="H24" s="6">
        <v>194760</v>
      </c>
      <c r="I24" s="10" t="s">
        <v>293</v>
      </c>
      <c r="J24" s="6" t="s">
        <v>165</v>
      </c>
      <c r="K24" s="6" t="s">
        <v>3</v>
      </c>
      <c r="L24" s="11">
        <v>43221</v>
      </c>
      <c r="M24" s="11">
        <f>DCPXX[[#This Row],[INV DOC DATE]]+30</f>
        <v>43251</v>
      </c>
      <c r="N24" s="11">
        <v>43220</v>
      </c>
      <c r="O24" s="13">
        <v>232.5</v>
      </c>
      <c r="P24" s="11">
        <v>43255</v>
      </c>
      <c r="Q24" s="13">
        <f t="shared" si="0"/>
        <v>0</v>
      </c>
      <c r="R24" s="13" t="str">
        <f ca="1">IF(TODAY() - DCPXX[INV DUE DATE]&lt;30, "Less than 30 days",IF(TODAY()-DCPXX[INV DUE DATE]&lt;60,"30-60 days","More than 60 days"))</f>
        <v>30-60 days</v>
      </c>
      <c r="S24" s="6" t="s">
        <v>817</v>
      </c>
      <c r="T24" s="44" t="s">
        <v>2229</v>
      </c>
      <c r="U24" s="13" t="s">
        <v>3699</v>
      </c>
    </row>
    <row r="25" spans="1:21" x14ac:dyDescent="0.3">
      <c r="A25" s="6" t="s">
        <v>36</v>
      </c>
      <c r="B25" s="6" t="s">
        <v>30</v>
      </c>
      <c r="C25" s="6" t="s">
        <v>19</v>
      </c>
      <c r="D25" s="8">
        <v>4301</v>
      </c>
      <c r="E25" s="9">
        <v>434</v>
      </c>
      <c r="H25" s="6">
        <v>194760</v>
      </c>
      <c r="I25" s="10" t="s">
        <v>293</v>
      </c>
      <c r="J25" s="6" t="s">
        <v>166</v>
      </c>
      <c r="K25" s="6" t="s">
        <v>3</v>
      </c>
      <c r="L25" s="11">
        <v>43221</v>
      </c>
      <c r="M25" s="11">
        <f>DCPXX[[#This Row],[INV DOC DATE]]+30</f>
        <v>43251</v>
      </c>
      <c r="N25" s="11">
        <v>43220</v>
      </c>
      <c r="O25" s="13">
        <v>434</v>
      </c>
      <c r="P25" s="11">
        <v>43255</v>
      </c>
      <c r="Q25" s="13">
        <f t="shared" si="0"/>
        <v>0</v>
      </c>
      <c r="R25" s="13" t="str">
        <f ca="1">IF(TODAY() - DCPXX[INV DUE DATE]&lt;30, "Less than 30 days",IF(TODAY()-DCPXX[INV DUE DATE]&lt;60,"30-60 days","More than 60 days"))</f>
        <v>30-60 days</v>
      </c>
      <c r="S25" s="6" t="s">
        <v>817</v>
      </c>
      <c r="T25" s="44" t="s">
        <v>2229</v>
      </c>
      <c r="U25" s="13" t="s">
        <v>3699</v>
      </c>
    </row>
    <row r="26" spans="1:21" x14ac:dyDescent="0.3">
      <c r="A26" s="6" t="s">
        <v>36</v>
      </c>
      <c r="B26" s="6" t="s">
        <v>30</v>
      </c>
      <c r="C26" s="6" t="s">
        <v>20</v>
      </c>
      <c r="D26" s="8">
        <v>4301</v>
      </c>
      <c r="E26" s="9">
        <v>434</v>
      </c>
      <c r="H26" s="6">
        <v>194760</v>
      </c>
      <c r="I26" s="10" t="s">
        <v>293</v>
      </c>
      <c r="J26" s="6" t="s">
        <v>167</v>
      </c>
      <c r="K26" s="6" t="s">
        <v>3</v>
      </c>
      <c r="L26" s="11">
        <v>43221</v>
      </c>
      <c r="M26" s="11">
        <f>DCPXX[[#This Row],[INV DOC DATE]]+30</f>
        <v>43251</v>
      </c>
      <c r="N26" s="11">
        <v>43220</v>
      </c>
      <c r="O26" s="13">
        <v>434</v>
      </c>
      <c r="P26" s="11">
        <v>43255</v>
      </c>
      <c r="Q26" s="13">
        <f t="shared" si="0"/>
        <v>0</v>
      </c>
      <c r="R26" s="13" t="str">
        <f ca="1">IF(TODAY() - DCPXX[INV DUE DATE]&lt;30, "Less than 30 days",IF(TODAY()-DCPXX[INV DUE DATE]&lt;60,"30-60 days","More than 60 days"))</f>
        <v>30-60 days</v>
      </c>
      <c r="S26" s="6" t="s">
        <v>817</v>
      </c>
      <c r="T26" s="44" t="s">
        <v>2229</v>
      </c>
      <c r="U26" s="13" t="s">
        <v>3699</v>
      </c>
    </row>
    <row r="27" spans="1:21" x14ac:dyDescent="0.3">
      <c r="A27" s="6" t="s">
        <v>36</v>
      </c>
      <c r="B27" s="6" t="s">
        <v>30</v>
      </c>
      <c r="C27" s="6" t="s">
        <v>21</v>
      </c>
      <c r="D27" s="8">
        <v>4301</v>
      </c>
      <c r="E27" s="9">
        <v>434</v>
      </c>
      <c r="H27" s="6">
        <v>194760</v>
      </c>
      <c r="I27" s="10" t="s">
        <v>293</v>
      </c>
      <c r="J27" s="6" t="s">
        <v>168</v>
      </c>
      <c r="K27" s="6" t="s">
        <v>3</v>
      </c>
      <c r="L27" s="11">
        <v>43221</v>
      </c>
      <c r="M27" s="11">
        <f>DCPXX[[#This Row],[INV DOC DATE]]+30</f>
        <v>43251</v>
      </c>
      <c r="N27" s="11">
        <v>43220</v>
      </c>
      <c r="O27" s="13">
        <v>434</v>
      </c>
      <c r="P27" s="11">
        <v>43255</v>
      </c>
      <c r="Q27" s="13">
        <f t="shared" si="0"/>
        <v>0</v>
      </c>
      <c r="R27" s="13" t="str">
        <f ca="1">IF(TODAY() - DCPXX[INV DUE DATE]&lt;30, "Less than 30 days",IF(TODAY()-DCPXX[INV DUE DATE]&lt;60,"30-60 days","More than 60 days"))</f>
        <v>30-60 days</v>
      </c>
      <c r="S27" s="6" t="s">
        <v>817</v>
      </c>
      <c r="T27" s="44" t="s">
        <v>2229</v>
      </c>
      <c r="U27" s="13" t="s">
        <v>3699</v>
      </c>
    </row>
    <row r="28" spans="1:21" x14ac:dyDescent="0.3">
      <c r="A28" s="6" t="s">
        <v>36</v>
      </c>
      <c r="B28" s="6" t="s">
        <v>30</v>
      </c>
      <c r="C28" s="6" t="s">
        <v>22</v>
      </c>
      <c r="D28" s="8">
        <v>4301</v>
      </c>
      <c r="E28" s="9">
        <v>434</v>
      </c>
      <c r="H28" s="6">
        <v>194760</v>
      </c>
      <c r="I28" s="10" t="s">
        <v>293</v>
      </c>
      <c r="J28" s="6" t="s">
        <v>169</v>
      </c>
      <c r="K28" s="6" t="s">
        <v>3</v>
      </c>
      <c r="L28" s="11">
        <v>43221</v>
      </c>
      <c r="M28" s="11">
        <f>DCPXX[[#This Row],[INV DOC DATE]]+30</f>
        <v>43251</v>
      </c>
      <c r="N28" s="11">
        <v>43220</v>
      </c>
      <c r="O28" s="13">
        <v>434</v>
      </c>
      <c r="P28" s="11">
        <v>43255</v>
      </c>
      <c r="Q28" s="13">
        <f t="shared" si="0"/>
        <v>0</v>
      </c>
      <c r="R28" s="13" t="str">
        <f ca="1">IF(TODAY() - DCPXX[INV DUE DATE]&lt;30, "Less than 30 days",IF(TODAY()-DCPXX[INV DUE DATE]&lt;60,"30-60 days","More than 60 days"))</f>
        <v>30-60 days</v>
      </c>
      <c r="S28" s="6" t="s">
        <v>817</v>
      </c>
      <c r="T28" s="44" t="s">
        <v>2229</v>
      </c>
      <c r="U28" s="13" t="s">
        <v>3699</v>
      </c>
    </row>
    <row r="29" spans="1:21" x14ac:dyDescent="0.3">
      <c r="A29" s="6" t="s">
        <v>36</v>
      </c>
      <c r="B29" s="6" t="s">
        <v>30</v>
      </c>
      <c r="C29" s="6" t="s">
        <v>23</v>
      </c>
      <c r="D29" s="8">
        <v>4301</v>
      </c>
      <c r="E29" s="9">
        <v>434</v>
      </c>
      <c r="H29" s="6">
        <v>194760</v>
      </c>
      <c r="I29" s="10" t="s">
        <v>293</v>
      </c>
      <c r="J29" s="6" t="s">
        <v>170</v>
      </c>
      <c r="K29" s="6" t="s">
        <v>3</v>
      </c>
      <c r="L29" s="11">
        <v>43221</v>
      </c>
      <c r="M29" s="11">
        <f>DCPXX[[#This Row],[INV DOC DATE]]+30</f>
        <v>43251</v>
      </c>
      <c r="N29" s="11">
        <v>43220</v>
      </c>
      <c r="O29" s="13">
        <v>434</v>
      </c>
      <c r="P29" s="11">
        <v>43255</v>
      </c>
      <c r="Q29" s="13">
        <f t="shared" si="0"/>
        <v>0</v>
      </c>
      <c r="R29" s="13" t="str">
        <f ca="1">IF(TODAY() - DCPXX[INV DUE DATE]&lt;30, "Less than 30 days",IF(TODAY()-DCPXX[INV DUE DATE]&lt;60,"30-60 days","More than 60 days"))</f>
        <v>30-60 days</v>
      </c>
      <c r="S29" s="6" t="s">
        <v>817</v>
      </c>
      <c r="T29" s="44" t="s">
        <v>2229</v>
      </c>
      <c r="U29" s="13" t="s">
        <v>3699</v>
      </c>
    </row>
    <row r="30" spans="1:21" x14ac:dyDescent="0.3">
      <c r="A30" s="6" t="s">
        <v>36</v>
      </c>
      <c r="B30" s="6" t="s">
        <v>30</v>
      </c>
      <c r="C30" s="6" t="s">
        <v>24</v>
      </c>
      <c r="D30" s="8">
        <v>4301</v>
      </c>
      <c r="E30" s="9">
        <v>232.5</v>
      </c>
      <c r="H30" s="6">
        <v>194760</v>
      </c>
      <c r="I30" s="10" t="s">
        <v>293</v>
      </c>
      <c r="J30" s="6" t="s">
        <v>171</v>
      </c>
      <c r="K30" s="6" t="s">
        <v>3</v>
      </c>
      <c r="L30" s="11">
        <v>43221</v>
      </c>
      <c r="M30" s="11">
        <f>DCPXX[[#This Row],[INV DOC DATE]]+30</f>
        <v>43251</v>
      </c>
      <c r="N30" s="11">
        <v>43220</v>
      </c>
      <c r="O30" s="13">
        <v>232.5</v>
      </c>
      <c r="P30" s="11">
        <v>43255</v>
      </c>
      <c r="Q30" s="13">
        <f t="shared" si="0"/>
        <v>0</v>
      </c>
      <c r="R30" s="13" t="str">
        <f ca="1">IF(TODAY() - DCPXX[INV DUE DATE]&lt;30, "Less than 30 days",IF(TODAY()-DCPXX[INV DUE DATE]&lt;60,"30-60 days","More than 60 days"))</f>
        <v>30-60 days</v>
      </c>
      <c r="S30" s="6" t="s">
        <v>817</v>
      </c>
      <c r="T30" s="44" t="s">
        <v>2229</v>
      </c>
      <c r="U30" s="13" t="s">
        <v>3699</v>
      </c>
    </row>
    <row r="31" spans="1:21" x14ac:dyDescent="0.3">
      <c r="A31" s="6" t="s">
        <v>36</v>
      </c>
      <c r="B31" s="6" t="s">
        <v>30</v>
      </c>
      <c r="C31" s="6" t="s">
        <v>25</v>
      </c>
      <c r="D31" s="8">
        <v>4301</v>
      </c>
      <c r="E31" s="9">
        <v>232.5</v>
      </c>
      <c r="H31" s="6">
        <v>194760</v>
      </c>
      <c r="I31" s="10" t="s">
        <v>293</v>
      </c>
      <c r="J31" s="6" t="s">
        <v>172</v>
      </c>
      <c r="K31" s="6" t="s">
        <v>3</v>
      </c>
      <c r="L31" s="11">
        <v>43221</v>
      </c>
      <c r="M31" s="11">
        <f>DCPXX[[#This Row],[INV DOC DATE]]+30</f>
        <v>43251</v>
      </c>
      <c r="N31" s="11">
        <v>43220</v>
      </c>
      <c r="O31" s="13">
        <v>232.5</v>
      </c>
      <c r="P31" s="11">
        <v>43255</v>
      </c>
      <c r="Q31" s="13">
        <f t="shared" si="0"/>
        <v>0</v>
      </c>
      <c r="R31" s="13" t="str">
        <f ca="1">IF(TODAY() - DCPXX[INV DUE DATE]&lt;30, "Less than 30 days",IF(TODAY()-DCPXX[INV DUE DATE]&lt;60,"30-60 days","More than 60 days"))</f>
        <v>30-60 days</v>
      </c>
      <c r="S31" s="6" t="s">
        <v>817</v>
      </c>
      <c r="T31" s="44" t="s">
        <v>2229</v>
      </c>
      <c r="U31" s="13" t="s">
        <v>3699</v>
      </c>
    </row>
    <row r="32" spans="1:21" x14ac:dyDescent="0.3">
      <c r="A32" s="6" t="s">
        <v>36</v>
      </c>
      <c r="B32" s="6" t="s">
        <v>30</v>
      </c>
      <c r="C32" s="6" t="s">
        <v>26</v>
      </c>
      <c r="D32" s="8">
        <v>4301</v>
      </c>
      <c r="E32" s="9">
        <v>232.5</v>
      </c>
      <c r="H32" s="6">
        <v>194760</v>
      </c>
      <c r="I32" s="10" t="s">
        <v>293</v>
      </c>
      <c r="J32" s="6" t="s">
        <v>173</v>
      </c>
      <c r="K32" s="6" t="s">
        <v>3</v>
      </c>
      <c r="L32" s="11">
        <v>43221</v>
      </c>
      <c r="M32" s="11">
        <f>DCPXX[[#This Row],[INV DOC DATE]]+30</f>
        <v>43251</v>
      </c>
      <c r="N32" s="11">
        <v>43220</v>
      </c>
      <c r="O32" s="13">
        <v>232.5</v>
      </c>
      <c r="P32" s="11">
        <v>43255</v>
      </c>
      <c r="Q32" s="13">
        <f t="shared" si="0"/>
        <v>0</v>
      </c>
      <c r="R32" s="13" t="str">
        <f ca="1">IF(TODAY() - DCPXX[INV DUE DATE]&lt;30, "Less than 30 days",IF(TODAY()-DCPXX[INV DUE DATE]&lt;60,"30-60 days","More than 60 days"))</f>
        <v>30-60 days</v>
      </c>
      <c r="S32" s="6" t="s">
        <v>817</v>
      </c>
      <c r="T32" s="44" t="s">
        <v>2229</v>
      </c>
      <c r="U32" s="13" t="s">
        <v>3699</v>
      </c>
    </row>
    <row r="33" spans="1:21" x14ac:dyDescent="0.3">
      <c r="A33" s="6" t="s">
        <v>36</v>
      </c>
      <c r="B33" s="6" t="s">
        <v>30</v>
      </c>
      <c r="C33" s="6" t="s">
        <v>27</v>
      </c>
      <c r="D33" s="8">
        <v>4301</v>
      </c>
      <c r="E33" s="9">
        <v>232.5</v>
      </c>
      <c r="H33" s="6">
        <v>194760</v>
      </c>
      <c r="I33" s="10" t="s">
        <v>293</v>
      </c>
      <c r="J33" s="6" t="s">
        <v>174</v>
      </c>
      <c r="K33" s="6" t="s">
        <v>3</v>
      </c>
      <c r="L33" s="11">
        <v>43221</v>
      </c>
      <c r="M33" s="11">
        <f>DCPXX[[#This Row],[INV DOC DATE]]+30</f>
        <v>43251</v>
      </c>
      <c r="N33" s="11">
        <v>43220</v>
      </c>
      <c r="O33" s="13">
        <v>232.5</v>
      </c>
      <c r="P33" s="11">
        <v>43255</v>
      </c>
      <c r="Q33" s="13">
        <f t="shared" si="0"/>
        <v>0</v>
      </c>
      <c r="R33" s="13" t="str">
        <f ca="1">IF(TODAY() - DCPXX[INV DUE DATE]&lt;30, "Less than 30 days",IF(TODAY()-DCPXX[INV DUE DATE]&lt;60,"30-60 days","More than 60 days"))</f>
        <v>30-60 days</v>
      </c>
      <c r="S33" s="6" t="s">
        <v>817</v>
      </c>
      <c r="T33" s="44" t="s">
        <v>2229</v>
      </c>
      <c r="U33" s="13" t="s">
        <v>3699</v>
      </c>
    </row>
    <row r="34" spans="1:21" x14ac:dyDescent="0.3">
      <c r="A34" s="6" t="s">
        <v>36</v>
      </c>
      <c r="B34" s="6" t="s">
        <v>30</v>
      </c>
      <c r="C34" s="6" t="s">
        <v>28</v>
      </c>
      <c r="D34" s="8">
        <v>4301</v>
      </c>
      <c r="E34" s="9">
        <v>232.5</v>
      </c>
      <c r="H34" s="6">
        <v>194664</v>
      </c>
      <c r="I34" s="10" t="s">
        <v>293</v>
      </c>
      <c r="J34" s="6" t="s">
        <v>175</v>
      </c>
      <c r="K34" s="6" t="s">
        <v>3</v>
      </c>
      <c r="L34" s="11">
        <v>43221</v>
      </c>
      <c r="M34" s="11">
        <f>DCPXX[[#This Row],[INV DOC DATE]]+30</f>
        <v>43251</v>
      </c>
      <c r="N34" s="11">
        <v>43220</v>
      </c>
      <c r="O34" s="13">
        <v>232.5</v>
      </c>
      <c r="P34" s="11">
        <v>43255</v>
      </c>
      <c r="Q34" s="13">
        <f t="shared" si="0"/>
        <v>0</v>
      </c>
      <c r="R34" s="13" t="str">
        <f ca="1">IF(TODAY() - DCPXX[INV DUE DATE]&lt;30, "Less than 30 days",IF(TODAY()-DCPXX[INV DUE DATE]&lt;60,"30-60 days","More than 60 days"))</f>
        <v>30-60 days</v>
      </c>
      <c r="S34" s="6" t="s">
        <v>817</v>
      </c>
      <c r="T34" s="44" t="s">
        <v>2229</v>
      </c>
      <c r="U34" s="13" t="s">
        <v>3699</v>
      </c>
    </row>
    <row r="35" spans="1:21" x14ac:dyDescent="0.3">
      <c r="A35" s="6" t="s">
        <v>36</v>
      </c>
      <c r="B35" s="6" t="s">
        <v>30</v>
      </c>
      <c r="C35" s="6" t="s">
        <v>37</v>
      </c>
      <c r="D35" s="8">
        <v>4301</v>
      </c>
      <c r="E35" s="9">
        <v>232.5</v>
      </c>
      <c r="H35" s="6">
        <v>194664</v>
      </c>
      <c r="I35" s="10" t="s">
        <v>293</v>
      </c>
      <c r="J35" s="6" t="s">
        <v>176</v>
      </c>
      <c r="K35" s="6" t="s">
        <v>3</v>
      </c>
      <c r="L35" s="11">
        <v>43221</v>
      </c>
      <c r="M35" s="11">
        <f>DCPXX[[#This Row],[INV DOC DATE]]+30</f>
        <v>43251</v>
      </c>
      <c r="N35" s="11">
        <v>43220</v>
      </c>
      <c r="O35" s="13">
        <v>232.5</v>
      </c>
      <c r="P35" s="11">
        <v>43255</v>
      </c>
      <c r="Q35" s="13">
        <f t="shared" si="0"/>
        <v>0</v>
      </c>
      <c r="R35" s="13" t="str">
        <f ca="1">IF(TODAY() - DCPXX[INV DUE DATE]&lt;30, "Less than 30 days",IF(TODAY()-DCPXX[INV DUE DATE]&lt;60,"30-60 days","More than 60 days"))</f>
        <v>30-60 days</v>
      </c>
      <c r="S35" s="6" t="s">
        <v>817</v>
      </c>
      <c r="T35" s="44" t="s">
        <v>2229</v>
      </c>
      <c r="U35" s="13" t="s">
        <v>3699</v>
      </c>
    </row>
    <row r="36" spans="1:21" x14ac:dyDescent="0.3">
      <c r="A36" s="6" t="s">
        <v>36</v>
      </c>
      <c r="B36" s="6" t="s">
        <v>30</v>
      </c>
      <c r="C36" s="6" t="s">
        <v>38</v>
      </c>
      <c r="D36" s="8">
        <v>4301</v>
      </c>
      <c r="E36" s="9">
        <v>232.5</v>
      </c>
      <c r="H36" s="6">
        <v>194664</v>
      </c>
      <c r="I36" s="10" t="s">
        <v>293</v>
      </c>
      <c r="J36" s="6" t="s">
        <v>177</v>
      </c>
      <c r="K36" s="6" t="s">
        <v>3</v>
      </c>
      <c r="L36" s="11">
        <v>43221</v>
      </c>
      <c r="M36" s="11">
        <f>DCPXX[[#This Row],[INV DOC DATE]]+30</f>
        <v>43251</v>
      </c>
      <c r="N36" s="11">
        <v>43220</v>
      </c>
      <c r="O36" s="13">
        <v>232.5</v>
      </c>
      <c r="P36" s="11">
        <v>43255</v>
      </c>
      <c r="Q36" s="13">
        <f t="shared" si="0"/>
        <v>0</v>
      </c>
      <c r="R36" s="13" t="str">
        <f ca="1">IF(TODAY() - DCPXX[INV DUE DATE]&lt;30, "Less than 30 days",IF(TODAY()-DCPXX[INV DUE DATE]&lt;60,"30-60 days","More than 60 days"))</f>
        <v>30-60 days</v>
      </c>
      <c r="S36" s="6" t="s">
        <v>817</v>
      </c>
      <c r="T36" s="44" t="s">
        <v>2229</v>
      </c>
      <c r="U36" s="13" t="s">
        <v>3699</v>
      </c>
    </row>
    <row r="37" spans="1:21" x14ac:dyDescent="0.3">
      <c r="A37" s="6" t="s">
        <v>36</v>
      </c>
      <c r="B37" s="6" t="s">
        <v>30</v>
      </c>
      <c r="C37" s="6" t="s">
        <v>39</v>
      </c>
      <c r="D37" s="8">
        <v>4301</v>
      </c>
      <c r="E37" s="9">
        <v>232.5</v>
      </c>
      <c r="H37" s="6">
        <v>194664</v>
      </c>
      <c r="I37" s="10" t="s">
        <v>293</v>
      </c>
      <c r="J37" s="6" t="s">
        <v>178</v>
      </c>
      <c r="K37" s="6" t="s">
        <v>3</v>
      </c>
      <c r="L37" s="11">
        <v>43221</v>
      </c>
      <c r="M37" s="11">
        <f>DCPXX[[#This Row],[INV DOC DATE]]+30</f>
        <v>43251</v>
      </c>
      <c r="N37" s="11">
        <v>43220</v>
      </c>
      <c r="O37" s="13">
        <v>232.5</v>
      </c>
      <c r="P37" s="11">
        <v>43255</v>
      </c>
      <c r="Q37" s="13">
        <f t="shared" si="0"/>
        <v>0</v>
      </c>
      <c r="R37" s="13" t="str">
        <f ca="1">IF(TODAY() - DCPXX[INV DUE DATE]&lt;30, "Less than 30 days",IF(TODAY()-DCPXX[INV DUE DATE]&lt;60,"30-60 days","More than 60 days"))</f>
        <v>30-60 days</v>
      </c>
      <c r="S37" s="6" t="s">
        <v>817</v>
      </c>
      <c r="T37" s="44" t="s">
        <v>2229</v>
      </c>
      <c r="U37" s="13" t="s">
        <v>3699</v>
      </c>
    </row>
    <row r="38" spans="1:21" x14ac:dyDescent="0.3">
      <c r="A38" s="6" t="s">
        <v>36</v>
      </c>
      <c r="B38" s="6" t="s">
        <v>30</v>
      </c>
      <c r="C38" s="6" t="s">
        <v>40</v>
      </c>
      <c r="D38" s="8">
        <v>4301</v>
      </c>
      <c r="E38" s="9">
        <v>232.5</v>
      </c>
      <c r="H38" s="6">
        <v>194664</v>
      </c>
      <c r="I38" s="10" t="s">
        <v>293</v>
      </c>
      <c r="J38" s="6" t="s">
        <v>179</v>
      </c>
      <c r="K38" s="6" t="s">
        <v>3</v>
      </c>
      <c r="L38" s="11">
        <v>43221</v>
      </c>
      <c r="M38" s="11">
        <f>DCPXX[[#This Row],[INV DOC DATE]]+30</f>
        <v>43251</v>
      </c>
      <c r="N38" s="11">
        <v>43220</v>
      </c>
      <c r="O38" s="13">
        <v>232.5</v>
      </c>
      <c r="P38" s="11">
        <v>43255</v>
      </c>
      <c r="Q38" s="13">
        <f t="shared" si="0"/>
        <v>0</v>
      </c>
      <c r="R38" s="13" t="str">
        <f ca="1">IF(TODAY() - DCPXX[INV DUE DATE]&lt;30, "Less than 30 days",IF(TODAY()-DCPXX[INV DUE DATE]&lt;60,"30-60 days","More than 60 days"))</f>
        <v>30-60 days</v>
      </c>
      <c r="S38" s="6" t="s">
        <v>817</v>
      </c>
      <c r="T38" s="44" t="s">
        <v>2229</v>
      </c>
      <c r="U38" s="13" t="s">
        <v>3699</v>
      </c>
    </row>
    <row r="39" spans="1:21" x14ac:dyDescent="0.3">
      <c r="A39" s="6" t="s">
        <v>36</v>
      </c>
      <c r="B39" s="6" t="s">
        <v>30</v>
      </c>
      <c r="C39" s="6" t="s">
        <v>41</v>
      </c>
      <c r="D39" s="8">
        <v>4301</v>
      </c>
      <c r="E39" s="9">
        <v>232.5</v>
      </c>
      <c r="H39" s="6">
        <v>194664</v>
      </c>
      <c r="I39" s="10" t="s">
        <v>293</v>
      </c>
      <c r="J39" s="6" t="s">
        <v>180</v>
      </c>
      <c r="K39" s="6" t="s">
        <v>3</v>
      </c>
      <c r="L39" s="11">
        <v>43221</v>
      </c>
      <c r="M39" s="11">
        <f>DCPXX[[#This Row],[INV DOC DATE]]+30</f>
        <v>43251</v>
      </c>
      <c r="N39" s="11">
        <v>43220</v>
      </c>
      <c r="O39" s="13">
        <v>232.5</v>
      </c>
      <c r="P39" s="11">
        <v>43255</v>
      </c>
      <c r="Q39" s="13">
        <f t="shared" si="0"/>
        <v>0</v>
      </c>
      <c r="R39" s="13" t="str">
        <f ca="1">IF(TODAY() - DCPXX[INV DUE DATE]&lt;30, "Less than 30 days",IF(TODAY()-DCPXX[INV DUE DATE]&lt;60,"30-60 days","More than 60 days"))</f>
        <v>30-60 days</v>
      </c>
      <c r="S39" s="6" t="s">
        <v>817</v>
      </c>
      <c r="T39" s="44" t="s">
        <v>2229</v>
      </c>
      <c r="U39" s="13" t="s">
        <v>3699</v>
      </c>
    </row>
    <row r="40" spans="1:21" x14ac:dyDescent="0.3">
      <c r="A40" s="6" t="s">
        <v>36</v>
      </c>
      <c r="B40" s="6" t="s">
        <v>30</v>
      </c>
      <c r="C40" s="6" t="s">
        <v>42</v>
      </c>
      <c r="D40" s="8">
        <v>4301</v>
      </c>
      <c r="E40" s="9">
        <v>232.5</v>
      </c>
      <c r="H40" s="6">
        <v>194664</v>
      </c>
      <c r="I40" s="10" t="s">
        <v>293</v>
      </c>
      <c r="J40" s="6" t="s">
        <v>181</v>
      </c>
      <c r="K40" s="6" t="s">
        <v>3</v>
      </c>
      <c r="L40" s="11">
        <v>43221</v>
      </c>
      <c r="M40" s="11">
        <f>DCPXX[[#This Row],[INV DOC DATE]]+30</f>
        <v>43251</v>
      </c>
      <c r="N40" s="11">
        <v>43220</v>
      </c>
      <c r="O40" s="13">
        <v>232.5</v>
      </c>
      <c r="P40" s="11">
        <v>43255</v>
      </c>
      <c r="Q40" s="13">
        <f t="shared" si="0"/>
        <v>0</v>
      </c>
      <c r="R40" s="13" t="str">
        <f ca="1">IF(TODAY() - DCPXX[INV DUE DATE]&lt;30, "Less than 30 days",IF(TODAY()-DCPXX[INV DUE DATE]&lt;60,"30-60 days","More than 60 days"))</f>
        <v>30-60 days</v>
      </c>
      <c r="S40" s="6" t="s">
        <v>817</v>
      </c>
      <c r="T40" s="44" t="s">
        <v>2229</v>
      </c>
      <c r="U40" s="13" t="s">
        <v>3699</v>
      </c>
    </row>
    <row r="41" spans="1:21" x14ac:dyDescent="0.3">
      <c r="A41" s="6" t="s">
        <v>36</v>
      </c>
      <c r="B41" s="6" t="s">
        <v>30</v>
      </c>
      <c r="C41" s="6" t="s">
        <v>43</v>
      </c>
      <c r="D41" s="8">
        <v>4301</v>
      </c>
      <c r="E41" s="9">
        <v>232.5</v>
      </c>
      <c r="H41" s="6">
        <v>194664</v>
      </c>
      <c r="I41" s="10" t="s">
        <v>293</v>
      </c>
      <c r="J41" s="6" t="s">
        <v>182</v>
      </c>
      <c r="K41" s="6" t="s">
        <v>3</v>
      </c>
      <c r="L41" s="11">
        <v>43221</v>
      </c>
      <c r="M41" s="11">
        <f>DCPXX[[#This Row],[INV DOC DATE]]+30</f>
        <v>43251</v>
      </c>
      <c r="N41" s="11">
        <v>43220</v>
      </c>
      <c r="O41" s="13">
        <v>232.5</v>
      </c>
      <c r="P41" s="11">
        <v>43255</v>
      </c>
      <c r="Q41" s="13">
        <f t="shared" si="0"/>
        <v>0</v>
      </c>
      <c r="R41" s="13" t="str">
        <f ca="1">IF(TODAY() - DCPXX[INV DUE DATE]&lt;30, "Less than 30 days",IF(TODAY()-DCPXX[INV DUE DATE]&lt;60,"30-60 days","More than 60 days"))</f>
        <v>30-60 days</v>
      </c>
      <c r="S41" s="6" t="s">
        <v>817</v>
      </c>
      <c r="T41" s="44" t="s">
        <v>2229</v>
      </c>
      <c r="U41" s="13" t="s">
        <v>3699</v>
      </c>
    </row>
    <row r="42" spans="1:21" x14ac:dyDescent="0.3">
      <c r="A42" s="6" t="s">
        <v>36</v>
      </c>
      <c r="B42" s="6" t="s">
        <v>30</v>
      </c>
      <c r="C42" s="6" t="s">
        <v>44</v>
      </c>
      <c r="D42" s="8">
        <v>4301</v>
      </c>
      <c r="E42" s="9">
        <v>178.25</v>
      </c>
      <c r="H42" s="6">
        <v>194841</v>
      </c>
      <c r="I42" s="10" t="s">
        <v>293</v>
      </c>
      <c r="J42" s="6" t="s">
        <v>183</v>
      </c>
      <c r="K42" s="6" t="s">
        <v>3</v>
      </c>
      <c r="L42" s="11">
        <v>43221</v>
      </c>
      <c r="M42" s="11">
        <f>DCPXX[[#This Row],[INV DOC DATE]]+30</f>
        <v>43251</v>
      </c>
      <c r="N42" s="11">
        <v>43220</v>
      </c>
      <c r="O42" s="13">
        <v>178.25</v>
      </c>
      <c r="P42" s="11">
        <v>43255</v>
      </c>
      <c r="Q42" s="13">
        <f t="shared" si="0"/>
        <v>0</v>
      </c>
      <c r="R42" s="13" t="str">
        <f ca="1">IF(TODAY() - DCPXX[INV DUE DATE]&lt;30, "Less than 30 days",IF(TODAY()-DCPXX[INV DUE DATE]&lt;60,"30-60 days","More than 60 days"))</f>
        <v>30-60 days</v>
      </c>
      <c r="S42" s="6" t="s">
        <v>817</v>
      </c>
      <c r="T42" s="44" t="s">
        <v>2229</v>
      </c>
      <c r="U42" s="13" t="s">
        <v>3699</v>
      </c>
    </row>
    <row r="43" spans="1:21" x14ac:dyDescent="0.3">
      <c r="A43" s="6" t="s">
        <v>36</v>
      </c>
      <c r="B43" s="6" t="s">
        <v>30</v>
      </c>
      <c r="C43" s="6" t="s">
        <v>45</v>
      </c>
      <c r="D43" s="8">
        <v>4301</v>
      </c>
      <c r="E43" s="9">
        <v>178.25</v>
      </c>
      <c r="H43" s="6">
        <v>194841</v>
      </c>
      <c r="I43" s="10" t="s">
        <v>293</v>
      </c>
      <c r="J43" s="6" t="s">
        <v>184</v>
      </c>
      <c r="K43" s="6" t="s">
        <v>3</v>
      </c>
      <c r="L43" s="11">
        <v>43221</v>
      </c>
      <c r="M43" s="11">
        <f>DCPXX[[#This Row],[INV DOC DATE]]+30</f>
        <v>43251</v>
      </c>
      <c r="N43" s="11">
        <v>43220</v>
      </c>
      <c r="O43" s="13">
        <v>178.25</v>
      </c>
      <c r="P43" s="11">
        <v>43255</v>
      </c>
      <c r="Q43" s="13">
        <f t="shared" si="0"/>
        <v>0</v>
      </c>
      <c r="R43" s="13" t="str">
        <f ca="1">IF(TODAY() - DCPXX[INV DUE DATE]&lt;30, "Less than 30 days",IF(TODAY()-DCPXX[INV DUE DATE]&lt;60,"30-60 days","More than 60 days"))</f>
        <v>30-60 days</v>
      </c>
      <c r="S43" s="6" t="s">
        <v>817</v>
      </c>
      <c r="T43" s="44" t="s">
        <v>2229</v>
      </c>
      <c r="U43" s="13" t="s">
        <v>3699</v>
      </c>
    </row>
    <row r="44" spans="1:21" x14ac:dyDescent="0.3">
      <c r="A44" s="6" t="s">
        <v>36</v>
      </c>
      <c r="B44" s="6" t="s">
        <v>30</v>
      </c>
      <c r="C44" s="6" t="s">
        <v>46</v>
      </c>
      <c r="D44" s="8">
        <v>4301</v>
      </c>
      <c r="E44" s="9">
        <v>178.25</v>
      </c>
      <c r="H44" s="6">
        <v>194841</v>
      </c>
      <c r="I44" s="10" t="s">
        <v>293</v>
      </c>
      <c r="J44" s="6" t="s">
        <v>185</v>
      </c>
      <c r="K44" s="6" t="s">
        <v>3</v>
      </c>
      <c r="L44" s="11">
        <v>43221</v>
      </c>
      <c r="M44" s="11">
        <f>DCPXX[[#This Row],[INV DOC DATE]]+30</f>
        <v>43251</v>
      </c>
      <c r="N44" s="11">
        <v>43220</v>
      </c>
      <c r="O44" s="13">
        <v>178.25</v>
      </c>
      <c r="P44" s="11">
        <v>43255</v>
      </c>
      <c r="Q44" s="13">
        <f t="shared" si="0"/>
        <v>0</v>
      </c>
      <c r="R44" s="13" t="str">
        <f ca="1">IF(TODAY() - DCPXX[INV DUE DATE]&lt;30, "Less than 30 days",IF(TODAY()-DCPXX[INV DUE DATE]&lt;60,"30-60 days","More than 60 days"))</f>
        <v>30-60 days</v>
      </c>
      <c r="S44" s="6" t="s">
        <v>817</v>
      </c>
      <c r="T44" s="44" t="s">
        <v>2229</v>
      </c>
      <c r="U44" s="13" t="s">
        <v>3699</v>
      </c>
    </row>
    <row r="45" spans="1:21" x14ac:dyDescent="0.3">
      <c r="A45" s="6" t="s">
        <v>36</v>
      </c>
      <c r="B45" s="6" t="s">
        <v>30</v>
      </c>
      <c r="C45" s="6" t="s">
        <v>47</v>
      </c>
      <c r="D45" s="8">
        <v>4301</v>
      </c>
      <c r="E45" s="9">
        <v>178.25</v>
      </c>
      <c r="H45" s="6">
        <v>194841</v>
      </c>
      <c r="I45" s="10" t="s">
        <v>293</v>
      </c>
      <c r="J45" s="6" t="s">
        <v>186</v>
      </c>
      <c r="K45" s="6" t="s">
        <v>3</v>
      </c>
      <c r="L45" s="11">
        <v>43221</v>
      </c>
      <c r="M45" s="11">
        <f>DCPXX[[#This Row],[INV DOC DATE]]+30</f>
        <v>43251</v>
      </c>
      <c r="N45" s="11">
        <v>43220</v>
      </c>
      <c r="O45" s="13">
        <v>178.25</v>
      </c>
      <c r="P45" s="11">
        <v>43255</v>
      </c>
      <c r="Q45" s="13">
        <f t="shared" si="0"/>
        <v>0</v>
      </c>
      <c r="R45" s="13" t="str">
        <f ca="1">IF(TODAY() - DCPXX[INV DUE DATE]&lt;30, "Less than 30 days",IF(TODAY()-DCPXX[INV DUE DATE]&lt;60,"30-60 days","More than 60 days"))</f>
        <v>30-60 days</v>
      </c>
      <c r="S45" s="6" t="s">
        <v>817</v>
      </c>
      <c r="T45" s="44" t="s">
        <v>2229</v>
      </c>
      <c r="U45" s="13" t="s">
        <v>3699</v>
      </c>
    </row>
    <row r="46" spans="1:21" x14ac:dyDescent="0.3">
      <c r="A46" s="6" t="s">
        <v>36</v>
      </c>
      <c r="B46" s="6" t="s">
        <v>30</v>
      </c>
      <c r="C46" s="6" t="s">
        <v>48</v>
      </c>
      <c r="D46" s="8">
        <v>4301</v>
      </c>
      <c r="E46" s="9">
        <v>178.25</v>
      </c>
      <c r="H46" s="6">
        <v>194841</v>
      </c>
      <c r="I46" s="10" t="s">
        <v>293</v>
      </c>
      <c r="J46" s="6" t="s">
        <v>187</v>
      </c>
      <c r="K46" s="6" t="s">
        <v>3</v>
      </c>
      <c r="L46" s="11">
        <v>43221</v>
      </c>
      <c r="M46" s="11">
        <f>DCPXX[[#This Row],[INV DOC DATE]]+30</f>
        <v>43251</v>
      </c>
      <c r="N46" s="11">
        <v>43220</v>
      </c>
      <c r="O46" s="13">
        <v>178.25</v>
      </c>
      <c r="P46" s="11">
        <v>43255</v>
      </c>
      <c r="Q46" s="13">
        <f t="shared" si="0"/>
        <v>0</v>
      </c>
      <c r="R46" s="13" t="str">
        <f ca="1">IF(TODAY() - DCPXX[INV DUE DATE]&lt;30, "Less than 30 days",IF(TODAY()-DCPXX[INV DUE DATE]&lt;60,"30-60 days","More than 60 days"))</f>
        <v>30-60 days</v>
      </c>
      <c r="S46" s="6" t="s">
        <v>817</v>
      </c>
      <c r="T46" s="44" t="s">
        <v>2229</v>
      </c>
      <c r="U46" s="13" t="s">
        <v>3699</v>
      </c>
    </row>
    <row r="47" spans="1:21" x14ac:dyDescent="0.3">
      <c r="A47" s="6" t="s">
        <v>36</v>
      </c>
      <c r="B47" s="6" t="s">
        <v>30</v>
      </c>
      <c r="C47" s="6" t="s">
        <v>49</v>
      </c>
      <c r="D47" s="8">
        <v>4301</v>
      </c>
      <c r="E47" s="9">
        <v>178.25</v>
      </c>
      <c r="H47" s="6">
        <v>194841</v>
      </c>
      <c r="I47" s="10" t="s">
        <v>293</v>
      </c>
      <c r="J47" s="6" t="s">
        <v>188</v>
      </c>
      <c r="K47" s="6" t="s">
        <v>3</v>
      </c>
      <c r="L47" s="11">
        <v>43221</v>
      </c>
      <c r="M47" s="11">
        <f>DCPXX[[#This Row],[INV DOC DATE]]+30</f>
        <v>43251</v>
      </c>
      <c r="N47" s="11">
        <v>43220</v>
      </c>
      <c r="O47" s="13">
        <v>178.25</v>
      </c>
      <c r="P47" s="11">
        <v>43255</v>
      </c>
      <c r="Q47" s="13">
        <f t="shared" si="0"/>
        <v>0</v>
      </c>
      <c r="R47" s="13" t="str">
        <f ca="1">IF(TODAY() - DCPXX[INV DUE DATE]&lt;30, "Less than 30 days",IF(TODAY()-DCPXX[INV DUE DATE]&lt;60,"30-60 days","More than 60 days"))</f>
        <v>30-60 days</v>
      </c>
      <c r="S47" s="6" t="s">
        <v>817</v>
      </c>
      <c r="T47" s="44" t="s">
        <v>2229</v>
      </c>
      <c r="U47" s="13" t="s">
        <v>3699</v>
      </c>
    </row>
    <row r="48" spans="1:21" x14ac:dyDescent="0.3">
      <c r="A48" s="6" t="s">
        <v>36</v>
      </c>
      <c r="B48" s="6" t="s">
        <v>30</v>
      </c>
      <c r="C48" s="6" t="s">
        <v>50</v>
      </c>
      <c r="D48" s="8">
        <v>4301</v>
      </c>
      <c r="E48" s="9">
        <v>178.25</v>
      </c>
      <c r="H48" s="6">
        <v>194841</v>
      </c>
      <c r="I48" s="10" t="s">
        <v>293</v>
      </c>
      <c r="J48" s="6" t="s">
        <v>189</v>
      </c>
      <c r="K48" s="6" t="s">
        <v>3</v>
      </c>
      <c r="L48" s="11">
        <v>43221</v>
      </c>
      <c r="M48" s="11">
        <f>DCPXX[[#This Row],[INV DOC DATE]]+30</f>
        <v>43251</v>
      </c>
      <c r="N48" s="11">
        <v>43220</v>
      </c>
      <c r="O48" s="13">
        <v>178.25</v>
      </c>
      <c r="P48" s="11">
        <v>43255</v>
      </c>
      <c r="Q48" s="13">
        <f t="shared" si="0"/>
        <v>0</v>
      </c>
      <c r="R48" s="13" t="str">
        <f ca="1">IF(TODAY() - DCPXX[INV DUE DATE]&lt;30, "Less than 30 days",IF(TODAY()-DCPXX[INV DUE DATE]&lt;60,"30-60 days","More than 60 days"))</f>
        <v>30-60 days</v>
      </c>
      <c r="S48" s="6" t="s">
        <v>817</v>
      </c>
      <c r="T48" s="44" t="s">
        <v>2229</v>
      </c>
      <c r="U48" s="13" t="s">
        <v>3699</v>
      </c>
    </row>
    <row r="49" spans="1:21" x14ac:dyDescent="0.3">
      <c r="A49" s="6" t="s">
        <v>36</v>
      </c>
      <c r="B49" s="6" t="s">
        <v>30</v>
      </c>
      <c r="C49" s="6" t="s">
        <v>51</v>
      </c>
      <c r="D49" s="8">
        <v>4301</v>
      </c>
      <c r="E49" s="9">
        <v>178.25</v>
      </c>
      <c r="H49" s="6">
        <v>194841</v>
      </c>
      <c r="I49" s="10" t="s">
        <v>293</v>
      </c>
      <c r="J49" s="6" t="s">
        <v>190</v>
      </c>
      <c r="K49" s="6" t="s">
        <v>3</v>
      </c>
      <c r="L49" s="11">
        <v>43221</v>
      </c>
      <c r="M49" s="11">
        <f>DCPXX[[#This Row],[INV DOC DATE]]+30</f>
        <v>43251</v>
      </c>
      <c r="N49" s="11">
        <v>43220</v>
      </c>
      <c r="O49" s="13">
        <v>178.25</v>
      </c>
      <c r="P49" s="11">
        <v>43255</v>
      </c>
      <c r="Q49" s="13">
        <f t="shared" si="0"/>
        <v>0</v>
      </c>
      <c r="R49" s="13" t="str">
        <f ca="1">IF(TODAY() - DCPXX[INV DUE DATE]&lt;30, "Less than 30 days",IF(TODAY()-DCPXX[INV DUE DATE]&lt;60,"30-60 days","More than 60 days"))</f>
        <v>30-60 days</v>
      </c>
      <c r="S49" s="6" t="s">
        <v>817</v>
      </c>
      <c r="T49" s="44" t="s">
        <v>2229</v>
      </c>
      <c r="U49" s="13" t="s">
        <v>3699</v>
      </c>
    </row>
    <row r="50" spans="1:21" x14ac:dyDescent="0.3">
      <c r="A50" s="6" t="s">
        <v>36</v>
      </c>
      <c r="B50" s="6" t="s">
        <v>30</v>
      </c>
      <c r="C50" s="6" t="s">
        <v>52</v>
      </c>
      <c r="D50" s="8">
        <v>4301</v>
      </c>
      <c r="E50" s="9">
        <v>178.25</v>
      </c>
      <c r="H50" s="6">
        <v>194841</v>
      </c>
      <c r="I50" s="10" t="s">
        <v>293</v>
      </c>
      <c r="J50" s="6" t="s">
        <v>191</v>
      </c>
      <c r="K50" s="6" t="s">
        <v>3</v>
      </c>
      <c r="L50" s="11">
        <v>43221</v>
      </c>
      <c r="M50" s="11">
        <f>DCPXX[[#This Row],[INV DOC DATE]]+30</f>
        <v>43251</v>
      </c>
      <c r="N50" s="11">
        <v>43220</v>
      </c>
      <c r="O50" s="13">
        <v>178.25</v>
      </c>
      <c r="P50" s="11">
        <v>43255</v>
      </c>
      <c r="Q50" s="13">
        <f t="shared" si="0"/>
        <v>0</v>
      </c>
      <c r="R50" s="13" t="str">
        <f ca="1">IF(TODAY() - DCPXX[INV DUE DATE]&lt;30, "Less than 30 days",IF(TODAY()-DCPXX[INV DUE DATE]&lt;60,"30-60 days","More than 60 days"))</f>
        <v>30-60 days</v>
      </c>
      <c r="S50" s="6" t="s">
        <v>817</v>
      </c>
      <c r="T50" s="44" t="s">
        <v>2229</v>
      </c>
      <c r="U50" s="13" t="s">
        <v>3699</v>
      </c>
    </row>
    <row r="51" spans="1:21" x14ac:dyDescent="0.3">
      <c r="A51" s="6" t="s">
        <v>36</v>
      </c>
      <c r="B51" s="6" t="s">
        <v>30</v>
      </c>
      <c r="C51" s="6" t="s">
        <v>53</v>
      </c>
      <c r="D51" s="8">
        <v>4301</v>
      </c>
      <c r="E51" s="9">
        <v>178.25</v>
      </c>
      <c r="H51" s="6">
        <v>194841</v>
      </c>
      <c r="I51" s="10" t="s">
        <v>293</v>
      </c>
      <c r="J51" s="6" t="s">
        <v>192</v>
      </c>
      <c r="K51" s="6" t="s">
        <v>3</v>
      </c>
      <c r="L51" s="11">
        <v>43221</v>
      </c>
      <c r="M51" s="11">
        <f>DCPXX[[#This Row],[INV DOC DATE]]+30</f>
        <v>43251</v>
      </c>
      <c r="N51" s="11">
        <v>43220</v>
      </c>
      <c r="O51" s="13">
        <v>178.25</v>
      </c>
      <c r="P51" s="11">
        <v>43255</v>
      </c>
      <c r="Q51" s="13">
        <f t="shared" si="0"/>
        <v>0</v>
      </c>
      <c r="R51" s="13" t="str">
        <f ca="1">IF(TODAY() - DCPXX[INV DUE DATE]&lt;30, "Less than 30 days",IF(TODAY()-DCPXX[INV DUE DATE]&lt;60,"30-60 days","More than 60 days"))</f>
        <v>30-60 days</v>
      </c>
      <c r="S51" s="6" t="s">
        <v>817</v>
      </c>
      <c r="T51" s="44" t="s">
        <v>2229</v>
      </c>
      <c r="U51" s="13" t="s">
        <v>3699</v>
      </c>
    </row>
    <row r="52" spans="1:21" x14ac:dyDescent="0.3">
      <c r="A52" s="6" t="s">
        <v>36</v>
      </c>
      <c r="B52" s="6" t="s">
        <v>30</v>
      </c>
      <c r="C52" s="6" t="s">
        <v>54</v>
      </c>
      <c r="D52" s="8">
        <v>4301</v>
      </c>
      <c r="E52" s="9">
        <v>178.25</v>
      </c>
      <c r="H52" s="6">
        <v>194841</v>
      </c>
      <c r="I52" s="10" t="s">
        <v>293</v>
      </c>
      <c r="J52" s="6" t="s">
        <v>193</v>
      </c>
      <c r="K52" s="6" t="s">
        <v>3</v>
      </c>
      <c r="L52" s="11">
        <v>43221</v>
      </c>
      <c r="M52" s="11">
        <f>DCPXX[[#This Row],[INV DOC DATE]]+30</f>
        <v>43251</v>
      </c>
      <c r="N52" s="11">
        <v>43220</v>
      </c>
      <c r="O52" s="13">
        <v>178.25</v>
      </c>
      <c r="P52" s="11">
        <v>43255</v>
      </c>
      <c r="Q52" s="13">
        <f t="shared" si="0"/>
        <v>0</v>
      </c>
      <c r="R52" s="13" t="str">
        <f ca="1">IF(TODAY() - DCPXX[INV DUE DATE]&lt;30, "Less than 30 days",IF(TODAY()-DCPXX[INV DUE DATE]&lt;60,"30-60 days","More than 60 days"))</f>
        <v>30-60 days</v>
      </c>
      <c r="S52" s="6" t="s">
        <v>817</v>
      </c>
      <c r="T52" s="44" t="s">
        <v>2229</v>
      </c>
      <c r="U52" s="13" t="s">
        <v>3699</v>
      </c>
    </row>
    <row r="53" spans="1:21" x14ac:dyDescent="0.3">
      <c r="A53" s="6" t="s">
        <v>36</v>
      </c>
      <c r="B53" s="6" t="s">
        <v>30</v>
      </c>
      <c r="C53" s="6" t="s">
        <v>55</v>
      </c>
      <c r="D53" s="8">
        <v>4301</v>
      </c>
      <c r="E53" s="9">
        <v>178.25</v>
      </c>
      <c r="H53" s="6">
        <v>194841</v>
      </c>
      <c r="I53" s="10" t="s">
        <v>293</v>
      </c>
      <c r="J53" s="6" t="s">
        <v>194</v>
      </c>
      <c r="K53" s="6" t="s">
        <v>3</v>
      </c>
      <c r="L53" s="11">
        <v>43221</v>
      </c>
      <c r="M53" s="11">
        <f>DCPXX[[#This Row],[INV DOC DATE]]+30</f>
        <v>43251</v>
      </c>
      <c r="N53" s="11">
        <v>43220</v>
      </c>
      <c r="O53" s="13">
        <v>178.25</v>
      </c>
      <c r="P53" s="11">
        <v>43255</v>
      </c>
      <c r="Q53" s="13">
        <f t="shared" si="0"/>
        <v>0</v>
      </c>
      <c r="R53" s="13" t="str">
        <f ca="1">IF(TODAY() - DCPXX[INV DUE DATE]&lt;30, "Less than 30 days",IF(TODAY()-DCPXX[INV DUE DATE]&lt;60,"30-60 days","More than 60 days"))</f>
        <v>30-60 days</v>
      </c>
      <c r="S53" s="6" t="s">
        <v>817</v>
      </c>
      <c r="T53" s="44" t="s">
        <v>2229</v>
      </c>
      <c r="U53" s="13" t="s">
        <v>3699</v>
      </c>
    </row>
    <row r="54" spans="1:21" x14ac:dyDescent="0.3">
      <c r="A54" s="6" t="s">
        <v>36</v>
      </c>
      <c r="B54" s="6" t="s">
        <v>30</v>
      </c>
      <c r="C54" s="6" t="s">
        <v>56</v>
      </c>
      <c r="D54" s="8">
        <v>4301</v>
      </c>
      <c r="E54" s="9">
        <v>178.25</v>
      </c>
      <c r="H54" s="6">
        <v>194841</v>
      </c>
      <c r="I54" s="10" t="s">
        <v>293</v>
      </c>
      <c r="J54" s="6" t="s">
        <v>195</v>
      </c>
      <c r="K54" s="6" t="s">
        <v>3</v>
      </c>
      <c r="L54" s="11">
        <v>43221</v>
      </c>
      <c r="M54" s="11">
        <f>DCPXX[[#This Row],[INV DOC DATE]]+30</f>
        <v>43251</v>
      </c>
      <c r="N54" s="11">
        <v>43220</v>
      </c>
      <c r="O54" s="13">
        <v>178.25</v>
      </c>
      <c r="P54" s="11">
        <v>43255</v>
      </c>
      <c r="Q54" s="13">
        <f t="shared" si="0"/>
        <v>0</v>
      </c>
      <c r="R54" s="13" t="str">
        <f ca="1">IF(TODAY() - DCPXX[INV DUE DATE]&lt;30, "Less than 30 days",IF(TODAY()-DCPXX[INV DUE DATE]&lt;60,"30-60 days","More than 60 days"))</f>
        <v>30-60 days</v>
      </c>
      <c r="S54" s="6" t="s">
        <v>817</v>
      </c>
      <c r="T54" s="44" t="s">
        <v>2229</v>
      </c>
      <c r="U54" s="13" t="s">
        <v>3699</v>
      </c>
    </row>
    <row r="55" spans="1:21" x14ac:dyDescent="0.3">
      <c r="A55" s="6" t="s">
        <v>36</v>
      </c>
      <c r="B55" s="6" t="s">
        <v>30</v>
      </c>
      <c r="C55" s="6" t="s">
        <v>57</v>
      </c>
      <c r="D55" s="8">
        <v>4301</v>
      </c>
      <c r="E55" s="9">
        <v>178.25</v>
      </c>
      <c r="H55" s="6">
        <v>194841</v>
      </c>
      <c r="I55" s="10" t="s">
        <v>293</v>
      </c>
      <c r="J55" s="6" t="s">
        <v>196</v>
      </c>
      <c r="K55" s="6" t="s">
        <v>3</v>
      </c>
      <c r="L55" s="11">
        <v>43221</v>
      </c>
      <c r="M55" s="11">
        <f>DCPXX[[#This Row],[INV DOC DATE]]+30</f>
        <v>43251</v>
      </c>
      <c r="N55" s="11">
        <v>43220</v>
      </c>
      <c r="O55" s="13">
        <v>178.25</v>
      </c>
      <c r="P55" s="11">
        <v>43255</v>
      </c>
      <c r="Q55" s="13">
        <f t="shared" si="0"/>
        <v>0</v>
      </c>
      <c r="R55" s="13" t="str">
        <f ca="1">IF(TODAY() - DCPXX[INV DUE DATE]&lt;30, "Less than 30 days",IF(TODAY()-DCPXX[INV DUE DATE]&lt;60,"30-60 days","More than 60 days"))</f>
        <v>30-60 days</v>
      </c>
      <c r="S55" s="6" t="s">
        <v>817</v>
      </c>
      <c r="T55" s="44" t="s">
        <v>2229</v>
      </c>
      <c r="U55" s="13" t="s">
        <v>3699</v>
      </c>
    </row>
    <row r="56" spans="1:21" x14ac:dyDescent="0.3">
      <c r="A56" s="6" t="s">
        <v>36</v>
      </c>
      <c r="B56" s="6" t="s">
        <v>30</v>
      </c>
      <c r="C56" s="6" t="s">
        <v>58</v>
      </c>
      <c r="D56" s="8">
        <v>4301</v>
      </c>
      <c r="E56" s="9">
        <v>434</v>
      </c>
      <c r="H56" s="6">
        <v>194663</v>
      </c>
      <c r="I56" s="10" t="s">
        <v>293</v>
      </c>
      <c r="J56" s="6" t="s">
        <v>197</v>
      </c>
      <c r="K56" s="6" t="s">
        <v>3</v>
      </c>
      <c r="L56" s="11">
        <v>43221</v>
      </c>
      <c r="M56" s="11">
        <f>DCPXX[[#This Row],[INV DOC DATE]]+30</f>
        <v>43251</v>
      </c>
      <c r="N56" s="11">
        <v>43220</v>
      </c>
      <c r="O56" s="13">
        <v>434</v>
      </c>
      <c r="P56" s="11">
        <v>43255</v>
      </c>
      <c r="Q56" s="13">
        <f t="shared" si="0"/>
        <v>0</v>
      </c>
      <c r="R56" s="13" t="str">
        <f ca="1">IF(TODAY() - DCPXX[INV DUE DATE]&lt;30, "Less than 30 days",IF(TODAY()-DCPXX[INV DUE DATE]&lt;60,"30-60 days","More than 60 days"))</f>
        <v>30-60 days</v>
      </c>
      <c r="S56" s="6" t="s">
        <v>817</v>
      </c>
      <c r="T56" s="44" t="s">
        <v>2229</v>
      </c>
      <c r="U56" s="13" t="s">
        <v>3699</v>
      </c>
    </row>
    <row r="57" spans="1:21" x14ac:dyDescent="0.3">
      <c r="A57" s="6" t="s">
        <v>36</v>
      </c>
      <c r="B57" s="6" t="s">
        <v>30</v>
      </c>
      <c r="C57" s="6" t="s">
        <v>59</v>
      </c>
      <c r="D57" s="8">
        <v>4301</v>
      </c>
      <c r="E57" s="9">
        <v>434</v>
      </c>
      <c r="H57" s="6">
        <v>194663</v>
      </c>
      <c r="I57" s="10" t="s">
        <v>293</v>
      </c>
      <c r="J57" s="6" t="s">
        <v>198</v>
      </c>
      <c r="K57" s="6" t="s">
        <v>3</v>
      </c>
      <c r="L57" s="11">
        <v>43221</v>
      </c>
      <c r="M57" s="11">
        <f>DCPXX[[#This Row],[INV DOC DATE]]+30</f>
        <v>43251</v>
      </c>
      <c r="N57" s="11">
        <v>43220</v>
      </c>
      <c r="O57" s="13">
        <v>434</v>
      </c>
      <c r="P57" s="11">
        <v>43255</v>
      </c>
      <c r="Q57" s="13">
        <f t="shared" si="0"/>
        <v>0</v>
      </c>
      <c r="R57" s="13" t="str">
        <f ca="1">IF(TODAY() - DCPXX[INV DUE DATE]&lt;30, "Less than 30 days",IF(TODAY()-DCPXX[INV DUE DATE]&lt;60,"30-60 days","More than 60 days"))</f>
        <v>30-60 days</v>
      </c>
      <c r="S57" s="6" t="s">
        <v>817</v>
      </c>
      <c r="T57" s="44" t="s">
        <v>2229</v>
      </c>
      <c r="U57" s="13" t="s">
        <v>3699</v>
      </c>
    </row>
    <row r="58" spans="1:21" x14ac:dyDescent="0.3">
      <c r="A58" s="6" t="s">
        <v>36</v>
      </c>
      <c r="B58" s="6" t="s">
        <v>30</v>
      </c>
      <c r="C58" s="6" t="s">
        <v>60</v>
      </c>
      <c r="D58" s="8">
        <v>4301</v>
      </c>
      <c r="E58" s="9">
        <v>434</v>
      </c>
      <c r="H58" s="6">
        <v>194663</v>
      </c>
      <c r="I58" s="10" t="s">
        <v>293</v>
      </c>
      <c r="J58" s="6" t="s">
        <v>199</v>
      </c>
      <c r="K58" s="6" t="s">
        <v>3</v>
      </c>
      <c r="L58" s="11">
        <v>43221</v>
      </c>
      <c r="M58" s="11">
        <f>DCPXX[[#This Row],[INV DOC DATE]]+30</f>
        <v>43251</v>
      </c>
      <c r="N58" s="11">
        <v>43220</v>
      </c>
      <c r="O58" s="13">
        <v>434</v>
      </c>
      <c r="P58" s="11">
        <v>43255</v>
      </c>
      <c r="Q58" s="13">
        <f t="shared" si="0"/>
        <v>0</v>
      </c>
      <c r="R58" s="13" t="str">
        <f ca="1">IF(TODAY() - DCPXX[INV DUE DATE]&lt;30, "Less than 30 days",IF(TODAY()-DCPXX[INV DUE DATE]&lt;60,"30-60 days","More than 60 days"))</f>
        <v>30-60 days</v>
      </c>
      <c r="S58" s="6" t="s">
        <v>817</v>
      </c>
      <c r="T58" s="44" t="s">
        <v>2229</v>
      </c>
      <c r="U58" s="13" t="s">
        <v>3699</v>
      </c>
    </row>
    <row r="59" spans="1:21" x14ac:dyDescent="0.3">
      <c r="A59" s="6" t="s">
        <v>36</v>
      </c>
      <c r="B59" s="6" t="s">
        <v>30</v>
      </c>
      <c r="C59" s="6" t="s">
        <v>61</v>
      </c>
      <c r="D59" s="8">
        <v>4301</v>
      </c>
      <c r="E59" s="9">
        <v>434</v>
      </c>
      <c r="H59" s="6">
        <v>194663</v>
      </c>
      <c r="I59" s="10" t="s">
        <v>293</v>
      </c>
      <c r="J59" s="6" t="s">
        <v>200</v>
      </c>
      <c r="K59" s="6" t="s">
        <v>3</v>
      </c>
      <c r="L59" s="11">
        <v>43221</v>
      </c>
      <c r="M59" s="11">
        <f>DCPXX[[#This Row],[INV DOC DATE]]+30</f>
        <v>43251</v>
      </c>
      <c r="N59" s="11">
        <v>43220</v>
      </c>
      <c r="O59" s="13">
        <v>434</v>
      </c>
      <c r="P59" s="11">
        <v>43255</v>
      </c>
      <c r="Q59" s="13">
        <f t="shared" si="0"/>
        <v>0</v>
      </c>
      <c r="R59" s="13" t="str">
        <f ca="1">IF(TODAY() - DCPXX[INV DUE DATE]&lt;30, "Less than 30 days",IF(TODAY()-DCPXX[INV DUE DATE]&lt;60,"30-60 days","More than 60 days"))</f>
        <v>30-60 days</v>
      </c>
      <c r="S59" s="6" t="s">
        <v>817</v>
      </c>
      <c r="T59" s="44" t="s">
        <v>2229</v>
      </c>
      <c r="U59" s="13" t="s">
        <v>3699</v>
      </c>
    </row>
    <row r="60" spans="1:21" x14ac:dyDescent="0.3">
      <c r="A60" s="6" t="s">
        <v>36</v>
      </c>
      <c r="B60" s="6" t="s">
        <v>30</v>
      </c>
      <c r="C60" s="6" t="s">
        <v>62</v>
      </c>
      <c r="D60" s="8">
        <v>4301</v>
      </c>
      <c r="E60" s="9">
        <v>434</v>
      </c>
      <c r="H60" s="6">
        <v>194663</v>
      </c>
      <c r="I60" s="10" t="s">
        <v>293</v>
      </c>
      <c r="J60" s="6" t="s">
        <v>201</v>
      </c>
      <c r="K60" s="6" t="s">
        <v>3</v>
      </c>
      <c r="L60" s="11">
        <v>43221</v>
      </c>
      <c r="M60" s="11">
        <f>DCPXX[[#This Row],[INV DOC DATE]]+30</f>
        <v>43251</v>
      </c>
      <c r="N60" s="11">
        <v>43220</v>
      </c>
      <c r="O60" s="13">
        <v>434</v>
      </c>
      <c r="P60" s="11">
        <v>43255</v>
      </c>
      <c r="Q60" s="13">
        <f t="shared" si="0"/>
        <v>0</v>
      </c>
      <c r="R60" s="13" t="str">
        <f ca="1">IF(TODAY() - DCPXX[INV DUE DATE]&lt;30, "Less than 30 days",IF(TODAY()-DCPXX[INV DUE DATE]&lt;60,"30-60 days","More than 60 days"))</f>
        <v>30-60 days</v>
      </c>
      <c r="S60" s="6" t="s">
        <v>817</v>
      </c>
      <c r="T60" s="44" t="s">
        <v>2229</v>
      </c>
      <c r="U60" s="13" t="s">
        <v>3699</v>
      </c>
    </row>
    <row r="61" spans="1:21" x14ac:dyDescent="0.3">
      <c r="A61" s="6" t="s">
        <v>36</v>
      </c>
      <c r="B61" s="6" t="s">
        <v>30</v>
      </c>
      <c r="C61" s="6" t="s">
        <v>63</v>
      </c>
      <c r="D61" s="8">
        <v>4301</v>
      </c>
      <c r="E61" s="9">
        <v>232.5</v>
      </c>
      <c r="H61" s="6">
        <v>194663</v>
      </c>
      <c r="I61" s="10" t="s">
        <v>293</v>
      </c>
      <c r="J61" s="6" t="s">
        <v>202</v>
      </c>
      <c r="K61" s="6" t="s">
        <v>3</v>
      </c>
      <c r="L61" s="11">
        <v>43221</v>
      </c>
      <c r="M61" s="11">
        <f>DCPXX[[#This Row],[INV DOC DATE]]+30</f>
        <v>43251</v>
      </c>
      <c r="N61" s="11">
        <v>43220</v>
      </c>
      <c r="O61" s="13">
        <v>232.5</v>
      </c>
      <c r="P61" s="11">
        <v>43255</v>
      </c>
      <c r="Q61" s="13">
        <f t="shared" si="0"/>
        <v>0</v>
      </c>
      <c r="R61" s="13" t="str">
        <f ca="1">IF(TODAY() - DCPXX[INV DUE DATE]&lt;30, "Less than 30 days",IF(TODAY()-DCPXX[INV DUE DATE]&lt;60,"30-60 days","More than 60 days"))</f>
        <v>30-60 days</v>
      </c>
      <c r="S61" s="6" t="s">
        <v>817</v>
      </c>
      <c r="T61" s="44" t="s">
        <v>2229</v>
      </c>
      <c r="U61" s="13" t="s">
        <v>3699</v>
      </c>
    </row>
    <row r="62" spans="1:21" x14ac:dyDescent="0.3">
      <c r="A62" s="6" t="s">
        <v>36</v>
      </c>
      <c r="B62" s="6" t="s">
        <v>30</v>
      </c>
      <c r="C62" s="6" t="s">
        <v>64</v>
      </c>
      <c r="D62" s="8">
        <v>4301</v>
      </c>
      <c r="E62" s="9">
        <v>232.5</v>
      </c>
      <c r="H62" s="6">
        <v>194663</v>
      </c>
      <c r="I62" s="10" t="s">
        <v>293</v>
      </c>
      <c r="J62" s="6" t="s">
        <v>203</v>
      </c>
      <c r="K62" s="6" t="s">
        <v>3</v>
      </c>
      <c r="L62" s="11">
        <v>43221</v>
      </c>
      <c r="M62" s="11">
        <f>DCPXX[[#This Row],[INV DOC DATE]]+30</f>
        <v>43251</v>
      </c>
      <c r="N62" s="11">
        <v>43220</v>
      </c>
      <c r="O62" s="13">
        <v>232.5</v>
      </c>
      <c r="P62" s="11">
        <v>43255</v>
      </c>
      <c r="Q62" s="13">
        <f t="shared" si="0"/>
        <v>0</v>
      </c>
      <c r="R62" s="13" t="str">
        <f ca="1">IF(TODAY() - DCPXX[INV DUE DATE]&lt;30, "Less than 30 days",IF(TODAY()-DCPXX[INV DUE DATE]&lt;60,"30-60 days","More than 60 days"))</f>
        <v>30-60 days</v>
      </c>
      <c r="S62" s="6" t="s">
        <v>817</v>
      </c>
      <c r="T62" s="44" t="s">
        <v>2229</v>
      </c>
      <c r="U62" s="13" t="s">
        <v>3699</v>
      </c>
    </row>
    <row r="63" spans="1:21" x14ac:dyDescent="0.3">
      <c r="A63" s="6" t="s">
        <v>36</v>
      </c>
      <c r="B63" s="6" t="s">
        <v>30</v>
      </c>
      <c r="C63" s="6" t="s">
        <v>65</v>
      </c>
      <c r="D63" s="8">
        <v>4301</v>
      </c>
      <c r="E63" s="9">
        <v>232.5</v>
      </c>
      <c r="H63" s="6">
        <v>194663</v>
      </c>
      <c r="I63" s="10" t="s">
        <v>293</v>
      </c>
      <c r="J63" s="6" t="s">
        <v>204</v>
      </c>
      <c r="K63" s="6" t="s">
        <v>3</v>
      </c>
      <c r="L63" s="11">
        <v>43221</v>
      </c>
      <c r="M63" s="11">
        <f>DCPXX[[#This Row],[INV DOC DATE]]+30</f>
        <v>43251</v>
      </c>
      <c r="N63" s="11">
        <v>43220</v>
      </c>
      <c r="O63" s="13">
        <v>232.5</v>
      </c>
      <c r="P63" s="11">
        <v>43255</v>
      </c>
      <c r="Q63" s="13">
        <f t="shared" si="0"/>
        <v>0</v>
      </c>
      <c r="R63" s="13" t="str">
        <f ca="1">IF(TODAY() - DCPXX[INV DUE DATE]&lt;30, "Less than 30 days",IF(TODAY()-DCPXX[INV DUE DATE]&lt;60,"30-60 days","More than 60 days"))</f>
        <v>30-60 days</v>
      </c>
      <c r="S63" s="6" t="s">
        <v>817</v>
      </c>
      <c r="T63" s="44" t="s">
        <v>2229</v>
      </c>
      <c r="U63" s="13" t="s">
        <v>3699</v>
      </c>
    </row>
    <row r="64" spans="1:21" x14ac:dyDescent="0.3">
      <c r="A64" s="6" t="s">
        <v>36</v>
      </c>
      <c r="B64" s="6" t="s">
        <v>30</v>
      </c>
      <c r="C64" s="6" t="s">
        <v>66</v>
      </c>
      <c r="D64" s="8">
        <v>4301</v>
      </c>
      <c r="E64" s="9">
        <v>232.5</v>
      </c>
      <c r="H64" s="6">
        <v>194663</v>
      </c>
      <c r="I64" s="10" t="s">
        <v>293</v>
      </c>
      <c r="J64" s="6" t="s">
        <v>205</v>
      </c>
      <c r="K64" s="6" t="s">
        <v>3</v>
      </c>
      <c r="L64" s="11">
        <v>43221</v>
      </c>
      <c r="M64" s="11">
        <f>DCPXX[[#This Row],[INV DOC DATE]]+30</f>
        <v>43251</v>
      </c>
      <c r="N64" s="11">
        <v>43220</v>
      </c>
      <c r="O64" s="13">
        <v>232.5</v>
      </c>
      <c r="P64" s="11">
        <v>43255</v>
      </c>
      <c r="Q64" s="13">
        <f t="shared" si="0"/>
        <v>0</v>
      </c>
      <c r="R64" s="13" t="str">
        <f ca="1">IF(TODAY() - DCPXX[INV DUE DATE]&lt;30, "Less than 30 days",IF(TODAY()-DCPXX[INV DUE DATE]&lt;60,"30-60 days","More than 60 days"))</f>
        <v>30-60 days</v>
      </c>
      <c r="S64" s="6" t="s">
        <v>817</v>
      </c>
      <c r="T64" s="44" t="s">
        <v>2229</v>
      </c>
      <c r="U64" s="13" t="s">
        <v>3699</v>
      </c>
    </row>
    <row r="65" spans="1:21" x14ac:dyDescent="0.3">
      <c r="A65" s="6" t="s">
        <v>36</v>
      </c>
      <c r="B65" s="6" t="s">
        <v>30</v>
      </c>
      <c r="C65" s="6" t="s">
        <v>67</v>
      </c>
      <c r="D65" s="8">
        <v>4301</v>
      </c>
      <c r="E65" s="9">
        <v>232.5</v>
      </c>
      <c r="H65" s="6">
        <v>194663</v>
      </c>
      <c r="I65" s="10" t="s">
        <v>293</v>
      </c>
      <c r="J65" s="6" t="s">
        <v>206</v>
      </c>
      <c r="K65" s="6" t="s">
        <v>3</v>
      </c>
      <c r="L65" s="11">
        <v>43221</v>
      </c>
      <c r="M65" s="11">
        <f>DCPXX[[#This Row],[INV DOC DATE]]+30</f>
        <v>43251</v>
      </c>
      <c r="N65" s="11">
        <v>43220</v>
      </c>
      <c r="O65" s="13">
        <v>232.5</v>
      </c>
      <c r="P65" s="11">
        <v>43255</v>
      </c>
      <c r="Q65" s="13">
        <f t="shared" si="0"/>
        <v>0</v>
      </c>
      <c r="R65" s="13" t="str">
        <f ca="1">IF(TODAY() - DCPXX[INV DUE DATE]&lt;30, "Less than 30 days",IF(TODAY()-DCPXX[INV DUE DATE]&lt;60,"30-60 days","More than 60 days"))</f>
        <v>30-60 days</v>
      </c>
      <c r="S65" s="6" t="s">
        <v>817</v>
      </c>
      <c r="T65" s="44" t="s">
        <v>2229</v>
      </c>
      <c r="U65" s="13" t="s">
        <v>3699</v>
      </c>
    </row>
    <row r="66" spans="1:21" x14ac:dyDescent="0.3">
      <c r="A66" s="6" t="s">
        <v>36</v>
      </c>
      <c r="B66" s="6" t="s">
        <v>30</v>
      </c>
      <c r="C66" s="6" t="s">
        <v>68</v>
      </c>
      <c r="D66" s="8">
        <v>4301</v>
      </c>
      <c r="E66" s="9">
        <v>434</v>
      </c>
      <c r="H66" s="6">
        <v>194663</v>
      </c>
      <c r="I66" s="10" t="s">
        <v>293</v>
      </c>
      <c r="J66" s="6" t="s">
        <v>207</v>
      </c>
      <c r="K66" s="6" t="s">
        <v>3</v>
      </c>
      <c r="L66" s="11">
        <v>43221</v>
      </c>
      <c r="M66" s="11">
        <f>DCPXX[[#This Row],[INV DOC DATE]]+30</f>
        <v>43251</v>
      </c>
      <c r="N66" s="11">
        <v>43220</v>
      </c>
      <c r="O66" s="13">
        <v>434</v>
      </c>
      <c r="P66" s="11">
        <v>43255</v>
      </c>
      <c r="Q66" s="13">
        <f t="shared" ref="Q66:Q129" si="1">$E66-$O66</f>
        <v>0</v>
      </c>
      <c r="R66" s="13" t="str">
        <f ca="1">IF(TODAY() - DCPXX[INV DUE DATE]&lt;30, "Less than 30 days",IF(TODAY()-DCPXX[INV DUE DATE]&lt;60,"30-60 days","More than 60 days"))</f>
        <v>30-60 days</v>
      </c>
      <c r="S66" s="6" t="s">
        <v>817</v>
      </c>
      <c r="T66" s="44" t="s">
        <v>2229</v>
      </c>
      <c r="U66" s="13" t="s">
        <v>3699</v>
      </c>
    </row>
    <row r="67" spans="1:21" x14ac:dyDescent="0.3">
      <c r="A67" s="6" t="s">
        <v>36</v>
      </c>
      <c r="B67" s="6" t="s">
        <v>30</v>
      </c>
      <c r="C67" s="6" t="s">
        <v>69</v>
      </c>
      <c r="D67" s="8">
        <v>4301</v>
      </c>
      <c r="E67" s="9">
        <v>434</v>
      </c>
      <c r="H67" s="6">
        <v>194663</v>
      </c>
      <c r="I67" s="10" t="s">
        <v>293</v>
      </c>
      <c r="J67" s="6" t="s">
        <v>208</v>
      </c>
      <c r="K67" s="6" t="s">
        <v>3</v>
      </c>
      <c r="L67" s="11">
        <v>43221</v>
      </c>
      <c r="M67" s="11">
        <f>DCPXX[[#This Row],[INV DOC DATE]]+30</f>
        <v>43251</v>
      </c>
      <c r="N67" s="11">
        <v>43220</v>
      </c>
      <c r="O67" s="13">
        <v>434</v>
      </c>
      <c r="P67" s="11">
        <v>43255</v>
      </c>
      <c r="Q67" s="13">
        <f t="shared" si="1"/>
        <v>0</v>
      </c>
      <c r="R67" s="13" t="str">
        <f ca="1">IF(TODAY() - DCPXX[INV DUE DATE]&lt;30, "Less than 30 days",IF(TODAY()-DCPXX[INV DUE DATE]&lt;60,"30-60 days","More than 60 days"))</f>
        <v>30-60 days</v>
      </c>
      <c r="S67" s="6" t="s">
        <v>817</v>
      </c>
      <c r="T67" s="44" t="s">
        <v>2229</v>
      </c>
      <c r="U67" s="13" t="s">
        <v>3699</v>
      </c>
    </row>
    <row r="68" spans="1:21" x14ac:dyDescent="0.3">
      <c r="A68" s="6" t="s">
        <v>36</v>
      </c>
      <c r="B68" s="6" t="s">
        <v>30</v>
      </c>
      <c r="C68" s="6" t="s">
        <v>70</v>
      </c>
      <c r="D68" s="8">
        <v>4301</v>
      </c>
      <c r="E68" s="9">
        <v>232.5</v>
      </c>
      <c r="H68" s="6">
        <v>194663</v>
      </c>
      <c r="I68" s="10" t="s">
        <v>293</v>
      </c>
      <c r="J68" s="6" t="s">
        <v>209</v>
      </c>
      <c r="K68" s="6" t="s">
        <v>3</v>
      </c>
      <c r="L68" s="11">
        <v>43221</v>
      </c>
      <c r="M68" s="11">
        <f>DCPXX[[#This Row],[INV DOC DATE]]+30</f>
        <v>43251</v>
      </c>
      <c r="N68" s="11">
        <v>43220</v>
      </c>
      <c r="O68" s="13">
        <v>232.5</v>
      </c>
      <c r="P68" s="11">
        <v>43255</v>
      </c>
      <c r="Q68" s="13">
        <f t="shared" si="1"/>
        <v>0</v>
      </c>
      <c r="R68" s="13" t="str">
        <f ca="1">IF(TODAY() - DCPXX[INV DUE DATE]&lt;30, "Less than 30 days",IF(TODAY()-DCPXX[INV DUE DATE]&lt;60,"30-60 days","More than 60 days"))</f>
        <v>30-60 days</v>
      </c>
      <c r="S68" s="6" t="s">
        <v>817</v>
      </c>
      <c r="T68" s="44" t="s">
        <v>2229</v>
      </c>
      <c r="U68" s="13" t="s">
        <v>3699</v>
      </c>
    </row>
    <row r="69" spans="1:21" x14ac:dyDescent="0.3">
      <c r="A69" s="6" t="s">
        <v>36</v>
      </c>
      <c r="B69" s="6" t="s">
        <v>30</v>
      </c>
      <c r="C69" s="6" t="s">
        <v>71</v>
      </c>
      <c r="D69" s="8">
        <v>4301</v>
      </c>
      <c r="E69" s="9">
        <v>232.5</v>
      </c>
      <c r="H69" s="6">
        <v>194663</v>
      </c>
      <c r="I69" s="10" t="s">
        <v>293</v>
      </c>
      <c r="J69" s="6" t="s">
        <v>210</v>
      </c>
      <c r="K69" s="6" t="s">
        <v>3</v>
      </c>
      <c r="L69" s="11">
        <v>43221</v>
      </c>
      <c r="M69" s="11">
        <f>DCPXX[[#This Row],[INV DOC DATE]]+30</f>
        <v>43251</v>
      </c>
      <c r="N69" s="11">
        <v>43220</v>
      </c>
      <c r="O69" s="13">
        <v>232.5</v>
      </c>
      <c r="P69" s="11">
        <v>43255</v>
      </c>
      <c r="Q69" s="13">
        <f t="shared" si="1"/>
        <v>0</v>
      </c>
      <c r="R69" s="13" t="str">
        <f ca="1">IF(TODAY() - DCPXX[INV DUE DATE]&lt;30, "Less than 30 days",IF(TODAY()-DCPXX[INV DUE DATE]&lt;60,"30-60 days","More than 60 days"))</f>
        <v>30-60 days</v>
      </c>
      <c r="S69" s="6" t="s">
        <v>817</v>
      </c>
      <c r="T69" s="44" t="s">
        <v>2229</v>
      </c>
      <c r="U69" s="13" t="s">
        <v>3699</v>
      </c>
    </row>
    <row r="70" spans="1:21" x14ac:dyDescent="0.3">
      <c r="A70" s="6" t="s">
        <v>36</v>
      </c>
      <c r="B70" s="6" t="s">
        <v>30</v>
      </c>
      <c r="C70" s="6" t="s">
        <v>72</v>
      </c>
      <c r="D70" s="8">
        <v>4301</v>
      </c>
      <c r="E70" s="9">
        <v>232.5</v>
      </c>
      <c r="H70" s="6">
        <v>194663</v>
      </c>
      <c r="I70" s="10" t="s">
        <v>293</v>
      </c>
      <c r="J70" s="6" t="s">
        <v>211</v>
      </c>
      <c r="K70" s="6" t="s">
        <v>3</v>
      </c>
      <c r="L70" s="11">
        <v>43221</v>
      </c>
      <c r="M70" s="11">
        <f>DCPXX[[#This Row],[INV DOC DATE]]+30</f>
        <v>43251</v>
      </c>
      <c r="N70" s="11">
        <v>43220</v>
      </c>
      <c r="O70" s="13">
        <v>232.5</v>
      </c>
      <c r="P70" s="11">
        <v>43255</v>
      </c>
      <c r="Q70" s="13">
        <f t="shared" si="1"/>
        <v>0</v>
      </c>
      <c r="R70" s="13" t="str">
        <f ca="1">IF(TODAY() - DCPXX[INV DUE DATE]&lt;30, "Less than 30 days",IF(TODAY()-DCPXX[INV DUE DATE]&lt;60,"30-60 days","More than 60 days"))</f>
        <v>30-60 days</v>
      </c>
      <c r="S70" s="6" t="s">
        <v>817</v>
      </c>
      <c r="T70" s="44" t="s">
        <v>2229</v>
      </c>
      <c r="U70" s="13" t="s">
        <v>3699</v>
      </c>
    </row>
    <row r="71" spans="1:21" x14ac:dyDescent="0.3">
      <c r="A71" s="6" t="s">
        <v>36</v>
      </c>
      <c r="B71" s="6" t="s">
        <v>30</v>
      </c>
      <c r="C71" s="6" t="s">
        <v>73</v>
      </c>
      <c r="D71" s="8">
        <v>4301</v>
      </c>
      <c r="E71" s="9">
        <v>232.5</v>
      </c>
      <c r="H71" s="6">
        <v>194663</v>
      </c>
      <c r="I71" s="10" t="s">
        <v>293</v>
      </c>
      <c r="J71" s="6" t="s">
        <v>212</v>
      </c>
      <c r="K71" s="6" t="s">
        <v>3</v>
      </c>
      <c r="L71" s="11">
        <v>43221</v>
      </c>
      <c r="M71" s="11">
        <f>DCPXX[[#This Row],[INV DOC DATE]]+30</f>
        <v>43251</v>
      </c>
      <c r="N71" s="11">
        <v>43220</v>
      </c>
      <c r="O71" s="13">
        <v>232.5</v>
      </c>
      <c r="P71" s="11">
        <v>43255</v>
      </c>
      <c r="Q71" s="13">
        <f t="shared" si="1"/>
        <v>0</v>
      </c>
      <c r="R71" s="13" t="str">
        <f ca="1">IF(TODAY() - DCPXX[INV DUE DATE]&lt;30, "Less than 30 days",IF(TODAY()-DCPXX[INV DUE DATE]&lt;60,"30-60 days","More than 60 days"))</f>
        <v>30-60 days</v>
      </c>
      <c r="S71" s="6" t="s">
        <v>817</v>
      </c>
      <c r="T71" s="44" t="s">
        <v>2229</v>
      </c>
      <c r="U71" s="13" t="s">
        <v>3699</v>
      </c>
    </row>
    <row r="72" spans="1:21" x14ac:dyDescent="0.3">
      <c r="A72" s="6" t="s">
        <v>36</v>
      </c>
      <c r="B72" s="6" t="s">
        <v>30</v>
      </c>
      <c r="C72" s="6" t="s">
        <v>74</v>
      </c>
      <c r="D72" s="8">
        <v>4301</v>
      </c>
      <c r="E72" s="9">
        <v>232.5</v>
      </c>
      <c r="H72" s="6">
        <v>194663</v>
      </c>
      <c r="I72" s="10" t="s">
        <v>293</v>
      </c>
      <c r="J72" s="6" t="s">
        <v>213</v>
      </c>
      <c r="K72" s="6" t="s">
        <v>3</v>
      </c>
      <c r="L72" s="11">
        <v>43221</v>
      </c>
      <c r="M72" s="11">
        <f>DCPXX[[#This Row],[INV DOC DATE]]+30</f>
        <v>43251</v>
      </c>
      <c r="N72" s="11">
        <v>43220</v>
      </c>
      <c r="O72" s="13">
        <v>232.5</v>
      </c>
      <c r="P72" s="11">
        <v>43255</v>
      </c>
      <c r="Q72" s="13">
        <f t="shared" si="1"/>
        <v>0</v>
      </c>
      <c r="R72" s="13" t="str">
        <f ca="1">IF(TODAY() - DCPXX[INV DUE DATE]&lt;30, "Less than 30 days",IF(TODAY()-DCPXX[INV DUE DATE]&lt;60,"30-60 days","More than 60 days"))</f>
        <v>30-60 days</v>
      </c>
      <c r="S72" s="6" t="s">
        <v>817</v>
      </c>
      <c r="T72" s="44" t="s">
        <v>2229</v>
      </c>
      <c r="U72" s="13" t="s">
        <v>3699</v>
      </c>
    </row>
    <row r="73" spans="1:21" x14ac:dyDescent="0.3">
      <c r="A73" s="6" t="s">
        <v>36</v>
      </c>
      <c r="B73" s="6" t="s">
        <v>30</v>
      </c>
      <c r="C73" s="6" t="s">
        <v>75</v>
      </c>
      <c r="D73" s="8">
        <v>4301</v>
      </c>
      <c r="E73" s="9">
        <v>232.5</v>
      </c>
      <c r="H73" s="6">
        <v>194663</v>
      </c>
      <c r="I73" s="10" t="s">
        <v>293</v>
      </c>
      <c r="J73" s="6" t="s">
        <v>214</v>
      </c>
      <c r="K73" s="6" t="s">
        <v>3</v>
      </c>
      <c r="L73" s="11">
        <v>43221</v>
      </c>
      <c r="M73" s="11">
        <f>DCPXX[[#This Row],[INV DOC DATE]]+30</f>
        <v>43251</v>
      </c>
      <c r="N73" s="11">
        <v>43220</v>
      </c>
      <c r="O73" s="13">
        <v>232.5</v>
      </c>
      <c r="P73" s="11">
        <v>43255</v>
      </c>
      <c r="Q73" s="13">
        <f t="shared" si="1"/>
        <v>0</v>
      </c>
      <c r="R73" s="13" t="str">
        <f ca="1">IF(TODAY() - DCPXX[INV DUE DATE]&lt;30, "Less than 30 days",IF(TODAY()-DCPXX[INV DUE DATE]&lt;60,"30-60 days","More than 60 days"))</f>
        <v>30-60 days</v>
      </c>
      <c r="S73" s="6" t="s">
        <v>817</v>
      </c>
      <c r="T73" s="44" t="s">
        <v>2229</v>
      </c>
      <c r="U73" s="13" t="s">
        <v>3699</v>
      </c>
    </row>
    <row r="74" spans="1:21" x14ac:dyDescent="0.3">
      <c r="A74" s="6" t="s">
        <v>36</v>
      </c>
      <c r="B74" s="6" t="s">
        <v>30</v>
      </c>
      <c r="C74" s="6" t="s">
        <v>76</v>
      </c>
      <c r="D74" s="8">
        <v>4301</v>
      </c>
      <c r="E74" s="9">
        <v>178.25</v>
      </c>
      <c r="H74" s="6">
        <v>194841</v>
      </c>
      <c r="I74" s="10" t="s">
        <v>293</v>
      </c>
      <c r="J74" s="6" t="s">
        <v>215</v>
      </c>
      <c r="K74" s="6" t="s">
        <v>3</v>
      </c>
      <c r="L74" s="11">
        <v>43221</v>
      </c>
      <c r="M74" s="11">
        <f>DCPXX[[#This Row],[INV DOC DATE]]+30</f>
        <v>43251</v>
      </c>
      <c r="N74" s="11">
        <v>43220</v>
      </c>
      <c r="O74" s="13">
        <v>178.25</v>
      </c>
      <c r="P74" s="11">
        <v>43255</v>
      </c>
      <c r="Q74" s="13">
        <f t="shared" si="1"/>
        <v>0</v>
      </c>
      <c r="R74" s="13" t="str">
        <f ca="1">IF(TODAY() - DCPXX[INV DUE DATE]&lt;30, "Less than 30 days",IF(TODAY()-DCPXX[INV DUE DATE]&lt;60,"30-60 days","More than 60 days"))</f>
        <v>30-60 days</v>
      </c>
      <c r="S74" s="6" t="s">
        <v>817</v>
      </c>
      <c r="T74" s="44" t="s">
        <v>2229</v>
      </c>
      <c r="U74" s="13" t="s">
        <v>3699</v>
      </c>
    </row>
    <row r="75" spans="1:21" x14ac:dyDescent="0.3">
      <c r="A75" s="6" t="s">
        <v>36</v>
      </c>
      <c r="B75" s="6" t="s">
        <v>30</v>
      </c>
      <c r="C75" s="6" t="s">
        <v>77</v>
      </c>
      <c r="D75" s="8">
        <v>4301</v>
      </c>
      <c r="E75" s="9">
        <v>178.25</v>
      </c>
      <c r="H75" s="6">
        <v>194841</v>
      </c>
      <c r="I75" s="10" t="s">
        <v>293</v>
      </c>
      <c r="J75" s="6" t="s">
        <v>216</v>
      </c>
      <c r="K75" s="6" t="s">
        <v>3</v>
      </c>
      <c r="L75" s="11">
        <v>43221</v>
      </c>
      <c r="M75" s="11">
        <f>DCPXX[[#This Row],[INV DOC DATE]]+30</f>
        <v>43251</v>
      </c>
      <c r="N75" s="11">
        <v>43220</v>
      </c>
      <c r="O75" s="13">
        <v>178.25</v>
      </c>
      <c r="P75" s="11">
        <v>43255</v>
      </c>
      <c r="Q75" s="13">
        <f t="shared" si="1"/>
        <v>0</v>
      </c>
      <c r="R75" s="13" t="str">
        <f ca="1">IF(TODAY() - DCPXX[INV DUE DATE]&lt;30, "Less than 30 days",IF(TODAY()-DCPXX[INV DUE DATE]&lt;60,"30-60 days","More than 60 days"))</f>
        <v>30-60 days</v>
      </c>
      <c r="S75" s="6" t="s">
        <v>817</v>
      </c>
      <c r="T75" s="44" t="s">
        <v>2229</v>
      </c>
      <c r="U75" s="13" t="s">
        <v>3699</v>
      </c>
    </row>
    <row r="76" spans="1:21" x14ac:dyDescent="0.3">
      <c r="A76" s="6" t="s">
        <v>36</v>
      </c>
      <c r="B76" s="6" t="s">
        <v>30</v>
      </c>
      <c r="C76" s="6" t="s">
        <v>78</v>
      </c>
      <c r="D76" s="8">
        <v>4301</v>
      </c>
      <c r="E76" s="9">
        <v>178.25</v>
      </c>
      <c r="H76" s="6">
        <v>194841</v>
      </c>
      <c r="I76" s="10" t="s">
        <v>293</v>
      </c>
      <c r="J76" s="6" t="s">
        <v>217</v>
      </c>
      <c r="K76" s="6" t="s">
        <v>3</v>
      </c>
      <c r="L76" s="11">
        <v>43221</v>
      </c>
      <c r="M76" s="11">
        <f>DCPXX[[#This Row],[INV DOC DATE]]+30</f>
        <v>43251</v>
      </c>
      <c r="N76" s="11">
        <v>43220</v>
      </c>
      <c r="O76" s="13">
        <v>178.25</v>
      </c>
      <c r="P76" s="11">
        <v>43255</v>
      </c>
      <c r="Q76" s="13">
        <f t="shared" si="1"/>
        <v>0</v>
      </c>
      <c r="R76" s="13" t="str">
        <f ca="1">IF(TODAY() - DCPXX[INV DUE DATE]&lt;30, "Less than 30 days",IF(TODAY()-DCPXX[INV DUE DATE]&lt;60,"30-60 days","More than 60 days"))</f>
        <v>30-60 days</v>
      </c>
      <c r="S76" s="6" t="s">
        <v>817</v>
      </c>
      <c r="T76" s="44" t="s">
        <v>2229</v>
      </c>
      <c r="U76" s="13" t="s">
        <v>3699</v>
      </c>
    </row>
    <row r="77" spans="1:21" x14ac:dyDescent="0.3">
      <c r="A77" s="6" t="s">
        <v>36</v>
      </c>
      <c r="B77" s="6" t="s">
        <v>30</v>
      </c>
      <c r="C77" s="6" t="s">
        <v>79</v>
      </c>
      <c r="D77" s="8">
        <v>4301</v>
      </c>
      <c r="E77" s="9">
        <v>178.25</v>
      </c>
      <c r="H77" s="6">
        <v>194841</v>
      </c>
      <c r="I77" s="10" t="s">
        <v>293</v>
      </c>
      <c r="J77" s="6" t="s">
        <v>218</v>
      </c>
      <c r="K77" s="6" t="s">
        <v>3</v>
      </c>
      <c r="L77" s="11">
        <v>43221</v>
      </c>
      <c r="M77" s="11">
        <f>DCPXX[[#This Row],[INV DOC DATE]]+30</f>
        <v>43251</v>
      </c>
      <c r="N77" s="11">
        <v>43220</v>
      </c>
      <c r="O77" s="13">
        <v>178.25</v>
      </c>
      <c r="P77" s="11">
        <v>43255</v>
      </c>
      <c r="Q77" s="13">
        <f t="shared" si="1"/>
        <v>0</v>
      </c>
      <c r="R77" s="13" t="str">
        <f ca="1">IF(TODAY() - DCPXX[INV DUE DATE]&lt;30, "Less than 30 days",IF(TODAY()-DCPXX[INV DUE DATE]&lt;60,"30-60 days","More than 60 days"))</f>
        <v>30-60 days</v>
      </c>
      <c r="S77" s="6" t="s">
        <v>817</v>
      </c>
      <c r="T77" s="44" t="s">
        <v>2229</v>
      </c>
      <c r="U77" s="13" t="s">
        <v>3699</v>
      </c>
    </row>
    <row r="78" spans="1:21" x14ac:dyDescent="0.3">
      <c r="A78" s="6" t="s">
        <v>36</v>
      </c>
      <c r="B78" s="6" t="s">
        <v>30</v>
      </c>
      <c r="C78" s="6" t="s">
        <v>80</v>
      </c>
      <c r="D78" s="8">
        <v>4301</v>
      </c>
      <c r="E78" s="9">
        <v>178.25</v>
      </c>
      <c r="H78" s="6">
        <v>194841</v>
      </c>
      <c r="I78" s="10" t="s">
        <v>293</v>
      </c>
      <c r="J78" s="6" t="s">
        <v>219</v>
      </c>
      <c r="K78" s="6" t="s">
        <v>3</v>
      </c>
      <c r="L78" s="11">
        <v>43221</v>
      </c>
      <c r="M78" s="11">
        <f>DCPXX[[#This Row],[INV DOC DATE]]+30</f>
        <v>43251</v>
      </c>
      <c r="N78" s="11">
        <v>43220</v>
      </c>
      <c r="O78" s="13">
        <v>178.25</v>
      </c>
      <c r="P78" s="11">
        <v>43255</v>
      </c>
      <c r="Q78" s="13">
        <f t="shared" si="1"/>
        <v>0</v>
      </c>
      <c r="R78" s="13" t="str">
        <f ca="1">IF(TODAY() - DCPXX[INV DUE DATE]&lt;30, "Less than 30 days",IF(TODAY()-DCPXX[INV DUE DATE]&lt;60,"30-60 days","More than 60 days"))</f>
        <v>30-60 days</v>
      </c>
      <c r="S78" s="6" t="s">
        <v>817</v>
      </c>
      <c r="T78" s="44" t="s">
        <v>2229</v>
      </c>
      <c r="U78" s="13" t="s">
        <v>3699</v>
      </c>
    </row>
    <row r="79" spans="1:21" x14ac:dyDescent="0.3">
      <c r="A79" s="6" t="s">
        <v>36</v>
      </c>
      <c r="B79" s="6" t="s">
        <v>30</v>
      </c>
      <c r="C79" s="6" t="s">
        <v>81</v>
      </c>
      <c r="D79" s="8">
        <v>4301</v>
      </c>
      <c r="E79" s="9">
        <v>178.25</v>
      </c>
      <c r="H79" s="6">
        <v>194841</v>
      </c>
      <c r="I79" s="10" t="s">
        <v>293</v>
      </c>
      <c r="J79" s="6" t="s">
        <v>220</v>
      </c>
      <c r="K79" s="6" t="s">
        <v>3</v>
      </c>
      <c r="L79" s="11">
        <v>43221</v>
      </c>
      <c r="M79" s="11">
        <f>DCPXX[[#This Row],[INV DOC DATE]]+30</f>
        <v>43251</v>
      </c>
      <c r="N79" s="11">
        <v>43220</v>
      </c>
      <c r="O79" s="13">
        <v>178.25</v>
      </c>
      <c r="P79" s="11">
        <v>43255</v>
      </c>
      <c r="Q79" s="13">
        <f t="shared" si="1"/>
        <v>0</v>
      </c>
      <c r="R79" s="13" t="str">
        <f ca="1">IF(TODAY() - DCPXX[INV DUE DATE]&lt;30, "Less than 30 days",IF(TODAY()-DCPXX[INV DUE DATE]&lt;60,"30-60 days","More than 60 days"))</f>
        <v>30-60 days</v>
      </c>
      <c r="S79" s="6" t="s">
        <v>817</v>
      </c>
      <c r="T79" s="44" t="s">
        <v>2229</v>
      </c>
      <c r="U79" s="13" t="s">
        <v>3699</v>
      </c>
    </row>
    <row r="80" spans="1:21" x14ac:dyDescent="0.3">
      <c r="A80" s="6" t="s">
        <v>36</v>
      </c>
      <c r="B80" s="6" t="s">
        <v>30</v>
      </c>
      <c r="C80" s="6" t="s">
        <v>82</v>
      </c>
      <c r="D80" s="8">
        <v>4301</v>
      </c>
      <c r="E80" s="9">
        <v>232.5</v>
      </c>
      <c r="H80" s="6">
        <v>195163</v>
      </c>
      <c r="I80" s="10" t="s">
        <v>293</v>
      </c>
      <c r="J80" s="6" t="s">
        <v>221</v>
      </c>
      <c r="K80" s="6" t="s">
        <v>3</v>
      </c>
      <c r="L80" s="11">
        <v>43221</v>
      </c>
      <c r="M80" s="11">
        <f>DCPXX[[#This Row],[INV DOC DATE]]+30</f>
        <v>43251</v>
      </c>
      <c r="N80" s="11">
        <v>43220</v>
      </c>
      <c r="O80" s="13">
        <v>232.5</v>
      </c>
      <c r="P80" s="11">
        <v>43255</v>
      </c>
      <c r="Q80" s="13">
        <f t="shared" si="1"/>
        <v>0</v>
      </c>
      <c r="R80" s="13" t="str">
        <f ca="1">IF(TODAY() - DCPXX[INV DUE DATE]&lt;30, "Less than 30 days",IF(TODAY()-DCPXX[INV DUE DATE]&lt;60,"30-60 days","More than 60 days"))</f>
        <v>30-60 days</v>
      </c>
      <c r="S80" s="6" t="s">
        <v>817</v>
      </c>
      <c r="T80" s="44" t="s">
        <v>2229</v>
      </c>
      <c r="U80" s="13" t="s">
        <v>3699</v>
      </c>
    </row>
    <row r="81" spans="1:21" x14ac:dyDescent="0.3">
      <c r="A81" s="6" t="s">
        <v>36</v>
      </c>
      <c r="B81" s="6" t="s">
        <v>30</v>
      </c>
      <c r="C81" s="6" t="s">
        <v>83</v>
      </c>
      <c r="D81" s="8">
        <v>4301</v>
      </c>
      <c r="E81" s="9">
        <v>232.5</v>
      </c>
      <c r="H81" s="6">
        <v>195163</v>
      </c>
      <c r="I81" s="10" t="s">
        <v>293</v>
      </c>
      <c r="J81" s="6" t="s">
        <v>222</v>
      </c>
      <c r="K81" s="6" t="s">
        <v>3</v>
      </c>
      <c r="L81" s="11">
        <v>43221</v>
      </c>
      <c r="M81" s="11">
        <f>DCPXX[[#This Row],[INV DOC DATE]]+30</f>
        <v>43251</v>
      </c>
      <c r="N81" s="11">
        <v>43220</v>
      </c>
      <c r="O81" s="13">
        <v>232.5</v>
      </c>
      <c r="P81" s="11">
        <v>43255</v>
      </c>
      <c r="Q81" s="13">
        <f t="shared" si="1"/>
        <v>0</v>
      </c>
      <c r="R81" s="13" t="str">
        <f ca="1">IF(TODAY() - DCPXX[INV DUE DATE]&lt;30, "Less than 30 days",IF(TODAY()-DCPXX[INV DUE DATE]&lt;60,"30-60 days","More than 60 days"))</f>
        <v>30-60 days</v>
      </c>
      <c r="S81" s="6" t="s">
        <v>817</v>
      </c>
      <c r="T81" s="44" t="s">
        <v>2229</v>
      </c>
      <c r="U81" s="13" t="s">
        <v>3699</v>
      </c>
    </row>
    <row r="82" spans="1:21" x14ac:dyDescent="0.3">
      <c r="A82" s="6" t="s">
        <v>36</v>
      </c>
      <c r="B82" s="6" t="s">
        <v>30</v>
      </c>
      <c r="C82" s="6" t="s">
        <v>84</v>
      </c>
      <c r="D82" s="8">
        <v>4301</v>
      </c>
      <c r="E82" s="9">
        <v>232.5</v>
      </c>
      <c r="H82" s="6">
        <v>195163</v>
      </c>
      <c r="I82" s="10" t="s">
        <v>293</v>
      </c>
      <c r="J82" s="6" t="s">
        <v>223</v>
      </c>
      <c r="K82" s="6" t="s">
        <v>3</v>
      </c>
      <c r="L82" s="11">
        <v>43221</v>
      </c>
      <c r="M82" s="11">
        <f>DCPXX[[#This Row],[INV DOC DATE]]+30</f>
        <v>43251</v>
      </c>
      <c r="N82" s="11">
        <v>43220</v>
      </c>
      <c r="O82" s="13">
        <v>232.5</v>
      </c>
      <c r="P82" s="11">
        <v>43255</v>
      </c>
      <c r="Q82" s="13">
        <f t="shared" si="1"/>
        <v>0</v>
      </c>
      <c r="R82" s="13" t="str">
        <f ca="1">IF(TODAY() - DCPXX[INV DUE DATE]&lt;30, "Less than 30 days",IF(TODAY()-DCPXX[INV DUE DATE]&lt;60,"30-60 days","More than 60 days"))</f>
        <v>30-60 days</v>
      </c>
      <c r="S82" s="6" t="s">
        <v>817</v>
      </c>
      <c r="T82" s="44" t="s">
        <v>2229</v>
      </c>
      <c r="U82" s="13" t="s">
        <v>3699</v>
      </c>
    </row>
    <row r="83" spans="1:21" x14ac:dyDescent="0.3">
      <c r="A83" s="6" t="s">
        <v>36</v>
      </c>
      <c r="B83" s="6" t="s">
        <v>30</v>
      </c>
      <c r="C83" s="6" t="s">
        <v>85</v>
      </c>
      <c r="D83" s="8">
        <v>4301</v>
      </c>
      <c r="E83" s="9">
        <v>232.5</v>
      </c>
      <c r="H83" s="6">
        <v>195163</v>
      </c>
      <c r="I83" s="10" t="s">
        <v>293</v>
      </c>
      <c r="J83" s="6" t="s">
        <v>224</v>
      </c>
      <c r="K83" s="6" t="s">
        <v>3</v>
      </c>
      <c r="L83" s="11">
        <v>43221</v>
      </c>
      <c r="M83" s="11">
        <f>DCPXX[[#This Row],[INV DOC DATE]]+30</f>
        <v>43251</v>
      </c>
      <c r="N83" s="11">
        <v>43220</v>
      </c>
      <c r="O83" s="13">
        <v>232.5</v>
      </c>
      <c r="P83" s="11">
        <v>43255</v>
      </c>
      <c r="Q83" s="13">
        <f t="shared" si="1"/>
        <v>0</v>
      </c>
      <c r="R83" s="13" t="str">
        <f ca="1">IF(TODAY() - DCPXX[INV DUE DATE]&lt;30, "Less than 30 days",IF(TODAY()-DCPXX[INV DUE DATE]&lt;60,"30-60 days","More than 60 days"))</f>
        <v>30-60 days</v>
      </c>
      <c r="S83" s="6" t="s">
        <v>817</v>
      </c>
      <c r="T83" s="44" t="s">
        <v>2229</v>
      </c>
      <c r="U83" s="13" t="s">
        <v>3699</v>
      </c>
    </row>
    <row r="84" spans="1:21" x14ac:dyDescent="0.3">
      <c r="A84" s="6" t="s">
        <v>36</v>
      </c>
      <c r="B84" s="6" t="s">
        <v>30</v>
      </c>
      <c r="C84" s="6" t="s">
        <v>86</v>
      </c>
      <c r="D84" s="8">
        <v>4301</v>
      </c>
      <c r="E84" s="9">
        <v>232.5</v>
      </c>
      <c r="H84" s="6">
        <v>195163</v>
      </c>
      <c r="I84" s="10" t="s">
        <v>293</v>
      </c>
      <c r="J84" s="6" t="s">
        <v>225</v>
      </c>
      <c r="K84" s="6" t="s">
        <v>3</v>
      </c>
      <c r="L84" s="11">
        <v>43221</v>
      </c>
      <c r="M84" s="11">
        <f>DCPXX[[#This Row],[INV DOC DATE]]+30</f>
        <v>43251</v>
      </c>
      <c r="N84" s="11">
        <v>43220</v>
      </c>
      <c r="O84" s="13">
        <v>232.5</v>
      </c>
      <c r="P84" s="11">
        <v>43255</v>
      </c>
      <c r="Q84" s="13">
        <f t="shared" si="1"/>
        <v>0</v>
      </c>
      <c r="R84" s="13" t="str">
        <f ca="1">IF(TODAY() - DCPXX[INV DUE DATE]&lt;30, "Less than 30 days",IF(TODAY()-DCPXX[INV DUE DATE]&lt;60,"30-60 days","More than 60 days"))</f>
        <v>30-60 days</v>
      </c>
      <c r="S84" s="6" t="s">
        <v>817</v>
      </c>
      <c r="T84" s="44" t="s">
        <v>2229</v>
      </c>
      <c r="U84" s="13" t="s">
        <v>3699</v>
      </c>
    </row>
    <row r="85" spans="1:21" x14ac:dyDescent="0.3">
      <c r="A85" s="6" t="s">
        <v>36</v>
      </c>
      <c r="B85" s="6" t="s">
        <v>30</v>
      </c>
      <c r="C85" s="6" t="s">
        <v>87</v>
      </c>
      <c r="D85" s="8">
        <v>4301</v>
      </c>
      <c r="E85" s="9">
        <v>232.5</v>
      </c>
      <c r="H85" s="6">
        <v>195163</v>
      </c>
      <c r="I85" s="10" t="s">
        <v>293</v>
      </c>
      <c r="J85" s="6" t="s">
        <v>226</v>
      </c>
      <c r="K85" s="6" t="s">
        <v>3</v>
      </c>
      <c r="L85" s="11">
        <v>43221</v>
      </c>
      <c r="M85" s="11">
        <f>DCPXX[[#This Row],[INV DOC DATE]]+30</f>
        <v>43251</v>
      </c>
      <c r="N85" s="11">
        <v>43220</v>
      </c>
      <c r="O85" s="13">
        <v>232.5</v>
      </c>
      <c r="P85" s="11">
        <v>43255</v>
      </c>
      <c r="Q85" s="13">
        <f t="shared" si="1"/>
        <v>0</v>
      </c>
      <c r="R85" s="13" t="str">
        <f ca="1">IF(TODAY() - DCPXX[INV DUE DATE]&lt;30, "Less than 30 days",IF(TODAY()-DCPXX[INV DUE DATE]&lt;60,"30-60 days","More than 60 days"))</f>
        <v>30-60 days</v>
      </c>
      <c r="S85" s="6" t="s">
        <v>817</v>
      </c>
      <c r="T85" s="44" t="s">
        <v>2229</v>
      </c>
      <c r="U85" s="13" t="s">
        <v>3699</v>
      </c>
    </row>
    <row r="86" spans="1:21" x14ac:dyDescent="0.3">
      <c r="A86" s="6" t="s">
        <v>36</v>
      </c>
      <c r="B86" s="6" t="s">
        <v>30</v>
      </c>
      <c r="C86" s="6" t="s">
        <v>88</v>
      </c>
      <c r="D86" s="8">
        <v>4301</v>
      </c>
      <c r="E86" s="9">
        <v>434</v>
      </c>
      <c r="H86" s="6">
        <v>194662</v>
      </c>
      <c r="I86" s="10" t="s">
        <v>293</v>
      </c>
      <c r="J86" s="6" t="s">
        <v>227</v>
      </c>
      <c r="K86" s="6" t="s">
        <v>3</v>
      </c>
      <c r="L86" s="11">
        <v>43221</v>
      </c>
      <c r="M86" s="11">
        <f>DCPXX[[#This Row],[INV DOC DATE]]+30</f>
        <v>43251</v>
      </c>
      <c r="N86" s="11">
        <v>43220</v>
      </c>
      <c r="O86" s="13">
        <v>434</v>
      </c>
      <c r="P86" s="11">
        <v>43255</v>
      </c>
      <c r="Q86" s="13">
        <f t="shared" si="1"/>
        <v>0</v>
      </c>
      <c r="R86" s="13" t="str">
        <f ca="1">IF(TODAY() - DCPXX[INV DUE DATE]&lt;30, "Less than 30 days",IF(TODAY()-DCPXX[INV DUE DATE]&lt;60,"30-60 days","More than 60 days"))</f>
        <v>30-60 days</v>
      </c>
      <c r="S86" s="6" t="s">
        <v>817</v>
      </c>
      <c r="T86" s="44" t="s">
        <v>2229</v>
      </c>
      <c r="U86" s="13" t="s">
        <v>3699</v>
      </c>
    </row>
    <row r="87" spans="1:21" x14ac:dyDescent="0.3">
      <c r="A87" s="6" t="s">
        <v>36</v>
      </c>
      <c r="B87" s="6" t="s">
        <v>30</v>
      </c>
      <c r="C87" s="6" t="s">
        <v>89</v>
      </c>
      <c r="D87" s="8">
        <v>4301</v>
      </c>
      <c r="E87" s="9">
        <v>232.5</v>
      </c>
      <c r="H87" s="6">
        <v>194662</v>
      </c>
      <c r="I87" s="10" t="s">
        <v>293</v>
      </c>
      <c r="J87" s="6" t="s">
        <v>228</v>
      </c>
      <c r="K87" s="6" t="s">
        <v>3</v>
      </c>
      <c r="L87" s="11">
        <v>43221</v>
      </c>
      <c r="M87" s="11">
        <f>DCPXX[[#This Row],[INV DOC DATE]]+30</f>
        <v>43251</v>
      </c>
      <c r="N87" s="11">
        <v>43220</v>
      </c>
      <c r="O87" s="13">
        <v>232.5</v>
      </c>
      <c r="P87" s="11">
        <v>43255</v>
      </c>
      <c r="Q87" s="13">
        <f t="shared" si="1"/>
        <v>0</v>
      </c>
      <c r="R87" s="13" t="str">
        <f ca="1">IF(TODAY() - DCPXX[INV DUE DATE]&lt;30, "Less than 30 days",IF(TODAY()-DCPXX[INV DUE DATE]&lt;60,"30-60 days","More than 60 days"))</f>
        <v>30-60 days</v>
      </c>
      <c r="S87" s="6" t="s">
        <v>817</v>
      </c>
      <c r="T87" s="44" t="s">
        <v>2229</v>
      </c>
      <c r="U87" s="13" t="s">
        <v>3699</v>
      </c>
    </row>
    <row r="88" spans="1:21" x14ac:dyDescent="0.3">
      <c r="A88" s="6" t="s">
        <v>36</v>
      </c>
      <c r="B88" s="6" t="s">
        <v>30</v>
      </c>
      <c r="C88" s="6" t="s">
        <v>90</v>
      </c>
      <c r="D88" s="8">
        <v>4301</v>
      </c>
      <c r="E88" s="9">
        <v>232.5</v>
      </c>
      <c r="H88" s="6">
        <v>194659</v>
      </c>
      <c r="I88" s="10" t="s">
        <v>293</v>
      </c>
      <c r="J88" s="6" t="s">
        <v>229</v>
      </c>
      <c r="K88" s="6" t="s">
        <v>3</v>
      </c>
      <c r="L88" s="11">
        <v>43221</v>
      </c>
      <c r="M88" s="11">
        <f>DCPXX[[#This Row],[INV DOC DATE]]+30</f>
        <v>43251</v>
      </c>
      <c r="N88" s="11">
        <v>43220</v>
      </c>
      <c r="O88" s="13">
        <v>232.5</v>
      </c>
      <c r="P88" s="11">
        <v>43255</v>
      </c>
      <c r="Q88" s="13">
        <f t="shared" si="1"/>
        <v>0</v>
      </c>
      <c r="R88" s="13" t="str">
        <f ca="1">IF(TODAY() - DCPXX[INV DUE DATE]&lt;30, "Less than 30 days",IF(TODAY()-DCPXX[INV DUE DATE]&lt;60,"30-60 days","More than 60 days"))</f>
        <v>30-60 days</v>
      </c>
      <c r="S88" s="6" t="s">
        <v>817</v>
      </c>
      <c r="T88" s="44" t="s">
        <v>2229</v>
      </c>
      <c r="U88" s="13" t="s">
        <v>3699</v>
      </c>
    </row>
    <row r="89" spans="1:21" x14ac:dyDescent="0.3">
      <c r="A89" s="6" t="s">
        <v>36</v>
      </c>
      <c r="B89" s="6" t="s">
        <v>30</v>
      </c>
      <c r="C89" s="6" t="s">
        <v>91</v>
      </c>
      <c r="D89" s="8">
        <v>4301</v>
      </c>
      <c r="E89" s="9">
        <v>232.5</v>
      </c>
      <c r="H89" s="6">
        <v>194659</v>
      </c>
      <c r="I89" s="10" t="s">
        <v>293</v>
      </c>
      <c r="J89" s="6" t="s">
        <v>230</v>
      </c>
      <c r="K89" s="6" t="s">
        <v>3</v>
      </c>
      <c r="L89" s="11">
        <v>43221</v>
      </c>
      <c r="M89" s="11">
        <f>DCPXX[[#This Row],[INV DOC DATE]]+30</f>
        <v>43251</v>
      </c>
      <c r="N89" s="11">
        <v>43220</v>
      </c>
      <c r="O89" s="13">
        <v>232.5</v>
      </c>
      <c r="P89" s="11">
        <v>43255</v>
      </c>
      <c r="Q89" s="13">
        <f t="shared" si="1"/>
        <v>0</v>
      </c>
      <c r="R89" s="13" t="str">
        <f ca="1">IF(TODAY() - DCPXX[INV DUE DATE]&lt;30, "Less than 30 days",IF(TODAY()-DCPXX[INV DUE DATE]&lt;60,"30-60 days","More than 60 days"))</f>
        <v>30-60 days</v>
      </c>
      <c r="S89" s="6" t="s">
        <v>817</v>
      </c>
      <c r="T89" s="44" t="s">
        <v>2229</v>
      </c>
      <c r="U89" s="13" t="s">
        <v>3699</v>
      </c>
    </row>
    <row r="90" spans="1:21" x14ac:dyDescent="0.3">
      <c r="A90" s="6" t="s">
        <v>36</v>
      </c>
      <c r="B90" s="6" t="s">
        <v>30</v>
      </c>
      <c r="C90" s="6" t="s">
        <v>92</v>
      </c>
      <c r="D90" s="8">
        <v>4301</v>
      </c>
      <c r="E90" s="9">
        <v>232.5</v>
      </c>
      <c r="H90" s="6">
        <v>194659</v>
      </c>
      <c r="I90" s="10" t="s">
        <v>293</v>
      </c>
      <c r="J90" s="6" t="s">
        <v>231</v>
      </c>
      <c r="K90" s="6" t="s">
        <v>3</v>
      </c>
      <c r="L90" s="11">
        <v>43221</v>
      </c>
      <c r="M90" s="11">
        <f>DCPXX[[#This Row],[INV DOC DATE]]+30</f>
        <v>43251</v>
      </c>
      <c r="N90" s="11">
        <v>43220</v>
      </c>
      <c r="O90" s="13">
        <v>232.5</v>
      </c>
      <c r="P90" s="11">
        <v>43255</v>
      </c>
      <c r="Q90" s="13">
        <f t="shared" si="1"/>
        <v>0</v>
      </c>
      <c r="R90" s="13" t="str">
        <f ca="1">IF(TODAY() - DCPXX[INV DUE DATE]&lt;30, "Less than 30 days",IF(TODAY()-DCPXX[INV DUE DATE]&lt;60,"30-60 days","More than 60 days"))</f>
        <v>30-60 days</v>
      </c>
      <c r="S90" s="6" t="s">
        <v>817</v>
      </c>
      <c r="T90" s="44" t="s">
        <v>2229</v>
      </c>
      <c r="U90" s="13" t="s">
        <v>3699</v>
      </c>
    </row>
    <row r="91" spans="1:21" x14ac:dyDescent="0.3">
      <c r="A91" s="6" t="s">
        <v>36</v>
      </c>
      <c r="B91" s="6" t="s">
        <v>30</v>
      </c>
      <c r="C91" s="6" t="s">
        <v>30</v>
      </c>
      <c r="D91" s="8">
        <v>4301</v>
      </c>
      <c r="E91" s="9">
        <v>232.5</v>
      </c>
      <c r="H91" s="6">
        <v>194659</v>
      </c>
      <c r="I91" s="10" t="s">
        <v>293</v>
      </c>
      <c r="J91" s="6" t="s">
        <v>232</v>
      </c>
      <c r="K91" s="6" t="s">
        <v>3</v>
      </c>
      <c r="L91" s="11">
        <v>43221</v>
      </c>
      <c r="M91" s="11">
        <f>DCPXX[[#This Row],[INV DOC DATE]]+30</f>
        <v>43251</v>
      </c>
      <c r="N91" s="11">
        <v>43220</v>
      </c>
      <c r="O91" s="13">
        <v>232.5</v>
      </c>
      <c r="P91" s="11">
        <v>43255</v>
      </c>
      <c r="Q91" s="13">
        <f t="shared" si="1"/>
        <v>0</v>
      </c>
      <c r="R91" s="13" t="str">
        <f ca="1">IF(TODAY() - DCPXX[INV DUE DATE]&lt;30, "Less than 30 days",IF(TODAY()-DCPXX[INV DUE DATE]&lt;60,"30-60 days","More than 60 days"))</f>
        <v>30-60 days</v>
      </c>
      <c r="S91" s="6" t="s">
        <v>817</v>
      </c>
      <c r="T91" s="44" t="s">
        <v>2229</v>
      </c>
      <c r="U91" s="13" t="s">
        <v>3699</v>
      </c>
    </row>
    <row r="92" spans="1:21" x14ac:dyDescent="0.3">
      <c r="A92" s="6" t="s">
        <v>36</v>
      </c>
      <c r="B92" s="6" t="s">
        <v>30</v>
      </c>
      <c r="C92" s="6" t="s">
        <v>93</v>
      </c>
      <c r="D92" s="8">
        <v>4301</v>
      </c>
      <c r="E92" s="9">
        <v>178.25</v>
      </c>
      <c r="H92" s="6">
        <v>194661</v>
      </c>
      <c r="I92" s="10" t="s">
        <v>293</v>
      </c>
      <c r="J92" s="6" t="s">
        <v>233</v>
      </c>
      <c r="K92" s="6" t="s">
        <v>3</v>
      </c>
      <c r="L92" s="11">
        <v>43221</v>
      </c>
      <c r="M92" s="11">
        <f>DCPXX[[#This Row],[INV DOC DATE]]+30</f>
        <v>43251</v>
      </c>
      <c r="N92" s="11">
        <v>43220</v>
      </c>
      <c r="O92" s="13">
        <v>178.25</v>
      </c>
      <c r="P92" s="11">
        <v>43255</v>
      </c>
      <c r="Q92" s="13">
        <f t="shared" si="1"/>
        <v>0</v>
      </c>
      <c r="R92" s="13" t="str">
        <f ca="1">IF(TODAY() - DCPXX[INV DUE DATE]&lt;30, "Less than 30 days",IF(TODAY()-DCPXX[INV DUE DATE]&lt;60,"30-60 days","More than 60 days"))</f>
        <v>30-60 days</v>
      </c>
      <c r="S92" s="6" t="s">
        <v>817</v>
      </c>
      <c r="T92" s="44" t="s">
        <v>2229</v>
      </c>
      <c r="U92" s="13" t="s">
        <v>3699</v>
      </c>
    </row>
    <row r="93" spans="1:21" x14ac:dyDescent="0.3">
      <c r="A93" s="6" t="s">
        <v>36</v>
      </c>
      <c r="B93" s="6" t="s">
        <v>30</v>
      </c>
      <c r="C93" s="6" t="s">
        <v>94</v>
      </c>
      <c r="D93" s="8">
        <v>4301</v>
      </c>
      <c r="E93" s="9">
        <v>178.25</v>
      </c>
      <c r="H93" s="6">
        <v>194567</v>
      </c>
      <c r="I93" s="10" t="s">
        <v>293</v>
      </c>
      <c r="J93" s="6" t="s">
        <v>234</v>
      </c>
      <c r="K93" s="6" t="s">
        <v>3</v>
      </c>
      <c r="L93" s="11">
        <v>43221</v>
      </c>
      <c r="M93" s="11">
        <f>DCPXX[[#This Row],[INV DOC DATE]]+30</f>
        <v>43251</v>
      </c>
      <c r="N93" s="11">
        <v>43220</v>
      </c>
      <c r="O93" s="13">
        <v>178.25</v>
      </c>
      <c r="P93" s="11">
        <v>43255</v>
      </c>
      <c r="Q93" s="13">
        <f t="shared" si="1"/>
        <v>0</v>
      </c>
      <c r="R93" s="13" t="str">
        <f ca="1">IF(TODAY() - DCPXX[INV DUE DATE]&lt;30, "Less than 30 days",IF(TODAY()-DCPXX[INV DUE DATE]&lt;60,"30-60 days","More than 60 days"))</f>
        <v>30-60 days</v>
      </c>
      <c r="S93" s="6" t="s">
        <v>817</v>
      </c>
      <c r="T93" s="44" t="s">
        <v>2229</v>
      </c>
      <c r="U93" s="13" t="s">
        <v>3699</v>
      </c>
    </row>
    <row r="94" spans="1:21" x14ac:dyDescent="0.3">
      <c r="A94" s="6" t="s">
        <v>36</v>
      </c>
      <c r="B94" s="6" t="s">
        <v>30</v>
      </c>
      <c r="C94" s="6" t="s">
        <v>95</v>
      </c>
      <c r="D94" s="8">
        <v>4301</v>
      </c>
      <c r="E94" s="9">
        <v>178.25</v>
      </c>
      <c r="H94" s="6">
        <v>194567</v>
      </c>
      <c r="I94" s="10" t="s">
        <v>293</v>
      </c>
      <c r="J94" s="6" t="s">
        <v>235</v>
      </c>
      <c r="K94" s="6" t="s">
        <v>3</v>
      </c>
      <c r="L94" s="11">
        <v>43221</v>
      </c>
      <c r="M94" s="11">
        <f>DCPXX[[#This Row],[INV DOC DATE]]+30</f>
        <v>43251</v>
      </c>
      <c r="N94" s="11">
        <v>43220</v>
      </c>
      <c r="O94" s="13">
        <v>178.25</v>
      </c>
      <c r="P94" s="11">
        <v>43255</v>
      </c>
      <c r="Q94" s="13">
        <f t="shared" si="1"/>
        <v>0</v>
      </c>
      <c r="R94" s="13" t="str">
        <f ca="1">IF(TODAY() - DCPXX[INV DUE DATE]&lt;30, "Less than 30 days",IF(TODAY()-DCPXX[INV DUE DATE]&lt;60,"30-60 days","More than 60 days"))</f>
        <v>30-60 days</v>
      </c>
      <c r="S94" s="6" t="s">
        <v>817</v>
      </c>
      <c r="T94" s="44" t="s">
        <v>2229</v>
      </c>
      <c r="U94" s="13" t="s">
        <v>3699</v>
      </c>
    </row>
    <row r="95" spans="1:21" x14ac:dyDescent="0.3">
      <c r="A95" s="6" t="s">
        <v>36</v>
      </c>
      <c r="B95" s="6" t="s">
        <v>30</v>
      </c>
      <c r="C95" s="6" t="s">
        <v>96</v>
      </c>
      <c r="D95" s="8">
        <v>4301</v>
      </c>
      <c r="E95" s="9">
        <v>232.5</v>
      </c>
      <c r="H95" s="6">
        <v>194756</v>
      </c>
      <c r="I95" s="10" t="s">
        <v>293</v>
      </c>
      <c r="J95" s="6" t="s">
        <v>236</v>
      </c>
      <c r="K95" s="6" t="s">
        <v>3</v>
      </c>
      <c r="L95" s="11">
        <v>43221</v>
      </c>
      <c r="M95" s="11">
        <f>DCPXX[[#This Row],[INV DOC DATE]]+30</f>
        <v>43251</v>
      </c>
      <c r="N95" s="11">
        <v>43220</v>
      </c>
      <c r="O95" s="13">
        <v>232.5</v>
      </c>
      <c r="P95" s="11">
        <v>43255</v>
      </c>
      <c r="Q95" s="13">
        <f t="shared" si="1"/>
        <v>0</v>
      </c>
      <c r="R95" s="13" t="str">
        <f ca="1">IF(TODAY() - DCPXX[INV DUE DATE]&lt;30, "Less than 30 days",IF(TODAY()-DCPXX[INV DUE DATE]&lt;60,"30-60 days","More than 60 days"))</f>
        <v>30-60 days</v>
      </c>
      <c r="S95" s="6" t="s">
        <v>817</v>
      </c>
      <c r="T95" s="44" t="s">
        <v>2229</v>
      </c>
      <c r="U95" s="13" t="s">
        <v>3699</v>
      </c>
    </row>
    <row r="96" spans="1:21" x14ac:dyDescent="0.3">
      <c r="A96" s="6" t="s">
        <v>36</v>
      </c>
      <c r="B96" s="6" t="s">
        <v>30</v>
      </c>
      <c r="C96" s="6" t="s">
        <v>97</v>
      </c>
      <c r="D96" s="8">
        <v>4301</v>
      </c>
      <c r="E96" s="9">
        <v>232.5</v>
      </c>
      <c r="H96" s="6">
        <v>194756</v>
      </c>
      <c r="I96" s="10" t="s">
        <v>293</v>
      </c>
      <c r="J96" s="6" t="s">
        <v>237</v>
      </c>
      <c r="K96" s="6" t="s">
        <v>3</v>
      </c>
      <c r="L96" s="11">
        <v>43221</v>
      </c>
      <c r="M96" s="11">
        <f>DCPXX[[#This Row],[INV DOC DATE]]+30</f>
        <v>43251</v>
      </c>
      <c r="N96" s="11">
        <v>43220</v>
      </c>
      <c r="O96" s="13">
        <v>232.5</v>
      </c>
      <c r="P96" s="11">
        <v>43255</v>
      </c>
      <c r="Q96" s="13">
        <f t="shared" si="1"/>
        <v>0</v>
      </c>
      <c r="R96" s="13" t="str">
        <f ca="1">IF(TODAY() - DCPXX[INV DUE DATE]&lt;30, "Less than 30 days",IF(TODAY()-DCPXX[INV DUE DATE]&lt;60,"30-60 days","More than 60 days"))</f>
        <v>30-60 days</v>
      </c>
      <c r="S96" s="6" t="s">
        <v>817</v>
      </c>
      <c r="T96" s="44" t="s">
        <v>2229</v>
      </c>
      <c r="U96" s="13" t="s">
        <v>3699</v>
      </c>
    </row>
    <row r="97" spans="1:21" x14ac:dyDescent="0.3">
      <c r="A97" s="6" t="s">
        <v>36</v>
      </c>
      <c r="B97" s="6" t="s">
        <v>30</v>
      </c>
      <c r="C97" s="6" t="s">
        <v>98</v>
      </c>
      <c r="D97" s="8">
        <v>4301</v>
      </c>
      <c r="E97" s="9">
        <v>434</v>
      </c>
      <c r="H97" s="6">
        <v>194567</v>
      </c>
      <c r="I97" s="10" t="s">
        <v>293</v>
      </c>
      <c r="J97" s="6" t="s">
        <v>238</v>
      </c>
      <c r="K97" s="6" t="s">
        <v>3</v>
      </c>
      <c r="L97" s="11">
        <v>43221</v>
      </c>
      <c r="M97" s="11">
        <f>DCPXX[[#This Row],[INV DOC DATE]]+30</f>
        <v>43251</v>
      </c>
      <c r="N97" s="11">
        <v>43220</v>
      </c>
      <c r="O97" s="13">
        <v>434</v>
      </c>
      <c r="P97" s="11">
        <v>43255</v>
      </c>
      <c r="Q97" s="13">
        <f t="shared" si="1"/>
        <v>0</v>
      </c>
      <c r="R97" s="13" t="str">
        <f ca="1">IF(TODAY() - DCPXX[INV DUE DATE]&lt;30, "Less than 30 days",IF(TODAY()-DCPXX[INV DUE DATE]&lt;60,"30-60 days","More than 60 days"))</f>
        <v>30-60 days</v>
      </c>
      <c r="S97" s="6" t="s">
        <v>817</v>
      </c>
      <c r="T97" s="44" t="s">
        <v>2229</v>
      </c>
      <c r="U97" s="13" t="s">
        <v>3699</v>
      </c>
    </row>
    <row r="98" spans="1:21" x14ac:dyDescent="0.3">
      <c r="A98" s="6" t="s">
        <v>36</v>
      </c>
      <c r="B98" s="6" t="s">
        <v>30</v>
      </c>
      <c r="C98" s="6" t="s">
        <v>99</v>
      </c>
      <c r="D98" s="8">
        <v>4301</v>
      </c>
      <c r="E98" s="9">
        <v>434</v>
      </c>
      <c r="H98" s="6">
        <v>194567</v>
      </c>
      <c r="I98" s="10" t="s">
        <v>293</v>
      </c>
      <c r="J98" s="6" t="s">
        <v>239</v>
      </c>
      <c r="K98" s="6" t="s">
        <v>3</v>
      </c>
      <c r="L98" s="11">
        <v>43221</v>
      </c>
      <c r="M98" s="11">
        <f>DCPXX[[#This Row],[INV DOC DATE]]+30</f>
        <v>43251</v>
      </c>
      <c r="N98" s="11">
        <v>43220</v>
      </c>
      <c r="O98" s="13">
        <v>434</v>
      </c>
      <c r="P98" s="11">
        <v>43255</v>
      </c>
      <c r="Q98" s="13">
        <f t="shared" si="1"/>
        <v>0</v>
      </c>
      <c r="R98" s="13" t="str">
        <f ca="1">IF(TODAY() - DCPXX[INV DUE DATE]&lt;30, "Less than 30 days",IF(TODAY()-DCPXX[INV DUE DATE]&lt;60,"30-60 days","More than 60 days"))</f>
        <v>30-60 days</v>
      </c>
      <c r="S98" s="6" t="s">
        <v>817</v>
      </c>
      <c r="T98" s="44" t="s">
        <v>2229</v>
      </c>
      <c r="U98" s="13" t="s">
        <v>3699</v>
      </c>
    </row>
    <row r="99" spans="1:21" x14ac:dyDescent="0.3">
      <c r="A99" s="6" t="s">
        <v>36</v>
      </c>
      <c r="B99" s="6" t="s">
        <v>30</v>
      </c>
      <c r="C99" s="6" t="s">
        <v>100</v>
      </c>
      <c r="D99" s="8">
        <v>4301</v>
      </c>
      <c r="E99" s="9">
        <v>434</v>
      </c>
      <c r="H99" s="6">
        <v>194567</v>
      </c>
      <c r="I99" s="10" t="s">
        <v>293</v>
      </c>
      <c r="J99" s="6" t="s">
        <v>240</v>
      </c>
      <c r="K99" s="6" t="s">
        <v>3</v>
      </c>
      <c r="L99" s="11">
        <v>43221</v>
      </c>
      <c r="M99" s="11">
        <f>DCPXX[[#This Row],[INV DOC DATE]]+30</f>
        <v>43251</v>
      </c>
      <c r="N99" s="11">
        <v>43220</v>
      </c>
      <c r="O99" s="13">
        <v>434</v>
      </c>
      <c r="P99" s="11">
        <v>43255</v>
      </c>
      <c r="Q99" s="13">
        <f t="shared" si="1"/>
        <v>0</v>
      </c>
      <c r="R99" s="13" t="str">
        <f ca="1">IF(TODAY() - DCPXX[INV DUE DATE]&lt;30, "Less than 30 days",IF(TODAY()-DCPXX[INV DUE DATE]&lt;60,"30-60 days","More than 60 days"))</f>
        <v>30-60 days</v>
      </c>
      <c r="S99" s="6" t="s">
        <v>817</v>
      </c>
      <c r="T99" s="44" t="s">
        <v>2229</v>
      </c>
      <c r="U99" s="13" t="s">
        <v>3699</v>
      </c>
    </row>
    <row r="100" spans="1:21" x14ac:dyDescent="0.3">
      <c r="A100" s="6" t="s">
        <v>36</v>
      </c>
      <c r="B100" s="6" t="s">
        <v>30</v>
      </c>
      <c r="C100" s="6" t="s">
        <v>101</v>
      </c>
      <c r="D100" s="8">
        <v>4301</v>
      </c>
      <c r="E100" s="9">
        <v>434</v>
      </c>
      <c r="H100" s="6">
        <v>194567</v>
      </c>
      <c r="I100" s="10" t="s">
        <v>293</v>
      </c>
      <c r="J100" s="6" t="s">
        <v>241</v>
      </c>
      <c r="K100" s="6" t="s">
        <v>3</v>
      </c>
      <c r="L100" s="11">
        <v>43221</v>
      </c>
      <c r="M100" s="11">
        <f>DCPXX[[#This Row],[INV DOC DATE]]+30</f>
        <v>43251</v>
      </c>
      <c r="N100" s="11">
        <v>43220</v>
      </c>
      <c r="O100" s="13">
        <v>434</v>
      </c>
      <c r="P100" s="11">
        <v>43255</v>
      </c>
      <c r="Q100" s="13">
        <f t="shared" si="1"/>
        <v>0</v>
      </c>
      <c r="R100" s="13" t="str">
        <f ca="1">IF(TODAY() - DCPXX[INV DUE DATE]&lt;30, "Less than 30 days",IF(TODAY()-DCPXX[INV DUE DATE]&lt;60,"30-60 days","More than 60 days"))</f>
        <v>30-60 days</v>
      </c>
      <c r="S100" s="6" t="s">
        <v>817</v>
      </c>
      <c r="T100" s="44" t="s">
        <v>2229</v>
      </c>
      <c r="U100" s="13" t="s">
        <v>3699</v>
      </c>
    </row>
    <row r="101" spans="1:21" x14ac:dyDescent="0.3">
      <c r="A101" s="6" t="s">
        <v>36</v>
      </c>
      <c r="B101" s="6" t="s">
        <v>30</v>
      </c>
      <c r="C101" s="6" t="s">
        <v>102</v>
      </c>
      <c r="D101" s="8">
        <v>4301</v>
      </c>
      <c r="E101" s="9">
        <v>434</v>
      </c>
      <c r="H101" s="6">
        <v>194567</v>
      </c>
      <c r="I101" s="10" t="s">
        <v>293</v>
      </c>
      <c r="J101" s="6" t="s">
        <v>242</v>
      </c>
      <c r="K101" s="6" t="s">
        <v>3</v>
      </c>
      <c r="L101" s="11">
        <v>43221</v>
      </c>
      <c r="M101" s="11">
        <f>DCPXX[[#This Row],[INV DOC DATE]]+30</f>
        <v>43251</v>
      </c>
      <c r="N101" s="11">
        <v>43220</v>
      </c>
      <c r="O101" s="13">
        <v>434</v>
      </c>
      <c r="P101" s="11">
        <v>43255</v>
      </c>
      <c r="Q101" s="13">
        <f t="shared" si="1"/>
        <v>0</v>
      </c>
      <c r="R101" s="13" t="str">
        <f ca="1">IF(TODAY() - DCPXX[INV DUE DATE]&lt;30, "Less than 30 days",IF(TODAY()-DCPXX[INV DUE DATE]&lt;60,"30-60 days","More than 60 days"))</f>
        <v>30-60 days</v>
      </c>
      <c r="S101" s="6" t="s">
        <v>817</v>
      </c>
      <c r="T101" s="44" t="s">
        <v>2229</v>
      </c>
      <c r="U101" s="13" t="s">
        <v>3699</v>
      </c>
    </row>
    <row r="102" spans="1:21" x14ac:dyDescent="0.3">
      <c r="A102" s="6" t="s">
        <v>36</v>
      </c>
      <c r="B102" s="6" t="s">
        <v>30</v>
      </c>
      <c r="C102" s="6" t="s">
        <v>103</v>
      </c>
      <c r="D102" s="8">
        <v>4301</v>
      </c>
      <c r="E102" s="9">
        <v>434</v>
      </c>
      <c r="H102" s="6">
        <v>194567</v>
      </c>
      <c r="I102" s="10" t="s">
        <v>293</v>
      </c>
      <c r="J102" s="6" t="s">
        <v>243</v>
      </c>
      <c r="K102" s="6" t="s">
        <v>3</v>
      </c>
      <c r="L102" s="11">
        <v>43221</v>
      </c>
      <c r="M102" s="11">
        <f>DCPXX[[#This Row],[INV DOC DATE]]+30</f>
        <v>43251</v>
      </c>
      <c r="N102" s="11">
        <v>43220</v>
      </c>
      <c r="O102" s="13">
        <v>434</v>
      </c>
      <c r="P102" s="11">
        <v>43255</v>
      </c>
      <c r="Q102" s="13">
        <f t="shared" si="1"/>
        <v>0</v>
      </c>
      <c r="R102" s="13" t="str">
        <f ca="1">IF(TODAY() - DCPXX[INV DUE DATE]&lt;30, "Less than 30 days",IF(TODAY()-DCPXX[INV DUE DATE]&lt;60,"30-60 days","More than 60 days"))</f>
        <v>30-60 days</v>
      </c>
      <c r="S102" s="6" t="s">
        <v>817</v>
      </c>
      <c r="T102" s="44" t="s">
        <v>2229</v>
      </c>
      <c r="U102" s="13" t="s">
        <v>3699</v>
      </c>
    </row>
    <row r="103" spans="1:21" x14ac:dyDescent="0.3">
      <c r="A103" s="6" t="s">
        <v>36</v>
      </c>
      <c r="B103" s="6" t="s">
        <v>30</v>
      </c>
      <c r="C103" s="6" t="s">
        <v>104</v>
      </c>
      <c r="D103" s="8">
        <v>4301</v>
      </c>
      <c r="E103" s="9">
        <v>434</v>
      </c>
      <c r="H103" s="6">
        <v>194567</v>
      </c>
      <c r="I103" s="10" t="s">
        <v>293</v>
      </c>
      <c r="J103" s="6" t="s">
        <v>244</v>
      </c>
      <c r="K103" s="6" t="s">
        <v>3</v>
      </c>
      <c r="L103" s="11">
        <v>43221</v>
      </c>
      <c r="M103" s="11">
        <f>DCPXX[[#This Row],[INV DOC DATE]]+30</f>
        <v>43251</v>
      </c>
      <c r="N103" s="11">
        <v>43220</v>
      </c>
      <c r="O103" s="13">
        <v>434</v>
      </c>
      <c r="P103" s="11">
        <v>43255</v>
      </c>
      <c r="Q103" s="13">
        <f t="shared" si="1"/>
        <v>0</v>
      </c>
      <c r="R103" s="13" t="str">
        <f ca="1">IF(TODAY() - DCPXX[INV DUE DATE]&lt;30, "Less than 30 days",IF(TODAY()-DCPXX[INV DUE DATE]&lt;60,"30-60 days","More than 60 days"))</f>
        <v>30-60 days</v>
      </c>
      <c r="S103" s="6" t="s">
        <v>817</v>
      </c>
      <c r="T103" s="44" t="s">
        <v>2229</v>
      </c>
      <c r="U103" s="13" t="s">
        <v>3699</v>
      </c>
    </row>
    <row r="104" spans="1:21" x14ac:dyDescent="0.3">
      <c r="A104" s="6" t="s">
        <v>36</v>
      </c>
      <c r="B104" s="6" t="s">
        <v>30</v>
      </c>
      <c r="C104" s="6" t="s">
        <v>105</v>
      </c>
      <c r="D104" s="8">
        <v>4301</v>
      </c>
      <c r="E104" s="9">
        <v>434</v>
      </c>
      <c r="H104" s="6">
        <v>194567</v>
      </c>
      <c r="I104" s="10" t="s">
        <v>293</v>
      </c>
      <c r="J104" s="6" t="s">
        <v>245</v>
      </c>
      <c r="K104" s="6" t="s">
        <v>3</v>
      </c>
      <c r="L104" s="11">
        <v>43221</v>
      </c>
      <c r="M104" s="11">
        <f>DCPXX[[#This Row],[INV DOC DATE]]+30</f>
        <v>43251</v>
      </c>
      <c r="N104" s="11">
        <v>43220</v>
      </c>
      <c r="O104" s="13">
        <v>434</v>
      </c>
      <c r="P104" s="11">
        <v>43255</v>
      </c>
      <c r="Q104" s="13">
        <f t="shared" si="1"/>
        <v>0</v>
      </c>
      <c r="R104" s="13" t="str">
        <f ca="1">IF(TODAY() - DCPXX[INV DUE DATE]&lt;30, "Less than 30 days",IF(TODAY()-DCPXX[INV DUE DATE]&lt;60,"30-60 days","More than 60 days"))</f>
        <v>30-60 days</v>
      </c>
      <c r="S104" s="6" t="s">
        <v>817</v>
      </c>
      <c r="T104" s="44" t="s">
        <v>2229</v>
      </c>
      <c r="U104" s="13" t="s">
        <v>3699</v>
      </c>
    </row>
    <row r="105" spans="1:21" x14ac:dyDescent="0.3">
      <c r="A105" s="6" t="s">
        <v>36</v>
      </c>
      <c r="B105" s="6" t="s">
        <v>30</v>
      </c>
      <c r="C105" s="6" t="s">
        <v>106</v>
      </c>
      <c r="D105" s="8">
        <v>4301</v>
      </c>
      <c r="E105" s="9">
        <v>434</v>
      </c>
      <c r="H105" s="6">
        <v>194567</v>
      </c>
      <c r="I105" s="10" t="s">
        <v>293</v>
      </c>
      <c r="J105" s="6" t="s">
        <v>246</v>
      </c>
      <c r="K105" s="6" t="s">
        <v>3</v>
      </c>
      <c r="L105" s="11">
        <v>43221</v>
      </c>
      <c r="M105" s="11">
        <f>DCPXX[[#This Row],[INV DOC DATE]]+30</f>
        <v>43251</v>
      </c>
      <c r="N105" s="11">
        <v>43220</v>
      </c>
      <c r="O105" s="13">
        <v>434</v>
      </c>
      <c r="P105" s="11">
        <v>43255</v>
      </c>
      <c r="Q105" s="13">
        <f t="shared" si="1"/>
        <v>0</v>
      </c>
      <c r="R105" s="13" t="str">
        <f ca="1">IF(TODAY() - DCPXX[INV DUE DATE]&lt;30, "Less than 30 days",IF(TODAY()-DCPXX[INV DUE DATE]&lt;60,"30-60 days","More than 60 days"))</f>
        <v>30-60 days</v>
      </c>
      <c r="S105" s="6" t="s">
        <v>817</v>
      </c>
      <c r="T105" s="44" t="s">
        <v>2229</v>
      </c>
      <c r="U105" s="13" t="s">
        <v>3699</v>
      </c>
    </row>
    <row r="106" spans="1:21" x14ac:dyDescent="0.3">
      <c r="A106" s="6" t="s">
        <v>36</v>
      </c>
      <c r="B106" s="6" t="s">
        <v>30</v>
      </c>
      <c r="C106" s="6" t="s">
        <v>107</v>
      </c>
      <c r="D106" s="8">
        <v>4301</v>
      </c>
      <c r="E106" s="9">
        <v>434</v>
      </c>
      <c r="H106" s="6">
        <v>194567</v>
      </c>
      <c r="I106" s="10" t="s">
        <v>293</v>
      </c>
      <c r="J106" s="6" t="s">
        <v>247</v>
      </c>
      <c r="K106" s="6" t="s">
        <v>3</v>
      </c>
      <c r="L106" s="11">
        <v>43221</v>
      </c>
      <c r="M106" s="11">
        <f>DCPXX[[#This Row],[INV DOC DATE]]+30</f>
        <v>43251</v>
      </c>
      <c r="N106" s="11">
        <v>43220</v>
      </c>
      <c r="O106" s="13">
        <v>434</v>
      </c>
      <c r="P106" s="11">
        <v>43255</v>
      </c>
      <c r="Q106" s="13">
        <f t="shared" si="1"/>
        <v>0</v>
      </c>
      <c r="R106" s="13" t="str">
        <f ca="1">IF(TODAY() - DCPXX[INV DUE DATE]&lt;30, "Less than 30 days",IF(TODAY()-DCPXX[INV DUE DATE]&lt;60,"30-60 days","More than 60 days"))</f>
        <v>30-60 days</v>
      </c>
      <c r="S106" s="6" t="s">
        <v>817</v>
      </c>
      <c r="T106" s="44" t="s">
        <v>2229</v>
      </c>
      <c r="U106" s="13" t="s">
        <v>3699</v>
      </c>
    </row>
    <row r="107" spans="1:21" x14ac:dyDescent="0.3">
      <c r="A107" s="6" t="s">
        <v>36</v>
      </c>
      <c r="B107" s="6" t="s">
        <v>30</v>
      </c>
      <c r="C107" s="6" t="s">
        <v>108</v>
      </c>
      <c r="D107" s="8">
        <v>4301</v>
      </c>
      <c r="E107" s="9">
        <v>434</v>
      </c>
      <c r="H107" s="6">
        <v>194567</v>
      </c>
      <c r="I107" s="10" t="s">
        <v>293</v>
      </c>
      <c r="J107" s="6" t="s">
        <v>248</v>
      </c>
      <c r="K107" s="6" t="s">
        <v>3</v>
      </c>
      <c r="L107" s="11">
        <v>43221</v>
      </c>
      <c r="M107" s="11">
        <f>DCPXX[[#This Row],[INV DOC DATE]]+30</f>
        <v>43251</v>
      </c>
      <c r="N107" s="11">
        <v>43220</v>
      </c>
      <c r="O107" s="13">
        <v>434</v>
      </c>
      <c r="P107" s="11">
        <v>43255</v>
      </c>
      <c r="Q107" s="13">
        <f t="shared" si="1"/>
        <v>0</v>
      </c>
      <c r="R107" s="13" t="str">
        <f ca="1">IF(TODAY() - DCPXX[INV DUE DATE]&lt;30, "Less than 30 days",IF(TODAY()-DCPXX[INV DUE DATE]&lt;60,"30-60 days","More than 60 days"))</f>
        <v>30-60 days</v>
      </c>
      <c r="S107" s="6" t="s">
        <v>817</v>
      </c>
      <c r="T107" s="44" t="s">
        <v>2229</v>
      </c>
      <c r="U107" s="13" t="s">
        <v>3699</v>
      </c>
    </row>
    <row r="108" spans="1:21" x14ac:dyDescent="0.3">
      <c r="A108" s="6" t="s">
        <v>36</v>
      </c>
      <c r="B108" s="6" t="s">
        <v>30</v>
      </c>
      <c r="C108" s="6" t="s">
        <v>109</v>
      </c>
      <c r="D108" s="8">
        <v>4301</v>
      </c>
      <c r="E108" s="9">
        <v>434</v>
      </c>
      <c r="H108" s="6">
        <v>194567</v>
      </c>
      <c r="I108" s="10" t="s">
        <v>293</v>
      </c>
      <c r="J108" s="6" t="s">
        <v>249</v>
      </c>
      <c r="K108" s="6" t="s">
        <v>3</v>
      </c>
      <c r="L108" s="11">
        <v>43221</v>
      </c>
      <c r="M108" s="11">
        <f>DCPXX[[#This Row],[INV DOC DATE]]+30</f>
        <v>43251</v>
      </c>
      <c r="N108" s="11">
        <v>43220</v>
      </c>
      <c r="O108" s="13">
        <v>434</v>
      </c>
      <c r="P108" s="11">
        <v>43255</v>
      </c>
      <c r="Q108" s="13">
        <f t="shared" si="1"/>
        <v>0</v>
      </c>
      <c r="R108" s="13" t="str">
        <f ca="1">IF(TODAY() - DCPXX[INV DUE DATE]&lt;30, "Less than 30 days",IF(TODAY()-DCPXX[INV DUE DATE]&lt;60,"30-60 days","More than 60 days"))</f>
        <v>30-60 days</v>
      </c>
      <c r="S108" s="6" t="s">
        <v>817</v>
      </c>
      <c r="T108" s="44" t="s">
        <v>2229</v>
      </c>
      <c r="U108" s="13" t="s">
        <v>3699</v>
      </c>
    </row>
    <row r="109" spans="1:21" x14ac:dyDescent="0.3">
      <c r="A109" s="6" t="s">
        <v>36</v>
      </c>
      <c r="B109" s="6" t="s">
        <v>30</v>
      </c>
      <c r="C109" s="6" t="s">
        <v>110</v>
      </c>
      <c r="D109" s="8">
        <v>4301</v>
      </c>
      <c r="E109" s="9">
        <v>434</v>
      </c>
      <c r="H109" s="6">
        <v>194567</v>
      </c>
      <c r="I109" s="10" t="s">
        <v>293</v>
      </c>
      <c r="J109" s="6" t="s">
        <v>250</v>
      </c>
      <c r="K109" s="6" t="s">
        <v>3</v>
      </c>
      <c r="L109" s="11">
        <v>43221</v>
      </c>
      <c r="M109" s="11">
        <f>DCPXX[[#This Row],[INV DOC DATE]]+30</f>
        <v>43251</v>
      </c>
      <c r="N109" s="11">
        <v>43220</v>
      </c>
      <c r="O109" s="13">
        <v>434</v>
      </c>
      <c r="P109" s="11">
        <v>43255</v>
      </c>
      <c r="Q109" s="13">
        <f t="shared" si="1"/>
        <v>0</v>
      </c>
      <c r="R109" s="13" t="str">
        <f ca="1">IF(TODAY() - DCPXX[INV DUE DATE]&lt;30, "Less than 30 days",IF(TODAY()-DCPXX[INV DUE DATE]&lt;60,"30-60 days","More than 60 days"))</f>
        <v>30-60 days</v>
      </c>
      <c r="S109" s="6" t="s">
        <v>817</v>
      </c>
      <c r="T109" s="44" t="s">
        <v>2229</v>
      </c>
      <c r="U109" s="13" t="s">
        <v>3699</v>
      </c>
    </row>
    <row r="110" spans="1:21" x14ac:dyDescent="0.3">
      <c r="A110" s="6" t="s">
        <v>36</v>
      </c>
      <c r="B110" s="6" t="s">
        <v>30</v>
      </c>
      <c r="C110" s="6" t="s">
        <v>111</v>
      </c>
      <c r="D110" s="8">
        <v>4301</v>
      </c>
      <c r="E110" s="9">
        <v>434</v>
      </c>
      <c r="H110" s="6">
        <v>194567</v>
      </c>
      <c r="I110" s="10" t="s">
        <v>293</v>
      </c>
      <c r="J110" s="6" t="s">
        <v>251</v>
      </c>
      <c r="K110" s="6" t="s">
        <v>3</v>
      </c>
      <c r="L110" s="11">
        <v>43221</v>
      </c>
      <c r="M110" s="11">
        <f>DCPXX[[#This Row],[INV DOC DATE]]+30</f>
        <v>43251</v>
      </c>
      <c r="N110" s="11">
        <v>43220</v>
      </c>
      <c r="O110" s="13">
        <v>434</v>
      </c>
      <c r="P110" s="11">
        <v>43255</v>
      </c>
      <c r="Q110" s="13">
        <f t="shared" si="1"/>
        <v>0</v>
      </c>
      <c r="R110" s="13" t="str">
        <f ca="1">IF(TODAY() - DCPXX[INV DUE DATE]&lt;30, "Less than 30 days",IF(TODAY()-DCPXX[INV DUE DATE]&lt;60,"30-60 days","More than 60 days"))</f>
        <v>30-60 days</v>
      </c>
      <c r="S110" s="6" t="s">
        <v>817</v>
      </c>
      <c r="T110" s="44" t="s">
        <v>2229</v>
      </c>
      <c r="U110" s="13" t="s">
        <v>3699</v>
      </c>
    </row>
    <row r="111" spans="1:21" x14ac:dyDescent="0.3">
      <c r="A111" s="6" t="s">
        <v>36</v>
      </c>
      <c r="B111" s="6" t="s">
        <v>30</v>
      </c>
      <c r="C111" s="6" t="s">
        <v>112</v>
      </c>
      <c r="D111" s="8">
        <v>4301</v>
      </c>
      <c r="E111" s="9">
        <v>434</v>
      </c>
      <c r="H111" s="6">
        <v>194567</v>
      </c>
      <c r="I111" s="10" t="s">
        <v>293</v>
      </c>
      <c r="J111" s="6" t="s">
        <v>252</v>
      </c>
      <c r="K111" s="6" t="s">
        <v>3</v>
      </c>
      <c r="L111" s="11">
        <v>43221</v>
      </c>
      <c r="M111" s="11">
        <f>DCPXX[[#This Row],[INV DOC DATE]]+30</f>
        <v>43251</v>
      </c>
      <c r="N111" s="11">
        <v>43220</v>
      </c>
      <c r="O111" s="13">
        <v>434</v>
      </c>
      <c r="P111" s="11">
        <v>43255</v>
      </c>
      <c r="Q111" s="13">
        <f t="shared" si="1"/>
        <v>0</v>
      </c>
      <c r="R111" s="13" t="str">
        <f ca="1">IF(TODAY() - DCPXX[INV DUE DATE]&lt;30, "Less than 30 days",IF(TODAY()-DCPXX[INV DUE DATE]&lt;60,"30-60 days","More than 60 days"))</f>
        <v>30-60 days</v>
      </c>
      <c r="S111" s="6" t="s">
        <v>817</v>
      </c>
      <c r="T111" s="44" t="s">
        <v>2229</v>
      </c>
      <c r="U111" s="13" t="s">
        <v>3699</v>
      </c>
    </row>
    <row r="112" spans="1:21" x14ac:dyDescent="0.3">
      <c r="A112" s="6" t="s">
        <v>36</v>
      </c>
      <c r="B112" s="6" t="s">
        <v>30</v>
      </c>
      <c r="C112" s="6" t="s">
        <v>113</v>
      </c>
      <c r="D112" s="8">
        <v>4301</v>
      </c>
      <c r="E112" s="9">
        <v>434</v>
      </c>
      <c r="H112" s="6">
        <v>194567</v>
      </c>
      <c r="I112" s="10" t="s">
        <v>293</v>
      </c>
      <c r="J112" s="6" t="s">
        <v>253</v>
      </c>
      <c r="K112" s="6" t="s">
        <v>3</v>
      </c>
      <c r="L112" s="11">
        <v>43221</v>
      </c>
      <c r="M112" s="11">
        <f>DCPXX[[#This Row],[INV DOC DATE]]+30</f>
        <v>43251</v>
      </c>
      <c r="N112" s="11">
        <v>43220</v>
      </c>
      <c r="O112" s="13">
        <v>434</v>
      </c>
      <c r="P112" s="11">
        <v>43255</v>
      </c>
      <c r="Q112" s="13">
        <f t="shared" si="1"/>
        <v>0</v>
      </c>
      <c r="R112" s="13" t="str">
        <f ca="1">IF(TODAY() - DCPXX[INV DUE DATE]&lt;30, "Less than 30 days",IF(TODAY()-DCPXX[INV DUE DATE]&lt;60,"30-60 days","More than 60 days"))</f>
        <v>30-60 days</v>
      </c>
      <c r="S112" s="6" t="s">
        <v>817</v>
      </c>
      <c r="T112" s="44" t="s">
        <v>2229</v>
      </c>
      <c r="U112" s="13" t="s">
        <v>3699</v>
      </c>
    </row>
    <row r="113" spans="1:21" x14ac:dyDescent="0.3">
      <c r="A113" s="6" t="s">
        <v>36</v>
      </c>
      <c r="B113" s="6" t="s">
        <v>30</v>
      </c>
      <c r="C113" s="6" t="s">
        <v>114</v>
      </c>
      <c r="D113" s="8">
        <v>4301</v>
      </c>
      <c r="E113" s="9">
        <v>434</v>
      </c>
      <c r="H113" s="6">
        <v>194567</v>
      </c>
      <c r="I113" s="10" t="s">
        <v>293</v>
      </c>
      <c r="J113" s="6" t="s">
        <v>254</v>
      </c>
      <c r="K113" s="6" t="s">
        <v>3</v>
      </c>
      <c r="L113" s="11">
        <v>43221</v>
      </c>
      <c r="M113" s="11">
        <f>DCPXX[[#This Row],[INV DOC DATE]]+30</f>
        <v>43251</v>
      </c>
      <c r="N113" s="11">
        <v>43220</v>
      </c>
      <c r="O113" s="13">
        <v>434</v>
      </c>
      <c r="P113" s="11">
        <v>43255</v>
      </c>
      <c r="Q113" s="13">
        <f t="shared" si="1"/>
        <v>0</v>
      </c>
      <c r="R113" s="13" t="str">
        <f ca="1">IF(TODAY() - DCPXX[INV DUE DATE]&lt;30, "Less than 30 days",IF(TODAY()-DCPXX[INV DUE DATE]&lt;60,"30-60 days","More than 60 days"))</f>
        <v>30-60 days</v>
      </c>
      <c r="S113" s="6" t="s">
        <v>817</v>
      </c>
      <c r="T113" s="44" t="s">
        <v>2229</v>
      </c>
      <c r="U113" s="13" t="s">
        <v>3699</v>
      </c>
    </row>
    <row r="114" spans="1:21" x14ac:dyDescent="0.3">
      <c r="A114" s="6" t="s">
        <v>36</v>
      </c>
      <c r="B114" s="6" t="s">
        <v>30</v>
      </c>
      <c r="C114" s="6" t="s">
        <v>115</v>
      </c>
      <c r="D114" s="8">
        <v>4301</v>
      </c>
      <c r="E114" s="9">
        <v>434</v>
      </c>
      <c r="H114" s="6">
        <v>194567</v>
      </c>
      <c r="I114" s="10" t="s">
        <v>293</v>
      </c>
      <c r="J114" s="6" t="s">
        <v>255</v>
      </c>
      <c r="K114" s="6" t="s">
        <v>3</v>
      </c>
      <c r="L114" s="11">
        <v>43221</v>
      </c>
      <c r="M114" s="11">
        <f>DCPXX[[#This Row],[INV DOC DATE]]+30</f>
        <v>43251</v>
      </c>
      <c r="N114" s="11">
        <v>43220</v>
      </c>
      <c r="O114" s="13">
        <v>434</v>
      </c>
      <c r="P114" s="11">
        <v>43255</v>
      </c>
      <c r="Q114" s="13">
        <f t="shared" si="1"/>
        <v>0</v>
      </c>
      <c r="R114" s="13" t="str">
        <f ca="1">IF(TODAY() - DCPXX[INV DUE DATE]&lt;30, "Less than 30 days",IF(TODAY()-DCPXX[INV DUE DATE]&lt;60,"30-60 days","More than 60 days"))</f>
        <v>30-60 days</v>
      </c>
      <c r="S114" s="6" t="s">
        <v>817</v>
      </c>
      <c r="T114" s="44" t="s">
        <v>2229</v>
      </c>
      <c r="U114" s="13" t="s">
        <v>3699</v>
      </c>
    </row>
    <row r="115" spans="1:21" x14ac:dyDescent="0.3">
      <c r="A115" s="6" t="s">
        <v>36</v>
      </c>
      <c r="B115" s="6" t="s">
        <v>30</v>
      </c>
      <c r="C115" s="6" t="s">
        <v>116</v>
      </c>
      <c r="D115" s="8">
        <v>4301</v>
      </c>
      <c r="E115" s="9">
        <v>434</v>
      </c>
      <c r="H115" s="6">
        <v>194567</v>
      </c>
      <c r="I115" s="10" t="s">
        <v>293</v>
      </c>
      <c r="J115" s="6" t="s">
        <v>256</v>
      </c>
      <c r="K115" s="6" t="s">
        <v>3</v>
      </c>
      <c r="L115" s="11">
        <v>43221</v>
      </c>
      <c r="M115" s="11">
        <f>DCPXX[[#This Row],[INV DOC DATE]]+30</f>
        <v>43251</v>
      </c>
      <c r="N115" s="11">
        <v>43220</v>
      </c>
      <c r="O115" s="13">
        <v>434</v>
      </c>
      <c r="P115" s="11">
        <v>43255</v>
      </c>
      <c r="Q115" s="13">
        <f t="shared" si="1"/>
        <v>0</v>
      </c>
      <c r="R115" s="13" t="str">
        <f ca="1">IF(TODAY() - DCPXX[INV DUE DATE]&lt;30, "Less than 30 days",IF(TODAY()-DCPXX[INV DUE DATE]&lt;60,"30-60 days","More than 60 days"))</f>
        <v>30-60 days</v>
      </c>
      <c r="S115" s="6" t="s">
        <v>817</v>
      </c>
      <c r="T115" s="44" t="s">
        <v>2229</v>
      </c>
      <c r="U115" s="13" t="s">
        <v>3699</v>
      </c>
    </row>
    <row r="116" spans="1:21" x14ac:dyDescent="0.3">
      <c r="A116" s="6" t="s">
        <v>36</v>
      </c>
      <c r="B116" s="6" t="s">
        <v>30</v>
      </c>
      <c r="C116" s="6" t="s">
        <v>117</v>
      </c>
      <c r="D116" s="8">
        <v>4301</v>
      </c>
      <c r="E116" s="9">
        <v>434</v>
      </c>
      <c r="H116" s="6">
        <v>194567</v>
      </c>
      <c r="I116" s="10" t="s">
        <v>293</v>
      </c>
      <c r="J116" s="6" t="s">
        <v>257</v>
      </c>
      <c r="K116" s="6" t="s">
        <v>3</v>
      </c>
      <c r="L116" s="11">
        <v>43221</v>
      </c>
      <c r="M116" s="11">
        <f>DCPXX[[#This Row],[INV DOC DATE]]+30</f>
        <v>43251</v>
      </c>
      <c r="N116" s="11">
        <v>43220</v>
      </c>
      <c r="O116" s="13">
        <v>434</v>
      </c>
      <c r="P116" s="11">
        <v>43255</v>
      </c>
      <c r="Q116" s="13">
        <f t="shared" si="1"/>
        <v>0</v>
      </c>
      <c r="R116" s="13" t="str">
        <f ca="1">IF(TODAY() - DCPXX[INV DUE DATE]&lt;30, "Less than 30 days",IF(TODAY()-DCPXX[INV DUE DATE]&lt;60,"30-60 days","More than 60 days"))</f>
        <v>30-60 days</v>
      </c>
      <c r="S116" s="6" t="s">
        <v>817</v>
      </c>
      <c r="T116" s="44" t="s">
        <v>2229</v>
      </c>
      <c r="U116" s="13" t="s">
        <v>3699</v>
      </c>
    </row>
    <row r="117" spans="1:21" x14ac:dyDescent="0.3">
      <c r="A117" s="6" t="s">
        <v>36</v>
      </c>
      <c r="B117" s="6" t="s">
        <v>30</v>
      </c>
      <c r="C117" s="6" t="s">
        <v>118</v>
      </c>
      <c r="D117" s="8">
        <v>4301</v>
      </c>
      <c r="E117" s="9">
        <v>434</v>
      </c>
      <c r="H117" s="6">
        <v>194567</v>
      </c>
      <c r="I117" s="10" t="s">
        <v>293</v>
      </c>
      <c r="J117" s="6" t="s">
        <v>258</v>
      </c>
      <c r="K117" s="6" t="s">
        <v>3</v>
      </c>
      <c r="L117" s="11">
        <v>43221</v>
      </c>
      <c r="M117" s="11">
        <f>DCPXX[[#This Row],[INV DOC DATE]]+30</f>
        <v>43251</v>
      </c>
      <c r="N117" s="11">
        <v>43220</v>
      </c>
      <c r="O117" s="13">
        <v>434</v>
      </c>
      <c r="P117" s="11">
        <v>43255</v>
      </c>
      <c r="Q117" s="13">
        <f t="shared" si="1"/>
        <v>0</v>
      </c>
      <c r="R117" s="13" t="str">
        <f ca="1">IF(TODAY() - DCPXX[INV DUE DATE]&lt;30, "Less than 30 days",IF(TODAY()-DCPXX[INV DUE DATE]&lt;60,"30-60 days","More than 60 days"))</f>
        <v>30-60 days</v>
      </c>
      <c r="S117" s="6" t="s">
        <v>817</v>
      </c>
      <c r="T117" s="44" t="s">
        <v>2229</v>
      </c>
      <c r="U117" s="13" t="s">
        <v>3699</v>
      </c>
    </row>
    <row r="118" spans="1:21" x14ac:dyDescent="0.3">
      <c r="A118" s="6" t="s">
        <v>36</v>
      </c>
      <c r="B118" s="6" t="s">
        <v>30</v>
      </c>
      <c r="C118" s="6" t="s">
        <v>119</v>
      </c>
      <c r="D118" s="8">
        <v>4301</v>
      </c>
      <c r="E118" s="9">
        <v>434</v>
      </c>
      <c r="H118" s="6">
        <v>194567</v>
      </c>
      <c r="I118" s="10" t="s">
        <v>293</v>
      </c>
      <c r="J118" s="6" t="s">
        <v>259</v>
      </c>
      <c r="K118" s="6" t="s">
        <v>3</v>
      </c>
      <c r="L118" s="11">
        <v>43221</v>
      </c>
      <c r="M118" s="11">
        <f>DCPXX[[#This Row],[INV DOC DATE]]+30</f>
        <v>43251</v>
      </c>
      <c r="N118" s="11">
        <v>43220</v>
      </c>
      <c r="O118" s="13">
        <v>434</v>
      </c>
      <c r="P118" s="11">
        <v>43255</v>
      </c>
      <c r="Q118" s="13">
        <f t="shared" si="1"/>
        <v>0</v>
      </c>
      <c r="R118" s="13" t="str">
        <f ca="1">IF(TODAY() - DCPXX[INV DUE DATE]&lt;30, "Less than 30 days",IF(TODAY()-DCPXX[INV DUE DATE]&lt;60,"30-60 days","More than 60 days"))</f>
        <v>30-60 days</v>
      </c>
      <c r="S118" s="6" t="s">
        <v>817</v>
      </c>
      <c r="T118" s="44" t="s">
        <v>2229</v>
      </c>
      <c r="U118" s="13" t="s">
        <v>3699</v>
      </c>
    </row>
    <row r="119" spans="1:21" x14ac:dyDescent="0.3">
      <c r="A119" s="6" t="s">
        <v>36</v>
      </c>
      <c r="B119" s="6" t="s">
        <v>30</v>
      </c>
      <c r="C119" s="6" t="s">
        <v>120</v>
      </c>
      <c r="D119" s="8">
        <v>4301</v>
      </c>
      <c r="E119" s="9">
        <v>434</v>
      </c>
      <c r="H119" s="6">
        <v>194567</v>
      </c>
      <c r="I119" s="10" t="s">
        <v>293</v>
      </c>
      <c r="J119" s="6" t="s">
        <v>260</v>
      </c>
      <c r="K119" s="6" t="s">
        <v>3</v>
      </c>
      <c r="L119" s="11">
        <v>43221</v>
      </c>
      <c r="M119" s="11">
        <f>DCPXX[[#This Row],[INV DOC DATE]]+30</f>
        <v>43251</v>
      </c>
      <c r="N119" s="11">
        <v>43220</v>
      </c>
      <c r="O119" s="13">
        <v>434</v>
      </c>
      <c r="P119" s="11">
        <v>43255</v>
      </c>
      <c r="Q119" s="13">
        <f t="shared" si="1"/>
        <v>0</v>
      </c>
      <c r="R119" s="13" t="str">
        <f ca="1">IF(TODAY() - DCPXX[INV DUE DATE]&lt;30, "Less than 30 days",IF(TODAY()-DCPXX[INV DUE DATE]&lt;60,"30-60 days","More than 60 days"))</f>
        <v>30-60 days</v>
      </c>
      <c r="S119" s="6" t="s">
        <v>817</v>
      </c>
      <c r="T119" s="44" t="s">
        <v>2229</v>
      </c>
      <c r="U119" s="13" t="s">
        <v>3699</v>
      </c>
    </row>
    <row r="120" spans="1:21" x14ac:dyDescent="0.3">
      <c r="A120" s="6" t="s">
        <v>36</v>
      </c>
      <c r="B120" s="6" t="s">
        <v>30</v>
      </c>
      <c r="C120" s="6" t="s">
        <v>121</v>
      </c>
      <c r="D120" s="8">
        <v>4301</v>
      </c>
      <c r="E120" s="9">
        <v>434</v>
      </c>
      <c r="H120" s="6">
        <v>194567</v>
      </c>
      <c r="I120" s="10" t="s">
        <v>293</v>
      </c>
      <c r="J120" s="6" t="s">
        <v>261</v>
      </c>
      <c r="K120" s="6" t="s">
        <v>3</v>
      </c>
      <c r="L120" s="11">
        <v>43221</v>
      </c>
      <c r="M120" s="11">
        <f>DCPXX[[#This Row],[INV DOC DATE]]+30</f>
        <v>43251</v>
      </c>
      <c r="N120" s="11">
        <v>43220</v>
      </c>
      <c r="O120" s="13">
        <v>434</v>
      </c>
      <c r="P120" s="11">
        <v>43255</v>
      </c>
      <c r="Q120" s="13">
        <f t="shared" si="1"/>
        <v>0</v>
      </c>
      <c r="R120" s="13" t="str">
        <f ca="1">IF(TODAY() - DCPXX[INV DUE DATE]&lt;30, "Less than 30 days",IF(TODAY()-DCPXX[INV DUE DATE]&lt;60,"30-60 days","More than 60 days"))</f>
        <v>30-60 days</v>
      </c>
      <c r="S120" s="6" t="s">
        <v>817</v>
      </c>
      <c r="T120" s="44" t="s">
        <v>2229</v>
      </c>
      <c r="U120" s="13" t="s">
        <v>3699</v>
      </c>
    </row>
    <row r="121" spans="1:21" x14ac:dyDescent="0.3">
      <c r="A121" s="6" t="s">
        <v>36</v>
      </c>
      <c r="B121" s="6" t="s">
        <v>30</v>
      </c>
      <c r="C121" s="6" t="s">
        <v>122</v>
      </c>
      <c r="D121" s="8">
        <v>4301</v>
      </c>
      <c r="E121" s="9">
        <v>434</v>
      </c>
      <c r="H121" s="6">
        <v>194567</v>
      </c>
      <c r="I121" s="10" t="s">
        <v>293</v>
      </c>
      <c r="J121" s="6" t="s">
        <v>262</v>
      </c>
      <c r="K121" s="6" t="s">
        <v>3</v>
      </c>
      <c r="L121" s="11">
        <v>43221</v>
      </c>
      <c r="M121" s="11">
        <f>DCPXX[[#This Row],[INV DOC DATE]]+30</f>
        <v>43251</v>
      </c>
      <c r="N121" s="11">
        <v>43220</v>
      </c>
      <c r="O121" s="13">
        <v>434</v>
      </c>
      <c r="P121" s="11">
        <v>43255</v>
      </c>
      <c r="Q121" s="13">
        <f t="shared" si="1"/>
        <v>0</v>
      </c>
      <c r="R121" s="13" t="str">
        <f ca="1">IF(TODAY() - DCPXX[INV DUE DATE]&lt;30, "Less than 30 days",IF(TODAY()-DCPXX[INV DUE DATE]&lt;60,"30-60 days","More than 60 days"))</f>
        <v>30-60 days</v>
      </c>
      <c r="S121" s="6" t="s">
        <v>817</v>
      </c>
      <c r="T121" s="44" t="s">
        <v>2229</v>
      </c>
      <c r="U121" s="13" t="s">
        <v>3699</v>
      </c>
    </row>
    <row r="122" spans="1:21" x14ac:dyDescent="0.3">
      <c r="A122" s="6" t="s">
        <v>36</v>
      </c>
      <c r="B122" s="6" t="s">
        <v>30</v>
      </c>
      <c r="C122" s="6" t="s">
        <v>123</v>
      </c>
      <c r="D122" s="8">
        <v>4301</v>
      </c>
      <c r="E122" s="9">
        <v>434</v>
      </c>
      <c r="H122" s="6">
        <v>194567</v>
      </c>
      <c r="I122" s="10" t="s">
        <v>293</v>
      </c>
      <c r="J122" s="6" t="s">
        <v>263</v>
      </c>
      <c r="K122" s="6" t="s">
        <v>3</v>
      </c>
      <c r="L122" s="11">
        <v>43221</v>
      </c>
      <c r="M122" s="11">
        <f>DCPXX[[#This Row],[INV DOC DATE]]+30</f>
        <v>43251</v>
      </c>
      <c r="N122" s="11">
        <v>43220</v>
      </c>
      <c r="O122" s="13">
        <v>434</v>
      </c>
      <c r="P122" s="11">
        <v>43255</v>
      </c>
      <c r="Q122" s="13">
        <f t="shared" si="1"/>
        <v>0</v>
      </c>
      <c r="R122" s="13" t="str">
        <f ca="1">IF(TODAY() - DCPXX[INV DUE DATE]&lt;30, "Less than 30 days",IF(TODAY()-DCPXX[INV DUE DATE]&lt;60,"30-60 days","More than 60 days"))</f>
        <v>30-60 days</v>
      </c>
      <c r="S122" s="6" t="s">
        <v>817</v>
      </c>
      <c r="T122" s="44" t="s">
        <v>2229</v>
      </c>
      <c r="U122" s="13" t="s">
        <v>3699</v>
      </c>
    </row>
    <row r="123" spans="1:21" x14ac:dyDescent="0.3">
      <c r="A123" s="6" t="s">
        <v>36</v>
      </c>
      <c r="B123" s="6" t="s">
        <v>30</v>
      </c>
      <c r="C123" s="6" t="s">
        <v>124</v>
      </c>
      <c r="D123" s="8">
        <v>4301</v>
      </c>
      <c r="E123" s="9">
        <v>434</v>
      </c>
      <c r="H123" s="6">
        <v>194567</v>
      </c>
      <c r="I123" s="10" t="s">
        <v>293</v>
      </c>
      <c r="J123" s="6" t="s">
        <v>264</v>
      </c>
      <c r="K123" s="6" t="s">
        <v>3</v>
      </c>
      <c r="L123" s="11">
        <v>43221</v>
      </c>
      <c r="M123" s="11">
        <f>DCPXX[[#This Row],[INV DOC DATE]]+30</f>
        <v>43251</v>
      </c>
      <c r="N123" s="11">
        <v>43220</v>
      </c>
      <c r="O123" s="13">
        <v>434</v>
      </c>
      <c r="P123" s="11">
        <v>43255</v>
      </c>
      <c r="Q123" s="13">
        <f t="shared" si="1"/>
        <v>0</v>
      </c>
      <c r="R123" s="13" t="str">
        <f ca="1">IF(TODAY() - DCPXX[INV DUE DATE]&lt;30, "Less than 30 days",IF(TODAY()-DCPXX[INV DUE DATE]&lt;60,"30-60 days","More than 60 days"))</f>
        <v>30-60 days</v>
      </c>
      <c r="S123" s="6" t="s">
        <v>817</v>
      </c>
      <c r="T123" s="44" t="s">
        <v>2229</v>
      </c>
      <c r="U123" s="13" t="s">
        <v>3699</v>
      </c>
    </row>
    <row r="124" spans="1:21" x14ac:dyDescent="0.3">
      <c r="A124" s="6" t="s">
        <v>36</v>
      </c>
      <c r="B124" s="6" t="s">
        <v>30</v>
      </c>
      <c r="C124" s="6" t="s">
        <v>125</v>
      </c>
      <c r="D124" s="8">
        <v>4301</v>
      </c>
      <c r="E124" s="9">
        <v>434</v>
      </c>
      <c r="H124" s="6">
        <v>194567</v>
      </c>
      <c r="I124" s="10" t="s">
        <v>293</v>
      </c>
      <c r="J124" s="6" t="s">
        <v>265</v>
      </c>
      <c r="K124" s="6" t="s">
        <v>3</v>
      </c>
      <c r="L124" s="11">
        <v>43221</v>
      </c>
      <c r="M124" s="11">
        <f>DCPXX[[#This Row],[INV DOC DATE]]+30</f>
        <v>43251</v>
      </c>
      <c r="N124" s="11">
        <v>43220</v>
      </c>
      <c r="O124" s="13">
        <v>434</v>
      </c>
      <c r="P124" s="11">
        <v>43255</v>
      </c>
      <c r="Q124" s="13">
        <f t="shared" si="1"/>
        <v>0</v>
      </c>
      <c r="R124" s="13" t="str">
        <f ca="1">IF(TODAY() - DCPXX[INV DUE DATE]&lt;30, "Less than 30 days",IF(TODAY()-DCPXX[INV DUE DATE]&lt;60,"30-60 days","More than 60 days"))</f>
        <v>30-60 days</v>
      </c>
      <c r="S124" s="6" t="s">
        <v>817</v>
      </c>
      <c r="T124" s="44" t="s">
        <v>2229</v>
      </c>
      <c r="U124" s="13" t="s">
        <v>3699</v>
      </c>
    </row>
    <row r="125" spans="1:21" x14ac:dyDescent="0.3">
      <c r="A125" s="6" t="s">
        <v>36</v>
      </c>
      <c r="B125" s="6" t="s">
        <v>30</v>
      </c>
      <c r="C125" s="6" t="s">
        <v>126</v>
      </c>
      <c r="D125" s="8">
        <v>4301</v>
      </c>
      <c r="E125" s="9">
        <v>434</v>
      </c>
      <c r="H125" s="6">
        <v>194567</v>
      </c>
      <c r="I125" s="10" t="s">
        <v>293</v>
      </c>
      <c r="J125" s="6" t="s">
        <v>266</v>
      </c>
      <c r="K125" s="6" t="s">
        <v>3</v>
      </c>
      <c r="L125" s="11">
        <v>43221</v>
      </c>
      <c r="M125" s="11">
        <f>DCPXX[[#This Row],[INV DOC DATE]]+30</f>
        <v>43251</v>
      </c>
      <c r="N125" s="11">
        <v>43220</v>
      </c>
      <c r="O125" s="13">
        <v>434</v>
      </c>
      <c r="P125" s="11">
        <v>43255</v>
      </c>
      <c r="Q125" s="13">
        <f t="shared" si="1"/>
        <v>0</v>
      </c>
      <c r="R125" s="13" t="str">
        <f ca="1">IF(TODAY() - DCPXX[INV DUE DATE]&lt;30, "Less than 30 days",IF(TODAY()-DCPXX[INV DUE DATE]&lt;60,"30-60 days","More than 60 days"))</f>
        <v>30-60 days</v>
      </c>
      <c r="S125" s="6" t="s">
        <v>817</v>
      </c>
      <c r="T125" s="44" t="s">
        <v>2229</v>
      </c>
      <c r="U125" s="13" t="s">
        <v>3699</v>
      </c>
    </row>
    <row r="126" spans="1:21" x14ac:dyDescent="0.3">
      <c r="A126" s="6" t="s">
        <v>36</v>
      </c>
      <c r="B126" s="6" t="s">
        <v>30</v>
      </c>
      <c r="C126" s="6" t="s">
        <v>127</v>
      </c>
      <c r="D126" s="8">
        <v>4301</v>
      </c>
      <c r="E126" s="9">
        <v>434</v>
      </c>
      <c r="H126" s="6">
        <v>194567</v>
      </c>
      <c r="I126" s="10" t="s">
        <v>293</v>
      </c>
      <c r="J126" s="6" t="s">
        <v>267</v>
      </c>
      <c r="K126" s="6" t="s">
        <v>3</v>
      </c>
      <c r="L126" s="11">
        <v>43221</v>
      </c>
      <c r="M126" s="11">
        <f>DCPXX[[#This Row],[INV DOC DATE]]+30</f>
        <v>43251</v>
      </c>
      <c r="N126" s="11">
        <v>43220</v>
      </c>
      <c r="O126" s="13">
        <v>434</v>
      </c>
      <c r="P126" s="11">
        <v>43255</v>
      </c>
      <c r="Q126" s="13">
        <f t="shared" si="1"/>
        <v>0</v>
      </c>
      <c r="R126" s="13" t="str">
        <f ca="1">IF(TODAY() - DCPXX[INV DUE DATE]&lt;30, "Less than 30 days",IF(TODAY()-DCPXX[INV DUE DATE]&lt;60,"30-60 days","More than 60 days"))</f>
        <v>30-60 days</v>
      </c>
      <c r="S126" s="6" t="s">
        <v>817</v>
      </c>
      <c r="T126" s="44" t="s">
        <v>2229</v>
      </c>
      <c r="U126" s="13" t="s">
        <v>3699</v>
      </c>
    </row>
    <row r="127" spans="1:21" x14ac:dyDescent="0.3">
      <c r="A127" s="6" t="s">
        <v>36</v>
      </c>
      <c r="B127" s="6" t="s">
        <v>30</v>
      </c>
      <c r="C127" s="6" t="s">
        <v>128</v>
      </c>
      <c r="D127" s="8">
        <v>4301</v>
      </c>
      <c r="E127" s="9">
        <v>434</v>
      </c>
      <c r="H127" s="6">
        <v>194567</v>
      </c>
      <c r="I127" s="10" t="s">
        <v>293</v>
      </c>
      <c r="J127" s="6" t="s">
        <v>268</v>
      </c>
      <c r="K127" s="6" t="s">
        <v>3</v>
      </c>
      <c r="L127" s="11">
        <v>43221</v>
      </c>
      <c r="M127" s="11">
        <f>DCPXX[[#This Row],[INV DOC DATE]]+30</f>
        <v>43251</v>
      </c>
      <c r="N127" s="11">
        <v>43220</v>
      </c>
      <c r="O127" s="13">
        <v>434</v>
      </c>
      <c r="P127" s="11">
        <v>43255</v>
      </c>
      <c r="Q127" s="13">
        <f t="shared" si="1"/>
        <v>0</v>
      </c>
      <c r="R127" s="13" t="str">
        <f ca="1">IF(TODAY() - DCPXX[INV DUE DATE]&lt;30, "Less than 30 days",IF(TODAY()-DCPXX[INV DUE DATE]&lt;60,"30-60 days","More than 60 days"))</f>
        <v>30-60 days</v>
      </c>
      <c r="S127" s="6" t="s">
        <v>817</v>
      </c>
      <c r="T127" s="44" t="s">
        <v>2229</v>
      </c>
      <c r="U127" s="13" t="s">
        <v>3699</v>
      </c>
    </row>
    <row r="128" spans="1:21" x14ac:dyDescent="0.3">
      <c r="A128" s="6" t="s">
        <v>36</v>
      </c>
      <c r="B128" s="6" t="s">
        <v>30</v>
      </c>
      <c r="C128" s="6" t="s">
        <v>129</v>
      </c>
      <c r="D128" s="8">
        <v>4301</v>
      </c>
      <c r="E128" s="9">
        <v>434</v>
      </c>
      <c r="H128" s="6">
        <v>194567</v>
      </c>
      <c r="I128" s="10" t="s">
        <v>293</v>
      </c>
      <c r="J128" s="6" t="s">
        <v>269</v>
      </c>
      <c r="K128" s="6" t="s">
        <v>3</v>
      </c>
      <c r="L128" s="11">
        <v>43221</v>
      </c>
      <c r="M128" s="11">
        <f>DCPXX[[#This Row],[INV DOC DATE]]+30</f>
        <v>43251</v>
      </c>
      <c r="N128" s="11">
        <v>43220</v>
      </c>
      <c r="O128" s="13">
        <v>434</v>
      </c>
      <c r="P128" s="11">
        <v>43255</v>
      </c>
      <c r="Q128" s="13">
        <f t="shared" si="1"/>
        <v>0</v>
      </c>
      <c r="R128" s="13" t="str">
        <f ca="1">IF(TODAY() - DCPXX[INV DUE DATE]&lt;30, "Less than 30 days",IF(TODAY()-DCPXX[INV DUE DATE]&lt;60,"30-60 days","More than 60 days"))</f>
        <v>30-60 days</v>
      </c>
      <c r="S128" s="6" t="s">
        <v>817</v>
      </c>
      <c r="T128" s="44" t="s">
        <v>2229</v>
      </c>
      <c r="U128" s="13" t="s">
        <v>3699</v>
      </c>
    </row>
    <row r="129" spans="1:21" x14ac:dyDescent="0.3">
      <c r="A129" s="6" t="s">
        <v>36</v>
      </c>
      <c r="B129" s="6" t="s">
        <v>30</v>
      </c>
      <c r="C129" s="6" t="s">
        <v>130</v>
      </c>
      <c r="D129" s="8">
        <v>4301</v>
      </c>
      <c r="E129" s="9">
        <v>434</v>
      </c>
      <c r="H129" s="6">
        <v>194567</v>
      </c>
      <c r="I129" s="10" t="s">
        <v>293</v>
      </c>
      <c r="J129" s="6" t="s">
        <v>270</v>
      </c>
      <c r="K129" s="6" t="s">
        <v>3</v>
      </c>
      <c r="L129" s="11">
        <v>43221</v>
      </c>
      <c r="M129" s="11">
        <f>DCPXX[[#This Row],[INV DOC DATE]]+30</f>
        <v>43251</v>
      </c>
      <c r="N129" s="11">
        <v>43220</v>
      </c>
      <c r="O129" s="13">
        <v>434</v>
      </c>
      <c r="P129" s="11">
        <v>43255</v>
      </c>
      <c r="Q129" s="13">
        <f t="shared" si="1"/>
        <v>0</v>
      </c>
      <c r="R129" s="13" t="str">
        <f ca="1">IF(TODAY() - DCPXX[INV DUE DATE]&lt;30, "Less than 30 days",IF(TODAY()-DCPXX[INV DUE DATE]&lt;60,"30-60 days","More than 60 days"))</f>
        <v>30-60 days</v>
      </c>
      <c r="S129" s="6" t="s">
        <v>817</v>
      </c>
      <c r="T129" s="44" t="s">
        <v>2229</v>
      </c>
      <c r="U129" s="13" t="s">
        <v>3699</v>
      </c>
    </row>
    <row r="130" spans="1:21" x14ac:dyDescent="0.3">
      <c r="A130" s="6" t="s">
        <v>36</v>
      </c>
      <c r="B130" s="6" t="s">
        <v>30</v>
      </c>
      <c r="C130" s="6" t="s">
        <v>131</v>
      </c>
      <c r="D130" s="8">
        <v>4301</v>
      </c>
      <c r="E130" s="9">
        <v>434</v>
      </c>
      <c r="H130" s="6">
        <v>194567</v>
      </c>
      <c r="I130" s="10" t="s">
        <v>293</v>
      </c>
      <c r="J130" s="6" t="s">
        <v>271</v>
      </c>
      <c r="K130" s="6" t="s">
        <v>3</v>
      </c>
      <c r="L130" s="11">
        <v>43221</v>
      </c>
      <c r="M130" s="11">
        <f>DCPXX[[#This Row],[INV DOC DATE]]+30</f>
        <v>43251</v>
      </c>
      <c r="N130" s="11">
        <v>43220</v>
      </c>
      <c r="O130" s="13">
        <v>434</v>
      </c>
      <c r="P130" s="11">
        <v>43255</v>
      </c>
      <c r="Q130" s="13">
        <f t="shared" ref="Q130:Q193" si="2">$E130-$O130</f>
        <v>0</v>
      </c>
      <c r="R130" s="13" t="str">
        <f ca="1">IF(TODAY() - DCPXX[INV DUE DATE]&lt;30, "Less than 30 days",IF(TODAY()-DCPXX[INV DUE DATE]&lt;60,"30-60 days","More than 60 days"))</f>
        <v>30-60 days</v>
      </c>
      <c r="S130" s="6" t="s">
        <v>817</v>
      </c>
      <c r="T130" s="44" t="s">
        <v>2229</v>
      </c>
      <c r="U130" s="13" t="s">
        <v>3699</v>
      </c>
    </row>
    <row r="131" spans="1:21" x14ac:dyDescent="0.3">
      <c r="A131" s="6" t="s">
        <v>36</v>
      </c>
      <c r="B131" s="6" t="s">
        <v>30</v>
      </c>
      <c r="C131" s="6" t="s">
        <v>132</v>
      </c>
      <c r="D131" s="8">
        <v>4301</v>
      </c>
      <c r="E131" s="9">
        <v>434</v>
      </c>
      <c r="H131" s="6">
        <v>194567</v>
      </c>
      <c r="I131" s="10" t="s">
        <v>293</v>
      </c>
      <c r="J131" s="6" t="s">
        <v>272</v>
      </c>
      <c r="K131" s="6" t="s">
        <v>3</v>
      </c>
      <c r="L131" s="11">
        <v>43221</v>
      </c>
      <c r="M131" s="11">
        <f>DCPXX[[#This Row],[INV DOC DATE]]+30</f>
        <v>43251</v>
      </c>
      <c r="N131" s="11">
        <v>43220</v>
      </c>
      <c r="O131" s="13">
        <v>434</v>
      </c>
      <c r="P131" s="11">
        <v>43255</v>
      </c>
      <c r="Q131" s="13">
        <f t="shared" si="2"/>
        <v>0</v>
      </c>
      <c r="R131" s="13" t="str">
        <f ca="1">IF(TODAY() - DCPXX[INV DUE DATE]&lt;30, "Less than 30 days",IF(TODAY()-DCPXX[INV DUE DATE]&lt;60,"30-60 days","More than 60 days"))</f>
        <v>30-60 days</v>
      </c>
      <c r="S131" s="6" t="s">
        <v>817</v>
      </c>
      <c r="T131" s="44" t="s">
        <v>2229</v>
      </c>
      <c r="U131" s="13" t="s">
        <v>3699</v>
      </c>
    </row>
    <row r="132" spans="1:21" x14ac:dyDescent="0.3">
      <c r="A132" s="6" t="s">
        <v>36</v>
      </c>
      <c r="B132" s="6" t="s">
        <v>30</v>
      </c>
      <c r="C132" s="6" t="s">
        <v>133</v>
      </c>
      <c r="D132" s="8">
        <v>4301</v>
      </c>
      <c r="E132" s="9">
        <v>434</v>
      </c>
      <c r="H132" s="6">
        <v>194567</v>
      </c>
      <c r="I132" s="10" t="s">
        <v>293</v>
      </c>
      <c r="J132" s="6" t="s">
        <v>273</v>
      </c>
      <c r="K132" s="6" t="s">
        <v>3</v>
      </c>
      <c r="L132" s="11">
        <v>43221</v>
      </c>
      <c r="M132" s="11">
        <f>DCPXX[[#This Row],[INV DOC DATE]]+30</f>
        <v>43251</v>
      </c>
      <c r="N132" s="11">
        <v>43220</v>
      </c>
      <c r="O132" s="13">
        <v>434</v>
      </c>
      <c r="P132" s="11">
        <v>43255</v>
      </c>
      <c r="Q132" s="13">
        <f t="shared" si="2"/>
        <v>0</v>
      </c>
      <c r="R132" s="13" t="str">
        <f ca="1">IF(TODAY() - DCPXX[INV DUE DATE]&lt;30, "Less than 30 days",IF(TODAY()-DCPXX[INV DUE DATE]&lt;60,"30-60 days","More than 60 days"))</f>
        <v>30-60 days</v>
      </c>
      <c r="S132" s="6" t="s">
        <v>817</v>
      </c>
      <c r="T132" s="44" t="s">
        <v>2229</v>
      </c>
      <c r="U132" s="13" t="s">
        <v>3699</v>
      </c>
    </row>
    <row r="133" spans="1:21" x14ac:dyDescent="0.3">
      <c r="A133" s="6" t="s">
        <v>36</v>
      </c>
      <c r="B133" s="6" t="s">
        <v>30</v>
      </c>
      <c r="C133" s="6" t="s">
        <v>134</v>
      </c>
      <c r="D133" s="8">
        <v>4301</v>
      </c>
      <c r="E133" s="9">
        <v>434</v>
      </c>
      <c r="H133" s="6">
        <v>194567</v>
      </c>
      <c r="I133" s="10" t="s">
        <v>293</v>
      </c>
      <c r="J133" s="6" t="s">
        <v>274</v>
      </c>
      <c r="K133" s="6" t="s">
        <v>3</v>
      </c>
      <c r="L133" s="11">
        <v>43221</v>
      </c>
      <c r="M133" s="11">
        <f>DCPXX[[#This Row],[INV DOC DATE]]+30</f>
        <v>43251</v>
      </c>
      <c r="N133" s="11">
        <v>43220</v>
      </c>
      <c r="O133" s="13">
        <v>434</v>
      </c>
      <c r="P133" s="11">
        <v>43255</v>
      </c>
      <c r="Q133" s="13">
        <f t="shared" si="2"/>
        <v>0</v>
      </c>
      <c r="R133" s="13" t="str">
        <f ca="1">IF(TODAY() - DCPXX[INV DUE DATE]&lt;30, "Less than 30 days",IF(TODAY()-DCPXX[INV DUE DATE]&lt;60,"30-60 days","More than 60 days"))</f>
        <v>30-60 days</v>
      </c>
      <c r="S133" s="6" t="s">
        <v>817</v>
      </c>
      <c r="T133" s="44" t="s">
        <v>2229</v>
      </c>
      <c r="U133" s="13" t="s">
        <v>3699</v>
      </c>
    </row>
    <row r="134" spans="1:21" x14ac:dyDescent="0.3">
      <c r="A134" s="6" t="s">
        <v>36</v>
      </c>
      <c r="B134" s="6" t="s">
        <v>30</v>
      </c>
      <c r="C134" s="6" t="s">
        <v>135</v>
      </c>
      <c r="D134" s="8">
        <v>4301</v>
      </c>
      <c r="E134" s="9">
        <v>434</v>
      </c>
      <c r="H134" s="6">
        <v>194567</v>
      </c>
      <c r="I134" s="10" t="s">
        <v>293</v>
      </c>
      <c r="J134" s="6" t="s">
        <v>275</v>
      </c>
      <c r="K134" s="6" t="s">
        <v>3</v>
      </c>
      <c r="L134" s="11">
        <v>43221</v>
      </c>
      <c r="M134" s="11">
        <f>DCPXX[[#This Row],[INV DOC DATE]]+30</f>
        <v>43251</v>
      </c>
      <c r="N134" s="11">
        <v>43220</v>
      </c>
      <c r="O134" s="13">
        <v>434</v>
      </c>
      <c r="P134" s="11">
        <v>43255</v>
      </c>
      <c r="Q134" s="13">
        <f t="shared" si="2"/>
        <v>0</v>
      </c>
      <c r="R134" s="13" t="str">
        <f ca="1">IF(TODAY() - DCPXX[INV DUE DATE]&lt;30, "Less than 30 days",IF(TODAY()-DCPXX[INV DUE DATE]&lt;60,"30-60 days","More than 60 days"))</f>
        <v>30-60 days</v>
      </c>
      <c r="S134" s="6" t="s">
        <v>817</v>
      </c>
      <c r="T134" s="44" t="s">
        <v>2229</v>
      </c>
      <c r="U134" s="13" t="s">
        <v>3699</v>
      </c>
    </row>
    <row r="135" spans="1:21" x14ac:dyDescent="0.3">
      <c r="A135" s="6" t="s">
        <v>36</v>
      </c>
      <c r="B135" s="6" t="s">
        <v>30</v>
      </c>
      <c r="C135" s="6" t="s">
        <v>136</v>
      </c>
      <c r="D135" s="8">
        <v>4301</v>
      </c>
      <c r="E135" s="9">
        <v>434</v>
      </c>
      <c r="H135" s="6">
        <v>194567</v>
      </c>
      <c r="I135" s="10" t="s">
        <v>293</v>
      </c>
      <c r="J135" s="6" t="s">
        <v>276</v>
      </c>
      <c r="K135" s="6" t="s">
        <v>3</v>
      </c>
      <c r="L135" s="11">
        <v>43221</v>
      </c>
      <c r="M135" s="11">
        <f>DCPXX[[#This Row],[INV DOC DATE]]+30</f>
        <v>43251</v>
      </c>
      <c r="N135" s="11">
        <v>43220</v>
      </c>
      <c r="O135" s="13">
        <v>434</v>
      </c>
      <c r="P135" s="11">
        <v>43255</v>
      </c>
      <c r="Q135" s="13">
        <f t="shared" si="2"/>
        <v>0</v>
      </c>
      <c r="R135" s="13" t="str">
        <f ca="1">IF(TODAY() - DCPXX[INV DUE DATE]&lt;30, "Less than 30 days",IF(TODAY()-DCPXX[INV DUE DATE]&lt;60,"30-60 days","More than 60 days"))</f>
        <v>30-60 days</v>
      </c>
      <c r="S135" s="6" t="s">
        <v>817</v>
      </c>
      <c r="T135" s="44" t="s">
        <v>2229</v>
      </c>
      <c r="U135" s="13" t="s">
        <v>3699</v>
      </c>
    </row>
    <row r="136" spans="1:21" x14ac:dyDescent="0.3">
      <c r="A136" s="6" t="s">
        <v>36</v>
      </c>
      <c r="B136" s="6" t="s">
        <v>30</v>
      </c>
      <c r="C136" s="6" t="s">
        <v>137</v>
      </c>
      <c r="D136" s="8">
        <v>4301</v>
      </c>
      <c r="E136" s="9">
        <v>434</v>
      </c>
      <c r="H136" s="6">
        <v>194567</v>
      </c>
      <c r="I136" s="10" t="s">
        <v>293</v>
      </c>
      <c r="J136" s="6" t="s">
        <v>277</v>
      </c>
      <c r="K136" s="6" t="s">
        <v>3</v>
      </c>
      <c r="L136" s="11">
        <v>43221</v>
      </c>
      <c r="M136" s="11">
        <f>DCPXX[[#This Row],[INV DOC DATE]]+30</f>
        <v>43251</v>
      </c>
      <c r="N136" s="11">
        <v>43220</v>
      </c>
      <c r="O136" s="13">
        <v>434</v>
      </c>
      <c r="P136" s="11">
        <v>43255</v>
      </c>
      <c r="Q136" s="13">
        <f t="shared" si="2"/>
        <v>0</v>
      </c>
      <c r="R136" s="13" t="str">
        <f ca="1">IF(TODAY() - DCPXX[INV DUE DATE]&lt;30, "Less than 30 days",IF(TODAY()-DCPXX[INV DUE DATE]&lt;60,"30-60 days","More than 60 days"))</f>
        <v>30-60 days</v>
      </c>
      <c r="S136" s="6" t="s">
        <v>817</v>
      </c>
      <c r="T136" s="44" t="s">
        <v>2229</v>
      </c>
      <c r="U136" s="13" t="s">
        <v>3699</v>
      </c>
    </row>
    <row r="137" spans="1:21" x14ac:dyDescent="0.3">
      <c r="A137" s="6" t="s">
        <v>36</v>
      </c>
      <c r="B137" s="6" t="s">
        <v>30</v>
      </c>
      <c r="C137" s="6" t="s">
        <v>138</v>
      </c>
      <c r="D137" s="8">
        <v>4301</v>
      </c>
      <c r="E137" s="9">
        <v>434</v>
      </c>
      <c r="H137" s="6">
        <v>194567</v>
      </c>
      <c r="I137" s="10" t="s">
        <v>293</v>
      </c>
      <c r="J137" s="6" t="s">
        <v>278</v>
      </c>
      <c r="K137" s="6" t="s">
        <v>3</v>
      </c>
      <c r="L137" s="11">
        <v>43221</v>
      </c>
      <c r="M137" s="11">
        <f>DCPXX[[#This Row],[INV DOC DATE]]+30</f>
        <v>43251</v>
      </c>
      <c r="N137" s="11">
        <v>43220</v>
      </c>
      <c r="O137" s="13">
        <v>434</v>
      </c>
      <c r="P137" s="11">
        <v>43255</v>
      </c>
      <c r="Q137" s="13">
        <f t="shared" si="2"/>
        <v>0</v>
      </c>
      <c r="R137" s="13" t="str">
        <f ca="1">IF(TODAY() - DCPXX[INV DUE DATE]&lt;30, "Less than 30 days",IF(TODAY()-DCPXX[INV DUE DATE]&lt;60,"30-60 days","More than 60 days"))</f>
        <v>30-60 days</v>
      </c>
      <c r="S137" s="6" t="s">
        <v>817</v>
      </c>
      <c r="T137" s="44" t="s">
        <v>2229</v>
      </c>
      <c r="U137" s="13" t="s">
        <v>3699</v>
      </c>
    </row>
    <row r="138" spans="1:21" x14ac:dyDescent="0.3">
      <c r="A138" s="6" t="s">
        <v>36</v>
      </c>
      <c r="B138" s="6" t="s">
        <v>30</v>
      </c>
      <c r="C138" s="6" t="s">
        <v>139</v>
      </c>
      <c r="D138" s="8">
        <v>4301</v>
      </c>
      <c r="E138" s="9">
        <v>434</v>
      </c>
      <c r="H138" s="6">
        <v>194567</v>
      </c>
      <c r="I138" s="10" t="s">
        <v>293</v>
      </c>
      <c r="J138" s="6" t="s">
        <v>279</v>
      </c>
      <c r="K138" s="6" t="s">
        <v>3</v>
      </c>
      <c r="L138" s="11">
        <v>43221</v>
      </c>
      <c r="M138" s="11">
        <f>DCPXX[[#This Row],[INV DOC DATE]]+30</f>
        <v>43251</v>
      </c>
      <c r="N138" s="11">
        <v>43220</v>
      </c>
      <c r="O138" s="13">
        <v>434</v>
      </c>
      <c r="P138" s="11">
        <v>43255</v>
      </c>
      <c r="Q138" s="13">
        <f t="shared" si="2"/>
        <v>0</v>
      </c>
      <c r="R138" s="13" t="str">
        <f ca="1">IF(TODAY() - DCPXX[INV DUE DATE]&lt;30, "Less than 30 days",IF(TODAY()-DCPXX[INV DUE DATE]&lt;60,"30-60 days","More than 60 days"))</f>
        <v>30-60 days</v>
      </c>
      <c r="S138" s="6" t="s">
        <v>817</v>
      </c>
      <c r="T138" s="44" t="s">
        <v>2229</v>
      </c>
      <c r="U138" s="13" t="s">
        <v>3699</v>
      </c>
    </row>
    <row r="139" spans="1:21" x14ac:dyDescent="0.3">
      <c r="A139" s="6" t="s">
        <v>36</v>
      </c>
      <c r="B139" s="6" t="s">
        <v>30</v>
      </c>
      <c r="C139" s="6" t="s">
        <v>140</v>
      </c>
      <c r="D139" s="8">
        <v>4301</v>
      </c>
      <c r="E139" s="9">
        <v>310</v>
      </c>
      <c r="H139" s="6">
        <v>194567</v>
      </c>
      <c r="I139" s="8" t="s">
        <v>293</v>
      </c>
      <c r="J139" s="6" t="s">
        <v>280</v>
      </c>
      <c r="K139" s="6" t="s">
        <v>3</v>
      </c>
      <c r="L139" s="11">
        <v>43221</v>
      </c>
      <c r="M139" s="11">
        <f>DCPXX[[#This Row],[INV DOC DATE]]+30</f>
        <v>43251</v>
      </c>
      <c r="N139" s="11">
        <v>43220</v>
      </c>
      <c r="O139" s="13">
        <v>310</v>
      </c>
      <c r="P139" s="11">
        <v>43255</v>
      </c>
      <c r="Q139" s="13">
        <f t="shared" si="2"/>
        <v>0</v>
      </c>
      <c r="R139" s="13" t="str">
        <f ca="1">IF(TODAY() - DCPXX[INV DUE DATE]&lt;30, "Less than 30 days",IF(TODAY()-DCPXX[INV DUE DATE]&lt;60,"30-60 days","More than 60 days"))</f>
        <v>30-60 days</v>
      </c>
      <c r="S139" s="6" t="s">
        <v>817</v>
      </c>
      <c r="T139" s="44" t="s">
        <v>2229</v>
      </c>
      <c r="U139" s="13" t="s">
        <v>3699</v>
      </c>
    </row>
    <row r="140" spans="1:21" x14ac:dyDescent="0.3">
      <c r="A140" s="6" t="s">
        <v>36</v>
      </c>
      <c r="B140" s="6" t="s">
        <v>30</v>
      </c>
      <c r="C140" s="6" t="s">
        <v>141</v>
      </c>
      <c r="D140" s="8">
        <v>4301</v>
      </c>
      <c r="E140" s="9">
        <v>232.5</v>
      </c>
      <c r="H140" s="6">
        <v>194759</v>
      </c>
      <c r="I140" s="10" t="s">
        <v>293</v>
      </c>
      <c r="J140" s="6" t="s">
        <v>281</v>
      </c>
      <c r="K140" s="6" t="s">
        <v>3</v>
      </c>
      <c r="L140" s="11">
        <v>43221</v>
      </c>
      <c r="M140" s="11">
        <f>DCPXX[[#This Row],[INV DOC DATE]]+30</f>
        <v>43251</v>
      </c>
      <c r="N140" s="11">
        <v>43220</v>
      </c>
      <c r="O140" s="13">
        <v>232.5</v>
      </c>
      <c r="P140" s="11">
        <v>43255</v>
      </c>
      <c r="Q140" s="13">
        <f t="shared" si="2"/>
        <v>0</v>
      </c>
      <c r="R140" s="13" t="str">
        <f ca="1">IF(TODAY() - DCPXX[INV DUE DATE]&lt;30, "Less than 30 days",IF(TODAY()-DCPXX[INV DUE DATE]&lt;60,"30-60 days","More than 60 days"))</f>
        <v>30-60 days</v>
      </c>
      <c r="S140" s="6" t="s">
        <v>817</v>
      </c>
      <c r="T140" s="44" t="s">
        <v>2229</v>
      </c>
      <c r="U140" s="13" t="s">
        <v>3699</v>
      </c>
    </row>
    <row r="141" spans="1:21" x14ac:dyDescent="0.3">
      <c r="A141" s="6" t="s">
        <v>36</v>
      </c>
      <c r="B141" s="6" t="s">
        <v>30</v>
      </c>
      <c r="C141" s="6" t="s">
        <v>142</v>
      </c>
      <c r="D141" s="8">
        <v>4301</v>
      </c>
      <c r="E141" s="9">
        <v>232.5</v>
      </c>
      <c r="H141" s="6">
        <v>194759</v>
      </c>
      <c r="I141" s="10" t="s">
        <v>293</v>
      </c>
      <c r="J141" s="6" t="s">
        <v>282</v>
      </c>
      <c r="K141" s="6" t="s">
        <v>3</v>
      </c>
      <c r="L141" s="11">
        <v>43221</v>
      </c>
      <c r="M141" s="11">
        <f>DCPXX[[#This Row],[INV DOC DATE]]+30</f>
        <v>43251</v>
      </c>
      <c r="N141" s="11">
        <v>43220</v>
      </c>
      <c r="O141" s="13">
        <v>232.5</v>
      </c>
      <c r="P141" s="11">
        <v>43255</v>
      </c>
      <c r="Q141" s="13">
        <f t="shared" si="2"/>
        <v>0</v>
      </c>
      <c r="R141" s="13" t="str">
        <f ca="1">IF(TODAY() - DCPXX[INV DUE DATE]&lt;30, "Less than 30 days",IF(TODAY()-DCPXX[INV DUE DATE]&lt;60,"30-60 days","More than 60 days"))</f>
        <v>30-60 days</v>
      </c>
      <c r="S141" s="6" t="s">
        <v>817</v>
      </c>
      <c r="T141" s="44" t="s">
        <v>2229</v>
      </c>
      <c r="U141" s="13" t="s">
        <v>3699</v>
      </c>
    </row>
    <row r="142" spans="1:21" x14ac:dyDescent="0.3">
      <c r="A142" s="6" t="s">
        <v>36</v>
      </c>
      <c r="B142" s="6" t="s">
        <v>30</v>
      </c>
      <c r="C142" s="6" t="s">
        <v>143</v>
      </c>
      <c r="D142" s="8">
        <v>4301</v>
      </c>
      <c r="E142" s="9">
        <v>232.5</v>
      </c>
      <c r="H142" s="6">
        <v>194759</v>
      </c>
      <c r="I142" s="10" t="s">
        <v>293</v>
      </c>
      <c r="J142" s="6" t="s">
        <v>283</v>
      </c>
      <c r="K142" s="6" t="s">
        <v>3</v>
      </c>
      <c r="L142" s="11">
        <v>43221</v>
      </c>
      <c r="M142" s="11">
        <f>DCPXX[[#This Row],[INV DOC DATE]]+30</f>
        <v>43251</v>
      </c>
      <c r="N142" s="11">
        <v>43220</v>
      </c>
      <c r="O142" s="13">
        <v>232.5</v>
      </c>
      <c r="P142" s="11">
        <v>43255</v>
      </c>
      <c r="Q142" s="13">
        <f t="shared" si="2"/>
        <v>0</v>
      </c>
      <c r="R142" s="13" t="str">
        <f ca="1">IF(TODAY() - DCPXX[INV DUE DATE]&lt;30, "Less than 30 days",IF(TODAY()-DCPXX[INV DUE DATE]&lt;60,"30-60 days","More than 60 days"))</f>
        <v>30-60 days</v>
      </c>
      <c r="S142" s="6" t="s">
        <v>817</v>
      </c>
      <c r="T142" s="44" t="s">
        <v>2229</v>
      </c>
      <c r="U142" s="13" t="s">
        <v>3699</v>
      </c>
    </row>
    <row r="143" spans="1:21" x14ac:dyDescent="0.3">
      <c r="A143" s="6" t="s">
        <v>36</v>
      </c>
      <c r="B143" s="6" t="s">
        <v>30</v>
      </c>
      <c r="C143" s="6" t="s">
        <v>144</v>
      </c>
      <c r="D143" s="8">
        <v>4301</v>
      </c>
      <c r="E143" s="9">
        <v>232.5</v>
      </c>
      <c r="H143" s="6">
        <v>194759</v>
      </c>
      <c r="I143" s="10" t="s">
        <v>293</v>
      </c>
      <c r="J143" s="6" t="s">
        <v>284</v>
      </c>
      <c r="K143" s="6" t="s">
        <v>3</v>
      </c>
      <c r="L143" s="11">
        <v>43221</v>
      </c>
      <c r="M143" s="11">
        <f>DCPXX[[#This Row],[INV DOC DATE]]+30</f>
        <v>43251</v>
      </c>
      <c r="N143" s="11">
        <v>43220</v>
      </c>
      <c r="O143" s="13">
        <v>232.5</v>
      </c>
      <c r="P143" s="11">
        <v>43255</v>
      </c>
      <c r="Q143" s="13">
        <f t="shared" si="2"/>
        <v>0</v>
      </c>
      <c r="R143" s="13" t="str">
        <f ca="1">IF(TODAY() - DCPXX[INV DUE DATE]&lt;30, "Less than 30 days",IF(TODAY()-DCPXX[INV DUE DATE]&lt;60,"30-60 days","More than 60 days"))</f>
        <v>30-60 days</v>
      </c>
      <c r="S143" s="6" t="s">
        <v>817</v>
      </c>
      <c r="T143" s="44" t="s">
        <v>2229</v>
      </c>
      <c r="U143" s="13" t="s">
        <v>3699</v>
      </c>
    </row>
    <row r="144" spans="1:21" x14ac:dyDescent="0.3">
      <c r="A144" s="6" t="s">
        <v>36</v>
      </c>
      <c r="B144" s="6" t="s">
        <v>30</v>
      </c>
      <c r="C144" s="6" t="s">
        <v>145</v>
      </c>
      <c r="D144" s="8">
        <v>4301</v>
      </c>
      <c r="E144" s="9">
        <v>232.5</v>
      </c>
      <c r="H144" s="6">
        <v>194759</v>
      </c>
      <c r="I144" s="10" t="s">
        <v>293</v>
      </c>
      <c r="J144" s="6" t="s">
        <v>285</v>
      </c>
      <c r="K144" s="6" t="s">
        <v>3</v>
      </c>
      <c r="L144" s="11">
        <v>43221</v>
      </c>
      <c r="M144" s="11">
        <f>DCPXX[[#This Row],[INV DOC DATE]]+30</f>
        <v>43251</v>
      </c>
      <c r="N144" s="11">
        <v>43220</v>
      </c>
      <c r="O144" s="13">
        <v>232.5</v>
      </c>
      <c r="P144" s="11">
        <v>43255</v>
      </c>
      <c r="Q144" s="13">
        <f t="shared" si="2"/>
        <v>0</v>
      </c>
      <c r="R144" s="13" t="str">
        <f ca="1">IF(TODAY() - DCPXX[INV DUE DATE]&lt;30, "Less than 30 days",IF(TODAY()-DCPXX[INV DUE DATE]&lt;60,"30-60 days","More than 60 days"))</f>
        <v>30-60 days</v>
      </c>
      <c r="S144" s="6" t="s">
        <v>817</v>
      </c>
      <c r="T144" s="44" t="s">
        <v>2229</v>
      </c>
      <c r="U144" s="13" t="s">
        <v>3699</v>
      </c>
    </row>
    <row r="145" spans="1:21" x14ac:dyDescent="0.3">
      <c r="A145" s="6" t="s">
        <v>36</v>
      </c>
      <c r="B145" s="6" t="s">
        <v>30</v>
      </c>
      <c r="C145" s="6" t="s">
        <v>146</v>
      </c>
      <c r="D145" s="8">
        <v>4301</v>
      </c>
      <c r="E145" s="9">
        <v>232.5</v>
      </c>
      <c r="H145" s="6">
        <v>194759</v>
      </c>
      <c r="I145" s="10" t="s">
        <v>293</v>
      </c>
      <c r="J145" s="6" t="s">
        <v>286</v>
      </c>
      <c r="K145" s="6" t="s">
        <v>3</v>
      </c>
      <c r="L145" s="11">
        <v>43221</v>
      </c>
      <c r="M145" s="11">
        <f>DCPXX[[#This Row],[INV DOC DATE]]+30</f>
        <v>43251</v>
      </c>
      <c r="N145" s="11">
        <v>43220</v>
      </c>
      <c r="O145" s="13">
        <v>232.5</v>
      </c>
      <c r="P145" s="11">
        <v>43255</v>
      </c>
      <c r="Q145" s="13">
        <f t="shared" si="2"/>
        <v>0</v>
      </c>
      <c r="R145" s="13" t="str">
        <f ca="1">IF(TODAY() - DCPXX[INV DUE DATE]&lt;30, "Less than 30 days",IF(TODAY()-DCPXX[INV DUE DATE]&lt;60,"30-60 days","More than 60 days"))</f>
        <v>30-60 days</v>
      </c>
      <c r="S145" s="6" t="s">
        <v>817</v>
      </c>
      <c r="T145" s="44" t="s">
        <v>2229</v>
      </c>
      <c r="U145" s="13" t="s">
        <v>3699</v>
      </c>
    </row>
    <row r="146" spans="1:21" x14ac:dyDescent="0.3">
      <c r="A146" s="6" t="s">
        <v>36</v>
      </c>
      <c r="B146" s="6" t="s">
        <v>30</v>
      </c>
      <c r="C146" s="6" t="s">
        <v>147</v>
      </c>
      <c r="D146" s="8">
        <v>4301</v>
      </c>
      <c r="E146" s="9">
        <v>232.5</v>
      </c>
      <c r="H146" s="6">
        <v>194759</v>
      </c>
      <c r="I146" s="10" t="s">
        <v>293</v>
      </c>
      <c r="J146" s="6" t="s">
        <v>287</v>
      </c>
      <c r="K146" s="6" t="s">
        <v>3</v>
      </c>
      <c r="L146" s="11">
        <v>43221</v>
      </c>
      <c r="M146" s="11">
        <f>DCPXX[[#This Row],[INV DOC DATE]]+30</f>
        <v>43251</v>
      </c>
      <c r="N146" s="11">
        <v>43220</v>
      </c>
      <c r="O146" s="13">
        <v>232.5</v>
      </c>
      <c r="P146" s="11">
        <v>43255</v>
      </c>
      <c r="Q146" s="13">
        <f t="shared" si="2"/>
        <v>0</v>
      </c>
      <c r="R146" s="13" t="str">
        <f ca="1">IF(TODAY() - DCPXX[INV DUE DATE]&lt;30, "Less than 30 days",IF(TODAY()-DCPXX[INV DUE DATE]&lt;60,"30-60 days","More than 60 days"))</f>
        <v>30-60 days</v>
      </c>
      <c r="S146" s="6" t="s">
        <v>817</v>
      </c>
      <c r="T146" s="44" t="s">
        <v>2229</v>
      </c>
      <c r="U146" s="13" t="s">
        <v>3699</v>
      </c>
    </row>
    <row r="147" spans="1:21" x14ac:dyDescent="0.3">
      <c r="A147" s="6" t="s">
        <v>36</v>
      </c>
      <c r="B147" s="6" t="s">
        <v>30</v>
      </c>
      <c r="C147" s="6" t="s">
        <v>148</v>
      </c>
      <c r="D147" s="8">
        <v>4301</v>
      </c>
      <c r="E147" s="9">
        <v>232.5</v>
      </c>
      <c r="H147" s="6">
        <v>194759</v>
      </c>
      <c r="I147" s="10" t="s">
        <v>293</v>
      </c>
      <c r="J147" s="6" t="s">
        <v>288</v>
      </c>
      <c r="K147" s="6" t="s">
        <v>3</v>
      </c>
      <c r="L147" s="11">
        <v>43221</v>
      </c>
      <c r="M147" s="11">
        <f>DCPXX[[#This Row],[INV DOC DATE]]+30</f>
        <v>43251</v>
      </c>
      <c r="N147" s="11">
        <v>43220</v>
      </c>
      <c r="O147" s="13">
        <v>232.5</v>
      </c>
      <c r="P147" s="11">
        <v>43255</v>
      </c>
      <c r="Q147" s="13">
        <f t="shared" si="2"/>
        <v>0</v>
      </c>
      <c r="R147" s="13" t="str">
        <f ca="1">IF(TODAY() - DCPXX[INV DUE DATE]&lt;30, "Less than 30 days",IF(TODAY()-DCPXX[INV DUE DATE]&lt;60,"30-60 days","More than 60 days"))</f>
        <v>30-60 days</v>
      </c>
      <c r="S147" s="6" t="s">
        <v>817</v>
      </c>
      <c r="T147" s="44" t="s">
        <v>2229</v>
      </c>
      <c r="U147" s="13" t="s">
        <v>3699</v>
      </c>
    </row>
    <row r="148" spans="1:21" x14ac:dyDescent="0.3">
      <c r="A148" s="6" t="s">
        <v>36</v>
      </c>
      <c r="B148" s="6" t="s">
        <v>30</v>
      </c>
      <c r="C148" s="6" t="s">
        <v>149</v>
      </c>
      <c r="D148" s="8">
        <v>4301</v>
      </c>
      <c r="E148" s="9">
        <v>232.5</v>
      </c>
      <c r="H148" s="6">
        <v>194759</v>
      </c>
      <c r="I148" s="10" t="s">
        <v>293</v>
      </c>
      <c r="J148" s="6" t="s">
        <v>289</v>
      </c>
      <c r="K148" s="6" t="s">
        <v>3</v>
      </c>
      <c r="L148" s="11">
        <v>43221</v>
      </c>
      <c r="M148" s="11">
        <f>DCPXX[[#This Row],[INV DOC DATE]]+30</f>
        <v>43251</v>
      </c>
      <c r="N148" s="11">
        <v>43220</v>
      </c>
      <c r="O148" s="13">
        <v>232.5</v>
      </c>
      <c r="P148" s="11">
        <v>43255</v>
      </c>
      <c r="Q148" s="13">
        <f t="shared" si="2"/>
        <v>0</v>
      </c>
      <c r="R148" s="13" t="str">
        <f ca="1">IF(TODAY() - DCPXX[INV DUE DATE]&lt;30, "Less than 30 days",IF(TODAY()-DCPXX[INV DUE DATE]&lt;60,"30-60 days","More than 60 days"))</f>
        <v>30-60 days</v>
      </c>
      <c r="S148" s="6" t="s">
        <v>817</v>
      </c>
      <c r="T148" s="44" t="s">
        <v>2229</v>
      </c>
      <c r="U148" s="13" t="s">
        <v>3699</v>
      </c>
    </row>
    <row r="149" spans="1:21" x14ac:dyDescent="0.3">
      <c r="A149" s="6" t="s">
        <v>36</v>
      </c>
      <c r="B149" s="6" t="s">
        <v>30</v>
      </c>
      <c r="C149" s="6" t="s">
        <v>150</v>
      </c>
      <c r="D149" s="8">
        <v>4301</v>
      </c>
      <c r="E149" s="9">
        <v>232.5</v>
      </c>
      <c r="H149" s="6">
        <v>194759</v>
      </c>
      <c r="I149" s="10" t="s">
        <v>293</v>
      </c>
      <c r="J149" s="6" t="s">
        <v>290</v>
      </c>
      <c r="K149" s="6" t="s">
        <v>3</v>
      </c>
      <c r="L149" s="11">
        <v>43221</v>
      </c>
      <c r="M149" s="11">
        <f>DCPXX[[#This Row],[INV DOC DATE]]+30</f>
        <v>43251</v>
      </c>
      <c r="N149" s="11">
        <v>43220</v>
      </c>
      <c r="O149" s="13">
        <v>232.5</v>
      </c>
      <c r="P149" s="11">
        <v>43255</v>
      </c>
      <c r="Q149" s="13">
        <f t="shared" si="2"/>
        <v>0</v>
      </c>
      <c r="R149" s="13" t="str">
        <f ca="1">IF(TODAY() - DCPXX[INV DUE DATE]&lt;30, "Less than 30 days",IF(TODAY()-DCPXX[INV DUE DATE]&lt;60,"30-60 days","More than 60 days"))</f>
        <v>30-60 days</v>
      </c>
      <c r="S149" s="6" t="s">
        <v>817</v>
      </c>
      <c r="T149" s="44" t="s">
        <v>2229</v>
      </c>
      <c r="U149" s="13" t="s">
        <v>3699</v>
      </c>
    </row>
    <row r="150" spans="1:21" x14ac:dyDescent="0.3">
      <c r="A150" s="6" t="s">
        <v>36</v>
      </c>
      <c r="B150" s="6" t="s">
        <v>30</v>
      </c>
      <c r="C150" s="6" t="s">
        <v>151</v>
      </c>
      <c r="D150" s="8">
        <v>4301</v>
      </c>
      <c r="E150" s="9">
        <v>232.5</v>
      </c>
      <c r="H150" s="6">
        <v>194759</v>
      </c>
      <c r="I150" s="10" t="s">
        <v>293</v>
      </c>
      <c r="J150" s="6" t="s">
        <v>291</v>
      </c>
      <c r="K150" s="6" t="s">
        <v>3</v>
      </c>
      <c r="L150" s="11">
        <v>43221</v>
      </c>
      <c r="M150" s="11">
        <f>DCPXX[[#This Row],[INV DOC DATE]]+30</f>
        <v>43251</v>
      </c>
      <c r="N150" s="11">
        <v>43220</v>
      </c>
      <c r="O150" s="13">
        <v>232.5</v>
      </c>
      <c r="P150" s="11">
        <v>43255</v>
      </c>
      <c r="Q150" s="13">
        <f t="shared" si="2"/>
        <v>0</v>
      </c>
      <c r="R150" s="13" t="str">
        <f ca="1">IF(TODAY() - DCPXX[INV DUE DATE]&lt;30, "Less than 30 days",IF(TODAY()-DCPXX[INV DUE DATE]&lt;60,"30-60 days","More than 60 days"))</f>
        <v>30-60 days</v>
      </c>
      <c r="S150" s="6" t="s">
        <v>817</v>
      </c>
      <c r="T150" s="44" t="s">
        <v>2229</v>
      </c>
      <c r="U150" s="13" t="s">
        <v>3699</v>
      </c>
    </row>
    <row r="151" spans="1:21" x14ac:dyDescent="0.3">
      <c r="A151" s="6" t="s">
        <v>36</v>
      </c>
      <c r="B151" s="6" t="s">
        <v>30</v>
      </c>
      <c r="C151" s="6" t="s">
        <v>152</v>
      </c>
      <c r="D151" s="8">
        <v>4301</v>
      </c>
      <c r="E151" s="9">
        <v>232.5</v>
      </c>
      <c r="H151" s="6">
        <v>194759</v>
      </c>
      <c r="I151" s="10" t="s">
        <v>293</v>
      </c>
      <c r="J151" s="12" t="s">
        <v>292</v>
      </c>
      <c r="K151" s="6" t="s">
        <v>3</v>
      </c>
      <c r="L151" s="11">
        <v>43221</v>
      </c>
      <c r="M151" s="11">
        <f>DCPXX[[#This Row],[INV DOC DATE]]+30</f>
        <v>43251</v>
      </c>
      <c r="N151" s="11">
        <v>43220</v>
      </c>
      <c r="O151" s="13">
        <v>232.5</v>
      </c>
      <c r="P151" s="11">
        <v>43255</v>
      </c>
      <c r="Q151" s="13">
        <f t="shared" si="2"/>
        <v>0</v>
      </c>
      <c r="R151" s="13" t="str">
        <f ca="1">IF(TODAY() - DCPXX[INV DUE DATE]&lt;30, "Less than 30 days",IF(TODAY()-DCPXX[INV DUE DATE]&lt;60,"30-60 days","More than 60 days"))</f>
        <v>30-60 days</v>
      </c>
      <c r="S151" s="6" t="s">
        <v>817</v>
      </c>
      <c r="T151" s="44" t="s">
        <v>2229</v>
      </c>
      <c r="U151" s="13" t="s">
        <v>3699</v>
      </c>
    </row>
    <row r="152" spans="1:21" x14ac:dyDescent="0.3">
      <c r="A152" t="s">
        <v>2159</v>
      </c>
      <c r="B152" s="6" t="s">
        <v>3746</v>
      </c>
      <c r="D152" s="8"/>
      <c r="E152" s="7">
        <v>8680</v>
      </c>
      <c r="G152" s="6">
        <v>4506539882</v>
      </c>
      <c r="I152" s="10"/>
      <c r="J152" s="6" t="s">
        <v>2257</v>
      </c>
      <c r="K152" s="6" t="s">
        <v>3</v>
      </c>
      <c r="L152" s="2">
        <v>43221</v>
      </c>
      <c r="M152" s="11">
        <f>DCPXX[[#This Row],[INV DOC DATE]]+30</f>
        <v>43251</v>
      </c>
      <c r="Q152" s="13">
        <f t="shared" si="2"/>
        <v>8680</v>
      </c>
      <c r="R152" s="13" t="str">
        <f ca="1">IF(TODAY() - DCPXX[INV DUE DATE]&lt;30, "Less than 30 days",IF(TODAY()-DCPXX[INV DUE DATE]&lt;60,"30-60 days","More than 60 days"))</f>
        <v>30-60 days</v>
      </c>
      <c r="S152" s="6" t="s">
        <v>817</v>
      </c>
      <c r="U152" s="13" t="s">
        <v>3699</v>
      </c>
    </row>
    <row r="153" spans="1:21" x14ac:dyDescent="0.3">
      <c r="A153" t="s">
        <v>2160</v>
      </c>
      <c r="B153" s="6" t="s">
        <v>3747</v>
      </c>
      <c r="D153" s="8"/>
      <c r="E153" s="7">
        <v>2790</v>
      </c>
      <c r="G153" s="6">
        <v>4506924343</v>
      </c>
      <c r="I153" s="10"/>
      <c r="J153" s="6" t="s">
        <v>2257</v>
      </c>
      <c r="K153" s="6" t="s">
        <v>3</v>
      </c>
      <c r="L153" s="2">
        <v>43221</v>
      </c>
      <c r="M153" s="11">
        <f>DCPXX[[#This Row],[INV DOC DATE]]+30</f>
        <v>43251</v>
      </c>
      <c r="O153" s="13">
        <v>2790</v>
      </c>
      <c r="P153" s="11">
        <v>43251</v>
      </c>
      <c r="Q153" s="13">
        <f t="shared" si="2"/>
        <v>0</v>
      </c>
      <c r="R153" s="13" t="str">
        <f ca="1">IF(TODAY() - DCPXX[INV DUE DATE]&lt;30, "Less than 30 days",IF(TODAY()-DCPXX[INV DUE DATE]&lt;60,"30-60 days","More than 60 days"))</f>
        <v>30-60 days</v>
      </c>
      <c r="S153" s="6" t="s">
        <v>817</v>
      </c>
      <c r="T153" s="44" t="s">
        <v>2229</v>
      </c>
      <c r="U153" s="13" t="s">
        <v>3699</v>
      </c>
    </row>
    <row r="154" spans="1:21" x14ac:dyDescent="0.3">
      <c r="A154" s="6" t="s">
        <v>2674</v>
      </c>
      <c r="B154" s="6" t="s">
        <v>30</v>
      </c>
      <c r="C154" s="6" t="s">
        <v>6</v>
      </c>
      <c r="D154" s="8">
        <v>4301</v>
      </c>
      <c r="E154" s="9">
        <v>90</v>
      </c>
      <c r="H154" s="6">
        <v>194840</v>
      </c>
      <c r="I154" s="10" t="s">
        <v>293</v>
      </c>
      <c r="J154" s="6" t="s">
        <v>3693</v>
      </c>
      <c r="K154" s="6" t="s">
        <v>810</v>
      </c>
      <c r="L154" s="11">
        <v>43221</v>
      </c>
      <c r="M154" s="11">
        <f>DCPXX[[#This Row],[INV DOC DATE]]+30</f>
        <v>43251</v>
      </c>
      <c r="N154" s="11">
        <v>43250</v>
      </c>
      <c r="O154" s="13">
        <v>90</v>
      </c>
      <c r="P154" s="11">
        <v>43284</v>
      </c>
      <c r="Q154" s="13">
        <f t="shared" si="2"/>
        <v>0</v>
      </c>
      <c r="R154" s="13" t="str">
        <f ca="1">IF(TODAY() - DCPXX[INV DUE DATE]&lt;30, "Less than 30 days",IF(TODAY()-DCPXX[INV DUE DATE]&lt;60,"30-60 days","More than 60 days"))</f>
        <v>30-60 days</v>
      </c>
      <c r="S154" s="6" t="s">
        <v>817</v>
      </c>
      <c r="T154" s="44" t="s">
        <v>2229</v>
      </c>
      <c r="U154" s="13" t="s">
        <v>3699</v>
      </c>
    </row>
    <row r="155" spans="1:21" x14ac:dyDescent="0.3">
      <c r="A155" s="6" t="s">
        <v>2674</v>
      </c>
      <c r="B155" s="6" t="s">
        <v>30</v>
      </c>
      <c r="C155" s="6" t="s">
        <v>7</v>
      </c>
      <c r="D155" s="8">
        <v>4301</v>
      </c>
      <c r="E155" s="9">
        <v>1600</v>
      </c>
      <c r="H155" s="6">
        <v>194840</v>
      </c>
      <c r="I155" s="10" t="s">
        <v>293</v>
      </c>
      <c r="J155" s="6" t="s">
        <v>3693</v>
      </c>
      <c r="K155" s="6" t="s">
        <v>2424</v>
      </c>
      <c r="L155" s="11">
        <v>43221</v>
      </c>
      <c r="M155" s="11">
        <f>DCPXX[[#This Row],[INV DOC DATE]]+30</f>
        <v>43251</v>
      </c>
      <c r="N155" s="11">
        <v>43250</v>
      </c>
      <c r="O155" s="13">
        <v>1600</v>
      </c>
      <c r="P155" s="11">
        <v>43284</v>
      </c>
      <c r="Q155" s="13">
        <f t="shared" si="2"/>
        <v>0</v>
      </c>
      <c r="R155" s="13" t="str">
        <f ca="1">IF(TODAY() - DCPXX[INV DUE DATE]&lt;30, "Less than 30 days",IF(TODAY()-DCPXX[INV DUE DATE]&lt;60,"30-60 days","More than 60 days"))</f>
        <v>30-60 days</v>
      </c>
      <c r="S155" s="6" t="s">
        <v>817</v>
      </c>
      <c r="T155" s="44" t="s">
        <v>2229</v>
      </c>
      <c r="U155" s="13" t="s">
        <v>3699</v>
      </c>
    </row>
    <row r="156" spans="1:21" x14ac:dyDescent="0.3">
      <c r="A156" s="6" t="s">
        <v>2674</v>
      </c>
      <c r="B156" s="6" t="s">
        <v>30</v>
      </c>
      <c r="C156" s="6" t="s">
        <v>8</v>
      </c>
      <c r="D156" s="8">
        <v>4301</v>
      </c>
      <c r="E156" s="9">
        <v>226.55</v>
      </c>
      <c r="H156" s="6">
        <v>194840</v>
      </c>
      <c r="I156" s="10" t="s">
        <v>293</v>
      </c>
      <c r="J156" s="6" t="s">
        <v>3693</v>
      </c>
      <c r="K156" s="6" t="s">
        <v>2673</v>
      </c>
      <c r="L156" s="11">
        <v>43221</v>
      </c>
      <c r="M156" s="11">
        <f>DCPXX[[#This Row],[INV DOC DATE]]+30</f>
        <v>43251</v>
      </c>
      <c r="N156" s="11">
        <v>43250</v>
      </c>
      <c r="O156" s="13">
        <v>226.55</v>
      </c>
      <c r="P156" s="11">
        <v>43284</v>
      </c>
      <c r="Q156" s="13">
        <f t="shared" si="2"/>
        <v>0</v>
      </c>
      <c r="R156" s="13" t="str">
        <f ca="1">IF(TODAY() - DCPXX[INV DUE DATE]&lt;30, "Less than 30 days",IF(TODAY()-DCPXX[INV DUE DATE]&lt;60,"30-60 days","More than 60 days"))</f>
        <v>30-60 days</v>
      </c>
      <c r="S156" s="6" t="s">
        <v>817</v>
      </c>
      <c r="T156" s="44" t="s">
        <v>2229</v>
      </c>
      <c r="U156" s="13" t="s">
        <v>3699</v>
      </c>
    </row>
    <row r="157" spans="1:21" x14ac:dyDescent="0.3">
      <c r="A157" s="6" t="s">
        <v>2674</v>
      </c>
      <c r="B157" s="6" t="s">
        <v>30</v>
      </c>
      <c r="C157" s="6" t="s">
        <v>9</v>
      </c>
      <c r="D157" s="8">
        <v>4301</v>
      </c>
      <c r="E157" s="9">
        <v>226.55</v>
      </c>
      <c r="H157" s="6">
        <v>194840</v>
      </c>
      <c r="I157" s="10" t="s">
        <v>293</v>
      </c>
      <c r="J157" s="6" t="s">
        <v>3694</v>
      </c>
      <c r="K157" s="6" t="s">
        <v>2673</v>
      </c>
      <c r="L157" s="11">
        <v>43221</v>
      </c>
      <c r="M157" s="11">
        <f>DCPXX[[#This Row],[INV DOC DATE]]+30</f>
        <v>43251</v>
      </c>
      <c r="N157" s="11">
        <v>43250</v>
      </c>
      <c r="O157" s="13">
        <v>226.55</v>
      </c>
      <c r="P157" s="11">
        <v>43284</v>
      </c>
      <c r="Q157" s="13">
        <f t="shared" si="2"/>
        <v>0</v>
      </c>
      <c r="R157" s="13" t="str">
        <f ca="1">IF(TODAY() - DCPXX[INV DUE DATE]&lt;30, "Less than 30 days",IF(TODAY()-DCPXX[INV DUE DATE]&lt;60,"30-60 days","More than 60 days"))</f>
        <v>30-60 days</v>
      </c>
      <c r="S157" s="6" t="s">
        <v>817</v>
      </c>
      <c r="T157" s="44" t="s">
        <v>2229</v>
      </c>
      <c r="U157" s="13" t="s">
        <v>3699</v>
      </c>
    </row>
    <row r="158" spans="1:21" x14ac:dyDescent="0.3">
      <c r="A158" s="6" t="s">
        <v>2674</v>
      </c>
      <c r="B158" s="6" t="s">
        <v>30</v>
      </c>
      <c r="C158" s="6" t="s">
        <v>10</v>
      </c>
      <c r="D158" s="8">
        <v>4301</v>
      </c>
      <c r="E158" s="9">
        <v>1600</v>
      </c>
      <c r="H158" s="6">
        <v>194840</v>
      </c>
      <c r="I158" s="10" t="s">
        <v>293</v>
      </c>
      <c r="J158" s="6" t="s">
        <v>3694</v>
      </c>
      <c r="K158" s="6" t="s">
        <v>2424</v>
      </c>
      <c r="L158" s="11">
        <v>43221</v>
      </c>
      <c r="M158" s="11">
        <f>DCPXX[[#This Row],[INV DOC DATE]]+30</f>
        <v>43251</v>
      </c>
      <c r="N158" s="11">
        <v>43250</v>
      </c>
      <c r="O158" s="13">
        <v>1600</v>
      </c>
      <c r="P158" s="11">
        <v>43284</v>
      </c>
      <c r="Q158" s="13">
        <f t="shared" si="2"/>
        <v>0</v>
      </c>
      <c r="R158" s="13" t="str">
        <f ca="1">IF(TODAY() - DCPXX[INV DUE DATE]&lt;30, "Less than 30 days",IF(TODAY()-DCPXX[INV DUE DATE]&lt;60,"30-60 days","More than 60 days"))</f>
        <v>30-60 days</v>
      </c>
      <c r="S158" s="6" t="s">
        <v>817</v>
      </c>
      <c r="T158" s="44" t="s">
        <v>2229</v>
      </c>
      <c r="U158" s="13" t="s">
        <v>3699</v>
      </c>
    </row>
    <row r="159" spans="1:21" x14ac:dyDescent="0.3">
      <c r="A159" s="6" t="s">
        <v>2674</v>
      </c>
      <c r="B159" s="6" t="s">
        <v>30</v>
      </c>
      <c r="C159" s="6" t="s">
        <v>11</v>
      </c>
      <c r="D159" s="8">
        <v>4301</v>
      </c>
      <c r="E159" s="9">
        <v>90</v>
      </c>
      <c r="H159" s="6">
        <v>194840</v>
      </c>
      <c r="I159" s="10" t="s">
        <v>293</v>
      </c>
      <c r="J159" s="6" t="s">
        <v>3694</v>
      </c>
      <c r="K159" s="6" t="s">
        <v>810</v>
      </c>
      <c r="L159" s="11">
        <v>43221</v>
      </c>
      <c r="M159" s="11">
        <f>DCPXX[[#This Row],[INV DOC DATE]]+30</f>
        <v>43251</v>
      </c>
      <c r="N159" s="11">
        <v>43250</v>
      </c>
      <c r="O159" s="13">
        <v>90</v>
      </c>
      <c r="P159" s="11">
        <v>43284</v>
      </c>
      <c r="Q159" s="13">
        <f t="shared" si="2"/>
        <v>0</v>
      </c>
      <c r="R159" s="13" t="str">
        <f ca="1">IF(TODAY() - DCPXX[INV DUE DATE]&lt;30, "Less than 30 days",IF(TODAY()-DCPXX[INV DUE DATE]&lt;60,"30-60 days","More than 60 days"))</f>
        <v>30-60 days</v>
      </c>
      <c r="S159" s="6" t="s">
        <v>817</v>
      </c>
      <c r="T159" s="44" t="s">
        <v>2229</v>
      </c>
      <c r="U159" s="13" t="s">
        <v>3699</v>
      </c>
    </row>
    <row r="160" spans="1:21" x14ac:dyDescent="0.3">
      <c r="A160" s="6" t="s">
        <v>2674</v>
      </c>
      <c r="B160" s="6" t="s">
        <v>30</v>
      </c>
      <c r="C160" s="6" t="s">
        <v>12</v>
      </c>
      <c r="D160" s="8">
        <v>4301</v>
      </c>
      <c r="E160" s="9">
        <v>285.64999999999998</v>
      </c>
      <c r="H160" s="6">
        <v>194840</v>
      </c>
      <c r="I160" s="10" t="s">
        <v>293</v>
      </c>
      <c r="J160" s="6" t="s">
        <v>3695</v>
      </c>
      <c r="K160" s="6" t="s">
        <v>2673</v>
      </c>
      <c r="L160" s="11">
        <v>43221</v>
      </c>
      <c r="M160" s="11">
        <f>DCPXX[[#This Row],[INV DOC DATE]]+30</f>
        <v>43251</v>
      </c>
      <c r="N160" s="11">
        <v>43250</v>
      </c>
      <c r="O160" s="13">
        <v>285.64999999999998</v>
      </c>
      <c r="P160" s="11">
        <v>43284</v>
      </c>
      <c r="Q160" s="13">
        <f t="shared" si="2"/>
        <v>0</v>
      </c>
      <c r="R160" s="13" t="str">
        <f ca="1">IF(TODAY() - DCPXX[INV DUE DATE]&lt;30, "Less than 30 days",IF(TODAY()-DCPXX[INV DUE DATE]&lt;60,"30-60 days","More than 60 days"))</f>
        <v>30-60 days</v>
      </c>
      <c r="S160" s="6" t="s">
        <v>817</v>
      </c>
      <c r="T160" s="44" t="s">
        <v>2229</v>
      </c>
      <c r="U160" s="13" t="s">
        <v>3699</v>
      </c>
    </row>
    <row r="161" spans="1:21" x14ac:dyDescent="0.3">
      <c r="A161" s="6" t="s">
        <v>2674</v>
      </c>
      <c r="B161" s="6" t="s">
        <v>30</v>
      </c>
      <c r="C161" s="6" t="s">
        <v>13</v>
      </c>
      <c r="D161" s="8">
        <v>4301</v>
      </c>
      <c r="E161" s="9">
        <v>1600</v>
      </c>
      <c r="H161" s="6">
        <v>194840</v>
      </c>
      <c r="I161" s="10" t="s">
        <v>293</v>
      </c>
      <c r="J161" s="6" t="s">
        <v>3695</v>
      </c>
      <c r="K161" s="6" t="s">
        <v>2424</v>
      </c>
      <c r="L161" s="11">
        <v>43221</v>
      </c>
      <c r="M161" s="11">
        <f>DCPXX[[#This Row],[INV DOC DATE]]+30</f>
        <v>43251</v>
      </c>
      <c r="N161" s="11">
        <v>43250</v>
      </c>
      <c r="O161" s="13">
        <v>1600</v>
      </c>
      <c r="P161" s="11">
        <v>43284</v>
      </c>
      <c r="Q161" s="13">
        <f t="shared" si="2"/>
        <v>0</v>
      </c>
      <c r="R161" s="13" t="str">
        <f ca="1">IF(TODAY() - DCPXX[INV DUE DATE]&lt;30, "Less than 30 days",IF(TODAY()-DCPXX[INV DUE DATE]&lt;60,"30-60 days","More than 60 days"))</f>
        <v>30-60 days</v>
      </c>
      <c r="S161" s="6" t="s">
        <v>817</v>
      </c>
      <c r="T161" s="44" t="s">
        <v>2229</v>
      </c>
      <c r="U161" s="13" t="s">
        <v>3699</v>
      </c>
    </row>
    <row r="162" spans="1:21" x14ac:dyDescent="0.3">
      <c r="A162" s="6" t="s">
        <v>2674</v>
      </c>
      <c r="B162" s="6" t="s">
        <v>30</v>
      </c>
      <c r="C162" s="6" t="s">
        <v>14</v>
      </c>
      <c r="D162" s="8">
        <v>4301</v>
      </c>
      <c r="E162" s="9">
        <v>90</v>
      </c>
      <c r="H162" s="6">
        <v>194840</v>
      </c>
      <c r="I162" s="10" t="s">
        <v>293</v>
      </c>
      <c r="J162" s="6" t="s">
        <v>3695</v>
      </c>
      <c r="K162" s="6" t="s">
        <v>810</v>
      </c>
      <c r="L162" s="11">
        <v>43221</v>
      </c>
      <c r="M162" s="11">
        <f>DCPXX[[#This Row],[INV DOC DATE]]+30</f>
        <v>43251</v>
      </c>
      <c r="N162" s="11">
        <v>43250</v>
      </c>
      <c r="O162" s="13">
        <v>90</v>
      </c>
      <c r="P162" s="11">
        <v>43284</v>
      </c>
      <c r="Q162" s="13">
        <f t="shared" si="2"/>
        <v>0</v>
      </c>
      <c r="R162" s="13" t="str">
        <f ca="1">IF(TODAY() - DCPXX[INV DUE DATE]&lt;30, "Less than 30 days",IF(TODAY()-DCPXX[INV DUE DATE]&lt;60,"30-60 days","More than 60 days"))</f>
        <v>30-60 days</v>
      </c>
      <c r="S162" s="6" t="s">
        <v>817</v>
      </c>
      <c r="T162" s="44" t="s">
        <v>2229</v>
      </c>
      <c r="U162" s="13" t="s">
        <v>3699</v>
      </c>
    </row>
    <row r="163" spans="1:21" x14ac:dyDescent="0.3">
      <c r="A163" s="6" t="s">
        <v>2674</v>
      </c>
      <c r="B163" s="6" t="s">
        <v>30</v>
      </c>
      <c r="C163" s="6" t="s">
        <v>15</v>
      </c>
      <c r="D163" s="8">
        <v>4301</v>
      </c>
      <c r="E163" s="9">
        <v>285.64999999999998</v>
      </c>
      <c r="H163" s="6">
        <v>194840</v>
      </c>
      <c r="I163" s="10" t="s">
        <v>293</v>
      </c>
      <c r="J163" s="6" t="s">
        <v>3696</v>
      </c>
      <c r="K163" s="6" t="s">
        <v>2673</v>
      </c>
      <c r="L163" s="11">
        <v>43221</v>
      </c>
      <c r="M163" s="11">
        <f>DCPXX[[#This Row],[INV DOC DATE]]+30</f>
        <v>43251</v>
      </c>
      <c r="N163" s="11">
        <v>43250</v>
      </c>
      <c r="O163" s="13">
        <v>285.64999999999998</v>
      </c>
      <c r="P163" s="11">
        <v>43284</v>
      </c>
      <c r="Q163" s="13">
        <f t="shared" si="2"/>
        <v>0</v>
      </c>
      <c r="R163" s="13" t="str">
        <f ca="1">IF(TODAY() - DCPXX[INV DUE DATE]&lt;30, "Less than 30 days",IF(TODAY()-DCPXX[INV DUE DATE]&lt;60,"30-60 days","More than 60 days"))</f>
        <v>30-60 days</v>
      </c>
      <c r="S163" s="6" t="s">
        <v>817</v>
      </c>
      <c r="T163" s="44" t="s">
        <v>2229</v>
      </c>
      <c r="U163" s="13" t="s">
        <v>3699</v>
      </c>
    </row>
    <row r="164" spans="1:21" x14ac:dyDescent="0.3">
      <c r="A164" s="6" t="s">
        <v>2674</v>
      </c>
      <c r="B164" s="6" t="s">
        <v>30</v>
      </c>
      <c r="C164" s="6" t="s">
        <v>16</v>
      </c>
      <c r="D164" s="8">
        <v>4301</v>
      </c>
      <c r="E164" s="9">
        <v>1600</v>
      </c>
      <c r="H164" s="6">
        <v>194840</v>
      </c>
      <c r="I164" s="10" t="s">
        <v>293</v>
      </c>
      <c r="J164" s="6" t="s">
        <v>3696</v>
      </c>
      <c r="K164" s="6" t="s">
        <v>2424</v>
      </c>
      <c r="L164" s="11">
        <v>43221</v>
      </c>
      <c r="M164" s="11">
        <f>DCPXX[[#This Row],[INV DOC DATE]]+30</f>
        <v>43251</v>
      </c>
      <c r="N164" s="11">
        <v>43250</v>
      </c>
      <c r="O164" s="13">
        <v>1600</v>
      </c>
      <c r="P164" s="11">
        <v>43284</v>
      </c>
      <c r="Q164" s="13">
        <f t="shared" si="2"/>
        <v>0</v>
      </c>
      <c r="R164" s="13" t="str">
        <f ca="1">IF(TODAY() - DCPXX[INV DUE DATE]&lt;30, "Less than 30 days",IF(TODAY()-DCPXX[INV DUE DATE]&lt;60,"30-60 days","More than 60 days"))</f>
        <v>30-60 days</v>
      </c>
      <c r="S164" s="6" t="s">
        <v>817</v>
      </c>
      <c r="T164" s="44" t="s">
        <v>2229</v>
      </c>
      <c r="U164" s="13" t="s">
        <v>3699</v>
      </c>
    </row>
    <row r="165" spans="1:21" x14ac:dyDescent="0.3">
      <c r="A165" s="6" t="s">
        <v>2674</v>
      </c>
      <c r="B165" s="6" t="s">
        <v>30</v>
      </c>
      <c r="C165" s="6" t="s">
        <v>17</v>
      </c>
      <c r="D165" s="8">
        <v>4301</v>
      </c>
      <c r="E165" s="9">
        <v>90</v>
      </c>
      <c r="H165" s="6">
        <v>194840</v>
      </c>
      <c r="I165" s="10" t="s">
        <v>293</v>
      </c>
      <c r="J165" s="6" t="s">
        <v>3696</v>
      </c>
      <c r="K165" s="6" t="s">
        <v>810</v>
      </c>
      <c r="L165" s="11">
        <v>43221</v>
      </c>
      <c r="M165" s="11">
        <f>DCPXX[[#This Row],[INV DOC DATE]]+30</f>
        <v>43251</v>
      </c>
      <c r="N165" s="11">
        <v>43250</v>
      </c>
      <c r="O165" s="13">
        <v>90</v>
      </c>
      <c r="P165" s="11">
        <v>43284</v>
      </c>
      <c r="Q165" s="13">
        <f t="shared" si="2"/>
        <v>0</v>
      </c>
      <c r="R165" s="13" t="str">
        <f ca="1">IF(TODAY() - DCPXX[INV DUE DATE]&lt;30, "Less than 30 days",IF(TODAY()-DCPXX[INV DUE DATE]&lt;60,"30-60 days","More than 60 days"))</f>
        <v>30-60 days</v>
      </c>
      <c r="S165" s="6" t="s">
        <v>817</v>
      </c>
      <c r="T165" s="44" t="s">
        <v>2229</v>
      </c>
      <c r="U165" s="13" t="s">
        <v>3699</v>
      </c>
    </row>
    <row r="166" spans="1:21" x14ac:dyDescent="0.3">
      <c r="A166" s="6" t="s">
        <v>2674</v>
      </c>
      <c r="B166" s="6" t="s">
        <v>30</v>
      </c>
      <c r="C166" s="6" t="s">
        <v>18</v>
      </c>
      <c r="D166" s="8">
        <v>4301</v>
      </c>
      <c r="E166" s="9">
        <v>275.8</v>
      </c>
      <c r="H166" s="6">
        <v>194840</v>
      </c>
      <c r="I166" s="10" t="s">
        <v>293</v>
      </c>
      <c r="J166" s="6" t="s">
        <v>3697</v>
      </c>
      <c r="K166" s="6" t="s">
        <v>2673</v>
      </c>
      <c r="L166" s="11">
        <v>43221</v>
      </c>
      <c r="M166" s="11">
        <f>DCPXX[[#This Row],[INV DOC DATE]]+30</f>
        <v>43251</v>
      </c>
      <c r="N166" s="11">
        <v>43250</v>
      </c>
      <c r="O166" s="13">
        <v>275.8</v>
      </c>
      <c r="P166" s="11">
        <v>43284</v>
      </c>
      <c r="Q166" s="13">
        <f t="shared" si="2"/>
        <v>0</v>
      </c>
      <c r="R166" s="13" t="str">
        <f ca="1">IF(TODAY() - DCPXX[INV DUE DATE]&lt;30, "Less than 30 days",IF(TODAY()-DCPXX[INV DUE DATE]&lt;60,"30-60 days","More than 60 days"))</f>
        <v>30-60 days</v>
      </c>
      <c r="S166" s="6" t="s">
        <v>817</v>
      </c>
      <c r="T166" s="44" t="s">
        <v>2229</v>
      </c>
      <c r="U166" s="13" t="s">
        <v>3699</v>
      </c>
    </row>
    <row r="167" spans="1:21" x14ac:dyDescent="0.3">
      <c r="A167" s="6" t="s">
        <v>2674</v>
      </c>
      <c r="B167" s="6" t="s">
        <v>30</v>
      </c>
      <c r="C167" s="6" t="s">
        <v>19</v>
      </c>
      <c r="D167" s="8">
        <v>4301</v>
      </c>
      <c r="E167" s="9">
        <v>1600</v>
      </c>
      <c r="H167" s="6">
        <v>194840</v>
      </c>
      <c r="I167" s="10" t="s">
        <v>293</v>
      </c>
      <c r="J167" s="6" t="s">
        <v>3697</v>
      </c>
      <c r="K167" s="6" t="s">
        <v>2424</v>
      </c>
      <c r="L167" s="11">
        <v>43221</v>
      </c>
      <c r="M167" s="11">
        <f>DCPXX[[#This Row],[INV DOC DATE]]+30</f>
        <v>43251</v>
      </c>
      <c r="N167" s="11">
        <v>43250</v>
      </c>
      <c r="O167" s="13">
        <v>1600</v>
      </c>
      <c r="P167" s="11">
        <v>43284</v>
      </c>
      <c r="Q167" s="13">
        <f t="shared" si="2"/>
        <v>0</v>
      </c>
      <c r="R167" s="13" t="str">
        <f ca="1">IF(TODAY() - DCPXX[INV DUE DATE]&lt;30, "Less than 30 days",IF(TODAY()-DCPXX[INV DUE DATE]&lt;60,"30-60 days","More than 60 days"))</f>
        <v>30-60 days</v>
      </c>
      <c r="S167" s="6" t="s">
        <v>817</v>
      </c>
      <c r="T167" s="44" t="s">
        <v>2229</v>
      </c>
      <c r="U167" s="13" t="s">
        <v>3699</v>
      </c>
    </row>
    <row r="168" spans="1:21" x14ac:dyDescent="0.3">
      <c r="A168" s="6" t="s">
        <v>2674</v>
      </c>
      <c r="B168" s="6" t="s">
        <v>30</v>
      </c>
      <c r="C168" s="6" t="s">
        <v>20</v>
      </c>
      <c r="D168" s="8">
        <v>4301</v>
      </c>
      <c r="E168" s="9">
        <v>90</v>
      </c>
      <c r="H168" s="6">
        <v>194840</v>
      </c>
      <c r="I168" s="10" t="s">
        <v>293</v>
      </c>
      <c r="J168" s="6" t="s">
        <v>3697</v>
      </c>
      <c r="K168" s="6" t="s">
        <v>810</v>
      </c>
      <c r="L168" s="11">
        <v>43221</v>
      </c>
      <c r="M168" s="11">
        <f>DCPXX[[#This Row],[INV DOC DATE]]+30</f>
        <v>43251</v>
      </c>
      <c r="N168" s="11">
        <v>43250</v>
      </c>
      <c r="O168" s="13">
        <v>90</v>
      </c>
      <c r="P168" s="11">
        <v>43284</v>
      </c>
      <c r="Q168" s="13">
        <f t="shared" si="2"/>
        <v>0</v>
      </c>
      <c r="R168" s="13" t="str">
        <f ca="1">IF(TODAY() - DCPXX[INV DUE DATE]&lt;30, "Less than 30 days",IF(TODAY()-DCPXX[INV DUE DATE]&lt;60,"30-60 days","More than 60 days"))</f>
        <v>30-60 days</v>
      </c>
      <c r="S168" s="6" t="s">
        <v>817</v>
      </c>
      <c r="T168" s="44" t="s">
        <v>2229</v>
      </c>
      <c r="U168" s="13" t="s">
        <v>3699</v>
      </c>
    </row>
    <row r="169" spans="1:21" x14ac:dyDescent="0.3">
      <c r="A169" s="6" t="s">
        <v>2674</v>
      </c>
      <c r="B169" s="6" t="s">
        <v>30</v>
      </c>
      <c r="C169" s="6" t="s">
        <v>21</v>
      </c>
      <c r="D169" s="8">
        <v>4301</v>
      </c>
      <c r="E169" s="9">
        <v>275.8</v>
      </c>
      <c r="H169" s="6">
        <v>194840</v>
      </c>
      <c r="I169" s="10" t="s">
        <v>293</v>
      </c>
      <c r="J169" s="6" t="s">
        <v>3698</v>
      </c>
      <c r="K169" s="6" t="s">
        <v>2673</v>
      </c>
      <c r="L169" s="11">
        <v>43221</v>
      </c>
      <c r="M169" s="11">
        <f>DCPXX[[#This Row],[INV DOC DATE]]+30</f>
        <v>43251</v>
      </c>
      <c r="N169" s="11">
        <v>43250</v>
      </c>
      <c r="O169" s="13">
        <v>275.8</v>
      </c>
      <c r="P169" s="11">
        <v>43284</v>
      </c>
      <c r="Q169" s="13">
        <f t="shared" si="2"/>
        <v>0</v>
      </c>
      <c r="R169" s="13" t="str">
        <f ca="1">IF(TODAY() - DCPXX[INV DUE DATE]&lt;30, "Less than 30 days",IF(TODAY()-DCPXX[INV DUE DATE]&lt;60,"30-60 days","More than 60 days"))</f>
        <v>30-60 days</v>
      </c>
      <c r="S169" s="6" t="s">
        <v>817</v>
      </c>
      <c r="T169" s="44" t="s">
        <v>2229</v>
      </c>
      <c r="U169" s="13" t="s">
        <v>3699</v>
      </c>
    </row>
    <row r="170" spans="1:21" x14ac:dyDescent="0.3">
      <c r="A170" s="6" t="s">
        <v>2674</v>
      </c>
      <c r="B170" s="6" t="s">
        <v>30</v>
      </c>
      <c r="C170" s="6" t="s">
        <v>22</v>
      </c>
      <c r="D170" s="8">
        <v>4301</v>
      </c>
      <c r="E170" s="9">
        <v>1600</v>
      </c>
      <c r="H170" s="6">
        <v>194840</v>
      </c>
      <c r="I170" s="10" t="s">
        <v>293</v>
      </c>
      <c r="J170" s="6" t="s">
        <v>3698</v>
      </c>
      <c r="K170" s="6" t="s">
        <v>2424</v>
      </c>
      <c r="L170" s="11">
        <v>43221</v>
      </c>
      <c r="M170" s="11">
        <f>DCPXX[[#This Row],[INV DOC DATE]]+30</f>
        <v>43251</v>
      </c>
      <c r="N170" s="11">
        <v>43250</v>
      </c>
      <c r="O170" s="13">
        <v>1600</v>
      </c>
      <c r="P170" s="11">
        <v>43284</v>
      </c>
      <c r="Q170" s="13">
        <f t="shared" si="2"/>
        <v>0</v>
      </c>
      <c r="R170" s="13" t="str">
        <f ca="1">IF(TODAY() - DCPXX[INV DUE DATE]&lt;30, "Less than 30 days",IF(TODAY()-DCPXX[INV DUE DATE]&lt;60,"30-60 days","More than 60 days"))</f>
        <v>30-60 days</v>
      </c>
      <c r="S170" s="6" t="s">
        <v>817</v>
      </c>
      <c r="T170" s="44" t="s">
        <v>2229</v>
      </c>
      <c r="U170" s="13" t="s">
        <v>3699</v>
      </c>
    </row>
    <row r="171" spans="1:21" x14ac:dyDescent="0.3">
      <c r="A171" s="6" t="s">
        <v>2674</v>
      </c>
      <c r="B171" s="6" t="s">
        <v>30</v>
      </c>
      <c r="C171" s="6" t="s">
        <v>23</v>
      </c>
      <c r="D171" s="8">
        <v>4301</v>
      </c>
      <c r="E171" s="9">
        <v>90</v>
      </c>
      <c r="H171" s="6">
        <v>194840</v>
      </c>
      <c r="I171" s="10" t="s">
        <v>293</v>
      </c>
      <c r="J171" s="6" t="s">
        <v>3698</v>
      </c>
      <c r="K171" s="6" t="s">
        <v>810</v>
      </c>
      <c r="L171" s="11">
        <v>43221</v>
      </c>
      <c r="M171" s="11">
        <f>DCPXX[[#This Row],[INV DOC DATE]]+30</f>
        <v>43251</v>
      </c>
      <c r="N171" s="11">
        <v>43250</v>
      </c>
      <c r="O171" s="13">
        <v>90</v>
      </c>
      <c r="P171" s="11">
        <v>43284</v>
      </c>
      <c r="Q171" s="13">
        <f t="shared" si="2"/>
        <v>0</v>
      </c>
      <c r="R171" s="13" t="str">
        <f ca="1">IF(TODAY() - DCPXX[INV DUE DATE]&lt;30, "Less than 30 days",IF(TODAY()-DCPXX[INV DUE DATE]&lt;60,"30-60 days","More than 60 days"))</f>
        <v>30-60 days</v>
      </c>
      <c r="S171" s="6" t="s">
        <v>817</v>
      </c>
      <c r="T171" s="44" t="s">
        <v>2229</v>
      </c>
      <c r="U171" s="13" t="s">
        <v>3699</v>
      </c>
    </row>
    <row r="172" spans="1:21" x14ac:dyDescent="0.3">
      <c r="A172" s="6" t="s">
        <v>2672</v>
      </c>
      <c r="B172" s="6" t="s">
        <v>30</v>
      </c>
      <c r="C172" s="6" t="s">
        <v>6</v>
      </c>
      <c r="D172" s="8">
        <v>4301</v>
      </c>
      <c r="E172" s="9">
        <v>172.5</v>
      </c>
      <c r="H172" s="6">
        <v>194567</v>
      </c>
      <c r="I172" s="10" t="s">
        <v>293</v>
      </c>
      <c r="J172" s="6" t="s">
        <v>234</v>
      </c>
      <c r="K172" s="6" t="s">
        <v>2673</v>
      </c>
      <c r="L172" s="11">
        <v>43252</v>
      </c>
      <c r="M172" s="11">
        <f>DCPXX[[#This Row],[INV DOC DATE]]+30</f>
        <v>43282</v>
      </c>
      <c r="N172" s="11">
        <v>43250</v>
      </c>
      <c r="O172" s="13">
        <v>172.5</v>
      </c>
      <c r="P172" s="11">
        <v>43284</v>
      </c>
      <c r="Q172" s="13">
        <f t="shared" si="2"/>
        <v>0</v>
      </c>
      <c r="R172" s="13" t="str">
        <f ca="1">IF(TODAY() - DCPXX[INV DUE DATE]&lt;30, "Less than 30 days",IF(TODAY()-DCPXX[INV DUE DATE]&lt;60,"30-60 days","More than 60 days"))</f>
        <v>Less than 30 days</v>
      </c>
      <c r="S172" s="6" t="s">
        <v>817</v>
      </c>
      <c r="T172" s="44" t="s">
        <v>2229</v>
      </c>
      <c r="U172" s="13" t="s">
        <v>3699</v>
      </c>
    </row>
    <row r="173" spans="1:21" x14ac:dyDescent="0.3">
      <c r="A173" s="6" t="s">
        <v>2672</v>
      </c>
      <c r="B173" s="6" t="s">
        <v>30</v>
      </c>
      <c r="C173" s="6" t="s">
        <v>7</v>
      </c>
      <c r="D173" s="8">
        <v>4301</v>
      </c>
      <c r="E173" s="9">
        <v>172.5</v>
      </c>
      <c r="H173" s="6">
        <v>194567</v>
      </c>
      <c r="I173" s="10" t="s">
        <v>293</v>
      </c>
      <c r="J173" s="6" t="s">
        <v>235</v>
      </c>
      <c r="K173" s="6" t="s">
        <v>2673</v>
      </c>
      <c r="L173" s="11">
        <v>43252</v>
      </c>
      <c r="M173" s="11">
        <f>DCPXX[[#This Row],[INV DOC DATE]]+30</f>
        <v>43282</v>
      </c>
      <c r="N173" s="11">
        <v>43250</v>
      </c>
      <c r="O173" s="13">
        <v>172.5</v>
      </c>
      <c r="P173" s="11">
        <v>43284</v>
      </c>
      <c r="Q173" s="13">
        <f t="shared" si="2"/>
        <v>0</v>
      </c>
      <c r="R173" s="13" t="str">
        <f ca="1">IF(TODAY() - DCPXX[INV DUE DATE]&lt;30, "Less than 30 days",IF(TODAY()-DCPXX[INV DUE DATE]&lt;60,"30-60 days","More than 60 days"))</f>
        <v>Less than 30 days</v>
      </c>
      <c r="S173" s="6" t="s">
        <v>817</v>
      </c>
      <c r="T173" s="44" t="s">
        <v>2229</v>
      </c>
      <c r="U173" s="13" t="s">
        <v>3699</v>
      </c>
    </row>
    <row r="174" spans="1:21" x14ac:dyDescent="0.3">
      <c r="A174" s="6" t="s">
        <v>2672</v>
      </c>
      <c r="B174" s="6" t="s">
        <v>30</v>
      </c>
      <c r="C174" s="6" t="s">
        <v>8</v>
      </c>
      <c r="D174" s="8">
        <v>4301</v>
      </c>
      <c r="E174" s="9">
        <v>420</v>
      </c>
      <c r="H174" s="6">
        <v>194567</v>
      </c>
      <c r="I174" s="10" t="s">
        <v>293</v>
      </c>
      <c r="J174" s="6" t="s">
        <v>238</v>
      </c>
      <c r="K174" s="6" t="s">
        <v>2673</v>
      </c>
      <c r="L174" s="11">
        <v>43252</v>
      </c>
      <c r="M174" s="11">
        <f>DCPXX[[#This Row],[INV DOC DATE]]+30</f>
        <v>43282</v>
      </c>
      <c r="N174" s="11">
        <v>43250</v>
      </c>
      <c r="O174" s="13">
        <v>420</v>
      </c>
      <c r="P174" s="11">
        <v>43284</v>
      </c>
      <c r="Q174" s="13">
        <f t="shared" si="2"/>
        <v>0</v>
      </c>
      <c r="R174" s="13" t="str">
        <f ca="1">IF(TODAY() - DCPXX[INV DUE DATE]&lt;30, "Less than 30 days",IF(TODAY()-DCPXX[INV DUE DATE]&lt;60,"30-60 days","More than 60 days"))</f>
        <v>Less than 30 days</v>
      </c>
      <c r="S174" s="6" t="s">
        <v>817</v>
      </c>
      <c r="T174" s="44" t="s">
        <v>2229</v>
      </c>
      <c r="U174" s="13" t="s">
        <v>3699</v>
      </c>
    </row>
    <row r="175" spans="1:21" x14ac:dyDescent="0.3">
      <c r="A175" s="6" t="s">
        <v>2672</v>
      </c>
      <c r="B175" s="6" t="s">
        <v>30</v>
      </c>
      <c r="C175" s="6" t="s">
        <v>9</v>
      </c>
      <c r="D175" s="8">
        <v>4301</v>
      </c>
      <c r="E175" s="9">
        <v>420</v>
      </c>
      <c r="H175" s="6">
        <v>194567</v>
      </c>
      <c r="I175" s="10" t="s">
        <v>293</v>
      </c>
      <c r="J175" s="6" t="s">
        <v>239</v>
      </c>
      <c r="K175" s="6" t="s">
        <v>2673</v>
      </c>
      <c r="L175" s="11">
        <v>43252</v>
      </c>
      <c r="M175" s="11">
        <f>DCPXX[[#This Row],[INV DOC DATE]]+30</f>
        <v>43282</v>
      </c>
      <c r="N175" s="11">
        <v>43250</v>
      </c>
      <c r="O175" s="13">
        <v>420</v>
      </c>
      <c r="P175" s="11">
        <v>43284</v>
      </c>
      <c r="Q175" s="13">
        <f t="shared" si="2"/>
        <v>0</v>
      </c>
      <c r="R175" s="13" t="str">
        <f ca="1">IF(TODAY() - DCPXX[INV DUE DATE]&lt;30, "Less than 30 days",IF(TODAY()-DCPXX[INV DUE DATE]&lt;60,"30-60 days","More than 60 days"))</f>
        <v>Less than 30 days</v>
      </c>
      <c r="S175" s="6" t="s">
        <v>817</v>
      </c>
      <c r="T175" s="44" t="s">
        <v>2229</v>
      </c>
      <c r="U175" s="13" t="s">
        <v>3699</v>
      </c>
    </row>
    <row r="176" spans="1:21" x14ac:dyDescent="0.3">
      <c r="A176" s="6" t="s">
        <v>2672</v>
      </c>
      <c r="B176" s="6" t="s">
        <v>30</v>
      </c>
      <c r="C176" s="6" t="s">
        <v>10</v>
      </c>
      <c r="D176" s="8">
        <v>4301</v>
      </c>
      <c r="E176" s="9">
        <v>420</v>
      </c>
      <c r="H176" s="6">
        <v>194567</v>
      </c>
      <c r="I176" s="10" t="s">
        <v>293</v>
      </c>
      <c r="J176" s="6" t="s">
        <v>240</v>
      </c>
      <c r="K176" s="6" t="s">
        <v>2673</v>
      </c>
      <c r="L176" s="11">
        <v>43252</v>
      </c>
      <c r="M176" s="11">
        <f>DCPXX[[#This Row],[INV DOC DATE]]+30</f>
        <v>43282</v>
      </c>
      <c r="N176" s="11">
        <v>43250</v>
      </c>
      <c r="O176" s="13">
        <v>420</v>
      </c>
      <c r="P176" s="11">
        <v>43284</v>
      </c>
      <c r="Q176" s="13">
        <f t="shared" si="2"/>
        <v>0</v>
      </c>
      <c r="R176" s="13" t="str">
        <f ca="1">IF(TODAY() - DCPXX[INV DUE DATE]&lt;30, "Less than 30 days",IF(TODAY()-DCPXX[INV DUE DATE]&lt;60,"30-60 days","More than 60 days"))</f>
        <v>Less than 30 days</v>
      </c>
      <c r="S176" s="6" t="s">
        <v>817</v>
      </c>
      <c r="T176" s="44" t="s">
        <v>2229</v>
      </c>
      <c r="U176" s="13" t="s">
        <v>3699</v>
      </c>
    </row>
    <row r="177" spans="1:21" x14ac:dyDescent="0.3">
      <c r="A177" s="6" t="s">
        <v>2672</v>
      </c>
      <c r="B177" s="6" t="s">
        <v>30</v>
      </c>
      <c r="C177" s="6" t="s">
        <v>11</v>
      </c>
      <c r="D177" s="8">
        <v>4301</v>
      </c>
      <c r="E177" s="9">
        <v>420</v>
      </c>
      <c r="H177" s="6">
        <v>194567</v>
      </c>
      <c r="I177" s="10" t="s">
        <v>293</v>
      </c>
      <c r="J177" s="6" t="s">
        <v>241</v>
      </c>
      <c r="K177" s="6" t="s">
        <v>2673</v>
      </c>
      <c r="L177" s="11">
        <v>43252</v>
      </c>
      <c r="M177" s="11">
        <f>DCPXX[[#This Row],[INV DOC DATE]]+30</f>
        <v>43282</v>
      </c>
      <c r="N177" s="11">
        <v>43250</v>
      </c>
      <c r="O177" s="13">
        <v>420</v>
      </c>
      <c r="P177" s="11">
        <v>43284</v>
      </c>
      <c r="Q177" s="13">
        <f t="shared" si="2"/>
        <v>0</v>
      </c>
      <c r="R177" s="13" t="str">
        <f ca="1">IF(TODAY() - DCPXX[INV DUE DATE]&lt;30, "Less than 30 days",IF(TODAY()-DCPXX[INV DUE DATE]&lt;60,"30-60 days","More than 60 days"))</f>
        <v>Less than 30 days</v>
      </c>
      <c r="S177" s="6" t="s">
        <v>817</v>
      </c>
      <c r="T177" s="44" t="s">
        <v>2229</v>
      </c>
      <c r="U177" s="13" t="s">
        <v>3699</v>
      </c>
    </row>
    <row r="178" spans="1:21" x14ac:dyDescent="0.3">
      <c r="A178" s="6" t="s">
        <v>2672</v>
      </c>
      <c r="B178" s="6" t="s">
        <v>30</v>
      </c>
      <c r="C178" s="6" t="s">
        <v>12</v>
      </c>
      <c r="D178" s="8">
        <v>4301</v>
      </c>
      <c r="E178" s="9">
        <v>420</v>
      </c>
      <c r="H178" s="6">
        <v>194567</v>
      </c>
      <c r="I178" s="10" t="s">
        <v>293</v>
      </c>
      <c r="J178" s="6" t="s">
        <v>242</v>
      </c>
      <c r="K178" s="6" t="s">
        <v>2673</v>
      </c>
      <c r="L178" s="11">
        <v>43252</v>
      </c>
      <c r="M178" s="11">
        <f>DCPXX[[#This Row],[INV DOC DATE]]+30</f>
        <v>43282</v>
      </c>
      <c r="N178" s="11">
        <v>43250</v>
      </c>
      <c r="O178" s="13">
        <v>420</v>
      </c>
      <c r="P178" s="11">
        <v>43284</v>
      </c>
      <c r="Q178" s="13">
        <f t="shared" si="2"/>
        <v>0</v>
      </c>
      <c r="R178" s="13" t="str">
        <f ca="1">IF(TODAY() - DCPXX[INV DUE DATE]&lt;30, "Less than 30 days",IF(TODAY()-DCPXX[INV DUE DATE]&lt;60,"30-60 days","More than 60 days"))</f>
        <v>Less than 30 days</v>
      </c>
      <c r="S178" s="6" t="s">
        <v>817</v>
      </c>
      <c r="T178" s="44" t="s">
        <v>2229</v>
      </c>
      <c r="U178" s="13" t="s">
        <v>3699</v>
      </c>
    </row>
    <row r="179" spans="1:21" x14ac:dyDescent="0.3">
      <c r="A179" s="6" t="s">
        <v>2672</v>
      </c>
      <c r="B179" s="6" t="s">
        <v>30</v>
      </c>
      <c r="C179" s="6" t="s">
        <v>13</v>
      </c>
      <c r="D179" s="8">
        <v>4301</v>
      </c>
      <c r="E179" s="9">
        <v>420</v>
      </c>
      <c r="H179" s="6">
        <v>194567</v>
      </c>
      <c r="I179" s="10" t="s">
        <v>293</v>
      </c>
      <c r="J179" s="6" t="s">
        <v>243</v>
      </c>
      <c r="K179" s="6" t="s">
        <v>2673</v>
      </c>
      <c r="L179" s="11">
        <v>43252</v>
      </c>
      <c r="M179" s="11">
        <f>DCPXX[[#This Row],[INV DOC DATE]]+30</f>
        <v>43282</v>
      </c>
      <c r="N179" s="11">
        <v>43250</v>
      </c>
      <c r="O179" s="13">
        <v>420</v>
      </c>
      <c r="P179" s="11">
        <v>43284</v>
      </c>
      <c r="Q179" s="13">
        <f t="shared" si="2"/>
        <v>0</v>
      </c>
      <c r="R179" s="13" t="str">
        <f ca="1">IF(TODAY() - DCPXX[INV DUE DATE]&lt;30, "Less than 30 days",IF(TODAY()-DCPXX[INV DUE DATE]&lt;60,"30-60 days","More than 60 days"))</f>
        <v>Less than 30 days</v>
      </c>
      <c r="S179" s="6" t="s">
        <v>817</v>
      </c>
      <c r="T179" s="44" t="s">
        <v>2229</v>
      </c>
      <c r="U179" s="13" t="s">
        <v>3699</v>
      </c>
    </row>
    <row r="180" spans="1:21" x14ac:dyDescent="0.3">
      <c r="A180" s="6" t="s">
        <v>2672</v>
      </c>
      <c r="B180" s="6" t="s">
        <v>30</v>
      </c>
      <c r="C180" s="6" t="s">
        <v>14</v>
      </c>
      <c r="D180" s="8">
        <v>4301</v>
      </c>
      <c r="E180" s="9">
        <v>420</v>
      </c>
      <c r="H180" s="6">
        <v>194567</v>
      </c>
      <c r="I180" s="10" t="s">
        <v>293</v>
      </c>
      <c r="J180" s="6" t="s">
        <v>244</v>
      </c>
      <c r="K180" s="6" t="s">
        <v>2673</v>
      </c>
      <c r="L180" s="11">
        <v>43252</v>
      </c>
      <c r="M180" s="11">
        <f>DCPXX[[#This Row],[INV DOC DATE]]+30</f>
        <v>43282</v>
      </c>
      <c r="N180" s="11">
        <v>43250</v>
      </c>
      <c r="O180" s="13">
        <v>420</v>
      </c>
      <c r="P180" s="11">
        <v>43284</v>
      </c>
      <c r="Q180" s="13">
        <f t="shared" si="2"/>
        <v>0</v>
      </c>
      <c r="R180" s="13" t="str">
        <f ca="1">IF(TODAY() - DCPXX[INV DUE DATE]&lt;30, "Less than 30 days",IF(TODAY()-DCPXX[INV DUE DATE]&lt;60,"30-60 days","More than 60 days"))</f>
        <v>Less than 30 days</v>
      </c>
      <c r="S180" s="6" t="s">
        <v>817</v>
      </c>
      <c r="T180" s="44" t="s">
        <v>2229</v>
      </c>
      <c r="U180" s="13" t="s">
        <v>3699</v>
      </c>
    </row>
    <row r="181" spans="1:21" x14ac:dyDescent="0.3">
      <c r="A181" s="6" t="s">
        <v>2672</v>
      </c>
      <c r="B181" s="6" t="s">
        <v>30</v>
      </c>
      <c r="C181" s="6" t="s">
        <v>15</v>
      </c>
      <c r="D181" s="8">
        <v>4301</v>
      </c>
      <c r="E181" s="9">
        <v>420</v>
      </c>
      <c r="H181" s="6">
        <v>194567</v>
      </c>
      <c r="I181" s="10" t="s">
        <v>293</v>
      </c>
      <c r="J181" s="6" t="s">
        <v>245</v>
      </c>
      <c r="K181" s="6" t="s">
        <v>2673</v>
      </c>
      <c r="L181" s="11">
        <v>43252</v>
      </c>
      <c r="M181" s="11">
        <f>DCPXX[[#This Row],[INV DOC DATE]]+30</f>
        <v>43282</v>
      </c>
      <c r="N181" s="11">
        <v>43250</v>
      </c>
      <c r="O181" s="13">
        <v>420</v>
      </c>
      <c r="P181" s="11">
        <v>43284</v>
      </c>
      <c r="Q181" s="13">
        <f t="shared" si="2"/>
        <v>0</v>
      </c>
      <c r="R181" s="13" t="str">
        <f ca="1">IF(TODAY() - DCPXX[INV DUE DATE]&lt;30, "Less than 30 days",IF(TODAY()-DCPXX[INV DUE DATE]&lt;60,"30-60 days","More than 60 days"))</f>
        <v>Less than 30 days</v>
      </c>
      <c r="S181" s="6" t="s">
        <v>817</v>
      </c>
      <c r="T181" s="44" t="s">
        <v>2229</v>
      </c>
      <c r="U181" s="13" t="s">
        <v>3699</v>
      </c>
    </row>
    <row r="182" spans="1:21" x14ac:dyDescent="0.3">
      <c r="A182" s="6" t="s">
        <v>2672</v>
      </c>
      <c r="B182" s="6" t="s">
        <v>30</v>
      </c>
      <c r="C182" s="6" t="s">
        <v>16</v>
      </c>
      <c r="D182" s="8">
        <v>4301</v>
      </c>
      <c r="E182" s="9">
        <v>420</v>
      </c>
      <c r="H182" s="6">
        <v>194567</v>
      </c>
      <c r="I182" s="10" t="s">
        <v>293</v>
      </c>
      <c r="J182" s="6" t="s">
        <v>246</v>
      </c>
      <c r="K182" s="6" t="s">
        <v>2673</v>
      </c>
      <c r="L182" s="11">
        <v>43252</v>
      </c>
      <c r="M182" s="11">
        <f>DCPXX[[#This Row],[INV DOC DATE]]+30</f>
        <v>43282</v>
      </c>
      <c r="N182" s="11">
        <v>43250</v>
      </c>
      <c r="O182" s="13">
        <v>420</v>
      </c>
      <c r="P182" s="11">
        <v>43284</v>
      </c>
      <c r="Q182" s="13">
        <f t="shared" si="2"/>
        <v>0</v>
      </c>
      <c r="R182" s="13" t="str">
        <f ca="1">IF(TODAY() - DCPXX[INV DUE DATE]&lt;30, "Less than 30 days",IF(TODAY()-DCPXX[INV DUE DATE]&lt;60,"30-60 days","More than 60 days"))</f>
        <v>Less than 30 days</v>
      </c>
      <c r="S182" s="6" t="s">
        <v>817</v>
      </c>
      <c r="T182" s="44" t="s">
        <v>2229</v>
      </c>
      <c r="U182" s="13" t="s">
        <v>3699</v>
      </c>
    </row>
    <row r="183" spans="1:21" x14ac:dyDescent="0.3">
      <c r="A183" s="6" t="s">
        <v>2672</v>
      </c>
      <c r="B183" s="6" t="s">
        <v>30</v>
      </c>
      <c r="C183" s="6" t="s">
        <v>17</v>
      </c>
      <c r="D183" s="8">
        <v>4301</v>
      </c>
      <c r="E183" s="9">
        <v>420</v>
      </c>
      <c r="H183" s="6">
        <v>194567</v>
      </c>
      <c r="I183" s="10" t="s">
        <v>293</v>
      </c>
      <c r="J183" s="6" t="s">
        <v>247</v>
      </c>
      <c r="K183" s="6" t="s">
        <v>2673</v>
      </c>
      <c r="L183" s="11">
        <v>43252</v>
      </c>
      <c r="M183" s="11">
        <f>DCPXX[[#This Row],[INV DOC DATE]]+30</f>
        <v>43282</v>
      </c>
      <c r="N183" s="11">
        <v>43250</v>
      </c>
      <c r="O183" s="13">
        <v>420</v>
      </c>
      <c r="P183" s="11">
        <v>43284</v>
      </c>
      <c r="Q183" s="13">
        <f t="shared" si="2"/>
        <v>0</v>
      </c>
      <c r="R183" s="13" t="str">
        <f ca="1">IF(TODAY() - DCPXX[INV DUE DATE]&lt;30, "Less than 30 days",IF(TODAY()-DCPXX[INV DUE DATE]&lt;60,"30-60 days","More than 60 days"))</f>
        <v>Less than 30 days</v>
      </c>
      <c r="S183" s="6" t="s">
        <v>817</v>
      </c>
      <c r="T183" s="44" t="s">
        <v>2229</v>
      </c>
      <c r="U183" s="13" t="s">
        <v>3699</v>
      </c>
    </row>
    <row r="184" spans="1:21" x14ac:dyDescent="0.3">
      <c r="A184" s="6" t="s">
        <v>2672</v>
      </c>
      <c r="B184" s="6" t="s">
        <v>30</v>
      </c>
      <c r="C184" s="6" t="s">
        <v>18</v>
      </c>
      <c r="D184" s="8">
        <v>4301</v>
      </c>
      <c r="E184" s="9">
        <v>420</v>
      </c>
      <c r="H184" s="6">
        <v>194567</v>
      </c>
      <c r="I184" s="10" t="s">
        <v>293</v>
      </c>
      <c r="J184" s="6" t="s">
        <v>248</v>
      </c>
      <c r="K184" s="6" t="s">
        <v>2673</v>
      </c>
      <c r="L184" s="11">
        <v>43252</v>
      </c>
      <c r="M184" s="11">
        <f>DCPXX[[#This Row],[INV DOC DATE]]+30</f>
        <v>43282</v>
      </c>
      <c r="N184" s="11">
        <v>43250</v>
      </c>
      <c r="O184" s="13">
        <v>420</v>
      </c>
      <c r="P184" s="11">
        <v>43284</v>
      </c>
      <c r="Q184" s="13">
        <f t="shared" si="2"/>
        <v>0</v>
      </c>
      <c r="R184" s="13" t="str">
        <f ca="1">IF(TODAY() - DCPXX[INV DUE DATE]&lt;30, "Less than 30 days",IF(TODAY()-DCPXX[INV DUE DATE]&lt;60,"30-60 days","More than 60 days"))</f>
        <v>Less than 30 days</v>
      </c>
      <c r="S184" s="6" t="s">
        <v>817</v>
      </c>
      <c r="T184" s="44" t="s">
        <v>2229</v>
      </c>
      <c r="U184" s="13" t="s">
        <v>3699</v>
      </c>
    </row>
    <row r="185" spans="1:21" x14ac:dyDescent="0.3">
      <c r="A185" s="6" t="s">
        <v>2672</v>
      </c>
      <c r="B185" s="6" t="s">
        <v>30</v>
      </c>
      <c r="C185" s="6" t="s">
        <v>19</v>
      </c>
      <c r="D185" s="8">
        <v>4301</v>
      </c>
      <c r="E185" s="9">
        <v>420</v>
      </c>
      <c r="H185" s="6">
        <v>194567</v>
      </c>
      <c r="I185" s="10" t="s">
        <v>293</v>
      </c>
      <c r="J185" s="6" t="s">
        <v>249</v>
      </c>
      <c r="K185" s="6" t="s">
        <v>2673</v>
      </c>
      <c r="L185" s="11">
        <v>43252</v>
      </c>
      <c r="M185" s="11">
        <f>DCPXX[[#This Row],[INV DOC DATE]]+30</f>
        <v>43282</v>
      </c>
      <c r="N185" s="11">
        <v>43250</v>
      </c>
      <c r="O185" s="13">
        <v>420</v>
      </c>
      <c r="P185" s="11">
        <v>43284</v>
      </c>
      <c r="Q185" s="13">
        <f t="shared" si="2"/>
        <v>0</v>
      </c>
      <c r="R185" s="13" t="str">
        <f ca="1">IF(TODAY() - DCPXX[INV DUE DATE]&lt;30, "Less than 30 days",IF(TODAY()-DCPXX[INV DUE DATE]&lt;60,"30-60 days","More than 60 days"))</f>
        <v>Less than 30 days</v>
      </c>
      <c r="S185" s="6" t="s">
        <v>817</v>
      </c>
      <c r="T185" s="44" t="s">
        <v>2229</v>
      </c>
      <c r="U185" s="13" t="s">
        <v>3699</v>
      </c>
    </row>
    <row r="186" spans="1:21" x14ac:dyDescent="0.3">
      <c r="A186" s="6" t="s">
        <v>2672</v>
      </c>
      <c r="B186" s="6" t="s">
        <v>30</v>
      </c>
      <c r="C186" s="6" t="s">
        <v>20</v>
      </c>
      <c r="D186" s="8">
        <v>4301</v>
      </c>
      <c r="E186" s="9">
        <v>420</v>
      </c>
      <c r="H186" s="6">
        <v>194567</v>
      </c>
      <c r="I186" s="10" t="s">
        <v>293</v>
      </c>
      <c r="J186" s="6" t="s">
        <v>250</v>
      </c>
      <c r="K186" s="6" t="s">
        <v>2673</v>
      </c>
      <c r="L186" s="11">
        <v>43252</v>
      </c>
      <c r="M186" s="11">
        <f>DCPXX[[#This Row],[INV DOC DATE]]+30</f>
        <v>43282</v>
      </c>
      <c r="N186" s="11">
        <v>43250</v>
      </c>
      <c r="O186" s="13">
        <v>420</v>
      </c>
      <c r="P186" s="11">
        <v>43284</v>
      </c>
      <c r="Q186" s="13">
        <f t="shared" si="2"/>
        <v>0</v>
      </c>
      <c r="R186" s="13" t="str">
        <f ca="1">IF(TODAY() - DCPXX[INV DUE DATE]&lt;30, "Less than 30 days",IF(TODAY()-DCPXX[INV DUE DATE]&lt;60,"30-60 days","More than 60 days"))</f>
        <v>Less than 30 days</v>
      </c>
      <c r="S186" s="6" t="s">
        <v>817</v>
      </c>
      <c r="T186" s="44" t="s">
        <v>2229</v>
      </c>
      <c r="U186" s="13" t="s">
        <v>3699</v>
      </c>
    </row>
    <row r="187" spans="1:21" x14ac:dyDescent="0.3">
      <c r="A187" s="6" t="s">
        <v>2672</v>
      </c>
      <c r="B187" s="6" t="s">
        <v>30</v>
      </c>
      <c r="C187" s="6" t="s">
        <v>21</v>
      </c>
      <c r="D187" s="8">
        <v>4301</v>
      </c>
      <c r="E187" s="9">
        <v>420</v>
      </c>
      <c r="H187" s="6">
        <v>194567</v>
      </c>
      <c r="I187" s="10" t="s">
        <v>293</v>
      </c>
      <c r="J187" s="6" t="s">
        <v>251</v>
      </c>
      <c r="K187" s="6" t="s">
        <v>2673</v>
      </c>
      <c r="L187" s="11">
        <v>43252</v>
      </c>
      <c r="M187" s="11">
        <f>DCPXX[[#This Row],[INV DOC DATE]]+30</f>
        <v>43282</v>
      </c>
      <c r="N187" s="11">
        <v>43250</v>
      </c>
      <c r="O187" s="13">
        <v>420</v>
      </c>
      <c r="P187" s="11">
        <v>43284</v>
      </c>
      <c r="Q187" s="13">
        <f t="shared" si="2"/>
        <v>0</v>
      </c>
      <c r="R187" s="13" t="str">
        <f ca="1">IF(TODAY() - DCPXX[INV DUE DATE]&lt;30, "Less than 30 days",IF(TODAY()-DCPXX[INV DUE DATE]&lt;60,"30-60 days","More than 60 days"))</f>
        <v>Less than 30 days</v>
      </c>
      <c r="S187" s="6" t="s">
        <v>817</v>
      </c>
      <c r="T187" s="44" t="s">
        <v>2229</v>
      </c>
      <c r="U187" s="13" t="s">
        <v>3699</v>
      </c>
    </row>
    <row r="188" spans="1:21" x14ac:dyDescent="0.3">
      <c r="A188" s="6" t="s">
        <v>2672</v>
      </c>
      <c r="B188" s="6" t="s">
        <v>30</v>
      </c>
      <c r="C188" s="6" t="s">
        <v>22</v>
      </c>
      <c r="D188" s="8">
        <v>4301</v>
      </c>
      <c r="E188" s="9">
        <v>420</v>
      </c>
      <c r="H188" s="6">
        <v>194567</v>
      </c>
      <c r="I188" s="10" t="s">
        <v>293</v>
      </c>
      <c r="J188" s="6" t="s">
        <v>252</v>
      </c>
      <c r="K188" s="6" t="s">
        <v>2673</v>
      </c>
      <c r="L188" s="11">
        <v>43252</v>
      </c>
      <c r="M188" s="11">
        <f>DCPXX[[#This Row],[INV DOC DATE]]+30</f>
        <v>43282</v>
      </c>
      <c r="N188" s="11">
        <v>43250</v>
      </c>
      <c r="O188" s="13">
        <v>420</v>
      </c>
      <c r="P188" s="11">
        <v>43284</v>
      </c>
      <c r="Q188" s="13">
        <f t="shared" si="2"/>
        <v>0</v>
      </c>
      <c r="R188" s="13" t="str">
        <f ca="1">IF(TODAY() - DCPXX[INV DUE DATE]&lt;30, "Less than 30 days",IF(TODAY()-DCPXX[INV DUE DATE]&lt;60,"30-60 days","More than 60 days"))</f>
        <v>Less than 30 days</v>
      </c>
      <c r="S188" s="6" t="s">
        <v>817</v>
      </c>
      <c r="T188" s="44" t="s">
        <v>2229</v>
      </c>
      <c r="U188" s="13" t="s">
        <v>3699</v>
      </c>
    </row>
    <row r="189" spans="1:21" x14ac:dyDescent="0.3">
      <c r="A189" s="6" t="s">
        <v>2672</v>
      </c>
      <c r="B189" s="6" t="s">
        <v>30</v>
      </c>
      <c r="C189" s="6" t="s">
        <v>23</v>
      </c>
      <c r="D189" s="8">
        <v>4301</v>
      </c>
      <c r="E189" s="9">
        <v>420</v>
      </c>
      <c r="H189" s="6">
        <v>194567</v>
      </c>
      <c r="I189" s="10" t="s">
        <v>293</v>
      </c>
      <c r="J189" s="6" t="s">
        <v>253</v>
      </c>
      <c r="K189" s="6" t="s">
        <v>2673</v>
      </c>
      <c r="L189" s="11">
        <v>43252</v>
      </c>
      <c r="M189" s="11">
        <f>DCPXX[[#This Row],[INV DOC DATE]]+30</f>
        <v>43282</v>
      </c>
      <c r="N189" s="11">
        <v>43250</v>
      </c>
      <c r="O189" s="13">
        <v>420</v>
      </c>
      <c r="P189" s="11">
        <v>43284</v>
      </c>
      <c r="Q189" s="13">
        <f t="shared" si="2"/>
        <v>0</v>
      </c>
      <c r="R189" s="13" t="str">
        <f ca="1">IF(TODAY() - DCPXX[INV DUE DATE]&lt;30, "Less than 30 days",IF(TODAY()-DCPXX[INV DUE DATE]&lt;60,"30-60 days","More than 60 days"))</f>
        <v>Less than 30 days</v>
      </c>
      <c r="S189" s="6" t="s">
        <v>817</v>
      </c>
      <c r="T189" s="44" t="s">
        <v>2229</v>
      </c>
      <c r="U189" s="13" t="s">
        <v>3699</v>
      </c>
    </row>
    <row r="190" spans="1:21" x14ac:dyDescent="0.3">
      <c r="A190" s="6" t="s">
        <v>2672</v>
      </c>
      <c r="B190" s="6" t="s">
        <v>30</v>
      </c>
      <c r="C190" s="6" t="s">
        <v>24</v>
      </c>
      <c r="D190" s="8">
        <v>4301</v>
      </c>
      <c r="E190" s="9">
        <v>420</v>
      </c>
      <c r="H190" s="6">
        <v>194567</v>
      </c>
      <c r="I190" s="10" t="s">
        <v>293</v>
      </c>
      <c r="J190" s="6" t="s">
        <v>254</v>
      </c>
      <c r="K190" s="6" t="s">
        <v>2673</v>
      </c>
      <c r="L190" s="11">
        <v>43252</v>
      </c>
      <c r="M190" s="11">
        <f>DCPXX[[#This Row],[INV DOC DATE]]+30</f>
        <v>43282</v>
      </c>
      <c r="N190" s="11">
        <v>43250</v>
      </c>
      <c r="O190" s="13">
        <v>420</v>
      </c>
      <c r="P190" s="11">
        <v>43284</v>
      </c>
      <c r="Q190" s="13">
        <f t="shared" si="2"/>
        <v>0</v>
      </c>
      <c r="R190" s="13" t="str">
        <f ca="1">IF(TODAY() - DCPXX[INV DUE DATE]&lt;30, "Less than 30 days",IF(TODAY()-DCPXX[INV DUE DATE]&lt;60,"30-60 days","More than 60 days"))</f>
        <v>Less than 30 days</v>
      </c>
      <c r="S190" s="6" t="s">
        <v>817</v>
      </c>
      <c r="T190" s="44" t="s">
        <v>2229</v>
      </c>
      <c r="U190" s="13" t="s">
        <v>3699</v>
      </c>
    </row>
    <row r="191" spans="1:21" x14ac:dyDescent="0.3">
      <c r="A191" s="6" t="s">
        <v>2672</v>
      </c>
      <c r="B191" s="6" t="s">
        <v>30</v>
      </c>
      <c r="C191" s="6" t="s">
        <v>25</v>
      </c>
      <c r="D191" s="8">
        <v>4301</v>
      </c>
      <c r="E191" s="9">
        <v>420</v>
      </c>
      <c r="H191" s="6">
        <v>194567</v>
      </c>
      <c r="I191" s="10" t="s">
        <v>293</v>
      </c>
      <c r="J191" s="6" t="s">
        <v>255</v>
      </c>
      <c r="K191" s="6" t="s">
        <v>2673</v>
      </c>
      <c r="L191" s="11">
        <v>43252</v>
      </c>
      <c r="M191" s="11">
        <f>DCPXX[[#This Row],[INV DOC DATE]]+30</f>
        <v>43282</v>
      </c>
      <c r="N191" s="11">
        <v>43250</v>
      </c>
      <c r="O191" s="13">
        <v>420</v>
      </c>
      <c r="P191" s="11">
        <v>43284</v>
      </c>
      <c r="Q191" s="13">
        <f t="shared" si="2"/>
        <v>0</v>
      </c>
      <c r="R191" s="13" t="str">
        <f ca="1">IF(TODAY() - DCPXX[INV DUE DATE]&lt;30, "Less than 30 days",IF(TODAY()-DCPXX[INV DUE DATE]&lt;60,"30-60 days","More than 60 days"))</f>
        <v>Less than 30 days</v>
      </c>
      <c r="S191" s="6" t="s">
        <v>817</v>
      </c>
      <c r="T191" s="44" t="s">
        <v>2229</v>
      </c>
      <c r="U191" s="13" t="s">
        <v>3699</v>
      </c>
    </row>
    <row r="192" spans="1:21" x14ac:dyDescent="0.3">
      <c r="A192" s="6" t="s">
        <v>2672</v>
      </c>
      <c r="B192" s="6" t="s">
        <v>30</v>
      </c>
      <c r="C192" s="6" t="s">
        <v>26</v>
      </c>
      <c r="D192" s="8">
        <v>4301</v>
      </c>
      <c r="E192" s="9">
        <v>420</v>
      </c>
      <c r="H192" s="6">
        <v>194567</v>
      </c>
      <c r="I192" s="10" t="s">
        <v>293</v>
      </c>
      <c r="J192" s="6" t="s">
        <v>256</v>
      </c>
      <c r="K192" s="6" t="s">
        <v>2673</v>
      </c>
      <c r="L192" s="11">
        <v>43252</v>
      </c>
      <c r="M192" s="11">
        <f>DCPXX[[#This Row],[INV DOC DATE]]+30</f>
        <v>43282</v>
      </c>
      <c r="N192" s="11">
        <v>43250</v>
      </c>
      <c r="O192" s="13">
        <v>420</v>
      </c>
      <c r="P192" s="11">
        <v>43284</v>
      </c>
      <c r="Q192" s="13">
        <f t="shared" si="2"/>
        <v>0</v>
      </c>
      <c r="R192" s="13" t="str">
        <f ca="1">IF(TODAY() - DCPXX[INV DUE DATE]&lt;30, "Less than 30 days",IF(TODAY()-DCPXX[INV DUE DATE]&lt;60,"30-60 days","More than 60 days"))</f>
        <v>Less than 30 days</v>
      </c>
      <c r="S192" s="6" t="s">
        <v>817</v>
      </c>
      <c r="T192" s="44" t="s">
        <v>2229</v>
      </c>
      <c r="U192" s="13" t="s">
        <v>3699</v>
      </c>
    </row>
    <row r="193" spans="1:21" x14ac:dyDescent="0.3">
      <c r="A193" s="6" t="s">
        <v>2672</v>
      </c>
      <c r="B193" s="6" t="s">
        <v>30</v>
      </c>
      <c r="C193" s="6" t="s">
        <v>27</v>
      </c>
      <c r="D193" s="8">
        <v>4301</v>
      </c>
      <c r="E193" s="9">
        <v>420</v>
      </c>
      <c r="H193" s="6">
        <v>194567</v>
      </c>
      <c r="I193" s="10" t="s">
        <v>293</v>
      </c>
      <c r="J193" s="6" t="s">
        <v>257</v>
      </c>
      <c r="K193" s="6" t="s">
        <v>2673</v>
      </c>
      <c r="L193" s="11">
        <v>43252</v>
      </c>
      <c r="M193" s="11">
        <f>DCPXX[[#This Row],[INV DOC DATE]]+30</f>
        <v>43282</v>
      </c>
      <c r="N193" s="11">
        <v>43250</v>
      </c>
      <c r="O193" s="13">
        <v>420</v>
      </c>
      <c r="P193" s="11">
        <v>43284</v>
      </c>
      <c r="Q193" s="13">
        <f t="shared" si="2"/>
        <v>0</v>
      </c>
      <c r="R193" s="13" t="str">
        <f ca="1">IF(TODAY() - DCPXX[INV DUE DATE]&lt;30, "Less than 30 days",IF(TODAY()-DCPXX[INV DUE DATE]&lt;60,"30-60 days","More than 60 days"))</f>
        <v>Less than 30 days</v>
      </c>
      <c r="S193" s="6" t="s">
        <v>817</v>
      </c>
      <c r="T193" s="44" t="s">
        <v>2229</v>
      </c>
      <c r="U193" s="13" t="s">
        <v>3699</v>
      </c>
    </row>
    <row r="194" spans="1:21" x14ac:dyDescent="0.3">
      <c r="A194" s="6" t="s">
        <v>2672</v>
      </c>
      <c r="B194" s="6" t="s">
        <v>30</v>
      </c>
      <c r="C194" s="6" t="s">
        <v>28</v>
      </c>
      <c r="D194" s="8">
        <v>4301</v>
      </c>
      <c r="E194" s="9">
        <v>420</v>
      </c>
      <c r="H194" s="6">
        <v>194567</v>
      </c>
      <c r="I194" s="10" t="s">
        <v>293</v>
      </c>
      <c r="J194" s="6" t="s">
        <v>258</v>
      </c>
      <c r="K194" s="6" t="s">
        <v>2673</v>
      </c>
      <c r="L194" s="11">
        <v>43252</v>
      </c>
      <c r="M194" s="11">
        <f>DCPXX[[#This Row],[INV DOC DATE]]+30</f>
        <v>43282</v>
      </c>
      <c r="N194" s="11">
        <v>43250</v>
      </c>
      <c r="O194" s="13">
        <v>420</v>
      </c>
      <c r="P194" s="11">
        <v>43284</v>
      </c>
      <c r="Q194" s="13">
        <f t="shared" ref="Q194:Q257" si="3">$E194-$O194</f>
        <v>0</v>
      </c>
      <c r="R194" s="13" t="str">
        <f ca="1">IF(TODAY() - DCPXX[INV DUE DATE]&lt;30, "Less than 30 days",IF(TODAY()-DCPXX[INV DUE DATE]&lt;60,"30-60 days","More than 60 days"))</f>
        <v>Less than 30 days</v>
      </c>
      <c r="S194" s="6" t="s">
        <v>817</v>
      </c>
      <c r="T194" s="44" t="s">
        <v>2229</v>
      </c>
      <c r="U194" s="13" t="s">
        <v>3699</v>
      </c>
    </row>
    <row r="195" spans="1:21" x14ac:dyDescent="0.3">
      <c r="A195" s="6" t="s">
        <v>2672</v>
      </c>
      <c r="B195" s="6" t="s">
        <v>30</v>
      </c>
      <c r="C195" s="6" t="s">
        <v>37</v>
      </c>
      <c r="D195" s="8">
        <v>4301</v>
      </c>
      <c r="E195" s="9">
        <v>420</v>
      </c>
      <c r="H195" s="6">
        <v>194567</v>
      </c>
      <c r="I195" s="10" t="s">
        <v>293</v>
      </c>
      <c r="J195" s="6" t="s">
        <v>259</v>
      </c>
      <c r="K195" s="6" t="s">
        <v>2673</v>
      </c>
      <c r="L195" s="11">
        <v>43252</v>
      </c>
      <c r="M195" s="11">
        <f>DCPXX[[#This Row],[INV DOC DATE]]+30</f>
        <v>43282</v>
      </c>
      <c r="N195" s="11">
        <v>43250</v>
      </c>
      <c r="O195" s="13">
        <v>420</v>
      </c>
      <c r="P195" s="11">
        <v>43284</v>
      </c>
      <c r="Q195" s="13">
        <f t="shared" si="3"/>
        <v>0</v>
      </c>
      <c r="R195" s="13" t="str">
        <f ca="1">IF(TODAY() - DCPXX[INV DUE DATE]&lt;30, "Less than 30 days",IF(TODAY()-DCPXX[INV DUE DATE]&lt;60,"30-60 days","More than 60 days"))</f>
        <v>Less than 30 days</v>
      </c>
      <c r="S195" s="6" t="s">
        <v>817</v>
      </c>
      <c r="T195" s="44" t="s">
        <v>2229</v>
      </c>
      <c r="U195" s="13" t="s">
        <v>3699</v>
      </c>
    </row>
    <row r="196" spans="1:21" x14ac:dyDescent="0.3">
      <c r="A196" s="6" t="s">
        <v>2672</v>
      </c>
      <c r="B196" s="6" t="s">
        <v>30</v>
      </c>
      <c r="C196" s="6" t="s">
        <v>38</v>
      </c>
      <c r="D196" s="8">
        <v>4301</v>
      </c>
      <c r="E196" s="9">
        <v>420</v>
      </c>
      <c r="H196" s="6">
        <v>194567</v>
      </c>
      <c r="I196" s="10" t="s">
        <v>293</v>
      </c>
      <c r="J196" s="6" t="s">
        <v>260</v>
      </c>
      <c r="K196" s="6" t="s">
        <v>2673</v>
      </c>
      <c r="L196" s="11">
        <v>43252</v>
      </c>
      <c r="M196" s="11">
        <f>DCPXX[[#This Row],[INV DOC DATE]]+30</f>
        <v>43282</v>
      </c>
      <c r="N196" s="11">
        <v>43250</v>
      </c>
      <c r="O196" s="13">
        <v>420</v>
      </c>
      <c r="P196" s="11">
        <v>43284</v>
      </c>
      <c r="Q196" s="13">
        <f t="shared" si="3"/>
        <v>0</v>
      </c>
      <c r="R196" s="13" t="str">
        <f ca="1">IF(TODAY() - DCPXX[INV DUE DATE]&lt;30, "Less than 30 days",IF(TODAY()-DCPXX[INV DUE DATE]&lt;60,"30-60 days","More than 60 days"))</f>
        <v>Less than 30 days</v>
      </c>
      <c r="S196" s="6" t="s">
        <v>817</v>
      </c>
      <c r="T196" s="44" t="s">
        <v>2229</v>
      </c>
      <c r="U196" s="13" t="s">
        <v>3699</v>
      </c>
    </row>
    <row r="197" spans="1:21" x14ac:dyDescent="0.3">
      <c r="A197" s="6" t="s">
        <v>2672</v>
      </c>
      <c r="B197" s="6" t="s">
        <v>30</v>
      </c>
      <c r="C197" s="6" t="s">
        <v>39</v>
      </c>
      <c r="D197" s="8">
        <v>4301</v>
      </c>
      <c r="E197" s="9">
        <v>420</v>
      </c>
      <c r="H197" s="6">
        <v>194567</v>
      </c>
      <c r="I197" s="10" t="s">
        <v>293</v>
      </c>
      <c r="J197" s="6" t="s">
        <v>261</v>
      </c>
      <c r="K197" s="6" t="s">
        <v>2673</v>
      </c>
      <c r="L197" s="11">
        <v>43252</v>
      </c>
      <c r="M197" s="11">
        <f>DCPXX[[#This Row],[INV DOC DATE]]+30</f>
        <v>43282</v>
      </c>
      <c r="N197" s="11">
        <v>43250</v>
      </c>
      <c r="O197" s="13">
        <v>420</v>
      </c>
      <c r="P197" s="11">
        <v>43284</v>
      </c>
      <c r="Q197" s="13">
        <f t="shared" si="3"/>
        <v>0</v>
      </c>
      <c r="R197" s="13" t="str">
        <f ca="1">IF(TODAY() - DCPXX[INV DUE DATE]&lt;30, "Less than 30 days",IF(TODAY()-DCPXX[INV DUE DATE]&lt;60,"30-60 days","More than 60 days"))</f>
        <v>Less than 30 days</v>
      </c>
      <c r="S197" s="6" t="s">
        <v>817</v>
      </c>
      <c r="T197" s="44" t="s">
        <v>2229</v>
      </c>
      <c r="U197" s="13" t="s">
        <v>3699</v>
      </c>
    </row>
    <row r="198" spans="1:21" x14ac:dyDescent="0.3">
      <c r="A198" s="6" t="s">
        <v>2672</v>
      </c>
      <c r="B198" s="6" t="s">
        <v>30</v>
      </c>
      <c r="C198" s="6" t="s">
        <v>40</v>
      </c>
      <c r="D198" s="8">
        <v>4301</v>
      </c>
      <c r="E198" s="9">
        <v>420</v>
      </c>
      <c r="H198" s="6">
        <v>194567</v>
      </c>
      <c r="I198" s="10" t="s">
        <v>293</v>
      </c>
      <c r="J198" s="6" t="s">
        <v>262</v>
      </c>
      <c r="K198" s="6" t="s">
        <v>2673</v>
      </c>
      <c r="L198" s="11">
        <v>43252</v>
      </c>
      <c r="M198" s="11">
        <f>DCPXX[[#This Row],[INV DOC DATE]]+30</f>
        <v>43282</v>
      </c>
      <c r="N198" s="11">
        <v>43250</v>
      </c>
      <c r="O198" s="13">
        <v>420</v>
      </c>
      <c r="P198" s="11">
        <v>43284</v>
      </c>
      <c r="Q198" s="13">
        <f t="shared" si="3"/>
        <v>0</v>
      </c>
      <c r="R198" s="13" t="str">
        <f ca="1">IF(TODAY() - DCPXX[INV DUE DATE]&lt;30, "Less than 30 days",IF(TODAY()-DCPXX[INV DUE DATE]&lt;60,"30-60 days","More than 60 days"))</f>
        <v>Less than 30 days</v>
      </c>
      <c r="S198" s="6" t="s">
        <v>817</v>
      </c>
      <c r="T198" s="44" t="s">
        <v>2229</v>
      </c>
      <c r="U198" s="13" t="s">
        <v>3699</v>
      </c>
    </row>
    <row r="199" spans="1:21" x14ac:dyDescent="0.3">
      <c r="A199" s="6" t="s">
        <v>2672</v>
      </c>
      <c r="B199" s="6" t="s">
        <v>30</v>
      </c>
      <c r="C199" s="6" t="s">
        <v>41</v>
      </c>
      <c r="D199" s="8">
        <v>4301</v>
      </c>
      <c r="E199" s="9">
        <v>420</v>
      </c>
      <c r="H199" s="6">
        <v>194567</v>
      </c>
      <c r="I199" s="10" t="s">
        <v>293</v>
      </c>
      <c r="J199" s="6" t="s">
        <v>263</v>
      </c>
      <c r="K199" s="6" t="s">
        <v>2673</v>
      </c>
      <c r="L199" s="11">
        <v>43252</v>
      </c>
      <c r="M199" s="11">
        <f>DCPXX[[#This Row],[INV DOC DATE]]+30</f>
        <v>43282</v>
      </c>
      <c r="N199" s="11">
        <v>43250</v>
      </c>
      <c r="O199" s="13">
        <v>420</v>
      </c>
      <c r="P199" s="11">
        <v>43284</v>
      </c>
      <c r="Q199" s="13">
        <f t="shared" si="3"/>
        <v>0</v>
      </c>
      <c r="R199" s="13" t="str">
        <f ca="1">IF(TODAY() - DCPXX[INV DUE DATE]&lt;30, "Less than 30 days",IF(TODAY()-DCPXX[INV DUE DATE]&lt;60,"30-60 days","More than 60 days"))</f>
        <v>Less than 30 days</v>
      </c>
      <c r="S199" s="6" t="s">
        <v>817</v>
      </c>
      <c r="T199" s="44" t="s">
        <v>2229</v>
      </c>
      <c r="U199" s="13" t="s">
        <v>3699</v>
      </c>
    </row>
    <row r="200" spans="1:21" x14ac:dyDescent="0.3">
      <c r="A200" s="6" t="s">
        <v>2672</v>
      </c>
      <c r="B200" s="6" t="s">
        <v>30</v>
      </c>
      <c r="C200" s="6" t="s">
        <v>42</v>
      </c>
      <c r="D200" s="8">
        <v>4301</v>
      </c>
      <c r="E200" s="9">
        <v>420</v>
      </c>
      <c r="H200" s="6">
        <v>194567</v>
      </c>
      <c r="I200" s="10" t="s">
        <v>293</v>
      </c>
      <c r="J200" s="6" t="s">
        <v>264</v>
      </c>
      <c r="K200" s="6" t="s">
        <v>2673</v>
      </c>
      <c r="L200" s="11">
        <v>43252</v>
      </c>
      <c r="M200" s="11">
        <f>DCPXX[[#This Row],[INV DOC DATE]]+30</f>
        <v>43282</v>
      </c>
      <c r="N200" s="11">
        <v>43250</v>
      </c>
      <c r="O200" s="13">
        <v>420</v>
      </c>
      <c r="P200" s="11">
        <v>43284</v>
      </c>
      <c r="Q200" s="13">
        <f t="shared" si="3"/>
        <v>0</v>
      </c>
      <c r="R200" s="13" t="str">
        <f ca="1">IF(TODAY() - DCPXX[INV DUE DATE]&lt;30, "Less than 30 days",IF(TODAY()-DCPXX[INV DUE DATE]&lt;60,"30-60 days","More than 60 days"))</f>
        <v>Less than 30 days</v>
      </c>
      <c r="S200" s="6" t="s">
        <v>817</v>
      </c>
      <c r="T200" s="44" t="s">
        <v>2229</v>
      </c>
      <c r="U200" s="13" t="s">
        <v>3699</v>
      </c>
    </row>
    <row r="201" spans="1:21" x14ac:dyDescent="0.3">
      <c r="A201" s="6" t="s">
        <v>2672</v>
      </c>
      <c r="B201" s="6" t="s">
        <v>30</v>
      </c>
      <c r="C201" s="6" t="s">
        <v>43</v>
      </c>
      <c r="D201" s="8">
        <v>4301</v>
      </c>
      <c r="E201" s="9">
        <v>420</v>
      </c>
      <c r="H201" s="6">
        <v>194567</v>
      </c>
      <c r="I201" s="10" t="s">
        <v>293</v>
      </c>
      <c r="J201" s="6" t="s">
        <v>265</v>
      </c>
      <c r="K201" s="6" t="s">
        <v>2673</v>
      </c>
      <c r="L201" s="11">
        <v>43252</v>
      </c>
      <c r="M201" s="11">
        <f>DCPXX[[#This Row],[INV DOC DATE]]+30</f>
        <v>43282</v>
      </c>
      <c r="N201" s="11">
        <v>43250</v>
      </c>
      <c r="O201" s="13">
        <v>420</v>
      </c>
      <c r="P201" s="11">
        <v>43284</v>
      </c>
      <c r="Q201" s="13">
        <f t="shared" si="3"/>
        <v>0</v>
      </c>
      <c r="R201" s="13" t="str">
        <f ca="1">IF(TODAY() - DCPXX[INV DUE DATE]&lt;30, "Less than 30 days",IF(TODAY()-DCPXX[INV DUE DATE]&lt;60,"30-60 days","More than 60 days"))</f>
        <v>Less than 30 days</v>
      </c>
      <c r="S201" s="6" t="s">
        <v>817</v>
      </c>
      <c r="T201" s="44" t="s">
        <v>2229</v>
      </c>
      <c r="U201" s="13" t="s">
        <v>3699</v>
      </c>
    </row>
    <row r="202" spans="1:21" x14ac:dyDescent="0.3">
      <c r="A202" s="6" t="s">
        <v>2672</v>
      </c>
      <c r="B202" s="6" t="s">
        <v>30</v>
      </c>
      <c r="C202" s="6" t="s">
        <v>44</v>
      </c>
      <c r="D202" s="8">
        <v>4301</v>
      </c>
      <c r="E202" s="9">
        <v>420</v>
      </c>
      <c r="H202" s="6">
        <v>194567</v>
      </c>
      <c r="I202" s="10" t="s">
        <v>293</v>
      </c>
      <c r="J202" s="6" t="s">
        <v>266</v>
      </c>
      <c r="K202" s="6" t="s">
        <v>2673</v>
      </c>
      <c r="L202" s="11">
        <v>43252</v>
      </c>
      <c r="M202" s="11">
        <f>DCPXX[[#This Row],[INV DOC DATE]]+30</f>
        <v>43282</v>
      </c>
      <c r="N202" s="11">
        <v>43250</v>
      </c>
      <c r="O202" s="13">
        <v>420</v>
      </c>
      <c r="P202" s="11">
        <v>43284</v>
      </c>
      <c r="Q202" s="13">
        <f t="shared" si="3"/>
        <v>0</v>
      </c>
      <c r="R202" s="13" t="str">
        <f ca="1">IF(TODAY() - DCPXX[INV DUE DATE]&lt;30, "Less than 30 days",IF(TODAY()-DCPXX[INV DUE DATE]&lt;60,"30-60 days","More than 60 days"))</f>
        <v>Less than 30 days</v>
      </c>
      <c r="S202" s="6" t="s">
        <v>817</v>
      </c>
      <c r="T202" s="44" t="s">
        <v>2229</v>
      </c>
      <c r="U202" s="13" t="s">
        <v>3699</v>
      </c>
    </row>
    <row r="203" spans="1:21" x14ac:dyDescent="0.3">
      <c r="A203" s="6" t="s">
        <v>2672</v>
      </c>
      <c r="B203" s="6" t="s">
        <v>30</v>
      </c>
      <c r="C203" s="6" t="s">
        <v>45</v>
      </c>
      <c r="D203" s="8">
        <v>4301</v>
      </c>
      <c r="E203" s="9">
        <v>420</v>
      </c>
      <c r="H203" s="6">
        <v>194567</v>
      </c>
      <c r="I203" s="10" t="s">
        <v>293</v>
      </c>
      <c r="J203" s="6" t="s">
        <v>267</v>
      </c>
      <c r="K203" s="6" t="s">
        <v>2673</v>
      </c>
      <c r="L203" s="11">
        <v>43252</v>
      </c>
      <c r="M203" s="11">
        <f>DCPXX[[#This Row],[INV DOC DATE]]+30</f>
        <v>43282</v>
      </c>
      <c r="N203" s="11">
        <v>43250</v>
      </c>
      <c r="O203" s="13">
        <v>420</v>
      </c>
      <c r="P203" s="11">
        <v>43284</v>
      </c>
      <c r="Q203" s="13">
        <f t="shared" si="3"/>
        <v>0</v>
      </c>
      <c r="R203" s="13" t="str">
        <f ca="1">IF(TODAY() - DCPXX[INV DUE DATE]&lt;30, "Less than 30 days",IF(TODAY()-DCPXX[INV DUE DATE]&lt;60,"30-60 days","More than 60 days"))</f>
        <v>Less than 30 days</v>
      </c>
      <c r="S203" s="6" t="s">
        <v>817</v>
      </c>
      <c r="T203" s="44" t="s">
        <v>2229</v>
      </c>
      <c r="U203" s="13" t="s">
        <v>3699</v>
      </c>
    </row>
    <row r="204" spans="1:21" x14ac:dyDescent="0.3">
      <c r="A204" s="6" t="s">
        <v>2672</v>
      </c>
      <c r="B204" s="6" t="s">
        <v>30</v>
      </c>
      <c r="C204" s="6" t="s">
        <v>46</v>
      </c>
      <c r="D204" s="8">
        <v>4301</v>
      </c>
      <c r="E204" s="9">
        <v>420</v>
      </c>
      <c r="H204" s="6">
        <v>194567</v>
      </c>
      <c r="I204" s="10" t="s">
        <v>293</v>
      </c>
      <c r="J204" s="6" t="s">
        <v>268</v>
      </c>
      <c r="K204" s="6" t="s">
        <v>2673</v>
      </c>
      <c r="L204" s="11">
        <v>43252</v>
      </c>
      <c r="M204" s="11">
        <f>DCPXX[[#This Row],[INV DOC DATE]]+30</f>
        <v>43282</v>
      </c>
      <c r="N204" s="11">
        <v>43250</v>
      </c>
      <c r="O204" s="13">
        <v>420</v>
      </c>
      <c r="P204" s="11">
        <v>43284</v>
      </c>
      <c r="Q204" s="13">
        <f t="shared" si="3"/>
        <v>0</v>
      </c>
      <c r="R204" s="13" t="str">
        <f ca="1">IF(TODAY() - DCPXX[INV DUE DATE]&lt;30, "Less than 30 days",IF(TODAY()-DCPXX[INV DUE DATE]&lt;60,"30-60 days","More than 60 days"))</f>
        <v>Less than 30 days</v>
      </c>
      <c r="S204" s="6" t="s">
        <v>817</v>
      </c>
      <c r="T204" s="44" t="s">
        <v>2229</v>
      </c>
      <c r="U204" s="13" t="s">
        <v>3699</v>
      </c>
    </row>
    <row r="205" spans="1:21" x14ac:dyDescent="0.3">
      <c r="A205" s="6" t="s">
        <v>2672</v>
      </c>
      <c r="B205" s="6" t="s">
        <v>30</v>
      </c>
      <c r="C205" s="6" t="s">
        <v>47</v>
      </c>
      <c r="D205" s="8">
        <v>4301</v>
      </c>
      <c r="E205" s="9">
        <v>420</v>
      </c>
      <c r="H205" s="6">
        <v>194567</v>
      </c>
      <c r="I205" s="10" t="s">
        <v>293</v>
      </c>
      <c r="J205" s="6" t="s">
        <v>269</v>
      </c>
      <c r="K205" s="6" t="s">
        <v>2673</v>
      </c>
      <c r="L205" s="11">
        <v>43252</v>
      </c>
      <c r="M205" s="11">
        <f>DCPXX[[#This Row],[INV DOC DATE]]+30</f>
        <v>43282</v>
      </c>
      <c r="N205" s="11">
        <v>43250</v>
      </c>
      <c r="O205" s="13">
        <v>420</v>
      </c>
      <c r="P205" s="11">
        <v>43284</v>
      </c>
      <c r="Q205" s="13">
        <f t="shared" si="3"/>
        <v>0</v>
      </c>
      <c r="R205" s="13" t="str">
        <f ca="1">IF(TODAY() - DCPXX[INV DUE DATE]&lt;30, "Less than 30 days",IF(TODAY()-DCPXX[INV DUE DATE]&lt;60,"30-60 days","More than 60 days"))</f>
        <v>Less than 30 days</v>
      </c>
      <c r="S205" s="6" t="s">
        <v>817</v>
      </c>
      <c r="T205" s="44" t="s">
        <v>2229</v>
      </c>
      <c r="U205" s="13" t="s">
        <v>3699</v>
      </c>
    </row>
    <row r="206" spans="1:21" x14ac:dyDescent="0.3">
      <c r="A206" s="6" t="s">
        <v>2672</v>
      </c>
      <c r="B206" s="6" t="s">
        <v>30</v>
      </c>
      <c r="C206" s="6" t="s">
        <v>295</v>
      </c>
      <c r="D206" s="8">
        <v>4301</v>
      </c>
      <c r="E206" s="9">
        <v>420</v>
      </c>
      <c r="H206" s="6">
        <v>194567</v>
      </c>
      <c r="I206" s="10" t="s">
        <v>293</v>
      </c>
      <c r="J206" s="6" t="s">
        <v>270</v>
      </c>
      <c r="K206" s="6" t="s">
        <v>2673</v>
      </c>
      <c r="L206" s="11">
        <v>43252</v>
      </c>
      <c r="M206" s="11">
        <f>DCPXX[[#This Row],[INV DOC DATE]]+30</f>
        <v>43282</v>
      </c>
      <c r="N206" s="11">
        <v>43250</v>
      </c>
      <c r="O206" s="13">
        <v>420</v>
      </c>
      <c r="P206" s="11">
        <v>43284</v>
      </c>
      <c r="Q206" s="13">
        <f t="shared" si="3"/>
        <v>0</v>
      </c>
      <c r="R206" s="13" t="str">
        <f ca="1">IF(TODAY() - DCPXX[INV DUE DATE]&lt;30, "Less than 30 days",IF(TODAY()-DCPXX[INV DUE DATE]&lt;60,"30-60 days","More than 60 days"))</f>
        <v>Less than 30 days</v>
      </c>
      <c r="S206" s="6" t="s">
        <v>817</v>
      </c>
      <c r="T206" s="44" t="s">
        <v>2229</v>
      </c>
      <c r="U206" s="13" t="s">
        <v>3699</v>
      </c>
    </row>
    <row r="207" spans="1:21" x14ac:dyDescent="0.3">
      <c r="A207" s="6" t="s">
        <v>2672</v>
      </c>
      <c r="B207" s="6" t="s">
        <v>30</v>
      </c>
      <c r="C207" s="6" t="s">
        <v>48</v>
      </c>
      <c r="D207" s="8">
        <v>4301</v>
      </c>
      <c r="E207" s="9">
        <v>420</v>
      </c>
      <c r="H207" s="6">
        <v>194567</v>
      </c>
      <c r="I207" s="10" t="s">
        <v>293</v>
      </c>
      <c r="J207" s="6" t="s">
        <v>271</v>
      </c>
      <c r="K207" s="6" t="s">
        <v>2673</v>
      </c>
      <c r="L207" s="11">
        <v>43252</v>
      </c>
      <c r="M207" s="11">
        <f>DCPXX[[#This Row],[INV DOC DATE]]+30</f>
        <v>43282</v>
      </c>
      <c r="N207" s="11">
        <v>43250</v>
      </c>
      <c r="O207" s="13">
        <v>420</v>
      </c>
      <c r="P207" s="11">
        <v>43284</v>
      </c>
      <c r="Q207" s="13">
        <f t="shared" si="3"/>
        <v>0</v>
      </c>
      <c r="R207" s="13" t="str">
        <f ca="1">IF(TODAY() - DCPXX[INV DUE DATE]&lt;30, "Less than 30 days",IF(TODAY()-DCPXX[INV DUE DATE]&lt;60,"30-60 days","More than 60 days"))</f>
        <v>Less than 30 days</v>
      </c>
      <c r="S207" s="6" t="s">
        <v>817</v>
      </c>
      <c r="T207" s="44" t="s">
        <v>2229</v>
      </c>
      <c r="U207" s="13" t="s">
        <v>3699</v>
      </c>
    </row>
    <row r="208" spans="1:21" x14ac:dyDescent="0.3">
      <c r="A208" s="6" t="s">
        <v>2672</v>
      </c>
      <c r="B208" s="6" t="s">
        <v>30</v>
      </c>
      <c r="C208" s="6" t="s">
        <v>49</v>
      </c>
      <c r="D208" s="8">
        <v>4301</v>
      </c>
      <c r="E208" s="9">
        <v>420</v>
      </c>
      <c r="H208" s="6">
        <v>194567</v>
      </c>
      <c r="I208" s="10" t="s">
        <v>293</v>
      </c>
      <c r="J208" s="6" t="s">
        <v>272</v>
      </c>
      <c r="K208" s="6" t="s">
        <v>2673</v>
      </c>
      <c r="L208" s="11">
        <v>43252</v>
      </c>
      <c r="M208" s="11">
        <f>DCPXX[[#This Row],[INV DOC DATE]]+30</f>
        <v>43282</v>
      </c>
      <c r="N208" s="11">
        <v>43250</v>
      </c>
      <c r="O208" s="13">
        <v>420</v>
      </c>
      <c r="P208" s="11">
        <v>43284</v>
      </c>
      <c r="Q208" s="13">
        <f t="shared" si="3"/>
        <v>0</v>
      </c>
      <c r="R208" s="13" t="str">
        <f ca="1">IF(TODAY() - DCPXX[INV DUE DATE]&lt;30, "Less than 30 days",IF(TODAY()-DCPXX[INV DUE DATE]&lt;60,"30-60 days","More than 60 days"))</f>
        <v>Less than 30 days</v>
      </c>
      <c r="S208" s="6" t="s">
        <v>817</v>
      </c>
      <c r="T208" s="44" t="s">
        <v>2229</v>
      </c>
      <c r="U208" s="13" t="s">
        <v>3699</v>
      </c>
    </row>
    <row r="209" spans="1:21" x14ac:dyDescent="0.3">
      <c r="A209" s="6" t="s">
        <v>2672</v>
      </c>
      <c r="B209" s="6" t="s">
        <v>30</v>
      </c>
      <c r="C209" s="6" t="s">
        <v>50</v>
      </c>
      <c r="D209" s="8">
        <v>4301</v>
      </c>
      <c r="E209" s="9">
        <v>420</v>
      </c>
      <c r="H209" s="6">
        <v>194567</v>
      </c>
      <c r="I209" s="10" t="s">
        <v>293</v>
      </c>
      <c r="J209" s="6" t="s">
        <v>273</v>
      </c>
      <c r="K209" s="6" t="s">
        <v>2673</v>
      </c>
      <c r="L209" s="11">
        <v>43252</v>
      </c>
      <c r="M209" s="11">
        <f>DCPXX[[#This Row],[INV DOC DATE]]+30</f>
        <v>43282</v>
      </c>
      <c r="N209" s="11">
        <v>43250</v>
      </c>
      <c r="O209" s="13">
        <v>420</v>
      </c>
      <c r="P209" s="11">
        <v>43284</v>
      </c>
      <c r="Q209" s="13">
        <f t="shared" si="3"/>
        <v>0</v>
      </c>
      <c r="R209" s="13" t="str">
        <f ca="1">IF(TODAY() - DCPXX[INV DUE DATE]&lt;30, "Less than 30 days",IF(TODAY()-DCPXX[INV DUE DATE]&lt;60,"30-60 days","More than 60 days"))</f>
        <v>Less than 30 days</v>
      </c>
      <c r="S209" s="6" t="s">
        <v>817</v>
      </c>
      <c r="T209" s="44" t="s">
        <v>2229</v>
      </c>
      <c r="U209" s="13" t="s">
        <v>3699</v>
      </c>
    </row>
    <row r="210" spans="1:21" x14ac:dyDescent="0.3">
      <c r="A210" s="6" t="s">
        <v>2672</v>
      </c>
      <c r="B210" s="6" t="s">
        <v>30</v>
      </c>
      <c r="C210" s="6" t="s">
        <v>51</v>
      </c>
      <c r="D210" s="8">
        <v>4301</v>
      </c>
      <c r="E210" s="9">
        <v>420</v>
      </c>
      <c r="H210" s="6">
        <v>194567</v>
      </c>
      <c r="I210" s="10" t="s">
        <v>293</v>
      </c>
      <c r="J210" s="6" t="s">
        <v>274</v>
      </c>
      <c r="K210" s="6" t="s">
        <v>2673</v>
      </c>
      <c r="L210" s="11">
        <v>43252</v>
      </c>
      <c r="M210" s="11">
        <f>DCPXX[[#This Row],[INV DOC DATE]]+30</f>
        <v>43282</v>
      </c>
      <c r="N210" s="11">
        <v>43250</v>
      </c>
      <c r="O210" s="13">
        <v>420</v>
      </c>
      <c r="P210" s="11">
        <v>43284</v>
      </c>
      <c r="Q210" s="13">
        <f t="shared" si="3"/>
        <v>0</v>
      </c>
      <c r="R210" s="13" t="str">
        <f ca="1">IF(TODAY() - DCPXX[INV DUE DATE]&lt;30, "Less than 30 days",IF(TODAY()-DCPXX[INV DUE DATE]&lt;60,"30-60 days","More than 60 days"))</f>
        <v>Less than 30 days</v>
      </c>
      <c r="S210" s="6" t="s">
        <v>817</v>
      </c>
      <c r="T210" s="44" t="s">
        <v>2229</v>
      </c>
      <c r="U210" s="13" t="s">
        <v>3699</v>
      </c>
    </row>
    <row r="211" spans="1:21" x14ac:dyDescent="0.3">
      <c r="A211" s="6" t="s">
        <v>2672</v>
      </c>
      <c r="B211" s="6" t="s">
        <v>30</v>
      </c>
      <c r="C211" s="6" t="s">
        <v>52</v>
      </c>
      <c r="D211" s="8">
        <v>4301</v>
      </c>
      <c r="E211" s="9">
        <v>420</v>
      </c>
      <c r="H211" s="6">
        <v>194567</v>
      </c>
      <c r="I211" s="10" t="s">
        <v>293</v>
      </c>
      <c r="J211" s="6" t="s">
        <v>275</v>
      </c>
      <c r="K211" s="6" t="s">
        <v>2673</v>
      </c>
      <c r="L211" s="11">
        <v>43252</v>
      </c>
      <c r="M211" s="11">
        <f>DCPXX[[#This Row],[INV DOC DATE]]+30</f>
        <v>43282</v>
      </c>
      <c r="N211" s="11">
        <v>43250</v>
      </c>
      <c r="O211" s="13">
        <v>420</v>
      </c>
      <c r="P211" s="11">
        <v>43284</v>
      </c>
      <c r="Q211" s="13">
        <f t="shared" si="3"/>
        <v>0</v>
      </c>
      <c r="R211" s="13" t="str">
        <f ca="1">IF(TODAY() - DCPXX[INV DUE DATE]&lt;30, "Less than 30 days",IF(TODAY()-DCPXX[INV DUE DATE]&lt;60,"30-60 days","More than 60 days"))</f>
        <v>Less than 30 days</v>
      </c>
      <c r="S211" s="6" t="s">
        <v>817</v>
      </c>
      <c r="T211" s="44" t="s">
        <v>2229</v>
      </c>
      <c r="U211" s="13" t="s">
        <v>3699</v>
      </c>
    </row>
    <row r="212" spans="1:21" x14ac:dyDescent="0.3">
      <c r="A212" s="6" t="s">
        <v>2672</v>
      </c>
      <c r="B212" s="6" t="s">
        <v>30</v>
      </c>
      <c r="C212" s="6" t="s">
        <v>53</v>
      </c>
      <c r="D212" s="8">
        <v>4301</v>
      </c>
      <c r="E212" s="9">
        <v>420</v>
      </c>
      <c r="H212" s="6">
        <v>194567</v>
      </c>
      <c r="I212" s="10" t="s">
        <v>293</v>
      </c>
      <c r="J212" s="6" t="s">
        <v>276</v>
      </c>
      <c r="K212" s="6" t="s">
        <v>2673</v>
      </c>
      <c r="L212" s="11">
        <v>43252</v>
      </c>
      <c r="M212" s="11">
        <f>DCPXX[[#This Row],[INV DOC DATE]]+30</f>
        <v>43282</v>
      </c>
      <c r="N212" s="11">
        <v>43250</v>
      </c>
      <c r="O212" s="13">
        <v>420</v>
      </c>
      <c r="P212" s="11">
        <v>43284</v>
      </c>
      <c r="Q212" s="13">
        <f t="shared" si="3"/>
        <v>0</v>
      </c>
      <c r="R212" s="13" t="str">
        <f ca="1">IF(TODAY() - DCPXX[INV DUE DATE]&lt;30, "Less than 30 days",IF(TODAY()-DCPXX[INV DUE DATE]&lt;60,"30-60 days","More than 60 days"))</f>
        <v>Less than 30 days</v>
      </c>
      <c r="S212" s="6" t="s">
        <v>817</v>
      </c>
      <c r="T212" s="44" t="s">
        <v>2229</v>
      </c>
      <c r="U212" s="13" t="s">
        <v>3699</v>
      </c>
    </row>
    <row r="213" spans="1:21" x14ac:dyDescent="0.3">
      <c r="A213" s="6" t="s">
        <v>2672</v>
      </c>
      <c r="B213" s="6" t="s">
        <v>30</v>
      </c>
      <c r="C213" s="6" t="s">
        <v>54</v>
      </c>
      <c r="D213" s="8">
        <v>4301</v>
      </c>
      <c r="E213" s="9">
        <v>420</v>
      </c>
      <c r="H213" s="6">
        <v>194567</v>
      </c>
      <c r="I213" s="10" t="s">
        <v>293</v>
      </c>
      <c r="J213" s="6" t="s">
        <v>277</v>
      </c>
      <c r="K213" s="6" t="s">
        <v>2673</v>
      </c>
      <c r="L213" s="11">
        <v>43252</v>
      </c>
      <c r="M213" s="11">
        <f>DCPXX[[#This Row],[INV DOC DATE]]+30</f>
        <v>43282</v>
      </c>
      <c r="N213" s="11">
        <v>43250</v>
      </c>
      <c r="O213" s="13">
        <v>420</v>
      </c>
      <c r="P213" s="11">
        <v>43284</v>
      </c>
      <c r="Q213" s="13">
        <f t="shared" si="3"/>
        <v>0</v>
      </c>
      <c r="R213" s="13" t="str">
        <f ca="1">IF(TODAY() - DCPXX[INV DUE DATE]&lt;30, "Less than 30 days",IF(TODAY()-DCPXX[INV DUE DATE]&lt;60,"30-60 days","More than 60 days"))</f>
        <v>Less than 30 days</v>
      </c>
      <c r="S213" s="6" t="s">
        <v>817</v>
      </c>
      <c r="T213" s="44" t="s">
        <v>2229</v>
      </c>
      <c r="U213" s="13" t="s">
        <v>3699</v>
      </c>
    </row>
    <row r="214" spans="1:21" x14ac:dyDescent="0.3">
      <c r="A214" s="6" t="s">
        <v>2672</v>
      </c>
      <c r="B214" s="6" t="s">
        <v>30</v>
      </c>
      <c r="C214" s="6" t="s">
        <v>55</v>
      </c>
      <c r="D214" s="8">
        <v>4301</v>
      </c>
      <c r="E214" s="9">
        <v>420</v>
      </c>
      <c r="H214" s="6">
        <v>194567</v>
      </c>
      <c r="I214" s="10" t="s">
        <v>293</v>
      </c>
      <c r="J214" s="6" t="s">
        <v>278</v>
      </c>
      <c r="K214" s="6" t="s">
        <v>2673</v>
      </c>
      <c r="L214" s="11">
        <v>43252</v>
      </c>
      <c r="M214" s="11">
        <f>DCPXX[[#This Row],[INV DOC DATE]]+30</f>
        <v>43282</v>
      </c>
      <c r="N214" s="11">
        <v>43250</v>
      </c>
      <c r="O214" s="13">
        <v>420</v>
      </c>
      <c r="P214" s="11">
        <v>43284</v>
      </c>
      <c r="Q214" s="13">
        <f t="shared" si="3"/>
        <v>0</v>
      </c>
      <c r="R214" s="13" t="str">
        <f ca="1">IF(TODAY() - DCPXX[INV DUE DATE]&lt;30, "Less than 30 days",IF(TODAY()-DCPXX[INV DUE DATE]&lt;60,"30-60 days","More than 60 days"))</f>
        <v>Less than 30 days</v>
      </c>
      <c r="S214" s="6" t="s">
        <v>817</v>
      </c>
      <c r="T214" s="44" t="s">
        <v>2229</v>
      </c>
      <c r="U214" s="13" t="s">
        <v>3699</v>
      </c>
    </row>
    <row r="215" spans="1:21" x14ac:dyDescent="0.3">
      <c r="A215" s="6" t="s">
        <v>2672</v>
      </c>
      <c r="B215" s="6" t="s">
        <v>30</v>
      </c>
      <c r="C215" s="6" t="s">
        <v>56</v>
      </c>
      <c r="D215" s="8">
        <v>4301</v>
      </c>
      <c r="E215" s="9">
        <v>420</v>
      </c>
      <c r="H215" s="6">
        <v>194567</v>
      </c>
      <c r="I215" s="10" t="s">
        <v>293</v>
      </c>
      <c r="J215" s="6" t="s">
        <v>279</v>
      </c>
      <c r="K215" s="6" t="s">
        <v>2673</v>
      </c>
      <c r="L215" s="11">
        <v>43252</v>
      </c>
      <c r="M215" s="11">
        <f>DCPXX[[#This Row],[INV DOC DATE]]+30</f>
        <v>43282</v>
      </c>
      <c r="N215" s="11">
        <v>43250</v>
      </c>
      <c r="O215" s="13">
        <v>420</v>
      </c>
      <c r="P215" s="11">
        <v>43284</v>
      </c>
      <c r="Q215" s="13">
        <f t="shared" si="3"/>
        <v>0</v>
      </c>
      <c r="R215" s="13" t="str">
        <f ca="1">IF(TODAY() - DCPXX[INV DUE DATE]&lt;30, "Less than 30 days",IF(TODAY()-DCPXX[INV DUE DATE]&lt;60,"30-60 days","More than 60 days"))</f>
        <v>Less than 30 days</v>
      </c>
      <c r="S215" s="6" t="s">
        <v>817</v>
      </c>
      <c r="T215" s="44" t="s">
        <v>2229</v>
      </c>
      <c r="U215" s="13" t="s">
        <v>3699</v>
      </c>
    </row>
    <row r="216" spans="1:21" x14ac:dyDescent="0.3">
      <c r="A216" s="6" t="s">
        <v>2672</v>
      </c>
      <c r="B216" s="6" t="s">
        <v>30</v>
      </c>
      <c r="C216" s="6" t="s">
        <v>57</v>
      </c>
      <c r="D216" s="8">
        <v>4301</v>
      </c>
      <c r="E216" s="9">
        <v>300</v>
      </c>
      <c r="H216" s="6">
        <v>194567</v>
      </c>
      <c r="I216" s="10" t="s">
        <v>293</v>
      </c>
      <c r="J216" s="6" t="s">
        <v>280</v>
      </c>
      <c r="K216" s="6" t="s">
        <v>2673</v>
      </c>
      <c r="L216" s="11">
        <v>43252</v>
      </c>
      <c r="M216" s="11">
        <f>DCPXX[[#This Row],[INV DOC DATE]]+30</f>
        <v>43282</v>
      </c>
      <c r="N216" s="11">
        <v>43250</v>
      </c>
      <c r="O216" s="13">
        <v>300</v>
      </c>
      <c r="P216" s="11">
        <v>43284</v>
      </c>
      <c r="Q216" s="13">
        <f t="shared" si="3"/>
        <v>0</v>
      </c>
      <c r="R216" s="13" t="str">
        <f ca="1">IF(TODAY() - DCPXX[INV DUE DATE]&lt;30, "Less than 30 days",IF(TODAY()-DCPXX[INV DUE DATE]&lt;60,"30-60 days","More than 60 days"))</f>
        <v>Less than 30 days</v>
      </c>
      <c r="S216" s="6" t="s">
        <v>817</v>
      </c>
      <c r="T216" s="44" t="s">
        <v>2229</v>
      </c>
      <c r="U216" s="13" t="s">
        <v>3699</v>
      </c>
    </row>
    <row r="217" spans="1:21" x14ac:dyDescent="0.3">
      <c r="A217" s="6" t="s">
        <v>2672</v>
      </c>
      <c r="B217" s="6" t="s">
        <v>30</v>
      </c>
      <c r="C217" s="6" t="s">
        <v>58</v>
      </c>
      <c r="D217" s="8">
        <v>4301</v>
      </c>
      <c r="E217" s="9">
        <v>225</v>
      </c>
      <c r="H217" s="6">
        <v>194659</v>
      </c>
      <c r="I217" s="10" t="s">
        <v>293</v>
      </c>
      <c r="J217" s="6" t="s">
        <v>153</v>
      </c>
      <c r="K217" s="6" t="s">
        <v>2673</v>
      </c>
      <c r="L217" s="11">
        <v>43252</v>
      </c>
      <c r="M217" s="11">
        <f>DCPXX[[#This Row],[INV DOC DATE]]+30</f>
        <v>43282</v>
      </c>
      <c r="N217" s="11">
        <v>43250</v>
      </c>
      <c r="O217" s="13">
        <v>225</v>
      </c>
      <c r="P217" s="11">
        <v>43284</v>
      </c>
      <c r="Q217" s="13">
        <f t="shared" si="3"/>
        <v>0</v>
      </c>
      <c r="R217" s="13" t="str">
        <f ca="1">IF(TODAY() - DCPXX[INV DUE DATE]&lt;30, "Less than 30 days",IF(TODAY()-DCPXX[INV DUE DATE]&lt;60,"30-60 days","More than 60 days"))</f>
        <v>Less than 30 days</v>
      </c>
      <c r="S217" s="6" t="s">
        <v>817</v>
      </c>
      <c r="T217" s="44" t="s">
        <v>2229</v>
      </c>
      <c r="U217" s="13" t="s">
        <v>3699</v>
      </c>
    </row>
    <row r="218" spans="1:21" x14ac:dyDescent="0.3">
      <c r="A218" s="6" t="s">
        <v>2672</v>
      </c>
      <c r="B218" s="6" t="s">
        <v>30</v>
      </c>
      <c r="C218" s="6" t="s">
        <v>59</v>
      </c>
      <c r="D218" s="8">
        <v>4301</v>
      </c>
      <c r="E218" s="9">
        <v>225</v>
      </c>
      <c r="H218" s="6">
        <v>194659</v>
      </c>
      <c r="I218" s="10" t="s">
        <v>293</v>
      </c>
      <c r="J218" s="6" t="s">
        <v>154</v>
      </c>
      <c r="K218" s="6" t="s">
        <v>2673</v>
      </c>
      <c r="L218" s="11">
        <v>43252</v>
      </c>
      <c r="M218" s="11">
        <f>DCPXX[[#This Row],[INV DOC DATE]]+30</f>
        <v>43282</v>
      </c>
      <c r="N218" s="11">
        <v>43250</v>
      </c>
      <c r="O218" s="13">
        <v>225</v>
      </c>
      <c r="P218" s="11">
        <v>43284</v>
      </c>
      <c r="Q218" s="13">
        <f t="shared" si="3"/>
        <v>0</v>
      </c>
      <c r="R218" s="13" t="str">
        <f ca="1">IF(TODAY() - DCPXX[INV DUE DATE]&lt;30, "Less than 30 days",IF(TODAY()-DCPXX[INV DUE DATE]&lt;60,"30-60 days","More than 60 days"))</f>
        <v>Less than 30 days</v>
      </c>
      <c r="S218" s="6" t="s">
        <v>817</v>
      </c>
      <c r="T218" s="44" t="s">
        <v>2229</v>
      </c>
      <c r="U218" s="13" t="s">
        <v>3699</v>
      </c>
    </row>
    <row r="219" spans="1:21" x14ac:dyDescent="0.3">
      <c r="A219" s="6" t="s">
        <v>2672</v>
      </c>
      <c r="B219" s="6" t="s">
        <v>30</v>
      </c>
      <c r="C219" s="6" t="s">
        <v>60</v>
      </c>
      <c r="D219" s="8">
        <v>4301</v>
      </c>
      <c r="E219" s="9">
        <v>225</v>
      </c>
      <c r="H219" s="6">
        <v>194659</v>
      </c>
      <c r="I219" s="10" t="s">
        <v>293</v>
      </c>
      <c r="J219" s="6" t="s">
        <v>155</v>
      </c>
      <c r="K219" s="6" t="s">
        <v>2673</v>
      </c>
      <c r="L219" s="11">
        <v>43252</v>
      </c>
      <c r="M219" s="11">
        <f>DCPXX[[#This Row],[INV DOC DATE]]+30</f>
        <v>43282</v>
      </c>
      <c r="N219" s="11">
        <v>43250</v>
      </c>
      <c r="O219" s="13">
        <v>225</v>
      </c>
      <c r="P219" s="11">
        <v>43284</v>
      </c>
      <c r="Q219" s="13">
        <f t="shared" si="3"/>
        <v>0</v>
      </c>
      <c r="R219" s="13" t="str">
        <f ca="1">IF(TODAY() - DCPXX[INV DUE DATE]&lt;30, "Less than 30 days",IF(TODAY()-DCPXX[INV DUE DATE]&lt;60,"30-60 days","More than 60 days"))</f>
        <v>Less than 30 days</v>
      </c>
      <c r="S219" s="6" t="s">
        <v>817</v>
      </c>
      <c r="T219" s="44" t="s">
        <v>2229</v>
      </c>
      <c r="U219" s="13" t="s">
        <v>3699</v>
      </c>
    </row>
    <row r="220" spans="1:21" x14ac:dyDescent="0.3">
      <c r="A220" s="6" t="s">
        <v>2672</v>
      </c>
      <c r="B220" s="6" t="s">
        <v>30</v>
      </c>
      <c r="C220" s="6" t="s">
        <v>61</v>
      </c>
      <c r="D220" s="8">
        <v>4301</v>
      </c>
      <c r="E220" s="9">
        <v>225</v>
      </c>
      <c r="H220" s="6">
        <v>194659</v>
      </c>
      <c r="I220" s="10" t="s">
        <v>293</v>
      </c>
      <c r="J220" s="6" t="s">
        <v>156</v>
      </c>
      <c r="K220" s="6" t="s">
        <v>2673</v>
      </c>
      <c r="L220" s="11">
        <v>43252</v>
      </c>
      <c r="M220" s="11">
        <f>DCPXX[[#This Row],[INV DOC DATE]]+30</f>
        <v>43282</v>
      </c>
      <c r="N220" s="11">
        <v>43250</v>
      </c>
      <c r="O220" s="13">
        <v>225</v>
      </c>
      <c r="P220" s="11">
        <v>43284</v>
      </c>
      <c r="Q220" s="13">
        <f t="shared" si="3"/>
        <v>0</v>
      </c>
      <c r="R220" s="13" t="str">
        <f ca="1">IF(TODAY() - DCPXX[INV DUE DATE]&lt;30, "Less than 30 days",IF(TODAY()-DCPXX[INV DUE DATE]&lt;60,"30-60 days","More than 60 days"))</f>
        <v>Less than 30 days</v>
      </c>
      <c r="S220" s="6" t="s">
        <v>817</v>
      </c>
      <c r="T220" s="44" t="s">
        <v>2229</v>
      </c>
      <c r="U220" s="13" t="s">
        <v>3699</v>
      </c>
    </row>
    <row r="221" spans="1:21" x14ac:dyDescent="0.3">
      <c r="A221" s="6" t="s">
        <v>2672</v>
      </c>
      <c r="B221" s="6" t="s">
        <v>30</v>
      </c>
      <c r="C221" s="6" t="s">
        <v>62</v>
      </c>
      <c r="D221" s="8">
        <v>4301</v>
      </c>
      <c r="E221" s="9">
        <v>225</v>
      </c>
      <c r="H221" s="6">
        <v>194659</v>
      </c>
      <c r="I221" s="10" t="s">
        <v>293</v>
      </c>
      <c r="J221" s="6" t="s">
        <v>231</v>
      </c>
      <c r="K221" s="6" t="s">
        <v>2673</v>
      </c>
      <c r="L221" s="11">
        <v>43252</v>
      </c>
      <c r="M221" s="11">
        <f>DCPXX[[#This Row],[INV DOC DATE]]+30</f>
        <v>43282</v>
      </c>
      <c r="N221" s="11">
        <v>43250</v>
      </c>
      <c r="O221" s="13">
        <v>225</v>
      </c>
      <c r="P221" s="11">
        <v>43284</v>
      </c>
      <c r="Q221" s="13">
        <f t="shared" si="3"/>
        <v>0</v>
      </c>
      <c r="R221" s="13" t="str">
        <f ca="1">IF(TODAY() - DCPXX[INV DUE DATE]&lt;30, "Less than 30 days",IF(TODAY()-DCPXX[INV DUE DATE]&lt;60,"30-60 days","More than 60 days"))</f>
        <v>Less than 30 days</v>
      </c>
      <c r="S221" s="6" t="s">
        <v>817</v>
      </c>
      <c r="T221" s="44" t="s">
        <v>2229</v>
      </c>
      <c r="U221" s="13" t="s">
        <v>3699</v>
      </c>
    </row>
    <row r="222" spans="1:21" x14ac:dyDescent="0.3">
      <c r="A222" s="6" t="s">
        <v>2672</v>
      </c>
      <c r="B222" s="6" t="s">
        <v>30</v>
      </c>
      <c r="C222" s="6" t="s">
        <v>63</v>
      </c>
      <c r="D222" s="8">
        <v>4301</v>
      </c>
      <c r="E222" s="9">
        <v>225</v>
      </c>
      <c r="H222" s="6">
        <v>194659</v>
      </c>
      <c r="I222" s="10" t="s">
        <v>293</v>
      </c>
      <c r="J222" s="6" t="s">
        <v>232</v>
      </c>
      <c r="K222" s="6" t="s">
        <v>2673</v>
      </c>
      <c r="L222" s="11">
        <v>43252</v>
      </c>
      <c r="M222" s="11">
        <f>DCPXX[[#This Row],[INV DOC DATE]]+30</f>
        <v>43282</v>
      </c>
      <c r="N222" s="11">
        <v>43250</v>
      </c>
      <c r="O222" s="13">
        <v>225</v>
      </c>
      <c r="P222" s="11">
        <v>43284</v>
      </c>
      <c r="Q222" s="13">
        <f t="shared" si="3"/>
        <v>0</v>
      </c>
      <c r="R222" s="13" t="str">
        <f ca="1">IF(TODAY() - DCPXX[INV DUE DATE]&lt;30, "Less than 30 days",IF(TODAY()-DCPXX[INV DUE DATE]&lt;60,"30-60 days","More than 60 days"))</f>
        <v>Less than 30 days</v>
      </c>
      <c r="S222" s="6" t="s">
        <v>817</v>
      </c>
      <c r="T222" s="44" t="s">
        <v>2229</v>
      </c>
      <c r="U222" s="13" t="s">
        <v>3699</v>
      </c>
    </row>
    <row r="223" spans="1:21" x14ac:dyDescent="0.3">
      <c r="A223" s="6" t="s">
        <v>2672</v>
      </c>
      <c r="B223" s="6" t="s">
        <v>30</v>
      </c>
      <c r="C223" s="6" t="s">
        <v>64</v>
      </c>
      <c r="D223" s="8">
        <v>4301</v>
      </c>
      <c r="E223" s="9">
        <v>225</v>
      </c>
      <c r="H223" s="6">
        <v>194659</v>
      </c>
      <c r="I223" s="10" t="s">
        <v>293</v>
      </c>
      <c r="J223" s="6" t="s">
        <v>157</v>
      </c>
      <c r="K223" s="6" t="s">
        <v>2673</v>
      </c>
      <c r="L223" s="11">
        <v>43252</v>
      </c>
      <c r="M223" s="11">
        <f>DCPXX[[#This Row],[INV DOC DATE]]+30</f>
        <v>43282</v>
      </c>
      <c r="N223" s="11">
        <v>43250</v>
      </c>
      <c r="O223" s="13">
        <v>225</v>
      </c>
      <c r="P223" s="11">
        <v>43284</v>
      </c>
      <c r="Q223" s="13">
        <f t="shared" si="3"/>
        <v>0</v>
      </c>
      <c r="R223" s="13" t="str">
        <f ca="1">IF(TODAY() - DCPXX[INV DUE DATE]&lt;30, "Less than 30 days",IF(TODAY()-DCPXX[INV DUE DATE]&lt;60,"30-60 days","More than 60 days"))</f>
        <v>Less than 30 days</v>
      </c>
      <c r="S223" s="6" t="s">
        <v>817</v>
      </c>
      <c r="T223" s="44" t="s">
        <v>2229</v>
      </c>
      <c r="U223" s="13" t="s">
        <v>3699</v>
      </c>
    </row>
    <row r="224" spans="1:21" x14ac:dyDescent="0.3">
      <c r="A224" s="6" t="s">
        <v>2672</v>
      </c>
      <c r="B224" s="6" t="s">
        <v>30</v>
      </c>
      <c r="C224" s="6" t="s">
        <v>65</v>
      </c>
      <c r="D224" s="8">
        <v>4301</v>
      </c>
      <c r="E224" s="9">
        <v>225</v>
      </c>
      <c r="H224" s="6">
        <v>194659</v>
      </c>
      <c r="I224" s="10" t="s">
        <v>293</v>
      </c>
      <c r="J224" s="6" t="s">
        <v>158</v>
      </c>
      <c r="K224" s="6" t="s">
        <v>2673</v>
      </c>
      <c r="L224" s="11">
        <v>43252</v>
      </c>
      <c r="M224" s="11">
        <f>DCPXX[[#This Row],[INV DOC DATE]]+30</f>
        <v>43282</v>
      </c>
      <c r="N224" s="11">
        <v>43250</v>
      </c>
      <c r="O224" s="13">
        <v>225</v>
      </c>
      <c r="P224" s="11">
        <v>43284</v>
      </c>
      <c r="Q224" s="13">
        <f t="shared" si="3"/>
        <v>0</v>
      </c>
      <c r="R224" s="13" t="str">
        <f ca="1">IF(TODAY() - DCPXX[INV DUE DATE]&lt;30, "Less than 30 days",IF(TODAY()-DCPXX[INV DUE DATE]&lt;60,"30-60 days","More than 60 days"))</f>
        <v>Less than 30 days</v>
      </c>
      <c r="S224" s="6" t="s">
        <v>817</v>
      </c>
      <c r="T224" s="44" t="s">
        <v>2229</v>
      </c>
      <c r="U224" s="13" t="s">
        <v>3699</v>
      </c>
    </row>
    <row r="225" spans="1:21" x14ac:dyDescent="0.3">
      <c r="A225" s="6" t="s">
        <v>2672</v>
      </c>
      <c r="B225" s="6" t="s">
        <v>30</v>
      </c>
      <c r="C225" s="6" t="s">
        <v>66</v>
      </c>
      <c r="D225" s="8">
        <v>4301</v>
      </c>
      <c r="E225" s="9">
        <v>225</v>
      </c>
      <c r="H225" s="6">
        <v>194659</v>
      </c>
      <c r="I225" s="10" t="s">
        <v>293</v>
      </c>
      <c r="J225" s="6" t="s">
        <v>229</v>
      </c>
      <c r="K225" s="6" t="s">
        <v>2673</v>
      </c>
      <c r="L225" s="11">
        <v>43252</v>
      </c>
      <c r="M225" s="11">
        <f>DCPXX[[#This Row],[INV DOC DATE]]+30</f>
        <v>43282</v>
      </c>
      <c r="N225" s="11">
        <v>43250</v>
      </c>
      <c r="O225" s="13">
        <v>225</v>
      </c>
      <c r="P225" s="11">
        <v>43284</v>
      </c>
      <c r="Q225" s="13">
        <f t="shared" si="3"/>
        <v>0</v>
      </c>
      <c r="R225" s="13" t="str">
        <f ca="1">IF(TODAY() - DCPXX[INV DUE DATE]&lt;30, "Less than 30 days",IF(TODAY()-DCPXX[INV DUE DATE]&lt;60,"30-60 days","More than 60 days"))</f>
        <v>Less than 30 days</v>
      </c>
      <c r="S225" s="6" t="s">
        <v>817</v>
      </c>
      <c r="T225" s="44" t="s">
        <v>2229</v>
      </c>
      <c r="U225" s="13" t="s">
        <v>3699</v>
      </c>
    </row>
    <row r="226" spans="1:21" x14ac:dyDescent="0.3">
      <c r="A226" s="6" t="s">
        <v>2672</v>
      </c>
      <c r="B226" s="6" t="s">
        <v>30</v>
      </c>
      <c r="C226" s="6" t="s">
        <v>67</v>
      </c>
      <c r="D226" s="8">
        <v>4301</v>
      </c>
      <c r="E226" s="9">
        <v>225</v>
      </c>
      <c r="H226" s="6">
        <v>194659</v>
      </c>
      <c r="I226" s="10" t="s">
        <v>293</v>
      </c>
      <c r="J226" s="6" t="s">
        <v>230</v>
      </c>
      <c r="K226" s="6" t="s">
        <v>2673</v>
      </c>
      <c r="L226" s="11">
        <v>43252</v>
      </c>
      <c r="M226" s="11">
        <f>DCPXX[[#This Row],[INV DOC DATE]]+30</f>
        <v>43282</v>
      </c>
      <c r="N226" s="11">
        <v>43250</v>
      </c>
      <c r="O226" s="13">
        <v>225</v>
      </c>
      <c r="P226" s="11">
        <v>43284</v>
      </c>
      <c r="Q226" s="13">
        <f t="shared" si="3"/>
        <v>0</v>
      </c>
      <c r="R226" s="13" t="str">
        <f ca="1">IF(TODAY() - DCPXX[INV DUE DATE]&lt;30, "Less than 30 days",IF(TODAY()-DCPXX[INV DUE DATE]&lt;60,"30-60 days","More than 60 days"))</f>
        <v>Less than 30 days</v>
      </c>
      <c r="S226" s="6" t="s">
        <v>817</v>
      </c>
      <c r="T226" s="44" t="s">
        <v>2229</v>
      </c>
      <c r="U226" s="13" t="s">
        <v>3699</v>
      </c>
    </row>
    <row r="227" spans="1:21" x14ac:dyDescent="0.3">
      <c r="A227" s="6" t="s">
        <v>2672</v>
      </c>
      <c r="B227" s="6" t="s">
        <v>30</v>
      </c>
      <c r="C227" s="6" t="s">
        <v>68</v>
      </c>
      <c r="D227" s="8">
        <v>4301</v>
      </c>
      <c r="E227" s="9">
        <v>172.5</v>
      </c>
      <c r="H227" s="6">
        <v>194661</v>
      </c>
      <c r="I227" s="10" t="s">
        <v>293</v>
      </c>
      <c r="J227" s="6" t="s">
        <v>233</v>
      </c>
      <c r="K227" s="6" t="s">
        <v>2673</v>
      </c>
      <c r="L227" s="11">
        <v>43252</v>
      </c>
      <c r="M227" s="11">
        <f>DCPXX[[#This Row],[INV DOC DATE]]+30</f>
        <v>43282</v>
      </c>
      <c r="N227" s="11">
        <v>43250</v>
      </c>
      <c r="O227" s="13">
        <v>172.5</v>
      </c>
      <c r="P227" s="11">
        <v>43284</v>
      </c>
      <c r="Q227" s="13">
        <f t="shared" si="3"/>
        <v>0</v>
      </c>
      <c r="R227" s="13" t="str">
        <f ca="1">IF(TODAY() - DCPXX[INV DUE DATE]&lt;30, "Less than 30 days",IF(TODAY()-DCPXX[INV DUE DATE]&lt;60,"30-60 days","More than 60 days"))</f>
        <v>Less than 30 days</v>
      </c>
      <c r="S227" s="6" t="s">
        <v>817</v>
      </c>
      <c r="T227" s="44" t="s">
        <v>2229</v>
      </c>
      <c r="U227" s="13" t="s">
        <v>3699</v>
      </c>
    </row>
    <row r="228" spans="1:21" x14ac:dyDescent="0.3">
      <c r="A228" s="6" t="s">
        <v>2672</v>
      </c>
      <c r="B228" s="6" t="s">
        <v>30</v>
      </c>
      <c r="C228" s="6" t="s">
        <v>69</v>
      </c>
      <c r="D228" s="8">
        <v>4301</v>
      </c>
      <c r="E228" s="9">
        <v>420</v>
      </c>
      <c r="H228" s="6">
        <v>194662</v>
      </c>
      <c r="I228" s="10" t="s">
        <v>293</v>
      </c>
      <c r="J228" s="6" t="s">
        <v>227</v>
      </c>
      <c r="K228" s="6" t="s">
        <v>2673</v>
      </c>
      <c r="L228" s="11">
        <v>43252</v>
      </c>
      <c r="M228" s="11">
        <f>DCPXX[[#This Row],[INV DOC DATE]]+30</f>
        <v>43282</v>
      </c>
      <c r="N228" s="11">
        <v>43250</v>
      </c>
      <c r="O228" s="13">
        <v>420</v>
      </c>
      <c r="P228" s="11">
        <v>43284</v>
      </c>
      <c r="Q228" s="13">
        <f t="shared" si="3"/>
        <v>0</v>
      </c>
      <c r="R228" s="13" t="str">
        <f ca="1">IF(TODAY() - DCPXX[INV DUE DATE]&lt;30, "Less than 30 days",IF(TODAY()-DCPXX[INV DUE DATE]&lt;60,"30-60 days","More than 60 days"))</f>
        <v>Less than 30 days</v>
      </c>
      <c r="S228" s="6" t="s">
        <v>817</v>
      </c>
      <c r="T228" s="44" t="s">
        <v>2229</v>
      </c>
      <c r="U228" s="13" t="s">
        <v>3699</v>
      </c>
    </row>
    <row r="229" spans="1:21" x14ac:dyDescent="0.3">
      <c r="A229" s="6" t="s">
        <v>2672</v>
      </c>
      <c r="B229" s="6" t="s">
        <v>30</v>
      </c>
      <c r="C229" s="6" t="s">
        <v>70</v>
      </c>
      <c r="D229" s="8">
        <v>4301</v>
      </c>
      <c r="E229" s="9">
        <v>225</v>
      </c>
      <c r="H229" s="6">
        <v>194662</v>
      </c>
      <c r="I229" s="10" t="s">
        <v>293</v>
      </c>
      <c r="J229" s="6" t="s">
        <v>228</v>
      </c>
      <c r="K229" s="6" t="s">
        <v>2673</v>
      </c>
      <c r="L229" s="11">
        <v>43252</v>
      </c>
      <c r="M229" s="11">
        <f>DCPXX[[#This Row],[INV DOC DATE]]+30</f>
        <v>43282</v>
      </c>
      <c r="N229" s="11">
        <v>43250</v>
      </c>
      <c r="O229" s="13">
        <v>225</v>
      </c>
      <c r="P229" s="11">
        <v>43284</v>
      </c>
      <c r="Q229" s="13">
        <f t="shared" si="3"/>
        <v>0</v>
      </c>
      <c r="R229" s="13" t="str">
        <f ca="1">IF(TODAY() - DCPXX[INV DUE DATE]&lt;30, "Less than 30 days",IF(TODAY()-DCPXX[INV DUE DATE]&lt;60,"30-60 days","More than 60 days"))</f>
        <v>Less than 30 days</v>
      </c>
      <c r="S229" s="6" t="s">
        <v>817</v>
      </c>
      <c r="T229" s="44" t="s">
        <v>2229</v>
      </c>
      <c r="U229" s="13" t="s">
        <v>3699</v>
      </c>
    </row>
    <row r="230" spans="1:21" x14ac:dyDescent="0.3">
      <c r="A230" s="6" t="s">
        <v>2672</v>
      </c>
      <c r="B230" s="6" t="s">
        <v>30</v>
      </c>
      <c r="C230" s="6" t="s">
        <v>71</v>
      </c>
      <c r="D230" s="8">
        <v>4301</v>
      </c>
      <c r="E230" s="9">
        <v>420</v>
      </c>
      <c r="H230" s="6">
        <v>194663</v>
      </c>
      <c r="I230" s="10" t="s">
        <v>293</v>
      </c>
      <c r="J230" s="6" t="s">
        <v>197</v>
      </c>
      <c r="K230" s="6" t="s">
        <v>2673</v>
      </c>
      <c r="L230" s="11">
        <v>43252</v>
      </c>
      <c r="M230" s="11">
        <f>DCPXX[[#This Row],[INV DOC DATE]]+30</f>
        <v>43282</v>
      </c>
      <c r="N230" s="11">
        <v>43250</v>
      </c>
      <c r="O230" s="13">
        <v>420</v>
      </c>
      <c r="P230" s="11">
        <v>43284</v>
      </c>
      <c r="Q230" s="13">
        <f t="shared" si="3"/>
        <v>0</v>
      </c>
      <c r="R230" s="13" t="str">
        <f ca="1">IF(TODAY() - DCPXX[INV DUE DATE]&lt;30, "Less than 30 days",IF(TODAY()-DCPXX[INV DUE DATE]&lt;60,"30-60 days","More than 60 days"))</f>
        <v>Less than 30 days</v>
      </c>
      <c r="S230" s="6" t="s">
        <v>817</v>
      </c>
      <c r="T230" s="44" t="s">
        <v>2229</v>
      </c>
      <c r="U230" s="13" t="s">
        <v>3699</v>
      </c>
    </row>
    <row r="231" spans="1:21" x14ac:dyDescent="0.3">
      <c r="A231" s="6" t="s">
        <v>2672</v>
      </c>
      <c r="B231" s="6" t="s">
        <v>30</v>
      </c>
      <c r="C231" s="6" t="s">
        <v>72</v>
      </c>
      <c r="D231" s="8">
        <v>4301</v>
      </c>
      <c r="E231" s="9">
        <v>420</v>
      </c>
      <c r="H231" s="6">
        <v>194663</v>
      </c>
      <c r="I231" s="10" t="s">
        <v>293</v>
      </c>
      <c r="J231" s="6" t="s">
        <v>198</v>
      </c>
      <c r="K231" s="6" t="s">
        <v>2673</v>
      </c>
      <c r="L231" s="11">
        <v>43252</v>
      </c>
      <c r="M231" s="11">
        <f>DCPXX[[#This Row],[INV DOC DATE]]+30</f>
        <v>43282</v>
      </c>
      <c r="N231" s="11">
        <v>43250</v>
      </c>
      <c r="O231" s="13">
        <v>420</v>
      </c>
      <c r="P231" s="11">
        <v>43284</v>
      </c>
      <c r="Q231" s="13">
        <f t="shared" si="3"/>
        <v>0</v>
      </c>
      <c r="R231" s="13" t="str">
        <f ca="1">IF(TODAY() - DCPXX[INV DUE DATE]&lt;30, "Less than 30 days",IF(TODAY()-DCPXX[INV DUE DATE]&lt;60,"30-60 days","More than 60 days"))</f>
        <v>Less than 30 days</v>
      </c>
      <c r="S231" s="6" t="s">
        <v>817</v>
      </c>
      <c r="T231" s="44" t="s">
        <v>2229</v>
      </c>
      <c r="U231" s="13" t="s">
        <v>3699</v>
      </c>
    </row>
    <row r="232" spans="1:21" x14ac:dyDescent="0.3">
      <c r="A232" s="6" t="s">
        <v>2672</v>
      </c>
      <c r="B232" s="6" t="s">
        <v>30</v>
      </c>
      <c r="C232" s="6" t="s">
        <v>73</v>
      </c>
      <c r="D232" s="8">
        <v>4301</v>
      </c>
      <c r="E232" s="9">
        <v>420</v>
      </c>
      <c r="H232" s="6">
        <v>194663</v>
      </c>
      <c r="I232" s="10" t="s">
        <v>293</v>
      </c>
      <c r="J232" s="6" t="s">
        <v>199</v>
      </c>
      <c r="K232" s="6" t="s">
        <v>2673</v>
      </c>
      <c r="L232" s="11">
        <v>43252</v>
      </c>
      <c r="M232" s="11">
        <f>DCPXX[[#This Row],[INV DOC DATE]]+30</f>
        <v>43282</v>
      </c>
      <c r="N232" s="11">
        <v>43250</v>
      </c>
      <c r="O232" s="13">
        <v>420</v>
      </c>
      <c r="P232" s="11">
        <v>43284</v>
      </c>
      <c r="Q232" s="13">
        <f t="shared" si="3"/>
        <v>0</v>
      </c>
      <c r="R232" s="13" t="str">
        <f ca="1">IF(TODAY() - DCPXX[INV DUE DATE]&lt;30, "Less than 30 days",IF(TODAY()-DCPXX[INV DUE DATE]&lt;60,"30-60 days","More than 60 days"))</f>
        <v>Less than 30 days</v>
      </c>
      <c r="S232" s="6" t="s">
        <v>817</v>
      </c>
      <c r="T232" s="44" t="s">
        <v>2229</v>
      </c>
      <c r="U232" s="13" t="s">
        <v>3699</v>
      </c>
    </row>
    <row r="233" spans="1:21" x14ac:dyDescent="0.3">
      <c r="A233" s="6" t="s">
        <v>2672</v>
      </c>
      <c r="B233" s="6" t="s">
        <v>30</v>
      </c>
      <c r="C233" s="6" t="s">
        <v>74</v>
      </c>
      <c r="D233" s="8">
        <v>4301</v>
      </c>
      <c r="E233" s="9">
        <v>420</v>
      </c>
      <c r="H233" s="6">
        <v>194663</v>
      </c>
      <c r="I233" s="10" t="s">
        <v>293</v>
      </c>
      <c r="J233" s="6" t="s">
        <v>200</v>
      </c>
      <c r="K233" s="6" t="s">
        <v>2673</v>
      </c>
      <c r="L233" s="11">
        <v>43252</v>
      </c>
      <c r="M233" s="11">
        <f>DCPXX[[#This Row],[INV DOC DATE]]+30</f>
        <v>43282</v>
      </c>
      <c r="N233" s="11">
        <v>43250</v>
      </c>
      <c r="O233" s="13">
        <v>420</v>
      </c>
      <c r="P233" s="11">
        <v>43284</v>
      </c>
      <c r="Q233" s="13">
        <f t="shared" si="3"/>
        <v>0</v>
      </c>
      <c r="R233" s="13" t="str">
        <f ca="1">IF(TODAY() - DCPXX[INV DUE DATE]&lt;30, "Less than 30 days",IF(TODAY()-DCPXX[INV DUE DATE]&lt;60,"30-60 days","More than 60 days"))</f>
        <v>Less than 30 days</v>
      </c>
      <c r="S233" s="6" t="s">
        <v>817</v>
      </c>
      <c r="T233" s="44" t="s">
        <v>2229</v>
      </c>
      <c r="U233" s="13" t="s">
        <v>3699</v>
      </c>
    </row>
    <row r="234" spans="1:21" x14ac:dyDescent="0.3">
      <c r="A234" s="6" t="s">
        <v>2672</v>
      </c>
      <c r="B234" s="6" t="s">
        <v>30</v>
      </c>
      <c r="C234" s="6" t="s">
        <v>75</v>
      </c>
      <c r="D234" s="8">
        <v>4301</v>
      </c>
      <c r="E234" s="9">
        <v>420</v>
      </c>
      <c r="H234" s="6">
        <v>194663</v>
      </c>
      <c r="I234" s="10" t="s">
        <v>293</v>
      </c>
      <c r="J234" s="6" t="s">
        <v>201</v>
      </c>
      <c r="K234" s="6" t="s">
        <v>2673</v>
      </c>
      <c r="L234" s="11">
        <v>43252</v>
      </c>
      <c r="M234" s="11">
        <f>DCPXX[[#This Row],[INV DOC DATE]]+30</f>
        <v>43282</v>
      </c>
      <c r="N234" s="11">
        <v>43250</v>
      </c>
      <c r="O234" s="13">
        <v>420</v>
      </c>
      <c r="P234" s="11">
        <v>43284</v>
      </c>
      <c r="Q234" s="13">
        <f t="shared" si="3"/>
        <v>0</v>
      </c>
      <c r="R234" s="13" t="str">
        <f ca="1">IF(TODAY() - DCPXX[INV DUE DATE]&lt;30, "Less than 30 days",IF(TODAY()-DCPXX[INV DUE DATE]&lt;60,"30-60 days","More than 60 days"))</f>
        <v>Less than 30 days</v>
      </c>
      <c r="S234" s="6" t="s">
        <v>817</v>
      </c>
      <c r="T234" s="44" t="s">
        <v>2229</v>
      </c>
      <c r="U234" s="13" t="s">
        <v>3699</v>
      </c>
    </row>
    <row r="235" spans="1:21" x14ac:dyDescent="0.3">
      <c r="A235" s="6" t="s">
        <v>2672</v>
      </c>
      <c r="B235" s="6" t="s">
        <v>30</v>
      </c>
      <c r="C235" s="6" t="s">
        <v>76</v>
      </c>
      <c r="D235" s="8">
        <v>4301</v>
      </c>
      <c r="E235" s="9">
        <v>225</v>
      </c>
      <c r="H235" s="6">
        <v>194663</v>
      </c>
      <c r="I235" s="10" t="s">
        <v>293</v>
      </c>
      <c r="J235" s="6" t="s">
        <v>202</v>
      </c>
      <c r="K235" s="6" t="s">
        <v>2673</v>
      </c>
      <c r="L235" s="11">
        <v>43252</v>
      </c>
      <c r="M235" s="11">
        <f>DCPXX[[#This Row],[INV DOC DATE]]+30</f>
        <v>43282</v>
      </c>
      <c r="N235" s="11">
        <v>43250</v>
      </c>
      <c r="O235" s="13">
        <v>225</v>
      </c>
      <c r="P235" s="11">
        <v>43284</v>
      </c>
      <c r="Q235" s="13">
        <f t="shared" si="3"/>
        <v>0</v>
      </c>
      <c r="R235" s="13" t="str">
        <f ca="1">IF(TODAY() - DCPXX[INV DUE DATE]&lt;30, "Less than 30 days",IF(TODAY()-DCPXX[INV DUE DATE]&lt;60,"30-60 days","More than 60 days"))</f>
        <v>Less than 30 days</v>
      </c>
      <c r="S235" s="6" t="s">
        <v>817</v>
      </c>
      <c r="T235" s="44" t="s">
        <v>2229</v>
      </c>
      <c r="U235" s="13" t="s">
        <v>3699</v>
      </c>
    </row>
    <row r="236" spans="1:21" x14ac:dyDescent="0.3">
      <c r="A236" s="6" t="s">
        <v>2672</v>
      </c>
      <c r="B236" s="6" t="s">
        <v>30</v>
      </c>
      <c r="C236" s="6" t="s">
        <v>77</v>
      </c>
      <c r="D236" s="8">
        <v>4301</v>
      </c>
      <c r="E236" s="9">
        <v>225</v>
      </c>
      <c r="H236" s="6">
        <v>194663</v>
      </c>
      <c r="I236" s="10" t="s">
        <v>293</v>
      </c>
      <c r="J236" s="6" t="s">
        <v>203</v>
      </c>
      <c r="K236" s="6" t="s">
        <v>2673</v>
      </c>
      <c r="L236" s="11">
        <v>43252</v>
      </c>
      <c r="M236" s="11">
        <f>DCPXX[[#This Row],[INV DOC DATE]]+30</f>
        <v>43282</v>
      </c>
      <c r="N236" s="11">
        <v>43250</v>
      </c>
      <c r="O236" s="13">
        <v>225</v>
      </c>
      <c r="P236" s="11">
        <v>43284</v>
      </c>
      <c r="Q236" s="13">
        <f t="shared" si="3"/>
        <v>0</v>
      </c>
      <c r="R236" s="13" t="str">
        <f ca="1">IF(TODAY() - DCPXX[INV DUE DATE]&lt;30, "Less than 30 days",IF(TODAY()-DCPXX[INV DUE DATE]&lt;60,"30-60 days","More than 60 days"))</f>
        <v>Less than 30 days</v>
      </c>
      <c r="S236" s="6" t="s">
        <v>817</v>
      </c>
      <c r="T236" s="44" t="s">
        <v>2229</v>
      </c>
      <c r="U236" s="13" t="s">
        <v>3699</v>
      </c>
    </row>
    <row r="237" spans="1:21" x14ac:dyDescent="0.3">
      <c r="A237" s="6" t="s">
        <v>2672</v>
      </c>
      <c r="B237" s="6" t="s">
        <v>30</v>
      </c>
      <c r="C237" s="6" t="s">
        <v>78</v>
      </c>
      <c r="D237" s="8">
        <v>4301</v>
      </c>
      <c r="E237" s="9">
        <v>225</v>
      </c>
      <c r="H237" s="6">
        <v>194663</v>
      </c>
      <c r="I237" s="10" t="s">
        <v>293</v>
      </c>
      <c r="J237" s="6" t="s">
        <v>204</v>
      </c>
      <c r="K237" s="6" t="s">
        <v>2673</v>
      </c>
      <c r="L237" s="11">
        <v>43252</v>
      </c>
      <c r="M237" s="11">
        <f>DCPXX[[#This Row],[INV DOC DATE]]+30</f>
        <v>43282</v>
      </c>
      <c r="N237" s="11">
        <v>43250</v>
      </c>
      <c r="O237" s="13">
        <v>225</v>
      </c>
      <c r="P237" s="11">
        <v>43284</v>
      </c>
      <c r="Q237" s="13">
        <f t="shared" si="3"/>
        <v>0</v>
      </c>
      <c r="R237" s="13" t="str">
        <f ca="1">IF(TODAY() - DCPXX[INV DUE DATE]&lt;30, "Less than 30 days",IF(TODAY()-DCPXX[INV DUE DATE]&lt;60,"30-60 days","More than 60 days"))</f>
        <v>Less than 30 days</v>
      </c>
      <c r="S237" s="6" t="s">
        <v>817</v>
      </c>
      <c r="T237" s="44" t="s">
        <v>2229</v>
      </c>
      <c r="U237" s="13" t="s">
        <v>3699</v>
      </c>
    </row>
    <row r="238" spans="1:21" x14ac:dyDescent="0.3">
      <c r="A238" s="6" t="s">
        <v>2672</v>
      </c>
      <c r="B238" s="6" t="s">
        <v>30</v>
      </c>
      <c r="C238" s="6" t="s">
        <v>79</v>
      </c>
      <c r="D238" s="8">
        <v>4301</v>
      </c>
      <c r="E238" s="9">
        <v>225</v>
      </c>
      <c r="H238" s="6">
        <v>194663</v>
      </c>
      <c r="I238" s="10" t="s">
        <v>293</v>
      </c>
      <c r="J238" s="6" t="s">
        <v>205</v>
      </c>
      <c r="K238" s="6" t="s">
        <v>2673</v>
      </c>
      <c r="L238" s="11">
        <v>43252</v>
      </c>
      <c r="M238" s="11">
        <f>DCPXX[[#This Row],[INV DOC DATE]]+30</f>
        <v>43282</v>
      </c>
      <c r="N238" s="11">
        <v>43250</v>
      </c>
      <c r="O238" s="13">
        <v>225</v>
      </c>
      <c r="P238" s="11">
        <v>43284</v>
      </c>
      <c r="Q238" s="13">
        <f t="shared" si="3"/>
        <v>0</v>
      </c>
      <c r="R238" s="13" t="str">
        <f ca="1">IF(TODAY() - DCPXX[INV DUE DATE]&lt;30, "Less than 30 days",IF(TODAY()-DCPXX[INV DUE DATE]&lt;60,"30-60 days","More than 60 days"))</f>
        <v>Less than 30 days</v>
      </c>
      <c r="S238" s="6" t="s">
        <v>817</v>
      </c>
      <c r="T238" s="44" t="s">
        <v>2229</v>
      </c>
      <c r="U238" s="13" t="s">
        <v>3699</v>
      </c>
    </row>
    <row r="239" spans="1:21" x14ac:dyDescent="0.3">
      <c r="A239" s="6" t="s">
        <v>2672</v>
      </c>
      <c r="B239" s="6" t="s">
        <v>30</v>
      </c>
      <c r="C239" s="6" t="s">
        <v>80</v>
      </c>
      <c r="D239" s="8">
        <v>4301</v>
      </c>
      <c r="E239" s="9">
        <v>225</v>
      </c>
      <c r="H239" s="6">
        <v>194663</v>
      </c>
      <c r="I239" s="10" t="s">
        <v>293</v>
      </c>
      <c r="J239" s="6" t="s">
        <v>206</v>
      </c>
      <c r="K239" s="6" t="s">
        <v>2673</v>
      </c>
      <c r="L239" s="11">
        <v>43252</v>
      </c>
      <c r="M239" s="11">
        <f>DCPXX[[#This Row],[INV DOC DATE]]+30</f>
        <v>43282</v>
      </c>
      <c r="N239" s="11">
        <v>43250</v>
      </c>
      <c r="O239" s="13">
        <v>225</v>
      </c>
      <c r="P239" s="11">
        <v>43284</v>
      </c>
      <c r="Q239" s="13">
        <f t="shared" si="3"/>
        <v>0</v>
      </c>
      <c r="R239" s="13" t="str">
        <f ca="1">IF(TODAY() - DCPXX[INV DUE DATE]&lt;30, "Less than 30 days",IF(TODAY()-DCPXX[INV DUE DATE]&lt;60,"30-60 days","More than 60 days"))</f>
        <v>Less than 30 days</v>
      </c>
      <c r="S239" s="6" t="s">
        <v>817</v>
      </c>
      <c r="T239" s="44" t="s">
        <v>2229</v>
      </c>
      <c r="U239" s="13" t="s">
        <v>3699</v>
      </c>
    </row>
    <row r="240" spans="1:21" x14ac:dyDescent="0.3">
      <c r="A240" s="6" t="s">
        <v>2672</v>
      </c>
      <c r="B240" s="6" t="s">
        <v>30</v>
      </c>
      <c r="C240" s="6" t="s">
        <v>81</v>
      </c>
      <c r="D240" s="8">
        <v>4301</v>
      </c>
      <c r="E240" s="9">
        <v>420</v>
      </c>
      <c r="H240" s="6">
        <v>194663</v>
      </c>
      <c r="I240" s="10" t="s">
        <v>293</v>
      </c>
      <c r="J240" s="6" t="s">
        <v>207</v>
      </c>
      <c r="K240" s="6" t="s">
        <v>2673</v>
      </c>
      <c r="L240" s="11">
        <v>43252</v>
      </c>
      <c r="M240" s="11">
        <f>DCPXX[[#This Row],[INV DOC DATE]]+30</f>
        <v>43282</v>
      </c>
      <c r="N240" s="11">
        <v>43250</v>
      </c>
      <c r="O240" s="13">
        <v>420</v>
      </c>
      <c r="P240" s="11">
        <v>43284</v>
      </c>
      <c r="Q240" s="13">
        <f t="shared" si="3"/>
        <v>0</v>
      </c>
      <c r="R240" s="13" t="str">
        <f ca="1">IF(TODAY() - DCPXX[INV DUE DATE]&lt;30, "Less than 30 days",IF(TODAY()-DCPXX[INV DUE DATE]&lt;60,"30-60 days","More than 60 days"))</f>
        <v>Less than 30 days</v>
      </c>
      <c r="S240" s="6" t="s">
        <v>817</v>
      </c>
      <c r="T240" s="44" t="s">
        <v>2229</v>
      </c>
      <c r="U240" s="13" t="s">
        <v>3699</v>
      </c>
    </row>
    <row r="241" spans="1:21" x14ac:dyDescent="0.3">
      <c r="A241" s="6" t="s">
        <v>2672</v>
      </c>
      <c r="B241" s="6" t="s">
        <v>30</v>
      </c>
      <c r="C241" s="6" t="s">
        <v>82</v>
      </c>
      <c r="D241" s="8">
        <v>4301</v>
      </c>
      <c r="E241" s="9">
        <v>420</v>
      </c>
      <c r="H241" s="6">
        <v>194663</v>
      </c>
      <c r="I241" s="10" t="s">
        <v>293</v>
      </c>
      <c r="J241" s="6" t="s">
        <v>208</v>
      </c>
      <c r="K241" s="6" t="s">
        <v>2673</v>
      </c>
      <c r="L241" s="11">
        <v>43252</v>
      </c>
      <c r="M241" s="11">
        <f>DCPXX[[#This Row],[INV DOC DATE]]+30</f>
        <v>43282</v>
      </c>
      <c r="N241" s="11">
        <v>43250</v>
      </c>
      <c r="O241" s="13">
        <v>420</v>
      </c>
      <c r="P241" s="11">
        <v>43284</v>
      </c>
      <c r="Q241" s="13">
        <f t="shared" si="3"/>
        <v>0</v>
      </c>
      <c r="R241" s="13" t="str">
        <f ca="1">IF(TODAY() - DCPXX[INV DUE DATE]&lt;30, "Less than 30 days",IF(TODAY()-DCPXX[INV DUE DATE]&lt;60,"30-60 days","More than 60 days"))</f>
        <v>Less than 30 days</v>
      </c>
      <c r="S241" s="6" t="s">
        <v>817</v>
      </c>
      <c r="T241" s="44" t="s">
        <v>2229</v>
      </c>
      <c r="U241" s="13" t="s">
        <v>3699</v>
      </c>
    </row>
    <row r="242" spans="1:21" x14ac:dyDescent="0.3">
      <c r="A242" s="6" t="s">
        <v>2672</v>
      </c>
      <c r="B242" s="6" t="s">
        <v>30</v>
      </c>
      <c r="C242" s="6" t="s">
        <v>83</v>
      </c>
      <c r="D242" s="8">
        <v>4301</v>
      </c>
      <c r="E242" s="9">
        <v>225</v>
      </c>
      <c r="H242" s="6">
        <v>194663</v>
      </c>
      <c r="I242" s="10" t="s">
        <v>293</v>
      </c>
      <c r="J242" s="6" t="s">
        <v>209</v>
      </c>
      <c r="K242" s="6" t="s">
        <v>2673</v>
      </c>
      <c r="L242" s="11">
        <v>43252</v>
      </c>
      <c r="M242" s="11">
        <f>DCPXX[[#This Row],[INV DOC DATE]]+30</f>
        <v>43282</v>
      </c>
      <c r="N242" s="11">
        <v>43250</v>
      </c>
      <c r="O242" s="13">
        <v>225</v>
      </c>
      <c r="P242" s="11">
        <v>43284</v>
      </c>
      <c r="Q242" s="13">
        <f t="shared" si="3"/>
        <v>0</v>
      </c>
      <c r="R242" s="13" t="str">
        <f ca="1">IF(TODAY() - DCPXX[INV DUE DATE]&lt;30, "Less than 30 days",IF(TODAY()-DCPXX[INV DUE DATE]&lt;60,"30-60 days","More than 60 days"))</f>
        <v>Less than 30 days</v>
      </c>
      <c r="S242" s="6" t="s">
        <v>817</v>
      </c>
      <c r="T242" s="44" t="s">
        <v>2229</v>
      </c>
      <c r="U242" s="13" t="s">
        <v>3699</v>
      </c>
    </row>
    <row r="243" spans="1:21" x14ac:dyDescent="0.3">
      <c r="A243" s="6" t="s">
        <v>2672</v>
      </c>
      <c r="B243" s="6" t="s">
        <v>30</v>
      </c>
      <c r="C243" s="6" t="s">
        <v>84</v>
      </c>
      <c r="D243" s="8">
        <v>4301</v>
      </c>
      <c r="E243" s="9">
        <v>225</v>
      </c>
      <c r="H243" s="6">
        <v>194663</v>
      </c>
      <c r="I243" s="10" t="s">
        <v>293</v>
      </c>
      <c r="J243" s="6" t="s">
        <v>210</v>
      </c>
      <c r="K243" s="6" t="s">
        <v>2673</v>
      </c>
      <c r="L243" s="11">
        <v>43252</v>
      </c>
      <c r="M243" s="11">
        <f>DCPXX[[#This Row],[INV DOC DATE]]+30</f>
        <v>43282</v>
      </c>
      <c r="N243" s="11">
        <v>43250</v>
      </c>
      <c r="O243" s="13">
        <v>225</v>
      </c>
      <c r="P243" s="11">
        <v>43284</v>
      </c>
      <c r="Q243" s="13">
        <f t="shared" si="3"/>
        <v>0</v>
      </c>
      <c r="R243" s="13" t="str">
        <f ca="1">IF(TODAY() - DCPXX[INV DUE DATE]&lt;30, "Less than 30 days",IF(TODAY()-DCPXX[INV DUE DATE]&lt;60,"30-60 days","More than 60 days"))</f>
        <v>Less than 30 days</v>
      </c>
      <c r="S243" s="6" t="s">
        <v>817</v>
      </c>
      <c r="T243" s="44" t="s">
        <v>2229</v>
      </c>
      <c r="U243" s="13" t="s">
        <v>3699</v>
      </c>
    </row>
    <row r="244" spans="1:21" x14ac:dyDescent="0.3">
      <c r="A244" s="6" t="s">
        <v>2672</v>
      </c>
      <c r="B244" s="6" t="s">
        <v>30</v>
      </c>
      <c r="C244" s="6" t="s">
        <v>85</v>
      </c>
      <c r="D244" s="8">
        <v>4301</v>
      </c>
      <c r="E244" s="9">
        <v>225</v>
      </c>
      <c r="H244" s="6">
        <v>194663</v>
      </c>
      <c r="I244" s="10" t="s">
        <v>293</v>
      </c>
      <c r="J244" s="6" t="s">
        <v>211</v>
      </c>
      <c r="K244" s="6" t="s">
        <v>2673</v>
      </c>
      <c r="L244" s="11">
        <v>43252</v>
      </c>
      <c r="M244" s="11">
        <f>DCPXX[[#This Row],[INV DOC DATE]]+30</f>
        <v>43282</v>
      </c>
      <c r="N244" s="11">
        <v>43250</v>
      </c>
      <c r="O244" s="13">
        <v>225</v>
      </c>
      <c r="P244" s="11">
        <v>43284</v>
      </c>
      <c r="Q244" s="13">
        <f t="shared" si="3"/>
        <v>0</v>
      </c>
      <c r="R244" s="13" t="str">
        <f ca="1">IF(TODAY() - DCPXX[INV DUE DATE]&lt;30, "Less than 30 days",IF(TODAY()-DCPXX[INV DUE DATE]&lt;60,"30-60 days","More than 60 days"))</f>
        <v>Less than 30 days</v>
      </c>
      <c r="S244" s="6" t="s">
        <v>817</v>
      </c>
      <c r="T244" s="44" t="s">
        <v>2229</v>
      </c>
      <c r="U244" s="13" t="s">
        <v>3699</v>
      </c>
    </row>
    <row r="245" spans="1:21" x14ac:dyDescent="0.3">
      <c r="A245" s="6" t="s">
        <v>2672</v>
      </c>
      <c r="B245" s="6" t="s">
        <v>30</v>
      </c>
      <c r="C245" s="6" t="s">
        <v>86</v>
      </c>
      <c r="D245" s="8">
        <v>4301</v>
      </c>
      <c r="E245" s="9">
        <v>225</v>
      </c>
      <c r="H245" s="6">
        <v>194663</v>
      </c>
      <c r="I245" s="10" t="s">
        <v>293</v>
      </c>
      <c r="J245" s="6" t="s">
        <v>212</v>
      </c>
      <c r="K245" s="6" t="s">
        <v>2673</v>
      </c>
      <c r="L245" s="11">
        <v>43252</v>
      </c>
      <c r="M245" s="11">
        <f>DCPXX[[#This Row],[INV DOC DATE]]+30</f>
        <v>43282</v>
      </c>
      <c r="N245" s="11">
        <v>43250</v>
      </c>
      <c r="O245" s="13">
        <v>225</v>
      </c>
      <c r="P245" s="11">
        <v>43284</v>
      </c>
      <c r="Q245" s="13">
        <f t="shared" si="3"/>
        <v>0</v>
      </c>
      <c r="R245" s="13" t="str">
        <f ca="1">IF(TODAY() - DCPXX[INV DUE DATE]&lt;30, "Less than 30 days",IF(TODAY()-DCPXX[INV DUE DATE]&lt;60,"30-60 days","More than 60 days"))</f>
        <v>Less than 30 days</v>
      </c>
      <c r="S245" s="6" t="s">
        <v>817</v>
      </c>
      <c r="T245" s="44" t="s">
        <v>2229</v>
      </c>
      <c r="U245" s="13" t="s">
        <v>3699</v>
      </c>
    </row>
    <row r="246" spans="1:21" x14ac:dyDescent="0.3">
      <c r="A246" s="6" t="s">
        <v>2672</v>
      </c>
      <c r="B246" s="6" t="s">
        <v>30</v>
      </c>
      <c r="C246" s="6" t="s">
        <v>87</v>
      </c>
      <c r="D246" s="8">
        <v>4301</v>
      </c>
      <c r="E246" s="9">
        <v>225</v>
      </c>
      <c r="H246" s="6">
        <v>194663</v>
      </c>
      <c r="I246" s="10" t="s">
        <v>293</v>
      </c>
      <c r="J246" s="6" t="s">
        <v>213</v>
      </c>
      <c r="K246" s="6" t="s">
        <v>2673</v>
      </c>
      <c r="L246" s="11">
        <v>43252</v>
      </c>
      <c r="M246" s="11">
        <f>DCPXX[[#This Row],[INV DOC DATE]]+30</f>
        <v>43282</v>
      </c>
      <c r="N246" s="11">
        <v>43250</v>
      </c>
      <c r="O246" s="13">
        <v>225</v>
      </c>
      <c r="P246" s="11">
        <v>43284</v>
      </c>
      <c r="Q246" s="13">
        <f t="shared" si="3"/>
        <v>0</v>
      </c>
      <c r="R246" s="13" t="str">
        <f ca="1">IF(TODAY() - DCPXX[INV DUE DATE]&lt;30, "Less than 30 days",IF(TODAY()-DCPXX[INV DUE DATE]&lt;60,"30-60 days","More than 60 days"))</f>
        <v>Less than 30 days</v>
      </c>
      <c r="S246" s="6" t="s">
        <v>817</v>
      </c>
      <c r="T246" s="44" t="s">
        <v>2229</v>
      </c>
      <c r="U246" s="13" t="s">
        <v>3699</v>
      </c>
    </row>
    <row r="247" spans="1:21" x14ac:dyDescent="0.3">
      <c r="A247" s="6" t="s">
        <v>2672</v>
      </c>
      <c r="B247" s="6" t="s">
        <v>30</v>
      </c>
      <c r="C247" s="6" t="s">
        <v>88</v>
      </c>
      <c r="D247" s="8">
        <v>4301</v>
      </c>
      <c r="E247" s="9">
        <v>225</v>
      </c>
      <c r="H247" s="6">
        <v>194663</v>
      </c>
      <c r="I247" s="10" t="s">
        <v>293</v>
      </c>
      <c r="J247" s="6" t="s">
        <v>214</v>
      </c>
      <c r="K247" s="6" t="s">
        <v>2673</v>
      </c>
      <c r="L247" s="11">
        <v>43252</v>
      </c>
      <c r="M247" s="11">
        <f>DCPXX[[#This Row],[INV DOC DATE]]+30</f>
        <v>43282</v>
      </c>
      <c r="N247" s="11">
        <v>43250</v>
      </c>
      <c r="O247" s="13">
        <v>225</v>
      </c>
      <c r="P247" s="11">
        <v>43284</v>
      </c>
      <c r="Q247" s="13">
        <f t="shared" si="3"/>
        <v>0</v>
      </c>
      <c r="R247" s="13" t="str">
        <f ca="1">IF(TODAY() - DCPXX[INV DUE DATE]&lt;30, "Less than 30 days",IF(TODAY()-DCPXX[INV DUE DATE]&lt;60,"30-60 days","More than 60 days"))</f>
        <v>Less than 30 days</v>
      </c>
      <c r="S247" s="6" t="s">
        <v>817</v>
      </c>
      <c r="T247" s="44" t="s">
        <v>2229</v>
      </c>
      <c r="U247" s="13" t="s">
        <v>3699</v>
      </c>
    </row>
    <row r="248" spans="1:21" x14ac:dyDescent="0.3">
      <c r="A248" s="6" t="s">
        <v>2672</v>
      </c>
      <c r="B248" s="6" t="s">
        <v>30</v>
      </c>
      <c r="C248" s="6" t="s">
        <v>89</v>
      </c>
      <c r="D248" s="8">
        <v>4301</v>
      </c>
      <c r="E248" s="9">
        <v>225</v>
      </c>
      <c r="H248" s="6">
        <v>194664</v>
      </c>
      <c r="I248" s="10" t="s">
        <v>293</v>
      </c>
      <c r="J248" s="6" t="s">
        <v>175</v>
      </c>
      <c r="K248" s="6" t="s">
        <v>2673</v>
      </c>
      <c r="L248" s="11">
        <v>43252</v>
      </c>
      <c r="M248" s="11">
        <f>DCPXX[[#This Row],[INV DOC DATE]]+30</f>
        <v>43282</v>
      </c>
      <c r="N248" s="11">
        <v>43250</v>
      </c>
      <c r="O248" s="13">
        <v>225</v>
      </c>
      <c r="P248" s="11">
        <v>43284</v>
      </c>
      <c r="Q248" s="13">
        <f t="shared" si="3"/>
        <v>0</v>
      </c>
      <c r="R248" s="13" t="str">
        <f ca="1">IF(TODAY() - DCPXX[INV DUE DATE]&lt;30, "Less than 30 days",IF(TODAY()-DCPXX[INV DUE DATE]&lt;60,"30-60 days","More than 60 days"))</f>
        <v>Less than 30 days</v>
      </c>
      <c r="S248" s="6" t="s">
        <v>817</v>
      </c>
      <c r="T248" s="44" t="s">
        <v>2229</v>
      </c>
      <c r="U248" s="13" t="s">
        <v>3699</v>
      </c>
    </row>
    <row r="249" spans="1:21" x14ac:dyDescent="0.3">
      <c r="A249" s="6" t="s">
        <v>2672</v>
      </c>
      <c r="B249" s="6" t="s">
        <v>30</v>
      </c>
      <c r="C249" s="6" t="s">
        <v>90</v>
      </c>
      <c r="D249" s="8">
        <v>4301</v>
      </c>
      <c r="E249" s="9">
        <v>225</v>
      </c>
      <c r="H249" s="6">
        <v>194664</v>
      </c>
      <c r="I249" s="10" t="s">
        <v>293</v>
      </c>
      <c r="J249" s="6" t="s">
        <v>176</v>
      </c>
      <c r="K249" s="6" t="s">
        <v>2673</v>
      </c>
      <c r="L249" s="11">
        <v>43252</v>
      </c>
      <c r="M249" s="11">
        <f>DCPXX[[#This Row],[INV DOC DATE]]+30</f>
        <v>43282</v>
      </c>
      <c r="N249" s="11">
        <v>43250</v>
      </c>
      <c r="O249" s="13">
        <v>225</v>
      </c>
      <c r="P249" s="11">
        <v>43284</v>
      </c>
      <c r="Q249" s="13">
        <f t="shared" si="3"/>
        <v>0</v>
      </c>
      <c r="R249" s="13" t="str">
        <f ca="1">IF(TODAY() - DCPXX[INV DUE DATE]&lt;30, "Less than 30 days",IF(TODAY()-DCPXX[INV DUE DATE]&lt;60,"30-60 days","More than 60 days"))</f>
        <v>Less than 30 days</v>
      </c>
      <c r="S249" s="6" t="s">
        <v>817</v>
      </c>
      <c r="T249" s="44" t="s">
        <v>2229</v>
      </c>
      <c r="U249" s="13" t="s">
        <v>3699</v>
      </c>
    </row>
    <row r="250" spans="1:21" x14ac:dyDescent="0.3">
      <c r="A250" s="6" t="s">
        <v>2672</v>
      </c>
      <c r="B250" s="6" t="s">
        <v>30</v>
      </c>
      <c r="C250" s="6" t="s">
        <v>91</v>
      </c>
      <c r="D250" s="8">
        <v>4301</v>
      </c>
      <c r="E250" s="9">
        <v>225</v>
      </c>
      <c r="H250" s="6">
        <v>194664</v>
      </c>
      <c r="I250" s="10" t="s">
        <v>293</v>
      </c>
      <c r="J250" s="6" t="s">
        <v>177</v>
      </c>
      <c r="K250" s="6" t="s">
        <v>2673</v>
      </c>
      <c r="L250" s="11">
        <v>43252</v>
      </c>
      <c r="M250" s="11">
        <f>DCPXX[[#This Row],[INV DOC DATE]]+30</f>
        <v>43282</v>
      </c>
      <c r="N250" s="11">
        <v>43250</v>
      </c>
      <c r="O250" s="13">
        <v>225</v>
      </c>
      <c r="P250" s="11">
        <v>43284</v>
      </c>
      <c r="Q250" s="13">
        <f t="shared" si="3"/>
        <v>0</v>
      </c>
      <c r="R250" s="13" t="str">
        <f ca="1">IF(TODAY() - DCPXX[INV DUE DATE]&lt;30, "Less than 30 days",IF(TODAY()-DCPXX[INV DUE DATE]&lt;60,"30-60 days","More than 60 days"))</f>
        <v>Less than 30 days</v>
      </c>
      <c r="S250" s="6" t="s">
        <v>817</v>
      </c>
      <c r="T250" s="44" t="s">
        <v>2229</v>
      </c>
      <c r="U250" s="13" t="s">
        <v>3699</v>
      </c>
    </row>
    <row r="251" spans="1:21" x14ac:dyDescent="0.3">
      <c r="A251" s="6" t="s">
        <v>2672</v>
      </c>
      <c r="B251" s="6" t="s">
        <v>30</v>
      </c>
      <c r="C251" s="6" t="s">
        <v>92</v>
      </c>
      <c r="D251" s="8">
        <v>4301</v>
      </c>
      <c r="E251" s="9">
        <v>225</v>
      </c>
      <c r="H251" s="6">
        <v>194664</v>
      </c>
      <c r="I251" s="10" t="s">
        <v>293</v>
      </c>
      <c r="J251" s="6" t="s">
        <v>178</v>
      </c>
      <c r="K251" s="6" t="s">
        <v>2673</v>
      </c>
      <c r="L251" s="11">
        <v>43252</v>
      </c>
      <c r="M251" s="11">
        <f>DCPXX[[#This Row],[INV DOC DATE]]+30</f>
        <v>43282</v>
      </c>
      <c r="N251" s="11">
        <v>43250</v>
      </c>
      <c r="O251" s="13">
        <v>225</v>
      </c>
      <c r="P251" s="11">
        <v>43284</v>
      </c>
      <c r="Q251" s="13">
        <f t="shared" si="3"/>
        <v>0</v>
      </c>
      <c r="R251" s="13" t="str">
        <f ca="1">IF(TODAY() - DCPXX[INV DUE DATE]&lt;30, "Less than 30 days",IF(TODAY()-DCPXX[INV DUE DATE]&lt;60,"30-60 days","More than 60 days"))</f>
        <v>Less than 30 days</v>
      </c>
      <c r="S251" s="6" t="s">
        <v>817</v>
      </c>
      <c r="T251" s="44" t="s">
        <v>2229</v>
      </c>
      <c r="U251" s="13" t="s">
        <v>3699</v>
      </c>
    </row>
    <row r="252" spans="1:21" x14ac:dyDescent="0.3">
      <c r="A252" s="6" t="s">
        <v>2672</v>
      </c>
      <c r="B252" s="6" t="s">
        <v>30</v>
      </c>
      <c r="C252" s="6" t="s">
        <v>30</v>
      </c>
      <c r="D252" s="8">
        <v>4301</v>
      </c>
      <c r="E252" s="9">
        <v>225</v>
      </c>
      <c r="H252" s="6">
        <v>194664</v>
      </c>
      <c r="I252" s="10" t="s">
        <v>293</v>
      </c>
      <c r="J252" s="6" t="s">
        <v>179</v>
      </c>
      <c r="K252" s="6" t="s">
        <v>2673</v>
      </c>
      <c r="L252" s="11">
        <v>43252</v>
      </c>
      <c r="M252" s="11">
        <f>DCPXX[[#This Row],[INV DOC DATE]]+30</f>
        <v>43282</v>
      </c>
      <c r="N252" s="11">
        <v>43250</v>
      </c>
      <c r="O252" s="13">
        <v>225</v>
      </c>
      <c r="P252" s="11">
        <v>43284</v>
      </c>
      <c r="Q252" s="13">
        <f t="shared" si="3"/>
        <v>0</v>
      </c>
      <c r="R252" s="13" t="str">
        <f ca="1">IF(TODAY() - DCPXX[INV DUE DATE]&lt;30, "Less than 30 days",IF(TODAY()-DCPXX[INV DUE DATE]&lt;60,"30-60 days","More than 60 days"))</f>
        <v>Less than 30 days</v>
      </c>
      <c r="S252" s="6" t="s">
        <v>817</v>
      </c>
      <c r="T252" s="44" t="s">
        <v>2229</v>
      </c>
      <c r="U252" s="13" t="s">
        <v>3699</v>
      </c>
    </row>
    <row r="253" spans="1:21" x14ac:dyDescent="0.3">
      <c r="A253" s="6" t="s">
        <v>2672</v>
      </c>
      <c r="B253" s="6" t="s">
        <v>30</v>
      </c>
      <c r="C253" s="6" t="s">
        <v>93</v>
      </c>
      <c r="D253" s="8">
        <v>4301</v>
      </c>
      <c r="E253" s="9">
        <v>225</v>
      </c>
      <c r="H253" s="6">
        <v>194664</v>
      </c>
      <c r="I253" s="10" t="s">
        <v>293</v>
      </c>
      <c r="J253" s="6" t="s">
        <v>180</v>
      </c>
      <c r="K253" s="6" t="s">
        <v>2673</v>
      </c>
      <c r="L253" s="11">
        <v>43252</v>
      </c>
      <c r="M253" s="11">
        <f>DCPXX[[#This Row],[INV DOC DATE]]+30</f>
        <v>43282</v>
      </c>
      <c r="N253" s="11">
        <v>43250</v>
      </c>
      <c r="O253" s="13">
        <v>225</v>
      </c>
      <c r="P253" s="11">
        <v>43284</v>
      </c>
      <c r="Q253" s="13">
        <f t="shared" si="3"/>
        <v>0</v>
      </c>
      <c r="R253" s="13" t="str">
        <f ca="1">IF(TODAY() - DCPXX[INV DUE DATE]&lt;30, "Less than 30 days",IF(TODAY()-DCPXX[INV DUE DATE]&lt;60,"30-60 days","More than 60 days"))</f>
        <v>Less than 30 days</v>
      </c>
      <c r="S253" s="6" t="s">
        <v>817</v>
      </c>
      <c r="T253" s="44" t="s">
        <v>2229</v>
      </c>
      <c r="U253" s="13" t="s">
        <v>3699</v>
      </c>
    </row>
    <row r="254" spans="1:21" x14ac:dyDescent="0.3">
      <c r="A254" s="6" t="s">
        <v>2672</v>
      </c>
      <c r="B254" s="6" t="s">
        <v>30</v>
      </c>
      <c r="C254" s="6" t="s">
        <v>94</v>
      </c>
      <c r="D254" s="8">
        <v>4301</v>
      </c>
      <c r="E254" s="9">
        <v>225</v>
      </c>
      <c r="H254" s="6">
        <v>194664</v>
      </c>
      <c r="I254" s="10" t="s">
        <v>293</v>
      </c>
      <c r="J254" s="6" t="s">
        <v>181</v>
      </c>
      <c r="K254" s="6" t="s">
        <v>2673</v>
      </c>
      <c r="L254" s="11">
        <v>43252</v>
      </c>
      <c r="M254" s="11">
        <f>DCPXX[[#This Row],[INV DOC DATE]]+30</f>
        <v>43282</v>
      </c>
      <c r="N254" s="11">
        <v>43250</v>
      </c>
      <c r="O254" s="13">
        <v>225</v>
      </c>
      <c r="P254" s="11">
        <v>43284</v>
      </c>
      <c r="Q254" s="13">
        <f t="shared" si="3"/>
        <v>0</v>
      </c>
      <c r="R254" s="13" t="str">
        <f ca="1">IF(TODAY() - DCPXX[INV DUE DATE]&lt;30, "Less than 30 days",IF(TODAY()-DCPXX[INV DUE DATE]&lt;60,"30-60 days","More than 60 days"))</f>
        <v>Less than 30 days</v>
      </c>
      <c r="S254" s="6" t="s">
        <v>817</v>
      </c>
      <c r="T254" s="44" t="s">
        <v>2229</v>
      </c>
      <c r="U254" s="13" t="s">
        <v>3699</v>
      </c>
    </row>
    <row r="255" spans="1:21" x14ac:dyDescent="0.3">
      <c r="A255" s="6" t="s">
        <v>2672</v>
      </c>
      <c r="B255" s="6" t="s">
        <v>30</v>
      </c>
      <c r="C255" s="6" t="s">
        <v>95</v>
      </c>
      <c r="D255" s="8">
        <v>4301</v>
      </c>
      <c r="E255" s="9">
        <v>225</v>
      </c>
      <c r="H255" s="6">
        <v>194664</v>
      </c>
      <c r="I255" s="10" t="s">
        <v>293</v>
      </c>
      <c r="J255" s="6" t="s">
        <v>182</v>
      </c>
      <c r="K255" s="6" t="s">
        <v>2673</v>
      </c>
      <c r="L255" s="11">
        <v>43252</v>
      </c>
      <c r="M255" s="11">
        <f>DCPXX[[#This Row],[INV DOC DATE]]+30</f>
        <v>43282</v>
      </c>
      <c r="N255" s="11">
        <v>43250</v>
      </c>
      <c r="O255" s="13">
        <v>225</v>
      </c>
      <c r="P255" s="11">
        <v>43284</v>
      </c>
      <c r="Q255" s="13">
        <f t="shared" si="3"/>
        <v>0</v>
      </c>
      <c r="R255" s="13" t="str">
        <f ca="1">IF(TODAY() - DCPXX[INV DUE DATE]&lt;30, "Less than 30 days",IF(TODAY()-DCPXX[INV DUE DATE]&lt;60,"30-60 days","More than 60 days"))</f>
        <v>Less than 30 days</v>
      </c>
      <c r="S255" s="6" t="s">
        <v>817</v>
      </c>
      <c r="T255" s="44" t="s">
        <v>2229</v>
      </c>
      <c r="U255" s="13" t="s">
        <v>3699</v>
      </c>
    </row>
    <row r="256" spans="1:21" x14ac:dyDescent="0.3">
      <c r="A256" s="6" t="s">
        <v>2672</v>
      </c>
      <c r="B256" s="6" t="s">
        <v>30</v>
      </c>
      <c r="C256" s="6" t="s">
        <v>96</v>
      </c>
      <c r="D256" s="8">
        <v>4301</v>
      </c>
      <c r="E256" s="9">
        <v>225</v>
      </c>
      <c r="H256" s="6">
        <v>194756</v>
      </c>
      <c r="I256" s="10" t="s">
        <v>293</v>
      </c>
      <c r="J256" s="6" t="s">
        <v>236</v>
      </c>
      <c r="K256" s="6" t="s">
        <v>2673</v>
      </c>
      <c r="L256" s="11">
        <v>43252</v>
      </c>
      <c r="M256" s="11">
        <f>DCPXX[[#This Row],[INV DOC DATE]]+30</f>
        <v>43282</v>
      </c>
      <c r="N256" s="11">
        <v>43250</v>
      </c>
      <c r="O256" s="13">
        <v>225</v>
      </c>
      <c r="P256" s="11">
        <v>43284</v>
      </c>
      <c r="Q256" s="13">
        <f t="shared" si="3"/>
        <v>0</v>
      </c>
      <c r="R256" s="13" t="str">
        <f ca="1">IF(TODAY() - DCPXX[INV DUE DATE]&lt;30, "Less than 30 days",IF(TODAY()-DCPXX[INV DUE DATE]&lt;60,"30-60 days","More than 60 days"))</f>
        <v>Less than 30 days</v>
      </c>
      <c r="S256" s="6" t="s">
        <v>817</v>
      </c>
      <c r="T256" s="44" t="s">
        <v>2229</v>
      </c>
      <c r="U256" s="13" t="s">
        <v>3699</v>
      </c>
    </row>
    <row r="257" spans="1:21" x14ac:dyDescent="0.3">
      <c r="A257" s="6" t="s">
        <v>2672</v>
      </c>
      <c r="B257" s="6" t="s">
        <v>30</v>
      </c>
      <c r="C257" s="6" t="s">
        <v>97</v>
      </c>
      <c r="D257" s="8">
        <v>4301</v>
      </c>
      <c r="E257" s="9">
        <v>225</v>
      </c>
      <c r="H257" s="6">
        <v>194756</v>
      </c>
      <c r="I257" s="10" t="s">
        <v>293</v>
      </c>
      <c r="J257" s="6" t="s">
        <v>237</v>
      </c>
      <c r="K257" s="6" t="s">
        <v>2673</v>
      </c>
      <c r="L257" s="11">
        <v>43252</v>
      </c>
      <c r="M257" s="11">
        <f>DCPXX[[#This Row],[INV DOC DATE]]+30</f>
        <v>43282</v>
      </c>
      <c r="N257" s="11">
        <v>43250</v>
      </c>
      <c r="O257" s="13">
        <v>225</v>
      </c>
      <c r="P257" s="11">
        <v>43284</v>
      </c>
      <c r="Q257" s="13">
        <f t="shared" si="3"/>
        <v>0</v>
      </c>
      <c r="R257" s="13" t="str">
        <f ca="1">IF(TODAY() - DCPXX[INV DUE DATE]&lt;30, "Less than 30 days",IF(TODAY()-DCPXX[INV DUE DATE]&lt;60,"30-60 days","More than 60 days"))</f>
        <v>Less than 30 days</v>
      </c>
      <c r="S257" s="6" t="s">
        <v>817</v>
      </c>
      <c r="T257" s="44" t="s">
        <v>2229</v>
      </c>
      <c r="U257" s="13" t="s">
        <v>3699</v>
      </c>
    </row>
    <row r="258" spans="1:21" x14ac:dyDescent="0.3">
      <c r="A258" s="6" t="s">
        <v>2672</v>
      </c>
      <c r="B258" s="6" t="s">
        <v>30</v>
      </c>
      <c r="C258" s="6" t="s">
        <v>98</v>
      </c>
      <c r="D258" s="8">
        <v>4301</v>
      </c>
      <c r="E258" s="9">
        <v>225</v>
      </c>
      <c r="H258" s="6">
        <v>194759</v>
      </c>
      <c r="I258" s="10" t="s">
        <v>293</v>
      </c>
      <c r="J258" s="6" t="s">
        <v>281</v>
      </c>
      <c r="K258" s="6" t="s">
        <v>2673</v>
      </c>
      <c r="L258" s="11">
        <v>43252</v>
      </c>
      <c r="M258" s="11">
        <f>DCPXX[[#This Row],[INV DOC DATE]]+30</f>
        <v>43282</v>
      </c>
      <c r="N258" s="11">
        <v>43250</v>
      </c>
      <c r="O258" s="13">
        <v>225</v>
      </c>
      <c r="P258" s="11">
        <v>43284</v>
      </c>
      <c r="Q258" s="13">
        <f t="shared" ref="Q258:Q319" si="4">$E258-$O258</f>
        <v>0</v>
      </c>
      <c r="R258" s="13" t="str">
        <f ca="1">IF(TODAY() - DCPXX[INV DUE DATE]&lt;30, "Less than 30 days",IF(TODAY()-DCPXX[INV DUE DATE]&lt;60,"30-60 days","More than 60 days"))</f>
        <v>Less than 30 days</v>
      </c>
      <c r="S258" s="6" t="s">
        <v>817</v>
      </c>
      <c r="T258" s="44" t="s">
        <v>2229</v>
      </c>
      <c r="U258" s="13" t="s">
        <v>3699</v>
      </c>
    </row>
    <row r="259" spans="1:21" x14ac:dyDescent="0.3">
      <c r="A259" s="6" t="s">
        <v>2672</v>
      </c>
      <c r="B259" s="6" t="s">
        <v>30</v>
      </c>
      <c r="C259" s="6" t="s">
        <v>99</v>
      </c>
      <c r="D259" s="8">
        <v>4301</v>
      </c>
      <c r="E259" s="9">
        <v>225</v>
      </c>
      <c r="H259" s="6">
        <v>194759</v>
      </c>
      <c r="I259" s="10" t="s">
        <v>293</v>
      </c>
      <c r="J259" s="6" t="s">
        <v>282</v>
      </c>
      <c r="K259" s="6" t="s">
        <v>2673</v>
      </c>
      <c r="L259" s="11">
        <v>43252</v>
      </c>
      <c r="M259" s="11">
        <f>DCPXX[[#This Row],[INV DOC DATE]]+30</f>
        <v>43282</v>
      </c>
      <c r="N259" s="11">
        <v>43250</v>
      </c>
      <c r="O259" s="13">
        <v>225</v>
      </c>
      <c r="P259" s="11">
        <v>43284</v>
      </c>
      <c r="Q259" s="13">
        <f t="shared" si="4"/>
        <v>0</v>
      </c>
      <c r="R259" s="13" t="str">
        <f ca="1">IF(TODAY() - DCPXX[INV DUE DATE]&lt;30, "Less than 30 days",IF(TODAY()-DCPXX[INV DUE DATE]&lt;60,"30-60 days","More than 60 days"))</f>
        <v>Less than 30 days</v>
      </c>
      <c r="S259" s="6" t="s">
        <v>817</v>
      </c>
      <c r="T259" s="44" t="s">
        <v>2229</v>
      </c>
      <c r="U259" s="13" t="s">
        <v>3699</v>
      </c>
    </row>
    <row r="260" spans="1:21" x14ac:dyDescent="0.3">
      <c r="A260" s="6" t="s">
        <v>2672</v>
      </c>
      <c r="B260" s="6" t="s">
        <v>30</v>
      </c>
      <c r="C260" s="6" t="s">
        <v>100</v>
      </c>
      <c r="D260" s="8">
        <v>4301</v>
      </c>
      <c r="E260" s="9">
        <v>225</v>
      </c>
      <c r="H260" s="6">
        <v>194759</v>
      </c>
      <c r="I260" s="10" t="s">
        <v>293</v>
      </c>
      <c r="J260" s="6" t="s">
        <v>283</v>
      </c>
      <c r="K260" s="6" t="s">
        <v>2673</v>
      </c>
      <c r="L260" s="11">
        <v>43252</v>
      </c>
      <c r="M260" s="11">
        <f>DCPXX[[#This Row],[INV DOC DATE]]+30</f>
        <v>43282</v>
      </c>
      <c r="N260" s="11">
        <v>43250</v>
      </c>
      <c r="O260" s="13">
        <v>225</v>
      </c>
      <c r="P260" s="11">
        <v>43284</v>
      </c>
      <c r="Q260" s="13">
        <f t="shared" si="4"/>
        <v>0</v>
      </c>
      <c r="R260" s="13" t="str">
        <f ca="1">IF(TODAY() - DCPXX[INV DUE DATE]&lt;30, "Less than 30 days",IF(TODAY()-DCPXX[INV DUE DATE]&lt;60,"30-60 days","More than 60 days"))</f>
        <v>Less than 30 days</v>
      </c>
      <c r="S260" s="6" t="s">
        <v>817</v>
      </c>
      <c r="T260" s="44" t="s">
        <v>2229</v>
      </c>
      <c r="U260" s="13" t="s">
        <v>3699</v>
      </c>
    </row>
    <row r="261" spans="1:21" x14ac:dyDescent="0.3">
      <c r="A261" s="6" t="s">
        <v>2672</v>
      </c>
      <c r="B261" s="6" t="s">
        <v>30</v>
      </c>
      <c r="C261" s="6" t="s">
        <v>101</v>
      </c>
      <c r="D261" s="8">
        <v>4301</v>
      </c>
      <c r="E261" s="9">
        <v>225</v>
      </c>
      <c r="H261" s="6">
        <v>194759</v>
      </c>
      <c r="I261" s="10" t="s">
        <v>293</v>
      </c>
      <c r="J261" s="6" t="s">
        <v>284</v>
      </c>
      <c r="K261" s="6" t="s">
        <v>2673</v>
      </c>
      <c r="L261" s="11">
        <v>43252</v>
      </c>
      <c r="M261" s="11">
        <f>DCPXX[[#This Row],[INV DOC DATE]]+30</f>
        <v>43282</v>
      </c>
      <c r="N261" s="11">
        <v>43250</v>
      </c>
      <c r="O261" s="13">
        <v>225</v>
      </c>
      <c r="P261" s="11">
        <v>43284</v>
      </c>
      <c r="Q261" s="13">
        <f t="shared" si="4"/>
        <v>0</v>
      </c>
      <c r="R261" s="13" t="str">
        <f ca="1">IF(TODAY() - DCPXX[INV DUE DATE]&lt;30, "Less than 30 days",IF(TODAY()-DCPXX[INV DUE DATE]&lt;60,"30-60 days","More than 60 days"))</f>
        <v>Less than 30 days</v>
      </c>
      <c r="S261" s="6" t="s">
        <v>817</v>
      </c>
      <c r="T261" s="44" t="s">
        <v>2229</v>
      </c>
      <c r="U261" s="13" t="s">
        <v>3699</v>
      </c>
    </row>
    <row r="262" spans="1:21" x14ac:dyDescent="0.3">
      <c r="A262" s="6" t="s">
        <v>2672</v>
      </c>
      <c r="B262" s="6" t="s">
        <v>30</v>
      </c>
      <c r="C262" s="6" t="s">
        <v>102</v>
      </c>
      <c r="D262" s="8">
        <v>4301</v>
      </c>
      <c r="E262" s="9">
        <v>225</v>
      </c>
      <c r="H262" s="6">
        <v>194759</v>
      </c>
      <c r="I262" s="10" t="s">
        <v>293</v>
      </c>
      <c r="J262" s="6" t="s">
        <v>285</v>
      </c>
      <c r="K262" s="6" t="s">
        <v>2673</v>
      </c>
      <c r="L262" s="11">
        <v>43252</v>
      </c>
      <c r="M262" s="11">
        <f>DCPXX[[#This Row],[INV DOC DATE]]+30</f>
        <v>43282</v>
      </c>
      <c r="N262" s="11">
        <v>43250</v>
      </c>
      <c r="O262" s="13">
        <v>225</v>
      </c>
      <c r="P262" s="11">
        <v>43284</v>
      </c>
      <c r="Q262" s="13">
        <f t="shared" si="4"/>
        <v>0</v>
      </c>
      <c r="R262" s="13" t="str">
        <f ca="1">IF(TODAY() - DCPXX[INV DUE DATE]&lt;30, "Less than 30 days",IF(TODAY()-DCPXX[INV DUE DATE]&lt;60,"30-60 days","More than 60 days"))</f>
        <v>Less than 30 days</v>
      </c>
      <c r="S262" s="6" t="s">
        <v>817</v>
      </c>
      <c r="T262" s="44" t="s">
        <v>2229</v>
      </c>
      <c r="U262" s="13" t="s">
        <v>3699</v>
      </c>
    </row>
    <row r="263" spans="1:21" x14ac:dyDescent="0.3">
      <c r="A263" s="6" t="s">
        <v>2672</v>
      </c>
      <c r="B263" s="6" t="s">
        <v>30</v>
      </c>
      <c r="C263" s="6" t="s">
        <v>103</v>
      </c>
      <c r="D263" s="8">
        <v>4301</v>
      </c>
      <c r="E263" s="9">
        <v>225</v>
      </c>
      <c r="H263" s="6">
        <v>194759</v>
      </c>
      <c r="I263" s="10" t="s">
        <v>293</v>
      </c>
      <c r="J263" s="6" t="s">
        <v>286</v>
      </c>
      <c r="K263" s="6" t="s">
        <v>2673</v>
      </c>
      <c r="L263" s="11">
        <v>43252</v>
      </c>
      <c r="M263" s="11">
        <f>DCPXX[[#This Row],[INV DOC DATE]]+30</f>
        <v>43282</v>
      </c>
      <c r="N263" s="11">
        <v>43250</v>
      </c>
      <c r="O263" s="13">
        <v>225</v>
      </c>
      <c r="P263" s="11">
        <v>43284</v>
      </c>
      <c r="Q263" s="13">
        <f t="shared" si="4"/>
        <v>0</v>
      </c>
      <c r="R263" s="13" t="str">
        <f ca="1">IF(TODAY() - DCPXX[INV DUE DATE]&lt;30, "Less than 30 days",IF(TODAY()-DCPXX[INV DUE DATE]&lt;60,"30-60 days","More than 60 days"))</f>
        <v>Less than 30 days</v>
      </c>
      <c r="S263" s="6" t="s">
        <v>817</v>
      </c>
      <c r="T263" s="44" t="s">
        <v>2229</v>
      </c>
      <c r="U263" s="13" t="s">
        <v>3699</v>
      </c>
    </row>
    <row r="264" spans="1:21" x14ac:dyDescent="0.3">
      <c r="A264" s="6" t="s">
        <v>2672</v>
      </c>
      <c r="B264" s="6" t="s">
        <v>30</v>
      </c>
      <c r="C264" s="6" t="s">
        <v>104</v>
      </c>
      <c r="D264" s="8">
        <v>4301</v>
      </c>
      <c r="E264" s="9">
        <v>225</v>
      </c>
      <c r="H264" s="6">
        <v>194759</v>
      </c>
      <c r="I264" s="10" t="s">
        <v>293</v>
      </c>
      <c r="J264" s="6" t="s">
        <v>287</v>
      </c>
      <c r="K264" s="6" t="s">
        <v>2673</v>
      </c>
      <c r="L264" s="11">
        <v>43252</v>
      </c>
      <c r="M264" s="11">
        <f>DCPXX[[#This Row],[INV DOC DATE]]+30</f>
        <v>43282</v>
      </c>
      <c r="N264" s="11">
        <v>43250</v>
      </c>
      <c r="O264" s="13">
        <v>225</v>
      </c>
      <c r="P264" s="11">
        <v>43284</v>
      </c>
      <c r="Q264" s="13">
        <f t="shared" si="4"/>
        <v>0</v>
      </c>
      <c r="R264" s="13" t="str">
        <f ca="1">IF(TODAY() - DCPXX[INV DUE DATE]&lt;30, "Less than 30 days",IF(TODAY()-DCPXX[INV DUE DATE]&lt;60,"30-60 days","More than 60 days"))</f>
        <v>Less than 30 days</v>
      </c>
      <c r="S264" s="6" t="s">
        <v>817</v>
      </c>
      <c r="T264" s="44" t="s">
        <v>2229</v>
      </c>
      <c r="U264" s="13" t="s">
        <v>3699</v>
      </c>
    </row>
    <row r="265" spans="1:21" x14ac:dyDescent="0.3">
      <c r="A265" s="6" t="s">
        <v>2672</v>
      </c>
      <c r="B265" s="6" t="s">
        <v>30</v>
      </c>
      <c r="C265" s="6" t="s">
        <v>105</v>
      </c>
      <c r="D265" s="8">
        <v>4301</v>
      </c>
      <c r="E265" s="9">
        <v>225</v>
      </c>
      <c r="H265" s="6">
        <v>194759</v>
      </c>
      <c r="I265" s="10" t="s">
        <v>293</v>
      </c>
      <c r="J265" s="6" t="s">
        <v>288</v>
      </c>
      <c r="K265" s="6" t="s">
        <v>2673</v>
      </c>
      <c r="L265" s="11">
        <v>43252</v>
      </c>
      <c r="M265" s="11">
        <f>DCPXX[[#This Row],[INV DOC DATE]]+30</f>
        <v>43282</v>
      </c>
      <c r="N265" s="11">
        <v>43250</v>
      </c>
      <c r="O265" s="13">
        <v>225</v>
      </c>
      <c r="P265" s="11">
        <v>43284</v>
      </c>
      <c r="Q265" s="13">
        <f t="shared" si="4"/>
        <v>0</v>
      </c>
      <c r="R265" s="13" t="str">
        <f ca="1">IF(TODAY() - DCPXX[INV DUE DATE]&lt;30, "Less than 30 days",IF(TODAY()-DCPXX[INV DUE DATE]&lt;60,"30-60 days","More than 60 days"))</f>
        <v>Less than 30 days</v>
      </c>
      <c r="S265" s="6" t="s">
        <v>817</v>
      </c>
      <c r="T265" s="44" t="s">
        <v>2229</v>
      </c>
      <c r="U265" s="13" t="s">
        <v>3699</v>
      </c>
    </row>
    <row r="266" spans="1:21" x14ac:dyDescent="0.3">
      <c r="A266" s="6" t="s">
        <v>2672</v>
      </c>
      <c r="B266" s="6" t="s">
        <v>30</v>
      </c>
      <c r="C266" s="6" t="s">
        <v>106</v>
      </c>
      <c r="D266" s="8">
        <v>4301</v>
      </c>
      <c r="E266" s="9">
        <v>225</v>
      </c>
      <c r="H266" s="6">
        <v>194759</v>
      </c>
      <c r="I266" s="10" t="s">
        <v>293</v>
      </c>
      <c r="J266" s="6" t="s">
        <v>291</v>
      </c>
      <c r="K266" s="6" t="s">
        <v>2673</v>
      </c>
      <c r="L266" s="11">
        <v>43252</v>
      </c>
      <c r="M266" s="11">
        <f>DCPXX[[#This Row],[INV DOC DATE]]+30</f>
        <v>43282</v>
      </c>
      <c r="N266" s="11">
        <v>43250</v>
      </c>
      <c r="O266" s="13">
        <v>225</v>
      </c>
      <c r="P266" s="11">
        <v>43284</v>
      </c>
      <c r="Q266" s="13">
        <f t="shared" si="4"/>
        <v>0</v>
      </c>
      <c r="R266" s="13" t="str">
        <f ca="1">IF(TODAY() - DCPXX[INV DUE DATE]&lt;30, "Less than 30 days",IF(TODAY()-DCPXX[INV DUE DATE]&lt;60,"30-60 days","More than 60 days"))</f>
        <v>Less than 30 days</v>
      </c>
      <c r="S266" s="6" t="s">
        <v>817</v>
      </c>
      <c r="T266" s="44" t="s">
        <v>2229</v>
      </c>
      <c r="U266" s="13" t="s">
        <v>3699</v>
      </c>
    </row>
    <row r="267" spans="1:21" x14ac:dyDescent="0.3">
      <c r="A267" s="6" t="s">
        <v>2672</v>
      </c>
      <c r="B267" s="6" t="s">
        <v>30</v>
      </c>
      <c r="C267" s="6" t="s">
        <v>107</v>
      </c>
      <c r="D267" s="8">
        <v>4301</v>
      </c>
      <c r="E267" s="9">
        <v>225</v>
      </c>
      <c r="H267" s="6">
        <v>194759</v>
      </c>
      <c r="I267" s="10" t="s">
        <v>293</v>
      </c>
      <c r="J267" s="6" t="s">
        <v>289</v>
      </c>
      <c r="K267" s="6" t="s">
        <v>2673</v>
      </c>
      <c r="L267" s="11">
        <v>43252</v>
      </c>
      <c r="M267" s="11">
        <f>DCPXX[[#This Row],[INV DOC DATE]]+30</f>
        <v>43282</v>
      </c>
      <c r="N267" s="11">
        <v>43250</v>
      </c>
      <c r="O267" s="13">
        <v>225</v>
      </c>
      <c r="P267" s="11">
        <v>43284</v>
      </c>
      <c r="Q267" s="13">
        <f t="shared" si="4"/>
        <v>0</v>
      </c>
      <c r="R267" s="13" t="str">
        <f ca="1">IF(TODAY() - DCPXX[INV DUE DATE]&lt;30, "Less than 30 days",IF(TODAY()-DCPXX[INV DUE DATE]&lt;60,"30-60 days","More than 60 days"))</f>
        <v>Less than 30 days</v>
      </c>
      <c r="S267" s="6" t="s">
        <v>817</v>
      </c>
      <c r="T267" s="44" t="s">
        <v>2229</v>
      </c>
      <c r="U267" s="13" t="s">
        <v>3699</v>
      </c>
    </row>
    <row r="268" spans="1:21" x14ac:dyDescent="0.3">
      <c r="A268" s="6" t="s">
        <v>2672</v>
      </c>
      <c r="B268" s="6" t="s">
        <v>30</v>
      </c>
      <c r="C268" s="6" t="s">
        <v>108</v>
      </c>
      <c r="D268" s="8">
        <v>4301</v>
      </c>
      <c r="E268" s="9">
        <v>225</v>
      </c>
      <c r="H268" s="6">
        <v>194759</v>
      </c>
      <c r="I268" s="10" t="s">
        <v>293</v>
      </c>
      <c r="J268" s="6" t="s">
        <v>290</v>
      </c>
      <c r="K268" s="6" t="s">
        <v>2673</v>
      </c>
      <c r="L268" s="11">
        <v>43252</v>
      </c>
      <c r="M268" s="11">
        <f>DCPXX[[#This Row],[INV DOC DATE]]+30</f>
        <v>43282</v>
      </c>
      <c r="N268" s="11">
        <v>43250</v>
      </c>
      <c r="O268" s="13">
        <v>225</v>
      </c>
      <c r="P268" s="11">
        <v>43284</v>
      </c>
      <c r="Q268" s="13">
        <f t="shared" si="4"/>
        <v>0</v>
      </c>
      <c r="R268" s="13" t="str">
        <f ca="1">IF(TODAY() - DCPXX[INV DUE DATE]&lt;30, "Less than 30 days",IF(TODAY()-DCPXX[INV DUE DATE]&lt;60,"30-60 days","More than 60 days"))</f>
        <v>Less than 30 days</v>
      </c>
      <c r="S268" s="6" t="s">
        <v>817</v>
      </c>
      <c r="T268" s="44" t="s">
        <v>2229</v>
      </c>
      <c r="U268" s="13" t="s">
        <v>3699</v>
      </c>
    </row>
    <row r="269" spans="1:21" x14ac:dyDescent="0.3">
      <c r="A269" s="6" t="s">
        <v>2672</v>
      </c>
      <c r="B269" s="6" t="s">
        <v>30</v>
      </c>
      <c r="C269" s="6" t="s">
        <v>109</v>
      </c>
      <c r="D269" s="8">
        <v>4301</v>
      </c>
      <c r="E269" s="9">
        <v>225</v>
      </c>
      <c r="H269" s="6">
        <v>194759</v>
      </c>
      <c r="I269" s="10" t="s">
        <v>293</v>
      </c>
      <c r="J269" s="6" t="s">
        <v>292</v>
      </c>
      <c r="K269" s="6" t="s">
        <v>2673</v>
      </c>
      <c r="L269" s="11">
        <v>43252</v>
      </c>
      <c r="M269" s="11">
        <f>DCPXX[[#This Row],[INV DOC DATE]]+30</f>
        <v>43282</v>
      </c>
      <c r="N269" s="11">
        <v>43250</v>
      </c>
      <c r="O269" s="13">
        <v>225</v>
      </c>
      <c r="P269" s="11">
        <v>43284</v>
      </c>
      <c r="Q269" s="13">
        <f t="shared" si="4"/>
        <v>0</v>
      </c>
      <c r="R269" s="13" t="str">
        <f ca="1">IF(TODAY() - DCPXX[INV DUE DATE]&lt;30, "Less than 30 days",IF(TODAY()-DCPXX[INV DUE DATE]&lt;60,"30-60 days","More than 60 days"))</f>
        <v>Less than 30 days</v>
      </c>
      <c r="S269" s="6" t="s">
        <v>817</v>
      </c>
      <c r="T269" s="44" t="s">
        <v>2229</v>
      </c>
      <c r="U269" s="13" t="s">
        <v>3699</v>
      </c>
    </row>
    <row r="270" spans="1:21" x14ac:dyDescent="0.3">
      <c r="A270" s="6" t="s">
        <v>2672</v>
      </c>
      <c r="B270" s="6" t="s">
        <v>30</v>
      </c>
      <c r="C270" s="6" t="s">
        <v>110</v>
      </c>
      <c r="D270" s="8">
        <v>4301</v>
      </c>
      <c r="E270" s="9">
        <v>420</v>
      </c>
      <c r="H270" s="6">
        <v>194760</v>
      </c>
      <c r="I270" s="10" t="s">
        <v>293</v>
      </c>
      <c r="J270" s="6" t="s">
        <v>159</v>
      </c>
      <c r="K270" s="6" t="s">
        <v>2673</v>
      </c>
      <c r="L270" s="11">
        <v>43252</v>
      </c>
      <c r="M270" s="11">
        <f>DCPXX[[#This Row],[INV DOC DATE]]+30</f>
        <v>43282</v>
      </c>
      <c r="N270" s="11">
        <v>43250</v>
      </c>
      <c r="O270" s="13">
        <v>420</v>
      </c>
      <c r="P270" s="11">
        <v>43284</v>
      </c>
      <c r="Q270" s="13">
        <f t="shared" si="4"/>
        <v>0</v>
      </c>
      <c r="R270" s="13" t="str">
        <f ca="1">IF(TODAY() - DCPXX[INV DUE DATE]&lt;30, "Less than 30 days",IF(TODAY()-DCPXX[INV DUE DATE]&lt;60,"30-60 days","More than 60 days"))</f>
        <v>Less than 30 days</v>
      </c>
      <c r="S270" s="6" t="s">
        <v>817</v>
      </c>
      <c r="T270" s="44" t="s">
        <v>2229</v>
      </c>
      <c r="U270" s="13" t="s">
        <v>3699</v>
      </c>
    </row>
    <row r="271" spans="1:21" x14ac:dyDescent="0.3">
      <c r="A271" s="6" t="s">
        <v>2672</v>
      </c>
      <c r="B271" s="6" t="s">
        <v>30</v>
      </c>
      <c r="C271" s="6" t="s">
        <v>111</v>
      </c>
      <c r="D271" s="8">
        <v>4301</v>
      </c>
      <c r="E271" s="9">
        <v>420</v>
      </c>
      <c r="H271" s="6">
        <v>194760</v>
      </c>
      <c r="I271" s="10" t="s">
        <v>293</v>
      </c>
      <c r="J271" s="6" t="s">
        <v>160</v>
      </c>
      <c r="K271" s="6" t="s">
        <v>2673</v>
      </c>
      <c r="L271" s="11">
        <v>43252</v>
      </c>
      <c r="M271" s="11">
        <f>DCPXX[[#This Row],[INV DOC DATE]]+30</f>
        <v>43282</v>
      </c>
      <c r="N271" s="11">
        <v>43250</v>
      </c>
      <c r="O271" s="13">
        <v>420</v>
      </c>
      <c r="P271" s="11">
        <v>43284</v>
      </c>
      <c r="Q271" s="13">
        <f t="shared" si="4"/>
        <v>0</v>
      </c>
      <c r="R271" s="13" t="str">
        <f ca="1">IF(TODAY() - DCPXX[INV DUE DATE]&lt;30, "Less than 30 days",IF(TODAY()-DCPXX[INV DUE DATE]&lt;60,"30-60 days","More than 60 days"))</f>
        <v>Less than 30 days</v>
      </c>
      <c r="S271" s="6" t="s">
        <v>817</v>
      </c>
      <c r="T271" s="44" t="s">
        <v>2229</v>
      </c>
      <c r="U271" s="13" t="s">
        <v>3699</v>
      </c>
    </row>
    <row r="272" spans="1:21" x14ac:dyDescent="0.3">
      <c r="A272" s="6" t="s">
        <v>2672</v>
      </c>
      <c r="B272" s="6" t="s">
        <v>30</v>
      </c>
      <c r="C272" s="6" t="s">
        <v>112</v>
      </c>
      <c r="D272" s="8">
        <v>4301</v>
      </c>
      <c r="E272" s="9">
        <v>420</v>
      </c>
      <c r="H272" s="6">
        <v>194760</v>
      </c>
      <c r="I272" s="10" t="s">
        <v>293</v>
      </c>
      <c r="J272" s="6" t="s">
        <v>161</v>
      </c>
      <c r="K272" s="6" t="s">
        <v>2673</v>
      </c>
      <c r="L272" s="11">
        <v>43252</v>
      </c>
      <c r="M272" s="11">
        <f>DCPXX[[#This Row],[INV DOC DATE]]+30</f>
        <v>43282</v>
      </c>
      <c r="N272" s="11">
        <v>43250</v>
      </c>
      <c r="O272" s="13">
        <v>420</v>
      </c>
      <c r="P272" s="11">
        <v>43284</v>
      </c>
      <c r="Q272" s="13">
        <f t="shared" si="4"/>
        <v>0</v>
      </c>
      <c r="R272" s="13" t="str">
        <f ca="1">IF(TODAY() - DCPXX[INV DUE DATE]&lt;30, "Less than 30 days",IF(TODAY()-DCPXX[INV DUE DATE]&lt;60,"30-60 days","More than 60 days"))</f>
        <v>Less than 30 days</v>
      </c>
      <c r="S272" s="6" t="s">
        <v>817</v>
      </c>
      <c r="T272" s="44" t="s">
        <v>2229</v>
      </c>
      <c r="U272" s="13" t="s">
        <v>3699</v>
      </c>
    </row>
    <row r="273" spans="1:21" x14ac:dyDescent="0.3">
      <c r="A273" s="6" t="s">
        <v>2672</v>
      </c>
      <c r="B273" s="6" t="s">
        <v>30</v>
      </c>
      <c r="C273" s="6" t="s">
        <v>113</v>
      </c>
      <c r="D273" s="8">
        <v>4301</v>
      </c>
      <c r="E273" s="9">
        <v>420</v>
      </c>
      <c r="H273" s="6">
        <v>194760</v>
      </c>
      <c r="I273" s="10" t="s">
        <v>293</v>
      </c>
      <c r="J273" s="6" t="s">
        <v>162</v>
      </c>
      <c r="K273" s="6" t="s">
        <v>2673</v>
      </c>
      <c r="L273" s="11">
        <v>43252</v>
      </c>
      <c r="M273" s="11">
        <f>DCPXX[[#This Row],[INV DOC DATE]]+30</f>
        <v>43282</v>
      </c>
      <c r="N273" s="11">
        <v>43250</v>
      </c>
      <c r="O273" s="13">
        <v>420</v>
      </c>
      <c r="P273" s="11">
        <v>43284</v>
      </c>
      <c r="Q273" s="13">
        <f t="shared" si="4"/>
        <v>0</v>
      </c>
      <c r="R273" s="13" t="str">
        <f ca="1">IF(TODAY() - DCPXX[INV DUE DATE]&lt;30, "Less than 30 days",IF(TODAY()-DCPXX[INV DUE DATE]&lt;60,"30-60 days","More than 60 days"))</f>
        <v>Less than 30 days</v>
      </c>
      <c r="S273" s="6" t="s">
        <v>817</v>
      </c>
      <c r="T273" s="44" t="s">
        <v>2229</v>
      </c>
      <c r="U273" s="13" t="s">
        <v>3699</v>
      </c>
    </row>
    <row r="274" spans="1:21" x14ac:dyDescent="0.3">
      <c r="A274" s="6" t="s">
        <v>2672</v>
      </c>
      <c r="B274" s="6" t="s">
        <v>30</v>
      </c>
      <c r="C274" s="6" t="s">
        <v>114</v>
      </c>
      <c r="D274" s="8">
        <v>4301</v>
      </c>
      <c r="E274" s="9">
        <v>225</v>
      </c>
      <c r="H274" s="6">
        <v>194760</v>
      </c>
      <c r="I274" s="10" t="s">
        <v>293</v>
      </c>
      <c r="J274" s="6" t="s">
        <v>163</v>
      </c>
      <c r="K274" s="6" t="s">
        <v>2673</v>
      </c>
      <c r="L274" s="11">
        <v>43252</v>
      </c>
      <c r="M274" s="11">
        <f>DCPXX[[#This Row],[INV DOC DATE]]+30</f>
        <v>43282</v>
      </c>
      <c r="N274" s="11">
        <v>43250</v>
      </c>
      <c r="O274" s="13">
        <v>225</v>
      </c>
      <c r="P274" s="11">
        <v>43284</v>
      </c>
      <c r="Q274" s="13">
        <f t="shared" si="4"/>
        <v>0</v>
      </c>
      <c r="R274" s="13" t="str">
        <f ca="1">IF(TODAY() - DCPXX[INV DUE DATE]&lt;30, "Less than 30 days",IF(TODAY()-DCPXX[INV DUE DATE]&lt;60,"30-60 days","More than 60 days"))</f>
        <v>Less than 30 days</v>
      </c>
      <c r="S274" s="6" t="s">
        <v>817</v>
      </c>
      <c r="T274" s="44" t="s">
        <v>2229</v>
      </c>
      <c r="U274" s="13" t="s">
        <v>3699</v>
      </c>
    </row>
    <row r="275" spans="1:21" x14ac:dyDescent="0.3">
      <c r="A275" s="6" t="s">
        <v>2672</v>
      </c>
      <c r="B275" s="6" t="s">
        <v>30</v>
      </c>
      <c r="C275" s="6" t="s">
        <v>115</v>
      </c>
      <c r="D275" s="8">
        <v>4301</v>
      </c>
      <c r="E275" s="9">
        <v>225</v>
      </c>
      <c r="H275" s="6">
        <v>194760</v>
      </c>
      <c r="I275" s="10" t="s">
        <v>293</v>
      </c>
      <c r="J275" s="6" t="s">
        <v>164</v>
      </c>
      <c r="K275" s="6" t="s">
        <v>2673</v>
      </c>
      <c r="L275" s="11">
        <v>43252</v>
      </c>
      <c r="M275" s="11">
        <f>DCPXX[[#This Row],[INV DOC DATE]]+30</f>
        <v>43282</v>
      </c>
      <c r="N275" s="11">
        <v>43250</v>
      </c>
      <c r="O275" s="13">
        <v>225</v>
      </c>
      <c r="P275" s="11">
        <v>43284</v>
      </c>
      <c r="Q275" s="13">
        <f t="shared" si="4"/>
        <v>0</v>
      </c>
      <c r="R275" s="13" t="str">
        <f ca="1">IF(TODAY() - DCPXX[INV DUE DATE]&lt;30, "Less than 30 days",IF(TODAY()-DCPXX[INV DUE DATE]&lt;60,"30-60 days","More than 60 days"))</f>
        <v>Less than 30 days</v>
      </c>
      <c r="S275" s="6" t="s">
        <v>817</v>
      </c>
      <c r="T275" s="44" t="s">
        <v>2229</v>
      </c>
      <c r="U275" s="13" t="s">
        <v>3699</v>
      </c>
    </row>
    <row r="276" spans="1:21" x14ac:dyDescent="0.3">
      <c r="A276" s="6" t="s">
        <v>2672</v>
      </c>
      <c r="B276" s="6" t="s">
        <v>30</v>
      </c>
      <c r="C276" s="6" t="s">
        <v>116</v>
      </c>
      <c r="D276" s="8">
        <v>4301</v>
      </c>
      <c r="E276" s="9">
        <v>225</v>
      </c>
      <c r="H276" s="6">
        <v>194760</v>
      </c>
      <c r="I276" s="10" t="s">
        <v>293</v>
      </c>
      <c r="J276" s="6" t="s">
        <v>165</v>
      </c>
      <c r="K276" s="6" t="s">
        <v>2673</v>
      </c>
      <c r="L276" s="11">
        <v>43252</v>
      </c>
      <c r="M276" s="11">
        <f>DCPXX[[#This Row],[INV DOC DATE]]+30</f>
        <v>43282</v>
      </c>
      <c r="N276" s="11">
        <v>43250</v>
      </c>
      <c r="O276" s="13">
        <v>225</v>
      </c>
      <c r="P276" s="11">
        <v>43284</v>
      </c>
      <c r="Q276" s="13">
        <f t="shared" si="4"/>
        <v>0</v>
      </c>
      <c r="R276" s="13" t="str">
        <f ca="1">IF(TODAY() - DCPXX[INV DUE DATE]&lt;30, "Less than 30 days",IF(TODAY()-DCPXX[INV DUE DATE]&lt;60,"30-60 days","More than 60 days"))</f>
        <v>Less than 30 days</v>
      </c>
      <c r="S276" s="6" t="s">
        <v>817</v>
      </c>
      <c r="T276" s="44" t="s">
        <v>2229</v>
      </c>
      <c r="U276" s="13" t="s">
        <v>3699</v>
      </c>
    </row>
    <row r="277" spans="1:21" x14ac:dyDescent="0.3">
      <c r="A277" s="6" t="s">
        <v>2672</v>
      </c>
      <c r="B277" s="6" t="s">
        <v>30</v>
      </c>
      <c r="C277" s="6" t="s">
        <v>117</v>
      </c>
      <c r="D277" s="8">
        <v>4301</v>
      </c>
      <c r="E277" s="9">
        <v>420</v>
      </c>
      <c r="H277" s="6">
        <v>194760</v>
      </c>
      <c r="I277" s="10" t="s">
        <v>293</v>
      </c>
      <c r="J277" s="6" t="s">
        <v>166</v>
      </c>
      <c r="K277" s="6" t="s">
        <v>2673</v>
      </c>
      <c r="L277" s="11">
        <v>43252</v>
      </c>
      <c r="M277" s="11">
        <f>DCPXX[[#This Row],[INV DOC DATE]]+30</f>
        <v>43282</v>
      </c>
      <c r="N277" s="11">
        <v>43250</v>
      </c>
      <c r="O277" s="13">
        <v>420</v>
      </c>
      <c r="P277" s="11">
        <v>43284</v>
      </c>
      <c r="Q277" s="13">
        <f t="shared" si="4"/>
        <v>0</v>
      </c>
      <c r="R277" s="13" t="str">
        <f ca="1">IF(TODAY() - DCPXX[INV DUE DATE]&lt;30, "Less than 30 days",IF(TODAY()-DCPXX[INV DUE DATE]&lt;60,"30-60 days","More than 60 days"))</f>
        <v>Less than 30 days</v>
      </c>
      <c r="S277" s="6" t="s">
        <v>817</v>
      </c>
      <c r="T277" s="44" t="s">
        <v>2229</v>
      </c>
      <c r="U277" s="13" t="s">
        <v>3699</v>
      </c>
    </row>
    <row r="278" spans="1:21" x14ac:dyDescent="0.3">
      <c r="A278" s="6" t="s">
        <v>2672</v>
      </c>
      <c r="B278" s="6" t="s">
        <v>30</v>
      </c>
      <c r="C278" s="6" t="s">
        <v>118</v>
      </c>
      <c r="D278" s="8">
        <v>4301</v>
      </c>
      <c r="E278" s="9">
        <v>420</v>
      </c>
      <c r="H278" s="6">
        <v>194760</v>
      </c>
      <c r="I278" s="10" t="s">
        <v>293</v>
      </c>
      <c r="J278" s="6" t="s">
        <v>167</v>
      </c>
      <c r="K278" s="6" t="s">
        <v>2673</v>
      </c>
      <c r="L278" s="11">
        <v>43252</v>
      </c>
      <c r="M278" s="11">
        <f>DCPXX[[#This Row],[INV DOC DATE]]+30</f>
        <v>43282</v>
      </c>
      <c r="N278" s="11">
        <v>43250</v>
      </c>
      <c r="O278" s="13">
        <v>420</v>
      </c>
      <c r="P278" s="11">
        <v>43284</v>
      </c>
      <c r="Q278" s="13">
        <f t="shared" si="4"/>
        <v>0</v>
      </c>
      <c r="R278" s="13" t="str">
        <f ca="1">IF(TODAY() - DCPXX[INV DUE DATE]&lt;30, "Less than 30 days",IF(TODAY()-DCPXX[INV DUE DATE]&lt;60,"30-60 days","More than 60 days"))</f>
        <v>Less than 30 days</v>
      </c>
      <c r="S278" s="6" t="s">
        <v>817</v>
      </c>
      <c r="T278" s="44" t="s">
        <v>2229</v>
      </c>
      <c r="U278" s="13" t="s">
        <v>3699</v>
      </c>
    </row>
    <row r="279" spans="1:21" x14ac:dyDescent="0.3">
      <c r="A279" s="6" t="s">
        <v>2672</v>
      </c>
      <c r="B279" s="6" t="s">
        <v>30</v>
      </c>
      <c r="C279" s="6" t="s">
        <v>119</v>
      </c>
      <c r="D279" s="8">
        <v>4301</v>
      </c>
      <c r="E279" s="9">
        <v>420</v>
      </c>
      <c r="H279" s="6">
        <v>194760</v>
      </c>
      <c r="I279" s="10" t="s">
        <v>293</v>
      </c>
      <c r="J279" s="6" t="s">
        <v>168</v>
      </c>
      <c r="K279" s="6" t="s">
        <v>2673</v>
      </c>
      <c r="L279" s="11">
        <v>43252</v>
      </c>
      <c r="M279" s="11">
        <f>DCPXX[[#This Row],[INV DOC DATE]]+30</f>
        <v>43282</v>
      </c>
      <c r="N279" s="11">
        <v>43250</v>
      </c>
      <c r="O279" s="13">
        <v>420</v>
      </c>
      <c r="P279" s="11">
        <v>43284</v>
      </c>
      <c r="Q279" s="13">
        <f t="shared" si="4"/>
        <v>0</v>
      </c>
      <c r="R279" s="13" t="str">
        <f ca="1">IF(TODAY() - DCPXX[INV DUE DATE]&lt;30, "Less than 30 days",IF(TODAY()-DCPXX[INV DUE DATE]&lt;60,"30-60 days","More than 60 days"))</f>
        <v>Less than 30 days</v>
      </c>
      <c r="S279" s="6" t="s">
        <v>817</v>
      </c>
      <c r="T279" s="44" t="s">
        <v>2229</v>
      </c>
      <c r="U279" s="13" t="s">
        <v>3699</v>
      </c>
    </row>
    <row r="280" spans="1:21" x14ac:dyDescent="0.3">
      <c r="A280" s="6" t="s">
        <v>2672</v>
      </c>
      <c r="B280" s="6" t="s">
        <v>30</v>
      </c>
      <c r="C280" s="6" t="s">
        <v>120</v>
      </c>
      <c r="D280" s="8">
        <v>4301</v>
      </c>
      <c r="E280" s="9">
        <v>420</v>
      </c>
      <c r="H280" s="6">
        <v>194760</v>
      </c>
      <c r="I280" s="10" t="s">
        <v>293</v>
      </c>
      <c r="J280" s="6" t="s">
        <v>169</v>
      </c>
      <c r="K280" s="6" t="s">
        <v>2673</v>
      </c>
      <c r="L280" s="11">
        <v>43252</v>
      </c>
      <c r="M280" s="11">
        <f>DCPXX[[#This Row],[INV DOC DATE]]+30</f>
        <v>43282</v>
      </c>
      <c r="N280" s="11">
        <v>43250</v>
      </c>
      <c r="O280" s="13">
        <v>420</v>
      </c>
      <c r="P280" s="11">
        <v>43284</v>
      </c>
      <c r="Q280" s="13">
        <f t="shared" si="4"/>
        <v>0</v>
      </c>
      <c r="R280" s="13" t="str">
        <f ca="1">IF(TODAY() - DCPXX[INV DUE DATE]&lt;30, "Less than 30 days",IF(TODAY()-DCPXX[INV DUE DATE]&lt;60,"30-60 days","More than 60 days"))</f>
        <v>Less than 30 days</v>
      </c>
      <c r="S280" s="6" t="s">
        <v>817</v>
      </c>
      <c r="T280" s="44" t="s">
        <v>2229</v>
      </c>
      <c r="U280" s="13" t="s">
        <v>3699</v>
      </c>
    </row>
    <row r="281" spans="1:21" x14ac:dyDescent="0.3">
      <c r="A281" s="6" t="s">
        <v>2672</v>
      </c>
      <c r="B281" s="6" t="s">
        <v>30</v>
      </c>
      <c r="C281" s="6" t="s">
        <v>121</v>
      </c>
      <c r="D281" s="8">
        <v>4301</v>
      </c>
      <c r="E281" s="9">
        <v>420</v>
      </c>
      <c r="H281" s="6">
        <v>194760</v>
      </c>
      <c r="I281" s="10" t="s">
        <v>293</v>
      </c>
      <c r="J281" s="6" t="s">
        <v>170</v>
      </c>
      <c r="K281" s="6" t="s">
        <v>2673</v>
      </c>
      <c r="L281" s="11">
        <v>43252</v>
      </c>
      <c r="M281" s="11">
        <f>DCPXX[[#This Row],[INV DOC DATE]]+30</f>
        <v>43282</v>
      </c>
      <c r="N281" s="11">
        <v>43250</v>
      </c>
      <c r="O281" s="13">
        <v>420</v>
      </c>
      <c r="P281" s="11">
        <v>43284</v>
      </c>
      <c r="Q281" s="13">
        <f t="shared" si="4"/>
        <v>0</v>
      </c>
      <c r="R281" s="13" t="str">
        <f ca="1">IF(TODAY() - DCPXX[INV DUE DATE]&lt;30, "Less than 30 days",IF(TODAY()-DCPXX[INV DUE DATE]&lt;60,"30-60 days","More than 60 days"))</f>
        <v>Less than 30 days</v>
      </c>
      <c r="S281" s="6" t="s">
        <v>817</v>
      </c>
      <c r="T281" s="44" t="s">
        <v>2229</v>
      </c>
      <c r="U281" s="13" t="s">
        <v>3699</v>
      </c>
    </row>
    <row r="282" spans="1:21" x14ac:dyDescent="0.3">
      <c r="A282" s="6" t="s">
        <v>2672</v>
      </c>
      <c r="B282" s="6" t="s">
        <v>30</v>
      </c>
      <c r="C282" s="6" t="s">
        <v>122</v>
      </c>
      <c r="D282" s="8">
        <v>4301</v>
      </c>
      <c r="E282" s="9">
        <v>225</v>
      </c>
      <c r="H282" s="6">
        <v>194760</v>
      </c>
      <c r="I282" s="10" t="s">
        <v>293</v>
      </c>
      <c r="J282" s="6" t="s">
        <v>171</v>
      </c>
      <c r="K282" s="6" t="s">
        <v>2673</v>
      </c>
      <c r="L282" s="11">
        <v>43252</v>
      </c>
      <c r="M282" s="11">
        <f>DCPXX[[#This Row],[INV DOC DATE]]+30</f>
        <v>43282</v>
      </c>
      <c r="N282" s="11">
        <v>43250</v>
      </c>
      <c r="O282" s="13">
        <v>225</v>
      </c>
      <c r="P282" s="11">
        <v>43284</v>
      </c>
      <c r="Q282" s="13">
        <f t="shared" si="4"/>
        <v>0</v>
      </c>
      <c r="R282" s="13" t="str">
        <f ca="1">IF(TODAY() - DCPXX[INV DUE DATE]&lt;30, "Less than 30 days",IF(TODAY()-DCPXX[INV DUE DATE]&lt;60,"30-60 days","More than 60 days"))</f>
        <v>Less than 30 days</v>
      </c>
      <c r="S282" s="6" t="s">
        <v>817</v>
      </c>
      <c r="T282" s="44" t="s">
        <v>2229</v>
      </c>
      <c r="U282" s="13" t="s">
        <v>3699</v>
      </c>
    </row>
    <row r="283" spans="1:21" x14ac:dyDescent="0.3">
      <c r="A283" s="6" t="s">
        <v>2672</v>
      </c>
      <c r="B283" s="6" t="s">
        <v>30</v>
      </c>
      <c r="C283" s="6" t="s">
        <v>123</v>
      </c>
      <c r="D283" s="8">
        <v>4301</v>
      </c>
      <c r="E283" s="9">
        <v>225</v>
      </c>
      <c r="H283" s="6">
        <v>194760</v>
      </c>
      <c r="I283" s="10" t="s">
        <v>293</v>
      </c>
      <c r="J283" s="6" t="s">
        <v>172</v>
      </c>
      <c r="K283" s="6" t="s">
        <v>2673</v>
      </c>
      <c r="L283" s="11">
        <v>43252</v>
      </c>
      <c r="M283" s="11">
        <f>DCPXX[[#This Row],[INV DOC DATE]]+30</f>
        <v>43282</v>
      </c>
      <c r="N283" s="11">
        <v>43250</v>
      </c>
      <c r="O283" s="13">
        <v>225</v>
      </c>
      <c r="P283" s="11">
        <v>43284</v>
      </c>
      <c r="Q283" s="13">
        <f t="shared" si="4"/>
        <v>0</v>
      </c>
      <c r="R283" s="13" t="str">
        <f ca="1">IF(TODAY() - DCPXX[INV DUE DATE]&lt;30, "Less than 30 days",IF(TODAY()-DCPXX[INV DUE DATE]&lt;60,"30-60 days","More than 60 days"))</f>
        <v>Less than 30 days</v>
      </c>
      <c r="S283" s="6" t="s">
        <v>817</v>
      </c>
      <c r="T283" s="44" t="s">
        <v>2229</v>
      </c>
      <c r="U283" s="13" t="s">
        <v>3699</v>
      </c>
    </row>
    <row r="284" spans="1:21" x14ac:dyDescent="0.3">
      <c r="A284" s="6" t="s">
        <v>2672</v>
      </c>
      <c r="B284" s="6" t="s">
        <v>30</v>
      </c>
      <c r="C284" s="6" t="s">
        <v>124</v>
      </c>
      <c r="D284" s="8">
        <v>4301</v>
      </c>
      <c r="E284" s="9">
        <v>225</v>
      </c>
      <c r="H284" s="6">
        <v>194760</v>
      </c>
      <c r="I284" s="10" t="s">
        <v>293</v>
      </c>
      <c r="J284" s="6" t="s">
        <v>173</v>
      </c>
      <c r="K284" s="6" t="s">
        <v>2673</v>
      </c>
      <c r="L284" s="11">
        <v>43252</v>
      </c>
      <c r="M284" s="11">
        <f>DCPXX[[#This Row],[INV DOC DATE]]+30</f>
        <v>43282</v>
      </c>
      <c r="N284" s="11">
        <v>43250</v>
      </c>
      <c r="O284" s="13">
        <v>225</v>
      </c>
      <c r="P284" s="11">
        <v>43284</v>
      </c>
      <c r="Q284" s="13">
        <f t="shared" si="4"/>
        <v>0</v>
      </c>
      <c r="R284" s="13" t="str">
        <f ca="1">IF(TODAY() - DCPXX[INV DUE DATE]&lt;30, "Less than 30 days",IF(TODAY()-DCPXX[INV DUE DATE]&lt;60,"30-60 days","More than 60 days"))</f>
        <v>Less than 30 days</v>
      </c>
      <c r="S284" s="6" t="s">
        <v>817</v>
      </c>
      <c r="T284" s="44" t="s">
        <v>2229</v>
      </c>
      <c r="U284" s="13" t="s">
        <v>3699</v>
      </c>
    </row>
    <row r="285" spans="1:21" x14ac:dyDescent="0.3">
      <c r="A285" s="6" t="s">
        <v>2672</v>
      </c>
      <c r="B285" s="6" t="s">
        <v>30</v>
      </c>
      <c r="C285" s="6" t="s">
        <v>125</v>
      </c>
      <c r="D285" s="8">
        <v>4301</v>
      </c>
      <c r="E285" s="9">
        <v>225</v>
      </c>
      <c r="H285" s="6">
        <v>194760</v>
      </c>
      <c r="I285" s="10" t="s">
        <v>293</v>
      </c>
      <c r="J285" s="6" t="s">
        <v>174</v>
      </c>
      <c r="K285" s="6" t="s">
        <v>2673</v>
      </c>
      <c r="L285" s="11">
        <v>43252</v>
      </c>
      <c r="M285" s="11">
        <f>DCPXX[[#This Row],[INV DOC DATE]]+30</f>
        <v>43282</v>
      </c>
      <c r="N285" s="11">
        <v>43250</v>
      </c>
      <c r="O285" s="13">
        <v>225</v>
      </c>
      <c r="P285" s="11">
        <v>43284</v>
      </c>
      <c r="Q285" s="13">
        <f t="shared" si="4"/>
        <v>0</v>
      </c>
      <c r="R285" s="13" t="str">
        <f ca="1">IF(TODAY() - DCPXX[INV DUE DATE]&lt;30, "Less than 30 days",IF(TODAY()-DCPXX[INV DUE DATE]&lt;60,"30-60 days","More than 60 days"))</f>
        <v>Less than 30 days</v>
      </c>
      <c r="S285" s="6" t="s">
        <v>817</v>
      </c>
      <c r="T285" s="44" t="s">
        <v>2229</v>
      </c>
      <c r="U285" s="13" t="s">
        <v>3699</v>
      </c>
    </row>
    <row r="286" spans="1:21" x14ac:dyDescent="0.3">
      <c r="A286" s="6" t="s">
        <v>2672</v>
      </c>
      <c r="B286" s="6" t="s">
        <v>30</v>
      </c>
      <c r="C286" s="6" t="s">
        <v>126</v>
      </c>
      <c r="D286" s="8">
        <v>4301</v>
      </c>
      <c r="E286" s="9">
        <v>295.5</v>
      </c>
      <c r="H286" s="6">
        <v>194840</v>
      </c>
      <c r="I286" s="10" t="s">
        <v>293</v>
      </c>
      <c r="J286" s="6" t="s">
        <v>3693</v>
      </c>
      <c r="K286" s="6" t="s">
        <v>2673</v>
      </c>
      <c r="L286" s="11">
        <v>43252</v>
      </c>
      <c r="M286" s="11">
        <f>DCPXX[[#This Row],[INV DOC DATE]]+30</f>
        <v>43282</v>
      </c>
      <c r="N286" s="11">
        <v>43250</v>
      </c>
      <c r="O286" s="13">
        <v>295.5</v>
      </c>
      <c r="P286" s="11">
        <v>43284</v>
      </c>
      <c r="Q286" s="13">
        <f t="shared" si="4"/>
        <v>0</v>
      </c>
      <c r="R286" s="13" t="str">
        <f ca="1">IF(TODAY() - DCPXX[INV DUE DATE]&lt;30, "Less than 30 days",IF(TODAY()-DCPXX[INV DUE DATE]&lt;60,"30-60 days","More than 60 days"))</f>
        <v>Less than 30 days</v>
      </c>
      <c r="S286" s="6" t="s">
        <v>817</v>
      </c>
      <c r="T286" s="44" t="s">
        <v>2229</v>
      </c>
      <c r="U286" s="13" t="s">
        <v>3699</v>
      </c>
    </row>
    <row r="287" spans="1:21" x14ac:dyDescent="0.3">
      <c r="A287" s="6" t="s">
        <v>2672</v>
      </c>
      <c r="B287" s="6" t="s">
        <v>30</v>
      </c>
      <c r="C287" s="6" t="s">
        <v>127</v>
      </c>
      <c r="D287" s="8">
        <v>4301</v>
      </c>
      <c r="E287" s="9">
        <v>295.5</v>
      </c>
      <c r="H287" s="6">
        <v>194840</v>
      </c>
      <c r="I287" s="10" t="s">
        <v>293</v>
      </c>
      <c r="J287" s="6" t="s">
        <v>3694</v>
      </c>
      <c r="K287" s="6" t="s">
        <v>2673</v>
      </c>
      <c r="L287" s="11">
        <v>43252</v>
      </c>
      <c r="M287" s="11">
        <f>DCPXX[[#This Row],[INV DOC DATE]]+30</f>
        <v>43282</v>
      </c>
      <c r="N287" s="11">
        <v>43250</v>
      </c>
      <c r="O287" s="13">
        <v>295.5</v>
      </c>
      <c r="P287" s="11">
        <v>43284</v>
      </c>
      <c r="Q287" s="13">
        <f t="shared" si="4"/>
        <v>0</v>
      </c>
      <c r="R287" s="13" t="str">
        <f ca="1">IF(TODAY() - DCPXX[INV DUE DATE]&lt;30, "Less than 30 days",IF(TODAY()-DCPXX[INV DUE DATE]&lt;60,"30-60 days","More than 60 days"))</f>
        <v>Less than 30 days</v>
      </c>
      <c r="S287" s="6" t="s">
        <v>817</v>
      </c>
      <c r="T287" s="44" t="s">
        <v>2229</v>
      </c>
      <c r="U287" s="13" t="s">
        <v>3699</v>
      </c>
    </row>
    <row r="288" spans="1:21" x14ac:dyDescent="0.3">
      <c r="A288" s="6" t="s">
        <v>2672</v>
      </c>
      <c r="B288" s="6" t="s">
        <v>30</v>
      </c>
      <c r="C288" s="6" t="s">
        <v>128</v>
      </c>
      <c r="D288" s="8">
        <v>4301</v>
      </c>
      <c r="E288" s="9">
        <v>295.5</v>
      </c>
      <c r="H288" s="6">
        <v>194840</v>
      </c>
      <c r="I288" s="10" t="s">
        <v>293</v>
      </c>
      <c r="J288" s="6" t="s">
        <v>3695</v>
      </c>
      <c r="K288" s="6" t="s">
        <v>2673</v>
      </c>
      <c r="L288" s="11">
        <v>43252</v>
      </c>
      <c r="M288" s="11">
        <f>DCPXX[[#This Row],[INV DOC DATE]]+30</f>
        <v>43282</v>
      </c>
      <c r="N288" s="11">
        <v>43250</v>
      </c>
      <c r="O288" s="13">
        <v>295.5</v>
      </c>
      <c r="P288" s="11">
        <v>43284</v>
      </c>
      <c r="Q288" s="13">
        <f t="shared" si="4"/>
        <v>0</v>
      </c>
      <c r="R288" s="13" t="str">
        <f ca="1">IF(TODAY() - DCPXX[INV DUE DATE]&lt;30, "Less than 30 days",IF(TODAY()-DCPXX[INV DUE DATE]&lt;60,"30-60 days","More than 60 days"))</f>
        <v>Less than 30 days</v>
      </c>
      <c r="S288" s="6" t="s">
        <v>817</v>
      </c>
      <c r="T288" s="44" t="s">
        <v>2229</v>
      </c>
      <c r="U288" s="13" t="s">
        <v>3699</v>
      </c>
    </row>
    <row r="289" spans="1:21" x14ac:dyDescent="0.3">
      <c r="A289" s="6" t="s">
        <v>2672</v>
      </c>
      <c r="B289" s="6" t="s">
        <v>30</v>
      </c>
      <c r="C289" s="6" t="s">
        <v>129</v>
      </c>
      <c r="D289" s="8">
        <v>4301</v>
      </c>
      <c r="E289" s="9">
        <v>295.5</v>
      </c>
      <c r="H289" s="6">
        <v>194840</v>
      </c>
      <c r="I289" s="10" t="s">
        <v>293</v>
      </c>
      <c r="J289" s="6" t="s">
        <v>3696</v>
      </c>
      <c r="K289" s="6" t="s">
        <v>2673</v>
      </c>
      <c r="L289" s="11">
        <v>43252</v>
      </c>
      <c r="M289" s="11">
        <f>DCPXX[[#This Row],[INV DOC DATE]]+30</f>
        <v>43282</v>
      </c>
      <c r="N289" s="11">
        <v>43250</v>
      </c>
      <c r="O289" s="13">
        <v>295.5</v>
      </c>
      <c r="P289" s="11">
        <v>43284</v>
      </c>
      <c r="Q289" s="13">
        <f t="shared" si="4"/>
        <v>0</v>
      </c>
      <c r="R289" s="13" t="str">
        <f ca="1">IF(TODAY() - DCPXX[INV DUE DATE]&lt;30, "Less than 30 days",IF(TODAY()-DCPXX[INV DUE DATE]&lt;60,"30-60 days","More than 60 days"))</f>
        <v>Less than 30 days</v>
      </c>
      <c r="S289" s="6" t="s">
        <v>817</v>
      </c>
      <c r="T289" s="44" t="s">
        <v>2229</v>
      </c>
      <c r="U289" s="13" t="s">
        <v>3699</v>
      </c>
    </row>
    <row r="290" spans="1:21" x14ac:dyDescent="0.3">
      <c r="A290" s="6" t="s">
        <v>2672</v>
      </c>
      <c r="B290" s="6" t="s">
        <v>30</v>
      </c>
      <c r="C290" s="6" t="s">
        <v>130</v>
      </c>
      <c r="D290" s="8">
        <v>4301</v>
      </c>
      <c r="E290" s="9">
        <v>295.5</v>
      </c>
      <c r="H290" s="6">
        <v>194840</v>
      </c>
      <c r="I290" s="10" t="s">
        <v>293</v>
      </c>
      <c r="J290" s="6" t="s">
        <v>3697</v>
      </c>
      <c r="K290" s="6" t="s">
        <v>2673</v>
      </c>
      <c r="L290" s="11">
        <v>43252</v>
      </c>
      <c r="M290" s="11">
        <f>DCPXX[[#This Row],[INV DOC DATE]]+30</f>
        <v>43282</v>
      </c>
      <c r="N290" s="11">
        <v>43250</v>
      </c>
      <c r="O290" s="13">
        <v>295.5</v>
      </c>
      <c r="P290" s="11">
        <v>43284</v>
      </c>
      <c r="Q290" s="13">
        <f t="shared" si="4"/>
        <v>0</v>
      </c>
      <c r="R290" s="13" t="str">
        <f ca="1">IF(TODAY() - DCPXX[INV DUE DATE]&lt;30, "Less than 30 days",IF(TODAY()-DCPXX[INV DUE DATE]&lt;60,"30-60 days","More than 60 days"))</f>
        <v>Less than 30 days</v>
      </c>
      <c r="S290" s="6" t="s">
        <v>817</v>
      </c>
      <c r="T290" s="44" t="s">
        <v>2229</v>
      </c>
      <c r="U290" s="13" t="s">
        <v>3699</v>
      </c>
    </row>
    <row r="291" spans="1:21" x14ac:dyDescent="0.3">
      <c r="A291" s="6" t="s">
        <v>2672</v>
      </c>
      <c r="B291" s="6" t="s">
        <v>30</v>
      </c>
      <c r="C291" s="6" t="s">
        <v>131</v>
      </c>
      <c r="D291" s="8">
        <v>4301</v>
      </c>
      <c r="E291" s="9">
        <v>295.5</v>
      </c>
      <c r="H291" s="6">
        <v>194840</v>
      </c>
      <c r="I291" s="10" t="s">
        <v>293</v>
      </c>
      <c r="J291" s="6" t="s">
        <v>3698</v>
      </c>
      <c r="K291" s="6" t="s">
        <v>2673</v>
      </c>
      <c r="L291" s="11">
        <v>43252</v>
      </c>
      <c r="M291" s="11">
        <f>DCPXX[[#This Row],[INV DOC DATE]]+30</f>
        <v>43282</v>
      </c>
      <c r="N291" s="11">
        <v>43250</v>
      </c>
      <c r="O291" s="13">
        <v>295.5</v>
      </c>
      <c r="P291" s="11">
        <v>43284</v>
      </c>
      <c r="Q291" s="13">
        <f t="shared" si="4"/>
        <v>0</v>
      </c>
      <c r="R291" s="13" t="str">
        <f ca="1">IF(TODAY() - DCPXX[INV DUE DATE]&lt;30, "Less than 30 days",IF(TODAY()-DCPXX[INV DUE DATE]&lt;60,"30-60 days","More than 60 days"))</f>
        <v>Less than 30 days</v>
      </c>
      <c r="S291" s="6" t="s">
        <v>817</v>
      </c>
      <c r="T291" s="44" t="s">
        <v>2229</v>
      </c>
      <c r="U291" s="13" t="s">
        <v>3699</v>
      </c>
    </row>
    <row r="292" spans="1:21" x14ac:dyDescent="0.3">
      <c r="A292" s="6" t="s">
        <v>2672</v>
      </c>
      <c r="B292" s="6" t="s">
        <v>30</v>
      </c>
      <c r="C292" s="6" t="s">
        <v>132</v>
      </c>
      <c r="D292" s="8">
        <v>4301</v>
      </c>
      <c r="E292" s="9">
        <v>172.5</v>
      </c>
      <c r="H292" s="6">
        <v>194841</v>
      </c>
      <c r="I292" s="10" t="s">
        <v>293</v>
      </c>
      <c r="J292" s="6" t="s">
        <v>183</v>
      </c>
      <c r="K292" s="6" t="s">
        <v>2673</v>
      </c>
      <c r="L292" s="11">
        <v>43252</v>
      </c>
      <c r="M292" s="11">
        <f>DCPXX[[#This Row],[INV DOC DATE]]+30</f>
        <v>43282</v>
      </c>
      <c r="N292" s="11">
        <v>43250</v>
      </c>
      <c r="O292" s="13">
        <v>172.5</v>
      </c>
      <c r="P292" s="11">
        <v>43284</v>
      </c>
      <c r="Q292" s="13">
        <f t="shared" si="4"/>
        <v>0</v>
      </c>
      <c r="R292" s="13" t="str">
        <f ca="1">IF(TODAY() - DCPXX[INV DUE DATE]&lt;30, "Less than 30 days",IF(TODAY()-DCPXX[INV DUE DATE]&lt;60,"30-60 days","More than 60 days"))</f>
        <v>Less than 30 days</v>
      </c>
      <c r="S292" s="6" t="s">
        <v>817</v>
      </c>
      <c r="T292" s="44" t="s">
        <v>2229</v>
      </c>
      <c r="U292" s="13" t="s">
        <v>3699</v>
      </c>
    </row>
    <row r="293" spans="1:21" x14ac:dyDescent="0.3">
      <c r="A293" s="6" t="s">
        <v>2672</v>
      </c>
      <c r="B293" s="6" t="s">
        <v>30</v>
      </c>
      <c r="C293" s="6" t="s">
        <v>133</v>
      </c>
      <c r="D293" s="8">
        <v>4301</v>
      </c>
      <c r="E293" s="9">
        <v>172.5</v>
      </c>
      <c r="H293" s="6">
        <v>194841</v>
      </c>
      <c r="I293" s="10" t="s">
        <v>293</v>
      </c>
      <c r="J293" s="6" t="s">
        <v>184</v>
      </c>
      <c r="K293" s="6" t="s">
        <v>2673</v>
      </c>
      <c r="L293" s="11">
        <v>43252</v>
      </c>
      <c r="M293" s="11">
        <f>DCPXX[[#This Row],[INV DOC DATE]]+30</f>
        <v>43282</v>
      </c>
      <c r="N293" s="11">
        <v>43250</v>
      </c>
      <c r="O293" s="13">
        <v>172.5</v>
      </c>
      <c r="P293" s="11">
        <v>43284</v>
      </c>
      <c r="Q293" s="13">
        <f t="shared" si="4"/>
        <v>0</v>
      </c>
      <c r="R293" s="13" t="str">
        <f ca="1">IF(TODAY() - DCPXX[INV DUE DATE]&lt;30, "Less than 30 days",IF(TODAY()-DCPXX[INV DUE DATE]&lt;60,"30-60 days","More than 60 days"))</f>
        <v>Less than 30 days</v>
      </c>
      <c r="S293" s="6" t="s">
        <v>817</v>
      </c>
      <c r="T293" s="44" t="s">
        <v>2229</v>
      </c>
      <c r="U293" s="13" t="s">
        <v>3699</v>
      </c>
    </row>
    <row r="294" spans="1:21" x14ac:dyDescent="0.3">
      <c r="A294" s="6" t="s">
        <v>2672</v>
      </c>
      <c r="B294" s="6" t="s">
        <v>30</v>
      </c>
      <c r="C294" s="6" t="s">
        <v>134</v>
      </c>
      <c r="D294" s="8">
        <v>4301</v>
      </c>
      <c r="E294" s="9">
        <v>172.5</v>
      </c>
      <c r="H294" s="6">
        <v>194841</v>
      </c>
      <c r="I294" s="10" t="s">
        <v>293</v>
      </c>
      <c r="J294" s="6" t="s">
        <v>185</v>
      </c>
      <c r="K294" s="6" t="s">
        <v>2673</v>
      </c>
      <c r="L294" s="11">
        <v>43252</v>
      </c>
      <c r="M294" s="11">
        <f>DCPXX[[#This Row],[INV DOC DATE]]+30</f>
        <v>43282</v>
      </c>
      <c r="N294" s="11">
        <v>43250</v>
      </c>
      <c r="O294" s="13">
        <v>172.5</v>
      </c>
      <c r="P294" s="11">
        <v>43284</v>
      </c>
      <c r="Q294" s="13">
        <f t="shared" si="4"/>
        <v>0</v>
      </c>
      <c r="R294" s="13" t="str">
        <f ca="1">IF(TODAY() - DCPXX[INV DUE DATE]&lt;30, "Less than 30 days",IF(TODAY()-DCPXX[INV DUE DATE]&lt;60,"30-60 days","More than 60 days"))</f>
        <v>Less than 30 days</v>
      </c>
      <c r="S294" s="6" t="s">
        <v>817</v>
      </c>
      <c r="T294" s="44" t="s">
        <v>2229</v>
      </c>
      <c r="U294" s="13" t="s">
        <v>3699</v>
      </c>
    </row>
    <row r="295" spans="1:21" x14ac:dyDescent="0.3">
      <c r="A295" s="6" t="s">
        <v>2672</v>
      </c>
      <c r="B295" s="6" t="s">
        <v>30</v>
      </c>
      <c r="C295" s="6" t="s">
        <v>135</v>
      </c>
      <c r="D295" s="8">
        <v>4301</v>
      </c>
      <c r="E295" s="9">
        <v>172.5</v>
      </c>
      <c r="H295" s="6">
        <v>194841</v>
      </c>
      <c r="I295" s="10" t="s">
        <v>293</v>
      </c>
      <c r="J295" s="6" t="s">
        <v>186</v>
      </c>
      <c r="K295" s="6" t="s">
        <v>2673</v>
      </c>
      <c r="L295" s="11">
        <v>43252</v>
      </c>
      <c r="M295" s="11">
        <f>DCPXX[[#This Row],[INV DOC DATE]]+30</f>
        <v>43282</v>
      </c>
      <c r="N295" s="11">
        <v>43250</v>
      </c>
      <c r="O295" s="13">
        <v>172.5</v>
      </c>
      <c r="P295" s="11">
        <v>43284</v>
      </c>
      <c r="Q295" s="13">
        <f t="shared" si="4"/>
        <v>0</v>
      </c>
      <c r="R295" s="13" t="str">
        <f ca="1">IF(TODAY() - DCPXX[INV DUE DATE]&lt;30, "Less than 30 days",IF(TODAY()-DCPXX[INV DUE DATE]&lt;60,"30-60 days","More than 60 days"))</f>
        <v>Less than 30 days</v>
      </c>
      <c r="S295" s="6" t="s">
        <v>817</v>
      </c>
      <c r="T295" s="44" t="s">
        <v>2229</v>
      </c>
      <c r="U295" s="13" t="s">
        <v>3699</v>
      </c>
    </row>
    <row r="296" spans="1:21" x14ac:dyDescent="0.3">
      <c r="A296" s="6" t="s">
        <v>2672</v>
      </c>
      <c r="B296" s="6" t="s">
        <v>30</v>
      </c>
      <c r="C296" s="6" t="s">
        <v>136</v>
      </c>
      <c r="D296" s="8">
        <v>4301</v>
      </c>
      <c r="E296" s="9">
        <v>172.5</v>
      </c>
      <c r="H296" s="6">
        <v>194841</v>
      </c>
      <c r="I296" s="10" t="s">
        <v>293</v>
      </c>
      <c r="J296" s="6" t="s">
        <v>187</v>
      </c>
      <c r="K296" s="6" t="s">
        <v>2673</v>
      </c>
      <c r="L296" s="11">
        <v>43252</v>
      </c>
      <c r="M296" s="11">
        <f>DCPXX[[#This Row],[INV DOC DATE]]+30</f>
        <v>43282</v>
      </c>
      <c r="N296" s="11">
        <v>43250</v>
      </c>
      <c r="O296" s="13">
        <v>172.5</v>
      </c>
      <c r="P296" s="11">
        <v>43284</v>
      </c>
      <c r="Q296" s="13">
        <f t="shared" si="4"/>
        <v>0</v>
      </c>
      <c r="R296" s="13" t="str">
        <f ca="1">IF(TODAY() - DCPXX[INV DUE DATE]&lt;30, "Less than 30 days",IF(TODAY()-DCPXX[INV DUE DATE]&lt;60,"30-60 days","More than 60 days"))</f>
        <v>Less than 30 days</v>
      </c>
      <c r="S296" s="6" t="s">
        <v>817</v>
      </c>
      <c r="T296" s="44" t="s">
        <v>2229</v>
      </c>
      <c r="U296" s="13" t="s">
        <v>3699</v>
      </c>
    </row>
    <row r="297" spans="1:21" x14ac:dyDescent="0.3">
      <c r="A297" s="6" t="s">
        <v>2672</v>
      </c>
      <c r="B297" s="6" t="s">
        <v>30</v>
      </c>
      <c r="C297" s="6" t="s">
        <v>137</v>
      </c>
      <c r="D297" s="8">
        <v>4301</v>
      </c>
      <c r="E297" s="9">
        <v>172.5</v>
      </c>
      <c r="H297" s="6">
        <v>194841</v>
      </c>
      <c r="I297" s="10" t="s">
        <v>293</v>
      </c>
      <c r="J297" s="6" t="s">
        <v>188</v>
      </c>
      <c r="K297" s="6" t="s">
        <v>2673</v>
      </c>
      <c r="L297" s="11">
        <v>43252</v>
      </c>
      <c r="M297" s="11">
        <f>DCPXX[[#This Row],[INV DOC DATE]]+30</f>
        <v>43282</v>
      </c>
      <c r="N297" s="11">
        <v>43250</v>
      </c>
      <c r="O297" s="13">
        <v>172.5</v>
      </c>
      <c r="P297" s="11">
        <v>43284</v>
      </c>
      <c r="Q297" s="13">
        <f t="shared" si="4"/>
        <v>0</v>
      </c>
      <c r="R297" s="13" t="str">
        <f ca="1">IF(TODAY() - DCPXX[INV DUE DATE]&lt;30, "Less than 30 days",IF(TODAY()-DCPXX[INV DUE DATE]&lt;60,"30-60 days","More than 60 days"))</f>
        <v>Less than 30 days</v>
      </c>
      <c r="S297" s="6" t="s">
        <v>817</v>
      </c>
      <c r="T297" s="44" t="s">
        <v>2229</v>
      </c>
      <c r="U297" s="13" t="s">
        <v>3699</v>
      </c>
    </row>
    <row r="298" spans="1:21" x14ac:dyDescent="0.3">
      <c r="A298" s="6" t="s">
        <v>2672</v>
      </c>
      <c r="B298" s="6" t="s">
        <v>30</v>
      </c>
      <c r="C298" s="6" t="s">
        <v>138</v>
      </c>
      <c r="D298" s="8">
        <v>4301</v>
      </c>
      <c r="E298" s="9">
        <v>172.5</v>
      </c>
      <c r="H298" s="6">
        <v>194841</v>
      </c>
      <c r="I298" s="10" t="s">
        <v>293</v>
      </c>
      <c r="J298" s="6" t="s">
        <v>189</v>
      </c>
      <c r="K298" s="6" t="s">
        <v>2673</v>
      </c>
      <c r="L298" s="11">
        <v>43252</v>
      </c>
      <c r="M298" s="11">
        <f>DCPXX[[#This Row],[INV DOC DATE]]+30</f>
        <v>43282</v>
      </c>
      <c r="N298" s="11">
        <v>43250</v>
      </c>
      <c r="O298" s="13">
        <v>172.5</v>
      </c>
      <c r="P298" s="11">
        <v>43284</v>
      </c>
      <c r="Q298" s="13">
        <f t="shared" si="4"/>
        <v>0</v>
      </c>
      <c r="R298" s="13" t="str">
        <f ca="1">IF(TODAY() - DCPXX[INV DUE DATE]&lt;30, "Less than 30 days",IF(TODAY()-DCPXX[INV DUE DATE]&lt;60,"30-60 days","More than 60 days"))</f>
        <v>Less than 30 days</v>
      </c>
      <c r="S298" s="6" t="s">
        <v>817</v>
      </c>
      <c r="T298" s="44" t="s">
        <v>2229</v>
      </c>
      <c r="U298" s="13" t="s">
        <v>3699</v>
      </c>
    </row>
    <row r="299" spans="1:21" x14ac:dyDescent="0.3">
      <c r="A299" s="6" t="s">
        <v>2672</v>
      </c>
      <c r="B299" s="6" t="s">
        <v>30</v>
      </c>
      <c r="C299" s="6" t="s">
        <v>139</v>
      </c>
      <c r="D299" s="8">
        <v>4301</v>
      </c>
      <c r="E299" s="9">
        <v>172.5</v>
      </c>
      <c r="H299" s="6">
        <v>194841</v>
      </c>
      <c r="I299" s="10" t="s">
        <v>293</v>
      </c>
      <c r="J299" s="6" t="s">
        <v>190</v>
      </c>
      <c r="K299" s="6" t="s">
        <v>2673</v>
      </c>
      <c r="L299" s="11">
        <v>43252</v>
      </c>
      <c r="M299" s="11">
        <f>DCPXX[[#This Row],[INV DOC DATE]]+30</f>
        <v>43282</v>
      </c>
      <c r="N299" s="11">
        <v>43250</v>
      </c>
      <c r="O299" s="13">
        <v>172.5</v>
      </c>
      <c r="P299" s="11">
        <v>43284</v>
      </c>
      <c r="Q299" s="13">
        <f t="shared" si="4"/>
        <v>0</v>
      </c>
      <c r="R299" s="13" t="str">
        <f ca="1">IF(TODAY() - DCPXX[INV DUE DATE]&lt;30, "Less than 30 days",IF(TODAY()-DCPXX[INV DUE DATE]&lt;60,"30-60 days","More than 60 days"))</f>
        <v>Less than 30 days</v>
      </c>
      <c r="S299" s="6" t="s">
        <v>817</v>
      </c>
      <c r="T299" s="44" t="s">
        <v>2229</v>
      </c>
      <c r="U299" s="13" t="s">
        <v>3699</v>
      </c>
    </row>
    <row r="300" spans="1:21" x14ac:dyDescent="0.3">
      <c r="A300" s="6" t="s">
        <v>2672</v>
      </c>
      <c r="B300" s="6" t="s">
        <v>30</v>
      </c>
      <c r="C300" s="6" t="s">
        <v>140</v>
      </c>
      <c r="D300" s="8">
        <v>4301</v>
      </c>
      <c r="E300" s="9">
        <v>172.5</v>
      </c>
      <c r="H300" s="6">
        <v>194841</v>
      </c>
      <c r="I300" s="10" t="s">
        <v>293</v>
      </c>
      <c r="J300" s="6" t="s">
        <v>191</v>
      </c>
      <c r="K300" s="6" t="s">
        <v>2673</v>
      </c>
      <c r="L300" s="11">
        <v>43252</v>
      </c>
      <c r="M300" s="11">
        <f>DCPXX[[#This Row],[INV DOC DATE]]+30</f>
        <v>43282</v>
      </c>
      <c r="N300" s="11">
        <v>43250</v>
      </c>
      <c r="O300" s="13">
        <v>172.5</v>
      </c>
      <c r="P300" s="11">
        <v>43284</v>
      </c>
      <c r="Q300" s="13">
        <f t="shared" si="4"/>
        <v>0</v>
      </c>
      <c r="R300" s="13" t="str">
        <f ca="1">IF(TODAY() - DCPXX[INV DUE DATE]&lt;30, "Less than 30 days",IF(TODAY()-DCPXX[INV DUE DATE]&lt;60,"30-60 days","More than 60 days"))</f>
        <v>Less than 30 days</v>
      </c>
      <c r="S300" s="6" t="s">
        <v>817</v>
      </c>
      <c r="T300" s="44" t="s">
        <v>2229</v>
      </c>
      <c r="U300" s="13" t="s">
        <v>3699</v>
      </c>
    </row>
    <row r="301" spans="1:21" x14ac:dyDescent="0.3">
      <c r="A301" s="6" t="s">
        <v>2672</v>
      </c>
      <c r="B301" s="6" t="s">
        <v>30</v>
      </c>
      <c r="C301" s="6" t="s">
        <v>141</v>
      </c>
      <c r="D301" s="8">
        <v>4301</v>
      </c>
      <c r="E301" s="9">
        <v>172.5</v>
      </c>
      <c r="H301" s="6">
        <v>194841</v>
      </c>
      <c r="I301" s="10" t="s">
        <v>293</v>
      </c>
      <c r="J301" s="6" t="s">
        <v>192</v>
      </c>
      <c r="K301" s="6" t="s">
        <v>2673</v>
      </c>
      <c r="L301" s="11">
        <v>43252</v>
      </c>
      <c r="M301" s="11">
        <f>DCPXX[[#This Row],[INV DOC DATE]]+30</f>
        <v>43282</v>
      </c>
      <c r="N301" s="11">
        <v>43250</v>
      </c>
      <c r="O301" s="13">
        <v>172.5</v>
      </c>
      <c r="P301" s="11">
        <v>43284</v>
      </c>
      <c r="Q301" s="13">
        <f t="shared" si="4"/>
        <v>0</v>
      </c>
      <c r="R301" s="13" t="str">
        <f ca="1">IF(TODAY() - DCPXX[INV DUE DATE]&lt;30, "Less than 30 days",IF(TODAY()-DCPXX[INV DUE DATE]&lt;60,"30-60 days","More than 60 days"))</f>
        <v>Less than 30 days</v>
      </c>
      <c r="S301" s="6" t="s">
        <v>817</v>
      </c>
      <c r="T301" s="44" t="s">
        <v>2229</v>
      </c>
      <c r="U301" s="13" t="s">
        <v>3699</v>
      </c>
    </row>
    <row r="302" spans="1:21" x14ac:dyDescent="0.3">
      <c r="A302" s="6" t="s">
        <v>2672</v>
      </c>
      <c r="B302" s="6" t="s">
        <v>30</v>
      </c>
      <c r="C302" s="6" t="s">
        <v>142</v>
      </c>
      <c r="D302" s="8">
        <v>4301</v>
      </c>
      <c r="E302" s="9">
        <v>172.5</v>
      </c>
      <c r="H302" s="6">
        <v>194841</v>
      </c>
      <c r="I302" s="10" t="s">
        <v>293</v>
      </c>
      <c r="J302" s="6" t="s">
        <v>193</v>
      </c>
      <c r="K302" s="6" t="s">
        <v>2673</v>
      </c>
      <c r="L302" s="11">
        <v>43252</v>
      </c>
      <c r="M302" s="11">
        <f>DCPXX[[#This Row],[INV DOC DATE]]+30</f>
        <v>43282</v>
      </c>
      <c r="N302" s="11">
        <v>43250</v>
      </c>
      <c r="O302" s="13">
        <v>172.5</v>
      </c>
      <c r="P302" s="11">
        <v>43284</v>
      </c>
      <c r="Q302" s="13">
        <f t="shared" si="4"/>
        <v>0</v>
      </c>
      <c r="R302" s="13" t="str">
        <f ca="1">IF(TODAY() - DCPXX[INV DUE DATE]&lt;30, "Less than 30 days",IF(TODAY()-DCPXX[INV DUE DATE]&lt;60,"30-60 days","More than 60 days"))</f>
        <v>Less than 30 days</v>
      </c>
      <c r="S302" s="6" t="s">
        <v>817</v>
      </c>
      <c r="T302" s="44" t="s">
        <v>2229</v>
      </c>
      <c r="U302" s="13" t="s">
        <v>3699</v>
      </c>
    </row>
    <row r="303" spans="1:21" x14ac:dyDescent="0.3">
      <c r="A303" s="6" t="s">
        <v>2672</v>
      </c>
      <c r="B303" s="6" t="s">
        <v>30</v>
      </c>
      <c r="C303" s="6" t="s">
        <v>143</v>
      </c>
      <c r="D303" s="8">
        <v>4301</v>
      </c>
      <c r="E303" s="9">
        <v>172.5</v>
      </c>
      <c r="H303" s="6">
        <v>194841</v>
      </c>
      <c r="I303" s="10" t="s">
        <v>293</v>
      </c>
      <c r="J303" s="6" t="s">
        <v>194</v>
      </c>
      <c r="K303" s="6" t="s">
        <v>2673</v>
      </c>
      <c r="L303" s="11">
        <v>43252</v>
      </c>
      <c r="M303" s="11">
        <f>DCPXX[[#This Row],[INV DOC DATE]]+30</f>
        <v>43282</v>
      </c>
      <c r="N303" s="11">
        <v>43250</v>
      </c>
      <c r="O303" s="13">
        <v>172.5</v>
      </c>
      <c r="P303" s="11">
        <v>43284</v>
      </c>
      <c r="Q303" s="13">
        <f t="shared" si="4"/>
        <v>0</v>
      </c>
      <c r="R303" s="13" t="str">
        <f ca="1">IF(TODAY() - DCPXX[INV DUE DATE]&lt;30, "Less than 30 days",IF(TODAY()-DCPXX[INV DUE DATE]&lt;60,"30-60 days","More than 60 days"))</f>
        <v>Less than 30 days</v>
      </c>
      <c r="S303" s="6" t="s">
        <v>817</v>
      </c>
      <c r="T303" s="44" t="s">
        <v>2229</v>
      </c>
      <c r="U303" s="13" t="s">
        <v>3699</v>
      </c>
    </row>
    <row r="304" spans="1:21" x14ac:dyDescent="0.3">
      <c r="A304" s="6" t="s">
        <v>2672</v>
      </c>
      <c r="B304" s="6" t="s">
        <v>30</v>
      </c>
      <c r="C304" s="6" t="s">
        <v>144</v>
      </c>
      <c r="D304" s="8">
        <v>4301</v>
      </c>
      <c r="E304" s="9">
        <v>172.5</v>
      </c>
      <c r="H304" s="6">
        <v>194841</v>
      </c>
      <c r="I304" s="10" t="s">
        <v>293</v>
      </c>
      <c r="J304" s="6" t="s">
        <v>195</v>
      </c>
      <c r="K304" s="6" t="s">
        <v>2673</v>
      </c>
      <c r="L304" s="11">
        <v>43252</v>
      </c>
      <c r="M304" s="11">
        <f>DCPXX[[#This Row],[INV DOC DATE]]+30</f>
        <v>43282</v>
      </c>
      <c r="N304" s="11">
        <v>43250</v>
      </c>
      <c r="O304" s="13">
        <v>172.5</v>
      </c>
      <c r="P304" s="11">
        <v>43284</v>
      </c>
      <c r="Q304" s="13">
        <f t="shared" si="4"/>
        <v>0</v>
      </c>
      <c r="R304" s="13" t="str">
        <f ca="1">IF(TODAY() - DCPXX[INV DUE DATE]&lt;30, "Less than 30 days",IF(TODAY()-DCPXX[INV DUE DATE]&lt;60,"30-60 days","More than 60 days"))</f>
        <v>Less than 30 days</v>
      </c>
      <c r="S304" s="6" t="s">
        <v>817</v>
      </c>
      <c r="T304" s="44" t="s">
        <v>2229</v>
      </c>
      <c r="U304" s="13" t="s">
        <v>3699</v>
      </c>
    </row>
    <row r="305" spans="1:21" x14ac:dyDescent="0.3">
      <c r="A305" s="6" t="s">
        <v>2672</v>
      </c>
      <c r="B305" s="6" t="s">
        <v>30</v>
      </c>
      <c r="C305" s="6" t="s">
        <v>145</v>
      </c>
      <c r="D305" s="8">
        <v>4301</v>
      </c>
      <c r="E305" s="9">
        <v>172.5</v>
      </c>
      <c r="H305" s="6">
        <v>194841</v>
      </c>
      <c r="I305" s="10" t="s">
        <v>293</v>
      </c>
      <c r="J305" s="6" t="s">
        <v>196</v>
      </c>
      <c r="K305" s="6" t="s">
        <v>2673</v>
      </c>
      <c r="L305" s="11">
        <v>43252</v>
      </c>
      <c r="M305" s="11">
        <f>DCPXX[[#This Row],[INV DOC DATE]]+30</f>
        <v>43282</v>
      </c>
      <c r="N305" s="11">
        <v>43250</v>
      </c>
      <c r="O305" s="13">
        <v>172.5</v>
      </c>
      <c r="P305" s="11">
        <v>43284</v>
      </c>
      <c r="Q305" s="13">
        <f t="shared" si="4"/>
        <v>0</v>
      </c>
      <c r="R305" s="13" t="str">
        <f ca="1">IF(TODAY() - DCPXX[INV DUE DATE]&lt;30, "Less than 30 days",IF(TODAY()-DCPXX[INV DUE DATE]&lt;60,"30-60 days","More than 60 days"))</f>
        <v>Less than 30 days</v>
      </c>
      <c r="S305" s="6" t="s">
        <v>817</v>
      </c>
      <c r="T305" s="44" t="s">
        <v>2229</v>
      </c>
      <c r="U305" s="13" t="s">
        <v>3699</v>
      </c>
    </row>
    <row r="306" spans="1:21" x14ac:dyDescent="0.3">
      <c r="A306" s="6" t="s">
        <v>2672</v>
      </c>
      <c r="B306" s="6" t="s">
        <v>30</v>
      </c>
      <c r="C306" s="6" t="s">
        <v>146</v>
      </c>
      <c r="D306" s="8">
        <v>4301</v>
      </c>
      <c r="E306" s="9">
        <v>172.5</v>
      </c>
      <c r="H306" s="6">
        <v>194841</v>
      </c>
      <c r="I306" s="10" t="s">
        <v>293</v>
      </c>
      <c r="J306" s="6" t="s">
        <v>215</v>
      </c>
      <c r="K306" s="6" t="s">
        <v>2673</v>
      </c>
      <c r="L306" s="11">
        <v>43252</v>
      </c>
      <c r="M306" s="11">
        <f>DCPXX[[#This Row],[INV DOC DATE]]+30</f>
        <v>43282</v>
      </c>
      <c r="N306" s="11">
        <v>43250</v>
      </c>
      <c r="O306" s="13">
        <v>172.5</v>
      </c>
      <c r="P306" s="11">
        <v>43284</v>
      </c>
      <c r="Q306" s="13">
        <f t="shared" si="4"/>
        <v>0</v>
      </c>
      <c r="R306" s="13" t="str">
        <f ca="1">IF(TODAY() - DCPXX[INV DUE DATE]&lt;30, "Less than 30 days",IF(TODAY()-DCPXX[INV DUE DATE]&lt;60,"30-60 days","More than 60 days"))</f>
        <v>Less than 30 days</v>
      </c>
      <c r="S306" s="6" t="s">
        <v>817</v>
      </c>
      <c r="T306" s="44" t="s">
        <v>2229</v>
      </c>
      <c r="U306" s="13" t="s">
        <v>3699</v>
      </c>
    </row>
    <row r="307" spans="1:21" x14ac:dyDescent="0.3">
      <c r="A307" s="6" t="s">
        <v>2672</v>
      </c>
      <c r="B307" s="6" t="s">
        <v>30</v>
      </c>
      <c r="C307" s="6" t="s">
        <v>147</v>
      </c>
      <c r="D307" s="8">
        <v>4301</v>
      </c>
      <c r="E307" s="9">
        <v>172.5</v>
      </c>
      <c r="H307" s="6">
        <v>194841</v>
      </c>
      <c r="I307" s="10" t="s">
        <v>293</v>
      </c>
      <c r="J307" s="6" t="s">
        <v>216</v>
      </c>
      <c r="K307" s="6" t="s">
        <v>2673</v>
      </c>
      <c r="L307" s="11">
        <v>43252</v>
      </c>
      <c r="M307" s="11">
        <f>DCPXX[[#This Row],[INV DOC DATE]]+30</f>
        <v>43282</v>
      </c>
      <c r="N307" s="11">
        <v>43250</v>
      </c>
      <c r="O307" s="13">
        <v>172.5</v>
      </c>
      <c r="P307" s="11">
        <v>43284</v>
      </c>
      <c r="Q307" s="13">
        <f t="shared" si="4"/>
        <v>0</v>
      </c>
      <c r="R307" s="13" t="str">
        <f ca="1">IF(TODAY() - DCPXX[INV DUE DATE]&lt;30, "Less than 30 days",IF(TODAY()-DCPXX[INV DUE DATE]&lt;60,"30-60 days","More than 60 days"))</f>
        <v>Less than 30 days</v>
      </c>
      <c r="S307" s="6" t="s">
        <v>817</v>
      </c>
      <c r="T307" s="44" t="s">
        <v>2229</v>
      </c>
      <c r="U307" s="13" t="s">
        <v>3699</v>
      </c>
    </row>
    <row r="308" spans="1:21" x14ac:dyDescent="0.3">
      <c r="A308" s="6" t="s">
        <v>2672</v>
      </c>
      <c r="B308" s="6" t="s">
        <v>30</v>
      </c>
      <c r="C308" s="6" t="s">
        <v>148</v>
      </c>
      <c r="D308" s="8">
        <v>4301</v>
      </c>
      <c r="E308" s="9">
        <v>172.5</v>
      </c>
      <c r="H308" s="6">
        <v>194841</v>
      </c>
      <c r="I308" s="10" t="s">
        <v>293</v>
      </c>
      <c r="J308" s="6" t="s">
        <v>217</v>
      </c>
      <c r="K308" s="6" t="s">
        <v>2673</v>
      </c>
      <c r="L308" s="11">
        <v>43252</v>
      </c>
      <c r="M308" s="11">
        <f>DCPXX[[#This Row],[INV DOC DATE]]+30</f>
        <v>43282</v>
      </c>
      <c r="N308" s="11">
        <v>43250</v>
      </c>
      <c r="O308" s="13">
        <v>172.5</v>
      </c>
      <c r="P308" s="11">
        <v>43284</v>
      </c>
      <c r="Q308" s="13">
        <f t="shared" si="4"/>
        <v>0</v>
      </c>
      <c r="R308" s="13" t="str">
        <f ca="1">IF(TODAY() - DCPXX[INV DUE DATE]&lt;30, "Less than 30 days",IF(TODAY()-DCPXX[INV DUE DATE]&lt;60,"30-60 days","More than 60 days"))</f>
        <v>Less than 30 days</v>
      </c>
      <c r="S308" s="6" t="s">
        <v>817</v>
      </c>
      <c r="T308" s="44" t="s">
        <v>2229</v>
      </c>
      <c r="U308" s="13" t="s">
        <v>3699</v>
      </c>
    </row>
    <row r="309" spans="1:21" x14ac:dyDescent="0.3">
      <c r="A309" s="6" t="s">
        <v>2672</v>
      </c>
      <c r="B309" s="6" t="s">
        <v>30</v>
      </c>
      <c r="C309" s="6" t="s">
        <v>149</v>
      </c>
      <c r="D309" s="8">
        <v>4301</v>
      </c>
      <c r="E309" s="9">
        <v>172.5</v>
      </c>
      <c r="H309" s="6">
        <v>194841</v>
      </c>
      <c r="I309" s="10" t="s">
        <v>293</v>
      </c>
      <c r="J309" s="6" t="s">
        <v>218</v>
      </c>
      <c r="K309" s="6" t="s">
        <v>2673</v>
      </c>
      <c r="L309" s="11">
        <v>43252</v>
      </c>
      <c r="M309" s="11">
        <f>DCPXX[[#This Row],[INV DOC DATE]]+30</f>
        <v>43282</v>
      </c>
      <c r="N309" s="11">
        <v>43250</v>
      </c>
      <c r="O309" s="13">
        <v>172.5</v>
      </c>
      <c r="P309" s="11">
        <v>43284</v>
      </c>
      <c r="Q309" s="13">
        <f t="shared" si="4"/>
        <v>0</v>
      </c>
      <c r="R309" s="13" t="str">
        <f ca="1">IF(TODAY() - DCPXX[INV DUE DATE]&lt;30, "Less than 30 days",IF(TODAY()-DCPXX[INV DUE DATE]&lt;60,"30-60 days","More than 60 days"))</f>
        <v>Less than 30 days</v>
      </c>
      <c r="S309" s="6" t="s">
        <v>817</v>
      </c>
      <c r="T309" s="44" t="s">
        <v>2229</v>
      </c>
      <c r="U309" s="13" t="s">
        <v>3699</v>
      </c>
    </row>
    <row r="310" spans="1:21" x14ac:dyDescent="0.3">
      <c r="A310" s="6" t="s">
        <v>2672</v>
      </c>
      <c r="B310" s="6" t="s">
        <v>30</v>
      </c>
      <c r="C310" s="6" t="s">
        <v>150</v>
      </c>
      <c r="D310" s="8">
        <v>4301</v>
      </c>
      <c r="E310" s="9">
        <v>172.5</v>
      </c>
      <c r="H310" s="6">
        <v>194841</v>
      </c>
      <c r="I310" s="10" t="s">
        <v>293</v>
      </c>
      <c r="J310" s="6" t="s">
        <v>219</v>
      </c>
      <c r="K310" s="6" t="s">
        <v>2673</v>
      </c>
      <c r="L310" s="11">
        <v>43252</v>
      </c>
      <c r="M310" s="11">
        <f>DCPXX[[#This Row],[INV DOC DATE]]+30</f>
        <v>43282</v>
      </c>
      <c r="N310" s="11">
        <v>43250</v>
      </c>
      <c r="O310" s="13">
        <v>172.5</v>
      </c>
      <c r="P310" s="11">
        <v>43284</v>
      </c>
      <c r="Q310" s="13">
        <f t="shared" si="4"/>
        <v>0</v>
      </c>
      <c r="R310" s="13" t="str">
        <f ca="1">IF(TODAY() - DCPXX[INV DUE DATE]&lt;30, "Less than 30 days",IF(TODAY()-DCPXX[INV DUE DATE]&lt;60,"30-60 days","More than 60 days"))</f>
        <v>Less than 30 days</v>
      </c>
      <c r="S310" s="6" t="s">
        <v>817</v>
      </c>
      <c r="T310" s="44" t="s">
        <v>2229</v>
      </c>
      <c r="U310" s="13" t="s">
        <v>3699</v>
      </c>
    </row>
    <row r="311" spans="1:21" x14ac:dyDescent="0.3">
      <c r="A311" s="6" t="s">
        <v>2672</v>
      </c>
      <c r="B311" s="6" t="s">
        <v>30</v>
      </c>
      <c r="C311" s="6" t="s">
        <v>151</v>
      </c>
      <c r="D311" s="8">
        <v>4301</v>
      </c>
      <c r="E311" s="9">
        <v>172.5</v>
      </c>
      <c r="H311" s="6">
        <v>194841</v>
      </c>
      <c r="I311" s="10" t="s">
        <v>293</v>
      </c>
      <c r="J311" s="6" t="s">
        <v>220</v>
      </c>
      <c r="K311" s="6" t="s">
        <v>2673</v>
      </c>
      <c r="L311" s="11">
        <v>43252</v>
      </c>
      <c r="M311" s="11">
        <f>DCPXX[[#This Row],[INV DOC DATE]]+30</f>
        <v>43282</v>
      </c>
      <c r="N311" s="11">
        <v>43250</v>
      </c>
      <c r="O311" s="13">
        <v>172.5</v>
      </c>
      <c r="P311" s="11">
        <v>43284</v>
      </c>
      <c r="Q311" s="13">
        <f t="shared" si="4"/>
        <v>0</v>
      </c>
      <c r="R311" s="13" t="str">
        <f ca="1">IF(TODAY() - DCPXX[INV DUE DATE]&lt;30, "Less than 30 days",IF(TODAY()-DCPXX[INV DUE DATE]&lt;60,"30-60 days","More than 60 days"))</f>
        <v>Less than 30 days</v>
      </c>
      <c r="S311" s="6" t="s">
        <v>817</v>
      </c>
      <c r="T311" s="44" t="s">
        <v>2229</v>
      </c>
      <c r="U311" s="13" t="s">
        <v>3699</v>
      </c>
    </row>
    <row r="312" spans="1:21" x14ac:dyDescent="0.3">
      <c r="A312" s="6" t="s">
        <v>2672</v>
      </c>
      <c r="B312" s="6" t="s">
        <v>30</v>
      </c>
      <c r="C312" s="6" t="s">
        <v>152</v>
      </c>
      <c r="D312" s="8">
        <v>4301</v>
      </c>
      <c r="E312" s="9">
        <v>225</v>
      </c>
      <c r="H312" s="6">
        <v>195163</v>
      </c>
      <c r="I312" s="10" t="s">
        <v>293</v>
      </c>
      <c r="J312" s="6" t="s">
        <v>221</v>
      </c>
      <c r="K312" s="6" t="s">
        <v>2673</v>
      </c>
      <c r="L312" s="11">
        <v>43252</v>
      </c>
      <c r="M312" s="11">
        <f>DCPXX[[#This Row],[INV DOC DATE]]+30</f>
        <v>43282</v>
      </c>
      <c r="N312" s="11">
        <v>43250</v>
      </c>
      <c r="O312" s="13">
        <v>225</v>
      </c>
      <c r="P312" s="11">
        <v>43284</v>
      </c>
      <c r="Q312" s="13">
        <f t="shared" si="4"/>
        <v>0</v>
      </c>
      <c r="R312" s="13" t="str">
        <f ca="1">IF(TODAY() - DCPXX[INV DUE DATE]&lt;30, "Less than 30 days",IF(TODAY()-DCPXX[INV DUE DATE]&lt;60,"30-60 days","More than 60 days"))</f>
        <v>Less than 30 days</v>
      </c>
      <c r="S312" s="6" t="s">
        <v>817</v>
      </c>
      <c r="T312" s="44" t="s">
        <v>2229</v>
      </c>
      <c r="U312" s="13" t="s">
        <v>3699</v>
      </c>
    </row>
    <row r="313" spans="1:21" x14ac:dyDescent="0.3">
      <c r="A313" s="6" t="s">
        <v>2672</v>
      </c>
      <c r="B313" s="6" t="s">
        <v>30</v>
      </c>
      <c r="C313" s="6" t="s">
        <v>296</v>
      </c>
      <c r="D313" s="8">
        <v>4301</v>
      </c>
      <c r="E313" s="9">
        <v>225</v>
      </c>
      <c r="H313" s="6">
        <v>195163</v>
      </c>
      <c r="I313" s="10" t="s">
        <v>293</v>
      </c>
      <c r="J313" s="6" t="s">
        <v>222</v>
      </c>
      <c r="K313" s="6" t="s">
        <v>2673</v>
      </c>
      <c r="L313" s="11">
        <v>43252</v>
      </c>
      <c r="M313" s="11">
        <f>DCPXX[[#This Row],[INV DOC DATE]]+30</f>
        <v>43282</v>
      </c>
      <c r="N313" s="11">
        <v>43250</v>
      </c>
      <c r="O313" s="13">
        <v>225</v>
      </c>
      <c r="P313" s="11">
        <v>43284</v>
      </c>
      <c r="Q313" s="13">
        <f t="shared" si="4"/>
        <v>0</v>
      </c>
      <c r="R313" s="13" t="str">
        <f ca="1">IF(TODAY() - DCPXX[INV DUE DATE]&lt;30, "Less than 30 days",IF(TODAY()-DCPXX[INV DUE DATE]&lt;60,"30-60 days","More than 60 days"))</f>
        <v>Less than 30 days</v>
      </c>
      <c r="S313" s="6" t="s">
        <v>817</v>
      </c>
      <c r="T313" s="44" t="s">
        <v>2229</v>
      </c>
      <c r="U313" s="13" t="s">
        <v>3699</v>
      </c>
    </row>
    <row r="314" spans="1:21" x14ac:dyDescent="0.3">
      <c r="A314" s="6" t="s">
        <v>2672</v>
      </c>
      <c r="B314" s="6" t="s">
        <v>30</v>
      </c>
      <c r="C314" s="6" t="s">
        <v>297</v>
      </c>
      <c r="D314" s="8">
        <v>4301</v>
      </c>
      <c r="E314" s="9">
        <v>225</v>
      </c>
      <c r="H314" s="6">
        <v>195163</v>
      </c>
      <c r="I314" s="10" t="s">
        <v>293</v>
      </c>
      <c r="J314" s="6" t="s">
        <v>223</v>
      </c>
      <c r="K314" s="6" t="s">
        <v>2673</v>
      </c>
      <c r="L314" s="11">
        <v>43252</v>
      </c>
      <c r="M314" s="11">
        <f>DCPXX[[#This Row],[INV DOC DATE]]+30</f>
        <v>43282</v>
      </c>
      <c r="N314" s="11">
        <v>43250</v>
      </c>
      <c r="O314" s="13">
        <v>225</v>
      </c>
      <c r="P314" s="11">
        <v>43284</v>
      </c>
      <c r="Q314" s="13">
        <f t="shared" si="4"/>
        <v>0</v>
      </c>
      <c r="R314" s="13" t="str">
        <f ca="1">IF(TODAY() - DCPXX[INV DUE DATE]&lt;30, "Less than 30 days",IF(TODAY()-DCPXX[INV DUE DATE]&lt;60,"30-60 days","More than 60 days"))</f>
        <v>Less than 30 days</v>
      </c>
      <c r="S314" s="6" t="s">
        <v>817</v>
      </c>
      <c r="T314" s="44" t="s">
        <v>2229</v>
      </c>
      <c r="U314" s="13" t="s">
        <v>3699</v>
      </c>
    </row>
    <row r="315" spans="1:21" x14ac:dyDescent="0.3">
      <c r="A315" s="6" t="s">
        <v>2672</v>
      </c>
      <c r="B315" s="6" t="s">
        <v>30</v>
      </c>
      <c r="C315" s="6" t="s">
        <v>298</v>
      </c>
      <c r="D315" s="8">
        <v>4301</v>
      </c>
      <c r="E315" s="9">
        <v>225</v>
      </c>
      <c r="H315" s="6">
        <v>195163</v>
      </c>
      <c r="I315" s="10" t="s">
        <v>293</v>
      </c>
      <c r="J315" s="6" t="s">
        <v>224</v>
      </c>
      <c r="K315" s="6" t="s">
        <v>2673</v>
      </c>
      <c r="L315" s="11">
        <v>43252</v>
      </c>
      <c r="M315" s="11">
        <f>DCPXX[[#This Row],[INV DOC DATE]]+30</f>
        <v>43282</v>
      </c>
      <c r="N315" s="11">
        <v>43250</v>
      </c>
      <c r="O315" s="13">
        <v>225</v>
      </c>
      <c r="P315" s="11">
        <v>43284</v>
      </c>
      <c r="Q315" s="13">
        <f t="shared" si="4"/>
        <v>0</v>
      </c>
      <c r="R315" s="13" t="str">
        <f ca="1">IF(TODAY() - DCPXX[INV DUE DATE]&lt;30, "Less than 30 days",IF(TODAY()-DCPXX[INV DUE DATE]&lt;60,"30-60 days","More than 60 days"))</f>
        <v>Less than 30 days</v>
      </c>
      <c r="S315" s="6" t="s">
        <v>817</v>
      </c>
      <c r="T315" s="44" t="s">
        <v>2229</v>
      </c>
      <c r="U315" s="13" t="s">
        <v>3699</v>
      </c>
    </row>
    <row r="316" spans="1:21" x14ac:dyDescent="0.3">
      <c r="A316" s="6" t="s">
        <v>2672</v>
      </c>
      <c r="B316" s="6" t="s">
        <v>30</v>
      </c>
      <c r="C316" s="6" t="s">
        <v>299</v>
      </c>
      <c r="D316" s="8">
        <v>4301</v>
      </c>
      <c r="E316" s="9">
        <v>225</v>
      </c>
      <c r="H316" s="6">
        <v>195163</v>
      </c>
      <c r="I316" s="10" t="s">
        <v>293</v>
      </c>
      <c r="J316" s="6" t="s">
        <v>225</v>
      </c>
      <c r="K316" s="6" t="s">
        <v>2673</v>
      </c>
      <c r="L316" s="11">
        <v>43252</v>
      </c>
      <c r="M316" s="11">
        <f>DCPXX[[#This Row],[INV DOC DATE]]+30</f>
        <v>43282</v>
      </c>
      <c r="N316" s="11">
        <v>43250</v>
      </c>
      <c r="O316" s="13">
        <v>225</v>
      </c>
      <c r="P316" s="11">
        <v>43284</v>
      </c>
      <c r="Q316" s="13">
        <f t="shared" si="4"/>
        <v>0</v>
      </c>
      <c r="R316" s="13" t="str">
        <f ca="1">IF(TODAY() - DCPXX[INV DUE DATE]&lt;30, "Less than 30 days",IF(TODAY()-DCPXX[INV DUE DATE]&lt;60,"30-60 days","More than 60 days"))</f>
        <v>Less than 30 days</v>
      </c>
      <c r="S316" s="6" t="s">
        <v>817</v>
      </c>
      <c r="T316" s="44" t="s">
        <v>2229</v>
      </c>
      <c r="U316" s="13" t="s">
        <v>3699</v>
      </c>
    </row>
    <row r="317" spans="1:21" x14ac:dyDescent="0.3">
      <c r="A317" s="6" t="s">
        <v>2672</v>
      </c>
      <c r="B317" s="6" t="s">
        <v>30</v>
      </c>
      <c r="C317" s="6" t="s">
        <v>300</v>
      </c>
      <c r="D317" s="8">
        <v>4301</v>
      </c>
      <c r="E317" s="9">
        <v>225</v>
      </c>
      <c r="H317" s="6">
        <v>195163</v>
      </c>
      <c r="I317" s="10" t="s">
        <v>293</v>
      </c>
      <c r="J317" s="6" t="s">
        <v>226</v>
      </c>
      <c r="K317" s="6" t="s">
        <v>2673</v>
      </c>
      <c r="L317" s="11">
        <v>43252</v>
      </c>
      <c r="M317" s="11">
        <f>DCPXX[[#This Row],[INV DOC DATE]]+30</f>
        <v>43282</v>
      </c>
      <c r="N317" s="11">
        <v>43250</v>
      </c>
      <c r="O317" s="13">
        <v>225</v>
      </c>
      <c r="P317" s="11">
        <v>43284</v>
      </c>
      <c r="Q317" s="13">
        <f t="shared" si="4"/>
        <v>0</v>
      </c>
      <c r="R317" s="13" t="str">
        <f ca="1">IF(TODAY() - DCPXX[INV DUE DATE]&lt;30, "Less than 30 days",IF(TODAY()-DCPXX[INV DUE DATE]&lt;60,"30-60 days","More than 60 days"))</f>
        <v>Less than 30 days</v>
      </c>
      <c r="S317" s="6" t="s">
        <v>817</v>
      </c>
      <c r="T317" s="44" t="s">
        <v>2229</v>
      </c>
      <c r="U317" s="13" t="s">
        <v>3699</v>
      </c>
    </row>
    <row r="318" spans="1:21" x14ac:dyDescent="0.3">
      <c r="A318" s="6" t="s">
        <v>3748</v>
      </c>
      <c r="D318" s="8"/>
      <c r="E318" s="9">
        <v>2700</v>
      </c>
      <c r="G318" s="6" t="s">
        <v>3751</v>
      </c>
      <c r="I318" s="10"/>
      <c r="J318" s="6" t="s">
        <v>2257</v>
      </c>
      <c r="K318" s="6" t="s">
        <v>3</v>
      </c>
      <c r="L318" s="11">
        <v>43252</v>
      </c>
      <c r="M318" s="11">
        <f>DCPXX[[#This Row],[INV DOC DATE]]+30</f>
        <v>43282</v>
      </c>
      <c r="N318" s="11">
        <v>43250</v>
      </c>
      <c r="O318" s="13">
        <v>2700</v>
      </c>
      <c r="P318" s="11">
        <v>43286</v>
      </c>
      <c r="Q318" s="13">
        <f t="shared" si="4"/>
        <v>0</v>
      </c>
      <c r="R318" s="13" t="str">
        <f ca="1">IF(TODAY() - DCPXX[INV DUE DATE]&lt;30, "Less than 30 days",IF(TODAY()-DCPXX[INV DUE DATE]&lt;60,"30-60 days","More than 60 days"))</f>
        <v>Less than 30 days</v>
      </c>
      <c r="S318" s="6" t="s">
        <v>817</v>
      </c>
      <c r="T318" s="44" t="s">
        <v>2229</v>
      </c>
      <c r="U318" s="13" t="s">
        <v>3699</v>
      </c>
    </row>
    <row r="319" spans="1:21" x14ac:dyDescent="0.3">
      <c r="A319" s="6" t="s">
        <v>3749</v>
      </c>
      <c r="B319" s="6" t="s">
        <v>3750</v>
      </c>
      <c r="D319" s="8"/>
      <c r="E319" s="9">
        <v>8400</v>
      </c>
      <c r="G319" s="6" t="s">
        <v>3752</v>
      </c>
      <c r="I319" s="10"/>
      <c r="J319" s="6" t="s">
        <v>2257</v>
      </c>
      <c r="K319" s="6" t="s">
        <v>3</v>
      </c>
      <c r="L319" s="11">
        <v>43252</v>
      </c>
      <c r="M319" s="11">
        <f>DCPXX[[#This Row],[INV DOC DATE]]+30</f>
        <v>43282</v>
      </c>
      <c r="N319" s="11">
        <v>43250</v>
      </c>
      <c r="Q319" s="13">
        <f t="shared" si="4"/>
        <v>8400</v>
      </c>
      <c r="R319" s="13" t="str">
        <f ca="1">IF(TODAY() - DCPXX[INV DUE DATE]&lt;30, "Less than 30 days",IF(TODAY()-DCPXX[INV DUE DATE]&lt;60,"30-60 days","More than 60 days"))</f>
        <v>Less than 30 days</v>
      </c>
      <c r="S319" s="6" t="s">
        <v>817</v>
      </c>
      <c r="U319" s="13" t="s">
        <v>3699</v>
      </c>
    </row>
    <row r="320" spans="1:21" x14ac:dyDescent="0.3">
      <c r="A320" s="6" t="s">
        <v>4126</v>
      </c>
      <c r="B320" s="6" t="s">
        <v>30</v>
      </c>
      <c r="C320" s="6" t="s">
        <v>6</v>
      </c>
      <c r="D320" s="8">
        <v>4301</v>
      </c>
      <c r="E320" s="9">
        <v>178.25</v>
      </c>
      <c r="H320" s="6">
        <v>194567</v>
      </c>
      <c r="I320" s="10" t="s">
        <v>293</v>
      </c>
      <c r="J320" s="6" t="s">
        <v>234</v>
      </c>
      <c r="K320" s="6" t="s">
        <v>2673</v>
      </c>
      <c r="L320" s="11">
        <v>43282</v>
      </c>
      <c r="M320" s="11">
        <f>DCPXX[[#This Row],[INV DOC DATE]]+30</f>
        <v>43312</v>
      </c>
      <c r="N320" s="11">
        <v>43279</v>
      </c>
      <c r="Q320" s="13">
        <f t="shared" ref="Q320:Q351" si="5">$E320-$O320</f>
        <v>178.25</v>
      </c>
      <c r="R320" s="13" t="str">
        <f ca="1">IF(TODAY() - DCPXX[INV DUE DATE]&lt;30, "Less than 30 days",IF(TODAY()-DCPXX[INV DUE DATE]&lt;60,"30-60 days","More than 60 days"))</f>
        <v>Less than 30 days</v>
      </c>
      <c r="S320" s="6" t="s">
        <v>817</v>
      </c>
      <c r="U320" s="13" t="s">
        <v>3699</v>
      </c>
    </row>
    <row r="321" spans="1:21" x14ac:dyDescent="0.3">
      <c r="A321" s="6" t="s">
        <v>4126</v>
      </c>
      <c r="B321" s="6" t="s">
        <v>30</v>
      </c>
      <c r="C321" s="6" t="s">
        <v>7</v>
      </c>
      <c r="D321" s="8">
        <v>4301</v>
      </c>
      <c r="E321" s="9">
        <v>178.25</v>
      </c>
      <c r="H321" s="6">
        <v>194567</v>
      </c>
      <c r="I321" s="10" t="s">
        <v>293</v>
      </c>
      <c r="J321" s="6" t="s">
        <v>235</v>
      </c>
      <c r="K321" s="6" t="s">
        <v>2673</v>
      </c>
      <c r="L321" s="11">
        <v>43282</v>
      </c>
      <c r="M321" s="11">
        <f>DCPXX[[#This Row],[INV DOC DATE]]+30</f>
        <v>43312</v>
      </c>
      <c r="N321" s="11">
        <v>43279</v>
      </c>
      <c r="Q321" s="13">
        <f t="shared" si="5"/>
        <v>178.25</v>
      </c>
      <c r="R321" s="13" t="str">
        <f ca="1">IF(TODAY() - DCPXX[INV DUE DATE]&lt;30, "Less than 30 days",IF(TODAY()-DCPXX[INV DUE DATE]&lt;60,"30-60 days","More than 60 days"))</f>
        <v>Less than 30 days</v>
      </c>
      <c r="S321" s="6" t="s">
        <v>817</v>
      </c>
      <c r="U321" s="13" t="s">
        <v>3699</v>
      </c>
    </row>
    <row r="322" spans="1:21" x14ac:dyDescent="0.3">
      <c r="A322" s="6" t="s">
        <v>4126</v>
      </c>
      <c r="B322" s="6" t="s">
        <v>30</v>
      </c>
      <c r="C322" s="6" t="s">
        <v>8</v>
      </c>
      <c r="D322" s="8">
        <v>4301</v>
      </c>
      <c r="E322" s="9">
        <v>434</v>
      </c>
      <c r="H322" s="6">
        <v>194567</v>
      </c>
      <c r="I322" s="10" t="s">
        <v>293</v>
      </c>
      <c r="J322" s="6" t="s">
        <v>238</v>
      </c>
      <c r="K322" s="6" t="s">
        <v>2673</v>
      </c>
      <c r="L322" s="11">
        <v>43282</v>
      </c>
      <c r="M322" s="11">
        <f>DCPXX[[#This Row],[INV DOC DATE]]+30</f>
        <v>43312</v>
      </c>
      <c r="N322" s="11">
        <v>43279</v>
      </c>
      <c r="Q322" s="13">
        <f t="shared" si="5"/>
        <v>434</v>
      </c>
      <c r="R322" s="13" t="str">
        <f ca="1">IF(TODAY() - DCPXX[INV DUE DATE]&lt;30, "Less than 30 days",IF(TODAY()-DCPXX[INV DUE DATE]&lt;60,"30-60 days","More than 60 days"))</f>
        <v>Less than 30 days</v>
      </c>
      <c r="S322" s="6" t="s">
        <v>817</v>
      </c>
      <c r="U322" s="13" t="s">
        <v>3699</v>
      </c>
    </row>
    <row r="323" spans="1:21" x14ac:dyDescent="0.3">
      <c r="A323" s="6" t="s">
        <v>4126</v>
      </c>
      <c r="B323" s="6" t="s">
        <v>30</v>
      </c>
      <c r="C323" s="6" t="s">
        <v>9</v>
      </c>
      <c r="D323" s="8">
        <v>4301</v>
      </c>
      <c r="E323" s="9">
        <v>434</v>
      </c>
      <c r="H323" s="6">
        <v>194567</v>
      </c>
      <c r="I323" s="10" t="s">
        <v>293</v>
      </c>
      <c r="J323" s="6" t="s">
        <v>239</v>
      </c>
      <c r="K323" s="6" t="s">
        <v>2673</v>
      </c>
      <c r="L323" s="11">
        <v>43282</v>
      </c>
      <c r="M323" s="11">
        <f>DCPXX[[#This Row],[INV DOC DATE]]+30</f>
        <v>43312</v>
      </c>
      <c r="N323" s="11">
        <v>43279</v>
      </c>
      <c r="Q323" s="13">
        <f t="shared" si="5"/>
        <v>434</v>
      </c>
      <c r="R323" s="13" t="str">
        <f ca="1">IF(TODAY() - DCPXX[INV DUE DATE]&lt;30, "Less than 30 days",IF(TODAY()-DCPXX[INV DUE DATE]&lt;60,"30-60 days","More than 60 days"))</f>
        <v>Less than 30 days</v>
      </c>
      <c r="S323" s="6" t="s">
        <v>817</v>
      </c>
      <c r="U323" s="13" t="s">
        <v>3699</v>
      </c>
    </row>
    <row r="324" spans="1:21" x14ac:dyDescent="0.3">
      <c r="A324" s="6" t="s">
        <v>4126</v>
      </c>
      <c r="B324" s="6" t="s">
        <v>30</v>
      </c>
      <c r="C324" s="6" t="s">
        <v>10</v>
      </c>
      <c r="D324" s="8">
        <v>4301</v>
      </c>
      <c r="E324" s="9">
        <v>434</v>
      </c>
      <c r="H324" s="6">
        <v>194567</v>
      </c>
      <c r="I324" s="10" t="s">
        <v>293</v>
      </c>
      <c r="J324" s="6" t="s">
        <v>240</v>
      </c>
      <c r="K324" s="6" t="s">
        <v>2673</v>
      </c>
      <c r="L324" s="11">
        <v>43282</v>
      </c>
      <c r="M324" s="11">
        <f>DCPXX[[#This Row],[INV DOC DATE]]+30</f>
        <v>43312</v>
      </c>
      <c r="N324" s="11">
        <v>43279</v>
      </c>
      <c r="Q324" s="13">
        <f t="shared" si="5"/>
        <v>434</v>
      </c>
      <c r="R324" s="13" t="str">
        <f ca="1">IF(TODAY() - DCPXX[INV DUE DATE]&lt;30, "Less than 30 days",IF(TODAY()-DCPXX[INV DUE DATE]&lt;60,"30-60 days","More than 60 days"))</f>
        <v>Less than 30 days</v>
      </c>
      <c r="S324" s="6" t="s">
        <v>817</v>
      </c>
      <c r="U324" s="13" t="s">
        <v>3699</v>
      </c>
    </row>
    <row r="325" spans="1:21" x14ac:dyDescent="0.3">
      <c r="A325" s="6" t="s">
        <v>4126</v>
      </c>
      <c r="B325" s="6" t="s">
        <v>30</v>
      </c>
      <c r="C325" s="6" t="s">
        <v>11</v>
      </c>
      <c r="D325" s="8">
        <v>4301</v>
      </c>
      <c r="E325" s="9">
        <v>434</v>
      </c>
      <c r="H325" s="6">
        <v>194567</v>
      </c>
      <c r="I325" s="10" t="s">
        <v>293</v>
      </c>
      <c r="J325" s="6" t="s">
        <v>241</v>
      </c>
      <c r="K325" s="6" t="s">
        <v>2673</v>
      </c>
      <c r="L325" s="11">
        <v>43282</v>
      </c>
      <c r="M325" s="11">
        <f>DCPXX[[#This Row],[INV DOC DATE]]+30</f>
        <v>43312</v>
      </c>
      <c r="N325" s="11">
        <v>43279</v>
      </c>
      <c r="Q325" s="13">
        <f t="shared" si="5"/>
        <v>434</v>
      </c>
      <c r="R325" s="13" t="str">
        <f ca="1">IF(TODAY() - DCPXX[INV DUE DATE]&lt;30, "Less than 30 days",IF(TODAY()-DCPXX[INV DUE DATE]&lt;60,"30-60 days","More than 60 days"))</f>
        <v>Less than 30 days</v>
      </c>
      <c r="S325" s="6" t="s">
        <v>817</v>
      </c>
      <c r="U325" s="13" t="s">
        <v>3699</v>
      </c>
    </row>
    <row r="326" spans="1:21" x14ac:dyDescent="0.3">
      <c r="A326" s="6" t="s">
        <v>4126</v>
      </c>
      <c r="B326" s="6" t="s">
        <v>30</v>
      </c>
      <c r="C326" s="6" t="s">
        <v>12</v>
      </c>
      <c r="D326" s="8">
        <v>4301</v>
      </c>
      <c r="E326" s="9">
        <v>434</v>
      </c>
      <c r="H326" s="6">
        <v>194567</v>
      </c>
      <c r="I326" s="10" t="s">
        <v>293</v>
      </c>
      <c r="J326" s="6" t="s">
        <v>242</v>
      </c>
      <c r="K326" s="6" t="s">
        <v>2673</v>
      </c>
      <c r="L326" s="11">
        <v>43282</v>
      </c>
      <c r="M326" s="11">
        <f>DCPXX[[#This Row],[INV DOC DATE]]+30</f>
        <v>43312</v>
      </c>
      <c r="N326" s="11">
        <v>43279</v>
      </c>
      <c r="Q326" s="13">
        <f t="shared" si="5"/>
        <v>434</v>
      </c>
      <c r="R326" s="13" t="str">
        <f ca="1">IF(TODAY() - DCPXX[INV DUE DATE]&lt;30, "Less than 30 days",IF(TODAY()-DCPXX[INV DUE DATE]&lt;60,"30-60 days","More than 60 days"))</f>
        <v>Less than 30 days</v>
      </c>
      <c r="S326" s="6" t="s">
        <v>817</v>
      </c>
      <c r="U326" s="13" t="s">
        <v>3699</v>
      </c>
    </row>
    <row r="327" spans="1:21" x14ac:dyDescent="0.3">
      <c r="A327" s="6" t="s">
        <v>4126</v>
      </c>
      <c r="B327" s="6" t="s">
        <v>30</v>
      </c>
      <c r="C327" s="6" t="s">
        <v>13</v>
      </c>
      <c r="D327" s="8">
        <v>4301</v>
      </c>
      <c r="E327" s="9">
        <v>434</v>
      </c>
      <c r="H327" s="6">
        <v>194567</v>
      </c>
      <c r="I327" s="10" t="s">
        <v>293</v>
      </c>
      <c r="J327" s="6" t="s">
        <v>243</v>
      </c>
      <c r="K327" s="6" t="s">
        <v>2673</v>
      </c>
      <c r="L327" s="11">
        <v>43282</v>
      </c>
      <c r="M327" s="11">
        <f>DCPXX[[#This Row],[INV DOC DATE]]+30</f>
        <v>43312</v>
      </c>
      <c r="N327" s="11">
        <v>43279</v>
      </c>
      <c r="Q327" s="13">
        <f t="shared" si="5"/>
        <v>434</v>
      </c>
      <c r="R327" s="13" t="str">
        <f ca="1">IF(TODAY() - DCPXX[INV DUE DATE]&lt;30, "Less than 30 days",IF(TODAY()-DCPXX[INV DUE DATE]&lt;60,"30-60 days","More than 60 days"))</f>
        <v>Less than 30 days</v>
      </c>
      <c r="S327" s="6" t="s">
        <v>817</v>
      </c>
      <c r="U327" s="13" t="s">
        <v>3699</v>
      </c>
    </row>
    <row r="328" spans="1:21" x14ac:dyDescent="0.3">
      <c r="A328" s="6" t="s">
        <v>4126</v>
      </c>
      <c r="B328" s="6" t="s">
        <v>30</v>
      </c>
      <c r="C328" s="6" t="s">
        <v>14</v>
      </c>
      <c r="D328" s="8">
        <v>4301</v>
      </c>
      <c r="E328" s="9">
        <v>434</v>
      </c>
      <c r="H328" s="6">
        <v>194567</v>
      </c>
      <c r="I328" s="10" t="s">
        <v>293</v>
      </c>
      <c r="J328" s="6" t="s">
        <v>244</v>
      </c>
      <c r="K328" s="6" t="s">
        <v>2673</v>
      </c>
      <c r="L328" s="11">
        <v>43282</v>
      </c>
      <c r="M328" s="11">
        <f>DCPXX[[#This Row],[INV DOC DATE]]+30</f>
        <v>43312</v>
      </c>
      <c r="N328" s="11">
        <v>43279</v>
      </c>
      <c r="Q328" s="13">
        <f t="shared" si="5"/>
        <v>434</v>
      </c>
      <c r="R328" s="13" t="str">
        <f ca="1">IF(TODAY() - DCPXX[INV DUE DATE]&lt;30, "Less than 30 days",IF(TODAY()-DCPXX[INV DUE DATE]&lt;60,"30-60 days","More than 60 days"))</f>
        <v>Less than 30 days</v>
      </c>
      <c r="S328" s="6" t="s">
        <v>817</v>
      </c>
      <c r="U328" s="13" t="s">
        <v>3699</v>
      </c>
    </row>
    <row r="329" spans="1:21" x14ac:dyDescent="0.3">
      <c r="A329" s="6" t="s">
        <v>4126</v>
      </c>
      <c r="B329" s="6" t="s">
        <v>30</v>
      </c>
      <c r="C329" s="6" t="s">
        <v>15</v>
      </c>
      <c r="D329" s="8">
        <v>4301</v>
      </c>
      <c r="E329" s="9">
        <v>434</v>
      </c>
      <c r="H329" s="6">
        <v>194567</v>
      </c>
      <c r="I329" s="10" t="s">
        <v>293</v>
      </c>
      <c r="J329" s="6" t="s">
        <v>245</v>
      </c>
      <c r="K329" s="6" t="s">
        <v>2673</v>
      </c>
      <c r="L329" s="11">
        <v>43282</v>
      </c>
      <c r="M329" s="11">
        <f>DCPXX[[#This Row],[INV DOC DATE]]+30</f>
        <v>43312</v>
      </c>
      <c r="N329" s="11">
        <v>43279</v>
      </c>
      <c r="Q329" s="13">
        <f t="shared" si="5"/>
        <v>434</v>
      </c>
      <c r="R329" s="13" t="str">
        <f ca="1">IF(TODAY() - DCPXX[INV DUE DATE]&lt;30, "Less than 30 days",IF(TODAY()-DCPXX[INV DUE DATE]&lt;60,"30-60 days","More than 60 days"))</f>
        <v>Less than 30 days</v>
      </c>
      <c r="S329" s="6" t="s">
        <v>817</v>
      </c>
      <c r="U329" s="13" t="s">
        <v>3699</v>
      </c>
    </row>
    <row r="330" spans="1:21" x14ac:dyDescent="0.3">
      <c r="A330" s="6" t="s">
        <v>4126</v>
      </c>
      <c r="B330" s="6" t="s">
        <v>30</v>
      </c>
      <c r="C330" s="6" t="s">
        <v>16</v>
      </c>
      <c r="D330" s="8">
        <v>4301</v>
      </c>
      <c r="E330" s="9">
        <v>434</v>
      </c>
      <c r="H330" s="6">
        <v>194567</v>
      </c>
      <c r="I330" s="10" t="s">
        <v>293</v>
      </c>
      <c r="J330" s="6" t="s">
        <v>246</v>
      </c>
      <c r="K330" s="6" t="s">
        <v>2673</v>
      </c>
      <c r="L330" s="11">
        <v>43282</v>
      </c>
      <c r="M330" s="11">
        <f>DCPXX[[#This Row],[INV DOC DATE]]+30</f>
        <v>43312</v>
      </c>
      <c r="N330" s="11">
        <v>43279</v>
      </c>
      <c r="Q330" s="13">
        <f t="shared" si="5"/>
        <v>434</v>
      </c>
      <c r="R330" s="13" t="str">
        <f ca="1">IF(TODAY() - DCPXX[INV DUE DATE]&lt;30, "Less than 30 days",IF(TODAY()-DCPXX[INV DUE DATE]&lt;60,"30-60 days","More than 60 days"))</f>
        <v>Less than 30 days</v>
      </c>
      <c r="S330" s="6" t="s">
        <v>817</v>
      </c>
      <c r="U330" s="13" t="s">
        <v>3699</v>
      </c>
    </row>
    <row r="331" spans="1:21" x14ac:dyDescent="0.3">
      <c r="A331" s="6" t="s">
        <v>4126</v>
      </c>
      <c r="B331" s="6" t="s">
        <v>30</v>
      </c>
      <c r="C331" s="6" t="s">
        <v>17</v>
      </c>
      <c r="D331" s="8">
        <v>4301</v>
      </c>
      <c r="E331" s="9">
        <v>434</v>
      </c>
      <c r="H331" s="6">
        <v>194567</v>
      </c>
      <c r="I331" s="10" t="s">
        <v>293</v>
      </c>
      <c r="J331" s="6" t="s">
        <v>247</v>
      </c>
      <c r="K331" s="6" t="s">
        <v>2673</v>
      </c>
      <c r="L331" s="11">
        <v>43282</v>
      </c>
      <c r="M331" s="11">
        <f>DCPXX[[#This Row],[INV DOC DATE]]+30</f>
        <v>43312</v>
      </c>
      <c r="N331" s="11">
        <v>43279</v>
      </c>
      <c r="Q331" s="13">
        <f t="shared" si="5"/>
        <v>434</v>
      </c>
      <c r="R331" s="13" t="str">
        <f ca="1">IF(TODAY() - DCPXX[INV DUE DATE]&lt;30, "Less than 30 days",IF(TODAY()-DCPXX[INV DUE DATE]&lt;60,"30-60 days","More than 60 days"))</f>
        <v>Less than 30 days</v>
      </c>
      <c r="S331" s="6" t="s">
        <v>817</v>
      </c>
      <c r="U331" s="13" t="s">
        <v>3699</v>
      </c>
    </row>
    <row r="332" spans="1:21" x14ac:dyDescent="0.3">
      <c r="A332" s="6" t="s">
        <v>4126</v>
      </c>
      <c r="B332" s="6" t="s">
        <v>30</v>
      </c>
      <c r="C332" s="6" t="s">
        <v>18</v>
      </c>
      <c r="D332" s="8">
        <v>4301</v>
      </c>
      <c r="E332" s="9">
        <v>434</v>
      </c>
      <c r="H332" s="6">
        <v>194567</v>
      </c>
      <c r="I332" s="10" t="s">
        <v>293</v>
      </c>
      <c r="J332" s="6" t="s">
        <v>248</v>
      </c>
      <c r="K332" s="6" t="s">
        <v>2673</v>
      </c>
      <c r="L332" s="11">
        <v>43282</v>
      </c>
      <c r="M332" s="11">
        <f>DCPXX[[#This Row],[INV DOC DATE]]+30</f>
        <v>43312</v>
      </c>
      <c r="N332" s="11">
        <v>43279</v>
      </c>
      <c r="Q332" s="13">
        <f t="shared" si="5"/>
        <v>434</v>
      </c>
      <c r="R332" s="13" t="str">
        <f ca="1">IF(TODAY() - DCPXX[INV DUE DATE]&lt;30, "Less than 30 days",IF(TODAY()-DCPXX[INV DUE DATE]&lt;60,"30-60 days","More than 60 days"))</f>
        <v>Less than 30 days</v>
      </c>
      <c r="S332" s="6" t="s">
        <v>817</v>
      </c>
      <c r="U332" s="13" t="s">
        <v>3699</v>
      </c>
    </row>
    <row r="333" spans="1:21" x14ac:dyDescent="0.3">
      <c r="A333" s="6" t="s">
        <v>4126</v>
      </c>
      <c r="B333" s="6" t="s">
        <v>30</v>
      </c>
      <c r="C333" s="6" t="s">
        <v>19</v>
      </c>
      <c r="D333" s="8">
        <v>4301</v>
      </c>
      <c r="E333" s="9">
        <v>434</v>
      </c>
      <c r="H333" s="6">
        <v>194567</v>
      </c>
      <c r="I333" s="10" t="s">
        <v>293</v>
      </c>
      <c r="J333" s="6" t="s">
        <v>249</v>
      </c>
      <c r="K333" s="6" t="s">
        <v>2673</v>
      </c>
      <c r="L333" s="11">
        <v>43282</v>
      </c>
      <c r="M333" s="11">
        <f>DCPXX[[#This Row],[INV DOC DATE]]+30</f>
        <v>43312</v>
      </c>
      <c r="N333" s="11">
        <v>43279</v>
      </c>
      <c r="Q333" s="13">
        <f t="shared" si="5"/>
        <v>434</v>
      </c>
      <c r="R333" s="13" t="str">
        <f ca="1">IF(TODAY() - DCPXX[INV DUE DATE]&lt;30, "Less than 30 days",IF(TODAY()-DCPXX[INV DUE DATE]&lt;60,"30-60 days","More than 60 days"))</f>
        <v>Less than 30 days</v>
      </c>
      <c r="S333" s="6" t="s">
        <v>817</v>
      </c>
      <c r="U333" s="13" t="s">
        <v>3699</v>
      </c>
    </row>
    <row r="334" spans="1:21" x14ac:dyDescent="0.3">
      <c r="A334" s="6" t="s">
        <v>4126</v>
      </c>
      <c r="B334" s="6" t="s">
        <v>30</v>
      </c>
      <c r="C334" s="6" t="s">
        <v>20</v>
      </c>
      <c r="D334" s="8">
        <v>4301</v>
      </c>
      <c r="E334" s="9">
        <v>434</v>
      </c>
      <c r="H334" s="6">
        <v>194567</v>
      </c>
      <c r="I334" s="10" t="s">
        <v>293</v>
      </c>
      <c r="J334" s="6" t="s">
        <v>250</v>
      </c>
      <c r="K334" s="6" t="s">
        <v>2673</v>
      </c>
      <c r="L334" s="11">
        <v>43282</v>
      </c>
      <c r="M334" s="11">
        <f>DCPXX[[#This Row],[INV DOC DATE]]+30</f>
        <v>43312</v>
      </c>
      <c r="N334" s="11">
        <v>43279</v>
      </c>
      <c r="Q334" s="13">
        <f t="shared" si="5"/>
        <v>434</v>
      </c>
      <c r="R334" s="13" t="str">
        <f ca="1">IF(TODAY() - DCPXX[INV DUE DATE]&lt;30, "Less than 30 days",IF(TODAY()-DCPXX[INV DUE DATE]&lt;60,"30-60 days","More than 60 days"))</f>
        <v>Less than 30 days</v>
      </c>
      <c r="S334" s="6" t="s">
        <v>817</v>
      </c>
      <c r="U334" s="13" t="s">
        <v>3699</v>
      </c>
    </row>
    <row r="335" spans="1:21" x14ac:dyDescent="0.3">
      <c r="A335" s="6" t="s">
        <v>4126</v>
      </c>
      <c r="B335" s="6" t="s">
        <v>30</v>
      </c>
      <c r="C335" s="6" t="s">
        <v>21</v>
      </c>
      <c r="D335" s="8">
        <v>4301</v>
      </c>
      <c r="E335" s="9">
        <v>434</v>
      </c>
      <c r="H335" s="6">
        <v>194567</v>
      </c>
      <c r="I335" s="10" t="s">
        <v>293</v>
      </c>
      <c r="J335" s="6" t="s">
        <v>251</v>
      </c>
      <c r="K335" s="6" t="s">
        <v>2673</v>
      </c>
      <c r="L335" s="11">
        <v>43282</v>
      </c>
      <c r="M335" s="11">
        <f>DCPXX[[#This Row],[INV DOC DATE]]+30</f>
        <v>43312</v>
      </c>
      <c r="N335" s="11">
        <v>43279</v>
      </c>
      <c r="Q335" s="13">
        <f t="shared" si="5"/>
        <v>434</v>
      </c>
      <c r="R335" s="13" t="str">
        <f ca="1">IF(TODAY() - DCPXX[INV DUE DATE]&lt;30, "Less than 30 days",IF(TODAY()-DCPXX[INV DUE DATE]&lt;60,"30-60 days","More than 60 days"))</f>
        <v>Less than 30 days</v>
      </c>
      <c r="S335" s="6" t="s">
        <v>817</v>
      </c>
      <c r="U335" s="13" t="s">
        <v>3699</v>
      </c>
    </row>
    <row r="336" spans="1:21" x14ac:dyDescent="0.3">
      <c r="A336" s="6" t="s">
        <v>4126</v>
      </c>
      <c r="B336" s="6" t="s">
        <v>30</v>
      </c>
      <c r="C336" s="6" t="s">
        <v>22</v>
      </c>
      <c r="D336" s="8">
        <v>4301</v>
      </c>
      <c r="E336" s="9">
        <v>434</v>
      </c>
      <c r="H336" s="6">
        <v>194567</v>
      </c>
      <c r="I336" s="10" t="s">
        <v>293</v>
      </c>
      <c r="J336" s="6" t="s">
        <v>252</v>
      </c>
      <c r="K336" s="6" t="s">
        <v>2673</v>
      </c>
      <c r="L336" s="11">
        <v>43282</v>
      </c>
      <c r="M336" s="11">
        <f>DCPXX[[#This Row],[INV DOC DATE]]+30</f>
        <v>43312</v>
      </c>
      <c r="N336" s="11">
        <v>43279</v>
      </c>
      <c r="Q336" s="13">
        <f t="shared" si="5"/>
        <v>434</v>
      </c>
      <c r="R336" s="13" t="str">
        <f ca="1">IF(TODAY() - DCPXX[INV DUE DATE]&lt;30, "Less than 30 days",IF(TODAY()-DCPXX[INV DUE DATE]&lt;60,"30-60 days","More than 60 days"))</f>
        <v>Less than 30 days</v>
      </c>
      <c r="S336" s="6" t="s">
        <v>817</v>
      </c>
      <c r="U336" s="13" t="s">
        <v>3699</v>
      </c>
    </row>
    <row r="337" spans="1:21" x14ac:dyDescent="0.3">
      <c r="A337" s="6" t="s">
        <v>4126</v>
      </c>
      <c r="B337" s="6" t="s">
        <v>30</v>
      </c>
      <c r="C337" s="6" t="s">
        <v>23</v>
      </c>
      <c r="D337" s="8">
        <v>4301</v>
      </c>
      <c r="E337" s="9">
        <v>434</v>
      </c>
      <c r="H337" s="6">
        <v>194567</v>
      </c>
      <c r="I337" s="10" t="s">
        <v>293</v>
      </c>
      <c r="J337" s="6" t="s">
        <v>253</v>
      </c>
      <c r="K337" s="6" t="s">
        <v>2673</v>
      </c>
      <c r="L337" s="11">
        <v>43282</v>
      </c>
      <c r="M337" s="11">
        <f>DCPXX[[#This Row],[INV DOC DATE]]+30</f>
        <v>43312</v>
      </c>
      <c r="N337" s="11">
        <v>43279</v>
      </c>
      <c r="Q337" s="13">
        <f t="shared" si="5"/>
        <v>434</v>
      </c>
      <c r="R337" s="13" t="str">
        <f ca="1">IF(TODAY() - DCPXX[INV DUE DATE]&lt;30, "Less than 30 days",IF(TODAY()-DCPXX[INV DUE DATE]&lt;60,"30-60 days","More than 60 days"))</f>
        <v>Less than 30 days</v>
      </c>
      <c r="S337" s="6" t="s">
        <v>817</v>
      </c>
      <c r="U337" s="13" t="s">
        <v>3699</v>
      </c>
    </row>
    <row r="338" spans="1:21" x14ac:dyDescent="0.3">
      <c r="A338" s="6" t="s">
        <v>4126</v>
      </c>
      <c r="B338" s="6" t="s">
        <v>30</v>
      </c>
      <c r="C338" s="6" t="s">
        <v>24</v>
      </c>
      <c r="D338" s="8">
        <v>4301</v>
      </c>
      <c r="E338" s="9">
        <v>434</v>
      </c>
      <c r="H338" s="6">
        <v>194567</v>
      </c>
      <c r="I338" s="10" t="s">
        <v>293</v>
      </c>
      <c r="J338" s="6" t="s">
        <v>254</v>
      </c>
      <c r="K338" s="6" t="s">
        <v>2673</v>
      </c>
      <c r="L338" s="11">
        <v>43282</v>
      </c>
      <c r="M338" s="11">
        <f>DCPXX[[#This Row],[INV DOC DATE]]+30</f>
        <v>43312</v>
      </c>
      <c r="N338" s="11">
        <v>43279</v>
      </c>
      <c r="Q338" s="13">
        <f t="shared" si="5"/>
        <v>434</v>
      </c>
      <c r="R338" s="13" t="str">
        <f ca="1">IF(TODAY() - DCPXX[INV DUE DATE]&lt;30, "Less than 30 days",IF(TODAY()-DCPXX[INV DUE DATE]&lt;60,"30-60 days","More than 60 days"))</f>
        <v>Less than 30 days</v>
      </c>
      <c r="S338" s="6" t="s">
        <v>817</v>
      </c>
      <c r="U338" s="13" t="s">
        <v>3699</v>
      </c>
    </row>
    <row r="339" spans="1:21" x14ac:dyDescent="0.3">
      <c r="A339" s="6" t="s">
        <v>4126</v>
      </c>
      <c r="B339" s="6" t="s">
        <v>30</v>
      </c>
      <c r="C339" s="6" t="s">
        <v>25</v>
      </c>
      <c r="D339" s="8">
        <v>4301</v>
      </c>
      <c r="E339" s="9">
        <v>434</v>
      </c>
      <c r="H339" s="6">
        <v>194567</v>
      </c>
      <c r="I339" s="10" t="s">
        <v>293</v>
      </c>
      <c r="J339" s="6" t="s">
        <v>255</v>
      </c>
      <c r="K339" s="6" t="s">
        <v>2673</v>
      </c>
      <c r="L339" s="11">
        <v>43282</v>
      </c>
      <c r="M339" s="11">
        <f>DCPXX[[#This Row],[INV DOC DATE]]+30</f>
        <v>43312</v>
      </c>
      <c r="N339" s="11">
        <v>43279</v>
      </c>
      <c r="Q339" s="13">
        <f t="shared" si="5"/>
        <v>434</v>
      </c>
      <c r="R339" s="13" t="str">
        <f ca="1">IF(TODAY() - DCPXX[INV DUE DATE]&lt;30, "Less than 30 days",IF(TODAY()-DCPXX[INV DUE DATE]&lt;60,"30-60 days","More than 60 days"))</f>
        <v>Less than 30 days</v>
      </c>
      <c r="S339" s="6" t="s">
        <v>817</v>
      </c>
      <c r="U339" s="13" t="s">
        <v>3699</v>
      </c>
    </row>
    <row r="340" spans="1:21" x14ac:dyDescent="0.3">
      <c r="A340" s="6" t="s">
        <v>4126</v>
      </c>
      <c r="B340" s="6" t="s">
        <v>30</v>
      </c>
      <c r="C340" s="6" t="s">
        <v>26</v>
      </c>
      <c r="D340" s="8">
        <v>4301</v>
      </c>
      <c r="E340" s="9">
        <v>434</v>
      </c>
      <c r="H340" s="6">
        <v>194567</v>
      </c>
      <c r="I340" s="10" t="s">
        <v>293</v>
      </c>
      <c r="J340" s="6" t="s">
        <v>256</v>
      </c>
      <c r="K340" s="6" t="s">
        <v>2673</v>
      </c>
      <c r="L340" s="11">
        <v>43282</v>
      </c>
      <c r="M340" s="11">
        <f>DCPXX[[#This Row],[INV DOC DATE]]+30</f>
        <v>43312</v>
      </c>
      <c r="N340" s="11">
        <v>43279</v>
      </c>
      <c r="Q340" s="13">
        <f t="shared" si="5"/>
        <v>434</v>
      </c>
      <c r="R340" s="13" t="str">
        <f ca="1">IF(TODAY() - DCPXX[INV DUE DATE]&lt;30, "Less than 30 days",IF(TODAY()-DCPXX[INV DUE DATE]&lt;60,"30-60 days","More than 60 days"))</f>
        <v>Less than 30 days</v>
      </c>
      <c r="S340" s="6" t="s">
        <v>817</v>
      </c>
      <c r="U340" s="13" t="s">
        <v>3699</v>
      </c>
    </row>
    <row r="341" spans="1:21" x14ac:dyDescent="0.3">
      <c r="A341" s="6" t="s">
        <v>4126</v>
      </c>
      <c r="B341" s="6" t="s">
        <v>30</v>
      </c>
      <c r="C341" s="6" t="s">
        <v>27</v>
      </c>
      <c r="D341" s="8">
        <v>4301</v>
      </c>
      <c r="E341" s="9">
        <v>434</v>
      </c>
      <c r="H341" s="6">
        <v>194567</v>
      </c>
      <c r="I341" s="10" t="s">
        <v>293</v>
      </c>
      <c r="J341" s="6" t="s">
        <v>257</v>
      </c>
      <c r="K341" s="6" t="s">
        <v>2673</v>
      </c>
      <c r="L341" s="11">
        <v>43282</v>
      </c>
      <c r="M341" s="11">
        <f>DCPXX[[#This Row],[INV DOC DATE]]+30</f>
        <v>43312</v>
      </c>
      <c r="N341" s="11">
        <v>43279</v>
      </c>
      <c r="Q341" s="13">
        <f t="shared" si="5"/>
        <v>434</v>
      </c>
      <c r="R341" s="13" t="str">
        <f ca="1">IF(TODAY() - DCPXX[INV DUE DATE]&lt;30, "Less than 30 days",IF(TODAY()-DCPXX[INV DUE DATE]&lt;60,"30-60 days","More than 60 days"))</f>
        <v>Less than 30 days</v>
      </c>
      <c r="S341" s="6" t="s">
        <v>817</v>
      </c>
      <c r="U341" s="13" t="s">
        <v>3699</v>
      </c>
    </row>
    <row r="342" spans="1:21" x14ac:dyDescent="0.3">
      <c r="A342" s="6" t="s">
        <v>4126</v>
      </c>
      <c r="B342" s="6" t="s">
        <v>30</v>
      </c>
      <c r="C342" s="6" t="s">
        <v>28</v>
      </c>
      <c r="D342" s="8">
        <v>4301</v>
      </c>
      <c r="E342" s="9">
        <v>434</v>
      </c>
      <c r="H342" s="6">
        <v>194567</v>
      </c>
      <c r="I342" s="10" t="s">
        <v>293</v>
      </c>
      <c r="J342" s="6" t="s">
        <v>258</v>
      </c>
      <c r="K342" s="6" t="s">
        <v>2673</v>
      </c>
      <c r="L342" s="11">
        <v>43282</v>
      </c>
      <c r="M342" s="11">
        <f>DCPXX[[#This Row],[INV DOC DATE]]+30</f>
        <v>43312</v>
      </c>
      <c r="N342" s="11">
        <v>43279</v>
      </c>
      <c r="Q342" s="13">
        <f t="shared" si="5"/>
        <v>434</v>
      </c>
      <c r="R342" s="13" t="str">
        <f ca="1">IF(TODAY() - DCPXX[INV DUE DATE]&lt;30, "Less than 30 days",IF(TODAY()-DCPXX[INV DUE DATE]&lt;60,"30-60 days","More than 60 days"))</f>
        <v>Less than 30 days</v>
      </c>
      <c r="S342" s="6" t="s">
        <v>817</v>
      </c>
      <c r="U342" s="13" t="s">
        <v>3699</v>
      </c>
    </row>
    <row r="343" spans="1:21" x14ac:dyDescent="0.3">
      <c r="A343" s="6" t="s">
        <v>4126</v>
      </c>
      <c r="B343" s="6" t="s">
        <v>30</v>
      </c>
      <c r="C343" s="6" t="s">
        <v>37</v>
      </c>
      <c r="D343" s="8">
        <v>4301</v>
      </c>
      <c r="E343" s="9">
        <v>434</v>
      </c>
      <c r="H343" s="6">
        <v>194567</v>
      </c>
      <c r="I343" s="10" t="s">
        <v>293</v>
      </c>
      <c r="J343" s="6" t="s">
        <v>259</v>
      </c>
      <c r="K343" s="6" t="s">
        <v>2673</v>
      </c>
      <c r="L343" s="11">
        <v>43282</v>
      </c>
      <c r="M343" s="11">
        <f>DCPXX[[#This Row],[INV DOC DATE]]+30</f>
        <v>43312</v>
      </c>
      <c r="N343" s="11">
        <v>43279</v>
      </c>
      <c r="Q343" s="13">
        <f t="shared" si="5"/>
        <v>434</v>
      </c>
      <c r="R343" s="13" t="str">
        <f ca="1">IF(TODAY() - DCPXX[INV DUE DATE]&lt;30, "Less than 30 days",IF(TODAY()-DCPXX[INV DUE DATE]&lt;60,"30-60 days","More than 60 days"))</f>
        <v>Less than 30 days</v>
      </c>
      <c r="S343" s="6" t="s">
        <v>817</v>
      </c>
      <c r="U343" s="13" t="s">
        <v>3699</v>
      </c>
    </row>
    <row r="344" spans="1:21" x14ac:dyDescent="0.3">
      <c r="A344" s="6" t="s">
        <v>4126</v>
      </c>
      <c r="B344" s="6" t="s">
        <v>30</v>
      </c>
      <c r="C344" s="6" t="s">
        <v>38</v>
      </c>
      <c r="D344" s="8">
        <v>4301</v>
      </c>
      <c r="E344" s="9">
        <v>434</v>
      </c>
      <c r="H344" s="6">
        <v>194567</v>
      </c>
      <c r="I344" s="10" t="s">
        <v>293</v>
      </c>
      <c r="J344" s="6" t="s">
        <v>260</v>
      </c>
      <c r="K344" s="6" t="s">
        <v>2673</v>
      </c>
      <c r="L344" s="11">
        <v>43282</v>
      </c>
      <c r="M344" s="11">
        <f>DCPXX[[#This Row],[INV DOC DATE]]+30</f>
        <v>43312</v>
      </c>
      <c r="N344" s="11">
        <v>43279</v>
      </c>
      <c r="Q344" s="13">
        <f t="shared" si="5"/>
        <v>434</v>
      </c>
      <c r="R344" s="13" t="str">
        <f ca="1">IF(TODAY() - DCPXX[INV DUE DATE]&lt;30, "Less than 30 days",IF(TODAY()-DCPXX[INV DUE DATE]&lt;60,"30-60 days","More than 60 days"))</f>
        <v>Less than 30 days</v>
      </c>
      <c r="S344" s="6" t="s">
        <v>817</v>
      </c>
      <c r="U344" s="13" t="s">
        <v>3699</v>
      </c>
    </row>
    <row r="345" spans="1:21" x14ac:dyDescent="0.3">
      <c r="A345" s="6" t="s">
        <v>4126</v>
      </c>
      <c r="B345" s="6" t="s">
        <v>30</v>
      </c>
      <c r="C345" s="6" t="s">
        <v>39</v>
      </c>
      <c r="D345" s="8">
        <v>4301</v>
      </c>
      <c r="E345" s="9">
        <v>434</v>
      </c>
      <c r="H345" s="6">
        <v>194567</v>
      </c>
      <c r="I345" s="10" t="s">
        <v>293</v>
      </c>
      <c r="J345" s="6" t="s">
        <v>261</v>
      </c>
      <c r="K345" s="6" t="s">
        <v>2673</v>
      </c>
      <c r="L345" s="11">
        <v>43282</v>
      </c>
      <c r="M345" s="11">
        <f>DCPXX[[#This Row],[INV DOC DATE]]+30</f>
        <v>43312</v>
      </c>
      <c r="N345" s="11">
        <v>43279</v>
      </c>
      <c r="Q345" s="13">
        <f t="shared" si="5"/>
        <v>434</v>
      </c>
      <c r="R345" s="13" t="str">
        <f ca="1">IF(TODAY() - DCPXX[INV DUE DATE]&lt;30, "Less than 30 days",IF(TODAY()-DCPXX[INV DUE DATE]&lt;60,"30-60 days","More than 60 days"))</f>
        <v>Less than 30 days</v>
      </c>
      <c r="S345" s="6" t="s">
        <v>817</v>
      </c>
      <c r="U345" s="13" t="s">
        <v>3699</v>
      </c>
    </row>
    <row r="346" spans="1:21" x14ac:dyDescent="0.3">
      <c r="A346" s="6" t="s">
        <v>4126</v>
      </c>
      <c r="B346" s="6" t="s">
        <v>30</v>
      </c>
      <c r="C346" s="6" t="s">
        <v>40</v>
      </c>
      <c r="D346" s="8">
        <v>4301</v>
      </c>
      <c r="E346" s="9">
        <v>434</v>
      </c>
      <c r="H346" s="6">
        <v>194567</v>
      </c>
      <c r="I346" s="10" t="s">
        <v>293</v>
      </c>
      <c r="J346" s="6" t="s">
        <v>262</v>
      </c>
      <c r="K346" s="6" t="s">
        <v>2673</v>
      </c>
      <c r="L346" s="11">
        <v>43282</v>
      </c>
      <c r="M346" s="11">
        <f>DCPXX[[#This Row],[INV DOC DATE]]+30</f>
        <v>43312</v>
      </c>
      <c r="N346" s="11">
        <v>43279</v>
      </c>
      <c r="Q346" s="13">
        <f t="shared" si="5"/>
        <v>434</v>
      </c>
      <c r="R346" s="13" t="str">
        <f ca="1">IF(TODAY() - DCPXX[INV DUE DATE]&lt;30, "Less than 30 days",IF(TODAY()-DCPXX[INV DUE DATE]&lt;60,"30-60 days","More than 60 days"))</f>
        <v>Less than 30 days</v>
      </c>
      <c r="S346" s="6" t="s">
        <v>817</v>
      </c>
      <c r="U346" s="13" t="s">
        <v>3699</v>
      </c>
    </row>
    <row r="347" spans="1:21" x14ac:dyDescent="0.3">
      <c r="A347" s="6" t="s">
        <v>4126</v>
      </c>
      <c r="B347" s="6" t="s">
        <v>30</v>
      </c>
      <c r="C347" s="6" t="s">
        <v>41</v>
      </c>
      <c r="D347" s="8">
        <v>4301</v>
      </c>
      <c r="E347" s="9">
        <v>434</v>
      </c>
      <c r="H347" s="6">
        <v>194567</v>
      </c>
      <c r="I347" s="10" t="s">
        <v>293</v>
      </c>
      <c r="J347" s="6" t="s">
        <v>263</v>
      </c>
      <c r="K347" s="6" t="s">
        <v>2673</v>
      </c>
      <c r="L347" s="11">
        <v>43282</v>
      </c>
      <c r="M347" s="11">
        <f>DCPXX[[#This Row],[INV DOC DATE]]+30</f>
        <v>43312</v>
      </c>
      <c r="N347" s="11">
        <v>43279</v>
      </c>
      <c r="Q347" s="13">
        <f t="shared" si="5"/>
        <v>434</v>
      </c>
      <c r="R347" s="13" t="str">
        <f ca="1">IF(TODAY() - DCPXX[INV DUE DATE]&lt;30, "Less than 30 days",IF(TODAY()-DCPXX[INV DUE DATE]&lt;60,"30-60 days","More than 60 days"))</f>
        <v>Less than 30 days</v>
      </c>
      <c r="S347" s="6" t="s">
        <v>817</v>
      </c>
      <c r="U347" s="13" t="s">
        <v>3699</v>
      </c>
    </row>
    <row r="348" spans="1:21" x14ac:dyDescent="0.3">
      <c r="A348" s="6" t="s">
        <v>4126</v>
      </c>
      <c r="B348" s="6" t="s">
        <v>30</v>
      </c>
      <c r="C348" s="6" t="s">
        <v>42</v>
      </c>
      <c r="D348" s="8">
        <v>4301</v>
      </c>
      <c r="E348" s="9">
        <v>434</v>
      </c>
      <c r="H348" s="6">
        <v>194567</v>
      </c>
      <c r="I348" s="10" t="s">
        <v>293</v>
      </c>
      <c r="J348" s="6" t="s">
        <v>264</v>
      </c>
      <c r="K348" s="6" t="s">
        <v>2673</v>
      </c>
      <c r="L348" s="11">
        <v>43282</v>
      </c>
      <c r="M348" s="11">
        <f>DCPXX[[#This Row],[INV DOC DATE]]+30</f>
        <v>43312</v>
      </c>
      <c r="N348" s="11">
        <v>43279</v>
      </c>
      <c r="Q348" s="13">
        <f t="shared" si="5"/>
        <v>434</v>
      </c>
      <c r="R348" s="13" t="str">
        <f ca="1">IF(TODAY() - DCPXX[INV DUE DATE]&lt;30, "Less than 30 days",IF(TODAY()-DCPXX[INV DUE DATE]&lt;60,"30-60 days","More than 60 days"))</f>
        <v>Less than 30 days</v>
      </c>
      <c r="S348" s="6" t="s">
        <v>817</v>
      </c>
      <c r="U348" s="13" t="s">
        <v>3699</v>
      </c>
    </row>
    <row r="349" spans="1:21" x14ac:dyDescent="0.3">
      <c r="A349" s="6" t="s">
        <v>4126</v>
      </c>
      <c r="B349" s="6" t="s">
        <v>30</v>
      </c>
      <c r="C349" s="6" t="s">
        <v>43</v>
      </c>
      <c r="D349" s="8">
        <v>4301</v>
      </c>
      <c r="E349" s="9">
        <v>434</v>
      </c>
      <c r="H349" s="6">
        <v>194567</v>
      </c>
      <c r="I349" s="10" t="s">
        <v>293</v>
      </c>
      <c r="J349" s="6" t="s">
        <v>265</v>
      </c>
      <c r="K349" s="6" t="s">
        <v>2673</v>
      </c>
      <c r="L349" s="11">
        <v>43282</v>
      </c>
      <c r="M349" s="11">
        <f>DCPXX[[#This Row],[INV DOC DATE]]+30</f>
        <v>43312</v>
      </c>
      <c r="N349" s="11">
        <v>43279</v>
      </c>
      <c r="Q349" s="13">
        <f t="shared" si="5"/>
        <v>434</v>
      </c>
      <c r="R349" s="13" t="str">
        <f ca="1">IF(TODAY() - DCPXX[INV DUE DATE]&lt;30, "Less than 30 days",IF(TODAY()-DCPXX[INV DUE DATE]&lt;60,"30-60 days","More than 60 days"))</f>
        <v>Less than 30 days</v>
      </c>
      <c r="S349" s="6" t="s">
        <v>817</v>
      </c>
      <c r="U349" s="13" t="s">
        <v>3699</v>
      </c>
    </row>
    <row r="350" spans="1:21" x14ac:dyDescent="0.3">
      <c r="A350" s="6" t="s">
        <v>4126</v>
      </c>
      <c r="B350" s="6" t="s">
        <v>30</v>
      </c>
      <c r="C350" s="6" t="s">
        <v>44</v>
      </c>
      <c r="D350" s="8">
        <v>4301</v>
      </c>
      <c r="E350" s="9">
        <v>434</v>
      </c>
      <c r="H350" s="6">
        <v>194567</v>
      </c>
      <c r="I350" s="10" t="s">
        <v>293</v>
      </c>
      <c r="J350" s="6" t="s">
        <v>266</v>
      </c>
      <c r="K350" s="6" t="s">
        <v>2673</v>
      </c>
      <c r="L350" s="11">
        <v>43282</v>
      </c>
      <c r="M350" s="11">
        <f>DCPXX[[#This Row],[INV DOC DATE]]+30</f>
        <v>43312</v>
      </c>
      <c r="N350" s="11">
        <v>43279</v>
      </c>
      <c r="Q350" s="13">
        <f t="shared" si="5"/>
        <v>434</v>
      </c>
      <c r="R350" s="13" t="str">
        <f ca="1">IF(TODAY() - DCPXX[INV DUE DATE]&lt;30, "Less than 30 days",IF(TODAY()-DCPXX[INV DUE DATE]&lt;60,"30-60 days","More than 60 days"))</f>
        <v>Less than 30 days</v>
      </c>
      <c r="S350" s="6" t="s">
        <v>817</v>
      </c>
      <c r="U350" s="13" t="s">
        <v>3699</v>
      </c>
    </row>
    <row r="351" spans="1:21" x14ac:dyDescent="0.3">
      <c r="A351" s="6" t="s">
        <v>4126</v>
      </c>
      <c r="B351" s="6" t="s">
        <v>30</v>
      </c>
      <c r="C351" s="6" t="s">
        <v>45</v>
      </c>
      <c r="D351" s="8">
        <v>4301</v>
      </c>
      <c r="E351" s="9">
        <v>434</v>
      </c>
      <c r="H351" s="6">
        <v>194567</v>
      </c>
      <c r="I351" s="10" t="s">
        <v>293</v>
      </c>
      <c r="J351" s="6" t="s">
        <v>267</v>
      </c>
      <c r="K351" s="6" t="s">
        <v>2673</v>
      </c>
      <c r="L351" s="11">
        <v>43282</v>
      </c>
      <c r="M351" s="11">
        <f>DCPXX[[#This Row],[INV DOC DATE]]+30</f>
        <v>43312</v>
      </c>
      <c r="N351" s="11">
        <v>43279</v>
      </c>
      <c r="Q351" s="13">
        <f t="shared" si="5"/>
        <v>434</v>
      </c>
      <c r="R351" s="13" t="str">
        <f ca="1">IF(TODAY() - DCPXX[INV DUE DATE]&lt;30, "Less than 30 days",IF(TODAY()-DCPXX[INV DUE DATE]&lt;60,"30-60 days","More than 60 days"))</f>
        <v>Less than 30 days</v>
      </c>
      <c r="S351" s="6" t="s">
        <v>817</v>
      </c>
      <c r="U351" s="13" t="s">
        <v>3699</v>
      </c>
    </row>
    <row r="352" spans="1:21" x14ac:dyDescent="0.3">
      <c r="A352" s="6" t="s">
        <v>4126</v>
      </c>
      <c r="B352" s="6" t="s">
        <v>30</v>
      </c>
      <c r="C352" s="6" t="s">
        <v>46</v>
      </c>
      <c r="D352" s="8">
        <v>4301</v>
      </c>
      <c r="E352" s="9">
        <v>434</v>
      </c>
      <c r="H352" s="6">
        <v>194567</v>
      </c>
      <c r="I352" s="10" t="s">
        <v>293</v>
      </c>
      <c r="J352" s="6" t="s">
        <v>268</v>
      </c>
      <c r="K352" s="6" t="s">
        <v>2673</v>
      </c>
      <c r="L352" s="11">
        <v>43282</v>
      </c>
      <c r="M352" s="11">
        <f>DCPXX[[#This Row],[INV DOC DATE]]+30</f>
        <v>43312</v>
      </c>
      <c r="N352" s="11">
        <v>43279</v>
      </c>
      <c r="Q352" s="13">
        <f t="shared" ref="Q352:Q383" si="6">$E352-$O352</f>
        <v>434</v>
      </c>
      <c r="R352" s="13" t="str">
        <f ca="1">IF(TODAY() - DCPXX[INV DUE DATE]&lt;30, "Less than 30 days",IF(TODAY()-DCPXX[INV DUE DATE]&lt;60,"30-60 days","More than 60 days"))</f>
        <v>Less than 30 days</v>
      </c>
      <c r="S352" s="6" t="s">
        <v>817</v>
      </c>
      <c r="U352" s="13" t="s">
        <v>3699</v>
      </c>
    </row>
    <row r="353" spans="1:21" x14ac:dyDescent="0.3">
      <c r="A353" s="6" t="s">
        <v>4126</v>
      </c>
      <c r="B353" s="6" t="s">
        <v>30</v>
      </c>
      <c r="C353" s="6" t="s">
        <v>47</v>
      </c>
      <c r="D353" s="8">
        <v>4301</v>
      </c>
      <c r="E353" s="9">
        <v>434</v>
      </c>
      <c r="H353" s="6">
        <v>194567</v>
      </c>
      <c r="I353" s="10" t="s">
        <v>293</v>
      </c>
      <c r="J353" s="6" t="s">
        <v>269</v>
      </c>
      <c r="K353" s="6" t="s">
        <v>2673</v>
      </c>
      <c r="L353" s="11">
        <v>43282</v>
      </c>
      <c r="M353" s="11">
        <f>DCPXX[[#This Row],[INV DOC DATE]]+30</f>
        <v>43312</v>
      </c>
      <c r="N353" s="11">
        <v>43279</v>
      </c>
      <c r="Q353" s="13">
        <f t="shared" si="6"/>
        <v>434</v>
      </c>
      <c r="R353" s="13" t="str">
        <f ca="1">IF(TODAY() - DCPXX[INV DUE DATE]&lt;30, "Less than 30 days",IF(TODAY()-DCPXX[INV DUE DATE]&lt;60,"30-60 days","More than 60 days"))</f>
        <v>Less than 30 days</v>
      </c>
      <c r="S353" s="6" t="s">
        <v>817</v>
      </c>
      <c r="U353" s="13" t="s">
        <v>3699</v>
      </c>
    </row>
    <row r="354" spans="1:21" x14ac:dyDescent="0.3">
      <c r="A354" s="6" t="s">
        <v>4126</v>
      </c>
      <c r="B354" s="6" t="s">
        <v>30</v>
      </c>
      <c r="C354" s="6" t="s">
        <v>295</v>
      </c>
      <c r="D354" s="8">
        <v>4301</v>
      </c>
      <c r="E354" s="9">
        <v>434</v>
      </c>
      <c r="H354" s="6">
        <v>194567</v>
      </c>
      <c r="I354" s="10" t="s">
        <v>293</v>
      </c>
      <c r="J354" s="6" t="s">
        <v>270</v>
      </c>
      <c r="K354" s="6" t="s">
        <v>2673</v>
      </c>
      <c r="L354" s="11">
        <v>43282</v>
      </c>
      <c r="M354" s="11">
        <f>DCPXX[[#This Row],[INV DOC DATE]]+30</f>
        <v>43312</v>
      </c>
      <c r="N354" s="11">
        <v>43279</v>
      </c>
      <c r="Q354" s="13">
        <f t="shared" si="6"/>
        <v>434</v>
      </c>
      <c r="R354" s="13" t="str">
        <f ca="1">IF(TODAY() - DCPXX[INV DUE DATE]&lt;30, "Less than 30 days",IF(TODAY()-DCPXX[INV DUE DATE]&lt;60,"30-60 days","More than 60 days"))</f>
        <v>Less than 30 days</v>
      </c>
      <c r="S354" s="6" t="s">
        <v>817</v>
      </c>
      <c r="U354" s="13" t="s">
        <v>3699</v>
      </c>
    </row>
    <row r="355" spans="1:21" x14ac:dyDescent="0.3">
      <c r="A355" s="6" t="s">
        <v>4126</v>
      </c>
      <c r="B355" s="6" t="s">
        <v>30</v>
      </c>
      <c r="C355" s="6" t="s">
        <v>48</v>
      </c>
      <c r="D355" s="8">
        <v>4301</v>
      </c>
      <c r="E355" s="9">
        <v>434</v>
      </c>
      <c r="H355" s="6">
        <v>194567</v>
      </c>
      <c r="I355" s="10" t="s">
        <v>293</v>
      </c>
      <c r="J355" s="6" t="s">
        <v>271</v>
      </c>
      <c r="K355" s="6" t="s">
        <v>2673</v>
      </c>
      <c r="L355" s="11">
        <v>43282</v>
      </c>
      <c r="M355" s="11">
        <f>DCPXX[[#This Row],[INV DOC DATE]]+30</f>
        <v>43312</v>
      </c>
      <c r="N355" s="11">
        <v>43279</v>
      </c>
      <c r="Q355" s="13">
        <f t="shared" si="6"/>
        <v>434</v>
      </c>
      <c r="R355" s="13" t="str">
        <f ca="1">IF(TODAY() - DCPXX[INV DUE DATE]&lt;30, "Less than 30 days",IF(TODAY()-DCPXX[INV DUE DATE]&lt;60,"30-60 days","More than 60 days"))</f>
        <v>Less than 30 days</v>
      </c>
      <c r="S355" s="6" t="s">
        <v>817</v>
      </c>
      <c r="U355" s="13" t="s">
        <v>3699</v>
      </c>
    </row>
    <row r="356" spans="1:21" x14ac:dyDescent="0.3">
      <c r="A356" s="6" t="s">
        <v>4126</v>
      </c>
      <c r="B356" s="6" t="s">
        <v>30</v>
      </c>
      <c r="C356" s="6" t="s">
        <v>49</v>
      </c>
      <c r="D356" s="8">
        <v>4301</v>
      </c>
      <c r="E356" s="9">
        <v>434</v>
      </c>
      <c r="H356" s="6">
        <v>194567</v>
      </c>
      <c r="I356" s="10" t="s">
        <v>293</v>
      </c>
      <c r="J356" s="6" t="s">
        <v>272</v>
      </c>
      <c r="K356" s="6" t="s">
        <v>2673</v>
      </c>
      <c r="L356" s="11">
        <v>43282</v>
      </c>
      <c r="M356" s="11">
        <f>DCPXX[[#This Row],[INV DOC DATE]]+30</f>
        <v>43312</v>
      </c>
      <c r="N356" s="11">
        <v>43279</v>
      </c>
      <c r="Q356" s="13">
        <f t="shared" si="6"/>
        <v>434</v>
      </c>
      <c r="R356" s="13" t="str">
        <f ca="1">IF(TODAY() - DCPXX[INV DUE DATE]&lt;30, "Less than 30 days",IF(TODAY()-DCPXX[INV DUE DATE]&lt;60,"30-60 days","More than 60 days"))</f>
        <v>Less than 30 days</v>
      </c>
      <c r="S356" s="6" t="s">
        <v>817</v>
      </c>
      <c r="U356" s="13" t="s">
        <v>3699</v>
      </c>
    </row>
    <row r="357" spans="1:21" x14ac:dyDescent="0.3">
      <c r="A357" s="6" t="s">
        <v>4126</v>
      </c>
      <c r="B357" s="6" t="s">
        <v>30</v>
      </c>
      <c r="C357" s="6" t="s">
        <v>50</v>
      </c>
      <c r="D357" s="8">
        <v>4301</v>
      </c>
      <c r="E357" s="9">
        <v>434</v>
      </c>
      <c r="H357" s="6">
        <v>194567</v>
      </c>
      <c r="I357" s="10" t="s">
        <v>293</v>
      </c>
      <c r="J357" s="6" t="s">
        <v>273</v>
      </c>
      <c r="K357" s="6" t="s">
        <v>2673</v>
      </c>
      <c r="L357" s="11">
        <v>43282</v>
      </c>
      <c r="M357" s="11">
        <f>DCPXX[[#This Row],[INV DOC DATE]]+30</f>
        <v>43312</v>
      </c>
      <c r="N357" s="11">
        <v>43279</v>
      </c>
      <c r="Q357" s="13">
        <f t="shared" si="6"/>
        <v>434</v>
      </c>
      <c r="R357" s="13" t="str">
        <f ca="1">IF(TODAY() - DCPXX[INV DUE DATE]&lt;30, "Less than 30 days",IF(TODAY()-DCPXX[INV DUE DATE]&lt;60,"30-60 days","More than 60 days"))</f>
        <v>Less than 30 days</v>
      </c>
      <c r="S357" s="6" t="s">
        <v>817</v>
      </c>
      <c r="U357" s="13" t="s">
        <v>3699</v>
      </c>
    </row>
    <row r="358" spans="1:21" x14ac:dyDescent="0.3">
      <c r="A358" s="6" t="s">
        <v>4126</v>
      </c>
      <c r="B358" s="6" t="s">
        <v>30</v>
      </c>
      <c r="C358" s="6" t="s">
        <v>51</v>
      </c>
      <c r="D358" s="8">
        <v>4301</v>
      </c>
      <c r="E358" s="9">
        <v>434</v>
      </c>
      <c r="H358" s="6">
        <v>194567</v>
      </c>
      <c r="I358" s="10" t="s">
        <v>293</v>
      </c>
      <c r="J358" s="6" t="s">
        <v>274</v>
      </c>
      <c r="K358" s="6" t="s">
        <v>2673</v>
      </c>
      <c r="L358" s="11">
        <v>43282</v>
      </c>
      <c r="M358" s="11">
        <f>DCPXX[[#This Row],[INV DOC DATE]]+30</f>
        <v>43312</v>
      </c>
      <c r="N358" s="11">
        <v>43279</v>
      </c>
      <c r="Q358" s="13">
        <f t="shared" si="6"/>
        <v>434</v>
      </c>
      <c r="R358" s="13" t="str">
        <f ca="1">IF(TODAY() - DCPXX[INV DUE DATE]&lt;30, "Less than 30 days",IF(TODAY()-DCPXX[INV DUE DATE]&lt;60,"30-60 days","More than 60 days"))</f>
        <v>Less than 30 days</v>
      </c>
      <c r="S358" s="6" t="s">
        <v>817</v>
      </c>
      <c r="U358" s="13" t="s">
        <v>3699</v>
      </c>
    </row>
    <row r="359" spans="1:21" x14ac:dyDescent="0.3">
      <c r="A359" s="6" t="s">
        <v>4126</v>
      </c>
      <c r="B359" s="6" t="s">
        <v>30</v>
      </c>
      <c r="C359" s="6" t="s">
        <v>52</v>
      </c>
      <c r="D359" s="8">
        <v>4301</v>
      </c>
      <c r="E359" s="9">
        <v>434</v>
      </c>
      <c r="H359" s="6">
        <v>194567</v>
      </c>
      <c r="I359" s="10" t="s">
        <v>293</v>
      </c>
      <c r="J359" s="6" t="s">
        <v>275</v>
      </c>
      <c r="K359" s="6" t="s">
        <v>2673</v>
      </c>
      <c r="L359" s="11">
        <v>43282</v>
      </c>
      <c r="M359" s="11">
        <f>DCPXX[[#This Row],[INV DOC DATE]]+30</f>
        <v>43312</v>
      </c>
      <c r="N359" s="11">
        <v>43279</v>
      </c>
      <c r="Q359" s="13">
        <f t="shared" si="6"/>
        <v>434</v>
      </c>
      <c r="R359" s="13" t="str">
        <f ca="1">IF(TODAY() - DCPXX[INV DUE DATE]&lt;30, "Less than 30 days",IF(TODAY()-DCPXX[INV DUE DATE]&lt;60,"30-60 days","More than 60 days"))</f>
        <v>Less than 30 days</v>
      </c>
      <c r="S359" s="6" t="s">
        <v>817</v>
      </c>
      <c r="U359" s="13" t="s">
        <v>3699</v>
      </c>
    </row>
    <row r="360" spans="1:21" x14ac:dyDescent="0.3">
      <c r="A360" s="6" t="s">
        <v>4126</v>
      </c>
      <c r="B360" s="6" t="s">
        <v>30</v>
      </c>
      <c r="C360" s="6" t="s">
        <v>53</v>
      </c>
      <c r="D360" s="8">
        <v>4301</v>
      </c>
      <c r="E360" s="9">
        <v>434</v>
      </c>
      <c r="H360" s="6">
        <v>194567</v>
      </c>
      <c r="I360" s="10" t="s">
        <v>293</v>
      </c>
      <c r="J360" s="6" t="s">
        <v>276</v>
      </c>
      <c r="K360" s="6" t="s">
        <v>2673</v>
      </c>
      <c r="L360" s="11">
        <v>43282</v>
      </c>
      <c r="M360" s="11">
        <f>DCPXX[[#This Row],[INV DOC DATE]]+30</f>
        <v>43312</v>
      </c>
      <c r="N360" s="11">
        <v>43279</v>
      </c>
      <c r="Q360" s="13">
        <f t="shared" si="6"/>
        <v>434</v>
      </c>
      <c r="R360" s="13" t="str">
        <f ca="1">IF(TODAY() - DCPXX[INV DUE DATE]&lt;30, "Less than 30 days",IF(TODAY()-DCPXX[INV DUE DATE]&lt;60,"30-60 days","More than 60 days"))</f>
        <v>Less than 30 days</v>
      </c>
      <c r="S360" s="6" t="s">
        <v>817</v>
      </c>
      <c r="U360" s="13" t="s">
        <v>3699</v>
      </c>
    </row>
    <row r="361" spans="1:21" x14ac:dyDescent="0.3">
      <c r="A361" s="6" t="s">
        <v>4126</v>
      </c>
      <c r="B361" s="6" t="s">
        <v>30</v>
      </c>
      <c r="C361" s="6" t="s">
        <v>54</v>
      </c>
      <c r="D361" s="8">
        <v>4301</v>
      </c>
      <c r="E361" s="9">
        <v>434</v>
      </c>
      <c r="H361" s="6">
        <v>194567</v>
      </c>
      <c r="I361" s="10" t="s">
        <v>293</v>
      </c>
      <c r="J361" s="6" t="s">
        <v>277</v>
      </c>
      <c r="K361" s="6" t="s">
        <v>2673</v>
      </c>
      <c r="L361" s="11">
        <v>43282</v>
      </c>
      <c r="M361" s="11">
        <f>DCPXX[[#This Row],[INV DOC DATE]]+30</f>
        <v>43312</v>
      </c>
      <c r="N361" s="11">
        <v>43279</v>
      </c>
      <c r="Q361" s="13">
        <f t="shared" si="6"/>
        <v>434</v>
      </c>
      <c r="R361" s="13" t="str">
        <f ca="1">IF(TODAY() - DCPXX[INV DUE DATE]&lt;30, "Less than 30 days",IF(TODAY()-DCPXX[INV DUE DATE]&lt;60,"30-60 days","More than 60 days"))</f>
        <v>Less than 30 days</v>
      </c>
      <c r="S361" s="6" t="s">
        <v>817</v>
      </c>
      <c r="U361" s="13" t="s">
        <v>3699</v>
      </c>
    </row>
    <row r="362" spans="1:21" x14ac:dyDescent="0.3">
      <c r="A362" s="6" t="s">
        <v>4126</v>
      </c>
      <c r="B362" s="6" t="s">
        <v>30</v>
      </c>
      <c r="C362" s="6" t="s">
        <v>55</v>
      </c>
      <c r="D362" s="8">
        <v>4301</v>
      </c>
      <c r="E362" s="9">
        <v>434</v>
      </c>
      <c r="H362" s="6">
        <v>194567</v>
      </c>
      <c r="I362" s="10" t="s">
        <v>293</v>
      </c>
      <c r="J362" s="6" t="s">
        <v>278</v>
      </c>
      <c r="K362" s="6" t="s">
        <v>2673</v>
      </c>
      <c r="L362" s="11">
        <v>43282</v>
      </c>
      <c r="M362" s="11">
        <f>DCPXX[[#This Row],[INV DOC DATE]]+30</f>
        <v>43312</v>
      </c>
      <c r="N362" s="11">
        <v>43279</v>
      </c>
      <c r="Q362" s="13">
        <f t="shared" si="6"/>
        <v>434</v>
      </c>
      <c r="R362" s="13" t="str">
        <f ca="1">IF(TODAY() - DCPXX[INV DUE DATE]&lt;30, "Less than 30 days",IF(TODAY()-DCPXX[INV DUE DATE]&lt;60,"30-60 days","More than 60 days"))</f>
        <v>Less than 30 days</v>
      </c>
      <c r="S362" s="6" t="s">
        <v>817</v>
      </c>
      <c r="U362" s="13" t="s">
        <v>3699</v>
      </c>
    </row>
    <row r="363" spans="1:21" x14ac:dyDescent="0.3">
      <c r="A363" s="6" t="s">
        <v>4126</v>
      </c>
      <c r="B363" s="6" t="s">
        <v>30</v>
      </c>
      <c r="C363" s="6" t="s">
        <v>56</v>
      </c>
      <c r="D363" s="8">
        <v>4301</v>
      </c>
      <c r="E363" s="9">
        <v>178.25</v>
      </c>
      <c r="H363" s="6">
        <v>194567</v>
      </c>
      <c r="I363" s="10" t="s">
        <v>293</v>
      </c>
      <c r="J363" s="6" t="s">
        <v>4127</v>
      </c>
      <c r="K363" s="6" t="s">
        <v>2673</v>
      </c>
      <c r="L363" s="11">
        <v>43282</v>
      </c>
      <c r="M363" s="11">
        <f>DCPXX[[#This Row],[INV DOC DATE]]+30</f>
        <v>43312</v>
      </c>
      <c r="N363" s="11">
        <v>43279</v>
      </c>
      <c r="Q363" s="13">
        <f t="shared" si="6"/>
        <v>178.25</v>
      </c>
      <c r="R363" s="13" t="str">
        <f ca="1">IF(TODAY() - DCPXX[INV DUE DATE]&lt;30, "Less than 30 days",IF(TODAY()-DCPXX[INV DUE DATE]&lt;60,"30-60 days","More than 60 days"))</f>
        <v>Less than 30 days</v>
      </c>
      <c r="S363" s="6" t="s">
        <v>817</v>
      </c>
      <c r="U363" s="13" t="s">
        <v>3699</v>
      </c>
    </row>
    <row r="364" spans="1:21" x14ac:dyDescent="0.3">
      <c r="A364" s="6" t="s">
        <v>4126</v>
      </c>
      <c r="B364" s="6" t="s">
        <v>30</v>
      </c>
      <c r="C364" s="6" t="s">
        <v>57</v>
      </c>
      <c r="D364" s="8">
        <v>4301</v>
      </c>
      <c r="E364" s="9">
        <v>232.5</v>
      </c>
      <c r="H364" s="6">
        <v>194567</v>
      </c>
      <c r="I364" s="10" t="s">
        <v>293</v>
      </c>
      <c r="J364" s="6" t="s">
        <v>4128</v>
      </c>
      <c r="K364" s="6" t="s">
        <v>2673</v>
      </c>
      <c r="L364" s="11">
        <v>43282</v>
      </c>
      <c r="M364" s="11">
        <f>DCPXX[[#This Row],[INV DOC DATE]]+30</f>
        <v>43312</v>
      </c>
      <c r="N364" s="11">
        <v>43279</v>
      </c>
      <c r="Q364" s="13">
        <f t="shared" si="6"/>
        <v>232.5</v>
      </c>
      <c r="R364" s="13" t="str">
        <f ca="1">IF(TODAY() - DCPXX[INV DUE DATE]&lt;30, "Less than 30 days",IF(TODAY()-DCPXX[INV DUE DATE]&lt;60,"30-60 days","More than 60 days"))</f>
        <v>Less than 30 days</v>
      </c>
      <c r="S364" s="6" t="s">
        <v>817</v>
      </c>
      <c r="U364" s="13" t="s">
        <v>3699</v>
      </c>
    </row>
    <row r="365" spans="1:21" x14ac:dyDescent="0.3">
      <c r="A365" s="6" t="s">
        <v>4126</v>
      </c>
      <c r="B365" s="6" t="s">
        <v>30</v>
      </c>
      <c r="C365" s="6" t="s">
        <v>58</v>
      </c>
      <c r="D365" s="8">
        <v>4301</v>
      </c>
      <c r="E365" s="9">
        <v>434</v>
      </c>
      <c r="H365" s="6">
        <v>194567</v>
      </c>
      <c r="I365" s="10" t="s">
        <v>293</v>
      </c>
      <c r="J365" s="6" t="s">
        <v>279</v>
      </c>
      <c r="K365" s="6" t="s">
        <v>2673</v>
      </c>
      <c r="L365" s="11">
        <v>43282</v>
      </c>
      <c r="M365" s="11">
        <f>DCPXX[[#This Row],[INV DOC DATE]]+30</f>
        <v>43312</v>
      </c>
      <c r="N365" s="11">
        <v>43279</v>
      </c>
      <c r="Q365" s="13">
        <f t="shared" si="6"/>
        <v>434</v>
      </c>
      <c r="R365" s="13" t="str">
        <f ca="1">IF(TODAY() - DCPXX[INV DUE DATE]&lt;30, "Less than 30 days",IF(TODAY()-DCPXX[INV DUE DATE]&lt;60,"30-60 days","More than 60 days"))</f>
        <v>Less than 30 days</v>
      </c>
      <c r="S365" s="6" t="s">
        <v>817</v>
      </c>
      <c r="U365" s="13" t="s">
        <v>3699</v>
      </c>
    </row>
    <row r="366" spans="1:21" x14ac:dyDescent="0.3">
      <c r="A366" s="6" t="s">
        <v>4126</v>
      </c>
      <c r="B366" s="6" t="s">
        <v>30</v>
      </c>
      <c r="C366" s="6" t="s">
        <v>59</v>
      </c>
      <c r="D366" s="8">
        <v>4301</v>
      </c>
      <c r="E366" s="9">
        <v>310</v>
      </c>
      <c r="H366" s="6">
        <v>194567</v>
      </c>
      <c r="I366" s="10" t="s">
        <v>293</v>
      </c>
      <c r="J366" s="6" t="s">
        <v>280</v>
      </c>
      <c r="K366" s="6" t="s">
        <v>2673</v>
      </c>
      <c r="L366" s="11">
        <v>43282</v>
      </c>
      <c r="M366" s="11">
        <f>DCPXX[[#This Row],[INV DOC DATE]]+30</f>
        <v>43312</v>
      </c>
      <c r="N366" s="11">
        <v>43279</v>
      </c>
      <c r="Q366" s="13">
        <f t="shared" si="6"/>
        <v>310</v>
      </c>
      <c r="R366" s="13" t="str">
        <f ca="1">IF(TODAY() - DCPXX[INV DUE DATE]&lt;30, "Less than 30 days",IF(TODAY()-DCPXX[INV DUE DATE]&lt;60,"30-60 days","More than 60 days"))</f>
        <v>Less than 30 days</v>
      </c>
      <c r="S366" s="6" t="s">
        <v>817</v>
      </c>
      <c r="U366" s="13" t="s">
        <v>3699</v>
      </c>
    </row>
    <row r="367" spans="1:21" x14ac:dyDescent="0.3">
      <c r="A367" s="6" t="s">
        <v>4126</v>
      </c>
      <c r="B367" s="6" t="s">
        <v>30</v>
      </c>
      <c r="C367" s="6" t="s">
        <v>60</v>
      </c>
      <c r="D367" s="8">
        <v>4301</v>
      </c>
      <c r="E367" s="9">
        <v>232.5</v>
      </c>
      <c r="H367" s="6">
        <v>194659</v>
      </c>
      <c r="I367" s="10" t="s">
        <v>293</v>
      </c>
      <c r="J367" s="6" t="s">
        <v>153</v>
      </c>
      <c r="K367" s="6" t="s">
        <v>2673</v>
      </c>
      <c r="L367" s="11">
        <v>43282</v>
      </c>
      <c r="M367" s="11">
        <f>DCPXX[[#This Row],[INV DOC DATE]]+30</f>
        <v>43312</v>
      </c>
      <c r="N367" s="11">
        <v>43279</v>
      </c>
      <c r="Q367" s="13">
        <f t="shared" si="6"/>
        <v>232.5</v>
      </c>
      <c r="R367" s="13" t="str">
        <f ca="1">IF(TODAY() - DCPXX[INV DUE DATE]&lt;30, "Less than 30 days",IF(TODAY()-DCPXX[INV DUE DATE]&lt;60,"30-60 days","More than 60 days"))</f>
        <v>Less than 30 days</v>
      </c>
      <c r="S367" s="6" t="s">
        <v>817</v>
      </c>
      <c r="U367" s="13" t="s">
        <v>3699</v>
      </c>
    </row>
    <row r="368" spans="1:21" x14ac:dyDescent="0.3">
      <c r="A368" s="6" t="s">
        <v>4126</v>
      </c>
      <c r="B368" s="6" t="s">
        <v>30</v>
      </c>
      <c r="C368" s="6" t="s">
        <v>61</v>
      </c>
      <c r="D368" s="8">
        <v>4301</v>
      </c>
      <c r="E368" s="9">
        <v>232.5</v>
      </c>
      <c r="H368" s="6">
        <v>194659</v>
      </c>
      <c r="I368" s="10" t="s">
        <v>293</v>
      </c>
      <c r="J368" s="6" t="s">
        <v>154</v>
      </c>
      <c r="K368" s="6" t="s">
        <v>2673</v>
      </c>
      <c r="L368" s="11">
        <v>43282</v>
      </c>
      <c r="M368" s="11">
        <f>DCPXX[[#This Row],[INV DOC DATE]]+30</f>
        <v>43312</v>
      </c>
      <c r="N368" s="11">
        <v>43279</v>
      </c>
      <c r="Q368" s="13">
        <f t="shared" si="6"/>
        <v>232.5</v>
      </c>
      <c r="R368" s="13" t="str">
        <f ca="1">IF(TODAY() - DCPXX[INV DUE DATE]&lt;30, "Less than 30 days",IF(TODAY()-DCPXX[INV DUE DATE]&lt;60,"30-60 days","More than 60 days"))</f>
        <v>Less than 30 days</v>
      </c>
      <c r="S368" s="6" t="s">
        <v>817</v>
      </c>
      <c r="U368" s="13" t="s">
        <v>3699</v>
      </c>
    </row>
    <row r="369" spans="1:21" x14ac:dyDescent="0.3">
      <c r="A369" s="6" t="s">
        <v>4126</v>
      </c>
      <c r="B369" s="6" t="s">
        <v>30</v>
      </c>
      <c r="C369" s="6" t="s">
        <v>62</v>
      </c>
      <c r="D369" s="8">
        <v>4301</v>
      </c>
      <c r="E369" s="9">
        <v>232.5</v>
      </c>
      <c r="H369" s="6">
        <v>194659</v>
      </c>
      <c r="I369" s="10" t="s">
        <v>293</v>
      </c>
      <c r="J369" s="6" t="s">
        <v>155</v>
      </c>
      <c r="K369" s="6" t="s">
        <v>2673</v>
      </c>
      <c r="L369" s="11">
        <v>43282</v>
      </c>
      <c r="M369" s="11">
        <f>DCPXX[[#This Row],[INV DOC DATE]]+30</f>
        <v>43312</v>
      </c>
      <c r="N369" s="11">
        <v>43279</v>
      </c>
      <c r="Q369" s="13">
        <f t="shared" si="6"/>
        <v>232.5</v>
      </c>
      <c r="R369" s="13" t="str">
        <f ca="1">IF(TODAY() - DCPXX[INV DUE DATE]&lt;30, "Less than 30 days",IF(TODAY()-DCPXX[INV DUE DATE]&lt;60,"30-60 days","More than 60 days"))</f>
        <v>Less than 30 days</v>
      </c>
      <c r="S369" s="6" t="s">
        <v>817</v>
      </c>
      <c r="U369" s="13" t="s">
        <v>3699</v>
      </c>
    </row>
    <row r="370" spans="1:21" x14ac:dyDescent="0.3">
      <c r="A370" s="6" t="s">
        <v>4126</v>
      </c>
      <c r="B370" s="6" t="s">
        <v>30</v>
      </c>
      <c r="C370" s="6" t="s">
        <v>63</v>
      </c>
      <c r="D370" s="8">
        <v>4301</v>
      </c>
      <c r="E370" s="9">
        <v>232.5</v>
      </c>
      <c r="H370" s="6">
        <v>194659</v>
      </c>
      <c r="I370" s="10" t="s">
        <v>293</v>
      </c>
      <c r="J370" s="6" t="s">
        <v>156</v>
      </c>
      <c r="K370" s="6" t="s">
        <v>2673</v>
      </c>
      <c r="L370" s="11">
        <v>43282</v>
      </c>
      <c r="M370" s="11">
        <f>DCPXX[[#This Row],[INV DOC DATE]]+30</f>
        <v>43312</v>
      </c>
      <c r="N370" s="11">
        <v>43279</v>
      </c>
      <c r="Q370" s="13">
        <f t="shared" si="6"/>
        <v>232.5</v>
      </c>
      <c r="R370" s="13" t="str">
        <f ca="1">IF(TODAY() - DCPXX[INV DUE DATE]&lt;30, "Less than 30 days",IF(TODAY()-DCPXX[INV DUE DATE]&lt;60,"30-60 days","More than 60 days"))</f>
        <v>Less than 30 days</v>
      </c>
      <c r="S370" s="6" t="s">
        <v>817</v>
      </c>
      <c r="U370" s="13" t="s">
        <v>3699</v>
      </c>
    </row>
    <row r="371" spans="1:21" x14ac:dyDescent="0.3">
      <c r="A371" s="6" t="s">
        <v>4126</v>
      </c>
      <c r="B371" s="6" t="s">
        <v>30</v>
      </c>
      <c r="C371" s="6" t="s">
        <v>64</v>
      </c>
      <c r="D371" s="8">
        <v>4301</v>
      </c>
      <c r="E371" s="9">
        <v>232.5</v>
      </c>
      <c r="H371" s="6">
        <v>194659</v>
      </c>
      <c r="I371" s="10" t="s">
        <v>293</v>
      </c>
      <c r="J371" s="6" t="s">
        <v>231</v>
      </c>
      <c r="K371" s="6" t="s">
        <v>2673</v>
      </c>
      <c r="L371" s="11">
        <v>43282</v>
      </c>
      <c r="M371" s="11">
        <f>DCPXX[[#This Row],[INV DOC DATE]]+30</f>
        <v>43312</v>
      </c>
      <c r="N371" s="11">
        <v>43279</v>
      </c>
      <c r="Q371" s="13">
        <f t="shared" si="6"/>
        <v>232.5</v>
      </c>
      <c r="R371" s="13" t="str">
        <f ca="1">IF(TODAY() - DCPXX[INV DUE DATE]&lt;30, "Less than 30 days",IF(TODAY()-DCPXX[INV DUE DATE]&lt;60,"30-60 days","More than 60 days"))</f>
        <v>Less than 30 days</v>
      </c>
      <c r="S371" s="6" t="s">
        <v>817</v>
      </c>
      <c r="U371" s="13" t="s">
        <v>3699</v>
      </c>
    </row>
    <row r="372" spans="1:21" x14ac:dyDescent="0.3">
      <c r="A372" s="6" t="s">
        <v>4126</v>
      </c>
      <c r="B372" s="6" t="s">
        <v>30</v>
      </c>
      <c r="C372" s="6" t="s">
        <v>65</v>
      </c>
      <c r="D372" s="8">
        <v>4301</v>
      </c>
      <c r="E372" s="9">
        <v>232.5</v>
      </c>
      <c r="H372" s="6">
        <v>194659</v>
      </c>
      <c r="I372" s="10" t="s">
        <v>293</v>
      </c>
      <c r="J372" s="6" t="s">
        <v>232</v>
      </c>
      <c r="K372" s="6" t="s">
        <v>2673</v>
      </c>
      <c r="L372" s="11">
        <v>43282</v>
      </c>
      <c r="M372" s="11">
        <f>DCPXX[[#This Row],[INV DOC DATE]]+30</f>
        <v>43312</v>
      </c>
      <c r="N372" s="11">
        <v>43279</v>
      </c>
      <c r="Q372" s="13">
        <f t="shared" si="6"/>
        <v>232.5</v>
      </c>
      <c r="R372" s="13" t="str">
        <f ca="1">IF(TODAY() - DCPXX[INV DUE DATE]&lt;30, "Less than 30 days",IF(TODAY()-DCPXX[INV DUE DATE]&lt;60,"30-60 days","More than 60 days"))</f>
        <v>Less than 30 days</v>
      </c>
      <c r="S372" s="6" t="s">
        <v>817</v>
      </c>
      <c r="U372" s="13" t="s">
        <v>3699</v>
      </c>
    </row>
    <row r="373" spans="1:21" x14ac:dyDescent="0.3">
      <c r="A373" s="6" t="s">
        <v>4126</v>
      </c>
      <c r="B373" s="6" t="s">
        <v>30</v>
      </c>
      <c r="C373" s="6" t="s">
        <v>66</v>
      </c>
      <c r="D373" s="8">
        <v>4301</v>
      </c>
      <c r="E373" s="9">
        <v>232.5</v>
      </c>
      <c r="H373" s="6">
        <v>194659</v>
      </c>
      <c r="I373" s="10" t="s">
        <v>293</v>
      </c>
      <c r="J373" s="6" t="s">
        <v>157</v>
      </c>
      <c r="K373" s="6" t="s">
        <v>2673</v>
      </c>
      <c r="L373" s="11">
        <v>43282</v>
      </c>
      <c r="M373" s="11">
        <f>DCPXX[[#This Row],[INV DOC DATE]]+30</f>
        <v>43312</v>
      </c>
      <c r="N373" s="11">
        <v>43279</v>
      </c>
      <c r="Q373" s="13">
        <f t="shared" si="6"/>
        <v>232.5</v>
      </c>
      <c r="R373" s="13" t="str">
        <f ca="1">IF(TODAY() - DCPXX[INV DUE DATE]&lt;30, "Less than 30 days",IF(TODAY()-DCPXX[INV DUE DATE]&lt;60,"30-60 days","More than 60 days"))</f>
        <v>Less than 30 days</v>
      </c>
      <c r="S373" s="6" t="s">
        <v>817</v>
      </c>
      <c r="U373" s="13" t="s">
        <v>3699</v>
      </c>
    </row>
    <row r="374" spans="1:21" x14ac:dyDescent="0.3">
      <c r="A374" s="6" t="s">
        <v>4126</v>
      </c>
      <c r="B374" s="6" t="s">
        <v>30</v>
      </c>
      <c r="C374" s="6" t="s">
        <v>67</v>
      </c>
      <c r="D374" s="8">
        <v>4301</v>
      </c>
      <c r="E374" s="9">
        <v>232.5</v>
      </c>
      <c r="H374" s="6">
        <v>194659</v>
      </c>
      <c r="I374" s="10" t="s">
        <v>293</v>
      </c>
      <c r="J374" s="6" t="s">
        <v>158</v>
      </c>
      <c r="K374" s="6" t="s">
        <v>2673</v>
      </c>
      <c r="L374" s="11">
        <v>43282</v>
      </c>
      <c r="M374" s="11">
        <f>DCPXX[[#This Row],[INV DOC DATE]]+30</f>
        <v>43312</v>
      </c>
      <c r="N374" s="11">
        <v>43279</v>
      </c>
      <c r="Q374" s="13">
        <f t="shared" si="6"/>
        <v>232.5</v>
      </c>
      <c r="R374" s="13" t="str">
        <f ca="1">IF(TODAY() - DCPXX[INV DUE DATE]&lt;30, "Less than 30 days",IF(TODAY()-DCPXX[INV DUE DATE]&lt;60,"30-60 days","More than 60 days"))</f>
        <v>Less than 30 days</v>
      </c>
      <c r="S374" s="6" t="s">
        <v>817</v>
      </c>
      <c r="U374" s="13" t="s">
        <v>3699</v>
      </c>
    </row>
    <row r="375" spans="1:21" x14ac:dyDescent="0.3">
      <c r="A375" s="6" t="s">
        <v>4126</v>
      </c>
      <c r="B375" s="6" t="s">
        <v>30</v>
      </c>
      <c r="C375" s="6" t="s">
        <v>68</v>
      </c>
      <c r="D375" s="8">
        <v>4301</v>
      </c>
      <c r="E375" s="9">
        <v>232.5</v>
      </c>
      <c r="H375" s="6">
        <v>194659</v>
      </c>
      <c r="I375" s="10" t="s">
        <v>293</v>
      </c>
      <c r="J375" s="6" t="s">
        <v>229</v>
      </c>
      <c r="K375" s="6" t="s">
        <v>2673</v>
      </c>
      <c r="L375" s="11">
        <v>43282</v>
      </c>
      <c r="M375" s="11">
        <f>DCPXX[[#This Row],[INV DOC DATE]]+30</f>
        <v>43312</v>
      </c>
      <c r="N375" s="11">
        <v>43279</v>
      </c>
      <c r="Q375" s="13">
        <f t="shared" si="6"/>
        <v>232.5</v>
      </c>
      <c r="R375" s="13" t="str">
        <f ca="1">IF(TODAY() - DCPXX[INV DUE DATE]&lt;30, "Less than 30 days",IF(TODAY()-DCPXX[INV DUE DATE]&lt;60,"30-60 days","More than 60 days"))</f>
        <v>Less than 30 days</v>
      </c>
      <c r="S375" s="6" t="s">
        <v>817</v>
      </c>
      <c r="U375" s="13" t="s">
        <v>3699</v>
      </c>
    </row>
    <row r="376" spans="1:21" x14ac:dyDescent="0.3">
      <c r="A376" s="6" t="s">
        <v>4126</v>
      </c>
      <c r="B376" s="6" t="s">
        <v>30</v>
      </c>
      <c r="C376" s="6" t="s">
        <v>69</v>
      </c>
      <c r="D376" s="8">
        <v>4301</v>
      </c>
      <c r="E376" s="9">
        <v>232.5</v>
      </c>
      <c r="H376" s="6">
        <v>194659</v>
      </c>
      <c r="I376" s="10" t="s">
        <v>293</v>
      </c>
      <c r="J376" s="6" t="s">
        <v>230</v>
      </c>
      <c r="K376" s="6" t="s">
        <v>2673</v>
      </c>
      <c r="L376" s="11">
        <v>43282</v>
      </c>
      <c r="M376" s="11">
        <f>DCPXX[[#This Row],[INV DOC DATE]]+30</f>
        <v>43312</v>
      </c>
      <c r="N376" s="11">
        <v>43279</v>
      </c>
      <c r="Q376" s="13">
        <f t="shared" si="6"/>
        <v>232.5</v>
      </c>
      <c r="R376" s="13" t="str">
        <f ca="1">IF(TODAY() - DCPXX[INV DUE DATE]&lt;30, "Less than 30 days",IF(TODAY()-DCPXX[INV DUE DATE]&lt;60,"30-60 days","More than 60 days"))</f>
        <v>Less than 30 days</v>
      </c>
      <c r="S376" s="6" t="s">
        <v>817</v>
      </c>
      <c r="U376" s="13" t="s">
        <v>3699</v>
      </c>
    </row>
    <row r="377" spans="1:21" x14ac:dyDescent="0.3">
      <c r="A377" s="6" t="s">
        <v>4126</v>
      </c>
      <c r="B377" s="6" t="s">
        <v>30</v>
      </c>
      <c r="C377" s="6" t="s">
        <v>70</v>
      </c>
      <c r="D377" s="8">
        <v>4301</v>
      </c>
      <c r="E377" s="9">
        <v>178.25</v>
      </c>
      <c r="H377" s="6">
        <v>194661</v>
      </c>
      <c r="I377" s="10" t="s">
        <v>293</v>
      </c>
      <c r="J377" s="6" t="s">
        <v>233</v>
      </c>
      <c r="K377" s="6" t="s">
        <v>2673</v>
      </c>
      <c r="L377" s="11">
        <v>43282</v>
      </c>
      <c r="M377" s="11">
        <f>DCPXX[[#This Row],[INV DOC DATE]]+30</f>
        <v>43312</v>
      </c>
      <c r="N377" s="11">
        <v>43279</v>
      </c>
      <c r="Q377" s="13">
        <f t="shared" si="6"/>
        <v>178.25</v>
      </c>
      <c r="R377" s="13" t="str">
        <f ca="1">IF(TODAY() - DCPXX[INV DUE DATE]&lt;30, "Less than 30 days",IF(TODAY()-DCPXX[INV DUE DATE]&lt;60,"30-60 days","More than 60 days"))</f>
        <v>Less than 30 days</v>
      </c>
      <c r="S377" s="6" t="s">
        <v>817</v>
      </c>
      <c r="U377" s="13" t="s">
        <v>3699</v>
      </c>
    </row>
    <row r="378" spans="1:21" x14ac:dyDescent="0.3">
      <c r="A378" s="6" t="s">
        <v>4126</v>
      </c>
      <c r="B378" s="6" t="s">
        <v>30</v>
      </c>
      <c r="C378" s="6" t="s">
        <v>71</v>
      </c>
      <c r="D378" s="8">
        <v>4301</v>
      </c>
      <c r="E378" s="9">
        <v>434</v>
      </c>
      <c r="H378" s="6">
        <v>194662</v>
      </c>
      <c r="I378" s="10" t="s">
        <v>293</v>
      </c>
      <c r="J378" s="6" t="s">
        <v>227</v>
      </c>
      <c r="K378" s="6" t="s">
        <v>2673</v>
      </c>
      <c r="L378" s="11">
        <v>43282</v>
      </c>
      <c r="M378" s="11">
        <f>DCPXX[[#This Row],[INV DOC DATE]]+30</f>
        <v>43312</v>
      </c>
      <c r="N378" s="11">
        <v>43279</v>
      </c>
      <c r="Q378" s="13">
        <f t="shared" si="6"/>
        <v>434</v>
      </c>
      <c r="R378" s="13" t="str">
        <f ca="1">IF(TODAY() - DCPXX[INV DUE DATE]&lt;30, "Less than 30 days",IF(TODAY()-DCPXX[INV DUE DATE]&lt;60,"30-60 days","More than 60 days"))</f>
        <v>Less than 30 days</v>
      </c>
      <c r="S378" s="6" t="s">
        <v>817</v>
      </c>
      <c r="U378" s="13" t="s">
        <v>3699</v>
      </c>
    </row>
    <row r="379" spans="1:21" x14ac:dyDescent="0.3">
      <c r="A379" s="6" t="s">
        <v>4126</v>
      </c>
      <c r="B379" s="6" t="s">
        <v>30</v>
      </c>
      <c r="C379" s="6" t="s">
        <v>72</v>
      </c>
      <c r="D379" s="8">
        <v>4301</v>
      </c>
      <c r="E379" s="9">
        <v>232.5</v>
      </c>
      <c r="H379" s="6">
        <v>194662</v>
      </c>
      <c r="I379" s="10" t="s">
        <v>293</v>
      </c>
      <c r="J379" s="6" t="s">
        <v>228</v>
      </c>
      <c r="K379" s="6" t="s">
        <v>2673</v>
      </c>
      <c r="L379" s="11">
        <v>43282</v>
      </c>
      <c r="M379" s="11">
        <f>DCPXX[[#This Row],[INV DOC DATE]]+30</f>
        <v>43312</v>
      </c>
      <c r="N379" s="11">
        <v>43279</v>
      </c>
      <c r="Q379" s="13">
        <f t="shared" si="6"/>
        <v>232.5</v>
      </c>
      <c r="R379" s="13" t="str">
        <f ca="1">IF(TODAY() - DCPXX[INV DUE DATE]&lt;30, "Less than 30 days",IF(TODAY()-DCPXX[INV DUE DATE]&lt;60,"30-60 days","More than 60 days"))</f>
        <v>Less than 30 days</v>
      </c>
      <c r="S379" s="6" t="s">
        <v>817</v>
      </c>
      <c r="U379" s="13" t="s">
        <v>3699</v>
      </c>
    </row>
    <row r="380" spans="1:21" x14ac:dyDescent="0.3">
      <c r="A380" s="6" t="s">
        <v>4126</v>
      </c>
      <c r="B380" s="6" t="s">
        <v>30</v>
      </c>
      <c r="C380" s="6" t="s">
        <v>73</v>
      </c>
      <c r="D380" s="8">
        <v>4301</v>
      </c>
      <c r="E380" s="9">
        <v>434</v>
      </c>
      <c r="H380" s="6">
        <v>194663</v>
      </c>
      <c r="I380" s="10" t="s">
        <v>293</v>
      </c>
      <c r="J380" s="6" t="s">
        <v>197</v>
      </c>
      <c r="K380" s="6" t="s">
        <v>2673</v>
      </c>
      <c r="L380" s="11">
        <v>43282</v>
      </c>
      <c r="M380" s="11">
        <f>DCPXX[[#This Row],[INV DOC DATE]]+30</f>
        <v>43312</v>
      </c>
      <c r="N380" s="11">
        <v>43279</v>
      </c>
      <c r="Q380" s="13">
        <f t="shared" si="6"/>
        <v>434</v>
      </c>
      <c r="R380" s="13" t="str">
        <f ca="1">IF(TODAY() - DCPXX[INV DUE DATE]&lt;30, "Less than 30 days",IF(TODAY()-DCPXX[INV DUE DATE]&lt;60,"30-60 days","More than 60 days"))</f>
        <v>Less than 30 days</v>
      </c>
      <c r="S380" s="6" t="s">
        <v>817</v>
      </c>
      <c r="U380" s="13" t="s">
        <v>3699</v>
      </c>
    </row>
    <row r="381" spans="1:21" x14ac:dyDescent="0.3">
      <c r="A381" s="6" t="s">
        <v>4126</v>
      </c>
      <c r="B381" s="6" t="s">
        <v>30</v>
      </c>
      <c r="C381" s="6" t="s">
        <v>74</v>
      </c>
      <c r="D381" s="8">
        <v>4301</v>
      </c>
      <c r="E381" s="9">
        <v>434</v>
      </c>
      <c r="H381" s="6">
        <v>194663</v>
      </c>
      <c r="I381" s="10" t="s">
        <v>293</v>
      </c>
      <c r="J381" s="6" t="s">
        <v>198</v>
      </c>
      <c r="K381" s="6" t="s">
        <v>2673</v>
      </c>
      <c r="L381" s="11">
        <v>43282</v>
      </c>
      <c r="M381" s="11">
        <f>DCPXX[[#This Row],[INV DOC DATE]]+30</f>
        <v>43312</v>
      </c>
      <c r="N381" s="11">
        <v>43279</v>
      </c>
      <c r="Q381" s="13">
        <f t="shared" si="6"/>
        <v>434</v>
      </c>
      <c r="R381" s="13" t="str">
        <f ca="1">IF(TODAY() - DCPXX[INV DUE DATE]&lt;30, "Less than 30 days",IF(TODAY()-DCPXX[INV DUE DATE]&lt;60,"30-60 days","More than 60 days"))</f>
        <v>Less than 30 days</v>
      </c>
      <c r="S381" s="6" t="s">
        <v>817</v>
      </c>
      <c r="U381" s="13" t="s">
        <v>3699</v>
      </c>
    </row>
    <row r="382" spans="1:21" x14ac:dyDescent="0.3">
      <c r="A382" s="6" t="s">
        <v>4126</v>
      </c>
      <c r="B382" s="6" t="s">
        <v>30</v>
      </c>
      <c r="C382" s="6" t="s">
        <v>75</v>
      </c>
      <c r="D382" s="8">
        <v>4301</v>
      </c>
      <c r="E382" s="9">
        <v>434</v>
      </c>
      <c r="H382" s="6">
        <v>194663</v>
      </c>
      <c r="I382" s="10" t="s">
        <v>293</v>
      </c>
      <c r="J382" s="6" t="s">
        <v>199</v>
      </c>
      <c r="K382" s="6" t="s">
        <v>2673</v>
      </c>
      <c r="L382" s="11">
        <v>43282</v>
      </c>
      <c r="M382" s="11">
        <f>DCPXX[[#This Row],[INV DOC DATE]]+30</f>
        <v>43312</v>
      </c>
      <c r="N382" s="11">
        <v>43279</v>
      </c>
      <c r="Q382" s="13">
        <f t="shared" si="6"/>
        <v>434</v>
      </c>
      <c r="R382" s="13" t="str">
        <f ca="1">IF(TODAY() - DCPXX[INV DUE DATE]&lt;30, "Less than 30 days",IF(TODAY()-DCPXX[INV DUE DATE]&lt;60,"30-60 days","More than 60 days"))</f>
        <v>Less than 30 days</v>
      </c>
      <c r="S382" s="6" t="s">
        <v>817</v>
      </c>
      <c r="U382" s="13" t="s">
        <v>3699</v>
      </c>
    </row>
    <row r="383" spans="1:21" x14ac:dyDescent="0.3">
      <c r="A383" s="6" t="s">
        <v>4126</v>
      </c>
      <c r="B383" s="6" t="s">
        <v>30</v>
      </c>
      <c r="C383" s="6" t="s">
        <v>76</v>
      </c>
      <c r="D383" s="8">
        <v>4301</v>
      </c>
      <c r="E383" s="9">
        <v>434</v>
      </c>
      <c r="H383" s="6">
        <v>194663</v>
      </c>
      <c r="I383" s="10" t="s">
        <v>293</v>
      </c>
      <c r="J383" s="6" t="s">
        <v>200</v>
      </c>
      <c r="K383" s="6" t="s">
        <v>2673</v>
      </c>
      <c r="L383" s="11">
        <v>43282</v>
      </c>
      <c r="M383" s="11">
        <f>DCPXX[[#This Row],[INV DOC DATE]]+30</f>
        <v>43312</v>
      </c>
      <c r="N383" s="11">
        <v>43279</v>
      </c>
      <c r="Q383" s="13">
        <f t="shared" si="6"/>
        <v>434</v>
      </c>
      <c r="R383" s="13" t="str">
        <f ca="1">IF(TODAY() - DCPXX[INV DUE DATE]&lt;30, "Less than 30 days",IF(TODAY()-DCPXX[INV DUE DATE]&lt;60,"30-60 days","More than 60 days"))</f>
        <v>Less than 30 days</v>
      </c>
      <c r="S383" s="6" t="s">
        <v>817</v>
      </c>
      <c r="U383" s="13" t="s">
        <v>3699</v>
      </c>
    </row>
    <row r="384" spans="1:21" x14ac:dyDescent="0.3">
      <c r="A384" s="6" t="s">
        <v>4126</v>
      </c>
      <c r="B384" s="6" t="s">
        <v>30</v>
      </c>
      <c r="C384" s="6" t="s">
        <v>77</v>
      </c>
      <c r="D384" s="8">
        <v>4301</v>
      </c>
      <c r="E384" s="9">
        <v>434</v>
      </c>
      <c r="H384" s="6">
        <v>194663</v>
      </c>
      <c r="I384" s="10" t="s">
        <v>293</v>
      </c>
      <c r="J384" s="6" t="s">
        <v>201</v>
      </c>
      <c r="K384" s="6" t="s">
        <v>2673</v>
      </c>
      <c r="L384" s="11">
        <v>43282</v>
      </c>
      <c r="M384" s="11">
        <f>DCPXX[[#This Row],[INV DOC DATE]]+30</f>
        <v>43312</v>
      </c>
      <c r="N384" s="11">
        <v>43279</v>
      </c>
      <c r="Q384" s="13">
        <f t="shared" ref="Q384:Q415" si="7">$E384-$O384</f>
        <v>434</v>
      </c>
      <c r="R384" s="13" t="str">
        <f ca="1">IF(TODAY() - DCPXX[INV DUE DATE]&lt;30, "Less than 30 days",IF(TODAY()-DCPXX[INV DUE DATE]&lt;60,"30-60 days","More than 60 days"))</f>
        <v>Less than 30 days</v>
      </c>
      <c r="S384" s="6" t="s">
        <v>817</v>
      </c>
      <c r="U384" s="13" t="s">
        <v>3699</v>
      </c>
    </row>
    <row r="385" spans="1:21" x14ac:dyDescent="0.3">
      <c r="A385" s="6" t="s">
        <v>4126</v>
      </c>
      <c r="B385" s="6" t="s">
        <v>30</v>
      </c>
      <c r="C385" s="6" t="s">
        <v>78</v>
      </c>
      <c r="D385" s="8">
        <v>4301</v>
      </c>
      <c r="E385" s="9">
        <v>232.5</v>
      </c>
      <c r="H385" s="6">
        <v>194663</v>
      </c>
      <c r="I385" s="10" t="s">
        <v>293</v>
      </c>
      <c r="J385" s="6" t="s">
        <v>202</v>
      </c>
      <c r="K385" s="6" t="s">
        <v>2673</v>
      </c>
      <c r="L385" s="11">
        <v>43282</v>
      </c>
      <c r="M385" s="11">
        <f>DCPXX[[#This Row],[INV DOC DATE]]+30</f>
        <v>43312</v>
      </c>
      <c r="N385" s="11">
        <v>43279</v>
      </c>
      <c r="Q385" s="13">
        <f t="shared" si="7"/>
        <v>232.5</v>
      </c>
      <c r="R385" s="13" t="str">
        <f ca="1">IF(TODAY() - DCPXX[INV DUE DATE]&lt;30, "Less than 30 days",IF(TODAY()-DCPXX[INV DUE DATE]&lt;60,"30-60 days","More than 60 days"))</f>
        <v>Less than 30 days</v>
      </c>
      <c r="S385" s="6" t="s">
        <v>817</v>
      </c>
      <c r="U385" s="13" t="s">
        <v>3699</v>
      </c>
    </row>
    <row r="386" spans="1:21" x14ac:dyDescent="0.3">
      <c r="A386" s="6" t="s">
        <v>4126</v>
      </c>
      <c r="B386" s="6" t="s">
        <v>30</v>
      </c>
      <c r="C386" s="6" t="s">
        <v>79</v>
      </c>
      <c r="D386" s="8">
        <v>4301</v>
      </c>
      <c r="E386" s="9">
        <v>232.5</v>
      </c>
      <c r="H386" s="6">
        <v>194663</v>
      </c>
      <c r="I386" s="10" t="s">
        <v>293</v>
      </c>
      <c r="J386" s="6" t="s">
        <v>203</v>
      </c>
      <c r="K386" s="6" t="s">
        <v>2673</v>
      </c>
      <c r="L386" s="11">
        <v>43282</v>
      </c>
      <c r="M386" s="11">
        <f>DCPXX[[#This Row],[INV DOC DATE]]+30</f>
        <v>43312</v>
      </c>
      <c r="N386" s="11">
        <v>43279</v>
      </c>
      <c r="Q386" s="13">
        <f t="shared" si="7"/>
        <v>232.5</v>
      </c>
      <c r="R386" s="13" t="str">
        <f ca="1">IF(TODAY() - DCPXX[INV DUE DATE]&lt;30, "Less than 30 days",IF(TODAY()-DCPXX[INV DUE DATE]&lt;60,"30-60 days","More than 60 days"))</f>
        <v>Less than 30 days</v>
      </c>
      <c r="S386" s="6" t="s">
        <v>817</v>
      </c>
      <c r="U386" s="13" t="s">
        <v>3699</v>
      </c>
    </row>
    <row r="387" spans="1:21" x14ac:dyDescent="0.3">
      <c r="A387" s="6" t="s">
        <v>4126</v>
      </c>
      <c r="B387" s="6" t="s">
        <v>30</v>
      </c>
      <c r="C387" s="6" t="s">
        <v>80</v>
      </c>
      <c r="D387" s="8">
        <v>4301</v>
      </c>
      <c r="E387" s="9">
        <v>232.5</v>
      </c>
      <c r="H387" s="6">
        <v>194663</v>
      </c>
      <c r="I387" s="10" t="s">
        <v>293</v>
      </c>
      <c r="J387" s="6" t="s">
        <v>204</v>
      </c>
      <c r="K387" s="6" t="s">
        <v>2673</v>
      </c>
      <c r="L387" s="11">
        <v>43282</v>
      </c>
      <c r="M387" s="11">
        <f>DCPXX[[#This Row],[INV DOC DATE]]+30</f>
        <v>43312</v>
      </c>
      <c r="N387" s="11">
        <v>43279</v>
      </c>
      <c r="Q387" s="13">
        <f t="shared" si="7"/>
        <v>232.5</v>
      </c>
      <c r="R387" s="13" t="str">
        <f ca="1">IF(TODAY() - DCPXX[INV DUE DATE]&lt;30, "Less than 30 days",IF(TODAY()-DCPXX[INV DUE DATE]&lt;60,"30-60 days","More than 60 days"))</f>
        <v>Less than 30 days</v>
      </c>
      <c r="S387" s="6" t="s">
        <v>817</v>
      </c>
      <c r="U387" s="13" t="s">
        <v>3699</v>
      </c>
    </row>
    <row r="388" spans="1:21" x14ac:dyDescent="0.3">
      <c r="A388" s="6" t="s">
        <v>4126</v>
      </c>
      <c r="B388" s="6" t="s">
        <v>30</v>
      </c>
      <c r="C388" s="6" t="s">
        <v>81</v>
      </c>
      <c r="D388" s="8">
        <v>4301</v>
      </c>
      <c r="E388" s="9">
        <v>232.5</v>
      </c>
      <c r="H388" s="6">
        <v>194663</v>
      </c>
      <c r="I388" s="10" t="s">
        <v>293</v>
      </c>
      <c r="J388" s="6" t="s">
        <v>205</v>
      </c>
      <c r="K388" s="6" t="s">
        <v>2673</v>
      </c>
      <c r="L388" s="11">
        <v>43282</v>
      </c>
      <c r="M388" s="11">
        <f>DCPXX[[#This Row],[INV DOC DATE]]+30</f>
        <v>43312</v>
      </c>
      <c r="N388" s="11">
        <v>43279</v>
      </c>
      <c r="Q388" s="13">
        <f t="shared" si="7"/>
        <v>232.5</v>
      </c>
      <c r="R388" s="13" t="str">
        <f ca="1">IF(TODAY() - DCPXX[INV DUE DATE]&lt;30, "Less than 30 days",IF(TODAY()-DCPXX[INV DUE DATE]&lt;60,"30-60 days","More than 60 days"))</f>
        <v>Less than 30 days</v>
      </c>
      <c r="S388" s="6" t="s">
        <v>817</v>
      </c>
      <c r="U388" s="13" t="s">
        <v>3699</v>
      </c>
    </row>
    <row r="389" spans="1:21" x14ac:dyDescent="0.3">
      <c r="A389" s="6" t="s">
        <v>4126</v>
      </c>
      <c r="B389" s="6" t="s">
        <v>30</v>
      </c>
      <c r="C389" s="6" t="s">
        <v>82</v>
      </c>
      <c r="D389" s="8">
        <v>4301</v>
      </c>
      <c r="E389" s="9">
        <v>232.5</v>
      </c>
      <c r="H389" s="6">
        <v>194663</v>
      </c>
      <c r="I389" s="10" t="s">
        <v>293</v>
      </c>
      <c r="J389" s="6" t="s">
        <v>206</v>
      </c>
      <c r="K389" s="6" t="s">
        <v>2673</v>
      </c>
      <c r="L389" s="11">
        <v>43282</v>
      </c>
      <c r="M389" s="11">
        <f>DCPXX[[#This Row],[INV DOC DATE]]+30</f>
        <v>43312</v>
      </c>
      <c r="N389" s="11">
        <v>43279</v>
      </c>
      <c r="Q389" s="13">
        <f t="shared" si="7"/>
        <v>232.5</v>
      </c>
      <c r="R389" s="13" t="str">
        <f ca="1">IF(TODAY() - DCPXX[INV DUE DATE]&lt;30, "Less than 30 days",IF(TODAY()-DCPXX[INV DUE DATE]&lt;60,"30-60 days","More than 60 days"))</f>
        <v>Less than 30 days</v>
      </c>
      <c r="S389" s="6" t="s">
        <v>817</v>
      </c>
      <c r="U389" s="13" t="s">
        <v>3699</v>
      </c>
    </row>
    <row r="390" spans="1:21" x14ac:dyDescent="0.3">
      <c r="A390" s="6" t="s">
        <v>4126</v>
      </c>
      <c r="B390" s="6" t="s">
        <v>30</v>
      </c>
      <c r="C390" s="6" t="s">
        <v>83</v>
      </c>
      <c r="D390" s="8">
        <v>4301</v>
      </c>
      <c r="E390" s="9">
        <v>434</v>
      </c>
      <c r="H390" s="6">
        <v>194663</v>
      </c>
      <c r="I390" s="10" t="s">
        <v>293</v>
      </c>
      <c r="J390" s="6" t="s">
        <v>207</v>
      </c>
      <c r="K390" s="6" t="s">
        <v>2673</v>
      </c>
      <c r="L390" s="11">
        <v>43282</v>
      </c>
      <c r="M390" s="11">
        <f>DCPXX[[#This Row],[INV DOC DATE]]+30</f>
        <v>43312</v>
      </c>
      <c r="N390" s="11">
        <v>43279</v>
      </c>
      <c r="Q390" s="13">
        <f t="shared" si="7"/>
        <v>434</v>
      </c>
      <c r="R390" s="13" t="str">
        <f ca="1">IF(TODAY() - DCPXX[INV DUE DATE]&lt;30, "Less than 30 days",IF(TODAY()-DCPXX[INV DUE DATE]&lt;60,"30-60 days","More than 60 days"))</f>
        <v>Less than 30 days</v>
      </c>
      <c r="S390" s="6" t="s">
        <v>817</v>
      </c>
      <c r="U390" s="13" t="s">
        <v>3699</v>
      </c>
    </row>
    <row r="391" spans="1:21" x14ac:dyDescent="0.3">
      <c r="A391" s="6" t="s">
        <v>4126</v>
      </c>
      <c r="B391" s="6" t="s">
        <v>30</v>
      </c>
      <c r="C391" s="6" t="s">
        <v>84</v>
      </c>
      <c r="D391" s="8">
        <v>4301</v>
      </c>
      <c r="E391" s="9">
        <v>434</v>
      </c>
      <c r="H391" s="6">
        <v>194663</v>
      </c>
      <c r="I391" s="10" t="s">
        <v>293</v>
      </c>
      <c r="J391" s="6" t="s">
        <v>208</v>
      </c>
      <c r="K391" s="6" t="s">
        <v>2673</v>
      </c>
      <c r="L391" s="11">
        <v>43282</v>
      </c>
      <c r="M391" s="11">
        <f>DCPXX[[#This Row],[INV DOC DATE]]+30</f>
        <v>43312</v>
      </c>
      <c r="N391" s="11">
        <v>43279</v>
      </c>
      <c r="Q391" s="13">
        <f t="shared" si="7"/>
        <v>434</v>
      </c>
      <c r="R391" s="13" t="str">
        <f ca="1">IF(TODAY() - DCPXX[INV DUE DATE]&lt;30, "Less than 30 days",IF(TODAY()-DCPXX[INV DUE DATE]&lt;60,"30-60 days","More than 60 days"))</f>
        <v>Less than 30 days</v>
      </c>
      <c r="S391" s="6" t="s">
        <v>817</v>
      </c>
      <c r="U391" s="13" t="s">
        <v>3699</v>
      </c>
    </row>
    <row r="392" spans="1:21" x14ac:dyDescent="0.3">
      <c r="A392" s="6" t="s">
        <v>4126</v>
      </c>
      <c r="B392" s="6" t="s">
        <v>30</v>
      </c>
      <c r="C392" s="6" t="s">
        <v>85</v>
      </c>
      <c r="D392" s="8">
        <v>4301</v>
      </c>
      <c r="E392" s="9">
        <v>232.5</v>
      </c>
      <c r="H392" s="6">
        <v>194663</v>
      </c>
      <c r="I392" s="10" t="s">
        <v>293</v>
      </c>
      <c r="J392" s="6" t="s">
        <v>209</v>
      </c>
      <c r="K392" s="6" t="s">
        <v>2673</v>
      </c>
      <c r="L392" s="11">
        <v>43282</v>
      </c>
      <c r="M392" s="11">
        <f>DCPXX[[#This Row],[INV DOC DATE]]+30</f>
        <v>43312</v>
      </c>
      <c r="N392" s="11">
        <v>43279</v>
      </c>
      <c r="Q392" s="13">
        <f t="shared" si="7"/>
        <v>232.5</v>
      </c>
      <c r="R392" s="13" t="str">
        <f ca="1">IF(TODAY() - DCPXX[INV DUE DATE]&lt;30, "Less than 30 days",IF(TODAY()-DCPXX[INV DUE DATE]&lt;60,"30-60 days","More than 60 days"))</f>
        <v>Less than 30 days</v>
      </c>
      <c r="S392" s="6" t="s">
        <v>817</v>
      </c>
      <c r="U392" s="13" t="s">
        <v>3699</v>
      </c>
    </row>
    <row r="393" spans="1:21" x14ac:dyDescent="0.3">
      <c r="A393" s="6" t="s">
        <v>4126</v>
      </c>
      <c r="B393" s="6" t="s">
        <v>30</v>
      </c>
      <c r="C393" s="6" t="s">
        <v>86</v>
      </c>
      <c r="D393" s="8">
        <v>4301</v>
      </c>
      <c r="E393" s="9">
        <v>232.5</v>
      </c>
      <c r="H393" s="6">
        <v>194663</v>
      </c>
      <c r="I393" s="10" t="s">
        <v>293</v>
      </c>
      <c r="J393" s="6" t="s">
        <v>210</v>
      </c>
      <c r="K393" s="6" t="s">
        <v>2673</v>
      </c>
      <c r="L393" s="11">
        <v>43282</v>
      </c>
      <c r="M393" s="11">
        <f>DCPXX[[#This Row],[INV DOC DATE]]+30</f>
        <v>43312</v>
      </c>
      <c r="N393" s="11">
        <v>43279</v>
      </c>
      <c r="Q393" s="13">
        <f t="shared" si="7"/>
        <v>232.5</v>
      </c>
      <c r="R393" s="13" t="str">
        <f ca="1">IF(TODAY() - DCPXX[INV DUE DATE]&lt;30, "Less than 30 days",IF(TODAY()-DCPXX[INV DUE DATE]&lt;60,"30-60 days","More than 60 days"))</f>
        <v>Less than 30 days</v>
      </c>
      <c r="S393" s="6" t="s">
        <v>817</v>
      </c>
      <c r="U393" s="13" t="s">
        <v>3699</v>
      </c>
    </row>
    <row r="394" spans="1:21" x14ac:dyDescent="0.3">
      <c r="A394" s="6" t="s">
        <v>4126</v>
      </c>
      <c r="B394" s="6" t="s">
        <v>30</v>
      </c>
      <c r="C394" s="6" t="s">
        <v>87</v>
      </c>
      <c r="D394" s="8">
        <v>4301</v>
      </c>
      <c r="E394" s="9">
        <v>232.5</v>
      </c>
      <c r="H394" s="6">
        <v>194663</v>
      </c>
      <c r="I394" s="10" t="s">
        <v>293</v>
      </c>
      <c r="J394" s="6" t="s">
        <v>211</v>
      </c>
      <c r="K394" s="6" t="s">
        <v>2673</v>
      </c>
      <c r="L394" s="11">
        <v>43282</v>
      </c>
      <c r="M394" s="11">
        <f>DCPXX[[#This Row],[INV DOC DATE]]+30</f>
        <v>43312</v>
      </c>
      <c r="N394" s="11">
        <v>43279</v>
      </c>
      <c r="Q394" s="13">
        <f t="shared" si="7"/>
        <v>232.5</v>
      </c>
      <c r="R394" s="13" t="str">
        <f ca="1">IF(TODAY() - DCPXX[INV DUE DATE]&lt;30, "Less than 30 days",IF(TODAY()-DCPXX[INV DUE DATE]&lt;60,"30-60 days","More than 60 days"))</f>
        <v>Less than 30 days</v>
      </c>
      <c r="S394" s="6" t="s">
        <v>817</v>
      </c>
      <c r="U394" s="13" t="s">
        <v>3699</v>
      </c>
    </row>
    <row r="395" spans="1:21" x14ac:dyDescent="0.3">
      <c r="A395" s="6" t="s">
        <v>4126</v>
      </c>
      <c r="B395" s="6" t="s">
        <v>30</v>
      </c>
      <c r="C395" s="6" t="s">
        <v>88</v>
      </c>
      <c r="D395" s="8">
        <v>4301</v>
      </c>
      <c r="E395" s="9">
        <v>232.5</v>
      </c>
      <c r="H395" s="6">
        <v>194663</v>
      </c>
      <c r="I395" s="10" t="s">
        <v>293</v>
      </c>
      <c r="J395" s="6" t="s">
        <v>212</v>
      </c>
      <c r="K395" s="6" t="s">
        <v>2673</v>
      </c>
      <c r="L395" s="11">
        <v>43282</v>
      </c>
      <c r="M395" s="11">
        <f>DCPXX[[#This Row],[INV DOC DATE]]+30</f>
        <v>43312</v>
      </c>
      <c r="N395" s="11">
        <v>43279</v>
      </c>
      <c r="Q395" s="13">
        <f t="shared" si="7"/>
        <v>232.5</v>
      </c>
      <c r="R395" s="13" t="str">
        <f ca="1">IF(TODAY() - DCPXX[INV DUE DATE]&lt;30, "Less than 30 days",IF(TODAY()-DCPXX[INV DUE DATE]&lt;60,"30-60 days","More than 60 days"))</f>
        <v>Less than 30 days</v>
      </c>
      <c r="S395" s="6" t="s">
        <v>817</v>
      </c>
      <c r="U395" s="13" t="s">
        <v>3699</v>
      </c>
    </row>
    <row r="396" spans="1:21" x14ac:dyDescent="0.3">
      <c r="A396" s="6" t="s">
        <v>4126</v>
      </c>
      <c r="B396" s="6" t="s">
        <v>30</v>
      </c>
      <c r="C396" s="6" t="s">
        <v>89</v>
      </c>
      <c r="D396" s="8">
        <v>4301</v>
      </c>
      <c r="E396" s="9">
        <v>232.5</v>
      </c>
      <c r="H396" s="6">
        <v>194663</v>
      </c>
      <c r="I396" s="10" t="s">
        <v>293</v>
      </c>
      <c r="J396" s="6" t="s">
        <v>213</v>
      </c>
      <c r="K396" s="6" t="s">
        <v>2673</v>
      </c>
      <c r="L396" s="11">
        <v>43282</v>
      </c>
      <c r="M396" s="11">
        <f>DCPXX[[#This Row],[INV DOC DATE]]+30</f>
        <v>43312</v>
      </c>
      <c r="N396" s="11">
        <v>43279</v>
      </c>
      <c r="Q396" s="13">
        <f t="shared" si="7"/>
        <v>232.5</v>
      </c>
      <c r="R396" s="13" t="str">
        <f ca="1">IF(TODAY() - DCPXX[INV DUE DATE]&lt;30, "Less than 30 days",IF(TODAY()-DCPXX[INV DUE DATE]&lt;60,"30-60 days","More than 60 days"))</f>
        <v>Less than 30 days</v>
      </c>
      <c r="S396" s="6" t="s">
        <v>817</v>
      </c>
      <c r="U396" s="13" t="s">
        <v>3699</v>
      </c>
    </row>
    <row r="397" spans="1:21" x14ac:dyDescent="0.3">
      <c r="A397" s="6" t="s">
        <v>4126</v>
      </c>
      <c r="B397" s="6" t="s">
        <v>30</v>
      </c>
      <c r="C397" s="6" t="s">
        <v>90</v>
      </c>
      <c r="D397" s="8">
        <v>4301</v>
      </c>
      <c r="E397" s="9">
        <v>232.5</v>
      </c>
      <c r="H397" s="6">
        <v>194663</v>
      </c>
      <c r="I397" s="10" t="s">
        <v>293</v>
      </c>
      <c r="J397" s="6" t="s">
        <v>214</v>
      </c>
      <c r="K397" s="6" t="s">
        <v>2673</v>
      </c>
      <c r="L397" s="11">
        <v>43282</v>
      </c>
      <c r="M397" s="11">
        <f>DCPXX[[#This Row],[INV DOC DATE]]+30</f>
        <v>43312</v>
      </c>
      <c r="N397" s="11">
        <v>43279</v>
      </c>
      <c r="Q397" s="13">
        <f t="shared" si="7"/>
        <v>232.5</v>
      </c>
      <c r="R397" s="13" t="str">
        <f ca="1">IF(TODAY() - DCPXX[INV DUE DATE]&lt;30, "Less than 30 days",IF(TODAY()-DCPXX[INV DUE DATE]&lt;60,"30-60 days","More than 60 days"))</f>
        <v>Less than 30 days</v>
      </c>
      <c r="S397" s="6" t="s">
        <v>817</v>
      </c>
      <c r="U397" s="13" t="s">
        <v>3699</v>
      </c>
    </row>
    <row r="398" spans="1:21" x14ac:dyDescent="0.3">
      <c r="A398" s="6" t="s">
        <v>4126</v>
      </c>
      <c r="B398" s="6" t="s">
        <v>30</v>
      </c>
      <c r="C398" s="6" t="s">
        <v>91</v>
      </c>
      <c r="D398" s="8">
        <v>4301</v>
      </c>
      <c r="E398" s="9">
        <v>232.5</v>
      </c>
      <c r="H398" s="6">
        <v>194664</v>
      </c>
      <c r="I398" s="10" t="s">
        <v>293</v>
      </c>
      <c r="J398" s="6" t="s">
        <v>175</v>
      </c>
      <c r="K398" s="6" t="s">
        <v>2673</v>
      </c>
      <c r="L398" s="11">
        <v>43282</v>
      </c>
      <c r="M398" s="11">
        <f>DCPXX[[#This Row],[INV DOC DATE]]+30</f>
        <v>43312</v>
      </c>
      <c r="N398" s="11">
        <v>43279</v>
      </c>
      <c r="Q398" s="13">
        <f t="shared" si="7"/>
        <v>232.5</v>
      </c>
      <c r="R398" s="13" t="str">
        <f ca="1">IF(TODAY() - DCPXX[INV DUE DATE]&lt;30, "Less than 30 days",IF(TODAY()-DCPXX[INV DUE DATE]&lt;60,"30-60 days","More than 60 days"))</f>
        <v>Less than 30 days</v>
      </c>
      <c r="S398" s="6" t="s">
        <v>817</v>
      </c>
      <c r="U398" s="13" t="s">
        <v>3699</v>
      </c>
    </row>
    <row r="399" spans="1:21" x14ac:dyDescent="0.3">
      <c r="A399" s="6" t="s">
        <v>4126</v>
      </c>
      <c r="B399" s="6" t="s">
        <v>30</v>
      </c>
      <c r="C399" s="6" t="s">
        <v>92</v>
      </c>
      <c r="D399" s="8">
        <v>4301</v>
      </c>
      <c r="E399" s="9">
        <v>232.5</v>
      </c>
      <c r="H399" s="6">
        <v>194664</v>
      </c>
      <c r="I399" s="10" t="s">
        <v>293</v>
      </c>
      <c r="J399" s="6" t="s">
        <v>176</v>
      </c>
      <c r="K399" s="6" t="s">
        <v>2673</v>
      </c>
      <c r="L399" s="11">
        <v>43282</v>
      </c>
      <c r="M399" s="11">
        <f>DCPXX[[#This Row],[INV DOC DATE]]+30</f>
        <v>43312</v>
      </c>
      <c r="N399" s="11">
        <v>43279</v>
      </c>
      <c r="Q399" s="13">
        <f t="shared" si="7"/>
        <v>232.5</v>
      </c>
      <c r="R399" s="13" t="str">
        <f ca="1">IF(TODAY() - DCPXX[INV DUE DATE]&lt;30, "Less than 30 days",IF(TODAY()-DCPXX[INV DUE DATE]&lt;60,"30-60 days","More than 60 days"))</f>
        <v>Less than 30 days</v>
      </c>
      <c r="S399" s="6" t="s">
        <v>817</v>
      </c>
      <c r="U399" s="13" t="s">
        <v>3699</v>
      </c>
    </row>
    <row r="400" spans="1:21" x14ac:dyDescent="0.3">
      <c r="A400" s="6" t="s">
        <v>4126</v>
      </c>
      <c r="B400" s="6" t="s">
        <v>30</v>
      </c>
      <c r="C400" s="6" t="s">
        <v>30</v>
      </c>
      <c r="D400" s="8">
        <v>4301</v>
      </c>
      <c r="E400" s="9">
        <v>232.5</v>
      </c>
      <c r="H400" s="6">
        <v>194664</v>
      </c>
      <c r="I400" s="10" t="s">
        <v>293</v>
      </c>
      <c r="J400" s="6" t="s">
        <v>177</v>
      </c>
      <c r="K400" s="6" t="s">
        <v>2673</v>
      </c>
      <c r="L400" s="11">
        <v>43282</v>
      </c>
      <c r="M400" s="11">
        <f>DCPXX[[#This Row],[INV DOC DATE]]+30</f>
        <v>43312</v>
      </c>
      <c r="N400" s="11">
        <v>43279</v>
      </c>
      <c r="Q400" s="13">
        <f t="shared" si="7"/>
        <v>232.5</v>
      </c>
      <c r="R400" s="13" t="str">
        <f ca="1">IF(TODAY() - DCPXX[INV DUE DATE]&lt;30, "Less than 30 days",IF(TODAY()-DCPXX[INV DUE DATE]&lt;60,"30-60 days","More than 60 days"))</f>
        <v>Less than 30 days</v>
      </c>
      <c r="S400" s="6" t="s">
        <v>817</v>
      </c>
      <c r="U400" s="13" t="s">
        <v>3699</v>
      </c>
    </row>
    <row r="401" spans="1:21" x14ac:dyDescent="0.3">
      <c r="A401" s="6" t="s">
        <v>4126</v>
      </c>
      <c r="B401" s="6" t="s">
        <v>30</v>
      </c>
      <c r="C401" s="6" t="s">
        <v>93</v>
      </c>
      <c r="D401" s="8">
        <v>4301</v>
      </c>
      <c r="E401" s="9">
        <v>232.5</v>
      </c>
      <c r="H401" s="6">
        <v>194664</v>
      </c>
      <c r="I401" s="10" t="s">
        <v>293</v>
      </c>
      <c r="J401" s="6" t="s">
        <v>178</v>
      </c>
      <c r="K401" s="6" t="s">
        <v>2673</v>
      </c>
      <c r="L401" s="11">
        <v>43282</v>
      </c>
      <c r="M401" s="11">
        <f>DCPXX[[#This Row],[INV DOC DATE]]+30</f>
        <v>43312</v>
      </c>
      <c r="N401" s="11">
        <v>43279</v>
      </c>
      <c r="Q401" s="13">
        <f t="shared" si="7"/>
        <v>232.5</v>
      </c>
      <c r="R401" s="13" t="str">
        <f ca="1">IF(TODAY() - DCPXX[INV DUE DATE]&lt;30, "Less than 30 days",IF(TODAY()-DCPXX[INV DUE DATE]&lt;60,"30-60 days","More than 60 days"))</f>
        <v>Less than 30 days</v>
      </c>
      <c r="S401" s="6" t="s">
        <v>817</v>
      </c>
      <c r="U401" s="13" t="s">
        <v>3699</v>
      </c>
    </row>
    <row r="402" spans="1:21" x14ac:dyDescent="0.3">
      <c r="A402" s="6" t="s">
        <v>4126</v>
      </c>
      <c r="B402" s="6" t="s">
        <v>30</v>
      </c>
      <c r="C402" s="6" t="s">
        <v>94</v>
      </c>
      <c r="D402" s="8">
        <v>4301</v>
      </c>
      <c r="E402" s="9">
        <v>232.5</v>
      </c>
      <c r="H402" s="6">
        <v>194664</v>
      </c>
      <c r="I402" s="10" t="s">
        <v>293</v>
      </c>
      <c r="J402" s="6" t="s">
        <v>179</v>
      </c>
      <c r="K402" s="6" t="s">
        <v>2673</v>
      </c>
      <c r="L402" s="11">
        <v>43282</v>
      </c>
      <c r="M402" s="11">
        <f>DCPXX[[#This Row],[INV DOC DATE]]+30</f>
        <v>43312</v>
      </c>
      <c r="N402" s="11">
        <v>43279</v>
      </c>
      <c r="Q402" s="13">
        <f t="shared" si="7"/>
        <v>232.5</v>
      </c>
      <c r="R402" s="13" t="str">
        <f ca="1">IF(TODAY() - DCPXX[INV DUE DATE]&lt;30, "Less than 30 days",IF(TODAY()-DCPXX[INV DUE DATE]&lt;60,"30-60 days","More than 60 days"))</f>
        <v>Less than 30 days</v>
      </c>
      <c r="S402" s="6" t="s">
        <v>817</v>
      </c>
      <c r="U402" s="13" t="s">
        <v>3699</v>
      </c>
    </row>
    <row r="403" spans="1:21" x14ac:dyDescent="0.3">
      <c r="A403" s="6" t="s">
        <v>4126</v>
      </c>
      <c r="B403" s="6" t="s">
        <v>30</v>
      </c>
      <c r="C403" s="6" t="s">
        <v>95</v>
      </c>
      <c r="D403" s="8">
        <v>4301</v>
      </c>
      <c r="E403" s="9">
        <v>232.5</v>
      </c>
      <c r="H403" s="6">
        <v>194664</v>
      </c>
      <c r="I403" s="10" t="s">
        <v>293</v>
      </c>
      <c r="J403" s="6" t="s">
        <v>180</v>
      </c>
      <c r="K403" s="6" t="s">
        <v>2673</v>
      </c>
      <c r="L403" s="11">
        <v>43282</v>
      </c>
      <c r="M403" s="11">
        <f>DCPXX[[#This Row],[INV DOC DATE]]+30</f>
        <v>43312</v>
      </c>
      <c r="N403" s="11">
        <v>43279</v>
      </c>
      <c r="Q403" s="13">
        <f t="shared" si="7"/>
        <v>232.5</v>
      </c>
      <c r="R403" s="13" t="str">
        <f ca="1">IF(TODAY() - DCPXX[INV DUE DATE]&lt;30, "Less than 30 days",IF(TODAY()-DCPXX[INV DUE DATE]&lt;60,"30-60 days","More than 60 days"))</f>
        <v>Less than 30 days</v>
      </c>
      <c r="S403" s="6" t="s">
        <v>817</v>
      </c>
      <c r="U403" s="13" t="s">
        <v>3699</v>
      </c>
    </row>
    <row r="404" spans="1:21" x14ac:dyDescent="0.3">
      <c r="A404" s="6" t="s">
        <v>4126</v>
      </c>
      <c r="B404" s="6" t="s">
        <v>30</v>
      </c>
      <c r="C404" s="6" t="s">
        <v>96</v>
      </c>
      <c r="D404" s="8">
        <v>4301</v>
      </c>
      <c r="E404" s="9">
        <v>232.5</v>
      </c>
      <c r="H404" s="6">
        <v>194664</v>
      </c>
      <c r="I404" s="10" t="s">
        <v>293</v>
      </c>
      <c r="J404" s="6" t="s">
        <v>181</v>
      </c>
      <c r="K404" s="6" t="s">
        <v>2673</v>
      </c>
      <c r="L404" s="11">
        <v>43282</v>
      </c>
      <c r="M404" s="11">
        <f>DCPXX[[#This Row],[INV DOC DATE]]+30</f>
        <v>43312</v>
      </c>
      <c r="N404" s="11">
        <v>43279</v>
      </c>
      <c r="Q404" s="13">
        <f t="shared" si="7"/>
        <v>232.5</v>
      </c>
      <c r="R404" s="13" t="str">
        <f ca="1">IF(TODAY() - DCPXX[INV DUE DATE]&lt;30, "Less than 30 days",IF(TODAY()-DCPXX[INV DUE DATE]&lt;60,"30-60 days","More than 60 days"))</f>
        <v>Less than 30 days</v>
      </c>
      <c r="S404" s="6" t="s">
        <v>817</v>
      </c>
      <c r="U404" s="13" t="s">
        <v>3699</v>
      </c>
    </row>
    <row r="405" spans="1:21" x14ac:dyDescent="0.3">
      <c r="A405" s="6" t="s">
        <v>4126</v>
      </c>
      <c r="B405" s="6" t="s">
        <v>30</v>
      </c>
      <c r="C405" s="6" t="s">
        <v>97</v>
      </c>
      <c r="D405" s="8">
        <v>4301</v>
      </c>
      <c r="E405" s="9">
        <v>232.5</v>
      </c>
      <c r="H405" s="6">
        <v>194664</v>
      </c>
      <c r="I405" s="10" t="s">
        <v>293</v>
      </c>
      <c r="J405" s="6" t="s">
        <v>182</v>
      </c>
      <c r="K405" s="6" t="s">
        <v>2673</v>
      </c>
      <c r="L405" s="11">
        <v>43282</v>
      </c>
      <c r="M405" s="11">
        <f>DCPXX[[#This Row],[INV DOC DATE]]+30</f>
        <v>43312</v>
      </c>
      <c r="N405" s="11">
        <v>43279</v>
      </c>
      <c r="Q405" s="13">
        <f t="shared" si="7"/>
        <v>232.5</v>
      </c>
      <c r="R405" s="13" t="str">
        <f ca="1">IF(TODAY() - DCPXX[INV DUE DATE]&lt;30, "Less than 30 days",IF(TODAY()-DCPXX[INV DUE DATE]&lt;60,"30-60 days","More than 60 days"))</f>
        <v>Less than 30 days</v>
      </c>
      <c r="S405" s="6" t="s">
        <v>817</v>
      </c>
      <c r="U405" s="13" t="s">
        <v>3699</v>
      </c>
    </row>
    <row r="406" spans="1:21" x14ac:dyDescent="0.3">
      <c r="A406" s="6" t="s">
        <v>4126</v>
      </c>
      <c r="B406" s="6" t="s">
        <v>30</v>
      </c>
      <c r="C406" s="6" t="s">
        <v>98</v>
      </c>
      <c r="D406" s="8">
        <v>4301</v>
      </c>
      <c r="E406" s="9">
        <v>232.5</v>
      </c>
      <c r="H406" s="6">
        <v>194756</v>
      </c>
      <c r="I406" s="10" t="s">
        <v>293</v>
      </c>
      <c r="J406" s="6" t="s">
        <v>236</v>
      </c>
      <c r="K406" s="6" t="s">
        <v>2673</v>
      </c>
      <c r="L406" s="11">
        <v>43282</v>
      </c>
      <c r="M406" s="11">
        <f>DCPXX[[#This Row],[INV DOC DATE]]+30</f>
        <v>43312</v>
      </c>
      <c r="N406" s="11">
        <v>43279</v>
      </c>
      <c r="Q406" s="13">
        <f t="shared" si="7"/>
        <v>232.5</v>
      </c>
      <c r="R406" s="13" t="str">
        <f ca="1">IF(TODAY() - DCPXX[INV DUE DATE]&lt;30, "Less than 30 days",IF(TODAY()-DCPXX[INV DUE DATE]&lt;60,"30-60 days","More than 60 days"))</f>
        <v>Less than 30 days</v>
      </c>
      <c r="S406" s="6" t="s">
        <v>817</v>
      </c>
      <c r="U406" s="13" t="s">
        <v>3699</v>
      </c>
    </row>
    <row r="407" spans="1:21" x14ac:dyDescent="0.3">
      <c r="A407" s="6" t="s">
        <v>4126</v>
      </c>
      <c r="B407" s="6" t="s">
        <v>30</v>
      </c>
      <c r="C407" s="6" t="s">
        <v>99</v>
      </c>
      <c r="D407" s="8">
        <v>4301</v>
      </c>
      <c r="E407" s="9">
        <v>232.5</v>
      </c>
      <c r="H407" s="6">
        <v>194756</v>
      </c>
      <c r="I407" s="10" t="s">
        <v>293</v>
      </c>
      <c r="J407" s="6" t="s">
        <v>237</v>
      </c>
      <c r="K407" s="6" t="s">
        <v>2673</v>
      </c>
      <c r="L407" s="11">
        <v>43282</v>
      </c>
      <c r="M407" s="11">
        <f>DCPXX[[#This Row],[INV DOC DATE]]+30</f>
        <v>43312</v>
      </c>
      <c r="N407" s="11">
        <v>43279</v>
      </c>
      <c r="Q407" s="13">
        <f t="shared" si="7"/>
        <v>232.5</v>
      </c>
      <c r="R407" s="13" t="str">
        <f ca="1">IF(TODAY() - DCPXX[INV DUE DATE]&lt;30, "Less than 30 days",IF(TODAY()-DCPXX[INV DUE DATE]&lt;60,"30-60 days","More than 60 days"))</f>
        <v>Less than 30 days</v>
      </c>
      <c r="S407" s="6" t="s">
        <v>817</v>
      </c>
      <c r="U407" s="13" t="s">
        <v>3699</v>
      </c>
    </row>
    <row r="408" spans="1:21" x14ac:dyDescent="0.3">
      <c r="A408" s="6" t="s">
        <v>4126</v>
      </c>
      <c r="B408" s="6" t="s">
        <v>30</v>
      </c>
      <c r="C408" s="6" t="s">
        <v>100</v>
      </c>
      <c r="D408" s="8">
        <v>4301</v>
      </c>
      <c r="E408" s="9">
        <v>232.5</v>
      </c>
      <c r="H408" s="6">
        <v>194759</v>
      </c>
      <c r="I408" s="10" t="s">
        <v>293</v>
      </c>
      <c r="J408" s="6" t="s">
        <v>281</v>
      </c>
      <c r="K408" s="6" t="s">
        <v>2673</v>
      </c>
      <c r="L408" s="11">
        <v>43282</v>
      </c>
      <c r="M408" s="11">
        <f>DCPXX[[#This Row],[INV DOC DATE]]+30</f>
        <v>43312</v>
      </c>
      <c r="N408" s="11">
        <v>43279</v>
      </c>
      <c r="Q408" s="13">
        <f t="shared" si="7"/>
        <v>232.5</v>
      </c>
      <c r="R408" s="13" t="str">
        <f ca="1">IF(TODAY() - DCPXX[INV DUE DATE]&lt;30, "Less than 30 days",IF(TODAY()-DCPXX[INV DUE DATE]&lt;60,"30-60 days","More than 60 days"))</f>
        <v>Less than 30 days</v>
      </c>
      <c r="S408" s="6" t="s">
        <v>817</v>
      </c>
      <c r="U408" s="13" t="s">
        <v>3699</v>
      </c>
    </row>
    <row r="409" spans="1:21" x14ac:dyDescent="0.3">
      <c r="A409" s="6" t="s">
        <v>4126</v>
      </c>
      <c r="B409" s="6" t="s">
        <v>30</v>
      </c>
      <c r="C409" s="6" t="s">
        <v>101</v>
      </c>
      <c r="D409" s="8">
        <v>4301</v>
      </c>
      <c r="E409" s="9">
        <v>232.5</v>
      </c>
      <c r="H409" s="6">
        <v>194759</v>
      </c>
      <c r="I409" s="10" t="s">
        <v>293</v>
      </c>
      <c r="J409" s="6" t="s">
        <v>282</v>
      </c>
      <c r="K409" s="6" t="s">
        <v>2673</v>
      </c>
      <c r="L409" s="11">
        <v>43282</v>
      </c>
      <c r="M409" s="11">
        <f>DCPXX[[#This Row],[INV DOC DATE]]+30</f>
        <v>43312</v>
      </c>
      <c r="N409" s="11">
        <v>43279</v>
      </c>
      <c r="Q409" s="13">
        <f t="shared" si="7"/>
        <v>232.5</v>
      </c>
      <c r="R409" s="13" t="str">
        <f ca="1">IF(TODAY() - DCPXX[INV DUE DATE]&lt;30, "Less than 30 days",IF(TODAY()-DCPXX[INV DUE DATE]&lt;60,"30-60 days","More than 60 days"))</f>
        <v>Less than 30 days</v>
      </c>
      <c r="S409" s="6" t="s">
        <v>817</v>
      </c>
      <c r="U409" s="13" t="s">
        <v>3699</v>
      </c>
    </row>
    <row r="410" spans="1:21" x14ac:dyDescent="0.3">
      <c r="A410" s="6" t="s">
        <v>4126</v>
      </c>
      <c r="B410" s="6" t="s">
        <v>30</v>
      </c>
      <c r="C410" s="6" t="s">
        <v>102</v>
      </c>
      <c r="D410" s="8">
        <v>4301</v>
      </c>
      <c r="E410" s="9">
        <v>232.5</v>
      </c>
      <c r="H410" s="6">
        <v>194759</v>
      </c>
      <c r="I410" s="10" t="s">
        <v>293</v>
      </c>
      <c r="J410" s="6" t="s">
        <v>283</v>
      </c>
      <c r="K410" s="6" t="s">
        <v>2673</v>
      </c>
      <c r="L410" s="11">
        <v>43282</v>
      </c>
      <c r="M410" s="11">
        <f>DCPXX[[#This Row],[INV DOC DATE]]+30</f>
        <v>43312</v>
      </c>
      <c r="N410" s="11">
        <v>43279</v>
      </c>
      <c r="Q410" s="13">
        <f t="shared" si="7"/>
        <v>232.5</v>
      </c>
      <c r="R410" s="13" t="str">
        <f ca="1">IF(TODAY() - DCPXX[INV DUE DATE]&lt;30, "Less than 30 days",IF(TODAY()-DCPXX[INV DUE DATE]&lt;60,"30-60 days","More than 60 days"))</f>
        <v>Less than 30 days</v>
      </c>
      <c r="S410" s="6" t="s">
        <v>817</v>
      </c>
      <c r="U410" s="13" t="s">
        <v>3699</v>
      </c>
    </row>
    <row r="411" spans="1:21" x14ac:dyDescent="0.3">
      <c r="A411" s="6" t="s">
        <v>4126</v>
      </c>
      <c r="B411" s="6" t="s">
        <v>30</v>
      </c>
      <c r="C411" s="6" t="s">
        <v>103</v>
      </c>
      <c r="D411" s="8">
        <v>4301</v>
      </c>
      <c r="E411" s="9">
        <v>232.5</v>
      </c>
      <c r="H411" s="6">
        <v>194759</v>
      </c>
      <c r="I411" s="10" t="s">
        <v>293</v>
      </c>
      <c r="J411" s="6" t="s">
        <v>284</v>
      </c>
      <c r="K411" s="6" t="s">
        <v>2673</v>
      </c>
      <c r="L411" s="11">
        <v>43282</v>
      </c>
      <c r="M411" s="11">
        <f>DCPXX[[#This Row],[INV DOC DATE]]+30</f>
        <v>43312</v>
      </c>
      <c r="N411" s="11">
        <v>43279</v>
      </c>
      <c r="Q411" s="13">
        <f t="shared" si="7"/>
        <v>232.5</v>
      </c>
      <c r="R411" s="13" t="str">
        <f ca="1">IF(TODAY() - DCPXX[INV DUE DATE]&lt;30, "Less than 30 days",IF(TODAY()-DCPXX[INV DUE DATE]&lt;60,"30-60 days","More than 60 days"))</f>
        <v>Less than 30 days</v>
      </c>
      <c r="S411" s="6" t="s">
        <v>817</v>
      </c>
      <c r="U411" s="13" t="s">
        <v>3699</v>
      </c>
    </row>
    <row r="412" spans="1:21" x14ac:dyDescent="0.3">
      <c r="A412" s="6" t="s">
        <v>4126</v>
      </c>
      <c r="B412" s="6" t="s">
        <v>30</v>
      </c>
      <c r="C412" s="6" t="s">
        <v>104</v>
      </c>
      <c r="D412" s="8">
        <v>4301</v>
      </c>
      <c r="E412" s="9">
        <v>232.5</v>
      </c>
      <c r="H412" s="6">
        <v>194759</v>
      </c>
      <c r="I412" s="10" t="s">
        <v>293</v>
      </c>
      <c r="J412" s="6" t="s">
        <v>285</v>
      </c>
      <c r="K412" s="6" t="s">
        <v>2673</v>
      </c>
      <c r="L412" s="11">
        <v>43282</v>
      </c>
      <c r="M412" s="11">
        <f>DCPXX[[#This Row],[INV DOC DATE]]+30</f>
        <v>43312</v>
      </c>
      <c r="N412" s="11">
        <v>43279</v>
      </c>
      <c r="Q412" s="13">
        <f t="shared" si="7"/>
        <v>232.5</v>
      </c>
      <c r="R412" s="13" t="str">
        <f ca="1">IF(TODAY() - DCPXX[INV DUE DATE]&lt;30, "Less than 30 days",IF(TODAY()-DCPXX[INV DUE DATE]&lt;60,"30-60 days","More than 60 days"))</f>
        <v>Less than 30 days</v>
      </c>
      <c r="S412" s="6" t="s">
        <v>817</v>
      </c>
      <c r="U412" s="13" t="s">
        <v>3699</v>
      </c>
    </row>
    <row r="413" spans="1:21" x14ac:dyDescent="0.3">
      <c r="A413" s="6" t="s">
        <v>4126</v>
      </c>
      <c r="B413" s="6" t="s">
        <v>30</v>
      </c>
      <c r="C413" s="6" t="s">
        <v>105</v>
      </c>
      <c r="D413" s="8">
        <v>4301</v>
      </c>
      <c r="E413" s="9">
        <v>232.5</v>
      </c>
      <c r="H413" s="6">
        <v>194759</v>
      </c>
      <c r="I413" s="10" t="s">
        <v>293</v>
      </c>
      <c r="J413" s="6" t="s">
        <v>286</v>
      </c>
      <c r="K413" s="6" t="s">
        <v>2673</v>
      </c>
      <c r="L413" s="11">
        <v>43282</v>
      </c>
      <c r="M413" s="11">
        <f>DCPXX[[#This Row],[INV DOC DATE]]+30</f>
        <v>43312</v>
      </c>
      <c r="N413" s="11">
        <v>43279</v>
      </c>
      <c r="Q413" s="13">
        <f t="shared" si="7"/>
        <v>232.5</v>
      </c>
      <c r="R413" s="13" t="str">
        <f ca="1">IF(TODAY() - DCPXX[INV DUE DATE]&lt;30, "Less than 30 days",IF(TODAY()-DCPXX[INV DUE DATE]&lt;60,"30-60 days","More than 60 days"))</f>
        <v>Less than 30 days</v>
      </c>
      <c r="S413" s="6" t="s">
        <v>817</v>
      </c>
      <c r="U413" s="13" t="s">
        <v>3699</v>
      </c>
    </row>
    <row r="414" spans="1:21" x14ac:dyDescent="0.3">
      <c r="A414" s="6" t="s">
        <v>4126</v>
      </c>
      <c r="B414" s="6" t="s">
        <v>30</v>
      </c>
      <c r="C414" s="6" t="s">
        <v>106</v>
      </c>
      <c r="D414" s="8">
        <v>4301</v>
      </c>
      <c r="E414" s="9">
        <v>232.5</v>
      </c>
      <c r="H414" s="6">
        <v>194759</v>
      </c>
      <c r="I414" s="10" t="s">
        <v>293</v>
      </c>
      <c r="J414" s="6" t="s">
        <v>287</v>
      </c>
      <c r="K414" s="6" t="s">
        <v>2673</v>
      </c>
      <c r="L414" s="11">
        <v>43282</v>
      </c>
      <c r="M414" s="11">
        <f>DCPXX[[#This Row],[INV DOC DATE]]+30</f>
        <v>43312</v>
      </c>
      <c r="N414" s="11">
        <v>43279</v>
      </c>
      <c r="Q414" s="13">
        <f t="shared" si="7"/>
        <v>232.5</v>
      </c>
      <c r="R414" s="13" t="str">
        <f ca="1">IF(TODAY() - DCPXX[INV DUE DATE]&lt;30, "Less than 30 days",IF(TODAY()-DCPXX[INV DUE DATE]&lt;60,"30-60 days","More than 60 days"))</f>
        <v>Less than 30 days</v>
      </c>
      <c r="S414" s="6" t="s">
        <v>817</v>
      </c>
      <c r="U414" s="13" t="s">
        <v>3699</v>
      </c>
    </row>
    <row r="415" spans="1:21" x14ac:dyDescent="0.3">
      <c r="A415" s="6" t="s">
        <v>4126</v>
      </c>
      <c r="B415" s="6" t="s">
        <v>30</v>
      </c>
      <c r="C415" s="6" t="s">
        <v>107</v>
      </c>
      <c r="D415" s="8">
        <v>4301</v>
      </c>
      <c r="E415" s="9">
        <v>232.5</v>
      </c>
      <c r="H415" s="6">
        <v>194759</v>
      </c>
      <c r="I415" s="10" t="s">
        <v>293</v>
      </c>
      <c r="J415" s="6" t="s">
        <v>288</v>
      </c>
      <c r="K415" s="6" t="s">
        <v>2673</v>
      </c>
      <c r="L415" s="11">
        <v>43282</v>
      </c>
      <c r="M415" s="11">
        <f>DCPXX[[#This Row],[INV DOC DATE]]+30</f>
        <v>43312</v>
      </c>
      <c r="N415" s="11">
        <v>43279</v>
      </c>
      <c r="Q415" s="13">
        <f t="shared" si="7"/>
        <v>232.5</v>
      </c>
      <c r="R415" s="13" t="str">
        <f ca="1">IF(TODAY() - DCPXX[INV DUE DATE]&lt;30, "Less than 30 days",IF(TODAY()-DCPXX[INV DUE DATE]&lt;60,"30-60 days","More than 60 days"))</f>
        <v>Less than 30 days</v>
      </c>
      <c r="S415" s="6" t="s">
        <v>817</v>
      </c>
      <c r="U415" s="13" t="s">
        <v>3699</v>
      </c>
    </row>
    <row r="416" spans="1:21" x14ac:dyDescent="0.3">
      <c r="A416" s="6" t="s">
        <v>4126</v>
      </c>
      <c r="B416" s="6" t="s">
        <v>30</v>
      </c>
      <c r="C416" s="6" t="s">
        <v>108</v>
      </c>
      <c r="D416" s="8">
        <v>4301</v>
      </c>
      <c r="E416" s="9">
        <v>232.5</v>
      </c>
      <c r="H416" s="6">
        <v>194759</v>
      </c>
      <c r="I416" s="10" t="s">
        <v>293</v>
      </c>
      <c r="J416" s="6" t="s">
        <v>291</v>
      </c>
      <c r="K416" s="6" t="s">
        <v>2673</v>
      </c>
      <c r="L416" s="11">
        <v>43282</v>
      </c>
      <c r="M416" s="11">
        <f>DCPXX[[#This Row],[INV DOC DATE]]+30</f>
        <v>43312</v>
      </c>
      <c r="N416" s="11">
        <v>43279</v>
      </c>
      <c r="Q416" s="13">
        <f t="shared" ref="Q416:Q447" si="8">$E416-$O416</f>
        <v>232.5</v>
      </c>
      <c r="R416" s="13" t="str">
        <f ca="1">IF(TODAY() - DCPXX[INV DUE DATE]&lt;30, "Less than 30 days",IF(TODAY()-DCPXX[INV DUE DATE]&lt;60,"30-60 days","More than 60 days"))</f>
        <v>Less than 30 days</v>
      </c>
      <c r="S416" s="6" t="s">
        <v>817</v>
      </c>
      <c r="U416" s="13" t="s">
        <v>3699</v>
      </c>
    </row>
    <row r="417" spans="1:21" x14ac:dyDescent="0.3">
      <c r="A417" s="6" t="s">
        <v>4126</v>
      </c>
      <c r="B417" s="6" t="s">
        <v>30</v>
      </c>
      <c r="C417" s="6" t="s">
        <v>109</v>
      </c>
      <c r="D417" s="8">
        <v>4301</v>
      </c>
      <c r="E417" s="9">
        <v>232.5</v>
      </c>
      <c r="H417" s="6">
        <v>194759</v>
      </c>
      <c r="I417" s="10" t="s">
        <v>293</v>
      </c>
      <c r="J417" s="6" t="s">
        <v>289</v>
      </c>
      <c r="K417" s="6" t="s">
        <v>2673</v>
      </c>
      <c r="L417" s="11">
        <v>43282</v>
      </c>
      <c r="M417" s="11">
        <f>DCPXX[[#This Row],[INV DOC DATE]]+30</f>
        <v>43312</v>
      </c>
      <c r="N417" s="11">
        <v>43279</v>
      </c>
      <c r="Q417" s="13">
        <f t="shared" si="8"/>
        <v>232.5</v>
      </c>
      <c r="R417" s="13" t="str">
        <f ca="1">IF(TODAY() - DCPXX[INV DUE DATE]&lt;30, "Less than 30 days",IF(TODAY()-DCPXX[INV DUE DATE]&lt;60,"30-60 days","More than 60 days"))</f>
        <v>Less than 30 days</v>
      </c>
      <c r="S417" s="6" t="s">
        <v>817</v>
      </c>
      <c r="U417" s="13" t="s">
        <v>3699</v>
      </c>
    </row>
    <row r="418" spans="1:21" x14ac:dyDescent="0.3">
      <c r="A418" s="6" t="s">
        <v>4126</v>
      </c>
      <c r="B418" s="6" t="s">
        <v>30</v>
      </c>
      <c r="C418" s="6" t="s">
        <v>110</v>
      </c>
      <c r="D418" s="8">
        <v>4301</v>
      </c>
      <c r="E418" s="9">
        <v>232.5</v>
      </c>
      <c r="H418" s="6">
        <v>194759</v>
      </c>
      <c r="I418" s="10" t="s">
        <v>293</v>
      </c>
      <c r="J418" s="6" t="s">
        <v>290</v>
      </c>
      <c r="K418" s="6" t="s">
        <v>2673</v>
      </c>
      <c r="L418" s="11">
        <v>43282</v>
      </c>
      <c r="M418" s="11">
        <f>DCPXX[[#This Row],[INV DOC DATE]]+30</f>
        <v>43312</v>
      </c>
      <c r="N418" s="11">
        <v>43279</v>
      </c>
      <c r="Q418" s="13">
        <f t="shared" si="8"/>
        <v>232.5</v>
      </c>
      <c r="R418" s="13" t="str">
        <f ca="1">IF(TODAY() - DCPXX[INV DUE DATE]&lt;30, "Less than 30 days",IF(TODAY()-DCPXX[INV DUE DATE]&lt;60,"30-60 days","More than 60 days"))</f>
        <v>Less than 30 days</v>
      </c>
      <c r="S418" s="6" t="s">
        <v>817</v>
      </c>
      <c r="U418" s="13" t="s">
        <v>3699</v>
      </c>
    </row>
    <row r="419" spans="1:21" x14ac:dyDescent="0.3">
      <c r="A419" s="6" t="s">
        <v>4126</v>
      </c>
      <c r="B419" s="6" t="s">
        <v>30</v>
      </c>
      <c r="C419" s="6" t="s">
        <v>111</v>
      </c>
      <c r="D419" s="8">
        <v>4301</v>
      </c>
      <c r="E419" s="9">
        <v>232.5</v>
      </c>
      <c r="H419" s="6">
        <v>194759</v>
      </c>
      <c r="I419" s="10" t="s">
        <v>293</v>
      </c>
      <c r="J419" s="6" t="s">
        <v>292</v>
      </c>
      <c r="K419" s="6" t="s">
        <v>2673</v>
      </c>
      <c r="L419" s="11">
        <v>43282</v>
      </c>
      <c r="M419" s="11">
        <f>DCPXX[[#This Row],[INV DOC DATE]]+30</f>
        <v>43312</v>
      </c>
      <c r="N419" s="11">
        <v>43279</v>
      </c>
      <c r="Q419" s="13">
        <f t="shared" si="8"/>
        <v>232.5</v>
      </c>
      <c r="R419" s="13" t="str">
        <f ca="1">IF(TODAY() - DCPXX[INV DUE DATE]&lt;30, "Less than 30 days",IF(TODAY()-DCPXX[INV DUE DATE]&lt;60,"30-60 days","More than 60 days"))</f>
        <v>Less than 30 days</v>
      </c>
      <c r="S419" s="6" t="s">
        <v>817</v>
      </c>
      <c r="U419" s="13" t="s">
        <v>3699</v>
      </c>
    </row>
    <row r="420" spans="1:21" x14ac:dyDescent="0.3">
      <c r="A420" s="6" t="s">
        <v>4126</v>
      </c>
      <c r="B420" s="6" t="s">
        <v>30</v>
      </c>
      <c r="C420" s="6" t="s">
        <v>112</v>
      </c>
      <c r="D420" s="8">
        <v>4301</v>
      </c>
      <c r="E420" s="9">
        <v>434</v>
      </c>
      <c r="H420" s="6">
        <v>194760</v>
      </c>
      <c r="I420" s="10" t="s">
        <v>293</v>
      </c>
      <c r="J420" s="6" t="s">
        <v>159</v>
      </c>
      <c r="K420" s="6" t="s">
        <v>2673</v>
      </c>
      <c r="L420" s="11">
        <v>43282</v>
      </c>
      <c r="M420" s="11">
        <f>DCPXX[[#This Row],[INV DOC DATE]]+30</f>
        <v>43312</v>
      </c>
      <c r="N420" s="11">
        <v>43279</v>
      </c>
      <c r="Q420" s="13">
        <f t="shared" si="8"/>
        <v>434</v>
      </c>
      <c r="R420" s="13" t="str">
        <f ca="1">IF(TODAY() - DCPXX[INV DUE DATE]&lt;30, "Less than 30 days",IF(TODAY()-DCPXX[INV DUE DATE]&lt;60,"30-60 days","More than 60 days"))</f>
        <v>Less than 30 days</v>
      </c>
      <c r="S420" s="6" t="s">
        <v>817</v>
      </c>
      <c r="U420" s="13" t="s">
        <v>3699</v>
      </c>
    </row>
    <row r="421" spans="1:21" x14ac:dyDescent="0.3">
      <c r="A421" s="6" t="s">
        <v>4126</v>
      </c>
      <c r="B421" s="6" t="s">
        <v>30</v>
      </c>
      <c r="C421" s="6" t="s">
        <v>113</v>
      </c>
      <c r="D421" s="8">
        <v>4301</v>
      </c>
      <c r="E421" s="9">
        <v>434</v>
      </c>
      <c r="H421" s="6">
        <v>194760</v>
      </c>
      <c r="I421" s="10" t="s">
        <v>293</v>
      </c>
      <c r="J421" s="6" t="s">
        <v>160</v>
      </c>
      <c r="K421" s="6" t="s">
        <v>2673</v>
      </c>
      <c r="L421" s="11">
        <v>43282</v>
      </c>
      <c r="M421" s="11">
        <f>DCPXX[[#This Row],[INV DOC DATE]]+30</f>
        <v>43312</v>
      </c>
      <c r="N421" s="11">
        <v>43279</v>
      </c>
      <c r="Q421" s="13">
        <f t="shared" si="8"/>
        <v>434</v>
      </c>
      <c r="R421" s="13" t="str">
        <f ca="1">IF(TODAY() - DCPXX[INV DUE DATE]&lt;30, "Less than 30 days",IF(TODAY()-DCPXX[INV DUE DATE]&lt;60,"30-60 days","More than 60 days"))</f>
        <v>Less than 30 days</v>
      </c>
      <c r="S421" s="6" t="s">
        <v>817</v>
      </c>
      <c r="U421" s="13" t="s">
        <v>3699</v>
      </c>
    </row>
    <row r="422" spans="1:21" x14ac:dyDescent="0.3">
      <c r="A422" s="6" t="s">
        <v>4126</v>
      </c>
      <c r="B422" s="6" t="s">
        <v>30</v>
      </c>
      <c r="C422" s="6" t="s">
        <v>114</v>
      </c>
      <c r="D422" s="8">
        <v>4301</v>
      </c>
      <c r="E422" s="9">
        <v>434</v>
      </c>
      <c r="H422" s="6">
        <v>194760</v>
      </c>
      <c r="I422" s="10" t="s">
        <v>293</v>
      </c>
      <c r="J422" s="6" t="s">
        <v>161</v>
      </c>
      <c r="K422" s="6" t="s">
        <v>2673</v>
      </c>
      <c r="L422" s="11">
        <v>43282</v>
      </c>
      <c r="M422" s="11">
        <f>DCPXX[[#This Row],[INV DOC DATE]]+30</f>
        <v>43312</v>
      </c>
      <c r="N422" s="11">
        <v>43279</v>
      </c>
      <c r="Q422" s="13">
        <f t="shared" si="8"/>
        <v>434</v>
      </c>
      <c r="R422" s="13" t="str">
        <f ca="1">IF(TODAY() - DCPXX[INV DUE DATE]&lt;30, "Less than 30 days",IF(TODAY()-DCPXX[INV DUE DATE]&lt;60,"30-60 days","More than 60 days"))</f>
        <v>Less than 30 days</v>
      </c>
      <c r="S422" s="6" t="s">
        <v>817</v>
      </c>
      <c r="U422" s="13" t="s">
        <v>3699</v>
      </c>
    </row>
    <row r="423" spans="1:21" x14ac:dyDescent="0.3">
      <c r="A423" s="6" t="s">
        <v>4126</v>
      </c>
      <c r="B423" s="6" t="s">
        <v>30</v>
      </c>
      <c r="C423" s="6" t="s">
        <v>115</v>
      </c>
      <c r="D423" s="8">
        <v>4301</v>
      </c>
      <c r="E423" s="9">
        <v>434</v>
      </c>
      <c r="H423" s="6">
        <v>194760</v>
      </c>
      <c r="I423" s="10" t="s">
        <v>293</v>
      </c>
      <c r="J423" s="6" t="s">
        <v>162</v>
      </c>
      <c r="K423" s="6" t="s">
        <v>2673</v>
      </c>
      <c r="L423" s="11">
        <v>43282</v>
      </c>
      <c r="M423" s="11">
        <f>DCPXX[[#This Row],[INV DOC DATE]]+30</f>
        <v>43312</v>
      </c>
      <c r="N423" s="11">
        <v>43279</v>
      </c>
      <c r="Q423" s="13">
        <f t="shared" si="8"/>
        <v>434</v>
      </c>
      <c r="R423" s="13" t="str">
        <f ca="1">IF(TODAY() - DCPXX[INV DUE DATE]&lt;30, "Less than 30 days",IF(TODAY()-DCPXX[INV DUE DATE]&lt;60,"30-60 days","More than 60 days"))</f>
        <v>Less than 30 days</v>
      </c>
      <c r="S423" s="6" t="s">
        <v>817</v>
      </c>
      <c r="U423" s="13" t="s">
        <v>3699</v>
      </c>
    </row>
    <row r="424" spans="1:21" x14ac:dyDescent="0.3">
      <c r="A424" s="6" t="s">
        <v>4126</v>
      </c>
      <c r="B424" s="6" t="s">
        <v>30</v>
      </c>
      <c r="C424" s="6" t="s">
        <v>116</v>
      </c>
      <c r="D424" s="8">
        <v>4301</v>
      </c>
      <c r="E424" s="9">
        <v>232.5</v>
      </c>
      <c r="H424" s="6">
        <v>194760</v>
      </c>
      <c r="I424" s="10" t="s">
        <v>293</v>
      </c>
      <c r="J424" s="6" t="s">
        <v>163</v>
      </c>
      <c r="K424" s="6" t="s">
        <v>2673</v>
      </c>
      <c r="L424" s="11">
        <v>43282</v>
      </c>
      <c r="M424" s="11">
        <f>DCPXX[[#This Row],[INV DOC DATE]]+30</f>
        <v>43312</v>
      </c>
      <c r="N424" s="11">
        <v>43279</v>
      </c>
      <c r="Q424" s="13">
        <f t="shared" si="8"/>
        <v>232.5</v>
      </c>
      <c r="R424" s="13" t="str">
        <f ca="1">IF(TODAY() - DCPXX[INV DUE DATE]&lt;30, "Less than 30 days",IF(TODAY()-DCPXX[INV DUE DATE]&lt;60,"30-60 days","More than 60 days"))</f>
        <v>Less than 30 days</v>
      </c>
      <c r="S424" s="6" t="s">
        <v>817</v>
      </c>
      <c r="U424" s="13" t="s">
        <v>3699</v>
      </c>
    </row>
    <row r="425" spans="1:21" x14ac:dyDescent="0.3">
      <c r="A425" s="6" t="s">
        <v>4126</v>
      </c>
      <c r="B425" s="6" t="s">
        <v>30</v>
      </c>
      <c r="C425" s="6" t="s">
        <v>117</v>
      </c>
      <c r="D425" s="8">
        <v>4301</v>
      </c>
      <c r="E425" s="9">
        <v>232.5</v>
      </c>
      <c r="H425" s="6">
        <v>194760</v>
      </c>
      <c r="I425" s="10" t="s">
        <v>293</v>
      </c>
      <c r="J425" s="6" t="s">
        <v>164</v>
      </c>
      <c r="K425" s="6" t="s">
        <v>2673</v>
      </c>
      <c r="L425" s="11">
        <v>43282</v>
      </c>
      <c r="M425" s="11">
        <f>DCPXX[[#This Row],[INV DOC DATE]]+30</f>
        <v>43312</v>
      </c>
      <c r="N425" s="11">
        <v>43279</v>
      </c>
      <c r="Q425" s="13">
        <f t="shared" si="8"/>
        <v>232.5</v>
      </c>
      <c r="R425" s="13" t="str">
        <f ca="1">IF(TODAY() - DCPXX[INV DUE DATE]&lt;30, "Less than 30 days",IF(TODAY()-DCPXX[INV DUE DATE]&lt;60,"30-60 days","More than 60 days"))</f>
        <v>Less than 30 days</v>
      </c>
      <c r="S425" s="6" t="s">
        <v>817</v>
      </c>
      <c r="U425" s="13" t="s">
        <v>3699</v>
      </c>
    </row>
    <row r="426" spans="1:21" x14ac:dyDescent="0.3">
      <c r="A426" s="6" t="s">
        <v>4126</v>
      </c>
      <c r="B426" s="6" t="s">
        <v>30</v>
      </c>
      <c r="C426" s="6" t="s">
        <v>118</v>
      </c>
      <c r="D426" s="8">
        <v>4301</v>
      </c>
      <c r="E426" s="9">
        <v>232.5</v>
      </c>
      <c r="H426" s="6">
        <v>194760</v>
      </c>
      <c r="I426" s="10" t="s">
        <v>293</v>
      </c>
      <c r="J426" s="6" t="s">
        <v>165</v>
      </c>
      <c r="K426" s="6" t="s">
        <v>2673</v>
      </c>
      <c r="L426" s="11">
        <v>43282</v>
      </c>
      <c r="M426" s="11">
        <f>DCPXX[[#This Row],[INV DOC DATE]]+30</f>
        <v>43312</v>
      </c>
      <c r="N426" s="11">
        <v>43279</v>
      </c>
      <c r="Q426" s="13">
        <f t="shared" si="8"/>
        <v>232.5</v>
      </c>
      <c r="R426" s="13" t="str">
        <f ca="1">IF(TODAY() - DCPXX[INV DUE DATE]&lt;30, "Less than 30 days",IF(TODAY()-DCPXX[INV DUE DATE]&lt;60,"30-60 days","More than 60 days"))</f>
        <v>Less than 30 days</v>
      </c>
      <c r="S426" s="6" t="s">
        <v>817</v>
      </c>
      <c r="U426" s="13" t="s">
        <v>3699</v>
      </c>
    </row>
    <row r="427" spans="1:21" x14ac:dyDescent="0.3">
      <c r="A427" s="6" t="s">
        <v>4126</v>
      </c>
      <c r="B427" s="6" t="s">
        <v>30</v>
      </c>
      <c r="C427" s="6" t="s">
        <v>119</v>
      </c>
      <c r="D427" s="8">
        <v>4301</v>
      </c>
      <c r="E427" s="9">
        <v>434</v>
      </c>
      <c r="H427" s="6">
        <v>194760</v>
      </c>
      <c r="I427" s="10" t="s">
        <v>293</v>
      </c>
      <c r="J427" s="6" t="s">
        <v>166</v>
      </c>
      <c r="K427" s="6" t="s">
        <v>2673</v>
      </c>
      <c r="L427" s="11">
        <v>43282</v>
      </c>
      <c r="M427" s="11">
        <f>DCPXX[[#This Row],[INV DOC DATE]]+30</f>
        <v>43312</v>
      </c>
      <c r="N427" s="11">
        <v>43279</v>
      </c>
      <c r="Q427" s="13">
        <f t="shared" si="8"/>
        <v>434</v>
      </c>
      <c r="R427" s="13" t="str">
        <f ca="1">IF(TODAY() - DCPXX[INV DUE DATE]&lt;30, "Less than 30 days",IF(TODAY()-DCPXX[INV DUE DATE]&lt;60,"30-60 days","More than 60 days"))</f>
        <v>Less than 30 days</v>
      </c>
      <c r="S427" s="6" t="s">
        <v>817</v>
      </c>
      <c r="U427" s="13" t="s">
        <v>3699</v>
      </c>
    </row>
    <row r="428" spans="1:21" x14ac:dyDescent="0.3">
      <c r="A428" s="6" t="s">
        <v>4126</v>
      </c>
      <c r="B428" s="6" t="s">
        <v>30</v>
      </c>
      <c r="C428" s="6" t="s">
        <v>120</v>
      </c>
      <c r="D428" s="8">
        <v>4301</v>
      </c>
      <c r="E428" s="9">
        <v>434</v>
      </c>
      <c r="H428" s="6">
        <v>194760</v>
      </c>
      <c r="I428" s="10" t="s">
        <v>293</v>
      </c>
      <c r="J428" s="6" t="s">
        <v>167</v>
      </c>
      <c r="K428" s="6" t="s">
        <v>2673</v>
      </c>
      <c r="L428" s="11">
        <v>43282</v>
      </c>
      <c r="M428" s="11">
        <f>DCPXX[[#This Row],[INV DOC DATE]]+30</f>
        <v>43312</v>
      </c>
      <c r="N428" s="11">
        <v>43279</v>
      </c>
      <c r="Q428" s="13">
        <f t="shared" si="8"/>
        <v>434</v>
      </c>
      <c r="R428" s="13" t="str">
        <f ca="1">IF(TODAY() - DCPXX[INV DUE DATE]&lt;30, "Less than 30 days",IF(TODAY()-DCPXX[INV DUE DATE]&lt;60,"30-60 days","More than 60 days"))</f>
        <v>Less than 30 days</v>
      </c>
      <c r="S428" s="6" t="s">
        <v>817</v>
      </c>
      <c r="U428" s="13" t="s">
        <v>3699</v>
      </c>
    </row>
    <row r="429" spans="1:21" x14ac:dyDescent="0.3">
      <c r="A429" s="6" t="s">
        <v>4126</v>
      </c>
      <c r="B429" s="6" t="s">
        <v>30</v>
      </c>
      <c r="C429" s="6" t="s">
        <v>121</v>
      </c>
      <c r="D429" s="8">
        <v>4301</v>
      </c>
      <c r="E429" s="9">
        <v>434</v>
      </c>
      <c r="H429" s="6">
        <v>194760</v>
      </c>
      <c r="I429" s="10" t="s">
        <v>293</v>
      </c>
      <c r="J429" s="6" t="s">
        <v>168</v>
      </c>
      <c r="K429" s="6" t="s">
        <v>2673</v>
      </c>
      <c r="L429" s="11">
        <v>43282</v>
      </c>
      <c r="M429" s="11">
        <f>DCPXX[[#This Row],[INV DOC DATE]]+30</f>
        <v>43312</v>
      </c>
      <c r="N429" s="11">
        <v>43279</v>
      </c>
      <c r="Q429" s="13">
        <f t="shared" si="8"/>
        <v>434</v>
      </c>
      <c r="R429" s="13" t="str">
        <f ca="1">IF(TODAY() - DCPXX[INV DUE DATE]&lt;30, "Less than 30 days",IF(TODAY()-DCPXX[INV DUE DATE]&lt;60,"30-60 days","More than 60 days"))</f>
        <v>Less than 30 days</v>
      </c>
      <c r="S429" s="6" t="s">
        <v>817</v>
      </c>
      <c r="U429" s="13" t="s">
        <v>3699</v>
      </c>
    </row>
    <row r="430" spans="1:21" x14ac:dyDescent="0.3">
      <c r="A430" s="6" t="s">
        <v>4126</v>
      </c>
      <c r="B430" s="6" t="s">
        <v>30</v>
      </c>
      <c r="C430" s="6" t="s">
        <v>122</v>
      </c>
      <c r="D430" s="8">
        <v>4301</v>
      </c>
      <c r="E430" s="9">
        <v>434</v>
      </c>
      <c r="H430" s="6">
        <v>194760</v>
      </c>
      <c r="I430" s="10" t="s">
        <v>293</v>
      </c>
      <c r="J430" s="6" t="s">
        <v>169</v>
      </c>
      <c r="K430" s="6" t="s">
        <v>2673</v>
      </c>
      <c r="L430" s="11">
        <v>43282</v>
      </c>
      <c r="M430" s="11">
        <f>DCPXX[[#This Row],[INV DOC DATE]]+30</f>
        <v>43312</v>
      </c>
      <c r="N430" s="11">
        <v>43279</v>
      </c>
      <c r="Q430" s="13">
        <f t="shared" si="8"/>
        <v>434</v>
      </c>
      <c r="R430" s="13" t="str">
        <f ca="1">IF(TODAY() - DCPXX[INV DUE DATE]&lt;30, "Less than 30 days",IF(TODAY()-DCPXX[INV DUE DATE]&lt;60,"30-60 days","More than 60 days"))</f>
        <v>Less than 30 days</v>
      </c>
      <c r="S430" s="6" t="s">
        <v>817</v>
      </c>
      <c r="U430" s="13" t="s">
        <v>3699</v>
      </c>
    </row>
    <row r="431" spans="1:21" x14ac:dyDescent="0.3">
      <c r="A431" s="6" t="s">
        <v>4126</v>
      </c>
      <c r="B431" s="6" t="s">
        <v>30</v>
      </c>
      <c r="C431" s="6" t="s">
        <v>123</v>
      </c>
      <c r="D431" s="8">
        <v>4301</v>
      </c>
      <c r="E431" s="9">
        <v>434</v>
      </c>
      <c r="H431" s="6">
        <v>194760</v>
      </c>
      <c r="I431" s="10" t="s">
        <v>293</v>
      </c>
      <c r="J431" s="6" t="s">
        <v>170</v>
      </c>
      <c r="K431" s="6" t="s">
        <v>2673</v>
      </c>
      <c r="L431" s="11">
        <v>43282</v>
      </c>
      <c r="M431" s="11">
        <f>DCPXX[[#This Row],[INV DOC DATE]]+30</f>
        <v>43312</v>
      </c>
      <c r="N431" s="11">
        <v>43279</v>
      </c>
      <c r="Q431" s="13">
        <f t="shared" si="8"/>
        <v>434</v>
      </c>
      <c r="R431" s="13" t="str">
        <f ca="1">IF(TODAY() - DCPXX[INV DUE DATE]&lt;30, "Less than 30 days",IF(TODAY()-DCPXX[INV DUE DATE]&lt;60,"30-60 days","More than 60 days"))</f>
        <v>Less than 30 days</v>
      </c>
      <c r="S431" s="6" t="s">
        <v>817</v>
      </c>
      <c r="U431" s="13" t="s">
        <v>3699</v>
      </c>
    </row>
    <row r="432" spans="1:21" x14ac:dyDescent="0.3">
      <c r="A432" s="6" t="s">
        <v>4126</v>
      </c>
      <c r="B432" s="6" t="s">
        <v>30</v>
      </c>
      <c r="C432" s="6" t="s">
        <v>124</v>
      </c>
      <c r="D432" s="8">
        <v>4301</v>
      </c>
      <c r="E432" s="9">
        <v>232.5</v>
      </c>
      <c r="H432" s="6">
        <v>194760</v>
      </c>
      <c r="I432" s="10" t="s">
        <v>293</v>
      </c>
      <c r="J432" s="6" t="s">
        <v>171</v>
      </c>
      <c r="K432" s="6" t="s">
        <v>2673</v>
      </c>
      <c r="L432" s="11">
        <v>43282</v>
      </c>
      <c r="M432" s="11">
        <f>DCPXX[[#This Row],[INV DOC DATE]]+30</f>
        <v>43312</v>
      </c>
      <c r="N432" s="11">
        <v>43279</v>
      </c>
      <c r="Q432" s="13">
        <f t="shared" si="8"/>
        <v>232.5</v>
      </c>
      <c r="R432" s="13" t="str">
        <f ca="1">IF(TODAY() - DCPXX[INV DUE DATE]&lt;30, "Less than 30 days",IF(TODAY()-DCPXX[INV DUE DATE]&lt;60,"30-60 days","More than 60 days"))</f>
        <v>Less than 30 days</v>
      </c>
      <c r="S432" s="6" t="s">
        <v>817</v>
      </c>
      <c r="U432" s="13" t="s">
        <v>3699</v>
      </c>
    </row>
    <row r="433" spans="1:21" x14ac:dyDescent="0.3">
      <c r="A433" s="6" t="s">
        <v>4126</v>
      </c>
      <c r="B433" s="6" t="s">
        <v>30</v>
      </c>
      <c r="C433" s="6" t="s">
        <v>125</v>
      </c>
      <c r="D433" s="8">
        <v>4301</v>
      </c>
      <c r="E433" s="9">
        <v>232.5</v>
      </c>
      <c r="H433" s="6">
        <v>194760</v>
      </c>
      <c r="I433" s="10" t="s">
        <v>293</v>
      </c>
      <c r="J433" s="6" t="s">
        <v>172</v>
      </c>
      <c r="K433" s="6" t="s">
        <v>2673</v>
      </c>
      <c r="L433" s="11">
        <v>43282</v>
      </c>
      <c r="M433" s="11">
        <f>DCPXX[[#This Row],[INV DOC DATE]]+30</f>
        <v>43312</v>
      </c>
      <c r="N433" s="11">
        <v>43279</v>
      </c>
      <c r="Q433" s="13">
        <f t="shared" si="8"/>
        <v>232.5</v>
      </c>
      <c r="R433" s="13" t="str">
        <f ca="1">IF(TODAY() - DCPXX[INV DUE DATE]&lt;30, "Less than 30 days",IF(TODAY()-DCPXX[INV DUE DATE]&lt;60,"30-60 days","More than 60 days"))</f>
        <v>Less than 30 days</v>
      </c>
      <c r="S433" s="6" t="s">
        <v>817</v>
      </c>
      <c r="U433" s="13" t="s">
        <v>3699</v>
      </c>
    </row>
    <row r="434" spans="1:21" x14ac:dyDescent="0.3">
      <c r="A434" s="6" t="s">
        <v>4126</v>
      </c>
      <c r="B434" s="6" t="s">
        <v>30</v>
      </c>
      <c r="C434" s="6" t="s">
        <v>126</v>
      </c>
      <c r="D434" s="8">
        <v>4301</v>
      </c>
      <c r="E434" s="9">
        <v>232.5</v>
      </c>
      <c r="H434" s="6">
        <v>194760</v>
      </c>
      <c r="I434" s="10" t="s">
        <v>293</v>
      </c>
      <c r="J434" s="6" t="s">
        <v>173</v>
      </c>
      <c r="K434" s="6" t="s">
        <v>2673</v>
      </c>
      <c r="L434" s="11">
        <v>43282</v>
      </c>
      <c r="M434" s="11">
        <f>DCPXX[[#This Row],[INV DOC DATE]]+30</f>
        <v>43312</v>
      </c>
      <c r="N434" s="11">
        <v>43279</v>
      </c>
      <c r="Q434" s="13">
        <f t="shared" si="8"/>
        <v>232.5</v>
      </c>
      <c r="R434" s="13" t="str">
        <f ca="1">IF(TODAY() - DCPXX[INV DUE DATE]&lt;30, "Less than 30 days",IF(TODAY()-DCPXX[INV DUE DATE]&lt;60,"30-60 days","More than 60 days"))</f>
        <v>Less than 30 days</v>
      </c>
      <c r="S434" s="6" t="s">
        <v>817</v>
      </c>
      <c r="U434" s="13" t="s">
        <v>3699</v>
      </c>
    </row>
    <row r="435" spans="1:21" x14ac:dyDescent="0.3">
      <c r="A435" s="6" t="s">
        <v>4126</v>
      </c>
      <c r="B435" s="6" t="s">
        <v>30</v>
      </c>
      <c r="C435" s="6" t="s">
        <v>127</v>
      </c>
      <c r="D435" s="8">
        <v>4301</v>
      </c>
      <c r="E435" s="9">
        <v>232.5</v>
      </c>
      <c r="H435" s="6">
        <v>194760</v>
      </c>
      <c r="I435" s="10" t="s">
        <v>293</v>
      </c>
      <c r="J435" s="6" t="s">
        <v>174</v>
      </c>
      <c r="K435" s="6" t="s">
        <v>2673</v>
      </c>
      <c r="L435" s="11">
        <v>43282</v>
      </c>
      <c r="M435" s="11">
        <f>DCPXX[[#This Row],[INV DOC DATE]]+30</f>
        <v>43312</v>
      </c>
      <c r="N435" s="11">
        <v>43279</v>
      </c>
      <c r="Q435" s="13">
        <f t="shared" si="8"/>
        <v>232.5</v>
      </c>
      <c r="R435" s="13" t="str">
        <f ca="1">IF(TODAY() - DCPXX[INV DUE DATE]&lt;30, "Less than 30 days",IF(TODAY()-DCPXX[INV DUE DATE]&lt;60,"30-60 days","More than 60 days"))</f>
        <v>Less than 30 days</v>
      </c>
      <c r="S435" s="6" t="s">
        <v>817</v>
      </c>
      <c r="U435" s="13" t="s">
        <v>3699</v>
      </c>
    </row>
    <row r="436" spans="1:21" x14ac:dyDescent="0.3">
      <c r="A436" s="6" t="s">
        <v>4126</v>
      </c>
      <c r="B436" s="6" t="s">
        <v>30</v>
      </c>
      <c r="C436" s="6" t="s">
        <v>128</v>
      </c>
      <c r="D436" s="8">
        <v>4301</v>
      </c>
      <c r="E436" s="9">
        <v>305.35000000000002</v>
      </c>
      <c r="H436" s="6">
        <v>194840</v>
      </c>
      <c r="I436" s="10" t="s">
        <v>293</v>
      </c>
      <c r="J436" s="6" t="s">
        <v>3693</v>
      </c>
      <c r="K436" s="6" t="s">
        <v>2673</v>
      </c>
      <c r="L436" s="11">
        <v>43282</v>
      </c>
      <c r="M436" s="11">
        <f>DCPXX[[#This Row],[INV DOC DATE]]+30</f>
        <v>43312</v>
      </c>
      <c r="N436" s="11">
        <v>43279</v>
      </c>
      <c r="Q436" s="13">
        <f t="shared" si="8"/>
        <v>305.35000000000002</v>
      </c>
      <c r="R436" s="13" t="str">
        <f ca="1">IF(TODAY() - DCPXX[INV DUE DATE]&lt;30, "Less than 30 days",IF(TODAY()-DCPXX[INV DUE DATE]&lt;60,"30-60 days","More than 60 days"))</f>
        <v>Less than 30 days</v>
      </c>
      <c r="S436" s="6" t="s">
        <v>817</v>
      </c>
      <c r="U436" s="13" t="s">
        <v>3699</v>
      </c>
    </row>
    <row r="437" spans="1:21" x14ac:dyDescent="0.3">
      <c r="A437" s="6" t="s">
        <v>4126</v>
      </c>
      <c r="B437" s="6" t="s">
        <v>30</v>
      </c>
      <c r="C437" s="6" t="s">
        <v>129</v>
      </c>
      <c r="D437" s="8">
        <v>4301</v>
      </c>
      <c r="E437" s="9">
        <v>305.35000000000002</v>
      </c>
      <c r="H437" s="6">
        <v>194840</v>
      </c>
      <c r="I437" s="10" t="s">
        <v>293</v>
      </c>
      <c r="J437" s="6" t="s">
        <v>3694</v>
      </c>
      <c r="K437" s="6" t="s">
        <v>2673</v>
      </c>
      <c r="L437" s="11">
        <v>43282</v>
      </c>
      <c r="M437" s="11">
        <f>DCPXX[[#This Row],[INV DOC DATE]]+30</f>
        <v>43312</v>
      </c>
      <c r="N437" s="11">
        <v>43279</v>
      </c>
      <c r="Q437" s="13">
        <f t="shared" si="8"/>
        <v>305.35000000000002</v>
      </c>
      <c r="R437" s="13" t="str">
        <f ca="1">IF(TODAY() - DCPXX[INV DUE DATE]&lt;30, "Less than 30 days",IF(TODAY()-DCPXX[INV DUE DATE]&lt;60,"30-60 days","More than 60 days"))</f>
        <v>Less than 30 days</v>
      </c>
      <c r="S437" s="6" t="s">
        <v>817</v>
      </c>
      <c r="U437" s="13" t="s">
        <v>3699</v>
      </c>
    </row>
    <row r="438" spans="1:21" x14ac:dyDescent="0.3">
      <c r="A438" s="6" t="s">
        <v>4126</v>
      </c>
      <c r="B438" s="6" t="s">
        <v>30</v>
      </c>
      <c r="C438" s="6" t="s">
        <v>130</v>
      </c>
      <c r="D438" s="8">
        <v>4301</v>
      </c>
      <c r="E438" s="9">
        <v>305.35000000000002</v>
      </c>
      <c r="H438" s="6">
        <v>194840</v>
      </c>
      <c r="I438" s="10" t="s">
        <v>293</v>
      </c>
      <c r="J438" s="6" t="s">
        <v>3695</v>
      </c>
      <c r="K438" s="6" t="s">
        <v>2673</v>
      </c>
      <c r="L438" s="11">
        <v>43282</v>
      </c>
      <c r="M438" s="11">
        <f>DCPXX[[#This Row],[INV DOC DATE]]+30</f>
        <v>43312</v>
      </c>
      <c r="N438" s="11">
        <v>43279</v>
      </c>
      <c r="Q438" s="13">
        <f t="shared" si="8"/>
        <v>305.35000000000002</v>
      </c>
      <c r="R438" s="13" t="str">
        <f ca="1">IF(TODAY() - DCPXX[INV DUE DATE]&lt;30, "Less than 30 days",IF(TODAY()-DCPXX[INV DUE DATE]&lt;60,"30-60 days","More than 60 days"))</f>
        <v>Less than 30 days</v>
      </c>
      <c r="S438" s="6" t="s">
        <v>817</v>
      </c>
      <c r="U438" s="13" t="s">
        <v>3699</v>
      </c>
    </row>
    <row r="439" spans="1:21" x14ac:dyDescent="0.3">
      <c r="A439" s="6" t="s">
        <v>4126</v>
      </c>
      <c r="B439" s="6" t="s">
        <v>30</v>
      </c>
      <c r="C439" s="6" t="s">
        <v>131</v>
      </c>
      <c r="D439" s="8">
        <v>4301</v>
      </c>
      <c r="E439" s="9">
        <v>305.35000000000002</v>
      </c>
      <c r="H439" s="6">
        <v>194840</v>
      </c>
      <c r="I439" s="10" t="s">
        <v>293</v>
      </c>
      <c r="J439" s="6" t="s">
        <v>3696</v>
      </c>
      <c r="K439" s="6" t="s">
        <v>2673</v>
      </c>
      <c r="L439" s="11">
        <v>43282</v>
      </c>
      <c r="M439" s="11">
        <f>DCPXX[[#This Row],[INV DOC DATE]]+30</f>
        <v>43312</v>
      </c>
      <c r="N439" s="11">
        <v>43279</v>
      </c>
      <c r="Q439" s="13">
        <f t="shared" si="8"/>
        <v>305.35000000000002</v>
      </c>
      <c r="R439" s="13" t="str">
        <f ca="1">IF(TODAY() - DCPXX[INV DUE DATE]&lt;30, "Less than 30 days",IF(TODAY()-DCPXX[INV DUE DATE]&lt;60,"30-60 days","More than 60 days"))</f>
        <v>Less than 30 days</v>
      </c>
      <c r="S439" s="6" t="s">
        <v>817</v>
      </c>
      <c r="U439" s="13" t="s">
        <v>3699</v>
      </c>
    </row>
    <row r="440" spans="1:21" x14ac:dyDescent="0.3">
      <c r="A440" s="6" t="s">
        <v>4126</v>
      </c>
      <c r="B440" s="6" t="s">
        <v>30</v>
      </c>
      <c r="C440" s="6" t="s">
        <v>132</v>
      </c>
      <c r="D440" s="8">
        <v>4301</v>
      </c>
      <c r="E440" s="9">
        <v>305.35000000000002</v>
      </c>
      <c r="H440" s="6">
        <v>194840</v>
      </c>
      <c r="I440" s="10" t="s">
        <v>293</v>
      </c>
      <c r="J440" s="6" t="s">
        <v>3697</v>
      </c>
      <c r="K440" s="6" t="s">
        <v>2673</v>
      </c>
      <c r="L440" s="11">
        <v>43282</v>
      </c>
      <c r="M440" s="11">
        <f>DCPXX[[#This Row],[INV DOC DATE]]+30</f>
        <v>43312</v>
      </c>
      <c r="N440" s="11">
        <v>43279</v>
      </c>
      <c r="Q440" s="13">
        <f t="shared" si="8"/>
        <v>305.35000000000002</v>
      </c>
      <c r="R440" s="13" t="str">
        <f ca="1">IF(TODAY() - DCPXX[INV DUE DATE]&lt;30, "Less than 30 days",IF(TODAY()-DCPXX[INV DUE DATE]&lt;60,"30-60 days","More than 60 days"))</f>
        <v>Less than 30 days</v>
      </c>
      <c r="S440" s="6" t="s">
        <v>817</v>
      </c>
      <c r="U440" s="13" t="s">
        <v>3699</v>
      </c>
    </row>
    <row r="441" spans="1:21" x14ac:dyDescent="0.3">
      <c r="A441" s="6" t="s">
        <v>4126</v>
      </c>
      <c r="B441" s="6" t="s">
        <v>30</v>
      </c>
      <c r="C441" s="6" t="s">
        <v>133</v>
      </c>
      <c r="D441" s="8">
        <v>4301</v>
      </c>
      <c r="E441" s="9">
        <v>305.35000000000002</v>
      </c>
      <c r="H441" s="6">
        <v>194840</v>
      </c>
      <c r="I441" s="10" t="s">
        <v>293</v>
      </c>
      <c r="J441" s="6" t="s">
        <v>3698</v>
      </c>
      <c r="K441" s="6" t="s">
        <v>2673</v>
      </c>
      <c r="L441" s="11">
        <v>43282</v>
      </c>
      <c r="M441" s="11">
        <f>DCPXX[[#This Row],[INV DOC DATE]]+30</f>
        <v>43312</v>
      </c>
      <c r="N441" s="11">
        <v>43279</v>
      </c>
      <c r="Q441" s="13">
        <f t="shared" si="8"/>
        <v>305.35000000000002</v>
      </c>
      <c r="R441" s="13" t="str">
        <f ca="1">IF(TODAY() - DCPXX[INV DUE DATE]&lt;30, "Less than 30 days",IF(TODAY()-DCPXX[INV DUE DATE]&lt;60,"30-60 days","More than 60 days"))</f>
        <v>Less than 30 days</v>
      </c>
      <c r="S441" s="6" t="s">
        <v>817</v>
      </c>
      <c r="U441" s="13" t="s">
        <v>3699</v>
      </c>
    </row>
    <row r="442" spans="1:21" x14ac:dyDescent="0.3">
      <c r="A442" s="6" t="s">
        <v>4126</v>
      </c>
      <c r="B442" s="6" t="s">
        <v>30</v>
      </c>
      <c r="C442" s="6" t="s">
        <v>134</v>
      </c>
      <c r="D442" s="8">
        <v>4301</v>
      </c>
      <c r="E442" s="9">
        <v>178.25</v>
      </c>
      <c r="H442" s="6">
        <v>194841</v>
      </c>
      <c r="I442" s="10" t="s">
        <v>293</v>
      </c>
      <c r="J442" s="6" t="s">
        <v>183</v>
      </c>
      <c r="K442" s="6" t="s">
        <v>2673</v>
      </c>
      <c r="L442" s="11">
        <v>43282</v>
      </c>
      <c r="M442" s="11">
        <f>DCPXX[[#This Row],[INV DOC DATE]]+30</f>
        <v>43312</v>
      </c>
      <c r="N442" s="11">
        <v>43279</v>
      </c>
      <c r="Q442" s="13">
        <f t="shared" si="8"/>
        <v>178.25</v>
      </c>
      <c r="R442" s="13" t="str">
        <f ca="1">IF(TODAY() - DCPXX[INV DUE DATE]&lt;30, "Less than 30 days",IF(TODAY()-DCPXX[INV DUE DATE]&lt;60,"30-60 days","More than 60 days"))</f>
        <v>Less than 30 days</v>
      </c>
      <c r="S442" s="6" t="s">
        <v>817</v>
      </c>
      <c r="U442" s="13" t="s">
        <v>3699</v>
      </c>
    </row>
    <row r="443" spans="1:21" x14ac:dyDescent="0.3">
      <c r="A443" s="6" t="s">
        <v>4126</v>
      </c>
      <c r="B443" s="6" t="s">
        <v>30</v>
      </c>
      <c r="C443" s="6" t="s">
        <v>135</v>
      </c>
      <c r="D443" s="8">
        <v>4301</v>
      </c>
      <c r="E443" s="9">
        <v>178.25</v>
      </c>
      <c r="H443" s="6">
        <v>194841</v>
      </c>
      <c r="I443" s="10" t="s">
        <v>293</v>
      </c>
      <c r="J443" s="6" t="s">
        <v>184</v>
      </c>
      <c r="K443" s="6" t="s">
        <v>2673</v>
      </c>
      <c r="L443" s="11">
        <v>43282</v>
      </c>
      <c r="M443" s="11">
        <f>DCPXX[[#This Row],[INV DOC DATE]]+30</f>
        <v>43312</v>
      </c>
      <c r="N443" s="11">
        <v>43279</v>
      </c>
      <c r="Q443" s="13">
        <f t="shared" si="8"/>
        <v>178.25</v>
      </c>
      <c r="R443" s="13" t="str">
        <f ca="1">IF(TODAY() - DCPXX[INV DUE DATE]&lt;30, "Less than 30 days",IF(TODAY()-DCPXX[INV DUE DATE]&lt;60,"30-60 days","More than 60 days"))</f>
        <v>Less than 30 days</v>
      </c>
      <c r="S443" s="6" t="s">
        <v>817</v>
      </c>
      <c r="U443" s="13" t="s">
        <v>3699</v>
      </c>
    </row>
    <row r="444" spans="1:21" x14ac:dyDescent="0.3">
      <c r="A444" s="6" t="s">
        <v>4126</v>
      </c>
      <c r="B444" s="6" t="s">
        <v>30</v>
      </c>
      <c r="C444" s="6" t="s">
        <v>136</v>
      </c>
      <c r="D444" s="8">
        <v>4301</v>
      </c>
      <c r="E444" s="9">
        <v>178.25</v>
      </c>
      <c r="H444" s="6">
        <v>194841</v>
      </c>
      <c r="I444" s="10" t="s">
        <v>293</v>
      </c>
      <c r="J444" s="6" t="s">
        <v>185</v>
      </c>
      <c r="K444" s="6" t="s">
        <v>2673</v>
      </c>
      <c r="L444" s="11">
        <v>43282</v>
      </c>
      <c r="M444" s="11">
        <f>DCPXX[[#This Row],[INV DOC DATE]]+30</f>
        <v>43312</v>
      </c>
      <c r="N444" s="11">
        <v>43279</v>
      </c>
      <c r="Q444" s="13">
        <f t="shared" si="8"/>
        <v>178.25</v>
      </c>
      <c r="R444" s="13" t="str">
        <f ca="1">IF(TODAY() - DCPXX[INV DUE DATE]&lt;30, "Less than 30 days",IF(TODAY()-DCPXX[INV DUE DATE]&lt;60,"30-60 days","More than 60 days"))</f>
        <v>Less than 30 days</v>
      </c>
      <c r="S444" s="6" t="s">
        <v>817</v>
      </c>
      <c r="U444" s="13" t="s">
        <v>3699</v>
      </c>
    </row>
    <row r="445" spans="1:21" x14ac:dyDescent="0.3">
      <c r="A445" s="6" t="s">
        <v>4126</v>
      </c>
      <c r="B445" s="6" t="s">
        <v>30</v>
      </c>
      <c r="C445" s="6" t="s">
        <v>137</v>
      </c>
      <c r="D445" s="8">
        <v>4301</v>
      </c>
      <c r="E445" s="9">
        <v>178.25</v>
      </c>
      <c r="H445" s="6">
        <v>194841</v>
      </c>
      <c r="I445" s="10" t="s">
        <v>293</v>
      </c>
      <c r="J445" s="6" t="s">
        <v>186</v>
      </c>
      <c r="K445" s="6" t="s">
        <v>2673</v>
      </c>
      <c r="L445" s="11">
        <v>43282</v>
      </c>
      <c r="M445" s="11">
        <f>DCPXX[[#This Row],[INV DOC DATE]]+30</f>
        <v>43312</v>
      </c>
      <c r="N445" s="11">
        <v>43279</v>
      </c>
      <c r="Q445" s="13">
        <f t="shared" si="8"/>
        <v>178.25</v>
      </c>
      <c r="R445" s="13" t="str">
        <f ca="1">IF(TODAY() - DCPXX[INV DUE DATE]&lt;30, "Less than 30 days",IF(TODAY()-DCPXX[INV DUE DATE]&lt;60,"30-60 days","More than 60 days"))</f>
        <v>Less than 30 days</v>
      </c>
      <c r="S445" s="6" t="s">
        <v>817</v>
      </c>
      <c r="U445" s="13" t="s">
        <v>3699</v>
      </c>
    </row>
    <row r="446" spans="1:21" x14ac:dyDescent="0.3">
      <c r="A446" s="6" t="s">
        <v>4126</v>
      </c>
      <c r="B446" s="6" t="s">
        <v>30</v>
      </c>
      <c r="C446" s="6" t="s">
        <v>138</v>
      </c>
      <c r="D446" s="8">
        <v>4301</v>
      </c>
      <c r="E446" s="9">
        <v>178.25</v>
      </c>
      <c r="H446" s="6">
        <v>194841</v>
      </c>
      <c r="I446" s="10" t="s">
        <v>293</v>
      </c>
      <c r="J446" s="6" t="s">
        <v>187</v>
      </c>
      <c r="K446" s="6" t="s">
        <v>2673</v>
      </c>
      <c r="L446" s="11">
        <v>43282</v>
      </c>
      <c r="M446" s="11">
        <f>DCPXX[[#This Row],[INV DOC DATE]]+30</f>
        <v>43312</v>
      </c>
      <c r="N446" s="11">
        <v>43279</v>
      </c>
      <c r="Q446" s="13">
        <f t="shared" si="8"/>
        <v>178.25</v>
      </c>
      <c r="R446" s="13" t="str">
        <f ca="1">IF(TODAY() - DCPXX[INV DUE DATE]&lt;30, "Less than 30 days",IF(TODAY()-DCPXX[INV DUE DATE]&lt;60,"30-60 days","More than 60 days"))</f>
        <v>Less than 30 days</v>
      </c>
      <c r="S446" s="6" t="s">
        <v>817</v>
      </c>
      <c r="U446" s="13" t="s">
        <v>3699</v>
      </c>
    </row>
    <row r="447" spans="1:21" x14ac:dyDescent="0.3">
      <c r="A447" s="6" t="s">
        <v>4126</v>
      </c>
      <c r="B447" s="6" t="s">
        <v>30</v>
      </c>
      <c r="C447" s="6" t="s">
        <v>139</v>
      </c>
      <c r="D447" s="8">
        <v>4301</v>
      </c>
      <c r="E447" s="9">
        <v>178.25</v>
      </c>
      <c r="H447" s="6">
        <v>194841</v>
      </c>
      <c r="I447" s="10" t="s">
        <v>293</v>
      </c>
      <c r="J447" s="6" t="s">
        <v>188</v>
      </c>
      <c r="K447" s="6" t="s">
        <v>2673</v>
      </c>
      <c r="L447" s="11">
        <v>43282</v>
      </c>
      <c r="M447" s="11">
        <f>DCPXX[[#This Row],[INV DOC DATE]]+30</f>
        <v>43312</v>
      </c>
      <c r="N447" s="11">
        <v>43279</v>
      </c>
      <c r="Q447" s="13">
        <f t="shared" si="8"/>
        <v>178.25</v>
      </c>
      <c r="R447" s="13" t="str">
        <f ca="1">IF(TODAY() - DCPXX[INV DUE DATE]&lt;30, "Less than 30 days",IF(TODAY()-DCPXX[INV DUE DATE]&lt;60,"30-60 days","More than 60 days"))</f>
        <v>Less than 30 days</v>
      </c>
      <c r="S447" s="6" t="s">
        <v>817</v>
      </c>
      <c r="U447" s="13" t="s">
        <v>3699</v>
      </c>
    </row>
    <row r="448" spans="1:21" x14ac:dyDescent="0.3">
      <c r="A448" s="6" t="s">
        <v>4126</v>
      </c>
      <c r="B448" s="6" t="s">
        <v>30</v>
      </c>
      <c r="C448" s="6" t="s">
        <v>140</v>
      </c>
      <c r="D448" s="8">
        <v>4301</v>
      </c>
      <c r="E448" s="9">
        <v>178.25</v>
      </c>
      <c r="H448" s="6">
        <v>194841</v>
      </c>
      <c r="I448" s="10" t="s">
        <v>293</v>
      </c>
      <c r="J448" s="6" t="s">
        <v>189</v>
      </c>
      <c r="K448" s="6" t="s">
        <v>2673</v>
      </c>
      <c r="L448" s="11">
        <v>43282</v>
      </c>
      <c r="M448" s="11">
        <f>DCPXX[[#This Row],[INV DOC DATE]]+30</f>
        <v>43312</v>
      </c>
      <c r="N448" s="11">
        <v>43279</v>
      </c>
      <c r="Q448" s="13">
        <f t="shared" ref="Q448:Q473" si="9">$E448-$O448</f>
        <v>178.25</v>
      </c>
      <c r="R448" s="13" t="str">
        <f ca="1">IF(TODAY() - DCPXX[INV DUE DATE]&lt;30, "Less than 30 days",IF(TODAY()-DCPXX[INV DUE DATE]&lt;60,"30-60 days","More than 60 days"))</f>
        <v>Less than 30 days</v>
      </c>
      <c r="S448" s="6" t="s">
        <v>817</v>
      </c>
      <c r="U448" s="13" t="s">
        <v>3699</v>
      </c>
    </row>
    <row r="449" spans="1:21" x14ac:dyDescent="0.3">
      <c r="A449" s="6" t="s">
        <v>4126</v>
      </c>
      <c r="B449" s="6" t="s">
        <v>30</v>
      </c>
      <c r="C449" s="6" t="s">
        <v>141</v>
      </c>
      <c r="D449" s="8">
        <v>4301</v>
      </c>
      <c r="E449" s="9">
        <v>178.25</v>
      </c>
      <c r="H449" s="6">
        <v>194841</v>
      </c>
      <c r="I449" s="10" t="s">
        <v>293</v>
      </c>
      <c r="J449" s="6" t="s">
        <v>190</v>
      </c>
      <c r="K449" s="6" t="s">
        <v>2673</v>
      </c>
      <c r="L449" s="11">
        <v>43282</v>
      </c>
      <c r="M449" s="11">
        <f>DCPXX[[#This Row],[INV DOC DATE]]+30</f>
        <v>43312</v>
      </c>
      <c r="N449" s="11">
        <v>43279</v>
      </c>
      <c r="Q449" s="13">
        <f t="shared" si="9"/>
        <v>178.25</v>
      </c>
      <c r="R449" s="13" t="str">
        <f ca="1">IF(TODAY() - DCPXX[INV DUE DATE]&lt;30, "Less than 30 days",IF(TODAY()-DCPXX[INV DUE DATE]&lt;60,"30-60 days","More than 60 days"))</f>
        <v>Less than 30 days</v>
      </c>
      <c r="S449" s="6" t="s">
        <v>817</v>
      </c>
      <c r="U449" s="13" t="s">
        <v>3699</v>
      </c>
    </row>
    <row r="450" spans="1:21" x14ac:dyDescent="0.3">
      <c r="A450" s="6" t="s">
        <v>4126</v>
      </c>
      <c r="B450" s="6" t="s">
        <v>30</v>
      </c>
      <c r="C450" s="6" t="s">
        <v>142</v>
      </c>
      <c r="D450" s="8">
        <v>4301</v>
      </c>
      <c r="E450" s="9">
        <v>178.25</v>
      </c>
      <c r="H450" s="6">
        <v>194841</v>
      </c>
      <c r="I450" s="10" t="s">
        <v>293</v>
      </c>
      <c r="J450" s="6" t="s">
        <v>191</v>
      </c>
      <c r="K450" s="6" t="s">
        <v>2673</v>
      </c>
      <c r="L450" s="11">
        <v>43282</v>
      </c>
      <c r="M450" s="11">
        <f>DCPXX[[#This Row],[INV DOC DATE]]+30</f>
        <v>43312</v>
      </c>
      <c r="N450" s="11">
        <v>43279</v>
      </c>
      <c r="Q450" s="13">
        <f t="shared" si="9"/>
        <v>178.25</v>
      </c>
      <c r="R450" s="13" t="str">
        <f ca="1">IF(TODAY() - DCPXX[INV DUE DATE]&lt;30, "Less than 30 days",IF(TODAY()-DCPXX[INV DUE DATE]&lt;60,"30-60 days","More than 60 days"))</f>
        <v>Less than 30 days</v>
      </c>
      <c r="S450" s="6" t="s">
        <v>817</v>
      </c>
      <c r="U450" s="13" t="s">
        <v>3699</v>
      </c>
    </row>
    <row r="451" spans="1:21" x14ac:dyDescent="0.3">
      <c r="A451" s="6" t="s">
        <v>4126</v>
      </c>
      <c r="B451" s="6" t="s">
        <v>30</v>
      </c>
      <c r="C451" s="6" t="s">
        <v>143</v>
      </c>
      <c r="D451" s="8">
        <v>4301</v>
      </c>
      <c r="E451" s="9">
        <v>178.25</v>
      </c>
      <c r="H451" s="6">
        <v>194841</v>
      </c>
      <c r="I451" s="10" t="s">
        <v>293</v>
      </c>
      <c r="J451" s="6" t="s">
        <v>192</v>
      </c>
      <c r="K451" s="6" t="s">
        <v>2673</v>
      </c>
      <c r="L451" s="11">
        <v>43282</v>
      </c>
      <c r="M451" s="11">
        <f>DCPXX[[#This Row],[INV DOC DATE]]+30</f>
        <v>43312</v>
      </c>
      <c r="N451" s="11">
        <v>43279</v>
      </c>
      <c r="Q451" s="13">
        <f t="shared" si="9"/>
        <v>178.25</v>
      </c>
      <c r="R451" s="13" t="str">
        <f ca="1">IF(TODAY() - DCPXX[INV DUE DATE]&lt;30, "Less than 30 days",IF(TODAY()-DCPXX[INV DUE DATE]&lt;60,"30-60 days","More than 60 days"))</f>
        <v>Less than 30 days</v>
      </c>
      <c r="S451" s="6" t="s">
        <v>817</v>
      </c>
      <c r="U451" s="13" t="s">
        <v>3699</v>
      </c>
    </row>
    <row r="452" spans="1:21" x14ac:dyDescent="0.3">
      <c r="A452" s="6" t="s">
        <v>4126</v>
      </c>
      <c r="B452" s="6" t="s">
        <v>30</v>
      </c>
      <c r="C452" s="6" t="s">
        <v>144</v>
      </c>
      <c r="D452" s="8">
        <v>4301</v>
      </c>
      <c r="E452" s="9">
        <v>178.25</v>
      </c>
      <c r="H452" s="6">
        <v>194841</v>
      </c>
      <c r="I452" s="10" t="s">
        <v>293</v>
      </c>
      <c r="J452" s="6" t="s">
        <v>193</v>
      </c>
      <c r="K452" s="6" t="s">
        <v>2673</v>
      </c>
      <c r="L452" s="11">
        <v>43282</v>
      </c>
      <c r="M452" s="11">
        <f>DCPXX[[#This Row],[INV DOC DATE]]+30</f>
        <v>43312</v>
      </c>
      <c r="N452" s="11">
        <v>43279</v>
      </c>
      <c r="Q452" s="13">
        <f t="shared" si="9"/>
        <v>178.25</v>
      </c>
      <c r="R452" s="13" t="str">
        <f ca="1">IF(TODAY() - DCPXX[INV DUE DATE]&lt;30, "Less than 30 days",IF(TODAY()-DCPXX[INV DUE DATE]&lt;60,"30-60 days","More than 60 days"))</f>
        <v>Less than 30 days</v>
      </c>
      <c r="S452" s="6" t="s">
        <v>817</v>
      </c>
      <c r="U452" s="13" t="s">
        <v>3699</v>
      </c>
    </row>
    <row r="453" spans="1:21" x14ac:dyDescent="0.3">
      <c r="A453" s="6" t="s">
        <v>4126</v>
      </c>
      <c r="B453" s="6" t="s">
        <v>30</v>
      </c>
      <c r="C453" s="6" t="s">
        <v>145</v>
      </c>
      <c r="D453" s="8">
        <v>4301</v>
      </c>
      <c r="E453" s="9">
        <v>178.25</v>
      </c>
      <c r="H453" s="6">
        <v>194841</v>
      </c>
      <c r="I453" s="10" t="s">
        <v>293</v>
      </c>
      <c r="J453" s="6" t="s">
        <v>194</v>
      </c>
      <c r="K453" s="6" t="s">
        <v>2673</v>
      </c>
      <c r="L453" s="11">
        <v>43282</v>
      </c>
      <c r="M453" s="11">
        <f>DCPXX[[#This Row],[INV DOC DATE]]+30</f>
        <v>43312</v>
      </c>
      <c r="N453" s="11">
        <v>43279</v>
      </c>
      <c r="Q453" s="13">
        <f t="shared" si="9"/>
        <v>178.25</v>
      </c>
      <c r="R453" s="13" t="str">
        <f ca="1">IF(TODAY() - DCPXX[INV DUE DATE]&lt;30, "Less than 30 days",IF(TODAY()-DCPXX[INV DUE DATE]&lt;60,"30-60 days","More than 60 days"))</f>
        <v>Less than 30 days</v>
      </c>
      <c r="S453" s="6" t="s">
        <v>817</v>
      </c>
      <c r="U453" s="13" t="s">
        <v>3699</v>
      </c>
    </row>
    <row r="454" spans="1:21" x14ac:dyDescent="0.3">
      <c r="A454" s="6" t="s">
        <v>4126</v>
      </c>
      <c r="B454" s="6" t="s">
        <v>30</v>
      </c>
      <c r="C454" s="6" t="s">
        <v>146</v>
      </c>
      <c r="D454" s="8">
        <v>4301</v>
      </c>
      <c r="E454" s="9">
        <v>178.25</v>
      </c>
      <c r="H454" s="6">
        <v>194841</v>
      </c>
      <c r="I454" s="10" t="s">
        <v>293</v>
      </c>
      <c r="J454" s="6" t="s">
        <v>195</v>
      </c>
      <c r="K454" s="6" t="s">
        <v>2673</v>
      </c>
      <c r="L454" s="11">
        <v>43282</v>
      </c>
      <c r="M454" s="11">
        <f>DCPXX[[#This Row],[INV DOC DATE]]+30</f>
        <v>43312</v>
      </c>
      <c r="N454" s="11">
        <v>43279</v>
      </c>
      <c r="Q454" s="13">
        <f t="shared" si="9"/>
        <v>178.25</v>
      </c>
      <c r="R454" s="13" t="str">
        <f ca="1">IF(TODAY() - DCPXX[INV DUE DATE]&lt;30, "Less than 30 days",IF(TODAY()-DCPXX[INV DUE DATE]&lt;60,"30-60 days","More than 60 days"))</f>
        <v>Less than 30 days</v>
      </c>
      <c r="S454" s="6" t="s">
        <v>817</v>
      </c>
      <c r="U454" s="13" t="s">
        <v>3699</v>
      </c>
    </row>
    <row r="455" spans="1:21" x14ac:dyDescent="0.3">
      <c r="A455" s="6" t="s">
        <v>4126</v>
      </c>
      <c r="B455" s="6" t="s">
        <v>30</v>
      </c>
      <c r="C455" s="6" t="s">
        <v>147</v>
      </c>
      <c r="D455" s="8">
        <v>4301</v>
      </c>
      <c r="E455" s="9">
        <v>178.25</v>
      </c>
      <c r="H455" s="6">
        <v>194841</v>
      </c>
      <c r="I455" s="10" t="s">
        <v>293</v>
      </c>
      <c r="J455" s="6" t="s">
        <v>196</v>
      </c>
      <c r="K455" s="6" t="s">
        <v>2673</v>
      </c>
      <c r="L455" s="11">
        <v>43282</v>
      </c>
      <c r="M455" s="11">
        <f>DCPXX[[#This Row],[INV DOC DATE]]+30</f>
        <v>43312</v>
      </c>
      <c r="N455" s="11">
        <v>43279</v>
      </c>
      <c r="Q455" s="13">
        <f t="shared" si="9"/>
        <v>178.25</v>
      </c>
      <c r="R455" s="13" t="str">
        <f ca="1">IF(TODAY() - DCPXX[INV DUE DATE]&lt;30, "Less than 30 days",IF(TODAY()-DCPXX[INV DUE DATE]&lt;60,"30-60 days","More than 60 days"))</f>
        <v>Less than 30 days</v>
      </c>
      <c r="S455" s="6" t="s">
        <v>817</v>
      </c>
      <c r="U455" s="13" t="s">
        <v>3699</v>
      </c>
    </row>
    <row r="456" spans="1:21" x14ac:dyDescent="0.3">
      <c r="A456" s="6" t="s">
        <v>4126</v>
      </c>
      <c r="B456" s="6" t="s">
        <v>30</v>
      </c>
      <c r="C456" s="6" t="s">
        <v>148</v>
      </c>
      <c r="D456" s="8">
        <v>4301</v>
      </c>
      <c r="E456" s="9">
        <v>178.25</v>
      </c>
      <c r="H456" s="6">
        <v>194841</v>
      </c>
      <c r="I456" s="10" t="s">
        <v>293</v>
      </c>
      <c r="J456" s="6" t="s">
        <v>215</v>
      </c>
      <c r="K456" s="6" t="s">
        <v>2673</v>
      </c>
      <c r="L456" s="11">
        <v>43282</v>
      </c>
      <c r="M456" s="11">
        <f>DCPXX[[#This Row],[INV DOC DATE]]+30</f>
        <v>43312</v>
      </c>
      <c r="N456" s="11">
        <v>43279</v>
      </c>
      <c r="Q456" s="13">
        <f t="shared" si="9"/>
        <v>178.25</v>
      </c>
      <c r="R456" s="13" t="str">
        <f ca="1">IF(TODAY() - DCPXX[INV DUE DATE]&lt;30, "Less than 30 days",IF(TODAY()-DCPXX[INV DUE DATE]&lt;60,"30-60 days","More than 60 days"))</f>
        <v>Less than 30 days</v>
      </c>
      <c r="S456" s="6" t="s">
        <v>817</v>
      </c>
      <c r="U456" s="13" t="s">
        <v>3699</v>
      </c>
    </row>
    <row r="457" spans="1:21" x14ac:dyDescent="0.3">
      <c r="A457" s="6" t="s">
        <v>4126</v>
      </c>
      <c r="B457" s="6" t="s">
        <v>30</v>
      </c>
      <c r="C457" s="6" t="s">
        <v>149</v>
      </c>
      <c r="D457" s="8">
        <v>4301</v>
      </c>
      <c r="E457" s="9">
        <v>178.25</v>
      </c>
      <c r="H457" s="6">
        <v>194841</v>
      </c>
      <c r="I457" s="10" t="s">
        <v>293</v>
      </c>
      <c r="J457" s="6" t="s">
        <v>216</v>
      </c>
      <c r="K457" s="6" t="s">
        <v>2673</v>
      </c>
      <c r="L457" s="11">
        <v>43282</v>
      </c>
      <c r="M457" s="11">
        <f>DCPXX[[#This Row],[INV DOC DATE]]+30</f>
        <v>43312</v>
      </c>
      <c r="N457" s="11">
        <v>43279</v>
      </c>
      <c r="Q457" s="13">
        <f t="shared" si="9"/>
        <v>178.25</v>
      </c>
      <c r="R457" s="13" t="str">
        <f ca="1">IF(TODAY() - DCPXX[INV DUE DATE]&lt;30, "Less than 30 days",IF(TODAY()-DCPXX[INV DUE DATE]&lt;60,"30-60 days","More than 60 days"))</f>
        <v>Less than 30 days</v>
      </c>
      <c r="S457" s="6" t="s">
        <v>817</v>
      </c>
      <c r="U457" s="13" t="s">
        <v>3699</v>
      </c>
    </row>
    <row r="458" spans="1:21" x14ac:dyDescent="0.3">
      <c r="A458" s="6" t="s">
        <v>4126</v>
      </c>
      <c r="B458" s="6" t="s">
        <v>30</v>
      </c>
      <c r="C458" s="6" t="s">
        <v>150</v>
      </c>
      <c r="D458" s="8">
        <v>4301</v>
      </c>
      <c r="E458" s="9">
        <v>178.25</v>
      </c>
      <c r="H458" s="6">
        <v>194841</v>
      </c>
      <c r="I458" s="10" t="s">
        <v>293</v>
      </c>
      <c r="J458" s="6" t="s">
        <v>217</v>
      </c>
      <c r="K458" s="6" t="s">
        <v>2673</v>
      </c>
      <c r="L458" s="11">
        <v>43282</v>
      </c>
      <c r="M458" s="11">
        <f>DCPXX[[#This Row],[INV DOC DATE]]+30</f>
        <v>43312</v>
      </c>
      <c r="N458" s="11">
        <v>43279</v>
      </c>
      <c r="Q458" s="13">
        <f t="shared" si="9"/>
        <v>178.25</v>
      </c>
      <c r="R458" s="13" t="str">
        <f ca="1">IF(TODAY() - DCPXX[INV DUE DATE]&lt;30, "Less than 30 days",IF(TODAY()-DCPXX[INV DUE DATE]&lt;60,"30-60 days","More than 60 days"))</f>
        <v>Less than 30 days</v>
      </c>
      <c r="S458" s="6" t="s">
        <v>817</v>
      </c>
      <c r="U458" s="13" t="s">
        <v>3699</v>
      </c>
    </row>
    <row r="459" spans="1:21" x14ac:dyDescent="0.3">
      <c r="A459" s="6" t="s">
        <v>4126</v>
      </c>
      <c r="B459" s="6" t="s">
        <v>30</v>
      </c>
      <c r="C459" s="6" t="s">
        <v>151</v>
      </c>
      <c r="D459" s="8">
        <v>4301</v>
      </c>
      <c r="E459" s="9">
        <v>178.25</v>
      </c>
      <c r="H459" s="6">
        <v>194841</v>
      </c>
      <c r="I459" s="10" t="s">
        <v>293</v>
      </c>
      <c r="J459" s="6" t="s">
        <v>218</v>
      </c>
      <c r="K459" s="6" t="s">
        <v>2673</v>
      </c>
      <c r="L459" s="11">
        <v>43282</v>
      </c>
      <c r="M459" s="11">
        <f>DCPXX[[#This Row],[INV DOC DATE]]+30</f>
        <v>43312</v>
      </c>
      <c r="N459" s="11">
        <v>43279</v>
      </c>
      <c r="Q459" s="13">
        <f t="shared" si="9"/>
        <v>178.25</v>
      </c>
      <c r="R459" s="13" t="str">
        <f ca="1">IF(TODAY() - DCPXX[INV DUE DATE]&lt;30, "Less than 30 days",IF(TODAY()-DCPXX[INV DUE DATE]&lt;60,"30-60 days","More than 60 days"))</f>
        <v>Less than 30 days</v>
      </c>
      <c r="S459" s="6" t="s">
        <v>817</v>
      </c>
      <c r="U459" s="13" t="s">
        <v>3699</v>
      </c>
    </row>
    <row r="460" spans="1:21" x14ac:dyDescent="0.3">
      <c r="A460" s="6" t="s">
        <v>4126</v>
      </c>
      <c r="B460" s="6" t="s">
        <v>30</v>
      </c>
      <c r="C460" s="6" t="s">
        <v>152</v>
      </c>
      <c r="D460" s="8">
        <v>4301</v>
      </c>
      <c r="E460" s="9">
        <v>178.25</v>
      </c>
      <c r="H460" s="6">
        <v>194841</v>
      </c>
      <c r="I460" s="10" t="s">
        <v>293</v>
      </c>
      <c r="J460" s="6" t="s">
        <v>219</v>
      </c>
      <c r="K460" s="6" t="s">
        <v>2673</v>
      </c>
      <c r="L460" s="11">
        <v>43282</v>
      </c>
      <c r="M460" s="11">
        <f>DCPXX[[#This Row],[INV DOC DATE]]+30</f>
        <v>43312</v>
      </c>
      <c r="N460" s="11">
        <v>43279</v>
      </c>
      <c r="Q460" s="13">
        <f t="shared" si="9"/>
        <v>178.25</v>
      </c>
      <c r="R460" s="13" t="str">
        <f ca="1">IF(TODAY() - DCPXX[INV DUE DATE]&lt;30, "Less than 30 days",IF(TODAY()-DCPXX[INV DUE DATE]&lt;60,"30-60 days","More than 60 days"))</f>
        <v>Less than 30 days</v>
      </c>
      <c r="S460" s="6" t="s">
        <v>817</v>
      </c>
      <c r="U460" s="13" t="s">
        <v>3699</v>
      </c>
    </row>
    <row r="461" spans="1:21" x14ac:dyDescent="0.3">
      <c r="A461" s="6" t="s">
        <v>4126</v>
      </c>
      <c r="B461" s="6" t="s">
        <v>30</v>
      </c>
      <c r="C461" s="6" t="s">
        <v>296</v>
      </c>
      <c r="D461" s="8">
        <v>4301</v>
      </c>
      <c r="E461" s="9">
        <v>178.25</v>
      </c>
      <c r="H461" s="6">
        <v>194841</v>
      </c>
      <c r="I461" s="10" t="s">
        <v>293</v>
      </c>
      <c r="J461" s="6" t="s">
        <v>220</v>
      </c>
      <c r="K461" s="6" t="s">
        <v>2673</v>
      </c>
      <c r="L461" s="11">
        <v>43282</v>
      </c>
      <c r="M461" s="11">
        <f>DCPXX[[#This Row],[INV DOC DATE]]+30</f>
        <v>43312</v>
      </c>
      <c r="N461" s="11">
        <v>43279</v>
      </c>
      <c r="Q461" s="13">
        <f t="shared" si="9"/>
        <v>178.25</v>
      </c>
      <c r="R461" s="13" t="str">
        <f ca="1">IF(TODAY() - DCPXX[INV DUE DATE]&lt;30, "Less than 30 days",IF(TODAY()-DCPXX[INV DUE DATE]&lt;60,"30-60 days","More than 60 days"))</f>
        <v>Less than 30 days</v>
      </c>
      <c r="S461" s="6" t="s">
        <v>817</v>
      </c>
      <c r="U461" s="13" t="s">
        <v>3699</v>
      </c>
    </row>
    <row r="462" spans="1:21" x14ac:dyDescent="0.3">
      <c r="A462" s="6" t="s">
        <v>4126</v>
      </c>
      <c r="B462" s="6" t="s">
        <v>30</v>
      </c>
      <c r="C462" s="6" t="s">
        <v>297</v>
      </c>
      <c r="D462" s="8">
        <v>4301</v>
      </c>
      <c r="E462" s="9">
        <v>232.5</v>
      </c>
      <c r="H462" s="6">
        <v>195163</v>
      </c>
      <c r="I462" s="10" t="s">
        <v>293</v>
      </c>
      <c r="J462" s="6" t="s">
        <v>221</v>
      </c>
      <c r="K462" s="6" t="s">
        <v>2673</v>
      </c>
      <c r="L462" s="11">
        <v>43282</v>
      </c>
      <c r="M462" s="11">
        <f>DCPXX[[#This Row],[INV DOC DATE]]+30</f>
        <v>43312</v>
      </c>
      <c r="N462" s="11">
        <v>43279</v>
      </c>
      <c r="Q462" s="13">
        <f t="shared" si="9"/>
        <v>232.5</v>
      </c>
      <c r="R462" s="13" t="str">
        <f ca="1">IF(TODAY() - DCPXX[INV DUE DATE]&lt;30, "Less than 30 days",IF(TODAY()-DCPXX[INV DUE DATE]&lt;60,"30-60 days","More than 60 days"))</f>
        <v>Less than 30 days</v>
      </c>
      <c r="S462" s="6" t="s">
        <v>817</v>
      </c>
      <c r="U462" s="13" t="s">
        <v>3699</v>
      </c>
    </row>
    <row r="463" spans="1:21" x14ac:dyDescent="0.3">
      <c r="A463" s="6" t="s">
        <v>4126</v>
      </c>
      <c r="B463" s="6" t="s">
        <v>30</v>
      </c>
      <c r="C463" s="6" t="s">
        <v>298</v>
      </c>
      <c r="D463" s="8">
        <v>4301</v>
      </c>
      <c r="E463" s="9">
        <v>232.5</v>
      </c>
      <c r="H463" s="6">
        <v>195163</v>
      </c>
      <c r="I463" s="10" t="s">
        <v>293</v>
      </c>
      <c r="J463" s="6" t="s">
        <v>222</v>
      </c>
      <c r="K463" s="6" t="s">
        <v>2673</v>
      </c>
      <c r="L463" s="11">
        <v>43282</v>
      </c>
      <c r="M463" s="11">
        <f>DCPXX[[#This Row],[INV DOC DATE]]+30</f>
        <v>43312</v>
      </c>
      <c r="N463" s="11">
        <v>43279</v>
      </c>
      <c r="Q463" s="13">
        <f t="shared" si="9"/>
        <v>232.5</v>
      </c>
      <c r="R463" s="13" t="str">
        <f ca="1">IF(TODAY() - DCPXX[INV DUE DATE]&lt;30, "Less than 30 days",IF(TODAY()-DCPXX[INV DUE DATE]&lt;60,"30-60 days","More than 60 days"))</f>
        <v>Less than 30 days</v>
      </c>
      <c r="S463" s="6" t="s">
        <v>817</v>
      </c>
      <c r="U463" s="13" t="s">
        <v>3699</v>
      </c>
    </row>
    <row r="464" spans="1:21" x14ac:dyDescent="0.3">
      <c r="A464" s="6" t="s">
        <v>4126</v>
      </c>
      <c r="B464" s="6" t="s">
        <v>30</v>
      </c>
      <c r="C464" s="6" t="s">
        <v>299</v>
      </c>
      <c r="D464" s="8">
        <v>4301</v>
      </c>
      <c r="E464" s="9">
        <v>232.5</v>
      </c>
      <c r="H464" s="6">
        <v>195163</v>
      </c>
      <c r="I464" s="10" t="s">
        <v>293</v>
      </c>
      <c r="J464" s="6" t="s">
        <v>223</v>
      </c>
      <c r="K464" s="6" t="s">
        <v>2673</v>
      </c>
      <c r="L464" s="11">
        <v>43282</v>
      </c>
      <c r="M464" s="11">
        <f>DCPXX[[#This Row],[INV DOC DATE]]+30</f>
        <v>43312</v>
      </c>
      <c r="N464" s="11">
        <v>43279</v>
      </c>
      <c r="Q464" s="13">
        <f t="shared" si="9"/>
        <v>232.5</v>
      </c>
      <c r="R464" s="13" t="str">
        <f ca="1">IF(TODAY() - DCPXX[INV DUE DATE]&lt;30, "Less than 30 days",IF(TODAY()-DCPXX[INV DUE DATE]&lt;60,"30-60 days","More than 60 days"))</f>
        <v>Less than 30 days</v>
      </c>
      <c r="S464" s="6" t="s">
        <v>817</v>
      </c>
      <c r="U464" s="13" t="s">
        <v>3699</v>
      </c>
    </row>
    <row r="465" spans="1:21" x14ac:dyDescent="0.3">
      <c r="A465" s="6" t="s">
        <v>4126</v>
      </c>
      <c r="B465" s="6" t="s">
        <v>30</v>
      </c>
      <c r="C465" s="6" t="s">
        <v>300</v>
      </c>
      <c r="D465" s="8">
        <v>4301</v>
      </c>
      <c r="E465" s="9">
        <v>232.5</v>
      </c>
      <c r="H465" s="6">
        <v>195163</v>
      </c>
      <c r="I465" s="10" t="s">
        <v>293</v>
      </c>
      <c r="J465" s="6" t="s">
        <v>224</v>
      </c>
      <c r="K465" s="6" t="s">
        <v>2673</v>
      </c>
      <c r="L465" s="11">
        <v>43282</v>
      </c>
      <c r="M465" s="11">
        <f>DCPXX[[#This Row],[INV DOC DATE]]+30</f>
        <v>43312</v>
      </c>
      <c r="N465" s="11">
        <v>43279</v>
      </c>
      <c r="Q465" s="13">
        <f t="shared" si="9"/>
        <v>232.5</v>
      </c>
      <c r="R465" s="13" t="str">
        <f ca="1">IF(TODAY() - DCPXX[INV DUE DATE]&lt;30, "Less than 30 days",IF(TODAY()-DCPXX[INV DUE DATE]&lt;60,"30-60 days","More than 60 days"))</f>
        <v>Less than 30 days</v>
      </c>
      <c r="S465" s="6" t="s">
        <v>817</v>
      </c>
      <c r="U465" s="13" t="s">
        <v>3699</v>
      </c>
    </row>
    <row r="466" spans="1:21" x14ac:dyDescent="0.3">
      <c r="A466" s="6" t="s">
        <v>4126</v>
      </c>
      <c r="B466" s="6" t="s">
        <v>30</v>
      </c>
      <c r="C466" s="6" t="s">
        <v>301</v>
      </c>
      <c r="D466" s="8">
        <v>4301</v>
      </c>
      <c r="E466" s="9">
        <v>232.5</v>
      </c>
      <c r="H466" s="6">
        <v>195163</v>
      </c>
      <c r="I466" s="10" t="s">
        <v>293</v>
      </c>
      <c r="J466" s="6" t="s">
        <v>225</v>
      </c>
      <c r="K466" s="6" t="s">
        <v>2673</v>
      </c>
      <c r="L466" s="11">
        <v>43282</v>
      </c>
      <c r="M466" s="11">
        <f>DCPXX[[#This Row],[INV DOC DATE]]+30</f>
        <v>43312</v>
      </c>
      <c r="N466" s="11">
        <v>43279</v>
      </c>
      <c r="Q466" s="13">
        <f t="shared" si="9"/>
        <v>232.5</v>
      </c>
      <c r="R466" s="13" t="str">
        <f ca="1">IF(TODAY() - DCPXX[INV DUE DATE]&lt;30, "Less than 30 days",IF(TODAY()-DCPXX[INV DUE DATE]&lt;60,"30-60 days","More than 60 days"))</f>
        <v>Less than 30 days</v>
      </c>
      <c r="S466" s="6" t="s">
        <v>817</v>
      </c>
      <c r="U466" s="13" t="s">
        <v>3699</v>
      </c>
    </row>
    <row r="467" spans="1:21" x14ac:dyDescent="0.3">
      <c r="A467" s="6" t="s">
        <v>4126</v>
      </c>
      <c r="B467" s="6" t="s">
        <v>30</v>
      </c>
      <c r="C467" s="6" t="s">
        <v>302</v>
      </c>
      <c r="D467" s="8">
        <v>4301</v>
      </c>
      <c r="E467" s="9">
        <v>232.5</v>
      </c>
      <c r="H467" s="6">
        <v>195163</v>
      </c>
      <c r="I467" s="10" t="s">
        <v>293</v>
      </c>
      <c r="J467" s="6" t="s">
        <v>226</v>
      </c>
      <c r="K467" s="6" t="s">
        <v>2673</v>
      </c>
      <c r="L467" s="11">
        <v>43282</v>
      </c>
      <c r="M467" s="11">
        <f>DCPXX[[#This Row],[INV DOC DATE]]+30</f>
        <v>43312</v>
      </c>
      <c r="N467" s="11">
        <v>43279</v>
      </c>
      <c r="Q467" s="13">
        <f t="shared" si="9"/>
        <v>232.5</v>
      </c>
      <c r="R467" s="13" t="str">
        <f ca="1">IF(TODAY() - DCPXX[INV DUE DATE]&lt;30, "Less than 30 days",IF(TODAY()-DCPXX[INV DUE DATE]&lt;60,"30-60 days","More than 60 days"))</f>
        <v>Less than 30 days</v>
      </c>
      <c r="S467" s="6" t="s">
        <v>817</v>
      </c>
      <c r="U467" s="13" t="s">
        <v>3699</v>
      </c>
    </row>
    <row r="468" spans="1:21" x14ac:dyDescent="0.3">
      <c r="A468" s="6" t="s">
        <v>4129</v>
      </c>
      <c r="B468" s="6" t="s">
        <v>30</v>
      </c>
      <c r="C468" s="6" t="s">
        <v>6</v>
      </c>
      <c r="D468" s="8">
        <v>4301</v>
      </c>
      <c r="E468" s="9">
        <v>63.25</v>
      </c>
      <c r="H468" s="6">
        <v>194567</v>
      </c>
      <c r="I468" s="10" t="s">
        <v>293</v>
      </c>
      <c r="J468" s="6" t="s">
        <v>4127</v>
      </c>
      <c r="K468" s="6" t="s">
        <v>2673</v>
      </c>
      <c r="L468" s="11">
        <v>43252</v>
      </c>
      <c r="M468" s="11">
        <f>DCPXX[[#This Row],[INV DOC DATE]]+30</f>
        <v>43282</v>
      </c>
      <c r="N468" s="11">
        <v>43279</v>
      </c>
      <c r="Q468" s="13">
        <f t="shared" si="9"/>
        <v>63.25</v>
      </c>
      <c r="R468" s="13" t="str">
        <f ca="1">IF(TODAY() - DCPXX[INV DUE DATE]&lt;30, "Less than 30 days",IF(TODAY()-DCPXX[INV DUE DATE]&lt;60,"30-60 days","More than 60 days"))</f>
        <v>Less than 30 days</v>
      </c>
      <c r="S468" s="6" t="s">
        <v>817</v>
      </c>
      <c r="U468" s="13" t="s">
        <v>3699</v>
      </c>
    </row>
    <row r="469" spans="1:21" x14ac:dyDescent="0.3">
      <c r="A469" s="6" t="s">
        <v>4129</v>
      </c>
      <c r="B469" s="6" t="s">
        <v>30</v>
      </c>
      <c r="C469" s="6" t="s">
        <v>7</v>
      </c>
      <c r="D469" s="8">
        <v>4301</v>
      </c>
      <c r="E469" s="9">
        <v>1700</v>
      </c>
      <c r="H469" s="6">
        <v>194567</v>
      </c>
      <c r="I469" s="10" t="s">
        <v>293</v>
      </c>
      <c r="J469" s="6" t="s">
        <v>4127</v>
      </c>
      <c r="K469" s="6" t="s">
        <v>2424</v>
      </c>
      <c r="L469" s="11">
        <v>43252</v>
      </c>
      <c r="M469" s="11">
        <f>DCPXX[[#This Row],[INV DOC DATE]]+30</f>
        <v>43282</v>
      </c>
      <c r="N469" s="11">
        <v>43279</v>
      </c>
      <c r="Q469" s="13">
        <f t="shared" si="9"/>
        <v>1700</v>
      </c>
      <c r="R469" s="13" t="str">
        <f ca="1">IF(TODAY() - DCPXX[INV DUE DATE]&lt;30, "Less than 30 days",IF(TODAY()-DCPXX[INV DUE DATE]&lt;60,"30-60 days","More than 60 days"))</f>
        <v>Less than 30 days</v>
      </c>
      <c r="S469" s="6" t="s">
        <v>817</v>
      </c>
      <c r="U469" s="13" t="s">
        <v>3699</v>
      </c>
    </row>
    <row r="470" spans="1:21" x14ac:dyDescent="0.3">
      <c r="A470" s="6" t="s">
        <v>4129</v>
      </c>
      <c r="B470" s="6" t="s">
        <v>30</v>
      </c>
      <c r="C470" s="6" t="s">
        <v>8</v>
      </c>
      <c r="D470" s="8">
        <v>4301</v>
      </c>
      <c r="E470" s="9">
        <v>90</v>
      </c>
      <c r="H470" s="6">
        <v>194567</v>
      </c>
      <c r="I470" s="10" t="s">
        <v>293</v>
      </c>
      <c r="J470" s="6" t="s">
        <v>4127</v>
      </c>
      <c r="K470" s="6" t="s">
        <v>810</v>
      </c>
      <c r="L470" s="11">
        <v>43252</v>
      </c>
      <c r="M470" s="11">
        <f>DCPXX[[#This Row],[INV DOC DATE]]+30</f>
        <v>43282</v>
      </c>
      <c r="N470" s="11">
        <v>43279</v>
      </c>
      <c r="Q470" s="13">
        <f t="shared" si="9"/>
        <v>90</v>
      </c>
      <c r="R470" s="13" t="str">
        <f ca="1">IF(TODAY() - DCPXX[INV DUE DATE]&lt;30, "Less than 30 days",IF(TODAY()-DCPXX[INV DUE DATE]&lt;60,"30-60 days","More than 60 days"))</f>
        <v>Less than 30 days</v>
      </c>
      <c r="S470" s="6" t="s">
        <v>817</v>
      </c>
      <c r="U470" s="13" t="s">
        <v>3699</v>
      </c>
    </row>
    <row r="471" spans="1:21" x14ac:dyDescent="0.3">
      <c r="A471" s="6" t="s">
        <v>4129</v>
      </c>
      <c r="B471" s="6" t="s">
        <v>30</v>
      </c>
      <c r="C471" s="6" t="s">
        <v>9</v>
      </c>
      <c r="D471" s="8">
        <v>4301</v>
      </c>
      <c r="E471" s="9">
        <v>90</v>
      </c>
      <c r="H471" s="6">
        <v>194567</v>
      </c>
      <c r="I471" s="10" t="s">
        <v>293</v>
      </c>
      <c r="J471" s="6" t="s">
        <v>4128</v>
      </c>
      <c r="K471" s="6" t="s">
        <v>810</v>
      </c>
      <c r="L471" s="11">
        <v>43252</v>
      </c>
      <c r="M471" s="11">
        <f>DCPXX[[#This Row],[INV DOC DATE]]+30</f>
        <v>43282</v>
      </c>
      <c r="N471" s="11">
        <v>43279</v>
      </c>
      <c r="Q471" s="13">
        <f t="shared" si="9"/>
        <v>90</v>
      </c>
      <c r="R471" s="13" t="str">
        <f ca="1">IF(TODAY() - DCPXX[INV DUE DATE]&lt;30, "Less than 30 days",IF(TODAY()-DCPXX[INV DUE DATE]&lt;60,"30-60 days","More than 60 days"))</f>
        <v>Less than 30 days</v>
      </c>
      <c r="S471" s="6" t="s">
        <v>817</v>
      </c>
      <c r="U471" s="13" t="s">
        <v>3699</v>
      </c>
    </row>
    <row r="472" spans="1:21" x14ac:dyDescent="0.3">
      <c r="A472" s="6" t="s">
        <v>4129</v>
      </c>
      <c r="B472" s="6" t="s">
        <v>30</v>
      </c>
      <c r="C472" s="6" t="s">
        <v>10</v>
      </c>
      <c r="D472" s="8">
        <v>4301</v>
      </c>
      <c r="E472" s="9">
        <v>1700</v>
      </c>
      <c r="H472" s="6">
        <v>194567</v>
      </c>
      <c r="I472" s="10" t="s">
        <v>293</v>
      </c>
      <c r="J472" s="6" t="s">
        <v>4128</v>
      </c>
      <c r="K472" s="6" t="s">
        <v>2424</v>
      </c>
      <c r="L472" s="11">
        <v>43252</v>
      </c>
      <c r="M472" s="11">
        <f>DCPXX[[#This Row],[INV DOC DATE]]+30</f>
        <v>43282</v>
      </c>
      <c r="N472" s="11">
        <v>43279</v>
      </c>
      <c r="Q472" s="13">
        <f t="shared" si="9"/>
        <v>1700</v>
      </c>
      <c r="R472" s="13" t="str">
        <f ca="1">IF(TODAY() - DCPXX[INV DUE DATE]&lt;30, "Less than 30 days",IF(TODAY()-DCPXX[INV DUE DATE]&lt;60,"30-60 days","More than 60 days"))</f>
        <v>Less than 30 days</v>
      </c>
      <c r="S472" s="6" t="s">
        <v>817</v>
      </c>
      <c r="U472" s="13" t="s">
        <v>3699</v>
      </c>
    </row>
    <row r="473" spans="1:21" x14ac:dyDescent="0.3">
      <c r="A473" s="6" t="s">
        <v>4129</v>
      </c>
      <c r="B473" s="6" t="s">
        <v>30</v>
      </c>
      <c r="C473" s="6" t="s">
        <v>11</v>
      </c>
      <c r="D473" s="8">
        <v>4301</v>
      </c>
      <c r="E473" s="9">
        <v>82.5</v>
      </c>
      <c r="H473" s="6">
        <v>194567</v>
      </c>
      <c r="I473" s="10" t="s">
        <v>293</v>
      </c>
      <c r="J473" s="6" t="s">
        <v>4128</v>
      </c>
      <c r="K473" s="6" t="s">
        <v>2673</v>
      </c>
      <c r="L473" s="11">
        <v>43252</v>
      </c>
      <c r="M473" s="11">
        <f>DCPXX[[#This Row],[INV DOC DATE]]+30</f>
        <v>43282</v>
      </c>
      <c r="N473" s="11">
        <v>43279</v>
      </c>
      <c r="Q473" s="13">
        <f t="shared" si="9"/>
        <v>82.5</v>
      </c>
      <c r="R473" s="13" t="str">
        <f ca="1">IF(TODAY() - DCPXX[INV DUE DATE]&lt;30, "Less than 30 days",IF(TODAY()-DCPXX[INV DUE DATE]&lt;60,"30-60 days","More than 60 days"))</f>
        <v>Less than 30 days</v>
      </c>
      <c r="S473" s="6" t="s">
        <v>817</v>
      </c>
      <c r="U473" s="13" t="s">
        <v>3699</v>
      </c>
    </row>
    <row r="474" spans="1:21" x14ac:dyDescent="0.3">
      <c r="A474" s="6" t="s">
        <v>4171</v>
      </c>
      <c r="B474" s="6" t="s">
        <v>35</v>
      </c>
      <c r="D474" s="8" t="s">
        <v>5321</v>
      </c>
      <c r="E474" s="9">
        <v>2790</v>
      </c>
      <c r="G474" s="6">
        <v>4506924343</v>
      </c>
      <c r="I474" s="10"/>
      <c r="J474" s="6" t="s">
        <v>2257</v>
      </c>
      <c r="K474" s="6" t="s">
        <v>3</v>
      </c>
      <c r="L474" s="11">
        <v>43282</v>
      </c>
      <c r="M474" s="11">
        <f>DCPXX[[#This Row],[INV DOC DATE]]+30</f>
        <v>43312</v>
      </c>
      <c r="N474" s="11">
        <v>43301</v>
      </c>
      <c r="Q474" s="13">
        <f>$E474-$O474</f>
        <v>2790</v>
      </c>
      <c r="R474" s="13" t="str">
        <f ca="1">IF(TODAY() - DCPXX[INV DUE DATE]&lt;30, "Less than 30 days",IF(TODAY()-DCPXX[INV DUE DATE]&lt;60,"30-60 days","More than 60 days"))</f>
        <v>Less than 30 days</v>
      </c>
      <c r="S474" s="6" t="s">
        <v>817</v>
      </c>
      <c r="U474" s="13" t="s">
        <v>3699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1587"/>
  <sheetViews>
    <sheetView zoomScale="90" zoomScaleNormal="90" workbookViewId="0">
      <pane ySplit="1" topLeftCell="A1561" activePane="bottomLeft" state="frozen"/>
      <selection pane="bottomLeft" activeCell="S1585" sqref="S1585"/>
    </sheetView>
  </sheetViews>
  <sheetFormatPr defaultRowHeight="14.4" x14ac:dyDescent="0.3"/>
  <cols>
    <col min="1" max="1" width="14.77734375" bestFit="1" customWidth="1"/>
    <col min="2" max="2" width="11.44140625" bestFit="1" customWidth="1"/>
    <col min="3" max="3" width="6.6640625" bestFit="1" customWidth="1"/>
    <col min="4" max="4" width="18.33203125" style="15" bestFit="1" customWidth="1"/>
    <col min="5" max="5" width="17" style="7" bestFit="1" customWidth="1"/>
    <col min="6" max="6" width="10" bestFit="1" customWidth="1"/>
    <col min="7" max="7" width="6.109375" bestFit="1" customWidth="1"/>
    <col min="8" max="8" width="7.77734375" bestFit="1" customWidth="1"/>
    <col min="9" max="9" width="9.109375" bestFit="1" customWidth="1"/>
    <col min="10" max="10" width="18.109375" bestFit="1" customWidth="1"/>
    <col min="11" max="11" width="21.6640625" bestFit="1" customWidth="1"/>
    <col min="12" max="12" width="16.33203125" style="2" bestFit="1" customWidth="1"/>
    <col min="13" max="13" width="16" bestFit="1" customWidth="1"/>
    <col min="14" max="14" width="15.5546875" bestFit="1" customWidth="1"/>
    <col min="15" max="15" width="12.44140625" style="7" bestFit="1" customWidth="1"/>
    <col min="16" max="16" width="17.44140625" style="2" bestFit="1" customWidth="1"/>
    <col min="17" max="17" width="21.33203125" style="7" bestFit="1" customWidth="1"/>
    <col min="18" max="18" width="17.5546875" style="7" bestFit="1" customWidth="1"/>
    <col min="19" max="19" width="11.109375" bestFit="1" customWidth="1"/>
    <col min="20" max="20" width="11.21875" style="43" bestFit="1" customWidth="1"/>
    <col min="21" max="21" width="14.33203125" bestFit="1" customWidth="1"/>
  </cols>
  <sheetData>
    <row r="1" spans="1:21" s="17" customFormat="1" ht="15" thickBot="1" x14ac:dyDescent="0.35">
      <c r="A1" s="57" t="s">
        <v>1</v>
      </c>
      <c r="B1" s="57" t="s">
        <v>33</v>
      </c>
      <c r="C1" s="57" t="s">
        <v>29</v>
      </c>
      <c r="D1" s="59" t="s">
        <v>0</v>
      </c>
      <c r="E1" s="58" t="s">
        <v>347</v>
      </c>
      <c r="F1" s="57" t="s">
        <v>32</v>
      </c>
      <c r="G1" s="57" t="s">
        <v>35</v>
      </c>
      <c r="H1" s="57" t="s">
        <v>30</v>
      </c>
      <c r="I1" s="57" t="s">
        <v>2</v>
      </c>
      <c r="J1" s="57" t="s">
        <v>819</v>
      </c>
      <c r="K1" s="57" t="s">
        <v>820</v>
      </c>
      <c r="L1" s="60" t="s">
        <v>5</v>
      </c>
      <c r="M1" s="60" t="s">
        <v>2241</v>
      </c>
      <c r="N1" s="60" t="s">
        <v>2244</v>
      </c>
      <c r="O1" s="58" t="s">
        <v>555</v>
      </c>
      <c r="P1" s="60" t="s">
        <v>2239</v>
      </c>
      <c r="Q1" s="58" t="s">
        <v>31</v>
      </c>
      <c r="R1" s="58" t="s">
        <v>2240</v>
      </c>
      <c r="S1" s="61" t="s">
        <v>2031</v>
      </c>
      <c r="T1" s="62" t="s">
        <v>2229</v>
      </c>
      <c r="U1" s="61" t="s">
        <v>3700</v>
      </c>
    </row>
    <row r="2" spans="1:21" x14ac:dyDescent="0.3">
      <c r="A2" t="s">
        <v>837</v>
      </c>
      <c r="B2" t="s">
        <v>30</v>
      </c>
      <c r="C2" t="s">
        <v>6</v>
      </c>
      <c r="D2" s="15">
        <v>1</v>
      </c>
      <c r="E2" s="7">
        <v>172.5</v>
      </c>
      <c r="H2">
        <v>94783</v>
      </c>
      <c r="I2" t="s">
        <v>360</v>
      </c>
      <c r="J2" t="s">
        <v>868</v>
      </c>
      <c r="K2" t="s">
        <v>3</v>
      </c>
      <c r="L2" s="2">
        <v>43191</v>
      </c>
      <c r="M2" s="2">
        <f>DHMXX[[#This Row],[INV DOC DATE]]+30</f>
        <v>43221</v>
      </c>
      <c r="N2" s="2">
        <v>43221</v>
      </c>
      <c r="O2" s="7">
        <v>172.5</v>
      </c>
      <c r="P2" s="2">
        <v>43227</v>
      </c>
      <c r="Q2" s="7">
        <f>$E2-$O2</f>
        <v>0</v>
      </c>
      <c r="R2" s="7" t="str">
        <f ca="1">IF(TODAY() - DHMXX[INV DUE DATE]&lt;30, "Less than 30 days",IF(TODAY()-DHMXX[INV DUE DATE]&lt;60,"30-60 days","More than 60 days"))</f>
        <v>More than 60 days</v>
      </c>
      <c r="S2" t="s">
        <v>1550</v>
      </c>
      <c r="T2" s="43" t="s">
        <v>2229</v>
      </c>
      <c r="U2" t="s">
        <v>3699</v>
      </c>
    </row>
    <row r="3" spans="1:21" x14ac:dyDescent="0.3">
      <c r="A3" t="s">
        <v>837</v>
      </c>
      <c r="B3" t="s">
        <v>30</v>
      </c>
      <c r="C3" t="s">
        <v>7</v>
      </c>
      <c r="D3" s="15">
        <v>1</v>
      </c>
      <c r="E3" s="7">
        <v>172.5</v>
      </c>
      <c r="H3">
        <v>115229</v>
      </c>
      <c r="I3" t="s">
        <v>349</v>
      </c>
      <c r="J3" t="s">
        <v>869</v>
      </c>
      <c r="K3" t="s">
        <v>3</v>
      </c>
      <c r="L3" s="2">
        <v>43191</v>
      </c>
      <c r="M3" s="2">
        <f>DHMXX[[#This Row],[INV DOC DATE]]+30</f>
        <v>43221</v>
      </c>
      <c r="N3" s="2">
        <v>43221</v>
      </c>
      <c r="O3" s="7">
        <v>172.5</v>
      </c>
      <c r="P3" s="2">
        <v>43227</v>
      </c>
      <c r="Q3" s="7">
        <f>$E3-$O3</f>
        <v>0</v>
      </c>
      <c r="R3" s="7" t="str">
        <f ca="1">IF(TODAY() - DHMXX[INV DUE DATE]&lt;30, "Less than 30 days",IF(TODAY()-DHMXX[INV DUE DATE]&lt;60,"30-60 days","More than 60 days"))</f>
        <v>More than 60 days</v>
      </c>
      <c r="S3" t="s">
        <v>1550</v>
      </c>
      <c r="T3" s="43" t="s">
        <v>2229</v>
      </c>
      <c r="U3" t="s">
        <v>3699</v>
      </c>
    </row>
    <row r="4" spans="1:21" x14ac:dyDescent="0.3">
      <c r="A4" t="s">
        <v>837</v>
      </c>
      <c r="B4" t="s">
        <v>30</v>
      </c>
      <c r="C4" t="s">
        <v>8</v>
      </c>
      <c r="D4" s="15">
        <v>1</v>
      </c>
      <c r="E4" s="7">
        <v>172.5</v>
      </c>
      <c r="H4">
        <v>1274</v>
      </c>
      <c r="I4" t="s">
        <v>350</v>
      </c>
      <c r="J4" t="s">
        <v>870</v>
      </c>
      <c r="K4" t="s">
        <v>3</v>
      </c>
      <c r="L4" s="2">
        <v>43191</v>
      </c>
      <c r="M4" s="2">
        <f>DHMXX[[#This Row],[INV DOC DATE]]+30</f>
        <v>43221</v>
      </c>
      <c r="N4" s="2">
        <v>43221</v>
      </c>
      <c r="O4" s="7">
        <v>172.5</v>
      </c>
      <c r="P4" s="2">
        <v>43227</v>
      </c>
      <c r="Q4" s="7">
        <f>$E4-$O4</f>
        <v>0</v>
      </c>
      <c r="R4" s="7" t="str">
        <f ca="1">IF(TODAY() - DHMXX[INV DUE DATE]&lt;30, "Less than 30 days",IF(TODAY()-DHMXX[INV DUE DATE]&lt;60,"30-60 days","More than 60 days"))</f>
        <v>More than 60 days</v>
      </c>
      <c r="S4" t="s">
        <v>1550</v>
      </c>
      <c r="T4" s="43" t="s">
        <v>2229</v>
      </c>
      <c r="U4" t="s">
        <v>3699</v>
      </c>
    </row>
    <row r="5" spans="1:21" x14ac:dyDescent="0.3">
      <c r="A5" t="s">
        <v>837</v>
      </c>
      <c r="B5" t="s">
        <v>30</v>
      </c>
      <c r="C5" t="s">
        <v>9</v>
      </c>
      <c r="D5" s="15">
        <v>1</v>
      </c>
      <c r="E5" s="7">
        <v>172.5</v>
      </c>
      <c r="H5">
        <v>1274</v>
      </c>
      <c r="I5" t="s">
        <v>350</v>
      </c>
      <c r="J5" t="s">
        <v>871</v>
      </c>
      <c r="K5" t="s">
        <v>3</v>
      </c>
      <c r="L5" s="2">
        <v>43191</v>
      </c>
      <c r="M5" s="2">
        <f>DHMXX[[#This Row],[INV DOC DATE]]+30</f>
        <v>43221</v>
      </c>
      <c r="N5" s="2">
        <v>43221</v>
      </c>
      <c r="O5" s="7">
        <v>172.5</v>
      </c>
      <c r="P5" s="2">
        <v>43227</v>
      </c>
      <c r="Q5" s="7">
        <f>$E5-$O5</f>
        <v>0</v>
      </c>
      <c r="R5" s="7" t="str">
        <f ca="1">IF(TODAY() - DHMXX[INV DUE DATE]&lt;30, "Less than 30 days",IF(TODAY()-DHMXX[INV DUE DATE]&lt;60,"30-60 days","More than 60 days"))</f>
        <v>More than 60 days</v>
      </c>
      <c r="S5" t="s">
        <v>1550</v>
      </c>
      <c r="T5" s="43" t="s">
        <v>2229</v>
      </c>
      <c r="U5" t="s">
        <v>3699</v>
      </c>
    </row>
    <row r="6" spans="1:21" x14ac:dyDescent="0.3">
      <c r="A6" t="s">
        <v>837</v>
      </c>
      <c r="B6" t="s">
        <v>30</v>
      </c>
      <c r="C6" t="s">
        <v>10</v>
      </c>
      <c r="D6" s="15">
        <v>1</v>
      </c>
      <c r="E6" s="7">
        <v>172.5</v>
      </c>
      <c r="H6">
        <v>1274</v>
      </c>
      <c r="I6" t="s">
        <v>350</v>
      </c>
      <c r="J6" t="s">
        <v>872</v>
      </c>
      <c r="K6" t="s">
        <v>3</v>
      </c>
      <c r="L6" s="2">
        <v>43191</v>
      </c>
      <c r="M6" s="2">
        <f>DHMXX[[#This Row],[INV DOC DATE]]+30</f>
        <v>43221</v>
      </c>
      <c r="N6" s="2">
        <v>43221</v>
      </c>
      <c r="O6" s="7">
        <v>172.5</v>
      </c>
      <c r="P6" s="2">
        <v>43227</v>
      </c>
      <c r="Q6" s="7">
        <f>$E6-$O6</f>
        <v>0</v>
      </c>
      <c r="R6" s="7" t="str">
        <f ca="1">IF(TODAY() - DHMXX[INV DUE DATE]&lt;30, "Less than 30 days",IF(TODAY()-DHMXX[INV DUE DATE]&lt;60,"30-60 days","More than 60 days"))</f>
        <v>More than 60 days</v>
      </c>
      <c r="S6" t="s">
        <v>1550</v>
      </c>
      <c r="T6" s="43" t="s">
        <v>2229</v>
      </c>
      <c r="U6" t="s">
        <v>3699</v>
      </c>
    </row>
    <row r="7" spans="1:21" x14ac:dyDescent="0.3">
      <c r="A7" t="s">
        <v>837</v>
      </c>
      <c r="B7" t="s">
        <v>30</v>
      </c>
      <c r="C7" t="s">
        <v>11</v>
      </c>
      <c r="D7" s="15">
        <v>1</v>
      </c>
      <c r="E7" s="7">
        <v>172.5</v>
      </c>
      <c r="H7">
        <v>1274</v>
      </c>
      <c r="I7" t="s">
        <v>350</v>
      </c>
      <c r="J7" t="s">
        <v>873</v>
      </c>
      <c r="K7" t="s">
        <v>3</v>
      </c>
      <c r="L7" s="2">
        <v>43191</v>
      </c>
      <c r="M7" s="2">
        <f>DHMXX[[#This Row],[INV DOC DATE]]+30</f>
        <v>43221</v>
      </c>
      <c r="N7" s="2">
        <v>43221</v>
      </c>
      <c r="O7" s="7">
        <v>172.5</v>
      </c>
      <c r="P7" s="2">
        <v>43227</v>
      </c>
      <c r="Q7" s="7">
        <f>$E7-$O7</f>
        <v>0</v>
      </c>
      <c r="R7" s="7" t="str">
        <f ca="1">IF(TODAY() - DHMXX[INV DUE DATE]&lt;30, "Less than 30 days",IF(TODAY()-DHMXX[INV DUE DATE]&lt;60,"30-60 days","More than 60 days"))</f>
        <v>More than 60 days</v>
      </c>
      <c r="S7" t="s">
        <v>1550</v>
      </c>
      <c r="T7" s="43" t="s">
        <v>2229</v>
      </c>
      <c r="U7" t="s">
        <v>3699</v>
      </c>
    </row>
    <row r="8" spans="1:21" x14ac:dyDescent="0.3">
      <c r="A8" t="s">
        <v>837</v>
      </c>
      <c r="B8" t="s">
        <v>30</v>
      </c>
      <c r="C8" t="s">
        <v>12</v>
      </c>
      <c r="D8" s="15">
        <v>1</v>
      </c>
      <c r="E8" s="7">
        <v>172.5</v>
      </c>
      <c r="H8">
        <v>1274</v>
      </c>
      <c r="I8" t="s">
        <v>350</v>
      </c>
      <c r="J8" t="s">
        <v>874</v>
      </c>
      <c r="K8" t="s">
        <v>3</v>
      </c>
      <c r="L8" s="2">
        <v>43191</v>
      </c>
      <c r="M8" s="2">
        <f>DHMXX[[#This Row],[INV DOC DATE]]+30</f>
        <v>43221</v>
      </c>
      <c r="N8" s="2">
        <v>43221</v>
      </c>
      <c r="O8" s="7">
        <v>172.5</v>
      </c>
      <c r="P8" s="2">
        <v>43227</v>
      </c>
      <c r="Q8" s="7">
        <f>$E8-$O8</f>
        <v>0</v>
      </c>
      <c r="R8" s="7" t="str">
        <f ca="1">IF(TODAY() - DHMXX[INV DUE DATE]&lt;30, "Less than 30 days",IF(TODAY()-DHMXX[INV DUE DATE]&lt;60,"30-60 days","More than 60 days"))</f>
        <v>More than 60 days</v>
      </c>
      <c r="S8" t="s">
        <v>1550</v>
      </c>
      <c r="T8" s="43" t="s">
        <v>2229</v>
      </c>
      <c r="U8" t="s">
        <v>3699</v>
      </c>
    </row>
    <row r="9" spans="1:21" x14ac:dyDescent="0.3">
      <c r="A9" t="s">
        <v>837</v>
      </c>
      <c r="B9" t="s">
        <v>30</v>
      </c>
      <c r="C9" t="s">
        <v>13</v>
      </c>
      <c r="D9" s="15">
        <v>1</v>
      </c>
      <c r="E9" s="7">
        <v>172.5</v>
      </c>
      <c r="H9">
        <v>1274</v>
      </c>
      <c r="I9" t="s">
        <v>350</v>
      </c>
      <c r="J9" t="s">
        <v>875</v>
      </c>
      <c r="K9" t="s">
        <v>3</v>
      </c>
      <c r="L9" s="2">
        <v>43191</v>
      </c>
      <c r="M9" s="2">
        <f>DHMXX[[#This Row],[INV DOC DATE]]+30</f>
        <v>43221</v>
      </c>
      <c r="N9" s="2">
        <v>43221</v>
      </c>
      <c r="O9" s="7">
        <v>172.5</v>
      </c>
      <c r="P9" s="2">
        <v>43227</v>
      </c>
      <c r="Q9" s="7">
        <f>$E9-$O9</f>
        <v>0</v>
      </c>
      <c r="R9" s="7" t="str">
        <f ca="1">IF(TODAY() - DHMXX[INV DUE DATE]&lt;30, "Less than 30 days",IF(TODAY()-DHMXX[INV DUE DATE]&lt;60,"30-60 days","More than 60 days"))</f>
        <v>More than 60 days</v>
      </c>
      <c r="S9" t="s">
        <v>1550</v>
      </c>
      <c r="T9" s="43" t="s">
        <v>2229</v>
      </c>
      <c r="U9" t="s">
        <v>3699</v>
      </c>
    </row>
    <row r="10" spans="1:21" x14ac:dyDescent="0.3">
      <c r="A10" t="s">
        <v>837</v>
      </c>
      <c r="B10" t="s">
        <v>30</v>
      </c>
      <c r="C10" t="s">
        <v>14</v>
      </c>
      <c r="D10" s="15">
        <v>1</v>
      </c>
      <c r="E10" s="7">
        <v>172.5</v>
      </c>
      <c r="H10">
        <v>1274</v>
      </c>
      <c r="I10" t="s">
        <v>350</v>
      </c>
      <c r="J10" t="s">
        <v>876</v>
      </c>
      <c r="K10" t="s">
        <v>3</v>
      </c>
      <c r="L10" s="2">
        <v>43191</v>
      </c>
      <c r="M10" s="2">
        <f>DHMXX[[#This Row],[INV DOC DATE]]+30</f>
        <v>43221</v>
      </c>
      <c r="N10" s="2">
        <v>43221</v>
      </c>
      <c r="O10" s="7">
        <v>172.5</v>
      </c>
      <c r="P10" s="2">
        <v>43227</v>
      </c>
      <c r="Q10" s="7">
        <f>$E10-$O10</f>
        <v>0</v>
      </c>
      <c r="R10" s="7" t="str">
        <f ca="1">IF(TODAY() - DHMXX[INV DUE DATE]&lt;30, "Less than 30 days",IF(TODAY()-DHMXX[INV DUE DATE]&lt;60,"30-60 days","More than 60 days"))</f>
        <v>More than 60 days</v>
      </c>
      <c r="S10" t="s">
        <v>1550</v>
      </c>
      <c r="T10" s="43" t="s">
        <v>2229</v>
      </c>
      <c r="U10" t="s">
        <v>3699</v>
      </c>
    </row>
    <row r="11" spans="1:21" x14ac:dyDescent="0.3">
      <c r="A11" t="s">
        <v>837</v>
      </c>
      <c r="B11" t="s">
        <v>30</v>
      </c>
      <c r="C11" t="s">
        <v>15</v>
      </c>
      <c r="D11" s="15">
        <v>1</v>
      </c>
      <c r="E11" s="7">
        <v>172.5</v>
      </c>
      <c r="H11">
        <v>1274</v>
      </c>
      <c r="I11" t="s">
        <v>350</v>
      </c>
      <c r="J11" t="s">
        <v>877</v>
      </c>
      <c r="K11" t="s">
        <v>3</v>
      </c>
      <c r="L11" s="2">
        <v>43191</v>
      </c>
      <c r="M11" s="2">
        <f>DHMXX[[#This Row],[INV DOC DATE]]+30</f>
        <v>43221</v>
      </c>
      <c r="N11" s="2">
        <v>43221</v>
      </c>
      <c r="O11" s="7">
        <v>172.5</v>
      </c>
      <c r="P11" s="2">
        <v>43227</v>
      </c>
      <c r="Q11" s="7">
        <f>$E11-$O11</f>
        <v>0</v>
      </c>
      <c r="R11" s="7" t="str">
        <f ca="1">IF(TODAY() - DHMXX[INV DUE DATE]&lt;30, "Less than 30 days",IF(TODAY()-DHMXX[INV DUE DATE]&lt;60,"30-60 days","More than 60 days"))</f>
        <v>More than 60 days</v>
      </c>
      <c r="S11" t="s">
        <v>1550</v>
      </c>
      <c r="T11" s="43" t="s">
        <v>2229</v>
      </c>
      <c r="U11" t="s">
        <v>3699</v>
      </c>
    </row>
    <row r="12" spans="1:21" x14ac:dyDescent="0.3">
      <c r="A12" t="s">
        <v>837</v>
      </c>
      <c r="B12" t="s">
        <v>30</v>
      </c>
      <c r="C12" t="s">
        <v>16</v>
      </c>
      <c r="D12" s="15">
        <v>1</v>
      </c>
      <c r="E12" s="7">
        <v>172.5</v>
      </c>
      <c r="H12">
        <v>1274</v>
      </c>
      <c r="I12" t="s">
        <v>350</v>
      </c>
      <c r="J12" t="s">
        <v>878</v>
      </c>
      <c r="K12" t="s">
        <v>3</v>
      </c>
      <c r="L12" s="2">
        <v>43191</v>
      </c>
      <c r="M12" s="2">
        <f>DHMXX[[#This Row],[INV DOC DATE]]+30</f>
        <v>43221</v>
      </c>
      <c r="N12" s="2">
        <v>43221</v>
      </c>
      <c r="O12" s="7">
        <v>172.5</v>
      </c>
      <c r="P12" s="2">
        <v>43227</v>
      </c>
      <c r="Q12" s="7">
        <f>$E12-$O12</f>
        <v>0</v>
      </c>
      <c r="R12" s="7" t="str">
        <f ca="1">IF(TODAY() - DHMXX[INV DUE DATE]&lt;30, "Less than 30 days",IF(TODAY()-DHMXX[INV DUE DATE]&lt;60,"30-60 days","More than 60 days"))</f>
        <v>More than 60 days</v>
      </c>
      <c r="S12" t="s">
        <v>1550</v>
      </c>
      <c r="T12" s="43" t="s">
        <v>2229</v>
      </c>
      <c r="U12" t="s">
        <v>3699</v>
      </c>
    </row>
    <row r="13" spans="1:21" x14ac:dyDescent="0.3">
      <c r="A13" t="s">
        <v>837</v>
      </c>
      <c r="B13" t="s">
        <v>30</v>
      </c>
      <c r="C13" t="s">
        <v>17</v>
      </c>
      <c r="D13" s="15">
        <v>1</v>
      </c>
      <c r="E13" s="7">
        <v>172.5</v>
      </c>
      <c r="H13">
        <v>1274</v>
      </c>
      <c r="I13" t="s">
        <v>350</v>
      </c>
      <c r="J13" t="s">
        <v>879</v>
      </c>
      <c r="K13" t="s">
        <v>3</v>
      </c>
      <c r="L13" s="2">
        <v>43191</v>
      </c>
      <c r="M13" s="2">
        <f>DHMXX[[#This Row],[INV DOC DATE]]+30</f>
        <v>43221</v>
      </c>
      <c r="N13" s="2">
        <v>43221</v>
      </c>
      <c r="O13" s="7">
        <v>172.5</v>
      </c>
      <c r="P13" s="2">
        <v>43227</v>
      </c>
      <c r="Q13" s="7">
        <f>$E13-$O13</f>
        <v>0</v>
      </c>
      <c r="R13" s="7" t="str">
        <f ca="1">IF(TODAY() - DHMXX[INV DUE DATE]&lt;30, "Less than 30 days",IF(TODAY()-DHMXX[INV DUE DATE]&lt;60,"30-60 days","More than 60 days"))</f>
        <v>More than 60 days</v>
      </c>
      <c r="S13" t="s">
        <v>1550</v>
      </c>
      <c r="T13" s="43" t="s">
        <v>2229</v>
      </c>
      <c r="U13" t="s">
        <v>3699</v>
      </c>
    </row>
    <row r="14" spans="1:21" x14ac:dyDescent="0.3">
      <c r="A14" t="s">
        <v>837</v>
      </c>
      <c r="B14" t="s">
        <v>30</v>
      </c>
      <c r="C14" t="s">
        <v>18</v>
      </c>
      <c r="D14" s="15">
        <v>1</v>
      </c>
      <c r="E14" s="7">
        <v>172.5</v>
      </c>
      <c r="H14">
        <v>1274</v>
      </c>
      <c r="I14" t="s">
        <v>350</v>
      </c>
      <c r="J14" t="s">
        <v>880</v>
      </c>
      <c r="K14" t="s">
        <v>3</v>
      </c>
      <c r="L14" s="2">
        <v>43191</v>
      </c>
      <c r="M14" s="2">
        <f>DHMXX[[#This Row],[INV DOC DATE]]+30</f>
        <v>43221</v>
      </c>
      <c r="N14" s="2">
        <v>43221</v>
      </c>
      <c r="O14" s="7">
        <v>172.5</v>
      </c>
      <c r="P14" s="2">
        <v>43227</v>
      </c>
      <c r="Q14" s="7">
        <f>$E14-$O14</f>
        <v>0</v>
      </c>
      <c r="R14" s="7" t="str">
        <f ca="1">IF(TODAY() - DHMXX[INV DUE DATE]&lt;30, "Less than 30 days",IF(TODAY()-DHMXX[INV DUE DATE]&lt;60,"30-60 days","More than 60 days"))</f>
        <v>More than 60 days</v>
      </c>
      <c r="S14" t="s">
        <v>1550</v>
      </c>
      <c r="T14" s="43" t="s">
        <v>2229</v>
      </c>
      <c r="U14" t="s">
        <v>3699</v>
      </c>
    </row>
    <row r="15" spans="1:21" x14ac:dyDescent="0.3">
      <c r="A15" t="s">
        <v>837</v>
      </c>
      <c r="B15" t="s">
        <v>30</v>
      </c>
      <c r="C15" t="s">
        <v>19</v>
      </c>
      <c r="D15" s="15">
        <v>1</v>
      </c>
      <c r="E15" s="7">
        <v>172.5</v>
      </c>
      <c r="H15">
        <v>1274</v>
      </c>
      <c r="I15" t="s">
        <v>350</v>
      </c>
      <c r="J15" t="s">
        <v>881</v>
      </c>
      <c r="K15" t="s">
        <v>3</v>
      </c>
      <c r="L15" s="2">
        <v>43191</v>
      </c>
      <c r="M15" s="2">
        <f>DHMXX[[#This Row],[INV DOC DATE]]+30</f>
        <v>43221</v>
      </c>
      <c r="N15" s="2">
        <v>43221</v>
      </c>
      <c r="O15" s="7">
        <v>172.5</v>
      </c>
      <c r="P15" s="2">
        <v>43227</v>
      </c>
      <c r="Q15" s="7">
        <f>$E15-$O15</f>
        <v>0</v>
      </c>
      <c r="R15" s="7" t="str">
        <f ca="1">IF(TODAY() - DHMXX[INV DUE DATE]&lt;30, "Less than 30 days",IF(TODAY()-DHMXX[INV DUE DATE]&lt;60,"30-60 days","More than 60 days"))</f>
        <v>More than 60 days</v>
      </c>
      <c r="S15" t="s">
        <v>1550</v>
      </c>
      <c r="T15" s="43" t="s">
        <v>2229</v>
      </c>
      <c r="U15" t="s">
        <v>3699</v>
      </c>
    </row>
    <row r="16" spans="1:21" x14ac:dyDescent="0.3">
      <c r="A16" t="s">
        <v>837</v>
      </c>
      <c r="B16" t="s">
        <v>30</v>
      </c>
      <c r="C16" t="s">
        <v>20</v>
      </c>
      <c r="D16" s="15">
        <v>1</v>
      </c>
      <c r="E16" s="7">
        <v>172.5</v>
      </c>
      <c r="H16">
        <v>1274</v>
      </c>
      <c r="I16" t="s">
        <v>350</v>
      </c>
      <c r="J16" t="s">
        <v>882</v>
      </c>
      <c r="K16" t="s">
        <v>3</v>
      </c>
      <c r="L16" s="2">
        <v>43191</v>
      </c>
      <c r="M16" s="2">
        <f>DHMXX[[#This Row],[INV DOC DATE]]+30</f>
        <v>43221</v>
      </c>
      <c r="N16" s="2">
        <v>43221</v>
      </c>
      <c r="O16" s="7">
        <v>172.5</v>
      </c>
      <c r="P16" s="2">
        <v>43227</v>
      </c>
      <c r="Q16" s="7">
        <f>$E16-$O16</f>
        <v>0</v>
      </c>
      <c r="R16" s="7" t="str">
        <f ca="1">IF(TODAY() - DHMXX[INV DUE DATE]&lt;30, "Less than 30 days",IF(TODAY()-DHMXX[INV DUE DATE]&lt;60,"30-60 days","More than 60 days"))</f>
        <v>More than 60 days</v>
      </c>
      <c r="S16" t="s">
        <v>1550</v>
      </c>
      <c r="T16" s="43" t="s">
        <v>2229</v>
      </c>
      <c r="U16" t="s">
        <v>3699</v>
      </c>
    </row>
    <row r="17" spans="1:21" x14ac:dyDescent="0.3">
      <c r="A17" t="s">
        <v>837</v>
      </c>
      <c r="B17" t="s">
        <v>30</v>
      </c>
      <c r="C17" t="s">
        <v>21</v>
      </c>
      <c r="D17" s="15">
        <v>1</v>
      </c>
      <c r="E17" s="7">
        <v>172.5</v>
      </c>
      <c r="H17">
        <v>1274</v>
      </c>
      <c r="I17" t="s">
        <v>350</v>
      </c>
      <c r="J17" t="s">
        <v>883</v>
      </c>
      <c r="K17" t="s">
        <v>3</v>
      </c>
      <c r="L17" s="2">
        <v>43191</v>
      </c>
      <c r="M17" s="2">
        <f>DHMXX[[#This Row],[INV DOC DATE]]+30</f>
        <v>43221</v>
      </c>
      <c r="N17" s="2">
        <v>43221</v>
      </c>
      <c r="O17" s="7">
        <v>172.5</v>
      </c>
      <c r="P17" s="2">
        <v>43227</v>
      </c>
      <c r="Q17" s="7">
        <f>$E17-$O17</f>
        <v>0</v>
      </c>
      <c r="R17" s="7" t="str">
        <f ca="1">IF(TODAY() - DHMXX[INV DUE DATE]&lt;30, "Less than 30 days",IF(TODAY()-DHMXX[INV DUE DATE]&lt;60,"30-60 days","More than 60 days"))</f>
        <v>More than 60 days</v>
      </c>
      <c r="S17" t="s">
        <v>1550</v>
      </c>
      <c r="T17" s="43" t="s">
        <v>2229</v>
      </c>
      <c r="U17" t="s">
        <v>3699</v>
      </c>
    </row>
    <row r="18" spans="1:21" x14ac:dyDescent="0.3">
      <c r="A18" t="s">
        <v>837</v>
      </c>
      <c r="B18" t="s">
        <v>30</v>
      </c>
      <c r="C18" t="s">
        <v>22</v>
      </c>
      <c r="D18" s="15">
        <v>1</v>
      </c>
      <c r="E18" s="7">
        <v>172.5</v>
      </c>
      <c r="H18">
        <v>1274</v>
      </c>
      <c r="I18" t="s">
        <v>350</v>
      </c>
      <c r="J18" t="s">
        <v>884</v>
      </c>
      <c r="K18" t="s">
        <v>3</v>
      </c>
      <c r="L18" s="2">
        <v>43191</v>
      </c>
      <c r="M18" s="2">
        <f>DHMXX[[#This Row],[INV DOC DATE]]+30</f>
        <v>43221</v>
      </c>
      <c r="N18" s="2">
        <v>43221</v>
      </c>
      <c r="O18" s="7">
        <v>172.5</v>
      </c>
      <c r="P18" s="2">
        <v>43227</v>
      </c>
      <c r="Q18" s="7">
        <f>$E18-$O18</f>
        <v>0</v>
      </c>
      <c r="R18" s="7" t="str">
        <f ca="1">IF(TODAY() - DHMXX[INV DUE DATE]&lt;30, "Less than 30 days",IF(TODAY()-DHMXX[INV DUE DATE]&lt;60,"30-60 days","More than 60 days"))</f>
        <v>More than 60 days</v>
      </c>
      <c r="S18" t="s">
        <v>1550</v>
      </c>
      <c r="T18" s="43" t="s">
        <v>2229</v>
      </c>
      <c r="U18" t="s">
        <v>3699</v>
      </c>
    </row>
    <row r="19" spans="1:21" x14ac:dyDescent="0.3">
      <c r="A19" t="s">
        <v>837</v>
      </c>
      <c r="B19" t="s">
        <v>30</v>
      </c>
      <c r="C19" t="s">
        <v>23</v>
      </c>
      <c r="D19" s="15">
        <v>1</v>
      </c>
      <c r="E19" s="7">
        <v>172.5</v>
      </c>
      <c r="H19">
        <v>1274</v>
      </c>
      <c r="I19" t="s">
        <v>350</v>
      </c>
      <c r="J19" t="s">
        <v>885</v>
      </c>
      <c r="K19" t="s">
        <v>3</v>
      </c>
      <c r="L19" s="2">
        <v>43191</v>
      </c>
      <c r="M19" s="2">
        <f>DHMXX[[#This Row],[INV DOC DATE]]+30</f>
        <v>43221</v>
      </c>
      <c r="N19" s="2">
        <v>43221</v>
      </c>
      <c r="O19" s="7">
        <v>172.5</v>
      </c>
      <c r="P19" s="2">
        <v>43227</v>
      </c>
      <c r="Q19" s="7">
        <f>$E19-$O19</f>
        <v>0</v>
      </c>
      <c r="R19" s="7" t="str">
        <f ca="1">IF(TODAY() - DHMXX[INV DUE DATE]&lt;30, "Less than 30 days",IF(TODAY()-DHMXX[INV DUE DATE]&lt;60,"30-60 days","More than 60 days"))</f>
        <v>More than 60 days</v>
      </c>
      <c r="S19" t="s">
        <v>1550</v>
      </c>
      <c r="T19" s="43" t="s">
        <v>2229</v>
      </c>
      <c r="U19" t="s">
        <v>3699</v>
      </c>
    </row>
    <row r="20" spans="1:21" x14ac:dyDescent="0.3">
      <c r="A20" t="s">
        <v>837</v>
      </c>
      <c r="B20" t="s">
        <v>30</v>
      </c>
      <c r="C20" t="s">
        <v>24</v>
      </c>
      <c r="D20" s="15">
        <v>1</v>
      </c>
      <c r="E20" s="7">
        <v>172.5</v>
      </c>
      <c r="H20">
        <v>1274</v>
      </c>
      <c r="I20" t="s">
        <v>350</v>
      </c>
      <c r="J20" t="s">
        <v>886</v>
      </c>
      <c r="K20" t="s">
        <v>3</v>
      </c>
      <c r="L20" s="2">
        <v>43191</v>
      </c>
      <c r="M20" s="2">
        <f>DHMXX[[#This Row],[INV DOC DATE]]+30</f>
        <v>43221</v>
      </c>
      <c r="N20" s="2">
        <v>43221</v>
      </c>
      <c r="O20" s="7">
        <v>172.5</v>
      </c>
      <c r="P20" s="2">
        <v>43227</v>
      </c>
      <c r="Q20" s="7">
        <f>$E20-$O20</f>
        <v>0</v>
      </c>
      <c r="R20" s="7" t="str">
        <f ca="1">IF(TODAY() - DHMXX[INV DUE DATE]&lt;30, "Less than 30 days",IF(TODAY()-DHMXX[INV DUE DATE]&lt;60,"30-60 days","More than 60 days"))</f>
        <v>More than 60 days</v>
      </c>
      <c r="S20" t="s">
        <v>1550</v>
      </c>
      <c r="T20" s="43" t="s">
        <v>2229</v>
      </c>
      <c r="U20" t="s">
        <v>3699</v>
      </c>
    </row>
    <row r="21" spans="1:21" x14ac:dyDescent="0.3">
      <c r="A21" t="s">
        <v>837</v>
      </c>
      <c r="B21" t="s">
        <v>30</v>
      </c>
      <c r="C21" t="s">
        <v>25</v>
      </c>
      <c r="D21" s="15">
        <v>1</v>
      </c>
      <c r="E21" s="7">
        <v>172.5</v>
      </c>
      <c r="H21">
        <v>1274</v>
      </c>
      <c r="I21" t="s">
        <v>350</v>
      </c>
      <c r="J21" t="s">
        <v>887</v>
      </c>
      <c r="K21" t="s">
        <v>3</v>
      </c>
      <c r="L21" s="2">
        <v>43191</v>
      </c>
      <c r="M21" s="2">
        <f>DHMXX[[#This Row],[INV DOC DATE]]+30</f>
        <v>43221</v>
      </c>
      <c r="N21" s="2">
        <v>43221</v>
      </c>
      <c r="O21" s="7">
        <v>172.5</v>
      </c>
      <c r="P21" s="2">
        <v>43227</v>
      </c>
      <c r="Q21" s="7">
        <f>$E21-$O21</f>
        <v>0</v>
      </c>
      <c r="R21" s="7" t="str">
        <f ca="1">IF(TODAY() - DHMXX[INV DUE DATE]&lt;30, "Less than 30 days",IF(TODAY()-DHMXX[INV DUE DATE]&lt;60,"30-60 days","More than 60 days"))</f>
        <v>More than 60 days</v>
      </c>
      <c r="S21" t="s">
        <v>1550</v>
      </c>
      <c r="T21" s="43" t="s">
        <v>2229</v>
      </c>
      <c r="U21" t="s">
        <v>3699</v>
      </c>
    </row>
    <row r="22" spans="1:21" x14ac:dyDescent="0.3">
      <c r="A22" t="s">
        <v>837</v>
      </c>
      <c r="B22" t="s">
        <v>30</v>
      </c>
      <c r="C22" t="s">
        <v>26</v>
      </c>
      <c r="D22" s="15">
        <v>1</v>
      </c>
      <c r="E22" s="7">
        <v>172.5</v>
      </c>
      <c r="H22">
        <v>1274</v>
      </c>
      <c r="I22" t="s">
        <v>350</v>
      </c>
      <c r="J22" t="s">
        <v>888</v>
      </c>
      <c r="K22" t="s">
        <v>3</v>
      </c>
      <c r="L22" s="2">
        <v>43191</v>
      </c>
      <c r="M22" s="2">
        <f>DHMXX[[#This Row],[INV DOC DATE]]+30</f>
        <v>43221</v>
      </c>
      <c r="N22" s="2">
        <v>43221</v>
      </c>
      <c r="O22" s="7">
        <v>172.5</v>
      </c>
      <c r="P22" s="2">
        <v>43227</v>
      </c>
      <c r="Q22" s="7">
        <f>$E22-$O22</f>
        <v>0</v>
      </c>
      <c r="R22" s="7" t="str">
        <f ca="1">IF(TODAY() - DHMXX[INV DUE DATE]&lt;30, "Less than 30 days",IF(TODAY()-DHMXX[INV DUE DATE]&lt;60,"30-60 days","More than 60 days"))</f>
        <v>More than 60 days</v>
      </c>
      <c r="S22" t="s">
        <v>1550</v>
      </c>
      <c r="T22" s="43" t="s">
        <v>2229</v>
      </c>
      <c r="U22" t="s">
        <v>3699</v>
      </c>
    </row>
    <row r="23" spans="1:21" x14ac:dyDescent="0.3">
      <c r="A23" t="s">
        <v>837</v>
      </c>
      <c r="B23" t="s">
        <v>30</v>
      </c>
      <c r="C23" t="s">
        <v>27</v>
      </c>
      <c r="D23" s="15">
        <v>1</v>
      </c>
      <c r="E23" s="7">
        <v>172.5</v>
      </c>
      <c r="H23">
        <v>1274</v>
      </c>
      <c r="I23" t="s">
        <v>350</v>
      </c>
      <c r="J23" t="s">
        <v>889</v>
      </c>
      <c r="K23" t="s">
        <v>3</v>
      </c>
      <c r="L23" s="2">
        <v>43191</v>
      </c>
      <c r="M23" s="2">
        <f>DHMXX[[#This Row],[INV DOC DATE]]+30</f>
        <v>43221</v>
      </c>
      <c r="N23" s="2">
        <v>43221</v>
      </c>
      <c r="O23" s="7">
        <v>172.5</v>
      </c>
      <c r="P23" s="2">
        <v>43227</v>
      </c>
      <c r="Q23" s="7">
        <f>$E23-$O23</f>
        <v>0</v>
      </c>
      <c r="R23" s="7" t="str">
        <f ca="1">IF(TODAY() - DHMXX[INV DUE DATE]&lt;30, "Less than 30 days",IF(TODAY()-DHMXX[INV DUE DATE]&lt;60,"30-60 days","More than 60 days"))</f>
        <v>More than 60 days</v>
      </c>
      <c r="S23" t="s">
        <v>1550</v>
      </c>
      <c r="T23" s="43" t="s">
        <v>2229</v>
      </c>
      <c r="U23" t="s">
        <v>3699</v>
      </c>
    </row>
    <row r="24" spans="1:21" x14ac:dyDescent="0.3">
      <c r="A24" t="s">
        <v>837</v>
      </c>
      <c r="B24" t="s">
        <v>30</v>
      </c>
      <c r="C24" t="s">
        <v>28</v>
      </c>
      <c r="D24" s="15">
        <v>1</v>
      </c>
      <c r="E24" s="7">
        <v>172.5</v>
      </c>
      <c r="H24">
        <v>1274</v>
      </c>
      <c r="I24" t="s">
        <v>350</v>
      </c>
      <c r="J24" t="s">
        <v>890</v>
      </c>
      <c r="K24" t="s">
        <v>3</v>
      </c>
      <c r="L24" s="2">
        <v>43191</v>
      </c>
      <c r="M24" s="2">
        <f>DHMXX[[#This Row],[INV DOC DATE]]+30</f>
        <v>43221</v>
      </c>
      <c r="N24" s="2">
        <v>43221</v>
      </c>
      <c r="O24" s="7">
        <v>172.5</v>
      </c>
      <c r="P24" s="2">
        <v>43227</v>
      </c>
      <c r="Q24" s="7">
        <f>$E24-$O24</f>
        <v>0</v>
      </c>
      <c r="R24" s="7" t="str">
        <f ca="1">IF(TODAY() - DHMXX[INV DUE DATE]&lt;30, "Less than 30 days",IF(TODAY()-DHMXX[INV DUE DATE]&lt;60,"30-60 days","More than 60 days"))</f>
        <v>More than 60 days</v>
      </c>
      <c r="S24" t="s">
        <v>1550</v>
      </c>
      <c r="T24" s="43" t="s">
        <v>2229</v>
      </c>
      <c r="U24" t="s">
        <v>3699</v>
      </c>
    </row>
    <row r="25" spans="1:21" x14ac:dyDescent="0.3">
      <c r="A25" t="s">
        <v>837</v>
      </c>
      <c r="B25" t="s">
        <v>30</v>
      </c>
      <c r="C25" t="s">
        <v>37</v>
      </c>
      <c r="D25" s="15">
        <v>1</v>
      </c>
      <c r="E25" s="7">
        <v>172.5</v>
      </c>
      <c r="H25">
        <v>1274</v>
      </c>
      <c r="I25" t="s">
        <v>350</v>
      </c>
      <c r="J25" t="s">
        <v>891</v>
      </c>
      <c r="K25" t="s">
        <v>3</v>
      </c>
      <c r="L25" s="2">
        <v>43191</v>
      </c>
      <c r="M25" s="2">
        <f>DHMXX[[#This Row],[INV DOC DATE]]+30</f>
        <v>43221</v>
      </c>
      <c r="N25" s="2">
        <v>43221</v>
      </c>
      <c r="O25" s="7">
        <v>172.5</v>
      </c>
      <c r="P25" s="2">
        <v>43227</v>
      </c>
      <c r="Q25" s="7">
        <f>$E25-$O25</f>
        <v>0</v>
      </c>
      <c r="R25" s="7" t="str">
        <f ca="1">IF(TODAY() - DHMXX[INV DUE DATE]&lt;30, "Less than 30 days",IF(TODAY()-DHMXX[INV DUE DATE]&lt;60,"30-60 days","More than 60 days"))</f>
        <v>More than 60 days</v>
      </c>
      <c r="S25" t="s">
        <v>1550</v>
      </c>
      <c r="T25" s="43" t="s">
        <v>2229</v>
      </c>
      <c r="U25" t="s">
        <v>3699</v>
      </c>
    </row>
    <row r="26" spans="1:21" x14ac:dyDescent="0.3">
      <c r="A26" t="s">
        <v>837</v>
      </c>
      <c r="B26" t="s">
        <v>30</v>
      </c>
      <c r="C26" t="s">
        <v>38</v>
      </c>
      <c r="D26" s="15">
        <v>1</v>
      </c>
      <c r="E26" s="7">
        <v>172.5</v>
      </c>
      <c r="H26">
        <v>1274</v>
      </c>
      <c r="I26" t="s">
        <v>350</v>
      </c>
      <c r="J26" t="s">
        <v>892</v>
      </c>
      <c r="K26" t="s">
        <v>3</v>
      </c>
      <c r="L26" s="2">
        <v>43191</v>
      </c>
      <c r="M26" s="2">
        <f>DHMXX[[#This Row],[INV DOC DATE]]+30</f>
        <v>43221</v>
      </c>
      <c r="N26" s="2">
        <v>43221</v>
      </c>
      <c r="O26" s="7">
        <v>172.5</v>
      </c>
      <c r="P26" s="2">
        <v>43227</v>
      </c>
      <c r="Q26" s="7">
        <f>$E26-$O26</f>
        <v>0</v>
      </c>
      <c r="R26" s="7" t="str">
        <f ca="1">IF(TODAY() - DHMXX[INV DUE DATE]&lt;30, "Less than 30 days",IF(TODAY()-DHMXX[INV DUE DATE]&lt;60,"30-60 days","More than 60 days"))</f>
        <v>More than 60 days</v>
      </c>
      <c r="S26" t="s">
        <v>1550</v>
      </c>
      <c r="T26" s="43" t="s">
        <v>2229</v>
      </c>
      <c r="U26" t="s">
        <v>3699</v>
      </c>
    </row>
    <row r="27" spans="1:21" x14ac:dyDescent="0.3">
      <c r="A27" t="s">
        <v>837</v>
      </c>
      <c r="B27" t="s">
        <v>30</v>
      </c>
      <c r="C27" t="s">
        <v>39</v>
      </c>
      <c r="D27" s="15">
        <v>1</v>
      </c>
      <c r="E27" s="7">
        <v>172.5</v>
      </c>
      <c r="H27">
        <v>1274</v>
      </c>
      <c r="I27" t="s">
        <v>350</v>
      </c>
      <c r="J27" t="s">
        <v>893</v>
      </c>
      <c r="K27" t="s">
        <v>3</v>
      </c>
      <c r="L27" s="2">
        <v>43191</v>
      </c>
      <c r="M27" s="2">
        <f>DHMXX[[#This Row],[INV DOC DATE]]+30</f>
        <v>43221</v>
      </c>
      <c r="N27" s="2">
        <v>43221</v>
      </c>
      <c r="O27" s="7">
        <v>172.5</v>
      </c>
      <c r="P27" s="2">
        <v>43227</v>
      </c>
      <c r="Q27" s="7">
        <f>$E27-$O27</f>
        <v>0</v>
      </c>
      <c r="R27" s="7" t="str">
        <f ca="1">IF(TODAY() - DHMXX[INV DUE DATE]&lt;30, "Less than 30 days",IF(TODAY()-DHMXX[INV DUE DATE]&lt;60,"30-60 days","More than 60 days"))</f>
        <v>More than 60 days</v>
      </c>
      <c r="S27" t="s">
        <v>1550</v>
      </c>
      <c r="T27" s="43" t="s">
        <v>2229</v>
      </c>
      <c r="U27" t="s">
        <v>3699</v>
      </c>
    </row>
    <row r="28" spans="1:21" x14ac:dyDescent="0.3">
      <c r="A28" t="s">
        <v>837</v>
      </c>
      <c r="B28" t="s">
        <v>30</v>
      </c>
      <c r="C28" t="s">
        <v>40</v>
      </c>
      <c r="D28" s="15">
        <v>1</v>
      </c>
      <c r="E28" s="7">
        <v>172.5</v>
      </c>
      <c r="H28">
        <v>1274</v>
      </c>
      <c r="I28" t="s">
        <v>350</v>
      </c>
      <c r="J28" t="s">
        <v>894</v>
      </c>
      <c r="K28" t="s">
        <v>3</v>
      </c>
      <c r="L28" s="2">
        <v>43191</v>
      </c>
      <c r="M28" s="2">
        <f>DHMXX[[#This Row],[INV DOC DATE]]+30</f>
        <v>43221</v>
      </c>
      <c r="N28" s="2">
        <v>43221</v>
      </c>
      <c r="O28" s="7">
        <v>172.5</v>
      </c>
      <c r="P28" s="2">
        <v>43227</v>
      </c>
      <c r="Q28" s="7">
        <f>$E28-$O28</f>
        <v>0</v>
      </c>
      <c r="R28" s="7" t="str">
        <f ca="1">IF(TODAY() - DHMXX[INV DUE DATE]&lt;30, "Less than 30 days",IF(TODAY()-DHMXX[INV DUE DATE]&lt;60,"30-60 days","More than 60 days"))</f>
        <v>More than 60 days</v>
      </c>
      <c r="S28" t="s">
        <v>1550</v>
      </c>
      <c r="T28" s="43" t="s">
        <v>2229</v>
      </c>
      <c r="U28" t="s">
        <v>3699</v>
      </c>
    </row>
    <row r="29" spans="1:21" x14ac:dyDescent="0.3">
      <c r="A29" t="s">
        <v>837</v>
      </c>
      <c r="B29" t="s">
        <v>30</v>
      </c>
      <c r="C29" t="s">
        <v>41</v>
      </c>
      <c r="D29" s="15">
        <v>1</v>
      </c>
      <c r="E29" s="7">
        <v>172.5</v>
      </c>
      <c r="H29">
        <v>1274</v>
      </c>
      <c r="I29" t="s">
        <v>350</v>
      </c>
      <c r="J29" t="s">
        <v>895</v>
      </c>
      <c r="K29" t="s">
        <v>3</v>
      </c>
      <c r="L29" s="2">
        <v>43191</v>
      </c>
      <c r="M29" s="2">
        <f>DHMXX[[#This Row],[INV DOC DATE]]+30</f>
        <v>43221</v>
      </c>
      <c r="N29" s="2">
        <v>43221</v>
      </c>
      <c r="O29" s="7">
        <v>172.5</v>
      </c>
      <c r="P29" s="2">
        <v>43227</v>
      </c>
      <c r="Q29" s="7">
        <f>$E29-$O29</f>
        <v>0</v>
      </c>
      <c r="R29" s="7" t="str">
        <f ca="1">IF(TODAY() - DHMXX[INV DUE DATE]&lt;30, "Less than 30 days",IF(TODAY()-DHMXX[INV DUE DATE]&lt;60,"30-60 days","More than 60 days"))</f>
        <v>More than 60 days</v>
      </c>
      <c r="S29" t="s">
        <v>1550</v>
      </c>
      <c r="T29" s="43" t="s">
        <v>2229</v>
      </c>
      <c r="U29" t="s">
        <v>3699</v>
      </c>
    </row>
    <row r="30" spans="1:21" x14ac:dyDescent="0.3">
      <c r="A30" t="s">
        <v>837</v>
      </c>
      <c r="B30" t="s">
        <v>30</v>
      </c>
      <c r="C30" t="s">
        <v>42</v>
      </c>
      <c r="D30" s="15">
        <v>1</v>
      </c>
      <c r="E30" s="7">
        <v>172.5</v>
      </c>
      <c r="H30">
        <v>1274</v>
      </c>
      <c r="I30" t="s">
        <v>350</v>
      </c>
      <c r="J30" t="s">
        <v>896</v>
      </c>
      <c r="K30" t="s">
        <v>3</v>
      </c>
      <c r="L30" s="2">
        <v>43191</v>
      </c>
      <c r="M30" s="2">
        <f>DHMXX[[#This Row],[INV DOC DATE]]+30</f>
        <v>43221</v>
      </c>
      <c r="N30" s="2">
        <v>43221</v>
      </c>
      <c r="O30" s="7">
        <v>172.5</v>
      </c>
      <c r="P30" s="2">
        <v>43227</v>
      </c>
      <c r="Q30" s="7">
        <f>$E30-$O30</f>
        <v>0</v>
      </c>
      <c r="R30" s="7" t="str">
        <f ca="1">IF(TODAY() - DHMXX[INV DUE DATE]&lt;30, "Less than 30 days",IF(TODAY()-DHMXX[INV DUE DATE]&lt;60,"30-60 days","More than 60 days"))</f>
        <v>More than 60 days</v>
      </c>
      <c r="S30" t="s">
        <v>1550</v>
      </c>
      <c r="T30" s="43" t="s">
        <v>2229</v>
      </c>
      <c r="U30" t="s">
        <v>3699</v>
      </c>
    </row>
    <row r="31" spans="1:21" x14ac:dyDescent="0.3">
      <c r="A31" t="s">
        <v>837</v>
      </c>
      <c r="B31" t="s">
        <v>30</v>
      </c>
      <c r="C31" t="s">
        <v>43</v>
      </c>
      <c r="D31" s="15">
        <v>1</v>
      </c>
      <c r="E31" s="7">
        <v>172.5</v>
      </c>
      <c r="H31">
        <v>1274</v>
      </c>
      <c r="I31" t="s">
        <v>350</v>
      </c>
      <c r="J31" t="s">
        <v>897</v>
      </c>
      <c r="K31" t="s">
        <v>3</v>
      </c>
      <c r="L31" s="2">
        <v>43191</v>
      </c>
      <c r="M31" s="2">
        <f>DHMXX[[#This Row],[INV DOC DATE]]+30</f>
        <v>43221</v>
      </c>
      <c r="N31" s="2">
        <v>43221</v>
      </c>
      <c r="O31" s="7">
        <v>172.5</v>
      </c>
      <c r="P31" s="2">
        <v>43227</v>
      </c>
      <c r="Q31" s="7">
        <f>$E31-$O31</f>
        <v>0</v>
      </c>
      <c r="R31" s="7" t="str">
        <f ca="1">IF(TODAY() - DHMXX[INV DUE DATE]&lt;30, "Less than 30 days",IF(TODAY()-DHMXX[INV DUE DATE]&lt;60,"30-60 days","More than 60 days"))</f>
        <v>More than 60 days</v>
      </c>
      <c r="S31" t="s">
        <v>1550</v>
      </c>
      <c r="T31" s="43" t="s">
        <v>2229</v>
      </c>
      <c r="U31" t="s">
        <v>3699</v>
      </c>
    </row>
    <row r="32" spans="1:21" x14ac:dyDescent="0.3">
      <c r="A32" t="s">
        <v>837</v>
      </c>
      <c r="B32" t="s">
        <v>30</v>
      </c>
      <c r="C32" t="s">
        <v>44</v>
      </c>
      <c r="D32" s="15">
        <v>1</v>
      </c>
      <c r="E32" s="7">
        <v>172.5</v>
      </c>
      <c r="H32">
        <v>1274</v>
      </c>
      <c r="I32" t="s">
        <v>350</v>
      </c>
      <c r="J32" t="s">
        <v>898</v>
      </c>
      <c r="K32" t="s">
        <v>3</v>
      </c>
      <c r="L32" s="2">
        <v>43191</v>
      </c>
      <c r="M32" s="2">
        <f>DHMXX[[#This Row],[INV DOC DATE]]+30</f>
        <v>43221</v>
      </c>
      <c r="N32" s="2">
        <v>43221</v>
      </c>
      <c r="O32" s="7">
        <v>172.5</v>
      </c>
      <c r="P32" s="2">
        <v>43227</v>
      </c>
      <c r="Q32" s="7">
        <f>$E32-$O32</f>
        <v>0</v>
      </c>
      <c r="R32" s="7" t="str">
        <f ca="1">IF(TODAY() - DHMXX[INV DUE DATE]&lt;30, "Less than 30 days",IF(TODAY()-DHMXX[INV DUE DATE]&lt;60,"30-60 days","More than 60 days"))</f>
        <v>More than 60 days</v>
      </c>
      <c r="S32" t="s">
        <v>1550</v>
      </c>
      <c r="T32" s="43" t="s">
        <v>2229</v>
      </c>
      <c r="U32" t="s">
        <v>3699</v>
      </c>
    </row>
    <row r="33" spans="1:21" x14ac:dyDescent="0.3">
      <c r="A33" t="s">
        <v>837</v>
      </c>
      <c r="B33" t="s">
        <v>30</v>
      </c>
      <c r="C33" t="s">
        <v>45</v>
      </c>
      <c r="D33" s="15">
        <v>1</v>
      </c>
      <c r="E33" s="7">
        <v>172.5</v>
      </c>
      <c r="H33">
        <v>1274</v>
      </c>
      <c r="I33" t="s">
        <v>350</v>
      </c>
      <c r="J33" t="s">
        <v>899</v>
      </c>
      <c r="K33" t="s">
        <v>3</v>
      </c>
      <c r="L33" s="2">
        <v>43191</v>
      </c>
      <c r="M33" s="2">
        <f>DHMXX[[#This Row],[INV DOC DATE]]+30</f>
        <v>43221</v>
      </c>
      <c r="N33" s="2">
        <v>43221</v>
      </c>
      <c r="O33" s="7">
        <v>172.5</v>
      </c>
      <c r="P33" s="2">
        <v>43227</v>
      </c>
      <c r="Q33" s="7">
        <f>$E33-$O33</f>
        <v>0</v>
      </c>
      <c r="R33" s="7" t="str">
        <f ca="1">IF(TODAY() - DHMXX[INV DUE DATE]&lt;30, "Less than 30 days",IF(TODAY()-DHMXX[INV DUE DATE]&lt;60,"30-60 days","More than 60 days"))</f>
        <v>More than 60 days</v>
      </c>
      <c r="S33" t="s">
        <v>1550</v>
      </c>
      <c r="T33" s="43" t="s">
        <v>2229</v>
      </c>
      <c r="U33" t="s">
        <v>3699</v>
      </c>
    </row>
    <row r="34" spans="1:21" x14ac:dyDescent="0.3">
      <c r="A34" t="s">
        <v>837</v>
      </c>
      <c r="B34" t="s">
        <v>30</v>
      </c>
      <c r="C34" t="s">
        <v>46</v>
      </c>
      <c r="D34" s="15">
        <v>1</v>
      </c>
      <c r="E34" s="7">
        <v>172.5</v>
      </c>
      <c r="H34">
        <v>1274</v>
      </c>
      <c r="I34" t="s">
        <v>350</v>
      </c>
      <c r="J34" t="s">
        <v>900</v>
      </c>
      <c r="K34" t="s">
        <v>3</v>
      </c>
      <c r="L34" s="2">
        <v>43191</v>
      </c>
      <c r="M34" s="2">
        <f>DHMXX[[#This Row],[INV DOC DATE]]+30</f>
        <v>43221</v>
      </c>
      <c r="N34" s="2">
        <v>43221</v>
      </c>
      <c r="O34" s="7">
        <v>172.5</v>
      </c>
      <c r="P34" s="2">
        <v>43227</v>
      </c>
      <c r="Q34" s="7">
        <f>$E34-$O34</f>
        <v>0</v>
      </c>
      <c r="R34" s="7" t="str">
        <f ca="1">IF(TODAY() - DHMXX[INV DUE DATE]&lt;30, "Less than 30 days",IF(TODAY()-DHMXX[INV DUE DATE]&lt;60,"30-60 days","More than 60 days"))</f>
        <v>More than 60 days</v>
      </c>
      <c r="S34" t="s">
        <v>1550</v>
      </c>
      <c r="T34" s="43" t="s">
        <v>2229</v>
      </c>
      <c r="U34" t="s">
        <v>3699</v>
      </c>
    </row>
    <row r="35" spans="1:21" x14ac:dyDescent="0.3">
      <c r="A35" t="s">
        <v>837</v>
      </c>
      <c r="B35" t="s">
        <v>30</v>
      </c>
      <c r="C35" t="s">
        <v>47</v>
      </c>
      <c r="D35" s="15">
        <v>1</v>
      </c>
      <c r="E35" s="7">
        <v>172.5</v>
      </c>
      <c r="H35">
        <v>1274</v>
      </c>
      <c r="I35" t="s">
        <v>350</v>
      </c>
      <c r="J35" t="s">
        <v>901</v>
      </c>
      <c r="K35" t="s">
        <v>3</v>
      </c>
      <c r="L35" s="2">
        <v>43191</v>
      </c>
      <c r="M35" s="2">
        <f>DHMXX[[#This Row],[INV DOC DATE]]+30</f>
        <v>43221</v>
      </c>
      <c r="N35" s="2">
        <v>43221</v>
      </c>
      <c r="O35" s="7">
        <v>172.5</v>
      </c>
      <c r="P35" s="2">
        <v>43227</v>
      </c>
      <c r="Q35" s="7">
        <f>$E35-$O35</f>
        <v>0</v>
      </c>
      <c r="R35" s="7" t="str">
        <f ca="1">IF(TODAY() - DHMXX[INV DUE DATE]&lt;30, "Less than 30 days",IF(TODAY()-DHMXX[INV DUE DATE]&lt;60,"30-60 days","More than 60 days"))</f>
        <v>More than 60 days</v>
      </c>
      <c r="S35" t="s">
        <v>1550</v>
      </c>
      <c r="T35" s="43" t="s">
        <v>2229</v>
      </c>
      <c r="U35" t="s">
        <v>3699</v>
      </c>
    </row>
    <row r="36" spans="1:21" x14ac:dyDescent="0.3">
      <c r="A36" t="s">
        <v>837</v>
      </c>
      <c r="B36" t="s">
        <v>30</v>
      </c>
      <c r="C36" t="s">
        <v>295</v>
      </c>
      <c r="D36" s="15">
        <v>1</v>
      </c>
      <c r="E36" s="7">
        <v>172.5</v>
      </c>
      <c r="H36">
        <v>1274</v>
      </c>
      <c r="I36" t="s">
        <v>350</v>
      </c>
      <c r="J36" t="s">
        <v>902</v>
      </c>
      <c r="K36" t="s">
        <v>3</v>
      </c>
      <c r="L36" s="2">
        <v>43191</v>
      </c>
      <c r="M36" s="2">
        <f>DHMXX[[#This Row],[INV DOC DATE]]+30</f>
        <v>43221</v>
      </c>
      <c r="N36" s="2">
        <v>43221</v>
      </c>
      <c r="O36" s="7">
        <v>172.5</v>
      </c>
      <c r="P36" s="2">
        <v>43227</v>
      </c>
      <c r="Q36" s="7">
        <f>$E36-$O36</f>
        <v>0</v>
      </c>
      <c r="R36" s="7" t="str">
        <f ca="1">IF(TODAY() - DHMXX[INV DUE DATE]&lt;30, "Less than 30 days",IF(TODAY()-DHMXX[INV DUE DATE]&lt;60,"30-60 days","More than 60 days"))</f>
        <v>More than 60 days</v>
      </c>
      <c r="S36" t="s">
        <v>1550</v>
      </c>
      <c r="T36" s="43" t="s">
        <v>2229</v>
      </c>
      <c r="U36" t="s">
        <v>3699</v>
      </c>
    </row>
    <row r="37" spans="1:21" x14ac:dyDescent="0.3">
      <c r="A37" t="s">
        <v>837</v>
      </c>
      <c r="B37" t="s">
        <v>30</v>
      </c>
      <c r="C37" t="s">
        <v>51</v>
      </c>
      <c r="D37" s="15">
        <v>1</v>
      </c>
      <c r="E37" s="7">
        <v>172.5</v>
      </c>
      <c r="H37">
        <v>140140</v>
      </c>
      <c r="I37" t="s">
        <v>840</v>
      </c>
      <c r="J37" t="s">
        <v>906</v>
      </c>
      <c r="K37" t="s">
        <v>3</v>
      </c>
      <c r="L37" s="2">
        <v>43191</v>
      </c>
      <c r="M37" s="2">
        <f>DHMXX[[#This Row],[INV DOC DATE]]+30</f>
        <v>43221</v>
      </c>
      <c r="N37" s="2">
        <v>43221</v>
      </c>
      <c r="O37" s="7">
        <v>172.5</v>
      </c>
      <c r="P37" s="2">
        <v>43227</v>
      </c>
      <c r="Q37" s="7">
        <f>$E37-$O37</f>
        <v>0</v>
      </c>
      <c r="R37" s="7" t="str">
        <f ca="1">IF(TODAY() - DHMXX[INV DUE DATE]&lt;30, "Less than 30 days",IF(TODAY()-DHMXX[INV DUE DATE]&lt;60,"30-60 days","More than 60 days"))</f>
        <v>More than 60 days</v>
      </c>
      <c r="S37" t="s">
        <v>1550</v>
      </c>
      <c r="T37" s="43" t="s">
        <v>2229</v>
      </c>
      <c r="U37" t="s">
        <v>3699</v>
      </c>
    </row>
    <row r="38" spans="1:21" x14ac:dyDescent="0.3">
      <c r="A38" t="s">
        <v>837</v>
      </c>
      <c r="B38" t="s">
        <v>30</v>
      </c>
      <c r="C38" t="s">
        <v>52</v>
      </c>
      <c r="D38" s="15">
        <v>1</v>
      </c>
      <c r="E38" s="7">
        <v>172.5</v>
      </c>
      <c r="H38">
        <v>140140</v>
      </c>
      <c r="I38" t="s">
        <v>840</v>
      </c>
      <c r="J38" t="s">
        <v>907</v>
      </c>
      <c r="K38" t="s">
        <v>3</v>
      </c>
      <c r="L38" s="2">
        <v>43191</v>
      </c>
      <c r="M38" s="2">
        <f>DHMXX[[#This Row],[INV DOC DATE]]+30</f>
        <v>43221</v>
      </c>
      <c r="N38" s="2">
        <v>43221</v>
      </c>
      <c r="O38" s="7">
        <v>172.5</v>
      </c>
      <c r="P38" s="2">
        <v>43227</v>
      </c>
      <c r="Q38" s="7">
        <f>$E38-$O38</f>
        <v>0</v>
      </c>
      <c r="R38" s="7" t="str">
        <f ca="1">IF(TODAY() - DHMXX[INV DUE DATE]&lt;30, "Less than 30 days",IF(TODAY()-DHMXX[INV DUE DATE]&lt;60,"30-60 days","More than 60 days"))</f>
        <v>More than 60 days</v>
      </c>
      <c r="S38" t="s">
        <v>1550</v>
      </c>
      <c r="T38" s="43" t="s">
        <v>2229</v>
      </c>
      <c r="U38" t="s">
        <v>3699</v>
      </c>
    </row>
    <row r="39" spans="1:21" x14ac:dyDescent="0.3">
      <c r="A39" t="s">
        <v>837</v>
      </c>
      <c r="B39" t="s">
        <v>30</v>
      </c>
      <c r="C39" t="s">
        <v>53</v>
      </c>
      <c r="D39" s="15">
        <v>1</v>
      </c>
      <c r="E39" s="7">
        <v>465</v>
      </c>
      <c r="H39">
        <v>142910</v>
      </c>
      <c r="I39" t="s">
        <v>841</v>
      </c>
      <c r="J39" t="s">
        <v>908</v>
      </c>
      <c r="K39" t="s">
        <v>3</v>
      </c>
      <c r="L39" s="2">
        <v>43191</v>
      </c>
      <c r="M39" s="2">
        <f>DHMXX[[#This Row],[INV DOC DATE]]+30</f>
        <v>43221</v>
      </c>
      <c r="N39" s="2">
        <v>43221</v>
      </c>
      <c r="O39" s="7">
        <v>465</v>
      </c>
      <c r="P39" s="2">
        <v>43227</v>
      </c>
      <c r="Q39" s="7">
        <f>$E39-$O39</f>
        <v>0</v>
      </c>
      <c r="R39" s="7" t="str">
        <f ca="1">IF(TODAY() - DHMXX[INV DUE DATE]&lt;30, "Less than 30 days",IF(TODAY()-DHMXX[INV DUE DATE]&lt;60,"30-60 days","More than 60 days"))</f>
        <v>More than 60 days</v>
      </c>
      <c r="S39" t="s">
        <v>1550</v>
      </c>
      <c r="T39" s="43" t="s">
        <v>2229</v>
      </c>
      <c r="U39" t="s">
        <v>3699</v>
      </c>
    </row>
    <row r="40" spans="1:21" x14ac:dyDescent="0.3">
      <c r="A40" t="s">
        <v>837</v>
      </c>
      <c r="B40" t="s">
        <v>30</v>
      </c>
      <c r="C40" t="s">
        <v>54</v>
      </c>
      <c r="D40" s="15">
        <v>1</v>
      </c>
      <c r="E40" s="7">
        <v>172.5</v>
      </c>
      <c r="H40">
        <v>148833</v>
      </c>
      <c r="I40" t="s">
        <v>842</v>
      </c>
      <c r="J40" t="s">
        <v>909</v>
      </c>
      <c r="K40" t="s">
        <v>3</v>
      </c>
      <c r="L40" s="2">
        <v>43191</v>
      </c>
      <c r="M40" s="2">
        <f>DHMXX[[#This Row],[INV DOC DATE]]+30</f>
        <v>43221</v>
      </c>
      <c r="N40" s="2">
        <v>43221</v>
      </c>
      <c r="O40" s="7">
        <v>172.5</v>
      </c>
      <c r="P40" s="2">
        <v>43227</v>
      </c>
      <c r="Q40" s="7">
        <f>$E40-$O40</f>
        <v>0</v>
      </c>
      <c r="R40" s="7" t="str">
        <f ca="1">IF(TODAY() - DHMXX[INV DUE DATE]&lt;30, "Less than 30 days",IF(TODAY()-DHMXX[INV DUE DATE]&lt;60,"30-60 days","More than 60 days"))</f>
        <v>More than 60 days</v>
      </c>
      <c r="S40" t="s">
        <v>1550</v>
      </c>
      <c r="T40" s="43" t="s">
        <v>2229</v>
      </c>
      <c r="U40" t="s">
        <v>3699</v>
      </c>
    </row>
    <row r="41" spans="1:21" x14ac:dyDescent="0.3">
      <c r="A41" t="s">
        <v>837</v>
      </c>
      <c r="B41" t="s">
        <v>30</v>
      </c>
      <c r="C41" t="s">
        <v>55</v>
      </c>
      <c r="D41" s="15">
        <v>1</v>
      </c>
      <c r="E41" s="7">
        <v>172.5</v>
      </c>
      <c r="H41">
        <v>148833</v>
      </c>
      <c r="I41" t="s">
        <v>842</v>
      </c>
      <c r="J41" t="s">
        <v>910</v>
      </c>
      <c r="K41" t="s">
        <v>3</v>
      </c>
      <c r="L41" s="2">
        <v>43191</v>
      </c>
      <c r="M41" s="2">
        <f>DHMXX[[#This Row],[INV DOC DATE]]+30</f>
        <v>43221</v>
      </c>
      <c r="N41" s="2">
        <v>43221</v>
      </c>
      <c r="O41" s="7">
        <v>172.5</v>
      </c>
      <c r="P41" s="2">
        <v>43227</v>
      </c>
      <c r="Q41" s="7">
        <f>$E41-$O41</f>
        <v>0</v>
      </c>
      <c r="R41" s="7" t="str">
        <f ca="1">IF(TODAY() - DHMXX[INV DUE DATE]&lt;30, "Less than 30 days",IF(TODAY()-DHMXX[INV DUE DATE]&lt;60,"30-60 days","More than 60 days"))</f>
        <v>More than 60 days</v>
      </c>
      <c r="S41" t="s">
        <v>1550</v>
      </c>
      <c r="T41" s="43" t="s">
        <v>2229</v>
      </c>
      <c r="U41" t="s">
        <v>3699</v>
      </c>
    </row>
    <row r="42" spans="1:21" x14ac:dyDescent="0.3">
      <c r="A42" t="s">
        <v>837</v>
      </c>
      <c r="B42" t="s">
        <v>30</v>
      </c>
      <c r="C42" t="s">
        <v>56</v>
      </c>
      <c r="D42" s="15">
        <v>1</v>
      </c>
      <c r="E42" s="7">
        <v>172.5</v>
      </c>
      <c r="H42">
        <v>148833</v>
      </c>
      <c r="I42" t="s">
        <v>842</v>
      </c>
      <c r="J42" t="s">
        <v>911</v>
      </c>
      <c r="K42" t="s">
        <v>3</v>
      </c>
      <c r="L42" s="2">
        <v>43191</v>
      </c>
      <c r="M42" s="2">
        <f>DHMXX[[#This Row],[INV DOC DATE]]+30</f>
        <v>43221</v>
      </c>
      <c r="N42" s="2">
        <v>43221</v>
      </c>
      <c r="O42" s="7">
        <v>172.5</v>
      </c>
      <c r="P42" s="2">
        <v>43227</v>
      </c>
      <c r="Q42" s="7">
        <f>$E42-$O42</f>
        <v>0</v>
      </c>
      <c r="R42" s="7" t="str">
        <f ca="1">IF(TODAY() - DHMXX[INV DUE DATE]&lt;30, "Less than 30 days",IF(TODAY()-DHMXX[INV DUE DATE]&lt;60,"30-60 days","More than 60 days"))</f>
        <v>More than 60 days</v>
      </c>
      <c r="S42" t="s">
        <v>1550</v>
      </c>
      <c r="T42" s="43" t="s">
        <v>2229</v>
      </c>
      <c r="U42" t="s">
        <v>3699</v>
      </c>
    </row>
    <row r="43" spans="1:21" x14ac:dyDescent="0.3">
      <c r="A43" t="s">
        <v>837</v>
      </c>
      <c r="B43" t="s">
        <v>30</v>
      </c>
      <c r="C43" t="s">
        <v>57</v>
      </c>
      <c r="D43" s="15">
        <v>1</v>
      </c>
      <c r="E43" s="7">
        <v>172.5</v>
      </c>
      <c r="H43">
        <v>148833</v>
      </c>
      <c r="I43" t="s">
        <v>842</v>
      </c>
      <c r="J43" t="s">
        <v>912</v>
      </c>
      <c r="K43" t="s">
        <v>3</v>
      </c>
      <c r="L43" s="2">
        <v>43191</v>
      </c>
      <c r="M43" s="2">
        <f>DHMXX[[#This Row],[INV DOC DATE]]+30</f>
        <v>43221</v>
      </c>
      <c r="N43" s="2">
        <v>43221</v>
      </c>
      <c r="O43" s="7">
        <v>172.5</v>
      </c>
      <c r="P43" s="2">
        <v>43227</v>
      </c>
      <c r="Q43" s="7">
        <f>$E43-$O43</f>
        <v>0</v>
      </c>
      <c r="R43" s="7" t="str">
        <f ca="1">IF(TODAY() - DHMXX[INV DUE DATE]&lt;30, "Less than 30 days",IF(TODAY()-DHMXX[INV DUE DATE]&lt;60,"30-60 days","More than 60 days"))</f>
        <v>More than 60 days</v>
      </c>
      <c r="S43" t="s">
        <v>1550</v>
      </c>
      <c r="T43" s="43" t="s">
        <v>2229</v>
      </c>
      <c r="U43" t="s">
        <v>3699</v>
      </c>
    </row>
    <row r="44" spans="1:21" x14ac:dyDescent="0.3">
      <c r="A44" t="s">
        <v>837</v>
      </c>
      <c r="B44" t="s">
        <v>30</v>
      </c>
      <c r="C44" t="s">
        <v>58</v>
      </c>
      <c r="D44" s="15">
        <v>1</v>
      </c>
      <c r="E44" s="7">
        <v>172.5</v>
      </c>
      <c r="H44">
        <v>148833</v>
      </c>
      <c r="I44" t="s">
        <v>842</v>
      </c>
      <c r="J44" t="s">
        <v>913</v>
      </c>
      <c r="K44" t="s">
        <v>3</v>
      </c>
      <c r="L44" s="2">
        <v>43191</v>
      </c>
      <c r="M44" s="2">
        <f>DHMXX[[#This Row],[INV DOC DATE]]+30</f>
        <v>43221</v>
      </c>
      <c r="N44" s="2">
        <v>43221</v>
      </c>
      <c r="O44" s="7">
        <v>172.5</v>
      </c>
      <c r="P44" s="2">
        <v>43227</v>
      </c>
      <c r="Q44" s="7">
        <f>$E44-$O44</f>
        <v>0</v>
      </c>
      <c r="R44" s="7" t="str">
        <f ca="1">IF(TODAY() - DHMXX[INV DUE DATE]&lt;30, "Less than 30 days",IF(TODAY()-DHMXX[INV DUE DATE]&lt;60,"30-60 days","More than 60 days"))</f>
        <v>More than 60 days</v>
      </c>
      <c r="S44" t="s">
        <v>1550</v>
      </c>
      <c r="T44" s="43" t="s">
        <v>2229</v>
      </c>
      <c r="U44" t="s">
        <v>3699</v>
      </c>
    </row>
    <row r="45" spans="1:21" x14ac:dyDescent="0.3">
      <c r="A45" t="s">
        <v>837</v>
      </c>
      <c r="B45" t="s">
        <v>30</v>
      </c>
      <c r="C45" t="s">
        <v>59</v>
      </c>
      <c r="D45" s="15">
        <v>1</v>
      </c>
      <c r="E45" s="7">
        <v>172.5</v>
      </c>
      <c r="H45">
        <v>148833</v>
      </c>
      <c r="I45" t="s">
        <v>842</v>
      </c>
      <c r="J45" t="s">
        <v>914</v>
      </c>
      <c r="K45" t="s">
        <v>3</v>
      </c>
      <c r="L45" s="2">
        <v>43191</v>
      </c>
      <c r="M45" s="2">
        <f>DHMXX[[#This Row],[INV DOC DATE]]+30</f>
        <v>43221</v>
      </c>
      <c r="N45" s="2">
        <v>43221</v>
      </c>
      <c r="O45" s="7">
        <v>172.5</v>
      </c>
      <c r="P45" s="2">
        <v>43227</v>
      </c>
      <c r="Q45" s="7">
        <f>$E45-$O45</f>
        <v>0</v>
      </c>
      <c r="R45" s="7" t="str">
        <f ca="1">IF(TODAY() - DHMXX[INV DUE DATE]&lt;30, "Less than 30 days",IF(TODAY()-DHMXX[INV DUE DATE]&lt;60,"30-60 days","More than 60 days"))</f>
        <v>More than 60 days</v>
      </c>
      <c r="S45" t="s">
        <v>1550</v>
      </c>
      <c r="T45" s="43" t="s">
        <v>2229</v>
      </c>
      <c r="U45" t="s">
        <v>3699</v>
      </c>
    </row>
    <row r="46" spans="1:21" x14ac:dyDescent="0.3">
      <c r="A46" t="s">
        <v>837</v>
      </c>
      <c r="B46" t="s">
        <v>30</v>
      </c>
      <c r="C46" t="s">
        <v>60</v>
      </c>
      <c r="D46" s="15">
        <v>1</v>
      </c>
      <c r="E46" s="7">
        <v>172.5</v>
      </c>
      <c r="H46">
        <v>162604</v>
      </c>
      <c r="I46" t="s">
        <v>842</v>
      </c>
      <c r="J46" t="s">
        <v>915</v>
      </c>
      <c r="K46" t="s">
        <v>3</v>
      </c>
      <c r="L46" s="2">
        <v>43191</v>
      </c>
      <c r="M46" s="2">
        <f>DHMXX[[#This Row],[INV DOC DATE]]+30</f>
        <v>43221</v>
      </c>
      <c r="N46" s="2">
        <v>43221</v>
      </c>
      <c r="O46" s="7">
        <v>172.5</v>
      </c>
      <c r="P46" s="2">
        <v>43227</v>
      </c>
      <c r="Q46" s="7">
        <f>$E46-$O46</f>
        <v>0</v>
      </c>
      <c r="R46" s="7" t="str">
        <f ca="1">IF(TODAY() - DHMXX[INV DUE DATE]&lt;30, "Less than 30 days",IF(TODAY()-DHMXX[INV DUE DATE]&lt;60,"30-60 days","More than 60 days"))</f>
        <v>More than 60 days</v>
      </c>
      <c r="S46" t="s">
        <v>1550</v>
      </c>
      <c r="T46" s="43" t="s">
        <v>2229</v>
      </c>
      <c r="U46" t="s">
        <v>3699</v>
      </c>
    </row>
    <row r="47" spans="1:21" x14ac:dyDescent="0.3">
      <c r="A47" t="s">
        <v>837</v>
      </c>
      <c r="B47" t="s">
        <v>30</v>
      </c>
      <c r="C47" t="s">
        <v>61</v>
      </c>
      <c r="D47" s="15">
        <v>1</v>
      </c>
      <c r="E47" s="7">
        <v>172.5</v>
      </c>
      <c r="H47">
        <v>165685</v>
      </c>
      <c r="I47" t="s">
        <v>843</v>
      </c>
      <c r="J47" t="s">
        <v>916</v>
      </c>
      <c r="K47" t="s">
        <v>3</v>
      </c>
      <c r="L47" s="2">
        <v>43191</v>
      </c>
      <c r="M47" s="2">
        <f>DHMXX[[#This Row],[INV DOC DATE]]+30</f>
        <v>43221</v>
      </c>
      <c r="N47" s="2">
        <v>43221</v>
      </c>
      <c r="O47" s="7">
        <v>172.5</v>
      </c>
      <c r="P47" s="2">
        <v>43227</v>
      </c>
      <c r="Q47" s="7">
        <f>$E47-$O47</f>
        <v>0</v>
      </c>
      <c r="R47" s="7" t="str">
        <f ca="1">IF(TODAY() - DHMXX[INV DUE DATE]&lt;30, "Less than 30 days",IF(TODAY()-DHMXX[INV DUE DATE]&lt;60,"30-60 days","More than 60 days"))</f>
        <v>More than 60 days</v>
      </c>
      <c r="S47" t="s">
        <v>1550</v>
      </c>
      <c r="T47" s="43" t="s">
        <v>2229</v>
      </c>
      <c r="U47" t="s">
        <v>3699</v>
      </c>
    </row>
    <row r="48" spans="1:21" x14ac:dyDescent="0.3">
      <c r="A48" t="s">
        <v>837</v>
      </c>
      <c r="B48" t="s">
        <v>30</v>
      </c>
      <c r="C48" t="s">
        <v>62</v>
      </c>
      <c r="D48" s="15">
        <v>1</v>
      </c>
      <c r="E48" s="7">
        <v>172.5</v>
      </c>
      <c r="H48">
        <v>2747</v>
      </c>
      <c r="I48" t="s">
        <v>844</v>
      </c>
      <c r="J48" t="s">
        <v>917</v>
      </c>
      <c r="K48" t="s">
        <v>3</v>
      </c>
      <c r="L48" s="2">
        <v>43191</v>
      </c>
      <c r="M48" s="2">
        <f>DHMXX[[#This Row],[INV DOC DATE]]+30</f>
        <v>43221</v>
      </c>
      <c r="N48" s="2">
        <v>43221</v>
      </c>
      <c r="O48" s="7">
        <v>172.5</v>
      </c>
      <c r="P48" s="2">
        <v>43227</v>
      </c>
      <c r="Q48" s="7">
        <f>$E48-$O48</f>
        <v>0</v>
      </c>
      <c r="R48" s="7" t="str">
        <f ca="1">IF(TODAY() - DHMXX[INV DUE DATE]&lt;30, "Less than 30 days",IF(TODAY()-DHMXX[INV DUE DATE]&lt;60,"30-60 days","More than 60 days"))</f>
        <v>More than 60 days</v>
      </c>
      <c r="S48" t="s">
        <v>1550</v>
      </c>
      <c r="T48" s="43" t="s">
        <v>2229</v>
      </c>
      <c r="U48" t="s">
        <v>3699</v>
      </c>
    </row>
    <row r="49" spans="1:21" x14ac:dyDescent="0.3">
      <c r="A49" t="s">
        <v>837</v>
      </c>
      <c r="B49" t="s">
        <v>30</v>
      </c>
      <c r="C49" t="s">
        <v>63</v>
      </c>
      <c r="D49" s="15">
        <v>1</v>
      </c>
      <c r="E49" s="7">
        <v>172.5</v>
      </c>
      <c r="H49">
        <v>3825</v>
      </c>
      <c r="I49" t="s">
        <v>845</v>
      </c>
      <c r="J49" t="s">
        <v>918</v>
      </c>
      <c r="K49" t="s">
        <v>3</v>
      </c>
      <c r="L49" s="2">
        <v>43191</v>
      </c>
      <c r="M49" s="2">
        <f>DHMXX[[#This Row],[INV DOC DATE]]+30</f>
        <v>43221</v>
      </c>
      <c r="N49" s="2">
        <v>43221</v>
      </c>
      <c r="O49" s="7">
        <v>172.5</v>
      </c>
      <c r="P49" s="2">
        <v>43227</v>
      </c>
      <c r="Q49" s="7">
        <f>$E49-$O49</f>
        <v>0</v>
      </c>
      <c r="R49" s="7" t="str">
        <f ca="1">IF(TODAY() - DHMXX[INV DUE DATE]&lt;30, "Less than 30 days",IF(TODAY()-DHMXX[INV DUE DATE]&lt;60,"30-60 days","More than 60 days"))</f>
        <v>More than 60 days</v>
      </c>
      <c r="S49" t="s">
        <v>1550</v>
      </c>
      <c r="T49" s="43" t="s">
        <v>2229</v>
      </c>
      <c r="U49" t="s">
        <v>3699</v>
      </c>
    </row>
    <row r="50" spans="1:21" x14ac:dyDescent="0.3">
      <c r="A50" t="s">
        <v>837</v>
      </c>
      <c r="B50" t="s">
        <v>30</v>
      </c>
      <c r="C50" t="s">
        <v>64</v>
      </c>
      <c r="D50" s="15">
        <v>1</v>
      </c>
      <c r="E50" s="7">
        <v>172.5</v>
      </c>
      <c r="H50">
        <v>3825</v>
      </c>
      <c r="I50" t="s">
        <v>845</v>
      </c>
      <c r="J50" t="s">
        <v>919</v>
      </c>
      <c r="K50" t="s">
        <v>3</v>
      </c>
      <c r="L50" s="2">
        <v>43191</v>
      </c>
      <c r="M50" s="2">
        <f>DHMXX[[#This Row],[INV DOC DATE]]+30</f>
        <v>43221</v>
      </c>
      <c r="N50" s="2">
        <v>43221</v>
      </c>
      <c r="O50" s="7">
        <v>172.5</v>
      </c>
      <c r="P50" s="2">
        <v>43227</v>
      </c>
      <c r="Q50" s="7">
        <f>$E50-$O50</f>
        <v>0</v>
      </c>
      <c r="R50" s="7" t="str">
        <f ca="1">IF(TODAY() - DHMXX[INV DUE DATE]&lt;30, "Less than 30 days",IF(TODAY()-DHMXX[INV DUE DATE]&lt;60,"30-60 days","More than 60 days"))</f>
        <v>More than 60 days</v>
      </c>
      <c r="S50" t="s">
        <v>1550</v>
      </c>
      <c r="T50" s="43" t="s">
        <v>2229</v>
      </c>
      <c r="U50" t="s">
        <v>3699</v>
      </c>
    </row>
    <row r="51" spans="1:21" x14ac:dyDescent="0.3">
      <c r="A51" t="s">
        <v>837</v>
      </c>
      <c r="B51" t="s">
        <v>30</v>
      </c>
      <c r="C51" t="s">
        <v>65</v>
      </c>
      <c r="D51" s="15">
        <v>1</v>
      </c>
      <c r="E51" s="7">
        <v>172.5</v>
      </c>
      <c r="H51">
        <v>3825</v>
      </c>
      <c r="I51" t="s">
        <v>845</v>
      </c>
      <c r="J51" t="s">
        <v>920</v>
      </c>
      <c r="K51" t="s">
        <v>3</v>
      </c>
      <c r="L51" s="2">
        <v>43191</v>
      </c>
      <c r="M51" s="2">
        <f>DHMXX[[#This Row],[INV DOC DATE]]+30</f>
        <v>43221</v>
      </c>
      <c r="N51" s="2">
        <v>43221</v>
      </c>
      <c r="O51" s="7">
        <v>172.5</v>
      </c>
      <c r="P51" s="2">
        <v>43227</v>
      </c>
      <c r="Q51" s="7">
        <f>$E51-$O51</f>
        <v>0</v>
      </c>
      <c r="R51" s="7" t="str">
        <f ca="1">IF(TODAY() - DHMXX[INV DUE DATE]&lt;30, "Less than 30 days",IF(TODAY()-DHMXX[INV DUE DATE]&lt;60,"30-60 days","More than 60 days"))</f>
        <v>More than 60 days</v>
      </c>
      <c r="S51" t="s">
        <v>1550</v>
      </c>
      <c r="T51" s="43" t="s">
        <v>2229</v>
      </c>
      <c r="U51" t="s">
        <v>3699</v>
      </c>
    </row>
    <row r="52" spans="1:21" x14ac:dyDescent="0.3">
      <c r="A52" t="s">
        <v>837</v>
      </c>
      <c r="B52" t="s">
        <v>30</v>
      </c>
      <c r="C52" t="s">
        <v>66</v>
      </c>
      <c r="D52" s="15">
        <v>1</v>
      </c>
      <c r="E52" s="7">
        <v>172.5</v>
      </c>
      <c r="H52">
        <v>3825</v>
      </c>
      <c r="I52" t="s">
        <v>845</v>
      </c>
      <c r="J52" t="s">
        <v>921</v>
      </c>
      <c r="K52" t="s">
        <v>3</v>
      </c>
      <c r="L52" s="2">
        <v>43191</v>
      </c>
      <c r="M52" s="2">
        <f>DHMXX[[#This Row],[INV DOC DATE]]+30</f>
        <v>43221</v>
      </c>
      <c r="N52" s="2">
        <v>43221</v>
      </c>
      <c r="O52" s="7">
        <v>172.5</v>
      </c>
      <c r="P52" s="2">
        <v>43227</v>
      </c>
      <c r="Q52" s="7">
        <f>$E52-$O52</f>
        <v>0</v>
      </c>
      <c r="R52" s="7" t="str">
        <f ca="1">IF(TODAY() - DHMXX[INV DUE DATE]&lt;30, "Less than 30 days",IF(TODAY()-DHMXX[INV DUE DATE]&lt;60,"30-60 days","More than 60 days"))</f>
        <v>More than 60 days</v>
      </c>
      <c r="S52" t="s">
        <v>1550</v>
      </c>
      <c r="T52" s="43" t="s">
        <v>2229</v>
      </c>
      <c r="U52" t="s">
        <v>3699</v>
      </c>
    </row>
    <row r="53" spans="1:21" x14ac:dyDescent="0.3">
      <c r="A53" t="s">
        <v>837</v>
      </c>
      <c r="B53" t="s">
        <v>30</v>
      </c>
      <c r="C53" t="s">
        <v>67</v>
      </c>
      <c r="D53" s="15">
        <v>1</v>
      </c>
      <c r="E53" s="7">
        <v>172.5</v>
      </c>
      <c r="H53">
        <v>3825</v>
      </c>
      <c r="I53" t="s">
        <v>845</v>
      </c>
      <c r="J53" t="s">
        <v>922</v>
      </c>
      <c r="K53" t="s">
        <v>3</v>
      </c>
      <c r="L53" s="2">
        <v>43191</v>
      </c>
      <c r="M53" s="2">
        <f>DHMXX[[#This Row],[INV DOC DATE]]+30</f>
        <v>43221</v>
      </c>
      <c r="N53" s="2">
        <v>43221</v>
      </c>
      <c r="O53" s="7">
        <v>172.5</v>
      </c>
      <c r="P53" s="2">
        <v>43227</v>
      </c>
      <c r="Q53" s="7">
        <f>$E53-$O53</f>
        <v>0</v>
      </c>
      <c r="R53" s="7" t="str">
        <f ca="1">IF(TODAY() - DHMXX[INV DUE DATE]&lt;30, "Less than 30 days",IF(TODAY()-DHMXX[INV DUE DATE]&lt;60,"30-60 days","More than 60 days"))</f>
        <v>More than 60 days</v>
      </c>
      <c r="S53" t="s">
        <v>1550</v>
      </c>
      <c r="T53" s="43" t="s">
        <v>2229</v>
      </c>
      <c r="U53" t="s">
        <v>3699</v>
      </c>
    </row>
    <row r="54" spans="1:21" x14ac:dyDescent="0.3">
      <c r="A54" t="s">
        <v>837</v>
      </c>
      <c r="B54" t="s">
        <v>30</v>
      </c>
      <c r="C54" t="s">
        <v>68</v>
      </c>
      <c r="D54" s="15">
        <v>1</v>
      </c>
      <c r="E54" s="7">
        <v>172.5</v>
      </c>
      <c r="H54">
        <v>54876</v>
      </c>
      <c r="I54" t="s">
        <v>841</v>
      </c>
      <c r="J54" t="s">
        <v>923</v>
      </c>
      <c r="K54" t="s">
        <v>3</v>
      </c>
      <c r="L54" s="2">
        <v>43191</v>
      </c>
      <c r="M54" s="2">
        <f>DHMXX[[#This Row],[INV DOC DATE]]+30</f>
        <v>43221</v>
      </c>
      <c r="N54" s="2">
        <v>43221</v>
      </c>
      <c r="O54" s="7">
        <v>172.5</v>
      </c>
      <c r="P54" s="2">
        <v>43227</v>
      </c>
      <c r="Q54" s="7">
        <f>$E54-$O54</f>
        <v>0</v>
      </c>
      <c r="R54" s="7" t="str">
        <f ca="1">IF(TODAY() - DHMXX[INV DUE DATE]&lt;30, "Less than 30 days",IF(TODAY()-DHMXX[INV DUE DATE]&lt;60,"30-60 days","More than 60 days"))</f>
        <v>More than 60 days</v>
      </c>
      <c r="S54" t="s">
        <v>1550</v>
      </c>
      <c r="T54" s="43" t="s">
        <v>2229</v>
      </c>
      <c r="U54" t="s">
        <v>3699</v>
      </c>
    </row>
    <row r="55" spans="1:21" x14ac:dyDescent="0.3">
      <c r="A55" t="s">
        <v>837</v>
      </c>
      <c r="B55" t="s">
        <v>30</v>
      </c>
      <c r="C55" t="s">
        <v>69</v>
      </c>
      <c r="D55" s="15">
        <v>1</v>
      </c>
      <c r="E55" s="7">
        <v>172.5</v>
      </c>
      <c r="H55">
        <v>54876</v>
      </c>
      <c r="I55" t="s">
        <v>841</v>
      </c>
      <c r="J55" t="s">
        <v>924</v>
      </c>
      <c r="K55" t="s">
        <v>3</v>
      </c>
      <c r="L55" s="2">
        <v>43191</v>
      </c>
      <c r="M55" s="2">
        <f>DHMXX[[#This Row],[INV DOC DATE]]+30</f>
        <v>43221</v>
      </c>
      <c r="N55" s="2">
        <v>43221</v>
      </c>
      <c r="O55" s="7">
        <v>172.5</v>
      </c>
      <c r="P55" s="2">
        <v>43227</v>
      </c>
      <c r="Q55" s="7">
        <f>$E55-$O55</f>
        <v>0</v>
      </c>
      <c r="R55" s="7" t="str">
        <f ca="1">IF(TODAY() - DHMXX[INV DUE DATE]&lt;30, "Less than 30 days",IF(TODAY()-DHMXX[INV DUE DATE]&lt;60,"30-60 days","More than 60 days"))</f>
        <v>More than 60 days</v>
      </c>
      <c r="S55" t="s">
        <v>1550</v>
      </c>
      <c r="T55" s="43" t="s">
        <v>2229</v>
      </c>
      <c r="U55" t="s">
        <v>3699</v>
      </c>
    </row>
    <row r="56" spans="1:21" x14ac:dyDescent="0.3">
      <c r="A56" t="s">
        <v>837</v>
      </c>
      <c r="B56" t="s">
        <v>30</v>
      </c>
      <c r="C56" t="s">
        <v>70</v>
      </c>
      <c r="D56" s="15">
        <v>1</v>
      </c>
      <c r="E56" s="7">
        <v>172.5</v>
      </c>
      <c r="H56">
        <v>55052</v>
      </c>
      <c r="I56" t="s">
        <v>353</v>
      </c>
      <c r="J56" t="s">
        <v>925</v>
      </c>
      <c r="K56" t="s">
        <v>3</v>
      </c>
      <c r="L56" s="2">
        <v>43191</v>
      </c>
      <c r="M56" s="2">
        <f>DHMXX[[#This Row],[INV DOC DATE]]+30</f>
        <v>43221</v>
      </c>
      <c r="N56" s="2">
        <v>43221</v>
      </c>
      <c r="O56" s="7">
        <v>172.5</v>
      </c>
      <c r="P56" s="2">
        <v>43227</v>
      </c>
      <c r="Q56" s="7">
        <f>$E56-$O56</f>
        <v>0</v>
      </c>
      <c r="R56" s="7" t="str">
        <f ca="1">IF(TODAY() - DHMXX[INV DUE DATE]&lt;30, "Less than 30 days",IF(TODAY()-DHMXX[INV DUE DATE]&lt;60,"30-60 days","More than 60 days"))</f>
        <v>More than 60 days</v>
      </c>
      <c r="S56" t="s">
        <v>1550</v>
      </c>
      <c r="T56" s="43" t="s">
        <v>2229</v>
      </c>
      <c r="U56" t="s">
        <v>3699</v>
      </c>
    </row>
    <row r="57" spans="1:21" x14ac:dyDescent="0.3">
      <c r="A57" t="s">
        <v>837</v>
      </c>
      <c r="B57" t="s">
        <v>30</v>
      </c>
      <c r="C57" t="s">
        <v>76</v>
      </c>
      <c r="D57" s="15">
        <v>1</v>
      </c>
      <c r="E57" s="7">
        <v>172.5</v>
      </c>
      <c r="H57">
        <v>55292</v>
      </c>
      <c r="I57" t="s">
        <v>353</v>
      </c>
      <c r="J57" t="s">
        <v>931</v>
      </c>
      <c r="K57" t="s">
        <v>3</v>
      </c>
      <c r="L57" s="2">
        <v>43191</v>
      </c>
      <c r="M57" s="2">
        <f>DHMXX[[#This Row],[INV DOC DATE]]+30</f>
        <v>43221</v>
      </c>
      <c r="N57" s="2">
        <v>43221</v>
      </c>
      <c r="O57" s="7">
        <v>172.5</v>
      </c>
      <c r="P57" s="2">
        <v>43227</v>
      </c>
      <c r="Q57" s="7">
        <f>$E57-$O57</f>
        <v>0</v>
      </c>
      <c r="R57" s="7" t="str">
        <f ca="1">IF(TODAY() - DHMXX[INV DUE DATE]&lt;30, "Less than 30 days",IF(TODAY()-DHMXX[INV DUE DATE]&lt;60,"30-60 days","More than 60 days"))</f>
        <v>More than 60 days</v>
      </c>
      <c r="S57" t="s">
        <v>1550</v>
      </c>
      <c r="T57" s="43" t="s">
        <v>2229</v>
      </c>
      <c r="U57" t="s">
        <v>3699</v>
      </c>
    </row>
    <row r="58" spans="1:21" x14ac:dyDescent="0.3">
      <c r="A58" t="s">
        <v>837</v>
      </c>
      <c r="B58" t="s">
        <v>30</v>
      </c>
      <c r="C58" t="s">
        <v>77</v>
      </c>
      <c r="D58" s="15">
        <v>1</v>
      </c>
      <c r="E58" s="7">
        <v>172.5</v>
      </c>
      <c r="H58">
        <v>55292</v>
      </c>
      <c r="I58" t="s">
        <v>353</v>
      </c>
      <c r="J58" t="s">
        <v>932</v>
      </c>
      <c r="K58" t="s">
        <v>3</v>
      </c>
      <c r="L58" s="2">
        <v>43191</v>
      </c>
      <c r="M58" s="2">
        <f>DHMXX[[#This Row],[INV DOC DATE]]+30</f>
        <v>43221</v>
      </c>
      <c r="N58" s="2">
        <v>43221</v>
      </c>
      <c r="O58" s="7">
        <v>172.5</v>
      </c>
      <c r="P58" s="2">
        <v>43227</v>
      </c>
      <c r="Q58" s="7">
        <f>$E58-$O58</f>
        <v>0</v>
      </c>
      <c r="R58" s="7" t="str">
        <f ca="1">IF(TODAY() - DHMXX[INV DUE DATE]&lt;30, "Less than 30 days",IF(TODAY()-DHMXX[INV DUE DATE]&lt;60,"30-60 days","More than 60 days"))</f>
        <v>More than 60 days</v>
      </c>
      <c r="S58" t="s">
        <v>1550</v>
      </c>
      <c r="T58" s="43" t="s">
        <v>2229</v>
      </c>
      <c r="U58" t="s">
        <v>3699</v>
      </c>
    </row>
    <row r="59" spans="1:21" x14ac:dyDescent="0.3">
      <c r="A59" t="s">
        <v>837</v>
      </c>
      <c r="B59" t="s">
        <v>30</v>
      </c>
      <c r="C59" t="s">
        <v>78</v>
      </c>
      <c r="D59" s="15">
        <v>1</v>
      </c>
      <c r="E59" s="7">
        <v>172.5</v>
      </c>
      <c r="H59">
        <v>55292</v>
      </c>
      <c r="I59" t="s">
        <v>353</v>
      </c>
      <c r="J59" t="s">
        <v>933</v>
      </c>
      <c r="K59" t="s">
        <v>3</v>
      </c>
      <c r="L59" s="2">
        <v>43191</v>
      </c>
      <c r="M59" s="2">
        <f>DHMXX[[#This Row],[INV DOC DATE]]+30</f>
        <v>43221</v>
      </c>
      <c r="N59" s="2">
        <v>43221</v>
      </c>
      <c r="O59" s="7">
        <v>172.5</v>
      </c>
      <c r="P59" s="2">
        <v>43227</v>
      </c>
      <c r="Q59" s="7">
        <f>$E59-$O59</f>
        <v>0</v>
      </c>
      <c r="R59" s="7" t="str">
        <f ca="1">IF(TODAY() - DHMXX[INV DUE DATE]&lt;30, "Less than 30 days",IF(TODAY()-DHMXX[INV DUE DATE]&lt;60,"30-60 days","More than 60 days"))</f>
        <v>More than 60 days</v>
      </c>
      <c r="S59" t="s">
        <v>1550</v>
      </c>
      <c r="T59" s="43" t="s">
        <v>2229</v>
      </c>
      <c r="U59" t="s">
        <v>3699</v>
      </c>
    </row>
    <row r="60" spans="1:21" x14ac:dyDescent="0.3">
      <c r="A60" t="s">
        <v>837</v>
      </c>
      <c r="B60" t="s">
        <v>30</v>
      </c>
      <c r="C60" t="s">
        <v>79</v>
      </c>
      <c r="D60" s="15">
        <v>1</v>
      </c>
      <c r="E60" s="7">
        <v>172.5</v>
      </c>
      <c r="H60">
        <v>55292</v>
      </c>
      <c r="I60" t="s">
        <v>353</v>
      </c>
      <c r="J60" t="s">
        <v>934</v>
      </c>
      <c r="K60" t="s">
        <v>3</v>
      </c>
      <c r="L60" s="2">
        <v>43191</v>
      </c>
      <c r="M60" s="2">
        <f>DHMXX[[#This Row],[INV DOC DATE]]+30</f>
        <v>43221</v>
      </c>
      <c r="N60" s="2">
        <v>43221</v>
      </c>
      <c r="O60" s="7">
        <v>172.5</v>
      </c>
      <c r="P60" s="2">
        <v>43227</v>
      </c>
      <c r="Q60" s="7">
        <f>$E60-$O60</f>
        <v>0</v>
      </c>
      <c r="R60" s="7" t="str">
        <f ca="1">IF(TODAY() - DHMXX[INV DUE DATE]&lt;30, "Less than 30 days",IF(TODAY()-DHMXX[INV DUE DATE]&lt;60,"30-60 days","More than 60 days"))</f>
        <v>More than 60 days</v>
      </c>
      <c r="S60" t="s">
        <v>1550</v>
      </c>
      <c r="T60" s="43" t="s">
        <v>2229</v>
      </c>
      <c r="U60" t="s">
        <v>3699</v>
      </c>
    </row>
    <row r="61" spans="1:21" x14ac:dyDescent="0.3">
      <c r="A61" t="s">
        <v>837</v>
      </c>
      <c r="B61" t="s">
        <v>30</v>
      </c>
      <c r="C61" t="s">
        <v>80</v>
      </c>
      <c r="D61" s="15">
        <v>1</v>
      </c>
      <c r="E61" s="7">
        <v>172.5</v>
      </c>
      <c r="H61">
        <v>55292</v>
      </c>
      <c r="I61" t="s">
        <v>353</v>
      </c>
      <c r="J61" t="s">
        <v>935</v>
      </c>
      <c r="K61" t="s">
        <v>3</v>
      </c>
      <c r="L61" s="2">
        <v>43191</v>
      </c>
      <c r="M61" s="2">
        <f>DHMXX[[#This Row],[INV DOC DATE]]+30</f>
        <v>43221</v>
      </c>
      <c r="N61" s="2">
        <v>43221</v>
      </c>
      <c r="O61" s="7">
        <v>172.5</v>
      </c>
      <c r="P61" s="2">
        <v>43227</v>
      </c>
      <c r="Q61" s="7">
        <f>$E61-$O61</f>
        <v>0</v>
      </c>
      <c r="R61" s="7" t="str">
        <f ca="1">IF(TODAY() - DHMXX[INV DUE DATE]&lt;30, "Less than 30 days",IF(TODAY()-DHMXX[INV DUE DATE]&lt;60,"30-60 days","More than 60 days"))</f>
        <v>More than 60 days</v>
      </c>
      <c r="S61" t="s">
        <v>1550</v>
      </c>
      <c r="T61" s="43" t="s">
        <v>2229</v>
      </c>
      <c r="U61" t="s">
        <v>3699</v>
      </c>
    </row>
    <row r="62" spans="1:21" x14ac:dyDescent="0.3">
      <c r="A62" t="s">
        <v>837</v>
      </c>
      <c r="B62" t="s">
        <v>30</v>
      </c>
      <c r="C62" t="s">
        <v>81</v>
      </c>
      <c r="D62" s="15">
        <v>1</v>
      </c>
      <c r="E62" s="7">
        <v>172.5</v>
      </c>
      <c r="H62">
        <v>55292</v>
      </c>
      <c r="I62" t="s">
        <v>353</v>
      </c>
      <c r="J62" t="s">
        <v>936</v>
      </c>
      <c r="K62" t="s">
        <v>3</v>
      </c>
      <c r="L62" s="2">
        <v>43191</v>
      </c>
      <c r="M62" s="2">
        <f>DHMXX[[#This Row],[INV DOC DATE]]+30</f>
        <v>43221</v>
      </c>
      <c r="N62" s="2">
        <v>43221</v>
      </c>
      <c r="O62" s="7">
        <v>172.5</v>
      </c>
      <c r="P62" s="2">
        <v>43227</v>
      </c>
      <c r="Q62" s="7">
        <f>$E62-$O62</f>
        <v>0</v>
      </c>
      <c r="R62" s="7" t="str">
        <f ca="1">IF(TODAY() - DHMXX[INV DUE DATE]&lt;30, "Less than 30 days",IF(TODAY()-DHMXX[INV DUE DATE]&lt;60,"30-60 days","More than 60 days"))</f>
        <v>More than 60 days</v>
      </c>
      <c r="S62" t="s">
        <v>1550</v>
      </c>
      <c r="T62" s="43" t="s">
        <v>2229</v>
      </c>
      <c r="U62" t="s">
        <v>3699</v>
      </c>
    </row>
    <row r="63" spans="1:21" x14ac:dyDescent="0.3">
      <c r="A63" t="s">
        <v>837</v>
      </c>
      <c r="B63" t="s">
        <v>30</v>
      </c>
      <c r="C63" t="s">
        <v>82</v>
      </c>
      <c r="D63" s="15">
        <v>1</v>
      </c>
      <c r="E63" s="7">
        <v>172.5</v>
      </c>
      <c r="H63">
        <v>55292</v>
      </c>
      <c r="I63" t="s">
        <v>353</v>
      </c>
      <c r="J63" t="s">
        <v>937</v>
      </c>
      <c r="K63" t="s">
        <v>3</v>
      </c>
      <c r="L63" s="2">
        <v>43191</v>
      </c>
      <c r="M63" s="2">
        <f>DHMXX[[#This Row],[INV DOC DATE]]+30</f>
        <v>43221</v>
      </c>
      <c r="N63" s="2">
        <v>43221</v>
      </c>
      <c r="O63" s="7">
        <v>172.5</v>
      </c>
      <c r="P63" s="2">
        <v>43227</v>
      </c>
      <c r="Q63" s="7">
        <f>$E63-$O63</f>
        <v>0</v>
      </c>
      <c r="R63" s="7" t="str">
        <f ca="1">IF(TODAY() - DHMXX[INV DUE DATE]&lt;30, "Less than 30 days",IF(TODAY()-DHMXX[INV DUE DATE]&lt;60,"30-60 days","More than 60 days"))</f>
        <v>More than 60 days</v>
      </c>
      <c r="S63" t="s">
        <v>1550</v>
      </c>
      <c r="T63" s="43" t="s">
        <v>2229</v>
      </c>
      <c r="U63" t="s">
        <v>3699</v>
      </c>
    </row>
    <row r="64" spans="1:21" x14ac:dyDescent="0.3">
      <c r="A64" t="s">
        <v>837</v>
      </c>
      <c r="B64" t="s">
        <v>30</v>
      </c>
      <c r="C64" t="s">
        <v>83</v>
      </c>
      <c r="D64" s="15">
        <v>1</v>
      </c>
      <c r="E64" s="7">
        <v>172.5</v>
      </c>
      <c r="H64">
        <v>55292</v>
      </c>
      <c r="I64" t="s">
        <v>353</v>
      </c>
      <c r="J64" t="s">
        <v>938</v>
      </c>
      <c r="K64" t="s">
        <v>3</v>
      </c>
      <c r="L64" s="2">
        <v>43191</v>
      </c>
      <c r="M64" s="2">
        <f>DHMXX[[#This Row],[INV DOC DATE]]+30</f>
        <v>43221</v>
      </c>
      <c r="N64" s="2">
        <v>43221</v>
      </c>
      <c r="O64" s="7">
        <v>172.5</v>
      </c>
      <c r="P64" s="2">
        <v>43227</v>
      </c>
      <c r="Q64" s="7">
        <f>$E64-$O64</f>
        <v>0</v>
      </c>
      <c r="R64" s="7" t="str">
        <f ca="1">IF(TODAY() - DHMXX[INV DUE DATE]&lt;30, "Less than 30 days",IF(TODAY()-DHMXX[INV DUE DATE]&lt;60,"30-60 days","More than 60 days"))</f>
        <v>More than 60 days</v>
      </c>
      <c r="S64" t="s">
        <v>1550</v>
      </c>
      <c r="T64" s="43" t="s">
        <v>2229</v>
      </c>
      <c r="U64" t="s">
        <v>3699</v>
      </c>
    </row>
    <row r="65" spans="1:21" x14ac:dyDescent="0.3">
      <c r="A65" t="s">
        <v>837</v>
      </c>
      <c r="B65" t="s">
        <v>30</v>
      </c>
      <c r="C65" t="s">
        <v>84</v>
      </c>
      <c r="D65" s="15">
        <v>1</v>
      </c>
      <c r="E65" s="7">
        <v>172.5</v>
      </c>
      <c r="H65">
        <v>55292</v>
      </c>
      <c r="I65" t="s">
        <v>353</v>
      </c>
      <c r="J65" t="s">
        <v>939</v>
      </c>
      <c r="K65" t="s">
        <v>3</v>
      </c>
      <c r="L65" s="2">
        <v>43191</v>
      </c>
      <c r="M65" s="2">
        <f>DHMXX[[#This Row],[INV DOC DATE]]+30</f>
        <v>43221</v>
      </c>
      <c r="N65" s="2">
        <v>43221</v>
      </c>
      <c r="O65" s="7">
        <v>172.5</v>
      </c>
      <c r="P65" s="2">
        <v>43227</v>
      </c>
      <c r="Q65" s="7">
        <f>$E65-$O65</f>
        <v>0</v>
      </c>
      <c r="R65" s="7" t="str">
        <f ca="1">IF(TODAY() - DHMXX[INV DUE DATE]&lt;30, "Less than 30 days",IF(TODAY()-DHMXX[INV DUE DATE]&lt;60,"30-60 days","More than 60 days"))</f>
        <v>More than 60 days</v>
      </c>
      <c r="S65" t="s">
        <v>1550</v>
      </c>
      <c r="T65" s="43" t="s">
        <v>2229</v>
      </c>
      <c r="U65" t="s">
        <v>3699</v>
      </c>
    </row>
    <row r="66" spans="1:21" x14ac:dyDescent="0.3">
      <c r="A66" t="s">
        <v>837</v>
      </c>
      <c r="B66" t="s">
        <v>30</v>
      </c>
      <c r="C66" t="s">
        <v>85</v>
      </c>
      <c r="D66" s="15">
        <v>1</v>
      </c>
      <c r="E66" s="7">
        <v>172.5</v>
      </c>
      <c r="H66">
        <v>55477</v>
      </c>
      <c r="I66" t="s">
        <v>846</v>
      </c>
      <c r="J66" t="s">
        <v>940</v>
      </c>
      <c r="K66" t="s">
        <v>3</v>
      </c>
      <c r="L66" s="2">
        <v>43191</v>
      </c>
      <c r="M66" s="2">
        <f>DHMXX[[#This Row],[INV DOC DATE]]+30</f>
        <v>43221</v>
      </c>
      <c r="N66" s="2">
        <v>43221</v>
      </c>
      <c r="O66" s="7">
        <v>172.5</v>
      </c>
      <c r="P66" s="2">
        <v>43227</v>
      </c>
      <c r="Q66" s="7">
        <f>$E66-$O66</f>
        <v>0</v>
      </c>
      <c r="R66" s="7" t="str">
        <f ca="1">IF(TODAY() - DHMXX[INV DUE DATE]&lt;30, "Less than 30 days",IF(TODAY()-DHMXX[INV DUE DATE]&lt;60,"30-60 days","More than 60 days"))</f>
        <v>More than 60 days</v>
      </c>
      <c r="S66" t="s">
        <v>1550</v>
      </c>
      <c r="T66" s="43" t="s">
        <v>2229</v>
      </c>
      <c r="U66" t="s">
        <v>3699</v>
      </c>
    </row>
    <row r="67" spans="1:21" x14ac:dyDescent="0.3">
      <c r="A67" t="s">
        <v>837</v>
      </c>
      <c r="B67" t="s">
        <v>30</v>
      </c>
      <c r="C67" t="s">
        <v>86</v>
      </c>
      <c r="D67" s="15">
        <v>1</v>
      </c>
      <c r="E67" s="7">
        <v>172.5</v>
      </c>
      <c r="H67">
        <v>55766</v>
      </c>
      <c r="I67" t="s">
        <v>847</v>
      </c>
      <c r="J67" t="s">
        <v>941</v>
      </c>
      <c r="K67" t="s">
        <v>3</v>
      </c>
      <c r="L67" s="2">
        <v>43191</v>
      </c>
      <c r="M67" s="2">
        <f>DHMXX[[#This Row],[INV DOC DATE]]+30</f>
        <v>43221</v>
      </c>
      <c r="N67" s="2">
        <v>43221</v>
      </c>
      <c r="O67" s="7">
        <v>172.5</v>
      </c>
      <c r="P67" s="2">
        <v>43227</v>
      </c>
      <c r="Q67" s="7">
        <f>$E67-$O67</f>
        <v>0</v>
      </c>
      <c r="R67" s="7" t="str">
        <f ca="1">IF(TODAY() - DHMXX[INV DUE DATE]&lt;30, "Less than 30 days",IF(TODAY()-DHMXX[INV DUE DATE]&lt;60,"30-60 days","More than 60 days"))</f>
        <v>More than 60 days</v>
      </c>
      <c r="S67" t="s">
        <v>1550</v>
      </c>
      <c r="T67" s="43" t="s">
        <v>2229</v>
      </c>
      <c r="U67" t="s">
        <v>3699</v>
      </c>
    </row>
    <row r="68" spans="1:21" x14ac:dyDescent="0.3">
      <c r="A68" t="s">
        <v>837</v>
      </c>
      <c r="B68" t="s">
        <v>30</v>
      </c>
      <c r="C68" t="s">
        <v>87</v>
      </c>
      <c r="D68" s="15">
        <v>1</v>
      </c>
      <c r="E68" s="7">
        <v>172.5</v>
      </c>
      <c r="H68">
        <v>55766</v>
      </c>
      <c r="I68" t="s">
        <v>847</v>
      </c>
      <c r="J68" t="s">
        <v>942</v>
      </c>
      <c r="K68" t="s">
        <v>3</v>
      </c>
      <c r="L68" s="2">
        <v>43191</v>
      </c>
      <c r="M68" s="2">
        <f>DHMXX[[#This Row],[INV DOC DATE]]+30</f>
        <v>43221</v>
      </c>
      <c r="N68" s="2">
        <v>43221</v>
      </c>
      <c r="O68" s="7">
        <v>172.5</v>
      </c>
      <c r="P68" s="2">
        <v>43227</v>
      </c>
      <c r="Q68" s="7">
        <f>$E68-$O68</f>
        <v>0</v>
      </c>
      <c r="R68" s="7" t="str">
        <f ca="1">IF(TODAY() - DHMXX[INV DUE DATE]&lt;30, "Less than 30 days",IF(TODAY()-DHMXX[INV DUE DATE]&lt;60,"30-60 days","More than 60 days"))</f>
        <v>More than 60 days</v>
      </c>
      <c r="S68" t="s">
        <v>1550</v>
      </c>
      <c r="T68" s="43" t="s">
        <v>2229</v>
      </c>
      <c r="U68" t="s">
        <v>3699</v>
      </c>
    </row>
    <row r="69" spans="1:21" x14ac:dyDescent="0.3">
      <c r="A69" t="s">
        <v>837</v>
      </c>
      <c r="B69" t="s">
        <v>30</v>
      </c>
      <c r="C69" t="s">
        <v>88</v>
      </c>
      <c r="D69" s="15">
        <v>1</v>
      </c>
      <c r="E69" s="7">
        <v>172.5</v>
      </c>
      <c r="H69">
        <v>55766</v>
      </c>
      <c r="I69" t="s">
        <v>847</v>
      </c>
      <c r="J69" t="s">
        <v>943</v>
      </c>
      <c r="K69" t="s">
        <v>3</v>
      </c>
      <c r="L69" s="2">
        <v>43191</v>
      </c>
      <c r="M69" s="2">
        <f>DHMXX[[#This Row],[INV DOC DATE]]+30</f>
        <v>43221</v>
      </c>
      <c r="N69" s="2">
        <v>43221</v>
      </c>
      <c r="O69" s="7">
        <v>172.5</v>
      </c>
      <c r="P69" s="2">
        <v>43227</v>
      </c>
      <c r="Q69" s="7">
        <f>$E69-$O69</f>
        <v>0</v>
      </c>
      <c r="R69" s="7" t="str">
        <f ca="1">IF(TODAY() - DHMXX[INV DUE DATE]&lt;30, "Less than 30 days",IF(TODAY()-DHMXX[INV DUE DATE]&lt;60,"30-60 days","More than 60 days"))</f>
        <v>More than 60 days</v>
      </c>
      <c r="S69" t="s">
        <v>1550</v>
      </c>
      <c r="T69" s="43" t="s">
        <v>2229</v>
      </c>
      <c r="U69" t="s">
        <v>3699</v>
      </c>
    </row>
    <row r="70" spans="1:21" x14ac:dyDescent="0.3">
      <c r="A70" t="s">
        <v>837</v>
      </c>
      <c r="B70" t="s">
        <v>30</v>
      </c>
      <c r="C70" t="s">
        <v>89</v>
      </c>
      <c r="D70" s="15">
        <v>1</v>
      </c>
      <c r="E70" s="7">
        <v>172.5</v>
      </c>
      <c r="H70">
        <v>55785</v>
      </c>
      <c r="I70" t="s">
        <v>354</v>
      </c>
      <c r="J70" t="s">
        <v>944</v>
      </c>
      <c r="K70" t="s">
        <v>3</v>
      </c>
      <c r="L70" s="2">
        <v>43191</v>
      </c>
      <c r="M70" s="2">
        <f>DHMXX[[#This Row],[INV DOC DATE]]+30</f>
        <v>43221</v>
      </c>
      <c r="N70" s="2">
        <v>43221</v>
      </c>
      <c r="O70" s="7">
        <v>172.5</v>
      </c>
      <c r="P70" s="2">
        <v>43227</v>
      </c>
      <c r="Q70" s="7">
        <f>$E70-$O70</f>
        <v>0</v>
      </c>
      <c r="R70" s="7" t="str">
        <f ca="1">IF(TODAY() - DHMXX[INV DUE DATE]&lt;30, "Less than 30 days",IF(TODAY()-DHMXX[INV DUE DATE]&lt;60,"30-60 days","More than 60 days"))</f>
        <v>More than 60 days</v>
      </c>
      <c r="S70" t="s">
        <v>1550</v>
      </c>
      <c r="T70" s="43" t="s">
        <v>2229</v>
      </c>
      <c r="U70" t="s">
        <v>3699</v>
      </c>
    </row>
    <row r="71" spans="1:21" x14ac:dyDescent="0.3">
      <c r="A71" t="s">
        <v>837</v>
      </c>
      <c r="B71" t="s">
        <v>30</v>
      </c>
      <c r="C71" t="s">
        <v>90</v>
      </c>
      <c r="D71" s="15">
        <v>1</v>
      </c>
      <c r="E71" s="7">
        <v>172.5</v>
      </c>
      <c r="H71">
        <v>56539</v>
      </c>
      <c r="I71" t="s">
        <v>848</v>
      </c>
      <c r="J71" t="s">
        <v>945</v>
      </c>
      <c r="K71" t="s">
        <v>3</v>
      </c>
      <c r="L71" s="2">
        <v>43191</v>
      </c>
      <c r="M71" s="2">
        <f>DHMXX[[#This Row],[INV DOC DATE]]+30</f>
        <v>43221</v>
      </c>
      <c r="N71" s="2">
        <v>43221</v>
      </c>
      <c r="O71" s="7">
        <v>172.5</v>
      </c>
      <c r="P71" s="2">
        <v>43227</v>
      </c>
      <c r="Q71" s="7">
        <f>$E71-$O71</f>
        <v>0</v>
      </c>
      <c r="R71" s="7" t="str">
        <f ca="1">IF(TODAY() - DHMXX[INV DUE DATE]&lt;30, "Less than 30 days",IF(TODAY()-DHMXX[INV DUE DATE]&lt;60,"30-60 days","More than 60 days"))</f>
        <v>More than 60 days</v>
      </c>
      <c r="S71" t="s">
        <v>1550</v>
      </c>
      <c r="T71" s="43" t="s">
        <v>2229</v>
      </c>
      <c r="U71" t="s">
        <v>3699</v>
      </c>
    </row>
    <row r="72" spans="1:21" x14ac:dyDescent="0.3">
      <c r="A72" t="s">
        <v>837</v>
      </c>
      <c r="B72" t="s">
        <v>30</v>
      </c>
      <c r="C72" t="s">
        <v>91</v>
      </c>
      <c r="D72" s="15">
        <v>1</v>
      </c>
      <c r="E72" s="7">
        <v>172.5</v>
      </c>
      <c r="H72">
        <v>56539</v>
      </c>
      <c r="I72" t="s">
        <v>848</v>
      </c>
      <c r="J72" t="s">
        <v>946</v>
      </c>
      <c r="K72" t="s">
        <v>3</v>
      </c>
      <c r="L72" s="2">
        <v>43191</v>
      </c>
      <c r="M72" s="2">
        <f>DHMXX[[#This Row],[INV DOC DATE]]+30</f>
        <v>43221</v>
      </c>
      <c r="N72" s="2">
        <v>43221</v>
      </c>
      <c r="O72" s="7">
        <v>172.5</v>
      </c>
      <c r="P72" s="2">
        <v>43227</v>
      </c>
      <c r="Q72" s="7">
        <f>$E72-$O72</f>
        <v>0</v>
      </c>
      <c r="R72" s="7" t="str">
        <f ca="1">IF(TODAY() - DHMXX[INV DUE DATE]&lt;30, "Less than 30 days",IF(TODAY()-DHMXX[INV DUE DATE]&lt;60,"30-60 days","More than 60 days"))</f>
        <v>More than 60 days</v>
      </c>
      <c r="S72" t="s">
        <v>1550</v>
      </c>
      <c r="T72" s="43" t="s">
        <v>2229</v>
      </c>
      <c r="U72" t="s">
        <v>3699</v>
      </c>
    </row>
    <row r="73" spans="1:21" x14ac:dyDescent="0.3">
      <c r="A73" t="s">
        <v>837</v>
      </c>
      <c r="B73" t="s">
        <v>30</v>
      </c>
      <c r="C73" t="s">
        <v>92</v>
      </c>
      <c r="D73" s="15">
        <v>1</v>
      </c>
      <c r="E73" s="7">
        <v>172.5</v>
      </c>
      <c r="H73">
        <v>56539</v>
      </c>
      <c r="I73" t="s">
        <v>848</v>
      </c>
      <c r="J73" t="s">
        <v>947</v>
      </c>
      <c r="K73" t="s">
        <v>3</v>
      </c>
      <c r="L73" s="2">
        <v>43191</v>
      </c>
      <c r="M73" s="2">
        <f>DHMXX[[#This Row],[INV DOC DATE]]+30</f>
        <v>43221</v>
      </c>
      <c r="N73" s="2">
        <v>43221</v>
      </c>
      <c r="O73" s="7">
        <v>172.5</v>
      </c>
      <c r="P73" s="2">
        <v>43227</v>
      </c>
      <c r="Q73" s="7">
        <f>$E73-$O73</f>
        <v>0</v>
      </c>
      <c r="R73" s="7" t="str">
        <f ca="1">IF(TODAY() - DHMXX[INV DUE DATE]&lt;30, "Less than 30 days",IF(TODAY()-DHMXX[INV DUE DATE]&lt;60,"30-60 days","More than 60 days"))</f>
        <v>More than 60 days</v>
      </c>
      <c r="S73" t="s">
        <v>1550</v>
      </c>
      <c r="T73" s="43" t="s">
        <v>2229</v>
      </c>
      <c r="U73" t="s">
        <v>3699</v>
      </c>
    </row>
    <row r="74" spans="1:21" x14ac:dyDescent="0.3">
      <c r="A74" t="s">
        <v>837</v>
      </c>
      <c r="B74" t="s">
        <v>30</v>
      </c>
      <c r="C74" t="s">
        <v>30</v>
      </c>
      <c r="D74" s="15">
        <v>1</v>
      </c>
      <c r="E74" s="7">
        <v>172.5</v>
      </c>
      <c r="H74">
        <v>56774</v>
      </c>
      <c r="I74" t="s">
        <v>849</v>
      </c>
      <c r="J74" t="s">
        <v>948</v>
      </c>
      <c r="K74" t="s">
        <v>3</v>
      </c>
      <c r="L74" s="2">
        <v>43191</v>
      </c>
      <c r="M74" s="2">
        <f>DHMXX[[#This Row],[INV DOC DATE]]+30</f>
        <v>43221</v>
      </c>
      <c r="N74" s="2">
        <v>43221</v>
      </c>
      <c r="O74" s="7">
        <v>172.5</v>
      </c>
      <c r="P74" s="2">
        <v>43227</v>
      </c>
      <c r="Q74" s="7">
        <f>$E74-$O74</f>
        <v>0</v>
      </c>
      <c r="R74" s="7" t="str">
        <f ca="1">IF(TODAY() - DHMXX[INV DUE DATE]&lt;30, "Less than 30 days",IF(TODAY()-DHMXX[INV DUE DATE]&lt;60,"30-60 days","More than 60 days"))</f>
        <v>More than 60 days</v>
      </c>
      <c r="S74" t="s">
        <v>1550</v>
      </c>
      <c r="T74" s="43" t="s">
        <v>2229</v>
      </c>
      <c r="U74" t="s">
        <v>3699</v>
      </c>
    </row>
    <row r="75" spans="1:21" x14ac:dyDescent="0.3">
      <c r="A75" t="s">
        <v>837</v>
      </c>
      <c r="B75" t="s">
        <v>30</v>
      </c>
      <c r="C75" t="s">
        <v>93</v>
      </c>
      <c r="D75" s="15">
        <v>1</v>
      </c>
      <c r="E75" s="7">
        <v>420</v>
      </c>
      <c r="H75">
        <v>56774</v>
      </c>
      <c r="I75" t="s">
        <v>849</v>
      </c>
      <c r="J75" t="s">
        <v>949</v>
      </c>
      <c r="K75" t="s">
        <v>3</v>
      </c>
      <c r="L75" s="2">
        <v>43191</v>
      </c>
      <c r="M75" s="2">
        <f>DHMXX[[#This Row],[INV DOC DATE]]+30</f>
        <v>43221</v>
      </c>
      <c r="N75" s="2">
        <v>43221</v>
      </c>
      <c r="O75" s="7">
        <v>420</v>
      </c>
      <c r="P75" s="2">
        <v>43227</v>
      </c>
      <c r="Q75" s="7">
        <f>$E75-$O75</f>
        <v>0</v>
      </c>
      <c r="R75" s="7" t="str">
        <f ca="1">IF(TODAY() - DHMXX[INV DUE DATE]&lt;30, "Less than 30 days",IF(TODAY()-DHMXX[INV DUE DATE]&lt;60,"30-60 days","More than 60 days"))</f>
        <v>More than 60 days</v>
      </c>
      <c r="S75" t="s">
        <v>1550</v>
      </c>
      <c r="T75" s="43" t="s">
        <v>2229</v>
      </c>
      <c r="U75" t="s">
        <v>3699</v>
      </c>
    </row>
    <row r="76" spans="1:21" x14ac:dyDescent="0.3">
      <c r="A76" t="s">
        <v>837</v>
      </c>
      <c r="B76" t="s">
        <v>30</v>
      </c>
      <c r="C76" t="s">
        <v>94</v>
      </c>
      <c r="D76" s="15">
        <v>1</v>
      </c>
      <c r="E76" s="7">
        <v>420</v>
      </c>
      <c r="H76">
        <v>56774</v>
      </c>
      <c r="I76" t="s">
        <v>849</v>
      </c>
      <c r="J76" t="s">
        <v>950</v>
      </c>
      <c r="K76" t="s">
        <v>3</v>
      </c>
      <c r="L76" s="2">
        <v>43191</v>
      </c>
      <c r="M76" s="2">
        <f>DHMXX[[#This Row],[INV DOC DATE]]+30</f>
        <v>43221</v>
      </c>
      <c r="N76" s="2">
        <v>43221</v>
      </c>
      <c r="O76" s="7">
        <v>420</v>
      </c>
      <c r="P76" s="2">
        <v>43227</v>
      </c>
      <c r="Q76" s="7">
        <f>$E76-$O76</f>
        <v>0</v>
      </c>
      <c r="R76" s="7" t="str">
        <f ca="1">IF(TODAY() - DHMXX[INV DUE DATE]&lt;30, "Less than 30 days",IF(TODAY()-DHMXX[INV DUE DATE]&lt;60,"30-60 days","More than 60 days"))</f>
        <v>More than 60 days</v>
      </c>
      <c r="S76" t="s">
        <v>1550</v>
      </c>
      <c r="T76" s="43" t="s">
        <v>2229</v>
      </c>
      <c r="U76" t="s">
        <v>3699</v>
      </c>
    </row>
    <row r="77" spans="1:21" x14ac:dyDescent="0.3">
      <c r="A77" t="s">
        <v>837</v>
      </c>
      <c r="B77" t="s">
        <v>30</v>
      </c>
      <c r="C77" t="s">
        <v>95</v>
      </c>
      <c r="D77" s="15">
        <v>1</v>
      </c>
      <c r="E77" s="7">
        <v>420</v>
      </c>
      <c r="H77">
        <v>56774</v>
      </c>
      <c r="I77" t="s">
        <v>849</v>
      </c>
      <c r="J77" t="s">
        <v>951</v>
      </c>
      <c r="K77" t="s">
        <v>3</v>
      </c>
      <c r="L77" s="2">
        <v>43191</v>
      </c>
      <c r="M77" s="2">
        <f>DHMXX[[#This Row],[INV DOC DATE]]+30</f>
        <v>43221</v>
      </c>
      <c r="N77" s="2">
        <v>43221</v>
      </c>
      <c r="O77" s="7">
        <v>420</v>
      </c>
      <c r="P77" s="2">
        <v>43227</v>
      </c>
      <c r="Q77" s="7">
        <f>$E77-$O77</f>
        <v>0</v>
      </c>
      <c r="R77" s="7" t="str">
        <f ca="1">IF(TODAY() - DHMXX[INV DUE DATE]&lt;30, "Less than 30 days",IF(TODAY()-DHMXX[INV DUE DATE]&lt;60,"30-60 days","More than 60 days"))</f>
        <v>More than 60 days</v>
      </c>
      <c r="S77" t="s">
        <v>1550</v>
      </c>
      <c r="T77" s="43" t="s">
        <v>2229</v>
      </c>
      <c r="U77" t="s">
        <v>3699</v>
      </c>
    </row>
    <row r="78" spans="1:21" x14ac:dyDescent="0.3">
      <c r="A78" t="s">
        <v>837</v>
      </c>
      <c r="B78" t="s">
        <v>30</v>
      </c>
      <c r="C78" t="s">
        <v>96</v>
      </c>
      <c r="D78" s="15">
        <v>1</v>
      </c>
      <c r="E78" s="7">
        <v>172.5</v>
      </c>
      <c r="H78">
        <v>58008</v>
      </c>
      <c r="I78" t="s">
        <v>355</v>
      </c>
      <c r="J78" t="s">
        <v>952</v>
      </c>
      <c r="K78" t="s">
        <v>3</v>
      </c>
      <c r="L78" s="2">
        <v>43191</v>
      </c>
      <c r="M78" s="2">
        <f>DHMXX[[#This Row],[INV DOC DATE]]+30</f>
        <v>43221</v>
      </c>
      <c r="N78" s="2">
        <v>43221</v>
      </c>
      <c r="O78" s="7">
        <v>172.5</v>
      </c>
      <c r="P78" s="2">
        <v>43227</v>
      </c>
      <c r="Q78" s="7">
        <f>$E78-$O78</f>
        <v>0</v>
      </c>
      <c r="R78" s="7" t="str">
        <f ca="1">IF(TODAY() - DHMXX[INV DUE DATE]&lt;30, "Less than 30 days",IF(TODAY()-DHMXX[INV DUE DATE]&lt;60,"30-60 days","More than 60 days"))</f>
        <v>More than 60 days</v>
      </c>
      <c r="S78" t="s">
        <v>1550</v>
      </c>
      <c r="T78" s="43" t="s">
        <v>2229</v>
      </c>
      <c r="U78" t="s">
        <v>3699</v>
      </c>
    </row>
    <row r="79" spans="1:21" x14ac:dyDescent="0.3">
      <c r="A79" t="s">
        <v>837</v>
      </c>
      <c r="B79" t="s">
        <v>30</v>
      </c>
      <c r="C79" t="s">
        <v>97</v>
      </c>
      <c r="D79" s="15">
        <v>1</v>
      </c>
      <c r="E79" s="7">
        <v>172.5</v>
      </c>
      <c r="H79">
        <v>59994</v>
      </c>
      <c r="I79" t="s">
        <v>850</v>
      </c>
      <c r="J79" t="s">
        <v>953</v>
      </c>
      <c r="K79" t="s">
        <v>3</v>
      </c>
      <c r="L79" s="2">
        <v>43191</v>
      </c>
      <c r="M79" s="2">
        <f>DHMXX[[#This Row],[INV DOC DATE]]+30</f>
        <v>43221</v>
      </c>
      <c r="N79" s="2">
        <v>43221</v>
      </c>
      <c r="O79" s="7">
        <v>172.5</v>
      </c>
      <c r="P79" s="2">
        <v>43227</v>
      </c>
      <c r="Q79" s="7">
        <f>$E79-$O79</f>
        <v>0</v>
      </c>
      <c r="R79" s="7" t="str">
        <f ca="1">IF(TODAY() - DHMXX[INV DUE DATE]&lt;30, "Less than 30 days",IF(TODAY()-DHMXX[INV DUE DATE]&lt;60,"30-60 days","More than 60 days"))</f>
        <v>More than 60 days</v>
      </c>
      <c r="S79" t="s">
        <v>1550</v>
      </c>
      <c r="T79" s="43" t="s">
        <v>2229</v>
      </c>
      <c r="U79" t="s">
        <v>3699</v>
      </c>
    </row>
    <row r="80" spans="1:21" x14ac:dyDescent="0.3">
      <c r="A80" t="s">
        <v>837</v>
      </c>
      <c r="B80" t="s">
        <v>30</v>
      </c>
      <c r="C80" t="s">
        <v>98</v>
      </c>
      <c r="D80" s="15">
        <v>1</v>
      </c>
      <c r="E80" s="7">
        <v>172.5</v>
      </c>
      <c r="H80">
        <v>64179</v>
      </c>
      <c r="I80" t="s">
        <v>845</v>
      </c>
      <c r="J80" t="s">
        <v>954</v>
      </c>
      <c r="K80" t="s">
        <v>3</v>
      </c>
      <c r="L80" s="2">
        <v>43191</v>
      </c>
      <c r="M80" s="2">
        <f>DHMXX[[#This Row],[INV DOC DATE]]+30</f>
        <v>43221</v>
      </c>
      <c r="N80" s="2">
        <v>43221</v>
      </c>
      <c r="O80" s="7">
        <v>172.5</v>
      </c>
      <c r="P80" s="2">
        <v>43227</v>
      </c>
      <c r="Q80" s="7">
        <f>$E80-$O80</f>
        <v>0</v>
      </c>
      <c r="R80" s="7" t="str">
        <f ca="1">IF(TODAY() - DHMXX[INV DUE DATE]&lt;30, "Less than 30 days",IF(TODAY()-DHMXX[INV DUE DATE]&lt;60,"30-60 days","More than 60 days"))</f>
        <v>More than 60 days</v>
      </c>
      <c r="S80" t="s">
        <v>1550</v>
      </c>
      <c r="T80" s="43" t="s">
        <v>2229</v>
      </c>
      <c r="U80" t="s">
        <v>3699</v>
      </c>
    </row>
    <row r="81" spans="1:21" x14ac:dyDescent="0.3">
      <c r="A81" t="s">
        <v>837</v>
      </c>
      <c r="B81" t="s">
        <v>30</v>
      </c>
      <c r="C81" t="s">
        <v>99</v>
      </c>
      <c r="D81" s="15">
        <v>1</v>
      </c>
      <c r="E81" s="7">
        <v>172.5</v>
      </c>
      <c r="H81">
        <v>66343</v>
      </c>
      <c r="I81" t="s">
        <v>353</v>
      </c>
      <c r="J81" t="s">
        <v>955</v>
      </c>
      <c r="K81" t="s">
        <v>3</v>
      </c>
      <c r="L81" s="2">
        <v>43191</v>
      </c>
      <c r="M81" s="2">
        <f>DHMXX[[#This Row],[INV DOC DATE]]+30</f>
        <v>43221</v>
      </c>
      <c r="N81" s="2">
        <v>43221</v>
      </c>
      <c r="O81" s="7">
        <v>172.5</v>
      </c>
      <c r="P81" s="2">
        <v>43227</v>
      </c>
      <c r="Q81" s="7">
        <f>$E81-$O81</f>
        <v>0</v>
      </c>
      <c r="R81" s="7" t="str">
        <f ca="1">IF(TODAY() - DHMXX[INV DUE DATE]&lt;30, "Less than 30 days",IF(TODAY()-DHMXX[INV DUE DATE]&lt;60,"30-60 days","More than 60 days"))</f>
        <v>More than 60 days</v>
      </c>
      <c r="S81" t="s">
        <v>1550</v>
      </c>
      <c r="T81" s="43" t="s">
        <v>2229</v>
      </c>
      <c r="U81" t="s">
        <v>3699</v>
      </c>
    </row>
    <row r="82" spans="1:21" x14ac:dyDescent="0.3">
      <c r="A82" t="s">
        <v>837</v>
      </c>
      <c r="B82" t="s">
        <v>30</v>
      </c>
      <c r="C82" t="s">
        <v>100</v>
      </c>
      <c r="D82" s="15">
        <v>1</v>
      </c>
      <c r="E82" s="7">
        <v>172.5</v>
      </c>
      <c r="H82">
        <v>66343</v>
      </c>
      <c r="I82" t="s">
        <v>353</v>
      </c>
      <c r="J82" t="s">
        <v>956</v>
      </c>
      <c r="K82" t="s">
        <v>3</v>
      </c>
      <c r="L82" s="2">
        <v>43191</v>
      </c>
      <c r="M82" s="2">
        <f>DHMXX[[#This Row],[INV DOC DATE]]+30</f>
        <v>43221</v>
      </c>
      <c r="N82" s="2">
        <v>43221</v>
      </c>
      <c r="O82" s="7">
        <v>172.5</v>
      </c>
      <c r="P82" s="2">
        <v>43227</v>
      </c>
      <c r="Q82" s="7">
        <f>$E82-$O82</f>
        <v>0</v>
      </c>
      <c r="R82" s="7" t="str">
        <f ca="1">IF(TODAY() - DHMXX[INV DUE DATE]&lt;30, "Less than 30 days",IF(TODAY()-DHMXX[INV DUE DATE]&lt;60,"30-60 days","More than 60 days"))</f>
        <v>More than 60 days</v>
      </c>
      <c r="S82" t="s">
        <v>1550</v>
      </c>
      <c r="T82" s="43" t="s">
        <v>2229</v>
      </c>
      <c r="U82" t="s">
        <v>3699</v>
      </c>
    </row>
    <row r="83" spans="1:21" x14ac:dyDescent="0.3">
      <c r="A83" t="s">
        <v>837</v>
      </c>
      <c r="B83" t="s">
        <v>30</v>
      </c>
      <c r="C83" t="s">
        <v>101</v>
      </c>
      <c r="D83" s="15">
        <v>1</v>
      </c>
      <c r="E83" s="7">
        <v>172.5</v>
      </c>
      <c r="H83">
        <v>66652</v>
      </c>
      <c r="I83" t="s">
        <v>356</v>
      </c>
      <c r="J83" t="s">
        <v>957</v>
      </c>
      <c r="K83" t="s">
        <v>3</v>
      </c>
      <c r="L83" s="2">
        <v>43191</v>
      </c>
      <c r="M83" s="2">
        <f>DHMXX[[#This Row],[INV DOC DATE]]+30</f>
        <v>43221</v>
      </c>
      <c r="N83" s="2">
        <v>43221</v>
      </c>
      <c r="O83" s="7">
        <v>172.5</v>
      </c>
      <c r="P83" s="2">
        <v>43227</v>
      </c>
      <c r="Q83" s="7">
        <f>$E83-$O83</f>
        <v>0</v>
      </c>
      <c r="R83" s="7" t="str">
        <f ca="1">IF(TODAY() - DHMXX[INV DUE DATE]&lt;30, "Less than 30 days",IF(TODAY()-DHMXX[INV DUE DATE]&lt;60,"30-60 days","More than 60 days"))</f>
        <v>More than 60 days</v>
      </c>
      <c r="S83" t="s">
        <v>1550</v>
      </c>
      <c r="T83" s="43" t="s">
        <v>2229</v>
      </c>
      <c r="U83" t="s">
        <v>3699</v>
      </c>
    </row>
    <row r="84" spans="1:21" x14ac:dyDescent="0.3">
      <c r="A84" t="s">
        <v>837</v>
      </c>
      <c r="B84" t="s">
        <v>30</v>
      </c>
      <c r="C84" t="s">
        <v>102</v>
      </c>
      <c r="D84" s="15">
        <v>1</v>
      </c>
      <c r="E84" s="7">
        <v>172.5</v>
      </c>
      <c r="H84">
        <v>66988</v>
      </c>
      <c r="I84" t="s">
        <v>349</v>
      </c>
      <c r="J84" t="s">
        <v>958</v>
      </c>
      <c r="K84" t="s">
        <v>3</v>
      </c>
      <c r="L84" s="2">
        <v>43191</v>
      </c>
      <c r="M84" s="2">
        <f>DHMXX[[#This Row],[INV DOC DATE]]+30</f>
        <v>43221</v>
      </c>
      <c r="N84" s="2">
        <v>43221</v>
      </c>
      <c r="O84" s="7">
        <v>172.5</v>
      </c>
      <c r="P84" s="2">
        <v>43227</v>
      </c>
      <c r="Q84" s="7">
        <f>$E84-$O84</f>
        <v>0</v>
      </c>
      <c r="R84" s="7" t="str">
        <f ca="1">IF(TODAY() - DHMXX[INV DUE DATE]&lt;30, "Less than 30 days",IF(TODAY()-DHMXX[INV DUE DATE]&lt;60,"30-60 days","More than 60 days"))</f>
        <v>More than 60 days</v>
      </c>
      <c r="S84" t="s">
        <v>1550</v>
      </c>
      <c r="T84" s="43" t="s">
        <v>2229</v>
      </c>
      <c r="U84" t="s">
        <v>3699</v>
      </c>
    </row>
    <row r="85" spans="1:21" x14ac:dyDescent="0.3">
      <c r="A85" t="s">
        <v>837</v>
      </c>
      <c r="B85" t="s">
        <v>30</v>
      </c>
      <c r="C85" t="s">
        <v>103</v>
      </c>
      <c r="D85" s="15">
        <v>1</v>
      </c>
      <c r="E85" s="7">
        <v>465</v>
      </c>
      <c r="H85">
        <v>67865</v>
      </c>
      <c r="I85" t="s">
        <v>349</v>
      </c>
      <c r="J85" t="s">
        <v>959</v>
      </c>
      <c r="K85" t="s">
        <v>3</v>
      </c>
      <c r="L85" s="2">
        <v>43191</v>
      </c>
      <c r="M85" s="2">
        <f>DHMXX[[#This Row],[INV DOC DATE]]+30</f>
        <v>43221</v>
      </c>
      <c r="N85" s="2">
        <v>43221</v>
      </c>
      <c r="O85" s="7">
        <v>465</v>
      </c>
      <c r="P85" s="2">
        <v>43227</v>
      </c>
      <c r="Q85" s="7">
        <f>$E85-$O85</f>
        <v>0</v>
      </c>
      <c r="R85" s="7" t="str">
        <f ca="1">IF(TODAY() - DHMXX[INV DUE DATE]&lt;30, "Less than 30 days",IF(TODAY()-DHMXX[INV DUE DATE]&lt;60,"30-60 days","More than 60 days"))</f>
        <v>More than 60 days</v>
      </c>
      <c r="S85" t="s">
        <v>1550</v>
      </c>
      <c r="T85" s="43" t="s">
        <v>2229</v>
      </c>
      <c r="U85" t="s">
        <v>3699</v>
      </c>
    </row>
    <row r="86" spans="1:21" x14ac:dyDescent="0.3">
      <c r="A86" t="s">
        <v>837</v>
      </c>
      <c r="B86" t="s">
        <v>30</v>
      </c>
      <c r="C86" t="s">
        <v>104</v>
      </c>
      <c r="D86" s="15">
        <v>1</v>
      </c>
      <c r="E86" s="7">
        <v>465</v>
      </c>
      <c r="H86">
        <v>67865</v>
      </c>
      <c r="I86" t="s">
        <v>349</v>
      </c>
      <c r="J86" t="s">
        <v>960</v>
      </c>
      <c r="K86" t="s">
        <v>3</v>
      </c>
      <c r="L86" s="2">
        <v>43191</v>
      </c>
      <c r="M86" s="2">
        <f>DHMXX[[#This Row],[INV DOC DATE]]+30</f>
        <v>43221</v>
      </c>
      <c r="N86" s="2">
        <v>43221</v>
      </c>
      <c r="O86" s="7">
        <v>465</v>
      </c>
      <c r="P86" s="2">
        <v>43227</v>
      </c>
      <c r="Q86" s="7">
        <f>$E86-$O86</f>
        <v>0</v>
      </c>
      <c r="R86" s="7" t="str">
        <f ca="1">IF(TODAY() - DHMXX[INV DUE DATE]&lt;30, "Less than 30 days",IF(TODAY()-DHMXX[INV DUE DATE]&lt;60,"30-60 days","More than 60 days"))</f>
        <v>More than 60 days</v>
      </c>
      <c r="S86" t="s">
        <v>1550</v>
      </c>
      <c r="T86" s="43" t="s">
        <v>2229</v>
      </c>
      <c r="U86" t="s">
        <v>3699</v>
      </c>
    </row>
    <row r="87" spans="1:21" x14ac:dyDescent="0.3">
      <c r="A87" t="s">
        <v>837</v>
      </c>
      <c r="B87" t="s">
        <v>30</v>
      </c>
      <c r="C87" t="s">
        <v>105</v>
      </c>
      <c r="D87" s="15">
        <v>1</v>
      </c>
      <c r="E87" s="7">
        <v>465</v>
      </c>
      <c r="H87">
        <v>67865</v>
      </c>
      <c r="I87" t="s">
        <v>349</v>
      </c>
      <c r="J87" t="s">
        <v>961</v>
      </c>
      <c r="K87" t="s">
        <v>3</v>
      </c>
      <c r="L87" s="2">
        <v>43191</v>
      </c>
      <c r="M87" s="2">
        <f>DHMXX[[#This Row],[INV DOC DATE]]+30</f>
        <v>43221</v>
      </c>
      <c r="N87" s="2">
        <v>43221</v>
      </c>
      <c r="O87" s="7">
        <v>465</v>
      </c>
      <c r="P87" s="2">
        <v>43227</v>
      </c>
      <c r="Q87" s="7">
        <f>$E87-$O87</f>
        <v>0</v>
      </c>
      <c r="R87" s="7" t="str">
        <f ca="1">IF(TODAY() - DHMXX[INV DUE DATE]&lt;30, "Less than 30 days",IF(TODAY()-DHMXX[INV DUE DATE]&lt;60,"30-60 days","More than 60 days"))</f>
        <v>More than 60 days</v>
      </c>
      <c r="S87" t="s">
        <v>1550</v>
      </c>
      <c r="T87" s="43" t="s">
        <v>2229</v>
      </c>
      <c r="U87" t="s">
        <v>3699</v>
      </c>
    </row>
    <row r="88" spans="1:21" x14ac:dyDescent="0.3">
      <c r="A88" t="s">
        <v>837</v>
      </c>
      <c r="B88" t="s">
        <v>30</v>
      </c>
      <c r="C88" t="s">
        <v>106</v>
      </c>
      <c r="D88" s="15">
        <v>1</v>
      </c>
      <c r="E88" s="7">
        <v>465</v>
      </c>
      <c r="H88">
        <v>67865</v>
      </c>
      <c r="I88" t="s">
        <v>349</v>
      </c>
      <c r="J88" t="s">
        <v>962</v>
      </c>
      <c r="K88" t="s">
        <v>3</v>
      </c>
      <c r="L88" s="2">
        <v>43191</v>
      </c>
      <c r="M88" s="2">
        <f>DHMXX[[#This Row],[INV DOC DATE]]+30</f>
        <v>43221</v>
      </c>
      <c r="N88" s="2">
        <v>43221</v>
      </c>
      <c r="O88" s="7">
        <v>465</v>
      </c>
      <c r="P88" s="2">
        <v>43227</v>
      </c>
      <c r="Q88" s="7">
        <f>$E88-$O88</f>
        <v>0</v>
      </c>
      <c r="R88" s="7" t="str">
        <f ca="1">IF(TODAY() - DHMXX[INV DUE DATE]&lt;30, "Less than 30 days",IF(TODAY()-DHMXX[INV DUE DATE]&lt;60,"30-60 days","More than 60 days"))</f>
        <v>More than 60 days</v>
      </c>
      <c r="S88" t="s">
        <v>1550</v>
      </c>
      <c r="T88" s="43" t="s">
        <v>2229</v>
      </c>
      <c r="U88" t="s">
        <v>3699</v>
      </c>
    </row>
    <row r="89" spans="1:21" x14ac:dyDescent="0.3">
      <c r="A89" t="s">
        <v>837</v>
      </c>
      <c r="B89" t="s">
        <v>30</v>
      </c>
      <c r="C89" t="s">
        <v>107</v>
      </c>
      <c r="D89" s="15">
        <v>1</v>
      </c>
      <c r="E89" s="7">
        <v>465</v>
      </c>
      <c r="H89">
        <v>67865</v>
      </c>
      <c r="I89" t="s">
        <v>349</v>
      </c>
      <c r="J89" t="s">
        <v>963</v>
      </c>
      <c r="K89" t="s">
        <v>3</v>
      </c>
      <c r="L89" s="2">
        <v>43191</v>
      </c>
      <c r="M89" s="2">
        <f>DHMXX[[#This Row],[INV DOC DATE]]+30</f>
        <v>43221</v>
      </c>
      <c r="N89" s="2">
        <v>43221</v>
      </c>
      <c r="O89" s="7">
        <v>465</v>
      </c>
      <c r="P89" s="2">
        <v>43227</v>
      </c>
      <c r="Q89" s="7">
        <f>$E89-$O89</f>
        <v>0</v>
      </c>
      <c r="R89" s="7" t="str">
        <f ca="1">IF(TODAY() - DHMXX[INV DUE DATE]&lt;30, "Less than 30 days",IF(TODAY()-DHMXX[INV DUE DATE]&lt;60,"30-60 days","More than 60 days"))</f>
        <v>More than 60 days</v>
      </c>
      <c r="S89" t="s">
        <v>1550</v>
      </c>
      <c r="T89" s="43" t="s">
        <v>2229</v>
      </c>
      <c r="U89" t="s">
        <v>3699</v>
      </c>
    </row>
    <row r="90" spans="1:21" x14ac:dyDescent="0.3">
      <c r="A90" t="s">
        <v>837</v>
      </c>
      <c r="B90" t="s">
        <v>30</v>
      </c>
      <c r="C90" t="s">
        <v>108</v>
      </c>
      <c r="D90" s="15">
        <v>1</v>
      </c>
      <c r="E90" s="7">
        <v>465</v>
      </c>
      <c r="H90">
        <v>67865</v>
      </c>
      <c r="I90" t="s">
        <v>349</v>
      </c>
      <c r="J90" t="s">
        <v>964</v>
      </c>
      <c r="K90" t="s">
        <v>3</v>
      </c>
      <c r="L90" s="2">
        <v>43191</v>
      </c>
      <c r="M90" s="2">
        <f>DHMXX[[#This Row],[INV DOC DATE]]+30</f>
        <v>43221</v>
      </c>
      <c r="N90" s="2">
        <v>43221</v>
      </c>
      <c r="O90" s="7">
        <v>465</v>
      </c>
      <c r="P90" s="2">
        <v>43227</v>
      </c>
      <c r="Q90" s="7">
        <f>$E90-$O90</f>
        <v>0</v>
      </c>
      <c r="R90" s="7" t="str">
        <f ca="1">IF(TODAY() - DHMXX[INV DUE DATE]&lt;30, "Less than 30 days",IF(TODAY()-DHMXX[INV DUE DATE]&lt;60,"30-60 days","More than 60 days"))</f>
        <v>More than 60 days</v>
      </c>
      <c r="S90" t="s">
        <v>1550</v>
      </c>
      <c r="T90" s="43" t="s">
        <v>2229</v>
      </c>
      <c r="U90" t="s">
        <v>3699</v>
      </c>
    </row>
    <row r="91" spans="1:21" x14ac:dyDescent="0.3">
      <c r="A91" t="s">
        <v>837</v>
      </c>
      <c r="B91" t="s">
        <v>30</v>
      </c>
      <c r="C91" t="s">
        <v>109</v>
      </c>
      <c r="D91" s="15">
        <v>1</v>
      </c>
      <c r="E91" s="7">
        <v>465</v>
      </c>
      <c r="H91">
        <v>67865</v>
      </c>
      <c r="I91" t="s">
        <v>349</v>
      </c>
      <c r="J91" t="s">
        <v>965</v>
      </c>
      <c r="K91" t="s">
        <v>3</v>
      </c>
      <c r="L91" s="2">
        <v>43191</v>
      </c>
      <c r="M91" s="2">
        <f>DHMXX[[#This Row],[INV DOC DATE]]+30</f>
        <v>43221</v>
      </c>
      <c r="N91" s="2">
        <v>43221</v>
      </c>
      <c r="O91" s="7">
        <v>465</v>
      </c>
      <c r="P91" s="2">
        <v>43227</v>
      </c>
      <c r="Q91" s="7">
        <f>$E91-$O91</f>
        <v>0</v>
      </c>
      <c r="R91" s="7" t="str">
        <f ca="1">IF(TODAY() - DHMXX[INV DUE DATE]&lt;30, "Less than 30 days",IF(TODAY()-DHMXX[INV DUE DATE]&lt;60,"30-60 days","More than 60 days"))</f>
        <v>More than 60 days</v>
      </c>
      <c r="S91" t="s">
        <v>1550</v>
      </c>
      <c r="T91" s="43" t="s">
        <v>2229</v>
      </c>
      <c r="U91" t="s">
        <v>3699</v>
      </c>
    </row>
    <row r="92" spans="1:21" x14ac:dyDescent="0.3">
      <c r="A92" t="s">
        <v>837</v>
      </c>
      <c r="B92" t="s">
        <v>30</v>
      </c>
      <c r="C92" t="s">
        <v>110</v>
      </c>
      <c r="D92" s="15">
        <v>1</v>
      </c>
      <c r="E92" s="7">
        <v>465</v>
      </c>
      <c r="H92">
        <v>67865</v>
      </c>
      <c r="I92" t="s">
        <v>349</v>
      </c>
      <c r="J92" t="s">
        <v>966</v>
      </c>
      <c r="K92" t="s">
        <v>3</v>
      </c>
      <c r="L92" s="2">
        <v>43191</v>
      </c>
      <c r="M92" s="2">
        <f>DHMXX[[#This Row],[INV DOC DATE]]+30</f>
        <v>43221</v>
      </c>
      <c r="N92" s="2">
        <v>43221</v>
      </c>
      <c r="O92" s="7">
        <v>465</v>
      </c>
      <c r="P92" s="2">
        <v>43227</v>
      </c>
      <c r="Q92" s="7">
        <f>$E92-$O92</f>
        <v>0</v>
      </c>
      <c r="R92" s="7" t="str">
        <f ca="1">IF(TODAY() - DHMXX[INV DUE DATE]&lt;30, "Less than 30 days",IF(TODAY()-DHMXX[INV DUE DATE]&lt;60,"30-60 days","More than 60 days"))</f>
        <v>More than 60 days</v>
      </c>
      <c r="S92" t="s">
        <v>1550</v>
      </c>
      <c r="T92" s="43" t="s">
        <v>2229</v>
      </c>
      <c r="U92" t="s">
        <v>3699</v>
      </c>
    </row>
    <row r="93" spans="1:21" x14ac:dyDescent="0.3">
      <c r="A93" t="s">
        <v>837</v>
      </c>
      <c r="B93" t="s">
        <v>30</v>
      </c>
      <c r="C93" t="s">
        <v>111</v>
      </c>
      <c r="D93" s="15">
        <v>1</v>
      </c>
      <c r="E93" s="7">
        <v>465</v>
      </c>
      <c r="H93">
        <v>67865</v>
      </c>
      <c r="I93" t="s">
        <v>349</v>
      </c>
      <c r="J93" t="s">
        <v>967</v>
      </c>
      <c r="K93" t="s">
        <v>3</v>
      </c>
      <c r="L93" s="2">
        <v>43191</v>
      </c>
      <c r="M93" s="2">
        <f>DHMXX[[#This Row],[INV DOC DATE]]+30</f>
        <v>43221</v>
      </c>
      <c r="N93" s="2">
        <v>43221</v>
      </c>
      <c r="O93" s="7">
        <v>465</v>
      </c>
      <c r="P93" s="2">
        <v>43227</v>
      </c>
      <c r="Q93" s="7">
        <f>$E93-$O93</f>
        <v>0</v>
      </c>
      <c r="R93" s="7" t="str">
        <f ca="1">IF(TODAY() - DHMXX[INV DUE DATE]&lt;30, "Less than 30 days",IF(TODAY()-DHMXX[INV DUE DATE]&lt;60,"30-60 days","More than 60 days"))</f>
        <v>More than 60 days</v>
      </c>
      <c r="S93" t="s">
        <v>1550</v>
      </c>
      <c r="T93" s="43" t="s">
        <v>2229</v>
      </c>
      <c r="U93" t="s">
        <v>3699</v>
      </c>
    </row>
    <row r="94" spans="1:21" x14ac:dyDescent="0.3">
      <c r="A94" t="s">
        <v>837</v>
      </c>
      <c r="B94" t="s">
        <v>30</v>
      </c>
      <c r="C94" t="s">
        <v>112</v>
      </c>
      <c r="D94" s="15">
        <v>1</v>
      </c>
      <c r="E94" s="7">
        <v>465</v>
      </c>
      <c r="H94">
        <v>67865</v>
      </c>
      <c r="I94" t="s">
        <v>349</v>
      </c>
      <c r="J94" t="s">
        <v>968</v>
      </c>
      <c r="K94" t="s">
        <v>3</v>
      </c>
      <c r="L94" s="2">
        <v>43191</v>
      </c>
      <c r="M94" s="2">
        <f>DHMXX[[#This Row],[INV DOC DATE]]+30</f>
        <v>43221</v>
      </c>
      <c r="N94" s="2">
        <v>43221</v>
      </c>
      <c r="O94" s="7">
        <v>465</v>
      </c>
      <c r="P94" s="2">
        <v>43227</v>
      </c>
      <c r="Q94" s="7">
        <f>$E94-$O94</f>
        <v>0</v>
      </c>
      <c r="R94" s="7" t="str">
        <f ca="1">IF(TODAY() - DHMXX[INV DUE DATE]&lt;30, "Less than 30 days",IF(TODAY()-DHMXX[INV DUE DATE]&lt;60,"30-60 days","More than 60 days"))</f>
        <v>More than 60 days</v>
      </c>
      <c r="S94" t="s">
        <v>1550</v>
      </c>
      <c r="T94" s="43" t="s">
        <v>2229</v>
      </c>
      <c r="U94" t="s">
        <v>3699</v>
      </c>
    </row>
    <row r="95" spans="1:21" x14ac:dyDescent="0.3">
      <c r="A95" t="s">
        <v>837</v>
      </c>
      <c r="B95" t="s">
        <v>30</v>
      </c>
      <c r="C95" t="s">
        <v>113</v>
      </c>
      <c r="D95" s="15">
        <v>1</v>
      </c>
      <c r="E95" s="7">
        <v>465</v>
      </c>
      <c r="H95">
        <v>67865</v>
      </c>
      <c r="I95" t="s">
        <v>349</v>
      </c>
      <c r="J95" t="s">
        <v>969</v>
      </c>
      <c r="K95" t="s">
        <v>3</v>
      </c>
      <c r="L95" s="2">
        <v>43191</v>
      </c>
      <c r="M95" s="2">
        <f>DHMXX[[#This Row],[INV DOC DATE]]+30</f>
        <v>43221</v>
      </c>
      <c r="N95" s="2">
        <v>43221</v>
      </c>
      <c r="O95" s="7">
        <v>465</v>
      </c>
      <c r="P95" s="2">
        <v>43227</v>
      </c>
      <c r="Q95" s="7">
        <f>$E95-$O95</f>
        <v>0</v>
      </c>
      <c r="R95" s="7" t="str">
        <f ca="1">IF(TODAY() - DHMXX[INV DUE DATE]&lt;30, "Less than 30 days",IF(TODAY()-DHMXX[INV DUE DATE]&lt;60,"30-60 days","More than 60 days"))</f>
        <v>More than 60 days</v>
      </c>
      <c r="S95" t="s">
        <v>1550</v>
      </c>
      <c r="T95" s="43" t="s">
        <v>2229</v>
      </c>
      <c r="U95" t="s">
        <v>3699</v>
      </c>
    </row>
    <row r="96" spans="1:21" x14ac:dyDescent="0.3">
      <c r="A96" t="s">
        <v>837</v>
      </c>
      <c r="B96" t="s">
        <v>30</v>
      </c>
      <c r="C96" t="s">
        <v>114</v>
      </c>
      <c r="D96" s="15">
        <v>1</v>
      </c>
      <c r="E96" s="7">
        <v>465</v>
      </c>
      <c r="H96">
        <v>67865</v>
      </c>
      <c r="I96" t="s">
        <v>349</v>
      </c>
      <c r="J96" t="s">
        <v>970</v>
      </c>
      <c r="K96" t="s">
        <v>3</v>
      </c>
      <c r="L96" s="2">
        <v>43191</v>
      </c>
      <c r="M96" s="2">
        <f>DHMXX[[#This Row],[INV DOC DATE]]+30</f>
        <v>43221</v>
      </c>
      <c r="N96" s="2">
        <v>43221</v>
      </c>
      <c r="O96" s="7">
        <v>465</v>
      </c>
      <c r="P96" s="2">
        <v>43227</v>
      </c>
      <c r="Q96" s="7">
        <f>$E96-$O96</f>
        <v>0</v>
      </c>
      <c r="R96" s="7" t="str">
        <f ca="1">IF(TODAY() - DHMXX[INV DUE DATE]&lt;30, "Less than 30 days",IF(TODAY()-DHMXX[INV DUE DATE]&lt;60,"30-60 days","More than 60 days"))</f>
        <v>More than 60 days</v>
      </c>
      <c r="S96" t="s">
        <v>1550</v>
      </c>
      <c r="T96" s="43" t="s">
        <v>2229</v>
      </c>
      <c r="U96" t="s">
        <v>3699</v>
      </c>
    </row>
    <row r="97" spans="1:21" x14ac:dyDescent="0.3">
      <c r="A97" t="s">
        <v>837</v>
      </c>
      <c r="B97" t="s">
        <v>30</v>
      </c>
      <c r="C97" t="s">
        <v>115</v>
      </c>
      <c r="D97" s="15">
        <v>1</v>
      </c>
      <c r="E97" s="7">
        <v>465</v>
      </c>
      <c r="H97">
        <v>67865</v>
      </c>
      <c r="I97" t="s">
        <v>349</v>
      </c>
      <c r="J97" t="s">
        <v>971</v>
      </c>
      <c r="K97" t="s">
        <v>3</v>
      </c>
      <c r="L97" s="2">
        <v>43191</v>
      </c>
      <c r="M97" s="2">
        <f>DHMXX[[#This Row],[INV DOC DATE]]+30</f>
        <v>43221</v>
      </c>
      <c r="N97" s="2">
        <v>43221</v>
      </c>
      <c r="O97" s="7">
        <v>465</v>
      </c>
      <c r="P97" s="2">
        <v>43227</v>
      </c>
      <c r="Q97" s="7">
        <f>$E97-$O97</f>
        <v>0</v>
      </c>
      <c r="R97" s="7" t="str">
        <f ca="1">IF(TODAY() - DHMXX[INV DUE DATE]&lt;30, "Less than 30 days",IF(TODAY()-DHMXX[INV DUE DATE]&lt;60,"30-60 days","More than 60 days"))</f>
        <v>More than 60 days</v>
      </c>
      <c r="S97" t="s">
        <v>1550</v>
      </c>
      <c r="T97" s="43" t="s">
        <v>2229</v>
      </c>
      <c r="U97" t="s">
        <v>3699</v>
      </c>
    </row>
    <row r="98" spans="1:21" x14ac:dyDescent="0.3">
      <c r="A98" t="s">
        <v>837</v>
      </c>
      <c r="B98" t="s">
        <v>30</v>
      </c>
      <c r="C98" t="s">
        <v>116</v>
      </c>
      <c r="D98" s="15">
        <v>1</v>
      </c>
      <c r="E98" s="7">
        <v>465</v>
      </c>
      <c r="H98">
        <v>67865</v>
      </c>
      <c r="I98" t="s">
        <v>349</v>
      </c>
      <c r="J98" t="s">
        <v>972</v>
      </c>
      <c r="K98" t="s">
        <v>3</v>
      </c>
      <c r="L98" s="2">
        <v>43191</v>
      </c>
      <c r="M98" s="2">
        <f>DHMXX[[#This Row],[INV DOC DATE]]+30</f>
        <v>43221</v>
      </c>
      <c r="N98" s="2">
        <v>43221</v>
      </c>
      <c r="O98" s="7">
        <v>465</v>
      </c>
      <c r="P98" s="2">
        <v>43227</v>
      </c>
      <c r="Q98" s="7">
        <f>$E98-$O98</f>
        <v>0</v>
      </c>
      <c r="R98" s="7" t="str">
        <f ca="1">IF(TODAY() - DHMXX[INV DUE DATE]&lt;30, "Less than 30 days",IF(TODAY()-DHMXX[INV DUE DATE]&lt;60,"30-60 days","More than 60 days"))</f>
        <v>More than 60 days</v>
      </c>
      <c r="S98" t="s">
        <v>1550</v>
      </c>
      <c r="T98" s="43" t="s">
        <v>2229</v>
      </c>
      <c r="U98" t="s">
        <v>3699</v>
      </c>
    </row>
    <row r="99" spans="1:21" x14ac:dyDescent="0.3">
      <c r="A99" t="s">
        <v>837</v>
      </c>
      <c r="B99" t="s">
        <v>30</v>
      </c>
      <c r="C99" t="s">
        <v>117</v>
      </c>
      <c r="D99" s="15">
        <v>1</v>
      </c>
      <c r="E99" s="7">
        <v>465</v>
      </c>
      <c r="H99">
        <v>67865</v>
      </c>
      <c r="I99" t="s">
        <v>349</v>
      </c>
      <c r="J99" t="s">
        <v>973</v>
      </c>
      <c r="K99" t="s">
        <v>3</v>
      </c>
      <c r="L99" s="2">
        <v>43191</v>
      </c>
      <c r="M99" s="2">
        <f>DHMXX[[#This Row],[INV DOC DATE]]+30</f>
        <v>43221</v>
      </c>
      <c r="N99" s="2">
        <v>43221</v>
      </c>
      <c r="O99" s="7">
        <v>465</v>
      </c>
      <c r="P99" s="2">
        <v>43227</v>
      </c>
      <c r="Q99" s="7">
        <f>$E99-$O99</f>
        <v>0</v>
      </c>
      <c r="R99" s="7" t="str">
        <f ca="1">IF(TODAY() - DHMXX[INV DUE DATE]&lt;30, "Less than 30 days",IF(TODAY()-DHMXX[INV DUE DATE]&lt;60,"30-60 days","More than 60 days"))</f>
        <v>More than 60 days</v>
      </c>
      <c r="S99" t="s">
        <v>1550</v>
      </c>
      <c r="T99" s="43" t="s">
        <v>2229</v>
      </c>
      <c r="U99" t="s">
        <v>3699</v>
      </c>
    </row>
    <row r="100" spans="1:21" x14ac:dyDescent="0.3">
      <c r="A100" t="s">
        <v>837</v>
      </c>
      <c r="B100" t="s">
        <v>30</v>
      </c>
      <c r="C100" t="s">
        <v>118</v>
      </c>
      <c r="D100" s="15">
        <v>1</v>
      </c>
      <c r="E100" s="7">
        <v>465</v>
      </c>
      <c r="H100">
        <v>67865</v>
      </c>
      <c r="I100" t="s">
        <v>349</v>
      </c>
      <c r="J100" t="s">
        <v>974</v>
      </c>
      <c r="K100" t="s">
        <v>3</v>
      </c>
      <c r="L100" s="2">
        <v>43191</v>
      </c>
      <c r="M100" s="2">
        <f>DHMXX[[#This Row],[INV DOC DATE]]+30</f>
        <v>43221</v>
      </c>
      <c r="N100" s="2">
        <v>43221</v>
      </c>
      <c r="O100" s="7">
        <v>465</v>
      </c>
      <c r="P100" s="2">
        <v>43227</v>
      </c>
      <c r="Q100" s="7">
        <f>$E100-$O100</f>
        <v>0</v>
      </c>
      <c r="R100" s="7" t="str">
        <f ca="1">IF(TODAY() - DHMXX[INV DUE DATE]&lt;30, "Less than 30 days",IF(TODAY()-DHMXX[INV DUE DATE]&lt;60,"30-60 days","More than 60 days"))</f>
        <v>More than 60 days</v>
      </c>
      <c r="S100" t="s">
        <v>1550</v>
      </c>
      <c r="T100" s="43" t="s">
        <v>2229</v>
      </c>
      <c r="U100" t="s">
        <v>3699</v>
      </c>
    </row>
    <row r="101" spans="1:21" x14ac:dyDescent="0.3">
      <c r="A101" t="s">
        <v>837</v>
      </c>
      <c r="B101" t="s">
        <v>30</v>
      </c>
      <c r="C101" t="s">
        <v>119</v>
      </c>
      <c r="D101" s="15">
        <v>1</v>
      </c>
      <c r="E101" s="7">
        <v>465</v>
      </c>
      <c r="H101">
        <v>67865</v>
      </c>
      <c r="I101" t="s">
        <v>349</v>
      </c>
      <c r="J101" t="s">
        <v>975</v>
      </c>
      <c r="K101" t="s">
        <v>3</v>
      </c>
      <c r="L101" s="2">
        <v>43191</v>
      </c>
      <c r="M101" s="2">
        <f>DHMXX[[#This Row],[INV DOC DATE]]+30</f>
        <v>43221</v>
      </c>
      <c r="N101" s="2">
        <v>43221</v>
      </c>
      <c r="O101" s="7">
        <v>465</v>
      </c>
      <c r="P101" s="2">
        <v>43227</v>
      </c>
      <c r="Q101" s="7">
        <f>$E101-$O101</f>
        <v>0</v>
      </c>
      <c r="R101" s="7" t="str">
        <f ca="1">IF(TODAY() - DHMXX[INV DUE DATE]&lt;30, "Less than 30 days",IF(TODAY()-DHMXX[INV DUE DATE]&lt;60,"30-60 days","More than 60 days"))</f>
        <v>More than 60 days</v>
      </c>
      <c r="S101" t="s">
        <v>1550</v>
      </c>
      <c r="T101" s="43" t="s">
        <v>2229</v>
      </c>
      <c r="U101" t="s">
        <v>3699</v>
      </c>
    </row>
    <row r="102" spans="1:21" x14ac:dyDescent="0.3">
      <c r="A102" t="s">
        <v>837</v>
      </c>
      <c r="B102" t="s">
        <v>30</v>
      </c>
      <c r="C102" t="s">
        <v>120</v>
      </c>
      <c r="D102" s="15">
        <v>1</v>
      </c>
      <c r="E102" s="7">
        <v>465</v>
      </c>
      <c r="H102">
        <v>67865</v>
      </c>
      <c r="I102" t="s">
        <v>349</v>
      </c>
      <c r="J102" t="s">
        <v>976</v>
      </c>
      <c r="K102" t="s">
        <v>3</v>
      </c>
      <c r="L102" s="2">
        <v>43191</v>
      </c>
      <c r="M102" s="2">
        <f>DHMXX[[#This Row],[INV DOC DATE]]+30</f>
        <v>43221</v>
      </c>
      <c r="N102" s="2">
        <v>43221</v>
      </c>
      <c r="O102" s="7">
        <v>465</v>
      </c>
      <c r="P102" s="2">
        <v>43227</v>
      </c>
      <c r="Q102" s="7">
        <f>$E102-$O102</f>
        <v>0</v>
      </c>
      <c r="R102" s="7" t="str">
        <f ca="1">IF(TODAY() - DHMXX[INV DUE DATE]&lt;30, "Less than 30 days",IF(TODAY()-DHMXX[INV DUE DATE]&lt;60,"30-60 days","More than 60 days"))</f>
        <v>More than 60 days</v>
      </c>
      <c r="S102" t="s">
        <v>1550</v>
      </c>
      <c r="T102" s="43" t="s">
        <v>2229</v>
      </c>
      <c r="U102" t="s">
        <v>3699</v>
      </c>
    </row>
    <row r="103" spans="1:21" x14ac:dyDescent="0.3">
      <c r="A103" t="s">
        <v>837</v>
      </c>
      <c r="B103" t="s">
        <v>30</v>
      </c>
      <c r="C103" t="s">
        <v>121</v>
      </c>
      <c r="D103" s="15">
        <v>1</v>
      </c>
      <c r="E103" s="7">
        <v>465</v>
      </c>
      <c r="H103">
        <v>67865</v>
      </c>
      <c r="I103" t="s">
        <v>349</v>
      </c>
      <c r="J103" t="s">
        <v>977</v>
      </c>
      <c r="K103" t="s">
        <v>3</v>
      </c>
      <c r="L103" s="2">
        <v>43191</v>
      </c>
      <c r="M103" s="2">
        <f>DHMXX[[#This Row],[INV DOC DATE]]+30</f>
        <v>43221</v>
      </c>
      <c r="N103" s="2">
        <v>43221</v>
      </c>
      <c r="O103" s="7">
        <v>465</v>
      </c>
      <c r="P103" s="2">
        <v>43227</v>
      </c>
      <c r="Q103" s="7">
        <f>$E103-$O103</f>
        <v>0</v>
      </c>
      <c r="R103" s="7" t="str">
        <f ca="1">IF(TODAY() - DHMXX[INV DUE DATE]&lt;30, "Less than 30 days",IF(TODAY()-DHMXX[INV DUE DATE]&lt;60,"30-60 days","More than 60 days"))</f>
        <v>More than 60 days</v>
      </c>
      <c r="S103" t="s">
        <v>1550</v>
      </c>
      <c r="T103" s="43" t="s">
        <v>2229</v>
      </c>
      <c r="U103" t="s">
        <v>3699</v>
      </c>
    </row>
    <row r="104" spans="1:21" x14ac:dyDescent="0.3">
      <c r="A104" t="s">
        <v>837</v>
      </c>
      <c r="B104" t="s">
        <v>30</v>
      </c>
      <c r="C104" t="s">
        <v>122</v>
      </c>
      <c r="D104" s="15">
        <v>1</v>
      </c>
      <c r="E104" s="7">
        <v>465</v>
      </c>
      <c r="H104">
        <v>67865</v>
      </c>
      <c r="I104" t="s">
        <v>349</v>
      </c>
      <c r="J104" t="s">
        <v>978</v>
      </c>
      <c r="K104" t="s">
        <v>3</v>
      </c>
      <c r="L104" s="2">
        <v>43191</v>
      </c>
      <c r="M104" s="2">
        <f>DHMXX[[#This Row],[INV DOC DATE]]+30</f>
        <v>43221</v>
      </c>
      <c r="N104" s="2">
        <v>43221</v>
      </c>
      <c r="O104" s="7">
        <v>465</v>
      </c>
      <c r="P104" s="2">
        <v>43227</v>
      </c>
      <c r="Q104" s="7">
        <f>$E104-$O104</f>
        <v>0</v>
      </c>
      <c r="R104" s="7" t="str">
        <f ca="1">IF(TODAY() - DHMXX[INV DUE DATE]&lt;30, "Less than 30 days",IF(TODAY()-DHMXX[INV DUE DATE]&lt;60,"30-60 days","More than 60 days"))</f>
        <v>More than 60 days</v>
      </c>
      <c r="S104" t="s">
        <v>1550</v>
      </c>
      <c r="T104" s="43" t="s">
        <v>2229</v>
      </c>
      <c r="U104" t="s">
        <v>3699</v>
      </c>
    </row>
    <row r="105" spans="1:21" x14ac:dyDescent="0.3">
      <c r="A105" t="s">
        <v>837</v>
      </c>
      <c r="B105" t="s">
        <v>30</v>
      </c>
      <c r="C105" t="s">
        <v>123</v>
      </c>
      <c r="D105" s="15">
        <v>1</v>
      </c>
      <c r="E105" s="7">
        <v>465</v>
      </c>
      <c r="H105">
        <v>67865</v>
      </c>
      <c r="I105" t="s">
        <v>349</v>
      </c>
      <c r="J105" t="s">
        <v>979</v>
      </c>
      <c r="K105" t="s">
        <v>3</v>
      </c>
      <c r="L105" s="2">
        <v>43191</v>
      </c>
      <c r="M105" s="2">
        <f>DHMXX[[#This Row],[INV DOC DATE]]+30</f>
        <v>43221</v>
      </c>
      <c r="N105" s="2">
        <v>43221</v>
      </c>
      <c r="O105" s="7">
        <v>465</v>
      </c>
      <c r="P105" s="2">
        <v>43227</v>
      </c>
      <c r="Q105" s="7">
        <f>$E105-$O105</f>
        <v>0</v>
      </c>
      <c r="R105" s="7" t="str">
        <f ca="1">IF(TODAY() - DHMXX[INV DUE DATE]&lt;30, "Less than 30 days",IF(TODAY()-DHMXX[INV DUE DATE]&lt;60,"30-60 days","More than 60 days"))</f>
        <v>More than 60 days</v>
      </c>
      <c r="S105" t="s">
        <v>1550</v>
      </c>
      <c r="T105" s="43" t="s">
        <v>2229</v>
      </c>
      <c r="U105" t="s">
        <v>3699</v>
      </c>
    </row>
    <row r="106" spans="1:21" x14ac:dyDescent="0.3">
      <c r="A106" t="s">
        <v>837</v>
      </c>
      <c r="B106" t="s">
        <v>30</v>
      </c>
      <c r="C106" t="s">
        <v>124</v>
      </c>
      <c r="D106" s="15">
        <v>1</v>
      </c>
      <c r="E106" s="7">
        <v>465</v>
      </c>
      <c r="H106">
        <v>67865</v>
      </c>
      <c r="I106" t="s">
        <v>349</v>
      </c>
      <c r="J106" t="s">
        <v>980</v>
      </c>
      <c r="K106" t="s">
        <v>3</v>
      </c>
      <c r="L106" s="2">
        <v>43191</v>
      </c>
      <c r="M106" s="2">
        <f>DHMXX[[#This Row],[INV DOC DATE]]+30</f>
        <v>43221</v>
      </c>
      <c r="N106" s="2">
        <v>43221</v>
      </c>
      <c r="O106" s="7">
        <v>465</v>
      </c>
      <c r="P106" s="2">
        <v>43227</v>
      </c>
      <c r="Q106" s="7">
        <f>$E106-$O106</f>
        <v>0</v>
      </c>
      <c r="R106" s="7" t="str">
        <f ca="1">IF(TODAY() - DHMXX[INV DUE DATE]&lt;30, "Less than 30 days",IF(TODAY()-DHMXX[INV DUE DATE]&lt;60,"30-60 days","More than 60 days"))</f>
        <v>More than 60 days</v>
      </c>
      <c r="S106" t="s">
        <v>1550</v>
      </c>
      <c r="T106" s="43" t="s">
        <v>2229</v>
      </c>
      <c r="U106" t="s">
        <v>3699</v>
      </c>
    </row>
    <row r="107" spans="1:21" x14ac:dyDescent="0.3">
      <c r="A107" t="s">
        <v>837</v>
      </c>
      <c r="B107" t="s">
        <v>30</v>
      </c>
      <c r="C107" t="s">
        <v>125</v>
      </c>
      <c r="D107" s="15">
        <v>1</v>
      </c>
      <c r="E107" s="7">
        <v>465</v>
      </c>
      <c r="H107">
        <v>67865</v>
      </c>
      <c r="I107" t="s">
        <v>349</v>
      </c>
      <c r="J107" t="s">
        <v>981</v>
      </c>
      <c r="K107" t="s">
        <v>3</v>
      </c>
      <c r="L107" s="2">
        <v>43191</v>
      </c>
      <c r="M107" s="2">
        <f>DHMXX[[#This Row],[INV DOC DATE]]+30</f>
        <v>43221</v>
      </c>
      <c r="N107" s="2">
        <v>43221</v>
      </c>
      <c r="O107" s="7">
        <v>465</v>
      </c>
      <c r="P107" s="2">
        <v>43227</v>
      </c>
      <c r="Q107" s="7">
        <f>$E107-$O107</f>
        <v>0</v>
      </c>
      <c r="R107" s="7" t="str">
        <f ca="1">IF(TODAY() - DHMXX[INV DUE DATE]&lt;30, "Less than 30 days",IF(TODAY()-DHMXX[INV DUE DATE]&lt;60,"30-60 days","More than 60 days"))</f>
        <v>More than 60 days</v>
      </c>
      <c r="S107" t="s">
        <v>1550</v>
      </c>
      <c r="T107" s="43" t="s">
        <v>2229</v>
      </c>
      <c r="U107" t="s">
        <v>3699</v>
      </c>
    </row>
    <row r="108" spans="1:21" x14ac:dyDescent="0.3">
      <c r="A108" t="s">
        <v>837</v>
      </c>
      <c r="B108" t="s">
        <v>30</v>
      </c>
      <c r="C108" t="s">
        <v>126</v>
      </c>
      <c r="D108" s="15">
        <v>1</v>
      </c>
      <c r="E108" s="7">
        <v>465</v>
      </c>
      <c r="H108">
        <v>67865</v>
      </c>
      <c r="I108" t="s">
        <v>349</v>
      </c>
      <c r="J108" t="s">
        <v>982</v>
      </c>
      <c r="K108" t="s">
        <v>3</v>
      </c>
      <c r="L108" s="2">
        <v>43191</v>
      </c>
      <c r="M108" s="2">
        <f>DHMXX[[#This Row],[INV DOC DATE]]+30</f>
        <v>43221</v>
      </c>
      <c r="N108" s="2">
        <v>43221</v>
      </c>
      <c r="O108" s="7">
        <v>465</v>
      </c>
      <c r="P108" s="2">
        <v>43227</v>
      </c>
      <c r="Q108" s="7">
        <f>$E108-$O108</f>
        <v>0</v>
      </c>
      <c r="R108" s="7" t="str">
        <f ca="1">IF(TODAY() - DHMXX[INV DUE DATE]&lt;30, "Less than 30 days",IF(TODAY()-DHMXX[INV DUE DATE]&lt;60,"30-60 days","More than 60 days"))</f>
        <v>More than 60 days</v>
      </c>
      <c r="S108" t="s">
        <v>1550</v>
      </c>
      <c r="T108" s="43" t="s">
        <v>2229</v>
      </c>
      <c r="U108" t="s">
        <v>3699</v>
      </c>
    </row>
    <row r="109" spans="1:21" x14ac:dyDescent="0.3">
      <c r="A109" t="s">
        <v>837</v>
      </c>
      <c r="B109" t="s">
        <v>30</v>
      </c>
      <c r="C109" t="s">
        <v>127</v>
      </c>
      <c r="D109" s="15">
        <v>1</v>
      </c>
      <c r="E109" s="7">
        <v>465</v>
      </c>
      <c r="H109">
        <v>67865</v>
      </c>
      <c r="I109" t="s">
        <v>349</v>
      </c>
      <c r="J109" t="s">
        <v>983</v>
      </c>
      <c r="K109" t="s">
        <v>3</v>
      </c>
      <c r="L109" s="2">
        <v>43191</v>
      </c>
      <c r="M109" s="2">
        <f>DHMXX[[#This Row],[INV DOC DATE]]+30</f>
        <v>43221</v>
      </c>
      <c r="N109" s="2">
        <v>43221</v>
      </c>
      <c r="O109" s="7">
        <v>465</v>
      </c>
      <c r="P109" s="2">
        <v>43227</v>
      </c>
      <c r="Q109" s="7">
        <f>$E109-$O109</f>
        <v>0</v>
      </c>
      <c r="R109" s="7" t="str">
        <f ca="1">IF(TODAY() - DHMXX[INV DUE DATE]&lt;30, "Less than 30 days",IF(TODAY()-DHMXX[INV DUE DATE]&lt;60,"30-60 days","More than 60 days"))</f>
        <v>More than 60 days</v>
      </c>
      <c r="S109" t="s">
        <v>1550</v>
      </c>
      <c r="T109" s="43" t="s">
        <v>2229</v>
      </c>
      <c r="U109" t="s">
        <v>3699</v>
      </c>
    </row>
    <row r="110" spans="1:21" x14ac:dyDescent="0.3">
      <c r="A110" t="s">
        <v>837</v>
      </c>
      <c r="B110" t="s">
        <v>30</v>
      </c>
      <c r="C110" t="s">
        <v>128</v>
      </c>
      <c r="D110" s="15">
        <v>1</v>
      </c>
      <c r="E110" s="7">
        <v>577.5</v>
      </c>
      <c r="H110">
        <v>67865</v>
      </c>
      <c r="I110" t="s">
        <v>349</v>
      </c>
      <c r="J110" t="s">
        <v>984</v>
      </c>
      <c r="K110" t="s">
        <v>3</v>
      </c>
      <c r="L110" s="2">
        <v>43191</v>
      </c>
      <c r="M110" s="2">
        <f>DHMXX[[#This Row],[INV DOC DATE]]+30</f>
        <v>43221</v>
      </c>
      <c r="N110" s="2">
        <v>43221</v>
      </c>
      <c r="O110" s="7">
        <v>577.5</v>
      </c>
      <c r="P110" s="2">
        <v>43227</v>
      </c>
      <c r="Q110" s="7">
        <f>$E110-$O110</f>
        <v>0</v>
      </c>
      <c r="R110" s="7" t="str">
        <f ca="1">IF(TODAY() - DHMXX[INV DUE DATE]&lt;30, "Less than 30 days",IF(TODAY()-DHMXX[INV DUE DATE]&lt;60,"30-60 days","More than 60 days"))</f>
        <v>More than 60 days</v>
      </c>
      <c r="S110" t="s">
        <v>1550</v>
      </c>
      <c r="T110" s="43" t="s">
        <v>2229</v>
      </c>
      <c r="U110" t="s">
        <v>3699</v>
      </c>
    </row>
    <row r="111" spans="1:21" x14ac:dyDescent="0.3">
      <c r="A111" t="s">
        <v>837</v>
      </c>
      <c r="B111" t="s">
        <v>30</v>
      </c>
      <c r="C111" t="s">
        <v>129</v>
      </c>
      <c r="D111" s="15">
        <v>1</v>
      </c>
      <c r="E111" s="7">
        <v>577.5</v>
      </c>
      <c r="H111">
        <v>67865</v>
      </c>
      <c r="I111" t="s">
        <v>349</v>
      </c>
      <c r="J111" t="s">
        <v>985</v>
      </c>
      <c r="K111" t="s">
        <v>3</v>
      </c>
      <c r="L111" s="2">
        <v>43191</v>
      </c>
      <c r="M111" s="2">
        <f>DHMXX[[#This Row],[INV DOC DATE]]+30</f>
        <v>43221</v>
      </c>
      <c r="N111" s="2">
        <v>43221</v>
      </c>
      <c r="O111" s="7">
        <v>577.5</v>
      </c>
      <c r="P111" s="2">
        <v>43227</v>
      </c>
      <c r="Q111" s="7">
        <f>$E111-$O111</f>
        <v>0</v>
      </c>
      <c r="R111" s="7" t="str">
        <f ca="1">IF(TODAY() - DHMXX[INV DUE DATE]&lt;30, "Less than 30 days",IF(TODAY()-DHMXX[INV DUE DATE]&lt;60,"30-60 days","More than 60 days"))</f>
        <v>More than 60 days</v>
      </c>
      <c r="S111" t="s">
        <v>1550</v>
      </c>
      <c r="T111" s="43" t="s">
        <v>2229</v>
      </c>
      <c r="U111" t="s">
        <v>3699</v>
      </c>
    </row>
    <row r="112" spans="1:21" x14ac:dyDescent="0.3">
      <c r="A112" t="s">
        <v>837</v>
      </c>
      <c r="B112" t="s">
        <v>30</v>
      </c>
      <c r="C112" t="s">
        <v>130</v>
      </c>
      <c r="D112" s="15">
        <v>1</v>
      </c>
      <c r="E112" s="7">
        <v>577.5</v>
      </c>
      <c r="H112">
        <v>67865</v>
      </c>
      <c r="I112" t="s">
        <v>349</v>
      </c>
      <c r="J112" t="s">
        <v>986</v>
      </c>
      <c r="K112" t="s">
        <v>3</v>
      </c>
      <c r="L112" s="2">
        <v>43191</v>
      </c>
      <c r="M112" s="2">
        <f>DHMXX[[#This Row],[INV DOC DATE]]+30</f>
        <v>43221</v>
      </c>
      <c r="N112" s="2">
        <v>43221</v>
      </c>
      <c r="O112" s="7">
        <v>577.5</v>
      </c>
      <c r="P112" s="2">
        <v>43227</v>
      </c>
      <c r="Q112" s="7">
        <f>$E112-$O112</f>
        <v>0</v>
      </c>
      <c r="R112" s="7" t="str">
        <f ca="1">IF(TODAY() - DHMXX[INV DUE DATE]&lt;30, "Less than 30 days",IF(TODAY()-DHMXX[INV DUE DATE]&lt;60,"30-60 days","More than 60 days"))</f>
        <v>More than 60 days</v>
      </c>
      <c r="S112" t="s">
        <v>1550</v>
      </c>
      <c r="T112" s="43" t="s">
        <v>2229</v>
      </c>
      <c r="U112" t="s">
        <v>3699</v>
      </c>
    </row>
    <row r="113" spans="1:21" x14ac:dyDescent="0.3">
      <c r="A113" t="s">
        <v>837</v>
      </c>
      <c r="B113" t="s">
        <v>30</v>
      </c>
      <c r="C113" t="s">
        <v>131</v>
      </c>
      <c r="D113" s="15">
        <v>1</v>
      </c>
      <c r="E113" s="7">
        <v>577.5</v>
      </c>
      <c r="H113">
        <v>67865</v>
      </c>
      <c r="I113" t="s">
        <v>349</v>
      </c>
      <c r="J113" t="s">
        <v>987</v>
      </c>
      <c r="K113" t="s">
        <v>3</v>
      </c>
      <c r="L113" s="2">
        <v>43191</v>
      </c>
      <c r="M113" s="2">
        <f>DHMXX[[#This Row],[INV DOC DATE]]+30</f>
        <v>43221</v>
      </c>
      <c r="N113" s="2">
        <v>43221</v>
      </c>
      <c r="O113" s="7">
        <v>577.5</v>
      </c>
      <c r="P113" s="2">
        <v>43227</v>
      </c>
      <c r="Q113" s="7">
        <f>$E113-$O113</f>
        <v>0</v>
      </c>
      <c r="R113" s="7" t="str">
        <f ca="1">IF(TODAY() - DHMXX[INV DUE DATE]&lt;30, "Less than 30 days",IF(TODAY()-DHMXX[INV DUE DATE]&lt;60,"30-60 days","More than 60 days"))</f>
        <v>More than 60 days</v>
      </c>
      <c r="S113" t="s">
        <v>1550</v>
      </c>
      <c r="T113" s="43" t="s">
        <v>2229</v>
      </c>
      <c r="U113" t="s">
        <v>3699</v>
      </c>
    </row>
    <row r="114" spans="1:21" x14ac:dyDescent="0.3">
      <c r="A114" t="s">
        <v>837</v>
      </c>
      <c r="B114" t="s">
        <v>30</v>
      </c>
      <c r="C114" t="s">
        <v>132</v>
      </c>
      <c r="D114" s="15">
        <v>1</v>
      </c>
      <c r="E114" s="7">
        <v>465</v>
      </c>
      <c r="H114">
        <v>67865</v>
      </c>
      <c r="I114" t="s">
        <v>349</v>
      </c>
      <c r="J114" t="s">
        <v>988</v>
      </c>
      <c r="K114" t="s">
        <v>3</v>
      </c>
      <c r="L114" s="2">
        <v>43191</v>
      </c>
      <c r="M114" s="2">
        <f>DHMXX[[#This Row],[INV DOC DATE]]+30</f>
        <v>43221</v>
      </c>
      <c r="N114" s="2">
        <v>43221</v>
      </c>
      <c r="O114" s="7">
        <v>465</v>
      </c>
      <c r="P114" s="2">
        <v>43227</v>
      </c>
      <c r="Q114" s="7">
        <f>$E114-$O114</f>
        <v>0</v>
      </c>
      <c r="R114" s="7" t="str">
        <f ca="1">IF(TODAY() - DHMXX[INV DUE DATE]&lt;30, "Less than 30 days",IF(TODAY()-DHMXX[INV DUE DATE]&lt;60,"30-60 days","More than 60 days"))</f>
        <v>More than 60 days</v>
      </c>
      <c r="S114" t="s">
        <v>1550</v>
      </c>
      <c r="T114" s="43" t="s">
        <v>2229</v>
      </c>
      <c r="U114" t="s">
        <v>3699</v>
      </c>
    </row>
    <row r="115" spans="1:21" x14ac:dyDescent="0.3">
      <c r="A115" t="s">
        <v>837</v>
      </c>
      <c r="B115" t="s">
        <v>30</v>
      </c>
      <c r="C115" t="s">
        <v>133</v>
      </c>
      <c r="D115" s="15">
        <v>1</v>
      </c>
      <c r="E115" s="7">
        <v>465</v>
      </c>
      <c r="H115">
        <v>67865</v>
      </c>
      <c r="I115" t="s">
        <v>349</v>
      </c>
      <c r="J115" t="s">
        <v>989</v>
      </c>
      <c r="K115" t="s">
        <v>3</v>
      </c>
      <c r="L115" s="2">
        <v>43191</v>
      </c>
      <c r="M115" s="2">
        <f>DHMXX[[#This Row],[INV DOC DATE]]+30</f>
        <v>43221</v>
      </c>
      <c r="N115" s="2">
        <v>43221</v>
      </c>
      <c r="O115" s="7">
        <v>465</v>
      </c>
      <c r="P115" s="2">
        <v>43227</v>
      </c>
      <c r="Q115" s="7">
        <f>$E115-$O115</f>
        <v>0</v>
      </c>
      <c r="R115" s="7" t="str">
        <f ca="1">IF(TODAY() - DHMXX[INV DUE DATE]&lt;30, "Less than 30 days",IF(TODAY()-DHMXX[INV DUE DATE]&lt;60,"30-60 days","More than 60 days"))</f>
        <v>More than 60 days</v>
      </c>
      <c r="S115" t="s">
        <v>1550</v>
      </c>
      <c r="T115" s="43" t="s">
        <v>2229</v>
      </c>
      <c r="U115" t="s">
        <v>3699</v>
      </c>
    </row>
    <row r="116" spans="1:21" x14ac:dyDescent="0.3">
      <c r="A116" t="s">
        <v>837</v>
      </c>
      <c r="B116" t="s">
        <v>30</v>
      </c>
      <c r="C116" t="s">
        <v>134</v>
      </c>
      <c r="D116" s="15">
        <v>1</v>
      </c>
      <c r="E116" s="7">
        <v>465</v>
      </c>
      <c r="H116">
        <v>67865</v>
      </c>
      <c r="I116" t="s">
        <v>349</v>
      </c>
      <c r="J116" t="s">
        <v>990</v>
      </c>
      <c r="K116" t="s">
        <v>3</v>
      </c>
      <c r="L116" s="2">
        <v>43191</v>
      </c>
      <c r="M116" s="2">
        <f>DHMXX[[#This Row],[INV DOC DATE]]+30</f>
        <v>43221</v>
      </c>
      <c r="N116" s="2">
        <v>43221</v>
      </c>
      <c r="O116" s="7">
        <v>465</v>
      </c>
      <c r="P116" s="2">
        <v>43227</v>
      </c>
      <c r="Q116" s="7">
        <f>$E116-$O116</f>
        <v>0</v>
      </c>
      <c r="R116" s="7" t="str">
        <f ca="1">IF(TODAY() - DHMXX[INV DUE DATE]&lt;30, "Less than 30 days",IF(TODAY()-DHMXX[INV DUE DATE]&lt;60,"30-60 days","More than 60 days"))</f>
        <v>More than 60 days</v>
      </c>
      <c r="S116" t="s">
        <v>1550</v>
      </c>
      <c r="T116" s="43" t="s">
        <v>2229</v>
      </c>
      <c r="U116" t="s">
        <v>3699</v>
      </c>
    </row>
    <row r="117" spans="1:21" x14ac:dyDescent="0.3">
      <c r="A117" t="s">
        <v>837</v>
      </c>
      <c r="B117" t="s">
        <v>30</v>
      </c>
      <c r="C117" t="s">
        <v>137</v>
      </c>
      <c r="D117" s="15">
        <v>1</v>
      </c>
      <c r="E117" s="7">
        <v>172.5</v>
      </c>
      <c r="H117">
        <v>76024</v>
      </c>
      <c r="I117" t="s">
        <v>851</v>
      </c>
      <c r="J117" t="s">
        <v>993</v>
      </c>
      <c r="K117" t="s">
        <v>3</v>
      </c>
      <c r="L117" s="2">
        <v>43191</v>
      </c>
      <c r="M117" s="2">
        <f>DHMXX[[#This Row],[INV DOC DATE]]+30</f>
        <v>43221</v>
      </c>
      <c r="N117" s="2">
        <v>43221</v>
      </c>
      <c r="O117" s="7">
        <v>172.5</v>
      </c>
      <c r="P117" s="2">
        <v>43227</v>
      </c>
      <c r="Q117" s="7">
        <f>$E117-$O117</f>
        <v>0</v>
      </c>
      <c r="R117" s="7" t="str">
        <f ca="1">IF(TODAY() - DHMXX[INV DUE DATE]&lt;30, "Less than 30 days",IF(TODAY()-DHMXX[INV DUE DATE]&lt;60,"30-60 days","More than 60 days"))</f>
        <v>More than 60 days</v>
      </c>
      <c r="S117" t="s">
        <v>1550</v>
      </c>
      <c r="T117" s="43" t="s">
        <v>2229</v>
      </c>
      <c r="U117" t="s">
        <v>3699</v>
      </c>
    </row>
    <row r="118" spans="1:21" x14ac:dyDescent="0.3">
      <c r="A118" t="s">
        <v>837</v>
      </c>
      <c r="B118" t="s">
        <v>30</v>
      </c>
      <c r="C118" t="s">
        <v>138</v>
      </c>
      <c r="D118" s="15">
        <v>1</v>
      </c>
      <c r="E118" s="7">
        <v>172.5</v>
      </c>
      <c r="H118">
        <v>76024</v>
      </c>
      <c r="I118" t="s">
        <v>851</v>
      </c>
      <c r="J118" t="s">
        <v>994</v>
      </c>
      <c r="K118" t="s">
        <v>3</v>
      </c>
      <c r="L118" s="2">
        <v>43191</v>
      </c>
      <c r="M118" s="2">
        <f>DHMXX[[#This Row],[INV DOC DATE]]+30</f>
        <v>43221</v>
      </c>
      <c r="N118" s="2">
        <v>43221</v>
      </c>
      <c r="O118" s="7">
        <v>172.5</v>
      </c>
      <c r="P118" s="2">
        <v>43227</v>
      </c>
      <c r="Q118" s="7">
        <f>$E118-$O118</f>
        <v>0</v>
      </c>
      <c r="R118" s="7" t="str">
        <f ca="1">IF(TODAY() - DHMXX[INV DUE DATE]&lt;30, "Less than 30 days",IF(TODAY()-DHMXX[INV DUE DATE]&lt;60,"30-60 days","More than 60 days"))</f>
        <v>More than 60 days</v>
      </c>
      <c r="S118" t="s">
        <v>1550</v>
      </c>
      <c r="T118" s="43" t="s">
        <v>2229</v>
      </c>
      <c r="U118" t="s">
        <v>3699</v>
      </c>
    </row>
    <row r="119" spans="1:21" x14ac:dyDescent="0.3">
      <c r="A119" t="s">
        <v>837</v>
      </c>
      <c r="B119" t="s">
        <v>30</v>
      </c>
      <c r="C119" t="s">
        <v>139</v>
      </c>
      <c r="D119" s="15">
        <v>1</v>
      </c>
      <c r="E119" s="7">
        <v>172.5</v>
      </c>
      <c r="H119">
        <v>76833</v>
      </c>
      <c r="I119" t="s">
        <v>852</v>
      </c>
      <c r="J119" t="s">
        <v>995</v>
      </c>
      <c r="K119" t="s">
        <v>3</v>
      </c>
      <c r="L119" s="2">
        <v>43191</v>
      </c>
      <c r="M119" s="2">
        <f>DHMXX[[#This Row],[INV DOC DATE]]+30</f>
        <v>43221</v>
      </c>
      <c r="N119" s="2">
        <v>43221</v>
      </c>
      <c r="O119" s="7">
        <v>172.5</v>
      </c>
      <c r="P119" s="2">
        <v>43227</v>
      </c>
      <c r="Q119" s="7">
        <f>$E119-$O119</f>
        <v>0</v>
      </c>
      <c r="R119" s="7" t="str">
        <f ca="1">IF(TODAY() - DHMXX[INV DUE DATE]&lt;30, "Less than 30 days",IF(TODAY()-DHMXX[INV DUE DATE]&lt;60,"30-60 days","More than 60 days"))</f>
        <v>More than 60 days</v>
      </c>
      <c r="S119" t="s">
        <v>1550</v>
      </c>
      <c r="T119" s="43" t="s">
        <v>2229</v>
      </c>
      <c r="U119" t="s">
        <v>3699</v>
      </c>
    </row>
    <row r="120" spans="1:21" x14ac:dyDescent="0.3">
      <c r="A120" t="s">
        <v>837</v>
      </c>
      <c r="B120" t="s">
        <v>30</v>
      </c>
      <c r="C120" t="s">
        <v>140</v>
      </c>
      <c r="D120" s="15">
        <v>1</v>
      </c>
      <c r="E120" s="7">
        <v>172.5</v>
      </c>
      <c r="H120">
        <v>76833</v>
      </c>
      <c r="I120" t="s">
        <v>848</v>
      </c>
      <c r="J120" t="s">
        <v>996</v>
      </c>
      <c r="K120" t="s">
        <v>3</v>
      </c>
      <c r="L120" s="2">
        <v>43191</v>
      </c>
      <c r="M120" s="2">
        <f>DHMXX[[#This Row],[INV DOC DATE]]+30</f>
        <v>43221</v>
      </c>
      <c r="N120" s="2">
        <v>43221</v>
      </c>
      <c r="O120" s="7">
        <v>172.5</v>
      </c>
      <c r="P120" s="2">
        <v>43227</v>
      </c>
      <c r="Q120" s="7">
        <f>$E120-$O120</f>
        <v>0</v>
      </c>
      <c r="R120" s="7" t="str">
        <f ca="1">IF(TODAY() - DHMXX[INV DUE DATE]&lt;30, "Less than 30 days",IF(TODAY()-DHMXX[INV DUE DATE]&lt;60,"30-60 days","More than 60 days"))</f>
        <v>More than 60 days</v>
      </c>
      <c r="S120" t="s">
        <v>1550</v>
      </c>
      <c r="T120" s="43" t="s">
        <v>2229</v>
      </c>
      <c r="U120" t="s">
        <v>3699</v>
      </c>
    </row>
    <row r="121" spans="1:21" x14ac:dyDescent="0.3">
      <c r="A121" t="s">
        <v>837</v>
      </c>
      <c r="B121" t="s">
        <v>30</v>
      </c>
      <c r="C121" t="s">
        <v>141</v>
      </c>
      <c r="D121" s="15">
        <v>1</v>
      </c>
      <c r="E121" s="7">
        <v>172.5</v>
      </c>
      <c r="H121">
        <v>76833</v>
      </c>
      <c r="I121" t="s">
        <v>852</v>
      </c>
      <c r="J121" t="s">
        <v>997</v>
      </c>
      <c r="K121" t="s">
        <v>3</v>
      </c>
      <c r="L121" s="2">
        <v>43191</v>
      </c>
      <c r="M121" s="2">
        <f>DHMXX[[#This Row],[INV DOC DATE]]+30</f>
        <v>43221</v>
      </c>
      <c r="N121" s="2">
        <v>43221</v>
      </c>
      <c r="O121" s="7">
        <v>172.5</v>
      </c>
      <c r="P121" s="2">
        <v>43227</v>
      </c>
      <c r="Q121" s="7">
        <f>$E121-$O121</f>
        <v>0</v>
      </c>
      <c r="R121" s="7" t="str">
        <f ca="1">IF(TODAY() - DHMXX[INV DUE DATE]&lt;30, "Less than 30 days",IF(TODAY()-DHMXX[INV DUE DATE]&lt;60,"30-60 days","More than 60 days"))</f>
        <v>More than 60 days</v>
      </c>
      <c r="S121" t="s">
        <v>1550</v>
      </c>
      <c r="T121" s="43" t="s">
        <v>2229</v>
      </c>
      <c r="U121" t="s">
        <v>3699</v>
      </c>
    </row>
    <row r="122" spans="1:21" x14ac:dyDescent="0.3">
      <c r="A122" t="s">
        <v>837</v>
      </c>
      <c r="B122" t="s">
        <v>30</v>
      </c>
      <c r="C122" t="s">
        <v>142</v>
      </c>
      <c r="D122" s="15">
        <v>1</v>
      </c>
      <c r="E122" s="7">
        <v>172.5</v>
      </c>
      <c r="H122">
        <v>76833</v>
      </c>
      <c r="I122" t="s">
        <v>852</v>
      </c>
      <c r="J122" t="s">
        <v>998</v>
      </c>
      <c r="K122" t="s">
        <v>3</v>
      </c>
      <c r="L122" s="2">
        <v>43191</v>
      </c>
      <c r="M122" s="2">
        <f>DHMXX[[#This Row],[INV DOC DATE]]+30</f>
        <v>43221</v>
      </c>
      <c r="N122" s="2">
        <v>43221</v>
      </c>
      <c r="O122" s="7">
        <v>172.5</v>
      </c>
      <c r="P122" s="2">
        <v>43227</v>
      </c>
      <c r="Q122" s="7">
        <f>$E122-$O122</f>
        <v>0</v>
      </c>
      <c r="R122" s="7" t="str">
        <f ca="1">IF(TODAY() - DHMXX[INV DUE DATE]&lt;30, "Less than 30 days",IF(TODAY()-DHMXX[INV DUE DATE]&lt;60,"30-60 days","More than 60 days"))</f>
        <v>More than 60 days</v>
      </c>
      <c r="S122" t="s">
        <v>1550</v>
      </c>
      <c r="T122" s="43" t="s">
        <v>2229</v>
      </c>
      <c r="U122" t="s">
        <v>3699</v>
      </c>
    </row>
    <row r="123" spans="1:21" x14ac:dyDescent="0.3">
      <c r="A123" t="s">
        <v>837</v>
      </c>
      <c r="B123" t="s">
        <v>30</v>
      </c>
      <c r="C123" t="s">
        <v>143</v>
      </c>
      <c r="D123" s="15">
        <v>1</v>
      </c>
      <c r="E123" s="7">
        <v>172.5</v>
      </c>
      <c r="H123">
        <v>76833</v>
      </c>
      <c r="I123" t="s">
        <v>852</v>
      </c>
      <c r="J123" t="s">
        <v>999</v>
      </c>
      <c r="K123" t="s">
        <v>3</v>
      </c>
      <c r="L123" s="2">
        <v>43191</v>
      </c>
      <c r="M123" s="2">
        <f>DHMXX[[#This Row],[INV DOC DATE]]+30</f>
        <v>43221</v>
      </c>
      <c r="N123" s="2">
        <v>43221</v>
      </c>
      <c r="O123" s="7">
        <v>172.5</v>
      </c>
      <c r="P123" s="2">
        <v>43227</v>
      </c>
      <c r="Q123" s="7">
        <f>$E123-$O123</f>
        <v>0</v>
      </c>
      <c r="R123" s="7" t="str">
        <f ca="1">IF(TODAY() - DHMXX[INV DUE DATE]&lt;30, "Less than 30 days",IF(TODAY()-DHMXX[INV DUE DATE]&lt;60,"30-60 days","More than 60 days"))</f>
        <v>More than 60 days</v>
      </c>
      <c r="S123" t="s">
        <v>1550</v>
      </c>
      <c r="T123" s="43" t="s">
        <v>2229</v>
      </c>
      <c r="U123" t="s">
        <v>3699</v>
      </c>
    </row>
    <row r="124" spans="1:21" x14ac:dyDescent="0.3">
      <c r="A124" t="s">
        <v>837</v>
      </c>
      <c r="B124" t="s">
        <v>30</v>
      </c>
      <c r="C124" t="s">
        <v>144</v>
      </c>
      <c r="D124" s="15">
        <v>1</v>
      </c>
      <c r="E124" s="7">
        <v>172.5</v>
      </c>
      <c r="H124">
        <v>82624</v>
      </c>
      <c r="I124" t="s">
        <v>853</v>
      </c>
      <c r="J124" t="s">
        <v>1000</v>
      </c>
      <c r="K124" t="s">
        <v>3</v>
      </c>
      <c r="L124" s="2">
        <v>43191</v>
      </c>
      <c r="M124" s="2">
        <f>DHMXX[[#This Row],[INV DOC DATE]]+30</f>
        <v>43221</v>
      </c>
      <c r="N124" s="2">
        <v>43221</v>
      </c>
      <c r="O124" s="7">
        <v>172.5</v>
      </c>
      <c r="P124" s="2">
        <v>43227</v>
      </c>
      <c r="Q124" s="7">
        <f>$E124-$O124</f>
        <v>0</v>
      </c>
      <c r="R124" s="7" t="str">
        <f ca="1">IF(TODAY() - DHMXX[INV DUE DATE]&lt;30, "Less than 30 days",IF(TODAY()-DHMXX[INV DUE DATE]&lt;60,"30-60 days","More than 60 days"))</f>
        <v>More than 60 days</v>
      </c>
      <c r="S124" t="s">
        <v>1550</v>
      </c>
      <c r="T124" s="43" t="s">
        <v>2229</v>
      </c>
      <c r="U124" t="s">
        <v>3699</v>
      </c>
    </row>
    <row r="125" spans="1:21" x14ac:dyDescent="0.3">
      <c r="A125" t="s">
        <v>837</v>
      </c>
      <c r="B125" t="s">
        <v>30</v>
      </c>
      <c r="C125" t="s">
        <v>145</v>
      </c>
      <c r="D125" s="15">
        <v>1</v>
      </c>
      <c r="E125" s="7">
        <v>172.5</v>
      </c>
      <c r="H125">
        <v>8327</v>
      </c>
      <c r="I125" t="s">
        <v>854</v>
      </c>
      <c r="J125" t="s">
        <v>1001</v>
      </c>
      <c r="K125" t="s">
        <v>3</v>
      </c>
      <c r="L125" s="2">
        <v>43191</v>
      </c>
      <c r="M125" s="2">
        <f>DHMXX[[#This Row],[INV DOC DATE]]+30</f>
        <v>43221</v>
      </c>
      <c r="N125" s="2">
        <v>43221</v>
      </c>
      <c r="O125" s="7">
        <v>172.5</v>
      </c>
      <c r="P125" s="2">
        <v>43227</v>
      </c>
      <c r="Q125" s="7">
        <f>$E125-$O125</f>
        <v>0</v>
      </c>
      <c r="R125" s="7" t="str">
        <f ca="1">IF(TODAY() - DHMXX[INV DUE DATE]&lt;30, "Less than 30 days",IF(TODAY()-DHMXX[INV DUE DATE]&lt;60,"30-60 days","More than 60 days"))</f>
        <v>More than 60 days</v>
      </c>
      <c r="S125" t="s">
        <v>1550</v>
      </c>
      <c r="T125" s="43" t="s">
        <v>2229</v>
      </c>
      <c r="U125" t="s">
        <v>3699</v>
      </c>
    </row>
    <row r="126" spans="1:21" x14ac:dyDescent="0.3">
      <c r="A126" t="s">
        <v>837</v>
      </c>
      <c r="B126" t="s">
        <v>30</v>
      </c>
      <c r="C126" t="s">
        <v>146</v>
      </c>
      <c r="D126" s="15">
        <v>1</v>
      </c>
      <c r="E126" s="7">
        <v>172.5</v>
      </c>
      <c r="H126">
        <v>85175</v>
      </c>
      <c r="I126" t="s">
        <v>839</v>
      </c>
      <c r="J126" t="s">
        <v>1002</v>
      </c>
      <c r="K126" t="s">
        <v>3</v>
      </c>
      <c r="L126" s="2">
        <v>43191</v>
      </c>
      <c r="M126" s="2">
        <f>DHMXX[[#This Row],[INV DOC DATE]]+30</f>
        <v>43221</v>
      </c>
      <c r="N126" s="2">
        <v>43221</v>
      </c>
      <c r="O126" s="7">
        <v>172.5</v>
      </c>
      <c r="P126" s="2">
        <v>43227</v>
      </c>
      <c r="Q126" s="7">
        <f>$E126-$O126</f>
        <v>0</v>
      </c>
      <c r="R126" s="7" t="str">
        <f ca="1">IF(TODAY() - DHMXX[INV DUE DATE]&lt;30, "Less than 30 days",IF(TODAY()-DHMXX[INV DUE DATE]&lt;60,"30-60 days","More than 60 days"))</f>
        <v>More than 60 days</v>
      </c>
      <c r="S126" t="s">
        <v>1550</v>
      </c>
      <c r="T126" s="43" t="s">
        <v>2229</v>
      </c>
      <c r="U126" t="s">
        <v>3699</v>
      </c>
    </row>
    <row r="127" spans="1:21" x14ac:dyDescent="0.3">
      <c r="A127" t="s">
        <v>837</v>
      </c>
      <c r="B127" t="s">
        <v>30</v>
      </c>
      <c r="C127" t="s">
        <v>147</v>
      </c>
      <c r="D127" s="15">
        <v>1</v>
      </c>
      <c r="E127" s="7">
        <v>172.5</v>
      </c>
      <c r="H127">
        <v>85175</v>
      </c>
      <c r="I127" t="s">
        <v>839</v>
      </c>
      <c r="J127" t="s">
        <v>1003</v>
      </c>
      <c r="K127" t="s">
        <v>3</v>
      </c>
      <c r="L127" s="2">
        <v>43191</v>
      </c>
      <c r="M127" s="2">
        <f>DHMXX[[#This Row],[INV DOC DATE]]+30</f>
        <v>43221</v>
      </c>
      <c r="N127" s="2">
        <v>43221</v>
      </c>
      <c r="O127" s="7">
        <v>172.5</v>
      </c>
      <c r="P127" s="2">
        <v>43227</v>
      </c>
      <c r="Q127" s="7">
        <f>$E127-$O127</f>
        <v>0</v>
      </c>
      <c r="R127" s="7" t="str">
        <f ca="1">IF(TODAY() - DHMXX[INV DUE DATE]&lt;30, "Less than 30 days",IF(TODAY()-DHMXX[INV DUE DATE]&lt;60,"30-60 days","More than 60 days"))</f>
        <v>More than 60 days</v>
      </c>
      <c r="S127" t="s">
        <v>1550</v>
      </c>
      <c r="T127" s="43" t="s">
        <v>2229</v>
      </c>
      <c r="U127" t="s">
        <v>3699</v>
      </c>
    </row>
    <row r="128" spans="1:21" x14ac:dyDescent="0.3">
      <c r="A128" t="s">
        <v>837</v>
      </c>
      <c r="B128" t="s">
        <v>30</v>
      </c>
      <c r="C128" t="s">
        <v>148</v>
      </c>
      <c r="D128" s="15">
        <v>1</v>
      </c>
      <c r="E128" s="7">
        <v>172.5</v>
      </c>
      <c r="H128">
        <v>85175</v>
      </c>
      <c r="I128" t="s">
        <v>839</v>
      </c>
      <c r="J128" t="s">
        <v>1004</v>
      </c>
      <c r="K128" t="s">
        <v>3</v>
      </c>
      <c r="L128" s="2">
        <v>43191</v>
      </c>
      <c r="M128" s="2">
        <f>DHMXX[[#This Row],[INV DOC DATE]]+30</f>
        <v>43221</v>
      </c>
      <c r="N128" s="2">
        <v>43221</v>
      </c>
      <c r="O128" s="7">
        <v>172.5</v>
      </c>
      <c r="P128" s="2">
        <v>43227</v>
      </c>
      <c r="Q128" s="7">
        <f>$E128-$O128</f>
        <v>0</v>
      </c>
      <c r="R128" s="7" t="str">
        <f ca="1">IF(TODAY() - DHMXX[INV DUE DATE]&lt;30, "Less than 30 days",IF(TODAY()-DHMXX[INV DUE DATE]&lt;60,"30-60 days","More than 60 days"))</f>
        <v>More than 60 days</v>
      </c>
      <c r="S128" t="s">
        <v>1550</v>
      </c>
      <c r="T128" s="43" t="s">
        <v>2229</v>
      </c>
      <c r="U128" t="s">
        <v>3699</v>
      </c>
    </row>
    <row r="129" spans="1:21" x14ac:dyDescent="0.3">
      <c r="A129" t="s">
        <v>837</v>
      </c>
      <c r="B129" t="s">
        <v>30</v>
      </c>
      <c r="C129" t="s">
        <v>149</v>
      </c>
      <c r="D129" s="15">
        <v>1</v>
      </c>
      <c r="E129" s="7">
        <v>172.5</v>
      </c>
      <c r="H129">
        <v>90352</v>
      </c>
      <c r="I129" t="s">
        <v>855</v>
      </c>
      <c r="J129" t="s">
        <v>1005</v>
      </c>
      <c r="K129" t="s">
        <v>3</v>
      </c>
      <c r="L129" s="2">
        <v>43191</v>
      </c>
      <c r="M129" s="2">
        <f>DHMXX[[#This Row],[INV DOC DATE]]+30</f>
        <v>43221</v>
      </c>
      <c r="N129" s="2">
        <v>43221</v>
      </c>
      <c r="O129" s="7">
        <v>172.5</v>
      </c>
      <c r="P129" s="2">
        <v>43227</v>
      </c>
      <c r="Q129" s="7">
        <f>$E129-$O129</f>
        <v>0</v>
      </c>
      <c r="R129" s="7" t="str">
        <f ca="1">IF(TODAY() - DHMXX[INV DUE DATE]&lt;30, "Less than 30 days",IF(TODAY()-DHMXX[INV DUE DATE]&lt;60,"30-60 days","More than 60 days"))</f>
        <v>More than 60 days</v>
      </c>
      <c r="S129" t="s">
        <v>1550</v>
      </c>
      <c r="T129" s="43" t="s">
        <v>2229</v>
      </c>
      <c r="U129" t="s">
        <v>3699</v>
      </c>
    </row>
    <row r="130" spans="1:21" x14ac:dyDescent="0.3">
      <c r="A130" t="s">
        <v>837</v>
      </c>
      <c r="B130" t="s">
        <v>30</v>
      </c>
      <c r="C130" t="s">
        <v>150</v>
      </c>
      <c r="D130" s="15">
        <v>1</v>
      </c>
      <c r="E130" s="7">
        <v>172.5</v>
      </c>
      <c r="H130">
        <v>90352</v>
      </c>
      <c r="I130" t="s">
        <v>855</v>
      </c>
      <c r="J130" t="s">
        <v>1006</v>
      </c>
      <c r="K130" t="s">
        <v>3</v>
      </c>
      <c r="L130" s="2">
        <v>43191</v>
      </c>
      <c r="M130" s="2">
        <f>DHMXX[[#This Row],[INV DOC DATE]]+30</f>
        <v>43221</v>
      </c>
      <c r="N130" s="2">
        <v>43221</v>
      </c>
      <c r="O130" s="7">
        <v>172.5</v>
      </c>
      <c r="P130" s="2">
        <v>43227</v>
      </c>
      <c r="Q130" s="7">
        <f>$E130-$O130</f>
        <v>0</v>
      </c>
      <c r="R130" s="7" t="str">
        <f ca="1">IF(TODAY() - DHMXX[INV DUE DATE]&lt;30, "Less than 30 days",IF(TODAY()-DHMXX[INV DUE DATE]&lt;60,"30-60 days","More than 60 days"))</f>
        <v>More than 60 days</v>
      </c>
      <c r="S130" t="s">
        <v>1550</v>
      </c>
      <c r="T130" s="43" t="s">
        <v>2229</v>
      </c>
      <c r="U130" t="s">
        <v>3699</v>
      </c>
    </row>
    <row r="131" spans="1:21" x14ac:dyDescent="0.3">
      <c r="A131" t="s">
        <v>837</v>
      </c>
      <c r="B131" t="s">
        <v>30</v>
      </c>
      <c r="C131" t="s">
        <v>151</v>
      </c>
      <c r="D131" s="15">
        <v>1</v>
      </c>
      <c r="E131" s="7">
        <v>172.5</v>
      </c>
      <c r="H131">
        <v>90352</v>
      </c>
      <c r="I131" t="s">
        <v>855</v>
      </c>
      <c r="J131" t="s">
        <v>1007</v>
      </c>
      <c r="K131" t="s">
        <v>3</v>
      </c>
      <c r="L131" s="2">
        <v>43191</v>
      </c>
      <c r="M131" s="2">
        <f>DHMXX[[#This Row],[INV DOC DATE]]+30</f>
        <v>43221</v>
      </c>
      <c r="N131" s="2">
        <v>43221</v>
      </c>
      <c r="O131" s="7">
        <v>172.5</v>
      </c>
      <c r="P131" s="2">
        <v>43227</v>
      </c>
      <c r="Q131" s="7">
        <f>$E131-$O131</f>
        <v>0</v>
      </c>
      <c r="R131" s="7" t="str">
        <f ca="1">IF(TODAY() - DHMXX[INV DUE DATE]&lt;30, "Less than 30 days",IF(TODAY()-DHMXX[INV DUE DATE]&lt;60,"30-60 days","More than 60 days"))</f>
        <v>More than 60 days</v>
      </c>
      <c r="S131" t="s">
        <v>1550</v>
      </c>
      <c r="T131" s="43" t="s">
        <v>2229</v>
      </c>
      <c r="U131" t="s">
        <v>3699</v>
      </c>
    </row>
    <row r="132" spans="1:21" x14ac:dyDescent="0.3">
      <c r="A132" t="s">
        <v>837</v>
      </c>
      <c r="B132" t="s">
        <v>30</v>
      </c>
      <c r="C132" t="s">
        <v>152</v>
      </c>
      <c r="D132" s="15">
        <v>1</v>
      </c>
      <c r="E132" s="7">
        <v>172.5</v>
      </c>
      <c r="H132">
        <v>90352</v>
      </c>
      <c r="I132" t="s">
        <v>855</v>
      </c>
      <c r="J132" t="s">
        <v>1008</v>
      </c>
      <c r="K132" t="s">
        <v>3</v>
      </c>
      <c r="L132" s="2">
        <v>43191</v>
      </c>
      <c r="M132" s="2">
        <f>DHMXX[[#This Row],[INV DOC DATE]]+30</f>
        <v>43221</v>
      </c>
      <c r="N132" s="2">
        <v>43221</v>
      </c>
      <c r="O132" s="7">
        <v>172.5</v>
      </c>
      <c r="P132" s="2">
        <v>43227</v>
      </c>
      <c r="Q132" s="7">
        <f>$E132-$O132</f>
        <v>0</v>
      </c>
      <c r="R132" s="7" t="str">
        <f ca="1">IF(TODAY() - DHMXX[INV DUE DATE]&lt;30, "Less than 30 days",IF(TODAY()-DHMXX[INV DUE DATE]&lt;60,"30-60 days","More than 60 days"))</f>
        <v>More than 60 days</v>
      </c>
      <c r="S132" t="s">
        <v>1550</v>
      </c>
      <c r="T132" s="43" t="s">
        <v>2229</v>
      </c>
      <c r="U132" t="s">
        <v>3699</v>
      </c>
    </row>
    <row r="133" spans="1:21" x14ac:dyDescent="0.3">
      <c r="A133" t="s">
        <v>837</v>
      </c>
      <c r="B133" t="s">
        <v>30</v>
      </c>
      <c r="C133" t="s">
        <v>296</v>
      </c>
      <c r="D133" s="15">
        <v>1</v>
      </c>
      <c r="E133" s="7">
        <v>172.5</v>
      </c>
      <c r="H133">
        <v>90352</v>
      </c>
      <c r="I133" t="s">
        <v>855</v>
      </c>
      <c r="J133" t="s">
        <v>1009</v>
      </c>
      <c r="K133" t="s">
        <v>3</v>
      </c>
      <c r="L133" s="2">
        <v>43191</v>
      </c>
      <c r="M133" s="2">
        <f>DHMXX[[#This Row],[INV DOC DATE]]+30</f>
        <v>43221</v>
      </c>
      <c r="N133" s="2">
        <v>43221</v>
      </c>
      <c r="O133" s="7">
        <v>172.5</v>
      </c>
      <c r="P133" s="2">
        <v>43227</v>
      </c>
      <c r="Q133" s="7">
        <f>$E133-$O133</f>
        <v>0</v>
      </c>
      <c r="R133" s="7" t="str">
        <f ca="1">IF(TODAY() - DHMXX[INV DUE DATE]&lt;30, "Less than 30 days",IF(TODAY()-DHMXX[INV DUE DATE]&lt;60,"30-60 days","More than 60 days"))</f>
        <v>More than 60 days</v>
      </c>
      <c r="S133" t="s">
        <v>1550</v>
      </c>
      <c r="T133" s="43" t="s">
        <v>2229</v>
      </c>
      <c r="U133" t="s">
        <v>3699</v>
      </c>
    </row>
    <row r="134" spans="1:21" x14ac:dyDescent="0.3">
      <c r="A134" t="s">
        <v>837</v>
      </c>
      <c r="B134" t="s">
        <v>30</v>
      </c>
      <c r="C134" t="s">
        <v>297</v>
      </c>
      <c r="D134" s="15">
        <v>1</v>
      </c>
      <c r="E134" s="7">
        <v>172.5</v>
      </c>
      <c r="H134">
        <v>90352</v>
      </c>
      <c r="I134" t="s">
        <v>855</v>
      </c>
      <c r="J134" t="s">
        <v>1010</v>
      </c>
      <c r="K134" t="s">
        <v>3</v>
      </c>
      <c r="L134" s="2">
        <v>43191</v>
      </c>
      <c r="M134" s="2">
        <f>DHMXX[[#This Row],[INV DOC DATE]]+30</f>
        <v>43221</v>
      </c>
      <c r="N134" s="2">
        <v>43221</v>
      </c>
      <c r="O134" s="7">
        <v>172.5</v>
      </c>
      <c r="P134" s="2">
        <v>43227</v>
      </c>
      <c r="Q134" s="7">
        <f>$E134-$O134</f>
        <v>0</v>
      </c>
      <c r="R134" s="7" t="str">
        <f ca="1">IF(TODAY() - DHMXX[INV DUE DATE]&lt;30, "Less than 30 days",IF(TODAY()-DHMXX[INV DUE DATE]&lt;60,"30-60 days","More than 60 days"))</f>
        <v>More than 60 days</v>
      </c>
      <c r="S134" t="s">
        <v>1550</v>
      </c>
      <c r="T134" s="43" t="s">
        <v>2229</v>
      </c>
      <c r="U134" t="s">
        <v>3699</v>
      </c>
    </row>
    <row r="135" spans="1:21" x14ac:dyDescent="0.3">
      <c r="A135" t="s">
        <v>837</v>
      </c>
      <c r="B135" t="s">
        <v>30</v>
      </c>
      <c r="C135" t="s">
        <v>298</v>
      </c>
      <c r="D135" s="15">
        <v>1</v>
      </c>
      <c r="E135" s="7">
        <v>172.5</v>
      </c>
      <c r="H135">
        <v>90352</v>
      </c>
      <c r="I135" t="s">
        <v>855</v>
      </c>
      <c r="J135" t="s">
        <v>1011</v>
      </c>
      <c r="K135" t="s">
        <v>3</v>
      </c>
      <c r="L135" s="2">
        <v>43191</v>
      </c>
      <c r="M135" s="2">
        <f>DHMXX[[#This Row],[INV DOC DATE]]+30</f>
        <v>43221</v>
      </c>
      <c r="N135" s="2">
        <v>43221</v>
      </c>
      <c r="O135" s="7">
        <v>172.5</v>
      </c>
      <c r="P135" s="2">
        <v>43227</v>
      </c>
      <c r="Q135" s="7">
        <f>$E135-$O135</f>
        <v>0</v>
      </c>
      <c r="R135" s="7" t="str">
        <f ca="1">IF(TODAY() - DHMXX[INV DUE DATE]&lt;30, "Less than 30 days",IF(TODAY()-DHMXX[INV DUE DATE]&lt;60,"30-60 days","More than 60 days"))</f>
        <v>More than 60 days</v>
      </c>
      <c r="S135" t="s">
        <v>1550</v>
      </c>
      <c r="T135" s="43" t="s">
        <v>2229</v>
      </c>
      <c r="U135" t="s">
        <v>3699</v>
      </c>
    </row>
    <row r="136" spans="1:21" x14ac:dyDescent="0.3">
      <c r="A136" t="s">
        <v>837</v>
      </c>
      <c r="B136" t="s">
        <v>30</v>
      </c>
      <c r="C136" t="s">
        <v>299</v>
      </c>
      <c r="D136" s="15">
        <v>1</v>
      </c>
      <c r="E136" s="7">
        <v>172.5</v>
      </c>
      <c r="H136">
        <v>90352</v>
      </c>
      <c r="I136" t="s">
        <v>855</v>
      </c>
      <c r="J136" t="s">
        <v>1012</v>
      </c>
      <c r="K136" t="s">
        <v>3</v>
      </c>
      <c r="L136" s="2">
        <v>43191</v>
      </c>
      <c r="M136" s="2">
        <f>DHMXX[[#This Row],[INV DOC DATE]]+30</f>
        <v>43221</v>
      </c>
      <c r="N136" s="2">
        <v>43221</v>
      </c>
      <c r="O136" s="7">
        <v>172.5</v>
      </c>
      <c r="P136" s="2">
        <v>43227</v>
      </c>
      <c r="Q136" s="7">
        <f>$E136-$O136</f>
        <v>0</v>
      </c>
      <c r="R136" s="7" t="str">
        <f ca="1">IF(TODAY() - DHMXX[INV DUE DATE]&lt;30, "Less than 30 days",IF(TODAY()-DHMXX[INV DUE DATE]&lt;60,"30-60 days","More than 60 days"))</f>
        <v>More than 60 days</v>
      </c>
      <c r="S136" t="s">
        <v>1550</v>
      </c>
      <c r="T136" s="43" t="s">
        <v>2229</v>
      </c>
      <c r="U136" t="s">
        <v>3699</v>
      </c>
    </row>
    <row r="137" spans="1:21" x14ac:dyDescent="0.3">
      <c r="A137" t="s">
        <v>837</v>
      </c>
      <c r="B137" t="s">
        <v>30</v>
      </c>
      <c r="C137" t="s">
        <v>300</v>
      </c>
      <c r="D137" s="15">
        <v>1</v>
      </c>
      <c r="E137" s="7">
        <v>172.5</v>
      </c>
      <c r="H137">
        <v>90352</v>
      </c>
      <c r="I137" t="s">
        <v>855</v>
      </c>
      <c r="J137" t="s">
        <v>1013</v>
      </c>
      <c r="K137" t="s">
        <v>3</v>
      </c>
      <c r="L137" s="2">
        <v>43191</v>
      </c>
      <c r="M137" s="2">
        <f>DHMXX[[#This Row],[INV DOC DATE]]+30</f>
        <v>43221</v>
      </c>
      <c r="N137" s="2">
        <v>43221</v>
      </c>
      <c r="O137" s="7">
        <v>172.5</v>
      </c>
      <c r="P137" s="2">
        <v>43227</v>
      </c>
      <c r="Q137" s="7">
        <f>$E137-$O137</f>
        <v>0</v>
      </c>
      <c r="R137" s="7" t="str">
        <f ca="1">IF(TODAY() - DHMXX[INV DUE DATE]&lt;30, "Less than 30 days",IF(TODAY()-DHMXX[INV DUE DATE]&lt;60,"30-60 days","More than 60 days"))</f>
        <v>More than 60 days</v>
      </c>
      <c r="S137" t="s">
        <v>1550</v>
      </c>
      <c r="T137" s="43" t="s">
        <v>2229</v>
      </c>
      <c r="U137" t="s">
        <v>3699</v>
      </c>
    </row>
    <row r="138" spans="1:21" x14ac:dyDescent="0.3">
      <c r="A138" t="s">
        <v>837</v>
      </c>
      <c r="B138" t="s">
        <v>30</v>
      </c>
      <c r="C138" t="s">
        <v>301</v>
      </c>
      <c r="D138" s="15">
        <v>1</v>
      </c>
      <c r="E138" s="7">
        <v>172.5</v>
      </c>
      <c r="H138">
        <v>90352</v>
      </c>
      <c r="I138" t="s">
        <v>855</v>
      </c>
      <c r="J138" t="s">
        <v>1014</v>
      </c>
      <c r="K138" t="s">
        <v>3</v>
      </c>
      <c r="L138" s="2">
        <v>43191</v>
      </c>
      <c r="M138" s="2">
        <f>DHMXX[[#This Row],[INV DOC DATE]]+30</f>
        <v>43221</v>
      </c>
      <c r="N138" s="2">
        <v>43221</v>
      </c>
      <c r="O138" s="7">
        <v>172.5</v>
      </c>
      <c r="P138" s="2">
        <v>43227</v>
      </c>
      <c r="Q138" s="7">
        <f>$E138-$O138</f>
        <v>0</v>
      </c>
      <c r="R138" s="7" t="str">
        <f ca="1">IF(TODAY() - DHMXX[INV DUE DATE]&lt;30, "Less than 30 days",IF(TODAY()-DHMXX[INV DUE DATE]&lt;60,"30-60 days","More than 60 days"))</f>
        <v>More than 60 days</v>
      </c>
      <c r="S138" t="s">
        <v>1550</v>
      </c>
      <c r="T138" s="43" t="s">
        <v>2229</v>
      </c>
      <c r="U138" t="s">
        <v>3699</v>
      </c>
    </row>
    <row r="139" spans="1:21" x14ac:dyDescent="0.3">
      <c r="A139" t="s">
        <v>837</v>
      </c>
      <c r="B139" t="s">
        <v>30</v>
      </c>
      <c r="C139" t="s">
        <v>302</v>
      </c>
      <c r="D139" s="15">
        <v>1</v>
      </c>
      <c r="E139" s="7">
        <v>172.5</v>
      </c>
      <c r="H139">
        <v>90352</v>
      </c>
      <c r="I139" t="s">
        <v>855</v>
      </c>
      <c r="J139" t="s">
        <v>1015</v>
      </c>
      <c r="K139" t="s">
        <v>3</v>
      </c>
      <c r="L139" s="2">
        <v>43191</v>
      </c>
      <c r="M139" s="2">
        <f>DHMXX[[#This Row],[INV DOC DATE]]+30</f>
        <v>43221</v>
      </c>
      <c r="N139" s="2">
        <v>43221</v>
      </c>
      <c r="O139" s="7">
        <v>172.5</v>
      </c>
      <c r="P139" s="2">
        <v>43227</v>
      </c>
      <c r="Q139" s="7">
        <f>$E139-$O139</f>
        <v>0</v>
      </c>
      <c r="R139" s="7" t="str">
        <f ca="1">IF(TODAY() - DHMXX[INV DUE DATE]&lt;30, "Less than 30 days",IF(TODAY()-DHMXX[INV DUE DATE]&lt;60,"30-60 days","More than 60 days"))</f>
        <v>More than 60 days</v>
      </c>
      <c r="S139" t="s">
        <v>1550</v>
      </c>
      <c r="T139" s="43" t="s">
        <v>2229</v>
      </c>
      <c r="U139" t="s">
        <v>3699</v>
      </c>
    </row>
    <row r="140" spans="1:21" x14ac:dyDescent="0.3">
      <c r="A140" t="s">
        <v>837</v>
      </c>
      <c r="B140" t="s">
        <v>30</v>
      </c>
      <c r="C140" t="s">
        <v>303</v>
      </c>
      <c r="D140" s="15">
        <v>1</v>
      </c>
      <c r="E140" s="7">
        <v>172.5</v>
      </c>
      <c r="H140">
        <v>90352</v>
      </c>
      <c r="I140" t="s">
        <v>855</v>
      </c>
      <c r="J140" t="s">
        <v>1016</v>
      </c>
      <c r="K140" t="s">
        <v>3</v>
      </c>
      <c r="L140" s="2">
        <v>43191</v>
      </c>
      <c r="M140" s="2">
        <f>DHMXX[[#This Row],[INV DOC DATE]]+30</f>
        <v>43221</v>
      </c>
      <c r="N140" s="2">
        <v>43221</v>
      </c>
      <c r="O140" s="7">
        <v>172.5</v>
      </c>
      <c r="P140" s="2">
        <v>43227</v>
      </c>
      <c r="Q140" s="7">
        <f>$E140-$O140</f>
        <v>0</v>
      </c>
      <c r="R140" s="7" t="str">
        <f ca="1">IF(TODAY() - DHMXX[INV DUE DATE]&lt;30, "Less than 30 days",IF(TODAY()-DHMXX[INV DUE DATE]&lt;60,"30-60 days","More than 60 days"))</f>
        <v>More than 60 days</v>
      </c>
      <c r="S140" t="s">
        <v>1550</v>
      </c>
      <c r="T140" s="43" t="s">
        <v>2229</v>
      </c>
      <c r="U140" t="s">
        <v>3699</v>
      </c>
    </row>
    <row r="141" spans="1:21" x14ac:dyDescent="0.3">
      <c r="A141" t="s">
        <v>837</v>
      </c>
      <c r="B141" t="s">
        <v>30</v>
      </c>
      <c r="C141" t="s">
        <v>304</v>
      </c>
      <c r="D141" s="15">
        <v>1</v>
      </c>
      <c r="E141" s="7">
        <v>172.5</v>
      </c>
      <c r="H141">
        <v>90352</v>
      </c>
      <c r="I141" t="s">
        <v>855</v>
      </c>
      <c r="J141" t="s">
        <v>1017</v>
      </c>
      <c r="K141" t="s">
        <v>3</v>
      </c>
      <c r="L141" s="2">
        <v>43191</v>
      </c>
      <c r="M141" s="2">
        <f>DHMXX[[#This Row],[INV DOC DATE]]+30</f>
        <v>43221</v>
      </c>
      <c r="N141" s="2">
        <v>43221</v>
      </c>
      <c r="O141" s="7">
        <v>172.5</v>
      </c>
      <c r="P141" s="2">
        <v>43227</v>
      </c>
      <c r="Q141" s="7">
        <f>$E141-$O141</f>
        <v>0</v>
      </c>
      <c r="R141" s="7" t="str">
        <f ca="1">IF(TODAY() - DHMXX[INV DUE DATE]&lt;30, "Less than 30 days",IF(TODAY()-DHMXX[INV DUE DATE]&lt;60,"30-60 days","More than 60 days"))</f>
        <v>More than 60 days</v>
      </c>
      <c r="S141" t="s">
        <v>1550</v>
      </c>
      <c r="T141" s="43" t="s">
        <v>2229</v>
      </c>
      <c r="U141" t="s">
        <v>3699</v>
      </c>
    </row>
    <row r="142" spans="1:21" x14ac:dyDescent="0.3">
      <c r="A142" t="s">
        <v>837</v>
      </c>
      <c r="B142" t="s">
        <v>30</v>
      </c>
      <c r="C142" t="s">
        <v>305</v>
      </c>
      <c r="D142" s="15">
        <v>1</v>
      </c>
      <c r="E142" s="7">
        <v>172.5</v>
      </c>
      <c r="H142">
        <v>90352</v>
      </c>
      <c r="I142" t="s">
        <v>855</v>
      </c>
      <c r="J142" t="s">
        <v>1018</v>
      </c>
      <c r="K142" t="s">
        <v>3</v>
      </c>
      <c r="L142" s="2">
        <v>43191</v>
      </c>
      <c r="M142" s="2">
        <f>DHMXX[[#This Row],[INV DOC DATE]]+30</f>
        <v>43221</v>
      </c>
      <c r="N142" s="2">
        <v>43221</v>
      </c>
      <c r="O142" s="7">
        <v>172.5</v>
      </c>
      <c r="P142" s="2">
        <v>43227</v>
      </c>
      <c r="Q142" s="7">
        <f>$E142-$O142</f>
        <v>0</v>
      </c>
      <c r="R142" s="7" t="str">
        <f ca="1">IF(TODAY() - DHMXX[INV DUE DATE]&lt;30, "Less than 30 days",IF(TODAY()-DHMXX[INV DUE DATE]&lt;60,"30-60 days","More than 60 days"))</f>
        <v>More than 60 days</v>
      </c>
      <c r="S142" t="s">
        <v>1550</v>
      </c>
      <c r="T142" s="43" t="s">
        <v>2229</v>
      </c>
      <c r="U142" t="s">
        <v>3699</v>
      </c>
    </row>
    <row r="143" spans="1:21" x14ac:dyDescent="0.3">
      <c r="A143" t="s">
        <v>837</v>
      </c>
      <c r="B143" t="s">
        <v>30</v>
      </c>
      <c r="C143" t="s">
        <v>306</v>
      </c>
      <c r="D143" s="15">
        <v>1</v>
      </c>
      <c r="E143" s="7">
        <v>172.5</v>
      </c>
      <c r="H143">
        <v>90352</v>
      </c>
      <c r="I143" t="s">
        <v>855</v>
      </c>
      <c r="J143" t="s">
        <v>1019</v>
      </c>
      <c r="K143" t="s">
        <v>3</v>
      </c>
      <c r="L143" s="2">
        <v>43191</v>
      </c>
      <c r="M143" s="2">
        <f>DHMXX[[#This Row],[INV DOC DATE]]+30</f>
        <v>43221</v>
      </c>
      <c r="N143" s="2">
        <v>43221</v>
      </c>
      <c r="O143" s="7">
        <v>172.5</v>
      </c>
      <c r="P143" s="2">
        <v>43227</v>
      </c>
      <c r="Q143" s="7">
        <f>$E143-$O143</f>
        <v>0</v>
      </c>
      <c r="R143" s="7" t="str">
        <f ca="1">IF(TODAY() - DHMXX[INV DUE DATE]&lt;30, "Less than 30 days",IF(TODAY()-DHMXX[INV DUE DATE]&lt;60,"30-60 days","More than 60 days"))</f>
        <v>More than 60 days</v>
      </c>
      <c r="S143" t="s">
        <v>1550</v>
      </c>
      <c r="T143" s="43" t="s">
        <v>2229</v>
      </c>
      <c r="U143" t="s">
        <v>3699</v>
      </c>
    </row>
    <row r="144" spans="1:21" x14ac:dyDescent="0.3">
      <c r="A144" t="s">
        <v>837</v>
      </c>
      <c r="B144" t="s">
        <v>30</v>
      </c>
      <c r="C144" t="s">
        <v>307</v>
      </c>
      <c r="D144" s="15">
        <v>1</v>
      </c>
      <c r="E144" s="7">
        <v>172.5</v>
      </c>
      <c r="H144">
        <v>90352</v>
      </c>
      <c r="I144" t="s">
        <v>855</v>
      </c>
      <c r="J144" t="s">
        <v>1020</v>
      </c>
      <c r="K144" t="s">
        <v>3</v>
      </c>
      <c r="L144" s="2">
        <v>43191</v>
      </c>
      <c r="M144" s="2">
        <f>DHMXX[[#This Row],[INV DOC DATE]]+30</f>
        <v>43221</v>
      </c>
      <c r="N144" s="2">
        <v>43221</v>
      </c>
      <c r="O144" s="7">
        <v>172.5</v>
      </c>
      <c r="P144" s="2">
        <v>43227</v>
      </c>
      <c r="Q144" s="7">
        <f>$E144-$O144</f>
        <v>0</v>
      </c>
      <c r="R144" s="7" t="str">
        <f ca="1">IF(TODAY() - DHMXX[INV DUE DATE]&lt;30, "Less than 30 days",IF(TODAY()-DHMXX[INV DUE DATE]&lt;60,"30-60 days","More than 60 days"))</f>
        <v>More than 60 days</v>
      </c>
      <c r="S144" t="s">
        <v>1550</v>
      </c>
      <c r="T144" s="43" t="s">
        <v>2229</v>
      </c>
      <c r="U144" t="s">
        <v>3699</v>
      </c>
    </row>
    <row r="145" spans="1:21" x14ac:dyDescent="0.3">
      <c r="A145" t="s">
        <v>837</v>
      </c>
      <c r="B145" t="s">
        <v>30</v>
      </c>
      <c r="C145" t="s">
        <v>308</v>
      </c>
      <c r="D145" s="15">
        <v>1</v>
      </c>
      <c r="E145" s="7">
        <v>172.5</v>
      </c>
      <c r="H145">
        <v>90352</v>
      </c>
      <c r="I145" t="s">
        <v>855</v>
      </c>
      <c r="J145" t="s">
        <v>1021</v>
      </c>
      <c r="K145" t="s">
        <v>3</v>
      </c>
      <c r="L145" s="2">
        <v>43191</v>
      </c>
      <c r="M145" s="2">
        <f>DHMXX[[#This Row],[INV DOC DATE]]+30</f>
        <v>43221</v>
      </c>
      <c r="N145" s="2">
        <v>43221</v>
      </c>
      <c r="O145" s="7">
        <v>172.5</v>
      </c>
      <c r="P145" s="2">
        <v>43227</v>
      </c>
      <c r="Q145" s="7">
        <f>$E145-$O145</f>
        <v>0</v>
      </c>
      <c r="R145" s="7" t="str">
        <f ca="1">IF(TODAY() - DHMXX[INV DUE DATE]&lt;30, "Less than 30 days",IF(TODAY()-DHMXX[INV DUE DATE]&lt;60,"30-60 days","More than 60 days"))</f>
        <v>More than 60 days</v>
      </c>
      <c r="S145" t="s">
        <v>1550</v>
      </c>
      <c r="T145" s="43" t="s">
        <v>2229</v>
      </c>
      <c r="U145" t="s">
        <v>3699</v>
      </c>
    </row>
    <row r="146" spans="1:21" x14ac:dyDescent="0.3">
      <c r="A146" t="s">
        <v>837</v>
      </c>
      <c r="B146" t="s">
        <v>30</v>
      </c>
      <c r="C146" t="s">
        <v>309</v>
      </c>
      <c r="D146" s="15">
        <v>1</v>
      </c>
      <c r="E146" s="7">
        <v>172.5</v>
      </c>
      <c r="H146">
        <v>90352</v>
      </c>
      <c r="I146" t="s">
        <v>855</v>
      </c>
      <c r="J146" t="s">
        <v>1022</v>
      </c>
      <c r="K146" t="s">
        <v>3</v>
      </c>
      <c r="L146" s="2">
        <v>43191</v>
      </c>
      <c r="M146" s="2">
        <f>DHMXX[[#This Row],[INV DOC DATE]]+30</f>
        <v>43221</v>
      </c>
      <c r="N146" s="2">
        <v>43221</v>
      </c>
      <c r="O146" s="7">
        <v>172.5</v>
      </c>
      <c r="P146" s="2">
        <v>43227</v>
      </c>
      <c r="Q146" s="7">
        <f>$E146-$O146</f>
        <v>0</v>
      </c>
      <c r="R146" s="7" t="str">
        <f ca="1">IF(TODAY() - DHMXX[INV DUE DATE]&lt;30, "Less than 30 days",IF(TODAY()-DHMXX[INV DUE DATE]&lt;60,"30-60 days","More than 60 days"))</f>
        <v>More than 60 days</v>
      </c>
      <c r="S146" t="s">
        <v>1550</v>
      </c>
      <c r="T146" s="43" t="s">
        <v>2229</v>
      </c>
      <c r="U146" t="s">
        <v>3699</v>
      </c>
    </row>
    <row r="147" spans="1:21" x14ac:dyDescent="0.3">
      <c r="A147" t="s">
        <v>837</v>
      </c>
      <c r="B147" t="s">
        <v>30</v>
      </c>
      <c r="C147" t="s">
        <v>310</v>
      </c>
      <c r="D147" s="15">
        <v>1</v>
      </c>
      <c r="E147" s="7">
        <v>172.5</v>
      </c>
      <c r="H147">
        <v>90352</v>
      </c>
      <c r="I147" t="s">
        <v>855</v>
      </c>
      <c r="J147" t="s">
        <v>1023</v>
      </c>
      <c r="K147" t="s">
        <v>3</v>
      </c>
      <c r="L147" s="2">
        <v>43191</v>
      </c>
      <c r="M147" s="2">
        <f>DHMXX[[#This Row],[INV DOC DATE]]+30</f>
        <v>43221</v>
      </c>
      <c r="N147" s="2">
        <v>43221</v>
      </c>
      <c r="O147" s="7">
        <v>172.5</v>
      </c>
      <c r="P147" s="2">
        <v>43227</v>
      </c>
      <c r="Q147" s="7">
        <f>$E147-$O147</f>
        <v>0</v>
      </c>
      <c r="R147" s="7" t="str">
        <f ca="1">IF(TODAY() - DHMXX[INV DUE DATE]&lt;30, "Less than 30 days",IF(TODAY()-DHMXX[INV DUE DATE]&lt;60,"30-60 days","More than 60 days"))</f>
        <v>More than 60 days</v>
      </c>
      <c r="S147" t="s">
        <v>1550</v>
      </c>
      <c r="T147" s="43" t="s">
        <v>2229</v>
      </c>
      <c r="U147" t="s">
        <v>3699</v>
      </c>
    </row>
    <row r="148" spans="1:21" x14ac:dyDescent="0.3">
      <c r="A148" t="s">
        <v>837</v>
      </c>
      <c r="B148" t="s">
        <v>30</v>
      </c>
      <c r="C148" t="s">
        <v>311</v>
      </c>
      <c r="D148" s="15">
        <v>1</v>
      </c>
      <c r="E148" s="7">
        <v>172.5</v>
      </c>
      <c r="H148">
        <v>90352</v>
      </c>
      <c r="I148" t="s">
        <v>855</v>
      </c>
      <c r="J148" t="s">
        <v>1024</v>
      </c>
      <c r="K148" t="s">
        <v>3</v>
      </c>
      <c r="L148" s="2">
        <v>43191</v>
      </c>
      <c r="M148" s="2">
        <f>DHMXX[[#This Row],[INV DOC DATE]]+30</f>
        <v>43221</v>
      </c>
      <c r="N148" s="2">
        <v>43221</v>
      </c>
      <c r="O148" s="7">
        <v>172.5</v>
      </c>
      <c r="P148" s="2">
        <v>43227</v>
      </c>
      <c r="Q148" s="7">
        <f>$E148-$O148</f>
        <v>0</v>
      </c>
      <c r="R148" s="7" t="str">
        <f ca="1">IF(TODAY() - DHMXX[INV DUE DATE]&lt;30, "Less than 30 days",IF(TODAY()-DHMXX[INV DUE DATE]&lt;60,"30-60 days","More than 60 days"))</f>
        <v>More than 60 days</v>
      </c>
      <c r="S148" t="s">
        <v>1550</v>
      </c>
      <c r="T148" s="43" t="s">
        <v>2229</v>
      </c>
      <c r="U148" t="s">
        <v>3699</v>
      </c>
    </row>
    <row r="149" spans="1:21" x14ac:dyDescent="0.3">
      <c r="A149" t="s">
        <v>837</v>
      </c>
      <c r="B149" t="s">
        <v>30</v>
      </c>
      <c r="C149" t="s">
        <v>312</v>
      </c>
      <c r="D149" s="15">
        <v>1</v>
      </c>
      <c r="E149" s="7">
        <v>172.5</v>
      </c>
      <c r="H149">
        <v>90352</v>
      </c>
      <c r="I149" t="s">
        <v>855</v>
      </c>
      <c r="J149" t="s">
        <v>1025</v>
      </c>
      <c r="K149" t="s">
        <v>3</v>
      </c>
      <c r="L149" s="2">
        <v>43191</v>
      </c>
      <c r="M149" s="2">
        <f>DHMXX[[#This Row],[INV DOC DATE]]+30</f>
        <v>43221</v>
      </c>
      <c r="N149" s="2">
        <v>43221</v>
      </c>
      <c r="O149" s="7">
        <v>172.5</v>
      </c>
      <c r="P149" s="2">
        <v>43227</v>
      </c>
      <c r="Q149" s="7">
        <f>$E149-$O149</f>
        <v>0</v>
      </c>
      <c r="R149" s="7" t="str">
        <f ca="1">IF(TODAY() - DHMXX[INV DUE DATE]&lt;30, "Less than 30 days",IF(TODAY()-DHMXX[INV DUE DATE]&lt;60,"30-60 days","More than 60 days"))</f>
        <v>More than 60 days</v>
      </c>
      <c r="S149" t="s">
        <v>1550</v>
      </c>
      <c r="T149" s="43" t="s">
        <v>2229</v>
      </c>
      <c r="U149" t="s">
        <v>3699</v>
      </c>
    </row>
    <row r="150" spans="1:21" x14ac:dyDescent="0.3">
      <c r="A150" t="s">
        <v>837</v>
      </c>
      <c r="B150" t="s">
        <v>30</v>
      </c>
      <c r="C150" t="s">
        <v>313</v>
      </c>
      <c r="D150" s="15">
        <v>1</v>
      </c>
      <c r="E150" s="7">
        <v>172.5</v>
      </c>
      <c r="H150">
        <v>90352</v>
      </c>
      <c r="I150" t="s">
        <v>855</v>
      </c>
      <c r="J150" t="s">
        <v>1026</v>
      </c>
      <c r="K150" t="s">
        <v>3</v>
      </c>
      <c r="L150" s="2">
        <v>43191</v>
      </c>
      <c r="M150" s="2">
        <f>DHMXX[[#This Row],[INV DOC DATE]]+30</f>
        <v>43221</v>
      </c>
      <c r="N150" s="2">
        <v>43221</v>
      </c>
      <c r="O150" s="7">
        <v>172.5</v>
      </c>
      <c r="P150" s="2">
        <v>43227</v>
      </c>
      <c r="Q150" s="7">
        <f>$E150-$O150</f>
        <v>0</v>
      </c>
      <c r="R150" s="7" t="str">
        <f ca="1">IF(TODAY() - DHMXX[INV DUE DATE]&lt;30, "Less than 30 days",IF(TODAY()-DHMXX[INV DUE DATE]&lt;60,"30-60 days","More than 60 days"))</f>
        <v>More than 60 days</v>
      </c>
      <c r="S150" t="s">
        <v>1550</v>
      </c>
      <c r="T150" s="43" t="s">
        <v>2229</v>
      </c>
      <c r="U150" t="s">
        <v>3699</v>
      </c>
    </row>
    <row r="151" spans="1:21" x14ac:dyDescent="0.3">
      <c r="A151" t="s">
        <v>837</v>
      </c>
      <c r="B151" t="s">
        <v>30</v>
      </c>
      <c r="C151" t="s">
        <v>314</v>
      </c>
      <c r="D151" s="15">
        <v>1</v>
      </c>
      <c r="E151" s="7">
        <v>172.5</v>
      </c>
      <c r="H151">
        <v>90352</v>
      </c>
      <c r="I151" t="s">
        <v>855</v>
      </c>
      <c r="J151" t="s">
        <v>1027</v>
      </c>
      <c r="K151" t="s">
        <v>3</v>
      </c>
      <c r="L151" s="2">
        <v>43191</v>
      </c>
      <c r="M151" s="2">
        <f>DHMXX[[#This Row],[INV DOC DATE]]+30</f>
        <v>43221</v>
      </c>
      <c r="N151" s="2">
        <v>43221</v>
      </c>
      <c r="O151" s="7">
        <v>172.5</v>
      </c>
      <c r="P151" s="2">
        <v>43227</v>
      </c>
      <c r="Q151" s="7">
        <f>$E151-$O151</f>
        <v>0</v>
      </c>
      <c r="R151" s="7" t="str">
        <f ca="1">IF(TODAY() - DHMXX[INV DUE DATE]&lt;30, "Less than 30 days",IF(TODAY()-DHMXX[INV DUE DATE]&lt;60,"30-60 days","More than 60 days"))</f>
        <v>More than 60 days</v>
      </c>
      <c r="S151" t="s">
        <v>1550</v>
      </c>
      <c r="T151" s="43" t="s">
        <v>2229</v>
      </c>
      <c r="U151" t="s">
        <v>3699</v>
      </c>
    </row>
    <row r="152" spans="1:21" x14ac:dyDescent="0.3">
      <c r="A152" t="s">
        <v>837</v>
      </c>
      <c r="B152" t="s">
        <v>30</v>
      </c>
      <c r="C152" t="s">
        <v>315</v>
      </c>
      <c r="D152" s="15">
        <v>1</v>
      </c>
      <c r="E152" s="7">
        <v>172.5</v>
      </c>
      <c r="H152">
        <v>90352</v>
      </c>
      <c r="I152" t="s">
        <v>855</v>
      </c>
      <c r="J152" t="s">
        <v>1028</v>
      </c>
      <c r="K152" t="s">
        <v>3</v>
      </c>
      <c r="L152" s="2">
        <v>43191</v>
      </c>
      <c r="M152" s="2">
        <f>DHMXX[[#This Row],[INV DOC DATE]]+30</f>
        <v>43221</v>
      </c>
      <c r="N152" s="2">
        <v>43221</v>
      </c>
      <c r="O152" s="7">
        <v>172.5</v>
      </c>
      <c r="P152" s="2">
        <v>43227</v>
      </c>
      <c r="Q152" s="7">
        <f>$E152-$O152</f>
        <v>0</v>
      </c>
      <c r="R152" s="7" t="str">
        <f ca="1">IF(TODAY() - DHMXX[INV DUE DATE]&lt;30, "Less than 30 days",IF(TODAY()-DHMXX[INV DUE DATE]&lt;60,"30-60 days","More than 60 days"))</f>
        <v>More than 60 days</v>
      </c>
      <c r="S152" t="s">
        <v>1550</v>
      </c>
      <c r="T152" s="43" t="s">
        <v>2229</v>
      </c>
      <c r="U152" t="s">
        <v>3699</v>
      </c>
    </row>
    <row r="153" spans="1:21" x14ac:dyDescent="0.3">
      <c r="A153" t="s">
        <v>837</v>
      </c>
      <c r="B153" t="s">
        <v>30</v>
      </c>
      <c r="C153" t="s">
        <v>316</v>
      </c>
      <c r="D153" s="15">
        <v>1</v>
      </c>
      <c r="E153" s="7">
        <v>172.5</v>
      </c>
      <c r="H153">
        <v>90352</v>
      </c>
      <c r="I153" t="s">
        <v>855</v>
      </c>
      <c r="J153" t="s">
        <v>1029</v>
      </c>
      <c r="K153" t="s">
        <v>3</v>
      </c>
      <c r="L153" s="2">
        <v>43191</v>
      </c>
      <c r="M153" s="2">
        <f>DHMXX[[#This Row],[INV DOC DATE]]+30</f>
        <v>43221</v>
      </c>
      <c r="N153" s="2">
        <v>43221</v>
      </c>
      <c r="O153" s="7">
        <v>172.5</v>
      </c>
      <c r="P153" s="2">
        <v>43227</v>
      </c>
      <c r="Q153" s="7">
        <f>$E153-$O153</f>
        <v>0</v>
      </c>
      <c r="R153" s="7" t="str">
        <f ca="1">IF(TODAY() - DHMXX[INV DUE DATE]&lt;30, "Less than 30 days",IF(TODAY()-DHMXX[INV DUE DATE]&lt;60,"30-60 days","More than 60 days"))</f>
        <v>More than 60 days</v>
      </c>
      <c r="S153" t="s">
        <v>1550</v>
      </c>
      <c r="T153" s="43" t="s">
        <v>2229</v>
      </c>
      <c r="U153" t="s">
        <v>3699</v>
      </c>
    </row>
    <row r="154" spans="1:21" x14ac:dyDescent="0.3">
      <c r="A154" t="s">
        <v>837</v>
      </c>
      <c r="B154" t="s">
        <v>30</v>
      </c>
      <c r="C154" t="s">
        <v>317</v>
      </c>
      <c r="D154" s="15">
        <v>1</v>
      </c>
      <c r="E154" s="7">
        <v>172.5</v>
      </c>
      <c r="H154">
        <v>90352</v>
      </c>
      <c r="I154" t="s">
        <v>855</v>
      </c>
      <c r="J154" t="s">
        <v>1030</v>
      </c>
      <c r="K154" t="s">
        <v>3</v>
      </c>
      <c r="L154" s="2">
        <v>43191</v>
      </c>
      <c r="M154" s="2">
        <f>DHMXX[[#This Row],[INV DOC DATE]]+30</f>
        <v>43221</v>
      </c>
      <c r="N154" s="2">
        <v>43221</v>
      </c>
      <c r="O154" s="7">
        <v>172.5</v>
      </c>
      <c r="P154" s="2">
        <v>43227</v>
      </c>
      <c r="Q154" s="7">
        <f>$E154-$O154</f>
        <v>0</v>
      </c>
      <c r="R154" s="7" t="str">
        <f ca="1">IF(TODAY() - DHMXX[INV DUE DATE]&lt;30, "Less than 30 days",IF(TODAY()-DHMXX[INV DUE DATE]&lt;60,"30-60 days","More than 60 days"))</f>
        <v>More than 60 days</v>
      </c>
      <c r="S154" t="s">
        <v>1550</v>
      </c>
      <c r="T154" s="43" t="s">
        <v>2229</v>
      </c>
      <c r="U154" t="s">
        <v>3699</v>
      </c>
    </row>
    <row r="155" spans="1:21" x14ac:dyDescent="0.3">
      <c r="A155" t="s">
        <v>837</v>
      </c>
      <c r="B155" t="s">
        <v>30</v>
      </c>
      <c r="C155" t="s">
        <v>318</v>
      </c>
      <c r="D155" s="15">
        <v>1</v>
      </c>
      <c r="E155" s="7">
        <v>172.5</v>
      </c>
      <c r="H155">
        <v>90352</v>
      </c>
      <c r="I155" t="s">
        <v>855</v>
      </c>
      <c r="J155" t="s">
        <v>1031</v>
      </c>
      <c r="K155" t="s">
        <v>3</v>
      </c>
      <c r="L155" s="2">
        <v>43191</v>
      </c>
      <c r="M155" s="2">
        <f>DHMXX[[#This Row],[INV DOC DATE]]+30</f>
        <v>43221</v>
      </c>
      <c r="N155" s="2">
        <v>43221</v>
      </c>
      <c r="O155" s="7">
        <v>172.5</v>
      </c>
      <c r="P155" s="2">
        <v>43227</v>
      </c>
      <c r="Q155" s="7">
        <f>$E155-$O155</f>
        <v>0</v>
      </c>
      <c r="R155" s="7" t="str">
        <f ca="1">IF(TODAY() - DHMXX[INV DUE DATE]&lt;30, "Less than 30 days",IF(TODAY()-DHMXX[INV DUE DATE]&lt;60,"30-60 days","More than 60 days"))</f>
        <v>More than 60 days</v>
      </c>
      <c r="S155" t="s">
        <v>1550</v>
      </c>
      <c r="T155" s="43" t="s">
        <v>2229</v>
      </c>
      <c r="U155" t="s">
        <v>3699</v>
      </c>
    </row>
    <row r="156" spans="1:21" x14ac:dyDescent="0.3">
      <c r="A156" t="s">
        <v>837</v>
      </c>
      <c r="B156" t="s">
        <v>30</v>
      </c>
      <c r="C156" t="s">
        <v>319</v>
      </c>
      <c r="D156" s="15">
        <v>1</v>
      </c>
      <c r="E156" s="7">
        <v>172.5</v>
      </c>
      <c r="H156">
        <v>90352</v>
      </c>
      <c r="I156" t="s">
        <v>855</v>
      </c>
      <c r="J156" t="s">
        <v>1032</v>
      </c>
      <c r="K156" t="s">
        <v>3</v>
      </c>
      <c r="L156" s="2">
        <v>43191</v>
      </c>
      <c r="M156" s="2">
        <f>DHMXX[[#This Row],[INV DOC DATE]]+30</f>
        <v>43221</v>
      </c>
      <c r="N156" s="2">
        <v>43221</v>
      </c>
      <c r="O156" s="7">
        <v>172.5</v>
      </c>
      <c r="P156" s="2">
        <v>43227</v>
      </c>
      <c r="Q156" s="7">
        <f>$E156-$O156</f>
        <v>0</v>
      </c>
      <c r="R156" s="7" t="str">
        <f ca="1">IF(TODAY() - DHMXX[INV DUE DATE]&lt;30, "Less than 30 days",IF(TODAY()-DHMXX[INV DUE DATE]&lt;60,"30-60 days","More than 60 days"))</f>
        <v>More than 60 days</v>
      </c>
      <c r="S156" t="s">
        <v>1550</v>
      </c>
      <c r="T156" s="43" t="s">
        <v>2229</v>
      </c>
      <c r="U156" t="s">
        <v>3699</v>
      </c>
    </row>
    <row r="157" spans="1:21" x14ac:dyDescent="0.3">
      <c r="A157" t="s">
        <v>837</v>
      </c>
      <c r="B157" t="s">
        <v>30</v>
      </c>
      <c r="C157" t="s">
        <v>320</v>
      </c>
      <c r="D157" s="15">
        <v>1</v>
      </c>
      <c r="E157" s="7">
        <v>172.5</v>
      </c>
      <c r="H157">
        <v>90352</v>
      </c>
      <c r="I157" t="s">
        <v>855</v>
      </c>
      <c r="J157" t="s">
        <v>1033</v>
      </c>
      <c r="K157" t="s">
        <v>3</v>
      </c>
      <c r="L157" s="2">
        <v>43191</v>
      </c>
      <c r="M157" s="2">
        <f>DHMXX[[#This Row],[INV DOC DATE]]+30</f>
        <v>43221</v>
      </c>
      <c r="N157" s="2">
        <v>43221</v>
      </c>
      <c r="O157" s="7">
        <v>172.5</v>
      </c>
      <c r="P157" s="2">
        <v>43227</v>
      </c>
      <c r="Q157" s="7">
        <f>$E157-$O157</f>
        <v>0</v>
      </c>
      <c r="R157" s="7" t="str">
        <f ca="1">IF(TODAY() - DHMXX[INV DUE DATE]&lt;30, "Less than 30 days",IF(TODAY()-DHMXX[INV DUE DATE]&lt;60,"30-60 days","More than 60 days"))</f>
        <v>More than 60 days</v>
      </c>
      <c r="S157" t="s">
        <v>1550</v>
      </c>
      <c r="T157" s="43" t="s">
        <v>2229</v>
      </c>
      <c r="U157" t="s">
        <v>3699</v>
      </c>
    </row>
    <row r="158" spans="1:21" x14ac:dyDescent="0.3">
      <c r="A158" t="s">
        <v>837</v>
      </c>
      <c r="B158" t="s">
        <v>30</v>
      </c>
      <c r="C158" t="s">
        <v>321</v>
      </c>
      <c r="D158" s="15">
        <v>1</v>
      </c>
      <c r="E158" s="7">
        <v>172.5</v>
      </c>
      <c r="H158">
        <v>90352</v>
      </c>
      <c r="I158" t="s">
        <v>855</v>
      </c>
      <c r="J158" t="s">
        <v>1034</v>
      </c>
      <c r="K158" t="s">
        <v>3</v>
      </c>
      <c r="L158" s="2">
        <v>43191</v>
      </c>
      <c r="M158" s="2">
        <f>DHMXX[[#This Row],[INV DOC DATE]]+30</f>
        <v>43221</v>
      </c>
      <c r="N158" s="2">
        <v>43221</v>
      </c>
      <c r="O158" s="7">
        <v>172.5</v>
      </c>
      <c r="P158" s="2">
        <v>43227</v>
      </c>
      <c r="Q158" s="7">
        <f>$E158-$O158</f>
        <v>0</v>
      </c>
      <c r="R158" s="7" t="str">
        <f ca="1">IF(TODAY() - DHMXX[INV DUE DATE]&lt;30, "Less than 30 days",IF(TODAY()-DHMXX[INV DUE DATE]&lt;60,"30-60 days","More than 60 days"))</f>
        <v>More than 60 days</v>
      </c>
      <c r="S158" t="s">
        <v>1550</v>
      </c>
      <c r="T158" s="43" t="s">
        <v>2229</v>
      </c>
      <c r="U158" t="s">
        <v>3699</v>
      </c>
    </row>
    <row r="159" spans="1:21" x14ac:dyDescent="0.3">
      <c r="A159" t="s">
        <v>837</v>
      </c>
      <c r="B159" t="s">
        <v>30</v>
      </c>
      <c r="C159" t="s">
        <v>322</v>
      </c>
      <c r="D159" s="15">
        <v>1</v>
      </c>
      <c r="E159" s="7">
        <v>172.5</v>
      </c>
      <c r="H159">
        <v>90352</v>
      </c>
      <c r="I159" t="s">
        <v>855</v>
      </c>
      <c r="J159" t="s">
        <v>1035</v>
      </c>
      <c r="K159" t="s">
        <v>3</v>
      </c>
      <c r="L159" s="2">
        <v>43191</v>
      </c>
      <c r="M159" s="2">
        <f>DHMXX[[#This Row],[INV DOC DATE]]+30</f>
        <v>43221</v>
      </c>
      <c r="N159" s="2">
        <v>43221</v>
      </c>
      <c r="O159" s="7">
        <v>172.5</v>
      </c>
      <c r="P159" s="2">
        <v>43227</v>
      </c>
      <c r="Q159" s="7">
        <f>$E159-$O159</f>
        <v>0</v>
      </c>
      <c r="R159" s="7" t="str">
        <f ca="1">IF(TODAY() - DHMXX[INV DUE DATE]&lt;30, "Less than 30 days",IF(TODAY()-DHMXX[INV DUE DATE]&lt;60,"30-60 days","More than 60 days"))</f>
        <v>More than 60 days</v>
      </c>
      <c r="S159" t="s">
        <v>1550</v>
      </c>
      <c r="T159" s="43" t="s">
        <v>2229</v>
      </c>
      <c r="U159" t="s">
        <v>3699</v>
      </c>
    </row>
    <row r="160" spans="1:21" x14ac:dyDescent="0.3">
      <c r="A160" t="s">
        <v>837</v>
      </c>
      <c r="B160" t="s">
        <v>30</v>
      </c>
      <c r="C160" t="s">
        <v>323</v>
      </c>
      <c r="D160" s="15">
        <v>1</v>
      </c>
      <c r="E160" s="7">
        <v>172.5</v>
      </c>
      <c r="H160">
        <v>90352</v>
      </c>
      <c r="I160" t="s">
        <v>855</v>
      </c>
      <c r="J160" t="s">
        <v>1036</v>
      </c>
      <c r="K160" t="s">
        <v>3</v>
      </c>
      <c r="L160" s="2">
        <v>43191</v>
      </c>
      <c r="M160" s="2">
        <f>DHMXX[[#This Row],[INV DOC DATE]]+30</f>
        <v>43221</v>
      </c>
      <c r="N160" s="2">
        <v>43221</v>
      </c>
      <c r="O160" s="7">
        <v>172.5</v>
      </c>
      <c r="P160" s="2">
        <v>43227</v>
      </c>
      <c r="Q160" s="7">
        <f>$E160-$O160</f>
        <v>0</v>
      </c>
      <c r="R160" s="7" t="str">
        <f ca="1">IF(TODAY() - DHMXX[INV DUE DATE]&lt;30, "Less than 30 days",IF(TODAY()-DHMXX[INV DUE DATE]&lt;60,"30-60 days","More than 60 days"))</f>
        <v>More than 60 days</v>
      </c>
      <c r="S160" t="s">
        <v>1550</v>
      </c>
      <c r="T160" s="43" t="s">
        <v>2229</v>
      </c>
      <c r="U160" t="s">
        <v>3699</v>
      </c>
    </row>
    <row r="161" spans="1:21" x14ac:dyDescent="0.3">
      <c r="A161" t="s">
        <v>837</v>
      </c>
      <c r="B161" t="s">
        <v>30</v>
      </c>
      <c r="C161" t="s">
        <v>324</v>
      </c>
      <c r="D161" s="15">
        <v>1</v>
      </c>
      <c r="E161" s="7">
        <v>172.5</v>
      </c>
      <c r="H161">
        <v>90352</v>
      </c>
      <c r="I161" t="s">
        <v>855</v>
      </c>
      <c r="J161" t="s">
        <v>1037</v>
      </c>
      <c r="K161" t="s">
        <v>3</v>
      </c>
      <c r="L161" s="2">
        <v>43191</v>
      </c>
      <c r="M161" s="2">
        <f>DHMXX[[#This Row],[INV DOC DATE]]+30</f>
        <v>43221</v>
      </c>
      <c r="N161" s="2">
        <v>43221</v>
      </c>
      <c r="O161" s="7">
        <v>172.5</v>
      </c>
      <c r="P161" s="2">
        <v>43227</v>
      </c>
      <c r="Q161" s="7">
        <f>$E161-$O161</f>
        <v>0</v>
      </c>
      <c r="R161" s="7" t="str">
        <f ca="1">IF(TODAY() - DHMXX[INV DUE DATE]&lt;30, "Less than 30 days",IF(TODAY()-DHMXX[INV DUE DATE]&lt;60,"30-60 days","More than 60 days"))</f>
        <v>More than 60 days</v>
      </c>
      <c r="S161" t="s">
        <v>1550</v>
      </c>
      <c r="T161" s="43" t="s">
        <v>2229</v>
      </c>
      <c r="U161" t="s">
        <v>3699</v>
      </c>
    </row>
    <row r="162" spans="1:21" x14ac:dyDescent="0.3">
      <c r="A162" t="s">
        <v>837</v>
      </c>
      <c r="B162" t="s">
        <v>30</v>
      </c>
      <c r="C162" t="s">
        <v>325</v>
      </c>
      <c r="D162" s="15">
        <v>1</v>
      </c>
      <c r="E162" s="7">
        <v>172.5</v>
      </c>
      <c r="H162">
        <v>90352</v>
      </c>
      <c r="I162" t="s">
        <v>855</v>
      </c>
      <c r="J162" t="s">
        <v>1038</v>
      </c>
      <c r="K162" t="s">
        <v>3</v>
      </c>
      <c r="L162" s="2">
        <v>43191</v>
      </c>
      <c r="M162" s="2">
        <f>DHMXX[[#This Row],[INV DOC DATE]]+30</f>
        <v>43221</v>
      </c>
      <c r="N162" s="2">
        <v>43221</v>
      </c>
      <c r="O162" s="7">
        <v>172.5</v>
      </c>
      <c r="P162" s="2">
        <v>43227</v>
      </c>
      <c r="Q162" s="7">
        <f>$E162-$O162</f>
        <v>0</v>
      </c>
      <c r="R162" s="7" t="str">
        <f ca="1">IF(TODAY() - DHMXX[INV DUE DATE]&lt;30, "Less than 30 days",IF(TODAY()-DHMXX[INV DUE DATE]&lt;60,"30-60 days","More than 60 days"))</f>
        <v>More than 60 days</v>
      </c>
      <c r="S162" t="s">
        <v>1550</v>
      </c>
      <c r="T162" s="43" t="s">
        <v>2229</v>
      </c>
      <c r="U162" t="s">
        <v>3699</v>
      </c>
    </row>
    <row r="163" spans="1:21" x14ac:dyDescent="0.3">
      <c r="A163" t="s">
        <v>837</v>
      </c>
      <c r="B163" t="s">
        <v>30</v>
      </c>
      <c r="C163" t="s">
        <v>326</v>
      </c>
      <c r="D163" s="15">
        <v>1</v>
      </c>
      <c r="E163" s="7">
        <v>172.5</v>
      </c>
      <c r="H163">
        <v>90352</v>
      </c>
      <c r="I163" t="s">
        <v>855</v>
      </c>
      <c r="J163" t="s">
        <v>1039</v>
      </c>
      <c r="K163" t="s">
        <v>3</v>
      </c>
      <c r="L163" s="2">
        <v>43191</v>
      </c>
      <c r="M163" s="2">
        <f>DHMXX[[#This Row],[INV DOC DATE]]+30</f>
        <v>43221</v>
      </c>
      <c r="N163" s="2">
        <v>43221</v>
      </c>
      <c r="O163" s="7">
        <v>172.5</v>
      </c>
      <c r="P163" s="2">
        <v>43227</v>
      </c>
      <c r="Q163" s="7">
        <f>$E163-$O163</f>
        <v>0</v>
      </c>
      <c r="R163" s="7" t="str">
        <f ca="1">IF(TODAY() - DHMXX[INV DUE DATE]&lt;30, "Less than 30 days",IF(TODAY()-DHMXX[INV DUE DATE]&lt;60,"30-60 days","More than 60 days"))</f>
        <v>More than 60 days</v>
      </c>
      <c r="S163" t="s">
        <v>1550</v>
      </c>
      <c r="T163" s="43" t="s">
        <v>2229</v>
      </c>
      <c r="U163" t="s">
        <v>3699</v>
      </c>
    </row>
    <row r="164" spans="1:21" x14ac:dyDescent="0.3">
      <c r="A164" t="s">
        <v>837</v>
      </c>
      <c r="B164" t="s">
        <v>30</v>
      </c>
      <c r="C164" t="s">
        <v>327</v>
      </c>
      <c r="D164" s="15">
        <v>1</v>
      </c>
      <c r="E164" s="7">
        <v>172.5</v>
      </c>
      <c r="H164">
        <v>90352</v>
      </c>
      <c r="I164" t="s">
        <v>855</v>
      </c>
      <c r="J164" t="s">
        <v>1040</v>
      </c>
      <c r="K164" t="s">
        <v>3</v>
      </c>
      <c r="L164" s="2">
        <v>43191</v>
      </c>
      <c r="M164" s="2">
        <f>DHMXX[[#This Row],[INV DOC DATE]]+30</f>
        <v>43221</v>
      </c>
      <c r="N164" s="2">
        <v>43221</v>
      </c>
      <c r="O164" s="7">
        <v>172.5</v>
      </c>
      <c r="P164" s="2">
        <v>43227</v>
      </c>
      <c r="Q164" s="7">
        <f>$E164-$O164</f>
        <v>0</v>
      </c>
      <c r="R164" s="7" t="str">
        <f ca="1">IF(TODAY() - DHMXX[INV DUE DATE]&lt;30, "Less than 30 days",IF(TODAY()-DHMXX[INV DUE DATE]&lt;60,"30-60 days","More than 60 days"))</f>
        <v>More than 60 days</v>
      </c>
      <c r="S164" t="s">
        <v>1550</v>
      </c>
      <c r="T164" s="43" t="s">
        <v>2229</v>
      </c>
      <c r="U164" t="s">
        <v>3699</v>
      </c>
    </row>
    <row r="165" spans="1:21" x14ac:dyDescent="0.3">
      <c r="A165" t="s">
        <v>837</v>
      </c>
      <c r="B165" t="s">
        <v>30</v>
      </c>
      <c r="C165" t="s">
        <v>328</v>
      </c>
      <c r="D165" s="15">
        <v>1</v>
      </c>
      <c r="E165" s="7">
        <v>172.5</v>
      </c>
      <c r="H165">
        <v>90352</v>
      </c>
      <c r="I165" t="s">
        <v>855</v>
      </c>
      <c r="J165" t="s">
        <v>1041</v>
      </c>
      <c r="K165" t="s">
        <v>3</v>
      </c>
      <c r="L165" s="2">
        <v>43191</v>
      </c>
      <c r="M165" s="2">
        <f>DHMXX[[#This Row],[INV DOC DATE]]+30</f>
        <v>43221</v>
      </c>
      <c r="N165" s="2">
        <v>43221</v>
      </c>
      <c r="O165" s="7">
        <v>172.5</v>
      </c>
      <c r="P165" s="2">
        <v>43227</v>
      </c>
      <c r="Q165" s="7">
        <f>$E165-$O165</f>
        <v>0</v>
      </c>
      <c r="R165" s="7" t="str">
        <f ca="1">IF(TODAY() - DHMXX[INV DUE DATE]&lt;30, "Less than 30 days",IF(TODAY()-DHMXX[INV DUE DATE]&lt;60,"30-60 days","More than 60 days"))</f>
        <v>More than 60 days</v>
      </c>
      <c r="S165" t="s">
        <v>1550</v>
      </c>
      <c r="T165" s="43" t="s">
        <v>2229</v>
      </c>
      <c r="U165" t="s">
        <v>3699</v>
      </c>
    </row>
    <row r="166" spans="1:21" x14ac:dyDescent="0.3">
      <c r="A166" t="s">
        <v>837</v>
      </c>
      <c r="B166" t="s">
        <v>30</v>
      </c>
      <c r="C166" t="s">
        <v>329</v>
      </c>
      <c r="D166" s="15">
        <v>1</v>
      </c>
      <c r="E166" s="7">
        <v>172.5</v>
      </c>
      <c r="H166">
        <v>90352</v>
      </c>
      <c r="I166" t="s">
        <v>855</v>
      </c>
      <c r="J166" t="s">
        <v>1042</v>
      </c>
      <c r="K166" t="s">
        <v>3</v>
      </c>
      <c r="L166" s="2">
        <v>43191</v>
      </c>
      <c r="M166" s="2">
        <f>DHMXX[[#This Row],[INV DOC DATE]]+30</f>
        <v>43221</v>
      </c>
      <c r="N166" s="2">
        <v>43221</v>
      </c>
      <c r="O166" s="7">
        <v>172.5</v>
      </c>
      <c r="P166" s="2">
        <v>43227</v>
      </c>
      <c r="Q166" s="7">
        <f>$E166-$O166</f>
        <v>0</v>
      </c>
      <c r="R166" s="7" t="str">
        <f ca="1">IF(TODAY() - DHMXX[INV DUE DATE]&lt;30, "Less than 30 days",IF(TODAY()-DHMXX[INV DUE DATE]&lt;60,"30-60 days","More than 60 days"))</f>
        <v>More than 60 days</v>
      </c>
      <c r="S166" t="s">
        <v>1550</v>
      </c>
      <c r="T166" s="43" t="s">
        <v>2229</v>
      </c>
      <c r="U166" t="s">
        <v>3699</v>
      </c>
    </row>
    <row r="167" spans="1:21" x14ac:dyDescent="0.3">
      <c r="A167" t="s">
        <v>837</v>
      </c>
      <c r="B167" t="s">
        <v>30</v>
      </c>
      <c r="C167" t="s">
        <v>330</v>
      </c>
      <c r="D167" s="15">
        <v>1</v>
      </c>
      <c r="E167" s="7">
        <v>172.5</v>
      </c>
      <c r="H167">
        <v>90352</v>
      </c>
      <c r="I167" t="s">
        <v>855</v>
      </c>
      <c r="J167" t="s">
        <v>1043</v>
      </c>
      <c r="K167" t="s">
        <v>3</v>
      </c>
      <c r="L167" s="2">
        <v>43191</v>
      </c>
      <c r="M167" s="2">
        <f>DHMXX[[#This Row],[INV DOC DATE]]+30</f>
        <v>43221</v>
      </c>
      <c r="N167" s="2">
        <v>43221</v>
      </c>
      <c r="O167" s="7">
        <v>172.5</v>
      </c>
      <c r="P167" s="2">
        <v>43227</v>
      </c>
      <c r="Q167" s="7">
        <f>$E167-$O167</f>
        <v>0</v>
      </c>
      <c r="R167" s="7" t="str">
        <f ca="1">IF(TODAY() - DHMXX[INV DUE DATE]&lt;30, "Less than 30 days",IF(TODAY()-DHMXX[INV DUE DATE]&lt;60,"30-60 days","More than 60 days"))</f>
        <v>More than 60 days</v>
      </c>
      <c r="S167" t="s">
        <v>1550</v>
      </c>
      <c r="T167" s="43" t="s">
        <v>2229</v>
      </c>
      <c r="U167" t="s">
        <v>3699</v>
      </c>
    </row>
    <row r="168" spans="1:21" x14ac:dyDescent="0.3">
      <c r="A168" t="s">
        <v>837</v>
      </c>
      <c r="B168" t="s">
        <v>30</v>
      </c>
      <c r="C168" t="s">
        <v>331</v>
      </c>
      <c r="D168" s="15">
        <v>1</v>
      </c>
      <c r="E168" s="7">
        <v>172.5</v>
      </c>
      <c r="H168">
        <v>90352</v>
      </c>
      <c r="I168" t="s">
        <v>855</v>
      </c>
      <c r="J168" t="s">
        <v>1044</v>
      </c>
      <c r="K168" t="s">
        <v>3</v>
      </c>
      <c r="L168" s="2">
        <v>43191</v>
      </c>
      <c r="M168" s="2">
        <f>DHMXX[[#This Row],[INV DOC DATE]]+30</f>
        <v>43221</v>
      </c>
      <c r="N168" s="2">
        <v>43221</v>
      </c>
      <c r="O168" s="7">
        <v>172.5</v>
      </c>
      <c r="P168" s="2">
        <v>43227</v>
      </c>
      <c r="Q168" s="7">
        <f>$E168-$O168</f>
        <v>0</v>
      </c>
      <c r="R168" s="7" t="str">
        <f ca="1">IF(TODAY() - DHMXX[INV DUE DATE]&lt;30, "Less than 30 days",IF(TODAY()-DHMXX[INV DUE DATE]&lt;60,"30-60 days","More than 60 days"))</f>
        <v>More than 60 days</v>
      </c>
      <c r="S168" t="s">
        <v>1550</v>
      </c>
      <c r="T168" s="43" t="s">
        <v>2229</v>
      </c>
      <c r="U168" t="s">
        <v>3699</v>
      </c>
    </row>
    <row r="169" spans="1:21" x14ac:dyDescent="0.3">
      <c r="A169" t="s">
        <v>837</v>
      </c>
      <c r="B169" t="s">
        <v>30</v>
      </c>
      <c r="C169" t="s">
        <v>332</v>
      </c>
      <c r="D169" s="15">
        <v>1</v>
      </c>
      <c r="E169" s="7">
        <v>172.5</v>
      </c>
      <c r="H169">
        <v>90352</v>
      </c>
      <c r="I169" t="s">
        <v>855</v>
      </c>
      <c r="J169" t="s">
        <v>1045</v>
      </c>
      <c r="K169" t="s">
        <v>3</v>
      </c>
      <c r="L169" s="2">
        <v>43191</v>
      </c>
      <c r="M169" s="2">
        <f>DHMXX[[#This Row],[INV DOC DATE]]+30</f>
        <v>43221</v>
      </c>
      <c r="N169" s="2">
        <v>43221</v>
      </c>
      <c r="O169" s="7">
        <v>172.5</v>
      </c>
      <c r="P169" s="2">
        <v>43227</v>
      </c>
      <c r="Q169" s="7">
        <f>$E169-$O169</f>
        <v>0</v>
      </c>
      <c r="R169" s="7" t="str">
        <f ca="1">IF(TODAY() - DHMXX[INV DUE DATE]&lt;30, "Less than 30 days",IF(TODAY()-DHMXX[INV DUE DATE]&lt;60,"30-60 days","More than 60 days"))</f>
        <v>More than 60 days</v>
      </c>
      <c r="S169" t="s">
        <v>1550</v>
      </c>
      <c r="T169" s="43" t="s">
        <v>2229</v>
      </c>
      <c r="U169" t="s">
        <v>3699</v>
      </c>
    </row>
    <row r="170" spans="1:21" x14ac:dyDescent="0.3">
      <c r="A170" t="s">
        <v>837</v>
      </c>
      <c r="B170" t="s">
        <v>30</v>
      </c>
      <c r="C170" t="s">
        <v>333</v>
      </c>
      <c r="D170" s="15">
        <v>1</v>
      </c>
      <c r="E170" s="7">
        <v>172.5</v>
      </c>
      <c r="H170">
        <v>90352</v>
      </c>
      <c r="I170" t="s">
        <v>855</v>
      </c>
      <c r="J170" t="s">
        <v>1046</v>
      </c>
      <c r="K170" t="s">
        <v>3</v>
      </c>
      <c r="L170" s="2">
        <v>43191</v>
      </c>
      <c r="M170" s="2">
        <f>DHMXX[[#This Row],[INV DOC DATE]]+30</f>
        <v>43221</v>
      </c>
      <c r="N170" s="2">
        <v>43221</v>
      </c>
      <c r="O170" s="7">
        <v>172.5</v>
      </c>
      <c r="P170" s="2">
        <v>43227</v>
      </c>
      <c r="Q170" s="7">
        <f>$E170-$O170</f>
        <v>0</v>
      </c>
      <c r="R170" s="7" t="str">
        <f ca="1">IF(TODAY() - DHMXX[INV DUE DATE]&lt;30, "Less than 30 days",IF(TODAY()-DHMXX[INV DUE DATE]&lt;60,"30-60 days","More than 60 days"))</f>
        <v>More than 60 days</v>
      </c>
      <c r="S170" t="s">
        <v>1550</v>
      </c>
      <c r="T170" s="43" t="s">
        <v>2229</v>
      </c>
      <c r="U170" t="s">
        <v>3699</v>
      </c>
    </row>
    <row r="171" spans="1:21" x14ac:dyDescent="0.3">
      <c r="A171" t="s">
        <v>837</v>
      </c>
      <c r="B171" t="s">
        <v>30</v>
      </c>
      <c r="C171" t="s">
        <v>334</v>
      </c>
      <c r="D171" s="15">
        <v>1</v>
      </c>
      <c r="E171" s="7">
        <v>172.5</v>
      </c>
      <c r="H171">
        <v>90352</v>
      </c>
      <c r="I171" t="s">
        <v>855</v>
      </c>
      <c r="J171" t="s">
        <v>1047</v>
      </c>
      <c r="K171" t="s">
        <v>3</v>
      </c>
      <c r="L171" s="2">
        <v>43191</v>
      </c>
      <c r="M171" s="2">
        <f>DHMXX[[#This Row],[INV DOC DATE]]+30</f>
        <v>43221</v>
      </c>
      <c r="N171" s="2">
        <v>43221</v>
      </c>
      <c r="O171" s="7">
        <v>172.5</v>
      </c>
      <c r="P171" s="2">
        <v>43227</v>
      </c>
      <c r="Q171" s="7">
        <f>$E171-$O171</f>
        <v>0</v>
      </c>
      <c r="R171" s="7" t="str">
        <f ca="1">IF(TODAY() - DHMXX[INV DUE DATE]&lt;30, "Less than 30 days",IF(TODAY()-DHMXX[INV DUE DATE]&lt;60,"30-60 days","More than 60 days"))</f>
        <v>More than 60 days</v>
      </c>
      <c r="S171" t="s">
        <v>1550</v>
      </c>
      <c r="T171" s="43" t="s">
        <v>2229</v>
      </c>
      <c r="U171" t="s">
        <v>3699</v>
      </c>
    </row>
    <row r="172" spans="1:21" x14ac:dyDescent="0.3">
      <c r="A172" t="s">
        <v>837</v>
      </c>
      <c r="B172" t="s">
        <v>30</v>
      </c>
      <c r="C172" t="s">
        <v>335</v>
      </c>
      <c r="D172" s="15">
        <v>1</v>
      </c>
      <c r="E172" s="7">
        <v>172.5</v>
      </c>
      <c r="H172">
        <v>90352</v>
      </c>
      <c r="I172" t="s">
        <v>855</v>
      </c>
      <c r="J172" t="s">
        <v>1048</v>
      </c>
      <c r="K172" t="s">
        <v>3</v>
      </c>
      <c r="L172" s="2">
        <v>43191</v>
      </c>
      <c r="M172" s="2">
        <f>DHMXX[[#This Row],[INV DOC DATE]]+30</f>
        <v>43221</v>
      </c>
      <c r="N172" s="2">
        <v>43221</v>
      </c>
      <c r="O172" s="7">
        <v>172.5</v>
      </c>
      <c r="P172" s="2">
        <v>43227</v>
      </c>
      <c r="Q172" s="7">
        <f>$E172-$O172</f>
        <v>0</v>
      </c>
      <c r="R172" s="7" t="str">
        <f ca="1">IF(TODAY() - DHMXX[INV DUE DATE]&lt;30, "Less than 30 days",IF(TODAY()-DHMXX[INV DUE DATE]&lt;60,"30-60 days","More than 60 days"))</f>
        <v>More than 60 days</v>
      </c>
      <c r="S172" t="s">
        <v>1550</v>
      </c>
      <c r="T172" s="43" t="s">
        <v>2229</v>
      </c>
      <c r="U172" t="s">
        <v>3699</v>
      </c>
    </row>
    <row r="173" spans="1:21" x14ac:dyDescent="0.3">
      <c r="A173" t="s">
        <v>837</v>
      </c>
      <c r="B173" t="s">
        <v>30</v>
      </c>
      <c r="C173" t="s">
        <v>336</v>
      </c>
      <c r="D173" s="15">
        <v>1</v>
      </c>
      <c r="E173" s="7">
        <v>172.5</v>
      </c>
      <c r="H173">
        <v>90352</v>
      </c>
      <c r="I173" t="s">
        <v>855</v>
      </c>
      <c r="J173" t="s">
        <v>1049</v>
      </c>
      <c r="K173" t="s">
        <v>3</v>
      </c>
      <c r="L173" s="2">
        <v>43191</v>
      </c>
      <c r="M173" s="2">
        <f>DHMXX[[#This Row],[INV DOC DATE]]+30</f>
        <v>43221</v>
      </c>
      <c r="N173" s="2">
        <v>43221</v>
      </c>
      <c r="O173" s="7">
        <v>172.5</v>
      </c>
      <c r="P173" s="2">
        <v>43227</v>
      </c>
      <c r="Q173" s="7">
        <f>$E173-$O173</f>
        <v>0</v>
      </c>
      <c r="R173" s="7" t="str">
        <f ca="1">IF(TODAY() - DHMXX[INV DUE DATE]&lt;30, "Less than 30 days",IF(TODAY()-DHMXX[INV DUE DATE]&lt;60,"30-60 days","More than 60 days"))</f>
        <v>More than 60 days</v>
      </c>
      <c r="S173" t="s">
        <v>1550</v>
      </c>
      <c r="T173" s="43" t="s">
        <v>2229</v>
      </c>
      <c r="U173" t="s">
        <v>3699</v>
      </c>
    </row>
    <row r="174" spans="1:21" x14ac:dyDescent="0.3">
      <c r="A174" t="s">
        <v>837</v>
      </c>
      <c r="B174" t="s">
        <v>30</v>
      </c>
      <c r="C174" t="s">
        <v>337</v>
      </c>
      <c r="D174" s="15">
        <v>1</v>
      </c>
      <c r="E174" s="7">
        <v>172.5</v>
      </c>
      <c r="H174">
        <v>90352</v>
      </c>
      <c r="I174" t="s">
        <v>855</v>
      </c>
      <c r="J174" t="s">
        <v>1050</v>
      </c>
      <c r="K174" t="s">
        <v>3</v>
      </c>
      <c r="L174" s="2">
        <v>43191</v>
      </c>
      <c r="M174" s="2">
        <f>DHMXX[[#This Row],[INV DOC DATE]]+30</f>
        <v>43221</v>
      </c>
      <c r="N174" s="2">
        <v>43221</v>
      </c>
      <c r="O174" s="7">
        <v>172.5</v>
      </c>
      <c r="P174" s="2">
        <v>43227</v>
      </c>
      <c r="Q174" s="7">
        <f>$E174-$O174</f>
        <v>0</v>
      </c>
      <c r="R174" s="7" t="str">
        <f ca="1">IF(TODAY() - DHMXX[INV DUE DATE]&lt;30, "Less than 30 days",IF(TODAY()-DHMXX[INV DUE DATE]&lt;60,"30-60 days","More than 60 days"))</f>
        <v>More than 60 days</v>
      </c>
      <c r="S174" t="s">
        <v>1550</v>
      </c>
      <c r="T174" s="43" t="s">
        <v>2229</v>
      </c>
      <c r="U174" t="s">
        <v>3699</v>
      </c>
    </row>
    <row r="175" spans="1:21" x14ac:dyDescent="0.3">
      <c r="A175" t="s">
        <v>837</v>
      </c>
      <c r="B175" t="s">
        <v>30</v>
      </c>
      <c r="C175" t="s">
        <v>338</v>
      </c>
      <c r="D175" s="15">
        <v>1</v>
      </c>
      <c r="E175" s="7">
        <v>172.5</v>
      </c>
      <c r="H175">
        <v>90352</v>
      </c>
      <c r="I175" t="s">
        <v>855</v>
      </c>
      <c r="J175" t="s">
        <v>1051</v>
      </c>
      <c r="K175" t="s">
        <v>3</v>
      </c>
      <c r="L175" s="2">
        <v>43191</v>
      </c>
      <c r="M175" s="2">
        <f>DHMXX[[#This Row],[INV DOC DATE]]+30</f>
        <v>43221</v>
      </c>
      <c r="N175" s="2">
        <v>43221</v>
      </c>
      <c r="O175" s="7">
        <v>172.5</v>
      </c>
      <c r="P175" s="2">
        <v>43227</v>
      </c>
      <c r="Q175" s="7">
        <f>$E175-$O175</f>
        <v>0</v>
      </c>
      <c r="R175" s="7" t="str">
        <f ca="1">IF(TODAY() - DHMXX[INV DUE DATE]&lt;30, "Less than 30 days",IF(TODAY()-DHMXX[INV DUE DATE]&lt;60,"30-60 days","More than 60 days"))</f>
        <v>More than 60 days</v>
      </c>
      <c r="S175" t="s">
        <v>1550</v>
      </c>
      <c r="T175" s="43" t="s">
        <v>2229</v>
      </c>
      <c r="U175" t="s">
        <v>3699</v>
      </c>
    </row>
    <row r="176" spans="1:21" x14ac:dyDescent="0.3">
      <c r="A176" t="s">
        <v>837</v>
      </c>
      <c r="B176" t="s">
        <v>30</v>
      </c>
      <c r="C176" t="s">
        <v>339</v>
      </c>
      <c r="D176" s="15">
        <v>1</v>
      </c>
      <c r="E176" s="7">
        <v>172.5</v>
      </c>
      <c r="H176">
        <v>90352</v>
      </c>
      <c r="I176" t="s">
        <v>855</v>
      </c>
      <c r="J176" t="s">
        <v>1052</v>
      </c>
      <c r="K176" t="s">
        <v>3</v>
      </c>
      <c r="L176" s="2">
        <v>43191</v>
      </c>
      <c r="M176" s="2">
        <f>DHMXX[[#This Row],[INV DOC DATE]]+30</f>
        <v>43221</v>
      </c>
      <c r="N176" s="2">
        <v>43221</v>
      </c>
      <c r="O176" s="7">
        <v>172.5</v>
      </c>
      <c r="P176" s="2">
        <v>43227</v>
      </c>
      <c r="Q176" s="7">
        <f>$E176-$O176</f>
        <v>0</v>
      </c>
      <c r="R176" s="7" t="str">
        <f ca="1">IF(TODAY() - DHMXX[INV DUE DATE]&lt;30, "Less than 30 days",IF(TODAY()-DHMXX[INV DUE DATE]&lt;60,"30-60 days","More than 60 days"))</f>
        <v>More than 60 days</v>
      </c>
      <c r="S176" t="s">
        <v>1550</v>
      </c>
      <c r="T176" s="43" t="s">
        <v>2229</v>
      </c>
      <c r="U176" t="s">
        <v>3699</v>
      </c>
    </row>
    <row r="177" spans="1:21" x14ac:dyDescent="0.3">
      <c r="A177" t="s">
        <v>837</v>
      </c>
      <c r="B177" t="s">
        <v>30</v>
      </c>
      <c r="C177" t="s">
        <v>340</v>
      </c>
      <c r="D177" s="15">
        <v>1</v>
      </c>
      <c r="E177" s="7">
        <v>465</v>
      </c>
      <c r="H177">
        <v>90352</v>
      </c>
      <c r="I177" t="s">
        <v>855</v>
      </c>
      <c r="J177" t="s">
        <v>1053</v>
      </c>
      <c r="K177" t="s">
        <v>3</v>
      </c>
      <c r="L177" s="2">
        <v>43191</v>
      </c>
      <c r="M177" s="2">
        <f>DHMXX[[#This Row],[INV DOC DATE]]+30</f>
        <v>43221</v>
      </c>
      <c r="N177" s="2">
        <v>43221</v>
      </c>
      <c r="O177" s="7">
        <v>465</v>
      </c>
      <c r="P177" s="2">
        <v>43227</v>
      </c>
      <c r="Q177" s="7">
        <f>$E177-$O177</f>
        <v>0</v>
      </c>
      <c r="R177" s="7" t="str">
        <f ca="1">IF(TODAY() - DHMXX[INV DUE DATE]&lt;30, "Less than 30 days",IF(TODAY()-DHMXX[INV DUE DATE]&lt;60,"30-60 days","More than 60 days"))</f>
        <v>More than 60 days</v>
      </c>
      <c r="S177" t="s">
        <v>1550</v>
      </c>
      <c r="T177" s="43" t="s">
        <v>2229</v>
      </c>
      <c r="U177" t="s">
        <v>3699</v>
      </c>
    </row>
    <row r="178" spans="1:21" x14ac:dyDescent="0.3">
      <c r="A178" t="s">
        <v>837</v>
      </c>
      <c r="B178" t="s">
        <v>30</v>
      </c>
      <c r="C178" t="s">
        <v>341</v>
      </c>
      <c r="D178" s="15">
        <v>1</v>
      </c>
      <c r="E178" s="7">
        <v>465</v>
      </c>
      <c r="H178">
        <v>90352</v>
      </c>
      <c r="I178" t="s">
        <v>855</v>
      </c>
      <c r="J178" t="s">
        <v>1054</v>
      </c>
      <c r="K178" t="s">
        <v>3</v>
      </c>
      <c r="L178" s="2">
        <v>43191</v>
      </c>
      <c r="M178" s="2">
        <f>DHMXX[[#This Row],[INV DOC DATE]]+30</f>
        <v>43221</v>
      </c>
      <c r="N178" s="2">
        <v>43221</v>
      </c>
      <c r="O178" s="7">
        <v>465</v>
      </c>
      <c r="P178" s="2">
        <v>43227</v>
      </c>
      <c r="Q178" s="7">
        <f>$E178-$O178</f>
        <v>0</v>
      </c>
      <c r="R178" s="7" t="str">
        <f ca="1">IF(TODAY() - DHMXX[INV DUE DATE]&lt;30, "Less than 30 days",IF(TODAY()-DHMXX[INV DUE DATE]&lt;60,"30-60 days","More than 60 days"))</f>
        <v>More than 60 days</v>
      </c>
      <c r="S178" t="s">
        <v>1550</v>
      </c>
      <c r="T178" s="43" t="s">
        <v>2229</v>
      </c>
      <c r="U178" t="s">
        <v>3699</v>
      </c>
    </row>
    <row r="179" spans="1:21" x14ac:dyDescent="0.3">
      <c r="A179" t="s">
        <v>837</v>
      </c>
      <c r="B179" t="s">
        <v>30</v>
      </c>
      <c r="C179" t="s">
        <v>342</v>
      </c>
      <c r="D179" s="15">
        <v>1</v>
      </c>
      <c r="E179" s="7">
        <v>465</v>
      </c>
      <c r="H179">
        <v>90352</v>
      </c>
      <c r="I179" t="s">
        <v>855</v>
      </c>
      <c r="J179" t="s">
        <v>1055</v>
      </c>
      <c r="K179" t="s">
        <v>3</v>
      </c>
      <c r="L179" s="2">
        <v>43191</v>
      </c>
      <c r="M179" s="2">
        <f>DHMXX[[#This Row],[INV DOC DATE]]+30</f>
        <v>43221</v>
      </c>
      <c r="N179" s="2">
        <v>43221</v>
      </c>
      <c r="O179" s="7">
        <v>465</v>
      </c>
      <c r="P179" s="2">
        <v>43227</v>
      </c>
      <c r="Q179" s="7">
        <f>$E179-$O179</f>
        <v>0</v>
      </c>
      <c r="R179" s="7" t="str">
        <f ca="1">IF(TODAY() - DHMXX[INV DUE DATE]&lt;30, "Less than 30 days",IF(TODAY()-DHMXX[INV DUE DATE]&lt;60,"30-60 days","More than 60 days"))</f>
        <v>More than 60 days</v>
      </c>
      <c r="S179" t="s">
        <v>1550</v>
      </c>
      <c r="T179" s="43" t="s">
        <v>2229</v>
      </c>
      <c r="U179" t="s">
        <v>3699</v>
      </c>
    </row>
    <row r="180" spans="1:21" x14ac:dyDescent="0.3">
      <c r="A180" t="s">
        <v>837</v>
      </c>
      <c r="B180" t="s">
        <v>30</v>
      </c>
      <c r="C180" t="s">
        <v>343</v>
      </c>
      <c r="D180" s="15">
        <v>1</v>
      </c>
      <c r="E180" s="7">
        <v>172.5</v>
      </c>
      <c r="H180">
        <v>90352</v>
      </c>
      <c r="I180" t="s">
        <v>855</v>
      </c>
      <c r="J180" t="s">
        <v>1056</v>
      </c>
      <c r="K180" t="s">
        <v>3</v>
      </c>
      <c r="L180" s="2">
        <v>43191</v>
      </c>
      <c r="M180" s="2">
        <f>DHMXX[[#This Row],[INV DOC DATE]]+30</f>
        <v>43221</v>
      </c>
      <c r="N180" s="2">
        <v>43221</v>
      </c>
      <c r="O180" s="7">
        <v>172.5</v>
      </c>
      <c r="P180" s="2">
        <v>43227</v>
      </c>
      <c r="Q180" s="7">
        <f>$E180-$O180</f>
        <v>0</v>
      </c>
      <c r="R180" s="7" t="str">
        <f ca="1">IF(TODAY() - DHMXX[INV DUE DATE]&lt;30, "Less than 30 days",IF(TODAY()-DHMXX[INV DUE DATE]&lt;60,"30-60 days","More than 60 days"))</f>
        <v>More than 60 days</v>
      </c>
      <c r="S180" t="s">
        <v>1550</v>
      </c>
      <c r="T180" s="43" t="s">
        <v>2229</v>
      </c>
      <c r="U180" t="s">
        <v>3699</v>
      </c>
    </row>
    <row r="181" spans="1:21" x14ac:dyDescent="0.3">
      <c r="A181" t="s">
        <v>837</v>
      </c>
      <c r="B181" t="s">
        <v>30</v>
      </c>
      <c r="C181" t="s">
        <v>344</v>
      </c>
      <c r="D181" s="15">
        <v>1</v>
      </c>
      <c r="E181" s="7">
        <v>172.5</v>
      </c>
      <c r="H181">
        <v>90352</v>
      </c>
      <c r="I181" t="s">
        <v>855</v>
      </c>
      <c r="J181" t="s">
        <v>1057</v>
      </c>
      <c r="K181" t="s">
        <v>3</v>
      </c>
      <c r="L181" s="2">
        <v>43191</v>
      </c>
      <c r="M181" s="2">
        <f>DHMXX[[#This Row],[INV DOC DATE]]+30</f>
        <v>43221</v>
      </c>
      <c r="N181" s="2">
        <v>43221</v>
      </c>
      <c r="O181" s="7">
        <v>172.5</v>
      </c>
      <c r="P181" s="2">
        <v>43227</v>
      </c>
      <c r="Q181" s="7">
        <f>$E181-$O181</f>
        <v>0</v>
      </c>
      <c r="R181" s="7" t="str">
        <f ca="1">IF(TODAY() - DHMXX[INV DUE DATE]&lt;30, "Less than 30 days",IF(TODAY()-DHMXX[INV DUE DATE]&lt;60,"30-60 days","More than 60 days"))</f>
        <v>More than 60 days</v>
      </c>
      <c r="S181" t="s">
        <v>1550</v>
      </c>
      <c r="T181" s="43" t="s">
        <v>2229</v>
      </c>
      <c r="U181" t="s">
        <v>3699</v>
      </c>
    </row>
    <row r="182" spans="1:21" x14ac:dyDescent="0.3">
      <c r="A182" t="s">
        <v>837</v>
      </c>
      <c r="B182" t="s">
        <v>30</v>
      </c>
      <c r="C182" t="s">
        <v>345</v>
      </c>
      <c r="D182" s="15">
        <v>1</v>
      </c>
      <c r="E182" s="7">
        <v>172.5</v>
      </c>
      <c r="H182">
        <v>90352</v>
      </c>
      <c r="I182" t="s">
        <v>855</v>
      </c>
      <c r="J182" t="s">
        <v>1058</v>
      </c>
      <c r="K182" t="s">
        <v>3</v>
      </c>
      <c r="L182" s="2">
        <v>43191</v>
      </c>
      <c r="M182" s="2">
        <f>DHMXX[[#This Row],[INV DOC DATE]]+30</f>
        <v>43221</v>
      </c>
      <c r="N182" s="2">
        <v>43221</v>
      </c>
      <c r="O182" s="7">
        <v>172.5</v>
      </c>
      <c r="P182" s="2">
        <v>43227</v>
      </c>
      <c r="Q182" s="7">
        <f>$E182-$O182</f>
        <v>0</v>
      </c>
      <c r="R182" s="7" t="str">
        <f ca="1">IF(TODAY() - DHMXX[INV DUE DATE]&lt;30, "Less than 30 days",IF(TODAY()-DHMXX[INV DUE DATE]&lt;60,"30-60 days","More than 60 days"))</f>
        <v>More than 60 days</v>
      </c>
      <c r="S182" t="s">
        <v>1550</v>
      </c>
      <c r="T182" s="43" t="s">
        <v>2229</v>
      </c>
      <c r="U182" t="s">
        <v>3699</v>
      </c>
    </row>
    <row r="183" spans="1:21" x14ac:dyDescent="0.3">
      <c r="A183" t="s">
        <v>837</v>
      </c>
      <c r="B183" t="s">
        <v>30</v>
      </c>
      <c r="C183" t="s">
        <v>346</v>
      </c>
      <c r="D183" s="15">
        <v>1</v>
      </c>
      <c r="E183" s="7">
        <v>172.5</v>
      </c>
      <c r="H183">
        <v>90352</v>
      </c>
      <c r="I183" t="s">
        <v>855</v>
      </c>
      <c r="J183" t="s">
        <v>1059</v>
      </c>
      <c r="K183" t="s">
        <v>3</v>
      </c>
      <c r="L183" s="2">
        <v>43191</v>
      </c>
      <c r="M183" s="2">
        <f>DHMXX[[#This Row],[INV DOC DATE]]+30</f>
        <v>43221</v>
      </c>
      <c r="N183" s="2">
        <v>43221</v>
      </c>
      <c r="O183" s="7">
        <v>172.5</v>
      </c>
      <c r="P183" s="2">
        <v>43227</v>
      </c>
      <c r="Q183" s="7">
        <f>$E183-$O183</f>
        <v>0</v>
      </c>
      <c r="R183" s="7" t="str">
        <f ca="1">IF(TODAY() - DHMXX[INV DUE DATE]&lt;30, "Less than 30 days",IF(TODAY()-DHMXX[INV DUE DATE]&lt;60,"30-60 days","More than 60 days"))</f>
        <v>More than 60 days</v>
      </c>
      <c r="S183" t="s">
        <v>1550</v>
      </c>
      <c r="T183" s="43" t="s">
        <v>2229</v>
      </c>
      <c r="U183" t="s">
        <v>3699</v>
      </c>
    </row>
    <row r="184" spans="1:21" x14ac:dyDescent="0.3">
      <c r="A184" t="s">
        <v>837</v>
      </c>
      <c r="B184" t="s">
        <v>30</v>
      </c>
      <c r="C184" t="s">
        <v>557</v>
      </c>
      <c r="D184" s="15">
        <v>1</v>
      </c>
      <c r="E184" s="7">
        <v>172.5</v>
      </c>
      <c r="H184">
        <v>90352</v>
      </c>
      <c r="I184" t="s">
        <v>855</v>
      </c>
      <c r="J184" t="s">
        <v>1060</v>
      </c>
      <c r="K184" t="s">
        <v>3</v>
      </c>
      <c r="L184" s="2">
        <v>43191</v>
      </c>
      <c r="M184" s="2">
        <f>DHMXX[[#This Row],[INV DOC DATE]]+30</f>
        <v>43221</v>
      </c>
      <c r="N184" s="2">
        <v>43221</v>
      </c>
      <c r="O184" s="7">
        <v>172.5</v>
      </c>
      <c r="P184" s="2">
        <v>43227</v>
      </c>
      <c r="Q184" s="7">
        <f>$E184-$O184</f>
        <v>0</v>
      </c>
      <c r="R184" s="7" t="str">
        <f ca="1">IF(TODAY() - DHMXX[INV DUE DATE]&lt;30, "Less than 30 days",IF(TODAY()-DHMXX[INV DUE DATE]&lt;60,"30-60 days","More than 60 days"))</f>
        <v>More than 60 days</v>
      </c>
      <c r="S184" t="s">
        <v>1550</v>
      </c>
      <c r="T184" s="43" t="s">
        <v>2229</v>
      </c>
      <c r="U184" t="s">
        <v>3699</v>
      </c>
    </row>
    <row r="185" spans="1:21" x14ac:dyDescent="0.3">
      <c r="A185" t="s">
        <v>837</v>
      </c>
      <c r="B185" t="s">
        <v>30</v>
      </c>
      <c r="C185" t="s">
        <v>558</v>
      </c>
      <c r="D185" s="15">
        <v>1</v>
      </c>
      <c r="E185" s="7">
        <v>172.5</v>
      </c>
      <c r="H185">
        <v>90352</v>
      </c>
      <c r="I185" t="s">
        <v>855</v>
      </c>
      <c r="J185" t="s">
        <v>1061</v>
      </c>
      <c r="K185" t="s">
        <v>3</v>
      </c>
      <c r="L185" s="2">
        <v>43191</v>
      </c>
      <c r="M185" s="2">
        <f>DHMXX[[#This Row],[INV DOC DATE]]+30</f>
        <v>43221</v>
      </c>
      <c r="N185" s="2">
        <v>43221</v>
      </c>
      <c r="O185" s="7">
        <v>172.5</v>
      </c>
      <c r="P185" s="2">
        <v>43227</v>
      </c>
      <c r="Q185" s="7">
        <f>$E185-$O185</f>
        <v>0</v>
      </c>
      <c r="R185" s="7" t="str">
        <f ca="1">IF(TODAY() - DHMXX[INV DUE DATE]&lt;30, "Less than 30 days",IF(TODAY()-DHMXX[INV DUE DATE]&lt;60,"30-60 days","More than 60 days"))</f>
        <v>More than 60 days</v>
      </c>
      <c r="S185" t="s">
        <v>1550</v>
      </c>
      <c r="T185" s="43" t="s">
        <v>2229</v>
      </c>
      <c r="U185" t="s">
        <v>3699</v>
      </c>
    </row>
    <row r="186" spans="1:21" x14ac:dyDescent="0.3">
      <c r="A186" t="s">
        <v>837</v>
      </c>
      <c r="B186" t="s">
        <v>30</v>
      </c>
      <c r="C186" t="s">
        <v>559</v>
      </c>
      <c r="D186" s="15">
        <v>1</v>
      </c>
      <c r="E186" s="7">
        <v>172.5</v>
      </c>
      <c r="H186">
        <v>91295</v>
      </c>
      <c r="I186" t="s">
        <v>360</v>
      </c>
      <c r="J186" t="s">
        <v>1062</v>
      </c>
      <c r="K186" t="s">
        <v>3</v>
      </c>
      <c r="L186" s="2">
        <v>43191</v>
      </c>
      <c r="M186" s="2">
        <f>DHMXX[[#This Row],[INV DOC DATE]]+30</f>
        <v>43221</v>
      </c>
      <c r="N186" s="2">
        <v>43221</v>
      </c>
      <c r="O186" s="7">
        <v>172.5</v>
      </c>
      <c r="P186" s="2">
        <v>43227</v>
      </c>
      <c r="Q186" s="7">
        <f>$E186-$O186</f>
        <v>0</v>
      </c>
      <c r="R186" s="7" t="str">
        <f ca="1">IF(TODAY() - DHMXX[INV DUE DATE]&lt;30, "Less than 30 days",IF(TODAY()-DHMXX[INV DUE DATE]&lt;60,"30-60 days","More than 60 days"))</f>
        <v>More than 60 days</v>
      </c>
      <c r="S186" t="s">
        <v>1550</v>
      </c>
      <c r="T186" s="43" t="s">
        <v>2229</v>
      </c>
      <c r="U186" t="s">
        <v>3699</v>
      </c>
    </row>
    <row r="187" spans="1:21" x14ac:dyDescent="0.3">
      <c r="A187" t="s">
        <v>837</v>
      </c>
      <c r="B187" t="s">
        <v>30</v>
      </c>
      <c r="C187" t="s">
        <v>560</v>
      </c>
      <c r="D187" s="15">
        <v>1</v>
      </c>
      <c r="E187" s="7">
        <v>172.5</v>
      </c>
      <c r="H187">
        <v>91295</v>
      </c>
      <c r="I187" t="s">
        <v>360</v>
      </c>
      <c r="J187" t="s">
        <v>1063</v>
      </c>
      <c r="K187" t="s">
        <v>3</v>
      </c>
      <c r="L187" s="2">
        <v>43191</v>
      </c>
      <c r="M187" s="2">
        <f>DHMXX[[#This Row],[INV DOC DATE]]+30</f>
        <v>43221</v>
      </c>
      <c r="N187" s="2">
        <v>43221</v>
      </c>
      <c r="O187" s="7">
        <v>172.5</v>
      </c>
      <c r="P187" s="2">
        <v>43227</v>
      </c>
      <c r="Q187" s="7">
        <f>$E187-$O187</f>
        <v>0</v>
      </c>
      <c r="R187" s="7" t="str">
        <f ca="1">IF(TODAY() - DHMXX[INV DUE DATE]&lt;30, "Less than 30 days",IF(TODAY()-DHMXX[INV DUE DATE]&lt;60,"30-60 days","More than 60 days"))</f>
        <v>More than 60 days</v>
      </c>
      <c r="S187" t="s">
        <v>1550</v>
      </c>
      <c r="T187" s="43" t="s">
        <v>2229</v>
      </c>
      <c r="U187" t="s">
        <v>3699</v>
      </c>
    </row>
    <row r="188" spans="1:21" x14ac:dyDescent="0.3">
      <c r="A188" t="s">
        <v>837</v>
      </c>
      <c r="B188" t="s">
        <v>30</v>
      </c>
      <c r="C188" t="s">
        <v>561</v>
      </c>
      <c r="D188" s="15">
        <v>1</v>
      </c>
      <c r="E188" s="7">
        <v>172.5</v>
      </c>
      <c r="H188">
        <v>91295</v>
      </c>
      <c r="I188" t="s">
        <v>360</v>
      </c>
      <c r="J188" t="s">
        <v>1064</v>
      </c>
      <c r="K188" t="s">
        <v>3</v>
      </c>
      <c r="L188" s="2">
        <v>43191</v>
      </c>
      <c r="M188" s="2">
        <f>DHMXX[[#This Row],[INV DOC DATE]]+30</f>
        <v>43221</v>
      </c>
      <c r="N188" s="2">
        <v>43221</v>
      </c>
      <c r="O188" s="7">
        <v>172.5</v>
      </c>
      <c r="P188" s="2">
        <v>43227</v>
      </c>
      <c r="Q188" s="7">
        <f>$E188-$O188</f>
        <v>0</v>
      </c>
      <c r="R188" s="7" t="str">
        <f ca="1">IF(TODAY() - DHMXX[INV DUE DATE]&lt;30, "Less than 30 days",IF(TODAY()-DHMXX[INV DUE DATE]&lt;60,"30-60 days","More than 60 days"))</f>
        <v>More than 60 days</v>
      </c>
      <c r="S188" t="s">
        <v>1550</v>
      </c>
      <c r="T188" s="43" t="s">
        <v>2229</v>
      </c>
      <c r="U188" t="s">
        <v>3699</v>
      </c>
    </row>
    <row r="189" spans="1:21" x14ac:dyDescent="0.3">
      <c r="A189" t="s">
        <v>837</v>
      </c>
      <c r="B189" t="s">
        <v>30</v>
      </c>
      <c r="C189" t="s">
        <v>562</v>
      </c>
      <c r="D189" s="15">
        <v>1</v>
      </c>
      <c r="E189" s="7">
        <v>172.5</v>
      </c>
      <c r="H189">
        <v>91295</v>
      </c>
      <c r="I189" t="s">
        <v>360</v>
      </c>
      <c r="J189" t="s">
        <v>1065</v>
      </c>
      <c r="K189" t="s">
        <v>3</v>
      </c>
      <c r="L189" s="2">
        <v>43191</v>
      </c>
      <c r="M189" s="2">
        <f>DHMXX[[#This Row],[INV DOC DATE]]+30</f>
        <v>43221</v>
      </c>
      <c r="N189" s="2">
        <v>43221</v>
      </c>
      <c r="O189" s="7">
        <v>172.5</v>
      </c>
      <c r="P189" s="2">
        <v>43227</v>
      </c>
      <c r="Q189" s="7">
        <f>$E189-$O189</f>
        <v>0</v>
      </c>
      <c r="R189" s="7" t="str">
        <f ca="1">IF(TODAY() - DHMXX[INV DUE DATE]&lt;30, "Less than 30 days",IF(TODAY()-DHMXX[INV DUE DATE]&lt;60,"30-60 days","More than 60 days"))</f>
        <v>More than 60 days</v>
      </c>
      <c r="S189" t="s">
        <v>1550</v>
      </c>
      <c r="T189" s="43" t="s">
        <v>2229</v>
      </c>
      <c r="U189" t="s">
        <v>3699</v>
      </c>
    </row>
    <row r="190" spans="1:21" x14ac:dyDescent="0.3">
      <c r="A190" t="s">
        <v>837</v>
      </c>
      <c r="B190" t="s">
        <v>30</v>
      </c>
      <c r="C190" t="s">
        <v>563</v>
      </c>
      <c r="D190" s="15">
        <v>1</v>
      </c>
      <c r="E190" s="7">
        <v>172.5</v>
      </c>
      <c r="H190">
        <v>91295</v>
      </c>
      <c r="I190" t="s">
        <v>360</v>
      </c>
      <c r="J190" t="s">
        <v>1066</v>
      </c>
      <c r="K190" t="s">
        <v>3</v>
      </c>
      <c r="L190" s="2">
        <v>43191</v>
      </c>
      <c r="M190" s="2">
        <f>DHMXX[[#This Row],[INV DOC DATE]]+30</f>
        <v>43221</v>
      </c>
      <c r="N190" s="2">
        <v>43221</v>
      </c>
      <c r="O190" s="7">
        <v>172.5</v>
      </c>
      <c r="P190" s="2">
        <v>43227</v>
      </c>
      <c r="Q190" s="7">
        <f>$E190-$O190</f>
        <v>0</v>
      </c>
      <c r="R190" s="7" t="str">
        <f ca="1">IF(TODAY() - DHMXX[INV DUE DATE]&lt;30, "Less than 30 days",IF(TODAY()-DHMXX[INV DUE DATE]&lt;60,"30-60 days","More than 60 days"))</f>
        <v>More than 60 days</v>
      </c>
      <c r="S190" t="s">
        <v>1550</v>
      </c>
      <c r="T190" s="43" t="s">
        <v>2229</v>
      </c>
      <c r="U190" t="s">
        <v>3699</v>
      </c>
    </row>
    <row r="191" spans="1:21" x14ac:dyDescent="0.3">
      <c r="A191" t="s">
        <v>837</v>
      </c>
      <c r="B191" t="s">
        <v>30</v>
      </c>
      <c r="C191" t="s">
        <v>564</v>
      </c>
      <c r="D191" s="15">
        <v>1</v>
      </c>
      <c r="E191" s="7">
        <v>172.5</v>
      </c>
      <c r="H191">
        <v>91295</v>
      </c>
      <c r="I191" t="s">
        <v>360</v>
      </c>
      <c r="J191" t="s">
        <v>1067</v>
      </c>
      <c r="K191" t="s">
        <v>3</v>
      </c>
      <c r="L191" s="2">
        <v>43191</v>
      </c>
      <c r="M191" s="2">
        <f>DHMXX[[#This Row],[INV DOC DATE]]+30</f>
        <v>43221</v>
      </c>
      <c r="N191" s="2">
        <v>43221</v>
      </c>
      <c r="O191" s="7">
        <v>172.5</v>
      </c>
      <c r="P191" s="2">
        <v>43227</v>
      </c>
      <c r="Q191" s="7">
        <f>$E191-$O191</f>
        <v>0</v>
      </c>
      <c r="R191" s="7" t="str">
        <f ca="1">IF(TODAY() - DHMXX[INV DUE DATE]&lt;30, "Less than 30 days",IF(TODAY()-DHMXX[INV DUE DATE]&lt;60,"30-60 days","More than 60 days"))</f>
        <v>More than 60 days</v>
      </c>
      <c r="S191" t="s">
        <v>1550</v>
      </c>
      <c r="T191" s="43" t="s">
        <v>2229</v>
      </c>
      <c r="U191" t="s">
        <v>3699</v>
      </c>
    </row>
    <row r="192" spans="1:21" x14ac:dyDescent="0.3">
      <c r="A192" t="s">
        <v>837</v>
      </c>
      <c r="B192" t="s">
        <v>30</v>
      </c>
      <c r="C192" t="s">
        <v>565</v>
      </c>
      <c r="D192" s="15">
        <v>1</v>
      </c>
      <c r="E192" s="7">
        <v>172.5</v>
      </c>
      <c r="H192">
        <v>91295</v>
      </c>
      <c r="I192" t="s">
        <v>360</v>
      </c>
      <c r="J192" t="s">
        <v>1068</v>
      </c>
      <c r="K192" t="s">
        <v>3</v>
      </c>
      <c r="L192" s="2">
        <v>43191</v>
      </c>
      <c r="M192" s="2">
        <f>DHMXX[[#This Row],[INV DOC DATE]]+30</f>
        <v>43221</v>
      </c>
      <c r="N192" s="2">
        <v>43221</v>
      </c>
      <c r="O192" s="7">
        <v>172.5</v>
      </c>
      <c r="P192" s="2">
        <v>43227</v>
      </c>
      <c r="Q192" s="7">
        <f>$E192-$O192</f>
        <v>0</v>
      </c>
      <c r="R192" s="7" t="str">
        <f ca="1">IF(TODAY() - DHMXX[INV DUE DATE]&lt;30, "Less than 30 days",IF(TODAY()-DHMXX[INV DUE DATE]&lt;60,"30-60 days","More than 60 days"))</f>
        <v>More than 60 days</v>
      </c>
      <c r="S192" t="s">
        <v>1550</v>
      </c>
      <c r="T192" s="43" t="s">
        <v>2229</v>
      </c>
      <c r="U192" t="s">
        <v>3699</v>
      </c>
    </row>
    <row r="193" spans="1:21" x14ac:dyDescent="0.3">
      <c r="A193" t="s">
        <v>837</v>
      </c>
      <c r="B193" t="s">
        <v>30</v>
      </c>
      <c r="C193" t="s">
        <v>566</v>
      </c>
      <c r="D193" s="15">
        <v>1</v>
      </c>
      <c r="E193" s="7">
        <v>172.5</v>
      </c>
      <c r="H193">
        <v>91295</v>
      </c>
      <c r="I193" t="s">
        <v>360</v>
      </c>
      <c r="J193" t="s">
        <v>1069</v>
      </c>
      <c r="K193" t="s">
        <v>3</v>
      </c>
      <c r="L193" s="2">
        <v>43191</v>
      </c>
      <c r="M193" s="2">
        <f>DHMXX[[#This Row],[INV DOC DATE]]+30</f>
        <v>43221</v>
      </c>
      <c r="N193" s="2">
        <v>43221</v>
      </c>
      <c r="O193" s="7">
        <v>172.5</v>
      </c>
      <c r="P193" s="2">
        <v>43227</v>
      </c>
      <c r="Q193" s="7">
        <f>$E193-$O193</f>
        <v>0</v>
      </c>
      <c r="R193" s="7" t="str">
        <f ca="1">IF(TODAY() - DHMXX[INV DUE DATE]&lt;30, "Less than 30 days",IF(TODAY()-DHMXX[INV DUE DATE]&lt;60,"30-60 days","More than 60 days"))</f>
        <v>More than 60 days</v>
      </c>
      <c r="S193" t="s">
        <v>1550</v>
      </c>
      <c r="T193" s="43" t="s">
        <v>2229</v>
      </c>
      <c r="U193" t="s">
        <v>3699</v>
      </c>
    </row>
    <row r="194" spans="1:21" x14ac:dyDescent="0.3">
      <c r="A194" t="s">
        <v>837</v>
      </c>
      <c r="B194" t="s">
        <v>30</v>
      </c>
      <c r="C194" t="s">
        <v>567</v>
      </c>
      <c r="D194" s="15">
        <v>1</v>
      </c>
      <c r="E194" s="7">
        <v>172.5</v>
      </c>
      <c r="H194">
        <v>91295</v>
      </c>
      <c r="I194" t="s">
        <v>360</v>
      </c>
      <c r="J194" t="s">
        <v>1070</v>
      </c>
      <c r="K194" t="s">
        <v>3</v>
      </c>
      <c r="L194" s="2">
        <v>43191</v>
      </c>
      <c r="M194" s="2">
        <f>DHMXX[[#This Row],[INV DOC DATE]]+30</f>
        <v>43221</v>
      </c>
      <c r="N194" s="2">
        <v>43221</v>
      </c>
      <c r="O194" s="7">
        <v>172.5</v>
      </c>
      <c r="P194" s="2">
        <v>43227</v>
      </c>
      <c r="Q194" s="7">
        <f>$E194-$O194</f>
        <v>0</v>
      </c>
      <c r="R194" s="7" t="str">
        <f ca="1">IF(TODAY() - DHMXX[INV DUE DATE]&lt;30, "Less than 30 days",IF(TODAY()-DHMXX[INV DUE DATE]&lt;60,"30-60 days","More than 60 days"))</f>
        <v>More than 60 days</v>
      </c>
      <c r="S194" t="s">
        <v>1550</v>
      </c>
      <c r="T194" s="43" t="s">
        <v>2229</v>
      </c>
      <c r="U194" t="s">
        <v>3699</v>
      </c>
    </row>
    <row r="195" spans="1:21" x14ac:dyDescent="0.3">
      <c r="A195" t="s">
        <v>837</v>
      </c>
      <c r="B195" t="s">
        <v>30</v>
      </c>
      <c r="C195" t="s">
        <v>568</v>
      </c>
      <c r="D195" s="15">
        <v>1</v>
      </c>
      <c r="E195" s="7">
        <v>172.5</v>
      </c>
      <c r="H195">
        <v>91295</v>
      </c>
      <c r="I195" t="s">
        <v>360</v>
      </c>
      <c r="J195" t="s">
        <v>1071</v>
      </c>
      <c r="K195" t="s">
        <v>3</v>
      </c>
      <c r="L195" s="2">
        <v>43191</v>
      </c>
      <c r="M195" s="2">
        <f>DHMXX[[#This Row],[INV DOC DATE]]+30</f>
        <v>43221</v>
      </c>
      <c r="N195" s="2">
        <v>43221</v>
      </c>
      <c r="O195" s="7">
        <v>172.5</v>
      </c>
      <c r="P195" s="2">
        <v>43227</v>
      </c>
      <c r="Q195" s="7">
        <f>$E195-$O195</f>
        <v>0</v>
      </c>
      <c r="R195" s="7" t="str">
        <f ca="1">IF(TODAY() - DHMXX[INV DUE DATE]&lt;30, "Less than 30 days",IF(TODAY()-DHMXX[INV DUE DATE]&lt;60,"30-60 days","More than 60 days"))</f>
        <v>More than 60 days</v>
      </c>
      <c r="S195" t="s">
        <v>1550</v>
      </c>
      <c r="T195" s="43" t="s">
        <v>2229</v>
      </c>
      <c r="U195" t="s">
        <v>3699</v>
      </c>
    </row>
    <row r="196" spans="1:21" x14ac:dyDescent="0.3">
      <c r="A196" t="s">
        <v>837</v>
      </c>
      <c r="B196" t="s">
        <v>30</v>
      </c>
      <c r="C196" t="s">
        <v>569</v>
      </c>
      <c r="D196" s="15">
        <v>1</v>
      </c>
      <c r="E196" s="7">
        <v>172.5</v>
      </c>
      <c r="H196">
        <v>91295</v>
      </c>
      <c r="I196" t="s">
        <v>360</v>
      </c>
      <c r="J196" t="s">
        <v>1072</v>
      </c>
      <c r="K196" t="s">
        <v>3</v>
      </c>
      <c r="L196" s="2">
        <v>43191</v>
      </c>
      <c r="M196" s="2">
        <f>DHMXX[[#This Row],[INV DOC DATE]]+30</f>
        <v>43221</v>
      </c>
      <c r="N196" s="2">
        <v>43221</v>
      </c>
      <c r="O196" s="7">
        <v>172.5</v>
      </c>
      <c r="P196" s="2">
        <v>43227</v>
      </c>
      <c r="Q196" s="7">
        <f>$E196-$O196</f>
        <v>0</v>
      </c>
      <c r="R196" s="7" t="str">
        <f ca="1">IF(TODAY() - DHMXX[INV DUE DATE]&lt;30, "Less than 30 days",IF(TODAY()-DHMXX[INV DUE DATE]&lt;60,"30-60 days","More than 60 days"))</f>
        <v>More than 60 days</v>
      </c>
      <c r="S196" t="s">
        <v>1550</v>
      </c>
      <c r="T196" s="43" t="s">
        <v>2229</v>
      </c>
      <c r="U196" t="s">
        <v>3699</v>
      </c>
    </row>
    <row r="197" spans="1:21" x14ac:dyDescent="0.3">
      <c r="A197" t="s">
        <v>837</v>
      </c>
      <c r="B197" t="s">
        <v>30</v>
      </c>
      <c r="C197" t="s">
        <v>570</v>
      </c>
      <c r="D197" s="15">
        <v>1</v>
      </c>
      <c r="E197" s="7">
        <v>172.5</v>
      </c>
      <c r="H197">
        <v>91295</v>
      </c>
      <c r="I197" t="s">
        <v>360</v>
      </c>
      <c r="J197" t="s">
        <v>1073</v>
      </c>
      <c r="K197" t="s">
        <v>3</v>
      </c>
      <c r="L197" s="2">
        <v>43191</v>
      </c>
      <c r="M197" s="2">
        <f>DHMXX[[#This Row],[INV DOC DATE]]+30</f>
        <v>43221</v>
      </c>
      <c r="N197" s="2">
        <v>43221</v>
      </c>
      <c r="O197" s="7">
        <v>172.5</v>
      </c>
      <c r="P197" s="2">
        <v>43227</v>
      </c>
      <c r="Q197" s="7">
        <f>$E197-$O197</f>
        <v>0</v>
      </c>
      <c r="R197" s="7" t="str">
        <f ca="1">IF(TODAY() - DHMXX[INV DUE DATE]&lt;30, "Less than 30 days",IF(TODAY()-DHMXX[INV DUE DATE]&lt;60,"30-60 days","More than 60 days"))</f>
        <v>More than 60 days</v>
      </c>
      <c r="S197" t="s">
        <v>1550</v>
      </c>
      <c r="T197" s="43" t="s">
        <v>2229</v>
      </c>
      <c r="U197" t="s">
        <v>3699</v>
      </c>
    </row>
    <row r="198" spans="1:21" x14ac:dyDescent="0.3">
      <c r="A198" t="s">
        <v>837</v>
      </c>
      <c r="B198" t="s">
        <v>30</v>
      </c>
      <c r="C198" t="s">
        <v>571</v>
      </c>
      <c r="D198" s="15">
        <v>1</v>
      </c>
      <c r="E198" s="7">
        <v>172.5</v>
      </c>
      <c r="H198">
        <v>91295</v>
      </c>
      <c r="I198" t="s">
        <v>360</v>
      </c>
      <c r="J198" t="s">
        <v>1074</v>
      </c>
      <c r="K198" t="s">
        <v>3</v>
      </c>
      <c r="L198" s="2">
        <v>43191</v>
      </c>
      <c r="M198" s="2">
        <f>DHMXX[[#This Row],[INV DOC DATE]]+30</f>
        <v>43221</v>
      </c>
      <c r="N198" s="2">
        <v>43221</v>
      </c>
      <c r="O198" s="7">
        <v>172.5</v>
      </c>
      <c r="P198" s="2">
        <v>43227</v>
      </c>
      <c r="Q198" s="7">
        <f>$E198-$O198</f>
        <v>0</v>
      </c>
      <c r="R198" s="7" t="str">
        <f ca="1">IF(TODAY() - DHMXX[INV DUE DATE]&lt;30, "Less than 30 days",IF(TODAY()-DHMXX[INV DUE DATE]&lt;60,"30-60 days","More than 60 days"))</f>
        <v>More than 60 days</v>
      </c>
      <c r="S198" t="s">
        <v>1550</v>
      </c>
      <c r="T198" s="43" t="s">
        <v>2229</v>
      </c>
      <c r="U198" t="s">
        <v>3699</v>
      </c>
    </row>
    <row r="199" spans="1:21" x14ac:dyDescent="0.3">
      <c r="A199" t="s">
        <v>837</v>
      </c>
      <c r="B199" t="s">
        <v>30</v>
      </c>
      <c r="C199" t="s">
        <v>572</v>
      </c>
      <c r="D199" s="15">
        <v>1</v>
      </c>
      <c r="E199" s="7">
        <v>172.5</v>
      </c>
      <c r="H199">
        <v>91295</v>
      </c>
      <c r="I199" t="s">
        <v>360</v>
      </c>
      <c r="J199" t="s">
        <v>1075</v>
      </c>
      <c r="K199" t="s">
        <v>3</v>
      </c>
      <c r="L199" s="2">
        <v>43191</v>
      </c>
      <c r="M199" s="2">
        <f>DHMXX[[#This Row],[INV DOC DATE]]+30</f>
        <v>43221</v>
      </c>
      <c r="N199" s="2">
        <v>43221</v>
      </c>
      <c r="O199" s="7">
        <v>172.5</v>
      </c>
      <c r="P199" s="2">
        <v>43227</v>
      </c>
      <c r="Q199" s="7">
        <f>$E199-$O199</f>
        <v>0</v>
      </c>
      <c r="R199" s="7" t="str">
        <f ca="1">IF(TODAY() - DHMXX[INV DUE DATE]&lt;30, "Less than 30 days",IF(TODAY()-DHMXX[INV DUE DATE]&lt;60,"30-60 days","More than 60 days"))</f>
        <v>More than 60 days</v>
      </c>
      <c r="S199" t="s">
        <v>1550</v>
      </c>
      <c r="T199" s="43" t="s">
        <v>2229</v>
      </c>
      <c r="U199" t="s">
        <v>3699</v>
      </c>
    </row>
    <row r="200" spans="1:21" x14ac:dyDescent="0.3">
      <c r="A200" t="s">
        <v>837</v>
      </c>
      <c r="B200" t="s">
        <v>30</v>
      </c>
      <c r="C200" t="s">
        <v>573</v>
      </c>
      <c r="D200" s="15">
        <v>1</v>
      </c>
      <c r="E200" s="7">
        <v>172.5</v>
      </c>
      <c r="H200">
        <v>91295</v>
      </c>
      <c r="I200" t="s">
        <v>360</v>
      </c>
      <c r="J200" t="s">
        <v>1076</v>
      </c>
      <c r="K200" t="s">
        <v>3</v>
      </c>
      <c r="L200" s="2">
        <v>43191</v>
      </c>
      <c r="M200" s="2">
        <f>DHMXX[[#This Row],[INV DOC DATE]]+30</f>
        <v>43221</v>
      </c>
      <c r="N200" s="2">
        <v>43221</v>
      </c>
      <c r="O200" s="7">
        <v>172.5</v>
      </c>
      <c r="P200" s="2">
        <v>43227</v>
      </c>
      <c r="Q200" s="7">
        <f>$E200-$O200</f>
        <v>0</v>
      </c>
      <c r="R200" s="7" t="str">
        <f ca="1">IF(TODAY() - DHMXX[INV DUE DATE]&lt;30, "Less than 30 days",IF(TODAY()-DHMXX[INV DUE DATE]&lt;60,"30-60 days","More than 60 days"))</f>
        <v>More than 60 days</v>
      </c>
      <c r="S200" t="s">
        <v>1550</v>
      </c>
      <c r="T200" s="43" t="s">
        <v>2229</v>
      </c>
      <c r="U200" t="s">
        <v>3699</v>
      </c>
    </row>
    <row r="201" spans="1:21" x14ac:dyDescent="0.3">
      <c r="A201" t="s">
        <v>837</v>
      </c>
      <c r="B201" t="s">
        <v>30</v>
      </c>
      <c r="C201" t="s">
        <v>574</v>
      </c>
      <c r="D201" s="15">
        <v>1</v>
      </c>
      <c r="E201" s="7">
        <v>172.5</v>
      </c>
      <c r="H201">
        <v>91295</v>
      </c>
      <c r="I201" t="s">
        <v>360</v>
      </c>
      <c r="J201" t="s">
        <v>1077</v>
      </c>
      <c r="K201" t="s">
        <v>3</v>
      </c>
      <c r="L201" s="2">
        <v>43191</v>
      </c>
      <c r="M201" s="2">
        <f>DHMXX[[#This Row],[INV DOC DATE]]+30</f>
        <v>43221</v>
      </c>
      <c r="N201" s="2">
        <v>43221</v>
      </c>
      <c r="O201" s="7">
        <v>172.5</v>
      </c>
      <c r="P201" s="2">
        <v>43227</v>
      </c>
      <c r="Q201" s="7">
        <f>$E201-$O201</f>
        <v>0</v>
      </c>
      <c r="R201" s="7" t="str">
        <f ca="1">IF(TODAY() - DHMXX[INV DUE DATE]&lt;30, "Less than 30 days",IF(TODAY()-DHMXX[INV DUE DATE]&lt;60,"30-60 days","More than 60 days"))</f>
        <v>More than 60 days</v>
      </c>
      <c r="S201" t="s">
        <v>1550</v>
      </c>
      <c r="T201" s="43" t="s">
        <v>2229</v>
      </c>
      <c r="U201" t="s">
        <v>3699</v>
      </c>
    </row>
    <row r="202" spans="1:21" x14ac:dyDescent="0.3">
      <c r="A202" t="s">
        <v>837</v>
      </c>
      <c r="B202" t="s">
        <v>30</v>
      </c>
      <c r="C202" t="s">
        <v>575</v>
      </c>
      <c r="D202" s="15">
        <v>1</v>
      </c>
      <c r="E202" s="7">
        <v>172.5</v>
      </c>
      <c r="H202">
        <v>91295</v>
      </c>
      <c r="I202" t="s">
        <v>360</v>
      </c>
      <c r="J202" t="s">
        <v>1078</v>
      </c>
      <c r="K202" t="s">
        <v>3</v>
      </c>
      <c r="L202" s="2">
        <v>43191</v>
      </c>
      <c r="M202" s="2">
        <f>DHMXX[[#This Row],[INV DOC DATE]]+30</f>
        <v>43221</v>
      </c>
      <c r="N202" s="2">
        <v>43221</v>
      </c>
      <c r="O202" s="7">
        <v>172.5</v>
      </c>
      <c r="P202" s="2">
        <v>43227</v>
      </c>
      <c r="Q202" s="7">
        <f>$E202-$O202</f>
        <v>0</v>
      </c>
      <c r="R202" s="7" t="str">
        <f ca="1">IF(TODAY() - DHMXX[INV DUE DATE]&lt;30, "Less than 30 days",IF(TODAY()-DHMXX[INV DUE DATE]&lt;60,"30-60 days","More than 60 days"))</f>
        <v>More than 60 days</v>
      </c>
      <c r="S202" t="s">
        <v>1550</v>
      </c>
      <c r="T202" s="43" t="s">
        <v>2229</v>
      </c>
      <c r="U202" t="s">
        <v>3699</v>
      </c>
    </row>
    <row r="203" spans="1:21" x14ac:dyDescent="0.3">
      <c r="A203" t="s">
        <v>837</v>
      </c>
      <c r="B203" t="s">
        <v>30</v>
      </c>
      <c r="C203" t="s">
        <v>576</v>
      </c>
      <c r="D203" s="15">
        <v>1</v>
      </c>
      <c r="E203" s="7">
        <v>172.5</v>
      </c>
      <c r="H203">
        <v>91295</v>
      </c>
      <c r="I203" t="s">
        <v>360</v>
      </c>
      <c r="J203" t="s">
        <v>1079</v>
      </c>
      <c r="K203" t="s">
        <v>3</v>
      </c>
      <c r="L203" s="2">
        <v>43191</v>
      </c>
      <c r="M203" s="2">
        <f>DHMXX[[#This Row],[INV DOC DATE]]+30</f>
        <v>43221</v>
      </c>
      <c r="N203" s="2">
        <v>43221</v>
      </c>
      <c r="O203" s="7">
        <v>172.5</v>
      </c>
      <c r="P203" s="2">
        <v>43227</v>
      </c>
      <c r="Q203" s="7">
        <f>$E203-$O203</f>
        <v>0</v>
      </c>
      <c r="R203" s="7" t="str">
        <f ca="1">IF(TODAY() - DHMXX[INV DUE DATE]&lt;30, "Less than 30 days",IF(TODAY()-DHMXX[INV DUE DATE]&lt;60,"30-60 days","More than 60 days"))</f>
        <v>More than 60 days</v>
      </c>
      <c r="S203" t="s">
        <v>1550</v>
      </c>
      <c r="T203" s="43" t="s">
        <v>2229</v>
      </c>
      <c r="U203" t="s">
        <v>3699</v>
      </c>
    </row>
    <row r="204" spans="1:21" x14ac:dyDescent="0.3">
      <c r="A204" t="s">
        <v>837</v>
      </c>
      <c r="B204" t="s">
        <v>30</v>
      </c>
      <c r="C204" t="s">
        <v>577</v>
      </c>
      <c r="D204" s="15">
        <v>1</v>
      </c>
      <c r="E204" s="7">
        <v>172.5</v>
      </c>
      <c r="H204">
        <v>91295</v>
      </c>
      <c r="I204" t="s">
        <v>360</v>
      </c>
      <c r="J204" t="s">
        <v>1080</v>
      </c>
      <c r="K204" t="s">
        <v>3</v>
      </c>
      <c r="L204" s="2">
        <v>43191</v>
      </c>
      <c r="M204" s="2">
        <f>DHMXX[[#This Row],[INV DOC DATE]]+30</f>
        <v>43221</v>
      </c>
      <c r="N204" s="2">
        <v>43221</v>
      </c>
      <c r="O204" s="7">
        <v>172.5</v>
      </c>
      <c r="P204" s="2">
        <v>43227</v>
      </c>
      <c r="Q204" s="7">
        <f>$E204-$O204</f>
        <v>0</v>
      </c>
      <c r="R204" s="7" t="str">
        <f ca="1">IF(TODAY() - DHMXX[INV DUE DATE]&lt;30, "Less than 30 days",IF(TODAY()-DHMXX[INV DUE DATE]&lt;60,"30-60 days","More than 60 days"))</f>
        <v>More than 60 days</v>
      </c>
      <c r="S204" t="s">
        <v>1550</v>
      </c>
      <c r="T204" s="43" t="s">
        <v>2229</v>
      </c>
      <c r="U204" t="s">
        <v>3699</v>
      </c>
    </row>
    <row r="205" spans="1:21" x14ac:dyDescent="0.3">
      <c r="A205" t="s">
        <v>837</v>
      </c>
      <c r="B205" t="s">
        <v>30</v>
      </c>
      <c r="C205" t="s">
        <v>578</v>
      </c>
      <c r="D205" s="15">
        <v>1</v>
      </c>
      <c r="E205" s="7">
        <v>172.5</v>
      </c>
      <c r="H205">
        <v>91295</v>
      </c>
      <c r="I205" t="s">
        <v>360</v>
      </c>
      <c r="J205" t="s">
        <v>1081</v>
      </c>
      <c r="K205" t="s">
        <v>3</v>
      </c>
      <c r="L205" s="2">
        <v>43191</v>
      </c>
      <c r="M205" s="2">
        <f>DHMXX[[#This Row],[INV DOC DATE]]+30</f>
        <v>43221</v>
      </c>
      <c r="N205" s="2">
        <v>43221</v>
      </c>
      <c r="O205" s="7">
        <v>172.5</v>
      </c>
      <c r="P205" s="2">
        <v>43227</v>
      </c>
      <c r="Q205" s="7">
        <f>$E205-$O205</f>
        <v>0</v>
      </c>
      <c r="R205" s="7" t="str">
        <f ca="1">IF(TODAY() - DHMXX[INV DUE DATE]&lt;30, "Less than 30 days",IF(TODAY()-DHMXX[INV DUE DATE]&lt;60,"30-60 days","More than 60 days"))</f>
        <v>More than 60 days</v>
      </c>
      <c r="S205" t="s">
        <v>1550</v>
      </c>
      <c r="T205" s="43" t="s">
        <v>2229</v>
      </c>
      <c r="U205" t="s">
        <v>3699</v>
      </c>
    </row>
    <row r="206" spans="1:21" x14ac:dyDescent="0.3">
      <c r="A206" t="s">
        <v>837</v>
      </c>
      <c r="B206" t="s">
        <v>30</v>
      </c>
      <c r="C206" t="s">
        <v>579</v>
      </c>
      <c r="D206" s="15">
        <v>1</v>
      </c>
      <c r="E206" s="7">
        <v>172.5</v>
      </c>
      <c r="H206">
        <v>91295</v>
      </c>
      <c r="I206" t="s">
        <v>360</v>
      </c>
      <c r="J206" t="s">
        <v>1082</v>
      </c>
      <c r="K206" t="s">
        <v>3</v>
      </c>
      <c r="L206" s="2">
        <v>43191</v>
      </c>
      <c r="M206" s="2">
        <f>DHMXX[[#This Row],[INV DOC DATE]]+30</f>
        <v>43221</v>
      </c>
      <c r="N206" s="2">
        <v>43221</v>
      </c>
      <c r="O206" s="7">
        <v>172.5</v>
      </c>
      <c r="P206" s="2">
        <v>43227</v>
      </c>
      <c r="Q206" s="7">
        <f>$E206-$O206</f>
        <v>0</v>
      </c>
      <c r="R206" s="7" t="str">
        <f ca="1">IF(TODAY() - DHMXX[INV DUE DATE]&lt;30, "Less than 30 days",IF(TODAY()-DHMXX[INV DUE DATE]&lt;60,"30-60 days","More than 60 days"))</f>
        <v>More than 60 days</v>
      </c>
      <c r="S206" t="s">
        <v>1550</v>
      </c>
      <c r="T206" s="43" t="s">
        <v>2229</v>
      </c>
      <c r="U206" t="s">
        <v>3699</v>
      </c>
    </row>
    <row r="207" spans="1:21" x14ac:dyDescent="0.3">
      <c r="A207" t="s">
        <v>837</v>
      </c>
      <c r="B207" t="s">
        <v>30</v>
      </c>
      <c r="C207" t="s">
        <v>580</v>
      </c>
      <c r="D207" s="15">
        <v>1</v>
      </c>
      <c r="E207" s="7">
        <v>172.5</v>
      </c>
      <c r="H207">
        <v>91295</v>
      </c>
      <c r="I207" t="s">
        <v>360</v>
      </c>
      <c r="J207" t="s">
        <v>1083</v>
      </c>
      <c r="K207" t="s">
        <v>3</v>
      </c>
      <c r="L207" s="2">
        <v>43191</v>
      </c>
      <c r="M207" s="2">
        <f>DHMXX[[#This Row],[INV DOC DATE]]+30</f>
        <v>43221</v>
      </c>
      <c r="N207" s="2">
        <v>43221</v>
      </c>
      <c r="O207" s="7">
        <v>172.5</v>
      </c>
      <c r="P207" s="2">
        <v>43227</v>
      </c>
      <c r="Q207" s="7">
        <f>$E207-$O207</f>
        <v>0</v>
      </c>
      <c r="R207" s="7" t="str">
        <f ca="1">IF(TODAY() - DHMXX[INV DUE DATE]&lt;30, "Less than 30 days",IF(TODAY()-DHMXX[INV DUE DATE]&lt;60,"30-60 days","More than 60 days"))</f>
        <v>More than 60 days</v>
      </c>
      <c r="S207" t="s">
        <v>1550</v>
      </c>
      <c r="T207" s="43" t="s">
        <v>2229</v>
      </c>
      <c r="U207" t="s">
        <v>3699</v>
      </c>
    </row>
    <row r="208" spans="1:21" x14ac:dyDescent="0.3">
      <c r="A208" t="s">
        <v>837</v>
      </c>
      <c r="B208" t="s">
        <v>30</v>
      </c>
      <c r="C208" t="s">
        <v>581</v>
      </c>
      <c r="D208" s="15">
        <v>1</v>
      </c>
      <c r="E208" s="7">
        <v>172.5</v>
      </c>
      <c r="H208">
        <v>91295</v>
      </c>
      <c r="I208" t="s">
        <v>360</v>
      </c>
      <c r="J208" t="s">
        <v>1084</v>
      </c>
      <c r="K208" t="s">
        <v>3</v>
      </c>
      <c r="L208" s="2">
        <v>43191</v>
      </c>
      <c r="M208" s="2">
        <f>DHMXX[[#This Row],[INV DOC DATE]]+30</f>
        <v>43221</v>
      </c>
      <c r="N208" s="2">
        <v>43221</v>
      </c>
      <c r="O208" s="7">
        <v>172.5</v>
      </c>
      <c r="P208" s="2">
        <v>43227</v>
      </c>
      <c r="Q208" s="7">
        <f>$E208-$O208</f>
        <v>0</v>
      </c>
      <c r="R208" s="7" t="str">
        <f ca="1">IF(TODAY() - DHMXX[INV DUE DATE]&lt;30, "Less than 30 days",IF(TODAY()-DHMXX[INV DUE DATE]&lt;60,"30-60 days","More than 60 days"))</f>
        <v>More than 60 days</v>
      </c>
      <c r="S208" t="s">
        <v>1550</v>
      </c>
      <c r="T208" s="43" t="s">
        <v>2229</v>
      </c>
      <c r="U208" t="s">
        <v>3699</v>
      </c>
    </row>
    <row r="209" spans="1:21" x14ac:dyDescent="0.3">
      <c r="A209" t="s">
        <v>837</v>
      </c>
      <c r="B209" t="s">
        <v>30</v>
      </c>
      <c r="C209" t="s">
        <v>582</v>
      </c>
      <c r="D209" s="15">
        <v>1</v>
      </c>
      <c r="E209" s="7">
        <v>172.5</v>
      </c>
      <c r="H209">
        <v>91295</v>
      </c>
      <c r="I209" t="s">
        <v>360</v>
      </c>
      <c r="J209" t="s">
        <v>1085</v>
      </c>
      <c r="K209" t="s">
        <v>3</v>
      </c>
      <c r="L209" s="2">
        <v>43191</v>
      </c>
      <c r="M209" s="2">
        <f>DHMXX[[#This Row],[INV DOC DATE]]+30</f>
        <v>43221</v>
      </c>
      <c r="N209" s="2">
        <v>43221</v>
      </c>
      <c r="O209" s="7">
        <v>172.5</v>
      </c>
      <c r="P209" s="2">
        <v>43227</v>
      </c>
      <c r="Q209" s="7">
        <f>$E209-$O209</f>
        <v>0</v>
      </c>
      <c r="R209" s="7" t="str">
        <f ca="1">IF(TODAY() - DHMXX[INV DUE DATE]&lt;30, "Less than 30 days",IF(TODAY()-DHMXX[INV DUE DATE]&lt;60,"30-60 days","More than 60 days"))</f>
        <v>More than 60 days</v>
      </c>
      <c r="S209" t="s">
        <v>1550</v>
      </c>
      <c r="T209" s="43" t="s">
        <v>2229</v>
      </c>
      <c r="U209" t="s">
        <v>3699</v>
      </c>
    </row>
    <row r="210" spans="1:21" x14ac:dyDescent="0.3">
      <c r="A210" t="s">
        <v>837</v>
      </c>
      <c r="B210" t="s">
        <v>30</v>
      </c>
      <c r="C210" t="s">
        <v>583</v>
      </c>
      <c r="D210" s="15">
        <v>1</v>
      </c>
      <c r="E210" s="7">
        <v>172.5</v>
      </c>
      <c r="H210">
        <v>91295</v>
      </c>
      <c r="I210" t="s">
        <v>360</v>
      </c>
      <c r="J210" t="s">
        <v>1086</v>
      </c>
      <c r="K210" t="s">
        <v>3</v>
      </c>
      <c r="L210" s="2">
        <v>43191</v>
      </c>
      <c r="M210" s="2">
        <f>DHMXX[[#This Row],[INV DOC DATE]]+30</f>
        <v>43221</v>
      </c>
      <c r="N210" s="2">
        <v>43221</v>
      </c>
      <c r="O210" s="7">
        <v>172.5</v>
      </c>
      <c r="P210" s="2">
        <v>43227</v>
      </c>
      <c r="Q210" s="7">
        <f>$E210-$O210</f>
        <v>0</v>
      </c>
      <c r="R210" s="7" t="str">
        <f ca="1">IF(TODAY() - DHMXX[INV DUE DATE]&lt;30, "Less than 30 days",IF(TODAY()-DHMXX[INV DUE DATE]&lt;60,"30-60 days","More than 60 days"))</f>
        <v>More than 60 days</v>
      </c>
      <c r="S210" t="s">
        <v>1550</v>
      </c>
      <c r="T210" s="43" t="s">
        <v>2229</v>
      </c>
      <c r="U210" t="s">
        <v>3699</v>
      </c>
    </row>
    <row r="211" spans="1:21" x14ac:dyDescent="0.3">
      <c r="A211" t="s">
        <v>837</v>
      </c>
      <c r="B211" t="s">
        <v>30</v>
      </c>
      <c r="C211" t="s">
        <v>584</v>
      </c>
      <c r="D211" s="15">
        <v>1</v>
      </c>
      <c r="E211" s="7">
        <v>172.5</v>
      </c>
      <c r="H211">
        <v>91295</v>
      </c>
      <c r="I211" t="s">
        <v>360</v>
      </c>
      <c r="J211" t="s">
        <v>1087</v>
      </c>
      <c r="K211" t="s">
        <v>3</v>
      </c>
      <c r="L211" s="2">
        <v>43191</v>
      </c>
      <c r="M211" s="2">
        <f>DHMXX[[#This Row],[INV DOC DATE]]+30</f>
        <v>43221</v>
      </c>
      <c r="N211" s="2">
        <v>43221</v>
      </c>
      <c r="O211" s="7">
        <v>172.5</v>
      </c>
      <c r="P211" s="2">
        <v>43227</v>
      </c>
      <c r="Q211" s="7">
        <f>$E211-$O211</f>
        <v>0</v>
      </c>
      <c r="R211" s="7" t="str">
        <f ca="1">IF(TODAY() - DHMXX[INV DUE DATE]&lt;30, "Less than 30 days",IF(TODAY()-DHMXX[INV DUE DATE]&lt;60,"30-60 days","More than 60 days"))</f>
        <v>More than 60 days</v>
      </c>
      <c r="S211" t="s">
        <v>1550</v>
      </c>
      <c r="T211" s="43" t="s">
        <v>2229</v>
      </c>
      <c r="U211" t="s">
        <v>3699</v>
      </c>
    </row>
    <row r="212" spans="1:21" x14ac:dyDescent="0.3">
      <c r="A212" t="s">
        <v>837</v>
      </c>
      <c r="B212" t="s">
        <v>30</v>
      </c>
      <c r="C212" t="s">
        <v>585</v>
      </c>
      <c r="D212" s="15">
        <v>1</v>
      </c>
      <c r="E212" s="7">
        <v>172.5</v>
      </c>
      <c r="H212">
        <v>91295</v>
      </c>
      <c r="I212" t="s">
        <v>360</v>
      </c>
      <c r="J212" t="s">
        <v>1088</v>
      </c>
      <c r="K212" t="s">
        <v>3</v>
      </c>
      <c r="L212" s="2">
        <v>43191</v>
      </c>
      <c r="M212" s="2">
        <f>DHMXX[[#This Row],[INV DOC DATE]]+30</f>
        <v>43221</v>
      </c>
      <c r="N212" s="2">
        <v>43221</v>
      </c>
      <c r="O212" s="7">
        <v>172.5</v>
      </c>
      <c r="P212" s="2">
        <v>43227</v>
      </c>
      <c r="Q212" s="7">
        <f>$E212-$O212</f>
        <v>0</v>
      </c>
      <c r="R212" s="7" t="str">
        <f ca="1">IF(TODAY() - DHMXX[INV DUE DATE]&lt;30, "Less than 30 days",IF(TODAY()-DHMXX[INV DUE DATE]&lt;60,"30-60 days","More than 60 days"))</f>
        <v>More than 60 days</v>
      </c>
      <c r="S212" t="s">
        <v>1550</v>
      </c>
      <c r="T212" s="43" t="s">
        <v>2229</v>
      </c>
      <c r="U212" t="s">
        <v>3699</v>
      </c>
    </row>
    <row r="213" spans="1:21" x14ac:dyDescent="0.3">
      <c r="A213" t="s">
        <v>837</v>
      </c>
      <c r="B213" t="s">
        <v>30</v>
      </c>
      <c r="C213" t="s">
        <v>586</v>
      </c>
      <c r="D213" s="15">
        <v>1</v>
      </c>
      <c r="E213" s="7">
        <v>172.5</v>
      </c>
      <c r="H213">
        <v>91295</v>
      </c>
      <c r="I213" t="s">
        <v>360</v>
      </c>
      <c r="J213" t="s">
        <v>1089</v>
      </c>
      <c r="K213" t="s">
        <v>3</v>
      </c>
      <c r="L213" s="2">
        <v>43191</v>
      </c>
      <c r="M213" s="2">
        <f>DHMXX[[#This Row],[INV DOC DATE]]+30</f>
        <v>43221</v>
      </c>
      <c r="N213" s="2">
        <v>43221</v>
      </c>
      <c r="O213" s="7">
        <v>172.5</v>
      </c>
      <c r="P213" s="2">
        <v>43227</v>
      </c>
      <c r="Q213" s="7">
        <f>$E213-$O213</f>
        <v>0</v>
      </c>
      <c r="R213" s="7" t="str">
        <f ca="1">IF(TODAY() - DHMXX[INV DUE DATE]&lt;30, "Less than 30 days",IF(TODAY()-DHMXX[INV DUE DATE]&lt;60,"30-60 days","More than 60 days"))</f>
        <v>More than 60 days</v>
      </c>
      <c r="S213" t="s">
        <v>1550</v>
      </c>
      <c r="T213" s="43" t="s">
        <v>2229</v>
      </c>
      <c r="U213" t="s">
        <v>3699</v>
      </c>
    </row>
    <row r="214" spans="1:21" x14ac:dyDescent="0.3">
      <c r="A214" t="s">
        <v>837</v>
      </c>
      <c r="B214" t="s">
        <v>30</v>
      </c>
      <c r="C214" t="s">
        <v>587</v>
      </c>
      <c r="D214" s="15">
        <v>1</v>
      </c>
      <c r="E214" s="7">
        <v>172.5</v>
      </c>
      <c r="H214">
        <v>91295</v>
      </c>
      <c r="I214" t="s">
        <v>360</v>
      </c>
      <c r="J214" t="s">
        <v>1090</v>
      </c>
      <c r="K214" t="s">
        <v>3</v>
      </c>
      <c r="L214" s="2">
        <v>43191</v>
      </c>
      <c r="M214" s="2">
        <f>DHMXX[[#This Row],[INV DOC DATE]]+30</f>
        <v>43221</v>
      </c>
      <c r="N214" s="2">
        <v>43221</v>
      </c>
      <c r="O214" s="7">
        <v>172.5</v>
      </c>
      <c r="P214" s="2">
        <v>43227</v>
      </c>
      <c r="Q214" s="7">
        <f>$E214-$O214</f>
        <v>0</v>
      </c>
      <c r="R214" s="7" t="str">
        <f ca="1">IF(TODAY() - DHMXX[INV DUE DATE]&lt;30, "Less than 30 days",IF(TODAY()-DHMXX[INV DUE DATE]&lt;60,"30-60 days","More than 60 days"))</f>
        <v>More than 60 days</v>
      </c>
      <c r="S214" t="s">
        <v>1550</v>
      </c>
      <c r="T214" s="43" t="s">
        <v>2229</v>
      </c>
      <c r="U214" t="s">
        <v>3699</v>
      </c>
    </row>
    <row r="215" spans="1:21" x14ac:dyDescent="0.3">
      <c r="A215" t="s">
        <v>837</v>
      </c>
      <c r="B215" t="s">
        <v>30</v>
      </c>
      <c r="C215" t="s">
        <v>588</v>
      </c>
      <c r="D215" s="15">
        <v>1</v>
      </c>
      <c r="E215" s="7">
        <v>172.5</v>
      </c>
      <c r="H215">
        <v>91295</v>
      </c>
      <c r="I215" t="s">
        <v>360</v>
      </c>
      <c r="J215" t="s">
        <v>1091</v>
      </c>
      <c r="K215" t="s">
        <v>3</v>
      </c>
      <c r="L215" s="2">
        <v>43191</v>
      </c>
      <c r="M215" s="2">
        <f>DHMXX[[#This Row],[INV DOC DATE]]+30</f>
        <v>43221</v>
      </c>
      <c r="N215" s="2">
        <v>43221</v>
      </c>
      <c r="O215" s="7">
        <v>172.5</v>
      </c>
      <c r="P215" s="2">
        <v>43227</v>
      </c>
      <c r="Q215" s="7">
        <f>$E215-$O215</f>
        <v>0</v>
      </c>
      <c r="R215" s="7" t="str">
        <f ca="1">IF(TODAY() - DHMXX[INV DUE DATE]&lt;30, "Less than 30 days",IF(TODAY()-DHMXX[INV DUE DATE]&lt;60,"30-60 days","More than 60 days"))</f>
        <v>More than 60 days</v>
      </c>
      <c r="S215" t="s">
        <v>1550</v>
      </c>
      <c r="T215" s="43" t="s">
        <v>2229</v>
      </c>
      <c r="U215" t="s">
        <v>3699</v>
      </c>
    </row>
    <row r="216" spans="1:21" x14ac:dyDescent="0.3">
      <c r="A216" t="s">
        <v>837</v>
      </c>
      <c r="B216" t="s">
        <v>30</v>
      </c>
      <c r="C216" t="s">
        <v>589</v>
      </c>
      <c r="D216" s="15">
        <v>1</v>
      </c>
      <c r="E216" s="7">
        <v>172.5</v>
      </c>
      <c r="H216">
        <v>91295</v>
      </c>
      <c r="I216" t="s">
        <v>360</v>
      </c>
      <c r="J216" t="s">
        <v>1092</v>
      </c>
      <c r="K216" t="s">
        <v>3</v>
      </c>
      <c r="L216" s="2">
        <v>43191</v>
      </c>
      <c r="M216" s="2">
        <f>DHMXX[[#This Row],[INV DOC DATE]]+30</f>
        <v>43221</v>
      </c>
      <c r="N216" s="2">
        <v>43221</v>
      </c>
      <c r="O216" s="7">
        <v>172.5</v>
      </c>
      <c r="P216" s="2">
        <v>43227</v>
      </c>
      <c r="Q216" s="7">
        <f>$E216-$O216</f>
        <v>0</v>
      </c>
      <c r="R216" s="7" t="str">
        <f ca="1">IF(TODAY() - DHMXX[INV DUE DATE]&lt;30, "Less than 30 days",IF(TODAY()-DHMXX[INV DUE DATE]&lt;60,"30-60 days","More than 60 days"))</f>
        <v>More than 60 days</v>
      </c>
      <c r="S216" t="s">
        <v>1550</v>
      </c>
      <c r="T216" s="43" t="s">
        <v>2229</v>
      </c>
      <c r="U216" t="s">
        <v>3699</v>
      </c>
    </row>
    <row r="217" spans="1:21" x14ac:dyDescent="0.3">
      <c r="A217" t="s">
        <v>837</v>
      </c>
      <c r="B217" t="s">
        <v>30</v>
      </c>
      <c r="C217" t="s">
        <v>1321</v>
      </c>
      <c r="D217" s="15">
        <v>1</v>
      </c>
      <c r="E217" s="7">
        <v>172.5</v>
      </c>
      <c r="H217">
        <v>91295</v>
      </c>
      <c r="I217" t="s">
        <v>360</v>
      </c>
      <c r="J217" t="s">
        <v>1093</v>
      </c>
      <c r="K217" t="s">
        <v>3</v>
      </c>
      <c r="L217" s="2">
        <v>43191</v>
      </c>
      <c r="M217" s="2">
        <f>DHMXX[[#This Row],[INV DOC DATE]]+30</f>
        <v>43221</v>
      </c>
      <c r="N217" s="2">
        <v>43221</v>
      </c>
      <c r="O217" s="7">
        <v>172.5</v>
      </c>
      <c r="P217" s="2">
        <v>43227</v>
      </c>
      <c r="Q217" s="7">
        <f>$E217-$O217</f>
        <v>0</v>
      </c>
      <c r="R217" s="7" t="str">
        <f ca="1">IF(TODAY() - DHMXX[INV DUE DATE]&lt;30, "Less than 30 days",IF(TODAY()-DHMXX[INV DUE DATE]&lt;60,"30-60 days","More than 60 days"))</f>
        <v>More than 60 days</v>
      </c>
      <c r="S217" t="s">
        <v>1550</v>
      </c>
      <c r="T217" s="43" t="s">
        <v>2229</v>
      </c>
      <c r="U217" t="s">
        <v>3699</v>
      </c>
    </row>
    <row r="218" spans="1:21" x14ac:dyDescent="0.3">
      <c r="A218" t="s">
        <v>837</v>
      </c>
      <c r="B218" t="s">
        <v>30</v>
      </c>
      <c r="C218" t="s">
        <v>1322</v>
      </c>
      <c r="D218" s="15">
        <v>1</v>
      </c>
      <c r="E218" s="7">
        <v>172.5</v>
      </c>
      <c r="H218">
        <v>91295</v>
      </c>
      <c r="I218" t="s">
        <v>360</v>
      </c>
      <c r="J218" t="s">
        <v>1094</v>
      </c>
      <c r="K218" t="s">
        <v>3</v>
      </c>
      <c r="L218" s="2">
        <v>43191</v>
      </c>
      <c r="M218" s="2">
        <f>DHMXX[[#This Row],[INV DOC DATE]]+30</f>
        <v>43221</v>
      </c>
      <c r="N218" s="2">
        <v>43221</v>
      </c>
      <c r="O218" s="7">
        <v>172.5</v>
      </c>
      <c r="P218" s="2">
        <v>43227</v>
      </c>
      <c r="Q218" s="7">
        <f>$E218-$O218</f>
        <v>0</v>
      </c>
      <c r="R218" s="7" t="str">
        <f ca="1">IF(TODAY() - DHMXX[INV DUE DATE]&lt;30, "Less than 30 days",IF(TODAY()-DHMXX[INV DUE DATE]&lt;60,"30-60 days","More than 60 days"))</f>
        <v>More than 60 days</v>
      </c>
      <c r="S218" t="s">
        <v>1550</v>
      </c>
      <c r="T218" s="43" t="s">
        <v>2229</v>
      </c>
      <c r="U218" t="s">
        <v>3699</v>
      </c>
    </row>
    <row r="219" spans="1:21" x14ac:dyDescent="0.3">
      <c r="A219" t="s">
        <v>837</v>
      </c>
      <c r="B219" t="s">
        <v>30</v>
      </c>
      <c r="C219" t="s">
        <v>1323</v>
      </c>
      <c r="D219" s="15">
        <v>1</v>
      </c>
      <c r="E219" s="7">
        <v>172.5</v>
      </c>
      <c r="H219">
        <v>91295</v>
      </c>
      <c r="I219" t="s">
        <v>360</v>
      </c>
      <c r="J219" t="s">
        <v>1095</v>
      </c>
      <c r="K219" t="s">
        <v>3</v>
      </c>
      <c r="L219" s="2">
        <v>43191</v>
      </c>
      <c r="M219" s="2">
        <f>DHMXX[[#This Row],[INV DOC DATE]]+30</f>
        <v>43221</v>
      </c>
      <c r="N219" s="2">
        <v>43221</v>
      </c>
      <c r="O219" s="7">
        <v>172.5</v>
      </c>
      <c r="P219" s="2">
        <v>43227</v>
      </c>
      <c r="Q219" s="7">
        <f>$E219-$O219</f>
        <v>0</v>
      </c>
      <c r="R219" s="7" t="str">
        <f ca="1">IF(TODAY() - DHMXX[INV DUE DATE]&lt;30, "Less than 30 days",IF(TODAY()-DHMXX[INV DUE DATE]&lt;60,"30-60 days","More than 60 days"))</f>
        <v>More than 60 days</v>
      </c>
      <c r="S219" t="s">
        <v>1550</v>
      </c>
      <c r="T219" s="43" t="s">
        <v>2229</v>
      </c>
      <c r="U219" t="s">
        <v>3699</v>
      </c>
    </row>
    <row r="220" spans="1:21" x14ac:dyDescent="0.3">
      <c r="A220" t="s">
        <v>837</v>
      </c>
      <c r="B220" t="s">
        <v>30</v>
      </c>
      <c r="C220" t="s">
        <v>1324</v>
      </c>
      <c r="D220" s="15">
        <v>1</v>
      </c>
      <c r="E220" s="7">
        <v>172.5</v>
      </c>
      <c r="H220">
        <v>91295</v>
      </c>
      <c r="I220" t="s">
        <v>360</v>
      </c>
      <c r="J220" t="s">
        <v>1096</v>
      </c>
      <c r="K220" t="s">
        <v>3</v>
      </c>
      <c r="L220" s="2">
        <v>43191</v>
      </c>
      <c r="M220" s="2">
        <f>DHMXX[[#This Row],[INV DOC DATE]]+30</f>
        <v>43221</v>
      </c>
      <c r="N220" s="2">
        <v>43221</v>
      </c>
      <c r="O220" s="7">
        <v>172.5</v>
      </c>
      <c r="P220" s="2">
        <v>43227</v>
      </c>
      <c r="Q220" s="7">
        <f>$E220-$O220</f>
        <v>0</v>
      </c>
      <c r="R220" s="7" t="str">
        <f ca="1">IF(TODAY() - DHMXX[INV DUE DATE]&lt;30, "Less than 30 days",IF(TODAY()-DHMXX[INV DUE DATE]&lt;60,"30-60 days","More than 60 days"))</f>
        <v>More than 60 days</v>
      </c>
      <c r="S220" t="s">
        <v>1550</v>
      </c>
      <c r="T220" s="43" t="s">
        <v>2229</v>
      </c>
      <c r="U220" t="s">
        <v>3699</v>
      </c>
    </row>
    <row r="221" spans="1:21" x14ac:dyDescent="0.3">
      <c r="A221" t="s">
        <v>837</v>
      </c>
      <c r="B221" t="s">
        <v>30</v>
      </c>
      <c r="C221" t="s">
        <v>1325</v>
      </c>
      <c r="D221" s="15">
        <v>1</v>
      </c>
      <c r="E221" s="7">
        <v>172.5</v>
      </c>
      <c r="H221">
        <v>91295</v>
      </c>
      <c r="I221" t="s">
        <v>360</v>
      </c>
      <c r="J221" t="s">
        <v>1097</v>
      </c>
      <c r="K221" t="s">
        <v>3</v>
      </c>
      <c r="L221" s="2">
        <v>43191</v>
      </c>
      <c r="M221" s="2">
        <f>DHMXX[[#This Row],[INV DOC DATE]]+30</f>
        <v>43221</v>
      </c>
      <c r="N221" s="2">
        <v>43221</v>
      </c>
      <c r="O221" s="7">
        <v>172.5</v>
      </c>
      <c r="P221" s="2">
        <v>43227</v>
      </c>
      <c r="Q221" s="7">
        <f>$E221-$O221</f>
        <v>0</v>
      </c>
      <c r="R221" s="7" t="str">
        <f ca="1">IF(TODAY() - DHMXX[INV DUE DATE]&lt;30, "Less than 30 days",IF(TODAY()-DHMXX[INV DUE DATE]&lt;60,"30-60 days","More than 60 days"))</f>
        <v>More than 60 days</v>
      </c>
      <c r="S221" t="s">
        <v>1550</v>
      </c>
      <c r="T221" s="43" t="s">
        <v>2229</v>
      </c>
      <c r="U221" t="s">
        <v>3699</v>
      </c>
    </row>
    <row r="222" spans="1:21" x14ac:dyDescent="0.3">
      <c r="A222" t="s">
        <v>837</v>
      </c>
      <c r="B222" t="s">
        <v>30</v>
      </c>
      <c r="C222" t="s">
        <v>1326</v>
      </c>
      <c r="D222" s="15">
        <v>1</v>
      </c>
      <c r="E222" s="7">
        <v>172.5</v>
      </c>
      <c r="H222">
        <v>91295</v>
      </c>
      <c r="I222" t="s">
        <v>360</v>
      </c>
      <c r="J222" t="s">
        <v>1098</v>
      </c>
      <c r="K222" t="s">
        <v>3</v>
      </c>
      <c r="L222" s="2">
        <v>43191</v>
      </c>
      <c r="M222" s="2">
        <f>DHMXX[[#This Row],[INV DOC DATE]]+30</f>
        <v>43221</v>
      </c>
      <c r="N222" s="2">
        <v>43221</v>
      </c>
      <c r="O222" s="7">
        <v>172.5</v>
      </c>
      <c r="P222" s="2">
        <v>43227</v>
      </c>
      <c r="Q222" s="7">
        <f>$E222-$O222</f>
        <v>0</v>
      </c>
      <c r="R222" s="7" t="str">
        <f ca="1">IF(TODAY() - DHMXX[INV DUE DATE]&lt;30, "Less than 30 days",IF(TODAY()-DHMXX[INV DUE DATE]&lt;60,"30-60 days","More than 60 days"))</f>
        <v>More than 60 days</v>
      </c>
      <c r="S222" t="s">
        <v>1550</v>
      </c>
      <c r="T222" s="43" t="s">
        <v>2229</v>
      </c>
      <c r="U222" t="s">
        <v>3699</v>
      </c>
    </row>
    <row r="223" spans="1:21" x14ac:dyDescent="0.3">
      <c r="A223" t="s">
        <v>837</v>
      </c>
      <c r="B223" t="s">
        <v>30</v>
      </c>
      <c r="C223" t="s">
        <v>1327</v>
      </c>
      <c r="D223" s="15">
        <v>1</v>
      </c>
      <c r="E223" s="7">
        <v>172.5</v>
      </c>
      <c r="H223">
        <v>91295</v>
      </c>
      <c r="I223" t="s">
        <v>360</v>
      </c>
      <c r="J223" t="s">
        <v>1099</v>
      </c>
      <c r="K223" t="s">
        <v>3</v>
      </c>
      <c r="L223" s="2">
        <v>43191</v>
      </c>
      <c r="M223" s="2">
        <f>DHMXX[[#This Row],[INV DOC DATE]]+30</f>
        <v>43221</v>
      </c>
      <c r="N223" s="2">
        <v>43221</v>
      </c>
      <c r="O223" s="7">
        <v>172.5</v>
      </c>
      <c r="P223" s="2">
        <v>43227</v>
      </c>
      <c r="Q223" s="7">
        <f>$E223-$O223</f>
        <v>0</v>
      </c>
      <c r="R223" s="7" t="str">
        <f ca="1">IF(TODAY() - DHMXX[INV DUE DATE]&lt;30, "Less than 30 days",IF(TODAY()-DHMXX[INV DUE DATE]&lt;60,"30-60 days","More than 60 days"))</f>
        <v>More than 60 days</v>
      </c>
      <c r="S223" t="s">
        <v>1550</v>
      </c>
      <c r="T223" s="43" t="s">
        <v>2229</v>
      </c>
      <c r="U223" t="s">
        <v>3699</v>
      </c>
    </row>
    <row r="224" spans="1:21" x14ac:dyDescent="0.3">
      <c r="A224" t="s">
        <v>837</v>
      </c>
      <c r="B224" t="s">
        <v>30</v>
      </c>
      <c r="C224" t="s">
        <v>1328</v>
      </c>
      <c r="D224" s="15">
        <v>1</v>
      </c>
      <c r="E224" s="7">
        <v>172.5</v>
      </c>
      <c r="H224">
        <v>91295</v>
      </c>
      <c r="I224" t="s">
        <v>360</v>
      </c>
      <c r="J224" t="s">
        <v>1100</v>
      </c>
      <c r="K224" t="s">
        <v>3</v>
      </c>
      <c r="L224" s="2">
        <v>43191</v>
      </c>
      <c r="M224" s="2">
        <f>DHMXX[[#This Row],[INV DOC DATE]]+30</f>
        <v>43221</v>
      </c>
      <c r="N224" s="2">
        <v>43221</v>
      </c>
      <c r="O224" s="7">
        <v>172.5</v>
      </c>
      <c r="P224" s="2">
        <v>43227</v>
      </c>
      <c r="Q224" s="7">
        <f>$E224-$O224</f>
        <v>0</v>
      </c>
      <c r="R224" s="7" t="str">
        <f ca="1">IF(TODAY() - DHMXX[INV DUE DATE]&lt;30, "Less than 30 days",IF(TODAY()-DHMXX[INV DUE DATE]&lt;60,"30-60 days","More than 60 days"))</f>
        <v>More than 60 days</v>
      </c>
      <c r="S224" t="s">
        <v>1550</v>
      </c>
      <c r="T224" s="43" t="s">
        <v>2229</v>
      </c>
      <c r="U224" t="s">
        <v>3699</v>
      </c>
    </row>
    <row r="225" spans="1:21" x14ac:dyDescent="0.3">
      <c r="A225" t="s">
        <v>837</v>
      </c>
      <c r="B225" t="s">
        <v>30</v>
      </c>
      <c r="C225" t="s">
        <v>1329</v>
      </c>
      <c r="D225" s="15">
        <v>1</v>
      </c>
      <c r="E225" s="7">
        <v>172.5</v>
      </c>
      <c r="H225">
        <v>91295</v>
      </c>
      <c r="I225" t="s">
        <v>360</v>
      </c>
      <c r="J225" t="s">
        <v>1101</v>
      </c>
      <c r="K225" t="s">
        <v>3</v>
      </c>
      <c r="L225" s="2">
        <v>43191</v>
      </c>
      <c r="M225" s="2">
        <f>DHMXX[[#This Row],[INV DOC DATE]]+30</f>
        <v>43221</v>
      </c>
      <c r="N225" s="2">
        <v>43221</v>
      </c>
      <c r="O225" s="7">
        <v>172.5</v>
      </c>
      <c r="P225" s="2">
        <v>43227</v>
      </c>
      <c r="Q225" s="7">
        <f>$E225-$O225</f>
        <v>0</v>
      </c>
      <c r="R225" s="7" t="str">
        <f ca="1">IF(TODAY() - DHMXX[INV DUE DATE]&lt;30, "Less than 30 days",IF(TODAY()-DHMXX[INV DUE DATE]&lt;60,"30-60 days","More than 60 days"))</f>
        <v>More than 60 days</v>
      </c>
      <c r="S225" t="s">
        <v>1550</v>
      </c>
      <c r="T225" s="43" t="s">
        <v>2229</v>
      </c>
      <c r="U225" t="s">
        <v>3699</v>
      </c>
    </row>
    <row r="226" spans="1:21" x14ac:dyDescent="0.3">
      <c r="A226" t="s">
        <v>837</v>
      </c>
      <c r="B226" t="s">
        <v>30</v>
      </c>
      <c r="C226" t="s">
        <v>1330</v>
      </c>
      <c r="D226" s="15">
        <v>1</v>
      </c>
      <c r="E226" s="7">
        <v>172.5</v>
      </c>
      <c r="H226">
        <v>91295</v>
      </c>
      <c r="I226" t="s">
        <v>360</v>
      </c>
      <c r="J226" t="s">
        <v>1102</v>
      </c>
      <c r="K226" t="s">
        <v>3</v>
      </c>
      <c r="L226" s="2">
        <v>43191</v>
      </c>
      <c r="M226" s="2">
        <f>DHMXX[[#This Row],[INV DOC DATE]]+30</f>
        <v>43221</v>
      </c>
      <c r="N226" s="2">
        <v>43221</v>
      </c>
      <c r="O226" s="7">
        <v>172.5</v>
      </c>
      <c r="P226" s="2">
        <v>43227</v>
      </c>
      <c r="Q226" s="7">
        <f>$E226-$O226</f>
        <v>0</v>
      </c>
      <c r="R226" s="7" t="str">
        <f ca="1">IF(TODAY() - DHMXX[INV DUE DATE]&lt;30, "Less than 30 days",IF(TODAY()-DHMXX[INV DUE DATE]&lt;60,"30-60 days","More than 60 days"))</f>
        <v>More than 60 days</v>
      </c>
      <c r="S226" t="s">
        <v>1550</v>
      </c>
      <c r="T226" s="43" t="s">
        <v>2229</v>
      </c>
      <c r="U226" t="s">
        <v>3699</v>
      </c>
    </row>
    <row r="227" spans="1:21" x14ac:dyDescent="0.3">
      <c r="A227" t="s">
        <v>837</v>
      </c>
      <c r="B227" t="s">
        <v>30</v>
      </c>
      <c r="C227" t="s">
        <v>1331</v>
      </c>
      <c r="D227" s="15">
        <v>1</v>
      </c>
      <c r="E227" s="7">
        <v>172.5</v>
      </c>
      <c r="H227">
        <v>91295</v>
      </c>
      <c r="I227" t="s">
        <v>360</v>
      </c>
      <c r="J227" t="s">
        <v>1103</v>
      </c>
      <c r="K227" t="s">
        <v>3</v>
      </c>
      <c r="L227" s="2">
        <v>43191</v>
      </c>
      <c r="M227" s="2">
        <f>DHMXX[[#This Row],[INV DOC DATE]]+30</f>
        <v>43221</v>
      </c>
      <c r="N227" s="2">
        <v>43221</v>
      </c>
      <c r="O227" s="7">
        <v>172.5</v>
      </c>
      <c r="P227" s="2">
        <v>43227</v>
      </c>
      <c r="Q227" s="7">
        <f>$E227-$O227</f>
        <v>0</v>
      </c>
      <c r="R227" s="7" t="str">
        <f ca="1">IF(TODAY() - DHMXX[INV DUE DATE]&lt;30, "Less than 30 days",IF(TODAY()-DHMXX[INV DUE DATE]&lt;60,"30-60 days","More than 60 days"))</f>
        <v>More than 60 days</v>
      </c>
      <c r="S227" t="s">
        <v>1550</v>
      </c>
      <c r="T227" s="43" t="s">
        <v>2229</v>
      </c>
      <c r="U227" t="s">
        <v>3699</v>
      </c>
    </row>
    <row r="228" spans="1:21" x14ac:dyDescent="0.3">
      <c r="A228" t="s">
        <v>837</v>
      </c>
      <c r="B228" t="s">
        <v>30</v>
      </c>
      <c r="C228" t="s">
        <v>1332</v>
      </c>
      <c r="D228" s="15">
        <v>1</v>
      </c>
      <c r="E228" s="7">
        <v>172.5</v>
      </c>
      <c r="H228">
        <v>91295</v>
      </c>
      <c r="I228" t="s">
        <v>360</v>
      </c>
      <c r="J228" t="s">
        <v>1104</v>
      </c>
      <c r="K228" t="s">
        <v>3</v>
      </c>
      <c r="L228" s="2">
        <v>43191</v>
      </c>
      <c r="M228" s="2">
        <f>DHMXX[[#This Row],[INV DOC DATE]]+30</f>
        <v>43221</v>
      </c>
      <c r="N228" s="2">
        <v>43221</v>
      </c>
      <c r="O228" s="7">
        <v>172.5</v>
      </c>
      <c r="P228" s="2">
        <v>43227</v>
      </c>
      <c r="Q228" s="7">
        <f>$E228-$O228</f>
        <v>0</v>
      </c>
      <c r="R228" s="7" t="str">
        <f ca="1">IF(TODAY() - DHMXX[INV DUE DATE]&lt;30, "Less than 30 days",IF(TODAY()-DHMXX[INV DUE DATE]&lt;60,"30-60 days","More than 60 days"))</f>
        <v>More than 60 days</v>
      </c>
      <c r="S228" t="s">
        <v>1550</v>
      </c>
      <c r="T228" s="43" t="s">
        <v>2229</v>
      </c>
      <c r="U228" t="s">
        <v>3699</v>
      </c>
    </row>
    <row r="229" spans="1:21" x14ac:dyDescent="0.3">
      <c r="A229" t="s">
        <v>837</v>
      </c>
      <c r="B229" t="s">
        <v>30</v>
      </c>
      <c r="C229" t="s">
        <v>1333</v>
      </c>
      <c r="D229" s="15">
        <v>1</v>
      </c>
      <c r="E229" s="7">
        <v>172.5</v>
      </c>
      <c r="H229">
        <v>91295</v>
      </c>
      <c r="I229" t="s">
        <v>360</v>
      </c>
      <c r="J229" t="s">
        <v>1105</v>
      </c>
      <c r="K229" t="s">
        <v>3</v>
      </c>
      <c r="L229" s="2">
        <v>43191</v>
      </c>
      <c r="M229" s="2">
        <f>DHMXX[[#This Row],[INV DOC DATE]]+30</f>
        <v>43221</v>
      </c>
      <c r="N229" s="2">
        <v>43221</v>
      </c>
      <c r="O229" s="7">
        <v>172.5</v>
      </c>
      <c r="P229" s="2">
        <v>43227</v>
      </c>
      <c r="Q229" s="7">
        <f>$E229-$O229</f>
        <v>0</v>
      </c>
      <c r="R229" s="7" t="str">
        <f ca="1">IF(TODAY() - DHMXX[INV DUE DATE]&lt;30, "Less than 30 days",IF(TODAY()-DHMXX[INV DUE DATE]&lt;60,"30-60 days","More than 60 days"))</f>
        <v>More than 60 days</v>
      </c>
      <c r="S229" t="s">
        <v>1550</v>
      </c>
      <c r="T229" s="43" t="s">
        <v>2229</v>
      </c>
      <c r="U229" t="s">
        <v>3699</v>
      </c>
    </row>
    <row r="230" spans="1:21" x14ac:dyDescent="0.3">
      <c r="A230" t="s">
        <v>837</v>
      </c>
      <c r="B230" t="s">
        <v>30</v>
      </c>
      <c r="C230" t="s">
        <v>1334</v>
      </c>
      <c r="D230" s="15">
        <v>1</v>
      </c>
      <c r="E230" s="7">
        <v>172.5</v>
      </c>
      <c r="H230">
        <v>91295</v>
      </c>
      <c r="I230" t="s">
        <v>360</v>
      </c>
      <c r="J230" t="s">
        <v>1106</v>
      </c>
      <c r="K230" t="s">
        <v>3</v>
      </c>
      <c r="L230" s="2">
        <v>43191</v>
      </c>
      <c r="M230" s="2">
        <f>DHMXX[[#This Row],[INV DOC DATE]]+30</f>
        <v>43221</v>
      </c>
      <c r="N230" s="2">
        <v>43221</v>
      </c>
      <c r="O230" s="7">
        <v>172.5</v>
      </c>
      <c r="P230" s="2">
        <v>43227</v>
      </c>
      <c r="Q230" s="7">
        <f>$E230-$O230</f>
        <v>0</v>
      </c>
      <c r="R230" s="7" t="str">
        <f ca="1">IF(TODAY() - DHMXX[INV DUE DATE]&lt;30, "Less than 30 days",IF(TODAY()-DHMXX[INV DUE DATE]&lt;60,"30-60 days","More than 60 days"))</f>
        <v>More than 60 days</v>
      </c>
      <c r="S230" t="s">
        <v>1550</v>
      </c>
      <c r="T230" s="43" t="s">
        <v>2229</v>
      </c>
      <c r="U230" t="s">
        <v>3699</v>
      </c>
    </row>
    <row r="231" spans="1:21" x14ac:dyDescent="0.3">
      <c r="A231" t="s">
        <v>837</v>
      </c>
      <c r="B231" t="s">
        <v>30</v>
      </c>
      <c r="C231" t="s">
        <v>1335</v>
      </c>
      <c r="D231" s="15">
        <v>1</v>
      </c>
      <c r="E231" s="7">
        <v>172.5</v>
      </c>
      <c r="H231">
        <v>91295</v>
      </c>
      <c r="I231" t="s">
        <v>360</v>
      </c>
      <c r="J231" t="s">
        <v>1107</v>
      </c>
      <c r="K231" t="s">
        <v>3</v>
      </c>
      <c r="L231" s="2">
        <v>43191</v>
      </c>
      <c r="M231" s="2">
        <f>DHMXX[[#This Row],[INV DOC DATE]]+30</f>
        <v>43221</v>
      </c>
      <c r="N231" s="2">
        <v>43221</v>
      </c>
      <c r="O231" s="7">
        <v>172.5</v>
      </c>
      <c r="P231" s="2">
        <v>43227</v>
      </c>
      <c r="Q231" s="7">
        <f>$E231-$O231</f>
        <v>0</v>
      </c>
      <c r="R231" s="7" t="str">
        <f ca="1">IF(TODAY() - DHMXX[INV DUE DATE]&lt;30, "Less than 30 days",IF(TODAY()-DHMXX[INV DUE DATE]&lt;60,"30-60 days","More than 60 days"))</f>
        <v>More than 60 days</v>
      </c>
      <c r="S231" t="s">
        <v>1550</v>
      </c>
      <c r="T231" s="43" t="s">
        <v>2229</v>
      </c>
      <c r="U231" t="s">
        <v>3699</v>
      </c>
    </row>
    <row r="232" spans="1:21" x14ac:dyDescent="0.3">
      <c r="A232" t="s">
        <v>837</v>
      </c>
      <c r="B232" t="s">
        <v>30</v>
      </c>
      <c r="C232" t="s">
        <v>1336</v>
      </c>
      <c r="D232" s="15">
        <v>1</v>
      </c>
      <c r="E232" s="7">
        <v>172.5</v>
      </c>
      <c r="H232">
        <v>91295</v>
      </c>
      <c r="I232" t="s">
        <v>360</v>
      </c>
      <c r="J232" t="s">
        <v>1108</v>
      </c>
      <c r="K232" t="s">
        <v>3</v>
      </c>
      <c r="L232" s="2">
        <v>43191</v>
      </c>
      <c r="M232" s="2">
        <f>DHMXX[[#This Row],[INV DOC DATE]]+30</f>
        <v>43221</v>
      </c>
      <c r="N232" s="2">
        <v>43221</v>
      </c>
      <c r="O232" s="7">
        <v>172.5</v>
      </c>
      <c r="P232" s="2">
        <v>43227</v>
      </c>
      <c r="Q232" s="7">
        <f>$E232-$O232</f>
        <v>0</v>
      </c>
      <c r="R232" s="7" t="str">
        <f ca="1">IF(TODAY() - DHMXX[INV DUE DATE]&lt;30, "Less than 30 days",IF(TODAY()-DHMXX[INV DUE DATE]&lt;60,"30-60 days","More than 60 days"))</f>
        <v>More than 60 days</v>
      </c>
      <c r="S232" t="s">
        <v>1550</v>
      </c>
      <c r="T232" s="43" t="s">
        <v>2229</v>
      </c>
      <c r="U232" t="s">
        <v>3699</v>
      </c>
    </row>
    <row r="233" spans="1:21" x14ac:dyDescent="0.3">
      <c r="A233" t="s">
        <v>837</v>
      </c>
      <c r="B233" t="s">
        <v>30</v>
      </c>
      <c r="C233" t="s">
        <v>1337</v>
      </c>
      <c r="D233" s="15">
        <v>1</v>
      </c>
      <c r="E233" s="7">
        <v>172.5</v>
      </c>
      <c r="H233">
        <v>91295</v>
      </c>
      <c r="I233" t="s">
        <v>360</v>
      </c>
      <c r="J233" t="s">
        <v>1109</v>
      </c>
      <c r="K233" t="s">
        <v>3</v>
      </c>
      <c r="L233" s="2">
        <v>43191</v>
      </c>
      <c r="M233" s="2">
        <f>DHMXX[[#This Row],[INV DOC DATE]]+30</f>
        <v>43221</v>
      </c>
      <c r="N233" s="2">
        <v>43221</v>
      </c>
      <c r="O233" s="7">
        <v>172.5</v>
      </c>
      <c r="P233" s="2">
        <v>43227</v>
      </c>
      <c r="Q233" s="7">
        <f>$E233-$O233</f>
        <v>0</v>
      </c>
      <c r="R233" s="7" t="str">
        <f ca="1">IF(TODAY() - DHMXX[INV DUE DATE]&lt;30, "Less than 30 days",IF(TODAY()-DHMXX[INV DUE DATE]&lt;60,"30-60 days","More than 60 days"))</f>
        <v>More than 60 days</v>
      </c>
      <c r="S233" t="s">
        <v>1550</v>
      </c>
      <c r="T233" s="43" t="s">
        <v>2229</v>
      </c>
      <c r="U233" t="s">
        <v>3699</v>
      </c>
    </row>
    <row r="234" spans="1:21" x14ac:dyDescent="0.3">
      <c r="A234" t="s">
        <v>837</v>
      </c>
      <c r="B234" t="s">
        <v>30</v>
      </c>
      <c r="C234" t="s">
        <v>1338</v>
      </c>
      <c r="D234" s="15">
        <v>1</v>
      </c>
      <c r="E234" s="7">
        <v>172.5</v>
      </c>
      <c r="H234">
        <v>91295</v>
      </c>
      <c r="I234" t="s">
        <v>360</v>
      </c>
      <c r="J234" t="s">
        <v>1110</v>
      </c>
      <c r="K234" t="s">
        <v>3</v>
      </c>
      <c r="L234" s="2">
        <v>43191</v>
      </c>
      <c r="M234" s="2">
        <f>DHMXX[[#This Row],[INV DOC DATE]]+30</f>
        <v>43221</v>
      </c>
      <c r="N234" s="2">
        <v>43221</v>
      </c>
      <c r="O234" s="7">
        <v>172.5</v>
      </c>
      <c r="P234" s="2">
        <v>43227</v>
      </c>
      <c r="Q234" s="7">
        <f>$E234-$O234</f>
        <v>0</v>
      </c>
      <c r="R234" s="7" t="str">
        <f ca="1">IF(TODAY() - DHMXX[INV DUE DATE]&lt;30, "Less than 30 days",IF(TODAY()-DHMXX[INV DUE DATE]&lt;60,"30-60 days","More than 60 days"))</f>
        <v>More than 60 days</v>
      </c>
      <c r="S234" t="s">
        <v>1550</v>
      </c>
      <c r="T234" s="43" t="s">
        <v>2229</v>
      </c>
      <c r="U234" t="s">
        <v>3699</v>
      </c>
    </row>
    <row r="235" spans="1:21" x14ac:dyDescent="0.3">
      <c r="A235" t="s">
        <v>837</v>
      </c>
      <c r="B235" t="s">
        <v>30</v>
      </c>
      <c r="C235" t="s">
        <v>1339</v>
      </c>
      <c r="D235" s="15">
        <v>1</v>
      </c>
      <c r="E235" s="7">
        <v>172.5</v>
      </c>
      <c r="H235">
        <v>91295</v>
      </c>
      <c r="I235" t="s">
        <v>360</v>
      </c>
      <c r="J235" t="s">
        <v>1111</v>
      </c>
      <c r="K235" t="s">
        <v>3</v>
      </c>
      <c r="L235" s="2">
        <v>43191</v>
      </c>
      <c r="M235" s="2">
        <f>DHMXX[[#This Row],[INV DOC DATE]]+30</f>
        <v>43221</v>
      </c>
      <c r="N235" s="2">
        <v>43221</v>
      </c>
      <c r="O235" s="7">
        <v>172.5</v>
      </c>
      <c r="P235" s="2">
        <v>43227</v>
      </c>
      <c r="Q235" s="7">
        <f>$E235-$O235</f>
        <v>0</v>
      </c>
      <c r="R235" s="7" t="str">
        <f ca="1">IF(TODAY() - DHMXX[INV DUE DATE]&lt;30, "Less than 30 days",IF(TODAY()-DHMXX[INV DUE DATE]&lt;60,"30-60 days","More than 60 days"))</f>
        <v>More than 60 days</v>
      </c>
      <c r="S235" t="s">
        <v>1550</v>
      </c>
      <c r="T235" s="43" t="s">
        <v>2229</v>
      </c>
      <c r="U235" t="s">
        <v>3699</v>
      </c>
    </row>
    <row r="236" spans="1:21" x14ac:dyDescent="0.3">
      <c r="A236" t="s">
        <v>837</v>
      </c>
      <c r="B236" t="s">
        <v>30</v>
      </c>
      <c r="C236" t="s">
        <v>1340</v>
      </c>
      <c r="D236" s="15">
        <v>1</v>
      </c>
      <c r="E236" s="7">
        <v>172.5</v>
      </c>
      <c r="H236">
        <v>91295</v>
      </c>
      <c r="I236" t="s">
        <v>360</v>
      </c>
      <c r="J236" t="s">
        <v>1112</v>
      </c>
      <c r="K236" t="s">
        <v>3</v>
      </c>
      <c r="L236" s="2">
        <v>43191</v>
      </c>
      <c r="M236" s="2">
        <f>DHMXX[[#This Row],[INV DOC DATE]]+30</f>
        <v>43221</v>
      </c>
      <c r="N236" s="2">
        <v>43221</v>
      </c>
      <c r="O236" s="7">
        <v>172.5</v>
      </c>
      <c r="P236" s="2">
        <v>43227</v>
      </c>
      <c r="Q236" s="7">
        <f>$E236-$O236</f>
        <v>0</v>
      </c>
      <c r="R236" s="7" t="str">
        <f ca="1">IF(TODAY() - DHMXX[INV DUE DATE]&lt;30, "Less than 30 days",IF(TODAY()-DHMXX[INV DUE DATE]&lt;60,"30-60 days","More than 60 days"))</f>
        <v>More than 60 days</v>
      </c>
      <c r="S236" t="s">
        <v>1550</v>
      </c>
      <c r="T236" s="43" t="s">
        <v>2229</v>
      </c>
      <c r="U236" t="s">
        <v>3699</v>
      </c>
    </row>
    <row r="237" spans="1:21" x14ac:dyDescent="0.3">
      <c r="A237" t="s">
        <v>837</v>
      </c>
      <c r="B237" t="s">
        <v>30</v>
      </c>
      <c r="C237" t="s">
        <v>1341</v>
      </c>
      <c r="D237" s="15">
        <v>1</v>
      </c>
      <c r="E237" s="7">
        <v>172.5</v>
      </c>
      <c r="H237">
        <v>91295</v>
      </c>
      <c r="I237" t="s">
        <v>360</v>
      </c>
      <c r="J237" t="s">
        <v>1113</v>
      </c>
      <c r="K237" t="s">
        <v>3</v>
      </c>
      <c r="L237" s="2">
        <v>43191</v>
      </c>
      <c r="M237" s="2">
        <f>DHMXX[[#This Row],[INV DOC DATE]]+30</f>
        <v>43221</v>
      </c>
      <c r="N237" s="2">
        <v>43221</v>
      </c>
      <c r="O237" s="7">
        <v>172.5</v>
      </c>
      <c r="P237" s="2">
        <v>43227</v>
      </c>
      <c r="Q237" s="7">
        <f>$E237-$O237</f>
        <v>0</v>
      </c>
      <c r="R237" s="7" t="str">
        <f ca="1">IF(TODAY() - DHMXX[INV DUE DATE]&lt;30, "Less than 30 days",IF(TODAY()-DHMXX[INV DUE DATE]&lt;60,"30-60 days","More than 60 days"))</f>
        <v>More than 60 days</v>
      </c>
      <c r="S237" t="s">
        <v>1550</v>
      </c>
      <c r="T237" s="43" t="s">
        <v>2229</v>
      </c>
      <c r="U237" t="s">
        <v>3699</v>
      </c>
    </row>
    <row r="238" spans="1:21" x14ac:dyDescent="0.3">
      <c r="A238" t="s">
        <v>837</v>
      </c>
      <c r="B238" t="s">
        <v>30</v>
      </c>
      <c r="C238" t="s">
        <v>1342</v>
      </c>
      <c r="D238" s="15">
        <v>1</v>
      </c>
      <c r="E238" s="7">
        <v>172.5</v>
      </c>
      <c r="H238">
        <v>92676</v>
      </c>
      <c r="I238" t="s">
        <v>854</v>
      </c>
      <c r="J238" t="s">
        <v>1114</v>
      </c>
      <c r="K238" t="s">
        <v>3</v>
      </c>
      <c r="L238" s="2">
        <v>43191</v>
      </c>
      <c r="M238" s="2">
        <f>DHMXX[[#This Row],[INV DOC DATE]]+30</f>
        <v>43221</v>
      </c>
      <c r="N238" s="2">
        <v>43221</v>
      </c>
      <c r="O238" s="7">
        <v>172.5</v>
      </c>
      <c r="P238" s="2">
        <v>43227</v>
      </c>
      <c r="Q238" s="7">
        <f>$E238-$O238</f>
        <v>0</v>
      </c>
      <c r="R238" s="7" t="str">
        <f ca="1">IF(TODAY() - DHMXX[INV DUE DATE]&lt;30, "Less than 30 days",IF(TODAY()-DHMXX[INV DUE DATE]&lt;60,"30-60 days","More than 60 days"))</f>
        <v>More than 60 days</v>
      </c>
      <c r="S238" t="s">
        <v>1550</v>
      </c>
      <c r="T238" s="43" t="s">
        <v>2229</v>
      </c>
      <c r="U238" t="s">
        <v>3699</v>
      </c>
    </row>
    <row r="239" spans="1:21" x14ac:dyDescent="0.3">
      <c r="A239" t="s">
        <v>837</v>
      </c>
      <c r="B239" t="s">
        <v>30</v>
      </c>
      <c r="C239" t="s">
        <v>1477</v>
      </c>
      <c r="D239" s="15">
        <v>2000</v>
      </c>
      <c r="E239" s="7">
        <v>172.5</v>
      </c>
      <c r="H239">
        <v>182140</v>
      </c>
      <c r="I239" t="s">
        <v>864</v>
      </c>
      <c r="J239" t="s">
        <v>1249</v>
      </c>
      <c r="K239" t="s">
        <v>3</v>
      </c>
      <c r="L239" s="2">
        <v>43191</v>
      </c>
      <c r="M239" s="2">
        <f>DHMXX[[#This Row],[INV DOC DATE]]+30</f>
        <v>43221</v>
      </c>
      <c r="N239" s="2">
        <v>43221</v>
      </c>
      <c r="O239" s="7">
        <v>172.5</v>
      </c>
      <c r="P239" s="2">
        <v>43227</v>
      </c>
      <c r="Q239" s="7">
        <f>$E239-$O239</f>
        <v>0</v>
      </c>
      <c r="R239" s="7" t="str">
        <f ca="1">IF(TODAY() - DHMXX[INV DUE DATE]&lt;30, "Less than 30 days",IF(TODAY()-DHMXX[INV DUE DATE]&lt;60,"30-60 days","More than 60 days"))</f>
        <v>More than 60 days</v>
      </c>
      <c r="S239" t="s">
        <v>1550</v>
      </c>
      <c r="T239" s="43" t="s">
        <v>2229</v>
      </c>
      <c r="U239" t="s">
        <v>3699</v>
      </c>
    </row>
    <row r="240" spans="1:21" x14ac:dyDescent="0.3">
      <c r="A240" t="s">
        <v>837</v>
      </c>
      <c r="B240" t="s">
        <v>30</v>
      </c>
      <c r="C240" t="s">
        <v>1478</v>
      </c>
      <c r="D240" s="15">
        <v>2000</v>
      </c>
      <c r="E240" s="7">
        <v>172.5</v>
      </c>
      <c r="H240">
        <v>182140</v>
      </c>
      <c r="I240" t="s">
        <v>864</v>
      </c>
      <c r="J240" t="s">
        <v>1250</v>
      </c>
      <c r="K240" t="s">
        <v>3</v>
      </c>
      <c r="L240" s="2">
        <v>43191</v>
      </c>
      <c r="M240" s="2">
        <f>DHMXX[[#This Row],[INV DOC DATE]]+30</f>
        <v>43221</v>
      </c>
      <c r="N240" s="2">
        <v>43221</v>
      </c>
      <c r="O240" s="7">
        <v>172.5</v>
      </c>
      <c r="P240" s="2">
        <v>43227</v>
      </c>
      <c r="Q240" s="7">
        <f>$E240-$O240</f>
        <v>0</v>
      </c>
      <c r="R240" s="7" t="str">
        <f ca="1">IF(TODAY() - DHMXX[INV DUE DATE]&lt;30, "Less than 30 days",IF(TODAY()-DHMXX[INV DUE DATE]&lt;60,"30-60 days","More than 60 days"))</f>
        <v>More than 60 days</v>
      </c>
      <c r="S240" t="s">
        <v>1550</v>
      </c>
      <c r="T240" s="43" t="s">
        <v>2229</v>
      </c>
      <c r="U240" t="s">
        <v>3699</v>
      </c>
    </row>
    <row r="241" spans="1:21" x14ac:dyDescent="0.3">
      <c r="A241" t="s">
        <v>837</v>
      </c>
      <c r="B241" t="s">
        <v>30</v>
      </c>
      <c r="C241" t="s">
        <v>1479</v>
      </c>
      <c r="D241" s="15">
        <v>2000</v>
      </c>
      <c r="E241" s="7">
        <v>172.5</v>
      </c>
      <c r="H241">
        <v>182140</v>
      </c>
      <c r="I241" t="s">
        <v>864</v>
      </c>
      <c r="J241" t="s">
        <v>1251</v>
      </c>
      <c r="K241" t="s">
        <v>3</v>
      </c>
      <c r="L241" s="2">
        <v>43191</v>
      </c>
      <c r="M241" s="2">
        <f>DHMXX[[#This Row],[INV DOC DATE]]+30</f>
        <v>43221</v>
      </c>
      <c r="N241" s="2">
        <v>43221</v>
      </c>
      <c r="O241" s="7">
        <v>172.5</v>
      </c>
      <c r="P241" s="2">
        <v>43227</v>
      </c>
      <c r="Q241" s="7">
        <f>$E241-$O241</f>
        <v>0</v>
      </c>
      <c r="R241" s="7" t="str">
        <f ca="1">IF(TODAY() - DHMXX[INV DUE DATE]&lt;30, "Less than 30 days",IF(TODAY()-DHMXX[INV DUE DATE]&lt;60,"30-60 days","More than 60 days"))</f>
        <v>More than 60 days</v>
      </c>
      <c r="S241" t="s">
        <v>1550</v>
      </c>
      <c r="T241" s="43" t="s">
        <v>2229</v>
      </c>
      <c r="U241" t="s">
        <v>3699</v>
      </c>
    </row>
    <row r="242" spans="1:21" x14ac:dyDescent="0.3">
      <c r="A242" t="s">
        <v>837</v>
      </c>
      <c r="B242" t="s">
        <v>30</v>
      </c>
      <c r="C242" t="s">
        <v>1480</v>
      </c>
      <c r="D242" s="15">
        <v>2000</v>
      </c>
      <c r="E242" s="7">
        <v>172.5</v>
      </c>
      <c r="H242">
        <v>182140</v>
      </c>
      <c r="I242" t="s">
        <v>864</v>
      </c>
      <c r="J242" t="s">
        <v>1252</v>
      </c>
      <c r="K242" t="s">
        <v>3</v>
      </c>
      <c r="L242" s="2">
        <v>43191</v>
      </c>
      <c r="M242" s="2">
        <f>DHMXX[[#This Row],[INV DOC DATE]]+30</f>
        <v>43221</v>
      </c>
      <c r="N242" s="2">
        <v>43221</v>
      </c>
      <c r="O242" s="7">
        <v>172.5</v>
      </c>
      <c r="P242" s="2">
        <v>43227</v>
      </c>
      <c r="Q242" s="7">
        <f>$E242-$O242</f>
        <v>0</v>
      </c>
      <c r="R242" s="7" t="str">
        <f ca="1">IF(TODAY() - DHMXX[INV DUE DATE]&lt;30, "Less than 30 days",IF(TODAY()-DHMXX[INV DUE DATE]&lt;60,"30-60 days","More than 60 days"))</f>
        <v>More than 60 days</v>
      </c>
      <c r="S242" t="s">
        <v>1550</v>
      </c>
      <c r="T242" s="43" t="s">
        <v>2229</v>
      </c>
      <c r="U242" t="s">
        <v>3699</v>
      </c>
    </row>
    <row r="243" spans="1:21" x14ac:dyDescent="0.3">
      <c r="A243" t="s">
        <v>837</v>
      </c>
      <c r="B243" t="s">
        <v>30</v>
      </c>
      <c r="C243" t="s">
        <v>1481</v>
      </c>
      <c r="D243" s="15">
        <v>2000</v>
      </c>
      <c r="E243" s="7">
        <v>172.5</v>
      </c>
      <c r="H243">
        <v>182140</v>
      </c>
      <c r="I243" t="s">
        <v>864</v>
      </c>
      <c r="J243" t="s">
        <v>1253</v>
      </c>
      <c r="K243" t="s">
        <v>3</v>
      </c>
      <c r="L243" s="2">
        <v>43191</v>
      </c>
      <c r="M243" s="2">
        <f>DHMXX[[#This Row],[INV DOC DATE]]+30</f>
        <v>43221</v>
      </c>
      <c r="N243" s="2">
        <v>43221</v>
      </c>
      <c r="O243" s="7">
        <v>172.5</v>
      </c>
      <c r="P243" s="2">
        <v>43227</v>
      </c>
      <c r="Q243" s="7">
        <f>$E243-$O243</f>
        <v>0</v>
      </c>
      <c r="R243" s="7" t="str">
        <f ca="1">IF(TODAY() - DHMXX[INV DUE DATE]&lt;30, "Less than 30 days",IF(TODAY()-DHMXX[INV DUE DATE]&lt;60,"30-60 days","More than 60 days"))</f>
        <v>More than 60 days</v>
      </c>
      <c r="S243" t="s">
        <v>1550</v>
      </c>
      <c r="T243" s="43" t="s">
        <v>2229</v>
      </c>
      <c r="U243" t="s">
        <v>3699</v>
      </c>
    </row>
    <row r="244" spans="1:21" x14ac:dyDescent="0.3">
      <c r="A244" t="s">
        <v>837</v>
      </c>
      <c r="B244" t="s">
        <v>30</v>
      </c>
      <c r="C244" t="s">
        <v>1482</v>
      </c>
      <c r="D244" s="15">
        <v>2000</v>
      </c>
      <c r="E244" s="7">
        <v>172.5</v>
      </c>
      <c r="H244">
        <v>182140</v>
      </c>
      <c r="I244" t="s">
        <v>864</v>
      </c>
      <c r="J244" t="s">
        <v>1254</v>
      </c>
      <c r="K244" t="s">
        <v>3</v>
      </c>
      <c r="L244" s="2">
        <v>43191</v>
      </c>
      <c r="M244" s="2">
        <f>DHMXX[[#This Row],[INV DOC DATE]]+30</f>
        <v>43221</v>
      </c>
      <c r="N244" s="2">
        <v>43221</v>
      </c>
      <c r="O244" s="7">
        <v>172.5</v>
      </c>
      <c r="P244" s="2">
        <v>43227</v>
      </c>
      <c r="Q244" s="7">
        <f>$E244-$O244</f>
        <v>0</v>
      </c>
      <c r="R244" s="7" t="str">
        <f ca="1">IF(TODAY() - DHMXX[INV DUE DATE]&lt;30, "Less than 30 days",IF(TODAY()-DHMXX[INV DUE DATE]&lt;60,"30-60 days","More than 60 days"))</f>
        <v>More than 60 days</v>
      </c>
      <c r="S244" t="s">
        <v>1550</v>
      </c>
      <c r="T244" s="43" t="s">
        <v>2229</v>
      </c>
      <c r="U244" t="s">
        <v>3699</v>
      </c>
    </row>
    <row r="245" spans="1:21" x14ac:dyDescent="0.3">
      <c r="A245" t="s">
        <v>837</v>
      </c>
      <c r="B245" t="s">
        <v>30</v>
      </c>
      <c r="C245" t="s">
        <v>1483</v>
      </c>
      <c r="D245" s="15">
        <v>2000</v>
      </c>
      <c r="E245" s="7">
        <v>172.5</v>
      </c>
      <c r="H245">
        <v>182140</v>
      </c>
      <c r="I245" t="s">
        <v>864</v>
      </c>
      <c r="J245" t="s">
        <v>1255</v>
      </c>
      <c r="K245" t="s">
        <v>3</v>
      </c>
      <c r="L245" s="2">
        <v>43191</v>
      </c>
      <c r="M245" s="2">
        <f>DHMXX[[#This Row],[INV DOC DATE]]+30</f>
        <v>43221</v>
      </c>
      <c r="N245" s="2">
        <v>43221</v>
      </c>
      <c r="O245" s="7">
        <v>172.5</v>
      </c>
      <c r="P245" s="2">
        <v>43227</v>
      </c>
      <c r="Q245" s="7">
        <f>$E245-$O245</f>
        <v>0</v>
      </c>
      <c r="R245" s="7" t="str">
        <f ca="1">IF(TODAY() - DHMXX[INV DUE DATE]&lt;30, "Less than 30 days",IF(TODAY()-DHMXX[INV DUE DATE]&lt;60,"30-60 days","More than 60 days"))</f>
        <v>More than 60 days</v>
      </c>
      <c r="S245" t="s">
        <v>1550</v>
      </c>
      <c r="T245" s="43" t="s">
        <v>2229</v>
      </c>
      <c r="U245" t="s">
        <v>3699</v>
      </c>
    </row>
    <row r="246" spans="1:21" x14ac:dyDescent="0.3">
      <c r="A246" t="s">
        <v>837</v>
      </c>
      <c r="B246" t="s">
        <v>30</v>
      </c>
      <c r="C246" t="s">
        <v>1484</v>
      </c>
      <c r="D246" s="15">
        <v>2000</v>
      </c>
      <c r="E246" s="7">
        <v>172.5</v>
      </c>
      <c r="H246">
        <v>182140</v>
      </c>
      <c r="I246" t="s">
        <v>864</v>
      </c>
      <c r="J246" t="s">
        <v>1256</v>
      </c>
      <c r="K246" t="s">
        <v>3</v>
      </c>
      <c r="L246" s="2">
        <v>43191</v>
      </c>
      <c r="M246" s="2">
        <f>DHMXX[[#This Row],[INV DOC DATE]]+30</f>
        <v>43221</v>
      </c>
      <c r="N246" s="2">
        <v>43221</v>
      </c>
      <c r="O246" s="7">
        <v>172.5</v>
      </c>
      <c r="P246" s="2">
        <v>43227</v>
      </c>
      <c r="Q246" s="7">
        <f>$E246-$O246</f>
        <v>0</v>
      </c>
      <c r="R246" s="7" t="str">
        <f ca="1">IF(TODAY() - DHMXX[INV DUE DATE]&lt;30, "Less than 30 days",IF(TODAY()-DHMXX[INV DUE DATE]&lt;60,"30-60 days","More than 60 days"))</f>
        <v>More than 60 days</v>
      </c>
      <c r="S246" t="s">
        <v>1550</v>
      </c>
      <c r="T246" s="43" t="s">
        <v>2229</v>
      </c>
      <c r="U246" t="s">
        <v>3699</v>
      </c>
    </row>
    <row r="247" spans="1:21" x14ac:dyDescent="0.3">
      <c r="A247" t="s">
        <v>837</v>
      </c>
      <c r="B247" t="s">
        <v>30</v>
      </c>
      <c r="C247" t="s">
        <v>1485</v>
      </c>
      <c r="D247" s="15">
        <v>2000</v>
      </c>
      <c r="E247" s="7">
        <v>172.5</v>
      </c>
      <c r="H247">
        <v>182140</v>
      </c>
      <c r="I247" t="s">
        <v>864</v>
      </c>
      <c r="J247" t="s">
        <v>1257</v>
      </c>
      <c r="K247" t="s">
        <v>3</v>
      </c>
      <c r="L247" s="2">
        <v>43191</v>
      </c>
      <c r="M247" s="2">
        <f>DHMXX[[#This Row],[INV DOC DATE]]+30</f>
        <v>43221</v>
      </c>
      <c r="N247" s="2">
        <v>43221</v>
      </c>
      <c r="O247" s="7">
        <v>172.5</v>
      </c>
      <c r="P247" s="2">
        <v>43227</v>
      </c>
      <c r="Q247" s="7">
        <f>$E247-$O247</f>
        <v>0</v>
      </c>
      <c r="R247" s="7" t="str">
        <f ca="1">IF(TODAY() - DHMXX[INV DUE DATE]&lt;30, "Less than 30 days",IF(TODAY()-DHMXX[INV DUE DATE]&lt;60,"30-60 days","More than 60 days"))</f>
        <v>More than 60 days</v>
      </c>
      <c r="S247" t="s">
        <v>1550</v>
      </c>
      <c r="T247" s="43" t="s">
        <v>2229</v>
      </c>
      <c r="U247" t="s">
        <v>3699</v>
      </c>
    </row>
    <row r="248" spans="1:21" x14ac:dyDescent="0.3">
      <c r="A248" t="s">
        <v>837</v>
      </c>
      <c r="B248" t="s">
        <v>30</v>
      </c>
      <c r="C248" t="s">
        <v>1486</v>
      </c>
      <c r="D248" s="15">
        <v>2000</v>
      </c>
      <c r="E248" s="7">
        <v>172.5</v>
      </c>
      <c r="H248">
        <v>182140</v>
      </c>
      <c r="I248" t="s">
        <v>864</v>
      </c>
      <c r="J248" t="s">
        <v>1258</v>
      </c>
      <c r="K248" t="s">
        <v>3</v>
      </c>
      <c r="L248" s="2">
        <v>43191</v>
      </c>
      <c r="M248" s="2">
        <f>DHMXX[[#This Row],[INV DOC DATE]]+30</f>
        <v>43221</v>
      </c>
      <c r="N248" s="2">
        <v>43221</v>
      </c>
      <c r="O248" s="7">
        <v>172.5</v>
      </c>
      <c r="P248" s="2">
        <v>43227</v>
      </c>
      <c r="Q248" s="7">
        <f>$E248-$O248</f>
        <v>0</v>
      </c>
      <c r="R248" s="7" t="str">
        <f ca="1">IF(TODAY() - DHMXX[INV DUE DATE]&lt;30, "Less than 30 days",IF(TODAY()-DHMXX[INV DUE DATE]&lt;60,"30-60 days","More than 60 days"))</f>
        <v>More than 60 days</v>
      </c>
      <c r="S248" t="s">
        <v>1550</v>
      </c>
      <c r="T248" s="43" t="s">
        <v>2229</v>
      </c>
      <c r="U248" t="s">
        <v>3699</v>
      </c>
    </row>
    <row r="249" spans="1:21" x14ac:dyDescent="0.3">
      <c r="A249" t="s">
        <v>837</v>
      </c>
      <c r="B249" t="s">
        <v>30</v>
      </c>
      <c r="C249" t="s">
        <v>1487</v>
      </c>
      <c r="D249" s="15">
        <v>2000</v>
      </c>
      <c r="E249" s="7">
        <v>420</v>
      </c>
      <c r="H249">
        <v>36784</v>
      </c>
      <c r="I249" t="s">
        <v>865</v>
      </c>
      <c r="J249" t="s">
        <v>1259</v>
      </c>
      <c r="K249" t="s">
        <v>3</v>
      </c>
      <c r="L249" s="2">
        <v>43191</v>
      </c>
      <c r="M249" s="2">
        <f>DHMXX[[#This Row],[INV DOC DATE]]+30</f>
        <v>43221</v>
      </c>
      <c r="N249" s="2">
        <v>43221</v>
      </c>
      <c r="O249" s="7">
        <v>420</v>
      </c>
      <c r="P249" s="2">
        <v>43227</v>
      </c>
      <c r="Q249" s="7">
        <f>$E249-$O249</f>
        <v>0</v>
      </c>
      <c r="R249" s="7" t="str">
        <f ca="1">IF(TODAY() - DHMXX[INV DUE DATE]&lt;30, "Less than 30 days",IF(TODAY()-DHMXX[INV DUE DATE]&lt;60,"30-60 days","More than 60 days"))</f>
        <v>More than 60 days</v>
      </c>
      <c r="S249" t="s">
        <v>1550</v>
      </c>
      <c r="T249" s="43" t="s">
        <v>2229</v>
      </c>
      <c r="U249" t="s">
        <v>3699</v>
      </c>
    </row>
    <row r="250" spans="1:21" x14ac:dyDescent="0.3">
      <c r="A250" t="s">
        <v>837</v>
      </c>
      <c r="B250" t="s">
        <v>30</v>
      </c>
      <c r="C250" t="s">
        <v>1488</v>
      </c>
      <c r="D250" s="15">
        <v>2000</v>
      </c>
      <c r="E250" s="7">
        <v>420</v>
      </c>
      <c r="H250">
        <v>36784</v>
      </c>
      <c r="I250" t="s">
        <v>865</v>
      </c>
      <c r="J250" t="s">
        <v>1260</v>
      </c>
      <c r="K250" t="s">
        <v>3</v>
      </c>
      <c r="L250" s="2">
        <v>43191</v>
      </c>
      <c r="M250" s="2">
        <f>DHMXX[[#This Row],[INV DOC DATE]]+30</f>
        <v>43221</v>
      </c>
      <c r="N250" s="2">
        <v>43221</v>
      </c>
      <c r="O250" s="7">
        <v>420</v>
      </c>
      <c r="P250" s="2">
        <v>43227</v>
      </c>
      <c r="Q250" s="7">
        <f>$E250-$O250</f>
        <v>0</v>
      </c>
      <c r="R250" s="7" t="str">
        <f ca="1">IF(TODAY() - DHMXX[INV DUE DATE]&lt;30, "Less than 30 days",IF(TODAY()-DHMXX[INV DUE DATE]&lt;60,"30-60 days","More than 60 days"))</f>
        <v>More than 60 days</v>
      </c>
      <c r="S250" t="s">
        <v>1550</v>
      </c>
      <c r="T250" s="43" t="s">
        <v>2229</v>
      </c>
      <c r="U250" t="s">
        <v>3699</v>
      </c>
    </row>
    <row r="251" spans="1:21" x14ac:dyDescent="0.3">
      <c r="A251" t="s">
        <v>837</v>
      </c>
      <c r="B251" t="s">
        <v>30</v>
      </c>
      <c r="C251" t="s">
        <v>1489</v>
      </c>
      <c r="D251" s="15">
        <v>2000</v>
      </c>
      <c r="E251" s="7">
        <v>420</v>
      </c>
      <c r="H251">
        <v>36784</v>
      </c>
      <c r="I251" t="s">
        <v>865</v>
      </c>
      <c r="J251" t="s">
        <v>1261</v>
      </c>
      <c r="K251" t="s">
        <v>3</v>
      </c>
      <c r="L251" s="2">
        <v>43191</v>
      </c>
      <c r="M251" s="2">
        <f>DHMXX[[#This Row],[INV DOC DATE]]+30</f>
        <v>43221</v>
      </c>
      <c r="N251" s="2">
        <v>43221</v>
      </c>
      <c r="O251" s="7">
        <v>420</v>
      </c>
      <c r="P251" s="2">
        <v>43227</v>
      </c>
      <c r="Q251" s="7">
        <f>$E251-$O251</f>
        <v>0</v>
      </c>
      <c r="R251" s="7" t="str">
        <f ca="1">IF(TODAY() - DHMXX[INV DUE DATE]&lt;30, "Less than 30 days",IF(TODAY()-DHMXX[INV DUE DATE]&lt;60,"30-60 days","More than 60 days"))</f>
        <v>More than 60 days</v>
      </c>
      <c r="S251" t="s">
        <v>1550</v>
      </c>
      <c r="T251" s="43" t="s">
        <v>2229</v>
      </c>
      <c r="U251" t="s">
        <v>3699</v>
      </c>
    </row>
    <row r="252" spans="1:21" x14ac:dyDescent="0.3">
      <c r="A252" t="s">
        <v>837</v>
      </c>
      <c r="B252" t="s">
        <v>30</v>
      </c>
      <c r="C252" t="s">
        <v>1490</v>
      </c>
      <c r="D252" s="15">
        <v>2000</v>
      </c>
      <c r="E252" s="7">
        <v>172.5</v>
      </c>
      <c r="H252">
        <v>36989</v>
      </c>
      <c r="I252" t="s">
        <v>361</v>
      </c>
      <c r="J252" t="s">
        <v>1262</v>
      </c>
      <c r="K252" t="s">
        <v>3</v>
      </c>
      <c r="L252" s="2">
        <v>43191</v>
      </c>
      <c r="M252" s="2">
        <f>DHMXX[[#This Row],[INV DOC DATE]]+30</f>
        <v>43221</v>
      </c>
      <c r="N252" s="2">
        <v>43221</v>
      </c>
      <c r="O252" s="7">
        <v>172.5</v>
      </c>
      <c r="P252" s="2">
        <v>43227</v>
      </c>
      <c r="Q252" s="7">
        <f>$E252-$O252</f>
        <v>0</v>
      </c>
      <c r="R252" s="7" t="str">
        <f ca="1">IF(TODAY() - DHMXX[INV DUE DATE]&lt;30, "Less than 30 days",IF(TODAY()-DHMXX[INV DUE DATE]&lt;60,"30-60 days","More than 60 days"))</f>
        <v>More than 60 days</v>
      </c>
      <c r="S252" t="s">
        <v>1550</v>
      </c>
      <c r="T252" s="43" t="s">
        <v>2229</v>
      </c>
      <c r="U252" t="s">
        <v>3699</v>
      </c>
    </row>
    <row r="253" spans="1:21" x14ac:dyDescent="0.3">
      <c r="A253" t="s">
        <v>837</v>
      </c>
      <c r="B253" t="s">
        <v>30</v>
      </c>
      <c r="C253" t="s">
        <v>1491</v>
      </c>
      <c r="D253" s="15">
        <v>2000</v>
      </c>
      <c r="E253" s="7">
        <v>172.5</v>
      </c>
      <c r="H253">
        <v>36989</v>
      </c>
      <c r="I253" t="s">
        <v>361</v>
      </c>
      <c r="J253" t="s">
        <v>1263</v>
      </c>
      <c r="K253" t="s">
        <v>3</v>
      </c>
      <c r="L253" s="2">
        <v>43191</v>
      </c>
      <c r="M253" s="2">
        <f>DHMXX[[#This Row],[INV DOC DATE]]+30</f>
        <v>43221</v>
      </c>
      <c r="N253" s="2">
        <v>43221</v>
      </c>
      <c r="O253" s="7">
        <v>172.5</v>
      </c>
      <c r="P253" s="2">
        <v>43227</v>
      </c>
      <c r="Q253" s="7">
        <f>$E253-$O253</f>
        <v>0</v>
      </c>
      <c r="R253" s="7" t="str">
        <f ca="1">IF(TODAY() - DHMXX[INV DUE DATE]&lt;30, "Less than 30 days",IF(TODAY()-DHMXX[INV DUE DATE]&lt;60,"30-60 days","More than 60 days"))</f>
        <v>More than 60 days</v>
      </c>
      <c r="S253" t="s">
        <v>1550</v>
      </c>
      <c r="T253" s="43" t="s">
        <v>2229</v>
      </c>
      <c r="U253" t="s">
        <v>3699</v>
      </c>
    </row>
    <row r="254" spans="1:21" x14ac:dyDescent="0.3">
      <c r="A254" t="s">
        <v>837</v>
      </c>
      <c r="B254" t="s">
        <v>30</v>
      </c>
      <c r="C254" t="s">
        <v>1492</v>
      </c>
      <c r="D254" s="15">
        <v>2000</v>
      </c>
      <c r="E254" s="7">
        <v>172.5</v>
      </c>
      <c r="H254">
        <v>36992</v>
      </c>
      <c r="I254" t="s">
        <v>361</v>
      </c>
      <c r="J254" t="s">
        <v>1264</v>
      </c>
      <c r="K254" t="s">
        <v>3</v>
      </c>
      <c r="L254" s="2">
        <v>43191</v>
      </c>
      <c r="M254" s="2">
        <f>DHMXX[[#This Row],[INV DOC DATE]]+30</f>
        <v>43221</v>
      </c>
      <c r="N254" s="2">
        <v>43221</v>
      </c>
      <c r="O254" s="7">
        <v>172.5</v>
      </c>
      <c r="P254" s="2">
        <v>43227</v>
      </c>
      <c r="Q254" s="7">
        <f>$E254-$O254</f>
        <v>0</v>
      </c>
      <c r="R254" s="7" t="str">
        <f ca="1">IF(TODAY() - DHMXX[INV DUE DATE]&lt;30, "Less than 30 days",IF(TODAY()-DHMXX[INV DUE DATE]&lt;60,"30-60 days","More than 60 days"))</f>
        <v>More than 60 days</v>
      </c>
      <c r="S254" t="s">
        <v>1550</v>
      </c>
      <c r="T254" s="43" t="s">
        <v>2229</v>
      </c>
      <c r="U254" t="s">
        <v>3699</v>
      </c>
    </row>
    <row r="255" spans="1:21" x14ac:dyDescent="0.3">
      <c r="A255" t="s">
        <v>837</v>
      </c>
      <c r="B255" t="s">
        <v>30</v>
      </c>
      <c r="C255" t="s">
        <v>1493</v>
      </c>
      <c r="D255" s="15">
        <v>2000</v>
      </c>
      <c r="E255" s="7">
        <v>172.5</v>
      </c>
      <c r="H255">
        <v>36992</v>
      </c>
      <c r="I255" t="s">
        <v>361</v>
      </c>
      <c r="J255" t="s">
        <v>1265</v>
      </c>
      <c r="K255" t="s">
        <v>3</v>
      </c>
      <c r="L255" s="2">
        <v>43191</v>
      </c>
      <c r="M255" s="2">
        <f>DHMXX[[#This Row],[INV DOC DATE]]+30</f>
        <v>43221</v>
      </c>
      <c r="N255" s="2">
        <v>43221</v>
      </c>
      <c r="O255" s="7">
        <v>172.5</v>
      </c>
      <c r="P255" s="2">
        <v>43227</v>
      </c>
      <c r="Q255" s="7">
        <f>$E255-$O255</f>
        <v>0</v>
      </c>
      <c r="R255" s="7" t="str">
        <f ca="1">IF(TODAY() - DHMXX[INV DUE DATE]&lt;30, "Less than 30 days",IF(TODAY()-DHMXX[INV DUE DATE]&lt;60,"30-60 days","More than 60 days"))</f>
        <v>More than 60 days</v>
      </c>
      <c r="S255" t="s">
        <v>1550</v>
      </c>
      <c r="T255" s="43" t="s">
        <v>2229</v>
      </c>
      <c r="U255" t="s">
        <v>3699</v>
      </c>
    </row>
    <row r="256" spans="1:21" x14ac:dyDescent="0.3">
      <c r="A256" t="s">
        <v>837</v>
      </c>
      <c r="B256" t="s">
        <v>30</v>
      </c>
      <c r="C256" t="s">
        <v>1494</v>
      </c>
      <c r="D256" s="15">
        <v>2000</v>
      </c>
      <c r="E256" s="7">
        <v>172.5</v>
      </c>
      <c r="H256">
        <v>36992</v>
      </c>
      <c r="I256" t="s">
        <v>361</v>
      </c>
      <c r="J256" t="s">
        <v>1266</v>
      </c>
      <c r="K256" t="s">
        <v>3</v>
      </c>
      <c r="L256" s="2">
        <v>43191</v>
      </c>
      <c r="M256" s="2">
        <f>DHMXX[[#This Row],[INV DOC DATE]]+30</f>
        <v>43221</v>
      </c>
      <c r="N256" s="2">
        <v>43221</v>
      </c>
      <c r="O256" s="7">
        <v>172.5</v>
      </c>
      <c r="P256" s="2">
        <v>43227</v>
      </c>
      <c r="Q256" s="7">
        <f>$E256-$O256</f>
        <v>0</v>
      </c>
      <c r="R256" s="7" t="str">
        <f ca="1">IF(TODAY() - DHMXX[INV DUE DATE]&lt;30, "Less than 30 days",IF(TODAY()-DHMXX[INV DUE DATE]&lt;60,"30-60 days","More than 60 days"))</f>
        <v>More than 60 days</v>
      </c>
      <c r="S256" t="s">
        <v>1550</v>
      </c>
      <c r="T256" s="43" t="s">
        <v>2229</v>
      </c>
      <c r="U256" t="s">
        <v>3699</v>
      </c>
    </row>
    <row r="257" spans="1:21" x14ac:dyDescent="0.3">
      <c r="A257" t="s">
        <v>837</v>
      </c>
      <c r="B257" t="s">
        <v>30</v>
      </c>
      <c r="C257" t="s">
        <v>1495</v>
      </c>
      <c r="D257" s="15">
        <v>2000</v>
      </c>
      <c r="E257" s="7">
        <v>172.5</v>
      </c>
      <c r="H257">
        <v>36992</v>
      </c>
      <c r="I257" t="s">
        <v>361</v>
      </c>
      <c r="J257" t="s">
        <v>1267</v>
      </c>
      <c r="K257" t="s">
        <v>3</v>
      </c>
      <c r="L257" s="2">
        <v>43191</v>
      </c>
      <c r="M257" s="2">
        <f>DHMXX[[#This Row],[INV DOC DATE]]+30</f>
        <v>43221</v>
      </c>
      <c r="N257" s="2">
        <v>43221</v>
      </c>
      <c r="O257" s="7">
        <v>172.5</v>
      </c>
      <c r="P257" s="2">
        <v>43227</v>
      </c>
      <c r="Q257" s="7">
        <f>$E257-$O257</f>
        <v>0</v>
      </c>
      <c r="R257" s="7" t="str">
        <f ca="1">IF(TODAY() - DHMXX[INV DUE DATE]&lt;30, "Less than 30 days",IF(TODAY()-DHMXX[INV DUE DATE]&lt;60,"30-60 days","More than 60 days"))</f>
        <v>More than 60 days</v>
      </c>
      <c r="S257" t="s">
        <v>1550</v>
      </c>
      <c r="T257" s="43" t="s">
        <v>2229</v>
      </c>
      <c r="U257" t="s">
        <v>3699</v>
      </c>
    </row>
    <row r="258" spans="1:21" x14ac:dyDescent="0.3">
      <c r="A258" t="s">
        <v>837</v>
      </c>
      <c r="B258" t="s">
        <v>30</v>
      </c>
      <c r="C258" t="s">
        <v>1496</v>
      </c>
      <c r="D258" s="15">
        <v>2000</v>
      </c>
      <c r="E258" s="7">
        <v>172.5</v>
      </c>
      <c r="H258">
        <v>36992</v>
      </c>
      <c r="I258" t="s">
        <v>361</v>
      </c>
      <c r="J258" t="s">
        <v>1268</v>
      </c>
      <c r="K258" t="s">
        <v>3</v>
      </c>
      <c r="L258" s="2">
        <v>43191</v>
      </c>
      <c r="M258" s="2">
        <f>DHMXX[[#This Row],[INV DOC DATE]]+30</f>
        <v>43221</v>
      </c>
      <c r="N258" s="2">
        <v>43221</v>
      </c>
      <c r="O258" s="7">
        <v>172.5</v>
      </c>
      <c r="P258" s="2">
        <v>43227</v>
      </c>
      <c r="Q258" s="7">
        <f>$E258-$O258</f>
        <v>0</v>
      </c>
      <c r="R258" s="7" t="str">
        <f ca="1">IF(TODAY() - DHMXX[INV DUE DATE]&lt;30, "Less than 30 days",IF(TODAY()-DHMXX[INV DUE DATE]&lt;60,"30-60 days","More than 60 days"))</f>
        <v>More than 60 days</v>
      </c>
      <c r="S258" t="s">
        <v>1550</v>
      </c>
      <c r="T258" s="43" t="s">
        <v>2229</v>
      </c>
      <c r="U258" t="s">
        <v>3699</v>
      </c>
    </row>
    <row r="259" spans="1:21" x14ac:dyDescent="0.3">
      <c r="A259" t="s">
        <v>837</v>
      </c>
      <c r="B259" t="s">
        <v>30</v>
      </c>
      <c r="C259" t="s">
        <v>1497</v>
      </c>
      <c r="D259" s="15">
        <v>2000</v>
      </c>
      <c r="E259" s="7">
        <v>172.5</v>
      </c>
      <c r="H259">
        <v>36992</v>
      </c>
      <c r="I259" t="s">
        <v>361</v>
      </c>
      <c r="J259" t="s">
        <v>1269</v>
      </c>
      <c r="K259" t="s">
        <v>3</v>
      </c>
      <c r="L259" s="2">
        <v>43191</v>
      </c>
      <c r="M259" s="2">
        <f>DHMXX[[#This Row],[INV DOC DATE]]+30</f>
        <v>43221</v>
      </c>
      <c r="N259" s="2">
        <v>43221</v>
      </c>
      <c r="O259" s="7">
        <v>172.5</v>
      </c>
      <c r="P259" s="2">
        <v>43227</v>
      </c>
      <c r="Q259" s="7">
        <f>$E259-$O259</f>
        <v>0</v>
      </c>
      <c r="R259" s="7" t="str">
        <f ca="1">IF(TODAY() - DHMXX[INV DUE DATE]&lt;30, "Less than 30 days",IF(TODAY()-DHMXX[INV DUE DATE]&lt;60,"30-60 days","More than 60 days"))</f>
        <v>More than 60 days</v>
      </c>
      <c r="S259" t="s">
        <v>1550</v>
      </c>
      <c r="T259" s="43" t="s">
        <v>2229</v>
      </c>
      <c r="U259" t="s">
        <v>3699</v>
      </c>
    </row>
    <row r="260" spans="1:21" x14ac:dyDescent="0.3">
      <c r="A260" t="s">
        <v>837</v>
      </c>
      <c r="B260" t="s">
        <v>30</v>
      </c>
      <c r="C260" t="s">
        <v>1498</v>
      </c>
      <c r="D260" s="15">
        <v>2000</v>
      </c>
      <c r="E260" s="7">
        <v>172.5</v>
      </c>
      <c r="H260">
        <v>36992</v>
      </c>
      <c r="I260" t="s">
        <v>361</v>
      </c>
      <c r="J260" t="s">
        <v>1270</v>
      </c>
      <c r="K260" t="s">
        <v>3</v>
      </c>
      <c r="L260" s="2">
        <v>43191</v>
      </c>
      <c r="M260" s="2">
        <f>DHMXX[[#This Row],[INV DOC DATE]]+30</f>
        <v>43221</v>
      </c>
      <c r="N260" s="2">
        <v>43221</v>
      </c>
      <c r="O260" s="7">
        <v>172.5</v>
      </c>
      <c r="P260" s="2">
        <v>43227</v>
      </c>
      <c r="Q260" s="7">
        <f>$E260-$O260</f>
        <v>0</v>
      </c>
      <c r="R260" s="7" t="str">
        <f ca="1">IF(TODAY() - DHMXX[INV DUE DATE]&lt;30, "Less than 30 days",IF(TODAY()-DHMXX[INV DUE DATE]&lt;60,"30-60 days","More than 60 days"))</f>
        <v>More than 60 days</v>
      </c>
      <c r="S260" t="s">
        <v>1550</v>
      </c>
      <c r="T260" s="43" t="s">
        <v>2229</v>
      </c>
      <c r="U260" t="s">
        <v>3699</v>
      </c>
    </row>
    <row r="261" spans="1:21" x14ac:dyDescent="0.3">
      <c r="A261" t="s">
        <v>837</v>
      </c>
      <c r="B261" t="s">
        <v>30</v>
      </c>
      <c r="C261" t="s">
        <v>1499</v>
      </c>
      <c r="D261" s="15">
        <v>2000</v>
      </c>
      <c r="E261" s="7">
        <v>172.5</v>
      </c>
      <c r="H261">
        <v>36992</v>
      </c>
      <c r="I261" t="s">
        <v>361</v>
      </c>
      <c r="J261" t="s">
        <v>1271</v>
      </c>
      <c r="K261" t="s">
        <v>3</v>
      </c>
      <c r="L261" s="2">
        <v>43191</v>
      </c>
      <c r="M261" s="2">
        <f>DHMXX[[#This Row],[INV DOC DATE]]+30</f>
        <v>43221</v>
      </c>
      <c r="N261" s="2">
        <v>43221</v>
      </c>
      <c r="O261" s="7">
        <v>172.5</v>
      </c>
      <c r="P261" s="2">
        <v>43227</v>
      </c>
      <c r="Q261" s="7">
        <f>$E261-$O261</f>
        <v>0</v>
      </c>
      <c r="R261" s="7" t="str">
        <f ca="1">IF(TODAY() - DHMXX[INV DUE DATE]&lt;30, "Less than 30 days",IF(TODAY()-DHMXX[INV DUE DATE]&lt;60,"30-60 days","More than 60 days"))</f>
        <v>More than 60 days</v>
      </c>
      <c r="S261" t="s">
        <v>1550</v>
      </c>
      <c r="T261" s="43" t="s">
        <v>2229</v>
      </c>
      <c r="U261" t="s">
        <v>3699</v>
      </c>
    </row>
    <row r="262" spans="1:21" x14ac:dyDescent="0.3">
      <c r="A262" t="s">
        <v>837</v>
      </c>
      <c r="B262" t="s">
        <v>30</v>
      </c>
      <c r="C262" t="s">
        <v>1500</v>
      </c>
      <c r="D262" s="15">
        <v>2000</v>
      </c>
      <c r="E262" s="7">
        <v>172.5</v>
      </c>
      <c r="H262">
        <v>36992</v>
      </c>
      <c r="I262" t="s">
        <v>361</v>
      </c>
      <c r="J262" t="s">
        <v>1272</v>
      </c>
      <c r="K262" t="s">
        <v>3</v>
      </c>
      <c r="L262" s="2">
        <v>43191</v>
      </c>
      <c r="M262" s="2">
        <f>DHMXX[[#This Row],[INV DOC DATE]]+30</f>
        <v>43221</v>
      </c>
      <c r="N262" s="2">
        <v>43221</v>
      </c>
      <c r="O262" s="7">
        <v>172.5</v>
      </c>
      <c r="P262" s="2">
        <v>43227</v>
      </c>
      <c r="Q262" s="7">
        <f>$E262-$O262</f>
        <v>0</v>
      </c>
      <c r="R262" s="7" t="str">
        <f ca="1">IF(TODAY() - DHMXX[INV DUE DATE]&lt;30, "Less than 30 days",IF(TODAY()-DHMXX[INV DUE DATE]&lt;60,"30-60 days","More than 60 days"))</f>
        <v>More than 60 days</v>
      </c>
      <c r="S262" t="s">
        <v>1550</v>
      </c>
      <c r="T262" s="43" t="s">
        <v>2229</v>
      </c>
      <c r="U262" t="s">
        <v>3699</v>
      </c>
    </row>
    <row r="263" spans="1:21" x14ac:dyDescent="0.3">
      <c r="A263" t="s">
        <v>837</v>
      </c>
      <c r="B263" t="s">
        <v>30</v>
      </c>
      <c r="C263" t="s">
        <v>1501</v>
      </c>
      <c r="D263" s="15">
        <v>2000</v>
      </c>
      <c r="E263" s="7">
        <v>172.5</v>
      </c>
      <c r="H263">
        <v>36992</v>
      </c>
      <c r="I263" t="s">
        <v>361</v>
      </c>
      <c r="J263" t="s">
        <v>1273</v>
      </c>
      <c r="K263" t="s">
        <v>3</v>
      </c>
      <c r="L263" s="2">
        <v>43191</v>
      </c>
      <c r="M263" s="2">
        <f>DHMXX[[#This Row],[INV DOC DATE]]+30</f>
        <v>43221</v>
      </c>
      <c r="N263" s="2">
        <v>43221</v>
      </c>
      <c r="O263" s="7">
        <v>172.5</v>
      </c>
      <c r="P263" s="2">
        <v>43227</v>
      </c>
      <c r="Q263" s="7">
        <f>$E263-$O263</f>
        <v>0</v>
      </c>
      <c r="R263" s="7" t="str">
        <f ca="1">IF(TODAY() - DHMXX[INV DUE DATE]&lt;30, "Less than 30 days",IF(TODAY()-DHMXX[INV DUE DATE]&lt;60,"30-60 days","More than 60 days"))</f>
        <v>More than 60 days</v>
      </c>
      <c r="S263" t="s">
        <v>1550</v>
      </c>
      <c r="T263" s="43" t="s">
        <v>2229</v>
      </c>
      <c r="U263" t="s">
        <v>3699</v>
      </c>
    </row>
    <row r="264" spans="1:21" x14ac:dyDescent="0.3">
      <c r="A264" t="s">
        <v>837</v>
      </c>
      <c r="B264" t="s">
        <v>30</v>
      </c>
      <c r="C264" t="s">
        <v>1502</v>
      </c>
      <c r="D264" s="15">
        <v>2000</v>
      </c>
      <c r="E264" s="7">
        <v>172.5</v>
      </c>
      <c r="H264">
        <v>36997</v>
      </c>
      <c r="I264" t="s">
        <v>362</v>
      </c>
      <c r="J264" t="s">
        <v>1274</v>
      </c>
      <c r="K264" t="s">
        <v>3</v>
      </c>
      <c r="L264" s="2">
        <v>43191</v>
      </c>
      <c r="M264" s="2">
        <f>DHMXX[[#This Row],[INV DOC DATE]]+30</f>
        <v>43221</v>
      </c>
      <c r="N264" s="2">
        <v>43221</v>
      </c>
      <c r="O264" s="7">
        <v>172.5</v>
      </c>
      <c r="P264" s="2">
        <v>43227</v>
      </c>
      <c r="Q264" s="7">
        <f>$E264-$O264</f>
        <v>0</v>
      </c>
      <c r="R264" s="7" t="str">
        <f ca="1">IF(TODAY() - DHMXX[INV DUE DATE]&lt;30, "Less than 30 days",IF(TODAY()-DHMXX[INV DUE DATE]&lt;60,"30-60 days","More than 60 days"))</f>
        <v>More than 60 days</v>
      </c>
      <c r="S264" t="s">
        <v>1550</v>
      </c>
      <c r="T264" s="43" t="s">
        <v>2229</v>
      </c>
      <c r="U264" t="s">
        <v>3699</v>
      </c>
    </row>
    <row r="265" spans="1:21" x14ac:dyDescent="0.3">
      <c r="A265" t="s">
        <v>837</v>
      </c>
      <c r="B265" t="s">
        <v>30</v>
      </c>
      <c r="C265" t="s">
        <v>1503</v>
      </c>
      <c r="D265" s="15">
        <v>2000</v>
      </c>
      <c r="E265" s="7">
        <v>172.5</v>
      </c>
      <c r="H265">
        <v>36997</v>
      </c>
      <c r="I265" t="s">
        <v>362</v>
      </c>
      <c r="J265" t="s">
        <v>1275</v>
      </c>
      <c r="K265" t="s">
        <v>3</v>
      </c>
      <c r="L265" s="2">
        <v>43191</v>
      </c>
      <c r="M265" s="2">
        <f>DHMXX[[#This Row],[INV DOC DATE]]+30</f>
        <v>43221</v>
      </c>
      <c r="N265" s="2">
        <v>43221</v>
      </c>
      <c r="O265" s="7">
        <v>172.5</v>
      </c>
      <c r="P265" s="2">
        <v>43227</v>
      </c>
      <c r="Q265" s="7">
        <f>$E265-$O265</f>
        <v>0</v>
      </c>
      <c r="R265" s="7" t="str">
        <f ca="1">IF(TODAY() - DHMXX[INV DUE DATE]&lt;30, "Less than 30 days",IF(TODAY()-DHMXX[INV DUE DATE]&lt;60,"30-60 days","More than 60 days"))</f>
        <v>More than 60 days</v>
      </c>
      <c r="S265" t="s">
        <v>1550</v>
      </c>
      <c r="T265" s="43" t="s">
        <v>2229</v>
      </c>
      <c r="U265" t="s">
        <v>3699</v>
      </c>
    </row>
    <row r="266" spans="1:21" x14ac:dyDescent="0.3">
      <c r="A266" t="s">
        <v>837</v>
      </c>
      <c r="B266" t="s">
        <v>30</v>
      </c>
      <c r="C266" t="s">
        <v>1504</v>
      </c>
      <c r="D266" s="15">
        <v>2000</v>
      </c>
      <c r="E266" s="7">
        <v>172.5</v>
      </c>
      <c r="H266">
        <v>36997</v>
      </c>
      <c r="I266" t="s">
        <v>362</v>
      </c>
      <c r="J266" t="s">
        <v>1276</v>
      </c>
      <c r="K266" t="s">
        <v>3</v>
      </c>
      <c r="L266" s="2">
        <v>43191</v>
      </c>
      <c r="M266" s="2">
        <f>DHMXX[[#This Row],[INV DOC DATE]]+30</f>
        <v>43221</v>
      </c>
      <c r="N266" s="2">
        <v>43221</v>
      </c>
      <c r="O266" s="7">
        <v>172.5</v>
      </c>
      <c r="P266" s="2">
        <v>43227</v>
      </c>
      <c r="Q266" s="7">
        <f>$E266-$O266</f>
        <v>0</v>
      </c>
      <c r="R266" s="7" t="str">
        <f ca="1">IF(TODAY() - DHMXX[INV DUE DATE]&lt;30, "Less than 30 days",IF(TODAY()-DHMXX[INV DUE DATE]&lt;60,"30-60 days","More than 60 days"))</f>
        <v>More than 60 days</v>
      </c>
      <c r="S266" t="s">
        <v>1550</v>
      </c>
      <c r="T266" s="43" t="s">
        <v>2229</v>
      </c>
      <c r="U266" t="s">
        <v>3699</v>
      </c>
    </row>
    <row r="267" spans="1:21" x14ac:dyDescent="0.3">
      <c r="A267" t="s">
        <v>837</v>
      </c>
      <c r="B267" t="s">
        <v>30</v>
      </c>
      <c r="C267" t="s">
        <v>1505</v>
      </c>
      <c r="D267" s="15">
        <v>2000</v>
      </c>
      <c r="E267" s="7">
        <v>172.5</v>
      </c>
      <c r="H267">
        <v>36997</v>
      </c>
      <c r="I267" t="s">
        <v>362</v>
      </c>
      <c r="J267" t="s">
        <v>1277</v>
      </c>
      <c r="K267" t="s">
        <v>3</v>
      </c>
      <c r="L267" s="2">
        <v>43191</v>
      </c>
      <c r="M267" s="2">
        <f>DHMXX[[#This Row],[INV DOC DATE]]+30</f>
        <v>43221</v>
      </c>
      <c r="N267" s="2">
        <v>43221</v>
      </c>
      <c r="O267" s="7">
        <v>172.5</v>
      </c>
      <c r="P267" s="2">
        <v>43227</v>
      </c>
      <c r="Q267" s="7">
        <f>$E267-$O267</f>
        <v>0</v>
      </c>
      <c r="R267" s="7" t="str">
        <f ca="1">IF(TODAY() - DHMXX[INV DUE DATE]&lt;30, "Less than 30 days",IF(TODAY()-DHMXX[INV DUE DATE]&lt;60,"30-60 days","More than 60 days"))</f>
        <v>More than 60 days</v>
      </c>
      <c r="S267" t="s">
        <v>1550</v>
      </c>
      <c r="T267" s="43" t="s">
        <v>2229</v>
      </c>
      <c r="U267" t="s">
        <v>3699</v>
      </c>
    </row>
    <row r="268" spans="1:21" x14ac:dyDescent="0.3">
      <c r="A268" t="s">
        <v>837</v>
      </c>
      <c r="B268" t="s">
        <v>30</v>
      </c>
      <c r="C268" t="s">
        <v>1506</v>
      </c>
      <c r="D268" s="15">
        <v>2000</v>
      </c>
      <c r="E268" s="7">
        <v>172.5</v>
      </c>
      <c r="H268">
        <v>36997</v>
      </c>
      <c r="I268" t="s">
        <v>362</v>
      </c>
      <c r="J268" t="s">
        <v>1278</v>
      </c>
      <c r="K268" t="s">
        <v>3</v>
      </c>
      <c r="L268" s="2">
        <v>43191</v>
      </c>
      <c r="M268" s="2">
        <f>DHMXX[[#This Row],[INV DOC DATE]]+30</f>
        <v>43221</v>
      </c>
      <c r="N268" s="2">
        <v>43221</v>
      </c>
      <c r="O268" s="7">
        <v>172.5</v>
      </c>
      <c r="P268" s="2">
        <v>43227</v>
      </c>
      <c r="Q268" s="7">
        <f>$E268-$O268</f>
        <v>0</v>
      </c>
      <c r="R268" s="7" t="str">
        <f ca="1">IF(TODAY() - DHMXX[INV DUE DATE]&lt;30, "Less than 30 days",IF(TODAY()-DHMXX[INV DUE DATE]&lt;60,"30-60 days","More than 60 days"))</f>
        <v>More than 60 days</v>
      </c>
      <c r="S268" t="s">
        <v>1550</v>
      </c>
      <c r="T268" s="43" t="s">
        <v>2229</v>
      </c>
      <c r="U268" t="s">
        <v>3699</v>
      </c>
    </row>
    <row r="269" spans="1:21" x14ac:dyDescent="0.3">
      <c r="A269" t="s">
        <v>837</v>
      </c>
      <c r="B269" t="s">
        <v>30</v>
      </c>
      <c r="C269" t="s">
        <v>1507</v>
      </c>
      <c r="D269" s="15">
        <v>2000</v>
      </c>
      <c r="E269" s="7">
        <v>172.5</v>
      </c>
      <c r="H269">
        <v>36997</v>
      </c>
      <c r="I269" t="s">
        <v>362</v>
      </c>
      <c r="J269" t="s">
        <v>1279</v>
      </c>
      <c r="K269" t="s">
        <v>3</v>
      </c>
      <c r="L269" s="2">
        <v>43191</v>
      </c>
      <c r="M269" s="2">
        <f>DHMXX[[#This Row],[INV DOC DATE]]+30</f>
        <v>43221</v>
      </c>
      <c r="N269" s="2">
        <v>43221</v>
      </c>
      <c r="O269" s="7">
        <v>172.5</v>
      </c>
      <c r="P269" s="2">
        <v>43227</v>
      </c>
      <c r="Q269" s="7">
        <f>$E269-$O269</f>
        <v>0</v>
      </c>
      <c r="R269" s="7" t="str">
        <f ca="1">IF(TODAY() - DHMXX[INV DUE DATE]&lt;30, "Less than 30 days",IF(TODAY()-DHMXX[INV DUE DATE]&lt;60,"30-60 days","More than 60 days"))</f>
        <v>More than 60 days</v>
      </c>
      <c r="S269" t="s">
        <v>1550</v>
      </c>
      <c r="T269" s="43" t="s">
        <v>2229</v>
      </c>
      <c r="U269" t="s">
        <v>3699</v>
      </c>
    </row>
    <row r="270" spans="1:21" x14ac:dyDescent="0.3">
      <c r="A270" t="s">
        <v>837</v>
      </c>
      <c r="B270" t="s">
        <v>30</v>
      </c>
      <c r="C270" t="s">
        <v>1508</v>
      </c>
      <c r="D270" s="15">
        <v>2000</v>
      </c>
      <c r="E270" s="7">
        <v>172.5</v>
      </c>
      <c r="H270">
        <v>36997</v>
      </c>
      <c r="I270" t="s">
        <v>361</v>
      </c>
      <c r="J270" t="s">
        <v>1280</v>
      </c>
      <c r="K270" t="s">
        <v>3</v>
      </c>
      <c r="L270" s="2">
        <v>43191</v>
      </c>
      <c r="M270" s="2">
        <f>DHMXX[[#This Row],[INV DOC DATE]]+30</f>
        <v>43221</v>
      </c>
      <c r="N270" s="2">
        <v>43221</v>
      </c>
      <c r="O270" s="7">
        <v>172.5</v>
      </c>
      <c r="P270" s="2">
        <v>43227</v>
      </c>
      <c r="Q270" s="7">
        <f>$E270-$O270</f>
        <v>0</v>
      </c>
      <c r="R270" s="7" t="str">
        <f ca="1">IF(TODAY() - DHMXX[INV DUE DATE]&lt;30, "Less than 30 days",IF(TODAY()-DHMXX[INV DUE DATE]&lt;60,"30-60 days","More than 60 days"))</f>
        <v>More than 60 days</v>
      </c>
      <c r="S270" t="s">
        <v>1550</v>
      </c>
      <c r="T270" s="43" t="s">
        <v>2229</v>
      </c>
      <c r="U270" t="s">
        <v>3699</v>
      </c>
    </row>
    <row r="271" spans="1:21" x14ac:dyDescent="0.3">
      <c r="A271" t="s">
        <v>837</v>
      </c>
      <c r="B271" t="s">
        <v>30</v>
      </c>
      <c r="C271" t="s">
        <v>1509</v>
      </c>
      <c r="D271" s="15">
        <v>2000</v>
      </c>
      <c r="E271" s="7">
        <v>172.5</v>
      </c>
      <c r="H271">
        <v>36997</v>
      </c>
      <c r="I271" t="s">
        <v>362</v>
      </c>
      <c r="J271" t="s">
        <v>1281</v>
      </c>
      <c r="K271" t="s">
        <v>3</v>
      </c>
      <c r="L271" s="2">
        <v>43191</v>
      </c>
      <c r="M271" s="2">
        <f>DHMXX[[#This Row],[INV DOC DATE]]+30</f>
        <v>43221</v>
      </c>
      <c r="N271" s="2">
        <v>43221</v>
      </c>
      <c r="O271" s="7">
        <v>172.5</v>
      </c>
      <c r="P271" s="2">
        <v>43227</v>
      </c>
      <c r="Q271" s="7">
        <f>$E271-$O271</f>
        <v>0</v>
      </c>
      <c r="R271" s="7" t="str">
        <f ca="1">IF(TODAY() - DHMXX[INV DUE DATE]&lt;30, "Less than 30 days",IF(TODAY()-DHMXX[INV DUE DATE]&lt;60,"30-60 days","More than 60 days"))</f>
        <v>More than 60 days</v>
      </c>
      <c r="S271" t="s">
        <v>1550</v>
      </c>
      <c r="T271" s="43" t="s">
        <v>2229</v>
      </c>
      <c r="U271" t="s">
        <v>3699</v>
      </c>
    </row>
    <row r="272" spans="1:21" x14ac:dyDescent="0.3">
      <c r="A272" t="s">
        <v>837</v>
      </c>
      <c r="B272" t="s">
        <v>30</v>
      </c>
      <c r="C272" t="s">
        <v>1510</v>
      </c>
      <c r="D272" s="15">
        <v>2000</v>
      </c>
      <c r="E272" s="7">
        <v>172.5</v>
      </c>
      <c r="H272">
        <v>36997</v>
      </c>
      <c r="I272" t="s">
        <v>361</v>
      </c>
      <c r="J272" t="s">
        <v>1282</v>
      </c>
      <c r="K272" t="s">
        <v>3</v>
      </c>
      <c r="L272" s="2">
        <v>43191</v>
      </c>
      <c r="M272" s="2">
        <f>DHMXX[[#This Row],[INV DOC DATE]]+30</f>
        <v>43221</v>
      </c>
      <c r="N272" s="2">
        <v>43221</v>
      </c>
      <c r="O272" s="7">
        <v>172.5</v>
      </c>
      <c r="P272" s="2">
        <v>43227</v>
      </c>
      <c r="Q272" s="7">
        <f>$E272-$O272</f>
        <v>0</v>
      </c>
      <c r="R272" s="7" t="str">
        <f ca="1">IF(TODAY() - DHMXX[INV DUE DATE]&lt;30, "Less than 30 days",IF(TODAY()-DHMXX[INV DUE DATE]&lt;60,"30-60 days","More than 60 days"))</f>
        <v>More than 60 days</v>
      </c>
      <c r="S272" t="s">
        <v>1550</v>
      </c>
      <c r="T272" s="43" t="s">
        <v>2229</v>
      </c>
      <c r="U272" t="s">
        <v>3699</v>
      </c>
    </row>
    <row r="273" spans="1:21" x14ac:dyDescent="0.3">
      <c r="A273" t="s">
        <v>837</v>
      </c>
      <c r="B273" t="s">
        <v>30</v>
      </c>
      <c r="C273" t="s">
        <v>1511</v>
      </c>
      <c r="D273" s="15">
        <v>2000</v>
      </c>
      <c r="E273" s="7">
        <v>172.5</v>
      </c>
      <c r="H273">
        <v>36997</v>
      </c>
      <c r="I273" t="s">
        <v>361</v>
      </c>
      <c r="J273" t="s">
        <v>1283</v>
      </c>
      <c r="K273" t="s">
        <v>3</v>
      </c>
      <c r="L273" s="2">
        <v>43191</v>
      </c>
      <c r="M273" s="2">
        <f>DHMXX[[#This Row],[INV DOC DATE]]+30</f>
        <v>43221</v>
      </c>
      <c r="N273" s="2">
        <v>43221</v>
      </c>
      <c r="O273" s="7">
        <v>172.5</v>
      </c>
      <c r="P273" s="2">
        <v>43227</v>
      </c>
      <c r="Q273" s="7">
        <f>$E273-$O273</f>
        <v>0</v>
      </c>
      <c r="R273" s="7" t="str">
        <f ca="1">IF(TODAY() - DHMXX[INV DUE DATE]&lt;30, "Less than 30 days",IF(TODAY()-DHMXX[INV DUE DATE]&lt;60,"30-60 days","More than 60 days"))</f>
        <v>More than 60 days</v>
      </c>
      <c r="S273" t="s">
        <v>1550</v>
      </c>
      <c r="T273" s="43" t="s">
        <v>2229</v>
      </c>
      <c r="U273" t="s">
        <v>3699</v>
      </c>
    </row>
    <row r="274" spans="1:21" x14ac:dyDescent="0.3">
      <c r="A274" t="s">
        <v>837</v>
      </c>
      <c r="B274" t="s">
        <v>30</v>
      </c>
      <c r="C274" t="s">
        <v>1512</v>
      </c>
      <c r="D274" s="15">
        <v>2000</v>
      </c>
      <c r="E274" s="7">
        <v>172.5</v>
      </c>
      <c r="H274">
        <v>36997</v>
      </c>
      <c r="I274" t="s">
        <v>361</v>
      </c>
      <c r="J274" t="s">
        <v>1284</v>
      </c>
      <c r="K274" t="s">
        <v>3</v>
      </c>
      <c r="L274" s="2">
        <v>43191</v>
      </c>
      <c r="M274" s="2">
        <f>DHMXX[[#This Row],[INV DOC DATE]]+30</f>
        <v>43221</v>
      </c>
      <c r="N274" s="2">
        <v>43221</v>
      </c>
      <c r="O274" s="7">
        <v>172.5</v>
      </c>
      <c r="P274" s="2">
        <v>43227</v>
      </c>
      <c r="Q274" s="7">
        <f>$E274-$O274</f>
        <v>0</v>
      </c>
      <c r="R274" s="7" t="str">
        <f ca="1">IF(TODAY() - DHMXX[INV DUE DATE]&lt;30, "Less than 30 days",IF(TODAY()-DHMXX[INV DUE DATE]&lt;60,"30-60 days","More than 60 days"))</f>
        <v>More than 60 days</v>
      </c>
      <c r="S274" t="s">
        <v>1550</v>
      </c>
      <c r="T274" s="43" t="s">
        <v>2229</v>
      </c>
      <c r="U274" t="s">
        <v>3699</v>
      </c>
    </row>
    <row r="275" spans="1:21" x14ac:dyDescent="0.3">
      <c r="A275" t="s">
        <v>837</v>
      </c>
      <c r="B275" t="s">
        <v>30</v>
      </c>
      <c r="C275" t="s">
        <v>1513</v>
      </c>
      <c r="D275" s="15">
        <v>2000</v>
      </c>
      <c r="E275" s="7">
        <v>172.5</v>
      </c>
      <c r="H275">
        <v>36997</v>
      </c>
      <c r="I275" t="s">
        <v>361</v>
      </c>
      <c r="J275" t="s">
        <v>1285</v>
      </c>
      <c r="K275" t="s">
        <v>3</v>
      </c>
      <c r="L275" s="2">
        <v>43191</v>
      </c>
      <c r="M275" s="2">
        <f>DHMXX[[#This Row],[INV DOC DATE]]+30</f>
        <v>43221</v>
      </c>
      <c r="N275" s="2">
        <v>43221</v>
      </c>
      <c r="O275" s="7">
        <v>172.5</v>
      </c>
      <c r="P275" s="2">
        <v>43227</v>
      </c>
      <c r="Q275" s="7">
        <f>$E275-$O275</f>
        <v>0</v>
      </c>
      <c r="R275" s="7" t="str">
        <f ca="1">IF(TODAY() - DHMXX[INV DUE DATE]&lt;30, "Less than 30 days",IF(TODAY()-DHMXX[INV DUE DATE]&lt;60,"30-60 days","More than 60 days"))</f>
        <v>More than 60 days</v>
      </c>
      <c r="S275" t="s">
        <v>1550</v>
      </c>
      <c r="T275" s="43" t="s">
        <v>2229</v>
      </c>
      <c r="U275" t="s">
        <v>3699</v>
      </c>
    </row>
    <row r="276" spans="1:21" x14ac:dyDescent="0.3">
      <c r="A276" t="s">
        <v>837</v>
      </c>
      <c r="B276" t="s">
        <v>30</v>
      </c>
      <c r="C276" t="s">
        <v>1514</v>
      </c>
      <c r="D276" s="15">
        <v>2000</v>
      </c>
      <c r="E276" s="7">
        <v>172.5</v>
      </c>
      <c r="H276">
        <v>36997</v>
      </c>
      <c r="I276" t="s">
        <v>361</v>
      </c>
      <c r="J276" t="s">
        <v>1286</v>
      </c>
      <c r="K276" t="s">
        <v>3</v>
      </c>
      <c r="L276" s="2">
        <v>43191</v>
      </c>
      <c r="M276" s="2">
        <f>DHMXX[[#This Row],[INV DOC DATE]]+30</f>
        <v>43221</v>
      </c>
      <c r="N276" s="2">
        <v>43221</v>
      </c>
      <c r="O276" s="7">
        <v>172.5</v>
      </c>
      <c r="P276" s="2">
        <v>43227</v>
      </c>
      <c r="Q276" s="7">
        <f>$E276-$O276</f>
        <v>0</v>
      </c>
      <c r="R276" s="7" t="str">
        <f ca="1">IF(TODAY() - DHMXX[INV DUE DATE]&lt;30, "Less than 30 days",IF(TODAY()-DHMXX[INV DUE DATE]&lt;60,"30-60 days","More than 60 days"))</f>
        <v>More than 60 days</v>
      </c>
      <c r="S276" t="s">
        <v>1550</v>
      </c>
      <c r="T276" s="43" t="s">
        <v>2229</v>
      </c>
      <c r="U276" t="s">
        <v>3699</v>
      </c>
    </row>
    <row r="277" spans="1:21" x14ac:dyDescent="0.3">
      <c r="A277" t="s">
        <v>837</v>
      </c>
      <c r="B277" t="s">
        <v>30</v>
      </c>
      <c r="C277" t="s">
        <v>1515</v>
      </c>
      <c r="D277" s="15">
        <v>2000</v>
      </c>
      <c r="E277" s="7">
        <v>172.5</v>
      </c>
      <c r="H277">
        <v>36997</v>
      </c>
      <c r="I277" t="s">
        <v>362</v>
      </c>
      <c r="J277" t="s">
        <v>1287</v>
      </c>
      <c r="K277" t="s">
        <v>3</v>
      </c>
      <c r="L277" s="2">
        <v>43191</v>
      </c>
      <c r="M277" s="2">
        <f>DHMXX[[#This Row],[INV DOC DATE]]+30</f>
        <v>43221</v>
      </c>
      <c r="N277" s="2">
        <v>43221</v>
      </c>
      <c r="O277" s="7">
        <v>172.5</v>
      </c>
      <c r="P277" s="2">
        <v>43227</v>
      </c>
      <c r="Q277" s="7">
        <f>$E277-$O277</f>
        <v>0</v>
      </c>
      <c r="R277" s="7" t="str">
        <f ca="1">IF(TODAY() - DHMXX[INV DUE DATE]&lt;30, "Less than 30 days",IF(TODAY()-DHMXX[INV DUE DATE]&lt;60,"30-60 days","More than 60 days"))</f>
        <v>More than 60 days</v>
      </c>
      <c r="S277" t="s">
        <v>1550</v>
      </c>
      <c r="T277" s="43" t="s">
        <v>2229</v>
      </c>
      <c r="U277" t="s">
        <v>3699</v>
      </c>
    </row>
    <row r="278" spans="1:21" x14ac:dyDescent="0.3">
      <c r="A278" t="s">
        <v>837</v>
      </c>
      <c r="B278" t="s">
        <v>30</v>
      </c>
      <c r="C278" t="s">
        <v>1516</v>
      </c>
      <c r="D278" s="15">
        <v>2000</v>
      </c>
      <c r="E278" s="7">
        <v>172.5</v>
      </c>
      <c r="H278">
        <v>37463</v>
      </c>
      <c r="I278" t="s">
        <v>866</v>
      </c>
      <c r="J278" t="s">
        <v>1288</v>
      </c>
      <c r="K278" t="s">
        <v>3</v>
      </c>
      <c r="L278" s="2">
        <v>43191</v>
      </c>
      <c r="M278" s="2">
        <f>DHMXX[[#This Row],[INV DOC DATE]]+30</f>
        <v>43221</v>
      </c>
      <c r="N278" s="2">
        <v>43221</v>
      </c>
      <c r="O278" s="7">
        <v>172.5</v>
      </c>
      <c r="P278" s="2">
        <v>43227</v>
      </c>
      <c r="Q278" s="7">
        <f>$E278-$O278</f>
        <v>0</v>
      </c>
      <c r="R278" s="7" t="str">
        <f ca="1">IF(TODAY() - DHMXX[INV DUE DATE]&lt;30, "Less than 30 days",IF(TODAY()-DHMXX[INV DUE DATE]&lt;60,"30-60 days","More than 60 days"))</f>
        <v>More than 60 days</v>
      </c>
      <c r="S278" t="s">
        <v>1550</v>
      </c>
      <c r="T278" s="43" t="s">
        <v>2229</v>
      </c>
      <c r="U278" t="s">
        <v>3699</v>
      </c>
    </row>
    <row r="279" spans="1:21" x14ac:dyDescent="0.3">
      <c r="A279" t="s">
        <v>837</v>
      </c>
      <c r="B279" t="s">
        <v>30</v>
      </c>
      <c r="C279" t="s">
        <v>1517</v>
      </c>
      <c r="D279" s="15">
        <v>2000</v>
      </c>
      <c r="E279" s="7">
        <v>172.5</v>
      </c>
      <c r="H279">
        <v>37463</v>
      </c>
      <c r="I279" t="s">
        <v>866</v>
      </c>
      <c r="J279" t="s">
        <v>1289</v>
      </c>
      <c r="K279" t="s">
        <v>3</v>
      </c>
      <c r="L279" s="2">
        <v>43191</v>
      </c>
      <c r="M279" s="2">
        <f>DHMXX[[#This Row],[INV DOC DATE]]+30</f>
        <v>43221</v>
      </c>
      <c r="N279" s="2">
        <v>43221</v>
      </c>
      <c r="O279" s="7">
        <v>172.5</v>
      </c>
      <c r="P279" s="2">
        <v>43227</v>
      </c>
      <c r="Q279" s="7">
        <f>$E279-$O279</f>
        <v>0</v>
      </c>
      <c r="R279" s="7" t="str">
        <f ca="1">IF(TODAY() - DHMXX[INV DUE DATE]&lt;30, "Less than 30 days",IF(TODAY()-DHMXX[INV DUE DATE]&lt;60,"30-60 days","More than 60 days"))</f>
        <v>More than 60 days</v>
      </c>
      <c r="S279" t="s">
        <v>1550</v>
      </c>
      <c r="T279" s="43" t="s">
        <v>2229</v>
      </c>
      <c r="U279" t="s">
        <v>3699</v>
      </c>
    </row>
    <row r="280" spans="1:21" x14ac:dyDescent="0.3">
      <c r="A280" t="s">
        <v>837</v>
      </c>
      <c r="B280" t="s">
        <v>30</v>
      </c>
      <c r="C280" t="s">
        <v>1518</v>
      </c>
      <c r="D280" s="15">
        <v>2000</v>
      </c>
      <c r="E280" s="7">
        <v>172.5</v>
      </c>
      <c r="H280">
        <v>37463</v>
      </c>
      <c r="I280" t="s">
        <v>866</v>
      </c>
      <c r="J280" t="s">
        <v>1290</v>
      </c>
      <c r="K280" t="s">
        <v>3</v>
      </c>
      <c r="L280" s="2">
        <v>43191</v>
      </c>
      <c r="M280" s="2">
        <f>DHMXX[[#This Row],[INV DOC DATE]]+30</f>
        <v>43221</v>
      </c>
      <c r="N280" s="2">
        <v>43221</v>
      </c>
      <c r="O280" s="7">
        <v>172.5</v>
      </c>
      <c r="P280" s="2">
        <v>43227</v>
      </c>
      <c r="Q280" s="7">
        <f>$E280-$O280</f>
        <v>0</v>
      </c>
      <c r="R280" s="7" t="str">
        <f ca="1">IF(TODAY() - DHMXX[INV DUE DATE]&lt;30, "Less than 30 days",IF(TODAY()-DHMXX[INV DUE DATE]&lt;60,"30-60 days","More than 60 days"))</f>
        <v>More than 60 days</v>
      </c>
      <c r="S280" t="s">
        <v>1550</v>
      </c>
      <c r="T280" s="43" t="s">
        <v>2229</v>
      </c>
      <c r="U280" t="s">
        <v>3699</v>
      </c>
    </row>
    <row r="281" spans="1:21" x14ac:dyDescent="0.3">
      <c r="A281" t="s">
        <v>837</v>
      </c>
      <c r="B281" t="s">
        <v>30</v>
      </c>
      <c r="C281" t="s">
        <v>1519</v>
      </c>
      <c r="D281" s="15">
        <v>2000</v>
      </c>
      <c r="E281" s="7">
        <v>172.5</v>
      </c>
      <c r="H281">
        <v>37463</v>
      </c>
      <c r="I281" t="s">
        <v>866</v>
      </c>
      <c r="J281" t="s">
        <v>1291</v>
      </c>
      <c r="K281" t="s">
        <v>3</v>
      </c>
      <c r="L281" s="2">
        <v>43191</v>
      </c>
      <c r="M281" s="2">
        <f>DHMXX[[#This Row],[INV DOC DATE]]+30</f>
        <v>43221</v>
      </c>
      <c r="N281" s="2">
        <v>43221</v>
      </c>
      <c r="O281" s="21">
        <v>172.5</v>
      </c>
      <c r="P281" s="18">
        <v>43227</v>
      </c>
      <c r="Q281" s="7">
        <f>$E281-$O281</f>
        <v>0</v>
      </c>
      <c r="R281" s="7" t="str">
        <f ca="1">IF(TODAY() - DHMXX[INV DUE DATE]&lt;30, "Less than 30 days",IF(TODAY()-DHMXX[INV DUE DATE]&lt;60,"30-60 days","More than 60 days"))</f>
        <v>More than 60 days</v>
      </c>
      <c r="S281" t="s">
        <v>1550</v>
      </c>
      <c r="T281" s="43" t="s">
        <v>2229</v>
      </c>
      <c r="U281" t="s">
        <v>3699</v>
      </c>
    </row>
    <row r="282" spans="1:21" x14ac:dyDescent="0.3">
      <c r="A282" t="s">
        <v>837</v>
      </c>
      <c r="B282" t="s">
        <v>30</v>
      </c>
      <c r="C282" t="s">
        <v>1520</v>
      </c>
      <c r="D282" s="15">
        <v>2000</v>
      </c>
      <c r="E282" s="7">
        <v>172.5</v>
      </c>
      <c r="H282">
        <v>37463</v>
      </c>
      <c r="I282" t="s">
        <v>866</v>
      </c>
      <c r="J282" t="s">
        <v>1292</v>
      </c>
      <c r="K282" t="s">
        <v>3</v>
      </c>
      <c r="L282" s="2">
        <v>43191</v>
      </c>
      <c r="M282" s="2">
        <f>DHMXX[[#This Row],[INV DOC DATE]]+30</f>
        <v>43221</v>
      </c>
      <c r="N282" s="2">
        <v>43221</v>
      </c>
      <c r="O282" s="7">
        <v>172.5</v>
      </c>
      <c r="P282" s="2">
        <v>43227</v>
      </c>
      <c r="Q282" s="7">
        <f>$E282-$O282</f>
        <v>0</v>
      </c>
      <c r="R282" s="7" t="str">
        <f ca="1">IF(TODAY() - DHMXX[INV DUE DATE]&lt;30, "Less than 30 days",IF(TODAY()-DHMXX[INV DUE DATE]&lt;60,"30-60 days","More than 60 days"))</f>
        <v>More than 60 days</v>
      </c>
      <c r="S282" t="s">
        <v>1550</v>
      </c>
      <c r="T282" s="43" t="s">
        <v>2229</v>
      </c>
      <c r="U282" t="s">
        <v>3699</v>
      </c>
    </row>
    <row r="283" spans="1:21" x14ac:dyDescent="0.3">
      <c r="A283" t="s">
        <v>837</v>
      </c>
      <c r="B283" t="s">
        <v>30</v>
      </c>
      <c r="C283" t="s">
        <v>1521</v>
      </c>
      <c r="D283" s="15">
        <v>2000</v>
      </c>
      <c r="E283" s="7">
        <v>172.5</v>
      </c>
      <c r="H283">
        <v>37463</v>
      </c>
      <c r="I283" t="s">
        <v>866</v>
      </c>
      <c r="J283" t="s">
        <v>1293</v>
      </c>
      <c r="K283" t="s">
        <v>3</v>
      </c>
      <c r="L283" s="2">
        <v>43191</v>
      </c>
      <c r="M283" s="2">
        <f>DHMXX[[#This Row],[INV DOC DATE]]+30</f>
        <v>43221</v>
      </c>
      <c r="N283" s="2">
        <v>43221</v>
      </c>
      <c r="O283" s="7">
        <v>172.5</v>
      </c>
      <c r="P283" s="2">
        <v>43227</v>
      </c>
      <c r="Q283" s="7">
        <f>$E283-$O283</f>
        <v>0</v>
      </c>
      <c r="R283" s="7" t="str">
        <f ca="1">IF(TODAY() - DHMXX[INV DUE DATE]&lt;30, "Less than 30 days",IF(TODAY()-DHMXX[INV DUE DATE]&lt;60,"30-60 days","More than 60 days"))</f>
        <v>More than 60 days</v>
      </c>
      <c r="S283" t="s">
        <v>1550</v>
      </c>
      <c r="T283" s="43" t="s">
        <v>2229</v>
      </c>
      <c r="U283" t="s">
        <v>3699</v>
      </c>
    </row>
    <row r="284" spans="1:21" x14ac:dyDescent="0.3">
      <c r="A284" t="s">
        <v>837</v>
      </c>
      <c r="B284" t="s">
        <v>30</v>
      </c>
      <c r="C284" t="s">
        <v>1522</v>
      </c>
      <c r="D284" s="15">
        <v>2000</v>
      </c>
      <c r="E284" s="7">
        <v>172.5</v>
      </c>
      <c r="H284">
        <v>37463</v>
      </c>
      <c r="I284" t="s">
        <v>866</v>
      </c>
      <c r="J284" t="s">
        <v>1294</v>
      </c>
      <c r="K284" t="s">
        <v>3</v>
      </c>
      <c r="L284" s="2">
        <v>43191</v>
      </c>
      <c r="M284" s="2">
        <f>DHMXX[[#This Row],[INV DOC DATE]]+30</f>
        <v>43221</v>
      </c>
      <c r="N284" s="2">
        <v>43221</v>
      </c>
      <c r="O284" s="7">
        <v>172.5</v>
      </c>
      <c r="P284" s="2">
        <v>43227</v>
      </c>
      <c r="Q284" s="7">
        <f>$E284-$O284</f>
        <v>0</v>
      </c>
      <c r="R284" s="7" t="str">
        <f ca="1">IF(TODAY() - DHMXX[INV DUE DATE]&lt;30, "Less than 30 days",IF(TODAY()-DHMXX[INV DUE DATE]&lt;60,"30-60 days","More than 60 days"))</f>
        <v>More than 60 days</v>
      </c>
      <c r="S284" t="s">
        <v>1550</v>
      </c>
      <c r="T284" s="43" t="s">
        <v>2229</v>
      </c>
      <c r="U284" t="s">
        <v>3699</v>
      </c>
    </row>
    <row r="285" spans="1:21" x14ac:dyDescent="0.3">
      <c r="A285" t="s">
        <v>837</v>
      </c>
      <c r="B285" t="s">
        <v>30</v>
      </c>
      <c r="C285" t="s">
        <v>1523</v>
      </c>
      <c r="D285" s="15">
        <v>2000</v>
      </c>
      <c r="E285" s="7">
        <v>172.5</v>
      </c>
      <c r="H285">
        <v>37463</v>
      </c>
      <c r="I285" t="s">
        <v>866</v>
      </c>
      <c r="J285" t="s">
        <v>1295</v>
      </c>
      <c r="K285" t="s">
        <v>3</v>
      </c>
      <c r="L285" s="2">
        <v>43191</v>
      </c>
      <c r="M285" s="2">
        <f>DHMXX[[#This Row],[INV DOC DATE]]+30</f>
        <v>43221</v>
      </c>
      <c r="N285" s="2">
        <v>43221</v>
      </c>
      <c r="O285" s="7">
        <v>172.5</v>
      </c>
      <c r="P285" s="2">
        <v>43227</v>
      </c>
      <c r="Q285" s="7">
        <f>$E285-$O285</f>
        <v>0</v>
      </c>
      <c r="R285" s="7" t="str">
        <f ca="1">IF(TODAY() - DHMXX[INV DUE DATE]&lt;30, "Less than 30 days",IF(TODAY()-DHMXX[INV DUE DATE]&lt;60,"30-60 days","More than 60 days"))</f>
        <v>More than 60 days</v>
      </c>
      <c r="S285" t="s">
        <v>1550</v>
      </c>
      <c r="T285" s="43" t="s">
        <v>2229</v>
      </c>
      <c r="U285" t="s">
        <v>3699</v>
      </c>
    </row>
    <row r="286" spans="1:21" x14ac:dyDescent="0.3">
      <c r="A286" t="s">
        <v>837</v>
      </c>
      <c r="B286" t="s">
        <v>30</v>
      </c>
      <c r="C286" t="s">
        <v>1524</v>
      </c>
      <c r="D286" s="15">
        <v>2000</v>
      </c>
      <c r="E286" s="7">
        <v>172.5</v>
      </c>
      <c r="H286">
        <v>37463</v>
      </c>
      <c r="I286" t="s">
        <v>866</v>
      </c>
      <c r="J286" t="s">
        <v>1296</v>
      </c>
      <c r="K286" t="s">
        <v>3</v>
      </c>
      <c r="L286" s="2">
        <v>43191</v>
      </c>
      <c r="M286" s="2">
        <f>DHMXX[[#This Row],[INV DOC DATE]]+30</f>
        <v>43221</v>
      </c>
      <c r="N286" s="2">
        <v>43221</v>
      </c>
      <c r="O286" s="7">
        <v>172.5</v>
      </c>
      <c r="P286" s="2">
        <v>43227</v>
      </c>
      <c r="Q286" s="7">
        <f>$E286-$O286</f>
        <v>0</v>
      </c>
      <c r="R286" s="7" t="str">
        <f ca="1">IF(TODAY() - DHMXX[INV DUE DATE]&lt;30, "Less than 30 days",IF(TODAY()-DHMXX[INV DUE DATE]&lt;60,"30-60 days","More than 60 days"))</f>
        <v>More than 60 days</v>
      </c>
      <c r="S286" t="s">
        <v>1550</v>
      </c>
      <c r="T286" s="43" t="s">
        <v>2229</v>
      </c>
      <c r="U286" t="s">
        <v>3699</v>
      </c>
    </row>
    <row r="287" spans="1:21" x14ac:dyDescent="0.3">
      <c r="A287" t="s">
        <v>837</v>
      </c>
      <c r="B287" t="s">
        <v>30</v>
      </c>
      <c r="C287" t="s">
        <v>1525</v>
      </c>
      <c r="D287" s="15">
        <v>2000</v>
      </c>
      <c r="E287" s="7">
        <v>172.5</v>
      </c>
      <c r="H287">
        <v>37463</v>
      </c>
      <c r="I287" t="s">
        <v>866</v>
      </c>
      <c r="J287" t="s">
        <v>1297</v>
      </c>
      <c r="K287" t="s">
        <v>3</v>
      </c>
      <c r="L287" s="2">
        <v>43191</v>
      </c>
      <c r="M287" s="2">
        <f>DHMXX[[#This Row],[INV DOC DATE]]+30</f>
        <v>43221</v>
      </c>
      <c r="N287" s="2">
        <v>43221</v>
      </c>
      <c r="O287" s="7">
        <v>172.5</v>
      </c>
      <c r="P287" s="2">
        <v>43227</v>
      </c>
      <c r="Q287" s="7">
        <f>$E287-$O287</f>
        <v>0</v>
      </c>
      <c r="R287" s="7" t="str">
        <f ca="1">IF(TODAY() - DHMXX[INV DUE DATE]&lt;30, "Less than 30 days",IF(TODAY()-DHMXX[INV DUE DATE]&lt;60,"30-60 days","More than 60 days"))</f>
        <v>More than 60 days</v>
      </c>
      <c r="S287" t="s">
        <v>1550</v>
      </c>
      <c r="T287" s="43" t="s">
        <v>2229</v>
      </c>
      <c r="U287" t="s">
        <v>3699</v>
      </c>
    </row>
    <row r="288" spans="1:21" x14ac:dyDescent="0.3">
      <c r="A288" t="s">
        <v>837</v>
      </c>
      <c r="B288" t="s">
        <v>30</v>
      </c>
      <c r="C288" t="s">
        <v>35</v>
      </c>
      <c r="D288" s="15">
        <v>2000</v>
      </c>
      <c r="E288" s="7">
        <v>172.5</v>
      </c>
      <c r="H288">
        <v>37912</v>
      </c>
      <c r="I288" t="s">
        <v>362</v>
      </c>
      <c r="J288" t="s">
        <v>1298</v>
      </c>
      <c r="K288" t="s">
        <v>3</v>
      </c>
      <c r="L288" s="2">
        <v>43191</v>
      </c>
      <c r="M288" s="2">
        <f>DHMXX[[#This Row],[INV DOC DATE]]+30</f>
        <v>43221</v>
      </c>
      <c r="N288" s="2">
        <v>43221</v>
      </c>
      <c r="O288" s="7">
        <v>172.5</v>
      </c>
      <c r="P288" s="2">
        <v>43227</v>
      </c>
      <c r="Q288" s="7">
        <f>$E288-$O288</f>
        <v>0</v>
      </c>
      <c r="R288" s="7" t="str">
        <f ca="1">IF(TODAY() - DHMXX[INV DUE DATE]&lt;30, "Less than 30 days",IF(TODAY()-DHMXX[INV DUE DATE]&lt;60,"30-60 days","More than 60 days"))</f>
        <v>More than 60 days</v>
      </c>
      <c r="S288" t="s">
        <v>1550</v>
      </c>
      <c r="T288" s="43" t="s">
        <v>2229</v>
      </c>
      <c r="U288" t="s">
        <v>3699</v>
      </c>
    </row>
    <row r="289" spans="1:21" x14ac:dyDescent="0.3">
      <c r="A289" t="s">
        <v>837</v>
      </c>
      <c r="B289" t="s">
        <v>30</v>
      </c>
      <c r="C289" t="s">
        <v>1526</v>
      </c>
      <c r="D289" s="15">
        <v>2000</v>
      </c>
      <c r="E289" s="7">
        <v>172.5</v>
      </c>
      <c r="H289">
        <v>37912</v>
      </c>
      <c r="I289" t="s">
        <v>362</v>
      </c>
      <c r="J289" t="s">
        <v>1299</v>
      </c>
      <c r="K289" t="s">
        <v>3</v>
      </c>
      <c r="L289" s="2">
        <v>43191</v>
      </c>
      <c r="M289" s="2">
        <f>DHMXX[[#This Row],[INV DOC DATE]]+30</f>
        <v>43221</v>
      </c>
      <c r="N289" s="2">
        <v>43221</v>
      </c>
      <c r="O289" s="7">
        <v>172.5</v>
      </c>
      <c r="P289" s="2">
        <v>43227</v>
      </c>
      <c r="Q289" s="7">
        <f>$E289-$O289</f>
        <v>0</v>
      </c>
      <c r="R289" s="7" t="str">
        <f ca="1">IF(TODAY() - DHMXX[INV DUE DATE]&lt;30, "Less than 30 days",IF(TODAY()-DHMXX[INV DUE DATE]&lt;60,"30-60 days","More than 60 days"))</f>
        <v>More than 60 days</v>
      </c>
      <c r="S289" t="s">
        <v>1550</v>
      </c>
      <c r="T289" s="43" t="s">
        <v>2229</v>
      </c>
      <c r="U289" t="s">
        <v>3699</v>
      </c>
    </row>
    <row r="290" spans="1:21" x14ac:dyDescent="0.3">
      <c r="A290" t="s">
        <v>837</v>
      </c>
      <c r="B290" t="s">
        <v>30</v>
      </c>
      <c r="C290" t="s">
        <v>1527</v>
      </c>
      <c r="D290" s="15">
        <v>2000</v>
      </c>
      <c r="E290" s="7">
        <v>172.5</v>
      </c>
      <c r="H290">
        <v>37912</v>
      </c>
      <c r="I290" t="s">
        <v>362</v>
      </c>
      <c r="J290" t="s">
        <v>1300</v>
      </c>
      <c r="K290" t="s">
        <v>3</v>
      </c>
      <c r="L290" s="2">
        <v>43191</v>
      </c>
      <c r="M290" s="2">
        <f>DHMXX[[#This Row],[INV DOC DATE]]+30</f>
        <v>43221</v>
      </c>
      <c r="N290" s="2">
        <v>43221</v>
      </c>
      <c r="O290" s="7">
        <v>172.5</v>
      </c>
      <c r="P290" s="2">
        <v>43227</v>
      </c>
      <c r="Q290" s="7">
        <f>$E290-$O290</f>
        <v>0</v>
      </c>
      <c r="R290" s="7" t="str">
        <f ca="1">IF(TODAY() - DHMXX[INV DUE DATE]&lt;30, "Less than 30 days",IF(TODAY()-DHMXX[INV DUE DATE]&lt;60,"30-60 days","More than 60 days"))</f>
        <v>More than 60 days</v>
      </c>
      <c r="S290" t="s">
        <v>1550</v>
      </c>
      <c r="T290" s="43" t="s">
        <v>2229</v>
      </c>
      <c r="U290" t="s">
        <v>3699</v>
      </c>
    </row>
    <row r="291" spans="1:21" x14ac:dyDescent="0.3">
      <c r="A291" t="s">
        <v>837</v>
      </c>
      <c r="B291" t="s">
        <v>30</v>
      </c>
      <c r="C291" t="s">
        <v>1528</v>
      </c>
      <c r="D291" s="15">
        <v>2000</v>
      </c>
      <c r="E291" s="7">
        <v>172.5</v>
      </c>
      <c r="H291">
        <v>37912</v>
      </c>
      <c r="I291" t="s">
        <v>362</v>
      </c>
      <c r="J291" t="s">
        <v>1301</v>
      </c>
      <c r="K291" t="s">
        <v>3</v>
      </c>
      <c r="L291" s="2">
        <v>43191</v>
      </c>
      <c r="M291" s="2">
        <f>DHMXX[[#This Row],[INV DOC DATE]]+30</f>
        <v>43221</v>
      </c>
      <c r="N291" s="2">
        <v>43221</v>
      </c>
      <c r="O291" s="7">
        <v>172.5</v>
      </c>
      <c r="P291" s="2">
        <v>43227</v>
      </c>
      <c r="Q291" s="7">
        <f>$E291-$O291</f>
        <v>0</v>
      </c>
      <c r="R291" s="7" t="str">
        <f ca="1">IF(TODAY() - DHMXX[INV DUE DATE]&lt;30, "Less than 30 days",IF(TODAY()-DHMXX[INV DUE DATE]&lt;60,"30-60 days","More than 60 days"))</f>
        <v>More than 60 days</v>
      </c>
      <c r="S291" t="s">
        <v>1550</v>
      </c>
      <c r="T291" s="43" t="s">
        <v>2229</v>
      </c>
      <c r="U291" t="s">
        <v>3699</v>
      </c>
    </row>
    <row r="292" spans="1:21" x14ac:dyDescent="0.3">
      <c r="A292" t="s">
        <v>837</v>
      </c>
      <c r="B292" t="s">
        <v>30</v>
      </c>
      <c r="C292" t="s">
        <v>1529</v>
      </c>
      <c r="D292" s="15">
        <v>2000</v>
      </c>
      <c r="E292" s="7">
        <v>172.5</v>
      </c>
      <c r="H292">
        <v>37912</v>
      </c>
      <c r="I292" t="s">
        <v>362</v>
      </c>
      <c r="J292" t="s">
        <v>1302</v>
      </c>
      <c r="K292" t="s">
        <v>3</v>
      </c>
      <c r="L292" s="2">
        <v>43191</v>
      </c>
      <c r="M292" s="2">
        <f>DHMXX[[#This Row],[INV DOC DATE]]+30</f>
        <v>43221</v>
      </c>
      <c r="N292" s="2">
        <v>43221</v>
      </c>
      <c r="O292" s="7">
        <v>172.5</v>
      </c>
      <c r="P292" s="2">
        <v>43227</v>
      </c>
      <c r="Q292" s="7">
        <f>$E292-$O292</f>
        <v>0</v>
      </c>
      <c r="R292" s="7" t="str">
        <f ca="1">IF(TODAY() - DHMXX[INV DUE DATE]&lt;30, "Less than 30 days",IF(TODAY()-DHMXX[INV DUE DATE]&lt;60,"30-60 days","More than 60 days"))</f>
        <v>More than 60 days</v>
      </c>
      <c r="S292" t="s">
        <v>1550</v>
      </c>
      <c r="T292" s="43" t="s">
        <v>2229</v>
      </c>
      <c r="U292" t="s">
        <v>3699</v>
      </c>
    </row>
    <row r="293" spans="1:21" x14ac:dyDescent="0.3">
      <c r="A293" t="s">
        <v>837</v>
      </c>
      <c r="B293" t="s">
        <v>30</v>
      </c>
      <c r="C293" t="s">
        <v>1530</v>
      </c>
      <c r="D293" s="15">
        <v>2000</v>
      </c>
      <c r="E293" s="7">
        <v>172.5</v>
      </c>
      <c r="H293">
        <v>37912</v>
      </c>
      <c r="I293" t="s">
        <v>362</v>
      </c>
      <c r="J293" t="s">
        <v>1303</v>
      </c>
      <c r="K293" t="s">
        <v>3</v>
      </c>
      <c r="L293" s="2">
        <v>43191</v>
      </c>
      <c r="M293" s="2">
        <f>DHMXX[[#This Row],[INV DOC DATE]]+30</f>
        <v>43221</v>
      </c>
      <c r="N293" s="2">
        <v>43221</v>
      </c>
      <c r="O293" s="7">
        <v>172.5</v>
      </c>
      <c r="P293" s="2">
        <v>43227</v>
      </c>
      <c r="Q293" s="7">
        <f>$E293-$O293</f>
        <v>0</v>
      </c>
      <c r="R293" s="7" t="str">
        <f ca="1">IF(TODAY() - DHMXX[INV DUE DATE]&lt;30, "Less than 30 days",IF(TODAY()-DHMXX[INV DUE DATE]&lt;60,"30-60 days","More than 60 days"))</f>
        <v>More than 60 days</v>
      </c>
      <c r="S293" t="s">
        <v>1550</v>
      </c>
      <c r="T293" s="43" t="s">
        <v>2229</v>
      </c>
      <c r="U293" t="s">
        <v>3699</v>
      </c>
    </row>
    <row r="294" spans="1:21" x14ac:dyDescent="0.3">
      <c r="A294" t="s">
        <v>837</v>
      </c>
      <c r="B294" t="s">
        <v>30</v>
      </c>
      <c r="C294" t="s">
        <v>1531</v>
      </c>
      <c r="D294" s="15">
        <v>2000</v>
      </c>
      <c r="E294" s="7">
        <v>172.5</v>
      </c>
      <c r="H294">
        <v>37912</v>
      </c>
      <c r="I294" t="s">
        <v>362</v>
      </c>
      <c r="J294" t="s">
        <v>1304</v>
      </c>
      <c r="K294" t="s">
        <v>3</v>
      </c>
      <c r="L294" s="2">
        <v>43191</v>
      </c>
      <c r="M294" s="2">
        <f>DHMXX[[#This Row],[INV DOC DATE]]+30</f>
        <v>43221</v>
      </c>
      <c r="N294" s="2">
        <v>43221</v>
      </c>
      <c r="O294" s="7">
        <v>172.5</v>
      </c>
      <c r="P294" s="2">
        <v>43227</v>
      </c>
      <c r="Q294" s="7">
        <f>$E294-$O294</f>
        <v>0</v>
      </c>
      <c r="R294" s="7" t="str">
        <f ca="1">IF(TODAY() - DHMXX[INV DUE DATE]&lt;30, "Less than 30 days",IF(TODAY()-DHMXX[INV DUE DATE]&lt;60,"30-60 days","More than 60 days"))</f>
        <v>More than 60 days</v>
      </c>
      <c r="S294" t="s">
        <v>1550</v>
      </c>
      <c r="T294" s="43" t="s">
        <v>2229</v>
      </c>
      <c r="U294" t="s">
        <v>3699</v>
      </c>
    </row>
    <row r="295" spans="1:21" x14ac:dyDescent="0.3">
      <c r="A295" t="s">
        <v>837</v>
      </c>
      <c r="B295" t="s">
        <v>30</v>
      </c>
      <c r="C295" t="s">
        <v>1532</v>
      </c>
      <c r="D295" s="15">
        <v>2000</v>
      </c>
      <c r="E295" s="7">
        <v>172.5</v>
      </c>
      <c r="H295">
        <v>37912</v>
      </c>
      <c r="I295" t="s">
        <v>362</v>
      </c>
      <c r="J295" t="s">
        <v>1305</v>
      </c>
      <c r="K295" t="s">
        <v>3</v>
      </c>
      <c r="L295" s="2">
        <v>43191</v>
      </c>
      <c r="M295" s="2">
        <f>DHMXX[[#This Row],[INV DOC DATE]]+30</f>
        <v>43221</v>
      </c>
      <c r="N295" s="2">
        <v>43221</v>
      </c>
      <c r="O295" s="7">
        <v>172.5</v>
      </c>
      <c r="P295" s="2">
        <v>43227</v>
      </c>
      <c r="Q295" s="7">
        <f>$E295-$O295</f>
        <v>0</v>
      </c>
      <c r="R295" s="7" t="str">
        <f ca="1">IF(TODAY() - DHMXX[INV DUE DATE]&lt;30, "Less than 30 days",IF(TODAY()-DHMXX[INV DUE DATE]&lt;60,"30-60 days","More than 60 days"))</f>
        <v>More than 60 days</v>
      </c>
      <c r="S295" t="s">
        <v>1550</v>
      </c>
      <c r="T295" s="43" t="s">
        <v>2229</v>
      </c>
      <c r="U295" t="s">
        <v>3699</v>
      </c>
    </row>
    <row r="296" spans="1:21" x14ac:dyDescent="0.3">
      <c r="A296" t="s">
        <v>837</v>
      </c>
      <c r="B296" t="s">
        <v>30</v>
      </c>
      <c r="C296" t="s">
        <v>1533</v>
      </c>
      <c r="D296" s="15">
        <v>2000</v>
      </c>
      <c r="E296" s="7">
        <v>172.5</v>
      </c>
      <c r="H296">
        <v>37912</v>
      </c>
      <c r="I296" t="s">
        <v>362</v>
      </c>
      <c r="J296" t="s">
        <v>1306</v>
      </c>
      <c r="K296" t="s">
        <v>3</v>
      </c>
      <c r="L296" s="2">
        <v>43191</v>
      </c>
      <c r="M296" s="2">
        <f>DHMXX[[#This Row],[INV DOC DATE]]+30</f>
        <v>43221</v>
      </c>
      <c r="N296" s="2">
        <v>43221</v>
      </c>
      <c r="O296" s="7">
        <v>172.5</v>
      </c>
      <c r="P296" s="2">
        <v>43227</v>
      </c>
      <c r="Q296" s="7">
        <f>$E296-$O296</f>
        <v>0</v>
      </c>
      <c r="R296" s="7" t="str">
        <f ca="1">IF(TODAY() - DHMXX[INV DUE DATE]&lt;30, "Less than 30 days",IF(TODAY()-DHMXX[INV DUE DATE]&lt;60,"30-60 days","More than 60 days"))</f>
        <v>More than 60 days</v>
      </c>
      <c r="S296" t="s">
        <v>1550</v>
      </c>
      <c r="T296" s="43" t="s">
        <v>2229</v>
      </c>
      <c r="U296" t="s">
        <v>3699</v>
      </c>
    </row>
    <row r="297" spans="1:21" x14ac:dyDescent="0.3">
      <c r="A297" t="s">
        <v>837</v>
      </c>
      <c r="B297" t="s">
        <v>30</v>
      </c>
      <c r="C297" t="s">
        <v>1534</v>
      </c>
      <c r="D297" s="15">
        <v>2000</v>
      </c>
      <c r="E297" s="7">
        <v>172.5</v>
      </c>
      <c r="H297">
        <v>37912</v>
      </c>
      <c r="I297" t="s">
        <v>362</v>
      </c>
      <c r="J297" t="s">
        <v>1307</v>
      </c>
      <c r="K297" t="s">
        <v>3</v>
      </c>
      <c r="L297" s="2">
        <v>43191</v>
      </c>
      <c r="M297" s="2">
        <f>DHMXX[[#This Row],[INV DOC DATE]]+30</f>
        <v>43221</v>
      </c>
      <c r="N297" s="2">
        <v>43221</v>
      </c>
      <c r="O297" s="7">
        <v>172.5</v>
      </c>
      <c r="P297" s="2">
        <v>43227</v>
      </c>
      <c r="Q297" s="7">
        <f>$E297-$O297</f>
        <v>0</v>
      </c>
      <c r="R297" s="7" t="str">
        <f ca="1">IF(TODAY() - DHMXX[INV DUE DATE]&lt;30, "Less than 30 days",IF(TODAY()-DHMXX[INV DUE DATE]&lt;60,"30-60 days","More than 60 days"))</f>
        <v>More than 60 days</v>
      </c>
      <c r="S297" t="s">
        <v>1550</v>
      </c>
      <c r="T297" s="43" t="s">
        <v>2229</v>
      </c>
      <c r="U297" t="s">
        <v>3699</v>
      </c>
    </row>
    <row r="298" spans="1:21" x14ac:dyDescent="0.3">
      <c r="A298" t="s">
        <v>837</v>
      </c>
      <c r="B298" t="s">
        <v>30</v>
      </c>
      <c r="C298" t="s">
        <v>1535</v>
      </c>
      <c r="D298" s="15">
        <v>2000</v>
      </c>
      <c r="E298" s="7">
        <v>172.5</v>
      </c>
      <c r="H298">
        <v>37912</v>
      </c>
      <c r="I298" t="s">
        <v>362</v>
      </c>
      <c r="J298" t="s">
        <v>1308</v>
      </c>
      <c r="K298" t="s">
        <v>3</v>
      </c>
      <c r="L298" s="2">
        <v>43191</v>
      </c>
      <c r="M298" s="2">
        <f>DHMXX[[#This Row],[INV DOC DATE]]+30</f>
        <v>43221</v>
      </c>
      <c r="N298" s="2">
        <v>43221</v>
      </c>
      <c r="O298" s="7">
        <v>172.5</v>
      </c>
      <c r="P298" s="2">
        <v>43227</v>
      </c>
      <c r="Q298" s="7">
        <f>$E298-$O298</f>
        <v>0</v>
      </c>
      <c r="R298" s="7" t="str">
        <f ca="1">IF(TODAY() - DHMXX[INV DUE DATE]&lt;30, "Less than 30 days",IF(TODAY()-DHMXX[INV DUE DATE]&lt;60,"30-60 days","More than 60 days"))</f>
        <v>More than 60 days</v>
      </c>
      <c r="S298" t="s">
        <v>1550</v>
      </c>
      <c r="T298" s="43" t="s">
        <v>2229</v>
      </c>
      <c r="U298" t="s">
        <v>3699</v>
      </c>
    </row>
    <row r="299" spans="1:21" x14ac:dyDescent="0.3">
      <c r="A299" t="s">
        <v>837</v>
      </c>
      <c r="B299" t="s">
        <v>30</v>
      </c>
      <c r="C299" t="s">
        <v>1536</v>
      </c>
      <c r="D299" s="15">
        <v>2000</v>
      </c>
      <c r="E299" s="7">
        <v>172.5</v>
      </c>
      <c r="H299">
        <v>82957</v>
      </c>
      <c r="I299" t="s">
        <v>867</v>
      </c>
      <c r="J299" t="s">
        <v>1309</v>
      </c>
      <c r="K299" t="s">
        <v>3</v>
      </c>
      <c r="L299" s="2">
        <v>43191</v>
      </c>
      <c r="M299" s="2">
        <f>DHMXX[[#This Row],[INV DOC DATE]]+30</f>
        <v>43221</v>
      </c>
      <c r="N299" s="2">
        <v>43221</v>
      </c>
      <c r="O299" s="7">
        <v>172.5</v>
      </c>
      <c r="P299" s="2">
        <v>43227</v>
      </c>
      <c r="Q299" s="7">
        <f>$E299-$O299</f>
        <v>0</v>
      </c>
      <c r="R299" s="7" t="str">
        <f ca="1">IF(TODAY() - DHMXX[INV DUE DATE]&lt;30, "Less than 30 days",IF(TODAY()-DHMXX[INV DUE DATE]&lt;60,"30-60 days","More than 60 days"))</f>
        <v>More than 60 days</v>
      </c>
      <c r="S299" t="s">
        <v>1550</v>
      </c>
      <c r="T299" s="43" t="s">
        <v>2229</v>
      </c>
      <c r="U299" t="s">
        <v>3699</v>
      </c>
    </row>
    <row r="300" spans="1:21" x14ac:dyDescent="0.3">
      <c r="A300" t="s">
        <v>837</v>
      </c>
      <c r="B300" t="s">
        <v>30</v>
      </c>
      <c r="C300" t="s">
        <v>1537</v>
      </c>
      <c r="D300" s="15">
        <v>2000</v>
      </c>
      <c r="E300" s="7">
        <v>172.5</v>
      </c>
      <c r="H300">
        <v>82957</v>
      </c>
      <c r="I300" t="s">
        <v>867</v>
      </c>
      <c r="J300" t="s">
        <v>1310</v>
      </c>
      <c r="K300" t="s">
        <v>3</v>
      </c>
      <c r="L300" s="2">
        <v>43191</v>
      </c>
      <c r="M300" s="2">
        <f>DHMXX[[#This Row],[INV DOC DATE]]+30</f>
        <v>43221</v>
      </c>
      <c r="N300" s="2">
        <v>43221</v>
      </c>
      <c r="O300" s="7">
        <v>172.5</v>
      </c>
      <c r="P300" s="2">
        <v>43227</v>
      </c>
      <c r="Q300" s="7">
        <f>$E300-$O300</f>
        <v>0</v>
      </c>
      <c r="R300" s="7" t="str">
        <f ca="1">IF(TODAY() - DHMXX[INV DUE DATE]&lt;30, "Less than 30 days",IF(TODAY()-DHMXX[INV DUE DATE]&lt;60,"30-60 days","More than 60 days"))</f>
        <v>More than 60 days</v>
      </c>
      <c r="S300" t="s">
        <v>1550</v>
      </c>
      <c r="T300" s="43" t="s">
        <v>2229</v>
      </c>
      <c r="U300" t="s">
        <v>3699</v>
      </c>
    </row>
    <row r="301" spans="1:21" x14ac:dyDescent="0.3">
      <c r="A301" t="s">
        <v>837</v>
      </c>
      <c r="B301" t="s">
        <v>30</v>
      </c>
      <c r="C301" t="s">
        <v>1538</v>
      </c>
      <c r="D301" s="15">
        <v>2000</v>
      </c>
      <c r="E301" s="7">
        <v>172.5</v>
      </c>
      <c r="H301">
        <v>82957</v>
      </c>
      <c r="I301" t="s">
        <v>867</v>
      </c>
      <c r="J301" t="s">
        <v>1311</v>
      </c>
      <c r="K301" t="s">
        <v>3</v>
      </c>
      <c r="L301" s="2">
        <v>43191</v>
      </c>
      <c r="M301" s="2">
        <f>DHMXX[[#This Row],[INV DOC DATE]]+30</f>
        <v>43221</v>
      </c>
      <c r="N301" s="2">
        <v>43221</v>
      </c>
      <c r="O301" s="7">
        <v>172.5</v>
      </c>
      <c r="P301" s="2">
        <v>43227</v>
      </c>
      <c r="Q301" s="7">
        <f>$E301-$O301</f>
        <v>0</v>
      </c>
      <c r="R301" s="7" t="str">
        <f ca="1">IF(TODAY() - DHMXX[INV DUE DATE]&lt;30, "Less than 30 days",IF(TODAY()-DHMXX[INV DUE DATE]&lt;60,"30-60 days","More than 60 days"))</f>
        <v>More than 60 days</v>
      </c>
      <c r="S301" t="s">
        <v>1550</v>
      </c>
      <c r="T301" s="43" t="s">
        <v>2229</v>
      </c>
      <c r="U301" t="s">
        <v>3699</v>
      </c>
    </row>
    <row r="302" spans="1:21" x14ac:dyDescent="0.3">
      <c r="A302" t="s">
        <v>837</v>
      </c>
      <c r="B302" t="s">
        <v>30</v>
      </c>
      <c r="C302" t="s">
        <v>1539</v>
      </c>
      <c r="D302" s="15">
        <v>2000</v>
      </c>
      <c r="E302" s="7">
        <v>172.5</v>
      </c>
      <c r="H302">
        <v>82957</v>
      </c>
      <c r="I302" t="s">
        <v>867</v>
      </c>
      <c r="J302" t="s">
        <v>1312</v>
      </c>
      <c r="K302" t="s">
        <v>3</v>
      </c>
      <c r="L302" s="2">
        <v>43191</v>
      </c>
      <c r="M302" s="2">
        <f>DHMXX[[#This Row],[INV DOC DATE]]+30</f>
        <v>43221</v>
      </c>
      <c r="N302" s="2">
        <v>43221</v>
      </c>
      <c r="O302" s="7">
        <v>172.5</v>
      </c>
      <c r="P302" s="2">
        <v>43227</v>
      </c>
      <c r="Q302" s="7">
        <f>$E302-$O302</f>
        <v>0</v>
      </c>
      <c r="R302" s="7" t="str">
        <f ca="1">IF(TODAY() - DHMXX[INV DUE DATE]&lt;30, "Less than 30 days",IF(TODAY()-DHMXX[INV DUE DATE]&lt;60,"30-60 days","More than 60 days"))</f>
        <v>More than 60 days</v>
      </c>
      <c r="S302" t="s">
        <v>1550</v>
      </c>
      <c r="T302" s="43" t="s">
        <v>2229</v>
      </c>
      <c r="U302" t="s">
        <v>3699</v>
      </c>
    </row>
    <row r="303" spans="1:21" x14ac:dyDescent="0.3">
      <c r="A303" t="s">
        <v>837</v>
      </c>
      <c r="B303" t="s">
        <v>30</v>
      </c>
      <c r="C303" t="s">
        <v>1540</v>
      </c>
      <c r="D303" s="15">
        <v>2000</v>
      </c>
      <c r="E303" s="7">
        <v>172.5</v>
      </c>
      <c r="H303">
        <v>82957</v>
      </c>
      <c r="I303" t="s">
        <v>867</v>
      </c>
      <c r="J303" t="s">
        <v>1313</v>
      </c>
      <c r="K303" t="s">
        <v>3</v>
      </c>
      <c r="L303" s="2">
        <v>43191</v>
      </c>
      <c r="M303" s="2">
        <f>DHMXX[[#This Row],[INV DOC DATE]]+30</f>
        <v>43221</v>
      </c>
      <c r="N303" s="2">
        <v>43221</v>
      </c>
      <c r="O303" s="7">
        <v>172.5</v>
      </c>
      <c r="P303" s="2">
        <v>43227</v>
      </c>
      <c r="Q303" s="7">
        <f>$E303-$O303</f>
        <v>0</v>
      </c>
      <c r="R303" s="7" t="str">
        <f ca="1">IF(TODAY() - DHMXX[INV DUE DATE]&lt;30, "Less than 30 days",IF(TODAY()-DHMXX[INV DUE DATE]&lt;60,"30-60 days","More than 60 days"))</f>
        <v>More than 60 days</v>
      </c>
      <c r="S303" t="s">
        <v>1550</v>
      </c>
      <c r="T303" s="43" t="s">
        <v>2229</v>
      </c>
      <c r="U303" t="s">
        <v>3699</v>
      </c>
    </row>
    <row r="304" spans="1:21" x14ac:dyDescent="0.3">
      <c r="A304" t="s">
        <v>837</v>
      </c>
      <c r="B304" t="s">
        <v>30</v>
      </c>
      <c r="C304" t="s">
        <v>1541</v>
      </c>
      <c r="D304" s="15">
        <v>2000</v>
      </c>
      <c r="E304" s="7">
        <v>172.5</v>
      </c>
      <c r="H304">
        <v>91299</v>
      </c>
      <c r="I304" t="s">
        <v>867</v>
      </c>
      <c r="J304" t="s">
        <v>1314</v>
      </c>
      <c r="K304" t="s">
        <v>3</v>
      </c>
      <c r="L304" s="2">
        <v>43191</v>
      </c>
      <c r="M304" s="2">
        <f>DHMXX[[#This Row],[INV DOC DATE]]+30</f>
        <v>43221</v>
      </c>
      <c r="N304" s="2">
        <v>43221</v>
      </c>
      <c r="O304" s="7">
        <v>172.5</v>
      </c>
      <c r="P304" s="2">
        <v>43227</v>
      </c>
      <c r="Q304" s="7">
        <f>$E304-$O304</f>
        <v>0</v>
      </c>
      <c r="R304" s="7" t="str">
        <f ca="1">IF(TODAY() - DHMXX[INV DUE DATE]&lt;30, "Less than 30 days",IF(TODAY()-DHMXX[INV DUE DATE]&lt;60,"30-60 days","More than 60 days"))</f>
        <v>More than 60 days</v>
      </c>
      <c r="S304" t="s">
        <v>1550</v>
      </c>
      <c r="T304" s="43" t="s">
        <v>2229</v>
      </c>
      <c r="U304" t="s">
        <v>3699</v>
      </c>
    </row>
    <row r="305" spans="1:21" x14ac:dyDescent="0.3">
      <c r="A305" s="1" t="s">
        <v>827</v>
      </c>
      <c r="B305" t="s">
        <v>32</v>
      </c>
      <c r="C305" t="s">
        <v>6</v>
      </c>
      <c r="D305" s="15">
        <v>1</v>
      </c>
      <c r="E305" s="7">
        <v>172.5</v>
      </c>
      <c r="F305" s="1">
        <v>31727649</v>
      </c>
      <c r="J305" s="1" t="s">
        <v>821</v>
      </c>
      <c r="K305" s="1" t="s">
        <v>3</v>
      </c>
      <c r="L305" s="2">
        <v>43191</v>
      </c>
      <c r="M305" s="2">
        <f>DHMXX[[#This Row],[INV DOC DATE]]+30</f>
        <v>43221</v>
      </c>
      <c r="N305" s="2">
        <v>43221</v>
      </c>
      <c r="O305" s="7">
        <v>172.5</v>
      </c>
      <c r="P305" s="2">
        <v>43227</v>
      </c>
      <c r="Q305" s="7">
        <f>$E305-$O305</f>
        <v>0</v>
      </c>
      <c r="R305" s="7" t="str">
        <f ca="1">IF(TODAY() - DHMXX[INV DUE DATE]&lt;30, "Less than 30 days",IF(TODAY()-DHMXX[INV DUE DATE]&lt;60,"30-60 days","More than 60 days"))</f>
        <v>More than 60 days</v>
      </c>
      <c r="S305" t="s">
        <v>1550</v>
      </c>
      <c r="T305" s="43" t="s">
        <v>2229</v>
      </c>
      <c r="U305" t="s">
        <v>3699</v>
      </c>
    </row>
    <row r="306" spans="1:21" x14ac:dyDescent="0.3">
      <c r="A306" s="1" t="s">
        <v>827</v>
      </c>
      <c r="B306" t="s">
        <v>32</v>
      </c>
      <c r="C306" t="s">
        <v>7</v>
      </c>
      <c r="D306" s="15">
        <v>1</v>
      </c>
      <c r="E306" s="7">
        <v>172.5</v>
      </c>
      <c r="F306" s="1">
        <v>31727649</v>
      </c>
      <c r="J306" s="1" t="s">
        <v>822</v>
      </c>
      <c r="K306" s="1" t="s">
        <v>3</v>
      </c>
      <c r="L306" s="2">
        <v>43191</v>
      </c>
      <c r="M306" s="2">
        <f>DHMXX[[#This Row],[INV DOC DATE]]+30</f>
        <v>43221</v>
      </c>
      <c r="N306" s="2">
        <v>43221</v>
      </c>
      <c r="O306" s="7">
        <v>172.5</v>
      </c>
      <c r="P306" s="2">
        <v>43227</v>
      </c>
      <c r="Q306" s="7">
        <f>$E306-$O306</f>
        <v>0</v>
      </c>
      <c r="R306" s="7" t="str">
        <f ca="1">IF(TODAY() - DHMXX[INV DUE DATE]&lt;30, "Less than 30 days",IF(TODAY()-DHMXX[INV DUE DATE]&lt;60,"30-60 days","More than 60 days"))</f>
        <v>More than 60 days</v>
      </c>
      <c r="S306" t="s">
        <v>1550</v>
      </c>
      <c r="T306" s="43" t="s">
        <v>2229</v>
      </c>
      <c r="U306" t="s">
        <v>3699</v>
      </c>
    </row>
    <row r="307" spans="1:21" x14ac:dyDescent="0.3">
      <c r="A307" s="1" t="s">
        <v>827</v>
      </c>
      <c r="B307" t="s">
        <v>32</v>
      </c>
      <c r="C307" t="s">
        <v>8</v>
      </c>
      <c r="D307" s="15">
        <v>1</v>
      </c>
      <c r="E307" s="7">
        <v>172.5</v>
      </c>
      <c r="F307" s="1">
        <v>31696450</v>
      </c>
      <c r="J307" s="1" t="s">
        <v>823</v>
      </c>
      <c r="K307" s="1" t="s">
        <v>3</v>
      </c>
      <c r="L307" s="2">
        <v>43191</v>
      </c>
      <c r="M307" s="2">
        <f>DHMXX[[#This Row],[INV DOC DATE]]+30</f>
        <v>43221</v>
      </c>
      <c r="N307" s="2">
        <v>43221</v>
      </c>
      <c r="O307" s="7">
        <v>172.5</v>
      </c>
      <c r="P307" s="2">
        <v>43227</v>
      </c>
      <c r="Q307" s="7">
        <f>$E307-$O307</f>
        <v>0</v>
      </c>
      <c r="R307" s="7" t="str">
        <f ca="1">IF(TODAY() - DHMXX[INV DUE DATE]&lt;30, "Less than 30 days",IF(TODAY()-DHMXX[INV DUE DATE]&lt;60,"30-60 days","More than 60 days"))</f>
        <v>More than 60 days</v>
      </c>
      <c r="S307" t="s">
        <v>1550</v>
      </c>
      <c r="T307" s="43" t="s">
        <v>2229</v>
      </c>
      <c r="U307" t="s">
        <v>3699</v>
      </c>
    </row>
    <row r="308" spans="1:21" x14ac:dyDescent="0.3">
      <c r="A308" s="1" t="s">
        <v>827</v>
      </c>
      <c r="B308" t="s">
        <v>32</v>
      </c>
      <c r="C308" t="s">
        <v>9</v>
      </c>
      <c r="D308" s="15">
        <v>1</v>
      </c>
      <c r="E308" s="7">
        <v>172.5</v>
      </c>
      <c r="F308" s="1">
        <v>31675614</v>
      </c>
      <c r="J308" s="1" t="s">
        <v>824</v>
      </c>
      <c r="K308" s="1" t="s">
        <v>3</v>
      </c>
      <c r="L308" s="2">
        <v>43191</v>
      </c>
      <c r="M308" s="2">
        <f>DHMXX[[#This Row],[INV DOC DATE]]+30</f>
        <v>43221</v>
      </c>
      <c r="N308" s="2">
        <v>43221</v>
      </c>
      <c r="O308" s="7">
        <v>172.5</v>
      </c>
      <c r="P308" s="2">
        <v>43227</v>
      </c>
      <c r="Q308" s="7">
        <f>$E308-$O308</f>
        <v>0</v>
      </c>
      <c r="R308" s="7" t="str">
        <f ca="1">IF(TODAY() - DHMXX[INV DUE DATE]&lt;30, "Less than 30 days",IF(TODAY()-DHMXX[INV DUE DATE]&lt;60,"30-60 days","More than 60 days"))</f>
        <v>More than 60 days</v>
      </c>
      <c r="S308" t="s">
        <v>1550</v>
      </c>
      <c r="T308" s="43" t="s">
        <v>2229</v>
      </c>
      <c r="U308" t="s">
        <v>3699</v>
      </c>
    </row>
    <row r="309" spans="1:21" x14ac:dyDescent="0.3">
      <c r="A309" s="1" t="s">
        <v>827</v>
      </c>
      <c r="B309" t="s">
        <v>32</v>
      </c>
      <c r="C309" t="s">
        <v>10</v>
      </c>
      <c r="D309" s="15">
        <v>1</v>
      </c>
      <c r="E309" s="7">
        <v>172.5</v>
      </c>
      <c r="F309" s="1">
        <v>31675614</v>
      </c>
      <c r="J309" s="1" t="s">
        <v>825</v>
      </c>
      <c r="K309" s="1" t="s">
        <v>3</v>
      </c>
      <c r="L309" s="2">
        <v>43191</v>
      </c>
      <c r="M309" s="2">
        <f>DHMXX[[#This Row],[INV DOC DATE]]+30</f>
        <v>43221</v>
      </c>
      <c r="N309" s="2">
        <v>43221</v>
      </c>
      <c r="O309" s="7">
        <v>172.5</v>
      </c>
      <c r="P309" s="2">
        <v>43227</v>
      </c>
      <c r="Q309" s="7">
        <f>$E309-$O309</f>
        <v>0</v>
      </c>
      <c r="R309" s="7" t="str">
        <f ca="1">IF(TODAY() - DHMXX[INV DUE DATE]&lt;30, "Less than 30 days",IF(TODAY()-DHMXX[INV DUE DATE]&lt;60,"30-60 days","More than 60 days"))</f>
        <v>More than 60 days</v>
      </c>
      <c r="S309" t="s">
        <v>1550</v>
      </c>
      <c r="T309" s="43" t="s">
        <v>2229</v>
      </c>
      <c r="U309" t="s">
        <v>3699</v>
      </c>
    </row>
    <row r="310" spans="1:21" x14ac:dyDescent="0.3">
      <c r="A310" s="1" t="s">
        <v>827</v>
      </c>
      <c r="B310" t="s">
        <v>32</v>
      </c>
      <c r="C310" t="s">
        <v>11</v>
      </c>
      <c r="D310" s="15">
        <v>1</v>
      </c>
      <c r="E310" s="7">
        <v>172.5</v>
      </c>
      <c r="F310" s="1">
        <v>31696450</v>
      </c>
      <c r="J310" s="1" t="s">
        <v>826</v>
      </c>
      <c r="K310" s="1" t="s">
        <v>3</v>
      </c>
      <c r="L310" s="2">
        <v>43191</v>
      </c>
      <c r="M310" s="2">
        <f>DHMXX[[#This Row],[INV DOC DATE]]+30</f>
        <v>43221</v>
      </c>
      <c r="N310" s="2">
        <v>43221</v>
      </c>
      <c r="O310" s="7">
        <v>172.5</v>
      </c>
      <c r="P310" s="2">
        <v>43227</v>
      </c>
      <c r="Q310" s="7">
        <f>$E310-$O310</f>
        <v>0</v>
      </c>
      <c r="R310" s="7" t="str">
        <f ca="1">IF(TODAY() - DHMXX[INV DUE DATE]&lt;30, "Less than 30 days",IF(TODAY()-DHMXX[INV DUE DATE]&lt;60,"30-60 days","More than 60 days"))</f>
        <v>More than 60 days</v>
      </c>
      <c r="S310" t="s">
        <v>1550</v>
      </c>
      <c r="T310" s="43" t="s">
        <v>2229</v>
      </c>
      <c r="U310" t="s">
        <v>3699</v>
      </c>
    </row>
    <row r="311" spans="1:21" x14ac:dyDescent="0.3">
      <c r="A311" t="s">
        <v>827</v>
      </c>
      <c r="B311" t="s">
        <v>30</v>
      </c>
      <c r="C311" t="s">
        <v>1343</v>
      </c>
      <c r="D311" s="15">
        <v>1</v>
      </c>
      <c r="E311" s="7">
        <v>172.5</v>
      </c>
      <c r="H311">
        <v>64179</v>
      </c>
      <c r="I311" t="s">
        <v>845</v>
      </c>
      <c r="J311" t="s">
        <v>1115</v>
      </c>
      <c r="K311" t="s">
        <v>3</v>
      </c>
      <c r="L311" s="2">
        <v>43191</v>
      </c>
      <c r="M311" s="2">
        <f>DHMXX[[#This Row],[INV DOC DATE]]+30</f>
        <v>43221</v>
      </c>
      <c r="N311" s="2">
        <v>43221</v>
      </c>
      <c r="O311" s="7">
        <v>172.5</v>
      </c>
      <c r="P311" s="2">
        <v>43227</v>
      </c>
      <c r="Q311" s="7">
        <f>$E311-$O311</f>
        <v>0</v>
      </c>
      <c r="R311" s="7" t="str">
        <f ca="1">IF(TODAY() - DHMXX[INV DUE DATE]&lt;30, "Less than 30 days",IF(TODAY()-DHMXX[INV DUE DATE]&lt;60,"30-60 days","More than 60 days"))</f>
        <v>More than 60 days</v>
      </c>
      <c r="S311" t="s">
        <v>1550</v>
      </c>
      <c r="T311" s="43" t="s">
        <v>2229</v>
      </c>
      <c r="U311" t="s">
        <v>3699</v>
      </c>
    </row>
    <row r="312" spans="1:21" x14ac:dyDescent="0.3">
      <c r="A312" t="s">
        <v>827</v>
      </c>
      <c r="B312" t="s">
        <v>30</v>
      </c>
      <c r="C312" t="s">
        <v>1344</v>
      </c>
      <c r="D312" s="15">
        <v>1</v>
      </c>
      <c r="E312" s="7">
        <v>225</v>
      </c>
      <c r="H312">
        <v>64179</v>
      </c>
      <c r="I312" t="s">
        <v>845</v>
      </c>
      <c r="J312" t="s">
        <v>1116</v>
      </c>
      <c r="K312" t="s">
        <v>3</v>
      </c>
      <c r="L312" s="2">
        <v>43191</v>
      </c>
      <c r="M312" s="2">
        <f>DHMXX[[#This Row],[INV DOC DATE]]+30</f>
        <v>43221</v>
      </c>
      <c r="N312" s="2">
        <v>43221</v>
      </c>
      <c r="O312" s="7">
        <v>225</v>
      </c>
      <c r="P312" s="2">
        <v>43227</v>
      </c>
      <c r="Q312" s="7">
        <f>$E312-$O312</f>
        <v>0</v>
      </c>
      <c r="R312" s="7" t="str">
        <f ca="1">IF(TODAY() - DHMXX[INV DUE DATE]&lt;30, "Less than 30 days",IF(TODAY()-DHMXX[INV DUE DATE]&lt;60,"30-60 days","More than 60 days"))</f>
        <v>More than 60 days</v>
      </c>
      <c r="S312" t="s">
        <v>1550</v>
      </c>
      <c r="T312" s="43" t="s">
        <v>2229</v>
      </c>
      <c r="U312" t="s">
        <v>3699</v>
      </c>
    </row>
    <row r="313" spans="1:21" x14ac:dyDescent="0.3">
      <c r="A313" t="s">
        <v>827</v>
      </c>
      <c r="B313" t="s">
        <v>30</v>
      </c>
      <c r="C313" t="s">
        <v>1345</v>
      </c>
      <c r="D313" s="15">
        <v>1</v>
      </c>
      <c r="E313" s="7">
        <v>225</v>
      </c>
      <c r="H313">
        <v>64179</v>
      </c>
      <c r="I313" t="s">
        <v>845</v>
      </c>
      <c r="J313" t="s">
        <v>1117</v>
      </c>
      <c r="K313" t="s">
        <v>3</v>
      </c>
      <c r="L313" s="2">
        <v>43191</v>
      </c>
      <c r="M313" s="2">
        <f>DHMXX[[#This Row],[INV DOC DATE]]+30</f>
        <v>43221</v>
      </c>
      <c r="N313" s="2">
        <v>43221</v>
      </c>
      <c r="O313" s="7">
        <v>225</v>
      </c>
      <c r="P313" s="2">
        <v>43227</v>
      </c>
      <c r="Q313" s="7">
        <f>$E313-$O313</f>
        <v>0</v>
      </c>
      <c r="R313" s="7" t="str">
        <f ca="1">IF(TODAY() - DHMXX[INV DUE DATE]&lt;30, "Less than 30 days",IF(TODAY()-DHMXX[INV DUE DATE]&lt;60,"30-60 days","More than 60 days"))</f>
        <v>More than 60 days</v>
      </c>
      <c r="S313" t="s">
        <v>1550</v>
      </c>
      <c r="T313" s="43" t="s">
        <v>2229</v>
      </c>
      <c r="U313" t="s">
        <v>3699</v>
      </c>
    </row>
    <row r="314" spans="1:21" x14ac:dyDescent="0.3">
      <c r="A314" t="s">
        <v>827</v>
      </c>
      <c r="B314" t="s">
        <v>30</v>
      </c>
      <c r="C314" t="s">
        <v>1346</v>
      </c>
      <c r="D314" s="15">
        <v>1</v>
      </c>
      <c r="E314" s="7">
        <v>225</v>
      </c>
      <c r="H314">
        <v>64179</v>
      </c>
      <c r="I314" t="s">
        <v>845</v>
      </c>
      <c r="J314" t="s">
        <v>1118</v>
      </c>
      <c r="K314" t="s">
        <v>3</v>
      </c>
      <c r="L314" s="2">
        <v>43191</v>
      </c>
      <c r="M314" s="2">
        <f>DHMXX[[#This Row],[INV DOC DATE]]+30</f>
        <v>43221</v>
      </c>
      <c r="N314" s="2">
        <v>43221</v>
      </c>
      <c r="O314" s="7">
        <v>225</v>
      </c>
      <c r="P314" s="2">
        <v>43227</v>
      </c>
      <c r="Q314" s="7">
        <f>$E314-$O314</f>
        <v>0</v>
      </c>
      <c r="R314" s="7" t="str">
        <f ca="1">IF(TODAY() - DHMXX[INV DUE DATE]&lt;30, "Less than 30 days",IF(TODAY()-DHMXX[INV DUE DATE]&lt;60,"30-60 days","More than 60 days"))</f>
        <v>More than 60 days</v>
      </c>
      <c r="S314" t="s">
        <v>1550</v>
      </c>
      <c r="T314" s="43" t="s">
        <v>2229</v>
      </c>
      <c r="U314" t="s">
        <v>3699</v>
      </c>
    </row>
    <row r="315" spans="1:21" x14ac:dyDescent="0.3">
      <c r="A315" t="s">
        <v>827</v>
      </c>
      <c r="B315" t="s">
        <v>30</v>
      </c>
      <c r="C315" t="s">
        <v>1347</v>
      </c>
      <c r="D315" s="15">
        <v>1</v>
      </c>
      <c r="E315" s="7">
        <v>172.5</v>
      </c>
      <c r="H315">
        <v>64179</v>
      </c>
      <c r="I315" t="s">
        <v>845</v>
      </c>
      <c r="J315" t="s">
        <v>1119</v>
      </c>
      <c r="K315" t="s">
        <v>3</v>
      </c>
      <c r="L315" s="2">
        <v>43191</v>
      </c>
      <c r="M315" s="2">
        <f>DHMXX[[#This Row],[INV DOC DATE]]+30</f>
        <v>43221</v>
      </c>
      <c r="N315" s="2">
        <v>43221</v>
      </c>
      <c r="O315" s="7">
        <v>172.5</v>
      </c>
      <c r="P315" s="2">
        <v>43227</v>
      </c>
      <c r="Q315" s="7">
        <f>$E315-$O315</f>
        <v>0</v>
      </c>
      <c r="R315" s="7" t="str">
        <f ca="1">IF(TODAY() - DHMXX[INV DUE DATE]&lt;30, "Less than 30 days",IF(TODAY()-DHMXX[INV DUE DATE]&lt;60,"30-60 days","More than 60 days"))</f>
        <v>More than 60 days</v>
      </c>
      <c r="S315" t="s">
        <v>1550</v>
      </c>
      <c r="T315" s="43" t="s">
        <v>2229</v>
      </c>
      <c r="U315" t="s">
        <v>3699</v>
      </c>
    </row>
    <row r="316" spans="1:21" x14ac:dyDescent="0.3">
      <c r="A316" t="s">
        <v>827</v>
      </c>
      <c r="B316" t="s">
        <v>30</v>
      </c>
      <c r="C316" t="s">
        <v>1348</v>
      </c>
      <c r="D316" s="15">
        <v>1</v>
      </c>
      <c r="E316" s="7">
        <v>172.5</v>
      </c>
      <c r="H316">
        <v>64179</v>
      </c>
      <c r="I316" t="s">
        <v>845</v>
      </c>
      <c r="J316" t="s">
        <v>1120</v>
      </c>
      <c r="K316" t="s">
        <v>3</v>
      </c>
      <c r="L316" s="2">
        <v>43191</v>
      </c>
      <c r="M316" s="2">
        <f>DHMXX[[#This Row],[INV DOC DATE]]+30</f>
        <v>43221</v>
      </c>
      <c r="N316" s="2">
        <v>43221</v>
      </c>
      <c r="O316" s="7">
        <v>172.5</v>
      </c>
      <c r="P316" s="2">
        <v>43227</v>
      </c>
      <c r="Q316" s="7">
        <f>$E316-$O316</f>
        <v>0</v>
      </c>
      <c r="R316" s="7" t="str">
        <f ca="1">IF(TODAY() - DHMXX[INV DUE DATE]&lt;30, "Less than 30 days",IF(TODAY()-DHMXX[INV DUE DATE]&lt;60,"30-60 days","More than 60 days"))</f>
        <v>More than 60 days</v>
      </c>
      <c r="S316" t="s">
        <v>1550</v>
      </c>
      <c r="T316" s="43" t="s">
        <v>2229</v>
      </c>
      <c r="U316" t="s">
        <v>3699</v>
      </c>
    </row>
    <row r="317" spans="1:21" x14ac:dyDescent="0.3">
      <c r="A317" t="s">
        <v>827</v>
      </c>
      <c r="B317" t="s">
        <v>30</v>
      </c>
      <c r="C317" t="s">
        <v>1349</v>
      </c>
      <c r="D317" s="15">
        <v>1</v>
      </c>
      <c r="E317" s="7">
        <v>225</v>
      </c>
      <c r="H317">
        <v>64179</v>
      </c>
      <c r="I317" t="s">
        <v>845</v>
      </c>
      <c r="J317" t="s">
        <v>1121</v>
      </c>
      <c r="K317" t="s">
        <v>3</v>
      </c>
      <c r="L317" s="2">
        <v>43191</v>
      </c>
      <c r="M317" s="2">
        <f>DHMXX[[#This Row],[INV DOC DATE]]+30</f>
        <v>43221</v>
      </c>
      <c r="N317" s="2">
        <v>43221</v>
      </c>
      <c r="O317" s="7">
        <v>225</v>
      </c>
      <c r="P317" s="2">
        <v>43227</v>
      </c>
      <c r="Q317" s="7">
        <f>$E317-$O317</f>
        <v>0</v>
      </c>
      <c r="R317" s="7" t="str">
        <f ca="1">IF(TODAY() - DHMXX[INV DUE DATE]&lt;30, "Less than 30 days",IF(TODAY()-DHMXX[INV DUE DATE]&lt;60,"30-60 days","More than 60 days"))</f>
        <v>More than 60 days</v>
      </c>
      <c r="S317" t="s">
        <v>1550</v>
      </c>
      <c r="T317" s="43" t="s">
        <v>2229</v>
      </c>
      <c r="U317" t="s">
        <v>3699</v>
      </c>
    </row>
    <row r="318" spans="1:21" x14ac:dyDescent="0.3">
      <c r="A318" t="s">
        <v>827</v>
      </c>
      <c r="B318" t="s">
        <v>30</v>
      </c>
      <c r="C318" t="s">
        <v>1350</v>
      </c>
      <c r="D318" s="15">
        <v>1</v>
      </c>
      <c r="E318" s="7">
        <v>225</v>
      </c>
      <c r="H318">
        <v>64248</v>
      </c>
      <c r="I318" t="s">
        <v>845</v>
      </c>
      <c r="J318" t="s">
        <v>1122</v>
      </c>
      <c r="K318" t="s">
        <v>3</v>
      </c>
      <c r="L318" s="2">
        <v>43191</v>
      </c>
      <c r="M318" s="2">
        <f>DHMXX[[#This Row],[INV DOC DATE]]+30</f>
        <v>43221</v>
      </c>
      <c r="N318" s="2">
        <v>43221</v>
      </c>
      <c r="O318" s="7">
        <v>225</v>
      </c>
      <c r="P318" s="2">
        <v>43227</v>
      </c>
      <c r="Q318" s="7">
        <f>$E318-$O318</f>
        <v>0</v>
      </c>
      <c r="R318" s="7" t="str">
        <f ca="1">IF(TODAY() - DHMXX[INV DUE DATE]&lt;30, "Less than 30 days",IF(TODAY()-DHMXX[INV DUE DATE]&lt;60,"30-60 days","More than 60 days"))</f>
        <v>More than 60 days</v>
      </c>
      <c r="S318" t="s">
        <v>1550</v>
      </c>
      <c r="T318" s="43" t="s">
        <v>2229</v>
      </c>
      <c r="U318" t="s">
        <v>3699</v>
      </c>
    </row>
    <row r="319" spans="1:21" x14ac:dyDescent="0.3">
      <c r="A319" t="s">
        <v>827</v>
      </c>
      <c r="B319" t="s">
        <v>30</v>
      </c>
      <c r="C319" t="s">
        <v>1351</v>
      </c>
      <c r="D319" s="15">
        <v>1</v>
      </c>
      <c r="E319" s="7">
        <v>225</v>
      </c>
      <c r="H319">
        <v>64248</v>
      </c>
      <c r="I319" t="s">
        <v>845</v>
      </c>
      <c r="J319" t="s">
        <v>1123</v>
      </c>
      <c r="K319" t="s">
        <v>3</v>
      </c>
      <c r="L319" s="2">
        <v>43191</v>
      </c>
      <c r="M319" s="2">
        <f>DHMXX[[#This Row],[INV DOC DATE]]+30</f>
        <v>43221</v>
      </c>
      <c r="N319" s="2">
        <v>43221</v>
      </c>
      <c r="O319" s="7">
        <v>225</v>
      </c>
      <c r="P319" s="2">
        <v>43227</v>
      </c>
      <c r="Q319" s="7">
        <f>$E319-$O319</f>
        <v>0</v>
      </c>
      <c r="R319" s="7" t="str">
        <f ca="1">IF(TODAY() - DHMXX[INV DUE DATE]&lt;30, "Less than 30 days",IF(TODAY()-DHMXX[INV DUE DATE]&lt;60,"30-60 days","More than 60 days"))</f>
        <v>More than 60 days</v>
      </c>
      <c r="S319" t="s">
        <v>1550</v>
      </c>
      <c r="T319" s="43" t="s">
        <v>2229</v>
      </c>
      <c r="U319" t="s">
        <v>3699</v>
      </c>
    </row>
    <row r="320" spans="1:21" x14ac:dyDescent="0.3">
      <c r="A320" t="s">
        <v>827</v>
      </c>
      <c r="B320" t="s">
        <v>30</v>
      </c>
      <c r="C320" t="s">
        <v>1352</v>
      </c>
      <c r="D320" s="15">
        <v>1</v>
      </c>
      <c r="E320" s="7">
        <v>172.5</v>
      </c>
      <c r="H320">
        <v>64248</v>
      </c>
      <c r="I320" t="s">
        <v>845</v>
      </c>
      <c r="J320" t="s">
        <v>1124</v>
      </c>
      <c r="K320" t="s">
        <v>3</v>
      </c>
      <c r="L320" s="2">
        <v>43191</v>
      </c>
      <c r="M320" s="2">
        <f>DHMXX[[#This Row],[INV DOC DATE]]+30</f>
        <v>43221</v>
      </c>
      <c r="N320" s="2">
        <v>43221</v>
      </c>
      <c r="O320" s="7">
        <v>172.5</v>
      </c>
      <c r="P320" s="2">
        <v>43227</v>
      </c>
      <c r="Q320" s="7">
        <f>$E320-$O320</f>
        <v>0</v>
      </c>
      <c r="R320" s="7" t="str">
        <f ca="1">IF(TODAY() - DHMXX[INV DUE DATE]&lt;30, "Less than 30 days",IF(TODAY()-DHMXX[INV DUE DATE]&lt;60,"30-60 days","More than 60 days"))</f>
        <v>More than 60 days</v>
      </c>
      <c r="S320" t="s">
        <v>1550</v>
      </c>
      <c r="T320" s="43" t="s">
        <v>2229</v>
      </c>
      <c r="U320" t="s">
        <v>3699</v>
      </c>
    </row>
    <row r="321" spans="1:21" x14ac:dyDescent="0.3">
      <c r="A321" t="s">
        <v>827</v>
      </c>
      <c r="B321" t="s">
        <v>30</v>
      </c>
      <c r="C321" t="s">
        <v>1353</v>
      </c>
      <c r="D321" s="15">
        <v>1</v>
      </c>
      <c r="E321" s="7">
        <v>225</v>
      </c>
      <c r="H321">
        <v>64248</v>
      </c>
      <c r="I321" t="s">
        <v>845</v>
      </c>
      <c r="J321" t="s">
        <v>1125</v>
      </c>
      <c r="K321" t="s">
        <v>3</v>
      </c>
      <c r="L321" s="2">
        <v>43191</v>
      </c>
      <c r="M321" s="2">
        <f>DHMXX[[#This Row],[INV DOC DATE]]+30</f>
        <v>43221</v>
      </c>
      <c r="N321" s="2">
        <v>43221</v>
      </c>
      <c r="O321" s="7">
        <v>225</v>
      </c>
      <c r="P321" s="2">
        <v>43227</v>
      </c>
      <c r="Q321" s="7">
        <f>$E321-$O321</f>
        <v>0</v>
      </c>
      <c r="R321" s="7" t="str">
        <f ca="1">IF(TODAY() - DHMXX[INV DUE DATE]&lt;30, "Less than 30 days",IF(TODAY()-DHMXX[INV DUE DATE]&lt;60,"30-60 days","More than 60 days"))</f>
        <v>More than 60 days</v>
      </c>
      <c r="S321" t="s">
        <v>1550</v>
      </c>
      <c r="T321" s="43" t="s">
        <v>2229</v>
      </c>
      <c r="U321" t="s">
        <v>3699</v>
      </c>
    </row>
    <row r="322" spans="1:21" x14ac:dyDescent="0.3">
      <c r="A322" t="s">
        <v>827</v>
      </c>
      <c r="B322" t="s">
        <v>30</v>
      </c>
      <c r="C322" t="s">
        <v>1354</v>
      </c>
      <c r="D322" s="15">
        <v>1</v>
      </c>
      <c r="E322" s="7">
        <v>225</v>
      </c>
      <c r="H322">
        <v>64248</v>
      </c>
      <c r="I322" t="s">
        <v>845</v>
      </c>
      <c r="J322" t="s">
        <v>1126</v>
      </c>
      <c r="K322" t="s">
        <v>3</v>
      </c>
      <c r="L322" s="2">
        <v>43191</v>
      </c>
      <c r="M322" s="2">
        <f>DHMXX[[#This Row],[INV DOC DATE]]+30</f>
        <v>43221</v>
      </c>
      <c r="N322" s="2">
        <v>43221</v>
      </c>
      <c r="O322" s="7">
        <v>225</v>
      </c>
      <c r="P322" s="2">
        <v>43227</v>
      </c>
      <c r="Q322" s="7">
        <f>$E322-$O322</f>
        <v>0</v>
      </c>
      <c r="R322" s="7" t="str">
        <f ca="1">IF(TODAY() - DHMXX[INV DUE DATE]&lt;30, "Less than 30 days",IF(TODAY()-DHMXX[INV DUE DATE]&lt;60,"30-60 days","More than 60 days"))</f>
        <v>More than 60 days</v>
      </c>
      <c r="S322" t="s">
        <v>1550</v>
      </c>
      <c r="T322" s="43" t="s">
        <v>2229</v>
      </c>
      <c r="U322" t="s">
        <v>3699</v>
      </c>
    </row>
    <row r="323" spans="1:21" x14ac:dyDescent="0.3">
      <c r="A323" t="s">
        <v>827</v>
      </c>
      <c r="B323" t="s">
        <v>30</v>
      </c>
      <c r="C323" t="s">
        <v>1355</v>
      </c>
      <c r="D323" s="15">
        <v>1</v>
      </c>
      <c r="E323" s="7">
        <v>225</v>
      </c>
      <c r="H323">
        <v>64248</v>
      </c>
      <c r="I323" t="s">
        <v>845</v>
      </c>
      <c r="J323" t="s">
        <v>1127</v>
      </c>
      <c r="K323" t="s">
        <v>3</v>
      </c>
      <c r="L323" s="2">
        <v>43191</v>
      </c>
      <c r="M323" s="2">
        <f>DHMXX[[#This Row],[INV DOC DATE]]+30</f>
        <v>43221</v>
      </c>
      <c r="N323" s="2">
        <v>43221</v>
      </c>
      <c r="O323" s="7">
        <v>225</v>
      </c>
      <c r="P323" s="2">
        <v>43227</v>
      </c>
      <c r="Q323" s="7">
        <f>$E323-$O323</f>
        <v>0</v>
      </c>
      <c r="R323" s="7" t="str">
        <f ca="1">IF(TODAY() - DHMXX[INV DUE DATE]&lt;30, "Less than 30 days",IF(TODAY()-DHMXX[INV DUE DATE]&lt;60,"30-60 days","More than 60 days"))</f>
        <v>More than 60 days</v>
      </c>
      <c r="S323" t="s">
        <v>1550</v>
      </c>
      <c r="T323" s="43" t="s">
        <v>2229</v>
      </c>
      <c r="U323" t="s">
        <v>3699</v>
      </c>
    </row>
    <row r="324" spans="1:21" x14ac:dyDescent="0.3">
      <c r="A324" t="s">
        <v>827</v>
      </c>
      <c r="B324" t="s">
        <v>30</v>
      </c>
      <c r="C324" t="s">
        <v>1356</v>
      </c>
      <c r="D324" s="15">
        <v>1</v>
      </c>
      <c r="E324" s="7">
        <v>172.5</v>
      </c>
      <c r="H324">
        <v>64248</v>
      </c>
      <c r="I324" t="s">
        <v>845</v>
      </c>
      <c r="J324" t="s">
        <v>1128</v>
      </c>
      <c r="K324" t="s">
        <v>3</v>
      </c>
      <c r="L324" s="2">
        <v>43191</v>
      </c>
      <c r="M324" s="2">
        <f>DHMXX[[#This Row],[INV DOC DATE]]+30</f>
        <v>43221</v>
      </c>
      <c r="N324" s="2">
        <v>43221</v>
      </c>
      <c r="O324" s="7">
        <v>172.5</v>
      </c>
      <c r="P324" s="2">
        <v>43227</v>
      </c>
      <c r="Q324" s="7">
        <f>$E324-$O324</f>
        <v>0</v>
      </c>
      <c r="R324" s="7" t="str">
        <f ca="1">IF(TODAY() - DHMXX[INV DUE DATE]&lt;30, "Less than 30 days",IF(TODAY()-DHMXX[INV DUE DATE]&lt;60,"30-60 days","More than 60 days"))</f>
        <v>More than 60 days</v>
      </c>
      <c r="S324" t="s">
        <v>1550</v>
      </c>
      <c r="T324" s="43" t="s">
        <v>2229</v>
      </c>
      <c r="U324" t="s">
        <v>3699</v>
      </c>
    </row>
    <row r="325" spans="1:21" x14ac:dyDescent="0.3">
      <c r="A325" t="s">
        <v>827</v>
      </c>
      <c r="B325" t="s">
        <v>30</v>
      </c>
      <c r="C325" t="s">
        <v>1357</v>
      </c>
      <c r="D325" s="15">
        <v>1</v>
      </c>
      <c r="E325" s="7">
        <v>172.5</v>
      </c>
      <c r="H325">
        <v>64248</v>
      </c>
      <c r="I325" t="s">
        <v>845</v>
      </c>
      <c r="J325" t="s">
        <v>1129</v>
      </c>
      <c r="K325" t="s">
        <v>3</v>
      </c>
      <c r="L325" s="2">
        <v>43191</v>
      </c>
      <c r="M325" s="2">
        <f>DHMXX[[#This Row],[INV DOC DATE]]+30</f>
        <v>43221</v>
      </c>
      <c r="N325" s="2">
        <v>43221</v>
      </c>
      <c r="O325" s="7">
        <v>172.5</v>
      </c>
      <c r="P325" s="2">
        <v>43227</v>
      </c>
      <c r="Q325" s="7">
        <f>$E325-$O325</f>
        <v>0</v>
      </c>
      <c r="R325" s="7" t="str">
        <f ca="1">IF(TODAY() - DHMXX[INV DUE DATE]&lt;30, "Less than 30 days",IF(TODAY()-DHMXX[INV DUE DATE]&lt;60,"30-60 days","More than 60 days"))</f>
        <v>More than 60 days</v>
      </c>
      <c r="S325" t="s">
        <v>1550</v>
      </c>
      <c r="T325" s="43" t="s">
        <v>2229</v>
      </c>
      <c r="U325" t="s">
        <v>3699</v>
      </c>
    </row>
    <row r="326" spans="1:21" x14ac:dyDescent="0.3">
      <c r="A326" t="s">
        <v>827</v>
      </c>
      <c r="B326" t="s">
        <v>30</v>
      </c>
      <c r="C326" t="s">
        <v>1358</v>
      </c>
      <c r="D326" s="15">
        <v>1</v>
      </c>
      <c r="E326" s="7">
        <v>172.5</v>
      </c>
      <c r="H326">
        <v>64248</v>
      </c>
      <c r="I326" t="s">
        <v>845</v>
      </c>
      <c r="J326" t="s">
        <v>1130</v>
      </c>
      <c r="K326" t="s">
        <v>3</v>
      </c>
      <c r="L326" s="2">
        <v>43191</v>
      </c>
      <c r="M326" s="2">
        <f>DHMXX[[#This Row],[INV DOC DATE]]+30</f>
        <v>43221</v>
      </c>
      <c r="N326" s="2">
        <v>43221</v>
      </c>
      <c r="O326" s="7">
        <v>172.5</v>
      </c>
      <c r="P326" s="2">
        <v>43227</v>
      </c>
      <c r="Q326" s="7">
        <f>$E326-$O326</f>
        <v>0</v>
      </c>
      <c r="R326" s="7" t="str">
        <f ca="1">IF(TODAY() - DHMXX[INV DUE DATE]&lt;30, "Less than 30 days",IF(TODAY()-DHMXX[INV DUE DATE]&lt;60,"30-60 days","More than 60 days"))</f>
        <v>More than 60 days</v>
      </c>
      <c r="S326" t="s">
        <v>1550</v>
      </c>
      <c r="T326" s="43" t="s">
        <v>2229</v>
      </c>
      <c r="U326" t="s">
        <v>3699</v>
      </c>
    </row>
    <row r="327" spans="1:21" x14ac:dyDescent="0.3">
      <c r="A327" t="s">
        <v>827</v>
      </c>
      <c r="B327" t="s">
        <v>30</v>
      </c>
      <c r="C327" t="s">
        <v>1359</v>
      </c>
      <c r="D327" s="15">
        <v>1</v>
      </c>
      <c r="E327" s="7">
        <v>172.5</v>
      </c>
      <c r="H327">
        <v>64248</v>
      </c>
      <c r="I327" t="s">
        <v>845</v>
      </c>
      <c r="J327" t="s">
        <v>1131</v>
      </c>
      <c r="K327" t="s">
        <v>3</v>
      </c>
      <c r="L327" s="2">
        <v>43191</v>
      </c>
      <c r="M327" s="2">
        <f>DHMXX[[#This Row],[INV DOC DATE]]+30</f>
        <v>43221</v>
      </c>
      <c r="N327" s="2">
        <v>43221</v>
      </c>
      <c r="O327" s="7">
        <v>172.5</v>
      </c>
      <c r="P327" s="2">
        <v>43227</v>
      </c>
      <c r="Q327" s="7">
        <f>$E327-$O327</f>
        <v>0</v>
      </c>
      <c r="R327" s="7" t="str">
        <f ca="1">IF(TODAY() - DHMXX[INV DUE DATE]&lt;30, "Less than 30 days",IF(TODAY()-DHMXX[INV DUE DATE]&lt;60,"30-60 days","More than 60 days"))</f>
        <v>More than 60 days</v>
      </c>
      <c r="S327" t="s">
        <v>1550</v>
      </c>
      <c r="T327" s="43" t="s">
        <v>2229</v>
      </c>
      <c r="U327" t="s">
        <v>3699</v>
      </c>
    </row>
    <row r="328" spans="1:21" x14ac:dyDescent="0.3">
      <c r="A328" t="s">
        <v>827</v>
      </c>
      <c r="B328" t="s">
        <v>30</v>
      </c>
      <c r="C328" t="s">
        <v>1360</v>
      </c>
      <c r="D328" s="15">
        <v>1</v>
      </c>
      <c r="E328" s="7">
        <v>172.5</v>
      </c>
      <c r="H328">
        <v>64248</v>
      </c>
      <c r="I328" t="s">
        <v>845</v>
      </c>
      <c r="J328" t="s">
        <v>1132</v>
      </c>
      <c r="K328" t="s">
        <v>3</v>
      </c>
      <c r="L328" s="2">
        <v>43191</v>
      </c>
      <c r="M328" s="2">
        <f>DHMXX[[#This Row],[INV DOC DATE]]+30</f>
        <v>43221</v>
      </c>
      <c r="N328" s="2">
        <v>43221</v>
      </c>
      <c r="O328" s="7">
        <v>172.5</v>
      </c>
      <c r="P328" s="2">
        <v>43227</v>
      </c>
      <c r="Q328" s="7">
        <f>$E328-$O328</f>
        <v>0</v>
      </c>
      <c r="R328" s="7" t="str">
        <f ca="1">IF(TODAY() - DHMXX[INV DUE DATE]&lt;30, "Less than 30 days",IF(TODAY()-DHMXX[INV DUE DATE]&lt;60,"30-60 days","More than 60 days"))</f>
        <v>More than 60 days</v>
      </c>
      <c r="S328" t="s">
        <v>1550</v>
      </c>
      <c r="T328" s="43" t="s">
        <v>2229</v>
      </c>
      <c r="U328" t="s">
        <v>3699</v>
      </c>
    </row>
    <row r="329" spans="1:21" x14ac:dyDescent="0.3">
      <c r="A329" t="s">
        <v>827</v>
      </c>
      <c r="B329" t="s">
        <v>30</v>
      </c>
      <c r="C329" t="s">
        <v>1361</v>
      </c>
      <c r="D329" s="15">
        <v>1</v>
      </c>
      <c r="E329" s="7">
        <v>172.5</v>
      </c>
      <c r="H329">
        <v>64248</v>
      </c>
      <c r="I329" t="s">
        <v>845</v>
      </c>
      <c r="J329" t="s">
        <v>1133</v>
      </c>
      <c r="K329" t="s">
        <v>3</v>
      </c>
      <c r="L329" s="2">
        <v>43191</v>
      </c>
      <c r="M329" s="2">
        <f>DHMXX[[#This Row],[INV DOC DATE]]+30</f>
        <v>43221</v>
      </c>
      <c r="N329" s="2">
        <v>43221</v>
      </c>
      <c r="O329" s="7">
        <v>172.5</v>
      </c>
      <c r="P329" s="2">
        <v>43227</v>
      </c>
      <c r="Q329" s="7">
        <f>$E329-$O329</f>
        <v>0</v>
      </c>
      <c r="R329" s="7" t="str">
        <f ca="1">IF(TODAY() - DHMXX[INV DUE DATE]&lt;30, "Less than 30 days",IF(TODAY()-DHMXX[INV DUE DATE]&lt;60,"30-60 days","More than 60 days"))</f>
        <v>More than 60 days</v>
      </c>
      <c r="S329" t="s">
        <v>1550</v>
      </c>
      <c r="T329" s="43" t="s">
        <v>2229</v>
      </c>
      <c r="U329" t="s">
        <v>3699</v>
      </c>
    </row>
    <row r="330" spans="1:21" x14ac:dyDescent="0.3">
      <c r="A330" t="s">
        <v>827</v>
      </c>
      <c r="B330" t="s">
        <v>30</v>
      </c>
      <c r="C330" t="s">
        <v>1362</v>
      </c>
      <c r="D330" s="15">
        <v>1</v>
      </c>
      <c r="E330" s="7">
        <v>172.5</v>
      </c>
      <c r="H330">
        <v>64248</v>
      </c>
      <c r="I330" t="s">
        <v>845</v>
      </c>
      <c r="J330" t="s">
        <v>1134</v>
      </c>
      <c r="K330" t="s">
        <v>3</v>
      </c>
      <c r="L330" s="2">
        <v>43191</v>
      </c>
      <c r="M330" s="2">
        <f>DHMXX[[#This Row],[INV DOC DATE]]+30</f>
        <v>43221</v>
      </c>
      <c r="N330" s="2">
        <v>43221</v>
      </c>
      <c r="O330" s="7">
        <v>172.5</v>
      </c>
      <c r="P330" s="2">
        <v>43227</v>
      </c>
      <c r="Q330" s="7">
        <f>$E330-$O330</f>
        <v>0</v>
      </c>
      <c r="R330" s="7" t="str">
        <f ca="1">IF(TODAY() - DHMXX[INV DUE DATE]&lt;30, "Less than 30 days",IF(TODAY()-DHMXX[INV DUE DATE]&lt;60,"30-60 days","More than 60 days"))</f>
        <v>More than 60 days</v>
      </c>
      <c r="S330" t="s">
        <v>1550</v>
      </c>
      <c r="T330" s="43" t="s">
        <v>2229</v>
      </c>
      <c r="U330" t="s">
        <v>3699</v>
      </c>
    </row>
    <row r="331" spans="1:21" x14ac:dyDescent="0.3">
      <c r="A331" t="s">
        <v>827</v>
      </c>
      <c r="B331" t="s">
        <v>30</v>
      </c>
      <c r="C331" t="s">
        <v>1363</v>
      </c>
      <c r="D331" s="15">
        <v>1</v>
      </c>
      <c r="E331" s="7">
        <v>300</v>
      </c>
      <c r="H331">
        <v>64248</v>
      </c>
      <c r="I331" t="s">
        <v>845</v>
      </c>
      <c r="J331" t="s">
        <v>1135</v>
      </c>
      <c r="K331" t="s">
        <v>3</v>
      </c>
      <c r="L331" s="2">
        <v>43191</v>
      </c>
      <c r="M331" s="2">
        <f>DHMXX[[#This Row],[INV DOC DATE]]+30</f>
        <v>43221</v>
      </c>
      <c r="N331" s="2">
        <v>43221</v>
      </c>
      <c r="O331" s="7">
        <v>300</v>
      </c>
      <c r="P331" s="2">
        <v>43227</v>
      </c>
      <c r="Q331" s="7">
        <f>$E331-$O331</f>
        <v>0</v>
      </c>
      <c r="R331" s="7" t="str">
        <f ca="1">IF(TODAY() - DHMXX[INV DUE DATE]&lt;30, "Less than 30 days",IF(TODAY()-DHMXX[INV DUE DATE]&lt;60,"30-60 days","More than 60 days"))</f>
        <v>More than 60 days</v>
      </c>
      <c r="S331" t="s">
        <v>1550</v>
      </c>
      <c r="T331" s="43" t="s">
        <v>2229</v>
      </c>
      <c r="U331" t="s">
        <v>3699</v>
      </c>
    </row>
    <row r="332" spans="1:21" x14ac:dyDescent="0.3">
      <c r="A332" t="s">
        <v>827</v>
      </c>
      <c r="B332" t="s">
        <v>30</v>
      </c>
      <c r="C332" t="s">
        <v>1364</v>
      </c>
      <c r="D332" s="15">
        <v>1</v>
      </c>
      <c r="E332" s="7">
        <v>172.5</v>
      </c>
      <c r="H332">
        <v>64248</v>
      </c>
      <c r="I332" t="s">
        <v>845</v>
      </c>
      <c r="J332" t="s">
        <v>1136</v>
      </c>
      <c r="K332" t="s">
        <v>3</v>
      </c>
      <c r="L332" s="2">
        <v>43191</v>
      </c>
      <c r="M332" s="2">
        <f>DHMXX[[#This Row],[INV DOC DATE]]+30</f>
        <v>43221</v>
      </c>
      <c r="N332" s="2">
        <v>43221</v>
      </c>
      <c r="O332" s="7">
        <v>172.5</v>
      </c>
      <c r="P332" s="2">
        <v>43227</v>
      </c>
      <c r="Q332" s="7">
        <f>$E332-$O332</f>
        <v>0</v>
      </c>
      <c r="R332" s="7" t="str">
        <f ca="1">IF(TODAY() - DHMXX[INV DUE DATE]&lt;30, "Less than 30 days",IF(TODAY()-DHMXX[INV DUE DATE]&lt;60,"30-60 days","More than 60 days"))</f>
        <v>More than 60 days</v>
      </c>
      <c r="S332" t="s">
        <v>1550</v>
      </c>
      <c r="T332" s="43" t="s">
        <v>2229</v>
      </c>
      <c r="U332" t="s">
        <v>3699</v>
      </c>
    </row>
    <row r="333" spans="1:21" x14ac:dyDescent="0.3">
      <c r="A333" t="s">
        <v>1549</v>
      </c>
      <c r="B333" t="s">
        <v>30</v>
      </c>
      <c r="C333" t="s">
        <v>6</v>
      </c>
      <c r="D333" s="15">
        <v>1</v>
      </c>
      <c r="E333" s="7">
        <v>6813.83</v>
      </c>
      <c r="H333">
        <v>1274</v>
      </c>
      <c r="I333" t="s">
        <v>350</v>
      </c>
      <c r="J333" t="s">
        <v>1548</v>
      </c>
      <c r="K333" t="s">
        <v>3</v>
      </c>
      <c r="L333" s="2">
        <v>43191</v>
      </c>
      <c r="M333" s="2">
        <f>DHMXX[[#This Row],[INV DOC DATE]]+30</f>
        <v>43221</v>
      </c>
      <c r="N333" s="2">
        <v>43221</v>
      </c>
      <c r="O333" s="7">
        <v>6813.83</v>
      </c>
      <c r="P333" s="2">
        <v>43227</v>
      </c>
      <c r="Q333" s="7">
        <f>$E333-$O333</f>
        <v>0</v>
      </c>
      <c r="R333" s="7" t="str">
        <f ca="1">IF(TODAY() - DHMXX[INV DUE DATE]&lt;30, "Less than 30 days",IF(TODAY()-DHMXX[INV DUE DATE]&lt;60,"30-60 days","More than 60 days"))</f>
        <v>More than 60 days</v>
      </c>
      <c r="S333" t="s">
        <v>1550</v>
      </c>
      <c r="T333" s="43" t="s">
        <v>2229</v>
      </c>
      <c r="U333" t="s">
        <v>3699</v>
      </c>
    </row>
    <row r="334" spans="1:21" x14ac:dyDescent="0.3">
      <c r="A334" t="s">
        <v>1549</v>
      </c>
      <c r="B334" t="s">
        <v>30</v>
      </c>
      <c r="C334" t="s">
        <v>7</v>
      </c>
      <c r="D334" s="15">
        <v>1</v>
      </c>
      <c r="E334" s="7">
        <v>206.48</v>
      </c>
      <c r="H334">
        <v>2747</v>
      </c>
      <c r="I334" t="s">
        <v>844</v>
      </c>
      <c r="J334" t="s">
        <v>1548</v>
      </c>
      <c r="K334" t="s">
        <v>3</v>
      </c>
      <c r="L334" s="2">
        <v>43191</v>
      </c>
      <c r="M334" s="2">
        <f>DHMXX[[#This Row],[INV DOC DATE]]+30</f>
        <v>43221</v>
      </c>
      <c r="N334" s="2">
        <v>43221</v>
      </c>
      <c r="O334" s="7">
        <v>206.48</v>
      </c>
      <c r="P334" s="2">
        <v>43227</v>
      </c>
      <c r="Q334" s="7">
        <f>$E334-$O334</f>
        <v>0</v>
      </c>
      <c r="R334" s="7" t="str">
        <f ca="1">IF(TODAY() - DHMXX[INV DUE DATE]&lt;30, "Less than 30 days",IF(TODAY()-DHMXX[INV DUE DATE]&lt;60,"30-60 days","More than 60 days"))</f>
        <v>More than 60 days</v>
      </c>
      <c r="S334" t="s">
        <v>1550</v>
      </c>
      <c r="T334" s="43" t="s">
        <v>2229</v>
      </c>
      <c r="U334" t="s">
        <v>3699</v>
      </c>
    </row>
    <row r="335" spans="1:21" x14ac:dyDescent="0.3">
      <c r="A335" t="s">
        <v>1549</v>
      </c>
      <c r="B335" t="s">
        <v>30</v>
      </c>
      <c r="C335" t="s">
        <v>8</v>
      </c>
      <c r="D335" s="15">
        <v>1</v>
      </c>
      <c r="E335" s="7">
        <v>1032.4000000000001</v>
      </c>
      <c r="H335">
        <v>3825</v>
      </c>
      <c r="I335" t="s">
        <v>845</v>
      </c>
      <c r="J335" t="s">
        <v>1548</v>
      </c>
      <c r="K335" t="s">
        <v>3</v>
      </c>
      <c r="L335" s="2">
        <v>43191</v>
      </c>
      <c r="M335" s="2">
        <f>DHMXX[[#This Row],[INV DOC DATE]]+30</f>
        <v>43221</v>
      </c>
      <c r="N335" s="2">
        <v>43221</v>
      </c>
      <c r="O335" s="7">
        <v>1032.4000000000001</v>
      </c>
      <c r="P335" s="2">
        <v>43227</v>
      </c>
      <c r="Q335" s="7">
        <f>$E335-$O335</f>
        <v>0</v>
      </c>
      <c r="R335" s="7" t="str">
        <f ca="1">IF(TODAY() - DHMXX[INV DUE DATE]&lt;30, "Less than 30 days",IF(TODAY()-DHMXX[INV DUE DATE]&lt;60,"30-60 days","More than 60 days"))</f>
        <v>More than 60 days</v>
      </c>
      <c r="S335" t="s">
        <v>1550</v>
      </c>
      <c r="T335" s="43" t="s">
        <v>2229</v>
      </c>
      <c r="U335" t="s">
        <v>3699</v>
      </c>
    </row>
    <row r="336" spans="1:21" x14ac:dyDescent="0.3">
      <c r="A336" t="s">
        <v>1549</v>
      </c>
      <c r="B336" t="s">
        <v>30</v>
      </c>
      <c r="C336" t="s">
        <v>9</v>
      </c>
      <c r="D336" s="15">
        <v>1</v>
      </c>
      <c r="E336" s="7">
        <v>206.48</v>
      </c>
      <c r="H336">
        <v>8327</v>
      </c>
      <c r="I336" t="s">
        <v>854</v>
      </c>
      <c r="J336" t="s">
        <v>1548</v>
      </c>
      <c r="K336" t="s">
        <v>3</v>
      </c>
      <c r="L336" s="2">
        <v>43191</v>
      </c>
      <c r="M336" s="2">
        <f>DHMXX[[#This Row],[INV DOC DATE]]+30</f>
        <v>43221</v>
      </c>
      <c r="N336" s="2">
        <v>43221</v>
      </c>
      <c r="O336" s="7">
        <v>206.48</v>
      </c>
      <c r="P336" s="2">
        <v>43227</v>
      </c>
      <c r="Q336" s="7">
        <f>$E336-$O336</f>
        <v>0</v>
      </c>
      <c r="R336" s="7" t="str">
        <f ca="1">IF(TODAY() - DHMXX[INV DUE DATE]&lt;30, "Less than 30 days",IF(TODAY()-DHMXX[INV DUE DATE]&lt;60,"30-60 days","More than 60 days"))</f>
        <v>More than 60 days</v>
      </c>
      <c r="S336" t="s">
        <v>1550</v>
      </c>
      <c r="T336" s="43" t="s">
        <v>2229</v>
      </c>
      <c r="U336" t="s">
        <v>3699</v>
      </c>
    </row>
    <row r="337" spans="1:21" x14ac:dyDescent="0.3">
      <c r="A337" t="s">
        <v>1549</v>
      </c>
      <c r="B337" t="s">
        <v>30</v>
      </c>
      <c r="C337" t="s">
        <v>10</v>
      </c>
      <c r="D337" s="15">
        <v>1</v>
      </c>
      <c r="E337" s="7">
        <v>619.44000000000005</v>
      </c>
      <c r="H337">
        <v>13342</v>
      </c>
      <c r="I337" t="s">
        <v>839</v>
      </c>
      <c r="J337" t="s">
        <v>1548</v>
      </c>
      <c r="K337" t="s">
        <v>3</v>
      </c>
      <c r="L337" s="2">
        <v>43191</v>
      </c>
      <c r="M337" s="2">
        <f>DHMXX[[#This Row],[INV DOC DATE]]+30</f>
        <v>43221</v>
      </c>
      <c r="N337" s="2">
        <v>43221</v>
      </c>
      <c r="O337" s="7">
        <v>619.44000000000005</v>
      </c>
      <c r="P337" s="2">
        <v>43227</v>
      </c>
      <c r="Q337" s="7">
        <f>$E337-$O337</f>
        <v>0</v>
      </c>
      <c r="R337" s="7" t="str">
        <f ca="1">IF(TODAY() - DHMXX[INV DUE DATE]&lt;30, "Less than 30 days",IF(TODAY()-DHMXX[INV DUE DATE]&lt;60,"30-60 days","More than 60 days"))</f>
        <v>More than 60 days</v>
      </c>
      <c r="S337" t="s">
        <v>1550</v>
      </c>
      <c r="T337" s="43" t="s">
        <v>2229</v>
      </c>
      <c r="U337" t="s">
        <v>3699</v>
      </c>
    </row>
    <row r="338" spans="1:21" x14ac:dyDescent="0.3">
      <c r="A338" t="s">
        <v>1549</v>
      </c>
      <c r="B338" t="s">
        <v>30</v>
      </c>
      <c r="C338" t="s">
        <v>11</v>
      </c>
      <c r="D338" s="15">
        <v>1</v>
      </c>
      <c r="E338" s="7">
        <v>412.96</v>
      </c>
      <c r="H338">
        <v>54876</v>
      </c>
      <c r="I338" t="s">
        <v>841</v>
      </c>
      <c r="J338" t="s">
        <v>1548</v>
      </c>
      <c r="K338" t="s">
        <v>3</v>
      </c>
      <c r="L338" s="2">
        <v>43191</v>
      </c>
      <c r="M338" s="2">
        <f>DHMXX[[#This Row],[INV DOC DATE]]+30</f>
        <v>43221</v>
      </c>
      <c r="N338" s="2">
        <v>43221</v>
      </c>
      <c r="O338" s="7">
        <v>412.96</v>
      </c>
      <c r="P338" s="2">
        <v>43227</v>
      </c>
      <c r="Q338" s="7">
        <f>$E338-$O338</f>
        <v>0</v>
      </c>
      <c r="R338" s="7" t="str">
        <f ca="1">IF(TODAY() - DHMXX[INV DUE DATE]&lt;30, "Less than 30 days",IF(TODAY()-DHMXX[INV DUE DATE]&lt;60,"30-60 days","More than 60 days"))</f>
        <v>More than 60 days</v>
      </c>
      <c r="S338" t="s">
        <v>1550</v>
      </c>
      <c r="T338" s="43" t="s">
        <v>2229</v>
      </c>
      <c r="U338" t="s">
        <v>3699</v>
      </c>
    </row>
    <row r="339" spans="1:21" x14ac:dyDescent="0.3">
      <c r="A339" t="s">
        <v>1549</v>
      </c>
      <c r="B339" t="s">
        <v>30</v>
      </c>
      <c r="C339" t="s">
        <v>12</v>
      </c>
      <c r="D339" s="15">
        <v>1</v>
      </c>
      <c r="E339" s="7">
        <v>206.48</v>
      </c>
      <c r="H339">
        <v>55052</v>
      </c>
      <c r="I339" t="s">
        <v>353</v>
      </c>
      <c r="J339" t="s">
        <v>1548</v>
      </c>
      <c r="K339" t="s">
        <v>3</v>
      </c>
      <c r="L339" s="2">
        <v>43191</v>
      </c>
      <c r="M339" s="2">
        <f>DHMXX[[#This Row],[INV DOC DATE]]+30</f>
        <v>43221</v>
      </c>
      <c r="N339" s="2">
        <v>43221</v>
      </c>
      <c r="O339" s="7">
        <v>206.48</v>
      </c>
      <c r="P339" s="2">
        <v>43227</v>
      </c>
      <c r="Q339" s="7">
        <f>$E339-$O339</f>
        <v>0</v>
      </c>
      <c r="R339" s="7" t="str">
        <f ca="1">IF(TODAY() - DHMXX[INV DUE DATE]&lt;30, "Less than 30 days",IF(TODAY()-DHMXX[INV DUE DATE]&lt;60,"30-60 days","More than 60 days"))</f>
        <v>More than 60 days</v>
      </c>
      <c r="S339" t="s">
        <v>1550</v>
      </c>
      <c r="T339" s="43" t="s">
        <v>2229</v>
      </c>
      <c r="U339" t="s">
        <v>3699</v>
      </c>
    </row>
    <row r="340" spans="1:21" x14ac:dyDescent="0.3">
      <c r="A340" t="s">
        <v>1549</v>
      </c>
      <c r="B340" t="s">
        <v>30</v>
      </c>
      <c r="C340" t="s">
        <v>13</v>
      </c>
      <c r="D340" s="15">
        <v>1</v>
      </c>
      <c r="E340" s="7">
        <v>619.44000000000005</v>
      </c>
      <c r="H340">
        <v>55242</v>
      </c>
      <c r="I340" t="s">
        <v>353</v>
      </c>
      <c r="J340" t="s">
        <v>1548</v>
      </c>
      <c r="K340" t="s">
        <v>3</v>
      </c>
      <c r="L340" s="2">
        <v>43191</v>
      </c>
      <c r="M340" s="2">
        <f>DHMXX[[#This Row],[INV DOC DATE]]+30</f>
        <v>43221</v>
      </c>
      <c r="N340" s="2">
        <v>43221</v>
      </c>
      <c r="O340" s="7">
        <v>619.44000000000005</v>
      </c>
      <c r="P340" s="2">
        <v>43227</v>
      </c>
      <c r="Q340" s="7">
        <f>$E340-$O340</f>
        <v>0</v>
      </c>
      <c r="R340" s="7" t="str">
        <f ca="1">IF(TODAY() - DHMXX[INV DUE DATE]&lt;30, "Less than 30 days",IF(TODAY()-DHMXX[INV DUE DATE]&lt;60,"30-60 days","More than 60 days"))</f>
        <v>More than 60 days</v>
      </c>
      <c r="S340" t="s">
        <v>1550</v>
      </c>
      <c r="T340" s="43" t="s">
        <v>2229</v>
      </c>
      <c r="U340" t="s">
        <v>3699</v>
      </c>
    </row>
    <row r="341" spans="1:21" x14ac:dyDescent="0.3">
      <c r="A341" t="s">
        <v>1549</v>
      </c>
      <c r="B341" t="s">
        <v>30</v>
      </c>
      <c r="C341" t="s">
        <v>14</v>
      </c>
      <c r="D341" s="15">
        <v>1</v>
      </c>
      <c r="E341" s="7">
        <v>412.96</v>
      </c>
      <c r="H341">
        <v>55253</v>
      </c>
      <c r="I341" t="s">
        <v>353</v>
      </c>
      <c r="J341" t="s">
        <v>1548</v>
      </c>
      <c r="K341" t="s">
        <v>3</v>
      </c>
      <c r="L341" s="2">
        <v>43191</v>
      </c>
      <c r="M341" s="2">
        <f>DHMXX[[#This Row],[INV DOC DATE]]+30</f>
        <v>43221</v>
      </c>
      <c r="N341" s="2">
        <v>43221</v>
      </c>
      <c r="O341" s="7">
        <v>412.96</v>
      </c>
      <c r="P341" s="2">
        <v>43227</v>
      </c>
      <c r="Q341" s="7">
        <f>$E341-$O341</f>
        <v>0</v>
      </c>
      <c r="R341" s="7" t="str">
        <f ca="1">IF(TODAY() - DHMXX[INV DUE DATE]&lt;30, "Less than 30 days",IF(TODAY()-DHMXX[INV DUE DATE]&lt;60,"30-60 days","More than 60 days"))</f>
        <v>More than 60 days</v>
      </c>
      <c r="S341" t="s">
        <v>1550</v>
      </c>
      <c r="T341" s="43" t="s">
        <v>2229</v>
      </c>
      <c r="U341" t="s">
        <v>3699</v>
      </c>
    </row>
    <row r="342" spans="1:21" x14ac:dyDescent="0.3">
      <c r="A342" t="s">
        <v>1549</v>
      </c>
      <c r="B342" t="s">
        <v>30</v>
      </c>
      <c r="C342" t="s">
        <v>15</v>
      </c>
      <c r="D342" s="15">
        <v>1</v>
      </c>
      <c r="E342" s="7">
        <v>1858.32</v>
      </c>
      <c r="H342">
        <v>55292</v>
      </c>
      <c r="I342" t="s">
        <v>353</v>
      </c>
      <c r="J342" t="s">
        <v>1548</v>
      </c>
      <c r="K342" t="s">
        <v>3</v>
      </c>
      <c r="L342" s="2">
        <v>43191</v>
      </c>
      <c r="M342" s="2">
        <f>DHMXX[[#This Row],[INV DOC DATE]]+30</f>
        <v>43221</v>
      </c>
      <c r="N342" s="2">
        <v>43221</v>
      </c>
      <c r="O342" s="7">
        <v>1858.32</v>
      </c>
      <c r="P342" s="2">
        <v>43227</v>
      </c>
      <c r="Q342" s="7">
        <f>$E342-$O342</f>
        <v>0</v>
      </c>
      <c r="R342" s="7" t="str">
        <f ca="1">IF(TODAY() - DHMXX[INV DUE DATE]&lt;30, "Less than 30 days",IF(TODAY()-DHMXX[INV DUE DATE]&lt;60,"30-60 days","More than 60 days"))</f>
        <v>More than 60 days</v>
      </c>
      <c r="S342" t="s">
        <v>1550</v>
      </c>
      <c r="T342" s="43" t="s">
        <v>2229</v>
      </c>
      <c r="U342" t="s">
        <v>3699</v>
      </c>
    </row>
    <row r="343" spans="1:21" x14ac:dyDescent="0.3">
      <c r="A343" t="s">
        <v>1549</v>
      </c>
      <c r="B343" t="s">
        <v>30</v>
      </c>
      <c r="C343" t="s">
        <v>16</v>
      </c>
      <c r="D343" s="15">
        <v>1</v>
      </c>
      <c r="E343" s="7">
        <v>206.48</v>
      </c>
      <c r="H343">
        <v>55477</v>
      </c>
      <c r="I343" t="s">
        <v>846</v>
      </c>
      <c r="J343" t="s">
        <v>1548</v>
      </c>
      <c r="K343" t="s">
        <v>3</v>
      </c>
      <c r="L343" s="2">
        <v>43191</v>
      </c>
      <c r="M343" s="2">
        <f>DHMXX[[#This Row],[INV DOC DATE]]+30</f>
        <v>43221</v>
      </c>
      <c r="N343" s="2">
        <v>43221</v>
      </c>
      <c r="O343" s="7">
        <v>206.48</v>
      </c>
      <c r="P343" s="2">
        <v>43227</v>
      </c>
      <c r="Q343" s="7">
        <f>$E343-$O343</f>
        <v>0</v>
      </c>
      <c r="R343" s="7" t="str">
        <f ca="1">IF(TODAY() - DHMXX[INV DUE DATE]&lt;30, "Less than 30 days",IF(TODAY()-DHMXX[INV DUE DATE]&lt;60,"30-60 days","More than 60 days"))</f>
        <v>More than 60 days</v>
      </c>
      <c r="S343" t="s">
        <v>1550</v>
      </c>
      <c r="T343" s="43" t="s">
        <v>2229</v>
      </c>
      <c r="U343" t="s">
        <v>3699</v>
      </c>
    </row>
    <row r="344" spans="1:21" x14ac:dyDescent="0.3">
      <c r="A344" t="s">
        <v>1549</v>
      </c>
      <c r="B344" t="s">
        <v>30</v>
      </c>
      <c r="C344" t="s">
        <v>17</v>
      </c>
      <c r="D344" s="15">
        <v>1</v>
      </c>
      <c r="E344" s="7">
        <v>619.44000000000005</v>
      </c>
      <c r="H344">
        <v>55766</v>
      </c>
      <c r="I344" t="s">
        <v>847</v>
      </c>
      <c r="J344" t="s">
        <v>1548</v>
      </c>
      <c r="K344" t="s">
        <v>3</v>
      </c>
      <c r="L344" s="2">
        <v>43191</v>
      </c>
      <c r="M344" s="2">
        <f>DHMXX[[#This Row],[INV DOC DATE]]+30</f>
        <v>43221</v>
      </c>
      <c r="N344" s="2">
        <v>43221</v>
      </c>
      <c r="O344" s="7">
        <v>619.44000000000005</v>
      </c>
      <c r="P344" s="2">
        <v>43227</v>
      </c>
      <c r="Q344" s="7">
        <f>$E344-$O344</f>
        <v>0</v>
      </c>
      <c r="R344" s="7" t="str">
        <f ca="1">IF(TODAY() - DHMXX[INV DUE DATE]&lt;30, "Less than 30 days",IF(TODAY()-DHMXX[INV DUE DATE]&lt;60,"30-60 days","More than 60 days"))</f>
        <v>More than 60 days</v>
      </c>
      <c r="S344" t="s">
        <v>1550</v>
      </c>
      <c r="T344" s="43" t="s">
        <v>2229</v>
      </c>
      <c r="U344" t="s">
        <v>3699</v>
      </c>
    </row>
    <row r="345" spans="1:21" x14ac:dyDescent="0.3">
      <c r="A345" t="s">
        <v>1549</v>
      </c>
      <c r="B345" t="s">
        <v>30</v>
      </c>
      <c r="C345" t="s">
        <v>18</v>
      </c>
      <c r="D345" s="15">
        <v>1</v>
      </c>
      <c r="E345" s="7">
        <v>206.48</v>
      </c>
      <c r="H345">
        <v>55785</v>
      </c>
      <c r="I345" t="s">
        <v>354</v>
      </c>
      <c r="J345" t="s">
        <v>1548</v>
      </c>
      <c r="K345" t="s">
        <v>3</v>
      </c>
      <c r="L345" s="2">
        <v>43191</v>
      </c>
      <c r="M345" s="2">
        <f>DHMXX[[#This Row],[INV DOC DATE]]+30</f>
        <v>43221</v>
      </c>
      <c r="N345" s="2">
        <v>43221</v>
      </c>
      <c r="O345" s="7">
        <v>206.48</v>
      </c>
      <c r="P345" s="2">
        <v>43227</v>
      </c>
      <c r="Q345" s="7">
        <f>$E345-$O345</f>
        <v>0</v>
      </c>
      <c r="R345" s="7" t="str">
        <f ca="1">IF(TODAY() - DHMXX[INV DUE DATE]&lt;30, "Less than 30 days",IF(TODAY()-DHMXX[INV DUE DATE]&lt;60,"30-60 days","More than 60 days"))</f>
        <v>More than 60 days</v>
      </c>
      <c r="S345" t="s">
        <v>1550</v>
      </c>
      <c r="T345" s="43" t="s">
        <v>2229</v>
      </c>
      <c r="U345" t="s">
        <v>3699</v>
      </c>
    </row>
    <row r="346" spans="1:21" x14ac:dyDescent="0.3">
      <c r="A346" t="s">
        <v>1549</v>
      </c>
      <c r="B346" t="s">
        <v>30</v>
      </c>
      <c r="C346" t="s">
        <v>19</v>
      </c>
      <c r="D346" s="15">
        <v>1</v>
      </c>
      <c r="E346" s="7">
        <v>619.44000000000005</v>
      </c>
      <c r="H346">
        <v>56539</v>
      </c>
      <c r="I346" t="s">
        <v>848</v>
      </c>
      <c r="J346" t="s">
        <v>1548</v>
      </c>
      <c r="K346" t="s">
        <v>3</v>
      </c>
      <c r="L346" s="2">
        <v>43191</v>
      </c>
      <c r="M346" s="2">
        <f>DHMXX[[#This Row],[INV DOC DATE]]+30</f>
        <v>43221</v>
      </c>
      <c r="N346" s="2">
        <v>43221</v>
      </c>
      <c r="O346" s="7">
        <v>619.44000000000005</v>
      </c>
      <c r="P346" s="2">
        <v>43227</v>
      </c>
      <c r="Q346" s="7">
        <f>$E346-$O346</f>
        <v>0</v>
      </c>
      <c r="R346" s="7" t="str">
        <f ca="1">IF(TODAY() - DHMXX[INV DUE DATE]&lt;30, "Less than 30 days",IF(TODAY()-DHMXX[INV DUE DATE]&lt;60,"30-60 days","More than 60 days"))</f>
        <v>More than 60 days</v>
      </c>
      <c r="S346" t="s">
        <v>1550</v>
      </c>
      <c r="T346" s="43" t="s">
        <v>2229</v>
      </c>
      <c r="U346" t="s">
        <v>3699</v>
      </c>
    </row>
    <row r="347" spans="1:21" x14ac:dyDescent="0.3">
      <c r="A347" t="s">
        <v>1549</v>
      </c>
      <c r="B347" t="s">
        <v>30</v>
      </c>
      <c r="C347" t="s">
        <v>20</v>
      </c>
      <c r="D347" s="15">
        <v>1</v>
      </c>
      <c r="E347" s="7">
        <v>825.92</v>
      </c>
      <c r="H347">
        <v>56774</v>
      </c>
      <c r="I347" t="s">
        <v>849</v>
      </c>
      <c r="J347" t="s">
        <v>1548</v>
      </c>
      <c r="K347" t="s">
        <v>3</v>
      </c>
      <c r="L347" s="2">
        <v>43191</v>
      </c>
      <c r="M347" s="2">
        <f>DHMXX[[#This Row],[INV DOC DATE]]+30</f>
        <v>43221</v>
      </c>
      <c r="N347" s="2">
        <v>43221</v>
      </c>
      <c r="O347" s="7">
        <v>825.92</v>
      </c>
      <c r="P347" s="2">
        <v>43227</v>
      </c>
      <c r="Q347" s="7">
        <f>$E347-$O347</f>
        <v>0</v>
      </c>
      <c r="R347" s="7" t="str">
        <f ca="1">IF(TODAY() - DHMXX[INV DUE DATE]&lt;30, "Less than 30 days",IF(TODAY()-DHMXX[INV DUE DATE]&lt;60,"30-60 days","More than 60 days"))</f>
        <v>More than 60 days</v>
      </c>
      <c r="S347" t="s">
        <v>1550</v>
      </c>
      <c r="T347" s="43" t="s">
        <v>2229</v>
      </c>
      <c r="U347" t="s">
        <v>3699</v>
      </c>
    </row>
    <row r="348" spans="1:21" x14ac:dyDescent="0.3">
      <c r="A348" t="s">
        <v>1549</v>
      </c>
      <c r="B348" t="s">
        <v>30</v>
      </c>
      <c r="C348" t="s">
        <v>21</v>
      </c>
      <c r="D348" s="15">
        <v>1</v>
      </c>
      <c r="E348" s="7">
        <v>206.48</v>
      </c>
      <c r="H348">
        <v>58008</v>
      </c>
      <c r="I348" t="s">
        <v>355</v>
      </c>
      <c r="J348" t="s">
        <v>1548</v>
      </c>
      <c r="K348" t="s">
        <v>3</v>
      </c>
      <c r="L348" s="2">
        <v>43191</v>
      </c>
      <c r="M348" s="2">
        <f>DHMXX[[#This Row],[INV DOC DATE]]+30</f>
        <v>43221</v>
      </c>
      <c r="N348" s="2">
        <v>43221</v>
      </c>
      <c r="O348" s="7">
        <v>206.48</v>
      </c>
      <c r="P348" s="2">
        <v>43227</v>
      </c>
      <c r="Q348" s="7">
        <f>$E348-$O348</f>
        <v>0</v>
      </c>
      <c r="R348" s="7" t="str">
        <f ca="1">IF(TODAY() - DHMXX[INV DUE DATE]&lt;30, "Less than 30 days",IF(TODAY()-DHMXX[INV DUE DATE]&lt;60,"30-60 days","More than 60 days"))</f>
        <v>More than 60 days</v>
      </c>
      <c r="S348" t="s">
        <v>1550</v>
      </c>
      <c r="T348" s="43" t="s">
        <v>2229</v>
      </c>
      <c r="U348" t="s">
        <v>3699</v>
      </c>
    </row>
    <row r="349" spans="1:21" x14ac:dyDescent="0.3">
      <c r="A349" t="s">
        <v>1549</v>
      </c>
      <c r="B349" t="s">
        <v>30</v>
      </c>
      <c r="C349" t="s">
        <v>22</v>
      </c>
      <c r="D349" s="15">
        <v>1</v>
      </c>
      <c r="E349" s="7">
        <v>206.48</v>
      </c>
      <c r="H349">
        <v>59994</v>
      </c>
      <c r="I349" t="s">
        <v>850</v>
      </c>
      <c r="J349" t="s">
        <v>1548</v>
      </c>
      <c r="K349" t="s">
        <v>3</v>
      </c>
      <c r="L349" s="2">
        <v>43191</v>
      </c>
      <c r="M349" s="2">
        <f>DHMXX[[#This Row],[INV DOC DATE]]+30</f>
        <v>43221</v>
      </c>
      <c r="N349" s="2">
        <v>43221</v>
      </c>
      <c r="O349" s="7">
        <v>206.48</v>
      </c>
      <c r="P349" s="2">
        <v>43227</v>
      </c>
      <c r="Q349" s="7">
        <f>$E349-$O349</f>
        <v>0</v>
      </c>
      <c r="R349" s="7" t="str">
        <f ca="1">IF(TODAY() - DHMXX[INV DUE DATE]&lt;30, "Less than 30 days",IF(TODAY()-DHMXX[INV DUE DATE]&lt;60,"30-60 days","More than 60 days"))</f>
        <v>More than 60 days</v>
      </c>
      <c r="S349" t="s">
        <v>1550</v>
      </c>
      <c r="T349" s="43" t="s">
        <v>2229</v>
      </c>
      <c r="U349" t="s">
        <v>3699</v>
      </c>
    </row>
    <row r="350" spans="1:21" x14ac:dyDescent="0.3">
      <c r="A350" t="s">
        <v>1549</v>
      </c>
      <c r="B350" t="s">
        <v>30</v>
      </c>
      <c r="C350" t="s">
        <v>23</v>
      </c>
      <c r="D350" s="15">
        <v>1</v>
      </c>
      <c r="E350" s="7">
        <v>206.48</v>
      </c>
      <c r="H350">
        <v>64179</v>
      </c>
      <c r="I350" t="s">
        <v>845</v>
      </c>
      <c r="J350" t="s">
        <v>1548</v>
      </c>
      <c r="K350" t="s">
        <v>3</v>
      </c>
      <c r="L350" s="2">
        <v>43191</v>
      </c>
      <c r="M350" s="2">
        <f>DHMXX[[#This Row],[INV DOC DATE]]+30</f>
        <v>43221</v>
      </c>
      <c r="N350" s="2">
        <v>43221</v>
      </c>
      <c r="O350" s="7">
        <v>206.48</v>
      </c>
      <c r="P350" s="2">
        <v>43227</v>
      </c>
      <c r="Q350" s="7">
        <f>$E350-$O350</f>
        <v>0</v>
      </c>
      <c r="R350" s="7" t="str">
        <f ca="1">IF(TODAY() - DHMXX[INV DUE DATE]&lt;30, "Less than 30 days",IF(TODAY()-DHMXX[INV DUE DATE]&lt;60,"30-60 days","More than 60 days"))</f>
        <v>More than 60 days</v>
      </c>
      <c r="S350" t="s">
        <v>1550</v>
      </c>
      <c r="T350" s="43" t="s">
        <v>2229</v>
      </c>
      <c r="U350" t="s">
        <v>3699</v>
      </c>
    </row>
    <row r="351" spans="1:21" x14ac:dyDescent="0.3">
      <c r="A351" t="s">
        <v>1549</v>
      </c>
      <c r="B351" t="s">
        <v>30</v>
      </c>
      <c r="C351" t="s">
        <v>24</v>
      </c>
      <c r="D351" s="15">
        <v>1</v>
      </c>
      <c r="E351" s="7">
        <v>412.96</v>
      </c>
      <c r="H351">
        <v>66343</v>
      </c>
      <c r="I351" t="s">
        <v>353</v>
      </c>
      <c r="J351" t="s">
        <v>1548</v>
      </c>
      <c r="K351" t="s">
        <v>3</v>
      </c>
      <c r="L351" s="2">
        <v>43191</v>
      </c>
      <c r="M351" s="2">
        <f>DHMXX[[#This Row],[INV DOC DATE]]+30</f>
        <v>43221</v>
      </c>
      <c r="N351" s="2">
        <v>43221</v>
      </c>
      <c r="O351" s="7">
        <v>412.96</v>
      </c>
      <c r="P351" s="2">
        <v>43227</v>
      </c>
      <c r="Q351" s="7">
        <f>$E351-$O351</f>
        <v>0</v>
      </c>
      <c r="R351" s="7" t="str">
        <f ca="1">IF(TODAY() - DHMXX[INV DUE DATE]&lt;30, "Less than 30 days",IF(TODAY()-DHMXX[INV DUE DATE]&lt;60,"30-60 days","More than 60 days"))</f>
        <v>More than 60 days</v>
      </c>
      <c r="S351" t="s">
        <v>1550</v>
      </c>
      <c r="T351" s="43" t="s">
        <v>2229</v>
      </c>
      <c r="U351" t="s">
        <v>3699</v>
      </c>
    </row>
    <row r="352" spans="1:21" x14ac:dyDescent="0.3">
      <c r="A352" t="s">
        <v>1549</v>
      </c>
      <c r="B352" t="s">
        <v>30</v>
      </c>
      <c r="C352" t="s">
        <v>25</v>
      </c>
      <c r="D352" s="15">
        <v>1</v>
      </c>
      <c r="E352" s="7">
        <v>206.48</v>
      </c>
      <c r="H352">
        <v>66652</v>
      </c>
      <c r="I352" t="s">
        <v>356</v>
      </c>
      <c r="J352" t="s">
        <v>1548</v>
      </c>
      <c r="K352" t="s">
        <v>3</v>
      </c>
      <c r="L352" s="2">
        <v>43191</v>
      </c>
      <c r="M352" s="2">
        <f>DHMXX[[#This Row],[INV DOC DATE]]+30</f>
        <v>43221</v>
      </c>
      <c r="N352" s="2">
        <v>43221</v>
      </c>
      <c r="O352" s="7">
        <v>206.48</v>
      </c>
      <c r="P352" s="2">
        <v>43227</v>
      </c>
      <c r="Q352" s="7">
        <f>$E352-$O352</f>
        <v>0</v>
      </c>
      <c r="R352" s="7" t="str">
        <f ca="1">IF(TODAY() - DHMXX[INV DUE DATE]&lt;30, "Less than 30 days",IF(TODAY()-DHMXX[INV DUE DATE]&lt;60,"30-60 days","More than 60 days"))</f>
        <v>More than 60 days</v>
      </c>
      <c r="S352" t="s">
        <v>1550</v>
      </c>
      <c r="T352" s="43" t="s">
        <v>2229</v>
      </c>
      <c r="U352" t="s">
        <v>3699</v>
      </c>
    </row>
    <row r="353" spans="1:21" x14ac:dyDescent="0.3">
      <c r="A353" t="s">
        <v>1549</v>
      </c>
      <c r="B353" t="s">
        <v>30</v>
      </c>
      <c r="C353" t="s">
        <v>26</v>
      </c>
      <c r="D353" s="15">
        <v>1</v>
      </c>
      <c r="E353" s="7">
        <v>206.48</v>
      </c>
      <c r="H353">
        <v>66988</v>
      </c>
      <c r="I353" t="s">
        <v>349</v>
      </c>
      <c r="J353" t="s">
        <v>1548</v>
      </c>
      <c r="K353" t="s">
        <v>3</v>
      </c>
      <c r="L353" s="2">
        <v>43191</v>
      </c>
      <c r="M353" s="2">
        <f>DHMXX[[#This Row],[INV DOC DATE]]+30</f>
        <v>43221</v>
      </c>
      <c r="N353" s="2">
        <v>43221</v>
      </c>
      <c r="O353" s="7">
        <v>206.48</v>
      </c>
      <c r="P353" s="2">
        <v>43227</v>
      </c>
      <c r="Q353" s="7">
        <f>$E353-$O353</f>
        <v>0</v>
      </c>
      <c r="R353" s="7" t="str">
        <f ca="1">IF(TODAY() - DHMXX[INV DUE DATE]&lt;30, "Less than 30 days",IF(TODAY()-DHMXX[INV DUE DATE]&lt;60,"30-60 days","More than 60 days"))</f>
        <v>More than 60 days</v>
      </c>
      <c r="S353" t="s">
        <v>1550</v>
      </c>
      <c r="T353" s="43" t="s">
        <v>2229</v>
      </c>
      <c r="U353" t="s">
        <v>3699</v>
      </c>
    </row>
    <row r="354" spans="1:21" x14ac:dyDescent="0.3">
      <c r="A354" t="s">
        <v>1549</v>
      </c>
      <c r="B354" t="s">
        <v>30</v>
      </c>
      <c r="C354" t="s">
        <v>27</v>
      </c>
      <c r="D354" s="15">
        <v>1</v>
      </c>
      <c r="E354" s="7">
        <v>6607.35</v>
      </c>
      <c r="H354">
        <v>67865</v>
      </c>
      <c r="I354" t="s">
        <v>349</v>
      </c>
      <c r="J354" t="s">
        <v>1548</v>
      </c>
      <c r="K354" t="s">
        <v>3</v>
      </c>
      <c r="L354" s="2">
        <v>43191</v>
      </c>
      <c r="M354" s="2">
        <f>DHMXX[[#This Row],[INV DOC DATE]]+30</f>
        <v>43221</v>
      </c>
      <c r="N354" s="2">
        <v>43221</v>
      </c>
      <c r="O354" s="7">
        <v>6607.35</v>
      </c>
      <c r="P354" s="2">
        <v>43227</v>
      </c>
      <c r="Q354" s="7">
        <f>$E354-$O354</f>
        <v>0</v>
      </c>
      <c r="R354" s="7" t="str">
        <f ca="1">IF(TODAY() - DHMXX[INV DUE DATE]&lt;30, "Less than 30 days",IF(TODAY()-DHMXX[INV DUE DATE]&lt;60,"30-60 days","More than 60 days"))</f>
        <v>More than 60 days</v>
      </c>
      <c r="S354" t="s">
        <v>1550</v>
      </c>
      <c r="T354" s="43" t="s">
        <v>2229</v>
      </c>
      <c r="U354" t="s">
        <v>3699</v>
      </c>
    </row>
    <row r="355" spans="1:21" x14ac:dyDescent="0.3">
      <c r="A355" t="s">
        <v>1549</v>
      </c>
      <c r="B355" t="s">
        <v>30</v>
      </c>
      <c r="C355" t="s">
        <v>28</v>
      </c>
      <c r="D355" s="15">
        <v>1</v>
      </c>
      <c r="E355" s="7">
        <v>412.96</v>
      </c>
      <c r="H355">
        <v>68161</v>
      </c>
      <c r="I355" t="s">
        <v>358</v>
      </c>
      <c r="J355" t="s">
        <v>1548</v>
      </c>
      <c r="K355" t="s">
        <v>3</v>
      </c>
      <c r="L355" s="2">
        <v>43191</v>
      </c>
      <c r="M355" s="2">
        <f>DHMXX[[#This Row],[INV DOC DATE]]+30</f>
        <v>43221</v>
      </c>
      <c r="N355" s="2">
        <v>43221</v>
      </c>
      <c r="O355" s="7">
        <v>412.96</v>
      </c>
      <c r="P355" s="2">
        <v>43227</v>
      </c>
      <c r="Q355" s="7">
        <f>$E355-$O355</f>
        <v>0</v>
      </c>
      <c r="R355" s="7" t="str">
        <f ca="1">IF(TODAY() - DHMXX[INV DUE DATE]&lt;30, "Less than 30 days",IF(TODAY()-DHMXX[INV DUE DATE]&lt;60,"30-60 days","More than 60 days"))</f>
        <v>More than 60 days</v>
      </c>
      <c r="S355" t="s">
        <v>1550</v>
      </c>
      <c r="T355" s="43" t="s">
        <v>2229</v>
      </c>
      <c r="U355" t="s">
        <v>3699</v>
      </c>
    </row>
    <row r="356" spans="1:21" x14ac:dyDescent="0.3">
      <c r="A356" t="s">
        <v>1549</v>
      </c>
      <c r="B356" t="s">
        <v>30</v>
      </c>
      <c r="C356" t="s">
        <v>37</v>
      </c>
      <c r="D356" s="15">
        <v>1</v>
      </c>
      <c r="E356" s="7">
        <v>412.96</v>
      </c>
      <c r="H356">
        <v>76024</v>
      </c>
      <c r="I356" t="s">
        <v>851</v>
      </c>
      <c r="J356" t="s">
        <v>1548</v>
      </c>
      <c r="K356" t="s">
        <v>3</v>
      </c>
      <c r="L356" s="2">
        <v>43191</v>
      </c>
      <c r="M356" s="2">
        <f>DHMXX[[#This Row],[INV DOC DATE]]+30</f>
        <v>43221</v>
      </c>
      <c r="N356" s="2">
        <v>43221</v>
      </c>
      <c r="O356" s="7">
        <v>412.96</v>
      </c>
      <c r="P356" s="2">
        <v>43227</v>
      </c>
      <c r="Q356" s="7">
        <f>$E356-$O356</f>
        <v>0</v>
      </c>
      <c r="R356" s="7" t="str">
        <f ca="1">IF(TODAY() - DHMXX[INV DUE DATE]&lt;30, "Less than 30 days",IF(TODAY()-DHMXX[INV DUE DATE]&lt;60,"30-60 days","More than 60 days"))</f>
        <v>More than 60 days</v>
      </c>
      <c r="S356" t="s">
        <v>1550</v>
      </c>
      <c r="T356" s="43" t="s">
        <v>2229</v>
      </c>
      <c r="U356" t="s">
        <v>3699</v>
      </c>
    </row>
    <row r="357" spans="1:21" x14ac:dyDescent="0.3">
      <c r="A357" t="s">
        <v>1549</v>
      </c>
      <c r="B357" t="s">
        <v>30</v>
      </c>
      <c r="C357" t="s">
        <v>38</v>
      </c>
      <c r="D357" s="15">
        <v>1</v>
      </c>
      <c r="E357" s="7">
        <v>1032.4000000000001</v>
      </c>
      <c r="H357">
        <v>76833</v>
      </c>
      <c r="I357" t="s">
        <v>852</v>
      </c>
      <c r="J357" t="s">
        <v>1548</v>
      </c>
      <c r="K357" t="s">
        <v>3</v>
      </c>
      <c r="L357" s="2">
        <v>43191</v>
      </c>
      <c r="M357" s="2">
        <f>DHMXX[[#This Row],[INV DOC DATE]]+30</f>
        <v>43221</v>
      </c>
      <c r="N357" s="2">
        <v>43221</v>
      </c>
      <c r="O357" s="7">
        <v>1032.4000000000001</v>
      </c>
      <c r="P357" s="2">
        <v>43227</v>
      </c>
      <c r="Q357" s="7">
        <f>$E357-$O357</f>
        <v>0</v>
      </c>
      <c r="R357" s="7" t="str">
        <f ca="1">IF(TODAY() - DHMXX[INV DUE DATE]&lt;30, "Less than 30 days",IF(TODAY()-DHMXX[INV DUE DATE]&lt;60,"30-60 days","More than 60 days"))</f>
        <v>More than 60 days</v>
      </c>
      <c r="S357" t="s">
        <v>1550</v>
      </c>
      <c r="T357" s="43" t="s">
        <v>2229</v>
      </c>
      <c r="U357" t="s">
        <v>3699</v>
      </c>
    </row>
    <row r="358" spans="1:21" x14ac:dyDescent="0.3">
      <c r="A358" t="s">
        <v>1549</v>
      </c>
      <c r="B358" t="s">
        <v>30</v>
      </c>
      <c r="C358" t="s">
        <v>39</v>
      </c>
      <c r="D358" s="15">
        <v>1</v>
      </c>
      <c r="E358" s="7">
        <v>206.48</v>
      </c>
      <c r="H358">
        <v>82624</v>
      </c>
      <c r="I358" t="s">
        <v>853</v>
      </c>
      <c r="J358" t="s">
        <v>1548</v>
      </c>
      <c r="K358" t="s">
        <v>3</v>
      </c>
      <c r="L358" s="2">
        <v>43191</v>
      </c>
      <c r="M358" s="2">
        <f>DHMXX[[#This Row],[INV DOC DATE]]+30</f>
        <v>43221</v>
      </c>
      <c r="N358" s="2">
        <v>43221</v>
      </c>
      <c r="O358" s="7">
        <v>206.48</v>
      </c>
      <c r="P358" s="2">
        <v>43227</v>
      </c>
      <c r="Q358" s="7">
        <f>$E358-$O358</f>
        <v>0</v>
      </c>
      <c r="R358" s="7" t="str">
        <f ca="1">IF(TODAY() - DHMXX[INV DUE DATE]&lt;30, "Less than 30 days",IF(TODAY()-DHMXX[INV DUE DATE]&lt;60,"30-60 days","More than 60 days"))</f>
        <v>More than 60 days</v>
      </c>
      <c r="S358" t="s">
        <v>1550</v>
      </c>
      <c r="T358" s="43" t="s">
        <v>2229</v>
      </c>
      <c r="U358" t="s">
        <v>3699</v>
      </c>
    </row>
    <row r="359" spans="1:21" x14ac:dyDescent="0.3">
      <c r="A359" t="s">
        <v>1549</v>
      </c>
      <c r="B359" t="s">
        <v>30</v>
      </c>
      <c r="C359" t="s">
        <v>40</v>
      </c>
      <c r="D359" s="15">
        <v>1</v>
      </c>
      <c r="E359" s="7">
        <v>619.44000000000005</v>
      </c>
      <c r="H359">
        <v>85175</v>
      </c>
      <c r="I359" t="s">
        <v>839</v>
      </c>
      <c r="J359" t="s">
        <v>1548</v>
      </c>
      <c r="K359" t="s">
        <v>3</v>
      </c>
      <c r="L359" s="2">
        <v>43191</v>
      </c>
      <c r="M359" s="2">
        <f>DHMXX[[#This Row],[INV DOC DATE]]+30</f>
        <v>43221</v>
      </c>
      <c r="N359" s="2">
        <v>43221</v>
      </c>
      <c r="O359" s="7">
        <v>619.44000000000005</v>
      </c>
      <c r="P359" s="2">
        <v>43227</v>
      </c>
      <c r="Q359" s="7">
        <f>$E359-$O359</f>
        <v>0</v>
      </c>
      <c r="R359" s="7" t="str">
        <f ca="1">IF(TODAY() - DHMXX[INV DUE DATE]&lt;30, "Less than 30 days",IF(TODAY()-DHMXX[INV DUE DATE]&lt;60,"30-60 days","More than 60 days"))</f>
        <v>More than 60 days</v>
      </c>
      <c r="S359" t="s">
        <v>1550</v>
      </c>
      <c r="T359" s="43" t="s">
        <v>2229</v>
      </c>
      <c r="U359" t="s">
        <v>3699</v>
      </c>
    </row>
    <row r="360" spans="1:21" x14ac:dyDescent="0.3">
      <c r="A360" t="s">
        <v>1549</v>
      </c>
      <c r="B360" t="s">
        <v>30</v>
      </c>
      <c r="C360" t="s">
        <v>41</v>
      </c>
      <c r="D360" s="15">
        <v>1</v>
      </c>
      <c r="E360" s="7">
        <v>11769.27</v>
      </c>
      <c r="H360">
        <v>90352</v>
      </c>
      <c r="I360" t="s">
        <v>855</v>
      </c>
      <c r="J360" t="s">
        <v>1548</v>
      </c>
      <c r="K360" t="s">
        <v>3</v>
      </c>
      <c r="L360" s="2">
        <v>43191</v>
      </c>
      <c r="M360" s="2">
        <f>DHMXX[[#This Row],[INV DOC DATE]]+30</f>
        <v>43221</v>
      </c>
      <c r="N360" s="2">
        <v>43221</v>
      </c>
      <c r="O360" s="7">
        <v>11769.27</v>
      </c>
      <c r="P360" s="2">
        <v>43227</v>
      </c>
      <c r="Q360" s="7">
        <f>$E360-$O360</f>
        <v>0</v>
      </c>
      <c r="R360" s="7" t="str">
        <f ca="1">IF(TODAY() - DHMXX[INV DUE DATE]&lt;30, "Less than 30 days",IF(TODAY()-DHMXX[INV DUE DATE]&lt;60,"30-60 days","More than 60 days"))</f>
        <v>More than 60 days</v>
      </c>
      <c r="S360" t="s">
        <v>1550</v>
      </c>
      <c r="T360" s="43" t="s">
        <v>2229</v>
      </c>
      <c r="U360" t="s">
        <v>3699</v>
      </c>
    </row>
    <row r="361" spans="1:21" x14ac:dyDescent="0.3">
      <c r="A361" t="s">
        <v>1549</v>
      </c>
      <c r="B361" t="s">
        <v>30</v>
      </c>
      <c r="C361" t="s">
        <v>42</v>
      </c>
      <c r="D361" s="15">
        <v>1</v>
      </c>
      <c r="E361" s="7">
        <v>10736.94</v>
      </c>
      <c r="H361">
        <v>91295</v>
      </c>
      <c r="I361" t="s">
        <v>360</v>
      </c>
      <c r="J361" t="s">
        <v>1548</v>
      </c>
      <c r="K361" t="s">
        <v>3</v>
      </c>
      <c r="L361" s="2">
        <v>43191</v>
      </c>
      <c r="M361" s="2">
        <f>DHMXX[[#This Row],[INV DOC DATE]]+30</f>
        <v>43221</v>
      </c>
      <c r="N361" s="2">
        <v>43221</v>
      </c>
      <c r="O361" s="7">
        <v>10736.94</v>
      </c>
      <c r="P361" s="2">
        <v>43227</v>
      </c>
      <c r="Q361" s="7">
        <f>$E361-$O361</f>
        <v>0</v>
      </c>
      <c r="R361" s="7" t="str">
        <f ca="1">IF(TODAY() - DHMXX[INV DUE DATE]&lt;30, "Less than 30 days",IF(TODAY()-DHMXX[INV DUE DATE]&lt;60,"30-60 days","More than 60 days"))</f>
        <v>More than 60 days</v>
      </c>
      <c r="S361" t="s">
        <v>1550</v>
      </c>
      <c r="T361" s="43" t="s">
        <v>2229</v>
      </c>
      <c r="U361" t="s">
        <v>3699</v>
      </c>
    </row>
    <row r="362" spans="1:21" x14ac:dyDescent="0.3">
      <c r="A362" t="s">
        <v>1549</v>
      </c>
      <c r="B362" t="s">
        <v>30</v>
      </c>
      <c r="C362" t="s">
        <v>43</v>
      </c>
      <c r="D362" s="15">
        <v>1</v>
      </c>
      <c r="E362" s="7">
        <v>206.48</v>
      </c>
      <c r="H362">
        <v>92676</v>
      </c>
      <c r="I362" t="s">
        <v>854</v>
      </c>
      <c r="J362" t="s">
        <v>1548</v>
      </c>
      <c r="K362" t="s">
        <v>3</v>
      </c>
      <c r="L362" s="2">
        <v>43191</v>
      </c>
      <c r="M362" s="2">
        <f>DHMXX[[#This Row],[INV DOC DATE]]+30</f>
        <v>43221</v>
      </c>
      <c r="N362" s="2">
        <v>43221</v>
      </c>
      <c r="O362" s="7">
        <v>206.48</v>
      </c>
      <c r="P362" s="2">
        <v>43227</v>
      </c>
      <c r="Q362" s="7">
        <f>$E362-$O362</f>
        <v>0</v>
      </c>
      <c r="R362" s="7" t="str">
        <f ca="1">IF(TODAY() - DHMXX[INV DUE DATE]&lt;30, "Less than 30 days",IF(TODAY()-DHMXX[INV DUE DATE]&lt;60,"30-60 days","More than 60 days"))</f>
        <v>More than 60 days</v>
      </c>
      <c r="S362" t="s">
        <v>1550</v>
      </c>
      <c r="T362" s="43" t="s">
        <v>2229</v>
      </c>
      <c r="U362" t="s">
        <v>3699</v>
      </c>
    </row>
    <row r="363" spans="1:21" x14ac:dyDescent="0.3">
      <c r="A363" t="s">
        <v>1549</v>
      </c>
      <c r="B363" t="s">
        <v>30</v>
      </c>
      <c r="C363" t="s">
        <v>44</v>
      </c>
      <c r="D363" s="15">
        <v>1</v>
      </c>
      <c r="E363" s="7">
        <v>206.48</v>
      </c>
      <c r="H363">
        <v>94783</v>
      </c>
      <c r="I363" t="s">
        <v>360</v>
      </c>
      <c r="J363" t="s">
        <v>1548</v>
      </c>
      <c r="K363" t="s">
        <v>3</v>
      </c>
      <c r="L363" s="2">
        <v>43191</v>
      </c>
      <c r="M363" s="2">
        <f>DHMXX[[#This Row],[INV DOC DATE]]+30</f>
        <v>43221</v>
      </c>
      <c r="N363" s="2">
        <v>43221</v>
      </c>
      <c r="O363" s="7">
        <v>206.48</v>
      </c>
      <c r="P363" s="2">
        <v>43227</v>
      </c>
      <c r="Q363" s="7">
        <f>$E363-$O363</f>
        <v>0</v>
      </c>
      <c r="R363" s="7" t="str">
        <f ca="1">IF(TODAY() - DHMXX[INV DUE DATE]&lt;30, "Less than 30 days",IF(TODAY()-DHMXX[INV DUE DATE]&lt;60,"30-60 days","More than 60 days"))</f>
        <v>More than 60 days</v>
      </c>
      <c r="S363" t="s">
        <v>1550</v>
      </c>
      <c r="T363" s="43" t="s">
        <v>2229</v>
      </c>
      <c r="U363" t="s">
        <v>3699</v>
      </c>
    </row>
    <row r="364" spans="1:21" x14ac:dyDescent="0.3">
      <c r="A364" t="s">
        <v>1549</v>
      </c>
      <c r="B364" t="s">
        <v>30</v>
      </c>
      <c r="C364" t="s">
        <v>45</v>
      </c>
      <c r="D364" s="15">
        <v>1</v>
      </c>
      <c r="E364" s="7">
        <v>206.48</v>
      </c>
      <c r="H364">
        <v>115229</v>
      </c>
      <c r="I364" t="s">
        <v>349</v>
      </c>
      <c r="J364" t="s">
        <v>1548</v>
      </c>
      <c r="K364" t="s">
        <v>3</v>
      </c>
      <c r="L364" s="2">
        <v>43191</v>
      </c>
      <c r="M364" s="2">
        <f>DHMXX[[#This Row],[INV DOC DATE]]+30</f>
        <v>43221</v>
      </c>
      <c r="N364" s="2">
        <v>43221</v>
      </c>
      <c r="O364" s="7">
        <v>206.48</v>
      </c>
      <c r="P364" s="2">
        <v>43227</v>
      </c>
      <c r="Q364" s="7">
        <f>$E364-$O364</f>
        <v>0</v>
      </c>
      <c r="R364" s="7" t="str">
        <f ca="1">IF(TODAY() - DHMXX[INV DUE DATE]&lt;30, "Less than 30 days",IF(TODAY()-DHMXX[INV DUE DATE]&lt;60,"30-60 days","More than 60 days"))</f>
        <v>More than 60 days</v>
      </c>
      <c r="S364" t="s">
        <v>1550</v>
      </c>
      <c r="T364" s="43" t="s">
        <v>2229</v>
      </c>
      <c r="U364" t="s">
        <v>3699</v>
      </c>
    </row>
    <row r="365" spans="1:21" x14ac:dyDescent="0.3">
      <c r="A365" t="s">
        <v>1549</v>
      </c>
      <c r="B365" t="s">
        <v>30</v>
      </c>
      <c r="C365" t="s">
        <v>46</v>
      </c>
      <c r="D365" s="15">
        <v>1</v>
      </c>
      <c r="E365" s="7">
        <v>412.96</v>
      </c>
      <c r="H365">
        <v>140140</v>
      </c>
      <c r="I365" t="s">
        <v>840</v>
      </c>
      <c r="J365" t="s">
        <v>1548</v>
      </c>
      <c r="K365" t="s">
        <v>3</v>
      </c>
      <c r="L365" s="2">
        <v>43191</v>
      </c>
      <c r="M365" s="2">
        <f>DHMXX[[#This Row],[INV DOC DATE]]+30</f>
        <v>43221</v>
      </c>
      <c r="N365" s="2">
        <v>43221</v>
      </c>
      <c r="O365" s="7">
        <v>412.96</v>
      </c>
      <c r="P365" s="2">
        <v>43227</v>
      </c>
      <c r="Q365" s="7">
        <f>$E365-$O365</f>
        <v>0</v>
      </c>
      <c r="R365" s="7" t="str">
        <f ca="1">IF(TODAY() - DHMXX[INV DUE DATE]&lt;30, "Less than 30 days",IF(TODAY()-DHMXX[INV DUE DATE]&lt;60,"30-60 days","More than 60 days"))</f>
        <v>More than 60 days</v>
      </c>
      <c r="S365" t="s">
        <v>1550</v>
      </c>
      <c r="T365" s="43" t="s">
        <v>2229</v>
      </c>
      <c r="U365" t="s">
        <v>3699</v>
      </c>
    </row>
    <row r="366" spans="1:21" x14ac:dyDescent="0.3">
      <c r="A366" t="s">
        <v>1549</v>
      </c>
      <c r="B366" t="s">
        <v>30</v>
      </c>
      <c r="C366" t="s">
        <v>47</v>
      </c>
      <c r="D366" s="15">
        <v>1</v>
      </c>
      <c r="E366" s="7">
        <v>206.48</v>
      </c>
      <c r="H366">
        <v>142910</v>
      </c>
      <c r="I366" t="s">
        <v>841</v>
      </c>
      <c r="J366" t="s">
        <v>1548</v>
      </c>
      <c r="K366" t="s">
        <v>3</v>
      </c>
      <c r="L366" s="2">
        <v>43191</v>
      </c>
      <c r="M366" s="2">
        <f>DHMXX[[#This Row],[INV DOC DATE]]+30</f>
        <v>43221</v>
      </c>
      <c r="N366" s="2">
        <v>43221</v>
      </c>
      <c r="O366" s="7">
        <v>206.48</v>
      </c>
      <c r="P366" s="2">
        <v>43227</v>
      </c>
      <c r="Q366" s="7">
        <f>$E366-$O366</f>
        <v>0</v>
      </c>
      <c r="R366" s="7" t="str">
        <f ca="1">IF(TODAY() - DHMXX[INV DUE DATE]&lt;30, "Less than 30 days",IF(TODAY()-DHMXX[INV DUE DATE]&lt;60,"30-60 days","More than 60 days"))</f>
        <v>More than 60 days</v>
      </c>
      <c r="S366" t="s">
        <v>1550</v>
      </c>
      <c r="T366" s="43" t="s">
        <v>2229</v>
      </c>
      <c r="U366" t="s">
        <v>3699</v>
      </c>
    </row>
    <row r="367" spans="1:21" x14ac:dyDescent="0.3">
      <c r="A367" t="s">
        <v>1549</v>
      </c>
      <c r="B367" t="s">
        <v>30</v>
      </c>
      <c r="C367" t="s">
        <v>295</v>
      </c>
      <c r="D367" s="15">
        <v>1</v>
      </c>
      <c r="E367" s="7">
        <v>1238.8800000000001</v>
      </c>
      <c r="H367">
        <v>148833</v>
      </c>
      <c r="I367" t="s">
        <v>842</v>
      </c>
      <c r="J367" t="s">
        <v>1548</v>
      </c>
      <c r="K367" t="s">
        <v>3</v>
      </c>
      <c r="L367" s="2">
        <v>43191</v>
      </c>
      <c r="M367" s="2">
        <f>DHMXX[[#This Row],[INV DOC DATE]]+30</f>
        <v>43221</v>
      </c>
      <c r="N367" s="2">
        <v>43221</v>
      </c>
      <c r="O367" s="7">
        <v>1238.8800000000001</v>
      </c>
      <c r="P367" s="2">
        <v>43227</v>
      </c>
      <c r="Q367" s="7">
        <f>$E367-$O367</f>
        <v>0</v>
      </c>
      <c r="R367" s="7" t="str">
        <f ca="1">IF(TODAY() - DHMXX[INV DUE DATE]&lt;30, "Less than 30 days",IF(TODAY()-DHMXX[INV DUE DATE]&lt;60,"30-60 days","More than 60 days"))</f>
        <v>More than 60 days</v>
      </c>
      <c r="S367" t="s">
        <v>1550</v>
      </c>
      <c r="T367" s="43" t="s">
        <v>2229</v>
      </c>
      <c r="U367" t="s">
        <v>3699</v>
      </c>
    </row>
    <row r="368" spans="1:21" x14ac:dyDescent="0.3">
      <c r="A368" t="s">
        <v>1549</v>
      </c>
      <c r="B368" t="s">
        <v>30</v>
      </c>
      <c r="C368" t="s">
        <v>48</v>
      </c>
      <c r="D368" s="15">
        <v>1</v>
      </c>
      <c r="E368" s="7">
        <v>206.48</v>
      </c>
      <c r="H368">
        <v>162604</v>
      </c>
      <c r="I368" t="s">
        <v>842</v>
      </c>
      <c r="J368" t="s">
        <v>1548</v>
      </c>
      <c r="K368" t="s">
        <v>3</v>
      </c>
      <c r="L368" s="2">
        <v>43191</v>
      </c>
      <c r="M368" s="2">
        <f>DHMXX[[#This Row],[INV DOC DATE]]+30</f>
        <v>43221</v>
      </c>
      <c r="N368" s="2">
        <v>43221</v>
      </c>
      <c r="O368" s="7">
        <v>206.48</v>
      </c>
      <c r="P368" s="2">
        <v>43227</v>
      </c>
      <c r="Q368" s="7">
        <f>$E368-$O368</f>
        <v>0</v>
      </c>
      <c r="R368" s="7" t="str">
        <f ca="1">IF(TODAY() - DHMXX[INV DUE DATE]&lt;30, "Less than 30 days",IF(TODAY()-DHMXX[INV DUE DATE]&lt;60,"30-60 days","More than 60 days"))</f>
        <v>More than 60 days</v>
      </c>
      <c r="S368" t="s">
        <v>1550</v>
      </c>
      <c r="T368" s="43" t="s">
        <v>2229</v>
      </c>
      <c r="U368" t="s">
        <v>3699</v>
      </c>
    </row>
    <row r="369" spans="1:21" x14ac:dyDescent="0.3">
      <c r="A369" t="s">
        <v>1549</v>
      </c>
      <c r="B369" t="s">
        <v>30</v>
      </c>
      <c r="C369" t="s">
        <v>49</v>
      </c>
      <c r="D369" s="15">
        <v>1</v>
      </c>
      <c r="E369" s="7">
        <v>206.48</v>
      </c>
      <c r="H369">
        <v>165685</v>
      </c>
      <c r="I369" t="s">
        <v>843</v>
      </c>
      <c r="J369" t="s">
        <v>1548</v>
      </c>
      <c r="K369" t="s">
        <v>3</v>
      </c>
      <c r="L369" s="2">
        <v>43191</v>
      </c>
      <c r="M369" s="2">
        <f>DHMXX[[#This Row],[INV DOC DATE]]+30</f>
        <v>43221</v>
      </c>
      <c r="N369" s="2">
        <v>43221</v>
      </c>
      <c r="O369" s="7">
        <v>206.48</v>
      </c>
      <c r="P369" s="2">
        <v>43227</v>
      </c>
      <c r="Q369" s="7">
        <f>$E369-$O369</f>
        <v>0</v>
      </c>
      <c r="R369" s="7" t="str">
        <f ca="1">IF(TODAY() - DHMXX[INV DUE DATE]&lt;30, "Less than 30 days",IF(TODAY()-DHMXX[INV DUE DATE]&lt;60,"30-60 days","More than 60 days"))</f>
        <v>More than 60 days</v>
      </c>
      <c r="S369" t="s">
        <v>1550</v>
      </c>
      <c r="T369" s="43" t="s">
        <v>2229</v>
      </c>
      <c r="U369" t="s">
        <v>3699</v>
      </c>
    </row>
    <row r="370" spans="1:21" x14ac:dyDescent="0.3">
      <c r="A370" t="s">
        <v>1549</v>
      </c>
      <c r="B370" t="s">
        <v>30</v>
      </c>
      <c r="C370" t="s">
        <v>61</v>
      </c>
      <c r="D370" s="15">
        <v>2000</v>
      </c>
      <c r="E370" s="7">
        <v>619.44000000000005</v>
      </c>
      <c r="H370">
        <v>36784</v>
      </c>
      <c r="I370" t="s">
        <v>865</v>
      </c>
      <c r="J370" t="s">
        <v>1548</v>
      </c>
      <c r="K370" t="s">
        <v>3</v>
      </c>
      <c r="L370" s="2">
        <v>43191</v>
      </c>
      <c r="M370" s="2">
        <f>DHMXX[[#This Row],[INV DOC DATE]]+30</f>
        <v>43221</v>
      </c>
      <c r="N370" s="2">
        <v>43221</v>
      </c>
      <c r="O370" s="7">
        <v>619.44000000000005</v>
      </c>
      <c r="P370" s="2">
        <v>43227</v>
      </c>
      <c r="Q370" s="7">
        <f>$E370-$O370</f>
        <v>0</v>
      </c>
      <c r="R370" s="7" t="str">
        <f ca="1">IF(TODAY() - DHMXX[INV DUE DATE]&lt;30, "Less than 30 days",IF(TODAY()-DHMXX[INV DUE DATE]&lt;60,"30-60 days","More than 60 days"))</f>
        <v>More than 60 days</v>
      </c>
      <c r="S370" t="s">
        <v>1550</v>
      </c>
      <c r="T370" s="43" t="s">
        <v>2229</v>
      </c>
      <c r="U370" t="s">
        <v>3699</v>
      </c>
    </row>
    <row r="371" spans="1:21" x14ac:dyDescent="0.3">
      <c r="A371" t="s">
        <v>1549</v>
      </c>
      <c r="B371" t="s">
        <v>30</v>
      </c>
      <c r="C371" t="s">
        <v>62</v>
      </c>
      <c r="D371" s="15">
        <v>2000</v>
      </c>
      <c r="E371" s="7">
        <v>412.96</v>
      </c>
      <c r="H371">
        <v>36989</v>
      </c>
      <c r="I371" t="s">
        <v>361</v>
      </c>
      <c r="J371" t="s">
        <v>1548</v>
      </c>
      <c r="K371" t="s">
        <v>3</v>
      </c>
      <c r="L371" s="2">
        <v>43191</v>
      </c>
      <c r="M371" s="2">
        <f>DHMXX[[#This Row],[INV DOC DATE]]+30</f>
        <v>43221</v>
      </c>
      <c r="N371" s="2">
        <v>43221</v>
      </c>
      <c r="O371" s="7">
        <v>412.96</v>
      </c>
      <c r="P371" s="2">
        <v>43227</v>
      </c>
      <c r="Q371" s="7">
        <f>$E371-$O371</f>
        <v>0</v>
      </c>
      <c r="R371" s="7" t="str">
        <f ca="1">IF(TODAY() - DHMXX[INV DUE DATE]&lt;30, "Less than 30 days",IF(TODAY()-DHMXX[INV DUE DATE]&lt;60,"30-60 days","More than 60 days"))</f>
        <v>More than 60 days</v>
      </c>
      <c r="S371" t="s">
        <v>1550</v>
      </c>
      <c r="T371" s="43" t="s">
        <v>2229</v>
      </c>
      <c r="U371" t="s">
        <v>3699</v>
      </c>
    </row>
    <row r="372" spans="1:21" x14ac:dyDescent="0.3">
      <c r="A372" t="s">
        <v>1549</v>
      </c>
      <c r="B372" t="s">
        <v>30</v>
      </c>
      <c r="C372" t="s">
        <v>63</v>
      </c>
      <c r="D372" s="15">
        <v>2000</v>
      </c>
      <c r="E372" s="7">
        <v>2064.8000000000002</v>
      </c>
      <c r="H372">
        <v>36992</v>
      </c>
      <c r="I372" t="s">
        <v>361</v>
      </c>
      <c r="J372" t="s">
        <v>1548</v>
      </c>
      <c r="K372" t="s">
        <v>3</v>
      </c>
      <c r="L372" s="2">
        <v>43191</v>
      </c>
      <c r="M372" s="2">
        <f>DHMXX[[#This Row],[INV DOC DATE]]+30</f>
        <v>43221</v>
      </c>
      <c r="N372" s="2">
        <v>43221</v>
      </c>
      <c r="O372" s="7">
        <v>2064.8000000000002</v>
      </c>
      <c r="P372" s="2">
        <v>43227</v>
      </c>
      <c r="Q372" s="7">
        <f>$E372-$O372</f>
        <v>0</v>
      </c>
      <c r="R372" s="7" t="str">
        <f ca="1">IF(TODAY() - DHMXX[INV DUE DATE]&lt;30, "Less than 30 days",IF(TODAY()-DHMXX[INV DUE DATE]&lt;60,"30-60 days","More than 60 days"))</f>
        <v>More than 60 days</v>
      </c>
      <c r="S372" t="s">
        <v>1550</v>
      </c>
      <c r="T372" s="43" t="s">
        <v>2229</v>
      </c>
      <c r="U372" t="s">
        <v>3699</v>
      </c>
    </row>
    <row r="373" spans="1:21" x14ac:dyDescent="0.3">
      <c r="A373" t="s">
        <v>1549</v>
      </c>
      <c r="B373" t="s">
        <v>30</v>
      </c>
      <c r="C373" t="s">
        <v>64</v>
      </c>
      <c r="D373" s="15">
        <v>2000</v>
      </c>
      <c r="E373" s="7">
        <v>2890.71</v>
      </c>
      <c r="H373">
        <v>36997</v>
      </c>
      <c r="I373" t="s">
        <v>362</v>
      </c>
      <c r="J373" t="s">
        <v>1548</v>
      </c>
      <c r="K373" t="s">
        <v>3</v>
      </c>
      <c r="L373" s="2">
        <v>43191</v>
      </c>
      <c r="M373" s="2">
        <f>DHMXX[[#This Row],[INV DOC DATE]]+30</f>
        <v>43221</v>
      </c>
      <c r="N373" s="2">
        <v>43221</v>
      </c>
      <c r="O373" s="7">
        <v>2890.71</v>
      </c>
      <c r="P373" s="2">
        <v>43227</v>
      </c>
      <c r="Q373" s="7">
        <f>$E373-$O373</f>
        <v>0</v>
      </c>
      <c r="R373" s="7" t="str">
        <f ca="1">IF(TODAY() - DHMXX[INV DUE DATE]&lt;30, "Less than 30 days",IF(TODAY()-DHMXX[INV DUE DATE]&lt;60,"30-60 days","More than 60 days"))</f>
        <v>More than 60 days</v>
      </c>
      <c r="S373" t="s">
        <v>1550</v>
      </c>
      <c r="T373" s="43" t="s">
        <v>2229</v>
      </c>
      <c r="U373" t="s">
        <v>3699</v>
      </c>
    </row>
    <row r="374" spans="1:21" x14ac:dyDescent="0.3">
      <c r="A374" t="s">
        <v>1549</v>
      </c>
      <c r="B374" t="s">
        <v>30</v>
      </c>
      <c r="C374" t="s">
        <v>65</v>
      </c>
      <c r="D374" s="15">
        <v>2000</v>
      </c>
      <c r="E374" s="7">
        <v>2064.8000000000002</v>
      </c>
      <c r="H374">
        <v>37463</v>
      </c>
      <c r="I374" t="s">
        <v>866</v>
      </c>
      <c r="J374" t="s">
        <v>1548</v>
      </c>
      <c r="K374" t="s">
        <v>3</v>
      </c>
      <c r="L374" s="2">
        <v>43191</v>
      </c>
      <c r="M374" s="2">
        <f>DHMXX[[#This Row],[INV DOC DATE]]+30</f>
        <v>43221</v>
      </c>
      <c r="N374" s="2">
        <v>43221</v>
      </c>
      <c r="O374" s="7">
        <v>2064.8000000000002</v>
      </c>
      <c r="P374" s="2">
        <v>43227</v>
      </c>
      <c r="Q374" s="7">
        <f>$E374-$O374</f>
        <v>0</v>
      </c>
      <c r="R374" s="7" t="str">
        <f ca="1">IF(TODAY() - DHMXX[INV DUE DATE]&lt;30, "Less than 30 days",IF(TODAY()-DHMXX[INV DUE DATE]&lt;60,"30-60 days","More than 60 days"))</f>
        <v>More than 60 days</v>
      </c>
      <c r="S374" t="s">
        <v>1550</v>
      </c>
      <c r="T374" s="43" t="s">
        <v>2229</v>
      </c>
      <c r="U374" t="s">
        <v>3699</v>
      </c>
    </row>
    <row r="375" spans="1:21" x14ac:dyDescent="0.3">
      <c r="A375" t="s">
        <v>1549</v>
      </c>
      <c r="B375" t="s">
        <v>30</v>
      </c>
      <c r="C375" t="s">
        <v>66</v>
      </c>
      <c r="D375" s="15">
        <v>2000</v>
      </c>
      <c r="E375" s="7">
        <v>2271.2800000000002</v>
      </c>
      <c r="H375">
        <v>37912</v>
      </c>
      <c r="I375" t="s">
        <v>362</v>
      </c>
      <c r="J375" t="s">
        <v>1548</v>
      </c>
      <c r="K375" t="s">
        <v>3</v>
      </c>
      <c r="L375" s="2">
        <v>43191</v>
      </c>
      <c r="M375" s="2">
        <f>DHMXX[[#This Row],[INV DOC DATE]]+30</f>
        <v>43221</v>
      </c>
      <c r="N375" s="2">
        <v>43221</v>
      </c>
      <c r="O375" s="7">
        <v>2271.2800000000002</v>
      </c>
      <c r="P375" s="2">
        <v>43227</v>
      </c>
      <c r="Q375" s="7">
        <f>$E375-$O375</f>
        <v>0</v>
      </c>
      <c r="R375" s="7" t="str">
        <f ca="1">IF(TODAY() - DHMXX[INV DUE DATE]&lt;30, "Less than 30 days",IF(TODAY()-DHMXX[INV DUE DATE]&lt;60,"30-60 days","More than 60 days"))</f>
        <v>More than 60 days</v>
      </c>
      <c r="S375" t="s">
        <v>1550</v>
      </c>
      <c r="T375" s="43" t="s">
        <v>2229</v>
      </c>
      <c r="U375" t="s">
        <v>3699</v>
      </c>
    </row>
    <row r="376" spans="1:21" x14ac:dyDescent="0.3">
      <c r="A376" t="s">
        <v>1549</v>
      </c>
      <c r="B376" t="s">
        <v>30</v>
      </c>
      <c r="C376" t="s">
        <v>67</v>
      </c>
      <c r="D376" s="15">
        <v>2000</v>
      </c>
      <c r="E376" s="7">
        <v>1032.4000000000001</v>
      </c>
      <c r="H376">
        <v>82957</v>
      </c>
      <c r="I376" t="s">
        <v>867</v>
      </c>
      <c r="J376" t="s">
        <v>1548</v>
      </c>
      <c r="K376" t="s">
        <v>3</v>
      </c>
      <c r="L376" s="2">
        <v>43191</v>
      </c>
      <c r="M376" s="2">
        <f>DHMXX[[#This Row],[INV DOC DATE]]+30</f>
        <v>43221</v>
      </c>
      <c r="N376" s="2">
        <v>43221</v>
      </c>
      <c r="O376" s="7">
        <v>1032.4000000000001</v>
      </c>
      <c r="P376" s="2">
        <v>43227</v>
      </c>
      <c r="Q376" s="7">
        <f>$E376-$O376</f>
        <v>0</v>
      </c>
      <c r="R376" s="7" t="str">
        <f ca="1">IF(TODAY() - DHMXX[INV DUE DATE]&lt;30, "Less than 30 days",IF(TODAY()-DHMXX[INV DUE DATE]&lt;60,"30-60 days","More than 60 days"))</f>
        <v>More than 60 days</v>
      </c>
      <c r="S376" t="s">
        <v>1550</v>
      </c>
      <c r="T376" s="43" t="s">
        <v>2229</v>
      </c>
      <c r="U376" t="s">
        <v>3699</v>
      </c>
    </row>
    <row r="377" spans="1:21" x14ac:dyDescent="0.3">
      <c r="A377" t="s">
        <v>1549</v>
      </c>
      <c r="B377" t="s">
        <v>30</v>
      </c>
      <c r="C377" t="s">
        <v>68</v>
      </c>
      <c r="D377" s="15">
        <v>2000</v>
      </c>
      <c r="E377" s="7">
        <v>206.48</v>
      </c>
      <c r="H377">
        <v>91299</v>
      </c>
      <c r="I377" t="s">
        <v>867</v>
      </c>
      <c r="J377" t="s">
        <v>1548</v>
      </c>
      <c r="K377" t="s">
        <v>3</v>
      </c>
      <c r="L377" s="2">
        <v>43191</v>
      </c>
      <c r="M377" s="2">
        <f>DHMXX[[#This Row],[INV DOC DATE]]+30</f>
        <v>43221</v>
      </c>
      <c r="N377" s="2">
        <v>43221</v>
      </c>
      <c r="O377" s="7">
        <v>206.48</v>
      </c>
      <c r="P377" s="2">
        <v>43227</v>
      </c>
      <c r="Q377" s="7">
        <f>$E377-$O377</f>
        <v>0</v>
      </c>
      <c r="R377" s="7" t="str">
        <f ca="1">IF(TODAY() - DHMXX[INV DUE DATE]&lt;30, "Less than 30 days",IF(TODAY()-DHMXX[INV DUE DATE]&lt;60,"30-60 days","More than 60 days"))</f>
        <v>More than 60 days</v>
      </c>
      <c r="S377" t="s">
        <v>1550</v>
      </c>
      <c r="T377" s="43" t="s">
        <v>2229</v>
      </c>
      <c r="U377" t="s">
        <v>3699</v>
      </c>
    </row>
    <row r="378" spans="1:21" x14ac:dyDescent="0.3">
      <c r="A378" t="s">
        <v>1549</v>
      </c>
      <c r="B378" t="s">
        <v>30</v>
      </c>
      <c r="C378" t="s">
        <v>69</v>
      </c>
      <c r="D378" s="15">
        <v>2000</v>
      </c>
      <c r="E378" s="7">
        <v>619.44000000000005</v>
      </c>
      <c r="H378">
        <v>172035</v>
      </c>
      <c r="I378" t="s">
        <v>863</v>
      </c>
      <c r="J378" t="s">
        <v>1548</v>
      </c>
      <c r="K378" t="s">
        <v>3</v>
      </c>
      <c r="L378" s="2">
        <v>43191</v>
      </c>
      <c r="M378" s="2">
        <f>DHMXX[[#This Row],[INV DOC DATE]]+30</f>
        <v>43221</v>
      </c>
      <c r="N378" s="2">
        <v>43221</v>
      </c>
      <c r="O378" s="7">
        <v>619.44000000000005</v>
      </c>
      <c r="P378" s="2">
        <v>43227</v>
      </c>
      <c r="Q378" s="7">
        <f>$E378-$O378</f>
        <v>0</v>
      </c>
      <c r="R378" s="7" t="str">
        <f ca="1">IF(TODAY() - DHMXX[INV DUE DATE]&lt;30, "Less than 30 days",IF(TODAY()-DHMXX[INV DUE DATE]&lt;60,"30-60 days","More than 60 days"))</f>
        <v>More than 60 days</v>
      </c>
      <c r="S378" t="s">
        <v>1550</v>
      </c>
      <c r="T378" s="43" t="s">
        <v>2229</v>
      </c>
      <c r="U378" t="s">
        <v>3699</v>
      </c>
    </row>
    <row r="379" spans="1:21" x14ac:dyDescent="0.3">
      <c r="A379" t="s">
        <v>1549</v>
      </c>
      <c r="B379" t="s">
        <v>30</v>
      </c>
      <c r="C379" t="s">
        <v>70</v>
      </c>
      <c r="D379" s="15">
        <v>2000</v>
      </c>
      <c r="E379" s="7">
        <v>2064.8000000000002</v>
      </c>
      <c r="H379">
        <v>182140</v>
      </c>
      <c r="I379" t="s">
        <v>864</v>
      </c>
      <c r="J379" t="s">
        <v>1548</v>
      </c>
      <c r="K379" t="s">
        <v>3</v>
      </c>
      <c r="L379" s="2">
        <v>43191</v>
      </c>
      <c r="M379" s="2">
        <f>DHMXX[[#This Row],[INV DOC DATE]]+30</f>
        <v>43221</v>
      </c>
      <c r="N379" s="2">
        <v>43221</v>
      </c>
      <c r="O379" s="7">
        <v>2064.8000000000002</v>
      </c>
      <c r="P379" s="2">
        <v>43227</v>
      </c>
      <c r="Q379" s="7">
        <f>$E379-$O379</f>
        <v>0</v>
      </c>
      <c r="R379" s="7" t="str">
        <f ca="1">IF(TODAY() - DHMXX[INV DUE DATE]&lt;30, "Less than 30 days",IF(TODAY()-DHMXX[INV DUE DATE]&lt;60,"30-60 days","More than 60 days"))</f>
        <v>More than 60 days</v>
      </c>
      <c r="S379" t="s">
        <v>1550</v>
      </c>
      <c r="T379" s="43" t="s">
        <v>2229</v>
      </c>
      <c r="U379" t="s">
        <v>3699</v>
      </c>
    </row>
    <row r="380" spans="1:21" x14ac:dyDescent="0.3">
      <c r="A380" t="s">
        <v>833</v>
      </c>
      <c r="B380" t="s">
        <v>30</v>
      </c>
      <c r="C380" t="s">
        <v>1365</v>
      </c>
      <c r="D380" s="15">
        <v>1</v>
      </c>
      <c r="E380" s="7">
        <v>480</v>
      </c>
      <c r="H380">
        <v>20028</v>
      </c>
      <c r="I380" t="s">
        <v>853</v>
      </c>
      <c r="J380" t="s">
        <v>1137</v>
      </c>
      <c r="K380" t="s">
        <v>3</v>
      </c>
      <c r="L380" s="2">
        <v>43191</v>
      </c>
      <c r="M380" s="2">
        <f>DHMXX[[#This Row],[INV DOC DATE]]+30</f>
        <v>43221</v>
      </c>
      <c r="N380" s="2">
        <v>43221</v>
      </c>
      <c r="O380" s="7">
        <v>480</v>
      </c>
      <c r="P380" s="2">
        <v>43227</v>
      </c>
      <c r="Q380" s="7">
        <f>$E380-$O380</f>
        <v>0</v>
      </c>
      <c r="R380" s="7" t="str">
        <f ca="1">IF(TODAY() - DHMXX[INV DUE DATE]&lt;30, "Less than 30 days",IF(TODAY()-DHMXX[INV DUE DATE]&lt;60,"30-60 days","More than 60 days"))</f>
        <v>More than 60 days</v>
      </c>
      <c r="S380" t="s">
        <v>1550</v>
      </c>
      <c r="T380" s="43" t="s">
        <v>2229</v>
      </c>
      <c r="U380" t="s">
        <v>3699</v>
      </c>
    </row>
    <row r="381" spans="1:21" x14ac:dyDescent="0.3">
      <c r="A381" t="s">
        <v>833</v>
      </c>
      <c r="B381" t="s">
        <v>30</v>
      </c>
      <c r="C381" t="s">
        <v>1366</v>
      </c>
      <c r="D381" s="15">
        <v>1</v>
      </c>
      <c r="E381" s="7">
        <v>270</v>
      </c>
      <c r="H381">
        <v>20028</v>
      </c>
      <c r="I381" t="s">
        <v>853</v>
      </c>
      <c r="J381" t="s">
        <v>1138</v>
      </c>
      <c r="K381" t="s">
        <v>3</v>
      </c>
      <c r="L381" s="2">
        <v>43191</v>
      </c>
      <c r="M381" s="2">
        <f>DHMXX[[#This Row],[INV DOC DATE]]+30</f>
        <v>43221</v>
      </c>
      <c r="N381" s="2">
        <v>43221</v>
      </c>
      <c r="O381" s="7">
        <v>270</v>
      </c>
      <c r="P381" s="2">
        <v>43227</v>
      </c>
      <c r="Q381" s="7">
        <f>$E381-$O381</f>
        <v>0</v>
      </c>
      <c r="R381" s="7" t="str">
        <f ca="1">IF(TODAY() - DHMXX[INV DUE DATE]&lt;30, "Less than 30 days",IF(TODAY()-DHMXX[INV DUE DATE]&lt;60,"30-60 days","More than 60 days"))</f>
        <v>More than 60 days</v>
      </c>
      <c r="S381" t="s">
        <v>1550</v>
      </c>
      <c r="T381" s="43" t="s">
        <v>2229</v>
      </c>
      <c r="U381" t="s">
        <v>3699</v>
      </c>
    </row>
    <row r="382" spans="1:21" x14ac:dyDescent="0.3">
      <c r="A382" t="s">
        <v>833</v>
      </c>
      <c r="B382" t="s">
        <v>30</v>
      </c>
      <c r="C382" t="s">
        <v>1367</v>
      </c>
      <c r="D382" s="15">
        <v>1</v>
      </c>
      <c r="E382" s="7">
        <v>270</v>
      </c>
      <c r="H382">
        <v>20028</v>
      </c>
      <c r="I382" t="s">
        <v>853</v>
      </c>
      <c r="J382" t="s">
        <v>1139</v>
      </c>
      <c r="K382" t="s">
        <v>3</v>
      </c>
      <c r="L382" s="2">
        <v>43191</v>
      </c>
      <c r="M382" s="2">
        <f>DHMXX[[#This Row],[INV DOC DATE]]+30</f>
        <v>43221</v>
      </c>
      <c r="N382" s="2">
        <v>43221</v>
      </c>
      <c r="O382" s="7">
        <v>270</v>
      </c>
      <c r="P382" s="2">
        <v>43227</v>
      </c>
      <c r="Q382" s="7">
        <f>$E382-$O382</f>
        <v>0</v>
      </c>
      <c r="R382" s="7" t="str">
        <f ca="1">IF(TODAY() - DHMXX[INV DUE DATE]&lt;30, "Less than 30 days",IF(TODAY()-DHMXX[INV DUE DATE]&lt;60,"30-60 days","More than 60 days"))</f>
        <v>More than 60 days</v>
      </c>
      <c r="S382" t="s">
        <v>1550</v>
      </c>
      <c r="T382" s="43" t="s">
        <v>2229</v>
      </c>
      <c r="U382" t="s">
        <v>3699</v>
      </c>
    </row>
    <row r="383" spans="1:21" x14ac:dyDescent="0.3">
      <c r="A383" t="s">
        <v>833</v>
      </c>
      <c r="B383" t="s">
        <v>30</v>
      </c>
      <c r="C383" t="s">
        <v>1369</v>
      </c>
      <c r="D383" s="15">
        <v>1</v>
      </c>
      <c r="E383" s="7">
        <v>480</v>
      </c>
      <c r="H383">
        <v>141188</v>
      </c>
      <c r="I383" t="s">
        <v>353</v>
      </c>
      <c r="J383" t="s">
        <v>1141</v>
      </c>
      <c r="K383" t="s">
        <v>3</v>
      </c>
      <c r="L383" s="2">
        <v>43191</v>
      </c>
      <c r="M383" s="2">
        <f>DHMXX[[#This Row],[INV DOC DATE]]+30</f>
        <v>43221</v>
      </c>
      <c r="N383" s="2">
        <v>43221</v>
      </c>
      <c r="O383" s="7">
        <v>480</v>
      </c>
      <c r="P383" s="2">
        <v>43227</v>
      </c>
      <c r="Q383" s="7">
        <f>$E383-$O383</f>
        <v>0</v>
      </c>
      <c r="R383" s="7" t="str">
        <f ca="1">IF(TODAY() - DHMXX[INV DUE DATE]&lt;30, "Less than 30 days",IF(TODAY()-DHMXX[INV DUE DATE]&lt;60,"30-60 days","More than 60 days"))</f>
        <v>More than 60 days</v>
      </c>
      <c r="S383" t="s">
        <v>1550</v>
      </c>
      <c r="T383" s="43" t="s">
        <v>2229</v>
      </c>
      <c r="U383" t="s">
        <v>3699</v>
      </c>
    </row>
    <row r="384" spans="1:21" x14ac:dyDescent="0.3">
      <c r="A384" t="s">
        <v>833</v>
      </c>
      <c r="B384" t="s">
        <v>30</v>
      </c>
      <c r="C384" t="s">
        <v>1370</v>
      </c>
      <c r="D384" s="15">
        <v>1</v>
      </c>
      <c r="E384" s="7">
        <v>480</v>
      </c>
      <c r="H384">
        <v>141188</v>
      </c>
      <c r="I384" t="s">
        <v>353</v>
      </c>
      <c r="J384" t="s">
        <v>1142</v>
      </c>
      <c r="K384" t="s">
        <v>3</v>
      </c>
      <c r="L384" s="2">
        <v>43191</v>
      </c>
      <c r="M384" s="2">
        <f>DHMXX[[#This Row],[INV DOC DATE]]+30</f>
        <v>43221</v>
      </c>
      <c r="N384" s="2">
        <v>43221</v>
      </c>
      <c r="O384" s="7">
        <v>480</v>
      </c>
      <c r="P384" s="2">
        <v>43227</v>
      </c>
      <c r="Q384" s="7">
        <f>$E384-$O384</f>
        <v>0</v>
      </c>
      <c r="R384" s="7" t="str">
        <f ca="1">IF(TODAY() - DHMXX[INV DUE DATE]&lt;30, "Less than 30 days",IF(TODAY()-DHMXX[INV DUE DATE]&lt;60,"30-60 days","More than 60 days"))</f>
        <v>More than 60 days</v>
      </c>
      <c r="S384" t="s">
        <v>1550</v>
      </c>
      <c r="T384" s="43" t="s">
        <v>2229</v>
      </c>
      <c r="U384" t="s">
        <v>3699</v>
      </c>
    </row>
    <row r="385" spans="1:21" x14ac:dyDescent="0.3">
      <c r="A385" t="s">
        <v>833</v>
      </c>
      <c r="B385" t="s">
        <v>30</v>
      </c>
      <c r="C385" t="s">
        <v>1371</v>
      </c>
      <c r="D385" s="15">
        <v>1</v>
      </c>
      <c r="E385" s="7">
        <v>480</v>
      </c>
      <c r="H385">
        <v>141188</v>
      </c>
      <c r="I385" t="s">
        <v>353</v>
      </c>
      <c r="J385" t="s">
        <v>1143</v>
      </c>
      <c r="K385" t="s">
        <v>3</v>
      </c>
      <c r="L385" s="2">
        <v>43191</v>
      </c>
      <c r="M385" s="2">
        <f>DHMXX[[#This Row],[INV DOC DATE]]+30</f>
        <v>43221</v>
      </c>
      <c r="N385" s="2">
        <v>43221</v>
      </c>
      <c r="O385" s="7">
        <v>480</v>
      </c>
      <c r="P385" s="2">
        <v>43227</v>
      </c>
      <c r="Q385" s="7">
        <f>$E385-$O385</f>
        <v>0</v>
      </c>
      <c r="R385" s="7" t="str">
        <f ca="1">IF(TODAY() - DHMXX[INV DUE DATE]&lt;30, "Less than 30 days",IF(TODAY()-DHMXX[INV DUE DATE]&lt;60,"30-60 days","More than 60 days"))</f>
        <v>More than 60 days</v>
      </c>
      <c r="S385" t="s">
        <v>1550</v>
      </c>
      <c r="T385" s="43" t="s">
        <v>2229</v>
      </c>
      <c r="U385" t="s">
        <v>3699</v>
      </c>
    </row>
    <row r="386" spans="1:21" x14ac:dyDescent="0.3">
      <c r="A386" t="s">
        <v>833</v>
      </c>
      <c r="B386" t="s">
        <v>30</v>
      </c>
      <c r="C386" t="s">
        <v>1372</v>
      </c>
      <c r="D386" s="15">
        <v>1</v>
      </c>
      <c r="E386" s="7">
        <v>480</v>
      </c>
      <c r="H386">
        <v>141188</v>
      </c>
      <c r="I386" t="s">
        <v>353</v>
      </c>
      <c r="J386" t="s">
        <v>1144</v>
      </c>
      <c r="K386" t="s">
        <v>3</v>
      </c>
      <c r="L386" s="2">
        <v>43191</v>
      </c>
      <c r="M386" s="2">
        <f>DHMXX[[#This Row],[INV DOC DATE]]+30</f>
        <v>43221</v>
      </c>
      <c r="N386" s="2">
        <v>43221</v>
      </c>
      <c r="O386" s="7">
        <v>480</v>
      </c>
      <c r="P386" s="2">
        <v>43227</v>
      </c>
      <c r="Q386" s="7">
        <f>$E386-$O386</f>
        <v>0</v>
      </c>
      <c r="R386" s="7" t="str">
        <f ca="1">IF(TODAY() - DHMXX[INV DUE DATE]&lt;30, "Less than 30 days",IF(TODAY()-DHMXX[INV DUE DATE]&lt;60,"30-60 days","More than 60 days"))</f>
        <v>More than 60 days</v>
      </c>
      <c r="S386" t="s">
        <v>1550</v>
      </c>
      <c r="T386" s="43" t="s">
        <v>2229</v>
      </c>
      <c r="U386" t="s">
        <v>3699</v>
      </c>
    </row>
    <row r="387" spans="1:21" x14ac:dyDescent="0.3">
      <c r="A387" t="s">
        <v>833</v>
      </c>
      <c r="B387" t="s">
        <v>30</v>
      </c>
      <c r="C387" t="s">
        <v>1373</v>
      </c>
      <c r="D387" s="15">
        <v>1</v>
      </c>
      <c r="E387" s="7">
        <v>480</v>
      </c>
      <c r="H387">
        <v>141188</v>
      </c>
      <c r="I387" t="s">
        <v>353</v>
      </c>
      <c r="J387" t="s">
        <v>1145</v>
      </c>
      <c r="K387" t="s">
        <v>3</v>
      </c>
      <c r="L387" s="2">
        <v>43191</v>
      </c>
      <c r="M387" s="2">
        <f>DHMXX[[#This Row],[INV DOC DATE]]+30</f>
        <v>43221</v>
      </c>
      <c r="N387" s="2">
        <v>43221</v>
      </c>
      <c r="O387" s="7">
        <v>480</v>
      </c>
      <c r="P387" s="2">
        <v>43227</v>
      </c>
      <c r="Q387" s="7">
        <f>$E387-$O387</f>
        <v>0</v>
      </c>
      <c r="R387" s="7" t="str">
        <f ca="1">IF(TODAY() - DHMXX[INV DUE DATE]&lt;30, "Less than 30 days",IF(TODAY()-DHMXX[INV DUE DATE]&lt;60,"30-60 days","More than 60 days"))</f>
        <v>More than 60 days</v>
      </c>
      <c r="S387" t="s">
        <v>1550</v>
      </c>
      <c r="T387" s="43" t="s">
        <v>2229</v>
      </c>
      <c r="U387" t="s">
        <v>3699</v>
      </c>
    </row>
    <row r="388" spans="1:21" x14ac:dyDescent="0.3">
      <c r="A388" t="s">
        <v>833</v>
      </c>
      <c r="B388" t="s">
        <v>30</v>
      </c>
      <c r="C388" t="s">
        <v>1374</v>
      </c>
      <c r="D388" s="15">
        <v>1</v>
      </c>
      <c r="E388" s="7">
        <v>270</v>
      </c>
      <c r="H388">
        <v>141188</v>
      </c>
      <c r="I388" t="s">
        <v>353</v>
      </c>
      <c r="J388" t="s">
        <v>1146</v>
      </c>
      <c r="K388" t="s">
        <v>3</v>
      </c>
      <c r="L388" s="2">
        <v>43191</v>
      </c>
      <c r="M388" s="2">
        <f>DHMXX[[#This Row],[INV DOC DATE]]+30</f>
        <v>43221</v>
      </c>
      <c r="N388" s="2">
        <v>43221</v>
      </c>
      <c r="O388" s="7">
        <v>270</v>
      </c>
      <c r="P388" s="2">
        <v>43227</v>
      </c>
      <c r="Q388" s="7">
        <f>$E388-$O388</f>
        <v>0</v>
      </c>
      <c r="R388" s="7" t="str">
        <f ca="1">IF(TODAY() - DHMXX[INV DUE DATE]&lt;30, "Less than 30 days",IF(TODAY()-DHMXX[INV DUE DATE]&lt;60,"30-60 days","More than 60 days"))</f>
        <v>More than 60 days</v>
      </c>
      <c r="S388" t="s">
        <v>1550</v>
      </c>
      <c r="T388" s="43" t="s">
        <v>2229</v>
      </c>
      <c r="U388" t="s">
        <v>3699</v>
      </c>
    </row>
    <row r="389" spans="1:21" x14ac:dyDescent="0.3">
      <c r="A389" t="s">
        <v>833</v>
      </c>
      <c r="B389" t="s">
        <v>30</v>
      </c>
      <c r="C389" t="s">
        <v>1375</v>
      </c>
      <c r="D389" s="15">
        <v>1</v>
      </c>
      <c r="E389" s="7">
        <v>270</v>
      </c>
      <c r="H389">
        <v>141188</v>
      </c>
      <c r="I389" t="s">
        <v>353</v>
      </c>
      <c r="J389" t="s">
        <v>1147</v>
      </c>
      <c r="K389" t="s">
        <v>3</v>
      </c>
      <c r="L389" s="2">
        <v>43191</v>
      </c>
      <c r="M389" s="2">
        <f>DHMXX[[#This Row],[INV DOC DATE]]+30</f>
        <v>43221</v>
      </c>
      <c r="N389" s="2">
        <v>43221</v>
      </c>
      <c r="O389" s="7">
        <v>270</v>
      </c>
      <c r="P389" s="2">
        <v>43227</v>
      </c>
      <c r="Q389" s="7">
        <f>$E389-$O389</f>
        <v>0</v>
      </c>
      <c r="R389" s="7" t="str">
        <f ca="1">IF(TODAY() - DHMXX[INV DUE DATE]&lt;30, "Less than 30 days",IF(TODAY()-DHMXX[INV DUE DATE]&lt;60,"30-60 days","More than 60 days"))</f>
        <v>More than 60 days</v>
      </c>
      <c r="S389" t="s">
        <v>1550</v>
      </c>
      <c r="T389" s="43" t="s">
        <v>2229</v>
      </c>
      <c r="U389" t="s">
        <v>3699</v>
      </c>
    </row>
    <row r="390" spans="1:21" x14ac:dyDescent="0.3">
      <c r="A390" t="s">
        <v>833</v>
      </c>
      <c r="B390" t="s">
        <v>30</v>
      </c>
      <c r="C390" t="s">
        <v>1376</v>
      </c>
      <c r="D390" s="15">
        <v>1</v>
      </c>
      <c r="E390" s="7">
        <v>270</v>
      </c>
      <c r="H390">
        <v>141188</v>
      </c>
      <c r="I390" t="s">
        <v>353</v>
      </c>
      <c r="J390" t="s">
        <v>1148</v>
      </c>
      <c r="K390" t="s">
        <v>3</v>
      </c>
      <c r="L390" s="2">
        <v>43191</v>
      </c>
      <c r="M390" s="2">
        <f>DHMXX[[#This Row],[INV DOC DATE]]+30</f>
        <v>43221</v>
      </c>
      <c r="N390" s="2">
        <v>43221</v>
      </c>
      <c r="O390" s="7">
        <v>270</v>
      </c>
      <c r="P390" s="2">
        <v>43227</v>
      </c>
      <c r="Q390" s="7">
        <f>$E390-$O390</f>
        <v>0</v>
      </c>
      <c r="R390" s="7" t="str">
        <f ca="1">IF(TODAY() - DHMXX[INV DUE DATE]&lt;30, "Less than 30 days",IF(TODAY()-DHMXX[INV DUE DATE]&lt;60,"30-60 days","More than 60 days"))</f>
        <v>More than 60 days</v>
      </c>
      <c r="S390" t="s">
        <v>1550</v>
      </c>
      <c r="T390" s="43" t="s">
        <v>2229</v>
      </c>
      <c r="U390" t="s">
        <v>3699</v>
      </c>
    </row>
    <row r="391" spans="1:21" x14ac:dyDescent="0.3">
      <c r="A391" t="s">
        <v>833</v>
      </c>
      <c r="B391" t="s">
        <v>30</v>
      </c>
      <c r="C391" t="s">
        <v>1377</v>
      </c>
      <c r="D391" s="15">
        <v>1</v>
      </c>
      <c r="E391" s="7">
        <v>270</v>
      </c>
      <c r="H391">
        <v>141188</v>
      </c>
      <c r="I391" t="s">
        <v>353</v>
      </c>
      <c r="J391" t="s">
        <v>1149</v>
      </c>
      <c r="K391" t="s">
        <v>3</v>
      </c>
      <c r="L391" s="2">
        <v>43191</v>
      </c>
      <c r="M391" s="2">
        <f>DHMXX[[#This Row],[INV DOC DATE]]+30</f>
        <v>43221</v>
      </c>
      <c r="N391" s="2">
        <v>43221</v>
      </c>
      <c r="O391" s="7">
        <v>270</v>
      </c>
      <c r="P391" s="2">
        <v>43227</v>
      </c>
      <c r="Q391" s="7">
        <f>$E391-$O391</f>
        <v>0</v>
      </c>
      <c r="R391" s="7" t="str">
        <f ca="1">IF(TODAY() - DHMXX[INV DUE DATE]&lt;30, "Less than 30 days",IF(TODAY()-DHMXX[INV DUE DATE]&lt;60,"30-60 days","More than 60 days"))</f>
        <v>More than 60 days</v>
      </c>
      <c r="S391" t="s">
        <v>1550</v>
      </c>
      <c r="T391" s="43" t="s">
        <v>2229</v>
      </c>
      <c r="U391" t="s">
        <v>3699</v>
      </c>
    </row>
    <row r="392" spans="1:21" x14ac:dyDescent="0.3">
      <c r="A392" t="s">
        <v>833</v>
      </c>
      <c r="B392" t="s">
        <v>30</v>
      </c>
      <c r="C392" t="s">
        <v>1378</v>
      </c>
      <c r="D392" s="15">
        <v>1</v>
      </c>
      <c r="E392" s="7">
        <v>270</v>
      </c>
      <c r="H392">
        <v>141188</v>
      </c>
      <c r="I392" t="s">
        <v>353</v>
      </c>
      <c r="J392" t="s">
        <v>1150</v>
      </c>
      <c r="K392" t="s">
        <v>3</v>
      </c>
      <c r="L392" s="2">
        <v>43191</v>
      </c>
      <c r="M392" s="2">
        <f>DHMXX[[#This Row],[INV DOC DATE]]+30</f>
        <v>43221</v>
      </c>
      <c r="N392" s="2">
        <v>43221</v>
      </c>
      <c r="O392" s="7">
        <v>270</v>
      </c>
      <c r="P392" s="2">
        <v>43227</v>
      </c>
      <c r="Q392" s="7">
        <f>$E392-$O392</f>
        <v>0</v>
      </c>
      <c r="R392" s="7" t="str">
        <f ca="1">IF(TODAY() - DHMXX[INV DUE DATE]&lt;30, "Less than 30 days",IF(TODAY()-DHMXX[INV DUE DATE]&lt;60,"30-60 days","More than 60 days"))</f>
        <v>More than 60 days</v>
      </c>
      <c r="S392" t="s">
        <v>1550</v>
      </c>
      <c r="T392" s="43" t="s">
        <v>2229</v>
      </c>
      <c r="U392" t="s">
        <v>3699</v>
      </c>
    </row>
    <row r="393" spans="1:21" x14ac:dyDescent="0.3">
      <c r="A393" t="s">
        <v>833</v>
      </c>
      <c r="B393" t="s">
        <v>30</v>
      </c>
      <c r="C393" t="s">
        <v>1379</v>
      </c>
      <c r="D393" s="15">
        <v>1</v>
      </c>
      <c r="E393" s="7">
        <v>270</v>
      </c>
      <c r="H393">
        <v>141188</v>
      </c>
      <c r="I393" t="s">
        <v>353</v>
      </c>
      <c r="J393" t="s">
        <v>1151</v>
      </c>
      <c r="K393" t="s">
        <v>3</v>
      </c>
      <c r="L393" s="2">
        <v>43191</v>
      </c>
      <c r="M393" s="2">
        <f>DHMXX[[#This Row],[INV DOC DATE]]+30</f>
        <v>43221</v>
      </c>
      <c r="N393" s="2">
        <v>43221</v>
      </c>
      <c r="O393" s="7">
        <v>270</v>
      </c>
      <c r="P393" s="2">
        <v>43227</v>
      </c>
      <c r="Q393" s="7">
        <f>$E393-$O393</f>
        <v>0</v>
      </c>
      <c r="R393" s="7" t="str">
        <f ca="1">IF(TODAY() - DHMXX[INV DUE DATE]&lt;30, "Less than 30 days",IF(TODAY()-DHMXX[INV DUE DATE]&lt;60,"30-60 days","More than 60 days"))</f>
        <v>More than 60 days</v>
      </c>
      <c r="S393" t="s">
        <v>1550</v>
      </c>
      <c r="T393" s="43" t="s">
        <v>2229</v>
      </c>
      <c r="U393" t="s">
        <v>3699</v>
      </c>
    </row>
    <row r="394" spans="1:21" x14ac:dyDescent="0.3">
      <c r="A394" t="s">
        <v>833</v>
      </c>
      <c r="B394" t="s">
        <v>30</v>
      </c>
      <c r="C394" t="s">
        <v>1380</v>
      </c>
      <c r="D394" s="15">
        <v>1</v>
      </c>
      <c r="E394" s="7">
        <v>225</v>
      </c>
      <c r="H394">
        <v>142910</v>
      </c>
      <c r="I394" t="s">
        <v>841</v>
      </c>
      <c r="J394" t="s">
        <v>1152</v>
      </c>
      <c r="K394" t="s">
        <v>3</v>
      </c>
      <c r="L394" s="2">
        <v>43191</v>
      </c>
      <c r="M394" s="2">
        <f>DHMXX[[#This Row],[INV DOC DATE]]+30</f>
        <v>43221</v>
      </c>
      <c r="N394" s="2">
        <v>43221</v>
      </c>
      <c r="O394" s="7">
        <v>225</v>
      </c>
      <c r="P394" s="2">
        <v>43227</v>
      </c>
      <c r="Q394" s="7">
        <f>$E394-$O394</f>
        <v>0</v>
      </c>
      <c r="R394" s="7" t="str">
        <f ca="1">IF(TODAY() - DHMXX[INV DUE DATE]&lt;30, "Less than 30 days",IF(TODAY()-DHMXX[INV DUE DATE]&lt;60,"30-60 days","More than 60 days"))</f>
        <v>More than 60 days</v>
      </c>
      <c r="S394" t="s">
        <v>1550</v>
      </c>
      <c r="T394" s="43" t="s">
        <v>2229</v>
      </c>
      <c r="U394" t="s">
        <v>3699</v>
      </c>
    </row>
    <row r="395" spans="1:21" x14ac:dyDescent="0.3">
      <c r="A395" t="s">
        <v>833</v>
      </c>
      <c r="B395" t="s">
        <v>30</v>
      </c>
      <c r="C395" t="s">
        <v>1381</v>
      </c>
      <c r="D395" s="15">
        <v>1</v>
      </c>
      <c r="E395" s="7">
        <v>232.5</v>
      </c>
      <c r="H395">
        <v>142910</v>
      </c>
      <c r="I395" t="s">
        <v>841</v>
      </c>
      <c r="J395" t="s">
        <v>1153</v>
      </c>
      <c r="K395" t="s">
        <v>3</v>
      </c>
      <c r="L395" s="2">
        <v>43191</v>
      </c>
      <c r="M395" s="2">
        <f>DHMXX[[#This Row],[INV DOC DATE]]+30</f>
        <v>43221</v>
      </c>
      <c r="N395" s="2">
        <v>43221</v>
      </c>
      <c r="O395" s="7">
        <v>232.5</v>
      </c>
      <c r="P395" s="2">
        <v>43227</v>
      </c>
      <c r="Q395" s="7">
        <f>$E395-$O395</f>
        <v>0</v>
      </c>
      <c r="R395" s="7" t="str">
        <f ca="1">IF(TODAY() - DHMXX[INV DUE DATE]&lt;30, "Less than 30 days",IF(TODAY()-DHMXX[INV DUE DATE]&lt;60,"30-60 days","More than 60 days"))</f>
        <v>More than 60 days</v>
      </c>
      <c r="S395" t="s">
        <v>1550</v>
      </c>
      <c r="T395" s="43" t="s">
        <v>2229</v>
      </c>
      <c r="U395" t="s">
        <v>3699</v>
      </c>
    </row>
    <row r="396" spans="1:21" x14ac:dyDescent="0.3">
      <c r="A396" t="s">
        <v>833</v>
      </c>
      <c r="B396" t="s">
        <v>30</v>
      </c>
      <c r="C396" t="s">
        <v>1382</v>
      </c>
      <c r="D396" s="15">
        <v>1</v>
      </c>
      <c r="E396" s="7">
        <v>540</v>
      </c>
      <c r="H396">
        <v>142910</v>
      </c>
      <c r="I396" t="s">
        <v>841</v>
      </c>
      <c r="J396" t="s">
        <v>1154</v>
      </c>
      <c r="K396" t="s">
        <v>3</v>
      </c>
      <c r="L396" s="2">
        <v>43191</v>
      </c>
      <c r="M396" s="2">
        <f>DHMXX[[#This Row],[INV DOC DATE]]+30</f>
        <v>43221</v>
      </c>
      <c r="N396" s="2">
        <v>43221</v>
      </c>
      <c r="O396" s="7">
        <v>540</v>
      </c>
      <c r="P396" s="2">
        <v>43227</v>
      </c>
      <c r="Q396" s="7">
        <f>$E396-$O396</f>
        <v>0</v>
      </c>
      <c r="R396" s="7" t="str">
        <f ca="1">IF(TODAY() - DHMXX[INV DUE DATE]&lt;30, "Less than 30 days",IF(TODAY()-DHMXX[INV DUE DATE]&lt;60,"30-60 days","More than 60 days"))</f>
        <v>More than 60 days</v>
      </c>
      <c r="S396" t="s">
        <v>1550</v>
      </c>
      <c r="T396" s="43" t="s">
        <v>2229</v>
      </c>
      <c r="U396" t="s">
        <v>3699</v>
      </c>
    </row>
    <row r="397" spans="1:21" x14ac:dyDescent="0.3">
      <c r="A397" t="s">
        <v>833</v>
      </c>
      <c r="B397" t="s">
        <v>30</v>
      </c>
      <c r="C397" t="s">
        <v>1383</v>
      </c>
      <c r="D397" s="15">
        <v>1</v>
      </c>
      <c r="E397" s="7">
        <v>465</v>
      </c>
      <c r="H397">
        <v>142910</v>
      </c>
      <c r="I397" t="s">
        <v>841</v>
      </c>
      <c r="J397" t="s">
        <v>1155</v>
      </c>
      <c r="K397" t="s">
        <v>3</v>
      </c>
      <c r="L397" s="2">
        <v>43191</v>
      </c>
      <c r="M397" s="2">
        <f>DHMXX[[#This Row],[INV DOC DATE]]+30</f>
        <v>43221</v>
      </c>
      <c r="N397" s="2">
        <v>43221</v>
      </c>
      <c r="O397" s="7">
        <v>465</v>
      </c>
      <c r="P397" s="2">
        <v>43227</v>
      </c>
      <c r="Q397" s="7">
        <f>$E397-$O397</f>
        <v>0</v>
      </c>
      <c r="R397" s="7" t="str">
        <f ca="1">IF(TODAY() - DHMXX[INV DUE DATE]&lt;30, "Less than 30 days",IF(TODAY()-DHMXX[INV DUE DATE]&lt;60,"30-60 days","More than 60 days"))</f>
        <v>More than 60 days</v>
      </c>
      <c r="S397" t="s">
        <v>1550</v>
      </c>
      <c r="T397" s="43" t="s">
        <v>2229</v>
      </c>
      <c r="U397" t="s">
        <v>3699</v>
      </c>
    </row>
    <row r="398" spans="1:21" x14ac:dyDescent="0.3">
      <c r="A398" t="s">
        <v>833</v>
      </c>
      <c r="B398" t="s">
        <v>30</v>
      </c>
      <c r="C398" t="s">
        <v>1384</v>
      </c>
      <c r="D398" s="15">
        <v>1</v>
      </c>
      <c r="E398" s="7">
        <v>172.5</v>
      </c>
      <c r="H398">
        <v>201323</v>
      </c>
      <c r="I398" t="s">
        <v>856</v>
      </c>
      <c r="J398" t="s">
        <v>1156</v>
      </c>
      <c r="K398" t="s">
        <v>3</v>
      </c>
      <c r="L398" s="2">
        <v>43191</v>
      </c>
      <c r="M398" s="2">
        <f>DHMXX[[#This Row],[INV DOC DATE]]+30</f>
        <v>43221</v>
      </c>
      <c r="N398" s="2">
        <v>43221</v>
      </c>
      <c r="O398" s="7">
        <v>172.5</v>
      </c>
      <c r="P398" s="2">
        <v>43227</v>
      </c>
      <c r="Q398" s="7">
        <f>$E398-$O398</f>
        <v>0</v>
      </c>
      <c r="R398" s="7" t="str">
        <f ca="1">IF(TODAY() - DHMXX[INV DUE DATE]&lt;30, "Less than 30 days",IF(TODAY()-DHMXX[INV DUE DATE]&lt;60,"30-60 days","More than 60 days"))</f>
        <v>More than 60 days</v>
      </c>
      <c r="S398" t="s">
        <v>1550</v>
      </c>
      <c r="T398" s="43" t="s">
        <v>2229</v>
      </c>
      <c r="U398" t="s">
        <v>3699</v>
      </c>
    </row>
    <row r="399" spans="1:21" x14ac:dyDescent="0.3">
      <c r="A399" t="s">
        <v>833</v>
      </c>
      <c r="B399" t="s">
        <v>30</v>
      </c>
      <c r="C399" t="s">
        <v>1385</v>
      </c>
      <c r="D399" s="15">
        <v>1</v>
      </c>
      <c r="E399" s="7">
        <v>172.5</v>
      </c>
      <c r="H399">
        <v>201323</v>
      </c>
      <c r="I399" t="s">
        <v>856</v>
      </c>
      <c r="J399" t="s">
        <v>1157</v>
      </c>
      <c r="K399" t="s">
        <v>3</v>
      </c>
      <c r="L399" s="2">
        <v>43191</v>
      </c>
      <c r="M399" s="2">
        <f>DHMXX[[#This Row],[INV DOC DATE]]+30</f>
        <v>43221</v>
      </c>
      <c r="N399" s="2">
        <v>43221</v>
      </c>
      <c r="O399" s="7">
        <v>172.5</v>
      </c>
      <c r="P399" s="2">
        <v>43227</v>
      </c>
      <c r="Q399" s="7">
        <f>$E399-$O399</f>
        <v>0</v>
      </c>
      <c r="R399" s="7" t="str">
        <f ca="1">IF(TODAY() - DHMXX[INV DUE DATE]&lt;30, "Less than 30 days",IF(TODAY()-DHMXX[INV DUE DATE]&lt;60,"30-60 days","More than 60 days"))</f>
        <v>More than 60 days</v>
      </c>
      <c r="S399" t="s">
        <v>1550</v>
      </c>
      <c r="T399" s="43" t="s">
        <v>2229</v>
      </c>
      <c r="U399" t="s">
        <v>3699</v>
      </c>
    </row>
    <row r="400" spans="1:21" x14ac:dyDescent="0.3">
      <c r="A400" t="s">
        <v>833</v>
      </c>
      <c r="B400" t="s">
        <v>30</v>
      </c>
      <c r="C400" t="s">
        <v>1386</v>
      </c>
      <c r="D400" s="15">
        <v>1</v>
      </c>
      <c r="E400" s="7">
        <v>172.5</v>
      </c>
      <c r="H400">
        <v>201323</v>
      </c>
      <c r="I400" t="s">
        <v>856</v>
      </c>
      <c r="J400" t="s">
        <v>1158</v>
      </c>
      <c r="K400" t="s">
        <v>3</v>
      </c>
      <c r="L400" s="2">
        <v>43191</v>
      </c>
      <c r="M400" s="2">
        <f>DHMXX[[#This Row],[INV DOC DATE]]+30</f>
        <v>43221</v>
      </c>
      <c r="N400" s="2">
        <v>43221</v>
      </c>
      <c r="O400" s="7">
        <v>172.5</v>
      </c>
      <c r="P400" s="2">
        <v>43227</v>
      </c>
      <c r="Q400" s="7">
        <f>$E400-$O400</f>
        <v>0</v>
      </c>
      <c r="R400" s="7" t="str">
        <f ca="1">IF(TODAY() - DHMXX[INV DUE DATE]&lt;30, "Less than 30 days",IF(TODAY()-DHMXX[INV DUE DATE]&lt;60,"30-60 days","More than 60 days"))</f>
        <v>More than 60 days</v>
      </c>
      <c r="S400" t="s">
        <v>1550</v>
      </c>
      <c r="T400" s="43" t="s">
        <v>2229</v>
      </c>
      <c r="U400" t="s">
        <v>3699</v>
      </c>
    </row>
    <row r="401" spans="1:21" x14ac:dyDescent="0.3">
      <c r="A401" t="s">
        <v>833</v>
      </c>
      <c r="B401" t="s">
        <v>30</v>
      </c>
      <c r="C401" t="s">
        <v>1387</v>
      </c>
      <c r="D401" s="15">
        <v>1</v>
      </c>
      <c r="E401" s="7">
        <v>172.5</v>
      </c>
      <c r="H401">
        <v>201323</v>
      </c>
      <c r="I401" t="s">
        <v>856</v>
      </c>
      <c r="J401" t="s">
        <v>1159</v>
      </c>
      <c r="K401" t="s">
        <v>3</v>
      </c>
      <c r="L401" s="2">
        <v>43191</v>
      </c>
      <c r="M401" s="2">
        <f>DHMXX[[#This Row],[INV DOC DATE]]+30</f>
        <v>43221</v>
      </c>
      <c r="N401" s="2">
        <v>43221</v>
      </c>
      <c r="O401" s="7">
        <v>172.5</v>
      </c>
      <c r="P401" s="2">
        <v>43227</v>
      </c>
      <c r="Q401" s="7">
        <f>$E401-$O401</f>
        <v>0</v>
      </c>
      <c r="R401" s="7" t="str">
        <f ca="1">IF(TODAY() - DHMXX[INV DUE DATE]&lt;30, "Less than 30 days",IF(TODAY()-DHMXX[INV DUE DATE]&lt;60,"30-60 days","More than 60 days"))</f>
        <v>More than 60 days</v>
      </c>
      <c r="S401" t="s">
        <v>1550</v>
      </c>
      <c r="T401" s="43" t="s">
        <v>2229</v>
      </c>
      <c r="U401" t="s">
        <v>3699</v>
      </c>
    </row>
    <row r="402" spans="1:21" x14ac:dyDescent="0.3">
      <c r="A402" t="s">
        <v>833</v>
      </c>
      <c r="B402" t="s">
        <v>30</v>
      </c>
      <c r="C402" t="s">
        <v>1388</v>
      </c>
      <c r="D402" s="15">
        <v>1</v>
      </c>
      <c r="E402" s="7">
        <v>172.5</v>
      </c>
      <c r="H402">
        <v>201323</v>
      </c>
      <c r="I402" t="s">
        <v>856</v>
      </c>
      <c r="J402" t="s">
        <v>1160</v>
      </c>
      <c r="K402" t="s">
        <v>3</v>
      </c>
      <c r="L402" s="2">
        <v>43191</v>
      </c>
      <c r="M402" s="2">
        <f>DHMXX[[#This Row],[INV DOC DATE]]+30</f>
        <v>43221</v>
      </c>
      <c r="N402" s="2">
        <v>43221</v>
      </c>
      <c r="O402" s="7">
        <v>172.5</v>
      </c>
      <c r="P402" s="2">
        <v>43227</v>
      </c>
      <c r="Q402" s="7">
        <f>$E402-$O402</f>
        <v>0</v>
      </c>
      <c r="R402" s="7" t="str">
        <f ca="1">IF(TODAY() - DHMXX[INV DUE DATE]&lt;30, "Less than 30 days",IF(TODAY()-DHMXX[INV DUE DATE]&lt;60,"30-60 days","More than 60 days"))</f>
        <v>More than 60 days</v>
      </c>
      <c r="S402" t="s">
        <v>1550</v>
      </c>
      <c r="T402" s="43" t="s">
        <v>2229</v>
      </c>
      <c r="U402" t="s">
        <v>3699</v>
      </c>
    </row>
    <row r="403" spans="1:21" x14ac:dyDescent="0.3">
      <c r="A403" t="s">
        <v>833</v>
      </c>
      <c r="B403" t="s">
        <v>30</v>
      </c>
      <c r="C403" t="s">
        <v>1389</v>
      </c>
      <c r="D403" s="15">
        <v>1</v>
      </c>
      <c r="E403" s="7">
        <v>172.5</v>
      </c>
      <c r="H403">
        <v>201323</v>
      </c>
      <c r="I403" t="s">
        <v>856</v>
      </c>
      <c r="J403" t="s">
        <v>1161</v>
      </c>
      <c r="K403" t="s">
        <v>3</v>
      </c>
      <c r="L403" s="2">
        <v>43191</v>
      </c>
      <c r="M403" s="2">
        <f>DHMXX[[#This Row],[INV DOC DATE]]+30</f>
        <v>43221</v>
      </c>
      <c r="N403" s="2">
        <v>43221</v>
      </c>
      <c r="O403" s="7">
        <v>172.5</v>
      </c>
      <c r="P403" s="2">
        <v>43227</v>
      </c>
      <c r="Q403" s="7">
        <f>$E403-$O403</f>
        <v>0</v>
      </c>
      <c r="R403" s="7" t="str">
        <f ca="1">IF(TODAY() - DHMXX[INV DUE DATE]&lt;30, "Less than 30 days",IF(TODAY()-DHMXX[INV DUE DATE]&lt;60,"30-60 days","More than 60 days"))</f>
        <v>More than 60 days</v>
      </c>
      <c r="S403" t="s">
        <v>1550</v>
      </c>
      <c r="T403" s="43" t="s">
        <v>2229</v>
      </c>
      <c r="U403" t="s">
        <v>3699</v>
      </c>
    </row>
    <row r="404" spans="1:21" x14ac:dyDescent="0.3">
      <c r="A404" t="s">
        <v>833</v>
      </c>
      <c r="B404" t="s">
        <v>30</v>
      </c>
      <c r="C404" t="s">
        <v>1390</v>
      </c>
      <c r="D404" s="15">
        <v>1</v>
      </c>
      <c r="E404" s="7">
        <v>225</v>
      </c>
      <c r="H404">
        <v>201323</v>
      </c>
      <c r="I404" t="s">
        <v>856</v>
      </c>
      <c r="J404" t="s">
        <v>1162</v>
      </c>
      <c r="K404" t="s">
        <v>3</v>
      </c>
      <c r="L404" s="2">
        <v>43191</v>
      </c>
      <c r="M404" s="2">
        <f>DHMXX[[#This Row],[INV DOC DATE]]+30</f>
        <v>43221</v>
      </c>
      <c r="N404" s="2">
        <v>43221</v>
      </c>
      <c r="O404" s="7">
        <v>225</v>
      </c>
      <c r="P404" s="2">
        <v>43227</v>
      </c>
      <c r="Q404" s="7">
        <f>$E404-$O404</f>
        <v>0</v>
      </c>
      <c r="R404" s="7" t="str">
        <f ca="1">IF(TODAY() - DHMXX[INV DUE DATE]&lt;30, "Less than 30 days",IF(TODAY()-DHMXX[INV DUE DATE]&lt;60,"30-60 days","More than 60 days"))</f>
        <v>More than 60 days</v>
      </c>
      <c r="S404" t="s">
        <v>1550</v>
      </c>
      <c r="T404" s="43" t="s">
        <v>2229</v>
      </c>
      <c r="U404" t="s">
        <v>3699</v>
      </c>
    </row>
    <row r="405" spans="1:21" x14ac:dyDescent="0.3">
      <c r="A405" t="s">
        <v>833</v>
      </c>
      <c r="B405" t="s">
        <v>30</v>
      </c>
      <c r="C405" t="s">
        <v>1391</v>
      </c>
      <c r="D405" s="15">
        <v>1</v>
      </c>
      <c r="E405" s="7">
        <v>225</v>
      </c>
      <c r="H405">
        <v>201323</v>
      </c>
      <c r="I405" t="s">
        <v>856</v>
      </c>
      <c r="J405" t="s">
        <v>1163</v>
      </c>
      <c r="K405" t="s">
        <v>3</v>
      </c>
      <c r="L405" s="2">
        <v>43191</v>
      </c>
      <c r="M405" s="2">
        <f>DHMXX[[#This Row],[INV DOC DATE]]+30</f>
        <v>43221</v>
      </c>
      <c r="N405" s="2">
        <v>43221</v>
      </c>
      <c r="O405" s="7">
        <v>225</v>
      </c>
      <c r="P405" s="2">
        <v>43227</v>
      </c>
      <c r="Q405" s="7">
        <f>$E405-$O405</f>
        <v>0</v>
      </c>
      <c r="R405" s="7" t="str">
        <f ca="1">IF(TODAY() - DHMXX[INV DUE DATE]&lt;30, "Less than 30 days",IF(TODAY()-DHMXX[INV DUE DATE]&lt;60,"30-60 days","More than 60 days"))</f>
        <v>More than 60 days</v>
      </c>
      <c r="S405" t="s">
        <v>1550</v>
      </c>
      <c r="T405" s="43" t="s">
        <v>2229</v>
      </c>
      <c r="U405" t="s">
        <v>3699</v>
      </c>
    </row>
    <row r="406" spans="1:21" x14ac:dyDescent="0.3">
      <c r="A406" t="s">
        <v>833</v>
      </c>
      <c r="B406" t="s">
        <v>30</v>
      </c>
      <c r="C406" t="s">
        <v>1392</v>
      </c>
      <c r="D406" s="15">
        <v>1</v>
      </c>
      <c r="E406" s="7">
        <v>225</v>
      </c>
      <c r="H406">
        <v>201323</v>
      </c>
      <c r="I406" t="s">
        <v>856</v>
      </c>
      <c r="J406" t="s">
        <v>1164</v>
      </c>
      <c r="K406" t="s">
        <v>3</v>
      </c>
      <c r="L406" s="2">
        <v>43191</v>
      </c>
      <c r="M406" s="2">
        <f>DHMXX[[#This Row],[INV DOC DATE]]+30</f>
        <v>43221</v>
      </c>
      <c r="N406" s="2">
        <v>43221</v>
      </c>
      <c r="O406" s="7">
        <v>225</v>
      </c>
      <c r="P406" s="2">
        <v>43227</v>
      </c>
      <c r="Q406" s="7">
        <f>$E406-$O406</f>
        <v>0</v>
      </c>
      <c r="R406" s="7" t="str">
        <f ca="1">IF(TODAY() - DHMXX[INV DUE DATE]&lt;30, "Less than 30 days",IF(TODAY()-DHMXX[INV DUE DATE]&lt;60,"30-60 days","More than 60 days"))</f>
        <v>More than 60 days</v>
      </c>
      <c r="S406" t="s">
        <v>1550</v>
      </c>
      <c r="T406" s="43" t="s">
        <v>2229</v>
      </c>
      <c r="U406" t="s">
        <v>3699</v>
      </c>
    </row>
    <row r="407" spans="1:21" x14ac:dyDescent="0.3">
      <c r="A407" t="s">
        <v>833</v>
      </c>
      <c r="B407" t="s">
        <v>30</v>
      </c>
      <c r="C407" t="s">
        <v>1393</v>
      </c>
      <c r="D407" s="15">
        <v>1</v>
      </c>
      <c r="E407" s="7">
        <v>225</v>
      </c>
      <c r="H407">
        <v>201323</v>
      </c>
      <c r="I407" t="s">
        <v>856</v>
      </c>
      <c r="J407" t="s">
        <v>1165</v>
      </c>
      <c r="K407" t="s">
        <v>3</v>
      </c>
      <c r="L407" s="2">
        <v>43191</v>
      </c>
      <c r="M407" s="2">
        <f>DHMXX[[#This Row],[INV DOC DATE]]+30</f>
        <v>43221</v>
      </c>
      <c r="N407" s="2">
        <v>43221</v>
      </c>
      <c r="O407" s="7">
        <v>225</v>
      </c>
      <c r="P407" s="2">
        <v>43227</v>
      </c>
      <c r="Q407" s="7">
        <f>$E407-$O407</f>
        <v>0</v>
      </c>
      <c r="R407" s="7" t="str">
        <f ca="1">IF(TODAY() - DHMXX[INV DUE DATE]&lt;30, "Less than 30 days",IF(TODAY()-DHMXX[INV DUE DATE]&lt;60,"30-60 days","More than 60 days"))</f>
        <v>More than 60 days</v>
      </c>
      <c r="S407" t="s">
        <v>1550</v>
      </c>
      <c r="T407" s="43" t="s">
        <v>2229</v>
      </c>
      <c r="U407" t="s">
        <v>3699</v>
      </c>
    </row>
    <row r="408" spans="1:21" x14ac:dyDescent="0.3">
      <c r="A408" t="s">
        <v>833</v>
      </c>
      <c r="B408" t="s">
        <v>30</v>
      </c>
      <c r="C408" t="s">
        <v>1394</v>
      </c>
      <c r="D408" s="15">
        <v>1</v>
      </c>
      <c r="E408" s="7">
        <v>225</v>
      </c>
      <c r="H408">
        <v>201323</v>
      </c>
      <c r="I408" t="s">
        <v>856</v>
      </c>
      <c r="J408" t="s">
        <v>1166</v>
      </c>
      <c r="K408" t="s">
        <v>3</v>
      </c>
      <c r="L408" s="2">
        <v>43191</v>
      </c>
      <c r="M408" s="2">
        <f>DHMXX[[#This Row],[INV DOC DATE]]+30</f>
        <v>43221</v>
      </c>
      <c r="N408" s="2">
        <v>43221</v>
      </c>
      <c r="O408" s="7">
        <v>225</v>
      </c>
      <c r="P408" s="2">
        <v>43227</v>
      </c>
      <c r="Q408" s="7">
        <f>$E408-$O408</f>
        <v>0</v>
      </c>
      <c r="R408" s="7" t="str">
        <f ca="1">IF(TODAY() - DHMXX[INV DUE DATE]&lt;30, "Less than 30 days",IF(TODAY()-DHMXX[INV DUE DATE]&lt;60,"30-60 days","More than 60 days"))</f>
        <v>More than 60 days</v>
      </c>
      <c r="S408" t="s">
        <v>1550</v>
      </c>
      <c r="T408" s="43" t="s">
        <v>2229</v>
      </c>
      <c r="U408" t="s">
        <v>3699</v>
      </c>
    </row>
    <row r="409" spans="1:21" x14ac:dyDescent="0.3">
      <c r="A409" t="s">
        <v>833</v>
      </c>
      <c r="B409" t="s">
        <v>30</v>
      </c>
      <c r="C409" t="s">
        <v>1395</v>
      </c>
      <c r="D409" s="15">
        <v>1</v>
      </c>
      <c r="E409" s="7">
        <v>225</v>
      </c>
      <c r="H409">
        <v>201323</v>
      </c>
      <c r="I409" t="s">
        <v>856</v>
      </c>
      <c r="J409" t="s">
        <v>1167</v>
      </c>
      <c r="K409" t="s">
        <v>3</v>
      </c>
      <c r="L409" s="2">
        <v>43191</v>
      </c>
      <c r="M409" s="2">
        <f>DHMXX[[#This Row],[INV DOC DATE]]+30</f>
        <v>43221</v>
      </c>
      <c r="N409" s="2">
        <v>43221</v>
      </c>
      <c r="O409" s="7">
        <v>225</v>
      </c>
      <c r="P409" s="2">
        <v>43227</v>
      </c>
      <c r="Q409" s="7">
        <f>$E409-$O409</f>
        <v>0</v>
      </c>
      <c r="R409" s="7" t="str">
        <f ca="1">IF(TODAY() - DHMXX[INV DUE DATE]&lt;30, "Less than 30 days",IF(TODAY()-DHMXX[INV DUE DATE]&lt;60,"30-60 days","More than 60 days"))</f>
        <v>More than 60 days</v>
      </c>
      <c r="S409" t="s">
        <v>1550</v>
      </c>
      <c r="T409" s="43" t="s">
        <v>2229</v>
      </c>
      <c r="U409" t="s">
        <v>3699</v>
      </c>
    </row>
    <row r="410" spans="1:21" x14ac:dyDescent="0.3">
      <c r="A410" t="s">
        <v>833</v>
      </c>
      <c r="B410" t="s">
        <v>30</v>
      </c>
      <c r="C410" t="s">
        <v>1396</v>
      </c>
      <c r="D410" s="15">
        <v>1</v>
      </c>
      <c r="E410" s="7">
        <v>225</v>
      </c>
      <c r="H410">
        <v>201323</v>
      </c>
      <c r="I410" t="s">
        <v>856</v>
      </c>
      <c r="J410" t="s">
        <v>1168</v>
      </c>
      <c r="K410" t="s">
        <v>3</v>
      </c>
      <c r="L410" s="2">
        <v>43191</v>
      </c>
      <c r="M410" s="2">
        <f>DHMXX[[#This Row],[INV DOC DATE]]+30</f>
        <v>43221</v>
      </c>
      <c r="N410" s="2">
        <v>43221</v>
      </c>
      <c r="O410" s="7">
        <v>225</v>
      </c>
      <c r="P410" s="2">
        <v>43227</v>
      </c>
      <c r="Q410" s="7">
        <f>$E410-$O410</f>
        <v>0</v>
      </c>
      <c r="R410" s="7" t="str">
        <f ca="1">IF(TODAY() - DHMXX[INV DUE DATE]&lt;30, "Less than 30 days",IF(TODAY()-DHMXX[INV DUE DATE]&lt;60,"30-60 days","More than 60 days"))</f>
        <v>More than 60 days</v>
      </c>
      <c r="S410" t="s">
        <v>1550</v>
      </c>
      <c r="T410" s="43" t="s">
        <v>2229</v>
      </c>
      <c r="U410" t="s">
        <v>3699</v>
      </c>
    </row>
    <row r="411" spans="1:21" x14ac:dyDescent="0.3">
      <c r="A411" t="s">
        <v>833</v>
      </c>
      <c r="B411" t="s">
        <v>30</v>
      </c>
      <c r="C411" t="s">
        <v>1397</v>
      </c>
      <c r="D411" s="15">
        <v>1</v>
      </c>
      <c r="E411" s="7">
        <v>225</v>
      </c>
      <c r="H411">
        <v>201323</v>
      </c>
      <c r="I411" t="s">
        <v>856</v>
      </c>
      <c r="J411" t="s">
        <v>1169</v>
      </c>
      <c r="K411" t="s">
        <v>3</v>
      </c>
      <c r="L411" s="2">
        <v>43191</v>
      </c>
      <c r="M411" s="2">
        <f>DHMXX[[#This Row],[INV DOC DATE]]+30</f>
        <v>43221</v>
      </c>
      <c r="N411" s="2">
        <v>43221</v>
      </c>
      <c r="O411" s="7">
        <v>225</v>
      </c>
      <c r="P411" s="2">
        <v>43227</v>
      </c>
      <c r="Q411" s="7">
        <f>$E411-$O411</f>
        <v>0</v>
      </c>
      <c r="R411" s="7" t="str">
        <f ca="1">IF(TODAY() - DHMXX[INV DUE DATE]&lt;30, "Less than 30 days",IF(TODAY()-DHMXX[INV DUE DATE]&lt;60,"30-60 days","More than 60 days"))</f>
        <v>More than 60 days</v>
      </c>
      <c r="S411" t="s">
        <v>1550</v>
      </c>
      <c r="T411" s="43" t="s">
        <v>2229</v>
      </c>
      <c r="U411" t="s">
        <v>3699</v>
      </c>
    </row>
    <row r="412" spans="1:21" x14ac:dyDescent="0.3">
      <c r="A412" t="s">
        <v>833</v>
      </c>
      <c r="B412" t="s">
        <v>30</v>
      </c>
      <c r="C412" t="s">
        <v>1398</v>
      </c>
      <c r="D412" s="15">
        <v>1</v>
      </c>
      <c r="E412" s="7">
        <v>225</v>
      </c>
      <c r="H412">
        <v>201323</v>
      </c>
      <c r="I412" t="s">
        <v>856</v>
      </c>
      <c r="J412" t="s">
        <v>1170</v>
      </c>
      <c r="K412" t="s">
        <v>3</v>
      </c>
      <c r="L412" s="2">
        <v>43191</v>
      </c>
      <c r="M412" s="2">
        <f>DHMXX[[#This Row],[INV DOC DATE]]+30</f>
        <v>43221</v>
      </c>
      <c r="N412" s="2">
        <v>43221</v>
      </c>
      <c r="O412" s="7">
        <v>225</v>
      </c>
      <c r="P412" s="2">
        <v>43227</v>
      </c>
      <c r="Q412" s="7">
        <f>$E412-$O412</f>
        <v>0</v>
      </c>
      <c r="R412" s="7" t="str">
        <f ca="1">IF(TODAY() - DHMXX[INV DUE DATE]&lt;30, "Less than 30 days",IF(TODAY()-DHMXX[INV DUE DATE]&lt;60,"30-60 days","More than 60 days"))</f>
        <v>More than 60 days</v>
      </c>
      <c r="S412" t="s">
        <v>1550</v>
      </c>
      <c r="T412" s="43" t="s">
        <v>2229</v>
      </c>
      <c r="U412" t="s">
        <v>3699</v>
      </c>
    </row>
    <row r="413" spans="1:21" x14ac:dyDescent="0.3">
      <c r="A413" t="s">
        <v>833</v>
      </c>
      <c r="B413" t="s">
        <v>30</v>
      </c>
      <c r="C413" t="s">
        <v>1399</v>
      </c>
      <c r="D413" s="15">
        <v>1</v>
      </c>
      <c r="E413" s="7">
        <v>225</v>
      </c>
      <c r="H413">
        <v>201323</v>
      </c>
      <c r="I413" t="s">
        <v>856</v>
      </c>
      <c r="J413" t="s">
        <v>1171</v>
      </c>
      <c r="K413" t="s">
        <v>3</v>
      </c>
      <c r="L413" s="2">
        <v>43191</v>
      </c>
      <c r="M413" s="2">
        <f>DHMXX[[#This Row],[INV DOC DATE]]+30</f>
        <v>43221</v>
      </c>
      <c r="N413" s="2">
        <v>43221</v>
      </c>
      <c r="O413" s="7">
        <v>225</v>
      </c>
      <c r="P413" s="2">
        <v>43227</v>
      </c>
      <c r="Q413" s="7">
        <f>$E413-$O413</f>
        <v>0</v>
      </c>
      <c r="R413" s="7" t="str">
        <f ca="1">IF(TODAY() - DHMXX[INV DUE DATE]&lt;30, "Less than 30 days",IF(TODAY()-DHMXX[INV DUE DATE]&lt;60,"30-60 days","More than 60 days"))</f>
        <v>More than 60 days</v>
      </c>
      <c r="S413" t="s">
        <v>1550</v>
      </c>
      <c r="T413" s="43" t="s">
        <v>2229</v>
      </c>
      <c r="U413" t="s">
        <v>3699</v>
      </c>
    </row>
    <row r="414" spans="1:21" x14ac:dyDescent="0.3">
      <c r="A414" t="s">
        <v>833</v>
      </c>
      <c r="B414" t="s">
        <v>30</v>
      </c>
      <c r="C414" t="s">
        <v>1400</v>
      </c>
      <c r="D414" s="15">
        <v>1</v>
      </c>
      <c r="E414" s="7">
        <v>225</v>
      </c>
      <c r="H414">
        <v>201323</v>
      </c>
      <c r="I414" t="s">
        <v>856</v>
      </c>
      <c r="J414" t="s">
        <v>1172</v>
      </c>
      <c r="K414" t="s">
        <v>3</v>
      </c>
      <c r="L414" s="2">
        <v>43191</v>
      </c>
      <c r="M414" s="2">
        <f>DHMXX[[#This Row],[INV DOC DATE]]+30</f>
        <v>43221</v>
      </c>
      <c r="N414" s="2">
        <v>43221</v>
      </c>
      <c r="O414" s="7">
        <v>225</v>
      </c>
      <c r="P414" s="2">
        <v>43227</v>
      </c>
      <c r="Q414" s="7">
        <f>$E414-$O414</f>
        <v>0</v>
      </c>
      <c r="R414" s="7" t="str">
        <f ca="1">IF(TODAY() - DHMXX[INV DUE DATE]&lt;30, "Less than 30 days",IF(TODAY()-DHMXX[INV DUE DATE]&lt;60,"30-60 days","More than 60 days"))</f>
        <v>More than 60 days</v>
      </c>
      <c r="S414" t="s">
        <v>1550</v>
      </c>
      <c r="T414" s="43" t="s">
        <v>2229</v>
      </c>
      <c r="U414" t="s">
        <v>3699</v>
      </c>
    </row>
    <row r="415" spans="1:21" x14ac:dyDescent="0.3">
      <c r="A415" t="s">
        <v>833</v>
      </c>
      <c r="B415" t="s">
        <v>30</v>
      </c>
      <c r="C415" t="s">
        <v>1401</v>
      </c>
      <c r="D415" s="15">
        <v>1</v>
      </c>
      <c r="E415" s="7">
        <v>225</v>
      </c>
      <c r="H415">
        <v>201323</v>
      </c>
      <c r="I415" t="s">
        <v>856</v>
      </c>
      <c r="J415" t="s">
        <v>1173</v>
      </c>
      <c r="K415" t="s">
        <v>3</v>
      </c>
      <c r="L415" s="2">
        <v>43191</v>
      </c>
      <c r="M415" s="2">
        <f>DHMXX[[#This Row],[INV DOC DATE]]+30</f>
        <v>43221</v>
      </c>
      <c r="N415" s="2">
        <v>43221</v>
      </c>
      <c r="O415" s="7">
        <v>225</v>
      </c>
      <c r="P415" s="2">
        <v>43227</v>
      </c>
      <c r="Q415" s="7">
        <f>$E415-$O415</f>
        <v>0</v>
      </c>
      <c r="R415" s="7" t="str">
        <f ca="1">IF(TODAY() - DHMXX[INV DUE DATE]&lt;30, "Less than 30 days",IF(TODAY()-DHMXX[INV DUE DATE]&lt;60,"30-60 days","More than 60 days"))</f>
        <v>More than 60 days</v>
      </c>
      <c r="S415" t="s">
        <v>1550</v>
      </c>
      <c r="T415" s="43" t="s">
        <v>2229</v>
      </c>
      <c r="U415" t="s">
        <v>3699</v>
      </c>
    </row>
    <row r="416" spans="1:21" x14ac:dyDescent="0.3">
      <c r="A416" t="s">
        <v>833</v>
      </c>
      <c r="B416" t="s">
        <v>30</v>
      </c>
      <c r="C416" t="s">
        <v>1402</v>
      </c>
      <c r="D416" s="15">
        <v>1</v>
      </c>
      <c r="E416" s="7">
        <v>172.5</v>
      </c>
      <c r="H416">
        <v>201323</v>
      </c>
      <c r="I416" t="s">
        <v>856</v>
      </c>
      <c r="J416" t="s">
        <v>1174</v>
      </c>
      <c r="K416" t="s">
        <v>3</v>
      </c>
      <c r="L416" s="2">
        <v>43191</v>
      </c>
      <c r="M416" s="2">
        <f>DHMXX[[#This Row],[INV DOC DATE]]+30</f>
        <v>43221</v>
      </c>
      <c r="N416" s="2">
        <v>43221</v>
      </c>
      <c r="O416" s="7">
        <v>172.5</v>
      </c>
      <c r="P416" s="2">
        <v>43227</v>
      </c>
      <c r="Q416" s="7">
        <f>$E416-$O416</f>
        <v>0</v>
      </c>
      <c r="R416" s="7" t="str">
        <f ca="1">IF(TODAY() - DHMXX[INV DUE DATE]&lt;30, "Less than 30 days",IF(TODAY()-DHMXX[INV DUE DATE]&lt;60,"30-60 days","More than 60 days"))</f>
        <v>More than 60 days</v>
      </c>
      <c r="S416" t="s">
        <v>1550</v>
      </c>
      <c r="T416" s="43" t="s">
        <v>2229</v>
      </c>
      <c r="U416" t="s">
        <v>3699</v>
      </c>
    </row>
    <row r="417" spans="1:21" x14ac:dyDescent="0.3">
      <c r="A417" t="s">
        <v>833</v>
      </c>
      <c r="B417" t="s">
        <v>30</v>
      </c>
      <c r="C417" t="s">
        <v>1403</v>
      </c>
      <c r="D417" s="15">
        <v>1</v>
      </c>
      <c r="E417" s="7">
        <v>172.5</v>
      </c>
      <c r="H417">
        <v>201323</v>
      </c>
      <c r="I417" t="s">
        <v>856</v>
      </c>
      <c r="J417" t="s">
        <v>1175</v>
      </c>
      <c r="K417" t="s">
        <v>3</v>
      </c>
      <c r="L417" s="2">
        <v>43191</v>
      </c>
      <c r="M417" s="2">
        <f>DHMXX[[#This Row],[INV DOC DATE]]+30</f>
        <v>43221</v>
      </c>
      <c r="N417" s="2">
        <v>43221</v>
      </c>
      <c r="O417" s="7">
        <v>172.5</v>
      </c>
      <c r="P417" s="2">
        <v>43227</v>
      </c>
      <c r="Q417" s="7">
        <f>$E417-$O417</f>
        <v>0</v>
      </c>
      <c r="R417" s="7" t="str">
        <f ca="1">IF(TODAY() - DHMXX[INV DUE DATE]&lt;30, "Less than 30 days",IF(TODAY()-DHMXX[INV DUE DATE]&lt;60,"30-60 days","More than 60 days"))</f>
        <v>More than 60 days</v>
      </c>
      <c r="S417" t="s">
        <v>1550</v>
      </c>
      <c r="T417" s="43" t="s">
        <v>2229</v>
      </c>
      <c r="U417" t="s">
        <v>3699</v>
      </c>
    </row>
    <row r="418" spans="1:21" x14ac:dyDescent="0.3">
      <c r="A418" t="s">
        <v>833</v>
      </c>
      <c r="B418" t="s">
        <v>30</v>
      </c>
      <c r="C418" t="s">
        <v>1404</v>
      </c>
      <c r="D418" s="15">
        <v>1</v>
      </c>
      <c r="E418" s="7">
        <v>172.5</v>
      </c>
      <c r="H418">
        <v>201323</v>
      </c>
      <c r="I418" t="s">
        <v>856</v>
      </c>
      <c r="J418" t="s">
        <v>1176</v>
      </c>
      <c r="K418" t="s">
        <v>3</v>
      </c>
      <c r="L418" s="2">
        <v>43191</v>
      </c>
      <c r="M418" s="2">
        <f>DHMXX[[#This Row],[INV DOC DATE]]+30</f>
        <v>43221</v>
      </c>
      <c r="N418" s="2">
        <v>43221</v>
      </c>
      <c r="O418" s="7">
        <v>172.5</v>
      </c>
      <c r="P418" s="2">
        <v>43227</v>
      </c>
      <c r="Q418" s="7">
        <f>$E418-$O418</f>
        <v>0</v>
      </c>
      <c r="R418" s="7" t="str">
        <f ca="1">IF(TODAY() - DHMXX[INV DUE DATE]&lt;30, "Less than 30 days",IF(TODAY()-DHMXX[INV DUE DATE]&lt;60,"30-60 days","More than 60 days"))</f>
        <v>More than 60 days</v>
      </c>
      <c r="S418" t="s">
        <v>1550</v>
      </c>
      <c r="T418" s="43" t="s">
        <v>2229</v>
      </c>
      <c r="U418" t="s">
        <v>3699</v>
      </c>
    </row>
    <row r="419" spans="1:21" x14ac:dyDescent="0.3">
      <c r="A419" t="s">
        <v>833</v>
      </c>
      <c r="B419" t="s">
        <v>30</v>
      </c>
      <c r="C419" t="s">
        <v>1405</v>
      </c>
      <c r="D419" s="15">
        <v>1</v>
      </c>
      <c r="E419" s="7">
        <v>172.5</v>
      </c>
      <c r="H419">
        <v>201323</v>
      </c>
      <c r="I419" t="s">
        <v>856</v>
      </c>
      <c r="J419" t="s">
        <v>1177</v>
      </c>
      <c r="K419" t="s">
        <v>3</v>
      </c>
      <c r="L419" s="2">
        <v>43191</v>
      </c>
      <c r="M419" s="2">
        <f>DHMXX[[#This Row],[INV DOC DATE]]+30</f>
        <v>43221</v>
      </c>
      <c r="N419" s="2">
        <v>43221</v>
      </c>
      <c r="O419" s="7">
        <v>172.5</v>
      </c>
      <c r="P419" s="2">
        <v>43227</v>
      </c>
      <c r="Q419" s="7">
        <f>$E419-$O419</f>
        <v>0</v>
      </c>
      <c r="R419" s="7" t="str">
        <f ca="1">IF(TODAY() - DHMXX[INV DUE DATE]&lt;30, "Less than 30 days",IF(TODAY()-DHMXX[INV DUE DATE]&lt;60,"30-60 days","More than 60 days"))</f>
        <v>More than 60 days</v>
      </c>
      <c r="S419" t="s">
        <v>1550</v>
      </c>
      <c r="T419" s="43" t="s">
        <v>2229</v>
      </c>
      <c r="U419" t="s">
        <v>3699</v>
      </c>
    </row>
    <row r="420" spans="1:21" x14ac:dyDescent="0.3">
      <c r="A420" t="s">
        <v>833</v>
      </c>
      <c r="B420" t="s">
        <v>30</v>
      </c>
      <c r="C420" t="s">
        <v>1406</v>
      </c>
      <c r="D420" s="15">
        <v>1</v>
      </c>
      <c r="E420" s="7">
        <v>172.5</v>
      </c>
      <c r="H420">
        <v>201323</v>
      </c>
      <c r="I420" t="s">
        <v>856</v>
      </c>
      <c r="J420" t="s">
        <v>1178</v>
      </c>
      <c r="K420" t="s">
        <v>3</v>
      </c>
      <c r="L420" s="2">
        <v>43191</v>
      </c>
      <c r="M420" s="2">
        <f>DHMXX[[#This Row],[INV DOC DATE]]+30</f>
        <v>43221</v>
      </c>
      <c r="N420" s="2">
        <v>43221</v>
      </c>
      <c r="O420" s="7">
        <v>172.5</v>
      </c>
      <c r="P420" s="2">
        <v>43227</v>
      </c>
      <c r="Q420" s="7">
        <f>$E420-$O420</f>
        <v>0</v>
      </c>
      <c r="R420" s="7" t="str">
        <f ca="1">IF(TODAY() - DHMXX[INV DUE DATE]&lt;30, "Less than 30 days",IF(TODAY()-DHMXX[INV DUE DATE]&lt;60,"30-60 days","More than 60 days"))</f>
        <v>More than 60 days</v>
      </c>
      <c r="S420" t="s">
        <v>1550</v>
      </c>
      <c r="T420" s="43" t="s">
        <v>2229</v>
      </c>
      <c r="U420" t="s">
        <v>3699</v>
      </c>
    </row>
    <row r="421" spans="1:21" x14ac:dyDescent="0.3">
      <c r="A421" t="s">
        <v>833</v>
      </c>
      <c r="B421" t="s">
        <v>30</v>
      </c>
      <c r="C421" t="s">
        <v>1407</v>
      </c>
      <c r="D421" s="15">
        <v>1</v>
      </c>
      <c r="E421" s="7">
        <v>172.5</v>
      </c>
      <c r="H421">
        <v>201323</v>
      </c>
      <c r="I421" t="s">
        <v>856</v>
      </c>
      <c r="J421" t="s">
        <v>1179</v>
      </c>
      <c r="K421" t="s">
        <v>3</v>
      </c>
      <c r="L421" s="2">
        <v>43191</v>
      </c>
      <c r="M421" s="2">
        <f>DHMXX[[#This Row],[INV DOC DATE]]+30</f>
        <v>43221</v>
      </c>
      <c r="N421" s="2">
        <v>43221</v>
      </c>
      <c r="O421" s="7">
        <v>172.5</v>
      </c>
      <c r="P421" s="2">
        <v>43227</v>
      </c>
      <c r="Q421" s="7">
        <f>$E421-$O421</f>
        <v>0</v>
      </c>
      <c r="R421" s="7" t="str">
        <f ca="1">IF(TODAY() - DHMXX[INV DUE DATE]&lt;30, "Less than 30 days",IF(TODAY()-DHMXX[INV DUE DATE]&lt;60,"30-60 days","More than 60 days"))</f>
        <v>More than 60 days</v>
      </c>
      <c r="S421" t="s">
        <v>1550</v>
      </c>
      <c r="T421" s="43" t="s">
        <v>2229</v>
      </c>
      <c r="U421" t="s">
        <v>3699</v>
      </c>
    </row>
    <row r="422" spans="1:21" x14ac:dyDescent="0.3">
      <c r="A422" t="s">
        <v>833</v>
      </c>
      <c r="B422" t="s">
        <v>30</v>
      </c>
      <c r="C422" t="s">
        <v>1408</v>
      </c>
      <c r="D422" s="15">
        <v>1</v>
      </c>
      <c r="E422" s="7">
        <v>172.5</v>
      </c>
      <c r="H422">
        <v>3824</v>
      </c>
      <c r="I422" t="s">
        <v>839</v>
      </c>
      <c r="J422" t="s">
        <v>1180</v>
      </c>
      <c r="K422" t="s">
        <v>3</v>
      </c>
      <c r="L422" s="2">
        <v>43191</v>
      </c>
      <c r="M422" s="2">
        <f>DHMXX[[#This Row],[INV DOC DATE]]+30</f>
        <v>43221</v>
      </c>
      <c r="N422" s="2">
        <v>43221</v>
      </c>
      <c r="O422" s="7">
        <v>172.5</v>
      </c>
      <c r="P422" s="2">
        <v>43227</v>
      </c>
      <c r="Q422" s="7">
        <f>$E422-$O422</f>
        <v>0</v>
      </c>
      <c r="R422" s="7" t="str">
        <f ca="1">IF(TODAY() - DHMXX[INV DUE DATE]&lt;30, "Less than 30 days",IF(TODAY()-DHMXX[INV DUE DATE]&lt;60,"30-60 days","More than 60 days"))</f>
        <v>More than 60 days</v>
      </c>
      <c r="S422" t="s">
        <v>1550</v>
      </c>
      <c r="T422" s="43" t="s">
        <v>2229</v>
      </c>
      <c r="U422" t="s">
        <v>3699</v>
      </c>
    </row>
    <row r="423" spans="1:21" x14ac:dyDescent="0.3">
      <c r="A423" t="s">
        <v>833</v>
      </c>
      <c r="B423" t="s">
        <v>30</v>
      </c>
      <c r="C423" t="s">
        <v>1409</v>
      </c>
      <c r="D423" s="15">
        <v>1</v>
      </c>
      <c r="E423" s="7">
        <v>172.5</v>
      </c>
      <c r="H423">
        <v>3824</v>
      </c>
      <c r="I423" t="s">
        <v>839</v>
      </c>
      <c r="J423" t="s">
        <v>1181</v>
      </c>
      <c r="K423" t="s">
        <v>3</v>
      </c>
      <c r="L423" s="2">
        <v>43191</v>
      </c>
      <c r="M423" s="2">
        <f>DHMXX[[#This Row],[INV DOC DATE]]+30</f>
        <v>43221</v>
      </c>
      <c r="N423" s="2">
        <v>43221</v>
      </c>
      <c r="O423" s="7">
        <v>172.5</v>
      </c>
      <c r="P423" s="2">
        <v>43227</v>
      </c>
      <c r="Q423" s="7">
        <f>$E423-$O423</f>
        <v>0</v>
      </c>
      <c r="R423" s="7" t="str">
        <f ca="1">IF(TODAY() - DHMXX[INV DUE DATE]&lt;30, "Less than 30 days",IF(TODAY()-DHMXX[INV DUE DATE]&lt;60,"30-60 days","More than 60 days"))</f>
        <v>More than 60 days</v>
      </c>
      <c r="S423" t="s">
        <v>1550</v>
      </c>
      <c r="T423" s="43" t="s">
        <v>2229</v>
      </c>
      <c r="U423" t="s">
        <v>3699</v>
      </c>
    </row>
    <row r="424" spans="1:21" x14ac:dyDescent="0.3">
      <c r="A424" t="s">
        <v>833</v>
      </c>
      <c r="B424" t="s">
        <v>30</v>
      </c>
      <c r="C424" t="s">
        <v>1410</v>
      </c>
      <c r="D424" s="15">
        <v>1</v>
      </c>
      <c r="E424" s="7">
        <v>172.5</v>
      </c>
      <c r="H424">
        <v>3824</v>
      </c>
      <c r="I424" t="s">
        <v>839</v>
      </c>
      <c r="J424" t="s">
        <v>1182</v>
      </c>
      <c r="K424" t="s">
        <v>3</v>
      </c>
      <c r="L424" s="2">
        <v>43191</v>
      </c>
      <c r="M424" s="2">
        <f>DHMXX[[#This Row],[INV DOC DATE]]+30</f>
        <v>43221</v>
      </c>
      <c r="N424" s="2">
        <v>43221</v>
      </c>
      <c r="O424" s="7">
        <v>172.5</v>
      </c>
      <c r="P424" s="2">
        <v>43227</v>
      </c>
      <c r="Q424" s="7">
        <f>$E424-$O424</f>
        <v>0</v>
      </c>
      <c r="R424" s="7" t="str">
        <f ca="1">IF(TODAY() - DHMXX[INV DUE DATE]&lt;30, "Less than 30 days",IF(TODAY()-DHMXX[INV DUE DATE]&lt;60,"30-60 days","More than 60 days"))</f>
        <v>More than 60 days</v>
      </c>
      <c r="S424" t="s">
        <v>1550</v>
      </c>
      <c r="T424" s="43" t="s">
        <v>2229</v>
      </c>
      <c r="U424" t="s">
        <v>3699</v>
      </c>
    </row>
    <row r="425" spans="1:21" x14ac:dyDescent="0.3">
      <c r="A425" t="s">
        <v>833</v>
      </c>
      <c r="B425" t="s">
        <v>30</v>
      </c>
      <c r="C425" t="s">
        <v>1411</v>
      </c>
      <c r="D425" s="15">
        <v>1</v>
      </c>
      <c r="E425" s="7">
        <v>172.5</v>
      </c>
      <c r="H425">
        <v>3824</v>
      </c>
      <c r="I425" t="s">
        <v>839</v>
      </c>
      <c r="J425" t="s">
        <v>1183</v>
      </c>
      <c r="K425" t="s">
        <v>3</v>
      </c>
      <c r="L425" s="2">
        <v>43191</v>
      </c>
      <c r="M425" s="2">
        <f>DHMXX[[#This Row],[INV DOC DATE]]+30</f>
        <v>43221</v>
      </c>
      <c r="N425" s="2">
        <v>43221</v>
      </c>
      <c r="O425" s="7">
        <v>172.5</v>
      </c>
      <c r="P425" s="2">
        <v>43227</v>
      </c>
      <c r="Q425" s="7">
        <f>$E425-$O425</f>
        <v>0</v>
      </c>
      <c r="R425" s="7" t="str">
        <f ca="1">IF(TODAY() - DHMXX[INV DUE DATE]&lt;30, "Less than 30 days",IF(TODAY()-DHMXX[INV DUE DATE]&lt;60,"30-60 days","More than 60 days"))</f>
        <v>More than 60 days</v>
      </c>
      <c r="S425" t="s">
        <v>1550</v>
      </c>
      <c r="T425" s="43" t="s">
        <v>2229</v>
      </c>
      <c r="U425" t="s">
        <v>3699</v>
      </c>
    </row>
    <row r="426" spans="1:21" x14ac:dyDescent="0.3">
      <c r="A426" t="s">
        <v>833</v>
      </c>
      <c r="B426" t="s">
        <v>30</v>
      </c>
      <c r="C426" t="s">
        <v>1412</v>
      </c>
      <c r="D426" s="15">
        <v>1</v>
      </c>
      <c r="E426" s="7">
        <v>172.5</v>
      </c>
      <c r="H426">
        <v>3824</v>
      </c>
      <c r="I426" t="s">
        <v>839</v>
      </c>
      <c r="J426" t="s">
        <v>1184</v>
      </c>
      <c r="K426" t="s">
        <v>3</v>
      </c>
      <c r="L426" s="2">
        <v>43191</v>
      </c>
      <c r="M426" s="2">
        <f>DHMXX[[#This Row],[INV DOC DATE]]+30</f>
        <v>43221</v>
      </c>
      <c r="N426" s="2">
        <v>43221</v>
      </c>
      <c r="O426" s="7">
        <v>172.5</v>
      </c>
      <c r="P426" s="2">
        <v>43227</v>
      </c>
      <c r="Q426" s="7">
        <f>$E426-$O426</f>
        <v>0</v>
      </c>
      <c r="R426" s="7" t="str">
        <f ca="1">IF(TODAY() - DHMXX[INV DUE DATE]&lt;30, "Less than 30 days",IF(TODAY()-DHMXX[INV DUE DATE]&lt;60,"30-60 days","More than 60 days"))</f>
        <v>More than 60 days</v>
      </c>
      <c r="S426" t="s">
        <v>1550</v>
      </c>
      <c r="T426" s="43" t="s">
        <v>2229</v>
      </c>
      <c r="U426" t="s">
        <v>3699</v>
      </c>
    </row>
    <row r="427" spans="1:21" x14ac:dyDescent="0.3">
      <c r="A427" t="s">
        <v>833</v>
      </c>
      <c r="B427" t="s">
        <v>30</v>
      </c>
      <c r="C427" t="s">
        <v>1413</v>
      </c>
      <c r="D427" s="15">
        <v>1</v>
      </c>
      <c r="E427" s="7">
        <v>225</v>
      </c>
      <c r="H427">
        <v>3824</v>
      </c>
      <c r="I427" t="s">
        <v>839</v>
      </c>
      <c r="J427" t="s">
        <v>1185</v>
      </c>
      <c r="K427" t="s">
        <v>3</v>
      </c>
      <c r="L427" s="2">
        <v>43191</v>
      </c>
      <c r="M427" s="2">
        <f>DHMXX[[#This Row],[INV DOC DATE]]+30</f>
        <v>43221</v>
      </c>
      <c r="N427" s="2">
        <v>43221</v>
      </c>
      <c r="O427" s="7">
        <v>225</v>
      </c>
      <c r="P427" s="2">
        <v>43227</v>
      </c>
      <c r="Q427" s="7">
        <f>$E427-$O427</f>
        <v>0</v>
      </c>
      <c r="R427" s="7" t="str">
        <f ca="1">IF(TODAY() - DHMXX[INV DUE DATE]&lt;30, "Less than 30 days",IF(TODAY()-DHMXX[INV DUE DATE]&lt;60,"30-60 days","More than 60 days"))</f>
        <v>More than 60 days</v>
      </c>
      <c r="S427" t="s">
        <v>1550</v>
      </c>
      <c r="T427" s="43" t="s">
        <v>2229</v>
      </c>
      <c r="U427" t="s">
        <v>3699</v>
      </c>
    </row>
    <row r="428" spans="1:21" x14ac:dyDescent="0.3">
      <c r="A428" t="s">
        <v>833</v>
      </c>
      <c r="B428" t="s">
        <v>30</v>
      </c>
      <c r="C428" t="s">
        <v>1414</v>
      </c>
      <c r="D428" s="15">
        <v>1</v>
      </c>
      <c r="E428" s="7">
        <v>225</v>
      </c>
      <c r="H428">
        <v>3824</v>
      </c>
      <c r="I428" t="s">
        <v>839</v>
      </c>
      <c r="J428" t="s">
        <v>1186</v>
      </c>
      <c r="K428" t="s">
        <v>3</v>
      </c>
      <c r="L428" s="2">
        <v>43191</v>
      </c>
      <c r="M428" s="2">
        <f>DHMXX[[#This Row],[INV DOC DATE]]+30</f>
        <v>43221</v>
      </c>
      <c r="N428" s="2">
        <v>43221</v>
      </c>
      <c r="O428" s="7">
        <v>225</v>
      </c>
      <c r="P428" s="2">
        <v>43227</v>
      </c>
      <c r="Q428" s="7">
        <f>$E428-$O428</f>
        <v>0</v>
      </c>
      <c r="R428" s="7" t="str">
        <f ca="1">IF(TODAY() - DHMXX[INV DUE DATE]&lt;30, "Less than 30 days",IF(TODAY()-DHMXX[INV DUE DATE]&lt;60,"30-60 days","More than 60 days"))</f>
        <v>More than 60 days</v>
      </c>
      <c r="S428" t="s">
        <v>1550</v>
      </c>
      <c r="T428" s="43" t="s">
        <v>2229</v>
      </c>
      <c r="U428" t="s">
        <v>3699</v>
      </c>
    </row>
    <row r="429" spans="1:21" x14ac:dyDescent="0.3">
      <c r="A429" t="s">
        <v>833</v>
      </c>
      <c r="B429" t="s">
        <v>30</v>
      </c>
      <c r="C429" t="s">
        <v>1415</v>
      </c>
      <c r="D429" s="15">
        <v>1</v>
      </c>
      <c r="E429" s="7">
        <v>225</v>
      </c>
      <c r="H429">
        <v>3824</v>
      </c>
      <c r="I429" t="s">
        <v>839</v>
      </c>
      <c r="J429" t="s">
        <v>1187</v>
      </c>
      <c r="K429" t="s">
        <v>3</v>
      </c>
      <c r="L429" s="2">
        <v>43191</v>
      </c>
      <c r="M429" s="2">
        <f>DHMXX[[#This Row],[INV DOC DATE]]+30</f>
        <v>43221</v>
      </c>
      <c r="N429" s="2">
        <v>43221</v>
      </c>
      <c r="O429" s="7">
        <v>225</v>
      </c>
      <c r="P429" s="2">
        <v>43227</v>
      </c>
      <c r="Q429" s="7">
        <f>$E429-$O429</f>
        <v>0</v>
      </c>
      <c r="R429" s="7" t="str">
        <f ca="1">IF(TODAY() - DHMXX[INV DUE DATE]&lt;30, "Less than 30 days",IF(TODAY()-DHMXX[INV DUE DATE]&lt;60,"30-60 days","More than 60 days"))</f>
        <v>More than 60 days</v>
      </c>
      <c r="S429" t="s">
        <v>1550</v>
      </c>
      <c r="T429" s="43" t="s">
        <v>2229</v>
      </c>
      <c r="U429" t="s">
        <v>3699</v>
      </c>
    </row>
    <row r="430" spans="1:21" x14ac:dyDescent="0.3">
      <c r="A430" t="s">
        <v>833</v>
      </c>
      <c r="B430" t="s">
        <v>30</v>
      </c>
      <c r="C430" t="s">
        <v>1416</v>
      </c>
      <c r="D430" s="15">
        <v>1</v>
      </c>
      <c r="E430" s="7">
        <v>225</v>
      </c>
      <c r="H430">
        <v>3824</v>
      </c>
      <c r="I430" t="s">
        <v>839</v>
      </c>
      <c r="J430" t="s">
        <v>1188</v>
      </c>
      <c r="K430" t="s">
        <v>3</v>
      </c>
      <c r="L430" s="2">
        <v>43191</v>
      </c>
      <c r="M430" s="2">
        <f>DHMXX[[#This Row],[INV DOC DATE]]+30</f>
        <v>43221</v>
      </c>
      <c r="N430" s="2">
        <v>43221</v>
      </c>
      <c r="O430" s="7">
        <v>225</v>
      </c>
      <c r="P430" s="2">
        <v>43227</v>
      </c>
      <c r="Q430" s="7">
        <f>$E430-$O430</f>
        <v>0</v>
      </c>
      <c r="R430" s="7" t="str">
        <f ca="1">IF(TODAY() - DHMXX[INV DUE DATE]&lt;30, "Less than 30 days",IF(TODAY()-DHMXX[INV DUE DATE]&lt;60,"30-60 days","More than 60 days"))</f>
        <v>More than 60 days</v>
      </c>
      <c r="S430" t="s">
        <v>1550</v>
      </c>
      <c r="T430" s="43" t="s">
        <v>2229</v>
      </c>
      <c r="U430" t="s">
        <v>3699</v>
      </c>
    </row>
    <row r="431" spans="1:21" x14ac:dyDescent="0.3">
      <c r="A431" t="s">
        <v>833</v>
      </c>
      <c r="B431" t="s">
        <v>30</v>
      </c>
      <c r="C431" t="s">
        <v>1417</v>
      </c>
      <c r="D431" s="15">
        <v>1</v>
      </c>
      <c r="E431" s="7">
        <v>225</v>
      </c>
      <c r="H431">
        <v>3824</v>
      </c>
      <c r="I431" t="s">
        <v>839</v>
      </c>
      <c r="J431" t="s">
        <v>1189</v>
      </c>
      <c r="K431" t="s">
        <v>3</v>
      </c>
      <c r="L431" s="2">
        <v>43191</v>
      </c>
      <c r="M431" s="2">
        <f>DHMXX[[#This Row],[INV DOC DATE]]+30</f>
        <v>43221</v>
      </c>
      <c r="N431" s="2">
        <v>43221</v>
      </c>
      <c r="O431" s="7">
        <v>225</v>
      </c>
      <c r="P431" s="2">
        <v>43227</v>
      </c>
      <c r="Q431" s="7">
        <f>$E431-$O431</f>
        <v>0</v>
      </c>
      <c r="R431" s="7" t="str">
        <f ca="1">IF(TODAY() - DHMXX[INV DUE DATE]&lt;30, "Less than 30 days",IF(TODAY()-DHMXX[INV DUE DATE]&lt;60,"30-60 days","More than 60 days"))</f>
        <v>More than 60 days</v>
      </c>
      <c r="S431" t="s">
        <v>1550</v>
      </c>
      <c r="T431" s="43" t="s">
        <v>2229</v>
      </c>
      <c r="U431" t="s">
        <v>3699</v>
      </c>
    </row>
    <row r="432" spans="1:21" x14ac:dyDescent="0.3">
      <c r="A432" t="s">
        <v>833</v>
      </c>
      <c r="B432" t="s">
        <v>30</v>
      </c>
      <c r="C432" t="s">
        <v>1418</v>
      </c>
      <c r="D432" s="15">
        <v>1</v>
      </c>
      <c r="E432" s="7">
        <v>270</v>
      </c>
      <c r="H432">
        <v>3825</v>
      </c>
      <c r="I432" t="s">
        <v>845</v>
      </c>
      <c r="J432" t="s">
        <v>1190</v>
      </c>
      <c r="K432" t="s">
        <v>3</v>
      </c>
      <c r="L432" s="2">
        <v>43191</v>
      </c>
      <c r="M432" s="2">
        <f>DHMXX[[#This Row],[INV DOC DATE]]+30</f>
        <v>43221</v>
      </c>
      <c r="N432" s="2">
        <v>43221</v>
      </c>
      <c r="O432" s="7">
        <v>270</v>
      </c>
      <c r="P432" s="2">
        <v>43227</v>
      </c>
      <c r="Q432" s="7">
        <f>$E432-$O432</f>
        <v>0</v>
      </c>
      <c r="R432" s="7" t="str">
        <f ca="1">IF(TODAY() - DHMXX[INV DUE DATE]&lt;30, "Less than 30 days",IF(TODAY()-DHMXX[INV DUE DATE]&lt;60,"30-60 days","More than 60 days"))</f>
        <v>More than 60 days</v>
      </c>
      <c r="S432" t="s">
        <v>1550</v>
      </c>
      <c r="T432" s="43" t="s">
        <v>2229</v>
      </c>
      <c r="U432" t="s">
        <v>3699</v>
      </c>
    </row>
    <row r="433" spans="1:21" x14ac:dyDescent="0.3">
      <c r="A433" t="s">
        <v>833</v>
      </c>
      <c r="B433" t="s">
        <v>30</v>
      </c>
      <c r="C433" t="s">
        <v>1419</v>
      </c>
      <c r="D433" s="15">
        <v>1</v>
      </c>
      <c r="E433" s="7">
        <v>270</v>
      </c>
      <c r="H433">
        <v>3825</v>
      </c>
      <c r="I433" t="s">
        <v>845</v>
      </c>
      <c r="J433" t="s">
        <v>1191</v>
      </c>
      <c r="K433" t="s">
        <v>3</v>
      </c>
      <c r="L433" s="2">
        <v>43191</v>
      </c>
      <c r="M433" s="2">
        <f>DHMXX[[#This Row],[INV DOC DATE]]+30</f>
        <v>43221</v>
      </c>
      <c r="N433" s="2">
        <v>43221</v>
      </c>
      <c r="O433" s="7">
        <v>270</v>
      </c>
      <c r="P433" s="2">
        <v>43227</v>
      </c>
      <c r="Q433" s="7">
        <f>$E433-$O433</f>
        <v>0</v>
      </c>
      <c r="R433" s="7" t="str">
        <f ca="1">IF(TODAY() - DHMXX[INV DUE DATE]&lt;30, "Less than 30 days",IF(TODAY()-DHMXX[INV DUE DATE]&lt;60,"30-60 days","More than 60 days"))</f>
        <v>More than 60 days</v>
      </c>
      <c r="S433" t="s">
        <v>1550</v>
      </c>
      <c r="T433" s="43" t="s">
        <v>2229</v>
      </c>
      <c r="U433" t="s">
        <v>3699</v>
      </c>
    </row>
    <row r="434" spans="1:21" x14ac:dyDescent="0.3">
      <c r="A434" t="s">
        <v>833</v>
      </c>
      <c r="B434" t="s">
        <v>30</v>
      </c>
      <c r="C434" t="s">
        <v>1420</v>
      </c>
      <c r="D434" s="15">
        <v>1</v>
      </c>
      <c r="E434" s="7">
        <v>270</v>
      </c>
      <c r="H434">
        <v>3825</v>
      </c>
      <c r="I434" t="s">
        <v>845</v>
      </c>
      <c r="J434" t="s">
        <v>1192</v>
      </c>
      <c r="K434" t="s">
        <v>3</v>
      </c>
      <c r="L434" s="2">
        <v>43191</v>
      </c>
      <c r="M434" s="2">
        <f>DHMXX[[#This Row],[INV DOC DATE]]+30</f>
        <v>43221</v>
      </c>
      <c r="N434" s="2">
        <v>43221</v>
      </c>
      <c r="O434" s="7">
        <v>270</v>
      </c>
      <c r="P434" s="2">
        <v>43227</v>
      </c>
      <c r="Q434" s="7">
        <f>$E434-$O434</f>
        <v>0</v>
      </c>
      <c r="R434" s="7" t="str">
        <f ca="1">IF(TODAY() - DHMXX[INV DUE DATE]&lt;30, "Less than 30 days",IF(TODAY()-DHMXX[INV DUE DATE]&lt;60,"30-60 days","More than 60 days"))</f>
        <v>More than 60 days</v>
      </c>
      <c r="S434" t="s">
        <v>1550</v>
      </c>
      <c r="T434" s="43" t="s">
        <v>2229</v>
      </c>
      <c r="U434" t="s">
        <v>3699</v>
      </c>
    </row>
    <row r="435" spans="1:21" x14ac:dyDescent="0.3">
      <c r="A435" t="s">
        <v>833</v>
      </c>
      <c r="B435" t="s">
        <v>30</v>
      </c>
      <c r="C435" t="s">
        <v>1421</v>
      </c>
      <c r="D435" s="15">
        <v>1</v>
      </c>
      <c r="E435" s="7">
        <v>270</v>
      </c>
      <c r="H435">
        <v>3825</v>
      </c>
      <c r="I435" t="s">
        <v>845</v>
      </c>
      <c r="J435" t="s">
        <v>1193</v>
      </c>
      <c r="K435" t="s">
        <v>3</v>
      </c>
      <c r="L435" s="2">
        <v>43191</v>
      </c>
      <c r="M435" s="2">
        <f>DHMXX[[#This Row],[INV DOC DATE]]+30</f>
        <v>43221</v>
      </c>
      <c r="N435" s="2">
        <v>43221</v>
      </c>
      <c r="O435" s="7">
        <v>270</v>
      </c>
      <c r="P435" s="2">
        <v>43227</v>
      </c>
      <c r="Q435" s="7">
        <f>$E435-$O435</f>
        <v>0</v>
      </c>
      <c r="R435" s="7" t="str">
        <f ca="1">IF(TODAY() - DHMXX[INV DUE DATE]&lt;30, "Less than 30 days",IF(TODAY()-DHMXX[INV DUE DATE]&lt;60,"30-60 days","More than 60 days"))</f>
        <v>More than 60 days</v>
      </c>
      <c r="S435" t="s">
        <v>1550</v>
      </c>
      <c r="T435" s="43" t="s">
        <v>2229</v>
      </c>
      <c r="U435" t="s">
        <v>3699</v>
      </c>
    </row>
    <row r="436" spans="1:21" x14ac:dyDescent="0.3">
      <c r="A436" t="s">
        <v>833</v>
      </c>
      <c r="B436" t="s">
        <v>30</v>
      </c>
      <c r="C436" t="s">
        <v>1422</v>
      </c>
      <c r="D436" s="15">
        <v>1</v>
      </c>
      <c r="E436" s="7">
        <v>480</v>
      </c>
      <c r="H436">
        <v>3825</v>
      </c>
      <c r="I436" t="s">
        <v>845</v>
      </c>
      <c r="J436" t="s">
        <v>1194</v>
      </c>
      <c r="K436" t="s">
        <v>3</v>
      </c>
      <c r="L436" s="2">
        <v>43191</v>
      </c>
      <c r="M436" s="2">
        <f>DHMXX[[#This Row],[INV DOC DATE]]+30</f>
        <v>43221</v>
      </c>
      <c r="N436" s="2">
        <v>43221</v>
      </c>
      <c r="O436" s="7">
        <v>480</v>
      </c>
      <c r="P436" s="2">
        <v>43227</v>
      </c>
      <c r="Q436" s="7">
        <f>$E436-$O436</f>
        <v>0</v>
      </c>
      <c r="R436" s="7" t="str">
        <f ca="1">IF(TODAY() - DHMXX[INV DUE DATE]&lt;30, "Less than 30 days",IF(TODAY()-DHMXX[INV DUE DATE]&lt;60,"30-60 days","More than 60 days"))</f>
        <v>More than 60 days</v>
      </c>
      <c r="S436" t="s">
        <v>1550</v>
      </c>
      <c r="T436" s="43" t="s">
        <v>2229</v>
      </c>
      <c r="U436" t="s">
        <v>3699</v>
      </c>
    </row>
    <row r="437" spans="1:21" x14ac:dyDescent="0.3">
      <c r="A437" t="s">
        <v>833</v>
      </c>
      <c r="B437" t="s">
        <v>30</v>
      </c>
      <c r="C437" t="s">
        <v>1423</v>
      </c>
      <c r="D437" s="15">
        <v>1</v>
      </c>
      <c r="E437" s="7">
        <v>480</v>
      </c>
      <c r="H437">
        <v>3825</v>
      </c>
      <c r="I437" t="s">
        <v>845</v>
      </c>
      <c r="J437" t="s">
        <v>1195</v>
      </c>
      <c r="K437" t="s">
        <v>3</v>
      </c>
      <c r="L437" s="2">
        <v>43191</v>
      </c>
      <c r="M437" s="2">
        <f>DHMXX[[#This Row],[INV DOC DATE]]+30</f>
        <v>43221</v>
      </c>
      <c r="N437" s="2">
        <v>43221</v>
      </c>
      <c r="O437" s="7">
        <v>480</v>
      </c>
      <c r="P437" s="2">
        <v>43227</v>
      </c>
      <c r="Q437" s="7">
        <f>$E437-$O437</f>
        <v>0</v>
      </c>
      <c r="R437" s="7" t="str">
        <f ca="1">IF(TODAY() - DHMXX[INV DUE DATE]&lt;30, "Less than 30 days",IF(TODAY()-DHMXX[INV DUE DATE]&lt;60,"30-60 days","More than 60 days"))</f>
        <v>More than 60 days</v>
      </c>
      <c r="S437" t="s">
        <v>1550</v>
      </c>
      <c r="T437" s="43" t="s">
        <v>2229</v>
      </c>
      <c r="U437" t="s">
        <v>3699</v>
      </c>
    </row>
    <row r="438" spans="1:21" x14ac:dyDescent="0.3">
      <c r="A438" t="s">
        <v>833</v>
      </c>
      <c r="B438" t="s">
        <v>30</v>
      </c>
      <c r="C438" t="s">
        <v>1424</v>
      </c>
      <c r="D438" s="15">
        <v>1</v>
      </c>
      <c r="E438" s="7">
        <v>480</v>
      </c>
      <c r="H438">
        <v>3825</v>
      </c>
      <c r="I438" t="s">
        <v>845</v>
      </c>
      <c r="J438" t="s">
        <v>1196</v>
      </c>
      <c r="K438" t="s">
        <v>3</v>
      </c>
      <c r="L438" s="2">
        <v>43191</v>
      </c>
      <c r="M438" s="2">
        <f>DHMXX[[#This Row],[INV DOC DATE]]+30</f>
        <v>43221</v>
      </c>
      <c r="N438" s="2">
        <v>43221</v>
      </c>
      <c r="O438" s="7">
        <v>480</v>
      </c>
      <c r="P438" s="2">
        <v>43227</v>
      </c>
      <c r="Q438" s="7">
        <f>$E438-$O438</f>
        <v>0</v>
      </c>
      <c r="R438" s="7" t="str">
        <f ca="1">IF(TODAY() - DHMXX[INV DUE DATE]&lt;30, "Less than 30 days",IF(TODAY()-DHMXX[INV DUE DATE]&lt;60,"30-60 days","More than 60 days"))</f>
        <v>More than 60 days</v>
      </c>
      <c r="S438" t="s">
        <v>1550</v>
      </c>
      <c r="T438" s="43" t="s">
        <v>2229</v>
      </c>
      <c r="U438" t="s">
        <v>3699</v>
      </c>
    </row>
    <row r="439" spans="1:21" x14ac:dyDescent="0.3">
      <c r="A439" t="s">
        <v>833</v>
      </c>
      <c r="B439" t="s">
        <v>30</v>
      </c>
      <c r="C439" t="s">
        <v>1425</v>
      </c>
      <c r="D439" s="15">
        <v>1</v>
      </c>
      <c r="E439" s="7">
        <v>480</v>
      </c>
      <c r="H439">
        <v>3825</v>
      </c>
      <c r="I439" t="s">
        <v>845</v>
      </c>
      <c r="J439" t="s">
        <v>1197</v>
      </c>
      <c r="K439" t="s">
        <v>3</v>
      </c>
      <c r="L439" s="2">
        <v>43191</v>
      </c>
      <c r="M439" s="2">
        <f>DHMXX[[#This Row],[INV DOC DATE]]+30</f>
        <v>43221</v>
      </c>
      <c r="N439" s="2">
        <v>43221</v>
      </c>
      <c r="O439" s="7">
        <v>480</v>
      </c>
      <c r="P439" s="2">
        <v>43227</v>
      </c>
      <c r="Q439" s="7">
        <f>$E439-$O439</f>
        <v>0</v>
      </c>
      <c r="R439" s="7" t="str">
        <f ca="1">IF(TODAY() - DHMXX[INV DUE DATE]&lt;30, "Less than 30 days",IF(TODAY()-DHMXX[INV DUE DATE]&lt;60,"30-60 days","More than 60 days"))</f>
        <v>More than 60 days</v>
      </c>
      <c r="S439" t="s">
        <v>1550</v>
      </c>
      <c r="T439" s="43" t="s">
        <v>2229</v>
      </c>
      <c r="U439" t="s">
        <v>3699</v>
      </c>
    </row>
    <row r="440" spans="1:21" x14ac:dyDescent="0.3">
      <c r="A440" t="s">
        <v>833</v>
      </c>
      <c r="B440" t="s">
        <v>30</v>
      </c>
      <c r="C440" t="s">
        <v>1426</v>
      </c>
      <c r="D440" s="15">
        <v>1</v>
      </c>
      <c r="E440" s="7">
        <v>172.5</v>
      </c>
      <c r="H440">
        <v>580</v>
      </c>
      <c r="I440" t="s">
        <v>857</v>
      </c>
      <c r="J440" t="s">
        <v>1198</v>
      </c>
      <c r="K440" t="s">
        <v>3</v>
      </c>
      <c r="L440" s="2">
        <v>43191</v>
      </c>
      <c r="M440" s="2">
        <f>DHMXX[[#This Row],[INV DOC DATE]]+30</f>
        <v>43221</v>
      </c>
      <c r="N440" s="2">
        <v>43221</v>
      </c>
      <c r="O440" s="7">
        <v>172.5</v>
      </c>
      <c r="P440" s="2">
        <v>43227</v>
      </c>
      <c r="Q440" s="7">
        <f>$E440-$O440</f>
        <v>0</v>
      </c>
      <c r="R440" s="7" t="str">
        <f ca="1">IF(TODAY() - DHMXX[INV DUE DATE]&lt;30, "Less than 30 days",IF(TODAY()-DHMXX[INV DUE DATE]&lt;60,"30-60 days","More than 60 days"))</f>
        <v>More than 60 days</v>
      </c>
      <c r="S440" t="s">
        <v>1550</v>
      </c>
      <c r="T440" s="43" t="s">
        <v>2229</v>
      </c>
      <c r="U440" t="s">
        <v>3699</v>
      </c>
    </row>
    <row r="441" spans="1:21" x14ac:dyDescent="0.3">
      <c r="A441" t="s">
        <v>833</v>
      </c>
      <c r="B441" t="s">
        <v>30</v>
      </c>
      <c r="C441" t="s">
        <v>1427</v>
      </c>
      <c r="D441" s="15">
        <v>1</v>
      </c>
      <c r="E441" s="7">
        <v>172.5</v>
      </c>
      <c r="H441">
        <v>580</v>
      </c>
      <c r="I441" t="s">
        <v>857</v>
      </c>
      <c r="J441" t="s">
        <v>1199</v>
      </c>
      <c r="K441" t="s">
        <v>3</v>
      </c>
      <c r="L441" s="2">
        <v>43191</v>
      </c>
      <c r="M441" s="2">
        <f>DHMXX[[#This Row],[INV DOC DATE]]+30</f>
        <v>43221</v>
      </c>
      <c r="N441" s="2">
        <v>43221</v>
      </c>
      <c r="O441" s="7">
        <v>172.5</v>
      </c>
      <c r="P441" s="2">
        <v>43227</v>
      </c>
      <c r="Q441" s="7">
        <f>$E441-$O441</f>
        <v>0</v>
      </c>
      <c r="R441" s="7" t="str">
        <f ca="1">IF(TODAY() - DHMXX[INV DUE DATE]&lt;30, "Less than 30 days",IF(TODAY()-DHMXX[INV DUE DATE]&lt;60,"30-60 days","More than 60 days"))</f>
        <v>More than 60 days</v>
      </c>
      <c r="S441" t="s">
        <v>1550</v>
      </c>
      <c r="T441" s="43" t="s">
        <v>2229</v>
      </c>
      <c r="U441" t="s">
        <v>3699</v>
      </c>
    </row>
    <row r="442" spans="1:21" x14ac:dyDescent="0.3">
      <c r="A442" t="s">
        <v>833</v>
      </c>
      <c r="B442" t="s">
        <v>30</v>
      </c>
      <c r="C442" t="s">
        <v>1428</v>
      </c>
      <c r="D442" s="15">
        <v>1</v>
      </c>
      <c r="E442" s="7">
        <v>270</v>
      </c>
      <c r="H442">
        <v>73868</v>
      </c>
      <c r="I442" t="s">
        <v>858</v>
      </c>
      <c r="J442" t="s">
        <v>1200</v>
      </c>
      <c r="K442" t="s">
        <v>3</v>
      </c>
      <c r="L442" s="2">
        <v>43191</v>
      </c>
      <c r="M442" s="2">
        <f>DHMXX[[#This Row],[INV DOC DATE]]+30</f>
        <v>43221</v>
      </c>
      <c r="N442" s="2">
        <v>43221</v>
      </c>
      <c r="O442" s="7">
        <v>270</v>
      </c>
      <c r="P442" s="2">
        <v>43227</v>
      </c>
      <c r="Q442" s="7">
        <f>$E442-$O442</f>
        <v>0</v>
      </c>
      <c r="R442" s="7" t="str">
        <f ca="1">IF(TODAY() - DHMXX[INV DUE DATE]&lt;30, "Less than 30 days",IF(TODAY()-DHMXX[INV DUE DATE]&lt;60,"30-60 days","More than 60 days"))</f>
        <v>More than 60 days</v>
      </c>
      <c r="S442" t="s">
        <v>1550</v>
      </c>
      <c r="T442" s="43" t="s">
        <v>2229</v>
      </c>
      <c r="U442" t="s">
        <v>3699</v>
      </c>
    </row>
    <row r="443" spans="1:21" x14ac:dyDescent="0.3">
      <c r="A443" t="s">
        <v>833</v>
      </c>
      <c r="B443" t="s">
        <v>30</v>
      </c>
      <c r="C443" t="s">
        <v>1429</v>
      </c>
      <c r="D443" s="15">
        <v>1</v>
      </c>
      <c r="E443" s="7">
        <v>270</v>
      </c>
      <c r="H443">
        <v>73868</v>
      </c>
      <c r="I443" t="s">
        <v>858</v>
      </c>
      <c r="J443" t="s">
        <v>1201</v>
      </c>
      <c r="K443" t="s">
        <v>3</v>
      </c>
      <c r="L443" s="2">
        <v>43191</v>
      </c>
      <c r="M443" s="2">
        <f>DHMXX[[#This Row],[INV DOC DATE]]+30</f>
        <v>43221</v>
      </c>
      <c r="N443" s="2">
        <v>43221</v>
      </c>
      <c r="O443" s="7">
        <v>270</v>
      </c>
      <c r="P443" s="2">
        <v>43227</v>
      </c>
      <c r="Q443" s="7">
        <f>$E443-$O443</f>
        <v>0</v>
      </c>
      <c r="R443" s="7" t="str">
        <f ca="1">IF(TODAY() - DHMXX[INV DUE DATE]&lt;30, "Less than 30 days",IF(TODAY()-DHMXX[INV DUE DATE]&lt;60,"30-60 days","More than 60 days"))</f>
        <v>More than 60 days</v>
      </c>
      <c r="S443" t="s">
        <v>1550</v>
      </c>
      <c r="T443" s="43" t="s">
        <v>2229</v>
      </c>
      <c r="U443" t="s">
        <v>3699</v>
      </c>
    </row>
    <row r="444" spans="1:21" x14ac:dyDescent="0.3">
      <c r="A444" t="s">
        <v>833</v>
      </c>
      <c r="B444" t="s">
        <v>30</v>
      </c>
      <c r="C444" t="s">
        <v>1430</v>
      </c>
      <c r="D444" s="15">
        <v>1</v>
      </c>
      <c r="E444" s="7">
        <v>270</v>
      </c>
      <c r="H444">
        <v>73868</v>
      </c>
      <c r="I444" t="s">
        <v>858</v>
      </c>
      <c r="J444" t="s">
        <v>1202</v>
      </c>
      <c r="K444" t="s">
        <v>3</v>
      </c>
      <c r="L444" s="2">
        <v>43191</v>
      </c>
      <c r="M444" s="2">
        <f>DHMXX[[#This Row],[INV DOC DATE]]+30</f>
        <v>43221</v>
      </c>
      <c r="N444" s="2">
        <v>43221</v>
      </c>
      <c r="O444" s="7">
        <v>270</v>
      </c>
      <c r="P444" s="2">
        <v>43227</v>
      </c>
      <c r="Q444" s="7">
        <f>$E444-$O444</f>
        <v>0</v>
      </c>
      <c r="R444" s="7" t="str">
        <f ca="1">IF(TODAY() - DHMXX[INV DUE DATE]&lt;30, "Less than 30 days",IF(TODAY()-DHMXX[INV DUE DATE]&lt;60,"30-60 days","More than 60 days"))</f>
        <v>More than 60 days</v>
      </c>
      <c r="S444" t="s">
        <v>1550</v>
      </c>
      <c r="T444" s="43" t="s">
        <v>2229</v>
      </c>
      <c r="U444" t="s">
        <v>3699</v>
      </c>
    </row>
    <row r="445" spans="1:21" x14ac:dyDescent="0.3">
      <c r="A445" t="s">
        <v>833</v>
      </c>
      <c r="B445" t="s">
        <v>30</v>
      </c>
      <c r="C445" t="s">
        <v>1431</v>
      </c>
      <c r="D445" s="15">
        <v>1</v>
      </c>
      <c r="E445" s="7">
        <v>480</v>
      </c>
      <c r="H445">
        <v>73868</v>
      </c>
      <c r="I445" t="s">
        <v>858</v>
      </c>
      <c r="J445" t="s">
        <v>1203</v>
      </c>
      <c r="K445" t="s">
        <v>3</v>
      </c>
      <c r="L445" s="2">
        <v>43191</v>
      </c>
      <c r="M445" s="2">
        <f>DHMXX[[#This Row],[INV DOC DATE]]+30</f>
        <v>43221</v>
      </c>
      <c r="N445" s="2">
        <v>43221</v>
      </c>
      <c r="O445" s="7">
        <v>480</v>
      </c>
      <c r="P445" s="2">
        <v>43227</v>
      </c>
      <c r="Q445" s="7">
        <f>$E445-$O445</f>
        <v>0</v>
      </c>
      <c r="R445" s="7" t="str">
        <f ca="1">IF(TODAY() - DHMXX[INV DUE DATE]&lt;30, "Less than 30 days",IF(TODAY()-DHMXX[INV DUE DATE]&lt;60,"30-60 days","More than 60 days"))</f>
        <v>More than 60 days</v>
      </c>
      <c r="S445" t="s">
        <v>1550</v>
      </c>
      <c r="T445" s="43" t="s">
        <v>2229</v>
      </c>
      <c r="U445" t="s">
        <v>3699</v>
      </c>
    </row>
    <row r="446" spans="1:21" x14ac:dyDescent="0.3">
      <c r="A446" t="s">
        <v>833</v>
      </c>
      <c r="B446" t="s">
        <v>30</v>
      </c>
      <c r="C446" t="s">
        <v>1432</v>
      </c>
      <c r="D446" s="15">
        <v>1</v>
      </c>
      <c r="E446" s="7">
        <v>480</v>
      </c>
      <c r="H446">
        <v>73868</v>
      </c>
      <c r="I446" t="s">
        <v>858</v>
      </c>
      <c r="J446" t="s">
        <v>1204</v>
      </c>
      <c r="K446" t="s">
        <v>3</v>
      </c>
      <c r="L446" s="2">
        <v>43191</v>
      </c>
      <c r="M446" s="2">
        <f>DHMXX[[#This Row],[INV DOC DATE]]+30</f>
        <v>43221</v>
      </c>
      <c r="N446" s="2">
        <v>43221</v>
      </c>
      <c r="O446" s="7">
        <v>480</v>
      </c>
      <c r="P446" s="2">
        <v>43227</v>
      </c>
      <c r="Q446" s="7">
        <f>$E446-$O446</f>
        <v>0</v>
      </c>
      <c r="R446" s="7" t="str">
        <f ca="1">IF(TODAY() - DHMXX[INV DUE DATE]&lt;30, "Less than 30 days",IF(TODAY()-DHMXX[INV DUE DATE]&lt;60,"30-60 days","More than 60 days"))</f>
        <v>More than 60 days</v>
      </c>
      <c r="S446" t="s">
        <v>1550</v>
      </c>
      <c r="T446" s="43" t="s">
        <v>2229</v>
      </c>
      <c r="U446" t="s">
        <v>3699</v>
      </c>
    </row>
    <row r="447" spans="1:21" x14ac:dyDescent="0.3">
      <c r="A447" t="s">
        <v>833</v>
      </c>
      <c r="B447" t="s">
        <v>30</v>
      </c>
      <c r="C447" t="s">
        <v>1433</v>
      </c>
      <c r="D447" s="15">
        <v>1</v>
      </c>
      <c r="E447" s="7">
        <v>480</v>
      </c>
      <c r="H447">
        <v>73868</v>
      </c>
      <c r="I447" t="s">
        <v>858</v>
      </c>
      <c r="J447" t="s">
        <v>1205</v>
      </c>
      <c r="K447" t="s">
        <v>3</v>
      </c>
      <c r="L447" s="2">
        <v>43191</v>
      </c>
      <c r="M447" s="2">
        <f>DHMXX[[#This Row],[INV DOC DATE]]+30</f>
        <v>43221</v>
      </c>
      <c r="N447" s="2">
        <v>43221</v>
      </c>
      <c r="O447" s="7">
        <v>480</v>
      </c>
      <c r="P447" s="2">
        <v>43227</v>
      </c>
      <c r="Q447" s="7">
        <f>$E447-$O447</f>
        <v>0</v>
      </c>
      <c r="R447" s="7" t="str">
        <f ca="1">IF(TODAY() - DHMXX[INV DUE DATE]&lt;30, "Less than 30 days",IF(TODAY()-DHMXX[INV DUE DATE]&lt;60,"30-60 days","More than 60 days"))</f>
        <v>More than 60 days</v>
      </c>
      <c r="S447" t="s">
        <v>1550</v>
      </c>
      <c r="T447" s="43" t="s">
        <v>2229</v>
      </c>
      <c r="U447" t="s">
        <v>3699</v>
      </c>
    </row>
    <row r="448" spans="1:21" x14ac:dyDescent="0.3">
      <c r="A448" t="s">
        <v>833</v>
      </c>
      <c r="B448" t="s">
        <v>30</v>
      </c>
      <c r="C448" t="s">
        <v>1434</v>
      </c>
      <c r="D448" s="15">
        <v>1</v>
      </c>
      <c r="E448" s="7">
        <v>480</v>
      </c>
      <c r="H448">
        <v>73868</v>
      </c>
      <c r="I448" t="s">
        <v>858</v>
      </c>
      <c r="J448" t="s">
        <v>1206</v>
      </c>
      <c r="K448" t="s">
        <v>3</v>
      </c>
      <c r="L448" s="2">
        <v>43191</v>
      </c>
      <c r="M448" s="2">
        <f>DHMXX[[#This Row],[INV DOC DATE]]+30</f>
        <v>43221</v>
      </c>
      <c r="N448" s="2">
        <v>43221</v>
      </c>
      <c r="O448" s="7">
        <v>480</v>
      </c>
      <c r="P448" s="2">
        <v>43227</v>
      </c>
      <c r="Q448" s="7">
        <f>$E448-$O448</f>
        <v>0</v>
      </c>
      <c r="R448" s="7" t="str">
        <f ca="1">IF(TODAY() - DHMXX[INV DUE DATE]&lt;30, "Less than 30 days",IF(TODAY()-DHMXX[INV DUE DATE]&lt;60,"30-60 days","More than 60 days"))</f>
        <v>More than 60 days</v>
      </c>
      <c r="S448" t="s">
        <v>1550</v>
      </c>
      <c r="T448" s="43" t="s">
        <v>2229</v>
      </c>
      <c r="U448" t="s">
        <v>3699</v>
      </c>
    </row>
    <row r="449" spans="1:21" x14ac:dyDescent="0.3">
      <c r="A449" t="s">
        <v>833</v>
      </c>
      <c r="B449" t="s">
        <v>30</v>
      </c>
      <c r="C449" t="s">
        <v>1435</v>
      </c>
      <c r="D449" s="15">
        <v>1</v>
      </c>
      <c r="E449" s="7">
        <v>232.5</v>
      </c>
      <c r="H449">
        <v>75810</v>
      </c>
      <c r="I449" t="s">
        <v>845</v>
      </c>
      <c r="J449" t="s">
        <v>1207</v>
      </c>
      <c r="K449" t="s">
        <v>3</v>
      </c>
      <c r="L449" s="2">
        <v>43191</v>
      </c>
      <c r="M449" s="2">
        <f>DHMXX[[#This Row],[INV DOC DATE]]+30</f>
        <v>43221</v>
      </c>
      <c r="N449" s="2">
        <v>43221</v>
      </c>
      <c r="O449" s="7">
        <v>232.5</v>
      </c>
      <c r="P449" s="2">
        <v>43227</v>
      </c>
      <c r="Q449" s="7">
        <f>$E449-$O449</f>
        <v>0</v>
      </c>
      <c r="R449" s="7" t="str">
        <f ca="1">IF(TODAY() - DHMXX[INV DUE DATE]&lt;30, "Less than 30 days",IF(TODAY()-DHMXX[INV DUE DATE]&lt;60,"30-60 days","More than 60 days"))</f>
        <v>More than 60 days</v>
      </c>
      <c r="S449" t="s">
        <v>1550</v>
      </c>
      <c r="T449" s="43" t="s">
        <v>2229</v>
      </c>
      <c r="U449" t="s">
        <v>3699</v>
      </c>
    </row>
    <row r="450" spans="1:21" x14ac:dyDescent="0.3">
      <c r="A450" t="s">
        <v>833</v>
      </c>
      <c r="B450" t="s">
        <v>30</v>
      </c>
      <c r="C450" t="s">
        <v>1436</v>
      </c>
      <c r="D450" s="15">
        <v>1</v>
      </c>
      <c r="E450" s="7">
        <v>232.5</v>
      </c>
      <c r="H450">
        <v>75810</v>
      </c>
      <c r="I450" t="s">
        <v>845</v>
      </c>
      <c r="J450" t="s">
        <v>1208</v>
      </c>
      <c r="K450" t="s">
        <v>3</v>
      </c>
      <c r="L450" s="2">
        <v>43191</v>
      </c>
      <c r="M450" s="2">
        <f>DHMXX[[#This Row],[INV DOC DATE]]+30</f>
        <v>43221</v>
      </c>
      <c r="N450" s="2">
        <v>43221</v>
      </c>
      <c r="O450" s="7">
        <v>232.5</v>
      </c>
      <c r="P450" s="2">
        <v>43227</v>
      </c>
      <c r="Q450" s="7">
        <f>$E450-$O450</f>
        <v>0</v>
      </c>
      <c r="R450" s="7" t="str">
        <f ca="1">IF(TODAY() - DHMXX[INV DUE DATE]&lt;30, "Less than 30 days",IF(TODAY()-DHMXX[INV DUE DATE]&lt;60,"30-60 days","More than 60 days"))</f>
        <v>More than 60 days</v>
      </c>
      <c r="S450" t="s">
        <v>1550</v>
      </c>
      <c r="T450" s="43" t="s">
        <v>2229</v>
      </c>
      <c r="U450" t="s">
        <v>3699</v>
      </c>
    </row>
    <row r="451" spans="1:21" x14ac:dyDescent="0.3">
      <c r="A451" t="s">
        <v>833</v>
      </c>
      <c r="B451" t="s">
        <v>30</v>
      </c>
      <c r="C451" t="s">
        <v>1437</v>
      </c>
      <c r="D451" s="15">
        <v>1</v>
      </c>
      <c r="E451" s="7">
        <v>232.5</v>
      </c>
      <c r="H451">
        <v>75810</v>
      </c>
      <c r="I451" t="s">
        <v>845</v>
      </c>
      <c r="J451" t="s">
        <v>1209</v>
      </c>
      <c r="K451" t="s">
        <v>3</v>
      </c>
      <c r="L451" s="2">
        <v>43191</v>
      </c>
      <c r="M451" s="2">
        <f>DHMXX[[#This Row],[INV DOC DATE]]+30</f>
        <v>43221</v>
      </c>
      <c r="N451" s="2">
        <v>43221</v>
      </c>
      <c r="O451" s="7">
        <v>232.5</v>
      </c>
      <c r="P451" s="2">
        <v>43227</v>
      </c>
      <c r="Q451" s="7">
        <f>$E451-$O451</f>
        <v>0</v>
      </c>
      <c r="R451" s="7" t="str">
        <f ca="1">IF(TODAY() - DHMXX[INV DUE DATE]&lt;30, "Less than 30 days",IF(TODAY()-DHMXX[INV DUE DATE]&lt;60,"30-60 days","More than 60 days"))</f>
        <v>More than 60 days</v>
      </c>
      <c r="S451" t="s">
        <v>1550</v>
      </c>
      <c r="T451" s="43" t="s">
        <v>2229</v>
      </c>
      <c r="U451" t="s">
        <v>3699</v>
      </c>
    </row>
    <row r="452" spans="1:21" x14ac:dyDescent="0.3">
      <c r="A452" t="s">
        <v>833</v>
      </c>
      <c r="B452" t="s">
        <v>30</v>
      </c>
      <c r="C452" t="s">
        <v>1438</v>
      </c>
      <c r="D452" s="15">
        <v>1</v>
      </c>
      <c r="E452" s="7">
        <v>232.5</v>
      </c>
      <c r="H452">
        <v>75810</v>
      </c>
      <c r="I452" t="s">
        <v>859</v>
      </c>
      <c r="J452" t="s">
        <v>1210</v>
      </c>
      <c r="K452" t="s">
        <v>3</v>
      </c>
      <c r="L452" s="2">
        <v>43191</v>
      </c>
      <c r="M452" s="2">
        <f>DHMXX[[#This Row],[INV DOC DATE]]+30</f>
        <v>43221</v>
      </c>
      <c r="N452" s="2">
        <v>43221</v>
      </c>
      <c r="O452" s="7">
        <v>232.5</v>
      </c>
      <c r="P452" s="2">
        <v>43227</v>
      </c>
      <c r="Q452" s="7">
        <f>$E452-$O452</f>
        <v>0</v>
      </c>
      <c r="R452" s="7" t="str">
        <f ca="1">IF(TODAY() - DHMXX[INV DUE DATE]&lt;30, "Less than 30 days",IF(TODAY()-DHMXX[INV DUE DATE]&lt;60,"30-60 days","More than 60 days"))</f>
        <v>More than 60 days</v>
      </c>
      <c r="S452" t="s">
        <v>1550</v>
      </c>
      <c r="T452" s="43" t="s">
        <v>2229</v>
      </c>
      <c r="U452" t="s">
        <v>3699</v>
      </c>
    </row>
    <row r="453" spans="1:21" x14ac:dyDescent="0.3">
      <c r="A453" t="s">
        <v>833</v>
      </c>
      <c r="B453" t="s">
        <v>30</v>
      </c>
      <c r="C453" t="s">
        <v>1439</v>
      </c>
      <c r="D453" s="15">
        <v>1</v>
      </c>
      <c r="E453" s="7">
        <v>232.5</v>
      </c>
      <c r="H453">
        <v>75810</v>
      </c>
      <c r="I453" t="s">
        <v>859</v>
      </c>
      <c r="J453" t="s">
        <v>1211</v>
      </c>
      <c r="K453" t="s">
        <v>3</v>
      </c>
      <c r="L453" s="2">
        <v>43191</v>
      </c>
      <c r="M453" s="2">
        <f>DHMXX[[#This Row],[INV DOC DATE]]+30</f>
        <v>43221</v>
      </c>
      <c r="N453" s="2">
        <v>43221</v>
      </c>
      <c r="O453" s="7">
        <v>232.5</v>
      </c>
      <c r="P453" s="2">
        <v>43227</v>
      </c>
      <c r="Q453" s="7">
        <f>$E453-$O453</f>
        <v>0</v>
      </c>
      <c r="R453" s="7" t="str">
        <f ca="1">IF(TODAY() - DHMXX[INV DUE DATE]&lt;30, "Less than 30 days",IF(TODAY()-DHMXX[INV DUE DATE]&lt;60,"30-60 days","More than 60 days"))</f>
        <v>More than 60 days</v>
      </c>
      <c r="S453" t="s">
        <v>1550</v>
      </c>
      <c r="T453" s="43" t="s">
        <v>2229</v>
      </c>
      <c r="U453" t="s">
        <v>3699</v>
      </c>
    </row>
    <row r="454" spans="1:21" x14ac:dyDescent="0.3">
      <c r="A454" t="s">
        <v>833</v>
      </c>
      <c r="B454" t="s">
        <v>30</v>
      </c>
      <c r="C454" t="s">
        <v>1440</v>
      </c>
      <c r="D454" s="15">
        <v>1</v>
      </c>
      <c r="E454" s="7">
        <v>232.5</v>
      </c>
      <c r="H454">
        <v>75810</v>
      </c>
      <c r="I454" t="s">
        <v>859</v>
      </c>
      <c r="J454" t="s">
        <v>1212</v>
      </c>
      <c r="K454" t="s">
        <v>3</v>
      </c>
      <c r="L454" s="2">
        <v>43191</v>
      </c>
      <c r="M454" s="2">
        <f>DHMXX[[#This Row],[INV DOC DATE]]+30</f>
        <v>43221</v>
      </c>
      <c r="N454" s="2">
        <v>43221</v>
      </c>
      <c r="O454" s="7">
        <v>232.5</v>
      </c>
      <c r="P454" s="2">
        <v>43227</v>
      </c>
      <c r="Q454" s="7">
        <f>$E454-$O454</f>
        <v>0</v>
      </c>
      <c r="R454" s="7" t="str">
        <f ca="1">IF(TODAY() - DHMXX[INV DUE DATE]&lt;30, "Less than 30 days",IF(TODAY()-DHMXX[INV DUE DATE]&lt;60,"30-60 days","More than 60 days"))</f>
        <v>More than 60 days</v>
      </c>
      <c r="S454" t="s">
        <v>1550</v>
      </c>
      <c r="T454" s="43" t="s">
        <v>2229</v>
      </c>
      <c r="U454" t="s">
        <v>3699</v>
      </c>
    </row>
    <row r="455" spans="1:21" x14ac:dyDescent="0.3">
      <c r="A455" t="s">
        <v>833</v>
      </c>
      <c r="B455" t="s">
        <v>30</v>
      </c>
      <c r="C455" t="s">
        <v>1441</v>
      </c>
      <c r="D455" s="15">
        <v>1</v>
      </c>
      <c r="E455" s="7">
        <v>556.79999999999995</v>
      </c>
      <c r="H455">
        <v>75810</v>
      </c>
      <c r="I455" t="s">
        <v>845</v>
      </c>
      <c r="J455" t="s">
        <v>1213</v>
      </c>
      <c r="K455" t="s">
        <v>3</v>
      </c>
      <c r="L455" s="2">
        <v>43191</v>
      </c>
      <c r="M455" s="2">
        <f>DHMXX[[#This Row],[INV DOC DATE]]+30</f>
        <v>43221</v>
      </c>
      <c r="N455" s="2">
        <v>43221</v>
      </c>
      <c r="O455" s="7">
        <v>556.79999999999995</v>
      </c>
      <c r="P455" s="2">
        <v>43227</v>
      </c>
      <c r="Q455" s="7">
        <f>$E455-$O455</f>
        <v>0</v>
      </c>
      <c r="R455" s="7" t="str">
        <f ca="1">IF(TODAY() - DHMXX[INV DUE DATE]&lt;30, "Less than 30 days",IF(TODAY()-DHMXX[INV DUE DATE]&lt;60,"30-60 days","More than 60 days"))</f>
        <v>More than 60 days</v>
      </c>
      <c r="S455" t="s">
        <v>1550</v>
      </c>
      <c r="T455" s="43" t="s">
        <v>2229</v>
      </c>
      <c r="U455" t="s">
        <v>3699</v>
      </c>
    </row>
    <row r="456" spans="1:21" x14ac:dyDescent="0.3">
      <c r="A456" t="s">
        <v>833</v>
      </c>
      <c r="B456" t="s">
        <v>30</v>
      </c>
      <c r="C456" t="s">
        <v>1442</v>
      </c>
      <c r="D456" s="15">
        <v>1</v>
      </c>
      <c r="E456" s="7">
        <v>556.79999999999995</v>
      </c>
      <c r="H456">
        <v>75810</v>
      </c>
      <c r="I456" t="s">
        <v>845</v>
      </c>
      <c r="J456" t="s">
        <v>1214</v>
      </c>
      <c r="K456" t="s">
        <v>3</v>
      </c>
      <c r="L456" s="2">
        <v>43191</v>
      </c>
      <c r="M456" s="2">
        <f>DHMXX[[#This Row],[INV DOC DATE]]+30</f>
        <v>43221</v>
      </c>
      <c r="N456" s="2">
        <v>43221</v>
      </c>
      <c r="O456" s="7">
        <v>556.79999999999995</v>
      </c>
      <c r="P456" s="2">
        <v>43227</v>
      </c>
      <c r="Q456" s="7">
        <f>$E456-$O456</f>
        <v>0</v>
      </c>
      <c r="R456" s="7" t="str">
        <f ca="1">IF(TODAY() - DHMXX[INV DUE DATE]&lt;30, "Less than 30 days",IF(TODAY()-DHMXX[INV DUE DATE]&lt;60,"30-60 days","More than 60 days"))</f>
        <v>More than 60 days</v>
      </c>
      <c r="S456" t="s">
        <v>1550</v>
      </c>
      <c r="T456" s="43" t="s">
        <v>2229</v>
      </c>
      <c r="U456" t="s">
        <v>3699</v>
      </c>
    </row>
    <row r="457" spans="1:21" x14ac:dyDescent="0.3">
      <c r="A457" t="s">
        <v>833</v>
      </c>
      <c r="B457" t="s">
        <v>30</v>
      </c>
      <c r="C457" t="s">
        <v>1443</v>
      </c>
      <c r="D457" s="15">
        <v>1</v>
      </c>
      <c r="E457" s="7">
        <v>556.79999999999995</v>
      </c>
      <c r="H457">
        <v>75810</v>
      </c>
      <c r="I457" t="s">
        <v>845</v>
      </c>
      <c r="J457" t="s">
        <v>1215</v>
      </c>
      <c r="K457" t="s">
        <v>3</v>
      </c>
      <c r="L457" s="2">
        <v>43191</v>
      </c>
      <c r="M457" s="2">
        <f>DHMXX[[#This Row],[INV DOC DATE]]+30</f>
        <v>43221</v>
      </c>
      <c r="N457" s="2">
        <v>43221</v>
      </c>
      <c r="O457" s="7">
        <v>556.79999999999995</v>
      </c>
      <c r="P457" s="2">
        <v>43227</v>
      </c>
      <c r="Q457" s="7">
        <f>$E457-$O457</f>
        <v>0</v>
      </c>
      <c r="R457" s="7" t="str">
        <f ca="1">IF(TODAY() - DHMXX[INV DUE DATE]&lt;30, "Less than 30 days",IF(TODAY()-DHMXX[INV DUE DATE]&lt;60,"30-60 days","More than 60 days"))</f>
        <v>More than 60 days</v>
      </c>
      <c r="S457" t="s">
        <v>1550</v>
      </c>
      <c r="T457" s="43" t="s">
        <v>2229</v>
      </c>
      <c r="U457" t="s">
        <v>3699</v>
      </c>
    </row>
    <row r="458" spans="1:21" x14ac:dyDescent="0.3">
      <c r="A458" t="s">
        <v>833</v>
      </c>
      <c r="B458" t="s">
        <v>30</v>
      </c>
      <c r="C458" t="s">
        <v>1444</v>
      </c>
      <c r="D458" s="15">
        <v>1</v>
      </c>
      <c r="E458" s="7">
        <v>556.79999999999995</v>
      </c>
      <c r="H458">
        <v>75810</v>
      </c>
      <c r="I458" t="s">
        <v>859</v>
      </c>
      <c r="J458" t="s">
        <v>1216</v>
      </c>
      <c r="K458" t="s">
        <v>3</v>
      </c>
      <c r="L458" s="2">
        <v>43191</v>
      </c>
      <c r="M458" s="2">
        <f>DHMXX[[#This Row],[INV DOC DATE]]+30</f>
        <v>43221</v>
      </c>
      <c r="N458" s="2">
        <v>43221</v>
      </c>
      <c r="O458" s="7">
        <v>556.79999999999995</v>
      </c>
      <c r="P458" s="2">
        <v>43227</v>
      </c>
      <c r="Q458" s="7">
        <f>$E458-$O458</f>
        <v>0</v>
      </c>
      <c r="R458" s="7" t="str">
        <f ca="1">IF(TODAY() - DHMXX[INV DUE DATE]&lt;30, "Less than 30 days",IF(TODAY()-DHMXX[INV DUE DATE]&lt;60,"30-60 days","More than 60 days"))</f>
        <v>More than 60 days</v>
      </c>
      <c r="S458" t="s">
        <v>1550</v>
      </c>
      <c r="T458" s="43" t="s">
        <v>2229</v>
      </c>
      <c r="U458" t="s">
        <v>3699</v>
      </c>
    </row>
    <row r="459" spans="1:21" x14ac:dyDescent="0.3">
      <c r="A459" t="s">
        <v>833</v>
      </c>
      <c r="B459" t="s">
        <v>30</v>
      </c>
      <c r="C459" t="s">
        <v>1445</v>
      </c>
      <c r="D459" s="15">
        <v>1</v>
      </c>
      <c r="E459" s="7">
        <v>556.79999999999995</v>
      </c>
      <c r="H459">
        <v>75810</v>
      </c>
      <c r="I459" t="s">
        <v>859</v>
      </c>
      <c r="J459" t="s">
        <v>1217</v>
      </c>
      <c r="K459" t="s">
        <v>3</v>
      </c>
      <c r="L459" s="2">
        <v>43191</v>
      </c>
      <c r="M459" s="2">
        <f>DHMXX[[#This Row],[INV DOC DATE]]+30</f>
        <v>43221</v>
      </c>
      <c r="N459" s="2">
        <v>43221</v>
      </c>
      <c r="O459" s="7">
        <v>556.79999999999995</v>
      </c>
      <c r="P459" s="2">
        <v>43227</v>
      </c>
      <c r="Q459" s="7">
        <f>$E459-$O459</f>
        <v>0</v>
      </c>
      <c r="R459" s="7" t="str">
        <f ca="1">IF(TODAY() - DHMXX[INV DUE DATE]&lt;30, "Less than 30 days",IF(TODAY()-DHMXX[INV DUE DATE]&lt;60,"30-60 days","More than 60 days"))</f>
        <v>More than 60 days</v>
      </c>
      <c r="S459" t="s">
        <v>1550</v>
      </c>
      <c r="T459" s="43" t="s">
        <v>2229</v>
      </c>
      <c r="U459" t="s">
        <v>3699</v>
      </c>
    </row>
    <row r="460" spans="1:21" x14ac:dyDescent="0.3">
      <c r="A460" t="s">
        <v>833</v>
      </c>
      <c r="B460" t="s">
        <v>30</v>
      </c>
      <c r="C460" t="s">
        <v>1446</v>
      </c>
      <c r="D460" s="15">
        <v>1</v>
      </c>
      <c r="E460" s="7">
        <v>556.79999999999995</v>
      </c>
      <c r="H460">
        <v>75810</v>
      </c>
      <c r="I460" t="s">
        <v>859</v>
      </c>
      <c r="J460" t="s">
        <v>1218</v>
      </c>
      <c r="K460" t="s">
        <v>3</v>
      </c>
      <c r="L460" s="2">
        <v>43191</v>
      </c>
      <c r="M460" s="2">
        <f>DHMXX[[#This Row],[INV DOC DATE]]+30</f>
        <v>43221</v>
      </c>
      <c r="N460" s="2">
        <v>43221</v>
      </c>
      <c r="O460" s="7">
        <v>556.79999999999995</v>
      </c>
      <c r="P460" s="2">
        <v>43227</v>
      </c>
      <c r="Q460" s="7">
        <f>$E460-$O460</f>
        <v>0</v>
      </c>
      <c r="R460" s="7" t="str">
        <f ca="1">IF(TODAY() - DHMXX[INV DUE DATE]&lt;30, "Less than 30 days",IF(TODAY()-DHMXX[INV DUE DATE]&lt;60,"30-60 days","More than 60 days"))</f>
        <v>More than 60 days</v>
      </c>
      <c r="S460" t="s">
        <v>1550</v>
      </c>
      <c r="T460" s="43" t="s">
        <v>2229</v>
      </c>
      <c r="U460" t="s">
        <v>3699</v>
      </c>
    </row>
    <row r="461" spans="1:21" x14ac:dyDescent="0.3">
      <c r="A461" t="s">
        <v>833</v>
      </c>
      <c r="B461" t="s">
        <v>30</v>
      </c>
      <c r="C461" t="s">
        <v>1544</v>
      </c>
      <c r="D461" s="15">
        <v>2000</v>
      </c>
      <c r="E461" s="7">
        <v>172.5</v>
      </c>
      <c r="H461">
        <v>37912</v>
      </c>
      <c r="I461" t="s">
        <v>362</v>
      </c>
      <c r="J461" t="s">
        <v>1317</v>
      </c>
      <c r="K461" t="s">
        <v>3</v>
      </c>
      <c r="L461" s="2">
        <v>43191</v>
      </c>
      <c r="M461" s="2">
        <f>DHMXX[[#This Row],[INV DOC DATE]]+30</f>
        <v>43221</v>
      </c>
      <c r="N461" s="2">
        <v>43221</v>
      </c>
      <c r="O461" s="7">
        <v>172.5</v>
      </c>
      <c r="P461" s="2">
        <v>43227</v>
      </c>
      <c r="Q461" s="7">
        <f>$E461-$O461</f>
        <v>0</v>
      </c>
      <c r="R461" s="7" t="str">
        <f ca="1">IF(TODAY() - DHMXX[INV DUE DATE]&lt;30, "Less than 30 days",IF(TODAY()-DHMXX[INV DUE DATE]&lt;60,"30-60 days","More than 60 days"))</f>
        <v>More than 60 days</v>
      </c>
      <c r="S461" t="s">
        <v>1550</v>
      </c>
      <c r="T461" s="43" t="s">
        <v>2229</v>
      </c>
      <c r="U461" t="s">
        <v>3699</v>
      </c>
    </row>
    <row r="462" spans="1:21" x14ac:dyDescent="0.3">
      <c r="A462" t="s">
        <v>833</v>
      </c>
      <c r="B462" t="s">
        <v>30</v>
      </c>
      <c r="C462" t="s">
        <v>1545</v>
      </c>
      <c r="D462" s="15">
        <v>2000</v>
      </c>
      <c r="E462" s="7">
        <v>172.5</v>
      </c>
      <c r="H462">
        <v>37912</v>
      </c>
      <c r="I462" t="s">
        <v>362</v>
      </c>
      <c r="J462" t="s">
        <v>1318</v>
      </c>
      <c r="K462" t="s">
        <v>3</v>
      </c>
      <c r="L462" s="2">
        <v>43191</v>
      </c>
      <c r="M462" s="2">
        <f>DHMXX[[#This Row],[INV DOC DATE]]+30</f>
        <v>43221</v>
      </c>
      <c r="N462" s="2">
        <v>43221</v>
      </c>
      <c r="O462" s="7">
        <v>172.5</v>
      </c>
      <c r="P462" s="2">
        <v>43227</v>
      </c>
      <c r="Q462" s="7">
        <f>$E462-$O462</f>
        <v>0</v>
      </c>
      <c r="R462" s="7" t="str">
        <f ca="1">IF(TODAY() - DHMXX[INV DUE DATE]&lt;30, "Less than 30 days",IF(TODAY()-DHMXX[INV DUE DATE]&lt;60,"30-60 days","More than 60 days"))</f>
        <v>More than 60 days</v>
      </c>
      <c r="S462" t="s">
        <v>1550</v>
      </c>
      <c r="T462" s="43" t="s">
        <v>2229</v>
      </c>
      <c r="U462" t="s">
        <v>3699</v>
      </c>
    </row>
    <row r="463" spans="1:21" x14ac:dyDescent="0.3">
      <c r="A463" t="s">
        <v>833</v>
      </c>
      <c r="B463" t="s">
        <v>30</v>
      </c>
      <c r="C463" t="s">
        <v>1546</v>
      </c>
      <c r="D463" s="15">
        <v>2000</v>
      </c>
      <c r="E463" s="7">
        <v>172.5</v>
      </c>
      <c r="H463">
        <v>37912</v>
      </c>
      <c r="I463" t="s">
        <v>362</v>
      </c>
      <c r="J463" t="s">
        <v>1319</v>
      </c>
      <c r="K463" t="s">
        <v>3</v>
      </c>
      <c r="L463" s="2">
        <v>43191</v>
      </c>
      <c r="M463" s="2">
        <f>DHMXX[[#This Row],[INV DOC DATE]]+30</f>
        <v>43221</v>
      </c>
      <c r="N463" s="2">
        <v>43221</v>
      </c>
      <c r="O463" s="7">
        <v>172.5</v>
      </c>
      <c r="P463" s="2">
        <v>43227</v>
      </c>
      <c r="Q463" s="7">
        <f>$E463-$O463</f>
        <v>0</v>
      </c>
      <c r="R463" s="7" t="str">
        <f ca="1">IF(TODAY() - DHMXX[INV DUE DATE]&lt;30, "Less than 30 days",IF(TODAY()-DHMXX[INV DUE DATE]&lt;60,"30-60 days","More than 60 days"))</f>
        <v>More than 60 days</v>
      </c>
      <c r="S463" t="s">
        <v>1550</v>
      </c>
      <c r="T463" s="43" t="s">
        <v>2229</v>
      </c>
      <c r="U463" t="s">
        <v>3699</v>
      </c>
    </row>
    <row r="464" spans="1:21" x14ac:dyDescent="0.3">
      <c r="A464" t="s">
        <v>833</v>
      </c>
      <c r="B464" t="s">
        <v>30</v>
      </c>
      <c r="C464" t="s">
        <v>1547</v>
      </c>
      <c r="D464" s="15">
        <v>2000</v>
      </c>
      <c r="E464" s="7">
        <v>172.5</v>
      </c>
      <c r="H464">
        <v>37912</v>
      </c>
      <c r="I464" t="s">
        <v>362</v>
      </c>
      <c r="J464" t="s">
        <v>1320</v>
      </c>
      <c r="K464" t="s">
        <v>3</v>
      </c>
      <c r="L464" s="2">
        <v>43191</v>
      </c>
      <c r="M464" s="2">
        <f>DHMXX[[#This Row],[INV DOC DATE]]+30</f>
        <v>43221</v>
      </c>
      <c r="N464" s="2">
        <v>43221</v>
      </c>
      <c r="O464" s="7">
        <v>172.5</v>
      </c>
      <c r="P464" s="2">
        <v>43227</v>
      </c>
      <c r="Q464" s="7">
        <f>$E464-$O464</f>
        <v>0</v>
      </c>
      <c r="R464" s="7" t="str">
        <f ca="1">IF(TODAY() - DHMXX[INV DUE DATE]&lt;30, "Less than 30 days",IF(TODAY()-DHMXX[INV DUE DATE]&lt;60,"30-60 days","More than 60 days"))</f>
        <v>More than 60 days</v>
      </c>
      <c r="S464" t="s">
        <v>1550</v>
      </c>
      <c r="T464" s="43" t="s">
        <v>2229</v>
      </c>
      <c r="U464" t="s">
        <v>3699</v>
      </c>
    </row>
    <row r="465" spans="1:21" x14ac:dyDescent="0.3">
      <c r="A465" t="s">
        <v>837</v>
      </c>
      <c r="B465" t="s">
        <v>838</v>
      </c>
      <c r="C465" t="s">
        <v>6</v>
      </c>
      <c r="D465" s="15">
        <v>4007</v>
      </c>
      <c r="E465" s="7">
        <v>172.5</v>
      </c>
      <c r="H465">
        <v>165014</v>
      </c>
      <c r="I465" t="s">
        <v>835</v>
      </c>
      <c r="J465" t="s">
        <v>836</v>
      </c>
      <c r="K465" t="s">
        <v>3</v>
      </c>
      <c r="L465" s="2">
        <v>43191</v>
      </c>
      <c r="M465" s="2">
        <f>DHMXX[[#This Row],[INV DOC DATE]]+30</f>
        <v>43221</v>
      </c>
      <c r="N465" s="2">
        <v>43221</v>
      </c>
      <c r="O465" s="7">
        <v>172.5</v>
      </c>
      <c r="P465" s="2">
        <v>43229</v>
      </c>
      <c r="Q465" s="7">
        <f>$E465-$O465</f>
        <v>0</v>
      </c>
      <c r="R465" s="7" t="str">
        <f ca="1">IF(TODAY() - DHMXX[INV DUE DATE]&lt;30, "Less than 30 days",IF(TODAY()-DHMXX[INV DUE DATE]&lt;60,"30-60 days","More than 60 days"))</f>
        <v>More than 60 days</v>
      </c>
      <c r="S465" t="s">
        <v>1550</v>
      </c>
      <c r="T465" s="43" t="s">
        <v>2229</v>
      </c>
      <c r="U465" t="s">
        <v>3699</v>
      </c>
    </row>
    <row r="466" spans="1:21" x14ac:dyDescent="0.3">
      <c r="A466" t="s">
        <v>837</v>
      </c>
      <c r="B466" t="s">
        <v>30</v>
      </c>
      <c r="C466" t="s">
        <v>48</v>
      </c>
      <c r="D466" s="15">
        <v>1</v>
      </c>
      <c r="E466" s="7">
        <v>172.5</v>
      </c>
      <c r="H466">
        <v>13342</v>
      </c>
      <c r="I466" t="s">
        <v>839</v>
      </c>
      <c r="J466" t="s">
        <v>903</v>
      </c>
      <c r="K466" t="s">
        <v>3</v>
      </c>
      <c r="L466" s="2">
        <v>43191</v>
      </c>
      <c r="M466" s="2">
        <f>DHMXX[[#This Row],[INV DOC DATE]]+30</f>
        <v>43221</v>
      </c>
      <c r="N466" s="2">
        <v>43221</v>
      </c>
      <c r="O466" s="7">
        <v>172.5</v>
      </c>
      <c r="P466" s="2">
        <v>43229</v>
      </c>
      <c r="Q466" s="7">
        <f>$E466-$O466</f>
        <v>0</v>
      </c>
      <c r="R466" s="7" t="str">
        <f ca="1">IF(TODAY() - DHMXX[INV DUE DATE]&lt;30, "Less than 30 days",IF(TODAY()-DHMXX[INV DUE DATE]&lt;60,"30-60 days","More than 60 days"))</f>
        <v>More than 60 days</v>
      </c>
      <c r="S466" t="s">
        <v>1550</v>
      </c>
      <c r="T466" s="43" t="s">
        <v>2229</v>
      </c>
      <c r="U466" t="s">
        <v>3699</v>
      </c>
    </row>
    <row r="467" spans="1:21" x14ac:dyDescent="0.3">
      <c r="A467" t="s">
        <v>837</v>
      </c>
      <c r="B467" t="s">
        <v>30</v>
      </c>
      <c r="C467" t="s">
        <v>49</v>
      </c>
      <c r="D467" s="15">
        <v>1</v>
      </c>
      <c r="E467" s="7">
        <v>172.5</v>
      </c>
      <c r="H467">
        <v>13342</v>
      </c>
      <c r="I467" t="s">
        <v>839</v>
      </c>
      <c r="J467" t="s">
        <v>904</v>
      </c>
      <c r="K467" t="s">
        <v>3</v>
      </c>
      <c r="L467" s="2">
        <v>43191</v>
      </c>
      <c r="M467" s="2">
        <f>DHMXX[[#This Row],[INV DOC DATE]]+30</f>
        <v>43221</v>
      </c>
      <c r="N467" s="2">
        <v>43221</v>
      </c>
      <c r="O467" s="7">
        <v>172.5</v>
      </c>
      <c r="P467" s="2">
        <v>43229</v>
      </c>
      <c r="Q467" s="7">
        <f>$E467-$O467</f>
        <v>0</v>
      </c>
      <c r="R467" s="7" t="str">
        <f ca="1">IF(TODAY() - DHMXX[INV DUE DATE]&lt;30, "Less than 30 days",IF(TODAY()-DHMXX[INV DUE DATE]&lt;60,"30-60 days","More than 60 days"))</f>
        <v>More than 60 days</v>
      </c>
      <c r="S467" t="s">
        <v>1550</v>
      </c>
      <c r="T467" s="43" t="s">
        <v>2229</v>
      </c>
      <c r="U467" t="s">
        <v>3699</v>
      </c>
    </row>
    <row r="468" spans="1:21" x14ac:dyDescent="0.3">
      <c r="A468" t="s">
        <v>837</v>
      </c>
      <c r="B468" t="s">
        <v>30</v>
      </c>
      <c r="C468" t="s">
        <v>50</v>
      </c>
      <c r="D468" s="15">
        <v>1</v>
      </c>
      <c r="E468" s="7">
        <v>172.5</v>
      </c>
      <c r="H468">
        <v>13342</v>
      </c>
      <c r="I468" t="s">
        <v>839</v>
      </c>
      <c r="J468" t="s">
        <v>905</v>
      </c>
      <c r="K468" t="s">
        <v>3</v>
      </c>
      <c r="L468" s="2">
        <v>43191</v>
      </c>
      <c r="M468" s="2">
        <f>DHMXX[[#This Row],[INV DOC DATE]]+30</f>
        <v>43221</v>
      </c>
      <c r="N468" s="2">
        <v>43221</v>
      </c>
      <c r="O468" s="7">
        <v>172.5</v>
      </c>
      <c r="P468" s="2">
        <v>43229</v>
      </c>
      <c r="Q468" s="7">
        <f>$E468-$O468</f>
        <v>0</v>
      </c>
      <c r="R468" s="7" t="str">
        <f ca="1">IF(TODAY() - DHMXX[INV DUE DATE]&lt;30, "Less than 30 days",IF(TODAY()-DHMXX[INV DUE DATE]&lt;60,"30-60 days","More than 60 days"))</f>
        <v>More than 60 days</v>
      </c>
      <c r="S468" t="s">
        <v>1550</v>
      </c>
      <c r="T468" s="43" t="s">
        <v>2229</v>
      </c>
      <c r="U468" t="s">
        <v>3699</v>
      </c>
    </row>
    <row r="469" spans="1:21" x14ac:dyDescent="0.3">
      <c r="A469" t="s">
        <v>837</v>
      </c>
      <c r="B469" t="s">
        <v>30</v>
      </c>
      <c r="C469" t="s">
        <v>71</v>
      </c>
      <c r="D469" s="15">
        <v>1</v>
      </c>
      <c r="E469" s="7">
        <v>172.5</v>
      </c>
      <c r="H469">
        <v>55242</v>
      </c>
      <c r="I469" t="s">
        <v>353</v>
      </c>
      <c r="J469" t="s">
        <v>926</v>
      </c>
      <c r="K469" t="s">
        <v>3</v>
      </c>
      <c r="L469" s="2">
        <v>43191</v>
      </c>
      <c r="M469" s="2">
        <f>DHMXX[[#This Row],[INV DOC DATE]]+30</f>
        <v>43221</v>
      </c>
      <c r="N469" s="2">
        <v>43221</v>
      </c>
      <c r="O469" s="7">
        <v>172.5</v>
      </c>
      <c r="P469" s="2">
        <v>43229</v>
      </c>
      <c r="Q469" s="7">
        <f>$E469-$O469</f>
        <v>0</v>
      </c>
      <c r="R469" s="7" t="str">
        <f ca="1">IF(TODAY() - DHMXX[INV DUE DATE]&lt;30, "Less than 30 days",IF(TODAY()-DHMXX[INV DUE DATE]&lt;60,"30-60 days","More than 60 days"))</f>
        <v>More than 60 days</v>
      </c>
      <c r="S469" t="s">
        <v>1550</v>
      </c>
      <c r="T469" s="43" t="s">
        <v>2229</v>
      </c>
      <c r="U469" t="s">
        <v>3699</v>
      </c>
    </row>
    <row r="470" spans="1:21" x14ac:dyDescent="0.3">
      <c r="A470" t="s">
        <v>837</v>
      </c>
      <c r="B470" t="s">
        <v>30</v>
      </c>
      <c r="C470" t="s">
        <v>72</v>
      </c>
      <c r="D470" s="15">
        <v>1</v>
      </c>
      <c r="E470" s="7">
        <v>172.5</v>
      </c>
      <c r="H470">
        <v>55242</v>
      </c>
      <c r="I470" t="s">
        <v>353</v>
      </c>
      <c r="J470" t="s">
        <v>927</v>
      </c>
      <c r="K470" t="s">
        <v>3</v>
      </c>
      <c r="L470" s="2">
        <v>43191</v>
      </c>
      <c r="M470" s="2">
        <f>DHMXX[[#This Row],[INV DOC DATE]]+30</f>
        <v>43221</v>
      </c>
      <c r="N470" s="2">
        <v>43221</v>
      </c>
      <c r="O470" s="7">
        <v>172.5</v>
      </c>
      <c r="P470" s="2">
        <v>43229</v>
      </c>
      <c r="Q470" s="7">
        <f>$E470-$O470</f>
        <v>0</v>
      </c>
      <c r="R470" s="7" t="str">
        <f ca="1">IF(TODAY() - DHMXX[INV DUE DATE]&lt;30, "Less than 30 days",IF(TODAY()-DHMXX[INV DUE DATE]&lt;60,"30-60 days","More than 60 days"))</f>
        <v>More than 60 days</v>
      </c>
      <c r="S470" t="s">
        <v>1550</v>
      </c>
      <c r="T470" s="43" t="s">
        <v>2229</v>
      </c>
      <c r="U470" t="s">
        <v>3699</v>
      </c>
    </row>
    <row r="471" spans="1:21" x14ac:dyDescent="0.3">
      <c r="A471" t="s">
        <v>837</v>
      </c>
      <c r="B471" t="s">
        <v>30</v>
      </c>
      <c r="C471" t="s">
        <v>73</v>
      </c>
      <c r="D471" s="15">
        <v>1</v>
      </c>
      <c r="E471" s="7">
        <v>172.5</v>
      </c>
      <c r="H471">
        <v>55242</v>
      </c>
      <c r="I471" t="s">
        <v>353</v>
      </c>
      <c r="J471" t="s">
        <v>928</v>
      </c>
      <c r="K471" t="s">
        <v>3</v>
      </c>
      <c r="L471" s="2">
        <v>43191</v>
      </c>
      <c r="M471" s="2">
        <f>DHMXX[[#This Row],[INV DOC DATE]]+30</f>
        <v>43221</v>
      </c>
      <c r="N471" s="2">
        <v>43221</v>
      </c>
      <c r="O471" s="7">
        <v>172.5</v>
      </c>
      <c r="P471" s="2">
        <v>43229</v>
      </c>
      <c r="Q471" s="7">
        <f>$E471-$O471</f>
        <v>0</v>
      </c>
      <c r="R471" s="7" t="str">
        <f ca="1">IF(TODAY() - DHMXX[INV DUE DATE]&lt;30, "Less than 30 days",IF(TODAY()-DHMXX[INV DUE DATE]&lt;60,"30-60 days","More than 60 days"))</f>
        <v>More than 60 days</v>
      </c>
      <c r="S471" t="s">
        <v>1550</v>
      </c>
      <c r="T471" s="43" t="s">
        <v>2229</v>
      </c>
      <c r="U471" t="s">
        <v>3699</v>
      </c>
    </row>
    <row r="472" spans="1:21" x14ac:dyDescent="0.3">
      <c r="A472" t="s">
        <v>837</v>
      </c>
      <c r="B472" t="s">
        <v>30</v>
      </c>
      <c r="C472" t="s">
        <v>74</v>
      </c>
      <c r="D472" s="15">
        <v>1</v>
      </c>
      <c r="E472" s="7">
        <v>172.5</v>
      </c>
      <c r="H472">
        <v>55253</v>
      </c>
      <c r="I472" t="s">
        <v>353</v>
      </c>
      <c r="J472" t="s">
        <v>929</v>
      </c>
      <c r="K472" t="s">
        <v>3</v>
      </c>
      <c r="L472" s="2">
        <v>43191</v>
      </c>
      <c r="M472" s="2">
        <f>DHMXX[[#This Row],[INV DOC DATE]]+30</f>
        <v>43221</v>
      </c>
      <c r="N472" s="2">
        <v>43221</v>
      </c>
      <c r="O472" s="7">
        <v>172.5</v>
      </c>
      <c r="P472" s="2">
        <v>43229</v>
      </c>
      <c r="Q472" s="7">
        <f>$E472-$O472</f>
        <v>0</v>
      </c>
      <c r="R472" s="7" t="str">
        <f ca="1">IF(TODAY() - DHMXX[INV DUE DATE]&lt;30, "Less than 30 days",IF(TODAY()-DHMXX[INV DUE DATE]&lt;60,"30-60 days","More than 60 days"))</f>
        <v>More than 60 days</v>
      </c>
      <c r="S472" t="s">
        <v>1550</v>
      </c>
      <c r="T472" s="43" t="s">
        <v>2229</v>
      </c>
      <c r="U472" t="s">
        <v>3699</v>
      </c>
    </row>
    <row r="473" spans="1:21" x14ac:dyDescent="0.3">
      <c r="A473" t="s">
        <v>837</v>
      </c>
      <c r="B473" t="s">
        <v>30</v>
      </c>
      <c r="C473" t="s">
        <v>75</v>
      </c>
      <c r="D473" s="15">
        <v>1</v>
      </c>
      <c r="E473" s="7">
        <v>172.5</v>
      </c>
      <c r="H473">
        <v>55253</v>
      </c>
      <c r="I473" t="s">
        <v>353</v>
      </c>
      <c r="J473" t="s">
        <v>930</v>
      </c>
      <c r="K473" t="s">
        <v>3</v>
      </c>
      <c r="L473" s="2">
        <v>43191</v>
      </c>
      <c r="M473" s="2">
        <f>DHMXX[[#This Row],[INV DOC DATE]]+30</f>
        <v>43221</v>
      </c>
      <c r="N473" s="2">
        <v>43221</v>
      </c>
      <c r="O473" s="7">
        <v>172.5</v>
      </c>
      <c r="P473" s="2">
        <v>43229</v>
      </c>
      <c r="Q473" s="7">
        <f>$E473-$O473</f>
        <v>0</v>
      </c>
      <c r="R473" s="7" t="str">
        <f ca="1">IF(TODAY() - DHMXX[INV DUE DATE]&lt;30, "Less than 30 days",IF(TODAY()-DHMXX[INV DUE DATE]&lt;60,"30-60 days","More than 60 days"))</f>
        <v>More than 60 days</v>
      </c>
      <c r="S473" t="s">
        <v>1550</v>
      </c>
      <c r="T473" s="43" t="s">
        <v>2229</v>
      </c>
      <c r="U473" t="s">
        <v>3699</v>
      </c>
    </row>
    <row r="474" spans="1:21" x14ac:dyDescent="0.3">
      <c r="A474" t="s">
        <v>837</v>
      </c>
      <c r="B474" t="s">
        <v>30</v>
      </c>
      <c r="C474" t="s">
        <v>135</v>
      </c>
      <c r="D474" s="15">
        <v>1</v>
      </c>
      <c r="E474" s="7">
        <v>172.5</v>
      </c>
      <c r="H474">
        <v>68161</v>
      </c>
      <c r="I474" t="s">
        <v>358</v>
      </c>
      <c r="J474" t="s">
        <v>991</v>
      </c>
      <c r="K474" t="s">
        <v>3</v>
      </c>
      <c r="L474" s="2">
        <v>43191</v>
      </c>
      <c r="M474" s="2">
        <f>DHMXX[[#This Row],[INV DOC DATE]]+30</f>
        <v>43221</v>
      </c>
      <c r="N474" s="2">
        <v>43221</v>
      </c>
      <c r="O474" s="7">
        <v>172.5</v>
      </c>
      <c r="P474" s="2">
        <v>43229</v>
      </c>
      <c r="Q474" s="7">
        <f>$E474-$O474</f>
        <v>0</v>
      </c>
      <c r="R474" s="7" t="str">
        <f ca="1">IF(TODAY() - DHMXX[INV DUE DATE]&lt;30, "Less than 30 days",IF(TODAY()-DHMXX[INV DUE DATE]&lt;60,"30-60 days","More than 60 days"))</f>
        <v>More than 60 days</v>
      </c>
      <c r="S474" t="s">
        <v>1550</v>
      </c>
      <c r="T474" s="43" t="s">
        <v>2229</v>
      </c>
      <c r="U474" t="s">
        <v>3699</v>
      </c>
    </row>
    <row r="475" spans="1:21" x14ac:dyDescent="0.3">
      <c r="A475" t="s">
        <v>837</v>
      </c>
      <c r="B475" t="s">
        <v>30</v>
      </c>
      <c r="C475" t="s">
        <v>136</v>
      </c>
      <c r="D475" s="15">
        <v>1</v>
      </c>
      <c r="E475" s="7">
        <v>172.5</v>
      </c>
      <c r="H475">
        <v>68161</v>
      </c>
      <c r="I475" t="s">
        <v>358</v>
      </c>
      <c r="J475" t="s">
        <v>992</v>
      </c>
      <c r="K475" t="s">
        <v>3</v>
      </c>
      <c r="L475" s="2">
        <v>43191</v>
      </c>
      <c r="M475" s="2">
        <f>DHMXX[[#This Row],[INV DOC DATE]]+30</f>
        <v>43221</v>
      </c>
      <c r="N475" s="2">
        <v>43221</v>
      </c>
      <c r="O475" s="7">
        <v>172.5</v>
      </c>
      <c r="P475" s="2">
        <v>43229</v>
      </c>
      <c r="Q475" s="7">
        <f>$E475-$O475</f>
        <v>0</v>
      </c>
      <c r="R475" s="7" t="str">
        <f ca="1">IF(TODAY() - DHMXX[INV DUE DATE]&lt;30, "Less than 30 days",IF(TODAY()-DHMXX[INV DUE DATE]&lt;60,"30-60 days","More than 60 days"))</f>
        <v>More than 60 days</v>
      </c>
      <c r="S475" t="s">
        <v>1550</v>
      </c>
      <c r="T475" s="43" t="s">
        <v>2229</v>
      </c>
      <c r="U475" t="s">
        <v>3699</v>
      </c>
    </row>
    <row r="476" spans="1:21" x14ac:dyDescent="0.3">
      <c r="A476" t="s">
        <v>837</v>
      </c>
      <c r="B476" t="s">
        <v>30</v>
      </c>
      <c r="C476" t="s">
        <v>1447</v>
      </c>
      <c r="D476" s="15">
        <v>16</v>
      </c>
      <c r="E476" s="7">
        <v>172.5</v>
      </c>
      <c r="H476">
        <v>115325</v>
      </c>
      <c r="I476" t="s">
        <v>860</v>
      </c>
      <c r="J476" t="s">
        <v>1219</v>
      </c>
      <c r="K476" t="s">
        <v>3</v>
      </c>
      <c r="L476" s="2">
        <v>43191</v>
      </c>
      <c r="M476" s="2">
        <f>DHMXX[[#This Row],[INV DOC DATE]]+30</f>
        <v>43221</v>
      </c>
      <c r="N476" s="2">
        <v>43221</v>
      </c>
      <c r="O476" s="7">
        <v>172.5</v>
      </c>
      <c r="P476" s="2">
        <v>43229</v>
      </c>
      <c r="Q476" s="7">
        <f>$E476-$O476</f>
        <v>0</v>
      </c>
      <c r="R476" s="7" t="str">
        <f ca="1">IF(TODAY() - DHMXX[INV DUE DATE]&lt;30, "Less than 30 days",IF(TODAY()-DHMXX[INV DUE DATE]&lt;60,"30-60 days","More than 60 days"))</f>
        <v>More than 60 days</v>
      </c>
      <c r="S476" t="s">
        <v>1550</v>
      </c>
      <c r="T476" s="43" t="s">
        <v>2229</v>
      </c>
      <c r="U476" t="s">
        <v>3699</v>
      </c>
    </row>
    <row r="477" spans="1:21" x14ac:dyDescent="0.3">
      <c r="A477" t="s">
        <v>837</v>
      </c>
      <c r="B477" t="s">
        <v>30</v>
      </c>
      <c r="C477" t="s">
        <v>1448</v>
      </c>
      <c r="D477" s="15">
        <v>16</v>
      </c>
      <c r="E477" s="7">
        <v>172.5</v>
      </c>
      <c r="H477">
        <v>115325</v>
      </c>
      <c r="I477" t="s">
        <v>860</v>
      </c>
      <c r="J477" t="s">
        <v>1220</v>
      </c>
      <c r="K477" t="s">
        <v>3</v>
      </c>
      <c r="L477" s="2">
        <v>43191</v>
      </c>
      <c r="M477" s="2">
        <f>DHMXX[[#This Row],[INV DOC DATE]]+30</f>
        <v>43221</v>
      </c>
      <c r="N477" s="2">
        <v>43221</v>
      </c>
      <c r="O477" s="7">
        <v>172.5</v>
      </c>
      <c r="P477" s="2">
        <v>43229</v>
      </c>
      <c r="Q477" s="7">
        <f>$E477-$O477</f>
        <v>0</v>
      </c>
      <c r="R477" s="7" t="str">
        <f ca="1">IF(TODAY() - DHMXX[INV DUE DATE]&lt;30, "Less than 30 days",IF(TODAY()-DHMXX[INV DUE DATE]&lt;60,"30-60 days","More than 60 days"))</f>
        <v>More than 60 days</v>
      </c>
      <c r="S477" t="s">
        <v>1550</v>
      </c>
      <c r="T477" s="43" t="s">
        <v>2229</v>
      </c>
      <c r="U477" t="s">
        <v>3699</v>
      </c>
    </row>
    <row r="478" spans="1:21" x14ac:dyDescent="0.3">
      <c r="A478" t="s">
        <v>837</v>
      </c>
      <c r="B478" t="s">
        <v>30</v>
      </c>
      <c r="C478" t="s">
        <v>1449</v>
      </c>
      <c r="D478" s="15">
        <v>16</v>
      </c>
      <c r="E478" s="7">
        <v>172.5</v>
      </c>
      <c r="H478">
        <v>115325</v>
      </c>
      <c r="I478" t="s">
        <v>860</v>
      </c>
      <c r="J478" t="s">
        <v>1221</v>
      </c>
      <c r="K478" t="s">
        <v>3</v>
      </c>
      <c r="L478" s="2">
        <v>43191</v>
      </c>
      <c r="M478" s="2">
        <f>DHMXX[[#This Row],[INV DOC DATE]]+30</f>
        <v>43221</v>
      </c>
      <c r="N478" s="2">
        <v>43221</v>
      </c>
      <c r="O478" s="7">
        <v>172.5</v>
      </c>
      <c r="P478" s="2">
        <v>43229</v>
      </c>
      <c r="Q478" s="7">
        <f>$E478-$O478</f>
        <v>0</v>
      </c>
      <c r="R478" s="7" t="str">
        <f ca="1">IF(TODAY() - DHMXX[INV DUE DATE]&lt;30, "Less than 30 days",IF(TODAY()-DHMXX[INV DUE DATE]&lt;60,"30-60 days","More than 60 days"))</f>
        <v>More than 60 days</v>
      </c>
      <c r="S478" t="s">
        <v>1550</v>
      </c>
      <c r="T478" s="43" t="s">
        <v>2229</v>
      </c>
      <c r="U478" t="s">
        <v>3699</v>
      </c>
    </row>
    <row r="479" spans="1:21" x14ac:dyDescent="0.3">
      <c r="A479" t="s">
        <v>837</v>
      </c>
      <c r="B479" t="s">
        <v>30</v>
      </c>
      <c r="C479" t="s">
        <v>1450</v>
      </c>
      <c r="D479" s="15">
        <v>16</v>
      </c>
      <c r="E479" s="7">
        <v>172.5</v>
      </c>
      <c r="H479">
        <v>55031</v>
      </c>
      <c r="I479" t="s">
        <v>861</v>
      </c>
      <c r="J479" t="s">
        <v>1222</v>
      </c>
      <c r="K479" t="s">
        <v>3</v>
      </c>
      <c r="L479" s="2">
        <v>43191</v>
      </c>
      <c r="M479" s="2">
        <f>DHMXX[[#This Row],[INV DOC DATE]]+30</f>
        <v>43221</v>
      </c>
      <c r="N479" s="2">
        <v>43221</v>
      </c>
      <c r="O479" s="7">
        <v>172.5</v>
      </c>
      <c r="P479" s="2">
        <v>43229</v>
      </c>
      <c r="Q479" s="7">
        <f>$E479-$O479</f>
        <v>0</v>
      </c>
      <c r="R479" s="7" t="str">
        <f ca="1">IF(TODAY() - DHMXX[INV DUE DATE]&lt;30, "Less than 30 days",IF(TODAY()-DHMXX[INV DUE DATE]&lt;60,"30-60 days","More than 60 days"))</f>
        <v>More than 60 days</v>
      </c>
      <c r="S479" t="s">
        <v>1550</v>
      </c>
      <c r="T479" s="43" t="s">
        <v>2229</v>
      </c>
      <c r="U479" t="s">
        <v>3699</v>
      </c>
    </row>
    <row r="480" spans="1:21" x14ac:dyDescent="0.3">
      <c r="A480" t="s">
        <v>837</v>
      </c>
      <c r="B480" t="s">
        <v>30</v>
      </c>
      <c r="C480" t="s">
        <v>1451</v>
      </c>
      <c r="D480" s="15">
        <v>16</v>
      </c>
      <c r="E480" s="7">
        <v>172.5</v>
      </c>
      <c r="H480">
        <v>55031</v>
      </c>
      <c r="I480" t="s">
        <v>861</v>
      </c>
      <c r="J480" t="s">
        <v>1223</v>
      </c>
      <c r="K480" t="s">
        <v>3</v>
      </c>
      <c r="L480" s="2">
        <v>43191</v>
      </c>
      <c r="M480" s="2">
        <f>DHMXX[[#This Row],[INV DOC DATE]]+30</f>
        <v>43221</v>
      </c>
      <c r="N480" s="2">
        <v>43221</v>
      </c>
      <c r="O480" s="7">
        <v>172.5</v>
      </c>
      <c r="P480" s="2">
        <v>43229</v>
      </c>
      <c r="Q480" s="7">
        <f>$E480-$O480</f>
        <v>0</v>
      </c>
      <c r="R480" s="7" t="str">
        <f ca="1">IF(TODAY() - DHMXX[INV DUE DATE]&lt;30, "Less than 30 days",IF(TODAY()-DHMXX[INV DUE DATE]&lt;60,"30-60 days","More than 60 days"))</f>
        <v>More than 60 days</v>
      </c>
      <c r="S480" t="s">
        <v>1550</v>
      </c>
      <c r="T480" s="43" t="s">
        <v>2229</v>
      </c>
      <c r="U480" t="s">
        <v>3699</v>
      </c>
    </row>
    <row r="481" spans="1:21" x14ac:dyDescent="0.3">
      <c r="A481" t="s">
        <v>837</v>
      </c>
      <c r="B481" t="s">
        <v>30</v>
      </c>
      <c r="C481" t="s">
        <v>1452</v>
      </c>
      <c r="D481" s="15">
        <v>16</v>
      </c>
      <c r="E481" s="7">
        <v>172.5</v>
      </c>
      <c r="H481">
        <v>55031</v>
      </c>
      <c r="I481" t="s">
        <v>861</v>
      </c>
      <c r="J481" t="s">
        <v>1224</v>
      </c>
      <c r="K481" t="s">
        <v>3</v>
      </c>
      <c r="L481" s="2">
        <v>43191</v>
      </c>
      <c r="M481" s="2">
        <f>DHMXX[[#This Row],[INV DOC DATE]]+30</f>
        <v>43221</v>
      </c>
      <c r="N481" s="2">
        <v>43221</v>
      </c>
      <c r="O481" s="7">
        <v>172.5</v>
      </c>
      <c r="P481" s="2">
        <v>43229</v>
      </c>
      <c r="Q481" s="7">
        <f>$E481-$O481</f>
        <v>0</v>
      </c>
      <c r="R481" s="7" t="str">
        <f ca="1">IF(TODAY() - DHMXX[INV DUE DATE]&lt;30, "Less than 30 days",IF(TODAY()-DHMXX[INV DUE DATE]&lt;60,"30-60 days","More than 60 days"))</f>
        <v>More than 60 days</v>
      </c>
      <c r="S481" t="s">
        <v>1550</v>
      </c>
      <c r="T481" s="43" t="s">
        <v>2229</v>
      </c>
      <c r="U481" t="s">
        <v>3699</v>
      </c>
    </row>
    <row r="482" spans="1:21" x14ac:dyDescent="0.3">
      <c r="A482" t="s">
        <v>837</v>
      </c>
      <c r="B482" t="s">
        <v>30</v>
      </c>
      <c r="C482" t="s">
        <v>1453</v>
      </c>
      <c r="D482" s="15">
        <v>16</v>
      </c>
      <c r="E482" s="7">
        <v>172.5</v>
      </c>
      <c r="H482">
        <v>55245</v>
      </c>
      <c r="I482" t="s">
        <v>861</v>
      </c>
      <c r="J482" t="s">
        <v>1225</v>
      </c>
      <c r="K482" t="s">
        <v>3</v>
      </c>
      <c r="L482" s="2">
        <v>43191</v>
      </c>
      <c r="M482" s="2">
        <f>DHMXX[[#This Row],[INV DOC DATE]]+30</f>
        <v>43221</v>
      </c>
      <c r="N482" s="2">
        <v>43221</v>
      </c>
      <c r="O482" s="7">
        <v>172.5</v>
      </c>
      <c r="P482" s="2">
        <v>43229</v>
      </c>
      <c r="Q482" s="7">
        <f>$E482-$O482</f>
        <v>0</v>
      </c>
      <c r="R482" s="7" t="str">
        <f ca="1">IF(TODAY() - DHMXX[INV DUE DATE]&lt;30, "Less than 30 days",IF(TODAY()-DHMXX[INV DUE DATE]&lt;60,"30-60 days","More than 60 days"))</f>
        <v>More than 60 days</v>
      </c>
      <c r="S482" t="s">
        <v>1550</v>
      </c>
      <c r="T482" s="43" t="s">
        <v>2229</v>
      </c>
      <c r="U482" t="s">
        <v>3699</v>
      </c>
    </row>
    <row r="483" spans="1:21" x14ac:dyDescent="0.3">
      <c r="A483" t="s">
        <v>837</v>
      </c>
      <c r="B483" t="s">
        <v>30</v>
      </c>
      <c r="C483" t="s">
        <v>1454</v>
      </c>
      <c r="D483" s="15">
        <v>16</v>
      </c>
      <c r="E483" s="7">
        <v>172.5</v>
      </c>
      <c r="H483">
        <v>55245</v>
      </c>
      <c r="I483" t="s">
        <v>861</v>
      </c>
      <c r="J483" t="s">
        <v>1226</v>
      </c>
      <c r="K483" t="s">
        <v>3</v>
      </c>
      <c r="L483" s="2">
        <v>43191</v>
      </c>
      <c r="M483" s="2">
        <f>DHMXX[[#This Row],[INV DOC DATE]]+30</f>
        <v>43221</v>
      </c>
      <c r="N483" s="2">
        <v>43221</v>
      </c>
      <c r="O483" s="7">
        <v>172.5</v>
      </c>
      <c r="P483" s="2">
        <v>43229</v>
      </c>
      <c r="Q483" s="7">
        <f>$E483-$O483</f>
        <v>0</v>
      </c>
      <c r="R483" s="7" t="str">
        <f ca="1">IF(TODAY() - DHMXX[INV DUE DATE]&lt;30, "Less than 30 days",IF(TODAY()-DHMXX[INV DUE DATE]&lt;60,"30-60 days","More than 60 days"))</f>
        <v>More than 60 days</v>
      </c>
      <c r="S483" t="s">
        <v>1550</v>
      </c>
      <c r="T483" s="43" t="s">
        <v>2229</v>
      </c>
      <c r="U483" t="s">
        <v>3699</v>
      </c>
    </row>
    <row r="484" spans="1:21" x14ac:dyDescent="0.3">
      <c r="A484" t="s">
        <v>837</v>
      </c>
      <c r="B484" t="s">
        <v>30</v>
      </c>
      <c r="C484" t="s">
        <v>1455</v>
      </c>
      <c r="D484" s="15">
        <v>16</v>
      </c>
      <c r="E484" s="7">
        <v>172.5</v>
      </c>
      <c r="H484">
        <v>55245</v>
      </c>
      <c r="I484" t="s">
        <v>861</v>
      </c>
      <c r="J484" t="s">
        <v>1227</v>
      </c>
      <c r="K484" t="s">
        <v>3</v>
      </c>
      <c r="L484" s="2">
        <v>43191</v>
      </c>
      <c r="M484" s="2">
        <f>DHMXX[[#This Row],[INV DOC DATE]]+30</f>
        <v>43221</v>
      </c>
      <c r="N484" s="2">
        <v>43221</v>
      </c>
      <c r="O484" s="7">
        <v>172.5</v>
      </c>
      <c r="P484" s="2">
        <v>43229</v>
      </c>
      <c r="Q484" s="7">
        <f>$E484-$O484</f>
        <v>0</v>
      </c>
      <c r="R484" s="7" t="str">
        <f ca="1">IF(TODAY() - DHMXX[INV DUE DATE]&lt;30, "Less than 30 days",IF(TODAY()-DHMXX[INV DUE DATE]&lt;60,"30-60 days","More than 60 days"))</f>
        <v>More than 60 days</v>
      </c>
      <c r="S484" t="s">
        <v>1550</v>
      </c>
      <c r="T484" s="43" t="s">
        <v>2229</v>
      </c>
      <c r="U484" t="s">
        <v>3699</v>
      </c>
    </row>
    <row r="485" spans="1:21" x14ac:dyDescent="0.3">
      <c r="A485" t="s">
        <v>837</v>
      </c>
      <c r="B485" t="s">
        <v>30</v>
      </c>
      <c r="C485" t="s">
        <v>1456</v>
      </c>
      <c r="D485" s="15">
        <v>16</v>
      </c>
      <c r="E485" s="7">
        <v>172.5</v>
      </c>
      <c r="H485">
        <v>55245</v>
      </c>
      <c r="I485" t="s">
        <v>861</v>
      </c>
      <c r="J485" t="s">
        <v>1228</v>
      </c>
      <c r="K485" t="s">
        <v>3</v>
      </c>
      <c r="L485" s="2">
        <v>43191</v>
      </c>
      <c r="M485" s="2">
        <f>DHMXX[[#This Row],[INV DOC DATE]]+30</f>
        <v>43221</v>
      </c>
      <c r="N485" s="2">
        <v>43221</v>
      </c>
      <c r="O485" s="7">
        <v>172.5</v>
      </c>
      <c r="P485" s="2">
        <v>43229</v>
      </c>
      <c r="Q485" s="7">
        <f>$E485-$O485</f>
        <v>0</v>
      </c>
      <c r="R485" s="7" t="str">
        <f ca="1">IF(TODAY() - DHMXX[INV DUE DATE]&lt;30, "Less than 30 days",IF(TODAY()-DHMXX[INV DUE DATE]&lt;60,"30-60 days","More than 60 days"))</f>
        <v>More than 60 days</v>
      </c>
      <c r="S485" t="s">
        <v>1550</v>
      </c>
      <c r="T485" s="43" t="s">
        <v>2229</v>
      </c>
      <c r="U485" t="s">
        <v>3699</v>
      </c>
    </row>
    <row r="486" spans="1:21" x14ac:dyDescent="0.3">
      <c r="A486" t="s">
        <v>837</v>
      </c>
      <c r="B486" t="s">
        <v>30</v>
      </c>
      <c r="C486" t="s">
        <v>1457</v>
      </c>
      <c r="D486" s="15">
        <v>16</v>
      </c>
      <c r="E486" s="7">
        <v>172.5</v>
      </c>
      <c r="H486">
        <v>55245</v>
      </c>
      <c r="I486" t="s">
        <v>861</v>
      </c>
      <c r="J486" t="s">
        <v>1229</v>
      </c>
      <c r="K486" t="s">
        <v>3</v>
      </c>
      <c r="L486" s="2">
        <v>43191</v>
      </c>
      <c r="M486" s="2">
        <f>DHMXX[[#This Row],[INV DOC DATE]]+30</f>
        <v>43221</v>
      </c>
      <c r="N486" s="2">
        <v>43221</v>
      </c>
      <c r="O486" s="7">
        <v>172.5</v>
      </c>
      <c r="P486" s="2">
        <v>43229</v>
      </c>
      <c r="Q486" s="7">
        <f>$E486-$O486</f>
        <v>0</v>
      </c>
      <c r="R486" s="7" t="str">
        <f ca="1">IF(TODAY() - DHMXX[INV DUE DATE]&lt;30, "Less than 30 days",IF(TODAY()-DHMXX[INV DUE DATE]&lt;60,"30-60 days","More than 60 days"))</f>
        <v>More than 60 days</v>
      </c>
      <c r="S486" t="s">
        <v>1550</v>
      </c>
      <c r="T486" s="43" t="s">
        <v>2229</v>
      </c>
      <c r="U486" t="s">
        <v>3699</v>
      </c>
    </row>
    <row r="487" spans="1:21" x14ac:dyDescent="0.3">
      <c r="A487" t="s">
        <v>837</v>
      </c>
      <c r="B487" t="s">
        <v>30</v>
      </c>
      <c r="C487" t="s">
        <v>1458</v>
      </c>
      <c r="D487" s="15">
        <v>16</v>
      </c>
      <c r="E487" s="7">
        <v>172.5</v>
      </c>
      <c r="H487">
        <v>55245</v>
      </c>
      <c r="I487" t="s">
        <v>861</v>
      </c>
      <c r="J487" t="s">
        <v>1230</v>
      </c>
      <c r="K487" t="s">
        <v>3</v>
      </c>
      <c r="L487" s="2">
        <v>43191</v>
      </c>
      <c r="M487" s="2">
        <f>DHMXX[[#This Row],[INV DOC DATE]]+30</f>
        <v>43221</v>
      </c>
      <c r="N487" s="2">
        <v>43221</v>
      </c>
      <c r="O487" s="7">
        <v>172.5</v>
      </c>
      <c r="P487" s="2">
        <v>43229</v>
      </c>
      <c r="Q487" s="7">
        <f>$E487-$O487</f>
        <v>0</v>
      </c>
      <c r="R487" s="7" t="str">
        <f ca="1">IF(TODAY() - DHMXX[INV DUE DATE]&lt;30, "Less than 30 days",IF(TODAY()-DHMXX[INV DUE DATE]&lt;60,"30-60 days","More than 60 days"))</f>
        <v>More than 60 days</v>
      </c>
      <c r="S487" t="s">
        <v>1550</v>
      </c>
      <c r="T487" s="43" t="s">
        <v>2229</v>
      </c>
      <c r="U487" t="s">
        <v>3699</v>
      </c>
    </row>
    <row r="488" spans="1:21" x14ac:dyDescent="0.3">
      <c r="A488" t="s">
        <v>837</v>
      </c>
      <c r="B488" t="s">
        <v>30</v>
      </c>
      <c r="C488" t="s">
        <v>1459</v>
      </c>
      <c r="D488" s="15">
        <v>16</v>
      </c>
      <c r="E488" s="7">
        <v>172.5</v>
      </c>
      <c r="H488">
        <v>55256</v>
      </c>
      <c r="I488" t="s">
        <v>353</v>
      </c>
      <c r="J488" t="s">
        <v>1231</v>
      </c>
      <c r="K488" t="s">
        <v>3</v>
      </c>
      <c r="L488" s="2">
        <v>43191</v>
      </c>
      <c r="M488" s="2">
        <f>DHMXX[[#This Row],[INV DOC DATE]]+30</f>
        <v>43221</v>
      </c>
      <c r="N488" s="2">
        <v>43221</v>
      </c>
      <c r="O488" s="7">
        <v>172.5</v>
      </c>
      <c r="P488" s="2">
        <v>43229</v>
      </c>
      <c r="Q488" s="7">
        <f>$E488-$O488</f>
        <v>0</v>
      </c>
      <c r="R488" s="7" t="str">
        <f ca="1">IF(TODAY() - DHMXX[INV DUE DATE]&lt;30, "Less than 30 days",IF(TODAY()-DHMXX[INV DUE DATE]&lt;60,"30-60 days","More than 60 days"))</f>
        <v>More than 60 days</v>
      </c>
      <c r="S488" t="s">
        <v>1550</v>
      </c>
      <c r="T488" s="43" t="s">
        <v>2229</v>
      </c>
      <c r="U488" t="s">
        <v>3699</v>
      </c>
    </row>
    <row r="489" spans="1:21" x14ac:dyDescent="0.3">
      <c r="A489" t="s">
        <v>837</v>
      </c>
      <c r="B489" t="s">
        <v>30</v>
      </c>
      <c r="C489" t="s">
        <v>1460</v>
      </c>
      <c r="D489" s="15">
        <v>16</v>
      </c>
      <c r="E489" s="7">
        <v>172.5</v>
      </c>
      <c r="H489">
        <v>55314</v>
      </c>
      <c r="I489" t="s">
        <v>862</v>
      </c>
      <c r="J489" t="s">
        <v>1232</v>
      </c>
      <c r="K489" t="s">
        <v>3</v>
      </c>
      <c r="L489" s="2">
        <v>43191</v>
      </c>
      <c r="M489" s="2">
        <f>DHMXX[[#This Row],[INV DOC DATE]]+30</f>
        <v>43221</v>
      </c>
      <c r="N489" s="2">
        <v>43221</v>
      </c>
      <c r="O489" s="7">
        <v>172.5</v>
      </c>
      <c r="P489" s="2">
        <v>43229</v>
      </c>
      <c r="Q489" s="7">
        <f>$E489-$O489</f>
        <v>0</v>
      </c>
      <c r="R489" s="7" t="str">
        <f ca="1">IF(TODAY() - DHMXX[INV DUE DATE]&lt;30, "Less than 30 days",IF(TODAY()-DHMXX[INV DUE DATE]&lt;60,"30-60 days","More than 60 days"))</f>
        <v>More than 60 days</v>
      </c>
      <c r="S489" t="s">
        <v>1550</v>
      </c>
      <c r="T489" s="43" t="s">
        <v>2229</v>
      </c>
      <c r="U489" t="s">
        <v>3699</v>
      </c>
    </row>
    <row r="490" spans="1:21" x14ac:dyDescent="0.3">
      <c r="A490" t="s">
        <v>837</v>
      </c>
      <c r="B490" t="s">
        <v>30</v>
      </c>
      <c r="C490" t="s">
        <v>1461</v>
      </c>
      <c r="D490" s="15">
        <v>16</v>
      </c>
      <c r="E490" s="7">
        <v>172.5</v>
      </c>
      <c r="H490">
        <v>55322</v>
      </c>
      <c r="I490" t="s">
        <v>862</v>
      </c>
      <c r="J490" t="s">
        <v>1233</v>
      </c>
      <c r="K490" t="s">
        <v>3</v>
      </c>
      <c r="L490" s="2">
        <v>43191</v>
      </c>
      <c r="M490" s="2">
        <f>DHMXX[[#This Row],[INV DOC DATE]]+30</f>
        <v>43221</v>
      </c>
      <c r="N490" s="2">
        <v>43221</v>
      </c>
      <c r="O490" s="7">
        <v>172.5</v>
      </c>
      <c r="P490" s="2">
        <v>43229</v>
      </c>
      <c r="Q490" s="7">
        <f>$E490-$O490</f>
        <v>0</v>
      </c>
      <c r="R490" s="7" t="str">
        <f ca="1">IF(TODAY() - DHMXX[INV DUE DATE]&lt;30, "Less than 30 days",IF(TODAY()-DHMXX[INV DUE DATE]&lt;60,"30-60 days","More than 60 days"))</f>
        <v>More than 60 days</v>
      </c>
      <c r="S490" t="s">
        <v>1550</v>
      </c>
      <c r="T490" s="43" t="s">
        <v>2229</v>
      </c>
      <c r="U490" t="s">
        <v>3699</v>
      </c>
    </row>
    <row r="491" spans="1:21" x14ac:dyDescent="0.3">
      <c r="A491" t="s">
        <v>837</v>
      </c>
      <c r="B491" t="s">
        <v>30</v>
      </c>
      <c r="C491" t="s">
        <v>1462</v>
      </c>
      <c r="D491" s="15">
        <v>16</v>
      </c>
      <c r="E491" s="7">
        <v>172.5</v>
      </c>
      <c r="H491">
        <v>55322</v>
      </c>
      <c r="I491" t="s">
        <v>862</v>
      </c>
      <c r="J491" t="s">
        <v>1234</v>
      </c>
      <c r="K491" t="s">
        <v>3</v>
      </c>
      <c r="L491" s="2">
        <v>43191</v>
      </c>
      <c r="M491" s="2">
        <f>DHMXX[[#This Row],[INV DOC DATE]]+30</f>
        <v>43221</v>
      </c>
      <c r="N491" s="2">
        <v>43221</v>
      </c>
      <c r="O491" s="7">
        <v>172.5</v>
      </c>
      <c r="P491" s="2">
        <v>43229</v>
      </c>
      <c r="Q491" s="7">
        <f>$E491-$O491</f>
        <v>0</v>
      </c>
      <c r="R491" s="7" t="str">
        <f ca="1">IF(TODAY() - DHMXX[INV DUE DATE]&lt;30, "Less than 30 days",IF(TODAY()-DHMXX[INV DUE DATE]&lt;60,"30-60 days","More than 60 days"))</f>
        <v>More than 60 days</v>
      </c>
      <c r="S491" t="s">
        <v>1550</v>
      </c>
      <c r="T491" s="43" t="s">
        <v>2229</v>
      </c>
      <c r="U491" t="s">
        <v>3699</v>
      </c>
    </row>
    <row r="492" spans="1:21" x14ac:dyDescent="0.3">
      <c r="A492" t="s">
        <v>837</v>
      </c>
      <c r="B492" t="s">
        <v>30</v>
      </c>
      <c r="C492" t="s">
        <v>1463</v>
      </c>
      <c r="D492" s="15">
        <v>16</v>
      </c>
      <c r="E492" s="7">
        <v>172.5</v>
      </c>
      <c r="H492">
        <v>55322</v>
      </c>
      <c r="I492" t="s">
        <v>862</v>
      </c>
      <c r="J492" t="s">
        <v>1235</v>
      </c>
      <c r="K492" t="s">
        <v>3</v>
      </c>
      <c r="L492" s="2">
        <v>43191</v>
      </c>
      <c r="M492" s="2">
        <f>DHMXX[[#This Row],[INV DOC DATE]]+30</f>
        <v>43221</v>
      </c>
      <c r="N492" s="2">
        <v>43221</v>
      </c>
      <c r="O492" s="7">
        <v>172.5</v>
      </c>
      <c r="P492" s="2">
        <v>43229</v>
      </c>
      <c r="Q492" s="7">
        <f>$E492-$O492</f>
        <v>0</v>
      </c>
      <c r="R492" s="7" t="str">
        <f ca="1">IF(TODAY() - DHMXX[INV DUE DATE]&lt;30, "Less than 30 days",IF(TODAY()-DHMXX[INV DUE DATE]&lt;60,"30-60 days","More than 60 days"))</f>
        <v>More than 60 days</v>
      </c>
      <c r="S492" t="s">
        <v>1550</v>
      </c>
      <c r="T492" s="43" t="s">
        <v>2229</v>
      </c>
      <c r="U492" t="s">
        <v>3699</v>
      </c>
    </row>
    <row r="493" spans="1:21" x14ac:dyDescent="0.3">
      <c r="A493" t="s">
        <v>837</v>
      </c>
      <c r="B493" t="s">
        <v>30</v>
      </c>
      <c r="C493" t="s">
        <v>1464</v>
      </c>
      <c r="D493" s="15">
        <v>16</v>
      </c>
      <c r="E493" s="7">
        <v>172.5</v>
      </c>
      <c r="H493">
        <v>55322</v>
      </c>
      <c r="I493" t="s">
        <v>862</v>
      </c>
      <c r="J493" t="s">
        <v>1236</v>
      </c>
      <c r="K493" t="s">
        <v>3</v>
      </c>
      <c r="L493" s="2">
        <v>43191</v>
      </c>
      <c r="M493" s="2">
        <f>DHMXX[[#This Row],[INV DOC DATE]]+30</f>
        <v>43221</v>
      </c>
      <c r="N493" s="2">
        <v>43221</v>
      </c>
      <c r="O493" s="7">
        <v>172.5</v>
      </c>
      <c r="P493" s="2">
        <v>43229</v>
      </c>
      <c r="Q493" s="7">
        <f>$E493-$O493</f>
        <v>0</v>
      </c>
      <c r="R493" s="7" t="str">
        <f ca="1">IF(TODAY() - DHMXX[INV DUE DATE]&lt;30, "Less than 30 days",IF(TODAY()-DHMXX[INV DUE DATE]&lt;60,"30-60 days","More than 60 days"))</f>
        <v>More than 60 days</v>
      </c>
      <c r="S493" t="s">
        <v>1550</v>
      </c>
      <c r="T493" s="43" t="s">
        <v>2229</v>
      </c>
      <c r="U493" t="s">
        <v>3699</v>
      </c>
    </row>
    <row r="494" spans="1:21" x14ac:dyDescent="0.3">
      <c r="A494" t="s">
        <v>837</v>
      </c>
      <c r="B494" t="s">
        <v>30</v>
      </c>
      <c r="C494" t="s">
        <v>1465</v>
      </c>
      <c r="D494" s="15">
        <v>16</v>
      </c>
      <c r="E494" s="7">
        <v>172.5</v>
      </c>
      <c r="H494">
        <v>55327</v>
      </c>
      <c r="I494" t="s">
        <v>862</v>
      </c>
      <c r="J494" t="s">
        <v>1237</v>
      </c>
      <c r="K494" t="s">
        <v>3</v>
      </c>
      <c r="L494" s="2">
        <v>43191</v>
      </c>
      <c r="M494" s="2">
        <f>DHMXX[[#This Row],[INV DOC DATE]]+30</f>
        <v>43221</v>
      </c>
      <c r="N494" s="2">
        <v>43221</v>
      </c>
      <c r="O494" s="7">
        <v>172.5</v>
      </c>
      <c r="P494" s="2">
        <v>43229</v>
      </c>
      <c r="Q494" s="7">
        <f>$E494-$O494</f>
        <v>0</v>
      </c>
      <c r="R494" s="7" t="str">
        <f ca="1">IF(TODAY() - DHMXX[INV DUE DATE]&lt;30, "Less than 30 days",IF(TODAY()-DHMXX[INV DUE DATE]&lt;60,"30-60 days","More than 60 days"))</f>
        <v>More than 60 days</v>
      </c>
      <c r="S494" t="s">
        <v>1550</v>
      </c>
      <c r="T494" s="43" t="s">
        <v>2229</v>
      </c>
      <c r="U494" t="s">
        <v>3699</v>
      </c>
    </row>
    <row r="495" spans="1:21" x14ac:dyDescent="0.3">
      <c r="A495" t="s">
        <v>837</v>
      </c>
      <c r="B495" t="s">
        <v>30</v>
      </c>
      <c r="C495" t="s">
        <v>1466</v>
      </c>
      <c r="D495" s="15">
        <v>16</v>
      </c>
      <c r="E495" s="7">
        <v>172.5</v>
      </c>
      <c r="H495">
        <v>55327</v>
      </c>
      <c r="I495" t="s">
        <v>862</v>
      </c>
      <c r="J495" t="s">
        <v>1238</v>
      </c>
      <c r="K495" t="s">
        <v>3</v>
      </c>
      <c r="L495" s="2">
        <v>43191</v>
      </c>
      <c r="M495" s="2">
        <f>DHMXX[[#This Row],[INV DOC DATE]]+30</f>
        <v>43221</v>
      </c>
      <c r="N495" s="2">
        <v>43221</v>
      </c>
      <c r="O495" s="7">
        <v>172.5</v>
      </c>
      <c r="P495" s="2">
        <v>43229</v>
      </c>
      <c r="Q495" s="7">
        <f>$E495-$O495</f>
        <v>0</v>
      </c>
      <c r="R495" s="7" t="str">
        <f ca="1">IF(TODAY() - DHMXX[INV DUE DATE]&lt;30, "Less than 30 days",IF(TODAY()-DHMXX[INV DUE DATE]&lt;60,"30-60 days","More than 60 days"))</f>
        <v>More than 60 days</v>
      </c>
      <c r="S495" t="s">
        <v>1550</v>
      </c>
      <c r="T495" s="43" t="s">
        <v>2229</v>
      </c>
      <c r="U495" t="s">
        <v>3699</v>
      </c>
    </row>
    <row r="496" spans="1:21" x14ac:dyDescent="0.3">
      <c r="A496" t="s">
        <v>837</v>
      </c>
      <c r="B496" t="s">
        <v>30</v>
      </c>
      <c r="C496" t="s">
        <v>1467</v>
      </c>
      <c r="D496" s="15">
        <v>16</v>
      </c>
      <c r="E496" s="7">
        <v>172.5</v>
      </c>
      <c r="H496">
        <v>55327</v>
      </c>
      <c r="I496" t="s">
        <v>862</v>
      </c>
      <c r="J496" t="s">
        <v>1239</v>
      </c>
      <c r="K496" t="s">
        <v>3</v>
      </c>
      <c r="L496" s="2">
        <v>43191</v>
      </c>
      <c r="M496" s="2">
        <f>DHMXX[[#This Row],[INV DOC DATE]]+30</f>
        <v>43221</v>
      </c>
      <c r="N496" s="2">
        <v>43221</v>
      </c>
      <c r="O496" s="7">
        <v>172.5</v>
      </c>
      <c r="P496" s="2">
        <v>43229</v>
      </c>
      <c r="Q496" s="7">
        <f>$E496-$O496</f>
        <v>0</v>
      </c>
      <c r="R496" s="7" t="str">
        <f ca="1">IF(TODAY() - DHMXX[INV DUE DATE]&lt;30, "Less than 30 days",IF(TODAY()-DHMXX[INV DUE DATE]&lt;60,"30-60 days","More than 60 days"))</f>
        <v>More than 60 days</v>
      </c>
      <c r="S496" t="s">
        <v>1550</v>
      </c>
      <c r="T496" s="43" t="s">
        <v>2229</v>
      </c>
      <c r="U496" t="s">
        <v>3699</v>
      </c>
    </row>
    <row r="497" spans="1:21" x14ac:dyDescent="0.3">
      <c r="A497" t="s">
        <v>837</v>
      </c>
      <c r="B497" t="s">
        <v>30</v>
      </c>
      <c r="C497" t="s">
        <v>1468</v>
      </c>
      <c r="D497" s="15">
        <v>16</v>
      </c>
      <c r="E497" s="7">
        <v>172.5</v>
      </c>
      <c r="H497">
        <v>56656</v>
      </c>
      <c r="I497" t="s">
        <v>861</v>
      </c>
      <c r="J497" t="s">
        <v>1240</v>
      </c>
      <c r="K497" t="s">
        <v>3</v>
      </c>
      <c r="L497" s="2">
        <v>43191</v>
      </c>
      <c r="M497" s="2">
        <f>DHMXX[[#This Row],[INV DOC DATE]]+30</f>
        <v>43221</v>
      </c>
      <c r="N497" s="2">
        <v>43221</v>
      </c>
      <c r="O497" s="7">
        <v>172.5</v>
      </c>
      <c r="P497" s="2">
        <v>43229</v>
      </c>
      <c r="Q497" s="7">
        <f>$E497-$O497</f>
        <v>0</v>
      </c>
      <c r="R497" s="7" t="str">
        <f ca="1">IF(TODAY() - DHMXX[INV DUE DATE]&lt;30, "Less than 30 days",IF(TODAY()-DHMXX[INV DUE DATE]&lt;60,"30-60 days","More than 60 days"))</f>
        <v>More than 60 days</v>
      </c>
      <c r="S497" t="s">
        <v>1550</v>
      </c>
      <c r="T497" s="43" t="s">
        <v>2229</v>
      </c>
      <c r="U497" t="s">
        <v>3699</v>
      </c>
    </row>
    <row r="498" spans="1:21" x14ac:dyDescent="0.3">
      <c r="A498" t="s">
        <v>837</v>
      </c>
      <c r="B498" t="s">
        <v>30</v>
      </c>
      <c r="C498" t="s">
        <v>1469</v>
      </c>
      <c r="D498" s="15">
        <v>16</v>
      </c>
      <c r="E498" s="7">
        <v>172.5</v>
      </c>
      <c r="H498">
        <v>56656</v>
      </c>
      <c r="I498" t="s">
        <v>861</v>
      </c>
      <c r="J498" t="s">
        <v>1241</v>
      </c>
      <c r="K498" t="s">
        <v>3</v>
      </c>
      <c r="L498" s="2">
        <v>43191</v>
      </c>
      <c r="M498" s="2">
        <f>DHMXX[[#This Row],[INV DOC DATE]]+30</f>
        <v>43221</v>
      </c>
      <c r="N498" s="2">
        <v>43221</v>
      </c>
      <c r="O498" s="7">
        <v>172.5</v>
      </c>
      <c r="P498" s="2">
        <v>43229</v>
      </c>
      <c r="Q498" s="7">
        <f>$E498-$O498</f>
        <v>0</v>
      </c>
      <c r="R498" s="7" t="str">
        <f ca="1">IF(TODAY() - DHMXX[INV DUE DATE]&lt;30, "Less than 30 days",IF(TODAY()-DHMXX[INV DUE DATE]&lt;60,"30-60 days","More than 60 days"))</f>
        <v>More than 60 days</v>
      </c>
      <c r="S498" t="s">
        <v>1550</v>
      </c>
      <c r="T498" s="43" t="s">
        <v>2229</v>
      </c>
      <c r="U498" t="s">
        <v>3699</v>
      </c>
    </row>
    <row r="499" spans="1:21" x14ac:dyDescent="0.3">
      <c r="A499" t="s">
        <v>837</v>
      </c>
      <c r="B499" t="s">
        <v>30</v>
      </c>
      <c r="C499" t="s">
        <v>1470</v>
      </c>
      <c r="D499" s="15">
        <v>16</v>
      </c>
      <c r="E499" s="7">
        <v>172.5</v>
      </c>
      <c r="H499">
        <v>56660</v>
      </c>
      <c r="I499" t="s">
        <v>861</v>
      </c>
      <c r="J499" t="s">
        <v>1242</v>
      </c>
      <c r="K499" t="s">
        <v>3</v>
      </c>
      <c r="L499" s="2">
        <v>43191</v>
      </c>
      <c r="M499" s="2">
        <f>DHMXX[[#This Row],[INV DOC DATE]]+30</f>
        <v>43221</v>
      </c>
      <c r="N499" s="2">
        <v>43221</v>
      </c>
      <c r="O499" s="7">
        <v>172.5</v>
      </c>
      <c r="P499" s="2">
        <v>43229</v>
      </c>
      <c r="Q499" s="7">
        <f>$E499-$O499</f>
        <v>0</v>
      </c>
      <c r="R499" s="7" t="str">
        <f ca="1">IF(TODAY() - DHMXX[INV DUE DATE]&lt;30, "Less than 30 days",IF(TODAY()-DHMXX[INV DUE DATE]&lt;60,"30-60 days","More than 60 days"))</f>
        <v>More than 60 days</v>
      </c>
      <c r="S499" t="s">
        <v>1550</v>
      </c>
      <c r="T499" s="43" t="s">
        <v>2229</v>
      </c>
      <c r="U499" t="s">
        <v>3699</v>
      </c>
    </row>
    <row r="500" spans="1:21" x14ac:dyDescent="0.3">
      <c r="A500" t="s">
        <v>837</v>
      </c>
      <c r="B500" t="s">
        <v>30</v>
      </c>
      <c r="C500" t="s">
        <v>1471</v>
      </c>
      <c r="D500" s="15">
        <v>16</v>
      </c>
      <c r="E500" s="7">
        <v>172.5</v>
      </c>
      <c r="H500">
        <v>82223</v>
      </c>
      <c r="I500" t="s">
        <v>858</v>
      </c>
      <c r="J500" t="s">
        <v>1243</v>
      </c>
      <c r="K500" t="s">
        <v>3</v>
      </c>
      <c r="L500" s="2">
        <v>43191</v>
      </c>
      <c r="M500" s="2">
        <f>DHMXX[[#This Row],[INV DOC DATE]]+30</f>
        <v>43221</v>
      </c>
      <c r="N500" s="2">
        <v>43221</v>
      </c>
      <c r="O500" s="7">
        <v>172.5</v>
      </c>
      <c r="P500" s="2">
        <v>43229</v>
      </c>
      <c r="Q500" s="7">
        <f>$E500-$O500</f>
        <v>0</v>
      </c>
      <c r="R500" s="7" t="str">
        <f ca="1">IF(TODAY() - DHMXX[INV DUE DATE]&lt;30, "Less than 30 days",IF(TODAY()-DHMXX[INV DUE DATE]&lt;60,"30-60 days","More than 60 days"))</f>
        <v>More than 60 days</v>
      </c>
      <c r="S500" t="s">
        <v>1550</v>
      </c>
      <c r="T500" s="43" t="s">
        <v>2229</v>
      </c>
      <c r="U500" t="s">
        <v>3699</v>
      </c>
    </row>
    <row r="501" spans="1:21" x14ac:dyDescent="0.3">
      <c r="A501" t="s">
        <v>837</v>
      </c>
      <c r="B501" t="s">
        <v>30</v>
      </c>
      <c r="C501" t="s">
        <v>1472</v>
      </c>
      <c r="D501" s="15">
        <v>16</v>
      </c>
      <c r="E501" s="7">
        <v>172.5</v>
      </c>
      <c r="H501">
        <v>82227</v>
      </c>
      <c r="I501" t="s">
        <v>858</v>
      </c>
      <c r="J501" t="s">
        <v>1244</v>
      </c>
      <c r="K501" t="s">
        <v>3</v>
      </c>
      <c r="L501" s="2">
        <v>43191</v>
      </c>
      <c r="M501" s="2">
        <f>DHMXX[[#This Row],[INV DOC DATE]]+30</f>
        <v>43221</v>
      </c>
      <c r="N501" s="2">
        <v>43221</v>
      </c>
      <c r="O501" s="7">
        <v>172.5</v>
      </c>
      <c r="P501" s="2">
        <v>43229</v>
      </c>
      <c r="Q501" s="7">
        <f>$E501-$O501</f>
        <v>0</v>
      </c>
      <c r="R501" s="7" t="str">
        <f ca="1">IF(TODAY() - DHMXX[INV DUE DATE]&lt;30, "Less than 30 days",IF(TODAY()-DHMXX[INV DUE DATE]&lt;60,"30-60 days","More than 60 days"))</f>
        <v>More than 60 days</v>
      </c>
      <c r="S501" t="s">
        <v>1550</v>
      </c>
      <c r="T501" s="43" t="s">
        <v>2229</v>
      </c>
      <c r="U501" t="s">
        <v>3699</v>
      </c>
    </row>
    <row r="502" spans="1:21" x14ac:dyDescent="0.3">
      <c r="A502" t="s">
        <v>837</v>
      </c>
      <c r="B502" t="s">
        <v>30</v>
      </c>
      <c r="C502" t="s">
        <v>1473</v>
      </c>
      <c r="D502" s="15">
        <v>16</v>
      </c>
      <c r="E502" s="7">
        <v>172.5</v>
      </c>
      <c r="H502">
        <v>82227</v>
      </c>
      <c r="I502" t="s">
        <v>858</v>
      </c>
      <c r="J502" t="s">
        <v>1245</v>
      </c>
      <c r="K502" t="s">
        <v>3</v>
      </c>
      <c r="L502" s="2">
        <v>43191</v>
      </c>
      <c r="M502" s="2">
        <f>DHMXX[[#This Row],[INV DOC DATE]]+30</f>
        <v>43221</v>
      </c>
      <c r="N502" s="2">
        <v>43221</v>
      </c>
      <c r="O502" s="7">
        <v>172.5</v>
      </c>
      <c r="P502" s="2">
        <v>43229</v>
      </c>
      <c r="Q502" s="7">
        <f>$E502-$O502</f>
        <v>0</v>
      </c>
      <c r="R502" s="7" t="str">
        <f ca="1">IF(TODAY() - DHMXX[INV DUE DATE]&lt;30, "Less than 30 days",IF(TODAY()-DHMXX[INV DUE DATE]&lt;60,"30-60 days","More than 60 days"))</f>
        <v>More than 60 days</v>
      </c>
      <c r="S502" t="s">
        <v>1550</v>
      </c>
      <c r="T502" s="43" t="s">
        <v>2229</v>
      </c>
      <c r="U502" t="s">
        <v>3699</v>
      </c>
    </row>
    <row r="503" spans="1:21" x14ac:dyDescent="0.3">
      <c r="A503" t="s">
        <v>837</v>
      </c>
      <c r="B503" t="s">
        <v>30</v>
      </c>
      <c r="C503" t="s">
        <v>1474</v>
      </c>
      <c r="D503" s="15">
        <v>2000</v>
      </c>
      <c r="E503" s="7">
        <v>172.5</v>
      </c>
      <c r="H503">
        <v>172035</v>
      </c>
      <c r="I503" t="s">
        <v>863</v>
      </c>
      <c r="J503" t="s">
        <v>1246</v>
      </c>
      <c r="K503" t="s">
        <v>3</v>
      </c>
      <c r="L503" s="2">
        <v>43191</v>
      </c>
      <c r="M503" s="2">
        <f>DHMXX[[#This Row],[INV DOC DATE]]+30</f>
        <v>43221</v>
      </c>
      <c r="N503" s="2">
        <v>43221</v>
      </c>
      <c r="O503" s="7">
        <v>172.5</v>
      </c>
      <c r="P503" s="2">
        <v>43229</v>
      </c>
      <c r="Q503" s="7">
        <f>$E503-$O503</f>
        <v>0</v>
      </c>
      <c r="R503" s="7" t="str">
        <f ca="1">IF(TODAY() - DHMXX[INV DUE DATE]&lt;30, "Less than 30 days",IF(TODAY()-DHMXX[INV DUE DATE]&lt;60,"30-60 days","More than 60 days"))</f>
        <v>More than 60 days</v>
      </c>
      <c r="S503" t="s">
        <v>1550</v>
      </c>
      <c r="T503" s="43" t="s">
        <v>2229</v>
      </c>
      <c r="U503" t="s">
        <v>3699</v>
      </c>
    </row>
    <row r="504" spans="1:21" x14ac:dyDescent="0.3">
      <c r="A504" t="s">
        <v>837</v>
      </c>
      <c r="B504" t="s">
        <v>30</v>
      </c>
      <c r="C504" t="s">
        <v>1475</v>
      </c>
      <c r="D504" s="15">
        <v>2000</v>
      </c>
      <c r="E504" s="7">
        <v>172.5</v>
      </c>
      <c r="H504">
        <v>172035</v>
      </c>
      <c r="I504" t="s">
        <v>863</v>
      </c>
      <c r="J504" t="s">
        <v>1247</v>
      </c>
      <c r="K504" t="s">
        <v>3</v>
      </c>
      <c r="L504" s="2">
        <v>43191</v>
      </c>
      <c r="M504" s="2">
        <f>DHMXX[[#This Row],[INV DOC DATE]]+30</f>
        <v>43221</v>
      </c>
      <c r="N504" s="2">
        <v>43221</v>
      </c>
      <c r="O504" s="7">
        <v>172.5</v>
      </c>
      <c r="P504" s="2">
        <v>43229</v>
      </c>
      <c r="Q504" s="7">
        <f>$E504-$O504</f>
        <v>0</v>
      </c>
      <c r="R504" s="7" t="str">
        <f ca="1">IF(TODAY() - DHMXX[INV DUE DATE]&lt;30, "Less than 30 days",IF(TODAY()-DHMXX[INV DUE DATE]&lt;60,"30-60 days","More than 60 days"))</f>
        <v>More than 60 days</v>
      </c>
      <c r="S504" t="s">
        <v>1550</v>
      </c>
      <c r="T504" s="43" t="s">
        <v>2229</v>
      </c>
      <c r="U504" t="s">
        <v>3699</v>
      </c>
    </row>
    <row r="505" spans="1:21" x14ac:dyDescent="0.3">
      <c r="A505" t="s">
        <v>837</v>
      </c>
      <c r="B505" t="s">
        <v>30</v>
      </c>
      <c r="C505" t="s">
        <v>1476</v>
      </c>
      <c r="D505" s="15">
        <v>2000</v>
      </c>
      <c r="E505" s="7">
        <v>172.5</v>
      </c>
      <c r="H505">
        <v>172035</v>
      </c>
      <c r="I505" t="s">
        <v>863</v>
      </c>
      <c r="J505" t="s">
        <v>1248</v>
      </c>
      <c r="K505" t="s">
        <v>3</v>
      </c>
      <c r="L505" s="2">
        <v>43191</v>
      </c>
      <c r="M505" s="2">
        <f>DHMXX[[#This Row],[INV DOC DATE]]+30</f>
        <v>43221</v>
      </c>
      <c r="N505" s="2">
        <v>43221</v>
      </c>
      <c r="O505" s="7">
        <v>172.5</v>
      </c>
      <c r="P505" s="2">
        <v>43229</v>
      </c>
      <c r="Q505" s="7">
        <f>$E505-$O505</f>
        <v>0</v>
      </c>
      <c r="R505" s="7" t="str">
        <f ca="1">IF(TODAY() - DHMXX[INV DUE DATE]&lt;30, "Less than 30 days",IF(TODAY()-DHMXX[INV DUE DATE]&lt;60,"30-60 days","More than 60 days"))</f>
        <v>More than 60 days</v>
      </c>
      <c r="S505" t="s">
        <v>1550</v>
      </c>
      <c r="T505" s="43" t="s">
        <v>2229</v>
      </c>
      <c r="U505" t="s">
        <v>3699</v>
      </c>
    </row>
    <row r="506" spans="1:21" x14ac:dyDescent="0.3">
      <c r="A506" t="s">
        <v>1549</v>
      </c>
      <c r="B506" t="s">
        <v>30</v>
      </c>
      <c r="C506" t="s">
        <v>50</v>
      </c>
      <c r="D506" s="15">
        <v>16</v>
      </c>
      <c r="E506" s="7">
        <v>619.44000000000005</v>
      </c>
      <c r="H506">
        <v>55031</v>
      </c>
      <c r="I506" t="s">
        <v>861</v>
      </c>
      <c r="J506" t="s">
        <v>1548</v>
      </c>
      <c r="K506" t="s">
        <v>3</v>
      </c>
      <c r="L506" s="2">
        <v>43191</v>
      </c>
      <c r="M506" s="2">
        <f>DHMXX[[#This Row],[INV DOC DATE]]+30</f>
        <v>43221</v>
      </c>
      <c r="N506" s="2">
        <v>43221</v>
      </c>
      <c r="O506" s="7">
        <v>619.44000000000005</v>
      </c>
      <c r="P506" s="2">
        <v>43229</v>
      </c>
      <c r="Q506" s="7">
        <f>$E506-$O506</f>
        <v>0</v>
      </c>
      <c r="R506" s="7" t="str">
        <f ca="1">IF(TODAY() - DHMXX[INV DUE DATE]&lt;30, "Less than 30 days",IF(TODAY()-DHMXX[INV DUE DATE]&lt;60,"30-60 days","More than 60 days"))</f>
        <v>More than 60 days</v>
      </c>
      <c r="S506" t="s">
        <v>1550</v>
      </c>
      <c r="T506" s="43" t="s">
        <v>2229</v>
      </c>
      <c r="U506" t="s">
        <v>3699</v>
      </c>
    </row>
    <row r="507" spans="1:21" x14ac:dyDescent="0.3">
      <c r="A507" t="s">
        <v>1549</v>
      </c>
      <c r="B507" t="s">
        <v>30</v>
      </c>
      <c r="C507" t="s">
        <v>51</v>
      </c>
      <c r="D507" s="15">
        <v>16</v>
      </c>
      <c r="E507" s="7">
        <v>1238.8800000000001</v>
      </c>
      <c r="H507">
        <v>55245</v>
      </c>
      <c r="I507" t="s">
        <v>861</v>
      </c>
      <c r="J507" t="s">
        <v>1548</v>
      </c>
      <c r="K507" t="s">
        <v>3</v>
      </c>
      <c r="L507" s="2">
        <v>43191</v>
      </c>
      <c r="M507" s="2">
        <f>DHMXX[[#This Row],[INV DOC DATE]]+30</f>
        <v>43221</v>
      </c>
      <c r="N507" s="2">
        <v>43221</v>
      </c>
      <c r="O507" s="7">
        <v>1238.8800000000001</v>
      </c>
      <c r="P507" s="2">
        <v>43229</v>
      </c>
      <c r="Q507" s="7">
        <f>$E507-$O507</f>
        <v>0</v>
      </c>
      <c r="R507" s="7" t="str">
        <f ca="1">IF(TODAY() - DHMXX[INV DUE DATE]&lt;30, "Less than 30 days",IF(TODAY()-DHMXX[INV DUE DATE]&lt;60,"30-60 days","More than 60 days"))</f>
        <v>More than 60 days</v>
      </c>
      <c r="S507" t="s">
        <v>1550</v>
      </c>
      <c r="T507" s="43" t="s">
        <v>2229</v>
      </c>
      <c r="U507" t="s">
        <v>3699</v>
      </c>
    </row>
    <row r="508" spans="1:21" x14ac:dyDescent="0.3">
      <c r="A508" t="s">
        <v>1549</v>
      </c>
      <c r="B508" t="s">
        <v>30</v>
      </c>
      <c r="C508" t="s">
        <v>52</v>
      </c>
      <c r="D508" s="15">
        <v>16</v>
      </c>
      <c r="E508" s="7">
        <v>206.48</v>
      </c>
      <c r="H508">
        <v>55256</v>
      </c>
      <c r="I508" t="s">
        <v>353</v>
      </c>
      <c r="J508" t="s">
        <v>1548</v>
      </c>
      <c r="K508" t="s">
        <v>3</v>
      </c>
      <c r="L508" s="2">
        <v>43191</v>
      </c>
      <c r="M508" s="2">
        <f>DHMXX[[#This Row],[INV DOC DATE]]+30</f>
        <v>43221</v>
      </c>
      <c r="N508" s="2">
        <v>43221</v>
      </c>
      <c r="O508" s="7">
        <v>206.48</v>
      </c>
      <c r="P508" s="2">
        <v>43229</v>
      </c>
      <c r="Q508" s="7">
        <f>$E508-$O508</f>
        <v>0</v>
      </c>
      <c r="R508" s="7" t="str">
        <f ca="1">IF(TODAY() - DHMXX[INV DUE DATE]&lt;30, "Less than 30 days",IF(TODAY()-DHMXX[INV DUE DATE]&lt;60,"30-60 days","More than 60 days"))</f>
        <v>More than 60 days</v>
      </c>
      <c r="S508" t="s">
        <v>1550</v>
      </c>
      <c r="T508" s="43" t="s">
        <v>2229</v>
      </c>
      <c r="U508" t="s">
        <v>3699</v>
      </c>
    </row>
    <row r="509" spans="1:21" x14ac:dyDescent="0.3">
      <c r="A509" t="s">
        <v>1549</v>
      </c>
      <c r="B509" t="s">
        <v>30</v>
      </c>
      <c r="C509" t="s">
        <v>53</v>
      </c>
      <c r="D509" s="15">
        <v>16</v>
      </c>
      <c r="E509" s="7">
        <v>206.48</v>
      </c>
      <c r="H509">
        <v>55314</v>
      </c>
      <c r="I509" t="s">
        <v>862</v>
      </c>
      <c r="J509" t="s">
        <v>1548</v>
      </c>
      <c r="K509" t="s">
        <v>3</v>
      </c>
      <c r="L509" s="2">
        <v>43191</v>
      </c>
      <c r="M509" s="2">
        <f>DHMXX[[#This Row],[INV DOC DATE]]+30</f>
        <v>43221</v>
      </c>
      <c r="N509" s="2">
        <v>43221</v>
      </c>
      <c r="O509" s="7">
        <v>206.48</v>
      </c>
      <c r="P509" s="2">
        <v>43229</v>
      </c>
      <c r="Q509" s="7">
        <f>$E509-$O509</f>
        <v>0</v>
      </c>
      <c r="R509" s="7" t="str">
        <f ca="1">IF(TODAY() - DHMXX[INV DUE DATE]&lt;30, "Less than 30 days",IF(TODAY()-DHMXX[INV DUE DATE]&lt;60,"30-60 days","More than 60 days"))</f>
        <v>More than 60 days</v>
      </c>
      <c r="S509" t="s">
        <v>1550</v>
      </c>
      <c r="T509" s="43" t="s">
        <v>2229</v>
      </c>
      <c r="U509" t="s">
        <v>3699</v>
      </c>
    </row>
    <row r="510" spans="1:21" x14ac:dyDescent="0.3">
      <c r="A510" t="s">
        <v>1549</v>
      </c>
      <c r="B510" t="s">
        <v>30</v>
      </c>
      <c r="C510" t="s">
        <v>54</v>
      </c>
      <c r="D510" s="15">
        <v>16</v>
      </c>
      <c r="E510" s="7">
        <v>825.92</v>
      </c>
      <c r="H510">
        <v>55322</v>
      </c>
      <c r="I510" t="s">
        <v>862</v>
      </c>
      <c r="J510" t="s">
        <v>1548</v>
      </c>
      <c r="K510" t="s">
        <v>3</v>
      </c>
      <c r="L510" s="2">
        <v>43191</v>
      </c>
      <c r="M510" s="2">
        <f>DHMXX[[#This Row],[INV DOC DATE]]+30</f>
        <v>43221</v>
      </c>
      <c r="N510" s="2">
        <v>43221</v>
      </c>
      <c r="O510" s="7">
        <v>825.92</v>
      </c>
      <c r="P510" s="2">
        <v>43229</v>
      </c>
      <c r="Q510" s="7">
        <f>$E510-$O510</f>
        <v>0</v>
      </c>
      <c r="R510" s="7" t="str">
        <f ca="1">IF(TODAY() - DHMXX[INV DUE DATE]&lt;30, "Less than 30 days",IF(TODAY()-DHMXX[INV DUE DATE]&lt;60,"30-60 days","More than 60 days"))</f>
        <v>More than 60 days</v>
      </c>
      <c r="S510" t="s">
        <v>1550</v>
      </c>
      <c r="T510" s="43" t="s">
        <v>2229</v>
      </c>
      <c r="U510" t="s">
        <v>3699</v>
      </c>
    </row>
    <row r="511" spans="1:21" x14ac:dyDescent="0.3">
      <c r="A511" t="s">
        <v>1549</v>
      </c>
      <c r="B511" t="s">
        <v>30</v>
      </c>
      <c r="C511" t="s">
        <v>55</v>
      </c>
      <c r="D511" s="15">
        <v>16</v>
      </c>
      <c r="E511" s="7">
        <v>619.44000000000005</v>
      </c>
      <c r="H511">
        <v>55327</v>
      </c>
      <c r="I511" t="s">
        <v>862</v>
      </c>
      <c r="J511" t="s">
        <v>1548</v>
      </c>
      <c r="K511" t="s">
        <v>3</v>
      </c>
      <c r="L511" s="2">
        <v>43191</v>
      </c>
      <c r="M511" s="2">
        <f>DHMXX[[#This Row],[INV DOC DATE]]+30</f>
        <v>43221</v>
      </c>
      <c r="N511" s="2">
        <v>43221</v>
      </c>
      <c r="O511" s="7">
        <v>619.44000000000005</v>
      </c>
      <c r="P511" s="2">
        <v>43229</v>
      </c>
      <c r="Q511" s="7">
        <f>$E511-$O511</f>
        <v>0</v>
      </c>
      <c r="R511" s="7" t="str">
        <f ca="1">IF(TODAY() - DHMXX[INV DUE DATE]&lt;30, "Less than 30 days",IF(TODAY()-DHMXX[INV DUE DATE]&lt;60,"30-60 days","More than 60 days"))</f>
        <v>More than 60 days</v>
      </c>
      <c r="S511" t="s">
        <v>1550</v>
      </c>
      <c r="T511" s="43" t="s">
        <v>2229</v>
      </c>
      <c r="U511" t="s">
        <v>3699</v>
      </c>
    </row>
    <row r="512" spans="1:21" x14ac:dyDescent="0.3">
      <c r="A512" t="s">
        <v>1549</v>
      </c>
      <c r="B512" t="s">
        <v>30</v>
      </c>
      <c r="C512" t="s">
        <v>56</v>
      </c>
      <c r="D512" s="15">
        <v>16</v>
      </c>
      <c r="E512" s="7">
        <v>412.96</v>
      </c>
      <c r="H512">
        <v>56656</v>
      </c>
      <c r="I512" t="s">
        <v>861</v>
      </c>
      <c r="J512" t="s">
        <v>1548</v>
      </c>
      <c r="K512" t="s">
        <v>3</v>
      </c>
      <c r="L512" s="2">
        <v>43191</v>
      </c>
      <c r="M512" s="2">
        <f>DHMXX[[#This Row],[INV DOC DATE]]+30</f>
        <v>43221</v>
      </c>
      <c r="N512" s="2">
        <v>43221</v>
      </c>
      <c r="O512" s="7">
        <v>412.96</v>
      </c>
      <c r="P512" s="2">
        <v>43229</v>
      </c>
      <c r="Q512" s="7">
        <f>$E512-$O512</f>
        <v>0</v>
      </c>
      <c r="R512" s="7" t="str">
        <f ca="1">IF(TODAY() - DHMXX[INV DUE DATE]&lt;30, "Less than 30 days",IF(TODAY()-DHMXX[INV DUE DATE]&lt;60,"30-60 days","More than 60 days"))</f>
        <v>More than 60 days</v>
      </c>
      <c r="S512" t="s">
        <v>1550</v>
      </c>
      <c r="T512" s="43" t="s">
        <v>2229</v>
      </c>
      <c r="U512" t="s">
        <v>3699</v>
      </c>
    </row>
    <row r="513" spans="1:21" x14ac:dyDescent="0.3">
      <c r="A513" t="s">
        <v>1549</v>
      </c>
      <c r="B513" t="s">
        <v>30</v>
      </c>
      <c r="C513" t="s">
        <v>57</v>
      </c>
      <c r="D513" s="15">
        <v>16</v>
      </c>
      <c r="E513" s="7">
        <v>206.48</v>
      </c>
      <c r="H513">
        <v>56660</v>
      </c>
      <c r="I513" t="s">
        <v>861</v>
      </c>
      <c r="J513" t="s">
        <v>1548</v>
      </c>
      <c r="K513" t="s">
        <v>3</v>
      </c>
      <c r="L513" s="2">
        <v>43191</v>
      </c>
      <c r="M513" s="2">
        <f>DHMXX[[#This Row],[INV DOC DATE]]+30</f>
        <v>43221</v>
      </c>
      <c r="N513" s="2">
        <v>43221</v>
      </c>
      <c r="O513" s="7">
        <v>206.48</v>
      </c>
      <c r="P513" s="2">
        <v>43229</v>
      </c>
      <c r="Q513" s="7">
        <f>$E513-$O513</f>
        <v>0</v>
      </c>
      <c r="R513" s="7" t="str">
        <f ca="1">IF(TODAY() - DHMXX[INV DUE DATE]&lt;30, "Less than 30 days",IF(TODAY()-DHMXX[INV DUE DATE]&lt;60,"30-60 days","More than 60 days"))</f>
        <v>More than 60 days</v>
      </c>
      <c r="S513" t="s">
        <v>1550</v>
      </c>
      <c r="T513" s="43" t="s">
        <v>2229</v>
      </c>
      <c r="U513" t="s">
        <v>3699</v>
      </c>
    </row>
    <row r="514" spans="1:21" x14ac:dyDescent="0.3">
      <c r="A514" t="s">
        <v>1549</v>
      </c>
      <c r="B514" t="s">
        <v>30</v>
      </c>
      <c r="C514" t="s">
        <v>58</v>
      </c>
      <c r="D514" s="15">
        <v>16</v>
      </c>
      <c r="E514" s="7">
        <v>206.48</v>
      </c>
      <c r="H514">
        <v>82223</v>
      </c>
      <c r="I514" t="s">
        <v>858</v>
      </c>
      <c r="J514" t="s">
        <v>1548</v>
      </c>
      <c r="K514" t="s">
        <v>3</v>
      </c>
      <c r="L514" s="2">
        <v>43191</v>
      </c>
      <c r="M514" s="2">
        <f>DHMXX[[#This Row],[INV DOC DATE]]+30</f>
        <v>43221</v>
      </c>
      <c r="N514" s="2">
        <v>43221</v>
      </c>
      <c r="O514" s="7">
        <v>206.48</v>
      </c>
      <c r="P514" s="2">
        <v>43229</v>
      </c>
      <c r="Q514" s="7">
        <f>$E514-$O514</f>
        <v>0</v>
      </c>
      <c r="R514" s="7" t="str">
        <f ca="1">IF(TODAY() - DHMXX[INV DUE DATE]&lt;30, "Less than 30 days",IF(TODAY()-DHMXX[INV DUE DATE]&lt;60,"30-60 days","More than 60 days"))</f>
        <v>More than 60 days</v>
      </c>
      <c r="S514" t="s">
        <v>1550</v>
      </c>
      <c r="T514" s="43" t="s">
        <v>2229</v>
      </c>
      <c r="U514" t="s">
        <v>3699</v>
      </c>
    </row>
    <row r="515" spans="1:21" x14ac:dyDescent="0.3">
      <c r="A515" t="s">
        <v>1549</v>
      </c>
      <c r="B515" t="s">
        <v>30</v>
      </c>
      <c r="C515" t="s">
        <v>59</v>
      </c>
      <c r="D515" s="15">
        <v>16</v>
      </c>
      <c r="E515" s="7">
        <v>412.96</v>
      </c>
      <c r="H515">
        <v>82227</v>
      </c>
      <c r="I515" t="s">
        <v>858</v>
      </c>
      <c r="J515" t="s">
        <v>1548</v>
      </c>
      <c r="K515" t="s">
        <v>3</v>
      </c>
      <c r="L515" s="2">
        <v>43191</v>
      </c>
      <c r="M515" s="2">
        <f>DHMXX[[#This Row],[INV DOC DATE]]+30</f>
        <v>43221</v>
      </c>
      <c r="N515" s="2">
        <v>43221</v>
      </c>
      <c r="O515" s="7">
        <v>412.96</v>
      </c>
      <c r="P515" s="2">
        <v>43229</v>
      </c>
      <c r="Q515" s="7">
        <f>$E515-$O515</f>
        <v>0</v>
      </c>
      <c r="R515" s="7" t="str">
        <f ca="1">IF(TODAY() - DHMXX[INV DUE DATE]&lt;30, "Less than 30 days",IF(TODAY()-DHMXX[INV DUE DATE]&lt;60,"30-60 days","More than 60 days"))</f>
        <v>More than 60 days</v>
      </c>
      <c r="S515" t="s">
        <v>1550</v>
      </c>
      <c r="T515" s="43" t="s">
        <v>2229</v>
      </c>
      <c r="U515" t="s">
        <v>3699</v>
      </c>
    </row>
    <row r="516" spans="1:21" x14ac:dyDescent="0.3">
      <c r="A516" t="s">
        <v>1549</v>
      </c>
      <c r="B516" t="s">
        <v>30</v>
      </c>
      <c r="C516" t="s">
        <v>60</v>
      </c>
      <c r="D516" s="15">
        <v>16</v>
      </c>
      <c r="E516" s="7">
        <v>619.44000000000005</v>
      </c>
      <c r="H516">
        <v>115325</v>
      </c>
      <c r="I516" t="s">
        <v>860</v>
      </c>
      <c r="J516" t="s">
        <v>1548</v>
      </c>
      <c r="K516" t="s">
        <v>3</v>
      </c>
      <c r="L516" s="2">
        <v>43191</v>
      </c>
      <c r="M516" s="2">
        <f>DHMXX[[#This Row],[INV DOC DATE]]+30</f>
        <v>43221</v>
      </c>
      <c r="N516" s="2">
        <v>43221</v>
      </c>
      <c r="O516" s="7">
        <v>619.44000000000005</v>
      </c>
      <c r="P516" s="2">
        <v>43229</v>
      </c>
      <c r="Q516" s="7">
        <f>$E516-$O516</f>
        <v>0</v>
      </c>
      <c r="R516" s="7" t="str">
        <f ca="1">IF(TODAY() - DHMXX[INV DUE DATE]&lt;30, "Less than 30 days",IF(TODAY()-DHMXX[INV DUE DATE]&lt;60,"30-60 days","More than 60 days"))</f>
        <v>More than 60 days</v>
      </c>
      <c r="S516" t="s">
        <v>1550</v>
      </c>
      <c r="T516" s="43" t="s">
        <v>2229</v>
      </c>
      <c r="U516" t="s">
        <v>3699</v>
      </c>
    </row>
    <row r="517" spans="1:21" x14ac:dyDescent="0.3">
      <c r="A517" t="s">
        <v>833</v>
      </c>
      <c r="B517" t="s">
        <v>30</v>
      </c>
      <c r="C517" t="s">
        <v>1368</v>
      </c>
      <c r="D517" s="15">
        <v>1</v>
      </c>
      <c r="E517" s="7">
        <v>480</v>
      </c>
      <c r="H517">
        <v>77572</v>
      </c>
      <c r="I517" t="s">
        <v>832</v>
      </c>
      <c r="J517" t="s">
        <v>1140</v>
      </c>
      <c r="K517" t="s">
        <v>3</v>
      </c>
      <c r="L517" s="2">
        <v>43191</v>
      </c>
      <c r="M517" s="2">
        <f>DHMXX[[#This Row],[INV DOC DATE]]+30</f>
        <v>43221</v>
      </c>
      <c r="N517" s="2">
        <v>43221</v>
      </c>
      <c r="O517" s="7">
        <v>480</v>
      </c>
      <c r="P517" s="2">
        <v>43229</v>
      </c>
      <c r="Q517" s="7">
        <f>$E517-$O517</f>
        <v>0</v>
      </c>
      <c r="R517" s="7" t="str">
        <f ca="1">IF(TODAY() - DHMXX[INV DUE DATE]&lt;30, "Less than 30 days",IF(TODAY()-DHMXX[INV DUE DATE]&lt;60,"30-60 days","More than 60 days"))</f>
        <v>More than 60 days</v>
      </c>
      <c r="S517" t="s">
        <v>1550</v>
      </c>
      <c r="T517" s="43" t="s">
        <v>2229</v>
      </c>
      <c r="U517" t="s">
        <v>3699</v>
      </c>
    </row>
    <row r="518" spans="1:21" x14ac:dyDescent="0.3">
      <c r="A518" t="s">
        <v>833</v>
      </c>
      <c r="B518" t="s">
        <v>30</v>
      </c>
      <c r="C518" t="s">
        <v>1542</v>
      </c>
      <c r="D518" s="15">
        <v>2000</v>
      </c>
      <c r="E518" s="7">
        <v>480</v>
      </c>
      <c r="H518">
        <v>132622</v>
      </c>
      <c r="I518" t="s">
        <v>832</v>
      </c>
      <c r="J518" t="s">
        <v>1315</v>
      </c>
      <c r="K518" t="s">
        <v>3</v>
      </c>
      <c r="L518" s="2">
        <v>43191</v>
      </c>
      <c r="M518" s="2">
        <f>DHMXX[[#This Row],[INV DOC DATE]]+30</f>
        <v>43221</v>
      </c>
      <c r="N518" s="2">
        <v>43221</v>
      </c>
      <c r="O518" s="7">
        <v>480</v>
      </c>
      <c r="P518" s="2">
        <v>43229</v>
      </c>
      <c r="Q518" s="7">
        <f>$E518-$O518</f>
        <v>0</v>
      </c>
      <c r="R518" s="7" t="str">
        <f ca="1">IF(TODAY() - DHMXX[INV DUE DATE]&lt;30, "Less than 30 days",IF(TODAY()-DHMXX[INV DUE DATE]&lt;60,"30-60 days","More than 60 days"))</f>
        <v>More than 60 days</v>
      </c>
      <c r="S518" t="s">
        <v>1550</v>
      </c>
      <c r="T518" s="43" t="s">
        <v>2229</v>
      </c>
      <c r="U518" t="s">
        <v>3699</v>
      </c>
    </row>
    <row r="519" spans="1:21" x14ac:dyDescent="0.3">
      <c r="A519" t="s">
        <v>833</v>
      </c>
      <c r="B519" t="s">
        <v>30</v>
      </c>
      <c r="C519" t="s">
        <v>1543</v>
      </c>
      <c r="D519" s="15">
        <v>2000</v>
      </c>
      <c r="E519" s="7">
        <v>270</v>
      </c>
      <c r="H519">
        <v>132622</v>
      </c>
      <c r="I519" t="s">
        <v>832</v>
      </c>
      <c r="J519" t="s">
        <v>1316</v>
      </c>
      <c r="K519" t="s">
        <v>3</v>
      </c>
      <c r="L519" s="2">
        <v>43191</v>
      </c>
      <c r="M519" s="2">
        <f>DHMXX[[#This Row],[INV DOC DATE]]+30</f>
        <v>43221</v>
      </c>
      <c r="N519" s="2">
        <v>43221</v>
      </c>
      <c r="O519" s="7">
        <v>270</v>
      </c>
      <c r="P519" s="2">
        <v>43229</v>
      </c>
      <c r="Q519" s="7">
        <f>$E519-$O519</f>
        <v>0</v>
      </c>
      <c r="R519" s="7" t="str">
        <f ca="1">IF(TODAY() - DHMXX[INV DUE DATE]&lt;30, "Less than 30 days",IF(TODAY()-DHMXX[INV DUE DATE]&lt;60,"30-60 days","More than 60 days"))</f>
        <v>More than 60 days</v>
      </c>
      <c r="S519" t="s">
        <v>1550</v>
      </c>
      <c r="T519" s="43" t="s">
        <v>2229</v>
      </c>
      <c r="U519" t="s">
        <v>3699</v>
      </c>
    </row>
    <row r="520" spans="1:21" x14ac:dyDescent="0.3">
      <c r="A520" t="s">
        <v>833</v>
      </c>
      <c r="B520" t="s">
        <v>834</v>
      </c>
      <c r="C520" t="s">
        <v>6</v>
      </c>
      <c r="D520" s="15">
        <v>5001</v>
      </c>
      <c r="E520" s="7">
        <v>270</v>
      </c>
      <c r="H520">
        <v>117423</v>
      </c>
      <c r="I520" t="s">
        <v>832</v>
      </c>
      <c r="J520" t="s">
        <v>828</v>
      </c>
      <c r="K520" t="s">
        <v>3</v>
      </c>
      <c r="L520" s="2">
        <v>43191</v>
      </c>
      <c r="M520" s="2">
        <f>DHMXX[[#This Row],[INV DOC DATE]]+30</f>
        <v>43221</v>
      </c>
      <c r="N520" s="2">
        <v>43221</v>
      </c>
      <c r="O520" s="7">
        <v>270</v>
      </c>
      <c r="P520" s="2">
        <v>43231</v>
      </c>
      <c r="Q520" s="7">
        <f>$E520-$O520</f>
        <v>0</v>
      </c>
      <c r="R520" s="7" t="str">
        <f ca="1">IF(TODAY() - DHMXX[INV DUE DATE]&lt;30, "Less than 30 days",IF(TODAY()-DHMXX[INV DUE DATE]&lt;60,"30-60 days","More than 60 days"))</f>
        <v>More than 60 days</v>
      </c>
      <c r="S520" t="s">
        <v>1550</v>
      </c>
      <c r="T520" s="43" t="s">
        <v>2229</v>
      </c>
      <c r="U520" t="s">
        <v>3699</v>
      </c>
    </row>
    <row r="521" spans="1:21" x14ac:dyDescent="0.3">
      <c r="A521" t="s">
        <v>833</v>
      </c>
      <c r="B521" t="s">
        <v>834</v>
      </c>
      <c r="C521" t="s">
        <v>7</v>
      </c>
      <c r="D521" s="15">
        <v>5001</v>
      </c>
      <c r="E521" s="7">
        <v>270</v>
      </c>
      <c r="H521">
        <v>117423</v>
      </c>
      <c r="I521" t="s">
        <v>832</v>
      </c>
      <c r="J521" t="s">
        <v>829</v>
      </c>
      <c r="K521" t="s">
        <v>3</v>
      </c>
      <c r="L521" s="2">
        <v>43191</v>
      </c>
      <c r="M521" s="2">
        <f>DHMXX[[#This Row],[INV DOC DATE]]+30</f>
        <v>43221</v>
      </c>
      <c r="N521" s="2">
        <v>43221</v>
      </c>
      <c r="O521" s="7">
        <v>270</v>
      </c>
      <c r="P521" s="2">
        <v>43231</v>
      </c>
      <c r="Q521" s="7">
        <f>$E521-$O521</f>
        <v>0</v>
      </c>
      <c r="R521" s="7" t="str">
        <f ca="1">IF(TODAY() - DHMXX[INV DUE DATE]&lt;30, "Less than 30 days",IF(TODAY()-DHMXX[INV DUE DATE]&lt;60,"30-60 days","More than 60 days"))</f>
        <v>More than 60 days</v>
      </c>
      <c r="S521" t="s">
        <v>1550</v>
      </c>
      <c r="T521" s="43" t="s">
        <v>2229</v>
      </c>
      <c r="U521" t="s">
        <v>3699</v>
      </c>
    </row>
    <row r="522" spans="1:21" x14ac:dyDescent="0.3">
      <c r="A522" t="s">
        <v>833</v>
      </c>
      <c r="B522" t="s">
        <v>834</v>
      </c>
      <c r="C522" t="s">
        <v>8</v>
      </c>
      <c r="D522" s="15">
        <v>5001</v>
      </c>
      <c r="E522" s="7">
        <v>480</v>
      </c>
      <c r="H522">
        <v>117423</v>
      </c>
      <c r="I522" t="s">
        <v>832</v>
      </c>
      <c r="J522" t="s">
        <v>830</v>
      </c>
      <c r="K522" t="s">
        <v>3</v>
      </c>
      <c r="L522" s="2">
        <v>43191</v>
      </c>
      <c r="M522" s="2">
        <f>DHMXX[[#This Row],[INV DOC DATE]]+30</f>
        <v>43221</v>
      </c>
      <c r="N522" s="2">
        <v>43221</v>
      </c>
      <c r="O522" s="7">
        <v>480</v>
      </c>
      <c r="P522" s="2">
        <v>43231</v>
      </c>
      <c r="Q522" s="7">
        <f>$E522-$O522</f>
        <v>0</v>
      </c>
      <c r="R522" s="7" t="str">
        <f ca="1">IF(TODAY() - DHMXX[INV DUE DATE]&lt;30, "Less than 30 days",IF(TODAY()-DHMXX[INV DUE DATE]&lt;60,"30-60 days","More than 60 days"))</f>
        <v>More than 60 days</v>
      </c>
      <c r="S522" t="s">
        <v>1550</v>
      </c>
      <c r="T522" s="43" t="s">
        <v>2229</v>
      </c>
      <c r="U522" t="s">
        <v>3699</v>
      </c>
    </row>
    <row r="523" spans="1:21" x14ac:dyDescent="0.3">
      <c r="A523" t="s">
        <v>833</v>
      </c>
      <c r="B523" t="s">
        <v>834</v>
      </c>
      <c r="C523" t="s">
        <v>9</v>
      </c>
      <c r="D523" s="15">
        <v>5001</v>
      </c>
      <c r="E523" s="7">
        <v>480</v>
      </c>
      <c r="H523">
        <v>117423</v>
      </c>
      <c r="I523" t="s">
        <v>832</v>
      </c>
      <c r="J523" t="s">
        <v>831</v>
      </c>
      <c r="K523" t="s">
        <v>3</v>
      </c>
      <c r="L523" s="2">
        <v>43191</v>
      </c>
      <c r="M523" s="2">
        <f>DHMXX[[#This Row],[INV DOC DATE]]+30</f>
        <v>43221</v>
      </c>
      <c r="N523" s="2">
        <v>43221</v>
      </c>
      <c r="O523" s="7">
        <v>480</v>
      </c>
      <c r="P523" s="2">
        <v>43231</v>
      </c>
      <c r="Q523" s="7">
        <f>$E523-$O523</f>
        <v>0</v>
      </c>
      <c r="R523" s="7" t="str">
        <f ca="1">IF(TODAY() - DHMXX[INV DUE DATE]&lt;30, "Less than 30 days",IF(TODAY()-DHMXX[INV DUE DATE]&lt;60,"30-60 days","More than 60 days"))</f>
        <v>More than 60 days</v>
      </c>
      <c r="S523" t="s">
        <v>1550</v>
      </c>
      <c r="T523" s="43" t="s">
        <v>2229</v>
      </c>
      <c r="U523" t="s">
        <v>3699</v>
      </c>
    </row>
    <row r="524" spans="1:21" x14ac:dyDescent="0.3">
      <c r="A524" t="s">
        <v>2153</v>
      </c>
      <c r="B524" t="s">
        <v>30</v>
      </c>
      <c r="C524" t="s">
        <v>37</v>
      </c>
      <c r="D524" s="15">
        <v>1</v>
      </c>
      <c r="E524" s="9">
        <v>481.19</v>
      </c>
      <c r="K524" t="s">
        <v>3</v>
      </c>
      <c r="L524" s="2">
        <v>42856</v>
      </c>
      <c r="M524" s="2">
        <f>DHMXX[[#This Row],[INV DOC DATE]]+30</f>
        <v>42886</v>
      </c>
      <c r="N524" s="2"/>
      <c r="O524" s="56">
        <v>481.19</v>
      </c>
      <c r="P524" s="2">
        <v>43236</v>
      </c>
      <c r="Q524" s="7">
        <f>$E524-$O524</f>
        <v>0</v>
      </c>
      <c r="R524" s="7" t="str">
        <f ca="1">IF(TODAY() - DHMXX[INV DUE DATE]&lt;30, "Less than 30 days",IF(TODAY()-DHMXX[INV DUE DATE]&lt;60,"30-60 days","More than 60 days"))</f>
        <v>More than 60 days</v>
      </c>
      <c r="S524" t="s">
        <v>1550</v>
      </c>
      <c r="T524" s="43" t="s">
        <v>2229</v>
      </c>
      <c r="U524" t="s">
        <v>3699</v>
      </c>
    </row>
    <row r="525" spans="1:21" x14ac:dyDescent="0.3">
      <c r="A525" t="s">
        <v>2153</v>
      </c>
      <c r="B525" t="s">
        <v>30</v>
      </c>
      <c r="C525" t="s">
        <v>41</v>
      </c>
      <c r="D525" s="15">
        <v>1</v>
      </c>
      <c r="E525" s="9">
        <v>1684.16</v>
      </c>
      <c r="K525" t="s">
        <v>3</v>
      </c>
      <c r="L525" s="2">
        <v>42856</v>
      </c>
      <c r="M525" s="2">
        <f>DHMXX[[#This Row],[INV DOC DATE]]+30</f>
        <v>42886</v>
      </c>
      <c r="N525" s="2"/>
      <c r="O525" s="7">
        <v>1684.16</v>
      </c>
      <c r="P525" s="2">
        <v>43236</v>
      </c>
      <c r="Q525" s="7">
        <f>$E525-$O525</f>
        <v>0</v>
      </c>
      <c r="R525" s="7" t="str">
        <f ca="1">IF(TODAY() - DHMXX[INV DUE DATE]&lt;30, "Less than 30 days",IF(TODAY()-DHMXX[INV DUE DATE]&lt;60,"30-60 days","More than 60 days"))</f>
        <v>More than 60 days</v>
      </c>
      <c r="S525" t="s">
        <v>1550</v>
      </c>
      <c r="T525" s="43" t="s">
        <v>2229</v>
      </c>
      <c r="U525" t="s">
        <v>3699</v>
      </c>
    </row>
    <row r="526" spans="1:21" x14ac:dyDescent="0.3">
      <c r="A526" t="s">
        <v>2154</v>
      </c>
      <c r="B526" t="s">
        <v>30</v>
      </c>
      <c r="C526" t="s">
        <v>38</v>
      </c>
      <c r="D526" s="15">
        <v>1</v>
      </c>
      <c r="E526" s="7">
        <v>460.12</v>
      </c>
      <c r="K526" t="s">
        <v>3</v>
      </c>
      <c r="L526" s="2">
        <v>42887</v>
      </c>
      <c r="M526" s="2">
        <f>DHMXX[[#This Row],[INV DOC DATE]]+30</f>
        <v>42917</v>
      </c>
      <c r="N526" s="2"/>
      <c r="O526" s="7">
        <v>460.12</v>
      </c>
      <c r="P526" s="2">
        <v>43236</v>
      </c>
      <c r="Q526" s="7">
        <f>$E526-$O526</f>
        <v>0</v>
      </c>
      <c r="R526" s="7" t="str">
        <f ca="1">IF(TODAY() - DHMXX[INV DUE DATE]&lt;30, "Less than 30 days",IF(TODAY()-DHMXX[INV DUE DATE]&lt;60,"30-60 days","More than 60 days"))</f>
        <v>More than 60 days</v>
      </c>
      <c r="S526" t="s">
        <v>1550</v>
      </c>
      <c r="T526" s="43" t="s">
        <v>2229</v>
      </c>
      <c r="U526" t="s">
        <v>3699</v>
      </c>
    </row>
    <row r="527" spans="1:21" x14ac:dyDescent="0.3">
      <c r="A527" t="s">
        <v>2688</v>
      </c>
      <c r="B527" t="s">
        <v>32</v>
      </c>
      <c r="C527" t="s">
        <v>6</v>
      </c>
      <c r="D527" s="15">
        <v>1</v>
      </c>
      <c r="E527" s="7">
        <v>178.25</v>
      </c>
      <c r="F527">
        <v>31943760</v>
      </c>
      <c r="J527" t="s">
        <v>2689</v>
      </c>
      <c r="K527" t="s">
        <v>3</v>
      </c>
      <c r="L527" s="2">
        <v>43221</v>
      </c>
      <c r="M527" s="2">
        <f>DHMXX[[#This Row],[INV DOC DATE]]+30</f>
        <v>43251</v>
      </c>
      <c r="N527" s="2">
        <v>43251</v>
      </c>
      <c r="O527" s="7">
        <v>178.25</v>
      </c>
      <c r="P527" s="2">
        <v>43257</v>
      </c>
      <c r="Q527" s="7">
        <f>$E527-$O527</f>
        <v>0</v>
      </c>
      <c r="R527" s="7" t="str">
        <f ca="1">IF(TODAY() - DHMXX[INV DUE DATE]&lt;30, "Less than 30 days",IF(TODAY()-DHMXX[INV DUE DATE]&lt;60,"30-60 days","More than 60 days"))</f>
        <v>30-60 days</v>
      </c>
      <c r="S527" t="s">
        <v>1550</v>
      </c>
      <c r="T527" s="43" t="s">
        <v>2229</v>
      </c>
      <c r="U527" t="s">
        <v>3699</v>
      </c>
    </row>
    <row r="528" spans="1:21" x14ac:dyDescent="0.3">
      <c r="A528" t="s">
        <v>2688</v>
      </c>
      <c r="B528" t="s">
        <v>32</v>
      </c>
      <c r="C528" t="s">
        <v>7</v>
      </c>
      <c r="D528" s="15">
        <v>1</v>
      </c>
      <c r="E528" s="7">
        <v>178.25</v>
      </c>
      <c r="F528">
        <v>31970999</v>
      </c>
      <c r="J528" t="s">
        <v>2690</v>
      </c>
      <c r="K528" t="s">
        <v>3</v>
      </c>
      <c r="L528" s="2">
        <v>43221</v>
      </c>
      <c r="M528" s="2">
        <f>DHMXX[[#This Row],[INV DOC DATE]]+30</f>
        <v>43251</v>
      </c>
      <c r="N528" s="2">
        <v>43251</v>
      </c>
      <c r="O528" s="7">
        <v>178.25</v>
      </c>
      <c r="P528" s="2">
        <v>43257</v>
      </c>
      <c r="Q528" s="7">
        <f>$E528-$O528</f>
        <v>0</v>
      </c>
      <c r="R528" s="7" t="str">
        <f ca="1">IF(TODAY() - DHMXX[INV DUE DATE]&lt;30, "Less than 30 days",IF(TODAY()-DHMXX[INV DUE DATE]&lt;60,"30-60 days","More than 60 days"))</f>
        <v>30-60 days</v>
      </c>
      <c r="S528" t="s">
        <v>1550</v>
      </c>
      <c r="T528" s="43" t="s">
        <v>2229</v>
      </c>
      <c r="U528" t="s">
        <v>3699</v>
      </c>
    </row>
    <row r="529" spans="1:21" x14ac:dyDescent="0.3">
      <c r="A529" t="s">
        <v>2688</v>
      </c>
      <c r="B529" t="s">
        <v>32</v>
      </c>
      <c r="C529" t="s">
        <v>8</v>
      </c>
      <c r="D529" s="15">
        <v>1</v>
      </c>
      <c r="E529" s="7">
        <v>232.5</v>
      </c>
      <c r="F529">
        <v>32052188</v>
      </c>
      <c r="J529" t="s">
        <v>2691</v>
      </c>
      <c r="K529" t="s">
        <v>3</v>
      </c>
      <c r="L529" s="2">
        <v>43221</v>
      </c>
      <c r="M529" s="2">
        <f>DHMXX[[#This Row],[INV DOC DATE]]+30</f>
        <v>43251</v>
      </c>
      <c r="N529" s="2">
        <v>43251</v>
      </c>
      <c r="O529" s="7">
        <v>232.5</v>
      </c>
      <c r="P529" s="2">
        <v>43257</v>
      </c>
      <c r="Q529" s="7">
        <f>$E529-$O529</f>
        <v>0</v>
      </c>
      <c r="R529" s="7" t="str">
        <f ca="1">IF(TODAY() - DHMXX[INV DUE DATE]&lt;30, "Less than 30 days",IF(TODAY()-DHMXX[INV DUE DATE]&lt;60,"30-60 days","More than 60 days"))</f>
        <v>30-60 days</v>
      </c>
      <c r="S529" t="s">
        <v>1550</v>
      </c>
      <c r="T529" s="43" t="s">
        <v>2229</v>
      </c>
      <c r="U529" t="s">
        <v>3699</v>
      </c>
    </row>
    <row r="530" spans="1:21" x14ac:dyDescent="0.3">
      <c r="A530" t="s">
        <v>2688</v>
      </c>
      <c r="B530" t="s">
        <v>32</v>
      </c>
      <c r="C530" t="s">
        <v>9</v>
      </c>
      <c r="D530" s="15">
        <v>1</v>
      </c>
      <c r="E530" s="7">
        <v>178.25</v>
      </c>
      <c r="F530">
        <v>32052188</v>
      </c>
      <c r="J530" t="s">
        <v>2692</v>
      </c>
      <c r="K530" t="s">
        <v>3</v>
      </c>
      <c r="L530" s="2">
        <v>43221</v>
      </c>
      <c r="M530" s="2">
        <f>DHMXX[[#This Row],[INV DOC DATE]]+30</f>
        <v>43251</v>
      </c>
      <c r="N530" s="2">
        <v>43251</v>
      </c>
      <c r="O530" s="7">
        <v>178.25</v>
      </c>
      <c r="P530" s="2">
        <v>43257</v>
      </c>
      <c r="Q530" s="7">
        <f>$E530-$O530</f>
        <v>0</v>
      </c>
      <c r="R530" s="7" t="str">
        <f ca="1">IF(TODAY() - DHMXX[INV DUE DATE]&lt;30, "Less than 30 days",IF(TODAY()-DHMXX[INV DUE DATE]&lt;60,"30-60 days","More than 60 days"))</f>
        <v>30-60 days</v>
      </c>
      <c r="S530" t="s">
        <v>1550</v>
      </c>
      <c r="T530" s="43" t="s">
        <v>2229</v>
      </c>
      <c r="U530" t="s">
        <v>3699</v>
      </c>
    </row>
    <row r="531" spans="1:21" x14ac:dyDescent="0.3">
      <c r="A531" t="s">
        <v>2688</v>
      </c>
      <c r="B531" t="s">
        <v>32</v>
      </c>
      <c r="C531" t="s">
        <v>10</v>
      </c>
      <c r="D531" s="15">
        <v>1</v>
      </c>
      <c r="E531" s="7">
        <v>178.25</v>
      </c>
      <c r="F531">
        <v>32063850</v>
      </c>
      <c r="J531" t="s">
        <v>2693</v>
      </c>
      <c r="K531" t="s">
        <v>3</v>
      </c>
      <c r="L531" s="2">
        <v>43221</v>
      </c>
      <c r="M531" s="2">
        <f>DHMXX[[#This Row],[INV DOC DATE]]+30</f>
        <v>43251</v>
      </c>
      <c r="N531" s="2">
        <v>43251</v>
      </c>
      <c r="O531" s="7">
        <v>178.25</v>
      </c>
      <c r="P531" s="2">
        <v>43257</v>
      </c>
      <c r="Q531" s="7">
        <f>$E531-$O531</f>
        <v>0</v>
      </c>
      <c r="R531" s="7" t="str">
        <f ca="1">IF(TODAY() - DHMXX[INV DUE DATE]&lt;30, "Less than 30 days",IF(TODAY()-DHMXX[INV DUE DATE]&lt;60,"30-60 days","More than 60 days"))</f>
        <v>30-60 days</v>
      </c>
      <c r="S531" t="s">
        <v>1550</v>
      </c>
      <c r="T531" s="43" t="s">
        <v>2229</v>
      </c>
      <c r="U531" t="s">
        <v>3699</v>
      </c>
    </row>
    <row r="532" spans="1:21" x14ac:dyDescent="0.3">
      <c r="A532" t="s">
        <v>2688</v>
      </c>
      <c r="B532" t="s">
        <v>32</v>
      </c>
      <c r="C532" t="s">
        <v>11</v>
      </c>
      <c r="D532" s="15">
        <v>1</v>
      </c>
      <c r="E532" s="7">
        <v>178.25</v>
      </c>
      <c r="F532">
        <v>32063850</v>
      </c>
      <c r="J532" t="s">
        <v>2694</v>
      </c>
      <c r="K532" t="s">
        <v>3</v>
      </c>
      <c r="L532" s="2">
        <v>43221</v>
      </c>
      <c r="M532" s="2">
        <f>DHMXX[[#This Row],[INV DOC DATE]]+30</f>
        <v>43251</v>
      </c>
      <c r="N532" s="2">
        <v>43251</v>
      </c>
      <c r="O532" s="7">
        <v>178.25</v>
      </c>
      <c r="P532" s="2">
        <v>43257</v>
      </c>
      <c r="Q532" s="7">
        <f>$E532-$O532</f>
        <v>0</v>
      </c>
      <c r="R532" s="7" t="str">
        <f ca="1">IF(TODAY() - DHMXX[INV DUE DATE]&lt;30, "Less than 30 days",IF(TODAY()-DHMXX[INV DUE DATE]&lt;60,"30-60 days","More than 60 days"))</f>
        <v>30-60 days</v>
      </c>
      <c r="S532" t="s">
        <v>1550</v>
      </c>
      <c r="T532" s="43" t="s">
        <v>2229</v>
      </c>
      <c r="U532" t="s">
        <v>3699</v>
      </c>
    </row>
    <row r="533" spans="1:21" x14ac:dyDescent="0.3">
      <c r="A533" t="s">
        <v>2688</v>
      </c>
      <c r="B533" t="s">
        <v>32</v>
      </c>
      <c r="C533" t="s">
        <v>12</v>
      </c>
      <c r="D533" s="15">
        <v>1</v>
      </c>
      <c r="E533" s="7">
        <v>178.25</v>
      </c>
      <c r="F533">
        <v>32099344</v>
      </c>
      <c r="J533" t="s">
        <v>2695</v>
      </c>
      <c r="K533" t="s">
        <v>3</v>
      </c>
      <c r="L533" s="2">
        <v>43221</v>
      </c>
      <c r="M533" s="2">
        <f>DHMXX[[#This Row],[INV DOC DATE]]+30</f>
        <v>43251</v>
      </c>
      <c r="N533" s="2">
        <v>43251</v>
      </c>
      <c r="O533" s="7">
        <v>178.25</v>
      </c>
      <c r="P533" s="2">
        <v>43257</v>
      </c>
      <c r="Q533" s="7">
        <f>$E533-$O533</f>
        <v>0</v>
      </c>
      <c r="R533" s="7" t="str">
        <f ca="1">IF(TODAY() - DHMXX[INV DUE DATE]&lt;30, "Less than 30 days",IF(TODAY()-DHMXX[INV DUE DATE]&lt;60,"30-60 days","More than 60 days"))</f>
        <v>30-60 days</v>
      </c>
      <c r="S533" t="s">
        <v>1550</v>
      </c>
      <c r="T533" s="43" t="s">
        <v>2229</v>
      </c>
      <c r="U533" t="s">
        <v>3699</v>
      </c>
    </row>
    <row r="534" spans="1:21" x14ac:dyDescent="0.3">
      <c r="A534" t="s">
        <v>2688</v>
      </c>
      <c r="B534" t="s">
        <v>32</v>
      </c>
      <c r="C534" t="s">
        <v>13</v>
      </c>
      <c r="D534" s="15">
        <v>1</v>
      </c>
      <c r="E534" s="7">
        <v>178.25</v>
      </c>
      <c r="F534">
        <v>32099344</v>
      </c>
      <c r="J534" t="s">
        <v>2696</v>
      </c>
      <c r="K534" t="s">
        <v>3</v>
      </c>
      <c r="L534" s="2">
        <v>43221</v>
      </c>
      <c r="M534" s="2">
        <f>DHMXX[[#This Row],[INV DOC DATE]]+30</f>
        <v>43251</v>
      </c>
      <c r="N534" s="2">
        <v>43251</v>
      </c>
      <c r="O534" s="7">
        <v>178.25</v>
      </c>
      <c r="P534" s="2">
        <v>43257</v>
      </c>
      <c r="Q534" s="7">
        <f>$E534-$O534</f>
        <v>0</v>
      </c>
      <c r="R534" s="7" t="str">
        <f ca="1">IF(TODAY() - DHMXX[INV DUE DATE]&lt;30, "Less than 30 days",IF(TODAY()-DHMXX[INV DUE DATE]&lt;60,"30-60 days","More than 60 days"))</f>
        <v>30-60 days</v>
      </c>
      <c r="S534" t="s">
        <v>1550</v>
      </c>
      <c r="T534" s="43" t="s">
        <v>2229</v>
      </c>
      <c r="U534" t="s">
        <v>3699</v>
      </c>
    </row>
    <row r="535" spans="1:21" x14ac:dyDescent="0.3">
      <c r="A535" t="s">
        <v>2704</v>
      </c>
      <c r="B535" t="s">
        <v>30</v>
      </c>
      <c r="C535" t="s">
        <v>6</v>
      </c>
      <c r="D535" s="15">
        <v>1</v>
      </c>
      <c r="E535" s="7">
        <v>178.25</v>
      </c>
      <c r="H535">
        <v>1274</v>
      </c>
      <c r="I535" t="s">
        <v>350</v>
      </c>
      <c r="J535" t="s">
        <v>2705</v>
      </c>
      <c r="K535" t="s">
        <v>3</v>
      </c>
      <c r="L535" s="2">
        <v>43221</v>
      </c>
      <c r="M535" s="2">
        <f>DHMXX[[#This Row],[INV DOC DATE]]+30</f>
        <v>43251</v>
      </c>
      <c r="N535" s="2">
        <v>43251</v>
      </c>
      <c r="O535" s="7">
        <v>178.25</v>
      </c>
      <c r="P535" s="2">
        <v>43262</v>
      </c>
      <c r="Q535" s="7">
        <f>$E535-$O535</f>
        <v>0</v>
      </c>
      <c r="R535" s="7" t="str">
        <f ca="1">IF(TODAY() - DHMXX[INV DUE DATE]&lt;30, "Less than 30 days",IF(TODAY()-DHMXX[INV DUE DATE]&lt;60,"30-60 days","More than 60 days"))</f>
        <v>30-60 days</v>
      </c>
      <c r="S535" t="s">
        <v>1550</v>
      </c>
      <c r="T535" s="43" t="s">
        <v>2229</v>
      </c>
      <c r="U535" t="s">
        <v>3699</v>
      </c>
    </row>
    <row r="536" spans="1:21" x14ac:dyDescent="0.3">
      <c r="A536" t="s">
        <v>2704</v>
      </c>
      <c r="B536" t="s">
        <v>30</v>
      </c>
      <c r="C536" t="s">
        <v>7</v>
      </c>
      <c r="D536" s="15">
        <v>1</v>
      </c>
      <c r="E536" s="7">
        <v>178.25</v>
      </c>
      <c r="H536">
        <v>1274</v>
      </c>
      <c r="I536" t="s">
        <v>350</v>
      </c>
      <c r="J536" t="s">
        <v>2706</v>
      </c>
      <c r="K536" t="s">
        <v>3</v>
      </c>
      <c r="L536" s="2">
        <v>43221</v>
      </c>
      <c r="M536" s="2">
        <f>DHMXX[[#This Row],[INV DOC DATE]]+30</f>
        <v>43251</v>
      </c>
      <c r="N536" s="2">
        <v>43251</v>
      </c>
      <c r="O536" s="7">
        <v>178.25</v>
      </c>
      <c r="P536" s="2">
        <v>43262</v>
      </c>
      <c r="Q536" s="7">
        <f>$E536-$O536</f>
        <v>0</v>
      </c>
      <c r="R536" s="7" t="str">
        <f ca="1">IF(TODAY() - DHMXX[INV DUE DATE]&lt;30, "Less than 30 days",IF(TODAY()-DHMXX[INV DUE DATE]&lt;60,"30-60 days","More than 60 days"))</f>
        <v>30-60 days</v>
      </c>
      <c r="S536" t="s">
        <v>1550</v>
      </c>
      <c r="T536" s="43" t="s">
        <v>2229</v>
      </c>
      <c r="U536" t="s">
        <v>3699</v>
      </c>
    </row>
    <row r="537" spans="1:21" x14ac:dyDescent="0.3">
      <c r="A537" t="s">
        <v>2704</v>
      </c>
      <c r="B537" t="s">
        <v>30</v>
      </c>
      <c r="C537" t="s">
        <v>8</v>
      </c>
      <c r="D537" s="15">
        <v>1</v>
      </c>
      <c r="E537" s="7">
        <v>178.25</v>
      </c>
      <c r="H537">
        <v>1274</v>
      </c>
      <c r="I537" t="s">
        <v>350</v>
      </c>
      <c r="J537" t="s">
        <v>2707</v>
      </c>
      <c r="K537" t="s">
        <v>3</v>
      </c>
      <c r="L537" s="2">
        <v>43221</v>
      </c>
      <c r="M537" s="2">
        <f>DHMXX[[#This Row],[INV DOC DATE]]+30</f>
        <v>43251</v>
      </c>
      <c r="N537" s="2">
        <v>43251</v>
      </c>
      <c r="O537" s="7">
        <v>178.25</v>
      </c>
      <c r="P537" s="2">
        <v>43262</v>
      </c>
      <c r="Q537" s="7">
        <f>$E537-$O537</f>
        <v>0</v>
      </c>
      <c r="R537" s="7" t="str">
        <f ca="1">IF(TODAY() - DHMXX[INV DUE DATE]&lt;30, "Less than 30 days",IF(TODAY()-DHMXX[INV DUE DATE]&lt;60,"30-60 days","More than 60 days"))</f>
        <v>30-60 days</v>
      </c>
      <c r="S537" t="s">
        <v>1550</v>
      </c>
      <c r="T537" s="43" t="s">
        <v>2229</v>
      </c>
      <c r="U537" t="s">
        <v>3699</v>
      </c>
    </row>
    <row r="538" spans="1:21" x14ac:dyDescent="0.3">
      <c r="A538" t="s">
        <v>2704</v>
      </c>
      <c r="B538" t="s">
        <v>30</v>
      </c>
      <c r="C538" t="s">
        <v>9</v>
      </c>
      <c r="D538" s="15">
        <v>1</v>
      </c>
      <c r="E538" s="7">
        <v>178.25</v>
      </c>
      <c r="H538">
        <v>1274</v>
      </c>
      <c r="I538" t="s">
        <v>350</v>
      </c>
      <c r="J538" t="s">
        <v>2708</v>
      </c>
      <c r="K538" t="s">
        <v>3</v>
      </c>
      <c r="L538" s="2">
        <v>43221</v>
      </c>
      <c r="M538" s="2">
        <f>DHMXX[[#This Row],[INV DOC DATE]]+30</f>
        <v>43251</v>
      </c>
      <c r="N538" s="2">
        <v>43251</v>
      </c>
      <c r="O538" s="7">
        <v>178.25</v>
      </c>
      <c r="P538" s="2">
        <v>43262</v>
      </c>
      <c r="Q538" s="7">
        <f>$E538-$O538</f>
        <v>0</v>
      </c>
      <c r="R538" s="7" t="str">
        <f ca="1">IF(TODAY() - DHMXX[INV DUE DATE]&lt;30, "Less than 30 days",IF(TODAY()-DHMXX[INV DUE DATE]&lt;60,"30-60 days","More than 60 days"))</f>
        <v>30-60 days</v>
      </c>
      <c r="S538" t="s">
        <v>1550</v>
      </c>
      <c r="T538" s="43" t="s">
        <v>2229</v>
      </c>
      <c r="U538" t="s">
        <v>3699</v>
      </c>
    </row>
    <row r="539" spans="1:21" x14ac:dyDescent="0.3">
      <c r="A539" t="s">
        <v>2704</v>
      </c>
      <c r="B539" t="s">
        <v>30</v>
      </c>
      <c r="C539" t="s">
        <v>10</v>
      </c>
      <c r="D539" s="15">
        <v>1</v>
      </c>
      <c r="E539" s="7">
        <v>178.25</v>
      </c>
      <c r="H539">
        <v>1274</v>
      </c>
      <c r="I539" t="s">
        <v>350</v>
      </c>
      <c r="J539" t="s">
        <v>2709</v>
      </c>
      <c r="K539" t="s">
        <v>3</v>
      </c>
      <c r="L539" s="2">
        <v>43221</v>
      </c>
      <c r="M539" s="2">
        <f>DHMXX[[#This Row],[INV DOC DATE]]+30</f>
        <v>43251</v>
      </c>
      <c r="N539" s="2">
        <v>43251</v>
      </c>
      <c r="O539" s="7">
        <v>178.25</v>
      </c>
      <c r="P539" s="2">
        <v>43262</v>
      </c>
      <c r="Q539" s="7">
        <f>$E539-$O539</f>
        <v>0</v>
      </c>
      <c r="R539" s="7" t="str">
        <f ca="1">IF(TODAY() - DHMXX[INV DUE DATE]&lt;30, "Less than 30 days",IF(TODAY()-DHMXX[INV DUE DATE]&lt;60,"30-60 days","More than 60 days"))</f>
        <v>30-60 days</v>
      </c>
      <c r="S539" t="s">
        <v>1550</v>
      </c>
      <c r="T539" s="43" t="s">
        <v>2229</v>
      </c>
      <c r="U539" t="s">
        <v>3699</v>
      </c>
    </row>
    <row r="540" spans="1:21" x14ac:dyDescent="0.3">
      <c r="A540" t="s">
        <v>2704</v>
      </c>
      <c r="B540" t="s">
        <v>30</v>
      </c>
      <c r="C540" t="s">
        <v>11</v>
      </c>
      <c r="D540" s="15">
        <v>1</v>
      </c>
      <c r="E540" s="7">
        <v>178.25</v>
      </c>
      <c r="H540">
        <v>1274</v>
      </c>
      <c r="I540" t="s">
        <v>350</v>
      </c>
      <c r="J540" t="s">
        <v>2710</v>
      </c>
      <c r="K540" t="s">
        <v>3</v>
      </c>
      <c r="L540" s="2">
        <v>43221</v>
      </c>
      <c r="M540" s="2">
        <f>DHMXX[[#This Row],[INV DOC DATE]]+30</f>
        <v>43251</v>
      </c>
      <c r="N540" s="2">
        <v>43251</v>
      </c>
      <c r="O540" s="7">
        <v>178.25</v>
      </c>
      <c r="P540" s="2">
        <v>43262</v>
      </c>
      <c r="Q540" s="7">
        <f>$E540-$O540</f>
        <v>0</v>
      </c>
      <c r="R540" s="7" t="str">
        <f ca="1">IF(TODAY() - DHMXX[INV DUE DATE]&lt;30, "Less than 30 days",IF(TODAY()-DHMXX[INV DUE DATE]&lt;60,"30-60 days","More than 60 days"))</f>
        <v>30-60 days</v>
      </c>
      <c r="S540" t="s">
        <v>1550</v>
      </c>
      <c r="T540" s="43" t="s">
        <v>2229</v>
      </c>
      <c r="U540" t="s">
        <v>3699</v>
      </c>
    </row>
    <row r="541" spans="1:21" x14ac:dyDescent="0.3">
      <c r="A541" t="s">
        <v>2704</v>
      </c>
      <c r="B541" t="s">
        <v>30</v>
      </c>
      <c r="C541" t="s">
        <v>12</v>
      </c>
      <c r="D541" s="15">
        <v>1</v>
      </c>
      <c r="E541" s="7">
        <v>178.25</v>
      </c>
      <c r="H541">
        <v>1274</v>
      </c>
      <c r="I541" t="s">
        <v>350</v>
      </c>
      <c r="J541" t="s">
        <v>2711</v>
      </c>
      <c r="K541" t="s">
        <v>3</v>
      </c>
      <c r="L541" s="2">
        <v>43221</v>
      </c>
      <c r="M541" s="2">
        <f>DHMXX[[#This Row],[INV DOC DATE]]+30</f>
        <v>43251</v>
      </c>
      <c r="N541" s="2">
        <v>43251</v>
      </c>
      <c r="O541" s="7">
        <v>178.25</v>
      </c>
      <c r="P541" s="2">
        <v>43262</v>
      </c>
      <c r="Q541" s="7">
        <f>$E541-$O541</f>
        <v>0</v>
      </c>
      <c r="R541" s="7" t="str">
        <f ca="1">IF(TODAY() - DHMXX[INV DUE DATE]&lt;30, "Less than 30 days",IF(TODAY()-DHMXX[INV DUE DATE]&lt;60,"30-60 days","More than 60 days"))</f>
        <v>30-60 days</v>
      </c>
      <c r="S541" t="s">
        <v>1550</v>
      </c>
      <c r="T541" s="43" t="s">
        <v>2229</v>
      </c>
      <c r="U541" t="s">
        <v>3699</v>
      </c>
    </row>
    <row r="542" spans="1:21" x14ac:dyDescent="0.3">
      <c r="A542" t="s">
        <v>2704</v>
      </c>
      <c r="B542" t="s">
        <v>30</v>
      </c>
      <c r="C542" t="s">
        <v>13</v>
      </c>
      <c r="D542" s="15">
        <v>1</v>
      </c>
      <c r="E542" s="7">
        <v>178.25</v>
      </c>
      <c r="H542">
        <v>1274</v>
      </c>
      <c r="I542" t="s">
        <v>350</v>
      </c>
      <c r="J542" t="s">
        <v>2712</v>
      </c>
      <c r="K542" t="s">
        <v>3</v>
      </c>
      <c r="L542" s="2">
        <v>43221</v>
      </c>
      <c r="M542" s="2">
        <f>DHMXX[[#This Row],[INV DOC DATE]]+30</f>
        <v>43251</v>
      </c>
      <c r="N542" s="2">
        <v>43251</v>
      </c>
      <c r="O542" s="7">
        <v>178.25</v>
      </c>
      <c r="P542" s="2">
        <v>43262</v>
      </c>
      <c r="Q542" s="7">
        <f>$E542-$O542</f>
        <v>0</v>
      </c>
      <c r="R542" s="7" t="str">
        <f ca="1">IF(TODAY() - DHMXX[INV DUE DATE]&lt;30, "Less than 30 days",IF(TODAY()-DHMXX[INV DUE DATE]&lt;60,"30-60 days","More than 60 days"))</f>
        <v>30-60 days</v>
      </c>
      <c r="S542" t="s">
        <v>1550</v>
      </c>
      <c r="T542" s="43" t="s">
        <v>2229</v>
      </c>
      <c r="U542" t="s">
        <v>3699</v>
      </c>
    </row>
    <row r="543" spans="1:21" x14ac:dyDescent="0.3">
      <c r="A543" t="s">
        <v>2704</v>
      </c>
      <c r="B543" t="s">
        <v>30</v>
      </c>
      <c r="C543" t="s">
        <v>14</v>
      </c>
      <c r="D543" s="15">
        <v>1</v>
      </c>
      <c r="E543" s="7">
        <v>178.25</v>
      </c>
      <c r="H543">
        <v>1274</v>
      </c>
      <c r="I543" t="s">
        <v>350</v>
      </c>
      <c r="J543" t="s">
        <v>2713</v>
      </c>
      <c r="K543" t="s">
        <v>3</v>
      </c>
      <c r="L543" s="2">
        <v>43221</v>
      </c>
      <c r="M543" s="2">
        <f>DHMXX[[#This Row],[INV DOC DATE]]+30</f>
        <v>43251</v>
      </c>
      <c r="N543" s="2">
        <v>43251</v>
      </c>
      <c r="O543" s="7">
        <v>178.25</v>
      </c>
      <c r="P543" s="2">
        <v>43262</v>
      </c>
      <c r="Q543" s="7">
        <f>$E543-$O543</f>
        <v>0</v>
      </c>
      <c r="R543" s="7" t="str">
        <f ca="1">IF(TODAY() - DHMXX[INV DUE DATE]&lt;30, "Less than 30 days",IF(TODAY()-DHMXX[INV DUE DATE]&lt;60,"30-60 days","More than 60 days"))</f>
        <v>30-60 days</v>
      </c>
      <c r="S543" t="s">
        <v>1550</v>
      </c>
      <c r="T543" s="43" t="s">
        <v>2229</v>
      </c>
      <c r="U543" t="s">
        <v>3699</v>
      </c>
    </row>
    <row r="544" spans="1:21" x14ac:dyDescent="0.3">
      <c r="A544" t="s">
        <v>2704</v>
      </c>
      <c r="B544" t="s">
        <v>30</v>
      </c>
      <c r="C544" t="s">
        <v>15</v>
      </c>
      <c r="D544" s="15">
        <v>1</v>
      </c>
      <c r="E544" s="7">
        <v>178.25</v>
      </c>
      <c r="H544">
        <v>1274</v>
      </c>
      <c r="I544" t="s">
        <v>350</v>
      </c>
      <c r="J544" t="s">
        <v>2714</v>
      </c>
      <c r="K544" t="s">
        <v>3</v>
      </c>
      <c r="L544" s="2">
        <v>43221</v>
      </c>
      <c r="M544" s="2">
        <f>DHMXX[[#This Row],[INV DOC DATE]]+30</f>
        <v>43251</v>
      </c>
      <c r="N544" s="2">
        <v>43251</v>
      </c>
      <c r="O544" s="7">
        <v>178.25</v>
      </c>
      <c r="P544" s="2">
        <v>43262</v>
      </c>
      <c r="Q544" s="7">
        <f>$E544-$O544</f>
        <v>0</v>
      </c>
      <c r="R544" s="7" t="str">
        <f ca="1">IF(TODAY() - DHMXX[INV DUE DATE]&lt;30, "Less than 30 days",IF(TODAY()-DHMXX[INV DUE DATE]&lt;60,"30-60 days","More than 60 days"))</f>
        <v>30-60 days</v>
      </c>
      <c r="S544" t="s">
        <v>1550</v>
      </c>
      <c r="T544" s="43" t="s">
        <v>2229</v>
      </c>
      <c r="U544" t="s">
        <v>3699</v>
      </c>
    </row>
    <row r="545" spans="1:21" x14ac:dyDescent="0.3">
      <c r="A545" t="s">
        <v>2704</v>
      </c>
      <c r="B545" t="s">
        <v>30</v>
      </c>
      <c r="C545" t="s">
        <v>16</v>
      </c>
      <c r="D545" s="15">
        <v>1</v>
      </c>
      <c r="E545" s="7">
        <v>178.25</v>
      </c>
      <c r="H545">
        <v>1274</v>
      </c>
      <c r="I545" t="s">
        <v>350</v>
      </c>
      <c r="J545" t="s">
        <v>2715</v>
      </c>
      <c r="K545" t="s">
        <v>3</v>
      </c>
      <c r="L545" s="2">
        <v>43221</v>
      </c>
      <c r="M545" s="2">
        <f>DHMXX[[#This Row],[INV DOC DATE]]+30</f>
        <v>43251</v>
      </c>
      <c r="N545" s="2">
        <v>43251</v>
      </c>
      <c r="O545" s="7">
        <v>178.25</v>
      </c>
      <c r="P545" s="2">
        <v>43262</v>
      </c>
      <c r="Q545" s="7">
        <f>$E545-$O545</f>
        <v>0</v>
      </c>
      <c r="R545" s="7" t="str">
        <f ca="1">IF(TODAY() - DHMXX[INV DUE DATE]&lt;30, "Less than 30 days",IF(TODAY()-DHMXX[INV DUE DATE]&lt;60,"30-60 days","More than 60 days"))</f>
        <v>30-60 days</v>
      </c>
      <c r="S545" t="s">
        <v>1550</v>
      </c>
      <c r="T545" s="43" t="s">
        <v>2229</v>
      </c>
      <c r="U545" t="s">
        <v>3699</v>
      </c>
    </row>
    <row r="546" spans="1:21" x14ac:dyDescent="0.3">
      <c r="A546" t="s">
        <v>2704</v>
      </c>
      <c r="B546" t="s">
        <v>30</v>
      </c>
      <c r="C546" t="s">
        <v>17</v>
      </c>
      <c r="D546" s="15">
        <v>1</v>
      </c>
      <c r="E546" s="7">
        <v>178.25</v>
      </c>
      <c r="H546">
        <v>1274</v>
      </c>
      <c r="I546" t="s">
        <v>350</v>
      </c>
      <c r="J546" t="s">
        <v>2716</v>
      </c>
      <c r="K546" t="s">
        <v>3</v>
      </c>
      <c r="L546" s="2">
        <v>43221</v>
      </c>
      <c r="M546" s="2">
        <f>DHMXX[[#This Row],[INV DOC DATE]]+30</f>
        <v>43251</v>
      </c>
      <c r="N546" s="2">
        <v>43251</v>
      </c>
      <c r="O546" s="7">
        <v>178.25</v>
      </c>
      <c r="P546" s="2">
        <v>43262</v>
      </c>
      <c r="Q546" s="7">
        <f>$E546-$O546</f>
        <v>0</v>
      </c>
      <c r="R546" s="7" t="str">
        <f ca="1">IF(TODAY() - DHMXX[INV DUE DATE]&lt;30, "Less than 30 days",IF(TODAY()-DHMXX[INV DUE DATE]&lt;60,"30-60 days","More than 60 days"))</f>
        <v>30-60 days</v>
      </c>
      <c r="S546" t="s">
        <v>1550</v>
      </c>
      <c r="T546" s="43" t="s">
        <v>2229</v>
      </c>
      <c r="U546" t="s">
        <v>3699</v>
      </c>
    </row>
    <row r="547" spans="1:21" x14ac:dyDescent="0.3">
      <c r="A547" t="s">
        <v>2704</v>
      </c>
      <c r="B547" t="s">
        <v>30</v>
      </c>
      <c r="C547" t="s">
        <v>18</v>
      </c>
      <c r="D547" s="15">
        <v>1</v>
      </c>
      <c r="E547" s="7">
        <v>178.25</v>
      </c>
      <c r="H547">
        <v>1274</v>
      </c>
      <c r="I547" t="s">
        <v>350</v>
      </c>
      <c r="J547" t="s">
        <v>2717</v>
      </c>
      <c r="K547" t="s">
        <v>3</v>
      </c>
      <c r="L547" s="2">
        <v>43221</v>
      </c>
      <c r="M547" s="2">
        <f>DHMXX[[#This Row],[INV DOC DATE]]+30</f>
        <v>43251</v>
      </c>
      <c r="N547" s="2">
        <v>43251</v>
      </c>
      <c r="O547" s="7">
        <v>178.25</v>
      </c>
      <c r="P547" s="2">
        <v>43262</v>
      </c>
      <c r="Q547" s="7">
        <f>$E547-$O547</f>
        <v>0</v>
      </c>
      <c r="R547" s="7" t="str">
        <f ca="1">IF(TODAY() - DHMXX[INV DUE DATE]&lt;30, "Less than 30 days",IF(TODAY()-DHMXX[INV DUE DATE]&lt;60,"30-60 days","More than 60 days"))</f>
        <v>30-60 days</v>
      </c>
      <c r="S547" t="s">
        <v>1550</v>
      </c>
      <c r="T547" s="43" t="s">
        <v>2229</v>
      </c>
      <c r="U547" t="s">
        <v>3699</v>
      </c>
    </row>
    <row r="548" spans="1:21" x14ac:dyDescent="0.3">
      <c r="A548" t="s">
        <v>2704</v>
      </c>
      <c r="B548" t="s">
        <v>30</v>
      </c>
      <c r="C548" t="s">
        <v>19</v>
      </c>
      <c r="D548" s="15">
        <v>1</v>
      </c>
      <c r="E548" s="7">
        <v>178.25</v>
      </c>
      <c r="H548">
        <v>1274</v>
      </c>
      <c r="I548" t="s">
        <v>350</v>
      </c>
      <c r="J548" t="s">
        <v>2718</v>
      </c>
      <c r="K548" t="s">
        <v>3</v>
      </c>
      <c r="L548" s="2">
        <v>43221</v>
      </c>
      <c r="M548" s="2">
        <f>DHMXX[[#This Row],[INV DOC DATE]]+30</f>
        <v>43251</v>
      </c>
      <c r="N548" s="2">
        <v>43251</v>
      </c>
      <c r="O548" s="7">
        <v>178.25</v>
      </c>
      <c r="P548" s="2">
        <v>43262</v>
      </c>
      <c r="Q548" s="7">
        <f>$E548-$O548</f>
        <v>0</v>
      </c>
      <c r="R548" s="7" t="str">
        <f ca="1">IF(TODAY() - DHMXX[INV DUE DATE]&lt;30, "Less than 30 days",IF(TODAY()-DHMXX[INV DUE DATE]&lt;60,"30-60 days","More than 60 days"))</f>
        <v>30-60 days</v>
      </c>
      <c r="S548" t="s">
        <v>1550</v>
      </c>
      <c r="T548" s="43" t="s">
        <v>2229</v>
      </c>
      <c r="U548" t="s">
        <v>3699</v>
      </c>
    </row>
    <row r="549" spans="1:21" x14ac:dyDescent="0.3">
      <c r="A549" t="s">
        <v>2704</v>
      </c>
      <c r="B549" t="s">
        <v>30</v>
      </c>
      <c r="C549" t="s">
        <v>20</v>
      </c>
      <c r="D549" s="15">
        <v>1</v>
      </c>
      <c r="E549" s="7">
        <v>178.25</v>
      </c>
      <c r="H549">
        <v>1274</v>
      </c>
      <c r="I549" t="s">
        <v>350</v>
      </c>
      <c r="J549" t="s">
        <v>2719</v>
      </c>
      <c r="K549" t="s">
        <v>3</v>
      </c>
      <c r="L549" s="2">
        <v>43221</v>
      </c>
      <c r="M549" s="2">
        <f>DHMXX[[#This Row],[INV DOC DATE]]+30</f>
        <v>43251</v>
      </c>
      <c r="N549" s="2">
        <v>43251</v>
      </c>
      <c r="O549" s="7">
        <v>178.25</v>
      </c>
      <c r="P549" s="2">
        <v>43262</v>
      </c>
      <c r="Q549" s="7">
        <f>$E549-$O549</f>
        <v>0</v>
      </c>
      <c r="R549" s="7" t="str">
        <f ca="1">IF(TODAY() - DHMXX[INV DUE DATE]&lt;30, "Less than 30 days",IF(TODAY()-DHMXX[INV DUE DATE]&lt;60,"30-60 days","More than 60 days"))</f>
        <v>30-60 days</v>
      </c>
      <c r="S549" t="s">
        <v>1550</v>
      </c>
      <c r="T549" s="43" t="s">
        <v>2229</v>
      </c>
      <c r="U549" t="s">
        <v>3699</v>
      </c>
    </row>
    <row r="550" spans="1:21" x14ac:dyDescent="0.3">
      <c r="A550" t="s">
        <v>2704</v>
      </c>
      <c r="B550" t="s">
        <v>30</v>
      </c>
      <c r="C550" t="s">
        <v>21</v>
      </c>
      <c r="D550" s="15">
        <v>1</v>
      </c>
      <c r="E550" s="7">
        <v>178.25</v>
      </c>
      <c r="H550">
        <v>1274</v>
      </c>
      <c r="I550" t="s">
        <v>350</v>
      </c>
      <c r="J550" t="s">
        <v>2720</v>
      </c>
      <c r="K550" t="s">
        <v>3</v>
      </c>
      <c r="L550" s="2">
        <v>43221</v>
      </c>
      <c r="M550" s="2">
        <f>DHMXX[[#This Row],[INV DOC DATE]]+30</f>
        <v>43251</v>
      </c>
      <c r="N550" s="2">
        <v>43251</v>
      </c>
      <c r="O550" s="7">
        <v>178.25</v>
      </c>
      <c r="P550" s="2">
        <v>43262</v>
      </c>
      <c r="Q550" s="7">
        <f>$E550-$O550</f>
        <v>0</v>
      </c>
      <c r="R550" s="7" t="str">
        <f ca="1">IF(TODAY() - DHMXX[INV DUE DATE]&lt;30, "Less than 30 days",IF(TODAY()-DHMXX[INV DUE DATE]&lt;60,"30-60 days","More than 60 days"))</f>
        <v>30-60 days</v>
      </c>
      <c r="S550" t="s">
        <v>1550</v>
      </c>
      <c r="T550" s="43" t="s">
        <v>2229</v>
      </c>
      <c r="U550" t="s">
        <v>3699</v>
      </c>
    </row>
    <row r="551" spans="1:21" x14ac:dyDescent="0.3">
      <c r="A551" t="s">
        <v>2704</v>
      </c>
      <c r="B551" t="s">
        <v>30</v>
      </c>
      <c r="C551" t="s">
        <v>22</v>
      </c>
      <c r="D551" s="15">
        <v>1</v>
      </c>
      <c r="E551" s="7">
        <v>178.25</v>
      </c>
      <c r="H551">
        <v>1274</v>
      </c>
      <c r="I551" t="s">
        <v>350</v>
      </c>
      <c r="J551" t="s">
        <v>2721</v>
      </c>
      <c r="K551" t="s">
        <v>3</v>
      </c>
      <c r="L551" s="2">
        <v>43221</v>
      </c>
      <c r="M551" s="2">
        <f>DHMXX[[#This Row],[INV DOC DATE]]+30</f>
        <v>43251</v>
      </c>
      <c r="N551" s="2">
        <v>43251</v>
      </c>
      <c r="O551" s="7">
        <v>178.25</v>
      </c>
      <c r="P551" s="2">
        <v>43262</v>
      </c>
      <c r="Q551" s="7">
        <f>$E551-$O551</f>
        <v>0</v>
      </c>
      <c r="R551" s="7" t="str">
        <f ca="1">IF(TODAY() - DHMXX[INV DUE DATE]&lt;30, "Less than 30 days",IF(TODAY()-DHMXX[INV DUE DATE]&lt;60,"30-60 days","More than 60 days"))</f>
        <v>30-60 days</v>
      </c>
      <c r="S551" t="s">
        <v>1550</v>
      </c>
      <c r="T551" s="43" t="s">
        <v>2229</v>
      </c>
      <c r="U551" t="s">
        <v>3699</v>
      </c>
    </row>
    <row r="552" spans="1:21" x14ac:dyDescent="0.3">
      <c r="A552" t="s">
        <v>2704</v>
      </c>
      <c r="B552" t="s">
        <v>30</v>
      </c>
      <c r="C552" t="s">
        <v>23</v>
      </c>
      <c r="D552" s="15">
        <v>1</v>
      </c>
      <c r="E552" s="7">
        <v>178.25</v>
      </c>
      <c r="H552">
        <v>1274</v>
      </c>
      <c r="I552" t="s">
        <v>350</v>
      </c>
      <c r="J552" t="s">
        <v>2722</v>
      </c>
      <c r="K552" t="s">
        <v>3</v>
      </c>
      <c r="L552" s="2">
        <v>43221</v>
      </c>
      <c r="M552" s="2">
        <f>DHMXX[[#This Row],[INV DOC DATE]]+30</f>
        <v>43251</v>
      </c>
      <c r="N552" s="2">
        <v>43251</v>
      </c>
      <c r="O552" s="7">
        <v>178.25</v>
      </c>
      <c r="P552" s="2">
        <v>43262</v>
      </c>
      <c r="Q552" s="7">
        <f>$E552-$O552</f>
        <v>0</v>
      </c>
      <c r="R552" s="7" t="str">
        <f ca="1">IF(TODAY() - DHMXX[INV DUE DATE]&lt;30, "Less than 30 days",IF(TODAY()-DHMXX[INV DUE DATE]&lt;60,"30-60 days","More than 60 days"))</f>
        <v>30-60 days</v>
      </c>
      <c r="S552" t="s">
        <v>1550</v>
      </c>
      <c r="T552" s="43" t="s">
        <v>2229</v>
      </c>
      <c r="U552" t="s">
        <v>3699</v>
      </c>
    </row>
    <row r="553" spans="1:21" x14ac:dyDescent="0.3">
      <c r="A553" t="s">
        <v>2704</v>
      </c>
      <c r="B553" t="s">
        <v>30</v>
      </c>
      <c r="C553" t="s">
        <v>24</v>
      </c>
      <c r="D553" s="15">
        <v>1</v>
      </c>
      <c r="E553" s="7">
        <v>178.25</v>
      </c>
      <c r="H553">
        <v>1274</v>
      </c>
      <c r="I553" t="s">
        <v>350</v>
      </c>
      <c r="J553" t="s">
        <v>2723</v>
      </c>
      <c r="K553" t="s">
        <v>3</v>
      </c>
      <c r="L553" s="2">
        <v>43221</v>
      </c>
      <c r="M553" s="2">
        <f>DHMXX[[#This Row],[INV DOC DATE]]+30</f>
        <v>43251</v>
      </c>
      <c r="N553" s="2">
        <v>43251</v>
      </c>
      <c r="O553" s="7">
        <v>178.25</v>
      </c>
      <c r="P553" s="2">
        <v>43262</v>
      </c>
      <c r="Q553" s="7">
        <f>$E553-$O553</f>
        <v>0</v>
      </c>
      <c r="R553" s="7" t="str">
        <f ca="1">IF(TODAY() - DHMXX[INV DUE DATE]&lt;30, "Less than 30 days",IF(TODAY()-DHMXX[INV DUE DATE]&lt;60,"30-60 days","More than 60 days"))</f>
        <v>30-60 days</v>
      </c>
      <c r="S553" t="s">
        <v>1550</v>
      </c>
      <c r="T553" s="43" t="s">
        <v>2229</v>
      </c>
      <c r="U553" t="s">
        <v>3699</v>
      </c>
    </row>
    <row r="554" spans="1:21" x14ac:dyDescent="0.3">
      <c r="A554" t="s">
        <v>2704</v>
      </c>
      <c r="B554" t="s">
        <v>30</v>
      </c>
      <c r="C554" t="s">
        <v>25</v>
      </c>
      <c r="D554" s="15">
        <v>1</v>
      </c>
      <c r="E554" s="7">
        <v>178.25</v>
      </c>
      <c r="H554">
        <v>1274</v>
      </c>
      <c r="I554" t="s">
        <v>350</v>
      </c>
      <c r="J554" t="s">
        <v>2724</v>
      </c>
      <c r="K554" t="s">
        <v>3</v>
      </c>
      <c r="L554" s="2">
        <v>43221</v>
      </c>
      <c r="M554" s="2">
        <f>DHMXX[[#This Row],[INV DOC DATE]]+30</f>
        <v>43251</v>
      </c>
      <c r="N554" s="2">
        <v>43251</v>
      </c>
      <c r="O554" s="7">
        <v>178.25</v>
      </c>
      <c r="P554" s="2">
        <v>43262</v>
      </c>
      <c r="Q554" s="7">
        <f>$E554-$O554</f>
        <v>0</v>
      </c>
      <c r="R554" s="7" t="str">
        <f ca="1">IF(TODAY() - DHMXX[INV DUE DATE]&lt;30, "Less than 30 days",IF(TODAY()-DHMXX[INV DUE DATE]&lt;60,"30-60 days","More than 60 days"))</f>
        <v>30-60 days</v>
      </c>
      <c r="S554" t="s">
        <v>1550</v>
      </c>
      <c r="T554" s="43" t="s">
        <v>2229</v>
      </c>
      <c r="U554" t="s">
        <v>3699</v>
      </c>
    </row>
    <row r="555" spans="1:21" x14ac:dyDescent="0.3">
      <c r="A555" t="s">
        <v>2704</v>
      </c>
      <c r="B555" t="s">
        <v>30</v>
      </c>
      <c r="C555" t="s">
        <v>26</v>
      </c>
      <c r="D555" s="15">
        <v>1</v>
      </c>
      <c r="E555" s="7">
        <v>178.25</v>
      </c>
      <c r="H555">
        <v>1274</v>
      </c>
      <c r="I555" t="s">
        <v>350</v>
      </c>
      <c r="J555" t="s">
        <v>2725</v>
      </c>
      <c r="K555" t="s">
        <v>3</v>
      </c>
      <c r="L555" s="2">
        <v>43221</v>
      </c>
      <c r="M555" s="2">
        <f>DHMXX[[#This Row],[INV DOC DATE]]+30</f>
        <v>43251</v>
      </c>
      <c r="N555" s="2">
        <v>43251</v>
      </c>
      <c r="O555" s="7">
        <v>178.25</v>
      </c>
      <c r="P555" s="2">
        <v>43262</v>
      </c>
      <c r="Q555" s="7">
        <f>$E555-$O555</f>
        <v>0</v>
      </c>
      <c r="R555" s="7" t="str">
        <f ca="1">IF(TODAY() - DHMXX[INV DUE DATE]&lt;30, "Less than 30 days",IF(TODAY()-DHMXX[INV DUE DATE]&lt;60,"30-60 days","More than 60 days"))</f>
        <v>30-60 days</v>
      </c>
      <c r="S555" t="s">
        <v>1550</v>
      </c>
      <c r="T555" s="43" t="s">
        <v>2229</v>
      </c>
      <c r="U555" t="s">
        <v>3699</v>
      </c>
    </row>
    <row r="556" spans="1:21" x14ac:dyDescent="0.3">
      <c r="A556" t="s">
        <v>2704</v>
      </c>
      <c r="B556" t="s">
        <v>30</v>
      </c>
      <c r="C556" t="s">
        <v>27</v>
      </c>
      <c r="D556" s="15">
        <v>1</v>
      </c>
      <c r="E556" s="7">
        <v>178.25</v>
      </c>
      <c r="H556">
        <v>1274</v>
      </c>
      <c r="I556" t="s">
        <v>350</v>
      </c>
      <c r="J556" t="s">
        <v>2726</v>
      </c>
      <c r="K556" t="s">
        <v>3</v>
      </c>
      <c r="L556" s="2">
        <v>43221</v>
      </c>
      <c r="M556" s="2">
        <f>DHMXX[[#This Row],[INV DOC DATE]]+30</f>
        <v>43251</v>
      </c>
      <c r="N556" s="2">
        <v>43251</v>
      </c>
      <c r="O556" s="7">
        <v>178.25</v>
      </c>
      <c r="P556" s="2">
        <v>43262</v>
      </c>
      <c r="Q556" s="7">
        <f>$E556-$O556</f>
        <v>0</v>
      </c>
      <c r="R556" s="7" t="str">
        <f ca="1">IF(TODAY() - DHMXX[INV DUE DATE]&lt;30, "Less than 30 days",IF(TODAY()-DHMXX[INV DUE DATE]&lt;60,"30-60 days","More than 60 days"))</f>
        <v>30-60 days</v>
      </c>
      <c r="S556" t="s">
        <v>1550</v>
      </c>
      <c r="T556" s="43" t="s">
        <v>2229</v>
      </c>
      <c r="U556" t="s">
        <v>3699</v>
      </c>
    </row>
    <row r="557" spans="1:21" x14ac:dyDescent="0.3">
      <c r="A557" t="s">
        <v>2704</v>
      </c>
      <c r="B557" t="s">
        <v>30</v>
      </c>
      <c r="C557" t="s">
        <v>28</v>
      </c>
      <c r="D557" s="15">
        <v>1</v>
      </c>
      <c r="E557" s="7">
        <v>178.25</v>
      </c>
      <c r="H557">
        <v>1274</v>
      </c>
      <c r="I557" t="s">
        <v>350</v>
      </c>
      <c r="J557" t="s">
        <v>2727</v>
      </c>
      <c r="K557" t="s">
        <v>3</v>
      </c>
      <c r="L557" s="2">
        <v>43221</v>
      </c>
      <c r="M557" s="2">
        <f>DHMXX[[#This Row],[INV DOC DATE]]+30</f>
        <v>43251</v>
      </c>
      <c r="N557" s="2">
        <v>43251</v>
      </c>
      <c r="O557" s="7">
        <v>178.25</v>
      </c>
      <c r="P557" s="2">
        <v>43262</v>
      </c>
      <c r="Q557" s="7">
        <f>$E557-$O557</f>
        <v>0</v>
      </c>
      <c r="R557" s="7" t="str">
        <f ca="1">IF(TODAY() - DHMXX[INV DUE DATE]&lt;30, "Less than 30 days",IF(TODAY()-DHMXX[INV DUE DATE]&lt;60,"30-60 days","More than 60 days"))</f>
        <v>30-60 days</v>
      </c>
      <c r="S557" t="s">
        <v>1550</v>
      </c>
      <c r="T557" s="43" t="s">
        <v>2229</v>
      </c>
      <c r="U557" t="s">
        <v>3699</v>
      </c>
    </row>
    <row r="558" spans="1:21" x14ac:dyDescent="0.3">
      <c r="A558" t="s">
        <v>2704</v>
      </c>
      <c r="B558" t="s">
        <v>30</v>
      </c>
      <c r="C558" t="s">
        <v>37</v>
      </c>
      <c r="D558" s="15">
        <v>1</v>
      </c>
      <c r="E558" s="7">
        <v>178.25</v>
      </c>
      <c r="H558">
        <v>1274</v>
      </c>
      <c r="I558" t="s">
        <v>350</v>
      </c>
      <c r="J558" t="s">
        <v>2728</v>
      </c>
      <c r="K558" t="s">
        <v>3</v>
      </c>
      <c r="L558" s="2">
        <v>43221</v>
      </c>
      <c r="M558" s="2">
        <f>DHMXX[[#This Row],[INV DOC DATE]]+30</f>
        <v>43251</v>
      </c>
      <c r="N558" s="2">
        <v>43251</v>
      </c>
      <c r="O558" s="7">
        <v>178.25</v>
      </c>
      <c r="P558" s="2">
        <v>43262</v>
      </c>
      <c r="Q558" s="7">
        <f>$E558-$O558</f>
        <v>0</v>
      </c>
      <c r="R558" s="7" t="str">
        <f ca="1">IF(TODAY() - DHMXX[INV DUE DATE]&lt;30, "Less than 30 days",IF(TODAY()-DHMXX[INV DUE DATE]&lt;60,"30-60 days","More than 60 days"))</f>
        <v>30-60 days</v>
      </c>
      <c r="S558" t="s">
        <v>1550</v>
      </c>
      <c r="T558" s="43" t="s">
        <v>2229</v>
      </c>
      <c r="U558" t="s">
        <v>3699</v>
      </c>
    </row>
    <row r="559" spans="1:21" x14ac:dyDescent="0.3">
      <c r="A559" t="s">
        <v>2704</v>
      </c>
      <c r="B559" t="s">
        <v>30</v>
      </c>
      <c r="C559" t="s">
        <v>38</v>
      </c>
      <c r="D559" s="15">
        <v>1</v>
      </c>
      <c r="E559" s="7">
        <v>178.25</v>
      </c>
      <c r="H559">
        <v>1274</v>
      </c>
      <c r="I559" t="s">
        <v>350</v>
      </c>
      <c r="J559" t="s">
        <v>2729</v>
      </c>
      <c r="K559" t="s">
        <v>3</v>
      </c>
      <c r="L559" s="2">
        <v>43221</v>
      </c>
      <c r="M559" s="2">
        <f>DHMXX[[#This Row],[INV DOC DATE]]+30</f>
        <v>43251</v>
      </c>
      <c r="N559" s="2">
        <v>43251</v>
      </c>
      <c r="O559" s="7">
        <v>178.25</v>
      </c>
      <c r="P559" s="2">
        <v>43262</v>
      </c>
      <c r="Q559" s="7">
        <f>$E559-$O559</f>
        <v>0</v>
      </c>
      <c r="R559" s="7" t="str">
        <f ca="1">IF(TODAY() - DHMXX[INV DUE DATE]&lt;30, "Less than 30 days",IF(TODAY()-DHMXX[INV DUE DATE]&lt;60,"30-60 days","More than 60 days"))</f>
        <v>30-60 days</v>
      </c>
      <c r="S559" t="s">
        <v>1550</v>
      </c>
      <c r="T559" s="43" t="s">
        <v>2229</v>
      </c>
      <c r="U559" t="s">
        <v>3699</v>
      </c>
    </row>
    <row r="560" spans="1:21" x14ac:dyDescent="0.3">
      <c r="A560" t="s">
        <v>2704</v>
      </c>
      <c r="B560" t="s">
        <v>30</v>
      </c>
      <c r="C560" t="s">
        <v>39</v>
      </c>
      <c r="D560" s="15">
        <v>1</v>
      </c>
      <c r="E560" s="7">
        <v>178.25</v>
      </c>
      <c r="H560">
        <v>1274</v>
      </c>
      <c r="I560" t="s">
        <v>350</v>
      </c>
      <c r="J560" t="s">
        <v>2730</v>
      </c>
      <c r="K560" t="s">
        <v>3</v>
      </c>
      <c r="L560" s="2">
        <v>43221</v>
      </c>
      <c r="M560" s="2">
        <f>DHMXX[[#This Row],[INV DOC DATE]]+30</f>
        <v>43251</v>
      </c>
      <c r="N560" s="2">
        <v>43251</v>
      </c>
      <c r="O560" s="7">
        <v>178.25</v>
      </c>
      <c r="P560" s="2">
        <v>43262</v>
      </c>
      <c r="Q560" s="7">
        <f>$E560-$O560</f>
        <v>0</v>
      </c>
      <c r="R560" s="7" t="str">
        <f ca="1">IF(TODAY() - DHMXX[INV DUE DATE]&lt;30, "Less than 30 days",IF(TODAY()-DHMXX[INV DUE DATE]&lt;60,"30-60 days","More than 60 days"))</f>
        <v>30-60 days</v>
      </c>
      <c r="S560" t="s">
        <v>1550</v>
      </c>
      <c r="T560" s="43" t="s">
        <v>2229</v>
      </c>
      <c r="U560" t="s">
        <v>3699</v>
      </c>
    </row>
    <row r="561" spans="1:21" x14ac:dyDescent="0.3">
      <c r="A561" t="s">
        <v>2704</v>
      </c>
      <c r="B561" t="s">
        <v>30</v>
      </c>
      <c r="C561" t="s">
        <v>40</v>
      </c>
      <c r="D561" s="15">
        <v>1</v>
      </c>
      <c r="E561" s="7">
        <v>178.25</v>
      </c>
      <c r="H561">
        <v>1274</v>
      </c>
      <c r="I561" t="s">
        <v>350</v>
      </c>
      <c r="J561" t="s">
        <v>2731</v>
      </c>
      <c r="K561" t="s">
        <v>3</v>
      </c>
      <c r="L561" s="2">
        <v>43221</v>
      </c>
      <c r="M561" s="2">
        <f>DHMXX[[#This Row],[INV DOC DATE]]+30</f>
        <v>43251</v>
      </c>
      <c r="N561" s="2">
        <v>43251</v>
      </c>
      <c r="O561" s="7">
        <v>178.25</v>
      </c>
      <c r="P561" s="2">
        <v>43262</v>
      </c>
      <c r="Q561" s="7">
        <f>$E561-$O561</f>
        <v>0</v>
      </c>
      <c r="R561" s="7" t="str">
        <f ca="1">IF(TODAY() - DHMXX[INV DUE DATE]&lt;30, "Less than 30 days",IF(TODAY()-DHMXX[INV DUE DATE]&lt;60,"30-60 days","More than 60 days"))</f>
        <v>30-60 days</v>
      </c>
      <c r="S561" t="s">
        <v>1550</v>
      </c>
      <c r="T561" s="43" t="s">
        <v>2229</v>
      </c>
      <c r="U561" t="s">
        <v>3699</v>
      </c>
    </row>
    <row r="562" spans="1:21" x14ac:dyDescent="0.3">
      <c r="A562" t="s">
        <v>2704</v>
      </c>
      <c r="B562" t="s">
        <v>30</v>
      </c>
      <c r="C562" t="s">
        <v>41</v>
      </c>
      <c r="D562" s="15">
        <v>1</v>
      </c>
      <c r="E562" s="7">
        <v>178.25</v>
      </c>
      <c r="H562">
        <v>1274</v>
      </c>
      <c r="I562" t="s">
        <v>350</v>
      </c>
      <c r="J562" t="s">
        <v>2732</v>
      </c>
      <c r="K562" t="s">
        <v>3</v>
      </c>
      <c r="L562" s="2">
        <v>43221</v>
      </c>
      <c r="M562" s="2">
        <f>DHMXX[[#This Row],[INV DOC DATE]]+30</f>
        <v>43251</v>
      </c>
      <c r="N562" s="2">
        <v>43251</v>
      </c>
      <c r="O562" s="7">
        <v>178.25</v>
      </c>
      <c r="P562" s="2">
        <v>43262</v>
      </c>
      <c r="Q562" s="7">
        <f>$E562-$O562</f>
        <v>0</v>
      </c>
      <c r="R562" s="7" t="str">
        <f ca="1">IF(TODAY() - DHMXX[INV DUE DATE]&lt;30, "Less than 30 days",IF(TODAY()-DHMXX[INV DUE DATE]&lt;60,"30-60 days","More than 60 days"))</f>
        <v>30-60 days</v>
      </c>
      <c r="S562" t="s">
        <v>1550</v>
      </c>
      <c r="T562" s="43" t="s">
        <v>2229</v>
      </c>
      <c r="U562" t="s">
        <v>3699</v>
      </c>
    </row>
    <row r="563" spans="1:21" x14ac:dyDescent="0.3">
      <c r="A563" t="s">
        <v>2704</v>
      </c>
      <c r="B563" t="s">
        <v>30</v>
      </c>
      <c r="C563" t="s">
        <v>42</v>
      </c>
      <c r="D563" s="15">
        <v>1</v>
      </c>
      <c r="E563" s="7">
        <v>178.25</v>
      </c>
      <c r="H563">
        <v>1274</v>
      </c>
      <c r="I563" t="s">
        <v>350</v>
      </c>
      <c r="J563" t="s">
        <v>2733</v>
      </c>
      <c r="K563" t="s">
        <v>3</v>
      </c>
      <c r="L563" s="2">
        <v>43221</v>
      </c>
      <c r="M563" s="2">
        <f>DHMXX[[#This Row],[INV DOC DATE]]+30</f>
        <v>43251</v>
      </c>
      <c r="N563" s="2">
        <v>43251</v>
      </c>
      <c r="O563" s="7">
        <v>178.25</v>
      </c>
      <c r="P563" s="2">
        <v>43262</v>
      </c>
      <c r="Q563" s="7">
        <f>$E563-$O563</f>
        <v>0</v>
      </c>
      <c r="R563" s="7" t="str">
        <f ca="1">IF(TODAY() - DHMXX[INV DUE DATE]&lt;30, "Less than 30 days",IF(TODAY()-DHMXX[INV DUE DATE]&lt;60,"30-60 days","More than 60 days"))</f>
        <v>30-60 days</v>
      </c>
      <c r="S563" t="s">
        <v>1550</v>
      </c>
      <c r="T563" s="43" t="s">
        <v>2229</v>
      </c>
      <c r="U563" t="s">
        <v>3699</v>
      </c>
    </row>
    <row r="564" spans="1:21" x14ac:dyDescent="0.3">
      <c r="A564" t="s">
        <v>2704</v>
      </c>
      <c r="B564" t="s">
        <v>30</v>
      </c>
      <c r="C564" t="s">
        <v>43</v>
      </c>
      <c r="D564" s="15">
        <v>1</v>
      </c>
      <c r="E564" s="7">
        <v>178.25</v>
      </c>
      <c r="H564">
        <v>1274</v>
      </c>
      <c r="I564" t="s">
        <v>350</v>
      </c>
      <c r="J564" t="s">
        <v>2734</v>
      </c>
      <c r="K564" t="s">
        <v>3</v>
      </c>
      <c r="L564" s="2">
        <v>43221</v>
      </c>
      <c r="M564" s="2">
        <f>DHMXX[[#This Row],[INV DOC DATE]]+30</f>
        <v>43251</v>
      </c>
      <c r="N564" s="2">
        <v>43251</v>
      </c>
      <c r="O564" s="7">
        <v>178.25</v>
      </c>
      <c r="P564" s="2">
        <v>43262</v>
      </c>
      <c r="Q564" s="7">
        <f>$E564-$O564</f>
        <v>0</v>
      </c>
      <c r="R564" s="7" t="str">
        <f ca="1">IF(TODAY() - DHMXX[INV DUE DATE]&lt;30, "Less than 30 days",IF(TODAY()-DHMXX[INV DUE DATE]&lt;60,"30-60 days","More than 60 days"))</f>
        <v>30-60 days</v>
      </c>
      <c r="S564" t="s">
        <v>1550</v>
      </c>
      <c r="T564" s="43" t="s">
        <v>2229</v>
      </c>
      <c r="U564" t="s">
        <v>3699</v>
      </c>
    </row>
    <row r="565" spans="1:21" x14ac:dyDescent="0.3">
      <c r="A565" t="s">
        <v>2704</v>
      </c>
      <c r="B565" t="s">
        <v>30</v>
      </c>
      <c r="C565" t="s">
        <v>44</v>
      </c>
      <c r="D565" s="15">
        <v>1</v>
      </c>
      <c r="E565" s="7">
        <v>178.25</v>
      </c>
      <c r="H565">
        <v>1274</v>
      </c>
      <c r="I565" t="s">
        <v>350</v>
      </c>
      <c r="J565" t="s">
        <v>2735</v>
      </c>
      <c r="K565" t="s">
        <v>3</v>
      </c>
      <c r="L565" s="2">
        <v>43221</v>
      </c>
      <c r="M565" s="2">
        <f>DHMXX[[#This Row],[INV DOC DATE]]+30</f>
        <v>43251</v>
      </c>
      <c r="N565" s="2">
        <v>43251</v>
      </c>
      <c r="O565" s="7">
        <v>178.25</v>
      </c>
      <c r="P565" s="2">
        <v>43262</v>
      </c>
      <c r="Q565" s="7">
        <f>$E565-$O565</f>
        <v>0</v>
      </c>
      <c r="R565" s="7" t="str">
        <f ca="1">IF(TODAY() - DHMXX[INV DUE DATE]&lt;30, "Less than 30 days",IF(TODAY()-DHMXX[INV DUE DATE]&lt;60,"30-60 days","More than 60 days"))</f>
        <v>30-60 days</v>
      </c>
      <c r="S565" t="s">
        <v>1550</v>
      </c>
      <c r="T565" s="43" t="s">
        <v>2229</v>
      </c>
      <c r="U565" t="s">
        <v>3699</v>
      </c>
    </row>
    <row r="566" spans="1:21" x14ac:dyDescent="0.3">
      <c r="A566" t="s">
        <v>2704</v>
      </c>
      <c r="B566" t="s">
        <v>30</v>
      </c>
      <c r="C566" t="s">
        <v>45</v>
      </c>
      <c r="D566" s="15">
        <v>1</v>
      </c>
      <c r="E566" s="7">
        <v>178.25</v>
      </c>
      <c r="H566">
        <v>1274</v>
      </c>
      <c r="I566" t="s">
        <v>350</v>
      </c>
      <c r="J566" t="s">
        <v>2736</v>
      </c>
      <c r="K566" t="s">
        <v>3</v>
      </c>
      <c r="L566" s="2">
        <v>43221</v>
      </c>
      <c r="M566" s="2">
        <f>DHMXX[[#This Row],[INV DOC DATE]]+30</f>
        <v>43251</v>
      </c>
      <c r="N566" s="2">
        <v>43251</v>
      </c>
      <c r="O566" s="7">
        <v>178.25</v>
      </c>
      <c r="P566" s="2">
        <v>43262</v>
      </c>
      <c r="Q566" s="7">
        <f>$E566-$O566</f>
        <v>0</v>
      </c>
      <c r="R566" s="7" t="str">
        <f ca="1">IF(TODAY() - DHMXX[INV DUE DATE]&lt;30, "Less than 30 days",IF(TODAY()-DHMXX[INV DUE DATE]&lt;60,"30-60 days","More than 60 days"))</f>
        <v>30-60 days</v>
      </c>
      <c r="S566" t="s">
        <v>1550</v>
      </c>
      <c r="T566" s="43" t="s">
        <v>2229</v>
      </c>
      <c r="U566" t="s">
        <v>3699</v>
      </c>
    </row>
    <row r="567" spans="1:21" x14ac:dyDescent="0.3">
      <c r="A567" t="s">
        <v>2704</v>
      </c>
      <c r="B567" t="s">
        <v>30</v>
      </c>
      <c r="C567" t="s">
        <v>46</v>
      </c>
      <c r="D567" s="15">
        <v>1</v>
      </c>
      <c r="E567" s="7">
        <v>178.25</v>
      </c>
      <c r="H567">
        <v>1274</v>
      </c>
      <c r="I567" t="s">
        <v>350</v>
      </c>
      <c r="J567" t="s">
        <v>2737</v>
      </c>
      <c r="K567" t="s">
        <v>3</v>
      </c>
      <c r="L567" s="2">
        <v>43221</v>
      </c>
      <c r="M567" s="2">
        <f>DHMXX[[#This Row],[INV DOC DATE]]+30</f>
        <v>43251</v>
      </c>
      <c r="N567" s="2">
        <v>43251</v>
      </c>
      <c r="O567" s="7">
        <v>178.25</v>
      </c>
      <c r="P567" s="2">
        <v>43262</v>
      </c>
      <c r="Q567" s="7">
        <f>$E567-$O567</f>
        <v>0</v>
      </c>
      <c r="R567" s="7" t="str">
        <f ca="1">IF(TODAY() - DHMXX[INV DUE DATE]&lt;30, "Less than 30 days",IF(TODAY()-DHMXX[INV DUE DATE]&lt;60,"30-60 days","More than 60 days"))</f>
        <v>30-60 days</v>
      </c>
      <c r="S567" t="s">
        <v>1550</v>
      </c>
      <c r="T567" s="43" t="s">
        <v>2229</v>
      </c>
      <c r="U567" t="s">
        <v>3699</v>
      </c>
    </row>
    <row r="568" spans="1:21" x14ac:dyDescent="0.3">
      <c r="A568" t="s">
        <v>2704</v>
      </c>
      <c r="B568" t="s">
        <v>30</v>
      </c>
      <c r="C568" t="s">
        <v>47</v>
      </c>
      <c r="D568" s="15">
        <v>1</v>
      </c>
      <c r="E568" s="7">
        <v>178.25</v>
      </c>
      <c r="H568">
        <v>2747</v>
      </c>
      <c r="I568" t="s">
        <v>844</v>
      </c>
      <c r="J568" t="s">
        <v>2738</v>
      </c>
      <c r="K568" t="s">
        <v>3</v>
      </c>
      <c r="L568" s="2">
        <v>43221</v>
      </c>
      <c r="M568" s="2">
        <f>DHMXX[[#This Row],[INV DOC DATE]]+30</f>
        <v>43251</v>
      </c>
      <c r="N568" s="2">
        <v>43251</v>
      </c>
      <c r="O568" s="7">
        <v>178.25</v>
      </c>
      <c r="P568" s="2">
        <v>43262</v>
      </c>
      <c r="Q568" s="7">
        <f>$E568-$O568</f>
        <v>0</v>
      </c>
      <c r="R568" s="7" t="str">
        <f ca="1">IF(TODAY() - DHMXX[INV DUE DATE]&lt;30, "Less than 30 days",IF(TODAY()-DHMXX[INV DUE DATE]&lt;60,"30-60 days","More than 60 days"))</f>
        <v>30-60 days</v>
      </c>
      <c r="S568" t="s">
        <v>1550</v>
      </c>
      <c r="T568" s="43" t="s">
        <v>2229</v>
      </c>
      <c r="U568" t="s">
        <v>3699</v>
      </c>
    </row>
    <row r="569" spans="1:21" x14ac:dyDescent="0.3">
      <c r="A569" t="s">
        <v>2704</v>
      </c>
      <c r="B569" t="s">
        <v>30</v>
      </c>
      <c r="C569" t="s">
        <v>295</v>
      </c>
      <c r="D569" s="15">
        <v>1</v>
      </c>
      <c r="E569" s="7">
        <v>178.25</v>
      </c>
      <c r="H569">
        <v>3825</v>
      </c>
      <c r="I569" t="s">
        <v>845</v>
      </c>
      <c r="J569" t="s">
        <v>2739</v>
      </c>
      <c r="K569" t="s">
        <v>3</v>
      </c>
      <c r="L569" s="2">
        <v>43221</v>
      </c>
      <c r="M569" s="2">
        <f>DHMXX[[#This Row],[INV DOC DATE]]+30</f>
        <v>43251</v>
      </c>
      <c r="N569" s="2">
        <v>43251</v>
      </c>
      <c r="O569" s="7">
        <v>178.25</v>
      </c>
      <c r="P569" s="2">
        <v>43262</v>
      </c>
      <c r="Q569" s="7">
        <f>$E569-$O569</f>
        <v>0</v>
      </c>
      <c r="R569" s="7" t="str">
        <f ca="1">IF(TODAY() - DHMXX[INV DUE DATE]&lt;30, "Less than 30 days",IF(TODAY()-DHMXX[INV DUE DATE]&lt;60,"30-60 days","More than 60 days"))</f>
        <v>30-60 days</v>
      </c>
      <c r="S569" t="s">
        <v>1550</v>
      </c>
      <c r="T569" s="43" t="s">
        <v>2229</v>
      </c>
      <c r="U569" t="s">
        <v>3699</v>
      </c>
    </row>
    <row r="570" spans="1:21" x14ac:dyDescent="0.3">
      <c r="A570" t="s">
        <v>2704</v>
      </c>
      <c r="B570" t="s">
        <v>30</v>
      </c>
      <c r="C570" t="s">
        <v>48</v>
      </c>
      <c r="D570" s="15">
        <v>1</v>
      </c>
      <c r="E570" s="7">
        <v>178.25</v>
      </c>
      <c r="H570">
        <v>3825</v>
      </c>
      <c r="I570" t="s">
        <v>845</v>
      </c>
      <c r="J570" t="s">
        <v>2740</v>
      </c>
      <c r="K570" t="s">
        <v>3</v>
      </c>
      <c r="L570" s="2">
        <v>43221</v>
      </c>
      <c r="M570" s="2">
        <f>DHMXX[[#This Row],[INV DOC DATE]]+30</f>
        <v>43251</v>
      </c>
      <c r="N570" s="2">
        <v>43251</v>
      </c>
      <c r="O570" s="7">
        <v>178.25</v>
      </c>
      <c r="P570" s="2">
        <v>43262</v>
      </c>
      <c r="Q570" s="7">
        <f>$E570-$O570</f>
        <v>0</v>
      </c>
      <c r="R570" s="7" t="str">
        <f ca="1">IF(TODAY() - DHMXX[INV DUE DATE]&lt;30, "Less than 30 days",IF(TODAY()-DHMXX[INV DUE DATE]&lt;60,"30-60 days","More than 60 days"))</f>
        <v>30-60 days</v>
      </c>
      <c r="S570" t="s">
        <v>1550</v>
      </c>
      <c r="T570" s="43" t="s">
        <v>2229</v>
      </c>
      <c r="U570" t="s">
        <v>3699</v>
      </c>
    </row>
    <row r="571" spans="1:21" x14ac:dyDescent="0.3">
      <c r="A571" t="s">
        <v>2704</v>
      </c>
      <c r="B571" t="s">
        <v>30</v>
      </c>
      <c r="C571" t="s">
        <v>49</v>
      </c>
      <c r="D571" s="15">
        <v>1</v>
      </c>
      <c r="E571" s="7">
        <v>178.25</v>
      </c>
      <c r="H571">
        <v>3825</v>
      </c>
      <c r="I571" t="s">
        <v>845</v>
      </c>
      <c r="J571" t="s">
        <v>2741</v>
      </c>
      <c r="K571" t="s">
        <v>3</v>
      </c>
      <c r="L571" s="2">
        <v>43221</v>
      </c>
      <c r="M571" s="2">
        <f>DHMXX[[#This Row],[INV DOC DATE]]+30</f>
        <v>43251</v>
      </c>
      <c r="N571" s="2">
        <v>43251</v>
      </c>
      <c r="O571" s="7">
        <v>178.25</v>
      </c>
      <c r="P571" s="2">
        <v>43262</v>
      </c>
      <c r="Q571" s="7">
        <f>$E571-$O571</f>
        <v>0</v>
      </c>
      <c r="R571" s="7" t="str">
        <f ca="1">IF(TODAY() - DHMXX[INV DUE DATE]&lt;30, "Less than 30 days",IF(TODAY()-DHMXX[INV DUE DATE]&lt;60,"30-60 days","More than 60 days"))</f>
        <v>30-60 days</v>
      </c>
      <c r="S571" t="s">
        <v>1550</v>
      </c>
      <c r="T571" s="43" t="s">
        <v>2229</v>
      </c>
      <c r="U571" t="s">
        <v>3699</v>
      </c>
    </row>
    <row r="572" spans="1:21" x14ac:dyDescent="0.3">
      <c r="A572" t="s">
        <v>2704</v>
      </c>
      <c r="B572" t="s">
        <v>30</v>
      </c>
      <c r="C572" t="s">
        <v>50</v>
      </c>
      <c r="D572" s="15">
        <v>1</v>
      </c>
      <c r="E572" s="7">
        <v>178.25</v>
      </c>
      <c r="H572">
        <v>3825</v>
      </c>
      <c r="I572" t="s">
        <v>845</v>
      </c>
      <c r="J572" t="s">
        <v>2742</v>
      </c>
      <c r="K572" t="s">
        <v>3</v>
      </c>
      <c r="L572" s="2">
        <v>43221</v>
      </c>
      <c r="M572" s="2">
        <f>DHMXX[[#This Row],[INV DOC DATE]]+30</f>
        <v>43251</v>
      </c>
      <c r="N572" s="2">
        <v>43251</v>
      </c>
      <c r="O572" s="7">
        <v>178.25</v>
      </c>
      <c r="P572" s="2">
        <v>43262</v>
      </c>
      <c r="Q572" s="7">
        <f>$E572-$O572</f>
        <v>0</v>
      </c>
      <c r="R572" s="7" t="str">
        <f ca="1">IF(TODAY() - DHMXX[INV DUE DATE]&lt;30, "Less than 30 days",IF(TODAY()-DHMXX[INV DUE DATE]&lt;60,"30-60 days","More than 60 days"))</f>
        <v>30-60 days</v>
      </c>
      <c r="S572" t="s">
        <v>1550</v>
      </c>
      <c r="T572" s="43" t="s">
        <v>2229</v>
      </c>
      <c r="U572" t="s">
        <v>3699</v>
      </c>
    </row>
    <row r="573" spans="1:21" x14ac:dyDescent="0.3">
      <c r="A573" t="s">
        <v>2704</v>
      </c>
      <c r="B573" t="s">
        <v>30</v>
      </c>
      <c r="C573" t="s">
        <v>51</v>
      </c>
      <c r="D573" s="15">
        <v>1</v>
      </c>
      <c r="E573" s="7">
        <v>178.25</v>
      </c>
      <c r="H573">
        <v>3825</v>
      </c>
      <c r="I573" t="s">
        <v>845</v>
      </c>
      <c r="J573" t="s">
        <v>2743</v>
      </c>
      <c r="K573" t="s">
        <v>3</v>
      </c>
      <c r="L573" s="2">
        <v>43221</v>
      </c>
      <c r="M573" s="2">
        <f>DHMXX[[#This Row],[INV DOC DATE]]+30</f>
        <v>43251</v>
      </c>
      <c r="N573" s="2">
        <v>43251</v>
      </c>
      <c r="O573" s="7">
        <v>178.25</v>
      </c>
      <c r="P573" s="2">
        <v>43262</v>
      </c>
      <c r="Q573" s="7">
        <f>$E573-$O573</f>
        <v>0</v>
      </c>
      <c r="R573" s="7" t="str">
        <f ca="1">IF(TODAY() - DHMXX[INV DUE DATE]&lt;30, "Less than 30 days",IF(TODAY()-DHMXX[INV DUE DATE]&lt;60,"30-60 days","More than 60 days"))</f>
        <v>30-60 days</v>
      </c>
      <c r="S573" t="s">
        <v>1550</v>
      </c>
      <c r="T573" s="43" t="s">
        <v>2229</v>
      </c>
      <c r="U573" t="s">
        <v>3699</v>
      </c>
    </row>
    <row r="574" spans="1:21" x14ac:dyDescent="0.3">
      <c r="A574" t="s">
        <v>2704</v>
      </c>
      <c r="B574" t="s">
        <v>30</v>
      </c>
      <c r="C574" t="s">
        <v>52</v>
      </c>
      <c r="D574" s="15">
        <v>1</v>
      </c>
      <c r="E574" s="7">
        <v>178.25</v>
      </c>
      <c r="H574">
        <v>8327</v>
      </c>
      <c r="I574" t="s">
        <v>854</v>
      </c>
      <c r="J574" t="s">
        <v>2744</v>
      </c>
      <c r="K574" t="s">
        <v>3</v>
      </c>
      <c r="L574" s="2">
        <v>43221</v>
      </c>
      <c r="M574" s="2">
        <f>DHMXX[[#This Row],[INV DOC DATE]]+30</f>
        <v>43251</v>
      </c>
      <c r="N574" s="2">
        <v>43251</v>
      </c>
      <c r="O574" s="7">
        <v>178.25</v>
      </c>
      <c r="P574" s="2">
        <v>43262</v>
      </c>
      <c r="Q574" s="7">
        <f>$E574-$O574</f>
        <v>0</v>
      </c>
      <c r="R574" s="7" t="str">
        <f ca="1">IF(TODAY() - DHMXX[INV DUE DATE]&lt;30, "Less than 30 days",IF(TODAY()-DHMXX[INV DUE DATE]&lt;60,"30-60 days","More than 60 days"))</f>
        <v>30-60 days</v>
      </c>
      <c r="S574" t="s">
        <v>1550</v>
      </c>
      <c r="T574" s="43" t="s">
        <v>2229</v>
      </c>
      <c r="U574" t="s">
        <v>3699</v>
      </c>
    </row>
    <row r="575" spans="1:21" x14ac:dyDescent="0.3">
      <c r="A575" t="s">
        <v>2704</v>
      </c>
      <c r="B575" t="s">
        <v>30</v>
      </c>
      <c r="C575" t="s">
        <v>53</v>
      </c>
      <c r="D575" s="15">
        <v>1</v>
      </c>
      <c r="E575" s="7">
        <v>178.25</v>
      </c>
      <c r="H575">
        <v>13342</v>
      </c>
      <c r="I575" t="s">
        <v>839</v>
      </c>
      <c r="J575" t="s">
        <v>2745</v>
      </c>
      <c r="K575" t="s">
        <v>3</v>
      </c>
      <c r="L575" s="2">
        <v>43221</v>
      </c>
      <c r="M575" s="2">
        <f>DHMXX[[#This Row],[INV DOC DATE]]+30</f>
        <v>43251</v>
      </c>
      <c r="N575" s="2">
        <v>43251</v>
      </c>
      <c r="O575" s="7">
        <v>178.25</v>
      </c>
      <c r="P575" s="2">
        <v>43262</v>
      </c>
      <c r="Q575" s="7">
        <f>$E575-$O575</f>
        <v>0</v>
      </c>
      <c r="R575" s="7" t="str">
        <f ca="1">IF(TODAY() - DHMXX[INV DUE DATE]&lt;30, "Less than 30 days",IF(TODAY()-DHMXX[INV DUE DATE]&lt;60,"30-60 days","More than 60 days"))</f>
        <v>30-60 days</v>
      </c>
      <c r="S575" t="s">
        <v>1550</v>
      </c>
      <c r="T575" s="43" t="s">
        <v>2229</v>
      </c>
      <c r="U575" t="s">
        <v>3699</v>
      </c>
    </row>
    <row r="576" spans="1:21" x14ac:dyDescent="0.3">
      <c r="A576" t="s">
        <v>2704</v>
      </c>
      <c r="B576" t="s">
        <v>30</v>
      </c>
      <c r="C576" t="s">
        <v>54</v>
      </c>
      <c r="D576" s="15">
        <v>1</v>
      </c>
      <c r="E576" s="7">
        <v>178.25</v>
      </c>
      <c r="H576">
        <v>13342</v>
      </c>
      <c r="I576" t="s">
        <v>839</v>
      </c>
      <c r="J576" t="s">
        <v>2746</v>
      </c>
      <c r="K576" t="s">
        <v>3</v>
      </c>
      <c r="L576" s="2">
        <v>43221</v>
      </c>
      <c r="M576" s="2">
        <f>DHMXX[[#This Row],[INV DOC DATE]]+30</f>
        <v>43251</v>
      </c>
      <c r="N576" s="2">
        <v>43251</v>
      </c>
      <c r="O576" s="7">
        <v>178.25</v>
      </c>
      <c r="P576" s="2">
        <v>43262</v>
      </c>
      <c r="Q576" s="7">
        <f>$E576-$O576</f>
        <v>0</v>
      </c>
      <c r="R576" s="7" t="str">
        <f ca="1">IF(TODAY() - DHMXX[INV DUE DATE]&lt;30, "Less than 30 days",IF(TODAY()-DHMXX[INV DUE DATE]&lt;60,"30-60 days","More than 60 days"))</f>
        <v>30-60 days</v>
      </c>
      <c r="S576" t="s">
        <v>1550</v>
      </c>
      <c r="T576" s="43" t="s">
        <v>2229</v>
      </c>
      <c r="U576" t="s">
        <v>3699</v>
      </c>
    </row>
    <row r="577" spans="1:21" x14ac:dyDescent="0.3">
      <c r="A577" t="s">
        <v>2704</v>
      </c>
      <c r="B577" t="s">
        <v>30</v>
      </c>
      <c r="C577" t="s">
        <v>55</v>
      </c>
      <c r="D577" s="15">
        <v>1</v>
      </c>
      <c r="E577" s="7">
        <v>178.25</v>
      </c>
      <c r="H577">
        <v>13342</v>
      </c>
      <c r="I577" t="s">
        <v>839</v>
      </c>
      <c r="J577" t="s">
        <v>2747</v>
      </c>
      <c r="K577" t="s">
        <v>3</v>
      </c>
      <c r="L577" s="2">
        <v>43221</v>
      </c>
      <c r="M577" s="2">
        <f>DHMXX[[#This Row],[INV DOC DATE]]+30</f>
        <v>43251</v>
      </c>
      <c r="N577" s="2">
        <v>43251</v>
      </c>
      <c r="O577" s="7">
        <v>178.25</v>
      </c>
      <c r="P577" s="2">
        <v>43262</v>
      </c>
      <c r="Q577" s="7">
        <f>$E577-$O577</f>
        <v>0</v>
      </c>
      <c r="R577" s="7" t="str">
        <f ca="1">IF(TODAY() - DHMXX[INV DUE DATE]&lt;30, "Less than 30 days",IF(TODAY()-DHMXX[INV DUE DATE]&lt;60,"30-60 days","More than 60 days"))</f>
        <v>30-60 days</v>
      </c>
      <c r="S577" t="s">
        <v>1550</v>
      </c>
      <c r="T577" s="43" t="s">
        <v>2229</v>
      </c>
      <c r="U577" t="s">
        <v>3699</v>
      </c>
    </row>
    <row r="578" spans="1:21" x14ac:dyDescent="0.3">
      <c r="A578" t="s">
        <v>2704</v>
      </c>
      <c r="B578" t="s">
        <v>30</v>
      </c>
      <c r="C578" t="s">
        <v>56</v>
      </c>
      <c r="D578" s="15">
        <v>1</v>
      </c>
      <c r="E578" s="7">
        <v>178.25</v>
      </c>
      <c r="H578">
        <v>54876</v>
      </c>
      <c r="I578" t="s">
        <v>841</v>
      </c>
      <c r="J578" t="s">
        <v>2748</v>
      </c>
      <c r="K578" t="s">
        <v>3</v>
      </c>
      <c r="L578" s="2">
        <v>43221</v>
      </c>
      <c r="M578" s="2">
        <f>DHMXX[[#This Row],[INV DOC DATE]]+30</f>
        <v>43251</v>
      </c>
      <c r="N578" s="2">
        <v>43251</v>
      </c>
      <c r="O578" s="7">
        <v>178.25</v>
      </c>
      <c r="P578" s="2">
        <v>43262</v>
      </c>
      <c r="Q578" s="7">
        <f>$E578-$O578</f>
        <v>0</v>
      </c>
      <c r="R578" s="7" t="str">
        <f ca="1">IF(TODAY() - DHMXX[INV DUE DATE]&lt;30, "Less than 30 days",IF(TODAY()-DHMXX[INV DUE DATE]&lt;60,"30-60 days","More than 60 days"))</f>
        <v>30-60 days</v>
      </c>
      <c r="S578" t="s">
        <v>1550</v>
      </c>
      <c r="T578" s="43" t="s">
        <v>2229</v>
      </c>
      <c r="U578" t="s">
        <v>3699</v>
      </c>
    </row>
    <row r="579" spans="1:21" x14ac:dyDescent="0.3">
      <c r="A579" t="s">
        <v>2704</v>
      </c>
      <c r="B579" t="s">
        <v>30</v>
      </c>
      <c r="C579" t="s">
        <v>57</v>
      </c>
      <c r="D579" s="15">
        <v>1</v>
      </c>
      <c r="E579" s="7">
        <v>178.25</v>
      </c>
      <c r="H579">
        <v>54876</v>
      </c>
      <c r="I579" t="s">
        <v>841</v>
      </c>
      <c r="J579" t="s">
        <v>2749</v>
      </c>
      <c r="K579" t="s">
        <v>3</v>
      </c>
      <c r="L579" s="2">
        <v>43221</v>
      </c>
      <c r="M579" s="2">
        <f>DHMXX[[#This Row],[INV DOC DATE]]+30</f>
        <v>43251</v>
      </c>
      <c r="N579" s="2">
        <v>43251</v>
      </c>
      <c r="O579" s="7">
        <v>178.25</v>
      </c>
      <c r="P579" s="2">
        <v>43262</v>
      </c>
      <c r="Q579" s="7">
        <f>$E579-$O579</f>
        <v>0</v>
      </c>
      <c r="R579" s="7" t="str">
        <f ca="1">IF(TODAY() - DHMXX[INV DUE DATE]&lt;30, "Less than 30 days",IF(TODAY()-DHMXX[INV DUE DATE]&lt;60,"30-60 days","More than 60 days"))</f>
        <v>30-60 days</v>
      </c>
      <c r="S579" t="s">
        <v>1550</v>
      </c>
      <c r="T579" s="43" t="s">
        <v>2229</v>
      </c>
      <c r="U579" t="s">
        <v>3699</v>
      </c>
    </row>
    <row r="580" spans="1:21" x14ac:dyDescent="0.3">
      <c r="A580" t="s">
        <v>2704</v>
      </c>
      <c r="B580" t="s">
        <v>30</v>
      </c>
      <c r="C580" t="s">
        <v>58</v>
      </c>
      <c r="D580" s="15">
        <v>1</v>
      </c>
      <c r="E580" s="7">
        <v>178.25</v>
      </c>
      <c r="H580">
        <v>55052</v>
      </c>
      <c r="I580" t="s">
        <v>353</v>
      </c>
      <c r="J580" t="s">
        <v>2750</v>
      </c>
      <c r="K580" t="s">
        <v>3</v>
      </c>
      <c r="L580" s="2">
        <v>43221</v>
      </c>
      <c r="M580" s="2">
        <f>DHMXX[[#This Row],[INV DOC DATE]]+30</f>
        <v>43251</v>
      </c>
      <c r="N580" s="2">
        <v>43251</v>
      </c>
      <c r="O580" s="7">
        <v>178.25</v>
      </c>
      <c r="P580" s="2">
        <v>43262</v>
      </c>
      <c r="Q580" s="7">
        <f>$E580-$O580</f>
        <v>0</v>
      </c>
      <c r="R580" s="7" t="str">
        <f ca="1">IF(TODAY() - DHMXX[INV DUE DATE]&lt;30, "Less than 30 days",IF(TODAY()-DHMXX[INV DUE DATE]&lt;60,"30-60 days","More than 60 days"))</f>
        <v>30-60 days</v>
      </c>
      <c r="S580" t="s">
        <v>1550</v>
      </c>
      <c r="T580" s="43" t="s">
        <v>2229</v>
      </c>
      <c r="U580" t="s">
        <v>3699</v>
      </c>
    </row>
    <row r="581" spans="1:21" x14ac:dyDescent="0.3">
      <c r="A581" t="s">
        <v>2704</v>
      </c>
      <c r="B581" t="s">
        <v>30</v>
      </c>
      <c r="C581" t="s">
        <v>59</v>
      </c>
      <c r="D581" s="15">
        <v>1</v>
      </c>
      <c r="E581" s="7">
        <v>178.25</v>
      </c>
      <c r="H581">
        <v>55242</v>
      </c>
      <c r="I581" t="s">
        <v>353</v>
      </c>
      <c r="J581" t="s">
        <v>2751</v>
      </c>
      <c r="K581" t="s">
        <v>3</v>
      </c>
      <c r="L581" s="2">
        <v>43221</v>
      </c>
      <c r="M581" s="2">
        <f>DHMXX[[#This Row],[INV DOC DATE]]+30</f>
        <v>43251</v>
      </c>
      <c r="N581" s="2">
        <v>43251</v>
      </c>
      <c r="O581" s="7">
        <v>178.25</v>
      </c>
      <c r="P581" s="2">
        <v>43262</v>
      </c>
      <c r="Q581" s="7">
        <f>$E581-$O581</f>
        <v>0</v>
      </c>
      <c r="R581" s="7" t="str">
        <f ca="1">IF(TODAY() - DHMXX[INV DUE DATE]&lt;30, "Less than 30 days",IF(TODAY()-DHMXX[INV DUE DATE]&lt;60,"30-60 days","More than 60 days"))</f>
        <v>30-60 days</v>
      </c>
      <c r="S581" t="s">
        <v>1550</v>
      </c>
      <c r="T581" s="43" t="s">
        <v>2229</v>
      </c>
      <c r="U581" t="s">
        <v>3699</v>
      </c>
    </row>
    <row r="582" spans="1:21" x14ac:dyDescent="0.3">
      <c r="A582" t="s">
        <v>2704</v>
      </c>
      <c r="B582" t="s">
        <v>30</v>
      </c>
      <c r="C582" t="s">
        <v>60</v>
      </c>
      <c r="D582" s="15">
        <v>1</v>
      </c>
      <c r="E582" s="7">
        <v>178.25</v>
      </c>
      <c r="H582">
        <v>55242</v>
      </c>
      <c r="I582" t="s">
        <v>353</v>
      </c>
      <c r="J582" t="s">
        <v>2752</v>
      </c>
      <c r="K582" t="s">
        <v>3</v>
      </c>
      <c r="L582" s="2">
        <v>43221</v>
      </c>
      <c r="M582" s="2">
        <f>DHMXX[[#This Row],[INV DOC DATE]]+30</f>
        <v>43251</v>
      </c>
      <c r="N582" s="2">
        <v>43251</v>
      </c>
      <c r="O582" s="7">
        <v>178.25</v>
      </c>
      <c r="P582" s="2">
        <v>43262</v>
      </c>
      <c r="Q582" s="7">
        <f>$E582-$O582</f>
        <v>0</v>
      </c>
      <c r="R582" s="7" t="str">
        <f ca="1">IF(TODAY() - DHMXX[INV DUE DATE]&lt;30, "Less than 30 days",IF(TODAY()-DHMXX[INV DUE DATE]&lt;60,"30-60 days","More than 60 days"))</f>
        <v>30-60 days</v>
      </c>
      <c r="S582" t="s">
        <v>1550</v>
      </c>
      <c r="T582" s="43" t="s">
        <v>2229</v>
      </c>
      <c r="U582" t="s">
        <v>3699</v>
      </c>
    </row>
    <row r="583" spans="1:21" x14ac:dyDescent="0.3">
      <c r="A583" t="s">
        <v>2704</v>
      </c>
      <c r="B583" t="s">
        <v>30</v>
      </c>
      <c r="C583" t="s">
        <v>61</v>
      </c>
      <c r="D583" s="15">
        <v>1</v>
      </c>
      <c r="E583" s="7">
        <v>178.25</v>
      </c>
      <c r="H583">
        <v>55242</v>
      </c>
      <c r="I583" t="s">
        <v>353</v>
      </c>
      <c r="J583" t="s">
        <v>2753</v>
      </c>
      <c r="K583" t="s">
        <v>3</v>
      </c>
      <c r="L583" s="2">
        <v>43221</v>
      </c>
      <c r="M583" s="2">
        <f>DHMXX[[#This Row],[INV DOC DATE]]+30</f>
        <v>43251</v>
      </c>
      <c r="N583" s="2">
        <v>43251</v>
      </c>
      <c r="O583" s="7">
        <v>178.25</v>
      </c>
      <c r="P583" s="2">
        <v>43262</v>
      </c>
      <c r="Q583" s="7">
        <f>$E583-$O583</f>
        <v>0</v>
      </c>
      <c r="R583" s="7" t="str">
        <f ca="1">IF(TODAY() - DHMXX[INV DUE DATE]&lt;30, "Less than 30 days",IF(TODAY()-DHMXX[INV DUE DATE]&lt;60,"30-60 days","More than 60 days"))</f>
        <v>30-60 days</v>
      </c>
      <c r="S583" t="s">
        <v>1550</v>
      </c>
      <c r="T583" s="43" t="s">
        <v>2229</v>
      </c>
      <c r="U583" t="s">
        <v>3699</v>
      </c>
    </row>
    <row r="584" spans="1:21" x14ac:dyDescent="0.3">
      <c r="A584" t="s">
        <v>2704</v>
      </c>
      <c r="B584" t="s">
        <v>30</v>
      </c>
      <c r="C584" t="s">
        <v>62</v>
      </c>
      <c r="D584" s="15">
        <v>1</v>
      </c>
      <c r="E584" s="7">
        <v>178.25</v>
      </c>
      <c r="H584">
        <v>55253</v>
      </c>
      <c r="I584" t="s">
        <v>353</v>
      </c>
      <c r="J584" t="s">
        <v>2754</v>
      </c>
      <c r="K584" t="s">
        <v>3</v>
      </c>
      <c r="L584" s="2">
        <v>43221</v>
      </c>
      <c r="M584" s="2">
        <f>DHMXX[[#This Row],[INV DOC DATE]]+30</f>
        <v>43251</v>
      </c>
      <c r="N584" s="2">
        <v>43251</v>
      </c>
      <c r="O584" s="7">
        <v>178.25</v>
      </c>
      <c r="P584" s="2">
        <v>43262</v>
      </c>
      <c r="Q584" s="7">
        <f>$E584-$O584</f>
        <v>0</v>
      </c>
      <c r="R584" s="7" t="str">
        <f ca="1">IF(TODAY() - DHMXX[INV DUE DATE]&lt;30, "Less than 30 days",IF(TODAY()-DHMXX[INV DUE DATE]&lt;60,"30-60 days","More than 60 days"))</f>
        <v>30-60 days</v>
      </c>
      <c r="S584" t="s">
        <v>1550</v>
      </c>
      <c r="T584" s="43" t="s">
        <v>2229</v>
      </c>
      <c r="U584" t="s">
        <v>3699</v>
      </c>
    </row>
    <row r="585" spans="1:21" x14ac:dyDescent="0.3">
      <c r="A585" t="s">
        <v>2704</v>
      </c>
      <c r="B585" t="s">
        <v>30</v>
      </c>
      <c r="C585" t="s">
        <v>63</v>
      </c>
      <c r="D585" s="15">
        <v>1</v>
      </c>
      <c r="E585" s="7">
        <v>178.25</v>
      </c>
      <c r="H585">
        <v>55253</v>
      </c>
      <c r="I585" t="s">
        <v>353</v>
      </c>
      <c r="J585" t="s">
        <v>2755</v>
      </c>
      <c r="K585" t="s">
        <v>3</v>
      </c>
      <c r="L585" s="2">
        <v>43221</v>
      </c>
      <c r="M585" s="2">
        <f>DHMXX[[#This Row],[INV DOC DATE]]+30</f>
        <v>43251</v>
      </c>
      <c r="N585" s="2">
        <v>43251</v>
      </c>
      <c r="O585" s="7">
        <v>178.25</v>
      </c>
      <c r="P585" s="2">
        <v>43262</v>
      </c>
      <c r="Q585" s="7">
        <f>$E585-$O585</f>
        <v>0</v>
      </c>
      <c r="R585" s="7" t="str">
        <f ca="1">IF(TODAY() - DHMXX[INV DUE DATE]&lt;30, "Less than 30 days",IF(TODAY()-DHMXX[INV DUE DATE]&lt;60,"30-60 days","More than 60 days"))</f>
        <v>30-60 days</v>
      </c>
      <c r="S585" t="s">
        <v>1550</v>
      </c>
      <c r="T585" s="43" t="s">
        <v>2229</v>
      </c>
      <c r="U585" t="s">
        <v>3699</v>
      </c>
    </row>
    <row r="586" spans="1:21" x14ac:dyDescent="0.3">
      <c r="A586" t="s">
        <v>2704</v>
      </c>
      <c r="B586" t="s">
        <v>30</v>
      </c>
      <c r="C586" t="s">
        <v>64</v>
      </c>
      <c r="D586" s="15">
        <v>1</v>
      </c>
      <c r="E586" s="7">
        <v>178.25</v>
      </c>
      <c r="H586">
        <v>55292</v>
      </c>
      <c r="I586" t="s">
        <v>353</v>
      </c>
      <c r="J586" t="s">
        <v>2756</v>
      </c>
      <c r="K586" t="s">
        <v>3</v>
      </c>
      <c r="L586" s="2">
        <v>43221</v>
      </c>
      <c r="M586" s="2">
        <f>DHMXX[[#This Row],[INV DOC DATE]]+30</f>
        <v>43251</v>
      </c>
      <c r="N586" s="2">
        <v>43251</v>
      </c>
      <c r="O586" s="7">
        <v>178.25</v>
      </c>
      <c r="P586" s="2">
        <v>43262</v>
      </c>
      <c r="Q586" s="7">
        <f>$E586-$O586</f>
        <v>0</v>
      </c>
      <c r="R586" s="7" t="str">
        <f ca="1">IF(TODAY() - DHMXX[INV DUE DATE]&lt;30, "Less than 30 days",IF(TODAY()-DHMXX[INV DUE DATE]&lt;60,"30-60 days","More than 60 days"))</f>
        <v>30-60 days</v>
      </c>
      <c r="S586" t="s">
        <v>1550</v>
      </c>
      <c r="T586" s="43" t="s">
        <v>2229</v>
      </c>
      <c r="U586" t="s">
        <v>3699</v>
      </c>
    </row>
    <row r="587" spans="1:21" x14ac:dyDescent="0.3">
      <c r="A587" t="s">
        <v>2704</v>
      </c>
      <c r="B587" t="s">
        <v>30</v>
      </c>
      <c r="C587" t="s">
        <v>65</v>
      </c>
      <c r="D587" s="15">
        <v>1</v>
      </c>
      <c r="E587" s="7">
        <v>178.25</v>
      </c>
      <c r="H587">
        <v>55292</v>
      </c>
      <c r="I587" t="s">
        <v>353</v>
      </c>
      <c r="J587" t="s">
        <v>2757</v>
      </c>
      <c r="K587" t="s">
        <v>3</v>
      </c>
      <c r="L587" s="2">
        <v>43221</v>
      </c>
      <c r="M587" s="2">
        <f>DHMXX[[#This Row],[INV DOC DATE]]+30</f>
        <v>43251</v>
      </c>
      <c r="N587" s="2">
        <v>43251</v>
      </c>
      <c r="O587" s="7">
        <v>178.25</v>
      </c>
      <c r="P587" s="2">
        <v>43262</v>
      </c>
      <c r="Q587" s="7">
        <f>$E587-$O587</f>
        <v>0</v>
      </c>
      <c r="R587" s="7" t="str">
        <f ca="1">IF(TODAY() - DHMXX[INV DUE DATE]&lt;30, "Less than 30 days",IF(TODAY()-DHMXX[INV DUE DATE]&lt;60,"30-60 days","More than 60 days"))</f>
        <v>30-60 days</v>
      </c>
      <c r="S587" t="s">
        <v>1550</v>
      </c>
      <c r="T587" s="43" t="s">
        <v>2229</v>
      </c>
      <c r="U587" t="s">
        <v>3699</v>
      </c>
    </row>
    <row r="588" spans="1:21" x14ac:dyDescent="0.3">
      <c r="A588" t="s">
        <v>2704</v>
      </c>
      <c r="B588" t="s">
        <v>30</v>
      </c>
      <c r="C588" t="s">
        <v>66</v>
      </c>
      <c r="D588" s="15">
        <v>1</v>
      </c>
      <c r="E588" s="7">
        <v>178.25</v>
      </c>
      <c r="H588">
        <v>55292</v>
      </c>
      <c r="I588" t="s">
        <v>353</v>
      </c>
      <c r="J588" t="s">
        <v>2758</v>
      </c>
      <c r="K588" t="s">
        <v>3</v>
      </c>
      <c r="L588" s="2">
        <v>43221</v>
      </c>
      <c r="M588" s="2">
        <f>DHMXX[[#This Row],[INV DOC DATE]]+30</f>
        <v>43251</v>
      </c>
      <c r="N588" s="2">
        <v>43251</v>
      </c>
      <c r="O588" s="7">
        <v>178.25</v>
      </c>
      <c r="P588" s="2">
        <v>43262</v>
      </c>
      <c r="Q588" s="7">
        <f>$E588-$O588</f>
        <v>0</v>
      </c>
      <c r="R588" s="7" t="str">
        <f ca="1">IF(TODAY() - DHMXX[INV DUE DATE]&lt;30, "Less than 30 days",IF(TODAY()-DHMXX[INV DUE DATE]&lt;60,"30-60 days","More than 60 days"))</f>
        <v>30-60 days</v>
      </c>
      <c r="S588" t="s">
        <v>1550</v>
      </c>
      <c r="T588" s="43" t="s">
        <v>2229</v>
      </c>
      <c r="U588" t="s">
        <v>3699</v>
      </c>
    </row>
    <row r="589" spans="1:21" x14ac:dyDescent="0.3">
      <c r="A589" t="s">
        <v>2704</v>
      </c>
      <c r="B589" t="s">
        <v>30</v>
      </c>
      <c r="C589" t="s">
        <v>67</v>
      </c>
      <c r="D589" s="15">
        <v>1</v>
      </c>
      <c r="E589" s="7">
        <v>178.25</v>
      </c>
      <c r="H589">
        <v>55292</v>
      </c>
      <c r="I589" t="s">
        <v>353</v>
      </c>
      <c r="J589" t="s">
        <v>2759</v>
      </c>
      <c r="K589" t="s">
        <v>3</v>
      </c>
      <c r="L589" s="2">
        <v>43221</v>
      </c>
      <c r="M589" s="2">
        <f>DHMXX[[#This Row],[INV DOC DATE]]+30</f>
        <v>43251</v>
      </c>
      <c r="N589" s="2">
        <v>43251</v>
      </c>
      <c r="O589" s="7">
        <v>178.25</v>
      </c>
      <c r="P589" s="2">
        <v>43262</v>
      </c>
      <c r="Q589" s="7">
        <f>$E589-$O589</f>
        <v>0</v>
      </c>
      <c r="R589" s="7" t="str">
        <f ca="1">IF(TODAY() - DHMXX[INV DUE DATE]&lt;30, "Less than 30 days",IF(TODAY()-DHMXX[INV DUE DATE]&lt;60,"30-60 days","More than 60 days"))</f>
        <v>30-60 days</v>
      </c>
      <c r="S589" t="s">
        <v>1550</v>
      </c>
      <c r="T589" s="43" t="s">
        <v>2229</v>
      </c>
      <c r="U589" t="s">
        <v>3699</v>
      </c>
    </row>
    <row r="590" spans="1:21" x14ac:dyDescent="0.3">
      <c r="A590" t="s">
        <v>2704</v>
      </c>
      <c r="B590" t="s">
        <v>30</v>
      </c>
      <c r="C590" t="s">
        <v>68</v>
      </c>
      <c r="D590" s="15">
        <v>1</v>
      </c>
      <c r="E590" s="7">
        <v>178.25</v>
      </c>
      <c r="H590">
        <v>55292</v>
      </c>
      <c r="I590" t="s">
        <v>353</v>
      </c>
      <c r="J590" t="s">
        <v>2760</v>
      </c>
      <c r="K590" t="s">
        <v>3</v>
      </c>
      <c r="L590" s="2">
        <v>43221</v>
      </c>
      <c r="M590" s="2">
        <f>DHMXX[[#This Row],[INV DOC DATE]]+30</f>
        <v>43251</v>
      </c>
      <c r="N590" s="2">
        <v>43251</v>
      </c>
      <c r="O590" s="7">
        <v>178.25</v>
      </c>
      <c r="P590" s="2">
        <v>43262</v>
      </c>
      <c r="Q590" s="7">
        <f>$E590-$O590</f>
        <v>0</v>
      </c>
      <c r="R590" s="7" t="str">
        <f ca="1">IF(TODAY() - DHMXX[INV DUE DATE]&lt;30, "Less than 30 days",IF(TODAY()-DHMXX[INV DUE DATE]&lt;60,"30-60 days","More than 60 days"))</f>
        <v>30-60 days</v>
      </c>
      <c r="S590" t="s">
        <v>1550</v>
      </c>
      <c r="T590" s="43" t="s">
        <v>2229</v>
      </c>
      <c r="U590" t="s">
        <v>3699</v>
      </c>
    </row>
    <row r="591" spans="1:21" x14ac:dyDescent="0.3">
      <c r="A591" t="s">
        <v>2704</v>
      </c>
      <c r="B591" t="s">
        <v>30</v>
      </c>
      <c r="C591" t="s">
        <v>69</v>
      </c>
      <c r="D591" s="15">
        <v>1</v>
      </c>
      <c r="E591" s="7">
        <v>178.25</v>
      </c>
      <c r="H591">
        <v>55292</v>
      </c>
      <c r="I591" t="s">
        <v>353</v>
      </c>
      <c r="J591" t="s">
        <v>2761</v>
      </c>
      <c r="K591" t="s">
        <v>3</v>
      </c>
      <c r="L591" s="2">
        <v>43221</v>
      </c>
      <c r="M591" s="2">
        <f>DHMXX[[#This Row],[INV DOC DATE]]+30</f>
        <v>43251</v>
      </c>
      <c r="N591" s="2">
        <v>43251</v>
      </c>
      <c r="O591" s="7">
        <v>178.25</v>
      </c>
      <c r="P591" s="2">
        <v>43262</v>
      </c>
      <c r="Q591" s="7">
        <f>$E591-$O591</f>
        <v>0</v>
      </c>
      <c r="R591" s="7" t="str">
        <f ca="1">IF(TODAY() - DHMXX[INV DUE DATE]&lt;30, "Less than 30 days",IF(TODAY()-DHMXX[INV DUE DATE]&lt;60,"30-60 days","More than 60 days"))</f>
        <v>30-60 days</v>
      </c>
      <c r="S591" t="s">
        <v>1550</v>
      </c>
      <c r="T591" s="43" t="s">
        <v>2229</v>
      </c>
      <c r="U591" t="s">
        <v>3699</v>
      </c>
    </row>
    <row r="592" spans="1:21" x14ac:dyDescent="0.3">
      <c r="A592" t="s">
        <v>2704</v>
      </c>
      <c r="B592" t="s">
        <v>30</v>
      </c>
      <c r="C592" t="s">
        <v>70</v>
      </c>
      <c r="D592" s="15">
        <v>1</v>
      </c>
      <c r="E592" s="7">
        <v>178.25</v>
      </c>
      <c r="H592">
        <v>55292</v>
      </c>
      <c r="I592" t="s">
        <v>353</v>
      </c>
      <c r="J592" t="s">
        <v>2762</v>
      </c>
      <c r="K592" t="s">
        <v>3</v>
      </c>
      <c r="L592" s="2">
        <v>43221</v>
      </c>
      <c r="M592" s="2">
        <f>DHMXX[[#This Row],[INV DOC DATE]]+30</f>
        <v>43251</v>
      </c>
      <c r="N592" s="2">
        <v>43251</v>
      </c>
      <c r="O592" s="7">
        <v>178.25</v>
      </c>
      <c r="P592" s="2">
        <v>43262</v>
      </c>
      <c r="Q592" s="7">
        <f>$E592-$O592</f>
        <v>0</v>
      </c>
      <c r="R592" s="7" t="str">
        <f ca="1">IF(TODAY() - DHMXX[INV DUE DATE]&lt;30, "Less than 30 days",IF(TODAY()-DHMXX[INV DUE DATE]&lt;60,"30-60 days","More than 60 days"))</f>
        <v>30-60 days</v>
      </c>
      <c r="S592" t="s">
        <v>1550</v>
      </c>
      <c r="T592" s="43" t="s">
        <v>2229</v>
      </c>
      <c r="U592" t="s">
        <v>3699</v>
      </c>
    </row>
    <row r="593" spans="1:21" x14ac:dyDescent="0.3">
      <c r="A593" t="s">
        <v>2704</v>
      </c>
      <c r="B593" t="s">
        <v>30</v>
      </c>
      <c r="C593" t="s">
        <v>71</v>
      </c>
      <c r="D593" s="15">
        <v>1</v>
      </c>
      <c r="E593" s="7">
        <v>178.25</v>
      </c>
      <c r="H593">
        <v>55292</v>
      </c>
      <c r="I593" t="s">
        <v>353</v>
      </c>
      <c r="J593" t="s">
        <v>2763</v>
      </c>
      <c r="K593" t="s">
        <v>3</v>
      </c>
      <c r="L593" s="2">
        <v>43221</v>
      </c>
      <c r="M593" s="2">
        <f>DHMXX[[#This Row],[INV DOC DATE]]+30</f>
        <v>43251</v>
      </c>
      <c r="N593" s="2">
        <v>43251</v>
      </c>
      <c r="O593" s="7">
        <v>178.25</v>
      </c>
      <c r="P593" s="2">
        <v>43262</v>
      </c>
      <c r="Q593" s="7">
        <f>$E593-$O593</f>
        <v>0</v>
      </c>
      <c r="R593" s="7" t="str">
        <f ca="1">IF(TODAY() - DHMXX[INV DUE DATE]&lt;30, "Less than 30 days",IF(TODAY()-DHMXX[INV DUE DATE]&lt;60,"30-60 days","More than 60 days"))</f>
        <v>30-60 days</v>
      </c>
      <c r="S593" t="s">
        <v>1550</v>
      </c>
      <c r="T593" s="43" t="s">
        <v>2229</v>
      </c>
      <c r="U593" t="s">
        <v>3699</v>
      </c>
    </row>
    <row r="594" spans="1:21" x14ac:dyDescent="0.3">
      <c r="A594" t="s">
        <v>2704</v>
      </c>
      <c r="B594" t="s">
        <v>30</v>
      </c>
      <c r="C594" t="s">
        <v>72</v>
      </c>
      <c r="D594" s="15">
        <v>1</v>
      </c>
      <c r="E594" s="7">
        <v>178.25</v>
      </c>
      <c r="H594">
        <v>55292</v>
      </c>
      <c r="I594" t="s">
        <v>353</v>
      </c>
      <c r="J594" t="s">
        <v>2764</v>
      </c>
      <c r="K594" t="s">
        <v>3</v>
      </c>
      <c r="L594" s="2">
        <v>43221</v>
      </c>
      <c r="M594" s="2">
        <f>DHMXX[[#This Row],[INV DOC DATE]]+30</f>
        <v>43251</v>
      </c>
      <c r="N594" s="2">
        <v>43251</v>
      </c>
      <c r="O594" s="7">
        <v>178.25</v>
      </c>
      <c r="P594" s="2">
        <v>43262</v>
      </c>
      <c r="Q594" s="7">
        <f>$E594-$O594</f>
        <v>0</v>
      </c>
      <c r="R594" s="7" t="str">
        <f ca="1">IF(TODAY() - DHMXX[INV DUE DATE]&lt;30, "Less than 30 days",IF(TODAY()-DHMXX[INV DUE DATE]&lt;60,"30-60 days","More than 60 days"))</f>
        <v>30-60 days</v>
      </c>
      <c r="S594" t="s">
        <v>1550</v>
      </c>
      <c r="T594" s="43" t="s">
        <v>2229</v>
      </c>
      <c r="U594" t="s">
        <v>3699</v>
      </c>
    </row>
    <row r="595" spans="1:21" x14ac:dyDescent="0.3">
      <c r="A595" t="s">
        <v>2704</v>
      </c>
      <c r="B595" t="s">
        <v>30</v>
      </c>
      <c r="C595" t="s">
        <v>73</v>
      </c>
      <c r="D595" s="15">
        <v>1</v>
      </c>
      <c r="E595" s="7">
        <v>178.25</v>
      </c>
      <c r="H595">
        <v>55477</v>
      </c>
      <c r="I595" t="s">
        <v>846</v>
      </c>
      <c r="J595" t="s">
        <v>2765</v>
      </c>
      <c r="K595" t="s">
        <v>3</v>
      </c>
      <c r="L595" s="2">
        <v>43221</v>
      </c>
      <c r="M595" s="2">
        <f>DHMXX[[#This Row],[INV DOC DATE]]+30</f>
        <v>43251</v>
      </c>
      <c r="N595" s="2">
        <v>43251</v>
      </c>
      <c r="O595" s="7">
        <v>178.25</v>
      </c>
      <c r="P595" s="2">
        <v>43262</v>
      </c>
      <c r="Q595" s="7">
        <f>$E595-$O595</f>
        <v>0</v>
      </c>
      <c r="R595" s="7" t="str">
        <f ca="1">IF(TODAY() - DHMXX[INV DUE DATE]&lt;30, "Less than 30 days",IF(TODAY()-DHMXX[INV DUE DATE]&lt;60,"30-60 days","More than 60 days"))</f>
        <v>30-60 days</v>
      </c>
      <c r="S595" t="s">
        <v>1550</v>
      </c>
      <c r="T595" s="43" t="s">
        <v>2229</v>
      </c>
      <c r="U595" t="s">
        <v>3699</v>
      </c>
    </row>
    <row r="596" spans="1:21" x14ac:dyDescent="0.3">
      <c r="A596" t="s">
        <v>2704</v>
      </c>
      <c r="B596" t="s">
        <v>30</v>
      </c>
      <c r="C596" t="s">
        <v>74</v>
      </c>
      <c r="D596" s="15">
        <v>1</v>
      </c>
      <c r="E596" s="7">
        <v>178.25</v>
      </c>
      <c r="H596">
        <v>55766</v>
      </c>
      <c r="I596" t="s">
        <v>847</v>
      </c>
      <c r="J596" t="s">
        <v>2766</v>
      </c>
      <c r="K596" t="s">
        <v>3</v>
      </c>
      <c r="L596" s="2">
        <v>43221</v>
      </c>
      <c r="M596" s="2">
        <f>DHMXX[[#This Row],[INV DOC DATE]]+30</f>
        <v>43251</v>
      </c>
      <c r="N596" s="2">
        <v>43251</v>
      </c>
      <c r="O596" s="7">
        <v>178.25</v>
      </c>
      <c r="P596" s="2">
        <v>43262</v>
      </c>
      <c r="Q596" s="7">
        <f>$E596-$O596</f>
        <v>0</v>
      </c>
      <c r="R596" s="7" t="str">
        <f ca="1">IF(TODAY() - DHMXX[INV DUE DATE]&lt;30, "Less than 30 days",IF(TODAY()-DHMXX[INV DUE DATE]&lt;60,"30-60 days","More than 60 days"))</f>
        <v>30-60 days</v>
      </c>
      <c r="S596" t="s">
        <v>1550</v>
      </c>
      <c r="T596" s="43" t="s">
        <v>2229</v>
      </c>
      <c r="U596" t="s">
        <v>3699</v>
      </c>
    </row>
    <row r="597" spans="1:21" x14ac:dyDescent="0.3">
      <c r="A597" t="s">
        <v>2704</v>
      </c>
      <c r="B597" t="s">
        <v>30</v>
      </c>
      <c r="C597" t="s">
        <v>75</v>
      </c>
      <c r="D597" s="15">
        <v>1</v>
      </c>
      <c r="E597" s="7">
        <v>178.25</v>
      </c>
      <c r="H597">
        <v>55766</v>
      </c>
      <c r="I597" t="s">
        <v>847</v>
      </c>
      <c r="J597" t="s">
        <v>2767</v>
      </c>
      <c r="K597" t="s">
        <v>3</v>
      </c>
      <c r="L597" s="2">
        <v>43221</v>
      </c>
      <c r="M597" s="2">
        <f>DHMXX[[#This Row],[INV DOC DATE]]+30</f>
        <v>43251</v>
      </c>
      <c r="N597" s="2">
        <v>43251</v>
      </c>
      <c r="O597" s="7">
        <v>178.25</v>
      </c>
      <c r="P597" s="2">
        <v>43262</v>
      </c>
      <c r="Q597" s="7">
        <f>$E597-$O597</f>
        <v>0</v>
      </c>
      <c r="R597" s="7" t="str">
        <f ca="1">IF(TODAY() - DHMXX[INV DUE DATE]&lt;30, "Less than 30 days",IF(TODAY()-DHMXX[INV DUE DATE]&lt;60,"30-60 days","More than 60 days"))</f>
        <v>30-60 days</v>
      </c>
      <c r="S597" t="s">
        <v>1550</v>
      </c>
      <c r="T597" s="43" t="s">
        <v>2229</v>
      </c>
      <c r="U597" t="s">
        <v>3699</v>
      </c>
    </row>
    <row r="598" spans="1:21" x14ac:dyDescent="0.3">
      <c r="A598" t="s">
        <v>2704</v>
      </c>
      <c r="B598" t="s">
        <v>30</v>
      </c>
      <c r="C598" t="s">
        <v>76</v>
      </c>
      <c r="D598" s="15">
        <v>1</v>
      </c>
      <c r="E598" s="7">
        <v>178.25</v>
      </c>
      <c r="H598">
        <v>55766</v>
      </c>
      <c r="I598" t="s">
        <v>847</v>
      </c>
      <c r="J598" t="s">
        <v>2768</v>
      </c>
      <c r="K598" t="s">
        <v>3</v>
      </c>
      <c r="L598" s="2">
        <v>43221</v>
      </c>
      <c r="M598" s="2">
        <f>DHMXX[[#This Row],[INV DOC DATE]]+30</f>
        <v>43251</v>
      </c>
      <c r="N598" s="2">
        <v>43251</v>
      </c>
      <c r="O598" s="7">
        <v>178.25</v>
      </c>
      <c r="P598" s="2">
        <v>43262</v>
      </c>
      <c r="Q598" s="7">
        <f>$E598-$O598</f>
        <v>0</v>
      </c>
      <c r="R598" s="7" t="str">
        <f ca="1">IF(TODAY() - DHMXX[INV DUE DATE]&lt;30, "Less than 30 days",IF(TODAY()-DHMXX[INV DUE DATE]&lt;60,"30-60 days","More than 60 days"))</f>
        <v>30-60 days</v>
      </c>
      <c r="S598" t="s">
        <v>1550</v>
      </c>
      <c r="T598" s="43" t="s">
        <v>2229</v>
      </c>
      <c r="U598" t="s">
        <v>3699</v>
      </c>
    </row>
    <row r="599" spans="1:21" x14ac:dyDescent="0.3">
      <c r="A599" t="s">
        <v>2704</v>
      </c>
      <c r="B599" t="s">
        <v>30</v>
      </c>
      <c r="C599" t="s">
        <v>77</v>
      </c>
      <c r="D599" s="15">
        <v>1</v>
      </c>
      <c r="E599" s="7">
        <v>178.25</v>
      </c>
      <c r="H599">
        <v>55785</v>
      </c>
      <c r="I599" t="s">
        <v>354</v>
      </c>
      <c r="J599" t="s">
        <v>2769</v>
      </c>
      <c r="K599" t="s">
        <v>3</v>
      </c>
      <c r="L599" s="2">
        <v>43221</v>
      </c>
      <c r="M599" s="2">
        <f>DHMXX[[#This Row],[INV DOC DATE]]+30</f>
        <v>43251</v>
      </c>
      <c r="N599" s="2">
        <v>43251</v>
      </c>
      <c r="O599" s="7">
        <v>178.25</v>
      </c>
      <c r="P599" s="2">
        <v>43262</v>
      </c>
      <c r="Q599" s="7">
        <f>$E599-$O599</f>
        <v>0</v>
      </c>
      <c r="R599" s="7" t="str">
        <f ca="1">IF(TODAY() - DHMXX[INV DUE DATE]&lt;30, "Less than 30 days",IF(TODAY()-DHMXX[INV DUE DATE]&lt;60,"30-60 days","More than 60 days"))</f>
        <v>30-60 days</v>
      </c>
      <c r="S599" t="s">
        <v>1550</v>
      </c>
      <c r="T599" s="43" t="s">
        <v>2229</v>
      </c>
      <c r="U599" t="s">
        <v>3699</v>
      </c>
    </row>
    <row r="600" spans="1:21" x14ac:dyDescent="0.3">
      <c r="A600" t="s">
        <v>2704</v>
      </c>
      <c r="B600" t="s">
        <v>30</v>
      </c>
      <c r="C600" t="s">
        <v>78</v>
      </c>
      <c r="D600" s="15">
        <v>1</v>
      </c>
      <c r="E600" s="7">
        <v>178.25</v>
      </c>
      <c r="H600">
        <v>56539</v>
      </c>
      <c r="I600" t="s">
        <v>848</v>
      </c>
      <c r="J600" t="s">
        <v>2770</v>
      </c>
      <c r="K600" t="s">
        <v>3</v>
      </c>
      <c r="L600" s="2">
        <v>43221</v>
      </c>
      <c r="M600" s="2">
        <f>DHMXX[[#This Row],[INV DOC DATE]]+30</f>
        <v>43251</v>
      </c>
      <c r="N600" s="2">
        <v>43251</v>
      </c>
      <c r="O600" s="7">
        <v>178.25</v>
      </c>
      <c r="P600" s="2">
        <v>43262</v>
      </c>
      <c r="Q600" s="7">
        <f>$E600-$O600</f>
        <v>0</v>
      </c>
      <c r="R600" s="7" t="str">
        <f ca="1">IF(TODAY() - DHMXX[INV DUE DATE]&lt;30, "Less than 30 days",IF(TODAY()-DHMXX[INV DUE DATE]&lt;60,"30-60 days","More than 60 days"))</f>
        <v>30-60 days</v>
      </c>
      <c r="S600" t="s">
        <v>1550</v>
      </c>
      <c r="T600" s="43" t="s">
        <v>2229</v>
      </c>
      <c r="U600" t="s">
        <v>3699</v>
      </c>
    </row>
    <row r="601" spans="1:21" x14ac:dyDescent="0.3">
      <c r="A601" t="s">
        <v>2704</v>
      </c>
      <c r="B601" t="s">
        <v>30</v>
      </c>
      <c r="C601" t="s">
        <v>79</v>
      </c>
      <c r="D601" s="15">
        <v>1</v>
      </c>
      <c r="E601" s="7">
        <v>178.25</v>
      </c>
      <c r="H601">
        <v>56539</v>
      </c>
      <c r="I601" t="s">
        <v>848</v>
      </c>
      <c r="J601" t="s">
        <v>2771</v>
      </c>
      <c r="K601" t="s">
        <v>3</v>
      </c>
      <c r="L601" s="2">
        <v>43221</v>
      </c>
      <c r="M601" s="2">
        <f>DHMXX[[#This Row],[INV DOC DATE]]+30</f>
        <v>43251</v>
      </c>
      <c r="N601" s="2">
        <v>43251</v>
      </c>
      <c r="O601" s="7">
        <v>178.25</v>
      </c>
      <c r="P601" s="2">
        <v>43262</v>
      </c>
      <c r="Q601" s="7">
        <f>$E601-$O601</f>
        <v>0</v>
      </c>
      <c r="R601" s="7" t="str">
        <f ca="1">IF(TODAY() - DHMXX[INV DUE DATE]&lt;30, "Less than 30 days",IF(TODAY()-DHMXX[INV DUE DATE]&lt;60,"30-60 days","More than 60 days"))</f>
        <v>30-60 days</v>
      </c>
      <c r="S601" t="s">
        <v>1550</v>
      </c>
      <c r="T601" s="43" t="s">
        <v>2229</v>
      </c>
      <c r="U601" t="s">
        <v>3699</v>
      </c>
    </row>
    <row r="602" spans="1:21" x14ac:dyDescent="0.3">
      <c r="A602" t="s">
        <v>2704</v>
      </c>
      <c r="B602" t="s">
        <v>30</v>
      </c>
      <c r="C602" t="s">
        <v>80</v>
      </c>
      <c r="D602" s="15">
        <v>1</v>
      </c>
      <c r="E602" s="7">
        <v>178.25</v>
      </c>
      <c r="H602">
        <v>56539</v>
      </c>
      <c r="I602" t="s">
        <v>848</v>
      </c>
      <c r="J602" t="s">
        <v>2772</v>
      </c>
      <c r="K602" t="s">
        <v>3</v>
      </c>
      <c r="L602" s="2">
        <v>43221</v>
      </c>
      <c r="M602" s="2">
        <f>DHMXX[[#This Row],[INV DOC DATE]]+30</f>
        <v>43251</v>
      </c>
      <c r="N602" s="2">
        <v>43251</v>
      </c>
      <c r="O602" s="7">
        <v>178.25</v>
      </c>
      <c r="P602" s="2">
        <v>43262</v>
      </c>
      <c r="Q602" s="7">
        <f>$E602-$O602</f>
        <v>0</v>
      </c>
      <c r="R602" s="7" t="str">
        <f ca="1">IF(TODAY() - DHMXX[INV DUE DATE]&lt;30, "Less than 30 days",IF(TODAY()-DHMXX[INV DUE DATE]&lt;60,"30-60 days","More than 60 days"))</f>
        <v>30-60 days</v>
      </c>
      <c r="S602" t="s">
        <v>1550</v>
      </c>
      <c r="T602" s="43" t="s">
        <v>2229</v>
      </c>
      <c r="U602" t="s">
        <v>3699</v>
      </c>
    </row>
    <row r="603" spans="1:21" x14ac:dyDescent="0.3">
      <c r="A603" t="s">
        <v>2704</v>
      </c>
      <c r="B603" t="s">
        <v>30</v>
      </c>
      <c r="C603" t="s">
        <v>81</v>
      </c>
      <c r="D603" s="15">
        <v>1</v>
      </c>
      <c r="E603" s="7">
        <v>178.25</v>
      </c>
      <c r="H603">
        <v>56774</v>
      </c>
      <c r="I603" t="s">
        <v>849</v>
      </c>
      <c r="J603" t="s">
        <v>2773</v>
      </c>
      <c r="K603" t="s">
        <v>3</v>
      </c>
      <c r="L603" s="2">
        <v>43221</v>
      </c>
      <c r="M603" s="2">
        <f>DHMXX[[#This Row],[INV DOC DATE]]+30</f>
        <v>43251</v>
      </c>
      <c r="N603" s="2">
        <v>43251</v>
      </c>
      <c r="O603" s="7">
        <v>178.25</v>
      </c>
      <c r="P603" s="2">
        <v>43262</v>
      </c>
      <c r="Q603" s="7">
        <f>$E603-$O603</f>
        <v>0</v>
      </c>
      <c r="R603" s="7" t="str">
        <f ca="1">IF(TODAY() - DHMXX[INV DUE DATE]&lt;30, "Less than 30 days",IF(TODAY()-DHMXX[INV DUE DATE]&lt;60,"30-60 days","More than 60 days"))</f>
        <v>30-60 days</v>
      </c>
      <c r="S603" t="s">
        <v>1550</v>
      </c>
      <c r="T603" s="43" t="s">
        <v>2229</v>
      </c>
      <c r="U603" t="s">
        <v>3699</v>
      </c>
    </row>
    <row r="604" spans="1:21" x14ac:dyDescent="0.3">
      <c r="A604" t="s">
        <v>2704</v>
      </c>
      <c r="B604" t="s">
        <v>30</v>
      </c>
      <c r="C604" t="s">
        <v>82</v>
      </c>
      <c r="D604" s="15">
        <v>1</v>
      </c>
      <c r="E604" s="7">
        <v>434</v>
      </c>
      <c r="H604">
        <v>56774</v>
      </c>
      <c r="I604" t="s">
        <v>849</v>
      </c>
      <c r="J604" t="s">
        <v>2774</v>
      </c>
      <c r="K604" t="s">
        <v>3</v>
      </c>
      <c r="L604" s="2">
        <v>43221</v>
      </c>
      <c r="M604" s="2">
        <f>DHMXX[[#This Row],[INV DOC DATE]]+30</f>
        <v>43251</v>
      </c>
      <c r="N604" s="2">
        <v>43251</v>
      </c>
      <c r="O604" s="7">
        <v>434</v>
      </c>
      <c r="P604" s="2">
        <v>43262</v>
      </c>
      <c r="Q604" s="7">
        <f>$E604-$O604</f>
        <v>0</v>
      </c>
      <c r="R604" s="7" t="str">
        <f ca="1">IF(TODAY() - DHMXX[INV DUE DATE]&lt;30, "Less than 30 days",IF(TODAY()-DHMXX[INV DUE DATE]&lt;60,"30-60 days","More than 60 days"))</f>
        <v>30-60 days</v>
      </c>
      <c r="S604" t="s">
        <v>1550</v>
      </c>
      <c r="T604" s="43" t="s">
        <v>2229</v>
      </c>
      <c r="U604" t="s">
        <v>3699</v>
      </c>
    </row>
    <row r="605" spans="1:21" x14ac:dyDescent="0.3">
      <c r="A605" t="s">
        <v>2704</v>
      </c>
      <c r="B605" t="s">
        <v>30</v>
      </c>
      <c r="C605" t="s">
        <v>83</v>
      </c>
      <c r="D605" s="15">
        <v>1</v>
      </c>
      <c r="E605" s="7">
        <v>434</v>
      </c>
      <c r="H605">
        <v>56774</v>
      </c>
      <c r="I605" t="s">
        <v>849</v>
      </c>
      <c r="J605" t="s">
        <v>2775</v>
      </c>
      <c r="K605" t="s">
        <v>3</v>
      </c>
      <c r="L605" s="2">
        <v>43221</v>
      </c>
      <c r="M605" s="2">
        <f>DHMXX[[#This Row],[INV DOC DATE]]+30</f>
        <v>43251</v>
      </c>
      <c r="N605" s="2">
        <v>43251</v>
      </c>
      <c r="O605" s="7">
        <v>434</v>
      </c>
      <c r="P605" s="2">
        <v>43262</v>
      </c>
      <c r="Q605" s="7">
        <f>$E605-$O605</f>
        <v>0</v>
      </c>
      <c r="R605" s="7" t="str">
        <f ca="1">IF(TODAY() - DHMXX[INV DUE DATE]&lt;30, "Less than 30 days",IF(TODAY()-DHMXX[INV DUE DATE]&lt;60,"30-60 days","More than 60 days"))</f>
        <v>30-60 days</v>
      </c>
      <c r="S605" t="s">
        <v>1550</v>
      </c>
      <c r="T605" s="43" t="s">
        <v>2229</v>
      </c>
      <c r="U605" t="s">
        <v>3699</v>
      </c>
    </row>
    <row r="606" spans="1:21" x14ac:dyDescent="0.3">
      <c r="A606" t="s">
        <v>2704</v>
      </c>
      <c r="B606" t="s">
        <v>30</v>
      </c>
      <c r="C606" t="s">
        <v>84</v>
      </c>
      <c r="D606" s="15">
        <v>1</v>
      </c>
      <c r="E606" s="7">
        <v>434</v>
      </c>
      <c r="H606">
        <v>56774</v>
      </c>
      <c r="I606" t="s">
        <v>849</v>
      </c>
      <c r="J606" t="s">
        <v>2776</v>
      </c>
      <c r="K606" t="s">
        <v>3</v>
      </c>
      <c r="L606" s="2">
        <v>43221</v>
      </c>
      <c r="M606" s="2">
        <f>DHMXX[[#This Row],[INV DOC DATE]]+30</f>
        <v>43251</v>
      </c>
      <c r="N606" s="2">
        <v>43251</v>
      </c>
      <c r="O606" s="7">
        <v>434</v>
      </c>
      <c r="P606" s="2">
        <v>43262</v>
      </c>
      <c r="Q606" s="7">
        <f>$E606-$O606</f>
        <v>0</v>
      </c>
      <c r="R606" s="7" t="str">
        <f ca="1">IF(TODAY() - DHMXX[INV DUE DATE]&lt;30, "Less than 30 days",IF(TODAY()-DHMXX[INV DUE DATE]&lt;60,"30-60 days","More than 60 days"))</f>
        <v>30-60 days</v>
      </c>
      <c r="S606" t="s">
        <v>1550</v>
      </c>
      <c r="T606" s="43" t="s">
        <v>2229</v>
      </c>
      <c r="U606" t="s">
        <v>3699</v>
      </c>
    </row>
    <row r="607" spans="1:21" x14ac:dyDescent="0.3">
      <c r="A607" t="s">
        <v>2704</v>
      </c>
      <c r="B607" t="s">
        <v>30</v>
      </c>
      <c r="C607" t="s">
        <v>85</v>
      </c>
      <c r="D607" s="15">
        <v>1</v>
      </c>
      <c r="E607" s="7">
        <v>178.25</v>
      </c>
      <c r="H607">
        <v>58008</v>
      </c>
      <c r="I607" t="s">
        <v>355</v>
      </c>
      <c r="J607" t="s">
        <v>2777</v>
      </c>
      <c r="K607" t="s">
        <v>3</v>
      </c>
      <c r="L607" s="2">
        <v>43221</v>
      </c>
      <c r="M607" s="2">
        <f>DHMXX[[#This Row],[INV DOC DATE]]+30</f>
        <v>43251</v>
      </c>
      <c r="N607" s="2">
        <v>43251</v>
      </c>
      <c r="O607" s="7">
        <v>178.25</v>
      </c>
      <c r="P607" s="2">
        <v>43262</v>
      </c>
      <c r="Q607" s="7">
        <f>$E607-$O607</f>
        <v>0</v>
      </c>
      <c r="R607" s="7" t="str">
        <f ca="1">IF(TODAY() - DHMXX[INV DUE DATE]&lt;30, "Less than 30 days",IF(TODAY()-DHMXX[INV DUE DATE]&lt;60,"30-60 days","More than 60 days"))</f>
        <v>30-60 days</v>
      </c>
      <c r="S607" t="s">
        <v>1550</v>
      </c>
      <c r="T607" s="43" t="s">
        <v>2229</v>
      </c>
      <c r="U607" t="s">
        <v>3699</v>
      </c>
    </row>
    <row r="608" spans="1:21" x14ac:dyDescent="0.3">
      <c r="A608" t="s">
        <v>2704</v>
      </c>
      <c r="B608" t="s">
        <v>30</v>
      </c>
      <c r="C608" t="s">
        <v>86</v>
      </c>
      <c r="D608" s="15">
        <v>1</v>
      </c>
      <c r="E608" s="7">
        <v>178.25</v>
      </c>
      <c r="H608">
        <v>59994</v>
      </c>
      <c r="I608" t="s">
        <v>850</v>
      </c>
      <c r="J608" t="s">
        <v>2778</v>
      </c>
      <c r="K608" t="s">
        <v>3</v>
      </c>
      <c r="L608" s="2">
        <v>43221</v>
      </c>
      <c r="M608" s="2">
        <f>DHMXX[[#This Row],[INV DOC DATE]]+30</f>
        <v>43251</v>
      </c>
      <c r="N608" s="2">
        <v>43251</v>
      </c>
      <c r="O608" s="7">
        <v>178.25</v>
      </c>
      <c r="P608" s="2">
        <v>43262</v>
      </c>
      <c r="Q608" s="7">
        <f>$E608-$O608</f>
        <v>0</v>
      </c>
      <c r="R608" s="7" t="str">
        <f ca="1">IF(TODAY() - DHMXX[INV DUE DATE]&lt;30, "Less than 30 days",IF(TODAY()-DHMXX[INV DUE DATE]&lt;60,"30-60 days","More than 60 days"))</f>
        <v>30-60 days</v>
      </c>
      <c r="S608" t="s">
        <v>1550</v>
      </c>
      <c r="T608" s="43" t="s">
        <v>2229</v>
      </c>
      <c r="U608" t="s">
        <v>3699</v>
      </c>
    </row>
    <row r="609" spans="1:21" x14ac:dyDescent="0.3">
      <c r="A609" t="s">
        <v>2704</v>
      </c>
      <c r="B609" t="s">
        <v>30</v>
      </c>
      <c r="C609" t="s">
        <v>87</v>
      </c>
      <c r="D609" s="15">
        <v>1</v>
      </c>
      <c r="E609" s="7">
        <v>178.25</v>
      </c>
      <c r="H609">
        <v>66343</v>
      </c>
      <c r="I609" t="s">
        <v>353</v>
      </c>
      <c r="J609" t="s">
        <v>2779</v>
      </c>
      <c r="K609" t="s">
        <v>3</v>
      </c>
      <c r="L609" s="2">
        <v>43221</v>
      </c>
      <c r="M609" s="2">
        <f>DHMXX[[#This Row],[INV DOC DATE]]+30</f>
        <v>43251</v>
      </c>
      <c r="N609" s="2">
        <v>43251</v>
      </c>
      <c r="O609" s="7">
        <v>178.25</v>
      </c>
      <c r="P609" s="2">
        <v>43262</v>
      </c>
      <c r="Q609" s="7">
        <f>$E609-$O609</f>
        <v>0</v>
      </c>
      <c r="R609" s="7" t="str">
        <f ca="1">IF(TODAY() - DHMXX[INV DUE DATE]&lt;30, "Less than 30 days",IF(TODAY()-DHMXX[INV DUE DATE]&lt;60,"30-60 days","More than 60 days"))</f>
        <v>30-60 days</v>
      </c>
      <c r="S609" t="s">
        <v>1550</v>
      </c>
      <c r="T609" s="43" t="s">
        <v>2229</v>
      </c>
      <c r="U609" t="s">
        <v>3699</v>
      </c>
    </row>
    <row r="610" spans="1:21" x14ac:dyDescent="0.3">
      <c r="A610" t="s">
        <v>2704</v>
      </c>
      <c r="B610" t="s">
        <v>30</v>
      </c>
      <c r="C610" t="s">
        <v>88</v>
      </c>
      <c r="D610" s="15">
        <v>1</v>
      </c>
      <c r="E610" s="7">
        <v>178.25</v>
      </c>
      <c r="H610">
        <v>66343</v>
      </c>
      <c r="I610" t="s">
        <v>353</v>
      </c>
      <c r="J610" t="s">
        <v>2780</v>
      </c>
      <c r="K610" t="s">
        <v>3</v>
      </c>
      <c r="L610" s="2">
        <v>43221</v>
      </c>
      <c r="M610" s="2">
        <f>DHMXX[[#This Row],[INV DOC DATE]]+30</f>
        <v>43251</v>
      </c>
      <c r="N610" s="2">
        <v>43251</v>
      </c>
      <c r="O610" s="7">
        <v>178.25</v>
      </c>
      <c r="P610" s="2">
        <v>43262</v>
      </c>
      <c r="Q610" s="7">
        <f>$E610-$O610</f>
        <v>0</v>
      </c>
      <c r="R610" s="7" t="str">
        <f ca="1">IF(TODAY() - DHMXX[INV DUE DATE]&lt;30, "Less than 30 days",IF(TODAY()-DHMXX[INV DUE DATE]&lt;60,"30-60 days","More than 60 days"))</f>
        <v>30-60 days</v>
      </c>
      <c r="S610" t="s">
        <v>1550</v>
      </c>
      <c r="T610" s="43" t="s">
        <v>2229</v>
      </c>
      <c r="U610" t="s">
        <v>3699</v>
      </c>
    </row>
    <row r="611" spans="1:21" x14ac:dyDescent="0.3">
      <c r="A611" t="s">
        <v>2704</v>
      </c>
      <c r="B611" t="s">
        <v>30</v>
      </c>
      <c r="C611" t="s">
        <v>89</v>
      </c>
      <c r="D611" s="15">
        <v>1</v>
      </c>
      <c r="E611" s="7">
        <v>178.25</v>
      </c>
      <c r="H611">
        <v>66652</v>
      </c>
      <c r="I611" t="s">
        <v>356</v>
      </c>
      <c r="J611" t="s">
        <v>2781</v>
      </c>
      <c r="K611" t="s">
        <v>3</v>
      </c>
      <c r="L611" s="2">
        <v>43221</v>
      </c>
      <c r="M611" s="2">
        <f>DHMXX[[#This Row],[INV DOC DATE]]+30</f>
        <v>43251</v>
      </c>
      <c r="N611" s="2">
        <v>43251</v>
      </c>
      <c r="O611" s="7">
        <v>178.25</v>
      </c>
      <c r="P611" s="2">
        <v>43262</v>
      </c>
      <c r="Q611" s="7">
        <f>$E611-$O611</f>
        <v>0</v>
      </c>
      <c r="R611" s="7" t="str">
        <f ca="1">IF(TODAY() - DHMXX[INV DUE DATE]&lt;30, "Less than 30 days",IF(TODAY()-DHMXX[INV DUE DATE]&lt;60,"30-60 days","More than 60 days"))</f>
        <v>30-60 days</v>
      </c>
      <c r="S611" t="s">
        <v>1550</v>
      </c>
      <c r="T611" s="43" t="s">
        <v>2229</v>
      </c>
      <c r="U611" t="s">
        <v>3699</v>
      </c>
    </row>
    <row r="612" spans="1:21" x14ac:dyDescent="0.3">
      <c r="A612" t="s">
        <v>2704</v>
      </c>
      <c r="B612" t="s">
        <v>30</v>
      </c>
      <c r="C612" t="s">
        <v>90</v>
      </c>
      <c r="D612" s="15">
        <v>1</v>
      </c>
      <c r="E612" s="7">
        <v>178.25</v>
      </c>
      <c r="H612">
        <v>66988</v>
      </c>
      <c r="I612" t="s">
        <v>349</v>
      </c>
      <c r="J612" t="s">
        <v>2782</v>
      </c>
      <c r="K612" t="s">
        <v>3</v>
      </c>
      <c r="L612" s="2">
        <v>43221</v>
      </c>
      <c r="M612" s="2">
        <f>DHMXX[[#This Row],[INV DOC DATE]]+30</f>
        <v>43251</v>
      </c>
      <c r="N612" s="2">
        <v>43251</v>
      </c>
      <c r="O612" s="7">
        <v>178.25</v>
      </c>
      <c r="P612" s="2">
        <v>43262</v>
      </c>
      <c r="Q612" s="7">
        <f>$E612-$O612</f>
        <v>0</v>
      </c>
      <c r="R612" s="7" t="str">
        <f ca="1">IF(TODAY() - DHMXX[INV DUE DATE]&lt;30, "Less than 30 days",IF(TODAY()-DHMXX[INV DUE DATE]&lt;60,"30-60 days","More than 60 days"))</f>
        <v>30-60 days</v>
      </c>
      <c r="S612" t="s">
        <v>1550</v>
      </c>
      <c r="T612" s="43" t="s">
        <v>2229</v>
      </c>
      <c r="U612" t="s">
        <v>3699</v>
      </c>
    </row>
    <row r="613" spans="1:21" x14ac:dyDescent="0.3">
      <c r="A613" t="s">
        <v>2704</v>
      </c>
      <c r="B613" t="s">
        <v>30</v>
      </c>
      <c r="C613" t="s">
        <v>91</v>
      </c>
      <c r="D613" s="15">
        <v>1</v>
      </c>
      <c r="E613" s="7">
        <v>480.5</v>
      </c>
      <c r="H613">
        <v>67865</v>
      </c>
      <c r="I613" t="s">
        <v>349</v>
      </c>
      <c r="J613" t="s">
        <v>2783</v>
      </c>
      <c r="K613" t="s">
        <v>3</v>
      </c>
      <c r="L613" s="2">
        <v>43221</v>
      </c>
      <c r="M613" s="2">
        <f>DHMXX[[#This Row],[INV DOC DATE]]+30</f>
        <v>43251</v>
      </c>
      <c r="N613" s="2">
        <v>43251</v>
      </c>
      <c r="O613" s="7">
        <v>480.5</v>
      </c>
      <c r="P613" s="2">
        <v>43262</v>
      </c>
      <c r="Q613" s="7">
        <f>$E613-$O613</f>
        <v>0</v>
      </c>
      <c r="R613" s="7" t="str">
        <f ca="1">IF(TODAY() - DHMXX[INV DUE DATE]&lt;30, "Less than 30 days",IF(TODAY()-DHMXX[INV DUE DATE]&lt;60,"30-60 days","More than 60 days"))</f>
        <v>30-60 days</v>
      </c>
      <c r="S613" t="s">
        <v>1550</v>
      </c>
      <c r="T613" s="43" t="s">
        <v>2229</v>
      </c>
      <c r="U613" t="s">
        <v>3699</v>
      </c>
    </row>
    <row r="614" spans="1:21" x14ac:dyDescent="0.3">
      <c r="A614" t="s">
        <v>2704</v>
      </c>
      <c r="B614" t="s">
        <v>30</v>
      </c>
      <c r="C614" t="s">
        <v>92</v>
      </c>
      <c r="D614" s="15">
        <v>1</v>
      </c>
      <c r="E614" s="7">
        <v>480.5</v>
      </c>
      <c r="H614">
        <v>67865</v>
      </c>
      <c r="I614" t="s">
        <v>349</v>
      </c>
      <c r="J614" t="s">
        <v>2784</v>
      </c>
      <c r="K614" t="s">
        <v>3</v>
      </c>
      <c r="L614" s="2">
        <v>43221</v>
      </c>
      <c r="M614" s="2">
        <f>DHMXX[[#This Row],[INV DOC DATE]]+30</f>
        <v>43251</v>
      </c>
      <c r="N614" s="2">
        <v>43251</v>
      </c>
      <c r="O614" s="7">
        <v>480.5</v>
      </c>
      <c r="P614" s="2">
        <v>43262</v>
      </c>
      <c r="Q614" s="7">
        <f>$E614-$O614</f>
        <v>0</v>
      </c>
      <c r="R614" s="7" t="str">
        <f ca="1">IF(TODAY() - DHMXX[INV DUE DATE]&lt;30, "Less than 30 days",IF(TODAY()-DHMXX[INV DUE DATE]&lt;60,"30-60 days","More than 60 days"))</f>
        <v>30-60 days</v>
      </c>
      <c r="S614" t="s">
        <v>1550</v>
      </c>
      <c r="T614" s="43" t="s">
        <v>2229</v>
      </c>
      <c r="U614" t="s">
        <v>3699</v>
      </c>
    </row>
    <row r="615" spans="1:21" x14ac:dyDescent="0.3">
      <c r="A615" t="s">
        <v>2704</v>
      </c>
      <c r="B615" t="s">
        <v>30</v>
      </c>
      <c r="C615" t="s">
        <v>30</v>
      </c>
      <c r="D615" s="15">
        <v>1</v>
      </c>
      <c r="E615" s="7">
        <v>480.5</v>
      </c>
      <c r="H615">
        <v>67865</v>
      </c>
      <c r="I615" t="s">
        <v>349</v>
      </c>
      <c r="J615" t="s">
        <v>2785</v>
      </c>
      <c r="K615" t="s">
        <v>3</v>
      </c>
      <c r="L615" s="2">
        <v>43221</v>
      </c>
      <c r="M615" s="2">
        <f>DHMXX[[#This Row],[INV DOC DATE]]+30</f>
        <v>43251</v>
      </c>
      <c r="N615" s="2">
        <v>43251</v>
      </c>
      <c r="O615" s="7">
        <v>480.5</v>
      </c>
      <c r="P615" s="2">
        <v>43262</v>
      </c>
      <c r="Q615" s="7">
        <f>$E615-$O615</f>
        <v>0</v>
      </c>
      <c r="R615" s="7" t="str">
        <f ca="1">IF(TODAY() - DHMXX[INV DUE DATE]&lt;30, "Less than 30 days",IF(TODAY()-DHMXX[INV DUE DATE]&lt;60,"30-60 days","More than 60 days"))</f>
        <v>30-60 days</v>
      </c>
      <c r="S615" t="s">
        <v>1550</v>
      </c>
      <c r="T615" s="43" t="s">
        <v>2229</v>
      </c>
      <c r="U615" t="s">
        <v>3699</v>
      </c>
    </row>
    <row r="616" spans="1:21" x14ac:dyDescent="0.3">
      <c r="A616" t="s">
        <v>2704</v>
      </c>
      <c r="B616" t="s">
        <v>30</v>
      </c>
      <c r="C616" t="s">
        <v>93</v>
      </c>
      <c r="D616" s="15">
        <v>1</v>
      </c>
      <c r="E616" s="7">
        <v>480.5</v>
      </c>
      <c r="H616">
        <v>67865</v>
      </c>
      <c r="I616" t="s">
        <v>349</v>
      </c>
      <c r="J616" t="s">
        <v>2786</v>
      </c>
      <c r="K616" t="s">
        <v>3</v>
      </c>
      <c r="L616" s="2">
        <v>43221</v>
      </c>
      <c r="M616" s="2">
        <f>DHMXX[[#This Row],[INV DOC DATE]]+30</f>
        <v>43251</v>
      </c>
      <c r="N616" s="2">
        <v>43251</v>
      </c>
      <c r="O616" s="7">
        <v>480.5</v>
      </c>
      <c r="P616" s="2">
        <v>43262</v>
      </c>
      <c r="Q616" s="7">
        <f>$E616-$O616</f>
        <v>0</v>
      </c>
      <c r="R616" s="7" t="str">
        <f ca="1">IF(TODAY() - DHMXX[INV DUE DATE]&lt;30, "Less than 30 days",IF(TODAY()-DHMXX[INV DUE DATE]&lt;60,"30-60 days","More than 60 days"))</f>
        <v>30-60 days</v>
      </c>
      <c r="S616" t="s">
        <v>1550</v>
      </c>
      <c r="T616" s="43" t="s">
        <v>2229</v>
      </c>
      <c r="U616" t="s">
        <v>3699</v>
      </c>
    </row>
    <row r="617" spans="1:21" x14ac:dyDescent="0.3">
      <c r="A617" t="s">
        <v>2704</v>
      </c>
      <c r="B617" t="s">
        <v>30</v>
      </c>
      <c r="C617" t="s">
        <v>94</v>
      </c>
      <c r="D617" s="15">
        <v>1</v>
      </c>
      <c r="E617" s="7">
        <v>480.5</v>
      </c>
      <c r="H617">
        <v>67865</v>
      </c>
      <c r="I617" t="s">
        <v>349</v>
      </c>
      <c r="J617" t="s">
        <v>2787</v>
      </c>
      <c r="K617" t="s">
        <v>3</v>
      </c>
      <c r="L617" s="2">
        <v>43221</v>
      </c>
      <c r="M617" s="2">
        <f>DHMXX[[#This Row],[INV DOC DATE]]+30</f>
        <v>43251</v>
      </c>
      <c r="N617" s="2">
        <v>43251</v>
      </c>
      <c r="O617" s="7">
        <v>480.5</v>
      </c>
      <c r="P617" s="2">
        <v>43262</v>
      </c>
      <c r="Q617" s="7">
        <f>$E617-$O617</f>
        <v>0</v>
      </c>
      <c r="R617" s="7" t="str">
        <f ca="1">IF(TODAY() - DHMXX[INV DUE DATE]&lt;30, "Less than 30 days",IF(TODAY()-DHMXX[INV DUE DATE]&lt;60,"30-60 days","More than 60 days"))</f>
        <v>30-60 days</v>
      </c>
      <c r="S617" t="s">
        <v>1550</v>
      </c>
      <c r="T617" s="43" t="s">
        <v>2229</v>
      </c>
      <c r="U617" t="s">
        <v>3699</v>
      </c>
    </row>
    <row r="618" spans="1:21" x14ac:dyDescent="0.3">
      <c r="A618" t="s">
        <v>2704</v>
      </c>
      <c r="B618" t="s">
        <v>30</v>
      </c>
      <c r="C618" t="s">
        <v>95</v>
      </c>
      <c r="D618" s="15">
        <v>1</v>
      </c>
      <c r="E618" s="7">
        <v>480.5</v>
      </c>
      <c r="H618">
        <v>67865</v>
      </c>
      <c r="I618" t="s">
        <v>349</v>
      </c>
      <c r="J618" t="s">
        <v>2788</v>
      </c>
      <c r="K618" t="s">
        <v>3</v>
      </c>
      <c r="L618" s="2">
        <v>43221</v>
      </c>
      <c r="M618" s="2">
        <f>DHMXX[[#This Row],[INV DOC DATE]]+30</f>
        <v>43251</v>
      </c>
      <c r="N618" s="2">
        <v>43251</v>
      </c>
      <c r="O618" s="7">
        <v>480.5</v>
      </c>
      <c r="P618" s="2">
        <v>43262</v>
      </c>
      <c r="Q618" s="7">
        <f>$E618-$O618</f>
        <v>0</v>
      </c>
      <c r="R618" s="7" t="str">
        <f ca="1">IF(TODAY() - DHMXX[INV DUE DATE]&lt;30, "Less than 30 days",IF(TODAY()-DHMXX[INV DUE DATE]&lt;60,"30-60 days","More than 60 days"))</f>
        <v>30-60 days</v>
      </c>
      <c r="S618" t="s">
        <v>1550</v>
      </c>
      <c r="T618" s="43" t="s">
        <v>2229</v>
      </c>
      <c r="U618" t="s">
        <v>3699</v>
      </c>
    </row>
    <row r="619" spans="1:21" x14ac:dyDescent="0.3">
      <c r="A619" t="s">
        <v>2704</v>
      </c>
      <c r="B619" t="s">
        <v>30</v>
      </c>
      <c r="C619" t="s">
        <v>96</v>
      </c>
      <c r="D619" s="15">
        <v>1</v>
      </c>
      <c r="E619" s="7">
        <v>596.75</v>
      </c>
      <c r="H619">
        <v>67865</v>
      </c>
      <c r="I619" t="s">
        <v>349</v>
      </c>
      <c r="J619" t="s">
        <v>2789</v>
      </c>
      <c r="K619" t="s">
        <v>3</v>
      </c>
      <c r="L619" s="2">
        <v>43221</v>
      </c>
      <c r="M619" s="2">
        <f>DHMXX[[#This Row],[INV DOC DATE]]+30</f>
        <v>43251</v>
      </c>
      <c r="N619" s="2">
        <v>43251</v>
      </c>
      <c r="O619" s="7">
        <v>596.75</v>
      </c>
      <c r="P619" s="2">
        <v>43262</v>
      </c>
      <c r="Q619" s="7">
        <f>$E619-$O619</f>
        <v>0</v>
      </c>
      <c r="R619" s="7" t="str">
        <f ca="1">IF(TODAY() - DHMXX[INV DUE DATE]&lt;30, "Less than 30 days",IF(TODAY()-DHMXX[INV DUE DATE]&lt;60,"30-60 days","More than 60 days"))</f>
        <v>30-60 days</v>
      </c>
      <c r="S619" t="s">
        <v>1550</v>
      </c>
      <c r="T619" s="43" t="s">
        <v>2229</v>
      </c>
      <c r="U619" t="s">
        <v>3699</v>
      </c>
    </row>
    <row r="620" spans="1:21" x14ac:dyDescent="0.3">
      <c r="A620" t="s">
        <v>2704</v>
      </c>
      <c r="B620" t="s">
        <v>30</v>
      </c>
      <c r="C620" t="s">
        <v>97</v>
      </c>
      <c r="D620" s="15">
        <v>1</v>
      </c>
      <c r="E620" s="7">
        <v>596.75</v>
      </c>
      <c r="H620">
        <v>67865</v>
      </c>
      <c r="I620" t="s">
        <v>349</v>
      </c>
      <c r="J620" t="s">
        <v>2790</v>
      </c>
      <c r="K620" t="s">
        <v>3</v>
      </c>
      <c r="L620" s="2">
        <v>43221</v>
      </c>
      <c r="M620" s="2">
        <f>DHMXX[[#This Row],[INV DOC DATE]]+30</f>
        <v>43251</v>
      </c>
      <c r="N620" s="2">
        <v>43251</v>
      </c>
      <c r="O620" s="7">
        <v>596.75</v>
      </c>
      <c r="P620" s="2">
        <v>43262</v>
      </c>
      <c r="Q620" s="7">
        <f>$E620-$O620</f>
        <v>0</v>
      </c>
      <c r="R620" s="7" t="str">
        <f ca="1">IF(TODAY() - DHMXX[INV DUE DATE]&lt;30, "Less than 30 days",IF(TODAY()-DHMXX[INV DUE DATE]&lt;60,"30-60 days","More than 60 days"))</f>
        <v>30-60 days</v>
      </c>
      <c r="S620" t="s">
        <v>1550</v>
      </c>
      <c r="T620" s="43" t="s">
        <v>2229</v>
      </c>
      <c r="U620" t="s">
        <v>3699</v>
      </c>
    </row>
    <row r="621" spans="1:21" x14ac:dyDescent="0.3">
      <c r="A621" t="s">
        <v>2704</v>
      </c>
      <c r="B621" t="s">
        <v>30</v>
      </c>
      <c r="C621" t="s">
        <v>98</v>
      </c>
      <c r="D621" s="15">
        <v>1</v>
      </c>
      <c r="E621" s="7">
        <v>596.75</v>
      </c>
      <c r="H621">
        <v>67865</v>
      </c>
      <c r="I621" t="s">
        <v>349</v>
      </c>
      <c r="J621" t="s">
        <v>2791</v>
      </c>
      <c r="K621" t="s">
        <v>3</v>
      </c>
      <c r="L621" s="2">
        <v>43221</v>
      </c>
      <c r="M621" s="2">
        <f>DHMXX[[#This Row],[INV DOC DATE]]+30</f>
        <v>43251</v>
      </c>
      <c r="N621" s="2">
        <v>43251</v>
      </c>
      <c r="O621" s="7">
        <v>596.75</v>
      </c>
      <c r="P621" s="2">
        <v>43262</v>
      </c>
      <c r="Q621" s="7">
        <f>$E621-$O621</f>
        <v>0</v>
      </c>
      <c r="R621" s="7" t="str">
        <f ca="1">IF(TODAY() - DHMXX[INV DUE DATE]&lt;30, "Less than 30 days",IF(TODAY()-DHMXX[INV DUE DATE]&lt;60,"30-60 days","More than 60 days"))</f>
        <v>30-60 days</v>
      </c>
      <c r="S621" t="s">
        <v>1550</v>
      </c>
      <c r="T621" s="43" t="s">
        <v>2229</v>
      </c>
      <c r="U621" t="s">
        <v>3699</v>
      </c>
    </row>
    <row r="622" spans="1:21" x14ac:dyDescent="0.3">
      <c r="A622" t="s">
        <v>2704</v>
      </c>
      <c r="B622" t="s">
        <v>30</v>
      </c>
      <c r="C622" t="s">
        <v>99</v>
      </c>
      <c r="D622" s="15">
        <v>1</v>
      </c>
      <c r="E622" s="7">
        <v>596.75</v>
      </c>
      <c r="H622">
        <v>67865</v>
      </c>
      <c r="I622" t="s">
        <v>349</v>
      </c>
      <c r="J622" t="s">
        <v>2792</v>
      </c>
      <c r="K622" t="s">
        <v>3</v>
      </c>
      <c r="L622" s="2">
        <v>43221</v>
      </c>
      <c r="M622" s="2">
        <f>DHMXX[[#This Row],[INV DOC DATE]]+30</f>
        <v>43251</v>
      </c>
      <c r="N622" s="2">
        <v>43251</v>
      </c>
      <c r="O622" s="7">
        <v>596.75</v>
      </c>
      <c r="P622" s="2">
        <v>43262</v>
      </c>
      <c r="Q622" s="7">
        <f>$E622-$O622</f>
        <v>0</v>
      </c>
      <c r="R622" s="7" t="str">
        <f ca="1">IF(TODAY() - DHMXX[INV DUE DATE]&lt;30, "Less than 30 days",IF(TODAY()-DHMXX[INV DUE DATE]&lt;60,"30-60 days","More than 60 days"))</f>
        <v>30-60 days</v>
      </c>
      <c r="S622" t="s">
        <v>1550</v>
      </c>
      <c r="T622" s="43" t="s">
        <v>2229</v>
      </c>
      <c r="U622" t="s">
        <v>3699</v>
      </c>
    </row>
    <row r="623" spans="1:21" x14ac:dyDescent="0.3">
      <c r="A623" t="s">
        <v>2704</v>
      </c>
      <c r="B623" t="s">
        <v>30</v>
      </c>
      <c r="C623" t="s">
        <v>100</v>
      </c>
      <c r="D623" s="15">
        <v>1</v>
      </c>
      <c r="E623" s="7">
        <v>480.5</v>
      </c>
      <c r="H623">
        <v>67865</v>
      </c>
      <c r="I623" t="s">
        <v>349</v>
      </c>
      <c r="J623" t="s">
        <v>2793</v>
      </c>
      <c r="K623" t="s">
        <v>3</v>
      </c>
      <c r="L623" s="2">
        <v>43221</v>
      </c>
      <c r="M623" s="2">
        <f>DHMXX[[#This Row],[INV DOC DATE]]+30</f>
        <v>43251</v>
      </c>
      <c r="N623" s="2">
        <v>43251</v>
      </c>
      <c r="O623" s="7">
        <v>480.5</v>
      </c>
      <c r="P623" s="2">
        <v>43262</v>
      </c>
      <c r="Q623" s="7">
        <f>$E623-$O623</f>
        <v>0</v>
      </c>
      <c r="R623" s="7" t="str">
        <f ca="1">IF(TODAY() - DHMXX[INV DUE DATE]&lt;30, "Less than 30 days",IF(TODAY()-DHMXX[INV DUE DATE]&lt;60,"30-60 days","More than 60 days"))</f>
        <v>30-60 days</v>
      </c>
      <c r="S623" t="s">
        <v>1550</v>
      </c>
      <c r="T623" s="43" t="s">
        <v>2229</v>
      </c>
      <c r="U623" t="s">
        <v>3699</v>
      </c>
    </row>
    <row r="624" spans="1:21" x14ac:dyDescent="0.3">
      <c r="A624" t="s">
        <v>2704</v>
      </c>
      <c r="B624" t="s">
        <v>30</v>
      </c>
      <c r="C624" t="s">
        <v>101</v>
      </c>
      <c r="D624" s="15">
        <v>1</v>
      </c>
      <c r="E624" s="7">
        <v>480.5</v>
      </c>
      <c r="H624">
        <v>67865</v>
      </c>
      <c r="I624" t="s">
        <v>349</v>
      </c>
      <c r="J624" t="s">
        <v>2794</v>
      </c>
      <c r="K624" t="s">
        <v>3</v>
      </c>
      <c r="L624" s="2">
        <v>43221</v>
      </c>
      <c r="M624" s="2">
        <f>DHMXX[[#This Row],[INV DOC DATE]]+30</f>
        <v>43251</v>
      </c>
      <c r="N624" s="2">
        <v>43251</v>
      </c>
      <c r="O624" s="7">
        <v>480.5</v>
      </c>
      <c r="P624" s="2">
        <v>43262</v>
      </c>
      <c r="Q624" s="7">
        <f>$E624-$O624</f>
        <v>0</v>
      </c>
      <c r="R624" s="7" t="str">
        <f ca="1">IF(TODAY() - DHMXX[INV DUE DATE]&lt;30, "Less than 30 days",IF(TODAY()-DHMXX[INV DUE DATE]&lt;60,"30-60 days","More than 60 days"))</f>
        <v>30-60 days</v>
      </c>
      <c r="S624" t="s">
        <v>1550</v>
      </c>
      <c r="T624" s="43" t="s">
        <v>2229</v>
      </c>
      <c r="U624" t="s">
        <v>3699</v>
      </c>
    </row>
    <row r="625" spans="1:21" x14ac:dyDescent="0.3">
      <c r="A625" t="s">
        <v>2704</v>
      </c>
      <c r="B625" t="s">
        <v>30</v>
      </c>
      <c r="C625" t="s">
        <v>102</v>
      </c>
      <c r="D625" s="15">
        <v>1</v>
      </c>
      <c r="E625" s="7">
        <v>480.5</v>
      </c>
      <c r="H625">
        <v>67865</v>
      </c>
      <c r="I625" t="s">
        <v>349</v>
      </c>
      <c r="J625" t="s">
        <v>2795</v>
      </c>
      <c r="K625" t="s">
        <v>3</v>
      </c>
      <c r="L625" s="2">
        <v>43221</v>
      </c>
      <c r="M625" s="2">
        <f>DHMXX[[#This Row],[INV DOC DATE]]+30</f>
        <v>43251</v>
      </c>
      <c r="N625" s="2">
        <v>43251</v>
      </c>
      <c r="O625" s="7">
        <v>480.5</v>
      </c>
      <c r="P625" s="2">
        <v>43262</v>
      </c>
      <c r="Q625" s="7">
        <f>$E625-$O625</f>
        <v>0</v>
      </c>
      <c r="R625" s="7" t="str">
        <f ca="1">IF(TODAY() - DHMXX[INV DUE DATE]&lt;30, "Less than 30 days",IF(TODAY()-DHMXX[INV DUE DATE]&lt;60,"30-60 days","More than 60 days"))</f>
        <v>30-60 days</v>
      </c>
      <c r="S625" t="s">
        <v>1550</v>
      </c>
      <c r="T625" s="43" t="s">
        <v>2229</v>
      </c>
      <c r="U625" t="s">
        <v>3699</v>
      </c>
    </row>
    <row r="626" spans="1:21" x14ac:dyDescent="0.3">
      <c r="A626" t="s">
        <v>2704</v>
      </c>
      <c r="B626" t="s">
        <v>30</v>
      </c>
      <c r="C626" t="s">
        <v>103</v>
      </c>
      <c r="D626" s="15">
        <v>1</v>
      </c>
      <c r="E626" s="7">
        <v>480.5</v>
      </c>
      <c r="H626">
        <v>67865</v>
      </c>
      <c r="I626" t="s">
        <v>349</v>
      </c>
      <c r="J626" t="s">
        <v>2796</v>
      </c>
      <c r="K626" t="s">
        <v>3</v>
      </c>
      <c r="L626" s="2">
        <v>43221</v>
      </c>
      <c r="M626" s="2">
        <f>DHMXX[[#This Row],[INV DOC DATE]]+30</f>
        <v>43251</v>
      </c>
      <c r="N626" s="2">
        <v>43251</v>
      </c>
      <c r="O626" s="7">
        <v>480.5</v>
      </c>
      <c r="P626" s="2">
        <v>43262</v>
      </c>
      <c r="Q626" s="7">
        <f>$E626-$O626</f>
        <v>0</v>
      </c>
      <c r="R626" s="7" t="str">
        <f ca="1">IF(TODAY() - DHMXX[INV DUE DATE]&lt;30, "Less than 30 days",IF(TODAY()-DHMXX[INV DUE DATE]&lt;60,"30-60 days","More than 60 days"))</f>
        <v>30-60 days</v>
      </c>
      <c r="S626" t="s">
        <v>1550</v>
      </c>
      <c r="T626" s="43" t="s">
        <v>2229</v>
      </c>
      <c r="U626" t="s">
        <v>3699</v>
      </c>
    </row>
    <row r="627" spans="1:21" x14ac:dyDescent="0.3">
      <c r="A627" t="s">
        <v>2704</v>
      </c>
      <c r="B627" t="s">
        <v>30</v>
      </c>
      <c r="C627" t="s">
        <v>104</v>
      </c>
      <c r="D627" s="15">
        <v>1</v>
      </c>
      <c r="E627" s="7">
        <v>480.5</v>
      </c>
      <c r="H627">
        <v>67865</v>
      </c>
      <c r="I627" t="s">
        <v>349</v>
      </c>
      <c r="J627" t="s">
        <v>2797</v>
      </c>
      <c r="K627" t="s">
        <v>3</v>
      </c>
      <c r="L627" s="2">
        <v>43221</v>
      </c>
      <c r="M627" s="2">
        <f>DHMXX[[#This Row],[INV DOC DATE]]+30</f>
        <v>43251</v>
      </c>
      <c r="N627" s="2">
        <v>43251</v>
      </c>
      <c r="O627" s="7">
        <v>480.5</v>
      </c>
      <c r="P627" s="2">
        <v>43262</v>
      </c>
      <c r="Q627" s="7">
        <f>$E627-$O627</f>
        <v>0</v>
      </c>
      <c r="R627" s="7" t="str">
        <f ca="1">IF(TODAY() - DHMXX[INV DUE DATE]&lt;30, "Less than 30 days",IF(TODAY()-DHMXX[INV DUE DATE]&lt;60,"30-60 days","More than 60 days"))</f>
        <v>30-60 days</v>
      </c>
      <c r="S627" t="s">
        <v>1550</v>
      </c>
      <c r="T627" s="43" t="s">
        <v>2229</v>
      </c>
      <c r="U627" t="s">
        <v>3699</v>
      </c>
    </row>
    <row r="628" spans="1:21" x14ac:dyDescent="0.3">
      <c r="A628" t="s">
        <v>2704</v>
      </c>
      <c r="B628" t="s">
        <v>30</v>
      </c>
      <c r="C628" t="s">
        <v>105</v>
      </c>
      <c r="D628" s="15">
        <v>1</v>
      </c>
      <c r="E628" s="7">
        <v>480.5</v>
      </c>
      <c r="H628">
        <v>67865</v>
      </c>
      <c r="I628" t="s">
        <v>349</v>
      </c>
      <c r="J628" t="s">
        <v>2798</v>
      </c>
      <c r="K628" t="s">
        <v>3</v>
      </c>
      <c r="L628" s="2">
        <v>43221</v>
      </c>
      <c r="M628" s="2">
        <f>DHMXX[[#This Row],[INV DOC DATE]]+30</f>
        <v>43251</v>
      </c>
      <c r="N628" s="2">
        <v>43251</v>
      </c>
      <c r="O628" s="7">
        <v>480.5</v>
      </c>
      <c r="P628" s="2">
        <v>43262</v>
      </c>
      <c r="Q628" s="7">
        <f>$E628-$O628</f>
        <v>0</v>
      </c>
      <c r="R628" s="7" t="str">
        <f ca="1">IF(TODAY() - DHMXX[INV DUE DATE]&lt;30, "Less than 30 days",IF(TODAY()-DHMXX[INV DUE DATE]&lt;60,"30-60 days","More than 60 days"))</f>
        <v>30-60 days</v>
      </c>
      <c r="S628" t="s">
        <v>1550</v>
      </c>
      <c r="T628" s="43" t="s">
        <v>2229</v>
      </c>
      <c r="U628" t="s">
        <v>3699</v>
      </c>
    </row>
    <row r="629" spans="1:21" x14ac:dyDescent="0.3">
      <c r="A629" t="s">
        <v>2704</v>
      </c>
      <c r="B629" t="s">
        <v>30</v>
      </c>
      <c r="C629" t="s">
        <v>106</v>
      </c>
      <c r="D629" s="15">
        <v>1</v>
      </c>
      <c r="E629" s="7">
        <v>480.5</v>
      </c>
      <c r="H629">
        <v>67865</v>
      </c>
      <c r="I629" t="s">
        <v>349</v>
      </c>
      <c r="J629" t="s">
        <v>2799</v>
      </c>
      <c r="K629" t="s">
        <v>3</v>
      </c>
      <c r="L629" s="2">
        <v>43221</v>
      </c>
      <c r="M629" s="2">
        <f>DHMXX[[#This Row],[INV DOC DATE]]+30</f>
        <v>43251</v>
      </c>
      <c r="N629" s="2">
        <v>43251</v>
      </c>
      <c r="O629" s="7">
        <v>480.5</v>
      </c>
      <c r="P629" s="2">
        <v>43262</v>
      </c>
      <c r="Q629" s="7">
        <f>$E629-$O629</f>
        <v>0</v>
      </c>
      <c r="R629" s="7" t="str">
        <f ca="1">IF(TODAY() - DHMXX[INV DUE DATE]&lt;30, "Less than 30 days",IF(TODAY()-DHMXX[INV DUE DATE]&lt;60,"30-60 days","More than 60 days"))</f>
        <v>30-60 days</v>
      </c>
      <c r="S629" t="s">
        <v>1550</v>
      </c>
      <c r="T629" s="43" t="s">
        <v>2229</v>
      </c>
      <c r="U629" t="s">
        <v>3699</v>
      </c>
    </row>
    <row r="630" spans="1:21" x14ac:dyDescent="0.3">
      <c r="A630" t="s">
        <v>2704</v>
      </c>
      <c r="B630" t="s">
        <v>30</v>
      </c>
      <c r="C630" t="s">
        <v>107</v>
      </c>
      <c r="D630" s="15">
        <v>1</v>
      </c>
      <c r="E630" s="7">
        <v>480.5</v>
      </c>
      <c r="H630">
        <v>67865</v>
      </c>
      <c r="I630" t="s">
        <v>349</v>
      </c>
      <c r="J630" t="s">
        <v>2800</v>
      </c>
      <c r="K630" t="s">
        <v>3</v>
      </c>
      <c r="L630" s="2">
        <v>43221</v>
      </c>
      <c r="M630" s="2">
        <f>DHMXX[[#This Row],[INV DOC DATE]]+30</f>
        <v>43251</v>
      </c>
      <c r="N630" s="2">
        <v>43251</v>
      </c>
      <c r="O630" s="7">
        <v>480.5</v>
      </c>
      <c r="P630" s="2">
        <v>43262</v>
      </c>
      <c r="Q630" s="7">
        <f>$E630-$O630</f>
        <v>0</v>
      </c>
      <c r="R630" s="7" t="str">
        <f ca="1">IF(TODAY() - DHMXX[INV DUE DATE]&lt;30, "Less than 30 days",IF(TODAY()-DHMXX[INV DUE DATE]&lt;60,"30-60 days","More than 60 days"))</f>
        <v>30-60 days</v>
      </c>
      <c r="S630" t="s">
        <v>1550</v>
      </c>
      <c r="T630" s="43" t="s">
        <v>2229</v>
      </c>
      <c r="U630" t="s">
        <v>3699</v>
      </c>
    </row>
    <row r="631" spans="1:21" x14ac:dyDescent="0.3">
      <c r="A631" t="s">
        <v>2704</v>
      </c>
      <c r="B631" t="s">
        <v>30</v>
      </c>
      <c r="C631" t="s">
        <v>108</v>
      </c>
      <c r="D631" s="15">
        <v>1</v>
      </c>
      <c r="E631" s="7">
        <v>480.5</v>
      </c>
      <c r="H631">
        <v>67865</v>
      </c>
      <c r="I631" t="s">
        <v>349</v>
      </c>
      <c r="J631" t="s">
        <v>2801</v>
      </c>
      <c r="K631" t="s">
        <v>3</v>
      </c>
      <c r="L631" s="2">
        <v>43221</v>
      </c>
      <c r="M631" s="2">
        <f>DHMXX[[#This Row],[INV DOC DATE]]+30</f>
        <v>43251</v>
      </c>
      <c r="N631" s="2">
        <v>43251</v>
      </c>
      <c r="O631" s="7">
        <v>480.5</v>
      </c>
      <c r="P631" s="2">
        <v>43262</v>
      </c>
      <c r="Q631" s="7">
        <f>$E631-$O631</f>
        <v>0</v>
      </c>
      <c r="R631" s="7" t="str">
        <f ca="1">IF(TODAY() - DHMXX[INV DUE DATE]&lt;30, "Less than 30 days",IF(TODAY()-DHMXX[INV DUE DATE]&lt;60,"30-60 days","More than 60 days"))</f>
        <v>30-60 days</v>
      </c>
      <c r="S631" t="s">
        <v>1550</v>
      </c>
      <c r="T631" s="43" t="s">
        <v>2229</v>
      </c>
      <c r="U631" t="s">
        <v>3699</v>
      </c>
    </row>
    <row r="632" spans="1:21" x14ac:dyDescent="0.3">
      <c r="A632" t="s">
        <v>2704</v>
      </c>
      <c r="B632" t="s">
        <v>30</v>
      </c>
      <c r="C632" t="s">
        <v>109</v>
      </c>
      <c r="D632" s="15">
        <v>1</v>
      </c>
      <c r="E632" s="7">
        <v>480.5</v>
      </c>
      <c r="H632">
        <v>67865</v>
      </c>
      <c r="I632" t="s">
        <v>349</v>
      </c>
      <c r="J632" t="s">
        <v>2802</v>
      </c>
      <c r="K632" t="s">
        <v>3</v>
      </c>
      <c r="L632" s="2">
        <v>43221</v>
      </c>
      <c r="M632" s="2">
        <f>DHMXX[[#This Row],[INV DOC DATE]]+30</f>
        <v>43251</v>
      </c>
      <c r="N632" s="2">
        <v>43251</v>
      </c>
      <c r="O632" s="7">
        <v>480.5</v>
      </c>
      <c r="P632" s="2">
        <v>43262</v>
      </c>
      <c r="Q632" s="7">
        <f>$E632-$O632</f>
        <v>0</v>
      </c>
      <c r="R632" s="7" t="str">
        <f ca="1">IF(TODAY() - DHMXX[INV DUE DATE]&lt;30, "Less than 30 days",IF(TODAY()-DHMXX[INV DUE DATE]&lt;60,"30-60 days","More than 60 days"))</f>
        <v>30-60 days</v>
      </c>
      <c r="S632" t="s">
        <v>1550</v>
      </c>
      <c r="T632" s="43" t="s">
        <v>2229</v>
      </c>
      <c r="U632" t="s">
        <v>3699</v>
      </c>
    </row>
    <row r="633" spans="1:21" x14ac:dyDescent="0.3">
      <c r="A633" t="s">
        <v>2704</v>
      </c>
      <c r="B633" t="s">
        <v>30</v>
      </c>
      <c r="C633" t="s">
        <v>110</v>
      </c>
      <c r="D633" s="15">
        <v>1</v>
      </c>
      <c r="E633" s="7">
        <v>480.5</v>
      </c>
      <c r="H633">
        <v>67865</v>
      </c>
      <c r="I633" t="s">
        <v>349</v>
      </c>
      <c r="J633" t="s">
        <v>2803</v>
      </c>
      <c r="K633" t="s">
        <v>3</v>
      </c>
      <c r="L633" s="2">
        <v>43221</v>
      </c>
      <c r="M633" s="2">
        <f>DHMXX[[#This Row],[INV DOC DATE]]+30</f>
        <v>43251</v>
      </c>
      <c r="N633" s="2">
        <v>43251</v>
      </c>
      <c r="O633" s="7">
        <v>480.5</v>
      </c>
      <c r="P633" s="2">
        <v>43262</v>
      </c>
      <c r="Q633" s="7">
        <f>$E633-$O633</f>
        <v>0</v>
      </c>
      <c r="R633" s="7" t="str">
        <f ca="1">IF(TODAY() - DHMXX[INV DUE DATE]&lt;30, "Less than 30 days",IF(TODAY()-DHMXX[INV DUE DATE]&lt;60,"30-60 days","More than 60 days"))</f>
        <v>30-60 days</v>
      </c>
      <c r="S633" t="s">
        <v>1550</v>
      </c>
      <c r="T633" s="43" t="s">
        <v>2229</v>
      </c>
      <c r="U633" t="s">
        <v>3699</v>
      </c>
    </row>
    <row r="634" spans="1:21" x14ac:dyDescent="0.3">
      <c r="A634" t="s">
        <v>2704</v>
      </c>
      <c r="B634" t="s">
        <v>30</v>
      </c>
      <c r="C634" t="s">
        <v>111</v>
      </c>
      <c r="D634" s="15">
        <v>1</v>
      </c>
      <c r="E634" s="7">
        <v>480.5</v>
      </c>
      <c r="H634">
        <v>67865</v>
      </c>
      <c r="I634" t="s">
        <v>349</v>
      </c>
      <c r="J634" t="s">
        <v>2804</v>
      </c>
      <c r="K634" t="s">
        <v>3</v>
      </c>
      <c r="L634" s="2">
        <v>43221</v>
      </c>
      <c r="M634" s="2">
        <f>DHMXX[[#This Row],[INV DOC DATE]]+30</f>
        <v>43251</v>
      </c>
      <c r="N634" s="2">
        <v>43251</v>
      </c>
      <c r="O634" s="7">
        <v>480.5</v>
      </c>
      <c r="P634" s="2">
        <v>43262</v>
      </c>
      <c r="Q634" s="7">
        <f>$E634-$O634</f>
        <v>0</v>
      </c>
      <c r="R634" s="7" t="str">
        <f ca="1">IF(TODAY() - DHMXX[INV DUE DATE]&lt;30, "Less than 30 days",IF(TODAY()-DHMXX[INV DUE DATE]&lt;60,"30-60 days","More than 60 days"))</f>
        <v>30-60 days</v>
      </c>
      <c r="S634" t="s">
        <v>1550</v>
      </c>
      <c r="T634" s="43" t="s">
        <v>2229</v>
      </c>
      <c r="U634" t="s">
        <v>3699</v>
      </c>
    </row>
    <row r="635" spans="1:21" x14ac:dyDescent="0.3">
      <c r="A635" t="s">
        <v>2704</v>
      </c>
      <c r="B635" t="s">
        <v>30</v>
      </c>
      <c r="C635" t="s">
        <v>112</v>
      </c>
      <c r="D635" s="15">
        <v>1</v>
      </c>
      <c r="E635" s="7">
        <v>480.5</v>
      </c>
      <c r="H635">
        <v>67865</v>
      </c>
      <c r="I635" t="s">
        <v>349</v>
      </c>
      <c r="J635" t="s">
        <v>2805</v>
      </c>
      <c r="K635" t="s">
        <v>3</v>
      </c>
      <c r="L635" s="2">
        <v>43221</v>
      </c>
      <c r="M635" s="2">
        <f>DHMXX[[#This Row],[INV DOC DATE]]+30</f>
        <v>43251</v>
      </c>
      <c r="N635" s="2">
        <v>43251</v>
      </c>
      <c r="O635" s="7">
        <v>480.5</v>
      </c>
      <c r="P635" s="2">
        <v>43262</v>
      </c>
      <c r="Q635" s="7">
        <f>$E635-$O635</f>
        <v>0</v>
      </c>
      <c r="R635" s="7" t="str">
        <f ca="1">IF(TODAY() - DHMXX[INV DUE DATE]&lt;30, "Less than 30 days",IF(TODAY()-DHMXX[INV DUE DATE]&lt;60,"30-60 days","More than 60 days"))</f>
        <v>30-60 days</v>
      </c>
      <c r="S635" t="s">
        <v>1550</v>
      </c>
      <c r="T635" s="43" t="s">
        <v>2229</v>
      </c>
      <c r="U635" t="s">
        <v>3699</v>
      </c>
    </row>
    <row r="636" spans="1:21" x14ac:dyDescent="0.3">
      <c r="A636" t="s">
        <v>2704</v>
      </c>
      <c r="B636" t="s">
        <v>30</v>
      </c>
      <c r="C636" t="s">
        <v>113</v>
      </c>
      <c r="D636" s="15">
        <v>1</v>
      </c>
      <c r="E636" s="7">
        <v>480.5</v>
      </c>
      <c r="H636">
        <v>67865</v>
      </c>
      <c r="I636" t="s">
        <v>349</v>
      </c>
      <c r="J636" t="s">
        <v>2806</v>
      </c>
      <c r="K636" t="s">
        <v>3</v>
      </c>
      <c r="L636" s="2">
        <v>43221</v>
      </c>
      <c r="M636" s="2">
        <f>DHMXX[[#This Row],[INV DOC DATE]]+30</f>
        <v>43251</v>
      </c>
      <c r="N636" s="2">
        <v>43251</v>
      </c>
      <c r="O636" s="7">
        <v>480.5</v>
      </c>
      <c r="P636" s="2">
        <v>43262</v>
      </c>
      <c r="Q636" s="7">
        <f>$E636-$O636</f>
        <v>0</v>
      </c>
      <c r="R636" s="7" t="str">
        <f ca="1">IF(TODAY() - DHMXX[INV DUE DATE]&lt;30, "Less than 30 days",IF(TODAY()-DHMXX[INV DUE DATE]&lt;60,"30-60 days","More than 60 days"))</f>
        <v>30-60 days</v>
      </c>
      <c r="S636" t="s">
        <v>1550</v>
      </c>
      <c r="T636" s="43" t="s">
        <v>2229</v>
      </c>
      <c r="U636" t="s">
        <v>3699</v>
      </c>
    </row>
    <row r="637" spans="1:21" x14ac:dyDescent="0.3">
      <c r="A637" t="s">
        <v>2704</v>
      </c>
      <c r="B637" t="s">
        <v>30</v>
      </c>
      <c r="C637" t="s">
        <v>114</v>
      </c>
      <c r="D637" s="15">
        <v>1</v>
      </c>
      <c r="E637" s="7">
        <v>480.5</v>
      </c>
      <c r="H637">
        <v>67865</v>
      </c>
      <c r="I637" t="s">
        <v>349</v>
      </c>
      <c r="J637" t="s">
        <v>2807</v>
      </c>
      <c r="K637" t="s">
        <v>3</v>
      </c>
      <c r="L637" s="2">
        <v>43221</v>
      </c>
      <c r="M637" s="2">
        <f>DHMXX[[#This Row],[INV DOC DATE]]+30</f>
        <v>43251</v>
      </c>
      <c r="N637" s="2">
        <v>43251</v>
      </c>
      <c r="O637" s="7">
        <v>480.5</v>
      </c>
      <c r="P637" s="2">
        <v>43262</v>
      </c>
      <c r="Q637" s="7">
        <f>$E637-$O637</f>
        <v>0</v>
      </c>
      <c r="R637" s="7" t="str">
        <f ca="1">IF(TODAY() - DHMXX[INV DUE DATE]&lt;30, "Less than 30 days",IF(TODAY()-DHMXX[INV DUE DATE]&lt;60,"30-60 days","More than 60 days"))</f>
        <v>30-60 days</v>
      </c>
      <c r="S637" t="s">
        <v>1550</v>
      </c>
      <c r="T637" s="43" t="s">
        <v>2229</v>
      </c>
      <c r="U637" t="s">
        <v>3699</v>
      </c>
    </row>
    <row r="638" spans="1:21" x14ac:dyDescent="0.3">
      <c r="A638" t="s">
        <v>2704</v>
      </c>
      <c r="B638" t="s">
        <v>30</v>
      </c>
      <c r="C638" t="s">
        <v>115</v>
      </c>
      <c r="D638" s="15">
        <v>1</v>
      </c>
      <c r="E638" s="7">
        <v>480.5</v>
      </c>
      <c r="H638">
        <v>67865</v>
      </c>
      <c r="I638" t="s">
        <v>349</v>
      </c>
      <c r="J638" t="s">
        <v>2808</v>
      </c>
      <c r="K638" t="s">
        <v>3</v>
      </c>
      <c r="L638" s="2">
        <v>43221</v>
      </c>
      <c r="M638" s="2">
        <f>DHMXX[[#This Row],[INV DOC DATE]]+30</f>
        <v>43251</v>
      </c>
      <c r="N638" s="2">
        <v>43251</v>
      </c>
      <c r="O638" s="7">
        <v>480.5</v>
      </c>
      <c r="P638" s="2">
        <v>43262</v>
      </c>
      <c r="Q638" s="7">
        <f>$E638-$O638</f>
        <v>0</v>
      </c>
      <c r="R638" s="7" t="str">
        <f ca="1">IF(TODAY() - DHMXX[INV DUE DATE]&lt;30, "Less than 30 days",IF(TODAY()-DHMXX[INV DUE DATE]&lt;60,"30-60 days","More than 60 days"))</f>
        <v>30-60 days</v>
      </c>
      <c r="S638" t="s">
        <v>1550</v>
      </c>
      <c r="T638" s="43" t="s">
        <v>2229</v>
      </c>
      <c r="U638" t="s">
        <v>3699</v>
      </c>
    </row>
    <row r="639" spans="1:21" x14ac:dyDescent="0.3">
      <c r="A639" t="s">
        <v>2704</v>
      </c>
      <c r="B639" t="s">
        <v>30</v>
      </c>
      <c r="C639" t="s">
        <v>116</v>
      </c>
      <c r="D639" s="15">
        <v>1</v>
      </c>
      <c r="E639" s="7">
        <v>480.5</v>
      </c>
      <c r="H639">
        <v>67865</v>
      </c>
      <c r="I639" t="s">
        <v>349</v>
      </c>
      <c r="J639" t="s">
        <v>2809</v>
      </c>
      <c r="K639" t="s">
        <v>3</v>
      </c>
      <c r="L639" s="2">
        <v>43221</v>
      </c>
      <c r="M639" s="2">
        <f>DHMXX[[#This Row],[INV DOC DATE]]+30</f>
        <v>43251</v>
      </c>
      <c r="N639" s="2">
        <v>43251</v>
      </c>
      <c r="O639" s="7">
        <v>480.5</v>
      </c>
      <c r="P639" s="2">
        <v>43262</v>
      </c>
      <c r="Q639" s="7">
        <f>$E639-$O639</f>
        <v>0</v>
      </c>
      <c r="R639" s="7" t="str">
        <f ca="1">IF(TODAY() - DHMXX[INV DUE DATE]&lt;30, "Less than 30 days",IF(TODAY()-DHMXX[INV DUE DATE]&lt;60,"30-60 days","More than 60 days"))</f>
        <v>30-60 days</v>
      </c>
      <c r="S639" t="s">
        <v>1550</v>
      </c>
      <c r="T639" s="43" t="s">
        <v>2229</v>
      </c>
      <c r="U639" t="s">
        <v>3699</v>
      </c>
    </row>
    <row r="640" spans="1:21" x14ac:dyDescent="0.3">
      <c r="A640" t="s">
        <v>2704</v>
      </c>
      <c r="B640" t="s">
        <v>30</v>
      </c>
      <c r="C640" t="s">
        <v>117</v>
      </c>
      <c r="D640" s="15">
        <v>1</v>
      </c>
      <c r="E640" s="7">
        <v>480.5</v>
      </c>
      <c r="H640">
        <v>67865</v>
      </c>
      <c r="I640" t="s">
        <v>349</v>
      </c>
      <c r="J640" t="s">
        <v>2810</v>
      </c>
      <c r="K640" t="s">
        <v>3</v>
      </c>
      <c r="L640" s="2">
        <v>43221</v>
      </c>
      <c r="M640" s="2">
        <f>DHMXX[[#This Row],[INV DOC DATE]]+30</f>
        <v>43251</v>
      </c>
      <c r="N640" s="2">
        <v>43251</v>
      </c>
      <c r="O640" s="7">
        <v>480.5</v>
      </c>
      <c r="P640" s="2">
        <v>43262</v>
      </c>
      <c r="Q640" s="7">
        <f>$E640-$O640</f>
        <v>0</v>
      </c>
      <c r="R640" s="7" t="str">
        <f ca="1">IF(TODAY() - DHMXX[INV DUE DATE]&lt;30, "Less than 30 days",IF(TODAY()-DHMXX[INV DUE DATE]&lt;60,"30-60 days","More than 60 days"))</f>
        <v>30-60 days</v>
      </c>
      <c r="S640" t="s">
        <v>1550</v>
      </c>
      <c r="T640" s="43" t="s">
        <v>2229</v>
      </c>
      <c r="U640" t="s">
        <v>3699</v>
      </c>
    </row>
    <row r="641" spans="1:21" x14ac:dyDescent="0.3">
      <c r="A641" t="s">
        <v>2704</v>
      </c>
      <c r="B641" t="s">
        <v>30</v>
      </c>
      <c r="C641" t="s">
        <v>118</v>
      </c>
      <c r="D641" s="15">
        <v>1</v>
      </c>
      <c r="E641" s="7">
        <v>480.5</v>
      </c>
      <c r="H641">
        <v>67865</v>
      </c>
      <c r="I641" t="s">
        <v>349</v>
      </c>
      <c r="J641" t="s">
        <v>2811</v>
      </c>
      <c r="K641" t="s">
        <v>3</v>
      </c>
      <c r="L641" s="2">
        <v>43221</v>
      </c>
      <c r="M641" s="2">
        <f>DHMXX[[#This Row],[INV DOC DATE]]+30</f>
        <v>43251</v>
      </c>
      <c r="N641" s="2">
        <v>43251</v>
      </c>
      <c r="O641" s="7">
        <v>480.5</v>
      </c>
      <c r="P641" s="2">
        <v>43262</v>
      </c>
      <c r="Q641" s="7">
        <f>$E641-$O641</f>
        <v>0</v>
      </c>
      <c r="R641" s="7" t="str">
        <f ca="1">IF(TODAY() - DHMXX[INV DUE DATE]&lt;30, "Less than 30 days",IF(TODAY()-DHMXX[INV DUE DATE]&lt;60,"30-60 days","More than 60 days"))</f>
        <v>30-60 days</v>
      </c>
      <c r="S641" t="s">
        <v>1550</v>
      </c>
      <c r="T641" s="43" t="s">
        <v>2229</v>
      </c>
      <c r="U641" t="s">
        <v>3699</v>
      </c>
    </row>
    <row r="642" spans="1:21" x14ac:dyDescent="0.3">
      <c r="A642" t="s">
        <v>2704</v>
      </c>
      <c r="B642" t="s">
        <v>30</v>
      </c>
      <c r="C642" t="s">
        <v>119</v>
      </c>
      <c r="D642" s="15">
        <v>1</v>
      </c>
      <c r="E642" s="7">
        <v>480.5</v>
      </c>
      <c r="H642">
        <v>67865</v>
      </c>
      <c r="I642" t="s">
        <v>349</v>
      </c>
      <c r="J642" t="s">
        <v>2812</v>
      </c>
      <c r="K642" t="s">
        <v>3</v>
      </c>
      <c r="L642" s="2">
        <v>43221</v>
      </c>
      <c r="M642" s="2">
        <f>DHMXX[[#This Row],[INV DOC DATE]]+30</f>
        <v>43251</v>
      </c>
      <c r="N642" s="2">
        <v>43251</v>
      </c>
      <c r="O642" s="7">
        <v>480.5</v>
      </c>
      <c r="P642" s="2">
        <v>43262</v>
      </c>
      <c r="Q642" s="7">
        <f>$E642-$O642</f>
        <v>0</v>
      </c>
      <c r="R642" s="7" t="str">
        <f ca="1">IF(TODAY() - DHMXX[INV DUE DATE]&lt;30, "Less than 30 days",IF(TODAY()-DHMXX[INV DUE DATE]&lt;60,"30-60 days","More than 60 days"))</f>
        <v>30-60 days</v>
      </c>
      <c r="S642" t="s">
        <v>1550</v>
      </c>
      <c r="T642" s="43" t="s">
        <v>2229</v>
      </c>
      <c r="U642" t="s">
        <v>3699</v>
      </c>
    </row>
    <row r="643" spans="1:21" x14ac:dyDescent="0.3">
      <c r="A643" t="s">
        <v>2704</v>
      </c>
      <c r="B643" t="s">
        <v>30</v>
      </c>
      <c r="C643" t="s">
        <v>120</v>
      </c>
      <c r="D643" s="15">
        <v>1</v>
      </c>
      <c r="E643" s="7">
        <v>480.5</v>
      </c>
      <c r="H643">
        <v>67865</v>
      </c>
      <c r="I643" t="s">
        <v>349</v>
      </c>
      <c r="J643" t="s">
        <v>2813</v>
      </c>
      <c r="K643" t="s">
        <v>3</v>
      </c>
      <c r="L643" s="2">
        <v>43221</v>
      </c>
      <c r="M643" s="2">
        <f>DHMXX[[#This Row],[INV DOC DATE]]+30</f>
        <v>43251</v>
      </c>
      <c r="N643" s="2">
        <v>43251</v>
      </c>
      <c r="O643" s="7">
        <v>480.5</v>
      </c>
      <c r="P643" s="2">
        <v>43262</v>
      </c>
      <c r="Q643" s="7">
        <f>$E643-$O643</f>
        <v>0</v>
      </c>
      <c r="R643" s="7" t="str">
        <f ca="1">IF(TODAY() - DHMXX[INV DUE DATE]&lt;30, "Less than 30 days",IF(TODAY()-DHMXX[INV DUE DATE]&lt;60,"30-60 days","More than 60 days"))</f>
        <v>30-60 days</v>
      </c>
      <c r="S643" t="s">
        <v>1550</v>
      </c>
      <c r="T643" s="43" t="s">
        <v>2229</v>
      </c>
      <c r="U643" t="s">
        <v>3699</v>
      </c>
    </row>
    <row r="644" spans="1:21" x14ac:dyDescent="0.3">
      <c r="A644" t="s">
        <v>2704</v>
      </c>
      <c r="B644" t="s">
        <v>30</v>
      </c>
      <c r="C644" t="s">
        <v>121</v>
      </c>
      <c r="D644" s="15">
        <v>1</v>
      </c>
      <c r="E644" s="7">
        <v>480.5</v>
      </c>
      <c r="H644">
        <v>67865</v>
      </c>
      <c r="I644" t="s">
        <v>349</v>
      </c>
      <c r="J644" t="s">
        <v>2814</v>
      </c>
      <c r="K644" t="s">
        <v>3</v>
      </c>
      <c r="L644" s="2">
        <v>43221</v>
      </c>
      <c r="M644" s="2">
        <f>DHMXX[[#This Row],[INV DOC DATE]]+30</f>
        <v>43251</v>
      </c>
      <c r="N644" s="2">
        <v>43251</v>
      </c>
      <c r="O644" s="7">
        <v>480.5</v>
      </c>
      <c r="P644" s="2">
        <v>43262</v>
      </c>
      <c r="Q644" s="7">
        <f>$E644-$O644</f>
        <v>0</v>
      </c>
      <c r="R644" s="7" t="str">
        <f ca="1">IF(TODAY() - DHMXX[INV DUE DATE]&lt;30, "Less than 30 days",IF(TODAY()-DHMXX[INV DUE DATE]&lt;60,"30-60 days","More than 60 days"))</f>
        <v>30-60 days</v>
      </c>
      <c r="S644" t="s">
        <v>1550</v>
      </c>
      <c r="T644" s="43" t="s">
        <v>2229</v>
      </c>
      <c r="U644" t="s">
        <v>3699</v>
      </c>
    </row>
    <row r="645" spans="1:21" x14ac:dyDescent="0.3">
      <c r="A645" t="s">
        <v>2704</v>
      </c>
      <c r="B645" t="s">
        <v>30</v>
      </c>
      <c r="C645" t="s">
        <v>122</v>
      </c>
      <c r="D645" s="15">
        <v>1</v>
      </c>
      <c r="E645" s="7">
        <v>178.25</v>
      </c>
      <c r="H645">
        <v>68161</v>
      </c>
      <c r="I645" t="s">
        <v>358</v>
      </c>
      <c r="J645" t="s">
        <v>2815</v>
      </c>
      <c r="K645" t="s">
        <v>3</v>
      </c>
      <c r="L645" s="2">
        <v>43221</v>
      </c>
      <c r="M645" s="2">
        <f>DHMXX[[#This Row],[INV DOC DATE]]+30</f>
        <v>43251</v>
      </c>
      <c r="N645" s="2">
        <v>43251</v>
      </c>
      <c r="O645" s="7">
        <v>178.25</v>
      </c>
      <c r="P645" s="2">
        <v>43262</v>
      </c>
      <c r="Q645" s="7">
        <f>$E645-$O645</f>
        <v>0</v>
      </c>
      <c r="R645" s="7" t="str">
        <f ca="1">IF(TODAY() - DHMXX[INV DUE DATE]&lt;30, "Less than 30 days",IF(TODAY()-DHMXX[INV DUE DATE]&lt;60,"30-60 days","More than 60 days"))</f>
        <v>30-60 days</v>
      </c>
      <c r="S645" t="s">
        <v>1550</v>
      </c>
      <c r="T645" s="43" t="s">
        <v>2229</v>
      </c>
      <c r="U645" t="s">
        <v>3699</v>
      </c>
    </row>
    <row r="646" spans="1:21" x14ac:dyDescent="0.3">
      <c r="A646" t="s">
        <v>2704</v>
      </c>
      <c r="B646" t="s">
        <v>30</v>
      </c>
      <c r="C646" t="s">
        <v>123</v>
      </c>
      <c r="D646" s="15">
        <v>1</v>
      </c>
      <c r="E646" s="7">
        <v>178.25</v>
      </c>
      <c r="H646">
        <v>68161</v>
      </c>
      <c r="I646" t="s">
        <v>358</v>
      </c>
      <c r="J646" t="s">
        <v>2816</v>
      </c>
      <c r="K646" t="s">
        <v>3</v>
      </c>
      <c r="L646" s="2">
        <v>43221</v>
      </c>
      <c r="M646" s="2">
        <f>DHMXX[[#This Row],[INV DOC DATE]]+30</f>
        <v>43251</v>
      </c>
      <c r="N646" s="2">
        <v>43251</v>
      </c>
      <c r="O646" s="7">
        <v>178.25</v>
      </c>
      <c r="P646" s="2">
        <v>43262</v>
      </c>
      <c r="Q646" s="7">
        <f>$E646-$O646</f>
        <v>0</v>
      </c>
      <c r="R646" s="7" t="str">
        <f ca="1">IF(TODAY() - DHMXX[INV DUE DATE]&lt;30, "Less than 30 days",IF(TODAY()-DHMXX[INV DUE DATE]&lt;60,"30-60 days","More than 60 days"))</f>
        <v>30-60 days</v>
      </c>
      <c r="S646" t="s">
        <v>1550</v>
      </c>
      <c r="T646" s="43" t="s">
        <v>2229</v>
      </c>
      <c r="U646" t="s">
        <v>3699</v>
      </c>
    </row>
    <row r="647" spans="1:21" x14ac:dyDescent="0.3">
      <c r="A647" t="s">
        <v>2704</v>
      </c>
      <c r="B647" t="s">
        <v>30</v>
      </c>
      <c r="C647" t="s">
        <v>124</v>
      </c>
      <c r="D647" s="15">
        <v>1</v>
      </c>
      <c r="E647" s="7">
        <v>178.25</v>
      </c>
      <c r="H647">
        <v>76024</v>
      </c>
      <c r="I647" t="s">
        <v>851</v>
      </c>
      <c r="J647" t="s">
        <v>2817</v>
      </c>
      <c r="K647" t="s">
        <v>3</v>
      </c>
      <c r="L647" s="2">
        <v>43221</v>
      </c>
      <c r="M647" s="2">
        <f>DHMXX[[#This Row],[INV DOC DATE]]+30</f>
        <v>43251</v>
      </c>
      <c r="N647" s="2">
        <v>43251</v>
      </c>
      <c r="O647" s="7">
        <v>178.25</v>
      </c>
      <c r="P647" s="2">
        <v>43262</v>
      </c>
      <c r="Q647" s="7">
        <f>$E647-$O647</f>
        <v>0</v>
      </c>
      <c r="R647" s="7" t="str">
        <f ca="1">IF(TODAY() - DHMXX[INV DUE DATE]&lt;30, "Less than 30 days",IF(TODAY()-DHMXX[INV DUE DATE]&lt;60,"30-60 days","More than 60 days"))</f>
        <v>30-60 days</v>
      </c>
      <c r="S647" t="s">
        <v>1550</v>
      </c>
      <c r="T647" s="43" t="s">
        <v>2229</v>
      </c>
      <c r="U647" t="s">
        <v>3699</v>
      </c>
    </row>
    <row r="648" spans="1:21" x14ac:dyDescent="0.3">
      <c r="A648" t="s">
        <v>2704</v>
      </c>
      <c r="B648" t="s">
        <v>30</v>
      </c>
      <c r="C648" t="s">
        <v>125</v>
      </c>
      <c r="D648" s="15">
        <v>1</v>
      </c>
      <c r="E648" s="7">
        <v>178.25</v>
      </c>
      <c r="H648">
        <v>76024</v>
      </c>
      <c r="I648" t="s">
        <v>851</v>
      </c>
      <c r="J648" t="s">
        <v>2818</v>
      </c>
      <c r="K648" t="s">
        <v>3</v>
      </c>
      <c r="L648" s="2">
        <v>43221</v>
      </c>
      <c r="M648" s="2">
        <f>DHMXX[[#This Row],[INV DOC DATE]]+30</f>
        <v>43251</v>
      </c>
      <c r="N648" s="2">
        <v>43251</v>
      </c>
      <c r="O648" s="7">
        <v>178.25</v>
      </c>
      <c r="P648" s="2">
        <v>43262</v>
      </c>
      <c r="Q648" s="7">
        <f>$E648-$O648</f>
        <v>0</v>
      </c>
      <c r="R648" s="7" t="str">
        <f ca="1">IF(TODAY() - DHMXX[INV DUE DATE]&lt;30, "Less than 30 days",IF(TODAY()-DHMXX[INV DUE DATE]&lt;60,"30-60 days","More than 60 days"))</f>
        <v>30-60 days</v>
      </c>
      <c r="S648" t="s">
        <v>1550</v>
      </c>
      <c r="T648" s="43" t="s">
        <v>2229</v>
      </c>
      <c r="U648" t="s">
        <v>3699</v>
      </c>
    </row>
    <row r="649" spans="1:21" x14ac:dyDescent="0.3">
      <c r="A649" t="s">
        <v>2704</v>
      </c>
      <c r="B649" t="s">
        <v>30</v>
      </c>
      <c r="C649" t="s">
        <v>126</v>
      </c>
      <c r="D649" s="15">
        <v>1</v>
      </c>
      <c r="E649" s="7">
        <v>178.25</v>
      </c>
      <c r="H649">
        <v>76833</v>
      </c>
      <c r="I649" t="s">
        <v>848</v>
      </c>
      <c r="J649" t="s">
        <v>2819</v>
      </c>
      <c r="K649" t="s">
        <v>3</v>
      </c>
      <c r="L649" s="2">
        <v>43221</v>
      </c>
      <c r="M649" s="2">
        <f>DHMXX[[#This Row],[INV DOC DATE]]+30</f>
        <v>43251</v>
      </c>
      <c r="N649" s="2">
        <v>43251</v>
      </c>
      <c r="O649" s="7">
        <v>178.25</v>
      </c>
      <c r="P649" s="2">
        <v>43262</v>
      </c>
      <c r="Q649" s="7">
        <f>$E649-$O649</f>
        <v>0</v>
      </c>
      <c r="R649" s="7" t="str">
        <f ca="1">IF(TODAY() - DHMXX[INV DUE DATE]&lt;30, "Less than 30 days",IF(TODAY()-DHMXX[INV DUE DATE]&lt;60,"30-60 days","More than 60 days"))</f>
        <v>30-60 days</v>
      </c>
      <c r="S649" t="s">
        <v>1550</v>
      </c>
      <c r="T649" s="43" t="s">
        <v>2229</v>
      </c>
      <c r="U649" t="s">
        <v>3699</v>
      </c>
    </row>
    <row r="650" spans="1:21" x14ac:dyDescent="0.3">
      <c r="A650" t="s">
        <v>2704</v>
      </c>
      <c r="B650" t="s">
        <v>30</v>
      </c>
      <c r="C650" t="s">
        <v>127</v>
      </c>
      <c r="D650" s="15">
        <v>1</v>
      </c>
      <c r="E650" s="7">
        <v>178.25</v>
      </c>
      <c r="H650">
        <v>76833</v>
      </c>
      <c r="I650" t="s">
        <v>852</v>
      </c>
      <c r="J650" t="s">
        <v>2820</v>
      </c>
      <c r="K650" t="s">
        <v>3</v>
      </c>
      <c r="L650" s="2">
        <v>43221</v>
      </c>
      <c r="M650" s="2">
        <f>DHMXX[[#This Row],[INV DOC DATE]]+30</f>
        <v>43251</v>
      </c>
      <c r="N650" s="2">
        <v>43251</v>
      </c>
      <c r="O650" s="7">
        <v>178.25</v>
      </c>
      <c r="P650" s="2">
        <v>43262</v>
      </c>
      <c r="Q650" s="7">
        <f>$E650-$O650</f>
        <v>0</v>
      </c>
      <c r="R650" s="7" t="str">
        <f ca="1">IF(TODAY() - DHMXX[INV DUE DATE]&lt;30, "Less than 30 days",IF(TODAY()-DHMXX[INV DUE DATE]&lt;60,"30-60 days","More than 60 days"))</f>
        <v>30-60 days</v>
      </c>
      <c r="S650" t="s">
        <v>1550</v>
      </c>
      <c r="T650" s="43" t="s">
        <v>2229</v>
      </c>
      <c r="U650" t="s">
        <v>3699</v>
      </c>
    </row>
    <row r="651" spans="1:21" x14ac:dyDescent="0.3">
      <c r="A651" t="s">
        <v>2704</v>
      </c>
      <c r="B651" t="s">
        <v>30</v>
      </c>
      <c r="C651" t="s">
        <v>128</v>
      </c>
      <c r="D651" s="15">
        <v>1</v>
      </c>
      <c r="E651" s="7">
        <v>178.25</v>
      </c>
      <c r="H651">
        <v>76833</v>
      </c>
      <c r="I651" t="s">
        <v>852</v>
      </c>
      <c r="J651" t="s">
        <v>2821</v>
      </c>
      <c r="K651" t="s">
        <v>3</v>
      </c>
      <c r="L651" s="2">
        <v>43221</v>
      </c>
      <c r="M651" s="2">
        <f>DHMXX[[#This Row],[INV DOC DATE]]+30</f>
        <v>43251</v>
      </c>
      <c r="N651" s="2">
        <v>43251</v>
      </c>
      <c r="O651" s="7">
        <v>178.25</v>
      </c>
      <c r="P651" s="2">
        <v>43262</v>
      </c>
      <c r="Q651" s="7">
        <f>$E651-$O651</f>
        <v>0</v>
      </c>
      <c r="R651" s="7" t="str">
        <f ca="1">IF(TODAY() - DHMXX[INV DUE DATE]&lt;30, "Less than 30 days",IF(TODAY()-DHMXX[INV DUE DATE]&lt;60,"30-60 days","More than 60 days"))</f>
        <v>30-60 days</v>
      </c>
      <c r="S651" t="s">
        <v>1550</v>
      </c>
      <c r="T651" s="43" t="s">
        <v>2229</v>
      </c>
      <c r="U651" t="s">
        <v>3699</v>
      </c>
    </row>
    <row r="652" spans="1:21" x14ac:dyDescent="0.3">
      <c r="A652" t="s">
        <v>2704</v>
      </c>
      <c r="B652" t="s">
        <v>30</v>
      </c>
      <c r="C652" t="s">
        <v>129</v>
      </c>
      <c r="D652" s="15">
        <v>1</v>
      </c>
      <c r="E652" s="7">
        <v>178.25</v>
      </c>
      <c r="H652">
        <v>76833</v>
      </c>
      <c r="I652" t="s">
        <v>852</v>
      </c>
      <c r="J652" t="s">
        <v>2822</v>
      </c>
      <c r="K652" t="s">
        <v>3</v>
      </c>
      <c r="L652" s="2">
        <v>43221</v>
      </c>
      <c r="M652" s="2">
        <f>DHMXX[[#This Row],[INV DOC DATE]]+30</f>
        <v>43251</v>
      </c>
      <c r="N652" s="2">
        <v>43251</v>
      </c>
      <c r="O652" s="7">
        <v>178.25</v>
      </c>
      <c r="P652" s="2">
        <v>43262</v>
      </c>
      <c r="Q652" s="7">
        <f>$E652-$O652</f>
        <v>0</v>
      </c>
      <c r="R652" s="7" t="str">
        <f ca="1">IF(TODAY() - DHMXX[INV DUE DATE]&lt;30, "Less than 30 days",IF(TODAY()-DHMXX[INV DUE DATE]&lt;60,"30-60 days","More than 60 days"))</f>
        <v>30-60 days</v>
      </c>
      <c r="S652" t="s">
        <v>1550</v>
      </c>
      <c r="T652" s="43" t="s">
        <v>2229</v>
      </c>
      <c r="U652" t="s">
        <v>3699</v>
      </c>
    </row>
    <row r="653" spans="1:21" x14ac:dyDescent="0.3">
      <c r="A653" t="s">
        <v>2704</v>
      </c>
      <c r="B653" t="s">
        <v>30</v>
      </c>
      <c r="C653" t="s">
        <v>130</v>
      </c>
      <c r="D653" s="15">
        <v>1</v>
      </c>
      <c r="E653" s="7">
        <v>178.25</v>
      </c>
      <c r="H653">
        <v>76833</v>
      </c>
      <c r="I653" t="s">
        <v>852</v>
      </c>
      <c r="J653" t="s">
        <v>2823</v>
      </c>
      <c r="K653" t="s">
        <v>3</v>
      </c>
      <c r="L653" s="2">
        <v>43221</v>
      </c>
      <c r="M653" s="2">
        <f>DHMXX[[#This Row],[INV DOC DATE]]+30</f>
        <v>43251</v>
      </c>
      <c r="N653" s="2">
        <v>43251</v>
      </c>
      <c r="O653" s="7">
        <v>178.25</v>
      </c>
      <c r="P653" s="2">
        <v>43262</v>
      </c>
      <c r="Q653" s="7">
        <f>$E653-$O653</f>
        <v>0</v>
      </c>
      <c r="R653" s="7" t="str">
        <f ca="1">IF(TODAY() - DHMXX[INV DUE DATE]&lt;30, "Less than 30 days",IF(TODAY()-DHMXX[INV DUE DATE]&lt;60,"30-60 days","More than 60 days"))</f>
        <v>30-60 days</v>
      </c>
      <c r="S653" t="s">
        <v>1550</v>
      </c>
      <c r="T653" s="43" t="s">
        <v>2229</v>
      </c>
      <c r="U653" t="s">
        <v>3699</v>
      </c>
    </row>
    <row r="654" spans="1:21" x14ac:dyDescent="0.3">
      <c r="A654" t="s">
        <v>2704</v>
      </c>
      <c r="B654" t="s">
        <v>30</v>
      </c>
      <c r="C654" t="s">
        <v>131</v>
      </c>
      <c r="D654" s="15">
        <v>1</v>
      </c>
      <c r="E654" s="7">
        <v>178.25</v>
      </c>
      <c r="H654">
        <v>82624</v>
      </c>
      <c r="I654" t="s">
        <v>853</v>
      </c>
      <c r="J654" t="s">
        <v>2824</v>
      </c>
      <c r="K654" t="s">
        <v>3</v>
      </c>
      <c r="L654" s="2">
        <v>43221</v>
      </c>
      <c r="M654" s="2">
        <f>DHMXX[[#This Row],[INV DOC DATE]]+30</f>
        <v>43251</v>
      </c>
      <c r="N654" s="2">
        <v>43251</v>
      </c>
      <c r="O654" s="7">
        <v>178.25</v>
      </c>
      <c r="P654" s="2">
        <v>43262</v>
      </c>
      <c r="Q654" s="7">
        <f>$E654-$O654</f>
        <v>0</v>
      </c>
      <c r="R654" s="7" t="str">
        <f ca="1">IF(TODAY() - DHMXX[INV DUE DATE]&lt;30, "Less than 30 days",IF(TODAY()-DHMXX[INV DUE DATE]&lt;60,"30-60 days","More than 60 days"))</f>
        <v>30-60 days</v>
      </c>
      <c r="S654" t="s">
        <v>1550</v>
      </c>
      <c r="T654" s="43" t="s">
        <v>2229</v>
      </c>
      <c r="U654" t="s">
        <v>3699</v>
      </c>
    </row>
    <row r="655" spans="1:21" x14ac:dyDescent="0.3">
      <c r="A655" t="s">
        <v>2704</v>
      </c>
      <c r="B655" t="s">
        <v>30</v>
      </c>
      <c r="C655" t="s">
        <v>132</v>
      </c>
      <c r="D655" s="15">
        <v>1</v>
      </c>
      <c r="E655" s="7">
        <v>178.25</v>
      </c>
      <c r="H655">
        <v>85175</v>
      </c>
      <c r="I655" t="s">
        <v>839</v>
      </c>
      <c r="J655" t="s">
        <v>2825</v>
      </c>
      <c r="K655" t="s">
        <v>3</v>
      </c>
      <c r="L655" s="2">
        <v>43221</v>
      </c>
      <c r="M655" s="2">
        <f>DHMXX[[#This Row],[INV DOC DATE]]+30</f>
        <v>43251</v>
      </c>
      <c r="N655" s="2">
        <v>43251</v>
      </c>
      <c r="O655" s="7">
        <v>178.25</v>
      </c>
      <c r="P655" s="2">
        <v>43262</v>
      </c>
      <c r="Q655" s="7">
        <f>$E655-$O655</f>
        <v>0</v>
      </c>
      <c r="R655" s="7" t="str">
        <f ca="1">IF(TODAY() - DHMXX[INV DUE DATE]&lt;30, "Less than 30 days",IF(TODAY()-DHMXX[INV DUE DATE]&lt;60,"30-60 days","More than 60 days"))</f>
        <v>30-60 days</v>
      </c>
      <c r="S655" t="s">
        <v>1550</v>
      </c>
      <c r="T655" s="43" t="s">
        <v>2229</v>
      </c>
      <c r="U655" t="s">
        <v>3699</v>
      </c>
    </row>
    <row r="656" spans="1:21" x14ac:dyDescent="0.3">
      <c r="A656" t="s">
        <v>2704</v>
      </c>
      <c r="B656" t="s">
        <v>30</v>
      </c>
      <c r="C656" t="s">
        <v>133</v>
      </c>
      <c r="D656" s="15">
        <v>1</v>
      </c>
      <c r="E656" s="7">
        <v>178.25</v>
      </c>
      <c r="H656">
        <v>85175</v>
      </c>
      <c r="I656" t="s">
        <v>839</v>
      </c>
      <c r="J656" t="s">
        <v>2826</v>
      </c>
      <c r="K656" t="s">
        <v>3</v>
      </c>
      <c r="L656" s="2">
        <v>43221</v>
      </c>
      <c r="M656" s="2">
        <f>DHMXX[[#This Row],[INV DOC DATE]]+30</f>
        <v>43251</v>
      </c>
      <c r="N656" s="2">
        <v>43251</v>
      </c>
      <c r="O656" s="7">
        <v>178.25</v>
      </c>
      <c r="P656" s="2">
        <v>43262</v>
      </c>
      <c r="Q656" s="7">
        <f>$E656-$O656</f>
        <v>0</v>
      </c>
      <c r="R656" s="7" t="str">
        <f ca="1">IF(TODAY() - DHMXX[INV DUE DATE]&lt;30, "Less than 30 days",IF(TODAY()-DHMXX[INV DUE DATE]&lt;60,"30-60 days","More than 60 days"))</f>
        <v>30-60 days</v>
      </c>
      <c r="S656" t="s">
        <v>1550</v>
      </c>
      <c r="T656" s="43" t="s">
        <v>2229</v>
      </c>
      <c r="U656" t="s">
        <v>3699</v>
      </c>
    </row>
    <row r="657" spans="1:21" x14ac:dyDescent="0.3">
      <c r="A657" t="s">
        <v>2704</v>
      </c>
      <c r="B657" t="s">
        <v>30</v>
      </c>
      <c r="C657" t="s">
        <v>134</v>
      </c>
      <c r="D657" s="15">
        <v>1</v>
      </c>
      <c r="E657" s="7">
        <v>178.25</v>
      </c>
      <c r="H657">
        <v>85175</v>
      </c>
      <c r="I657" t="s">
        <v>839</v>
      </c>
      <c r="J657" t="s">
        <v>2827</v>
      </c>
      <c r="K657" t="s">
        <v>3</v>
      </c>
      <c r="L657" s="2">
        <v>43221</v>
      </c>
      <c r="M657" s="2">
        <f>DHMXX[[#This Row],[INV DOC DATE]]+30</f>
        <v>43251</v>
      </c>
      <c r="N657" s="2">
        <v>43251</v>
      </c>
      <c r="O657" s="7">
        <v>178.25</v>
      </c>
      <c r="P657" s="2">
        <v>43262</v>
      </c>
      <c r="Q657" s="7">
        <f>$E657-$O657</f>
        <v>0</v>
      </c>
      <c r="R657" s="7" t="str">
        <f ca="1">IF(TODAY() - DHMXX[INV DUE DATE]&lt;30, "Less than 30 days",IF(TODAY()-DHMXX[INV DUE DATE]&lt;60,"30-60 days","More than 60 days"))</f>
        <v>30-60 days</v>
      </c>
      <c r="S657" t="s">
        <v>1550</v>
      </c>
      <c r="T657" s="43" t="s">
        <v>2229</v>
      </c>
      <c r="U657" t="s">
        <v>3699</v>
      </c>
    </row>
    <row r="658" spans="1:21" x14ac:dyDescent="0.3">
      <c r="A658" t="s">
        <v>2704</v>
      </c>
      <c r="B658" t="s">
        <v>30</v>
      </c>
      <c r="C658" t="s">
        <v>135</v>
      </c>
      <c r="D658" s="15">
        <v>1</v>
      </c>
      <c r="E658" s="7">
        <v>178.25</v>
      </c>
      <c r="H658">
        <v>90352</v>
      </c>
      <c r="I658" t="s">
        <v>855</v>
      </c>
      <c r="J658" t="s">
        <v>2828</v>
      </c>
      <c r="K658" t="s">
        <v>3</v>
      </c>
      <c r="L658" s="2">
        <v>43221</v>
      </c>
      <c r="M658" s="2">
        <f>DHMXX[[#This Row],[INV DOC DATE]]+30</f>
        <v>43251</v>
      </c>
      <c r="N658" s="2">
        <v>43251</v>
      </c>
      <c r="O658" s="7">
        <v>178.25</v>
      </c>
      <c r="P658" s="2">
        <v>43262</v>
      </c>
      <c r="Q658" s="7">
        <f>$E658-$O658</f>
        <v>0</v>
      </c>
      <c r="R658" s="7" t="str">
        <f ca="1">IF(TODAY() - DHMXX[INV DUE DATE]&lt;30, "Less than 30 days",IF(TODAY()-DHMXX[INV DUE DATE]&lt;60,"30-60 days","More than 60 days"))</f>
        <v>30-60 days</v>
      </c>
      <c r="S658" t="s">
        <v>1550</v>
      </c>
      <c r="T658" s="43" t="s">
        <v>2229</v>
      </c>
      <c r="U658" t="s">
        <v>3699</v>
      </c>
    </row>
    <row r="659" spans="1:21" x14ac:dyDescent="0.3">
      <c r="A659" t="s">
        <v>2704</v>
      </c>
      <c r="B659" t="s">
        <v>30</v>
      </c>
      <c r="C659" t="s">
        <v>136</v>
      </c>
      <c r="D659" s="15">
        <v>1</v>
      </c>
      <c r="E659" s="7">
        <v>178.25</v>
      </c>
      <c r="H659">
        <v>90352</v>
      </c>
      <c r="I659" t="s">
        <v>855</v>
      </c>
      <c r="J659" t="s">
        <v>2829</v>
      </c>
      <c r="K659" t="s">
        <v>3</v>
      </c>
      <c r="L659" s="2">
        <v>43221</v>
      </c>
      <c r="M659" s="2">
        <f>DHMXX[[#This Row],[INV DOC DATE]]+30</f>
        <v>43251</v>
      </c>
      <c r="N659" s="2">
        <v>43251</v>
      </c>
      <c r="O659" s="7">
        <v>178.25</v>
      </c>
      <c r="P659" s="2">
        <v>43262</v>
      </c>
      <c r="Q659" s="7">
        <f>$E659-$O659</f>
        <v>0</v>
      </c>
      <c r="R659" s="7" t="str">
        <f ca="1">IF(TODAY() - DHMXX[INV DUE DATE]&lt;30, "Less than 30 days",IF(TODAY()-DHMXX[INV DUE DATE]&lt;60,"30-60 days","More than 60 days"))</f>
        <v>30-60 days</v>
      </c>
      <c r="S659" t="s">
        <v>1550</v>
      </c>
      <c r="T659" s="43" t="s">
        <v>2229</v>
      </c>
      <c r="U659" t="s">
        <v>3699</v>
      </c>
    </row>
    <row r="660" spans="1:21" x14ac:dyDescent="0.3">
      <c r="A660" t="s">
        <v>2704</v>
      </c>
      <c r="B660" t="s">
        <v>30</v>
      </c>
      <c r="C660" t="s">
        <v>137</v>
      </c>
      <c r="D660" s="15">
        <v>1</v>
      </c>
      <c r="E660" s="7">
        <v>178.25</v>
      </c>
      <c r="H660">
        <v>90352</v>
      </c>
      <c r="I660" t="s">
        <v>855</v>
      </c>
      <c r="J660" t="s">
        <v>2830</v>
      </c>
      <c r="K660" t="s">
        <v>3</v>
      </c>
      <c r="L660" s="2">
        <v>43221</v>
      </c>
      <c r="M660" s="2">
        <f>DHMXX[[#This Row],[INV DOC DATE]]+30</f>
        <v>43251</v>
      </c>
      <c r="N660" s="2">
        <v>43251</v>
      </c>
      <c r="O660" s="7">
        <v>178.25</v>
      </c>
      <c r="P660" s="2">
        <v>43262</v>
      </c>
      <c r="Q660" s="7">
        <f>$E660-$O660</f>
        <v>0</v>
      </c>
      <c r="R660" s="7" t="str">
        <f ca="1">IF(TODAY() - DHMXX[INV DUE DATE]&lt;30, "Less than 30 days",IF(TODAY()-DHMXX[INV DUE DATE]&lt;60,"30-60 days","More than 60 days"))</f>
        <v>30-60 days</v>
      </c>
      <c r="S660" t="s">
        <v>1550</v>
      </c>
      <c r="T660" s="43" t="s">
        <v>2229</v>
      </c>
      <c r="U660" t="s">
        <v>3699</v>
      </c>
    </row>
    <row r="661" spans="1:21" x14ac:dyDescent="0.3">
      <c r="A661" t="s">
        <v>2704</v>
      </c>
      <c r="B661" t="s">
        <v>30</v>
      </c>
      <c r="C661" t="s">
        <v>138</v>
      </c>
      <c r="D661" s="15">
        <v>1</v>
      </c>
      <c r="E661" s="7">
        <v>178.25</v>
      </c>
      <c r="H661">
        <v>90352</v>
      </c>
      <c r="I661" t="s">
        <v>855</v>
      </c>
      <c r="J661" t="s">
        <v>2831</v>
      </c>
      <c r="K661" t="s">
        <v>3</v>
      </c>
      <c r="L661" s="2">
        <v>43221</v>
      </c>
      <c r="M661" s="2">
        <f>DHMXX[[#This Row],[INV DOC DATE]]+30</f>
        <v>43251</v>
      </c>
      <c r="N661" s="2">
        <v>43251</v>
      </c>
      <c r="O661" s="7">
        <v>178.25</v>
      </c>
      <c r="P661" s="2">
        <v>43262</v>
      </c>
      <c r="Q661" s="7">
        <f>$E661-$O661</f>
        <v>0</v>
      </c>
      <c r="R661" s="7" t="str">
        <f ca="1">IF(TODAY() - DHMXX[INV DUE DATE]&lt;30, "Less than 30 days",IF(TODAY()-DHMXX[INV DUE DATE]&lt;60,"30-60 days","More than 60 days"))</f>
        <v>30-60 days</v>
      </c>
      <c r="S661" t="s">
        <v>1550</v>
      </c>
      <c r="T661" s="43" t="s">
        <v>2229</v>
      </c>
      <c r="U661" t="s">
        <v>3699</v>
      </c>
    </row>
    <row r="662" spans="1:21" x14ac:dyDescent="0.3">
      <c r="A662" t="s">
        <v>2704</v>
      </c>
      <c r="B662" t="s">
        <v>30</v>
      </c>
      <c r="C662" t="s">
        <v>139</v>
      </c>
      <c r="D662" s="15">
        <v>1</v>
      </c>
      <c r="E662" s="7">
        <v>178.25</v>
      </c>
      <c r="H662">
        <v>90352</v>
      </c>
      <c r="I662" t="s">
        <v>855</v>
      </c>
      <c r="J662" t="s">
        <v>2832</v>
      </c>
      <c r="K662" t="s">
        <v>3</v>
      </c>
      <c r="L662" s="2">
        <v>43221</v>
      </c>
      <c r="M662" s="2">
        <f>DHMXX[[#This Row],[INV DOC DATE]]+30</f>
        <v>43251</v>
      </c>
      <c r="N662" s="2">
        <v>43251</v>
      </c>
      <c r="O662" s="7">
        <v>178.25</v>
      </c>
      <c r="P662" s="2">
        <v>43262</v>
      </c>
      <c r="Q662" s="7">
        <f>$E662-$O662</f>
        <v>0</v>
      </c>
      <c r="R662" s="7" t="str">
        <f ca="1">IF(TODAY() - DHMXX[INV DUE DATE]&lt;30, "Less than 30 days",IF(TODAY()-DHMXX[INV DUE DATE]&lt;60,"30-60 days","More than 60 days"))</f>
        <v>30-60 days</v>
      </c>
      <c r="S662" t="s">
        <v>1550</v>
      </c>
      <c r="T662" s="43" t="s">
        <v>2229</v>
      </c>
      <c r="U662" t="s">
        <v>3699</v>
      </c>
    </row>
    <row r="663" spans="1:21" x14ac:dyDescent="0.3">
      <c r="A663" t="s">
        <v>2704</v>
      </c>
      <c r="B663" t="s">
        <v>30</v>
      </c>
      <c r="C663" t="s">
        <v>140</v>
      </c>
      <c r="D663" s="15">
        <v>1</v>
      </c>
      <c r="E663" s="7">
        <v>178.25</v>
      </c>
      <c r="H663">
        <v>90352</v>
      </c>
      <c r="I663" t="s">
        <v>855</v>
      </c>
      <c r="J663" t="s">
        <v>2833</v>
      </c>
      <c r="K663" t="s">
        <v>3</v>
      </c>
      <c r="L663" s="2">
        <v>43221</v>
      </c>
      <c r="M663" s="2">
        <f>DHMXX[[#This Row],[INV DOC DATE]]+30</f>
        <v>43251</v>
      </c>
      <c r="N663" s="2">
        <v>43251</v>
      </c>
      <c r="O663" s="7">
        <v>178.25</v>
      </c>
      <c r="P663" s="2">
        <v>43262</v>
      </c>
      <c r="Q663" s="7">
        <f>$E663-$O663</f>
        <v>0</v>
      </c>
      <c r="R663" s="7" t="str">
        <f ca="1">IF(TODAY() - DHMXX[INV DUE DATE]&lt;30, "Less than 30 days",IF(TODAY()-DHMXX[INV DUE DATE]&lt;60,"30-60 days","More than 60 days"))</f>
        <v>30-60 days</v>
      </c>
      <c r="S663" t="s">
        <v>1550</v>
      </c>
      <c r="T663" s="43" t="s">
        <v>2229</v>
      </c>
      <c r="U663" t="s">
        <v>3699</v>
      </c>
    </row>
    <row r="664" spans="1:21" x14ac:dyDescent="0.3">
      <c r="A664" t="s">
        <v>2704</v>
      </c>
      <c r="B664" t="s">
        <v>30</v>
      </c>
      <c r="C664" t="s">
        <v>141</v>
      </c>
      <c r="D664" s="15">
        <v>1</v>
      </c>
      <c r="E664" s="7">
        <v>178.25</v>
      </c>
      <c r="H664">
        <v>90352</v>
      </c>
      <c r="I664" t="s">
        <v>855</v>
      </c>
      <c r="J664" t="s">
        <v>2834</v>
      </c>
      <c r="K664" t="s">
        <v>3</v>
      </c>
      <c r="L664" s="2">
        <v>43221</v>
      </c>
      <c r="M664" s="2">
        <f>DHMXX[[#This Row],[INV DOC DATE]]+30</f>
        <v>43251</v>
      </c>
      <c r="N664" s="2">
        <v>43251</v>
      </c>
      <c r="O664" s="7">
        <v>178.25</v>
      </c>
      <c r="P664" s="2">
        <v>43262</v>
      </c>
      <c r="Q664" s="7">
        <f>$E664-$O664</f>
        <v>0</v>
      </c>
      <c r="R664" s="7" t="str">
        <f ca="1">IF(TODAY() - DHMXX[INV DUE DATE]&lt;30, "Less than 30 days",IF(TODAY()-DHMXX[INV DUE DATE]&lt;60,"30-60 days","More than 60 days"))</f>
        <v>30-60 days</v>
      </c>
      <c r="S664" t="s">
        <v>1550</v>
      </c>
      <c r="T664" s="43" t="s">
        <v>2229</v>
      </c>
      <c r="U664" t="s">
        <v>3699</v>
      </c>
    </row>
    <row r="665" spans="1:21" x14ac:dyDescent="0.3">
      <c r="A665" t="s">
        <v>2704</v>
      </c>
      <c r="B665" t="s">
        <v>30</v>
      </c>
      <c r="C665" t="s">
        <v>142</v>
      </c>
      <c r="D665" s="15">
        <v>1</v>
      </c>
      <c r="E665" s="7">
        <v>178.25</v>
      </c>
      <c r="H665">
        <v>90352</v>
      </c>
      <c r="I665" t="s">
        <v>855</v>
      </c>
      <c r="J665" t="s">
        <v>2835</v>
      </c>
      <c r="K665" t="s">
        <v>3</v>
      </c>
      <c r="L665" s="2">
        <v>43221</v>
      </c>
      <c r="M665" s="2">
        <f>DHMXX[[#This Row],[INV DOC DATE]]+30</f>
        <v>43251</v>
      </c>
      <c r="N665" s="2">
        <v>43251</v>
      </c>
      <c r="O665" s="7">
        <v>178.25</v>
      </c>
      <c r="P665" s="2">
        <v>43262</v>
      </c>
      <c r="Q665" s="7">
        <f>$E665-$O665</f>
        <v>0</v>
      </c>
      <c r="R665" s="7" t="str">
        <f ca="1">IF(TODAY() - DHMXX[INV DUE DATE]&lt;30, "Less than 30 days",IF(TODAY()-DHMXX[INV DUE DATE]&lt;60,"30-60 days","More than 60 days"))</f>
        <v>30-60 days</v>
      </c>
      <c r="S665" t="s">
        <v>1550</v>
      </c>
      <c r="T665" s="43" t="s">
        <v>2229</v>
      </c>
      <c r="U665" t="s">
        <v>3699</v>
      </c>
    </row>
    <row r="666" spans="1:21" x14ac:dyDescent="0.3">
      <c r="A666" t="s">
        <v>2704</v>
      </c>
      <c r="B666" t="s">
        <v>30</v>
      </c>
      <c r="C666" t="s">
        <v>143</v>
      </c>
      <c r="D666" s="15">
        <v>1</v>
      </c>
      <c r="E666" s="7">
        <v>178.25</v>
      </c>
      <c r="H666">
        <v>90352</v>
      </c>
      <c r="I666" t="s">
        <v>855</v>
      </c>
      <c r="J666" t="s">
        <v>2836</v>
      </c>
      <c r="K666" t="s">
        <v>3</v>
      </c>
      <c r="L666" s="2">
        <v>43221</v>
      </c>
      <c r="M666" s="2">
        <f>DHMXX[[#This Row],[INV DOC DATE]]+30</f>
        <v>43251</v>
      </c>
      <c r="N666" s="2">
        <v>43251</v>
      </c>
      <c r="O666" s="7">
        <v>178.25</v>
      </c>
      <c r="P666" s="2">
        <v>43262</v>
      </c>
      <c r="Q666" s="7">
        <f>$E666-$O666</f>
        <v>0</v>
      </c>
      <c r="R666" s="7" t="str">
        <f ca="1">IF(TODAY() - DHMXX[INV DUE DATE]&lt;30, "Less than 30 days",IF(TODAY()-DHMXX[INV DUE DATE]&lt;60,"30-60 days","More than 60 days"))</f>
        <v>30-60 days</v>
      </c>
      <c r="S666" t="s">
        <v>1550</v>
      </c>
      <c r="T666" s="43" t="s">
        <v>2229</v>
      </c>
      <c r="U666" t="s">
        <v>3699</v>
      </c>
    </row>
    <row r="667" spans="1:21" x14ac:dyDescent="0.3">
      <c r="A667" t="s">
        <v>2704</v>
      </c>
      <c r="B667" t="s">
        <v>30</v>
      </c>
      <c r="C667" t="s">
        <v>144</v>
      </c>
      <c r="D667" s="15">
        <v>1</v>
      </c>
      <c r="E667" s="7">
        <v>178.25</v>
      </c>
      <c r="H667">
        <v>90352</v>
      </c>
      <c r="I667" t="s">
        <v>855</v>
      </c>
      <c r="J667" t="s">
        <v>2837</v>
      </c>
      <c r="K667" t="s">
        <v>3</v>
      </c>
      <c r="L667" s="2">
        <v>43221</v>
      </c>
      <c r="M667" s="2">
        <f>DHMXX[[#This Row],[INV DOC DATE]]+30</f>
        <v>43251</v>
      </c>
      <c r="N667" s="2">
        <v>43251</v>
      </c>
      <c r="O667" s="7">
        <v>178.25</v>
      </c>
      <c r="P667" s="2">
        <v>43262</v>
      </c>
      <c r="Q667" s="7">
        <f>$E667-$O667</f>
        <v>0</v>
      </c>
      <c r="R667" s="7" t="str">
        <f ca="1">IF(TODAY() - DHMXX[INV DUE DATE]&lt;30, "Less than 30 days",IF(TODAY()-DHMXX[INV DUE DATE]&lt;60,"30-60 days","More than 60 days"))</f>
        <v>30-60 days</v>
      </c>
      <c r="S667" t="s">
        <v>1550</v>
      </c>
      <c r="T667" s="43" t="s">
        <v>2229</v>
      </c>
      <c r="U667" t="s">
        <v>3699</v>
      </c>
    </row>
    <row r="668" spans="1:21" x14ac:dyDescent="0.3">
      <c r="A668" t="s">
        <v>2704</v>
      </c>
      <c r="B668" t="s">
        <v>30</v>
      </c>
      <c r="C668" t="s">
        <v>145</v>
      </c>
      <c r="D668" s="15">
        <v>1</v>
      </c>
      <c r="E668" s="7">
        <v>178.25</v>
      </c>
      <c r="H668">
        <v>90352</v>
      </c>
      <c r="I668" t="s">
        <v>855</v>
      </c>
      <c r="J668" t="s">
        <v>2838</v>
      </c>
      <c r="K668" t="s">
        <v>3</v>
      </c>
      <c r="L668" s="2">
        <v>43221</v>
      </c>
      <c r="M668" s="2">
        <f>DHMXX[[#This Row],[INV DOC DATE]]+30</f>
        <v>43251</v>
      </c>
      <c r="N668" s="2">
        <v>43251</v>
      </c>
      <c r="O668" s="7">
        <v>178.25</v>
      </c>
      <c r="P668" s="2">
        <v>43262</v>
      </c>
      <c r="Q668" s="7">
        <f>$E668-$O668</f>
        <v>0</v>
      </c>
      <c r="R668" s="7" t="str">
        <f ca="1">IF(TODAY() - DHMXX[INV DUE DATE]&lt;30, "Less than 30 days",IF(TODAY()-DHMXX[INV DUE DATE]&lt;60,"30-60 days","More than 60 days"))</f>
        <v>30-60 days</v>
      </c>
      <c r="S668" t="s">
        <v>1550</v>
      </c>
      <c r="T668" s="43" t="s">
        <v>2229</v>
      </c>
      <c r="U668" t="s">
        <v>3699</v>
      </c>
    </row>
    <row r="669" spans="1:21" x14ac:dyDescent="0.3">
      <c r="A669" t="s">
        <v>2704</v>
      </c>
      <c r="B669" t="s">
        <v>30</v>
      </c>
      <c r="C669" t="s">
        <v>146</v>
      </c>
      <c r="D669" s="15">
        <v>1</v>
      </c>
      <c r="E669" s="7">
        <v>178.25</v>
      </c>
      <c r="H669">
        <v>90352</v>
      </c>
      <c r="I669" t="s">
        <v>855</v>
      </c>
      <c r="J669" t="s">
        <v>2839</v>
      </c>
      <c r="K669" t="s">
        <v>3</v>
      </c>
      <c r="L669" s="2">
        <v>43221</v>
      </c>
      <c r="M669" s="2">
        <f>DHMXX[[#This Row],[INV DOC DATE]]+30</f>
        <v>43251</v>
      </c>
      <c r="N669" s="2">
        <v>43251</v>
      </c>
      <c r="O669" s="7">
        <v>178.25</v>
      </c>
      <c r="P669" s="2">
        <v>43262</v>
      </c>
      <c r="Q669" s="7">
        <f>$E669-$O669</f>
        <v>0</v>
      </c>
      <c r="R669" s="7" t="str">
        <f ca="1">IF(TODAY() - DHMXX[INV DUE DATE]&lt;30, "Less than 30 days",IF(TODAY()-DHMXX[INV DUE DATE]&lt;60,"30-60 days","More than 60 days"))</f>
        <v>30-60 days</v>
      </c>
      <c r="S669" t="s">
        <v>1550</v>
      </c>
      <c r="T669" s="43" t="s">
        <v>2229</v>
      </c>
      <c r="U669" t="s">
        <v>3699</v>
      </c>
    </row>
    <row r="670" spans="1:21" x14ac:dyDescent="0.3">
      <c r="A670" t="s">
        <v>2704</v>
      </c>
      <c r="B670" t="s">
        <v>30</v>
      </c>
      <c r="C670" t="s">
        <v>147</v>
      </c>
      <c r="D670" s="15">
        <v>1</v>
      </c>
      <c r="E670" s="7">
        <v>178.25</v>
      </c>
      <c r="H670">
        <v>90352</v>
      </c>
      <c r="I670" t="s">
        <v>855</v>
      </c>
      <c r="J670" t="s">
        <v>2840</v>
      </c>
      <c r="K670" t="s">
        <v>3</v>
      </c>
      <c r="L670" s="2">
        <v>43221</v>
      </c>
      <c r="M670" s="2">
        <f>DHMXX[[#This Row],[INV DOC DATE]]+30</f>
        <v>43251</v>
      </c>
      <c r="N670" s="2">
        <v>43251</v>
      </c>
      <c r="O670" s="7">
        <v>178.25</v>
      </c>
      <c r="P670" s="2">
        <v>43262</v>
      </c>
      <c r="Q670" s="7">
        <f>$E670-$O670</f>
        <v>0</v>
      </c>
      <c r="R670" s="7" t="str">
        <f ca="1">IF(TODAY() - DHMXX[INV DUE DATE]&lt;30, "Less than 30 days",IF(TODAY()-DHMXX[INV DUE DATE]&lt;60,"30-60 days","More than 60 days"))</f>
        <v>30-60 days</v>
      </c>
      <c r="S670" t="s">
        <v>1550</v>
      </c>
      <c r="T670" s="43" t="s">
        <v>2229</v>
      </c>
      <c r="U670" t="s">
        <v>3699</v>
      </c>
    </row>
    <row r="671" spans="1:21" x14ac:dyDescent="0.3">
      <c r="A671" t="s">
        <v>2704</v>
      </c>
      <c r="B671" t="s">
        <v>30</v>
      </c>
      <c r="C671" t="s">
        <v>148</v>
      </c>
      <c r="D671" s="15">
        <v>1</v>
      </c>
      <c r="E671" s="7">
        <v>178.25</v>
      </c>
      <c r="H671">
        <v>90352</v>
      </c>
      <c r="I671" t="s">
        <v>855</v>
      </c>
      <c r="J671" t="s">
        <v>2841</v>
      </c>
      <c r="K671" t="s">
        <v>3</v>
      </c>
      <c r="L671" s="2">
        <v>43221</v>
      </c>
      <c r="M671" s="2">
        <f>DHMXX[[#This Row],[INV DOC DATE]]+30</f>
        <v>43251</v>
      </c>
      <c r="N671" s="2">
        <v>43251</v>
      </c>
      <c r="O671" s="7">
        <v>178.25</v>
      </c>
      <c r="P671" s="2">
        <v>43262</v>
      </c>
      <c r="Q671" s="7">
        <f>$E671-$O671</f>
        <v>0</v>
      </c>
      <c r="R671" s="7" t="str">
        <f ca="1">IF(TODAY() - DHMXX[INV DUE DATE]&lt;30, "Less than 30 days",IF(TODAY()-DHMXX[INV DUE DATE]&lt;60,"30-60 days","More than 60 days"))</f>
        <v>30-60 days</v>
      </c>
      <c r="S671" t="s">
        <v>1550</v>
      </c>
      <c r="T671" s="43" t="s">
        <v>2229</v>
      </c>
      <c r="U671" t="s">
        <v>3699</v>
      </c>
    </row>
    <row r="672" spans="1:21" x14ac:dyDescent="0.3">
      <c r="A672" t="s">
        <v>2704</v>
      </c>
      <c r="B672" t="s">
        <v>30</v>
      </c>
      <c r="C672" t="s">
        <v>149</v>
      </c>
      <c r="D672" s="15">
        <v>1</v>
      </c>
      <c r="E672" s="7">
        <v>178.25</v>
      </c>
      <c r="H672">
        <v>90352</v>
      </c>
      <c r="I672" t="s">
        <v>855</v>
      </c>
      <c r="J672" t="s">
        <v>2842</v>
      </c>
      <c r="K672" t="s">
        <v>3</v>
      </c>
      <c r="L672" s="2">
        <v>43221</v>
      </c>
      <c r="M672" s="2">
        <f>DHMXX[[#This Row],[INV DOC DATE]]+30</f>
        <v>43251</v>
      </c>
      <c r="N672" s="2">
        <v>43251</v>
      </c>
      <c r="O672" s="7">
        <v>178.25</v>
      </c>
      <c r="P672" s="2">
        <v>43262</v>
      </c>
      <c r="Q672" s="7">
        <f>$E672-$O672</f>
        <v>0</v>
      </c>
      <c r="R672" s="7" t="str">
        <f ca="1">IF(TODAY() - DHMXX[INV DUE DATE]&lt;30, "Less than 30 days",IF(TODAY()-DHMXX[INV DUE DATE]&lt;60,"30-60 days","More than 60 days"))</f>
        <v>30-60 days</v>
      </c>
      <c r="S672" t="s">
        <v>1550</v>
      </c>
      <c r="T672" s="43" t="s">
        <v>2229</v>
      </c>
      <c r="U672" t="s">
        <v>3699</v>
      </c>
    </row>
    <row r="673" spans="1:21" x14ac:dyDescent="0.3">
      <c r="A673" t="s">
        <v>2704</v>
      </c>
      <c r="B673" t="s">
        <v>30</v>
      </c>
      <c r="C673" t="s">
        <v>150</v>
      </c>
      <c r="D673" s="15">
        <v>1</v>
      </c>
      <c r="E673" s="7">
        <v>178.25</v>
      </c>
      <c r="H673">
        <v>90352</v>
      </c>
      <c r="I673" t="s">
        <v>855</v>
      </c>
      <c r="J673" t="s">
        <v>2843</v>
      </c>
      <c r="K673" t="s">
        <v>3</v>
      </c>
      <c r="L673" s="2">
        <v>43221</v>
      </c>
      <c r="M673" s="2">
        <f>DHMXX[[#This Row],[INV DOC DATE]]+30</f>
        <v>43251</v>
      </c>
      <c r="N673" s="2">
        <v>43251</v>
      </c>
      <c r="O673" s="7">
        <v>178.25</v>
      </c>
      <c r="P673" s="2">
        <v>43262</v>
      </c>
      <c r="Q673" s="7">
        <f>$E673-$O673</f>
        <v>0</v>
      </c>
      <c r="R673" s="7" t="str">
        <f ca="1">IF(TODAY() - DHMXX[INV DUE DATE]&lt;30, "Less than 30 days",IF(TODAY()-DHMXX[INV DUE DATE]&lt;60,"30-60 days","More than 60 days"))</f>
        <v>30-60 days</v>
      </c>
      <c r="S673" t="s">
        <v>1550</v>
      </c>
      <c r="T673" s="43" t="s">
        <v>2229</v>
      </c>
      <c r="U673" t="s">
        <v>3699</v>
      </c>
    </row>
    <row r="674" spans="1:21" x14ac:dyDescent="0.3">
      <c r="A674" t="s">
        <v>2704</v>
      </c>
      <c r="B674" t="s">
        <v>30</v>
      </c>
      <c r="C674" t="s">
        <v>151</v>
      </c>
      <c r="D674" s="15">
        <v>1</v>
      </c>
      <c r="E674" s="7">
        <v>178.25</v>
      </c>
      <c r="H674">
        <v>90352</v>
      </c>
      <c r="I674" t="s">
        <v>855</v>
      </c>
      <c r="J674" t="s">
        <v>2844</v>
      </c>
      <c r="K674" t="s">
        <v>3</v>
      </c>
      <c r="L674" s="2">
        <v>43221</v>
      </c>
      <c r="M674" s="2">
        <f>DHMXX[[#This Row],[INV DOC DATE]]+30</f>
        <v>43251</v>
      </c>
      <c r="N674" s="2">
        <v>43251</v>
      </c>
      <c r="O674" s="7">
        <v>178.25</v>
      </c>
      <c r="P674" s="2">
        <v>43262</v>
      </c>
      <c r="Q674" s="7">
        <f>$E674-$O674</f>
        <v>0</v>
      </c>
      <c r="R674" s="7" t="str">
        <f ca="1">IF(TODAY() - DHMXX[INV DUE DATE]&lt;30, "Less than 30 days",IF(TODAY()-DHMXX[INV DUE DATE]&lt;60,"30-60 days","More than 60 days"))</f>
        <v>30-60 days</v>
      </c>
      <c r="S674" t="s">
        <v>1550</v>
      </c>
      <c r="T674" s="43" t="s">
        <v>2229</v>
      </c>
      <c r="U674" t="s">
        <v>3699</v>
      </c>
    </row>
    <row r="675" spans="1:21" x14ac:dyDescent="0.3">
      <c r="A675" t="s">
        <v>2704</v>
      </c>
      <c r="B675" t="s">
        <v>30</v>
      </c>
      <c r="C675" t="s">
        <v>152</v>
      </c>
      <c r="D675" s="15">
        <v>1</v>
      </c>
      <c r="E675" s="7">
        <v>178.25</v>
      </c>
      <c r="H675">
        <v>90352</v>
      </c>
      <c r="I675" t="s">
        <v>855</v>
      </c>
      <c r="J675" t="s">
        <v>2845</v>
      </c>
      <c r="K675" t="s">
        <v>3</v>
      </c>
      <c r="L675" s="2">
        <v>43221</v>
      </c>
      <c r="M675" s="2">
        <f>DHMXX[[#This Row],[INV DOC DATE]]+30</f>
        <v>43251</v>
      </c>
      <c r="N675" s="2">
        <v>43251</v>
      </c>
      <c r="O675" s="7">
        <v>178.25</v>
      </c>
      <c r="P675" s="2">
        <v>43262</v>
      </c>
      <c r="Q675" s="7">
        <f>$E675-$O675</f>
        <v>0</v>
      </c>
      <c r="R675" s="7" t="str">
        <f ca="1">IF(TODAY() - DHMXX[INV DUE DATE]&lt;30, "Less than 30 days",IF(TODAY()-DHMXX[INV DUE DATE]&lt;60,"30-60 days","More than 60 days"))</f>
        <v>30-60 days</v>
      </c>
      <c r="S675" t="s">
        <v>1550</v>
      </c>
      <c r="T675" s="43" t="s">
        <v>2229</v>
      </c>
      <c r="U675" t="s">
        <v>3699</v>
      </c>
    </row>
    <row r="676" spans="1:21" x14ac:dyDescent="0.3">
      <c r="A676" t="s">
        <v>2704</v>
      </c>
      <c r="B676" t="s">
        <v>30</v>
      </c>
      <c r="C676" t="s">
        <v>296</v>
      </c>
      <c r="D676" s="15">
        <v>1</v>
      </c>
      <c r="E676" s="7">
        <v>178.25</v>
      </c>
      <c r="H676">
        <v>90352</v>
      </c>
      <c r="I676" t="s">
        <v>855</v>
      </c>
      <c r="J676" t="s">
        <v>2846</v>
      </c>
      <c r="K676" t="s">
        <v>3</v>
      </c>
      <c r="L676" s="2">
        <v>43221</v>
      </c>
      <c r="M676" s="2">
        <f>DHMXX[[#This Row],[INV DOC DATE]]+30</f>
        <v>43251</v>
      </c>
      <c r="N676" s="2">
        <v>43251</v>
      </c>
      <c r="O676" s="7">
        <v>178.25</v>
      </c>
      <c r="P676" s="2">
        <v>43262</v>
      </c>
      <c r="Q676" s="7">
        <f>$E676-$O676</f>
        <v>0</v>
      </c>
      <c r="R676" s="7" t="str">
        <f ca="1">IF(TODAY() - DHMXX[INV DUE DATE]&lt;30, "Less than 30 days",IF(TODAY()-DHMXX[INV DUE DATE]&lt;60,"30-60 days","More than 60 days"))</f>
        <v>30-60 days</v>
      </c>
      <c r="S676" t="s">
        <v>1550</v>
      </c>
      <c r="T676" s="43" t="s">
        <v>2229</v>
      </c>
      <c r="U676" t="s">
        <v>3699</v>
      </c>
    </row>
    <row r="677" spans="1:21" x14ac:dyDescent="0.3">
      <c r="A677" t="s">
        <v>2704</v>
      </c>
      <c r="B677" t="s">
        <v>30</v>
      </c>
      <c r="C677" t="s">
        <v>297</v>
      </c>
      <c r="D677" s="15">
        <v>1</v>
      </c>
      <c r="E677" s="7">
        <v>178.25</v>
      </c>
      <c r="H677">
        <v>90352</v>
      </c>
      <c r="I677" t="s">
        <v>855</v>
      </c>
      <c r="J677" t="s">
        <v>2847</v>
      </c>
      <c r="K677" t="s">
        <v>3</v>
      </c>
      <c r="L677" s="2">
        <v>43221</v>
      </c>
      <c r="M677" s="2">
        <f>DHMXX[[#This Row],[INV DOC DATE]]+30</f>
        <v>43251</v>
      </c>
      <c r="N677" s="2">
        <v>43251</v>
      </c>
      <c r="O677" s="7">
        <v>178.25</v>
      </c>
      <c r="P677" s="2">
        <v>43262</v>
      </c>
      <c r="Q677" s="7">
        <f>$E677-$O677</f>
        <v>0</v>
      </c>
      <c r="R677" s="7" t="str">
        <f ca="1">IF(TODAY() - DHMXX[INV DUE DATE]&lt;30, "Less than 30 days",IF(TODAY()-DHMXX[INV DUE DATE]&lt;60,"30-60 days","More than 60 days"))</f>
        <v>30-60 days</v>
      </c>
      <c r="S677" t="s">
        <v>1550</v>
      </c>
      <c r="T677" s="43" t="s">
        <v>2229</v>
      </c>
      <c r="U677" t="s">
        <v>3699</v>
      </c>
    </row>
    <row r="678" spans="1:21" x14ac:dyDescent="0.3">
      <c r="A678" t="s">
        <v>2704</v>
      </c>
      <c r="B678" t="s">
        <v>30</v>
      </c>
      <c r="C678" t="s">
        <v>298</v>
      </c>
      <c r="D678" s="15">
        <v>1</v>
      </c>
      <c r="E678" s="7">
        <v>178.25</v>
      </c>
      <c r="H678">
        <v>90352</v>
      </c>
      <c r="I678" t="s">
        <v>855</v>
      </c>
      <c r="J678" t="s">
        <v>2848</v>
      </c>
      <c r="K678" t="s">
        <v>3</v>
      </c>
      <c r="L678" s="2">
        <v>43221</v>
      </c>
      <c r="M678" s="2">
        <f>DHMXX[[#This Row],[INV DOC DATE]]+30</f>
        <v>43251</v>
      </c>
      <c r="N678" s="2">
        <v>43251</v>
      </c>
      <c r="O678" s="7">
        <v>178.25</v>
      </c>
      <c r="P678" s="2">
        <v>43262</v>
      </c>
      <c r="Q678" s="7">
        <f>$E678-$O678</f>
        <v>0</v>
      </c>
      <c r="R678" s="7" t="str">
        <f ca="1">IF(TODAY() - DHMXX[INV DUE DATE]&lt;30, "Less than 30 days",IF(TODAY()-DHMXX[INV DUE DATE]&lt;60,"30-60 days","More than 60 days"))</f>
        <v>30-60 days</v>
      </c>
      <c r="S678" t="s">
        <v>1550</v>
      </c>
      <c r="T678" s="43" t="s">
        <v>2229</v>
      </c>
      <c r="U678" t="s">
        <v>3699</v>
      </c>
    </row>
    <row r="679" spans="1:21" x14ac:dyDescent="0.3">
      <c r="A679" t="s">
        <v>2704</v>
      </c>
      <c r="B679" t="s">
        <v>30</v>
      </c>
      <c r="C679" t="s">
        <v>299</v>
      </c>
      <c r="D679" s="15">
        <v>1</v>
      </c>
      <c r="E679" s="7">
        <v>178.25</v>
      </c>
      <c r="H679">
        <v>90352</v>
      </c>
      <c r="I679" t="s">
        <v>855</v>
      </c>
      <c r="J679" t="s">
        <v>2849</v>
      </c>
      <c r="K679" t="s">
        <v>3</v>
      </c>
      <c r="L679" s="2">
        <v>43221</v>
      </c>
      <c r="M679" s="2">
        <f>DHMXX[[#This Row],[INV DOC DATE]]+30</f>
        <v>43251</v>
      </c>
      <c r="N679" s="2">
        <v>43251</v>
      </c>
      <c r="O679" s="7">
        <v>178.25</v>
      </c>
      <c r="P679" s="2">
        <v>43262</v>
      </c>
      <c r="Q679" s="7">
        <f>$E679-$O679</f>
        <v>0</v>
      </c>
      <c r="R679" s="7" t="str">
        <f ca="1">IF(TODAY() - DHMXX[INV DUE DATE]&lt;30, "Less than 30 days",IF(TODAY()-DHMXX[INV DUE DATE]&lt;60,"30-60 days","More than 60 days"))</f>
        <v>30-60 days</v>
      </c>
      <c r="S679" t="s">
        <v>1550</v>
      </c>
      <c r="T679" s="43" t="s">
        <v>2229</v>
      </c>
      <c r="U679" t="s">
        <v>3699</v>
      </c>
    </row>
    <row r="680" spans="1:21" x14ac:dyDescent="0.3">
      <c r="A680" t="s">
        <v>2704</v>
      </c>
      <c r="B680" t="s">
        <v>30</v>
      </c>
      <c r="C680" t="s">
        <v>300</v>
      </c>
      <c r="D680" s="15">
        <v>1</v>
      </c>
      <c r="E680" s="7">
        <v>178.25</v>
      </c>
      <c r="H680">
        <v>90352</v>
      </c>
      <c r="I680" t="s">
        <v>855</v>
      </c>
      <c r="J680" t="s">
        <v>2850</v>
      </c>
      <c r="K680" t="s">
        <v>3</v>
      </c>
      <c r="L680" s="2">
        <v>43221</v>
      </c>
      <c r="M680" s="2">
        <f>DHMXX[[#This Row],[INV DOC DATE]]+30</f>
        <v>43251</v>
      </c>
      <c r="N680" s="2">
        <v>43251</v>
      </c>
      <c r="O680" s="7">
        <v>178.25</v>
      </c>
      <c r="P680" s="2">
        <v>43262</v>
      </c>
      <c r="Q680" s="7">
        <f>$E680-$O680</f>
        <v>0</v>
      </c>
      <c r="R680" s="7" t="str">
        <f ca="1">IF(TODAY() - DHMXX[INV DUE DATE]&lt;30, "Less than 30 days",IF(TODAY()-DHMXX[INV DUE DATE]&lt;60,"30-60 days","More than 60 days"))</f>
        <v>30-60 days</v>
      </c>
      <c r="S680" t="s">
        <v>1550</v>
      </c>
      <c r="T680" s="43" t="s">
        <v>2229</v>
      </c>
      <c r="U680" t="s">
        <v>3699</v>
      </c>
    </row>
    <row r="681" spans="1:21" x14ac:dyDescent="0.3">
      <c r="A681" t="s">
        <v>2704</v>
      </c>
      <c r="B681" t="s">
        <v>30</v>
      </c>
      <c r="C681" t="s">
        <v>301</v>
      </c>
      <c r="D681" s="15">
        <v>1</v>
      </c>
      <c r="E681" s="7">
        <v>178.25</v>
      </c>
      <c r="H681">
        <v>90352</v>
      </c>
      <c r="I681" t="s">
        <v>855</v>
      </c>
      <c r="J681" t="s">
        <v>2851</v>
      </c>
      <c r="K681" t="s">
        <v>3</v>
      </c>
      <c r="L681" s="2">
        <v>43221</v>
      </c>
      <c r="M681" s="2">
        <f>DHMXX[[#This Row],[INV DOC DATE]]+30</f>
        <v>43251</v>
      </c>
      <c r="N681" s="2">
        <v>43251</v>
      </c>
      <c r="O681" s="7">
        <v>178.25</v>
      </c>
      <c r="P681" s="2">
        <v>43262</v>
      </c>
      <c r="Q681" s="7">
        <f>$E681-$O681</f>
        <v>0</v>
      </c>
      <c r="R681" s="7" t="str">
        <f ca="1">IF(TODAY() - DHMXX[INV DUE DATE]&lt;30, "Less than 30 days",IF(TODAY()-DHMXX[INV DUE DATE]&lt;60,"30-60 days","More than 60 days"))</f>
        <v>30-60 days</v>
      </c>
      <c r="S681" t="s">
        <v>1550</v>
      </c>
      <c r="T681" s="43" t="s">
        <v>2229</v>
      </c>
      <c r="U681" t="s">
        <v>3699</v>
      </c>
    </row>
    <row r="682" spans="1:21" x14ac:dyDescent="0.3">
      <c r="A682" t="s">
        <v>2704</v>
      </c>
      <c r="B682" t="s">
        <v>30</v>
      </c>
      <c r="C682" t="s">
        <v>302</v>
      </c>
      <c r="D682" s="15">
        <v>1</v>
      </c>
      <c r="E682" s="7">
        <v>178.25</v>
      </c>
      <c r="H682">
        <v>90352</v>
      </c>
      <c r="I682" t="s">
        <v>855</v>
      </c>
      <c r="J682" t="s">
        <v>2852</v>
      </c>
      <c r="K682" t="s">
        <v>3</v>
      </c>
      <c r="L682" s="2">
        <v>43221</v>
      </c>
      <c r="M682" s="2">
        <f>DHMXX[[#This Row],[INV DOC DATE]]+30</f>
        <v>43251</v>
      </c>
      <c r="N682" s="2">
        <v>43251</v>
      </c>
      <c r="O682" s="7">
        <v>178.25</v>
      </c>
      <c r="P682" s="2">
        <v>43262</v>
      </c>
      <c r="Q682" s="7">
        <f>$E682-$O682</f>
        <v>0</v>
      </c>
      <c r="R682" s="7" t="str">
        <f ca="1">IF(TODAY() - DHMXX[INV DUE DATE]&lt;30, "Less than 30 days",IF(TODAY()-DHMXX[INV DUE DATE]&lt;60,"30-60 days","More than 60 days"))</f>
        <v>30-60 days</v>
      </c>
      <c r="S682" t="s">
        <v>1550</v>
      </c>
      <c r="T682" s="43" t="s">
        <v>2229</v>
      </c>
      <c r="U682" t="s">
        <v>3699</v>
      </c>
    </row>
    <row r="683" spans="1:21" x14ac:dyDescent="0.3">
      <c r="A683" t="s">
        <v>2704</v>
      </c>
      <c r="B683" t="s">
        <v>30</v>
      </c>
      <c r="C683" t="s">
        <v>303</v>
      </c>
      <c r="D683" s="15">
        <v>1</v>
      </c>
      <c r="E683" s="7">
        <v>178.25</v>
      </c>
      <c r="H683">
        <v>90352</v>
      </c>
      <c r="I683" t="s">
        <v>855</v>
      </c>
      <c r="J683" t="s">
        <v>2853</v>
      </c>
      <c r="K683" t="s">
        <v>3</v>
      </c>
      <c r="L683" s="2">
        <v>43221</v>
      </c>
      <c r="M683" s="2">
        <f>DHMXX[[#This Row],[INV DOC DATE]]+30</f>
        <v>43251</v>
      </c>
      <c r="N683" s="2">
        <v>43251</v>
      </c>
      <c r="O683" s="7">
        <v>178.25</v>
      </c>
      <c r="P683" s="2">
        <v>43262</v>
      </c>
      <c r="Q683" s="7">
        <f>$E683-$O683</f>
        <v>0</v>
      </c>
      <c r="R683" s="7" t="str">
        <f ca="1">IF(TODAY() - DHMXX[INV DUE DATE]&lt;30, "Less than 30 days",IF(TODAY()-DHMXX[INV DUE DATE]&lt;60,"30-60 days","More than 60 days"))</f>
        <v>30-60 days</v>
      </c>
      <c r="S683" t="s">
        <v>1550</v>
      </c>
      <c r="T683" s="43" t="s">
        <v>2229</v>
      </c>
      <c r="U683" t="s">
        <v>3699</v>
      </c>
    </row>
    <row r="684" spans="1:21" x14ac:dyDescent="0.3">
      <c r="A684" t="s">
        <v>2704</v>
      </c>
      <c r="B684" t="s">
        <v>30</v>
      </c>
      <c r="C684" t="s">
        <v>304</v>
      </c>
      <c r="D684" s="15">
        <v>1</v>
      </c>
      <c r="E684" s="7">
        <v>178.25</v>
      </c>
      <c r="H684">
        <v>90352</v>
      </c>
      <c r="I684" t="s">
        <v>855</v>
      </c>
      <c r="J684" t="s">
        <v>2854</v>
      </c>
      <c r="K684" t="s">
        <v>3</v>
      </c>
      <c r="L684" s="2">
        <v>43221</v>
      </c>
      <c r="M684" s="2">
        <f>DHMXX[[#This Row],[INV DOC DATE]]+30</f>
        <v>43251</v>
      </c>
      <c r="N684" s="2">
        <v>43251</v>
      </c>
      <c r="O684" s="7">
        <v>178.25</v>
      </c>
      <c r="P684" s="2">
        <v>43262</v>
      </c>
      <c r="Q684" s="7">
        <f>$E684-$O684</f>
        <v>0</v>
      </c>
      <c r="R684" s="7" t="str">
        <f ca="1">IF(TODAY() - DHMXX[INV DUE DATE]&lt;30, "Less than 30 days",IF(TODAY()-DHMXX[INV DUE DATE]&lt;60,"30-60 days","More than 60 days"))</f>
        <v>30-60 days</v>
      </c>
      <c r="S684" t="s">
        <v>1550</v>
      </c>
      <c r="T684" s="43" t="s">
        <v>2229</v>
      </c>
      <c r="U684" t="s">
        <v>3699</v>
      </c>
    </row>
    <row r="685" spans="1:21" x14ac:dyDescent="0.3">
      <c r="A685" t="s">
        <v>2704</v>
      </c>
      <c r="B685" t="s">
        <v>30</v>
      </c>
      <c r="C685" t="s">
        <v>305</v>
      </c>
      <c r="D685" s="15">
        <v>1</v>
      </c>
      <c r="E685" s="7">
        <v>178.25</v>
      </c>
      <c r="H685">
        <v>90352</v>
      </c>
      <c r="I685" t="s">
        <v>855</v>
      </c>
      <c r="J685" t="s">
        <v>2855</v>
      </c>
      <c r="K685" t="s">
        <v>3</v>
      </c>
      <c r="L685" s="2">
        <v>43221</v>
      </c>
      <c r="M685" s="2">
        <f>DHMXX[[#This Row],[INV DOC DATE]]+30</f>
        <v>43251</v>
      </c>
      <c r="N685" s="2">
        <v>43251</v>
      </c>
      <c r="O685" s="7">
        <v>178.25</v>
      </c>
      <c r="P685" s="2">
        <v>43262</v>
      </c>
      <c r="Q685" s="7">
        <f>$E685-$O685</f>
        <v>0</v>
      </c>
      <c r="R685" s="7" t="str">
        <f ca="1">IF(TODAY() - DHMXX[INV DUE DATE]&lt;30, "Less than 30 days",IF(TODAY()-DHMXX[INV DUE DATE]&lt;60,"30-60 days","More than 60 days"))</f>
        <v>30-60 days</v>
      </c>
      <c r="S685" t="s">
        <v>1550</v>
      </c>
      <c r="T685" s="43" t="s">
        <v>2229</v>
      </c>
      <c r="U685" t="s">
        <v>3699</v>
      </c>
    </row>
    <row r="686" spans="1:21" x14ac:dyDescent="0.3">
      <c r="A686" t="s">
        <v>2704</v>
      </c>
      <c r="B686" t="s">
        <v>30</v>
      </c>
      <c r="C686" t="s">
        <v>306</v>
      </c>
      <c r="D686" s="15">
        <v>1</v>
      </c>
      <c r="E686" s="7">
        <v>178.25</v>
      </c>
      <c r="H686">
        <v>90352</v>
      </c>
      <c r="I686" t="s">
        <v>855</v>
      </c>
      <c r="J686" t="s">
        <v>2856</v>
      </c>
      <c r="K686" t="s">
        <v>3</v>
      </c>
      <c r="L686" s="2">
        <v>43221</v>
      </c>
      <c r="M686" s="2">
        <f>DHMXX[[#This Row],[INV DOC DATE]]+30</f>
        <v>43251</v>
      </c>
      <c r="N686" s="2">
        <v>43251</v>
      </c>
      <c r="O686" s="7">
        <v>178.25</v>
      </c>
      <c r="P686" s="2">
        <v>43262</v>
      </c>
      <c r="Q686" s="7">
        <f>$E686-$O686</f>
        <v>0</v>
      </c>
      <c r="R686" s="7" t="str">
        <f ca="1">IF(TODAY() - DHMXX[INV DUE DATE]&lt;30, "Less than 30 days",IF(TODAY()-DHMXX[INV DUE DATE]&lt;60,"30-60 days","More than 60 days"))</f>
        <v>30-60 days</v>
      </c>
      <c r="S686" t="s">
        <v>1550</v>
      </c>
      <c r="T686" s="43" t="s">
        <v>2229</v>
      </c>
      <c r="U686" t="s">
        <v>3699</v>
      </c>
    </row>
    <row r="687" spans="1:21" x14ac:dyDescent="0.3">
      <c r="A687" t="s">
        <v>2704</v>
      </c>
      <c r="B687" t="s">
        <v>30</v>
      </c>
      <c r="C687" t="s">
        <v>307</v>
      </c>
      <c r="D687" s="15">
        <v>1</v>
      </c>
      <c r="E687" s="7">
        <v>178.25</v>
      </c>
      <c r="H687">
        <v>90352</v>
      </c>
      <c r="I687" t="s">
        <v>855</v>
      </c>
      <c r="J687" t="s">
        <v>2857</v>
      </c>
      <c r="K687" t="s">
        <v>3</v>
      </c>
      <c r="L687" s="2">
        <v>43221</v>
      </c>
      <c r="M687" s="2">
        <f>DHMXX[[#This Row],[INV DOC DATE]]+30</f>
        <v>43251</v>
      </c>
      <c r="N687" s="2">
        <v>43251</v>
      </c>
      <c r="O687" s="7">
        <v>178.25</v>
      </c>
      <c r="P687" s="2">
        <v>43262</v>
      </c>
      <c r="Q687" s="7">
        <f>$E687-$O687</f>
        <v>0</v>
      </c>
      <c r="R687" s="7" t="str">
        <f ca="1">IF(TODAY() - DHMXX[INV DUE DATE]&lt;30, "Less than 30 days",IF(TODAY()-DHMXX[INV DUE DATE]&lt;60,"30-60 days","More than 60 days"))</f>
        <v>30-60 days</v>
      </c>
      <c r="S687" t="s">
        <v>1550</v>
      </c>
      <c r="T687" s="43" t="s">
        <v>2229</v>
      </c>
      <c r="U687" t="s">
        <v>3699</v>
      </c>
    </row>
    <row r="688" spans="1:21" x14ac:dyDescent="0.3">
      <c r="A688" t="s">
        <v>2704</v>
      </c>
      <c r="B688" t="s">
        <v>30</v>
      </c>
      <c r="C688" t="s">
        <v>308</v>
      </c>
      <c r="D688" s="15">
        <v>1</v>
      </c>
      <c r="E688" s="7">
        <v>178.25</v>
      </c>
      <c r="H688">
        <v>90352</v>
      </c>
      <c r="I688" t="s">
        <v>855</v>
      </c>
      <c r="J688" t="s">
        <v>2858</v>
      </c>
      <c r="K688" t="s">
        <v>3</v>
      </c>
      <c r="L688" s="2">
        <v>43221</v>
      </c>
      <c r="M688" s="2">
        <f>DHMXX[[#This Row],[INV DOC DATE]]+30</f>
        <v>43251</v>
      </c>
      <c r="N688" s="2">
        <v>43251</v>
      </c>
      <c r="O688" s="7">
        <v>178.25</v>
      </c>
      <c r="P688" s="2">
        <v>43262</v>
      </c>
      <c r="Q688" s="7">
        <f>$E688-$O688</f>
        <v>0</v>
      </c>
      <c r="R688" s="7" t="str">
        <f ca="1">IF(TODAY() - DHMXX[INV DUE DATE]&lt;30, "Less than 30 days",IF(TODAY()-DHMXX[INV DUE DATE]&lt;60,"30-60 days","More than 60 days"))</f>
        <v>30-60 days</v>
      </c>
      <c r="S688" t="s">
        <v>1550</v>
      </c>
      <c r="T688" s="43" t="s">
        <v>2229</v>
      </c>
      <c r="U688" t="s">
        <v>3699</v>
      </c>
    </row>
    <row r="689" spans="1:21" x14ac:dyDescent="0.3">
      <c r="A689" t="s">
        <v>2704</v>
      </c>
      <c r="B689" t="s">
        <v>30</v>
      </c>
      <c r="C689" t="s">
        <v>309</v>
      </c>
      <c r="D689" s="15">
        <v>1</v>
      </c>
      <c r="E689" s="7">
        <v>178.25</v>
      </c>
      <c r="H689">
        <v>90352</v>
      </c>
      <c r="I689" t="s">
        <v>855</v>
      </c>
      <c r="J689" t="s">
        <v>2859</v>
      </c>
      <c r="K689" t="s">
        <v>3</v>
      </c>
      <c r="L689" s="2">
        <v>43221</v>
      </c>
      <c r="M689" s="2">
        <f>DHMXX[[#This Row],[INV DOC DATE]]+30</f>
        <v>43251</v>
      </c>
      <c r="N689" s="2">
        <v>43251</v>
      </c>
      <c r="O689" s="7">
        <v>178.25</v>
      </c>
      <c r="P689" s="2">
        <v>43262</v>
      </c>
      <c r="Q689" s="7">
        <f>$E689-$O689</f>
        <v>0</v>
      </c>
      <c r="R689" s="7" t="str">
        <f ca="1">IF(TODAY() - DHMXX[INV DUE DATE]&lt;30, "Less than 30 days",IF(TODAY()-DHMXX[INV DUE DATE]&lt;60,"30-60 days","More than 60 days"))</f>
        <v>30-60 days</v>
      </c>
      <c r="S689" t="s">
        <v>1550</v>
      </c>
      <c r="T689" s="43" t="s">
        <v>2229</v>
      </c>
      <c r="U689" t="s">
        <v>3699</v>
      </c>
    </row>
    <row r="690" spans="1:21" x14ac:dyDescent="0.3">
      <c r="A690" t="s">
        <v>2704</v>
      </c>
      <c r="B690" t="s">
        <v>30</v>
      </c>
      <c r="C690" t="s">
        <v>310</v>
      </c>
      <c r="D690" s="15">
        <v>1</v>
      </c>
      <c r="E690" s="7">
        <v>178.25</v>
      </c>
      <c r="H690">
        <v>90352</v>
      </c>
      <c r="I690" t="s">
        <v>855</v>
      </c>
      <c r="J690" t="s">
        <v>2860</v>
      </c>
      <c r="K690" t="s">
        <v>3</v>
      </c>
      <c r="L690" s="2">
        <v>43221</v>
      </c>
      <c r="M690" s="2">
        <f>DHMXX[[#This Row],[INV DOC DATE]]+30</f>
        <v>43251</v>
      </c>
      <c r="N690" s="2">
        <v>43251</v>
      </c>
      <c r="O690" s="7">
        <v>178.25</v>
      </c>
      <c r="P690" s="2">
        <v>43262</v>
      </c>
      <c r="Q690" s="7">
        <f>$E690-$O690</f>
        <v>0</v>
      </c>
      <c r="R690" s="7" t="str">
        <f ca="1">IF(TODAY() - DHMXX[INV DUE DATE]&lt;30, "Less than 30 days",IF(TODAY()-DHMXX[INV DUE DATE]&lt;60,"30-60 days","More than 60 days"))</f>
        <v>30-60 days</v>
      </c>
      <c r="S690" t="s">
        <v>1550</v>
      </c>
      <c r="T690" s="43" t="s">
        <v>2229</v>
      </c>
      <c r="U690" t="s">
        <v>3699</v>
      </c>
    </row>
    <row r="691" spans="1:21" x14ac:dyDescent="0.3">
      <c r="A691" t="s">
        <v>2704</v>
      </c>
      <c r="B691" t="s">
        <v>30</v>
      </c>
      <c r="C691" t="s">
        <v>311</v>
      </c>
      <c r="D691" s="15">
        <v>1</v>
      </c>
      <c r="E691" s="7">
        <v>178.25</v>
      </c>
      <c r="H691">
        <v>90352</v>
      </c>
      <c r="I691" t="s">
        <v>855</v>
      </c>
      <c r="J691" t="s">
        <v>2861</v>
      </c>
      <c r="K691" t="s">
        <v>3</v>
      </c>
      <c r="L691" s="2">
        <v>43221</v>
      </c>
      <c r="M691" s="2">
        <f>DHMXX[[#This Row],[INV DOC DATE]]+30</f>
        <v>43251</v>
      </c>
      <c r="N691" s="2">
        <v>43251</v>
      </c>
      <c r="O691" s="7">
        <v>178.25</v>
      </c>
      <c r="P691" s="2">
        <v>43262</v>
      </c>
      <c r="Q691" s="7">
        <f>$E691-$O691</f>
        <v>0</v>
      </c>
      <c r="R691" s="7" t="str">
        <f ca="1">IF(TODAY() - DHMXX[INV DUE DATE]&lt;30, "Less than 30 days",IF(TODAY()-DHMXX[INV DUE DATE]&lt;60,"30-60 days","More than 60 days"))</f>
        <v>30-60 days</v>
      </c>
      <c r="S691" t="s">
        <v>1550</v>
      </c>
      <c r="T691" s="43" t="s">
        <v>2229</v>
      </c>
      <c r="U691" t="s">
        <v>3699</v>
      </c>
    </row>
    <row r="692" spans="1:21" x14ac:dyDescent="0.3">
      <c r="A692" t="s">
        <v>2704</v>
      </c>
      <c r="B692" t="s">
        <v>30</v>
      </c>
      <c r="C692" t="s">
        <v>312</v>
      </c>
      <c r="D692" s="15">
        <v>1</v>
      </c>
      <c r="E692" s="7">
        <v>178.25</v>
      </c>
      <c r="H692">
        <v>90352</v>
      </c>
      <c r="I692" t="s">
        <v>855</v>
      </c>
      <c r="J692" t="s">
        <v>2862</v>
      </c>
      <c r="K692" t="s">
        <v>3</v>
      </c>
      <c r="L692" s="2">
        <v>43221</v>
      </c>
      <c r="M692" s="2">
        <f>DHMXX[[#This Row],[INV DOC DATE]]+30</f>
        <v>43251</v>
      </c>
      <c r="N692" s="2">
        <v>43251</v>
      </c>
      <c r="O692" s="7">
        <v>178.25</v>
      </c>
      <c r="P692" s="2">
        <v>43262</v>
      </c>
      <c r="Q692" s="7">
        <f>$E692-$O692</f>
        <v>0</v>
      </c>
      <c r="R692" s="7" t="str">
        <f ca="1">IF(TODAY() - DHMXX[INV DUE DATE]&lt;30, "Less than 30 days",IF(TODAY()-DHMXX[INV DUE DATE]&lt;60,"30-60 days","More than 60 days"))</f>
        <v>30-60 days</v>
      </c>
      <c r="S692" t="s">
        <v>1550</v>
      </c>
      <c r="T692" s="43" t="s">
        <v>2229</v>
      </c>
      <c r="U692" t="s">
        <v>3699</v>
      </c>
    </row>
    <row r="693" spans="1:21" x14ac:dyDescent="0.3">
      <c r="A693" t="s">
        <v>2704</v>
      </c>
      <c r="B693" t="s">
        <v>30</v>
      </c>
      <c r="C693" t="s">
        <v>313</v>
      </c>
      <c r="D693" s="15">
        <v>1</v>
      </c>
      <c r="E693" s="7">
        <v>178.25</v>
      </c>
      <c r="H693">
        <v>90352</v>
      </c>
      <c r="I693" t="s">
        <v>855</v>
      </c>
      <c r="J693" t="s">
        <v>2863</v>
      </c>
      <c r="K693" t="s">
        <v>3</v>
      </c>
      <c r="L693" s="2">
        <v>43221</v>
      </c>
      <c r="M693" s="2">
        <f>DHMXX[[#This Row],[INV DOC DATE]]+30</f>
        <v>43251</v>
      </c>
      <c r="N693" s="2">
        <v>43251</v>
      </c>
      <c r="O693" s="7">
        <v>178.25</v>
      </c>
      <c r="P693" s="2">
        <v>43262</v>
      </c>
      <c r="Q693" s="7">
        <f>$E693-$O693</f>
        <v>0</v>
      </c>
      <c r="R693" s="7" t="str">
        <f ca="1">IF(TODAY() - DHMXX[INV DUE DATE]&lt;30, "Less than 30 days",IF(TODAY()-DHMXX[INV DUE DATE]&lt;60,"30-60 days","More than 60 days"))</f>
        <v>30-60 days</v>
      </c>
      <c r="S693" t="s">
        <v>1550</v>
      </c>
      <c r="T693" s="43" t="s">
        <v>2229</v>
      </c>
      <c r="U693" t="s">
        <v>3699</v>
      </c>
    </row>
    <row r="694" spans="1:21" x14ac:dyDescent="0.3">
      <c r="A694" t="s">
        <v>2704</v>
      </c>
      <c r="B694" t="s">
        <v>30</v>
      </c>
      <c r="C694" t="s">
        <v>314</v>
      </c>
      <c r="D694" s="15">
        <v>1</v>
      </c>
      <c r="E694" s="7">
        <v>178.25</v>
      </c>
      <c r="H694">
        <v>90352</v>
      </c>
      <c r="I694" t="s">
        <v>855</v>
      </c>
      <c r="J694" t="s">
        <v>2864</v>
      </c>
      <c r="K694" t="s">
        <v>3</v>
      </c>
      <c r="L694" s="2">
        <v>43221</v>
      </c>
      <c r="M694" s="2">
        <f>DHMXX[[#This Row],[INV DOC DATE]]+30</f>
        <v>43251</v>
      </c>
      <c r="N694" s="2">
        <v>43251</v>
      </c>
      <c r="O694" s="7">
        <v>178.25</v>
      </c>
      <c r="P694" s="2">
        <v>43262</v>
      </c>
      <c r="Q694" s="7">
        <f>$E694-$O694</f>
        <v>0</v>
      </c>
      <c r="R694" s="7" t="str">
        <f ca="1">IF(TODAY() - DHMXX[INV DUE DATE]&lt;30, "Less than 30 days",IF(TODAY()-DHMXX[INV DUE DATE]&lt;60,"30-60 days","More than 60 days"))</f>
        <v>30-60 days</v>
      </c>
      <c r="S694" t="s">
        <v>1550</v>
      </c>
      <c r="T694" s="43" t="s">
        <v>2229</v>
      </c>
      <c r="U694" t="s">
        <v>3699</v>
      </c>
    </row>
    <row r="695" spans="1:21" x14ac:dyDescent="0.3">
      <c r="A695" t="s">
        <v>2704</v>
      </c>
      <c r="B695" t="s">
        <v>30</v>
      </c>
      <c r="C695" t="s">
        <v>315</v>
      </c>
      <c r="D695" s="15">
        <v>1</v>
      </c>
      <c r="E695" s="7">
        <v>178.25</v>
      </c>
      <c r="H695">
        <v>90352</v>
      </c>
      <c r="I695" t="s">
        <v>855</v>
      </c>
      <c r="J695" t="s">
        <v>2865</v>
      </c>
      <c r="K695" t="s">
        <v>3</v>
      </c>
      <c r="L695" s="2">
        <v>43221</v>
      </c>
      <c r="M695" s="2">
        <f>DHMXX[[#This Row],[INV DOC DATE]]+30</f>
        <v>43251</v>
      </c>
      <c r="N695" s="2">
        <v>43251</v>
      </c>
      <c r="O695" s="7">
        <v>178.25</v>
      </c>
      <c r="P695" s="2">
        <v>43262</v>
      </c>
      <c r="Q695" s="7">
        <f>$E695-$O695</f>
        <v>0</v>
      </c>
      <c r="R695" s="7" t="str">
        <f ca="1">IF(TODAY() - DHMXX[INV DUE DATE]&lt;30, "Less than 30 days",IF(TODAY()-DHMXX[INV DUE DATE]&lt;60,"30-60 days","More than 60 days"))</f>
        <v>30-60 days</v>
      </c>
      <c r="S695" t="s">
        <v>1550</v>
      </c>
      <c r="T695" s="43" t="s">
        <v>2229</v>
      </c>
      <c r="U695" t="s">
        <v>3699</v>
      </c>
    </row>
    <row r="696" spans="1:21" x14ac:dyDescent="0.3">
      <c r="A696" t="s">
        <v>2704</v>
      </c>
      <c r="B696" t="s">
        <v>30</v>
      </c>
      <c r="C696" t="s">
        <v>316</v>
      </c>
      <c r="D696" s="15">
        <v>1</v>
      </c>
      <c r="E696" s="7">
        <v>178.25</v>
      </c>
      <c r="H696">
        <v>90352</v>
      </c>
      <c r="I696" t="s">
        <v>855</v>
      </c>
      <c r="J696" t="s">
        <v>2866</v>
      </c>
      <c r="K696" t="s">
        <v>3</v>
      </c>
      <c r="L696" s="2">
        <v>43221</v>
      </c>
      <c r="M696" s="2">
        <f>DHMXX[[#This Row],[INV DOC DATE]]+30</f>
        <v>43251</v>
      </c>
      <c r="N696" s="2">
        <v>43251</v>
      </c>
      <c r="O696" s="7">
        <v>178.25</v>
      </c>
      <c r="P696" s="2">
        <v>43262</v>
      </c>
      <c r="Q696" s="7">
        <f>$E696-$O696</f>
        <v>0</v>
      </c>
      <c r="R696" s="7" t="str">
        <f ca="1">IF(TODAY() - DHMXX[INV DUE DATE]&lt;30, "Less than 30 days",IF(TODAY()-DHMXX[INV DUE DATE]&lt;60,"30-60 days","More than 60 days"))</f>
        <v>30-60 days</v>
      </c>
      <c r="S696" t="s">
        <v>1550</v>
      </c>
      <c r="T696" s="43" t="s">
        <v>2229</v>
      </c>
      <c r="U696" t="s">
        <v>3699</v>
      </c>
    </row>
    <row r="697" spans="1:21" x14ac:dyDescent="0.3">
      <c r="A697" t="s">
        <v>2704</v>
      </c>
      <c r="B697" t="s">
        <v>30</v>
      </c>
      <c r="C697" t="s">
        <v>317</v>
      </c>
      <c r="D697" s="15">
        <v>1</v>
      </c>
      <c r="E697" s="7">
        <v>178.25</v>
      </c>
      <c r="H697">
        <v>90352</v>
      </c>
      <c r="I697" t="s">
        <v>855</v>
      </c>
      <c r="J697" t="s">
        <v>2867</v>
      </c>
      <c r="K697" t="s">
        <v>3</v>
      </c>
      <c r="L697" s="2">
        <v>43221</v>
      </c>
      <c r="M697" s="2">
        <f>DHMXX[[#This Row],[INV DOC DATE]]+30</f>
        <v>43251</v>
      </c>
      <c r="N697" s="2">
        <v>43251</v>
      </c>
      <c r="O697" s="7">
        <v>178.25</v>
      </c>
      <c r="P697" s="2">
        <v>43262</v>
      </c>
      <c r="Q697" s="7">
        <f>$E697-$O697</f>
        <v>0</v>
      </c>
      <c r="R697" s="7" t="str">
        <f ca="1">IF(TODAY() - DHMXX[INV DUE DATE]&lt;30, "Less than 30 days",IF(TODAY()-DHMXX[INV DUE DATE]&lt;60,"30-60 days","More than 60 days"))</f>
        <v>30-60 days</v>
      </c>
      <c r="S697" t="s">
        <v>1550</v>
      </c>
      <c r="T697" s="43" t="s">
        <v>2229</v>
      </c>
      <c r="U697" t="s">
        <v>3699</v>
      </c>
    </row>
    <row r="698" spans="1:21" x14ac:dyDescent="0.3">
      <c r="A698" t="s">
        <v>2704</v>
      </c>
      <c r="B698" t="s">
        <v>30</v>
      </c>
      <c r="C698" t="s">
        <v>318</v>
      </c>
      <c r="D698" s="15">
        <v>1</v>
      </c>
      <c r="E698" s="7">
        <v>178.25</v>
      </c>
      <c r="H698">
        <v>90352</v>
      </c>
      <c r="I698" t="s">
        <v>855</v>
      </c>
      <c r="J698" t="s">
        <v>2868</v>
      </c>
      <c r="K698" t="s">
        <v>3</v>
      </c>
      <c r="L698" s="2">
        <v>43221</v>
      </c>
      <c r="M698" s="2">
        <f>DHMXX[[#This Row],[INV DOC DATE]]+30</f>
        <v>43251</v>
      </c>
      <c r="N698" s="2">
        <v>43251</v>
      </c>
      <c r="O698" s="7">
        <v>178.25</v>
      </c>
      <c r="P698" s="2">
        <v>43262</v>
      </c>
      <c r="Q698" s="7">
        <f>$E698-$O698</f>
        <v>0</v>
      </c>
      <c r="R698" s="7" t="str">
        <f ca="1">IF(TODAY() - DHMXX[INV DUE DATE]&lt;30, "Less than 30 days",IF(TODAY()-DHMXX[INV DUE DATE]&lt;60,"30-60 days","More than 60 days"))</f>
        <v>30-60 days</v>
      </c>
      <c r="S698" t="s">
        <v>1550</v>
      </c>
      <c r="T698" s="43" t="s">
        <v>2229</v>
      </c>
      <c r="U698" t="s">
        <v>3699</v>
      </c>
    </row>
    <row r="699" spans="1:21" x14ac:dyDescent="0.3">
      <c r="A699" t="s">
        <v>2704</v>
      </c>
      <c r="B699" t="s">
        <v>30</v>
      </c>
      <c r="C699" t="s">
        <v>319</v>
      </c>
      <c r="D699" s="15">
        <v>1</v>
      </c>
      <c r="E699" s="7">
        <v>178.25</v>
      </c>
      <c r="H699">
        <v>90352</v>
      </c>
      <c r="I699" t="s">
        <v>855</v>
      </c>
      <c r="J699" t="s">
        <v>2869</v>
      </c>
      <c r="K699" t="s">
        <v>3</v>
      </c>
      <c r="L699" s="2">
        <v>43221</v>
      </c>
      <c r="M699" s="2">
        <f>DHMXX[[#This Row],[INV DOC DATE]]+30</f>
        <v>43251</v>
      </c>
      <c r="N699" s="2">
        <v>43251</v>
      </c>
      <c r="O699" s="7">
        <v>178.25</v>
      </c>
      <c r="P699" s="2">
        <v>43262</v>
      </c>
      <c r="Q699" s="7">
        <f>$E699-$O699</f>
        <v>0</v>
      </c>
      <c r="R699" s="7" t="str">
        <f ca="1">IF(TODAY() - DHMXX[INV DUE DATE]&lt;30, "Less than 30 days",IF(TODAY()-DHMXX[INV DUE DATE]&lt;60,"30-60 days","More than 60 days"))</f>
        <v>30-60 days</v>
      </c>
      <c r="S699" t="s">
        <v>1550</v>
      </c>
      <c r="T699" s="43" t="s">
        <v>2229</v>
      </c>
      <c r="U699" t="s">
        <v>3699</v>
      </c>
    </row>
    <row r="700" spans="1:21" x14ac:dyDescent="0.3">
      <c r="A700" t="s">
        <v>2704</v>
      </c>
      <c r="B700" t="s">
        <v>30</v>
      </c>
      <c r="C700" t="s">
        <v>320</v>
      </c>
      <c r="D700" s="15">
        <v>1</v>
      </c>
      <c r="E700" s="7">
        <v>178.25</v>
      </c>
      <c r="H700">
        <v>90352</v>
      </c>
      <c r="I700" t="s">
        <v>855</v>
      </c>
      <c r="J700" t="s">
        <v>2870</v>
      </c>
      <c r="K700" t="s">
        <v>3</v>
      </c>
      <c r="L700" s="2">
        <v>43221</v>
      </c>
      <c r="M700" s="2">
        <f>DHMXX[[#This Row],[INV DOC DATE]]+30</f>
        <v>43251</v>
      </c>
      <c r="N700" s="2">
        <v>43251</v>
      </c>
      <c r="O700" s="7">
        <v>178.25</v>
      </c>
      <c r="P700" s="2">
        <v>43262</v>
      </c>
      <c r="Q700" s="7">
        <f>$E700-$O700</f>
        <v>0</v>
      </c>
      <c r="R700" s="7" t="str">
        <f ca="1">IF(TODAY() - DHMXX[INV DUE DATE]&lt;30, "Less than 30 days",IF(TODAY()-DHMXX[INV DUE DATE]&lt;60,"30-60 days","More than 60 days"))</f>
        <v>30-60 days</v>
      </c>
      <c r="S700" t="s">
        <v>1550</v>
      </c>
      <c r="T700" s="43" t="s">
        <v>2229</v>
      </c>
      <c r="U700" t="s">
        <v>3699</v>
      </c>
    </row>
    <row r="701" spans="1:21" x14ac:dyDescent="0.3">
      <c r="A701" t="s">
        <v>2704</v>
      </c>
      <c r="B701" t="s">
        <v>30</v>
      </c>
      <c r="C701" t="s">
        <v>321</v>
      </c>
      <c r="D701" s="15">
        <v>1</v>
      </c>
      <c r="E701" s="7">
        <v>178.25</v>
      </c>
      <c r="H701">
        <v>90352</v>
      </c>
      <c r="I701" t="s">
        <v>855</v>
      </c>
      <c r="J701" t="s">
        <v>2871</v>
      </c>
      <c r="K701" t="s">
        <v>3</v>
      </c>
      <c r="L701" s="2">
        <v>43221</v>
      </c>
      <c r="M701" s="2">
        <f>DHMXX[[#This Row],[INV DOC DATE]]+30</f>
        <v>43251</v>
      </c>
      <c r="N701" s="2">
        <v>43251</v>
      </c>
      <c r="O701" s="7">
        <v>178.25</v>
      </c>
      <c r="P701" s="2">
        <v>43262</v>
      </c>
      <c r="Q701" s="7">
        <f>$E701-$O701</f>
        <v>0</v>
      </c>
      <c r="R701" s="7" t="str">
        <f ca="1">IF(TODAY() - DHMXX[INV DUE DATE]&lt;30, "Less than 30 days",IF(TODAY()-DHMXX[INV DUE DATE]&lt;60,"30-60 days","More than 60 days"))</f>
        <v>30-60 days</v>
      </c>
      <c r="S701" t="s">
        <v>1550</v>
      </c>
      <c r="T701" s="43" t="s">
        <v>2229</v>
      </c>
      <c r="U701" t="s">
        <v>3699</v>
      </c>
    </row>
    <row r="702" spans="1:21" x14ac:dyDescent="0.3">
      <c r="A702" t="s">
        <v>2704</v>
      </c>
      <c r="B702" t="s">
        <v>30</v>
      </c>
      <c r="C702" t="s">
        <v>322</v>
      </c>
      <c r="D702" s="15">
        <v>1</v>
      </c>
      <c r="E702" s="7">
        <v>178.25</v>
      </c>
      <c r="H702">
        <v>90352</v>
      </c>
      <c r="I702" t="s">
        <v>855</v>
      </c>
      <c r="J702" t="s">
        <v>2872</v>
      </c>
      <c r="K702" t="s">
        <v>3</v>
      </c>
      <c r="L702" s="2">
        <v>43221</v>
      </c>
      <c r="M702" s="2">
        <f>DHMXX[[#This Row],[INV DOC DATE]]+30</f>
        <v>43251</v>
      </c>
      <c r="N702" s="2">
        <v>43251</v>
      </c>
      <c r="O702" s="7">
        <v>178.25</v>
      </c>
      <c r="P702" s="2">
        <v>43262</v>
      </c>
      <c r="Q702" s="7">
        <f>$E702-$O702</f>
        <v>0</v>
      </c>
      <c r="R702" s="7" t="str">
        <f ca="1">IF(TODAY() - DHMXX[INV DUE DATE]&lt;30, "Less than 30 days",IF(TODAY()-DHMXX[INV DUE DATE]&lt;60,"30-60 days","More than 60 days"))</f>
        <v>30-60 days</v>
      </c>
      <c r="S702" t="s">
        <v>1550</v>
      </c>
      <c r="T702" s="43" t="s">
        <v>2229</v>
      </c>
      <c r="U702" t="s">
        <v>3699</v>
      </c>
    </row>
    <row r="703" spans="1:21" x14ac:dyDescent="0.3">
      <c r="A703" t="s">
        <v>2704</v>
      </c>
      <c r="B703" t="s">
        <v>30</v>
      </c>
      <c r="C703" t="s">
        <v>323</v>
      </c>
      <c r="D703" s="15">
        <v>1</v>
      </c>
      <c r="E703" s="7">
        <v>178.25</v>
      </c>
      <c r="H703">
        <v>90352</v>
      </c>
      <c r="I703" t="s">
        <v>855</v>
      </c>
      <c r="J703" t="s">
        <v>2873</v>
      </c>
      <c r="K703" t="s">
        <v>3</v>
      </c>
      <c r="L703" s="2">
        <v>43221</v>
      </c>
      <c r="M703" s="2">
        <f>DHMXX[[#This Row],[INV DOC DATE]]+30</f>
        <v>43251</v>
      </c>
      <c r="N703" s="2">
        <v>43251</v>
      </c>
      <c r="O703" s="7">
        <v>178.25</v>
      </c>
      <c r="P703" s="2">
        <v>43262</v>
      </c>
      <c r="Q703" s="7">
        <f>$E703-$O703</f>
        <v>0</v>
      </c>
      <c r="R703" s="7" t="str">
        <f ca="1">IF(TODAY() - DHMXX[INV DUE DATE]&lt;30, "Less than 30 days",IF(TODAY()-DHMXX[INV DUE DATE]&lt;60,"30-60 days","More than 60 days"))</f>
        <v>30-60 days</v>
      </c>
      <c r="S703" t="s">
        <v>1550</v>
      </c>
      <c r="T703" s="43" t="s">
        <v>2229</v>
      </c>
      <c r="U703" t="s">
        <v>3699</v>
      </c>
    </row>
    <row r="704" spans="1:21" x14ac:dyDescent="0.3">
      <c r="A704" t="s">
        <v>2704</v>
      </c>
      <c r="B704" t="s">
        <v>30</v>
      </c>
      <c r="C704" t="s">
        <v>324</v>
      </c>
      <c r="D704" s="15">
        <v>1</v>
      </c>
      <c r="E704" s="7">
        <v>178.25</v>
      </c>
      <c r="H704">
        <v>90352</v>
      </c>
      <c r="I704" t="s">
        <v>855</v>
      </c>
      <c r="J704" t="s">
        <v>2874</v>
      </c>
      <c r="K704" t="s">
        <v>3</v>
      </c>
      <c r="L704" s="2">
        <v>43221</v>
      </c>
      <c r="M704" s="2">
        <f>DHMXX[[#This Row],[INV DOC DATE]]+30</f>
        <v>43251</v>
      </c>
      <c r="N704" s="2">
        <v>43251</v>
      </c>
      <c r="O704" s="7">
        <v>178.25</v>
      </c>
      <c r="P704" s="2">
        <v>43262</v>
      </c>
      <c r="Q704" s="7">
        <f>$E704-$O704</f>
        <v>0</v>
      </c>
      <c r="R704" s="7" t="str">
        <f ca="1">IF(TODAY() - DHMXX[INV DUE DATE]&lt;30, "Less than 30 days",IF(TODAY()-DHMXX[INV DUE DATE]&lt;60,"30-60 days","More than 60 days"))</f>
        <v>30-60 days</v>
      </c>
      <c r="S704" t="s">
        <v>1550</v>
      </c>
      <c r="T704" s="43" t="s">
        <v>2229</v>
      </c>
      <c r="U704" t="s">
        <v>3699</v>
      </c>
    </row>
    <row r="705" spans="1:21" x14ac:dyDescent="0.3">
      <c r="A705" t="s">
        <v>2704</v>
      </c>
      <c r="B705" t="s">
        <v>30</v>
      </c>
      <c r="C705" t="s">
        <v>325</v>
      </c>
      <c r="D705" s="15">
        <v>1</v>
      </c>
      <c r="E705" s="7">
        <v>178.25</v>
      </c>
      <c r="H705">
        <v>90352</v>
      </c>
      <c r="I705" t="s">
        <v>855</v>
      </c>
      <c r="J705" t="s">
        <v>2875</v>
      </c>
      <c r="K705" t="s">
        <v>3</v>
      </c>
      <c r="L705" s="2">
        <v>43221</v>
      </c>
      <c r="M705" s="2">
        <f>DHMXX[[#This Row],[INV DOC DATE]]+30</f>
        <v>43251</v>
      </c>
      <c r="N705" s="2">
        <v>43251</v>
      </c>
      <c r="O705" s="7">
        <v>178.25</v>
      </c>
      <c r="P705" s="2">
        <v>43262</v>
      </c>
      <c r="Q705" s="7">
        <f>$E705-$O705</f>
        <v>0</v>
      </c>
      <c r="R705" s="7" t="str">
        <f ca="1">IF(TODAY() - DHMXX[INV DUE DATE]&lt;30, "Less than 30 days",IF(TODAY()-DHMXX[INV DUE DATE]&lt;60,"30-60 days","More than 60 days"))</f>
        <v>30-60 days</v>
      </c>
      <c r="S705" t="s">
        <v>1550</v>
      </c>
      <c r="T705" s="43" t="s">
        <v>2229</v>
      </c>
      <c r="U705" t="s">
        <v>3699</v>
      </c>
    </row>
    <row r="706" spans="1:21" x14ac:dyDescent="0.3">
      <c r="A706" t="s">
        <v>2704</v>
      </c>
      <c r="B706" t="s">
        <v>30</v>
      </c>
      <c r="C706" t="s">
        <v>326</v>
      </c>
      <c r="D706" s="15">
        <v>1</v>
      </c>
      <c r="E706" s="7">
        <v>480.5</v>
      </c>
      <c r="H706">
        <v>90352</v>
      </c>
      <c r="I706" t="s">
        <v>855</v>
      </c>
      <c r="J706" t="s">
        <v>2876</v>
      </c>
      <c r="K706" t="s">
        <v>3</v>
      </c>
      <c r="L706" s="2">
        <v>43221</v>
      </c>
      <c r="M706" s="2">
        <f>DHMXX[[#This Row],[INV DOC DATE]]+30</f>
        <v>43251</v>
      </c>
      <c r="N706" s="2">
        <v>43251</v>
      </c>
      <c r="O706" s="7">
        <v>480.5</v>
      </c>
      <c r="P706" s="2">
        <v>43262</v>
      </c>
      <c r="Q706" s="7">
        <f>$E706-$O706</f>
        <v>0</v>
      </c>
      <c r="R706" s="7" t="str">
        <f ca="1">IF(TODAY() - DHMXX[INV DUE DATE]&lt;30, "Less than 30 days",IF(TODAY()-DHMXX[INV DUE DATE]&lt;60,"30-60 days","More than 60 days"))</f>
        <v>30-60 days</v>
      </c>
      <c r="S706" t="s">
        <v>1550</v>
      </c>
      <c r="T706" s="43" t="s">
        <v>2229</v>
      </c>
      <c r="U706" t="s">
        <v>3699</v>
      </c>
    </row>
    <row r="707" spans="1:21" x14ac:dyDescent="0.3">
      <c r="A707" t="s">
        <v>2704</v>
      </c>
      <c r="B707" t="s">
        <v>30</v>
      </c>
      <c r="C707" t="s">
        <v>327</v>
      </c>
      <c r="D707" s="15">
        <v>1</v>
      </c>
      <c r="E707" s="7">
        <v>480.5</v>
      </c>
      <c r="H707">
        <v>90352</v>
      </c>
      <c r="I707" t="s">
        <v>855</v>
      </c>
      <c r="J707" t="s">
        <v>2877</v>
      </c>
      <c r="K707" t="s">
        <v>3</v>
      </c>
      <c r="L707" s="2">
        <v>43221</v>
      </c>
      <c r="M707" s="2">
        <f>DHMXX[[#This Row],[INV DOC DATE]]+30</f>
        <v>43251</v>
      </c>
      <c r="N707" s="2">
        <v>43251</v>
      </c>
      <c r="O707" s="7">
        <v>480.5</v>
      </c>
      <c r="P707" s="2">
        <v>43262</v>
      </c>
      <c r="Q707" s="7">
        <f>$E707-$O707</f>
        <v>0</v>
      </c>
      <c r="R707" s="7" t="str">
        <f ca="1">IF(TODAY() - DHMXX[INV DUE DATE]&lt;30, "Less than 30 days",IF(TODAY()-DHMXX[INV DUE DATE]&lt;60,"30-60 days","More than 60 days"))</f>
        <v>30-60 days</v>
      </c>
      <c r="S707" t="s">
        <v>1550</v>
      </c>
      <c r="T707" s="43" t="s">
        <v>2229</v>
      </c>
      <c r="U707" t="s">
        <v>3699</v>
      </c>
    </row>
    <row r="708" spans="1:21" x14ac:dyDescent="0.3">
      <c r="A708" t="s">
        <v>2704</v>
      </c>
      <c r="B708" t="s">
        <v>30</v>
      </c>
      <c r="C708" t="s">
        <v>328</v>
      </c>
      <c r="D708" s="15">
        <v>1</v>
      </c>
      <c r="E708" s="7">
        <v>480.5</v>
      </c>
      <c r="H708">
        <v>90352</v>
      </c>
      <c r="I708" t="s">
        <v>855</v>
      </c>
      <c r="J708" t="s">
        <v>2878</v>
      </c>
      <c r="K708" t="s">
        <v>3</v>
      </c>
      <c r="L708" s="2">
        <v>43221</v>
      </c>
      <c r="M708" s="2">
        <f>DHMXX[[#This Row],[INV DOC DATE]]+30</f>
        <v>43251</v>
      </c>
      <c r="N708" s="2">
        <v>43251</v>
      </c>
      <c r="O708" s="7">
        <v>480.5</v>
      </c>
      <c r="P708" s="2">
        <v>43262</v>
      </c>
      <c r="Q708" s="7">
        <f>$E708-$O708</f>
        <v>0</v>
      </c>
      <c r="R708" s="7" t="str">
        <f ca="1">IF(TODAY() - DHMXX[INV DUE DATE]&lt;30, "Less than 30 days",IF(TODAY()-DHMXX[INV DUE DATE]&lt;60,"30-60 days","More than 60 days"))</f>
        <v>30-60 days</v>
      </c>
      <c r="S708" t="s">
        <v>1550</v>
      </c>
      <c r="T708" s="43" t="s">
        <v>2229</v>
      </c>
      <c r="U708" t="s">
        <v>3699</v>
      </c>
    </row>
    <row r="709" spans="1:21" x14ac:dyDescent="0.3">
      <c r="A709" t="s">
        <v>2704</v>
      </c>
      <c r="B709" t="s">
        <v>30</v>
      </c>
      <c r="C709" t="s">
        <v>329</v>
      </c>
      <c r="D709" s="15">
        <v>1</v>
      </c>
      <c r="E709" s="7">
        <v>178.25</v>
      </c>
      <c r="H709">
        <v>90352</v>
      </c>
      <c r="I709" t="s">
        <v>855</v>
      </c>
      <c r="J709" t="s">
        <v>2879</v>
      </c>
      <c r="K709" t="s">
        <v>3</v>
      </c>
      <c r="L709" s="2">
        <v>43221</v>
      </c>
      <c r="M709" s="2">
        <f>DHMXX[[#This Row],[INV DOC DATE]]+30</f>
        <v>43251</v>
      </c>
      <c r="N709" s="2">
        <v>43251</v>
      </c>
      <c r="O709" s="7">
        <v>178.25</v>
      </c>
      <c r="P709" s="2">
        <v>43262</v>
      </c>
      <c r="Q709" s="7">
        <f>$E709-$O709</f>
        <v>0</v>
      </c>
      <c r="R709" s="7" t="str">
        <f ca="1">IF(TODAY() - DHMXX[INV DUE DATE]&lt;30, "Less than 30 days",IF(TODAY()-DHMXX[INV DUE DATE]&lt;60,"30-60 days","More than 60 days"))</f>
        <v>30-60 days</v>
      </c>
      <c r="S709" t="s">
        <v>1550</v>
      </c>
      <c r="T709" s="43" t="s">
        <v>2229</v>
      </c>
      <c r="U709" t="s">
        <v>3699</v>
      </c>
    </row>
    <row r="710" spans="1:21" x14ac:dyDescent="0.3">
      <c r="A710" t="s">
        <v>2704</v>
      </c>
      <c r="B710" t="s">
        <v>30</v>
      </c>
      <c r="C710" t="s">
        <v>330</v>
      </c>
      <c r="D710" s="15">
        <v>1</v>
      </c>
      <c r="E710" s="7">
        <v>178.25</v>
      </c>
      <c r="H710">
        <v>90352</v>
      </c>
      <c r="I710" t="s">
        <v>855</v>
      </c>
      <c r="J710" t="s">
        <v>2880</v>
      </c>
      <c r="K710" t="s">
        <v>3</v>
      </c>
      <c r="L710" s="2">
        <v>43221</v>
      </c>
      <c r="M710" s="2">
        <f>DHMXX[[#This Row],[INV DOC DATE]]+30</f>
        <v>43251</v>
      </c>
      <c r="N710" s="2">
        <v>43251</v>
      </c>
      <c r="O710" s="7">
        <v>178.25</v>
      </c>
      <c r="P710" s="2">
        <v>43262</v>
      </c>
      <c r="Q710" s="7">
        <f>$E710-$O710</f>
        <v>0</v>
      </c>
      <c r="R710" s="7" t="str">
        <f ca="1">IF(TODAY() - DHMXX[INV DUE DATE]&lt;30, "Less than 30 days",IF(TODAY()-DHMXX[INV DUE DATE]&lt;60,"30-60 days","More than 60 days"))</f>
        <v>30-60 days</v>
      </c>
      <c r="S710" t="s">
        <v>1550</v>
      </c>
      <c r="T710" s="43" t="s">
        <v>2229</v>
      </c>
      <c r="U710" t="s">
        <v>3699</v>
      </c>
    </row>
    <row r="711" spans="1:21" x14ac:dyDescent="0.3">
      <c r="A711" t="s">
        <v>2704</v>
      </c>
      <c r="B711" t="s">
        <v>30</v>
      </c>
      <c r="C711" t="s">
        <v>331</v>
      </c>
      <c r="D711" s="15">
        <v>1</v>
      </c>
      <c r="E711" s="7">
        <v>178.25</v>
      </c>
      <c r="H711">
        <v>90352</v>
      </c>
      <c r="I711" t="s">
        <v>855</v>
      </c>
      <c r="J711" t="s">
        <v>2881</v>
      </c>
      <c r="K711" t="s">
        <v>3</v>
      </c>
      <c r="L711" s="2">
        <v>43221</v>
      </c>
      <c r="M711" s="2">
        <f>DHMXX[[#This Row],[INV DOC DATE]]+30</f>
        <v>43251</v>
      </c>
      <c r="N711" s="2">
        <v>43251</v>
      </c>
      <c r="O711" s="7">
        <v>178.25</v>
      </c>
      <c r="P711" s="2">
        <v>43262</v>
      </c>
      <c r="Q711" s="7">
        <f>$E711-$O711</f>
        <v>0</v>
      </c>
      <c r="R711" s="7" t="str">
        <f ca="1">IF(TODAY() - DHMXX[INV DUE DATE]&lt;30, "Less than 30 days",IF(TODAY()-DHMXX[INV DUE DATE]&lt;60,"30-60 days","More than 60 days"))</f>
        <v>30-60 days</v>
      </c>
      <c r="S711" t="s">
        <v>1550</v>
      </c>
      <c r="T711" s="43" t="s">
        <v>2229</v>
      </c>
      <c r="U711" t="s">
        <v>3699</v>
      </c>
    </row>
    <row r="712" spans="1:21" x14ac:dyDescent="0.3">
      <c r="A712" t="s">
        <v>2704</v>
      </c>
      <c r="B712" t="s">
        <v>30</v>
      </c>
      <c r="C712" t="s">
        <v>332</v>
      </c>
      <c r="D712" s="15">
        <v>1</v>
      </c>
      <c r="E712" s="7">
        <v>178.25</v>
      </c>
      <c r="H712">
        <v>90352</v>
      </c>
      <c r="I712" t="s">
        <v>855</v>
      </c>
      <c r="J712" t="s">
        <v>2882</v>
      </c>
      <c r="K712" t="s">
        <v>3</v>
      </c>
      <c r="L712" s="2">
        <v>43221</v>
      </c>
      <c r="M712" s="2">
        <f>DHMXX[[#This Row],[INV DOC DATE]]+30</f>
        <v>43251</v>
      </c>
      <c r="N712" s="2">
        <v>43251</v>
      </c>
      <c r="O712" s="7">
        <v>178.25</v>
      </c>
      <c r="P712" s="2">
        <v>43262</v>
      </c>
      <c r="Q712" s="7">
        <f>$E712-$O712</f>
        <v>0</v>
      </c>
      <c r="R712" s="7" t="str">
        <f ca="1">IF(TODAY() - DHMXX[INV DUE DATE]&lt;30, "Less than 30 days",IF(TODAY()-DHMXX[INV DUE DATE]&lt;60,"30-60 days","More than 60 days"))</f>
        <v>30-60 days</v>
      </c>
      <c r="S712" t="s">
        <v>1550</v>
      </c>
      <c r="T712" s="43" t="s">
        <v>2229</v>
      </c>
      <c r="U712" t="s">
        <v>3699</v>
      </c>
    </row>
    <row r="713" spans="1:21" x14ac:dyDescent="0.3">
      <c r="A713" t="s">
        <v>2704</v>
      </c>
      <c r="B713" t="s">
        <v>30</v>
      </c>
      <c r="C713" t="s">
        <v>333</v>
      </c>
      <c r="D713" s="15">
        <v>1</v>
      </c>
      <c r="E713" s="7">
        <v>178.25</v>
      </c>
      <c r="H713">
        <v>90352</v>
      </c>
      <c r="I713" t="s">
        <v>855</v>
      </c>
      <c r="J713" t="s">
        <v>2883</v>
      </c>
      <c r="K713" t="s">
        <v>3</v>
      </c>
      <c r="L713" s="2">
        <v>43221</v>
      </c>
      <c r="M713" s="2">
        <f>DHMXX[[#This Row],[INV DOC DATE]]+30</f>
        <v>43251</v>
      </c>
      <c r="N713" s="2">
        <v>43251</v>
      </c>
      <c r="O713" s="7">
        <v>178.25</v>
      </c>
      <c r="P713" s="2">
        <v>43262</v>
      </c>
      <c r="Q713" s="7">
        <f>$E713-$O713</f>
        <v>0</v>
      </c>
      <c r="R713" s="7" t="str">
        <f ca="1">IF(TODAY() - DHMXX[INV DUE DATE]&lt;30, "Less than 30 days",IF(TODAY()-DHMXX[INV DUE DATE]&lt;60,"30-60 days","More than 60 days"))</f>
        <v>30-60 days</v>
      </c>
      <c r="S713" t="s">
        <v>1550</v>
      </c>
      <c r="T713" s="43" t="s">
        <v>2229</v>
      </c>
      <c r="U713" t="s">
        <v>3699</v>
      </c>
    </row>
    <row r="714" spans="1:21" x14ac:dyDescent="0.3">
      <c r="A714" t="s">
        <v>2704</v>
      </c>
      <c r="B714" t="s">
        <v>30</v>
      </c>
      <c r="C714" t="s">
        <v>334</v>
      </c>
      <c r="D714" s="15">
        <v>1</v>
      </c>
      <c r="E714" s="7">
        <v>178.25</v>
      </c>
      <c r="H714">
        <v>90352</v>
      </c>
      <c r="I714" t="s">
        <v>855</v>
      </c>
      <c r="J714" t="s">
        <v>2884</v>
      </c>
      <c r="K714" t="s">
        <v>3</v>
      </c>
      <c r="L714" s="2">
        <v>43221</v>
      </c>
      <c r="M714" s="2">
        <f>DHMXX[[#This Row],[INV DOC DATE]]+30</f>
        <v>43251</v>
      </c>
      <c r="N714" s="2">
        <v>43251</v>
      </c>
      <c r="O714" s="7">
        <v>178.25</v>
      </c>
      <c r="P714" s="2">
        <v>43262</v>
      </c>
      <c r="Q714" s="7">
        <f>$E714-$O714</f>
        <v>0</v>
      </c>
      <c r="R714" s="7" t="str">
        <f ca="1">IF(TODAY() - DHMXX[INV DUE DATE]&lt;30, "Less than 30 days",IF(TODAY()-DHMXX[INV DUE DATE]&lt;60,"30-60 days","More than 60 days"))</f>
        <v>30-60 days</v>
      </c>
      <c r="S714" t="s">
        <v>1550</v>
      </c>
      <c r="T714" s="43" t="s">
        <v>2229</v>
      </c>
      <c r="U714" t="s">
        <v>3699</v>
      </c>
    </row>
    <row r="715" spans="1:21" x14ac:dyDescent="0.3">
      <c r="A715" t="s">
        <v>2704</v>
      </c>
      <c r="B715" t="s">
        <v>30</v>
      </c>
      <c r="C715" t="s">
        <v>335</v>
      </c>
      <c r="D715" s="15">
        <v>1</v>
      </c>
      <c r="E715" s="7">
        <v>178.25</v>
      </c>
      <c r="H715">
        <v>91295</v>
      </c>
      <c r="I715" t="s">
        <v>360</v>
      </c>
      <c r="J715" t="s">
        <v>2885</v>
      </c>
      <c r="K715" t="s">
        <v>3</v>
      </c>
      <c r="L715" s="2">
        <v>43221</v>
      </c>
      <c r="M715" s="2">
        <f>DHMXX[[#This Row],[INV DOC DATE]]+30</f>
        <v>43251</v>
      </c>
      <c r="N715" s="2">
        <v>43251</v>
      </c>
      <c r="O715" s="7">
        <v>178.25</v>
      </c>
      <c r="P715" s="2">
        <v>43262</v>
      </c>
      <c r="Q715" s="7">
        <f>$E715-$O715</f>
        <v>0</v>
      </c>
      <c r="R715" s="7" t="str">
        <f ca="1">IF(TODAY() - DHMXX[INV DUE DATE]&lt;30, "Less than 30 days",IF(TODAY()-DHMXX[INV DUE DATE]&lt;60,"30-60 days","More than 60 days"))</f>
        <v>30-60 days</v>
      </c>
      <c r="S715" t="s">
        <v>1550</v>
      </c>
      <c r="T715" s="43" t="s">
        <v>2229</v>
      </c>
      <c r="U715" t="s">
        <v>3699</v>
      </c>
    </row>
    <row r="716" spans="1:21" x14ac:dyDescent="0.3">
      <c r="A716" t="s">
        <v>2704</v>
      </c>
      <c r="B716" t="s">
        <v>30</v>
      </c>
      <c r="C716" t="s">
        <v>336</v>
      </c>
      <c r="D716" s="15">
        <v>1</v>
      </c>
      <c r="E716" s="7">
        <v>178.25</v>
      </c>
      <c r="H716">
        <v>91295</v>
      </c>
      <c r="I716" t="s">
        <v>360</v>
      </c>
      <c r="J716" t="s">
        <v>2886</v>
      </c>
      <c r="K716" t="s">
        <v>3</v>
      </c>
      <c r="L716" s="2">
        <v>43221</v>
      </c>
      <c r="M716" s="2">
        <f>DHMXX[[#This Row],[INV DOC DATE]]+30</f>
        <v>43251</v>
      </c>
      <c r="N716" s="2">
        <v>43251</v>
      </c>
      <c r="O716" s="7">
        <v>178.25</v>
      </c>
      <c r="P716" s="2">
        <v>43262</v>
      </c>
      <c r="Q716" s="7">
        <f>$E716-$O716</f>
        <v>0</v>
      </c>
      <c r="R716" s="7" t="str">
        <f ca="1">IF(TODAY() - DHMXX[INV DUE DATE]&lt;30, "Less than 30 days",IF(TODAY()-DHMXX[INV DUE DATE]&lt;60,"30-60 days","More than 60 days"))</f>
        <v>30-60 days</v>
      </c>
      <c r="S716" t="s">
        <v>1550</v>
      </c>
      <c r="T716" s="43" t="s">
        <v>2229</v>
      </c>
      <c r="U716" t="s">
        <v>3699</v>
      </c>
    </row>
    <row r="717" spans="1:21" x14ac:dyDescent="0.3">
      <c r="A717" t="s">
        <v>2704</v>
      </c>
      <c r="B717" t="s">
        <v>30</v>
      </c>
      <c r="C717" t="s">
        <v>337</v>
      </c>
      <c r="D717" s="15">
        <v>1</v>
      </c>
      <c r="E717" s="7">
        <v>178.25</v>
      </c>
      <c r="H717">
        <v>91295</v>
      </c>
      <c r="I717" t="s">
        <v>360</v>
      </c>
      <c r="J717" t="s">
        <v>2887</v>
      </c>
      <c r="K717" t="s">
        <v>3</v>
      </c>
      <c r="L717" s="2">
        <v>43221</v>
      </c>
      <c r="M717" s="2">
        <f>DHMXX[[#This Row],[INV DOC DATE]]+30</f>
        <v>43251</v>
      </c>
      <c r="N717" s="2">
        <v>43251</v>
      </c>
      <c r="O717" s="7">
        <v>178.25</v>
      </c>
      <c r="P717" s="2">
        <v>43262</v>
      </c>
      <c r="Q717" s="7">
        <f>$E717-$O717</f>
        <v>0</v>
      </c>
      <c r="R717" s="7" t="str">
        <f ca="1">IF(TODAY() - DHMXX[INV DUE DATE]&lt;30, "Less than 30 days",IF(TODAY()-DHMXX[INV DUE DATE]&lt;60,"30-60 days","More than 60 days"))</f>
        <v>30-60 days</v>
      </c>
      <c r="S717" t="s">
        <v>1550</v>
      </c>
      <c r="T717" s="43" t="s">
        <v>2229</v>
      </c>
      <c r="U717" t="s">
        <v>3699</v>
      </c>
    </row>
    <row r="718" spans="1:21" x14ac:dyDescent="0.3">
      <c r="A718" t="s">
        <v>2704</v>
      </c>
      <c r="B718" t="s">
        <v>30</v>
      </c>
      <c r="C718" t="s">
        <v>338</v>
      </c>
      <c r="D718" s="15">
        <v>1</v>
      </c>
      <c r="E718" s="7">
        <v>178.25</v>
      </c>
      <c r="H718">
        <v>91295</v>
      </c>
      <c r="I718" t="s">
        <v>360</v>
      </c>
      <c r="J718" t="s">
        <v>2888</v>
      </c>
      <c r="K718" t="s">
        <v>3</v>
      </c>
      <c r="L718" s="2">
        <v>43221</v>
      </c>
      <c r="M718" s="2">
        <f>DHMXX[[#This Row],[INV DOC DATE]]+30</f>
        <v>43251</v>
      </c>
      <c r="N718" s="2">
        <v>43251</v>
      </c>
      <c r="O718" s="7">
        <v>178.25</v>
      </c>
      <c r="P718" s="2">
        <v>43262</v>
      </c>
      <c r="Q718" s="7">
        <f>$E718-$O718</f>
        <v>0</v>
      </c>
      <c r="R718" s="7" t="str">
        <f ca="1">IF(TODAY() - DHMXX[INV DUE DATE]&lt;30, "Less than 30 days",IF(TODAY()-DHMXX[INV DUE DATE]&lt;60,"30-60 days","More than 60 days"))</f>
        <v>30-60 days</v>
      </c>
      <c r="S718" t="s">
        <v>1550</v>
      </c>
      <c r="T718" s="43" t="s">
        <v>2229</v>
      </c>
      <c r="U718" t="s">
        <v>3699</v>
      </c>
    </row>
    <row r="719" spans="1:21" x14ac:dyDescent="0.3">
      <c r="A719" t="s">
        <v>2704</v>
      </c>
      <c r="B719" t="s">
        <v>30</v>
      </c>
      <c r="C719" t="s">
        <v>339</v>
      </c>
      <c r="D719" s="15">
        <v>1</v>
      </c>
      <c r="E719" s="7">
        <v>178.25</v>
      </c>
      <c r="H719">
        <v>91295</v>
      </c>
      <c r="I719" t="s">
        <v>360</v>
      </c>
      <c r="J719" t="s">
        <v>2889</v>
      </c>
      <c r="K719" t="s">
        <v>3</v>
      </c>
      <c r="L719" s="2">
        <v>43221</v>
      </c>
      <c r="M719" s="2">
        <f>DHMXX[[#This Row],[INV DOC DATE]]+30</f>
        <v>43251</v>
      </c>
      <c r="N719" s="2">
        <v>43251</v>
      </c>
      <c r="O719" s="7">
        <v>178.25</v>
      </c>
      <c r="P719" s="2">
        <v>43262</v>
      </c>
      <c r="Q719" s="7">
        <f>$E719-$O719</f>
        <v>0</v>
      </c>
      <c r="R719" s="7" t="str">
        <f ca="1">IF(TODAY() - DHMXX[INV DUE DATE]&lt;30, "Less than 30 days",IF(TODAY()-DHMXX[INV DUE DATE]&lt;60,"30-60 days","More than 60 days"))</f>
        <v>30-60 days</v>
      </c>
      <c r="S719" t="s">
        <v>1550</v>
      </c>
      <c r="T719" s="43" t="s">
        <v>2229</v>
      </c>
      <c r="U719" t="s">
        <v>3699</v>
      </c>
    </row>
    <row r="720" spans="1:21" x14ac:dyDescent="0.3">
      <c r="A720" t="s">
        <v>2704</v>
      </c>
      <c r="B720" t="s">
        <v>30</v>
      </c>
      <c r="C720" t="s">
        <v>340</v>
      </c>
      <c r="D720" s="15">
        <v>1</v>
      </c>
      <c r="E720" s="7">
        <v>178.25</v>
      </c>
      <c r="H720">
        <v>91295</v>
      </c>
      <c r="I720" t="s">
        <v>360</v>
      </c>
      <c r="J720" t="s">
        <v>2890</v>
      </c>
      <c r="K720" t="s">
        <v>3</v>
      </c>
      <c r="L720" s="2">
        <v>43221</v>
      </c>
      <c r="M720" s="2">
        <f>DHMXX[[#This Row],[INV DOC DATE]]+30</f>
        <v>43251</v>
      </c>
      <c r="N720" s="2">
        <v>43251</v>
      </c>
      <c r="O720" s="7">
        <v>178.25</v>
      </c>
      <c r="P720" s="2">
        <v>43262</v>
      </c>
      <c r="Q720" s="7">
        <f>$E720-$O720</f>
        <v>0</v>
      </c>
      <c r="R720" s="7" t="str">
        <f ca="1">IF(TODAY() - DHMXX[INV DUE DATE]&lt;30, "Less than 30 days",IF(TODAY()-DHMXX[INV DUE DATE]&lt;60,"30-60 days","More than 60 days"))</f>
        <v>30-60 days</v>
      </c>
      <c r="S720" t="s">
        <v>1550</v>
      </c>
      <c r="T720" s="43" t="s">
        <v>2229</v>
      </c>
      <c r="U720" t="s">
        <v>3699</v>
      </c>
    </row>
    <row r="721" spans="1:21" x14ac:dyDescent="0.3">
      <c r="A721" t="s">
        <v>2704</v>
      </c>
      <c r="B721" t="s">
        <v>30</v>
      </c>
      <c r="C721" t="s">
        <v>341</v>
      </c>
      <c r="D721" s="15">
        <v>1</v>
      </c>
      <c r="E721" s="7">
        <v>178.25</v>
      </c>
      <c r="H721">
        <v>91295</v>
      </c>
      <c r="I721" t="s">
        <v>360</v>
      </c>
      <c r="J721" t="s">
        <v>2891</v>
      </c>
      <c r="K721" t="s">
        <v>3</v>
      </c>
      <c r="L721" s="2">
        <v>43221</v>
      </c>
      <c r="M721" s="2">
        <f>DHMXX[[#This Row],[INV DOC DATE]]+30</f>
        <v>43251</v>
      </c>
      <c r="N721" s="2">
        <v>43251</v>
      </c>
      <c r="O721" s="7">
        <v>178.25</v>
      </c>
      <c r="P721" s="2">
        <v>43262</v>
      </c>
      <c r="Q721" s="7">
        <f>$E721-$O721</f>
        <v>0</v>
      </c>
      <c r="R721" s="7" t="str">
        <f ca="1">IF(TODAY() - DHMXX[INV DUE DATE]&lt;30, "Less than 30 days",IF(TODAY()-DHMXX[INV DUE DATE]&lt;60,"30-60 days","More than 60 days"))</f>
        <v>30-60 days</v>
      </c>
      <c r="S721" t="s">
        <v>1550</v>
      </c>
      <c r="T721" s="43" t="s">
        <v>2229</v>
      </c>
      <c r="U721" t="s">
        <v>3699</v>
      </c>
    </row>
    <row r="722" spans="1:21" x14ac:dyDescent="0.3">
      <c r="A722" t="s">
        <v>2704</v>
      </c>
      <c r="B722" t="s">
        <v>30</v>
      </c>
      <c r="C722" t="s">
        <v>342</v>
      </c>
      <c r="D722" s="15">
        <v>1</v>
      </c>
      <c r="E722" s="7">
        <v>178.25</v>
      </c>
      <c r="H722">
        <v>91295</v>
      </c>
      <c r="I722" t="s">
        <v>360</v>
      </c>
      <c r="J722" t="s">
        <v>2892</v>
      </c>
      <c r="K722" t="s">
        <v>3</v>
      </c>
      <c r="L722" s="2">
        <v>43221</v>
      </c>
      <c r="M722" s="2">
        <f>DHMXX[[#This Row],[INV DOC DATE]]+30</f>
        <v>43251</v>
      </c>
      <c r="N722" s="2">
        <v>43251</v>
      </c>
      <c r="O722" s="7">
        <v>178.25</v>
      </c>
      <c r="P722" s="2">
        <v>43262</v>
      </c>
      <c r="Q722" s="7">
        <f>$E722-$O722</f>
        <v>0</v>
      </c>
      <c r="R722" s="7" t="str">
        <f ca="1">IF(TODAY() - DHMXX[INV DUE DATE]&lt;30, "Less than 30 days",IF(TODAY()-DHMXX[INV DUE DATE]&lt;60,"30-60 days","More than 60 days"))</f>
        <v>30-60 days</v>
      </c>
      <c r="S722" t="s">
        <v>1550</v>
      </c>
      <c r="T722" s="43" t="s">
        <v>2229</v>
      </c>
      <c r="U722" t="s">
        <v>3699</v>
      </c>
    </row>
    <row r="723" spans="1:21" x14ac:dyDescent="0.3">
      <c r="A723" t="s">
        <v>2704</v>
      </c>
      <c r="B723" t="s">
        <v>30</v>
      </c>
      <c r="C723" t="s">
        <v>343</v>
      </c>
      <c r="D723" s="15">
        <v>1</v>
      </c>
      <c r="E723" s="7">
        <v>178.25</v>
      </c>
      <c r="H723">
        <v>91295</v>
      </c>
      <c r="I723" t="s">
        <v>360</v>
      </c>
      <c r="J723" t="s">
        <v>2893</v>
      </c>
      <c r="K723" t="s">
        <v>3</v>
      </c>
      <c r="L723" s="2">
        <v>43221</v>
      </c>
      <c r="M723" s="2">
        <f>DHMXX[[#This Row],[INV DOC DATE]]+30</f>
        <v>43251</v>
      </c>
      <c r="N723" s="2">
        <v>43251</v>
      </c>
      <c r="O723" s="7">
        <v>178.25</v>
      </c>
      <c r="P723" s="2">
        <v>43262</v>
      </c>
      <c r="Q723" s="7">
        <f>$E723-$O723</f>
        <v>0</v>
      </c>
      <c r="R723" s="7" t="str">
        <f ca="1">IF(TODAY() - DHMXX[INV DUE DATE]&lt;30, "Less than 30 days",IF(TODAY()-DHMXX[INV DUE DATE]&lt;60,"30-60 days","More than 60 days"))</f>
        <v>30-60 days</v>
      </c>
      <c r="S723" t="s">
        <v>1550</v>
      </c>
      <c r="T723" s="43" t="s">
        <v>2229</v>
      </c>
      <c r="U723" t="s">
        <v>3699</v>
      </c>
    </row>
    <row r="724" spans="1:21" x14ac:dyDescent="0.3">
      <c r="A724" t="s">
        <v>2704</v>
      </c>
      <c r="B724" t="s">
        <v>30</v>
      </c>
      <c r="C724" t="s">
        <v>344</v>
      </c>
      <c r="D724" s="15">
        <v>1</v>
      </c>
      <c r="E724" s="7">
        <v>178.25</v>
      </c>
      <c r="H724">
        <v>91295</v>
      </c>
      <c r="I724" t="s">
        <v>360</v>
      </c>
      <c r="J724" t="s">
        <v>2894</v>
      </c>
      <c r="K724" t="s">
        <v>3</v>
      </c>
      <c r="L724" s="2">
        <v>43221</v>
      </c>
      <c r="M724" s="2">
        <f>DHMXX[[#This Row],[INV DOC DATE]]+30</f>
        <v>43251</v>
      </c>
      <c r="N724" s="2">
        <v>43251</v>
      </c>
      <c r="O724" s="7">
        <v>178.25</v>
      </c>
      <c r="P724" s="2">
        <v>43262</v>
      </c>
      <c r="Q724" s="7">
        <f>$E724-$O724</f>
        <v>0</v>
      </c>
      <c r="R724" s="7" t="str">
        <f ca="1">IF(TODAY() - DHMXX[INV DUE DATE]&lt;30, "Less than 30 days",IF(TODAY()-DHMXX[INV DUE DATE]&lt;60,"30-60 days","More than 60 days"))</f>
        <v>30-60 days</v>
      </c>
      <c r="S724" t="s">
        <v>1550</v>
      </c>
      <c r="T724" s="43" t="s">
        <v>2229</v>
      </c>
      <c r="U724" t="s">
        <v>3699</v>
      </c>
    </row>
    <row r="725" spans="1:21" x14ac:dyDescent="0.3">
      <c r="A725" t="s">
        <v>2704</v>
      </c>
      <c r="B725" t="s">
        <v>30</v>
      </c>
      <c r="C725" t="s">
        <v>345</v>
      </c>
      <c r="D725" s="15">
        <v>1</v>
      </c>
      <c r="E725" s="7">
        <v>178.25</v>
      </c>
      <c r="H725">
        <v>91295</v>
      </c>
      <c r="I725" t="s">
        <v>360</v>
      </c>
      <c r="J725" t="s">
        <v>2895</v>
      </c>
      <c r="K725" t="s">
        <v>3</v>
      </c>
      <c r="L725" s="2">
        <v>43221</v>
      </c>
      <c r="M725" s="2">
        <f>DHMXX[[#This Row],[INV DOC DATE]]+30</f>
        <v>43251</v>
      </c>
      <c r="N725" s="2">
        <v>43251</v>
      </c>
      <c r="O725" s="7">
        <v>178.25</v>
      </c>
      <c r="P725" s="2">
        <v>43262</v>
      </c>
      <c r="Q725" s="7">
        <f>$E725-$O725</f>
        <v>0</v>
      </c>
      <c r="R725" s="7" t="str">
        <f ca="1">IF(TODAY() - DHMXX[INV DUE DATE]&lt;30, "Less than 30 days",IF(TODAY()-DHMXX[INV DUE DATE]&lt;60,"30-60 days","More than 60 days"))</f>
        <v>30-60 days</v>
      </c>
      <c r="S725" t="s">
        <v>1550</v>
      </c>
      <c r="T725" s="43" t="s">
        <v>2229</v>
      </c>
      <c r="U725" t="s">
        <v>3699</v>
      </c>
    </row>
    <row r="726" spans="1:21" x14ac:dyDescent="0.3">
      <c r="A726" t="s">
        <v>2704</v>
      </c>
      <c r="B726" t="s">
        <v>30</v>
      </c>
      <c r="C726" t="s">
        <v>346</v>
      </c>
      <c r="D726" s="15">
        <v>1</v>
      </c>
      <c r="E726" s="7">
        <v>178.25</v>
      </c>
      <c r="H726">
        <v>91295</v>
      </c>
      <c r="I726" t="s">
        <v>360</v>
      </c>
      <c r="J726" t="s">
        <v>2896</v>
      </c>
      <c r="K726" t="s">
        <v>3</v>
      </c>
      <c r="L726" s="2">
        <v>43221</v>
      </c>
      <c r="M726" s="2">
        <f>DHMXX[[#This Row],[INV DOC DATE]]+30</f>
        <v>43251</v>
      </c>
      <c r="N726" s="2">
        <v>43251</v>
      </c>
      <c r="O726" s="7">
        <v>178.25</v>
      </c>
      <c r="P726" s="2">
        <v>43262</v>
      </c>
      <c r="Q726" s="7">
        <f>$E726-$O726</f>
        <v>0</v>
      </c>
      <c r="R726" s="7" t="str">
        <f ca="1">IF(TODAY() - DHMXX[INV DUE DATE]&lt;30, "Less than 30 days",IF(TODAY()-DHMXX[INV DUE DATE]&lt;60,"30-60 days","More than 60 days"))</f>
        <v>30-60 days</v>
      </c>
      <c r="S726" t="s">
        <v>1550</v>
      </c>
      <c r="T726" s="43" t="s">
        <v>2229</v>
      </c>
      <c r="U726" t="s">
        <v>3699</v>
      </c>
    </row>
    <row r="727" spans="1:21" x14ac:dyDescent="0.3">
      <c r="A727" t="s">
        <v>2704</v>
      </c>
      <c r="B727" t="s">
        <v>30</v>
      </c>
      <c r="C727" t="s">
        <v>557</v>
      </c>
      <c r="D727" s="15">
        <v>1</v>
      </c>
      <c r="E727" s="7">
        <v>178.25</v>
      </c>
      <c r="H727">
        <v>91295</v>
      </c>
      <c r="I727" t="s">
        <v>360</v>
      </c>
      <c r="J727" t="s">
        <v>2897</v>
      </c>
      <c r="K727" t="s">
        <v>3</v>
      </c>
      <c r="L727" s="2">
        <v>43221</v>
      </c>
      <c r="M727" s="2">
        <f>DHMXX[[#This Row],[INV DOC DATE]]+30</f>
        <v>43251</v>
      </c>
      <c r="N727" s="2">
        <v>43251</v>
      </c>
      <c r="O727" s="7">
        <v>178.25</v>
      </c>
      <c r="P727" s="2">
        <v>43262</v>
      </c>
      <c r="Q727" s="7">
        <f>$E727-$O727</f>
        <v>0</v>
      </c>
      <c r="R727" s="7" t="str">
        <f ca="1">IF(TODAY() - DHMXX[INV DUE DATE]&lt;30, "Less than 30 days",IF(TODAY()-DHMXX[INV DUE DATE]&lt;60,"30-60 days","More than 60 days"))</f>
        <v>30-60 days</v>
      </c>
      <c r="S727" t="s">
        <v>1550</v>
      </c>
      <c r="T727" s="43" t="s">
        <v>2229</v>
      </c>
      <c r="U727" t="s">
        <v>3699</v>
      </c>
    </row>
    <row r="728" spans="1:21" x14ac:dyDescent="0.3">
      <c r="A728" t="s">
        <v>2704</v>
      </c>
      <c r="B728" t="s">
        <v>30</v>
      </c>
      <c r="C728" t="s">
        <v>558</v>
      </c>
      <c r="D728" s="15">
        <v>1</v>
      </c>
      <c r="E728" s="7">
        <v>178.25</v>
      </c>
      <c r="H728">
        <v>91295</v>
      </c>
      <c r="I728" t="s">
        <v>360</v>
      </c>
      <c r="J728" t="s">
        <v>2898</v>
      </c>
      <c r="K728" t="s">
        <v>3</v>
      </c>
      <c r="L728" s="2">
        <v>43221</v>
      </c>
      <c r="M728" s="2">
        <f>DHMXX[[#This Row],[INV DOC DATE]]+30</f>
        <v>43251</v>
      </c>
      <c r="N728" s="2">
        <v>43251</v>
      </c>
      <c r="O728" s="7">
        <v>178.25</v>
      </c>
      <c r="P728" s="2">
        <v>43262</v>
      </c>
      <c r="Q728" s="7">
        <f>$E728-$O728</f>
        <v>0</v>
      </c>
      <c r="R728" s="7" t="str">
        <f ca="1">IF(TODAY() - DHMXX[INV DUE DATE]&lt;30, "Less than 30 days",IF(TODAY()-DHMXX[INV DUE DATE]&lt;60,"30-60 days","More than 60 days"))</f>
        <v>30-60 days</v>
      </c>
      <c r="S728" t="s">
        <v>1550</v>
      </c>
      <c r="T728" s="43" t="s">
        <v>2229</v>
      </c>
      <c r="U728" t="s">
        <v>3699</v>
      </c>
    </row>
    <row r="729" spans="1:21" x14ac:dyDescent="0.3">
      <c r="A729" t="s">
        <v>2704</v>
      </c>
      <c r="B729" t="s">
        <v>30</v>
      </c>
      <c r="C729" t="s">
        <v>559</v>
      </c>
      <c r="D729" s="15">
        <v>1</v>
      </c>
      <c r="E729" s="7">
        <v>178.25</v>
      </c>
      <c r="H729">
        <v>91295</v>
      </c>
      <c r="I729" t="s">
        <v>360</v>
      </c>
      <c r="J729" t="s">
        <v>2899</v>
      </c>
      <c r="K729" t="s">
        <v>3</v>
      </c>
      <c r="L729" s="2">
        <v>43221</v>
      </c>
      <c r="M729" s="2">
        <f>DHMXX[[#This Row],[INV DOC DATE]]+30</f>
        <v>43251</v>
      </c>
      <c r="N729" s="2">
        <v>43251</v>
      </c>
      <c r="O729" s="7">
        <v>178.25</v>
      </c>
      <c r="P729" s="2">
        <v>43262</v>
      </c>
      <c r="Q729" s="7">
        <f>$E729-$O729</f>
        <v>0</v>
      </c>
      <c r="R729" s="7" t="str">
        <f ca="1">IF(TODAY() - DHMXX[INV DUE DATE]&lt;30, "Less than 30 days",IF(TODAY()-DHMXX[INV DUE DATE]&lt;60,"30-60 days","More than 60 days"))</f>
        <v>30-60 days</v>
      </c>
      <c r="S729" t="s">
        <v>1550</v>
      </c>
      <c r="T729" s="43" t="s">
        <v>2229</v>
      </c>
      <c r="U729" t="s">
        <v>3699</v>
      </c>
    </row>
    <row r="730" spans="1:21" x14ac:dyDescent="0.3">
      <c r="A730" t="s">
        <v>2704</v>
      </c>
      <c r="B730" t="s">
        <v>30</v>
      </c>
      <c r="C730" t="s">
        <v>560</v>
      </c>
      <c r="D730" s="15">
        <v>1</v>
      </c>
      <c r="E730" s="7">
        <v>178.25</v>
      </c>
      <c r="H730">
        <v>91295</v>
      </c>
      <c r="I730" t="s">
        <v>360</v>
      </c>
      <c r="J730" t="s">
        <v>2900</v>
      </c>
      <c r="K730" t="s">
        <v>3</v>
      </c>
      <c r="L730" s="2">
        <v>43221</v>
      </c>
      <c r="M730" s="2">
        <f>DHMXX[[#This Row],[INV DOC DATE]]+30</f>
        <v>43251</v>
      </c>
      <c r="N730" s="2">
        <v>43251</v>
      </c>
      <c r="O730" s="7">
        <v>178.25</v>
      </c>
      <c r="P730" s="2">
        <v>43262</v>
      </c>
      <c r="Q730" s="7">
        <f>$E730-$O730</f>
        <v>0</v>
      </c>
      <c r="R730" s="7" t="str">
        <f ca="1">IF(TODAY() - DHMXX[INV DUE DATE]&lt;30, "Less than 30 days",IF(TODAY()-DHMXX[INV DUE DATE]&lt;60,"30-60 days","More than 60 days"))</f>
        <v>30-60 days</v>
      </c>
      <c r="S730" t="s">
        <v>1550</v>
      </c>
      <c r="T730" s="43" t="s">
        <v>2229</v>
      </c>
      <c r="U730" t="s">
        <v>3699</v>
      </c>
    </row>
    <row r="731" spans="1:21" x14ac:dyDescent="0.3">
      <c r="A731" t="s">
        <v>2704</v>
      </c>
      <c r="B731" t="s">
        <v>30</v>
      </c>
      <c r="C731" t="s">
        <v>561</v>
      </c>
      <c r="D731" s="15">
        <v>1</v>
      </c>
      <c r="E731" s="7">
        <v>178.25</v>
      </c>
      <c r="H731">
        <v>91295</v>
      </c>
      <c r="I731" t="s">
        <v>360</v>
      </c>
      <c r="J731" t="s">
        <v>2901</v>
      </c>
      <c r="K731" t="s">
        <v>3</v>
      </c>
      <c r="L731" s="2">
        <v>43221</v>
      </c>
      <c r="M731" s="2">
        <f>DHMXX[[#This Row],[INV DOC DATE]]+30</f>
        <v>43251</v>
      </c>
      <c r="N731" s="2">
        <v>43251</v>
      </c>
      <c r="O731" s="7">
        <v>178.25</v>
      </c>
      <c r="P731" s="2">
        <v>43262</v>
      </c>
      <c r="Q731" s="7">
        <f>$E731-$O731</f>
        <v>0</v>
      </c>
      <c r="R731" s="7" t="str">
        <f ca="1">IF(TODAY() - DHMXX[INV DUE DATE]&lt;30, "Less than 30 days",IF(TODAY()-DHMXX[INV DUE DATE]&lt;60,"30-60 days","More than 60 days"))</f>
        <v>30-60 days</v>
      </c>
      <c r="S731" t="s">
        <v>1550</v>
      </c>
      <c r="T731" s="43" t="s">
        <v>2229</v>
      </c>
      <c r="U731" t="s">
        <v>3699</v>
      </c>
    </row>
    <row r="732" spans="1:21" x14ac:dyDescent="0.3">
      <c r="A732" t="s">
        <v>2704</v>
      </c>
      <c r="B732" t="s">
        <v>30</v>
      </c>
      <c r="C732" t="s">
        <v>562</v>
      </c>
      <c r="D732" s="15">
        <v>1</v>
      </c>
      <c r="E732" s="7">
        <v>178.25</v>
      </c>
      <c r="H732">
        <v>91295</v>
      </c>
      <c r="I732" t="s">
        <v>360</v>
      </c>
      <c r="J732" t="s">
        <v>2902</v>
      </c>
      <c r="K732" t="s">
        <v>3</v>
      </c>
      <c r="L732" s="2">
        <v>43221</v>
      </c>
      <c r="M732" s="2">
        <f>DHMXX[[#This Row],[INV DOC DATE]]+30</f>
        <v>43251</v>
      </c>
      <c r="N732" s="2">
        <v>43251</v>
      </c>
      <c r="O732" s="7">
        <v>178.25</v>
      </c>
      <c r="P732" s="2">
        <v>43262</v>
      </c>
      <c r="Q732" s="7">
        <f>$E732-$O732</f>
        <v>0</v>
      </c>
      <c r="R732" s="7" t="str">
        <f ca="1">IF(TODAY() - DHMXX[INV DUE DATE]&lt;30, "Less than 30 days",IF(TODAY()-DHMXX[INV DUE DATE]&lt;60,"30-60 days","More than 60 days"))</f>
        <v>30-60 days</v>
      </c>
      <c r="S732" t="s">
        <v>1550</v>
      </c>
      <c r="T732" s="43" t="s">
        <v>2229</v>
      </c>
      <c r="U732" t="s">
        <v>3699</v>
      </c>
    </row>
    <row r="733" spans="1:21" x14ac:dyDescent="0.3">
      <c r="A733" t="s">
        <v>2704</v>
      </c>
      <c r="B733" t="s">
        <v>30</v>
      </c>
      <c r="C733" t="s">
        <v>563</v>
      </c>
      <c r="D733" s="15">
        <v>1</v>
      </c>
      <c r="E733" s="7">
        <v>178.25</v>
      </c>
      <c r="H733">
        <v>91295</v>
      </c>
      <c r="I733" t="s">
        <v>360</v>
      </c>
      <c r="J733" t="s">
        <v>2903</v>
      </c>
      <c r="K733" t="s">
        <v>3</v>
      </c>
      <c r="L733" s="2">
        <v>43221</v>
      </c>
      <c r="M733" s="2">
        <f>DHMXX[[#This Row],[INV DOC DATE]]+30</f>
        <v>43251</v>
      </c>
      <c r="N733" s="2">
        <v>43251</v>
      </c>
      <c r="O733" s="7">
        <v>178.25</v>
      </c>
      <c r="P733" s="2">
        <v>43262</v>
      </c>
      <c r="Q733" s="7">
        <f>$E733-$O733</f>
        <v>0</v>
      </c>
      <c r="R733" s="7" t="str">
        <f ca="1">IF(TODAY() - DHMXX[INV DUE DATE]&lt;30, "Less than 30 days",IF(TODAY()-DHMXX[INV DUE DATE]&lt;60,"30-60 days","More than 60 days"))</f>
        <v>30-60 days</v>
      </c>
      <c r="S733" t="s">
        <v>1550</v>
      </c>
      <c r="T733" s="43" t="s">
        <v>2229</v>
      </c>
      <c r="U733" t="s">
        <v>3699</v>
      </c>
    </row>
    <row r="734" spans="1:21" x14ac:dyDescent="0.3">
      <c r="A734" t="s">
        <v>2704</v>
      </c>
      <c r="B734" t="s">
        <v>30</v>
      </c>
      <c r="C734" t="s">
        <v>564</v>
      </c>
      <c r="D734" s="15">
        <v>1</v>
      </c>
      <c r="E734" s="7">
        <v>178.25</v>
      </c>
      <c r="H734">
        <v>91295</v>
      </c>
      <c r="I734" t="s">
        <v>360</v>
      </c>
      <c r="J734" t="s">
        <v>2904</v>
      </c>
      <c r="K734" t="s">
        <v>3</v>
      </c>
      <c r="L734" s="2">
        <v>43221</v>
      </c>
      <c r="M734" s="2">
        <f>DHMXX[[#This Row],[INV DOC DATE]]+30</f>
        <v>43251</v>
      </c>
      <c r="N734" s="2">
        <v>43251</v>
      </c>
      <c r="O734" s="7">
        <v>178.25</v>
      </c>
      <c r="P734" s="2">
        <v>43262</v>
      </c>
      <c r="Q734" s="7">
        <f>$E734-$O734</f>
        <v>0</v>
      </c>
      <c r="R734" s="7" t="str">
        <f ca="1">IF(TODAY() - DHMXX[INV DUE DATE]&lt;30, "Less than 30 days",IF(TODAY()-DHMXX[INV DUE DATE]&lt;60,"30-60 days","More than 60 days"))</f>
        <v>30-60 days</v>
      </c>
      <c r="S734" t="s">
        <v>1550</v>
      </c>
      <c r="T734" s="43" t="s">
        <v>2229</v>
      </c>
      <c r="U734" t="s">
        <v>3699</v>
      </c>
    </row>
    <row r="735" spans="1:21" x14ac:dyDescent="0.3">
      <c r="A735" t="s">
        <v>2704</v>
      </c>
      <c r="B735" t="s">
        <v>30</v>
      </c>
      <c r="C735" t="s">
        <v>565</v>
      </c>
      <c r="D735" s="15">
        <v>1</v>
      </c>
      <c r="E735" s="7">
        <v>178.25</v>
      </c>
      <c r="H735">
        <v>91295</v>
      </c>
      <c r="I735" t="s">
        <v>360</v>
      </c>
      <c r="J735" t="s">
        <v>2905</v>
      </c>
      <c r="K735" t="s">
        <v>3</v>
      </c>
      <c r="L735" s="2">
        <v>43221</v>
      </c>
      <c r="M735" s="2">
        <f>DHMXX[[#This Row],[INV DOC DATE]]+30</f>
        <v>43251</v>
      </c>
      <c r="N735" s="2">
        <v>43251</v>
      </c>
      <c r="O735" s="7">
        <v>178.25</v>
      </c>
      <c r="P735" s="2">
        <v>43262</v>
      </c>
      <c r="Q735" s="7">
        <f>$E735-$O735</f>
        <v>0</v>
      </c>
      <c r="R735" s="7" t="str">
        <f ca="1">IF(TODAY() - DHMXX[INV DUE DATE]&lt;30, "Less than 30 days",IF(TODAY()-DHMXX[INV DUE DATE]&lt;60,"30-60 days","More than 60 days"))</f>
        <v>30-60 days</v>
      </c>
      <c r="S735" t="s">
        <v>1550</v>
      </c>
      <c r="T735" s="43" t="s">
        <v>2229</v>
      </c>
      <c r="U735" t="s">
        <v>3699</v>
      </c>
    </row>
    <row r="736" spans="1:21" x14ac:dyDescent="0.3">
      <c r="A736" t="s">
        <v>2704</v>
      </c>
      <c r="B736" t="s">
        <v>30</v>
      </c>
      <c r="C736" t="s">
        <v>566</v>
      </c>
      <c r="D736" s="15">
        <v>1</v>
      </c>
      <c r="E736" s="7">
        <v>178.25</v>
      </c>
      <c r="H736">
        <v>91295</v>
      </c>
      <c r="I736" t="s">
        <v>360</v>
      </c>
      <c r="J736" t="s">
        <v>2906</v>
      </c>
      <c r="K736" t="s">
        <v>3</v>
      </c>
      <c r="L736" s="2">
        <v>43221</v>
      </c>
      <c r="M736" s="2">
        <f>DHMXX[[#This Row],[INV DOC DATE]]+30</f>
        <v>43251</v>
      </c>
      <c r="N736" s="2">
        <v>43251</v>
      </c>
      <c r="O736" s="7">
        <v>178.25</v>
      </c>
      <c r="P736" s="2">
        <v>43262</v>
      </c>
      <c r="Q736" s="7">
        <f>$E736-$O736</f>
        <v>0</v>
      </c>
      <c r="R736" s="7" t="str">
        <f ca="1">IF(TODAY() - DHMXX[INV DUE DATE]&lt;30, "Less than 30 days",IF(TODAY()-DHMXX[INV DUE DATE]&lt;60,"30-60 days","More than 60 days"))</f>
        <v>30-60 days</v>
      </c>
      <c r="S736" t="s">
        <v>1550</v>
      </c>
      <c r="T736" s="43" t="s">
        <v>2229</v>
      </c>
      <c r="U736" t="s">
        <v>3699</v>
      </c>
    </row>
    <row r="737" spans="1:21" x14ac:dyDescent="0.3">
      <c r="A737" t="s">
        <v>2704</v>
      </c>
      <c r="B737" t="s">
        <v>30</v>
      </c>
      <c r="C737" t="s">
        <v>567</v>
      </c>
      <c r="D737" s="15">
        <v>1</v>
      </c>
      <c r="E737" s="7">
        <v>178.25</v>
      </c>
      <c r="H737">
        <v>91295</v>
      </c>
      <c r="I737" t="s">
        <v>360</v>
      </c>
      <c r="J737" t="s">
        <v>2907</v>
      </c>
      <c r="K737" t="s">
        <v>3</v>
      </c>
      <c r="L737" s="2">
        <v>43221</v>
      </c>
      <c r="M737" s="2">
        <f>DHMXX[[#This Row],[INV DOC DATE]]+30</f>
        <v>43251</v>
      </c>
      <c r="N737" s="2">
        <v>43251</v>
      </c>
      <c r="O737" s="7">
        <v>178.25</v>
      </c>
      <c r="P737" s="2">
        <v>43262</v>
      </c>
      <c r="Q737" s="7">
        <f>$E737-$O737</f>
        <v>0</v>
      </c>
      <c r="R737" s="7" t="str">
        <f ca="1">IF(TODAY() - DHMXX[INV DUE DATE]&lt;30, "Less than 30 days",IF(TODAY()-DHMXX[INV DUE DATE]&lt;60,"30-60 days","More than 60 days"))</f>
        <v>30-60 days</v>
      </c>
      <c r="S737" t="s">
        <v>1550</v>
      </c>
      <c r="T737" s="43" t="s">
        <v>2229</v>
      </c>
      <c r="U737" t="s">
        <v>3699</v>
      </c>
    </row>
    <row r="738" spans="1:21" x14ac:dyDescent="0.3">
      <c r="A738" t="s">
        <v>2704</v>
      </c>
      <c r="B738" t="s">
        <v>30</v>
      </c>
      <c r="C738" t="s">
        <v>568</v>
      </c>
      <c r="D738" s="15">
        <v>1</v>
      </c>
      <c r="E738" s="7">
        <v>178.25</v>
      </c>
      <c r="H738">
        <v>91295</v>
      </c>
      <c r="I738" t="s">
        <v>360</v>
      </c>
      <c r="J738" t="s">
        <v>2908</v>
      </c>
      <c r="K738" t="s">
        <v>3</v>
      </c>
      <c r="L738" s="2">
        <v>43221</v>
      </c>
      <c r="M738" s="2">
        <f>DHMXX[[#This Row],[INV DOC DATE]]+30</f>
        <v>43251</v>
      </c>
      <c r="N738" s="2">
        <v>43251</v>
      </c>
      <c r="O738" s="7">
        <v>178.25</v>
      </c>
      <c r="P738" s="2">
        <v>43262</v>
      </c>
      <c r="Q738" s="7">
        <f>$E738-$O738</f>
        <v>0</v>
      </c>
      <c r="R738" s="7" t="str">
        <f ca="1">IF(TODAY() - DHMXX[INV DUE DATE]&lt;30, "Less than 30 days",IF(TODAY()-DHMXX[INV DUE DATE]&lt;60,"30-60 days","More than 60 days"))</f>
        <v>30-60 days</v>
      </c>
      <c r="S738" t="s">
        <v>1550</v>
      </c>
      <c r="T738" s="43" t="s">
        <v>2229</v>
      </c>
      <c r="U738" t="s">
        <v>3699</v>
      </c>
    </row>
    <row r="739" spans="1:21" x14ac:dyDescent="0.3">
      <c r="A739" t="s">
        <v>2704</v>
      </c>
      <c r="B739" t="s">
        <v>30</v>
      </c>
      <c r="C739" t="s">
        <v>569</v>
      </c>
      <c r="D739" s="15">
        <v>1</v>
      </c>
      <c r="E739" s="7">
        <v>178.25</v>
      </c>
      <c r="H739">
        <v>91295</v>
      </c>
      <c r="I739" t="s">
        <v>360</v>
      </c>
      <c r="J739" t="s">
        <v>2909</v>
      </c>
      <c r="K739" t="s">
        <v>3</v>
      </c>
      <c r="L739" s="2">
        <v>43221</v>
      </c>
      <c r="M739" s="2">
        <f>DHMXX[[#This Row],[INV DOC DATE]]+30</f>
        <v>43251</v>
      </c>
      <c r="N739" s="2">
        <v>43251</v>
      </c>
      <c r="O739" s="7">
        <v>178.25</v>
      </c>
      <c r="P739" s="2">
        <v>43262</v>
      </c>
      <c r="Q739" s="7">
        <f>$E739-$O739</f>
        <v>0</v>
      </c>
      <c r="R739" s="7" t="str">
        <f ca="1">IF(TODAY() - DHMXX[INV DUE DATE]&lt;30, "Less than 30 days",IF(TODAY()-DHMXX[INV DUE DATE]&lt;60,"30-60 days","More than 60 days"))</f>
        <v>30-60 days</v>
      </c>
      <c r="S739" t="s">
        <v>1550</v>
      </c>
      <c r="T739" s="43" t="s">
        <v>2229</v>
      </c>
      <c r="U739" t="s">
        <v>3699</v>
      </c>
    </row>
    <row r="740" spans="1:21" x14ac:dyDescent="0.3">
      <c r="A740" t="s">
        <v>2704</v>
      </c>
      <c r="B740" t="s">
        <v>30</v>
      </c>
      <c r="C740" t="s">
        <v>570</v>
      </c>
      <c r="D740" s="15">
        <v>1</v>
      </c>
      <c r="E740" s="7">
        <v>178.25</v>
      </c>
      <c r="H740">
        <v>91295</v>
      </c>
      <c r="I740" t="s">
        <v>360</v>
      </c>
      <c r="J740" t="s">
        <v>2910</v>
      </c>
      <c r="K740" t="s">
        <v>3</v>
      </c>
      <c r="L740" s="2">
        <v>43221</v>
      </c>
      <c r="M740" s="2">
        <f>DHMXX[[#This Row],[INV DOC DATE]]+30</f>
        <v>43251</v>
      </c>
      <c r="N740" s="2">
        <v>43251</v>
      </c>
      <c r="O740" s="7">
        <v>178.25</v>
      </c>
      <c r="P740" s="2">
        <v>43262</v>
      </c>
      <c r="Q740" s="7">
        <f>$E740-$O740</f>
        <v>0</v>
      </c>
      <c r="R740" s="7" t="str">
        <f ca="1">IF(TODAY() - DHMXX[INV DUE DATE]&lt;30, "Less than 30 days",IF(TODAY()-DHMXX[INV DUE DATE]&lt;60,"30-60 days","More than 60 days"))</f>
        <v>30-60 days</v>
      </c>
      <c r="S740" t="s">
        <v>1550</v>
      </c>
      <c r="T740" s="43" t="s">
        <v>2229</v>
      </c>
      <c r="U740" t="s">
        <v>3699</v>
      </c>
    </row>
    <row r="741" spans="1:21" x14ac:dyDescent="0.3">
      <c r="A741" t="s">
        <v>2704</v>
      </c>
      <c r="B741" t="s">
        <v>30</v>
      </c>
      <c r="C741" t="s">
        <v>571</v>
      </c>
      <c r="D741" s="15">
        <v>1</v>
      </c>
      <c r="E741" s="7">
        <v>178.25</v>
      </c>
      <c r="H741">
        <v>91295</v>
      </c>
      <c r="I741" t="s">
        <v>360</v>
      </c>
      <c r="J741" t="s">
        <v>2911</v>
      </c>
      <c r="K741" t="s">
        <v>3</v>
      </c>
      <c r="L741" s="2">
        <v>43221</v>
      </c>
      <c r="M741" s="2">
        <f>DHMXX[[#This Row],[INV DOC DATE]]+30</f>
        <v>43251</v>
      </c>
      <c r="N741" s="2">
        <v>43251</v>
      </c>
      <c r="O741" s="7">
        <v>178.25</v>
      </c>
      <c r="P741" s="2">
        <v>43262</v>
      </c>
      <c r="Q741" s="7">
        <f>$E741-$O741</f>
        <v>0</v>
      </c>
      <c r="R741" s="7" t="str">
        <f ca="1">IF(TODAY() - DHMXX[INV DUE DATE]&lt;30, "Less than 30 days",IF(TODAY()-DHMXX[INV DUE DATE]&lt;60,"30-60 days","More than 60 days"))</f>
        <v>30-60 days</v>
      </c>
      <c r="S741" t="s">
        <v>1550</v>
      </c>
      <c r="T741" s="43" t="s">
        <v>2229</v>
      </c>
      <c r="U741" t="s">
        <v>3699</v>
      </c>
    </row>
    <row r="742" spans="1:21" x14ac:dyDescent="0.3">
      <c r="A742" t="s">
        <v>2704</v>
      </c>
      <c r="B742" t="s">
        <v>30</v>
      </c>
      <c r="C742" t="s">
        <v>572</v>
      </c>
      <c r="D742" s="15">
        <v>1</v>
      </c>
      <c r="E742" s="7">
        <v>178.25</v>
      </c>
      <c r="H742">
        <v>91295</v>
      </c>
      <c r="I742" t="s">
        <v>360</v>
      </c>
      <c r="J742" t="s">
        <v>2912</v>
      </c>
      <c r="K742" t="s">
        <v>3</v>
      </c>
      <c r="L742" s="2">
        <v>43221</v>
      </c>
      <c r="M742" s="2">
        <f>DHMXX[[#This Row],[INV DOC DATE]]+30</f>
        <v>43251</v>
      </c>
      <c r="N742" s="2">
        <v>43251</v>
      </c>
      <c r="O742" s="7">
        <v>178.25</v>
      </c>
      <c r="P742" s="2">
        <v>43262</v>
      </c>
      <c r="Q742" s="7">
        <f>$E742-$O742</f>
        <v>0</v>
      </c>
      <c r="R742" s="7" t="str">
        <f ca="1">IF(TODAY() - DHMXX[INV DUE DATE]&lt;30, "Less than 30 days",IF(TODAY()-DHMXX[INV DUE DATE]&lt;60,"30-60 days","More than 60 days"))</f>
        <v>30-60 days</v>
      </c>
      <c r="S742" t="s">
        <v>1550</v>
      </c>
      <c r="T742" s="43" t="s">
        <v>2229</v>
      </c>
      <c r="U742" t="s">
        <v>3699</v>
      </c>
    </row>
    <row r="743" spans="1:21" x14ac:dyDescent="0.3">
      <c r="A743" t="s">
        <v>2704</v>
      </c>
      <c r="B743" t="s">
        <v>30</v>
      </c>
      <c r="C743" t="s">
        <v>573</v>
      </c>
      <c r="D743" s="15">
        <v>1</v>
      </c>
      <c r="E743" s="7">
        <v>178.25</v>
      </c>
      <c r="H743">
        <v>91295</v>
      </c>
      <c r="I743" t="s">
        <v>360</v>
      </c>
      <c r="J743" t="s">
        <v>2913</v>
      </c>
      <c r="K743" t="s">
        <v>3</v>
      </c>
      <c r="L743" s="2">
        <v>43221</v>
      </c>
      <c r="M743" s="2">
        <f>DHMXX[[#This Row],[INV DOC DATE]]+30</f>
        <v>43251</v>
      </c>
      <c r="N743" s="2">
        <v>43251</v>
      </c>
      <c r="O743" s="7">
        <v>178.25</v>
      </c>
      <c r="P743" s="2">
        <v>43262</v>
      </c>
      <c r="Q743" s="7">
        <f>$E743-$O743</f>
        <v>0</v>
      </c>
      <c r="R743" s="7" t="str">
        <f ca="1">IF(TODAY() - DHMXX[INV DUE DATE]&lt;30, "Less than 30 days",IF(TODAY()-DHMXX[INV DUE DATE]&lt;60,"30-60 days","More than 60 days"))</f>
        <v>30-60 days</v>
      </c>
      <c r="S743" t="s">
        <v>1550</v>
      </c>
      <c r="T743" s="43" t="s">
        <v>2229</v>
      </c>
      <c r="U743" t="s">
        <v>3699</v>
      </c>
    </row>
    <row r="744" spans="1:21" x14ac:dyDescent="0.3">
      <c r="A744" t="s">
        <v>2704</v>
      </c>
      <c r="B744" t="s">
        <v>30</v>
      </c>
      <c r="C744" t="s">
        <v>574</v>
      </c>
      <c r="D744" s="15">
        <v>1</v>
      </c>
      <c r="E744" s="7">
        <v>178.25</v>
      </c>
      <c r="H744">
        <v>91295</v>
      </c>
      <c r="I744" t="s">
        <v>360</v>
      </c>
      <c r="J744" t="s">
        <v>2914</v>
      </c>
      <c r="K744" t="s">
        <v>3</v>
      </c>
      <c r="L744" s="2">
        <v>43221</v>
      </c>
      <c r="M744" s="2">
        <f>DHMXX[[#This Row],[INV DOC DATE]]+30</f>
        <v>43251</v>
      </c>
      <c r="N744" s="2">
        <v>43251</v>
      </c>
      <c r="O744" s="7">
        <v>178.25</v>
      </c>
      <c r="P744" s="2">
        <v>43262</v>
      </c>
      <c r="Q744" s="7">
        <f>$E744-$O744</f>
        <v>0</v>
      </c>
      <c r="R744" s="7" t="str">
        <f ca="1">IF(TODAY() - DHMXX[INV DUE DATE]&lt;30, "Less than 30 days",IF(TODAY()-DHMXX[INV DUE DATE]&lt;60,"30-60 days","More than 60 days"))</f>
        <v>30-60 days</v>
      </c>
      <c r="S744" t="s">
        <v>1550</v>
      </c>
      <c r="T744" s="43" t="s">
        <v>2229</v>
      </c>
      <c r="U744" t="s">
        <v>3699</v>
      </c>
    </row>
    <row r="745" spans="1:21" x14ac:dyDescent="0.3">
      <c r="A745" t="s">
        <v>2704</v>
      </c>
      <c r="B745" t="s">
        <v>30</v>
      </c>
      <c r="C745" t="s">
        <v>575</v>
      </c>
      <c r="D745" s="15">
        <v>1</v>
      </c>
      <c r="E745" s="7">
        <v>178.25</v>
      </c>
      <c r="H745">
        <v>91295</v>
      </c>
      <c r="I745" t="s">
        <v>360</v>
      </c>
      <c r="J745" t="s">
        <v>2915</v>
      </c>
      <c r="K745" t="s">
        <v>3</v>
      </c>
      <c r="L745" s="2">
        <v>43221</v>
      </c>
      <c r="M745" s="2">
        <f>DHMXX[[#This Row],[INV DOC DATE]]+30</f>
        <v>43251</v>
      </c>
      <c r="N745" s="2">
        <v>43251</v>
      </c>
      <c r="O745" s="7">
        <v>178.25</v>
      </c>
      <c r="P745" s="2">
        <v>43262</v>
      </c>
      <c r="Q745" s="7">
        <f>$E745-$O745</f>
        <v>0</v>
      </c>
      <c r="R745" s="7" t="str">
        <f ca="1">IF(TODAY() - DHMXX[INV DUE DATE]&lt;30, "Less than 30 days",IF(TODAY()-DHMXX[INV DUE DATE]&lt;60,"30-60 days","More than 60 days"))</f>
        <v>30-60 days</v>
      </c>
      <c r="S745" t="s">
        <v>1550</v>
      </c>
      <c r="T745" s="43" t="s">
        <v>2229</v>
      </c>
      <c r="U745" t="s">
        <v>3699</v>
      </c>
    </row>
    <row r="746" spans="1:21" x14ac:dyDescent="0.3">
      <c r="A746" t="s">
        <v>2704</v>
      </c>
      <c r="B746" t="s">
        <v>30</v>
      </c>
      <c r="C746" t="s">
        <v>576</v>
      </c>
      <c r="D746" s="15">
        <v>1</v>
      </c>
      <c r="E746" s="7">
        <v>178.25</v>
      </c>
      <c r="H746">
        <v>91295</v>
      </c>
      <c r="I746" t="s">
        <v>360</v>
      </c>
      <c r="J746" t="s">
        <v>2916</v>
      </c>
      <c r="K746" t="s">
        <v>3</v>
      </c>
      <c r="L746" s="2">
        <v>43221</v>
      </c>
      <c r="M746" s="2">
        <f>DHMXX[[#This Row],[INV DOC DATE]]+30</f>
        <v>43251</v>
      </c>
      <c r="N746" s="2">
        <v>43251</v>
      </c>
      <c r="O746" s="7">
        <v>178.25</v>
      </c>
      <c r="P746" s="2">
        <v>43262</v>
      </c>
      <c r="Q746" s="7">
        <f>$E746-$O746</f>
        <v>0</v>
      </c>
      <c r="R746" s="7" t="str">
        <f ca="1">IF(TODAY() - DHMXX[INV DUE DATE]&lt;30, "Less than 30 days",IF(TODAY()-DHMXX[INV DUE DATE]&lt;60,"30-60 days","More than 60 days"))</f>
        <v>30-60 days</v>
      </c>
      <c r="S746" t="s">
        <v>1550</v>
      </c>
      <c r="T746" s="43" t="s">
        <v>2229</v>
      </c>
      <c r="U746" t="s">
        <v>3699</v>
      </c>
    </row>
    <row r="747" spans="1:21" x14ac:dyDescent="0.3">
      <c r="A747" t="s">
        <v>2704</v>
      </c>
      <c r="B747" t="s">
        <v>30</v>
      </c>
      <c r="C747" t="s">
        <v>577</v>
      </c>
      <c r="D747" s="15">
        <v>1</v>
      </c>
      <c r="E747" s="7">
        <v>178.25</v>
      </c>
      <c r="H747">
        <v>91295</v>
      </c>
      <c r="I747" t="s">
        <v>360</v>
      </c>
      <c r="J747" t="s">
        <v>2917</v>
      </c>
      <c r="K747" t="s">
        <v>3</v>
      </c>
      <c r="L747" s="2">
        <v>43221</v>
      </c>
      <c r="M747" s="2">
        <f>DHMXX[[#This Row],[INV DOC DATE]]+30</f>
        <v>43251</v>
      </c>
      <c r="N747" s="2">
        <v>43251</v>
      </c>
      <c r="O747" s="7">
        <v>178.25</v>
      </c>
      <c r="P747" s="2">
        <v>43262</v>
      </c>
      <c r="Q747" s="7">
        <f>$E747-$O747</f>
        <v>0</v>
      </c>
      <c r="R747" s="7" t="str">
        <f ca="1">IF(TODAY() - DHMXX[INV DUE DATE]&lt;30, "Less than 30 days",IF(TODAY()-DHMXX[INV DUE DATE]&lt;60,"30-60 days","More than 60 days"))</f>
        <v>30-60 days</v>
      </c>
      <c r="S747" t="s">
        <v>1550</v>
      </c>
      <c r="T747" s="43" t="s">
        <v>2229</v>
      </c>
      <c r="U747" t="s">
        <v>3699</v>
      </c>
    </row>
    <row r="748" spans="1:21" x14ac:dyDescent="0.3">
      <c r="A748" t="s">
        <v>2704</v>
      </c>
      <c r="B748" t="s">
        <v>30</v>
      </c>
      <c r="C748" t="s">
        <v>578</v>
      </c>
      <c r="D748" s="15">
        <v>1</v>
      </c>
      <c r="E748" s="7">
        <v>178.25</v>
      </c>
      <c r="H748">
        <v>91295</v>
      </c>
      <c r="I748" t="s">
        <v>360</v>
      </c>
      <c r="J748" t="s">
        <v>2918</v>
      </c>
      <c r="K748" t="s">
        <v>3</v>
      </c>
      <c r="L748" s="2">
        <v>43221</v>
      </c>
      <c r="M748" s="2">
        <f>DHMXX[[#This Row],[INV DOC DATE]]+30</f>
        <v>43251</v>
      </c>
      <c r="N748" s="2">
        <v>43251</v>
      </c>
      <c r="O748" s="7">
        <v>178.25</v>
      </c>
      <c r="P748" s="2">
        <v>43262</v>
      </c>
      <c r="Q748" s="7">
        <f>$E748-$O748</f>
        <v>0</v>
      </c>
      <c r="R748" s="7" t="str">
        <f ca="1">IF(TODAY() - DHMXX[INV DUE DATE]&lt;30, "Less than 30 days",IF(TODAY()-DHMXX[INV DUE DATE]&lt;60,"30-60 days","More than 60 days"))</f>
        <v>30-60 days</v>
      </c>
      <c r="S748" t="s">
        <v>1550</v>
      </c>
      <c r="T748" s="43" t="s">
        <v>2229</v>
      </c>
      <c r="U748" t="s">
        <v>3699</v>
      </c>
    </row>
    <row r="749" spans="1:21" x14ac:dyDescent="0.3">
      <c r="A749" t="s">
        <v>2704</v>
      </c>
      <c r="B749" t="s">
        <v>30</v>
      </c>
      <c r="C749" t="s">
        <v>579</v>
      </c>
      <c r="D749" s="15">
        <v>1</v>
      </c>
      <c r="E749" s="7">
        <v>178.25</v>
      </c>
      <c r="H749">
        <v>91295</v>
      </c>
      <c r="I749" t="s">
        <v>360</v>
      </c>
      <c r="J749" t="s">
        <v>2919</v>
      </c>
      <c r="K749" t="s">
        <v>3</v>
      </c>
      <c r="L749" s="2">
        <v>43221</v>
      </c>
      <c r="M749" s="2">
        <f>DHMXX[[#This Row],[INV DOC DATE]]+30</f>
        <v>43251</v>
      </c>
      <c r="N749" s="2">
        <v>43251</v>
      </c>
      <c r="O749" s="7">
        <v>178.25</v>
      </c>
      <c r="P749" s="2">
        <v>43262</v>
      </c>
      <c r="Q749" s="7">
        <f>$E749-$O749</f>
        <v>0</v>
      </c>
      <c r="R749" s="7" t="str">
        <f ca="1">IF(TODAY() - DHMXX[INV DUE DATE]&lt;30, "Less than 30 days",IF(TODAY()-DHMXX[INV DUE DATE]&lt;60,"30-60 days","More than 60 days"))</f>
        <v>30-60 days</v>
      </c>
      <c r="S749" t="s">
        <v>1550</v>
      </c>
      <c r="T749" s="43" t="s">
        <v>2229</v>
      </c>
      <c r="U749" t="s">
        <v>3699</v>
      </c>
    </row>
    <row r="750" spans="1:21" x14ac:dyDescent="0.3">
      <c r="A750" t="s">
        <v>2704</v>
      </c>
      <c r="B750" t="s">
        <v>30</v>
      </c>
      <c r="C750" t="s">
        <v>580</v>
      </c>
      <c r="D750" s="15">
        <v>1</v>
      </c>
      <c r="E750" s="7">
        <v>178.25</v>
      </c>
      <c r="H750">
        <v>91295</v>
      </c>
      <c r="I750" t="s">
        <v>360</v>
      </c>
      <c r="J750" t="s">
        <v>2920</v>
      </c>
      <c r="K750" t="s">
        <v>3</v>
      </c>
      <c r="L750" s="2">
        <v>43221</v>
      </c>
      <c r="M750" s="2">
        <f>DHMXX[[#This Row],[INV DOC DATE]]+30</f>
        <v>43251</v>
      </c>
      <c r="N750" s="2">
        <v>43251</v>
      </c>
      <c r="O750" s="7">
        <v>178.25</v>
      </c>
      <c r="P750" s="2">
        <v>43262</v>
      </c>
      <c r="Q750" s="7">
        <f>$E750-$O750</f>
        <v>0</v>
      </c>
      <c r="R750" s="7" t="str">
        <f ca="1">IF(TODAY() - DHMXX[INV DUE DATE]&lt;30, "Less than 30 days",IF(TODAY()-DHMXX[INV DUE DATE]&lt;60,"30-60 days","More than 60 days"))</f>
        <v>30-60 days</v>
      </c>
      <c r="S750" t="s">
        <v>1550</v>
      </c>
      <c r="T750" s="43" t="s">
        <v>2229</v>
      </c>
      <c r="U750" t="s">
        <v>3699</v>
      </c>
    </row>
    <row r="751" spans="1:21" x14ac:dyDescent="0.3">
      <c r="A751" t="s">
        <v>2704</v>
      </c>
      <c r="B751" t="s">
        <v>30</v>
      </c>
      <c r="C751" t="s">
        <v>581</v>
      </c>
      <c r="D751" s="15">
        <v>1</v>
      </c>
      <c r="E751" s="7">
        <v>178.25</v>
      </c>
      <c r="H751">
        <v>91295</v>
      </c>
      <c r="I751" t="s">
        <v>360</v>
      </c>
      <c r="J751" t="s">
        <v>2921</v>
      </c>
      <c r="K751" t="s">
        <v>3</v>
      </c>
      <c r="L751" s="2">
        <v>43221</v>
      </c>
      <c r="M751" s="2">
        <f>DHMXX[[#This Row],[INV DOC DATE]]+30</f>
        <v>43251</v>
      </c>
      <c r="N751" s="2">
        <v>43251</v>
      </c>
      <c r="O751" s="7">
        <v>178.25</v>
      </c>
      <c r="P751" s="2">
        <v>43262</v>
      </c>
      <c r="Q751" s="7">
        <f>$E751-$O751</f>
        <v>0</v>
      </c>
      <c r="R751" s="7" t="str">
        <f ca="1">IF(TODAY() - DHMXX[INV DUE DATE]&lt;30, "Less than 30 days",IF(TODAY()-DHMXX[INV DUE DATE]&lt;60,"30-60 days","More than 60 days"))</f>
        <v>30-60 days</v>
      </c>
      <c r="S751" t="s">
        <v>1550</v>
      </c>
      <c r="T751" s="43" t="s">
        <v>2229</v>
      </c>
      <c r="U751" t="s">
        <v>3699</v>
      </c>
    </row>
    <row r="752" spans="1:21" x14ac:dyDescent="0.3">
      <c r="A752" t="s">
        <v>2704</v>
      </c>
      <c r="B752" t="s">
        <v>30</v>
      </c>
      <c r="C752" t="s">
        <v>582</v>
      </c>
      <c r="D752" s="15">
        <v>1</v>
      </c>
      <c r="E752" s="7">
        <v>178.25</v>
      </c>
      <c r="H752">
        <v>91295</v>
      </c>
      <c r="I752" t="s">
        <v>360</v>
      </c>
      <c r="J752" t="s">
        <v>2922</v>
      </c>
      <c r="K752" t="s">
        <v>3</v>
      </c>
      <c r="L752" s="2">
        <v>43221</v>
      </c>
      <c r="M752" s="2">
        <f>DHMXX[[#This Row],[INV DOC DATE]]+30</f>
        <v>43251</v>
      </c>
      <c r="N752" s="2">
        <v>43251</v>
      </c>
      <c r="O752" s="7">
        <v>178.25</v>
      </c>
      <c r="P752" s="2">
        <v>43262</v>
      </c>
      <c r="Q752" s="7">
        <f>$E752-$O752</f>
        <v>0</v>
      </c>
      <c r="R752" s="7" t="str">
        <f ca="1">IF(TODAY() - DHMXX[INV DUE DATE]&lt;30, "Less than 30 days",IF(TODAY()-DHMXX[INV DUE DATE]&lt;60,"30-60 days","More than 60 days"))</f>
        <v>30-60 days</v>
      </c>
      <c r="S752" t="s">
        <v>1550</v>
      </c>
      <c r="T752" s="43" t="s">
        <v>2229</v>
      </c>
      <c r="U752" t="s">
        <v>3699</v>
      </c>
    </row>
    <row r="753" spans="1:21" x14ac:dyDescent="0.3">
      <c r="A753" t="s">
        <v>2704</v>
      </c>
      <c r="B753" t="s">
        <v>30</v>
      </c>
      <c r="C753" t="s">
        <v>583</v>
      </c>
      <c r="D753" s="15">
        <v>1</v>
      </c>
      <c r="E753" s="7">
        <v>178.25</v>
      </c>
      <c r="H753">
        <v>91295</v>
      </c>
      <c r="I753" t="s">
        <v>360</v>
      </c>
      <c r="J753" t="s">
        <v>2923</v>
      </c>
      <c r="K753" t="s">
        <v>3</v>
      </c>
      <c r="L753" s="2">
        <v>43221</v>
      </c>
      <c r="M753" s="2">
        <f>DHMXX[[#This Row],[INV DOC DATE]]+30</f>
        <v>43251</v>
      </c>
      <c r="N753" s="2">
        <v>43251</v>
      </c>
      <c r="O753" s="7">
        <v>178.25</v>
      </c>
      <c r="P753" s="2">
        <v>43262</v>
      </c>
      <c r="Q753" s="7">
        <f>$E753-$O753</f>
        <v>0</v>
      </c>
      <c r="R753" s="7" t="str">
        <f ca="1">IF(TODAY() - DHMXX[INV DUE DATE]&lt;30, "Less than 30 days",IF(TODAY()-DHMXX[INV DUE DATE]&lt;60,"30-60 days","More than 60 days"))</f>
        <v>30-60 days</v>
      </c>
      <c r="S753" t="s">
        <v>1550</v>
      </c>
      <c r="T753" s="43" t="s">
        <v>2229</v>
      </c>
      <c r="U753" t="s">
        <v>3699</v>
      </c>
    </row>
    <row r="754" spans="1:21" x14ac:dyDescent="0.3">
      <c r="A754" t="s">
        <v>2704</v>
      </c>
      <c r="B754" t="s">
        <v>30</v>
      </c>
      <c r="C754" t="s">
        <v>584</v>
      </c>
      <c r="D754" s="15">
        <v>1</v>
      </c>
      <c r="E754" s="7">
        <v>178.25</v>
      </c>
      <c r="H754">
        <v>91295</v>
      </c>
      <c r="I754" t="s">
        <v>360</v>
      </c>
      <c r="J754" t="s">
        <v>2924</v>
      </c>
      <c r="K754" t="s">
        <v>3</v>
      </c>
      <c r="L754" s="2">
        <v>43221</v>
      </c>
      <c r="M754" s="2">
        <f>DHMXX[[#This Row],[INV DOC DATE]]+30</f>
        <v>43251</v>
      </c>
      <c r="N754" s="2">
        <v>43251</v>
      </c>
      <c r="O754" s="7">
        <v>178.25</v>
      </c>
      <c r="P754" s="2">
        <v>43262</v>
      </c>
      <c r="Q754" s="7">
        <f>$E754-$O754</f>
        <v>0</v>
      </c>
      <c r="R754" s="7" t="str">
        <f ca="1">IF(TODAY() - DHMXX[INV DUE DATE]&lt;30, "Less than 30 days",IF(TODAY()-DHMXX[INV DUE DATE]&lt;60,"30-60 days","More than 60 days"))</f>
        <v>30-60 days</v>
      </c>
      <c r="S754" t="s">
        <v>1550</v>
      </c>
      <c r="T754" s="43" t="s">
        <v>2229</v>
      </c>
      <c r="U754" t="s">
        <v>3699</v>
      </c>
    </row>
    <row r="755" spans="1:21" x14ac:dyDescent="0.3">
      <c r="A755" t="s">
        <v>2704</v>
      </c>
      <c r="B755" t="s">
        <v>30</v>
      </c>
      <c r="C755" t="s">
        <v>585</v>
      </c>
      <c r="D755" s="15">
        <v>1</v>
      </c>
      <c r="E755" s="7">
        <v>178.25</v>
      </c>
      <c r="H755">
        <v>91295</v>
      </c>
      <c r="I755" t="s">
        <v>360</v>
      </c>
      <c r="J755" t="s">
        <v>2925</v>
      </c>
      <c r="K755" t="s">
        <v>3</v>
      </c>
      <c r="L755" s="2">
        <v>43221</v>
      </c>
      <c r="M755" s="2">
        <f>DHMXX[[#This Row],[INV DOC DATE]]+30</f>
        <v>43251</v>
      </c>
      <c r="N755" s="2">
        <v>43251</v>
      </c>
      <c r="O755" s="7">
        <v>178.25</v>
      </c>
      <c r="P755" s="2">
        <v>43262</v>
      </c>
      <c r="Q755" s="7">
        <f>$E755-$O755</f>
        <v>0</v>
      </c>
      <c r="R755" s="7" t="str">
        <f ca="1">IF(TODAY() - DHMXX[INV DUE DATE]&lt;30, "Less than 30 days",IF(TODAY()-DHMXX[INV DUE DATE]&lt;60,"30-60 days","More than 60 days"))</f>
        <v>30-60 days</v>
      </c>
      <c r="S755" t="s">
        <v>1550</v>
      </c>
      <c r="T755" s="43" t="s">
        <v>2229</v>
      </c>
      <c r="U755" t="s">
        <v>3699</v>
      </c>
    </row>
    <row r="756" spans="1:21" x14ac:dyDescent="0.3">
      <c r="A756" t="s">
        <v>2704</v>
      </c>
      <c r="B756" t="s">
        <v>30</v>
      </c>
      <c r="C756" t="s">
        <v>586</v>
      </c>
      <c r="D756" s="15">
        <v>1</v>
      </c>
      <c r="E756" s="7">
        <v>178.25</v>
      </c>
      <c r="H756">
        <v>91295</v>
      </c>
      <c r="I756" t="s">
        <v>360</v>
      </c>
      <c r="J756" t="s">
        <v>2926</v>
      </c>
      <c r="K756" t="s">
        <v>3</v>
      </c>
      <c r="L756" s="2">
        <v>43221</v>
      </c>
      <c r="M756" s="2">
        <f>DHMXX[[#This Row],[INV DOC DATE]]+30</f>
        <v>43251</v>
      </c>
      <c r="N756" s="2">
        <v>43251</v>
      </c>
      <c r="O756" s="7">
        <v>178.25</v>
      </c>
      <c r="P756" s="2">
        <v>43262</v>
      </c>
      <c r="Q756" s="7">
        <f>$E756-$O756</f>
        <v>0</v>
      </c>
      <c r="R756" s="7" t="str">
        <f ca="1">IF(TODAY() - DHMXX[INV DUE DATE]&lt;30, "Less than 30 days",IF(TODAY()-DHMXX[INV DUE DATE]&lt;60,"30-60 days","More than 60 days"))</f>
        <v>30-60 days</v>
      </c>
      <c r="S756" t="s">
        <v>1550</v>
      </c>
      <c r="T756" s="43" t="s">
        <v>2229</v>
      </c>
      <c r="U756" t="s">
        <v>3699</v>
      </c>
    </row>
    <row r="757" spans="1:21" x14ac:dyDescent="0.3">
      <c r="A757" t="s">
        <v>2704</v>
      </c>
      <c r="B757" t="s">
        <v>30</v>
      </c>
      <c r="C757" t="s">
        <v>587</v>
      </c>
      <c r="D757" s="15">
        <v>1</v>
      </c>
      <c r="E757" s="7">
        <v>178.25</v>
      </c>
      <c r="H757">
        <v>91295</v>
      </c>
      <c r="I757" t="s">
        <v>360</v>
      </c>
      <c r="J757" t="s">
        <v>2927</v>
      </c>
      <c r="K757" t="s">
        <v>3</v>
      </c>
      <c r="L757" s="2">
        <v>43221</v>
      </c>
      <c r="M757" s="2">
        <f>DHMXX[[#This Row],[INV DOC DATE]]+30</f>
        <v>43251</v>
      </c>
      <c r="N757" s="2">
        <v>43251</v>
      </c>
      <c r="O757" s="7">
        <v>178.25</v>
      </c>
      <c r="P757" s="2">
        <v>43262</v>
      </c>
      <c r="Q757" s="7">
        <f>$E757-$O757</f>
        <v>0</v>
      </c>
      <c r="R757" s="7" t="str">
        <f ca="1">IF(TODAY() - DHMXX[INV DUE DATE]&lt;30, "Less than 30 days",IF(TODAY()-DHMXX[INV DUE DATE]&lt;60,"30-60 days","More than 60 days"))</f>
        <v>30-60 days</v>
      </c>
      <c r="S757" t="s">
        <v>1550</v>
      </c>
      <c r="T757" s="43" t="s">
        <v>2229</v>
      </c>
      <c r="U757" t="s">
        <v>3699</v>
      </c>
    </row>
    <row r="758" spans="1:21" x14ac:dyDescent="0.3">
      <c r="A758" t="s">
        <v>2704</v>
      </c>
      <c r="B758" t="s">
        <v>30</v>
      </c>
      <c r="C758" t="s">
        <v>588</v>
      </c>
      <c r="D758" s="15">
        <v>1</v>
      </c>
      <c r="E758" s="7">
        <v>178.25</v>
      </c>
      <c r="H758">
        <v>91295</v>
      </c>
      <c r="I758" t="s">
        <v>360</v>
      </c>
      <c r="J758" t="s">
        <v>2928</v>
      </c>
      <c r="K758" t="s">
        <v>3</v>
      </c>
      <c r="L758" s="2">
        <v>43221</v>
      </c>
      <c r="M758" s="2">
        <f>DHMXX[[#This Row],[INV DOC DATE]]+30</f>
        <v>43251</v>
      </c>
      <c r="N758" s="2">
        <v>43251</v>
      </c>
      <c r="O758" s="7">
        <v>178.25</v>
      </c>
      <c r="P758" s="2">
        <v>43262</v>
      </c>
      <c r="Q758" s="7">
        <f>$E758-$O758</f>
        <v>0</v>
      </c>
      <c r="R758" s="7" t="str">
        <f ca="1">IF(TODAY() - DHMXX[INV DUE DATE]&lt;30, "Less than 30 days",IF(TODAY()-DHMXX[INV DUE DATE]&lt;60,"30-60 days","More than 60 days"))</f>
        <v>30-60 days</v>
      </c>
      <c r="S758" t="s">
        <v>1550</v>
      </c>
      <c r="T758" s="43" t="s">
        <v>2229</v>
      </c>
      <c r="U758" t="s">
        <v>3699</v>
      </c>
    </row>
    <row r="759" spans="1:21" x14ac:dyDescent="0.3">
      <c r="A759" t="s">
        <v>2704</v>
      </c>
      <c r="B759" t="s">
        <v>30</v>
      </c>
      <c r="C759" t="s">
        <v>589</v>
      </c>
      <c r="D759" s="15">
        <v>1</v>
      </c>
      <c r="E759" s="7">
        <v>178.25</v>
      </c>
      <c r="H759">
        <v>91295</v>
      </c>
      <c r="I759" t="s">
        <v>360</v>
      </c>
      <c r="J759" t="s">
        <v>2929</v>
      </c>
      <c r="K759" t="s">
        <v>3</v>
      </c>
      <c r="L759" s="2">
        <v>43221</v>
      </c>
      <c r="M759" s="2">
        <f>DHMXX[[#This Row],[INV DOC DATE]]+30</f>
        <v>43251</v>
      </c>
      <c r="N759" s="2">
        <v>43251</v>
      </c>
      <c r="O759" s="7">
        <v>178.25</v>
      </c>
      <c r="P759" s="2">
        <v>43262</v>
      </c>
      <c r="Q759" s="7">
        <f>$E759-$O759</f>
        <v>0</v>
      </c>
      <c r="R759" s="7" t="str">
        <f ca="1">IF(TODAY() - DHMXX[INV DUE DATE]&lt;30, "Less than 30 days",IF(TODAY()-DHMXX[INV DUE DATE]&lt;60,"30-60 days","More than 60 days"))</f>
        <v>30-60 days</v>
      </c>
      <c r="S759" t="s">
        <v>1550</v>
      </c>
      <c r="T759" s="43" t="s">
        <v>2229</v>
      </c>
      <c r="U759" t="s">
        <v>3699</v>
      </c>
    </row>
    <row r="760" spans="1:21" x14ac:dyDescent="0.3">
      <c r="A760" t="s">
        <v>2704</v>
      </c>
      <c r="B760" t="s">
        <v>30</v>
      </c>
      <c r="C760" t="s">
        <v>1321</v>
      </c>
      <c r="D760" s="15">
        <v>1</v>
      </c>
      <c r="E760" s="7">
        <v>178.25</v>
      </c>
      <c r="H760">
        <v>91295</v>
      </c>
      <c r="I760" t="s">
        <v>360</v>
      </c>
      <c r="J760" t="s">
        <v>2930</v>
      </c>
      <c r="K760" t="s">
        <v>3</v>
      </c>
      <c r="L760" s="2">
        <v>43221</v>
      </c>
      <c r="M760" s="2">
        <f>DHMXX[[#This Row],[INV DOC DATE]]+30</f>
        <v>43251</v>
      </c>
      <c r="N760" s="2">
        <v>43251</v>
      </c>
      <c r="O760" s="7">
        <v>178.25</v>
      </c>
      <c r="P760" s="2">
        <v>43262</v>
      </c>
      <c r="Q760" s="7">
        <f>$E760-$O760</f>
        <v>0</v>
      </c>
      <c r="R760" s="7" t="str">
        <f ca="1">IF(TODAY() - DHMXX[INV DUE DATE]&lt;30, "Less than 30 days",IF(TODAY()-DHMXX[INV DUE DATE]&lt;60,"30-60 days","More than 60 days"))</f>
        <v>30-60 days</v>
      </c>
      <c r="S760" t="s">
        <v>1550</v>
      </c>
      <c r="T760" s="43" t="s">
        <v>2229</v>
      </c>
      <c r="U760" t="s">
        <v>3699</v>
      </c>
    </row>
    <row r="761" spans="1:21" x14ac:dyDescent="0.3">
      <c r="A761" t="s">
        <v>2704</v>
      </c>
      <c r="B761" t="s">
        <v>30</v>
      </c>
      <c r="C761" t="s">
        <v>1322</v>
      </c>
      <c r="D761" s="15">
        <v>1</v>
      </c>
      <c r="E761" s="7">
        <v>178.25</v>
      </c>
      <c r="H761">
        <v>91295</v>
      </c>
      <c r="I761" t="s">
        <v>360</v>
      </c>
      <c r="J761" t="s">
        <v>2931</v>
      </c>
      <c r="K761" t="s">
        <v>3</v>
      </c>
      <c r="L761" s="2">
        <v>43221</v>
      </c>
      <c r="M761" s="2">
        <f>DHMXX[[#This Row],[INV DOC DATE]]+30</f>
        <v>43251</v>
      </c>
      <c r="N761" s="2">
        <v>43251</v>
      </c>
      <c r="O761" s="7">
        <v>178.25</v>
      </c>
      <c r="P761" s="2">
        <v>43262</v>
      </c>
      <c r="Q761" s="7">
        <f>$E761-$O761</f>
        <v>0</v>
      </c>
      <c r="R761" s="7" t="str">
        <f ca="1">IF(TODAY() - DHMXX[INV DUE DATE]&lt;30, "Less than 30 days",IF(TODAY()-DHMXX[INV DUE DATE]&lt;60,"30-60 days","More than 60 days"))</f>
        <v>30-60 days</v>
      </c>
      <c r="S761" t="s">
        <v>1550</v>
      </c>
      <c r="T761" s="43" t="s">
        <v>2229</v>
      </c>
      <c r="U761" t="s">
        <v>3699</v>
      </c>
    </row>
    <row r="762" spans="1:21" x14ac:dyDescent="0.3">
      <c r="A762" t="s">
        <v>2704</v>
      </c>
      <c r="B762" t="s">
        <v>30</v>
      </c>
      <c r="C762" t="s">
        <v>1323</v>
      </c>
      <c r="D762" s="15">
        <v>1</v>
      </c>
      <c r="E762" s="7">
        <v>178.25</v>
      </c>
      <c r="H762">
        <v>91295</v>
      </c>
      <c r="I762" t="s">
        <v>360</v>
      </c>
      <c r="J762" t="s">
        <v>2932</v>
      </c>
      <c r="K762" t="s">
        <v>3</v>
      </c>
      <c r="L762" s="2">
        <v>43221</v>
      </c>
      <c r="M762" s="2">
        <f>DHMXX[[#This Row],[INV DOC DATE]]+30</f>
        <v>43251</v>
      </c>
      <c r="N762" s="2">
        <v>43251</v>
      </c>
      <c r="O762" s="7">
        <v>178.25</v>
      </c>
      <c r="P762" s="2">
        <v>43262</v>
      </c>
      <c r="Q762" s="7">
        <f>$E762-$O762</f>
        <v>0</v>
      </c>
      <c r="R762" s="7" t="str">
        <f ca="1">IF(TODAY() - DHMXX[INV DUE DATE]&lt;30, "Less than 30 days",IF(TODAY()-DHMXX[INV DUE DATE]&lt;60,"30-60 days","More than 60 days"))</f>
        <v>30-60 days</v>
      </c>
      <c r="S762" t="s">
        <v>1550</v>
      </c>
      <c r="T762" s="43" t="s">
        <v>2229</v>
      </c>
      <c r="U762" t="s">
        <v>3699</v>
      </c>
    </row>
    <row r="763" spans="1:21" x14ac:dyDescent="0.3">
      <c r="A763" t="s">
        <v>2704</v>
      </c>
      <c r="B763" t="s">
        <v>30</v>
      </c>
      <c r="C763" t="s">
        <v>1324</v>
      </c>
      <c r="D763" s="15">
        <v>1</v>
      </c>
      <c r="E763" s="7">
        <v>178.25</v>
      </c>
      <c r="H763">
        <v>91295</v>
      </c>
      <c r="I763" t="s">
        <v>360</v>
      </c>
      <c r="J763" t="s">
        <v>2933</v>
      </c>
      <c r="K763" t="s">
        <v>3</v>
      </c>
      <c r="L763" s="2">
        <v>43221</v>
      </c>
      <c r="M763" s="2">
        <f>DHMXX[[#This Row],[INV DOC DATE]]+30</f>
        <v>43251</v>
      </c>
      <c r="N763" s="2">
        <v>43251</v>
      </c>
      <c r="O763" s="7">
        <v>178.25</v>
      </c>
      <c r="P763" s="2">
        <v>43262</v>
      </c>
      <c r="Q763" s="7">
        <f>$E763-$O763</f>
        <v>0</v>
      </c>
      <c r="R763" s="7" t="str">
        <f ca="1">IF(TODAY() - DHMXX[INV DUE DATE]&lt;30, "Less than 30 days",IF(TODAY()-DHMXX[INV DUE DATE]&lt;60,"30-60 days","More than 60 days"))</f>
        <v>30-60 days</v>
      </c>
      <c r="S763" t="s">
        <v>1550</v>
      </c>
      <c r="T763" s="43" t="s">
        <v>2229</v>
      </c>
      <c r="U763" t="s">
        <v>3699</v>
      </c>
    </row>
    <row r="764" spans="1:21" x14ac:dyDescent="0.3">
      <c r="A764" t="s">
        <v>2704</v>
      </c>
      <c r="B764" t="s">
        <v>30</v>
      </c>
      <c r="C764" t="s">
        <v>1325</v>
      </c>
      <c r="D764" s="15">
        <v>1</v>
      </c>
      <c r="E764" s="7">
        <v>178.25</v>
      </c>
      <c r="H764">
        <v>91295</v>
      </c>
      <c r="I764" t="s">
        <v>360</v>
      </c>
      <c r="J764" t="s">
        <v>2934</v>
      </c>
      <c r="K764" t="s">
        <v>3</v>
      </c>
      <c r="L764" s="2">
        <v>43221</v>
      </c>
      <c r="M764" s="2">
        <f>DHMXX[[#This Row],[INV DOC DATE]]+30</f>
        <v>43251</v>
      </c>
      <c r="N764" s="2">
        <v>43251</v>
      </c>
      <c r="O764" s="7">
        <v>178.25</v>
      </c>
      <c r="P764" s="2">
        <v>43262</v>
      </c>
      <c r="Q764" s="7">
        <f>$E764-$O764</f>
        <v>0</v>
      </c>
      <c r="R764" s="7" t="str">
        <f ca="1">IF(TODAY() - DHMXX[INV DUE DATE]&lt;30, "Less than 30 days",IF(TODAY()-DHMXX[INV DUE DATE]&lt;60,"30-60 days","More than 60 days"))</f>
        <v>30-60 days</v>
      </c>
      <c r="S764" t="s">
        <v>1550</v>
      </c>
      <c r="T764" s="43" t="s">
        <v>2229</v>
      </c>
      <c r="U764" t="s">
        <v>3699</v>
      </c>
    </row>
    <row r="765" spans="1:21" x14ac:dyDescent="0.3">
      <c r="A765" t="s">
        <v>2704</v>
      </c>
      <c r="B765" t="s">
        <v>30</v>
      </c>
      <c r="C765" t="s">
        <v>1326</v>
      </c>
      <c r="D765" s="15">
        <v>1</v>
      </c>
      <c r="E765" s="7">
        <v>178.25</v>
      </c>
      <c r="H765">
        <v>91295</v>
      </c>
      <c r="I765" t="s">
        <v>360</v>
      </c>
      <c r="J765" t="s">
        <v>2935</v>
      </c>
      <c r="K765" t="s">
        <v>3</v>
      </c>
      <c r="L765" s="2">
        <v>43221</v>
      </c>
      <c r="M765" s="2">
        <f>DHMXX[[#This Row],[INV DOC DATE]]+30</f>
        <v>43251</v>
      </c>
      <c r="N765" s="2">
        <v>43251</v>
      </c>
      <c r="O765" s="7">
        <v>178.25</v>
      </c>
      <c r="P765" s="2">
        <v>43262</v>
      </c>
      <c r="Q765" s="7">
        <f>$E765-$O765</f>
        <v>0</v>
      </c>
      <c r="R765" s="7" t="str">
        <f ca="1">IF(TODAY() - DHMXX[INV DUE DATE]&lt;30, "Less than 30 days",IF(TODAY()-DHMXX[INV DUE DATE]&lt;60,"30-60 days","More than 60 days"))</f>
        <v>30-60 days</v>
      </c>
      <c r="S765" t="s">
        <v>1550</v>
      </c>
      <c r="T765" s="43" t="s">
        <v>2229</v>
      </c>
      <c r="U765" t="s">
        <v>3699</v>
      </c>
    </row>
    <row r="766" spans="1:21" x14ac:dyDescent="0.3">
      <c r="A766" t="s">
        <v>2704</v>
      </c>
      <c r="B766" t="s">
        <v>30</v>
      </c>
      <c r="C766" t="s">
        <v>1327</v>
      </c>
      <c r="D766" s="15">
        <v>1</v>
      </c>
      <c r="E766" s="7">
        <v>178.25</v>
      </c>
      <c r="H766">
        <v>91295</v>
      </c>
      <c r="I766" t="s">
        <v>360</v>
      </c>
      <c r="J766" t="s">
        <v>2936</v>
      </c>
      <c r="K766" t="s">
        <v>3</v>
      </c>
      <c r="L766" s="2">
        <v>43221</v>
      </c>
      <c r="M766" s="2">
        <f>DHMXX[[#This Row],[INV DOC DATE]]+30</f>
        <v>43251</v>
      </c>
      <c r="N766" s="2">
        <v>43251</v>
      </c>
      <c r="O766" s="7">
        <v>178.25</v>
      </c>
      <c r="P766" s="2">
        <v>43262</v>
      </c>
      <c r="Q766" s="7">
        <f>$E766-$O766</f>
        <v>0</v>
      </c>
      <c r="R766" s="7" t="str">
        <f ca="1">IF(TODAY() - DHMXX[INV DUE DATE]&lt;30, "Less than 30 days",IF(TODAY()-DHMXX[INV DUE DATE]&lt;60,"30-60 days","More than 60 days"))</f>
        <v>30-60 days</v>
      </c>
      <c r="S766" t="s">
        <v>1550</v>
      </c>
      <c r="T766" s="43" t="s">
        <v>2229</v>
      </c>
      <c r="U766" t="s">
        <v>3699</v>
      </c>
    </row>
    <row r="767" spans="1:21" x14ac:dyDescent="0.3">
      <c r="A767" t="s">
        <v>2704</v>
      </c>
      <c r="B767" t="s">
        <v>30</v>
      </c>
      <c r="C767" t="s">
        <v>1328</v>
      </c>
      <c r="D767" s="15">
        <v>1</v>
      </c>
      <c r="E767" s="7">
        <v>178.25</v>
      </c>
      <c r="H767">
        <v>92676</v>
      </c>
      <c r="I767" t="s">
        <v>854</v>
      </c>
      <c r="J767" t="s">
        <v>2937</v>
      </c>
      <c r="K767" t="s">
        <v>3</v>
      </c>
      <c r="L767" s="2">
        <v>43221</v>
      </c>
      <c r="M767" s="2">
        <f>DHMXX[[#This Row],[INV DOC DATE]]+30</f>
        <v>43251</v>
      </c>
      <c r="N767" s="2">
        <v>43251</v>
      </c>
      <c r="O767" s="7">
        <v>178.25</v>
      </c>
      <c r="P767" s="2">
        <v>43262</v>
      </c>
      <c r="Q767" s="7">
        <f>$E767-$O767</f>
        <v>0</v>
      </c>
      <c r="R767" s="7" t="str">
        <f ca="1">IF(TODAY() - DHMXX[INV DUE DATE]&lt;30, "Less than 30 days",IF(TODAY()-DHMXX[INV DUE DATE]&lt;60,"30-60 days","More than 60 days"))</f>
        <v>30-60 days</v>
      </c>
      <c r="S767" t="s">
        <v>1550</v>
      </c>
      <c r="T767" s="43" t="s">
        <v>2229</v>
      </c>
      <c r="U767" t="s">
        <v>3699</v>
      </c>
    </row>
    <row r="768" spans="1:21" x14ac:dyDescent="0.3">
      <c r="A768" t="s">
        <v>2704</v>
      </c>
      <c r="B768" t="s">
        <v>30</v>
      </c>
      <c r="C768" t="s">
        <v>1329</v>
      </c>
      <c r="D768" s="15">
        <v>1</v>
      </c>
      <c r="E768" s="7">
        <v>178.25</v>
      </c>
      <c r="H768">
        <v>94783</v>
      </c>
      <c r="I768" t="s">
        <v>360</v>
      </c>
      <c r="J768" t="s">
        <v>2938</v>
      </c>
      <c r="K768" t="s">
        <v>3</v>
      </c>
      <c r="L768" s="2">
        <v>43221</v>
      </c>
      <c r="M768" s="2">
        <f>DHMXX[[#This Row],[INV DOC DATE]]+30</f>
        <v>43251</v>
      </c>
      <c r="N768" s="2">
        <v>43251</v>
      </c>
      <c r="O768" s="7">
        <v>178.25</v>
      </c>
      <c r="P768" s="2">
        <v>43262</v>
      </c>
      <c r="Q768" s="7">
        <f>$E768-$O768</f>
        <v>0</v>
      </c>
      <c r="R768" s="7" t="str">
        <f ca="1">IF(TODAY() - DHMXX[INV DUE DATE]&lt;30, "Less than 30 days",IF(TODAY()-DHMXX[INV DUE DATE]&lt;60,"30-60 days","More than 60 days"))</f>
        <v>30-60 days</v>
      </c>
      <c r="S768" t="s">
        <v>1550</v>
      </c>
      <c r="T768" s="43" t="s">
        <v>2229</v>
      </c>
      <c r="U768" t="s">
        <v>3699</v>
      </c>
    </row>
    <row r="769" spans="1:21" x14ac:dyDescent="0.3">
      <c r="A769" t="s">
        <v>2704</v>
      </c>
      <c r="B769" t="s">
        <v>30</v>
      </c>
      <c r="C769" t="s">
        <v>1330</v>
      </c>
      <c r="D769" s="15">
        <v>1</v>
      </c>
      <c r="E769" s="7">
        <v>178.25</v>
      </c>
      <c r="H769">
        <v>115229</v>
      </c>
      <c r="I769" t="s">
        <v>349</v>
      </c>
      <c r="J769" t="s">
        <v>2939</v>
      </c>
      <c r="K769" t="s">
        <v>3</v>
      </c>
      <c r="L769" s="2">
        <v>43221</v>
      </c>
      <c r="M769" s="2">
        <f>DHMXX[[#This Row],[INV DOC DATE]]+30</f>
        <v>43251</v>
      </c>
      <c r="N769" s="2">
        <v>43251</v>
      </c>
      <c r="O769" s="7">
        <v>178.25</v>
      </c>
      <c r="P769" s="2">
        <v>43262</v>
      </c>
      <c r="Q769" s="7">
        <f>$E769-$O769</f>
        <v>0</v>
      </c>
      <c r="R769" s="7" t="str">
        <f ca="1">IF(TODAY() - DHMXX[INV DUE DATE]&lt;30, "Less than 30 days",IF(TODAY()-DHMXX[INV DUE DATE]&lt;60,"30-60 days","More than 60 days"))</f>
        <v>30-60 days</v>
      </c>
      <c r="S769" t="s">
        <v>1550</v>
      </c>
      <c r="T769" s="43" t="s">
        <v>2229</v>
      </c>
      <c r="U769" t="s">
        <v>3699</v>
      </c>
    </row>
    <row r="770" spans="1:21" x14ac:dyDescent="0.3">
      <c r="A770" t="s">
        <v>2704</v>
      </c>
      <c r="B770" t="s">
        <v>30</v>
      </c>
      <c r="C770" t="s">
        <v>1331</v>
      </c>
      <c r="D770" s="15">
        <v>1</v>
      </c>
      <c r="E770" s="7">
        <v>178.25</v>
      </c>
      <c r="H770">
        <v>140140</v>
      </c>
      <c r="I770" t="s">
        <v>840</v>
      </c>
      <c r="J770" t="s">
        <v>2940</v>
      </c>
      <c r="K770" t="s">
        <v>3</v>
      </c>
      <c r="L770" s="2">
        <v>43221</v>
      </c>
      <c r="M770" s="2">
        <f>DHMXX[[#This Row],[INV DOC DATE]]+30</f>
        <v>43251</v>
      </c>
      <c r="N770" s="2">
        <v>43251</v>
      </c>
      <c r="O770" s="7">
        <v>178.25</v>
      </c>
      <c r="P770" s="2">
        <v>43262</v>
      </c>
      <c r="Q770" s="7">
        <f>$E770-$O770</f>
        <v>0</v>
      </c>
      <c r="R770" s="7" t="str">
        <f ca="1">IF(TODAY() - DHMXX[INV DUE DATE]&lt;30, "Less than 30 days",IF(TODAY()-DHMXX[INV DUE DATE]&lt;60,"30-60 days","More than 60 days"))</f>
        <v>30-60 days</v>
      </c>
      <c r="S770" t="s">
        <v>1550</v>
      </c>
      <c r="T770" s="43" t="s">
        <v>2229</v>
      </c>
      <c r="U770" t="s">
        <v>3699</v>
      </c>
    </row>
    <row r="771" spans="1:21" x14ac:dyDescent="0.3">
      <c r="A771" t="s">
        <v>2704</v>
      </c>
      <c r="B771" t="s">
        <v>30</v>
      </c>
      <c r="C771" t="s">
        <v>1332</v>
      </c>
      <c r="D771" s="15">
        <v>1</v>
      </c>
      <c r="E771" s="7">
        <v>178.25</v>
      </c>
      <c r="H771">
        <v>140140</v>
      </c>
      <c r="I771" t="s">
        <v>840</v>
      </c>
      <c r="J771" t="s">
        <v>2941</v>
      </c>
      <c r="K771" t="s">
        <v>3</v>
      </c>
      <c r="L771" s="2">
        <v>43221</v>
      </c>
      <c r="M771" s="2">
        <f>DHMXX[[#This Row],[INV DOC DATE]]+30</f>
        <v>43251</v>
      </c>
      <c r="N771" s="2">
        <v>43251</v>
      </c>
      <c r="O771" s="7">
        <v>178.25</v>
      </c>
      <c r="P771" s="2">
        <v>43262</v>
      </c>
      <c r="Q771" s="7">
        <f>$E771-$O771</f>
        <v>0</v>
      </c>
      <c r="R771" s="7" t="str">
        <f ca="1">IF(TODAY() - DHMXX[INV DUE DATE]&lt;30, "Less than 30 days",IF(TODAY()-DHMXX[INV DUE DATE]&lt;60,"30-60 days","More than 60 days"))</f>
        <v>30-60 days</v>
      </c>
      <c r="S771" t="s">
        <v>1550</v>
      </c>
      <c r="T771" s="43" t="s">
        <v>2229</v>
      </c>
      <c r="U771" t="s">
        <v>3699</v>
      </c>
    </row>
    <row r="772" spans="1:21" x14ac:dyDescent="0.3">
      <c r="A772" t="s">
        <v>2704</v>
      </c>
      <c r="B772" t="s">
        <v>30</v>
      </c>
      <c r="C772" t="s">
        <v>1333</v>
      </c>
      <c r="D772" s="15">
        <v>1</v>
      </c>
      <c r="E772" s="7">
        <v>480.5</v>
      </c>
      <c r="H772">
        <v>142910</v>
      </c>
      <c r="I772" t="s">
        <v>841</v>
      </c>
      <c r="J772" t="s">
        <v>2942</v>
      </c>
      <c r="K772" t="s">
        <v>3</v>
      </c>
      <c r="L772" s="2">
        <v>43221</v>
      </c>
      <c r="M772" s="2">
        <f>DHMXX[[#This Row],[INV DOC DATE]]+30</f>
        <v>43251</v>
      </c>
      <c r="N772" s="2">
        <v>43251</v>
      </c>
      <c r="O772" s="7">
        <v>480.5</v>
      </c>
      <c r="P772" s="2">
        <v>43262</v>
      </c>
      <c r="Q772" s="7">
        <f>$E772-$O772</f>
        <v>0</v>
      </c>
      <c r="R772" s="7" t="str">
        <f ca="1">IF(TODAY() - DHMXX[INV DUE DATE]&lt;30, "Less than 30 days",IF(TODAY()-DHMXX[INV DUE DATE]&lt;60,"30-60 days","More than 60 days"))</f>
        <v>30-60 days</v>
      </c>
      <c r="S772" t="s">
        <v>1550</v>
      </c>
      <c r="T772" s="43" t="s">
        <v>2229</v>
      </c>
      <c r="U772" t="s">
        <v>3699</v>
      </c>
    </row>
    <row r="773" spans="1:21" x14ac:dyDescent="0.3">
      <c r="A773" t="s">
        <v>2704</v>
      </c>
      <c r="B773" t="s">
        <v>30</v>
      </c>
      <c r="C773" t="s">
        <v>1334</v>
      </c>
      <c r="D773" s="15">
        <v>1</v>
      </c>
      <c r="E773" s="7">
        <v>178.25</v>
      </c>
      <c r="H773">
        <v>148833</v>
      </c>
      <c r="I773" t="s">
        <v>842</v>
      </c>
      <c r="J773" t="s">
        <v>2943</v>
      </c>
      <c r="K773" t="s">
        <v>3</v>
      </c>
      <c r="L773" s="2">
        <v>43221</v>
      </c>
      <c r="M773" s="2">
        <f>DHMXX[[#This Row],[INV DOC DATE]]+30</f>
        <v>43251</v>
      </c>
      <c r="N773" s="2">
        <v>43251</v>
      </c>
      <c r="O773" s="7">
        <v>178.25</v>
      </c>
      <c r="P773" s="2">
        <v>43262</v>
      </c>
      <c r="Q773" s="7">
        <f>$E773-$O773</f>
        <v>0</v>
      </c>
      <c r="R773" s="7" t="str">
        <f ca="1">IF(TODAY() - DHMXX[INV DUE DATE]&lt;30, "Less than 30 days",IF(TODAY()-DHMXX[INV DUE DATE]&lt;60,"30-60 days","More than 60 days"))</f>
        <v>30-60 days</v>
      </c>
      <c r="S773" t="s">
        <v>1550</v>
      </c>
      <c r="T773" s="43" t="s">
        <v>2229</v>
      </c>
      <c r="U773" t="s">
        <v>3699</v>
      </c>
    </row>
    <row r="774" spans="1:21" x14ac:dyDescent="0.3">
      <c r="A774" t="s">
        <v>2704</v>
      </c>
      <c r="B774" t="s">
        <v>30</v>
      </c>
      <c r="C774" t="s">
        <v>1335</v>
      </c>
      <c r="D774" s="15">
        <v>1</v>
      </c>
      <c r="E774" s="7">
        <v>178.25</v>
      </c>
      <c r="H774">
        <v>148833</v>
      </c>
      <c r="I774" t="s">
        <v>842</v>
      </c>
      <c r="J774" t="s">
        <v>2944</v>
      </c>
      <c r="K774" t="s">
        <v>3</v>
      </c>
      <c r="L774" s="2">
        <v>43221</v>
      </c>
      <c r="M774" s="2">
        <f>DHMXX[[#This Row],[INV DOC DATE]]+30</f>
        <v>43251</v>
      </c>
      <c r="N774" s="2">
        <v>43251</v>
      </c>
      <c r="O774" s="7">
        <v>178.25</v>
      </c>
      <c r="P774" s="2">
        <v>43262</v>
      </c>
      <c r="Q774" s="7">
        <f>$E774-$O774</f>
        <v>0</v>
      </c>
      <c r="R774" s="7" t="str">
        <f ca="1">IF(TODAY() - DHMXX[INV DUE DATE]&lt;30, "Less than 30 days",IF(TODAY()-DHMXX[INV DUE DATE]&lt;60,"30-60 days","More than 60 days"))</f>
        <v>30-60 days</v>
      </c>
      <c r="S774" t="s">
        <v>1550</v>
      </c>
      <c r="T774" s="43" t="s">
        <v>2229</v>
      </c>
      <c r="U774" t="s">
        <v>3699</v>
      </c>
    </row>
    <row r="775" spans="1:21" x14ac:dyDescent="0.3">
      <c r="A775" t="s">
        <v>2704</v>
      </c>
      <c r="B775" t="s">
        <v>30</v>
      </c>
      <c r="C775" t="s">
        <v>1336</v>
      </c>
      <c r="D775" s="15">
        <v>1</v>
      </c>
      <c r="E775" s="7">
        <v>178.25</v>
      </c>
      <c r="H775">
        <v>148833</v>
      </c>
      <c r="I775" t="s">
        <v>842</v>
      </c>
      <c r="J775" t="s">
        <v>2945</v>
      </c>
      <c r="K775" t="s">
        <v>3</v>
      </c>
      <c r="L775" s="2">
        <v>43221</v>
      </c>
      <c r="M775" s="2">
        <f>DHMXX[[#This Row],[INV DOC DATE]]+30</f>
        <v>43251</v>
      </c>
      <c r="N775" s="2">
        <v>43251</v>
      </c>
      <c r="O775" s="7">
        <v>178.25</v>
      </c>
      <c r="P775" s="2">
        <v>43262</v>
      </c>
      <c r="Q775" s="7">
        <f>$E775-$O775</f>
        <v>0</v>
      </c>
      <c r="R775" s="7" t="str">
        <f ca="1">IF(TODAY() - DHMXX[INV DUE DATE]&lt;30, "Less than 30 days",IF(TODAY()-DHMXX[INV DUE DATE]&lt;60,"30-60 days","More than 60 days"))</f>
        <v>30-60 days</v>
      </c>
      <c r="S775" t="s">
        <v>1550</v>
      </c>
      <c r="T775" s="43" t="s">
        <v>2229</v>
      </c>
      <c r="U775" t="s">
        <v>3699</v>
      </c>
    </row>
    <row r="776" spans="1:21" x14ac:dyDescent="0.3">
      <c r="A776" t="s">
        <v>2704</v>
      </c>
      <c r="B776" t="s">
        <v>30</v>
      </c>
      <c r="C776" t="s">
        <v>1337</v>
      </c>
      <c r="D776" s="15">
        <v>1</v>
      </c>
      <c r="E776" s="7">
        <v>178.25</v>
      </c>
      <c r="H776">
        <v>148833</v>
      </c>
      <c r="I776" t="s">
        <v>842</v>
      </c>
      <c r="J776" t="s">
        <v>2946</v>
      </c>
      <c r="K776" t="s">
        <v>3</v>
      </c>
      <c r="L776" s="2">
        <v>43221</v>
      </c>
      <c r="M776" s="2">
        <f>DHMXX[[#This Row],[INV DOC DATE]]+30</f>
        <v>43251</v>
      </c>
      <c r="N776" s="2">
        <v>43251</v>
      </c>
      <c r="O776" s="7">
        <v>178.25</v>
      </c>
      <c r="P776" s="2">
        <v>43262</v>
      </c>
      <c r="Q776" s="7">
        <f>$E776-$O776</f>
        <v>0</v>
      </c>
      <c r="R776" s="7" t="str">
        <f ca="1">IF(TODAY() - DHMXX[INV DUE DATE]&lt;30, "Less than 30 days",IF(TODAY()-DHMXX[INV DUE DATE]&lt;60,"30-60 days","More than 60 days"))</f>
        <v>30-60 days</v>
      </c>
      <c r="S776" t="s">
        <v>1550</v>
      </c>
      <c r="T776" s="43" t="s">
        <v>2229</v>
      </c>
      <c r="U776" t="s">
        <v>3699</v>
      </c>
    </row>
    <row r="777" spans="1:21" x14ac:dyDescent="0.3">
      <c r="A777" t="s">
        <v>2704</v>
      </c>
      <c r="B777" t="s">
        <v>30</v>
      </c>
      <c r="C777" t="s">
        <v>1338</v>
      </c>
      <c r="D777" s="15">
        <v>1</v>
      </c>
      <c r="E777" s="7">
        <v>178.25</v>
      </c>
      <c r="H777">
        <v>148833</v>
      </c>
      <c r="I777" t="s">
        <v>842</v>
      </c>
      <c r="J777" t="s">
        <v>2947</v>
      </c>
      <c r="K777" t="s">
        <v>3</v>
      </c>
      <c r="L777" s="2">
        <v>43221</v>
      </c>
      <c r="M777" s="2">
        <f>DHMXX[[#This Row],[INV DOC DATE]]+30</f>
        <v>43251</v>
      </c>
      <c r="N777" s="2">
        <v>43251</v>
      </c>
      <c r="O777" s="7">
        <v>178.25</v>
      </c>
      <c r="P777" s="2">
        <v>43262</v>
      </c>
      <c r="Q777" s="7">
        <f>$E777-$O777</f>
        <v>0</v>
      </c>
      <c r="R777" s="7" t="str">
        <f ca="1">IF(TODAY() - DHMXX[INV DUE DATE]&lt;30, "Less than 30 days",IF(TODAY()-DHMXX[INV DUE DATE]&lt;60,"30-60 days","More than 60 days"))</f>
        <v>30-60 days</v>
      </c>
      <c r="S777" t="s">
        <v>1550</v>
      </c>
      <c r="T777" s="43" t="s">
        <v>2229</v>
      </c>
      <c r="U777" t="s">
        <v>3699</v>
      </c>
    </row>
    <row r="778" spans="1:21" x14ac:dyDescent="0.3">
      <c r="A778" t="s">
        <v>2704</v>
      </c>
      <c r="B778" t="s">
        <v>30</v>
      </c>
      <c r="C778" t="s">
        <v>1339</v>
      </c>
      <c r="D778" s="15">
        <v>1</v>
      </c>
      <c r="E778" s="7">
        <v>178.25</v>
      </c>
      <c r="H778">
        <v>148833</v>
      </c>
      <c r="I778" t="s">
        <v>842</v>
      </c>
      <c r="J778" t="s">
        <v>2948</v>
      </c>
      <c r="K778" t="s">
        <v>3</v>
      </c>
      <c r="L778" s="2">
        <v>43221</v>
      </c>
      <c r="M778" s="2">
        <f>DHMXX[[#This Row],[INV DOC DATE]]+30</f>
        <v>43251</v>
      </c>
      <c r="N778" s="2">
        <v>43251</v>
      </c>
      <c r="O778" s="7">
        <v>178.25</v>
      </c>
      <c r="P778" s="2">
        <v>43262</v>
      </c>
      <c r="Q778" s="7">
        <f>$E778-$O778</f>
        <v>0</v>
      </c>
      <c r="R778" s="7" t="str">
        <f ca="1">IF(TODAY() - DHMXX[INV DUE DATE]&lt;30, "Less than 30 days",IF(TODAY()-DHMXX[INV DUE DATE]&lt;60,"30-60 days","More than 60 days"))</f>
        <v>30-60 days</v>
      </c>
      <c r="S778" t="s">
        <v>1550</v>
      </c>
      <c r="T778" s="43" t="s">
        <v>2229</v>
      </c>
      <c r="U778" t="s">
        <v>3699</v>
      </c>
    </row>
    <row r="779" spans="1:21" x14ac:dyDescent="0.3">
      <c r="A779" t="s">
        <v>2704</v>
      </c>
      <c r="B779" t="s">
        <v>30</v>
      </c>
      <c r="C779" t="s">
        <v>1340</v>
      </c>
      <c r="D779" s="15">
        <v>1</v>
      </c>
      <c r="E779" s="7">
        <v>178.25</v>
      </c>
      <c r="H779">
        <v>162604</v>
      </c>
      <c r="I779" t="s">
        <v>842</v>
      </c>
      <c r="J779" t="s">
        <v>2949</v>
      </c>
      <c r="K779" t="s">
        <v>3</v>
      </c>
      <c r="L779" s="2">
        <v>43221</v>
      </c>
      <c r="M779" s="2">
        <f>DHMXX[[#This Row],[INV DOC DATE]]+30</f>
        <v>43251</v>
      </c>
      <c r="N779" s="2">
        <v>43251</v>
      </c>
      <c r="O779" s="7">
        <v>178.25</v>
      </c>
      <c r="P779" s="2">
        <v>43262</v>
      </c>
      <c r="Q779" s="7">
        <f>$E779-$O779</f>
        <v>0</v>
      </c>
      <c r="R779" s="7" t="str">
        <f ca="1">IF(TODAY() - DHMXX[INV DUE DATE]&lt;30, "Less than 30 days",IF(TODAY()-DHMXX[INV DUE DATE]&lt;60,"30-60 days","More than 60 days"))</f>
        <v>30-60 days</v>
      </c>
      <c r="S779" t="s">
        <v>1550</v>
      </c>
      <c r="T779" s="43" t="s">
        <v>2229</v>
      </c>
      <c r="U779" t="s">
        <v>3699</v>
      </c>
    </row>
    <row r="780" spans="1:21" x14ac:dyDescent="0.3">
      <c r="A780" t="s">
        <v>2704</v>
      </c>
      <c r="B780" t="s">
        <v>30</v>
      </c>
      <c r="C780" t="s">
        <v>1341</v>
      </c>
      <c r="D780" s="15">
        <v>1</v>
      </c>
      <c r="E780" s="7">
        <v>178.25</v>
      </c>
      <c r="H780">
        <v>165685</v>
      </c>
      <c r="I780" t="s">
        <v>843</v>
      </c>
      <c r="J780" t="s">
        <v>2950</v>
      </c>
      <c r="K780" t="s">
        <v>3</v>
      </c>
      <c r="L780" s="2">
        <v>43221</v>
      </c>
      <c r="M780" s="2">
        <f>DHMXX[[#This Row],[INV DOC DATE]]+30</f>
        <v>43251</v>
      </c>
      <c r="N780" s="2">
        <v>43251</v>
      </c>
      <c r="O780" s="7">
        <v>178.25</v>
      </c>
      <c r="P780" s="2">
        <v>43262</v>
      </c>
      <c r="Q780" s="7">
        <f>$E780-$O780</f>
        <v>0</v>
      </c>
      <c r="R780" s="7" t="str">
        <f ca="1">IF(TODAY() - DHMXX[INV DUE DATE]&lt;30, "Less than 30 days",IF(TODAY()-DHMXX[INV DUE DATE]&lt;60,"30-60 days","More than 60 days"))</f>
        <v>30-60 days</v>
      </c>
      <c r="S780" t="s">
        <v>1550</v>
      </c>
      <c r="T780" s="43" t="s">
        <v>2229</v>
      </c>
      <c r="U780" t="s">
        <v>3699</v>
      </c>
    </row>
    <row r="781" spans="1:21" x14ac:dyDescent="0.3">
      <c r="A781" t="s">
        <v>2704</v>
      </c>
      <c r="B781" t="s">
        <v>30</v>
      </c>
      <c r="C781" t="s">
        <v>1445</v>
      </c>
      <c r="D781" s="15">
        <v>16</v>
      </c>
      <c r="E781" s="7">
        <v>178.25</v>
      </c>
      <c r="H781">
        <v>55031</v>
      </c>
      <c r="I781" t="s">
        <v>861</v>
      </c>
      <c r="J781" t="s">
        <v>3055</v>
      </c>
      <c r="K781" t="s">
        <v>3</v>
      </c>
      <c r="L781" s="2">
        <v>43221</v>
      </c>
      <c r="M781" s="2">
        <f>DHMXX[[#This Row],[INV DOC DATE]]+30</f>
        <v>43251</v>
      </c>
      <c r="N781" s="2">
        <v>43251</v>
      </c>
      <c r="O781" s="7">
        <v>178.25</v>
      </c>
      <c r="P781" s="2">
        <v>43262</v>
      </c>
      <c r="Q781" s="7">
        <f>$E781-$O781</f>
        <v>0</v>
      </c>
      <c r="R781" s="7" t="str">
        <f ca="1">IF(TODAY() - DHMXX[INV DUE DATE]&lt;30, "Less than 30 days",IF(TODAY()-DHMXX[INV DUE DATE]&lt;60,"30-60 days","More than 60 days"))</f>
        <v>30-60 days</v>
      </c>
      <c r="S781" t="s">
        <v>1550</v>
      </c>
      <c r="T781" s="43" t="s">
        <v>2229</v>
      </c>
      <c r="U781" t="s">
        <v>3699</v>
      </c>
    </row>
    <row r="782" spans="1:21" x14ac:dyDescent="0.3">
      <c r="A782" t="s">
        <v>2704</v>
      </c>
      <c r="B782" t="s">
        <v>30</v>
      </c>
      <c r="C782" t="s">
        <v>1446</v>
      </c>
      <c r="D782" s="15">
        <v>16</v>
      </c>
      <c r="E782" s="7">
        <v>178.25</v>
      </c>
      <c r="H782">
        <v>55031</v>
      </c>
      <c r="I782" t="s">
        <v>861</v>
      </c>
      <c r="J782" t="s">
        <v>3056</v>
      </c>
      <c r="K782" t="s">
        <v>3</v>
      </c>
      <c r="L782" s="2">
        <v>43221</v>
      </c>
      <c r="M782" s="2">
        <f>DHMXX[[#This Row],[INV DOC DATE]]+30</f>
        <v>43251</v>
      </c>
      <c r="N782" s="2">
        <v>43251</v>
      </c>
      <c r="O782" s="7">
        <v>178.25</v>
      </c>
      <c r="P782" s="2">
        <v>43262</v>
      </c>
      <c r="Q782" s="7">
        <f>$E782-$O782</f>
        <v>0</v>
      </c>
      <c r="R782" s="7" t="str">
        <f ca="1">IF(TODAY() - DHMXX[INV DUE DATE]&lt;30, "Less than 30 days",IF(TODAY()-DHMXX[INV DUE DATE]&lt;60,"30-60 days","More than 60 days"))</f>
        <v>30-60 days</v>
      </c>
      <c r="S782" t="s">
        <v>1550</v>
      </c>
      <c r="T782" s="43" t="s">
        <v>2229</v>
      </c>
      <c r="U782" t="s">
        <v>3699</v>
      </c>
    </row>
    <row r="783" spans="1:21" x14ac:dyDescent="0.3">
      <c r="A783" t="s">
        <v>2704</v>
      </c>
      <c r="B783" t="s">
        <v>30</v>
      </c>
      <c r="C783" t="s">
        <v>1447</v>
      </c>
      <c r="D783" s="15">
        <v>16</v>
      </c>
      <c r="E783" s="7">
        <v>178.25</v>
      </c>
      <c r="H783">
        <v>55031</v>
      </c>
      <c r="I783" t="s">
        <v>861</v>
      </c>
      <c r="J783" t="s">
        <v>3057</v>
      </c>
      <c r="K783" t="s">
        <v>3</v>
      </c>
      <c r="L783" s="2">
        <v>43221</v>
      </c>
      <c r="M783" s="2">
        <f>DHMXX[[#This Row],[INV DOC DATE]]+30</f>
        <v>43251</v>
      </c>
      <c r="N783" s="2">
        <v>43251</v>
      </c>
      <c r="O783" s="7">
        <v>178.25</v>
      </c>
      <c r="P783" s="2">
        <v>43262</v>
      </c>
      <c r="Q783" s="7">
        <f>$E783-$O783</f>
        <v>0</v>
      </c>
      <c r="R783" s="7" t="str">
        <f ca="1">IF(TODAY() - DHMXX[INV DUE DATE]&lt;30, "Less than 30 days",IF(TODAY()-DHMXX[INV DUE DATE]&lt;60,"30-60 days","More than 60 days"))</f>
        <v>30-60 days</v>
      </c>
      <c r="S783" t="s">
        <v>1550</v>
      </c>
      <c r="T783" s="43" t="s">
        <v>2229</v>
      </c>
      <c r="U783" t="s">
        <v>3699</v>
      </c>
    </row>
    <row r="784" spans="1:21" x14ac:dyDescent="0.3">
      <c r="A784" t="s">
        <v>2704</v>
      </c>
      <c r="B784" t="s">
        <v>30</v>
      </c>
      <c r="C784" t="s">
        <v>1448</v>
      </c>
      <c r="D784" s="15">
        <v>16</v>
      </c>
      <c r="E784" s="7">
        <v>178.25</v>
      </c>
      <c r="H784">
        <v>55245</v>
      </c>
      <c r="I784" t="s">
        <v>861</v>
      </c>
      <c r="J784" t="s">
        <v>3058</v>
      </c>
      <c r="K784" t="s">
        <v>3</v>
      </c>
      <c r="L784" s="2">
        <v>43221</v>
      </c>
      <c r="M784" s="2">
        <f>DHMXX[[#This Row],[INV DOC DATE]]+30</f>
        <v>43251</v>
      </c>
      <c r="N784" s="2">
        <v>43251</v>
      </c>
      <c r="O784" s="7">
        <v>178.25</v>
      </c>
      <c r="P784" s="2">
        <v>43262</v>
      </c>
      <c r="Q784" s="7">
        <f>$E784-$O784</f>
        <v>0</v>
      </c>
      <c r="R784" s="7" t="str">
        <f ca="1">IF(TODAY() - DHMXX[INV DUE DATE]&lt;30, "Less than 30 days",IF(TODAY()-DHMXX[INV DUE DATE]&lt;60,"30-60 days","More than 60 days"))</f>
        <v>30-60 days</v>
      </c>
      <c r="S784" t="s">
        <v>1550</v>
      </c>
      <c r="T784" s="43" t="s">
        <v>2229</v>
      </c>
      <c r="U784" t="s">
        <v>3699</v>
      </c>
    </row>
    <row r="785" spans="1:21" x14ac:dyDescent="0.3">
      <c r="A785" t="s">
        <v>2704</v>
      </c>
      <c r="B785" t="s">
        <v>30</v>
      </c>
      <c r="C785" t="s">
        <v>1449</v>
      </c>
      <c r="D785" s="15">
        <v>16</v>
      </c>
      <c r="E785" s="7">
        <v>178.25</v>
      </c>
      <c r="H785">
        <v>55245</v>
      </c>
      <c r="I785" t="s">
        <v>861</v>
      </c>
      <c r="J785" t="s">
        <v>3059</v>
      </c>
      <c r="K785" t="s">
        <v>3</v>
      </c>
      <c r="L785" s="2">
        <v>43221</v>
      </c>
      <c r="M785" s="2">
        <f>DHMXX[[#This Row],[INV DOC DATE]]+30</f>
        <v>43251</v>
      </c>
      <c r="N785" s="2">
        <v>43251</v>
      </c>
      <c r="O785" s="7">
        <v>178.25</v>
      </c>
      <c r="P785" s="2">
        <v>43262</v>
      </c>
      <c r="Q785" s="7">
        <f>$E785-$O785</f>
        <v>0</v>
      </c>
      <c r="R785" s="7" t="str">
        <f ca="1">IF(TODAY() - DHMXX[INV DUE DATE]&lt;30, "Less than 30 days",IF(TODAY()-DHMXX[INV DUE DATE]&lt;60,"30-60 days","More than 60 days"))</f>
        <v>30-60 days</v>
      </c>
      <c r="S785" t="s">
        <v>1550</v>
      </c>
      <c r="T785" s="43" t="s">
        <v>2229</v>
      </c>
      <c r="U785" t="s">
        <v>3699</v>
      </c>
    </row>
    <row r="786" spans="1:21" x14ac:dyDescent="0.3">
      <c r="A786" t="s">
        <v>2704</v>
      </c>
      <c r="B786" t="s">
        <v>30</v>
      </c>
      <c r="C786" t="s">
        <v>1450</v>
      </c>
      <c r="D786" s="15">
        <v>16</v>
      </c>
      <c r="E786" s="7">
        <v>178.25</v>
      </c>
      <c r="H786">
        <v>55245</v>
      </c>
      <c r="I786" t="s">
        <v>861</v>
      </c>
      <c r="J786" t="s">
        <v>3060</v>
      </c>
      <c r="K786" t="s">
        <v>3</v>
      </c>
      <c r="L786" s="2">
        <v>43221</v>
      </c>
      <c r="M786" s="2">
        <f>DHMXX[[#This Row],[INV DOC DATE]]+30</f>
        <v>43251</v>
      </c>
      <c r="N786" s="2">
        <v>43251</v>
      </c>
      <c r="O786" s="7">
        <v>178.25</v>
      </c>
      <c r="P786" s="2">
        <v>43262</v>
      </c>
      <c r="Q786" s="7">
        <f>$E786-$O786</f>
        <v>0</v>
      </c>
      <c r="R786" s="7" t="str">
        <f ca="1">IF(TODAY() - DHMXX[INV DUE DATE]&lt;30, "Less than 30 days",IF(TODAY()-DHMXX[INV DUE DATE]&lt;60,"30-60 days","More than 60 days"))</f>
        <v>30-60 days</v>
      </c>
      <c r="S786" t="s">
        <v>1550</v>
      </c>
      <c r="T786" s="43" t="s">
        <v>2229</v>
      </c>
      <c r="U786" t="s">
        <v>3699</v>
      </c>
    </row>
    <row r="787" spans="1:21" x14ac:dyDescent="0.3">
      <c r="A787" t="s">
        <v>2704</v>
      </c>
      <c r="B787" t="s">
        <v>30</v>
      </c>
      <c r="C787" t="s">
        <v>1451</v>
      </c>
      <c r="D787" s="15">
        <v>16</v>
      </c>
      <c r="E787" s="7">
        <v>178.25</v>
      </c>
      <c r="H787">
        <v>55245</v>
      </c>
      <c r="I787" t="s">
        <v>861</v>
      </c>
      <c r="J787" t="s">
        <v>3061</v>
      </c>
      <c r="K787" t="s">
        <v>3</v>
      </c>
      <c r="L787" s="2">
        <v>43221</v>
      </c>
      <c r="M787" s="2">
        <f>DHMXX[[#This Row],[INV DOC DATE]]+30</f>
        <v>43251</v>
      </c>
      <c r="N787" s="2">
        <v>43251</v>
      </c>
      <c r="O787" s="7">
        <v>178.25</v>
      </c>
      <c r="P787" s="2">
        <v>43262</v>
      </c>
      <c r="Q787" s="7">
        <f>$E787-$O787</f>
        <v>0</v>
      </c>
      <c r="R787" s="7" t="str">
        <f ca="1">IF(TODAY() - DHMXX[INV DUE DATE]&lt;30, "Less than 30 days",IF(TODAY()-DHMXX[INV DUE DATE]&lt;60,"30-60 days","More than 60 days"))</f>
        <v>30-60 days</v>
      </c>
      <c r="S787" t="s">
        <v>1550</v>
      </c>
      <c r="T787" s="43" t="s">
        <v>2229</v>
      </c>
      <c r="U787" t="s">
        <v>3699</v>
      </c>
    </row>
    <row r="788" spans="1:21" x14ac:dyDescent="0.3">
      <c r="A788" t="s">
        <v>2704</v>
      </c>
      <c r="B788" t="s">
        <v>30</v>
      </c>
      <c r="C788" t="s">
        <v>1452</v>
      </c>
      <c r="D788" s="15">
        <v>16</v>
      </c>
      <c r="E788" s="7">
        <v>178.25</v>
      </c>
      <c r="H788">
        <v>55245</v>
      </c>
      <c r="I788" t="s">
        <v>861</v>
      </c>
      <c r="J788" t="s">
        <v>3062</v>
      </c>
      <c r="K788" t="s">
        <v>3</v>
      </c>
      <c r="L788" s="2">
        <v>43221</v>
      </c>
      <c r="M788" s="2">
        <f>DHMXX[[#This Row],[INV DOC DATE]]+30</f>
        <v>43251</v>
      </c>
      <c r="N788" s="2">
        <v>43251</v>
      </c>
      <c r="O788" s="7">
        <v>178.25</v>
      </c>
      <c r="P788" s="2">
        <v>43262</v>
      </c>
      <c r="Q788" s="7">
        <f>$E788-$O788</f>
        <v>0</v>
      </c>
      <c r="R788" s="7" t="str">
        <f ca="1">IF(TODAY() - DHMXX[INV DUE DATE]&lt;30, "Less than 30 days",IF(TODAY()-DHMXX[INV DUE DATE]&lt;60,"30-60 days","More than 60 days"))</f>
        <v>30-60 days</v>
      </c>
      <c r="S788" t="s">
        <v>1550</v>
      </c>
      <c r="T788" s="43" t="s">
        <v>2229</v>
      </c>
      <c r="U788" t="s">
        <v>3699</v>
      </c>
    </row>
    <row r="789" spans="1:21" x14ac:dyDescent="0.3">
      <c r="A789" t="s">
        <v>2704</v>
      </c>
      <c r="B789" t="s">
        <v>30</v>
      </c>
      <c r="C789" t="s">
        <v>1453</v>
      </c>
      <c r="D789" s="15">
        <v>16</v>
      </c>
      <c r="E789" s="7">
        <v>178.25</v>
      </c>
      <c r="H789">
        <v>55245</v>
      </c>
      <c r="I789" t="s">
        <v>861</v>
      </c>
      <c r="J789" t="s">
        <v>3063</v>
      </c>
      <c r="K789" t="s">
        <v>3</v>
      </c>
      <c r="L789" s="2">
        <v>43221</v>
      </c>
      <c r="M789" s="2">
        <f>DHMXX[[#This Row],[INV DOC DATE]]+30</f>
        <v>43251</v>
      </c>
      <c r="N789" s="2">
        <v>43251</v>
      </c>
      <c r="O789" s="7">
        <v>178.25</v>
      </c>
      <c r="P789" s="2">
        <v>43262</v>
      </c>
      <c r="Q789" s="7">
        <f>$E789-$O789</f>
        <v>0</v>
      </c>
      <c r="R789" s="7" t="str">
        <f ca="1">IF(TODAY() - DHMXX[INV DUE DATE]&lt;30, "Less than 30 days",IF(TODAY()-DHMXX[INV DUE DATE]&lt;60,"30-60 days","More than 60 days"))</f>
        <v>30-60 days</v>
      </c>
      <c r="S789" t="s">
        <v>1550</v>
      </c>
      <c r="T789" s="43" t="s">
        <v>2229</v>
      </c>
      <c r="U789" t="s">
        <v>3699</v>
      </c>
    </row>
    <row r="790" spans="1:21" x14ac:dyDescent="0.3">
      <c r="A790" t="s">
        <v>2704</v>
      </c>
      <c r="B790" t="s">
        <v>30</v>
      </c>
      <c r="C790" t="s">
        <v>1454</v>
      </c>
      <c r="D790" s="15">
        <v>16</v>
      </c>
      <c r="E790" s="7">
        <v>178.25</v>
      </c>
      <c r="H790">
        <v>55256</v>
      </c>
      <c r="I790" t="s">
        <v>353</v>
      </c>
      <c r="J790" t="s">
        <v>3064</v>
      </c>
      <c r="K790" t="s">
        <v>3</v>
      </c>
      <c r="L790" s="2">
        <v>43221</v>
      </c>
      <c r="M790" s="2">
        <f>DHMXX[[#This Row],[INV DOC DATE]]+30</f>
        <v>43251</v>
      </c>
      <c r="N790" s="2">
        <v>43251</v>
      </c>
      <c r="O790" s="7">
        <v>178.25</v>
      </c>
      <c r="P790" s="2">
        <v>43262</v>
      </c>
      <c r="Q790" s="7">
        <f>$E790-$O790</f>
        <v>0</v>
      </c>
      <c r="R790" s="7" t="str">
        <f ca="1">IF(TODAY() - DHMXX[INV DUE DATE]&lt;30, "Less than 30 days",IF(TODAY()-DHMXX[INV DUE DATE]&lt;60,"30-60 days","More than 60 days"))</f>
        <v>30-60 days</v>
      </c>
      <c r="S790" t="s">
        <v>1550</v>
      </c>
      <c r="T790" s="43" t="s">
        <v>2229</v>
      </c>
      <c r="U790" t="s">
        <v>3699</v>
      </c>
    </row>
    <row r="791" spans="1:21" x14ac:dyDescent="0.3">
      <c r="A791" t="s">
        <v>2704</v>
      </c>
      <c r="B791" t="s">
        <v>30</v>
      </c>
      <c r="C791" t="s">
        <v>1455</v>
      </c>
      <c r="D791" s="15">
        <v>16</v>
      </c>
      <c r="E791" s="7">
        <v>178.25</v>
      </c>
      <c r="H791">
        <v>55314</v>
      </c>
      <c r="I791" t="s">
        <v>862</v>
      </c>
      <c r="J791" t="s">
        <v>3065</v>
      </c>
      <c r="K791" t="s">
        <v>3</v>
      </c>
      <c r="L791" s="2">
        <v>43221</v>
      </c>
      <c r="M791" s="2">
        <f>DHMXX[[#This Row],[INV DOC DATE]]+30</f>
        <v>43251</v>
      </c>
      <c r="N791" s="2">
        <v>43251</v>
      </c>
      <c r="O791" s="7">
        <v>178.25</v>
      </c>
      <c r="P791" s="2">
        <v>43262</v>
      </c>
      <c r="Q791" s="7">
        <f>$E791-$O791</f>
        <v>0</v>
      </c>
      <c r="R791" s="7" t="str">
        <f ca="1">IF(TODAY() - DHMXX[INV DUE DATE]&lt;30, "Less than 30 days",IF(TODAY()-DHMXX[INV DUE DATE]&lt;60,"30-60 days","More than 60 days"))</f>
        <v>30-60 days</v>
      </c>
      <c r="S791" t="s">
        <v>1550</v>
      </c>
      <c r="T791" s="43" t="s">
        <v>2229</v>
      </c>
      <c r="U791" t="s">
        <v>3699</v>
      </c>
    </row>
    <row r="792" spans="1:21" x14ac:dyDescent="0.3">
      <c r="A792" t="s">
        <v>2704</v>
      </c>
      <c r="B792" t="s">
        <v>30</v>
      </c>
      <c r="C792" t="s">
        <v>1456</v>
      </c>
      <c r="D792" s="15">
        <v>16</v>
      </c>
      <c r="E792" s="7">
        <v>178.25</v>
      </c>
      <c r="H792">
        <v>55322</v>
      </c>
      <c r="I792" t="s">
        <v>862</v>
      </c>
      <c r="J792" t="s">
        <v>3066</v>
      </c>
      <c r="K792" t="s">
        <v>3</v>
      </c>
      <c r="L792" s="2">
        <v>43221</v>
      </c>
      <c r="M792" s="2">
        <f>DHMXX[[#This Row],[INV DOC DATE]]+30</f>
        <v>43251</v>
      </c>
      <c r="N792" s="2">
        <v>43251</v>
      </c>
      <c r="O792" s="7">
        <v>178.25</v>
      </c>
      <c r="P792" s="2">
        <v>43262</v>
      </c>
      <c r="Q792" s="7">
        <f>$E792-$O792</f>
        <v>0</v>
      </c>
      <c r="R792" s="7" t="str">
        <f ca="1">IF(TODAY() - DHMXX[INV DUE DATE]&lt;30, "Less than 30 days",IF(TODAY()-DHMXX[INV DUE DATE]&lt;60,"30-60 days","More than 60 days"))</f>
        <v>30-60 days</v>
      </c>
      <c r="S792" t="s">
        <v>1550</v>
      </c>
      <c r="T792" s="43" t="s">
        <v>2229</v>
      </c>
      <c r="U792" t="s">
        <v>3699</v>
      </c>
    </row>
    <row r="793" spans="1:21" x14ac:dyDescent="0.3">
      <c r="A793" t="s">
        <v>2704</v>
      </c>
      <c r="B793" t="s">
        <v>30</v>
      </c>
      <c r="C793" t="s">
        <v>1457</v>
      </c>
      <c r="D793" s="15">
        <v>16</v>
      </c>
      <c r="E793" s="7">
        <v>178.25</v>
      </c>
      <c r="H793">
        <v>55322</v>
      </c>
      <c r="I793" t="s">
        <v>862</v>
      </c>
      <c r="J793" t="s">
        <v>3067</v>
      </c>
      <c r="K793" t="s">
        <v>3</v>
      </c>
      <c r="L793" s="2">
        <v>43221</v>
      </c>
      <c r="M793" s="2">
        <f>DHMXX[[#This Row],[INV DOC DATE]]+30</f>
        <v>43251</v>
      </c>
      <c r="N793" s="2">
        <v>43251</v>
      </c>
      <c r="O793" s="7">
        <v>178.25</v>
      </c>
      <c r="P793" s="2">
        <v>43262</v>
      </c>
      <c r="Q793" s="7">
        <f>$E793-$O793</f>
        <v>0</v>
      </c>
      <c r="R793" s="7" t="str">
        <f ca="1">IF(TODAY() - DHMXX[INV DUE DATE]&lt;30, "Less than 30 days",IF(TODAY()-DHMXX[INV DUE DATE]&lt;60,"30-60 days","More than 60 days"))</f>
        <v>30-60 days</v>
      </c>
      <c r="S793" t="s">
        <v>1550</v>
      </c>
      <c r="T793" s="43" t="s">
        <v>2229</v>
      </c>
      <c r="U793" t="s">
        <v>3699</v>
      </c>
    </row>
    <row r="794" spans="1:21" x14ac:dyDescent="0.3">
      <c r="A794" t="s">
        <v>2704</v>
      </c>
      <c r="B794" t="s">
        <v>30</v>
      </c>
      <c r="C794" t="s">
        <v>1458</v>
      </c>
      <c r="D794" s="15">
        <v>16</v>
      </c>
      <c r="E794" s="7">
        <v>178.25</v>
      </c>
      <c r="H794">
        <v>55322</v>
      </c>
      <c r="I794" t="s">
        <v>862</v>
      </c>
      <c r="J794" t="s">
        <v>3068</v>
      </c>
      <c r="K794" t="s">
        <v>3</v>
      </c>
      <c r="L794" s="2">
        <v>43221</v>
      </c>
      <c r="M794" s="2">
        <f>DHMXX[[#This Row],[INV DOC DATE]]+30</f>
        <v>43251</v>
      </c>
      <c r="N794" s="2">
        <v>43251</v>
      </c>
      <c r="O794" s="7">
        <v>178.25</v>
      </c>
      <c r="P794" s="2">
        <v>43262</v>
      </c>
      <c r="Q794" s="7">
        <f>$E794-$O794</f>
        <v>0</v>
      </c>
      <c r="R794" s="7" t="str">
        <f ca="1">IF(TODAY() - DHMXX[INV DUE DATE]&lt;30, "Less than 30 days",IF(TODAY()-DHMXX[INV DUE DATE]&lt;60,"30-60 days","More than 60 days"))</f>
        <v>30-60 days</v>
      </c>
      <c r="S794" t="s">
        <v>1550</v>
      </c>
      <c r="T794" s="43" t="s">
        <v>2229</v>
      </c>
      <c r="U794" t="s">
        <v>3699</v>
      </c>
    </row>
    <row r="795" spans="1:21" x14ac:dyDescent="0.3">
      <c r="A795" t="s">
        <v>2704</v>
      </c>
      <c r="B795" t="s">
        <v>30</v>
      </c>
      <c r="C795" t="s">
        <v>1459</v>
      </c>
      <c r="D795" s="15">
        <v>16</v>
      </c>
      <c r="E795" s="7">
        <v>178.25</v>
      </c>
      <c r="H795">
        <v>55322</v>
      </c>
      <c r="I795" t="s">
        <v>862</v>
      </c>
      <c r="J795" t="s">
        <v>3069</v>
      </c>
      <c r="K795" t="s">
        <v>3</v>
      </c>
      <c r="L795" s="2">
        <v>43221</v>
      </c>
      <c r="M795" s="2">
        <f>DHMXX[[#This Row],[INV DOC DATE]]+30</f>
        <v>43251</v>
      </c>
      <c r="N795" s="2">
        <v>43251</v>
      </c>
      <c r="O795" s="7">
        <v>178.25</v>
      </c>
      <c r="P795" s="2">
        <v>43262</v>
      </c>
      <c r="Q795" s="7">
        <f>$E795-$O795</f>
        <v>0</v>
      </c>
      <c r="R795" s="7" t="str">
        <f ca="1">IF(TODAY() - DHMXX[INV DUE DATE]&lt;30, "Less than 30 days",IF(TODAY()-DHMXX[INV DUE DATE]&lt;60,"30-60 days","More than 60 days"))</f>
        <v>30-60 days</v>
      </c>
      <c r="S795" t="s">
        <v>1550</v>
      </c>
      <c r="T795" s="43" t="s">
        <v>2229</v>
      </c>
      <c r="U795" t="s">
        <v>3699</v>
      </c>
    </row>
    <row r="796" spans="1:21" x14ac:dyDescent="0.3">
      <c r="A796" t="s">
        <v>2704</v>
      </c>
      <c r="B796" t="s">
        <v>30</v>
      </c>
      <c r="C796" t="s">
        <v>1460</v>
      </c>
      <c r="D796" s="15">
        <v>16</v>
      </c>
      <c r="E796" s="7">
        <v>178.25</v>
      </c>
      <c r="H796">
        <v>55327</v>
      </c>
      <c r="I796" t="s">
        <v>862</v>
      </c>
      <c r="J796" t="s">
        <v>3070</v>
      </c>
      <c r="K796" t="s">
        <v>3</v>
      </c>
      <c r="L796" s="2">
        <v>43221</v>
      </c>
      <c r="M796" s="2">
        <f>DHMXX[[#This Row],[INV DOC DATE]]+30</f>
        <v>43251</v>
      </c>
      <c r="N796" s="2">
        <v>43251</v>
      </c>
      <c r="O796" s="7">
        <v>178.25</v>
      </c>
      <c r="P796" s="2">
        <v>43262</v>
      </c>
      <c r="Q796" s="7">
        <f>$E796-$O796</f>
        <v>0</v>
      </c>
      <c r="R796" s="7" t="str">
        <f ca="1">IF(TODAY() - DHMXX[INV DUE DATE]&lt;30, "Less than 30 days",IF(TODAY()-DHMXX[INV DUE DATE]&lt;60,"30-60 days","More than 60 days"))</f>
        <v>30-60 days</v>
      </c>
      <c r="S796" t="s">
        <v>1550</v>
      </c>
      <c r="T796" s="43" t="s">
        <v>2229</v>
      </c>
      <c r="U796" t="s">
        <v>3699</v>
      </c>
    </row>
    <row r="797" spans="1:21" x14ac:dyDescent="0.3">
      <c r="A797" t="s">
        <v>2704</v>
      </c>
      <c r="B797" t="s">
        <v>30</v>
      </c>
      <c r="C797" t="s">
        <v>1461</v>
      </c>
      <c r="D797" s="15">
        <v>16</v>
      </c>
      <c r="E797" s="7">
        <v>178.25</v>
      </c>
      <c r="H797">
        <v>55327</v>
      </c>
      <c r="I797" t="s">
        <v>862</v>
      </c>
      <c r="J797" t="s">
        <v>3071</v>
      </c>
      <c r="K797" t="s">
        <v>3</v>
      </c>
      <c r="L797" s="2">
        <v>43221</v>
      </c>
      <c r="M797" s="2">
        <f>DHMXX[[#This Row],[INV DOC DATE]]+30</f>
        <v>43251</v>
      </c>
      <c r="N797" s="2">
        <v>43251</v>
      </c>
      <c r="O797" s="7">
        <v>178.25</v>
      </c>
      <c r="P797" s="2">
        <v>43262</v>
      </c>
      <c r="Q797" s="7">
        <f>$E797-$O797</f>
        <v>0</v>
      </c>
      <c r="R797" s="7" t="str">
        <f ca="1">IF(TODAY() - DHMXX[INV DUE DATE]&lt;30, "Less than 30 days",IF(TODAY()-DHMXX[INV DUE DATE]&lt;60,"30-60 days","More than 60 days"))</f>
        <v>30-60 days</v>
      </c>
      <c r="S797" t="s">
        <v>1550</v>
      </c>
      <c r="T797" s="43" t="s">
        <v>2229</v>
      </c>
      <c r="U797" t="s">
        <v>3699</v>
      </c>
    </row>
    <row r="798" spans="1:21" x14ac:dyDescent="0.3">
      <c r="A798" t="s">
        <v>2704</v>
      </c>
      <c r="B798" t="s">
        <v>30</v>
      </c>
      <c r="C798" t="s">
        <v>1462</v>
      </c>
      <c r="D798" s="15">
        <v>16</v>
      </c>
      <c r="E798" s="7">
        <v>178.25</v>
      </c>
      <c r="H798">
        <v>55327</v>
      </c>
      <c r="I798" t="s">
        <v>862</v>
      </c>
      <c r="J798" t="s">
        <v>3072</v>
      </c>
      <c r="K798" t="s">
        <v>3</v>
      </c>
      <c r="L798" s="2">
        <v>43221</v>
      </c>
      <c r="M798" s="2">
        <f>DHMXX[[#This Row],[INV DOC DATE]]+30</f>
        <v>43251</v>
      </c>
      <c r="N798" s="2">
        <v>43251</v>
      </c>
      <c r="O798" s="7">
        <v>178.25</v>
      </c>
      <c r="P798" s="2">
        <v>43262</v>
      </c>
      <c r="Q798" s="7">
        <f>$E798-$O798</f>
        <v>0</v>
      </c>
      <c r="R798" s="7" t="str">
        <f ca="1">IF(TODAY() - DHMXX[INV DUE DATE]&lt;30, "Less than 30 days",IF(TODAY()-DHMXX[INV DUE DATE]&lt;60,"30-60 days","More than 60 days"))</f>
        <v>30-60 days</v>
      </c>
      <c r="S798" t="s">
        <v>1550</v>
      </c>
      <c r="T798" s="43" t="s">
        <v>2229</v>
      </c>
      <c r="U798" t="s">
        <v>3699</v>
      </c>
    </row>
    <row r="799" spans="1:21" x14ac:dyDescent="0.3">
      <c r="A799" t="s">
        <v>2704</v>
      </c>
      <c r="B799" t="s">
        <v>30</v>
      </c>
      <c r="C799" t="s">
        <v>1463</v>
      </c>
      <c r="D799" s="15">
        <v>16</v>
      </c>
      <c r="E799" s="7">
        <v>178.25</v>
      </c>
      <c r="H799">
        <v>56656</v>
      </c>
      <c r="I799" t="s">
        <v>861</v>
      </c>
      <c r="J799" t="s">
        <v>3073</v>
      </c>
      <c r="K799" t="s">
        <v>3</v>
      </c>
      <c r="L799" s="2">
        <v>43221</v>
      </c>
      <c r="M799" s="2">
        <f>DHMXX[[#This Row],[INV DOC DATE]]+30</f>
        <v>43251</v>
      </c>
      <c r="N799" s="2">
        <v>43251</v>
      </c>
      <c r="O799" s="7">
        <v>178.25</v>
      </c>
      <c r="P799" s="2">
        <v>43262</v>
      </c>
      <c r="Q799" s="7">
        <f>$E799-$O799</f>
        <v>0</v>
      </c>
      <c r="R799" s="7" t="str">
        <f ca="1">IF(TODAY() - DHMXX[INV DUE DATE]&lt;30, "Less than 30 days",IF(TODAY()-DHMXX[INV DUE DATE]&lt;60,"30-60 days","More than 60 days"))</f>
        <v>30-60 days</v>
      </c>
      <c r="S799" t="s">
        <v>1550</v>
      </c>
      <c r="T799" s="43" t="s">
        <v>2229</v>
      </c>
      <c r="U799" t="s">
        <v>3699</v>
      </c>
    </row>
    <row r="800" spans="1:21" x14ac:dyDescent="0.3">
      <c r="A800" t="s">
        <v>2704</v>
      </c>
      <c r="B800" t="s">
        <v>30</v>
      </c>
      <c r="C800" t="s">
        <v>1464</v>
      </c>
      <c r="D800" s="15">
        <v>16</v>
      </c>
      <c r="E800" s="7">
        <v>178.25</v>
      </c>
      <c r="H800">
        <v>56656</v>
      </c>
      <c r="I800" t="s">
        <v>861</v>
      </c>
      <c r="J800" t="s">
        <v>3074</v>
      </c>
      <c r="K800" t="s">
        <v>3</v>
      </c>
      <c r="L800" s="2">
        <v>43221</v>
      </c>
      <c r="M800" s="2">
        <f>DHMXX[[#This Row],[INV DOC DATE]]+30</f>
        <v>43251</v>
      </c>
      <c r="N800" s="2">
        <v>43251</v>
      </c>
      <c r="O800" s="7">
        <v>178.25</v>
      </c>
      <c r="P800" s="2">
        <v>43262</v>
      </c>
      <c r="Q800" s="7">
        <f>$E800-$O800</f>
        <v>0</v>
      </c>
      <c r="R800" s="7" t="str">
        <f ca="1">IF(TODAY() - DHMXX[INV DUE DATE]&lt;30, "Less than 30 days",IF(TODAY()-DHMXX[INV DUE DATE]&lt;60,"30-60 days","More than 60 days"))</f>
        <v>30-60 days</v>
      </c>
      <c r="S800" t="s">
        <v>1550</v>
      </c>
      <c r="T800" s="43" t="s">
        <v>2229</v>
      </c>
      <c r="U800" t="s">
        <v>3699</v>
      </c>
    </row>
    <row r="801" spans="1:21" x14ac:dyDescent="0.3">
      <c r="A801" t="s">
        <v>2704</v>
      </c>
      <c r="B801" t="s">
        <v>30</v>
      </c>
      <c r="C801" t="s">
        <v>1465</v>
      </c>
      <c r="D801" s="15">
        <v>16</v>
      </c>
      <c r="E801" s="7">
        <v>178.25</v>
      </c>
      <c r="H801">
        <v>56660</v>
      </c>
      <c r="I801" t="s">
        <v>861</v>
      </c>
      <c r="J801" t="s">
        <v>3075</v>
      </c>
      <c r="K801" t="s">
        <v>3</v>
      </c>
      <c r="L801" s="2">
        <v>43221</v>
      </c>
      <c r="M801" s="2">
        <f>DHMXX[[#This Row],[INV DOC DATE]]+30</f>
        <v>43251</v>
      </c>
      <c r="N801" s="2">
        <v>43251</v>
      </c>
      <c r="O801" s="7">
        <v>178.25</v>
      </c>
      <c r="P801" s="2">
        <v>43262</v>
      </c>
      <c r="Q801" s="7">
        <f>$E801-$O801</f>
        <v>0</v>
      </c>
      <c r="R801" s="7" t="str">
        <f ca="1">IF(TODAY() - DHMXX[INV DUE DATE]&lt;30, "Less than 30 days",IF(TODAY()-DHMXX[INV DUE DATE]&lt;60,"30-60 days","More than 60 days"))</f>
        <v>30-60 days</v>
      </c>
      <c r="S801" t="s">
        <v>1550</v>
      </c>
      <c r="T801" s="43" t="s">
        <v>2229</v>
      </c>
      <c r="U801" t="s">
        <v>3699</v>
      </c>
    </row>
    <row r="802" spans="1:21" x14ac:dyDescent="0.3">
      <c r="A802" t="s">
        <v>2704</v>
      </c>
      <c r="B802" t="s">
        <v>30</v>
      </c>
      <c r="C802" t="s">
        <v>1466</v>
      </c>
      <c r="D802" s="15">
        <v>16</v>
      </c>
      <c r="E802" s="7">
        <v>178.25</v>
      </c>
      <c r="H802">
        <v>82223</v>
      </c>
      <c r="I802" t="s">
        <v>858</v>
      </c>
      <c r="J802" t="s">
        <v>3076</v>
      </c>
      <c r="K802" t="s">
        <v>3</v>
      </c>
      <c r="L802" s="2">
        <v>43221</v>
      </c>
      <c r="M802" s="2">
        <f>DHMXX[[#This Row],[INV DOC DATE]]+30</f>
        <v>43251</v>
      </c>
      <c r="N802" s="2">
        <v>43251</v>
      </c>
      <c r="O802" s="7">
        <v>178.25</v>
      </c>
      <c r="P802" s="2">
        <v>43262</v>
      </c>
      <c r="Q802" s="7">
        <f>$E802-$O802</f>
        <v>0</v>
      </c>
      <c r="R802" s="7" t="str">
        <f ca="1">IF(TODAY() - DHMXX[INV DUE DATE]&lt;30, "Less than 30 days",IF(TODAY()-DHMXX[INV DUE DATE]&lt;60,"30-60 days","More than 60 days"))</f>
        <v>30-60 days</v>
      </c>
      <c r="S802" t="s">
        <v>1550</v>
      </c>
      <c r="T802" s="43" t="s">
        <v>2229</v>
      </c>
      <c r="U802" t="s">
        <v>3699</v>
      </c>
    </row>
    <row r="803" spans="1:21" x14ac:dyDescent="0.3">
      <c r="A803" t="s">
        <v>2704</v>
      </c>
      <c r="B803" t="s">
        <v>30</v>
      </c>
      <c r="C803" t="s">
        <v>1467</v>
      </c>
      <c r="D803" s="15">
        <v>16</v>
      </c>
      <c r="E803" s="7">
        <v>178.25</v>
      </c>
      <c r="H803">
        <v>82227</v>
      </c>
      <c r="I803" t="s">
        <v>858</v>
      </c>
      <c r="J803" t="s">
        <v>3077</v>
      </c>
      <c r="K803" t="s">
        <v>3</v>
      </c>
      <c r="L803" s="2">
        <v>43221</v>
      </c>
      <c r="M803" s="2">
        <f>DHMXX[[#This Row],[INV DOC DATE]]+30</f>
        <v>43251</v>
      </c>
      <c r="N803" s="2">
        <v>43251</v>
      </c>
      <c r="O803" s="7">
        <v>178.25</v>
      </c>
      <c r="P803" s="2">
        <v>43262</v>
      </c>
      <c r="Q803" s="7">
        <f>$E803-$O803</f>
        <v>0</v>
      </c>
      <c r="R803" s="7" t="str">
        <f ca="1">IF(TODAY() - DHMXX[INV DUE DATE]&lt;30, "Less than 30 days",IF(TODAY()-DHMXX[INV DUE DATE]&lt;60,"30-60 days","More than 60 days"))</f>
        <v>30-60 days</v>
      </c>
      <c r="S803" t="s">
        <v>1550</v>
      </c>
      <c r="T803" s="43" t="s">
        <v>2229</v>
      </c>
      <c r="U803" t="s">
        <v>3699</v>
      </c>
    </row>
    <row r="804" spans="1:21" x14ac:dyDescent="0.3">
      <c r="A804" t="s">
        <v>2704</v>
      </c>
      <c r="B804" t="s">
        <v>30</v>
      </c>
      <c r="C804" t="s">
        <v>1468</v>
      </c>
      <c r="D804" s="15">
        <v>16</v>
      </c>
      <c r="E804" s="7">
        <v>178.25</v>
      </c>
      <c r="H804">
        <v>82227</v>
      </c>
      <c r="I804" t="s">
        <v>858</v>
      </c>
      <c r="J804" t="s">
        <v>3078</v>
      </c>
      <c r="K804" t="s">
        <v>3</v>
      </c>
      <c r="L804" s="2">
        <v>43221</v>
      </c>
      <c r="M804" s="2">
        <f>DHMXX[[#This Row],[INV DOC DATE]]+30</f>
        <v>43251</v>
      </c>
      <c r="N804" s="2">
        <v>43251</v>
      </c>
      <c r="O804" s="7">
        <v>178.25</v>
      </c>
      <c r="P804" s="2">
        <v>43262</v>
      </c>
      <c r="Q804" s="7">
        <f>$E804-$O804</f>
        <v>0</v>
      </c>
      <c r="R804" s="7" t="str">
        <f ca="1">IF(TODAY() - DHMXX[INV DUE DATE]&lt;30, "Less than 30 days",IF(TODAY()-DHMXX[INV DUE DATE]&lt;60,"30-60 days","More than 60 days"))</f>
        <v>30-60 days</v>
      </c>
      <c r="S804" t="s">
        <v>1550</v>
      </c>
      <c r="T804" s="43" t="s">
        <v>2229</v>
      </c>
      <c r="U804" t="s">
        <v>3699</v>
      </c>
    </row>
    <row r="805" spans="1:21" x14ac:dyDescent="0.3">
      <c r="A805" t="s">
        <v>2704</v>
      </c>
      <c r="B805" t="s">
        <v>30</v>
      </c>
      <c r="C805" t="s">
        <v>1469</v>
      </c>
      <c r="D805" s="15">
        <v>16</v>
      </c>
      <c r="E805" s="7">
        <v>178.25</v>
      </c>
      <c r="H805">
        <v>115325</v>
      </c>
      <c r="I805" t="s">
        <v>860</v>
      </c>
      <c r="J805" t="s">
        <v>3079</v>
      </c>
      <c r="K805" t="s">
        <v>3</v>
      </c>
      <c r="L805" s="2">
        <v>43221</v>
      </c>
      <c r="M805" s="2">
        <f>DHMXX[[#This Row],[INV DOC DATE]]+30</f>
        <v>43251</v>
      </c>
      <c r="N805" s="2">
        <v>43251</v>
      </c>
      <c r="O805" s="7">
        <v>178.25</v>
      </c>
      <c r="P805" s="2">
        <v>43262</v>
      </c>
      <c r="Q805" s="7">
        <f>$E805-$O805</f>
        <v>0</v>
      </c>
      <c r="R805" s="7" t="str">
        <f ca="1">IF(TODAY() - DHMXX[INV DUE DATE]&lt;30, "Less than 30 days",IF(TODAY()-DHMXX[INV DUE DATE]&lt;60,"30-60 days","More than 60 days"))</f>
        <v>30-60 days</v>
      </c>
      <c r="S805" t="s">
        <v>1550</v>
      </c>
      <c r="T805" s="43" t="s">
        <v>2229</v>
      </c>
      <c r="U805" t="s">
        <v>3699</v>
      </c>
    </row>
    <row r="806" spans="1:21" x14ac:dyDescent="0.3">
      <c r="A806" t="s">
        <v>2704</v>
      </c>
      <c r="B806" t="s">
        <v>30</v>
      </c>
      <c r="C806" t="s">
        <v>1470</v>
      </c>
      <c r="D806" s="15">
        <v>16</v>
      </c>
      <c r="E806" s="7">
        <v>178.25</v>
      </c>
      <c r="H806">
        <v>115325</v>
      </c>
      <c r="I806" t="s">
        <v>860</v>
      </c>
      <c r="J806" t="s">
        <v>3080</v>
      </c>
      <c r="K806" t="s">
        <v>3</v>
      </c>
      <c r="L806" s="2">
        <v>43221</v>
      </c>
      <c r="M806" s="2">
        <f>DHMXX[[#This Row],[INV DOC DATE]]+30</f>
        <v>43251</v>
      </c>
      <c r="N806" s="2">
        <v>43251</v>
      </c>
      <c r="O806" s="7">
        <v>178.25</v>
      </c>
      <c r="P806" s="2">
        <v>43262</v>
      </c>
      <c r="Q806" s="7">
        <f>$E806-$O806</f>
        <v>0</v>
      </c>
      <c r="R806" s="7" t="str">
        <f ca="1">IF(TODAY() - DHMXX[INV DUE DATE]&lt;30, "Less than 30 days",IF(TODAY()-DHMXX[INV DUE DATE]&lt;60,"30-60 days","More than 60 days"))</f>
        <v>30-60 days</v>
      </c>
      <c r="S806" t="s">
        <v>1550</v>
      </c>
      <c r="T806" s="43" t="s">
        <v>2229</v>
      </c>
      <c r="U806" t="s">
        <v>3699</v>
      </c>
    </row>
    <row r="807" spans="1:21" x14ac:dyDescent="0.3">
      <c r="A807" t="s">
        <v>2704</v>
      </c>
      <c r="B807" t="s">
        <v>30</v>
      </c>
      <c r="C807" t="s">
        <v>1471</v>
      </c>
      <c r="D807" s="15">
        <v>16</v>
      </c>
      <c r="E807" s="7">
        <v>178.25</v>
      </c>
      <c r="H807">
        <v>115325</v>
      </c>
      <c r="I807" t="s">
        <v>860</v>
      </c>
      <c r="J807" t="s">
        <v>3081</v>
      </c>
      <c r="K807" t="s">
        <v>3</v>
      </c>
      <c r="L807" s="2">
        <v>43221</v>
      </c>
      <c r="M807" s="2">
        <f>DHMXX[[#This Row],[INV DOC DATE]]+30</f>
        <v>43251</v>
      </c>
      <c r="N807" s="2">
        <v>43251</v>
      </c>
      <c r="O807" s="7">
        <v>178.25</v>
      </c>
      <c r="P807" s="2">
        <v>43262</v>
      </c>
      <c r="Q807" s="7">
        <f>$E807-$O807</f>
        <v>0</v>
      </c>
      <c r="R807" s="7" t="str">
        <f ca="1">IF(TODAY() - DHMXX[INV DUE DATE]&lt;30, "Less than 30 days",IF(TODAY()-DHMXX[INV DUE DATE]&lt;60,"30-60 days","More than 60 days"))</f>
        <v>30-60 days</v>
      </c>
      <c r="S807" t="s">
        <v>1550</v>
      </c>
      <c r="T807" s="43" t="s">
        <v>2229</v>
      </c>
      <c r="U807" t="s">
        <v>3699</v>
      </c>
    </row>
    <row r="808" spans="1:21" x14ac:dyDescent="0.3">
      <c r="A808" t="s">
        <v>2704</v>
      </c>
      <c r="B808" t="s">
        <v>30</v>
      </c>
      <c r="C808" t="s">
        <v>1472</v>
      </c>
      <c r="D808" s="15">
        <v>2000</v>
      </c>
      <c r="E808" s="7">
        <v>434</v>
      </c>
      <c r="H808">
        <v>36784</v>
      </c>
      <c r="I808" t="s">
        <v>865</v>
      </c>
      <c r="J808" t="s">
        <v>3082</v>
      </c>
      <c r="K808" t="s">
        <v>3</v>
      </c>
      <c r="L808" s="2">
        <v>43221</v>
      </c>
      <c r="M808" s="2">
        <f>DHMXX[[#This Row],[INV DOC DATE]]+30</f>
        <v>43251</v>
      </c>
      <c r="N808" s="2">
        <v>43251</v>
      </c>
      <c r="O808" s="7">
        <v>434</v>
      </c>
      <c r="P808" s="2">
        <v>43262</v>
      </c>
      <c r="Q808" s="7">
        <f>$E808-$O808</f>
        <v>0</v>
      </c>
      <c r="R808" s="7" t="str">
        <f ca="1">IF(TODAY() - DHMXX[INV DUE DATE]&lt;30, "Less than 30 days",IF(TODAY()-DHMXX[INV DUE DATE]&lt;60,"30-60 days","More than 60 days"))</f>
        <v>30-60 days</v>
      </c>
      <c r="S808" t="s">
        <v>1550</v>
      </c>
      <c r="T808" s="43" t="s">
        <v>2229</v>
      </c>
      <c r="U808" t="s">
        <v>3699</v>
      </c>
    </row>
    <row r="809" spans="1:21" x14ac:dyDescent="0.3">
      <c r="A809" t="s">
        <v>2704</v>
      </c>
      <c r="B809" t="s">
        <v>30</v>
      </c>
      <c r="C809" t="s">
        <v>1473</v>
      </c>
      <c r="D809" s="15">
        <v>2000</v>
      </c>
      <c r="E809" s="7">
        <v>434</v>
      </c>
      <c r="H809">
        <v>36784</v>
      </c>
      <c r="I809" t="s">
        <v>865</v>
      </c>
      <c r="J809" t="s">
        <v>3083</v>
      </c>
      <c r="K809" t="s">
        <v>3</v>
      </c>
      <c r="L809" s="2">
        <v>43221</v>
      </c>
      <c r="M809" s="2">
        <f>DHMXX[[#This Row],[INV DOC DATE]]+30</f>
        <v>43251</v>
      </c>
      <c r="N809" s="2">
        <v>43251</v>
      </c>
      <c r="O809" s="7">
        <v>434</v>
      </c>
      <c r="P809" s="2">
        <v>43262</v>
      </c>
      <c r="Q809" s="7">
        <f>$E809-$O809</f>
        <v>0</v>
      </c>
      <c r="R809" s="7" t="str">
        <f ca="1">IF(TODAY() - DHMXX[INV DUE DATE]&lt;30, "Less than 30 days",IF(TODAY()-DHMXX[INV DUE DATE]&lt;60,"30-60 days","More than 60 days"))</f>
        <v>30-60 days</v>
      </c>
      <c r="S809" t="s">
        <v>1550</v>
      </c>
      <c r="T809" s="43" t="s">
        <v>2229</v>
      </c>
      <c r="U809" t="s">
        <v>3699</v>
      </c>
    </row>
    <row r="810" spans="1:21" x14ac:dyDescent="0.3">
      <c r="A810" t="s">
        <v>2704</v>
      </c>
      <c r="B810" t="s">
        <v>30</v>
      </c>
      <c r="C810" t="s">
        <v>1474</v>
      </c>
      <c r="D810" s="15">
        <v>2000</v>
      </c>
      <c r="E810" s="7">
        <v>434</v>
      </c>
      <c r="H810">
        <v>36784</v>
      </c>
      <c r="I810" t="s">
        <v>865</v>
      </c>
      <c r="J810" t="s">
        <v>3084</v>
      </c>
      <c r="K810" t="s">
        <v>3</v>
      </c>
      <c r="L810" s="2">
        <v>43221</v>
      </c>
      <c r="M810" s="2">
        <f>DHMXX[[#This Row],[INV DOC DATE]]+30</f>
        <v>43251</v>
      </c>
      <c r="N810" s="2">
        <v>43251</v>
      </c>
      <c r="O810" s="7">
        <v>434</v>
      </c>
      <c r="P810" s="2">
        <v>43262</v>
      </c>
      <c r="Q810" s="7">
        <f>$E810-$O810</f>
        <v>0</v>
      </c>
      <c r="R810" s="7" t="str">
        <f ca="1">IF(TODAY() - DHMXX[INV DUE DATE]&lt;30, "Less than 30 days",IF(TODAY()-DHMXX[INV DUE DATE]&lt;60,"30-60 days","More than 60 days"))</f>
        <v>30-60 days</v>
      </c>
      <c r="S810" t="s">
        <v>1550</v>
      </c>
      <c r="T810" s="43" t="s">
        <v>2229</v>
      </c>
      <c r="U810" t="s">
        <v>3699</v>
      </c>
    </row>
    <row r="811" spans="1:21" x14ac:dyDescent="0.3">
      <c r="A811" t="s">
        <v>2704</v>
      </c>
      <c r="B811" t="s">
        <v>30</v>
      </c>
      <c r="C811" t="s">
        <v>1475</v>
      </c>
      <c r="D811" s="15">
        <v>2000</v>
      </c>
      <c r="E811" s="7">
        <v>178.25</v>
      </c>
      <c r="H811">
        <v>36989</v>
      </c>
      <c r="I811" t="s">
        <v>361</v>
      </c>
      <c r="J811" t="s">
        <v>3085</v>
      </c>
      <c r="K811" t="s">
        <v>3</v>
      </c>
      <c r="L811" s="2">
        <v>43221</v>
      </c>
      <c r="M811" s="2">
        <f>DHMXX[[#This Row],[INV DOC DATE]]+30</f>
        <v>43251</v>
      </c>
      <c r="N811" s="2">
        <v>43251</v>
      </c>
      <c r="O811" s="7">
        <v>178.25</v>
      </c>
      <c r="P811" s="2">
        <v>43262</v>
      </c>
      <c r="Q811" s="7">
        <f>$E811-$O811</f>
        <v>0</v>
      </c>
      <c r="R811" s="7" t="str">
        <f ca="1">IF(TODAY() - DHMXX[INV DUE DATE]&lt;30, "Less than 30 days",IF(TODAY()-DHMXX[INV DUE DATE]&lt;60,"30-60 days","More than 60 days"))</f>
        <v>30-60 days</v>
      </c>
      <c r="S811" t="s">
        <v>1550</v>
      </c>
      <c r="T811" s="43" t="s">
        <v>2229</v>
      </c>
      <c r="U811" t="s">
        <v>3699</v>
      </c>
    </row>
    <row r="812" spans="1:21" x14ac:dyDescent="0.3">
      <c r="A812" t="s">
        <v>2704</v>
      </c>
      <c r="B812" t="s">
        <v>30</v>
      </c>
      <c r="C812" t="s">
        <v>1476</v>
      </c>
      <c r="D812" s="15">
        <v>2000</v>
      </c>
      <c r="E812" s="7">
        <v>178.25</v>
      </c>
      <c r="H812">
        <v>36989</v>
      </c>
      <c r="I812" t="s">
        <v>361</v>
      </c>
      <c r="J812" t="s">
        <v>3086</v>
      </c>
      <c r="K812" t="s">
        <v>3</v>
      </c>
      <c r="L812" s="2">
        <v>43221</v>
      </c>
      <c r="M812" s="2">
        <f>DHMXX[[#This Row],[INV DOC DATE]]+30</f>
        <v>43251</v>
      </c>
      <c r="N812" s="2">
        <v>43251</v>
      </c>
      <c r="O812" s="7">
        <v>178.25</v>
      </c>
      <c r="P812" s="2">
        <v>43262</v>
      </c>
      <c r="Q812" s="7">
        <f>$E812-$O812</f>
        <v>0</v>
      </c>
      <c r="R812" s="7" t="str">
        <f ca="1">IF(TODAY() - DHMXX[INV DUE DATE]&lt;30, "Less than 30 days",IF(TODAY()-DHMXX[INV DUE DATE]&lt;60,"30-60 days","More than 60 days"))</f>
        <v>30-60 days</v>
      </c>
      <c r="S812" t="s">
        <v>1550</v>
      </c>
      <c r="T812" s="43" t="s">
        <v>2229</v>
      </c>
      <c r="U812" t="s">
        <v>3699</v>
      </c>
    </row>
    <row r="813" spans="1:21" x14ac:dyDescent="0.3">
      <c r="A813" t="s">
        <v>2704</v>
      </c>
      <c r="B813" t="s">
        <v>30</v>
      </c>
      <c r="C813" t="s">
        <v>1477</v>
      </c>
      <c r="D813" s="15">
        <v>2000</v>
      </c>
      <c r="E813" s="7">
        <v>178.25</v>
      </c>
      <c r="H813">
        <v>36992</v>
      </c>
      <c r="I813" t="s">
        <v>361</v>
      </c>
      <c r="J813" t="s">
        <v>3087</v>
      </c>
      <c r="K813" t="s">
        <v>3</v>
      </c>
      <c r="L813" s="2">
        <v>43221</v>
      </c>
      <c r="M813" s="2">
        <f>DHMXX[[#This Row],[INV DOC DATE]]+30</f>
        <v>43251</v>
      </c>
      <c r="N813" s="2">
        <v>43251</v>
      </c>
      <c r="O813" s="7">
        <v>178.25</v>
      </c>
      <c r="P813" s="2">
        <v>43262</v>
      </c>
      <c r="Q813" s="7">
        <f>$E813-$O813</f>
        <v>0</v>
      </c>
      <c r="R813" s="7" t="str">
        <f ca="1">IF(TODAY() - DHMXX[INV DUE DATE]&lt;30, "Less than 30 days",IF(TODAY()-DHMXX[INV DUE DATE]&lt;60,"30-60 days","More than 60 days"))</f>
        <v>30-60 days</v>
      </c>
      <c r="S813" t="s">
        <v>1550</v>
      </c>
      <c r="T813" s="43" t="s">
        <v>2229</v>
      </c>
      <c r="U813" t="s">
        <v>3699</v>
      </c>
    </row>
    <row r="814" spans="1:21" x14ac:dyDescent="0.3">
      <c r="A814" t="s">
        <v>2704</v>
      </c>
      <c r="B814" t="s">
        <v>30</v>
      </c>
      <c r="C814" t="s">
        <v>1478</v>
      </c>
      <c r="D814" s="15">
        <v>2000</v>
      </c>
      <c r="E814" s="7">
        <v>178.25</v>
      </c>
      <c r="H814">
        <v>36992</v>
      </c>
      <c r="I814" t="s">
        <v>361</v>
      </c>
      <c r="J814" t="s">
        <v>3088</v>
      </c>
      <c r="K814" t="s">
        <v>3</v>
      </c>
      <c r="L814" s="2">
        <v>43221</v>
      </c>
      <c r="M814" s="2">
        <f>DHMXX[[#This Row],[INV DOC DATE]]+30</f>
        <v>43251</v>
      </c>
      <c r="N814" s="2">
        <v>43251</v>
      </c>
      <c r="O814" s="7">
        <v>178.25</v>
      </c>
      <c r="P814" s="2">
        <v>43262</v>
      </c>
      <c r="Q814" s="7">
        <f>$E814-$O814</f>
        <v>0</v>
      </c>
      <c r="R814" s="7" t="str">
        <f ca="1">IF(TODAY() - DHMXX[INV DUE DATE]&lt;30, "Less than 30 days",IF(TODAY()-DHMXX[INV DUE DATE]&lt;60,"30-60 days","More than 60 days"))</f>
        <v>30-60 days</v>
      </c>
      <c r="S814" t="s">
        <v>1550</v>
      </c>
      <c r="T814" s="43" t="s">
        <v>2229</v>
      </c>
      <c r="U814" t="s">
        <v>3699</v>
      </c>
    </row>
    <row r="815" spans="1:21" x14ac:dyDescent="0.3">
      <c r="A815" t="s">
        <v>2704</v>
      </c>
      <c r="B815" t="s">
        <v>30</v>
      </c>
      <c r="C815" t="s">
        <v>1479</v>
      </c>
      <c r="D815" s="15">
        <v>2000</v>
      </c>
      <c r="E815" s="7">
        <v>178.25</v>
      </c>
      <c r="H815">
        <v>36992</v>
      </c>
      <c r="I815" t="s">
        <v>361</v>
      </c>
      <c r="J815" t="s">
        <v>3089</v>
      </c>
      <c r="K815" t="s">
        <v>3</v>
      </c>
      <c r="L815" s="2">
        <v>43221</v>
      </c>
      <c r="M815" s="2">
        <f>DHMXX[[#This Row],[INV DOC DATE]]+30</f>
        <v>43251</v>
      </c>
      <c r="N815" s="2">
        <v>43251</v>
      </c>
      <c r="O815" s="7">
        <v>178.25</v>
      </c>
      <c r="P815" s="2">
        <v>43262</v>
      </c>
      <c r="Q815" s="7">
        <f>$E815-$O815</f>
        <v>0</v>
      </c>
      <c r="R815" s="7" t="str">
        <f ca="1">IF(TODAY() - DHMXX[INV DUE DATE]&lt;30, "Less than 30 days",IF(TODAY()-DHMXX[INV DUE DATE]&lt;60,"30-60 days","More than 60 days"))</f>
        <v>30-60 days</v>
      </c>
      <c r="S815" t="s">
        <v>1550</v>
      </c>
      <c r="T815" s="43" t="s">
        <v>2229</v>
      </c>
      <c r="U815" t="s">
        <v>3699</v>
      </c>
    </row>
    <row r="816" spans="1:21" x14ac:dyDescent="0.3">
      <c r="A816" t="s">
        <v>2704</v>
      </c>
      <c r="B816" t="s">
        <v>30</v>
      </c>
      <c r="C816" t="s">
        <v>1480</v>
      </c>
      <c r="D816" s="15">
        <v>2000</v>
      </c>
      <c r="E816" s="7">
        <v>178.25</v>
      </c>
      <c r="H816">
        <v>36992</v>
      </c>
      <c r="I816" t="s">
        <v>361</v>
      </c>
      <c r="J816" t="s">
        <v>3090</v>
      </c>
      <c r="K816" t="s">
        <v>3</v>
      </c>
      <c r="L816" s="2">
        <v>43221</v>
      </c>
      <c r="M816" s="2">
        <f>DHMXX[[#This Row],[INV DOC DATE]]+30</f>
        <v>43251</v>
      </c>
      <c r="N816" s="2">
        <v>43251</v>
      </c>
      <c r="O816" s="7">
        <v>178.25</v>
      </c>
      <c r="P816" s="2">
        <v>43262</v>
      </c>
      <c r="Q816" s="7">
        <f>$E816-$O816</f>
        <v>0</v>
      </c>
      <c r="R816" s="7" t="str">
        <f ca="1">IF(TODAY() - DHMXX[INV DUE DATE]&lt;30, "Less than 30 days",IF(TODAY()-DHMXX[INV DUE DATE]&lt;60,"30-60 days","More than 60 days"))</f>
        <v>30-60 days</v>
      </c>
      <c r="S816" t="s">
        <v>1550</v>
      </c>
      <c r="T816" s="43" t="s">
        <v>2229</v>
      </c>
      <c r="U816" t="s">
        <v>3699</v>
      </c>
    </row>
    <row r="817" spans="1:21" x14ac:dyDescent="0.3">
      <c r="A817" t="s">
        <v>2704</v>
      </c>
      <c r="B817" t="s">
        <v>30</v>
      </c>
      <c r="C817" t="s">
        <v>1481</v>
      </c>
      <c r="D817" s="15">
        <v>2000</v>
      </c>
      <c r="E817" s="7">
        <v>178.25</v>
      </c>
      <c r="H817">
        <v>36992</v>
      </c>
      <c r="I817" t="s">
        <v>361</v>
      </c>
      <c r="J817" t="s">
        <v>3091</v>
      </c>
      <c r="K817" t="s">
        <v>3</v>
      </c>
      <c r="L817" s="2">
        <v>43221</v>
      </c>
      <c r="M817" s="2">
        <f>DHMXX[[#This Row],[INV DOC DATE]]+30</f>
        <v>43251</v>
      </c>
      <c r="N817" s="2">
        <v>43251</v>
      </c>
      <c r="O817" s="7">
        <v>178.25</v>
      </c>
      <c r="P817" s="2">
        <v>43262</v>
      </c>
      <c r="Q817" s="7">
        <f>$E817-$O817</f>
        <v>0</v>
      </c>
      <c r="R817" s="7" t="str">
        <f ca="1">IF(TODAY() - DHMXX[INV DUE DATE]&lt;30, "Less than 30 days",IF(TODAY()-DHMXX[INV DUE DATE]&lt;60,"30-60 days","More than 60 days"))</f>
        <v>30-60 days</v>
      </c>
      <c r="S817" t="s">
        <v>1550</v>
      </c>
      <c r="T817" s="43" t="s">
        <v>2229</v>
      </c>
      <c r="U817" t="s">
        <v>3699</v>
      </c>
    </row>
    <row r="818" spans="1:21" x14ac:dyDescent="0.3">
      <c r="A818" t="s">
        <v>2704</v>
      </c>
      <c r="B818" t="s">
        <v>30</v>
      </c>
      <c r="C818" t="s">
        <v>1482</v>
      </c>
      <c r="D818" s="15">
        <v>2000</v>
      </c>
      <c r="E818" s="7">
        <v>178.25</v>
      </c>
      <c r="H818">
        <v>36992</v>
      </c>
      <c r="I818" t="s">
        <v>361</v>
      </c>
      <c r="J818" t="s">
        <v>3092</v>
      </c>
      <c r="K818" t="s">
        <v>3</v>
      </c>
      <c r="L818" s="2">
        <v>43221</v>
      </c>
      <c r="M818" s="2">
        <f>DHMXX[[#This Row],[INV DOC DATE]]+30</f>
        <v>43251</v>
      </c>
      <c r="N818" s="2">
        <v>43251</v>
      </c>
      <c r="O818" s="7">
        <v>178.25</v>
      </c>
      <c r="P818" s="2">
        <v>43262</v>
      </c>
      <c r="Q818" s="7">
        <f>$E818-$O818</f>
        <v>0</v>
      </c>
      <c r="R818" s="7" t="str">
        <f ca="1">IF(TODAY() - DHMXX[INV DUE DATE]&lt;30, "Less than 30 days",IF(TODAY()-DHMXX[INV DUE DATE]&lt;60,"30-60 days","More than 60 days"))</f>
        <v>30-60 days</v>
      </c>
      <c r="S818" t="s">
        <v>1550</v>
      </c>
      <c r="T818" s="43" t="s">
        <v>2229</v>
      </c>
      <c r="U818" t="s">
        <v>3699</v>
      </c>
    </row>
    <row r="819" spans="1:21" x14ac:dyDescent="0.3">
      <c r="A819" t="s">
        <v>2704</v>
      </c>
      <c r="B819" t="s">
        <v>30</v>
      </c>
      <c r="C819" t="s">
        <v>1483</v>
      </c>
      <c r="D819" s="15">
        <v>2000</v>
      </c>
      <c r="E819" s="7">
        <v>178.25</v>
      </c>
      <c r="H819">
        <v>36992</v>
      </c>
      <c r="I819" t="s">
        <v>361</v>
      </c>
      <c r="J819" t="s">
        <v>3093</v>
      </c>
      <c r="K819" t="s">
        <v>3</v>
      </c>
      <c r="L819" s="2">
        <v>43221</v>
      </c>
      <c r="M819" s="2">
        <f>DHMXX[[#This Row],[INV DOC DATE]]+30</f>
        <v>43251</v>
      </c>
      <c r="N819" s="2">
        <v>43251</v>
      </c>
      <c r="O819" s="7">
        <v>178.25</v>
      </c>
      <c r="P819" s="2">
        <v>43262</v>
      </c>
      <c r="Q819" s="7">
        <f>$E819-$O819</f>
        <v>0</v>
      </c>
      <c r="R819" s="7" t="str">
        <f ca="1">IF(TODAY() - DHMXX[INV DUE DATE]&lt;30, "Less than 30 days",IF(TODAY()-DHMXX[INV DUE DATE]&lt;60,"30-60 days","More than 60 days"))</f>
        <v>30-60 days</v>
      </c>
      <c r="S819" t="s">
        <v>1550</v>
      </c>
      <c r="T819" s="43" t="s">
        <v>2229</v>
      </c>
      <c r="U819" t="s">
        <v>3699</v>
      </c>
    </row>
    <row r="820" spans="1:21" x14ac:dyDescent="0.3">
      <c r="A820" t="s">
        <v>2704</v>
      </c>
      <c r="B820" t="s">
        <v>30</v>
      </c>
      <c r="C820" t="s">
        <v>1484</v>
      </c>
      <c r="D820" s="15">
        <v>2000</v>
      </c>
      <c r="E820" s="7">
        <v>178.25</v>
      </c>
      <c r="H820">
        <v>36992</v>
      </c>
      <c r="I820" t="s">
        <v>361</v>
      </c>
      <c r="J820" t="s">
        <v>3094</v>
      </c>
      <c r="K820" t="s">
        <v>3</v>
      </c>
      <c r="L820" s="2">
        <v>43221</v>
      </c>
      <c r="M820" s="2">
        <f>DHMXX[[#This Row],[INV DOC DATE]]+30</f>
        <v>43251</v>
      </c>
      <c r="N820" s="2">
        <v>43251</v>
      </c>
      <c r="O820" s="7">
        <v>178.25</v>
      </c>
      <c r="P820" s="2">
        <v>43262</v>
      </c>
      <c r="Q820" s="7">
        <f>$E820-$O820</f>
        <v>0</v>
      </c>
      <c r="R820" s="7" t="str">
        <f ca="1">IF(TODAY() - DHMXX[INV DUE DATE]&lt;30, "Less than 30 days",IF(TODAY()-DHMXX[INV DUE DATE]&lt;60,"30-60 days","More than 60 days"))</f>
        <v>30-60 days</v>
      </c>
      <c r="S820" t="s">
        <v>1550</v>
      </c>
      <c r="T820" s="43" t="s">
        <v>2229</v>
      </c>
      <c r="U820" t="s">
        <v>3699</v>
      </c>
    </row>
    <row r="821" spans="1:21" x14ac:dyDescent="0.3">
      <c r="A821" t="s">
        <v>2704</v>
      </c>
      <c r="B821" t="s">
        <v>30</v>
      </c>
      <c r="C821" t="s">
        <v>1485</v>
      </c>
      <c r="D821" s="15">
        <v>2000</v>
      </c>
      <c r="E821" s="7">
        <v>178.25</v>
      </c>
      <c r="H821">
        <v>36992</v>
      </c>
      <c r="I821" t="s">
        <v>361</v>
      </c>
      <c r="J821" t="s">
        <v>3095</v>
      </c>
      <c r="K821" t="s">
        <v>3</v>
      </c>
      <c r="L821" s="2">
        <v>43221</v>
      </c>
      <c r="M821" s="2">
        <f>DHMXX[[#This Row],[INV DOC DATE]]+30</f>
        <v>43251</v>
      </c>
      <c r="N821" s="2">
        <v>43251</v>
      </c>
      <c r="O821" s="7">
        <v>178.25</v>
      </c>
      <c r="P821" s="2">
        <v>43262</v>
      </c>
      <c r="Q821" s="7">
        <f>$E821-$O821</f>
        <v>0</v>
      </c>
      <c r="R821" s="7" t="str">
        <f ca="1">IF(TODAY() - DHMXX[INV DUE DATE]&lt;30, "Less than 30 days",IF(TODAY()-DHMXX[INV DUE DATE]&lt;60,"30-60 days","More than 60 days"))</f>
        <v>30-60 days</v>
      </c>
      <c r="S821" t="s">
        <v>1550</v>
      </c>
      <c r="T821" s="43" t="s">
        <v>2229</v>
      </c>
      <c r="U821" t="s">
        <v>3699</v>
      </c>
    </row>
    <row r="822" spans="1:21" x14ac:dyDescent="0.3">
      <c r="A822" t="s">
        <v>2704</v>
      </c>
      <c r="B822" t="s">
        <v>30</v>
      </c>
      <c r="C822" t="s">
        <v>1486</v>
      </c>
      <c r="D822" s="15">
        <v>2000</v>
      </c>
      <c r="E822" s="7">
        <v>178.25</v>
      </c>
      <c r="H822">
        <v>36992</v>
      </c>
      <c r="I822" t="s">
        <v>361</v>
      </c>
      <c r="J822" t="s">
        <v>3096</v>
      </c>
      <c r="K822" t="s">
        <v>3</v>
      </c>
      <c r="L822" s="2">
        <v>43221</v>
      </c>
      <c r="M822" s="2">
        <f>DHMXX[[#This Row],[INV DOC DATE]]+30</f>
        <v>43251</v>
      </c>
      <c r="N822" s="2">
        <v>43251</v>
      </c>
      <c r="O822" s="7">
        <v>178.25</v>
      </c>
      <c r="P822" s="2">
        <v>43262</v>
      </c>
      <c r="Q822" s="7">
        <f>$E822-$O822</f>
        <v>0</v>
      </c>
      <c r="R822" s="7" t="str">
        <f ca="1">IF(TODAY() - DHMXX[INV DUE DATE]&lt;30, "Less than 30 days",IF(TODAY()-DHMXX[INV DUE DATE]&lt;60,"30-60 days","More than 60 days"))</f>
        <v>30-60 days</v>
      </c>
      <c r="S822" t="s">
        <v>1550</v>
      </c>
      <c r="T822" s="43" t="s">
        <v>2229</v>
      </c>
      <c r="U822" t="s">
        <v>3699</v>
      </c>
    </row>
    <row r="823" spans="1:21" x14ac:dyDescent="0.3">
      <c r="A823" t="s">
        <v>2704</v>
      </c>
      <c r="B823" t="s">
        <v>30</v>
      </c>
      <c r="C823" t="s">
        <v>1487</v>
      </c>
      <c r="D823" s="15">
        <v>2000</v>
      </c>
      <c r="E823" s="7">
        <v>178.25</v>
      </c>
      <c r="H823">
        <v>36997</v>
      </c>
      <c r="I823" t="s">
        <v>361</v>
      </c>
      <c r="J823" t="s">
        <v>3097</v>
      </c>
      <c r="K823" t="s">
        <v>3</v>
      </c>
      <c r="L823" s="2">
        <v>43221</v>
      </c>
      <c r="M823" s="2">
        <f>DHMXX[[#This Row],[INV DOC DATE]]+30</f>
        <v>43251</v>
      </c>
      <c r="N823" s="2">
        <v>43251</v>
      </c>
      <c r="O823" s="7">
        <v>178.25</v>
      </c>
      <c r="P823" s="2">
        <v>43262</v>
      </c>
      <c r="Q823" s="7">
        <f>$E823-$O823</f>
        <v>0</v>
      </c>
      <c r="R823" s="7" t="str">
        <f ca="1">IF(TODAY() - DHMXX[INV DUE DATE]&lt;30, "Less than 30 days",IF(TODAY()-DHMXX[INV DUE DATE]&lt;60,"30-60 days","More than 60 days"))</f>
        <v>30-60 days</v>
      </c>
      <c r="S823" t="s">
        <v>1550</v>
      </c>
      <c r="T823" s="43" t="s">
        <v>2229</v>
      </c>
      <c r="U823" t="s">
        <v>3699</v>
      </c>
    </row>
    <row r="824" spans="1:21" x14ac:dyDescent="0.3">
      <c r="A824" t="s">
        <v>2704</v>
      </c>
      <c r="B824" t="s">
        <v>30</v>
      </c>
      <c r="C824" t="s">
        <v>1488</v>
      </c>
      <c r="D824" s="15">
        <v>2000</v>
      </c>
      <c r="E824" s="7">
        <v>178.25</v>
      </c>
      <c r="H824">
        <v>36997</v>
      </c>
      <c r="I824" t="s">
        <v>362</v>
      </c>
      <c r="J824" t="s">
        <v>3098</v>
      </c>
      <c r="K824" t="s">
        <v>3</v>
      </c>
      <c r="L824" s="2">
        <v>43221</v>
      </c>
      <c r="M824" s="2">
        <f>DHMXX[[#This Row],[INV DOC DATE]]+30</f>
        <v>43251</v>
      </c>
      <c r="N824" s="2">
        <v>43251</v>
      </c>
      <c r="O824" s="7">
        <v>178.25</v>
      </c>
      <c r="P824" s="2">
        <v>43262</v>
      </c>
      <c r="Q824" s="7">
        <f>$E824-$O824</f>
        <v>0</v>
      </c>
      <c r="R824" s="7" t="str">
        <f ca="1">IF(TODAY() - DHMXX[INV DUE DATE]&lt;30, "Less than 30 days",IF(TODAY()-DHMXX[INV DUE DATE]&lt;60,"30-60 days","More than 60 days"))</f>
        <v>30-60 days</v>
      </c>
      <c r="S824" t="s">
        <v>1550</v>
      </c>
      <c r="T824" s="43" t="s">
        <v>2229</v>
      </c>
      <c r="U824" t="s">
        <v>3699</v>
      </c>
    </row>
    <row r="825" spans="1:21" x14ac:dyDescent="0.3">
      <c r="A825" t="s">
        <v>2704</v>
      </c>
      <c r="B825" t="s">
        <v>30</v>
      </c>
      <c r="C825" t="s">
        <v>1489</v>
      </c>
      <c r="D825" s="15">
        <v>2000</v>
      </c>
      <c r="E825" s="7">
        <v>178.25</v>
      </c>
      <c r="H825">
        <v>36997</v>
      </c>
      <c r="I825" t="s">
        <v>361</v>
      </c>
      <c r="J825" t="s">
        <v>3099</v>
      </c>
      <c r="K825" t="s">
        <v>3</v>
      </c>
      <c r="L825" s="2">
        <v>43221</v>
      </c>
      <c r="M825" s="2">
        <f>DHMXX[[#This Row],[INV DOC DATE]]+30</f>
        <v>43251</v>
      </c>
      <c r="N825" s="2">
        <v>43251</v>
      </c>
      <c r="O825" s="7">
        <v>178.25</v>
      </c>
      <c r="P825" s="2">
        <v>43262</v>
      </c>
      <c r="Q825" s="7">
        <f>$E825-$O825</f>
        <v>0</v>
      </c>
      <c r="R825" s="7" t="str">
        <f ca="1">IF(TODAY() - DHMXX[INV DUE DATE]&lt;30, "Less than 30 days",IF(TODAY()-DHMXX[INV DUE DATE]&lt;60,"30-60 days","More than 60 days"))</f>
        <v>30-60 days</v>
      </c>
      <c r="S825" t="s">
        <v>1550</v>
      </c>
      <c r="T825" s="43" t="s">
        <v>2229</v>
      </c>
      <c r="U825" t="s">
        <v>3699</v>
      </c>
    </row>
    <row r="826" spans="1:21" x14ac:dyDescent="0.3">
      <c r="A826" t="s">
        <v>2704</v>
      </c>
      <c r="B826" t="s">
        <v>30</v>
      </c>
      <c r="C826" t="s">
        <v>1490</v>
      </c>
      <c r="D826" s="15">
        <v>2000</v>
      </c>
      <c r="E826" s="7">
        <v>178.25</v>
      </c>
      <c r="H826">
        <v>36997</v>
      </c>
      <c r="I826" t="s">
        <v>361</v>
      </c>
      <c r="J826" t="s">
        <v>3100</v>
      </c>
      <c r="K826" t="s">
        <v>3</v>
      </c>
      <c r="L826" s="2">
        <v>43221</v>
      </c>
      <c r="M826" s="2">
        <f>DHMXX[[#This Row],[INV DOC DATE]]+30</f>
        <v>43251</v>
      </c>
      <c r="N826" s="2">
        <v>43251</v>
      </c>
      <c r="O826" s="7">
        <v>178.25</v>
      </c>
      <c r="P826" s="2">
        <v>43262</v>
      </c>
      <c r="Q826" s="7">
        <f>$E826-$O826</f>
        <v>0</v>
      </c>
      <c r="R826" s="7" t="str">
        <f ca="1">IF(TODAY() - DHMXX[INV DUE DATE]&lt;30, "Less than 30 days",IF(TODAY()-DHMXX[INV DUE DATE]&lt;60,"30-60 days","More than 60 days"))</f>
        <v>30-60 days</v>
      </c>
      <c r="S826" t="s">
        <v>1550</v>
      </c>
      <c r="T826" s="43" t="s">
        <v>2229</v>
      </c>
      <c r="U826" t="s">
        <v>3699</v>
      </c>
    </row>
    <row r="827" spans="1:21" x14ac:dyDescent="0.3">
      <c r="A827" t="s">
        <v>2704</v>
      </c>
      <c r="B827" t="s">
        <v>30</v>
      </c>
      <c r="C827" t="s">
        <v>1491</v>
      </c>
      <c r="D827" s="15">
        <v>2000</v>
      </c>
      <c r="E827" s="7">
        <v>178.25</v>
      </c>
      <c r="H827">
        <v>36997</v>
      </c>
      <c r="I827" t="s">
        <v>361</v>
      </c>
      <c r="J827" t="s">
        <v>3101</v>
      </c>
      <c r="K827" t="s">
        <v>3</v>
      </c>
      <c r="L827" s="2">
        <v>43221</v>
      </c>
      <c r="M827" s="2">
        <f>DHMXX[[#This Row],[INV DOC DATE]]+30</f>
        <v>43251</v>
      </c>
      <c r="N827" s="2">
        <v>43251</v>
      </c>
      <c r="O827" s="7">
        <v>178.25</v>
      </c>
      <c r="P827" s="2">
        <v>43262</v>
      </c>
      <c r="Q827" s="7">
        <f>$E827-$O827</f>
        <v>0</v>
      </c>
      <c r="R827" s="7" t="str">
        <f ca="1">IF(TODAY() - DHMXX[INV DUE DATE]&lt;30, "Less than 30 days",IF(TODAY()-DHMXX[INV DUE DATE]&lt;60,"30-60 days","More than 60 days"))</f>
        <v>30-60 days</v>
      </c>
      <c r="S827" t="s">
        <v>1550</v>
      </c>
      <c r="T827" s="43" t="s">
        <v>2229</v>
      </c>
      <c r="U827" t="s">
        <v>3699</v>
      </c>
    </row>
    <row r="828" spans="1:21" x14ac:dyDescent="0.3">
      <c r="A828" t="s">
        <v>2704</v>
      </c>
      <c r="B828" t="s">
        <v>30</v>
      </c>
      <c r="C828" t="s">
        <v>1492</v>
      </c>
      <c r="D828" s="15">
        <v>2000</v>
      </c>
      <c r="E828" s="7">
        <v>178.25</v>
      </c>
      <c r="H828">
        <v>36997</v>
      </c>
      <c r="I828" t="s">
        <v>362</v>
      </c>
      <c r="J828" t="s">
        <v>3102</v>
      </c>
      <c r="K828" t="s">
        <v>3</v>
      </c>
      <c r="L828" s="2">
        <v>43221</v>
      </c>
      <c r="M828" s="2">
        <f>DHMXX[[#This Row],[INV DOC DATE]]+30</f>
        <v>43251</v>
      </c>
      <c r="N828" s="2">
        <v>43251</v>
      </c>
      <c r="O828" s="7">
        <v>178.25</v>
      </c>
      <c r="P828" s="2">
        <v>43262</v>
      </c>
      <c r="Q828" s="7">
        <f>$E828-$O828</f>
        <v>0</v>
      </c>
      <c r="R828" s="7" t="str">
        <f ca="1">IF(TODAY() - DHMXX[INV DUE DATE]&lt;30, "Less than 30 days",IF(TODAY()-DHMXX[INV DUE DATE]&lt;60,"30-60 days","More than 60 days"))</f>
        <v>30-60 days</v>
      </c>
      <c r="S828" t="s">
        <v>1550</v>
      </c>
      <c r="T828" s="43" t="s">
        <v>2229</v>
      </c>
      <c r="U828" t="s">
        <v>3699</v>
      </c>
    </row>
    <row r="829" spans="1:21" x14ac:dyDescent="0.3">
      <c r="A829" t="s">
        <v>2704</v>
      </c>
      <c r="B829" t="s">
        <v>30</v>
      </c>
      <c r="C829" t="s">
        <v>1493</v>
      </c>
      <c r="D829" s="15">
        <v>2000</v>
      </c>
      <c r="E829" s="7">
        <v>178.25</v>
      </c>
      <c r="H829">
        <v>36997</v>
      </c>
      <c r="I829" t="s">
        <v>361</v>
      </c>
      <c r="J829" t="s">
        <v>3103</v>
      </c>
      <c r="K829" t="s">
        <v>3</v>
      </c>
      <c r="L829" s="2">
        <v>43221</v>
      </c>
      <c r="M829" s="2">
        <f>DHMXX[[#This Row],[INV DOC DATE]]+30</f>
        <v>43251</v>
      </c>
      <c r="N829" s="2">
        <v>43251</v>
      </c>
      <c r="O829" s="7">
        <v>178.25</v>
      </c>
      <c r="P829" s="2">
        <v>43262</v>
      </c>
      <c r="Q829" s="7">
        <f>$E829-$O829</f>
        <v>0</v>
      </c>
      <c r="R829" s="7" t="str">
        <f ca="1">IF(TODAY() - DHMXX[INV DUE DATE]&lt;30, "Less than 30 days",IF(TODAY()-DHMXX[INV DUE DATE]&lt;60,"30-60 days","More than 60 days"))</f>
        <v>30-60 days</v>
      </c>
      <c r="S829" t="s">
        <v>1550</v>
      </c>
      <c r="T829" s="43" t="s">
        <v>2229</v>
      </c>
      <c r="U829" t="s">
        <v>3699</v>
      </c>
    </row>
    <row r="830" spans="1:21" x14ac:dyDescent="0.3">
      <c r="A830" t="s">
        <v>2704</v>
      </c>
      <c r="B830" t="s">
        <v>30</v>
      </c>
      <c r="C830" t="s">
        <v>1494</v>
      </c>
      <c r="D830" s="15">
        <v>2000</v>
      </c>
      <c r="E830" s="7">
        <v>178.25</v>
      </c>
      <c r="H830">
        <v>36997</v>
      </c>
      <c r="I830" t="s">
        <v>361</v>
      </c>
      <c r="J830" t="s">
        <v>3104</v>
      </c>
      <c r="K830" t="s">
        <v>3</v>
      </c>
      <c r="L830" s="2">
        <v>43221</v>
      </c>
      <c r="M830" s="2">
        <f>DHMXX[[#This Row],[INV DOC DATE]]+30</f>
        <v>43251</v>
      </c>
      <c r="N830" s="2">
        <v>43251</v>
      </c>
      <c r="O830" s="7">
        <v>178.25</v>
      </c>
      <c r="P830" s="2">
        <v>43262</v>
      </c>
      <c r="Q830" s="7">
        <f>$E830-$O830</f>
        <v>0</v>
      </c>
      <c r="R830" s="7" t="str">
        <f ca="1">IF(TODAY() - DHMXX[INV DUE DATE]&lt;30, "Less than 30 days",IF(TODAY()-DHMXX[INV DUE DATE]&lt;60,"30-60 days","More than 60 days"))</f>
        <v>30-60 days</v>
      </c>
      <c r="S830" t="s">
        <v>1550</v>
      </c>
      <c r="T830" s="43" t="s">
        <v>2229</v>
      </c>
      <c r="U830" t="s">
        <v>3699</v>
      </c>
    </row>
    <row r="831" spans="1:21" x14ac:dyDescent="0.3">
      <c r="A831" t="s">
        <v>2704</v>
      </c>
      <c r="B831" t="s">
        <v>30</v>
      </c>
      <c r="C831" t="s">
        <v>1495</v>
      </c>
      <c r="D831" s="15">
        <v>2000</v>
      </c>
      <c r="E831" s="7">
        <v>178.25</v>
      </c>
      <c r="H831">
        <v>36997</v>
      </c>
      <c r="I831" t="s">
        <v>362</v>
      </c>
      <c r="J831" t="s">
        <v>3105</v>
      </c>
      <c r="K831" t="s">
        <v>3</v>
      </c>
      <c r="L831" s="2">
        <v>43221</v>
      </c>
      <c r="M831" s="2">
        <f>DHMXX[[#This Row],[INV DOC DATE]]+30</f>
        <v>43251</v>
      </c>
      <c r="N831" s="2">
        <v>43251</v>
      </c>
      <c r="O831" s="7">
        <v>178.25</v>
      </c>
      <c r="P831" s="2">
        <v>43262</v>
      </c>
      <c r="Q831" s="7">
        <f>$E831-$O831</f>
        <v>0</v>
      </c>
      <c r="R831" s="7" t="str">
        <f ca="1">IF(TODAY() - DHMXX[INV DUE DATE]&lt;30, "Less than 30 days",IF(TODAY()-DHMXX[INV DUE DATE]&lt;60,"30-60 days","More than 60 days"))</f>
        <v>30-60 days</v>
      </c>
      <c r="S831" t="s">
        <v>1550</v>
      </c>
      <c r="T831" s="43" t="s">
        <v>2229</v>
      </c>
      <c r="U831" t="s">
        <v>3699</v>
      </c>
    </row>
    <row r="832" spans="1:21" x14ac:dyDescent="0.3">
      <c r="A832" t="s">
        <v>2704</v>
      </c>
      <c r="B832" t="s">
        <v>30</v>
      </c>
      <c r="C832" t="s">
        <v>1496</v>
      </c>
      <c r="D832" s="15">
        <v>2000</v>
      </c>
      <c r="E832" s="7">
        <v>178.25</v>
      </c>
      <c r="H832">
        <v>36997</v>
      </c>
      <c r="I832" t="s">
        <v>362</v>
      </c>
      <c r="J832" t="s">
        <v>3106</v>
      </c>
      <c r="K832" t="s">
        <v>3</v>
      </c>
      <c r="L832" s="2">
        <v>43221</v>
      </c>
      <c r="M832" s="2">
        <f>DHMXX[[#This Row],[INV DOC DATE]]+30</f>
        <v>43251</v>
      </c>
      <c r="N832" s="2">
        <v>43251</v>
      </c>
      <c r="O832" s="7">
        <v>178.25</v>
      </c>
      <c r="P832" s="2">
        <v>43262</v>
      </c>
      <c r="Q832" s="7">
        <f>$E832-$O832</f>
        <v>0</v>
      </c>
      <c r="R832" s="7" t="str">
        <f ca="1">IF(TODAY() - DHMXX[INV DUE DATE]&lt;30, "Less than 30 days",IF(TODAY()-DHMXX[INV DUE DATE]&lt;60,"30-60 days","More than 60 days"))</f>
        <v>30-60 days</v>
      </c>
      <c r="S832" t="s">
        <v>1550</v>
      </c>
      <c r="T832" s="43" t="s">
        <v>2229</v>
      </c>
      <c r="U832" t="s">
        <v>3699</v>
      </c>
    </row>
    <row r="833" spans="1:21" x14ac:dyDescent="0.3">
      <c r="A833" t="s">
        <v>2704</v>
      </c>
      <c r="B833" t="s">
        <v>30</v>
      </c>
      <c r="C833" t="s">
        <v>1497</v>
      </c>
      <c r="D833" s="15">
        <v>2000</v>
      </c>
      <c r="E833" s="7">
        <v>178.25</v>
      </c>
      <c r="H833">
        <v>36997</v>
      </c>
      <c r="I833" t="s">
        <v>362</v>
      </c>
      <c r="J833" t="s">
        <v>3107</v>
      </c>
      <c r="K833" t="s">
        <v>3</v>
      </c>
      <c r="L833" s="2">
        <v>43221</v>
      </c>
      <c r="M833" s="2">
        <f>DHMXX[[#This Row],[INV DOC DATE]]+30</f>
        <v>43251</v>
      </c>
      <c r="N833" s="2">
        <v>43251</v>
      </c>
      <c r="O833" s="7">
        <v>178.25</v>
      </c>
      <c r="P833" s="2">
        <v>43262</v>
      </c>
      <c r="Q833" s="7">
        <f>$E833-$O833</f>
        <v>0</v>
      </c>
      <c r="R833" s="7" t="str">
        <f ca="1">IF(TODAY() - DHMXX[INV DUE DATE]&lt;30, "Less than 30 days",IF(TODAY()-DHMXX[INV DUE DATE]&lt;60,"30-60 days","More than 60 days"))</f>
        <v>30-60 days</v>
      </c>
      <c r="S833" t="s">
        <v>1550</v>
      </c>
      <c r="T833" s="43" t="s">
        <v>2229</v>
      </c>
      <c r="U833" t="s">
        <v>3699</v>
      </c>
    </row>
    <row r="834" spans="1:21" x14ac:dyDescent="0.3">
      <c r="A834" t="s">
        <v>2704</v>
      </c>
      <c r="B834" t="s">
        <v>30</v>
      </c>
      <c r="C834" t="s">
        <v>1498</v>
      </c>
      <c r="D834" s="15">
        <v>2000</v>
      </c>
      <c r="E834" s="7">
        <v>178.25</v>
      </c>
      <c r="H834">
        <v>36997</v>
      </c>
      <c r="I834" t="s">
        <v>362</v>
      </c>
      <c r="J834" t="s">
        <v>3108</v>
      </c>
      <c r="K834" t="s">
        <v>3</v>
      </c>
      <c r="L834" s="2">
        <v>43221</v>
      </c>
      <c r="M834" s="2">
        <f>DHMXX[[#This Row],[INV DOC DATE]]+30</f>
        <v>43251</v>
      </c>
      <c r="N834" s="2">
        <v>43251</v>
      </c>
      <c r="O834" s="7">
        <v>178.25</v>
      </c>
      <c r="P834" s="2">
        <v>43262</v>
      </c>
      <c r="Q834" s="7">
        <f>$E834-$O834</f>
        <v>0</v>
      </c>
      <c r="R834" s="7" t="str">
        <f ca="1">IF(TODAY() - DHMXX[INV DUE DATE]&lt;30, "Less than 30 days",IF(TODAY()-DHMXX[INV DUE DATE]&lt;60,"30-60 days","More than 60 days"))</f>
        <v>30-60 days</v>
      </c>
      <c r="S834" t="s">
        <v>1550</v>
      </c>
      <c r="T834" s="43" t="s">
        <v>2229</v>
      </c>
      <c r="U834" t="s">
        <v>3699</v>
      </c>
    </row>
    <row r="835" spans="1:21" x14ac:dyDescent="0.3">
      <c r="A835" t="s">
        <v>2704</v>
      </c>
      <c r="B835" t="s">
        <v>30</v>
      </c>
      <c r="C835" t="s">
        <v>1499</v>
      </c>
      <c r="D835" s="15">
        <v>2000</v>
      </c>
      <c r="E835" s="7">
        <v>178.25</v>
      </c>
      <c r="H835">
        <v>36997</v>
      </c>
      <c r="I835" t="s">
        <v>362</v>
      </c>
      <c r="J835" t="s">
        <v>3109</v>
      </c>
      <c r="K835" t="s">
        <v>3</v>
      </c>
      <c r="L835" s="2">
        <v>43221</v>
      </c>
      <c r="M835" s="2">
        <f>DHMXX[[#This Row],[INV DOC DATE]]+30</f>
        <v>43251</v>
      </c>
      <c r="N835" s="2">
        <v>43251</v>
      </c>
      <c r="O835" s="7">
        <v>178.25</v>
      </c>
      <c r="P835" s="2">
        <v>43262</v>
      </c>
      <c r="Q835" s="7">
        <f>$E835-$O835</f>
        <v>0</v>
      </c>
      <c r="R835" s="7" t="str">
        <f ca="1">IF(TODAY() - DHMXX[INV DUE DATE]&lt;30, "Less than 30 days",IF(TODAY()-DHMXX[INV DUE DATE]&lt;60,"30-60 days","More than 60 days"))</f>
        <v>30-60 days</v>
      </c>
      <c r="S835" t="s">
        <v>1550</v>
      </c>
      <c r="T835" s="43" t="s">
        <v>2229</v>
      </c>
      <c r="U835" t="s">
        <v>3699</v>
      </c>
    </row>
    <row r="836" spans="1:21" x14ac:dyDescent="0.3">
      <c r="A836" t="s">
        <v>2704</v>
      </c>
      <c r="B836" t="s">
        <v>30</v>
      </c>
      <c r="C836" t="s">
        <v>1500</v>
      </c>
      <c r="D836" s="15">
        <v>2000</v>
      </c>
      <c r="E836" s="7">
        <v>178.25</v>
      </c>
      <c r="H836">
        <v>36997</v>
      </c>
      <c r="I836" t="s">
        <v>362</v>
      </c>
      <c r="J836" t="s">
        <v>3110</v>
      </c>
      <c r="K836" t="s">
        <v>3</v>
      </c>
      <c r="L836" s="2">
        <v>43221</v>
      </c>
      <c r="M836" s="2">
        <f>DHMXX[[#This Row],[INV DOC DATE]]+30</f>
        <v>43251</v>
      </c>
      <c r="N836" s="2">
        <v>43251</v>
      </c>
      <c r="O836" s="7">
        <v>178.25</v>
      </c>
      <c r="P836" s="2">
        <v>43262</v>
      </c>
      <c r="Q836" s="7">
        <f>$E836-$O836</f>
        <v>0</v>
      </c>
      <c r="R836" s="7" t="str">
        <f ca="1">IF(TODAY() - DHMXX[INV DUE DATE]&lt;30, "Less than 30 days",IF(TODAY()-DHMXX[INV DUE DATE]&lt;60,"30-60 days","More than 60 days"))</f>
        <v>30-60 days</v>
      </c>
      <c r="S836" t="s">
        <v>1550</v>
      </c>
      <c r="T836" s="43" t="s">
        <v>2229</v>
      </c>
      <c r="U836" t="s">
        <v>3699</v>
      </c>
    </row>
    <row r="837" spans="1:21" x14ac:dyDescent="0.3">
      <c r="A837" t="s">
        <v>2704</v>
      </c>
      <c r="B837" t="s">
        <v>30</v>
      </c>
      <c r="C837" t="s">
        <v>1501</v>
      </c>
      <c r="D837" s="15">
        <v>2000</v>
      </c>
      <c r="E837" s="7">
        <v>178.25</v>
      </c>
      <c r="H837">
        <v>37463</v>
      </c>
      <c r="I837" t="s">
        <v>866</v>
      </c>
      <c r="J837" t="s">
        <v>3111</v>
      </c>
      <c r="K837" t="s">
        <v>3</v>
      </c>
      <c r="L837" s="2">
        <v>43221</v>
      </c>
      <c r="M837" s="2">
        <f>DHMXX[[#This Row],[INV DOC DATE]]+30</f>
        <v>43251</v>
      </c>
      <c r="N837" s="2">
        <v>43251</v>
      </c>
      <c r="O837" s="7">
        <v>178.25</v>
      </c>
      <c r="P837" s="2">
        <v>43262</v>
      </c>
      <c r="Q837" s="7">
        <f>$E837-$O837</f>
        <v>0</v>
      </c>
      <c r="R837" s="7" t="str">
        <f ca="1">IF(TODAY() - DHMXX[INV DUE DATE]&lt;30, "Less than 30 days",IF(TODAY()-DHMXX[INV DUE DATE]&lt;60,"30-60 days","More than 60 days"))</f>
        <v>30-60 days</v>
      </c>
      <c r="S837" t="s">
        <v>1550</v>
      </c>
      <c r="T837" s="43" t="s">
        <v>2229</v>
      </c>
      <c r="U837" t="s">
        <v>3699</v>
      </c>
    </row>
    <row r="838" spans="1:21" x14ac:dyDescent="0.3">
      <c r="A838" t="s">
        <v>2704</v>
      </c>
      <c r="B838" t="s">
        <v>30</v>
      </c>
      <c r="C838" t="s">
        <v>1502</v>
      </c>
      <c r="D838" s="15">
        <v>2000</v>
      </c>
      <c r="E838" s="7">
        <v>178.25</v>
      </c>
      <c r="H838">
        <v>37463</v>
      </c>
      <c r="I838" t="s">
        <v>866</v>
      </c>
      <c r="J838" t="s">
        <v>3112</v>
      </c>
      <c r="K838" t="s">
        <v>3</v>
      </c>
      <c r="L838" s="2">
        <v>43221</v>
      </c>
      <c r="M838" s="2">
        <f>DHMXX[[#This Row],[INV DOC DATE]]+30</f>
        <v>43251</v>
      </c>
      <c r="N838" s="2">
        <v>43251</v>
      </c>
      <c r="O838" s="7">
        <v>178.25</v>
      </c>
      <c r="P838" s="2">
        <v>43262</v>
      </c>
      <c r="Q838" s="7">
        <f>$E838-$O838</f>
        <v>0</v>
      </c>
      <c r="R838" s="7" t="str">
        <f ca="1">IF(TODAY() - DHMXX[INV DUE DATE]&lt;30, "Less than 30 days",IF(TODAY()-DHMXX[INV DUE DATE]&lt;60,"30-60 days","More than 60 days"))</f>
        <v>30-60 days</v>
      </c>
      <c r="S838" t="s">
        <v>1550</v>
      </c>
      <c r="T838" s="43" t="s">
        <v>2229</v>
      </c>
      <c r="U838" t="s">
        <v>3699</v>
      </c>
    </row>
    <row r="839" spans="1:21" x14ac:dyDescent="0.3">
      <c r="A839" t="s">
        <v>2704</v>
      </c>
      <c r="B839" t="s">
        <v>30</v>
      </c>
      <c r="C839" t="s">
        <v>1503</v>
      </c>
      <c r="D839" s="15">
        <v>2000</v>
      </c>
      <c r="E839" s="7">
        <v>178.25</v>
      </c>
      <c r="H839">
        <v>37463</v>
      </c>
      <c r="I839" t="s">
        <v>866</v>
      </c>
      <c r="J839" t="s">
        <v>3113</v>
      </c>
      <c r="K839" t="s">
        <v>3</v>
      </c>
      <c r="L839" s="2">
        <v>43221</v>
      </c>
      <c r="M839" s="2">
        <f>DHMXX[[#This Row],[INV DOC DATE]]+30</f>
        <v>43251</v>
      </c>
      <c r="N839" s="2">
        <v>43251</v>
      </c>
      <c r="O839" s="7">
        <v>178.25</v>
      </c>
      <c r="P839" s="2">
        <v>43262</v>
      </c>
      <c r="Q839" s="7">
        <f>$E839-$O839</f>
        <v>0</v>
      </c>
      <c r="R839" s="7" t="str">
        <f ca="1">IF(TODAY() - DHMXX[INV DUE DATE]&lt;30, "Less than 30 days",IF(TODAY()-DHMXX[INV DUE DATE]&lt;60,"30-60 days","More than 60 days"))</f>
        <v>30-60 days</v>
      </c>
      <c r="S839" t="s">
        <v>1550</v>
      </c>
      <c r="T839" s="43" t="s">
        <v>2229</v>
      </c>
      <c r="U839" t="s">
        <v>3699</v>
      </c>
    </row>
    <row r="840" spans="1:21" x14ac:dyDescent="0.3">
      <c r="A840" t="s">
        <v>2704</v>
      </c>
      <c r="B840" t="s">
        <v>30</v>
      </c>
      <c r="C840" t="s">
        <v>1504</v>
      </c>
      <c r="D840" s="15">
        <v>2000</v>
      </c>
      <c r="E840" s="7">
        <v>178.25</v>
      </c>
      <c r="H840">
        <v>37463</v>
      </c>
      <c r="I840" t="s">
        <v>866</v>
      </c>
      <c r="J840" t="s">
        <v>3114</v>
      </c>
      <c r="K840" t="s">
        <v>3</v>
      </c>
      <c r="L840" s="2">
        <v>43221</v>
      </c>
      <c r="M840" s="2">
        <f>DHMXX[[#This Row],[INV DOC DATE]]+30</f>
        <v>43251</v>
      </c>
      <c r="N840" s="2">
        <v>43251</v>
      </c>
      <c r="O840" s="7">
        <v>178.25</v>
      </c>
      <c r="P840" s="2">
        <v>43262</v>
      </c>
      <c r="Q840" s="7">
        <f>$E840-$O840</f>
        <v>0</v>
      </c>
      <c r="R840" s="7" t="str">
        <f ca="1">IF(TODAY() - DHMXX[INV DUE DATE]&lt;30, "Less than 30 days",IF(TODAY()-DHMXX[INV DUE DATE]&lt;60,"30-60 days","More than 60 days"))</f>
        <v>30-60 days</v>
      </c>
      <c r="S840" t="s">
        <v>1550</v>
      </c>
      <c r="T840" s="43" t="s">
        <v>2229</v>
      </c>
      <c r="U840" t="s">
        <v>3699</v>
      </c>
    </row>
    <row r="841" spans="1:21" x14ac:dyDescent="0.3">
      <c r="A841" t="s">
        <v>2704</v>
      </c>
      <c r="B841" t="s">
        <v>30</v>
      </c>
      <c r="C841" t="s">
        <v>1505</v>
      </c>
      <c r="D841" s="15">
        <v>2000</v>
      </c>
      <c r="E841" s="7">
        <v>178.25</v>
      </c>
      <c r="H841">
        <v>37463</v>
      </c>
      <c r="I841" t="s">
        <v>866</v>
      </c>
      <c r="J841" t="s">
        <v>3115</v>
      </c>
      <c r="K841" t="s">
        <v>3</v>
      </c>
      <c r="L841" s="2">
        <v>43221</v>
      </c>
      <c r="M841" s="2">
        <f>DHMXX[[#This Row],[INV DOC DATE]]+30</f>
        <v>43251</v>
      </c>
      <c r="N841" s="2">
        <v>43251</v>
      </c>
      <c r="O841" s="7">
        <v>178.25</v>
      </c>
      <c r="P841" s="2">
        <v>43262</v>
      </c>
      <c r="Q841" s="7">
        <f>$E841-$O841</f>
        <v>0</v>
      </c>
      <c r="R841" s="7" t="str">
        <f ca="1">IF(TODAY() - DHMXX[INV DUE DATE]&lt;30, "Less than 30 days",IF(TODAY()-DHMXX[INV DUE DATE]&lt;60,"30-60 days","More than 60 days"))</f>
        <v>30-60 days</v>
      </c>
      <c r="S841" t="s">
        <v>1550</v>
      </c>
      <c r="T841" s="43" t="s">
        <v>2229</v>
      </c>
      <c r="U841" t="s">
        <v>3699</v>
      </c>
    </row>
    <row r="842" spans="1:21" x14ac:dyDescent="0.3">
      <c r="A842" t="s">
        <v>2704</v>
      </c>
      <c r="B842" t="s">
        <v>30</v>
      </c>
      <c r="C842" t="s">
        <v>1506</v>
      </c>
      <c r="D842" s="15">
        <v>2000</v>
      </c>
      <c r="E842" s="7">
        <v>178.25</v>
      </c>
      <c r="H842">
        <v>37463</v>
      </c>
      <c r="I842" t="s">
        <v>866</v>
      </c>
      <c r="J842" t="s">
        <v>3116</v>
      </c>
      <c r="K842" t="s">
        <v>3</v>
      </c>
      <c r="L842" s="2">
        <v>43221</v>
      </c>
      <c r="M842" s="2">
        <f>DHMXX[[#This Row],[INV DOC DATE]]+30</f>
        <v>43251</v>
      </c>
      <c r="N842" s="2">
        <v>43251</v>
      </c>
      <c r="O842" s="7">
        <v>178.25</v>
      </c>
      <c r="P842" s="2">
        <v>43262</v>
      </c>
      <c r="Q842" s="7">
        <f>$E842-$O842</f>
        <v>0</v>
      </c>
      <c r="R842" s="7" t="str">
        <f ca="1">IF(TODAY() - DHMXX[INV DUE DATE]&lt;30, "Less than 30 days",IF(TODAY()-DHMXX[INV DUE DATE]&lt;60,"30-60 days","More than 60 days"))</f>
        <v>30-60 days</v>
      </c>
      <c r="S842" t="s">
        <v>1550</v>
      </c>
      <c r="T842" s="43" t="s">
        <v>2229</v>
      </c>
      <c r="U842" t="s">
        <v>3699</v>
      </c>
    </row>
    <row r="843" spans="1:21" x14ac:dyDescent="0.3">
      <c r="A843" t="s">
        <v>2704</v>
      </c>
      <c r="B843" t="s">
        <v>30</v>
      </c>
      <c r="C843" t="s">
        <v>1507</v>
      </c>
      <c r="D843" s="15">
        <v>2000</v>
      </c>
      <c r="E843" s="7">
        <v>178.25</v>
      </c>
      <c r="H843">
        <v>37463</v>
      </c>
      <c r="I843" t="s">
        <v>866</v>
      </c>
      <c r="J843" t="s">
        <v>3117</v>
      </c>
      <c r="K843" t="s">
        <v>3</v>
      </c>
      <c r="L843" s="2">
        <v>43221</v>
      </c>
      <c r="M843" s="2">
        <f>DHMXX[[#This Row],[INV DOC DATE]]+30</f>
        <v>43251</v>
      </c>
      <c r="N843" s="2">
        <v>43251</v>
      </c>
      <c r="O843" s="7">
        <v>178.25</v>
      </c>
      <c r="P843" s="2">
        <v>43262</v>
      </c>
      <c r="Q843" s="7">
        <f>$E843-$O843</f>
        <v>0</v>
      </c>
      <c r="R843" s="7" t="str">
        <f ca="1">IF(TODAY() - DHMXX[INV DUE DATE]&lt;30, "Less than 30 days",IF(TODAY()-DHMXX[INV DUE DATE]&lt;60,"30-60 days","More than 60 days"))</f>
        <v>30-60 days</v>
      </c>
      <c r="S843" t="s">
        <v>1550</v>
      </c>
      <c r="T843" s="43" t="s">
        <v>2229</v>
      </c>
      <c r="U843" t="s">
        <v>3699</v>
      </c>
    </row>
    <row r="844" spans="1:21" x14ac:dyDescent="0.3">
      <c r="A844" t="s">
        <v>2704</v>
      </c>
      <c r="B844" t="s">
        <v>30</v>
      </c>
      <c r="C844" t="s">
        <v>1508</v>
      </c>
      <c r="D844" s="15">
        <v>2000</v>
      </c>
      <c r="E844" s="7">
        <v>178.25</v>
      </c>
      <c r="H844">
        <v>37463</v>
      </c>
      <c r="I844" t="s">
        <v>866</v>
      </c>
      <c r="J844" t="s">
        <v>3118</v>
      </c>
      <c r="K844" t="s">
        <v>3</v>
      </c>
      <c r="L844" s="2">
        <v>43221</v>
      </c>
      <c r="M844" s="2">
        <f>DHMXX[[#This Row],[INV DOC DATE]]+30</f>
        <v>43251</v>
      </c>
      <c r="N844" s="2">
        <v>43251</v>
      </c>
      <c r="O844" s="7">
        <v>178.25</v>
      </c>
      <c r="P844" s="2">
        <v>43262</v>
      </c>
      <c r="Q844" s="7">
        <f>$E844-$O844</f>
        <v>0</v>
      </c>
      <c r="R844" s="7" t="str">
        <f ca="1">IF(TODAY() - DHMXX[INV DUE DATE]&lt;30, "Less than 30 days",IF(TODAY()-DHMXX[INV DUE DATE]&lt;60,"30-60 days","More than 60 days"))</f>
        <v>30-60 days</v>
      </c>
      <c r="S844" t="s">
        <v>1550</v>
      </c>
      <c r="T844" s="43" t="s">
        <v>2229</v>
      </c>
      <c r="U844" t="s">
        <v>3699</v>
      </c>
    </row>
    <row r="845" spans="1:21" x14ac:dyDescent="0.3">
      <c r="A845" t="s">
        <v>2704</v>
      </c>
      <c r="B845" t="s">
        <v>30</v>
      </c>
      <c r="C845" t="s">
        <v>1509</v>
      </c>
      <c r="D845" s="15">
        <v>2000</v>
      </c>
      <c r="E845" s="7">
        <v>178.25</v>
      </c>
      <c r="H845">
        <v>37463</v>
      </c>
      <c r="I845" t="s">
        <v>866</v>
      </c>
      <c r="J845" t="s">
        <v>3119</v>
      </c>
      <c r="K845" t="s">
        <v>3</v>
      </c>
      <c r="L845" s="2">
        <v>43221</v>
      </c>
      <c r="M845" s="2">
        <f>DHMXX[[#This Row],[INV DOC DATE]]+30</f>
        <v>43251</v>
      </c>
      <c r="N845" s="2">
        <v>43251</v>
      </c>
      <c r="O845" s="7">
        <v>178.25</v>
      </c>
      <c r="P845" s="2">
        <v>43262</v>
      </c>
      <c r="Q845" s="7">
        <f>$E845-$O845</f>
        <v>0</v>
      </c>
      <c r="R845" s="7" t="str">
        <f ca="1">IF(TODAY() - DHMXX[INV DUE DATE]&lt;30, "Less than 30 days",IF(TODAY()-DHMXX[INV DUE DATE]&lt;60,"30-60 days","More than 60 days"))</f>
        <v>30-60 days</v>
      </c>
      <c r="S845" t="s">
        <v>1550</v>
      </c>
      <c r="T845" s="43" t="s">
        <v>2229</v>
      </c>
      <c r="U845" t="s">
        <v>3699</v>
      </c>
    </row>
    <row r="846" spans="1:21" x14ac:dyDescent="0.3">
      <c r="A846" t="s">
        <v>2704</v>
      </c>
      <c r="B846" t="s">
        <v>30</v>
      </c>
      <c r="C846" t="s">
        <v>1510</v>
      </c>
      <c r="D846" s="15">
        <v>2000</v>
      </c>
      <c r="E846" s="7">
        <v>178.25</v>
      </c>
      <c r="H846">
        <v>37463</v>
      </c>
      <c r="I846" t="s">
        <v>866</v>
      </c>
      <c r="J846" t="s">
        <v>3120</v>
      </c>
      <c r="K846" t="s">
        <v>3</v>
      </c>
      <c r="L846" s="2">
        <v>43221</v>
      </c>
      <c r="M846" s="2">
        <f>DHMXX[[#This Row],[INV DOC DATE]]+30</f>
        <v>43251</v>
      </c>
      <c r="N846" s="2">
        <v>43251</v>
      </c>
      <c r="O846" s="7">
        <v>178.25</v>
      </c>
      <c r="P846" s="2">
        <v>43262</v>
      </c>
      <c r="Q846" s="7">
        <f>$E846-$O846</f>
        <v>0</v>
      </c>
      <c r="R846" s="7" t="str">
        <f ca="1">IF(TODAY() - DHMXX[INV DUE DATE]&lt;30, "Less than 30 days",IF(TODAY()-DHMXX[INV DUE DATE]&lt;60,"30-60 days","More than 60 days"))</f>
        <v>30-60 days</v>
      </c>
      <c r="S846" t="s">
        <v>1550</v>
      </c>
      <c r="T846" s="43" t="s">
        <v>2229</v>
      </c>
      <c r="U846" t="s">
        <v>3699</v>
      </c>
    </row>
    <row r="847" spans="1:21" x14ac:dyDescent="0.3">
      <c r="A847" t="s">
        <v>2704</v>
      </c>
      <c r="B847" t="s">
        <v>30</v>
      </c>
      <c r="C847" t="s">
        <v>1511</v>
      </c>
      <c r="D847" s="15">
        <v>2000</v>
      </c>
      <c r="E847" s="7">
        <v>178.25</v>
      </c>
      <c r="H847">
        <v>37912</v>
      </c>
      <c r="I847" t="s">
        <v>362</v>
      </c>
      <c r="J847" t="s">
        <v>3121</v>
      </c>
      <c r="K847" t="s">
        <v>3</v>
      </c>
      <c r="L847" s="2">
        <v>43221</v>
      </c>
      <c r="M847" s="2">
        <f>DHMXX[[#This Row],[INV DOC DATE]]+30</f>
        <v>43251</v>
      </c>
      <c r="N847" s="2">
        <v>43251</v>
      </c>
      <c r="O847" s="7">
        <v>178.25</v>
      </c>
      <c r="P847" s="2">
        <v>43262</v>
      </c>
      <c r="Q847" s="7">
        <f>$E847-$O847</f>
        <v>0</v>
      </c>
      <c r="R847" s="7" t="str">
        <f ca="1">IF(TODAY() - DHMXX[INV DUE DATE]&lt;30, "Less than 30 days",IF(TODAY()-DHMXX[INV DUE DATE]&lt;60,"30-60 days","More than 60 days"))</f>
        <v>30-60 days</v>
      </c>
      <c r="S847" t="s">
        <v>1550</v>
      </c>
      <c r="T847" s="43" t="s">
        <v>2229</v>
      </c>
      <c r="U847" t="s">
        <v>3699</v>
      </c>
    </row>
    <row r="848" spans="1:21" x14ac:dyDescent="0.3">
      <c r="A848" t="s">
        <v>2704</v>
      </c>
      <c r="B848" t="s">
        <v>30</v>
      </c>
      <c r="C848" t="s">
        <v>1512</v>
      </c>
      <c r="D848" s="15">
        <v>2000</v>
      </c>
      <c r="E848" s="7">
        <v>178.25</v>
      </c>
      <c r="H848">
        <v>37912</v>
      </c>
      <c r="I848" t="s">
        <v>362</v>
      </c>
      <c r="J848" t="s">
        <v>3122</v>
      </c>
      <c r="K848" t="s">
        <v>3</v>
      </c>
      <c r="L848" s="2">
        <v>43221</v>
      </c>
      <c r="M848" s="2">
        <f>DHMXX[[#This Row],[INV DOC DATE]]+30</f>
        <v>43251</v>
      </c>
      <c r="N848" s="2">
        <v>43251</v>
      </c>
      <c r="O848" s="7">
        <v>178.25</v>
      </c>
      <c r="P848" s="2">
        <v>43262</v>
      </c>
      <c r="Q848" s="7">
        <f>$E848-$O848</f>
        <v>0</v>
      </c>
      <c r="R848" s="7" t="str">
        <f ca="1">IF(TODAY() - DHMXX[INV DUE DATE]&lt;30, "Less than 30 days",IF(TODAY()-DHMXX[INV DUE DATE]&lt;60,"30-60 days","More than 60 days"))</f>
        <v>30-60 days</v>
      </c>
      <c r="S848" t="s">
        <v>1550</v>
      </c>
      <c r="T848" s="43" t="s">
        <v>2229</v>
      </c>
      <c r="U848" t="s">
        <v>3699</v>
      </c>
    </row>
    <row r="849" spans="1:21" x14ac:dyDescent="0.3">
      <c r="A849" t="s">
        <v>2704</v>
      </c>
      <c r="B849" t="s">
        <v>30</v>
      </c>
      <c r="C849" t="s">
        <v>1513</v>
      </c>
      <c r="D849" s="15">
        <v>2000</v>
      </c>
      <c r="E849" s="7">
        <v>178.25</v>
      </c>
      <c r="H849">
        <v>37912</v>
      </c>
      <c r="I849" t="s">
        <v>362</v>
      </c>
      <c r="J849" t="s">
        <v>3123</v>
      </c>
      <c r="K849" t="s">
        <v>3</v>
      </c>
      <c r="L849" s="2">
        <v>43221</v>
      </c>
      <c r="M849" s="2">
        <f>DHMXX[[#This Row],[INV DOC DATE]]+30</f>
        <v>43251</v>
      </c>
      <c r="N849" s="2">
        <v>43251</v>
      </c>
      <c r="O849" s="7">
        <v>178.25</v>
      </c>
      <c r="P849" s="2">
        <v>43262</v>
      </c>
      <c r="Q849" s="7">
        <f>$E849-$O849</f>
        <v>0</v>
      </c>
      <c r="R849" s="7" t="str">
        <f ca="1">IF(TODAY() - DHMXX[INV DUE DATE]&lt;30, "Less than 30 days",IF(TODAY()-DHMXX[INV DUE DATE]&lt;60,"30-60 days","More than 60 days"))</f>
        <v>30-60 days</v>
      </c>
      <c r="S849" t="s">
        <v>1550</v>
      </c>
      <c r="T849" s="43" t="s">
        <v>2229</v>
      </c>
      <c r="U849" t="s">
        <v>3699</v>
      </c>
    </row>
    <row r="850" spans="1:21" x14ac:dyDescent="0.3">
      <c r="A850" t="s">
        <v>2704</v>
      </c>
      <c r="B850" t="s">
        <v>30</v>
      </c>
      <c r="C850" t="s">
        <v>1514</v>
      </c>
      <c r="D850" s="15">
        <v>2000</v>
      </c>
      <c r="E850" s="7">
        <v>178.25</v>
      </c>
      <c r="H850">
        <v>37912</v>
      </c>
      <c r="I850" t="s">
        <v>362</v>
      </c>
      <c r="J850" t="s">
        <v>3124</v>
      </c>
      <c r="K850" t="s">
        <v>3</v>
      </c>
      <c r="L850" s="2">
        <v>43221</v>
      </c>
      <c r="M850" s="2">
        <f>DHMXX[[#This Row],[INV DOC DATE]]+30</f>
        <v>43251</v>
      </c>
      <c r="N850" s="2">
        <v>43251</v>
      </c>
      <c r="O850" s="7">
        <v>178.25</v>
      </c>
      <c r="P850" s="2">
        <v>43262</v>
      </c>
      <c r="Q850" s="7">
        <f>$E850-$O850</f>
        <v>0</v>
      </c>
      <c r="R850" s="7" t="str">
        <f ca="1">IF(TODAY() - DHMXX[INV DUE DATE]&lt;30, "Less than 30 days",IF(TODAY()-DHMXX[INV DUE DATE]&lt;60,"30-60 days","More than 60 days"))</f>
        <v>30-60 days</v>
      </c>
      <c r="S850" t="s">
        <v>1550</v>
      </c>
      <c r="T850" s="43" t="s">
        <v>2229</v>
      </c>
      <c r="U850" t="s">
        <v>3699</v>
      </c>
    </row>
    <row r="851" spans="1:21" x14ac:dyDescent="0.3">
      <c r="A851" t="s">
        <v>2704</v>
      </c>
      <c r="B851" t="s">
        <v>30</v>
      </c>
      <c r="C851" t="s">
        <v>1515</v>
      </c>
      <c r="D851" s="15">
        <v>2000</v>
      </c>
      <c r="E851" s="7">
        <v>178.25</v>
      </c>
      <c r="H851">
        <v>37912</v>
      </c>
      <c r="I851" t="s">
        <v>362</v>
      </c>
      <c r="J851" t="s">
        <v>3125</v>
      </c>
      <c r="K851" t="s">
        <v>3</v>
      </c>
      <c r="L851" s="2">
        <v>43221</v>
      </c>
      <c r="M851" s="2">
        <f>DHMXX[[#This Row],[INV DOC DATE]]+30</f>
        <v>43251</v>
      </c>
      <c r="N851" s="2">
        <v>43251</v>
      </c>
      <c r="O851" s="7">
        <v>178.25</v>
      </c>
      <c r="P851" s="2">
        <v>43262</v>
      </c>
      <c r="Q851" s="7">
        <f>$E851-$O851</f>
        <v>0</v>
      </c>
      <c r="R851" s="7" t="str">
        <f ca="1">IF(TODAY() - DHMXX[INV DUE DATE]&lt;30, "Less than 30 days",IF(TODAY()-DHMXX[INV DUE DATE]&lt;60,"30-60 days","More than 60 days"))</f>
        <v>30-60 days</v>
      </c>
      <c r="S851" t="s">
        <v>1550</v>
      </c>
      <c r="T851" s="43" t="s">
        <v>2229</v>
      </c>
      <c r="U851" t="s">
        <v>3699</v>
      </c>
    </row>
    <row r="852" spans="1:21" x14ac:dyDescent="0.3">
      <c r="A852" t="s">
        <v>2704</v>
      </c>
      <c r="B852" t="s">
        <v>30</v>
      </c>
      <c r="C852" t="s">
        <v>1516</v>
      </c>
      <c r="D852" s="15">
        <v>2000</v>
      </c>
      <c r="E852" s="7">
        <v>178.25</v>
      </c>
      <c r="H852">
        <v>37912</v>
      </c>
      <c r="I852" t="s">
        <v>362</v>
      </c>
      <c r="J852" t="s">
        <v>3126</v>
      </c>
      <c r="K852" t="s">
        <v>3</v>
      </c>
      <c r="L852" s="2">
        <v>43221</v>
      </c>
      <c r="M852" s="2">
        <f>DHMXX[[#This Row],[INV DOC DATE]]+30</f>
        <v>43251</v>
      </c>
      <c r="N852" s="2">
        <v>43251</v>
      </c>
      <c r="O852" s="7">
        <v>178.25</v>
      </c>
      <c r="P852" s="2">
        <v>43262</v>
      </c>
      <c r="Q852" s="7">
        <f>$E852-$O852</f>
        <v>0</v>
      </c>
      <c r="R852" s="7" t="str">
        <f ca="1">IF(TODAY() - DHMXX[INV DUE DATE]&lt;30, "Less than 30 days",IF(TODAY()-DHMXX[INV DUE DATE]&lt;60,"30-60 days","More than 60 days"))</f>
        <v>30-60 days</v>
      </c>
      <c r="S852" t="s">
        <v>1550</v>
      </c>
      <c r="T852" s="43" t="s">
        <v>2229</v>
      </c>
      <c r="U852" t="s">
        <v>3699</v>
      </c>
    </row>
    <row r="853" spans="1:21" x14ac:dyDescent="0.3">
      <c r="A853" t="s">
        <v>2704</v>
      </c>
      <c r="B853" t="s">
        <v>30</v>
      </c>
      <c r="C853" t="s">
        <v>1517</v>
      </c>
      <c r="D853" s="15">
        <v>2000</v>
      </c>
      <c r="E853" s="7">
        <v>178.25</v>
      </c>
      <c r="H853">
        <v>37912</v>
      </c>
      <c r="I853" t="s">
        <v>362</v>
      </c>
      <c r="J853" t="s">
        <v>3127</v>
      </c>
      <c r="K853" t="s">
        <v>3</v>
      </c>
      <c r="L853" s="2">
        <v>43221</v>
      </c>
      <c r="M853" s="2">
        <f>DHMXX[[#This Row],[INV DOC DATE]]+30</f>
        <v>43251</v>
      </c>
      <c r="N853" s="2">
        <v>43251</v>
      </c>
      <c r="O853" s="7">
        <v>178.25</v>
      </c>
      <c r="P853" s="2">
        <v>43262</v>
      </c>
      <c r="Q853" s="7">
        <f>$E853-$O853</f>
        <v>0</v>
      </c>
      <c r="R853" s="7" t="str">
        <f ca="1">IF(TODAY() - DHMXX[INV DUE DATE]&lt;30, "Less than 30 days",IF(TODAY()-DHMXX[INV DUE DATE]&lt;60,"30-60 days","More than 60 days"))</f>
        <v>30-60 days</v>
      </c>
      <c r="S853" t="s">
        <v>1550</v>
      </c>
      <c r="T853" s="43" t="s">
        <v>2229</v>
      </c>
      <c r="U853" t="s">
        <v>3699</v>
      </c>
    </row>
    <row r="854" spans="1:21" x14ac:dyDescent="0.3">
      <c r="A854" t="s">
        <v>2704</v>
      </c>
      <c r="B854" t="s">
        <v>30</v>
      </c>
      <c r="C854" t="s">
        <v>1518</v>
      </c>
      <c r="D854" s="15">
        <v>2000</v>
      </c>
      <c r="E854" s="7">
        <v>178.25</v>
      </c>
      <c r="H854">
        <v>37912</v>
      </c>
      <c r="I854" t="s">
        <v>362</v>
      </c>
      <c r="J854" t="s">
        <v>3128</v>
      </c>
      <c r="K854" t="s">
        <v>3</v>
      </c>
      <c r="L854" s="2">
        <v>43221</v>
      </c>
      <c r="M854" s="2">
        <f>DHMXX[[#This Row],[INV DOC DATE]]+30</f>
        <v>43251</v>
      </c>
      <c r="N854" s="2">
        <v>43251</v>
      </c>
      <c r="O854" s="7">
        <v>178.25</v>
      </c>
      <c r="P854" s="2">
        <v>43262</v>
      </c>
      <c r="Q854" s="7">
        <f>$E854-$O854</f>
        <v>0</v>
      </c>
      <c r="R854" s="7" t="str">
        <f ca="1">IF(TODAY() - DHMXX[INV DUE DATE]&lt;30, "Less than 30 days",IF(TODAY()-DHMXX[INV DUE DATE]&lt;60,"30-60 days","More than 60 days"))</f>
        <v>30-60 days</v>
      </c>
      <c r="S854" t="s">
        <v>1550</v>
      </c>
      <c r="T854" s="43" t="s">
        <v>2229</v>
      </c>
      <c r="U854" t="s">
        <v>3699</v>
      </c>
    </row>
    <row r="855" spans="1:21" x14ac:dyDescent="0.3">
      <c r="A855" t="s">
        <v>2704</v>
      </c>
      <c r="B855" t="s">
        <v>30</v>
      </c>
      <c r="C855" t="s">
        <v>1519</v>
      </c>
      <c r="D855" s="15">
        <v>2000</v>
      </c>
      <c r="E855" s="7">
        <v>178.25</v>
      </c>
      <c r="H855">
        <v>37912</v>
      </c>
      <c r="I855" t="s">
        <v>362</v>
      </c>
      <c r="J855" t="s">
        <v>3129</v>
      </c>
      <c r="K855" t="s">
        <v>3</v>
      </c>
      <c r="L855" s="2">
        <v>43221</v>
      </c>
      <c r="M855" s="2">
        <f>DHMXX[[#This Row],[INV DOC DATE]]+30</f>
        <v>43251</v>
      </c>
      <c r="N855" s="2">
        <v>43251</v>
      </c>
      <c r="O855" s="7">
        <v>178.25</v>
      </c>
      <c r="P855" s="2">
        <v>43262</v>
      </c>
      <c r="Q855" s="7">
        <f>$E855-$O855</f>
        <v>0</v>
      </c>
      <c r="R855" s="7" t="str">
        <f ca="1">IF(TODAY() - DHMXX[INV DUE DATE]&lt;30, "Less than 30 days",IF(TODAY()-DHMXX[INV DUE DATE]&lt;60,"30-60 days","More than 60 days"))</f>
        <v>30-60 days</v>
      </c>
      <c r="S855" t="s">
        <v>1550</v>
      </c>
      <c r="T855" s="43" t="s">
        <v>2229</v>
      </c>
      <c r="U855" t="s">
        <v>3699</v>
      </c>
    </row>
    <row r="856" spans="1:21" x14ac:dyDescent="0.3">
      <c r="A856" t="s">
        <v>2704</v>
      </c>
      <c r="B856" t="s">
        <v>30</v>
      </c>
      <c r="C856" t="s">
        <v>1520</v>
      </c>
      <c r="D856" s="15">
        <v>2000</v>
      </c>
      <c r="E856" s="7">
        <v>178.25</v>
      </c>
      <c r="H856">
        <v>37912</v>
      </c>
      <c r="I856" t="s">
        <v>362</v>
      </c>
      <c r="J856" t="s">
        <v>3130</v>
      </c>
      <c r="K856" t="s">
        <v>3</v>
      </c>
      <c r="L856" s="2">
        <v>43221</v>
      </c>
      <c r="M856" s="2">
        <f>DHMXX[[#This Row],[INV DOC DATE]]+30</f>
        <v>43251</v>
      </c>
      <c r="N856" s="2">
        <v>43251</v>
      </c>
      <c r="O856" s="7">
        <v>178.25</v>
      </c>
      <c r="P856" s="2">
        <v>43262</v>
      </c>
      <c r="Q856" s="7">
        <f>$E856-$O856</f>
        <v>0</v>
      </c>
      <c r="R856" s="7" t="str">
        <f ca="1">IF(TODAY() - DHMXX[INV DUE DATE]&lt;30, "Less than 30 days",IF(TODAY()-DHMXX[INV DUE DATE]&lt;60,"30-60 days","More than 60 days"))</f>
        <v>30-60 days</v>
      </c>
      <c r="S856" t="s">
        <v>1550</v>
      </c>
      <c r="T856" s="43" t="s">
        <v>2229</v>
      </c>
      <c r="U856" t="s">
        <v>3699</v>
      </c>
    </row>
    <row r="857" spans="1:21" x14ac:dyDescent="0.3">
      <c r="A857" t="s">
        <v>2704</v>
      </c>
      <c r="B857" t="s">
        <v>30</v>
      </c>
      <c r="C857" t="s">
        <v>1521</v>
      </c>
      <c r="D857" s="15">
        <v>2000</v>
      </c>
      <c r="E857" s="7">
        <v>178.25</v>
      </c>
      <c r="H857">
        <v>37912</v>
      </c>
      <c r="I857" t="s">
        <v>362</v>
      </c>
      <c r="J857" t="s">
        <v>3131</v>
      </c>
      <c r="K857" t="s">
        <v>3</v>
      </c>
      <c r="L857" s="2">
        <v>43221</v>
      </c>
      <c r="M857" s="2">
        <f>DHMXX[[#This Row],[INV DOC DATE]]+30</f>
        <v>43251</v>
      </c>
      <c r="N857" s="2">
        <v>43251</v>
      </c>
      <c r="O857" s="7">
        <v>178.25</v>
      </c>
      <c r="P857" s="2">
        <v>43262</v>
      </c>
      <c r="Q857" s="7">
        <f>$E857-$O857</f>
        <v>0</v>
      </c>
      <c r="R857" s="7" t="str">
        <f ca="1">IF(TODAY() - DHMXX[INV DUE DATE]&lt;30, "Less than 30 days",IF(TODAY()-DHMXX[INV DUE DATE]&lt;60,"30-60 days","More than 60 days"))</f>
        <v>30-60 days</v>
      </c>
      <c r="S857" t="s">
        <v>1550</v>
      </c>
      <c r="T857" s="43" t="s">
        <v>2229</v>
      </c>
      <c r="U857" t="s">
        <v>3699</v>
      </c>
    </row>
    <row r="858" spans="1:21" x14ac:dyDescent="0.3">
      <c r="A858" t="s">
        <v>2704</v>
      </c>
      <c r="B858" t="s">
        <v>30</v>
      </c>
      <c r="C858" t="s">
        <v>1522</v>
      </c>
      <c r="D858" s="15">
        <v>2000</v>
      </c>
      <c r="E858" s="7">
        <v>178.25</v>
      </c>
      <c r="H858">
        <v>82957</v>
      </c>
      <c r="I858" t="s">
        <v>867</v>
      </c>
      <c r="J858" t="s">
        <v>3132</v>
      </c>
      <c r="K858" t="s">
        <v>3</v>
      </c>
      <c r="L858" s="2">
        <v>43221</v>
      </c>
      <c r="M858" s="2">
        <f>DHMXX[[#This Row],[INV DOC DATE]]+30</f>
        <v>43251</v>
      </c>
      <c r="N858" s="2">
        <v>43251</v>
      </c>
      <c r="O858" s="7">
        <v>178.25</v>
      </c>
      <c r="P858" s="2">
        <v>43262</v>
      </c>
      <c r="Q858" s="7">
        <f>$E858-$O858</f>
        <v>0</v>
      </c>
      <c r="R858" s="7" t="str">
        <f ca="1">IF(TODAY() - DHMXX[INV DUE DATE]&lt;30, "Less than 30 days",IF(TODAY()-DHMXX[INV DUE DATE]&lt;60,"30-60 days","More than 60 days"))</f>
        <v>30-60 days</v>
      </c>
      <c r="S858" t="s">
        <v>1550</v>
      </c>
      <c r="T858" s="43" t="s">
        <v>2229</v>
      </c>
      <c r="U858" t="s">
        <v>3699</v>
      </c>
    </row>
    <row r="859" spans="1:21" x14ac:dyDescent="0.3">
      <c r="A859" t="s">
        <v>2704</v>
      </c>
      <c r="B859" t="s">
        <v>30</v>
      </c>
      <c r="C859" t="s">
        <v>1523</v>
      </c>
      <c r="D859" s="15">
        <v>2000</v>
      </c>
      <c r="E859" s="7">
        <v>178.25</v>
      </c>
      <c r="H859">
        <v>82957</v>
      </c>
      <c r="I859" t="s">
        <v>867</v>
      </c>
      <c r="J859" t="s">
        <v>3133</v>
      </c>
      <c r="K859" t="s">
        <v>3</v>
      </c>
      <c r="L859" s="2">
        <v>43221</v>
      </c>
      <c r="M859" s="2">
        <f>DHMXX[[#This Row],[INV DOC DATE]]+30</f>
        <v>43251</v>
      </c>
      <c r="N859" s="2">
        <v>43251</v>
      </c>
      <c r="O859" s="7">
        <v>178.25</v>
      </c>
      <c r="P859" s="2">
        <v>43262</v>
      </c>
      <c r="Q859" s="7">
        <f>$E859-$O859</f>
        <v>0</v>
      </c>
      <c r="R859" s="7" t="str">
        <f ca="1">IF(TODAY() - DHMXX[INV DUE DATE]&lt;30, "Less than 30 days",IF(TODAY()-DHMXX[INV DUE DATE]&lt;60,"30-60 days","More than 60 days"))</f>
        <v>30-60 days</v>
      </c>
      <c r="S859" t="s">
        <v>1550</v>
      </c>
      <c r="T859" s="43" t="s">
        <v>2229</v>
      </c>
      <c r="U859" t="s">
        <v>3699</v>
      </c>
    </row>
    <row r="860" spans="1:21" x14ac:dyDescent="0.3">
      <c r="A860" t="s">
        <v>2704</v>
      </c>
      <c r="B860" t="s">
        <v>30</v>
      </c>
      <c r="C860" t="s">
        <v>1524</v>
      </c>
      <c r="D860" s="15">
        <v>2000</v>
      </c>
      <c r="E860" s="7">
        <v>178.25</v>
      </c>
      <c r="H860">
        <v>82957</v>
      </c>
      <c r="I860" t="s">
        <v>867</v>
      </c>
      <c r="J860" t="s">
        <v>3134</v>
      </c>
      <c r="K860" t="s">
        <v>3</v>
      </c>
      <c r="L860" s="2">
        <v>43221</v>
      </c>
      <c r="M860" s="2">
        <f>DHMXX[[#This Row],[INV DOC DATE]]+30</f>
        <v>43251</v>
      </c>
      <c r="N860" s="2">
        <v>43251</v>
      </c>
      <c r="O860" s="7">
        <v>178.25</v>
      </c>
      <c r="P860" s="2">
        <v>43262</v>
      </c>
      <c r="Q860" s="7">
        <f>$E860-$O860</f>
        <v>0</v>
      </c>
      <c r="R860" s="7" t="str">
        <f ca="1">IF(TODAY() - DHMXX[INV DUE DATE]&lt;30, "Less than 30 days",IF(TODAY()-DHMXX[INV DUE DATE]&lt;60,"30-60 days","More than 60 days"))</f>
        <v>30-60 days</v>
      </c>
      <c r="S860" t="s">
        <v>1550</v>
      </c>
      <c r="T860" s="43" t="s">
        <v>2229</v>
      </c>
      <c r="U860" t="s">
        <v>3699</v>
      </c>
    </row>
    <row r="861" spans="1:21" x14ac:dyDescent="0.3">
      <c r="A861" t="s">
        <v>2704</v>
      </c>
      <c r="B861" t="s">
        <v>30</v>
      </c>
      <c r="C861" t="s">
        <v>1525</v>
      </c>
      <c r="D861" s="15">
        <v>2000</v>
      </c>
      <c r="E861" s="7">
        <v>178.25</v>
      </c>
      <c r="H861">
        <v>82957</v>
      </c>
      <c r="I861" t="s">
        <v>867</v>
      </c>
      <c r="J861" t="s">
        <v>3135</v>
      </c>
      <c r="K861" t="s">
        <v>3</v>
      </c>
      <c r="L861" s="2">
        <v>43221</v>
      </c>
      <c r="M861" s="2">
        <f>DHMXX[[#This Row],[INV DOC DATE]]+30</f>
        <v>43251</v>
      </c>
      <c r="N861" s="2">
        <v>43251</v>
      </c>
      <c r="O861" s="7">
        <v>178.25</v>
      </c>
      <c r="P861" s="2">
        <v>43262</v>
      </c>
      <c r="Q861" s="7">
        <f>$E861-$O861</f>
        <v>0</v>
      </c>
      <c r="R861" s="7" t="str">
        <f ca="1">IF(TODAY() - DHMXX[INV DUE DATE]&lt;30, "Less than 30 days",IF(TODAY()-DHMXX[INV DUE DATE]&lt;60,"30-60 days","More than 60 days"))</f>
        <v>30-60 days</v>
      </c>
      <c r="S861" t="s">
        <v>1550</v>
      </c>
      <c r="T861" s="43" t="s">
        <v>2229</v>
      </c>
      <c r="U861" t="s">
        <v>3699</v>
      </c>
    </row>
    <row r="862" spans="1:21" x14ac:dyDescent="0.3">
      <c r="A862" t="s">
        <v>2704</v>
      </c>
      <c r="B862" t="s">
        <v>30</v>
      </c>
      <c r="C862" t="s">
        <v>35</v>
      </c>
      <c r="D862" s="15">
        <v>2000</v>
      </c>
      <c r="E862" s="7">
        <v>178.25</v>
      </c>
      <c r="H862">
        <v>82957</v>
      </c>
      <c r="I862" t="s">
        <v>867</v>
      </c>
      <c r="J862" t="s">
        <v>3136</v>
      </c>
      <c r="K862" t="s">
        <v>3</v>
      </c>
      <c r="L862" s="2">
        <v>43221</v>
      </c>
      <c r="M862" s="2">
        <f>DHMXX[[#This Row],[INV DOC DATE]]+30</f>
        <v>43251</v>
      </c>
      <c r="N862" s="2">
        <v>43251</v>
      </c>
      <c r="O862" s="7">
        <v>178.25</v>
      </c>
      <c r="P862" s="2">
        <v>43262</v>
      </c>
      <c r="Q862" s="7">
        <f>$E862-$O862</f>
        <v>0</v>
      </c>
      <c r="R862" s="7" t="str">
        <f ca="1">IF(TODAY() - DHMXX[INV DUE DATE]&lt;30, "Less than 30 days",IF(TODAY()-DHMXX[INV DUE DATE]&lt;60,"30-60 days","More than 60 days"))</f>
        <v>30-60 days</v>
      </c>
      <c r="S862" t="s">
        <v>1550</v>
      </c>
      <c r="T862" s="43" t="s">
        <v>2229</v>
      </c>
      <c r="U862" t="s">
        <v>3699</v>
      </c>
    </row>
    <row r="863" spans="1:21" x14ac:dyDescent="0.3">
      <c r="A863" t="s">
        <v>2704</v>
      </c>
      <c r="B863" t="s">
        <v>30</v>
      </c>
      <c r="C863" t="s">
        <v>1526</v>
      </c>
      <c r="D863" s="15">
        <v>2000</v>
      </c>
      <c r="E863" s="7">
        <v>178.25</v>
      </c>
      <c r="H863">
        <v>91299</v>
      </c>
      <c r="I863" t="s">
        <v>867</v>
      </c>
      <c r="J863" t="s">
        <v>3137</v>
      </c>
      <c r="K863" t="s">
        <v>3</v>
      </c>
      <c r="L863" s="2">
        <v>43221</v>
      </c>
      <c r="M863" s="2">
        <f>DHMXX[[#This Row],[INV DOC DATE]]+30</f>
        <v>43251</v>
      </c>
      <c r="N863" s="2">
        <v>43251</v>
      </c>
      <c r="O863" s="7">
        <v>178.25</v>
      </c>
      <c r="P863" s="2">
        <v>43262</v>
      </c>
      <c r="Q863" s="7">
        <f>$E863-$O863</f>
        <v>0</v>
      </c>
      <c r="R863" s="7" t="str">
        <f ca="1">IF(TODAY() - DHMXX[INV DUE DATE]&lt;30, "Less than 30 days",IF(TODAY()-DHMXX[INV DUE DATE]&lt;60,"30-60 days","More than 60 days"))</f>
        <v>30-60 days</v>
      </c>
      <c r="S863" t="s">
        <v>1550</v>
      </c>
      <c r="T863" s="43" t="s">
        <v>2229</v>
      </c>
      <c r="U863" t="s">
        <v>3699</v>
      </c>
    </row>
    <row r="864" spans="1:21" x14ac:dyDescent="0.3">
      <c r="A864" t="s">
        <v>2704</v>
      </c>
      <c r="B864" t="s">
        <v>30</v>
      </c>
      <c r="C864" t="s">
        <v>1527</v>
      </c>
      <c r="D864" s="15">
        <v>2000</v>
      </c>
      <c r="E864" s="7">
        <v>178.25</v>
      </c>
      <c r="H864">
        <v>172035</v>
      </c>
      <c r="I864" t="s">
        <v>863</v>
      </c>
      <c r="J864" t="s">
        <v>3138</v>
      </c>
      <c r="K864" t="s">
        <v>3</v>
      </c>
      <c r="L864" s="2">
        <v>43221</v>
      </c>
      <c r="M864" s="2">
        <f>DHMXX[[#This Row],[INV DOC DATE]]+30</f>
        <v>43251</v>
      </c>
      <c r="N864" s="2">
        <v>43251</v>
      </c>
      <c r="O864" s="7">
        <v>178.25</v>
      </c>
      <c r="P864" s="2">
        <v>43262</v>
      </c>
      <c r="Q864" s="7">
        <f>$E864-$O864</f>
        <v>0</v>
      </c>
      <c r="R864" s="7" t="str">
        <f ca="1">IF(TODAY() - DHMXX[INV DUE DATE]&lt;30, "Less than 30 days",IF(TODAY()-DHMXX[INV DUE DATE]&lt;60,"30-60 days","More than 60 days"))</f>
        <v>30-60 days</v>
      </c>
      <c r="S864" t="s">
        <v>1550</v>
      </c>
      <c r="T864" s="43" t="s">
        <v>2229</v>
      </c>
      <c r="U864" t="s">
        <v>3699</v>
      </c>
    </row>
    <row r="865" spans="1:21" x14ac:dyDescent="0.3">
      <c r="A865" t="s">
        <v>2704</v>
      </c>
      <c r="B865" t="s">
        <v>30</v>
      </c>
      <c r="C865" t="s">
        <v>1528</v>
      </c>
      <c r="D865" s="15">
        <v>2000</v>
      </c>
      <c r="E865" s="7">
        <v>178.25</v>
      </c>
      <c r="H865">
        <v>172035</v>
      </c>
      <c r="I865" t="s">
        <v>863</v>
      </c>
      <c r="J865" t="s">
        <v>3139</v>
      </c>
      <c r="K865" t="s">
        <v>3</v>
      </c>
      <c r="L865" s="2">
        <v>43221</v>
      </c>
      <c r="M865" s="2">
        <f>DHMXX[[#This Row],[INV DOC DATE]]+30</f>
        <v>43251</v>
      </c>
      <c r="N865" s="2">
        <v>43251</v>
      </c>
      <c r="O865" s="7">
        <v>178.25</v>
      </c>
      <c r="P865" s="2">
        <v>43262</v>
      </c>
      <c r="Q865" s="7">
        <f>$E865-$O865</f>
        <v>0</v>
      </c>
      <c r="R865" s="7" t="str">
        <f ca="1">IF(TODAY() - DHMXX[INV DUE DATE]&lt;30, "Less than 30 days",IF(TODAY()-DHMXX[INV DUE DATE]&lt;60,"30-60 days","More than 60 days"))</f>
        <v>30-60 days</v>
      </c>
      <c r="S865" t="s">
        <v>1550</v>
      </c>
      <c r="T865" s="43" t="s">
        <v>2229</v>
      </c>
      <c r="U865" t="s">
        <v>3699</v>
      </c>
    </row>
    <row r="866" spans="1:21" x14ac:dyDescent="0.3">
      <c r="A866" t="s">
        <v>2704</v>
      </c>
      <c r="B866" t="s">
        <v>30</v>
      </c>
      <c r="C866" t="s">
        <v>1529</v>
      </c>
      <c r="D866" s="15">
        <v>2000</v>
      </c>
      <c r="E866" s="7">
        <v>178.25</v>
      </c>
      <c r="H866">
        <v>172035</v>
      </c>
      <c r="I866" t="s">
        <v>863</v>
      </c>
      <c r="J866" t="s">
        <v>3140</v>
      </c>
      <c r="K866" t="s">
        <v>3</v>
      </c>
      <c r="L866" s="2">
        <v>43221</v>
      </c>
      <c r="M866" s="2">
        <f>DHMXX[[#This Row],[INV DOC DATE]]+30</f>
        <v>43251</v>
      </c>
      <c r="N866" s="2">
        <v>43251</v>
      </c>
      <c r="O866" s="7">
        <v>178.25</v>
      </c>
      <c r="P866" s="2">
        <v>43262</v>
      </c>
      <c r="Q866" s="7">
        <f>$E866-$O866</f>
        <v>0</v>
      </c>
      <c r="R866" s="7" t="str">
        <f ca="1">IF(TODAY() - DHMXX[INV DUE DATE]&lt;30, "Less than 30 days",IF(TODAY()-DHMXX[INV DUE DATE]&lt;60,"30-60 days","More than 60 days"))</f>
        <v>30-60 days</v>
      </c>
      <c r="S866" t="s">
        <v>1550</v>
      </c>
      <c r="T866" s="43" t="s">
        <v>2229</v>
      </c>
      <c r="U866" t="s">
        <v>3699</v>
      </c>
    </row>
    <row r="867" spans="1:21" x14ac:dyDescent="0.3">
      <c r="A867" t="s">
        <v>2704</v>
      </c>
      <c r="B867" t="s">
        <v>30</v>
      </c>
      <c r="C867" t="s">
        <v>1530</v>
      </c>
      <c r="D867" s="15">
        <v>2000</v>
      </c>
      <c r="E867" s="7">
        <v>178.25</v>
      </c>
      <c r="H867">
        <v>182140</v>
      </c>
      <c r="I867" t="s">
        <v>864</v>
      </c>
      <c r="J867" t="s">
        <v>3141</v>
      </c>
      <c r="K867" t="s">
        <v>3</v>
      </c>
      <c r="L867" s="2">
        <v>43221</v>
      </c>
      <c r="M867" s="2">
        <f>DHMXX[[#This Row],[INV DOC DATE]]+30</f>
        <v>43251</v>
      </c>
      <c r="N867" s="2">
        <v>43251</v>
      </c>
      <c r="O867" s="7">
        <v>178.25</v>
      </c>
      <c r="P867" s="2">
        <v>43262</v>
      </c>
      <c r="Q867" s="7">
        <f>$E867-$O867</f>
        <v>0</v>
      </c>
      <c r="R867" s="7" t="str">
        <f ca="1">IF(TODAY() - DHMXX[INV DUE DATE]&lt;30, "Less than 30 days",IF(TODAY()-DHMXX[INV DUE DATE]&lt;60,"30-60 days","More than 60 days"))</f>
        <v>30-60 days</v>
      </c>
      <c r="S867" t="s">
        <v>1550</v>
      </c>
      <c r="T867" s="43" t="s">
        <v>2229</v>
      </c>
      <c r="U867" t="s">
        <v>3699</v>
      </c>
    </row>
    <row r="868" spans="1:21" x14ac:dyDescent="0.3">
      <c r="A868" t="s">
        <v>2704</v>
      </c>
      <c r="B868" t="s">
        <v>30</v>
      </c>
      <c r="C868" t="s">
        <v>1531</v>
      </c>
      <c r="D868" s="15">
        <v>2000</v>
      </c>
      <c r="E868" s="7">
        <v>178.25</v>
      </c>
      <c r="H868">
        <v>182140</v>
      </c>
      <c r="I868" t="s">
        <v>864</v>
      </c>
      <c r="J868" t="s">
        <v>3142</v>
      </c>
      <c r="K868" t="s">
        <v>3</v>
      </c>
      <c r="L868" s="2">
        <v>43221</v>
      </c>
      <c r="M868" s="2">
        <f>DHMXX[[#This Row],[INV DOC DATE]]+30</f>
        <v>43251</v>
      </c>
      <c r="N868" s="2">
        <v>43251</v>
      </c>
      <c r="O868" s="7">
        <v>178.25</v>
      </c>
      <c r="P868" s="2">
        <v>43262</v>
      </c>
      <c r="Q868" s="7">
        <f>$E868-$O868</f>
        <v>0</v>
      </c>
      <c r="R868" s="7" t="str">
        <f ca="1">IF(TODAY() - DHMXX[INV DUE DATE]&lt;30, "Less than 30 days",IF(TODAY()-DHMXX[INV DUE DATE]&lt;60,"30-60 days","More than 60 days"))</f>
        <v>30-60 days</v>
      </c>
      <c r="S868" t="s">
        <v>1550</v>
      </c>
      <c r="T868" s="43" t="s">
        <v>2229</v>
      </c>
      <c r="U868" t="s">
        <v>3699</v>
      </c>
    </row>
    <row r="869" spans="1:21" x14ac:dyDescent="0.3">
      <c r="A869" t="s">
        <v>2704</v>
      </c>
      <c r="B869" t="s">
        <v>30</v>
      </c>
      <c r="C869" t="s">
        <v>1532</v>
      </c>
      <c r="D869" s="15">
        <v>2000</v>
      </c>
      <c r="E869" s="7">
        <v>178.25</v>
      </c>
      <c r="H869">
        <v>182140</v>
      </c>
      <c r="I869" t="s">
        <v>864</v>
      </c>
      <c r="J869" t="s">
        <v>3143</v>
      </c>
      <c r="K869" t="s">
        <v>3</v>
      </c>
      <c r="L869" s="2">
        <v>43221</v>
      </c>
      <c r="M869" s="2">
        <f>DHMXX[[#This Row],[INV DOC DATE]]+30</f>
        <v>43251</v>
      </c>
      <c r="N869" s="2">
        <v>43251</v>
      </c>
      <c r="O869" s="7">
        <v>178.25</v>
      </c>
      <c r="P869" s="2">
        <v>43262</v>
      </c>
      <c r="Q869" s="7">
        <f>$E869-$O869</f>
        <v>0</v>
      </c>
      <c r="R869" s="7" t="str">
        <f ca="1">IF(TODAY() - DHMXX[INV DUE DATE]&lt;30, "Less than 30 days",IF(TODAY()-DHMXX[INV DUE DATE]&lt;60,"30-60 days","More than 60 days"))</f>
        <v>30-60 days</v>
      </c>
      <c r="S869" t="s">
        <v>1550</v>
      </c>
      <c r="T869" s="43" t="s">
        <v>2229</v>
      </c>
      <c r="U869" t="s">
        <v>3699</v>
      </c>
    </row>
    <row r="870" spans="1:21" x14ac:dyDescent="0.3">
      <c r="A870" t="s">
        <v>2704</v>
      </c>
      <c r="B870" t="s">
        <v>30</v>
      </c>
      <c r="C870" t="s">
        <v>1533</v>
      </c>
      <c r="D870" s="15">
        <v>2000</v>
      </c>
      <c r="E870" s="7">
        <v>178.25</v>
      </c>
      <c r="H870">
        <v>182140</v>
      </c>
      <c r="I870" t="s">
        <v>864</v>
      </c>
      <c r="J870" t="s">
        <v>3144</v>
      </c>
      <c r="K870" t="s">
        <v>3</v>
      </c>
      <c r="L870" s="2">
        <v>43221</v>
      </c>
      <c r="M870" s="2">
        <f>DHMXX[[#This Row],[INV DOC DATE]]+30</f>
        <v>43251</v>
      </c>
      <c r="N870" s="2">
        <v>43251</v>
      </c>
      <c r="O870" s="7">
        <v>178.25</v>
      </c>
      <c r="P870" s="2">
        <v>43262</v>
      </c>
      <c r="Q870" s="7">
        <f>$E870-$O870</f>
        <v>0</v>
      </c>
      <c r="R870" s="7" t="str">
        <f ca="1">IF(TODAY() - DHMXX[INV DUE DATE]&lt;30, "Less than 30 days",IF(TODAY()-DHMXX[INV DUE DATE]&lt;60,"30-60 days","More than 60 days"))</f>
        <v>30-60 days</v>
      </c>
      <c r="S870" t="s">
        <v>1550</v>
      </c>
      <c r="T870" s="43" t="s">
        <v>2229</v>
      </c>
      <c r="U870" t="s">
        <v>3699</v>
      </c>
    </row>
    <row r="871" spans="1:21" x14ac:dyDescent="0.3">
      <c r="A871" t="s">
        <v>2704</v>
      </c>
      <c r="B871" t="s">
        <v>30</v>
      </c>
      <c r="C871" t="s">
        <v>1534</v>
      </c>
      <c r="D871" s="15">
        <v>2000</v>
      </c>
      <c r="E871" s="7">
        <v>178.25</v>
      </c>
      <c r="H871">
        <v>182140</v>
      </c>
      <c r="I871" t="s">
        <v>864</v>
      </c>
      <c r="J871" t="s">
        <v>3145</v>
      </c>
      <c r="K871" t="s">
        <v>3</v>
      </c>
      <c r="L871" s="2">
        <v>43221</v>
      </c>
      <c r="M871" s="2">
        <f>DHMXX[[#This Row],[INV DOC DATE]]+30</f>
        <v>43251</v>
      </c>
      <c r="N871" s="2">
        <v>43251</v>
      </c>
      <c r="O871" s="7">
        <v>178.25</v>
      </c>
      <c r="P871" s="2">
        <v>43262</v>
      </c>
      <c r="Q871" s="7">
        <f>$E871-$O871</f>
        <v>0</v>
      </c>
      <c r="R871" s="7" t="str">
        <f ca="1">IF(TODAY() - DHMXX[INV DUE DATE]&lt;30, "Less than 30 days",IF(TODAY()-DHMXX[INV DUE DATE]&lt;60,"30-60 days","More than 60 days"))</f>
        <v>30-60 days</v>
      </c>
      <c r="S871" t="s">
        <v>1550</v>
      </c>
      <c r="T871" s="43" t="s">
        <v>2229</v>
      </c>
      <c r="U871" t="s">
        <v>3699</v>
      </c>
    </row>
    <row r="872" spans="1:21" x14ac:dyDescent="0.3">
      <c r="A872" t="s">
        <v>2704</v>
      </c>
      <c r="B872" t="s">
        <v>30</v>
      </c>
      <c r="C872" t="s">
        <v>1535</v>
      </c>
      <c r="D872" s="15">
        <v>2000</v>
      </c>
      <c r="E872" s="7">
        <v>178.25</v>
      </c>
      <c r="H872">
        <v>182140</v>
      </c>
      <c r="I872" t="s">
        <v>864</v>
      </c>
      <c r="J872" t="s">
        <v>3146</v>
      </c>
      <c r="K872" t="s">
        <v>3</v>
      </c>
      <c r="L872" s="2">
        <v>43221</v>
      </c>
      <c r="M872" s="2">
        <f>DHMXX[[#This Row],[INV DOC DATE]]+30</f>
        <v>43251</v>
      </c>
      <c r="N872" s="2">
        <v>43251</v>
      </c>
      <c r="O872" s="7">
        <v>178.25</v>
      </c>
      <c r="P872" s="2">
        <v>43262</v>
      </c>
      <c r="Q872" s="7">
        <f>$E872-$O872</f>
        <v>0</v>
      </c>
      <c r="R872" s="7" t="str">
        <f ca="1">IF(TODAY() - DHMXX[INV DUE DATE]&lt;30, "Less than 30 days",IF(TODAY()-DHMXX[INV DUE DATE]&lt;60,"30-60 days","More than 60 days"))</f>
        <v>30-60 days</v>
      </c>
      <c r="S872" t="s">
        <v>1550</v>
      </c>
      <c r="T872" s="43" t="s">
        <v>2229</v>
      </c>
      <c r="U872" t="s">
        <v>3699</v>
      </c>
    </row>
    <row r="873" spans="1:21" x14ac:dyDescent="0.3">
      <c r="A873" t="s">
        <v>2704</v>
      </c>
      <c r="B873" t="s">
        <v>30</v>
      </c>
      <c r="C873" t="s">
        <v>1536</v>
      </c>
      <c r="D873" s="15">
        <v>2000</v>
      </c>
      <c r="E873" s="7">
        <v>178.25</v>
      </c>
      <c r="H873">
        <v>182140</v>
      </c>
      <c r="I873" t="s">
        <v>864</v>
      </c>
      <c r="J873" t="s">
        <v>3147</v>
      </c>
      <c r="K873" t="s">
        <v>3</v>
      </c>
      <c r="L873" s="2">
        <v>43221</v>
      </c>
      <c r="M873" s="2">
        <f>DHMXX[[#This Row],[INV DOC DATE]]+30</f>
        <v>43251</v>
      </c>
      <c r="N873" s="2">
        <v>43251</v>
      </c>
      <c r="O873" s="7">
        <v>178.25</v>
      </c>
      <c r="P873" s="2">
        <v>43262</v>
      </c>
      <c r="Q873" s="7">
        <f>$E873-$O873</f>
        <v>0</v>
      </c>
      <c r="R873" s="7" t="str">
        <f ca="1">IF(TODAY() - DHMXX[INV DUE DATE]&lt;30, "Less than 30 days",IF(TODAY()-DHMXX[INV DUE DATE]&lt;60,"30-60 days","More than 60 days"))</f>
        <v>30-60 days</v>
      </c>
      <c r="S873" t="s">
        <v>1550</v>
      </c>
      <c r="T873" s="43" t="s">
        <v>2229</v>
      </c>
      <c r="U873" t="s">
        <v>3699</v>
      </c>
    </row>
    <row r="874" spans="1:21" x14ac:dyDescent="0.3">
      <c r="A874" t="s">
        <v>2704</v>
      </c>
      <c r="B874" t="s">
        <v>30</v>
      </c>
      <c r="C874" t="s">
        <v>1537</v>
      </c>
      <c r="D874" s="15">
        <v>2000</v>
      </c>
      <c r="E874" s="7">
        <v>178.25</v>
      </c>
      <c r="H874">
        <v>182140</v>
      </c>
      <c r="I874" t="s">
        <v>864</v>
      </c>
      <c r="J874" t="s">
        <v>3148</v>
      </c>
      <c r="K874" t="s">
        <v>3</v>
      </c>
      <c r="L874" s="2">
        <v>43221</v>
      </c>
      <c r="M874" s="2">
        <f>DHMXX[[#This Row],[INV DOC DATE]]+30</f>
        <v>43251</v>
      </c>
      <c r="N874" s="2">
        <v>43251</v>
      </c>
      <c r="O874" s="7">
        <v>178.25</v>
      </c>
      <c r="P874" s="2">
        <v>43262</v>
      </c>
      <c r="Q874" s="7">
        <f>$E874-$O874</f>
        <v>0</v>
      </c>
      <c r="R874" s="7" t="str">
        <f ca="1">IF(TODAY() - DHMXX[INV DUE DATE]&lt;30, "Less than 30 days",IF(TODAY()-DHMXX[INV DUE DATE]&lt;60,"30-60 days","More than 60 days"))</f>
        <v>30-60 days</v>
      </c>
      <c r="S874" t="s">
        <v>1550</v>
      </c>
      <c r="T874" s="43" t="s">
        <v>2229</v>
      </c>
      <c r="U874" t="s">
        <v>3699</v>
      </c>
    </row>
    <row r="875" spans="1:21" x14ac:dyDescent="0.3">
      <c r="A875" t="s">
        <v>2704</v>
      </c>
      <c r="B875" t="s">
        <v>30</v>
      </c>
      <c r="C875" t="s">
        <v>1538</v>
      </c>
      <c r="D875" s="15">
        <v>2000</v>
      </c>
      <c r="E875" s="7">
        <v>178.25</v>
      </c>
      <c r="H875">
        <v>182140</v>
      </c>
      <c r="I875" t="s">
        <v>864</v>
      </c>
      <c r="J875" t="s">
        <v>3149</v>
      </c>
      <c r="K875" t="s">
        <v>3</v>
      </c>
      <c r="L875" s="2">
        <v>43221</v>
      </c>
      <c r="M875" s="2">
        <f>DHMXX[[#This Row],[INV DOC DATE]]+30</f>
        <v>43251</v>
      </c>
      <c r="N875" s="2">
        <v>43251</v>
      </c>
      <c r="O875" s="7">
        <v>178.25</v>
      </c>
      <c r="P875" s="2">
        <v>43262</v>
      </c>
      <c r="Q875" s="7">
        <f>$E875-$O875</f>
        <v>0</v>
      </c>
      <c r="R875" s="7" t="str">
        <f ca="1">IF(TODAY() - DHMXX[INV DUE DATE]&lt;30, "Less than 30 days",IF(TODAY()-DHMXX[INV DUE DATE]&lt;60,"30-60 days","More than 60 days"))</f>
        <v>30-60 days</v>
      </c>
      <c r="S875" t="s">
        <v>1550</v>
      </c>
      <c r="T875" s="43" t="s">
        <v>2229</v>
      </c>
      <c r="U875" t="s">
        <v>3699</v>
      </c>
    </row>
    <row r="876" spans="1:21" x14ac:dyDescent="0.3">
      <c r="A876" t="s">
        <v>2704</v>
      </c>
      <c r="B876" t="s">
        <v>30</v>
      </c>
      <c r="C876" t="s">
        <v>1539</v>
      </c>
      <c r="D876" s="15">
        <v>2000</v>
      </c>
      <c r="E876" s="7">
        <v>178.25</v>
      </c>
      <c r="H876">
        <v>182140</v>
      </c>
      <c r="I876" t="s">
        <v>864</v>
      </c>
      <c r="J876" t="s">
        <v>3150</v>
      </c>
      <c r="K876" t="s">
        <v>3</v>
      </c>
      <c r="L876" s="2">
        <v>43221</v>
      </c>
      <c r="M876" s="2">
        <f>DHMXX[[#This Row],[INV DOC DATE]]+30</f>
        <v>43251</v>
      </c>
      <c r="N876" s="2">
        <v>43251</v>
      </c>
      <c r="O876" s="7">
        <v>178.25</v>
      </c>
      <c r="P876" s="2">
        <v>43262</v>
      </c>
      <c r="Q876" s="7">
        <f>$E876-$O876</f>
        <v>0</v>
      </c>
      <c r="R876" s="7" t="str">
        <f ca="1">IF(TODAY() - DHMXX[INV DUE DATE]&lt;30, "Less than 30 days",IF(TODAY()-DHMXX[INV DUE DATE]&lt;60,"30-60 days","More than 60 days"))</f>
        <v>30-60 days</v>
      </c>
      <c r="S876" t="s">
        <v>1550</v>
      </c>
      <c r="T876" s="43" t="s">
        <v>2229</v>
      </c>
      <c r="U876" t="s">
        <v>3699</v>
      </c>
    </row>
    <row r="877" spans="1:21" x14ac:dyDescent="0.3">
      <c r="A877" t="s">
        <v>2688</v>
      </c>
      <c r="B877" t="s">
        <v>30</v>
      </c>
      <c r="C877" t="s">
        <v>1342</v>
      </c>
      <c r="D877" s="15">
        <v>1</v>
      </c>
      <c r="E877" s="7">
        <v>178.25</v>
      </c>
      <c r="H877">
        <v>64179</v>
      </c>
      <c r="I877" t="s">
        <v>845</v>
      </c>
      <c r="J877" t="s">
        <v>2951</v>
      </c>
      <c r="K877" t="s">
        <v>3</v>
      </c>
      <c r="L877" s="2">
        <v>43221</v>
      </c>
      <c r="M877" s="2">
        <f>DHMXX[[#This Row],[INV DOC DATE]]+30</f>
        <v>43251</v>
      </c>
      <c r="N877" s="2">
        <v>43251</v>
      </c>
      <c r="O877" s="7">
        <v>178.25</v>
      </c>
      <c r="P877" s="2">
        <v>43262</v>
      </c>
      <c r="Q877" s="7">
        <f>$E877-$O877</f>
        <v>0</v>
      </c>
      <c r="R877" s="7" t="str">
        <f ca="1">IF(TODAY() - DHMXX[INV DUE DATE]&lt;30, "Less than 30 days",IF(TODAY()-DHMXX[INV DUE DATE]&lt;60,"30-60 days","More than 60 days"))</f>
        <v>30-60 days</v>
      </c>
      <c r="S877" t="s">
        <v>1550</v>
      </c>
      <c r="T877" s="43" t="s">
        <v>2229</v>
      </c>
      <c r="U877" t="s">
        <v>3699</v>
      </c>
    </row>
    <row r="878" spans="1:21" x14ac:dyDescent="0.3">
      <c r="A878" t="s">
        <v>2688</v>
      </c>
      <c r="B878" t="s">
        <v>30</v>
      </c>
      <c r="C878" t="s">
        <v>1343</v>
      </c>
      <c r="D878" s="15">
        <v>1</v>
      </c>
      <c r="E878" s="7">
        <v>178.25</v>
      </c>
      <c r="H878">
        <v>64179</v>
      </c>
      <c r="I878" t="s">
        <v>845</v>
      </c>
      <c r="J878" t="s">
        <v>2952</v>
      </c>
      <c r="K878" t="s">
        <v>3</v>
      </c>
      <c r="L878" s="2">
        <v>43221</v>
      </c>
      <c r="M878" s="2">
        <f>DHMXX[[#This Row],[INV DOC DATE]]+30</f>
        <v>43251</v>
      </c>
      <c r="N878" s="2">
        <v>43251</v>
      </c>
      <c r="O878" s="7">
        <v>178.25</v>
      </c>
      <c r="P878" s="2">
        <v>43262</v>
      </c>
      <c r="Q878" s="7">
        <f>$E878-$O878</f>
        <v>0</v>
      </c>
      <c r="R878" s="7" t="str">
        <f ca="1">IF(TODAY() - DHMXX[INV DUE DATE]&lt;30, "Less than 30 days",IF(TODAY()-DHMXX[INV DUE DATE]&lt;60,"30-60 days","More than 60 days"))</f>
        <v>30-60 days</v>
      </c>
      <c r="S878" t="s">
        <v>1550</v>
      </c>
      <c r="T878" s="43" t="s">
        <v>2229</v>
      </c>
      <c r="U878" t="s">
        <v>3699</v>
      </c>
    </row>
    <row r="879" spans="1:21" x14ac:dyDescent="0.3">
      <c r="A879" t="s">
        <v>2688</v>
      </c>
      <c r="B879" t="s">
        <v>30</v>
      </c>
      <c r="C879" t="s">
        <v>1344</v>
      </c>
      <c r="D879" s="15">
        <v>1</v>
      </c>
      <c r="E879" s="7">
        <v>178.25</v>
      </c>
      <c r="H879">
        <v>64179</v>
      </c>
      <c r="I879" t="s">
        <v>845</v>
      </c>
      <c r="J879" t="s">
        <v>2953</v>
      </c>
      <c r="K879" t="s">
        <v>3</v>
      </c>
      <c r="L879" s="2">
        <v>43221</v>
      </c>
      <c r="M879" s="2">
        <f>DHMXX[[#This Row],[INV DOC DATE]]+30</f>
        <v>43251</v>
      </c>
      <c r="N879" s="2">
        <v>43251</v>
      </c>
      <c r="O879" s="7">
        <v>178.25</v>
      </c>
      <c r="P879" s="2">
        <v>43262</v>
      </c>
      <c r="Q879" s="7">
        <f>$E879-$O879</f>
        <v>0</v>
      </c>
      <c r="R879" s="7" t="str">
        <f ca="1">IF(TODAY() - DHMXX[INV DUE DATE]&lt;30, "Less than 30 days",IF(TODAY()-DHMXX[INV DUE DATE]&lt;60,"30-60 days","More than 60 days"))</f>
        <v>30-60 days</v>
      </c>
      <c r="S879" t="s">
        <v>1550</v>
      </c>
      <c r="T879" s="43" t="s">
        <v>2229</v>
      </c>
      <c r="U879" t="s">
        <v>3699</v>
      </c>
    </row>
    <row r="880" spans="1:21" x14ac:dyDescent="0.3">
      <c r="A880" t="s">
        <v>2688</v>
      </c>
      <c r="B880" t="s">
        <v>30</v>
      </c>
      <c r="C880" t="s">
        <v>1345</v>
      </c>
      <c r="D880" s="15">
        <v>1</v>
      </c>
      <c r="E880" s="7">
        <v>232.5</v>
      </c>
      <c r="H880">
        <v>64179</v>
      </c>
      <c r="I880" t="s">
        <v>845</v>
      </c>
      <c r="J880" t="s">
        <v>2954</v>
      </c>
      <c r="K880" t="s">
        <v>3</v>
      </c>
      <c r="L880" s="2">
        <v>43221</v>
      </c>
      <c r="M880" s="2">
        <f>DHMXX[[#This Row],[INV DOC DATE]]+30</f>
        <v>43251</v>
      </c>
      <c r="N880" s="2">
        <v>43251</v>
      </c>
      <c r="O880" s="7">
        <v>232.5</v>
      </c>
      <c r="P880" s="2">
        <v>43262</v>
      </c>
      <c r="Q880" s="7">
        <f>$E880-$O880</f>
        <v>0</v>
      </c>
      <c r="R880" s="7" t="str">
        <f ca="1">IF(TODAY() - DHMXX[INV DUE DATE]&lt;30, "Less than 30 days",IF(TODAY()-DHMXX[INV DUE DATE]&lt;60,"30-60 days","More than 60 days"))</f>
        <v>30-60 days</v>
      </c>
      <c r="S880" t="s">
        <v>1550</v>
      </c>
      <c r="T880" s="43" t="s">
        <v>2229</v>
      </c>
      <c r="U880" t="s">
        <v>3699</v>
      </c>
    </row>
    <row r="881" spans="1:21" x14ac:dyDescent="0.3">
      <c r="A881" t="s">
        <v>2688</v>
      </c>
      <c r="B881" t="s">
        <v>30</v>
      </c>
      <c r="C881" t="s">
        <v>1346</v>
      </c>
      <c r="D881" s="15">
        <v>1</v>
      </c>
      <c r="E881" s="7">
        <v>232.5</v>
      </c>
      <c r="H881">
        <v>64179</v>
      </c>
      <c r="I881" t="s">
        <v>845</v>
      </c>
      <c r="J881" t="s">
        <v>2955</v>
      </c>
      <c r="K881" t="s">
        <v>3</v>
      </c>
      <c r="L881" s="2">
        <v>43221</v>
      </c>
      <c r="M881" s="2">
        <f>DHMXX[[#This Row],[INV DOC DATE]]+30</f>
        <v>43251</v>
      </c>
      <c r="N881" s="2">
        <v>43251</v>
      </c>
      <c r="O881" s="7">
        <v>232.5</v>
      </c>
      <c r="P881" s="2">
        <v>43262</v>
      </c>
      <c r="Q881" s="7">
        <f>$E881-$O881</f>
        <v>0</v>
      </c>
      <c r="R881" s="7" t="str">
        <f ca="1">IF(TODAY() - DHMXX[INV DUE DATE]&lt;30, "Less than 30 days",IF(TODAY()-DHMXX[INV DUE DATE]&lt;60,"30-60 days","More than 60 days"))</f>
        <v>30-60 days</v>
      </c>
      <c r="S881" t="s">
        <v>1550</v>
      </c>
      <c r="T881" s="43" t="s">
        <v>2229</v>
      </c>
      <c r="U881" t="s">
        <v>3699</v>
      </c>
    </row>
    <row r="882" spans="1:21" x14ac:dyDescent="0.3">
      <c r="A882" t="s">
        <v>2688</v>
      </c>
      <c r="B882" t="s">
        <v>30</v>
      </c>
      <c r="C882" t="s">
        <v>1347</v>
      </c>
      <c r="D882" s="15">
        <v>1</v>
      </c>
      <c r="E882" s="7">
        <v>232.5</v>
      </c>
      <c r="H882">
        <v>64179</v>
      </c>
      <c r="I882" t="s">
        <v>845</v>
      </c>
      <c r="J882" t="s">
        <v>2956</v>
      </c>
      <c r="K882" t="s">
        <v>3</v>
      </c>
      <c r="L882" s="2">
        <v>43221</v>
      </c>
      <c r="M882" s="2">
        <f>DHMXX[[#This Row],[INV DOC DATE]]+30</f>
        <v>43251</v>
      </c>
      <c r="N882" s="2">
        <v>43251</v>
      </c>
      <c r="O882" s="7">
        <v>232.5</v>
      </c>
      <c r="P882" s="2">
        <v>43262</v>
      </c>
      <c r="Q882" s="7">
        <f>$E882-$O882</f>
        <v>0</v>
      </c>
      <c r="R882" s="7" t="str">
        <f ca="1">IF(TODAY() - DHMXX[INV DUE DATE]&lt;30, "Less than 30 days",IF(TODAY()-DHMXX[INV DUE DATE]&lt;60,"30-60 days","More than 60 days"))</f>
        <v>30-60 days</v>
      </c>
      <c r="S882" t="s">
        <v>1550</v>
      </c>
      <c r="T882" s="43" t="s">
        <v>2229</v>
      </c>
      <c r="U882" t="s">
        <v>3699</v>
      </c>
    </row>
    <row r="883" spans="1:21" x14ac:dyDescent="0.3">
      <c r="A883" t="s">
        <v>2688</v>
      </c>
      <c r="B883" t="s">
        <v>30</v>
      </c>
      <c r="C883" t="s">
        <v>1348</v>
      </c>
      <c r="D883" s="15">
        <v>1</v>
      </c>
      <c r="E883" s="7">
        <v>232.5</v>
      </c>
      <c r="H883">
        <v>64179</v>
      </c>
      <c r="I883" t="s">
        <v>845</v>
      </c>
      <c r="J883" t="s">
        <v>2957</v>
      </c>
      <c r="K883" t="s">
        <v>3</v>
      </c>
      <c r="L883" s="2">
        <v>43221</v>
      </c>
      <c r="M883" s="2">
        <f>DHMXX[[#This Row],[INV DOC DATE]]+30</f>
        <v>43251</v>
      </c>
      <c r="N883" s="2">
        <v>43251</v>
      </c>
      <c r="O883" s="7">
        <v>232.5</v>
      </c>
      <c r="P883" s="2">
        <v>43262</v>
      </c>
      <c r="Q883" s="7">
        <f>$E883-$O883</f>
        <v>0</v>
      </c>
      <c r="R883" s="7" t="str">
        <f ca="1">IF(TODAY() - DHMXX[INV DUE DATE]&lt;30, "Less than 30 days",IF(TODAY()-DHMXX[INV DUE DATE]&lt;60,"30-60 days","More than 60 days"))</f>
        <v>30-60 days</v>
      </c>
      <c r="S883" t="s">
        <v>1550</v>
      </c>
      <c r="T883" s="43" t="s">
        <v>2229</v>
      </c>
      <c r="U883" t="s">
        <v>3699</v>
      </c>
    </row>
    <row r="884" spans="1:21" x14ac:dyDescent="0.3">
      <c r="A884" t="s">
        <v>2688</v>
      </c>
      <c r="B884" t="s">
        <v>30</v>
      </c>
      <c r="C884" t="s">
        <v>1349</v>
      </c>
      <c r="D884" s="15">
        <v>1</v>
      </c>
      <c r="E884" s="7">
        <v>178.25</v>
      </c>
      <c r="H884">
        <v>64179</v>
      </c>
      <c r="I884" t="s">
        <v>845</v>
      </c>
      <c r="J884" t="s">
        <v>2958</v>
      </c>
      <c r="K884" t="s">
        <v>3</v>
      </c>
      <c r="L884" s="2">
        <v>43221</v>
      </c>
      <c r="M884" s="2">
        <f>DHMXX[[#This Row],[INV DOC DATE]]+30</f>
        <v>43251</v>
      </c>
      <c r="N884" s="2">
        <v>43251</v>
      </c>
      <c r="O884" s="7">
        <v>178.25</v>
      </c>
      <c r="P884" s="2">
        <v>43262</v>
      </c>
      <c r="Q884" s="7">
        <f>$E884-$O884</f>
        <v>0</v>
      </c>
      <c r="R884" s="7" t="str">
        <f ca="1">IF(TODAY() - DHMXX[INV DUE DATE]&lt;30, "Less than 30 days",IF(TODAY()-DHMXX[INV DUE DATE]&lt;60,"30-60 days","More than 60 days"))</f>
        <v>30-60 days</v>
      </c>
      <c r="S884" t="s">
        <v>1550</v>
      </c>
      <c r="T884" s="43" t="s">
        <v>2229</v>
      </c>
      <c r="U884" t="s">
        <v>3699</v>
      </c>
    </row>
    <row r="885" spans="1:21" x14ac:dyDescent="0.3">
      <c r="A885" t="s">
        <v>2688</v>
      </c>
      <c r="B885" t="s">
        <v>30</v>
      </c>
      <c r="C885" t="s">
        <v>1350</v>
      </c>
      <c r="D885" s="15">
        <v>1</v>
      </c>
      <c r="E885" s="7">
        <v>178.25</v>
      </c>
      <c r="H885">
        <v>64248</v>
      </c>
      <c r="I885" t="s">
        <v>845</v>
      </c>
      <c r="J885" t="s">
        <v>2959</v>
      </c>
      <c r="K885" t="s">
        <v>3</v>
      </c>
      <c r="L885" s="2">
        <v>43221</v>
      </c>
      <c r="M885" s="2">
        <f>DHMXX[[#This Row],[INV DOC DATE]]+30</f>
        <v>43251</v>
      </c>
      <c r="N885" s="2">
        <v>43251</v>
      </c>
      <c r="O885" s="7">
        <v>178.25</v>
      </c>
      <c r="P885" s="2">
        <v>43262</v>
      </c>
      <c r="Q885" s="7">
        <f>$E885-$O885</f>
        <v>0</v>
      </c>
      <c r="R885" s="7" t="str">
        <f ca="1">IF(TODAY() - DHMXX[INV DUE DATE]&lt;30, "Less than 30 days",IF(TODAY()-DHMXX[INV DUE DATE]&lt;60,"30-60 days","More than 60 days"))</f>
        <v>30-60 days</v>
      </c>
      <c r="S885" t="s">
        <v>1550</v>
      </c>
      <c r="T885" s="43" t="s">
        <v>2229</v>
      </c>
      <c r="U885" t="s">
        <v>3699</v>
      </c>
    </row>
    <row r="886" spans="1:21" x14ac:dyDescent="0.3">
      <c r="A886" t="s">
        <v>2688</v>
      </c>
      <c r="B886" t="s">
        <v>30</v>
      </c>
      <c r="C886" t="s">
        <v>1351</v>
      </c>
      <c r="D886" s="15">
        <v>1</v>
      </c>
      <c r="E886" s="7">
        <v>310</v>
      </c>
      <c r="H886">
        <v>64248</v>
      </c>
      <c r="I886" t="s">
        <v>845</v>
      </c>
      <c r="J886" t="s">
        <v>2960</v>
      </c>
      <c r="K886" t="s">
        <v>3</v>
      </c>
      <c r="L886" s="2">
        <v>43221</v>
      </c>
      <c r="M886" s="2">
        <f>DHMXX[[#This Row],[INV DOC DATE]]+30</f>
        <v>43251</v>
      </c>
      <c r="N886" s="2">
        <v>43251</v>
      </c>
      <c r="O886" s="7">
        <v>310</v>
      </c>
      <c r="P886" s="2">
        <v>43262</v>
      </c>
      <c r="Q886" s="7">
        <f>$E886-$O886</f>
        <v>0</v>
      </c>
      <c r="R886" s="7" t="str">
        <f ca="1">IF(TODAY() - DHMXX[INV DUE DATE]&lt;30, "Less than 30 days",IF(TODAY()-DHMXX[INV DUE DATE]&lt;60,"30-60 days","More than 60 days"))</f>
        <v>30-60 days</v>
      </c>
      <c r="S886" t="s">
        <v>1550</v>
      </c>
      <c r="T886" s="43" t="s">
        <v>2229</v>
      </c>
      <c r="U886" t="s">
        <v>3699</v>
      </c>
    </row>
    <row r="887" spans="1:21" x14ac:dyDescent="0.3">
      <c r="A887" t="s">
        <v>2688</v>
      </c>
      <c r="B887" t="s">
        <v>30</v>
      </c>
      <c r="C887" t="s">
        <v>1352</v>
      </c>
      <c r="D887" s="15">
        <v>1</v>
      </c>
      <c r="E887" s="7">
        <v>232.5</v>
      </c>
      <c r="H887">
        <v>64248</v>
      </c>
      <c r="I887" t="s">
        <v>845</v>
      </c>
      <c r="J887" t="s">
        <v>2961</v>
      </c>
      <c r="K887" t="s">
        <v>3</v>
      </c>
      <c r="L887" s="2">
        <v>43221</v>
      </c>
      <c r="M887" s="2">
        <f>DHMXX[[#This Row],[INV DOC DATE]]+30</f>
        <v>43251</v>
      </c>
      <c r="N887" s="2">
        <v>43251</v>
      </c>
      <c r="O887" s="7">
        <v>232.5</v>
      </c>
      <c r="P887" s="2">
        <v>43262</v>
      </c>
      <c r="Q887" s="7">
        <f>$E887-$O887</f>
        <v>0</v>
      </c>
      <c r="R887" s="7" t="str">
        <f ca="1">IF(TODAY() - DHMXX[INV DUE DATE]&lt;30, "Less than 30 days",IF(TODAY()-DHMXX[INV DUE DATE]&lt;60,"30-60 days","More than 60 days"))</f>
        <v>30-60 days</v>
      </c>
      <c r="S887" t="s">
        <v>1550</v>
      </c>
      <c r="T887" s="43" t="s">
        <v>2229</v>
      </c>
      <c r="U887" t="s">
        <v>3699</v>
      </c>
    </row>
    <row r="888" spans="1:21" x14ac:dyDescent="0.3">
      <c r="A888" t="s">
        <v>2688</v>
      </c>
      <c r="B888" t="s">
        <v>30</v>
      </c>
      <c r="C888" t="s">
        <v>1353</v>
      </c>
      <c r="D888" s="15">
        <v>1</v>
      </c>
      <c r="E888" s="7">
        <v>232.5</v>
      </c>
      <c r="H888">
        <v>64248</v>
      </c>
      <c r="I888" t="s">
        <v>845</v>
      </c>
      <c r="J888" t="s">
        <v>2962</v>
      </c>
      <c r="K888" t="s">
        <v>3</v>
      </c>
      <c r="L888" s="2">
        <v>43221</v>
      </c>
      <c r="M888" s="2">
        <f>DHMXX[[#This Row],[INV DOC DATE]]+30</f>
        <v>43251</v>
      </c>
      <c r="N888" s="2">
        <v>43251</v>
      </c>
      <c r="O888" s="7">
        <v>232.5</v>
      </c>
      <c r="P888" s="2">
        <v>43262</v>
      </c>
      <c r="Q888" s="7">
        <f>$E888-$O888</f>
        <v>0</v>
      </c>
      <c r="R888" s="7" t="str">
        <f ca="1">IF(TODAY() - DHMXX[INV DUE DATE]&lt;30, "Less than 30 days",IF(TODAY()-DHMXX[INV DUE DATE]&lt;60,"30-60 days","More than 60 days"))</f>
        <v>30-60 days</v>
      </c>
      <c r="S888" t="s">
        <v>1550</v>
      </c>
      <c r="T888" s="43" t="s">
        <v>2229</v>
      </c>
      <c r="U888" t="s">
        <v>3699</v>
      </c>
    </row>
    <row r="889" spans="1:21" x14ac:dyDescent="0.3">
      <c r="A889" t="s">
        <v>2688</v>
      </c>
      <c r="B889" t="s">
        <v>30</v>
      </c>
      <c r="C889" t="s">
        <v>1354</v>
      </c>
      <c r="D889" s="15">
        <v>1</v>
      </c>
      <c r="E889" s="7">
        <v>232.5</v>
      </c>
      <c r="H889">
        <v>64248</v>
      </c>
      <c r="I889" t="s">
        <v>845</v>
      </c>
      <c r="J889" t="s">
        <v>2963</v>
      </c>
      <c r="K889" t="s">
        <v>3</v>
      </c>
      <c r="L889" s="2">
        <v>43221</v>
      </c>
      <c r="M889" s="2">
        <f>DHMXX[[#This Row],[INV DOC DATE]]+30</f>
        <v>43251</v>
      </c>
      <c r="N889" s="2">
        <v>43251</v>
      </c>
      <c r="O889" s="7">
        <v>232.5</v>
      </c>
      <c r="P889" s="2">
        <v>43262</v>
      </c>
      <c r="Q889" s="7">
        <f>$E889-$O889</f>
        <v>0</v>
      </c>
      <c r="R889" s="7" t="str">
        <f ca="1">IF(TODAY() - DHMXX[INV DUE DATE]&lt;30, "Less than 30 days",IF(TODAY()-DHMXX[INV DUE DATE]&lt;60,"30-60 days","More than 60 days"))</f>
        <v>30-60 days</v>
      </c>
      <c r="S889" t="s">
        <v>1550</v>
      </c>
      <c r="T889" s="43" t="s">
        <v>2229</v>
      </c>
      <c r="U889" t="s">
        <v>3699</v>
      </c>
    </row>
    <row r="890" spans="1:21" x14ac:dyDescent="0.3">
      <c r="A890" t="s">
        <v>2688</v>
      </c>
      <c r="B890" t="s">
        <v>30</v>
      </c>
      <c r="C890" t="s">
        <v>1355</v>
      </c>
      <c r="D890" s="15">
        <v>1</v>
      </c>
      <c r="E890" s="7">
        <v>178.25</v>
      </c>
      <c r="H890">
        <v>64248</v>
      </c>
      <c r="I890" t="s">
        <v>845</v>
      </c>
      <c r="J890" t="s">
        <v>2964</v>
      </c>
      <c r="K890" t="s">
        <v>3</v>
      </c>
      <c r="L890" s="2">
        <v>43221</v>
      </c>
      <c r="M890" s="2">
        <f>DHMXX[[#This Row],[INV DOC DATE]]+30</f>
        <v>43251</v>
      </c>
      <c r="N890" s="2">
        <v>43251</v>
      </c>
      <c r="O890" s="7">
        <v>178.25</v>
      </c>
      <c r="P890" s="2">
        <v>43262</v>
      </c>
      <c r="Q890" s="7">
        <f>$E890-$O890</f>
        <v>0</v>
      </c>
      <c r="R890" s="7" t="str">
        <f ca="1">IF(TODAY() - DHMXX[INV DUE DATE]&lt;30, "Less than 30 days",IF(TODAY()-DHMXX[INV DUE DATE]&lt;60,"30-60 days","More than 60 days"))</f>
        <v>30-60 days</v>
      </c>
      <c r="S890" t="s">
        <v>1550</v>
      </c>
      <c r="T890" s="43" t="s">
        <v>2229</v>
      </c>
      <c r="U890" t="s">
        <v>3699</v>
      </c>
    </row>
    <row r="891" spans="1:21" x14ac:dyDescent="0.3">
      <c r="A891" t="s">
        <v>2688</v>
      </c>
      <c r="B891" t="s">
        <v>30</v>
      </c>
      <c r="C891" t="s">
        <v>1356</v>
      </c>
      <c r="D891" s="15">
        <v>1</v>
      </c>
      <c r="E891" s="7">
        <v>232.5</v>
      </c>
      <c r="H891">
        <v>64248</v>
      </c>
      <c r="I891" t="s">
        <v>845</v>
      </c>
      <c r="J891" t="s">
        <v>2965</v>
      </c>
      <c r="K891" t="s">
        <v>3</v>
      </c>
      <c r="L891" s="2">
        <v>43221</v>
      </c>
      <c r="M891" s="2">
        <f>DHMXX[[#This Row],[INV DOC DATE]]+30</f>
        <v>43251</v>
      </c>
      <c r="N891" s="2">
        <v>43251</v>
      </c>
      <c r="O891" s="7">
        <v>232.5</v>
      </c>
      <c r="P891" s="2">
        <v>43262</v>
      </c>
      <c r="Q891" s="7">
        <f>$E891-$O891</f>
        <v>0</v>
      </c>
      <c r="R891" s="7" t="str">
        <f ca="1">IF(TODAY() - DHMXX[INV DUE DATE]&lt;30, "Less than 30 days",IF(TODAY()-DHMXX[INV DUE DATE]&lt;60,"30-60 days","More than 60 days"))</f>
        <v>30-60 days</v>
      </c>
      <c r="S891" t="s">
        <v>1550</v>
      </c>
      <c r="T891" s="43" t="s">
        <v>2229</v>
      </c>
      <c r="U891" t="s">
        <v>3699</v>
      </c>
    </row>
    <row r="892" spans="1:21" x14ac:dyDescent="0.3">
      <c r="A892" t="s">
        <v>2688</v>
      </c>
      <c r="B892" t="s">
        <v>30</v>
      </c>
      <c r="C892" t="s">
        <v>1357</v>
      </c>
      <c r="D892" s="15">
        <v>1</v>
      </c>
      <c r="E892" s="7">
        <v>178.25</v>
      </c>
      <c r="H892">
        <v>64248</v>
      </c>
      <c r="I892" t="s">
        <v>845</v>
      </c>
      <c r="J892" t="s">
        <v>2966</v>
      </c>
      <c r="K892" t="s">
        <v>3</v>
      </c>
      <c r="L892" s="2">
        <v>43221</v>
      </c>
      <c r="M892" s="2">
        <f>DHMXX[[#This Row],[INV DOC DATE]]+30</f>
        <v>43251</v>
      </c>
      <c r="N892" s="2">
        <v>43251</v>
      </c>
      <c r="O892" s="7">
        <v>178.25</v>
      </c>
      <c r="P892" s="2">
        <v>43262</v>
      </c>
      <c r="Q892" s="7">
        <f>$E892-$O892</f>
        <v>0</v>
      </c>
      <c r="R892" s="7" t="str">
        <f ca="1">IF(TODAY() - DHMXX[INV DUE DATE]&lt;30, "Less than 30 days",IF(TODAY()-DHMXX[INV DUE DATE]&lt;60,"30-60 days","More than 60 days"))</f>
        <v>30-60 days</v>
      </c>
      <c r="S892" t="s">
        <v>1550</v>
      </c>
      <c r="T892" s="43" t="s">
        <v>2229</v>
      </c>
      <c r="U892" t="s">
        <v>3699</v>
      </c>
    </row>
    <row r="893" spans="1:21" x14ac:dyDescent="0.3">
      <c r="A893" t="s">
        <v>2688</v>
      </c>
      <c r="B893" t="s">
        <v>30</v>
      </c>
      <c r="C893" t="s">
        <v>1358</v>
      </c>
      <c r="D893" s="15">
        <v>1</v>
      </c>
      <c r="E893" s="7">
        <v>178.25</v>
      </c>
      <c r="H893">
        <v>64248</v>
      </c>
      <c r="I893" t="s">
        <v>845</v>
      </c>
      <c r="J893" t="s">
        <v>2967</v>
      </c>
      <c r="K893" t="s">
        <v>3</v>
      </c>
      <c r="L893" s="2">
        <v>43221</v>
      </c>
      <c r="M893" s="2">
        <f>DHMXX[[#This Row],[INV DOC DATE]]+30</f>
        <v>43251</v>
      </c>
      <c r="N893" s="2">
        <v>43251</v>
      </c>
      <c r="O893" s="7">
        <v>178.25</v>
      </c>
      <c r="P893" s="2">
        <v>43262</v>
      </c>
      <c r="Q893" s="7">
        <f>$E893-$O893</f>
        <v>0</v>
      </c>
      <c r="R893" s="7" t="str">
        <f ca="1">IF(TODAY() - DHMXX[INV DUE DATE]&lt;30, "Less than 30 days",IF(TODAY()-DHMXX[INV DUE DATE]&lt;60,"30-60 days","More than 60 days"))</f>
        <v>30-60 days</v>
      </c>
      <c r="S893" t="s">
        <v>1550</v>
      </c>
      <c r="T893" s="43" t="s">
        <v>2229</v>
      </c>
      <c r="U893" t="s">
        <v>3699</v>
      </c>
    </row>
    <row r="894" spans="1:21" x14ac:dyDescent="0.3">
      <c r="A894" t="s">
        <v>2688</v>
      </c>
      <c r="B894" t="s">
        <v>30</v>
      </c>
      <c r="C894" t="s">
        <v>1359</v>
      </c>
      <c r="D894" s="15">
        <v>1</v>
      </c>
      <c r="E894" s="7">
        <v>178.25</v>
      </c>
      <c r="H894">
        <v>64248</v>
      </c>
      <c r="I894" t="s">
        <v>845</v>
      </c>
      <c r="J894" t="s">
        <v>2968</v>
      </c>
      <c r="K894" t="s">
        <v>3</v>
      </c>
      <c r="L894" s="2">
        <v>43221</v>
      </c>
      <c r="M894" s="2">
        <f>DHMXX[[#This Row],[INV DOC DATE]]+30</f>
        <v>43251</v>
      </c>
      <c r="N894" s="2">
        <v>43251</v>
      </c>
      <c r="O894" s="7">
        <v>178.25</v>
      </c>
      <c r="P894" s="2">
        <v>43262</v>
      </c>
      <c r="Q894" s="7">
        <f>$E894-$O894</f>
        <v>0</v>
      </c>
      <c r="R894" s="7" t="str">
        <f ca="1">IF(TODAY() - DHMXX[INV DUE DATE]&lt;30, "Less than 30 days",IF(TODAY()-DHMXX[INV DUE DATE]&lt;60,"30-60 days","More than 60 days"))</f>
        <v>30-60 days</v>
      </c>
      <c r="S894" t="s">
        <v>1550</v>
      </c>
      <c r="T894" s="43" t="s">
        <v>2229</v>
      </c>
      <c r="U894" t="s">
        <v>3699</v>
      </c>
    </row>
    <row r="895" spans="1:21" x14ac:dyDescent="0.3">
      <c r="A895" t="s">
        <v>2688</v>
      </c>
      <c r="B895" t="s">
        <v>30</v>
      </c>
      <c r="C895" t="s">
        <v>1360</v>
      </c>
      <c r="D895" s="15">
        <v>1</v>
      </c>
      <c r="E895" s="7">
        <v>178.25</v>
      </c>
      <c r="H895">
        <v>64248</v>
      </c>
      <c r="I895" t="s">
        <v>845</v>
      </c>
      <c r="J895" t="s">
        <v>2969</v>
      </c>
      <c r="K895" t="s">
        <v>3</v>
      </c>
      <c r="L895" s="2">
        <v>43221</v>
      </c>
      <c r="M895" s="2">
        <f>DHMXX[[#This Row],[INV DOC DATE]]+30</f>
        <v>43251</v>
      </c>
      <c r="N895" s="2">
        <v>43251</v>
      </c>
      <c r="O895" s="7">
        <v>178.25</v>
      </c>
      <c r="P895" s="2">
        <v>43262</v>
      </c>
      <c r="Q895" s="7">
        <f>$E895-$O895</f>
        <v>0</v>
      </c>
      <c r="R895" s="7" t="str">
        <f ca="1">IF(TODAY() - DHMXX[INV DUE DATE]&lt;30, "Less than 30 days",IF(TODAY()-DHMXX[INV DUE DATE]&lt;60,"30-60 days","More than 60 days"))</f>
        <v>30-60 days</v>
      </c>
      <c r="S895" t="s">
        <v>1550</v>
      </c>
      <c r="T895" s="43" t="s">
        <v>2229</v>
      </c>
      <c r="U895" t="s">
        <v>3699</v>
      </c>
    </row>
    <row r="896" spans="1:21" x14ac:dyDescent="0.3">
      <c r="A896" t="s">
        <v>2688</v>
      </c>
      <c r="B896" t="s">
        <v>30</v>
      </c>
      <c r="C896" t="s">
        <v>1361</v>
      </c>
      <c r="D896" s="15">
        <v>1</v>
      </c>
      <c r="E896" s="7">
        <v>178.25</v>
      </c>
      <c r="H896">
        <v>64248</v>
      </c>
      <c r="I896" t="s">
        <v>845</v>
      </c>
      <c r="J896" t="s">
        <v>2970</v>
      </c>
      <c r="K896" t="s">
        <v>3</v>
      </c>
      <c r="L896" s="2">
        <v>43221</v>
      </c>
      <c r="M896" s="2">
        <f>DHMXX[[#This Row],[INV DOC DATE]]+30</f>
        <v>43251</v>
      </c>
      <c r="N896" s="2">
        <v>43251</v>
      </c>
      <c r="O896" s="7">
        <v>178.25</v>
      </c>
      <c r="P896" s="2">
        <v>43262</v>
      </c>
      <c r="Q896" s="7">
        <f>$E896-$O896</f>
        <v>0</v>
      </c>
      <c r="R896" s="7" t="str">
        <f ca="1">IF(TODAY() - DHMXX[INV DUE DATE]&lt;30, "Less than 30 days",IF(TODAY()-DHMXX[INV DUE DATE]&lt;60,"30-60 days","More than 60 days"))</f>
        <v>30-60 days</v>
      </c>
      <c r="S896" t="s">
        <v>1550</v>
      </c>
      <c r="T896" s="43" t="s">
        <v>2229</v>
      </c>
      <c r="U896" t="s">
        <v>3699</v>
      </c>
    </row>
    <row r="897" spans="1:21" x14ac:dyDescent="0.3">
      <c r="A897" t="s">
        <v>2688</v>
      </c>
      <c r="B897" t="s">
        <v>30</v>
      </c>
      <c r="C897" t="s">
        <v>1362</v>
      </c>
      <c r="D897" s="15">
        <v>1</v>
      </c>
      <c r="E897" s="7">
        <v>178.25</v>
      </c>
      <c r="H897">
        <v>64248</v>
      </c>
      <c r="I897" t="s">
        <v>845</v>
      </c>
      <c r="J897" t="s">
        <v>2971</v>
      </c>
      <c r="K897" t="s">
        <v>3</v>
      </c>
      <c r="L897" s="2">
        <v>43221</v>
      </c>
      <c r="M897" s="2">
        <f>DHMXX[[#This Row],[INV DOC DATE]]+30</f>
        <v>43251</v>
      </c>
      <c r="N897" s="2">
        <v>43251</v>
      </c>
      <c r="O897" s="7">
        <v>178.25</v>
      </c>
      <c r="P897" s="2">
        <v>43262</v>
      </c>
      <c r="Q897" s="7">
        <f>$E897-$O897</f>
        <v>0</v>
      </c>
      <c r="R897" s="7" t="str">
        <f ca="1">IF(TODAY() - DHMXX[INV DUE DATE]&lt;30, "Less than 30 days",IF(TODAY()-DHMXX[INV DUE DATE]&lt;60,"30-60 days","More than 60 days"))</f>
        <v>30-60 days</v>
      </c>
      <c r="S897" t="s">
        <v>1550</v>
      </c>
      <c r="T897" s="43" t="s">
        <v>2229</v>
      </c>
      <c r="U897" t="s">
        <v>3699</v>
      </c>
    </row>
    <row r="898" spans="1:21" x14ac:dyDescent="0.3">
      <c r="A898" t="s">
        <v>3157</v>
      </c>
      <c r="B898" t="s">
        <v>30</v>
      </c>
      <c r="C898" t="s">
        <v>6</v>
      </c>
      <c r="D898" s="15">
        <v>1</v>
      </c>
      <c r="E898" s="7">
        <v>7061.54</v>
      </c>
      <c r="H898">
        <v>1274</v>
      </c>
      <c r="I898" t="s">
        <v>350</v>
      </c>
      <c r="J898" t="s">
        <v>3158</v>
      </c>
      <c r="K898" t="s">
        <v>3</v>
      </c>
      <c r="L898" s="2">
        <v>43221</v>
      </c>
      <c r="M898" s="2">
        <f>DHMXX[[#This Row],[INV DOC DATE]]+30</f>
        <v>43251</v>
      </c>
      <c r="N898" s="2">
        <v>43251</v>
      </c>
      <c r="O898" s="7">
        <v>7061.54</v>
      </c>
      <c r="P898" s="2">
        <v>43262</v>
      </c>
      <c r="Q898" s="7">
        <f>$E898-$O898</f>
        <v>0</v>
      </c>
      <c r="R898" s="7" t="str">
        <f ca="1">IF(TODAY() - DHMXX[INV DUE DATE]&lt;30, "Less than 30 days",IF(TODAY()-DHMXX[INV DUE DATE]&lt;60,"30-60 days","More than 60 days"))</f>
        <v>30-60 days</v>
      </c>
      <c r="S898" t="s">
        <v>1550</v>
      </c>
      <c r="T898" s="43" t="s">
        <v>2229</v>
      </c>
      <c r="U898" t="s">
        <v>3699</v>
      </c>
    </row>
    <row r="899" spans="1:21" x14ac:dyDescent="0.3">
      <c r="A899" t="s">
        <v>3157</v>
      </c>
      <c r="B899" t="s">
        <v>30</v>
      </c>
      <c r="C899" t="s">
        <v>7</v>
      </c>
      <c r="D899" s="15">
        <v>1</v>
      </c>
      <c r="E899" s="7">
        <v>213.99</v>
      </c>
      <c r="H899">
        <v>2747</v>
      </c>
      <c r="I899" t="s">
        <v>844</v>
      </c>
      <c r="J899" t="s">
        <v>3158</v>
      </c>
      <c r="K899" t="s">
        <v>3</v>
      </c>
      <c r="L899" s="2">
        <v>43221</v>
      </c>
      <c r="M899" s="2">
        <f>DHMXX[[#This Row],[INV DOC DATE]]+30</f>
        <v>43251</v>
      </c>
      <c r="N899" s="2">
        <v>43251</v>
      </c>
      <c r="O899" s="7">
        <v>213.99</v>
      </c>
      <c r="P899" s="2">
        <v>43262</v>
      </c>
      <c r="Q899" s="7">
        <f>$E899-$O899</f>
        <v>0</v>
      </c>
      <c r="R899" s="7" t="str">
        <f ca="1">IF(TODAY() - DHMXX[INV DUE DATE]&lt;30, "Less than 30 days",IF(TODAY()-DHMXX[INV DUE DATE]&lt;60,"30-60 days","More than 60 days"))</f>
        <v>30-60 days</v>
      </c>
      <c r="S899" t="s">
        <v>1550</v>
      </c>
      <c r="T899" s="43" t="s">
        <v>2229</v>
      </c>
      <c r="U899" t="s">
        <v>3699</v>
      </c>
    </row>
    <row r="900" spans="1:21" x14ac:dyDescent="0.3">
      <c r="A900" t="s">
        <v>3157</v>
      </c>
      <c r="B900" t="s">
        <v>30</v>
      </c>
      <c r="C900" t="s">
        <v>8</v>
      </c>
      <c r="D900" s="15">
        <v>1</v>
      </c>
      <c r="E900" s="7">
        <v>1069.93</v>
      </c>
      <c r="H900">
        <v>3825</v>
      </c>
      <c r="I900" t="s">
        <v>845</v>
      </c>
      <c r="J900" t="s">
        <v>3158</v>
      </c>
      <c r="K900" t="s">
        <v>3</v>
      </c>
      <c r="L900" s="2">
        <v>43221</v>
      </c>
      <c r="M900" s="2">
        <f>DHMXX[[#This Row],[INV DOC DATE]]+30</f>
        <v>43251</v>
      </c>
      <c r="N900" s="2">
        <v>43251</v>
      </c>
      <c r="O900" s="7">
        <v>1069.93</v>
      </c>
      <c r="P900" s="2">
        <v>43262</v>
      </c>
      <c r="Q900" s="7">
        <f>$E900-$O900</f>
        <v>0</v>
      </c>
      <c r="R900" s="7" t="str">
        <f ca="1">IF(TODAY() - DHMXX[INV DUE DATE]&lt;30, "Less than 30 days",IF(TODAY()-DHMXX[INV DUE DATE]&lt;60,"30-60 days","More than 60 days"))</f>
        <v>30-60 days</v>
      </c>
      <c r="S900" t="s">
        <v>1550</v>
      </c>
      <c r="T900" s="43" t="s">
        <v>2229</v>
      </c>
      <c r="U900" t="s">
        <v>3699</v>
      </c>
    </row>
    <row r="901" spans="1:21" x14ac:dyDescent="0.3">
      <c r="A901" t="s">
        <v>3157</v>
      </c>
      <c r="B901" t="s">
        <v>30</v>
      </c>
      <c r="C901" t="s">
        <v>9</v>
      </c>
      <c r="D901" s="15">
        <v>1</v>
      </c>
      <c r="E901" s="7">
        <v>213.99</v>
      </c>
      <c r="H901">
        <v>8327</v>
      </c>
      <c r="I901" t="s">
        <v>854</v>
      </c>
      <c r="J901" t="s">
        <v>3158</v>
      </c>
      <c r="K901" t="s">
        <v>3</v>
      </c>
      <c r="L901" s="2">
        <v>43221</v>
      </c>
      <c r="M901" s="2">
        <f>DHMXX[[#This Row],[INV DOC DATE]]+30</f>
        <v>43251</v>
      </c>
      <c r="N901" s="2">
        <v>43251</v>
      </c>
      <c r="O901" s="7">
        <v>213.99</v>
      </c>
      <c r="P901" s="2">
        <v>43262</v>
      </c>
      <c r="Q901" s="7">
        <f>$E901-$O901</f>
        <v>0</v>
      </c>
      <c r="R901" s="7" t="str">
        <f ca="1">IF(TODAY() - DHMXX[INV DUE DATE]&lt;30, "Less than 30 days",IF(TODAY()-DHMXX[INV DUE DATE]&lt;60,"30-60 days","More than 60 days"))</f>
        <v>30-60 days</v>
      </c>
      <c r="S901" t="s">
        <v>1550</v>
      </c>
      <c r="T901" s="43" t="s">
        <v>2229</v>
      </c>
      <c r="U901" t="s">
        <v>3699</v>
      </c>
    </row>
    <row r="902" spans="1:21" x14ac:dyDescent="0.3">
      <c r="A902" t="s">
        <v>3157</v>
      </c>
      <c r="B902" t="s">
        <v>30</v>
      </c>
      <c r="C902" t="s">
        <v>10</v>
      </c>
      <c r="D902" s="15">
        <v>1</v>
      </c>
      <c r="E902" s="7">
        <v>641.96</v>
      </c>
      <c r="H902">
        <v>13342</v>
      </c>
      <c r="I902" t="s">
        <v>839</v>
      </c>
      <c r="J902" t="s">
        <v>3158</v>
      </c>
      <c r="K902" t="s">
        <v>3</v>
      </c>
      <c r="L902" s="2">
        <v>43221</v>
      </c>
      <c r="M902" s="2">
        <f>DHMXX[[#This Row],[INV DOC DATE]]+30</f>
        <v>43251</v>
      </c>
      <c r="N902" s="2">
        <v>43251</v>
      </c>
      <c r="O902" s="7">
        <v>641.96</v>
      </c>
      <c r="P902" s="2">
        <v>43262</v>
      </c>
      <c r="Q902" s="7">
        <f>$E902-$O902</f>
        <v>0</v>
      </c>
      <c r="R902" s="7" t="str">
        <f ca="1">IF(TODAY() - DHMXX[INV DUE DATE]&lt;30, "Less than 30 days",IF(TODAY()-DHMXX[INV DUE DATE]&lt;60,"30-60 days","More than 60 days"))</f>
        <v>30-60 days</v>
      </c>
      <c r="S902" t="s">
        <v>1550</v>
      </c>
      <c r="T902" s="43" t="s">
        <v>2229</v>
      </c>
      <c r="U902" t="s">
        <v>3699</v>
      </c>
    </row>
    <row r="903" spans="1:21" x14ac:dyDescent="0.3">
      <c r="A903" t="s">
        <v>3157</v>
      </c>
      <c r="B903" t="s">
        <v>30</v>
      </c>
      <c r="C903" t="s">
        <v>11</v>
      </c>
      <c r="D903" s="15">
        <v>1</v>
      </c>
      <c r="E903" s="7">
        <v>427.97</v>
      </c>
      <c r="H903">
        <v>54876</v>
      </c>
      <c r="I903" t="s">
        <v>841</v>
      </c>
      <c r="J903" t="s">
        <v>3158</v>
      </c>
      <c r="K903" t="s">
        <v>3</v>
      </c>
      <c r="L903" s="2">
        <v>43221</v>
      </c>
      <c r="M903" s="2">
        <f>DHMXX[[#This Row],[INV DOC DATE]]+30</f>
        <v>43251</v>
      </c>
      <c r="N903" s="2">
        <v>43251</v>
      </c>
      <c r="O903" s="7">
        <v>427.97</v>
      </c>
      <c r="P903" s="2">
        <v>43262</v>
      </c>
      <c r="Q903" s="7">
        <f>$E903-$O903</f>
        <v>0</v>
      </c>
      <c r="R903" s="7" t="str">
        <f ca="1">IF(TODAY() - DHMXX[INV DUE DATE]&lt;30, "Less than 30 days",IF(TODAY()-DHMXX[INV DUE DATE]&lt;60,"30-60 days","More than 60 days"))</f>
        <v>30-60 days</v>
      </c>
      <c r="S903" t="s">
        <v>1550</v>
      </c>
      <c r="T903" s="43" t="s">
        <v>2229</v>
      </c>
      <c r="U903" t="s">
        <v>3699</v>
      </c>
    </row>
    <row r="904" spans="1:21" x14ac:dyDescent="0.3">
      <c r="A904" t="s">
        <v>3157</v>
      </c>
      <c r="B904" t="s">
        <v>30</v>
      </c>
      <c r="C904" t="s">
        <v>12</v>
      </c>
      <c r="D904" s="15">
        <v>1</v>
      </c>
      <c r="E904" s="7">
        <v>213.99</v>
      </c>
      <c r="H904">
        <v>55052</v>
      </c>
      <c r="I904" t="s">
        <v>353</v>
      </c>
      <c r="J904" t="s">
        <v>3158</v>
      </c>
      <c r="K904" t="s">
        <v>3</v>
      </c>
      <c r="L904" s="2">
        <v>43221</v>
      </c>
      <c r="M904" s="2">
        <f>DHMXX[[#This Row],[INV DOC DATE]]+30</f>
        <v>43251</v>
      </c>
      <c r="N904" s="2">
        <v>43251</v>
      </c>
      <c r="O904" s="7">
        <v>213.99</v>
      </c>
      <c r="P904" s="2">
        <v>43262</v>
      </c>
      <c r="Q904" s="7">
        <f>$E904-$O904</f>
        <v>0</v>
      </c>
      <c r="R904" s="7" t="str">
        <f ca="1">IF(TODAY() - DHMXX[INV DUE DATE]&lt;30, "Less than 30 days",IF(TODAY()-DHMXX[INV DUE DATE]&lt;60,"30-60 days","More than 60 days"))</f>
        <v>30-60 days</v>
      </c>
      <c r="S904" t="s">
        <v>1550</v>
      </c>
      <c r="T904" s="43" t="s">
        <v>2229</v>
      </c>
      <c r="U904" t="s">
        <v>3699</v>
      </c>
    </row>
    <row r="905" spans="1:21" x14ac:dyDescent="0.3">
      <c r="A905" t="s">
        <v>3157</v>
      </c>
      <c r="B905" t="s">
        <v>30</v>
      </c>
      <c r="C905" t="s">
        <v>13</v>
      </c>
      <c r="D905" s="15">
        <v>1</v>
      </c>
      <c r="E905" s="7">
        <v>641.96</v>
      </c>
      <c r="H905">
        <v>55242</v>
      </c>
      <c r="I905" t="s">
        <v>353</v>
      </c>
      <c r="J905" t="s">
        <v>3158</v>
      </c>
      <c r="K905" t="s">
        <v>3</v>
      </c>
      <c r="L905" s="2">
        <v>43221</v>
      </c>
      <c r="M905" s="2">
        <f>DHMXX[[#This Row],[INV DOC DATE]]+30</f>
        <v>43251</v>
      </c>
      <c r="N905" s="2">
        <v>43251</v>
      </c>
      <c r="O905" s="7">
        <v>641.96</v>
      </c>
      <c r="P905" s="2">
        <v>43262</v>
      </c>
      <c r="Q905" s="7">
        <f>$E905-$O905</f>
        <v>0</v>
      </c>
      <c r="R905" s="7" t="str">
        <f ca="1">IF(TODAY() - DHMXX[INV DUE DATE]&lt;30, "Less than 30 days",IF(TODAY()-DHMXX[INV DUE DATE]&lt;60,"30-60 days","More than 60 days"))</f>
        <v>30-60 days</v>
      </c>
      <c r="S905" t="s">
        <v>1550</v>
      </c>
      <c r="T905" s="43" t="s">
        <v>2229</v>
      </c>
      <c r="U905" t="s">
        <v>3699</v>
      </c>
    </row>
    <row r="906" spans="1:21" x14ac:dyDescent="0.3">
      <c r="A906" t="s">
        <v>3157</v>
      </c>
      <c r="B906" t="s">
        <v>30</v>
      </c>
      <c r="C906" t="s">
        <v>14</v>
      </c>
      <c r="D906" s="15">
        <v>1</v>
      </c>
      <c r="E906" s="7">
        <v>427.97</v>
      </c>
      <c r="H906">
        <v>55253</v>
      </c>
      <c r="I906" t="s">
        <v>353</v>
      </c>
      <c r="J906" t="s">
        <v>3158</v>
      </c>
      <c r="K906" t="s">
        <v>3</v>
      </c>
      <c r="L906" s="2">
        <v>43221</v>
      </c>
      <c r="M906" s="2">
        <f>DHMXX[[#This Row],[INV DOC DATE]]+30</f>
        <v>43251</v>
      </c>
      <c r="N906" s="2">
        <v>43251</v>
      </c>
      <c r="O906" s="7">
        <v>427.97</v>
      </c>
      <c r="P906" s="2">
        <v>43262</v>
      </c>
      <c r="Q906" s="7">
        <f>$E906-$O906</f>
        <v>0</v>
      </c>
      <c r="R906" s="7" t="str">
        <f ca="1">IF(TODAY() - DHMXX[INV DUE DATE]&lt;30, "Less than 30 days",IF(TODAY()-DHMXX[INV DUE DATE]&lt;60,"30-60 days","More than 60 days"))</f>
        <v>30-60 days</v>
      </c>
      <c r="S906" t="s">
        <v>1550</v>
      </c>
      <c r="T906" s="43" t="s">
        <v>2229</v>
      </c>
      <c r="U906" t="s">
        <v>3699</v>
      </c>
    </row>
    <row r="907" spans="1:21" x14ac:dyDescent="0.3">
      <c r="A907" t="s">
        <v>3157</v>
      </c>
      <c r="B907" t="s">
        <v>30</v>
      </c>
      <c r="C907" t="s">
        <v>15</v>
      </c>
      <c r="D907" s="15">
        <v>1</v>
      </c>
      <c r="E907" s="7">
        <v>1925.88</v>
      </c>
      <c r="H907">
        <v>55292</v>
      </c>
      <c r="I907" t="s">
        <v>353</v>
      </c>
      <c r="J907" t="s">
        <v>3158</v>
      </c>
      <c r="K907" t="s">
        <v>3</v>
      </c>
      <c r="L907" s="2">
        <v>43221</v>
      </c>
      <c r="M907" s="2">
        <f>DHMXX[[#This Row],[INV DOC DATE]]+30</f>
        <v>43251</v>
      </c>
      <c r="N907" s="2">
        <v>43251</v>
      </c>
      <c r="O907" s="7">
        <v>1925.88</v>
      </c>
      <c r="P907" s="2">
        <v>43262</v>
      </c>
      <c r="Q907" s="7">
        <f>$E907-$O907</f>
        <v>0</v>
      </c>
      <c r="R907" s="7" t="str">
        <f ca="1">IF(TODAY() - DHMXX[INV DUE DATE]&lt;30, "Less than 30 days",IF(TODAY()-DHMXX[INV DUE DATE]&lt;60,"30-60 days","More than 60 days"))</f>
        <v>30-60 days</v>
      </c>
      <c r="S907" t="s">
        <v>1550</v>
      </c>
      <c r="T907" s="43" t="s">
        <v>2229</v>
      </c>
      <c r="U907" t="s">
        <v>3699</v>
      </c>
    </row>
    <row r="908" spans="1:21" x14ac:dyDescent="0.3">
      <c r="A908" t="s">
        <v>3157</v>
      </c>
      <c r="B908" t="s">
        <v>30</v>
      </c>
      <c r="C908" t="s">
        <v>16</v>
      </c>
      <c r="D908" s="15">
        <v>1</v>
      </c>
      <c r="E908" s="7">
        <v>213.99</v>
      </c>
      <c r="H908">
        <v>55477</v>
      </c>
      <c r="I908" t="s">
        <v>846</v>
      </c>
      <c r="J908" t="s">
        <v>3158</v>
      </c>
      <c r="K908" t="s">
        <v>3</v>
      </c>
      <c r="L908" s="2">
        <v>43221</v>
      </c>
      <c r="M908" s="2">
        <f>DHMXX[[#This Row],[INV DOC DATE]]+30</f>
        <v>43251</v>
      </c>
      <c r="N908" s="2">
        <v>43251</v>
      </c>
      <c r="O908" s="7">
        <v>213.99</v>
      </c>
      <c r="P908" s="2">
        <v>43262</v>
      </c>
      <c r="Q908" s="7">
        <f>$E908-$O908</f>
        <v>0</v>
      </c>
      <c r="R908" s="7" t="str">
        <f ca="1">IF(TODAY() - DHMXX[INV DUE DATE]&lt;30, "Less than 30 days",IF(TODAY()-DHMXX[INV DUE DATE]&lt;60,"30-60 days","More than 60 days"))</f>
        <v>30-60 days</v>
      </c>
      <c r="S908" t="s">
        <v>1550</v>
      </c>
      <c r="T908" s="43" t="s">
        <v>2229</v>
      </c>
      <c r="U908" t="s">
        <v>3699</v>
      </c>
    </row>
    <row r="909" spans="1:21" x14ac:dyDescent="0.3">
      <c r="A909" t="s">
        <v>3157</v>
      </c>
      <c r="B909" t="s">
        <v>30</v>
      </c>
      <c r="C909" t="s">
        <v>17</v>
      </c>
      <c r="D909" s="15">
        <v>1</v>
      </c>
      <c r="E909" s="7">
        <v>641.96</v>
      </c>
      <c r="H909">
        <v>55766</v>
      </c>
      <c r="I909" t="s">
        <v>847</v>
      </c>
      <c r="J909" t="s">
        <v>3158</v>
      </c>
      <c r="K909" t="s">
        <v>3</v>
      </c>
      <c r="L909" s="2">
        <v>43221</v>
      </c>
      <c r="M909" s="2">
        <f>DHMXX[[#This Row],[INV DOC DATE]]+30</f>
        <v>43251</v>
      </c>
      <c r="N909" s="2">
        <v>43251</v>
      </c>
      <c r="O909" s="7">
        <v>641.96</v>
      </c>
      <c r="P909" s="2">
        <v>43262</v>
      </c>
      <c r="Q909" s="7">
        <f>$E909-$O909</f>
        <v>0</v>
      </c>
      <c r="R909" s="7" t="str">
        <f ca="1">IF(TODAY() - DHMXX[INV DUE DATE]&lt;30, "Less than 30 days",IF(TODAY()-DHMXX[INV DUE DATE]&lt;60,"30-60 days","More than 60 days"))</f>
        <v>30-60 days</v>
      </c>
      <c r="S909" t="s">
        <v>1550</v>
      </c>
      <c r="T909" s="43" t="s">
        <v>2229</v>
      </c>
      <c r="U909" t="s">
        <v>3699</v>
      </c>
    </row>
    <row r="910" spans="1:21" x14ac:dyDescent="0.3">
      <c r="A910" t="s">
        <v>3157</v>
      </c>
      <c r="B910" t="s">
        <v>30</v>
      </c>
      <c r="C910" t="s">
        <v>18</v>
      </c>
      <c r="D910" s="15">
        <v>1</v>
      </c>
      <c r="E910" s="7">
        <v>213.99</v>
      </c>
      <c r="H910">
        <v>55785</v>
      </c>
      <c r="I910" t="s">
        <v>354</v>
      </c>
      <c r="J910" t="s">
        <v>3158</v>
      </c>
      <c r="K910" t="s">
        <v>3</v>
      </c>
      <c r="L910" s="2">
        <v>43221</v>
      </c>
      <c r="M910" s="2">
        <f>DHMXX[[#This Row],[INV DOC DATE]]+30</f>
        <v>43251</v>
      </c>
      <c r="N910" s="2">
        <v>43251</v>
      </c>
      <c r="O910" s="7">
        <v>213.99</v>
      </c>
      <c r="P910" s="2">
        <v>43262</v>
      </c>
      <c r="Q910" s="7">
        <f>$E910-$O910</f>
        <v>0</v>
      </c>
      <c r="R910" s="7" t="str">
        <f ca="1">IF(TODAY() - DHMXX[INV DUE DATE]&lt;30, "Less than 30 days",IF(TODAY()-DHMXX[INV DUE DATE]&lt;60,"30-60 days","More than 60 days"))</f>
        <v>30-60 days</v>
      </c>
      <c r="S910" t="s">
        <v>1550</v>
      </c>
      <c r="T910" s="43" t="s">
        <v>2229</v>
      </c>
      <c r="U910" t="s">
        <v>3699</v>
      </c>
    </row>
    <row r="911" spans="1:21" x14ac:dyDescent="0.3">
      <c r="A911" t="s">
        <v>3157</v>
      </c>
      <c r="B911" t="s">
        <v>30</v>
      </c>
      <c r="C911" t="s">
        <v>19</v>
      </c>
      <c r="D911" s="15">
        <v>1</v>
      </c>
      <c r="E911" s="7">
        <v>641.96</v>
      </c>
      <c r="H911">
        <v>56539</v>
      </c>
      <c r="I911" t="s">
        <v>848</v>
      </c>
      <c r="J911" t="s">
        <v>3158</v>
      </c>
      <c r="K911" t="s">
        <v>3</v>
      </c>
      <c r="L911" s="2">
        <v>43221</v>
      </c>
      <c r="M911" s="2">
        <f>DHMXX[[#This Row],[INV DOC DATE]]+30</f>
        <v>43251</v>
      </c>
      <c r="N911" s="2">
        <v>43251</v>
      </c>
      <c r="O911" s="7">
        <v>641.96</v>
      </c>
      <c r="P911" s="2">
        <v>43262</v>
      </c>
      <c r="Q911" s="7">
        <f>$E911-$O911</f>
        <v>0</v>
      </c>
      <c r="R911" s="7" t="str">
        <f ca="1">IF(TODAY() - DHMXX[INV DUE DATE]&lt;30, "Less than 30 days",IF(TODAY()-DHMXX[INV DUE DATE]&lt;60,"30-60 days","More than 60 days"))</f>
        <v>30-60 days</v>
      </c>
      <c r="S911" t="s">
        <v>1550</v>
      </c>
      <c r="T911" s="43" t="s">
        <v>2229</v>
      </c>
      <c r="U911" t="s">
        <v>3699</v>
      </c>
    </row>
    <row r="912" spans="1:21" x14ac:dyDescent="0.3">
      <c r="A912" t="s">
        <v>3157</v>
      </c>
      <c r="B912" t="s">
        <v>30</v>
      </c>
      <c r="C912" t="s">
        <v>20</v>
      </c>
      <c r="D912" s="15">
        <v>1</v>
      </c>
      <c r="E912" s="7">
        <v>855.94</v>
      </c>
      <c r="H912">
        <v>56774</v>
      </c>
      <c r="I912" t="s">
        <v>849</v>
      </c>
      <c r="J912" t="s">
        <v>3158</v>
      </c>
      <c r="K912" t="s">
        <v>3</v>
      </c>
      <c r="L912" s="2">
        <v>43221</v>
      </c>
      <c r="M912" s="2">
        <f>DHMXX[[#This Row],[INV DOC DATE]]+30</f>
        <v>43251</v>
      </c>
      <c r="N912" s="2">
        <v>43251</v>
      </c>
      <c r="O912" s="7">
        <v>855.94</v>
      </c>
      <c r="P912" s="2">
        <v>43262</v>
      </c>
      <c r="Q912" s="7">
        <f>$E912-$O912</f>
        <v>0</v>
      </c>
      <c r="R912" s="7" t="str">
        <f ca="1">IF(TODAY() - DHMXX[INV DUE DATE]&lt;30, "Less than 30 days",IF(TODAY()-DHMXX[INV DUE DATE]&lt;60,"30-60 days","More than 60 days"))</f>
        <v>30-60 days</v>
      </c>
      <c r="S912" t="s">
        <v>1550</v>
      </c>
      <c r="T912" s="43" t="s">
        <v>2229</v>
      </c>
      <c r="U912" t="s">
        <v>3699</v>
      </c>
    </row>
    <row r="913" spans="1:21" x14ac:dyDescent="0.3">
      <c r="A913" t="s">
        <v>3157</v>
      </c>
      <c r="B913" t="s">
        <v>30</v>
      </c>
      <c r="C913" t="s">
        <v>21</v>
      </c>
      <c r="D913" s="15">
        <v>1</v>
      </c>
      <c r="E913" s="7">
        <v>213.99</v>
      </c>
      <c r="H913">
        <v>58008</v>
      </c>
      <c r="I913" t="s">
        <v>355</v>
      </c>
      <c r="J913" t="s">
        <v>3158</v>
      </c>
      <c r="K913" t="s">
        <v>3</v>
      </c>
      <c r="L913" s="2">
        <v>43221</v>
      </c>
      <c r="M913" s="2">
        <f>DHMXX[[#This Row],[INV DOC DATE]]+30</f>
        <v>43251</v>
      </c>
      <c r="N913" s="2">
        <v>43251</v>
      </c>
      <c r="O913" s="7">
        <v>213.99</v>
      </c>
      <c r="P913" s="2">
        <v>43262</v>
      </c>
      <c r="Q913" s="7">
        <f>$E913-$O913</f>
        <v>0</v>
      </c>
      <c r="R913" s="7" t="str">
        <f ca="1">IF(TODAY() - DHMXX[INV DUE DATE]&lt;30, "Less than 30 days",IF(TODAY()-DHMXX[INV DUE DATE]&lt;60,"30-60 days","More than 60 days"))</f>
        <v>30-60 days</v>
      </c>
      <c r="S913" t="s">
        <v>1550</v>
      </c>
      <c r="T913" s="43" t="s">
        <v>2229</v>
      </c>
      <c r="U913" t="s">
        <v>3699</v>
      </c>
    </row>
    <row r="914" spans="1:21" x14ac:dyDescent="0.3">
      <c r="A914" t="s">
        <v>3157</v>
      </c>
      <c r="B914" t="s">
        <v>30</v>
      </c>
      <c r="C914" t="s">
        <v>22</v>
      </c>
      <c r="D914" s="15">
        <v>1</v>
      </c>
      <c r="E914" s="7">
        <v>213.99</v>
      </c>
      <c r="H914">
        <v>59994</v>
      </c>
      <c r="I914" t="s">
        <v>850</v>
      </c>
      <c r="J914" t="s">
        <v>3158</v>
      </c>
      <c r="K914" t="s">
        <v>3</v>
      </c>
      <c r="L914" s="2">
        <v>43221</v>
      </c>
      <c r="M914" s="2">
        <f>DHMXX[[#This Row],[INV DOC DATE]]+30</f>
        <v>43251</v>
      </c>
      <c r="N914" s="2">
        <v>43251</v>
      </c>
      <c r="O914" s="7">
        <v>213.99</v>
      </c>
      <c r="P914" s="2">
        <v>43262</v>
      </c>
      <c r="Q914" s="7">
        <f>$E914-$O914</f>
        <v>0</v>
      </c>
      <c r="R914" s="7" t="str">
        <f ca="1">IF(TODAY() - DHMXX[INV DUE DATE]&lt;30, "Less than 30 days",IF(TODAY()-DHMXX[INV DUE DATE]&lt;60,"30-60 days","More than 60 days"))</f>
        <v>30-60 days</v>
      </c>
      <c r="S914" t="s">
        <v>1550</v>
      </c>
      <c r="T914" s="43" t="s">
        <v>2229</v>
      </c>
      <c r="U914" t="s">
        <v>3699</v>
      </c>
    </row>
    <row r="915" spans="1:21" x14ac:dyDescent="0.3">
      <c r="A915" t="s">
        <v>3157</v>
      </c>
      <c r="B915" t="s">
        <v>30</v>
      </c>
      <c r="C915" t="s">
        <v>23</v>
      </c>
      <c r="D915" s="15">
        <v>1</v>
      </c>
      <c r="E915" s="7">
        <v>427.97</v>
      </c>
      <c r="H915">
        <v>66343</v>
      </c>
      <c r="I915" t="s">
        <v>353</v>
      </c>
      <c r="J915" t="s">
        <v>3158</v>
      </c>
      <c r="K915" t="s">
        <v>3</v>
      </c>
      <c r="L915" s="2">
        <v>43221</v>
      </c>
      <c r="M915" s="2">
        <f>DHMXX[[#This Row],[INV DOC DATE]]+30</f>
        <v>43251</v>
      </c>
      <c r="N915" s="2">
        <v>43251</v>
      </c>
      <c r="O915" s="7">
        <v>427.97</v>
      </c>
      <c r="P915" s="2">
        <v>43262</v>
      </c>
      <c r="Q915" s="7">
        <f>$E915-$O915</f>
        <v>0</v>
      </c>
      <c r="R915" s="7" t="str">
        <f ca="1">IF(TODAY() - DHMXX[INV DUE DATE]&lt;30, "Less than 30 days",IF(TODAY()-DHMXX[INV DUE DATE]&lt;60,"30-60 days","More than 60 days"))</f>
        <v>30-60 days</v>
      </c>
      <c r="S915" t="s">
        <v>1550</v>
      </c>
      <c r="T915" s="43" t="s">
        <v>2229</v>
      </c>
      <c r="U915" t="s">
        <v>3699</v>
      </c>
    </row>
    <row r="916" spans="1:21" x14ac:dyDescent="0.3">
      <c r="A916" t="s">
        <v>3157</v>
      </c>
      <c r="B916" t="s">
        <v>30</v>
      </c>
      <c r="C916" t="s">
        <v>24</v>
      </c>
      <c r="D916" s="15">
        <v>1</v>
      </c>
      <c r="E916" s="7">
        <v>213.99</v>
      </c>
      <c r="H916">
        <v>66652</v>
      </c>
      <c r="I916" t="s">
        <v>356</v>
      </c>
      <c r="J916" t="s">
        <v>3158</v>
      </c>
      <c r="K916" t="s">
        <v>3</v>
      </c>
      <c r="L916" s="2">
        <v>43221</v>
      </c>
      <c r="M916" s="2">
        <f>DHMXX[[#This Row],[INV DOC DATE]]+30</f>
        <v>43251</v>
      </c>
      <c r="N916" s="2">
        <v>43251</v>
      </c>
      <c r="O916" s="7">
        <v>213.99</v>
      </c>
      <c r="P916" s="2">
        <v>43262</v>
      </c>
      <c r="Q916" s="7">
        <f>$E916-$O916</f>
        <v>0</v>
      </c>
      <c r="R916" s="7" t="str">
        <f ca="1">IF(TODAY() - DHMXX[INV DUE DATE]&lt;30, "Less than 30 days",IF(TODAY()-DHMXX[INV DUE DATE]&lt;60,"30-60 days","More than 60 days"))</f>
        <v>30-60 days</v>
      </c>
      <c r="S916" t="s">
        <v>1550</v>
      </c>
      <c r="T916" s="43" t="s">
        <v>2229</v>
      </c>
      <c r="U916" t="s">
        <v>3699</v>
      </c>
    </row>
    <row r="917" spans="1:21" x14ac:dyDescent="0.3">
      <c r="A917" t="s">
        <v>3157</v>
      </c>
      <c r="B917" t="s">
        <v>30</v>
      </c>
      <c r="C917" t="s">
        <v>25</v>
      </c>
      <c r="D917" s="15">
        <v>1</v>
      </c>
      <c r="E917" s="7">
        <v>213.99</v>
      </c>
      <c r="H917">
        <v>66988</v>
      </c>
      <c r="I917" t="s">
        <v>349</v>
      </c>
      <c r="J917" t="s">
        <v>3158</v>
      </c>
      <c r="K917" t="s">
        <v>3</v>
      </c>
      <c r="L917" s="2">
        <v>43221</v>
      </c>
      <c r="M917" s="2">
        <f>DHMXX[[#This Row],[INV DOC DATE]]+30</f>
        <v>43251</v>
      </c>
      <c r="N917" s="2">
        <v>43251</v>
      </c>
      <c r="O917" s="7">
        <v>213.99</v>
      </c>
      <c r="P917" s="2">
        <v>43262</v>
      </c>
      <c r="Q917" s="7">
        <f>$E917-$O917</f>
        <v>0</v>
      </c>
      <c r="R917" s="7" t="str">
        <f ca="1">IF(TODAY() - DHMXX[INV DUE DATE]&lt;30, "Less than 30 days",IF(TODAY()-DHMXX[INV DUE DATE]&lt;60,"30-60 days","More than 60 days"))</f>
        <v>30-60 days</v>
      </c>
      <c r="S917" t="s">
        <v>1550</v>
      </c>
      <c r="T917" s="43" t="s">
        <v>2229</v>
      </c>
      <c r="U917" t="s">
        <v>3699</v>
      </c>
    </row>
    <row r="918" spans="1:21" x14ac:dyDescent="0.3">
      <c r="A918" t="s">
        <v>3157</v>
      </c>
      <c r="B918" t="s">
        <v>30</v>
      </c>
      <c r="C918" t="s">
        <v>26</v>
      </c>
      <c r="D918" s="15">
        <v>1</v>
      </c>
      <c r="E918" s="7">
        <v>6847.56</v>
      </c>
      <c r="H918">
        <v>67865</v>
      </c>
      <c r="I918" t="s">
        <v>349</v>
      </c>
      <c r="J918" t="s">
        <v>3158</v>
      </c>
      <c r="K918" t="s">
        <v>3</v>
      </c>
      <c r="L918" s="2">
        <v>43221</v>
      </c>
      <c r="M918" s="2">
        <f>DHMXX[[#This Row],[INV DOC DATE]]+30</f>
        <v>43251</v>
      </c>
      <c r="N918" s="2">
        <v>43251</v>
      </c>
      <c r="O918" s="7">
        <v>6847.56</v>
      </c>
      <c r="P918" s="2">
        <v>43262</v>
      </c>
      <c r="Q918" s="7">
        <f>$E918-$O918</f>
        <v>0</v>
      </c>
      <c r="R918" s="7" t="str">
        <f ca="1">IF(TODAY() - DHMXX[INV DUE DATE]&lt;30, "Less than 30 days",IF(TODAY()-DHMXX[INV DUE DATE]&lt;60,"30-60 days","More than 60 days"))</f>
        <v>30-60 days</v>
      </c>
      <c r="S918" t="s">
        <v>1550</v>
      </c>
      <c r="T918" s="43" t="s">
        <v>2229</v>
      </c>
      <c r="U918" t="s">
        <v>3699</v>
      </c>
    </row>
    <row r="919" spans="1:21" x14ac:dyDescent="0.3">
      <c r="A919" t="s">
        <v>3157</v>
      </c>
      <c r="B919" t="s">
        <v>30</v>
      </c>
      <c r="C919" t="s">
        <v>27</v>
      </c>
      <c r="D919" s="15">
        <v>1</v>
      </c>
      <c r="E919" s="7">
        <v>427.97</v>
      </c>
      <c r="H919">
        <v>68161</v>
      </c>
      <c r="I919" t="s">
        <v>358</v>
      </c>
      <c r="J919" t="s">
        <v>3158</v>
      </c>
      <c r="K919" t="s">
        <v>3</v>
      </c>
      <c r="L919" s="2">
        <v>43221</v>
      </c>
      <c r="M919" s="2">
        <f>DHMXX[[#This Row],[INV DOC DATE]]+30</f>
        <v>43251</v>
      </c>
      <c r="N919" s="2">
        <v>43251</v>
      </c>
      <c r="O919" s="7">
        <v>427.97</v>
      </c>
      <c r="P919" s="2">
        <v>43262</v>
      </c>
      <c r="Q919" s="7">
        <f>$E919-$O919</f>
        <v>0</v>
      </c>
      <c r="R919" s="7" t="str">
        <f ca="1">IF(TODAY() - DHMXX[INV DUE DATE]&lt;30, "Less than 30 days",IF(TODAY()-DHMXX[INV DUE DATE]&lt;60,"30-60 days","More than 60 days"))</f>
        <v>30-60 days</v>
      </c>
      <c r="S919" t="s">
        <v>1550</v>
      </c>
      <c r="T919" s="43" t="s">
        <v>2229</v>
      </c>
      <c r="U919" t="s">
        <v>3699</v>
      </c>
    </row>
    <row r="920" spans="1:21" x14ac:dyDescent="0.3">
      <c r="A920" t="s">
        <v>3157</v>
      </c>
      <c r="B920" t="s">
        <v>30</v>
      </c>
      <c r="C920" t="s">
        <v>28</v>
      </c>
      <c r="D920" s="15">
        <v>1</v>
      </c>
      <c r="E920" s="7">
        <v>427.97</v>
      </c>
      <c r="H920">
        <v>76024</v>
      </c>
      <c r="I920" t="s">
        <v>851</v>
      </c>
      <c r="J920" t="s">
        <v>3158</v>
      </c>
      <c r="K920" t="s">
        <v>3</v>
      </c>
      <c r="L920" s="2">
        <v>43221</v>
      </c>
      <c r="M920" s="2">
        <f>DHMXX[[#This Row],[INV DOC DATE]]+30</f>
        <v>43251</v>
      </c>
      <c r="N920" s="2">
        <v>43251</v>
      </c>
      <c r="O920" s="7">
        <v>427.97</v>
      </c>
      <c r="P920" s="2">
        <v>43262</v>
      </c>
      <c r="Q920" s="7">
        <f>$E920-$O920</f>
        <v>0</v>
      </c>
      <c r="R920" s="7" t="str">
        <f ca="1">IF(TODAY() - DHMXX[INV DUE DATE]&lt;30, "Less than 30 days",IF(TODAY()-DHMXX[INV DUE DATE]&lt;60,"30-60 days","More than 60 days"))</f>
        <v>30-60 days</v>
      </c>
      <c r="S920" t="s">
        <v>1550</v>
      </c>
      <c r="T920" s="43" t="s">
        <v>2229</v>
      </c>
      <c r="U920" t="s">
        <v>3699</v>
      </c>
    </row>
    <row r="921" spans="1:21" x14ac:dyDescent="0.3">
      <c r="A921" t="s">
        <v>3157</v>
      </c>
      <c r="B921" t="s">
        <v>30</v>
      </c>
      <c r="C921" t="s">
        <v>37</v>
      </c>
      <c r="D921" s="15">
        <v>1</v>
      </c>
      <c r="E921" s="7">
        <v>1069.93</v>
      </c>
      <c r="H921">
        <v>76833</v>
      </c>
      <c r="I921" t="s">
        <v>848</v>
      </c>
      <c r="J921" t="s">
        <v>3158</v>
      </c>
      <c r="K921" t="s">
        <v>3</v>
      </c>
      <c r="L921" s="2">
        <v>43221</v>
      </c>
      <c r="M921" s="2">
        <f>DHMXX[[#This Row],[INV DOC DATE]]+30</f>
        <v>43251</v>
      </c>
      <c r="N921" s="2">
        <v>43251</v>
      </c>
      <c r="O921" s="7">
        <v>1069.93</v>
      </c>
      <c r="P921" s="2">
        <v>43262</v>
      </c>
      <c r="Q921" s="7">
        <f>$E921-$O921</f>
        <v>0</v>
      </c>
      <c r="R921" s="7" t="str">
        <f ca="1">IF(TODAY() - DHMXX[INV DUE DATE]&lt;30, "Less than 30 days",IF(TODAY()-DHMXX[INV DUE DATE]&lt;60,"30-60 days","More than 60 days"))</f>
        <v>30-60 days</v>
      </c>
      <c r="S921" t="s">
        <v>1550</v>
      </c>
      <c r="T921" s="43" t="s">
        <v>2229</v>
      </c>
      <c r="U921" t="s">
        <v>3699</v>
      </c>
    </row>
    <row r="922" spans="1:21" x14ac:dyDescent="0.3">
      <c r="A922" t="s">
        <v>3157</v>
      </c>
      <c r="B922" t="s">
        <v>30</v>
      </c>
      <c r="C922" t="s">
        <v>38</v>
      </c>
      <c r="D922" s="15">
        <v>1</v>
      </c>
      <c r="E922" s="7">
        <v>213.99</v>
      </c>
      <c r="H922">
        <v>82624</v>
      </c>
      <c r="I922" t="s">
        <v>853</v>
      </c>
      <c r="J922" t="s">
        <v>3158</v>
      </c>
      <c r="K922" t="s">
        <v>3</v>
      </c>
      <c r="L922" s="2">
        <v>43221</v>
      </c>
      <c r="M922" s="2">
        <f>DHMXX[[#This Row],[INV DOC DATE]]+30</f>
        <v>43251</v>
      </c>
      <c r="N922" s="2">
        <v>43251</v>
      </c>
      <c r="O922" s="7">
        <v>213.99</v>
      </c>
      <c r="P922" s="2">
        <v>43262</v>
      </c>
      <c r="Q922" s="7">
        <f>$E922-$O922</f>
        <v>0</v>
      </c>
      <c r="R922" s="7" t="str">
        <f ca="1">IF(TODAY() - DHMXX[INV DUE DATE]&lt;30, "Less than 30 days",IF(TODAY()-DHMXX[INV DUE DATE]&lt;60,"30-60 days","More than 60 days"))</f>
        <v>30-60 days</v>
      </c>
      <c r="S922" t="s">
        <v>1550</v>
      </c>
      <c r="T922" s="43" t="s">
        <v>2229</v>
      </c>
      <c r="U922" t="s">
        <v>3699</v>
      </c>
    </row>
    <row r="923" spans="1:21" x14ac:dyDescent="0.3">
      <c r="A923" t="s">
        <v>3157</v>
      </c>
      <c r="B923" t="s">
        <v>30</v>
      </c>
      <c r="C923" t="s">
        <v>39</v>
      </c>
      <c r="D923" s="15">
        <v>1</v>
      </c>
      <c r="E923" s="7">
        <v>641.96</v>
      </c>
      <c r="H923">
        <v>85175</v>
      </c>
      <c r="I923" t="s">
        <v>839</v>
      </c>
      <c r="J923" t="s">
        <v>3158</v>
      </c>
      <c r="K923" t="s">
        <v>3</v>
      </c>
      <c r="L923" s="2">
        <v>43221</v>
      </c>
      <c r="M923" s="2">
        <f>DHMXX[[#This Row],[INV DOC DATE]]+30</f>
        <v>43251</v>
      </c>
      <c r="N923" s="2">
        <v>43251</v>
      </c>
      <c r="O923" s="7">
        <v>641.96</v>
      </c>
      <c r="P923" s="2">
        <v>43262</v>
      </c>
      <c r="Q923" s="7">
        <f>$E923-$O923</f>
        <v>0</v>
      </c>
      <c r="R923" s="7" t="str">
        <f ca="1">IF(TODAY() - DHMXX[INV DUE DATE]&lt;30, "Less than 30 days",IF(TODAY()-DHMXX[INV DUE DATE]&lt;60,"30-60 days","More than 60 days"))</f>
        <v>30-60 days</v>
      </c>
      <c r="S923" t="s">
        <v>1550</v>
      </c>
      <c r="T923" s="43" t="s">
        <v>2229</v>
      </c>
      <c r="U923" t="s">
        <v>3699</v>
      </c>
    </row>
    <row r="924" spans="1:21" x14ac:dyDescent="0.3">
      <c r="A924" t="s">
        <v>3157</v>
      </c>
      <c r="B924" t="s">
        <v>30</v>
      </c>
      <c r="C924" t="s">
        <v>40</v>
      </c>
      <c r="D924" s="15">
        <v>1</v>
      </c>
      <c r="E924" s="7">
        <v>12197.12</v>
      </c>
      <c r="H924">
        <v>90352</v>
      </c>
      <c r="I924" t="s">
        <v>855</v>
      </c>
      <c r="J924" t="s">
        <v>3158</v>
      </c>
      <c r="K924" t="s">
        <v>3</v>
      </c>
      <c r="L924" s="2">
        <v>43221</v>
      </c>
      <c r="M924" s="2">
        <f>DHMXX[[#This Row],[INV DOC DATE]]+30</f>
        <v>43251</v>
      </c>
      <c r="N924" s="2">
        <v>43251</v>
      </c>
      <c r="O924" s="7">
        <v>12197.12</v>
      </c>
      <c r="P924" s="2">
        <v>43262</v>
      </c>
      <c r="Q924" s="7">
        <f>$E924-$O924</f>
        <v>0</v>
      </c>
      <c r="R924" s="7" t="str">
        <f ca="1">IF(TODAY() - DHMXX[INV DUE DATE]&lt;30, "Less than 30 days",IF(TODAY()-DHMXX[INV DUE DATE]&lt;60,"30-60 days","More than 60 days"))</f>
        <v>30-60 days</v>
      </c>
      <c r="S924" t="s">
        <v>1550</v>
      </c>
      <c r="T924" s="43" t="s">
        <v>2229</v>
      </c>
      <c r="U924" t="s">
        <v>3699</v>
      </c>
    </row>
    <row r="925" spans="1:21" x14ac:dyDescent="0.3">
      <c r="A925" t="s">
        <v>3157</v>
      </c>
      <c r="B925" t="s">
        <v>30</v>
      </c>
      <c r="C925" t="s">
        <v>41</v>
      </c>
      <c r="D925" s="15">
        <v>1</v>
      </c>
      <c r="E925" s="7">
        <v>11127.28</v>
      </c>
      <c r="H925">
        <v>91295</v>
      </c>
      <c r="I925" t="s">
        <v>360</v>
      </c>
      <c r="J925" t="s">
        <v>3158</v>
      </c>
      <c r="K925" t="s">
        <v>3</v>
      </c>
      <c r="L925" s="2">
        <v>43221</v>
      </c>
      <c r="M925" s="2">
        <f>DHMXX[[#This Row],[INV DOC DATE]]+30</f>
        <v>43251</v>
      </c>
      <c r="N925" s="2">
        <v>43251</v>
      </c>
      <c r="O925" s="7">
        <v>11127.28</v>
      </c>
      <c r="P925" s="2">
        <v>43262</v>
      </c>
      <c r="Q925" s="7">
        <f>$E925-$O925</f>
        <v>0</v>
      </c>
      <c r="R925" s="7" t="str">
        <f ca="1">IF(TODAY() - DHMXX[INV DUE DATE]&lt;30, "Less than 30 days",IF(TODAY()-DHMXX[INV DUE DATE]&lt;60,"30-60 days","More than 60 days"))</f>
        <v>30-60 days</v>
      </c>
      <c r="S925" t="s">
        <v>1550</v>
      </c>
      <c r="T925" s="43" t="s">
        <v>2229</v>
      </c>
      <c r="U925" t="s">
        <v>3699</v>
      </c>
    </row>
    <row r="926" spans="1:21" x14ac:dyDescent="0.3">
      <c r="A926" t="s">
        <v>3157</v>
      </c>
      <c r="B926" t="s">
        <v>30</v>
      </c>
      <c r="C926" t="s">
        <v>42</v>
      </c>
      <c r="D926" s="15">
        <v>1</v>
      </c>
      <c r="E926" s="7">
        <v>213.99</v>
      </c>
      <c r="H926">
        <v>92676</v>
      </c>
      <c r="I926" t="s">
        <v>854</v>
      </c>
      <c r="J926" t="s">
        <v>3158</v>
      </c>
      <c r="K926" t="s">
        <v>3</v>
      </c>
      <c r="L926" s="2">
        <v>43221</v>
      </c>
      <c r="M926" s="2">
        <f>DHMXX[[#This Row],[INV DOC DATE]]+30</f>
        <v>43251</v>
      </c>
      <c r="N926" s="2">
        <v>43251</v>
      </c>
      <c r="O926" s="7">
        <v>213.99</v>
      </c>
      <c r="P926" s="2">
        <v>43262</v>
      </c>
      <c r="Q926" s="7">
        <f>$E926-$O926</f>
        <v>0</v>
      </c>
      <c r="R926" s="7" t="str">
        <f ca="1">IF(TODAY() - DHMXX[INV DUE DATE]&lt;30, "Less than 30 days",IF(TODAY()-DHMXX[INV DUE DATE]&lt;60,"30-60 days","More than 60 days"))</f>
        <v>30-60 days</v>
      </c>
      <c r="S926" t="s">
        <v>1550</v>
      </c>
      <c r="T926" s="43" t="s">
        <v>2229</v>
      </c>
      <c r="U926" t="s">
        <v>3699</v>
      </c>
    </row>
    <row r="927" spans="1:21" x14ac:dyDescent="0.3">
      <c r="A927" t="s">
        <v>3157</v>
      </c>
      <c r="B927" t="s">
        <v>30</v>
      </c>
      <c r="C927" t="s">
        <v>43</v>
      </c>
      <c r="D927" s="15">
        <v>1</v>
      </c>
      <c r="E927" s="7">
        <v>213.99</v>
      </c>
      <c r="H927">
        <v>94783</v>
      </c>
      <c r="I927" t="s">
        <v>360</v>
      </c>
      <c r="J927" t="s">
        <v>3158</v>
      </c>
      <c r="K927" t="s">
        <v>3</v>
      </c>
      <c r="L927" s="2">
        <v>43221</v>
      </c>
      <c r="M927" s="2">
        <f>DHMXX[[#This Row],[INV DOC DATE]]+30</f>
        <v>43251</v>
      </c>
      <c r="N927" s="2">
        <v>43251</v>
      </c>
      <c r="O927" s="7">
        <v>213.99</v>
      </c>
      <c r="P927" s="2">
        <v>43262</v>
      </c>
      <c r="Q927" s="7">
        <f>$E927-$O927</f>
        <v>0</v>
      </c>
      <c r="R927" s="7" t="str">
        <f ca="1">IF(TODAY() - DHMXX[INV DUE DATE]&lt;30, "Less than 30 days",IF(TODAY()-DHMXX[INV DUE DATE]&lt;60,"30-60 days","More than 60 days"))</f>
        <v>30-60 days</v>
      </c>
      <c r="S927" t="s">
        <v>1550</v>
      </c>
      <c r="T927" s="43" t="s">
        <v>2229</v>
      </c>
      <c r="U927" t="s">
        <v>3699</v>
      </c>
    </row>
    <row r="928" spans="1:21" x14ac:dyDescent="0.3">
      <c r="A928" t="s">
        <v>3157</v>
      </c>
      <c r="B928" t="s">
        <v>30</v>
      </c>
      <c r="C928" t="s">
        <v>44</v>
      </c>
      <c r="D928" s="15">
        <v>1</v>
      </c>
      <c r="E928" s="7">
        <v>213.99</v>
      </c>
      <c r="H928">
        <v>115229</v>
      </c>
      <c r="I928" t="s">
        <v>349</v>
      </c>
      <c r="J928" t="s">
        <v>3158</v>
      </c>
      <c r="K928" t="s">
        <v>3</v>
      </c>
      <c r="L928" s="2">
        <v>43221</v>
      </c>
      <c r="M928" s="2">
        <f>DHMXX[[#This Row],[INV DOC DATE]]+30</f>
        <v>43251</v>
      </c>
      <c r="N928" s="2">
        <v>43251</v>
      </c>
      <c r="O928" s="7">
        <v>213.99</v>
      </c>
      <c r="P928" s="2">
        <v>43262</v>
      </c>
      <c r="Q928" s="7">
        <f>$E928-$O928</f>
        <v>0</v>
      </c>
      <c r="R928" s="7" t="str">
        <f ca="1">IF(TODAY() - DHMXX[INV DUE DATE]&lt;30, "Less than 30 days",IF(TODAY()-DHMXX[INV DUE DATE]&lt;60,"30-60 days","More than 60 days"))</f>
        <v>30-60 days</v>
      </c>
      <c r="S928" t="s">
        <v>1550</v>
      </c>
      <c r="T928" s="43" t="s">
        <v>2229</v>
      </c>
      <c r="U928" t="s">
        <v>3699</v>
      </c>
    </row>
    <row r="929" spans="1:21" x14ac:dyDescent="0.3">
      <c r="A929" t="s">
        <v>3157</v>
      </c>
      <c r="B929" t="s">
        <v>30</v>
      </c>
      <c r="C929" t="s">
        <v>45</v>
      </c>
      <c r="D929" s="15">
        <v>1</v>
      </c>
      <c r="E929" s="7">
        <v>427.97</v>
      </c>
      <c r="H929">
        <v>140140</v>
      </c>
      <c r="I929" t="s">
        <v>840</v>
      </c>
      <c r="J929" t="s">
        <v>3158</v>
      </c>
      <c r="K929" t="s">
        <v>3</v>
      </c>
      <c r="L929" s="2">
        <v>43221</v>
      </c>
      <c r="M929" s="2">
        <f>DHMXX[[#This Row],[INV DOC DATE]]+30</f>
        <v>43251</v>
      </c>
      <c r="N929" s="2">
        <v>43251</v>
      </c>
      <c r="O929" s="7">
        <v>427.97</v>
      </c>
      <c r="P929" s="2">
        <v>43262</v>
      </c>
      <c r="Q929" s="7">
        <f>$E929-$O929</f>
        <v>0</v>
      </c>
      <c r="R929" s="7" t="str">
        <f ca="1">IF(TODAY() - DHMXX[INV DUE DATE]&lt;30, "Less than 30 days",IF(TODAY()-DHMXX[INV DUE DATE]&lt;60,"30-60 days","More than 60 days"))</f>
        <v>30-60 days</v>
      </c>
      <c r="S929" t="s">
        <v>1550</v>
      </c>
      <c r="T929" s="43" t="s">
        <v>2229</v>
      </c>
      <c r="U929" t="s">
        <v>3699</v>
      </c>
    </row>
    <row r="930" spans="1:21" x14ac:dyDescent="0.3">
      <c r="A930" t="s">
        <v>3157</v>
      </c>
      <c r="B930" t="s">
        <v>30</v>
      </c>
      <c r="C930" t="s">
        <v>46</v>
      </c>
      <c r="D930" s="15">
        <v>1</v>
      </c>
      <c r="E930" s="7">
        <v>213.99</v>
      </c>
      <c r="H930">
        <v>142910</v>
      </c>
      <c r="I930" t="s">
        <v>841</v>
      </c>
      <c r="J930" t="s">
        <v>3158</v>
      </c>
      <c r="K930" t="s">
        <v>3</v>
      </c>
      <c r="L930" s="2">
        <v>43221</v>
      </c>
      <c r="M930" s="2">
        <f>DHMXX[[#This Row],[INV DOC DATE]]+30</f>
        <v>43251</v>
      </c>
      <c r="N930" s="2">
        <v>43251</v>
      </c>
      <c r="O930" s="7">
        <v>213.99</v>
      </c>
      <c r="P930" s="2">
        <v>43262</v>
      </c>
      <c r="Q930" s="7">
        <f>$E930-$O930</f>
        <v>0</v>
      </c>
      <c r="R930" s="7" t="str">
        <f ca="1">IF(TODAY() - DHMXX[INV DUE DATE]&lt;30, "Less than 30 days",IF(TODAY()-DHMXX[INV DUE DATE]&lt;60,"30-60 days","More than 60 days"))</f>
        <v>30-60 days</v>
      </c>
      <c r="S930" t="s">
        <v>1550</v>
      </c>
      <c r="T930" s="43" t="s">
        <v>2229</v>
      </c>
      <c r="U930" t="s">
        <v>3699</v>
      </c>
    </row>
    <row r="931" spans="1:21" x14ac:dyDescent="0.3">
      <c r="A931" t="s">
        <v>3157</v>
      </c>
      <c r="B931" t="s">
        <v>30</v>
      </c>
      <c r="C931" t="s">
        <v>47</v>
      </c>
      <c r="D931" s="15">
        <v>1</v>
      </c>
      <c r="E931" s="7">
        <v>1283.92</v>
      </c>
      <c r="H931">
        <v>148833</v>
      </c>
      <c r="I931" t="s">
        <v>842</v>
      </c>
      <c r="J931" t="s">
        <v>3158</v>
      </c>
      <c r="K931" t="s">
        <v>3</v>
      </c>
      <c r="L931" s="2">
        <v>43221</v>
      </c>
      <c r="M931" s="2">
        <f>DHMXX[[#This Row],[INV DOC DATE]]+30</f>
        <v>43251</v>
      </c>
      <c r="N931" s="2">
        <v>43251</v>
      </c>
      <c r="O931" s="7">
        <v>1283.92</v>
      </c>
      <c r="P931" s="2">
        <v>43262</v>
      </c>
      <c r="Q931" s="7">
        <f>$E931-$O931</f>
        <v>0</v>
      </c>
      <c r="R931" s="7" t="str">
        <f ca="1">IF(TODAY() - DHMXX[INV DUE DATE]&lt;30, "Less than 30 days",IF(TODAY()-DHMXX[INV DUE DATE]&lt;60,"30-60 days","More than 60 days"))</f>
        <v>30-60 days</v>
      </c>
      <c r="S931" t="s">
        <v>1550</v>
      </c>
      <c r="T931" s="43" t="s">
        <v>2229</v>
      </c>
      <c r="U931" t="s">
        <v>3699</v>
      </c>
    </row>
    <row r="932" spans="1:21" x14ac:dyDescent="0.3">
      <c r="A932" t="s">
        <v>3157</v>
      </c>
      <c r="B932" t="s">
        <v>30</v>
      </c>
      <c r="C932" t="s">
        <v>295</v>
      </c>
      <c r="D932" s="15">
        <v>1</v>
      </c>
      <c r="E932" s="7">
        <v>213.99</v>
      </c>
      <c r="H932">
        <v>162604</v>
      </c>
      <c r="I932" t="s">
        <v>842</v>
      </c>
      <c r="J932" t="s">
        <v>3158</v>
      </c>
      <c r="K932" t="s">
        <v>3</v>
      </c>
      <c r="L932" s="2">
        <v>43221</v>
      </c>
      <c r="M932" s="2">
        <f>DHMXX[[#This Row],[INV DOC DATE]]+30</f>
        <v>43251</v>
      </c>
      <c r="N932" s="2">
        <v>43251</v>
      </c>
      <c r="O932" s="7">
        <v>213.99</v>
      </c>
      <c r="P932" s="2">
        <v>43262</v>
      </c>
      <c r="Q932" s="7">
        <f>$E932-$O932</f>
        <v>0</v>
      </c>
      <c r="R932" s="7" t="str">
        <f ca="1">IF(TODAY() - DHMXX[INV DUE DATE]&lt;30, "Less than 30 days",IF(TODAY()-DHMXX[INV DUE DATE]&lt;60,"30-60 days","More than 60 days"))</f>
        <v>30-60 days</v>
      </c>
      <c r="S932" t="s">
        <v>1550</v>
      </c>
      <c r="T932" s="43" t="s">
        <v>2229</v>
      </c>
      <c r="U932" t="s">
        <v>3699</v>
      </c>
    </row>
    <row r="933" spans="1:21" x14ac:dyDescent="0.3">
      <c r="A933" t="s">
        <v>3157</v>
      </c>
      <c r="B933" t="s">
        <v>30</v>
      </c>
      <c r="C933" t="s">
        <v>48</v>
      </c>
      <c r="D933" s="15">
        <v>1</v>
      </c>
      <c r="E933" s="7">
        <v>213.99</v>
      </c>
      <c r="H933">
        <v>165685</v>
      </c>
      <c r="I933" t="s">
        <v>843</v>
      </c>
      <c r="J933" t="s">
        <v>3158</v>
      </c>
      <c r="K933" t="s">
        <v>3</v>
      </c>
      <c r="L933" s="2">
        <v>43221</v>
      </c>
      <c r="M933" s="2">
        <f>DHMXX[[#This Row],[INV DOC DATE]]+30</f>
        <v>43251</v>
      </c>
      <c r="N933" s="2">
        <v>43251</v>
      </c>
      <c r="O933" s="7">
        <v>213.99</v>
      </c>
      <c r="P933" s="2">
        <v>43262</v>
      </c>
      <c r="Q933" s="7">
        <f>$E933-$O933</f>
        <v>0</v>
      </c>
      <c r="R933" s="7" t="str">
        <f ca="1">IF(TODAY() - DHMXX[INV DUE DATE]&lt;30, "Less than 30 days",IF(TODAY()-DHMXX[INV DUE DATE]&lt;60,"30-60 days","More than 60 days"))</f>
        <v>30-60 days</v>
      </c>
      <c r="S933" t="s">
        <v>1550</v>
      </c>
      <c r="T933" s="43" t="s">
        <v>2229</v>
      </c>
      <c r="U933" t="s">
        <v>3699</v>
      </c>
    </row>
    <row r="934" spans="1:21" x14ac:dyDescent="0.3">
      <c r="A934" t="s">
        <v>3157</v>
      </c>
      <c r="B934" t="s">
        <v>30</v>
      </c>
      <c r="C934" t="s">
        <v>49</v>
      </c>
      <c r="D934" s="15">
        <v>16</v>
      </c>
      <c r="E934" s="7">
        <v>641.96</v>
      </c>
      <c r="H934">
        <v>55031</v>
      </c>
      <c r="I934" t="s">
        <v>861</v>
      </c>
      <c r="J934" t="s">
        <v>3158</v>
      </c>
      <c r="K934" t="s">
        <v>3</v>
      </c>
      <c r="L934" s="2">
        <v>43221</v>
      </c>
      <c r="M934" s="2">
        <f>DHMXX[[#This Row],[INV DOC DATE]]+30</f>
        <v>43251</v>
      </c>
      <c r="N934" s="2">
        <v>43251</v>
      </c>
      <c r="O934" s="7">
        <v>641.96</v>
      </c>
      <c r="P934" s="2">
        <v>43262</v>
      </c>
      <c r="Q934" s="7">
        <f>$E934-$O934</f>
        <v>0</v>
      </c>
      <c r="R934" s="7" t="str">
        <f ca="1">IF(TODAY() - DHMXX[INV DUE DATE]&lt;30, "Less than 30 days",IF(TODAY()-DHMXX[INV DUE DATE]&lt;60,"30-60 days","More than 60 days"))</f>
        <v>30-60 days</v>
      </c>
      <c r="S934" t="s">
        <v>1550</v>
      </c>
      <c r="T934" s="43" t="s">
        <v>2229</v>
      </c>
      <c r="U934" t="s">
        <v>3699</v>
      </c>
    </row>
    <row r="935" spans="1:21" x14ac:dyDescent="0.3">
      <c r="A935" t="s">
        <v>3157</v>
      </c>
      <c r="B935" t="s">
        <v>30</v>
      </c>
      <c r="C935" t="s">
        <v>50</v>
      </c>
      <c r="D935" s="15">
        <v>16</v>
      </c>
      <c r="E935" s="7">
        <v>1283.92</v>
      </c>
      <c r="H935">
        <v>55245</v>
      </c>
      <c r="I935" t="s">
        <v>861</v>
      </c>
      <c r="J935" t="s">
        <v>3158</v>
      </c>
      <c r="K935" t="s">
        <v>3</v>
      </c>
      <c r="L935" s="2">
        <v>43221</v>
      </c>
      <c r="M935" s="2">
        <f>DHMXX[[#This Row],[INV DOC DATE]]+30</f>
        <v>43251</v>
      </c>
      <c r="N935" s="2">
        <v>43251</v>
      </c>
      <c r="O935" s="7">
        <v>1283.92</v>
      </c>
      <c r="P935" s="2">
        <v>43262</v>
      </c>
      <c r="Q935" s="7">
        <f>$E935-$O935</f>
        <v>0</v>
      </c>
      <c r="R935" s="7" t="str">
        <f ca="1">IF(TODAY() - DHMXX[INV DUE DATE]&lt;30, "Less than 30 days",IF(TODAY()-DHMXX[INV DUE DATE]&lt;60,"30-60 days","More than 60 days"))</f>
        <v>30-60 days</v>
      </c>
      <c r="S935" t="s">
        <v>1550</v>
      </c>
      <c r="T935" s="43" t="s">
        <v>2229</v>
      </c>
      <c r="U935" t="s">
        <v>3699</v>
      </c>
    </row>
    <row r="936" spans="1:21" x14ac:dyDescent="0.3">
      <c r="A936" t="s">
        <v>3157</v>
      </c>
      <c r="B936" t="s">
        <v>30</v>
      </c>
      <c r="C936" t="s">
        <v>51</v>
      </c>
      <c r="D936" s="15">
        <v>16</v>
      </c>
      <c r="E936" s="7">
        <v>213.99</v>
      </c>
      <c r="H936">
        <v>55256</v>
      </c>
      <c r="I936" t="s">
        <v>353</v>
      </c>
      <c r="J936" t="s">
        <v>3158</v>
      </c>
      <c r="K936" t="s">
        <v>3</v>
      </c>
      <c r="L936" s="2">
        <v>43221</v>
      </c>
      <c r="M936" s="2">
        <f>DHMXX[[#This Row],[INV DOC DATE]]+30</f>
        <v>43251</v>
      </c>
      <c r="N936" s="2">
        <v>43251</v>
      </c>
      <c r="O936" s="7">
        <v>213.99</v>
      </c>
      <c r="P936" s="2">
        <v>43262</v>
      </c>
      <c r="Q936" s="7">
        <f>$E936-$O936</f>
        <v>0</v>
      </c>
      <c r="R936" s="7" t="str">
        <f ca="1">IF(TODAY() - DHMXX[INV DUE DATE]&lt;30, "Less than 30 days",IF(TODAY()-DHMXX[INV DUE DATE]&lt;60,"30-60 days","More than 60 days"))</f>
        <v>30-60 days</v>
      </c>
      <c r="S936" t="s">
        <v>1550</v>
      </c>
      <c r="T936" s="43" t="s">
        <v>2229</v>
      </c>
      <c r="U936" t="s">
        <v>3699</v>
      </c>
    </row>
    <row r="937" spans="1:21" x14ac:dyDescent="0.3">
      <c r="A937" t="s">
        <v>3157</v>
      </c>
      <c r="B937" t="s">
        <v>30</v>
      </c>
      <c r="C937" t="s">
        <v>52</v>
      </c>
      <c r="D937" s="15">
        <v>16</v>
      </c>
      <c r="E937" s="7">
        <v>213.99</v>
      </c>
      <c r="H937">
        <v>55314</v>
      </c>
      <c r="I937" t="s">
        <v>862</v>
      </c>
      <c r="J937" t="s">
        <v>3158</v>
      </c>
      <c r="K937" t="s">
        <v>3</v>
      </c>
      <c r="L937" s="2">
        <v>43221</v>
      </c>
      <c r="M937" s="2">
        <f>DHMXX[[#This Row],[INV DOC DATE]]+30</f>
        <v>43251</v>
      </c>
      <c r="N937" s="2">
        <v>43251</v>
      </c>
      <c r="O937" s="7">
        <v>213.99</v>
      </c>
      <c r="P937" s="2">
        <v>43262</v>
      </c>
      <c r="Q937" s="7">
        <f>$E937-$O937</f>
        <v>0</v>
      </c>
      <c r="R937" s="7" t="str">
        <f ca="1">IF(TODAY() - DHMXX[INV DUE DATE]&lt;30, "Less than 30 days",IF(TODAY()-DHMXX[INV DUE DATE]&lt;60,"30-60 days","More than 60 days"))</f>
        <v>30-60 days</v>
      </c>
      <c r="S937" t="s">
        <v>1550</v>
      </c>
      <c r="T937" s="43" t="s">
        <v>2229</v>
      </c>
      <c r="U937" t="s">
        <v>3699</v>
      </c>
    </row>
    <row r="938" spans="1:21" x14ac:dyDescent="0.3">
      <c r="A938" t="s">
        <v>3157</v>
      </c>
      <c r="B938" t="s">
        <v>30</v>
      </c>
      <c r="C938" t="s">
        <v>53</v>
      </c>
      <c r="D938" s="15">
        <v>16</v>
      </c>
      <c r="E938" s="7">
        <v>855.94</v>
      </c>
      <c r="H938">
        <v>55322</v>
      </c>
      <c r="I938" t="s">
        <v>862</v>
      </c>
      <c r="J938" t="s">
        <v>3158</v>
      </c>
      <c r="K938" t="s">
        <v>3</v>
      </c>
      <c r="L938" s="2">
        <v>43221</v>
      </c>
      <c r="M938" s="2">
        <f>DHMXX[[#This Row],[INV DOC DATE]]+30</f>
        <v>43251</v>
      </c>
      <c r="N938" s="2">
        <v>43251</v>
      </c>
      <c r="O938" s="7">
        <v>855.94</v>
      </c>
      <c r="P938" s="2">
        <v>43262</v>
      </c>
      <c r="Q938" s="7">
        <f>$E938-$O938</f>
        <v>0</v>
      </c>
      <c r="R938" s="7" t="str">
        <f ca="1">IF(TODAY() - DHMXX[INV DUE DATE]&lt;30, "Less than 30 days",IF(TODAY()-DHMXX[INV DUE DATE]&lt;60,"30-60 days","More than 60 days"))</f>
        <v>30-60 days</v>
      </c>
      <c r="S938" t="s">
        <v>1550</v>
      </c>
      <c r="T938" s="43" t="s">
        <v>2229</v>
      </c>
      <c r="U938" t="s">
        <v>3699</v>
      </c>
    </row>
    <row r="939" spans="1:21" x14ac:dyDescent="0.3">
      <c r="A939" t="s">
        <v>3157</v>
      </c>
      <c r="B939" t="s">
        <v>30</v>
      </c>
      <c r="C939" t="s">
        <v>54</v>
      </c>
      <c r="D939" s="15">
        <v>16</v>
      </c>
      <c r="E939" s="7">
        <v>641.96</v>
      </c>
      <c r="H939">
        <v>55327</v>
      </c>
      <c r="I939" t="s">
        <v>862</v>
      </c>
      <c r="J939" t="s">
        <v>3158</v>
      </c>
      <c r="K939" t="s">
        <v>3</v>
      </c>
      <c r="L939" s="2">
        <v>43221</v>
      </c>
      <c r="M939" s="2">
        <f>DHMXX[[#This Row],[INV DOC DATE]]+30</f>
        <v>43251</v>
      </c>
      <c r="N939" s="2">
        <v>43251</v>
      </c>
      <c r="O939" s="7">
        <v>641.96</v>
      </c>
      <c r="P939" s="2">
        <v>43262</v>
      </c>
      <c r="Q939" s="7">
        <f>$E939-$O939</f>
        <v>0</v>
      </c>
      <c r="R939" s="7" t="str">
        <f ca="1">IF(TODAY() - DHMXX[INV DUE DATE]&lt;30, "Less than 30 days",IF(TODAY()-DHMXX[INV DUE DATE]&lt;60,"30-60 days","More than 60 days"))</f>
        <v>30-60 days</v>
      </c>
      <c r="S939" t="s">
        <v>1550</v>
      </c>
      <c r="T939" s="43" t="s">
        <v>2229</v>
      </c>
      <c r="U939" t="s">
        <v>3699</v>
      </c>
    </row>
    <row r="940" spans="1:21" x14ac:dyDescent="0.3">
      <c r="A940" t="s">
        <v>3157</v>
      </c>
      <c r="B940" t="s">
        <v>30</v>
      </c>
      <c r="C940" t="s">
        <v>55</v>
      </c>
      <c r="D940" s="15">
        <v>16</v>
      </c>
      <c r="E940" s="7">
        <v>427.97</v>
      </c>
      <c r="H940">
        <v>56656</v>
      </c>
      <c r="I940" t="s">
        <v>861</v>
      </c>
      <c r="J940" t="s">
        <v>3158</v>
      </c>
      <c r="K940" t="s">
        <v>3</v>
      </c>
      <c r="L940" s="2">
        <v>43221</v>
      </c>
      <c r="M940" s="2">
        <f>DHMXX[[#This Row],[INV DOC DATE]]+30</f>
        <v>43251</v>
      </c>
      <c r="N940" s="2">
        <v>43251</v>
      </c>
      <c r="O940" s="7">
        <v>427.97</v>
      </c>
      <c r="P940" s="2">
        <v>43262</v>
      </c>
      <c r="Q940" s="7">
        <f>$E940-$O940</f>
        <v>0</v>
      </c>
      <c r="R940" s="7" t="str">
        <f ca="1">IF(TODAY() - DHMXX[INV DUE DATE]&lt;30, "Less than 30 days",IF(TODAY()-DHMXX[INV DUE DATE]&lt;60,"30-60 days","More than 60 days"))</f>
        <v>30-60 days</v>
      </c>
      <c r="S940" t="s">
        <v>1550</v>
      </c>
      <c r="T940" s="43" t="s">
        <v>2229</v>
      </c>
      <c r="U940" t="s">
        <v>3699</v>
      </c>
    </row>
    <row r="941" spans="1:21" x14ac:dyDescent="0.3">
      <c r="A941" t="s">
        <v>3157</v>
      </c>
      <c r="B941" t="s">
        <v>30</v>
      </c>
      <c r="C941" t="s">
        <v>56</v>
      </c>
      <c r="D941" s="15">
        <v>16</v>
      </c>
      <c r="E941" s="7">
        <v>213.99</v>
      </c>
      <c r="H941">
        <v>56660</v>
      </c>
      <c r="I941" t="s">
        <v>861</v>
      </c>
      <c r="J941" t="s">
        <v>3158</v>
      </c>
      <c r="K941" t="s">
        <v>3</v>
      </c>
      <c r="L941" s="2">
        <v>43221</v>
      </c>
      <c r="M941" s="2">
        <f>DHMXX[[#This Row],[INV DOC DATE]]+30</f>
        <v>43251</v>
      </c>
      <c r="N941" s="2">
        <v>43251</v>
      </c>
      <c r="O941" s="7">
        <v>213.99</v>
      </c>
      <c r="P941" s="2">
        <v>43262</v>
      </c>
      <c r="Q941" s="7">
        <f>$E941-$O941</f>
        <v>0</v>
      </c>
      <c r="R941" s="7" t="str">
        <f ca="1">IF(TODAY() - DHMXX[INV DUE DATE]&lt;30, "Less than 30 days",IF(TODAY()-DHMXX[INV DUE DATE]&lt;60,"30-60 days","More than 60 days"))</f>
        <v>30-60 days</v>
      </c>
      <c r="S941" t="s">
        <v>1550</v>
      </c>
      <c r="T941" s="43" t="s">
        <v>2229</v>
      </c>
      <c r="U941" t="s">
        <v>3699</v>
      </c>
    </row>
    <row r="942" spans="1:21" x14ac:dyDescent="0.3">
      <c r="A942" t="s">
        <v>3157</v>
      </c>
      <c r="B942" t="s">
        <v>30</v>
      </c>
      <c r="C942" t="s">
        <v>57</v>
      </c>
      <c r="D942" s="15">
        <v>16</v>
      </c>
      <c r="E942" s="7">
        <v>213.99</v>
      </c>
      <c r="H942">
        <v>82223</v>
      </c>
      <c r="I942" t="s">
        <v>858</v>
      </c>
      <c r="J942" t="s">
        <v>3158</v>
      </c>
      <c r="K942" t="s">
        <v>3</v>
      </c>
      <c r="L942" s="2">
        <v>43221</v>
      </c>
      <c r="M942" s="2">
        <f>DHMXX[[#This Row],[INV DOC DATE]]+30</f>
        <v>43251</v>
      </c>
      <c r="N942" s="2">
        <v>43251</v>
      </c>
      <c r="O942" s="7">
        <v>213.99</v>
      </c>
      <c r="P942" s="2">
        <v>43262</v>
      </c>
      <c r="Q942" s="7">
        <f>$E942-$O942</f>
        <v>0</v>
      </c>
      <c r="R942" s="7" t="str">
        <f ca="1">IF(TODAY() - DHMXX[INV DUE DATE]&lt;30, "Less than 30 days",IF(TODAY()-DHMXX[INV DUE DATE]&lt;60,"30-60 days","More than 60 days"))</f>
        <v>30-60 days</v>
      </c>
      <c r="S942" t="s">
        <v>1550</v>
      </c>
      <c r="T942" s="43" t="s">
        <v>2229</v>
      </c>
      <c r="U942" t="s">
        <v>3699</v>
      </c>
    </row>
    <row r="943" spans="1:21" x14ac:dyDescent="0.3">
      <c r="A943" t="s">
        <v>3157</v>
      </c>
      <c r="B943" t="s">
        <v>30</v>
      </c>
      <c r="C943" t="s">
        <v>58</v>
      </c>
      <c r="D943" s="15">
        <v>16</v>
      </c>
      <c r="E943" s="7">
        <v>427.97</v>
      </c>
      <c r="H943">
        <v>82227</v>
      </c>
      <c r="I943" t="s">
        <v>858</v>
      </c>
      <c r="J943" t="s">
        <v>3158</v>
      </c>
      <c r="K943" t="s">
        <v>3</v>
      </c>
      <c r="L943" s="2">
        <v>43221</v>
      </c>
      <c r="M943" s="2">
        <f>DHMXX[[#This Row],[INV DOC DATE]]+30</f>
        <v>43251</v>
      </c>
      <c r="N943" s="2">
        <v>43251</v>
      </c>
      <c r="O943" s="7">
        <v>427.97</v>
      </c>
      <c r="P943" s="2">
        <v>43262</v>
      </c>
      <c r="Q943" s="7">
        <f>$E943-$O943</f>
        <v>0</v>
      </c>
      <c r="R943" s="7" t="str">
        <f ca="1">IF(TODAY() - DHMXX[INV DUE DATE]&lt;30, "Less than 30 days",IF(TODAY()-DHMXX[INV DUE DATE]&lt;60,"30-60 days","More than 60 days"))</f>
        <v>30-60 days</v>
      </c>
      <c r="S943" t="s">
        <v>1550</v>
      </c>
      <c r="T943" s="43" t="s">
        <v>2229</v>
      </c>
      <c r="U943" t="s">
        <v>3699</v>
      </c>
    </row>
    <row r="944" spans="1:21" x14ac:dyDescent="0.3">
      <c r="A944" t="s">
        <v>3157</v>
      </c>
      <c r="B944" t="s">
        <v>30</v>
      </c>
      <c r="C944" t="s">
        <v>59</v>
      </c>
      <c r="D944" s="15">
        <v>16</v>
      </c>
      <c r="E944" s="7">
        <v>641.96</v>
      </c>
      <c r="H944">
        <v>115325</v>
      </c>
      <c r="I944" t="s">
        <v>860</v>
      </c>
      <c r="J944" t="s">
        <v>3158</v>
      </c>
      <c r="K944" t="s">
        <v>3</v>
      </c>
      <c r="L944" s="2">
        <v>43221</v>
      </c>
      <c r="M944" s="2">
        <f>DHMXX[[#This Row],[INV DOC DATE]]+30</f>
        <v>43251</v>
      </c>
      <c r="N944" s="2">
        <v>43251</v>
      </c>
      <c r="O944" s="7">
        <v>641.96</v>
      </c>
      <c r="P944" s="2">
        <v>43262</v>
      </c>
      <c r="Q944" s="7">
        <f>$E944-$O944</f>
        <v>0</v>
      </c>
      <c r="R944" s="7" t="str">
        <f ca="1">IF(TODAY() - DHMXX[INV DUE DATE]&lt;30, "Less than 30 days",IF(TODAY()-DHMXX[INV DUE DATE]&lt;60,"30-60 days","More than 60 days"))</f>
        <v>30-60 days</v>
      </c>
      <c r="S944" t="s">
        <v>1550</v>
      </c>
      <c r="T944" s="43" t="s">
        <v>2229</v>
      </c>
      <c r="U944" t="s">
        <v>3699</v>
      </c>
    </row>
    <row r="945" spans="1:21" x14ac:dyDescent="0.3">
      <c r="A945" t="s">
        <v>3157</v>
      </c>
      <c r="B945" t="s">
        <v>30</v>
      </c>
      <c r="C945" t="s">
        <v>60</v>
      </c>
      <c r="D945" s="15">
        <v>2000</v>
      </c>
      <c r="E945" s="7">
        <v>641.96</v>
      </c>
      <c r="H945">
        <v>36784</v>
      </c>
      <c r="I945" t="s">
        <v>865</v>
      </c>
      <c r="J945" t="s">
        <v>3158</v>
      </c>
      <c r="K945" t="s">
        <v>3</v>
      </c>
      <c r="L945" s="2">
        <v>43221</v>
      </c>
      <c r="M945" s="2">
        <f>DHMXX[[#This Row],[INV DOC DATE]]+30</f>
        <v>43251</v>
      </c>
      <c r="N945" s="2">
        <v>43251</v>
      </c>
      <c r="O945" s="7">
        <v>641.96</v>
      </c>
      <c r="P945" s="2">
        <v>43262</v>
      </c>
      <c r="Q945" s="7">
        <f>$E945-$O945</f>
        <v>0</v>
      </c>
      <c r="R945" s="7" t="str">
        <f ca="1">IF(TODAY() - DHMXX[INV DUE DATE]&lt;30, "Less than 30 days",IF(TODAY()-DHMXX[INV DUE DATE]&lt;60,"30-60 days","More than 60 days"))</f>
        <v>30-60 days</v>
      </c>
      <c r="S945" t="s">
        <v>1550</v>
      </c>
      <c r="T945" s="43" t="s">
        <v>2229</v>
      </c>
      <c r="U945" t="s">
        <v>3699</v>
      </c>
    </row>
    <row r="946" spans="1:21" x14ac:dyDescent="0.3">
      <c r="A946" t="s">
        <v>3157</v>
      </c>
      <c r="B946" t="s">
        <v>30</v>
      </c>
      <c r="C946" t="s">
        <v>61</v>
      </c>
      <c r="D946" s="15">
        <v>2000</v>
      </c>
      <c r="E946" s="7">
        <v>427.97</v>
      </c>
      <c r="H946">
        <v>36989</v>
      </c>
      <c r="I946" t="s">
        <v>361</v>
      </c>
      <c r="J946" t="s">
        <v>3158</v>
      </c>
      <c r="K946" t="s">
        <v>3</v>
      </c>
      <c r="L946" s="2">
        <v>43221</v>
      </c>
      <c r="M946" s="2">
        <f>DHMXX[[#This Row],[INV DOC DATE]]+30</f>
        <v>43251</v>
      </c>
      <c r="N946" s="2">
        <v>43251</v>
      </c>
      <c r="O946" s="7">
        <v>427.97</v>
      </c>
      <c r="P946" s="2">
        <v>43262</v>
      </c>
      <c r="Q946" s="7">
        <f>$E946-$O946</f>
        <v>0</v>
      </c>
      <c r="R946" s="7" t="str">
        <f ca="1">IF(TODAY() - DHMXX[INV DUE DATE]&lt;30, "Less than 30 days",IF(TODAY()-DHMXX[INV DUE DATE]&lt;60,"30-60 days","More than 60 days"))</f>
        <v>30-60 days</v>
      </c>
      <c r="S946" t="s">
        <v>1550</v>
      </c>
      <c r="T946" s="43" t="s">
        <v>2229</v>
      </c>
      <c r="U946" t="s">
        <v>3699</v>
      </c>
    </row>
    <row r="947" spans="1:21" x14ac:dyDescent="0.3">
      <c r="A947" t="s">
        <v>3157</v>
      </c>
      <c r="B947" t="s">
        <v>30</v>
      </c>
      <c r="C947" t="s">
        <v>62</v>
      </c>
      <c r="D947" s="15">
        <v>2000</v>
      </c>
      <c r="E947" s="7">
        <v>2139.86</v>
      </c>
      <c r="H947">
        <v>36992</v>
      </c>
      <c r="I947" t="s">
        <v>361</v>
      </c>
      <c r="J947" t="s">
        <v>3158</v>
      </c>
      <c r="K947" t="s">
        <v>3</v>
      </c>
      <c r="L947" s="2">
        <v>43221</v>
      </c>
      <c r="M947" s="2">
        <f>DHMXX[[#This Row],[INV DOC DATE]]+30</f>
        <v>43251</v>
      </c>
      <c r="N947" s="2">
        <v>43251</v>
      </c>
      <c r="O947" s="7">
        <v>2139.86</v>
      </c>
      <c r="P947" s="2">
        <v>43262</v>
      </c>
      <c r="Q947" s="7">
        <f>$E947-$O947</f>
        <v>0</v>
      </c>
      <c r="R947" s="7" t="str">
        <f ca="1">IF(TODAY() - DHMXX[INV DUE DATE]&lt;30, "Less than 30 days",IF(TODAY()-DHMXX[INV DUE DATE]&lt;60,"30-60 days","More than 60 days"))</f>
        <v>30-60 days</v>
      </c>
      <c r="S947" t="s">
        <v>1550</v>
      </c>
      <c r="T947" s="43" t="s">
        <v>2229</v>
      </c>
      <c r="U947" t="s">
        <v>3699</v>
      </c>
    </row>
    <row r="948" spans="1:21" x14ac:dyDescent="0.3">
      <c r="A948" t="s">
        <v>3157</v>
      </c>
      <c r="B948" t="s">
        <v>30</v>
      </c>
      <c r="C948" t="s">
        <v>63</v>
      </c>
      <c r="D948" s="15">
        <v>2000</v>
      </c>
      <c r="E948" s="7">
        <v>2995.81</v>
      </c>
      <c r="H948">
        <v>36997</v>
      </c>
      <c r="I948" t="s">
        <v>361</v>
      </c>
      <c r="J948" t="s">
        <v>3158</v>
      </c>
      <c r="K948" t="s">
        <v>3</v>
      </c>
      <c r="L948" s="2">
        <v>43221</v>
      </c>
      <c r="M948" s="2">
        <f>DHMXX[[#This Row],[INV DOC DATE]]+30</f>
        <v>43251</v>
      </c>
      <c r="N948" s="2">
        <v>43251</v>
      </c>
      <c r="O948" s="7">
        <v>2995.81</v>
      </c>
      <c r="P948" s="2">
        <v>43262</v>
      </c>
      <c r="Q948" s="7">
        <f>$E948-$O948</f>
        <v>0</v>
      </c>
      <c r="R948" s="7" t="str">
        <f ca="1">IF(TODAY() - DHMXX[INV DUE DATE]&lt;30, "Less than 30 days",IF(TODAY()-DHMXX[INV DUE DATE]&lt;60,"30-60 days","More than 60 days"))</f>
        <v>30-60 days</v>
      </c>
      <c r="S948" t="s">
        <v>1550</v>
      </c>
      <c r="T948" s="43" t="s">
        <v>2229</v>
      </c>
      <c r="U948" t="s">
        <v>3699</v>
      </c>
    </row>
    <row r="949" spans="1:21" x14ac:dyDescent="0.3">
      <c r="A949" t="s">
        <v>3157</v>
      </c>
      <c r="B949" t="s">
        <v>30</v>
      </c>
      <c r="C949" t="s">
        <v>64</v>
      </c>
      <c r="D949" s="15">
        <v>2000</v>
      </c>
      <c r="E949" s="7">
        <v>2139.86</v>
      </c>
      <c r="H949">
        <v>37463</v>
      </c>
      <c r="I949" t="s">
        <v>866</v>
      </c>
      <c r="J949" t="s">
        <v>3158</v>
      </c>
      <c r="K949" t="s">
        <v>3</v>
      </c>
      <c r="L949" s="2">
        <v>43221</v>
      </c>
      <c r="M949" s="2">
        <f>DHMXX[[#This Row],[INV DOC DATE]]+30</f>
        <v>43251</v>
      </c>
      <c r="N949" s="2">
        <v>43251</v>
      </c>
      <c r="O949" s="7">
        <v>2139.86</v>
      </c>
      <c r="P949" s="2">
        <v>43262</v>
      </c>
      <c r="Q949" s="7">
        <f>$E949-$O949</f>
        <v>0</v>
      </c>
      <c r="R949" s="7" t="str">
        <f ca="1">IF(TODAY() - DHMXX[INV DUE DATE]&lt;30, "Less than 30 days",IF(TODAY()-DHMXX[INV DUE DATE]&lt;60,"30-60 days","More than 60 days"))</f>
        <v>30-60 days</v>
      </c>
      <c r="S949" t="s">
        <v>1550</v>
      </c>
      <c r="T949" s="43" t="s">
        <v>2229</v>
      </c>
      <c r="U949" t="s">
        <v>3699</v>
      </c>
    </row>
    <row r="950" spans="1:21" x14ac:dyDescent="0.3">
      <c r="A950" t="s">
        <v>3157</v>
      </c>
      <c r="B950" t="s">
        <v>30</v>
      </c>
      <c r="C950" t="s">
        <v>65</v>
      </c>
      <c r="D950" s="15">
        <v>2000</v>
      </c>
      <c r="E950" s="7">
        <v>2353.85</v>
      </c>
      <c r="H950">
        <v>37912</v>
      </c>
      <c r="I950" t="s">
        <v>362</v>
      </c>
      <c r="J950" t="s">
        <v>3158</v>
      </c>
      <c r="K950" t="s">
        <v>3</v>
      </c>
      <c r="L950" s="2">
        <v>43221</v>
      </c>
      <c r="M950" s="2">
        <f>DHMXX[[#This Row],[INV DOC DATE]]+30</f>
        <v>43251</v>
      </c>
      <c r="N950" s="2">
        <v>43251</v>
      </c>
      <c r="O950" s="7">
        <v>2353.85</v>
      </c>
      <c r="P950" s="2">
        <v>43262</v>
      </c>
      <c r="Q950" s="7">
        <f>$E950-$O950</f>
        <v>0</v>
      </c>
      <c r="R950" s="7" t="str">
        <f ca="1">IF(TODAY() - DHMXX[INV DUE DATE]&lt;30, "Less than 30 days",IF(TODAY()-DHMXX[INV DUE DATE]&lt;60,"30-60 days","More than 60 days"))</f>
        <v>30-60 days</v>
      </c>
      <c r="S950" t="s">
        <v>1550</v>
      </c>
      <c r="T950" s="43" t="s">
        <v>2229</v>
      </c>
      <c r="U950" t="s">
        <v>3699</v>
      </c>
    </row>
    <row r="951" spans="1:21" x14ac:dyDescent="0.3">
      <c r="A951" t="s">
        <v>3157</v>
      </c>
      <c r="B951" t="s">
        <v>30</v>
      </c>
      <c r="C951" t="s">
        <v>66</v>
      </c>
      <c r="D951" s="15">
        <v>2000</v>
      </c>
      <c r="E951" s="7">
        <v>1069.93</v>
      </c>
      <c r="H951">
        <v>82957</v>
      </c>
      <c r="I951" t="s">
        <v>867</v>
      </c>
      <c r="J951" t="s">
        <v>3158</v>
      </c>
      <c r="K951" t="s">
        <v>3</v>
      </c>
      <c r="L951" s="2">
        <v>43221</v>
      </c>
      <c r="M951" s="2">
        <f>DHMXX[[#This Row],[INV DOC DATE]]+30</f>
        <v>43251</v>
      </c>
      <c r="N951" s="2">
        <v>43251</v>
      </c>
      <c r="O951" s="7">
        <v>1069.93</v>
      </c>
      <c r="P951" s="2">
        <v>43262</v>
      </c>
      <c r="Q951" s="7">
        <f>$E951-$O951</f>
        <v>0</v>
      </c>
      <c r="R951" s="7" t="str">
        <f ca="1">IF(TODAY() - DHMXX[INV DUE DATE]&lt;30, "Less than 30 days",IF(TODAY()-DHMXX[INV DUE DATE]&lt;60,"30-60 days","More than 60 days"))</f>
        <v>30-60 days</v>
      </c>
      <c r="S951" t="s">
        <v>1550</v>
      </c>
      <c r="T951" s="43" t="s">
        <v>2229</v>
      </c>
      <c r="U951" t="s">
        <v>3699</v>
      </c>
    </row>
    <row r="952" spans="1:21" x14ac:dyDescent="0.3">
      <c r="A952" t="s">
        <v>3157</v>
      </c>
      <c r="B952" t="s">
        <v>30</v>
      </c>
      <c r="C952" t="s">
        <v>67</v>
      </c>
      <c r="D952" s="15">
        <v>2000</v>
      </c>
      <c r="E952" s="7">
        <v>213.99</v>
      </c>
      <c r="H952">
        <v>91299</v>
      </c>
      <c r="I952" t="s">
        <v>867</v>
      </c>
      <c r="J952" t="s">
        <v>3158</v>
      </c>
      <c r="K952" t="s">
        <v>3</v>
      </c>
      <c r="L952" s="2">
        <v>43221</v>
      </c>
      <c r="M952" s="2">
        <f>DHMXX[[#This Row],[INV DOC DATE]]+30</f>
        <v>43251</v>
      </c>
      <c r="N952" s="2">
        <v>43251</v>
      </c>
      <c r="O952" s="7">
        <v>213.99</v>
      </c>
      <c r="P952" s="2">
        <v>43262</v>
      </c>
      <c r="Q952" s="7">
        <f>$E952-$O952</f>
        <v>0</v>
      </c>
      <c r="R952" s="7" t="str">
        <f ca="1">IF(TODAY() - DHMXX[INV DUE DATE]&lt;30, "Less than 30 days",IF(TODAY()-DHMXX[INV DUE DATE]&lt;60,"30-60 days","More than 60 days"))</f>
        <v>30-60 days</v>
      </c>
      <c r="S952" t="s">
        <v>1550</v>
      </c>
      <c r="T952" s="43" t="s">
        <v>2229</v>
      </c>
      <c r="U952" t="s">
        <v>3699</v>
      </c>
    </row>
    <row r="953" spans="1:21" x14ac:dyDescent="0.3">
      <c r="A953" t="s">
        <v>3157</v>
      </c>
      <c r="B953" t="s">
        <v>30</v>
      </c>
      <c r="C953" t="s">
        <v>68</v>
      </c>
      <c r="D953" s="15">
        <v>2000</v>
      </c>
      <c r="E953" s="7">
        <v>641.96</v>
      </c>
      <c r="H953">
        <v>172035</v>
      </c>
      <c r="I953" t="s">
        <v>863</v>
      </c>
      <c r="J953" t="s">
        <v>3158</v>
      </c>
      <c r="K953" t="s">
        <v>3</v>
      </c>
      <c r="L953" s="2">
        <v>43221</v>
      </c>
      <c r="M953" s="2">
        <f>DHMXX[[#This Row],[INV DOC DATE]]+30</f>
        <v>43251</v>
      </c>
      <c r="N953" s="2">
        <v>43251</v>
      </c>
      <c r="O953" s="7">
        <v>641.96</v>
      </c>
      <c r="P953" s="2">
        <v>43262</v>
      </c>
      <c r="Q953" s="7">
        <f>$E953-$O953</f>
        <v>0</v>
      </c>
      <c r="R953" s="7" t="str">
        <f ca="1">IF(TODAY() - DHMXX[INV DUE DATE]&lt;30, "Less than 30 days",IF(TODAY()-DHMXX[INV DUE DATE]&lt;60,"30-60 days","More than 60 days"))</f>
        <v>30-60 days</v>
      </c>
      <c r="S953" t="s">
        <v>1550</v>
      </c>
      <c r="T953" s="43" t="s">
        <v>2229</v>
      </c>
      <c r="U953" t="s">
        <v>3699</v>
      </c>
    </row>
    <row r="954" spans="1:21" x14ac:dyDescent="0.3">
      <c r="A954" t="s">
        <v>3157</v>
      </c>
      <c r="B954" t="s">
        <v>30</v>
      </c>
      <c r="C954" t="s">
        <v>69</v>
      </c>
      <c r="D954" s="15">
        <v>2000</v>
      </c>
      <c r="E954" s="7">
        <v>2139.86</v>
      </c>
      <c r="H954">
        <v>182140</v>
      </c>
      <c r="I954" t="s">
        <v>864</v>
      </c>
      <c r="J954" t="s">
        <v>3158</v>
      </c>
      <c r="K954" t="s">
        <v>3</v>
      </c>
      <c r="L954" s="2">
        <v>43221</v>
      </c>
      <c r="M954" s="2">
        <f>DHMXX[[#This Row],[INV DOC DATE]]+30</f>
        <v>43251</v>
      </c>
      <c r="N954" s="2">
        <v>43251</v>
      </c>
      <c r="O954" s="7">
        <v>2139.86</v>
      </c>
      <c r="P954" s="2">
        <v>43262</v>
      </c>
      <c r="Q954" s="7">
        <f>$E954-$O954</f>
        <v>0</v>
      </c>
      <c r="R954" s="7" t="str">
        <f ca="1">IF(TODAY() - DHMXX[INV DUE DATE]&lt;30, "Less than 30 days",IF(TODAY()-DHMXX[INV DUE DATE]&lt;60,"30-60 days","More than 60 days"))</f>
        <v>30-60 days</v>
      </c>
      <c r="S954" t="s">
        <v>1550</v>
      </c>
      <c r="T954" s="43" t="s">
        <v>2229</v>
      </c>
      <c r="U954" t="s">
        <v>3699</v>
      </c>
    </row>
    <row r="955" spans="1:21" x14ac:dyDescent="0.3">
      <c r="A955" t="s">
        <v>2972</v>
      </c>
      <c r="B955" t="s">
        <v>30</v>
      </c>
      <c r="C955" t="s">
        <v>1363</v>
      </c>
      <c r="D955" s="15">
        <v>1</v>
      </c>
      <c r="E955" s="7">
        <v>178.25</v>
      </c>
      <c r="H955">
        <v>580</v>
      </c>
      <c r="I955" t="s">
        <v>857</v>
      </c>
      <c r="J955" t="s">
        <v>2973</v>
      </c>
      <c r="K955" t="s">
        <v>3</v>
      </c>
      <c r="L955" s="2">
        <v>43221</v>
      </c>
      <c r="M955" s="2">
        <f>DHMXX[[#This Row],[INV DOC DATE]]+30</f>
        <v>43251</v>
      </c>
      <c r="N955" s="2">
        <v>43251</v>
      </c>
      <c r="O955" s="7">
        <v>178.25</v>
      </c>
      <c r="P955" s="2">
        <v>43262</v>
      </c>
      <c r="Q955" s="7">
        <f>$E955-$O955</f>
        <v>0</v>
      </c>
      <c r="R955" s="7" t="str">
        <f ca="1">IF(TODAY() - DHMXX[INV DUE DATE]&lt;30, "Less than 30 days",IF(TODAY()-DHMXX[INV DUE DATE]&lt;60,"30-60 days","More than 60 days"))</f>
        <v>30-60 days</v>
      </c>
      <c r="S955" t="s">
        <v>1550</v>
      </c>
      <c r="T955" s="43" t="s">
        <v>2229</v>
      </c>
      <c r="U955" t="s">
        <v>3699</v>
      </c>
    </row>
    <row r="956" spans="1:21" x14ac:dyDescent="0.3">
      <c r="A956" t="s">
        <v>2972</v>
      </c>
      <c r="B956" t="s">
        <v>30</v>
      </c>
      <c r="C956" t="s">
        <v>1364</v>
      </c>
      <c r="D956" s="15">
        <v>1</v>
      </c>
      <c r="E956" s="7">
        <v>178.25</v>
      </c>
      <c r="H956">
        <v>580</v>
      </c>
      <c r="I956" t="s">
        <v>857</v>
      </c>
      <c r="J956" t="s">
        <v>2974</v>
      </c>
      <c r="K956" t="s">
        <v>3</v>
      </c>
      <c r="L956" s="2">
        <v>43221</v>
      </c>
      <c r="M956" s="2">
        <f>DHMXX[[#This Row],[INV DOC DATE]]+30</f>
        <v>43251</v>
      </c>
      <c r="N956" s="2">
        <v>43251</v>
      </c>
      <c r="O956" s="7">
        <v>178.25</v>
      </c>
      <c r="P956" s="2">
        <v>43262</v>
      </c>
      <c r="Q956" s="7">
        <f>$E956-$O956</f>
        <v>0</v>
      </c>
      <c r="R956" s="7" t="str">
        <f ca="1">IF(TODAY() - DHMXX[INV DUE DATE]&lt;30, "Less than 30 days",IF(TODAY()-DHMXX[INV DUE DATE]&lt;60,"30-60 days","More than 60 days"))</f>
        <v>30-60 days</v>
      </c>
      <c r="S956" t="s">
        <v>1550</v>
      </c>
      <c r="T956" s="43" t="s">
        <v>2229</v>
      </c>
      <c r="U956" t="s">
        <v>3699</v>
      </c>
    </row>
    <row r="957" spans="1:21" x14ac:dyDescent="0.3">
      <c r="A957" t="s">
        <v>2972</v>
      </c>
      <c r="B957" t="s">
        <v>30</v>
      </c>
      <c r="C957" t="s">
        <v>1365</v>
      </c>
      <c r="D957" s="15">
        <v>1</v>
      </c>
      <c r="E957" s="7">
        <v>232.5</v>
      </c>
      <c r="H957">
        <v>3824</v>
      </c>
      <c r="I957" t="s">
        <v>839</v>
      </c>
      <c r="J957" t="s">
        <v>2975</v>
      </c>
      <c r="K957" t="s">
        <v>3</v>
      </c>
      <c r="L957" s="2">
        <v>43221</v>
      </c>
      <c r="M957" s="2">
        <f>DHMXX[[#This Row],[INV DOC DATE]]+30</f>
        <v>43251</v>
      </c>
      <c r="N957" s="2">
        <v>43251</v>
      </c>
      <c r="O957" s="7">
        <v>232.5</v>
      </c>
      <c r="P957" s="2">
        <v>43262</v>
      </c>
      <c r="Q957" s="7">
        <f>$E957-$O957</f>
        <v>0</v>
      </c>
      <c r="R957" s="7" t="str">
        <f ca="1">IF(TODAY() - DHMXX[INV DUE DATE]&lt;30, "Less than 30 days",IF(TODAY()-DHMXX[INV DUE DATE]&lt;60,"30-60 days","More than 60 days"))</f>
        <v>30-60 days</v>
      </c>
      <c r="S957" t="s">
        <v>1550</v>
      </c>
      <c r="T957" s="43" t="s">
        <v>2229</v>
      </c>
      <c r="U957" t="s">
        <v>3699</v>
      </c>
    </row>
    <row r="958" spans="1:21" x14ac:dyDescent="0.3">
      <c r="A958" t="s">
        <v>2972</v>
      </c>
      <c r="B958" t="s">
        <v>30</v>
      </c>
      <c r="C958" t="s">
        <v>1366</v>
      </c>
      <c r="D958" s="15">
        <v>1</v>
      </c>
      <c r="E958" s="7">
        <v>232.5</v>
      </c>
      <c r="H958">
        <v>3824</v>
      </c>
      <c r="I958" t="s">
        <v>839</v>
      </c>
      <c r="J958" t="s">
        <v>2976</v>
      </c>
      <c r="K958" t="s">
        <v>3</v>
      </c>
      <c r="L958" s="2">
        <v>43221</v>
      </c>
      <c r="M958" s="2">
        <f>DHMXX[[#This Row],[INV DOC DATE]]+30</f>
        <v>43251</v>
      </c>
      <c r="N958" s="2">
        <v>43251</v>
      </c>
      <c r="O958" s="7">
        <v>232.5</v>
      </c>
      <c r="P958" s="2">
        <v>43262</v>
      </c>
      <c r="Q958" s="7">
        <f>$E958-$O958</f>
        <v>0</v>
      </c>
      <c r="R958" s="7" t="str">
        <f ca="1">IF(TODAY() - DHMXX[INV DUE DATE]&lt;30, "Less than 30 days",IF(TODAY()-DHMXX[INV DUE DATE]&lt;60,"30-60 days","More than 60 days"))</f>
        <v>30-60 days</v>
      </c>
      <c r="S958" t="s">
        <v>1550</v>
      </c>
      <c r="T958" s="43" t="s">
        <v>2229</v>
      </c>
      <c r="U958" t="s">
        <v>3699</v>
      </c>
    </row>
    <row r="959" spans="1:21" x14ac:dyDescent="0.3">
      <c r="A959" t="s">
        <v>2972</v>
      </c>
      <c r="B959" t="s">
        <v>30</v>
      </c>
      <c r="C959" t="s">
        <v>1367</v>
      </c>
      <c r="D959" s="15">
        <v>1</v>
      </c>
      <c r="E959" s="7">
        <v>232.5</v>
      </c>
      <c r="H959">
        <v>3824</v>
      </c>
      <c r="I959" t="s">
        <v>839</v>
      </c>
      <c r="J959" t="s">
        <v>2977</v>
      </c>
      <c r="K959" t="s">
        <v>3</v>
      </c>
      <c r="L959" s="2">
        <v>43221</v>
      </c>
      <c r="M959" s="2">
        <f>DHMXX[[#This Row],[INV DOC DATE]]+30</f>
        <v>43251</v>
      </c>
      <c r="N959" s="2">
        <v>43251</v>
      </c>
      <c r="O959" s="7">
        <v>232.5</v>
      </c>
      <c r="P959" s="2">
        <v>43262</v>
      </c>
      <c r="Q959" s="7">
        <f>$E959-$O959</f>
        <v>0</v>
      </c>
      <c r="R959" s="7" t="str">
        <f ca="1">IF(TODAY() - DHMXX[INV DUE DATE]&lt;30, "Less than 30 days",IF(TODAY()-DHMXX[INV DUE DATE]&lt;60,"30-60 days","More than 60 days"))</f>
        <v>30-60 days</v>
      </c>
      <c r="S959" t="s">
        <v>1550</v>
      </c>
      <c r="T959" s="43" t="s">
        <v>2229</v>
      </c>
      <c r="U959" t="s">
        <v>3699</v>
      </c>
    </row>
    <row r="960" spans="1:21" x14ac:dyDescent="0.3">
      <c r="A960" t="s">
        <v>2972</v>
      </c>
      <c r="B960" t="s">
        <v>30</v>
      </c>
      <c r="C960" t="s">
        <v>1368</v>
      </c>
      <c r="D960" s="15">
        <v>1</v>
      </c>
      <c r="E960" s="7">
        <v>232.5</v>
      </c>
      <c r="H960">
        <v>3824</v>
      </c>
      <c r="I960" t="s">
        <v>839</v>
      </c>
      <c r="J960" t="s">
        <v>2978</v>
      </c>
      <c r="K960" t="s">
        <v>3</v>
      </c>
      <c r="L960" s="2">
        <v>43221</v>
      </c>
      <c r="M960" s="2">
        <f>DHMXX[[#This Row],[INV DOC DATE]]+30</f>
        <v>43251</v>
      </c>
      <c r="N960" s="2">
        <v>43251</v>
      </c>
      <c r="O960" s="7">
        <v>232.5</v>
      </c>
      <c r="P960" s="2">
        <v>43262</v>
      </c>
      <c r="Q960" s="7">
        <f>$E960-$O960</f>
        <v>0</v>
      </c>
      <c r="R960" s="7" t="str">
        <f ca="1">IF(TODAY() - DHMXX[INV DUE DATE]&lt;30, "Less than 30 days",IF(TODAY()-DHMXX[INV DUE DATE]&lt;60,"30-60 days","More than 60 days"))</f>
        <v>30-60 days</v>
      </c>
      <c r="S960" t="s">
        <v>1550</v>
      </c>
      <c r="T960" s="43" t="s">
        <v>2229</v>
      </c>
      <c r="U960" t="s">
        <v>3699</v>
      </c>
    </row>
    <row r="961" spans="1:21" x14ac:dyDescent="0.3">
      <c r="A961" t="s">
        <v>2972</v>
      </c>
      <c r="B961" t="s">
        <v>30</v>
      </c>
      <c r="C961" t="s">
        <v>1369</v>
      </c>
      <c r="D961" s="15">
        <v>1</v>
      </c>
      <c r="E961" s="7">
        <v>232.5</v>
      </c>
      <c r="H961">
        <v>3824</v>
      </c>
      <c r="I961" t="s">
        <v>839</v>
      </c>
      <c r="J961" t="s">
        <v>2979</v>
      </c>
      <c r="K961" t="s">
        <v>3</v>
      </c>
      <c r="L961" s="2">
        <v>43221</v>
      </c>
      <c r="M961" s="2">
        <f>DHMXX[[#This Row],[INV DOC DATE]]+30</f>
        <v>43251</v>
      </c>
      <c r="N961" s="2">
        <v>43251</v>
      </c>
      <c r="O961" s="7">
        <v>232.5</v>
      </c>
      <c r="P961" s="2">
        <v>43262</v>
      </c>
      <c r="Q961" s="7">
        <f>$E961-$O961</f>
        <v>0</v>
      </c>
      <c r="R961" s="7" t="str">
        <f ca="1">IF(TODAY() - DHMXX[INV DUE DATE]&lt;30, "Less than 30 days",IF(TODAY()-DHMXX[INV DUE DATE]&lt;60,"30-60 days","More than 60 days"))</f>
        <v>30-60 days</v>
      </c>
      <c r="S961" t="s">
        <v>1550</v>
      </c>
      <c r="T961" s="43" t="s">
        <v>2229</v>
      </c>
      <c r="U961" t="s">
        <v>3699</v>
      </c>
    </row>
    <row r="962" spans="1:21" x14ac:dyDescent="0.3">
      <c r="A962" t="s">
        <v>2972</v>
      </c>
      <c r="B962" t="s">
        <v>30</v>
      </c>
      <c r="C962" t="s">
        <v>1370</v>
      </c>
      <c r="D962" s="15">
        <v>1</v>
      </c>
      <c r="E962" s="7">
        <v>178.25</v>
      </c>
      <c r="H962">
        <v>3824</v>
      </c>
      <c r="I962" t="s">
        <v>839</v>
      </c>
      <c r="J962" t="s">
        <v>2980</v>
      </c>
      <c r="K962" t="s">
        <v>3</v>
      </c>
      <c r="L962" s="2">
        <v>43221</v>
      </c>
      <c r="M962" s="2">
        <f>DHMXX[[#This Row],[INV DOC DATE]]+30</f>
        <v>43251</v>
      </c>
      <c r="N962" s="2">
        <v>43251</v>
      </c>
      <c r="O962" s="7">
        <v>178.25</v>
      </c>
      <c r="P962" s="2">
        <v>43262</v>
      </c>
      <c r="Q962" s="7">
        <f>$E962-$O962</f>
        <v>0</v>
      </c>
      <c r="R962" s="7" t="str">
        <f ca="1">IF(TODAY() - DHMXX[INV DUE DATE]&lt;30, "Less than 30 days",IF(TODAY()-DHMXX[INV DUE DATE]&lt;60,"30-60 days","More than 60 days"))</f>
        <v>30-60 days</v>
      </c>
      <c r="S962" t="s">
        <v>1550</v>
      </c>
      <c r="T962" s="43" t="s">
        <v>2229</v>
      </c>
      <c r="U962" t="s">
        <v>3699</v>
      </c>
    </row>
    <row r="963" spans="1:21" x14ac:dyDescent="0.3">
      <c r="A963" t="s">
        <v>2972</v>
      </c>
      <c r="B963" t="s">
        <v>30</v>
      </c>
      <c r="C963" t="s">
        <v>1371</v>
      </c>
      <c r="D963" s="15">
        <v>1</v>
      </c>
      <c r="E963" s="7">
        <v>178.25</v>
      </c>
      <c r="H963">
        <v>3824</v>
      </c>
      <c r="I963" t="s">
        <v>839</v>
      </c>
      <c r="J963" t="s">
        <v>2981</v>
      </c>
      <c r="K963" t="s">
        <v>3</v>
      </c>
      <c r="L963" s="2">
        <v>43221</v>
      </c>
      <c r="M963" s="2">
        <f>DHMXX[[#This Row],[INV DOC DATE]]+30</f>
        <v>43251</v>
      </c>
      <c r="N963" s="2">
        <v>43251</v>
      </c>
      <c r="O963" s="7">
        <v>178.25</v>
      </c>
      <c r="P963" s="2">
        <v>43262</v>
      </c>
      <c r="Q963" s="7">
        <f>$E963-$O963</f>
        <v>0</v>
      </c>
      <c r="R963" s="7" t="str">
        <f ca="1">IF(TODAY() - DHMXX[INV DUE DATE]&lt;30, "Less than 30 days",IF(TODAY()-DHMXX[INV DUE DATE]&lt;60,"30-60 days","More than 60 days"))</f>
        <v>30-60 days</v>
      </c>
      <c r="S963" t="s">
        <v>1550</v>
      </c>
      <c r="T963" s="43" t="s">
        <v>2229</v>
      </c>
      <c r="U963" t="s">
        <v>3699</v>
      </c>
    </row>
    <row r="964" spans="1:21" x14ac:dyDescent="0.3">
      <c r="A964" t="s">
        <v>2972</v>
      </c>
      <c r="B964" t="s">
        <v>30</v>
      </c>
      <c r="C964" t="s">
        <v>1372</v>
      </c>
      <c r="D964" s="15">
        <v>1</v>
      </c>
      <c r="E964" s="7">
        <v>178.25</v>
      </c>
      <c r="H964">
        <v>3824</v>
      </c>
      <c r="I964" t="s">
        <v>839</v>
      </c>
      <c r="J964" t="s">
        <v>2982</v>
      </c>
      <c r="K964" t="s">
        <v>3</v>
      </c>
      <c r="L964" s="2">
        <v>43221</v>
      </c>
      <c r="M964" s="2">
        <f>DHMXX[[#This Row],[INV DOC DATE]]+30</f>
        <v>43251</v>
      </c>
      <c r="N964" s="2">
        <v>43251</v>
      </c>
      <c r="O964" s="7">
        <v>178.25</v>
      </c>
      <c r="P964" s="2">
        <v>43262</v>
      </c>
      <c r="Q964" s="7">
        <f>$E964-$O964</f>
        <v>0</v>
      </c>
      <c r="R964" s="7" t="str">
        <f ca="1">IF(TODAY() - DHMXX[INV DUE DATE]&lt;30, "Less than 30 days",IF(TODAY()-DHMXX[INV DUE DATE]&lt;60,"30-60 days","More than 60 days"))</f>
        <v>30-60 days</v>
      </c>
      <c r="S964" t="s">
        <v>1550</v>
      </c>
      <c r="T964" s="43" t="s">
        <v>2229</v>
      </c>
      <c r="U964" t="s">
        <v>3699</v>
      </c>
    </row>
    <row r="965" spans="1:21" x14ac:dyDescent="0.3">
      <c r="A965" t="s">
        <v>2972</v>
      </c>
      <c r="B965" t="s">
        <v>30</v>
      </c>
      <c r="C965" t="s">
        <v>1373</v>
      </c>
      <c r="D965" s="15">
        <v>1</v>
      </c>
      <c r="E965" s="7">
        <v>178.25</v>
      </c>
      <c r="H965">
        <v>3824</v>
      </c>
      <c r="I965" t="s">
        <v>839</v>
      </c>
      <c r="J965" t="s">
        <v>2983</v>
      </c>
      <c r="K965" t="s">
        <v>3</v>
      </c>
      <c r="L965" s="2">
        <v>43221</v>
      </c>
      <c r="M965" s="2">
        <f>DHMXX[[#This Row],[INV DOC DATE]]+30</f>
        <v>43251</v>
      </c>
      <c r="N965" s="2">
        <v>43251</v>
      </c>
      <c r="O965" s="7">
        <v>178.25</v>
      </c>
      <c r="P965" s="2">
        <v>43262</v>
      </c>
      <c r="Q965" s="7">
        <f>$E965-$O965</f>
        <v>0</v>
      </c>
      <c r="R965" s="7" t="str">
        <f ca="1">IF(TODAY() - DHMXX[INV DUE DATE]&lt;30, "Less than 30 days",IF(TODAY()-DHMXX[INV DUE DATE]&lt;60,"30-60 days","More than 60 days"))</f>
        <v>30-60 days</v>
      </c>
      <c r="S965" t="s">
        <v>1550</v>
      </c>
      <c r="T965" s="43" t="s">
        <v>2229</v>
      </c>
      <c r="U965" t="s">
        <v>3699</v>
      </c>
    </row>
    <row r="966" spans="1:21" x14ac:dyDescent="0.3">
      <c r="A966" t="s">
        <v>2972</v>
      </c>
      <c r="B966" t="s">
        <v>30</v>
      </c>
      <c r="C966" t="s">
        <v>1374</v>
      </c>
      <c r="D966" s="15">
        <v>1</v>
      </c>
      <c r="E966" s="7">
        <v>178.25</v>
      </c>
      <c r="H966">
        <v>3824</v>
      </c>
      <c r="I966" t="s">
        <v>839</v>
      </c>
      <c r="J966" t="s">
        <v>2984</v>
      </c>
      <c r="K966" t="s">
        <v>3</v>
      </c>
      <c r="L966" s="2">
        <v>43221</v>
      </c>
      <c r="M966" s="2">
        <f>DHMXX[[#This Row],[INV DOC DATE]]+30</f>
        <v>43251</v>
      </c>
      <c r="N966" s="2">
        <v>43251</v>
      </c>
      <c r="O966" s="7">
        <v>178.25</v>
      </c>
      <c r="P966" s="2">
        <v>43262</v>
      </c>
      <c r="Q966" s="7">
        <f>$E966-$O966</f>
        <v>0</v>
      </c>
      <c r="R966" s="7" t="str">
        <f ca="1">IF(TODAY() - DHMXX[INV DUE DATE]&lt;30, "Less than 30 days",IF(TODAY()-DHMXX[INV DUE DATE]&lt;60,"30-60 days","More than 60 days"))</f>
        <v>30-60 days</v>
      </c>
      <c r="S966" t="s">
        <v>1550</v>
      </c>
      <c r="T966" s="43" t="s">
        <v>2229</v>
      </c>
      <c r="U966" t="s">
        <v>3699</v>
      </c>
    </row>
    <row r="967" spans="1:21" x14ac:dyDescent="0.3">
      <c r="A967" t="s">
        <v>2972</v>
      </c>
      <c r="B967" t="s">
        <v>30</v>
      </c>
      <c r="C967" t="s">
        <v>1375</v>
      </c>
      <c r="D967" s="15">
        <v>1</v>
      </c>
      <c r="E967" s="7">
        <v>279</v>
      </c>
      <c r="H967">
        <v>3825</v>
      </c>
      <c r="I967" t="s">
        <v>845</v>
      </c>
      <c r="J967" t="s">
        <v>2985</v>
      </c>
      <c r="K967" t="s">
        <v>3</v>
      </c>
      <c r="L967" s="2">
        <v>43221</v>
      </c>
      <c r="M967" s="2">
        <f>DHMXX[[#This Row],[INV DOC DATE]]+30</f>
        <v>43251</v>
      </c>
      <c r="N967" s="2">
        <v>43251</v>
      </c>
      <c r="O967" s="7">
        <v>279</v>
      </c>
      <c r="P967" s="2">
        <v>43262</v>
      </c>
      <c r="Q967" s="7">
        <f>$E967-$O967</f>
        <v>0</v>
      </c>
      <c r="R967" s="7" t="str">
        <f ca="1">IF(TODAY() - DHMXX[INV DUE DATE]&lt;30, "Less than 30 days",IF(TODAY()-DHMXX[INV DUE DATE]&lt;60,"30-60 days","More than 60 days"))</f>
        <v>30-60 days</v>
      </c>
      <c r="S967" t="s">
        <v>1550</v>
      </c>
      <c r="T967" s="43" t="s">
        <v>2229</v>
      </c>
      <c r="U967" t="s">
        <v>3699</v>
      </c>
    </row>
    <row r="968" spans="1:21" x14ac:dyDescent="0.3">
      <c r="A968" t="s">
        <v>2972</v>
      </c>
      <c r="B968" t="s">
        <v>30</v>
      </c>
      <c r="C968" t="s">
        <v>1376</v>
      </c>
      <c r="D968" s="15">
        <v>1</v>
      </c>
      <c r="E968" s="7">
        <v>279</v>
      </c>
      <c r="H968">
        <v>3825</v>
      </c>
      <c r="I968" t="s">
        <v>845</v>
      </c>
      <c r="J968" t="s">
        <v>2986</v>
      </c>
      <c r="K968" t="s">
        <v>3</v>
      </c>
      <c r="L968" s="2">
        <v>43221</v>
      </c>
      <c r="M968" s="2">
        <f>DHMXX[[#This Row],[INV DOC DATE]]+30</f>
        <v>43251</v>
      </c>
      <c r="N968" s="2">
        <v>43251</v>
      </c>
      <c r="O968" s="7">
        <v>279</v>
      </c>
      <c r="P968" s="2">
        <v>43262</v>
      </c>
      <c r="Q968" s="7">
        <f>$E968-$O968</f>
        <v>0</v>
      </c>
      <c r="R968" s="7" t="str">
        <f ca="1">IF(TODAY() - DHMXX[INV DUE DATE]&lt;30, "Less than 30 days",IF(TODAY()-DHMXX[INV DUE DATE]&lt;60,"30-60 days","More than 60 days"))</f>
        <v>30-60 days</v>
      </c>
      <c r="S968" t="s">
        <v>1550</v>
      </c>
      <c r="T968" s="43" t="s">
        <v>2229</v>
      </c>
      <c r="U968" t="s">
        <v>3699</v>
      </c>
    </row>
    <row r="969" spans="1:21" x14ac:dyDescent="0.3">
      <c r="A969" t="s">
        <v>2972</v>
      </c>
      <c r="B969" t="s">
        <v>30</v>
      </c>
      <c r="C969" t="s">
        <v>1377</v>
      </c>
      <c r="D969" s="15">
        <v>1</v>
      </c>
      <c r="E969" s="7">
        <v>279</v>
      </c>
      <c r="H969">
        <v>3825</v>
      </c>
      <c r="I969" t="s">
        <v>845</v>
      </c>
      <c r="J969" t="s">
        <v>2987</v>
      </c>
      <c r="K969" t="s">
        <v>3</v>
      </c>
      <c r="L969" s="2">
        <v>43221</v>
      </c>
      <c r="M969" s="2">
        <f>DHMXX[[#This Row],[INV DOC DATE]]+30</f>
        <v>43251</v>
      </c>
      <c r="N969" s="2">
        <v>43251</v>
      </c>
      <c r="O969" s="7">
        <v>279</v>
      </c>
      <c r="P969" s="2">
        <v>43262</v>
      </c>
      <c r="Q969" s="7">
        <f>$E969-$O969</f>
        <v>0</v>
      </c>
      <c r="R969" s="7" t="str">
        <f ca="1">IF(TODAY() - DHMXX[INV DUE DATE]&lt;30, "Less than 30 days",IF(TODAY()-DHMXX[INV DUE DATE]&lt;60,"30-60 days","More than 60 days"))</f>
        <v>30-60 days</v>
      </c>
      <c r="S969" t="s">
        <v>1550</v>
      </c>
      <c r="T969" s="43" t="s">
        <v>2229</v>
      </c>
      <c r="U969" t="s">
        <v>3699</v>
      </c>
    </row>
    <row r="970" spans="1:21" x14ac:dyDescent="0.3">
      <c r="A970" t="s">
        <v>2972</v>
      </c>
      <c r="B970" t="s">
        <v>30</v>
      </c>
      <c r="C970" t="s">
        <v>1378</v>
      </c>
      <c r="D970" s="15">
        <v>1</v>
      </c>
      <c r="E970" s="7">
        <v>279</v>
      </c>
      <c r="H970">
        <v>3825</v>
      </c>
      <c r="I970" t="s">
        <v>845</v>
      </c>
      <c r="J970" t="s">
        <v>2988</v>
      </c>
      <c r="K970" t="s">
        <v>3</v>
      </c>
      <c r="L970" s="2">
        <v>43221</v>
      </c>
      <c r="M970" s="2">
        <f>DHMXX[[#This Row],[INV DOC DATE]]+30</f>
        <v>43251</v>
      </c>
      <c r="N970" s="2">
        <v>43251</v>
      </c>
      <c r="O970" s="7">
        <v>279</v>
      </c>
      <c r="P970" s="2">
        <v>43262</v>
      </c>
      <c r="Q970" s="7">
        <f>$E970-$O970</f>
        <v>0</v>
      </c>
      <c r="R970" s="7" t="str">
        <f ca="1">IF(TODAY() - DHMXX[INV DUE DATE]&lt;30, "Less than 30 days",IF(TODAY()-DHMXX[INV DUE DATE]&lt;60,"30-60 days","More than 60 days"))</f>
        <v>30-60 days</v>
      </c>
      <c r="S970" t="s">
        <v>1550</v>
      </c>
      <c r="T970" s="43" t="s">
        <v>2229</v>
      </c>
      <c r="U970" t="s">
        <v>3699</v>
      </c>
    </row>
    <row r="971" spans="1:21" x14ac:dyDescent="0.3">
      <c r="A971" t="s">
        <v>2972</v>
      </c>
      <c r="B971" t="s">
        <v>30</v>
      </c>
      <c r="C971" t="s">
        <v>1379</v>
      </c>
      <c r="D971" s="15">
        <v>1</v>
      </c>
      <c r="E971" s="7">
        <v>496</v>
      </c>
      <c r="H971">
        <v>3825</v>
      </c>
      <c r="I971" t="s">
        <v>845</v>
      </c>
      <c r="J971" t="s">
        <v>2989</v>
      </c>
      <c r="K971" t="s">
        <v>3</v>
      </c>
      <c r="L971" s="2">
        <v>43221</v>
      </c>
      <c r="M971" s="2">
        <f>DHMXX[[#This Row],[INV DOC DATE]]+30</f>
        <v>43251</v>
      </c>
      <c r="N971" s="2">
        <v>43251</v>
      </c>
      <c r="O971" s="7">
        <v>496</v>
      </c>
      <c r="P971" s="2">
        <v>43262</v>
      </c>
      <c r="Q971" s="7">
        <f>$E971-$O971</f>
        <v>0</v>
      </c>
      <c r="R971" s="7" t="str">
        <f ca="1">IF(TODAY() - DHMXX[INV DUE DATE]&lt;30, "Less than 30 days",IF(TODAY()-DHMXX[INV DUE DATE]&lt;60,"30-60 days","More than 60 days"))</f>
        <v>30-60 days</v>
      </c>
      <c r="S971" t="s">
        <v>1550</v>
      </c>
      <c r="T971" s="43" t="s">
        <v>2229</v>
      </c>
      <c r="U971" t="s">
        <v>3699</v>
      </c>
    </row>
    <row r="972" spans="1:21" x14ac:dyDescent="0.3">
      <c r="A972" t="s">
        <v>2972</v>
      </c>
      <c r="B972" t="s">
        <v>30</v>
      </c>
      <c r="C972" t="s">
        <v>1380</v>
      </c>
      <c r="D972" s="15">
        <v>1</v>
      </c>
      <c r="E972" s="7">
        <v>496</v>
      </c>
      <c r="H972">
        <v>3825</v>
      </c>
      <c r="I972" t="s">
        <v>845</v>
      </c>
      <c r="J972" t="s">
        <v>2990</v>
      </c>
      <c r="K972" t="s">
        <v>3</v>
      </c>
      <c r="L972" s="2">
        <v>43221</v>
      </c>
      <c r="M972" s="2">
        <f>DHMXX[[#This Row],[INV DOC DATE]]+30</f>
        <v>43251</v>
      </c>
      <c r="N972" s="2">
        <v>43251</v>
      </c>
      <c r="O972" s="7">
        <v>496</v>
      </c>
      <c r="P972" s="2">
        <v>43262</v>
      </c>
      <c r="Q972" s="7">
        <f>$E972-$O972</f>
        <v>0</v>
      </c>
      <c r="R972" s="7" t="str">
        <f ca="1">IF(TODAY() - DHMXX[INV DUE DATE]&lt;30, "Less than 30 days",IF(TODAY()-DHMXX[INV DUE DATE]&lt;60,"30-60 days","More than 60 days"))</f>
        <v>30-60 days</v>
      </c>
      <c r="S972" t="s">
        <v>1550</v>
      </c>
      <c r="T972" s="43" t="s">
        <v>2229</v>
      </c>
      <c r="U972" t="s">
        <v>3699</v>
      </c>
    </row>
    <row r="973" spans="1:21" x14ac:dyDescent="0.3">
      <c r="A973" t="s">
        <v>2972</v>
      </c>
      <c r="B973" t="s">
        <v>30</v>
      </c>
      <c r="C973" t="s">
        <v>1381</v>
      </c>
      <c r="D973" s="15">
        <v>1</v>
      </c>
      <c r="E973" s="7">
        <v>496</v>
      </c>
      <c r="H973">
        <v>3825</v>
      </c>
      <c r="I973" t="s">
        <v>845</v>
      </c>
      <c r="J973" t="s">
        <v>2991</v>
      </c>
      <c r="K973" t="s">
        <v>3</v>
      </c>
      <c r="L973" s="2">
        <v>43221</v>
      </c>
      <c r="M973" s="2">
        <f>DHMXX[[#This Row],[INV DOC DATE]]+30</f>
        <v>43251</v>
      </c>
      <c r="N973" s="2">
        <v>43251</v>
      </c>
      <c r="O973" s="7">
        <v>496</v>
      </c>
      <c r="P973" s="2">
        <v>43262</v>
      </c>
      <c r="Q973" s="7">
        <f>$E973-$O973</f>
        <v>0</v>
      </c>
      <c r="R973" s="7" t="str">
        <f ca="1">IF(TODAY() - DHMXX[INV DUE DATE]&lt;30, "Less than 30 days",IF(TODAY()-DHMXX[INV DUE DATE]&lt;60,"30-60 days","More than 60 days"))</f>
        <v>30-60 days</v>
      </c>
      <c r="S973" t="s">
        <v>1550</v>
      </c>
      <c r="T973" s="43" t="s">
        <v>2229</v>
      </c>
      <c r="U973" t="s">
        <v>3699</v>
      </c>
    </row>
    <row r="974" spans="1:21" x14ac:dyDescent="0.3">
      <c r="A974" t="s">
        <v>2972</v>
      </c>
      <c r="B974" t="s">
        <v>30</v>
      </c>
      <c r="C974" t="s">
        <v>1382</v>
      </c>
      <c r="D974" s="15">
        <v>1</v>
      </c>
      <c r="E974" s="7">
        <v>496</v>
      </c>
      <c r="H974">
        <v>3825</v>
      </c>
      <c r="I974" t="s">
        <v>845</v>
      </c>
      <c r="J974" t="s">
        <v>2992</v>
      </c>
      <c r="K974" t="s">
        <v>3</v>
      </c>
      <c r="L974" s="2">
        <v>43221</v>
      </c>
      <c r="M974" s="2">
        <f>DHMXX[[#This Row],[INV DOC DATE]]+30</f>
        <v>43251</v>
      </c>
      <c r="N974" s="2">
        <v>43251</v>
      </c>
      <c r="O974" s="7">
        <v>496</v>
      </c>
      <c r="P974" s="2">
        <v>43262</v>
      </c>
      <c r="Q974" s="7">
        <f>$E974-$O974</f>
        <v>0</v>
      </c>
      <c r="R974" s="7" t="str">
        <f ca="1">IF(TODAY() - DHMXX[INV DUE DATE]&lt;30, "Less than 30 days",IF(TODAY()-DHMXX[INV DUE DATE]&lt;60,"30-60 days","More than 60 days"))</f>
        <v>30-60 days</v>
      </c>
      <c r="S974" t="s">
        <v>1550</v>
      </c>
      <c r="T974" s="43" t="s">
        <v>2229</v>
      </c>
      <c r="U974" t="s">
        <v>3699</v>
      </c>
    </row>
    <row r="975" spans="1:21" x14ac:dyDescent="0.3">
      <c r="A975" t="s">
        <v>2972</v>
      </c>
      <c r="B975" t="s">
        <v>30</v>
      </c>
      <c r="C975" t="s">
        <v>1383</v>
      </c>
      <c r="D975" s="15">
        <v>1</v>
      </c>
      <c r="E975" s="7">
        <v>279</v>
      </c>
      <c r="H975">
        <v>20028</v>
      </c>
      <c r="I975" t="s">
        <v>853</v>
      </c>
      <c r="J975" t="s">
        <v>2993</v>
      </c>
      <c r="K975" t="s">
        <v>3</v>
      </c>
      <c r="L975" s="2">
        <v>43221</v>
      </c>
      <c r="M975" s="2">
        <f>DHMXX[[#This Row],[INV DOC DATE]]+30</f>
        <v>43251</v>
      </c>
      <c r="N975" s="2">
        <v>43251</v>
      </c>
      <c r="O975" s="7">
        <v>279</v>
      </c>
      <c r="P975" s="2">
        <v>43262</v>
      </c>
      <c r="Q975" s="7">
        <f>$E975-$O975</f>
        <v>0</v>
      </c>
      <c r="R975" s="7" t="str">
        <f ca="1">IF(TODAY() - DHMXX[INV DUE DATE]&lt;30, "Less than 30 days",IF(TODAY()-DHMXX[INV DUE DATE]&lt;60,"30-60 days","More than 60 days"))</f>
        <v>30-60 days</v>
      </c>
      <c r="S975" t="s">
        <v>1550</v>
      </c>
      <c r="T975" s="43" t="s">
        <v>2229</v>
      </c>
      <c r="U975" t="s">
        <v>3699</v>
      </c>
    </row>
    <row r="976" spans="1:21" x14ac:dyDescent="0.3">
      <c r="A976" t="s">
        <v>2972</v>
      </c>
      <c r="B976" t="s">
        <v>30</v>
      </c>
      <c r="C976" t="s">
        <v>1384</v>
      </c>
      <c r="D976" s="15">
        <v>1</v>
      </c>
      <c r="E976" s="7">
        <v>279</v>
      </c>
      <c r="H976">
        <v>20028</v>
      </c>
      <c r="I976" t="s">
        <v>853</v>
      </c>
      <c r="J976" t="s">
        <v>2994</v>
      </c>
      <c r="K976" t="s">
        <v>3</v>
      </c>
      <c r="L976" s="2">
        <v>43221</v>
      </c>
      <c r="M976" s="2">
        <f>DHMXX[[#This Row],[INV DOC DATE]]+30</f>
        <v>43251</v>
      </c>
      <c r="N976" s="2">
        <v>43251</v>
      </c>
      <c r="O976" s="7">
        <v>279</v>
      </c>
      <c r="P976" s="2">
        <v>43262</v>
      </c>
      <c r="Q976" s="7">
        <f>$E976-$O976</f>
        <v>0</v>
      </c>
      <c r="R976" s="7" t="str">
        <f ca="1">IF(TODAY() - DHMXX[INV DUE DATE]&lt;30, "Less than 30 days",IF(TODAY()-DHMXX[INV DUE DATE]&lt;60,"30-60 days","More than 60 days"))</f>
        <v>30-60 days</v>
      </c>
      <c r="S976" t="s">
        <v>1550</v>
      </c>
      <c r="T976" s="43" t="s">
        <v>2229</v>
      </c>
      <c r="U976" t="s">
        <v>3699</v>
      </c>
    </row>
    <row r="977" spans="1:21" x14ac:dyDescent="0.3">
      <c r="A977" t="s">
        <v>2972</v>
      </c>
      <c r="B977" t="s">
        <v>30</v>
      </c>
      <c r="C977" t="s">
        <v>1385</v>
      </c>
      <c r="D977" s="15">
        <v>1</v>
      </c>
      <c r="E977" s="7">
        <v>496</v>
      </c>
      <c r="H977">
        <v>20028</v>
      </c>
      <c r="I977" t="s">
        <v>853</v>
      </c>
      <c r="J977" t="s">
        <v>2995</v>
      </c>
      <c r="K977" t="s">
        <v>3</v>
      </c>
      <c r="L977" s="2">
        <v>43221</v>
      </c>
      <c r="M977" s="2">
        <f>DHMXX[[#This Row],[INV DOC DATE]]+30</f>
        <v>43251</v>
      </c>
      <c r="N977" s="2">
        <v>43251</v>
      </c>
      <c r="O977" s="7">
        <v>496</v>
      </c>
      <c r="P977" s="2">
        <v>43262</v>
      </c>
      <c r="Q977" s="7">
        <f>$E977-$O977</f>
        <v>0</v>
      </c>
      <c r="R977" s="7" t="str">
        <f ca="1">IF(TODAY() - DHMXX[INV DUE DATE]&lt;30, "Less than 30 days",IF(TODAY()-DHMXX[INV DUE DATE]&lt;60,"30-60 days","More than 60 days"))</f>
        <v>30-60 days</v>
      </c>
      <c r="S977" t="s">
        <v>1550</v>
      </c>
      <c r="T977" s="43" t="s">
        <v>2229</v>
      </c>
      <c r="U977" t="s">
        <v>3699</v>
      </c>
    </row>
    <row r="978" spans="1:21" x14ac:dyDescent="0.3">
      <c r="A978" t="s">
        <v>2972</v>
      </c>
      <c r="B978" t="s">
        <v>30</v>
      </c>
      <c r="C978" t="s">
        <v>1386</v>
      </c>
      <c r="D978" s="15">
        <v>1</v>
      </c>
      <c r="E978" s="7">
        <v>279</v>
      </c>
      <c r="H978">
        <v>73868</v>
      </c>
      <c r="I978" t="s">
        <v>858</v>
      </c>
      <c r="J978" t="s">
        <v>2996</v>
      </c>
      <c r="K978" t="s">
        <v>3</v>
      </c>
      <c r="L978" s="2">
        <v>43221</v>
      </c>
      <c r="M978" s="2">
        <f>DHMXX[[#This Row],[INV DOC DATE]]+30</f>
        <v>43251</v>
      </c>
      <c r="N978" s="2">
        <v>43251</v>
      </c>
      <c r="O978" s="7">
        <v>279</v>
      </c>
      <c r="P978" s="2">
        <v>43262</v>
      </c>
      <c r="Q978" s="7">
        <f>$E978-$O978</f>
        <v>0</v>
      </c>
      <c r="R978" s="7" t="str">
        <f ca="1">IF(TODAY() - DHMXX[INV DUE DATE]&lt;30, "Less than 30 days",IF(TODAY()-DHMXX[INV DUE DATE]&lt;60,"30-60 days","More than 60 days"))</f>
        <v>30-60 days</v>
      </c>
      <c r="S978" t="s">
        <v>1550</v>
      </c>
      <c r="T978" s="43" t="s">
        <v>2229</v>
      </c>
      <c r="U978" t="s">
        <v>3699</v>
      </c>
    </row>
    <row r="979" spans="1:21" x14ac:dyDescent="0.3">
      <c r="A979" t="s">
        <v>2972</v>
      </c>
      <c r="B979" t="s">
        <v>30</v>
      </c>
      <c r="C979" t="s">
        <v>1387</v>
      </c>
      <c r="D979" s="15">
        <v>1</v>
      </c>
      <c r="E979" s="7">
        <v>279</v>
      </c>
      <c r="H979">
        <v>73868</v>
      </c>
      <c r="I979" t="s">
        <v>858</v>
      </c>
      <c r="J979" t="s">
        <v>2997</v>
      </c>
      <c r="K979" t="s">
        <v>3</v>
      </c>
      <c r="L979" s="2">
        <v>43221</v>
      </c>
      <c r="M979" s="2">
        <f>DHMXX[[#This Row],[INV DOC DATE]]+30</f>
        <v>43251</v>
      </c>
      <c r="N979" s="2">
        <v>43251</v>
      </c>
      <c r="O979" s="7">
        <v>279</v>
      </c>
      <c r="P979" s="2">
        <v>43262</v>
      </c>
      <c r="Q979" s="7">
        <f>$E979-$O979</f>
        <v>0</v>
      </c>
      <c r="R979" s="7" t="str">
        <f ca="1">IF(TODAY() - DHMXX[INV DUE DATE]&lt;30, "Less than 30 days",IF(TODAY()-DHMXX[INV DUE DATE]&lt;60,"30-60 days","More than 60 days"))</f>
        <v>30-60 days</v>
      </c>
      <c r="S979" t="s">
        <v>1550</v>
      </c>
      <c r="T979" s="43" t="s">
        <v>2229</v>
      </c>
      <c r="U979" t="s">
        <v>3699</v>
      </c>
    </row>
    <row r="980" spans="1:21" x14ac:dyDescent="0.3">
      <c r="A980" t="s">
        <v>2972</v>
      </c>
      <c r="B980" t="s">
        <v>30</v>
      </c>
      <c r="C980" t="s">
        <v>1388</v>
      </c>
      <c r="D980" s="15">
        <v>1</v>
      </c>
      <c r="E980" s="7">
        <v>279</v>
      </c>
      <c r="H980">
        <v>73868</v>
      </c>
      <c r="I980" t="s">
        <v>858</v>
      </c>
      <c r="J980" t="s">
        <v>2998</v>
      </c>
      <c r="K980" t="s">
        <v>3</v>
      </c>
      <c r="L980" s="2">
        <v>43221</v>
      </c>
      <c r="M980" s="2">
        <f>DHMXX[[#This Row],[INV DOC DATE]]+30</f>
        <v>43251</v>
      </c>
      <c r="N980" s="2">
        <v>43251</v>
      </c>
      <c r="O980" s="7">
        <v>279</v>
      </c>
      <c r="P980" s="2">
        <v>43262</v>
      </c>
      <c r="Q980" s="7">
        <f>$E980-$O980</f>
        <v>0</v>
      </c>
      <c r="R980" s="7" t="str">
        <f ca="1">IF(TODAY() - DHMXX[INV DUE DATE]&lt;30, "Less than 30 days",IF(TODAY()-DHMXX[INV DUE DATE]&lt;60,"30-60 days","More than 60 days"))</f>
        <v>30-60 days</v>
      </c>
      <c r="S980" t="s">
        <v>1550</v>
      </c>
      <c r="T980" s="43" t="s">
        <v>2229</v>
      </c>
      <c r="U980" t="s">
        <v>3699</v>
      </c>
    </row>
    <row r="981" spans="1:21" x14ac:dyDescent="0.3">
      <c r="A981" t="s">
        <v>2972</v>
      </c>
      <c r="B981" t="s">
        <v>30</v>
      </c>
      <c r="C981" t="s">
        <v>1389</v>
      </c>
      <c r="D981" s="15">
        <v>1</v>
      </c>
      <c r="E981" s="7">
        <v>496</v>
      </c>
      <c r="H981">
        <v>73868</v>
      </c>
      <c r="I981" t="s">
        <v>858</v>
      </c>
      <c r="J981" t="s">
        <v>2999</v>
      </c>
      <c r="K981" t="s">
        <v>3</v>
      </c>
      <c r="L981" s="2">
        <v>43221</v>
      </c>
      <c r="M981" s="2">
        <f>DHMXX[[#This Row],[INV DOC DATE]]+30</f>
        <v>43251</v>
      </c>
      <c r="N981" s="2">
        <v>43251</v>
      </c>
      <c r="O981" s="7">
        <v>496</v>
      </c>
      <c r="P981" s="2">
        <v>43262</v>
      </c>
      <c r="Q981" s="7">
        <f>$E981-$O981</f>
        <v>0</v>
      </c>
      <c r="R981" s="7" t="str">
        <f ca="1">IF(TODAY() - DHMXX[INV DUE DATE]&lt;30, "Less than 30 days",IF(TODAY()-DHMXX[INV DUE DATE]&lt;60,"30-60 days","More than 60 days"))</f>
        <v>30-60 days</v>
      </c>
      <c r="S981" t="s">
        <v>1550</v>
      </c>
      <c r="T981" s="43" t="s">
        <v>2229</v>
      </c>
      <c r="U981" t="s">
        <v>3699</v>
      </c>
    </row>
    <row r="982" spans="1:21" x14ac:dyDescent="0.3">
      <c r="A982" t="s">
        <v>2972</v>
      </c>
      <c r="B982" t="s">
        <v>30</v>
      </c>
      <c r="C982" t="s">
        <v>1390</v>
      </c>
      <c r="D982" s="15">
        <v>1</v>
      </c>
      <c r="E982" s="7">
        <v>496</v>
      </c>
      <c r="H982">
        <v>73868</v>
      </c>
      <c r="I982" t="s">
        <v>858</v>
      </c>
      <c r="J982" t="s">
        <v>3000</v>
      </c>
      <c r="K982" t="s">
        <v>3</v>
      </c>
      <c r="L982" s="2">
        <v>43221</v>
      </c>
      <c r="M982" s="2">
        <f>DHMXX[[#This Row],[INV DOC DATE]]+30</f>
        <v>43251</v>
      </c>
      <c r="N982" s="2">
        <v>43251</v>
      </c>
      <c r="O982" s="7">
        <v>496</v>
      </c>
      <c r="P982" s="2">
        <v>43262</v>
      </c>
      <c r="Q982" s="7">
        <f>$E982-$O982</f>
        <v>0</v>
      </c>
      <c r="R982" s="7" t="str">
        <f ca="1">IF(TODAY() - DHMXX[INV DUE DATE]&lt;30, "Less than 30 days",IF(TODAY()-DHMXX[INV DUE DATE]&lt;60,"30-60 days","More than 60 days"))</f>
        <v>30-60 days</v>
      </c>
      <c r="S982" t="s">
        <v>1550</v>
      </c>
      <c r="T982" s="43" t="s">
        <v>2229</v>
      </c>
      <c r="U982" t="s">
        <v>3699</v>
      </c>
    </row>
    <row r="983" spans="1:21" x14ac:dyDescent="0.3">
      <c r="A983" t="s">
        <v>2972</v>
      </c>
      <c r="B983" t="s">
        <v>30</v>
      </c>
      <c r="C983" t="s">
        <v>1391</v>
      </c>
      <c r="D983" s="15">
        <v>1</v>
      </c>
      <c r="E983" s="7">
        <v>496</v>
      </c>
      <c r="H983">
        <v>73868</v>
      </c>
      <c r="I983" t="s">
        <v>858</v>
      </c>
      <c r="J983" t="s">
        <v>3001</v>
      </c>
      <c r="K983" t="s">
        <v>3</v>
      </c>
      <c r="L983" s="2">
        <v>43221</v>
      </c>
      <c r="M983" s="2">
        <f>DHMXX[[#This Row],[INV DOC DATE]]+30</f>
        <v>43251</v>
      </c>
      <c r="N983" s="2">
        <v>43251</v>
      </c>
      <c r="O983" s="7">
        <v>496</v>
      </c>
      <c r="P983" s="2">
        <v>43262</v>
      </c>
      <c r="Q983" s="7">
        <f>$E983-$O983</f>
        <v>0</v>
      </c>
      <c r="R983" s="7" t="str">
        <f ca="1">IF(TODAY() - DHMXX[INV DUE DATE]&lt;30, "Less than 30 days",IF(TODAY()-DHMXX[INV DUE DATE]&lt;60,"30-60 days","More than 60 days"))</f>
        <v>30-60 days</v>
      </c>
      <c r="S983" t="s">
        <v>1550</v>
      </c>
      <c r="T983" s="43" t="s">
        <v>2229</v>
      </c>
      <c r="U983" t="s">
        <v>3699</v>
      </c>
    </row>
    <row r="984" spans="1:21" x14ac:dyDescent="0.3">
      <c r="A984" t="s">
        <v>2972</v>
      </c>
      <c r="B984" t="s">
        <v>30</v>
      </c>
      <c r="C984" t="s">
        <v>1392</v>
      </c>
      <c r="D984" s="15">
        <v>1</v>
      </c>
      <c r="E984" s="7">
        <v>496</v>
      </c>
      <c r="H984">
        <v>73868</v>
      </c>
      <c r="I984" t="s">
        <v>858</v>
      </c>
      <c r="J984" t="s">
        <v>3002</v>
      </c>
      <c r="K984" t="s">
        <v>3</v>
      </c>
      <c r="L984" s="2">
        <v>43221</v>
      </c>
      <c r="M984" s="2">
        <f>DHMXX[[#This Row],[INV DOC DATE]]+30</f>
        <v>43251</v>
      </c>
      <c r="N984" s="2">
        <v>43251</v>
      </c>
      <c r="O984" s="7">
        <v>496</v>
      </c>
      <c r="P984" s="2">
        <v>43262</v>
      </c>
      <c r="Q984" s="7">
        <f>$E984-$O984</f>
        <v>0</v>
      </c>
      <c r="R984" s="7" t="str">
        <f ca="1">IF(TODAY() - DHMXX[INV DUE DATE]&lt;30, "Less than 30 days",IF(TODAY()-DHMXX[INV DUE DATE]&lt;60,"30-60 days","More than 60 days"))</f>
        <v>30-60 days</v>
      </c>
      <c r="S984" t="s">
        <v>1550</v>
      </c>
      <c r="T984" s="43" t="s">
        <v>2229</v>
      </c>
      <c r="U984" t="s">
        <v>3699</v>
      </c>
    </row>
    <row r="985" spans="1:21" x14ac:dyDescent="0.3">
      <c r="A985" t="s">
        <v>2972</v>
      </c>
      <c r="B985" t="s">
        <v>30</v>
      </c>
      <c r="C985" t="s">
        <v>1393</v>
      </c>
      <c r="D985" s="15">
        <v>1</v>
      </c>
      <c r="E985" s="7">
        <v>240.25</v>
      </c>
      <c r="H985">
        <v>75810</v>
      </c>
      <c r="I985" t="s">
        <v>845</v>
      </c>
      <c r="J985" t="s">
        <v>3003</v>
      </c>
      <c r="K985" t="s">
        <v>3</v>
      </c>
      <c r="L985" s="2">
        <v>43221</v>
      </c>
      <c r="M985" s="2">
        <f>DHMXX[[#This Row],[INV DOC DATE]]+30</f>
        <v>43251</v>
      </c>
      <c r="N985" s="2">
        <v>43251</v>
      </c>
      <c r="O985" s="7">
        <v>240.25</v>
      </c>
      <c r="P985" s="2">
        <v>43262</v>
      </c>
      <c r="Q985" s="7">
        <f>$E985-$O985</f>
        <v>0</v>
      </c>
      <c r="R985" s="7" t="str">
        <f ca="1">IF(TODAY() - DHMXX[INV DUE DATE]&lt;30, "Less than 30 days",IF(TODAY()-DHMXX[INV DUE DATE]&lt;60,"30-60 days","More than 60 days"))</f>
        <v>30-60 days</v>
      </c>
      <c r="S985" t="s">
        <v>1550</v>
      </c>
      <c r="T985" s="43" t="s">
        <v>2229</v>
      </c>
      <c r="U985" t="s">
        <v>3699</v>
      </c>
    </row>
    <row r="986" spans="1:21" x14ac:dyDescent="0.3">
      <c r="A986" t="s">
        <v>2972</v>
      </c>
      <c r="B986" t="s">
        <v>30</v>
      </c>
      <c r="C986" t="s">
        <v>1394</v>
      </c>
      <c r="D986" s="15">
        <v>1</v>
      </c>
      <c r="E986" s="7">
        <v>240.25</v>
      </c>
      <c r="H986">
        <v>75810</v>
      </c>
      <c r="I986" t="s">
        <v>845</v>
      </c>
      <c r="J986" t="s">
        <v>3004</v>
      </c>
      <c r="K986" t="s">
        <v>3</v>
      </c>
      <c r="L986" s="2">
        <v>43221</v>
      </c>
      <c r="M986" s="2">
        <f>DHMXX[[#This Row],[INV DOC DATE]]+30</f>
        <v>43251</v>
      </c>
      <c r="N986" s="2">
        <v>43251</v>
      </c>
      <c r="O986" s="7">
        <v>240.25</v>
      </c>
      <c r="P986" s="2">
        <v>43262</v>
      </c>
      <c r="Q986" s="7">
        <f>$E986-$O986</f>
        <v>0</v>
      </c>
      <c r="R986" s="7" t="str">
        <f ca="1">IF(TODAY() - DHMXX[INV DUE DATE]&lt;30, "Less than 30 days",IF(TODAY()-DHMXX[INV DUE DATE]&lt;60,"30-60 days","More than 60 days"))</f>
        <v>30-60 days</v>
      </c>
      <c r="S986" t="s">
        <v>1550</v>
      </c>
      <c r="T986" s="43" t="s">
        <v>2229</v>
      </c>
      <c r="U986" t="s">
        <v>3699</v>
      </c>
    </row>
    <row r="987" spans="1:21" x14ac:dyDescent="0.3">
      <c r="A987" t="s">
        <v>2972</v>
      </c>
      <c r="B987" t="s">
        <v>30</v>
      </c>
      <c r="C987" t="s">
        <v>1395</v>
      </c>
      <c r="D987" s="15">
        <v>1</v>
      </c>
      <c r="E987" s="7">
        <v>240.25</v>
      </c>
      <c r="H987">
        <v>75810</v>
      </c>
      <c r="I987" t="s">
        <v>845</v>
      </c>
      <c r="J987" t="s">
        <v>3005</v>
      </c>
      <c r="K987" t="s">
        <v>3</v>
      </c>
      <c r="L987" s="2">
        <v>43221</v>
      </c>
      <c r="M987" s="2">
        <f>DHMXX[[#This Row],[INV DOC DATE]]+30</f>
        <v>43251</v>
      </c>
      <c r="N987" s="2">
        <v>43251</v>
      </c>
      <c r="O987" s="7">
        <v>240.25</v>
      </c>
      <c r="P987" s="2">
        <v>43262</v>
      </c>
      <c r="Q987" s="7">
        <f>$E987-$O987</f>
        <v>0</v>
      </c>
      <c r="R987" s="7" t="str">
        <f ca="1">IF(TODAY() - DHMXX[INV DUE DATE]&lt;30, "Less than 30 days",IF(TODAY()-DHMXX[INV DUE DATE]&lt;60,"30-60 days","More than 60 days"))</f>
        <v>30-60 days</v>
      </c>
      <c r="S987" t="s">
        <v>1550</v>
      </c>
      <c r="T987" s="43" t="s">
        <v>2229</v>
      </c>
      <c r="U987" t="s">
        <v>3699</v>
      </c>
    </row>
    <row r="988" spans="1:21" x14ac:dyDescent="0.3">
      <c r="A988" t="s">
        <v>2972</v>
      </c>
      <c r="B988" t="s">
        <v>30</v>
      </c>
      <c r="C988" t="s">
        <v>1396</v>
      </c>
      <c r="D988" s="15">
        <v>1</v>
      </c>
      <c r="E988" s="7">
        <v>240.25</v>
      </c>
      <c r="H988">
        <v>75810</v>
      </c>
      <c r="I988" t="s">
        <v>859</v>
      </c>
      <c r="J988" t="s">
        <v>3006</v>
      </c>
      <c r="K988" t="s">
        <v>3</v>
      </c>
      <c r="L988" s="2">
        <v>43221</v>
      </c>
      <c r="M988" s="2">
        <f>DHMXX[[#This Row],[INV DOC DATE]]+30</f>
        <v>43251</v>
      </c>
      <c r="N988" s="2">
        <v>43251</v>
      </c>
      <c r="O988" s="7">
        <v>240.25</v>
      </c>
      <c r="P988" s="2">
        <v>43262</v>
      </c>
      <c r="Q988" s="7">
        <f>$E988-$O988</f>
        <v>0</v>
      </c>
      <c r="R988" s="7" t="str">
        <f ca="1">IF(TODAY() - DHMXX[INV DUE DATE]&lt;30, "Less than 30 days",IF(TODAY()-DHMXX[INV DUE DATE]&lt;60,"30-60 days","More than 60 days"))</f>
        <v>30-60 days</v>
      </c>
      <c r="S988" t="s">
        <v>1550</v>
      </c>
      <c r="T988" s="43" t="s">
        <v>2229</v>
      </c>
      <c r="U988" t="s">
        <v>3699</v>
      </c>
    </row>
    <row r="989" spans="1:21" x14ac:dyDescent="0.3">
      <c r="A989" t="s">
        <v>2972</v>
      </c>
      <c r="B989" t="s">
        <v>30</v>
      </c>
      <c r="C989" t="s">
        <v>1397</v>
      </c>
      <c r="D989" s="15">
        <v>1</v>
      </c>
      <c r="E989" s="7">
        <v>240.25</v>
      </c>
      <c r="H989">
        <v>75810</v>
      </c>
      <c r="I989" t="s">
        <v>859</v>
      </c>
      <c r="J989" t="s">
        <v>3007</v>
      </c>
      <c r="K989" t="s">
        <v>3</v>
      </c>
      <c r="L989" s="2">
        <v>43221</v>
      </c>
      <c r="M989" s="2">
        <f>DHMXX[[#This Row],[INV DOC DATE]]+30</f>
        <v>43251</v>
      </c>
      <c r="N989" s="2">
        <v>43251</v>
      </c>
      <c r="O989" s="7">
        <v>240.25</v>
      </c>
      <c r="P989" s="2">
        <v>43262</v>
      </c>
      <c r="Q989" s="7">
        <f>$E989-$O989</f>
        <v>0</v>
      </c>
      <c r="R989" s="7" t="str">
        <f ca="1">IF(TODAY() - DHMXX[INV DUE DATE]&lt;30, "Less than 30 days",IF(TODAY()-DHMXX[INV DUE DATE]&lt;60,"30-60 days","More than 60 days"))</f>
        <v>30-60 days</v>
      </c>
      <c r="S989" t="s">
        <v>1550</v>
      </c>
      <c r="T989" s="43" t="s">
        <v>2229</v>
      </c>
      <c r="U989" t="s">
        <v>3699</v>
      </c>
    </row>
    <row r="990" spans="1:21" x14ac:dyDescent="0.3">
      <c r="A990" t="s">
        <v>2972</v>
      </c>
      <c r="B990" t="s">
        <v>30</v>
      </c>
      <c r="C990" t="s">
        <v>1398</v>
      </c>
      <c r="D990" s="15">
        <v>1</v>
      </c>
      <c r="E990" s="7">
        <v>240.25</v>
      </c>
      <c r="H990">
        <v>75810</v>
      </c>
      <c r="I990" t="s">
        <v>859</v>
      </c>
      <c r="J990" t="s">
        <v>3008</v>
      </c>
      <c r="K990" t="s">
        <v>3</v>
      </c>
      <c r="L990" s="2">
        <v>43221</v>
      </c>
      <c r="M990" s="2">
        <f>DHMXX[[#This Row],[INV DOC DATE]]+30</f>
        <v>43251</v>
      </c>
      <c r="N990" s="2">
        <v>43251</v>
      </c>
      <c r="O990" s="7">
        <v>240.25</v>
      </c>
      <c r="P990" s="2">
        <v>43262</v>
      </c>
      <c r="Q990" s="7">
        <f>$E990-$O990</f>
        <v>0</v>
      </c>
      <c r="R990" s="7" t="str">
        <f ca="1">IF(TODAY() - DHMXX[INV DUE DATE]&lt;30, "Less than 30 days",IF(TODAY()-DHMXX[INV DUE DATE]&lt;60,"30-60 days","More than 60 days"))</f>
        <v>30-60 days</v>
      </c>
      <c r="S990" t="s">
        <v>1550</v>
      </c>
      <c r="T990" s="43" t="s">
        <v>2229</v>
      </c>
      <c r="U990" t="s">
        <v>3699</v>
      </c>
    </row>
    <row r="991" spans="1:21" x14ac:dyDescent="0.3">
      <c r="A991" t="s">
        <v>2972</v>
      </c>
      <c r="B991" t="s">
        <v>30</v>
      </c>
      <c r="C991" t="s">
        <v>1399</v>
      </c>
      <c r="D991" s="15">
        <v>1</v>
      </c>
      <c r="E991" s="7">
        <v>575.36</v>
      </c>
      <c r="H991">
        <v>75810</v>
      </c>
      <c r="I991" t="s">
        <v>845</v>
      </c>
      <c r="J991" t="s">
        <v>3009</v>
      </c>
      <c r="K991" t="s">
        <v>3</v>
      </c>
      <c r="L991" s="2">
        <v>43221</v>
      </c>
      <c r="M991" s="2">
        <f>DHMXX[[#This Row],[INV DOC DATE]]+30</f>
        <v>43251</v>
      </c>
      <c r="N991" s="2">
        <v>43251</v>
      </c>
      <c r="O991" s="7">
        <v>575.36</v>
      </c>
      <c r="P991" s="2">
        <v>43262</v>
      </c>
      <c r="Q991" s="7">
        <f>$E991-$O991</f>
        <v>0</v>
      </c>
      <c r="R991" s="7" t="str">
        <f ca="1">IF(TODAY() - DHMXX[INV DUE DATE]&lt;30, "Less than 30 days",IF(TODAY()-DHMXX[INV DUE DATE]&lt;60,"30-60 days","More than 60 days"))</f>
        <v>30-60 days</v>
      </c>
      <c r="S991" t="s">
        <v>1550</v>
      </c>
      <c r="T991" s="43" t="s">
        <v>2229</v>
      </c>
      <c r="U991" t="s">
        <v>3699</v>
      </c>
    </row>
    <row r="992" spans="1:21" x14ac:dyDescent="0.3">
      <c r="A992" t="s">
        <v>2972</v>
      </c>
      <c r="B992" t="s">
        <v>30</v>
      </c>
      <c r="C992" t="s">
        <v>1400</v>
      </c>
      <c r="D992" s="15">
        <v>1</v>
      </c>
      <c r="E992" s="7">
        <v>575.36</v>
      </c>
      <c r="H992">
        <v>75810</v>
      </c>
      <c r="I992" t="s">
        <v>845</v>
      </c>
      <c r="J992" t="s">
        <v>3010</v>
      </c>
      <c r="K992" t="s">
        <v>3</v>
      </c>
      <c r="L992" s="2">
        <v>43221</v>
      </c>
      <c r="M992" s="2">
        <f>DHMXX[[#This Row],[INV DOC DATE]]+30</f>
        <v>43251</v>
      </c>
      <c r="N992" s="2">
        <v>43251</v>
      </c>
      <c r="O992" s="7">
        <v>575.36</v>
      </c>
      <c r="P992" s="2">
        <v>43262</v>
      </c>
      <c r="Q992" s="7">
        <f>$E992-$O992</f>
        <v>0</v>
      </c>
      <c r="R992" s="7" t="str">
        <f ca="1">IF(TODAY() - DHMXX[INV DUE DATE]&lt;30, "Less than 30 days",IF(TODAY()-DHMXX[INV DUE DATE]&lt;60,"30-60 days","More than 60 days"))</f>
        <v>30-60 days</v>
      </c>
      <c r="S992" t="s">
        <v>1550</v>
      </c>
      <c r="T992" s="43" t="s">
        <v>2229</v>
      </c>
      <c r="U992" t="s">
        <v>3699</v>
      </c>
    </row>
    <row r="993" spans="1:21" x14ac:dyDescent="0.3">
      <c r="A993" t="s">
        <v>2972</v>
      </c>
      <c r="B993" t="s">
        <v>30</v>
      </c>
      <c r="C993" t="s">
        <v>1401</v>
      </c>
      <c r="D993" s="15">
        <v>1</v>
      </c>
      <c r="E993" s="7">
        <v>575.36</v>
      </c>
      <c r="H993">
        <v>75810</v>
      </c>
      <c r="I993" t="s">
        <v>845</v>
      </c>
      <c r="J993" t="s">
        <v>3011</v>
      </c>
      <c r="K993" t="s">
        <v>3</v>
      </c>
      <c r="L993" s="2">
        <v>43221</v>
      </c>
      <c r="M993" s="2">
        <f>DHMXX[[#This Row],[INV DOC DATE]]+30</f>
        <v>43251</v>
      </c>
      <c r="N993" s="2">
        <v>43251</v>
      </c>
      <c r="O993" s="7">
        <v>575.36</v>
      </c>
      <c r="P993" s="2">
        <v>43262</v>
      </c>
      <c r="Q993" s="7">
        <f>$E993-$O993</f>
        <v>0</v>
      </c>
      <c r="R993" s="7" t="str">
        <f ca="1">IF(TODAY() - DHMXX[INV DUE DATE]&lt;30, "Less than 30 days",IF(TODAY()-DHMXX[INV DUE DATE]&lt;60,"30-60 days","More than 60 days"))</f>
        <v>30-60 days</v>
      </c>
      <c r="S993" t="s">
        <v>1550</v>
      </c>
      <c r="T993" s="43" t="s">
        <v>2229</v>
      </c>
      <c r="U993" t="s">
        <v>3699</v>
      </c>
    </row>
    <row r="994" spans="1:21" x14ac:dyDescent="0.3">
      <c r="A994" t="s">
        <v>2972</v>
      </c>
      <c r="B994" t="s">
        <v>30</v>
      </c>
      <c r="C994" t="s">
        <v>1402</v>
      </c>
      <c r="D994" s="15">
        <v>1</v>
      </c>
      <c r="E994" s="7">
        <v>575.36</v>
      </c>
      <c r="H994">
        <v>75810</v>
      </c>
      <c r="I994" t="s">
        <v>859</v>
      </c>
      <c r="J994" t="s">
        <v>3012</v>
      </c>
      <c r="K994" t="s">
        <v>3</v>
      </c>
      <c r="L994" s="2">
        <v>43221</v>
      </c>
      <c r="M994" s="2">
        <f>DHMXX[[#This Row],[INV DOC DATE]]+30</f>
        <v>43251</v>
      </c>
      <c r="N994" s="2">
        <v>43251</v>
      </c>
      <c r="O994" s="7">
        <v>575.36</v>
      </c>
      <c r="P994" s="2">
        <v>43262</v>
      </c>
      <c r="Q994" s="7">
        <f>$E994-$O994</f>
        <v>0</v>
      </c>
      <c r="R994" s="7" t="str">
        <f ca="1">IF(TODAY() - DHMXX[INV DUE DATE]&lt;30, "Less than 30 days",IF(TODAY()-DHMXX[INV DUE DATE]&lt;60,"30-60 days","More than 60 days"))</f>
        <v>30-60 days</v>
      </c>
      <c r="S994" t="s">
        <v>1550</v>
      </c>
      <c r="T994" s="43" t="s">
        <v>2229</v>
      </c>
      <c r="U994" t="s">
        <v>3699</v>
      </c>
    </row>
    <row r="995" spans="1:21" x14ac:dyDescent="0.3">
      <c r="A995" t="s">
        <v>2972</v>
      </c>
      <c r="B995" t="s">
        <v>30</v>
      </c>
      <c r="C995" t="s">
        <v>1403</v>
      </c>
      <c r="D995" s="15">
        <v>1</v>
      </c>
      <c r="E995" s="7">
        <v>575.36</v>
      </c>
      <c r="H995">
        <v>75810</v>
      </c>
      <c r="I995" t="s">
        <v>859</v>
      </c>
      <c r="J995" t="s">
        <v>3013</v>
      </c>
      <c r="K995" t="s">
        <v>3</v>
      </c>
      <c r="L995" s="2">
        <v>43221</v>
      </c>
      <c r="M995" s="2">
        <f>DHMXX[[#This Row],[INV DOC DATE]]+30</f>
        <v>43251</v>
      </c>
      <c r="N995" s="2">
        <v>43251</v>
      </c>
      <c r="O995" s="7">
        <v>575.36</v>
      </c>
      <c r="P995" s="2">
        <v>43262</v>
      </c>
      <c r="Q995" s="7">
        <f>$E995-$O995</f>
        <v>0</v>
      </c>
      <c r="R995" s="7" t="str">
        <f ca="1">IF(TODAY() - DHMXX[INV DUE DATE]&lt;30, "Less than 30 days",IF(TODAY()-DHMXX[INV DUE DATE]&lt;60,"30-60 days","More than 60 days"))</f>
        <v>30-60 days</v>
      </c>
      <c r="S995" t="s">
        <v>1550</v>
      </c>
      <c r="T995" s="43" t="s">
        <v>2229</v>
      </c>
      <c r="U995" t="s">
        <v>3699</v>
      </c>
    </row>
    <row r="996" spans="1:21" x14ac:dyDescent="0.3">
      <c r="A996" t="s">
        <v>2972</v>
      </c>
      <c r="B996" t="s">
        <v>30</v>
      </c>
      <c r="C996" t="s">
        <v>1404</v>
      </c>
      <c r="D996" s="15">
        <v>1</v>
      </c>
      <c r="E996" s="7">
        <v>575.36</v>
      </c>
      <c r="H996">
        <v>75810</v>
      </c>
      <c r="I996" t="s">
        <v>859</v>
      </c>
      <c r="J996" t="s">
        <v>3014</v>
      </c>
      <c r="K996" t="s">
        <v>3</v>
      </c>
      <c r="L996" s="2">
        <v>43221</v>
      </c>
      <c r="M996" s="2">
        <f>DHMXX[[#This Row],[INV DOC DATE]]+30</f>
        <v>43251</v>
      </c>
      <c r="N996" s="2">
        <v>43251</v>
      </c>
      <c r="O996" s="7">
        <v>575.36</v>
      </c>
      <c r="P996" s="2">
        <v>43262</v>
      </c>
      <c r="Q996" s="7">
        <f>$E996-$O996</f>
        <v>0</v>
      </c>
      <c r="R996" s="7" t="str">
        <f ca="1">IF(TODAY() - DHMXX[INV DUE DATE]&lt;30, "Less than 30 days",IF(TODAY()-DHMXX[INV DUE DATE]&lt;60,"30-60 days","More than 60 days"))</f>
        <v>30-60 days</v>
      </c>
      <c r="S996" t="s">
        <v>1550</v>
      </c>
      <c r="T996" s="43" t="s">
        <v>2229</v>
      </c>
      <c r="U996" t="s">
        <v>3699</v>
      </c>
    </row>
    <row r="997" spans="1:21" x14ac:dyDescent="0.3">
      <c r="A997" t="s">
        <v>2972</v>
      </c>
      <c r="B997" t="s">
        <v>30</v>
      </c>
      <c r="C997" t="s">
        <v>1405</v>
      </c>
      <c r="D997" s="15">
        <v>1</v>
      </c>
      <c r="E997" s="7">
        <v>496</v>
      </c>
      <c r="H997">
        <v>77572</v>
      </c>
      <c r="I997" t="s">
        <v>832</v>
      </c>
      <c r="J997" t="s">
        <v>3015</v>
      </c>
      <c r="K997" t="s">
        <v>3</v>
      </c>
      <c r="L997" s="2">
        <v>43221</v>
      </c>
      <c r="M997" s="2">
        <f>DHMXX[[#This Row],[INV DOC DATE]]+30</f>
        <v>43251</v>
      </c>
      <c r="N997" s="2">
        <v>43251</v>
      </c>
      <c r="O997" s="7">
        <v>496</v>
      </c>
      <c r="P997" s="2">
        <v>43262</v>
      </c>
      <c r="Q997" s="7">
        <f>$E997-$O997</f>
        <v>0</v>
      </c>
      <c r="R997" s="7" t="str">
        <f ca="1">IF(TODAY() - DHMXX[INV DUE DATE]&lt;30, "Less than 30 days",IF(TODAY()-DHMXX[INV DUE DATE]&lt;60,"30-60 days","More than 60 days"))</f>
        <v>30-60 days</v>
      </c>
      <c r="S997" t="s">
        <v>1550</v>
      </c>
      <c r="T997" s="43" t="s">
        <v>2229</v>
      </c>
      <c r="U997" t="s">
        <v>3699</v>
      </c>
    </row>
    <row r="998" spans="1:21" x14ac:dyDescent="0.3">
      <c r="A998" t="s">
        <v>2972</v>
      </c>
      <c r="B998" t="s">
        <v>30</v>
      </c>
      <c r="C998" t="s">
        <v>1406</v>
      </c>
      <c r="D998" s="15">
        <v>1</v>
      </c>
      <c r="E998" s="7">
        <v>279</v>
      </c>
      <c r="H998">
        <v>141188</v>
      </c>
      <c r="I998" t="s">
        <v>353</v>
      </c>
      <c r="J998" t="s">
        <v>3016</v>
      </c>
      <c r="K998" t="s">
        <v>3</v>
      </c>
      <c r="L998" s="2">
        <v>43221</v>
      </c>
      <c r="M998" s="2">
        <f>DHMXX[[#This Row],[INV DOC DATE]]+30</f>
        <v>43251</v>
      </c>
      <c r="N998" s="2">
        <v>43251</v>
      </c>
      <c r="O998" s="7">
        <v>279</v>
      </c>
      <c r="P998" s="2">
        <v>43262</v>
      </c>
      <c r="Q998" s="7">
        <f>$E998-$O998</f>
        <v>0</v>
      </c>
      <c r="R998" s="7" t="str">
        <f ca="1">IF(TODAY() - DHMXX[INV DUE DATE]&lt;30, "Less than 30 days",IF(TODAY()-DHMXX[INV DUE DATE]&lt;60,"30-60 days","More than 60 days"))</f>
        <v>30-60 days</v>
      </c>
      <c r="S998" t="s">
        <v>1550</v>
      </c>
      <c r="T998" s="43" t="s">
        <v>2229</v>
      </c>
      <c r="U998" t="s">
        <v>3699</v>
      </c>
    </row>
    <row r="999" spans="1:21" x14ac:dyDescent="0.3">
      <c r="A999" t="s">
        <v>2972</v>
      </c>
      <c r="B999" t="s">
        <v>30</v>
      </c>
      <c r="C999" t="s">
        <v>1407</v>
      </c>
      <c r="D999" s="15">
        <v>1</v>
      </c>
      <c r="E999" s="7">
        <v>279</v>
      </c>
      <c r="H999">
        <v>141188</v>
      </c>
      <c r="I999" t="s">
        <v>353</v>
      </c>
      <c r="J999" t="s">
        <v>3017</v>
      </c>
      <c r="K999" t="s">
        <v>3</v>
      </c>
      <c r="L999" s="2">
        <v>43221</v>
      </c>
      <c r="M999" s="2">
        <f>DHMXX[[#This Row],[INV DOC DATE]]+30</f>
        <v>43251</v>
      </c>
      <c r="N999" s="2">
        <v>43251</v>
      </c>
      <c r="O999" s="7">
        <v>279</v>
      </c>
      <c r="P999" s="2">
        <v>43262</v>
      </c>
      <c r="Q999" s="7">
        <f>$E999-$O999</f>
        <v>0</v>
      </c>
      <c r="R999" s="7" t="str">
        <f ca="1">IF(TODAY() - DHMXX[INV DUE DATE]&lt;30, "Less than 30 days",IF(TODAY()-DHMXX[INV DUE DATE]&lt;60,"30-60 days","More than 60 days"))</f>
        <v>30-60 days</v>
      </c>
      <c r="S999" t="s">
        <v>1550</v>
      </c>
      <c r="T999" s="43" t="s">
        <v>2229</v>
      </c>
      <c r="U999" t="s">
        <v>3699</v>
      </c>
    </row>
    <row r="1000" spans="1:21" x14ac:dyDescent="0.3">
      <c r="A1000" t="s">
        <v>2972</v>
      </c>
      <c r="B1000" t="s">
        <v>30</v>
      </c>
      <c r="C1000" t="s">
        <v>1408</v>
      </c>
      <c r="D1000" s="15">
        <v>1</v>
      </c>
      <c r="E1000" s="7">
        <v>279</v>
      </c>
      <c r="H1000">
        <v>141188</v>
      </c>
      <c r="I1000" t="s">
        <v>353</v>
      </c>
      <c r="J1000" t="s">
        <v>3018</v>
      </c>
      <c r="K1000" t="s">
        <v>3</v>
      </c>
      <c r="L1000" s="2">
        <v>43221</v>
      </c>
      <c r="M1000" s="2">
        <f>DHMXX[[#This Row],[INV DOC DATE]]+30</f>
        <v>43251</v>
      </c>
      <c r="N1000" s="2">
        <v>43251</v>
      </c>
      <c r="O1000" s="7">
        <v>279</v>
      </c>
      <c r="P1000" s="2">
        <v>43262</v>
      </c>
      <c r="Q1000" s="7">
        <f>$E1000-$O1000</f>
        <v>0</v>
      </c>
      <c r="R1000" s="7" t="str">
        <f ca="1">IF(TODAY() - DHMXX[INV DUE DATE]&lt;30, "Less than 30 days",IF(TODAY()-DHMXX[INV DUE DATE]&lt;60,"30-60 days","More than 60 days"))</f>
        <v>30-60 days</v>
      </c>
      <c r="S1000" t="s">
        <v>1550</v>
      </c>
      <c r="T1000" s="43" t="s">
        <v>2229</v>
      </c>
      <c r="U1000" t="s">
        <v>3699</v>
      </c>
    </row>
    <row r="1001" spans="1:21" x14ac:dyDescent="0.3">
      <c r="A1001" t="s">
        <v>2972</v>
      </c>
      <c r="B1001" t="s">
        <v>30</v>
      </c>
      <c r="C1001" t="s">
        <v>1409</v>
      </c>
      <c r="D1001" s="15">
        <v>1</v>
      </c>
      <c r="E1001" s="7">
        <v>279</v>
      </c>
      <c r="H1001">
        <v>141188</v>
      </c>
      <c r="I1001" t="s">
        <v>353</v>
      </c>
      <c r="J1001" t="s">
        <v>3019</v>
      </c>
      <c r="K1001" t="s">
        <v>3</v>
      </c>
      <c r="L1001" s="2">
        <v>43221</v>
      </c>
      <c r="M1001" s="2">
        <f>DHMXX[[#This Row],[INV DOC DATE]]+30</f>
        <v>43251</v>
      </c>
      <c r="N1001" s="2">
        <v>43251</v>
      </c>
      <c r="O1001" s="7">
        <v>279</v>
      </c>
      <c r="P1001" s="2">
        <v>43262</v>
      </c>
      <c r="Q1001" s="7">
        <f>$E1001-$O1001</f>
        <v>0</v>
      </c>
      <c r="R1001" s="7" t="str">
        <f ca="1">IF(TODAY() - DHMXX[INV DUE DATE]&lt;30, "Less than 30 days",IF(TODAY()-DHMXX[INV DUE DATE]&lt;60,"30-60 days","More than 60 days"))</f>
        <v>30-60 days</v>
      </c>
      <c r="S1001" t="s">
        <v>1550</v>
      </c>
      <c r="T1001" s="43" t="s">
        <v>2229</v>
      </c>
      <c r="U1001" t="s">
        <v>3699</v>
      </c>
    </row>
    <row r="1002" spans="1:21" x14ac:dyDescent="0.3">
      <c r="A1002" t="s">
        <v>2972</v>
      </c>
      <c r="B1002" t="s">
        <v>30</v>
      </c>
      <c r="C1002" t="s">
        <v>1410</v>
      </c>
      <c r="D1002" s="15">
        <v>1</v>
      </c>
      <c r="E1002" s="7">
        <v>279</v>
      </c>
      <c r="H1002">
        <v>141188</v>
      </c>
      <c r="I1002" t="s">
        <v>353</v>
      </c>
      <c r="J1002" t="s">
        <v>3020</v>
      </c>
      <c r="K1002" t="s">
        <v>3</v>
      </c>
      <c r="L1002" s="2">
        <v>43221</v>
      </c>
      <c r="M1002" s="2">
        <f>DHMXX[[#This Row],[INV DOC DATE]]+30</f>
        <v>43251</v>
      </c>
      <c r="N1002" s="2">
        <v>43251</v>
      </c>
      <c r="O1002" s="7">
        <v>279</v>
      </c>
      <c r="P1002" s="2">
        <v>43262</v>
      </c>
      <c r="Q1002" s="7">
        <f>$E1002-$O1002</f>
        <v>0</v>
      </c>
      <c r="R1002" s="7" t="str">
        <f ca="1">IF(TODAY() - DHMXX[INV DUE DATE]&lt;30, "Less than 30 days",IF(TODAY()-DHMXX[INV DUE DATE]&lt;60,"30-60 days","More than 60 days"))</f>
        <v>30-60 days</v>
      </c>
      <c r="S1002" t="s">
        <v>1550</v>
      </c>
      <c r="T1002" s="43" t="s">
        <v>2229</v>
      </c>
      <c r="U1002" t="s">
        <v>3699</v>
      </c>
    </row>
    <row r="1003" spans="1:21" x14ac:dyDescent="0.3">
      <c r="A1003" t="s">
        <v>2972</v>
      </c>
      <c r="B1003" t="s">
        <v>30</v>
      </c>
      <c r="C1003" t="s">
        <v>1411</v>
      </c>
      <c r="D1003" s="15">
        <v>1</v>
      </c>
      <c r="E1003" s="7">
        <v>279</v>
      </c>
      <c r="H1003">
        <v>141188</v>
      </c>
      <c r="I1003" t="s">
        <v>353</v>
      </c>
      <c r="J1003" t="s">
        <v>3021</v>
      </c>
      <c r="K1003" t="s">
        <v>3</v>
      </c>
      <c r="L1003" s="2">
        <v>43221</v>
      </c>
      <c r="M1003" s="2">
        <f>DHMXX[[#This Row],[INV DOC DATE]]+30</f>
        <v>43251</v>
      </c>
      <c r="N1003" s="2">
        <v>43251</v>
      </c>
      <c r="O1003" s="7">
        <v>279</v>
      </c>
      <c r="P1003" s="2">
        <v>43262</v>
      </c>
      <c r="Q1003" s="7">
        <f>$E1003-$O1003</f>
        <v>0</v>
      </c>
      <c r="R1003" s="7" t="str">
        <f ca="1">IF(TODAY() - DHMXX[INV DUE DATE]&lt;30, "Less than 30 days",IF(TODAY()-DHMXX[INV DUE DATE]&lt;60,"30-60 days","More than 60 days"))</f>
        <v>30-60 days</v>
      </c>
      <c r="S1003" t="s">
        <v>1550</v>
      </c>
      <c r="T1003" s="43" t="s">
        <v>2229</v>
      </c>
      <c r="U1003" t="s">
        <v>3699</v>
      </c>
    </row>
    <row r="1004" spans="1:21" x14ac:dyDescent="0.3">
      <c r="A1004" t="s">
        <v>2972</v>
      </c>
      <c r="B1004" t="s">
        <v>30</v>
      </c>
      <c r="C1004" t="s">
        <v>1412</v>
      </c>
      <c r="D1004" s="15">
        <v>1</v>
      </c>
      <c r="E1004" s="7">
        <v>496</v>
      </c>
      <c r="H1004">
        <v>141188</v>
      </c>
      <c r="I1004" t="s">
        <v>353</v>
      </c>
      <c r="J1004" t="s">
        <v>3022</v>
      </c>
      <c r="K1004" t="s">
        <v>3</v>
      </c>
      <c r="L1004" s="2">
        <v>43221</v>
      </c>
      <c r="M1004" s="2">
        <f>DHMXX[[#This Row],[INV DOC DATE]]+30</f>
        <v>43251</v>
      </c>
      <c r="N1004" s="2">
        <v>43251</v>
      </c>
      <c r="O1004" s="7">
        <v>496</v>
      </c>
      <c r="P1004" s="2">
        <v>43262</v>
      </c>
      <c r="Q1004" s="7">
        <f>$E1004-$O1004</f>
        <v>0</v>
      </c>
      <c r="R1004" s="7" t="str">
        <f ca="1">IF(TODAY() - DHMXX[INV DUE DATE]&lt;30, "Less than 30 days",IF(TODAY()-DHMXX[INV DUE DATE]&lt;60,"30-60 days","More than 60 days"))</f>
        <v>30-60 days</v>
      </c>
      <c r="S1004" t="s">
        <v>1550</v>
      </c>
      <c r="T1004" s="43" t="s">
        <v>2229</v>
      </c>
      <c r="U1004" t="s">
        <v>3699</v>
      </c>
    </row>
    <row r="1005" spans="1:21" x14ac:dyDescent="0.3">
      <c r="A1005" t="s">
        <v>2972</v>
      </c>
      <c r="B1005" t="s">
        <v>30</v>
      </c>
      <c r="C1005" t="s">
        <v>1413</v>
      </c>
      <c r="D1005" s="15">
        <v>1</v>
      </c>
      <c r="E1005" s="7">
        <v>496</v>
      </c>
      <c r="H1005">
        <v>141188</v>
      </c>
      <c r="I1005" t="s">
        <v>353</v>
      </c>
      <c r="J1005" t="s">
        <v>3023</v>
      </c>
      <c r="K1005" t="s">
        <v>3</v>
      </c>
      <c r="L1005" s="2">
        <v>43221</v>
      </c>
      <c r="M1005" s="2">
        <f>DHMXX[[#This Row],[INV DOC DATE]]+30</f>
        <v>43251</v>
      </c>
      <c r="N1005" s="2">
        <v>43251</v>
      </c>
      <c r="O1005" s="7">
        <v>496</v>
      </c>
      <c r="P1005" s="2">
        <v>43262</v>
      </c>
      <c r="Q1005" s="7">
        <f>$E1005-$O1005</f>
        <v>0</v>
      </c>
      <c r="R1005" s="7" t="str">
        <f ca="1">IF(TODAY() - DHMXX[INV DUE DATE]&lt;30, "Less than 30 days",IF(TODAY()-DHMXX[INV DUE DATE]&lt;60,"30-60 days","More than 60 days"))</f>
        <v>30-60 days</v>
      </c>
      <c r="S1005" t="s">
        <v>1550</v>
      </c>
      <c r="T1005" s="43" t="s">
        <v>2229</v>
      </c>
      <c r="U1005" t="s">
        <v>3699</v>
      </c>
    </row>
    <row r="1006" spans="1:21" x14ac:dyDescent="0.3">
      <c r="A1006" t="s">
        <v>2972</v>
      </c>
      <c r="B1006" t="s">
        <v>30</v>
      </c>
      <c r="C1006" t="s">
        <v>1414</v>
      </c>
      <c r="D1006" s="15">
        <v>1</v>
      </c>
      <c r="E1006" s="7">
        <v>496</v>
      </c>
      <c r="H1006">
        <v>141188</v>
      </c>
      <c r="I1006" t="s">
        <v>353</v>
      </c>
      <c r="J1006" t="s">
        <v>3024</v>
      </c>
      <c r="K1006" t="s">
        <v>3</v>
      </c>
      <c r="L1006" s="2">
        <v>43221</v>
      </c>
      <c r="M1006" s="2">
        <f>DHMXX[[#This Row],[INV DOC DATE]]+30</f>
        <v>43251</v>
      </c>
      <c r="N1006" s="2">
        <v>43251</v>
      </c>
      <c r="O1006" s="7">
        <v>496</v>
      </c>
      <c r="P1006" s="2">
        <v>43262</v>
      </c>
      <c r="Q1006" s="7">
        <f>$E1006-$O1006</f>
        <v>0</v>
      </c>
      <c r="R1006" s="7" t="str">
        <f ca="1">IF(TODAY() - DHMXX[INV DUE DATE]&lt;30, "Less than 30 days",IF(TODAY()-DHMXX[INV DUE DATE]&lt;60,"30-60 days","More than 60 days"))</f>
        <v>30-60 days</v>
      </c>
      <c r="S1006" t="s">
        <v>1550</v>
      </c>
      <c r="T1006" s="43" t="s">
        <v>2229</v>
      </c>
      <c r="U1006" t="s">
        <v>3699</v>
      </c>
    </row>
    <row r="1007" spans="1:21" x14ac:dyDescent="0.3">
      <c r="A1007" t="s">
        <v>2972</v>
      </c>
      <c r="B1007" t="s">
        <v>30</v>
      </c>
      <c r="C1007" t="s">
        <v>1415</v>
      </c>
      <c r="D1007" s="15">
        <v>1</v>
      </c>
      <c r="E1007" s="7">
        <v>496</v>
      </c>
      <c r="H1007">
        <v>141188</v>
      </c>
      <c r="I1007" t="s">
        <v>353</v>
      </c>
      <c r="J1007" t="s">
        <v>3025</v>
      </c>
      <c r="K1007" t="s">
        <v>3</v>
      </c>
      <c r="L1007" s="2">
        <v>43221</v>
      </c>
      <c r="M1007" s="2">
        <f>DHMXX[[#This Row],[INV DOC DATE]]+30</f>
        <v>43251</v>
      </c>
      <c r="N1007" s="2">
        <v>43251</v>
      </c>
      <c r="O1007" s="7">
        <v>496</v>
      </c>
      <c r="P1007" s="2">
        <v>43262</v>
      </c>
      <c r="Q1007" s="7">
        <f>$E1007-$O1007</f>
        <v>0</v>
      </c>
      <c r="R1007" s="7" t="str">
        <f ca="1">IF(TODAY() - DHMXX[INV DUE DATE]&lt;30, "Less than 30 days",IF(TODAY()-DHMXX[INV DUE DATE]&lt;60,"30-60 days","More than 60 days"))</f>
        <v>30-60 days</v>
      </c>
      <c r="S1007" t="s">
        <v>1550</v>
      </c>
      <c r="T1007" s="43" t="s">
        <v>2229</v>
      </c>
      <c r="U1007" t="s">
        <v>3699</v>
      </c>
    </row>
    <row r="1008" spans="1:21" x14ac:dyDescent="0.3">
      <c r="A1008" t="s">
        <v>2972</v>
      </c>
      <c r="B1008" t="s">
        <v>30</v>
      </c>
      <c r="C1008" t="s">
        <v>1416</v>
      </c>
      <c r="D1008" s="15">
        <v>1</v>
      </c>
      <c r="E1008" s="7">
        <v>496</v>
      </c>
      <c r="H1008">
        <v>141188</v>
      </c>
      <c r="I1008" t="s">
        <v>353</v>
      </c>
      <c r="J1008" t="s">
        <v>3026</v>
      </c>
      <c r="K1008" t="s">
        <v>3</v>
      </c>
      <c r="L1008" s="2">
        <v>43221</v>
      </c>
      <c r="M1008" s="2">
        <f>DHMXX[[#This Row],[INV DOC DATE]]+30</f>
        <v>43251</v>
      </c>
      <c r="N1008" s="2">
        <v>43251</v>
      </c>
      <c r="O1008" s="7">
        <v>496</v>
      </c>
      <c r="P1008" s="2">
        <v>43262</v>
      </c>
      <c r="Q1008" s="7">
        <f>$E1008-$O1008</f>
        <v>0</v>
      </c>
      <c r="R1008" s="7" t="str">
        <f ca="1">IF(TODAY() - DHMXX[INV DUE DATE]&lt;30, "Less than 30 days",IF(TODAY()-DHMXX[INV DUE DATE]&lt;60,"30-60 days","More than 60 days"))</f>
        <v>30-60 days</v>
      </c>
      <c r="S1008" t="s">
        <v>1550</v>
      </c>
      <c r="T1008" s="43" t="s">
        <v>2229</v>
      </c>
      <c r="U1008" t="s">
        <v>3699</v>
      </c>
    </row>
    <row r="1009" spans="1:21" x14ac:dyDescent="0.3">
      <c r="A1009" t="s">
        <v>2972</v>
      </c>
      <c r="B1009" t="s">
        <v>30</v>
      </c>
      <c r="C1009" t="s">
        <v>1417</v>
      </c>
      <c r="D1009" s="15">
        <v>1</v>
      </c>
      <c r="E1009" s="7">
        <v>480.5</v>
      </c>
      <c r="H1009">
        <v>142910</v>
      </c>
      <c r="I1009" t="s">
        <v>841</v>
      </c>
      <c r="J1009" t="s">
        <v>3027</v>
      </c>
      <c r="K1009" t="s">
        <v>3</v>
      </c>
      <c r="L1009" s="2">
        <v>43221</v>
      </c>
      <c r="M1009" s="2">
        <f>DHMXX[[#This Row],[INV DOC DATE]]+30</f>
        <v>43251</v>
      </c>
      <c r="N1009" s="2">
        <v>43251</v>
      </c>
      <c r="O1009" s="7">
        <v>480.5</v>
      </c>
      <c r="P1009" s="2">
        <v>43262</v>
      </c>
      <c r="Q1009" s="7">
        <f>$E1009-$O1009</f>
        <v>0</v>
      </c>
      <c r="R1009" s="7" t="str">
        <f ca="1">IF(TODAY() - DHMXX[INV DUE DATE]&lt;30, "Less than 30 days",IF(TODAY()-DHMXX[INV DUE DATE]&lt;60,"30-60 days","More than 60 days"))</f>
        <v>30-60 days</v>
      </c>
      <c r="S1009" t="s">
        <v>1550</v>
      </c>
      <c r="T1009" s="43" t="s">
        <v>2229</v>
      </c>
      <c r="U1009" t="s">
        <v>3699</v>
      </c>
    </row>
    <row r="1010" spans="1:21" x14ac:dyDescent="0.3">
      <c r="A1010" t="s">
        <v>2972</v>
      </c>
      <c r="B1010" t="s">
        <v>30</v>
      </c>
      <c r="C1010" t="s">
        <v>1418</v>
      </c>
      <c r="D1010" s="15">
        <v>1</v>
      </c>
      <c r="E1010" s="7">
        <v>558</v>
      </c>
      <c r="H1010">
        <v>142910</v>
      </c>
      <c r="I1010" t="s">
        <v>841</v>
      </c>
      <c r="J1010" t="s">
        <v>3028</v>
      </c>
      <c r="K1010" t="s">
        <v>3</v>
      </c>
      <c r="L1010" s="2">
        <v>43221</v>
      </c>
      <c r="M1010" s="2">
        <f>DHMXX[[#This Row],[INV DOC DATE]]+30</f>
        <v>43251</v>
      </c>
      <c r="N1010" s="2">
        <v>43251</v>
      </c>
      <c r="O1010" s="7">
        <v>558</v>
      </c>
      <c r="P1010" s="2">
        <v>43262</v>
      </c>
      <c r="Q1010" s="7">
        <f>$E1010-$O1010</f>
        <v>0</v>
      </c>
      <c r="R1010" s="7" t="str">
        <f ca="1">IF(TODAY() - DHMXX[INV DUE DATE]&lt;30, "Less than 30 days",IF(TODAY()-DHMXX[INV DUE DATE]&lt;60,"30-60 days","More than 60 days"))</f>
        <v>30-60 days</v>
      </c>
      <c r="S1010" t="s">
        <v>1550</v>
      </c>
      <c r="T1010" s="43" t="s">
        <v>2229</v>
      </c>
      <c r="U1010" t="s">
        <v>3699</v>
      </c>
    </row>
    <row r="1011" spans="1:21" x14ac:dyDescent="0.3">
      <c r="A1011" t="s">
        <v>2972</v>
      </c>
      <c r="B1011" t="s">
        <v>30</v>
      </c>
      <c r="C1011" t="s">
        <v>1419</v>
      </c>
      <c r="D1011" s="15">
        <v>1</v>
      </c>
      <c r="E1011" s="7">
        <v>240.25</v>
      </c>
      <c r="H1011">
        <v>142910</v>
      </c>
      <c r="I1011" t="s">
        <v>841</v>
      </c>
      <c r="J1011" t="s">
        <v>3029</v>
      </c>
      <c r="K1011" t="s">
        <v>3</v>
      </c>
      <c r="L1011" s="2">
        <v>43221</v>
      </c>
      <c r="M1011" s="2">
        <f>DHMXX[[#This Row],[INV DOC DATE]]+30</f>
        <v>43251</v>
      </c>
      <c r="N1011" s="2">
        <v>43251</v>
      </c>
      <c r="O1011" s="7">
        <v>240.25</v>
      </c>
      <c r="P1011" s="2">
        <v>43262</v>
      </c>
      <c r="Q1011" s="7">
        <f>$E1011-$O1011</f>
        <v>0</v>
      </c>
      <c r="R1011" s="7" t="str">
        <f ca="1">IF(TODAY() - DHMXX[INV DUE DATE]&lt;30, "Less than 30 days",IF(TODAY()-DHMXX[INV DUE DATE]&lt;60,"30-60 days","More than 60 days"))</f>
        <v>30-60 days</v>
      </c>
      <c r="S1011" t="s">
        <v>1550</v>
      </c>
      <c r="T1011" s="43" t="s">
        <v>2229</v>
      </c>
      <c r="U1011" t="s">
        <v>3699</v>
      </c>
    </row>
    <row r="1012" spans="1:21" x14ac:dyDescent="0.3">
      <c r="A1012" t="s">
        <v>2972</v>
      </c>
      <c r="B1012" t="s">
        <v>30</v>
      </c>
      <c r="C1012" t="s">
        <v>1420</v>
      </c>
      <c r="D1012" s="15">
        <v>1</v>
      </c>
      <c r="E1012" s="7">
        <v>232.5</v>
      </c>
      <c r="H1012">
        <v>142910</v>
      </c>
      <c r="I1012" t="s">
        <v>841</v>
      </c>
      <c r="J1012" t="s">
        <v>3030</v>
      </c>
      <c r="K1012" t="s">
        <v>3</v>
      </c>
      <c r="L1012" s="2">
        <v>43221</v>
      </c>
      <c r="M1012" s="2">
        <f>DHMXX[[#This Row],[INV DOC DATE]]+30</f>
        <v>43251</v>
      </c>
      <c r="N1012" s="2">
        <v>43251</v>
      </c>
      <c r="O1012" s="7">
        <v>232.5</v>
      </c>
      <c r="P1012" s="2">
        <v>43262</v>
      </c>
      <c r="Q1012" s="7">
        <f>$E1012-$O1012</f>
        <v>0</v>
      </c>
      <c r="R1012" s="7" t="str">
        <f ca="1">IF(TODAY() - DHMXX[INV DUE DATE]&lt;30, "Less than 30 days",IF(TODAY()-DHMXX[INV DUE DATE]&lt;60,"30-60 days","More than 60 days"))</f>
        <v>30-60 days</v>
      </c>
      <c r="S1012" t="s">
        <v>1550</v>
      </c>
      <c r="T1012" s="43" t="s">
        <v>2229</v>
      </c>
      <c r="U1012" t="s">
        <v>3699</v>
      </c>
    </row>
    <row r="1013" spans="1:21" x14ac:dyDescent="0.3">
      <c r="A1013" t="s">
        <v>2972</v>
      </c>
      <c r="B1013" t="s">
        <v>30</v>
      </c>
      <c r="C1013" t="s">
        <v>1421</v>
      </c>
      <c r="D1013" s="15">
        <v>1</v>
      </c>
      <c r="E1013" s="7">
        <v>232.5</v>
      </c>
      <c r="H1013">
        <v>201323</v>
      </c>
      <c r="I1013" t="s">
        <v>856</v>
      </c>
      <c r="J1013" t="s">
        <v>3031</v>
      </c>
      <c r="K1013" t="s">
        <v>3</v>
      </c>
      <c r="L1013" s="2">
        <v>43221</v>
      </c>
      <c r="M1013" s="2">
        <f>DHMXX[[#This Row],[INV DOC DATE]]+30</f>
        <v>43251</v>
      </c>
      <c r="N1013" s="2">
        <v>43251</v>
      </c>
      <c r="O1013" s="7">
        <v>232.5</v>
      </c>
      <c r="P1013" s="2">
        <v>43262</v>
      </c>
      <c r="Q1013" s="7">
        <f>$E1013-$O1013</f>
        <v>0</v>
      </c>
      <c r="R1013" s="7" t="str">
        <f ca="1">IF(TODAY() - DHMXX[INV DUE DATE]&lt;30, "Less than 30 days",IF(TODAY()-DHMXX[INV DUE DATE]&lt;60,"30-60 days","More than 60 days"))</f>
        <v>30-60 days</v>
      </c>
      <c r="S1013" t="s">
        <v>1550</v>
      </c>
      <c r="T1013" s="43" t="s">
        <v>2229</v>
      </c>
      <c r="U1013" t="s">
        <v>3699</v>
      </c>
    </row>
    <row r="1014" spans="1:21" x14ac:dyDescent="0.3">
      <c r="A1014" t="s">
        <v>2972</v>
      </c>
      <c r="B1014" t="s">
        <v>30</v>
      </c>
      <c r="C1014" t="s">
        <v>1422</v>
      </c>
      <c r="D1014" s="15">
        <v>1</v>
      </c>
      <c r="E1014" s="7">
        <v>232.5</v>
      </c>
      <c r="H1014">
        <v>201323</v>
      </c>
      <c r="I1014" t="s">
        <v>856</v>
      </c>
      <c r="J1014" t="s">
        <v>3032</v>
      </c>
      <c r="K1014" t="s">
        <v>3</v>
      </c>
      <c r="L1014" s="2">
        <v>43221</v>
      </c>
      <c r="M1014" s="2">
        <f>DHMXX[[#This Row],[INV DOC DATE]]+30</f>
        <v>43251</v>
      </c>
      <c r="N1014" s="2">
        <v>43251</v>
      </c>
      <c r="O1014" s="7">
        <v>232.5</v>
      </c>
      <c r="P1014" s="2">
        <v>43262</v>
      </c>
      <c r="Q1014" s="7">
        <f>$E1014-$O1014</f>
        <v>0</v>
      </c>
      <c r="R1014" s="7" t="str">
        <f ca="1">IF(TODAY() - DHMXX[INV DUE DATE]&lt;30, "Less than 30 days",IF(TODAY()-DHMXX[INV DUE DATE]&lt;60,"30-60 days","More than 60 days"))</f>
        <v>30-60 days</v>
      </c>
      <c r="S1014" t="s">
        <v>1550</v>
      </c>
      <c r="T1014" s="43" t="s">
        <v>2229</v>
      </c>
      <c r="U1014" t="s">
        <v>3699</v>
      </c>
    </row>
    <row r="1015" spans="1:21" x14ac:dyDescent="0.3">
      <c r="A1015" t="s">
        <v>2972</v>
      </c>
      <c r="B1015" t="s">
        <v>30</v>
      </c>
      <c r="C1015" t="s">
        <v>1423</v>
      </c>
      <c r="D1015" s="15">
        <v>1</v>
      </c>
      <c r="E1015" s="7">
        <v>232.5</v>
      </c>
      <c r="H1015">
        <v>201323</v>
      </c>
      <c r="I1015" t="s">
        <v>856</v>
      </c>
      <c r="J1015" t="s">
        <v>3033</v>
      </c>
      <c r="K1015" t="s">
        <v>3</v>
      </c>
      <c r="L1015" s="2">
        <v>43221</v>
      </c>
      <c r="M1015" s="2">
        <f>DHMXX[[#This Row],[INV DOC DATE]]+30</f>
        <v>43251</v>
      </c>
      <c r="N1015" s="2">
        <v>43251</v>
      </c>
      <c r="O1015" s="7">
        <v>232.5</v>
      </c>
      <c r="P1015" s="2">
        <v>43262</v>
      </c>
      <c r="Q1015" s="7">
        <f>$E1015-$O1015</f>
        <v>0</v>
      </c>
      <c r="R1015" s="7" t="str">
        <f ca="1">IF(TODAY() - DHMXX[INV DUE DATE]&lt;30, "Less than 30 days",IF(TODAY()-DHMXX[INV DUE DATE]&lt;60,"30-60 days","More than 60 days"))</f>
        <v>30-60 days</v>
      </c>
      <c r="S1015" t="s">
        <v>1550</v>
      </c>
      <c r="T1015" s="43" t="s">
        <v>2229</v>
      </c>
      <c r="U1015" t="s">
        <v>3699</v>
      </c>
    </row>
    <row r="1016" spans="1:21" x14ac:dyDescent="0.3">
      <c r="A1016" t="s">
        <v>2972</v>
      </c>
      <c r="B1016" t="s">
        <v>30</v>
      </c>
      <c r="C1016" t="s">
        <v>1424</v>
      </c>
      <c r="D1016" s="15">
        <v>1</v>
      </c>
      <c r="E1016" s="7">
        <v>232.5</v>
      </c>
      <c r="H1016">
        <v>201323</v>
      </c>
      <c r="I1016" t="s">
        <v>856</v>
      </c>
      <c r="J1016" t="s">
        <v>3034</v>
      </c>
      <c r="K1016" t="s">
        <v>3</v>
      </c>
      <c r="L1016" s="2">
        <v>43221</v>
      </c>
      <c r="M1016" s="2">
        <f>DHMXX[[#This Row],[INV DOC DATE]]+30</f>
        <v>43251</v>
      </c>
      <c r="N1016" s="2">
        <v>43251</v>
      </c>
      <c r="O1016" s="7">
        <v>232.5</v>
      </c>
      <c r="P1016" s="2">
        <v>43262</v>
      </c>
      <c r="Q1016" s="7">
        <f>$E1016-$O1016</f>
        <v>0</v>
      </c>
      <c r="R1016" s="7" t="str">
        <f ca="1">IF(TODAY() - DHMXX[INV DUE DATE]&lt;30, "Less than 30 days",IF(TODAY()-DHMXX[INV DUE DATE]&lt;60,"30-60 days","More than 60 days"))</f>
        <v>30-60 days</v>
      </c>
      <c r="S1016" t="s">
        <v>1550</v>
      </c>
      <c r="T1016" s="43" t="s">
        <v>2229</v>
      </c>
      <c r="U1016" t="s">
        <v>3699</v>
      </c>
    </row>
    <row r="1017" spans="1:21" x14ac:dyDescent="0.3">
      <c r="A1017" t="s">
        <v>2972</v>
      </c>
      <c r="B1017" t="s">
        <v>30</v>
      </c>
      <c r="C1017" t="s">
        <v>1425</v>
      </c>
      <c r="D1017" s="15">
        <v>1</v>
      </c>
      <c r="E1017" s="7">
        <v>232.5</v>
      </c>
      <c r="H1017">
        <v>201323</v>
      </c>
      <c r="I1017" t="s">
        <v>856</v>
      </c>
      <c r="J1017" t="s">
        <v>3035</v>
      </c>
      <c r="K1017" t="s">
        <v>3</v>
      </c>
      <c r="L1017" s="2">
        <v>43221</v>
      </c>
      <c r="M1017" s="2">
        <f>DHMXX[[#This Row],[INV DOC DATE]]+30</f>
        <v>43251</v>
      </c>
      <c r="N1017" s="2">
        <v>43251</v>
      </c>
      <c r="O1017" s="7">
        <v>232.5</v>
      </c>
      <c r="P1017" s="2">
        <v>43262</v>
      </c>
      <c r="Q1017" s="7">
        <f>$E1017-$O1017</f>
        <v>0</v>
      </c>
      <c r="R1017" s="7" t="str">
        <f ca="1">IF(TODAY() - DHMXX[INV DUE DATE]&lt;30, "Less than 30 days",IF(TODAY()-DHMXX[INV DUE DATE]&lt;60,"30-60 days","More than 60 days"))</f>
        <v>30-60 days</v>
      </c>
      <c r="S1017" t="s">
        <v>1550</v>
      </c>
      <c r="T1017" s="43" t="s">
        <v>2229</v>
      </c>
      <c r="U1017" t="s">
        <v>3699</v>
      </c>
    </row>
    <row r="1018" spans="1:21" x14ac:dyDescent="0.3">
      <c r="A1018" t="s">
        <v>2972</v>
      </c>
      <c r="B1018" t="s">
        <v>30</v>
      </c>
      <c r="C1018" t="s">
        <v>1426</v>
      </c>
      <c r="D1018" s="15">
        <v>1</v>
      </c>
      <c r="E1018" s="7">
        <v>232.5</v>
      </c>
      <c r="H1018">
        <v>201323</v>
      </c>
      <c r="I1018" t="s">
        <v>856</v>
      </c>
      <c r="J1018" t="s">
        <v>3036</v>
      </c>
      <c r="K1018" t="s">
        <v>3</v>
      </c>
      <c r="L1018" s="2">
        <v>43221</v>
      </c>
      <c r="M1018" s="2">
        <f>DHMXX[[#This Row],[INV DOC DATE]]+30</f>
        <v>43251</v>
      </c>
      <c r="N1018" s="2">
        <v>43251</v>
      </c>
      <c r="O1018" s="7">
        <v>232.5</v>
      </c>
      <c r="P1018" s="2">
        <v>43262</v>
      </c>
      <c r="Q1018" s="7">
        <f>$E1018-$O1018</f>
        <v>0</v>
      </c>
      <c r="R1018" s="7" t="str">
        <f ca="1">IF(TODAY() - DHMXX[INV DUE DATE]&lt;30, "Less than 30 days",IF(TODAY()-DHMXX[INV DUE DATE]&lt;60,"30-60 days","More than 60 days"))</f>
        <v>30-60 days</v>
      </c>
      <c r="S1018" t="s">
        <v>1550</v>
      </c>
      <c r="T1018" s="43" t="s">
        <v>2229</v>
      </c>
      <c r="U1018" t="s">
        <v>3699</v>
      </c>
    </row>
    <row r="1019" spans="1:21" x14ac:dyDescent="0.3">
      <c r="A1019" t="s">
        <v>2972</v>
      </c>
      <c r="B1019" t="s">
        <v>30</v>
      </c>
      <c r="C1019" t="s">
        <v>1427</v>
      </c>
      <c r="D1019" s="15">
        <v>1</v>
      </c>
      <c r="E1019" s="7">
        <v>232.5</v>
      </c>
      <c r="H1019">
        <v>201323</v>
      </c>
      <c r="I1019" t="s">
        <v>856</v>
      </c>
      <c r="J1019" t="s">
        <v>3037</v>
      </c>
      <c r="K1019" t="s">
        <v>3</v>
      </c>
      <c r="L1019" s="2">
        <v>43221</v>
      </c>
      <c r="M1019" s="2">
        <f>DHMXX[[#This Row],[INV DOC DATE]]+30</f>
        <v>43251</v>
      </c>
      <c r="N1019" s="2">
        <v>43251</v>
      </c>
      <c r="O1019" s="7">
        <v>232.5</v>
      </c>
      <c r="P1019" s="2">
        <v>43262</v>
      </c>
      <c r="Q1019" s="7">
        <f>$E1019-$O1019</f>
        <v>0</v>
      </c>
      <c r="R1019" s="7" t="str">
        <f ca="1">IF(TODAY() - DHMXX[INV DUE DATE]&lt;30, "Less than 30 days",IF(TODAY()-DHMXX[INV DUE DATE]&lt;60,"30-60 days","More than 60 days"))</f>
        <v>30-60 days</v>
      </c>
      <c r="S1019" t="s">
        <v>1550</v>
      </c>
      <c r="T1019" s="43" t="s">
        <v>2229</v>
      </c>
      <c r="U1019" t="s">
        <v>3699</v>
      </c>
    </row>
    <row r="1020" spans="1:21" x14ac:dyDescent="0.3">
      <c r="A1020" t="s">
        <v>2972</v>
      </c>
      <c r="B1020" t="s">
        <v>30</v>
      </c>
      <c r="C1020" t="s">
        <v>1428</v>
      </c>
      <c r="D1020" s="15">
        <v>1</v>
      </c>
      <c r="E1020" s="7">
        <v>232.5</v>
      </c>
      <c r="H1020">
        <v>201323</v>
      </c>
      <c r="I1020" t="s">
        <v>856</v>
      </c>
      <c r="J1020" t="s">
        <v>3038</v>
      </c>
      <c r="K1020" t="s">
        <v>3</v>
      </c>
      <c r="L1020" s="2">
        <v>43221</v>
      </c>
      <c r="M1020" s="2">
        <f>DHMXX[[#This Row],[INV DOC DATE]]+30</f>
        <v>43251</v>
      </c>
      <c r="N1020" s="2">
        <v>43251</v>
      </c>
      <c r="O1020" s="7">
        <v>232.5</v>
      </c>
      <c r="P1020" s="2">
        <v>43262</v>
      </c>
      <c r="Q1020" s="7">
        <f>$E1020-$O1020</f>
        <v>0</v>
      </c>
      <c r="R1020" s="7" t="str">
        <f ca="1">IF(TODAY() - DHMXX[INV DUE DATE]&lt;30, "Less than 30 days",IF(TODAY()-DHMXX[INV DUE DATE]&lt;60,"30-60 days","More than 60 days"))</f>
        <v>30-60 days</v>
      </c>
      <c r="S1020" t="s">
        <v>1550</v>
      </c>
      <c r="T1020" s="43" t="s">
        <v>2229</v>
      </c>
      <c r="U1020" t="s">
        <v>3699</v>
      </c>
    </row>
    <row r="1021" spans="1:21" x14ac:dyDescent="0.3">
      <c r="A1021" t="s">
        <v>2972</v>
      </c>
      <c r="B1021" t="s">
        <v>30</v>
      </c>
      <c r="C1021" t="s">
        <v>1429</v>
      </c>
      <c r="D1021" s="15">
        <v>1</v>
      </c>
      <c r="E1021" s="7">
        <v>232.5</v>
      </c>
      <c r="H1021">
        <v>201323</v>
      </c>
      <c r="I1021" t="s">
        <v>856</v>
      </c>
      <c r="J1021" t="s">
        <v>3039</v>
      </c>
      <c r="K1021" t="s">
        <v>3</v>
      </c>
      <c r="L1021" s="2">
        <v>43221</v>
      </c>
      <c r="M1021" s="2">
        <f>DHMXX[[#This Row],[INV DOC DATE]]+30</f>
        <v>43251</v>
      </c>
      <c r="N1021" s="2">
        <v>43251</v>
      </c>
      <c r="O1021" s="7">
        <v>232.5</v>
      </c>
      <c r="P1021" s="2">
        <v>43262</v>
      </c>
      <c r="Q1021" s="7">
        <f>$E1021-$O1021</f>
        <v>0</v>
      </c>
      <c r="R1021" s="7" t="str">
        <f ca="1">IF(TODAY() - DHMXX[INV DUE DATE]&lt;30, "Less than 30 days",IF(TODAY()-DHMXX[INV DUE DATE]&lt;60,"30-60 days","More than 60 days"))</f>
        <v>30-60 days</v>
      </c>
      <c r="S1021" t="s">
        <v>1550</v>
      </c>
      <c r="T1021" s="43" t="s">
        <v>2229</v>
      </c>
      <c r="U1021" t="s">
        <v>3699</v>
      </c>
    </row>
    <row r="1022" spans="1:21" x14ac:dyDescent="0.3">
      <c r="A1022" t="s">
        <v>2972</v>
      </c>
      <c r="B1022" t="s">
        <v>30</v>
      </c>
      <c r="C1022" t="s">
        <v>1430</v>
      </c>
      <c r="D1022" s="15">
        <v>1</v>
      </c>
      <c r="E1022" s="7">
        <v>232.5</v>
      </c>
      <c r="H1022">
        <v>201323</v>
      </c>
      <c r="I1022" t="s">
        <v>856</v>
      </c>
      <c r="J1022" t="s">
        <v>3040</v>
      </c>
      <c r="K1022" t="s">
        <v>3</v>
      </c>
      <c r="L1022" s="2">
        <v>43221</v>
      </c>
      <c r="M1022" s="2">
        <f>DHMXX[[#This Row],[INV DOC DATE]]+30</f>
        <v>43251</v>
      </c>
      <c r="N1022" s="2">
        <v>43251</v>
      </c>
      <c r="O1022" s="7">
        <v>232.5</v>
      </c>
      <c r="P1022" s="2">
        <v>43262</v>
      </c>
      <c r="Q1022" s="7">
        <f>$E1022-$O1022</f>
        <v>0</v>
      </c>
      <c r="R1022" s="7" t="str">
        <f ca="1">IF(TODAY() - DHMXX[INV DUE DATE]&lt;30, "Less than 30 days",IF(TODAY()-DHMXX[INV DUE DATE]&lt;60,"30-60 days","More than 60 days"))</f>
        <v>30-60 days</v>
      </c>
      <c r="S1022" t="s">
        <v>1550</v>
      </c>
      <c r="T1022" s="43" t="s">
        <v>2229</v>
      </c>
      <c r="U1022" t="s">
        <v>3699</v>
      </c>
    </row>
    <row r="1023" spans="1:21" x14ac:dyDescent="0.3">
      <c r="A1023" t="s">
        <v>2972</v>
      </c>
      <c r="B1023" t="s">
        <v>30</v>
      </c>
      <c r="C1023" t="s">
        <v>1431</v>
      </c>
      <c r="D1023" s="15">
        <v>1</v>
      </c>
      <c r="E1023" s="7">
        <v>232.5</v>
      </c>
      <c r="H1023">
        <v>201323</v>
      </c>
      <c r="I1023" t="s">
        <v>856</v>
      </c>
      <c r="J1023" t="s">
        <v>3041</v>
      </c>
      <c r="K1023" t="s">
        <v>3</v>
      </c>
      <c r="L1023" s="2">
        <v>43221</v>
      </c>
      <c r="M1023" s="2">
        <f>DHMXX[[#This Row],[INV DOC DATE]]+30</f>
        <v>43251</v>
      </c>
      <c r="N1023" s="2">
        <v>43251</v>
      </c>
      <c r="O1023" s="7">
        <v>232.5</v>
      </c>
      <c r="P1023" s="2">
        <v>43262</v>
      </c>
      <c r="Q1023" s="7">
        <f>$E1023-$O1023</f>
        <v>0</v>
      </c>
      <c r="R1023" s="7" t="str">
        <f ca="1">IF(TODAY() - DHMXX[INV DUE DATE]&lt;30, "Less than 30 days",IF(TODAY()-DHMXX[INV DUE DATE]&lt;60,"30-60 days","More than 60 days"))</f>
        <v>30-60 days</v>
      </c>
      <c r="S1023" t="s">
        <v>1550</v>
      </c>
      <c r="T1023" s="43" t="s">
        <v>2229</v>
      </c>
      <c r="U1023" t="s">
        <v>3699</v>
      </c>
    </row>
    <row r="1024" spans="1:21" x14ac:dyDescent="0.3">
      <c r="A1024" t="s">
        <v>2972</v>
      </c>
      <c r="B1024" t="s">
        <v>30</v>
      </c>
      <c r="C1024" t="s">
        <v>1432</v>
      </c>
      <c r="D1024" s="15">
        <v>1</v>
      </c>
      <c r="E1024" s="7">
        <v>232.5</v>
      </c>
      <c r="H1024">
        <v>201323</v>
      </c>
      <c r="I1024" t="s">
        <v>856</v>
      </c>
      <c r="J1024" t="s">
        <v>3042</v>
      </c>
      <c r="K1024" t="s">
        <v>3</v>
      </c>
      <c r="L1024" s="2">
        <v>43221</v>
      </c>
      <c r="M1024" s="2">
        <f>DHMXX[[#This Row],[INV DOC DATE]]+30</f>
        <v>43251</v>
      </c>
      <c r="N1024" s="2">
        <v>43251</v>
      </c>
      <c r="O1024" s="7">
        <v>232.5</v>
      </c>
      <c r="P1024" s="2">
        <v>43262</v>
      </c>
      <c r="Q1024" s="7">
        <f>$E1024-$O1024</f>
        <v>0</v>
      </c>
      <c r="R1024" s="7" t="str">
        <f ca="1">IF(TODAY() - DHMXX[INV DUE DATE]&lt;30, "Less than 30 days",IF(TODAY()-DHMXX[INV DUE DATE]&lt;60,"30-60 days","More than 60 days"))</f>
        <v>30-60 days</v>
      </c>
      <c r="S1024" t="s">
        <v>1550</v>
      </c>
      <c r="T1024" s="43" t="s">
        <v>2229</v>
      </c>
      <c r="U1024" t="s">
        <v>3699</v>
      </c>
    </row>
    <row r="1025" spans="1:21" x14ac:dyDescent="0.3">
      <c r="A1025" t="s">
        <v>2972</v>
      </c>
      <c r="B1025" t="s">
        <v>30</v>
      </c>
      <c r="C1025" t="s">
        <v>1433</v>
      </c>
      <c r="D1025" s="15">
        <v>1</v>
      </c>
      <c r="E1025" s="7">
        <v>178.25</v>
      </c>
      <c r="H1025">
        <v>201323</v>
      </c>
      <c r="I1025" t="s">
        <v>856</v>
      </c>
      <c r="J1025" t="s">
        <v>3043</v>
      </c>
      <c r="K1025" t="s">
        <v>3</v>
      </c>
      <c r="L1025" s="2">
        <v>43221</v>
      </c>
      <c r="M1025" s="2">
        <f>DHMXX[[#This Row],[INV DOC DATE]]+30</f>
        <v>43251</v>
      </c>
      <c r="N1025" s="2">
        <v>43251</v>
      </c>
      <c r="O1025" s="7">
        <v>178.25</v>
      </c>
      <c r="P1025" s="2">
        <v>43262</v>
      </c>
      <c r="Q1025" s="7">
        <f>$E1025-$O1025</f>
        <v>0</v>
      </c>
      <c r="R1025" s="7" t="str">
        <f ca="1">IF(TODAY() - DHMXX[INV DUE DATE]&lt;30, "Less than 30 days",IF(TODAY()-DHMXX[INV DUE DATE]&lt;60,"30-60 days","More than 60 days"))</f>
        <v>30-60 days</v>
      </c>
      <c r="S1025" t="s">
        <v>1550</v>
      </c>
      <c r="T1025" s="43" t="s">
        <v>2229</v>
      </c>
      <c r="U1025" t="s">
        <v>3699</v>
      </c>
    </row>
    <row r="1026" spans="1:21" x14ac:dyDescent="0.3">
      <c r="A1026" t="s">
        <v>2972</v>
      </c>
      <c r="B1026" t="s">
        <v>30</v>
      </c>
      <c r="C1026" t="s">
        <v>1434</v>
      </c>
      <c r="D1026" s="15">
        <v>1</v>
      </c>
      <c r="E1026" s="7">
        <v>178.25</v>
      </c>
      <c r="H1026">
        <v>201323</v>
      </c>
      <c r="I1026" t="s">
        <v>856</v>
      </c>
      <c r="J1026" t="s">
        <v>3044</v>
      </c>
      <c r="K1026" t="s">
        <v>3</v>
      </c>
      <c r="L1026" s="2">
        <v>43221</v>
      </c>
      <c r="M1026" s="2">
        <f>DHMXX[[#This Row],[INV DOC DATE]]+30</f>
        <v>43251</v>
      </c>
      <c r="N1026" s="2">
        <v>43251</v>
      </c>
      <c r="O1026" s="7">
        <v>178.25</v>
      </c>
      <c r="P1026" s="2">
        <v>43262</v>
      </c>
      <c r="Q1026" s="7">
        <f>$E1026-$O1026</f>
        <v>0</v>
      </c>
      <c r="R1026" s="7" t="str">
        <f ca="1">IF(TODAY() - DHMXX[INV DUE DATE]&lt;30, "Less than 30 days",IF(TODAY()-DHMXX[INV DUE DATE]&lt;60,"30-60 days","More than 60 days"))</f>
        <v>30-60 days</v>
      </c>
      <c r="S1026" t="s">
        <v>1550</v>
      </c>
      <c r="T1026" s="43" t="s">
        <v>2229</v>
      </c>
      <c r="U1026" t="s">
        <v>3699</v>
      </c>
    </row>
    <row r="1027" spans="1:21" x14ac:dyDescent="0.3">
      <c r="A1027" t="s">
        <v>2972</v>
      </c>
      <c r="B1027" t="s">
        <v>30</v>
      </c>
      <c r="C1027" t="s">
        <v>1435</v>
      </c>
      <c r="D1027" s="15">
        <v>1</v>
      </c>
      <c r="E1027" s="7">
        <v>178.25</v>
      </c>
      <c r="H1027">
        <v>201323</v>
      </c>
      <c r="I1027" t="s">
        <v>856</v>
      </c>
      <c r="J1027" t="s">
        <v>3045</v>
      </c>
      <c r="K1027" t="s">
        <v>3</v>
      </c>
      <c r="L1027" s="2">
        <v>43221</v>
      </c>
      <c r="M1027" s="2">
        <f>DHMXX[[#This Row],[INV DOC DATE]]+30</f>
        <v>43251</v>
      </c>
      <c r="N1027" s="2">
        <v>43251</v>
      </c>
      <c r="O1027" s="7">
        <v>178.25</v>
      </c>
      <c r="P1027" s="2">
        <v>43262</v>
      </c>
      <c r="Q1027" s="7">
        <f>$E1027-$O1027</f>
        <v>0</v>
      </c>
      <c r="R1027" s="7" t="str">
        <f ca="1">IF(TODAY() - DHMXX[INV DUE DATE]&lt;30, "Less than 30 days",IF(TODAY()-DHMXX[INV DUE DATE]&lt;60,"30-60 days","More than 60 days"))</f>
        <v>30-60 days</v>
      </c>
      <c r="S1027" t="s">
        <v>1550</v>
      </c>
      <c r="T1027" s="43" t="s">
        <v>2229</v>
      </c>
      <c r="U1027" t="s">
        <v>3699</v>
      </c>
    </row>
    <row r="1028" spans="1:21" x14ac:dyDescent="0.3">
      <c r="A1028" t="s">
        <v>2972</v>
      </c>
      <c r="B1028" t="s">
        <v>30</v>
      </c>
      <c r="C1028" t="s">
        <v>1436</v>
      </c>
      <c r="D1028" s="15">
        <v>1</v>
      </c>
      <c r="E1028" s="7">
        <v>178.25</v>
      </c>
      <c r="H1028">
        <v>201323</v>
      </c>
      <c r="I1028" t="s">
        <v>856</v>
      </c>
      <c r="J1028" t="s">
        <v>3046</v>
      </c>
      <c r="K1028" t="s">
        <v>3</v>
      </c>
      <c r="L1028" s="2">
        <v>43221</v>
      </c>
      <c r="M1028" s="2">
        <f>DHMXX[[#This Row],[INV DOC DATE]]+30</f>
        <v>43251</v>
      </c>
      <c r="N1028" s="2">
        <v>43251</v>
      </c>
      <c r="O1028" s="7">
        <v>178.25</v>
      </c>
      <c r="P1028" s="2">
        <v>43262</v>
      </c>
      <c r="Q1028" s="7">
        <f>$E1028-$O1028</f>
        <v>0</v>
      </c>
      <c r="R1028" s="7" t="str">
        <f ca="1">IF(TODAY() - DHMXX[INV DUE DATE]&lt;30, "Less than 30 days",IF(TODAY()-DHMXX[INV DUE DATE]&lt;60,"30-60 days","More than 60 days"))</f>
        <v>30-60 days</v>
      </c>
      <c r="S1028" t="s">
        <v>1550</v>
      </c>
      <c r="T1028" s="43" t="s">
        <v>2229</v>
      </c>
      <c r="U1028" t="s">
        <v>3699</v>
      </c>
    </row>
    <row r="1029" spans="1:21" x14ac:dyDescent="0.3">
      <c r="A1029" t="s">
        <v>2972</v>
      </c>
      <c r="B1029" t="s">
        <v>30</v>
      </c>
      <c r="C1029" t="s">
        <v>1437</v>
      </c>
      <c r="D1029" s="15">
        <v>1</v>
      </c>
      <c r="E1029" s="7">
        <v>178.25</v>
      </c>
      <c r="H1029">
        <v>201323</v>
      </c>
      <c r="I1029" t="s">
        <v>856</v>
      </c>
      <c r="J1029" t="s">
        <v>3047</v>
      </c>
      <c r="K1029" t="s">
        <v>3</v>
      </c>
      <c r="L1029" s="2">
        <v>43221</v>
      </c>
      <c r="M1029" s="2">
        <f>DHMXX[[#This Row],[INV DOC DATE]]+30</f>
        <v>43251</v>
      </c>
      <c r="N1029" s="2">
        <v>43251</v>
      </c>
      <c r="O1029" s="7">
        <v>178.25</v>
      </c>
      <c r="P1029" s="2">
        <v>43262</v>
      </c>
      <c r="Q1029" s="7">
        <f>$E1029-$O1029</f>
        <v>0</v>
      </c>
      <c r="R1029" s="7" t="str">
        <f ca="1">IF(TODAY() - DHMXX[INV DUE DATE]&lt;30, "Less than 30 days",IF(TODAY()-DHMXX[INV DUE DATE]&lt;60,"30-60 days","More than 60 days"))</f>
        <v>30-60 days</v>
      </c>
      <c r="S1029" t="s">
        <v>1550</v>
      </c>
      <c r="T1029" s="43" t="s">
        <v>2229</v>
      </c>
      <c r="U1029" t="s">
        <v>3699</v>
      </c>
    </row>
    <row r="1030" spans="1:21" x14ac:dyDescent="0.3">
      <c r="A1030" t="s">
        <v>2972</v>
      </c>
      <c r="B1030" t="s">
        <v>30</v>
      </c>
      <c r="C1030" t="s">
        <v>1438</v>
      </c>
      <c r="D1030" s="15">
        <v>1</v>
      </c>
      <c r="E1030" s="7">
        <v>178.25</v>
      </c>
      <c r="H1030">
        <v>201323</v>
      </c>
      <c r="I1030" t="s">
        <v>856</v>
      </c>
      <c r="J1030" t="s">
        <v>3048</v>
      </c>
      <c r="K1030" t="s">
        <v>3</v>
      </c>
      <c r="L1030" s="2">
        <v>43221</v>
      </c>
      <c r="M1030" s="2">
        <f>DHMXX[[#This Row],[INV DOC DATE]]+30</f>
        <v>43251</v>
      </c>
      <c r="N1030" s="2">
        <v>43251</v>
      </c>
      <c r="O1030" s="7">
        <v>178.25</v>
      </c>
      <c r="P1030" s="2">
        <v>43262</v>
      </c>
      <c r="Q1030" s="7">
        <f>$E1030-$O1030</f>
        <v>0</v>
      </c>
      <c r="R1030" s="7" t="str">
        <f ca="1">IF(TODAY() - DHMXX[INV DUE DATE]&lt;30, "Less than 30 days",IF(TODAY()-DHMXX[INV DUE DATE]&lt;60,"30-60 days","More than 60 days"))</f>
        <v>30-60 days</v>
      </c>
      <c r="S1030" t="s">
        <v>1550</v>
      </c>
      <c r="T1030" s="43" t="s">
        <v>2229</v>
      </c>
      <c r="U1030" t="s">
        <v>3699</v>
      </c>
    </row>
    <row r="1031" spans="1:21" x14ac:dyDescent="0.3">
      <c r="A1031" t="s">
        <v>2972</v>
      </c>
      <c r="B1031" t="s">
        <v>30</v>
      </c>
      <c r="C1031" t="s">
        <v>1439</v>
      </c>
      <c r="D1031" s="15">
        <v>1</v>
      </c>
      <c r="E1031" s="7">
        <v>178.25</v>
      </c>
      <c r="H1031">
        <v>201323</v>
      </c>
      <c r="I1031" t="s">
        <v>856</v>
      </c>
      <c r="J1031" t="s">
        <v>3049</v>
      </c>
      <c r="K1031" t="s">
        <v>3</v>
      </c>
      <c r="L1031" s="2">
        <v>43221</v>
      </c>
      <c r="M1031" s="2">
        <f>DHMXX[[#This Row],[INV DOC DATE]]+30</f>
        <v>43251</v>
      </c>
      <c r="N1031" s="2">
        <v>43251</v>
      </c>
      <c r="O1031" s="7">
        <v>178.25</v>
      </c>
      <c r="P1031" s="2">
        <v>43262</v>
      </c>
      <c r="Q1031" s="7">
        <f>$E1031-$O1031</f>
        <v>0</v>
      </c>
      <c r="R1031" s="7" t="str">
        <f ca="1">IF(TODAY() - DHMXX[INV DUE DATE]&lt;30, "Less than 30 days",IF(TODAY()-DHMXX[INV DUE DATE]&lt;60,"30-60 days","More than 60 days"))</f>
        <v>30-60 days</v>
      </c>
      <c r="S1031" t="s">
        <v>1550</v>
      </c>
      <c r="T1031" s="43" t="s">
        <v>2229</v>
      </c>
      <c r="U1031" t="s">
        <v>3699</v>
      </c>
    </row>
    <row r="1032" spans="1:21" x14ac:dyDescent="0.3">
      <c r="A1032" t="s">
        <v>2972</v>
      </c>
      <c r="B1032" t="s">
        <v>30</v>
      </c>
      <c r="C1032" t="s">
        <v>1440</v>
      </c>
      <c r="D1032" s="15">
        <v>1</v>
      </c>
      <c r="E1032" s="7">
        <v>178.25</v>
      </c>
      <c r="H1032">
        <v>201323</v>
      </c>
      <c r="I1032" t="s">
        <v>856</v>
      </c>
      <c r="J1032" t="s">
        <v>3050</v>
      </c>
      <c r="K1032" t="s">
        <v>3</v>
      </c>
      <c r="L1032" s="2">
        <v>43221</v>
      </c>
      <c r="M1032" s="2">
        <f>DHMXX[[#This Row],[INV DOC DATE]]+30</f>
        <v>43251</v>
      </c>
      <c r="N1032" s="2">
        <v>43251</v>
      </c>
      <c r="O1032" s="7">
        <v>178.25</v>
      </c>
      <c r="P1032" s="2">
        <v>43262</v>
      </c>
      <c r="Q1032" s="7">
        <f>$E1032-$O1032</f>
        <v>0</v>
      </c>
      <c r="R1032" s="7" t="str">
        <f ca="1">IF(TODAY() - DHMXX[INV DUE DATE]&lt;30, "Less than 30 days",IF(TODAY()-DHMXX[INV DUE DATE]&lt;60,"30-60 days","More than 60 days"))</f>
        <v>30-60 days</v>
      </c>
      <c r="S1032" t="s">
        <v>1550</v>
      </c>
      <c r="T1032" s="43" t="s">
        <v>2229</v>
      </c>
      <c r="U1032" t="s">
        <v>3699</v>
      </c>
    </row>
    <row r="1033" spans="1:21" x14ac:dyDescent="0.3">
      <c r="A1033" t="s">
        <v>2972</v>
      </c>
      <c r="B1033" t="s">
        <v>30</v>
      </c>
      <c r="C1033" t="s">
        <v>1441</v>
      </c>
      <c r="D1033" s="15">
        <v>1</v>
      </c>
      <c r="E1033" s="7">
        <v>178.25</v>
      </c>
      <c r="H1033">
        <v>201323</v>
      </c>
      <c r="I1033" t="s">
        <v>856</v>
      </c>
      <c r="J1033" t="s">
        <v>3051</v>
      </c>
      <c r="K1033" t="s">
        <v>3</v>
      </c>
      <c r="L1033" s="2">
        <v>43221</v>
      </c>
      <c r="M1033" s="2">
        <f>DHMXX[[#This Row],[INV DOC DATE]]+30</f>
        <v>43251</v>
      </c>
      <c r="N1033" s="2">
        <v>43251</v>
      </c>
      <c r="O1033" s="7">
        <v>178.25</v>
      </c>
      <c r="P1033" s="2">
        <v>43262</v>
      </c>
      <c r="Q1033" s="7">
        <f>$E1033-$O1033</f>
        <v>0</v>
      </c>
      <c r="R1033" s="7" t="str">
        <f ca="1">IF(TODAY() - DHMXX[INV DUE DATE]&lt;30, "Less than 30 days",IF(TODAY()-DHMXX[INV DUE DATE]&lt;60,"30-60 days","More than 60 days"))</f>
        <v>30-60 days</v>
      </c>
      <c r="S1033" t="s">
        <v>1550</v>
      </c>
      <c r="T1033" s="43" t="s">
        <v>2229</v>
      </c>
      <c r="U1033" t="s">
        <v>3699</v>
      </c>
    </row>
    <row r="1034" spans="1:21" x14ac:dyDescent="0.3">
      <c r="A1034" t="s">
        <v>2972</v>
      </c>
      <c r="B1034" t="s">
        <v>30</v>
      </c>
      <c r="C1034" t="s">
        <v>1442</v>
      </c>
      <c r="D1034" s="15">
        <v>1</v>
      </c>
      <c r="E1034" s="7">
        <v>178.25</v>
      </c>
      <c r="H1034">
        <v>201323</v>
      </c>
      <c r="I1034" t="s">
        <v>856</v>
      </c>
      <c r="J1034" t="s">
        <v>3052</v>
      </c>
      <c r="K1034" t="s">
        <v>3</v>
      </c>
      <c r="L1034" s="2">
        <v>43221</v>
      </c>
      <c r="M1034" s="2">
        <f>DHMXX[[#This Row],[INV DOC DATE]]+30</f>
        <v>43251</v>
      </c>
      <c r="N1034" s="2">
        <v>43251</v>
      </c>
      <c r="O1034" s="7">
        <v>178.25</v>
      </c>
      <c r="P1034" s="2">
        <v>43262</v>
      </c>
      <c r="Q1034" s="7">
        <f>$E1034-$O1034</f>
        <v>0</v>
      </c>
      <c r="R1034" s="7" t="str">
        <f ca="1">IF(TODAY() - DHMXX[INV DUE DATE]&lt;30, "Less than 30 days",IF(TODAY()-DHMXX[INV DUE DATE]&lt;60,"30-60 days","More than 60 days"))</f>
        <v>30-60 days</v>
      </c>
      <c r="S1034" t="s">
        <v>1550</v>
      </c>
      <c r="T1034" s="43" t="s">
        <v>2229</v>
      </c>
      <c r="U1034" t="s">
        <v>3699</v>
      </c>
    </row>
    <row r="1035" spans="1:21" x14ac:dyDescent="0.3">
      <c r="A1035" t="s">
        <v>2972</v>
      </c>
      <c r="B1035" t="s">
        <v>30</v>
      </c>
      <c r="C1035" t="s">
        <v>1443</v>
      </c>
      <c r="D1035" s="15">
        <v>1</v>
      </c>
      <c r="E1035" s="7">
        <v>178.25</v>
      </c>
      <c r="H1035">
        <v>201323</v>
      </c>
      <c r="I1035" t="s">
        <v>856</v>
      </c>
      <c r="J1035" t="s">
        <v>3053</v>
      </c>
      <c r="K1035" t="s">
        <v>3</v>
      </c>
      <c r="L1035" s="2">
        <v>43221</v>
      </c>
      <c r="M1035" s="2">
        <f>DHMXX[[#This Row],[INV DOC DATE]]+30</f>
        <v>43251</v>
      </c>
      <c r="N1035" s="2">
        <v>43251</v>
      </c>
      <c r="O1035" s="7">
        <v>178.25</v>
      </c>
      <c r="P1035" s="2">
        <v>43262</v>
      </c>
      <c r="Q1035" s="7">
        <f>$E1035-$O1035</f>
        <v>0</v>
      </c>
      <c r="R1035" s="7" t="str">
        <f ca="1">IF(TODAY() - DHMXX[INV DUE DATE]&lt;30, "Less than 30 days",IF(TODAY()-DHMXX[INV DUE DATE]&lt;60,"30-60 days","More than 60 days"))</f>
        <v>30-60 days</v>
      </c>
      <c r="S1035" t="s">
        <v>1550</v>
      </c>
      <c r="T1035" s="43" t="s">
        <v>2229</v>
      </c>
      <c r="U1035" t="s">
        <v>3699</v>
      </c>
    </row>
    <row r="1036" spans="1:21" x14ac:dyDescent="0.3">
      <c r="A1036" t="s">
        <v>2972</v>
      </c>
      <c r="B1036" t="s">
        <v>30</v>
      </c>
      <c r="C1036" t="s">
        <v>1444</v>
      </c>
      <c r="D1036" s="15">
        <v>1</v>
      </c>
      <c r="E1036" s="7">
        <v>178.25</v>
      </c>
      <c r="H1036">
        <v>201323</v>
      </c>
      <c r="I1036" t="s">
        <v>856</v>
      </c>
      <c r="J1036" t="s">
        <v>3054</v>
      </c>
      <c r="K1036" t="s">
        <v>3</v>
      </c>
      <c r="L1036" s="2">
        <v>43221</v>
      </c>
      <c r="M1036" s="2">
        <f>DHMXX[[#This Row],[INV DOC DATE]]+30</f>
        <v>43251</v>
      </c>
      <c r="N1036" s="2">
        <v>43251</v>
      </c>
      <c r="O1036" s="7">
        <v>178.25</v>
      </c>
      <c r="P1036" s="2">
        <v>43262</v>
      </c>
      <c r="Q1036" s="7">
        <f>$E1036-$O1036</f>
        <v>0</v>
      </c>
      <c r="R1036" s="7" t="str">
        <f ca="1">IF(TODAY() - DHMXX[INV DUE DATE]&lt;30, "Less than 30 days",IF(TODAY()-DHMXX[INV DUE DATE]&lt;60,"30-60 days","More than 60 days"))</f>
        <v>30-60 days</v>
      </c>
      <c r="S1036" t="s">
        <v>1550</v>
      </c>
      <c r="T1036" s="43" t="s">
        <v>2229</v>
      </c>
      <c r="U1036" t="s">
        <v>3699</v>
      </c>
    </row>
    <row r="1037" spans="1:21" x14ac:dyDescent="0.3">
      <c r="A1037" t="s">
        <v>2972</v>
      </c>
      <c r="B1037" t="s">
        <v>30</v>
      </c>
      <c r="C1037" t="s">
        <v>1540</v>
      </c>
      <c r="D1037" s="15">
        <v>2000</v>
      </c>
      <c r="E1037" s="7">
        <v>178.25</v>
      </c>
      <c r="H1037">
        <v>37912</v>
      </c>
      <c r="I1037" t="s">
        <v>362</v>
      </c>
      <c r="J1037" t="s">
        <v>3151</v>
      </c>
      <c r="K1037" t="s">
        <v>3</v>
      </c>
      <c r="L1037" s="2">
        <v>43221</v>
      </c>
      <c r="M1037" s="2">
        <f>DHMXX[[#This Row],[INV DOC DATE]]+30</f>
        <v>43251</v>
      </c>
      <c r="N1037" s="2">
        <v>43251</v>
      </c>
      <c r="O1037" s="7">
        <v>178.25</v>
      </c>
      <c r="P1037" s="2">
        <v>43262</v>
      </c>
      <c r="Q1037" s="7">
        <f>$E1037-$O1037</f>
        <v>0</v>
      </c>
      <c r="R1037" s="7" t="str">
        <f ca="1">IF(TODAY() - DHMXX[INV DUE DATE]&lt;30, "Less than 30 days",IF(TODAY()-DHMXX[INV DUE DATE]&lt;60,"30-60 days","More than 60 days"))</f>
        <v>30-60 days</v>
      </c>
      <c r="S1037" t="s">
        <v>1550</v>
      </c>
      <c r="T1037" s="43" t="s">
        <v>2229</v>
      </c>
      <c r="U1037" t="s">
        <v>3699</v>
      </c>
    </row>
    <row r="1038" spans="1:21" x14ac:dyDescent="0.3">
      <c r="A1038" t="s">
        <v>2972</v>
      </c>
      <c r="B1038" t="s">
        <v>30</v>
      </c>
      <c r="C1038" t="s">
        <v>1541</v>
      </c>
      <c r="D1038" s="15">
        <v>2000</v>
      </c>
      <c r="E1038" s="7">
        <v>178.25</v>
      </c>
      <c r="H1038">
        <v>37912</v>
      </c>
      <c r="I1038" t="s">
        <v>362</v>
      </c>
      <c r="J1038" t="s">
        <v>3152</v>
      </c>
      <c r="K1038" t="s">
        <v>3</v>
      </c>
      <c r="L1038" s="2">
        <v>43221</v>
      </c>
      <c r="M1038" s="2">
        <f>DHMXX[[#This Row],[INV DOC DATE]]+30</f>
        <v>43251</v>
      </c>
      <c r="N1038" s="2">
        <v>43251</v>
      </c>
      <c r="O1038" s="7">
        <v>178.25</v>
      </c>
      <c r="P1038" s="2">
        <v>43262</v>
      </c>
      <c r="Q1038" s="7">
        <f>$E1038-$O1038</f>
        <v>0</v>
      </c>
      <c r="R1038" s="7" t="str">
        <f ca="1">IF(TODAY() - DHMXX[INV DUE DATE]&lt;30, "Less than 30 days",IF(TODAY()-DHMXX[INV DUE DATE]&lt;60,"30-60 days","More than 60 days"))</f>
        <v>30-60 days</v>
      </c>
      <c r="S1038" t="s">
        <v>1550</v>
      </c>
      <c r="T1038" s="43" t="s">
        <v>2229</v>
      </c>
      <c r="U1038" t="s">
        <v>3699</v>
      </c>
    </row>
    <row r="1039" spans="1:21" x14ac:dyDescent="0.3">
      <c r="A1039" t="s">
        <v>2972</v>
      </c>
      <c r="B1039" t="s">
        <v>30</v>
      </c>
      <c r="C1039" t="s">
        <v>1542</v>
      </c>
      <c r="D1039" s="15">
        <v>2000</v>
      </c>
      <c r="E1039" s="7">
        <v>178.25</v>
      </c>
      <c r="H1039">
        <v>37912</v>
      </c>
      <c r="I1039" t="s">
        <v>362</v>
      </c>
      <c r="J1039" t="s">
        <v>3153</v>
      </c>
      <c r="K1039" t="s">
        <v>3</v>
      </c>
      <c r="L1039" s="2">
        <v>43221</v>
      </c>
      <c r="M1039" s="2">
        <f>DHMXX[[#This Row],[INV DOC DATE]]+30</f>
        <v>43251</v>
      </c>
      <c r="N1039" s="2">
        <v>43251</v>
      </c>
      <c r="O1039" s="7">
        <v>178.25</v>
      </c>
      <c r="P1039" s="2">
        <v>43262</v>
      </c>
      <c r="Q1039" s="7">
        <f>$E1039-$O1039</f>
        <v>0</v>
      </c>
      <c r="R1039" s="7" t="str">
        <f ca="1">IF(TODAY() - DHMXX[INV DUE DATE]&lt;30, "Less than 30 days",IF(TODAY()-DHMXX[INV DUE DATE]&lt;60,"30-60 days","More than 60 days"))</f>
        <v>30-60 days</v>
      </c>
      <c r="S1039" t="s">
        <v>1550</v>
      </c>
      <c r="T1039" s="43" t="s">
        <v>2229</v>
      </c>
      <c r="U1039" t="s">
        <v>3699</v>
      </c>
    </row>
    <row r="1040" spans="1:21" x14ac:dyDescent="0.3">
      <c r="A1040" t="s">
        <v>2972</v>
      </c>
      <c r="B1040" t="s">
        <v>30</v>
      </c>
      <c r="C1040" t="s">
        <v>1543</v>
      </c>
      <c r="D1040" s="15">
        <v>2000</v>
      </c>
      <c r="E1040" s="7">
        <v>178.25</v>
      </c>
      <c r="H1040">
        <v>37912</v>
      </c>
      <c r="I1040" t="s">
        <v>362</v>
      </c>
      <c r="J1040" t="s">
        <v>3154</v>
      </c>
      <c r="K1040" t="s">
        <v>3</v>
      </c>
      <c r="L1040" s="2">
        <v>43221</v>
      </c>
      <c r="M1040" s="2">
        <f>DHMXX[[#This Row],[INV DOC DATE]]+30</f>
        <v>43251</v>
      </c>
      <c r="N1040" s="2">
        <v>43251</v>
      </c>
      <c r="O1040" s="7">
        <v>178.25</v>
      </c>
      <c r="P1040" s="2">
        <v>43262</v>
      </c>
      <c r="Q1040" s="7">
        <f>$E1040-$O1040</f>
        <v>0</v>
      </c>
      <c r="R1040" s="7" t="str">
        <f ca="1">IF(TODAY() - DHMXX[INV DUE DATE]&lt;30, "Less than 30 days",IF(TODAY()-DHMXX[INV DUE DATE]&lt;60,"30-60 days","More than 60 days"))</f>
        <v>30-60 days</v>
      </c>
      <c r="S1040" t="s">
        <v>1550</v>
      </c>
      <c r="T1040" s="43" t="s">
        <v>2229</v>
      </c>
      <c r="U1040" t="s">
        <v>3699</v>
      </c>
    </row>
    <row r="1041" spans="1:21" x14ac:dyDescent="0.3">
      <c r="A1041" t="s">
        <v>2972</v>
      </c>
      <c r="B1041" t="s">
        <v>30</v>
      </c>
      <c r="C1041" t="s">
        <v>1544</v>
      </c>
      <c r="D1041" s="15">
        <v>2000</v>
      </c>
      <c r="E1041" s="7">
        <v>279</v>
      </c>
      <c r="H1041">
        <v>132622</v>
      </c>
      <c r="I1041" t="s">
        <v>832</v>
      </c>
      <c r="J1041" t="s">
        <v>3155</v>
      </c>
      <c r="K1041" t="s">
        <v>3</v>
      </c>
      <c r="L1041" s="2">
        <v>43221</v>
      </c>
      <c r="M1041" s="2">
        <f>DHMXX[[#This Row],[INV DOC DATE]]+30</f>
        <v>43251</v>
      </c>
      <c r="N1041" s="2">
        <v>43251</v>
      </c>
      <c r="O1041" s="7">
        <v>279</v>
      </c>
      <c r="P1041" s="2">
        <v>43262</v>
      </c>
      <c r="Q1041" s="7">
        <f>$E1041-$O1041</f>
        <v>0</v>
      </c>
      <c r="R1041" s="7" t="str">
        <f ca="1">IF(TODAY() - DHMXX[INV DUE DATE]&lt;30, "Less than 30 days",IF(TODAY()-DHMXX[INV DUE DATE]&lt;60,"30-60 days","More than 60 days"))</f>
        <v>30-60 days</v>
      </c>
      <c r="S1041" t="s">
        <v>1550</v>
      </c>
      <c r="T1041" s="43" t="s">
        <v>2229</v>
      </c>
      <c r="U1041" t="s">
        <v>3699</v>
      </c>
    </row>
    <row r="1042" spans="1:21" x14ac:dyDescent="0.3">
      <c r="A1042" t="s">
        <v>2972</v>
      </c>
      <c r="B1042" t="s">
        <v>30</v>
      </c>
      <c r="C1042" t="s">
        <v>1545</v>
      </c>
      <c r="D1042" s="15">
        <v>2000</v>
      </c>
      <c r="E1042" s="7">
        <v>496</v>
      </c>
      <c r="H1042">
        <v>132622</v>
      </c>
      <c r="I1042" t="s">
        <v>832</v>
      </c>
      <c r="J1042" t="s">
        <v>3156</v>
      </c>
      <c r="K1042" t="s">
        <v>3</v>
      </c>
      <c r="L1042" s="2">
        <v>43221</v>
      </c>
      <c r="M1042" s="2">
        <f>DHMXX[[#This Row],[INV DOC DATE]]+30</f>
        <v>43251</v>
      </c>
      <c r="N1042" s="2">
        <v>43251</v>
      </c>
      <c r="O1042" s="7">
        <v>496</v>
      </c>
      <c r="P1042" s="2">
        <v>43262</v>
      </c>
      <c r="Q1042" s="7">
        <f>$E1042-$O1042</f>
        <v>0</v>
      </c>
      <c r="R1042" s="7" t="str">
        <f ca="1">IF(TODAY() - DHMXX[INV DUE DATE]&lt;30, "Less than 30 days",IF(TODAY()-DHMXX[INV DUE DATE]&lt;60,"30-60 days","More than 60 days"))</f>
        <v>30-60 days</v>
      </c>
      <c r="S1042" t="s">
        <v>1550</v>
      </c>
      <c r="T1042" s="43" t="s">
        <v>2229</v>
      </c>
      <c r="U1042" t="s">
        <v>3699</v>
      </c>
    </row>
    <row r="1043" spans="1:21" x14ac:dyDescent="0.3">
      <c r="A1043" t="s">
        <v>2702</v>
      </c>
      <c r="B1043" t="s">
        <v>838</v>
      </c>
      <c r="C1043" t="s">
        <v>6</v>
      </c>
      <c r="D1043" s="15">
        <v>4007</v>
      </c>
      <c r="E1043" s="7">
        <v>178.25</v>
      </c>
      <c r="H1043">
        <v>165014</v>
      </c>
      <c r="I1043" t="s">
        <v>835</v>
      </c>
      <c r="J1043" t="s">
        <v>2703</v>
      </c>
      <c r="K1043" t="s">
        <v>3</v>
      </c>
      <c r="L1043" s="2">
        <v>43221</v>
      </c>
      <c r="M1043" s="2">
        <f>DHMXX[[#This Row],[INV DOC DATE]]+30</f>
        <v>43251</v>
      </c>
      <c r="N1043" s="2">
        <v>43251</v>
      </c>
      <c r="O1043" s="7">
        <v>178.25</v>
      </c>
      <c r="P1043" s="2">
        <v>43262</v>
      </c>
      <c r="Q1043" s="7">
        <f>$E1043-$O1043</f>
        <v>0</v>
      </c>
      <c r="R1043" s="7" t="str">
        <f ca="1">IF(TODAY() - DHMXX[INV DUE DATE]&lt;30, "Less than 30 days",IF(TODAY()-DHMXX[INV DUE DATE]&lt;60,"30-60 days","More than 60 days"))</f>
        <v>30-60 days</v>
      </c>
      <c r="S1043" t="s">
        <v>1550</v>
      </c>
      <c r="T1043" s="43" t="s">
        <v>2229</v>
      </c>
      <c r="U1043" t="s">
        <v>3699</v>
      </c>
    </row>
    <row r="1044" spans="1:21" x14ac:dyDescent="0.3">
      <c r="A1044" t="s">
        <v>2697</v>
      </c>
      <c r="B1044" t="s">
        <v>834</v>
      </c>
      <c r="C1044" t="s">
        <v>6</v>
      </c>
      <c r="D1044" s="15">
        <v>5001</v>
      </c>
      <c r="E1044" s="7">
        <v>496</v>
      </c>
      <c r="H1044">
        <v>117423</v>
      </c>
      <c r="I1044" t="s">
        <v>832</v>
      </c>
      <c r="J1044" t="s">
        <v>2698</v>
      </c>
      <c r="K1044" t="s">
        <v>3</v>
      </c>
      <c r="L1044" s="2">
        <v>43221</v>
      </c>
      <c r="M1044" s="2">
        <f>DHMXX[[#This Row],[INV DOC DATE]]+30</f>
        <v>43251</v>
      </c>
      <c r="N1044" s="2">
        <v>43251</v>
      </c>
      <c r="O1044" s="7">
        <v>279</v>
      </c>
      <c r="P1044" s="2">
        <v>43264</v>
      </c>
      <c r="Q1044" s="7">
        <f>$E1044-$O1044</f>
        <v>217</v>
      </c>
      <c r="R1044" s="7" t="str">
        <f ca="1">IF(TODAY() - DHMXX[INV DUE DATE]&lt;30, "Less than 30 days",IF(TODAY()-DHMXX[INV DUE DATE]&lt;60,"30-60 days","More than 60 days"))</f>
        <v>30-60 days</v>
      </c>
      <c r="S1044" t="s">
        <v>1550</v>
      </c>
      <c r="T1044" s="43" t="s">
        <v>2229</v>
      </c>
      <c r="U1044" t="s">
        <v>3699</v>
      </c>
    </row>
    <row r="1045" spans="1:21" x14ac:dyDescent="0.3">
      <c r="A1045" t="s">
        <v>2697</v>
      </c>
      <c r="B1045" t="s">
        <v>834</v>
      </c>
      <c r="C1045" t="s">
        <v>7</v>
      </c>
      <c r="D1045" s="15">
        <v>5001</v>
      </c>
      <c r="E1045" s="7">
        <v>496</v>
      </c>
      <c r="H1045">
        <v>117423</v>
      </c>
      <c r="I1045" t="s">
        <v>832</v>
      </c>
      <c r="J1045" t="s">
        <v>2699</v>
      </c>
      <c r="K1045" t="s">
        <v>3</v>
      </c>
      <c r="L1045" s="2">
        <v>43221</v>
      </c>
      <c r="M1045" s="2">
        <f>DHMXX[[#This Row],[INV DOC DATE]]+30</f>
        <v>43251</v>
      </c>
      <c r="N1045" s="2">
        <v>43251</v>
      </c>
      <c r="O1045" s="7">
        <v>279</v>
      </c>
      <c r="P1045" s="2">
        <v>43264</v>
      </c>
      <c r="Q1045" s="7">
        <f>$E1045-$O1045</f>
        <v>217</v>
      </c>
      <c r="R1045" s="7" t="str">
        <f ca="1">IF(TODAY() - DHMXX[INV DUE DATE]&lt;30, "Less than 30 days",IF(TODAY()-DHMXX[INV DUE DATE]&lt;60,"30-60 days","More than 60 days"))</f>
        <v>30-60 days</v>
      </c>
      <c r="S1045" t="s">
        <v>1550</v>
      </c>
      <c r="T1045" s="43" t="s">
        <v>2229</v>
      </c>
      <c r="U1045" t="s">
        <v>3699</v>
      </c>
    </row>
    <row r="1046" spans="1:21" x14ac:dyDescent="0.3">
      <c r="A1046" t="s">
        <v>2697</v>
      </c>
      <c r="B1046" t="s">
        <v>834</v>
      </c>
      <c r="C1046" t="s">
        <v>8</v>
      </c>
      <c r="D1046" s="15">
        <v>5001</v>
      </c>
      <c r="E1046" s="7">
        <v>279</v>
      </c>
      <c r="H1046">
        <v>117423</v>
      </c>
      <c r="I1046" t="s">
        <v>832</v>
      </c>
      <c r="J1046" t="s">
        <v>2700</v>
      </c>
      <c r="K1046" t="s">
        <v>3</v>
      </c>
      <c r="L1046" s="2">
        <v>43221</v>
      </c>
      <c r="M1046" s="2">
        <f>DHMXX[[#This Row],[INV DOC DATE]]+30</f>
        <v>43251</v>
      </c>
      <c r="N1046" s="2">
        <v>43251</v>
      </c>
      <c r="O1046" s="7">
        <v>496</v>
      </c>
      <c r="P1046" s="2">
        <v>43264</v>
      </c>
      <c r="Q1046" s="7">
        <f>$E1046-$O1046</f>
        <v>-217</v>
      </c>
      <c r="R1046" s="7" t="str">
        <f ca="1">IF(TODAY() - DHMXX[INV DUE DATE]&lt;30, "Less than 30 days",IF(TODAY()-DHMXX[INV DUE DATE]&lt;60,"30-60 days","More than 60 days"))</f>
        <v>30-60 days</v>
      </c>
      <c r="S1046" t="s">
        <v>1550</v>
      </c>
      <c r="T1046" s="43" t="s">
        <v>2229</v>
      </c>
      <c r="U1046" t="s">
        <v>3699</v>
      </c>
    </row>
    <row r="1047" spans="1:21" x14ac:dyDescent="0.3">
      <c r="A1047" t="s">
        <v>2697</v>
      </c>
      <c r="B1047" t="s">
        <v>834</v>
      </c>
      <c r="C1047" t="s">
        <v>9</v>
      </c>
      <c r="D1047" s="15">
        <v>5001</v>
      </c>
      <c r="E1047" s="7">
        <v>279</v>
      </c>
      <c r="H1047">
        <v>117423</v>
      </c>
      <c r="I1047" t="s">
        <v>832</v>
      </c>
      <c r="J1047" t="s">
        <v>2701</v>
      </c>
      <c r="K1047" t="s">
        <v>3</v>
      </c>
      <c r="L1047" s="2">
        <v>43221</v>
      </c>
      <c r="M1047" s="2">
        <f>DHMXX[[#This Row],[INV DOC DATE]]+30</f>
        <v>43251</v>
      </c>
      <c r="N1047" s="2">
        <v>43251</v>
      </c>
      <c r="O1047" s="7">
        <v>496</v>
      </c>
      <c r="P1047" s="2">
        <v>43264</v>
      </c>
      <c r="Q1047" s="7">
        <f>$E1047-$O1047</f>
        <v>-217</v>
      </c>
      <c r="R1047" s="7" t="str">
        <f ca="1">IF(TODAY() - DHMXX[INV DUE DATE]&lt;30, "Less than 30 days",IF(TODAY()-DHMXX[INV DUE DATE]&lt;60,"30-60 days","More than 60 days"))</f>
        <v>30-60 days</v>
      </c>
      <c r="S1047" t="s">
        <v>1550</v>
      </c>
      <c r="T1047" s="43" t="s">
        <v>2229</v>
      </c>
      <c r="U1047" t="s">
        <v>3699</v>
      </c>
    </row>
    <row r="1048" spans="1:21" x14ac:dyDescent="0.3">
      <c r="A1048" t="s">
        <v>3735</v>
      </c>
      <c r="B1048" t="s">
        <v>30</v>
      </c>
      <c r="C1048" t="s">
        <v>1441</v>
      </c>
      <c r="D1048" s="15">
        <v>16</v>
      </c>
      <c r="E1048" s="7">
        <v>7500</v>
      </c>
      <c r="H1048">
        <v>56656</v>
      </c>
      <c r="I1048" t="s">
        <v>861</v>
      </c>
      <c r="J1048" t="s">
        <v>3736</v>
      </c>
      <c r="K1048" t="s">
        <v>4140</v>
      </c>
      <c r="L1048" s="2">
        <v>43256</v>
      </c>
      <c r="M1048" s="2">
        <f>DHMXX[[#This Row],[INV DOC DATE]]+30</f>
        <v>43286</v>
      </c>
      <c r="N1048" s="2">
        <v>43279</v>
      </c>
      <c r="O1048" s="7">
        <v>7500</v>
      </c>
      <c r="P1048" s="2">
        <v>43290</v>
      </c>
      <c r="Q1048" s="7">
        <f>$E1048-$O1048</f>
        <v>0</v>
      </c>
      <c r="R1048" s="7" t="str">
        <f ca="1">IF(TODAY() - DHMXX[INV DUE DATE]&lt;30, "Less than 30 days",IF(TODAY()-DHMXX[INV DUE DATE]&lt;60,"30-60 days","More than 60 days"))</f>
        <v>Less than 30 days</v>
      </c>
      <c r="S1048" t="s">
        <v>1550</v>
      </c>
      <c r="T1048" s="43" t="s">
        <v>2229</v>
      </c>
      <c r="U1048" t="s">
        <v>137</v>
      </c>
    </row>
    <row r="1049" spans="1:21" x14ac:dyDescent="0.3">
      <c r="A1049" t="s">
        <v>4137</v>
      </c>
      <c r="B1049" t="s">
        <v>30</v>
      </c>
      <c r="C1049" t="s">
        <v>6</v>
      </c>
      <c r="D1049" s="15">
        <v>1</v>
      </c>
      <c r="E1049" s="7">
        <v>172.5</v>
      </c>
      <c r="H1049">
        <v>1274</v>
      </c>
      <c r="I1049" t="s">
        <v>350</v>
      </c>
      <c r="J1049" t="s">
        <v>2726</v>
      </c>
      <c r="K1049" t="s">
        <v>3</v>
      </c>
      <c r="L1049" s="2">
        <v>43252</v>
      </c>
      <c r="M1049" s="2">
        <f>DHMXX[[#This Row],[INV DOC DATE]]+30</f>
        <v>43282</v>
      </c>
      <c r="N1049" s="2">
        <v>43279</v>
      </c>
      <c r="O1049" s="7">
        <v>172.5</v>
      </c>
      <c r="P1049" s="2">
        <v>43290</v>
      </c>
      <c r="Q1049" s="7">
        <f>$E1049-$O1049</f>
        <v>0</v>
      </c>
      <c r="R1049" s="7" t="str">
        <f ca="1">IF(TODAY() - DHMXX[INV DUE DATE]&lt;30, "Less than 30 days",IF(TODAY()-DHMXX[INV DUE DATE]&lt;60,"30-60 days","More than 60 days"))</f>
        <v>Less than 30 days</v>
      </c>
      <c r="S1049" t="s">
        <v>1550</v>
      </c>
      <c r="T1049" s="43" t="s">
        <v>2229</v>
      </c>
      <c r="U1049" t="s">
        <v>3699</v>
      </c>
    </row>
    <row r="1050" spans="1:21" x14ac:dyDescent="0.3">
      <c r="A1050" t="s">
        <v>4137</v>
      </c>
      <c r="B1050" t="s">
        <v>30</v>
      </c>
      <c r="C1050" t="s">
        <v>7</v>
      </c>
      <c r="D1050" s="15">
        <v>1</v>
      </c>
      <c r="E1050" s="7">
        <v>172.5</v>
      </c>
      <c r="H1050">
        <v>1274</v>
      </c>
      <c r="I1050" t="s">
        <v>350</v>
      </c>
      <c r="J1050" t="s">
        <v>2727</v>
      </c>
      <c r="K1050" t="s">
        <v>3</v>
      </c>
      <c r="L1050" s="2">
        <v>43252</v>
      </c>
      <c r="M1050" s="2">
        <f>DHMXX[[#This Row],[INV DOC DATE]]+30</f>
        <v>43282</v>
      </c>
      <c r="N1050" s="2">
        <v>43279</v>
      </c>
      <c r="O1050" s="7">
        <v>172.5</v>
      </c>
      <c r="P1050" s="2">
        <v>43290</v>
      </c>
      <c r="Q1050" s="7">
        <f>$E1050-$O1050</f>
        <v>0</v>
      </c>
      <c r="R1050" s="7" t="str">
        <f ca="1">IF(TODAY() - DHMXX[INV DUE DATE]&lt;30, "Less than 30 days",IF(TODAY()-DHMXX[INV DUE DATE]&lt;60,"30-60 days","More than 60 days"))</f>
        <v>Less than 30 days</v>
      </c>
      <c r="S1050" t="s">
        <v>1550</v>
      </c>
      <c r="T1050" s="43" t="s">
        <v>2229</v>
      </c>
      <c r="U1050" t="s">
        <v>3699</v>
      </c>
    </row>
    <row r="1051" spans="1:21" x14ac:dyDescent="0.3">
      <c r="A1051" t="s">
        <v>4137</v>
      </c>
      <c r="B1051" t="s">
        <v>30</v>
      </c>
      <c r="C1051" t="s">
        <v>8</v>
      </c>
      <c r="D1051" s="15">
        <v>1</v>
      </c>
      <c r="E1051" s="7">
        <v>172.5</v>
      </c>
      <c r="H1051">
        <v>1274</v>
      </c>
      <c r="I1051" t="s">
        <v>350</v>
      </c>
      <c r="J1051" t="s">
        <v>2725</v>
      </c>
      <c r="K1051" t="s">
        <v>3</v>
      </c>
      <c r="L1051" s="2">
        <v>43252</v>
      </c>
      <c r="M1051" s="2">
        <f>DHMXX[[#This Row],[INV DOC DATE]]+30</f>
        <v>43282</v>
      </c>
      <c r="N1051" s="2">
        <v>43279</v>
      </c>
      <c r="O1051" s="7">
        <v>172.5</v>
      </c>
      <c r="P1051" s="2">
        <v>43290</v>
      </c>
      <c r="Q1051" s="7">
        <f>$E1051-$O1051</f>
        <v>0</v>
      </c>
      <c r="R1051" s="7" t="str">
        <f ca="1">IF(TODAY() - DHMXX[INV DUE DATE]&lt;30, "Less than 30 days",IF(TODAY()-DHMXX[INV DUE DATE]&lt;60,"30-60 days","More than 60 days"))</f>
        <v>Less than 30 days</v>
      </c>
      <c r="S1051" t="s">
        <v>1550</v>
      </c>
      <c r="T1051" s="43" t="s">
        <v>2229</v>
      </c>
      <c r="U1051" t="s">
        <v>3699</v>
      </c>
    </row>
    <row r="1052" spans="1:21" x14ac:dyDescent="0.3">
      <c r="A1052" t="s">
        <v>4137</v>
      </c>
      <c r="B1052" t="s">
        <v>30</v>
      </c>
      <c r="C1052" t="s">
        <v>9</v>
      </c>
      <c r="D1052" s="15">
        <v>1</v>
      </c>
      <c r="E1052" s="7">
        <v>172.5</v>
      </c>
      <c r="H1052">
        <v>1274</v>
      </c>
      <c r="I1052" t="s">
        <v>350</v>
      </c>
      <c r="J1052" t="s">
        <v>2733</v>
      </c>
      <c r="K1052" t="s">
        <v>3</v>
      </c>
      <c r="L1052" s="2">
        <v>43252</v>
      </c>
      <c r="M1052" s="2">
        <f>DHMXX[[#This Row],[INV DOC DATE]]+30</f>
        <v>43282</v>
      </c>
      <c r="N1052" s="2">
        <v>43279</v>
      </c>
      <c r="O1052" s="7">
        <v>172.5</v>
      </c>
      <c r="P1052" s="2">
        <v>43290</v>
      </c>
      <c r="Q1052" s="7">
        <f>$E1052-$O1052</f>
        <v>0</v>
      </c>
      <c r="R1052" s="7" t="str">
        <f ca="1">IF(TODAY() - DHMXX[INV DUE DATE]&lt;30, "Less than 30 days",IF(TODAY()-DHMXX[INV DUE DATE]&lt;60,"30-60 days","More than 60 days"))</f>
        <v>Less than 30 days</v>
      </c>
      <c r="S1052" t="s">
        <v>1550</v>
      </c>
      <c r="T1052" s="43" t="s">
        <v>2229</v>
      </c>
      <c r="U1052" t="s">
        <v>3699</v>
      </c>
    </row>
    <row r="1053" spans="1:21" x14ac:dyDescent="0.3">
      <c r="A1053" t="s">
        <v>4137</v>
      </c>
      <c r="B1053" t="s">
        <v>30</v>
      </c>
      <c r="C1053" t="s">
        <v>10</v>
      </c>
      <c r="D1053" s="15">
        <v>1</v>
      </c>
      <c r="E1053" s="7">
        <v>172.5</v>
      </c>
      <c r="H1053">
        <v>1274</v>
      </c>
      <c r="I1053" t="s">
        <v>350</v>
      </c>
      <c r="J1053" t="s">
        <v>2734</v>
      </c>
      <c r="K1053" t="s">
        <v>3</v>
      </c>
      <c r="L1053" s="2">
        <v>43252</v>
      </c>
      <c r="M1053" s="2">
        <f>DHMXX[[#This Row],[INV DOC DATE]]+30</f>
        <v>43282</v>
      </c>
      <c r="N1053" s="2">
        <v>43279</v>
      </c>
      <c r="O1053" s="7">
        <v>172.5</v>
      </c>
      <c r="P1053" s="2">
        <v>43290</v>
      </c>
      <c r="Q1053" s="7">
        <f>$E1053-$O1053</f>
        <v>0</v>
      </c>
      <c r="R1053" s="7" t="str">
        <f ca="1">IF(TODAY() - DHMXX[INV DUE DATE]&lt;30, "Less than 30 days",IF(TODAY()-DHMXX[INV DUE DATE]&lt;60,"30-60 days","More than 60 days"))</f>
        <v>Less than 30 days</v>
      </c>
      <c r="S1053" t="s">
        <v>1550</v>
      </c>
      <c r="T1053" s="43" t="s">
        <v>2229</v>
      </c>
      <c r="U1053" t="s">
        <v>3699</v>
      </c>
    </row>
    <row r="1054" spans="1:21" x14ac:dyDescent="0.3">
      <c r="A1054" t="s">
        <v>4137</v>
      </c>
      <c r="B1054" t="s">
        <v>30</v>
      </c>
      <c r="C1054" t="s">
        <v>11</v>
      </c>
      <c r="D1054" s="15">
        <v>1</v>
      </c>
      <c r="E1054" s="7">
        <v>172.5</v>
      </c>
      <c r="H1054">
        <v>1274</v>
      </c>
      <c r="I1054" t="s">
        <v>350</v>
      </c>
      <c r="J1054" t="s">
        <v>2728</v>
      </c>
      <c r="K1054" t="s">
        <v>3</v>
      </c>
      <c r="L1054" s="2">
        <v>43252</v>
      </c>
      <c r="M1054" s="2">
        <f>DHMXX[[#This Row],[INV DOC DATE]]+30</f>
        <v>43282</v>
      </c>
      <c r="N1054" s="2">
        <v>43279</v>
      </c>
      <c r="O1054" s="7">
        <v>172.5</v>
      </c>
      <c r="P1054" s="2">
        <v>43290</v>
      </c>
      <c r="Q1054" s="7">
        <f>$E1054-$O1054</f>
        <v>0</v>
      </c>
      <c r="R1054" s="7" t="str">
        <f ca="1">IF(TODAY() - DHMXX[INV DUE DATE]&lt;30, "Less than 30 days",IF(TODAY()-DHMXX[INV DUE DATE]&lt;60,"30-60 days","More than 60 days"))</f>
        <v>Less than 30 days</v>
      </c>
      <c r="S1054" t="s">
        <v>1550</v>
      </c>
      <c r="T1054" s="43" t="s">
        <v>2229</v>
      </c>
      <c r="U1054" t="s">
        <v>3699</v>
      </c>
    </row>
    <row r="1055" spans="1:21" x14ac:dyDescent="0.3">
      <c r="A1055" t="s">
        <v>4137</v>
      </c>
      <c r="B1055" t="s">
        <v>30</v>
      </c>
      <c r="C1055" t="s">
        <v>12</v>
      </c>
      <c r="D1055" s="15">
        <v>1</v>
      </c>
      <c r="E1055" s="7">
        <v>172.5</v>
      </c>
      <c r="H1055">
        <v>1274</v>
      </c>
      <c r="I1055" t="s">
        <v>350</v>
      </c>
      <c r="J1055" t="s">
        <v>2705</v>
      </c>
      <c r="K1055" t="s">
        <v>3</v>
      </c>
      <c r="L1055" s="2">
        <v>43252</v>
      </c>
      <c r="M1055" s="2">
        <f>DHMXX[[#This Row],[INV DOC DATE]]+30</f>
        <v>43282</v>
      </c>
      <c r="N1055" s="2">
        <v>43279</v>
      </c>
      <c r="O1055" s="7">
        <v>172.5</v>
      </c>
      <c r="P1055" s="2">
        <v>43290</v>
      </c>
      <c r="Q1055" s="7">
        <f>$E1055-$O1055</f>
        <v>0</v>
      </c>
      <c r="R1055" s="7" t="str">
        <f ca="1">IF(TODAY() - DHMXX[INV DUE DATE]&lt;30, "Less than 30 days",IF(TODAY()-DHMXX[INV DUE DATE]&lt;60,"30-60 days","More than 60 days"))</f>
        <v>Less than 30 days</v>
      </c>
      <c r="S1055" t="s">
        <v>1550</v>
      </c>
      <c r="T1055" s="43" t="s">
        <v>2229</v>
      </c>
      <c r="U1055" t="s">
        <v>3699</v>
      </c>
    </row>
    <row r="1056" spans="1:21" x14ac:dyDescent="0.3">
      <c r="A1056" t="s">
        <v>4137</v>
      </c>
      <c r="B1056" t="s">
        <v>30</v>
      </c>
      <c r="C1056" t="s">
        <v>13</v>
      </c>
      <c r="D1056" s="15">
        <v>1</v>
      </c>
      <c r="E1056" s="7">
        <v>172.5</v>
      </c>
      <c r="H1056">
        <v>1274</v>
      </c>
      <c r="I1056" t="s">
        <v>350</v>
      </c>
      <c r="J1056" t="s">
        <v>2706</v>
      </c>
      <c r="K1056" t="s">
        <v>3</v>
      </c>
      <c r="L1056" s="2">
        <v>43252</v>
      </c>
      <c r="M1056" s="2">
        <f>DHMXX[[#This Row],[INV DOC DATE]]+30</f>
        <v>43282</v>
      </c>
      <c r="N1056" s="2">
        <v>43279</v>
      </c>
      <c r="O1056" s="7">
        <v>172.5</v>
      </c>
      <c r="P1056" s="2">
        <v>43290</v>
      </c>
      <c r="Q1056" s="7">
        <f>$E1056-$O1056</f>
        <v>0</v>
      </c>
      <c r="R1056" s="7" t="str">
        <f ca="1">IF(TODAY() - DHMXX[INV DUE DATE]&lt;30, "Less than 30 days",IF(TODAY()-DHMXX[INV DUE DATE]&lt;60,"30-60 days","More than 60 days"))</f>
        <v>Less than 30 days</v>
      </c>
      <c r="S1056" t="s">
        <v>1550</v>
      </c>
      <c r="T1056" s="43" t="s">
        <v>2229</v>
      </c>
      <c r="U1056" t="s">
        <v>3699</v>
      </c>
    </row>
    <row r="1057" spans="1:21" x14ac:dyDescent="0.3">
      <c r="A1057" t="s">
        <v>4137</v>
      </c>
      <c r="B1057" t="s">
        <v>30</v>
      </c>
      <c r="C1057" t="s">
        <v>14</v>
      </c>
      <c r="D1057" s="15">
        <v>1</v>
      </c>
      <c r="E1057" s="7">
        <v>172.5</v>
      </c>
      <c r="H1057">
        <v>1274</v>
      </c>
      <c r="I1057" t="s">
        <v>350</v>
      </c>
      <c r="J1057" t="s">
        <v>2707</v>
      </c>
      <c r="K1057" t="s">
        <v>3</v>
      </c>
      <c r="L1057" s="2">
        <v>43252</v>
      </c>
      <c r="M1057" s="2">
        <f>DHMXX[[#This Row],[INV DOC DATE]]+30</f>
        <v>43282</v>
      </c>
      <c r="N1057" s="2">
        <v>43279</v>
      </c>
      <c r="O1057" s="7">
        <v>172.5</v>
      </c>
      <c r="P1057" s="2">
        <v>43290</v>
      </c>
      <c r="Q1057" s="7">
        <f>$E1057-$O1057</f>
        <v>0</v>
      </c>
      <c r="R1057" s="7" t="str">
        <f ca="1">IF(TODAY() - DHMXX[INV DUE DATE]&lt;30, "Less than 30 days",IF(TODAY()-DHMXX[INV DUE DATE]&lt;60,"30-60 days","More than 60 days"))</f>
        <v>Less than 30 days</v>
      </c>
      <c r="S1057" t="s">
        <v>1550</v>
      </c>
      <c r="T1057" s="43" t="s">
        <v>2229</v>
      </c>
      <c r="U1057" t="s">
        <v>3699</v>
      </c>
    </row>
    <row r="1058" spans="1:21" x14ac:dyDescent="0.3">
      <c r="A1058" t="s">
        <v>4137</v>
      </c>
      <c r="B1058" t="s">
        <v>30</v>
      </c>
      <c r="C1058" t="s">
        <v>15</v>
      </c>
      <c r="D1058" s="15">
        <v>1</v>
      </c>
      <c r="E1058" s="7">
        <v>172.5</v>
      </c>
      <c r="H1058">
        <v>1274</v>
      </c>
      <c r="I1058" t="s">
        <v>350</v>
      </c>
      <c r="J1058" t="s">
        <v>2708</v>
      </c>
      <c r="K1058" t="s">
        <v>3</v>
      </c>
      <c r="L1058" s="2">
        <v>43252</v>
      </c>
      <c r="M1058" s="2">
        <f>DHMXX[[#This Row],[INV DOC DATE]]+30</f>
        <v>43282</v>
      </c>
      <c r="N1058" s="2">
        <v>43279</v>
      </c>
      <c r="O1058" s="7">
        <v>172.5</v>
      </c>
      <c r="P1058" s="2">
        <v>43290</v>
      </c>
      <c r="Q1058" s="7">
        <f>$E1058-$O1058</f>
        <v>0</v>
      </c>
      <c r="R1058" s="7" t="str">
        <f ca="1">IF(TODAY() - DHMXX[INV DUE DATE]&lt;30, "Less than 30 days",IF(TODAY()-DHMXX[INV DUE DATE]&lt;60,"30-60 days","More than 60 days"))</f>
        <v>Less than 30 days</v>
      </c>
      <c r="S1058" t="s">
        <v>1550</v>
      </c>
      <c r="T1058" s="43" t="s">
        <v>2229</v>
      </c>
      <c r="U1058" t="s">
        <v>3699</v>
      </c>
    </row>
    <row r="1059" spans="1:21" x14ac:dyDescent="0.3">
      <c r="A1059" t="s">
        <v>4137</v>
      </c>
      <c r="B1059" t="s">
        <v>30</v>
      </c>
      <c r="C1059" t="s">
        <v>16</v>
      </c>
      <c r="D1059" s="15">
        <v>1</v>
      </c>
      <c r="E1059" s="7">
        <v>172.5</v>
      </c>
      <c r="H1059">
        <v>1274</v>
      </c>
      <c r="I1059" t="s">
        <v>350</v>
      </c>
      <c r="J1059" t="s">
        <v>2709</v>
      </c>
      <c r="K1059" t="s">
        <v>3</v>
      </c>
      <c r="L1059" s="2">
        <v>43252</v>
      </c>
      <c r="M1059" s="2">
        <f>DHMXX[[#This Row],[INV DOC DATE]]+30</f>
        <v>43282</v>
      </c>
      <c r="N1059" s="2">
        <v>43279</v>
      </c>
      <c r="O1059" s="7">
        <v>172.5</v>
      </c>
      <c r="P1059" s="2">
        <v>43290</v>
      </c>
      <c r="Q1059" s="7">
        <f>$E1059-$O1059</f>
        <v>0</v>
      </c>
      <c r="R1059" s="7" t="str">
        <f ca="1">IF(TODAY() - DHMXX[INV DUE DATE]&lt;30, "Less than 30 days",IF(TODAY()-DHMXX[INV DUE DATE]&lt;60,"30-60 days","More than 60 days"))</f>
        <v>Less than 30 days</v>
      </c>
      <c r="S1059" t="s">
        <v>1550</v>
      </c>
      <c r="T1059" s="43" t="s">
        <v>2229</v>
      </c>
      <c r="U1059" t="s">
        <v>3699</v>
      </c>
    </row>
    <row r="1060" spans="1:21" x14ac:dyDescent="0.3">
      <c r="A1060" t="s">
        <v>4137</v>
      </c>
      <c r="B1060" t="s">
        <v>30</v>
      </c>
      <c r="C1060" t="s">
        <v>17</v>
      </c>
      <c r="D1060" s="15">
        <v>1</v>
      </c>
      <c r="E1060" s="7">
        <v>172.5</v>
      </c>
      <c r="H1060">
        <v>1274</v>
      </c>
      <c r="I1060" t="s">
        <v>350</v>
      </c>
      <c r="J1060" t="s">
        <v>2710</v>
      </c>
      <c r="K1060" t="s">
        <v>3</v>
      </c>
      <c r="L1060" s="2">
        <v>43252</v>
      </c>
      <c r="M1060" s="2">
        <f>DHMXX[[#This Row],[INV DOC DATE]]+30</f>
        <v>43282</v>
      </c>
      <c r="N1060" s="2">
        <v>43279</v>
      </c>
      <c r="O1060" s="7">
        <v>172.5</v>
      </c>
      <c r="P1060" s="2">
        <v>43290</v>
      </c>
      <c r="Q1060" s="7">
        <f>$E1060-$O1060</f>
        <v>0</v>
      </c>
      <c r="R1060" s="7" t="str">
        <f ca="1">IF(TODAY() - DHMXX[INV DUE DATE]&lt;30, "Less than 30 days",IF(TODAY()-DHMXX[INV DUE DATE]&lt;60,"30-60 days","More than 60 days"))</f>
        <v>Less than 30 days</v>
      </c>
      <c r="S1060" t="s">
        <v>1550</v>
      </c>
      <c r="T1060" s="43" t="s">
        <v>2229</v>
      </c>
      <c r="U1060" t="s">
        <v>3699</v>
      </c>
    </row>
    <row r="1061" spans="1:21" x14ac:dyDescent="0.3">
      <c r="A1061" t="s">
        <v>4137</v>
      </c>
      <c r="B1061" t="s">
        <v>30</v>
      </c>
      <c r="C1061" t="s">
        <v>18</v>
      </c>
      <c r="D1061" s="15">
        <v>1</v>
      </c>
      <c r="E1061" s="7">
        <v>172.5</v>
      </c>
      <c r="H1061">
        <v>1274</v>
      </c>
      <c r="I1061" t="s">
        <v>350</v>
      </c>
      <c r="J1061" t="s">
        <v>2711</v>
      </c>
      <c r="K1061" t="s">
        <v>3</v>
      </c>
      <c r="L1061" s="2">
        <v>43252</v>
      </c>
      <c r="M1061" s="2">
        <f>DHMXX[[#This Row],[INV DOC DATE]]+30</f>
        <v>43282</v>
      </c>
      <c r="N1061" s="2">
        <v>43279</v>
      </c>
      <c r="O1061" s="7">
        <v>172.5</v>
      </c>
      <c r="P1061" s="2">
        <v>43290</v>
      </c>
      <c r="Q1061" s="7">
        <f>$E1061-$O1061</f>
        <v>0</v>
      </c>
      <c r="R1061" s="7" t="str">
        <f ca="1">IF(TODAY() - DHMXX[INV DUE DATE]&lt;30, "Less than 30 days",IF(TODAY()-DHMXX[INV DUE DATE]&lt;60,"30-60 days","More than 60 days"))</f>
        <v>Less than 30 days</v>
      </c>
      <c r="S1061" t="s">
        <v>1550</v>
      </c>
      <c r="T1061" s="43" t="s">
        <v>2229</v>
      </c>
      <c r="U1061" t="s">
        <v>3699</v>
      </c>
    </row>
    <row r="1062" spans="1:21" x14ac:dyDescent="0.3">
      <c r="A1062" t="s">
        <v>4137</v>
      </c>
      <c r="B1062" t="s">
        <v>30</v>
      </c>
      <c r="C1062" t="s">
        <v>19</v>
      </c>
      <c r="D1062" s="15">
        <v>1</v>
      </c>
      <c r="E1062" s="7">
        <v>172.5</v>
      </c>
      <c r="H1062">
        <v>1274</v>
      </c>
      <c r="I1062" t="s">
        <v>350</v>
      </c>
      <c r="J1062" t="s">
        <v>2712</v>
      </c>
      <c r="K1062" t="s">
        <v>3</v>
      </c>
      <c r="L1062" s="2">
        <v>43252</v>
      </c>
      <c r="M1062" s="2">
        <f>DHMXX[[#This Row],[INV DOC DATE]]+30</f>
        <v>43282</v>
      </c>
      <c r="N1062" s="2">
        <v>43279</v>
      </c>
      <c r="O1062" s="7">
        <v>172.5</v>
      </c>
      <c r="P1062" s="2">
        <v>43290</v>
      </c>
      <c r="Q1062" s="7">
        <f>$E1062-$O1062</f>
        <v>0</v>
      </c>
      <c r="R1062" s="7" t="str">
        <f ca="1">IF(TODAY() - DHMXX[INV DUE DATE]&lt;30, "Less than 30 days",IF(TODAY()-DHMXX[INV DUE DATE]&lt;60,"30-60 days","More than 60 days"))</f>
        <v>Less than 30 days</v>
      </c>
      <c r="S1062" t="s">
        <v>1550</v>
      </c>
      <c r="T1062" s="43" t="s">
        <v>2229</v>
      </c>
      <c r="U1062" t="s">
        <v>3699</v>
      </c>
    </row>
    <row r="1063" spans="1:21" x14ac:dyDescent="0.3">
      <c r="A1063" t="s">
        <v>4137</v>
      </c>
      <c r="B1063" t="s">
        <v>30</v>
      </c>
      <c r="C1063" t="s">
        <v>20</v>
      </c>
      <c r="D1063" s="15">
        <v>1</v>
      </c>
      <c r="E1063" s="7">
        <v>172.5</v>
      </c>
      <c r="H1063">
        <v>1274</v>
      </c>
      <c r="I1063" t="s">
        <v>350</v>
      </c>
      <c r="J1063" t="s">
        <v>2724</v>
      </c>
      <c r="K1063" t="s">
        <v>3</v>
      </c>
      <c r="L1063" s="2">
        <v>43252</v>
      </c>
      <c r="M1063" s="2">
        <f>DHMXX[[#This Row],[INV DOC DATE]]+30</f>
        <v>43282</v>
      </c>
      <c r="N1063" s="2">
        <v>43279</v>
      </c>
      <c r="O1063" s="7">
        <v>172.5</v>
      </c>
      <c r="P1063" s="2">
        <v>43290</v>
      </c>
      <c r="Q1063" s="7">
        <f>$E1063-$O1063</f>
        <v>0</v>
      </c>
      <c r="R1063" s="7" t="str">
        <f ca="1">IF(TODAY() - DHMXX[INV DUE DATE]&lt;30, "Less than 30 days",IF(TODAY()-DHMXX[INV DUE DATE]&lt;60,"30-60 days","More than 60 days"))</f>
        <v>Less than 30 days</v>
      </c>
      <c r="S1063" t="s">
        <v>1550</v>
      </c>
      <c r="T1063" s="43" t="s">
        <v>2229</v>
      </c>
      <c r="U1063" t="s">
        <v>3699</v>
      </c>
    </row>
    <row r="1064" spans="1:21" x14ac:dyDescent="0.3">
      <c r="A1064" t="s">
        <v>4137</v>
      </c>
      <c r="B1064" t="s">
        <v>30</v>
      </c>
      <c r="C1064" t="s">
        <v>21</v>
      </c>
      <c r="D1064" s="15">
        <v>1</v>
      </c>
      <c r="E1064" s="7">
        <v>172.5</v>
      </c>
      <c r="H1064">
        <v>1274</v>
      </c>
      <c r="I1064" t="s">
        <v>350</v>
      </c>
      <c r="J1064" t="s">
        <v>2713</v>
      </c>
      <c r="K1064" t="s">
        <v>3</v>
      </c>
      <c r="L1064" s="2">
        <v>43252</v>
      </c>
      <c r="M1064" s="2">
        <f>DHMXX[[#This Row],[INV DOC DATE]]+30</f>
        <v>43282</v>
      </c>
      <c r="N1064" s="2">
        <v>43279</v>
      </c>
      <c r="O1064" s="7">
        <v>172.5</v>
      </c>
      <c r="P1064" s="2">
        <v>43290</v>
      </c>
      <c r="Q1064" s="7">
        <f>$E1064-$O1064</f>
        <v>0</v>
      </c>
      <c r="R1064" s="7" t="str">
        <f ca="1">IF(TODAY() - DHMXX[INV DUE DATE]&lt;30, "Less than 30 days",IF(TODAY()-DHMXX[INV DUE DATE]&lt;60,"30-60 days","More than 60 days"))</f>
        <v>Less than 30 days</v>
      </c>
      <c r="S1064" t="s">
        <v>1550</v>
      </c>
      <c r="T1064" s="43" t="s">
        <v>2229</v>
      </c>
      <c r="U1064" t="s">
        <v>3699</v>
      </c>
    </row>
    <row r="1065" spans="1:21" x14ac:dyDescent="0.3">
      <c r="A1065" t="s">
        <v>4137</v>
      </c>
      <c r="B1065" t="s">
        <v>30</v>
      </c>
      <c r="C1065" t="s">
        <v>22</v>
      </c>
      <c r="D1065" s="15">
        <v>1</v>
      </c>
      <c r="E1065" s="7">
        <v>172.5</v>
      </c>
      <c r="H1065">
        <v>1274</v>
      </c>
      <c r="I1065" t="s">
        <v>350</v>
      </c>
      <c r="J1065" t="s">
        <v>2714</v>
      </c>
      <c r="K1065" t="s">
        <v>3</v>
      </c>
      <c r="L1065" s="2">
        <v>43252</v>
      </c>
      <c r="M1065" s="2">
        <f>DHMXX[[#This Row],[INV DOC DATE]]+30</f>
        <v>43282</v>
      </c>
      <c r="N1065" s="2">
        <v>43279</v>
      </c>
      <c r="O1065" s="7">
        <v>172.5</v>
      </c>
      <c r="P1065" s="2">
        <v>43290</v>
      </c>
      <c r="Q1065" s="7">
        <f>$E1065-$O1065</f>
        <v>0</v>
      </c>
      <c r="R1065" s="7" t="str">
        <f ca="1">IF(TODAY() - DHMXX[INV DUE DATE]&lt;30, "Less than 30 days",IF(TODAY()-DHMXX[INV DUE DATE]&lt;60,"30-60 days","More than 60 days"))</f>
        <v>Less than 30 days</v>
      </c>
      <c r="S1065" t="s">
        <v>1550</v>
      </c>
      <c r="T1065" s="43" t="s">
        <v>2229</v>
      </c>
      <c r="U1065" t="s">
        <v>3699</v>
      </c>
    </row>
    <row r="1066" spans="1:21" x14ac:dyDescent="0.3">
      <c r="A1066" t="s">
        <v>4137</v>
      </c>
      <c r="B1066" t="s">
        <v>30</v>
      </c>
      <c r="C1066" t="s">
        <v>23</v>
      </c>
      <c r="D1066" s="15">
        <v>1</v>
      </c>
      <c r="E1066" s="7">
        <v>172.5</v>
      </c>
      <c r="H1066">
        <v>1274</v>
      </c>
      <c r="I1066" t="s">
        <v>350</v>
      </c>
      <c r="J1066" t="s">
        <v>2715</v>
      </c>
      <c r="K1066" t="s">
        <v>3</v>
      </c>
      <c r="L1066" s="2">
        <v>43252</v>
      </c>
      <c r="M1066" s="2">
        <f>DHMXX[[#This Row],[INV DOC DATE]]+30</f>
        <v>43282</v>
      </c>
      <c r="N1066" s="2">
        <v>43279</v>
      </c>
      <c r="O1066" s="7">
        <v>172.5</v>
      </c>
      <c r="P1066" s="2">
        <v>43290</v>
      </c>
      <c r="Q1066" s="7">
        <f>$E1066-$O1066</f>
        <v>0</v>
      </c>
      <c r="R1066" s="7" t="str">
        <f ca="1">IF(TODAY() - DHMXX[INV DUE DATE]&lt;30, "Less than 30 days",IF(TODAY()-DHMXX[INV DUE DATE]&lt;60,"30-60 days","More than 60 days"))</f>
        <v>Less than 30 days</v>
      </c>
      <c r="S1066" t="s">
        <v>1550</v>
      </c>
      <c r="T1066" s="43" t="s">
        <v>2229</v>
      </c>
      <c r="U1066" t="s">
        <v>3699</v>
      </c>
    </row>
    <row r="1067" spans="1:21" x14ac:dyDescent="0.3">
      <c r="A1067" t="s">
        <v>4137</v>
      </c>
      <c r="B1067" t="s">
        <v>30</v>
      </c>
      <c r="C1067" t="s">
        <v>24</v>
      </c>
      <c r="D1067" s="15">
        <v>1</v>
      </c>
      <c r="E1067" s="7">
        <v>172.5</v>
      </c>
      <c r="H1067">
        <v>1274</v>
      </c>
      <c r="I1067" t="s">
        <v>350</v>
      </c>
      <c r="J1067" t="s">
        <v>2716</v>
      </c>
      <c r="K1067" t="s">
        <v>3</v>
      </c>
      <c r="L1067" s="2">
        <v>43252</v>
      </c>
      <c r="M1067" s="2">
        <f>DHMXX[[#This Row],[INV DOC DATE]]+30</f>
        <v>43282</v>
      </c>
      <c r="N1067" s="2">
        <v>43279</v>
      </c>
      <c r="O1067" s="7">
        <v>172.5</v>
      </c>
      <c r="P1067" s="2">
        <v>43290</v>
      </c>
      <c r="Q1067" s="7">
        <f>$E1067-$O1067</f>
        <v>0</v>
      </c>
      <c r="R1067" s="7" t="str">
        <f ca="1">IF(TODAY() - DHMXX[INV DUE DATE]&lt;30, "Less than 30 days",IF(TODAY()-DHMXX[INV DUE DATE]&lt;60,"30-60 days","More than 60 days"))</f>
        <v>Less than 30 days</v>
      </c>
      <c r="S1067" t="s">
        <v>1550</v>
      </c>
      <c r="T1067" s="43" t="s">
        <v>2229</v>
      </c>
      <c r="U1067" t="s">
        <v>3699</v>
      </c>
    </row>
    <row r="1068" spans="1:21" x14ac:dyDescent="0.3">
      <c r="A1068" t="s">
        <v>4137</v>
      </c>
      <c r="B1068" t="s">
        <v>30</v>
      </c>
      <c r="C1068" t="s">
        <v>25</v>
      </c>
      <c r="D1068" s="15">
        <v>1</v>
      </c>
      <c r="E1068" s="7">
        <v>172.5</v>
      </c>
      <c r="H1068">
        <v>1274</v>
      </c>
      <c r="I1068" t="s">
        <v>350</v>
      </c>
      <c r="J1068" t="s">
        <v>2717</v>
      </c>
      <c r="K1068" t="s">
        <v>3</v>
      </c>
      <c r="L1068" s="2">
        <v>43252</v>
      </c>
      <c r="M1068" s="2">
        <f>DHMXX[[#This Row],[INV DOC DATE]]+30</f>
        <v>43282</v>
      </c>
      <c r="N1068" s="2">
        <v>43279</v>
      </c>
      <c r="O1068" s="7">
        <v>172.5</v>
      </c>
      <c r="P1068" s="2">
        <v>43290</v>
      </c>
      <c r="Q1068" s="7">
        <f>$E1068-$O1068</f>
        <v>0</v>
      </c>
      <c r="R1068" s="7" t="str">
        <f ca="1">IF(TODAY() - DHMXX[INV DUE DATE]&lt;30, "Less than 30 days",IF(TODAY()-DHMXX[INV DUE DATE]&lt;60,"30-60 days","More than 60 days"))</f>
        <v>Less than 30 days</v>
      </c>
      <c r="S1068" t="s">
        <v>1550</v>
      </c>
      <c r="T1068" s="43" t="s">
        <v>2229</v>
      </c>
      <c r="U1068" t="s">
        <v>3699</v>
      </c>
    </row>
    <row r="1069" spans="1:21" x14ac:dyDescent="0.3">
      <c r="A1069" t="s">
        <v>4137</v>
      </c>
      <c r="B1069" t="s">
        <v>30</v>
      </c>
      <c r="C1069" t="s">
        <v>26</v>
      </c>
      <c r="D1069" s="15">
        <v>1</v>
      </c>
      <c r="E1069" s="7">
        <v>172.5</v>
      </c>
      <c r="H1069">
        <v>1274</v>
      </c>
      <c r="I1069" t="s">
        <v>350</v>
      </c>
      <c r="J1069" t="s">
        <v>2718</v>
      </c>
      <c r="K1069" t="s">
        <v>3</v>
      </c>
      <c r="L1069" s="2">
        <v>43252</v>
      </c>
      <c r="M1069" s="2">
        <f>DHMXX[[#This Row],[INV DOC DATE]]+30</f>
        <v>43282</v>
      </c>
      <c r="N1069" s="2">
        <v>43279</v>
      </c>
      <c r="O1069" s="7">
        <v>172.5</v>
      </c>
      <c r="P1069" s="2">
        <v>43290</v>
      </c>
      <c r="Q1069" s="7">
        <f>$E1069-$O1069</f>
        <v>0</v>
      </c>
      <c r="R1069" s="7" t="str">
        <f ca="1">IF(TODAY() - DHMXX[INV DUE DATE]&lt;30, "Less than 30 days",IF(TODAY()-DHMXX[INV DUE DATE]&lt;60,"30-60 days","More than 60 days"))</f>
        <v>Less than 30 days</v>
      </c>
      <c r="S1069" t="s">
        <v>1550</v>
      </c>
      <c r="T1069" s="43" t="s">
        <v>2229</v>
      </c>
      <c r="U1069" t="s">
        <v>3699</v>
      </c>
    </row>
    <row r="1070" spans="1:21" x14ac:dyDescent="0.3">
      <c r="A1070" t="s">
        <v>4137</v>
      </c>
      <c r="B1070" t="s">
        <v>30</v>
      </c>
      <c r="C1070" t="s">
        <v>27</v>
      </c>
      <c r="D1070" s="15">
        <v>1</v>
      </c>
      <c r="E1070" s="7">
        <v>172.5</v>
      </c>
      <c r="H1070">
        <v>1274</v>
      </c>
      <c r="I1070" t="s">
        <v>350</v>
      </c>
      <c r="J1070" t="s">
        <v>2719</v>
      </c>
      <c r="K1070" t="s">
        <v>3</v>
      </c>
      <c r="L1070" s="2">
        <v>43252</v>
      </c>
      <c r="M1070" s="2">
        <f>DHMXX[[#This Row],[INV DOC DATE]]+30</f>
        <v>43282</v>
      </c>
      <c r="N1070" s="2">
        <v>43279</v>
      </c>
      <c r="O1070" s="7">
        <v>172.5</v>
      </c>
      <c r="P1070" s="2">
        <v>43290</v>
      </c>
      <c r="Q1070" s="7">
        <f>$E1070-$O1070</f>
        <v>0</v>
      </c>
      <c r="R1070" s="7" t="str">
        <f ca="1">IF(TODAY() - DHMXX[INV DUE DATE]&lt;30, "Less than 30 days",IF(TODAY()-DHMXX[INV DUE DATE]&lt;60,"30-60 days","More than 60 days"))</f>
        <v>Less than 30 days</v>
      </c>
      <c r="S1070" t="s">
        <v>1550</v>
      </c>
      <c r="T1070" s="43" t="s">
        <v>2229</v>
      </c>
      <c r="U1070" t="s">
        <v>3699</v>
      </c>
    </row>
    <row r="1071" spans="1:21" x14ac:dyDescent="0.3">
      <c r="A1071" t="s">
        <v>4137</v>
      </c>
      <c r="B1071" t="s">
        <v>30</v>
      </c>
      <c r="C1071" t="s">
        <v>28</v>
      </c>
      <c r="D1071" s="15">
        <v>1</v>
      </c>
      <c r="E1071" s="7">
        <v>172.5</v>
      </c>
      <c r="H1071">
        <v>1274</v>
      </c>
      <c r="I1071" t="s">
        <v>350</v>
      </c>
      <c r="J1071" t="s">
        <v>2720</v>
      </c>
      <c r="K1071" t="s">
        <v>3</v>
      </c>
      <c r="L1071" s="2">
        <v>43252</v>
      </c>
      <c r="M1071" s="2">
        <f>DHMXX[[#This Row],[INV DOC DATE]]+30</f>
        <v>43282</v>
      </c>
      <c r="N1071" s="2">
        <v>43279</v>
      </c>
      <c r="O1071" s="7">
        <v>172.5</v>
      </c>
      <c r="P1071" s="2">
        <v>43290</v>
      </c>
      <c r="Q1071" s="7">
        <f>$E1071-$O1071</f>
        <v>0</v>
      </c>
      <c r="R1071" s="7" t="str">
        <f ca="1">IF(TODAY() - DHMXX[INV DUE DATE]&lt;30, "Less than 30 days",IF(TODAY()-DHMXX[INV DUE DATE]&lt;60,"30-60 days","More than 60 days"))</f>
        <v>Less than 30 days</v>
      </c>
      <c r="S1071" t="s">
        <v>1550</v>
      </c>
      <c r="T1071" s="43" t="s">
        <v>2229</v>
      </c>
      <c r="U1071" t="s">
        <v>3699</v>
      </c>
    </row>
    <row r="1072" spans="1:21" x14ac:dyDescent="0.3">
      <c r="A1072" t="s">
        <v>4137</v>
      </c>
      <c r="B1072" t="s">
        <v>30</v>
      </c>
      <c r="C1072" t="s">
        <v>37</v>
      </c>
      <c r="D1072" s="15">
        <v>1</v>
      </c>
      <c r="E1072" s="7">
        <v>172.5</v>
      </c>
      <c r="H1072">
        <v>1274</v>
      </c>
      <c r="I1072" t="s">
        <v>350</v>
      </c>
      <c r="J1072" t="s">
        <v>2721</v>
      </c>
      <c r="K1072" t="s">
        <v>3</v>
      </c>
      <c r="L1072" s="2">
        <v>43252</v>
      </c>
      <c r="M1072" s="2">
        <f>DHMXX[[#This Row],[INV DOC DATE]]+30</f>
        <v>43282</v>
      </c>
      <c r="N1072" s="2">
        <v>43279</v>
      </c>
      <c r="O1072" s="7">
        <v>172.5</v>
      </c>
      <c r="P1072" s="2">
        <v>43290</v>
      </c>
      <c r="Q1072" s="7">
        <f>$E1072-$O1072</f>
        <v>0</v>
      </c>
      <c r="R1072" s="7" t="str">
        <f ca="1">IF(TODAY() - DHMXX[INV DUE DATE]&lt;30, "Less than 30 days",IF(TODAY()-DHMXX[INV DUE DATE]&lt;60,"30-60 days","More than 60 days"))</f>
        <v>Less than 30 days</v>
      </c>
      <c r="S1072" t="s">
        <v>1550</v>
      </c>
      <c r="T1072" s="43" t="s">
        <v>2229</v>
      </c>
      <c r="U1072" t="s">
        <v>3699</v>
      </c>
    </row>
    <row r="1073" spans="1:21" x14ac:dyDescent="0.3">
      <c r="A1073" t="s">
        <v>4137</v>
      </c>
      <c r="B1073" t="s">
        <v>30</v>
      </c>
      <c r="C1073" t="s">
        <v>38</v>
      </c>
      <c r="D1073" s="15">
        <v>1</v>
      </c>
      <c r="E1073" s="7">
        <v>172.5</v>
      </c>
      <c r="H1073">
        <v>1274</v>
      </c>
      <c r="I1073" t="s">
        <v>350</v>
      </c>
      <c r="J1073" t="s">
        <v>2723</v>
      </c>
      <c r="K1073" t="s">
        <v>3</v>
      </c>
      <c r="L1073" s="2">
        <v>43252</v>
      </c>
      <c r="M1073" s="2">
        <f>DHMXX[[#This Row],[INV DOC DATE]]+30</f>
        <v>43282</v>
      </c>
      <c r="N1073" s="2">
        <v>43279</v>
      </c>
      <c r="O1073" s="7">
        <v>172.5</v>
      </c>
      <c r="P1073" s="2">
        <v>43290</v>
      </c>
      <c r="Q1073" s="7">
        <f>$E1073-$O1073</f>
        <v>0</v>
      </c>
      <c r="R1073" s="7" t="str">
        <f ca="1">IF(TODAY() - DHMXX[INV DUE DATE]&lt;30, "Less than 30 days",IF(TODAY()-DHMXX[INV DUE DATE]&lt;60,"30-60 days","More than 60 days"))</f>
        <v>Less than 30 days</v>
      </c>
      <c r="S1073" t="s">
        <v>1550</v>
      </c>
      <c r="T1073" s="43" t="s">
        <v>2229</v>
      </c>
      <c r="U1073" t="s">
        <v>3699</v>
      </c>
    </row>
    <row r="1074" spans="1:21" x14ac:dyDescent="0.3">
      <c r="A1074" t="s">
        <v>4137</v>
      </c>
      <c r="B1074" t="s">
        <v>30</v>
      </c>
      <c r="C1074" t="s">
        <v>39</v>
      </c>
      <c r="D1074" s="15">
        <v>1</v>
      </c>
      <c r="E1074" s="7">
        <v>172.5</v>
      </c>
      <c r="H1074">
        <v>1274</v>
      </c>
      <c r="I1074" t="s">
        <v>350</v>
      </c>
      <c r="J1074" t="s">
        <v>2731</v>
      </c>
      <c r="K1074" t="s">
        <v>3</v>
      </c>
      <c r="L1074" s="2">
        <v>43252</v>
      </c>
      <c r="M1074" s="2">
        <f>DHMXX[[#This Row],[INV DOC DATE]]+30</f>
        <v>43282</v>
      </c>
      <c r="N1074" s="2">
        <v>43279</v>
      </c>
      <c r="O1074" s="7">
        <v>172.5</v>
      </c>
      <c r="P1074" s="2">
        <v>43290</v>
      </c>
      <c r="Q1074" s="7">
        <f>$E1074-$O1074</f>
        <v>0</v>
      </c>
      <c r="R1074" s="7" t="str">
        <f ca="1">IF(TODAY() - DHMXX[INV DUE DATE]&lt;30, "Less than 30 days",IF(TODAY()-DHMXX[INV DUE DATE]&lt;60,"30-60 days","More than 60 days"))</f>
        <v>Less than 30 days</v>
      </c>
      <c r="S1074" t="s">
        <v>1550</v>
      </c>
      <c r="T1074" s="43" t="s">
        <v>2229</v>
      </c>
      <c r="U1074" t="s">
        <v>3699</v>
      </c>
    </row>
    <row r="1075" spans="1:21" x14ac:dyDescent="0.3">
      <c r="A1075" t="s">
        <v>4137</v>
      </c>
      <c r="B1075" t="s">
        <v>30</v>
      </c>
      <c r="C1075" t="s">
        <v>40</v>
      </c>
      <c r="D1075" s="15">
        <v>1</v>
      </c>
      <c r="E1075" s="7">
        <v>172.5</v>
      </c>
      <c r="H1075">
        <v>1274</v>
      </c>
      <c r="I1075" t="s">
        <v>350</v>
      </c>
      <c r="J1075" t="s">
        <v>2729</v>
      </c>
      <c r="K1075" t="s">
        <v>3</v>
      </c>
      <c r="L1075" s="2">
        <v>43252</v>
      </c>
      <c r="M1075" s="2">
        <f>DHMXX[[#This Row],[INV DOC DATE]]+30</f>
        <v>43282</v>
      </c>
      <c r="N1075" s="2">
        <v>43279</v>
      </c>
      <c r="O1075" s="7">
        <v>172.5</v>
      </c>
      <c r="P1075" s="2">
        <v>43290</v>
      </c>
      <c r="Q1075" s="7">
        <f>$E1075-$O1075</f>
        <v>0</v>
      </c>
      <c r="R1075" s="7" t="str">
        <f ca="1">IF(TODAY() - DHMXX[INV DUE DATE]&lt;30, "Less than 30 days",IF(TODAY()-DHMXX[INV DUE DATE]&lt;60,"30-60 days","More than 60 days"))</f>
        <v>Less than 30 days</v>
      </c>
      <c r="S1075" t="s">
        <v>1550</v>
      </c>
      <c r="T1075" s="43" t="s">
        <v>2229</v>
      </c>
      <c r="U1075" t="s">
        <v>3699</v>
      </c>
    </row>
    <row r="1076" spans="1:21" x14ac:dyDescent="0.3">
      <c r="A1076" t="s">
        <v>4137</v>
      </c>
      <c r="B1076" t="s">
        <v>30</v>
      </c>
      <c r="C1076" t="s">
        <v>41</v>
      </c>
      <c r="D1076" s="15">
        <v>1</v>
      </c>
      <c r="E1076" s="7">
        <v>172.5</v>
      </c>
      <c r="H1076">
        <v>1274</v>
      </c>
      <c r="I1076" t="s">
        <v>350</v>
      </c>
      <c r="J1076" t="s">
        <v>2730</v>
      </c>
      <c r="K1076" t="s">
        <v>3</v>
      </c>
      <c r="L1076" s="2">
        <v>43252</v>
      </c>
      <c r="M1076" s="2">
        <f>DHMXX[[#This Row],[INV DOC DATE]]+30</f>
        <v>43282</v>
      </c>
      <c r="N1076" s="2">
        <v>43279</v>
      </c>
      <c r="O1076" s="7">
        <v>172.5</v>
      </c>
      <c r="P1076" s="2">
        <v>43290</v>
      </c>
      <c r="Q1076" s="7">
        <f>$E1076-$O1076</f>
        <v>0</v>
      </c>
      <c r="R1076" s="7" t="str">
        <f ca="1">IF(TODAY() - DHMXX[INV DUE DATE]&lt;30, "Less than 30 days",IF(TODAY()-DHMXX[INV DUE DATE]&lt;60,"30-60 days","More than 60 days"))</f>
        <v>Less than 30 days</v>
      </c>
      <c r="S1076" t="s">
        <v>1550</v>
      </c>
      <c r="T1076" s="43" t="s">
        <v>2229</v>
      </c>
      <c r="U1076" t="s">
        <v>3699</v>
      </c>
    </row>
    <row r="1077" spans="1:21" x14ac:dyDescent="0.3">
      <c r="A1077" t="s">
        <v>4137</v>
      </c>
      <c r="B1077" t="s">
        <v>30</v>
      </c>
      <c r="C1077" t="s">
        <v>42</v>
      </c>
      <c r="D1077" s="15">
        <v>1</v>
      </c>
      <c r="E1077" s="7">
        <v>172.5</v>
      </c>
      <c r="H1077">
        <v>1274</v>
      </c>
      <c r="I1077" t="s">
        <v>350</v>
      </c>
      <c r="J1077" t="s">
        <v>2736</v>
      </c>
      <c r="K1077" t="s">
        <v>3</v>
      </c>
      <c r="L1077" s="2">
        <v>43252</v>
      </c>
      <c r="M1077" s="2">
        <f>DHMXX[[#This Row],[INV DOC DATE]]+30</f>
        <v>43282</v>
      </c>
      <c r="N1077" s="2">
        <v>43279</v>
      </c>
      <c r="O1077" s="7">
        <v>172.5</v>
      </c>
      <c r="P1077" s="2">
        <v>43290</v>
      </c>
      <c r="Q1077" s="7">
        <f>$E1077-$O1077</f>
        <v>0</v>
      </c>
      <c r="R1077" s="7" t="str">
        <f ca="1">IF(TODAY() - DHMXX[INV DUE DATE]&lt;30, "Less than 30 days",IF(TODAY()-DHMXX[INV DUE DATE]&lt;60,"30-60 days","More than 60 days"))</f>
        <v>Less than 30 days</v>
      </c>
      <c r="S1077" t="s">
        <v>1550</v>
      </c>
      <c r="T1077" s="43" t="s">
        <v>2229</v>
      </c>
      <c r="U1077" t="s">
        <v>3699</v>
      </c>
    </row>
    <row r="1078" spans="1:21" x14ac:dyDescent="0.3">
      <c r="A1078" t="s">
        <v>4137</v>
      </c>
      <c r="B1078" t="s">
        <v>30</v>
      </c>
      <c r="C1078" t="s">
        <v>43</v>
      </c>
      <c r="D1078" s="15">
        <v>1</v>
      </c>
      <c r="E1078" s="7">
        <v>172.5</v>
      </c>
      <c r="H1078">
        <v>1274</v>
      </c>
      <c r="I1078" t="s">
        <v>350</v>
      </c>
      <c r="J1078" t="s">
        <v>2737</v>
      </c>
      <c r="K1078" t="s">
        <v>3</v>
      </c>
      <c r="L1078" s="2">
        <v>43252</v>
      </c>
      <c r="M1078" s="2">
        <f>DHMXX[[#This Row],[INV DOC DATE]]+30</f>
        <v>43282</v>
      </c>
      <c r="N1078" s="2">
        <v>43279</v>
      </c>
      <c r="O1078" s="7">
        <v>172.5</v>
      </c>
      <c r="P1078" s="2">
        <v>43290</v>
      </c>
      <c r="Q1078" s="7">
        <f>$E1078-$O1078</f>
        <v>0</v>
      </c>
      <c r="R1078" s="7" t="str">
        <f ca="1">IF(TODAY() - DHMXX[INV DUE DATE]&lt;30, "Less than 30 days",IF(TODAY()-DHMXX[INV DUE DATE]&lt;60,"30-60 days","More than 60 days"))</f>
        <v>Less than 30 days</v>
      </c>
      <c r="S1078" t="s">
        <v>1550</v>
      </c>
      <c r="T1078" s="43" t="s">
        <v>2229</v>
      </c>
      <c r="U1078" t="s">
        <v>3699</v>
      </c>
    </row>
    <row r="1079" spans="1:21" x14ac:dyDescent="0.3">
      <c r="A1079" t="s">
        <v>4137</v>
      </c>
      <c r="B1079" t="s">
        <v>30</v>
      </c>
      <c r="C1079" t="s">
        <v>44</v>
      </c>
      <c r="D1079" s="15">
        <v>1</v>
      </c>
      <c r="E1079" s="7">
        <v>172.5</v>
      </c>
      <c r="H1079">
        <v>2747</v>
      </c>
      <c r="I1079" t="s">
        <v>844</v>
      </c>
      <c r="J1079" t="s">
        <v>2738</v>
      </c>
      <c r="K1079" t="s">
        <v>3</v>
      </c>
      <c r="L1079" s="2">
        <v>43252</v>
      </c>
      <c r="M1079" s="2">
        <f>DHMXX[[#This Row],[INV DOC DATE]]+30</f>
        <v>43282</v>
      </c>
      <c r="N1079" s="2">
        <v>43279</v>
      </c>
      <c r="O1079" s="7">
        <v>172.5</v>
      </c>
      <c r="P1079" s="2">
        <v>43290</v>
      </c>
      <c r="Q1079" s="7">
        <f>$E1079-$O1079</f>
        <v>0</v>
      </c>
      <c r="R1079" s="7" t="str">
        <f ca="1">IF(TODAY() - DHMXX[INV DUE DATE]&lt;30, "Less than 30 days",IF(TODAY()-DHMXX[INV DUE DATE]&lt;60,"30-60 days","More than 60 days"))</f>
        <v>Less than 30 days</v>
      </c>
      <c r="S1079" t="s">
        <v>1550</v>
      </c>
      <c r="T1079" s="43" t="s">
        <v>2229</v>
      </c>
      <c r="U1079" t="s">
        <v>3699</v>
      </c>
    </row>
    <row r="1080" spans="1:21" x14ac:dyDescent="0.3">
      <c r="A1080" t="s">
        <v>4137</v>
      </c>
      <c r="B1080" t="s">
        <v>30</v>
      </c>
      <c r="C1080" t="s">
        <v>45</v>
      </c>
      <c r="D1080" s="15">
        <v>1</v>
      </c>
      <c r="E1080" s="7">
        <v>172.5</v>
      </c>
      <c r="H1080">
        <v>3825</v>
      </c>
      <c r="I1080" t="s">
        <v>845</v>
      </c>
      <c r="J1080" t="s">
        <v>2741</v>
      </c>
      <c r="K1080" t="s">
        <v>3</v>
      </c>
      <c r="L1080" s="2">
        <v>43252</v>
      </c>
      <c r="M1080" s="2">
        <f>DHMXX[[#This Row],[INV DOC DATE]]+30</f>
        <v>43282</v>
      </c>
      <c r="N1080" s="2">
        <v>43279</v>
      </c>
      <c r="O1080" s="7">
        <v>172.5</v>
      </c>
      <c r="P1080" s="2">
        <v>43290</v>
      </c>
      <c r="Q1080" s="7">
        <f>$E1080-$O1080</f>
        <v>0</v>
      </c>
      <c r="R1080" s="7" t="str">
        <f ca="1">IF(TODAY() - DHMXX[INV DUE DATE]&lt;30, "Less than 30 days",IF(TODAY()-DHMXX[INV DUE DATE]&lt;60,"30-60 days","More than 60 days"))</f>
        <v>Less than 30 days</v>
      </c>
      <c r="S1080" t="s">
        <v>1550</v>
      </c>
      <c r="T1080" s="43" t="s">
        <v>2229</v>
      </c>
      <c r="U1080" t="s">
        <v>3699</v>
      </c>
    </row>
    <row r="1081" spans="1:21" x14ac:dyDescent="0.3">
      <c r="A1081" t="s">
        <v>4137</v>
      </c>
      <c r="B1081" t="s">
        <v>30</v>
      </c>
      <c r="C1081" t="s">
        <v>46</v>
      </c>
      <c r="D1081" s="15">
        <v>1</v>
      </c>
      <c r="E1081" s="7">
        <v>172.5</v>
      </c>
      <c r="H1081">
        <v>3825</v>
      </c>
      <c r="I1081" t="s">
        <v>845</v>
      </c>
      <c r="J1081" t="s">
        <v>2740</v>
      </c>
      <c r="K1081" t="s">
        <v>3</v>
      </c>
      <c r="L1081" s="2">
        <v>43252</v>
      </c>
      <c r="M1081" s="2">
        <f>DHMXX[[#This Row],[INV DOC DATE]]+30</f>
        <v>43282</v>
      </c>
      <c r="N1081" s="2">
        <v>43279</v>
      </c>
      <c r="O1081" s="7">
        <v>172.5</v>
      </c>
      <c r="P1081" s="2">
        <v>43290</v>
      </c>
      <c r="Q1081" s="7">
        <f>$E1081-$O1081</f>
        <v>0</v>
      </c>
      <c r="R1081" s="7" t="str">
        <f ca="1">IF(TODAY() - DHMXX[INV DUE DATE]&lt;30, "Less than 30 days",IF(TODAY()-DHMXX[INV DUE DATE]&lt;60,"30-60 days","More than 60 days"))</f>
        <v>Less than 30 days</v>
      </c>
      <c r="S1081" t="s">
        <v>1550</v>
      </c>
      <c r="T1081" s="43" t="s">
        <v>2229</v>
      </c>
      <c r="U1081" t="s">
        <v>3699</v>
      </c>
    </row>
    <row r="1082" spans="1:21" x14ac:dyDescent="0.3">
      <c r="A1082" t="s">
        <v>4137</v>
      </c>
      <c r="B1082" t="s">
        <v>30</v>
      </c>
      <c r="C1082" t="s">
        <v>47</v>
      </c>
      <c r="D1082" s="15">
        <v>1</v>
      </c>
      <c r="E1082" s="7">
        <v>172.5</v>
      </c>
      <c r="H1082">
        <v>3825</v>
      </c>
      <c r="I1082" t="s">
        <v>845</v>
      </c>
      <c r="J1082" t="s">
        <v>2743</v>
      </c>
      <c r="K1082" t="s">
        <v>3</v>
      </c>
      <c r="L1082" s="2">
        <v>43252</v>
      </c>
      <c r="M1082" s="2">
        <f>DHMXX[[#This Row],[INV DOC DATE]]+30</f>
        <v>43282</v>
      </c>
      <c r="N1082" s="2">
        <v>43279</v>
      </c>
      <c r="O1082" s="7">
        <v>172.5</v>
      </c>
      <c r="P1082" s="2">
        <v>43290</v>
      </c>
      <c r="Q1082" s="7">
        <f>$E1082-$O1082</f>
        <v>0</v>
      </c>
      <c r="R1082" s="7" t="str">
        <f ca="1">IF(TODAY() - DHMXX[INV DUE DATE]&lt;30, "Less than 30 days",IF(TODAY()-DHMXX[INV DUE DATE]&lt;60,"30-60 days","More than 60 days"))</f>
        <v>Less than 30 days</v>
      </c>
      <c r="S1082" t="s">
        <v>1550</v>
      </c>
      <c r="T1082" s="43" t="s">
        <v>2229</v>
      </c>
      <c r="U1082" t="s">
        <v>3699</v>
      </c>
    </row>
    <row r="1083" spans="1:21" x14ac:dyDescent="0.3">
      <c r="A1083" t="s">
        <v>4137</v>
      </c>
      <c r="B1083" t="s">
        <v>30</v>
      </c>
      <c r="C1083" t="s">
        <v>295</v>
      </c>
      <c r="D1083" s="15">
        <v>1</v>
      </c>
      <c r="E1083" s="7">
        <v>172.5</v>
      </c>
      <c r="H1083">
        <v>3825</v>
      </c>
      <c r="I1083" t="s">
        <v>845</v>
      </c>
      <c r="J1083" t="s">
        <v>2742</v>
      </c>
      <c r="K1083" t="s">
        <v>3</v>
      </c>
      <c r="L1083" s="2">
        <v>43252</v>
      </c>
      <c r="M1083" s="2">
        <f>DHMXX[[#This Row],[INV DOC DATE]]+30</f>
        <v>43282</v>
      </c>
      <c r="N1083" s="2">
        <v>43279</v>
      </c>
      <c r="O1083" s="7">
        <v>172.5</v>
      </c>
      <c r="P1083" s="2">
        <v>43290</v>
      </c>
      <c r="Q1083" s="7">
        <f>$E1083-$O1083</f>
        <v>0</v>
      </c>
      <c r="R1083" s="7" t="str">
        <f ca="1">IF(TODAY() - DHMXX[INV DUE DATE]&lt;30, "Less than 30 days",IF(TODAY()-DHMXX[INV DUE DATE]&lt;60,"30-60 days","More than 60 days"))</f>
        <v>Less than 30 days</v>
      </c>
      <c r="S1083" t="s">
        <v>1550</v>
      </c>
      <c r="T1083" s="43" t="s">
        <v>2229</v>
      </c>
      <c r="U1083" t="s">
        <v>3699</v>
      </c>
    </row>
    <row r="1084" spans="1:21" x14ac:dyDescent="0.3">
      <c r="A1084" t="s">
        <v>4137</v>
      </c>
      <c r="B1084" t="s">
        <v>30</v>
      </c>
      <c r="C1084" t="s">
        <v>48</v>
      </c>
      <c r="D1084" s="15">
        <v>1</v>
      </c>
      <c r="E1084" s="7">
        <v>172.5</v>
      </c>
      <c r="H1084">
        <v>3825</v>
      </c>
      <c r="I1084" t="s">
        <v>845</v>
      </c>
      <c r="J1084" t="s">
        <v>2739</v>
      </c>
      <c r="K1084" t="s">
        <v>3</v>
      </c>
      <c r="L1084" s="2">
        <v>43252</v>
      </c>
      <c r="M1084" s="2">
        <f>DHMXX[[#This Row],[INV DOC DATE]]+30</f>
        <v>43282</v>
      </c>
      <c r="N1084" s="2">
        <v>43279</v>
      </c>
      <c r="O1084" s="7">
        <v>172.5</v>
      </c>
      <c r="P1084" s="2">
        <v>43290</v>
      </c>
      <c r="Q1084" s="7">
        <f>$E1084-$O1084</f>
        <v>0</v>
      </c>
      <c r="R1084" s="7" t="str">
        <f ca="1">IF(TODAY() - DHMXX[INV DUE DATE]&lt;30, "Less than 30 days",IF(TODAY()-DHMXX[INV DUE DATE]&lt;60,"30-60 days","More than 60 days"))</f>
        <v>Less than 30 days</v>
      </c>
      <c r="S1084" t="s">
        <v>1550</v>
      </c>
      <c r="T1084" s="43" t="s">
        <v>2229</v>
      </c>
      <c r="U1084" t="s">
        <v>3699</v>
      </c>
    </row>
    <row r="1085" spans="1:21" x14ac:dyDescent="0.3">
      <c r="A1085" t="s">
        <v>4137</v>
      </c>
      <c r="B1085" t="s">
        <v>30</v>
      </c>
      <c r="C1085" t="s">
        <v>49</v>
      </c>
      <c r="D1085" s="15">
        <v>1</v>
      </c>
      <c r="E1085" s="7">
        <v>172.5</v>
      </c>
      <c r="H1085">
        <v>8327</v>
      </c>
      <c r="I1085" t="s">
        <v>854</v>
      </c>
      <c r="J1085" t="s">
        <v>2744</v>
      </c>
      <c r="K1085" t="s">
        <v>3</v>
      </c>
      <c r="L1085" s="2">
        <v>43252</v>
      </c>
      <c r="M1085" s="2">
        <f>DHMXX[[#This Row],[INV DOC DATE]]+30</f>
        <v>43282</v>
      </c>
      <c r="N1085" s="2">
        <v>43279</v>
      </c>
      <c r="O1085" s="7">
        <v>172.5</v>
      </c>
      <c r="P1085" s="2">
        <v>43290</v>
      </c>
      <c r="Q1085" s="7">
        <f>$E1085-$O1085</f>
        <v>0</v>
      </c>
      <c r="R1085" s="7" t="str">
        <f ca="1">IF(TODAY() - DHMXX[INV DUE DATE]&lt;30, "Less than 30 days",IF(TODAY()-DHMXX[INV DUE DATE]&lt;60,"30-60 days","More than 60 days"))</f>
        <v>Less than 30 days</v>
      </c>
      <c r="S1085" t="s">
        <v>1550</v>
      </c>
      <c r="T1085" s="43" t="s">
        <v>2229</v>
      </c>
      <c r="U1085" t="s">
        <v>3699</v>
      </c>
    </row>
    <row r="1086" spans="1:21" x14ac:dyDescent="0.3">
      <c r="A1086" t="s">
        <v>4137</v>
      </c>
      <c r="B1086" t="s">
        <v>30</v>
      </c>
      <c r="C1086" t="s">
        <v>50</v>
      </c>
      <c r="D1086" s="15">
        <v>1</v>
      </c>
      <c r="E1086" s="7">
        <v>172.5</v>
      </c>
      <c r="H1086">
        <v>13342</v>
      </c>
      <c r="I1086" t="s">
        <v>839</v>
      </c>
      <c r="J1086" t="s">
        <v>2746</v>
      </c>
      <c r="K1086" t="s">
        <v>3</v>
      </c>
      <c r="L1086" s="2">
        <v>43252</v>
      </c>
      <c r="M1086" s="2">
        <f>DHMXX[[#This Row],[INV DOC DATE]]+30</f>
        <v>43282</v>
      </c>
      <c r="N1086" s="2">
        <v>43279</v>
      </c>
      <c r="O1086" s="7">
        <v>172.5</v>
      </c>
      <c r="P1086" s="2">
        <v>43290</v>
      </c>
      <c r="Q1086" s="7">
        <f>$E1086-$O1086</f>
        <v>0</v>
      </c>
      <c r="R1086" s="7" t="str">
        <f ca="1">IF(TODAY() - DHMXX[INV DUE DATE]&lt;30, "Less than 30 days",IF(TODAY()-DHMXX[INV DUE DATE]&lt;60,"30-60 days","More than 60 days"))</f>
        <v>Less than 30 days</v>
      </c>
      <c r="S1086" t="s">
        <v>1550</v>
      </c>
      <c r="T1086" s="43" t="s">
        <v>2229</v>
      </c>
      <c r="U1086" t="s">
        <v>3699</v>
      </c>
    </row>
    <row r="1087" spans="1:21" x14ac:dyDescent="0.3">
      <c r="A1087" t="s">
        <v>4137</v>
      </c>
      <c r="B1087" t="s">
        <v>30</v>
      </c>
      <c r="C1087" t="s">
        <v>51</v>
      </c>
      <c r="D1087" s="15">
        <v>1</v>
      </c>
      <c r="E1087" s="7">
        <v>172.5</v>
      </c>
      <c r="H1087">
        <v>54876</v>
      </c>
      <c r="I1087" t="s">
        <v>841</v>
      </c>
      <c r="J1087" t="s">
        <v>2748</v>
      </c>
      <c r="K1087" t="s">
        <v>3</v>
      </c>
      <c r="L1087" s="2">
        <v>43252</v>
      </c>
      <c r="M1087" s="2">
        <f>DHMXX[[#This Row],[INV DOC DATE]]+30</f>
        <v>43282</v>
      </c>
      <c r="N1087" s="2">
        <v>43279</v>
      </c>
      <c r="O1087" s="7">
        <v>172.5</v>
      </c>
      <c r="P1087" s="2">
        <v>43290</v>
      </c>
      <c r="Q1087" s="7">
        <f>$E1087-$O1087</f>
        <v>0</v>
      </c>
      <c r="R1087" s="7" t="str">
        <f ca="1">IF(TODAY() - DHMXX[INV DUE DATE]&lt;30, "Less than 30 days",IF(TODAY()-DHMXX[INV DUE DATE]&lt;60,"30-60 days","More than 60 days"))</f>
        <v>Less than 30 days</v>
      </c>
      <c r="S1087" t="s">
        <v>1550</v>
      </c>
      <c r="T1087" s="43" t="s">
        <v>2229</v>
      </c>
      <c r="U1087" t="s">
        <v>3699</v>
      </c>
    </row>
    <row r="1088" spans="1:21" x14ac:dyDescent="0.3">
      <c r="A1088" t="s">
        <v>4137</v>
      </c>
      <c r="B1088" t="s">
        <v>30</v>
      </c>
      <c r="C1088" t="s">
        <v>52</v>
      </c>
      <c r="D1088" s="15">
        <v>1</v>
      </c>
      <c r="E1088" s="7">
        <v>172.5</v>
      </c>
      <c r="H1088">
        <v>54876</v>
      </c>
      <c r="I1088" t="s">
        <v>841</v>
      </c>
      <c r="J1088" t="s">
        <v>2749</v>
      </c>
      <c r="K1088" t="s">
        <v>3</v>
      </c>
      <c r="L1088" s="2">
        <v>43252</v>
      </c>
      <c r="M1088" s="2">
        <f>DHMXX[[#This Row],[INV DOC DATE]]+30</f>
        <v>43282</v>
      </c>
      <c r="N1088" s="2">
        <v>43279</v>
      </c>
      <c r="O1088" s="7">
        <v>172.5</v>
      </c>
      <c r="P1088" s="2">
        <v>43290</v>
      </c>
      <c r="Q1088" s="7">
        <f>$E1088-$O1088</f>
        <v>0</v>
      </c>
      <c r="R1088" s="7" t="str">
        <f ca="1">IF(TODAY() - DHMXX[INV DUE DATE]&lt;30, "Less than 30 days",IF(TODAY()-DHMXX[INV DUE DATE]&lt;60,"30-60 days","More than 60 days"))</f>
        <v>Less than 30 days</v>
      </c>
      <c r="S1088" t="s">
        <v>1550</v>
      </c>
      <c r="T1088" s="43" t="s">
        <v>2229</v>
      </c>
      <c r="U1088" t="s">
        <v>3699</v>
      </c>
    </row>
    <row r="1089" spans="1:21" x14ac:dyDescent="0.3">
      <c r="A1089" t="s">
        <v>4137</v>
      </c>
      <c r="B1089" t="s">
        <v>30</v>
      </c>
      <c r="C1089" t="s">
        <v>53</v>
      </c>
      <c r="D1089" s="15">
        <v>1</v>
      </c>
      <c r="E1089" s="7">
        <v>172.5</v>
      </c>
      <c r="H1089">
        <v>55052</v>
      </c>
      <c r="I1089" t="s">
        <v>353</v>
      </c>
      <c r="J1089" t="s">
        <v>2750</v>
      </c>
      <c r="K1089" t="s">
        <v>3</v>
      </c>
      <c r="L1089" s="2">
        <v>43252</v>
      </c>
      <c r="M1089" s="2">
        <f>DHMXX[[#This Row],[INV DOC DATE]]+30</f>
        <v>43282</v>
      </c>
      <c r="N1089" s="2">
        <v>43279</v>
      </c>
      <c r="O1089" s="7">
        <v>172.5</v>
      </c>
      <c r="P1089" s="2">
        <v>43290</v>
      </c>
      <c r="Q1089" s="7">
        <f>$E1089-$O1089</f>
        <v>0</v>
      </c>
      <c r="R1089" s="7" t="str">
        <f ca="1">IF(TODAY() - DHMXX[INV DUE DATE]&lt;30, "Less than 30 days",IF(TODAY()-DHMXX[INV DUE DATE]&lt;60,"30-60 days","More than 60 days"))</f>
        <v>Less than 30 days</v>
      </c>
      <c r="S1089" t="s">
        <v>1550</v>
      </c>
      <c r="T1089" s="43" t="s">
        <v>2229</v>
      </c>
      <c r="U1089" t="s">
        <v>3699</v>
      </c>
    </row>
    <row r="1090" spans="1:21" x14ac:dyDescent="0.3">
      <c r="A1090" t="s">
        <v>4137</v>
      </c>
      <c r="B1090" t="s">
        <v>30</v>
      </c>
      <c r="C1090" t="s">
        <v>54</v>
      </c>
      <c r="D1090" s="15">
        <v>1</v>
      </c>
      <c r="E1090" s="7">
        <v>172.5</v>
      </c>
      <c r="H1090">
        <v>55242</v>
      </c>
      <c r="I1090" t="s">
        <v>353</v>
      </c>
      <c r="J1090" t="s">
        <v>2753</v>
      </c>
      <c r="K1090" t="s">
        <v>3</v>
      </c>
      <c r="L1090" s="2">
        <v>43252</v>
      </c>
      <c r="M1090" s="2">
        <f>DHMXX[[#This Row],[INV DOC DATE]]+30</f>
        <v>43282</v>
      </c>
      <c r="N1090" s="2">
        <v>43279</v>
      </c>
      <c r="O1090" s="7">
        <v>172.5</v>
      </c>
      <c r="P1090" s="2">
        <v>43290</v>
      </c>
      <c r="Q1090" s="7">
        <f>$E1090-$O1090</f>
        <v>0</v>
      </c>
      <c r="R1090" s="7" t="str">
        <f ca="1">IF(TODAY() - DHMXX[INV DUE DATE]&lt;30, "Less than 30 days",IF(TODAY()-DHMXX[INV DUE DATE]&lt;60,"30-60 days","More than 60 days"))</f>
        <v>Less than 30 days</v>
      </c>
      <c r="S1090" t="s">
        <v>1550</v>
      </c>
      <c r="T1090" s="43" t="s">
        <v>2229</v>
      </c>
      <c r="U1090" t="s">
        <v>3699</v>
      </c>
    </row>
    <row r="1091" spans="1:21" x14ac:dyDescent="0.3">
      <c r="A1091" t="s">
        <v>4137</v>
      </c>
      <c r="B1091" t="s">
        <v>30</v>
      </c>
      <c r="C1091" t="s">
        <v>55</v>
      </c>
      <c r="D1091" s="15">
        <v>1</v>
      </c>
      <c r="E1091" s="7">
        <v>172.5</v>
      </c>
      <c r="H1091">
        <v>55242</v>
      </c>
      <c r="I1091" t="s">
        <v>353</v>
      </c>
      <c r="J1091" t="s">
        <v>2752</v>
      </c>
      <c r="K1091" t="s">
        <v>3</v>
      </c>
      <c r="L1091" s="2">
        <v>43252</v>
      </c>
      <c r="M1091" s="2">
        <f>DHMXX[[#This Row],[INV DOC DATE]]+30</f>
        <v>43282</v>
      </c>
      <c r="N1091" s="2">
        <v>43279</v>
      </c>
      <c r="O1091" s="7">
        <v>172.5</v>
      </c>
      <c r="P1091" s="2">
        <v>43290</v>
      </c>
      <c r="Q1091" s="7">
        <f>$E1091-$O1091</f>
        <v>0</v>
      </c>
      <c r="R1091" s="7" t="str">
        <f ca="1">IF(TODAY() - DHMXX[INV DUE DATE]&lt;30, "Less than 30 days",IF(TODAY()-DHMXX[INV DUE DATE]&lt;60,"30-60 days","More than 60 days"))</f>
        <v>Less than 30 days</v>
      </c>
      <c r="S1091" t="s">
        <v>1550</v>
      </c>
      <c r="T1091" s="43" t="s">
        <v>2229</v>
      </c>
      <c r="U1091" t="s">
        <v>3699</v>
      </c>
    </row>
    <row r="1092" spans="1:21" x14ac:dyDescent="0.3">
      <c r="A1092" t="s">
        <v>4137</v>
      </c>
      <c r="B1092" t="s">
        <v>30</v>
      </c>
      <c r="C1092" t="s">
        <v>56</v>
      </c>
      <c r="D1092" s="15">
        <v>1</v>
      </c>
      <c r="E1092" s="7">
        <v>172.5</v>
      </c>
      <c r="H1092">
        <v>55242</v>
      </c>
      <c r="I1092" t="s">
        <v>353</v>
      </c>
      <c r="J1092" t="s">
        <v>2751</v>
      </c>
      <c r="K1092" t="s">
        <v>3</v>
      </c>
      <c r="L1092" s="2">
        <v>43252</v>
      </c>
      <c r="M1092" s="2">
        <f>DHMXX[[#This Row],[INV DOC DATE]]+30</f>
        <v>43282</v>
      </c>
      <c r="N1092" s="2">
        <v>43279</v>
      </c>
      <c r="O1092" s="7">
        <v>172.5</v>
      </c>
      <c r="P1092" s="2">
        <v>43290</v>
      </c>
      <c r="Q1092" s="7">
        <f>$E1092-$O1092</f>
        <v>0</v>
      </c>
      <c r="R1092" s="7" t="str">
        <f ca="1">IF(TODAY() - DHMXX[INV DUE DATE]&lt;30, "Less than 30 days",IF(TODAY()-DHMXX[INV DUE DATE]&lt;60,"30-60 days","More than 60 days"))</f>
        <v>Less than 30 days</v>
      </c>
      <c r="S1092" t="s">
        <v>1550</v>
      </c>
      <c r="T1092" s="43" t="s">
        <v>2229</v>
      </c>
      <c r="U1092" t="s">
        <v>3699</v>
      </c>
    </row>
    <row r="1093" spans="1:21" x14ac:dyDescent="0.3">
      <c r="A1093" t="s">
        <v>4137</v>
      </c>
      <c r="B1093" t="s">
        <v>30</v>
      </c>
      <c r="C1093" t="s">
        <v>57</v>
      </c>
      <c r="D1093" s="15">
        <v>1</v>
      </c>
      <c r="E1093" s="7">
        <v>172.5</v>
      </c>
      <c r="H1093">
        <v>55253</v>
      </c>
      <c r="I1093" t="s">
        <v>353</v>
      </c>
      <c r="J1093" t="s">
        <v>2754</v>
      </c>
      <c r="K1093" t="s">
        <v>3</v>
      </c>
      <c r="L1093" s="2">
        <v>43252</v>
      </c>
      <c r="M1093" s="2">
        <f>DHMXX[[#This Row],[INV DOC DATE]]+30</f>
        <v>43282</v>
      </c>
      <c r="N1093" s="2">
        <v>43279</v>
      </c>
      <c r="O1093" s="7">
        <v>172.5</v>
      </c>
      <c r="P1093" s="2">
        <v>43290</v>
      </c>
      <c r="Q1093" s="7">
        <f>$E1093-$O1093</f>
        <v>0</v>
      </c>
      <c r="R1093" s="7" t="str">
        <f ca="1">IF(TODAY() - DHMXX[INV DUE DATE]&lt;30, "Less than 30 days",IF(TODAY()-DHMXX[INV DUE DATE]&lt;60,"30-60 days","More than 60 days"))</f>
        <v>Less than 30 days</v>
      </c>
      <c r="S1093" t="s">
        <v>1550</v>
      </c>
      <c r="T1093" s="43" t="s">
        <v>2229</v>
      </c>
      <c r="U1093" t="s">
        <v>3699</v>
      </c>
    </row>
    <row r="1094" spans="1:21" x14ac:dyDescent="0.3">
      <c r="A1094" t="s">
        <v>4137</v>
      </c>
      <c r="B1094" t="s">
        <v>30</v>
      </c>
      <c r="C1094" t="s">
        <v>58</v>
      </c>
      <c r="D1094" s="15">
        <v>1</v>
      </c>
      <c r="E1094" s="7">
        <v>172.5</v>
      </c>
      <c r="H1094">
        <v>55253</v>
      </c>
      <c r="I1094" t="s">
        <v>353</v>
      </c>
      <c r="J1094" t="s">
        <v>2755</v>
      </c>
      <c r="K1094" t="s">
        <v>3</v>
      </c>
      <c r="L1094" s="2">
        <v>43252</v>
      </c>
      <c r="M1094" s="2">
        <f>DHMXX[[#This Row],[INV DOC DATE]]+30</f>
        <v>43282</v>
      </c>
      <c r="N1094" s="2">
        <v>43279</v>
      </c>
      <c r="O1094" s="7">
        <v>172.5</v>
      </c>
      <c r="P1094" s="2">
        <v>43290</v>
      </c>
      <c r="Q1094" s="7">
        <f>$E1094-$O1094</f>
        <v>0</v>
      </c>
      <c r="R1094" s="7" t="str">
        <f ca="1">IF(TODAY() - DHMXX[INV DUE DATE]&lt;30, "Less than 30 days",IF(TODAY()-DHMXX[INV DUE DATE]&lt;60,"30-60 days","More than 60 days"))</f>
        <v>Less than 30 days</v>
      </c>
      <c r="S1094" t="s">
        <v>1550</v>
      </c>
      <c r="T1094" s="43" t="s">
        <v>2229</v>
      </c>
      <c r="U1094" t="s">
        <v>3699</v>
      </c>
    </row>
    <row r="1095" spans="1:21" x14ac:dyDescent="0.3">
      <c r="A1095" t="s">
        <v>4137</v>
      </c>
      <c r="B1095" t="s">
        <v>30</v>
      </c>
      <c r="C1095" t="s">
        <v>59</v>
      </c>
      <c r="D1095" s="15">
        <v>1</v>
      </c>
      <c r="E1095" s="7">
        <v>172.5</v>
      </c>
      <c r="H1095">
        <v>55292</v>
      </c>
      <c r="I1095" t="s">
        <v>353</v>
      </c>
      <c r="J1095" t="s">
        <v>2763</v>
      </c>
      <c r="K1095" t="s">
        <v>3</v>
      </c>
      <c r="L1095" s="2">
        <v>43252</v>
      </c>
      <c r="M1095" s="2">
        <f>DHMXX[[#This Row],[INV DOC DATE]]+30</f>
        <v>43282</v>
      </c>
      <c r="N1095" s="2">
        <v>43279</v>
      </c>
      <c r="O1095" s="7">
        <v>172.5</v>
      </c>
      <c r="P1095" s="2">
        <v>43290</v>
      </c>
      <c r="Q1095" s="7">
        <f>$E1095-$O1095</f>
        <v>0</v>
      </c>
      <c r="R1095" s="7" t="str">
        <f ca="1">IF(TODAY() - DHMXX[INV DUE DATE]&lt;30, "Less than 30 days",IF(TODAY()-DHMXX[INV DUE DATE]&lt;60,"30-60 days","More than 60 days"))</f>
        <v>Less than 30 days</v>
      </c>
      <c r="S1095" t="s">
        <v>1550</v>
      </c>
      <c r="T1095" s="43" t="s">
        <v>2229</v>
      </c>
      <c r="U1095" t="s">
        <v>3699</v>
      </c>
    </row>
    <row r="1096" spans="1:21" x14ac:dyDescent="0.3">
      <c r="A1096" t="s">
        <v>4137</v>
      </c>
      <c r="B1096" t="s">
        <v>30</v>
      </c>
      <c r="C1096" t="s">
        <v>60</v>
      </c>
      <c r="D1096" s="15">
        <v>1</v>
      </c>
      <c r="E1096" s="7">
        <v>172.5</v>
      </c>
      <c r="H1096">
        <v>55292</v>
      </c>
      <c r="I1096" t="s">
        <v>353</v>
      </c>
      <c r="J1096" t="s">
        <v>2764</v>
      </c>
      <c r="K1096" t="s">
        <v>3</v>
      </c>
      <c r="L1096" s="2">
        <v>43252</v>
      </c>
      <c r="M1096" s="2">
        <f>DHMXX[[#This Row],[INV DOC DATE]]+30</f>
        <v>43282</v>
      </c>
      <c r="N1096" s="2">
        <v>43279</v>
      </c>
      <c r="O1096" s="7">
        <v>172.5</v>
      </c>
      <c r="P1096" s="2">
        <v>43290</v>
      </c>
      <c r="Q1096" s="7">
        <f>$E1096-$O1096</f>
        <v>0</v>
      </c>
      <c r="R1096" s="7" t="str">
        <f ca="1">IF(TODAY() - DHMXX[INV DUE DATE]&lt;30, "Less than 30 days",IF(TODAY()-DHMXX[INV DUE DATE]&lt;60,"30-60 days","More than 60 days"))</f>
        <v>Less than 30 days</v>
      </c>
      <c r="S1096" t="s">
        <v>1550</v>
      </c>
      <c r="T1096" s="43" t="s">
        <v>2229</v>
      </c>
      <c r="U1096" t="s">
        <v>3699</v>
      </c>
    </row>
    <row r="1097" spans="1:21" x14ac:dyDescent="0.3">
      <c r="A1097" t="s">
        <v>4137</v>
      </c>
      <c r="B1097" t="s">
        <v>30</v>
      </c>
      <c r="C1097" t="s">
        <v>61</v>
      </c>
      <c r="D1097" s="15">
        <v>1</v>
      </c>
      <c r="E1097" s="7">
        <v>172.5</v>
      </c>
      <c r="H1097">
        <v>55292</v>
      </c>
      <c r="I1097" t="s">
        <v>353</v>
      </c>
      <c r="J1097" t="s">
        <v>2762</v>
      </c>
      <c r="K1097" t="s">
        <v>3</v>
      </c>
      <c r="L1097" s="2">
        <v>43252</v>
      </c>
      <c r="M1097" s="2">
        <f>DHMXX[[#This Row],[INV DOC DATE]]+30</f>
        <v>43282</v>
      </c>
      <c r="N1097" s="2">
        <v>43279</v>
      </c>
      <c r="O1097" s="7">
        <v>172.5</v>
      </c>
      <c r="P1097" s="2">
        <v>43290</v>
      </c>
      <c r="Q1097" s="7">
        <f>$E1097-$O1097</f>
        <v>0</v>
      </c>
      <c r="R1097" s="7" t="str">
        <f ca="1">IF(TODAY() - DHMXX[INV DUE DATE]&lt;30, "Less than 30 days",IF(TODAY()-DHMXX[INV DUE DATE]&lt;60,"30-60 days","More than 60 days"))</f>
        <v>Less than 30 days</v>
      </c>
      <c r="S1097" t="s">
        <v>1550</v>
      </c>
      <c r="T1097" s="43" t="s">
        <v>2229</v>
      </c>
      <c r="U1097" t="s">
        <v>3699</v>
      </c>
    </row>
    <row r="1098" spans="1:21" x14ac:dyDescent="0.3">
      <c r="A1098" t="s">
        <v>4137</v>
      </c>
      <c r="B1098" t="s">
        <v>30</v>
      </c>
      <c r="C1098" t="s">
        <v>62</v>
      </c>
      <c r="D1098" s="15">
        <v>1</v>
      </c>
      <c r="E1098" s="7">
        <v>172.5</v>
      </c>
      <c r="H1098">
        <v>55292</v>
      </c>
      <c r="I1098" t="s">
        <v>353</v>
      </c>
      <c r="J1098" t="s">
        <v>2756</v>
      </c>
      <c r="K1098" t="s">
        <v>3</v>
      </c>
      <c r="L1098" s="2">
        <v>43252</v>
      </c>
      <c r="M1098" s="2">
        <f>DHMXX[[#This Row],[INV DOC DATE]]+30</f>
        <v>43282</v>
      </c>
      <c r="N1098" s="2">
        <v>43279</v>
      </c>
      <c r="O1098" s="7">
        <v>172.5</v>
      </c>
      <c r="P1098" s="2">
        <v>43290</v>
      </c>
      <c r="Q1098" s="7">
        <f>$E1098-$O1098</f>
        <v>0</v>
      </c>
      <c r="R1098" s="7" t="str">
        <f ca="1">IF(TODAY() - DHMXX[INV DUE DATE]&lt;30, "Less than 30 days",IF(TODAY()-DHMXX[INV DUE DATE]&lt;60,"30-60 days","More than 60 days"))</f>
        <v>Less than 30 days</v>
      </c>
      <c r="S1098" t="s">
        <v>1550</v>
      </c>
      <c r="T1098" s="43" t="s">
        <v>2229</v>
      </c>
      <c r="U1098" t="s">
        <v>3699</v>
      </c>
    </row>
    <row r="1099" spans="1:21" x14ac:dyDescent="0.3">
      <c r="A1099" t="s">
        <v>4137</v>
      </c>
      <c r="B1099" t="s">
        <v>30</v>
      </c>
      <c r="C1099" t="s">
        <v>63</v>
      </c>
      <c r="D1099" s="15">
        <v>1</v>
      </c>
      <c r="E1099" s="7">
        <v>172.5</v>
      </c>
      <c r="H1099">
        <v>55292</v>
      </c>
      <c r="I1099" t="s">
        <v>353</v>
      </c>
      <c r="J1099" t="s">
        <v>2757</v>
      </c>
      <c r="K1099" t="s">
        <v>3</v>
      </c>
      <c r="L1099" s="2">
        <v>43252</v>
      </c>
      <c r="M1099" s="2">
        <f>DHMXX[[#This Row],[INV DOC DATE]]+30</f>
        <v>43282</v>
      </c>
      <c r="N1099" s="2">
        <v>43279</v>
      </c>
      <c r="O1099" s="7">
        <v>172.5</v>
      </c>
      <c r="P1099" s="2">
        <v>43290</v>
      </c>
      <c r="Q1099" s="7">
        <f>$E1099-$O1099</f>
        <v>0</v>
      </c>
      <c r="R1099" s="7" t="str">
        <f ca="1">IF(TODAY() - DHMXX[INV DUE DATE]&lt;30, "Less than 30 days",IF(TODAY()-DHMXX[INV DUE DATE]&lt;60,"30-60 days","More than 60 days"))</f>
        <v>Less than 30 days</v>
      </c>
      <c r="S1099" t="s">
        <v>1550</v>
      </c>
      <c r="T1099" s="43" t="s">
        <v>2229</v>
      </c>
      <c r="U1099" t="s">
        <v>3699</v>
      </c>
    </row>
    <row r="1100" spans="1:21" x14ac:dyDescent="0.3">
      <c r="A1100" t="s">
        <v>4137</v>
      </c>
      <c r="B1100" t="s">
        <v>30</v>
      </c>
      <c r="C1100" t="s">
        <v>64</v>
      </c>
      <c r="D1100" s="15">
        <v>1</v>
      </c>
      <c r="E1100" s="7">
        <v>172.5</v>
      </c>
      <c r="H1100">
        <v>55292</v>
      </c>
      <c r="I1100" t="s">
        <v>353</v>
      </c>
      <c r="J1100" t="s">
        <v>2758</v>
      </c>
      <c r="K1100" t="s">
        <v>3</v>
      </c>
      <c r="L1100" s="2">
        <v>43252</v>
      </c>
      <c r="M1100" s="2">
        <f>DHMXX[[#This Row],[INV DOC DATE]]+30</f>
        <v>43282</v>
      </c>
      <c r="N1100" s="2">
        <v>43279</v>
      </c>
      <c r="O1100" s="7">
        <v>172.5</v>
      </c>
      <c r="P1100" s="2">
        <v>43290</v>
      </c>
      <c r="Q1100" s="7">
        <f>$E1100-$O1100</f>
        <v>0</v>
      </c>
      <c r="R1100" s="7" t="str">
        <f ca="1">IF(TODAY() - DHMXX[INV DUE DATE]&lt;30, "Less than 30 days",IF(TODAY()-DHMXX[INV DUE DATE]&lt;60,"30-60 days","More than 60 days"))</f>
        <v>Less than 30 days</v>
      </c>
      <c r="S1100" t="s">
        <v>1550</v>
      </c>
      <c r="T1100" s="43" t="s">
        <v>2229</v>
      </c>
      <c r="U1100" t="s">
        <v>3699</v>
      </c>
    </row>
    <row r="1101" spans="1:21" x14ac:dyDescent="0.3">
      <c r="A1101" t="s">
        <v>4137</v>
      </c>
      <c r="B1101" t="s">
        <v>30</v>
      </c>
      <c r="C1101" t="s">
        <v>65</v>
      </c>
      <c r="D1101" s="15">
        <v>1</v>
      </c>
      <c r="E1101" s="7">
        <v>172.5</v>
      </c>
      <c r="H1101">
        <v>55292</v>
      </c>
      <c r="I1101" t="s">
        <v>353</v>
      </c>
      <c r="J1101" t="s">
        <v>2759</v>
      </c>
      <c r="K1101" t="s">
        <v>3</v>
      </c>
      <c r="L1101" s="2">
        <v>43252</v>
      </c>
      <c r="M1101" s="2">
        <f>DHMXX[[#This Row],[INV DOC DATE]]+30</f>
        <v>43282</v>
      </c>
      <c r="N1101" s="2">
        <v>43279</v>
      </c>
      <c r="O1101" s="7">
        <v>172.5</v>
      </c>
      <c r="P1101" s="2">
        <v>43290</v>
      </c>
      <c r="Q1101" s="7">
        <f>$E1101-$O1101</f>
        <v>0</v>
      </c>
      <c r="R1101" s="7" t="str">
        <f ca="1">IF(TODAY() - DHMXX[INV DUE DATE]&lt;30, "Less than 30 days",IF(TODAY()-DHMXX[INV DUE DATE]&lt;60,"30-60 days","More than 60 days"))</f>
        <v>Less than 30 days</v>
      </c>
      <c r="S1101" t="s">
        <v>1550</v>
      </c>
      <c r="T1101" s="43" t="s">
        <v>2229</v>
      </c>
      <c r="U1101" t="s">
        <v>3699</v>
      </c>
    </row>
    <row r="1102" spans="1:21" x14ac:dyDescent="0.3">
      <c r="A1102" t="s">
        <v>4137</v>
      </c>
      <c r="B1102" t="s">
        <v>30</v>
      </c>
      <c r="C1102" t="s">
        <v>66</v>
      </c>
      <c r="D1102" s="15">
        <v>1</v>
      </c>
      <c r="E1102" s="7">
        <v>172.5</v>
      </c>
      <c r="H1102">
        <v>55292</v>
      </c>
      <c r="I1102" t="s">
        <v>353</v>
      </c>
      <c r="J1102" t="s">
        <v>2760</v>
      </c>
      <c r="K1102" t="s">
        <v>3</v>
      </c>
      <c r="L1102" s="2">
        <v>43252</v>
      </c>
      <c r="M1102" s="2">
        <f>DHMXX[[#This Row],[INV DOC DATE]]+30</f>
        <v>43282</v>
      </c>
      <c r="N1102" s="2">
        <v>43279</v>
      </c>
      <c r="O1102" s="7">
        <v>172.5</v>
      </c>
      <c r="P1102" s="2">
        <v>43290</v>
      </c>
      <c r="Q1102" s="7">
        <f>$E1102-$O1102</f>
        <v>0</v>
      </c>
      <c r="R1102" s="7" t="str">
        <f ca="1">IF(TODAY() - DHMXX[INV DUE DATE]&lt;30, "Less than 30 days",IF(TODAY()-DHMXX[INV DUE DATE]&lt;60,"30-60 days","More than 60 days"))</f>
        <v>Less than 30 days</v>
      </c>
      <c r="S1102" t="s">
        <v>1550</v>
      </c>
      <c r="T1102" s="43" t="s">
        <v>2229</v>
      </c>
      <c r="U1102" t="s">
        <v>3699</v>
      </c>
    </row>
    <row r="1103" spans="1:21" x14ac:dyDescent="0.3">
      <c r="A1103" t="s">
        <v>4137</v>
      </c>
      <c r="B1103" t="s">
        <v>30</v>
      </c>
      <c r="C1103" t="s">
        <v>67</v>
      </c>
      <c r="D1103" s="15">
        <v>1</v>
      </c>
      <c r="E1103" s="7">
        <v>172.5</v>
      </c>
      <c r="H1103">
        <v>55292</v>
      </c>
      <c r="I1103" t="s">
        <v>353</v>
      </c>
      <c r="J1103" t="s">
        <v>2761</v>
      </c>
      <c r="K1103" t="s">
        <v>3</v>
      </c>
      <c r="L1103" s="2">
        <v>43252</v>
      </c>
      <c r="M1103" s="2">
        <f>DHMXX[[#This Row],[INV DOC DATE]]+30</f>
        <v>43282</v>
      </c>
      <c r="N1103" s="2">
        <v>43279</v>
      </c>
      <c r="O1103" s="7">
        <v>172.5</v>
      </c>
      <c r="P1103" s="2">
        <v>43290</v>
      </c>
      <c r="Q1103" s="7">
        <f>$E1103-$O1103</f>
        <v>0</v>
      </c>
      <c r="R1103" s="7" t="str">
        <f ca="1">IF(TODAY() - DHMXX[INV DUE DATE]&lt;30, "Less than 30 days",IF(TODAY()-DHMXX[INV DUE DATE]&lt;60,"30-60 days","More than 60 days"))</f>
        <v>Less than 30 days</v>
      </c>
      <c r="S1103" t="s">
        <v>1550</v>
      </c>
      <c r="T1103" s="43" t="s">
        <v>2229</v>
      </c>
      <c r="U1103" t="s">
        <v>3699</v>
      </c>
    </row>
    <row r="1104" spans="1:21" x14ac:dyDescent="0.3">
      <c r="A1104" t="s">
        <v>4137</v>
      </c>
      <c r="B1104" t="s">
        <v>30</v>
      </c>
      <c r="C1104" t="s">
        <v>68</v>
      </c>
      <c r="D1104" s="15">
        <v>1</v>
      </c>
      <c r="E1104" s="7">
        <v>172.5</v>
      </c>
      <c r="H1104">
        <v>55477</v>
      </c>
      <c r="I1104" t="s">
        <v>846</v>
      </c>
      <c r="J1104" t="s">
        <v>2765</v>
      </c>
      <c r="K1104" t="s">
        <v>3</v>
      </c>
      <c r="L1104" s="2">
        <v>43252</v>
      </c>
      <c r="M1104" s="2">
        <f>DHMXX[[#This Row],[INV DOC DATE]]+30</f>
        <v>43282</v>
      </c>
      <c r="N1104" s="2">
        <v>43279</v>
      </c>
      <c r="O1104" s="7">
        <v>172.5</v>
      </c>
      <c r="P1104" s="2">
        <v>43290</v>
      </c>
      <c r="Q1104" s="7">
        <f>$E1104-$O1104</f>
        <v>0</v>
      </c>
      <c r="R1104" s="7" t="str">
        <f ca="1">IF(TODAY() - DHMXX[INV DUE DATE]&lt;30, "Less than 30 days",IF(TODAY()-DHMXX[INV DUE DATE]&lt;60,"30-60 days","More than 60 days"))</f>
        <v>Less than 30 days</v>
      </c>
      <c r="S1104" t="s">
        <v>1550</v>
      </c>
      <c r="T1104" s="43" t="s">
        <v>2229</v>
      </c>
      <c r="U1104" t="s">
        <v>3699</v>
      </c>
    </row>
    <row r="1105" spans="1:21" x14ac:dyDescent="0.3">
      <c r="A1105" t="s">
        <v>4137</v>
      </c>
      <c r="B1105" t="s">
        <v>30</v>
      </c>
      <c r="C1105" t="s">
        <v>69</v>
      </c>
      <c r="D1105" s="15">
        <v>1</v>
      </c>
      <c r="E1105" s="7">
        <v>172.5</v>
      </c>
      <c r="H1105">
        <v>55766</v>
      </c>
      <c r="I1105" t="s">
        <v>847</v>
      </c>
      <c r="J1105" t="s">
        <v>2767</v>
      </c>
      <c r="K1105" t="s">
        <v>3</v>
      </c>
      <c r="L1105" s="2">
        <v>43252</v>
      </c>
      <c r="M1105" s="2">
        <f>DHMXX[[#This Row],[INV DOC DATE]]+30</f>
        <v>43282</v>
      </c>
      <c r="N1105" s="2">
        <v>43279</v>
      </c>
      <c r="O1105" s="7">
        <v>172.5</v>
      </c>
      <c r="P1105" s="2">
        <v>43290</v>
      </c>
      <c r="Q1105" s="7">
        <f>$E1105-$O1105</f>
        <v>0</v>
      </c>
      <c r="R1105" s="7" t="str">
        <f ca="1">IF(TODAY() - DHMXX[INV DUE DATE]&lt;30, "Less than 30 days",IF(TODAY()-DHMXX[INV DUE DATE]&lt;60,"30-60 days","More than 60 days"))</f>
        <v>Less than 30 days</v>
      </c>
      <c r="S1105" t="s">
        <v>1550</v>
      </c>
      <c r="T1105" s="43" t="s">
        <v>2229</v>
      </c>
      <c r="U1105" t="s">
        <v>3699</v>
      </c>
    </row>
    <row r="1106" spans="1:21" x14ac:dyDescent="0.3">
      <c r="A1106" t="s">
        <v>4137</v>
      </c>
      <c r="B1106" t="s">
        <v>30</v>
      </c>
      <c r="C1106" t="s">
        <v>70</v>
      </c>
      <c r="D1106" s="15">
        <v>1</v>
      </c>
      <c r="E1106" s="7">
        <v>172.5</v>
      </c>
      <c r="H1106">
        <v>55766</v>
      </c>
      <c r="I1106" t="s">
        <v>847</v>
      </c>
      <c r="J1106" t="s">
        <v>2766</v>
      </c>
      <c r="K1106" t="s">
        <v>3</v>
      </c>
      <c r="L1106" s="2">
        <v>43252</v>
      </c>
      <c r="M1106" s="2">
        <f>DHMXX[[#This Row],[INV DOC DATE]]+30</f>
        <v>43282</v>
      </c>
      <c r="N1106" s="2">
        <v>43279</v>
      </c>
      <c r="O1106" s="7">
        <v>172.5</v>
      </c>
      <c r="P1106" s="2">
        <v>43290</v>
      </c>
      <c r="Q1106" s="7">
        <f>$E1106-$O1106</f>
        <v>0</v>
      </c>
      <c r="R1106" s="7" t="str">
        <f ca="1">IF(TODAY() - DHMXX[INV DUE DATE]&lt;30, "Less than 30 days",IF(TODAY()-DHMXX[INV DUE DATE]&lt;60,"30-60 days","More than 60 days"))</f>
        <v>Less than 30 days</v>
      </c>
      <c r="S1106" t="s">
        <v>1550</v>
      </c>
      <c r="T1106" s="43" t="s">
        <v>2229</v>
      </c>
      <c r="U1106" t="s">
        <v>3699</v>
      </c>
    </row>
    <row r="1107" spans="1:21" x14ac:dyDescent="0.3">
      <c r="A1107" t="s">
        <v>4137</v>
      </c>
      <c r="B1107" t="s">
        <v>30</v>
      </c>
      <c r="C1107" t="s">
        <v>71</v>
      </c>
      <c r="D1107" s="15">
        <v>1</v>
      </c>
      <c r="E1107" s="7">
        <v>172.5</v>
      </c>
      <c r="H1107">
        <v>55766</v>
      </c>
      <c r="I1107" t="s">
        <v>847</v>
      </c>
      <c r="J1107" t="s">
        <v>2768</v>
      </c>
      <c r="K1107" t="s">
        <v>3</v>
      </c>
      <c r="L1107" s="2">
        <v>43252</v>
      </c>
      <c r="M1107" s="2">
        <f>DHMXX[[#This Row],[INV DOC DATE]]+30</f>
        <v>43282</v>
      </c>
      <c r="N1107" s="2">
        <v>43279</v>
      </c>
      <c r="O1107" s="7">
        <v>172.5</v>
      </c>
      <c r="P1107" s="2">
        <v>43290</v>
      </c>
      <c r="Q1107" s="7">
        <f>$E1107-$O1107</f>
        <v>0</v>
      </c>
      <c r="R1107" s="7" t="str">
        <f ca="1">IF(TODAY() - DHMXX[INV DUE DATE]&lt;30, "Less than 30 days",IF(TODAY()-DHMXX[INV DUE DATE]&lt;60,"30-60 days","More than 60 days"))</f>
        <v>Less than 30 days</v>
      </c>
      <c r="S1107" t="s">
        <v>1550</v>
      </c>
      <c r="T1107" s="43" t="s">
        <v>2229</v>
      </c>
      <c r="U1107" t="s">
        <v>3699</v>
      </c>
    </row>
    <row r="1108" spans="1:21" x14ac:dyDescent="0.3">
      <c r="A1108" t="s">
        <v>4137</v>
      </c>
      <c r="B1108" t="s">
        <v>30</v>
      </c>
      <c r="C1108" t="s">
        <v>72</v>
      </c>
      <c r="D1108" s="15">
        <v>1</v>
      </c>
      <c r="E1108" s="7">
        <v>172.5</v>
      </c>
      <c r="H1108">
        <v>55785</v>
      </c>
      <c r="I1108" t="s">
        <v>354</v>
      </c>
      <c r="J1108" t="s">
        <v>2769</v>
      </c>
      <c r="K1108" t="s">
        <v>3</v>
      </c>
      <c r="L1108" s="2">
        <v>43252</v>
      </c>
      <c r="M1108" s="2">
        <f>DHMXX[[#This Row],[INV DOC DATE]]+30</f>
        <v>43282</v>
      </c>
      <c r="N1108" s="2">
        <v>43279</v>
      </c>
      <c r="O1108" s="7">
        <v>172.5</v>
      </c>
      <c r="P1108" s="2">
        <v>43290</v>
      </c>
      <c r="Q1108" s="7">
        <f>$E1108-$O1108</f>
        <v>0</v>
      </c>
      <c r="R1108" s="7" t="str">
        <f ca="1">IF(TODAY() - DHMXX[INV DUE DATE]&lt;30, "Less than 30 days",IF(TODAY()-DHMXX[INV DUE DATE]&lt;60,"30-60 days","More than 60 days"))</f>
        <v>Less than 30 days</v>
      </c>
      <c r="S1108" t="s">
        <v>1550</v>
      </c>
      <c r="T1108" s="43" t="s">
        <v>2229</v>
      </c>
      <c r="U1108" t="s">
        <v>3699</v>
      </c>
    </row>
    <row r="1109" spans="1:21" x14ac:dyDescent="0.3">
      <c r="A1109" t="s">
        <v>4137</v>
      </c>
      <c r="B1109" t="s">
        <v>30</v>
      </c>
      <c r="C1109" t="s">
        <v>73</v>
      </c>
      <c r="D1109" s="15">
        <v>1</v>
      </c>
      <c r="E1109" s="7">
        <v>172.5</v>
      </c>
      <c r="H1109">
        <v>56539</v>
      </c>
      <c r="I1109" t="s">
        <v>848</v>
      </c>
      <c r="J1109" t="s">
        <v>2770</v>
      </c>
      <c r="K1109" t="s">
        <v>3</v>
      </c>
      <c r="L1109" s="2">
        <v>43252</v>
      </c>
      <c r="M1109" s="2">
        <f>DHMXX[[#This Row],[INV DOC DATE]]+30</f>
        <v>43282</v>
      </c>
      <c r="N1109" s="2">
        <v>43279</v>
      </c>
      <c r="O1109" s="7">
        <v>172.5</v>
      </c>
      <c r="P1109" s="2">
        <v>43290</v>
      </c>
      <c r="Q1109" s="7">
        <f>$E1109-$O1109</f>
        <v>0</v>
      </c>
      <c r="R1109" s="7" t="str">
        <f ca="1">IF(TODAY() - DHMXX[INV DUE DATE]&lt;30, "Less than 30 days",IF(TODAY()-DHMXX[INV DUE DATE]&lt;60,"30-60 days","More than 60 days"))</f>
        <v>Less than 30 days</v>
      </c>
      <c r="S1109" t="s">
        <v>1550</v>
      </c>
      <c r="T1109" s="43" t="s">
        <v>2229</v>
      </c>
      <c r="U1109" t="s">
        <v>3699</v>
      </c>
    </row>
    <row r="1110" spans="1:21" x14ac:dyDescent="0.3">
      <c r="A1110" t="s">
        <v>4137</v>
      </c>
      <c r="B1110" t="s">
        <v>30</v>
      </c>
      <c r="C1110" t="s">
        <v>74</v>
      </c>
      <c r="D1110" s="15">
        <v>1</v>
      </c>
      <c r="E1110" s="7">
        <v>172.5</v>
      </c>
      <c r="H1110">
        <v>56774</v>
      </c>
      <c r="I1110" t="s">
        <v>849</v>
      </c>
      <c r="J1110" t="s">
        <v>2773</v>
      </c>
      <c r="K1110" t="s">
        <v>3</v>
      </c>
      <c r="L1110" s="2">
        <v>43252</v>
      </c>
      <c r="M1110" s="2">
        <f>DHMXX[[#This Row],[INV DOC DATE]]+30</f>
        <v>43282</v>
      </c>
      <c r="N1110" s="2">
        <v>43279</v>
      </c>
      <c r="O1110" s="7">
        <v>172.5</v>
      </c>
      <c r="P1110" s="2">
        <v>43290</v>
      </c>
      <c r="Q1110" s="7">
        <f>$E1110-$O1110</f>
        <v>0</v>
      </c>
      <c r="R1110" s="7" t="str">
        <f ca="1">IF(TODAY() - DHMXX[INV DUE DATE]&lt;30, "Less than 30 days",IF(TODAY()-DHMXX[INV DUE DATE]&lt;60,"30-60 days","More than 60 days"))</f>
        <v>Less than 30 days</v>
      </c>
      <c r="S1110" t="s">
        <v>1550</v>
      </c>
      <c r="T1110" s="43" t="s">
        <v>2229</v>
      </c>
      <c r="U1110" t="s">
        <v>3699</v>
      </c>
    </row>
    <row r="1111" spans="1:21" x14ac:dyDescent="0.3">
      <c r="A1111" t="s">
        <v>4137</v>
      </c>
      <c r="B1111" t="s">
        <v>30</v>
      </c>
      <c r="C1111" t="s">
        <v>75</v>
      </c>
      <c r="D1111" s="15">
        <v>1</v>
      </c>
      <c r="E1111" s="7">
        <v>420</v>
      </c>
      <c r="H1111">
        <v>56774</v>
      </c>
      <c r="I1111" t="s">
        <v>849</v>
      </c>
      <c r="J1111" t="s">
        <v>2774</v>
      </c>
      <c r="K1111" t="s">
        <v>3</v>
      </c>
      <c r="L1111" s="2">
        <v>43252</v>
      </c>
      <c r="M1111" s="2">
        <f>DHMXX[[#This Row],[INV DOC DATE]]+30</f>
        <v>43282</v>
      </c>
      <c r="N1111" s="2">
        <v>43279</v>
      </c>
      <c r="O1111" s="7">
        <v>420</v>
      </c>
      <c r="P1111" s="2">
        <v>43290</v>
      </c>
      <c r="Q1111" s="7">
        <f>$E1111-$O1111</f>
        <v>0</v>
      </c>
      <c r="R1111" s="7" t="str">
        <f ca="1">IF(TODAY() - DHMXX[INV DUE DATE]&lt;30, "Less than 30 days",IF(TODAY()-DHMXX[INV DUE DATE]&lt;60,"30-60 days","More than 60 days"))</f>
        <v>Less than 30 days</v>
      </c>
      <c r="S1111" t="s">
        <v>1550</v>
      </c>
      <c r="T1111" s="43" t="s">
        <v>2229</v>
      </c>
      <c r="U1111" t="s">
        <v>3699</v>
      </c>
    </row>
    <row r="1112" spans="1:21" x14ac:dyDescent="0.3">
      <c r="A1112" t="s">
        <v>4137</v>
      </c>
      <c r="B1112" t="s">
        <v>30</v>
      </c>
      <c r="C1112" t="s">
        <v>76</v>
      </c>
      <c r="D1112" s="15">
        <v>1</v>
      </c>
      <c r="E1112" s="7">
        <v>420</v>
      </c>
      <c r="H1112">
        <v>56774</v>
      </c>
      <c r="I1112" t="s">
        <v>849</v>
      </c>
      <c r="J1112" t="s">
        <v>2775</v>
      </c>
      <c r="K1112" t="s">
        <v>3</v>
      </c>
      <c r="L1112" s="2">
        <v>43252</v>
      </c>
      <c r="M1112" s="2">
        <f>DHMXX[[#This Row],[INV DOC DATE]]+30</f>
        <v>43282</v>
      </c>
      <c r="N1112" s="2">
        <v>43279</v>
      </c>
      <c r="O1112" s="7">
        <v>420</v>
      </c>
      <c r="P1112" s="2">
        <v>43290</v>
      </c>
      <c r="Q1112" s="7">
        <f>$E1112-$O1112</f>
        <v>0</v>
      </c>
      <c r="R1112" s="7" t="str">
        <f ca="1">IF(TODAY() - DHMXX[INV DUE DATE]&lt;30, "Less than 30 days",IF(TODAY()-DHMXX[INV DUE DATE]&lt;60,"30-60 days","More than 60 days"))</f>
        <v>Less than 30 days</v>
      </c>
      <c r="S1112" t="s">
        <v>1550</v>
      </c>
      <c r="T1112" s="43" t="s">
        <v>2229</v>
      </c>
      <c r="U1112" t="s">
        <v>3699</v>
      </c>
    </row>
    <row r="1113" spans="1:21" x14ac:dyDescent="0.3">
      <c r="A1113" t="s">
        <v>4137</v>
      </c>
      <c r="B1113" t="s">
        <v>30</v>
      </c>
      <c r="C1113" t="s">
        <v>77</v>
      </c>
      <c r="D1113" s="15">
        <v>1</v>
      </c>
      <c r="E1113" s="7">
        <v>420</v>
      </c>
      <c r="H1113">
        <v>56774</v>
      </c>
      <c r="I1113" t="s">
        <v>849</v>
      </c>
      <c r="J1113" t="s">
        <v>2776</v>
      </c>
      <c r="K1113" t="s">
        <v>3</v>
      </c>
      <c r="L1113" s="2">
        <v>43252</v>
      </c>
      <c r="M1113" s="2">
        <f>DHMXX[[#This Row],[INV DOC DATE]]+30</f>
        <v>43282</v>
      </c>
      <c r="N1113" s="2">
        <v>43279</v>
      </c>
      <c r="O1113" s="7">
        <v>420</v>
      </c>
      <c r="P1113" s="2">
        <v>43290</v>
      </c>
      <c r="Q1113" s="7">
        <f>$E1113-$O1113</f>
        <v>0</v>
      </c>
      <c r="R1113" s="7" t="str">
        <f ca="1">IF(TODAY() - DHMXX[INV DUE DATE]&lt;30, "Less than 30 days",IF(TODAY()-DHMXX[INV DUE DATE]&lt;60,"30-60 days","More than 60 days"))</f>
        <v>Less than 30 days</v>
      </c>
      <c r="S1113" t="s">
        <v>1550</v>
      </c>
      <c r="T1113" s="43" t="s">
        <v>2229</v>
      </c>
      <c r="U1113" t="s">
        <v>3699</v>
      </c>
    </row>
    <row r="1114" spans="1:21" x14ac:dyDescent="0.3">
      <c r="A1114" t="s">
        <v>4137</v>
      </c>
      <c r="B1114" t="s">
        <v>30</v>
      </c>
      <c r="C1114" t="s">
        <v>78</v>
      </c>
      <c r="D1114" s="15">
        <v>1</v>
      </c>
      <c r="E1114" s="7">
        <v>172.5</v>
      </c>
      <c r="H1114">
        <v>58008</v>
      </c>
      <c r="I1114" t="s">
        <v>355</v>
      </c>
      <c r="J1114" t="s">
        <v>2777</v>
      </c>
      <c r="K1114" t="s">
        <v>3</v>
      </c>
      <c r="L1114" s="2">
        <v>43252</v>
      </c>
      <c r="M1114" s="2">
        <f>DHMXX[[#This Row],[INV DOC DATE]]+30</f>
        <v>43282</v>
      </c>
      <c r="N1114" s="2">
        <v>43279</v>
      </c>
      <c r="O1114" s="7">
        <v>172.5</v>
      </c>
      <c r="P1114" s="2">
        <v>43290</v>
      </c>
      <c r="Q1114" s="7">
        <f>$E1114-$O1114</f>
        <v>0</v>
      </c>
      <c r="R1114" s="7" t="str">
        <f ca="1">IF(TODAY() - DHMXX[INV DUE DATE]&lt;30, "Less than 30 days",IF(TODAY()-DHMXX[INV DUE DATE]&lt;60,"30-60 days","More than 60 days"))</f>
        <v>Less than 30 days</v>
      </c>
      <c r="S1114" t="s">
        <v>1550</v>
      </c>
      <c r="T1114" s="43" t="s">
        <v>2229</v>
      </c>
      <c r="U1114" t="s">
        <v>3699</v>
      </c>
    </row>
    <row r="1115" spans="1:21" x14ac:dyDescent="0.3">
      <c r="A1115" t="s">
        <v>4137</v>
      </c>
      <c r="B1115" t="s">
        <v>30</v>
      </c>
      <c r="C1115" t="s">
        <v>79</v>
      </c>
      <c r="D1115" s="15">
        <v>1</v>
      </c>
      <c r="E1115" s="7">
        <v>172.5</v>
      </c>
      <c r="H1115">
        <v>59994</v>
      </c>
      <c r="I1115" t="s">
        <v>850</v>
      </c>
      <c r="J1115" t="s">
        <v>2778</v>
      </c>
      <c r="K1115" t="s">
        <v>3</v>
      </c>
      <c r="L1115" s="2">
        <v>43252</v>
      </c>
      <c r="M1115" s="2">
        <f>DHMXX[[#This Row],[INV DOC DATE]]+30</f>
        <v>43282</v>
      </c>
      <c r="N1115" s="2">
        <v>43279</v>
      </c>
      <c r="O1115" s="7">
        <v>172.5</v>
      </c>
      <c r="P1115" s="2">
        <v>43290</v>
      </c>
      <c r="Q1115" s="7">
        <f>$E1115-$O1115</f>
        <v>0</v>
      </c>
      <c r="R1115" s="7" t="str">
        <f ca="1">IF(TODAY() - DHMXX[INV DUE DATE]&lt;30, "Less than 30 days",IF(TODAY()-DHMXX[INV DUE DATE]&lt;60,"30-60 days","More than 60 days"))</f>
        <v>Less than 30 days</v>
      </c>
      <c r="S1115" t="s">
        <v>1550</v>
      </c>
      <c r="T1115" s="43" t="s">
        <v>2229</v>
      </c>
      <c r="U1115" t="s">
        <v>3699</v>
      </c>
    </row>
    <row r="1116" spans="1:21" x14ac:dyDescent="0.3">
      <c r="A1116" t="s">
        <v>4137</v>
      </c>
      <c r="B1116" t="s">
        <v>30</v>
      </c>
      <c r="C1116" t="s">
        <v>80</v>
      </c>
      <c r="D1116" s="15">
        <v>1</v>
      </c>
      <c r="E1116" s="7">
        <v>172.5</v>
      </c>
      <c r="H1116">
        <v>59994</v>
      </c>
      <c r="I1116" t="s">
        <v>850</v>
      </c>
      <c r="J1116" t="s">
        <v>2747</v>
      </c>
      <c r="K1116" t="s">
        <v>3</v>
      </c>
      <c r="L1116" s="2">
        <v>43252</v>
      </c>
      <c r="M1116" s="2">
        <f>DHMXX[[#This Row],[INV DOC DATE]]+30</f>
        <v>43282</v>
      </c>
      <c r="N1116" s="2">
        <v>43279</v>
      </c>
      <c r="O1116" s="7">
        <v>172.5</v>
      </c>
      <c r="P1116" s="2">
        <v>43290</v>
      </c>
      <c r="Q1116" s="7">
        <f>$E1116-$O1116</f>
        <v>0</v>
      </c>
      <c r="R1116" s="7" t="str">
        <f ca="1">IF(TODAY() - DHMXX[INV DUE DATE]&lt;30, "Less than 30 days",IF(TODAY()-DHMXX[INV DUE DATE]&lt;60,"30-60 days","More than 60 days"))</f>
        <v>Less than 30 days</v>
      </c>
      <c r="S1116" t="s">
        <v>1550</v>
      </c>
      <c r="T1116" s="43" t="s">
        <v>2229</v>
      </c>
      <c r="U1116" t="s">
        <v>3699</v>
      </c>
    </row>
    <row r="1117" spans="1:21" x14ac:dyDescent="0.3">
      <c r="A1117" t="s">
        <v>4137</v>
      </c>
      <c r="B1117" t="s">
        <v>30</v>
      </c>
      <c r="C1117" t="s">
        <v>81</v>
      </c>
      <c r="D1117" s="15">
        <v>1</v>
      </c>
      <c r="E1117" s="7">
        <v>172.5</v>
      </c>
      <c r="H1117">
        <v>59994</v>
      </c>
      <c r="I1117" t="s">
        <v>850</v>
      </c>
      <c r="J1117" t="s">
        <v>2745</v>
      </c>
      <c r="K1117" t="s">
        <v>3</v>
      </c>
      <c r="L1117" s="2">
        <v>43252</v>
      </c>
      <c r="M1117" s="2">
        <f>DHMXX[[#This Row],[INV DOC DATE]]+30</f>
        <v>43282</v>
      </c>
      <c r="N1117" s="2">
        <v>43279</v>
      </c>
      <c r="O1117" s="7">
        <v>172.5</v>
      </c>
      <c r="P1117" s="2">
        <v>43290</v>
      </c>
      <c r="Q1117" s="7">
        <f>$E1117-$O1117</f>
        <v>0</v>
      </c>
      <c r="R1117" s="7" t="str">
        <f ca="1">IF(TODAY() - DHMXX[INV DUE DATE]&lt;30, "Less than 30 days",IF(TODAY()-DHMXX[INV DUE DATE]&lt;60,"30-60 days","More than 60 days"))</f>
        <v>Less than 30 days</v>
      </c>
      <c r="S1117" t="s">
        <v>1550</v>
      </c>
      <c r="T1117" s="43" t="s">
        <v>2229</v>
      </c>
      <c r="U1117" t="s">
        <v>3699</v>
      </c>
    </row>
    <row r="1118" spans="1:21" x14ac:dyDescent="0.3">
      <c r="A1118" t="s">
        <v>4137</v>
      </c>
      <c r="B1118" t="s">
        <v>30</v>
      </c>
      <c r="C1118" t="s">
        <v>82</v>
      </c>
      <c r="D1118" s="15">
        <v>1</v>
      </c>
      <c r="E1118" s="7">
        <v>172.5</v>
      </c>
      <c r="H1118">
        <v>66343</v>
      </c>
      <c r="I1118" t="s">
        <v>353</v>
      </c>
      <c r="J1118" t="s">
        <v>2780</v>
      </c>
      <c r="K1118" t="s">
        <v>3</v>
      </c>
      <c r="L1118" s="2">
        <v>43252</v>
      </c>
      <c r="M1118" s="2">
        <f>DHMXX[[#This Row],[INV DOC DATE]]+30</f>
        <v>43282</v>
      </c>
      <c r="N1118" s="2">
        <v>43279</v>
      </c>
      <c r="O1118" s="7">
        <v>172.5</v>
      </c>
      <c r="P1118" s="2">
        <v>43290</v>
      </c>
      <c r="Q1118" s="7">
        <f>$E1118-$O1118</f>
        <v>0</v>
      </c>
      <c r="R1118" s="7" t="str">
        <f ca="1">IF(TODAY() - DHMXX[INV DUE DATE]&lt;30, "Less than 30 days",IF(TODAY()-DHMXX[INV DUE DATE]&lt;60,"30-60 days","More than 60 days"))</f>
        <v>Less than 30 days</v>
      </c>
      <c r="S1118" t="s">
        <v>1550</v>
      </c>
      <c r="T1118" s="43" t="s">
        <v>2229</v>
      </c>
      <c r="U1118" t="s">
        <v>3699</v>
      </c>
    </row>
    <row r="1119" spans="1:21" x14ac:dyDescent="0.3">
      <c r="A1119" t="s">
        <v>4137</v>
      </c>
      <c r="B1119" t="s">
        <v>30</v>
      </c>
      <c r="C1119" t="s">
        <v>83</v>
      </c>
      <c r="D1119" s="15">
        <v>1</v>
      </c>
      <c r="E1119" s="7">
        <v>172.5</v>
      </c>
      <c r="H1119">
        <v>66343</v>
      </c>
      <c r="I1119" t="s">
        <v>353</v>
      </c>
      <c r="J1119" t="s">
        <v>2779</v>
      </c>
      <c r="K1119" t="s">
        <v>3</v>
      </c>
      <c r="L1119" s="2">
        <v>43252</v>
      </c>
      <c r="M1119" s="2">
        <f>DHMXX[[#This Row],[INV DOC DATE]]+30</f>
        <v>43282</v>
      </c>
      <c r="N1119" s="2">
        <v>43279</v>
      </c>
      <c r="O1119" s="7">
        <v>172.5</v>
      </c>
      <c r="P1119" s="2">
        <v>43290</v>
      </c>
      <c r="Q1119" s="7">
        <f>$E1119-$O1119</f>
        <v>0</v>
      </c>
      <c r="R1119" s="7" t="str">
        <f ca="1">IF(TODAY() - DHMXX[INV DUE DATE]&lt;30, "Less than 30 days",IF(TODAY()-DHMXX[INV DUE DATE]&lt;60,"30-60 days","More than 60 days"))</f>
        <v>Less than 30 days</v>
      </c>
      <c r="S1119" t="s">
        <v>1550</v>
      </c>
      <c r="T1119" s="43" t="s">
        <v>2229</v>
      </c>
      <c r="U1119" t="s">
        <v>3699</v>
      </c>
    </row>
    <row r="1120" spans="1:21" x14ac:dyDescent="0.3">
      <c r="A1120" t="s">
        <v>4137</v>
      </c>
      <c r="B1120" t="s">
        <v>30</v>
      </c>
      <c r="C1120" t="s">
        <v>84</v>
      </c>
      <c r="D1120" s="15">
        <v>1</v>
      </c>
      <c r="E1120" s="7">
        <v>172.5</v>
      </c>
      <c r="H1120">
        <v>66652</v>
      </c>
      <c r="I1120" t="s">
        <v>356</v>
      </c>
      <c r="J1120" t="s">
        <v>2781</v>
      </c>
      <c r="K1120" t="s">
        <v>3</v>
      </c>
      <c r="L1120" s="2">
        <v>43252</v>
      </c>
      <c r="M1120" s="2">
        <f>DHMXX[[#This Row],[INV DOC DATE]]+30</f>
        <v>43282</v>
      </c>
      <c r="N1120" s="2">
        <v>43279</v>
      </c>
      <c r="O1120" s="7">
        <v>172.5</v>
      </c>
      <c r="P1120" s="2">
        <v>43290</v>
      </c>
      <c r="Q1120" s="7">
        <f>$E1120-$O1120</f>
        <v>0</v>
      </c>
      <c r="R1120" s="7" t="str">
        <f ca="1">IF(TODAY() - DHMXX[INV DUE DATE]&lt;30, "Less than 30 days",IF(TODAY()-DHMXX[INV DUE DATE]&lt;60,"30-60 days","More than 60 days"))</f>
        <v>Less than 30 days</v>
      </c>
      <c r="S1120" t="s">
        <v>1550</v>
      </c>
      <c r="T1120" s="43" t="s">
        <v>2229</v>
      </c>
      <c r="U1120" t="s">
        <v>3699</v>
      </c>
    </row>
    <row r="1121" spans="1:21" x14ac:dyDescent="0.3">
      <c r="A1121" t="s">
        <v>4137</v>
      </c>
      <c r="B1121" t="s">
        <v>30</v>
      </c>
      <c r="C1121" t="s">
        <v>85</v>
      </c>
      <c r="D1121" s="15">
        <v>1</v>
      </c>
      <c r="E1121" s="7">
        <v>172.5</v>
      </c>
      <c r="H1121">
        <v>66988</v>
      </c>
      <c r="I1121" t="s">
        <v>349</v>
      </c>
      <c r="J1121" t="s">
        <v>2782</v>
      </c>
      <c r="K1121" t="s">
        <v>3</v>
      </c>
      <c r="L1121" s="2">
        <v>43252</v>
      </c>
      <c r="M1121" s="2">
        <f>DHMXX[[#This Row],[INV DOC DATE]]+30</f>
        <v>43282</v>
      </c>
      <c r="N1121" s="2">
        <v>43279</v>
      </c>
      <c r="O1121" s="7">
        <v>172.5</v>
      </c>
      <c r="P1121" s="2">
        <v>43290</v>
      </c>
      <c r="Q1121" s="7">
        <f>$E1121-$O1121</f>
        <v>0</v>
      </c>
      <c r="R1121" s="7" t="str">
        <f ca="1">IF(TODAY() - DHMXX[INV DUE DATE]&lt;30, "Less than 30 days",IF(TODAY()-DHMXX[INV DUE DATE]&lt;60,"30-60 days","More than 60 days"))</f>
        <v>Less than 30 days</v>
      </c>
      <c r="S1121" t="s">
        <v>1550</v>
      </c>
      <c r="T1121" s="43" t="s">
        <v>2229</v>
      </c>
      <c r="U1121" t="s">
        <v>3699</v>
      </c>
    </row>
    <row r="1122" spans="1:21" x14ac:dyDescent="0.3">
      <c r="A1122" t="s">
        <v>4137</v>
      </c>
      <c r="B1122" t="s">
        <v>30</v>
      </c>
      <c r="C1122" t="s">
        <v>86</v>
      </c>
      <c r="D1122" s="15">
        <v>1</v>
      </c>
      <c r="E1122" s="7">
        <v>465</v>
      </c>
      <c r="H1122">
        <v>67865</v>
      </c>
      <c r="I1122" t="s">
        <v>349</v>
      </c>
      <c r="J1122" t="s">
        <v>2793</v>
      </c>
      <c r="K1122" t="s">
        <v>3</v>
      </c>
      <c r="L1122" s="2">
        <v>43252</v>
      </c>
      <c r="M1122" s="2">
        <f>DHMXX[[#This Row],[INV DOC DATE]]+30</f>
        <v>43282</v>
      </c>
      <c r="N1122" s="2">
        <v>43279</v>
      </c>
      <c r="O1122" s="7">
        <v>465</v>
      </c>
      <c r="P1122" s="2">
        <v>43290</v>
      </c>
      <c r="Q1122" s="7">
        <f>$E1122-$O1122</f>
        <v>0</v>
      </c>
      <c r="R1122" s="7" t="str">
        <f ca="1">IF(TODAY() - DHMXX[INV DUE DATE]&lt;30, "Less than 30 days",IF(TODAY()-DHMXX[INV DUE DATE]&lt;60,"30-60 days","More than 60 days"))</f>
        <v>Less than 30 days</v>
      </c>
      <c r="S1122" t="s">
        <v>1550</v>
      </c>
      <c r="T1122" s="43" t="s">
        <v>2229</v>
      </c>
      <c r="U1122" t="s">
        <v>3699</v>
      </c>
    </row>
    <row r="1123" spans="1:21" x14ac:dyDescent="0.3">
      <c r="A1123" t="s">
        <v>4137</v>
      </c>
      <c r="B1123" t="s">
        <v>30</v>
      </c>
      <c r="C1123" t="s">
        <v>87</v>
      </c>
      <c r="D1123" s="15">
        <v>1</v>
      </c>
      <c r="E1123" s="7">
        <v>465</v>
      </c>
      <c r="H1123">
        <v>67865</v>
      </c>
      <c r="I1123" t="s">
        <v>349</v>
      </c>
      <c r="J1123" t="s">
        <v>2783</v>
      </c>
      <c r="K1123" t="s">
        <v>3</v>
      </c>
      <c r="L1123" s="2">
        <v>43252</v>
      </c>
      <c r="M1123" s="2">
        <f>DHMXX[[#This Row],[INV DOC DATE]]+30</f>
        <v>43282</v>
      </c>
      <c r="N1123" s="2">
        <v>43279</v>
      </c>
      <c r="O1123" s="7">
        <v>465</v>
      </c>
      <c r="P1123" s="2">
        <v>43290</v>
      </c>
      <c r="Q1123" s="7">
        <f>$E1123-$O1123</f>
        <v>0</v>
      </c>
      <c r="R1123" s="7" t="str">
        <f ca="1">IF(TODAY() - DHMXX[INV DUE DATE]&lt;30, "Less than 30 days",IF(TODAY()-DHMXX[INV DUE DATE]&lt;60,"30-60 days","More than 60 days"))</f>
        <v>Less than 30 days</v>
      </c>
      <c r="S1123" t="s">
        <v>1550</v>
      </c>
      <c r="T1123" s="43" t="s">
        <v>2229</v>
      </c>
      <c r="U1123" t="s">
        <v>3699</v>
      </c>
    </row>
    <row r="1124" spans="1:21" x14ac:dyDescent="0.3">
      <c r="A1124" t="s">
        <v>4137</v>
      </c>
      <c r="B1124" t="s">
        <v>30</v>
      </c>
      <c r="C1124" t="s">
        <v>88</v>
      </c>
      <c r="D1124" s="15">
        <v>1</v>
      </c>
      <c r="E1124" s="7">
        <v>465</v>
      </c>
      <c r="H1124">
        <v>67865</v>
      </c>
      <c r="I1124" t="s">
        <v>349</v>
      </c>
      <c r="J1124" t="s">
        <v>2784</v>
      </c>
      <c r="K1124" t="s">
        <v>3</v>
      </c>
      <c r="L1124" s="2">
        <v>43252</v>
      </c>
      <c r="M1124" s="2">
        <f>DHMXX[[#This Row],[INV DOC DATE]]+30</f>
        <v>43282</v>
      </c>
      <c r="N1124" s="2">
        <v>43279</v>
      </c>
      <c r="O1124" s="7">
        <v>465</v>
      </c>
      <c r="P1124" s="2">
        <v>43290</v>
      </c>
      <c r="Q1124" s="7">
        <f>$E1124-$O1124</f>
        <v>0</v>
      </c>
      <c r="R1124" s="7" t="str">
        <f ca="1">IF(TODAY() - DHMXX[INV DUE DATE]&lt;30, "Less than 30 days",IF(TODAY()-DHMXX[INV DUE DATE]&lt;60,"30-60 days","More than 60 days"))</f>
        <v>Less than 30 days</v>
      </c>
      <c r="S1124" t="s">
        <v>1550</v>
      </c>
      <c r="T1124" s="43" t="s">
        <v>2229</v>
      </c>
      <c r="U1124" t="s">
        <v>3699</v>
      </c>
    </row>
    <row r="1125" spans="1:21" x14ac:dyDescent="0.3">
      <c r="A1125" t="s">
        <v>4137</v>
      </c>
      <c r="B1125" t="s">
        <v>30</v>
      </c>
      <c r="C1125" t="s">
        <v>89</v>
      </c>
      <c r="D1125" s="15">
        <v>1</v>
      </c>
      <c r="E1125" s="7">
        <v>465</v>
      </c>
      <c r="H1125">
        <v>67865</v>
      </c>
      <c r="I1125" t="s">
        <v>349</v>
      </c>
      <c r="J1125" t="s">
        <v>2785</v>
      </c>
      <c r="K1125" t="s">
        <v>3</v>
      </c>
      <c r="L1125" s="2">
        <v>43252</v>
      </c>
      <c r="M1125" s="2">
        <f>DHMXX[[#This Row],[INV DOC DATE]]+30</f>
        <v>43282</v>
      </c>
      <c r="N1125" s="2">
        <v>43279</v>
      </c>
      <c r="O1125" s="7">
        <v>465</v>
      </c>
      <c r="P1125" s="2">
        <v>43290</v>
      </c>
      <c r="Q1125" s="7">
        <f>$E1125-$O1125</f>
        <v>0</v>
      </c>
      <c r="R1125" s="7" t="str">
        <f ca="1">IF(TODAY() - DHMXX[INV DUE DATE]&lt;30, "Less than 30 days",IF(TODAY()-DHMXX[INV DUE DATE]&lt;60,"30-60 days","More than 60 days"))</f>
        <v>Less than 30 days</v>
      </c>
      <c r="S1125" t="s">
        <v>1550</v>
      </c>
      <c r="T1125" s="43" t="s">
        <v>2229</v>
      </c>
      <c r="U1125" t="s">
        <v>3699</v>
      </c>
    </row>
    <row r="1126" spans="1:21" x14ac:dyDescent="0.3">
      <c r="A1126" t="s">
        <v>4137</v>
      </c>
      <c r="B1126" t="s">
        <v>30</v>
      </c>
      <c r="C1126" t="s">
        <v>90</v>
      </c>
      <c r="D1126" s="15">
        <v>1</v>
      </c>
      <c r="E1126" s="7">
        <v>465</v>
      </c>
      <c r="H1126">
        <v>67865</v>
      </c>
      <c r="I1126" t="s">
        <v>349</v>
      </c>
      <c r="J1126" t="s">
        <v>2786</v>
      </c>
      <c r="K1126" t="s">
        <v>3</v>
      </c>
      <c r="L1126" s="2">
        <v>43252</v>
      </c>
      <c r="M1126" s="2">
        <f>DHMXX[[#This Row],[INV DOC DATE]]+30</f>
        <v>43282</v>
      </c>
      <c r="N1126" s="2">
        <v>43279</v>
      </c>
      <c r="O1126" s="7">
        <v>465</v>
      </c>
      <c r="P1126" s="2">
        <v>43290</v>
      </c>
      <c r="Q1126" s="7">
        <f>$E1126-$O1126</f>
        <v>0</v>
      </c>
      <c r="R1126" s="7" t="str">
        <f ca="1">IF(TODAY() - DHMXX[INV DUE DATE]&lt;30, "Less than 30 days",IF(TODAY()-DHMXX[INV DUE DATE]&lt;60,"30-60 days","More than 60 days"))</f>
        <v>Less than 30 days</v>
      </c>
      <c r="S1126" t="s">
        <v>1550</v>
      </c>
      <c r="T1126" s="43" t="s">
        <v>2229</v>
      </c>
      <c r="U1126" t="s">
        <v>3699</v>
      </c>
    </row>
    <row r="1127" spans="1:21" x14ac:dyDescent="0.3">
      <c r="A1127" t="s">
        <v>4137</v>
      </c>
      <c r="B1127" t="s">
        <v>30</v>
      </c>
      <c r="C1127" t="s">
        <v>91</v>
      </c>
      <c r="D1127" s="15">
        <v>1</v>
      </c>
      <c r="E1127" s="7">
        <v>465</v>
      </c>
      <c r="H1127">
        <v>67865</v>
      </c>
      <c r="I1127" t="s">
        <v>349</v>
      </c>
      <c r="J1127" t="s">
        <v>2787</v>
      </c>
      <c r="K1127" t="s">
        <v>3</v>
      </c>
      <c r="L1127" s="2">
        <v>43252</v>
      </c>
      <c r="M1127" s="2">
        <f>DHMXX[[#This Row],[INV DOC DATE]]+30</f>
        <v>43282</v>
      </c>
      <c r="N1127" s="2">
        <v>43279</v>
      </c>
      <c r="O1127" s="7">
        <v>465</v>
      </c>
      <c r="P1127" s="2">
        <v>43290</v>
      </c>
      <c r="Q1127" s="7">
        <f>$E1127-$O1127</f>
        <v>0</v>
      </c>
      <c r="R1127" s="7" t="str">
        <f ca="1">IF(TODAY() - DHMXX[INV DUE DATE]&lt;30, "Less than 30 days",IF(TODAY()-DHMXX[INV DUE DATE]&lt;60,"30-60 days","More than 60 days"))</f>
        <v>Less than 30 days</v>
      </c>
      <c r="S1127" t="s">
        <v>1550</v>
      </c>
      <c r="T1127" s="43" t="s">
        <v>2229</v>
      </c>
      <c r="U1127" t="s">
        <v>3699</v>
      </c>
    </row>
    <row r="1128" spans="1:21" x14ac:dyDescent="0.3">
      <c r="A1128" t="s">
        <v>4137</v>
      </c>
      <c r="B1128" t="s">
        <v>30</v>
      </c>
      <c r="C1128" t="s">
        <v>92</v>
      </c>
      <c r="D1128" s="15">
        <v>1</v>
      </c>
      <c r="E1128" s="7">
        <v>465</v>
      </c>
      <c r="H1128">
        <v>67865</v>
      </c>
      <c r="I1128" t="s">
        <v>349</v>
      </c>
      <c r="J1128" t="s">
        <v>2788</v>
      </c>
      <c r="K1128" t="s">
        <v>3</v>
      </c>
      <c r="L1128" s="2">
        <v>43252</v>
      </c>
      <c r="M1128" s="2">
        <f>DHMXX[[#This Row],[INV DOC DATE]]+30</f>
        <v>43282</v>
      </c>
      <c r="N1128" s="2">
        <v>43279</v>
      </c>
      <c r="O1128" s="7">
        <v>465</v>
      </c>
      <c r="P1128" s="2">
        <v>43290</v>
      </c>
      <c r="Q1128" s="7">
        <f>$E1128-$O1128</f>
        <v>0</v>
      </c>
      <c r="R1128" s="7" t="str">
        <f ca="1">IF(TODAY() - DHMXX[INV DUE DATE]&lt;30, "Less than 30 days",IF(TODAY()-DHMXX[INV DUE DATE]&lt;60,"30-60 days","More than 60 days"))</f>
        <v>Less than 30 days</v>
      </c>
      <c r="S1128" t="s">
        <v>1550</v>
      </c>
      <c r="T1128" s="43" t="s">
        <v>2229</v>
      </c>
      <c r="U1128" t="s">
        <v>3699</v>
      </c>
    </row>
    <row r="1129" spans="1:21" x14ac:dyDescent="0.3">
      <c r="A1129" t="s">
        <v>4137</v>
      </c>
      <c r="B1129" t="s">
        <v>30</v>
      </c>
      <c r="C1129" t="s">
        <v>30</v>
      </c>
      <c r="D1129" s="15">
        <v>1</v>
      </c>
      <c r="E1129" s="7">
        <v>577.5</v>
      </c>
      <c r="H1129">
        <v>67865</v>
      </c>
      <c r="I1129" t="s">
        <v>349</v>
      </c>
      <c r="J1129" t="s">
        <v>2789</v>
      </c>
      <c r="K1129" t="s">
        <v>3</v>
      </c>
      <c r="L1129" s="2">
        <v>43252</v>
      </c>
      <c r="M1129" s="2">
        <f>DHMXX[[#This Row],[INV DOC DATE]]+30</f>
        <v>43282</v>
      </c>
      <c r="N1129" s="2">
        <v>43279</v>
      </c>
      <c r="O1129" s="7">
        <v>577.5</v>
      </c>
      <c r="P1129" s="2">
        <v>43290</v>
      </c>
      <c r="Q1129" s="7">
        <f>$E1129-$O1129</f>
        <v>0</v>
      </c>
      <c r="R1129" s="7" t="str">
        <f ca="1">IF(TODAY() - DHMXX[INV DUE DATE]&lt;30, "Less than 30 days",IF(TODAY()-DHMXX[INV DUE DATE]&lt;60,"30-60 days","More than 60 days"))</f>
        <v>Less than 30 days</v>
      </c>
      <c r="S1129" t="s">
        <v>1550</v>
      </c>
      <c r="T1129" s="43" t="s">
        <v>2229</v>
      </c>
      <c r="U1129" t="s">
        <v>3699</v>
      </c>
    </row>
    <row r="1130" spans="1:21" x14ac:dyDescent="0.3">
      <c r="A1130" t="s">
        <v>4137</v>
      </c>
      <c r="B1130" t="s">
        <v>30</v>
      </c>
      <c r="C1130" t="s">
        <v>93</v>
      </c>
      <c r="D1130" s="15">
        <v>1</v>
      </c>
      <c r="E1130" s="7">
        <v>577.5</v>
      </c>
      <c r="H1130">
        <v>67865</v>
      </c>
      <c r="I1130" t="s">
        <v>349</v>
      </c>
      <c r="J1130" t="s">
        <v>2790</v>
      </c>
      <c r="K1130" t="s">
        <v>3</v>
      </c>
      <c r="L1130" s="2">
        <v>43252</v>
      </c>
      <c r="M1130" s="2">
        <f>DHMXX[[#This Row],[INV DOC DATE]]+30</f>
        <v>43282</v>
      </c>
      <c r="N1130" s="2">
        <v>43279</v>
      </c>
      <c r="O1130" s="7">
        <v>577.5</v>
      </c>
      <c r="P1130" s="2">
        <v>43290</v>
      </c>
      <c r="Q1130" s="7">
        <f>$E1130-$O1130</f>
        <v>0</v>
      </c>
      <c r="R1130" s="7" t="str">
        <f ca="1">IF(TODAY() - DHMXX[INV DUE DATE]&lt;30, "Less than 30 days",IF(TODAY()-DHMXX[INV DUE DATE]&lt;60,"30-60 days","More than 60 days"))</f>
        <v>Less than 30 days</v>
      </c>
      <c r="S1130" t="s">
        <v>1550</v>
      </c>
      <c r="T1130" s="43" t="s">
        <v>2229</v>
      </c>
      <c r="U1130" t="s">
        <v>3699</v>
      </c>
    </row>
    <row r="1131" spans="1:21" x14ac:dyDescent="0.3">
      <c r="A1131" t="s">
        <v>4137</v>
      </c>
      <c r="B1131" t="s">
        <v>30</v>
      </c>
      <c r="C1131" t="s">
        <v>94</v>
      </c>
      <c r="D1131" s="15">
        <v>1</v>
      </c>
      <c r="E1131" s="7">
        <v>577.5</v>
      </c>
      <c r="H1131">
        <v>67865</v>
      </c>
      <c r="I1131" t="s">
        <v>349</v>
      </c>
      <c r="J1131" t="s">
        <v>2791</v>
      </c>
      <c r="K1131" t="s">
        <v>3</v>
      </c>
      <c r="L1131" s="2">
        <v>43252</v>
      </c>
      <c r="M1131" s="2">
        <f>DHMXX[[#This Row],[INV DOC DATE]]+30</f>
        <v>43282</v>
      </c>
      <c r="N1131" s="2">
        <v>43279</v>
      </c>
      <c r="O1131" s="7">
        <v>577.5</v>
      </c>
      <c r="P1131" s="2">
        <v>43290</v>
      </c>
      <c r="Q1131" s="7">
        <f>$E1131-$O1131</f>
        <v>0</v>
      </c>
      <c r="R1131" s="7" t="str">
        <f ca="1">IF(TODAY() - DHMXX[INV DUE DATE]&lt;30, "Less than 30 days",IF(TODAY()-DHMXX[INV DUE DATE]&lt;60,"30-60 days","More than 60 days"))</f>
        <v>Less than 30 days</v>
      </c>
      <c r="S1131" t="s">
        <v>1550</v>
      </c>
      <c r="T1131" s="43" t="s">
        <v>2229</v>
      </c>
      <c r="U1131" t="s">
        <v>3699</v>
      </c>
    </row>
    <row r="1132" spans="1:21" x14ac:dyDescent="0.3">
      <c r="A1132" t="s">
        <v>4137</v>
      </c>
      <c r="B1132" t="s">
        <v>30</v>
      </c>
      <c r="C1132" t="s">
        <v>95</v>
      </c>
      <c r="D1132" s="15">
        <v>1</v>
      </c>
      <c r="E1132" s="7">
        <v>577.5</v>
      </c>
      <c r="H1132">
        <v>67865</v>
      </c>
      <c r="I1132" t="s">
        <v>349</v>
      </c>
      <c r="J1132" t="s">
        <v>2792</v>
      </c>
      <c r="K1132" t="s">
        <v>3</v>
      </c>
      <c r="L1132" s="2">
        <v>43252</v>
      </c>
      <c r="M1132" s="2">
        <f>DHMXX[[#This Row],[INV DOC DATE]]+30</f>
        <v>43282</v>
      </c>
      <c r="N1132" s="2">
        <v>43279</v>
      </c>
      <c r="O1132" s="7">
        <v>577.5</v>
      </c>
      <c r="P1132" s="2">
        <v>43290</v>
      </c>
      <c r="Q1132" s="7">
        <f>$E1132-$O1132</f>
        <v>0</v>
      </c>
      <c r="R1132" s="7" t="str">
        <f ca="1">IF(TODAY() - DHMXX[INV DUE DATE]&lt;30, "Less than 30 days",IF(TODAY()-DHMXX[INV DUE DATE]&lt;60,"30-60 days","More than 60 days"))</f>
        <v>Less than 30 days</v>
      </c>
      <c r="S1132" t="s">
        <v>1550</v>
      </c>
      <c r="T1132" s="43" t="s">
        <v>2229</v>
      </c>
      <c r="U1132" t="s">
        <v>3699</v>
      </c>
    </row>
    <row r="1133" spans="1:21" x14ac:dyDescent="0.3">
      <c r="A1133" t="s">
        <v>4137</v>
      </c>
      <c r="B1133" t="s">
        <v>30</v>
      </c>
      <c r="C1133" t="s">
        <v>96</v>
      </c>
      <c r="D1133" s="15">
        <v>1</v>
      </c>
      <c r="E1133" s="7">
        <v>465</v>
      </c>
      <c r="H1133">
        <v>67865</v>
      </c>
      <c r="I1133" t="s">
        <v>349</v>
      </c>
      <c r="J1133" t="s">
        <v>2794</v>
      </c>
      <c r="K1133" t="s">
        <v>3</v>
      </c>
      <c r="L1133" s="2">
        <v>43252</v>
      </c>
      <c r="M1133" s="2">
        <f>DHMXX[[#This Row],[INV DOC DATE]]+30</f>
        <v>43282</v>
      </c>
      <c r="N1133" s="2">
        <v>43279</v>
      </c>
      <c r="O1133" s="7">
        <v>465</v>
      </c>
      <c r="P1133" s="2">
        <v>43290</v>
      </c>
      <c r="Q1133" s="7">
        <f>$E1133-$O1133</f>
        <v>0</v>
      </c>
      <c r="R1133" s="7" t="str">
        <f ca="1">IF(TODAY() - DHMXX[INV DUE DATE]&lt;30, "Less than 30 days",IF(TODAY()-DHMXX[INV DUE DATE]&lt;60,"30-60 days","More than 60 days"))</f>
        <v>Less than 30 days</v>
      </c>
      <c r="S1133" t="s">
        <v>1550</v>
      </c>
      <c r="T1133" s="43" t="s">
        <v>2229</v>
      </c>
      <c r="U1133" t="s">
        <v>3699</v>
      </c>
    </row>
    <row r="1134" spans="1:21" x14ac:dyDescent="0.3">
      <c r="A1134" t="s">
        <v>4137</v>
      </c>
      <c r="B1134" t="s">
        <v>30</v>
      </c>
      <c r="C1134" t="s">
        <v>97</v>
      </c>
      <c r="D1134" s="15">
        <v>1</v>
      </c>
      <c r="E1134" s="7">
        <v>465</v>
      </c>
      <c r="H1134">
        <v>67865</v>
      </c>
      <c r="I1134" t="s">
        <v>349</v>
      </c>
      <c r="J1134" t="s">
        <v>2795</v>
      </c>
      <c r="K1134" t="s">
        <v>3</v>
      </c>
      <c r="L1134" s="2">
        <v>43252</v>
      </c>
      <c r="M1134" s="2">
        <f>DHMXX[[#This Row],[INV DOC DATE]]+30</f>
        <v>43282</v>
      </c>
      <c r="N1134" s="2">
        <v>43279</v>
      </c>
      <c r="O1134" s="7">
        <v>465</v>
      </c>
      <c r="P1134" s="2">
        <v>43290</v>
      </c>
      <c r="Q1134" s="7">
        <f>$E1134-$O1134</f>
        <v>0</v>
      </c>
      <c r="R1134" s="7" t="str">
        <f ca="1">IF(TODAY() - DHMXX[INV DUE DATE]&lt;30, "Less than 30 days",IF(TODAY()-DHMXX[INV DUE DATE]&lt;60,"30-60 days","More than 60 days"))</f>
        <v>Less than 30 days</v>
      </c>
      <c r="S1134" t="s">
        <v>1550</v>
      </c>
      <c r="T1134" s="43" t="s">
        <v>2229</v>
      </c>
      <c r="U1134" t="s">
        <v>3699</v>
      </c>
    </row>
    <row r="1135" spans="1:21" x14ac:dyDescent="0.3">
      <c r="A1135" t="s">
        <v>4137</v>
      </c>
      <c r="B1135" t="s">
        <v>30</v>
      </c>
      <c r="C1135" t="s">
        <v>98</v>
      </c>
      <c r="D1135" s="15">
        <v>1</v>
      </c>
      <c r="E1135" s="7">
        <v>465</v>
      </c>
      <c r="H1135">
        <v>67865</v>
      </c>
      <c r="I1135" t="s">
        <v>349</v>
      </c>
      <c r="J1135" t="s">
        <v>2796</v>
      </c>
      <c r="K1135" t="s">
        <v>3</v>
      </c>
      <c r="L1135" s="2">
        <v>43252</v>
      </c>
      <c r="M1135" s="2">
        <f>DHMXX[[#This Row],[INV DOC DATE]]+30</f>
        <v>43282</v>
      </c>
      <c r="N1135" s="2">
        <v>43279</v>
      </c>
      <c r="O1135" s="7">
        <v>465</v>
      </c>
      <c r="P1135" s="2">
        <v>43290</v>
      </c>
      <c r="Q1135" s="7">
        <f>$E1135-$O1135</f>
        <v>0</v>
      </c>
      <c r="R1135" s="7" t="str">
        <f ca="1">IF(TODAY() - DHMXX[INV DUE DATE]&lt;30, "Less than 30 days",IF(TODAY()-DHMXX[INV DUE DATE]&lt;60,"30-60 days","More than 60 days"))</f>
        <v>Less than 30 days</v>
      </c>
      <c r="S1135" t="s">
        <v>1550</v>
      </c>
      <c r="T1135" s="43" t="s">
        <v>2229</v>
      </c>
      <c r="U1135" t="s">
        <v>3699</v>
      </c>
    </row>
    <row r="1136" spans="1:21" x14ac:dyDescent="0.3">
      <c r="A1136" t="s">
        <v>4137</v>
      </c>
      <c r="B1136" t="s">
        <v>30</v>
      </c>
      <c r="C1136" t="s">
        <v>99</v>
      </c>
      <c r="D1136" s="15">
        <v>1</v>
      </c>
      <c r="E1136" s="7">
        <v>465</v>
      </c>
      <c r="H1136">
        <v>67865</v>
      </c>
      <c r="I1136" t="s">
        <v>349</v>
      </c>
      <c r="J1136" t="s">
        <v>2797</v>
      </c>
      <c r="K1136" t="s">
        <v>3</v>
      </c>
      <c r="L1136" s="2">
        <v>43252</v>
      </c>
      <c r="M1136" s="2">
        <f>DHMXX[[#This Row],[INV DOC DATE]]+30</f>
        <v>43282</v>
      </c>
      <c r="N1136" s="2">
        <v>43279</v>
      </c>
      <c r="O1136" s="7">
        <v>465</v>
      </c>
      <c r="P1136" s="2">
        <v>43290</v>
      </c>
      <c r="Q1136" s="7">
        <f>$E1136-$O1136</f>
        <v>0</v>
      </c>
      <c r="R1136" s="7" t="str">
        <f ca="1">IF(TODAY() - DHMXX[INV DUE DATE]&lt;30, "Less than 30 days",IF(TODAY()-DHMXX[INV DUE DATE]&lt;60,"30-60 days","More than 60 days"))</f>
        <v>Less than 30 days</v>
      </c>
      <c r="S1136" t="s">
        <v>1550</v>
      </c>
      <c r="T1136" s="43" t="s">
        <v>2229</v>
      </c>
      <c r="U1136" t="s">
        <v>3699</v>
      </c>
    </row>
    <row r="1137" spans="1:21" x14ac:dyDescent="0.3">
      <c r="A1137" t="s">
        <v>4137</v>
      </c>
      <c r="B1137" t="s">
        <v>30</v>
      </c>
      <c r="C1137" t="s">
        <v>100</v>
      </c>
      <c r="D1137" s="15">
        <v>1</v>
      </c>
      <c r="E1137" s="7">
        <v>465</v>
      </c>
      <c r="H1137">
        <v>67865</v>
      </c>
      <c r="I1137" t="s">
        <v>349</v>
      </c>
      <c r="J1137" t="s">
        <v>2798</v>
      </c>
      <c r="K1137" t="s">
        <v>3</v>
      </c>
      <c r="L1137" s="2">
        <v>43252</v>
      </c>
      <c r="M1137" s="2">
        <f>DHMXX[[#This Row],[INV DOC DATE]]+30</f>
        <v>43282</v>
      </c>
      <c r="N1137" s="2">
        <v>43279</v>
      </c>
      <c r="O1137" s="7">
        <v>465</v>
      </c>
      <c r="P1137" s="2">
        <v>43290</v>
      </c>
      <c r="Q1137" s="7">
        <f>$E1137-$O1137</f>
        <v>0</v>
      </c>
      <c r="R1137" s="7" t="str">
        <f ca="1">IF(TODAY() - DHMXX[INV DUE DATE]&lt;30, "Less than 30 days",IF(TODAY()-DHMXX[INV DUE DATE]&lt;60,"30-60 days","More than 60 days"))</f>
        <v>Less than 30 days</v>
      </c>
      <c r="S1137" t="s">
        <v>1550</v>
      </c>
      <c r="T1137" s="43" t="s">
        <v>2229</v>
      </c>
      <c r="U1137" t="s">
        <v>3699</v>
      </c>
    </row>
    <row r="1138" spans="1:21" x14ac:dyDescent="0.3">
      <c r="A1138" t="s">
        <v>4137</v>
      </c>
      <c r="B1138" t="s">
        <v>30</v>
      </c>
      <c r="C1138" t="s">
        <v>101</v>
      </c>
      <c r="D1138" s="15">
        <v>1</v>
      </c>
      <c r="E1138" s="7">
        <v>465</v>
      </c>
      <c r="H1138">
        <v>67865</v>
      </c>
      <c r="I1138" t="s">
        <v>349</v>
      </c>
      <c r="J1138" t="s">
        <v>2799</v>
      </c>
      <c r="K1138" t="s">
        <v>3</v>
      </c>
      <c r="L1138" s="2">
        <v>43252</v>
      </c>
      <c r="M1138" s="2">
        <f>DHMXX[[#This Row],[INV DOC DATE]]+30</f>
        <v>43282</v>
      </c>
      <c r="N1138" s="2">
        <v>43279</v>
      </c>
      <c r="O1138" s="7">
        <v>465</v>
      </c>
      <c r="P1138" s="2">
        <v>43290</v>
      </c>
      <c r="Q1138" s="7">
        <f>$E1138-$O1138</f>
        <v>0</v>
      </c>
      <c r="R1138" s="7" t="str">
        <f ca="1">IF(TODAY() - DHMXX[INV DUE DATE]&lt;30, "Less than 30 days",IF(TODAY()-DHMXX[INV DUE DATE]&lt;60,"30-60 days","More than 60 days"))</f>
        <v>Less than 30 days</v>
      </c>
      <c r="S1138" t="s">
        <v>1550</v>
      </c>
      <c r="T1138" s="43" t="s">
        <v>2229</v>
      </c>
      <c r="U1138" t="s">
        <v>3699</v>
      </c>
    </row>
    <row r="1139" spans="1:21" x14ac:dyDescent="0.3">
      <c r="A1139" t="s">
        <v>4137</v>
      </c>
      <c r="B1139" t="s">
        <v>30</v>
      </c>
      <c r="C1139" t="s">
        <v>102</v>
      </c>
      <c r="D1139" s="15">
        <v>1</v>
      </c>
      <c r="E1139" s="7">
        <v>465</v>
      </c>
      <c r="H1139">
        <v>67865</v>
      </c>
      <c r="I1139" t="s">
        <v>349</v>
      </c>
      <c r="J1139" t="s">
        <v>2800</v>
      </c>
      <c r="K1139" t="s">
        <v>3</v>
      </c>
      <c r="L1139" s="2">
        <v>43252</v>
      </c>
      <c r="M1139" s="2">
        <f>DHMXX[[#This Row],[INV DOC DATE]]+30</f>
        <v>43282</v>
      </c>
      <c r="N1139" s="2">
        <v>43279</v>
      </c>
      <c r="O1139" s="7">
        <v>465</v>
      </c>
      <c r="P1139" s="2">
        <v>43290</v>
      </c>
      <c r="Q1139" s="7">
        <f>$E1139-$O1139</f>
        <v>0</v>
      </c>
      <c r="R1139" s="7" t="str">
        <f ca="1">IF(TODAY() - DHMXX[INV DUE DATE]&lt;30, "Less than 30 days",IF(TODAY()-DHMXX[INV DUE DATE]&lt;60,"30-60 days","More than 60 days"))</f>
        <v>Less than 30 days</v>
      </c>
      <c r="S1139" t="s">
        <v>1550</v>
      </c>
      <c r="T1139" s="43" t="s">
        <v>2229</v>
      </c>
      <c r="U1139" t="s">
        <v>3699</v>
      </c>
    </row>
    <row r="1140" spans="1:21" x14ac:dyDescent="0.3">
      <c r="A1140" t="s">
        <v>4137</v>
      </c>
      <c r="B1140" t="s">
        <v>30</v>
      </c>
      <c r="C1140" t="s">
        <v>103</v>
      </c>
      <c r="D1140" s="15">
        <v>1</v>
      </c>
      <c r="E1140" s="7">
        <v>465</v>
      </c>
      <c r="H1140">
        <v>67865</v>
      </c>
      <c r="I1140" t="s">
        <v>349</v>
      </c>
      <c r="J1140" t="s">
        <v>2801</v>
      </c>
      <c r="K1140" t="s">
        <v>3</v>
      </c>
      <c r="L1140" s="2">
        <v>43252</v>
      </c>
      <c r="M1140" s="2">
        <f>DHMXX[[#This Row],[INV DOC DATE]]+30</f>
        <v>43282</v>
      </c>
      <c r="N1140" s="2">
        <v>43279</v>
      </c>
      <c r="O1140" s="7">
        <v>465</v>
      </c>
      <c r="P1140" s="2">
        <v>43290</v>
      </c>
      <c r="Q1140" s="7">
        <f>$E1140-$O1140</f>
        <v>0</v>
      </c>
      <c r="R1140" s="7" t="str">
        <f ca="1">IF(TODAY() - DHMXX[INV DUE DATE]&lt;30, "Less than 30 days",IF(TODAY()-DHMXX[INV DUE DATE]&lt;60,"30-60 days","More than 60 days"))</f>
        <v>Less than 30 days</v>
      </c>
      <c r="S1140" t="s">
        <v>1550</v>
      </c>
      <c r="T1140" s="43" t="s">
        <v>2229</v>
      </c>
      <c r="U1140" t="s">
        <v>3699</v>
      </c>
    </row>
    <row r="1141" spans="1:21" x14ac:dyDescent="0.3">
      <c r="A1141" t="s">
        <v>4137</v>
      </c>
      <c r="B1141" t="s">
        <v>30</v>
      </c>
      <c r="C1141" t="s">
        <v>104</v>
      </c>
      <c r="D1141" s="15">
        <v>1</v>
      </c>
      <c r="E1141" s="7">
        <v>465</v>
      </c>
      <c r="H1141">
        <v>67865</v>
      </c>
      <c r="I1141" t="s">
        <v>349</v>
      </c>
      <c r="J1141" t="s">
        <v>2802</v>
      </c>
      <c r="K1141" t="s">
        <v>3</v>
      </c>
      <c r="L1141" s="2">
        <v>43252</v>
      </c>
      <c r="M1141" s="2">
        <f>DHMXX[[#This Row],[INV DOC DATE]]+30</f>
        <v>43282</v>
      </c>
      <c r="N1141" s="2">
        <v>43279</v>
      </c>
      <c r="O1141" s="7">
        <v>465</v>
      </c>
      <c r="P1141" s="2">
        <v>43290</v>
      </c>
      <c r="Q1141" s="7">
        <f>$E1141-$O1141</f>
        <v>0</v>
      </c>
      <c r="R1141" s="7" t="str">
        <f ca="1">IF(TODAY() - DHMXX[INV DUE DATE]&lt;30, "Less than 30 days",IF(TODAY()-DHMXX[INV DUE DATE]&lt;60,"30-60 days","More than 60 days"))</f>
        <v>Less than 30 days</v>
      </c>
      <c r="S1141" t="s">
        <v>1550</v>
      </c>
      <c r="T1141" s="43" t="s">
        <v>2229</v>
      </c>
      <c r="U1141" t="s">
        <v>3699</v>
      </c>
    </row>
    <row r="1142" spans="1:21" x14ac:dyDescent="0.3">
      <c r="A1142" t="s">
        <v>4137</v>
      </c>
      <c r="B1142" t="s">
        <v>30</v>
      </c>
      <c r="C1142" t="s">
        <v>105</v>
      </c>
      <c r="D1142" s="15">
        <v>1</v>
      </c>
      <c r="E1142" s="7">
        <v>465</v>
      </c>
      <c r="H1142">
        <v>67865</v>
      </c>
      <c r="I1142" t="s">
        <v>349</v>
      </c>
      <c r="J1142" t="s">
        <v>2803</v>
      </c>
      <c r="K1142" t="s">
        <v>3</v>
      </c>
      <c r="L1142" s="2">
        <v>43252</v>
      </c>
      <c r="M1142" s="2">
        <f>DHMXX[[#This Row],[INV DOC DATE]]+30</f>
        <v>43282</v>
      </c>
      <c r="N1142" s="2">
        <v>43279</v>
      </c>
      <c r="O1142" s="7">
        <v>465</v>
      </c>
      <c r="P1142" s="2">
        <v>43290</v>
      </c>
      <c r="Q1142" s="7">
        <f>$E1142-$O1142</f>
        <v>0</v>
      </c>
      <c r="R1142" s="7" t="str">
        <f ca="1">IF(TODAY() - DHMXX[INV DUE DATE]&lt;30, "Less than 30 days",IF(TODAY()-DHMXX[INV DUE DATE]&lt;60,"30-60 days","More than 60 days"))</f>
        <v>Less than 30 days</v>
      </c>
      <c r="S1142" t="s">
        <v>1550</v>
      </c>
      <c r="T1142" s="43" t="s">
        <v>2229</v>
      </c>
      <c r="U1142" t="s">
        <v>3699</v>
      </c>
    </row>
    <row r="1143" spans="1:21" x14ac:dyDescent="0.3">
      <c r="A1143" t="s">
        <v>4137</v>
      </c>
      <c r="B1143" t="s">
        <v>30</v>
      </c>
      <c r="C1143" t="s">
        <v>106</v>
      </c>
      <c r="D1143" s="15">
        <v>1</v>
      </c>
      <c r="E1143" s="7">
        <v>465</v>
      </c>
      <c r="H1143">
        <v>67865</v>
      </c>
      <c r="I1143" t="s">
        <v>349</v>
      </c>
      <c r="J1143" t="s">
        <v>2804</v>
      </c>
      <c r="K1143" t="s">
        <v>3</v>
      </c>
      <c r="L1143" s="2">
        <v>43252</v>
      </c>
      <c r="M1143" s="2">
        <f>DHMXX[[#This Row],[INV DOC DATE]]+30</f>
        <v>43282</v>
      </c>
      <c r="N1143" s="2">
        <v>43279</v>
      </c>
      <c r="O1143" s="7">
        <v>465</v>
      </c>
      <c r="P1143" s="2">
        <v>43290</v>
      </c>
      <c r="Q1143" s="7">
        <f>$E1143-$O1143</f>
        <v>0</v>
      </c>
      <c r="R1143" s="7" t="str">
        <f ca="1">IF(TODAY() - DHMXX[INV DUE DATE]&lt;30, "Less than 30 days",IF(TODAY()-DHMXX[INV DUE DATE]&lt;60,"30-60 days","More than 60 days"))</f>
        <v>Less than 30 days</v>
      </c>
      <c r="S1143" t="s">
        <v>1550</v>
      </c>
      <c r="T1143" s="43" t="s">
        <v>2229</v>
      </c>
      <c r="U1143" t="s">
        <v>3699</v>
      </c>
    </row>
    <row r="1144" spans="1:21" x14ac:dyDescent="0.3">
      <c r="A1144" t="s">
        <v>4137</v>
      </c>
      <c r="B1144" t="s">
        <v>30</v>
      </c>
      <c r="C1144" t="s">
        <v>107</v>
      </c>
      <c r="D1144" s="15">
        <v>1</v>
      </c>
      <c r="E1144" s="7">
        <v>465</v>
      </c>
      <c r="H1144">
        <v>67865</v>
      </c>
      <c r="I1144" t="s">
        <v>349</v>
      </c>
      <c r="J1144" t="s">
        <v>2805</v>
      </c>
      <c r="K1144" t="s">
        <v>3</v>
      </c>
      <c r="L1144" s="2">
        <v>43252</v>
      </c>
      <c r="M1144" s="2">
        <f>DHMXX[[#This Row],[INV DOC DATE]]+30</f>
        <v>43282</v>
      </c>
      <c r="N1144" s="2">
        <v>43279</v>
      </c>
      <c r="O1144" s="7">
        <v>465</v>
      </c>
      <c r="P1144" s="2">
        <v>43290</v>
      </c>
      <c r="Q1144" s="7">
        <f>$E1144-$O1144</f>
        <v>0</v>
      </c>
      <c r="R1144" s="7" t="str">
        <f ca="1">IF(TODAY() - DHMXX[INV DUE DATE]&lt;30, "Less than 30 days",IF(TODAY()-DHMXX[INV DUE DATE]&lt;60,"30-60 days","More than 60 days"))</f>
        <v>Less than 30 days</v>
      </c>
      <c r="S1144" t="s">
        <v>1550</v>
      </c>
      <c r="T1144" s="43" t="s">
        <v>2229</v>
      </c>
      <c r="U1144" t="s">
        <v>3699</v>
      </c>
    </row>
    <row r="1145" spans="1:21" x14ac:dyDescent="0.3">
      <c r="A1145" t="s">
        <v>4137</v>
      </c>
      <c r="B1145" t="s">
        <v>30</v>
      </c>
      <c r="C1145" t="s">
        <v>108</v>
      </c>
      <c r="D1145" s="15">
        <v>1</v>
      </c>
      <c r="E1145" s="7">
        <v>465</v>
      </c>
      <c r="H1145">
        <v>67865</v>
      </c>
      <c r="I1145" t="s">
        <v>349</v>
      </c>
      <c r="J1145" t="s">
        <v>2806</v>
      </c>
      <c r="K1145" t="s">
        <v>3</v>
      </c>
      <c r="L1145" s="2">
        <v>43252</v>
      </c>
      <c r="M1145" s="2">
        <f>DHMXX[[#This Row],[INV DOC DATE]]+30</f>
        <v>43282</v>
      </c>
      <c r="N1145" s="2">
        <v>43279</v>
      </c>
      <c r="O1145" s="7">
        <v>465</v>
      </c>
      <c r="P1145" s="2">
        <v>43290</v>
      </c>
      <c r="Q1145" s="7">
        <f>$E1145-$O1145</f>
        <v>0</v>
      </c>
      <c r="R1145" s="7" t="str">
        <f ca="1">IF(TODAY() - DHMXX[INV DUE DATE]&lt;30, "Less than 30 days",IF(TODAY()-DHMXX[INV DUE DATE]&lt;60,"30-60 days","More than 60 days"))</f>
        <v>Less than 30 days</v>
      </c>
      <c r="S1145" t="s">
        <v>1550</v>
      </c>
      <c r="T1145" s="43" t="s">
        <v>2229</v>
      </c>
      <c r="U1145" t="s">
        <v>3699</v>
      </c>
    </row>
    <row r="1146" spans="1:21" x14ac:dyDescent="0.3">
      <c r="A1146" t="s">
        <v>4137</v>
      </c>
      <c r="B1146" t="s">
        <v>30</v>
      </c>
      <c r="C1146" t="s">
        <v>109</v>
      </c>
      <c r="D1146" s="15">
        <v>1</v>
      </c>
      <c r="E1146" s="7">
        <v>465</v>
      </c>
      <c r="H1146">
        <v>67865</v>
      </c>
      <c r="I1146" t="s">
        <v>349</v>
      </c>
      <c r="J1146" t="s">
        <v>2807</v>
      </c>
      <c r="K1146" t="s">
        <v>3</v>
      </c>
      <c r="L1146" s="2">
        <v>43252</v>
      </c>
      <c r="M1146" s="2">
        <f>DHMXX[[#This Row],[INV DOC DATE]]+30</f>
        <v>43282</v>
      </c>
      <c r="N1146" s="2">
        <v>43279</v>
      </c>
      <c r="O1146" s="7">
        <v>465</v>
      </c>
      <c r="P1146" s="2">
        <v>43290</v>
      </c>
      <c r="Q1146" s="7">
        <f>$E1146-$O1146</f>
        <v>0</v>
      </c>
      <c r="R1146" s="7" t="str">
        <f ca="1">IF(TODAY() - DHMXX[INV DUE DATE]&lt;30, "Less than 30 days",IF(TODAY()-DHMXX[INV DUE DATE]&lt;60,"30-60 days","More than 60 days"))</f>
        <v>Less than 30 days</v>
      </c>
      <c r="S1146" t="s">
        <v>1550</v>
      </c>
      <c r="T1146" s="43" t="s">
        <v>2229</v>
      </c>
      <c r="U1146" t="s">
        <v>3699</v>
      </c>
    </row>
    <row r="1147" spans="1:21" x14ac:dyDescent="0.3">
      <c r="A1147" t="s">
        <v>4137</v>
      </c>
      <c r="B1147" t="s">
        <v>30</v>
      </c>
      <c r="C1147" t="s">
        <v>110</v>
      </c>
      <c r="D1147" s="15">
        <v>1</v>
      </c>
      <c r="E1147" s="7">
        <v>465</v>
      </c>
      <c r="H1147">
        <v>67865</v>
      </c>
      <c r="I1147" t="s">
        <v>349</v>
      </c>
      <c r="J1147" t="s">
        <v>2808</v>
      </c>
      <c r="K1147" t="s">
        <v>3</v>
      </c>
      <c r="L1147" s="2">
        <v>43252</v>
      </c>
      <c r="M1147" s="2">
        <f>DHMXX[[#This Row],[INV DOC DATE]]+30</f>
        <v>43282</v>
      </c>
      <c r="N1147" s="2">
        <v>43279</v>
      </c>
      <c r="O1147" s="7">
        <v>465</v>
      </c>
      <c r="P1147" s="2">
        <v>43290</v>
      </c>
      <c r="Q1147" s="7">
        <f>$E1147-$O1147</f>
        <v>0</v>
      </c>
      <c r="R1147" s="7" t="str">
        <f ca="1">IF(TODAY() - DHMXX[INV DUE DATE]&lt;30, "Less than 30 days",IF(TODAY()-DHMXX[INV DUE DATE]&lt;60,"30-60 days","More than 60 days"))</f>
        <v>Less than 30 days</v>
      </c>
      <c r="S1147" t="s">
        <v>1550</v>
      </c>
      <c r="T1147" s="43" t="s">
        <v>2229</v>
      </c>
      <c r="U1147" t="s">
        <v>3699</v>
      </c>
    </row>
    <row r="1148" spans="1:21" x14ac:dyDescent="0.3">
      <c r="A1148" t="s">
        <v>4137</v>
      </c>
      <c r="B1148" t="s">
        <v>30</v>
      </c>
      <c r="C1148" t="s">
        <v>111</v>
      </c>
      <c r="D1148" s="15">
        <v>1</v>
      </c>
      <c r="E1148" s="7">
        <v>465</v>
      </c>
      <c r="H1148">
        <v>67865</v>
      </c>
      <c r="I1148" t="s">
        <v>349</v>
      </c>
      <c r="J1148" t="s">
        <v>2809</v>
      </c>
      <c r="K1148" t="s">
        <v>3</v>
      </c>
      <c r="L1148" s="2">
        <v>43252</v>
      </c>
      <c r="M1148" s="2">
        <f>DHMXX[[#This Row],[INV DOC DATE]]+30</f>
        <v>43282</v>
      </c>
      <c r="N1148" s="2">
        <v>43279</v>
      </c>
      <c r="O1148" s="7">
        <v>465</v>
      </c>
      <c r="P1148" s="2">
        <v>43290</v>
      </c>
      <c r="Q1148" s="7">
        <f>$E1148-$O1148</f>
        <v>0</v>
      </c>
      <c r="R1148" s="7" t="str">
        <f ca="1">IF(TODAY() - DHMXX[INV DUE DATE]&lt;30, "Less than 30 days",IF(TODAY()-DHMXX[INV DUE DATE]&lt;60,"30-60 days","More than 60 days"))</f>
        <v>Less than 30 days</v>
      </c>
      <c r="S1148" t="s">
        <v>1550</v>
      </c>
      <c r="T1148" s="43" t="s">
        <v>2229</v>
      </c>
      <c r="U1148" t="s">
        <v>3699</v>
      </c>
    </row>
    <row r="1149" spans="1:21" x14ac:dyDescent="0.3">
      <c r="A1149" t="s">
        <v>4137</v>
      </c>
      <c r="B1149" t="s">
        <v>30</v>
      </c>
      <c r="C1149" t="s">
        <v>112</v>
      </c>
      <c r="D1149" s="15">
        <v>1</v>
      </c>
      <c r="E1149" s="7">
        <v>465</v>
      </c>
      <c r="H1149">
        <v>67865</v>
      </c>
      <c r="I1149" t="s">
        <v>349</v>
      </c>
      <c r="J1149" t="s">
        <v>2810</v>
      </c>
      <c r="K1149" t="s">
        <v>3</v>
      </c>
      <c r="L1149" s="2">
        <v>43252</v>
      </c>
      <c r="M1149" s="2">
        <f>DHMXX[[#This Row],[INV DOC DATE]]+30</f>
        <v>43282</v>
      </c>
      <c r="N1149" s="2">
        <v>43279</v>
      </c>
      <c r="O1149" s="7">
        <v>465</v>
      </c>
      <c r="P1149" s="2">
        <v>43290</v>
      </c>
      <c r="Q1149" s="7">
        <f>$E1149-$O1149</f>
        <v>0</v>
      </c>
      <c r="R1149" s="7" t="str">
        <f ca="1">IF(TODAY() - DHMXX[INV DUE DATE]&lt;30, "Less than 30 days",IF(TODAY()-DHMXX[INV DUE DATE]&lt;60,"30-60 days","More than 60 days"))</f>
        <v>Less than 30 days</v>
      </c>
      <c r="S1149" t="s">
        <v>1550</v>
      </c>
      <c r="T1149" s="43" t="s">
        <v>2229</v>
      </c>
      <c r="U1149" t="s">
        <v>3699</v>
      </c>
    </row>
    <row r="1150" spans="1:21" x14ac:dyDescent="0.3">
      <c r="A1150" t="s">
        <v>4137</v>
      </c>
      <c r="B1150" t="s">
        <v>30</v>
      </c>
      <c r="C1150" t="s">
        <v>113</v>
      </c>
      <c r="D1150" s="15">
        <v>1</v>
      </c>
      <c r="E1150" s="7">
        <v>465</v>
      </c>
      <c r="H1150">
        <v>67865</v>
      </c>
      <c r="I1150" t="s">
        <v>349</v>
      </c>
      <c r="J1150" t="s">
        <v>2811</v>
      </c>
      <c r="K1150" t="s">
        <v>3</v>
      </c>
      <c r="L1150" s="2">
        <v>43252</v>
      </c>
      <c r="M1150" s="2">
        <f>DHMXX[[#This Row],[INV DOC DATE]]+30</f>
        <v>43282</v>
      </c>
      <c r="N1150" s="2">
        <v>43279</v>
      </c>
      <c r="O1150" s="7">
        <v>465</v>
      </c>
      <c r="P1150" s="2">
        <v>43290</v>
      </c>
      <c r="Q1150" s="7">
        <f>$E1150-$O1150</f>
        <v>0</v>
      </c>
      <c r="R1150" s="7" t="str">
        <f ca="1">IF(TODAY() - DHMXX[INV DUE DATE]&lt;30, "Less than 30 days",IF(TODAY()-DHMXX[INV DUE DATE]&lt;60,"30-60 days","More than 60 days"))</f>
        <v>Less than 30 days</v>
      </c>
      <c r="S1150" t="s">
        <v>1550</v>
      </c>
      <c r="T1150" s="43" t="s">
        <v>2229</v>
      </c>
      <c r="U1150" t="s">
        <v>3699</v>
      </c>
    </row>
    <row r="1151" spans="1:21" x14ac:dyDescent="0.3">
      <c r="A1151" t="s">
        <v>4137</v>
      </c>
      <c r="B1151" t="s">
        <v>30</v>
      </c>
      <c r="C1151" t="s">
        <v>114</v>
      </c>
      <c r="D1151" s="15">
        <v>1</v>
      </c>
      <c r="E1151" s="7">
        <v>465</v>
      </c>
      <c r="H1151">
        <v>67865</v>
      </c>
      <c r="I1151" t="s">
        <v>349</v>
      </c>
      <c r="J1151" t="s">
        <v>2812</v>
      </c>
      <c r="K1151" t="s">
        <v>3</v>
      </c>
      <c r="L1151" s="2">
        <v>43252</v>
      </c>
      <c r="M1151" s="2">
        <f>DHMXX[[#This Row],[INV DOC DATE]]+30</f>
        <v>43282</v>
      </c>
      <c r="N1151" s="2">
        <v>43279</v>
      </c>
      <c r="O1151" s="7">
        <v>465</v>
      </c>
      <c r="P1151" s="2">
        <v>43290</v>
      </c>
      <c r="Q1151" s="7">
        <f>$E1151-$O1151</f>
        <v>0</v>
      </c>
      <c r="R1151" s="7" t="str">
        <f ca="1">IF(TODAY() - DHMXX[INV DUE DATE]&lt;30, "Less than 30 days",IF(TODAY()-DHMXX[INV DUE DATE]&lt;60,"30-60 days","More than 60 days"))</f>
        <v>Less than 30 days</v>
      </c>
      <c r="S1151" t="s">
        <v>1550</v>
      </c>
      <c r="T1151" s="43" t="s">
        <v>2229</v>
      </c>
      <c r="U1151" t="s">
        <v>3699</v>
      </c>
    </row>
    <row r="1152" spans="1:21" x14ac:dyDescent="0.3">
      <c r="A1152" t="s">
        <v>4137</v>
      </c>
      <c r="B1152" t="s">
        <v>30</v>
      </c>
      <c r="C1152" t="s">
        <v>115</v>
      </c>
      <c r="D1152" s="15">
        <v>1</v>
      </c>
      <c r="E1152" s="7">
        <v>465</v>
      </c>
      <c r="H1152">
        <v>67865</v>
      </c>
      <c r="I1152" t="s">
        <v>349</v>
      </c>
      <c r="J1152" t="s">
        <v>2813</v>
      </c>
      <c r="K1152" t="s">
        <v>3</v>
      </c>
      <c r="L1152" s="2">
        <v>43252</v>
      </c>
      <c r="M1152" s="2">
        <f>DHMXX[[#This Row],[INV DOC DATE]]+30</f>
        <v>43282</v>
      </c>
      <c r="N1152" s="2">
        <v>43279</v>
      </c>
      <c r="O1152" s="7">
        <v>465</v>
      </c>
      <c r="P1152" s="2">
        <v>43290</v>
      </c>
      <c r="Q1152" s="7">
        <f>$E1152-$O1152</f>
        <v>0</v>
      </c>
      <c r="R1152" s="7" t="str">
        <f ca="1">IF(TODAY() - DHMXX[INV DUE DATE]&lt;30, "Less than 30 days",IF(TODAY()-DHMXX[INV DUE DATE]&lt;60,"30-60 days","More than 60 days"))</f>
        <v>Less than 30 days</v>
      </c>
      <c r="S1152" t="s">
        <v>1550</v>
      </c>
      <c r="T1152" s="43" t="s">
        <v>2229</v>
      </c>
      <c r="U1152" t="s">
        <v>3699</v>
      </c>
    </row>
    <row r="1153" spans="1:21" x14ac:dyDescent="0.3">
      <c r="A1153" t="s">
        <v>4137</v>
      </c>
      <c r="B1153" t="s">
        <v>30</v>
      </c>
      <c r="C1153" t="s">
        <v>116</v>
      </c>
      <c r="D1153" s="15">
        <v>1</v>
      </c>
      <c r="E1153" s="7">
        <v>465</v>
      </c>
      <c r="H1153">
        <v>67865</v>
      </c>
      <c r="I1153" t="s">
        <v>349</v>
      </c>
      <c r="J1153" t="s">
        <v>2814</v>
      </c>
      <c r="K1153" t="s">
        <v>3</v>
      </c>
      <c r="L1153" s="2">
        <v>43252</v>
      </c>
      <c r="M1153" s="2">
        <f>DHMXX[[#This Row],[INV DOC DATE]]+30</f>
        <v>43282</v>
      </c>
      <c r="N1153" s="2">
        <v>43279</v>
      </c>
      <c r="O1153" s="7">
        <v>465</v>
      </c>
      <c r="P1153" s="2">
        <v>43290</v>
      </c>
      <c r="Q1153" s="7">
        <f>$E1153-$O1153</f>
        <v>0</v>
      </c>
      <c r="R1153" s="7" t="str">
        <f ca="1">IF(TODAY() - DHMXX[INV DUE DATE]&lt;30, "Less than 30 days",IF(TODAY()-DHMXX[INV DUE DATE]&lt;60,"30-60 days","More than 60 days"))</f>
        <v>Less than 30 days</v>
      </c>
      <c r="S1153" t="s">
        <v>1550</v>
      </c>
      <c r="T1153" s="43" t="s">
        <v>2229</v>
      </c>
      <c r="U1153" t="s">
        <v>3699</v>
      </c>
    </row>
    <row r="1154" spans="1:21" x14ac:dyDescent="0.3">
      <c r="A1154" t="s">
        <v>4137</v>
      </c>
      <c r="B1154" t="s">
        <v>30</v>
      </c>
      <c r="C1154" t="s">
        <v>117</v>
      </c>
      <c r="D1154" s="15">
        <v>1</v>
      </c>
      <c r="E1154" s="7">
        <v>172.5</v>
      </c>
      <c r="H1154">
        <v>68161</v>
      </c>
      <c r="I1154" t="s">
        <v>358</v>
      </c>
      <c r="J1154" t="s">
        <v>2815</v>
      </c>
      <c r="K1154" t="s">
        <v>3</v>
      </c>
      <c r="L1154" s="2">
        <v>43252</v>
      </c>
      <c r="M1154" s="2">
        <f>DHMXX[[#This Row],[INV DOC DATE]]+30</f>
        <v>43282</v>
      </c>
      <c r="N1154" s="2">
        <v>43279</v>
      </c>
      <c r="O1154" s="7">
        <v>172.5</v>
      </c>
      <c r="P1154" s="2">
        <v>43290</v>
      </c>
      <c r="Q1154" s="7">
        <f>$E1154-$O1154</f>
        <v>0</v>
      </c>
      <c r="R1154" s="7" t="str">
        <f ca="1">IF(TODAY() - DHMXX[INV DUE DATE]&lt;30, "Less than 30 days",IF(TODAY()-DHMXX[INV DUE DATE]&lt;60,"30-60 days","More than 60 days"))</f>
        <v>Less than 30 days</v>
      </c>
      <c r="S1154" t="s">
        <v>1550</v>
      </c>
      <c r="T1154" s="43" t="s">
        <v>2229</v>
      </c>
      <c r="U1154" t="s">
        <v>3699</v>
      </c>
    </row>
    <row r="1155" spans="1:21" x14ac:dyDescent="0.3">
      <c r="A1155" t="s">
        <v>4137</v>
      </c>
      <c r="B1155" t="s">
        <v>30</v>
      </c>
      <c r="C1155" t="s">
        <v>118</v>
      </c>
      <c r="D1155" s="15">
        <v>1</v>
      </c>
      <c r="E1155" s="7">
        <v>172.5</v>
      </c>
      <c r="H1155">
        <v>76024</v>
      </c>
      <c r="I1155" t="s">
        <v>851</v>
      </c>
      <c r="J1155" t="s">
        <v>2817</v>
      </c>
      <c r="K1155" t="s">
        <v>3</v>
      </c>
      <c r="L1155" s="2">
        <v>43252</v>
      </c>
      <c r="M1155" s="2">
        <f>DHMXX[[#This Row],[INV DOC DATE]]+30</f>
        <v>43282</v>
      </c>
      <c r="N1155" s="2">
        <v>43279</v>
      </c>
      <c r="O1155" s="7">
        <v>172.5</v>
      </c>
      <c r="P1155" s="2">
        <v>43290</v>
      </c>
      <c r="Q1155" s="7">
        <f>$E1155-$O1155</f>
        <v>0</v>
      </c>
      <c r="R1155" s="7" t="str">
        <f ca="1">IF(TODAY() - DHMXX[INV DUE DATE]&lt;30, "Less than 30 days",IF(TODAY()-DHMXX[INV DUE DATE]&lt;60,"30-60 days","More than 60 days"))</f>
        <v>Less than 30 days</v>
      </c>
      <c r="S1155" t="s">
        <v>1550</v>
      </c>
      <c r="T1155" s="43" t="s">
        <v>2229</v>
      </c>
      <c r="U1155" t="s">
        <v>3699</v>
      </c>
    </row>
    <row r="1156" spans="1:21" x14ac:dyDescent="0.3">
      <c r="A1156" t="s">
        <v>4137</v>
      </c>
      <c r="B1156" t="s">
        <v>30</v>
      </c>
      <c r="C1156" t="s">
        <v>119</v>
      </c>
      <c r="D1156" s="15">
        <v>1</v>
      </c>
      <c r="E1156" s="7">
        <v>172.5</v>
      </c>
      <c r="H1156">
        <v>76024</v>
      </c>
      <c r="I1156" t="s">
        <v>851</v>
      </c>
      <c r="J1156" t="s">
        <v>2818</v>
      </c>
      <c r="K1156" t="s">
        <v>3</v>
      </c>
      <c r="L1156" s="2">
        <v>43252</v>
      </c>
      <c r="M1156" s="2">
        <f>DHMXX[[#This Row],[INV DOC DATE]]+30</f>
        <v>43282</v>
      </c>
      <c r="N1156" s="2">
        <v>43279</v>
      </c>
      <c r="O1156" s="7">
        <v>172.5</v>
      </c>
      <c r="P1156" s="2">
        <v>43290</v>
      </c>
      <c r="Q1156" s="7">
        <f>$E1156-$O1156</f>
        <v>0</v>
      </c>
      <c r="R1156" s="7" t="str">
        <f ca="1">IF(TODAY() - DHMXX[INV DUE DATE]&lt;30, "Less than 30 days",IF(TODAY()-DHMXX[INV DUE DATE]&lt;60,"30-60 days","More than 60 days"))</f>
        <v>Less than 30 days</v>
      </c>
      <c r="S1156" t="s">
        <v>1550</v>
      </c>
      <c r="T1156" s="43" t="s">
        <v>2229</v>
      </c>
      <c r="U1156" t="s">
        <v>3699</v>
      </c>
    </row>
    <row r="1157" spans="1:21" x14ac:dyDescent="0.3">
      <c r="A1157" t="s">
        <v>4137</v>
      </c>
      <c r="B1157" t="s">
        <v>30</v>
      </c>
      <c r="C1157" t="s">
        <v>120</v>
      </c>
      <c r="D1157" s="15">
        <v>1</v>
      </c>
      <c r="E1157" s="7">
        <v>172.5</v>
      </c>
      <c r="H1157">
        <v>76833</v>
      </c>
      <c r="I1157" t="s">
        <v>852</v>
      </c>
      <c r="J1157" t="s">
        <v>2821</v>
      </c>
      <c r="K1157" t="s">
        <v>3</v>
      </c>
      <c r="L1157" s="2">
        <v>43252</v>
      </c>
      <c r="M1157" s="2">
        <f>DHMXX[[#This Row],[INV DOC DATE]]+30</f>
        <v>43282</v>
      </c>
      <c r="N1157" s="2">
        <v>43279</v>
      </c>
      <c r="O1157" s="7">
        <v>172.5</v>
      </c>
      <c r="P1157" s="2">
        <v>43290</v>
      </c>
      <c r="Q1157" s="7">
        <f>$E1157-$O1157</f>
        <v>0</v>
      </c>
      <c r="R1157" s="7" t="str">
        <f ca="1">IF(TODAY() - DHMXX[INV DUE DATE]&lt;30, "Less than 30 days",IF(TODAY()-DHMXX[INV DUE DATE]&lt;60,"30-60 days","More than 60 days"))</f>
        <v>Less than 30 days</v>
      </c>
      <c r="S1157" t="s">
        <v>1550</v>
      </c>
      <c r="T1157" s="43" t="s">
        <v>2229</v>
      </c>
      <c r="U1157" t="s">
        <v>3699</v>
      </c>
    </row>
    <row r="1158" spans="1:21" x14ac:dyDescent="0.3">
      <c r="A1158" t="s">
        <v>4137</v>
      </c>
      <c r="B1158" t="s">
        <v>30</v>
      </c>
      <c r="C1158" t="s">
        <v>121</v>
      </c>
      <c r="D1158" s="15">
        <v>1</v>
      </c>
      <c r="E1158" s="7">
        <v>172.5</v>
      </c>
      <c r="H1158">
        <v>76833</v>
      </c>
      <c r="I1158" t="s">
        <v>852</v>
      </c>
      <c r="J1158" t="s">
        <v>2822</v>
      </c>
      <c r="K1158" t="s">
        <v>3</v>
      </c>
      <c r="L1158" s="2">
        <v>43252</v>
      </c>
      <c r="M1158" s="2">
        <f>DHMXX[[#This Row],[INV DOC DATE]]+30</f>
        <v>43282</v>
      </c>
      <c r="N1158" s="2">
        <v>43279</v>
      </c>
      <c r="O1158" s="7">
        <v>172.5</v>
      </c>
      <c r="P1158" s="2">
        <v>43290</v>
      </c>
      <c r="Q1158" s="7">
        <f>$E1158-$O1158</f>
        <v>0</v>
      </c>
      <c r="R1158" s="7" t="str">
        <f ca="1">IF(TODAY() - DHMXX[INV DUE DATE]&lt;30, "Less than 30 days",IF(TODAY()-DHMXX[INV DUE DATE]&lt;60,"30-60 days","More than 60 days"))</f>
        <v>Less than 30 days</v>
      </c>
      <c r="S1158" t="s">
        <v>1550</v>
      </c>
      <c r="T1158" s="43" t="s">
        <v>2229</v>
      </c>
      <c r="U1158" t="s">
        <v>3699</v>
      </c>
    </row>
    <row r="1159" spans="1:21" x14ac:dyDescent="0.3">
      <c r="A1159" t="s">
        <v>4137</v>
      </c>
      <c r="B1159" t="s">
        <v>30</v>
      </c>
      <c r="C1159" t="s">
        <v>122</v>
      </c>
      <c r="D1159" s="15">
        <v>1</v>
      </c>
      <c r="E1159" s="7">
        <v>172.5</v>
      </c>
      <c r="H1159">
        <v>76833</v>
      </c>
      <c r="I1159" t="s">
        <v>848</v>
      </c>
      <c r="J1159" t="s">
        <v>2819</v>
      </c>
      <c r="K1159" t="s">
        <v>3</v>
      </c>
      <c r="L1159" s="2">
        <v>43252</v>
      </c>
      <c r="M1159" s="2">
        <f>DHMXX[[#This Row],[INV DOC DATE]]+30</f>
        <v>43282</v>
      </c>
      <c r="N1159" s="2">
        <v>43279</v>
      </c>
      <c r="O1159" s="7">
        <v>172.5</v>
      </c>
      <c r="P1159" s="2">
        <v>43290</v>
      </c>
      <c r="Q1159" s="7">
        <f>$E1159-$O1159</f>
        <v>0</v>
      </c>
      <c r="R1159" s="7" t="str">
        <f ca="1">IF(TODAY() - DHMXX[INV DUE DATE]&lt;30, "Less than 30 days",IF(TODAY()-DHMXX[INV DUE DATE]&lt;60,"30-60 days","More than 60 days"))</f>
        <v>Less than 30 days</v>
      </c>
      <c r="S1159" t="s">
        <v>1550</v>
      </c>
      <c r="T1159" s="43" t="s">
        <v>2229</v>
      </c>
      <c r="U1159" t="s">
        <v>3699</v>
      </c>
    </row>
    <row r="1160" spans="1:21" x14ac:dyDescent="0.3">
      <c r="A1160" t="s">
        <v>4137</v>
      </c>
      <c r="B1160" t="s">
        <v>30</v>
      </c>
      <c r="C1160" t="s">
        <v>123</v>
      </c>
      <c r="D1160" s="15">
        <v>1</v>
      </c>
      <c r="E1160" s="7">
        <v>172.5</v>
      </c>
      <c r="H1160">
        <v>76833</v>
      </c>
      <c r="I1160" t="s">
        <v>852</v>
      </c>
      <c r="J1160" t="s">
        <v>2820</v>
      </c>
      <c r="K1160" t="s">
        <v>3</v>
      </c>
      <c r="L1160" s="2">
        <v>43252</v>
      </c>
      <c r="M1160" s="2">
        <f>DHMXX[[#This Row],[INV DOC DATE]]+30</f>
        <v>43282</v>
      </c>
      <c r="N1160" s="2">
        <v>43279</v>
      </c>
      <c r="O1160" s="7">
        <v>172.5</v>
      </c>
      <c r="P1160" s="2">
        <v>43290</v>
      </c>
      <c r="Q1160" s="7">
        <f>$E1160-$O1160</f>
        <v>0</v>
      </c>
      <c r="R1160" s="7" t="str">
        <f ca="1">IF(TODAY() - DHMXX[INV DUE DATE]&lt;30, "Less than 30 days",IF(TODAY()-DHMXX[INV DUE DATE]&lt;60,"30-60 days","More than 60 days"))</f>
        <v>Less than 30 days</v>
      </c>
      <c r="S1160" t="s">
        <v>1550</v>
      </c>
      <c r="T1160" s="43" t="s">
        <v>2229</v>
      </c>
      <c r="U1160" t="s">
        <v>3699</v>
      </c>
    </row>
    <row r="1161" spans="1:21" x14ac:dyDescent="0.3">
      <c r="A1161" t="s">
        <v>4137</v>
      </c>
      <c r="B1161" t="s">
        <v>30</v>
      </c>
      <c r="C1161" t="s">
        <v>124</v>
      </c>
      <c r="D1161" s="15">
        <v>1</v>
      </c>
      <c r="E1161" s="7">
        <v>172.5</v>
      </c>
      <c r="H1161">
        <v>76833</v>
      </c>
      <c r="I1161" t="s">
        <v>852</v>
      </c>
      <c r="J1161" t="s">
        <v>2823</v>
      </c>
      <c r="K1161" t="s">
        <v>3</v>
      </c>
      <c r="L1161" s="2">
        <v>43252</v>
      </c>
      <c r="M1161" s="2">
        <f>DHMXX[[#This Row],[INV DOC DATE]]+30</f>
        <v>43282</v>
      </c>
      <c r="N1161" s="2">
        <v>43279</v>
      </c>
      <c r="O1161" s="7">
        <v>172.5</v>
      </c>
      <c r="P1161" s="2">
        <v>43290</v>
      </c>
      <c r="Q1161" s="7">
        <f>$E1161-$O1161</f>
        <v>0</v>
      </c>
      <c r="R1161" s="7" t="str">
        <f ca="1">IF(TODAY() - DHMXX[INV DUE DATE]&lt;30, "Less than 30 days",IF(TODAY()-DHMXX[INV DUE DATE]&lt;60,"30-60 days","More than 60 days"))</f>
        <v>Less than 30 days</v>
      </c>
      <c r="S1161" t="s">
        <v>1550</v>
      </c>
      <c r="T1161" s="43" t="s">
        <v>2229</v>
      </c>
      <c r="U1161" t="s">
        <v>3699</v>
      </c>
    </row>
    <row r="1162" spans="1:21" x14ac:dyDescent="0.3">
      <c r="A1162" t="s">
        <v>4137</v>
      </c>
      <c r="B1162" t="s">
        <v>30</v>
      </c>
      <c r="C1162" t="s">
        <v>125</v>
      </c>
      <c r="D1162" s="15">
        <v>1</v>
      </c>
      <c r="E1162" s="7">
        <v>172.5</v>
      </c>
      <c r="H1162">
        <v>82624</v>
      </c>
      <c r="I1162" t="s">
        <v>853</v>
      </c>
      <c r="J1162" t="s">
        <v>2824</v>
      </c>
      <c r="K1162" t="s">
        <v>3</v>
      </c>
      <c r="L1162" s="2">
        <v>43252</v>
      </c>
      <c r="M1162" s="2">
        <f>DHMXX[[#This Row],[INV DOC DATE]]+30</f>
        <v>43282</v>
      </c>
      <c r="N1162" s="2">
        <v>43279</v>
      </c>
      <c r="O1162" s="7">
        <v>172.5</v>
      </c>
      <c r="P1162" s="2">
        <v>43290</v>
      </c>
      <c r="Q1162" s="7">
        <f>$E1162-$O1162</f>
        <v>0</v>
      </c>
      <c r="R1162" s="7" t="str">
        <f ca="1">IF(TODAY() - DHMXX[INV DUE DATE]&lt;30, "Less than 30 days",IF(TODAY()-DHMXX[INV DUE DATE]&lt;60,"30-60 days","More than 60 days"))</f>
        <v>Less than 30 days</v>
      </c>
      <c r="S1162" t="s">
        <v>1550</v>
      </c>
      <c r="T1162" s="43" t="s">
        <v>2229</v>
      </c>
      <c r="U1162" t="s">
        <v>3699</v>
      </c>
    </row>
    <row r="1163" spans="1:21" x14ac:dyDescent="0.3">
      <c r="A1163" t="s">
        <v>4137</v>
      </c>
      <c r="B1163" t="s">
        <v>30</v>
      </c>
      <c r="C1163" t="s">
        <v>126</v>
      </c>
      <c r="D1163" s="15">
        <v>1</v>
      </c>
      <c r="E1163" s="7">
        <v>172.5</v>
      </c>
      <c r="H1163">
        <v>85175</v>
      </c>
      <c r="I1163" t="s">
        <v>839</v>
      </c>
      <c r="J1163" t="s">
        <v>2825</v>
      </c>
      <c r="K1163" t="s">
        <v>3</v>
      </c>
      <c r="L1163" s="2">
        <v>43252</v>
      </c>
      <c r="M1163" s="2">
        <f>DHMXX[[#This Row],[INV DOC DATE]]+30</f>
        <v>43282</v>
      </c>
      <c r="N1163" s="2">
        <v>43279</v>
      </c>
      <c r="O1163" s="7">
        <v>172.5</v>
      </c>
      <c r="P1163" s="2">
        <v>43290</v>
      </c>
      <c r="Q1163" s="7">
        <f>$E1163-$O1163</f>
        <v>0</v>
      </c>
      <c r="R1163" s="7" t="str">
        <f ca="1">IF(TODAY() - DHMXX[INV DUE DATE]&lt;30, "Less than 30 days",IF(TODAY()-DHMXX[INV DUE DATE]&lt;60,"30-60 days","More than 60 days"))</f>
        <v>Less than 30 days</v>
      </c>
      <c r="S1163" t="s">
        <v>1550</v>
      </c>
      <c r="T1163" s="43" t="s">
        <v>2229</v>
      </c>
      <c r="U1163" t="s">
        <v>3699</v>
      </c>
    </row>
    <row r="1164" spans="1:21" x14ac:dyDescent="0.3">
      <c r="A1164" t="s">
        <v>4137</v>
      </c>
      <c r="B1164" t="s">
        <v>30</v>
      </c>
      <c r="C1164" t="s">
        <v>127</v>
      </c>
      <c r="D1164" s="15">
        <v>1</v>
      </c>
      <c r="E1164" s="7">
        <v>172.5</v>
      </c>
      <c r="H1164">
        <v>85175</v>
      </c>
      <c r="I1164" t="s">
        <v>839</v>
      </c>
      <c r="J1164" t="s">
        <v>2826</v>
      </c>
      <c r="K1164" t="s">
        <v>3</v>
      </c>
      <c r="L1164" s="2">
        <v>43252</v>
      </c>
      <c r="M1164" s="2">
        <f>DHMXX[[#This Row],[INV DOC DATE]]+30</f>
        <v>43282</v>
      </c>
      <c r="N1164" s="2">
        <v>43279</v>
      </c>
      <c r="O1164" s="7">
        <v>172.5</v>
      </c>
      <c r="P1164" s="2">
        <v>43290</v>
      </c>
      <c r="Q1164" s="7">
        <f>$E1164-$O1164</f>
        <v>0</v>
      </c>
      <c r="R1164" s="7" t="str">
        <f ca="1">IF(TODAY() - DHMXX[INV DUE DATE]&lt;30, "Less than 30 days",IF(TODAY()-DHMXX[INV DUE DATE]&lt;60,"30-60 days","More than 60 days"))</f>
        <v>Less than 30 days</v>
      </c>
      <c r="S1164" t="s">
        <v>1550</v>
      </c>
      <c r="T1164" s="43" t="s">
        <v>2229</v>
      </c>
      <c r="U1164" t="s">
        <v>3699</v>
      </c>
    </row>
    <row r="1165" spans="1:21" x14ac:dyDescent="0.3">
      <c r="A1165" t="s">
        <v>4137</v>
      </c>
      <c r="B1165" t="s">
        <v>30</v>
      </c>
      <c r="C1165" t="s">
        <v>128</v>
      </c>
      <c r="D1165" s="15">
        <v>1</v>
      </c>
      <c r="E1165" s="7">
        <v>172.5</v>
      </c>
      <c r="H1165">
        <v>85175</v>
      </c>
      <c r="I1165" t="s">
        <v>839</v>
      </c>
      <c r="J1165" t="s">
        <v>2827</v>
      </c>
      <c r="K1165" t="s">
        <v>3</v>
      </c>
      <c r="L1165" s="2">
        <v>43252</v>
      </c>
      <c r="M1165" s="2">
        <f>DHMXX[[#This Row],[INV DOC DATE]]+30</f>
        <v>43282</v>
      </c>
      <c r="N1165" s="2">
        <v>43279</v>
      </c>
      <c r="O1165" s="7">
        <v>172.5</v>
      </c>
      <c r="P1165" s="2">
        <v>43290</v>
      </c>
      <c r="Q1165" s="7">
        <f>$E1165-$O1165</f>
        <v>0</v>
      </c>
      <c r="R1165" s="7" t="str">
        <f ca="1">IF(TODAY() - DHMXX[INV DUE DATE]&lt;30, "Less than 30 days",IF(TODAY()-DHMXX[INV DUE DATE]&lt;60,"30-60 days","More than 60 days"))</f>
        <v>Less than 30 days</v>
      </c>
      <c r="S1165" t="s">
        <v>1550</v>
      </c>
      <c r="T1165" s="43" t="s">
        <v>2229</v>
      </c>
      <c r="U1165" t="s">
        <v>3699</v>
      </c>
    </row>
    <row r="1166" spans="1:21" x14ac:dyDescent="0.3">
      <c r="A1166" t="s">
        <v>4137</v>
      </c>
      <c r="B1166" t="s">
        <v>30</v>
      </c>
      <c r="C1166" t="s">
        <v>129</v>
      </c>
      <c r="D1166" s="15">
        <v>1</v>
      </c>
      <c r="E1166" s="7">
        <v>172.5</v>
      </c>
      <c r="H1166">
        <v>91295</v>
      </c>
      <c r="I1166" t="s">
        <v>360</v>
      </c>
      <c r="J1166" t="s">
        <v>2908</v>
      </c>
      <c r="K1166" t="s">
        <v>3</v>
      </c>
      <c r="L1166" s="2">
        <v>43252</v>
      </c>
      <c r="M1166" s="2">
        <f>DHMXX[[#This Row],[INV DOC DATE]]+30</f>
        <v>43282</v>
      </c>
      <c r="N1166" s="2">
        <v>43279</v>
      </c>
      <c r="O1166" s="7">
        <v>172.5</v>
      </c>
      <c r="P1166" s="2">
        <v>43290</v>
      </c>
      <c r="Q1166" s="7">
        <f>$E1166-$O1166</f>
        <v>0</v>
      </c>
      <c r="R1166" s="7" t="str">
        <f ca="1">IF(TODAY() - DHMXX[INV DUE DATE]&lt;30, "Less than 30 days",IF(TODAY()-DHMXX[INV DUE DATE]&lt;60,"30-60 days","More than 60 days"))</f>
        <v>Less than 30 days</v>
      </c>
      <c r="S1166" t="s">
        <v>1550</v>
      </c>
      <c r="T1166" s="43" t="s">
        <v>2229</v>
      </c>
      <c r="U1166" t="s">
        <v>3699</v>
      </c>
    </row>
    <row r="1167" spans="1:21" x14ac:dyDescent="0.3">
      <c r="A1167" t="s">
        <v>4137</v>
      </c>
      <c r="B1167" t="s">
        <v>30</v>
      </c>
      <c r="C1167" t="s">
        <v>130</v>
      </c>
      <c r="D1167" s="15">
        <v>1</v>
      </c>
      <c r="E1167" s="7">
        <v>172.5</v>
      </c>
      <c r="H1167">
        <v>91295</v>
      </c>
      <c r="I1167" t="s">
        <v>360</v>
      </c>
      <c r="J1167" t="s">
        <v>2909</v>
      </c>
      <c r="K1167" t="s">
        <v>3</v>
      </c>
      <c r="L1167" s="2">
        <v>43252</v>
      </c>
      <c r="M1167" s="2">
        <f>DHMXX[[#This Row],[INV DOC DATE]]+30</f>
        <v>43282</v>
      </c>
      <c r="N1167" s="2">
        <v>43279</v>
      </c>
      <c r="O1167" s="7">
        <v>172.5</v>
      </c>
      <c r="P1167" s="2">
        <v>43290</v>
      </c>
      <c r="Q1167" s="7">
        <f>$E1167-$O1167</f>
        <v>0</v>
      </c>
      <c r="R1167" s="7" t="str">
        <f ca="1">IF(TODAY() - DHMXX[INV DUE DATE]&lt;30, "Less than 30 days",IF(TODAY()-DHMXX[INV DUE DATE]&lt;60,"30-60 days","More than 60 days"))</f>
        <v>Less than 30 days</v>
      </c>
      <c r="S1167" t="s">
        <v>1550</v>
      </c>
      <c r="T1167" s="43" t="s">
        <v>2229</v>
      </c>
      <c r="U1167" t="s">
        <v>3699</v>
      </c>
    </row>
    <row r="1168" spans="1:21" x14ac:dyDescent="0.3">
      <c r="A1168" t="s">
        <v>4137</v>
      </c>
      <c r="B1168" t="s">
        <v>30</v>
      </c>
      <c r="C1168" t="s">
        <v>131</v>
      </c>
      <c r="D1168" s="15">
        <v>1</v>
      </c>
      <c r="E1168" s="7">
        <v>172.5</v>
      </c>
      <c r="H1168">
        <v>91295</v>
      </c>
      <c r="I1168" t="s">
        <v>360</v>
      </c>
      <c r="J1168" t="s">
        <v>2910</v>
      </c>
      <c r="K1168" t="s">
        <v>3</v>
      </c>
      <c r="L1168" s="2">
        <v>43252</v>
      </c>
      <c r="M1168" s="2">
        <f>DHMXX[[#This Row],[INV DOC DATE]]+30</f>
        <v>43282</v>
      </c>
      <c r="N1168" s="2">
        <v>43279</v>
      </c>
      <c r="O1168" s="7">
        <v>172.5</v>
      </c>
      <c r="P1168" s="2">
        <v>43290</v>
      </c>
      <c r="Q1168" s="7">
        <f>$E1168-$O1168</f>
        <v>0</v>
      </c>
      <c r="R1168" s="7" t="str">
        <f ca="1">IF(TODAY() - DHMXX[INV DUE DATE]&lt;30, "Less than 30 days",IF(TODAY()-DHMXX[INV DUE DATE]&lt;60,"30-60 days","More than 60 days"))</f>
        <v>Less than 30 days</v>
      </c>
      <c r="S1168" t="s">
        <v>1550</v>
      </c>
      <c r="T1168" s="43" t="s">
        <v>2229</v>
      </c>
      <c r="U1168" t="s">
        <v>3699</v>
      </c>
    </row>
    <row r="1169" spans="1:21" x14ac:dyDescent="0.3">
      <c r="A1169" t="s">
        <v>4137</v>
      </c>
      <c r="B1169" t="s">
        <v>30</v>
      </c>
      <c r="C1169" t="s">
        <v>132</v>
      </c>
      <c r="D1169" s="15">
        <v>1</v>
      </c>
      <c r="E1169" s="7">
        <v>172.5</v>
      </c>
      <c r="H1169">
        <v>91295</v>
      </c>
      <c r="I1169" t="s">
        <v>360</v>
      </c>
      <c r="J1169" t="s">
        <v>2911</v>
      </c>
      <c r="K1169" t="s">
        <v>3</v>
      </c>
      <c r="L1169" s="2">
        <v>43252</v>
      </c>
      <c r="M1169" s="2">
        <f>DHMXX[[#This Row],[INV DOC DATE]]+30</f>
        <v>43282</v>
      </c>
      <c r="N1169" s="2">
        <v>43279</v>
      </c>
      <c r="O1169" s="7">
        <v>172.5</v>
      </c>
      <c r="P1169" s="2">
        <v>43290</v>
      </c>
      <c r="Q1169" s="7">
        <f>$E1169-$O1169</f>
        <v>0</v>
      </c>
      <c r="R1169" s="7" t="str">
        <f ca="1">IF(TODAY() - DHMXX[INV DUE DATE]&lt;30, "Less than 30 days",IF(TODAY()-DHMXX[INV DUE DATE]&lt;60,"30-60 days","More than 60 days"))</f>
        <v>Less than 30 days</v>
      </c>
      <c r="S1169" t="s">
        <v>1550</v>
      </c>
      <c r="T1169" s="43" t="s">
        <v>2229</v>
      </c>
      <c r="U1169" t="s">
        <v>3699</v>
      </c>
    </row>
    <row r="1170" spans="1:21" x14ac:dyDescent="0.3">
      <c r="A1170" t="s">
        <v>4137</v>
      </c>
      <c r="B1170" t="s">
        <v>30</v>
      </c>
      <c r="C1170" t="s">
        <v>133</v>
      </c>
      <c r="D1170" s="15">
        <v>1</v>
      </c>
      <c r="E1170" s="7">
        <v>172.5</v>
      </c>
      <c r="H1170">
        <v>91295</v>
      </c>
      <c r="I1170" t="s">
        <v>360</v>
      </c>
      <c r="J1170" t="s">
        <v>2912</v>
      </c>
      <c r="K1170" t="s">
        <v>3</v>
      </c>
      <c r="L1170" s="2">
        <v>43252</v>
      </c>
      <c r="M1170" s="2">
        <f>DHMXX[[#This Row],[INV DOC DATE]]+30</f>
        <v>43282</v>
      </c>
      <c r="N1170" s="2">
        <v>43279</v>
      </c>
      <c r="O1170" s="7">
        <v>172.5</v>
      </c>
      <c r="P1170" s="2">
        <v>43290</v>
      </c>
      <c r="Q1170" s="7">
        <f>$E1170-$O1170</f>
        <v>0</v>
      </c>
      <c r="R1170" s="7" t="str">
        <f ca="1">IF(TODAY() - DHMXX[INV DUE DATE]&lt;30, "Less than 30 days",IF(TODAY()-DHMXX[INV DUE DATE]&lt;60,"30-60 days","More than 60 days"))</f>
        <v>Less than 30 days</v>
      </c>
      <c r="S1170" t="s">
        <v>1550</v>
      </c>
      <c r="T1170" s="43" t="s">
        <v>2229</v>
      </c>
      <c r="U1170" t="s">
        <v>3699</v>
      </c>
    </row>
    <row r="1171" spans="1:21" x14ac:dyDescent="0.3">
      <c r="A1171" t="s">
        <v>4137</v>
      </c>
      <c r="B1171" t="s">
        <v>30</v>
      </c>
      <c r="C1171" t="s">
        <v>134</v>
      </c>
      <c r="D1171" s="15">
        <v>1</v>
      </c>
      <c r="E1171" s="7">
        <v>172.5</v>
      </c>
      <c r="H1171">
        <v>91295</v>
      </c>
      <c r="I1171" t="s">
        <v>360</v>
      </c>
      <c r="J1171" t="s">
        <v>2913</v>
      </c>
      <c r="K1171" t="s">
        <v>3</v>
      </c>
      <c r="L1171" s="2">
        <v>43252</v>
      </c>
      <c r="M1171" s="2">
        <f>DHMXX[[#This Row],[INV DOC DATE]]+30</f>
        <v>43282</v>
      </c>
      <c r="N1171" s="2">
        <v>43279</v>
      </c>
      <c r="O1171" s="7">
        <v>172.5</v>
      </c>
      <c r="P1171" s="2">
        <v>43290</v>
      </c>
      <c r="Q1171" s="7">
        <f>$E1171-$O1171</f>
        <v>0</v>
      </c>
      <c r="R1171" s="7" t="str">
        <f ca="1">IF(TODAY() - DHMXX[INV DUE DATE]&lt;30, "Less than 30 days",IF(TODAY()-DHMXX[INV DUE DATE]&lt;60,"30-60 days","More than 60 days"))</f>
        <v>Less than 30 days</v>
      </c>
      <c r="S1171" t="s">
        <v>1550</v>
      </c>
      <c r="T1171" s="43" t="s">
        <v>2229</v>
      </c>
      <c r="U1171" t="s">
        <v>3699</v>
      </c>
    </row>
    <row r="1172" spans="1:21" x14ac:dyDescent="0.3">
      <c r="A1172" t="s">
        <v>4137</v>
      </c>
      <c r="B1172" t="s">
        <v>30</v>
      </c>
      <c r="C1172" t="s">
        <v>135</v>
      </c>
      <c r="D1172" s="15">
        <v>1</v>
      </c>
      <c r="E1172" s="7">
        <v>172.5</v>
      </c>
      <c r="H1172">
        <v>91295</v>
      </c>
      <c r="I1172" t="s">
        <v>360</v>
      </c>
      <c r="J1172" t="s">
        <v>2914</v>
      </c>
      <c r="K1172" t="s">
        <v>3</v>
      </c>
      <c r="L1172" s="2">
        <v>43252</v>
      </c>
      <c r="M1172" s="2">
        <f>DHMXX[[#This Row],[INV DOC DATE]]+30</f>
        <v>43282</v>
      </c>
      <c r="N1172" s="2">
        <v>43279</v>
      </c>
      <c r="O1172" s="7">
        <v>172.5</v>
      </c>
      <c r="P1172" s="2">
        <v>43290</v>
      </c>
      <c r="Q1172" s="7">
        <f>$E1172-$O1172</f>
        <v>0</v>
      </c>
      <c r="R1172" s="7" t="str">
        <f ca="1">IF(TODAY() - DHMXX[INV DUE DATE]&lt;30, "Less than 30 days",IF(TODAY()-DHMXX[INV DUE DATE]&lt;60,"30-60 days","More than 60 days"))</f>
        <v>Less than 30 days</v>
      </c>
      <c r="S1172" t="s">
        <v>1550</v>
      </c>
      <c r="T1172" s="43" t="s">
        <v>2229</v>
      </c>
      <c r="U1172" t="s">
        <v>3699</v>
      </c>
    </row>
    <row r="1173" spans="1:21" x14ac:dyDescent="0.3">
      <c r="A1173" t="s">
        <v>4137</v>
      </c>
      <c r="B1173" t="s">
        <v>30</v>
      </c>
      <c r="C1173" t="s">
        <v>136</v>
      </c>
      <c r="D1173" s="15">
        <v>1</v>
      </c>
      <c r="E1173" s="7">
        <v>172.5</v>
      </c>
      <c r="H1173">
        <v>91295</v>
      </c>
      <c r="I1173" t="s">
        <v>360</v>
      </c>
      <c r="J1173" t="s">
        <v>2918</v>
      </c>
      <c r="K1173" t="s">
        <v>3</v>
      </c>
      <c r="L1173" s="2">
        <v>43252</v>
      </c>
      <c r="M1173" s="2">
        <f>DHMXX[[#This Row],[INV DOC DATE]]+30</f>
        <v>43282</v>
      </c>
      <c r="N1173" s="2">
        <v>43279</v>
      </c>
      <c r="O1173" s="7">
        <v>172.5</v>
      </c>
      <c r="P1173" s="2">
        <v>43290</v>
      </c>
      <c r="Q1173" s="7">
        <f>$E1173-$O1173</f>
        <v>0</v>
      </c>
      <c r="R1173" s="7" t="str">
        <f ca="1">IF(TODAY() - DHMXX[INV DUE DATE]&lt;30, "Less than 30 days",IF(TODAY()-DHMXX[INV DUE DATE]&lt;60,"30-60 days","More than 60 days"))</f>
        <v>Less than 30 days</v>
      </c>
      <c r="S1173" t="s">
        <v>1550</v>
      </c>
      <c r="T1173" s="43" t="s">
        <v>2229</v>
      </c>
      <c r="U1173" t="s">
        <v>3699</v>
      </c>
    </row>
    <row r="1174" spans="1:21" x14ac:dyDescent="0.3">
      <c r="A1174" t="s">
        <v>4137</v>
      </c>
      <c r="B1174" t="s">
        <v>30</v>
      </c>
      <c r="C1174" t="s">
        <v>137</v>
      </c>
      <c r="D1174" s="15">
        <v>1</v>
      </c>
      <c r="E1174" s="7">
        <v>172.5</v>
      </c>
      <c r="H1174">
        <v>91295</v>
      </c>
      <c r="I1174" t="s">
        <v>360</v>
      </c>
      <c r="J1174" t="s">
        <v>2919</v>
      </c>
      <c r="K1174" t="s">
        <v>3</v>
      </c>
      <c r="L1174" s="2">
        <v>43252</v>
      </c>
      <c r="M1174" s="2">
        <f>DHMXX[[#This Row],[INV DOC DATE]]+30</f>
        <v>43282</v>
      </c>
      <c r="N1174" s="2">
        <v>43279</v>
      </c>
      <c r="O1174" s="7">
        <v>172.5</v>
      </c>
      <c r="P1174" s="2">
        <v>43290</v>
      </c>
      <c r="Q1174" s="7">
        <f>$E1174-$O1174</f>
        <v>0</v>
      </c>
      <c r="R1174" s="7" t="str">
        <f ca="1">IF(TODAY() - DHMXX[INV DUE DATE]&lt;30, "Less than 30 days",IF(TODAY()-DHMXX[INV DUE DATE]&lt;60,"30-60 days","More than 60 days"))</f>
        <v>Less than 30 days</v>
      </c>
      <c r="S1174" t="s">
        <v>1550</v>
      </c>
      <c r="T1174" s="43" t="s">
        <v>2229</v>
      </c>
      <c r="U1174" t="s">
        <v>3699</v>
      </c>
    </row>
    <row r="1175" spans="1:21" x14ac:dyDescent="0.3">
      <c r="A1175" t="s">
        <v>4137</v>
      </c>
      <c r="B1175" t="s">
        <v>30</v>
      </c>
      <c r="C1175" t="s">
        <v>138</v>
      </c>
      <c r="D1175" s="15">
        <v>1</v>
      </c>
      <c r="E1175" s="7">
        <v>172.5</v>
      </c>
      <c r="H1175">
        <v>91295</v>
      </c>
      <c r="I1175" t="s">
        <v>360</v>
      </c>
      <c r="J1175" t="s">
        <v>2906</v>
      </c>
      <c r="K1175" t="s">
        <v>3</v>
      </c>
      <c r="L1175" s="2">
        <v>43252</v>
      </c>
      <c r="M1175" s="2">
        <f>DHMXX[[#This Row],[INV DOC DATE]]+30</f>
        <v>43282</v>
      </c>
      <c r="N1175" s="2">
        <v>43279</v>
      </c>
      <c r="O1175" s="7">
        <v>172.5</v>
      </c>
      <c r="P1175" s="2">
        <v>43290</v>
      </c>
      <c r="Q1175" s="7">
        <f>$E1175-$O1175</f>
        <v>0</v>
      </c>
      <c r="R1175" s="7" t="str">
        <f ca="1">IF(TODAY() - DHMXX[INV DUE DATE]&lt;30, "Less than 30 days",IF(TODAY()-DHMXX[INV DUE DATE]&lt;60,"30-60 days","More than 60 days"))</f>
        <v>Less than 30 days</v>
      </c>
      <c r="S1175" t="s">
        <v>1550</v>
      </c>
      <c r="T1175" s="43" t="s">
        <v>2229</v>
      </c>
      <c r="U1175" t="s">
        <v>3699</v>
      </c>
    </row>
    <row r="1176" spans="1:21" x14ac:dyDescent="0.3">
      <c r="A1176" t="s">
        <v>4137</v>
      </c>
      <c r="B1176" t="s">
        <v>30</v>
      </c>
      <c r="C1176" t="s">
        <v>139</v>
      </c>
      <c r="D1176" s="15">
        <v>1</v>
      </c>
      <c r="E1176" s="7">
        <v>172.5</v>
      </c>
      <c r="H1176">
        <v>91295</v>
      </c>
      <c r="I1176" t="s">
        <v>360</v>
      </c>
      <c r="J1176" t="s">
        <v>2907</v>
      </c>
      <c r="K1176" t="s">
        <v>3</v>
      </c>
      <c r="L1176" s="2">
        <v>43252</v>
      </c>
      <c r="M1176" s="2">
        <f>DHMXX[[#This Row],[INV DOC DATE]]+30</f>
        <v>43282</v>
      </c>
      <c r="N1176" s="2">
        <v>43279</v>
      </c>
      <c r="O1176" s="7">
        <v>172.5</v>
      </c>
      <c r="P1176" s="2">
        <v>43290</v>
      </c>
      <c r="Q1176" s="7">
        <f>$E1176-$O1176</f>
        <v>0</v>
      </c>
      <c r="R1176" s="7" t="str">
        <f ca="1">IF(TODAY() - DHMXX[INV DUE DATE]&lt;30, "Less than 30 days",IF(TODAY()-DHMXX[INV DUE DATE]&lt;60,"30-60 days","More than 60 days"))</f>
        <v>Less than 30 days</v>
      </c>
      <c r="S1176" t="s">
        <v>1550</v>
      </c>
      <c r="T1176" s="43" t="s">
        <v>2229</v>
      </c>
      <c r="U1176" t="s">
        <v>3699</v>
      </c>
    </row>
    <row r="1177" spans="1:21" x14ac:dyDescent="0.3">
      <c r="A1177" t="s">
        <v>4137</v>
      </c>
      <c r="B1177" t="s">
        <v>30</v>
      </c>
      <c r="C1177" t="s">
        <v>140</v>
      </c>
      <c r="D1177" s="15">
        <v>1</v>
      </c>
      <c r="E1177" s="7">
        <v>172.5</v>
      </c>
      <c r="H1177">
        <v>91295</v>
      </c>
      <c r="I1177" t="s">
        <v>360</v>
      </c>
      <c r="J1177" t="s">
        <v>2920</v>
      </c>
      <c r="K1177" t="s">
        <v>3</v>
      </c>
      <c r="L1177" s="2">
        <v>43252</v>
      </c>
      <c r="M1177" s="2">
        <f>DHMXX[[#This Row],[INV DOC DATE]]+30</f>
        <v>43282</v>
      </c>
      <c r="N1177" s="2">
        <v>43279</v>
      </c>
      <c r="O1177" s="7">
        <v>172.5</v>
      </c>
      <c r="P1177" s="2">
        <v>43290</v>
      </c>
      <c r="Q1177" s="7">
        <f>$E1177-$O1177</f>
        <v>0</v>
      </c>
      <c r="R1177" s="7" t="str">
        <f ca="1">IF(TODAY() - DHMXX[INV DUE DATE]&lt;30, "Less than 30 days",IF(TODAY()-DHMXX[INV DUE DATE]&lt;60,"30-60 days","More than 60 days"))</f>
        <v>Less than 30 days</v>
      </c>
      <c r="S1177" t="s">
        <v>1550</v>
      </c>
      <c r="T1177" s="43" t="s">
        <v>2229</v>
      </c>
      <c r="U1177" t="s">
        <v>3699</v>
      </c>
    </row>
    <row r="1178" spans="1:21" x14ac:dyDescent="0.3">
      <c r="A1178" t="s">
        <v>4137</v>
      </c>
      <c r="B1178" t="s">
        <v>30</v>
      </c>
      <c r="C1178" t="s">
        <v>141</v>
      </c>
      <c r="D1178" s="15">
        <v>1</v>
      </c>
      <c r="E1178" s="7">
        <v>172.5</v>
      </c>
      <c r="H1178">
        <v>91295</v>
      </c>
      <c r="I1178" t="s">
        <v>360</v>
      </c>
      <c r="J1178" t="s">
        <v>2921</v>
      </c>
      <c r="K1178" t="s">
        <v>3</v>
      </c>
      <c r="L1178" s="2">
        <v>43252</v>
      </c>
      <c r="M1178" s="2">
        <f>DHMXX[[#This Row],[INV DOC DATE]]+30</f>
        <v>43282</v>
      </c>
      <c r="N1178" s="2">
        <v>43279</v>
      </c>
      <c r="O1178" s="7">
        <v>172.5</v>
      </c>
      <c r="P1178" s="2">
        <v>43290</v>
      </c>
      <c r="Q1178" s="7">
        <f>$E1178-$O1178</f>
        <v>0</v>
      </c>
      <c r="R1178" s="7" t="str">
        <f ca="1">IF(TODAY() - DHMXX[INV DUE DATE]&lt;30, "Less than 30 days",IF(TODAY()-DHMXX[INV DUE DATE]&lt;60,"30-60 days","More than 60 days"))</f>
        <v>Less than 30 days</v>
      </c>
      <c r="S1178" t="s">
        <v>1550</v>
      </c>
      <c r="T1178" s="43" t="s">
        <v>2229</v>
      </c>
      <c r="U1178" t="s">
        <v>3699</v>
      </c>
    </row>
    <row r="1179" spans="1:21" x14ac:dyDescent="0.3">
      <c r="A1179" t="s">
        <v>4137</v>
      </c>
      <c r="B1179" t="s">
        <v>30</v>
      </c>
      <c r="C1179" t="s">
        <v>142</v>
      </c>
      <c r="D1179" s="15">
        <v>1</v>
      </c>
      <c r="E1179" s="7">
        <v>172.5</v>
      </c>
      <c r="H1179">
        <v>91295</v>
      </c>
      <c r="I1179" t="s">
        <v>360</v>
      </c>
      <c r="J1179" t="s">
        <v>2915</v>
      </c>
      <c r="K1179" t="s">
        <v>3</v>
      </c>
      <c r="L1179" s="2">
        <v>43252</v>
      </c>
      <c r="M1179" s="2">
        <f>DHMXX[[#This Row],[INV DOC DATE]]+30</f>
        <v>43282</v>
      </c>
      <c r="N1179" s="2">
        <v>43279</v>
      </c>
      <c r="O1179" s="7">
        <v>172.5</v>
      </c>
      <c r="P1179" s="2">
        <v>43290</v>
      </c>
      <c r="Q1179" s="7">
        <f>$E1179-$O1179</f>
        <v>0</v>
      </c>
      <c r="R1179" s="7" t="str">
        <f ca="1">IF(TODAY() - DHMXX[INV DUE DATE]&lt;30, "Less than 30 days",IF(TODAY()-DHMXX[INV DUE DATE]&lt;60,"30-60 days","More than 60 days"))</f>
        <v>Less than 30 days</v>
      </c>
      <c r="S1179" t="s">
        <v>1550</v>
      </c>
      <c r="T1179" s="43" t="s">
        <v>2229</v>
      </c>
      <c r="U1179" t="s">
        <v>3699</v>
      </c>
    </row>
    <row r="1180" spans="1:21" x14ac:dyDescent="0.3">
      <c r="A1180" t="s">
        <v>4137</v>
      </c>
      <c r="B1180" t="s">
        <v>30</v>
      </c>
      <c r="C1180" t="s">
        <v>143</v>
      </c>
      <c r="D1180" s="15">
        <v>1</v>
      </c>
      <c r="E1180" s="7">
        <v>172.5</v>
      </c>
      <c r="H1180">
        <v>91295</v>
      </c>
      <c r="I1180" t="s">
        <v>360</v>
      </c>
      <c r="J1180" t="s">
        <v>2916</v>
      </c>
      <c r="K1180" t="s">
        <v>3</v>
      </c>
      <c r="L1180" s="2">
        <v>43252</v>
      </c>
      <c r="M1180" s="2">
        <f>DHMXX[[#This Row],[INV DOC DATE]]+30</f>
        <v>43282</v>
      </c>
      <c r="N1180" s="2">
        <v>43279</v>
      </c>
      <c r="O1180" s="7">
        <v>172.5</v>
      </c>
      <c r="P1180" s="2">
        <v>43290</v>
      </c>
      <c r="Q1180" s="7">
        <f>$E1180-$O1180</f>
        <v>0</v>
      </c>
      <c r="R1180" s="7" t="str">
        <f ca="1">IF(TODAY() - DHMXX[INV DUE DATE]&lt;30, "Less than 30 days",IF(TODAY()-DHMXX[INV DUE DATE]&lt;60,"30-60 days","More than 60 days"))</f>
        <v>Less than 30 days</v>
      </c>
      <c r="S1180" t="s">
        <v>1550</v>
      </c>
      <c r="T1180" s="43" t="s">
        <v>2229</v>
      </c>
      <c r="U1180" t="s">
        <v>3699</v>
      </c>
    </row>
    <row r="1181" spans="1:21" x14ac:dyDescent="0.3">
      <c r="A1181" t="s">
        <v>4137</v>
      </c>
      <c r="B1181" t="s">
        <v>30</v>
      </c>
      <c r="C1181" t="s">
        <v>144</v>
      </c>
      <c r="D1181" s="15">
        <v>1</v>
      </c>
      <c r="E1181" s="7">
        <v>172.5</v>
      </c>
      <c r="H1181">
        <v>91295</v>
      </c>
      <c r="I1181" t="s">
        <v>360</v>
      </c>
      <c r="J1181" t="s">
        <v>2885</v>
      </c>
      <c r="K1181" t="s">
        <v>3</v>
      </c>
      <c r="L1181" s="2">
        <v>43252</v>
      </c>
      <c r="M1181" s="2">
        <f>DHMXX[[#This Row],[INV DOC DATE]]+30</f>
        <v>43282</v>
      </c>
      <c r="N1181" s="2">
        <v>43279</v>
      </c>
      <c r="O1181" s="7">
        <v>172.5</v>
      </c>
      <c r="P1181" s="2">
        <v>43290</v>
      </c>
      <c r="Q1181" s="7">
        <f>$E1181-$O1181</f>
        <v>0</v>
      </c>
      <c r="R1181" s="7" t="str">
        <f ca="1">IF(TODAY() - DHMXX[INV DUE DATE]&lt;30, "Less than 30 days",IF(TODAY()-DHMXX[INV DUE DATE]&lt;60,"30-60 days","More than 60 days"))</f>
        <v>Less than 30 days</v>
      </c>
      <c r="S1181" t="s">
        <v>1550</v>
      </c>
      <c r="T1181" s="43" t="s">
        <v>2229</v>
      </c>
      <c r="U1181" t="s">
        <v>3699</v>
      </c>
    </row>
    <row r="1182" spans="1:21" x14ac:dyDescent="0.3">
      <c r="A1182" t="s">
        <v>4137</v>
      </c>
      <c r="B1182" t="s">
        <v>30</v>
      </c>
      <c r="C1182" t="s">
        <v>145</v>
      </c>
      <c r="D1182" s="15">
        <v>1</v>
      </c>
      <c r="E1182" s="7">
        <v>172.5</v>
      </c>
      <c r="H1182">
        <v>91295</v>
      </c>
      <c r="I1182" t="s">
        <v>360</v>
      </c>
      <c r="J1182" t="s">
        <v>2886</v>
      </c>
      <c r="K1182" t="s">
        <v>3</v>
      </c>
      <c r="L1182" s="2">
        <v>43252</v>
      </c>
      <c r="M1182" s="2">
        <f>DHMXX[[#This Row],[INV DOC DATE]]+30</f>
        <v>43282</v>
      </c>
      <c r="N1182" s="2">
        <v>43279</v>
      </c>
      <c r="O1182" s="7">
        <v>172.5</v>
      </c>
      <c r="P1182" s="2">
        <v>43290</v>
      </c>
      <c r="Q1182" s="7">
        <f>$E1182-$O1182</f>
        <v>0</v>
      </c>
      <c r="R1182" s="7" t="str">
        <f ca="1">IF(TODAY() - DHMXX[INV DUE DATE]&lt;30, "Less than 30 days",IF(TODAY()-DHMXX[INV DUE DATE]&lt;60,"30-60 days","More than 60 days"))</f>
        <v>Less than 30 days</v>
      </c>
      <c r="S1182" t="s">
        <v>1550</v>
      </c>
      <c r="T1182" s="43" t="s">
        <v>2229</v>
      </c>
      <c r="U1182" t="s">
        <v>3699</v>
      </c>
    </row>
    <row r="1183" spans="1:21" x14ac:dyDescent="0.3">
      <c r="A1183" t="s">
        <v>4137</v>
      </c>
      <c r="B1183" t="s">
        <v>30</v>
      </c>
      <c r="C1183" t="s">
        <v>146</v>
      </c>
      <c r="D1183" s="15">
        <v>1</v>
      </c>
      <c r="E1183" s="7">
        <v>172.5</v>
      </c>
      <c r="H1183">
        <v>91295</v>
      </c>
      <c r="I1183" t="s">
        <v>360</v>
      </c>
      <c r="J1183" t="s">
        <v>2888</v>
      </c>
      <c r="K1183" t="s">
        <v>3</v>
      </c>
      <c r="L1183" s="2">
        <v>43252</v>
      </c>
      <c r="M1183" s="2">
        <f>DHMXX[[#This Row],[INV DOC DATE]]+30</f>
        <v>43282</v>
      </c>
      <c r="N1183" s="2">
        <v>43279</v>
      </c>
      <c r="O1183" s="7">
        <v>172.5</v>
      </c>
      <c r="P1183" s="2">
        <v>43290</v>
      </c>
      <c r="Q1183" s="7">
        <f>$E1183-$O1183</f>
        <v>0</v>
      </c>
      <c r="R1183" s="7" t="str">
        <f ca="1">IF(TODAY() - DHMXX[INV DUE DATE]&lt;30, "Less than 30 days",IF(TODAY()-DHMXX[INV DUE DATE]&lt;60,"30-60 days","More than 60 days"))</f>
        <v>Less than 30 days</v>
      </c>
      <c r="S1183" t="s">
        <v>1550</v>
      </c>
      <c r="T1183" s="43" t="s">
        <v>2229</v>
      </c>
      <c r="U1183" t="s">
        <v>3699</v>
      </c>
    </row>
    <row r="1184" spans="1:21" x14ac:dyDescent="0.3">
      <c r="A1184" t="s">
        <v>4137</v>
      </c>
      <c r="B1184" t="s">
        <v>30</v>
      </c>
      <c r="C1184" t="s">
        <v>147</v>
      </c>
      <c r="D1184" s="15">
        <v>1</v>
      </c>
      <c r="E1184" s="7">
        <v>172.5</v>
      </c>
      <c r="H1184">
        <v>91295</v>
      </c>
      <c r="I1184" t="s">
        <v>360</v>
      </c>
      <c r="J1184" t="s">
        <v>2889</v>
      </c>
      <c r="K1184" t="s">
        <v>3</v>
      </c>
      <c r="L1184" s="2">
        <v>43252</v>
      </c>
      <c r="M1184" s="2">
        <f>DHMXX[[#This Row],[INV DOC DATE]]+30</f>
        <v>43282</v>
      </c>
      <c r="N1184" s="2">
        <v>43279</v>
      </c>
      <c r="O1184" s="7">
        <v>172.5</v>
      </c>
      <c r="P1184" s="2">
        <v>43290</v>
      </c>
      <c r="Q1184" s="7">
        <f>$E1184-$O1184</f>
        <v>0</v>
      </c>
      <c r="R1184" s="7" t="str">
        <f ca="1">IF(TODAY() - DHMXX[INV DUE DATE]&lt;30, "Less than 30 days",IF(TODAY()-DHMXX[INV DUE DATE]&lt;60,"30-60 days","More than 60 days"))</f>
        <v>Less than 30 days</v>
      </c>
      <c r="S1184" t="s">
        <v>1550</v>
      </c>
      <c r="T1184" s="43" t="s">
        <v>2229</v>
      </c>
      <c r="U1184" t="s">
        <v>3699</v>
      </c>
    </row>
    <row r="1185" spans="1:21" x14ac:dyDescent="0.3">
      <c r="A1185" t="s">
        <v>4137</v>
      </c>
      <c r="B1185" t="s">
        <v>30</v>
      </c>
      <c r="C1185" t="s">
        <v>148</v>
      </c>
      <c r="D1185" s="15">
        <v>1</v>
      </c>
      <c r="E1185" s="7">
        <v>172.5</v>
      </c>
      <c r="H1185">
        <v>91295</v>
      </c>
      <c r="I1185" t="s">
        <v>360</v>
      </c>
      <c r="J1185" t="s">
        <v>2887</v>
      </c>
      <c r="K1185" t="s">
        <v>3</v>
      </c>
      <c r="L1185" s="2">
        <v>43252</v>
      </c>
      <c r="M1185" s="2">
        <f>DHMXX[[#This Row],[INV DOC DATE]]+30</f>
        <v>43282</v>
      </c>
      <c r="N1185" s="2">
        <v>43279</v>
      </c>
      <c r="O1185" s="7">
        <v>172.5</v>
      </c>
      <c r="P1185" s="2">
        <v>43290</v>
      </c>
      <c r="Q1185" s="7">
        <f>$E1185-$O1185</f>
        <v>0</v>
      </c>
      <c r="R1185" s="7" t="str">
        <f ca="1">IF(TODAY() - DHMXX[INV DUE DATE]&lt;30, "Less than 30 days",IF(TODAY()-DHMXX[INV DUE DATE]&lt;60,"30-60 days","More than 60 days"))</f>
        <v>Less than 30 days</v>
      </c>
      <c r="S1185" t="s">
        <v>1550</v>
      </c>
      <c r="T1185" s="43" t="s">
        <v>2229</v>
      </c>
      <c r="U1185" t="s">
        <v>3699</v>
      </c>
    </row>
    <row r="1186" spans="1:21" x14ac:dyDescent="0.3">
      <c r="A1186" t="s">
        <v>4137</v>
      </c>
      <c r="B1186" t="s">
        <v>30</v>
      </c>
      <c r="C1186" t="s">
        <v>149</v>
      </c>
      <c r="D1186" s="15">
        <v>1</v>
      </c>
      <c r="E1186" s="7">
        <v>172.5</v>
      </c>
      <c r="H1186">
        <v>91295</v>
      </c>
      <c r="I1186" t="s">
        <v>360</v>
      </c>
      <c r="J1186" t="s">
        <v>2904</v>
      </c>
      <c r="K1186" t="s">
        <v>3</v>
      </c>
      <c r="L1186" s="2">
        <v>43252</v>
      </c>
      <c r="M1186" s="2">
        <f>DHMXX[[#This Row],[INV DOC DATE]]+30</f>
        <v>43282</v>
      </c>
      <c r="N1186" s="2">
        <v>43279</v>
      </c>
      <c r="O1186" s="7">
        <v>172.5</v>
      </c>
      <c r="P1186" s="2">
        <v>43290</v>
      </c>
      <c r="Q1186" s="7">
        <f>$E1186-$O1186</f>
        <v>0</v>
      </c>
      <c r="R1186" s="7" t="str">
        <f ca="1">IF(TODAY() - DHMXX[INV DUE DATE]&lt;30, "Less than 30 days",IF(TODAY()-DHMXX[INV DUE DATE]&lt;60,"30-60 days","More than 60 days"))</f>
        <v>Less than 30 days</v>
      </c>
      <c r="S1186" t="s">
        <v>1550</v>
      </c>
      <c r="T1186" s="43" t="s">
        <v>2229</v>
      </c>
      <c r="U1186" t="s">
        <v>3699</v>
      </c>
    </row>
    <row r="1187" spans="1:21" x14ac:dyDescent="0.3">
      <c r="A1187" t="s">
        <v>4137</v>
      </c>
      <c r="B1187" t="s">
        <v>30</v>
      </c>
      <c r="C1187" t="s">
        <v>150</v>
      </c>
      <c r="D1187" s="15">
        <v>1</v>
      </c>
      <c r="E1187" s="7">
        <v>172.5</v>
      </c>
      <c r="H1187">
        <v>91295</v>
      </c>
      <c r="I1187" t="s">
        <v>360</v>
      </c>
      <c r="J1187" t="s">
        <v>2905</v>
      </c>
      <c r="K1187" t="s">
        <v>3</v>
      </c>
      <c r="L1187" s="2">
        <v>43252</v>
      </c>
      <c r="M1187" s="2">
        <f>DHMXX[[#This Row],[INV DOC DATE]]+30</f>
        <v>43282</v>
      </c>
      <c r="N1187" s="2">
        <v>43279</v>
      </c>
      <c r="O1187" s="7">
        <v>172.5</v>
      </c>
      <c r="P1187" s="2">
        <v>43290</v>
      </c>
      <c r="Q1187" s="7">
        <f>$E1187-$O1187</f>
        <v>0</v>
      </c>
      <c r="R1187" s="7" t="str">
        <f ca="1">IF(TODAY() - DHMXX[INV DUE DATE]&lt;30, "Less than 30 days",IF(TODAY()-DHMXX[INV DUE DATE]&lt;60,"30-60 days","More than 60 days"))</f>
        <v>Less than 30 days</v>
      </c>
      <c r="S1187" t="s">
        <v>1550</v>
      </c>
      <c r="T1187" s="43" t="s">
        <v>2229</v>
      </c>
      <c r="U1187" t="s">
        <v>3699</v>
      </c>
    </row>
    <row r="1188" spans="1:21" x14ac:dyDescent="0.3">
      <c r="A1188" t="s">
        <v>4137</v>
      </c>
      <c r="B1188" t="s">
        <v>30</v>
      </c>
      <c r="C1188" t="s">
        <v>151</v>
      </c>
      <c r="D1188" s="15">
        <v>1</v>
      </c>
      <c r="E1188" s="7">
        <v>172.5</v>
      </c>
      <c r="H1188">
        <v>91295</v>
      </c>
      <c r="I1188" t="s">
        <v>360</v>
      </c>
      <c r="J1188" t="s">
        <v>2890</v>
      </c>
      <c r="K1188" t="s">
        <v>3</v>
      </c>
      <c r="L1188" s="2">
        <v>43252</v>
      </c>
      <c r="M1188" s="2">
        <f>DHMXX[[#This Row],[INV DOC DATE]]+30</f>
        <v>43282</v>
      </c>
      <c r="N1188" s="2">
        <v>43279</v>
      </c>
      <c r="O1188" s="7">
        <v>172.5</v>
      </c>
      <c r="P1188" s="2">
        <v>43290</v>
      </c>
      <c r="Q1188" s="7">
        <f>$E1188-$O1188</f>
        <v>0</v>
      </c>
      <c r="R1188" s="7" t="str">
        <f ca="1">IF(TODAY() - DHMXX[INV DUE DATE]&lt;30, "Less than 30 days",IF(TODAY()-DHMXX[INV DUE DATE]&lt;60,"30-60 days","More than 60 days"))</f>
        <v>Less than 30 days</v>
      </c>
      <c r="S1188" t="s">
        <v>1550</v>
      </c>
      <c r="T1188" s="43" t="s">
        <v>2229</v>
      </c>
      <c r="U1188" t="s">
        <v>3699</v>
      </c>
    </row>
    <row r="1189" spans="1:21" x14ac:dyDescent="0.3">
      <c r="A1189" t="s">
        <v>4137</v>
      </c>
      <c r="B1189" t="s">
        <v>30</v>
      </c>
      <c r="C1189" t="s">
        <v>152</v>
      </c>
      <c r="D1189" s="15">
        <v>1</v>
      </c>
      <c r="E1189" s="7">
        <v>172.5</v>
      </c>
      <c r="H1189">
        <v>91295</v>
      </c>
      <c r="I1189" t="s">
        <v>360</v>
      </c>
      <c r="J1189" t="s">
        <v>2891</v>
      </c>
      <c r="K1189" t="s">
        <v>3</v>
      </c>
      <c r="L1189" s="2">
        <v>43252</v>
      </c>
      <c r="M1189" s="2">
        <f>DHMXX[[#This Row],[INV DOC DATE]]+30</f>
        <v>43282</v>
      </c>
      <c r="N1189" s="2">
        <v>43279</v>
      </c>
      <c r="O1189" s="7">
        <v>172.5</v>
      </c>
      <c r="P1189" s="2">
        <v>43290</v>
      </c>
      <c r="Q1189" s="7">
        <f>$E1189-$O1189</f>
        <v>0</v>
      </c>
      <c r="R1189" s="7" t="str">
        <f ca="1">IF(TODAY() - DHMXX[INV DUE DATE]&lt;30, "Less than 30 days",IF(TODAY()-DHMXX[INV DUE DATE]&lt;60,"30-60 days","More than 60 days"))</f>
        <v>Less than 30 days</v>
      </c>
      <c r="S1189" t="s">
        <v>1550</v>
      </c>
      <c r="T1189" s="43" t="s">
        <v>2229</v>
      </c>
      <c r="U1189" t="s">
        <v>3699</v>
      </c>
    </row>
    <row r="1190" spans="1:21" x14ac:dyDescent="0.3">
      <c r="A1190" t="s">
        <v>4137</v>
      </c>
      <c r="B1190" t="s">
        <v>30</v>
      </c>
      <c r="C1190" t="s">
        <v>296</v>
      </c>
      <c r="D1190" s="15">
        <v>1</v>
      </c>
      <c r="E1190" s="7">
        <v>172.5</v>
      </c>
      <c r="H1190">
        <v>91295</v>
      </c>
      <c r="I1190" t="s">
        <v>360</v>
      </c>
      <c r="J1190" t="s">
        <v>2892</v>
      </c>
      <c r="K1190" t="s">
        <v>3</v>
      </c>
      <c r="L1190" s="2">
        <v>43252</v>
      </c>
      <c r="M1190" s="2">
        <f>DHMXX[[#This Row],[INV DOC DATE]]+30</f>
        <v>43282</v>
      </c>
      <c r="N1190" s="2">
        <v>43279</v>
      </c>
      <c r="O1190" s="7">
        <v>172.5</v>
      </c>
      <c r="P1190" s="2">
        <v>43290</v>
      </c>
      <c r="Q1190" s="7">
        <f>$E1190-$O1190</f>
        <v>0</v>
      </c>
      <c r="R1190" s="7" t="str">
        <f ca="1">IF(TODAY() - DHMXX[INV DUE DATE]&lt;30, "Less than 30 days",IF(TODAY()-DHMXX[INV DUE DATE]&lt;60,"30-60 days","More than 60 days"))</f>
        <v>Less than 30 days</v>
      </c>
      <c r="S1190" t="s">
        <v>1550</v>
      </c>
      <c r="T1190" s="43" t="s">
        <v>2229</v>
      </c>
      <c r="U1190" t="s">
        <v>3699</v>
      </c>
    </row>
    <row r="1191" spans="1:21" x14ac:dyDescent="0.3">
      <c r="A1191" t="s">
        <v>4137</v>
      </c>
      <c r="B1191" t="s">
        <v>30</v>
      </c>
      <c r="C1191" t="s">
        <v>297</v>
      </c>
      <c r="D1191" s="15">
        <v>1</v>
      </c>
      <c r="E1191" s="7">
        <v>172.5</v>
      </c>
      <c r="H1191">
        <v>91295</v>
      </c>
      <c r="I1191" t="s">
        <v>360</v>
      </c>
      <c r="J1191" t="s">
        <v>2893</v>
      </c>
      <c r="K1191" t="s">
        <v>3</v>
      </c>
      <c r="L1191" s="2">
        <v>43252</v>
      </c>
      <c r="M1191" s="2">
        <f>DHMXX[[#This Row],[INV DOC DATE]]+30</f>
        <v>43282</v>
      </c>
      <c r="N1191" s="2">
        <v>43279</v>
      </c>
      <c r="O1191" s="7">
        <v>172.5</v>
      </c>
      <c r="P1191" s="2">
        <v>43290</v>
      </c>
      <c r="Q1191" s="7">
        <f>$E1191-$O1191</f>
        <v>0</v>
      </c>
      <c r="R1191" s="7" t="str">
        <f ca="1">IF(TODAY() - DHMXX[INV DUE DATE]&lt;30, "Less than 30 days",IF(TODAY()-DHMXX[INV DUE DATE]&lt;60,"30-60 days","More than 60 days"))</f>
        <v>Less than 30 days</v>
      </c>
      <c r="S1191" t="s">
        <v>1550</v>
      </c>
      <c r="T1191" s="43" t="s">
        <v>2229</v>
      </c>
      <c r="U1191" t="s">
        <v>3699</v>
      </c>
    </row>
    <row r="1192" spans="1:21" x14ac:dyDescent="0.3">
      <c r="A1192" t="s">
        <v>4137</v>
      </c>
      <c r="B1192" t="s">
        <v>30</v>
      </c>
      <c r="C1192" t="s">
        <v>298</v>
      </c>
      <c r="D1192" s="15">
        <v>1</v>
      </c>
      <c r="E1192" s="7">
        <v>172.5</v>
      </c>
      <c r="H1192">
        <v>91295</v>
      </c>
      <c r="I1192" t="s">
        <v>360</v>
      </c>
      <c r="J1192" t="s">
        <v>2894</v>
      </c>
      <c r="K1192" t="s">
        <v>3</v>
      </c>
      <c r="L1192" s="2">
        <v>43252</v>
      </c>
      <c r="M1192" s="2">
        <f>DHMXX[[#This Row],[INV DOC DATE]]+30</f>
        <v>43282</v>
      </c>
      <c r="N1192" s="2">
        <v>43279</v>
      </c>
      <c r="O1192" s="7">
        <v>172.5</v>
      </c>
      <c r="P1192" s="2">
        <v>43290</v>
      </c>
      <c r="Q1192" s="7">
        <f>$E1192-$O1192</f>
        <v>0</v>
      </c>
      <c r="R1192" s="7" t="str">
        <f ca="1">IF(TODAY() - DHMXX[INV DUE DATE]&lt;30, "Less than 30 days",IF(TODAY()-DHMXX[INV DUE DATE]&lt;60,"30-60 days","More than 60 days"))</f>
        <v>Less than 30 days</v>
      </c>
      <c r="S1192" t="s">
        <v>1550</v>
      </c>
      <c r="T1192" s="43" t="s">
        <v>2229</v>
      </c>
      <c r="U1192" t="s">
        <v>3699</v>
      </c>
    </row>
    <row r="1193" spans="1:21" x14ac:dyDescent="0.3">
      <c r="A1193" t="s">
        <v>4137</v>
      </c>
      <c r="B1193" t="s">
        <v>30</v>
      </c>
      <c r="C1193" t="s">
        <v>299</v>
      </c>
      <c r="D1193" s="15">
        <v>1</v>
      </c>
      <c r="E1193" s="7">
        <v>172.5</v>
      </c>
      <c r="H1193">
        <v>91295</v>
      </c>
      <c r="I1193" t="s">
        <v>360</v>
      </c>
      <c r="J1193" t="s">
        <v>2895</v>
      </c>
      <c r="K1193" t="s">
        <v>3</v>
      </c>
      <c r="L1193" s="2">
        <v>43252</v>
      </c>
      <c r="M1193" s="2">
        <f>DHMXX[[#This Row],[INV DOC DATE]]+30</f>
        <v>43282</v>
      </c>
      <c r="N1193" s="2">
        <v>43279</v>
      </c>
      <c r="O1193" s="7">
        <v>172.5</v>
      </c>
      <c r="P1193" s="2">
        <v>43290</v>
      </c>
      <c r="Q1193" s="7">
        <f>$E1193-$O1193</f>
        <v>0</v>
      </c>
      <c r="R1193" s="7" t="str">
        <f ca="1">IF(TODAY() - DHMXX[INV DUE DATE]&lt;30, "Less than 30 days",IF(TODAY()-DHMXX[INV DUE DATE]&lt;60,"30-60 days","More than 60 days"))</f>
        <v>Less than 30 days</v>
      </c>
      <c r="S1193" t="s">
        <v>1550</v>
      </c>
      <c r="T1193" s="43" t="s">
        <v>2229</v>
      </c>
      <c r="U1193" t="s">
        <v>3699</v>
      </c>
    </row>
    <row r="1194" spans="1:21" x14ac:dyDescent="0.3">
      <c r="A1194" t="s">
        <v>4137</v>
      </c>
      <c r="B1194" t="s">
        <v>30</v>
      </c>
      <c r="C1194" t="s">
        <v>300</v>
      </c>
      <c r="D1194" s="15">
        <v>1</v>
      </c>
      <c r="E1194" s="7">
        <v>172.5</v>
      </c>
      <c r="H1194">
        <v>91295</v>
      </c>
      <c r="I1194" t="s">
        <v>360</v>
      </c>
      <c r="J1194" t="s">
        <v>2896</v>
      </c>
      <c r="K1194" t="s">
        <v>3</v>
      </c>
      <c r="L1194" s="2">
        <v>43252</v>
      </c>
      <c r="M1194" s="2">
        <f>DHMXX[[#This Row],[INV DOC DATE]]+30</f>
        <v>43282</v>
      </c>
      <c r="N1194" s="2">
        <v>43279</v>
      </c>
      <c r="O1194" s="7">
        <v>172.5</v>
      </c>
      <c r="P1194" s="2">
        <v>43290</v>
      </c>
      <c r="Q1194" s="7">
        <f>$E1194-$O1194</f>
        <v>0</v>
      </c>
      <c r="R1194" s="7" t="str">
        <f ca="1">IF(TODAY() - DHMXX[INV DUE DATE]&lt;30, "Less than 30 days",IF(TODAY()-DHMXX[INV DUE DATE]&lt;60,"30-60 days","More than 60 days"))</f>
        <v>Less than 30 days</v>
      </c>
      <c r="S1194" t="s">
        <v>1550</v>
      </c>
      <c r="T1194" s="43" t="s">
        <v>2229</v>
      </c>
      <c r="U1194" t="s">
        <v>3699</v>
      </c>
    </row>
    <row r="1195" spans="1:21" x14ac:dyDescent="0.3">
      <c r="A1195" t="s">
        <v>4137</v>
      </c>
      <c r="B1195" t="s">
        <v>30</v>
      </c>
      <c r="C1195" t="s">
        <v>301</v>
      </c>
      <c r="D1195" s="15">
        <v>1</v>
      </c>
      <c r="E1195" s="7">
        <v>172.5</v>
      </c>
      <c r="H1195">
        <v>91295</v>
      </c>
      <c r="I1195" t="s">
        <v>360</v>
      </c>
      <c r="J1195" t="s">
        <v>2897</v>
      </c>
      <c r="K1195" t="s">
        <v>3</v>
      </c>
      <c r="L1195" s="2">
        <v>43252</v>
      </c>
      <c r="M1195" s="2">
        <f>DHMXX[[#This Row],[INV DOC DATE]]+30</f>
        <v>43282</v>
      </c>
      <c r="N1195" s="2">
        <v>43279</v>
      </c>
      <c r="O1195" s="7">
        <v>172.5</v>
      </c>
      <c r="P1195" s="2">
        <v>43290</v>
      </c>
      <c r="Q1195" s="7">
        <f>$E1195-$O1195</f>
        <v>0</v>
      </c>
      <c r="R1195" s="7" t="str">
        <f ca="1">IF(TODAY() - DHMXX[INV DUE DATE]&lt;30, "Less than 30 days",IF(TODAY()-DHMXX[INV DUE DATE]&lt;60,"30-60 days","More than 60 days"))</f>
        <v>Less than 30 days</v>
      </c>
      <c r="S1195" t="s">
        <v>1550</v>
      </c>
      <c r="T1195" s="43" t="s">
        <v>2229</v>
      </c>
      <c r="U1195" t="s">
        <v>3699</v>
      </c>
    </row>
    <row r="1196" spans="1:21" x14ac:dyDescent="0.3">
      <c r="A1196" t="s">
        <v>4137</v>
      </c>
      <c r="B1196" t="s">
        <v>30</v>
      </c>
      <c r="C1196" t="s">
        <v>302</v>
      </c>
      <c r="D1196" s="15">
        <v>1</v>
      </c>
      <c r="E1196" s="7">
        <v>172.5</v>
      </c>
      <c r="H1196">
        <v>91295</v>
      </c>
      <c r="I1196" t="s">
        <v>360</v>
      </c>
      <c r="J1196" t="s">
        <v>2898</v>
      </c>
      <c r="K1196" t="s">
        <v>3</v>
      </c>
      <c r="L1196" s="2">
        <v>43252</v>
      </c>
      <c r="M1196" s="2">
        <f>DHMXX[[#This Row],[INV DOC DATE]]+30</f>
        <v>43282</v>
      </c>
      <c r="N1196" s="2">
        <v>43279</v>
      </c>
      <c r="O1196" s="7">
        <v>172.5</v>
      </c>
      <c r="P1196" s="2">
        <v>43290</v>
      </c>
      <c r="Q1196" s="7">
        <f>$E1196-$O1196</f>
        <v>0</v>
      </c>
      <c r="R1196" s="7" t="str">
        <f ca="1">IF(TODAY() - DHMXX[INV DUE DATE]&lt;30, "Less than 30 days",IF(TODAY()-DHMXX[INV DUE DATE]&lt;60,"30-60 days","More than 60 days"))</f>
        <v>Less than 30 days</v>
      </c>
      <c r="S1196" t="s">
        <v>1550</v>
      </c>
      <c r="T1196" s="43" t="s">
        <v>2229</v>
      </c>
      <c r="U1196" t="s">
        <v>3699</v>
      </c>
    </row>
    <row r="1197" spans="1:21" x14ac:dyDescent="0.3">
      <c r="A1197" t="s">
        <v>4137</v>
      </c>
      <c r="B1197" t="s">
        <v>30</v>
      </c>
      <c r="C1197" t="s">
        <v>303</v>
      </c>
      <c r="D1197" s="15">
        <v>1</v>
      </c>
      <c r="E1197" s="7">
        <v>172.5</v>
      </c>
      <c r="H1197">
        <v>91295</v>
      </c>
      <c r="I1197" t="s">
        <v>360</v>
      </c>
      <c r="J1197" t="s">
        <v>2899</v>
      </c>
      <c r="K1197" t="s">
        <v>3</v>
      </c>
      <c r="L1197" s="2">
        <v>43252</v>
      </c>
      <c r="M1197" s="2">
        <f>DHMXX[[#This Row],[INV DOC DATE]]+30</f>
        <v>43282</v>
      </c>
      <c r="N1197" s="2">
        <v>43279</v>
      </c>
      <c r="O1197" s="7">
        <v>172.5</v>
      </c>
      <c r="P1197" s="2">
        <v>43290</v>
      </c>
      <c r="Q1197" s="7">
        <f>$E1197-$O1197</f>
        <v>0</v>
      </c>
      <c r="R1197" s="7" t="str">
        <f ca="1">IF(TODAY() - DHMXX[INV DUE DATE]&lt;30, "Less than 30 days",IF(TODAY()-DHMXX[INV DUE DATE]&lt;60,"30-60 days","More than 60 days"))</f>
        <v>Less than 30 days</v>
      </c>
      <c r="S1197" t="s">
        <v>1550</v>
      </c>
      <c r="T1197" s="43" t="s">
        <v>2229</v>
      </c>
      <c r="U1197" t="s">
        <v>3699</v>
      </c>
    </row>
    <row r="1198" spans="1:21" x14ac:dyDescent="0.3">
      <c r="A1198" t="s">
        <v>4137</v>
      </c>
      <c r="B1198" t="s">
        <v>30</v>
      </c>
      <c r="C1198" t="s">
        <v>304</v>
      </c>
      <c r="D1198" s="15">
        <v>1</v>
      </c>
      <c r="E1198" s="7">
        <v>172.5</v>
      </c>
      <c r="H1198">
        <v>91295</v>
      </c>
      <c r="I1198" t="s">
        <v>360</v>
      </c>
      <c r="J1198" t="s">
        <v>2900</v>
      </c>
      <c r="K1198" t="s">
        <v>3</v>
      </c>
      <c r="L1198" s="2">
        <v>43252</v>
      </c>
      <c r="M1198" s="2">
        <f>DHMXX[[#This Row],[INV DOC DATE]]+30</f>
        <v>43282</v>
      </c>
      <c r="N1198" s="2">
        <v>43279</v>
      </c>
      <c r="O1198" s="7">
        <v>172.5</v>
      </c>
      <c r="P1198" s="2">
        <v>43290</v>
      </c>
      <c r="Q1198" s="7">
        <f>$E1198-$O1198</f>
        <v>0</v>
      </c>
      <c r="R1198" s="7" t="str">
        <f ca="1">IF(TODAY() - DHMXX[INV DUE DATE]&lt;30, "Less than 30 days",IF(TODAY()-DHMXX[INV DUE DATE]&lt;60,"30-60 days","More than 60 days"))</f>
        <v>Less than 30 days</v>
      </c>
      <c r="S1198" t="s">
        <v>1550</v>
      </c>
      <c r="T1198" s="43" t="s">
        <v>2229</v>
      </c>
      <c r="U1198" t="s">
        <v>3699</v>
      </c>
    </row>
    <row r="1199" spans="1:21" x14ac:dyDescent="0.3">
      <c r="A1199" t="s">
        <v>4137</v>
      </c>
      <c r="B1199" t="s">
        <v>30</v>
      </c>
      <c r="C1199" t="s">
        <v>305</v>
      </c>
      <c r="D1199" s="15">
        <v>1</v>
      </c>
      <c r="E1199" s="7">
        <v>172.5</v>
      </c>
      <c r="H1199">
        <v>91295</v>
      </c>
      <c r="I1199" t="s">
        <v>360</v>
      </c>
      <c r="J1199" t="s">
        <v>2901</v>
      </c>
      <c r="K1199" t="s">
        <v>3</v>
      </c>
      <c r="L1199" s="2">
        <v>43252</v>
      </c>
      <c r="M1199" s="2">
        <f>DHMXX[[#This Row],[INV DOC DATE]]+30</f>
        <v>43282</v>
      </c>
      <c r="N1199" s="2">
        <v>43279</v>
      </c>
      <c r="O1199" s="7">
        <v>172.5</v>
      </c>
      <c r="P1199" s="2">
        <v>43290</v>
      </c>
      <c r="Q1199" s="7">
        <f>$E1199-$O1199</f>
        <v>0</v>
      </c>
      <c r="R1199" s="7" t="str">
        <f ca="1">IF(TODAY() - DHMXX[INV DUE DATE]&lt;30, "Less than 30 days",IF(TODAY()-DHMXX[INV DUE DATE]&lt;60,"30-60 days","More than 60 days"))</f>
        <v>Less than 30 days</v>
      </c>
      <c r="S1199" t="s">
        <v>1550</v>
      </c>
      <c r="T1199" s="43" t="s">
        <v>2229</v>
      </c>
      <c r="U1199" t="s">
        <v>3699</v>
      </c>
    </row>
    <row r="1200" spans="1:21" x14ac:dyDescent="0.3">
      <c r="A1200" t="s">
        <v>4137</v>
      </c>
      <c r="B1200" t="s">
        <v>30</v>
      </c>
      <c r="C1200" t="s">
        <v>306</v>
      </c>
      <c r="D1200" s="15">
        <v>1</v>
      </c>
      <c r="E1200" s="7">
        <v>172.5</v>
      </c>
      <c r="H1200">
        <v>91295</v>
      </c>
      <c r="I1200" t="s">
        <v>360</v>
      </c>
      <c r="J1200" t="s">
        <v>2902</v>
      </c>
      <c r="K1200" t="s">
        <v>3</v>
      </c>
      <c r="L1200" s="2">
        <v>43252</v>
      </c>
      <c r="M1200" s="2">
        <f>DHMXX[[#This Row],[INV DOC DATE]]+30</f>
        <v>43282</v>
      </c>
      <c r="N1200" s="2">
        <v>43279</v>
      </c>
      <c r="O1200" s="7">
        <v>172.5</v>
      </c>
      <c r="P1200" s="2">
        <v>43290</v>
      </c>
      <c r="Q1200" s="7">
        <f>$E1200-$O1200</f>
        <v>0</v>
      </c>
      <c r="R1200" s="7" t="str">
        <f ca="1">IF(TODAY() - DHMXX[INV DUE DATE]&lt;30, "Less than 30 days",IF(TODAY()-DHMXX[INV DUE DATE]&lt;60,"30-60 days","More than 60 days"))</f>
        <v>Less than 30 days</v>
      </c>
      <c r="S1200" t="s">
        <v>1550</v>
      </c>
      <c r="T1200" s="43" t="s">
        <v>2229</v>
      </c>
      <c r="U1200" t="s">
        <v>3699</v>
      </c>
    </row>
    <row r="1201" spans="1:21" x14ac:dyDescent="0.3">
      <c r="A1201" t="s">
        <v>4137</v>
      </c>
      <c r="B1201" t="s">
        <v>30</v>
      </c>
      <c r="C1201" t="s">
        <v>307</v>
      </c>
      <c r="D1201" s="15">
        <v>1</v>
      </c>
      <c r="E1201" s="7">
        <v>172.5</v>
      </c>
      <c r="H1201">
        <v>91295</v>
      </c>
      <c r="I1201" t="s">
        <v>360</v>
      </c>
      <c r="J1201" t="s">
        <v>2903</v>
      </c>
      <c r="K1201" t="s">
        <v>3</v>
      </c>
      <c r="L1201" s="2">
        <v>43252</v>
      </c>
      <c r="M1201" s="2">
        <f>DHMXX[[#This Row],[INV DOC DATE]]+30</f>
        <v>43282</v>
      </c>
      <c r="N1201" s="2">
        <v>43279</v>
      </c>
      <c r="O1201" s="7">
        <v>172.5</v>
      </c>
      <c r="P1201" s="2">
        <v>43290</v>
      </c>
      <c r="Q1201" s="7">
        <f>$E1201-$O1201</f>
        <v>0</v>
      </c>
      <c r="R1201" s="7" t="str">
        <f ca="1">IF(TODAY() - DHMXX[INV DUE DATE]&lt;30, "Less than 30 days",IF(TODAY()-DHMXX[INV DUE DATE]&lt;60,"30-60 days","More than 60 days"))</f>
        <v>Less than 30 days</v>
      </c>
      <c r="S1201" t="s">
        <v>1550</v>
      </c>
      <c r="T1201" s="43" t="s">
        <v>2229</v>
      </c>
      <c r="U1201" t="s">
        <v>3699</v>
      </c>
    </row>
    <row r="1202" spans="1:21" x14ac:dyDescent="0.3">
      <c r="A1202" t="s">
        <v>4137</v>
      </c>
      <c r="B1202" t="s">
        <v>30</v>
      </c>
      <c r="C1202" t="s">
        <v>308</v>
      </c>
      <c r="D1202" s="15">
        <v>1</v>
      </c>
      <c r="E1202" s="7">
        <v>172.5</v>
      </c>
      <c r="H1202">
        <v>91295</v>
      </c>
      <c r="I1202" t="s">
        <v>360</v>
      </c>
      <c r="J1202" t="s">
        <v>2917</v>
      </c>
      <c r="K1202" t="s">
        <v>3</v>
      </c>
      <c r="L1202" s="2">
        <v>43252</v>
      </c>
      <c r="M1202" s="2">
        <f>DHMXX[[#This Row],[INV DOC DATE]]+30</f>
        <v>43282</v>
      </c>
      <c r="N1202" s="2">
        <v>43279</v>
      </c>
      <c r="O1202" s="7">
        <v>172.5</v>
      </c>
      <c r="P1202" s="2">
        <v>43290</v>
      </c>
      <c r="Q1202" s="7">
        <f>$E1202-$O1202</f>
        <v>0</v>
      </c>
      <c r="R1202" s="7" t="str">
        <f ca="1">IF(TODAY() - DHMXX[INV DUE DATE]&lt;30, "Less than 30 days",IF(TODAY()-DHMXX[INV DUE DATE]&lt;60,"30-60 days","More than 60 days"))</f>
        <v>Less than 30 days</v>
      </c>
      <c r="S1202" t="s">
        <v>1550</v>
      </c>
      <c r="T1202" s="43" t="s">
        <v>2229</v>
      </c>
      <c r="U1202" t="s">
        <v>3699</v>
      </c>
    </row>
    <row r="1203" spans="1:21" x14ac:dyDescent="0.3">
      <c r="A1203" t="s">
        <v>4137</v>
      </c>
      <c r="B1203" t="s">
        <v>30</v>
      </c>
      <c r="C1203" t="s">
        <v>309</v>
      </c>
      <c r="D1203" s="15">
        <v>1</v>
      </c>
      <c r="E1203" s="7">
        <v>172.5</v>
      </c>
      <c r="H1203">
        <v>91295</v>
      </c>
      <c r="I1203" t="s">
        <v>360</v>
      </c>
      <c r="J1203" t="s">
        <v>2922</v>
      </c>
      <c r="K1203" t="s">
        <v>3</v>
      </c>
      <c r="L1203" s="2">
        <v>43252</v>
      </c>
      <c r="M1203" s="2">
        <f>DHMXX[[#This Row],[INV DOC DATE]]+30</f>
        <v>43282</v>
      </c>
      <c r="N1203" s="2">
        <v>43279</v>
      </c>
      <c r="O1203" s="7">
        <v>172.5</v>
      </c>
      <c r="P1203" s="2">
        <v>43290</v>
      </c>
      <c r="Q1203" s="7">
        <f>$E1203-$O1203</f>
        <v>0</v>
      </c>
      <c r="R1203" s="7" t="str">
        <f ca="1">IF(TODAY() - DHMXX[INV DUE DATE]&lt;30, "Less than 30 days",IF(TODAY()-DHMXX[INV DUE DATE]&lt;60,"30-60 days","More than 60 days"))</f>
        <v>Less than 30 days</v>
      </c>
      <c r="S1203" t="s">
        <v>1550</v>
      </c>
      <c r="T1203" s="43" t="s">
        <v>2229</v>
      </c>
      <c r="U1203" t="s">
        <v>3699</v>
      </c>
    </row>
    <row r="1204" spans="1:21" x14ac:dyDescent="0.3">
      <c r="A1204" t="s">
        <v>4137</v>
      </c>
      <c r="B1204" t="s">
        <v>30</v>
      </c>
      <c r="C1204" t="s">
        <v>310</v>
      </c>
      <c r="D1204" s="15">
        <v>1</v>
      </c>
      <c r="E1204" s="7">
        <v>172.5</v>
      </c>
      <c r="H1204">
        <v>91295</v>
      </c>
      <c r="I1204" t="s">
        <v>360</v>
      </c>
      <c r="J1204" t="s">
        <v>2923</v>
      </c>
      <c r="K1204" t="s">
        <v>3</v>
      </c>
      <c r="L1204" s="2">
        <v>43252</v>
      </c>
      <c r="M1204" s="2">
        <f>DHMXX[[#This Row],[INV DOC DATE]]+30</f>
        <v>43282</v>
      </c>
      <c r="N1204" s="2">
        <v>43279</v>
      </c>
      <c r="O1204" s="7">
        <v>172.5</v>
      </c>
      <c r="P1204" s="2">
        <v>43290</v>
      </c>
      <c r="Q1204" s="7">
        <f>$E1204-$O1204</f>
        <v>0</v>
      </c>
      <c r="R1204" s="7" t="str">
        <f ca="1">IF(TODAY() - DHMXX[INV DUE DATE]&lt;30, "Less than 30 days",IF(TODAY()-DHMXX[INV DUE DATE]&lt;60,"30-60 days","More than 60 days"))</f>
        <v>Less than 30 days</v>
      </c>
      <c r="S1204" t="s">
        <v>1550</v>
      </c>
      <c r="T1204" s="43" t="s">
        <v>2229</v>
      </c>
      <c r="U1204" t="s">
        <v>3699</v>
      </c>
    </row>
    <row r="1205" spans="1:21" x14ac:dyDescent="0.3">
      <c r="A1205" t="s">
        <v>4137</v>
      </c>
      <c r="B1205" t="s">
        <v>30</v>
      </c>
      <c r="C1205" t="s">
        <v>311</v>
      </c>
      <c r="D1205" s="15">
        <v>1</v>
      </c>
      <c r="E1205" s="7">
        <v>172.5</v>
      </c>
      <c r="H1205">
        <v>91295</v>
      </c>
      <c r="I1205" t="s">
        <v>360</v>
      </c>
      <c r="J1205" t="s">
        <v>2924</v>
      </c>
      <c r="K1205" t="s">
        <v>3</v>
      </c>
      <c r="L1205" s="2">
        <v>43252</v>
      </c>
      <c r="M1205" s="2">
        <f>DHMXX[[#This Row],[INV DOC DATE]]+30</f>
        <v>43282</v>
      </c>
      <c r="N1205" s="2">
        <v>43279</v>
      </c>
      <c r="O1205" s="7">
        <v>172.5</v>
      </c>
      <c r="P1205" s="2">
        <v>43290</v>
      </c>
      <c r="Q1205" s="7">
        <f>$E1205-$O1205</f>
        <v>0</v>
      </c>
      <c r="R1205" s="7" t="str">
        <f ca="1">IF(TODAY() - DHMXX[INV DUE DATE]&lt;30, "Less than 30 days",IF(TODAY()-DHMXX[INV DUE DATE]&lt;60,"30-60 days","More than 60 days"))</f>
        <v>Less than 30 days</v>
      </c>
      <c r="S1205" t="s">
        <v>1550</v>
      </c>
      <c r="T1205" s="43" t="s">
        <v>2229</v>
      </c>
      <c r="U1205" t="s">
        <v>3699</v>
      </c>
    </row>
    <row r="1206" spans="1:21" x14ac:dyDescent="0.3">
      <c r="A1206" t="s">
        <v>4137</v>
      </c>
      <c r="B1206" t="s">
        <v>30</v>
      </c>
      <c r="C1206" t="s">
        <v>312</v>
      </c>
      <c r="D1206" s="15">
        <v>1</v>
      </c>
      <c r="E1206" s="7">
        <v>172.5</v>
      </c>
      <c r="H1206">
        <v>91295</v>
      </c>
      <c r="I1206" t="s">
        <v>360</v>
      </c>
      <c r="J1206" t="s">
        <v>2925</v>
      </c>
      <c r="K1206" t="s">
        <v>3</v>
      </c>
      <c r="L1206" s="2">
        <v>43252</v>
      </c>
      <c r="M1206" s="2">
        <f>DHMXX[[#This Row],[INV DOC DATE]]+30</f>
        <v>43282</v>
      </c>
      <c r="N1206" s="2">
        <v>43279</v>
      </c>
      <c r="O1206" s="7">
        <v>172.5</v>
      </c>
      <c r="P1206" s="2">
        <v>43290</v>
      </c>
      <c r="Q1206" s="7">
        <f>$E1206-$O1206</f>
        <v>0</v>
      </c>
      <c r="R1206" s="7" t="str">
        <f ca="1">IF(TODAY() - DHMXX[INV DUE DATE]&lt;30, "Less than 30 days",IF(TODAY()-DHMXX[INV DUE DATE]&lt;60,"30-60 days","More than 60 days"))</f>
        <v>Less than 30 days</v>
      </c>
      <c r="S1206" t="s">
        <v>1550</v>
      </c>
      <c r="T1206" s="43" t="s">
        <v>2229</v>
      </c>
      <c r="U1206" t="s">
        <v>3699</v>
      </c>
    </row>
    <row r="1207" spans="1:21" x14ac:dyDescent="0.3">
      <c r="A1207" t="s">
        <v>4137</v>
      </c>
      <c r="B1207" t="s">
        <v>30</v>
      </c>
      <c r="C1207" t="s">
        <v>313</v>
      </c>
      <c r="D1207" s="15">
        <v>1</v>
      </c>
      <c r="E1207" s="7">
        <v>172.5</v>
      </c>
      <c r="H1207">
        <v>91295</v>
      </c>
      <c r="I1207" t="s">
        <v>360</v>
      </c>
      <c r="J1207" t="s">
        <v>2926</v>
      </c>
      <c r="K1207" t="s">
        <v>3</v>
      </c>
      <c r="L1207" s="2">
        <v>43252</v>
      </c>
      <c r="M1207" s="2">
        <f>DHMXX[[#This Row],[INV DOC DATE]]+30</f>
        <v>43282</v>
      </c>
      <c r="N1207" s="2">
        <v>43279</v>
      </c>
      <c r="O1207" s="7">
        <v>172.5</v>
      </c>
      <c r="P1207" s="2">
        <v>43290</v>
      </c>
      <c r="Q1207" s="7">
        <f>$E1207-$O1207</f>
        <v>0</v>
      </c>
      <c r="R1207" s="7" t="str">
        <f ca="1">IF(TODAY() - DHMXX[INV DUE DATE]&lt;30, "Less than 30 days",IF(TODAY()-DHMXX[INV DUE DATE]&lt;60,"30-60 days","More than 60 days"))</f>
        <v>Less than 30 days</v>
      </c>
      <c r="S1207" t="s">
        <v>1550</v>
      </c>
      <c r="T1207" s="43" t="s">
        <v>2229</v>
      </c>
      <c r="U1207" t="s">
        <v>3699</v>
      </c>
    </row>
    <row r="1208" spans="1:21" x14ac:dyDescent="0.3">
      <c r="A1208" t="s">
        <v>4137</v>
      </c>
      <c r="B1208" t="s">
        <v>30</v>
      </c>
      <c r="C1208" t="s">
        <v>314</v>
      </c>
      <c r="D1208" s="15">
        <v>1</v>
      </c>
      <c r="E1208" s="7">
        <v>172.5</v>
      </c>
      <c r="H1208">
        <v>91295</v>
      </c>
      <c r="I1208" t="s">
        <v>360</v>
      </c>
      <c r="J1208" t="s">
        <v>2927</v>
      </c>
      <c r="K1208" t="s">
        <v>3</v>
      </c>
      <c r="L1208" s="2">
        <v>43252</v>
      </c>
      <c r="M1208" s="2">
        <f>DHMXX[[#This Row],[INV DOC DATE]]+30</f>
        <v>43282</v>
      </c>
      <c r="N1208" s="2">
        <v>43279</v>
      </c>
      <c r="O1208" s="7">
        <v>172.5</v>
      </c>
      <c r="P1208" s="2">
        <v>43290</v>
      </c>
      <c r="Q1208" s="7">
        <f>$E1208-$O1208</f>
        <v>0</v>
      </c>
      <c r="R1208" s="7" t="str">
        <f ca="1">IF(TODAY() - DHMXX[INV DUE DATE]&lt;30, "Less than 30 days",IF(TODAY()-DHMXX[INV DUE DATE]&lt;60,"30-60 days","More than 60 days"))</f>
        <v>Less than 30 days</v>
      </c>
      <c r="S1208" t="s">
        <v>1550</v>
      </c>
      <c r="T1208" s="43" t="s">
        <v>2229</v>
      </c>
      <c r="U1208" t="s">
        <v>3699</v>
      </c>
    </row>
    <row r="1209" spans="1:21" x14ac:dyDescent="0.3">
      <c r="A1209" t="s">
        <v>4137</v>
      </c>
      <c r="B1209" t="s">
        <v>30</v>
      </c>
      <c r="C1209" t="s">
        <v>315</v>
      </c>
      <c r="D1209" s="15">
        <v>1</v>
      </c>
      <c r="E1209" s="7">
        <v>172.5</v>
      </c>
      <c r="H1209">
        <v>91295</v>
      </c>
      <c r="I1209" t="s">
        <v>360</v>
      </c>
      <c r="J1209" t="s">
        <v>2928</v>
      </c>
      <c r="K1209" t="s">
        <v>3</v>
      </c>
      <c r="L1209" s="2">
        <v>43252</v>
      </c>
      <c r="M1209" s="2">
        <f>DHMXX[[#This Row],[INV DOC DATE]]+30</f>
        <v>43282</v>
      </c>
      <c r="N1209" s="2">
        <v>43279</v>
      </c>
      <c r="O1209" s="7">
        <v>172.5</v>
      </c>
      <c r="P1209" s="2">
        <v>43290</v>
      </c>
      <c r="Q1209" s="7">
        <f>$E1209-$O1209</f>
        <v>0</v>
      </c>
      <c r="R1209" s="7" t="str">
        <f ca="1">IF(TODAY() - DHMXX[INV DUE DATE]&lt;30, "Less than 30 days",IF(TODAY()-DHMXX[INV DUE DATE]&lt;60,"30-60 days","More than 60 days"))</f>
        <v>Less than 30 days</v>
      </c>
      <c r="S1209" t="s">
        <v>1550</v>
      </c>
      <c r="T1209" s="43" t="s">
        <v>2229</v>
      </c>
      <c r="U1209" t="s">
        <v>3699</v>
      </c>
    </row>
    <row r="1210" spans="1:21" x14ac:dyDescent="0.3">
      <c r="A1210" t="s">
        <v>4137</v>
      </c>
      <c r="B1210" t="s">
        <v>30</v>
      </c>
      <c r="C1210" t="s">
        <v>316</v>
      </c>
      <c r="D1210" s="15">
        <v>1</v>
      </c>
      <c r="E1210" s="7">
        <v>172.5</v>
      </c>
      <c r="H1210">
        <v>91295</v>
      </c>
      <c r="I1210" t="s">
        <v>360</v>
      </c>
      <c r="J1210" t="s">
        <v>2929</v>
      </c>
      <c r="K1210" t="s">
        <v>3</v>
      </c>
      <c r="L1210" s="2">
        <v>43252</v>
      </c>
      <c r="M1210" s="2">
        <f>DHMXX[[#This Row],[INV DOC DATE]]+30</f>
        <v>43282</v>
      </c>
      <c r="N1210" s="2">
        <v>43279</v>
      </c>
      <c r="O1210" s="7">
        <v>172.5</v>
      </c>
      <c r="P1210" s="2">
        <v>43290</v>
      </c>
      <c r="Q1210" s="7">
        <f>$E1210-$O1210</f>
        <v>0</v>
      </c>
      <c r="R1210" s="7" t="str">
        <f ca="1">IF(TODAY() - DHMXX[INV DUE DATE]&lt;30, "Less than 30 days",IF(TODAY()-DHMXX[INV DUE DATE]&lt;60,"30-60 days","More than 60 days"))</f>
        <v>Less than 30 days</v>
      </c>
      <c r="S1210" t="s">
        <v>1550</v>
      </c>
      <c r="T1210" s="43" t="s">
        <v>2229</v>
      </c>
      <c r="U1210" t="s">
        <v>3699</v>
      </c>
    </row>
    <row r="1211" spans="1:21" x14ac:dyDescent="0.3">
      <c r="A1211" t="s">
        <v>4137</v>
      </c>
      <c r="B1211" t="s">
        <v>30</v>
      </c>
      <c r="C1211" t="s">
        <v>317</v>
      </c>
      <c r="D1211" s="15">
        <v>1</v>
      </c>
      <c r="E1211" s="7">
        <v>172.5</v>
      </c>
      <c r="H1211">
        <v>91295</v>
      </c>
      <c r="I1211" t="s">
        <v>360</v>
      </c>
      <c r="J1211" t="s">
        <v>2930</v>
      </c>
      <c r="K1211" t="s">
        <v>3</v>
      </c>
      <c r="L1211" s="2">
        <v>43252</v>
      </c>
      <c r="M1211" s="2">
        <f>DHMXX[[#This Row],[INV DOC DATE]]+30</f>
        <v>43282</v>
      </c>
      <c r="N1211" s="2">
        <v>43279</v>
      </c>
      <c r="O1211" s="7">
        <v>172.5</v>
      </c>
      <c r="P1211" s="2">
        <v>43290</v>
      </c>
      <c r="Q1211" s="7">
        <f>$E1211-$O1211</f>
        <v>0</v>
      </c>
      <c r="R1211" s="7" t="str">
        <f ca="1">IF(TODAY() - DHMXX[INV DUE DATE]&lt;30, "Less than 30 days",IF(TODAY()-DHMXX[INV DUE DATE]&lt;60,"30-60 days","More than 60 days"))</f>
        <v>Less than 30 days</v>
      </c>
      <c r="S1211" t="s">
        <v>1550</v>
      </c>
      <c r="T1211" s="43" t="s">
        <v>2229</v>
      </c>
      <c r="U1211" t="s">
        <v>3699</v>
      </c>
    </row>
    <row r="1212" spans="1:21" x14ac:dyDescent="0.3">
      <c r="A1212" t="s">
        <v>4137</v>
      </c>
      <c r="B1212" t="s">
        <v>30</v>
      </c>
      <c r="C1212" t="s">
        <v>318</v>
      </c>
      <c r="D1212" s="15">
        <v>1</v>
      </c>
      <c r="E1212" s="7">
        <v>172.5</v>
      </c>
      <c r="H1212">
        <v>91295</v>
      </c>
      <c r="I1212" t="s">
        <v>360</v>
      </c>
      <c r="J1212" t="s">
        <v>2931</v>
      </c>
      <c r="K1212" t="s">
        <v>3</v>
      </c>
      <c r="L1212" s="2">
        <v>43252</v>
      </c>
      <c r="M1212" s="2">
        <f>DHMXX[[#This Row],[INV DOC DATE]]+30</f>
        <v>43282</v>
      </c>
      <c r="N1212" s="2">
        <v>43279</v>
      </c>
      <c r="O1212" s="7">
        <v>172.5</v>
      </c>
      <c r="P1212" s="2">
        <v>43290</v>
      </c>
      <c r="Q1212" s="7">
        <f>$E1212-$O1212</f>
        <v>0</v>
      </c>
      <c r="R1212" s="7" t="str">
        <f ca="1">IF(TODAY() - DHMXX[INV DUE DATE]&lt;30, "Less than 30 days",IF(TODAY()-DHMXX[INV DUE DATE]&lt;60,"30-60 days","More than 60 days"))</f>
        <v>Less than 30 days</v>
      </c>
      <c r="S1212" t="s">
        <v>1550</v>
      </c>
      <c r="T1212" s="43" t="s">
        <v>2229</v>
      </c>
      <c r="U1212" t="s">
        <v>3699</v>
      </c>
    </row>
    <row r="1213" spans="1:21" x14ac:dyDescent="0.3">
      <c r="A1213" t="s">
        <v>4137</v>
      </c>
      <c r="B1213" t="s">
        <v>30</v>
      </c>
      <c r="C1213" t="s">
        <v>319</v>
      </c>
      <c r="D1213" s="15">
        <v>1</v>
      </c>
      <c r="E1213" s="7">
        <v>172.5</v>
      </c>
      <c r="H1213">
        <v>91295</v>
      </c>
      <c r="I1213" t="s">
        <v>360</v>
      </c>
      <c r="J1213" t="s">
        <v>2932</v>
      </c>
      <c r="K1213" t="s">
        <v>3</v>
      </c>
      <c r="L1213" s="2">
        <v>43252</v>
      </c>
      <c r="M1213" s="2">
        <f>DHMXX[[#This Row],[INV DOC DATE]]+30</f>
        <v>43282</v>
      </c>
      <c r="N1213" s="2">
        <v>43279</v>
      </c>
      <c r="O1213" s="7">
        <v>172.5</v>
      </c>
      <c r="P1213" s="2">
        <v>43290</v>
      </c>
      <c r="Q1213" s="7">
        <f>$E1213-$O1213</f>
        <v>0</v>
      </c>
      <c r="R1213" s="7" t="str">
        <f ca="1">IF(TODAY() - DHMXX[INV DUE DATE]&lt;30, "Less than 30 days",IF(TODAY()-DHMXX[INV DUE DATE]&lt;60,"30-60 days","More than 60 days"))</f>
        <v>Less than 30 days</v>
      </c>
      <c r="S1213" t="s">
        <v>1550</v>
      </c>
      <c r="T1213" s="43" t="s">
        <v>2229</v>
      </c>
      <c r="U1213" t="s">
        <v>3699</v>
      </c>
    </row>
    <row r="1214" spans="1:21" x14ac:dyDescent="0.3">
      <c r="A1214" t="s">
        <v>4137</v>
      </c>
      <c r="B1214" t="s">
        <v>30</v>
      </c>
      <c r="C1214" t="s">
        <v>320</v>
      </c>
      <c r="D1214" s="15">
        <v>1</v>
      </c>
      <c r="E1214" s="7">
        <v>172.5</v>
      </c>
      <c r="H1214">
        <v>91295</v>
      </c>
      <c r="I1214" t="s">
        <v>360</v>
      </c>
      <c r="J1214" t="s">
        <v>2933</v>
      </c>
      <c r="K1214" t="s">
        <v>3</v>
      </c>
      <c r="L1214" s="2">
        <v>43252</v>
      </c>
      <c r="M1214" s="2">
        <f>DHMXX[[#This Row],[INV DOC DATE]]+30</f>
        <v>43282</v>
      </c>
      <c r="N1214" s="2">
        <v>43279</v>
      </c>
      <c r="O1214" s="7">
        <v>172.5</v>
      </c>
      <c r="P1214" s="2">
        <v>43290</v>
      </c>
      <c r="Q1214" s="7">
        <f>$E1214-$O1214</f>
        <v>0</v>
      </c>
      <c r="R1214" s="7" t="str">
        <f ca="1">IF(TODAY() - DHMXX[INV DUE DATE]&lt;30, "Less than 30 days",IF(TODAY()-DHMXX[INV DUE DATE]&lt;60,"30-60 days","More than 60 days"))</f>
        <v>Less than 30 days</v>
      </c>
      <c r="S1214" t="s">
        <v>1550</v>
      </c>
      <c r="T1214" s="43" t="s">
        <v>2229</v>
      </c>
      <c r="U1214" t="s">
        <v>3699</v>
      </c>
    </row>
    <row r="1215" spans="1:21" x14ac:dyDescent="0.3">
      <c r="A1215" t="s">
        <v>4137</v>
      </c>
      <c r="B1215" t="s">
        <v>30</v>
      </c>
      <c r="C1215" t="s">
        <v>321</v>
      </c>
      <c r="D1215" s="15">
        <v>1</v>
      </c>
      <c r="E1215" s="7">
        <v>172.5</v>
      </c>
      <c r="H1215">
        <v>91295</v>
      </c>
      <c r="I1215" t="s">
        <v>360</v>
      </c>
      <c r="J1215" t="s">
        <v>2934</v>
      </c>
      <c r="K1215" t="s">
        <v>3</v>
      </c>
      <c r="L1215" s="2">
        <v>43252</v>
      </c>
      <c r="M1215" s="2">
        <f>DHMXX[[#This Row],[INV DOC DATE]]+30</f>
        <v>43282</v>
      </c>
      <c r="N1215" s="2">
        <v>43279</v>
      </c>
      <c r="O1215" s="7">
        <v>172.5</v>
      </c>
      <c r="P1215" s="2">
        <v>43290</v>
      </c>
      <c r="Q1215" s="7">
        <f>$E1215-$O1215</f>
        <v>0</v>
      </c>
      <c r="R1215" s="7" t="str">
        <f ca="1">IF(TODAY() - DHMXX[INV DUE DATE]&lt;30, "Less than 30 days",IF(TODAY()-DHMXX[INV DUE DATE]&lt;60,"30-60 days","More than 60 days"))</f>
        <v>Less than 30 days</v>
      </c>
      <c r="S1215" t="s">
        <v>1550</v>
      </c>
      <c r="T1215" s="43" t="s">
        <v>2229</v>
      </c>
      <c r="U1215" t="s">
        <v>3699</v>
      </c>
    </row>
    <row r="1216" spans="1:21" x14ac:dyDescent="0.3">
      <c r="A1216" t="s">
        <v>4137</v>
      </c>
      <c r="B1216" t="s">
        <v>30</v>
      </c>
      <c r="C1216" t="s">
        <v>322</v>
      </c>
      <c r="D1216" s="15">
        <v>1</v>
      </c>
      <c r="E1216" s="7">
        <v>172.5</v>
      </c>
      <c r="H1216">
        <v>91295</v>
      </c>
      <c r="I1216" t="s">
        <v>360</v>
      </c>
      <c r="J1216" t="s">
        <v>2935</v>
      </c>
      <c r="K1216" t="s">
        <v>3</v>
      </c>
      <c r="L1216" s="2">
        <v>43252</v>
      </c>
      <c r="M1216" s="2">
        <f>DHMXX[[#This Row],[INV DOC DATE]]+30</f>
        <v>43282</v>
      </c>
      <c r="N1216" s="2">
        <v>43279</v>
      </c>
      <c r="O1216" s="7">
        <v>172.5</v>
      </c>
      <c r="P1216" s="2">
        <v>43290</v>
      </c>
      <c r="Q1216" s="7">
        <f>$E1216-$O1216</f>
        <v>0</v>
      </c>
      <c r="R1216" s="7" t="str">
        <f ca="1">IF(TODAY() - DHMXX[INV DUE DATE]&lt;30, "Less than 30 days",IF(TODAY()-DHMXX[INV DUE DATE]&lt;60,"30-60 days","More than 60 days"))</f>
        <v>Less than 30 days</v>
      </c>
      <c r="S1216" t="s">
        <v>1550</v>
      </c>
      <c r="T1216" s="43" t="s">
        <v>2229</v>
      </c>
      <c r="U1216" t="s">
        <v>3699</v>
      </c>
    </row>
    <row r="1217" spans="1:21" x14ac:dyDescent="0.3">
      <c r="A1217" t="s">
        <v>4137</v>
      </c>
      <c r="B1217" t="s">
        <v>30</v>
      </c>
      <c r="C1217" t="s">
        <v>323</v>
      </c>
      <c r="D1217" s="15">
        <v>1</v>
      </c>
      <c r="E1217" s="7">
        <v>172.5</v>
      </c>
      <c r="H1217">
        <v>91295</v>
      </c>
      <c r="I1217" t="s">
        <v>360</v>
      </c>
      <c r="J1217" t="s">
        <v>2936</v>
      </c>
      <c r="K1217" t="s">
        <v>3</v>
      </c>
      <c r="L1217" s="2">
        <v>43252</v>
      </c>
      <c r="M1217" s="2">
        <f>DHMXX[[#This Row],[INV DOC DATE]]+30</f>
        <v>43282</v>
      </c>
      <c r="N1217" s="2">
        <v>43279</v>
      </c>
      <c r="O1217" s="7">
        <v>172.5</v>
      </c>
      <c r="P1217" s="2">
        <v>43290</v>
      </c>
      <c r="Q1217" s="7">
        <f>$E1217-$O1217</f>
        <v>0</v>
      </c>
      <c r="R1217" s="7" t="str">
        <f ca="1">IF(TODAY() - DHMXX[INV DUE DATE]&lt;30, "Less than 30 days",IF(TODAY()-DHMXX[INV DUE DATE]&lt;60,"30-60 days","More than 60 days"))</f>
        <v>Less than 30 days</v>
      </c>
      <c r="S1217" t="s">
        <v>1550</v>
      </c>
      <c r="T1217" s="43" t="s">
        <v>2229</v>
      </c>
      <c r="U1217" t="s">
        <v>3699</v>
      </c>
    </row>
    <row r="1218" spans="1:21" x14ac:dyDescent="0.3">
      <c r="A1218" t="s">
        <v>4137</v>
      </c>
      <c r="B1218" t="s">
        <v>30</v>
      </c>
      <c r="C1218" t="s">
        <v>324</v>
      </c>
      <c r="D1218" s="15">
        <v>1</v>
      </c>
      <c r="E1218" s="7">
        <v>172.5</v>
      </c>
      <c r="H1218">
        <v>92676</v>
      </c>
      <c r="I1218" t="s">
        <v>854</v>
      </c>
      <c r="J1218" t="s">
        <v>2937</v>
      </c>
      <c r="K1218" t="s">
        <v>3</v>
      </c>
      <c r="L1218" s="2">
        <v>43252</v>
      </c>
      <c r="M1218" s="2">
        <f>DHMXX[[#This Row],[INV DOC DATE]]+30</f>
        <v>43282</v>
      </c>
      <c r="N1218" s="2">
        <v>43279</v>
      </c>
      <c r="O1218" s="7">
        <v>172.5</v>
      </c>
      <c r="P1218" s="2">
        <v>43290</v>
      </c>
      <c r="Q1218" s="7">
        <f>$E1218-$O1218</f>
        <v>0</v>
      </c>
      <c r="R1218" s="7" t="str">
        <f ca="1">IF(TODAY() - DHMXX[INV DUE DATE]&lt;30, "Less than 30 days",IF(TODAY()-DHMXX[INV DUE DATE]&lt;60,"30-60 days","More than 60 days"))</f>
        <v>Less than 30 days</v>
      </c>
      <c r="S1218" t="s">
        <v>1550</v>
      </c>
      <c r="T1218" s="43" t="s">
        <v>2229</v>
      </c>
      <c r="U1218" t="s">
        <v>3699</v>
      </c>
    </row>
    <row r="1219" spans="1:21" x14ac:dyDescent="0.3">
      <c r="A1219" t="s">
        <v>4137</v>
      </c>
      <c r="B1219" t="s">
        <v>30</v>
      </c>
      <c r="C1219" t="s">
        <v>325</v>
      </c>
      <c r="D1219" s="15">
        <v>1</v>
      </c>
      <c r="E1219" s="7">
        <v>172.5</v>
      </c>
      <c r="H1219">
        <v>94783</v>
      </c>
      <c r="I1219" t="s">
        <v>360</v>
      </c>
      <c r="J1219" t="s">
        <v>2938</v>
      </c>
      <c r="K1219" t="s">
        <v>3</v>
      </c>
      <c r="L1219" s="2">
        <v>43252</v>
      </c>
      <c r="M1219" s="2">
        <f>DHMXX[[#This Row],[INV DOC DATE]]+30</f>
        <v>43282</v>
      </c>
      <c r="N1219" s="2">
        <v>43279</v>
      </c>
      <c r="O1219" s="7">
        <v>172.5</v>
      </c>
      <c r="P1219" s="2">
        <v>43290</v>
      </c>
      <c r="Q1219" s="7">
        <f>$E1219-$O1219</f>
        <v>0</v>
      </c>
      <c r="R1219" s="7" t="str">
        <f ca="1">IF(TODAY() - DHMXX[INV DUE DATE]&lt;30, "Less than 30 days",IF(TODAY()-DHMXX[INV DUE DATE]&lt;60,"30-60 days","More than 60 days"))</f>
        <v>Less than 30 days</v>
      </c>
      <c r="S1219" t="s">
        <v>1550</v>
      </c>
      <c r="T1219" s="43" t="s">
        <v>2229</v>
      </c>
      <c r="U1219" t="s">
        <v>3699</v>
      </c>
    </row>
    <row r="1220" spans="1:21" x14ac:dyDescent="0.3">
      <c r="A1220" t="s">
        <v>4137</v>
      </c>
      <c r="B1220" t="s">
        <v>30</v>
      </c>
      <c r="C1220" t="s">
        <v>326</v>
      </c>
      <c r="D1220" s="15">
        <v>1</v>
      </c>
      <c r="E1220" s="7">
        <v>172.5</v>
      </c>
      <c r="H1220">
        <v>115229</v>
      </c>
      <c r="I1220" t="s">
        <v>349</v>
      </c>
      <c r="J1220" t="s">
        <v>2939</v>
      </c>
      <c r="K1220" t="s">
        <v>3</v>
      </c>
      <c r="L1220" s="2">
        <v>43252</v>
      </c>
      <c r="M1220" s="2">
        <f>DHMXX[[#This Row],[INV DOC DATE]]+30</f>
        <v>43282</v>
      </c>
      <c r="N1220" s="2">
        <v>43279</v>
      </c>
      <c r="O1220" s="7">
        <v>172.5</v>
      </c>
      <c r="P1220" s="2">
        <v>43290</v>
      </c>
      <c r="Q1220" s="7">
        <f>$E1220-$O1220</f>
        <v>0</v>
      </c>
      <c r="R1220" s="7" t="str">
        <f ca="1">IF(TODAY() - DHMXX[INV DUE DATE]&lt;30, "Less than 30 days",IF(TODAY()-DHMXX[INV DUE DATE]&lt;60,"30-60 days","More than 60 days"))</f>
        <v>Less than 30 days</v>
      </c>
      <c r="S1220" t="s">
        <v>1550</v>
      </c>
      <c r="T1220" s="43" t="s">
        <v>2229</v>
      </c>
      <c r="U1220" t="s">
        <v>3699</v>
      </c>
    </row>
    <row r="1221" spans="1:21" x14ac:dyDescent="0.3">
      <c r="A1221" t="s">
        <v>4137</v>
      </c>
      <c r="B1221" t="s">
        <v>30</v>
      </c>
      <c r="C1221" t="s">
        <v>327</v>
      </c>
      <c r="D1221" s="15">
        <v>1</v>
      </c>
      <c r="E1221" s="7">
        <v>172.5</v>
      </c>
      <c r="H1221">
        <v>140140</v>
      </c>
      <c r="I1221" t="s">
        <v>840</v>
      </c>
      <c r="J1221" t="s">
        <v>2940</v>
      </c>
      <c r="K1221" t="s">
        <v>3</v>
      </c>
      <c r="L1221" s="2">
        <v>43252</v>
      </c>
      <c r="M1221" s="2">
        <f>DHMXX[[#This Row],[INV DOC DATE]]+30</f>
        <v>43282</v>
      </c>
      <c r="N1221" s="2">
        <v>43279</v>
      </c>
      <c r="O1221" s="7">
        <v>172.5</v>
      </c>
      <c r="P1221" s="2">
        <v>43290</v>
      </c>
      <c r="Q1221" s="7">
        <f>$E1221-$O1221</f>
        <v>0</v>
      </c>
      <c r="R1221" s="7" t="str">
        <f ca="1">IF(TODAY() - DHMXX[INV DUE DATE]&lt;30, "Less than 30 days",IF(TODAY()-DHMXX[INV DUE DATE]&lt;60,"30-60 days","More than 60 days"))</f>
        <v>Less than 30 days</v>
      </c>
      <c r="S1221" t="s">
        <v>1550</v>
      </c>
      <c r="T1221" s="43" t="s">
        <v>2229</v>
      </c>
      <c r="U1221" t="s">
        <v>3699</v>
      </c>
    </row>
    <row r="1222" spans="1:21" x14ac:dyDescent="0.3">
      <c r="A1222" t="s">
        <v>4137</v>
      </c>
      <c r="B1222" t="s">
        <v>30</v>
      </c>
      <c r="C1222" t="s">
        <v>328</v>
      </c>
      <c r="D1222" s="15">
        <v>1</v>
      </c>
      <c r="E1222" s="7">
        <v>172.5</v>
      </c>
      <c r="H1222">
        <v>140140</v>
      </c>
      <c r="I1222" t="s">
        <v>840</v>
      </c>
      <c r="J1222" t="s">
        <v>2941</v>
      </c>
      <c r="K1222" t="s">
        <v>3</v>
      </c>
      <c r="L1222" s="2">
        <v>43252</v>
      </c>
      <c r="M1222" s="2">
        <f>DHMXX[[#This Row],[INV DOC DATE]]+30</f>
        <v>43282</v>
      </c>
      <c r="N1222" s="2">
        <v>43279</v>
      </c>
      <c r="O1222" s="7">
        <v>172.5</v>
      </c>
      <c r="P1222" s="2">
        <v>43290</v>
      </c>
      <c r="Q1222" s="7">
        <f>$E1222-$O1222</f>
        <v>0</v>
      </c>
      <c r="R1222" s="7" t="str">
        <f ca="1">IF(TODAY() - DHMXX[INV DUE DATE]&lt;30, "Less than 30 days",IF(TODAY()-DHMXX[INV DUE DATE]&lt;60,"30-60 days","More than 60 days"))</f>
        <v>Less than 30 days</v>
      </c>
      <c r="S1222" t="s">
        <v>1550</v>
      </c>
      <c r="T1222" s="43" t="s">
        <v>2229</v>
      </c>
      <c r="U1222" t="s">
        <v>3699</v>
      </c>
    </row>
    <row r="1223" spans="1:21" x14ac:dyDescent="0.3">
      <c r="A1223" t="s">
        <v>4137</v>
      </c>
      <c r="B1223" t="s">
        <v>30</v>
      </c>
      <c r="C1223" t="s">
        <v>329</v>
      </c>
      <c r="D1223" s="15">
        <v>1</v>
      </c>
      <c r="E1223" s="7">
        <v>465</v>
      </c>
      <c r="H1223">
        <v>142910</v>
      </c>
      <c r="I1223" t="s">
        <v>841</v>
      </c>
      <c r="J1223" t="s">
        <v>2942</v>
      </c>
      <c r="K1223" t="s">
        <v>3</v>
      </c>
      <c r="L1223" s="2">
        <v>43252</v>
      </c>
      <c r="M1223" s="2">
        <f>DHMXX[[#This Row],[INV DOC DATE]]+30</f>
        <v>43282</v>
      </c>
      <c r="N1223" s="2">
        <v>43279</v>
      </c>
      <c r="O1223" s="7">
        <v>465</v>
      </c>
      <c r="P1223" s="2">
        <v>43290</v>
      </c>
      <c r="Q1223" s="7">
        <f>$E1223-$O1223</f>
        <v>0</v>
      </c>
      <c r="R1223" s="7" t="str">
        <f ca="1">IF(TODAY() - DHMXX[INV DUE DATE]&lt;30, "Less than 30 days",IF(TODAY()-DHMXX[INV DUE DATE]&lt;60,"30-60 days","More than 60 days"))</f>
        <v>Less than 30 days</v>
      </c>
      <c r="S1223" t="s">
        <v>1550</v>
      </c>
      <c r="T1223" s="43" t="s">
        <v>2229</v>
      </c>
      <c r="U1223" t="s">
        <v>3699</v>
      </c>
    </row>
    <row r="1224" spans="1:21" x14ac:dyDescent="0.3">
      <c r="A1224" t="s">
        <v>4137</v>
      </c>
      <c r="B1224" t="s">
        <v>30</v>
      </c>
      <c r="C1224" t="s">
        <v>330</v>
      </c>
      <c r="D1224" s="15">
        <v>1</v>
      </c>
      <c r="E1224" s="7">
        <v>172.5</v>
      </c>
      <c r="H1224">
        <v>148833</v>
      </c>
      <c r="I1224" t="s">
        <v>842</v>
      </c>
      <c r="J1224" t="s">
        <v>2943</v>
      </c>
      <c r="K1224" t="s">
        <v>3</v>
      </c>
      <c r="L1224" s="2">
        <v>43252</v>
      </c>
      <c r="M1224" s="2">
        <f>DHMXX[[#This Row],[INV DOC DATE]]+30</f>
        <v>43282</v>
      </c>
      <c r="N1224" s="2">
        <v>43279</v>
      </c>
      <c r="O1224" s="7">
        <v>172.5</v>
      </c>
      <c r="P1224" s="2">
        <v>43290</v>
      </c>
      <c r="Q1224" s="7">
        <f>$E1224-$O1224</f>
        <v>0</v>
      </c>
      <c r="R1224" s="7" t="str">
        <f ca="1">IF(TODAY() - DHMXX[INV DUE DATE]&lt;30, "Less than 30 days",IF(TODAY()-DHMXX[INV DUE DATE]&lt;60,"30-60 days","More than 60 days"))</f>
        <v>Less than 30 days</v>
      </c>
      <c r="S1224" t="s">
        <v>1550</v>
      </c>
      <c r="T1224" s="43" t="s">
        <v>2229</v>
      </c>
      <c r="U1224" t="s">
        <v>3699</v>
      </c>
    </row>
    <row r="1225" spans="1:21" x14ac:dyDescent="0.3">
      <c r="A1225" t="s">
        <v>4137</v>
      </c>
      <c r="B1225" t="s">
        <v>30</v>
      </c>
      <c r="C1225" t="s">
        <v>331</v>
      </c>
      <c r="D1225" s="15">
        <v>1</v>
      </c>
      <c r="E1225" s="7">
        <v>172.5</v>
      </c>
      <c r="H1225">
        <v>148833</v>
      </c>
      <c r="I1225" t="s">
        <v>842</v>
      </c>
      <c r="J1225" t="s">
        <v>2944</v>
      </c>
      <c r="K1225" t="s">
        <v>3</v>
      </c>
      <c r="L1225" s="2">
        <v>43252</v>
      </c>
      <c r="M1225" s="2">
        <f>DHMXX[[#This Row],[INV DOC DATE]]+30</f>
        <v>43282</v>
      </c>
      <c r="N1225" s="2">
        <v>43279</v>
      </c>
      <c r="O1225" s="7">
        <v>172.5</v>
      </c>
      <c r="P1225" s="2">
        <v>43290</v>
      </c>
      <c r="Q1225" s="7">
        <f>$E1225-$O1225</f>
        <v>0</v>
      </c>
      <c r="R1225" s="7" t="str">
        <f ca="1">IF(TODAY() - DHMXX[INV DUE DATE]&lt;30, "Less than 30 days",IF(TODAY()-DHMXX[INV DUE DATE]&lt;60,"30-60 days","More than 60 days"))</f>
        <v>Less than 30 days</v>
      </c>
      <c r="S1225" t="s">
        <v>1550</v>
      </c>
      <c r="T1225" s="43" t="s">
        <v>2229</v>
      </c>
      <c r="U1225" t="s">
        <v>3699</v>
      </c>
    </row>
    <row r="1226" spans="1:21" x14ac:dyDescent="0.3">
      <c r="A1226" t="s">
        <v>4137</v>
      </c>
      <c r="B1226" t="s">
        <v>30</v>
      </c>
      <c r="C1226" t="s">
        <v>332</v>
      </c>
      <c r="D1226" s="15">
        <v>1</v>
      </c>
      <c r="E1226" s="7">
        <v>172.5</v>
      </c>
      <c r="H1226">
        <v>148833</v>
      </c>
      <c r="I1226" t="s">
        <v>842</v>
      </c>
      <c r="J1226" t="s">
        <v>2945</v>
      </c>
      <c r="K1226" t="s">
        <v>3</v>
      </c>
      <c r="L1226" s="2">
        <v>43252</v>
      </c>
      <c r="M1226" s="2">
        <f>DHMXX[[#This Row],[INV DOC DATE]]+30</f>
        <v>43282</v>
      </c>
      <c r="N1226" s="2">
        <v>43279</v>
      </c>
      <c r="O1226" s="7">
        <v>172.5</v>
      </c>
      <c r="P1226" s="2">
        <v>43290</v>
      </c>
      <c r="Q1226" s="7">
        <f>$E1226-$O1226</f>
        <v>0</v>
      </c>
      <c r="R1226" s="7" t="str">
        <f ca="1">IF(TODAY() - DHMXX[INV DUE DATE]&lt;30, "Less than 30 days",IF(TODAY()-DHMXX[INV DUE DATE]&lt;60,"30-60 days","More than 60 days"))</f>
        <v>Less than 30 days</v>
      </c>
      <c r="S1226" t="s">
        <v>1550</v>
      </c>
      <c r="T1226" s="43" t="s">
        <v>2229</v>
      </c>
      <c r="U1226" t="s">
        <v>3699</v>
      </c>
    </row>
    <row r="1227" spans="1:21" x14ac:dyDescent="0.3">
      <c r="A1227" t="s">
        <v>4137</v>
      </c>
      <c r="B1227" t="s">
        <v>30</v>
      </c>
      <c r="C1227" t="s">
        <v>333</v>
      </c>
      <c r="D1227" s="15">
        <v>1</v>
      </c>
      <c r="E1227" s="7">
        <v>172.5</v>
      </c>
      <c r="H1227">
        <v>148833</v>
      </c>
      <c r="I1227" t="s">
        <v>842</v>
      </c>
      <c r="J1227" t="s">
        <v>2946</v>
      </c>
      <c r="K1227" t="s">
        <v>3</v>
      </c>
      <c r="L1227" s="2">
        <v>43252</v>
      </c>
      <c r="M1227" s="2">
        <f>DHMXX[[#This Row],[INV DOC DATE]]+30</f>
        <v>43282</v>
      </c>
      <c r="N1227" s="2">
        <v>43279</v>
      </c>
      <c r="O1227" s="7">
        <v>172.5</v>
      </c>
      <c r="P1227" s="2">
        <v>43290</v>
      </c>
      <c r="Q1227" s="7">
        <f>$E1227-$O1227</f>
        <v>0</v>
      </c>
      <c r="R1227" s="7" t="str">
        <f ca="1">IF(TODAY() - DHMXX[INV DUE DATE]&lt;30, "Less than 30 days",IF(TODAY()-DHMXX[INV DUE DATE]&lt;60,"30-60 days","More than 60 days"))</f>
        <v>Less than 30 days</v>
      </c>
      <c r="S1227" t="s">
        <v>1550</v>
      </c>
      <c r="T1227" s="43" t="s">
        <v>2229</v>
      </c>
      <c r="U1227" t="s">
        <v>3699</v>
      </c>
    </row>
    <row r="1228" spans="1:21" x14ac:dyDescent="0.3">
      <c r="A1228" t="s">
        <v>4137</v>
      </c>
      <c r="B1228" t="s">
        <v>30</v>
      </c>
      <c r="C1228" t="s">
        <v>334</v>
      </c>
      <c r="D1228" s="15">
        <v>1</v>
      </c>
      <c r="E1228" s="7">
        <v>172.5</v>
      </c>
      <c r="H1228">
        <v>148833</v>
      </c>
      <c r="I1228" t="s">
        <v>842</v>
      </c>
      <c r="J1228" t="s">
        <v>2947</v>
      </c>
      <c r="K1228" t="s">
        <v>3</v>
      </c>
      <c r="L1228" s="2">
        <v>43252</v>
      </c>
      <c r="M1228" s="2">
        <f>DHMXX[[#This Row],[INV DOC DATE]]+30</f>
        <v>43282</v>
      </c>
      <c r="N1228" s="2">
        <v>43279</v>
      </c>
      <c r="O1228" s="7">
        <v>172.5</v>
      </c>
      <c r="P1228" s="2">
        <v>43290</v>
      </c>
      <c r="Q1228" s="7">
        <f>$E1228-$O1228</f>
        <v>0</v>
      </c>
      <c r="R1228" s="7" t="str">
        <f ca="1">IF(TODAY() - DHMXX[INV DUE DATE]&lt;30, "Less than 30 days",IF(TODAY()-DHMXX[INV DUE DATE]&lt;60,"30-60 days","More than 60 days"))</f>
        <v>Less than 30 days</v>
      </c>
      <c r="S1228" t="s">
        <v>1550</v>
      </c>
      <c r="T1228" s="43" t="s">
        <v>2229</v>
      </c>
      <c r="U1228" t="s">
        <v>3699</v>
      </c>
    </row>
    <row r="1229" spans="1:21" x14ac:dyDescent="0.3">
      <c r="A1229" t="s">
        <v>4137</v>
      </c>
      <c r="B1229" t="s">
        <v>30</v>
      </c>
      <c r="C1229" t="s">
        <v>335</v>
      </c>
      <c r="D1229" s="15">
        <v>1</v>
      </c>
      <c r="E1229" s="7">
        <v>172.5</v>
      </c>
      <c r="H1229">
        <v>148833</v>
      </c>
      <c r="I1229" t="s">
        <v>842</v>
      </c>
      <c r="J1229" t="s">
        <v>2948</v>
      </c>
      <c r="K1229" t="s">
        <v>3</v>
      </c>
      <c r="L1229" s="2">
        <v>43252</v>
      </c>
      <c r="M1229" s="2">
        <f>DHMXX[[#This Row],[INV DOC DATE]]+30</f>
        <v>43282</v>
      </c>
      <c r="N1229" s="2">
        <v>43279</v>
      </c>
      <c r="O1229" s="7">
        <v>172.5</v>
      </c>
      <c r="P1229" s="2">
        <v>43290</v>
      </c>
      <c r="Q1229" s="7">
        <f>$E1229-$O1229</f>
        <v>0</v>
      </c>
      <c r="R1229" s="7" t="str">
        <f ca="1">IF(TODAY() - DHMXX[INV DUE DATE]&lt;30, "Less than 30 days",IF(TODAY()-DHMXX[INV DUE DATE]&lt;60,"30-60 days","More than 60 days"))</f>
        <v>Less than 30 days</v>
      </c>
      <c r="S1229" t="s">
        <v>1550</v>
      </c>
      <c r="T1229" s="43" t="s">
        <v>2229</v>
      </c>
      <c r="U1229" t="s">
        <v>3699</v>
      </c>
    </row>
    <row r="1230" spans="1:21" x14ac:dyDescent="0.3">
      <c r="A1230" t="s">
        <v>4137</v>
      </c>
      <c r="B1230" t="s">
        <v>30</v>
      </c>
      <c r="C1230" t="s">
        <v>336</v>
      </c>
      <c r="D1230" s="15">
        <v>1</v>
      </c>
      <c r="E1230" s="7">
        <v>172.5</v>
      </c>
      <c r="H1230">
        <v>162604</v>
      </c>
      <c r="I1230" t="s">
        <v>842</v>
      </c>
      <c r="J1230" t="s">
        <v>2949</v>
      </c>
      <c r="K1230" t="s">
        <v>3</v>
      </c>
      <c r="L1230" s="2">
        <v>43252</v>
      </c>
      <c r="M1230" s="2">
        <f>DHMXX[[#This Row],[INV DOC DATE]]+30</f>
        <v>43282</v>
      </c>
      <c r="N1230" s="2">
        <v>43279</v>
      </c>
      <c r="O1230" s="7">
        <v>172.5</v>
      </c>
      <c r="P1230" s="2">
        <v>43290</v>
      </c>
      <c r="Q1230" s="7">
        <f>$E1230-$O1230</f>
        <v>0</v>
      </c>
      <c r="R1230" s="7" t="str">
        <f ca="1">IF(TODAY() - DHMXX[INV DUE DATE]&lt;30, "Less than 30 days",IF(TODAY()-DHMXX[INV DUE DATE]&lt;60,"30-60 days","More than 60 days"))</f>
        <v>Less than 30 days</v>
      </c>
      <c r="S1230" t="s">
        <v>1550</v>
      </c>
      <c r="T1230" s="43" t="s">
        <v>2229</v>
      </c>
      <c r="U1230" t="s">
        <v>3699</v>
      </c>
    </row>
    <row r="1231" spans="1:21" x14ac:dyDescent="0.3">
      <c r="A1231" t="s">
        <v>4137</v>
      </c>
      <c r="B1231" t="s">
        <v>30</v>
      </c>
      <c r="C1231" t="s">
        <v>337</v>
      </c>
      <c r="D1231" s="15">
        <v>1</v>
      </c>
      <c r="E1231" s="7">
        <v>172.5</v>
      </c>
      <c r="H1231">
        <v>165685</v>
      </c>
      <c r="I1231" t="s">
        <v>843</v>
      </c>
      <c r="J1231" t="s">
        <v>2950</v>
      </c>
      <c r="K1231" t="s">
        <v>3</v>
      </c>
      <c r="L1231" s="2">
        <v>43252</v>
      </c>
      <c r="M1231" s="2">
        <f>DHMXX[[#This Row],[INV DOC DATE]]+30</f>
        <v>43282</v>
      </c>
      <c r="N1231" s="2">
        <v>43279</v>
      </c>
      <c r="O1231" s="7">
        <v>172.5</v>
      </c>
      <c r="P1231" s="2">
        <v>43290</v>
      </c>
      <c r="Q1231" s="7">
        <f>$E1231-$O1231</f>
        <v>0</v>
      </c>
      <c r="R1231" s="7" t="str">
        <f ca="1">IF(TODAY() - DHMXX[INV DUE DATE]&lt;30, "Less than 30 days",IF(TODAY()-DHMXX[INV DUE DATE]&lt;60,"30-60 days","More than 60 days"))</f>
        <v>Less than 30 days</v>
      </c>
      <c r="S1231" t="s">
        <v>1550</v>
      </c>
      <c r="T1231" s="43" t="s">
        <v>2229</v>
      </c>
      <c r="U1231" t="s">
        <v>3699</v>
      </c>
    </row>
    <row r="1232" spans="1:21" x14ac:dyDescent="0.3">
      <c r="A1232" t="s">
        <v>4137</v>
      </c>
      <c r="B1232" t="s">
        <v>30</v>
      </c>
      <c r="C1232" t="s">
        <v>338</v>
      </c>
      <c r="D1232" s="15">
        <v>1</v>
      </c>
      <c r="E1232" s="7">
        <v>172.5</v>
      </c>
      <c r="H1232">
        <v>172041</v>
      </c>
      <c r="I1232" t="s">
        <v>4138</v>
      </c>
      <c r="J1232" t="s">
        <v>2735</v>
      </c>
      <c r="K1232" t="s">
        <v>3</v>
      </c>
      <c r="L1232" s="2">
        <v>43252</v>
      </c>
      <c r="M1232" s="2">
        <f>DHMXX[[#This Row],[INV DOC DATE]]+30</f>
        <v>43282</v>
      </c>
      <c r="N1232" s="2">
        <v>43279</v>
      </c>
      <c r="O1232" s="7">
        <v>172.5</v>
      </c>
      <c r="P1232" s="2">
        <v>43290</v>
      </c>
      <c r="Q1232" s="7">
        <f>$E1232-$O1232</f>
        <v>0</v>
      </c>
      <c r="R1232" s="7" t="str">
        <f ca="1">IF(TODAY() - DHMXX[INV DUE DATE]&lt;30, "Less than 30 days",IF(TODAY()-DHMXX[INV DUE DATE]&lt;60,"30-60 days","More than 60 days"))</f>
        <v>Less than 30 days</v>
      </c>
      <c r="S1232" t="s">
        <v>1550</v>
      </c>
      <c r="T1232" s="43" t="s">
        <v>2229</v>
      </c>
      <c r="U1232" t="s">
        <v>3699</v>
      </c>
    </row>
    <row r="1233" spans="1:21" x14ac:dyDescent="0.3">
      <c r="A1233" t="s">
        <v>4137</v>
      </c>
      <c r="B1233" t="s">
        <v>30</v>
      </c>
      <c r="C1233" t="s">
        <v>339</v>
      </c>
      <c r="D1233" s="15">
        <v>1</v>
      </c>
      <c r="E1233" s="7">
        <v>172.5</v>
      </c>
      <c r="H1233">
        <v>172041</v>
      </c>
      <c r="I1233" t="s">
        <v>4138</v>
      </c>
      <c r="J1233" t="s">
        <v>2816</v>
      </c>
      <c r="K1233" t="s">
        <v>3</v>
      </c>
      <c r="L1233" s="2">
        <v>43252</v>
      </c>
      <c r="M1233" s="2">
        <f>DHMXX[[#This Row],[INV DOC DATE]]+30</f>
        <v>43282</v>
      </c>
      <c r="N1233" s="2">
        <v>43279</v>
      </c>
      <c r="O1233" s="7">
        <v>172.5</v>
      </c>
      <c r="P1233" s="2">
        <v>43290</v>
      </c>
      <c r="Q1233" s="7">
        <f>$E1233-$O1233</f>
        <v>0</v>
      </c>
      <c r="R1233" s="7" t="str">
        <f ca="1">IF(TODAY() - DHMXX[INV DUE DATE]&lt;30, "Less than 30 days",IF(TODAY()-DHMXX[INV DUE DATE]&lt;60,"30-60 days","More than 60 days"))</f>
        <v>Less than 30 days</v>
      </c>
      <c r="S1233" t="s">
        <v>1550</v>
      </c>
      <c r="T1233" s="43" t="s">
        <v>2229</v>
      </c>
      <c r="U1233" t="s">
        <v>3699</v>
      </c>
    </row>
    <row r="1234" spans="1:21" x14ac:dyDescent="0.3">
      <c r="A1234" t="s">
        <v>4137</v>
      </c>
      <c r="B1234" t="s">
        <v>30</v>
      </c>
      <c r="C1234" t="s">
        <v>340</v>
      </c>
      <c r="D1234" s="15">
        <v>1</v>
      </c>
      <c r="E1234" s="7">
        <v>172.5</v>
      </c>
      <c r="H1234">
        <v>172259</v>
      </c>
      <c r="I1234" t="s">
        <v>855</v>
      </c>
      <c r="J1234" t="s">
        <v>2859</v>
      </c>
      <c r="K1234" t="s">
        <v>3</v>
      </c>
      <c r="L1234" s="2">
        <v>43252</v>
      </c>
      <c r="M1234" s="2">
        <f>DHMXX[[#This Row],[INV DOC DATE]]+30</f>
        <v>43282</v>
      </c>
      <c r="N1234" s="2">
        <v>43279</v>
      </c>
      <c r="O1234" s="7">
        <v>172.5</v>
      </c>
      <c r="P1234" s="2">
        <v>43290</v>
      </c>
      <c r="Q1234" s="7">
        <f>$E1234-$O1234</f>
        <v>0</v>
      </c>
      <c r="R1234" s="7" t="str">
        <f ca="1">IF(TODAY() - DHMXX[INV DUE DATE]&lt;30, "Less than 30 days",IF(TODAY()-DHMXX[INV DUE DATE]&lt;60,"30-60 days","More than 60 days"))</f>
        <v>Less than 30 days</v>
      </c>
      <c r="S1234" t="s">
        <v>1550</v>
      </c>
      <c r="T1234" s="43" t="s">
        <v>2229</v>
      </c>
      <c r="U1234" t="s">
        <v>3699</v>
      </c>
    </row>
    <row r="1235" spans="1:21" x14ac:dyDescent="0.3">
      <c r="A1235" t="s">
        <v>4137</v>
      </c>
      <c r="B1235" t="s">
        <v>30</v>
      </c>
      <c r="C1235" t="s">
        <v>341</v>
      </c>
      <c r="D1235" s="15">
        <v>1</v>
      </c>
      <c r="E1235" s="7">
        <v>172.5</v>
      </c>
      <c r="H1235">
        <v>172259</v>
      </c>
      <c r="I1235" t="s">
        <v>855</v>
      </c>
      <c r="J1235" t="s">
        <v>2860</v>
      </c>
      <c r="K1235" t="s">
        <v>3</v>
      </c>
      <c r="L1235" s="2">
        <v>43252</v>
      </c>
      <c r="M1235" s="2">
        <f>DHMXX[[#This Row],[INV DOC DATE]]+30</f>
        <v>43282</v>
      </c>
      <c r="N1235" s="2">
        <v>43279</v>
      </c>
      <c r="O1235" s="7">
        <v>172.5</v>
      </c>
      <c r="P1235" s="2">
        <v>43290</v>
      </c>
      <c r="Q1235" s="7">
        <f>$E1235-$O1235</f>
        <v>0</v>
      </c>
      <c r="R1235" s="7" t="str">
        <f ca="1">IF(TODAY() - DHMXX[INV DUE DATE]&lt;30, "Less than 30 days",IF(TODAY()-DHMXX[INV DUE DATE]&lt;60,"30-60 days","More than 60 days"))</f>
        <v>Less than 30 days</v>
      </c>
      <c r="S1235" t="s">
        <v>1550</v>
      </c>
      <c r="T1235" s="43" t="s">
        <v>2229</v>
      </c>
      <c r="U1235" t="s">
        <v>3699</v>
      </c>
    </row>
    <row r="1236" spans="1:21" x14ac:dyDescent="0.3">
      <c r="A1236" t="s">
        <v>4137</v>
      </c>
      <c r="B1236" t="s">
        <v>30</v>
      </c>
      <c r="C1236" t="s">
        <v>342</v>
      </c>
      <c r="D1236" s="15">
        <v>1</v>
      </c>
      <c r="E1236" s="7">
        <v>172.5</v>
      </c>
      <c r="H1236">
        <v>172259</v>
      </c>
      <c r="I1236" t="s">
        <v>855</v>
      </c>
      <c r="J1236" t="s">
        <v>2861</v>
      </c>
      <c r="K1236" t="s">
        <v>3</v>
      </c>
      <c r="L1236" s="2">
        <v>43252</v>
      </c>
      <c r="M1236" s="2">
        <f>DHMXX[[#This Row],[INV DOC DATE]]+30</f>
        <v>43282</v>
      </c>
      <c r="N1236" s="2">
        <v>43279</v>
      </c>
      <c r="O1236" s="7">
        <v>172.5</v>
      </c>
      <c r="P1236" s="2">
        <v>43290</v>
      </c>
      <c r="Q1236" s="7">
        <f>$E1236-$O1236</f>
        <v>0</v>
      </c>
      <c r="R1236" s="7" t="str">
        <f ca="1">IF(TODAY() - DHMXX[INV DUE DATE]&lt;30, "Less than 30 days",IF(TODAY()-DHMXX[INV DUE DATE]&lt;60,"30-60 days","More than 60 days"))</f>
        <v>Less than 30 days</v>
      </c>
      <c r="S1236" t="s">
        <v>1550</v>
      </c>
      <c r="T1236" s="43" t="s">
        <v>2229</v>
      </c>
      <c r="U1236" t="s">
        <v>3699</v>
      </c>
    </row>
    <row r="1237" spans="1:21" x14ac:dyDescent="0.3">
      <c r="A1237" t="s">
        <v>4137</v>
      </c>
      <c r="B1237" t="s">
        <v>30</v>
      </c>
      <c r="C1237" t="s">
        <v>343</v>
      </c>
      <c r="D1237" s="15">
        <v>1</v>
      </c>
      <c r="E1237" s="7">
        <v>172.5</v>
      </c>
      <c r="H1237">
        <v>172259</v>
      </c>
      <c r="I1237" t="s">
        <v>855</v>
      </c>
      <c r="J1237" t="s">
        <v>2862</v>
      </c>
      <c r="K1237" t="s">
        <v>3</v>
      </c>
      <c r="L1237" s="2">
        <v>43252</v>
      </c>
      <c r="M1237" s="2">
        <f>DHMXX[[#This Row],[INV DOC DATE]]+30</f>
        <v>43282</v>
      </c>
      <c r="N1237" s="2">
        <v>43279</v>
      </c>
      <c r="O1237" s="7">
        <v>172.5</v>
      </c>
      <c r="P1237" s="2">
        <v>43290</v>
      </c>
      <c r="Q1237" s="7">
        <f>$E1237-$O1237</f>
        <v>0</v>
      </c>
      <c r="R1237" s="7" t="str">
        <f ca="1">IF(TODAY() - DHMXX[INV DUE DATE]&lt;30, "Less than 30 days",IF(TODAY()-DHMXX[INV DUE DATE]&lt;60,"30-60 days","More than 60 days"))</f>
        <v>Less than 30 days</v>
      </c>
      <c r="S1237" t="s">
        <v>1550</v>
      </c>
      <c r="T1237" s="43" t="s">
        <v>2229</v>
      </c>
      <c r="U1237" t="s">
        <v>3699</v>
      </c>
    </row>
    <row r="1238" spans="1:21" x14ac:dyDescent="0.3">
      <c r="A1238" t="s">
        <v>4137</v>
      </c>
      <c r="B1238" t="s">
        <v>30</v>
      </c>
      <c r="C1238" t="s">
        <v>344</v>
      </c>
      <c r="D1238" s="15">
        <v>1</v>
      </c>
      <c r="E1238" s="7">
        <v>172.5</v>
      </c>
      <c r="H1238">
        <v>172259</v>
      </c>
      <c r="I1238" t="s">
        <v>855</v>
      </c>
      <c r="J1238" t="s">
        <v>2863</v>
      </c>
      <c r="K1238" t="s">
        <v>3</v>
      </c>
      <c r="L1238" s="2">
        <v>43252</v>
      </c>
      <c r="M1238" s="2">
        <f>DHMXX[[#This Row],[INV DOC DATE]]+30</f>
        <v>43282</v>
      </c>
      <c r="N1238" s="2">
        <v>43279</v>
      </c>
      <c r="O1238" s="7">
        <v>172.5</v>
      </c>
      <c r="P1238" s="2">
        <v>43290</v>
      </c>
      <c r="Q1238" s="7">
        <f>$E1238-$O1238</f>
        <v>0</v>
      </c>
      <c r="R1238" s="7" t="str">
        <f ca="1">IF(TODAY() - DHMXX[INV DUE DATE]&lt;30, "Less than 30 days",IF(TODAY()-DHMXX[INV DUE DATE]&lt;60,"30-60 days","More than 60 days"))</f>
        <v>Less than 30 days</v>
      </c>
      <c r="S1238" t="s">
        <v>1550</v>
      </c>
      <c r="T1238" s="43" t="s">
        <v>2229</v>
      </c>
      <c r="U1238" t="s">
        <v>3699</v>
      </c>
    </row>
    <row r="1239" spans="1:21" x14ac:dyDescent="0.3">
      <c r="A1239" t="s">
        <v>4137</v>
      </c>
      <c r="B1239" t="s">
        <v>30</v>
      </c>
      <c r="C1239" t="s">
        <v>345</v>
      </c>
      <c r="D1239" s="15">
        <v>1</v>
      </c>
      <c r="E1239" s="7">
        <v>172.5</v>
      </c>
      <c r="H1239">
        <v>172259</v>
      </c>
      <c r="I1239" t="s">
        <v>855</v>
      </c>
      <c r="J1239" t="s">
        <v>2864</v>
      </c>
      <c r="K1239" t="s">
        <v>3</v>
      </c>
      <c r="L1239" s="2">
        <v>43252</v>
      </c>
      <c r="M1239" s="2">
        <f>DHMXX[[#This Row],[INV DOC DATE]]+30</f>
        <v>43282</v>
      </c>
      <c r="N1239" s="2">
        <v>43279</v>
      </c>
      <c r="O1239" s="7">
        <v>172.5</v>
      </c>
      <c r="P1239" s="2">
        <v>43290</v>
      </c>
      <c r="Q1239" s="7">
        <f>$E1239-$O1239</f>
        <v>0</v>
      </c>
      <c r="R1239" s="7" t="str">
        <f ca="1">IF(TODAY() - DHMXX[INV DUE DATE]&lt;30, "Less than 30 days",IF(TODAY()-DHMXX[INV DUE DATE]&lt;60,"30-60 days","More than 60 days"))</f>
        <v>Less than 30 days</v>
      </c>
      <c r="S1239" t="s">
        <v>1550</v>
      </c>
      <c r="T1239" s="43" t="s">
        <v>2229</v>
      </c>
      <c r="U1239" t="s">
        <v>3699</v>
      </c>
    </row>
    <row r="1240" spans="1:21" x14ac:dyDescent="0.3">
      <c r="A1240" t="s">
        <v>4137</v>
      </c>
      <c r="B1240" t="s">
        <v>30</v>
      </c>
      <c r="C1240" t="s">
        <v>346</v>
      </c>
      <c r="D1240" s="15">
        <v>1</v>
      </c>
      <c r="E1240" s="7">
        <v>172.5</v>
      </c>
      <c r="H1240">
        <v>172259</v>
      </c>
      <c r="I1240" t="s">
        <v>855</v>
      </c>
      <c r="J1240" t="s">
        <v>2865</v>
      </c>
      <c r="K1240" t="s">
        <v>3</v>
      </c>
      <c r="L1240" s="2">
        <v>43252</v>
      </c>
      <c r="M1240" s="2">
        <f>DHMXX[[#This Row],[INV DOC DATE]]+30</f>
        <v>43282</v>
      </c>
      <c r="N1240" s="2">
        <v>43279</v>
      </c>
      <c r="O1240" s="7">
        <v>172.5</v>
      </c>
      <c r="P1240" s="2">
        <v>43290</v>
      </c>
      <c r="Q1240" s="7">
        <f>$E1240-$O1240</f>
        <v>0</v>
      </c>
      <c r="R1240" s="7" t="str">
        <f ca="1">IF(TODAY() - DHMXX[INV DUE DATE]&lt;30, "Less than 30 days",IF(TODAY()-DHMXX[INV DUE DATE]&lt;60,"30-60 days","More than 60 days"))</f>
        <v>Less than 30 days</v>
      </c>
      <c r="S1240" t="s">
        <v>1550</v>
      </c>
      <c r="T1240" s="43" t="s">
        <v>2229</v>
      </c>
      <c r="U1240" t="s">
        <v>3699</v>
      </c>
    </row>
    <row r="1241" spans="1:21" x14ac:dyDescent="0.3">
      <c r="A1241" t="s">
        <v>4137</v>
      </c>
      <c r="B1241" t="s">
        <v>30</v>
      </c>
      <c r="C1241" t="s">
        <v>557</v>
      </c>
      <c r="D1241" s="15">
        <v>1</v>
      </c>
      <c r="E1241" s="7">
        <v>172.5</v>
      </c>
      <c r="H1241">
        <v>172259</v>
      </c>
      <c r="I1241" t="s">
        <v>855</v>
      </c>
      <c r="J1241" t="s">
        <v>2866</v>
      </c>
      <c r="K1241" t="s">
        <v>3</v>
      </c>
      <c r="L1241" s="2">
        <v>43252</v>
      </c>
      <c r="M1241" s="2">
        <f>DHMXX[[#This Row],[INV DOC DATE]]+30</f>
        <v>43282</v>
      </c>
      <c r="N1241" s="2">
        <v>43279</v>
      </c>
      <c r="O1241" s="7">
        <v>172.5</v>
      </c>
      <c r="P1241" s="2">
        <v>43290</v>
      </c>
      <c r="Q1241" s="7">
        <f>$E1241-$O1241</f>
        <v>0</v>
      </c>
      <c r="R1241" s="7" t="str">
        <f ca="1">IF(TODAY() - DHMXX[INV DUE DATE]&lt;30, "Less than 30 days",IF(TODAY()-DHMXX[INV DUE DATE]&lt;60,"30-60 days","More than 60 days"))</f>
        <v>Less than 30 days</v>
      </c>
      <c r="S1241" t="s">
        <v>1550</v>
      </c>
      <c r="T1241" s="43" t="s">
        <v>2229</v>
      </c>
      <c r="U1241" t="s">
        <v>3699</v>
      </c>
    </row>
    <row r="1242" spans="1:21" x14ac:dyDescent="0.3">
      <c r="A1242" t="s">
        <v>4137</v>
      </c>
      <c r="B1242" t="s">
        <v>30</v>
      </c>
      <c r="C1242" t="s">
        <v>558</v>
      </c>
      <c r="D1242" s="15">
        <v>1</v>
      </c>
      <c r="E1242" s="7">
        <v>172.5</v>
      </c>
      <c r="H1242">
        <v>172259</v>
      </c>
      <c r="I1242" t="s">
        <v>855</v>
      </c>
      <c r="J1242" t="s">
        <v>2867</v>
      </c>
      <c r="K1242" t="s">
        <v>3</v>
      </c>
      <c r="L1242" s="2">
        <v>43252</v>
      </c>
      <c r="M1242" s="2">
        <f>DHMXX[[#This Row],[INV DOC DATE]]+30</f>
        <v>43282</v>
      </c>
      <c r="N1242" s="2">
        <v>43279</v>
      </c>
      <c r="O1242" s="7">
        <v>172.5</v>
      </c>
      <c r="P1242" s="2">
        <v>43290</v>
      </c>
      <c r="Q1242" s="7">
        <f>$E1242-$O1242</f>
        <v>0</v>
      </c>
      <c r="R1242" s="7" t="str">
        <f ca="1">IF(TODAY() - DHMXX[INV DUE DATE]&lt;30, "Less than 30 days",IF(TODAY()-DHMXX[INV DUE DATE]&lt;60,"30-60 days","More than 60 days"))</f>
        <v>Less than 30 days</v>
      </c>
      <c r="S1242" t="s">
        <v>1550</v>
      </c>
      <c r="T1242" s="43" t="s">
        <v>2229</v>
      </c>
      <c r="U1242" t="s">
        <v>3699</v>
      </c>
    </row>
    <row r="1243" spans="1:21" x14ac:dyDescent="0.3">
      <c r="A1243" t="s">
        <v>4137</v>
      </c>
      <c r="B1243" t="s">
        <v>30</v>
      </c>
      <c r="C1243" t="s">
        <v>559</v>
      </c>
      <c r="D1243" s="15">
        <v>1</v>
      </c>
      <c r="E1243" s="7">
        <v>172.5</v>
      </c>
      <c r="H1243">
        <v>172259</v>
      </c>
      <c r="I1243" t="s">
        <v>855</v>
      </c>
      <c r="J1243" t="s">
        <v>2868</v>
      </c>
      <c r="K1243" t="s">
        <v>3</v>
      </c>
      <c r="L1243" s="2">
        <v>43252</v>
      </c>
      <c r="M1243" s="2">
        <f>DHMXX[[#This Row],[INV DOC DATE]]+30</f>
        <v>43282</v>
      </c>
      <c r="N1243" s="2">
        <v>43279</v>
      </c>
      <c r="O1243" s="7">
        <v>172.5</v>
      </c>
      <c r="P1243" s="2">
        <v>43290</v>
      </c>
      <c r="Q1243" s="7">
        <f>$E1243-$O1243</f>
        <v>0</v>
      </c>
      <c r="R1243" s="7" t="str">
        <f ca="1">IF(TODAY() - DHMXX[INV DUE DATE]&lt;30, "Less than 30 days",IF(TODAY()-DHMXX[INV DUE DATE]&lt;60,"30-60 days","More than 60 days"))</f>
        <v>Less than 30 days</v>
      </c>
      <c r="S1243" t="s">
        <v>1550</v>
      </c>
      <c r="T1243" s="43" t="s">
        <v>2229</v>
      </c>
      <c r="U1243" t="s">
        <v>3699</v>
      </c>
    </row>
    <row r="1244" spans="1:21" x14ac:dyDescent="0.3">
      <c r="A1244" t="s">
        <v>4137</v>
      </c>
      <c r="B1244" t="s">
        <v>30</v>
      </c>
      <c r="C1244" t="s">
        <v>560</v>
      </c>
      <c r="D1244" s="15">
        <v>1</v>
      </c>
      <c r="E1244" s="7">
        <v>172.5</v>
      </c>
      <c r="H1244">
        <v>172259</v>
      </c>
      <c r="I1244" t="s">
        <v>855</v>
      </c>
      <c r="J1244" t="s">
        <v>2869</v>
      </c>
      <c r="K1244" t="s">
        <v>3</v>
      </c>
      <c r="L1244" s="2">
        <v>43252</v>
      </c>
      <c r="M1244" s="2">
        <f>DHMXX[[#This Row],[INV DOC DATE]]+30</f>
        <v>43282</v>
      </c>
      <c r="N1244" s="2">
        <v>43279</v>
      </c>
      <c r="O1244" s="7">
        <v>172.5</v>
      </c>
      <c r="P1244" s="2">
        <v>43290</v>
      </c>
      <c r="Q1244" s="7">
        <f>$E1244-$O1244</f>
        <v>0</v>
      </c>
      <c r="R1244" s="7" t="str">
        <f ca="1">IF(TODAY() - DHMXX[INV DUE DATE]&lt;30, "Less than 30 days",IF(TODAY()-DHMXX[INV DUE DATE]&lt;60,"30-60 days","More than 60 days"))</f>
        <v>Less than 30 days</v>
      </c>
      <c r="S1244" t="s">
        <v>1550</v>
      </c>
      <c r="T1244" s="43" t="s">
        <v>2229</v>
      </c>
      <c r="U1244" t="s">
        <v>3699</v>
      </c>
    </row>
    <row r="1245" spans="1:21" x14ac:dyDescent="0.3">
      <c r="A1245" t="s">
        <v>4137</v>
      </c>
      <c r="B1245" t="s">
        <v>30</v>
      </c>
      <c r="C1245" t="s">
        <v>561</v>
      </c>
      <c r="D1245" s="15">
        <v>1</v>
      </c>
      <c r="E1245" s="7">
        <v>172.5</v>
      </c>
      <c r="H1245">
        <v>172259</v>
      </c>
      <c r="I1245" t="s">
        <v>855</v>
      </c>
      <c r="J1245" t="s">
        <v>2858</v>
      </c>
      <c r="K1245" t="s">
        <v>3</v>
      </c>
      <c r="L1245" s="2">
        <v>43252</v>
      </c>
      <c r="M1245" s="2">
        <f>DHMXX[[#This Row],[INV DOC DATE]]+30</f>
        <v>43282</v>
      </c>
      <c r="N1245" s="2">
        <v>43279</v>
      </c>
      <c r="O1245" s="7">
        <v>172.5</v>
      </c>
      <c r="P1245" s="2">
        <v>43290</v>
      </c>
      <c r="Q1245" s="7">
        <f>$E1245-$O1245</f>
        <v>0</v>
      </c>
      <c r="R1245" s="7" t="str">
        <f ca="1">IF(TODAY() - DHMXX[INV DUE DATE]&lt;30, "Less than 30 days",IF(TODAY()-DHMXX[INV DUE DATE]&lt;60,"30-60 days","More than 60 days"))</f>
        <v>Less than 30 days</v>
      </c>
      <c r="S1245" t="s">
        <v>1550</v>
      </c>
      <c r="T1245" s="43" t="s">
        <v>2229</v>
      </c>
      <c r="U1245" t="s">
        <v>3699</v>
      </c>
    </row>
    <row r="1246" spans="1:21" x14ac:dyDescent="0.3">
      <c r="A1246" t="s">
        <v>4137</v>
      </c>
      <c r="B1246" t="s">
        <v>30</v>
      </c>
      <c r="C1246" t="s">
        <v>562</v>
      </c>
      <c r="D1246" s="15">
        <v>1</v>
      </c>
      <c r="E1246" s="7">
        <v>172.5</v>
      </c>
      <c r="H1246">
        <v>172259</v>
      </c>
      <c r="I1246" t="s">
        <v>855</v>
      </c>
      <c r="J1246" t="s">
        <v>2879</v>
      </c>
      <c r="K1246" t="s">
        <v>3</v>
      </c>
      <c r="L1246" s="2">
        <v>43252</v>
      </c>
      <c r="M1246" s="2">
        <f>DHMXX[[#This Row],[INV DOC DATE]]+30</f>
        <v>43282</v>
      </c>
      <c r="N1246" s="2">
        <v>43279</v>
      </c>
      <c r="O1246" s="7">
        <v>172.5</v>
      </c>
      <c r="P1246" s="2">
        <v>43290</v>
      </c>
      <c r="Q1246" s="7">
        <f>$E1246-$O1246</f>
        <v>0</v>
      </c>
      <c r="R1246" s="7" t="str">
        <f ca="1">IF(TODAY() - DHMXX[INV DUE DATE]&lt;30, "Less than 30 days",IF(TODAY()-DHMXX[INV DUE DATE]&lt;60,"30-60 days","More than 60 days"))</f>
        <v>Less than 30 days</v>
      </c>
      <c r="S1246" t="s">
        <v>1550</v>
      </c>
      <c r="T1246" s="43" t="s">
        <v>2229</v>
      </c>
      <c r="U1246" t="s">
        <v>3699</v>
      </c>
    </row>
    <row r="1247" spans="1:21" x14ac:dyDescent="0.3">
      <c r="A1247" t="s">
        <v>4137</v>
      </c>
      <c r="B1247" t="s">
        <v>30</v>
      </c>
      <c r="C1247" t="s">
        <v>563</v>
      </c>
      <c r="D1247" s="15">
        <v>1</v>
      </c>
      <c r="E1247" s="7">
        <v>172.5</v>
      </c>
      <c r="H1247">
        <v>172259</v>
      </c>
      <c r="I1247" t="s">
        <v>855</v>
      </c>
      <c r="J1247" t="s">
        <v>2880</v>
      </c>
      <c r="K1247" t="s">
        <v>3</v>
      </c>
      <c r="L1247" s="2">
        <v>43252</v>
      </c>
      <c r="M1247" s="2">
        <f>DHMXX[[#This Row],[INV DOC DATE]]+30</f>
        <v>43282</v>
      </c>
      <c r="N1247" s="2">
        <v>43279</v>
      </c>
      <c r="O1247" s="7">
        <v>172.5</v>
      </c>
      <c r="P1247" s="2">
        <v>43290</v>
      </c>
      <c r="Q1247" s="7">
        <f>$E1247-$O1247</f>
        <v>0</v>
      </c>
      <c r="R1247" s="7" t="str">
        <f ca="1">IF(TODAY() - DHMXX[INV DUE DATE]&lt;30, "Less than 30 days",IF(TODAY()-DHMXX[INV DUE DATE]&lt;60,"30-60 days","More than 60 days"))</f>
        <v>Less than 30 days</v>
      </c>
      <c r="S1247" t="s">
        <v>1550</v>
      </c>
      <c r="T1247" s="43" t="s">
        <v>2229</v>
      </c>
      <c r="U1247" t="s">
        <v>3699</v>
      </c>
    </row>
    <row r="1248" spans="1:21" x14ac:dyDescent="0.3">
      <c r="A1248" t="s">
        <v>4137</v>
      </c>
      <c r="B1248" t="s">
        <v>30</v>
      </c>
      <c r="C1248" t="s">
        <v>564</v>
      </c>
      <c r="D1248" s="15">
        <v>1</v>
      </c>
      <c r="E1248" s="7">
        <v>172.5</v>
      </c>
      <c r="H1248">
        <v>172259</v>
      </c>
      <c r="I1248" t="s">
        <v>855</v>
      </c>
      <c r="J1248" t="s">
        <v>2881</v>
      </c>
      <c r="K1248" t="s">
        <v>3</v>
      </c>
      <c r="L1248" s="2">
        <v>43252</v>
      </c>
      <c r="M1248" s="2">
        <f>DHMXX[[#This Row],[INV DOC DATE]]+30</f>
        <v>43282</v>
      </c>
      <c r="N1248" s="2">
        <v>43279</v>
      </c>
      <c r="O1248" s="7">
        <v>172.5</v>
      </c>
      <c r="P1248" s="2">
        <v>43290</v>
      </c>
      <c r="Q1248" s="7">
        <f>$E1248-$O1248</f>
        <v>0</v>
      </c>
      <c r="R1248" s="7" t="str">
        <f ca="1">IF(TODAY() - DHMXX[INV DUE DATE]&lt;30, "Less than 30 days",IF(TODAY()-DHMXX[INV DUE DATE]&lt;60,"30-60 days","More than 60 days"))</f>
        <v>Less than 30 days</v>
      </c>
      <c r="S1248" t="s">
        <v>1550</v>
      </c>
      <c r="T1248" s="43" t="s">
        <v>2229</v>
      </c>
      <c r="U1248" t="s">
        <v>3699</v>
      </c>
    </row>
    <row r="1249" spans="1:21" x14ac:dyDescent="0.3">
      <c r="A1249" t="s">
        <v>4137</v>
      </c>
      <c r="B1249" t="s">
        <v>30</v>
      </c>
      <c r="C1249" t="s">
        <v>565</v>
      </c>
      <c r="D1249" s="15">
        <v>1</v>
      </c>
      <c r="E1249" s="7">
        <v>172.5</v>
      </c>
      <c r="H1249">
        <v>172259</v>
      </c>
      <c r="I1249" t="s">
        <v>855</v>
      </c>
      <c r="J1249" t="s">
        <v>2882</v>
      </c>
      <c r="K1249" t="s">
        <v>3</v>
      </c>
      <c r="L1249" s="2">
        <v>43252</v>
      </c>
      <c r="M1249" s="2">
        <f>DHMXX[[#This Row],[INV DOC DATE]]+30</f>
        <v>43282</v>
      </c>
      <c r="N1249" s="2">
        <v>43279</v>
      </c>
      <c r="O1249" s="7">
        <v>172.5</v>
      </c>
      <c r="P1249" s="2">
        <v>43290</v>
      </c>
      <c r="Q1249" s="7">
        <f>$E1249-$O1249</f>
        <v>0</v>
      </c>
      <c r="R1249" s="7" t="str">
        <f ca="1">IF(TODAY() - DHMXX[INV DUE DATE]&lt;30, "Less than 30 days",IF(TODAY()-DHMXX[INV DUE DATE]&lt;60,"30-60 days","More than 60 days"))</f>
        <v>Less than 30 days</v>
      </c>
      <c r="S1249" t="s">
        <v>1550</v>
      </c>
      <c r="T1249" s="43" t="s">
        <v>2229</v>
      </c>
      <c r="U1249" t="s">
        <v>3699</v>
      </c>
    </row>
    <row r="1250" spans="1:21" x14ac:dyDescent="0.3">
      <c r="A1250" t="s">
        <v>4137</v>
      </c>
      <c r="B1250" t="s">
        <v>30</v>
      </c>
      <c r="C1250" t="s">
        <v>566</v>
      </c>
      <c r="D1250" s="15">
        <v>1</v>
      </c>
      <c r="E1250" s="7">
        <v>172.5</v>
      </c>
      <c r="H1250">
        <v>172259</v>
      </c>
      <c r="I1250" t="s">
        <v>855</v>
      </c>
      <c r="J1250" t="s">
        <v>2883</v>
      </c>
      <c r="K1250" t="s">
        <v>3</v>
      </c>
      <c r="L1250" s="2">
        <v>43252</v>
      </c>
      <c r="M1250" s="2">
        <f>DHMXX[[#This Row],[INV DOC DATE]]+30</f>
        <v>43282</v>
      </c>
      <c r="N1250" s="2">
        <v>43279</v>
      </c>
      <c r="O1250" s="7">
        <v>172.5</v>
      </c>
      <c r="P1250" s="2">
        <v>43290</v>
      </c>
      <c r="Q1250" s="7">
        <f>$E1250-$O1250</f>
        <v>0</v>
      </c>
      <c r="R1250" s="7" t="str">
        <f ca="1">IF(TODAY() - DHMXX[INV DUE DATE]&lt;30, "Less than 30 days",IF(TODAY()-DHMXX[INV DUE DATE]&lt;60,"30-60 days","More than 60 days"))</f>
        <v>Less than 30 days</v>
      </c>
      <c r="S1250" t="s">
        <v>1550</v>
      </c>
      <c r="T1250" s="43" t="s">
        <v>2229</v>
      </c>
      <c r="U1250" t="s">
        <v>3699</v>
      </c>
    </row>
    <row r="1251" spans="1:21" x14ac:dyDescent="0.3">
      <c r="A1251" t="s">
        <v>4137</v>
      </c>
      <c r="B1251" t="s">
        <v>30</v>
      </c>
      <c r="C1251" t="s">
        <v>567</v>
      </c>
      <c r="D1251" s="15">
        <v>1</v>
      </c>
      <c r="E1251" s="7">
        <v>172.5</v>
      </c>
      <c r="H1251">
        <v>172259</v>
      </c>
      <c r="I1251" t="s">
        <v>855</v>
      </c>
      <c r="J1251" t="s">
        <v>2884</v>
      </c>
      <c r="K1251" t="s">
        <v>3</v>
      </c>
      <c r="L1251" s="2">
        <v>43252</v>
      </c>
      <c r="M1251" s="2">
        <f>DHMXX[[#This Row],[INV DOC DATE]]+30</f>
        <v>43282</v>
      </c>
      <c r="N1251" s="2">
        <v>43279</v>
      </c>
      <c r="O1251" s="7">
        <v>172.5</v>
      </c>
      <c r="P1251" s="2">
        <v>43290</v>
      </c>
      <c r="Q1251" s="7">
        <f>$E1251-$O1251</f>
        <v>0</v>
      </c>
      <c r="R1251" s="7" t="str">
        <f ca="1">IF(TODAY() - DHMXX[INV DUE DATE]&lt;30, "Less than 30 days",IF(TODAY()-DHMXX[INV DUE DATE]&lt;60,"30-60 days","More than 60 days"))</f>
        <v>Less than 30 days</v>
      </c>
      <c r="S1251" t="s">
        <v>1550</v>
      </c>
      <c r="T1251" s="43" t="s">
        <v>2229</v>
      </c>
      <c r="U1251" t="s">
        <v>3699</v>
      </c>
    </row>
    <row r="1252" spans="1:21" x14ac:dyDescent="0.3">
      <c r="A1252" t="s">
        <v>4137</v>
      </c>
      <c r="B1252" t="s">
        <v>30</v>
      </c>
      <c r="C1252" t="s">
        <v>568</v>
      </c>
      <c r="D1252" s="15">
        <v>1</v>
      </c>
      <c r="E1252" s="7">
        <v>172.5</v>
      </c>
      <c r="H1252">
        <v>172259</v>
      </c>
      <c r="I1252" t="s">
        <v>855</v>
      </c>
      <c r="J1252" t="s">
        <v>2870</v>
      </c>
      <c r="K1252" t="s">
        <v>3</v>
      </c>
      <c r="L1252" s="2">
        <v>43252</v>
      </c>
      <c r="M1252" s="2">
        <f>DHMXX[[#This Row],[INV DOC DATE]]+30</f>
        <v>43282</v>
      </c>
      <c r="N1252" s="2">
        <v>43279</v>
      </c>
      <c r="O1252" s="7">
        <v>172.5</v>
      </c>
      <c r="P1252" s="2">
        <v>43290</v>
      </c>
      <c r="Q1252" s="7">
        <f>$E1252-$O1252</f>
        <v>0</v>
      </c>
      <c r="R1252" s="7" t="str">
        <f ca="1">IF(TODAY() - DHMXX[INV DUE DATE]&lt;30, "Less than 30 days",IF(TODAY()-DHMXX[INV DUE DATE]&lt;60,"30-60 days","More than 60 days"))</f>
        <v>Less than 30 days</v>
      </c>
      <c r="S1252" t="s">
        <v>1550</v>
      </c>
      <c r="T1252" s="43" t="s">
        <v>2229</v>
      </c>
      <c r="U1252" t="s">
        <v>3699</v>
      </c>
    </row>
    <row r="1253" spans="1:21" x14ac:dyDescent="0.3">
      <c r="A1253" t="s">
        <v>4137</v>
      </c>
      <c r="B1253" t="s">
        <v>30</v>
      </c>
      <c r="C1253" t="s">
        <v>569</v>
      </c>
      <c r="D1253" s="15">
        <v>1</v>
      </c>
      <c r="E1253" s="7">
        <v>172.5</v>
      </c>
      <c r="H1253">
        <v>172259</v>
      </c>
      <c r="I1253" t="s">
        <v>855</v>
      </c>
      <c r="J1253" t="s">
        <v>2871</v>
      </c>
      <c r="K1253" t="s">
        <v>3</v>
      </c>
      <c r="L1253" s="2">
        <v>43252</v>
      </c>
      <c r="M1253" s="2">
        <f>DHMXX[[#This Row],[INV DOC DATE]]+30</f>
        <v>43282</v>
      </c>
      <c r="N1253" s="2">
        <v>43279</v>
      </c>
      <c r="O1253" s="7">
        <v>172.5</v>
      </c>
      <c r="P1253" s="2">
        <v>43290</v>
      </c>
      <c r="Q1253" s="7">
        <f>$E1253-$O1253</f>
        <v>0</v>
      </c>
      <c r="R1253" s="7" t="str">
        <f ca="1">IF(TODAY() - DHMXX[INV DUE DATE]&lt;30, "Less than 30 days",IF(TODAY()-DHMXX[INV DUE DATE]&lt;60,"30-60 days","More than 60 days"))</f>
        <v>Less than 30 days</v>
      </c>
      <c r="S1253" t="s">
        <v>1550</v>
      </c>
      <c r="T1253" s="43" t="s">
        <v>2229</v>
      </c>
      <c r="U1253" t="s">
        <v>3699</v>
      </c>
    </row>
    <row r="1254" spans="1:21" x14ac:dyDescent="0.3">
      <c r="A1254" t="s">
        <v>4137</v>
      </c>
      <c r="B1254" t="s">
        <v>30</v>
      </c>
      <c r="C1254" t="s">
        <v>570</v>
      </c>
      <c r="D1254" s="15">
        <v>1</v>
      </c>
      <c r="E1254" s="7">
        <v>172.5</v>
      </c>
      <c r="H1254">
        <v>172259</v>
      </c>
      <c r="I1254" t="s">
        <v>855</v>
      </c>
      <c r="J1254" t="s">
        <v>2872</v>
      </c>
      <c r="K1254" t="s">
        <v>3</v>
      </c>
      <c r="L1254" s="2">
        <v>43252</v>
      </c>
      <c r="M1254" s="2">
        <f>DHMXX[[#This Row],[INV DOC DATE]]+30</f>
        <v>43282</v>
      </c>
      <c r="N1254" s="2">
        <v>43279</v>
      </c>
      <c r="O1254" s="7">
        <v>172.5</v>
      </c>
      <c r="P1254" s="2">
        <v>43290</v>
      </c>
      <c r="Q1254" s="7">
        <f>$E1254-$O1254</f>
        <v>0</v>
      </c>
      <c r="R1254" s="7" t="str">
        <f ca="1">IF(TODAY() - DHMXX[INV DUE DATE]&lt;30, "Less than 30 days",IF(TODAY()-DHMXX[INV DUE DATE]&lt;60,"30-60 days","More than 60 days"))</f>
        <v>Less than 30 days</v>
      </c>
      <c r="S1254" t="s">
        <v>1550</v>
      </c>
      <c r="T1254" s="43" t="s">
        <v>2229</v>
      </c>
      <c r="U1254" t="s">
        <v>3699</v>
      </c>
    </row>
    <row r="1255" spans="1:21" x14ac:dyDescent="0.3">
      <c r="A1255" t="s">
        <v>4137</v>
      </c>
      <c r="B1255" t="s">
        <v>30</v>
      </c>
      <c r="C1255" t="s">
        <v>571</v>
      </c>
      <c r="D1255" s="15">
        <v>1</v>
      </c>
      <c r="E1255" s="7">
        <v>172.5</v>
      </c>
      <c r="H1255">
        <v>172259</v>
      </c>
      <c r="I1255" t="s">
        <v>855</v>
      </c>
      <c r="J1255" t="s">
        <v>2873</v>
      </c>
      <c r="K1255" t="s">
        <v>3</v>
      </c>
      <c r="L1255" s="2">
        <v>43252</v>
      </c>
      <c r="M1255" s="2">
        <f>DHMXX[[#This Row],[INV DOC DATE]]+30</f>
        <v>43282</v>
      </c>
      <c r="N1255" s="2">
        <v>43279</v>
      </c>
      <c r="O1255" s="7">
        <v>172.5</v>
      </c>
      <c r="P1255" s="2">
        <v>43290</v>
      </c>
      <c r="Q1255" s="7">
        <f>$E1255-$O1255</f>
        <v>0</v>
      </c>
      <c r="R1255" s="7" t="str">
        <f ca="1">IF(TODAY() - DHMXX[INV DUE DATE]&lt;30, "Less than 30 days",IF(TODAY()-DHMXX[INV DUE DATE]&lt;60,"30-60 days","More than 60 days"))</f>
        <v>Less than 30 days</v>
      </c>
      <c r="S1255" t="s">
        <v>1550</v>
      </c>
      <c r="T1255" s="43" t="s">
        <v>2229</v>
      </c>
      <c r="U1255" t="s">
        <v>3699</v>
      </c>
    </row>
    <row r="1256" spans="1:21" x14ac:dyDescent="0.3">
      <c r="A1256" t="s">
        <v>4137</v>
      </c>
      <c r="B1256" t="s">
        <v>30</v>
      </c>
      <c r="C1256" t="s">
        <v>572</v>
      </c>
      <c r="D1256" s="15">
        <v>1</v>
      </c>
      <c r="E1256" s="7">
        <v>172.5</v>
      </c>
      <c r="H1256">
        <v>172259</v>
      </c>
      <c r="I1256" t="s">
        <v>855</v>
      </c>
      <c r="J1256" t="s">
        <v>2874</v>
      </c>
      <c r="K1256" t="s">
        <v>3</v>
      </c>
      <c r="L1256" s="2">
        <v>43252</v>
      </c>
      <c r="M1256" s="2">
        <f>DHMXX[[#This Row],[INV DOC DATE]]+30</f>
        <v>43282</v>
      </c>
      <c r="N1256" s="2">
        <v>43279</v>
      </c>
      <c r="O1256" s="7">
        <v>172.5</v>
      </c>
      <c r="P1256" s="2">
        <v>43290</v>
      </c>
      <c r="Q1256" s="7">
        <f>$E1256-$O1256</f>
        <v>0</v>
      </c>
      <c r="R1256" s="7" t="str">
        <f ca="1">IF(TODAY() - DHMXX[INV DUE DATE]&lt;30, "Less than 30 days",IF(TODAY()-DHMXX[INV DUE DATE]&lt;60,"30-60 days","More than 60 days"))</f>
        <v>Less than 30 days</v>
      </c>
      <c r="S1256" t="s">
        <v>1550</v>
      </c>
      <c r="T1256" s="43" t="s">
        <v>2229</v>
      </c>
      <c r="U1256" t="s">
        <v>3699</v>
      </c>
    </row>
    <row r="1257" spans="1:21" x14ac:dyDescent="0.3">
      <c r="A1257" t="s">
        <v>4137</v>
      </c>
      <c r="B1257" t="s">
        <v>30</v>
      </c>
      <c r="C1257" t="s">
        <v>573</v>
      </c>
      <c r="D1257" s="15">
        <v>1</v>
      </c>
      <c r="E1257" s="7">
        <v>172.5</v>
      </c>
      <c r="H1257">
        <v>172259</v>
      </c>
      <c r="I1257" t="s">
        <v>855</v>
      </c>
      <c r="J1257" t="s">
        <v>2828</v>
      </c>
      <c r="K1257" t="s">
        <v>3</v>
      </c>
      <c r="L1257" s="2">
        <v>43252</v>
      </c>
      <c r="M1257" s="2">
        <f>DHMXX[[#This Row],[INV DOC DATE]]+30</f>
        <v>43282</v>
      </c>
      <c r="N1257" s="2">
        <v>43279</v>
      </c>
      <c r="O1257" s="7">
        <v>172.5</v>
      </c>
      <c r="P1257" s="2">
        <v>43290</v>
      </c>
      <c r="Q1257" s="7">
        <f>$E1257-$O1257</f>
        <v>0</v>
      </c>
      <c r="R1257" s="7" t="str">
        <f ca="1">IF(TODAY() - DHMXX[INV DUE DATE]&lt;30, "Less than 30 days",IF(TODAY()-DHMXX[INV DUE DATE]&lt;60,"30-60 days","More than 60 days"))</f>
        <v>Less than 30 days</v>
      </c>
      <c r="S1257" t="s">
        <v>1550</v>
      </c>
      <c r="T1257" s="43" t="s">
        <v>2229</v>
      </c>
      <c r="U1257" t="s">
        <v>3699</v>
      </c>
    </row>
    <row r="1258" spans="1:21" x14ac:dyDescent="0.3">
      <c r="A1258" t="s">
        <v>4137</v>
      </c>
      <c r="B1258" t="s">
        <v>30</v>
      </c>
      <c r="C1258" t="s">
        <v>574</v>
      </c>
      <c r="D1258" s="15">
        <v>1</v>
      </c>
      <c r="E1258" s="7">
        <v>172.5</v>
      </c>
      <c r="H1258">
        <v>172259</v>
      </c>
      <c r="I1258" t="s">
        <v>855</v>
      </c>
      <c r="J1258" t="s">
        <v>2829</v>
      </c>
      <c r="K1258" t="s">
        <v>3</v>
      </c>
      <c r="L1258" s="2">
        <v>43252</v>
      </c>
      <c r="M1258" s="2">
        <f>DHMXX[[#This Row],[INV DOC DATE]]+30</f>
        <v>43282</v>
      </c>
      <c r="N1258" s="2">
        <v>43279</v>
      </c>
      <c r="O1258" s="7">
        <v>172.5</v>
      </c>
      <c r="P1258" s="2">
        <v>43290</v>
      </c>
      <c r="Q1258" s="7">
        <f>$E1258-$O1258</f>
        <v>0</v>
      </c>
      <c r="R1258" s="7" t="str">
        <f ca="1">IF(TODAY() - DHMXX[INV DUE DATE]&lt;30, "Less than 30 days",IF(TODAY()-DHMXX[INV DUE DATE]&lt;60,"30-60 days","More than 60 days"))</f>
        <v>Less than 30 days</v>
      </c>
      <c r="S1258" t="s">
        <v>1550</v>
      </c>
      <c r="T1258" s="43" t="s">
        <v>2229</v>
      </c>
      <c r="U1258" t="s">
        <v>3699</v>
      </c>
    </row>
    <row r="1259" spans="1:21" x14ac:dyDescent="0.3">
      <c r="A1259" t="s">
        <v>4137</v>
      </c>
      <c r="B1259" t="s">
        <v>30</v>
      </c>
      <c r="C1259" t="s">
        <v>575</v>
      </c>
      <c r="D1259" s="15">
        <v>1</v>
      </c>
      <c r="E1259" s="7">
        <v>172.5</v>
      </c>
      <c r="H1259">
        <v>172259</v>
      </c>
      <c r="I1259" t="s">
        <v>855</v>
      </c>
      <c r="J1259" t="s">
        <v>2830</v>
      </c>
      <c r="K1259" t="s">
        <v>3</v>
      </c>
      <c r="L1259" s="2">
        <v>43252</v>
      </c>
      <c r="M1259" s="2">
        <f>DHMXX[[#This Row],[INV DOC DATE]]+30</f>
        <v>43282</v>
      </c>
      <c r="N1259" s="2">
        <v>43279</v>
      </c>
      <c r="O1259" s="7">
        <v>172.5</v>
      </c>
      <c r="P1259" s="2">
        <v>43290</v>
      </c>
      <c r="Q1259" s="7">
        <f>$E1259-$O1259</f>
        <v>0</v>
      </c>
      <c r="R1259" s="7" t="str">
        <f ca="1">IF(TODAY() - DHMXX[INV DUE DATE]&lt;30, "Less than 30 days",IF(TODAY()-DHMXX[INV DUE DATE]&lt;60,"30-60 days","More than 60 days"))</f>
        <v>Less than 30 days</v>
      </c>
      <c r="S1259" t="s">
        <v>1550</v>
      </c>
      <c r="T1259" s="43" t="s">
        <v>2229</v>
      </c>
      <c r="U1259" t="s">
        <v>3699</v>
      </c>
    </row>
    <row r="1260" spans="1:21" x14ac:dyDescent="0.3">
      <c r="A1260" t="s">
        <v>4137</v>
      </c>
      <c r="B1260" t="s">
        <v>30</v>
      </c>
      <c r="C1260" t="s">
        <v>576</v>
      </c>
      <c r="D1260" s="15">
        <v>1</v>
      </c>
      <c r="E1260" s="7">
        <v>172.5</v>
      </c>
      <c r="H1260">
        <v>172259</v>
      </c>
      <c r="I1260" t="s">
        <v>855</v>
      </c>
      <c r="J1260" t="s">
        <v>2831</v>
      </c>
      <c r="K1260" t="s">
        <v>3</v>
      </c>
      <c r="L1260" s="2">
        <v>43252</v>
      </c>
      <c r="M1260" s="2">
        <f>DHMXX[[#This Row],[INV DOC DATE]]+30</f>
        <v>43282</v>
      </c>
      <c r="N1260" s="2">
        <v>43279</v>
      </c>
      <c r="O1260" s="7">
        <v>172.5</v>
      </c>
      <c r="P1260" s="2">
        <v>43290</v>
      </c>
      <c r="Q1260" s="7">
        <f>$E1260-$O1260</f>
        <v>0</v>
      </c>
      <c r="R1260" s="7" t="str">
        <f ca="1">IF(TODAY() - DHMXX[INV DUE DATE]&lt;30, "Less than 30 days",IF(TODAY()-DHMXX[INV DUE DATE]&lt;60,"30-60 days","More than 60 days"))</f>
        <v>Less than 30 days</v>
      </c>
      <c r="S1260" t="s">
        <v>1550</v>
      </c>
      <c r="T1260" s="43" t="s">
        <v>2229</v>
      </c>
      <c r="U1260" t="s">
        <v>3699</v>
      </c>
    </row>
    <row r="1261" spans="1:21" x14ac:dyDescent="0.3">
      <c r="A1261" t="s">
        <v>4137</v>
      </c>
      <c r="B1261" t="s">
        <v>30</v>
      </c>
      <c r="C1261" t="s">
        <v>577</v>
      </c>
      <c r="D1261" s="15">
        <v>1</v>
      </c>
      <c r="E1261" s="7">
        <v>172.5</v>
      </c>
      <c r="H1261">
        <v>172259</v>
      </c>
      <c r="I1261" t="s">
        <v>855</v>
      </c>
      <c r="J1261" t="s">
        <v>2832</v>
      </c>
      <c r="K1261" t="s">
        <v>3</v>
      </c>
      <c r="L1261" s="2">
        <v>43252</v>
      </c>
      <c r="M1261" s="2">
        <f>DHMXX[[#This Row],[INV DOC DATE]]+30</f>
        <v>43282</v>
      </c>
      <c r="N1261" s="2">
        <v>43279</v>
      </c>
      <c r="O1261" s="7">
        <v>172.5</v>
      </c>
      <c r="P1261" s="2">
        <v>43290</v>
      </c>
      <c r="Q1261" s="7">
        <f>$E1261-$O1261</f>
        <v>0</v>
      </c>
      <c r="R1261" s="7" t="str">
        <f ca="1">IF(TODAY() - DHMXX[INV DUE DATE]&lt;30, "Less than 30 days",IF(TODAY()-DHMXX[INV DUE DATE]&lt;60,"30-60 days","More than 60 days"))</f>
        <v>Less than 30 days</v>
      </c>
      <c r="S1261" t="s">
        <v>1550</v>
      </c>
      <c r="T1261" s="43" t="s">
        <v>2229</v>
      </c>
      <c r="U1261" t="s">
        <v>3699</v>
      </c>
    </row>
    <row r="1262" spans="1:21" x14ac:dyDescent="0.3">
      <c r="A1262" t="s">
        <v>4137</v>
      </c>
      <c r="B1262" t="s">
        <v>30</v>
      </c>
      <c r="C1262" t="s">
        <v>578</v>
      </c>
      <c r="D1262" s="15">
        <v>1</v>
      </c>
      <c r="E1262" s="7">
        <v>172.5</v>
      </c>
      <c r="H1262">
        <v>172259</v>
      </c>
      <c r="I1262" t="s">
        <v>855</v>
      </c>
      <c r="J1262" t="s">
        <v>2833</v>
      </c>
      <c r="K1262" t="s">
        <v>3</v>
      </c>
      <c r="L1262" s="2">
        <v>43252</v>
      </c>
      <c r="M1262" s="2">
        <f>DHMXX[[#This Row],[INV DOC DATE]]+30</f>
        <v>43282</v>
      </c>
      <c r="N1262" s="2">
        <v>43279</v>
      </c>
      <c r="O1262" s="7">
        <v>172.5</v>
      </c>
      <c r="P1262" s="2">
        <v>43290</v>
      </c>
      <c r="Q1262" s="7">
        <f>$E1262-$O1262</f>
        <v>0</v>
      </c>
      <c r="R1262" s="7" t="str">
        <f ca="1">IF(TODAY() - DHMXX[INV DUE DATE]&lt;30, "Less than 30 days",IF(TODAY()-DHMXX[INV DUE DATE]&lt;60,"30-60 days","More than 60 days"))</f>
        <v>Less than 30 days</v>
      </c>
      <c r="S1262" t="s">
        <v>1550</v>
      </c>
      <c r="T1262" s="43" t="s">
        <v>2229</v>
      </c>
      <c r="U1262" t="s">
        <v>3699</v>
      </c>
    </row>
    <row r="1263" spans="1:21" x14ac:dyDescent="0.3">
      <c r="A1263" t="s">
        <v>4137</v>
      </c>
      <c r="B1263" t="s">
        <v>30</v>
      </c>
      <c r="C1263" t="s">
        <v>579</v>
      </c>
      <c r="D1263" s="15">
        <v>1</v>
      </c>
      <c r="E1263" s="7">
        <v>172.5</v>
      </c>
      <c r="H1263">
        <v>172259</v>
      </c>
      <c r="I1263" t="s">
        <v>855</v>
      </c>
      <c r="J1263" t="s">
        <v>2834</v>
      </c>
      <c r="K1263" t="s">
        <v>3</v>
      </c>
      <c r="L1263" s="2">
        <v>43252</v>
      </c>
      <c r="M1263" s="2">
        <f>DHMXX[[#This Row],[INV DOC DATE]]+30</f>
        <v>43282</v>
      </c>
      <c r="N1263" s="2">
        <v>43279</v>
      </c>
      <c r="O1263" s="7">
        <v>172.5</v>
      </c>
      <c r="P1263" s="2">
        <v>43290</v>
      </c>
      <c r="Q1263" s="7">
        <f>$E1263-$O1263</f>
        <v>0</v>
      </c>
      <c r="R1263" s="7" t="str">
        <f ca="1">IF(TODAY() - DHMXX[INV DUE DATE]&lt;30, "Less than 30 days",IF(TODAY()-DHMXX[INV DUE DATE]&lt;60,"30-60 days","More than 60 days"))</f>
        <v>Less than 30 days</v>
      </c>
      <c r="S1263" t="s">
        <v>1550</v>
      </c>
      <c r="T1263" s="43" t="s">
        <v>2229</v>
      </c>
      <c r="U1263" t="s">
        <v>3699</v>
      </c>
    </row>
    <row r="1264" spans="1:21" x14ac:dyDescent="0.3">
      <c r="A1264" t="s">
        <v>4137</v>
      </c>
      <c r="B1264" t="s">
        <v>30</v>
      </c>
      <c r="C1264" t="s">
        <v>580</v>
      </c>
      <c r="D1264" s="15">
        <v>1</v>
      </c>
      <c r="E1264" s="7">
        <v>172.5</v>
      </c>
      <c r="H1264">
        <v>172259</v>
      </c>
      <c r="I1264" t="s">
        <v>855</v>
      </c>
      <c r="J1264" t="s">
        <v>2836</v>
      </c>
      <c r="K1264" t="s">
        <v>3</v>
      </c>
      <c r="L1264" s="2">
        <v>43252</v>
      </c>
      <c r="M1264" s="2">
        <f>DHMXX[[#This Row],[INV DOC DATE]]+30</f>
        <v>43282</v>
      </c>
      <c r="N1264" s="2">
        <v>43279</v>
      </c>
      <c r="O1264" s="7">
        <v>172.5</v>
      </c>
      <c r="P1264" s="2">
        <v>43290</v>
      </c>
      <c r="Q1264" s="7">
        <f>$E1264-$O1264</f>
        <v>0</v>
      </c>
      <c r="R1264" s="7" t="str">
        <f ca="1">IF(TODAY() - DHMXX[INV DUE DATE]&lt;30, "Less than 30 days",IF(TODAY()-DHMXX[INV DUE DATE]&lt;60,"30-60 days","More than 60 days"))</f>
        <v>Less than 30 days</v>
      </c>
      <c r="S1264" t="s">
        <v>1550</v>
      </c>
      <c r="T1264" s="43" t="s">
        <v>2229</v>
      </c>
      <c r="U1264" t="s">
        <v>3699</v>
      </c>
    </row>
    <row r="1265" spans="1:21" x14ac:dyDescent="0.3">
      <c r="A1265" t="s">
        <v>4137</v>
      </c>
      <c r="B1265" t="s">
        <v>30</v>
      </c>
      <c r="C1265" t="s">
        <v>581</v>
      </c>
      <c r="D1265" s="15">
        <v>1</v>
      </c>
      <c r="E1265" s="7">
        <v>172.5</v>
      </c>
      <c r="H1265">
        <v>172259</v>
      </c>
      <c r="I1265" t="s">
        <v>855</v>
      </c>
      <c r="J1265" t="s">
        <v>2837</v>
      </c>
      <c r="K1265" t="s">
        <v>3</v>
      </c>
      <c r="L1265" s="2">
        <v>43252</v>
      </c>
      <c r="M1265" s="2">
        <f>DHMXX[[#This Row],[INV DOC DATE]]+30</f>
        <v>43282</v>
      </c>
      <c r="N1265" s="2">
        <v>43279</v>
      </c>
      <c r="O1265" s="7">
        <v>172.5</v>
      </c>
      <c r="P1265" s="2">
        <v>43290</v>
      </c>
      <c r="Q1265" s="7">
        <f>$E1265-$O1265</f>
        <v>0</v>
      </c>
      <c r="R1265" s="7" t="str">
        <f ca="1">IF(TODAY() - DHMXX[INV DUE DATE]&lt;30, "Less than 30 days",IF(TODAY()-DHMXX[INV DUE DATE]&lt;60,"30-60 days","More than 60 days"))</f>
        <v>Less than 30 days</v>
      </c>
      <c r="S1265" t="s">
        <v>1550</v>
      </c>
      <c r="T1265" s="43" t="s">
        <v>2229</v>
      </c>
      <c r="U1265" t="s">
        <v>3699</v>
      </c>
    </row>
    <row r="1266" spans="1:21" x14ac:dyDescent="0.3">
      <c r="A1266" t="s">
        <v>4137</v>
      </c>
      <c r="B1266" t="s">
        <v>30</v>
      </c>
      <c r="C1266" t="s">
        <v>582</v>
      </c>
      <c r="D1266" s="15">
        <v>1</v>
      </c>
      <c r="E1266" s="7">
        <v>172.5</v>
      </c>
      <c r="H1266">
        <v>172259</v>
      </c>
      <c r="I1266" t="s">
        <v>855</v>
      </c>
      <c r="J1266" t="s">
        <v>2838</v>
      </c>
      <c r="K1266" t="s">
        <v>3</v>
      </c>
      <c r="L1266" s="2">
        <v>43252</v>
      </c>
      <c r="M1266" s="2">
        <f>DHMXX[[#This Row],[INV DOC DATE]]+30</f>
        <v>43282</v>
      </c>
      <c r="N1266" s="2">
        <v>43279</v>
      </c>
      <c r="O1266" s="7">
        <v>172.5</v>
      </c>
      <c r="P1266" s="2">
        <v>43290</v>
      </c>
      <c r="Q1266" s="7">
        <f>$E1266-$O1266</f>
        <v>0</v>
      </c>
      <c r="R1266" s="7" t="str">
        <f ca="1">IF(TODAY() - DHMXX[INV DUE DATE]&lt;30, "Less than 30 days",IF(TODAY()-DHMXX[INV DUE DATE]&lt;60,"30-60 days","More than 60 days"))</f>
        <v>Less than 30 days</v>
      </c>
      <c r="S1266" t="s">
        <v>1550</v>
      </c>
      <c r="T1266" s="43" t="s">
        <v>2229</v>
      </c>
      <c r="U1266" t="s">
        <v>3699</v>
      </c>
    </row>
    <row r="1267" spans="1:21" x14ac:dyDescent="0.3">
      <c r="A1267" t="s">
        <v>4137</v>
      </c>
      <c r="B1267" t="s">
        <v>30</v>
      </c>
      <c r="C1267" t="s">
        <v>583</v>
      </c>
      <c r="D1267" s="15">
        <v>1</v>
      </c>
      <c r="E1267" s="7">
        <v>172.5</v>
      </c>
      <c r="H1267">
        <v>172259</v>
      </c>
      <c r="I1267" t="s">
        <v>855</v>
      </c>
      <c r="J1267" t="s">
        <v>2839</v>
      </c>
      <c r="K1267" t="s">
        <v>3</v>
      </c>
      <c r="L1267" s="2">
        <v>43252</v>
      </c>
      <c r="M1267" s="2">
        <f>DHMXX[[#This Row],[INV DOC DATE]]+30</f>
        <v>43282</v>
      </c>
      <c r="N1267" s="2">
        <v>43279</v>
      </c>
      <c r="O1267" s="7">
        <v>172.5</v>
      </c>
      <c r="P1267" s="2">
        <v>43290</v>
      </c>
      <c r="Q1267" s="7">
        <f>$E1267-$O1267</f>
        <v>0</v>
      </c>
      <c r="R1267" s="7" t="str">
        <f ca="1">IF(TODAY() - DHMXX[INV DUE DATE]&lt;30, "Less than 30 days",IF(TODAY()-DHMXX[INV DUE DATE]&lt;60,"30-60 days","More than 60 days"))</f>
        <v>Less than 30 days</v>
      </c>
      <c r="S1267" t="s">
        <v>1550</v>
      </c>
      <c r="T1267" s="43" t="s">
        <v>2229</v>
      </c>
      <c r="U1267" t="s">
        <v>3699</v>
      </c>
    </row>
    <row r="1268" spans="1:21" x14ac:dyDescent="0.3">
      <c r="A1268" t="s">
        <v>4137</v>
      </c>
      <c r="B1268" t="s">
        <v>30</v>
      </c>
      <c r="C1268" t="s">
        <v>584</v>
      </c>
      <c r="D1268" s="15">
        <v>1</v>
      </c>
      <c r="E1268" s="7">
        <v>172.5</v>
      </c>
      <c r="H1268">
        <v>172259</v>
      </c>
      <c r="I1268" t="s">
        <v>855</v>
      </c>
      <c r="J1268" t="s">
        <v>2840</v>
      </c>
      <c r="K1268" t="s">
        <v>3</v>
      </c>
      <c r="L1268" s="2">
        <v>43252</v>
      </c>
      <c r="M1268" s="2">
        <f>DHMXX[[#This Row],[INV DOC DATE]]+30</f>
        <v>43282</v>
      </c>
      <c r="N1268" s="2">
        <v>43279</v>
      </c>
      <c r="O1268" s="7">
        <v>172.5</v>
      </c>
      <c r="P1268" s="2">
        <v>43290</v>
      </c>
      <c r="Q1268" s="7">
        <f>$E1268-$O1268</f>
        <v>0</v>
      </c>
      <c r="R1268" s="7" t="str">
        <f ca="1">IF(TODAY() - DHMXX[INV DUE DATE]&lt;30, "Less than 30 days",IF(TODAY()-DHMXX[INV DUE DATE]&lt;60,"30-60 days","More than 60 days"))</f>
        <v>Less than 30 days</v>
      </c>
      <c r="S1268" t="s">
        <v>1550</v>
      </c>
      <c r="T1268" s="43" t="s">
        <v>2229</v>
      </c>
      <c r="U1268" t="s">
        <v>3699</v>
      </c>
    </row>
    <row r="1269" spans="1:21" x14ac:dyDescent="0.3">
      <c r="A1269" t="s">
        <v>4137</v>
      </c>
      <c r="B1269" t="s">
        <v>30</v>
      </c>
      <c r="C1269" t="s">
        <v>585</v>
      </c>
      <c r="D1269" s="15">
        <v>1</v>
      </c>
      <c r="E1269" s="7">
        <v>172.5</v>
      </c>
      <c r="H1269">
        <v>172259</v>
      </c>
      <c r="I1269" t="s">
        <v>855</v>
      </c>
      <c r="J1269" t="s">
        <v>2841</v>
      </c>
      <c r="K1269" t="s">
        <v>3</v>
      </c>
      <c r="L1269" s="2">
        <v>43252</v>
      </c>
      <c r="M1269" s="2">
        <f>DHMXX[[#This Row],[INV DOC DATE]]+30</f>
        <v>43282</v>
      </c>
      <c r="N1269" s="2">
        <v>43279</v>
      </c>
      <c r="O1269" s="7">
        <v>172.5</v>
      </c>
      <c r="P1269" s="2">
        <v>43290</v>
      </c>
      <c r="Q1269" s="7">
        <f>$E1269-$O1269</f>
        <v>0</v>
      </c>
      <c r="R1269" s="7" t="str">
        <f ca="1">IF(TODAY() - DHMXX[INV DUE DATE]&lt;30, "Less than 30 days",IF(TODAY()-DHMXX[INV DUE DATE]&lt;60,"30-60 days","More than 60 days"))</f>
        <v>Less than 30 days</v>
      </c>
      <c r="S1269" t="s">
        <v>1550</v>
      </c>
      <c r="T1269" s="43" t="s">
        <v>2229</v>
      </c>
      <c r="U1269" t="s">
        <v>3699</v>
      </c>
    </row>
    <row r="1270" spans="1:21" x14ac:dyDescent="0.3">
      <c r="A1270" t="s">
        <v>4137</v>
      </c>
      <c r="B1270" t="s">
        <v>30</v>
      </c>
      <c r="C1270" t="s">
        <v>586</v>
      </c>
      <c r="D1270" s="15">
        <v>1</v>
      </c>
      <c r="E1270" s="7">
        <v>172.5</v>
      </c>
      <c r="H1270">
        <v>172259</v>
      </c>
      <c r="I1270" t="s">
        <v>855</v>
      </c>
      <c r="J1270" t="s">
        <v>2842</v>
      </c>
      <c r="K1270" t="s">
        <v>3</v>
      </c>
      <c r="L1270" s="2">
        <v>43252</v>
      </c>
      <c r="M1270" s="2">
        <f>DHMXX[[#This Row],[INV DOC DATE]]+30</f>
        <v>43282</v>
      </c>
      <c r="N1270" s="2">
        <v>43279</v>
      </c>
      <c r="O1270" s="7">
        <v>172.5</v>
      </c>
      <c r="P1270" s="2">
        <v>43290</v>
      </c>
      <c r="Q1270" s="7">
        <f>$E1270-$O1270</f>
        <v>0</v>
      </c>
      <c r="R1270" s="7" t="str">
        <f ca="1">IF(TODAY() - DHMXX[INV DUE DATE]&lt;30, "Less than 30 days",IF(TODAY()-DHMXX[INV DUE DATE]&lt;60,"30-60 days","More than 60 days"))</f>
        <v>Less than 30 days</v>
      </c>
      <c r="S1270" t="s">
        <v>1550</v>
      </c>
      <c r="T1270" s="43" t="s">
        <v>2229</v>
      </c>
      <c r="U1270" t="s">
        <v>3699</v>
      </c>
    </row>
    <row r="1271" spans="1:21" x14ac:dyDescent="0.3">
      <c r="A1271" t="s">
        <v>4137</v>
      </c>
      <c r="B1271" t="s">
        <v>30</v>
      </c>
      <c r="C1271" t="s">
        <v>587</v>
      </c>
      <c r="D1271" s="15">
        <v>1</v>
      </c>
      <c r="E1271" s="7">
        <v>172.5</v>
      </c>
      <c r="H1271">
        <v>172259</v>
      </c>
      <c r="I1271" t="s">
        <v>855</v>
      </c>
      <c r="J1271" t="s">
        <v>2843</v>
      </c>
      <c r="K1271" t="s">
        <v>3</v>
      </c>
      <c r="L1271" s="2">
        <v>43252</v>
      </c>
      <c r="M1271" s="2">
        <f>DHMXX[[#This Row],[INV DOC DATE]]+30</f>
        <v>43282</v>
      </c>
      <c r="N1271" s="2">
        <v>43279</v>
      </c>
      <c r="O1271" s="7">
        <v>172.5</v>
      </c>
      <c r="P1271" s="2">
        <v>43290</v>
      </c>
      <c r="Q1271" s="7">
        <f>$E1271-$O1271</f>
        <v>0</v>
      </c>
      <c r="R1271" s="7" t="str">
        <f ca="1">IF(TODAY() - DHMXX[INV DUE DATE]&lt;30, "Less than 30 days",IF(TODAY()-DHMXX[INV DUE DATE]&lt;60,"30-60 days","More than 60 days"))</f>
        <v>Less than 30 days</v>
      </c>
      <c r="S1271" t="s">
        <v>1550</v>
      </c>
      <c r="T1271" s="43" t="s">
        <v>2229</v>
      </c>
      <c r="U1271" t="s">
        <v>3699</v>
      </c>
    </row>
    <row r="1272" spans="1:21" x14ac:dyDescent="0.3">
      <c r="A1272" t="s">
        <v>4137</v>
      </c>
      <c r="B1272" t="s">
        <v>30</v>
      </c>
      <c r="C1272" t="s">
        <v>588</v>
      </c>
      <c r="D1272" s="15">
        <v>1</v>
      </c>
      <c r="E1272" s="7">
        <v>172.5</v>
      </c>
      <c r="H1272">
        <v>172259</v>
      </c>
      <c r="I1272" t="s">
        <v>855</v>
      </c>
      <c r="J1272" t="s">
        <v>2844</v>
      </c>
      <c r="K1272" t="s">
        <v>3</v>
      </c>
      <c r="L1272" s="2">
        <v>43252</v>
      </c>
      <c r="M1272" s="2">
        <f>DHMXX[[#This Row],[INV DOC DATE]]+30</f>
        <v>43282</v>
      </c>
      <c r="N1272" s="2">
        <v>43279</v>
      </c>
      <c r="O1272" s="7">
        <v>172.5</v>
      </c>
      <c r="P1272" s="2">
        <v>43290</v>
      </c>
      <c r="Q1272" s="7">
        <f>$E1272-$O1272</f>
        <v>0</v>
      </c>
      <c r="R1272" s="7" t="str">
        <f ca="1">IF(TODAY() - DHMXX[INV DUE DATE]&lt;30, "Less than 30 days",IF(TODAY()-DHMXX[INV DUE DATE]&lt;60,"30-60 days","More than 60 days"))</f>
        <v>Less than 30 days</v>
      </c>
      <c r="S1272" t="s">
        <v>1550</v>
      </c>
      <c r="T1272" s="43" t="s">
        <v>2229</v>
      </c>
      <c r="U1272" t="s">
        <v>3699</v>
      </c>
    </row>
    <row r="1273" spans="1:21" x14ac:dyDescent="0.3">
      <c r="A1273" t="s">
        <v>4137</v>
      </c>
      <c r="B1273" t="s">
        <v>30</v>
      </c>
      <c r="C1273" t="s">
        <v>589</v>
      </c>
      <c r="D1273" s="15">
        <v>1</v>
      </c>
      <c r="E1273" s="7">
        <v>172.5</v>
      </c>
      <c r="H1273">
        <v>172259</v>
      </c>
      <c r="I1273" t="s">
        <v>855</v>
      </c>
      <c r="J1273" t="s">
        <v>2845</v>
      </c>
      <c r="K1273" t="s">
        <v>3</v>
      </c>
      <c r="L1273" s="2">
        <v>43252</v>
      </c>
      <c r="M1273" s="2">
        <f>DHMXX[[#This Row],[INV DOC DATE]]+30</f>
        <v>43282</v>
      </c>
      <c r="N1273" s="2">
        <v>43279</v>
      </c>
      <c r="O1273" s="7">
        <v>172.5</v>
      </c>
      <c r="P1273" s="2">
        <v>43290</v>
      </c>
      <c r="Q1273" s="7">
        <f>$E1273-$O1273</f>
        <v>0</v>
      </c>
      <c r="R1273" s="7" t="str">
        <f ca="1">IF(TODAY() - DHMXX[INV DUE DATE]&lt;30, "Less than 30 days",IF(TODAY()-DHMXX[INV DUE DATE]&lt;60,"30-60 days","More than 60 days"))</f>
        <v>Less than 30 days</v>
      </c>
      <c r="S1273" t="s">
        <v>1550</v>
      </c>
      <c r="T1273" s="43" t="s">
        <v>2229</v>
      </c>
      <c r="U1273" t="s">
        <v>3699</v>
      </c>
    </row>
    <row r="1274" spans="1:21" x14ac:dyDescent="0.3">
      <c r="A1274" t="s">
        <v>4137</v>
      </c>
      <c r="B1274" t="s">
        <v>30</v>
      </c>
      <c r="C1274" t="s">
        <v>1321</v>
      </c>
      <c r="D1274" s="15">
        <v>1</v>
      </c>
      <c r="E1274" s="7">
        <v>172.5</v>
      </c>
      <c r="H1274">
        <v>172259</v>
      </c>
      <c r="I1274" t="s">
        <v>855</v>
      </c>
      <c r="J1274" t="s">
        <v>2846</v>
      </c>
      <c r="K1274" t="s">
        <v>3</v>
      </c>
      <c r="L1274" s="2">
        <v>43252</v>
      </c>
      <c r="M1274" s="2">
        <f>DHMXX[[#This Row],[INV DOC DATE]]+30</f>
        <v>43282</v>
      </c>
      <c r="N1274" s="2">
        <v>43279</v>
      </c>
      <c r="O1274" s="7">
        <v>172.5</v>
      </c>
      <c r="P1274" s="2">
        <v>43290</v>
      </c>
      <c r="Q1274" s="7">
        <f>$E1274-$O1274</f>
        <v>0</v>
      </c>
      <c r="R1274" s="7" t="str">
        <f ca="1">IF(TODAY() - DHMXX[INV DUE DATE]&lt;30, "Less than 30 days",IF(TODAY()-DHMXX[INV DUE DATE]&lt;60,"30-60 days","More than 60 days"))</f>
        <v>Less than 30 days</v>
      </c>
      <c r="S1274" t="s">
        <v>1550</v>
      </c>
      <c r="T1274" s="43" t="s">
        <v>2229</v>
      </c>
      <c r="U1274" t="s">
        <v>3699</v>
      </c>
    </row>
    <row r="1275" spans="1:21" x14ac:dyDescent="0.3">
      <c r="A1275" t="s">
        <v>4137</v>
      </c>
      <c r="B1275" t="s">
        <v>30</v>
      </c>
      <c r="C1275" t="s">
        <v>1322</v>
      </c>
      <c r="D1275" s="15">
        <v>1</v>
      </c>
      <c r="E1275" s="7">
        <v>172.5</v>
      </c>
      <c r="H1275">
        <v>172259</v>
      </c>
      <c r="I1275" t="s">
        <v>855</v>
      </c>
      <c r="J1275" t="s">
        <v>2847</v>
      </c>
      <c r="K1275" t="s">
        <v>3</v>
      </c>
      <c r="L1275" s="2">
        <v>43252</v>
      </c>
      <c r="M1275" s="2">
        <f>DHMXX[[#This Row],[INV DOC DATE]]+30</f>
        <v>43282</v>
      </c>
      <c r="N1275" s="2">
        <v>43279</v>
      </c>
      <c r="O1275" s="7">
        <v>172.5</v>
      </c>
      <c r="P1275" s="2">
        <v>43290</v>
      </c>
      <c r="Q1275" s="7">
        <f>$E1275-$O1275</f>
        <v>0</v>
      </c>
      <c r="R1275" s="7" t="str">
        <f ca="1">IF(TODAY() - DHMXX[INV DUE DATE]&lt;30, "Less than 30 days",IF(TODAY()-DHMXX[INV DUE DATE]&lt;60,"30-60 days","More than 60 days"))</f>
        <v>Less than 30 days</v>
      </c>
      <c r="S1275" t="s">
        <v>1550</v>
      </c>
      <c r="T1275" s="43" t="s">
        <v>2229</v>
      </c>
      <c r="U1275" t="s">
        <v>3699</v>
      </c>
    </row>
    <row r="1276" spans="1:21" x14ac:dyDescent="0.3">
      <c r="A1276" t="s">
        <v>4137</v>
      </c>
      <c r="B1276" t="s">
        <v>30</v>
      </c>
      <c r="C1276" t="s">
        <v>1323</v>
      </c>
      <c r="D1276" s="15">
        <v>1</v>
      </c>
      <c r="E1276" s="7">
        <v>172.5</v>
      </c>
      <c r="H1276">
        <v>172259</v>
      </c>
      <c r="I1276" t="s">
        <v>855</v>
      </c>
      <c r="J1276" t="s">
        <v>2848</v>
      </c>
      <c r="K1276" t="s">
        <v>3</v>
      </c>
      <c r="L1276" s="2">
        <v>43252</v>
      </c>
      <c r="M1276" s="2">
        <f>DHMXX[[#This Row],[INV DOC DATE]]+30</f>
        <v>43282</v>
      </c>
      <c r="N1276" s="2">
        <v>43279</v>
      </c>
      <c r="O1276" s="7">
        <v>172.5</v>
      </c>
      <c r="P1276" s="2">
        <v>43290</v>
      </c>
      <c r="Q1276" s="7">
        <f>$E1276-$O1276</f>
        <v>0</v>
      </c>
      <c r="R1276" s="7" t="str">
        <f ca="1">IF(TODAY() - DHMXX[INV DUE DATE]&lt;30, "Less than 30 days",IF(TODAY()-DHMXX[INV DUE DATE]&lt;60,"30-60 days","More than 60 days"))</f>
        <v>Less than 30 days</v>
      </c>
      <c r="S1276" t="s">
        <v>1550</v>
      </c>
      <c r="T1276" s="43" t="s">
        <v>2229</v>
      </c>
      <c r="U1276" t="s">
        <v>3699</v>
      </c>
    </row>
    <row r="1277" spans="1:21" x14ac:dyDescent="0.3">
      <c r="A1277" t="s">
        <v>4137</v>
      </c>
      <c r="B1277" t="s">
        <v>30</v>
      </c>
      <c r="C1277" t="s">
        <v>1324</v>
      </c>
      <c r="D1277" s="15">
        <v>1</v>
      </c>
      <c r="E1277" s="7">
        <v>172.5</v>
      </c>
      <c r="H1277">
        <v>172259</v>
      </c>
      <c r="I1277" t="s">
        <v>855</v>
      </c>
      <c r="J1277" t="s">
        <v>2849</v>
      </c>
      <c r="K1277" t="s">
        <v>3</v>
      </c>
      <c r="L1277" s="2">
        <v>43252</v>
      </c>
      <c r="M1277" s="2">
        <f>DHMXX[[#This Row],[INV DOC DATE]]+30</f>
        <v>43282</v>
      </c>
      <c r="N1277" s="2">
        <v>43279</v>
      </c>
      <c r="O1277" s="7">
        <v>172.5</v>
      </c>
      <c r="P1277" s="2">
        <v>43290</v>
      </c>
      <c r="Q1277" s="7">
        <f>$E1277-$O1277</f>
        <v>0</v>
      </c>
      <c r="R1277" s="7" t="str">
        <f ca="1">IF(TODAY() - DHMXX[INV DUE DATE]&lt;30, "Less than 30 days",IF(TODAY()-DHMXX[INV DUE DATE]&lt;60,"30-60 days","More than 60 days"))</f>
        <v>Less than 30 days</v>
      </c>
      <c r="S1277" t="s">
        <v>1550</v>
      </c>
      <c r="T1277" s="43" t="s">
        <v>2229</v>
      </c>
      <c r="U1277" t="s">
        <v>3699</v>
      </c>
    </row>
    <row r="1278" spans="1:21" x14ac:dyDescent="0.3">
      <c r="A1278" t="s">
        <v>4137</v>
      </c>
      <c r="B1278" t="s">
        <v>30</v>
      </c>
      <c r="C1278" t="s">
        <v>1325</v>
      </c>
      <c r="D1278" s="15">
        <v>1</v>
      </c>
      <c r="E1278" s="7">
        <v>172.5</v>
      </c>
      <c r="H1278">
        <v>172259</v>
      </c>
      <c r="I1278" t="s">
        <v>855</v>
      </c>
      <c r="J1278" t="s">
        <v>2850</v>
      </c>
      <c r="K1278" t="s">
        <v>3</v>
      </c>
      <c r="L1278" s="2">
        <v>43252</v>
      </c>
      <c r="M1278" s="2">
        <f>DHMXX[[#This Row],[INV DOC DATE]]+30</f>
        <v>43282</v>
      </c>
      <c r="N1278" s="2">
        <v>43279</v>
      </c>
      <c r="O1278" s="7">
        <v>172.5</v>
      </c>
      <c r="P1278" s="2">
        <v>43290</v>
      </c>
      <c r="Q1278" s="7">
        <f>$E1278-$O1278</f>
        <v>0</v>
      </c>
      <c r="R1278" s="7" t="str">
        <f ca="1">IF(TODAY() - DHMXX[INV DUE DATE]&lt;30, "Less than 30 days",IF(TODAY()-DHMXX[INV DUE DATE]&lt;60,"30-60 days","More than 60 days"))</f>
        <v>Less than 30 days</v>
      </c>
      <c r="S1278" t="s">
        <v>1550</v>
      </c>
      <c r="T1278" s="43" t="s">
        <v>2229</v>
      </c>
      <c r="U1278" t="s">
        <v>3699</v>
      </c>
    </row>
    <row r="1279" spans="1:21" x14ac:dyDescent="0.3">
      <c r="A1279" t="s">
        <v>4137</v>
      </c>
      <c r="B1279" t="s">
        <v>30</v>
      </c>
      <c r="C1279" t="s">
        <v>1326</v>
      </c>
      <c r="D1279" s="15">
        <v>1</v>
      </c>
      <c r="E1279" s="7">
        <v>172.5</v>
      </c>
      <c r="H1279">
        <v>172259</v>
      </c>
      <c r="I1279" t="s">
        <v>855</v>
      </c>
      <c r="J1279" t="s">
        <v>2851</v>
      </c>
      <c r="K1279" t="s">
        <v>3</v>
      </c>
      <c r="L1279" s="2">
        <v>43252</v>
      </c>
      <c r="M1279" s="2">
        <f>DHMXX[[#This Row],[INV DOC DATE]]+30</f>
        <v>43282</v>
      </c>
      <c r="N1279" s="2">
        <v>43279</v>
      </c>
      <c r="O1279" s="7">
        <v>172.5</v>
      </c>
      <c r="P1279" s="2">
        <v>43290</v>
      </c>
      <c r="Q1279" s="7">
        <f>$E1279-$O1279</f>
        <v>0</v>
      </c>
      <c r="R1279" s="7" t="str">
        <f ca="1">IF(TODAY() - DHMXX[INV DUE DATE]&lt;30, "Less than 30 days",IF(TODAY()-DHMXX[INV DUE DATE]&lt;60,"30-60 days","More than 60 days"))</f>
        <v>Less than 30 days</v>
      </c>
      <c r="S1279" t="s">
        <v>1550</v>
      </c>
      <c r="T1279" s="43" t="s">
        <v>2229</v>
      </c>
      <c r="U1279" t="s">
        <v>3699</v>
      </c>
    </row>
    <row r="1280" spans="1:21" x14ac:dyDescent="0.3">
      <c r="A1280" t="s">
        <v>4137</v>
      </c>
      <c r="B1280" t="s">
        <v>30</v>
      </c>
      <c r="C1280" t="s">
        <v>1327</v>
      </c>
      <c r="D1280" s="15">
        <v>1</v>
      </c>
      <c r="E1280" s="7">
        <v>172.5</v>
      </c>
      <c r="H1280">
        <v>172259</v>
      </c>
      <c r="I1280" t="s">
        <v>855</v>
      </c>
      <c r="J1280" t="s">
        <v>2852</v>
      </c>
      <c r="K1280" t="s">
        <v>3</v>
      </c>
      <c r="L1280" s="2">
        <v>43252</v>
      </c>
      <c r="M1280" s="2">
        <f>DHMXX[[#This Row],[INV DOC DATE]]+30</f>
        <v>43282</v>
      </c>
      <c r="N1280" s="2">
        <v>43279</v>
      </c>
      <c r="O1280" s="7">
        <v>172.5</v>
      </c>
      <c r="P1280" s="2">
        <v>43290</v>
      </c>
      <c r="Q1280" s="7">
        <f>$E1280-$O1280</f>
        <v>0</v>
      </c>
      <c r="R1280" s="7" t="str">
        <f ca="1">IF(TODAY() - DHMXX[INV DUE DATE]&lt;30, "Less than 30 days",IF(TODAY()-DHMXX[INV DUE DATE]&lt;60,"30-60 days","More than 60 days"))</f>
        <v>Less than 30 days</v>
      </c>
      <c r="S1280" t="s">
        <v>1550</v>
      </c>
      <c r="T1280" s="43" t="s">
        <v>2229</v>
      </c>
      <c r="U1280" t="s">
        <v>3699</v>
      </c>
    </row>
    <row r="1281" spans="1:21" x14ac:dyDescent="0.3">
      <c r="A1281" t="s">
        <v>4137</v>
      </c>
      <c r="B1281" t="s">
        <v>30</v>
      </c>
      <c r="C1281" t="s">
        <v>1328</v>
      </c>
      <c r="D1281" s="15">
        <v>1</v>
      </c>
      <c r="E1281" s="7">
        <v>172.5</v>
      </c>
      <c r="H1281">
        <v>172259</v>
      </c>
      <c r="I1281" t="s">
        <v>855</v>
      </c>
      <c r="J1281" t="s">
        <v>2853</v>
      </c>
      <c r="K1281" t="s">
        <v>3</v>
      </c>
      <c r="L1281" s="2">
        <v>43252</v>
      </c>
      <c r="M1281" s="2">
        <f>DHMXX[[#This Row],[INV DOC DATE]]+30</f>
        <v>43282</v>
      </c>
      <c r="N1281" s="2">
        <v>43279</v>
      </c>
      <c r="O1281" s="7">
        <v>172.5</v>
      </c>
      <c r="P1281" s="2">
        <v>43290</v>
      </c>
      <c r="Q1281" s="7">
        <f>$E1281-$O1281</f>
        <v>0</v>
      </c>
      <c r="R1281" s="7" t="str">
        <f ca="1">IF(TODAY() - DHMXX[INV DUE DATE]&lt;30, "Less than 30 days",IF(TODAY()-DHMXX[INV DUE DATE]&lt;60,"30-60 days","More than 60 days"))</f>
        <v>Less than 30 days</v>
      </c>
      <c r="S1281" t="s">
        <v>1550</v>
      </c>
      <c r="T1281" s="43" t="s">
        <v>2229</v>
      </c>
      <c r="U1281" t="s">
        <v>3699</v>
      </c>
    </row>
    <row r="1282" spans="1:21" x14ac:dyDescent="0.3">
      <c r="A1282" t="s">
        <v>4137</v>
      </c>
      <c r="B1282" t="s">
        <v>30</v>
      </c>
      <c r="C1282" t="s">
        <v>1329</v>
      </c>
      <c r="D1282" s="15">
        <v>1</v>
      </c>
      <c r="E1282" s="7">
        <v>172.5</v>
      </c>
      <c r="H1282">
        <v>172259</v>
      </c>
      <c r="I1282" t="s">
        <v>855</v>
      </c>
      <c r="J1282" t="s">
        <v>2854</v>
      </c>
      <c r="K1282" t="s">
        <v>3</v>
      </c>
      <c r="L1282" s="2">
        <v>43252</v>
      </c>
      <c r="M1282" s="2">
        <f>DHMXX[[#This Row],[INV DOC DATE]]+30</f>
        <v>43282</v>
      </c>
      <c r="N1282" s="2">
        <v>43279</v>
      </c>
      <c r="O1282" s="7">
        <v>172.5</v>
      </c>
      <c r="P1282" s="2">
        <v>43290</v>
      </c>
      <c r="Q1282" s="7">
        <f>$E1282-$O1282</f>
        <v>0</v>
      </c>
      <c r="R1282" s="7" t="str">
        <f ca="1">IF(TODAY() - DHMXX[INV DUE DATE]&lt;30, "Less than 30 days",IF(TODAY()-DHMXX[INV DUE DATE]&lt;60,"30-60 days","More than 60 days"))</f>
        <v>Less than 30 days</v>
      </c>
      <c r="S1282" t="s">
        <v>1550</v>
      </c>
      <c r="T1282" s="43" t="s">
        <v>2229</v>
      </c>
      <c r="U1282" t="s">
        <v>3699</v>
      </c>
    </row>
    <row r="1283" spans="1:21" x14ac:dyDescent="0.3">
      <c r="A1283" t="s">
        <v>4137</v>
      </c>
      <c r="B1283" t="s">
        <v>30</v>
      </c>
      <c r="C1283" t="s">
        <v>1330</v>
      </c>
      <c r="D1283" s="15">
        <v>1</v>
      </c>
      <c r="E1283" s="7">
        <v>172.5</v>
      </c>
      <c r="H1283">
        <v>172259</v>
      </c>
      <c r="I1283" t="s">
        <v>855</v>
      </c>
      <c r="J1283" t="s">
        <v>2835</v>
      </c>
      <c r="K1283" t="s">
        <v>3</v>
      </c>
      <c r="L1283" s="2">
        <v>43252</v>
      </c>
      <c r="M1283" s="2">
        <f>DHMXX[[#This Row],[INV DOC DATE]]+30</f>
        <v>43282</v>
      </c>
      <c r="N1283" s="2">
        <v>43279</v>
      </c>
      <c r="O1283" s="7">
        <v>172.5</v>
      </c>
      <c r="P1283" s="2">
        <v>43290</v>
      </c>
      <c r="Q1283" s="7">
        <f>$E1283-$O1283</f>
        <v>0</v>
      </c>
      <c r="R1283" s="7" t="str">
        <f ca="1">IF(TODAY() - DHMXX[INV DUE DATE]&lt;30, "Less than 30 days",IF(TODAY()-DHMXX[INV DUE DATE]&lt;60,"30-60 days","More than 60 days"))</f>
        <v>Less than 30 days</v>
      </c>
      <c r="S1283" t="s">
        <v>1550</v>
      </c>
      <c r="T1283" s="43" t="s">
        <v>2229</v>
      </c>
      <c r="U1283" t="s">
        <v>3699</v>
      </c>
    </row>
    <row r="1284" spans="1:21" x14ac:dyDescent="0.3">
      <c r="A1284" t="s">
        <v>4137</v>
      </c>
      <c r="B1284" t="s">
        <v>30</v>
      </c>
      <c r="C1284" t="s">
        <v>1331</v>
      </c>
      <c r="D1284" s="15">
        <v>1</v>
      </c>
      <c r="E1284" s="7">
        <v>172.5</v>
      </c>
      <c r="H1284">
        <v>172259</v>
      </c>
      <c r="I1284" t="s">
        <v>855</v>
      </c>
      <c r="J1284" t="s">
        <v>2855</v>
      </c>
      <c r="K1284" t="s">
        <v>3</v>
      </c>
      <c r="L1284" s="2">
        <v>43252</v>
      </c>
      <c r="M1284" s="2">
        <f>DHMXX[[#This Row],[INV DOC DATE]]+30</f>
        <v>43282</v>
      </c>
      <c r="N1284" s="2">
        <v>43279</v>
      </c>
      <c r="O1284" s="7">
        <v>172.5</v>
      </c>
      <c r="P1284" s="2">
        <v>43290</v>
      </c>
      <c r="Q1284" s="7">
        <f>$E1284-$O1284</f>
        <v>0</v>
      </c>
      <c r="R1284" s="7" t="str">
        <f ca="1">IF(TODAY() - DHMXX[INV DUE DATE]&lt;30, "Less than 30 days",IF(TODAY()-DHMXX[INV DUE DATE]&lt;60,"30-60 days","More than 60 days"))</f>
        <v>Less than 30 days</v>
      </c>
      <c r="S1284" t="s">
        <v>1550</v>
      </c>
      <c r="T1284" s="43" t="s">
        <v>2229</v>
      </c>
      <c r="U1284" t="s">
        <v>3699</v>
      </c>
    </row>
    <row r="1285" spans="1:21" x14ac:dyDescent="0.3">
      <c r="A1285" t="s">
        <v>4137</v>
      </c>
      <c r="B1285" t="s">
        <v>30</v>
      </c>
      <c r="C1285" t="s">
        <v>1332</v>
      </c>
      <c r="D1285" s="15">
        <v>1</v>
      </c>
      <c r="E1285" s="7">
        <v>172.5</v>
      </c>
      <c r="H1285">
        <v>172259</v>
      </c>
      <c r="I1285" t="s">
        <v>855</v>
      </c>
      <c r="J1285" t="s">
        <v>2856</v>
      </c>
      <c r="K1285" t="s">
        <v>3</v>
      </c>
      <c r="L1285" s="2">
        <v>43252</v>
      </c>
      <c r="M1285" s="2">
        <f>DHMXX[[#This Row],[INV DOC DATE]]+30</f>
        <v>43282</v>
      </c>
      <c r="N1285" s="2">
        <v>43279</v>
      </c>
      <c r="O1285" s="7">
        <v>172.5</v>
      </c>
      <c r="P1285" s="2">
        <v>43290</v>
      </c>
      <c r="Q1285" s="7">
        <f>$E1285-$O1285</f>
        <v>0</v>
      </c>
      <c r="R1285" s="7" t="str">
        <f ca="1">IF(TODAY() - DHMXX[INV DUE DATE]&lt;30, "Less than 30 days",IF(TODAY()-DHMXX[INV DUE DATE]&lt;60,"30-60 days","More than 60 days"))</f>
        <v>Less than 30 days</v>
      </c>
      <c r="S1285" t="s">
        <v>1550</v>
      </c>
      <c r="T1285" s="43" t="s">
        <v>2229</v>
      </c>
      <c r="U1285" t="s">
        <v>3699</v>
      </c>
    </row>
    <row r="1286" spans="1:21" x14ac:dyDescent="0.3">
      <c r="A1286" t="s">
        <v>4137</v>
      </c>
      <c r="B1286" t="s">
        <v>30</v>
      </c>
      <c r="C1286" t="s">
        <v>1333</v>
      </c>
      <c r="D1286" s="15">
        <v>1</v>
      </c>
      <c r="E1286" s="7">
        <v>172.5</v>
      </c>
      <c r="H1286">
        <v>172259</v>
      </c>
      <c r="I1286" t="s">
        <v>855</v>
      </c>
      <c r="J1286" t="s">
        <v>2857</v>
      </c>
      <c r="K1286" t="s">
        <v>3</v>
      </c>
      <c r="L1286" s="2">
        <v>43252</v>
      </c>
      <c r="M1286" s="2">
        <f>DHMXX[[#This Row],[INV DOC DATE]]+30</f>
        <v>43282</v>
      </c>
      <c r="N1286" s="2">
        <v>43279</v>
      </c>
      <c r="O1286" s="7">
        <v>172.5</v>
      </c>
      <c r="P1286" s="2">
        <v>43290</v>
      </c>
      <c r="Q1286" s="7">
        <f>$E1286-$O1286</f>
        <v>0</v>
      </c>
      <c r="R1286" s="7" t="str">
        <f ca="1">IF(TODAY() - DHMXX[INV DUE DATE]&lt;30, "Less than 30 days",IF(TODAY()-DHMXX[INV DUE DATE]&lt;60,"30-60 days","More than 60 days"))</f>
        <v>Less than 30 days</v>
      </c>
      <c r="S1286" t="s">
        <v>1550</v>
      </c>
      <c r="T1286" s="43" t="s">
        <v>2229</v>
      </c>
      <c r="U1286" t="s">
        <v>3699</v>
      </c>
    </row>
    <row r="1287" spans="1:21" x14ac:dyDescent="0.3">
      <c r="A1287" t="s">
        <v>4137</v>
      </c>
      <c r="B1287" t="s">
        <v>30</v>
      </c>
      <c r="C1287" t="s">
        <v>1334</v>
      </c>
      <c r="D1287" s="15">
        <v>1</v>
      </c>
      <c r="E1287" s="7">
        <v>465</v>
      </c>
      <c r="H1287">
        <v>172259</v>
      </c>
      <c r="I1287" t="s">
        <v>855</v>
      </c>
      <c r="J1287" t="s">
        <v>2876</v>
      </c>
      <c r="K1287" t="s">
        <v>3</v>
      </c>
      <c r="L1287" s="2">
        <v>43252</v>
      </c>
      <c r="M1287" s="2">
        <f>DHMXX[[#This Row],[INV DOC DATE]]+30</f>
        <v>43282</v>
      </c>
      <c r="N1287" s="2">
        <v>43279</v>
      </c>
      <c r="O1287" s="7">
        <v>465</v>
      </c>
      <c r="P1287" s="2">
        <v>43290</v>
      </c>
      <c r="Q1287" s="7">
        <f>$E1287-$O1287</f>
        <v>0</v>
      </c>
      <c r="R1287" s="7" t="str">
        <f ca="1">IF(TODAY() - DHMXX[INV DUE DATE]&lt;30, "Less than 30 days",IF(TODAY()-DHMXX[INV DUE DATE]&lt;60,"30-60 days","More than 60 days"))</f>
        <v>Less than 30 days</v>
      </c>
      <c r="S1287" t="s">
        <v>1550</v>
      </c>
      <c r="T1287" s="43" t="s">
        <v>2229</v>
      </c>
      <c r="U1287" t="s">
        <v>3699</v>
      </c>
    </row>
    <row r="1288" spans="1:21" x14ac:dyDescent="0.3">
      <c r="A1288" t="s">
        <v>4137</v>
      </c>
      <c r="B1288" t="s">
        <v>30</v>
      </c>
      <c r="C1288" t="s">
        <v>1335</v>
      </c>
      <c r="D1288" s="15">
        <v>1</v>
      </c>
      <c r="E1288" s="7">
        <v>465</v>
      </c>
      <c r="H1288">
        <v>172259</v>
      </c>
      <c r="I1288" t="s">
        <v>855</v>
      </c>
      <c r="J1288" t="s">
        <v>2877</v>
      </c>
      <c r="K1288" t="s">
        <v>3</v>
      </c>
      <c r="L1288" s="2">
        <v>43252</v>
      </c>
      <c r="M1288" s="2">
        <f>DHMXX[[#This Row],[INV DOC DATE]]+30</f>
        <v>43282</v>
      </c>
      <c r="N1288" s="2">
        <v>43279</v>
      </c>
      <c r="O1288" s="7">
        <v>465</v>
      </c>
      <c r="P1288" s="2">
        <v>43290</v>
      </c>
      <c r="Q1288" s="7">
        <f>$E1288-$O1288</f>
        <v>0</v>
      </c>
      <c r="R1288" s="7" t="str">
        <f ca="1">IF(TODAY() - DHMXX[INV DUE DATE]&lt;30, "Less than 30 days",IF(TODAY()-DHMXX[INV DUE DATE]&lt;60,"30-60 days","More than 60 days"))</f>
        <v>Less than 30 days</v>
      </c>
      <c r="S1288" t="s">
        <v>1550</v>
      </c>
      <c r="T1288" s="43" t="s">
        <v>2229</v>
      </c>
      <c r="U1288" t="s">
        <v>3699</v>
      </c>
    </row>
    <row r="1289" spans="1:21" x14ac:dyDescent="0.3">
      <c r="A1289" t="s">
        <v>4137</v>
      </c>
      <c r="B1289" t="s">
        <v>30</v>
      </c>
      <c r="C1289" t="s">
        <v>1336</v>
      </c>
      <c r="D1289" s="15">
        <v>1</v>
      </c>
      <c r="E1289" s="7">
        <v>465</v>
      </c>
      <c r="H1289">
        <v>172259</v>
      </c>
      <c r="I1289" t="s">
        <v>855</v>
      </c>
      <c r="J1289" t="s">
        <v>2878</v>
      </c>
      <c r="K1289" t="s">
        <v>3</v>
      </c>
      <c r="L1289" s="2">
        <v>43252</v>
      </c>
      <c r="M1289" s="2">
        <f>DHMXX[[#This Row],[INV DOC DATE]]+30</f>
        <v>43282</v>
      </c>
      <c r="N1289" s="2">
        <v>43279</v>
      </c>
      <c r="O1289" s="7">
        <v>465</v>
      </c>
      <c r="P1289" s="2">
        <v>43290</v>
      </c>
      <c r="Q1289" s="7">
        <f>$E1289-$O1289</f>
        <v>0</v>
      </c>
      <c r="R1289" s="7" t="str">
        <f ca="1">IF(TODAY() - DHMXX[INV DUE DATE]&lt;30, "Less than 30 days",IF(TODAY()-DHMXX[INV DUE DATE]&lt;60,"30-60 days","More than 60 days"))</f>
        <v>Less than 30 days</v>
      </c>
      <c r="S1289" t="s">
        <v>1550</v>
      </c>
      <c r="T1289" s="43" t="s">
        <v>2229</v>
      </c>
      <c r="U1289" t="s">
        <v>3699</v>
      </c>
    </row>
    <row r="1290" spans="1:21" x14ac:dyDescent="0.3">
      <c r="A1290" t="s">
        <v>4137</v>
      </c>
      <c r="B1290" t="s">
        <v>30</v>
      </c>
      <c r="C1290" t="s">
        <v>1337</v>
      </c>
      <c r="D1290" s="15">
        <v>1</v>
      </c>
      <c r="E1290" s="7">
        <v>172.5</v>
      </c>
      <c r="H1290">
        <v>172259</v>
      </c>
      <c r="I1290" t="s">
        <v>855</v>
      </c>
      <c r="J1290" t="s">
        <v>2875</v>
      </c>
      <c r="K1290" t="s">
        <v>3</v>
      </c>
      <c r="L1290" s="2">
        <v>43252</v>
      </c>
      <c r="M1290" s="2">
        <f>DHMXX[[#This Row],[INV DOC DATE]]+30</f>
        <v>43282</v>
      </c>
      <c r="N1290" s="2">
        <v>43279</v>
      </c>
      <c r="O1290" s="7">
        <v>172.5</v>
      </c>
      <c r="P1290" s="2">
        <v>43290</v>
      </c>
      <c r="Q1290" s="7">
        <f>$E1290-$O1290</f>
        <v>0</v>
      </c>
      <c r="R1290" s="7" t="str">
        <f ca="1">IF(TODAY() - DHMXX[INV DUE DATE]&lt;30, "Less than 30 days",IF(TODAY()-DHMXX[INV DUE DATE]&lt;60,"30-60 days","More than 60 days"))</f>
        <v>Less than 30 days</v>
      </c>
      <c r="S1290" t="s">
        <v>1550</v>
      </c>
      <c r="T1290" s="43" t="s">
        <v>2229</v>
      </c>
      <c r="U1290" t="s">
        <v>3699</v>
      </c>
    </row>
    <row r="1291" spans="1:21" x14ac:dyDescent="0.3">
      <c r="A1291" t="s">
        <v>4137</v>
      </c>
      <c r="B1291" t="s">
        <v>30</v>
      </c>
      <c r="C1291" t="s">
        <v>1442</v>
      </c>
      <c r="D1291" s="15">
        <v>16</v>
      </c>
      <c r="E1291" s="7">
        <v>172.5</v>
      </c>
      <c r="H1291">
        <v>55031</v>
      </c>
      <c r="I1291" t="s">
        <v>861</v>
      </c>
      <c r="J1291" t="s">
        <v>3056</v>
      </c>
      <c r="K1291" t="s">
        <v>3</v>
      </c>
      <c r="L1291" s="2">
        <v>43252</v>
      </c>
      <c r="M1291" s="2">
        <f>DHMXX[[#This Row],[INV DOC DATE]]+30</f>
        <v>43282</v>
      </c>
      <c r="N1291" s="2">
        <v>43279</v>
      </c>
      <c r="O1291" s="7">
        <v>172.5</v>
      </c>
      <c r="P1291" s="2">
        <v>43290</v>
      </c>
      <c r="Q1291" s="7">
        <f>$E1291-$O1291</f>
        <v>0</v>
      </c>
      <c r="R1291" s="7" t="str">
        <f ca="1">IF(TODAY() - DHMXX[INV DUE DATE]&lt;30, "Less than 30 days",IF(TODAY()-DHMXX[INV DUE DATE]&lt;60,"30-60 days","More than 60 days"))</f>
        <v>Less than 30 days</v>
      </c>
      <c r="S1291" t="s">
        <v>1550</v>
      </c>
      <c r="T1291" s="43" t="s">
        <v>2229</v>
      </c>
      <c r="U1291" t="s">
        <v>3699</v>
      </c>
    </row>
    <row r="1292" spans="1:21" x14ac:dyDescent="0.3">
      <c r="A1292" t="s">
        <v>4137</v>
      </c>
      <c r="B1292" t="s">
        <v>30</v>
      </c>
      <c r="C1292" t="s">
        <v>1443</v>
      </c>
      <c r="D1292" s="15">
        <v>16</v>
      </c>
      <c r="E1292" s="7">
        <v>172.5</v>
      </c>
      <c r="H1292">
        <v>55031</v>
      </c>
      <c r="I1292" t="s">
        <v>861</v>
      </c>
      <c r="J1292" t="s">
        <v>3055</v>
      </c>
      <c r="K1292" t="s">
        <v>3</v>
      </c>
      <c r="L1292" s="2">
        <v>43252</v>
      </c>
      <c r="M1292" s="2">
        <f>DHMXX[[#This Row],[INV DOC DATE]]+30</f>
        <v>43282</v>
      </c>
      <c r="N1292" s="2">
        <v>43279</v>
      </c>
      <c r="O1292" s="7">
        <v>172.5</v>
      </c>
      <c r="P1292" s="2">
        <v>43290</v>
      </c>
      <c r="Q1292" s="7">
        <f>$E1292-$O1292</f>
        <v>0</v>
      </c>
      <c r="R1292" s="7" t="str">
        <f ca="1">IF(TODAY() - DHMXX[INV DUE DATE]&lt;30, "Less than 30 days",IF(TODAY()-DHMXX[INV DUE DATE]&lt;60,"30-60 days","More than 60 days"))</f>
        <v>Less than 30 days</v>
      </c>
      <c r="S1292" t="s">
        <v>1550</v>
      </c>
      <c r="T1292" s="43" t="s">
        <v>2229</v>
      </c>
      <c r="U1292" t="s">
        <v>3699</v>
      </c>
    </row>
    <row r="1293" spans="1:21" x14ac:dyDescent="0.3">
      <c r="A1293" t="s">
        <v>4137</v>
      </c>
      <c r="B1293" t="s">
        <v>30</v>
      </c>
      <c r="C1293" t="s">
        <v>1444</v>
      </c>
      <c r="D1293" s="15">
        <v>16</v>
      </c>
      <c r="E1293" s="7">
        <v>172.5</v>
      </c>
      <c r="H1293">
        <v>55245</v>
      </c>
      <c r="I1293" t="s">
        <v>861</v>
      </c>
      <c r="J1293" t="s">
        <v>3058</v>
      </c>
      <c r="K1293" t="s">
        <v>3</v>
      </c>
      <c r="L1293" s="2">
        <v>43252</v>
      </c>
      <c r="M1293" s="2">
        <f>DHMXX[[#This Row],[INV DOC DATE]]+30</f>
        <v>43282</v>
      </c>
      <c r="N1293" s="2">
        <v>43279</v>
      </c>
      <c r="O1293" s="7">
        <v>172.5</v>
      </c>
      <c r="P1293" s="2">
        <v>43290</v>
      </c>
      <c r="Q1293" s="7">
        <f>$E1293-$O1293</f>
        <v>0</v>
      </c>
      <c r="R1293" s="7" t="str">
        <f ca="1">IF(TODAY() - DHMXX[INV DUE DATE]&lt;30, "Less than 30 days",IF(TODAY()-DHMXX[INV DUE DATE]&lt;60,"30-60 days","More than 60 days"))</f>
        <v>Less than 30 days</v>
      </c>
      <c r="S1293" t="s">
        <v>1550</v>
      </c>
      <c r="T1293" s="43" t="s">
        <v>2229</v>
      </c>
      <c r="U1293" t="s">
        <v>3699</v>
      </c>
    </row>
    <row r="1294" spans="1:21" x14ac:dyDescent="0.3">
      <c r="A1294" t="s">
        <v>4137</v>
      </c>
      <c r="B1294" t="s">
        <v>30</v>
      </c>
      <c r="C1294" t="s">
        <v>1445</v>
      </c>
      <c r="D1294" s="15">
        <v>16</v>
      </c>
      <c r="E1294" s="7">
        <v>172.5</v>
      </c>
      <c r="H1294">
        <v>55245</v>
      </c>
      <c r="I1294" t="s">
        <v>861</v>
      </c>
      <c r="J1294" t="s">
        <v>3059</v>
      </c>
      <c r="K1294" t="s">
        <v>3</v>
      </c>
      <c r="L1294" s="2">
        <v>43252</v>
      </c>
      <c r="M1294" s="2">
        <f>DHMXX[[#This Row],[INV DOC DATE]]+30</f>
        <v>43282</v>
      </c>
      <c r="N1294" s="2">
        <v>43279</v>
      </c>
      <c r="O1294" s="7">
        <v>172.5</v>
      </c>
      <c r="P1294" s="2">
        <v>43290</v>
      </c>
      <c r="Q1294" s="7">
        <f>$E1294-$O1294</f>
        <v>0</v>
      </c>
      <c r="R1294" s="7" t="str">
        <f ca="1">IF(TODAY() - DHMXX[INV DUE DATE]&lt;30, "Less than 30 days",IF(TODAY()-DHMXX[INV DUE DATE]&lt;60,"30-60 days","More than 60 days"))</f>
        <v>Less than 30 days</v>
      </c>
      <c r="S1294" t="s">
        <v>1550</v>
      </c>
      <c r="T1294" s="43" t="s">
        <v>2229</v>
      </c>
      <c r="U1294" t="s">
        <v>3699</v>
      </c>
    </row>
    <row r="1295" spans="1:21" x14ac:dyDescent="0.3">
      <c r="A1295" t="s">
        <v>4137</v>
      </c>
      <c r="B1295" t="s">
        <v>30</v>
      </c>
      <c r="C1295" t="s">
        <v>1446</v>
      </c>
      <c r="D1295" s="15">
        <v>16</v>
      </c>
      <c r="E1295" s="7">
        <v>172.5</v>
      </c>
      <c r="H1295">
        <v>55245</v>
      </c>
      <c r="I1295" t="s">
        <v>861</v>
      </c>
      <c r="J1295" t="s">
        <v>3060</v>
      </c>
      <c r="K1295" t="s">
        <v>3</v>
      </c>
      <c r="L1295" s="2">
        <v>43252</v>
      </c>
      <c r="M1295" s="2">
        <f>DHMXX[[#This Row],[INV DOC DATE]]+30</f>
        <v>43282</v>
      </c>
      <c r="N1295" s="2">
        <v>43279</v>
      </c>
      <c r="O1295" s="7">
        <v>172.5</v>
      </c>
      <c r="P1295" s="2">
        <v>43290</v>
      </c>
      <c r="Q1295" s="7">
        <f>$E1295-$O1295</f>
        <v>0</v>
      </c>
      <c r="R1295" s="7" t="str">
        <f ca="1">IF(TODAY() - DHMXX[INV DUE DATE]&lt;30, "Less than 30 days",IF(TODAY()-DHMXX[INV DUE DATE]&lt;60,"30-60 days","More than 60 days"))</f>
        <v>Less than 30 days</v>
      </c>
      <c r="S1295" t="s">
        <v>1550</v>
      </c>
      <c r="T1295" s="43" t="s">
        <v>2229</v>
      </c>
      <c r="U1295" t="s">
        <v>3699</v>
      </c>
    </row>
    <row r="1296" spans="1:21" x14ac:dyDescent="0.3">
      <c r="A1296" t="s">
        <v>4137</v>
      </c>
      <c r="B1296" t="s">
        <v>30</v>
      </c>
      <c r="C1296" t="s">
        <v>1447</v>
      </c>
      <c r="D1296" s="15">
        <v>16</v>
      </c>
      <c r="E1296" s="7">
        <v>172.5</v>
      </c>
      <c r="H1296">
        <v>55245</v>
      </c>
      <c r="I1296" t="s">
        <v>861</v>
      </c>
      <c r="J1296" t="s">
        <v>3061</v>
      </c>
      <c r="K1296" t="s">
        <v>3</v>
      </c>
      <c r="L1296" s="2">
        <v>43252</v>
      </c>
      <c r="M1296" s="2">
        <f>DHMXX[[#This Row],[INV DOC DATE]]+30</f>
        <v>43282</v>
      </c>
      <c r="N1296" s="2">
        <v>43279</v>
      </c>
      <c r="O1296" s="7">
        <v>172.5</v>
      </c>
      <c r="P1296" s="2">
        <v>43290</v>
      </c>
      <c r="Q1296" s="7">
        <f>$E1296-$O1296</f>
        <v>0</v>
      </c>
      <c r="R1296" s="7" t="str">
        <f ca="1">IF(TODAY() - DHMXX[INV DUE DATE]&lt;30, "Less than 30 days",IF(TODAY()-DHMXX[INV DUE DATE]&lt;60,"30-60 days","More than 60 days"))</f>
        <v>Less than 30 days</v>
      </c>
      <c r="S1296" t="s">
        <v>1550</v>
      </c>
      <c r="T1296" s="43" t="s">
        <v>2229</v>
      </c>
      <c r="U1296" t="s">
        <v>3699</v>
      </c>
    </row>
    <row r="1297" spans="1:21" x14ac:dyDescent="0.3">
      <c r="A1297" t="s">
        <v>4137</v>
      </c>
      <c r="B1297" t="s">
        <v>30</v>
      </c>
      <c r="C1297" t="s">
        <v>1448</v>
      </c>
      <c r="D1297" s="15">
        <v>16</v>
      </c>
      <c r="E1297" s="7">
        <v>172.5</v>
      </c>
      <c r="H1297">
        <v>55245</v>
      </c>
      <c r="I1297" t="s">
        <v>861</v>
      </c>
      <c r="J1297" t="s">
        <v>3062</v>
      </c>
      <c r="K1297" t="s">
        <v>3</v>
      </c>
      <c r="L1297" s="2">
        <v>43252</v>
      </c>
      <c r="M1297" s="2">
        <f>DHMXX[[#This Row],[INV DOC DATE]]+30</f>
        <v>43282</v>
      </c>
      <c r="N1297" s="2">
        <v>43279</v>
      </c>
      <c r="O1297" s="7">
        <v>172.5</v>
      </c>
      <c r="P1297" s="2">
        <v>43290</v>
      </c>
      <c r="Q1297" s="7">
        <f>$E1297-$O1297</f>
        <v>0</v>
      </c>
      <c r="R1297" s="7" t="str">
        <f ca="1">IF(TODAY() - DHMXX[INV DUE DATE]&lt;30, "Less than 30 days",IF(TODAY()-DHMXX[INV DUE DATE]&lt;60,"30-60 days","More than 60 days"))</f>
        <v>Less than 30 days</v>
      </c>
      <c r="S1297" t="s">
        <v>1550</v>
      </c>
      <c r="T1297" s="43" t="s">
        <v>2229</v>
      </c>
      <c r="U1297" t="s">
        <v>3699</v>
      </c>
    </row>
    <row r="1298" spans="1:21" x14ac:dyDescent="0.3">
      <c r="A1298" t="s">
        <v>4137</v>
      </c>
      <c r="B1298" t="s">
        <v>30</v>
      </c>
      <c r="C1298" t="s">
        <v>1449</v>
      </c>
      <c r="D1298" s="15">
        <v>16</v>
      </c>
      <c r="E1298" s="7">
        <v>172.5</v>
      </c>
      <c r="H1298">
        <v>55245</v>
      </c>
      <c r="I1298" t="s">
        <v>861</v>
      </c>
      <c r="J1298" t="s">
        <v>3063</v>
      </c>
      <c r="K1298" t="s">
        <v>3</v>
      </c>
      <c r="L1298" s="2">
        <v>43252</v>
      </c>
      <c r="M1298" s="2">
        <f>DHMXX[[#This Row],[INV DOC DATE]]+30</f>
        <v>43282</v>
      </c>
      <c r="N1298" s="2">
        <v>43279</v>
      </c>
      <c r="O1298" s="7">
        <v>172.5</v>
      </c>
      <c r="P1298" s="2">
        <v>43290</v>
      </c>
      <c r="Q1298" s="7">
        <f>$E1298-$O1298</f>
        <v>0</v>
      </c>
      <c r="R1298" s="7" t="str">
        <f ca="1">IF(TODAY() - DHMXX[INV DUE DATE]&lt;30, "Less than 30 days",IF(TODAY()-DHMXX[INV DUE DATE]&lt;60,"30-60 days","More than 60 days"))</f>
        <v>Less than 30 days</v>
      </c>
      <c r="S1298" t="s">
        <v>1550</v>
      </c>
      <c r="T1298" s="43" t="s">
        <v>2229</v>
      </c>
      <c r="U1298" t="s">
        <v>3699</v>
      </c>
    </row>
    <row r="1299" spans="1:21" x14ac:dyDescent="0.3">
      <c r="A1299" t="s">
        <v>4137</v>
      </c>
      <c r="B1299" t="s">
        <v>30</v>
      </c>
      <c r="C1299" t="s">
        <v>1450</v>
      </c>
      <c r="D1299" s="15">
        <v>16</v>
      </c>
      <c r="E1299" s="7">
        <v>172.5</v>
      </c>
      <c r="H1299">
        <v>55256</v>
      </c>
      <c r="I1299" t="s">
        <v>353</v>
      </c>
      <c r="J1299" t="s">
        <v>3064</v>
      </c>
      <c r="K1299" t="s">
        <v>3</v>
      </c>
      <c r="L1299" s="2">
        <v>43252</v>
      </c>
      <c r="M1299" s="2">
        <f>DHMXX[[#This Row],[INV DOC DATE]]+30</f>
        <v>43282</v>
      </c>
      <c r="N1299" s="2">
        <v>43279</v>
      </c>
      <c r="O1299" s="7">
        <v>172.5</v>
      </c>
      <c r="P1299" s="2">
        <v>43290</v>
      </c>
      <c r="Q1299" s="7">
        <f>$E1299-$O1299</f>
        <v>0</v>
      </c>
      <c r="R1299" s="7" t="str">
        <f ca="1">IF(TODAY() - DHMXX[INV DUE DATE]&lt;30, "Less than 30 days",IF(TODAY()-DHMXX[INV DUE DATE]&lt;60,"30-60 days","More than 60 days"))</f>
        <v>Less than 30 days</v>
      </c>
      <c r="S1299" t="s">
        <v>1550</v>
      </c>
      <c r="T1299" s="43" t="s">
        <v>2229</v>
      </c>
      <c r="U1299" t="s">
        <v>3699</v>
      </c>
    </row>
    <row r="1300" spans="1:21" x14ac:dyDescent="0.3">
      <c r="A1300" t="s">
        <v>4137</v>
      </c>
      <c r="B1300" t="s">
        <v>30</v>
      </c>
      <c r="C1300" t="s">
        <v>1451</v>
      </c>
      <c r="D1300" s="15">
        <v>16</v>
      </c>
      <c r="E1300" s="7">
        <v>172.5</v>
      </c>
      <c r="H1300">
        <v>55314</v>
      </c>
      <c r="I1300" t="s">
        <v>862</v>
      </c>
      <c r="J1300" t="s">
        <v>3065</v>
      </c>
      <c r="K1300" t="s">
        <v>3</v>
      </c>
      <c r="L1300" s="2">
        <v>43252</v>
      </c>
      <c r="M1300" s="2">
        <f>DHMXX[[#This Row],[INV DOC DATE]]+30</f>
        <v>43282</v>
      </c>
      <c r="N1300" s="2">
        <v>43279</v>
      </c>
      <c r="O1300" s="7">
        <v>172.5</v>
      </c>
      <c r="P1300" s="2">
        <v>43290</v>
      </c>
      <c r="Q1300" s="7">
        <f>$E1300-$O1300</f>
        <v>0</v>
      </c>
      <c r="R1300" s="7" t="str">
        <f ca="1">IF(TODAY() - DHMXX[INV DUE DATE]&lt;30, "Less than 30 days",IF(TODAY()-DHMXX[INV DUE DATE]&lt;60,"30-60 days","More than 60 days"))</f>
        <v>Less than 30 days</v>
      </c>
      <c r="S1300" t="s">
        <v>1550</v>
      </c>
      <c r="T1300" s="43" t="s">
        <v>2229</v>
      </c>
      <c r="U1300" t="s">
        <v>3699</v>
      </c>
    </row>
    <row r="1301" spans="1:21" x14ac:dyDescent="0.3">
      <c r="A1301" t="s">
        <v>4137</v>
      </c>
      <c r="B1301" t="s">
        <v>30</v>
      </c>
      <c r="C1301" t="s">
        <v>1452</v>
      </c>
      <c r="D1301" s="15">
        <v>16</v>
      </c>
      <c r="E1301" s="7">
        <v>172.5</v>
      </c>
      <c r="H1301">
        <v>55322</v>
      </c>
      <c r="I1301" t="s">
        <v>862</v>
      </c>
      <c r="J1301" t="s">
        <v>3069</v>
      </c>
      <c r="K1301" t="s">
        <v>3</v>
      </c>
      <c r="L1301" s="2">
        <v>43252</v>
      </c>
      <c r="M1301" s="2">
        <f>DHMXX[[#This Row],[INV DOC DATE]]+30</f>
        <v>43282</v>
      </c>
      <c r="N1301" s="2">
        <v>43279</v>
      </c>
      <c r="O1301" s="7">
        <v>172.5</v>
      </c>
      <c r="P1301" s="2">
        <v>43290</v>
      </c>
      <c r="Q1301" s="7">
        <f>$E1301-$O1301</f>
        <v>0</v>
      </c>
      <c r="R1301" s="7" t="str">
        <f ca="1">IF(TODAY() - DHMXX[INV DUE DATE]&lt;30, "Less than 30 days",IF(TODAY()-DHMXX[INV DUE DATE]&lt;60,"30-60 days","More than 60 days"))</f>
        <v>Less than 30 days</v>
      </c>
      <c r="S1301" t="s">
        <v>1550</v>
      </c>
      <c r="T1301" s="43" t="s">
        <v>2229</v>
      </c>
      <c r="U1301" t="s">
        <v>3699</v>
      </c>
    </row>
    <row r="1302" spans="1:21" x14ac:dyDescent="0.3">
      <c r="A1302" t="s">
        <v>4137</v>
      </c>
      <c r="B1302" t="s">
        <v>30</v>
      </c>
      <c r="C1302" t="s">
        <v>1453</v>
      </c>
      <c r="D1302" s="15">
        <v>16</v>
      </c>
      <c r="E1302" s="7">
        <v>172.5</v>
      </c>
      <c r="H1302">
        <v>55322</v>
      </c>
      <c r="I1302" t="s">
        <v>862</v>
      </c>
      <c r="J1302" t="s">
        <v>3067</v>
      </c>
      <c r="K1302" t="s">
        <v>3</v>
      </c>
      <c r="L1302" s="2">
        <v>43252</v>
      </c>
      <c r="M1302" s="2">
        <f>DHMXX[[#This Row],[INV DOC DATE]]+30</f>
        <v>43282</v>
      </c>
      <c r="N1302" s="2">
        <v>43279</v>
      </c>
      <c r="O1302" s="7">
        <v>172.5</v>
      </c>
      <c r="P1302" s="2">
        <v>43290</v>
      </c>
      <c r="Q1302" s="7">
        <f>$E1302-$O1302</f>
        <v>0</v>
      </c>
      <c r="R1302" s="7" t="str">
        <f ca="1">IF(TODAY() - DHMXX[INV DUE DATE]&lt;30, "Less than 30 days",IF(TODAY()-DHMXX[INV DUE DATE]&lt;60,"30-60 days","More than 60 days"))</f>
        <v>Less than 30 days</v>
      </c>
      <c r="S1302" t="s">
        <v>1550</v>
      </c>
      <c r="T1302" s="43" t="s">
        <v>2229</v>
      </c>
      <c r="U1302" t="s">
        <v>3699</v>
      </c>
    </row>
    <row r="1303" spans="1:21" x14ac:dyDescent="0.3">
      <c r="A1303" t="s">
        <v>4137</v>
      </c>
      <c r="B1303" t="s">
        <v>30</v>
      </c>
      <c r="C1303" t="s">
        <v>1454</v>
      </c>
      <c r="D1303" s="15">
        <v>16</v>
      </c>
      <c r="E1303" s="7">
        <v>172.5</v>
      </c>
      <c r="H1303">
        <v>55322</v>
      </c>
      <c r="I1303" t="s">
        <v>862</v>
      </c>
      <c r="J1303" t="s">
        <v>3068</v>
      </c>
      <c r="K1303" t="s">
        <v>3</v>
      </c>
      <c r="L1303" s="2">
        <v>43252</v>
      </c>
      <c r="M1303" s="2">
        <f>DHMXX[[#This Row],[INV DOC DATE]]+30</f>
        <v>43282</v>
      </c>
      <c r="N1303" s="2">
        <v>43279</v>
      </c>
      <c r="O1303" s="7">
        <v>172.5</v>
      </c>
      <c r="P1303" s="2">
        <v>43290</v>
      </c>
      <c r="Q1303" s="7">
        <f>$E1303-$O1303</f>
        <v>0</v>
      </c>
      <c r="R1303" s="7" t="str">
        <f ca="1">IF(TODAY() - DHMXX[INV DUE DATE]&lt;30, "Less than 30 days",IF(TODAY()-DHMXX[INV DUE DATE]&lt;60,"30-60 days","More than 60 days"))</f>
        <v>Less than 30 days</v>
      </c>
      <c r="S1303" t="s">
        <v>1550</v>
      </c>
      <c r="T1303" s="43" t="s">
        <v>2229</v>
      </c>
      <c r="U1303" t="s">
        <v>3699</v>
      </c>
    </row>
    <row r="1304" spans="1:21" x14ac:dyDescent="0.3">
      <c r="A1304" t="s">
        <v>4137</v>
      </c>
      <c r="B1304" t="s">
        <v>30</v>
      </c>
      <c r="C1304" t="s">
        <v>1455</v>
      </c>
      <c r="D1304" s="15">
        <v>16</v>
      </c>
      <c r="E1304" s="7">
        <v>172.5</v>
      </c>
      <c r="H1304">
        <v>55322</v>
      </c>
      <c r="I1304" t="s">
        <v>862</v>
      </c>
      <c r="J1304" t="s">
        <v>3066</v>
      </c>
      <c r="K1304" t="s">
        <v>3</v>
      </c>
      <c r="L1304" s="2">
        <v>43252</v>
      </c>
      <c r="M1304" s="2">
        <f>DHMXX[[#This Row],[INV DOC DATE]]+30</f>
        <v>43282</v>
      </c>
      <c r="N1304" s="2">
        <v>43279</v>
      </c>
      <c r="O1304" s="7">
        <v>172.5</v>
      </c>
      <c r="P1304" s="2">
        <v>43290</v>
      </c>
      <c r="Q1304" s="7">
        <f>$E1304-$O1304</f>
        <v>0</v>
      </c>
      <c r="R1304" s="7" t="str">
        <f ca="1">IF(TODAY() - DHMXX[INV DUE DATE]&lt;30, "Less than 30 days",IF(TODAY()-DHMXX[INV DUE DATE]&lt;60,"30-60 days","More than 60 days"))</f>
        <v>Less than 30 days</v>
      </c>
      <c r="S1304" t="s">
        <v>1550</v>
      </c>
      <c r="T1304" s="43" t="s">
        <v>2229</v>
      </c>
      <c r="U1304" t="s">
        <v>3699</v>
      </c>
    </row>
    <row r="1305" spans="1:21" x14ac:dyDescent="0.3">
      <c r="A1305" t="s">
        <v>4137</v>
      </c>
      <c r="B1305" t="s">
        <v>30</v>
      </c>
      <c r="C1305" t="s">
        <v>1456</v>
      </c>
      <c r="D1305" s="15">
        <v>16</v>
      </c>
      <c r="E1305" s="7">
        <v>172.5</v>
      </c>
      <c r="H1305">
        <v>55327</v>
      </c>
      <c r="I1305" t="s">
        <v>862</v>
      </c>
      <c r="J1305" t="s">
        <v>3071</v>
      </c>
      <c r="K1305" t="s">
        <v>3</v>
      </c>
      <c r="L1305" s="2">
        <v>43252</v>
      </c>
      <c r="M1305" s="2">
        <f>DHMXX[[#This Row],[INV DOC DATE]]+30</f>
        <v>43282</v>
      </c>
      <c r="N1305" s="2">
        <v>43279</v>
      </c>
      <c r="O1305" s="7">
        <v>172.5</v>
      </c>
      <c r="P1305" s="2">
        <v>43290</v>
      </c>
      <c r="Q1305" s="7">
        <f>$E1305-$O1305</f>
        <v>0</v>
      </c>
      <c r="R1305" s="7" t="str">
        <f ca="1">IF(TODAY() - DHMXX[INV DUE DATE]&lt;30, "Less than 30 days",IF(TODAY()-DHMXX[INV DUE DATE]&lt;60,"30-60 days","More than 60 days"))</f>
        <v>Less than 30 days</v>
      </c>
      <c r="S1305" t="s">
        <v>1550</v>
      </c>
      <c r="T1305" s="43" t="s">
        <v>2229</v>
      </c>
      <c r="U1305" t="s">
        <v>3699</v>
      </c>
    </row>
    <row r="1306" spans="1:21" x14ac:dyDescent="0.3">
      <c r="A1306" t="s">
        <v>4137</v>
      </c>
      <c r="B1306" t="s">
        <v>30</v>
      </c>
      <c r="C1306" t="s">
        <v>1457</v>
      </c>
      <c r="D1306" s="15">
        <v>16</v>
      </c>
      <c r="E1306" s="7">
        <v>172.5</v>
      </c>
      <c r="H1306">
        <v>55327</v>
      </c>
      <c r="I1306" t="s">
        <v>862</v>
      </c>
      <c r="J1306" t="s">
        <v>3072</v>
      </c>
      <c r="K1306" t="s">
        <v>3</v>
      </c>
      <c r="L1306" s="2">
        <v>43252</v>
      </c>
      <c r="M1306" s="2">
        <f>DHMXX[[#This Row],[INV DOC DATE]]+30</f>
        <v>43282</v>
      </c>
      <c r="N1306" s="2">
        <v>43279</v>
      </c>
      <c r="O1306" s="7">
        <v>172.5</v>
      </c>
      <c r="P1306" s="2">
        <v>43290</v>
      </c>
      <c r="Q1306" s="7">
        <f>$E1306-$O1306</f>
        <v>0</v>
      </c>
      <c r="R1306" s="7" t="str">
        <f ca="1">IF(TODAY() - DHMXX[INV DUE DATE]&lt;30, "Less than 30 days",IF(TODAY()-DHMXX[INV DUE DATE]&lt;60,"30-60 days","More than 60 days"))</f>
        <v>Less than 30 days</v>
      </c>
      <c r="S1306" t="s">
        <v>1550</v>
      </c>
      <c r="T1306" s="43" t="s">
        <v>2229</v>
      </c>
      <c r="U1306" t="s">
        <v>3699</v>
      </c>
    </row>
    <row r="1307" spans="1:21" x14ac:dyDescent="0.3">
      <c r="A1307" t="s">
        <v>4137</v>
      </c>
      <c r="B1307" t="s">
        <v>30</v>
      </c>
      <c r="C1307" t="s">
        <v>1458</v>
      </c>
      <c r="D1307" s="15">
        <v>16</v>
      </c>
      <c r="E1307" s="7">
        <v>172.5</v>
      </c>
      <c r="H1307">
        <v>55327</v>
      </c>
      <c r="I1307" t="s">
        <v>862</v>
      </c>
      <c r="J1307" t="s">
        <v>3070</v>
      </c>
      <c r="K1307" t="s">
        <v>3</v>
      </c>
      <c r="L1307" s="2">
        <v>43252</v>
      </c>
      <c r="M1307" s="2">
        <f>DHMXX[[#This Row],[INV DOC DATE]]+30</f>
        <v>43282</v>
      </c>
      <c r="N1307" s="2">
        <v>43279</v>
      </c>
      <c r="O1307" s="7">
        <v>172.5</v>
      </c>
      <c r="P1307" s="2">
        <v>43290</v>
      </c>
      <c r="Q1307" s="7">
        <f>$E1307-$O1307</f>
        <v>0</v>
      </c>
      <c r="R1307" s="7" t="str">
        <f ca="1">IF(TODAY() - DHMXX[INV DUE DATE]&lt;30, "Less than 30 days",IF(TODAY()-DHMXX[INV DUE DATE]&lt;60,"30-60 days","More than 60 days"))</f>
        <v>Less than 30 days</v>
      </c>
      <c r="S1307" t="s">
        <v>1550</v>
      </c>
      <c r="T1307" s="43" t="s">
        <v>2229</v>
      </c>
      <c r="U1307" t="s">
        <v>3699</v>
      </c>
    </row>
    <row r="1308" spans="1:21" x14ac:dyDescent="0.3">
      <c r="A1308" t="s">
        <v>4137</v>
      </c>
      <c r="B1308" t="s">
        <v>30</v>
      </c>
      <c r="C1308" t="s">
        <v>1459</v>
      </c>
      <c r="D1308" s="15">
        <v>16</v>
      </c>
      <c r="E1308" s="7">
        <v>172.5</v>
      </c>
      <c r="H1308">
        <v>56656</v>
      </c>
      <c r="I1308" t="s">
        <v>861</v>
      </c>
      <c r="J1308" t="s">
        <v>3073</v>
      </c>
      <c r="K1308" t="s">
        <v>3</v>
      </c>
      <c r="L1308" s="2">
        <v>43252</v>
      </c>
      <c r="M1308" s="2">
        <f>DHMXX[[#This Row],[INV DOC DATE]]+30</f>
        <v>43282</v>
      </c>
      <c r="N1308" s="2">
        <v>43279</v>
      </c>
      <c r="O1308" s="7">
        <v>172.5</v>
      </c>
      <c r="P1308" s="2">
        <v>43290</v>
      </c>
      <c r="Q1308" s="7">
        <f>$E1308-$O1308</f>
        <v>0</v>
      </c>
      <c r="R1308" s="7" t="str">
        <f ca="1">IF(TODAY() - DHMXX[INV DUE DATE]&lt;30, "Less than 30 days",IF(TODAY()-DHMXX[INV DUE DATE]&lt;60,"30-60 days","More than 60 days"))</f>
        <v>Less than 30 days</v>
      </c>
      <c r="S1308" t="s">
        <v>1550</v>
      </c>
      <c r="T1308" s="43" t="s">
        <v>2229</v>
      </c>
      <c r="U1308" t="s">
        <v>3699</v>
      </c>
    </row>
    <row r="1309" spans="1:21" x14ac:dyDescent="0.3">
      <c r="A1309" t="s">
        <v>4137</v>
      </c>
      <c r="B1309" t="s">
        <v>30</v>
      </c>
      <c r="C1309" t="s">
        <v>1460</v>
      </c>
      <c r="D1309" s="15">
        <v>16</v>
      </c>
      <c r="E1309" s="7">
        <v>172.5</v>
      </c>
      <c r="H1309">
        <v>56656</v>
      </c>
      <c r="I1309" t="s">
        <v>861</v>
      </c>
      <c r="J1309" t="s">
        <v>3074</v>
      </c>
      <c r="K1309" t="s">
        <v>3</v>
      </c>
      <c r="L1309" s="2">
        <v>43252</v>
      </c>
      <c r="M1309" s="2">
        <f>DHMXX[[#This Row],[INV DOC DATE]]+30</f>
        <v>43282</v>
      </c>
      <c r="N1309" s="2">
        <v>43279</v>
      </c>
      <c r="O1309" s="7">
        <v>172.5</v>
      </c>
      <c r="P1309" s="2">
        <v>43290</v>
      </c>
      <c r="Q1309" s="7">
        <f>$E1309-$O1309</f>
        <v>0</v>
      </c>
      <c r="R1309" s="7" t="str">
        <f ca="1">IF(TODAY() - DHMXX[INV DUE DATE]&lt;30, "Less than 30 days",IF(TODAY()-DHMXX[INV DUE DATE]&lt;60,"30-60 days","More than 60 days"))</f>
        <v>Less than 30 days</v>
      </c>
      <c r="S1309" t="s">
        <v>1550</v>
      </c>
      <c r="T1309" s="43" t="s">
        <v>2229</v>
      </c>
      <c r="U1309" t="s">
        <v>3699</v>
      </c>
    </row>
    <row r="1310" spans="1:21" x14ac:dyDescent="0.3">
      <c r="A1310" t="s">
        <v>4137</v>
      </c>
      <c r="B1310" t="s">
        <v>30</v>
      </c>
      <c r="C1310" t="s">
        <v>1461</v>
      </c>
      <c r="D1310" s="15">
        <v>16</v>
      </c>
      <c r="E1310" s="7">
        <v>172.5</v>
      </c>
      <c r="H1310">
        <v>56660</v>
      </c>
      <c r="I1310" t="s">
        <v>861</v>
      </c>
      <c r="J1310" t="s">
        <v>3075</v>
      </c>
      <c r="K1310" t="s">
        <v>3</v>
      </c>
      <c r="L1310" s="2">
        <v>43252</v>
      </c>
      <c r="M1310" s="2">
        <f>DHMXX[[#This Row],[INV DOC DATE]]+30</f>
        <v>43282</v>
      </c>
      <c r="N1310" s="2">
        <v>43279</v>
      </c>
      <c r="O1310" s="7">
        <v>172.5</v>
      </c>
      <c r="P1310" s="2">
        <v>43290</v>
      </c>
      <c r="Q1310" s="7">
        <f>$E1310-$O1310</f>
        <v>0</v>
      </c>
      <c r="R1310" s="7" t="str">
        <f ca="1">IF(TODAY() - DHMXX[INV DUE DATE]&lt;30, "Less than 30 days",IF(TODAY()-DHMXX[INV DUE DATE]&lt;60,"30-60 days","More than 60 days"))</f>
        <v>Less than 30 days</v>
      </c>
      <c r="S1310" t="s">
        <v>1550</v>
      </c>
      <c r="T1310" s="43" t="s">
        <v>2229</v>
      </c>
      <c r="U1310" t="s">
        <v>3699</v>
      </c>
    </row>
    <row r="1311" spans="1:21" x14ac:dyDescent="0.3">
      <c r="A1311" t="s">
        <v>4137</v>
      </c>
      <c r="B1311" t="s">
        <v>30</v>
      </c>
      <c r="C1311" t="s">
        <v>1462</v>
      </c>
      <c r="D1311" s="15">
        <v>16</v>
      </c>
      <c r="E1311" s="7">
        <v>172.5</v>
      </c>
      <c r="H1311">
        <v>82223</v>
      </c>
      <c r="I1311" t="s">
        <v>858</v>
      </c>
      <c r="J1311" t="s">
        <v>3076</v>
      </c>
      <c r="K1311" t="s">
        <v>3</v>
      </c>
      <c r="L1311" s="2">
        <v>43252</v>
      </c>
      <c r="M1311" s="2">
        <f>DHMXX[[#This Row],[INV DOC DATE]]+30</f>
        <v>43282</v>
      </c>
      <c r="N1311" s="2">
        <v>43279</v>
      </c>
      <c r="O1311" s="7">
        <v>172.5</v>
      </c>
      <c r="P1311" s="2">
        <v>43290</v>
      </c>
      <c r="Q1311" s="7">
        <f>$E1311-$O1311</f>
        <v>0</v>
      </c>
      <c r="R1311" s="7" t="str">
        <f ca="1">IF(TODAY() - DHMXX[INV DUE DATE]&lt;30, "Less than 30 days",IF(TODAY()-DHMXX[INV DUE DATE]&lt;60,"30-60 days","More than 60 days"))</f>
        <v>Less than 30 days</v>
      </c>
      <c r="S1311" t="s">
        <v>1550</v>
      </c>
      <c r="T1311" s="43" t="s">
        <v>2229</v>
      </c>
      <c r="U1311" t="s">
        <v>3699</v>
      </c>
    </row>
    <row r="1312" spans="1:21" x14ac:dyDescent="0.3">
      <c r="A1312" t="s">
        <v>4137</v>
      </c>
      <c r="B1312" t="s">
        <v>30</v>
      </c>
      <c r="C1312" t="s">
        <v>1463</v>
      </c>
      <c r="D1312" s="15">
        <v>16</v>
      </c>
      <c r="E1312" s="7">
        <v>172.5</v>
      </c>
      <c r="H1312">
        <v>82227</v>
      </c>
      <c r="I1312" t="s">
        <v>858</v>
      </c>
      <c r="J1312" t="s">
        <v>3078</v>
      </c>
      <c r="K1312" t="s">
        <v>3</v>
      </c>
      <c r="L1312" s="2">
        <v>43252</v>
      </c>
      <c r="M1312" s="2">
        <f>DHMXX[[#This Row],[INV DOC DATE]]+30</f>
        <v>43282</v>
      </c>
      <c r="N1312" s="2">
        <v>43279</v>
      </c>
      <c r="O1312" s="7">
        <v>172.5</v>
      </c>
      <c r="P1312" s="2">
        <v>43290</v>
      </c>
      <c r="Q1312" s="7">
        <f>$E1312-$O1312</f>
        <v>0</v>
      </c>
      <c r="R1312" s="7" t="str">
        <f ca="1">IF(TODAY() - DHMXX[INV DUE DATE]&lt;30, "Less than 30 days",IF(TODAY()-DHMXX[INV DUE DATE]&lt;60,"30-60 days","More than 60 days"))</f>
        <v>Less than 30 days</v>
      </c>
      <c r="S1312" t="s">
        <v>1550</v>
      </c>
      <c r="T1312" s="43" t="s">
        <v>2229</v>
      </c>
      <c r="U1312" t="s">
        <v>3699</v>
      </c>
    </row>
    <row r="1313" spans="1:21" x14ac:dyDescent="0.3">
      <c r="A1313" t="s">
        <v>4137</v>
      </c>
      <c r="B1313" t="s">
        <v>30</v>
      </c>
      <c r="C1313" t="s">
        <v>1464</v>
      </c>
      <c r="D1313" s="15">
        <v>16</v>
      </c>
      <c r="E1313" s="7">
        <v>172.5</v>
      </c>
      <c r="H1313">
        <v>82227</v>
      </c>
      <c r="I1313" t="s">
        <v>858</v>
      </c>
      <c r="J1313" t="s">
        <v>3077</v>
      </c>
      <c r="K1313" t="s">
        <v>3</v>
      </c>
      <c r="L1313" s="2">
        <v>43252</v>
      </c>
      <c r="M1313" s="2">
        <f>DHMXX[[#This Row],[INV DOC DATE]]+30</f>
        <v>43282</v>
      </c>
      <c r="N1313" s="2">
        <v>43279</v>
      </c>
      <c r="O1313" s="7">
        <v>172.5</v>
      </c>
      <c r="P1313" s="2">
        <v>43290</v>
      </c>
      <c r="Q1313" s="7">
        <f>$E1313-$O1313</f>
        <v>0</v>
      </c>
      <c r="R1313" s="7" t="str">
        <f ca="1">IF(TODAY() - DHMXX[INV DUE DATE]&lt;30, "Less than 30 days",IF(TODAY()-DHMXX[INV DUE DATE]&lt;60,"30-60 days","More than 60 days"))</f>
        <v>Less than 30 days</v>
      </c>
      <c r="S1313" t="s">
        <v>1550</v>
      </c>
      <c r="T1313" s="43" t="s">
        <v>2229</v>
      </c>
      <c r="U1313" t="s">
        <v>3699</v>
      </c>
    </row>
    <row r="1314" spans="1:21" x14ac:dyDescent="0.3">
      <c r="A1314" t="s">
        <v>4137</v>
      </c>
      <c r="B1314" t="s">
        <v>30</v>
      </c>
      <c r="C1314" t="s">
        <v>1475</v>
      </c>
      <c r="D1314" s="15">
        <v>2000</v>
      </c>
      <c r="E1314" s="7">
        <v>420</v>
      </c>
      <c r="H1314">
        <v>36784</v>
      </c>
      <c r="I1314" t="s">
        <v>865</v>
      </c>
      <c r="J1314" t="s">
        <v>3082</v>
      </c>
      <c r="K1314" t="s">
        <v>3</v>
      </c>
      <c r="L1314" s="2">
        <v>43252</v>
      </c>
      <c r="M1314" s="2">
        <f>DHMXX[[#This Row],[INV DOC DATE]]+30</f>
        <v>43282</v>
      </c>
      <c r="N1314" s="2">
        <v>43279</v>
      </c>
      <c r="O1314" s="7">
        <v>420</v>
      </c>
      <c r="P1314" s="2">
        <v>43290</v>
      </c>
      <c r="Q1314" s="7">
        <f>$E1314-$O1314</f>
        <v>0</v>
      </c>
      <c r="R1314" s="7" t="str">
        <f ca="1">IF(TODAY() - DHMXX[INV DUE DATE]&lt;30, "Less than 30 days",IF(TODAY()-DHMXX[INV DUE DATE]&lt;60,"30-60 days","More than 60 days"))</f>
        <v>Less than 30 days</v>
      </c>
      <c r="S1314" t="s">
        <v>1550</v>
      </c>
      <c r="T1314" s="43" t="s">
        <v>2229</v>
      </c>
      <c r="U1314" t="s">
        <v>3699</v>
      </c>
    </row>
    <row r="1315" spans="1:21" x14ac:dyDescent="0.3">
      <c r="A1315" t="s">
        <v>4137</v>
      </c>
      <c r="B1315" t="s">
        <v>30</v>
      </c>
      <c r="C1315" t="s">
        <v>1476</v>
      </c>
      <c r="D1315" s="15">
        <v>2000</v>
      </c>
      <c r="E1315" s="7">
        <v>420</v>
      </c>
      <c r="H1315">
        <v>36784</v>
      </c>
      <c r="I1315" t="s">
        <v>865</v>
      </c>
      <c r="J1315" t="s">
        <v>3083</v>
      </c>
      <c r="K1315" t="s">
        <v>3</v>
      </c>
      <c r="L1315" s="2">
        <v>43252</v>
      </c>
      <c r="M1315" s="2">
        <f>DHMXX[[#This Row],[INV DOC DATE]]+30</f>
        <v>43282</v>
      </c>
      <c r="N1315" s="2">
        <v>43279</v>
      </c>
      <c r="O1315" s="7">
        <v>420</v>
      </c>
      <c r="P1315" s="2">
        <v>43290</v>
      </c>
      <c r="Q1315" s="7">
        <f>$E1315-$O1315</f>
        <v>0</v>
      </c>
      <c r="R1315" s="7" t="str">
        <f ca="1">IF(TODAY() - DHMXX[INV DUE DATE]&lt;30, "Less than 30 days",IF(TODAY()-DHMXX[INV DUE DATE]&lt;60,"30-60 days","More than 60 days"))</f>
        <v>Less than 30 days</v>
      </c>
      <c r="S1315" t="s">
        <v>1550</v>
      </c>
      <c r="T1315" s="43" t="s">
        <v>2229</v>
      </c>
      <c r="U1315" t="s">
        <v>3699</v>
      </c>
    </row>
    <row r="1316" spans="1:21" x14ac:dyDescent="0.3">
      <c r="A1316" t="s">
        <v>4137</v>
      </c>
      <c r="B1316" t="s">
        <v>30</v>
      </c>
      <c r="C1316" t="s">
        <v>1477</v>
      </c>
      <c r="D1316" s="15">
        <v>2000</v>
      </c>
      <c r="E1316" s="7">
        <v>420</v>
      </c>
      <c r="H1316">
        <v>36784</v>
      </c>
      <c r="I1316" t="s">
        <v>865</v>
      </c>
      <c r="J1316" t="s">
        <v>3084</v>
      </c>
      <c r="K1316" t="s">
        <v>3</v>
      </c>
      <c r="L1316" s="2">
        <v>43252</v>
      </c>
      <c r="M1316" s="2">
        <f>DHMXX[[#This Row],[INV DOC DATE]]+30</f>
        <v>43282</v>
      </c>
      <c r="N1316" s="2">
        <v>43279</v>
      </c>
      <c r="O1316" s="7">
        <v>420</v>
      </c>
      <c r="P1316" s="2">
        <v>43290</v>
      </c>
      <c r="Q1316" s="7">
        <f>$E1316-$O1316</f>
        <v>0</v>
      </c>
      <c r="R1316" s="7" t="str">
        <f ca="1">IF(TODAY() - DHMXX[INV DUE DATE]&lt;30, "Less than 30 days",IF(TODAY()-DHMXX[INV DUE DATE]&lt;60,"30-60 days","More than 60 days"))</f>
        <v>Less than 30 days</v>
      </c>
      <c r="S1316" t="s">
        <v>1550</v>
      </c>
      <c r="T1316" s="43" t="s">
        <v>2229</v>
      </c>
      <c r="U1316" t="s">
        <v>3699</v>
      </c>
    </row>
    <row r="1317" spans="1:21" x14ac:dyDescent="0.3">
      <c r="A1317" t="s">
        <v>4137</v>
      </c>
      <c r="B1317" t="s">
        <v>30</v>
      </c>
      <c r="C1317" t="s">
        <v>1478</v>
      </c>
      <c r="D1317" s="15">
        <v>2000</v>
      </c>
      <c r="E1317" s="7">
        <v>172.5</v>
      </c>
      <c r="H1317">
        <v>36989</v>
      </c>
      <c r="I1317" t="s">
        <v>361</v>
      </c>
      <c r="J1317" t="s">
        <v>3085</v>
      </c>
      <c r="K1317" t="s">
        <v>3</v>
      </c>
      <c r="L1317" s="2">
        <v>43252</v>
      </c>
      <c r="M1317" s="2">
        <f>DHMXX[[#This Row],[INV DOC DATE]]+30</f>
        <v>43282</v>
      </c>
      <c r="N1317" s="2">
        <v>43279</v>
      </c>
      <c r="O1317" s="7">
        <v>172.5</v>
      </c>
      <c r="P1317" s="2">
        <v>43290</v>
      </c>
      <c r="Q1317" s="7">
        <f>$E1317-$O1317</f>
        <v>0</v>
      </c>
      <c r="R1317" s="7" t="str">
        <f ca="1">IF(TODAY() - DHMXX[INV DUE DATE]&lt;30, "Less than 30 days",IF(TODAY()-DHMXX[INV DUE DATE]&lt;60,"30-60 days","More than 60 days"))</f>
        <v>Less than 30 days</v>
      </c>
      <c r="S1317" t="s">
        <v>1550</v>
      </c>
      <c r="T1317" s="43" t="s">
        <v>2229</v>
      </c>
      <c r="U1317" t="s">
        <v>3699</v>
      </c>
    </row>
    <row r="1318" spans="1:21" x14ac:dyDescent="0.3">
      <c r="A1318" t="s">
        <v>4137</v>
      </c>
      <c r="B1318" t="s">
        <v>30</v>
      </c>
      <c r="C1318" t="s">
        <v>1479</v>
      </c>
      <c r="D1318" s="15">
        <v>2000</v>
      </c>
      <c r="E1318" s="7">
        <v>172.5</v>
      </c>
      <c r="H1318">
        <v>36989</v>
      </c>
      <c r="I1318" t="s">
        <v>361</v>
      </c>
      <c r="J1318" t="s">
        <v>3086</v>
      </c>
      <c r="K1318" t="s">
        <v>3</v>
      </c>
      <c r="L1318" s="2">
        <v>43252</v>
      </c>
      <c r="M1318" s="2">
        <f>DHMXX[[#This Row],[INV DOC DATE]]+30</f>
        <v>43282</v>
      </c>
      <c r="N1318" s="2">
        <v>43279</v>
      </c>
      <c r="O1318" s="7">
        <v>172.5</v>
      </c>
      <c r="P1318" s="2">
        <v>43290</v>
      </c>
      <c r="Q1318" s="7">
        <f>$E1318-$O1318</f>
        <v>0</v>
      </c>
      <c r="R1318" s="7" t="str">
        <f ca="1">IF(TODAY() - DHMXX[INV DUE DATE]&lt;30, "Less than 30 days",IF(TODAY()-DHMXX[INV DUE DATE]&lt;60,"30-60 days","More than 60 days"))</f>
        <v>Less than 30 days</v>
      </c>
      <c r="S1318" t="s">
        <v>1550</v>
      </c>
      <c r="T1318" s="43" t="s">
        <v>2229</v>
      </c>
      <c r="U1318" t="s">
        <v>3699</v>
      </c>
    </row>
    <row r="1319" spans="1:21" x14ac:dyDescent="0.3">
      <c r="A1319" t="s">
        <v>4137</v>
      </c>
      <c r="B1319" t="s">
        <v>30</v>
      </c>
      <c r="C1319" t="s">
        <v>1480</v>
      </c>
      <c r="D1319" s="15">
        <v>2000</v>
      </c>
      <c r="E1319" s="7">
        <v>172.5</v>
      </c>
      <c r="H1319">
        <v>36992</v>
      </c>
      <c r="I1319" t="s">
        <v>361</v>
      </c>
      <c r="J1319" t="s">
        <v>3093</v>
      </c>
      <c r="K1319" t="s">
        <v>3</v>
      </c>
      <c r="L1319" s="2">
        <v>43252</v>
      </c>
      <c r="M1319" s="2">
        <f>DHMXX[[#This Row],[INV DOC DATE]]+30</f>
        <v>43282</v>
      </c>
      <c r="N1319" s="2">
        <v>43279</v>
      </c>
      <c r="O1319" s="7">
        <v>172.5</v>
      </c>
      <c r="P1319" s="2">
        <v>43290</v>
      </c>
      <c r="Q1319" s="7">
        <f>$E1319-$O1319</f>
        <v>0</v>
      </c>
      <c r="R1319" s="7" t="str">
        <f ca="1">IF(TODAY() - DHMXX[INV DUE DATE]&lt;30, "Less than 30 days",IF(TODAY()-DHMXX[INV DUE DATE]&lt;60,"30-60 days","More than 60 days"))</f>
        <v>Less than 30 days</v>
      </c>
      <c r="S1319" t="s">
        <v>1550</v>
      </c>
      <c r="T1319" s="43" t="s">
        <v>2229</v>
      </c>
      <c r="U1319" t="s">
        <v>3699</v>
      </c>
    </row>
    <row r="1320" spans="1:21" x14ac:dyDescent="0.3">
      <c r="A1320" t="s">
        <v>4137</v>
      </c>
      <c r="B1320" t="s">
        <v>30</v>
      </c>
      <c r="C1320" t="s">
        <v>1481</v>
      </c>
      <c r="D1320" s="15">
        <v>2000</v>
      </c>
      <c r="E1320" s="7">
        <v>172.5</v>
      </c>
      <c r="H1320">
        <v>36992</v>
      </c>
      <c r="I1320" t="s">
        <v>361</v>
      </c>
      <c r="J1320" t="s">
        <v>3094</v>
      </c>
      <c r="K1320" t="s">
        <v>3</v>
      </c>
      <c r="L1320" s="2">
        <v>43252</v>
      </c>
      <c r="M1320" s="2">
        <f>DHMXX[[#This Row],[INV DOC DATE]]+30</f>
        <v>43282</v>
      </c>
      <c r="N1320" s="2">
        <v>43279</v>
      </c>
      <c r="O1320" s="7">
        <v>172.5</v>
      </c>
      <c r="P1320" s="2">
        <v>43290</v>
      </c>
      <c r="Q1320" s="7">
        <f>$E1320-$O1320</f>
        <v>0</v>
      </c>
      <c r="R1320" s="7" t="str">
        <f ca="1">IF(TODAY() - DHMXX[INV DUE DATE]&lt;30, "Less than 30 days",IF(TODAY()-DHMXX[INV DUE DATE]&lt;60,"30-60 days","More than 60 days"))</f>
        <v>Less than 30 days</v>
      </c>
      <c r="S1320" t="s">
        <v>1550</v>
      </c>
      <c r="T1320" s="43" t="s">
        <v>2229</v>
      </c>
      <c r="U1320" t="s">
        <v>3699</v>
      </c>
    </row>
    <row r="1321" spans="1:21" x14ac:dyDescent="0.3">
      <c r="A1321" t="s">
        <v>4137</v>
      </c>
      <c r="B1321" t="s">
        <v>30</v>
      </c>
      <c r="C1321" t="s">
        <v>1482</v>
      </c>
      <c r="D1321" s="15">
        <v>2000</v>
      </c>
      <c r="E1321" s="7">
        <v>172.5</v>
      </c>
      <c r="H1321">
        <v>36992</v>
      </c>
      <c r="I1321" t="s">
        <v>361</v>
      </c>
      <c r="J1321" t="s">
        <v>3095</v>
      </c>
      <c r="K1321" t="s">
        <v>3</v>
      </c>
      <c r="L1321" s="2">
        <v>43252</v>
      </c>
      <c r="M1321" s="2">
        <f>DHMXX[[#This Row],[INV DOC DATE]]+30</f>
        <v>43282</v>
      </c>
      <c r="N1321" s="2">
        <v>43279</v>
      </c>
      <c r="O1321" s="7">
        <v>172.5</v>
      </c>
      <c r="P1321" s="2">
        <v>43290</v>
      </c>
      <c r="Q1321" s="7">
        <f>$E1321-$O1321</f>
        <v>0</v>
      </c>
      <c r="R1321" s="7" t="str">
        <f ca="1">IF(TODAY() - DHMXX[INV DUE DATE]&lt;30, "Less than 30 days",IF(TODAY()-DHMXX[INV DUE DATE]&lt;60,"30-60 days","More than 60 days"))</f>
        <v>Less than 30 days</v>
      </c>
      <c r="S1321" t="s">
        <v>1550</v>
      </c>
      <c r="T1321" s="43" t="s">
        <v>2229</v>
      </c>
      <c r="U1321" t="s">
        <v>3699</v>
      </c>
    </row>
    <row r="1322" spans="1:21" x14ac:dyDescent="0.3">
      <c r="A1322" t="s">
        <v>4137</v>
      </c>
      <c r="B1322" t="s">
        <v>30</v>
      </c>
      <c r="C1322" t="s">
        <v>1483</v>
      </c>
      <c r="D1322" s="15">
        <v>2000</v>
      </c>
      <c r="E1322" s="7">
        <v>172.5</v>
      </c>
      <c r="H1322">
        <v>36992</v>
      </c>
      <c r="I1322" t="s">
        <v>361</v>
      </c>
      <c r="J1322" t="s">
        <v>3087</v>
      </c>
      <c r="K1322" t="s">
        <v>3</v>
      </c>
      <c r="L1322" s="2">
        <v>43252</v>
      </c>
      <c r="M1322" s="2">
        <f>DHMXX[[#This Row],[INV DOC DATE]]+30</f>
        <v>43282</v>
      </c>
      <c r="N1322" s="2">
        <v>43279</v>
      </c>
      <c r="O1322" s="7">
        <v>172.5</v>
      </c>
      <c r="P1322" s="2">
        <v>43290</v>
      </c>
      <c r="Q1322" s="7">
        <f>$E1322-$O1322</f>
        <v>0</v>
      </c>
      <c r="R1322" s="7" t="str">
        <f ca="1">IF(TODAY() - DHMXX[INV DUE DATE]&lt;30, "Less than 30 days",IF(TODAY()-DHMXX[INV DUE DATE]&lt;60,"30-60 days","More than 60 days"))</f>
        <v>Less than 30 days</v>
      </c>
      <c r="S1322" t="s">
        <v>1550</v>
      </c>
      <c r="T1322" s="43" t="s">
        <v>2229</v>
      </c>
      <c r="U1322" t="s">
        <v>3699</v>
      </c>
    </row>
    <row r="1323" spans="1:21" x14ac:dyDescent="0.3">
      <c r="A1323" t="s">
        <v>4137</v>
      </c>
      <c r="B1323" t="s">
        <v>30</v>
      </c>
      <c r="C1323" t="s">
        <v>1484</v>
      </c>
      <c r="D1323" s="15">
        <v>2000</v>
      </c>
      <c r="E1323" s="7">
        <v>172.5</v>
      </c>
      <c r="H1323">
        <v>36992</v>
      </c>
      <c r="I1323" t="s">
        <v>361</v>
      </c>
      <c r="J1323" t="s">
        <v>3092</v>
      </c>
      <c r="K1323" t="s">
        <v>3</v>
      </c>
      <c r="L1323" s="2">
        <v>43252</v>
      </c>
      <c r="M1323" s="2">
        <f>DHMXX[[#This Row],[INV DOC DATE]]+30</f>
        <v>43282</v>
      </c>
      <c r="N1323" s="2">
        <v>43279</v>
      </c>
      <c r="O1323" s="7">
        <v>172.5</v>
      </c>
      <c r="P1323" s="2">
        <v>43290</v>
      </c>
      <c r="Q1323" s="7">
        <f>$E1323-$O1323</f>
        <v>0</v>
      </c>
      <c r="R1323" s="7" t="str">
        <f ca="1">IF(TODAY() - DHMXX[INV DUE DATE]&lt;30, "Less than 30 days",IF(TODAY()-DHMXX[INV DUE DATE]&lt;60,"30-60 days","More than 60 days"))</f>
        <v>Less than 30 days</v>
      </c>
      <c r="S1323" t="s">
        <v>1550</v>
      </c>
      <c r="T1323" s="43" t="s">
        <v>2229</v>
      </c>
      <c r="U1323" t="s">
        <v>3699</v>
      </c>
    </row>
    <row r="1324" spans="1:21" x14ac:dyDescent="0.3">
      <c r="A1324" t="s">
        <v>4137</v>
      </c>
      <c r="B1324" t="s">
        <v>30</v>
      </c>
      <c r="C1324" t="s">
        <v>1485</v>
      </c>
      <c r="D1324" s="15">
        <v>2000</v>
      </c>
      <c r="E1324" s="7">
        <v>172.5</v>
      </c>
      <c r="H1324">
        <v>36992</v>
      </c>
      <c r="I1324" t="s">
        <v>361</v>
      </c>
      <c r="J1324" t="s">
        <v>3088</v>
      </c>
      <c r="K1324" t="s">
        <v>3</v>
      </c>
      <c r="L1324" s="2">
        <v>43252</v>
      </c>
      <c r="M1324" s="2">
        <f>DHMXX[[#This Row],[INV DOC DATE]]+30</f>
        <v>43282</v>
      </c>
      <c r="N1324" s="2">
        <v>43279</v>
      </c>
      <c r="O1324" s="7">
        <v>172.5</v>
      </c>
      <c r="P1324" s="2">
        <v>43290</v>
      </c>
      <c r="Q1324" s="7">
        <f>$E1324-$O1324</f>
        <v>0</v>
      </c>
      <c r="R1324" s="7" t="str">
        <f ca="1">IF(TODAY() - DHMXX[INV DUE DATE]&lt;30, "Less than 30 days",IF(TODAY()-DHMXX[INV DUE DATE]&lt;60,"30-60 days","More than 60 days"))</f>
        <v>Less than 30 days</v>
      </c>
      <c r="S1324" t="s">
        <v>1550</v>
      </c>
      <c r="T1324" s="43" t="s">
        <v>2229</v>
      </c>
      <c r="U1324" t="s">
        <v>3699</v>
      </c>
    </row>
    <row r="1325" spans="1:21" x14ac:dyDescent="0.3">
      <c r="A1325" t="s">
        <v>4137</v>
      </c>
      <c r="B1325" t="s">
        <v>30</v>
      </c>
      <c r="C1325" t="s">
        <v>1486</v>
      </c>
      <c r="D1325" s="15">
        <v>2000</v>
      </c>
      <c r="E1325" s="7">
        <v>172.5</v>
      </c>
      <c r="H1325">
        <v>36992</v>
      </c>
      <c r="I1325" t="s">
        <v>361</v>
      </c>
      <c r="J1325" t="s">
        <v>3089</v>
      </c>
      <c r="K1325" t="s">
        <v>3</v>
      </c>
      <c r="L1325" s="2">
        <v>43252</v>
      </c>
      <c r="M1325" s="2">
        <f>DHMXX[[#This Row],[INV DOC DATE]]+30</f>
        <v>43282</v>
      </c>
      <c r="N1325" s="2">
        <v>43279</v>
      </c>
      <c r="O1325" s="7">
        <v>172.5</v>
      </c>
      <c r="P1325" s="2">
        <v>43290</v>
      </c>
      <c r="Q1325" s="7">
        <f>$E1325-$O1325</f>
        <v>0</v>
      </c>
      <c r="R1325" s="7" t="str">
        <f ca="1">IF(TODAY() - DHMXX[INV DUE DATE]&lt;30, "Less than 30 days",IF(TODAY()-DHMXX[INV DUE DATE]&lt;60,"30-60 days","More than 60 days"))</f>
        <v>Less than 30 days</v>
      </c>
      <c r="S1325" t="s">
        <v>1550</v>
      </c>
      <c r="T1325" s="43" t="s">
        <v>2229</v>
      </c>
      <c r="U1325" t="s">
        <v>3699</v>
      </c>
    </row>
    <row r="1326" spans="1:21" x14ac:dyDescent="0.3">
      <c r="A1326" t="s">
        <v>4137</v>
      </c>
      <c r="B1326" t="s">
        <v>30</v>
      </c>
      <c r="C1326" t="s">
        <v>1487</v>
      </c>
      <c r="D1326" s="15">
        <v>2000</v>
      </c>
      <c r="E1326" s="7">
        <v>172.5</v>
      </c>
      <c r="H1326">
        <v>36992</v>
      </c>
      <c r="I1326" t="s">
        <v>361</v>
      </c>
      <c r="J1326" t="s">
        <v>3090</v>
      </c>
      <c r="K1326" t="s">
        <v>3</v>
      </c>
      <c r="L1326" s="2">
        <v>43252</v>
      </c>
      <c r="M1326" s="2">
        <f>DHMXX[[#This Row],[INV DOC DATE]]+30</f>
        <v>43282</v>
      </c>
      <c r="N1326" s="2">
        <v>43279</v>
      </c>
      <c r="O1326" s="7">
        <v>172.5</v>
      </c>
      <c r="P1326" s="2">
        <v>43290</v>
      </c>
      <c r="Q1326" s="7">
        <f>$E1326-$O1326</f>
        <v>0</v>
      </c>
      <c r="R1326" s="7" t="str">
        <f ca="1">IF(TODAY() - DHMXX[INV DUE DATE]&lt;30, "Less than 30 days",IF(TODAY()-DHMXX[INV DUE DATE]&lt;60,"30-60 days","More than 60 days"))</f>
        <v>Less than 30 days</v>
      </c>
      <c r="S1326" t="s">
        <v>1550</v>
      </c>
      <c r="T1326" s="43" t="s">
        <v>2229</v>
      </c>
      <c r="U1326" t="s">
        <v>3699</v>
      </c>
    </row>
    <row r="1327" spans="1:21" x14ac:dyDescent="0.3">
      <c r="A1327" t="s">
        <v>4137</v>
      </c>
      <c r="B1327" t="s">
        <v>30</v>
      </c>
      <c r="C1327" t="s">
        <v>1488</v>
      </c>
      <c r="D1327" s="15">
        <v>2000</v>
      </c>
      <c r="E1327" s="7">
        <v>172.5</v>
      </c>
      <c r="H1327">
        <v>36992</v>
      </c>
      <c r="I1327" t="s">
        <v>361</v>
      </c>
      <c r="J1327" t="s">
        <v>3091</v>
      </c>
      <c r="K1327" t="s">
        <v>3</v>
      </c>
      <c r="L1327" s="2">
        <v>43252</v>
      </c>
      <c r="M1327" s="2">
        <f>DHMXX[[#This Row],[INV DOC DATE]]+30</f>
        <v>43282</v>
      </c>
      <c r="N1327" s="2">
        <v>43279</v>
      </c>
      <c r="O1327" s="7">
        <v>172.5</v>
      </c>
      <c r="P1327" s="2">
        <v>43290</v>
      </c>
      <c r="Q1327" s="7">
        <f>$E1327-$O1327</f>
        <v>0</v>
      </c>
      <c r="R1327" s="7" t="str">
        <f ca="1">IF(TODAY() - DHMXX[INV DUE DATE]&lt;30, "Less than 30 days",IF(TODAY()-DHMXX[INV DUE DATE]&lt;60,"30-60 days","More than 60 days"))</f>
        <v>Less than 30 days</v>
      </c>
      <c r="S1327" t="s">
        <v>1550</v>
      </c>
      <c r="T1327" s="43" t="s">
        <v>2229</v>
      </c>
      <c r="U1327" t="s">
        <v>3699</v>
      </c>
    </row>
    <row r="1328" spans="1:21" x14ac:dyDescent="0.3">
      <c r="A1328" t="s">
        <v>4137</v>
      </c>
      <c r="B1328" t="s">
        <v>30</v>
      </c>
      <c r="C1328" t="s">
        <v>1489</v>
      </c>
      <c r="D1328" s="15">
        <v>2000</v>
      </c>
      <c r="E1328" s="7">
        <v>172.5</v>
      </c>
      <c r="H1328">
        <v>36992</v>
      </c>
      <c r="I1328" t="s">
        <v>361</v>
      </c>
      <c r="J1328" t="s">
        <v>3096</v>
      </c>
      <c r="K1328" t="s">
        <v>3</v>
      </c>
      <c r="L1328" s="2">
        <v>43252</v>
      </c>
      <c r="M1328" s="2">
        <f>DHMXX[[#This Row],[INV DOC DATE]]+30</f>
        <v>43282</v>
      </c>
      <c r="N1328" s="2">
        <v>43279</v>
      </c>
      <c r="O1328" s="7">
        <v>172.5</v>
      </c>
      <c r="P1328" s="2">
        <v>43290</v>
      </c>
      <c r="Q1328" s="7">
        <f>$E1328-$O1328</f>
        <v>0</v>
      </c>
      <c r="R1328" s="7" t="str">
        <f ca="1">IF(TODAY() - DHMXX[INV DUE DATE]&lt;30, "Less than 30 days",IF(TODAY()-DHMXX[INV DUE DATE]&lt;60,"30-60 days","More than 60 days"))</f>
        <v>Less than 30 days</v>
      </c>
      <c r="S1328" t="s">
        <v>1550</v>
      </c>
      <c r="T1328" s="43" t="s">
        <v>2229</v>
      </c>
      <c r="U1328" t="s">
        <v>3699</v>
      </c>
    </row>
    <row r="1329" spans="1:21" x14ac:dyDescent="0.3">
      <c r="A1329" t="s">
        <v>4137</v>
      </c>
      <c r="B1329" t="s">
        <v>30</v>
      </c>
      <c r="C1329" t="s">
        <v>1490</v>
      </c>
      <c r="D1329" s="15">
        <v>2000</v>
      </c>
      <c r="E1329" s="7">
        <v>172.5</v>
      </c>
      <c r="H1329">
        <v>36997</v>
      </c>
      <c r="I1329" t="s">
        <v>362</v>
      </c>
      <c r="J1329" t="s">
        <v>3110</v>
      </c>
      <c r="K1329" t="s">
        <v>3</v>
      </c>
      <c r="L1329" s="2">
        <v>43252</v>
      </c>
      <c r="M1329" s="2">
        <f>DHMXX[[#This Row],[INV DOC DATE]]+30</f>
        <v>43282</v>
      </c>
      <c r="N1329" s="2">
        <v>43279</v>
      </c>
      <c r="O1329" s="7">
        <v>172.5</v>
      </c>
      <c r="P1329" s="2">
        <v>43290</v>
      </c>
      <c r="Q1329" s="7">
        <f>$E1329-$O1329</f>
        <v>0</v>
      </c>
      <c r="R1329" s="7" t="str">
        <f ca="1">IF(TODAY() - DHMXX[INV DUE DATE]&lt;30, "Less than 30 days",IF(TODAY()-DHMXX[INV DUE DATE]&lt;60,"30-60 days","More than 60 days"))</f>
        <v>Less than 30 days</v>
      </c>
      <c r="S1329" t="s">
        <v>1550</v>
      </c>
      <c r="T1329" s="43" t="s">
        <v>2229</v>
      </c>
      <c r="U1329" t="s">
        <v>3699</v>
      </c>
    </row>
    <row r="1330" spans="1:21" x14ac:dyDescent="0.3">
      <c r="A1330" t="s">
        <v>4137</v>
      </c>
      <c r="B1330" t="s">
        <v>30</v>
      </c>
      <c r="C1330" t="s">
        <v>1491</v>
      </c>
      <c r="D1330" s="15">
        <v>2000</v>
      </c>
      <c r="E1330" s="7">
        <v>172.5</v>
      </c>
      <c r="H1330">
        <v>36997</v>
      </c>
      <c r="I1330" t="s">
        <v>362</v>
      </c>
      <c r="J1330" t="s">
        <v>3109</v>
      </c>
      <c r="K1330" t="s">
        <v>3</v>
      </c>
      <c r="L1330" s="2">
        <v>43252</v>
      </c>
      <c r="M1330" s="2">
        <f>DHMXX[[#This Row],[INV DOC DATE]]+30</f>
        <v>43282</v>
      </c>
      <c r="N1330" s="2">
        <v>43279</v>
      </c>
      <c r="O1330" s="7">
        <v>172.5</v>
      </c>
      <c r="P1330" s="2">
        <v>43290</v>
      </c>
      <c r="Q1330" s="7">
        <f>$E1330-$O1330</f>
        <v>0</v>
      </c>
      <c r="R1330" s="7" t="str">
        <f ca="1">IF(TODAY() - DHMXX[INV DUE DATE]&lt;30, "Less than 30 days",IF(TODAY()-DHMXX[INV DUE DATE]&lt;60,"30-60 days","More than 60 days"))</f>
        <v>Less than 30 days</v>
      </c>
      <c r="S1330" t="s">
        <v>1550</v>
      </c>
      <c r="T1330" s="43" t="s">
        <v>2229</v>
      </c>
      <c r="U1330" t="s">
        <v>3699</v>
      </c>
    </row>
    <row r="1331" spans="1:21" x14ac:dyDescent="0.3">
      <c r="A1331" t="s">
        <v>4137</v>
      </c>
      <c r="B1331" t="s">
        <v>30</v>
      </c>
      <c r="C1331" t="s">
        <v>1492</v>
      </c>
      <c r="D1331" s="15">
        <v>2000</v>
      </c>
      <c r="E1331" s="7">
        <v>172.5</v>
      </c>
      <c r="H1331">
        <v>36997</v>
      </c>
      <c r="I1331" t="s">
        <v>361</v>
      </c>
      <c r="J1331" t="s">
        <v>3097</v>
      </c>
      <c r="K1331" t="s">
        <v>3</v>
      </c>
      <c r="L1331" s="2">
        <v>43252</v>
      </c>
      <c r="M1331" s="2">
        <f>DHMXX[[#This Row],[INV DOC DATE]]+30</f>
        <v>43282</v>
      </c>
      <c r="N1331" s="2">
        <v>43279</v>
      </c>
      <c r="O1331" s="7">
        <v>172.5</v>
      </c>
      <c r="P1331" s="2">
        <v>43290</v>
      </c>
      <c r="Q1331" s="7">
        <f>$E1331-$O1331</f>
        <v>0</v>
      </c>
      <c r="R1331" s="7" t="str">
        <f ca="1">IF(TODAY() - DHMXX[INV DUE DATE]&lt;30, "Less than 30 days",IF(TODAY()-DHMXX[INV DUE DATE]&lt;60,"30-60 days","More than 60 days"))</f>
        <v>Less than 30 days</v>
      </c>
      <c r="S1331" t="s">
        <v>1550</v>
      </c>
      <c r="T1331" s="43" t="s">
        <v>2229</v>
      </c>
      <c r="U1331" t="s">
        <v>3699</v>
      </c>
    </row>
    <row r="1332" spans="1:21" x14ac:dyDescent="0.3">
      <c r="A1332" t="s">
        <v>4137</v>
      </c>
      <c r="B1332" t="s">
        <v>30</v>
      </c>
      <c r="C1332" t="s">
        <v>1493</v>
      </c>
      <c r="D1332" s="15">
        <v>2000</v>
      </c>
      <c r="E1332" s="7">
        <v>172.5</v>
      </c>
      <c r="H1332">
        <v>36997</v>
      </c>
      <c r="I1332" t="s">
        <v>362</v>
      </c>
      <c r="J1332" t="s">
        <v>3098</v>
      </c>
      <c r="K1332" t="s">
        <v>3</v>
      </c>
      <c r="L1332" s="2">
        <v>43252</v>
      </c>
      <c r="M1332" s="2">
        <f>DHMXX[[#This Row],[INV DOC DATE]]+30</f>
        <v>43282</v>
      </c>
      <c r="N1332" s="2">
        <v>43279</v>
      </c>
      <c r="O1332" s="7">
        <v>172.5</v>
      </c>
      <c r="P1332" s="2">
        <v>43290</v>
      </c>
      <c r="Q1332" s="7">
        <f>$E1332-$O1332</f>
        <v>0</v>
      </c>
      <c r="R1332" s="7" t="str">
        <f ca="1">IF(TODAY() - DHMXX[INV DUE DATE]&lt;30, "Less than 30 days",IF(TODAY()-DHMXX[INV DUE DATE]&lt;60,"30-60 days","More than 60 days"))</f>
        <v>Less than 30 days</v>
      </c>
      <c r="S1332" t="s">
        <v>1550</v>
      </c>
      <c r="T1332" s="43" t="s">
        <v>2229</v>
      </c>
      <c r="U1332" t="s">
        <v>3699</v>
      </c>
    </row>
    <row r="1333" spans="1:21" x14ac:dyDescent="0.3">
      <c r="A1333" t="s">
        <v>4137</v>
      </c>
      <c r="B1333" t="s">
        <v>30</v>
      </c>
      <c r="C1333" t="s">
        <v>1494</v>
      </c>
      <c r="D1333" s="15">
        <v>2000</v>
      </c>
      <c r="E1333" s="7">
        <v>172.5</v>
      </c>
      <c r="H1333">
        <v>36997</v>
      </c>
      <c r="I1333" t="s">
        <v>361</v>
      </c>
      <c r="J1333" t="s">
        <v>3099</v>
      </c>
      <c r="K1333" t="s">
        <v>3</v>
      </c>
      <c r="L1333" s="2">
        <v>43252</v>
      </c>
      <c r="M1333" s="2">
        <f>DHMXX[[#This Row],[INV DOC DATE]]+30</f>
        <v>43282</v>
      </c>
      <c r="N1333" s="2">
        <v>43279</v>
      </c>
      <c r="O1333" s="7">
        <v>172.5</v>
      </c>
      <c r="P1333" s="2">
        <v>43290</v>
      </c>
      <c r="Q1333" s="7">
        <f>$E1333-$O1333</f>
        <v>0</v>
      </c>
      <c r="R1333" s="7" t="str">
        <f ca="1">IF(TODAY() - DHMXX[INV DUE DATE]&lt;30, "Less than 30 days",IF(TODAY()-DHMXX[INV DUE DATE]&lt;60,"30-60 days","More than 60 days"))</f>
        <v>Less than 30 days</v>
      </c>
      <c r="S1333" t="s">
        <v>1550</v>
      </c>
      <c r="T1333" s="43" t="s">
        <v>2229</v>
      </c>
      <c r="U1333" t="s">
        <v>3699</v>
      </c>
    </row>
    <row r="1334" spans="1:21" x14ac:dyDescent="0.3">
      <c r="A1334" t="s">
        <v>4137</v>
      </c>
      <c r="B1334" t="s">
        <v>30</v>
      </c>
      <c r="C1334" t="s">
        <v>1495</v>
      </c>
      <c r="D1334" s="15">
        <v>2000</v>
      </c>
      <c r="E1334" s="7">
        <v>172.5</v>
      </c>
      <c r="H1334">
        <v>36997</v>
      </c>
      <c r="I1334" t="s">
        <v>361</v>
      </c>
      <c r="J1334" t="s">
        <v>3100</v>
      </c>
      <c r="K1334" t="s">
        <v>3</v>
      </c>
      <c r="L1334" s="2">
        <v>43252</v>
      </c>
      <c r="M1334" s="2">
        <f>DHMXX[[#This Row],[INV DOC DATE]]+30</f>
        <v>43282</v>
      </c>
      <c r="N1334" s="2">
        <v>43279</v>
      </c>
      <c r="O1334" s="7">
        <v>172.5</v>
      </c>
      <c r="P1334" s="2">
        <v>43290</v>
      </c>
      <c r="Q1334" s="7">
        <f>$E1334-$O1334</f>
        <v>0</v>
      </c>
      <c r="R1334" s="7" t="str">
        <f ca="1">IF(TODAY() - DHMXX[INV DUE DATE]&lt;30, "Less than 30 days",IF(TODAY()-DHMXX[INV DUE DATE]&lt;60,"30-60 days","More than 60 days"))</f>
        <v>Less than 30 days</v>
      </c>
      <c r="S1334" t="s">
        <v>1550</v>
      </c>
      <c r="T1334" s="43" t="s">
        <v>2229</v>
      </c>
      <c r="U1334" t="s">
        <v>3699</v>
      </c>
    </row>
    <row r="1335" spans="1:21" x14ac:dyDescent="0.3">
      <c r="A1335" t="s">
        <v>4137</v>
      </c>
      <c r="B1335" t="s">
        <v>30</v>
      </c>
      <c r="C1335" t="s">
        <v>1496</v>
      </c>
      <c r="D1335" s="15">
        <v>2000</v>
      </c>
      <c r="E1335" s="7">
        <v>172.5</v>
      </c>
      <c r="H1335">
        <v>36997</v>
      </c>
      <c r="I1335" t="s">
        <v>361</v>
      </c>
      <c r="J1335" t="s">
        <v>3101</v>
      </c>
      <c r="K1335" t="s">
        <v>3</v>
      </c>
      <c r="L1335" s="2">
        <v>43252</v>
      </c>
      <c r="M1335" s="2">
        <f>DHMXX[[#This Row],[INV DOC DATE]]+30</f>
        <v>43282</v>
      </c>
      <c r="N1335" s="2">
        <v>43279</v>
      </c>
      <c r="O1335" s="7">
        <v>172.5</v>
      </c>
      <c r="P1335" s="2">
        <v>43290</v>
      </c>
      <c r="Q1335" s="7">
        <f>$E1335-$O1335</f>
        <v>0</v>
      </c>
      <c r="R1335" s="7" t="str">
        <f ca="1">IF(TODAY() - DHMXX[INV DUE DATE]&lt;30, "Less than 30 days",IF(TODAY()-DHMXX[INV DUE DATE]&lt;60,"30-60 days","More than 60 days"))</f>
        <v>Less than 30 days</v>
      </c>
      <c r="S1335" t="s">
        <v>1550</v>
      </c>
      <c r="T1335" s="43" t="s">
        <v>2229</v>
      </c>
      <c r="U1335" t="s">
        <v>3699</v>
      </c>
    </row>
    <row r="1336" spans="1:21" x14ac:dyDescent="0.3">
      <c r="A1336" t="s">
        <v>4137</v>
      </c>
      <c r="B1336" t="s">
        <v>30</v>
      </c>
      <c r="C1336" t="s">
        <v>1497</v>
      </c>
      <c r="D1336" s="15">
        <v>2000</v>
      </c>
      <c r="E1336" s="7">
        <v>172.5</v>
      </c>
      <c r="H1336">
        <v>36997</v>
      </c>
      <c r="I1336" t="s">
        <v>362</v>
      </c>
      <c r="J1336" t="s">
        <v>3102</v>
      </c>
      <c r="K1336" t="s">
        <v>3</v>
      </c>
      <c r="L1336" s="2">
        <v>43252</v>
      </c>
      <c r="M1336" s="2">
        <f>DHMXX[[#This Row],[INV DOC DATE]]+30</f>
        <v>43282</v>
      </c>
      <c r="N1336" s="2">
        <v>43279</v>
      </c>
      <c r="O1336" s="7">
        <v>172.5</v>
      </c>
      <c r="P1336" s="2">
        <v>43290</v>
      </c>
      <c r="Q1336" s="7">
        <f>$E1336-$O1336</f>
        <v>0</v>
      </c>
      <c r="R1336" s="7" t="str">
        <f ca="1">IF(TODAY() - DHMXX[INV DUE DATE]&lt;30, "Less than 30 days",IF(TODAY()-DHMXX[INV DUE DATE]&lt;60,"30-60 days","More than 60 days"))</f>
        <v>Less than 30 days</v>
      </c>
      <c r="S1336" t="s">
        <v>1550</v>
      </c>
      <c r="T1336" s="43" t="s">
        <v>2229</v>
      </c>
      <c r="U1336" t="s">
        <v>3699</v>
      </c>
    </row>
    <row r="1337" spans="1:21" x14ac:dyDescent="0.3">
      <c r="A1337" t="s">
        <v>4137</v>
      </c>
      <c r="B1337" t="s">
        <v>30</v>
      </c>
      <c r="C1337" t="s">
        <v>1498</v>
      </c>
      <c r="D1337" s="15">
        <v>2000</v>
      </c>
      <c r="E1337" s="7">
        <v>172.5</v>
      </c>
      <c r="H1337">
        <v>36997</v>
      </c>
      <c r="I1337" t="s">
        <v>361</v>
      </c>
      <c r="J1337" t="s">
        <v>3103</v>
      </c>
      <c r="K1337" t="s">
        <v>3</v>
      </c>
      <c r="L1337" s="2">
        <v>43252</v>
      </c>
      <c r="M1337" s="2">
        <f>DHMXX[[#This Row],[INV DOC DATE]]+30</f>
        <v>43282</v>
      </c>
      <c r="N1337" s="2">
        <v>43279</v>
      </c>
      <c r="O1337" s="7">
        <v>172.5</v>
      </c>
      <c r="P1337" s="2">
        <v>43290</v>
      </c>
      <c r="Q1337" s="7">
        <f>$E1337-$O1337</f>
        <v>0</v>
      </c>
      <c r="R1337" s="7" t="str">
        <f ca="1">IF(TODAY() - DHMXX[INV DUE DATE]&lt;30, "Less than 30 days",IF(TODAY()-DHMXX[INV DUE DATE]&lt;60,"30-60 days","More than 60 days"))</f>
        <v>Less than 30 days</v>
      </c>
      <c r="S1337" t="s">
        <v>1550</v>
      </c>
      <c r="T1337" s="43" t="s">
        <v>2229</v>
      </c>
      <c r="U1337" t="s">
        <v>3699</v>
      </c>
    </row>
    <row r="1338" spans="1:21" x14ac:dyDescent="0.3">
      <c r="A1338" t="s">
        <v>4137</v>
      </c>
      <c r="B1338" t="s">
        <v>30</v>
      </c>
      <c r="C1338" t="s">
        <v>1499</v>
      </c>
      <c r="D1338" s="15">
        <v>2000</v>
      </c>
      <c r="E1338" s="7">
        <v>172.5</v>
      </c>
      <c r="H1338">
        <v>36997</v>
      </c>
      <c r="I1338" t="s">
        <v>361</v>
      </c>
      <c r="J1338" t="s">
        <v>3104</v>
      </c>
      <c r="K1338" t="s">
        <v>3</v>
      </c>
      <c r="L1338" s="2">
        <v>43252</v>
      </c>
      <c r="M1338" s="2">
        <f>DHMXX[[#This Row],[INV DOC DATE]]+30</f>
        <v>43282</v>
      </c>
      <c r="N1338" s="2">
        <v>43279</v>
      </c>
      <c r="O1338" s="7">
        <v>172.5</v>
      </c>
      <c r="P1338" s="2">
        <v>43290</v>
      </c>
      <c r="Q1338" s="7">
        <f>$E1338-$O1338</f>
        <v>0</v>
      </c>
      <c r="R1338" s="7" t="str">
        <f ca="1">IF(TODAY() - DHMXX[INV DUE DATE]&lt;30, "Less than 30 days",IF(TODAY()-DHMXX[INV DUE DATE]&lt;60,"30-60 days","More than 60 days"))</f>
        <v>Less than 30 days</v>
      </c>
      <c r="S1338" t="s">
        <v>1550</v>
      </c>
      <c r="T1338" s="43" t="s">
        <v>2229</v>
      </c>
      <c r="U1338" t="s">
        <v>3699</v>
      </c>
    </row>
    <row r="1339" spans="1:21" x14ac:dyDescent="0.3">
      <c r="A1339" t="s">
        <v>4137</v>
      </c>
      <c r="B1339" t="s">
        <v>30</v>
      </c>
      <c r="C1339" t="s">
        <v>1500</v>
      </c>
      <c r="D1339" s="15">
        <v>2000</v>
      </c>
      <c r="E1339" s="7">
        <v>172.5</v>
      </c>
      <c r="H1339">
        <v>36997</v>
      </c>
      <c r="I1339" t="s">
        <v>362</v>
      </c>
      <c r="J1339" t="s">
        <v>3105</v>
      </c>
      <c r="K1339" t="s">
        <v>3</v>
      </c>
      <c r="L1339" s="2">
        <v>43252</v>
      </c>
      <c r="M1339" s="2">
        <f>DHMXX[[#This Row],[INV DOC DATE]]+30</f>
        <v>43282</v>
      </c>
      <c r="N1339" s="2">
        <v>43279</v>
      </c>
      <c r="O1339" s="7">
        <v>172.5</v>
      </c>
      <c r="P1339" s="2">
        <v>43290</v>
      </c>
      <c r="Q1339" s="7">
        <f>$E1339-$O1339</f>
        <v>0</v>
      </c>
      <c r="R1339" s="7" t="str">
        <f ca="1">IF(TODAY() - DHMXX[INV DUE DATE]&lt;30, "Less than 30 days",IF(TODAY()-DHMXX[INV DUE DATE]&lt;60,"30-60 days","More than 60 days"))</f>
        <v>Less than 30 days</v>
      </c>
      <c r="S1339" t="s">
        <v>1550</v>
      </c>
      <c r="T1339" s="43" t="s">
        <v>2229</v>
      </c>
      <c r="U1339" t="s">
        <v>3699</v>
      </c>
    </row>
    <row r="1340" spans="1:21" x14ac:dyDescent="0.3">
      <c r="A1340" t="s">
        <v>4137</v>
      </c>
      <c r="B1340" t="s">
        <v>30</v>
      </c>
      <c r="C1340" t="s">
        <v>1501</v>
      </c>
      <c r="D1340" s="15">
        <v>2000</v>
      </c>
      <c r="E1340" s="7">
        <v>172.5</v>
      </c>
      <c r="H1340">
        <v>36997</v>
      </c>
      <c r="I1340" t="s">
        <v>362</v>
      </c>
      <c r="J1340" t="s">
        <v>3106</v>
      </c>
      <c r="K1340" t="s">
        <v>3</v>
      </c>
      <c r="L1340" s="2">
        <v>43252</v>
      </c>
      <c r="M1340" s="2">
        <f>DHMXX[[#This Row],[INV DOC DATE]]+30</f>
        <v>43282</v>
      </c>
      <c r="N1340" s="2">
        <v>43279</v>
      </c>
      <c r="O1340" s="7">
        <v>172.5</v>
      </c>
      <c r="P1340" s="2">
        <v>43290</v>
      </c>
      <c r="Q1340" s="7">
        <f>$E1340-$O1340</f>
        <v>0</v>
      </c>
      <c r="R1340" s="7" t="str">
        <f ca="1">IF(TODAY() - DHMXX[INV DUE DATE]&lt;30, "Less than 30 days",IF(TODAY()-DHMXX[INV DUE DATE]&lt;60,"30-60 days","More than 60 days"))</f>
        <v>Less than 30 days</v>
      </c>
      <c r="S1340" t="s">
        <v>1550</v>
      </c>
      <c r="T1340" s="43" t="s">
        <v>2229</v>
      </c>
      <c r="U1340" t="s">
        <v>3699</v>
      </c>
    </row>
    <row r="1341" spans="1:21" x14ac:dyDescent="0.3">
      <c r="A1341" t="s">
        <v>4137</v>
      </c>
      <c r="B1341" t="s">
        <v>30</v>
      </c>
      <c r="C1341" t="s">
        <v>1502</v>
      </c>
      <c r="D1341" s="15">
        <v>2000</v>
      </c>
      <c r="E1341" s="7">
        <v>172.5</v>
      </c>
      <c r="H1341">
        <v>36997</v>
      </c>
      <c r="I1341" t="s">
        <v>362</v>
      </c>
      <c r="J1341" t="s">
        <v>3107</v>
      </c>
      <c r="K1341" t="s">
        <v>3</v>
      </c>
      <c r="L1341" s="2">
        <v>43252</v>
      </c>
      <c r="M1341" s="2">
        <f>DHMXX[[#This Row],[INV DOC DATE]]+30</f>
        <v>43282</v>
      </c>
      <c r="N1341" s="2">
        <v>43279</v>
      </c>
      <c r="O1341" s="7">
        <v>172.5</v>
      </c>
      <c r="P1341" s="2">
        <v>43290</v>
      </c>
      <c r="Q1341" s="7">
        <f>$E1341-$O1341</f>
        <v>0</v>
      </c>
      <c r="R1341" s="7" t="str">
        <f ca="1">IF(TODAY() - DHMXX[INV DUE DATE]&lt;30, "Less than 30 days",IF(TODAY()-DHMXX[INV DUE DATE]&lt;60,"30-60 days","More than 60 days"))</f>
        <v>Less than 30 days</v>
      </c>
      <c r="S1341" t="s">
        <v>1550</v>
      </c>
      <c r="T1341" s="43" t="s">
        <v>2229</v>
      </c>
      <c r="U1341" t="s">
        <v>3699</v>
      </c>
    </row>
    <row r="1342" spans="1:21" x14ac:dyDescent="0.3">
      <c r="A1342" t="s">
        <v>4137</v>
      </c>
      <c r="B1342" t="s">
        <v>30</v>
      </c>
      <c r="C1342" t="s">
        <v>1503</v>
      </c>
      <c r="D1342" s="15">
        <v>2000</v>
      </c>
      <c r="E1342" s="7">
        <v>172.5</v>
      </c>
      <c r="H1342">
        <v>36997</v>
      </c>
      <c r="I1342" t="s">
        <v>362</v>
      </c>
      <c r="J1342" t="s">
        <v>3108</v>
      </c>
      <c r="K1342" t="s">
        <v>3</v>
      </c>
      <c r="L1342" s="2">
        <v>43252</v>
      </c>
      <c r="M1342" s="2">
        <f>DHMXX[[#This Row],[INV DOC DATE]]+30</f>
        <v>43282</v>
      </c>
      <c r="N1342" s="2">
        <v>43279</v>
      </c>
      <c r="O1342" s="7">
        <v>172.5</v>
      </c>
      <c r="P1342" s="2">
        <v>43290</v>
      </c>
      <c r="Q1342" s="7">
        <f>$E1342-$O1342</f>
        <v>0</v>
      </c>
      <c r="R1342" s="7" t="str">
        <f ca="1">IF(TODAY() - DHMXX[INV DUE DATE]&lt;30, "Less than 30 days",IF(TODAY()-DHMXX[INV DUE DATE]&lt;60,"30-60 days","More than 60 days"))</f>
        <v>Less than 30 days</v>
      </c>
      <c r="S1342" t="s">
        <v>1550</v>
      </c>
      <c r="T1342" s="43" t="s">
        <v>2229</v>
      </c>
      <c r="U1342" t="s">
        <v>3699</v>
      </c>
    </row>
    <row r="1343" spans="1:21" x14ac:dyDescent="0.3">
      <c r="A1343" t="s">
        <v>4137</v>
      </c>
      <c r="B1343" t="s">
        <v>30</v>
      </c>
      <c r="C1343" t="s">
        <v>1504</v>
      </c>
      <c r="D1343" s="15">
        <v>2000</v>
      </c>
      <c r="E1343" s="7">
        <v>172.5</v>
      </c>
      <c r="H1343">
        <v>37463</v>
      </c>
      <c r="I1343" t="s">
        <v>866</v>
      </c>
      <c r="J1343" t="s">
        <v>3112</v>
      </c>
      <c r="K1343" t="s">
        <v>3</v>
      </c>
      <c r="L1343" s="2">
        <v>43252</v>
      </c>
      <c r="M1343" s="2">
        <f>DHMXX[[#This Row],[INV DOC DATE]]+30</f>
        <v>43282</v>
      </c>
      <c r="N1343" s="2">
        <v>43279</v>
      </c>
      <c r="O1343" s="7">
        <v>172.5</v>
      </c>
      <c r="P1343" s="2">
        <v>43290</v>
      </c>
      <c r="Q1343" s="7">
        <f>$E1343-$O1343</f>
        <v>0</v>
      </c>
      <c r="R1343" s="7" t="str">
        <f ca="1">IF(TODAY() - DHMXX[INV DUE DATE]&lt;30, "Less than 30 days",IF(TODAY()-DHMXX[INV DUE DATE]&lt;60,"30-60 days","More than 60 days"))</f>
        <v>Less than 30 days</v>
      </c>
      <c r="S1343" t="s">
        <v>1550</v>
      </c>
      <c r="T1343" s="43" t="s">
        <v>2229</v>
      </c>
      <c r="U1343" t="s">
        <v>3699</v>
      </c>
    </row>
    <row r="1344" spans="1:21" x14ac:dyDescent="0.3">
      <c r="A1344" t="s">
        <v>4137</v>
      </c>
      <c r="B1344" t="s">
        <v>30</v>
      </c>
      <c r="C1344" t="s">
        <v>1505</v>
      </c>
      <c r="D1344" s="15">
        <v>2000</v>
      </c>
      <c r="E1344" s="7">
        <v>172.5</v>
      </c>
      <c r="H1344">
        <v>37463</v>
      </c>
      <c r="I1344" t="s">
        <v>866</v>
      </c>
      <c r="J1344" t="s">
        <v>3111</v>
      </c>
      <c r="K1344" t="s">
        <v>3</v>
      </c>
      <c r="L1344" s="2">
        <v>43252</v>
      </c>
      <c r="M1344" s="2">
        <f>DHMXX[[#This Row],[INV DOC DATE]]+30</f>
        <v>43282</v>
      </c>
      <c r="N1344" s="2">
        <v>43279</v>
      </c>
      <c r="O1344" s="7">
        <v>172.5</v>
      </c>
      <c r="P1344" s="2">
        <v>43290</v>
      </c>
      <c r="Q1344" s="7">
        <f>$E1344-$O1344</f>
        <v>0</v>
      </c>
      <c r="R1344" s="7" t="str">
        <f ca="1">IF(TODAY() - DHMXX[INV DUE DATE]&lt;30, "Less than 30 days",IF(TODAY()-DHMXX[INV DUE DATE]&lt;60,"30-60 days","More than 60 days"))</f>
        <v>Less than 30 days</v>
      </c>
      <c r="S1344" t="s">
        <v>1550</v>
      </c>
      <c r="T1344" s="43" t="s">
        <v>2229</v>
      </c>
      <c r="U1344" t="s">
        <v>3699</v>
      </c>
    </row>
    <row r="1345" spans="1:21" x14ac:dyDescent="0.3">
      <c r="A1345" t="s">
        <v>4137</v>
      </c>
      <c r="B1345" t="s">
        <v>30</v>
      </c>
      <c r="C1345" t="s">
        <v>1506</v>
      </c>
      <c r="D1345" s="15">
        <v>2000</v>
      </c>
      <c r="E1345" s="7">
        <v>172.5</v>
      </c>
      <c r="H1345">
        <v>37463</v>
      </c>
      <c r="I1345" t="s">
        <v>866</v>
      </c>
      <c r="J1345" t="s">
        <v>3120</v>
      </c>
      <c r="K1345" t="s">
        <v>3</v>
      </c>
      <c r="L1345" s="2">
        <v>43252</v>
      </c>
      <c r="M1345" s="2">
        <f>DHMXX[[#This Row],[INV DOC DATE]]+30</f>
        <v>43282</v>
      </c>
      <c r="N1345" s="2">
        <v>43279</v>
      </c>
      <c r="O1345" s="7">
        <v>172.5</v>
      </c>
      <c r="P1345" s="2">
        <v>43290</v>
      </c>
      <c r="Q1345" s="7">
        <f>$E1345-$O1345</f>
        <v>0</v>
      </c>
      <c r="R1345" s="7" t="str">
        <f ca="1">IF(TODAY() - DHMXX[INV DUE DATE]&lt;30, "Less than 30 days",IF(TODAY()-DHMXX[INV DUE DATE]&lt;60,"30-60 days","More than 60 days"))</f>
        <v>Less than 30 days</v>
      </c>
      <c r="S1345" t="s">
        <v>1550</v>
      </c>
      <c r="T1345" s="43" t="s">
        <v>2229</v>
      </c>
      <c r="U1345" t="s">
        <v>3699</v>
      </c>
    </row>
    <row r="1346" spans="1:21" x14ac:dyDescent="0.3">
      <c r="A1346" t="s">
        <v>4137</v>
      </c>
      <c r="B1346" t="s">
        <v>30</v>
      </c>
      <c r="C1346" t="s">
        <v>1507</v>
      </c>
      <c r="D1346" s="15">
        <v>2000</v>
      </c>
      <c r="E1346" s="7">
        <v>172.5</v>
      </c>
      <c r="H1346">
        <v>37463</v>
      </c>
      <c r="I1346" t="s">
        <v>866</v>
      </c>
      <c r="J1346" t="s">
        <v>3118</v>
      </c>
      <c r="K1346" t="s">
        <v>3</v>
      </c>
      <c r="L1346" s="2">
        <v>43252</v>
      </c>
      <c r="M1346" s="2">
        <f>DHMXX[[#This Row],[INV DOC DATE]]+30</f>
        <v>43282</v>
      </c>
      <c r="N1346" s="2">
        <v>43279</v>
      </c>
      <c r="O1346" s="7">
        <v>172.5</v>
      </c>
      <c r="P1346" s="2">
        <v>43290</v>
      </c>
      <c r="Q1346" s="7">
        <f>$E1346-$O1346</f>
        <v>0</v>
      </c>
      <c r="R1346" s="7" t="str">
        <f ca="1">IF(TODAY() - DHMXX[INV DUE DATE]&lt;30, "Less than 30 days",IF(TODAY()-DHMXX[INV DUE DATE]&lt;60,"30-60 days","More than 60 days"))</f>
        <v>Less than 30 days</v>
      </c>
      <c r="S1346" t="s">
        <v>1550</v>
      </c>
      <c r="T1346" s="43" t="s">
        <v>2229</v>
      </c>
      <c r="U1346" t="s">
        <v>3699</v>
      </c>
    </row>
    <row r="1347" spans="1:21" x14ac:dyDescent="0.3">
      <c r="A1347" t="s">
        <v>4137</v>
      </c>
      <c r="B1347" t="s">
        <v>30</v>
      </c>
      <c r="C1347" t="s">
        <v>1508</v>
      </c>
      <c r="D1347" s="15">
        <v>2000</v>
      </c>
      <c r="E1347" s="7">
        <v>172.5</v>
      </c>
      <c r="H1347">
        <v>37463</v>
      </c>
      <c r="I1347" t="s">
        <v>866</v>
      </c>
      <c r="J1347" t="s">
        <v>3119</v>
      </c>
      <c r="K1347" t="s">
        <v>3</v>
      </c>
      <c r="L1347" s="2">
        <v>43252</v>
      </c>
      <c r="M1347" s="2">
        <f>DHMXX[[#This Row],[INV DOC DATE]]+30</f>
        <v>43282</v>
      </c>
      <c r="N1347" s="2">
        <v>43279</v>
      </c>
      <c r="O1347" s="7">
        <v>172.5</v>
      </c>
      <c r="P1347" s="2">
        <v>43290</v>
      </c>
      <c r="Q1347" s="7">
        <f>$E1347-$O1347</f>
        <v>0</v>
      </c>
      <c r="R1347" s="7" t="str">
        <f ca="1">IF(TODAY() - DHMXX[INV DUE DATE]&lt;30, "Less than 30 days",IF(TODAY()-DHMXX[INV DUE DATE]&lt;60,"30-60 days","More than 60 days"))</f>
        <v>Less than 30 days</v>
      </c>
      <c r="S1347" t="s">
        <v>1550</v>
      </c>
      <c r="T1347" s="43" t="s">
        <v>2229</v>
      </c>
      <c r="U1347" t="s">
        <v>3699</v>
      </c>
    </row>
    <row r="1348" spans="1:21" x14ac:dyDescent="0.3">
      <c r="A1348" t="s">
        <v>4137</v>
      </c>
      <c r="B1348" t="s">
        <v>30</v>
      </c>
      <c r="C1348" t="s">
        <v>1509</v>
      </c>
      <c r="D1348" s="15">
        <v>2000</v>
      </c>
      <c r="E1348" s="7">
        <v>172.5</v>
      </c>
      <c r="H1348">
        <v>37463</v>
      </c>
      <c r="I1348" t="s">
        <v>866</v>
      </c>
      <c r="J1348" t="s">
        <v>3113</v>
      </c>
      <c r="K1348" t="s">
        <v>3</v>
      </c>
      <c r="L1348" s="2">
        <v>43252</v>
      </c>
      <c r="M1348" s="2">
        <f>DHMXX[[#This Row],[INV DOC DATE]]+30</f>
        <v>43282</v>
      </c>
      <c r="N1348" s="2">
        <v>43279</v>
      </c>
      <c r="O1348" s="7">
        <v>172.5</v>
      </c>
      <c r="P1348" s="2">
        <v>43290</v>
      </c>
      <c r="Q1348" s="7">
        <f>$E1348-$O1348</f>
        <v>0</v>
      </c>
      <c r="R1348" s="7" t="str">
        <f ca="1">IF(TODAY() - DHMXX[INV DUE DATE]&lt;30, "Less than 30 days",IF(TODAY()-DHMXX[INV DUE DATE]&lt;60,"30-60 days","More than 60 days"))</f>
        <v>Less than 30 days</v>
      </c>
      <c r="S1348" t="s">
        <v>1550</v>
      </c>
      <c r="T1348" s="43" t="s">
        <v>2229</v>
      </c>
      <c r="U1348" t="s">
        <v>3699</v>
      </c>
    </row>
    <row r="1349" spans="1:21" x14ac:dyDescent="0.3">
      <c r="A1349" t="s">
        <v>4137</v>
      </c>
      <c r="B1349" t="s">
        <v>30</v>
      </c>
      <c r="C1349" t="s">
        <v>1510</v>
      </c>
      <c r="D1349" s="15">
        <v>2000</v>
      </c>
      <c r="E1349" s="7">
        <v>172.5</v>
      </c>
      <c r="H1349">
        <v>37463</v>
      </c>
      <c r="I1349" t="s">
        <v>866</v>
      </c>
      <c r="J1349" t="s">
        <v>3114</v>
      </c>
      <c r="K1349" t="s">
        <v>3</v>
      </c>
      <c r="L1349" s="2">
        <v>43252</v>
      </c>
      <c r="M1349" s="2">
        <f>DHMXX[[#This Row],[INV DOC DATE]]+30</f>
        <v>43282</v>
      </c>
      <c r="N1349" s="2">
        <v>43279</v>
      </c>
      <c r="O1349" s="7">
        <v>172.5</v>
      </c>
      <c r="P1349" s="2">
        <v>43290</v>
      </c>
      <c r="Q1349" s="7">
        <f>$E1349-$O1349</f>
        <v>0</v>
      </c>
      <c r="R1349" s="7" t="str">
        <f ca="1">IF(TODAY() - DHMXX[INV DUE DATE]&lt;30, "Less than 30 days",IF(TODAY()-DHMXX[INV DUE DATE]&lt;60,"30-60 days","More than 60 days"))</f>
        <v>Less than 30 days</v>
      </c>
      <c r="S1349" t="s">
        <v>1550</v>
      </c>
      <c r="T1349" s="43" t="s">
        <v>2229</v>
      </c>
      <c r="U1349" t="s">
        <v>3699</v>
      </c>
    </row>
    <row r="1350" spans="1:21" x14ac:dyDescent="0.3">
      <c r="A1350" t="s">
        <v>4137</v>
      </c>
      <c r="B1350" t="s">
        <v>30</v>
      </c>
      <c r="C1350" t="s">
        <v>1511</v>
      </c>
      <c r="D1350" s="15">
        <v>2000</v>
      </c>
      <c r="E1350" s="7">
        <v>172.5</v>
      </c>
      <c r="H1350">
        <v>37463</v>
      </c>
      <c r="I1350" t="s">
        <v>866</v>
      </c>
      <c r="J1350" t="s">
        <v>3115</v>
      </c>
      <c r="K1350" t="s">
        <v>3</v>
      </c>
      <c r="L1350" s="2">
        <v>43252</v>
      </c>
      <c r="M1350" s="2">
        <f>DHMXX[[#This Row],[INV DOC DATE]]+30</f>
        <v>43282</v>
      </c>
      <c r="N1350" s="2">
        <v>43279</v>
      </c>
      <c r="O1350" s="7">
        <v>172.5</v>
      </c>
      <c r="P1350" s="2">
        <v>43290</v>
      </c>
      <c r="Q1350" s="7">
        <f>$E1350-$O1350</f>
        <v>0</v>
      </c>
      <c r="R1350" s="7" t="str">
        <f ca="1">IF(TODAY() - DHMXX[INV DUE DATE]&lt;30, "Less than 30 days",IF(TODAY()-DHMXX[INV DUE DATE]&lt;60,"30-60 days","More than 60 days"))</f>
        <v>Less than 30 days</v>
      </c>
      <c r="S1350" t="s">
        <v>1550</v>
      </c>
      <c r="T1350" s="43" t="s">
        <v>2229</v>
      </c>
      <c r="U1350" t="s">
        <v>3699</v>
      </c>
    </row>
    <row r="1351" spans="1:21" x14ac:dyDescent="0.3">
      <c r="A1351" t="s">
        <v>4137</v>
      </c>
      <c r="B1351" t="s">
        <v>30</v>
      </c>
      <c r="C1351" t="s">
        <v>1512</v>
      </c>
      <c r="D1351" s="15">
        <v>2000</v>
      </c>
      <c r="E1351" s="7">
        <v>172.5</v>
      </c>
      <c r="H1351">
        <v>37463</v>
      </c>
      <c r="I1351" t="s">
        <v>866</v>
      </c>
      <c r="J1351" t="s">
        <v>3116</v>
      </c>
      <c r="K1351" t="s">
        <v>3</v>
      </c>
      <c r="L1351" s="2">
        <v>43252</v>
      </c>
      <c r="M1351" s="2">
        <f>DHMXX[[#This Row],[INV DOC DATE]]+30</f>
        <v>43282</v>
      </c>
      <c r="N1351" s="2">
        <v>43279</v>
      </c>
      <c r="O1351" s="7">
        <v>172.5</v>
      </c>
      <c r="P1351" s="2">
        <v>43290</v>
      </c>
      <c r="Q1351" s="7">
        <f>$E1351-$O1351</f>
        <v>0</v>
      </c>
      <c r="R1351" s="7" t="str">
        <f ca="1">IF(TODAY() - DHMXX[INV DUE DATE]&lt;30, "Less than 30 days",IF(TODAY()-DHMXX[INV DUE DATE]&lt;60,"30-60 days","More than 60 days"))</f>
        <v>Less than 30 days</v>
      </c>
      <c r="S1351" t="s">
        <v>1550</v>
      </c>
      <c r="T1351" s="43" t="s">
        <v>2229</v>
      </c>
      <c r="U1351" t="s">
        <v>3699</v>
      </c>
    </row>
    <row r="1352" spans="1:21" x14ac:dyDescent="0.3">
      <c r="A1352" t="s">
        <v>4137</v>
      </c>
      <c r="B1352" t="s">
        <v>30</v>
      </c>
      <c r="C1352" t="s">
        <v>1513</v>
      </c>
      <c r="D1352" s="15">
        <v>2000</v>
      </c>
      <c r="E1352" s="7">
        <v>172.5</v>
      </c>
      <c r="H1352">
        <v>37463</v>
      </c>
      <c r="I1352" t="s">
        <v>866</v>
      </c>
      <c r="J1352" t="s">
        <v>3117</v>
      </c>
      <c r="K1352" t="s">
        <v>3</v>
      </c>
      <c r="L1352" s="2">
        <v>43252</v>
      </c>
      <c r="M1352" s="2">
        <f>DHMXX[[#This Row],[INV DOC DATE]]+30</f>
        <v>43282</v>
      </c>
      <c r="N1352" s="2">
        <v>43279</v>
      </c>
      <c r="O1352" s="7">
        <v>172.5</v>
      </c>
      <c r="P1352" s="2">
        <v>43290</v>
      </c>
      <c r="Q1352" s="7">
        <f>$E1352-$O1352</f>
        <v>0</v>
      </c>
      <c r="R1352" s="7" t="str">
        <f ca="1">IF(TODAY() - DHMXX[INV DUE DATE]&lt;30, "Less than 30 days",IF(TODAY()-DHMXX[INV DUE DATE]&lt;60,"30-60 days","More than 60 days"))</f>
        <v>Less than 30 days</v>
      </c>
      <c r="S1352" t="s">
        <v>1550</v>
      </c>
      <c r="T1352" s="43" t="s">
        <v>2229</v>
      </c>
      <c r="U1352" t="s">
        <v>3699</v>
      </c>
    </row>
    <row r="1353" spans="1:21" x14ac:dyDescent="0.3">
      <c r="A1353" t="s">
        <v>4137</v>
      </c>
      <c r="B1353" t="s">
        <v>30</v>
      </c>
      <c r="C1353" t="s">
        <v>1514</v>
      </c>
      <c r="D1353" s="15">
        <v>2000</v>
      </c>
      <c r="E1353" s="7">
        <v>172.5</v>
      </c>
      <c r="H1353">
        <v>37912</v>
      </c>
      <c r="I1353" t="s">
        <v>362</v>
      </c>
      <c r="J1353" t="s">
        <v>3126</v>
      </c>
      <c r="K1353" t="s">
        <v>3</v>
      </c>
      <c r="L1353" s="2">
        <v>43252</v>
      </c>
      <c r="M1353" s="2">
        <f>DHMXX[[#This Row],[INV DOC DATE]]+30</f>
        <v>43282</v>
      </c>
      <c r="N1353" s="2">
        <v>43279</v>
      </c>
      <c r="O1353" s="7">
        <v>172.5</v>
      </c>
      <c r="P1353" s="2">
        <v>43290</v>
      </c>
      <c r="Q1353" s="7">
        <f>$E1353-$O1353</f>
        <v>0</v>
      </c>
      <c r="R1353" s="7" t="str">
        <f ca="1">IF(TODAY() - DHMXX[INV DUE DATE]&lt;30, "Less than 30 days",IF(TODAY()-DHMXX[INV DUE DATE]&lt;60,"30-60 days","More than 60 days"))</f>
        <v>Less than 30 days</v>
      </c>
      <c r="S1353" t="s">
        <v>1550</v>
      </c>
      <c r="T1353" s="43" t="s">
        <v>2229</v>
      </c>
      <c r="U1353" t="s">
        <v>3699</v>
      </c>
    </row>
    <row r="1354" spans="1:21" x14ac:dyDescent="0.3">
      <c r="A1354" t="s">
        <v>4137</v>
      </c>
      <c r="B1354" t="s">
        <v>30</v>
      </c>
      <c r="C1354" t="s">
        <v>1515</v>
      </c>
      <c r="D1354" s="15">
        <v>2000</v>
      </c>
      <c r="E1354" s="7">
        <v>172.5</v>
      </c>
      <c r="H1354">
        <v>37912</v>
      </c>
      <c r="I1354" t="s">
        <v>362</v>
      </c>
      <c r="J1354" t="s">
        <v>3127</v>
      </c>
      <c r="K1354" t="s">
        <v>3</v>
      </c>
      <c r="L1354" s="2">
        <v>43252</v>
      </c>
      <c r="M1354" s="2">
        <f>DHMXX[[#This Row],[INV DOC DATE]]+30</f>
        <v>43282</v>
      </c>
      <c r="N1354" s="2">
        <v>43279</v>
      </c>
      <c r="O1354" s="7">
        <v>172.5</v>
      </c>
      <c r="P1354" s="2">
        <v>43290</v>
      </c>
      <c r="Q1354" s="7">
        <f>$E1354-$O1354</f>
        <v>0</v>
      </c>
      <c r="R1354" s="7" t="str">
        <f ca="1">IF(TODAY() - DHMXX[INV DUE DATE]&lt;30, "Less than 30 days",IF(TODAY()-DHMXX[INV DUE DATE]&lt;60,"30-60 days","More than 60 days"))</f>
        <v>Less than 30 days</v>
      </c>
      <c r="S1354" t="s">
        <v>1550</v>
      </c>
      <c r="T1354" s="43" t="s">
        <v>2229</v>
      </c>
      <c r="U1354" t="s">
        <v>3699</v>
      </c>
    </row>
    <row r="1355" spans="1:21" x14ac:dyDescent="0.3">
      <c r="A1355" t="s">
        <v>4137</v>
      </c>
      <c r="B1355" t="s">
        <v>30</v>
      </c>
      <c r="C1355" t="s">
        <v>1516</v>
      </c>
      <c r="D1355" s="15">
        <v>2000</v>
      </c>
      <c r="E1355" s="7">
        <v>172.5</v>
      </c>
      <c r="H1355">
        <v>37912</v>
      </c>
      <c r="I1355" t="s">
        <v>362</v>
      </c>
      <c r="J1355" t="s">
        <v>3128</v>
      </c>
      <c r="K1355" t="s">
        <v>3</v>
      </c>
      <c r="L1355" s="2">
        <v>43252</v>
      </c>
      <c r="M1355" s="2">
        <f>DHMXX[[#This Row],[INV DOC DATE]]+30</f>
        <v>43282</v>
      </c>
      <c r="N1355" s="2">
        <v>43279</v>
      </c>
      <c r="O1355" s="7">
        <v>172.5</v>
      </c>
      <c r="P1355" s="2">
        <v>43290</v>
      </c>
      <c r="Q1355" s="7">
        <f>$E1355-$O1355</f>
        <v>0</v>
      </c>
      <c r="R1355" s="7" t="str">
        <f ca="1">IF(TODAY() - DHMXX[INV DUE DATE]&lt;30, "Less than 30 days",IF(TODAY()-DHMXX[INV DUE DATE]&lt;60,"30-60 days","More than 60 days"))</f>
        <v>Less than 30 days</v>
      </c>
      <c r="S1355" t="s">
        <v>1550</v>
      </c>
      <c r="T1355" s="43" t="s">
        <v>2229</v>
      </c>
      <c r="U1355" t="s">
        <v>3699</v>
      </c>
    </row>
    <row r="1356" spans="1:21" x14ac:dyDescent="0.3">
      <c r="A1356" t="s">
        <v>4137</v>
      </c>
      <c r="B1356" t="s">
        <v>30</v>
      </c>
      <c r="C1356" t="s">
        <v>1517</v>
      </c>
      <c r="D1356" s="15">
        <v>2000</v>
      </c>
      <c r="E1356" s="7">
        <v>172.5</v>
      </c>
      <c r="H1356">
        <v>37912</v>
      </c>
      <c r="I1356" t="s">
        <v>362</v>
      </c>
      <c r="J1356" t="s">
        <v>3129</v>
      </c>
      <c r="K1356" t="s">
        <v>3</v>
      </c>
      <c r="L1356" s="2">
        <v>43252</v>
      </c>
      <c r="M1356" s="2">
        <f>DHMXX[[#This Row],[INV DOC DATE]]+30</f>
        <v>43282</v>
      </c>
      <c r="N1356" s="2">
        <v>43279</v>
      </c>
      <c r="O1356" s="7">
        <v>172.5</v>
      </c>
      <c r="P1356" s="2">
        <v>43290</v>
      </c>
      <c r="Q1356" s="7">
        <f>$E1356-$O1356</f>
        <v>0</v>
      </c>
      <c r="R1356" s="7" t="str">
        <f ca="1">IF(TODAY() - DHMXX[INV DUE DATE]&lt;30, "Less than 30 days",IF(TODAY()-DHMXX[INV DUE DATE]&lt;60,"30-60 days","More than 60 days"))</f>
        <v>Less than 30 days</v>
      </c>
      <c r="S1356" t="s">
        <v>1550</v>
      </c>
      <c r="T1356" s="43" t="s">
        <v>2229</v>
      </c>
      <c r="U1356" t="s">
        <v>3699</v>
      </c>
    </row>
    <row r="1357" spans="1:21" x14ac:dyDescent="0.3">
      <c r="A1357" t="s">
        <v>4137</v>
      </c>
      <c r="B1357" t="s">
        <v>30</v>
      </c>
      <c r="C1357" t="s">
        <v>1518</v>
      </c>
      <c r="D1357" s="15">
        <v>2000</v>
      </c>
      <c r="E1357" s="7">
        <v>172.5</v>
      </c>
      <c r="H1357">
        <v>37912</v>
      </c>
      <c r="I1357" t="s">
        <v>362</v>
      </c>
      <c r="J1357" t="s">
        <v>3130</v>
      </c>
      <c r="K1357" t="s">
        <v>3</v>
      </c>
      <c r="L1357" s="2">
        <v>43252</v>
      </c>
      <c r="M1357" s="2">
        <f>DHMXX[[#This Row],[INV DOC DATE]]+30</f>
        <v>43282</v>
      </c>
      <c r="N1357" s="2">
        <v>43279</v>
      </c>
      <c r="O1357" s="7">
        <v>172.5</v>
      </c>
      <c r="P1357" s="2">
        <v>43290</v>
      </c>
      <c r="Q1357" s="7">
        <f>$E1357-$O1357</f>
        <v>0</v>
      </c>
      <c r="R1357" s="7" t="str">
        <f ca="1">IF(TODAY() - DHMXX[INV DUE DATE]&lt;30, "Less than 30 days",IF(TODAY()-DHMXX[INV DUE DATE]&lt;60,"30-60 days","More than 60 days"))</f>
        <v>Less than 30 days</v>
      </c>
      <c r="S1357" t="s">
        <v>1550</v>
      </c>
      <c r="T1357" s="43" t="s">
        <v>2229</v>
      </c>
      <c r="U1357" t="s">
        <v>3699</v>
      </c>
    </row>
    <row r="1358" spans="1:21" x14ac:dyDescent="0.3">
      <c r="A1358" t="s">
        <v>4137</v>
      </c>
      <c r="B1358" t="s">
        <v>30</v>
      </c>
      <c r="C1358" t="s">
        <v>1519</v>
      </c>
      <c r="D1358" s="15">
        <v>2000</v>
      </c>
      <c r="E1358" s="7">
        <v>172.5</v>
      </c>
      <c r="H1358">
        <v>37912</v>
      </c>
      <c r="I1358" t="s">
        <v>362</v>
      </c>
      <c r="J1358" t="s">
        <v>3121</v>
      </c>
      <c r="K1358" t="s">
        <v>3</v>
      </c>
      <c r="L1358" s="2">
        <v>43252</v>
      </c>
      <c r="M1358" s="2">
        <f>DHMXX[[#This Row],[INV DOC DATE]]+30</f>
        <v>43282</v>
      </c>
      <c r="N1358" s="2">
        <v>43279</v>
      </c>
      <c r="O1358" s="7">
        <v>172.5</v>
      </c>
      <c r="P1358" s="2">
        <v>43290</v>
      </c>
      <c r="Q1358" s="7">
        <f>$E1358-$O1358</f>
        <v>0</v>
      </c>
      <c r="R1358" s="7" t="str">
        <f ca="1">IF(TODAY() - DHMXX[INV DUE DATE]&lt;30, "Less than 30 days",IF(TODAY()-DHMXX[INV DUE DATE]&lt;60,"30-60 days","More than 60 days"))</f>
        <v>Less than 30 days</v>
      </c>
      <c r="S1358" t="s">
        <v>1550</v>
      </c>
      <c r="T1358" s="43" t="s">
        <v>2229</v>
      </c>
      <c r="U1358" t="s">
        <v>3699</v>
      </c>
    </row>
    <row r="1359" spans="1:21" x14ac:dyDescent="0.3">
      <c r="A1359" t="s">
        <v>4137</v>
      </c>
      <c r="B1359" t="s">
        <v>30</v>
      </c>
      <c r="C1359" t="s">
        <v>1520</v>
      </c>
      <c r="D1359" s="15">
        <v>2000</v>
      </c>
      <c r="E1359" s="7">
        <v>172.5</v>
      </c>
      <c r="H1359">
        <v>37912</v>
      </c>
      <c r="I1359" t="s">
        <v>362</v>
      </c>
      <c r="J1359" t="s">
        <v>3123</v>
      </c>
      <c r="K1359" t="s">
        <v>3</v>
      </c>
      <c r="L1359" s="2">
        <v>43252</v>
      </c>
      <c r="M1359" s="2">
        <f>DHMXX[[#This Row],[INV DOC DATE]]+30</f>
        <v>43282</v>
      </c>
      <c r="N1359" s="2">
        <v>43279</v>
      </c>
      <c r="O1359" s="7">
        <v>172.5</v>
      </c>
      <c r="P1359" s="2">
        <v>43290</v>
      </c>
      <c r="Q1359" s="7">
        <f>$E1359-$O1359</f>
        <v>0</v>
      </c>
      <c r="R1359" s="7" t="str">
        <f ca="1">IF(TODAY() - DHMXX[INV DUE DATE]&lt;30, "Less than 30 days",IF(TODAY()-DHMXX[INV DUE DATE]&lt;60,"30-60 days","More than 60 days"))</f>
        <v>Less than 30 days</v>
      </c>
      <c r="S1359" t="s">
        <v>1550</v>
      </c>
      <c r="T1359" s="43" t="s">
        <v>2229</v>
      </c>
      <c r="U1359" t="s">
        <v>3699</v>
      </c>
    </row>
    <row r="1360" spans="1:21" x14ac:dyDescent="0.3">
      <c r="A1360" t="s">
        <v>4137</v>
      </c>
      <c r="B1360" t="s">
        <v>30</v>
      </c>
      <c r="C1360" t="s">
        <v>1521</v>
      </c>
      <c r="D1360" s="15">
        <v>2000</v>
      </c>
      <c r="E1360" s="7">
        <v>172.5</v>
      </c>
      <c r="H1360">
        <v>37912</v>
      </c>
      <c r="I1360" t="s">
        <v>362</v>
      </c>
      <c r="J1360" t="s">
        <v>3124</v>
      </c>
      <c r="K1360" t="s">
        <v>3</v>
      </c>
      <c r="L1360" s="2">
        <v>43252</v>
      </c>
      <c r="M1360" s="2">
        <f>DHMXX[[#This Row],[INV DOC DATE]]+30</f>
        <v>43282</v>
      </c>
      <c r="N1360" s="2">
        <v>43279</v>
      </c>
      <c r="O1360" s="7">
        <v>172.5</v>
      </c>
      <c r="P1360" s="2">
        <v>43290</v>
      </c>
      <c r="Q1360" s="7">
        <f>$E1360-$O1360</f>
        <v>0</v>
      </c>
      <c r="R1360" s="7" t="str">
        <f ca="1">IF(TODAY() - DHMXX[INV DUE DATE]&lt;30, "Less than 30 days",IF(TODAY()-DHMXX[INV DUE DATE]&lt;60,"30-60 days","More than 60 days"))</f>
        <v>Less than 30 days</v>
      </c>
      <c r="S1360" t="s">
        <v>1550</v>
      </c>
      <c r="T1360" s="43" t="s">
        <v>2229</v>
      </c>
      <c r="U1360" t="s">
        <v>3699</v>
      </c>
    </row>
    <row r="1361" spans="1:21" x14ac:dyDescent="0.3">
      <c r="A1361" t="s">
        <v>4137</v>
      </c>
      <c r="B1361" t="s">
        <v>30</v>
      </c>
      <c r="C1361" t="s">
        <v>1522</v>
      </c>
      <c r="D1361" s="15">
        <v>2000</v>
      </c>
      <c r="E1361" s="7">
        <v>172.5</v>
      </c>
      <c r="H1361">
        <v>37912</v>
      </c>
      <c r="I1361" t="s">
        <v>362</v>
      </c>
      <c r="J1361" t="s">
        <v>3125</v>
      </c>
      <c r="K1361" t="s">
        <v>3</v>
      </c>
      <c r="L1361" s="2">
        <v>43252</v>
      </c>
      <c r="M1361" s="2">
        <f>DHMXX[[#This Row],[INV DOC DATE]]+30</f>
        <v>43282</v>
      </c>
      <c r="N1361" s="2">
        <v>43279</v>
      </c>
      <c r="O1361" s="7">
        <v>172.5</v>
      </c>
      <c r="P1361" s="2">
        <v>43290</v>
      </c>
      <c r="Q1361" s="7">
        <f>$E1361-$O1361</f>
        <v>0</v>
      </c>
      <c r="R1361" s="7" t="str">
        <f ca="1">IF(TODAY() - DHMXX[INV DUE DATE]&lt;30, "Less than 30 days",IF(TODAY()-DHMXX[INV DUE DATE]&lt;60,"30-60 days","More than 60 days"))</f>
        <v>Less than 30 days</v>
      </c>
      <c r="S1361" t="s">
        <v>1550</v>
      </c>
      <c r="T1361" s="43" t="s">
        <v>2229</v>
      </c>
      <c r="U1361" t="s">
        <v>3699</v>
      </c>
    </row>
    <row r="1362" spans="1:21" x14ac:dyDescent="0.3">
      <c r="A1362" t="s">
        <v>4137</v>
      </c>
      <c r="B1362" t="s">
        <v>30</v>
      </c>
      <c r="C1362" t="s">
        <v>1523</v>
      </c>
      <c r="D1362" s="15">
        <v>2000</v>
      </c>
      <c r="E1362" s="7">
        <v>172.5</v>
      </c>
      <c r="H1362">
        <v>37912</v>
      </c>
      <c r="I1362" t="s">
        <v>362</v>
      </c>
      <c r="J1362" t="s">
        <v>3131</v>
      </c>
      <c r="K1362" t="s">
        <v>3</v>
      </c>
      <c r="L1362" s="2">
        <v>43252</v>
      </c>
      <c r="M1362" s="2">
        <f>DHMXX[[#This Row],[INV DOC DATE]]+30</f>
        <v>43282</v>
      </c>
      <c r="N1362" s="2">
        <v>43279</v>
      </c>
      <c r="O1362" s="7">
        <v>172.5</v>
      </c>
      <c r="P1362" s="2">
        <v>43290</v>
      </c>
      <c r="Q1362" s="7">
        <f>$E1362-$O1362</f>
        <v>0</v>
      </c>
      <c r="R1362" s="7" t="str">
        <f ca="1">IF(TODAY() - DHMXX[INV DUE DATE]&lt;30, "Less than 30 days",IF(TODAY()-DHMXX[INV DUE DATE]&lt;60,"30-60 days","More than 60 days"))</f>
        <v>Less than 30 days</v>
      </c>
      <c r="S1362" t="s">
        <v>1550</v>
      </c>
      <c r="T1362" s="43" t="s">
        <v>2229</v>
      </c>
      <c r="U1362" t="s">
        <v>3699</v>
      </c>
    </row>
    <row r="1363" spans="1:21" x14ac:dyDescent="0.3">
      <c r="A1363" t="s">
        <v>4137</v>
      </c>
      <c r="B1363" t="s">
        <v>30</v>
      </c>
      <c r="C1363" t="s">
        <v>1524</v>
      </c>
      <c r="D1363" s="15">
        <v>2000</v>
      </c>
      <c r="E1363" s="7">
        <v>172.5</v>
      </c>
      <c r="H1363">
        <v>82957</v>
      </c>
      <c r="I1363" t="s">
        <v>867</v>
      </c>
      <c r="J1363" t="s">
        <v>3136</v>
      </c>
      <c r="K1363" t="s">
        <v>3</v>
      </c>
      <c r="L1363" s="2">
        <v>43252</v>
      </c>
      <c r="M1363" s="2">
        <f>DHMXX[[#This Row],[INV DOC DATE]]+30</f>
        <v>43282</v>
      </c>
      <c r="N1363" s="2">
        <v>43279</v>
      </c>
      <c r="O1363" s="7">
        <v>172.5</v>
      </c>
      <c r="P1363" s="2">
        <v>43290</v>
      </c>
      <c r="Q1363" s="7">
        <f>$E1363-$O1363</f>
        <v>0</v>
      </c>
      <c r="R1363" s="7" t="str">
        <f ca="1">IF(TODAY() - DHMXX[INV DUE DATE]&lt;30, "Less than 30 days",IF(TODAY()-DHMXX[INV DUE DATE]&lt;60,"30-60 days","More than 60 days"))</f>
        <v>Less than 30 days</v>
      </c>
      <c r="S1363" t="s">
        <v>1550</v>
      </c>
      <c r="T1363" s="43" t="s">
        <v>2229</v>
      </c>
      <c r="U1363" t="s">
        <v>3699</v>
      </c>
    </row>
    <row r="1364" spans="1:21" x14ac:dyDescent="0.3">
      <c r="A1364" t="s">
        <v>4137</v>
      </c>
      <c r="B1364" t="s">
        <v>30</v>
      </c>
      <c r="C1364" t="s">
        <v>1525</v>
      </c>
      <c r="D1364" s="15">
        <v>2000</v>
      </c>
      <c r="E1364" s="7">
        <v>172.5</v>
      </c>
      <c r="H1364">
        <v>82957</v>
      </c>
      <c r="I1364" t="s">
        <v>867</v>
      </c>
      <c r="J1364" t="s">
        <v>3135</v>
      </c>
      <c r="K1364" t="s">
        <v>3</v>
      </c>
      <c r="L1364" s="2">
        <v>43252</v>
      </c>
      <c r="M1364" s="2">
        <f>DHMXX[[#This Row],[INV DOC DATE]]+30</f>
        <v>43282</v>
      </c>
      <c r="N1364" s="2">
        <v>43279</v>
      </c>
      <c r="O1364" s="7">
        <v>172.5</v>
      </c>
      <c r="P1364" s="2">
        <v>43290</v>
      </c>
      <c r="Q1364" s="7">
        <f>$E1364-$O1364</f>
        <v>0</v>
      </c>
      <c r="R1364" s="7" t="str">
        <f ca="1">IF(TODAY() - DHMXX[INV DUE DATE]&lt;30, "Less than 30 days",IF(TODAY()-DHMXX[INV DUE DATE]&lt;60,"30-60 days","More than 60 days"))</f>
        <v>Less than 30 days</v>
      </c>
      <c r="S1364" t="s">
        <v>1550</v>
      </c>
      <c r="T1364" s="43" t="s">
        <v>2229</v>
      </c>
      <c r="U1364" t="s">
        <v>3699</v>
      </c>
    </row>
    <row r="1365" spans="1:21" x14ac:dyDescent="0.3">
      <c r="A1365" t="s">
        <v>4137</v>
      </c>
      <c r="B1365" t="s">
        <v>30</v>
      </c>
      <c r="C1365" t="s">
        <v>35</v>
      </c>
      <c r="D1365" s="15">
        <v>2000</v>
      </c>
      <c r="E1365" s="7">
        <v>172.5</v>
      </c>
      <c r="H1365">
        <v>82957</v>
      </c>
      <c r="I1365" t="s">
        <v>867</v>
      </c>
      <c r="J1365" t="s">
        <v>3132</v>
      </c>
      <c r="K1365" t="s">
        <v>3</v>
      </c>
      <c r="L1365" s="2">
        <v>43252</v>
      </c>
      <c r="M1365" s="2">
        <f>DHMXX[[#This Row],[INV DOC DATE]]+30</f>
        <v>43282</v>
      </c>
      <c r="N1365" s="2">
        <v>43279</v>
      </c>
      <c r="O1365" s="7">
        <v>172.5</v>
      </c>
      <c r="P1365" s="2">
        <v>43290</v>
      </c>
      <c r="Q1365" s="7">
        <f>$E1365-$O1365</f>
        <v>0</v>
      </c>
      <c r="R1365" s="7" t="str">
        <f ca="1">IF(TODAY() - DHMXX[INV DUE DATE]&lt;30, "Less than 30 days",IF(TODAY()-DHMXX[INV DUE DATE]&lt;60,"30-60 days","More than 60 days"))</f>
        <v>Less than 30 days</v>
      </c>
      <c r="S1365" t="s">
        <v>1550</v>
      </c>
      <c r="T1365" s="43" t="s">
        <v>2229</v>
      </c>
      <c r="U1365" t="s">
        <v>3699</v>
      </c>
    </row>
    <row r="1366" spans="1:21" x14ac:dyDescent="0.3">
      <c r="A1366" t="s">
        <v>4137</v>
      </c>
      <c r="B1366" t="s">
        <v>30</v>
      </c>
      <c r="C1366" t="s">
        <v>1526</v>
      </c>
      <c r="D1366" s="15">
        <v>2000</v>
      </c>
      <c r="E1366" s="7">
        <v>172.5</v>
      </c>
      <c r="H1366">
        <v>82957</v>
      </c>
      <c r="I1366" t="s">
        <v>867</v>
      </c>
      <c r="J1366" t="s">
        <v>3133</v>
      </c>
      <c r="K1366" t="s">
        <v>3</v>
      </c>
      <c r="L1366" s="2">
        <v>43252</v>
      </c>
      <c r="M1366" s="2">
        <f>DHMXX[[#This Row],[INV DOC DATE]]+30</f>
        <v>43282</v>
      </c>
      <c r="N1366" s="2">
        <v>43279</v>
      </c>
      <c r="O1366" s="7">
        <v>172.5</v>
      </c>
      <c r="P1366" s="2">
        <v>43290</v>
      </c>
      <c r="Q1366" s="7">
        <f>$E1366-$O1366</f>
        <v>0</v>
      </c>
      <c r="R1366" s="7" t="str">
        <f ca="1">IF(TODAY() - DHMXX[INV DUE DATE]&lt;30, "Less than 30 days",IF(TODAY()-DHMXX[INV DUE DATE]&lt;60,"30-60 days","More than 60 days"))</f>
        <v>Less than 30 days</v>
      </c>
      <c r="S1366" t="s">
        <v>1550</v>
      </c>
      <c r="T1366" s="43" t="s">
        <v>2229</v>
      </c>
      <c r="U1366" t="s">
        <v>3699</v>
      </c>
    </row>
    <row r="1367" spans="1:21" x14ac:dyDescent="0.3">
      <c r="A1367" t="s">
        <v>4137</v>
      </c>
      <c r="B1367" t="s">
        <v>30</v>
      </c>
      <c r="C1367" t="s">
        <v>1527</v>
      </c>
      <c r="D1367" s="15">
        <v>2000</v>
      </c>
      <c r="E1367" s="7">
        <v>172.5</v>
      </c>
      <c r="H1367">
        <v>82957</v>
      </c>
      <c r="I1367" t="s">
        <v>867</v>
      </c>
      <c r="J1367" t="s">
        <v>3134</v>
      </c>
      <c r="K1367" t="s">
        <v>3</v>
      </c>
      <c r="L1367" s="2">
        <v>43252</v>
      </c>
      <c r="M1367" s="2">
        <f>DHMXX[[#This Row],[INV DOC DATE]]+30</f>
        <v>43282</v>
      </c>
      <c r="N1367" s="2">
        <v>43279</v>
      </c>
      <c r="O1367" s="7">
        <v>172.5</v>
      </c>
      <c r="P1367" s="2">
        <v>43290</v>
      </c>
      <c r="Q1367" s="7">
        <f>$E1367-$O1367</f>
        <v>0</v>
      </c>
      <c r="R1367" s="7" t="str">
        <f ca="1">IF(TODAY() - DHMXX[INV DUE DATE]&lt;30, "Less than 30 days",IF(TODAY()-DHMXX[INV DUE DATE]&lt;60,"30-60 days","More than 60 days"))</f>
        <v>Less than 30 days</v>
      </c>
      <c r="S1367" t="s">
        <v>1550</v>
      </c>
      <c r="T1367" s="43" t="s">
        <v>2229</v>
      </c>
      <c r="U1367" t="s">
        <v>3699</v>
      </c>
    </row>
    <row r="1368" spans="1:21" x14ac:dyDescent="0.3">
      <c r="A1368" t="s">
        <v>4137</v>
      </c>
      <c r="B1368" t="s">
        <v>30</v>
      </c>
      <c r="C1368" t="s">
        <v>1528</v>
      </c>
      <c r="D1368" s="15">
        <v>2000</v>
      </c>
      <c r="E1368" s="7">
        <v>172.5</v>
      </c>
      <c r="H1368">
        <v>91299</v>
      </c>
      <c r="I1368" t="s">
        <v>867</v>
      </c>
      <c r="J1368" t="s">
        <v>3137</v>
      </c>
      <c r="K1368" t="s">
        <v>3</v>
      </c>
      <c r="L1368" s="2">
        <v>43252</v>
      </c>
      <c r="M1368" s="2">
        <f>DHMXX[[#This Row],[INV DOC DATE]]+30</f>
        <v>43282</v>
      </c>
      <c r="N1368" s="2">
        <v>43279</v>
      </c>
      <c r="O1368" s="7">
        <v>172.5</v>
      </c>
      <c r="P1368" s="2">
        <v>43290</v>
      </c>
      <c r="Q1368" s="7">
        <f>$E1368-$O1368</f>
        <v>0</v>
      </c>
      <c r="R1368" s="7" t="str">
        <f ca="1">IF(TODAY() - DHMXX[INV DUE DATE]&lt;30, "Less than 30 days",IF(TODAY()-DHMXX[INV DUE DATE]&lt;60,"30-60 days","More than 60 days"))</f>
        <v>Less than 30 days</v>
      </c>
      <c r="S1368" t="s">
        <v>1550</v>
      </c>
      <c r="T1368" s="43" t="s">
        <v>2229</v>
      </c>
      <c r="U1368" t="s">
        <v>3699</v>
      </c>
    </row>
    <row r="1369" spans="1:21" x14ac:dyDescent="0.3">
      <c r="A1369" t="s">
        <v>4137</v>
      </c>
      <c r="B1369" t="s">
        <v>30</v>
      </c>
      <c r="C1369" t="s">
        <v>1529</v>
      </c>
      <c r="D1369" s="15">
        <v>2000</v>
      </c>
      <c r="E1369" s="7">
        <v>172.5</v>
      </c>
      <c r="H1369">
        <v>172035</v>
      </c>
      <c r="I1369" t="s">
        <v>863</v>
      </c>
      <c r="J1369" t="s">
        <v>3138</v>
      </c>
      <c r="K1369" t="s">
        <v>3</v>
      </c>
      <c r="L1369" s="2">
        <v>43252</v>
      </c>
      <c r="M1369" s="2">
        <f>DHMXX[[#This Row],[INV DOC DATE]]+30</f>
        <v>43282</v>
      </c>
      <c r="N1369" s="2">
        <v>43279</v>
      </c>
      <c r="O1369" s="7">
        <v>172.5</v>
      </c>
      <c r="P1369" s="2">
        <v>43290</v>
      </c>
      <c r="Q1369" s="7">
        <f>$E1369-$O1369</f>
        <v>0</v>
      </c>
      <c r="R1369" s="7" t="str">
        <f ca="1">IF(TODAY() - DHMXX[INV DUE DATE]&lt;30, "Less than 30 days",IF(TODAY()-DHMXX[INV DUE DATE]&lt;60,"30-60 days","More than 60 days"))</f>
        <v>Less than 30 days</v>
      </c>
      <c r="S1369" t="s">
        <v>1550</v>
      </c>
      <c r="T1369" s="43" t="s">
        <v>2229</v>
      </c>
      <c r="U1369" t="s">
        <v>3699</v>
      </c>
    </row>
    <row r="1370" spans="1:21" x14ac:dyDescent="0.3">
      <c r="A1370" t="s">
        <v>4137</v>
      </c>
      <c r="B1370" t="s">
        <v>30</v>
      </c>
      <c r="C1370" t="s">
        <v>1530</v>
      </c>
      <c r="D1370" s="15">
        <v>2000</v>
      </c>
      <c r="E1370" s="7">
        <v>172.5</v>
      </c>
      <c r="H1370">
        <v>172035</v>
      </c>
      <c r="I1370" t="s">
        <v>863</v>
      </c>
      <c r="J1370" t="s">
        <v>3139</v>
      </c>
      <c r="K1370" t="s">
        <v>3</v>
      </c>
      <c r="L1370" s="2">
        <v>43252</v>
      </c>
      <c r="M1370" s="2">
        <f>DHMXX[[#This Row],[INV DOC DATE]]+30</f>
        <v>43282</v>
      </c>
      <c r="N1370" s="2">
        <v>43279</v>
      </c>
      <c r="O1370" s="7">
        <v>172.5</v>
      </c>
      <c r="P1370" s="2">
        <v>43290</v>
      </c>
      <c r="Q1370" s="7">
        <f>$E1370-$O1370</f>
        <v>0</v>
      </c>
      <c r="R1370" s="7" t="str">
        <f ca="1">IF(TODAY() - DHMXX[INV DUE DATE]&lt;30, "Less than 30 days",IF(TODAY()-DHMXX[INV DUE DATE]&lt;60,"30-60 days","More than 60 days"))</f>
        <v>Less than 30 days</v>
      </c>
      <c r="S1370" t="s">
        <v>1550</v>
      </c>
      <c r="T1370" s="43" t="s">
        <v>2229</v>
      </c>
      <c r="U1370" t="s">
        <v>3699</v>
      </c>
    </row>
    <row r="1371" spans="1:21" x14ac:dyDescent="0.3">
      <c r="A1371" t="s">
        <v>4137</v>
      </c>
      <c r="B1371" t="s">
        <v>30</v>
      </c>
      <c r="C1371" t="s">
        <v>1531</v>
      </c>
      <c r="D1371" s="15">
        <v>2000</v>
      </c>
      <c r="E1371" s="7">
        <v>172.5</v>
      </c>
      <c r="H1371">
        <v>172035</v>
      </c>
      <c r="I1371" t="s">
        <v>863</v>
      </c>
      <c r="J1371" t="s">
        <v>3140</v>
      </c>
      <c r="K1371" t="s">
        <v>3</v>
      </c>
      <c r="L1371" s="2">
        <v>43252</v>
      </c>
      <c r="M1371" s="2">
        <f>DHMXX[[#This Row],[INV DOC DATE]]+30</f>
        <v>43282</v>
      </c>
      <c r="N1371" s="2">
        <v>43279</v>
      </c>
      <c r="O1371" s="7">
        <v>172.5</v>
      </c>
      <c r="P1371" s="2">
        <v>43290</v>
      </c>
      <c r="Q1371" s="7">
        <f>$E1371-$O1371</f>
        <v>0</v>
      </c>
      <c r="R1371" s="7" t="str">
        <f ca="1">IF(TODAY() - DHMXX[INV DUE DATE]&lt;30, "Less than 30 days",IF(TODAY()-DHMXX[INV DUE DATE]&lt;60,"30-60 days","More than 60 days"))</f>
        <v>Less than 30 days</v>
      </c>
      <c r="S1371" t="s">
        <v>1550</v>
      </c>
      <c r="T1371" s="43" t="s">
        <v>2229</v>
      </c>
      <c r="U1371" t="s">
        <v>3699</v>
      </c>
    </row>
    <row r="1372" spans="1:21" x14ac:dyDescent="0.3">
      <c r="A1372" t="s">
        <v>4137</v>
      </c>
      <c r="B1372" t="s">
        <v>30</v>
      </c>
      <c r="C1372" t="s">
        <v>1532</v>
      </c>
      <c r="D1372" s="15">
        <v>2000</v>
      </c>
      <c r="E1372" s="7">
        <v>172.5</v>
      </c>
      <c r="H1372">
        <v>182140</v>
      </c>
      <c r="I1372" t="s">
        <v>864</v>
      </c>
      <c r="J1372" t="s">
        <v>3141</v>
      </c>
      <c r="K1372" t="s">
        <v>3</v>
      </c>
      <c r="L1372" s="2">
        <v>43252</v>
      </c>
      <c r="M1372" s="2">
        <f>DHMXX[[#This Row],[INV DOC DATE]]+30</f>
        <v>43282</v>
      </c>
      <c r="N1372" s="2">
        <v>43279</v>
      </c>
      <c r="O1372" s="7">
        <v>172.5</v>
      </c>
      <c r="P1372" s="2">
        <v>43290</v>
      </c>
      <c r="Q1372" s="7">
        <f>$E1372-$O1372</f>
        <v>0</v>
      </c>
      <c r="R1372" s="7" t="str">
        <f ca="1">IF(TODAY() - DHMXX[INV DUE DATE]&lt;30, "Less than 30 days",IF(TODAY()-DHMXX[INV DUE DATE]&lt;60,"30-60 days","More than 60 days"))</f>
        <v>Less than 30 days</v>
      </c>
      <c r="S1372" t="s">
        <v>1550</v>
      </c>
      <c r="T1372" s="43" t="s">
        <v>2229</v>
      </c>
      <c r="U1372" t="s">
        <v>3699</v>
      </c>
    </row>
    <row r="1373" spans="1:21" x14ac:dyDescent="0.3">
      <c r="A1373" t="s">
        <v>4137</v>
      </c>
      <c r="B1373" t="s">
        <v>30</v>
      </c>
      <c r="C1373" t="s">
        <v>1533</v>
      </c>
      <c r="D1373" s="15">
        <v>2000</v>
      </c>
      <c r="E1373" s="7">
        <v>172.5</v>
      </c>
      <c r="H1373">
        <v>182140</v>
      </c>
      <c r="I1373" t="s">
        <v>864</v>
      </c>
      <c r="J1373" t="s">
        <v>3142</v>
      </c>
      <c r="K1373" t="s">
        <v>3</v>
      </c>
      <c r="L1373" s="2">
        <v>43252</v>
      </c>
      <c r="M1373" s="2">
        <f>DHMXX[[#This Row],[INV DOC DATE]]+30</f>
        <v>43282</v>
      </c>
      <c r="N1373" s="2">
        <v>43279</v>
      </c>
      <c r="O1373" s="7">
        <v>172.5</v>
      </c>
      <c r="P1373" s="2">
        <v>43290</v>
      </c>
      <c r="Q1373" s="7">
        <f>$E1373-$O1373</f>
        <v>0</v>
      </c>
      <c r="R1373" s="7" t="str">
        <f ca="1">IF(TODAY() - DHMXX[INV DUE DATE]&lt;30, "Less than 30 days",IF(TODAY()-DHMXX[INV DUE DATE]&lt;60,"30-60 days","More than 60 days"))</f>
        <v>Less than 30 days</v>
      </c>
      <c r="S1373" t="s">
        <v>1550</v>
      </c>
      <c r="T1373" s="43" t="s">
        <v>2229</v>
      </c>
      <c r="U1373" t="s">
        <v>3699</v>
      </c>
    </row>
    <row r="1374" spans="1:21" x14ac:dyDescent="0.3">
      <c r="A1374" t="s">
        <v>4137</v>
      </c>
      <c r="B1374" t="s">
        <v>30</v>
      </c>
      <c r="C1374" t="s">
        <v>1534</v>
      </c>
      <c r="D1374" s="15">
        <v>2000</v>
      </c>
      <c r="E1374" s="7">
        <v>172.5</v>
      </c>
      <c r="H1374">
        <v>182140</v>
      </c>
      <c r="I1374" t="s">
        <v>864</v>
      </c>
      <c r="J1374" t="s">
        <v>3143</v>
      </c>
      <c r="K1374" t="s">
        <v>3</v>
      </c>
      <c r="L1374" s="2">
        <v>43252</v>
      </c>
      <c r="M1374" s="2">
        <f>DHMXX[[#This Row],[INV DOC DATE]]+30</f>
        <v>43282</v>
      </c>
      <c r="N1374" s="2">
        <v>43279</v>
      </c>
      <c r="O1374" s="7">
        <v>172.5</v>
      </c>
      <c r="P1374" s="2">
        <v>43290</v>
      </c>
      <c r="Q1374" s="7">
        <f>$E1374-$O1374</f>
        <v>0</v>
      </c>
      <c r="R1374" s="7" t="str">
        <f ca="1">IF(TODAY() - DHMXX[INV DUE DATE]&lt;30, "Less than 30 days",IF(TODAY()-DHMXX[INV DUE DATE]&lt;60,"30-60 days","More than 60 days"))</f>
        <v>Less than 30 days</v>
      </c>
      <c r="S1374" t="s">
        <v>1550</v>
      </c>
      <c r="T1374" s="43" t="s">
        <v>2229</v>
      </c>
      <c r="U1374" t="s">
        <v>3699</v>
      </c>
    </row>
    <row r="1375" spans="1:21" x14ac:dyDescent="0.3">
      <c r="A1375" t="s">
        <v>4137</v>
      </c>
      <c r="B1375" t="s">
        <v>30</v>
      </c>
      <c r="C1375" t="s">
        <v>1535</v>
      </c>
      <c r="D1375" s="15">
        <v>2000</v>
      </c>
      <c r="E1375" s="7">
        <v>172.5</v>
      </c>
      <c r="H1375">
        <v>182140</v>
      </c>
      <c r="I1375" t="s">
        <v>864</v>
      </c>
      <c r="J1375" t="s">
        <v>3144</v>
      </c>
      <c r="K1375" t="s">
        <v>3</v>
      </c>
      <c r="L1375" s="2">
        <v>43252</v>
      </c>
      <c r="M1375" s="2">
        <f>DHMXX[[#This Row],[INV DOC DATE]]+30</f>
        <v>43282</v>
      </c>
      <c r="N1375" s="2">
        <v>43279</v>
      </c>
      <c r="O1375" s="7">
        <v>172.5</v>
      </c>
      <c r="P1375" s="2">
        <v>43290</v>
      </c>
      <c r="Q1375" s="7">
        <f>$E1375-$O1375</f>
        <v>0</v>
      </c>
      <c r="R1375" s="7" t="str">
        <f ca="1">IF(TODAY() - DHMXX[INV DUE DATE]&lt;30, "Less than 30 days",IF(TODAY()-DHMXX[INV DUE DATE]&lt;60,"30-60 days","More than 60 days"))</f>
        <v>Less than 30 days</v>
      </c>
      <c r="S1375" t="s">
        <v>1550</v>
      </c>
      <c r="T1375" s="43" t="s">
        <v>2229</v>
      </c>
      <c r="U1375" t="s">
        <v>3699</v>
      </c>
    </row>
    <row r="1376" spans="1:21" x14ac:dyDescent="0.3">
      <c r="A1376" t="s">
        <v>4137</v>
      </c>
      <c r="B1376" t="s">
        <v>30</v>
      </c>
      <c r="C1376" t="s">
        <v>1536</v>
      </c>
      <c r="D1376" s="15">
        <v>2000</v>
      </c>
      <c r="E1376" s="7">
        <v>172.5</v>
      </c>
      <c r="H1376">
        <v>182140</v>
      </c>
      <c r="I1376" t="s">
        <v>864</v>
      </c>
      <c r="J1376" t="s">
        <v>3145</v>
      </c>
      <c r="K1376" t="s">
        <v>3</v>
      </c>
      <c r="L1376" s="2">
        <v>43252</v>
      </c>
      <c r="M1376" s="2">
        <f>DHMXX[[#This Row],[INV DOC DATE]]+30</f>
        <v>43282</v>
      </c>
      <c r="N1376" s="2">
        <v>43279</v>
      </c>
      <c r="O1376" s="7">
        <v>172.5</v>
      </c>
      <c r="P1376" s="2">
        <v>43290</v>
      </c>
      <c r="Q1376" s="7">
        <f>$E1376-$O1376</f>
        <v>0</v>
      </c>
      <c r="R1376" s="7" t="str">
        <f ca="1">IF(TODAY() - DHMXX[INV DUE DATE]&lt;30, "Less than 30 days",IF(TODAY()-DHMXX[INV DUE DATE]&lt;60,"30-60 days","More than 60 days"))</f>
        <v>Less than 30 days</v>
      </c>
      <c r="S1376" t="s">
        <v>1550</v>
      </c>
      <c r="T1376" s="43" t="s">
        <v>2229</v>
      </c>
      <c r="U1376" t="s">
        <v>3699</v>
      </c>
    </row>
    <row r="1377" spans="1:21" x14ac:dyDescent="0.3">
      <c r="A1377" t="s">
        <v>4137</v>
      </c>
      <c r="B1377" t="s">
        <v>30</v>
      </c>
      <c r="C1377" t="s">
        <v>1537</v>
      </c>
      <c r="D1377" s="15">
        <v>2000</v>
      </c>
      <c r="E1377" s="7">
        <v>172.5</v>
      </c>
      <c r="H1377">
        <v>182140</v>
      </c>
      <c r="I1377" t="s">
        <v>864</v>
      </c>
      <c r="J1377" t="s">
        <v>3147</v>
      </c>
      <c r="K1377" t="s">
        <v>3</v>
      </c>
      <c r="L1377" s="2">
        <v>43252</v>
      </c>
      <c r="M1377" s="2">
        <f>DHMXX[[#This Row],[INV DOC DATE]]+30</f>
        <v>43282</v>
      </c>
      <c r="N1377" s="2">
        <v>43279</v>
      </c>
      <c r="O1377" s="7">
        <v>172.5</v>
      </c>
      <c r="P1377" s="2">
        <v>43290</v>
      </c>
      <c r="Q1377" s="7">
        <f>$E1377-$O1377</f>
        <v>0</v>
      </c>
      <c r="R1377" s="7" t="str">
        <f ca="1">IF(TODAY() - DHMXX[INV DUE DATE]&lt;30, "Less than 30 days",IF(TODAY()-DHMXX[INV DUE DATE]&lt;60,"30-60 days","More than 60 days"))</f>
        <v>Less than 30 days</v>
      </c>
      <c r="S1377" t="s">
        <v>1550</v>
      </c>
      <c r="T1377" s="43" t="s">
        <v>2229</v>
      </c>
      <c r="U1377" t="s">
        <v>3699</v>
      </c>
    </row>
    <row r="1378" spans="1:21" x14ac:dyDescent="0.3">
      <c r="A1378" t="s">
        <v>4137</v>
      </c>
      <c r="B1378" t="s">
        <v>30</v>
      </c>
      <c r="C1378" t="s">
        <v>1538</v>
      </c>
      <c r="D1378" s="15">
        <v>2000</v>
      </c>
      <c r="E1378" s="7">
        <v>172.5</v>
      </c>
      <c r="H1378">
        <v>182140</v>
      </c>
      <c r="I1378" t="s">
        <v>864</v>
      </c>
      <c r="J1378" t="s">
        <v>3148</v>
      </c>
      <c r="K1378" t="s">
        <v>3</v>
      </c>
      <c r="L1378" s="2">
        <v>43252</v>
      </c>
      <c r="M1378" s="2">
        <f>DHMXX[[#This Row],[INV DOC DATE]]+30</f>
        <v>43282</v>
      </c>
      <c r="N1378" s="2">
        <v>43279</v>
      </c>
      <c r="O1378" s="7">
        <v>172.5</v>
      </c>
      <c r="P1378" s="2">
        <v>43290</v>
      </c>
      <c r="Q1378" s="7">
        <f>$E1378-$O1378</f>
        <v>0</v>
      </c>
      <c r="R1378" s="7" t="str">
        <f ca="1">IF(TODAY() - DHMXX[INV DUE DATE]&lt;30, "Less than 30 days",IF(TODAY()-DHMXX[INV DUE DATE]&lt;60,"30-60 days","More than 60 days"))</f>
        <v>Less than 30 days</v>
      </c>
      <c r="S1378" t="s">
        <v>1550</v>
      </c>
      <c r="T1378" s="43" t="s">
        <v>2229</v>
      </c>
      <c r="U1378" t="s">
        <v>3699</v>
      </c>
    </row>
    <row r="1379" spans="1:21" x14ac:dyDescent="0.3">
      <c r="A1379" t="s">
        <v>4137</v>
      </c>
      <c r="B1379" t="s">
        <v>30</v>
      </c>
      <c r="C1379" t="s">
        <v>1539</v>
      </c>
      <c r="D1379" s="15">
        <v>2000</v>
      </c>
      <c r="E1379" s="7">
        <v>172.5</v>
      </c>
      <c r="H1379">
        <v>182140</v>
      </c>
      <c r="I1379" t="s">
        <v>864</v>
      </c>
      <c r="J1379" t="s">
        <v>3149</v>
      </c>
      <c r="K1379" t="s">
        <v>3</v>
      </c>
      <c r="L1379" s="2">
        <v>43252</v>
      </c>
      <c r="M1379" s="2">
        <f>DHMXX[[#This Row],[INV DOC DATE]]+30</f>
        <v>43282</v>
      </c>
      <c r="N1379" s="2">
        <v>43279</v>
      </c>
      <c r="O1379" s="7">
        <v>172.5</v>
      </c>
      <c r="P1379" s="2">
        <v>43290</v>
      </c>
      <c r="Q1379" s="7">
        <f>$E1379-$O1379</f>
        <v>0</v>
      </c>
      <c r="R1379" s="7" t="str">
        <f ca="1">IF(TODAY() - DHMXX[INV DUE DATE]&lt;30, "Less than 30 days",IF(TODAY()-DHMXX[INV DUE DATE]&lt;60,"30-60 days","More than 60 days"))</f>
        <v>Less than 30 days</v>
      </c>
      <c r="S1379" t="s">
        <v>1550</v>
      </c>
      <c r="T1379" s="43" t="s">
        <v>2229</v>
      </c>
      <c r="U1379" t="s">
        <v>3699</v>
      </c>
    </row>
    <row r="1380" spans="1:21" x14ac:dyDescent="0.3">
      <c r="A1380" t="s">
        <v>4137</v>
      </c>
      <c r="B1380" t="s">
        <v>30</v>
      </c>
      <c r="C1380" t="s">
        <v>1540</v>
      </c>
      <c r="D1380" s="15">
        <v>2000</v>
      </c>
      <c r="E1380" s="7">
        <v>172.5</v>
      </c>
      <c r="H1380">
        <v>182140</v>
      </c>
      <c r="I1380" t="s">
        <v>864</v>
      </c>
      <c r="J1380" t="s">
        <v>3150</v>
      </c>
      <c r="K1380" t="s">
        <v>3</v>
      </c>
      <c r="L1380" s="2">
        <v>43252</v>
      </c>
      <c r="M1380" s="2">
        <f>DHMXX[[#This Row],[INV DOC DATE]]+30</f>
        <v>43282</v>
      </c>
      <c r="N1380" s="2">
        <v>43279</v>
      </c>
      <c r="O1380" s="7">
        <v>172.5</v>
      </c>
      <c r="P1380" s="2">
        <v>43290</v>
      </c>
      <c r="Q1380" s="7">
        <f>$E1380-$O1380</f>
        <v>0</v>
      </c>
      <c r="R1380" s="7" t="str">
        <f ca="1">IF(TODAY() - DHMXX[INV DUE DATE]&lt;30, "Less than 30 days",IF(TODAY()-DHMXX[INV DUE DATE]&lt;60,"30-60 days","More than 60 days"))</f>
        <v>Less than 30 days</v>
      </c>
      <c r="S1380" t="s">
        <v>1550</v>
      </c>
      <c r="T1380" s="43" t="s">
        <v>2229</v>
      </c>
      <c r="U1380" t="s">
        <v>3699</v>
      </c>
    </row>
    <row r="1381" spans="1:21" x14ac:dyDescent="0.3">
      <c r="A1381" t="s">
        <v>4135</v>
      </c>
      <c r="B1381" t="s">
        <v>32</v>
      </c>
      <c r="C1381" t="s">
        <v>6</v>
      </c>
      <c r="D1381" s="15">
        <v>1</v>
      </c>
      <c r="E1381" s="7">
        <v>172.5</v>
      </c>
      <c r="F1381">
        <v>31943760</v>
      </c>
      <c r="J1381" t="s">
        <v>2689</v>
      </c>
      <c r="K1381" t="s">
        <v>3</v>
      </c>
      <c r="L1381" s="2">
        <v>43252</v>
      </c>
      <c r="M1381" s="2">
        <f>DHMXX[[#This Row],[INV DOC DATE]]+30</f>
        <v>43282</v>
      </c>
      <c r="N1381" s="2">
        <v>43279</v>
      </c>
      <c r="O1381" s="7">
        <v>172.5</v>
      </c>
      <c r="P1381" s="2">
        <v>43290</v>
      </c>
      <c r="Q1381" s="7">
        <f>$E1381-$O1381</f>
        <v>0</v>
      </c>
      <c r="R1381" s="7" t="str">
        <f ca="1">IF(TODAY() - DHMXX[INV DUE DATE]&lt;30, "Less than 30 days",IF(TODAY()-DHMXX[INV DUE DATE]&lt;60,"30-60 days","More than 60 days"))</f>
        <v>Less than 30 days</v>
      </c>
      <c r="S1381" t="s">
        <v>1550</v>
      </c>
      <c r="T1381" s="43" t="s">
        <v>2229</v>
      </c>
      <c r="U1381" t="s">
        <v>3699</v>
      </c>
    </row>
    <row r="1382" spans="1:21" x14ac:dyDescent="0.3">
      <c r="A1382" t="s">
        <v>4135</v>
      </c>
      <c r="B1382" t="s">
        <v>32</v>
      </c>
      <c r="C1382" t="s">
        <v>7</v>
      </c>
      <c r="D1382" s="15">
        <v>1</v>
      </c>
      <c r="E1382" s="7">
        <v>172.5</v>
      </c>
      <c r="F1382">
        <v>31970999</v>
      </c>
      <c r="J1382" t="s">
        <v>2690</v>
      </c>
      <c r="K1382" t="s">
        <v>3</v>
      </c>
      <c r="L1382" s="2">
        <v>43252</v>
      </c>
      <c r="M1382" s="2">
        <f>DHMXX[[#This Row],[INV DOC DATE]]+30</f>
        <v>43282</v>
      </c>
      <c r="N1382" s="2">
        <v>43279</v>
      </c>
      <c r="O1382" s="7">
        <v>172.5</v>
      </c>
      <c r="P1382" s="2">
        <v>43290</v>
      </c>
      <c r="Q1382" s="7">
        <f>$E1382-$O1382</f>
        <v>0</v>
      </c>
      <c r="R1382" s="7" t="str">
        <f ca="1">IF(TODAY() - DHMXX[INV DUE DATE]&lt;30, "Less than 30 days",IF(TODAY()-DHMXX[INV DUE DATE]&lt;60,"30-60 days","More than 60 days"))</f>
        <v>Less than 30 days</v>
      </c>
      <c r="S1382" t="s">
        <v>1550</v>
      </c>
      <c r="T1382" s="43" t="s">
        <v>2229</v>
      </c>
      <c r="U1382" t="s">
        <v>3699</v>
      </c>
    </row>
    <row r="1383" spans="1:21" x14ac:dyDescent="0.3">
      <c r="A1383" t="s">
        <v>4135</v>
      </c>
      <c r="B1383" t="s">
        <v>32</v>
      </c>
      <c r="C1383" t="s">
        <v>8</v>
      </c>
      <c r="D1383" s="15">
        <v>1</v>
      </c>
      <c r="E1383" s="7">
        <v>172.5</v>
      </c>
      <c r="F1383">
        <v>32086652</v>
      </c>
      <c r="J1383" t="s">
        <v>2968</v>
      </c>
      <c r="K1383" t="s">
        <v>3</v>
      </c>
      <c r="L1383" s="2">
        <v>43252</v>
      </c>
      <c r="M1383" s="2">
        <f>DHMXX[[#This Row],[INV DOC DATE]]+30</f>
        <v>43282</v>
      </c>
      <c r="N1383" s="2">
        <v>43279</v>
      </c>
      <c r="O1383" s="7">
        <v>172.5</v>
      </c>
      <c r="P1383" s="2">
        <v>43290</v>
      </c>
      <c r="Q1383" s="7">
        <f>$E1383-$O1383</f>
        <v>0</v>
      </c>
      <c r="R1383" s="7" t="str">
        <f ca="1">IF(TODAY() - DHMXX[INV DUE DATE]&lt;30, "Less than 30 days",IF(TODAY()-DHMXX[INV DUE DATE]&lt;60,"30-60 days","More than 60 days"))</f>
        <v>Less than 30 days</v>
      </c>
      <c r="S1383" t="s">
        <v>1550</v>
      </c>
      <c r="T1383" s="43" t="s">
        <v>2229</v>
      </c>
      <c r="U1383" t="s">
        <v>3699</v>
      </c>
    </row>
    <row r="1384" spans="1:21" x14ac:dyDescent="0.3">
      <c r="A1384" t="s">
        <v>4135</v>
      </c>
      <c r="B1384" t="s">
        <v>32</v>
      </c>
      <c r="C1384" t="s">
        <v>9</v>
      </c>
      <c r="D1384" s="15">
        <v>1</v>
      </c>
      <c r="E1384" s="7">
        <v>172.5</v>
      </c>
      <c r="F1384">
        <v>32161555</v>
      </c>
      <c r="J1384" t="s">
        <v>2693</v>
      </c>
      <c r="K1384" t="s">
        <v>3</v>
      </c>
      <c r="L1384" s="2">
        <v>43252</v>
      </c>
      <c r="M1384" s="2">
        <f>DHMXX[[#This Row],[INV DOC DATE]]+30</f>
        <v>43282</v>
      </c>
      <c r="N1384" s="2">
        <v>43279</v>
      </c>
      <c r="O1384" s="7">
        <v>172.5</v>
      </c>
      <c r="P1384" s="2">
        <v>43290</v>
      </c>
      <c r="Q1384" s="7">
        <f>$E1384-$O1384</f>
        <v>0</v>
      </c>
      <c r="R1384" s="7" t="str">
        <f ca="1">IF(TODAY() - DHMXX[INV DUE DATE]&lt;30, "Less than 30 days",IF(TODAY()-DHMXX[INV DUE DATE]&lt;60,"30-60 days","More than 60 days"))</f>
        <v>Less than 30 days</v>
      </c>
      <c r="S1384" t="s">
        <v>1550</v>
      </c>
      <c r="T1384" s="43" t="s">
        <v>2229</v>
      </c>
      <c r="U1384" t="s">
        <v>3699</v>
      </c>
    </row>
    <row r="1385" spans="1:21" x14ac:dyDescent="0.3">
      <c r="A1385" t="s">
        <v>4135</v>
      </c>
      <c r="B1385" t="s">
        <v>32</v>
      </c>
      <c r="C1385" t="s">
        <v>10</v>
      </c>
      <c r="D1385" s="15">
        <v>1</v>
      </c>
      <c r="E1385" s="7">
        <v>172.5</v>
      </c>
      <c r="F1385">
        <v>32161555</v>
      </c>
      <c r="J1385" t="s">
        <v>2694</v>
      </c>
      <c r="K1385" t="s">
        <v>3</v>
      </c>
      <c r="L1385" s="2">
        <v>43252</v>
      </c>
      <c r="M1385" s="2">
        <f>DHMXX[[#This Row],[INV DOC DATE]]+30</f>
        <v>43282</v>
      </c>
      <c r="N1385" s="2">
        <v>43279</v>
      </c>
      <c r="O1385" s="7">
        <v>172.5</v>
      </c>
      <c r="P1385" s="2">
        <v>43290</v>
      </c>
      <c r="Q1385" s="7">
        <f>$E1385-$O1385</f>
        <v>0</v>
      </c>
      <c r="R1385" s="7" t="str">
        <f ca="1">IF(TODAY() - DHMXX[INV DUE DATE]&lt;30, "Less than 30 days",IF(TODAY()-DHMXX[INV DUE DATE]&lt;60,"30-60 days","More than 60 days"))</f>
        <v>Less than 30 days</v>
      </c>
      <c r="S1385" t="s">
        <v>1550</v>
      </c>
      <c r="T1385" s="43" t="s">
        <v>2229</v>
      </c>
      <c r="U1385" t="s">
        <v>3699</v>
      </c>
    </row>
    <row r="1386" spans="1:21" x14ac:dyDescent="0.3">
      <c r="A1386" t="s">
        <v>4135</v>
      </c>
      <c r="B1386" t="s">
        <v>32</v>
      </c>
      <c r="C1386" t="s">
        <v>11</v>
      </c>
      <c r="D1386" s="15">
        <v>1</v>
      </c>
      <c r="E1386" s="7">
        <v>172.5</v>
      </c>
      <c r="F1386">
        <v>32220157</v>
      </c>
      <c r="J1386" t="s">
        <v>2695</v>
      </c>
      <c r="K1386" t="s">
        <v>3</v>
      </c>
      <c r="L1386" s="2">
        <v>43252</v>
      </c>
      <c r="M1386" s="2">
        <f>DHMXX[[#This Row],[INV DOC DATE]]+30</f>
        <v>43282</v>
      </c>
      <c r="N1386" s="2">
        <v>43279</v>
      </c>
      <c r="O1386" s="7">
        <v>172.5</v>
      </c>
      <c r="P1386" s="2">
        <v>43290</v>
      </c>
      <c r="Q1386" s="7">
        <f>$E1386-$O1386</f>
        <v>0</v>
      </c>
      <c r="R1386" s="7" t="str">
        <f ca="1">IF(TODAY() - DHMXX[INV DUE DATE]&lt;30, "Less than 30 days",IF(TODAY()-DHMXX[INV DUE DATE]&lt;60,"30-60 days","More than 60 days"))</f>
        <v>Less than 30 days</v>
      </c>
      <c r="S1386" t="s">
        <v>1550</v>
      </c>
      <c r="T1386" s="43" t="s">
        <v>2229</v>
      </c>
      <c r="U1386" t="s">
        <v>3699</v>
      </c>
    </row>
    <row r="1387" spans="1:21" x14ac:dyDescent="0.3">
      <c r="A1387" t="s">
        <v>4135</v>
      </c>
      <c r="B1387" t="s">
        <v>32</v>
      </c>
      <c r="C1387" t="s">
        <v>12</v>
      </c>
      <c r="D1387" s="15">
        <v>1</v>
      </c>
      <c r="E1387" s="7">
        <v>172.5</v>
      </c>
      <c r="F1387">
        <v>32220157</v>
      </c>
      <c r="J1387" t="s">
        <v>2696</v>
      </c>
      <c r="K1387" t="s">
        <v>3</v>
      </c>
      <c r="L1387" s="2">
        <v>43252</v>
      </c>
      <c r="M1387" s="2">
        <f>DHMXX[[#This Row],[INV DOC DATE]]+30</f>
        <v>43282</v>
      </c>
      <c r="N1387" s="2">
        <v>43279</v>
      </c>
      <c r="O1387" s="7">
        <v>172.5</v>
      </c>
      <c r="P1387" s="2">
        <v>43290</v>
      </c>
      <c r="Q1387" s="7">
        <f>$E1387-$O1387</f>
        <v>0</v>
      </c>
      <c r="R1387" s="7" t="str">
        <f ca="1">IF(TODAY() - DHMXX[INV DUE DATE]&lt;30, "Less than 30 days",IF(TODAY()-DHMXX[INV DUE DATE]&lt;60,"30-60 days","More than 60 days"))</f>
        <v>Less than 30 days</v>
      </c>
      <c r="S1387" t="s">
        <v>1550</v>
      </c>
      <c r="T1387" s="43" t="s">
        <v>2229</v>
      </c>
      <c r="U1387" t="s">
        <v>3699</v>
      </c>
    </row>
    <row r="1388" spans="1:21" x14ac:dyDescent="0.3">
      <c r="A1388" t="s">
        <v>4135</v>
      </c>
      <c r="B1388" t="s">
        <v>32</v>
      </c>
      <c r="C1388" t="s">
        <v>13</v>
      </c>
      <c r="D1388" s="15">
        <v>1</v>
      </c>
      <c r="E1388" s="7">
        <v>172.5</v>
      </c>
      <c r="F1388">
        <v>32361812</v>
      </c>
      <c r="J1388" t="s">
        <v>2967</v>
      </c>
      <c r="K1388" t="s">
        <v>3</v>
      </c>
      <c r="L1388" s="2">
        <v>43252</v>
      </c>
      <c r="M1388" s="2">
        <f>DHMXX[[#This Row],[INV DOC DATE]]+30</f>
        <v>43282</v>
      </c>
      <c r="N1388" s="2">
        <v>43279</v>
      </c>
      <c r="O1388" s="7">
        <v>172.5</v>
      </c>
      <c r="P1388" s="2">
        <v>43290</v>
      </c>
      <c r="Q1388" s="7">
        <f>$E1388-$O1388</f>
        <v>0</v>
      </c>
      <c r="R1388" s="7" t="str">
        <f ca="1">IF(TODAY() - DHMXX[INV DUE DATE]&lt;30, "Less than 30 days",IF(TODAY()-DHMXX[INV DUE DATE]&lt;60,"30-60 days","More than 60 days"))</f>
        <v>Less than 30 days</v>
      </c>
      <c r="S1388" t="s">
        <v>1550</v>
      </c>
      <c r="T1388" s="43" t="s">
        <v>2229</v>
      </c>
      <c r="U1388" t="s">
        <v>3699</v>
      </c>
    </row>
    <row r="1389" spans="1:21" x14ac:dyDescent="0.3">
      <c r="A1389" t="s">
        <v>4135</v>
      </c>
      <c r="B1389" t="s">
        <v>30</v>
      </c>
      <c r="C1389" t="s">
        <v>1338</v>
      </c>
      <c r="D1389" s="15">
        <v>1</v>
      </c>
      <c r="E1389" s="7">
        <v>225</v>
      </c>
      <c r="H1389">
        <v>64179</v>
      </c>
      <c r="I1389" t="s">
        <v>845</v>
      </c>
      <c r="J1389" t="s">
        <v>2956</v>
      </c>
      <c r="K1389" t="s">
        <v>3</v>
      </c>
      <c r="L1389" s="2">
        <v>43252</v>
      </c>
      <c r="M1389" s="2">
        <f>DHMXX[[#This Row],[INV DOC DATE]]+30</f>
        <v>43282</v>
      </c>
      <c r="N1389" s="2">
        <v>43279</v>
      </c>
      <c r="O1389" s="7">
        <v>225</v>
      </c>
      <c r="P1389" s="2">
        <v>43290</v>
      </c>
      <c r="Q1389" s="7">
        <f>$E1389-$O1389</f>
        <v>0</v>
      </c>
      <c r="R1389" s="7" t="str">
        <f ca="1">IF(TODAY() - DHMXX[INV DUE DATE]&lt;30, "Less than 30 days",IF(TODAY()-DHMXX[INV DUE DATE]&lt;60,"30-60 days","More than 60 days"))</f>
        <v>Less than 30 days</v>
      </c>
      <c r="S1389" t="s">
        <v>1550</v>
      </c>
      <c r="T1389" s="43" t="s">
        <v>2229</v>
      </c>
      <c r="U1389" t="s">
        <v>3699</v>
      </c>
    </row>
    <row r="1390" spans="1:21" x14ac:dyDescent="0.3">
      <c r="A1390" t="s">
        <v>4135</v>
      </c>
      <c r="B1390" t="s">
        <v>30</v>
      </c>
      <c r="C1390" t="s">
        <v>1339</v>
      </c>
      <c r="D1390" s="15">
        <v>1</v>
      </c>
      <c r="E1390" s="7">
        <v>225</v>
      </c>
      <c r="H1390">
        <v>64179</v>
      </c>
      <c r="I1390" t="s">
        <v>845</v>
      </c>
      <c r="J1390" t="s">
        <v>2957</v>
      </c>
      <c r="K1390" t="s">
        <v>3</v>
      </c>
      <c r="L1390" s="2">
        <v>43252</v>
      </c>
      <c r="M1390" s="2">
        <f>DHMXX[[#This Row],[INV DOC DATE]]+30</f>
        <v>43282</v>
      </c>
      <c r="N1390" s="2">
        <v>43279</v>
      </c>
      <c r="O1390" s="7">
        <v>225</v>
      </c>
      <c r="P1390" s="2">
        <v>43290</v>
      </c>
      <c r="Q1390" s="7">
        <f>$E1390-$O1390</f>
        <v>0</v>
      </c>
      <c r="R1390" s="7" t="str">
        <f ca="1">IF(TODAY() - DHMXX[INV DUE DATE]&lt;30, "Less than 30 days",IF(TODAY()-DHMXX[INV DUE DATE]&lt;60,"30-60 days","More than 60 days"))</f>
        <v>Less than 30 days</v>
      </c>
      <c r="S1390" t="s">
        <v>1550</v>
      </c>
      <c r="T1390" s="43" t="s">
        <v>2229</v>
      </c>
      <c r="U1390" t="s">
        <v>3699</v>
      </c>
    </row>
    <row r="1391" spans="1:21" x14ac:dyDescent="0.3">
      <c r="A1391" t="s">
        <v>4135</v>
      </c>
      <c r="B1391" t="s">
        <v>30</v>
      </c>
      <c r="C1391" t="s">
        <v>1340</v>
      </c>
      <c r="D1391" s="15">
        <v>1</v>
      </c>
      <c r="E1391" s="7">
        <v>172.5</v>
      </c>
      <c r="H1391">
        <v>64179</v>
      </c>
      <c r="I1391" t="s">
        <v>845</v>
      </c>
      <c r="J1391" t="s">
        <v>2953</v>
      </c>
      <c r="K1391" t="s">
        <v>3</v>
      </c>
      <c r="L1391" s="2">
        <v>43252</v>
      </c>
      <c r="M1391" s="2">
        <f>DHMXX[[#This Row],[INV DOC DATE]]+30</f>
        <v>43282</v>
      </c>
      <c r="N1391" s="2">
        <v>43279</v>
      </c>
      <c r="O1391" s="7">
        <v>172.5</v>
      </c>
      <c r="P1391" s="2">
        <v>43290</v>
      </c>
      <c r="Q1391" s="7">
        <f>$E1391-$O1391</f>
        <v>0</v>
      </c>
      <c r="R1391" s="7" t="str">
        <f ca="1">IF(TODAY() - DHMXX[INV DUE DATE]&lt;30, "Less than 30 days",IF(TODAY()-DHMXX[INV DUE DATE]&lt;60,"30-60 days","More than 60 days"))</f>
        <v>Less than 30 days</v>
      </c>
      <c r="S1391" t="s">
        <v>1550</v>
      </c>
      <c r="T1391" s="43" t="s">
        <v>2229</v>
      </c>
      <c r="U1391" t="s">
        <v>3699</v>
      </c>
    </row>
    <row r="1392" spans="1:21" x14ac:dyDescent="0.3">
      <c r="A1392" t="s">
        <v>4135</v>
      </c>
      <c r="B1392" t="s">
        <v>30</v>
      </c>
      <c r="C1392" t="s">
        <v>1341</v>
      </c>
      <c r="D1392" s="15">
        <v>1</v>
      </c>
      <c r="E1392" s="7">
        <v>172.5</v>
      </c>
      <c r="H1392">
        <v>64179</v>
      </c>
      <c r="I1392" t="s">
        <v>845</v>
      </c>
      <c r="J1392" t="s">
        <v>2958</v>
      </c>
      <c r="K1392" t="s">
        <v>3</v>
      </c>
      <c r="L1392" s="2">
        <v>43252</v>
      </c>
      <c r="M1392" s="2">
        <f>DHMXX[[#This Row],[INV DOC DATE]]+30</f>
        <v>43282</v>
      </c>
      <c r="N1392" s="2">
        <v>43279</v>
      </c>
      <c r="O1392" s="7">
        <v>172.5</v>
      </c>
      <c r="P1392" s="2">
        <v>43290</v>
      </c>
      <c r="Q1392" s="7">
        <f>$E1392-$O1392</f>
        <v>0</v>
      </c>
      <c r="R1392" s="7" t="str">
        <f ca="1">IF(TODAY() - DHMXX[INV DUE DATE]&lt;30, "Less than 30 days",IF(TODAY()-DHMXX[INV DUE DATE]&lt;60,"30-60 days","More than 60 days"))</f>
        <v>Less than 30 days</v>
      </c>
      <c r="S1392" t="s">
        <v>1550</v>
      </c>
      <c r="T1392" s="43" t="s">
        <v>2229</v>
      </c>
      <c r="U1392" t="s">
        <v>3699</v>
      </c>
    </row>
    <row r="1393" spans="1:21" x14ac:dyDescent="0.3">
      <c r="A1393" t="s">
        <v>4135</v>
      </c>
      <c r="B1393" t="s">
        <v>30</v>
      </c>
      <c r="C1393" t="s">
        <v>1342</v>
      </c>
      <c r="D1393" s="15">
        <v>1</v>
      </c>
      <c r="E1393" s="7">
        <v>172.5</v>
      </c>
      <c r="H1393">
        <v>64179</v>
      </c>
      <c r="I1393" t="s">
        <v>845</v>
      </c>
      <c r="J1393" t="s">
        <v>2952</v>
      </c>
      <c r="K1393" t="s">
        <v>3</v>
      </c>
      <c r="L1393" s="2">
        <v>43252</v>
      </c>
      <c r="M1393" s="2">
        <f>DHMXX[[#This Row],[INV DOC DATE]]+30</f>
        <v>43282</v>
      </c>
      <c r="N1393" s="2">
        <v>43279</v>
      </c>
      <c r="O1393" s="7">
        <v>172.5</v>
      </c>
      <c r="P1393" s="2">
        <v>43290</v>
      </c>
      <c r="Q1393" s="7">
        <f>$E1393-$O1393</f>
        <v>0</v>
      </c>
      <c r="R1393" s="7" t="str">
        <f ca="1">IF(TODAY() - DHMXX[INV DUE DATE]&lt;30, "Less than 30 days",IF(TODAY()-DHMXX[INV DUE DATE]&lt;60,"30-60 days","More than 60 days"))</f>
        <v>Less than 30 days</v>
      </c>
      <c r="S1393" t="s">
        <v>1550</v>
      </c>
      <c r="T1393" s="43" t="s">
        <v>2229</v>
      </c>
      <c r="U1393" t="s">
        <v>3699</v>
      </c>
    </row>
    <row r="1394" spans="1:21" x14ac:dyDescent="0.3">
      <c r="A1394" t="s">
        <v>4135</v>
      </c>
      <c r="B1394" t="s">
        <v>30</v>
      </c>
      <c r="C1394" t="s">
        <v>1343</v>
      </c>
      <c r="D1394" s="15">
        <v>1</v>
      </c>
      <c r="E1394" s="7">
        <v>172.5</v>
      </c>
      <c r="H1394">
        <v>64179</v>
      </c>
      <c r="I1394" t="s">
        <v>845</v>
      </c>
      <c r="J1394" t="s">
        <v>2951</v>
      </c>
      <c r="K1394" t="s">
        <v>3</v>
      </c>
      <c r="L1394" s="2">
        <v>43252</v>
      </c>
      <c r="M1394" s="2">
        <f>DHMXX[[#This Row],[INV DOC DATE]]+30</f>
        <v>43282</v>
      </c>
      <c r="N1394" s="2">
        <v>43279</v>
      </c>
      <c r="O1394" s="7">
        <v>172.5</v>
      </c>
      <c r="P1394" s="2">
        <v>43290</v>
      </c>
      <c r="Q1394" s="7">
        <f>$E1394-$O1394</f>
        <v>0</v>
      </c>
      <c r="R1394" s="7" t="str">
        <f ca="1">IF(TODAY() - DHMXX[INV DUE DATE]&lt;30, "Less than 30 days",IF(TODAY()-DHMXX[INV DUE DATE]&lt;60,"30-60 days","More than 60 days"))</f>
        <v>Less than 30 days</v>
      </c>
      <c r="S1394" t="s">
        <v>1550</v>
      </c>
      <c r="T1394" s="43" t="s">
        <v>2229</v>
      </c>
      <c r="U1394" t="s">
        <v>3699</v>
      </c>
    </row>
    <row r="1395" spans="1:21" x14ac:dyDescent="0.3">
      <c r="A1395" t="s">
        <v>4135</v>
      </c>
      <c r="B1395" t="s">
        <v>30</v>
      </c>
      <c r="C1395" t="s">
        <v>1344</v>
      </c>
      <c r="D1395" s="15">
        <v>1</v>
      </c>
      <c r="E1395" s="7">
        <v>225</v>
      </c>
      <c r="H1395">
        <v>64179</v>
      </c>
      <c r="I1395" t="s">
        <v>845</v>
      </c>
      <c r="J1395" t="s">
        <v>2954</v>
      </c>
      <c r="K1395" t="s">
        <v>3</v>
      </c>
      <c r="L1395" s="2">
        <v>43252</v>
      </c>
      <c r="M1395" s="2">
        <f>DHMXX[[#This Row],[INV DOC DATE]]+30</f>
        <v>43282</v>
      </c>
      <c r="N1395" s="2">
        <v>43279</v>
      </c>
      <c r="O1395" s="7">
        <v>225</v>
      </c>
      <c r="P1395" s="2">
        <v>43290</v>
      </c>
      <c r="Q1395" s="7">
        <f>$E1395-$O1395</f>
        <v>0</v>
      </c>
      <c r="R1395" s="7" t="str">
        <f ca="1">IF(TODAY() - DHMXX[INV DUE DATE]&lt;30, "Less than 30 days",IF(TODAY()-DHMXX[INV DUE DATE]&lt;60,"30-60 days","More than 60 days"))</f>
        <v>Less than 30 days</v>
      </c>
      <c r="S1395" t="s">
        <v>1550</v>
      </c>
      <c r="T1395" s="43" t="s">
        <v>2229</v>
      </c>
      <c r="U1395" t="s">
        <v>3699</v>
      </c>
    </row>
    <row r="1396" spans="1:21" x14ac:dyDescent="0.3">
      <c r="A1396" t="s">
        <v>4135</v>
      </c>
      <c r="B1396" t="s">
        <v>30</v>
      </c>
      <c r="C1396" t="s">
        <v>1345</v>
      </c>
      <c r="D1396" s="15">
        <v>1</v>
      </c>
      <c r="E1396" s="7">
        <v>225</v>
      </c>
      <c r="H1396">
        <v>64179</v>
      </c>
      <c r="I1396" t="s">
        <v>845</v>
      </c>
      <c r="J1396" t="s">
        <v>2955</v>
      </c>
      <c r="K1396" t="s">
        <v>3</v>
      </c>
      <c r="L1396" s="2">
        <v>43252</v>
      </c>
      <c r="M1396" s="2">
        <f>DHMXX[[#This Row],[INV DOC DATE]]+30</f>
        <v>43282</v>
      </c>
      <c r="N1396" s="2">
        <v>43279</v>
      </c>
      <c r="O1396" s="7">
        <v>225</v>
      </c>
      <c r="P1396" s="2">
        <v>43290</v>
      </c>
      <c r="Q1396" s="7">
        <f>$E1396-$O1396</f>
        <v>0</v>
      </c>
      <c r="R1396" s="7" t="str">
        <f ca="1">IF(TODAY() - DHMXX[INV DUE DATE]&lt;30, "Less than 30 days",IF(TODAY()-DHMXX[INV DUE DATE]&lt;60,"30-60 days","More than 60 days"))</f>
        <v>Less than 30 days</v>
      </c>
      <c r="S1396" t="s">
        <v>1550</v>
      </c>
      <c r="T1396" s="43" t="s">
        <v>2229</v>
      </c>
      <c r="U1396" t="s">
        <v>3699</v>
      </c>
    </row>
    <row r="1397" spans="1:21" x14ac:dyDescent="0.3">
      <c r="A1397" t="s">
        <v>4135</v>
      </c>
      <c r="B1397" t="s">
        <v>30</v>
      </c>
      <c r="C1397" t="s">
        <v>1346</v>
      </c>
      <c r="D1397" s="15">
        <v>1</v>
      </c>
      <c r="E1397" s="7">
        <v>172.5</v>
      </c>
      <c r="H1397">
        <v>64248</v>
      </c>
      <c r="I1397" t="s">
        <v>845</v>
      </c>
      <c r="J1397" t="s">
        <v>2959</v>
      </c>
      <c r="K1397" t="s">
        <v>3</v>
      </c>
      <c r="L1397" s="2">
        <v>43252</v>
      </c>
      <c r="M1397" s="2">
        <f>DHMXX[[#This Row],[INV DOC DATE]]+30</f>
        <v>43282</v>
      </c>
      <c r="N1397" s="2">
        <v>43279</v>
      </c>
      <c r="O1397" s="7">
        <v>172.5</v>
      </c>
      <c r="P1397" s="2">
        <v>43290</v>
      </c>
      <c r="Q1397" s="7">
        <f>$E1397-$O1397</f>
        <v>0</v>
      </c>
      <c r="R1397" s="7" t="str">
        <f ca="1">IF(TODAY() - DHMXX[INV DUE DATE]&lt;30, "Less than 30 days",IF(TODAY()-DHMXX[INV DUE DATE]&lt;60,"30-60 days","More than 60 days"))</f>
        <v>Less than 30 days</v>
      </c>
      <c r="S1397" t="s">
        <v>1550</v>
      </c>
      <c r="T1397" s="43" t="s">
        <v>2229</v>
      </c>
      <c r="U1397" t="s">
        <v>3699</v>
      </c>
    </row>
    <row r="1398" spans="1:21" x14ac:dyDescent="0.3">
      <c r="A1398" t="s">
        <v>4135</v>
      </c>
      <c r="B1398" t="s">
        <v>30</v>
      </c>
      <c r="C1398" t="s">
        <v>1347</v>
      </c>
      <c r="D1398" s="15">
        <v>1</v>
      </c>
      <c r="E1398" s="7">
        <v>300</v>
      </c>
      <c r="H1398">
        <v>64248</v>
      </c>
      <c r="I1398" t="s">
        <v>845</v>
      </c>
      <c r="J1398" t="s">
        <v>2960</v>
      </c>
      <c r="K1398" t="s">
        <v>3</v>
      </c>
      <c r="L1398" s="2">
        <v>43252</v>
      </c>
      <c r="M1398" s="2">
        <f>DHMXX[[#This Row],[INV DOC DATE]]+30</f>
        <v>43282</v>
      </c>
      <c r="N1398" s="2">
        <v>43279</v>
      </c>
      <c r="O1398" s="7">
        <v>300</v>
      </c>
      <c r="P1398" s="2">
        <v>43290</v>
      </c>
      <c r="Q1398" s="7">
        <f>$E1398-$O1398</f>
        <v>0</v>
      </c>
      <c r="R1398" s="7" t="str">
        <f ca="1">IF(TODAY() - DHMXX[INV DUE DATE]&lt;30, "Less than 30 days",IF(TODAY()-DHMXX[INV DUE DATE]&lt;60,"30-60 days","More than 60 days"))</f>
        <v>Less than 30 days</v>
      </c>
      <c r="S1398" t="s">
        <v>1550</v>
      </c>
      <c r="T1398" s="43" t="s">
        <v>2229</v>
      </c>
      <c r="U1398" t="s">
        <v>3699</v>
      </c>
    </row>
    <row r="1399" spans="1:21" x14ac:dyDescent="0.3">
      <c r="A1399" t="s">
        <v>4135</v>
      </c>
      <c r="B1399" t="s">
        <v>30</v>
      </c>
      <c r="C1399" t="s">
        <v>1348</v>
      </c>
      <c r="D1399" s="15">
        <v>1</v>
      </c>
      <c r="E1399" s="7">
        <v>225</v>
      </c>
      <c r="H1399">
        <v>64248</v>
      </c>
      <c r="I1399" t="s">
        <v>845</v>
      </c>
      <c r="J1399" t="s">
        <v>2963</v>
      </c>
      <c r="K1399" t="s">
        <v>3</v>
      </c>
      <c r="L1399" s="2">
        <v>43252</v>
      </c>
      <c r="M1399" s="2">
        <f>DHMXX[[#This Row],[INV DOC DATE]]+30</f>
        <v>43282</v>
      </c>
      <c r="N1399" s="2">
        <v>43279</v>
      </c>
      <c r="O1399" s="7">
        <v>225</v>
      </c>
      <c r="P1399" s="2">
        <v>43290</v>
      </c>
      <c r="Q1399" s="7">
        <f>$E1399-$O1399</f>
        <v>0</v>
      </c>
      <c r="R1399" s="7" t="str">
        <f ca="1">IF(TODAY() - DHMXX[INV DUE DATE]&lt;30, "Less than 30 days",IF(TODAY()-DHMXX[INV DUE DATE]&lt;60,"30-60 days","More than 60 days"))</f>
        <v>Less than 30 days</v>
      </c>
      <c r="S1399" t="s">
        <v>1550</v>
      </c>
      <c r="T1399" s="43" t="s">
        <v>2229</v>
      </c>
      <c r="U1399" t="s">
        <v>3699</v>
      </c>
    </row>
    <row r="1400" spans="1:21" x14ac:dyDescent="0.3">
      <c r="A1400" t="s">
        <v>4135</v>
      </c>
      <c r="B1400" t="s">
        <v>30</v>
      </c>
      <c r="C1400" t="s">
        <v>1349</v>
      </c>
      <c r="D1400" s="15">
        <v>1</v>
      </c>
      <c r="E1400" s="7">
        <v>225</v>
      </c>
      <c r="H1400">
        <v>64248</v>
      </c>
      <c r="I1400" t="s">
        <v>845</v>
      </c>
      <c r="J1400" t="s">
        <v>2691</v>
      </c>
      <c r="K1400" t="s">
        <v>3</v>
      </c>
      <c r="L1400" s="2">
        <v>43252</v>
      </c>
      <c r="M1400" s="2">
        <f>DHMXX[[#This Row],[INV DOC DATE]]+30</f>
        <v>43282</v>
      </c>
      <c r="N1400" s="2">
        <v>43279</v>
      </c>
      <c r="O1400" s="7">
        <v>225</v>
      </c>
      <c r="P1400" s="2">
        <v>43290</v>
      </c>
      <c r="Q1400" s="7">
        <f>$E1400-$O1400</f>
        <v>0</v>
      </c>
      <c r="R1400" s="7" t="str">
        <f ca="1">IF(TODAY() - DHMXX[INV DUE DATE]&lt;30, "Less than 30 days",IF(TODAY()-DHMXX[INV DUE DATE]&lt;60,"30-60 days","More than 60 days"))</f>
        <v>Less than 30 days</v>
      </c>
      <c r="S1400" t="s">
        <v>1550</v>
      </c>
      <c r="T1400" s="43" t="s">
        <v>2229</v>
      </c>
      <c r="U1400" t="s">
        <v>3699</v>
      </c>
    </row>
    <row r="1401" spans="1:21" x14ac:dyDescent="0.3">
      <c r="A1401" t="s">
        <v>4135</v>
      </c>
      <c r="B1401" t="s">
        <v>30</v>
      </c>
      <c r="C1401" t="s">
        <v>1350</v>
      </c>
      <c r="D1401" s="15">
        <v>1</v>
      </c>
      <c r="E1401" s="7">
        <v>172.5</v>
      </c>
      <c r="H1401">
        <v>64248</v>
      </c>
      <c r="I1401" t="s">
        <v>845</v>
      </c>
      <c r="J1401" t="s">
        <v>2966</v>
      </c>
      <c r="K1401" t="s">
        <v>3</v>
      </c>
      <c r="L1401" s="2">
        <v>43252</v>
      </c>
      <c r="M1401" s="2">
        <f>DHMXX[[#This Row],[INV DOC DATE]]+30</f>
        <v>43282</v>
      </c>
      <c r="N1401" s="2">
        <v>43279</v>
      </c>
      <c r="O1401" s="7">
        <v>172.5</v>
      </c>
      <c r="P1401" s="2">
        <v>43290</v>
      </c>
      <c r="Q1401" s="7">
        <f>$E1401-$O1401</f>
        <v>0</v>
      </c>
      <c r="R1401" s="7" t="str">
        <f ca="1">IF(TODAY() - DHMXX[INV DUE DATE]&lt;30, "Less than 30 days",IF(TODAY()-DHMXX[INV DUE DATE]&lt;60,"30-60 days","More than 60 days"))</f>
        <v>Less than 30 days</v>
      </c>
      <c r="S1401" t="s">
        <v>1550</v>
      </c>
      <c r="T1401" s="43" t="s">
        <v>2229</v>
      </c>
      <c r="U1401" t="s">
        <v>3699</v>
      </c>
    </row>
    <row r="1402" spans="1:21" x14ac:dyDescent="0.3">
      <c r="A1402" t="s">
        <v>4135</v>
      </c>
      <c r="B1402" t="s">
        <v>30</v>
      </c>
      <c r="C1402" t="s">
        <v>1351</v>
      </c>
      <c r="D1402" s="15">
        <v>1</v>
      </c>
      <c r="E1402" s="7">
        <v>172.5</v>
      </c>
      <c r="H1402">
        <v>64248</v>
      </c>
      <c r="I1402" t="s">
        <v>845</v>
      </c>
      <c r="J1402" t="s">
        <v>2964</v>
      </c>
      <c r="K1402" t="s">
        <v>3</v>
      </c>
      <c r="L1402" s="2">
        <v>43252</v>
      </c>
      <c r="M1402" s="2">
        <f>DHMXX[[#This Row],[INV DOC DATE]]+30</f>
        <v>43282</v>
      </c>
      <c r="N1402" s="2">
        <v>43279</v>
      </c>
      <c r="O1402" s="7">
        <v>172.5</v>
      </c>
      <c r="P1402" s="2">
        <v>43290</v>
      </c>
      <c r="Q1402" s="7">
        <f>$E1402-$O1402</f>
        <v>0</v>
      </c>
      <c r="R1402" s="7" t="str">
        <f ca="1">IF(TODAY() - DHMXX[INV DUE DATE]&lt;30, "Less than 30 days",IF(TODAY()-DHMXX[INV DUE DATE]&lt;60,"30-60 days","More than 60 days"))</f>
        <v>Less than 30 days</v>
      </c>
      <c r="S1402" t="s">
        <v>1550</v>
      </c>
      <c r="T1402" s="43" t="s">
        <v>2229</v>
      </c>
      <c r="U1402" t="s">
        <v>3699</v>
      </c>
    </row>
    <row r="1403" spans="1:21" x14ac:dyDescent="0.3">
      <c r="A1403" t="s">
        <v>4135</v>
      </c>
      <c r="B1403" t="s">
        <v>30</v>
      </c>
      <c r="C1403" t="s">
        <v>1352</v>
      </c>
      <c r="D1403" s="15">
        <v>1</v>
      </c>
      <c r="E1403" s="7">
        <v>172.5</v>
      </c>
      <c r="H1403">
        <v>64248</v>
      </c>
      <c r="I1403" t="s">
        <v>845</v>
      </c>
      <c r="J1403" t="s">
        <v>2971</v>
      </c>
      <c r="K1403" t="s">
        <v>3</v>
      </c>
      <c r="L1403" s="2">
        <v>43252</v>
      </c>
      <c r="M1403" s="2">
        <f>DHMXX[[#This Row],[INV DOC DATE]]+30</f>
        <v>43282</v>
      </c>
      <c r="N1403" s="2">
        <v>43279</v>
      </c>
      <c r="O1403" s="7">
        <v>172.5</v>
      </c>
      <c r="P1403" s="2">
        <v>43290</v>
      </c>
      <c r="Q1403" s="7">
        <f>$E1403-$O1403</f>
        <v>0</v>
      </c>
      <c r="R1403" s="7" t="str">
        <f ca="1">IF(TODAY() - DHMXX[INV DUE DATE]&lt;30, "Less than 30 days",IF(TODAY()-DHMXX[INV DUE DATE]&lt;60,"30-60 days","More than 60 days"))</f>
        <v>Less than 30 days</v>
      </c>
      <c r="S1403" t="s">
        <v>1550</v>
      </c>
      <c r="T1403" s="43" t="s">
        <v>2229</v>
      </c>
      <c r="U1403" t="s">
        <v>3699</v>
      </c>
    </row>
    <row r="1404" spans="1:21" x14ac:dyDescent="0.3">
      <c r="A1404" t="s">
        <v>4135</v>
      </c>
      <c r="B1404" t="s">
        <v>30</v>
      </c>
      <c r="C1404" t="s">
        <v>1353</v>
      </c>
      <c r="D1404" s="15">
        <v>1</v>
      </c>
      <c r="E1404" s="7">
        <v>172.5</v>
      </c>
      <c r="H1404">
        <v>64248</v>
      </c>
      <c r="I1404" t="s">
        <v>845</v>
      </c>
      <c r="J1404" t="s">
        <v>2969</v>
      </c>
      <c r="K1404" t="s">
        <v>3</v>
      </c>
      <c r="L1404" s="2">
        <v>43252</v>
      </c>
      <c r="M1404" s="2">
        <f>DHMXX[[#This Row],[INV DOC DATE]]+30</f>
        <v>43282</v>
      </c>
      <c r="N1404" s="2">
        <v>43279</v>
      </c>
      <c r="O1404" s="7">
        <v>172.5</v>
      </c>
      <c r="P1404" s="2">
        <v>43290</v>
      </c>
      <c r="Q1404" s="7">
        <f>$E1404-$O1404</f>
        <v>0</v>
      </c>
      <c r="R1404" s="7" t="str">
        <f ca="1">IF(TODAY() - DHMXX[INV DUE DATE]&lt;30, "Less than 30 days",IF(TODAY()-DHMXX[INV DUE DATE]&lt;60,"30-60 days","More than 60 days"))</f>
        <v>Less than 30 days</v>
      </c>
      <c r="S1404" t="s">
        <v>1550</v>
      </c>
      <c r="T1404" s="43" t="s">
        <v>2229</v>
      </c>
      <c r="U1404" t="s">
        <v>3699</v>
      </c>
    </row>
    <row r="1405" spans="1:21" x14ac:dyDescent="0.3">
      <c r="A1405" t="s">
        <v>4135</v>
      </c>
      <c r="B1405" t="s">
        <v>30</v>
      </c>
      <c r="C1405" t="s">
        <v>1354</v>
      </c>
      <c r="D1405" s="15">
        <v>1</v>
      </c>
      <c r="E1405" s="7">
        <v>172.5</v>
      </c>
      <c r="H1405">
        <v>64248</v>
      </c>
      <c r="I1405" t="s">
        <v>845</v>
      </c>
      <c r="J1405" t="s">
        <v>2970</v>
      </c>
      <c r="K1405" t="s">
        <v>3</v>
      </c>
      <c r="L1405" s="2">
        <v>43252</v>
      </c>
      <c r="M1405" s="2">
        <f>DHMXX[[#This Row],[INV DOC DATE]]+30</f>
        <v>43282</v>
      </c>
      <c r="N1405" s="2">
        <v>43279</v>
      </c>
      <c r="O1405" s="7">
        <v>172.5</v>
      </c>
      <c r="P1405" s="2">
        <v>43290</v>
      </c>
      <c r="Q1405" s="7">
        <f>$E1405-$O1405</f>
        <v>0</v>
      </c>
      <c r="R1405" s="7" t="str">
        <f ca="1">IF(TODAY() - DHMXX[INV DUE DATE]&lt;30, "Less than 30 days",IF(TODAY()-DHMXX[INV DUE DATE]&lt;60,"30-60 days","More than 60 days"))</f>
        <v>Less than 30 days</v>
      </c>
      <c r="S1405" t="s">
        <v>1550</v>
      </c>
      <c r="T1405" s="43" t="s">
        <v>2229</v>
      </c>
      <c r="U1405" t="s">
        <v>3699</v>
      </c>
    </row>
    <row r="1406" spans="1:21" x14ac:dyDescent="0.3">
      <c r="A1406" t="s">
        <v>4135</v>
      </c>
      <c r="B1406" t="s">
        <v>30</v>
      </c>
      <c r="C1406" t="s">
        <v>1355</v>
      </c>
      <c r="D1406" s="15">
        <v>1</v>
      </c>
      <c r="E1406" s="7">
        <v>172.5</v>
      </c>
      <c r="H1406">
        <v>64248</v>
      </c>
      <c r="I1406" t="s">
        <v>845</v>
      </c>
      <c r="J1406" t="s">
        <v>2692</v>
      </c>
      <c r="K1406" t="s">
        <v>3</v>
      </c>
      <c r="L1406" s="2">
        <v>43252</v>
      </c>
      <c r="M1406" s="2">
        <f>DHMXX[[#This Row],[INV DOC DATE]]+30</f>
        <v>43282</v>
      </c>
      <c r="N1406" s="2">
        <v>43279</v>
      </c>
      <c r="O1406" s="7">
        <v>172.5</v>
      </c>
      <c r="P1406" s="2">
        <v>43290</v>
      </c>
      <c r="Q1406" s="7">
        <f>$E1406-$O1406</f>
        <v>0</v>
      </c>
      <c r="R1406" s="7" t="str">
        <f ca="1">IF(TODAY() - DHMXX[INV DUE DATE]&lt;30, "Less than 30 days",IF(TODAY()-DHMXX[INV DUE DATE]&lt;60,"30-60 days","More than 60 days"))</f>
        <v>Less than 30 days</v>
      </c>
      <c r="S1406" t="s">
        <v>1550</v>
      </c>
      <c r="T1406" s="43" t="s">
        <v>2229</v>
      </c>
      <c r="U1406" t="s">
        <v>3699</v>
      </c>
    </row>
    <row r="1407" spans="1:21" x14ac:dyDescent="0.3">
      <c r="A1407" t="s">
        <v>4135</v>
      </c>
      <c r="B1407" t="s">
        <v>30</v>
      </c>
      <c r="C1407" t="s">
        <v>1356</v>
      </c>
      <c r="D1407" s="15">
        <v>1</v>
      </c>
      <c r="E1407" s="7">
        <v>225</v>
      </c>
      <c r="H1407">
        <v>64248</v>
      </c>
      <c r="I1407" t="s">
        <v>845</v>
      </c>
      <c r="J1407" t="s">
        <v>2962</v>
      </c>
      <c r="K1407" t="s">
        <v>3</v>
      </c>
      <c r="L1407" s="2">
        <v>43252</v>
      </c>
      <c r="M1407" s="2">
        <f>DHMXX[[#This Row],[INV DOC DATE]]+30</f>
        <v>43282</v>
      </c>
      <c r="N1407" s="2">
        <v>43279</v>
      </c>
      <c r="O1407" s="7">
        <v>225</v>
      </c>
      <c r="P1407" s="2">
        <v>43290</v>
      </c>
      <c r="Q1407" s="7">
        <f>$E1407-$O1407</f>
        <v>0</v>
      </c>
      <c r="R1407" s="7" t="str">
        <f ca="1">IF(TODAY() - DHMXX[INV DUE DATE]&lt;30, "Less than 30 days",IF(TODAY()-DHMXX[INV DUE DATE]&lt;60,"30-60 days","More than 60 days"))</f>
        <v>Less than 30 days</v>
      </c>
      <c r="S1407" t="s">
        <v>1550</v>
      </c>
      <c r="T1407" s="43" t="s">
        <v>2229</v>
      </c>
      <c r="U1407" t="s">
        <v>3699</v>
      </c>
    </row>
    <row r="1408" spans="1:21" x14ac:dyDescent="0.3">
      <c r="A1408" t="s">
        <v>4135</v>
      </c>
      <c r="B1408" t="s">
        <v>30</v>
      </c>
      <c r="C1408" t="s">
        <v>1357</v>
      </c>
      <c r="D1408" s="15">
        <v>1</v>
      </c>
      <c r="E1408" s="7">
        <v>225</v>
      </c>
      <c r="H1408">
        <v>64248</v>
      </c>
      <c r="I1408" t="s">
        <v>845</v>
      </c>
      <c r="J1408" t="s">
        <v>2961</v>
      </c>
      <c r="K1408" t="s">
        <v>3</v>
      </c>
      <c r="L1408" s="2">
        <v>43252</v>
      </c>
      <c r="M1408" s="2">
        <f>DHMXX[[#This Row],[INV DOC DATE]]+30</f>
        <v>43282</v>
      </c>
      <c r="N1408" s="2">
        <v>43279</v>
      </c>
      <c r="O1408" s="7">
        <v>225</v>
      </c>
      <c r="P1408" s="2">
        <v>43290</v>
      </c>
      <c r="Q1408" s="7">
        <f>$E1408-$O1408</f>
        <v>0</v>
      </c>
      <c r="R1408" s="7" t="str">
        <f ca="1">IF(TODAY() - DHMXX[INV DUE DATE]&lt;30, "Less than 30 days",IF(TODAY()-DHMXX[INV DUE DATE]&lt;60,"30-60 days","More than 60 days"))</f>
        <v>Less than 30 days</v>
      </c>
      <c r="S1408" t="s">
        <v>1550</v>
      </c>
      <c r="T1408" s="43" t="s">
        <v>2229</v>
      </c>
      <c r="U1408" t="s">
        <v>3699</v>
      </c>
    </row>
    <row r="1409" spans="1:21" x14ac:dyDescent="0.3">
      <c r="A1409" t="s">
        <v>4135</v>
      </c>
      <c r="B1409" t="s">
        <v>30</v>
      </c>
      <c r="C1409" t="s">
        <v>1358</v>
      </c>
      <c r="D1409" s="15">
        <v>1</v>
      </c>
      <c r="E1409" s="7">
        <v>225</v>
      </c>
      <c r="H1409">
        <v>64248</v>
      </c>
      <c r="I1409" t="s">
        <v>845</v>
      </c>
      <c r="J1409" t="s">
        <v>2965</v>
      </c>
      <c r="K1409" t="s">
        <v>3</v>
      </c>
      <c r="L1409" s="2">
        <v>43252</v>
      </c>
      <c r="M1409" s="2">
        <f>DHMXX[[#This Row],[INV DOC DATE]]+30</f>
        <v>43282</v>
      </c>
      <c r="N1409" s="2">
        <v>43279</v>
      </c>
      <c r="O1409" s="7">
        <v>225</v>
      </c>
      <c r="P1409" s="2">
        <v>43290</v>
      </c>
      <c r="Q1409" s="7">
        <f>$E1409-$O1409</f>
        <v>0</v>
      </c>
      <c r="R1409" s="7" t="str">
        <f ca="1">IF(TODAY() - DHMXX[INV DUE DATE]&lt;30, "Less than 30 days",IF(TODAY()-DHMXX[INV DUE DATE]&lt;60,"30-60 days","More than 60 days"))</f>
        <v>Less than 30 days</v>
      </c>
      <c r="S1409" t="s">
        <v>1550</v>
      </c>
      <c r="T1409" s="43" t="s">
        <v>2229</v>
      </c>
      <c r="U1409" t="s">
        <v>3699</v>
      </c>
    </row>
    <row r="1410" spans="1:21" x14ac:dyDescent="0.3">
      <c r="A1410" t="s">
        <v>4162</v>
      </c>
      <c r="B1410" t="s">
        <v>30</v>
      </c>
      <c r="C1410" t="s">
        <v>6</v>
      </c>
      <c r="D1410" s="15">
        <v>1</v>
      </c>
      <c r="E1410" s="7">
        <v>6399.62</v>
      </c>
      <c r="H1410">
        <v>1274</v>
      </c>
      <c r="I1410" t="s">
        <v>350</v>
      </c>
      <c r="J1410" t="s">
        <v>3158</v>
      </c>
      <c r="K1410" t="s">
        <v>3</v>
      </c>
      <c r="L1410" s="2">
        <v>43252</v>
      </c>
      <c r="M1410" s="2">
        <f>DHMXX[[#This Row],[INV DOC DATE]]+30</f>
        <v>43282</v>
      </c>
      <c r="N1410" s="2">
        <v>43279</v>
      </c>
      <c r="O1410" s="7">
        <v>6399.62</v>
      </c>
      <c r="P1410" s="2">
        <v>43290</v>
      </c>
      <c r="Q1410" s="7">
        <f>$E1410-$O1410</f>
        <v>0</v>
      </c>
      <c r="R1410" s="7" t="str">
        <f ca="1">IF(TODAY() - DHMXX[INV DUE DATE]&lt;30, "Less than 30 days",IF(TODAY()-DHMXX[INV DUE DATE]&lt;60,"30-60 days","More than 60 days"))</f>
        <v>Less than 30 days</v>
      </c>
      <c r="S1410" t="s">
        <v>1550</v>
      </c>
      <c r="T1410" s="43" t="s">
        <v>2229</v>
      </c>
      <c r="U1410" t="s">
        <v>3699</v>
      </c>
    </row>
    <row r="1411" spans="1:21" x14ac:dyDescent="0.3">
      <c r="A1411" t="s">
        <v>4162</v>
      </c>
      <c r="B1411" t="s">
        <v>30</v>
      </c>
      <c r="C1411" t="s">
        <v>7</v>
      </c>
      <c r="D1411" s="15">
        <v>1</v>
      </c>
      <c r="E1411" s="7">
        <v>213.32</v>
      </c>
      <c r="H1411">
        <v>2747</v>
      </c>
      <c r="I1411" t="s">
        <v>844</v>
      </c>
      <c r="J1411" t="s">
        <v>3158</v>
      </c>
      <c r="K1411" t="s">
        <v>3</v>
      </c>
      <c r="L1411" s="2">
        <v>43252</v>
      </c>
      <c r="M1411" s="2">
        <f>DHMXX[[#This Row],[INV DOC DATE]]+30</f>
        <v>43282</v>
      </c>
      <c r="N1411" s="2">
        <v>43279</v>
      </c>
      <c r="O1411" s="7">
        <v>213.32</v>
      </c>
      <c r="P1411" s="2">
        <v>43290</v>
      </c>
      <c r="Q1411" s="7">
        <f>$E1411-$O1411</f>
        <v>0</v>
      </c>
      <c r="R1411" s="7" t="str">
        <f ca="1">IF(TODAY() - DHMXX[INV DUE DATE]&lt;30, "Less than 30 days",IF(TODAY()-DHMXX[INV DUE DATE]&lt;60,"30-60 days","More than 60 days"))</f>
        <v>Less than 30 days</v>
      </c>
      <c r="S1411" t="s">
        <v>1550</v>
      </c>
      <c r="T1411" s="43" t="s">
        <v>2229</v>
      </c>
      <c r="U1411" t="s">
        <v>3699</v>
      </c>
    </row>
    <row r="1412" spans="1:21" x14ac:dyDescent="0.3">
      <c r="A1412" t="s">
        <v>4162</v>
      </c>
      <c r="B1412" t="s">
        <v>30</v>
      </c>
      <c r="C1412" t="s">
        <v>8</v>
      </c>
      <c r="D1412" s="15">
        <v>1</v>
      </c>
      <c r="E1412" s="7">
        <v>1066.5999999999999</v>
      </c>
      <c r="H1412">
        <v>3825</v>
      </c>
      <c r="I1412" t="s">
        <v>845</v>
      </c>
      <c r="J1412" t="s">
        <v>3158</v>
      </c>
      <c r="K1412" t="s">
        <v>3</v>
      </c>
      <c r="L1412" s="2">
        <v>43252</v>
      </c>
      <c r="M1412" s="2">
        <f>DHMXX[[#This Row],[INV DOC DATE]]+30</f>
        <v>43282</v>
      </c>
      <c r="N1412" s="2">
        <v>43279</v>
      </c>
      <c r="O1412" s="7">
        <v>1066.5999999999999</v>
      </c>
      <c r="P1412" s="2">
        <v>43290</v>
      </c>
      <c r="Q1412" s="7">
        <f>$E1412-$O1412</f>
        <v>0</v>
      </c>
      <c r="R1412" s="7" t="str">
        <f ca="1">IF(TODAY() - DHMXX[INV DUE DATE]&lt;30, "Less than 30 days",IF(TODAY()-DHMXX[INV DUE DATE]&lt;60,"30-60 days","More than 60 days"))</f>
        <v>Less than 30 days</v>
      </c>
      <c r="S1412" t="s">
        <v>1550</v>
      </c>
      <c r="T1412" s="43" t="s">
        <v>2229</v>
      </c>
      <c r="U1412" t="s">
        <v>3699</v>
      </c>
    </row>
    <row r="1413" spans="1:21" x14ac:dyDescent="0.3">
      <c r="A1413" t="s">
        <v>4162</v>
      </c>
      <c r="B1413" t="s">
        <v>30</v>
      </c>
      <c r="C1413" t="s">
        <v>9</v>
      </c>
      <c r="D1413" s="15">
        <v>1</v>
      </c>
      <c r="E1413" s="7">
        <v>213.32</v>
      </c>
      <c r="H1413">
        <v>8327</v>
      </c>
      <c r="I1413" t="s">
        <v>854</v>
      </c>
      <c r="J1413" t="s">
        <v>3158</v>
      </c>
      <c r="K1413" t="s">
        <v>3</v>
      </c>
      <c r="L1413" s="2">
        <v>43252</v>
      </c>
      <c r="M1413" s="2">
        <f>DHMXX[[#This Row],[INV DOC DATE]]+30</f>
        <v>43282</v>
      </c>
      <c r="N1413" s="2">
        <v>43279</v>
      </c>
      <c r="O1413" s="7">
        <v>213.32</v>
      </c>
      <c r="P1413" s="2">
        <v>43290</v>
      </c>
      <c r="Q1413" s="7">
        <f>$E1413-$O1413</f>
        <v>0</v>
      </c>
      <c r="R1413" s="7" t="str">
        <f ca="1">IF(TODAY() - DHMXX[INV DUE DATE]&lt;30, "Less than 30 days",IF(TODAY()-DHMXX[INV DUE DATE]&lt;60,"30-60 days","More than 60 days"))</f>
        <v>Less than 30 days</v>
      </c>
      <c r="S1413" t="s">
        <v>1550</v>
      </c>
      <c r="T1413" s="43" t="s">
        <v>2229</v>
      </c>
      <c r="U1413" t="s">
        <v>3699</v>
      </c>
    </row>
    <row r="1414" spans="1:21" x14ac:dyDescent="0.3">
      <c r="A1414" t="s">
        <v>4162</v>
      </c>
      <c r="B1414" t="s">
        <v>30</v>
      </c>
      <c r="C1414" t="s">
        <v>10</v>
      </c>
      <c r="D1414" s="15">
        <v>1</v>
      </c>
      <c r="E1414" s="7">
        <v>213.32</v>
      </c>
      <c r="H1414">
        <v>13342</v>
      </c>
      <c r="I1414" t="s">
        <v>839</v>
      </c>
      <c r="J1414" t="s">
        <v>3158</v>
      </c>
      <c r="K1414" t="s">
        <v>3</v>
      </c>
      <c r="L1414" s="2">
        <v>43252</v>
      </c>
      <c r="M1414" s="2">
        <f>DHMXX[[#This Row],[INV DOC DATE]]+30</f>
        <v>43282</v>
      </c>
      <c r="N1414" s="2">
        <v>43279</v>
      </c>
      <c r="O1414" s="7">
        <v>213.32</v>
      </c>
      <c r="P1414" s="2">
        <v>43290</v>
      </c>
      <c r="Q1414" s="7">
        <f>$E1414-$O1414</f>
        <v>0</v>
      </c>
      <c r="R1414" s="7" t="str">
        <f ca="1">IF(TODAY() - DHMXX[INV DUE DATE]&lt;30, "Less than 30 days",IF(TODAY()-DHMXX[INV DUE DATE]&lt;60,"30-60 days","More than 60 days"))</f>
        <v>Less than 30 days</v>
      </c>
      <c r="S1414" t="s">
        <v>1550</v>
      </c>
      <c r="T1414" s="43" t="s">
        <v>2229</v>
      </c>
      <c r="U1414" t="s">
        <v>3699</v>
      </c>
    </row>
    <row r="1415" spans="1:21" x14ac:dyDescent="0.3">
      <c r="A1415" t="s">
        <v>4162</v>
      </c>
      <c r="B1415" t="s">
        <v>30</v>
      </c>
      <c r="C1415" t="s">
        <v>11</v>
      </c>
      <c r="D1415" s="15">
        <v>1</v>
      </c>
      <c r="E1415" s="7">
        <v>426.64</v>
      </c>
      <c r="H1415">
        <v>54876</v>
      </c>
      <c r="I1415" t="s">
        <v>841</v>
      </c>
      <c r="J1415" t="s">
        <v>3158</v>
      </c>
      <c r="K1415" t="s">
        <v>3</v>
      </c>
      <c r="L1415" s="2">
        <v>43252</v>
      </c>
      <c r="M1415" s="2">
        <f>DHMXX[[#This Row],[INV DOC DATE]]+30</f>
        <v>43282</v>
      </c>
      <c r="N1415" s="2">
        <v>43279</v>
      </c>
      <c r="O1415" s="7">
        <v>426.64</v>
      </c>
      <c r="P1415" s="2">
        <v>43290</v>
      </c>
      <c r="Q1415" s="7">
        <f>$E1415-$O1415</f>
        <v>0</v>
      </c>
      <c r="R1415" s="7" t="str">
        <f ca="1">IF(TODAY() - DHMXX[INV DUE DATE]&lt;30, "Less than 30 days",IF(TODAY()-DHMXX[INV DUE DATE]&lt;60,"30-60 days","More than 60 days"))</f>
        <v>Less than 30 days</v>
      </c>
      <c r="S1415" t="s">
        <v>1550</v>
      </c>
      <c r="T1415" s="43" t="s">
        <v>2229</v>
      </c>
      <c r="U1415" t="s">
        <v>3699</v>
      </c>
    </row>
    <row r="1416" spans="1:21" x14ac:dyDescent="0.3">
      <c r="A1416" t="s">
        <v>4162</v>
      </c>
      <c r="B1416" t="s">
        <v>30</v>
      </c>
      <c r="C1416" t="s">
        <v>12</v>
      </c>
      <c r="D1416" s="15">
        <v>1</v>
      </c>
      <c r="E1416" s="7">
        <v>213.32</v>
      </c>
      <c r="H1416">
        <v>55052</v>
      </c>
      <c r="I1416" t="s">
        <v>353</v>
      </c>
      <c r="J1416" t="s">
        <v>3158</v>
      </c>
      <c r="K1416" t="s">
        <v>3</v>
      </c>
      <c r="L1416" s="2">
        <v>43252</v>
      </c>
      <c r="M1416" s="2">
        <f>DHMXX[[#This Row],[INV DOC DATE]]+30</f>
        <v>43282</v>
      </c>
      <c r="N1416" s="2">
        <v>43279</v>
      </c>
      <c r="O1416" s="7">
        <v>213.32</v>
      </c>
      <c r="P1416" s="2">
        <v>43290</v>
      </c>
      <c r="Q1416" s="7">
        <f>$E1416-$O1416</f>
        <v>0</v>
      </c>
      <c r="R1416" s="7" t="str">
        <f ca="1">IF(TODAY() - DHMXX[INV DUE DATE]&lt;30, "Less than 30 days",IF(TODAY()-DHMXX[INV DUE DATE]&lt;60,"30-60 days","More than 60 days"))</f>
        <v>Less than 30 days</v>
      </c>
      <c r="S1416" t="s">
        <v>1550</v>
      </c>
      <c r="T1416" s="43" t="s">
        <v>2229</v>
      </c>
      <c r="U1416" t="s">
        <v>3699</v>
      </c>
    </row>
    <row r="1417" spans="1:21" x14ac:dyDescent="0.3">
      <c r="A1417" t="s">
        <v>4162</v>
      </c>
      <c r="B1417" t="s">
        <v>30</v>
      </c>
      <c r="C1417" t="s">
        <v>13</v>
      </c>
      <c r="D1417" s="15">
        <v>1</v>
      </c>
      <c r="E1417" s="7">
        <v>639.96</v>
      </c>
      <c r="H1417">
        <v>55242</v>
      </c>
      <c r="I1417" t="s">
        <v>353</v>
      </c>
      <c r="J1417" t="s">
        <v>3158</v>
      </c>
      <c r="K1417" t="s">
        <v>3</v>
      </c>
      <c r="L1417" s="2">
        <v>43252</v>
      </c>
      <c r="M1417" s="2">
        <f>DHMXX[[#This Row],[INV DOC DATE]]+30</f>
        <v>43282</v>
      </c>
      <c r="N1417" s="2">
        <v>43279</v>
      </c>
      <c r="O1417" s="7">
        <v>639.96</v>
      </c>
      <c r="P1417" s="2">
        <v>43290</v>
      </c>
      <c r="Q1417" s="7">
        <f>$E1417-$O1417</f>
        <v>0</v>
      </c>
      <c r="R1417" s="7" t="str">
        <f ca="1">IF(TODAY() - DHMXX[INV DUE DATE]&lt;30, "Less than 30 days",IF(TODAY()-DHMXX[INV DUE DATE]&lt;60,"30-60 days","More than 60 days"))</f>
        <v>Less than 30 days</v>
      </c>
      <c r="S1417" t="s">
        <v>1550</v>
      </c>
      <c r="T1417" s="43" t="s">
        <v>2229</v>
      </c>
      <c r="U1417" t="s">
        <v>3699</v>
      </c>
    </row>
    <row r="1418" spans="1:21" x14ac:dyDescent="0.3">
      <c r="A1418" t="s">
        <v>4162</v>
      </c>
      <c r="B1418" t="s">
        <v>30</v>
      </c>
      <c r="C1418" t="s">
        <v>14</v>
      </c>
      <c r="D1418" s="15">
        <v>1</v>
      </c>
      <c r="E1418" s="7">
        <v>426.64</v>
      </c>
      <c r="H1418">
        <v>55253</v>
      </c>
      <c r="I1418" t="s">
        <v>353</v>
      </c>
      <c r="J1418" t="s">
        <v>3158</v>
      </c>
      <c r="K1418" t="s">
        <v>3</v>
      </c>
      <c r="L1418" s="2">
        <v>43252</v>
      </c>
      <c r="M1418" s="2">
        <f>DHMXX[[#This Row],[INV DOC DATE]]+30</f>
        <v>43282</v>
      </c>
      <c r="N1418" s="2">
        <v>43279</v>
      </c>
      <c r="O1418" s="7">
        <v>426.64</v>
      </c>
      <c r="P1418" s="2">
        <v>43290</v>
      </c>
      <c r="Q1418" s="7">
        <f>$E1418-$O1418</f>
        <v>0</v>
      </c>
      <c r="R1418" s="7" t="str">
        <f ca="1">IF(TODAY() - DHMXX[INV DUE DATE]&lt;30, "Less than 30 days",IF(TODAY()-DHMXX[INV DUE DATE]&lt;60,"30-60 days","More than 60 days"))</f>
        <v>Less than 30 days</v>
      </c>
      <c r="S1418" t="s">
        <v>1550</v>
      </c>
      <c r="T1418" s="43" t="s">
        <v>2229</v>
      </c>
      <c r="U1418" t="s">
        <v>3699</v>
      </c>
    </row>
    <row r="1419" spans="1:21" x14ac:dyDescent="0.3">
      <c r="A1419" t="s">
        <v>4162</v>
      </c>
      <c r="B1419" t="s">
        <v>30</v>
      </c>
      <c r="C1419" t="s">
        <v>15</v>
      </c>
      <c r="D1419" s="15">
        <v>1</v>
      </c>
      <c r="E1419" s="7">
        <v>1919.89</v>
      </c>
      <c r="H1419">
        <v>55292</v>
      </c>
      <c r="I1419" t="s">
        <v>353</v>
      </c>
      <c r="J1419" t="s">
        <v>3158</v>
      </c>
      <c r="K1419" t="s">
        <v>3</v>
      </c>
      <c r="L1419" s="2">
        <v>43252</v>
      </c>
      <c r="M1419" s="2">
        <f>DHMXX[[#This Row],[INV DOC DATE]]+30</f>
        <v>43282</v>
      </c>
      <c r="N1419" s="2">
        <v>43279</v>
      </c>
      <c r="O1419" s="7">
        <v>1919.89</v>
      </c>
      <c r="P1419" s="2">
        <v>43290</v>
      </c>
      <c r="Q1419" s="7">
        <f>$E1419-$O1419</f>
        <v>0</v>
      </c>
      <c r="R1419" s="7" t="str">
        <f ca="1">IF(TODAY() - DHMXX[INV DUE DATE]&lt;30, "Less than 30 days",IF(TODAY()-DHMXX[INV DUE DATE]&lt;60,"30-60 days","More than 60 days"))</f>
        <v>Less than 30 days</v>
      </c>
      <c r="S1419" t="s">
        <v>1550</v>
      </c>
      <c r="T1419" s="43" t="s">
        <v>2229</v>
      </c>
      <c r="U1419" t="s">
        <v>3699</v>
      </c>
    </row>
    <row r="1420" spans="1:21" x14ac:dyDescent="0.3">
      <c r="A1420" t="s">
        <v>4162</v>
      </c>
      <c r="B1420" t="s">
        <v>30</v>
      </c>
      <c r="C1420" t="s">
        <v>16</v>
      </c>
      <c r="D1420" s="15">
        <v>1</v>
      </c>
      <c r="E1420" s="7">
        <v>213.32</v>
      </c>
      <c r="H1420">
        <v>55477</v>
      </c>
      <c r="I1420" t="s">
        <v>846</v>
      </c>
      <c r="J1420" t="s">
        <v>3158</v>
      </c>
      <c r="K1420" t="s">
        <v>3</v>
      </c>
      <c r="L1420" s="2">
        <v>43252</v>
      </c>
      <c r="M1420" s="2">
        <f>DHMXX[[#This Row],[INV DOC DATE]]+30</f>
        <v>43282</v>
      </c>
      <c r="N1420" s="2">
        <v>43279</v>
      </c>
      <c r="O1420" s="7">
        <v>213.32</v>
      </c>
      <c r="P1420" s="2">
        <v>43290</v>
      </c>
      <c r="Q1420" s="7">
        <f>$E1420-$O1420</f>
        <v>0</v>
      </c>
      <c r="R1420" s="7" t="str">
        <f ca="1">IF(TODAY() - DHMXX[INV DUE DATE]&lt;30, "Less than 30 days",IF(TODAY()-DHMXX[INV DUE DATE]&lt;60,"30-60 days","More than 60 days"))</f>
        <v>Less than 30 days</v>
      </c>
      <c r="S1420" t="s">
        <v>1550</v>
      </c>
      <c r="T1420" s="43" t="s">
        <v>2229</v>
      </c>
      <c r="U1420" t="s">
        <v>3699</v>
      </c>
    </row>
    <row r="1421" spans="1:21" x14ac:dyDescent="0.3">
      <c r="A1421" t="s">
        <v>4162</v>
      </c>
      <c r="B1421" t="s">
        <v>30</v>
      </c>
      <c r="C1421" t="s">
        <v>17</v>
      </c>
      <c r="D1421" s="15">
        <v>1</v>
      </c>
      <c r="E1421" s="7">
        <v>639.96</v>
      </c>
      <c r="H1421">
        <v>55766</v>
      </c>
      <c r="I1421" t="s">
        <v>847</v>
      </c>
      <c r="J1421" t="s">
        <v>3158</v>
      </c>
      <c r="K1421" t="s">
        <v>3</v>
      </c>
      <c r="L1421" s="2">
        <v>43252</v>
      </c>
      <c r="M1421" s="2">
        <f>DHMXX[[#This Row],[INV DOC DATE]]+30</f>
        <v>43282</v>
      </c>
      <c r="N1421" s="2">
        <v>43279</v>
      </c>
      <c r="O1421" s="7">
        <v>639.96</v>
      </c>
      <c r="P1421" s="2">
        <v>43290</v>
      </c>
      <c r="Q1421" s="7">
        <f>$E1421-$O1421</f>
        <v>0</v>
      </c>
      <c r="R1421" s="7" t="str">
        <f ca="1">IF(TODAY() - DHMXX[INV DUE DATE]&lt;30, "Less than 30 days",IF(TODAY()-DHMXX[INV DUE DATE]&lt;60,"30-60 days","More than 60 days"))</f>
        <v>Less than 30 days</v>
      </c>
      <c r="S1421" t="s">
        <v>1550</v>
      </c>
      <c r="T1421" s="43" t="s">
        <v>2229</v>
      </c>
      <c r="U1421" t="s">
        <v>3699</v>
      </c>
    </row>
    <row r="1422" spans="1:21" x14ac:dyDescent="0.3">
      <c r="A1422" t="s">
        <v>4162</v>
      </c>
      <c r="B1422" t="s">
        <v>30</v>
      </c>
      <c r="C1422" t="s">
        <v>18</v>
      </c>
      <c r="D1422" s="15">
        <v>1</v>
      </c>
      <c r="E1422" s="7">
        <v>213.32</v>
      </c>
      <c r="H1422">
        <v>55785</v>
      </c>
      <c r="I1422" t="s">
        <v>354</v>
      </c>
      <c r="J1422" t="s">
        <v>3158</v>
      </c>
      <c r="K1422" t="s">
        <v>3</v>
      </c>
      <c r="L1422" s="2">
        <v>43252</v>
      </c>
      <c r="M1422" s="2">
        <f>DHMXX[[#This Row],[INV DOC DATE]]+30</f>
        <v>43282</v>
      </c>
      <c r="N1422" s="2">
        <v>43279</v>
      </c>
      <c r="O1422" s="7">
        <v>213.32</v>
      </c>
      <c r="P1422" s="2">
        <v>43290</v>
      </c>
      <c r="Q1422" s="7">
        <f>$E1422-$O1422</f>
        <v>0</v>
      </c>
      <c r="R1422" s="7" t="str">
        <f ca="1">IF(TODAY() - DHMXX[INV DUE DATE]&lt;30, "Less than 30 days",IF(TODAY()-DHMXX[INV DUE DATE]&lt;60,"30-60 days","More than 60 days"))</f>
        <v>Less than 30 days</v>
      </c>
      <c r="S1422" t="s">
        <v>1550</v>
      </c>
      <c r="T1422" s="43" t="s">
        <v>2229</v>
      </c>
      <c r="U1422" t="s">
        <v>3699</v>
      </c>
    </row>
    <row r="1423" spans="1:21" x14ac:dyDescent="0.3">
      <c r="A1423" t="s">
        <v>4162</v>
      </c>
      <c r="B1423" t="s">
        <v>30</v>
      </c>
      <c r="C1423" t="s">
        <v>19</v>
      </c>
      <c r="D1423" s="15">
        <v>1</v>
      </c>
      <c r="E1423" s="7">
        <v>213.32</v>
      </c>
      <c r="H1423">
        <v>56539</v>
      </c>
      <c r="I1423" t="s">
        <v>848</v>
      </c>
      <c r="J1423" t="s">
        <v>3158</v>
      </c>
      <c r="K1423" t="s">
        <v>3</v>
      </c>
      <c r="L1423" s="2">
        <v>43252</v>
      </c>
      <c r="M1423" s="2">
        <f>DHMXX[[#This Row],[INV DOC DATE]]+30</f>
        <v>43282</v>
      </c>
      <c r="N1423" s="2">
        <v>43279</v>
      </c>
      <c r="O1423" s="7">
        <v>213.32</v>
      </c>
      <c r="P1423" s="2">
        <v>43290</v>
      </c>
      <c r="Q1423" s="7">
        <f>$E1423-$O1423</f>
        <v>0</v>
      </c>
      <c r="R1423" s="7" t="str">
        <f ca="1">IF(TODAY() - DHMXX[INV DUE DATE]&lt;30, "Less than 30 days",IF(TODAY()-DHMXX[INV DUE DATE]&lt;60,"30-60 days","More than 60 days"))</f>
        <v>Less than 30 days</v>
      </c>
      <c r="S1423" t="s">
        <v>1550</v>
      </c>
      <c r="T1423" s="43" t="s">
        <v>2229</v>
      </c>
      <c r="U1423" t="s">
        <v>3699</v>
      </c>
    </row>
    <row r="1424" spans="1:21" x14ac:dyDescent="0.3">
      <c r="A1424" t="s">
        <v>4162</v>
      </c>
      <c r="B1424" t="s">
        <v>30</v>
      </c>
      <c r="C1424" t="s">
        <v>20</v>
      </c>
      <c r="D1424" s="15">
        <v>1</v>
      </c>
      <c r="E1424" s="7">
        <v>853.28</v>
      </c>
      <c r="H1424">
        <v>56774</v>
      </c>
      <c r="I1424" t="s">
        <v>849</v>
      </c>
      <c r="J1424" t="s">
        <v>3158</v>
      </c>
      <c r="K1424" t="s">
        <v>3</v>
      </c>
      <c r="L1424" s="2">
        <v>43252</v>
      </c>
      <c r="M1424" s="2">
        <f>DHMXX[[#This Row],[INV DOC DATE]]+30</f>
        <v>43282</v>
      </c>
      <c r="N1424" s="2">
        <v>43279</v>
      </c>
      <c r="O1424" s="7">
        <v>853.28</v>
      </c>
      <c r="P1424" s="2">
        <v>43290</v>
      </c>
      <c r="Q1424" s="7">
        <f>$E1424-$O1424</f>
        <v>0</v>
      </c>
      <c r="R1424" s="7" t="str">
        <f ca="1">IF(TODAY() - DHMXX[INV DUE DATE]&lt;30, "Less than 30 days",IF(TODAY()-DHMXX[INV DUE DATE]&lt;60,"30-60 days","More than 60 days"))</f>
        <v>Less than 30 days</v>
      </c>
      <c r="S1424" t="s">
        <v>1550</v>
      </c>
      <c r="T1424" s="43" t="s">
        <v>2229</v>
      </c>
      <c r="U1424" t="s">
        <v>3699</v>
      </c>
    </row>
    <row r="1425" spans="1:21" x14ac:dyDescent="0.3">
      <c r="A1425" t="s">
        <v>4162</v>
      </c>
      <c r="B1425" t="s">
        <v>30</v>
      </c>
      <c r="C1425" t="s">
        <v>21</v>
      </c>
      <c r="D1425" s="15">
        <v>1</v>
      </c>
      <c r="E1425" s="7">
        <v>213.32</v>
      </c>
      <c r="H1425">
        <v>58008</v>
      </c>
      <c r="I1425" t="s">
        <v>355</v>
      </c>
      <c r="J1425" t="s">
        <v>3158</v>
      </c>
      <c r="K1425" t="s">
        <v>3</v>
      </c>
      <c r="L1425" s="2">
        <v>43252</v>
      </c>
      <c r="M1425" s="2">
        <f>DHMXX[[#This Row],[INV DOC DATE]]+30</f>
        <v>43282</v>
      </c>
      <c r="N1425" s="2">
        <v>43279</v>
      </c>
      <c r="O1425" s="7">
        <v>213.32</v>
      </c>
      <c r="P1425" s="2">
        <v>43290</v>
      </c>
      <c r="Q1425" s="7">
        <f>$E1425-$O1425</f>
        <v>0</v>
      </c>
      <c r="R1425" s="7" t="str">
        <f ca="1">IF(TODAY() - DHMXX[INV DUE DATE]&lt;30, "Less than 30 days",IF(TODAY()-DHMXX[INV DUE DATE]&lt;60,"30-60 days","More than 60 days"))</f>
        <v>Less than 30 days</v>
      </c>
      <c r="S1425" t="s">
        <v>1550</v>
      </c>
      <c r="T1425" s="43" t="s">
        <v>2229</v>
      </c>
      <c r="U1425" t="s">
        <v>3699</v>
      </c>
    </row>
    <row r="1426" spans="1:21" x14ac:dyDescent="0.3">
      <c r="A1426" t="s">
        <v>4162</v>
      </c>
      <c r="B1426" t="s">
        <v>30</v>
      </c>
      <c r="C1426" t="s">
        <v>22</v>
      </c>
      <c r="D1426" s="15">
        <v>1</v>
      </c>
      <c r="E1426" s="7">
        <v>639.96</v>
      </c>
      <c r="H1426">
        <v>59994</v>
      </c>
      <c r="I1426" t="s">
        <v>850</v>
      </c>
      <c r="J1426" t="s">
        <v>3158</v>
      </c>
      <c r="K1426" t="s">
        <v>3</v>
      </c>
      <c r="L1426" s="2">
        <v>43252</v>
      </c>
      <c r="M1426" s="2">
        <f>DHMXX[[#This Row],[INV DOC DATE]]+30</f>
        <v>43282</v>
      </c>
      <c r="N1426" s="2">
        <v>43279</v>
      </c>
      <c r="O1426" s="7">
        <v>639.96</v>
      </c>
      <c r="P1426" s="2">
        <v>43290</v>
      </c>
      <c r="Q1426" s="7">
        <f>$E1426-$O1426</f>
        <v>0</v>
      </c>
      <c r="R1426" s="7" t="str">
        <f ca="1">IF(TODAY() - DHMXX[INV DUE DATE]&lt;30, "Less than 30 days",IF(TODAY()-DHMXX[INV DUE DATE]&lt;60,"30-60 days","More than 60 days"))</f>
        <v>Less than 30 days</v>
      </c>
      <c r="S1426" t="s">
        <v>1550</v>
      </c>
      <c r="T1426" s="43" t="s">
        <v>2229</v>
      </c>
      <c r="U1426" t="s">
        <v>3699</v>
      </c>
    </row>
    <row r="1427" spans="1:21" x14ac:dyDescent="0.3">
      <c r="A1427" t="s">
        <v>4162</v>
      </c>
      <c r="B1427" t="s">
        <v>30</v>
      </c>
      <c r="C1427" t="s">
        <v>23</v>
      </c>
      <c r="D1427" s="15">
        <v>1</v>
      </c>
      <c r="E1427" s="7">
        <v>426.64</v>
      </c>
      <c r="H1427">
        <v>66343</v>
      </c>
      <c r="I1427" t="s">
        <v>353</v>
      </c>
      <c r="J1427" t="s">
        <v>3158</v>
      </c>
      <c r="K1427" t="s">
        <v>3</v>
      </c>
      <c r="L1427" s="2">
        <v>43252</v>
      </c>
      <c r="M1427" s="2">
        <f>DHMXX[[#This Row],[INV DOC DATE]]+30</f>
        <v>43282</v>
      </c>
      <c r="N1427" s="2">
        <v>43279</v>
      </c>
      <c r="O1427" s="7">
        <v>426.64</v>
      </c>
      <c r="P1427" s="2">
        <v>43290</v>
      </c>
      <c r="Q1427" s="7">
        <f>$E1427-$O1427</f>
        <v>0</v>
      </c>
      <c r="R1427" s="7" t="str">
        <f ca="1">IF(TODAY() - DHMXX[INV DUE DATE]&lt;30, "Less than 30 days",IF(TODAY()-DHMXX[INV DUE DATE]&lt;60,"30-60 days","More than 60 days"))</f>
        <v>Less than 30 days</v>
      </c>
      <c r="S1427" t="s">
        <v>1550</v>
      </c>
      <c r="T1427" s="43" t="s">
        <v>2229</v>
      </c>
      <c r="U1427" t="s">
        <v>3699</v>
      </c>
    </row>
    <row r="1428" spans="1:21" x14ac:dyDescent="0.3">
      <c r="A1428" t="s">
        <v>4162</v>
      </c>
      <c r="B1428" t="s">
        <v>30</v>
      </c>
      <c r="C1428" t="s">
        <v>24</v>
      </c>
      <c r="D1428" s="15">
        <v>1</v>
      </c>
      <c r="E1428" s="7">
        <v>213.32</v>
      </c>
      <c r="H1428">
        <v>66652</v>
      </c>
      <c r="I1428" t="s">
        <v>356</v>
      </c>
      <c r="J1428" t="s">
        <v>3158</v>
      </c>
      <c r="K1428" t="s">
        <v>3</v>
      </c>
      <c r="L1428" s="2">
        <v>43252</v>
      </c>
      <c r="M1428" s="2">
        <f>DHMXX[[#This Row],[INV DOC DATE]]+30</f>
        <v>43282</v>
      </c>
      <c r="N1428" s="2">
        <v>43279</v>
      </c>
      <c r="O1428" s="7">
        <v>213.32</v>
      </c>
      <c r="P1428" s="2">
        <v>43290</v>
      </c>
      <c r="Q1428" s="7">
        <f>$E1428-$O1428</f>
        <v>0</v>
      </c>
      <c r="R1428" s="7" t="str">
        <f ca="1">IF(TODAY() - DHMXX[INV DUE DATE]&lt;30, "Less than 30 days",IF(TODAY()-DHMXX[INV DUE DATE]&lt;60,"30-60 days","More than 60 days"))</f>
        <v>Less than 30 days</v>
      </c>
      <c r="S1428" t="s">
        <v>1550</v>
      </c>
      <c r="T1428" s="43" t="s">
        <v>2229</v>
      </c>
      <c r="U1428" t="s">
        <v>3699</v>
      </c>
    </row>
    <row r="1429" spans="1:21" x14ac:dyDescent="0.3">
      <c r="A1429" t="s">
        <v>4162</v>
      </c>
      <c r="B1429" t="s">
        <v>30</v>
      </c>
      <c r="C1429" t="s">
        <v>25</v>
      </c>
      <c r="D1429" s="15">
        <v>1</v>
      </c>
      <c r="E1429" s="7">
        <v>213.32</v>
      </c>
      <c r="H1429">
        <v>66988</v>
      </c>
      <c r="I1429" t="s">
        <v>349</v>
      </c>
      <c r="J1429" t="s">
        <v>3158</v>
      </c>
      <c r="K1429" t="s">
        <v>3</v>
      </c>
      <c r="L1429" s="2">
        <v>43252</v>
      </c>
      <c r="M1429" s="2">
        <f>DHMXX[[#This Row],[INV DOC DATE]]+30</f>
        <v>43282</v>
      </c>
      <c r="N1429" s="2">
        <v>43279</v>
      </c>
      <c r="O1429" s="7">
        <v>213.32</v>
      </c>
      <c r="P1429" s="2">
        <v>43290</v>
      </c>
      <c r="Q1429" s="7">
        <f>$E1429-$O1429</f>
        <v>0</v>
      </c>
      <c r="R1429" s="7" t="str">
        <f ca="1">IF(TODAY() - DHMXX[INV DUE DATE]&lt;30, "Less than 30 days",IF(TODAY()-DHMXX[INV DUE DATE]&lt;60,"30-60 days","More than 60 days"))</f>
        <v>Less than 30 days</v>
      </c>
      <c r="S1429" t="s">
        <v>1550</v>
      </c>
      <c r="T1429" s="43" t="s">
        <v>2229</v>
      </c>
      <c r="U1429" t="s">
        <v>3699</v>
      </c>
    </row>
    <row r="1430" spans="1:21" x14ac:dyDescent="0.3">
      <c r="A1430" t="s">
        <v>4162</v>
      </c>
      <c r="B1430" t="s">
        <v>30</v>
      </c>
      <c r="C1430" t="s">
        <v>26</v>
      </c>
      <c r="D1430" s="15">
        <v>1</v>
      </c>
      <c r="E1430" s="7">
        <v>6826.27</v>
      </c>
      <c r="H1430">
        <v>67865</v>
      </c>
      <c r="I1430" t="s">
        <v>349</v>
      </c>
      <c r="J1430" t="s">
        <v>3158</v>
      </c>
      <c r="K1430" t="s">
        <v>3</v>
      </c>
      <c r="L1430" s="2">
        <v>43252</v>
      </c>
      <c r="M1430" s="2">
        <f>DHMXX[[#This Row],[INV DOC DATE]]+30</f>
        <v>43282</v>
      </c>
      <c r="N1430" s="2">
        <v>43279</v>
      </c>
      <c r="O1430" s="7">
        <v>6826.27</v>
      </c>
      <c r="P1430" s="2">
        <v>43290</v>
      </c>
      <c r="Q1430" s="7">
        <f>$E1430-$O1430</f>
        <v>0</v>
      </c>
      <c r="R1430" s="7" t="str">
        <f ca="1">IF(TODAY() - DHMXX[INV DUE DATE]&lt;30, "Less than 30 days",IF(TODAY()-DHMXX[INV DUE DATE]&lt;60,"30-60 days","More than 60 days"))</f>
        <v>Less than 30 days</v>
      </c>
      <c r="S1430" t="s">
        <v>1550</v>
      </c>
      <c r="T1430" s="43" t="s">
        <v>2229</v>
      </c>
      <c r="U1430" t="s">
        <v>3699</v>
      </c>
    </row>
    <row r="1431" spans="1:21" x14ac:dyDescent="0.3">
      <c r="A1431" t="s">
        <v>4162</v>
      </c>
      <c r="B1431" t="s">
        <v>30</v>
      </c>
      <c r="C1431" t="s">
        <v>27</v>
      </c>
      <c r="D1431" s="15">
        <v>1</v>
      </c>
      <c r="E1431" s="7">
        <v>213.32</v>
      </c>
      <c r="H1431">
        <v>68161</v>
      </c>
      <c r="I1431" t="s">
        <v>358</v>
      </c>
      <c r="J1431" t="s">
        <v>3158</v>
      </c>
      <c r="K1431" t="s">
        <v>3</v>
      </c>
      <c r="L1431" s="2">
        <v>43252</v>
      </c>
      <c r="M1431" s="2">
        <f>DHMXX[[#This Row],[INV DOC DATE]]+30</f>
        <v>43282</v>
      </c>
      <c r="N1431" s="2">
        <v>43279</v>
      </c>
      <c r="O1431" s="7">
        <v>213.32</v>
      </c>
      <c r="P1431" s="2">
        <v>43290</v>
      </c>
      <c r="Q1431" s="7">
        <f>$E1431-$O1431</f>
        <v>0</v>
      </c>
      <c r="R1431" s="7" t="str">
        <f ca="1">IF(TODAY() - DHMXX[INV DUE DATE]&lt;30, "Less than 30 days",IF(TODAY()-DHMXX[INV DUE DATE]&lt;60,"30-60 days","More than 60 days"))</f>
        <v>Less than 30 days</v>
      </c>
      <c r="S1431" t="s">
        <v>1550</v>
      </c>
      <c r="T1431" s="43" t="s">
        <v>2229</v>
      </c>
      <c r="U1431" t="s">
        <v>3699</v>
      </c>
    </row>
    <row r="1432" spans="1:21" x14ac:dyDescent="0.3">
      <c r="A1432" t="s">
        <v>4162</v>
      </c>
      <c r="B1432" t="s">
        <v>30</v>
      </c>
      <c r="C1432" t="s">
        <v>28</v>
      </c>
      <c r="D1432" s="15">
        <v>1</v>
      </c>
      <c r="E1432" s="7">
        <v>426.64</v>
      </c>
      <c r="H1432">
        <v>76024</v>
      </c>
      <c r="I1432" t="s">
        <v>851</v>
      </c>
      <c r="J1432" t="s">
        <v>3158</v>
      </c>
      <c r="K1432" t="s">
        <v>3</v>
      </c>
      <c r="L1432" s="2">
        <v>43252</v>
      </c>
      <c r="M1432" s="2">
        <f>DHMXX[[#This Row],[INV DOC DATE]]+30</f>
        <v>43282</v>
      </c>
      <c r="N1432" s="2">
        <v>43279</v>
      </c>
      <c r="O1432" s="7">
        <v>426.64</v>
      </c>
      <c r="P1432" s="2">
        <v>43290</v>
      </c>
      <c r="Q1432" s="7">
        <f>$E1432-$O1432</f>
        <v>0</v>
      </c>
      <c r="R1432" s="7" t="str">
        <f ca="1">IF(TODAY() - DHMXX[INV DUE DATE]&lt;30, "Less than 30 days",IF(TODAY()-DHMXX[INV DUE DATE]&lt;60,"30-60 days","More than 60 days"))</f>
        <v>Less than 30 days</v>
      </c>
      <c r="S1432" t="s">
        <v>1550</v>
      </c>
      <c r="T1432" s="43" t="s">
        <v>2229</v>
      </c>
      <c r="U1432" t="s">
        <v>3699</v>
      </c>
    </row>
    <row r="1433" spans="1:21" x14ac:dyDescent="0.3">
      <c r="A1433" t="s">
        <v>4162</v>
      </c>
      <c r="B1433" t="s">
        <v>30</v>
      </c>
      <c r="C1433" t="s">
        <v>37</v>
      </c>
      <c r="D1433" s="15">
        <v>1</v>
      </c>
      <c r="E1433" s="7">
        <v>1066.5999999999999</v>
      </c>
      <c r="H1433">
        <v>76833</v>
      </c>
      <c r="I1433" t="s">
        <v>852</v>
      </c>
      <c r="J1433" t="s">
        <v>3158</v>
      </c>
      <c r="K1433" t="s">
        <v>3</v>
      </c>
      <c r="L1433" s="2">
        <v>43252</v>
      </c>
      <c r="M1433" s="2">
        <f>DHMXX[[#This Row],[INV DOC DATE]]+30</f>
        <v>43282</v>
      </c>
      <c r="N1433" s="2">
        <v>43279</v>
      </c>
      <c r="O1433" s="7">
        <v>1066.5999999999999</v>
      </c>
      <c r="P1433" s="2">
        <v>43290</v>
      </c>
      <c r="Q1433" s="7">
        <f>$E1433-$O1433</f>
        <v>0</v>
      </c>
      <c r="R1433" s="7" t="str">
        <f ca="1">IF(TODAY() - DHMXX[INV DUE DATE]&lt;30, "Less than 30 days",IF(TODAY()-DHMXX[INV DUE DATE]&lt;60,"30-60 days","More than 60 days"))</f>
        <v>Less than 30 days</v>
      </c>
      <c r="S1433" t="s">
        <v>1550</v>
      </c>
      <c r="T1433" s="43" t="s">
        <v>2229</v>
      </c>
      <c r="U1433" t="s">
        <v>3699</v>
      </c>
    </row>
    <row r="1434" spans="1:21" x14ac:dyDescent="0.3">
      <c r="A1434" t="s">
        <v>4162</v>
      </c>
      <c r="B1434" t="s">
        <v>30</v>
      </c>
      <c r="C1434" t="s">
        <v>38</v>
      </c>
      <c r="D1434" s="15">
        <v>1</v>
      </c>
      <c r="E1434" s="7">
        <v>213.32</v>
      </c>
      <c r="H1434">
        <v>82624</v>
      </c>
      <c r="I1434" t="s">
        <v>853</v>
      </c>
      <c r="J1434" t="s">
        <v>3158</v>
      </c>
      <c r="K1434" t="s">
        <v>3</v>
      </c>
      <c r="L1434" s="2">
        <v>43252</v>
      </c>
      <c r="M1434" s="2">
        <f>DHMXX[[#This Row],[INV DOC DATE]]+30</f>
        <v>43282</v>
      </c>
      <c r="N1434" s="2">
        <v>43279</v>
      </c>
      <c r="O1434" s="7">
        <v>213.32</v>
      </c>
      <c r="P1434" s="2">
        <v>43290</v>
      </c>
      <c r="Q1434" s="7">
        <f>$E1434-$O1434</f>
        <v>0</v>
      </c>
      <c r="R1434" s="7" t="str">
        <f ca="1">IF(TODAY() - DHMXX[INV DUE DATE]&lt;30, "Less than 30 days",IF(TODAY()-DHMXX[INV DUE DATE]&lt;60,"30-60 days","More than 60 days"))</f>
        <v>Less than 30 days</v>
      </c>
      <c r="S1434" t="s">
        <v>1550</v>
      </c>
      <c r="T1434" s="43" t="s">
        <v>2229</v>
      </c>
      <c r="U1434" t="s">
        <v>3699</v>
      </c>
    </row>
    <row r="1435" spans="1:21" x14ac:dyDescent="0.3">
      <c r="A1435" t="s">
        <v>4162</v>
      </c>
      <c r="B1435" t="s">
        <v>30</v>
      </c>
      <c r="C1435" t="s">
        <v>39</v>
      </c>
      <c r="D1435" s="15">
        <v>1</v>
      </c>
      <c r="E1435" s="7">
        <v>639.96</v>
      </c>
      <c r="H1435">
        <v>85175</v>
      </c>
      <c r="I1435" t="s">
        <v>839</v>
      </c>
      <c r="J1435" t="s">
        <v>3158</v>
      </c>
      <c r="K1435" t="s">
        <v>3</v>
      </c>
      <c r="L1435" s="2">
        <v>43252</v>
      </c>
      <c r="M1435" s="2">
        <f>DHMXX[[#This Row],[INV DOC DATE]]+30</f>
        <v>43282</v>
      </c>
      <c r="N1435" s="2">
        <v>43279</v>
      </c>
      <c r="O1435" s="7">
        <v>639.96</v>
      </c>
      <c r="P1435" s="2">
        <v>43290</v>
      </c>
      <c r="Q1435" s="7">
        <f>$E1435-$O1435</f>
        <v>0</v>
      </c>
      <c r="R1435" s="7" t="str">
        <f ca="1">IF(TODAY() - DHMXX[INV DUE DATE]&lt;30, "Less than 30 days",IF(TODAY()-DHMXX[INV DUE DATE]&lt;60,"30-60 days","More than 60 days"))</f>
        <v>Less than 30 days</v>
      </c>
      <c r="S1435" t="s">
        <v>1550</v>
      </c>
      <c r="T1435" s="43" t="s">
        <v>2229</v>
      </c>
      <c r="U1435" t="s">
        <v>3699</v>
      </c>
    </row>
    <row r="1436" spans="1:21" x14ac:dyDescent="0.3">
      <c r="A1436" t="s">
        <v>4162</v>
      </c>
      <c r="B1436" t="s">
        <v>30</v>
      </c>
      <c r="C1436" t="s">
        <v>40</v>
      </c>
      <c r="D1436" s="15">
        <v>1</v>
      </c>
      <c r="E1436" s="7">
        <v>11092.68</v>
      </c>
      <c r="H1436">
        <v>91295</v>
      </c>
      <c r="I1436" t="s">
        <v>360</v>
      </c>
      <c r="J1436" t="s">
        <v>3158</v>
      </c>
      <c r="K1436" t="s">
        <v>3</v>
      </c>
      <c r="L1436" s="2">
        <v>43252</v>
      </c>
      <c r="M1436" s="2">
        <f>DHMXX[[#This Row],[INV DOC DATE]]+30</f>
        <v>43282</v>
      </c>
      <c r="N1436" s="2">
        <v>43279</v>
      </c>
      <c r="O1436" s="7">
        <v>11092.68</v>
      </c>
      <c r="P1436" s="2">
        <v>43290</v>
      </c>
      <c r="Q1436" s="7">
        <f>$E1436-$O1436</f>
        <v>0</v>
      </c>
      <c r="R1436" s="7" t="str">
        <f ca="1">IF(TODAY() - DHMXX[INV DUE DATE]&lt;30, "Less than 30 days",IF(TODAY()-DHMXX[INV DUE DATE]&lt;60,"30-60 days","More than 60 days"))</f>
        <v>Less than 30 days</v>
      </c>
      <c r="S1436" t="s">
        <v>1550</v>
      </c>
      <c r="T1436" s="43" t="s">
        <v>2229</v>
      </c>
      <c r="U1436" t="s">
        <v>3699</v>
      </c>
    </row>
    <row r="1437" spans="1:21" x14ac:dyDescent="0.3">
      <c r="A1437" t="s">
        <v>4162</v>
      </c>
      <c r="B1437" t="s">
        <v>30</v>
      </c>
      <c r="C1437" t="s">
        <v>41</v>
      </c>
      <c r="D1437" s="15">
        <v>1</v>
      </c>
      <c r="E1437" s="7">
        <v>213.32</v>
      </c>
      <c r="H1437">
        <v>92676</v>
      </c>
      <c r="I1437" t="s">
        <v>854</v>
      </c>
      <c r="J1437" t="s">
        <v>3158</v>
      </c>
      <c r="K1437" t="s">
        <v>3</v>
      </c>
      <c r="L1437" s="2">
        <v>43252</v>
      </c>
      <c r="M1437" s="2">
        <f>DHMXX[[#This Row],[INV DOC DATE]]+30</f>
        <v>43282</v>
      </c>
      <c r="N1437" s="2">
        <v>43279</v>
      </c>
      <c r="O1437" s="7">
        <v>213.32</v>
      </c>
      <c r="P1437" s="2">
        <v>43290</v>
      </c>
      <c r="Q1437" s="7">
        <f>$E1437-$O1437</f>
        <v>0</v>
      </c>
      <c r="R1437" s="7" t="str">
        <f ca="1">IF(TODAY() - DHMXX[INV DUE DATE]&lt;30, "Less than 30 days",IF(TODAY()-DHMXX[INV DUE DATE]&lt;60,"30-60 days","More than 60 days"))</f>
        <v>Less than 30 days</v>
      </c>
      <c r="S1437" t="s">
        <v>1550</v>
      </c>
      <c r="T1437" s="43" t="s">
        <v>2229</v>
      </c>
      <c r="U1437" t="s">
        <v>3699</v>
      </c>
    </row>
    <row r="1438" spans="1:21" x14ac:dyDescent="0.3">
      <c r="A1438" t="s">
        <v>4162</v>
      </c>
      <c r="B1438" t="s">
        <v>30</v>
      </c>
      <c r="C1438" t="s">
        <v>42</v>
      </c>
      <c r="D1438" s="15">
        <v>1</v>
      </c>
      <c r="E1438" s="7">
        <v>213.32</v>
      </c>
      <c r="H1438">
        <v>94783</v>
      </c>
      <c r="I1438" t="s">
        <v>360</v>
      </c>
      <c r="J1438" t="s">
        <v>3158</v>
      </c>
      <c r="K1438" t="s">
        <v>3</v>
      </c>
      <c r="L1438" s="2">
        <v>43252</v>
      </c>
      <c r="M1438" s="2">
        <f>DHMXX[[#This Row],[INV DOC DATE]]+30</f>
        <v>43282</v>
      </c>
      <c r="N1438" s="2">
        <v>43279</v>
      </c>
      <c r="O1438" s="7">
        <v>213.32</v>
      </c>
      <c r="P1438" s="2">
        <v>43290</v>
      </c>
      <c r="Q1438" s="7">
        <f>$E1438-$O1438</f>
        <v>0</v>
      </c>
      <c r="R1438" s="7" t="str">
        <f ca="1">IF(TODAY() - DHMXX[INV DUE DATE]&lt;30, "Less than 30 days",IF(TODAY()-DHMXX[INV DUE DATE]&lt;60,"30-60 days","More than 60 days"))</f>
        <v>Less than 30 days</v>
      </c>
      <c r="S1438" t="s">
        <v>1550</v>
      </c>
      <c r="T1438" s="43" t="s">
        <v>2229</v>
      </c>
      <c r="U1438" t="s">
        <v>3699</v>
      </c>
    </row>
    <row r="1439" spans="1:21" x14ac:dyDescent="0.3">
      <c r="A1439" t="s">
        <v>4162</v>
      </c>
      <c r="B1439" t="s">
        <v>30</v>
      </c>
      <c r="C1439" t="s">
        <v>43</v>
      </c>
      <c r="D1439" s="15">
        <v>1</v>
      </c>
      <c r="E1439" s="7">
        <v>213.32</v>
      </c>
      <c r="H1439">
        <v>115229</v>
      </c>
      <c r="I1439" t="s">
        <v>349</v>
      </c>
      <c r="J1439" t="s">
        <v>3158</v>
      </c>
      <c r="K1439" t="s">
        <v>3</v>
      </c>
      <c r="L1439" s="2">
        <v>43252</v>
      </c>
      <c r="M1439" s="2">
        <f>DHMXX[[#This Row],[INV DOC DATE]]+30</f>
        <v>43282</v>
      </c>
      <c r="N1439" s="2">
        <v>43279</v>
      </c>
      <c r="O1439" s="7">
        <v>213.32</v>
      </c>
      <c r="P1439" s="2">
        <v>43290</v>
      </c>
      <c r="Q1439" s="7">
        <f>$E1439-$O1439</f>
        <v>0</v>
      </c>
      <c r="R1439" s="7" t="str">
        <f ca="1">IF(TODAY() - DHMXX[INV DUE DATE]&lt;30, "Less than 30 days",IF(TODAY()-DHMXX[INV DUE DATE]&lt;60,"30-60 days","More than 60 days"))</f>
        <v>Less than 30 days</v>
      </c>
      <c r="S1439" t="s">
        <v>1550</v>
      </c>
      <c r="T1439" s="43" t="s">
        <v>2229</v>
      </c>
      <c r="U1439" t="s">
        <v>3699</v>
      </c>
    </row>
    <row r="1440" spans="1:21" x14ac:dyDescent="0.3">
      <c r="A1440" t="s">
        <v>4162</v>
      </c>
      <c r="B1440" t="s">
        <v>30</v>
      </c>
      <c r="C1440" t="s">
        <v>44</v>
      </c>
      <c r="D1440" s="15">
        <v>1</v>
      </c>
      <c r="E1440" s="7">
        <v>426.64</v>
      </c>
      <c r="H1440">
        <v>140140</v>
      </c>
      <c r="I1440" t="s">
        <v>840</v>
      </c>
      <c r="J1440" t="s">
        <v>3158</v>
      </c>
      <c r="K1440" t="s">
        <v>3</v>
      </c>
      <c r="L1440" s="2">
        <v>43252</v>
      </c>
      <c r="M1440" s="2">
        <f>DHMXX[[#This Row],[INV DOC DATE]]+30</f>
        <v>43282</v>
      </c>
      <c r="N1440" s="2">
        <v>43279</v>
      </c>
      <c r="O1440" s="7">
        <v>426.64</v>
      </c>
      <c r="P1440" s="2">
        <v>43290</v>
      </c>
      <c r="Q1440" s="7">
        <f>$E1440-$O1440</f>
        <v>0</v>
      </c>
      <c r="R1440" s="7" t="str">
        <f ca="1">IF(TODAY() - DHMXX[INV DUE DATE]&lt;30, "Less than 30 days",IF(TODAY()-DHMXX[INV DUE DATE]&lt;60,"30-60 days","More than 60 days"))</f>
        <v>Less than 30 days</v>
      </c>
      <c r="S1440" t="s">
        <v>1550</v>
      </c>
      <c r="T1440" s="43" t="s">
        <v>2229</v>
      </c>
      <c r="U1440" t="s">
        <v>3699</v>
      </c>
    </row>
    <row r="1441" spans="1:21" x14ac:dyDescent="0.3">
      <c r="A1441" t="s">
        <v>4162</v>
      </c>
      <c r="B1441" t="s">
        <v>30</v>
      </c>
      <c r="C1441" t="s">
        <v>45</v>
      </c>
      <c r="D1441" s="15">
        <v>1</v>
      </c>
      <c r="E1441" s="7">
        <v>213.32</v>
      </c>
      <c r="H1441">
        <v>142910</v>
      </c>
      <c r="I1441" t="s">
        <v>841</v>
      </c>
      <c r="J1441" t="s">
        <v>3158</v>
      </c>
      <c r="K1441" t="s">
        <v>3</v>
      </c>
      <c r="L1441" s="2">
        <v>43252</v>
      </c>
      <c r="M1441" s="2">
        <f>DHMXX[[#This Row],[INV DOC DATE]]+30</f>
        <v>43282</v>
      </c>
      <c r="N1441" s="2">
        <v>43279</v>
      </c>
      <c r="O1441" s="7">
        <v>213.32</v>
      </c>
      <c r="P1441" s="2">
        <v>43290</v>
      </c>
      <c r="Q1441" s="7">
        <f>$E1441-$O1441</f>
        <v>0</v>
      </c>
      <c r="R1441" s="7" t="str">
        <f ca="1">IF(TODAY() - DHMXX[INV DUE DATE]&lt;30, "Less than 30 days",IF(TODAY()-DHMXX[INV DUE DATE]&lt;60,"30-60 days","More than 60 days"))</f>
        <v>Less than 30 days</v>
      </c>
      <c r="S1441" t="s">
        <v>1550</v>
      </c>
      <c r="T1441" s="43" t="s">
        <v>2229</v>
      </c>
      <c r="U1441" t="s">
        <v>3699</v>
      </c>
    </row>
    <row r="1442" spans="1:21" x14ac:dyDescent="0.3">
      <c r="A1442" t="s">
        <v>4162</v>
      </c>
      <c r="B1442" t="s">
        <v>30</v>
      </c>
      <c r="C1442" t="s">
        <v>46</v>
      </c>
      <c r="D1442" s="15">
        <v>1</v>
      </c>
      <c r="E1442" s="7">
        <v>1279.92</v>
      </c>
      <c r="H1442">
        <v>148833</v>
      </c>
      <c r="I1442" t="s">
        <v>842</v>
      </c>
      <c r="J1442" t="s">
        <v>3158</v>
      </c>
      <c r="K1442" t="s">
        <v>3</v>
      </c>
      <c r="L1442" s="2">
        <v>43252</v>
      </c>
      <c r="M1442" s="2">
        <f>DHMXX[[#This Row],[INV DOC DATE]]+30</f>
        <v>43282</v>
      </c>
      <c r="N1442" s="2">
        <v>43279</v>
      </c>
      <c r="O1442" s="7">
        <v>1279.92</v>
      </c>
      <c r="P1442" s="2">
        <v>43290</v>
      </c>
      <c r="Q1442" s="7">
        <f>$E1442-$O1442</f>
        <v>0</v>
      </c>
      <c r="R1442" s="7" t="str">
        <f ca="1">IF(TODAY() - DHMXX[INV DUE DATE]&lt;30, "Less than 30 days",IF(TODAY()-DHMXX[INV DUE DATE]&lt;60,"30-60 days","More than 60 days"))</f>
        <v>Less than 30 days</v>
      </c>
      <c r="S1442" t="s">
        <v>1550</v>
      </c>
      <c r="T1442" s="43" t="s">
        <v>2229</v>
      </c>
      <c r="U1442" t="s">
        <v>3699</v>
      </c>
    </row>
    <row r="1443" spans="1:21" x14ac:dyDescent="0.3">
      <c r="A1443" t="s">
        <v>4162</v>
      </c>
      <c r="B1443" t="s">
        <v>30</v>
      </c>
      <c r="C1443" t="s">
        <v>47</v>
      </c>
      <c r="D1443" s="15">
        <v>1</v>
      </c>
      <c r="E1443" s="7">
        <v>213.32</v>
      </c>
      <c r="H1443">
        <v>162604</v>
      </c>
      <c r="I1443" t="s">
        <v>842</v>
      </c>
      <c r="J1443" t="s">
        <v>3158</v>
      </c>
      <c r="K1443" t="s">
        <v>3</v>
      </c>
      <c r="L1443" s="2">
        <v>43252</v>
      </c>
      <c r="M1443" s="2">
        <f>DHMXX[[#This Row],[INV DOC DATE]]+30</f>
        <v>43282</v>
      </c>
      <c r="N1443" s="2">
        <v>43279</v>
      </c>
      <c r="O1443" s="7">
        <v>213.32</v>
      </c>
      <c r="P1443" s="2">
        <v>43290</v>
      </c>
      <c r="Q1443" s="7">
        <f>$E1443-$O1443</f>
        <v>0</v>
      </c>
      <c r="R1443" s="7" t="str">
        <f ca="1">IF(TODAY() - DHMXX[INV DUE DATE]&lt;30, "Less than 30 days",IF(TODAY()-DHMXX[INV DUE DATE]&lt;60,"30-60 days","More than 60 days"))</f>
        <v>Less than 30 days</v>
      </c>
      <c r="S1443" t="s">
        <v>1550</v>
      </c>
      <c r="T1443" s="43" t="s">
        <v>2229</v>
      </c>
      <c r="U1443" t="s">
        <v>3699</v>
      </c>
    </row>
    <row r="1444" spans="1:21" x14ac:dyDescent="0.3">
      <c r="A1444" t="s">
        <v>4162</v>
      </c>
      <c r="B1444" t="s">
        <v>30</v>
      </c>
      <c r="C1444" t="s">
        <v>295</v>
      </c>
      <c r="D1444" s="15">
        <v>1</v>
      </c>
      <c r="E1444" s="7">
        <v>213.32</v>
      </c>
      <c r="H1444">
        <v>165685</v>
      </c>
      <c r="I1444" t="s">
        <v>843</v>
      </c>
      <c r="J1444" t="s">
        <v>3158</v>
      </c>
      <c r="K1444" t="s">
        <v>3</v>
      </c>
      <c r="L1444" s="2">
        <v>43252</v>
      </c>
      <c r="M1444" s="2">
        <f>DHMXX[[#This Row],[INV DOC DATE]]+30</f>
        <v>43282</v>
      </c>
      <c r="N1444" s="2">
        <v>43279</v>
      </c>
      <c r="O1444" s="7">
        <v>213.32</v>
      </c>
      <c r="P1444" s="2">
        <v>43290</v>
      </c>
      <c r="Q1444" s="7">
        <f>$E1444-$O1444</f>
        <v>0</v>
      </c>
      <c r="R1444" s="7" t="str">
        <f ca="1">IF(TODAY() - DHMXX[INV DUE DATE]&lt;30, "Less than 30 days",IF(TODAY()-DHMXX[INV DUE DATE]&lt;60,"30-60 days","More than 60 days"))</f>
        <v>Less than 30 days</v>
      </c>
      <c r="S1444" t="s">
        <v>1550</v>
      </c>
      <c r="T1444" s="43" t="s">
        <v>2229</v>
      </c>
      <c r="U1444" t="s">
        <v>3699</v>
      </c>
    </row>
    <row r="1445" spans="1:21" x14ac:dyDescent="0.3">
      <c r="A1445" t="s">
        <v>4162</v>
      </c>
      <c r="B1445" t="s">
        <v>30</v>
      </c>
      <c r="C1445" t="s">
        <v>48</v>
      </c>
      <c r="D1445" s="15">
        <v>16</v>
      </c>
      <c r="E1445" s="7">
        <v>426.64</v>
      </c>
      <c r="H1445">
        <v>55031</v>
      </c>
      <c r="I1445" t="s">
        <v>861</v>
      </c>
      <c r="J1445" t="s">
        <v>3158</v>
      </c>
      <c r="K1445" t="s">
        <v>3</v>
      </c>
      <c r="L1445" s="2">
        <v>43252</v>
      </c>
      <c r="M1445" s="2">
        <f>DHMXX[[#This Row],[INV DOC DATE]]+30</f>
        <v>43282</v>
      </c>
      <c r="N1445" s="2">
        <v>43279</v>
      </c>
      <c r="O1445" s="7">
        <v>426.64</v>
      </c>
      <c r="P1445" s="2">
        <v>43290</v>
      </c>
      <c r="Q1445" s="7">
        <f>$E1445-$O1445</f>
        <v>0</v>
      </c>
      <c r="R1445" s="7" t="str">
        <f ca="1">IF(TODAY() - DHMXX[INV DUE DATE]&lt;30, "Less than 30 days",IF(TODAY()-DHMXX[INV DUE DATE]&lt;60,"30-60 days","More than 60 days"))</f>
        <v>Less than 30 days</v>
      </c>
      <c r="S1445" t="s">
        <v>1550</v>
      </c>
      <c r="T1445" s="43" t="s">
        <v>2229</v>
      </c>
      <c r="U1445" t="s">
        <v>3699</v>
      </c>
    </row>
    <row r="1446" spans="1:21" x14ac:dyDescent="0.3">
      <c r="A1446" t="s">
        <v>4162</v>
      </c>
      <c r="B1446" t="s">
        <v>30</v>
      </c>
      <c r="C1446" t="s">
        <v>49</v>
      </c>
      <c r="D1446" s="15">
        <v>16</v>
      </c>
      <c r="E1446" s="7">
        <v>1279.92</v>
      </c>
      <c r="H1446">
        <v>55245</v>
      </c>
      <c r="I1446" t="s">
        <v>861</v>
      </c>
      <c r="J1446" t="s">
        <v>3158</v>
      </c>
      <c r="K1446" t="s">
        <v>3</v>
      </c>
      <c r="L1446" s="2">
        <v>43252</v>
      </c>
      <c r="M1446" s="2">
        <f>DHMXX[[#This Row],[INV DOC DATE]]+30</f>
        <v>43282</v>
      </c>
      <c r="N1446" s="2">
        <v>43279</v>
      </c>
      <c r="O1446" s="7">
        <v>1279.92</v>
      </c>
      <c r="P1446" s="2">
        <v>43290</v>
      </c>
      <c r="Q1446" s="7">
        <f>$E1446-$O1446</f>
        <v>0</v>
      </c>
      <c r="R1446" s="7" t="str">
        <f ca="1">IF(TODAY() - DHMXX[INV DUE DATE]&lt;30, "Less than 30 days",IF(TODAY()-DHMXX[INV DUE DATE]&lt;60,"30-60 days","More than 60 days"))</f>
        <v>Less than 30 days</v>
      </c>
      <c r="S1446" t="s">
        <v>1550</v>
      </c>
      <c r="T1446" s="43" t="s">
        <v>2229</v>
      </c>
      <c r="U1446" t="s">
        <v>3699</v>
      </c>
    </row>
    <row r="1447" spans="1:21" x14ac:dyDescent="0.3">
      <c r="A1447" t="s">
        <v>4162</v>
      </c>
      <c r="B1447" t="s">
        <v>30</v>
      </c>
      <c r="C1447" t="s">
        <v>50</v>
      </c>
      <c r="D1447" s="15">
        <v>16</v>
      </c>
      <c r="E1447" s="7">
        <v>213.32</v>
      </c>
      <c r="H1447">
        <v>55256</v>
      </c>
      <c r="I1447" t="s">
        <v>353</v>
      </c>
      <c r="J1447" t="s">
        <v>3158</v>
      </c>
      <c r="K1447" t="s">
        <v>3</v>
      </c>
      <c r="L1447" s="2">
        <v>43252</v>
      </c>
      <c r="M1447" s="2">
        <f>DHMXX[[#This Row],[INV DOC DATE]]+30</f>
        <v>43282</v>
      </c>
      <c r="N1447" s="2">
        <v>43279</v>
      </c>
      <c r="O1447" s="7">
        <v>213.32</v>
      </c>
      <c r="P1447" s="2">
        <v>43290</v>
      </c>
      <c r="Q1447" s="7">
        <f>$E1447-$O1447</f>
        <v>0</v>
      </c>
      <c r="R1447" s="7" t="str">
        <f ca="1">IF(TODAY() - DHMXX[INV DUE DATE]&lt;30, "Less than 30 days",IF(TODAY()-DHMXX[INV DUE DATE]&lt;60,"30-60 days","More than 60 days"))</f>
        <v>Less than 30 days</v>
      </c>
      <c r="S1447" t="s">
        <v>1550</v>
      </c>
      <c r="T1447" s="43" t="s">
        <v>2229</v>
      </c>
      <c r="U1447" t="s">
        <v>3699</v>
      </c>
    </row>
    <row r="1448" spans="1:21" x14ac:dyDescent="0.3">
      <c r="A1448" t="s">
        <v>4162</v>
      </c>
      <c r="B1448" t="s">
        <v>30</v>
      </c>
      <c r="C1448" t="s">
        <v>51</v>
      </c>
      <c r="D1448" s="15">
        <v>16</v>
      </c>
      <c r="E1448" s="7">
        <v>213.32</v>
      </c>
      <c r="H1448">
        <v>55314</v>
      </c>
      <c r="I1448" t="s">
        <v>862</v>
      </c>
      <c r="J1448" t="s">
        <v>3158</v>
      </c>
      <c r="K1448" t="s">
        <v>3</v>
      </c>
      <c r="L1448" s="2">
        <v>43252</v>
      </c>
      <c r="M1448" s="2">
        <f>DHMXX[[#This Row],[INV DOC DATE]]+30</f>
        <v>43282</v>
      </c>
      <c r="N1448" s="2">
        <v>43279</v>
      </c>
      <c r="O1448" s="7">
        <v>213.32</v>
      </c>
      <c r="P1448" s="2">
        <v>43290</v>
      </c>
      <c r="Q1448" s="7">
        <f>$E1448-$O1448</f>
        <v>0</v>
      </c>
      <c r="R1448" s="7" t="str">
        <f ca="1">IF(TODAY() - DHMXX[INV DUE DATE]&lt;30, "Less than 30 days",IF(TODAY()-DHMXX[INV DUE DATE]&lt;60,"30-60 days","More than 60 days"))</f>
        <v>Less than 30 days</v>
      </c>
      <c r="S1448" t="s">
        <v>1550</v>
      </c>
      <c r="T1448" s="43" t="s">
        <v>2229</v>
      </c>
      <c r="U1448" t="s">
        <v>3699</v>
      </c>
    </row>
    <row r="1449" spans="1:21" x14ac:dyDescent="0.3">
      <c r="A1449" t="s">
        <v>4162</v>
      </c>
      <c r="B1449" t="s">
        <v>30</v>
      </c>
      <c r="C1449" t="s">
        <v>52</v>
      </c>
      <c r="D1449" s="15">
        <v>16</v>
      </c>
      <c r="E1449" s="7">
        <v>853.28</v>
      </c>
      <c r="H1449">
        <v>55322</v>
      </c>
      <c r="I1449" t="s">
        <v>862</v>
      </c>
      <c r="J1449" t="s">
        <v>3158</v>
      </c>
      <c r="K1449" t="s">
        <v>3</v>
      </c>
      <c r="L1449" s="2">
        <v>43252</v>
      </c>
      <c r="M1449" s="2">
        <f>DHMXX[[#This Row],[INV DOC DATE]]+30</f>
        <v>43282</v>
      </c>
      <c r="N1449" s="2">
        <v>43279</v>
      </c>
      <c r="O1449" s="7">
        <v>853.28</v>
      </c>
      <c r="P1449" s="2">
        <v>43290</v>
      </c>
      <c r="Q1449" s="7">
        <f>$E1449-$O1449</f>
        <v>0</v>
      </c>
      <c r="R1449" s="7" t="str">
        <f ca="1">IF(TODAY() - DHMXX[INV DUE DATE]&lt;30, "Less than 30 days",IF(TODAY()-DHMXX[INV DUE DATE]&lt;60,"30-60 days","More than 60 days"))</f>
        <v>Less than 30 days</v>
      </c>
      <c r="S1449" t="s">
        <v>1550</v>
      </c>
      <c r="T1449" s="43" t="s">
        <v>2229</v>
      </c>
      <c r="U1449" t="s">
        <v>3699</v>
      </c>
    </row>
    <row r="1450" spans="1:21" x14ac:dyDescent="0.3">
      <c r="A1450" t="s">
        <v>4162</v>
      </c>
      <c r="B1450" t="s">
        <v>30</v>
      </c>
      <c r="C1450" t="s">
        <v>53</v>
      </c>
      <c r="D1450" s="15">
        <v>16</v>
      </c>
      <c r="E1450" s="7">
        <v>639.96</v>
      </c>
      <c r="H1450">
        <v>55327</v>
      </c>
      <c r="I1450" t="s">
        <v>862</v>
      </c>
      <c r="J1450" t="s">
        <v>3158</v>
      </c>
      <c r="K1450" t="s">
        <v>3</v>
      </c>
      <c r="L1450" s="2">
        <v>43252</v>
      </c>
      <c r="M1450" s="2">
        <f>DHMXX[[#This Row],[INV DOC DATE]]+30</f>
        <v>43282</v>
      </c>
      <c r="N1450" s="2">
        <v>43279</v>
      </c>
      <c r="O1450" s="7">
        <v>639.96</v>
      </c>
      <c r="P1450" s="2">
        <v>43290</v>
      </c>
      <c r="Q1450" s="7">
        <f>$E1450-$O1450</f>
        <v>0</v>
      </c>
      <c r="R1450" s="7" t="str">
        <f ca="1">IF(TODAY() - DHMXX[INV DUE DATE]&lt;30, "Less than 30 days",IF(TODAY()-DHMXX[INV DUE DATE]&lt;60,"30-60 days","More than 60 days"))</f>
        <v>Less than 30 days</v>
      </c>
      <c r="S1450" t="s">
        <v>1550</v>
      </c>
      <c r="T1450" s="43" t="s">
        <v>2229</v>
      </c>
      <c r="U1450" t="s">
        <v>3699</v>
      </c>
    </row>
    <row r="1451" spans="1:21" x14ac:dyDescent="0.3">
      <c r="A1451" t="s">
        <v>4162</v>
      </c>
      <c r="B1451" t="s">
        <v>30</v>
      </c>
      <c r="C1451" t="s">
        <v>54</v>
      </c>
      <c r="D1451" s="15">
        <v>16</v>
      </c>
      <c r="E1451" s="7">
        <v>426.64</v>
      </c>
      <c r="H1451">
        <v>56656</v>
      </c>
      <c r="I1451" t="s">
        <v>861</v>
      </c>
      <c r="J1451" t="s">
        <v>3158</v>
      </c>
      <c r="K1451" t="s">
        <v>3</v>
      </c>
      <c r="L1451" s="2">
        <v>43252</v>
      </c>
      <c r="M1451" s="2">
        <f>DHMXX[[#This Row],[INV DOC DATE]]+30</f>
        <v>43282</v>
      </c>
      <c r="N1451" s="2">
        <v>43279</v>
      </c>
      <c r="O1451" s="7">
        <v>426.64</v>
      </c>
      <c r="P1451" s="2">
        <v>43290</v>
      </c>
      <c r="Q1451" s="7">
        <f>$E1451-$O1451</f>
        <v>0</v>
      </c>
      <c r="R1451" s="7" t="str">
        <f ca="1">IF(TODAY() - DHMXX[INV DUE DATE]&lt;30, "Less than 30 days",IF(TODAY()-DHMXX[INV DUE DATE]&lt;60,"30-60 days","More than 60 days"))</f>
        <v>Less than 30 days</v>
      </c>
      <c r="S1451" t="s">
        <v>1550</v>
      </c>
      <c r="T1451" s="43" t="s">
        <v>2229</v>
      </c>
      <c r="U1451" t="s">
        <v>3699</v>
      </c>
    </row>
    <row r="1452" spans="1:21" x14ac:dyDescent="0.3">
      <c r="A1452" t="s">
        <v>4162</v>
      </c>
      <c r="B1452" t="s">
        <v>30</v>
      </c>
      <c r="C1452" t="s">
        <v>55</v>
      </c>
      <c r="D1452" s="15">
        <v>16</v>
      </c>
      <c r="E1452" s="7">
        <v>213.32</v>
      </c>
      <c r="H1452">
        <v>56660</v>
      </c>
      <c r="I1452" t="s">
        <v>861</v>
      </c>
      <c r="J1452" t="s">
        <v>3158</v>
      </c>
      <c r="K1452" t="s">
        <v>3</v>
      </c>
      <c r="L1452" s="2">
        <v>43252</v>
      </c>
      <c r="M1452" s="2">
        <f>DHMXX[[#This Row],[INV DOC DATE]]+30</f>
        <v>43282</v>
      </c>
      <c r="N1452" s="2">
        <v>43279</v>
      </c>
      <c r="O1452" s="7">
        <v>213.32</v>
      </c>
      <c r="P1452" s="2">
        <v>43290</v>
      </c>
      <c r="Q1452" s="7">
        <f>$E1452-$O1452</f>
        <v>0</v>
      </c>
      <c r="R1452" s="7" t="str">
        <f ca="1">IF(TODAY() - DHMXX[INV DUE DATE]&lt;30, "Less than 30 days",IF(TODAY()-DHMXX[INV DUE DATE]&lt;60,"30-60 days","More than 60 days"))</f>
        <v>Less than 30 days</v>
      </c>
      <c r="S1452" t="s">
        <v>1550</v>
      </c>
      <c r="T1452" s="43" t="s">
        <v>2229</v>
      </c>
      <c r="U1452" t="s">
        <v>3699</v>
      </c>
    </row>
    <row r="1453" spans="1:21" x14ac:dyDescent="0.3">
      <c r="A1453" t="s">
        <v>4162</v>
      </c>
      <c r="B1453" t="s">
        <v>30</v>
      </c>
      <c r="C1453" t="s">
        <v>56</v>
      </c>
      <c r="D1453" s="15">
        <v>16</v>
      </c>
      <c r="E1453" s="7">
        <v>213.32</v>
      </c>
      <c r="H1453">
        <v>82223</v>
      </c>
      <c r="I1453" t="s">
        <v>858</v>
      </c>
      <c r="J1453" t="s">
        <v>3158</v>
      </c>
      <c r="K1453" t="s">
        <v>3</v>
      </c>
      <c r="L1453" s="2">
        <v>43252</v>
      </c>
      <c r="M1453" s="2">
        <f>DHMXX[[#This Row],[INV DOC DATE]]+30</f>
        <v>43282</v>
      </c>
      <c r="N1453" s="2">
        <v>43279</v>
      </c>
      <c r="O1453" s="7">
        <v>213.32</v>
      </c>
      <c r="P1453" s="2">
        <v>43290</v>
      </c>
      <c r="Q1453" s="7">
        <f>$E1453-$O1453</f>
        <v>0</v>
      </c>
      <c r="R1453" s="7" t="str">
        <f ca="1">IF(TODAY() - DHMXX[INV DUE DATE]&lt;30, "Less than 30 days",IF(TODAY()-DHMXX[INV DUE DATE]&lt;60,"30-60 days","More than 60 days"))</f>
        <v>Less than 30 days</v>
      </c>
      <c r="S1453" t="s">
        <v>1550</v>
      </c>
      <c r="T1453" s="43" t="s">
        <v>2229</v>
      </c>
      <c r="U1453" t="s">
        <v>3699</v>
      </c>
    </row>
    <row r="1454" spans="1:21" x14ac:dyDescent="0.3">
      <c r="A1454" t="s">
        <v>4162</v>
      </c>
      <c r="B1454" t="s">
        <v>30</v>
      </c>
      <c r="C1454" t="s">
        <v>57</v>
      </c>
      <c r="D1454" s="15">
        <v>16</v>
      </c>
      <c r="E1454" s="7">
        <v>426.64</v>
      </c>
      <c r="H1454">
        <v>82227</v>
      </c>
      <c r="I1454" t="s">
        <v>858</v>
      </c>
      <c r="J1454" t="s">
        <v>3158</v>
      </c>
      <c r="K1454" t="s">
        <v>3</v>
      </c>
      <c r="L1454" s="2">
        <v>43252</v>
      </c>
      <c r="M1454" s="2">
        <f>DHMXX[[#This Row],[INV DOC DATE]]+30</f>
        <v>43282</v>
      </c>
      <c r="N1454" s="2">
        <v>43279</v>
      </c>
      <c r="O1454" s="7">
        <v>426.64</v>
      </c>
      <c r="P1454" s="2">
        <v>43290</v>
      </c>
      <c r="Q1454" s="7">
        <f>$E1454-$O1454</f>
        <v>0</v>
      </c>
      <c r="R1454" s="7" t="str">
        <f ca="1">IF(TODAY() - DHMXX[INV DUE DATE]&lt;30, "Less than 30 days",IF(TODAY()-DHMXX[INV DUE DATE]&lt;60,"30-60 days","More than 60 days"))</f>
        <v>Less than 30 days</v>
      </c>
      <c r="S1454" t="s">
        <v>1550</v>
      </c>
      <c r="T1454" s="43" t="s">
        <v>2229</v>
      </c>
      <c r="U1454" t="s">
        <v>3699</v>
      </c>
    </row>
    <row r="1455" spans="1:21" x14ac:dyDescent="0.3">
      <c r="A1455" t="s">
        <v>4162</v>
      </c>
      <c r="B1455" t="s">
        <v>30</v>
      </c>
      <c r="C1455" t="s">
        <v>58</v>
      </c>
      <c r="D1455" s="15">
        <v>2000</v>
      </c>
      <c r="E1455" s="7">
        <v>639.96</v>
      </c>
      <c r="H1455">
        <v>36784</v>
      </c>
      <c r="I1455" t="s">
        <v>865</v>
      </c>
      <c r="J1455" t="s">
        <v>3158</v>
      </c>
      <c r="K1455" t="s">
        <v>3</v>
      </c>
      <c r="L1455" s="2">
        <v>43252</v>
      </c>
      <c r="M1455" s="2">
        <f>DHMXX[[#This Row],[INV DOC DATE]]+30</f>
        <v>43282</v>
      </c>
      <c r="N1455" s="2">
        <v>43279</v>
      </c>
      <c r="O1455" s="7">
        <v>639.96</v>
      </c>
      <c r="P1455" s="2">
        <v>43290</v>
      </c>
      <c r="Q1455" s="7">
        <f>$E1455-$O1455</f>
        <v>0</v>
      </c>
      <c r="R1455" s="7" t="str">
        <f ca="1">IF(TODAY() - DHMXX[INV DUE DATE]&lt;30, "Less than 30 days",IF(TODAY()-DHMXX[INV DUE DATE]&lt;60,"30-60 days","More than 60 days"))</f>
        <v>Less than 30 days</v>
      </c>
      <c r="S1455" t="s">
        <v>1550</v>
      </c>
      <c r="T1455" s="43" t="s">
        <v>2229</v>
      </c>
      <c r="U1455" t="s">
        <v>3699</v>
      </c>
    </row>
    <row r="1456" spans="1:21" x14ac:dyDescent="0.3">
      <c r="A1456" t="s">
        <v>4162</v>
      </c>
      <c r="B1456" t="s">
        <v>30</v>
      </c>
      <c r="C1456" t="s">
        <v>59</v>
      </c>
      <c r="D1456" s="15">
        <v>2000</v>
      </c>
      <c r="E1456" s="7">
        <v>426.64</v>
      </c>
      <c r="H1456">
        <v>36989</v>
      </c>
      <c r="I1456" t="s">
        <v>361</v>
      </c>
      <c r="J1456" t="s">
        <v>3158</v>
      </c>
      <c r="K1456" t="s">
        <v>3</v>
      </c>
      <c r="L1456" s="2">
        <v>43252</v>
      </c>
      <c r="M1456" s="2">
        <f>DHMXX[[#This Row],[INV DOC DATE]]+30</f>
        <v>43282</v>
      </c>
      <c r="N1456" s="2">
        <v>43279</v>
      </c>
      <c r="O1456" s="7">
        <v>426.64</v>
      </c>
      <c r="P1456" s="2">
        <v>43290</v>
      </c>
      <c r="Q1456" s="7">
        <f>$E1456-$O1456</f>
        <v>0</v>
      </c>
      <c r="R1456" s="7" t="str">
        <f ca="1">IF(TODAY() - DHMXX[INV DUE DATE]&lt;30, "Less than 30 days",IF(TODAY()-DHMXX[INV DUE DATE]&lt;60,"30-60 days","More than 60 days"))</f>
        <v>Less than 30 days</v>
      </c>
      <c r="S1456" t="s">
        <v>1550</v>
      </c>
      <c r="T1456" s="43" t="s">
        <v>2229</v>
      </c>
      <c r="U1456" t="s">
        <v>3699</v>
      </c>
    </row>
    <row r="1457" spans="1:21" x14ac:dyDescent="0.3">
      <c r="A1457" t="s">
        <v>4162</v>
      </c>
      <c r="B1457" t="s">
        <v>30</v>
      </c>
      <c r="C1457" t="s">
        <v>60</v>
      </c>
      <c r="D1457" s="15">
        <v>2000</v>
      </c>
      <c r="E1457" s="7">
        <v>2133.21</v>
      </c>
      <c r="H1457">
        <v>36992</v>
      </c>
      <c r="I1457" t="s">
        <v>361</v>
      </c>
      <c r="J1457" t="s">
        <v>3158</v>
      </c>
      <c r="K1457" t="s">
        <v>3</v>
      </c>
      <c r="L1457" s="2">
        <v>43252</v>
      </c>
      <c r="M1457" s="2">
        <f>DHMXX[[#This Row],[INV DOC DATE]]+30</f>
        <v>43282</v>
      </c>
      <c r="N1457" s="2">
        <v>43279</v>
      </c>
      <c r="O1457" s="7">
        <v>2133.21</v>
      </c>
      <c r="P1457" s="2">
        <v>43290</v>
      </c>
      <c r="Q1457" s="7">
        <f>$E1457-$O1457</f>
        <v>0</v>
      </c>
      <c r="R1457" s="7" t="str">
        <f ca="1">IF(TODAY() - DHMXX[INV DUE DATE]&lt;30, "Less than 30 days",IF(TODAY()-DHMXX[INV DUE DATE]&lt;60,"30-60 days","More than 60 days"))</f>
        <v>Less than 30 days</v>
      </c>
      <c r="S1457" t="s">
        <v>1550</v>
      </c>
      <c r="T1457" s="43" t="s">
        <v>2229</v>
      </c>
      <c r="U1457" t="s">
        <v>3699</v>
      </c>
    </row>
    <row r="1458" spans="1:21" x14ac:dyDescent="0.3">
      <c r="A1458" t="s">
        <v>4162</v>
      </c>
      <c r="B1458" t="s">
        <v>30</v>
      </c>
      <c r="C1458" t="s">
        <v>61</v>
      </c>
      <c r="D1458" s="15">
        <v>2000</v>
      </c>
      <c r="E1458" s="7">
        <v>2986.49</v>
      </c>
      <c r="H1458">
        <v>36997</v>
      </c>
      <c r="I1458" t="s">
        <v>362</v>
      </c>
      <c r="J1458" t="s">
        <v>3158</v>
      </c>
      <c r="K1458" t="s">
        <v>3</v>
      </c>
      <c r="L1458" s="2">
        <v>43252</v>
      </c>
      <c r="M1458" s="2">
        <f>DHMXX[[#This Row],[INV DOC DATE]]+30</f>
        <v>43282</v>
      </c>
      <c r="N1458" s="2">
        <v>43279</v>
      </c>
      <c r="O1458" s="7">
        <v>2986.49</v>
      </c>
      <c r="P1458" s="2">
        <v>43290</v>
      </c>
      <c r="Q1458" s="7">
        <f>$E1458-$O1458</f>
        <v>0</v>
      </c>
      <c r="R1458" s="7" t="str">
        <f ca="1">IF(TODAY() - DHMXX[INV DUE DATE]&lt;30, "Less than 30 days",IF(TODAY()-DHMXX[INV DUE DATE]&lt;60,"30-60 days","More than 60 days"))</f>
        <v>Less than 30 days</v>
      </c>
      <c r="S1458" t="s">
        <v>1550</v>
      </c>
      <c r="T1458" s="43" t="s">
        <v>2229</v>
      </c>
      <c r="U1458" t="s">
        <v>3699</v>
      </c>
    </row>
    <row r="1459" spans="1:21" x14ac:dyDescent="0.3">
      <c r="A1459" t="s">
        <v>4162</v>
      </c>
      <c r="B1459" t="s">
        <v>30</v>
      </c>
      <c r="C1459" t="s">
        <v>62</v>
      </c>
      <c r="D1459" s="15">
        <v>2000</v>
      </c>
      <c r="E1459" s="7">
        <v>2133.21</v>
      </c>
      <c r="H1459">
        <v>37463</v>
      </c>
      <c r="I1459" t="s">
        <v>866</v>
      </c>
      <c r="J1459" t="s">
        <v>3158</v>
      </c>
      <c r="K1459" t="s">
        <v>3</v>
      </c>
      <c r="L1459" s="2">
        <v>43252</v>
      </c>
      <c r="M1459" s="2">
        <f>DHMXX[[#This Row],[INV DOC DATE]]+30</f>
        <v>43282</v>
      </c>
      <c r="N1459" s="2">
        <v>43279</v>
      </c>
      <c r="O1459" s="7">
        <v>2133.21</v>
      </c>
      <c r="P1459" s="2">
        <v>43290</v>
      </c>
      <c r="Q1459" s="7">
        <f>$E1459-$O1459</f>
        <v>0</v>
      </c>
      <c r="R1459" s="7" t="str">
        <f ca="1">IF(TODAY() - DHMXX[INV DUE DATE]&lt;30, "Less than 30 days",IF(TODAY()-DHMXX[INV DUE DATE]&lt;60,"30-60 days","More than 60 days"))</f>
        <v>Less than 30 days</v>
      </c>
      <c r="S1459" t="s">
        <v>1550</v>
      </c>
      <c r="T1459" s="43" t="s">
        <v>2229</v>
      </c>
      <c r="U1459" t="s">
        <v>3699</v>
      </c>
    </row>
    <row r="1460" spans="1:21" x14ac:dyDescent="0.3">
      <c r="A1460" t="s">
        <v>4162</v>
      </c>
      <c r="B1460" t="s">
        <v>30</v>
      </c>
      <c r="C1460" t="s">
        <v>63</v>
      </c>
      <c r="D1460" s="15">
        <v>2000</v>
      </c>
      <c r="E1460" s="7">
        <v>2133.21</v>
      </c>
      <c r="H1460">
        <v>37912</v>
      </c>
      <c r="I1460" t="s">
        <v>362</v>
      </c>
      <c r="J1460" t="s">
        <v>3158</v>
      </c>
      <c r="K1460" t="s">
        <v>3</v>
      </c>
      <c r="L1460" s="2">
        <v>43252</v>
      </c>
      <c r="M1460" s="2">
        <f>DHMXX[[#This Row],[INV DOC DATE]]+30</f>
        <v>43282</v>
      </c>
      <c r="N1460" s="2">
        <v>43279</v>
      </c>
      <c r="O1460" s="7">
        <v>2133.21</v>
      </c>
      <c r="P1460" s="2">
        <v>43290</v>
      </c>
      <c r="Q1460" s="7">
        <f>$E1460-$O1460</f>
        <v>0</v>
      </c>
      <c r="R1460" s="7" t="str">
        <f ca="1">IF(TODAY() - DHMXX[INV DUE DATE]&lt;30, "Less than 30 days",IF(TODAY()-DHMXX[INV DUE DATE]&lt;60,"30-60 days","More than 60 days"))</f>
        <v>Less than 30 days</v>
      </c>
      <c r="S1460" t="s">
        <v>1550</v>
      </c>
      <c r="T1460" s="43" t="s">
        <v>2229</v>
      </c>
      <c r="U1460" t="s">
        <v>3699</v>
      </c>
    </row>
    <row r="1461" spans="1:21" x14ac:dyDescent="0.3">
      <c r="A1461" t="s">
        <v>4162</v>
      </c>
      <c r="B1461" t="s">
        <v>30</v>
      </c>
      <c r="C1461" t="s">
        <v>64</v>
      </c>
      <c r="D1461" s="15">
        <v>2000</v>
      </c>
      <c r="E1461" s="7">
        <v>1066.5999999999999</v>
      </c>
      <c r="H1461">
        <v>82957</v>
      </c>
      <c r="I1461" t="s">
        <v>867</v>
      </c>
      <c r="J1461" t="s">
        <v>3158</v>
      </c>
      <c r="K1461" t="s">
        <v>3</v>
      </c>
      <c r="L1461" s="2">
        <v>43252</v>
      </c>
      <c r="M1461" s="2">
        <f>DHMXX[[#This Row],[INV DOC DATE]]+30</f>
        <v>43282</v>
      </c>
      <c r="N1461" s="2">
        <v>43279</v>
      </c>
      <c r="O1461" s="7">
        <v>1066.5999999999999</v>
      </c>
      <c r="P1461" s="2">
        <v>43290</v>
      </c>
      <c r="Q1461" s="7">
        <f>$E1461-$O1461</f>
        <v>0</v>
      </c>
      <c r="R1461" s="7" t="str">
        <f ca="1">IF(TODAY() - DHMXX[INV DUE DATE]&lt;30, "Less than 30 days",IF(TODAY()-DHMXX[INV DUE DATE]&lt;60,"30-60 days","More than 60 days"))</f>
        <v>Less than 30 days</v>
      </c>
      <c r="S1461" t="s">
        <v>1550</v>
      </c>
      <c r="T1461" s="43" t="s">
        <v>2229</v>
      </c>
      <c r="U1461" t="s">
        <v>3699</v>
      </c>
    </row>
    <row r="1462" spans="1:21" x14ac:dyDescent="0.3">
      <c r="A1462" t="s">
        <v>4162</v>
      </c>
      <c r="B1462" t="s">
        <v>30</v>
      </c>
      <c r="C1462" t="s">
        <v>65</v>
      </c>
      <c r="D1462" s="15">
        <v>2000</v>
      </c>
      <c r="E1462" s="7">
        <v>213.32</v>
      </c>
      <c r="H1462">
        <v>91299</v>
      </c>
      <c r="I1462" t="s">
        <v>867</v>
      </c>
      <c r="J1462" t="s">
        <v>3158</v>
      </c>
      <c r="K1462" t="s">
        <v>3</v>
      </c>
      <c r="L1462" s="2">
        <v>43252</v>
      </c>
      <c r="M1462" s="2">
        <f>DHMXX[[#This Row],[INV DOC DATE]]+30</f>
        <v>43282</v>
      </c>
      <c r="N1462" s="2">
        <v>43279</v>
      </c>
      <c r="O1462" s="7">
        <v>213.32</v>
      </c>
      <c r="P1462" s="2">
        <v>43290</v>
      </c>
      <c r="Q1462" s="7">
        <f>$E1462-$O1462</f>
        <v>0</v>
      </c>
      <c r="R1462" s="7" t="str">
        <f ca="1">IF(TODAY() - DHMXX[INV DUE DATE]&lt;30, "Less than 30 days",IF(TODAY()-DHMXX[INV DUE DATE]&lt;60,"30-60 days","More than 60 days"))</f>
        <v>Less than 30 days</v>
      </c>
      <c r="S1462" t="s">
        <v>1550</v>
      </c>
      <c r="T1462" s="43" t="s">
        <v>2229</v>
      </c>
      <c r="U1462" t="s">
        <v>3699</v>
      </c>
    </row>
    <row r="1463" spans="1:21" x14ac:dyDescent="0.3">
      <c r="A1463" t="s">
        <v>4162</v>
      </c>
      <c r="B1463" t="s">
        <v>30</v>
      </c>
      <c r="C1463" t="s">
        <v>66</v>
      </c>
      <c r="D1463" s="15">
        <v>2000</v>
      </c>
      <c r="E1463" s="7">
        <v>639.96</v>
      </c>
      <c r="H1463">
        <v>172035</v>
      </c>
      <c r="I1463" t="s">
        <v>863</v>
      </c>
      <c r="J1463" t="s">
        <v>3158</v>
      </c>
      <c r="K1463" t="s">
        <v>3</v>
      </c>
      <c r="L1463" s="2">
        <v>43252</v>
      </c>
      <c r="M1463" s="2">
        <f>DHMXX[[#This Row],[INV DOC DATE]]+30</f>
        <v>43282</v>
      </c>
      <c r="N1463" s="2">
        <v>43279</v>
      </c>
      <c r="O1463" s="7">
        <v>639.96</v>
      </c>
      <c r="P1463" s="2">
        <v>43290</v>
      </c>
      <c r="Q1463" s="7">
        <f>$E1463-$O1463</f>
        <v>0</v>
      </c>
      <c r="R1463" s="7" t="str">
        <f ca="1">IF(TODAY() - DHMXX[INV DUE DATE]&lt;30, "Less than 30 days",IF(TODAY()-DHMXX[INV DUE DATE]&lt;60,"30-60 days","More than 60 days"))</f>
        <v>Less than 30 days</v>
      </c>
      <c r="S1463" t="s">
        <v>1550</v>
      </c>
      <c r="T1463" s="43" t="s">
        <v>2229</v>
      </c>
      <c r="U1463" t="s">
        <v>3699</v>
      </c>
    </row>
    <row r="1464" spans="1:21" x14ac:dyDescent="0.3">
      <c r="A1464" t="s">
        <v>4162</v>
      </c>
      <c r="B1464" t="s">
        <v>30</v>
      </c>
      <c r="C1464" t="s">
        <v>67</v>
      </c>
      <c r="D1464" s="15">
        <v>2000</v>
      </c>
      <c r="E1464" s="7">
        <v>1919.89</v>
      </c>
      <c r="H1464">
        <v>182140</v>
      </c>
      <c r="I1464" t="s">
        <v>864</v>
      </c>
      <c r="J1464" t="s">
        <v>3158</v>
      </c>
      <c r="K1464" t="s">
        <v>3</v>
      </c>
      <c r="L1464" s="2">
        <v>43252</v>
      </c>
      <c r="M1464" s="2">
        <f>DHMXX[[#This Row],[INV DOC DATE]]+30</f>
        <v>43282</v>
      </c>
      <c r="N1464" s="2">
        <v>43279</v>
      </c>
      <c r="O1464" s="7">
        <v>1919.89</v>
      </c>
      <c r="P1464" s="2">
        <v>43290</v>
      </c>
      <c r="Q1464" s="7">
        <f>$E1464-$O1464</f>
        <v>0</v>
      </c>
      <c r="R1464" s="7" t="str">
        <f ca="1">IF(TODAY() - DHMXX[INV DUE DATE]&lt;30, "Less than 30 days",IF(TODAY()-DHMXX[INV DUE DATE]&lt;60,"30-60 days","More than 60 days"))</f>
        <v>Less than 30 days</v>
      </c>
      <c r="S1464" t="s">
        <v>1550</v>
      </c>
      <c r="T1464" s="43" t="s">
        <v>2229</v>
      </c>
      <c r="U1464" t="s">
        <v>3699</v>
      </c>
    </row>
    <row r="1465" spans="1:21" x14ac:dyDescent="0.3">
      <c r="A1465" t="s">
        <v>4162</v>
      </c>
      <c r="B1465" t="s">
        <v>30</v>
      </c>
      <c r="C1465" t="s">
        <v>68</v>
      </c>
      <c r="D1465" s="15">
        <v>1</v>
      </c>
      <c r="E1465" s="7">
        <v>426.64</v>
      </c>
      <c r="H1465">
        <v>172041</v>
      </c>
      <c r="I1465" t="s">
        <v>4138</v>
      </c>
      <c r="J1465" t="s">
        <v>3158</v>
      </c>
      <c r="K1465" t="s">
        <v>3</v>
      </c>
      <c r="L1465" s="2">
        <v>43252</v>
      </c>
      <c r="M1465" s="2">
        <f>DHMXX[[#This Row],[INV DOC DATE]]+30</f>
        <v>43282</v>
      </c>
      <c r="N1465" s="2">
        <v>43279</v>
      </c>
      <c r="O1465" s="7">
        <v>426.64</v>
      </c>
      <c r="P1465" s="2">
        <v>43290</v>
      </c>
      <c r="Q1465" s="7">
        <f>$E1465-$O1465</f>
        <v>0</v>
      </c>
      <c r="R1465" s="7" t="str">
        <f ca="1">IF(TODAY() - DHMXX[INV DUE DATE]&lt;30, "Less than 30 days",IF(TODAY()-DHMXX[INV DUE DATE]&lt;60,"30-60 days","More than 60 days"))</f>
        <v>Less than 30 days</v>
      </c>
      <c r="S1465" t="s">
        <v>1550</v>
      </c>
      <c r="T1465" s="43" t="s">
        <v>2229</v>
      </c>
      <c r="U1465" t="s">
        <v>3699</v>
      </c>
    </row>
    <row r="1466" spans="1:21" x14ac:dyDescent="0.3">
      <c r="A1466" t="s">
        <v>4162</v>
      </c>
      <c r="B1466" t="s">
        <v>30</v>
      </c>
      <c r="C1466" t="s">
        <v>69</v>
      </c>
      <c r="D1466" s="15">
        <v>1</v>
      </c>
      <c r="E1466" s="7">
        <v>12159.35</v>
      </c>
      <c r="H1466">
        <v>172259</v>
      </c>
      <c r="I1466" t="s">
        <v>855</v>
      </c>
      <c r="J1466" t="s">
        <v>3158</v>
      </c>
      <c r="K1466" t="s">
        <v>3</v>
      </c>
      <c r="L1466" s="2">
        <v>43252</v>
      </c>
      <c r="M1466" s="2">
        <f>DHMXX[[#This Row],[INV DOC DATE]]+30</f>
        <v>43282</v>
      </c>
      <c r="N1466" s="2">
        <v>43279</v>
      </c>
      <c r="O1466" s="7">
        <v>12159.35</v>
      </c>
      <c r="P1466" s="2">
        <v>43290</v>
      </c>
      <c r="Q1466" s="7">
        <f>$E1466-$O1466</f>
        <v>0</v>
      </c>
      <c r="R1466" s="7" t="str">
        <f ca="1">IF(TODAY() - DHMXX[INV DUE DATE]&lt;30, "Less than 30 days",IF(TODAY()-DHMXX[INV DUE DATE]&lt;60,"30-60 days","More than 60 days"))</f>
        <v>Less than 30 days</v>
      </c>
      <c r="S1466" t="s">
        <v>1550</v>
      </c>
      <c r="T1466" s="43" t="s">
        <v>2229</v>
      </c>
      <c r="U1466" t="s">
        <v>3699</v>
      </c>
    </row>
    <row r="1467" spans="1:21" x14ac:dyDescent="0.3">
      <c r="A1467" t="s">
        <v>4139</v>
      </c>
      <c r="B1467" t="s">
        <v>30</v>
      </c>
      <c r="C1467" t="s">
        <v>1359</v>
      </c>
      <c r="D1467" s="15">
        <v>1</v>
      </c>
      <c r="E1467" s="7">
        <v>172.5</v>
      </c>
      <c r="H1467">
        <v>580</v>
      </c>
      <c r="I1467" t="s">
        <v>857</v>
      </c>
      <c r="J1467" t="s">
        <v>2973</v>
      </c>
      <c r="K1467" t="s">
        <v>3</v>
      </c>
      <c r="L1467" s="2">
        <v>43252</v>
      </c>
      <c r="M1467" s="2">
        <f>DHMXX[[#This Row],[INV DOC DATE]]+30</f>
        <v>43282</v>
      </c>
      <c r="N1467" s="2">
        <v>43279</v>
      </c>
      <c r="O1467" s="7">
        <v>172.5</v>
      </c>
      <c r="P1467" s="2">
        <v>43290</v>
      </c>
      <c r="Q1467" s="7">
        <f>$E1467-$O1467</f>
        <v>0</v>
      </c>
      <c r="R1467" s="7" t="str">
        <f ca="1">IF(TODAY() - DHMXX[INV DUE DATE]&lt;30, "Less than 30 days",IF(TODAY()-DHMXX[INV DUE DATE]&lt;60,"30-60 days","More than 60 days"))</f>
        <v>Less than 30 days</v>
      </c>
      <c r="S1467" t="s">
        <v>1550</v>
      </c>
      <c r="T1467" s="43" t="s">
        <v>2229</v>
      </c>
      <c r="U1467" t="s">
        <v>3699</v>
      </c>
    </row>
    <row r="1468" spans="1:21" x14ac:dyDescent="0.3">
      <c r="A1468" t="s">
        <v>4139</v>
      </c>
      <c r="B1468" t="s">
        <v>30</v>
      </c>
      <c r="C1468" t="s">
        <v>1360</v>
      </c>
      <c r="D1468" s="15">
        <v>1</v>
      </c>
      <c r="E1468" s="7">
        <v>172.5</v>
      </c>
      <c r="H1468">
        <v>580</v>
      </c>
      <c r="I1468" t="s">
        <v>857</v>
      </c>
      <c r="J1468" t="s">
        <v>2974</v>
      </c>
      <c r="K1468" t="s">
        <v>3</v>
      </c>
      <c r="L1468" s="2">
        <v>43252</v>
      </c>
      <c r="M1468" s="2">
        <f>DHMXX[[#This Row],[INV DOC DATE]]+30</f>
        <v>43282</v>
      </c>
      <c r="N1468" s="2">
        <v>43279</v>
      </c>
      <c r="O1468" s="7">
        <v>172.5</v>
      </c>
      <c r="P1468" s="2">
        <v>43290</v>
      </c>
      <c r="Q1468" s="7">
        <f>$E1468-$O1468</f>
        <v>0</v>
      </c>
      <c r="R1468" s="7" t="str">
        <f ca="1">IF(TODAY() - DHMXX[INV DUE DATE]&lt;30, "Less than 30 days",IF(TODAY()-DHMXX[INV DUE DATE]&lt;60,"30-60 days","More than 60 days"))</f>
        <v>Less than 30 days</v>
      </c>
      <c r="S1468" t="s">
        <v>1550</v>
      </c>
      <c r="T1468" s="43" t="s">
        <v>2229</v>
      </c>
      <c r="U1468" t="s">
        <v>3699</v>
      </c>
    </row>
    <row r="1469" spans="1:21" x14ac:dyDescent="0.3">
      <c r="A1469" t="s">
        <v>4139</v>
      </c>
      <c r="B1469" t="s">
        <v>30</v>
      </c>
      <c r="C1469" t="s">
        <v>1361</v>
      </c>
      <c r="D1469" s="15">
        <v>1</v>
      </c>
      <c r="E1469" s="7">
        <v>172.5</v>
      </c>
      <c r="H1469">
        <v>3824</v>
      </c>
      <c r="I1469" t="s">
        <v>839</v>
      </c>
      <c r="J1469" t="s">
        <v>2980</v>
      </c>
      <c r="K1469" t="s">
        <v>3</v>
      </c>
      <c r="L1469" s="2">
        <v>43252</v>
      </c>
      <c r="M1469" s="2">
        <f>DHMXX[[#This Row],[INV DOC DATE]]+30</f>
        <v>43282</v>
      </c>
      <c r="N1469" s="2">
        <v>43279</v>
      </c>
      <c r="O1469" s="7">
        <v>172.5</v>
      </c>
      <c r="P1469" s="2">
        <v>43290</v>
      </c>
      <c r="Q1469" s="7">
        <f>$E1469-$O1469</f>
        <v>0</v>
      </c>
      <c r="R1469" s="7" t="str">
        <f ca="1">IF(TODAY() - DHMXX[INV DUE DATE]&lt;30, "Less than 30 days",IF(TODAY()-DHMXX[INV DUE DATE]&lt;60,"30-60 days","More than 60 days"))</f>
        <v>Less than 30 days</v>
      </c>
      <c r="S1469" t="s">
        <v>1550</v>
      </c>
      <c r="T1469" s="43" t="s">
        <v>2229</v>
      </c>
      <c r="U1469" t="s">
        <v>3699</v>
      </c>
    </row>
    <row r="1470" spans="1:21" x14ac:dyDescent="0.3">
      <c r="A1470" t="s">
        <v>4139</v>
      </c>
      <c r="B1470" t="s">
        <v>30</v>
      </c>
      <c r="C1470" t="s">
        <v>1362</v>
      </c>
      <c r="D1470" s="15">
        <v>1</v>
      </c>
      <c r="E1470" s="7">
        <v>172.5</v>
      </c>
      <c r="H1470">
        <v>3824</v>
      </c>
      <c r="I1470" t="s">
        <v>839</v>
      </c>
      <c r="J1470" t="s">
        <v>2981</v>
      </c>
      <c r="K1470" t="s">
        <v>3</v>
      </c>
      <c r="L1470" s="2">
        <v>43252</v>
      </c>
      <c r="M1470" s="2">
        <f>DHMXX[[#This Row],[INV DOC DATE]]+30</f>
        <v>43282</v>
      </c>
      <c r="N1470" s="2">
        <v>43279</v>
      </c>
      <c r="O1470" s="7">
        <v>172.5</v>
      </c>
      <c r="P1470" s="2">
        <v>43290</v>
      </c>
      <c r="Q1470" s="7">
        <f>$E1470-$O1470</f>
        <v>0</v>
      </c>
      <c r="R1470" s="7" t="str">
        <f ca="1">IF(TODAY() - DHMXX[INV DUE DATE]&lt;30, "Less than 30 days",IF(TODAY()-DHMXX[INV DUE DATE]&lt;60,"30-60 days","More than 60 days"))</f>
        <v>Less than 30 days</v>
      </c>
      <c r="S1470" t="s">
        <v>1550</v>
      </c>
      <c r="T1470" s="43" t="s">
        <v>2229</v>
      </c>
      <c r="U1470" t="s">
        <v>3699</v>
      </c>
    </row>
    <row r="1471" spans="1:21" x14ac:dyDescent="0.3">
      <c r="A1471" t="s">
        <v>4139</v>
      </c>
      <c r="B1471" t="s">
        <v>30</v>
      </c>
      <c r="C1471" t="s">
        <v>1363</v>
      </c>
      <c r="D1471" s="15">
        <v>1</v>
      </c>
      <c r="E1471" s="7">
        <v>172.5</v>
      </c>
      <c r="H1471">
        <v>3824</v>
      </c>
      <c r="I1471" t="s">
        <v>839</v>
      </c>
      <c r="J1471" t="s">
        <v>2982</v>
      </c>
      <c r="K1471" t="s">
        <v>3</v>
      </c>
      <c r="L1471" s="2">
        <v>43252</v>
      </c>
      <c r="M1471" s="2">
        <f>DHMXX[[#This Row],[INV DOC DATE]]+30</f>
        <v>43282</v>
      </c>
      <c r="N1471" s="2">
        <v>43279</v>
      </c>
      <c r="O1471" s="7">
        <v>172.5</v>
      </c>
      <c r="P1471" s="2">
        <v>43290</v>
      </c>
      <c r="Q1471" s="7">
        <f>$E1471-$O1471</f>
        <v>0</v>
      </c>
      <c r="R1471" s="7" t="str">
        <f ca="1">IF(TODAY() - DHMXX[INV DUE DATE]&lt;30, "Less than 30 days",IF(TODAY()-DHMXX[INV DUE DATE]&lt;60,"30-60 days","More than 60 days"))</f>
        <v>Less than 30 days</v>
      </c>
      <c r="S1471" t="s">
        <v>1550</v>
      </c>
      <c r="T1471" s="43" t="s">
        <v>2229</v>
      </c>
      <c r="U1471" t="s">
        <v>3699</v>
      </c>
    </row>
    <row r="1472" spans="1:21" x14ac:dyDescent="0.3">
      <c r="A1472" t="s">
        <v>4139</v>
      </c>
      <c r="B1472" t="s">
        <v>30</v>
      </c>
      <c r="C1472" t="s">
        <v>1364</v>
      </c>
      <c r="D1472" s="15">
        <v>1</v>
      </c>
      <c r="E1472" s="7">
        <v>172.5</v>
      </c>
      <c r="H1472">
        <v>3824</v>
      </c>
      <c r="I1472" t="s">
        <v>839</v>
      </c>
      <c r="J1472" t="s">
        <v>2983</v>
      </c>
      <c r="K1472" t="s">
        <v>3</v>
      </c>
      <c r="L1472" s="2">
        <v>43252</v>
      </c>
      <c r="M1472" s="2">
        <f>DHMXX[[#This Row],[INV DOC DATE]]+30</f>
        <v>43282</v>
      </c>
      <c r="N1472" s="2">
        <v>43279</v>
      </c>
      <c r="O1472" s="7">
        <v>172.5</v>
      </c>
      <c r="P1472" s="2">
        <v>43290</v>
      </c>
      <c r="Q1472" s="7">
        <f>$E1472-$O1472</f>
        <v>0</v>
      </c>
      <c r="R1472" s="7" t="str">
        <f ca="1">IF(TODAY() - DHMXX[INV DUE DATE]&lt;30, "Less than 30 days",IF(TODAY()-DHMXX[INV DUE DATE]&lt;60,"30-60 days","More than 60 days"))</f>
        <v>Less than 30 days</v>
      </c>
      <c r="S1472" t="s">
        <v>1550</v>
      </c>
      <c r="T1472" s="43" t="s">
        <v>2229</v>
      </c>
      <c r="U1472" t="s">
        <v>3699</v>
      </c>
    </row>
    <row r="1473" spans="1:21" x14ac:dyDescent="0.3">
      <c r="A1473" t="s">
        <v>4139</v>
      </c>
      <c r="B1473" t="s">
        <v>30</v>
      </c>
      <c r="C1473" t="s">
        <v>1365</v>
      </c>
      <c r="D1473" s="15">
        <v>1</v>
      </c>
      <c r="E1473" s="7">
        <v>172.5</v>
      </c>
      <c r="H1473">
        <v>3824</v>
      </c>
      <c r="I1473" t="s">
        <v>839</v>
      </c>
      <c r="J1473" t="s">
        <v>2984</v>
      </c>
      <c r="K1473" t="s">
        <v>3</v>
      </c>
      <c r="L1473" s="2">
        <v>43252</v>
      </c>
      <c r="M1473" s="2">
        <f>DHMXX[[#This Row],[INV DOC DATE]]+30</f>
        <v>43282</v>
      </c>
      <c r="N1473" s="2">
        <v>43279</v>
      </c>
      <c r="O1473" s="7">
        <v>172.5</v>
      </c>
      <c r="P1473" s="2">
        <v>43290</v>
      </c>
      <c r="Q1473" s="7">
        <f>$E1473-$O1473</f>
        <v>0</v>
      </c>
      <c r="R1473" s="7" t="str">
        <f ca="1">IF(TODAY() - DHMXX[INV DUE DATE]&lt;30, "Less than 30 days",IF(TODAY()-DHMXX[INV DUE DATE]&lt;60,"30-60 days","More than 60 days"))</f>
        <v>Less than 30 days</v>
      </c>
      <c r="S1473" t="s">
        <v>1550</v>
      </c>
      <c r="T1473" s="43" t="s">
        <v>2229</v>
      </c>
      <c r="U1473" t="s">
        <v>3699</v>
      </c>
    </row>
    <row r="1474" spans="1:21" x14ac:dyDescent="0.3">
      <c r="A1474" t="s">
        <v>4139</v>
      </c>
      <c r="B1474" t="s">
        <v>30</v>
      </c>
      <c r="C1474" t="s">
        <v>1366</v>
      </c>
      <c r="D1474" s="15">
        <v>1</v>
      </c>
      <c r="E1474" s="7">
        <v>225</v>
      </c>
      <c r="H1474">
        <v>3824</v>
      </c>
      <c r="I1474" t="s">
        <v>839</v>
      </c>
      <c r="J1474" t="s">
        <v>2975</v>
      </c>
      <c r="K1474" t="s">
        <v>3</v>
      </c>
      <c r="L1474" s="2">
        <v>43252</v>
      </c>
      <c r="M1474" s="2">
        <f>DHMXX[[#This Row],[INV DOC DATE]]+30</f>
        <v>43282</v>
      </c>
      <c r="N1474" s="2">
        <v>43279</v>
      </c>
      <c r="O1474" s="7">
        <v>225</v>
      </c>
      <c r="P1474" s="2">
        <v>43290</v>
      </c>
      <c r="Q1474" s="7">
        <f>$E1474-$O1474</f>
        <v>0</v>
      </c>
      <c r="R1474" s="7" t="str">
        <f ca="1">IF(TODAY() - DHMXX[INV DUE DATE]&lt;30, "Less than 30 days",IF(TODAY()-DHMXX[INV DUE DATE]&lt;60,"30-60 days","More than 60 days"))</f>
        <v>Less than 30 days</v>
      </c>
      <c r="S1474" t="s">
        <v>1550</v>
      </c>
      <c r="T1474" s="43" t="s">
        <v>2229</v>
      </c>
      <c r="U1474" t="s">
        <v>3699</v>
      </c>
    </row>
    <row r="1475" spans="1:21" x14ac:dyDescent="0.3">
      <c r="A1475" t="s">
        <v>4139</v>
      </c>
      <c r="B1475" t="s">
        <v>30</v>
      </c>
      <c r="C1475" t="s">
        <v>1367</v>
      </c>
      <c r="D1475" s="15">
        <v>1</v>
      </c>
      <c r="E1475" s="7">
        <v>225</v>
      </c>
      <c r="H1475">
        <v>3824</v>
      </c>
      <c r="I1475" t="s">
        <v>839</v>
      </c>
      <c r="J1475" t="s">
        <v>2976</v>
      </c>
      <c r="K1475" t="s">
        <v>3</v>
      </c>
      <c r="L1475" s="2">
        <v>43252</v>
      </c>
      <c r="M1475" s="2">
        <f>DHMXX[[#This Row],[INV DOC DATE]]+30</f>
        <v>43282</v>
      </c>
      <c r="N1475" s="2">
        <v>43279</v>
      </c>
      <c r="O1475" s="7">
        <v>225</v>
      </c>
      <c r="P1475" s="2">
        <v>43290</v>
      </c>
      <c r="Q1475" s="7">
        <f>$E1475-$O1475</f>
        <v>0</v>
      </c>
      <c r="R1475" s="7" t="str">
        <f ca="1">IF(TODAY() - DHMXX[INV DUE DATE]&lt;30, "Less than 30 days",IF(TODAY()-DHMXX[INV DUE DATE]&lt;60,"30-60 days","More than 60 days"))</f>
        <v>Less than 30 days</v>
      </c>
      <c r="S1475" t="s">
        <v>1550</v>
      </c>
      <c r="T1475" s="43" t="s">
        <v>2229</v>
      </c>
      <c r="U1475" t="s">
        <v>3699</v>
      </c>
    </row>
    <row r="1476" spans="1:21" x14ac:dyDescent="0.3">
      <c r="A1476" t="s">
        <v>4139</v>
      </c>
      <c r="B1476" t="s">
        <v>30</v>
      </c>
      <c r="C1476" t="s">
        <v>1368</v>
      </c>
      <c r="D1476" s="15">
        <v>1</v>
      </c>
      <c r="E1476" s="7">
        <v>225</v>
      </c>
      <c r="H1476">
        <v>3824</v>
      </c>
      <c r="I1476" t="s">
        <v>839</v>
      </c>
      <c r="J1476" t="s">
        <v>2977</v>
      </c>
      <c r="K1476" t="s">
        <v>3</v>
      </c>
      <c r="L1476" s="2">
        <v>43252</v>
      </c>
      <c r="M1476" s="2">
        <f>DHMXX[[#This Row],[INV DOC DATE]]+30</f>
        <v>43282</v>
      </c>
      <c r="N1476" s="2">
        <v>43279</v>
      </c>
      <c r="O1476" s="7">
        <v>225</v>
      </c>
      <c r="P1476" s="2">
        <v>43290</v>
      </c>
      <c r="Q1476" s="7">
        <f>$E1476-$O1476</f>
        <v>0</v>
      </c>
      <c r="R1476" s="7" t="str">
        <f ca="1">IF(TODAY() - DHMXX[INV DUE DATE]&lt;30, "Less than 30 days",IF(TODAY()-DHMXX[INV DUE DATE]&lt;60,"30-60 days","More than 60 days"))</f>
        <v>Less than 30 days</v>
      </c>
      <c r="S1476" t="s">
        <v>1550</v>
      </c>
      <c r="T1476" s="43" t="s">
        <v>2229</v>
      </c>
      <c r="U1476" t="s">
        <v>3699</v>
      </c>
    </row>
    <row r="1477" spans="1:21" x14ac:dyDescent="0.3">
      <c r="A1477" t="s">
        <v>4139</v>
      </c>
      <c r="B1477" t="s">
        <v>30</v>
      </c>
      <c r="C1477" t="s">
        <v>1369</v>
      </c>
      <c r="D1477" s="15">
        <v>1</v>
      </c>
      <c r="E1477" s="7">
        <v>225</v>
      </c>
      <c r="H1477">
        <v>3824</v>
      </c>
      <c r="I1477" t="s">
        <v>839</v>
      </c>
      <c r="J1477" t="s">
        <v>2978</v>
      </c>
      <c r="K1477" t="s">
        <v>3</v>
      </c>
      <c r="L1477" s="2">
        <v>43252</v>
      </c>
      <c r="M1477" s="2">
        <f>DHMXX[[#This Row],[INV DOC DATE]]+30</f>
        <v>43282</v>
      </c>
      <c r="N1477" s="2">
        <v>43279</v>
      </c>
      <c r="O1477" s="7">
        <v>225</v>
      </c>
      <c r="P1477" s="2">
        <v>43290</v>
      </c>
      <c r="Q1477" s="7">
        <f>$E1477-$O1477</f>
        <v>0</v>
      </c>
      <c r="R1477" s="7" t="str">
        <f ca="1">IF(TODAY() - DHMXX[INV DUE DATE]&lt;30, "Less than 30 days",IF(TODAY()-DHMXX[INV DUE DATE]&lt;60,"30-60 days","More than 60 days"))</f>
        <v>Less than 30 days</v>
      </c>
      <c r="S1477" t="s">
        <v>1550</v>
      </c>
      <c r="T1477" s="43" t="s">
        <v>2229</v>
      </c>
      <c r="U1477" t="s">
        <v>3699</v>
      </c>
    </row>
    <row r="1478" spans="1:21" x14ac:dyDescent="0.3">
      <c r="A1478" t="s">
        <v>4139</v>
      </c>
      <c r="B1478" t="s">
        <v>30</v>
      </c>
      <c r="C1478" t="s">
        <v>1370</v>
      </c>
      <c r="D1478" s="15">
        <v>1</v>
      </c>
      <c r="E1478" s="7">
        <v>225</v>
      </c>
      <c r="H1478">
        <v>3824</v>
      </c>
      <c r="I1478" t="s">
        <v>839</v>
      </c>
      <c r="J1478" t="s">
        <v>2979</v>
      </c>
      <c r="K1478" t="s">
        <v>3</v>
      </c>
      <c r="L1478" s="2">
        <v>43252</v>
      </c>
      <c r="M1478" s="2">
        <f>DHMXX[[#This Row],[INV DOC DATE]]+30</f>
        <v>43282</v>
      </c>
      <c r="N1478" s="2">
        <v>43279</v>
      </c>
      <c r="O1478" s="7">
        <v>225</v>
      </c>
      <c r="P1478" s="2">
        <v>43290</v>
      </c>
      <c r="Q1478" s="7">
        <f>$E1478-$O1478</f>
        <v>0</v>
      </c>
      <c r="R1478" s="7" t="str">
        <f ca="1">IF(TODAY() - DHMXX[INV DUE DATE]&lt;30, "Less than 30 days",IF(TODAY()-DHMXX[INV DUE DATE]&lt;60,"30-60 days","More than 60 days"))</f>
        <v>Less than 30 days</v>
      </c>
      <c r="S1478" t="s">
        <v>1550</v>
      </c>
      <c r="T1478" s="43" t="s">
        <v>2229</v>
      </c>
      <c r="U1478" t="s">
        <v>3699</v>
      </c>
    </row>
    <row r="1479" spans="1:21" x14ac:dyDescent="0.3">
      <c r="A1479" t="s">
        <v>4139</v>
      </c>
      <c r="B1479" t="s">
        <v>30</v>
      </c>
      <c r="C1479" t="s">
        <v>1371</v>
      </c>
      <c r="D1479" s="15">
        <v>1</v>
      </c>
      <c r="E1479" s="7">
        <v>480</v>
      </c>
      <c r="H1479">
        <v>3825</v>
      </c>
      <c r="I1479" t="s">
        <v>845</v>
      </c>
      <c r="J1479" t="s">
        <v>2989</v>
      </c>
      <c r="K1479" t="s">
        <v>3</v>
      </c>
      <c r="L1479" s="2">
        <v>43252</v>
      </c>
      <c r="M1479" s="2">
        <f>DHMXX[[#This Row],[INV DOC DATE]]+30</f>
        <v>43282</v>
      </c>
      <c r="N1479" s="2">
        <v>43279</v>
      </c>
      <c r="O1479" s="7">
        <v>480</v>
      </c>
      <c r="P1479" s="2">
        <v>43290</v>
      </c>
      <c r="Q1479" s="7">
        <f>$E1479-$O1479</f>
        <v>0</v>
      </c>
      <c r="R1479" s="7" t="str">
        <f ca="1">IF(TODAY() - DHMXX[INV DUE DATE]&lt;30, "Less than 30 days",IF(TODAY()-DHMXX[INV DUE DATE]&lt;60,"30-60 days","More than 60 days"))</f>
        <v>Less than 30 days</v>
      </c>
      <c r="S1479" t="s">
        <v>1550</v>
      </c>
      <c r="T1479" s="43" t="s">
        <v>2229</v>
      </c>
      <c r="U1479" t="s">
        <v>3699</v>
      </c>
    </row>
    <row r="1480" spans="1:21" x14ac:dyDescent="0.3">
      <c r="A1480" t="s">
        <v>4139</v>
      </c>
      <c r="B1480" t="s">
        <v>30</v>
      </c>
      <c r="C1480" t="s">
        <v>1372</v>
      </c>
      <c r="D1480" s="15">
        <v>1</v>
      </c>
      <c r="E1480" s="7">
        <v>480</v>
      </c>
      <c r="H1480">
        <v>3825</v>
      </c>
      <c r="I1480" t="s">
        <v>845</v>
      </c>
      <c r="J1480" t="s">
        <v>2990</v>
      </c>
      <c r="K1480" t="s">
        <v>3</v>
      </c>
      <c r="L1480" s="2">
        <v>43252</v>
      </c>
      <c r="M1480" s="2">
        <f>DHMXX[[#This Row],[INV DOC DATE]]+30</f>
        <v>43282</v>
      </c>
      <c r="N1480" s="2">
        <v>43279</v>
      </c>
      <c r="O1480" s="7">
        <v>480</v>
      </c>
      <c r="P1480" s="2">
        <v>43290</v>
      </c>
      <c r="Q1480" s="7">
        <f>$E1480-$O1480</f>
        <v>0</v>
      </c>
      <c r="R1480" s="7" t="str">
        <f ca="1">IF(TODAY() - DHMXX[INV DUE DATE]&lt;30, "Less than 30 days",IF(TODAY()-DHMXX[INV DUE DATE]&lt;60,"30-60 days","More than 60 days"))</f>
        <v>Less than 30 days</v>
      </c>
      <c r="S1480" t="s">
        <v>1550</v>
      </c>
      <c r="T1480" s="43" t="s">
        <v>2229</v>
      </c>
      <c r="U1480" t="s">
        <v>3699</v>
      </c>
    </row>
    <row r="1481" spans="1:21" x14ac:dyDescent="0.3">
      <c r="A1481" t="s">
        <v>4139</v>
      </c>
      <c r="B1481" t="s">
        <v>30</v>
      </c>
      <c r="C1481" t="s">
        <v>1373</v>
      </c>
      <c r="D1481" s="15">
        <v>1</v>
      </c>
      <c r="E1481" s="7">
        <v>480</v>
      </c>
      <c r="H1481">
        <v>3825</v>
      </c>
      <c r="I1481" t="s">
        <v>845</v>
      </c>
      <c r="J1481" t="s">
        <v>2991</v>
      </c>
      <c r="K1481" t="s">
        <v>3</v>
      </c>
      <c r="L1481" s="2">
        <v>43252</v>
      </c>
      <c r="M1481" s="2">
        <f>DHMXX[[#This Row],[INV DOC DATE]]+30</f>
        <v>43282</v>
      </c>
      <c r="N1481" s="2">
        <v>43279</v>
      </c>
      <c r="O1481" s="7">
        <v>480</v>
      </c>
      <c r="P1481" s="2">
        <v>43290</v>
      </c>
      <c r="Q1481" s="7">
        <f>$E1481-$O1481</f>
        <v>0</v>
      </c>
      <c r="R1481" s="7" t="str">
        <f ca="1">IF(TODAY() - DHMXX[INV DUE DATE]&lt;30, "Less than 30 days",IF(TODAY()-DHMXX[INV DUE DATE]&lt;60,"30-60 days","More than 60 days"))</f>
        <v>Less than 30 days</v>
      </c>
      <c r="S1481" t="s">
        <v>1550</v>
      </c>
      <c r="T1481" s="43" t="s">
        <v>2229</v>
      </c>
      <c r="U1481" t="s">
        <v>3699</v>
      </c>
    </row>
    <row r="1482" spans="1:21" x14ac:dyDescent="0.3">
      <c r="A1482" t="s">
        <v>4139</v>
      </c>
      <c r="B1482" t="s">
        <v>30</v>
      </c>
      <c r="C1482" t="s">
        <v>1374</v>
      </c>
      <c r="D1482" s="15">
        <v>1</v>
      </c>
      <c r="E1482" s="7">
        <v>480</v>
      </c>
      <c r="H1482">
        <v>3825</v>
      </c>
      <c r="I1482" t="s">
        <v>845</v>
      </c>
      <c r="J1482" t="s">
        <v>2992</v>
      </c>
      <c r="K1482" t="s">
        <v>3</v>
      </c>
      <c r="L1482" s="2">
        <v>43252</v>
      </c>
      <c r="M1482" s="2">
        <f>DHMXX[[#This Row],[INV DOC DATE]]+30</f>
        <v>43282</v>
      </c>
      <c r="N1482" s="2">
        <v>43279</v>
      </c>
      <c r="O1482" s="7">
        <v>480</v>
      </c>
      <c r="P1482" s="2">
        <v>43290</v>
      </c>
      <c r="Q1482" s="7">
        <f>$E1482-$O1482</f>
        <v>0</v>
      </c>
      <c r="R1482" s="7" t="str">
        <f ca="1">IF(TODAY() - DHMXX[INV DUE DATE]&lt;30, "Less than 30 days",IF(TODAY()-DHMXX[INV DUE DATE]&lt;60,"30-60 days","More than 60 days"))</f>
        <v>Less than 30 days</v>
      </c>
      <c r="S1482" t="s">
        <v>1550</v>
      </c>
      <c r="T1482" s="43" t="s">
        <v>2229</v>
      </c>
      <c r="U1482" t="s">
        <v>3699</v>
      </c>
    </row>
    <row r="1483" spans="1:21" x14ac:dyDescent="0.3">
      <c r="A1483" t="s">
        <v>4139</v>
      </c>
      <c r="B1483" t="s">
        <v>30</v>
      </c>
      <c r="C1483" t="s">
        <v>1375</v>
      </c>
      <c r="D1483" s="15">
        <v>1</v>
      </c>
      <c r="E1483" s="7">
        <v>270</v>
      </c>
      <c r="H1483">
        <v>3825</v>
      </c>
      <c r="I1483" t="s">
        <v>845</v>
      </c>
      <c r="J1483" t="s">
        <v>2985</v>
      </c>
      <c r="K1483" t="s">
        <v>3</v>
      </c>
      <c r="L1483" s="2">
        <v>43252</v>
      </c>
      <c r="M1483" s="2">
        <f>DHMXX[[#This Row],[INV DOC DATE]]+30</f>
        <v>43282</v>
      </c>
      <c r="N1483" s="2">
        <v>43279</v>
      </c>
      <c r="O1483" s="7">
        <v>270</v>
      </c>
      <c r="P1483" s="2">
        <v>43290</v>
      </c>
      <c r="Q1483" s="7">
        <f>$E1483-$O1483</f>
        <v>0</v>
      </c>
      <c r="R1483" s="7" t="str">
        <f ca="1">IF(TODAY() - DHMXX[INV DUE DATE]&lt;30, "Less than 30 days",IF(TODAY()-DHMXX[INV DUE DATE]&lt;60,"30-60 days","More than 60 days"))</f>
        <v>Less than 30 days</v>
      </c>
      <c r="S1483" t="s">
        <v>1550</v>
      </c>
      <c r="T1483" s="43" t="s">
        <v>2229</v>
      </c>
      <c r="U1483" t="s">
        <v>3699</v>
      </c>
    </row>
    <row r="1484" spans="1:21" x14ac:dyDescent="0.3">
      <c r="A1484" t="s">
        <v>4139</v>
      </c>
      <c r="B1484" t="s">
        <v>30</v>
      </c>
      <c r="C1484" t="s">
        <v>1376</v>
      </c>
      <c r="D1484" s="15">
        <v>1</v>
      </c>
      <c r="E1484" s="7">
        <v>270</v>
      </c>
      <c r="H1484">
        <v>3825</v>
      </c>
      <c r="I1484" t="s">
        <v>845</v>
      </c>
      <c r="J1484" t="s">
        <v>2986</v>
      </c>
      <c r="K1484" t="s">
        <v>3</v>
      </c>
      <c r="L1484" s="2">
        <v>43252</v>
      </c>
      <c r="M1484" s="2">
        <f>DHMXX[[#This Row],[INV DOC DATE]]+30</f>
        <v>43282</v>
      </c>
      <c r="N1484" s="2">
        <v>43279</v>
      </c>
      <c r="O1484" s="7">
        <v>270</v>
      </c>
      <c r="P1484" s="2">
        <v>43290</v>
      </c>
      <c r="Q1484" s="7">
        <f>$E1484-$O1484</f>
        <v>0</v>
      </c>
      <c r="R1484" s="7" t="str">
        <f ca="1">IF(TODAY() - DHMXX[INV DUE DATE]&lt;30, "Less than 30 days",IF(TODAY()-DHMXX[INV DUE DATE]&lt;60,"30-60 days","More than 60 days"))</f>
        <v>Less than 30 days</v>
      </c>
      <c r="S1484" t="s">
        <v>1550</v>
      </c>
      <c r="T1484" s="43" t="s">
        <v>2229</v>
      </c>
      <c r="U1484" t="s">
        <v>3699</v>
      </c>
    </row>
    <row r="1485" spans="1:21" x14ac:dyDescent="0.3">
      <c r="A1485" t="s">
        <v>4139</v>
      </c>
      <c r="B1485" t="s">
        <v>30</v>
      </c>
      <c r="C1485" t="s">
        <v>1377</v>
      </c>
      <c r="D1485" s="15">
        <v>1</v>
      </c>
      <c r="E1485" s="7">
        <v>270</v>
      </c>
      <c r="H1485">
        <v>3825</v>
      </c>
      <c r="I1485" t="s">
        <v>845</v>
      </c>
      <c r="J1485" t="s">
        <v>2987</v>
      </c>
      <c r="K1485" t="s">
        <v>3</v>
      </c>
      <c r="L1485" s="2">
        <v>43252</v>
      </c>
      <c r="M1485" s="2">
        <f>DHMXX[[#This Row],[INV DOC DATE]]+30</f>
        <v>43282</v>
      </c>
      <c r="N1485" s="2">
        <v>43279</v>
      </c>
      <c r="O1485" s="7">
        <v>270</v>
      </c>
      <c r="P1485" s="2">
        <v>43290</v>
      </c>
      <c r="Q1485" s="7">
        <f>$E1485-$O1485</f>
        <v>0</v>
      </c>
      <c r="R1485" s="7" t="str">
        <f ca="1">IF(TODAY() - DHMXX[INV DUE DATE]&lt;30, "Less than 30 days",IF(TODAY()-DHMXX[INV DUE DATE]&lt;60,"30-60 days","More than 60 days"))</f>
        <v>Less than 30 days</v>
      </c>
      <c r="S1485" t="s">
        <v>1550</v>
      </c>
      <c r="T1485" s="43" t="s">
        <v>2229</v>
      </c>
      <c r="U1485" t="s">
        <v>3699</v>
      </c>
    </row>
    <row r="1486" spans="1:21" x14ac:dyDescent="0.3">
      <c r="A1486" t="s">
        <v>4139</v>
      </c>
      <c r="B1486" t="s">
        <v>30</v>
      </c>
      <c r="C1486" t="s">
        <v>1378</v>
      </c>
      <c r="D1486" s="15">
        <v>1</v>
      </c>
      <c r="E1486" s="7">
        <v>270</v>
      </c>
      <c r="H1486">
        <v>3825</v>
      </c>
      <c r="I1486" t="s">
        <v>845</v>
      </c>
      <c r="J1486" t="s">
        <v>2988</v>
      </c>
      <c r="K1486" t="s">
        <v>3</v>
      </c>
      <c r="L1486" s="2">
        <v>43252</v>
      </c>
      <c r="M1486" s="2">
        <f>DHMXX[[#This Row],[INV DOC DATE]]+30</f>
        <v>43282</v>
      </c>
      <c r="N1486" s="2">
        <v>43279</v>
      </c>
      <c r="O1486" s="7">
        <v>270</v>
      </c>
      <c r="P1486" s="2">
        <v>43290</v>
      </c>
      <c r="Q1486" s="7">
        <f>$E1486-$O1486</f>
        <v>0</v>
      </c>
      <c r="R1486" s="7" t="str">
        <f ca="1">IF(TODAY() - DHMXX[INV DUE DATE]&lt;30, "Less than 30 days",IF(TODAY()-DHMXX[INV DUE DATE]&lt;60,"30-60 days","More than 60 days"))</f>
        <v>Less than 30 days</v>
      </c>
      <c r="S1486" t="s">
        <v>1550</v>
      </c>
      <c r="T1486" s="43" t="s">
        <v>2229</v>
      </c>
      <c r="U1486" t="s">
        <v>3699</v>
      </c>
    </row>
    <row r="1487" spans="1:21" x14ac:dyDescent="0.3">
      <c r="A1487" t="s">
        <v>4139</v>
      </c>
      <c r="B1487" t="s">
        <v>30</v>
      </c>
      <c r="C1487" t="s">
        <v>1379</v>
      </c>
      <c r="D1487" s="15">
        <v>1</v>
      </c>
      <c r="E1487" s="7">
        <v>480</v>
      </c>
      <c r="H1487">
        <v>20028</v>
      </c>
      <c r="I1487" t="s">
        <v>853</v>
      </c>
      <c r="J1487" t="s">
        <v>2995</v>
      </c>
      <c r="K1487" t="s">
        <v>3</v>
      </c>
      <c r="L1487" s="2">
        <v>43252</v>
      </c>
      <c r="M1487" s="2">
        <f>DHMXX[[#This Row],[INV DOC DATE]]+30</f>
        <v>43282</v>
      </c>
      <c r="N1487" s="2">
        <v>43279</v>
      </c>
      <c r="O1487" s="7">
        <v>480</v>
      </c>
      <c r="P1487" s="2">
        <v>43290</v>
      </c>
      <c r="Q1487" s="7">
        <f>$E1487-$O1487</f>
        <v>0</v>
      </c>
      <c r="R1487" s="7" t="str">
        <f ca="1">IF(TODAY() - DHMXX[INV DUE DATE]&lt;30, "Less than 30 days",IF(TODAY()-DHMXX[INV DUE DATE]&lt;60,"30-60 days","More than 60 days"))</f>
        <v>Less than 30 days</v>
      </c>
      <c r="S1487" t="s">
        <v>1550</v>
      </c>
      <c r="T1487" s="43" t="s">
        <v>2229</v>
      </c>
      <c r="U1487" t="s">
        <v>3699</v>
      </c>
    </row>
    <row r="1488" spans="1:21" x14ac:dyDescent="0.3">
      <c r="A1488" t="s">
        <v>4139</v>
      </c>
      <c r="B1488" t="s">
        <v>30</v>
      </c>
      <c r="C1488" t="s">
        <v>1380</v>
      </c>
      <c r="D1488" s="15">
        <v>1</v>
      </c>
      <c r="E1488" s="7">
        <v>270</v>
      </c>
      <c r="H1488">
        <v>20028</v>
      </c>
      <c r="I1488" t="s">
        <v>853</v>
      </c>
      <c r="J1488" t="s">
        <v>2993</v>
      </c>
      <c r="K1488" t="s">
        <v>3</v>
      </c>
      <c r="L1488" s="2">
        <v>43252</v>
      </c>
      <c r="M1488" s="2">
        <f>DHMXX[[#This Row],[INV DOC DATE]]+30</f>
        <v>43282</v>
      </c>
      <c r="N1488" s="2">
        <v>43279</v>
      </c>
      <c r="O1488" s="7">
        <v>270</v>
      </c>
      <c r="P1488" s="2">
        <v>43290</v>
      </c>
      <c r="Q1488" s="7">
        <f>$E1488-$O1488</f>
        <v>0</v>
      </c>
      <c r="R1488" s="7" t="str">
        <f ca="1">IF(TODAY() - DHMXX[INV DUE DATE]&lt;30, "Less than 30 days",IF(TODAY()-DHMXX[INV DUE DATE]&lt;60,"30-60 days","More than 60 days"))</f>
        <v>Less than 30 days</v>
      </c>
      <c r="S1488" t="s">
        <v>1550</v>
      </c>
      <c r="T1488" s="43" t="s">
        <v>2229</v>
      </c>
      <c r="U1488" t="s">
        <v>3699</v>
      </c>
    </row>
    <row r="1489" spans="1:21" x14ac:dyDescent="0.3">
      <c r="A1489" t="s">
        <v>4139</v>
      </c>
      <c r="B1489" t="s">
        <v>30</v>
      </c>
      <c r="C1489" t="s">
        <v>1381</v>
      </c>
      <c r="D1489" s="15">
        <v>1</v>
      </c>
      <c r="E1489" s="7">
        <v>270</v>
      </c>
      <c r="H1489">
        <v>20028</v>
      </c>
      <c r="I1489" t="s">
        <v>853</v>
      </c>
      <c r="J1489" t="s">
        <v>2994</v>
      </c>
      <c r="K1489" t="s">
        <v>3</v>
      </c>
      <c r="L1489" s="2">
        <v>43252</v>
      </c>
      <c r="M1489" s="2">
        <f>DHMXX[[#This Row],[INV DOC DATE]]+30</f>
        <v>43282</v>
      </c>
      <c r="N1489" s="2">
        <v>43279</v>
      </c>
      <c r="O1489" s="7">
        <v>270</v>
      </c>
      <c r="P1489" s="2">
        <v>43290</v>
      </c>
      <c r="Q1489" s="7">
        <f>$E1489-$O1489</f>
        <v>0</v>
      </c>
      <c r="R1489" s="7" t="str">
        <f ca="1">IF(TODAY() - DHMXX[INV DUE DATE]&lt;30, "Less than 30 days",IF(TODAY()-DHMXX[INV DUE DATE]&lt;60,"30-60 days","More than 60 days"))</f>
        <v>Less than 30 days</v>
      </c>
      <c r="S1489" t="s">
        <v>1550</v>
      </c>
      <c r="T1489" s="43" t="s">
        <v>2229</v>
      </c>
      <c r="U1489" t="s">
        <v>3699</v>
      </c>
    </row>
    <row r="1490" spans="1:21" x14ac:dyDescent="0.3">
      <c r="A1490" t="s">
        <v>4139</v>
      </c>
      <c r="B1490" t="s">
        <v>30</v>
      </c>
      <c r="C1490" t="s">
        <v>1382</v>
      </c>
      <c r="D1490" s="15">
        <v>1</v>
      </c>
      <c r="E1490" s="7">
        <v>480</v>
      </c>
      <c r="H1490">
        <v>73868</v>
      </c>
      <c r="I1490" t="s">
        <v>858</v>
      </c>
      <c r="J1490" t="s">
        <v>2999</v>
      </c>
      <c r="K1490" t="s">
        <v>3</v>
      </c>
      <c r="L1490" s="2">
        <v>43252</v>
      </c>
      <c r="M1490" s="2">
        <f>DHMXX[[#This Row],[INV DOC DATE]]+30</f>
        <v>43282</v>
      </c>
      <c r="N1490" s="2">
        <v>43279</v>
      </c>
      <c r="O1490" s="7">
        <v>480</v>
      </c>
      <c r="P1490" s="2">
        <v>43290</v>
      </c>
      <c r="Q1490" s="7">
        <f>$E1490-$O1490</f>
        <v>0</v>
      </c>
      <c r="R1490" s="7" t="str">
        <f ca="1">IF(TODAY() - DHMXX[INV DUE DATE]&lt;30, "Less than 30 days",IF(TODAY()-DHMXX[INV DUE DATE]&lt;60,"30-60 days","More than 60 days"))</f>
        <v>Less than 30 days</v>
      </c>
      <c r="S1490" t="s">
        <v>1550</v>
      </c>
      <c r="T1490" s="43" t="s">
        <v>2229</v>
      </c>
      <c r="U1490" t="s">
        <v>3699</v>
      </c>
    </row>
    <row r="1491" spans="1:21" x14ac:dyDescent="0.3">
      <c r="A1491" t="s">
        <v>4139</v>
      </c>
      <c r="B1491" t="s">
        <v>30</v>
      </c>
      <c r="C1491" t="s">
        <v>1383</v>
      </c>
      <c r="D1491" s="15">
        <v>1</v>
      </c>
      <c r="E1491" s="7">
        <v>480</v>
      </c>
      <c r="H1491">
        <v>73868</v>
      </c>
      <c r="I1491" t="s">
        <v>858</v>
      </c>
      <c r="J1491" t="s">
        <v>3000</v>
      </c>
      <c r="K1491" t="s">
        <v>3</v>
      </c>
      <c r="L1491" s="2">
        <v>43252</v>
      </c>
      <c r="M1491" s="2">
        <f>DHMXX[[#This Row],[INV DOC DATE]]+30</f>
        <v>43282</v>
      </c>
      <c r="N1491" s="2">
        <v>43279</v>
      </c>
      <c r="O1491" s="7">
        <v>480</v>
      </c>
      <c r="P1491" s="2">
        <v>43290</v>
      </c>
      <c r="Q1491" s="7">
        <f>$E1491-$O1491</f>
        <v>0</v>
      </c>
      <c r="R1491" s="7" t="str">
        <f ca="1">IF(TODAY() - DHMXX[INV DUE DATE]&lt;30, "Less than 30 days",IF(TODAY()-DHMXX[INV DUE DATE]&lt;60,"30-60 days","More than 60 days"))</f>
        <v>Less than 30 days</v>
      </c>
      <c r="S1491" t="s">
        <v>1550</v>
      </c>
      <c r="T1491" s="43" t="s">
        <v>2229</v>
      </c>
      <c r="U1491" t="s">
        <v>3699</v>
      </c>
    </row>
    <row r="1492" spans="1:21" x14ac:dyDescent="0.3">
      <c r="A1492" t="s">
        <v>4139</v>
      </c>
      <c r="B1492" t="s">
        <v>30</v>
      </c>
      <c r="C1492" t="s">
        <v>1384</v>
      </c>
      <c r="D1492" s="15">
        <v>1</v>
      </c>
      <c r="E1492" s="7">
        <v>480</v>
      </c>
      <c r="H1492">
        <v>73868</v>
      </c>
      <c r="I1492" t="s">
        <v>858</v>
      </c>
      <c r="J1492" t="s">
        <v>3001</v>
      </c>
      <c r="K1492" t="s">
        <v>3</v>
      </c>
      <c r="L1492" s="2">
        <v>43252</v>
      </c>
      <c r="M1492" s="2">
        <f>DHMXX[[#This Row],[INV DOC DATE]]+30</f>
        <v>43282</v>
      </c>
      <c r="N1492" s="2">
        <v>43279</v>
      </c>
      <c r="O1492" s="7">
        <v>480</v>
      </c>
      <c r="P1492" s="2">
        <v>43290</v>
      </c>
      <c r="Q1492" s="7">
        <f>$E1492-$O1492</f>
        <v>0</v>
      </c>
      <c r="R1492" s="7" t="str">
        <f ca="1">IF(TODAY() - DHMXX[INV DUE DATE]&lt;30, "Less than 30 days",IF(TODAY()-DHMXX[INV DUE DATE]&lt;60,"30-60 days","More than 60 days"))</f>
        <v>Less than 30 days</v>
      </c>
      <c r="S1492" t="s">
        <v>1550</v>
      </c>
      <c r="T1492" s="43" t="s">
        <v>2229</v>
      </c>
      <c r="U1492" t="s">
        <v>3699</v>
      </c>
    </row>
    <row r="1493" spans="1:21" x14ac:dyDescent="0.3">
      <c r="A1493" t="s">
        <v>4139</v>
      </c>
      <c r="B1493" t="s">
        <v>30</v>
      </c>
      <c r="C1493" t="s">
        <v>1385</v>
      </c>
      <c r="D1493" s="15">
        <v>1</v>
      </c>
      <c r="E1493" s="7">
        <v>480</v>
      </c>
      <c r="H1493">
        <v>73868</v>
      </c>
      <c r="I1493" t="s">
        <v>858</v>
      </c>
      <c r="J1493" t="s">
        <v>3002</v>
      </c>
      <c r="K1493" t="s">
        <v>3</v>
      </c>
      <c r="L1493" s="2">
        <v>43252</v>
      </c>
      <c r="M1493" s="2">
        <f>DHMXX[[#This Row],[INV DOC DATE]]+30</f>
        <v>43282</v>
      </c>
      <c r="N1493" s="2">
        <v>43279</v>
      </c>
      <c r="O1493" s="7">
        <v>480</v>
      </c>
      <c r="P1493" s="2">
        <v>43290</v>
      </c>
      <c r="Q1493" s="7">
        <f>$E1493-$O1493</f>
        <v>0</v>
      </c>
      <c r="R1493" s="7" t="str">
        <f ca="1">IF(TODAY() - DHMXX[INV DUE DATE]&lt;30, "Less than 30 days",IF(TODAY()-DHMXX[INV DUE DATE]&lt;60,"30-60 days","More than 60 days"))</f>
        <v>Less than 30 days</v>
      </c>
      <c r="S1493" t="s">
        <v>1550</v>
      </c>
      <c r="T1493" s="43" t="s">
        <v>2229</v>
      </c>
      <c r="U1493" t="s">
        <v>3699</v>
      </c>
    </row>
    <row r="1494" spans="1:21" x14ac:dyDescent="0.3">
      <c r="A1494" t="s">
        <v>4139</v>
      </c>
      <c r="B1494" t="s">
        <v>30</v>
      </c>
      <c r="C1494" t="s">
        <v>1386</v>
      </c>
      <c r="D1494" s="15">
        <v>1</v>
      </c>
      <c r="E1494" s="7">
        <v>270</v>
      </c>
      <c r="H1494">
        <v>73868</v>
      </c>
      <c r="I1494" t="s">
        <v>858</v>
      </c>
      <c r="J1494" t="s">
        <v>2996</v>
      </c>
      <c r="K1494" t="s">
        <v>3</v>
      </c>
      <c r="L1494" s="2">
        <v>43252</v>
      </c>
      <c r="M1494" s="2">
        <f>DHMXX[[#This Row],[INV DOC DATE]]+30</f>
        <v>43282</v>
      </c>
      <c r="N1494" s="2">
        <v>43279</v>
      </c>
      <c r="O1494" s="7">
        <v>270</v>
      </c>
      <c r="P1494" s="2">
        <v>43290</v>
      </c>
      <c r="Q1494" s="7">
        <f>$E1494-$O1494</f>
        <v>0</v>
      </c>
      <c r="R1494" s="7" t="str">
        <f ca="1">IF(TODAY() - DHMXX[INV DUE DATE]&lt;30, "Less than 30 days",IF(TODAY()-DHMXX[INV DUE DATE]&lt;60,"30-60 days","More than 60 days"))</f>
        <v>Less than 30 days</v>
      </c>
      <c r="S1494" t="s">
        <v>1550</v>
      </c>
      <c r="T1494" s="43" t="s">
        <v>2229</v>
      </c>
      <c r="U1494" t="s">
        <v>3699</v>
      </c>
    </row>
    <row r="1495" spans="1:21" x14ac:dyDescent="0.3">
      <c r="A1495" t="s">
        <v>4139</v>
      </c>
      <c r="B1495" t="s">
        <v>30</v>
      </c>
      <c r="C1495" t="s">
        <v>1387</v>
      </c>
      <c r="D1495" s="15">
        <v>1</v>
      </c>
      <c r="E1495" s="7">
        <v>270</v>
      </c>
      <c r="H1495">
        <v>73868</v>
      </c>
      <c r="I1495" t="s">
        <v>858</v>
      </c>
      <c r="J1495" t="s">
        <v>2997</v>
      </c>
      <c r="K1495" t="s">
        <v>3</v>
      </c>
      <c r="L1495" s="2">
        <v>43252</v>
      </c>
      <c r="M1495" s="2">
        <f>DHMXX[[#This Row],[INV DOC DATE]]+30</f>
        <v>43282</v>
      </c>
      <c r="N1495" s="2">
        <v>43279</v>
      </c>
      <c r="O1495" s="7">
        <v>270</v>
      </c>
      <c r="P1495" s="2">
        <v>43290</v>
      </c>
      <c r="Q1495" s="7">
        <f>$E1495-$O1495</f>
        <v>0</v>
      </c>
      <c r="R1495" s="7" t="str">
        <f ca="1">IF(TODAY() - DHMXX[INV DUE DATE]&lt;30, "Less than 30 days",IF(TODAY()-DHMXX[INV DUE DATE]&lt;60,"30-60 days","More than 60 days"))</f>
        <v>Less than 30 days</v>
      </c>
      <c r="S1495" t="s">
        <v>1550</v>
      </c>
      <c r="T1495" s="43" t="s">
        <v>2229</v>
      </c>
      <c r="U1495" t="s">
        <v>3699</v>
      </c>
    </row>
    <row r="1496" spans="1:21" x14ac:dyDescent="0.3">
      <c r="A1496" t="s">
        <v>4139</v>
      </c>
      <c r="B1496" t="s">
        <v>30</v>
      </c>
      <c r="C1496" t="s">
        <v>1388</v>
      </c>
      <c r="D1496" s="15">
        <v>1</v>
      </c>
      <c r="E1496" s="7">
        <v>270</v>
      </c>
      <c r="H1496">
        <v>73868</v>
      </c>
      <c r="I1496" t="s">
        <v>858</v>
      </c>
      <c r="J1496" t="s">
        <v>2998</v>
      </c>
      <c r="K1496" t="s">
        <v>3</v>
      </c>
      <c r="L1496" s="2">
        <v>43252</v>
      </c>
      <c r="M1496" s="2">
        <f>DHMXX[[#This Row],[INV DOC DATE]]+30</f>
        <v>43282</v>
      </c>
      <c r="N1496" s="2">
        <v>43279</v>
      </c>
      <c r="O1496" s="7">
        <v>270</v>
      </c>
      <c r="P1496" s="2">
        <v>43290</v>
      </c>
      <c r="Q1496" s="7">
        <f>$E1496-$O1496</f>
        <v>0</v>
      </c>
      <c r="R1496" s="7" t="str">
        <f ca="1">IF(TODAY() - DHMXX[INV DUE DATE]&lt;30, "Less than 30 days",IF(TODAY()-DHMXX[INV DUE DATE]&lt;60,"30-60 days","More than 60 days"))</f>
        <v>Less than 30 days</v>
      </c>
      <c r="S1496" t="s">
        <v>1550</v>
      </c>
      <c r="T1496" s="43" t="s">
        <v>2229</v>
      </c>
      <c r="U1496" t="s">
        <v>3699</v>
      </c>
    </row>
    <row r="1497" spans="1:21" x14ac:dyDescent="0.3">
      <c r="A1497" t="s">
        <v>4139</v>
      </c>
      <c r="B1497" t="s">
        <v>30</v>
      </c>
      <c r="C1497" t="s">
        <v>1389</v>
      </c>
      <c r="D1497" s="15">
        <v>1</v>
      </c>
      <c r="E1497" s="7">
        <v>556.79999999999995</v>
      </c>
      <c r="H1497">
        <v>75810</v>
      </c>
      <c r="I1497" t="s">
        <v>845</v>
      </c>
      <c r="J1497" t="s">
        <v>3009</v>
      </c>
      <c r="K1497" t="s">
        <v>3</v>
      </c>
      <c r="L1497" s="2">
        <v>43252</v>
      </c>
      <c r="M1497" s="2">
        <f>DHMXX[[#This Row],[INV DOC DATE]]+30</f>
        <v>43282</v>
      </c>
      <c r="N1497" s="2">
        <v>43279</v>
      </c>
      <c r="O1497" s="7">
        <v>556.79999999999995</v>
      </c>
      <c r="P1497" s="2">
        <v>43290</v>
      </c>
      <c r="Q1497" s="7">
        <f>$E1497-$O1497</f>
        <v>0</v>
      </c>
      <c r="R1497" s="7" t="str">
        <f ca="1">IF(TODAY() - DHMXX[INV DUE DATE]&lt;30, "Less than 30 days",IF(TODAY()-DHMXX[INV DUE DATE]&lt;60,"30-60 days","More than 60 days"))</f>
        <v>Less than 30 days</v>
      </c>
      <c r="S1497" t="s">
        <v>1550</v>
      </c>
      <c r="T1497" s="43" t="s">
        <v>2229</v>
      </c>
      <c r="U1497" t="s">
        <v>3699</v>
      </c>
    </row>
    <row r="1498" spans="1:21" x14ac:dyDescent="0.3">
      <c r="A1498" t="s">
        <v>4139</v>
      </c>
      <c r="B1498" t="s">
        <v>30</v>
      </c>
      <c r="C1498" t="s">
        <v>1390</v>
      </c>
      <c r="D1498" s="15">
        <v>1</v>
      </c>
      <c r="E1498" s="7">
        <v>556.79999999999995</v>
      </c>
      <c r="H1498">
        <v>75810</v>
      </c>
      <c r="I1498" t="s">
        <v>845</v>
      </c>
      <c r="J1498" t="s">
        <v>3010</v>
      </c>
      <c r="K1498" t="s">
        <v>3</v>
      </c>
      <c r="L1498" s="2">
        <v>43252</v>
      </c>
      <c r="M1498" s="2">
        <f>DHMXX[[#This Row],[INV DOC DATE]]+30</f>
        <v>43282</v>
      </c>
      <c r="N1498" s="2">
        <v>43279</v>
      </c>
      <c r="O1498" s="7">
        <v>556.79999999999995</v>
      </c>
      <c r="P1498" s="2">
        <v>43290</v>
      </c>
      <c r="Q1498" s="7">
        <f>$E1498-$O1498</f>
        <v>0</v>
      </c>
      <c r="R1498" s="7" t="str">
        <f ca="1">IF(TODAY() - DHMXX[INV DUE DATE]&lt;30, "Less than 30 days",IF(TODAY()-DHMXX[INV DUE DATE]&lt;60,"30-60 days","More than 60 days"))</f>
        <v>Less than 30 days</v>
      </c>
      <c r="S1498" t="s">
        <v>1550</v>
      </c>
      <c r="T1498" s="43" t="s">
        <v>2229</v>
      </c>
      <c r="U1498" t="s">
        <v>3699</v>
      </c>
    </row>
    <row r="1499" spans="1:21" x14ac:dyDescent="0.3">
      <c r="A1499" t="s">
        <v>4139</v>
      </c>
      <c r="B1499" t="s">
        <v>30</v>
      </c>
      <c r="C1499" t="s">
        <v>1391</v>
      </c>
      <c r="D1499" s="15">
        <v>1</v>
      </c>
      <c r="E1499" s="7">
        <v>556.79999999999995</v>
      </c>
      <c r="H1499">
        <v>75810</v>
      </c>
      <c r="I1499" t="s">
        <v>845</v>
      </c>
      <c r="J1499" t="s">
        <v>3011</v>
      </c>
      <c r="K1499" t="s">
        <v>3</v>
      </c>
      <c r="L1499" s="2">
        <v>43252</v>
      </c>
      <c r="M1499" s="2">
        <f>DHMXX[[#This Row],[INV DOC DATE]]+30</f>
        <v>43282</v>
      </c>
      <c r="N1499" s="2">
        <v>43279</v>
      </c>
      <c r="O1499" s="7">
        <v>556.79999999999995</v>
      </c>
      <c r="P1499" s="2">
        <v>43290</v>
      </c>
      <c r="Q1499" s="7">
        <f>$E1499-$O1499</f>
        <v>0</v>
      </c>
      <c r="R1499" s="7" t="str">
        <f ca="1">IF(TODAY() - DHMXX[INV DUE DATE]&lt;30, "Less than 30 days",IF(TODAY()-DHMXX[INV DUE DATE]&lt;60,"30-60 days","More than 60 days"))</f>
        <v>Less than 30 days</v>
      </c>
      <c r="S1499" t="s">
        <v>1550</v>
      </c>
      <c r="T1499" s="43" t="s">
        <v>2229</v>
      </c>
      <c r="U1499" t="s">
        <v>3699</v>
      </c>
    </row>
    <row r="1500" spans="1:21" x14ac:dyDescent="0.3">
      <c r="A1500" t="s">
        <v>4139</v>
      </c>
      <c r="B1500" t="s">
        <v>30</v>
      </c>
      <c r="C1500" t="s">
        <v>1392</v>
      </c>
      <c r="D1500" s="15">
        <v>1</v>
      </c>
      <c r="E1500" s="7">
        <v>556.79999999999995</v>
      </c>
      <c r="H1500">
        <v>75810</v>
      </c>
      <c r="I1500" t="s">
        <v>859</v>
      </c>
      <c r="J1500" t="s">
        <v>3012</v>
      </c>
      <c r="K1500" t="s">
        <v>3</v>
      </c>
      <c r="L1500" s="2">
        <v>43252</v>
      </c>
      <c r="M1500" s="2">
        <f>DHMXX[[#This Row],[INV DOC DATE]]+30</f>
        <v>43282</v>
      </c>
      <c r="N1500" s="2">
        <v>43279</v>
      </c>
      <c r="O1500" s="7">
        <v>556.79999999999995</v>
      </c>
      <c r="P1500" s="2">
        <v>43290</v>
      </c>
      <c r="Q1500" s="7">
        <f>$E1500-$O1500</f>
        <v>0</v>
      </c>
      <c r="R1500" s="7" t="str">
        <f ca="1">IF(TODAY() - DHMXX[INV DUE DATE]&lt;30, "Less than 30 days",IF(TODAY()-DHMXX[INV DUE DATE]&lt;60,"30-60 days","More than 60 days"))</f>
        <v>Less than 30 days</v>
      </c>
      <c r="S1500" t="s">
        <v>1550</v>
      </c>
      <c r="T1500" s="43" t="s">
        <v>2229</v>
      </c>
      <c r="U1500" t="s">
        <v>3699</v>
      </c>
    </row>
    <row r="1501" spans="1:21" x14ac:dyDescent="0.3">
      <c r="A1501" t="s">
        <v>4139</v>
      </c>
      <c r="B1501" t="s">
        <v>30</v>
      </c>
      <c r="C1501" t="s">
        <v>1393</v>
      </c>
      <c r="D1501" s="15">
        <v>1</v>
      </c>
      <c r="E1501" s="7">
        <v>556.79999999999995</v>
      </c>
      <c r="H1501">
        <v>75810</v>
      </c>
      <c r="I1501" t="s">
        <v>859</v>
      </c>
      <c r="J1501" t="s">
        <v>3013</v>
      </c>
      <c r="K1501" t="s">
        <v>3</v>
      </c>
      <c r="L1501" s="2">
        <v>43252</v>
      </c>
      <c r="M1501" s="2">
        <f>DHMXX[[#This Row],[INV DOC DATE]]+30</f>
        <v>43282</v>
      </c>
      <c r="N1501" s="2">
        <v>43279</v>
      </c>
      <c r="O1501" s="7">
        <v>556.79999999999995</v>
      </c>
      <c r="P1501" s="2">
        <v>43290</v>
      </c>
      <c r="Q1501" s="7">
        <f>$E1501-$O1501</f>
        <v>0</v>
      </c>
      <c r="R1501" s="7" t="str">
        <f ca="1">IF(TODAY() - DHMXX[INV DUE DATE]&lt;30, "Less than 30 days",IF(TODAY()-DHMXX[INV DUE DATE]&lt;60,"30-60 days","More than 60 days"))</f>
        <v>Less than 30 days</v>
      </c>
      <c r="S1501" t="s">
        <v>1550</v>
      </c>
      <c r="T1501" s="43" t="s">
        <v>2229</v>
      </c>
      <c r="U1501" t="s">
        <v>3699</v>
      </c>
    </row>
    <row r="1502" spans="1:21" x14ac:dyDescent="0.3">
      <c r="A1502" t="s">
        <v>4139</v>
      </c>
      <c r="B1502" t="s">
        <v>30</v>
      </c>
      <c r="C1502" t="s">
        <v>1394</v>
      </c>
      <c r="D1502" s="15">
        <v>1</v>
      </c>
      <c r="E1502" s="7">
        <v>556.79999999999995</v>
      </c>
      <c r="H1502">
        <v>75810</v>
      </c>
      <c r="I1502" t="s">
        <v>859</v>
      </c>
      <c r="J1502" t="s">
        <v>3014</v>
      </c>
      <c r="K1502" t="s">
        <v>3</v>
      </c>
      <c r="L1502" s="2">
        <v>43252</v>
      </c>
      <c r="M1502" s="2">
        <f>DHMXX[[#This Row],[INV DOC DATE]]+30</f>
        <v>43282</v>
      </c>
      <c r="N1502" s="2">
        <v>43279</v>
      </c>
      <c r="O1502" s="7">
        <v>556.79999999999995</v>
      </c>
      <c r="P1502" s="2">
        <v>43290</v>
      </c>
      <c r="Q1502" s="7">
        <f>$E1502-$O1502</f>
        <v>0</v>
      </c>
      <c r="R1502" s="7" t="str">
        <f ca="1">IF(TODAY() - DHMXX[INV DUE DATE]&lt;30, "Less than 30 days",IF(TODAY()-DHMXX[INV DUE DATE]&lt;60,"30-60 days","More than 60 days"))</f>
        <v>Less than 30 days</v>
      </c>
      <c r="S1502" t="s">
        <v>1550</v>
      </c>
      <c r="T1502" s="43" t="s">
        <v>2229</v>
      </c>
      <c r="U1502" t="s">
        <v>3699</v>
      </c>
    </row>
    <row r="1503" spans="1:21" x14ac:dyDescent="0.3">
      <c r="A1503" t="s">
        <v>4139</v>
      </c>
      <c r="B1503" t="s">
        <v>30</v>
      </c>
      <c r="C1503" t="s">
        <v>1395</v>
      </c>
      <c r="D1503" s="15">
        <v>1</v>
      </c>
      <c r="E1503" s="7">
        <v>232.5</v>
      </c>
      <c r="H1503">
        <v>75810</v>
      </c>
      <c r="I1503" t="s">
        <v>845</v>
      </c>
      <c r="J1503" t="s">
        <v>3003</v>
      </c>
      <c r="K1503" t="s">
        <v>3</v>
      </c>
      <c r="L1503" s="2">
        <v>43252</v>
      </c>
      <c r="M1503" s="2">
        <f>DHMXX[[#This Row],[INV DOC DATE]]+30</f>
        <v>43282</v>
      </c>
      <c r="N1503" s="2">
        <v>43279</v>
      </c>
      <c r="O1503" s="7">
        <v>232.5</v>
      </c>
      <c r="P1503" s="2">
        <v>43290</v>
      </c>
      <c r="Q1503" s="7">
        <f>$E1503-$O1503</f>
        <v>0</v>
      </c>
      <c r="R1503" s="7" t="str">
        <f ca="1">IF(TODAY() - DHMXX[INV DUE DATE]&lt;30, "Less than 30 days",IF(TODAY()-DHMXX[INV DUE DATE]&lt;60,"30-60 days","More than 60 days"))</f>
        <v>Less than 30 days</v>
      </c>
      <c r="S1503" t="s">
        <v>1550</v>
      </c>
      <c r="T1503" s="43" t="s">
        <v>2229</v>
      </c>
      <c r="U1503" t="s">
        <v>3699</v>
      </c>
    </row>
    <row r="1504" spans="1:21" x14ac:dyDescent="0.3">
      <c r="A1504" t="s">
        <v>4139</v>
      </c>
      <c r="B1504" t="s">
        <v>30</v>
      </c>
      <c r="C1504" t="s">
        <v>1396</v>
      </c>
      <c r="D1504" s="15">
        <v>1</v>
      </c>
      <c r="E1504" s="7">
        <v>232.5</v>
      </c>
      <c r="H1504">
        <v>75810</v>
      </c>
      <c r="I1504" t="s">
        <v>845</v>
      </c>
      <c r="J1504" t="s">
        <v>3004</v>
      </c>
      <c r="K1504" t="s">
        <v>3</v>
      </c>
      <c r="L1504" s="2">
        <v>43252</v>
      </c>
      <c r="M1504" s="2">
        <f>DHMXX[[#This Row],[INV DOC DATE]]+30</f>
        <v>43282</v>
      </c>
      <c r="N1504" s="2">
        <v>43279</v>
      </c>
      <c r="O1504" s="7">
        <v>232.5</v>
      </c>
      <c r="P1504" s="2">
        <v>43290</v>
      </c>
      <c r="Q1504" s="7">
        <f>$E1504-$O1504</f>
        <v>0</v>
      </c>
      <c r="R1504" s="7" t="str">
        <f ca="1">IF(TODAY() - DHMXX[INV DUE DATE]&lt;30, "Less than 30 days",IF(TODAY()-DHMXX[INV DUE DATE]&lt;60,"30-60 days","More than 60 days"))</f>
        <v>Less than 30 days</v>
      </c>
      <c r="S1504" t="s">
        <v>1550</v>
      </c>
      <c r="T1504" s="43" t="s">
        <v>2229</v>
      </c>
      <c r="U1504" t="s">
        <v>3699</v>
      </c>
    </row>
    <row r="1505" spans="1:21" x14ac:dyDescent="0.3">
      <c r="A1505" t="s">
        <v>4139</v>
      </c>
      <c r="B1505" t="s">
        <v>30</v>
      </c>
      <c r="C1505" t="s">
        <v>1397</v>
      </c>
      <c r="D1505" s="15">
        <v>1</v>
      </c>
      <c r="E1505" s="7">
        <v>232.5</v>
      </c>
      <c r="H1505">
        <v>75810</v>
      </c>
      <c r="I1505" t="s">
        <v>845</v>
      </c>
      <c r="J1505" t="s">
        <v>3005</v>
      </c>
      <c r="K1505" t="s">
        <v>3</v>
      </c>
      <c r="L1505" s="2">
        <v>43252</v>
      </c>
      <c r="M1505" s="2">
        <f>DHMXX[[#This Row],[INV DOC DATE]]+30</f>
        <v>43282</v>
      </c>
      <c r="N1505" s="2">
        <v>43279</v>
      </c>
      <c r="O1505" s="7">
        <v>232.5</v>
      </c>
      <c r="P1505" s="2">
        <v>43290</v>
      </c>
      <c r="Q1505" s="7">
        <f>$E1505-$O1505</f>
        <v>0</v>
      </c>
      <c r="R1505" s="7" t="str">
        <f ca="1">IF(TODAY() - DHMXX[INV DUE DATE]&lt;30, "Less than 30 days",IF(TODAY()-DHMXX[INV DUE DATE]&lt;60,"30-60 days","More than 60 days"))</f>
        <v>Less than 30 days</v>
      </c>
      <c r="S1505" t="s">
        <v>1550</v>
      </c>
      <c r="T1505" s="43" t="s">
        <v>2229</v>
      </c>
      <c r="U1505" t="s">
        <v>3699</v>
      </c>
    </row>
    <row r="1506" spans="1:21" x14ac:dyDescent="0.3">
      <c r="A1506" t="s">
        <v>4139</v>
      </c>
      <c r="B1506" t="s">
        <v>30</v>
      </c>
      <c r="C1506" t="s">
        <v>1398</v>
      </c>
      <c r="D1506" s="15">
        <v>1</v>
      </c>
      <c r="E1506" s="7">
        <v>232.5</v>
      </c>
      <c r="H1506">
        <v>75810</v>
      </c>
      <c r="I1506" t="s">
        <v>859</v>
      </c>
      <c r="J1506" t="s">
        <v>3006</v>
      </c>
      <c r="K1506" t="s">
        <v>3</v>
      </c>
      <c r="L1506" s="2">
        <v>43252</v>
      </c>
      <c r="M1506" s="2">
        <f>DHMXX[[#This Row],[INV DOC DATE]]+30</f>
        <v>43282</v>
      </c>
      <c r="N1506" s="2">
        <v>43279</v>
      </c>
      <c r="O1506" s="7">
        <v>232.5</v>
      </c>
      <c r="P1506" s="2">
        <v>43290</v>
      </c>
      <c r="Q1506" s="7">
        <f>$E1506-$O1506</f>
        <v>0</v>
      </c>
      <c r="R1506" s="7" t="str">
        <f ca="1">IF(TODAY() - DHMXX[INV DUE DATE]&lt;30, "Less than 30 days",IF(TODAY()-DHMXX[INV DUE DATE]&lt;60,"30-60 days","More than 60 days"))</f>
        <v>Less than 30 days</v>
      </c>
      <c r="S1506" t="s">
        <v>1550</v>
      </c>
      <c r="T1506" s="43" t="s">
        <v>2229</v>
      </c>
      <c r="U1506" t="s">
        <v>3699</v>
      </c>
    </row>
    <row r="1507" spans="1:21" x14ac:dyDescent="0.3">
      <c r="A1507" t="s">
        <v>4139</v>
      </c>
      <c r="B1507" t="s">
        <v>30</v>
      </c>
      <c r="C1507" t="s">
        <v>1399</v>
      </c>
      <c r="D1507" s="15">
        <v>1</v>
      </c>
      <c r="E1507" s="7">
        <v>232.5</v>
      </c>
      <c r="H1507">
        <v>75810</v>
      </c>
      <c r="I1507" t="s">
        <v>859</v>
      </c>
      <c r="J1507" t="s">
        <v>3007</v>
      </c>
      <c r="K1507" t="s">
        <v>3</v>
      </c>
      <c r="L1507" s="2">
        <v>43252</v>
      </c>
      <c r="M1507" s="2">
        <f>DHMXX[[#This Row],[INV DOC DATE]]+30</f>
        <v>43282</v>
      </c>
      <c r="N1507" s="2">
        <v>43279</v>
      </c>
      <c r="O1507" s="7">
        <v>232.5</v>
      </c>
      <c r="P1507" s="2">
        <v>43290</v>
      </c>
      <c r="Q1507" s="7">
        <f>$E1507-$O1507</f>
        <v>0</v>
      </c>
      <c r="R1507" s="7" t="str">
        <f ca="1">IF(TODAY() - DHMXX[INV DUE DATE]&lt;30, "Less than 30 days",IF(TODAY()-DHMXX[INV DUE DATE]&lt;60,"30-60 days","More than 60 days"))</f>
        <v>Less than 30 days</v>
      </c>
      <c r="S1507" t="s">
        <v>1550</v>
      </c>
      <c r="T1507" s="43" t="s">
        <v>2229</v>
      </c>
      <c r="U1507" t="s">
        <v>3699</v>
      </c>
    </row>
    <row r="1508" spans="1:21" x14ac:dyDescent="0.3">
      <c r="A1508" t="s">
        <v>4139</v>
      </c>
      <c r="B1508" t="s">
        <v>30</v>
      </c>
      <c r="C1508" t="s">
        <v>1400</v>
      </c>
      <c r="D1508" s="15">
        <v>1</v>
      </c>
      <c r="E1508" s="7">
        <v>232.5</v>
      </c>
      <c r="H1508">
        <v>75810</v>
      </c>
      <c r="I1508" t="s">
        <v>859</v>
      </c>
      <c r="J1508" t="s">
        <v>3008</v>
      </c>
      <c r="K1508" t="s">
        <v>3</v>
      </c>
      <c r="L1508" s="2">
        <v>43252</v>
      </c>
      <c r="M1508" s="2">
        <f>DHMXX[[#This Row],[INV DOC DATE]]+30</f>
        <v>43282</v>
      </c>
      <c r="N1508" s="2">
        <v>43279</v>
      </c>
      <c r="O1508" s="7">
        <v>232.5</v>
      </c>
      <c r="P1508" s="2">
        <v>43290</v>
      </c>
      <c r="Q1508" s="7">
        <f>$E1508-$O1508</f>
        <v>0</v>
      </c>
      <c r="R1508" s="7" t="str">
        <f ca="1">IF(TODAY() - DHMXX[INV DUE DATE]&lt;30, "Less than 30 days",IF(TODAY()-DHMXX[INV DUE DATE]&lt;60,"30-60 days","More than 60 days"))</f>
        <v>Less than 30 days</v>
      </c>
      <c r="S1508" t="s">
        <v>1550</v>
      </c>
      <c r="T1508" s="43" t="s">
        <v>2229</v>
      </c>
      <c r="U1508" t="s">
        <v>3699</v>
      </c>
    </row>
    <row r="1509" spans="1:21" x14ac:dyDescent="0.3">
      <c r="A1509" t="s">
        <v>4139</v>
      </c>
      <c r="B1509" t="s">
        <v>30</v>
      </c>
      <c r="C1509" t="s">
        <v>1401</v>
      </c>
      <c r="D1509" s="15">
        <v>1</v>
      </c>
      <c r="E1509" s="7">
        <v>480</v>
      </c>
      <c r="H1509">
        <v>77572</v>
      </c>
      <c r="I1509" t="s">
        <v>832</v>
      </c>
      <c r="J1509" t="s">
        <v>3015</v>
      </c>
      <c r="K1509" t="s">
        <v>3</v>
      </c>
      <c r="L1509" s="2">
        <v>43252</v>
      </c>
      <c r="M1509" s="2">
        <f>DHMXX[[#This Row],[INV DOC DATE]]+30</f>
        <v>43282</v>
      </c>
      <c r="N1509" s="2">
        <v>43279</v>
      </c>
      <c r="O1509" s="7">
        <v>480</v>
      </c>
      <c r="P1509" s="2">
        <v>43290</v>
      </c>
      <c r="Q1509" s="7">
        <f>$E1509-$O1509</f>
        <v>0</v>
      </c>
      <c r="R1509" s="7" t="str">
        <f ca="1">IF(TODAY() - DHMXX[INV DUE DATE]&lt;30, "Less than 30 days",IF(TODAY()-DHMXX[INV DUE DATE]&lt;60,"30-60 days","More than 60 days"))</f>
        <v>Less than 30 days</v>
      </c>
      <c r="S1509" t="s">
        <v>1550</v>
      </c>
      <c r="T1509" s="43" t="s">
        <v>2229</v>
      </c>
      <c r="U1509" t="s">
        <v>3699</v>
      </c>
    </row>
    <row r="1510" spans="1:21" x14ac:dyDescent="0.3">
      <c r="A1510" t="s">
        <v>4139</v>
      </c>
      <c r="B1510" t="s">
        <v>30</v>
      </c>
      <c r="C1510" t="s">
        <v>1402</v>
      </c>
      <c r="D1510" s="15">
        <v>1</v>
      </c>
      <c r="E1510" s="7">
        <v>480</v>
      </c>
      <c r="H1510">
        <v>141188</v>
      </c>
      <c r="I1510" t="s">
        <v>353</v>
      </c>
      <c r="J1510" t="s">
        <v>3022</v>
      </c>
      <c r="K1510" t="s">
        <v>3</v>
      </c>
      <c r="L1510" s="2">
        <v>43252</v>
      </c>
      <c r="M1510" s="2">
        <f>DHMXX[[#This Row],[INV DOC DATE]]+30</f>
        <v>43282</v>
      </c>
      <c r="N1510" s="2">
        <v>43279</v>
      </c>
      <c r="O1510" s="7">
        <v>480</v>
      </c>
      <c r="P1510" s="2">
        <v>43290</v>
      </c>
      <c r="Q1510" s="7">
        <f>$E1510-$O1510</f>
        <v>0</v>
      </c>
      <c r="R1510" s="7" t="str">
        <f ca="1">IF(TODAY() - DHMXX[INV DUE DATE]&lt;30, "Less than 30 days",IF(TODAY()-DHMXX[INV DUE DATE]&lt;60,"30-60 days","More than 60 days"))</f>
        <v>Less than 30 days</v>
      </c>
      <c r="S1510" t="s">
        <v>1550</v>
      </c>
      <c r="T1510" s="43" t="s">
        <v>2229</v>
      </c>
      <c r="U1510" t="s">
        <v>3699</v>
      </c>
    </row>
    <row r="1511" spans="1:21" x14ac:dyDescent="0.3">
      <c r="A1511" t="s">
        <v>4139</v>
      </c>
      <c r="B1511" t="s">
        <v>30</v>
      </c>
      <c r="C1511" t="s">
        <v>1403</v>
      </c>
      <c r="D1511" s="15">
        <v>1</v>
      </c>
      <c r="E1511" s="7">
        <v>480</v>
      </c>
      <c r="H1511">
        <v>141188</v>
      </c>
      <c r="I1511" t="s">
        <v>353</v>
      </c>
      <c r="J1511" t="s">
        <v>3023</v>
      </c>
      <c r="K1511" t="s">
        <v>3</v>
      </c>
      <c r="L1511" s="2">
        <v>43252</v>
      </c>
      <c r="M1511" s="2">
        <f>DHMXX[[#This Row],[INV DOC DATE]]+30</f>
        <v>43282</v>
      </c>
      <c r="N1511" s="2">
        <v>43279</v>
      </c>
      <c r="O1511" s="7">
        <v>480</v>
      </c>
      <c r="P1511" s="2">
        <v>43290</v>
      </c>
      <c r="Q1511" s="7">
        <f>$E1511-$O1511</f>
        <v>0</v>
      </c>
      <c r="R1511" s="7" t="str">
        <f ca="1">IF(TODAY() - DHMXX[INV DUE DATE]&lt;30, "Less than 30 days",IF(TODAY()-DHMXX[INV DUE DATE]&lt;60,"30-60 days","More than 60 days"))</f>
        <v>Less than 30 days</v>
      </c>
      <c r="S1511" t="s">
        <v>1550</v>
      </c>
      <c r="T1511" s="43" t="s">
        <v>2229</v>
      </c>
      <c r="U1511" t="s">
        <v>3699</v>
      </c>
    </row>
    <row r="1512" spans="1:21" x14ac:dyDescent="0.3">
      <c r="A1512" t="s">
        <v>4139</v>
      </c>
      <c r="B1512" t="s">
        <v>30</v>
      </c>
      <c r="C1512" t="s">
        <v>1404</v>
      </c>
      <c r="D1512" s="15">
        <v>1</v>
      </c>
      <c r="E1512" s="7">
        <v>480</v>
      </c>
      <c r="H1512">
        <v>141188</v>
      </c>
      <c r="I1512" t="s">
        <v>353</v>
      </c>
      <c r="J1512" t="s">
        <v>3024</v>
      </c>
      <c r="K1512" t="s">
        <v>3</v>
      </c>
      <c r="L1512" s="2">
        <v>43252</v>
      </c>
      <c r="M1512" s="2">
        <f>DHMXX[[#This Row],[INV DOC DATE]]+30</f>
        <v>43282</v>
      </c>
      <c r="N1512" s="2">
        <v>43279</v>
      </c>
      <c r="O1512" s="7">
        <v>480</v>
      </c>
      <c r="P1512" s="2">
        <v>43290</v>
      </c>
      <c r="Q1512" s="7">
        <f>$E1512-$O1512</f>
        <v>0</v>
      </c>
      <c r="R1512" s="7" t="str">
        <f ca="1">IF(TODAY() - DHMXX[INV DUE DATE]&lt;30, "Less than 30 days",IF(TODAY()-DHMXX[INV DUE DATE]&lt;60,"30-60 days","More than 60 days"))</f>
        <v>Less than 30 days</v>
      </c>
      <c r="S1512" t="s">
        <v>1550</v>
      </c>
      <c r="T1512" s="43" t="s">
        <v>2229</v>
      </c>
      <c r="U1512" t="s">
        <v>3699</v>
      </c>
    </row>
    <row r="1513" spans="1:21" x14ac:dyDescent="0.3">
      <c r="A1513" t="s">
        <v>4139</v>
      </c>
      <c r="B1513" t="s">
        <v>30</v>
      </c>
      <c r="C1513" t="s">
        <v>1405</v>
      </c>
      <c r="D1513" s="15">
        <v>1</v>
      </c>
      <c r="E1513" s="7">
        <v>480</v>
      </c>
      <c r="H1513">
        <v>141188</v>
      </c>
      <c r="I1513" t="s">
        <v>353</v>
      </c>
      <c r="J1513" t="s">
        <v>3025</v>
      </c>
      <c r="K1513" t="s">
        <v>3</v>
      </c>
      <c r="L1513" s="2">
        <v>43252</v>
      </c>
      <c r="M1513" s="2">
        <f>DHMXX[[#This Row],[INV DOC DATE]]+30</f>
        <v>43282</v>
      </c>
      <c r="N1513" s="2">
        <v>43279</v>
      </c>
      <c r="O1513" s="7">
        <v>480</v>
      </c>
      <c r="P1513" s="2">
        <v>43290</v>
      </c>
      <c r="Q1513" s="7">
        <f>$E1513-$O1513</f>
        <v>0</v>
      </c>
      <c r="R1513" s="7" t="str">
        <f ca="1">IF(TODAY() - DHMXX[INV DUE DATE]&lt;30, "Less than 30 days",IF(TODAY()-DHMXX[INV DUE DATE]&lt;60,"30-60 days","More than 60 days"))</f>
        <v>Less than 30 days</v>
      </c>
      <c r="S1513" t="s">
        <v>1550</v>
      </c>
      <c r="T1513" s="43" t="s">
        <v>2229</v>
      </c>
      <c r="U1513" t="s">
        <v>3699</v>
      </c>
    </row>
    <row r="1514" spans="1:21" x14ac:dyDescent="0.3">
      <c r="A1514" t="s">
        <v>4139</v>
      </c>
      <c r="B1514" t="s">
        <v>30</v>
      </c>
      <c r="C1514" t="s">
        <v>1406</v>
      </c>
      <c r="D1514" s="15">
        <v>1</v>
      </c>
      <c r="E1514" s="7">
        <v>480</v>
      </c>
      <c r="H1514">
        <v>141188</v>
      </c>
      <c r="I1514" t="s">
        <v>353</v>
      </c>
      <c r="J1514" t="s">
        <v>3026</v>
      </c>
      <c r="K1514" t="s">
        <v>3</v>
      </c>
      <c r="L1514" s="2">
        <v>43252</v>
      </c>
      <c r="M1514" s="2">
        <f>DHMXX[[#This Row],[INV DOC DATE]]+30</f>
        <v>43282</v>
      </c>
      <c r="N1514" s="2">
        <v>43279</v>
      </c>
      <c r="O1514" s="7">
        <v>480</v>
      </c>
      <c r="P1514" s="2">
        <v>43290</v>
      </c>
      <c r="Q1514" s="7">
        <f>$E1514-$O1514</f>
        <v>0</v>
      </c>
      <c r="R1514" s="7" t="str">
        <f ca="1">IF(TODAY() - DHMXX[INV DUE DATE]&lt;30, "Less than 30 days",IF(TODAY()-DHMXX[INV DUE DATE]&lt;60,"30-60 days","More than 60 days"))</f>
        <v>Less than 30 days</v>
      </c>
      <c r="S1514" t="s">
        <v>1550</v>
      </c>
      <c r="T1514" s="43" t="s">
        <v>2229</v>
      </c>
      <c r="U1514" t="s">
        <v>3699</v>
      </c>
    </row>
    <row r="1515" spans="1:21" x14ac:dyDescent="0.3">
      <c r="A1515" t="s">
        <v>4139</v>
      </c>
      <c r="B1515" t="s">
        <v>30</v>
      </c>
      <c r="C1515" t="s">
        <v>1407</v>
      </c>
      <c r="D1515" s="15">
        <v>1</v>
      </c>
      <c r="E1515" s="7">
        <v>270</v>
      </c>
      <c r="H1515">
        <v>141188</v>
      </c>
      <c r="I1515" t="s">
        <v>353</v>
      </c>
      <c r="J1515" t="s">
        <v>3016</v>
      </c>
      <c r="K1515" t="s">
        <v>3</v>
      </c>
      <c r="L1515" s="2">
        <v>43252</v>
      </c>
      <c r="M1515" s="2">
        <f>DHMXX[[#This Row],[INV DOC DATE]]+30</f>
        <v>43282</v>
      </c>
      <c r="N1515" s="2">
        <v>43279</v>
      </c>
      <c r="O1515" s="7">
        <v>270</v>
      </c>
      <c r="P1515" s="2">
        <v>43290</v>
      </c>
      <c r="Q1515" s="7">
        <f>$E1515-$O1515</f>
        <v>0</v>
      </c>
      <c r="R1515" s="7" t="str">
        <f ca="1">IF(TODAY() - DHMXX[INV DUE DATE]&lt;30, "Less than 30 days",IF(TODAY()-DHMXX[INV DUE DATE]&lt;60,"30-60 days","More than 60 days"))</f>
        <v>Less than 30 days</v>
      </c>
      <c r="S1515" t="s">
        <v>1550</v>
      </c>
      <c r="T1515" s="43" t="s">
        <v>2229</v>
      </c>
      <c r="U1515" t="s">
        <v>3699</v>
      </c>
    </row>
    <row r="1516" spans="1:21" x14ac:dyDescent="0.3">
      <c r="A1516" t="s">
        <v>4139</v>
      </c>
      <c r="B1516" t="s">
        <v>30</v>
      </c>
      <c r="C1516" t="s">
        <v>1408</v>
      </c>
      <c r="D1516" s="15">
        <v>1</v>
      </c>
      <c r="E1516" s="7">
        <v>270</v>
      </c>
      <c r="H1516">
        <v>141188</v>
      </c>
      <c r="I1516" t="s">
        <v>353</v>
      </c>
      <c r="J1516" t="s">
        <v>3017</v>
      </c>
      <c r="K1516" t="s">
        <v>3</v>
      </c>
      <c r="L1516" s="2">
        <v>43252</v>
      </c>
      <c r="M1516" s="2">
        <f>DHMXX[[#This Row],[INV DOC DATE]]+30</f>
        <v>43282</v>
      </c>
      <c r="N1516" s="2">
        <v>43279</v>
      </c>
      <c r="O1516" s="7">
        <v>270</v>
      </c>
      <c r="P1516" s="2">
        <v>43290</v>
      </c>
      <c r="Q1516" s="7">
        <f>$E1516-$O1516</f>
        <v>0</v>
      </c>
      <c r="R1516" s="7" t="str">
        <f ca="1">IF(TODAY() - DHMXX[INV DUE DATE]&lt;30, "Less than 30 days",IF(TODAY()-DHMXX[INV DUE DATE]&lt;60,"30-60 days","More than 60 days"))</f>
        <v>Less than 30 days</v>
      </c>
      <c r="S1516" t="s">
        <v>1550</v>
      </c>
      <c r="T1516" s="43" t="s">
        <v>2229</v>
      </c>
      <c r="U1516" t="s">
        <v>3699</v>
      </c>
    </row>
    <row r="1517" spans="1:21" x14ac:dyDescent="0.3">
      <c r="A1517" t="s">
        <v>4139</v>
      </c>
      <c r="B1517" t="s">
        <v>30</v>
      </c>
      <c r="C1517" t="s">
        <v>1409</v>
      </c>
      <c r="D1517" s="15">
        <v>1</v>
      </c>
      <c r="E1517" s="7">
        <v>270</v>
      </c>
      <c r="H1517">
        <v>141188</v>
      </c>
      <c r="I1517" t="s">
        <v>353</v>
      </c>
      <c r="J1517" t="s">
        <v>3018</v>
      </c>
      <c r="K1517" t="s">
        <v>3</v>
      </c>
      <c r="L1517" s="2">
        <v>43252</v>
      </c>
      <c r="M1517" s="2">
        <f>DHMXX[[#This Row],[INV DOC DATE]]+30</f>
        <v>43282</v>
      </c>
      <c r="N1517" s="2">
        <v>43279</v>
      </c>
      <c r="O1517" s="7">
        <v>270</v>
      </c>
      <c r="P1517" s="2">
        <v>43290</v>
      </c>
      <c r="Q1517" s="7">
        <f>$E1517-$O1517</f>
        <v>0</v>
      </c>
      <c r="R1517" s="7" t="str">
        <f ca="1">IF(TODAY() - DHMXX[INV DUE DATE]&lt;30, "Less than 30 days",IF(TODAY()-DHMXX[INV DUE DATE]&lt;60,"30-60 days","More than 60 days"))</f>
        <v>Less than 30 days</v>
      </c>
      <c r="S1517" t="s">
        <v>1550</v>
      </c>
      <c r="T1517" s="43" t="s">
        <v>2229</v>
      </c>
      <c r="U1517" t="s">
        <v>3699</v>
      </c>
    </row>
    <row r="1518" spans="1:21" x14ac:dyDescent="0.3">
      <c r="A1518" t="s">
        <v>4139</v>
      </c>
      <c r="B1518" t="s">
        <v>30</v>
      </c>
      <c r="C1518" t="s">
        <v>1410</v>
      </c>
      <c r="D1518" s="15">
        <v>1</v>
      </c>
      <c r="E1518" s="7">
        <v>270</v>
      </c>
      <c r="H1518">
        <v>141188</v>
      </c>
      <c r="I1518" t="s">
        <v>353</v>
      </c>
      <c r="J1518" t="s">
        <v>3019</v>
      </c>
      <c r="K1518" t="s">
        <v>3</v>
      </c>
      <c r="L1518" s="2">
        <v>43252</v>
      </c>
      <c r="M1518" s="2">
        <f>DHMXX[[#This Row],[INV DOC DATE]]+30</f>
        <v>43282</v>
      </c>
      <c r="N1518" s="2">
        <v>43279</v>
      </c>
      <c r="O1518" s="7">
        <v>270</v>
      </c>
      <c r="P1518" s="2">
        <v>43290</v>
      </c>
      <c r="Q1518" s="7">
        <f>$E1518-$O1518</f>
        <v>0</v>
      </c>
      <c r="R1518" s="7" t="str">
        <f ca="1">IF(TODAY() - DHMXX[INV DUE DATE]&lt;30, "Less than 30 days",IF(TODAY()-DHMXX[INV DUE DATE]&lt;60,"30-60 days","More than 60 days"))</f>
        <v>Less than 30 days</v>
      </c>
      <c r="S1518" t="s">
        <v>1550</v>
      </c>
      <c r="T1518" s="43" t="s">
        <v>2229</v>
      </c>
      <c r="U1518" t="s">
        <v>3699</v>
      </c>
    </row>
    <row r="1519" spans="1:21" x14ac:dyDescent="0.3">
      <c r="A1519" t="s">
        <v>4139</v>
      </c>
      <c r="B1519" t="s">
        <v>30</v>
      </c>
      <c r="C1519" t="s">
        <v>1411</v>
      </c>
      <c r="D1519" s="15">
        <v>1</v>
      </c>
      <c r="E1519" s="7">
        <v>270</v>
      </c>
      <c r="H1519">
        <v>141188</v>
      </c>
      <c r="I1519" t="s">
        <v>353</v>
      </c>
      <c r="J1519" t="s">
        <v>3020</v>
      </c>
      <c r="K1519" t="s">
        <v>3</v>
      </c>
      <c r="L1519" s="2">
        <v>43252</v>
      </c>
      <c r="M1519" s="2">
        <f>DHMXX[[#This Row],[INV DOC DATE]]+30</f>
        <v>43282</v>
      </c>
      <c r="N1519" s="2">
        <v>43279</v>
      </c>
      <c r="O1519" s="7">
        <v>270</v>
      </c>
      <c r="P1519" s="2">
        <v>43290</v>
      </c>
      <c r="Q1519" s="7">
        <f>$E1519-$O1519</f>
        <v>0</v>
      </c>
      <c r="R1519" s="7" t="str">
        <f ca="1">IF(TODAY() - DHMXX[INV DUE DATE]&lt;30, "Less than 30 days",IF(TODAY()-DHMXX[INV DUE DATE]&lt;60,"30-60 days","More than 60 days"))</f>
        <v>Less than 30 days</v>
      </c>
      <c r="S1519" t="s">
        <v>1550</v>
      </c>
      <c r="T1519" s="43" t="s">
        <v>2229</v>
      </c>
      <c r="U1519" t="s">
        <v>3699</v>
      </c>
    </row>
    <row r="1520" spans="1:21" x14ac:dyDescent="0.3">
      <c r="A1520" t="s">
        <v>4139</v>
      </c>
      <c r="B1520" t="s">
        <v>30</v>
      </c>
      <c r="C1520" t="s">
        <v>1412</v>
      </c>
      <c r="D1520" s="15">
        <v>1</v>
      </c>
      <c r="E1520" s="7">
        <v>270</v>
      </c>
      <c r="H1520">
        <v>141188</v>
      </c>
      <c r="I1520" t="s">
        <v>353</v>
      </c>
      <c r="J1520" t="s">
        <v>3021</v>
      </c>
      <c r="K1520" t="s">
        <v>3</v>
      </c>
      <c r="L1520" s="2">
        <v>43252</v>
      </c>
      <c r="M1520" s="2">
        <f>DHMXX[[#This Row],[INV DOC DATE]]+30</f>
        <v>43282</v>
      </c>
      <c r="N1520" s="2">
        <v>43279</v>
      </c>
      <c r="O1520" s="7">
        <v>270</v>
      </c>
      <c r="P1520" s="2">
        <v>43290</v>
      </c>
      <c r="Q1520" s="7">
        <f>$E1520-$O1520</f>
        <v>0</v>
      </c>
      <c r="R1520" s="7" t="str">
        <f ca="1">IF(TODAY() - DHMXX[INV DUE DATE]&lt;30, "Less than 30 days",IF(TODAY()-DHMXX[INV DUE DATE]&lt;60,"30-60 days","More than 60 days"))</f>
        <v>Less than 30 days</v>
      </c>
      <c r="S1520" t="s">
        <v>1550</v>
      </c>
      <c r="T1520" s="43" t="s">
        <v>2229</v>
      </c>
      <c r="U1520" t="s">
        <v>3699</v>
      </c>
    </row>
    <row r="1521" spans="1:21" x14ac:dyDescent="0.3">
      <c r="A1521" t="s">
        <v>4139</v>
      </c>
      <c r="B1521" t="s">
        <v>30</v>
      </c>
      <c r="C1521" t="s">
        <v>1413</v>
      </c>
      <c r="D1521" s="15">
        <v>1</v>
      </c>
      <c r="E1521" s="7">
        <v>465</v>
      </c>
      <c r="H1521">
        <v>142910</v>
      </c>
      <c r="I1521" t="s">
        <v>841</v>
      </c>
      <c r="J1521" t="s">
        <v>3027</v>
      </c>
      <c r="K1521" t="s">
        <v>3</v>
      </c>
      <c r="L1521" s="2">
        <v>43252</v>
      </c>
      <c r="M1521" s="2">
        <f>DHMXX[[#This Row],[INV DOC DATE]]+30</f>
        <v>43282</v>
      </c>
      <c r="N1521" s="2">
        <v>43279</v>
      </c>
      <c r="O1521" s="7">
        <v>465</v>
      </c>
      <c r="P1521" s="2">
        <v>43290</v>
      </c>
      <c r="Q1521" s="7">
        <f>$E1521-$O1521</f>
        <v>0</v>
      </c>
      <c r="R1521" s="7" t="str">
        <f ca="1">IF(TODAY() - DHMXX[INV DUE DATE]&lt;30, "Less than 30 days",IF(TODAY()-DHMXX[INV DUE DATE]&lt;60,"30-60 days","More than 60 days"))</f>
        <v>Less than 30 days</v>
      </c>
      <c r="S1521" t="s">
        <v>1550</v>
      </c>
      <c r="T1521" s="43" t="s">
        <v>2229</v>
      </c>
      <c r="U1521" t="s">
        <v>3699</v>
      </c>
    </row>
    <row r="1522" spans="1:21" x14ac:dyDescent="0.3">
      <c r="A1522" t="s">
        <v>4139</v>
      </c>
      <c r="B1522" t="s">
        <v>30</v>
      </c>
      <c r="C1522" t="s">
        <v>1414</v>
      </c>
      <c r="D1522" s="15">
        <v>1</v>
      </c>
      <c r="E1522" s="7">
        <v>540</v>
      </c>
      <c r="H1522">
        <v>142910</v>
      </c>
      <c r="I1522" t="s">
        <v>841</v>
      </c>
      <c r="J1522" t="s">
        <v>3028</v>
      </c>
      <c r="K1522" t="s">
        <v>3</v>
      </c>
      <c r="L1522" s="2">
        <v>43252</v>
      </c>
      <c r="M1522" s="2">
        <f>DHMXX[[#This Row],[INV DOC DATE]]+30</f>
        <v>43282</v>
      </c>
      <c r="N1522" s="2">
        <v>43279</v>
      </c>
      <c r="O1522" s="7">
        <v>540</v>
      </c>
      <c r="P1522" s="2">
        <v>43290</v>
      </c>
      <c r="Q1522" s="7">
        <f>$E1522-$O1522</f>
        <v>0</v>
      </c>
      <c r="R1522" s="7" t="str">
        <f ca="1">IF(TODAY() - DHMXX[INV DUE DATE]&lt;30, "Less than 30 days",IF(TODAY()-DHMXX[INV DUE DATE]&lt;60,"30-60 days","More than 60 days"))</f>
        <v>Less than 30 days</v>
      </c>
      <c r="S1522" t="s">
        <v>1550</v>
      </c>
      <c r="T1522" s="43" t="s">
        <v>2229</v>
      </c>
      <c r="U1522" t="s">
        <v>3699</v>
      </c>
    </row>
    <row r="1523" spans="1:21" x14ac:dyDescent="0.3">
      <c r="A1523" t="s">
        <v>4139</v>
      </c>
      <c r="B1523" t="s">
        <v>30</v>
      </c>
      <c r="C1523" t="s">
        <v>1415</v>
      </c>
      <c r="D1523" s="15">
        <v>1</v>
      </c>
      <c r="E1523" s="7">
        <v>232.5</v>
      </c>
      <c r="H1523">
        <v>142910</v>
      </c>
      <c r="I1523" t="s">
        <v>841</v>
      </c>
      <c r="J1523" t="s">
        <v>3029</v>
      </c>
      <c r="K1523" t="s">
        <v>3</v>
      </c>
      <c r="L1523" s="2">
        <v>43252</v>
      </c>
      <c r="M1523" s="2">
        <f>DHMXX[[#This Row],[INV DOC DATE]]+30</f>
        <v>43282</v>
      </c>
      <c r="N1523" s="2">
        <v>43279</v>
      </c>
      <c r="O1523" s="7">
        <v>232.5</v>
      </c>
      <c r="P1523" s="2">
        <v>43290</v>
      </c>
      <c r="Q1523" s="7">
        <f>$E1523-$O1523</f>
        <v>0</v>
      </c>
      <c r="R1523" s="7" t="str">
        <f ca="1">IF(TODAY() - DHMXX[INV DUE DATE]&lt;30, "Less than 30 days",IF(TODAY()-DHMXX[INV DUE DATE]&lt;60,"30-60 days","More than 60 days"))</f>
        <v>Less than 30 days</v>
      </c>
      <c r="S1523" t="s">
        <v>1550</v>
      </c>
      <c r="T1523" s="43" t="s">
        <v>2229</v>
      </c>
      <c r="U1523" t="s">
        <v>3699</v>
      </c>
    </row>
    <row r="1524" spans="1:21" x14ac:dyDescent="0.3">
      <c r="A1524" t="s">
        <v>4139</v>
      </c>
      <c r="B1524" t="s">
        <v>30</v>
      </c>
      <c r="C1524" t="s">
        <v>1416</v>
      </c>
      <c r="D1524" s="15">
        <v>1</v>
      </c>
      <c r="E1524" s="7">
        <v>225</v>
      </c>
      <c r="H1524">
        <v>142910</v>
      </c>
      <c r="I1524" t="s">
        <v>841</v>
      </c>
      <c r="J1524" t="s">
        <v>3030</v>
      </c>
      <c r="K1524" t="s">
        <v>3</v>
      </c>
      <c r="L1524" s="2">
        <v>43252</v>
      </c>
      <c r="M1524" s="2">
        <f>DHMXX[[#This Row],[INV DOC DATE]]+30</f>
        <v>43282</v>
      </c>
      <c r="N1524" s="2">
        <v>43279</v>
      </c>
      <c r="O1524" s="7">
        <v>225</v>
      </c>
      <c r="P1524" s="2">
        <v>43290</v>
      </c>
      <c r="Q1524" s="7">
        <f>$E1524-$O1524</f>
        <v>0</v>
      </c>
      <c r="R1524" s="7" t="str">
        <f ca="1">IF(TODAY() - DHMXX[INV DUE DATE]&lt;30, "Less than 30 days",IF(TODAY()-DHMXX[INV DUE DATE]&lt;60,"30-60 days","More than 60 days"))</f>
        <v>Less than 30 days</v>
      </c>
      <c r="S1524" t="s">
        <v>1550</v>
      </c>
      <c r="T1524" s="43" t="s">
        <v>2229</v>
      </c>
      <c r="U1524" t="s">
        <v>3699</v>
      </c>
    </row>
    <row r="1525" spans="1:21" x14ac:dyDescent="0.3">
      <c r="A1525" t="s">
        <v>4139</v>
      </c>
      <c r="B1525" t="s">
        <v>30</v>
      </c>
      <c r="C1525" t="s">
        <v>1417</v>
      </c>
      <c r="D1525" s="15">
        <v>1</v>
      </c>
      <c r="E1525" s="7">
        <v>172.5</v>
      </c>
      <c r="H1525">
        <v>201323</v>
      </c>
      <c r="I1525" t="s">
        <v>856</v>
      </c>
      <c r="J1525" t="s">
        <v>3043</v>
      </c>
      <c r="K1525" t="s">
        <v>3</v>
      </c>
      <c r="L1525" s="2">
        <v>43252</v>
      </c>
      <c r="M1525" s="2">
        <f>DHMXX[[#This Row],[INV DOC DATE]]+30</f>
        <v>43282</v>
      </c>
      <c r="N1525" s="2">
        <v>43279</v>
      </c>
      <c r="O1525" s="7">
        <v>172.5</v>
      </c>
      <c r="P1525" s="2">
        <v>43290</v>
      </c>
      <c r="Q1525" s="7">
        <f>$E1525-$O1525</f>
        <v>0</v>
      </c>
      <c r="R1525" s="7" t="str">
        <f ca="1">IF(TODAY() - DHMXX[INV DUE DATE]&lt;30, "Less than 30 days",IF(TODAY()-DHMXX[INV DUE DATE]&lt;60,"30-60 days","More than 60 days"))</f>
        <v>Less than 30 days</v>
      </c>
      <c r="S1525" t="s">
        <v>1550</v>
      </c>
      <c r="T1525" s="43" t="s">
        <v>2229</v>
      </c>
      <c r="U1525" t="s">
        <v>3699</v>
      </c>
    </row>
    <row r="1526" spans="1:21" x14ac:dyDescent="0.3">
      <c r="A1526" t="s">
        <v>4139</v>
      </c>
      <c r="B1526" t="s">
        <v>30</v>
      </c>
      <c r="C1526" t="s">
        <v>1418</v>
      </c>
      <c r="D1526" s="15">
        <v>1</v>
      </c>
      <c r="E1526" s="7">
        <v>172.5</v>
      </c>
      <c r="H1526">
        <v>201323</v>
      </c>
      <c r="I1526" t="s">
        <v>856</v>
      </c>
      <c r="J1526" t="s">
        <v>3044</v>
      </c>
      <c r="K1526" t="s">
        <v>3</v>
      </c>
      <c r="L1526" s="2">
        <v>43252</v>
      </c>
      <c r="M1526" s="2">
        <f>DHMXX[[#This Row],[INV DOC DATE]]+30</f>
        <v>43282</v>
      </c>
      <c r="N1526" s="2">
        <v>43279</v>
      </c>
      <c r="O1526" s="7">
        <v>172.5</v>
      </c>
      <c r="P1526" s="2">
        <v>43290</v>
      </c>
      <c r="Q1526" s="7">
        <f>$E1526-$O1526</f>
        <v>0</v>
      </c>
      <c r="R1526" s="7" t="str">
        <f ca="1">IF(TODAY() - DHMXX[INV DUE DATE]&lt;30, "Less than 30 days",IF(TODAY()-DHMXX[INV DUE DATE]&lt;60,"30-60 days","More than 60 days"))</f>
        <v>Less than 30 days</v>
      </c>
      <c r="S1526" t="s">
        <v>1550</v>
      </c>
      <c r="T1526" s="43" t="s">
        <v>2229</v>
      </c>
      <c r="U1526" t="s">
        <v>3699</v>
      </c>
    </row>
    <row r="1527" spans="1:21" x14ac:dyDescent="0.3">
      <c r="A1527" t="s">
        <v>4139</v>
      </c>
      <c r="B1527" t="s">
        <v>30</v>
      </c>
      <c r="C1527" t="s">
        <v>1419</v>
      </c>
      <c r="D1527" s="15">
        <v>1</v>
      </c>
      <c r="E1527" s="7">
        <v>172.5</v>
      </c>
      <c r="H1527">
        <v>201323</v>
      </c>
      <c r="I1527" t="s">
        <v>856</v>
      </c>
      <c r="J1527" t="s">
        <v>3045</v>
      </c>
      <c r="K1527" t="s">
        <v>3</v>
      </c>
      <c r="L1527" s="2">
        <v>43252</v>
      </c>
      <c r="M1527" s="2">
        <f>DHMXX[[#This Row],[INV DOC DATE]]+30</f>
        <v>43282</v>
      </c>
      <c r="N1527" s="2">
        <v>43279</v>
      </c>
      <c r="O1527" s="7">
        <v>172.5</v>
      </c>
      <c r="P1527" s="2">
        <v>43290</v>
      </c>
      <c r="Q1527" s="7">
        <f>$E1527-$O1527</f>
        <v>0</v>
      </c>
      <c r="R1527" s="7" t="str">
        <f ca="1">IF(TODAY() - DHMXX[INV DUE DATE]&lt;30, "Less than 30 days",IF(TODAY()-DHMXX[INV DUE DATE]&lt;60,"30-60 days","More than 60 days"))</f>
        <v>Less than 30 days</v>
      </c>
      <c r="S1527" t="s">
        <v>1550</v>
      </c>
      <c r="T1527" s="43" t="s">
        <v>2229</v>
      </c>
      <c r="U1527" t="s">
        <v>3699</v>
      </c>
    </row>
    <row r="1528" spans="1:21" x14ac:dyDescent="0.3">
      <c r="A1528" t="s">
        <v>4139</v>
      </c>
      <c r="B1528" t="s">
        <v>30</v>
      </c>
      <c r="C1528" t="s">
        <v>1420</v>
      </c>
      <c r="D1528" s="15">
        <v>1</v>
      </c>
      <c r="E1528" s="7">
        <v>172.5</v>
      </c>
      <c r="H1528">
        <v>201323</v>
      </c>
      <c r="I1528" t="s">
        <v>856</v>
      </c>
      <c r="J1528" t="s">
        <v>3046</v>
      </c>
      <c r="K1528" t="s">
        <v>3</v>
      </c>
      <c r="L1528" s="2">
        <v>43252</v>
      </c>
      <c r="M1528" s="2">
        <f>DHMXX[[#This Row],[INV DOC DATE]]+30</f>
        <v>43282</v>
      </c>
      <c r="N1528" s="2">
        <v>43279</v>
      </c>
      <c r="O1528" s="7">
        <v>172.5</v>
      </c>
      <c r="P1528" s="2">
        <v>43290</v>
      </c>
      <c r="Q1528" s="7">
        <f>$E1528-$O1528</f>
        <v>0</v>
      </c>
      <c r="R1528" s="7" t="str">
        <f ca="1">IF(TODAY() - DHMXX[INV DUE DATE]&lt;30, "Less than 30 days",IF(TODAY()-DHMXX[INV DUE DATE]&lt;60,"30-60 days","More than 60 days"))</f>
        <v>Less than 30 days</v>
      </c>
      <c r="S1528" t="s">
        <v>1550</v>
      </c>
      <c r="T1528" s="43" t="s">
        <v>2229</v>
      </c>
      <c r="U1528" t="s">
        <v>3699</v>
      </c>
    </row>
    <row r="1529" spans="1:21" x14ac:dyDescent="0.3">
      <c r="A1529" t="s">
        <v>4139</v>
      </c>
      <c r="B1529" t="s">
        <v>30</v>
      </c>
      <c r="C1529" t="s">
        <v>1421</v>
      </c>
      <c r="D1529" s="15">
        <v>1</v>
      </c>
      <c r="E1529" s="7">
        <v>172.5</v>
      </c>
      <c r="H1529">
        <v>201323</v>
      </c>
      <c r="I1529" t="s">
        <v>856</v>
      </c>
      <c r="J1529" t="s">
        <v>3047</v>
      </c>
      <c r="K1529" t="s">
        <v>3</v>
      </c>
      <c r="L1529" s="2">
        <v>43252</v>
      </c>
      <c r="M1529" s="2">
        <f>DHMXX[[#This Row],[INV DOC DATE]]+30</f>
        <v>43282</v>
      </c>
      <c r="N1529" s="2">
        <v>43279</v>
      </c>
      <c r="O1529" s="7">
        <v>172.5</v>
      </c>
      <c r="P1529" s="2">
        <v>43290</v>
      </c>
      <c r="Q1529" s="7">
        <f>$E1529-$O1529</f>
        <v>0</v>
      </c>
      <c r="R1529" s="7" t="str">
        <f ca="1">IF(TODAY() - DHMXX[INV DUE DATE]&lt;30, "Less than 30 days",IF(TODAY()-DHMXX[INV DUE DATE]&lt;60,"30-60 days","More than 60 days"))</f>
        <v>Less than 30 days</v>
      </c>
      <c r="S1529" t="s">
        <v>1550</v>
      </c>
      <c r="T1529" s="43" t="s">
        <v>2229</v>
      </c>
      <c r="U1529" t="s">
        <v>3699</v>
      </c>
    </row>
    <row r="1530" spans="1:21" x14ac:dyDescent="0.3">
      <c r="A1530" t="s">
        <v>4139</v>
      </c>
      <c r="B1530" t="s">
        <v>30</v>
      </c>
      <c r="C1530" t="s">
        <v>1422</v>
      </c>
      <c r="D1530" s="15">
        <v>1</v>
      </c>
      <c r="E1530" s="7">
        <v>172.5</v>
      </c>
      <c r="H1530">
        <v>201323</v>
      </c>
      <c r="I1530" t="s">
        <v>856</v>
      </c>
      <c r="J1530" t="s">
        <v>3048</v>
      </c>
      <c r="K1530" t="s">
        <v>3</v>
      </c>
      <c r="L1530" s="2">
        <v>43252</v>
      </c>
      <c r="M1530" s="2">
        <f>DHMXX[[#This Row],[INV DOC DATE]]+30</f>
        <v>43282</v>
      </c>
      <c r="N1530" s="2">
        <v>43279</v>
      </c>
      <c r="O1530" s="7">
        <v>172.5</v>
      </c>
      <c r="P1530" s="2">
        <v>43290</v>
      </c>
      <c r="Q1530" s="7">
        <f>$E1530-$O1530</f>
        <v>0</v>
      </c>
      <c r="R1530" s="7" t="str">
        <f ca="1">IF(TODAY() - DHMXX[INV DUE DATE]&lt;30, "Less than 30 days",IF(TODAY()-DHMXX[INV DUE DATE]&lt;60,"30-60 days","More than 60 days"))</f>
        <v>Less than 30 days</v>
      </c>
      <c r="S1530" t="s">
        <v>1550</v>
      </c>
      <c r="T1530" s="43" t="s">
        <v>2229</v>
      </c>
      <c r="U1530" t="s">
        <v>3699</v>
      </c>
    </row>
    <row r="1531" spans="1:21" x14ac:dyDescent="0.3">
      <c r="A1531" t="s">
        <v>4139</v>
      </c>
      <c r="B1531" t="s">
        <v>30</v>
      </c>
      <c r="C1531" t="s">
        <v>1423</v>
      </c>
      <c r="D1531" s="15">
        <v>1</v>
      </c>
      <c r="E1531" s="7">
        <v>172.5</v>
      </c>
      <c r="H1531">
        <v>201323</v>
      </c>
      <c r="I1531" t="s">
        <v>856</v>
      </c>
      <c r="J1531" t="s">
        <v>3049</v>
      </c>
      <c r="K1531" t="s">
        <v>3</v>
      </c>
      <c r="L1531" s="2">
        <v>43252</v>
      </c>
      <c r="M1531" s="2">
        <f>DHMXX[[#This Row],[INV DOC DATE]]+30</f>
        <v>43282</v>
      </c>
      <c r="N1531" s="2">
        <v>43279</v>
      </c>
      <c r="O1531" s="7">
        <v>172.5</v>
      </c>
      <c r="P1531" s="2">
        <v>43290</v>
      </c>
      <c r="Q1531" s="7">
        <f>$E1531-$O1531</f>
        <v>0</v>
      </c>
      <c r="R1531" s="7" t="str">
        <f ca="1">IF(TODAY() - DHMXX[INV DUE DATE]&lt;30, "Less than 30 days",IF(TODAY()-DHMXX[INV DUE DATE]&lt;60,"30-60 days","More than 60 days"))</f>
        <v>Less than 30 days</v>
      </c>
      <c r="S1531" t="s">
        <v>1550</v>
      </c>
      <c r="T1531" s="43" t="s">
        <v>2229</v>
      </c>
      <c r="U1531" t="s">
        <v>3699</v>
      </c>
    </row>
    <row r="1532" spans="1:21" x14ac:dyDescent="0.3">
      <c r="A1532" t="s">
        <v>4139</v>
      </c>
      <c r="B1532" t="s">
        <v>30</v>
      </c>
      <c r="C1532" t="s">
        <v>1424</v>
      </c>
      <c r="D1532" s="15">
        <v>1</v>
      </c>
      <c r="E1532" s="7">
        <v>172.5</v>
      </c>
      <c r="H1532">
        <v>201323</v>
      </c>
      <c r="I1532" t="s">
        <v>856</v>
      </c>
      <c r="J1532" t="s">
        <v>3050</v>
      </c>
      <c r="K1532" t="s">
        <v>3</v>
      </c>
      <c r="L1532" s="2">
        <v>43252</v>
      </c>
      <c r="M1532" s="2">
        <f>DHMXX[[#This Row],[INV DOC DATE]]+30</f>
        <v>43282</v>
      </c>
      <c r="N1532" s="2">
        <v>43279</v>
      </c>
      <c r="O1532" s="7">
        <v>172.5</v>
      </c>
      <c r="P1532" s="2">
        <v>43290</v>
      </c>
      <c r="Q1532" s="7">
        <f>$E1532-$O1532</f>
        <v>0</v>
      </c>
      <c r="R1532" s="7" t="str">
        <f ca="1">IF(TODAY() - DHMXX[INV DUE DATE]&lt;30, "Less than 30 days",IF(TODAY()-DHMXX[INV DUE DATE]&lt;60,"30-60 days","More than 60 days"))</f>
        <v>Less than 30 days</v>
      </c>
      <c r="S1532" t="s">
        <v>1550</v>
      </c>
      <c r="T1532" s="43" t="s">
        <v>2229</v>
      </c>
      <c r="U1532" t="s">
        <v>3699</v>
      </c>
    </row>
    <row r="1533" spans="1:21" x14ac:dyDescent="0.3">
      <c r="A1533" t="s">
        <v>4139</v>
      </c>
      <c r="B1533" t="s">
        <v>30</v>
      </c>
      <c r="C1533" t="s">
        <v>1425</v>
      </c>
      <c r="D1533" s="15">
        <v>1</v>
      </c>
      <c r="E1533" s="7">
        <v>172.5</v>
      </c>
      <c r="H1533">
        <v>201323</v>
      </c>
      <c r="I1533" t="s">
        <v>856</v>
      </c>
      <c r="J1533" t="s">
        <v>3051</v>
      </c>
      <c r="K1533" t="s">
        <v>3</v>
      </c>
      <c r="L1533" s="2">
        <v>43252</v>
      </c>
      <c r="M1533" s="2">
        <f>DHMXX[[#This Row],[INV DOC DATE]]+30</f>
        <v>43282</v>
      </c>
      <c r="N1533" s="2">
        <v>43279</v>
      </c>
      <c r="O1533" s="7">
        <v>172.5</v>
      </c>
      <c r="P1533" s="2">
        <v>43290</v>
      </c>
      <c r="Q1533" s="7">
        <f>$E1533-$O1533</f>
        <v>0</v>
      </c>
      <c r="R1533" s="7" t="str">
        <f ca="1">IF(TODAY() - DHMXX[INV DUE DATE]&lt;30, "Less than 30 days",IF(TODAY()-DHMXX[INV DUE DATE]&lt;60,"30-60 days","More than 60 days"))</f>
        <v>Less than 30 days</v>
      </c>
      <c r="S1533" t="s">
        <v>1550</v>
      </c>
      <c r="T1533" s="43" t="s">
        <v>2229</v>
      </c>
      <c r="U1533" t="s">
        <v>3699</v>
      </c>
    </row>
    <row r="1534" spans="1:21" x14ac:dyDescent="0.3">
      <c r="A1534" t="s">
        <v>4139</v>
      </c>
      <c r="B1534" t="s">
        <v>30</v>
      </c>
      <c r="C1534" t="s">
        <v>1426</v>
      </c>
      <c r="D1534" s="15">
        <v>1</v>
      </c>
      <c r="E1534" s="7">
        <v>172.5</v>
      </c>
      <c r="H1534">
        <v>201323</v>
      </c>
      <c r="I1534" t="s">
        <v>856</v>
      </c>
      <c r="J1534" t="s">
        <v>3052</v>
      </c>
      <c r="K1534" t="s">
        <v>3</v>
      </c>
      <c r="L1534" s="2">
        <v>43252</v>
      </c>
      <c r="M1534" s="2">
        <f>DHMXX[[#This Row],[INV DOC DATE]]+30</f>
        <v>43282</v>
      </c>
      <c r="N1534" s="2">
        <v>43279</v>
      </c>
      <c r="O1534" s="7">
        <v>172.5</v>
      </c>
      <c r="P1534" s="2">
        <v>43290</v>
      </c>
      <c r="Q1534" s="7">
        <f>$E1534-$O1534</f>
        <v>0</v>
      </c>
      <c r="R1534" s="7" t="str">
        <f ca="1">IF(TODAY() - DHMXX[INV DUE DATE]&lt;30, "Less than 30 days",IF(TODAY()-DHMXX[INV DUE DATE]&lt;60,"30-60 days","More than 60 days"))</f>
        <v>Less than 30 days</v>
      </c>
      <c r="S1534" t="s">
        <v>1550</v>
      </c>
      <c r="T1534" s="43" t="s">
        <v>2229</v>
      </c>
      <c r="U1534" t="s">
        <v>3699</v>
      </c>
    </row>
    <row r="1535" spans="1:21" x14ac:dyDescent="0.3">
      <c r="A1535" t="s">
        <v>4139</v>
      </c>
      <c r="B1535" t="s">
        <v>30</v>
      </c>
      <c r="C1535" t="s">
        <v>1427</v>
      </c>
      <c r="D1535" s="15">
        <v>1</v>
      </c>
      <c r="E1535" s="7">
        <v>172.5</v>
      </c>
      <c r="H1535">
        <v>201323</v>
      </c>
      <c r="I1535" t="s">
        <v>856</v>
      </c>
      <c r="J1535" t="s">
        <v>3053</v>
      </c>
      <c r="K1535" t="s">
        <v>3</v>
      </c>
      <c r="L1535" s="2">
        <v>43252</v>
      </c>
      <c r="M1535" s="2">
        <f>DHMXX[[#This Row],[INV DOC DATE]]+30</f>
        <v>43282</v>
      </c>
      <c r="N1535" s="2">
        <v>43279</v>
      </c>
      <c r="O1535" s="7">
        <v>172.5</v>
      </c>
      <c r="P1535" s="2">
        <v>43290</v>
      </c>
      <c r="Q1535" s="7">
        <f>$E1535-$O1535</f>
        <v>0</v>
      </c>
      <c r="R1535" s="7" t="str">
        <f ca="1">IF(TODAY() - DHMXX[INV DUE DATE]&lt;30, "Less than 30 days",IF(TODAY()-DHMXX[INV DUE DATE]&lt;60,"30-60 days","More than 60 days"))</f>
        <v>Less than 30 days</v>
      </c>
      <c r="S1535" t="s">
        <v>1550</v>
      </c>
      <c r="T1535" s="43" t="s">
        <v>2229</v>
      </c>
      <c r="U1535" t="s">
        <v>3699</v>
      </c>
    </row>
    <row r="1536" spans="1:21" x14ac:dyDescent="0.3">
      <c r="A1536" t="s">
        <v>4139</v>
      </c>
      <c r="B1536" t="s">
        <v>30</v>
      </c>
      <c r="C1536" t="s">
        <v>1428</v>
      </c>
      <c r="D1536" s="15">
        <v>1</v>
      </c>
      <c r="E1536" s="7">
        <v>172.5</v>
      </c>
      <c r="H1536">
        <v>201323</v>
      </c>
      <c r="I1536" t="s">
        <v>856</v>
      </c>
      <c r="J1536" t="s">
        <v>3054</v>
      </c>
      <c r="K1536" t="s">
        <v>3</v>
      </c>
      <c r="L1536" s="2">
        <v>43252</v>
      </c>
      <c r="M1536" s="2">
        <f>DHMXX[[#This Row],[INV DOC DATE]]+30</f>
        <v>43282</v>
      </c>
      <c r="N1536" s="2">
        <v>43279</v>
      </c>
      <c r="O1536" s="7">
        <v>172.5</v>
      </c>
      <c r="P1536" s="2">
        <v>43290</v>
      </c>
      <c r="Q1536" s="7">
        <f>$E1536-$O1536</f>
        <v>0</v>
      </c>
      <c r="R1536" s="7" t="str">
        <f ca="1">IF(TODAY() - DHMXX[INV DUE DATE]&lt;30, "Less than 30 days",IF(TODAY()-DHMXX[INV DUE DATE]&lt;60,"30-60 days","More than 60 days"))</f>
        <v>Less than 30 days</v>
      </c>
      <c r="S1536" t="s">
        <v>1550</v>
      </c>
      <c r="T1536" s="43" t="s">
        <v>2229</v>
      </c>
      <c r="U1536" t="s">
        <v>3699</v>
      </c>
    </row>
    <row r="1537" spans="1:21" x14ac:dyDescent="0.3">
      <c r="A1537" t="s">
        <v>4139</v>
      </c>
      <c r="B1537" t="s">
        <v>30</v>
      </c>
      <c r="C1537" t="s">
        <v>1429</v>
      </c>
      <c r="D1537" s="15">
        <v>1</v>
      </c>
      <c r="E1537" s="7">
        <v>225</v>
      </c>
      <c r="H1537">
        <v>201323</v>
      </c>
      <c r="I1537" t="s">
        <v>856</v>
      </c>
      <c r="J1537" t="s">
        <v>3031</v>
      </c>
      <c r="K1537" t="s">
        <v>3</v>
      </c>
      <c r="L1537" s="2">
        <v>43252</v>
      </c>
      <c r="M1537" s="2">
        <f>DHMXX[[#This Row],[INV DOC DATE]]+30</f>
        <v>43282</v>
      </c>
      <c r="N1537" s="2">
        <v>43279</v>
      </c>
      <c r="O1537" s="7">
        <v>225</v>
      </c>
      <c r="P1537" s="2">
        <v>43290</v>
      </c>
      <c r="Q1537" s="7">
        <f>$E1537-$O1537</f>
        <v>0</v>
      </c>
      <c r="R1537" s="7" t="str">
        <f ca="1">IF(TODAY() - DHMXX[INV DUE DATE]&lt;30, "Less than 30 days",IF(TODAY()-DHMXX[INV DUE DATE]&lt;60,"30-60 days","More than 60 days"))</f>
        <v>Less than 30 days</v>
      </c>
      <c r="S1537" t="s">
        <v>1550</v>
      </c>
      <c r="T1537" s="43" t="s">
        <v>2229</v>
      </c>
      <c r="U1537" t="s">
        <v>3699</v>
      </c>
    </row>
    <row r="1538" spans="1:21" x14ac:dyDescent="0.3">
      <c r="A1538" t="s">
        <v>4139</v>
      </c>
      <c r="B1538" t="s">
        <v>30</v>
      </c>
      <c r="C1538" t="s">
        <v>1430</v>
      </c>
      <c r="D1538" s="15">
        <v>1</v>
      </c>
      <c r="E1538" s="7">
        <v>225</v>
      </c>
      <c r="H1538">
        <v>201323</v>
      </c>
      <c r="I1538" t="s">
        <v>856</v>
      </c>
      <c r="J1538" t="s">
        <v>3032</v>
      </c>
      <c r="K1538" t="s">
        <v>3</v>
      </c>
      <c r="L1538" s="2">
        <v>43252</v>
      </c>
      <c r="M1538" s="2">
        <f>DHMXX[[#This Row],[INV DOC DATE]]+30</f>
        <v>43282</v>
      </c>
      <c r="N1538" s="2">
        <v>43279</v>
      </c>
      <c r="O1538" s="7">
        <v>225</v>
      </c>
      <c r="P1538" s="2">
        <v>43290</v>
      </c>
      <c r="Q1538" s="7">
        <f>$E1538-$O1538</f>
        <v>0</v>
      </c>
      <c r="R1538" s="7" t="str">
        <f ca="1">IF(TODAY() - DHMXX[INV DUE DATE]&lt;30, "Less than 30 days",IF(TODAY()-DHMXX[INV DUE DATE]&lt;60,"30-60 days","More than 60 days"))</f>
        <v>Less than 30 days</v>
      </c>
      <c r="S1538" t="s">
        <v>1550</v>
      </c>
      <c r="T1538" s="43" t="s">
        <v>2229</v>
      </c>
      <c r="U1538" t="s">
        <v>3699</v>
      </c>
    </row>
    <row r="1539" spans="1:21" x14ac:dyDescent="0.3">
      <c r="A1539" t="s">
        <v>4139</v>
      </c>
      <c r="B1539" t="s">
        <v>30</v>
      </c>
      <c r="C1539" t="s">
        <v>1431</v>
      </c>
      <c r="D1539" s="15">
        <v>1</v>
      </c>
      <c r="E1539" s="7">
        <v>225</v>
      </c>
      <c r="H1539">
        <v>201323</v>
      </c>
      <c r="I1539" t="s">
        <v>856</v>
      </c>
      <c r="J1539" t="s">
        <v>3033</v>
      </c>
      <c r="K1539" t="s">
        <v>3</v>
      </c>
      <c r="L1539" s="2">
        <v>43252</v>
      </c>
      <c r="M1539" s="2">
        <f>DHMXX[[#This Row],[INV DOC DATE]]+30</f>
        <v>43282</v>
      </c>
      <c r="N1539" s="2">
        <v>43279</v>
      </c>
      <c r="O1539" s="7">
        <v>225</v>
      </c>
      <c r="P1539" s="2">
        <v>43290</v>
      </c>
      <c r="Q1539" s="7">
        <f>$E1539-$O1539</f>
        <v>0</v>
      </c>
      <c r="R1539" s="7" t="str">
        <f ca="1">IF(TODAY() - DHMXX[INV DUE DATE]&lt;30, "Less than 30 days",IF(TODAY()-DHMXX[INV DUE DATE]&lt;60,"30-60 days","More than 60 days"))</f>
        <v>Less than 30 days</v>
      </c>
      <c r="S1539" t="s">
        <v>1550</v>
      </c>
      <c r="T1539" s="43" t="s">
        <v>2229</v>
      </c>
      <c r="U1539" t="s">
        <v>3699</v>
      </c>
    </row>
    <row r="1540" spans="1:21" x14ac:dyDescent="0.3">
      <c r="A1540" t="s">
        <v>4139</v>
      </c>
      <c r="B1540" t="s">
        <v>30</v>
      </c>
      <c r="C1540" t="s">
        <v>1432</v>
      </c>
      <c r="D1540" s="15">
        <v>1</v>
      </c>
      <c r="E1540" s="7">
        <v>225</v>
      </c>
      <c r="H1540">
        <v>201323</v>
      </c>
      <c r="I1540" t="s">
        <v>856</v>
      </c>
      <c r="J1540" t="s">
        <v>3034</v>
      </c>
      <c r="K1540" t="s">
        <v>3</v>
      </c>
      <c r="L1540" s="2">
        <v>43252</v>
      </c>
      <c r="M1540" s="2">
        <f>DHMXX[[#This Row],[INV DOC DATE]]+30</f>
        <v>43282</v>
      </c>
      <c r="N1540" s="2">
        <v>43279</v>
      </c>
      <c r="O1540" s="7">
        <v>225</v>
      </c>
      <c r="P1540" s="2">
        <v>43290</v>
      </c>
      <c r="Q1540" s="7">
        <f>$E1540-$O1540</f>
        <v>0</v>
      </c>
      <c r="R1540" s="7" t="str">
        <f ca="1">IF(TODAY() - DHMXX[INV DUE DATE]&lt;30, "Less than 30 days",IF(TODAY()-DHMXX[INV DUE DATE]&lt;60,"30-60 days","More than 60 days"))</f>
        <v>Less than 30 days</v>
      </c>
      <c r="S1540" t="s">
        <v>1550</v>
      </c>
      <c r="T1540" s="43" t="s">
        <v>2229</v>
      </c>
      <c r="U1540" t="s">
        <v>3699</v>
      </c>
    </row>
    <row r="1541" spans="1:21" x14ac:dyDescent="0.3">
      <c r="A1541" t="s">
        <v>4139</v>
      </c>
      <c r="B1541" t="s">
        <v>30</v>
      </c>
      <c r="C1541" t="s">
        <v>1433</v>
      </c>
      <c r="D1541" s="15">
        <v>1</v>
      </c>
      <c r="E1541" s="7">
        <v>225</v>
      </c>
      <c r="H1541">
        <v>201323</v>
      </c>
      <c r="I1541" t="s">
        <v>856</v>
      </c>
      <c r="J1541" t="s">
        <v>3035</v>
      </c>
      <c r="K1541" t="s">
        <v>3</v>
      </c>
      <c r="L1541" s="2">
        <v>43252</v>
      </c>
      <c r="M1541" s="2">
        <f>DHMXX[[#This Row],[INV DOC DATE]]+30</f>
        <v>43282</v>
      </c>
      <c r="N1541" s="2">
        <v>43279</v>
      </c>
      <c r="O1541" s="7">
        <v>225</v>
      </c>
      <c r="P1541" s="2">
        <v>43290</v>
      </c>
      <c r="Q1541" s="7">
        <f>$E1541-$O1541</f>
        <v>0</v>
      </c>
      <c r="R1541" s="7" t="str">
        <f ca="1">IF(TODAY() - DHMXX[INV DUE DATE]&lt;30, "Less than 30 days",IF(TODAY()-DHMXX[INV DUE DATE]&lt;60,"30-60 days","More than 60 days"))</f>
        <v>Less than 30 days</v>
      </c>
      <c r="S1541" t="s">
        <v>1550</v>
      </c>
      <c r="T1541" s="43" t="s">
        <v>2229</v>
      </c>
      <c r="U1541" t="s">
        <v>3699</v>
      </c>
    </row>
    <row r="1542" spans="1:21" x14ac:dyDescent="0.3">
      <c r="A1542" t="s">
        <v>4139</v>
      </c>
      <c r="B1542" t="s">
        <v>30</v>
      </c>
      <c r="C1542" t="s">
        <v>1434</v>
      </c>
      <c r="D1542" s="15">
        <v>1</v>
      </c>
      <c r="E1542" s="7">
        <v>225</v>
      </c>
      <c r="H1542">
        <v>201323</v>
      </c>
      <c r="I1542" t="s">
        <v>856</v>
      </c>
      <c r="J1542" t="s">
        <v>3036</v>
      </c>
      <c r="K1542" t="s">
        <v>3</v>
      </c>
      <c r="L1542" s="2">
        <v>43252</v>
      </c>
      <c r="M1542" s="2">
        <f>DHMXX[[#This Row],[INV DOC DATE]]+30</f>
        <v>43282</v>
      </c>
      <c r="N1542" s="2">
        <v>43279</v>
      </c>
      <c r="O1542" s="7">
        <v>225</v>
      </c>
      <c r="P1542" s="2">
        <v>43290</v>
      </c>
      <c r="Q1542" s="7">
        <f>$E1542-$O1542</f>
        <v>0</v>
      </c>
      <c r="R1542" s="7" t="str">
        <f ca="1">IF(TODAY() - DHMXX[INV DUE DATE]&lt;30, "Less than 30 days",IF(TODAY()-DHMXX[INV DUE DATE]&lt;60,"30-60 days","More than 60 days"))</f>
        <v>Less than 30 days</v>
      </c>
      <c r="S1542" t="s">
        <v>1550</v>
      </c>
      <c r="T1542" s="43" t="s">
        <v>2229</v>
      </c>
      <c r="U1542" t="s">
        <v>3699</v>
      </c>
    </row>
    <row r="1543" spans="1:21" x14ac:dyDescent="0.3">
      <c r="A1543" t="s">
        <v>4139</v>
      </c>
      <c r="B1543" t="s">
        <v>30</v>
      </c>
      <c r="C1543" t="s">
        <v>1435</v>
      </c>
      <c r="D1543" s="15">
        <v>1</v>
      </c>
      <c r="E1543" s="7">
        <v>225</v>
      </c>
      <c r="H1543">
        <v>201323</v>
      </c>
      <c r="I1543" t="s">
        <v>856</v>
      </c>
      <c r="J1543" t="s">
        <v>3037</v>
      </c>
      <c r="K1543" t="s">
        <v>3</v>
      </c>
      <c r="L1543" s="2">
        <v>43252</v>
      </c>
      <c r="M1543" s="2">
        <f>DHMXX[[#This Row],[INV DOC DATE]]+30</f>
        <v>43282</v>
      </c>
      <c r="N1543" s="2">
        <v>43279</v>
      </c>
      <c r="O1543" s="7">
        <v>225</v>
      </c>
      <c r="P1543" s="2">
        <v>43290</v>
      </c>
      <c r="Q1543" s="7">
        <f>$E1543-$O1543</f>
        <v>0</v>
      </c>
      <c r="R1543" s="7" t="str">
        <f ca="1">IF(TODAY() - DHMXX[INV DUE DATE]&lt;30, "Less than 30 days",IF(TODAY()-DHMXX[INV DUE DATE]&lt;60,"30-60 days","More than 60 days"))</f>
        <v>Less than 30 days</v>
      </c>
      <c r="S1543" t="s">
        <v>1550</v>
      </c>
      <c r="T1543" s="43" t="s">
        <v>2229</v>
      </c>
      <c r="U1543" t="s">
        <v>3699</v>
      </c>
    </row>
    <row r="1544" spans="1:21" x14ac:dyDescent="0.3">
      <c r="A1544" t="s">
        <v>4139</v>
      </c>
      <c r="B1544" t="s">
        <v>30</v>
      </c>
      <c r="C1544" t="s">
        <v>1436</v>
      </c>
      <c r="D1544" s="15">
        <v>1</v>
      </c>
      <c r="E1544" s="7">
        <v>225</v>
      </c>
      <c r="H1544">
        <v>201323</v>
      </c>
      <c r="I1544" t="s">
        <v>856</v>
      </c>
      <c r="J1544" t="s">
        <v>3038</v>
      </c>
      <c r="K1544" t="s">
        <v>3</v>
      </c>
      <c r="L1544" s="2">
        <v>43252</v>
      </c>
      <c r="M1544" s="2">
        <f>DHMXX[[#This Row],[INV DOC DATE]]+30</f>
        <v>43282</v>
      </c>
      <c r="N1544" s="2">
        <v>43279</v>
      </c>
      <c r="O1544" s="7">
        <v>225</v>
      </c>
      <c r="P1544" s="2">
        <v>43290</v>
      </c>
      <c r="Q1544" s="7">
        <f>$E1544-$O1544</f>
        <v>0</v>
      </c>
      <c r="R1544" s="7" t="str">
        <f ca="1">IF(TODAY() - DHMXX[INV DUE DATE]&lt;30, "Less than 30 days",IF(TODAY()-DHMXX[INV DUE DATE]&lt;60,"30-60 days","More than 60 days"))</f>
        <v>Less than 30 days</v>
      </c>
      <c r="S1544" t="s">
        <v>1550</v>
      </c>
      <c r="T1544" s="43" t="s">
        <v>2229</v>
      </c>
      <c r="U1544" t="s">
        <v>3699</v>
      </c>
    </row>
    <row r="1545" spans="1:21" x14ac:dyDescent="0.3">
      <c r="A1545" t="s">
        <v>4139</v>
      </c>
      <c r="B1545" t="s">
        <v>30</v>
      </c>
      <c r="C1545" t="s">
        <v>1437</v>
      </c>
      <c r="D1545" s="15">
        <v>1</v>
      </c>
      <c r="E1545" s="7">
        <v>225</v>
      </c>
      <c r="H1545">
        <v>201323</v>
      </c>
      <c r="I1545" t="s">
        <v>856</v>
      </c>
      <c r="J1545" t="s">
        <v>3039</v>
      </c>
      <c r="K1545" t="s">
        <v>3</v>
      </c>
      <c r="L1545" s="2">
        <v>43252</v>
      </c>
      <c r="M1545" s="2">
        <f>DHMXX[[#This Row],[INV DOC DATE]]+30</f>
        <v>43282</v>
      </c>
      <c r="N1545" s="2">
        <v>43279</v>
      </c>
      <c r="O1545" s="7">
        <v>225</v>
      </c>
      <c r="P1545" s="2">
        <v>43290</v>
      </c>
      <c r="Q1545" s="7">
        <f>$E1545-$O1545</f>
        <v>0</v>
      </c>
      <c r="R1545" s="7" t="str">
        <f ca="1">IF(TODAY() - DHMXX[INV DUE DATE]&lt;30, "Less than 30 days",IF(TODAY()-DHMXX[INV DUE DATE]&lt;60,"30-60 days","More than 60 days"))</f>
        <v>Less than 30 days</v>
      </c>
      <c r="S1545" t="s">
        <v>1550</v>
      </c>
      <c r="T1545" s="43" t="s">
        <v>2229</v>
      </c>
      <c r="U1545" t="s">
        <v>3699</v>
      </c>
    </row>
    <row r="1546" spans="1:21" x14ac:dyDescent="0.3">
      <c r="A1546" t="s">
        <v>4139</v>
      </c>
      <c r="B1546" t="s">
        <v>30</v>
      </c>
      <c r="C1546" t="s">
        <v>1438</v>
      </c>
      <c r="D1546" s="15">
        <v>1</v>
      </c>
      <c r="E1546" s="7">
        <v>225</v>
      </c>
      <c r="H1546">
        <v>201323</v>
      </c>
      <c r="I1546" t="s">
        <v>856</v>
      </c>
      <c r="J1546" t="s">
        <v>3040</v>
      </c>
      <c r="K1546" t="s">
        <v>3</v>
      </c>
      <c r="L1546" s="2">
        <v>43252</v>
      </c>
      <c r="M1546" s="2">
        <f>DHMXX[[#This Row],[INV DOC DATE]]+30</f>
        <v>43282</v>
      </c>
      <c r="N1546" s="2">
        <v>43279</v>
      </c>
      <c r="O1546" s="7">
        <v>225</v>
      </c>
      <c r="P1546" s="2">
        <v>43290</v>
      </c>
      <c r="Q1546" s="7">
        <f>$E1546-$O1546</f>
        <v>0</v>
      </c>
      <c r="R1546" s="7" t="str">
        <f ca="1">IF(TODAY() - DHMXX[INV DUE DATE]&lt;30, "Less than 30 days",IF(TODAY()-DHMXX[INV DUE DATE]&lt;60,"30-60 days","More than 60 days"))</f>
        <v>Less than 30 days</v>
      </c>
      <c r="S1546" t="s">
        <v>1550</v>
      </c>
      <c r="T1546" s="43" t="s">
        <v>2229</v>
      </c>
      <c r="U1546" t="s">
        <v>3699</v>
      </c>
    </row>
    <row r="1547" spans="1:21" x14ac:dyDescent="0.3">
      <c r="A1547" t="s">
        <v>4139</v>
      </c>
      <c r="B1547" t="s">
        <v>30</v>
      </c>
      <c r="C1547" t="s">
        <v>1439</v>
      </c>
      <c r="D1547" s="15">
        <v>1</v>
      </c>
      <c r="E1547" s="7">
        <v>225</v>
      </c>
      <c r="H1547">
        <v>201323</v>
      </c>
      <c r="I1547" t="s">
        <v>856</v>
      </c>
      <c r="J1547" t="s">
        <v>3041</v>
      </c>
      <c r="K1547" t="s">
        <v>3</v>
      </c>
      <c r="L1547" s="2">
        <v>43252</v>
      </c>
      <c r="M1547" s="2">
        <f>DHMXX[[#This Row],[INV DOC DATE]]+30</f>
        <v>43282</v>
      </c>
      <c r="N1547" s="2">
        <v>43279</v>
      </c>
      <c r="O1547" s="7">
        <v>225</v>
      </c>
      <c r="P1547" s="2">
        <v>43290</v>
      </c>
      <c r="Q1547" s="7">
        <f>$E1547-$O1547</f>
        <v>0</v>
      </c>
      <c r="R1547" s="7" t="str">
        <f ca="1">IF(TODAY() - DHMXX[INV DUE DATE]&lt;30, "Less than 30 days",IF(TODAY()-DHMXX[INV DUE DATE]&lt;60,"30-60 days","More than 60 days"))</f>
        <v>Less than 30 days</v>
      </c>
      <c r="S1547" t="s">
        <v>1550</v>
      </c>
      <c r="T1547" s="43" t="s">
        <v>2229</v>
      </c>
      <c r="U1547" t="s">
        <v>3699</v>
      </c>
    </row>
    <row r="1548" spans="1:21" x14ac:dyDescent="0.3">
      <c r="A1548" t="s">
        <v>4139</v>
      </c>
      <c r="B1548" t="s">
        <v>30</v>
      </c>
      <c r="C1548" t="s">
        <v>1440</v>
      </c>
      <c r="D1548" s="15">
        <v>1</v>
      </c>
      <c r="E1548" s="7">
        <v>225</v>
      </c>
      <c r="H1548">
        <v>201323</v>
      </c>
      <c r="I1548" t="s">
        <v>856</v>
      </c>
      <c r="J1548" t="s">
        <v>3042</v>
      </c>
      <c r="K1548" t="s">
        <v>3</v>
      </c>
      <c r="L1548" s="2">
        <v>43252</v>
      </c>
      <c r="M1548" s="2">
        <f>DHMXX[[#This Row],[INV DOC DATE]]+30</f>
        <v>43282</v>
      </c>
      <c r="N1548" s="2">
        <v>43279</v>
      </c>
      <c r="O1548" s="7">
        <v>225</v>
      </c>
      <c r="P1548" s="2">
        <v>43290</v>
      </c>
      <c r="Q1548" s="7">
        <f>$E1548-$O1548</f>
        <v>0</v>
      </c>
      <c r="R1548" s="7" t="str">
        <f ca="1">IF(TODAY() - DHMXX[INV DUE DATE]&lt;30, "Less than 30 days",IF(TODAY()-DHMXX[INV DUE DATE]&lt;60,"30-60 days","More than 60 days"))</f>
        <v>Less than 30 days</v>
      </c>
      <c r="S1548" t="s">
        <v>1550</v>
      </c>
      <c r="T1548" s="43" t="s">
        <v>2229</v>
      </c>
      <c r="U1548" t="s">
        <v>3699</v>
      </c>
    </row>
    <row r="1549" spans="1:21" x14ac:dyDescent="0.3">
      <c r="A1549" t="s">
        <v>4139</v>
      </c>
      <c r="B1549" t="s">
        <v>30</v>
      </c>
      <c r="C1549" t="s">
        <v>1541</v>
      </c>
      <c r="D1549" s="15">
        <v>2000</v>
      </c>
      <c r="E1549" s="7">
        <v>172.5</v>
      </c>
      <c r="H1549">
        <v>37912</v>
      </c>
      <c r="I1549" t="s">
        <v>362</v>
      </c>
      <c r="J1549" t="s">
        <v>3151</v>
      </c>
      <c r="K1549" t="s">
        <v>3</v>
      </c>
      <c r="L1549" s="2">
        <v>43252</v>
      </c>
      <c r="M1549" s="2">
        <f>DHMXX[[#This Row],[INV DOC DATE]]+30</f>
        <v>43282</v>
      </c>
      <c r="N1549" s="2">
        <v>43279</v>
      </c>
      <c r="O1549" s="7">
        <v>172.5</v>
      </c>
      <c r="P1549" s="2">
        <v>43290</v>
      </c>
      <c r="Q1549" s="7">
        <f>$E1549-$O1549</f>
        <v>0</v>
      </c>
      <c r="R1549" s="7" t="str">
        <f ca="1">IF(TODAY() - DHMXX[INV DUE DATE]&lt;30, "Less than 30 days",IF(TODAY()-DHMXX[INV DUE DATE]&lt;60,"30-60 days","More than 60 days"))</f>
        <v>Less than 30 days</v>
      </c>
      <c r="S1549" t="s">
        <v>1550</v>
      </c>
      <c r="T1549" s="43" t="s">
        <v>2229</v>
      </c>
      <c r="U1549" t="s">
        <v>3699</v>
      </c>
    </row>
    <row r="1550" spans="1:21" x14ac:dyDescent="0.3">
      <c r="A1550" t="s">
        <v>4139</v>
      </c>
      <c r="B1550" t="s">
        <v>30</v>
      </c>
      <c r="C1550" t="s">
        <v>1542</v>
      </c>
      <c r="D1550" s="15">
        <v>2000</v>
      </c>
      <c r="E1550" s="7">
        <v>172.5</v>
      </c>
      <c r="H1550">
        <v>37912</v>
      </c>
      <c r="I1550" t="s">
        <v>362</v>
      </c>
      <c r="J1550" t="s">
        <v>3152</v>
      </c>
      <c r="K1550" t="s">
        <v>3</v>
      </c>
      <c r="L1550" s="2">
        <v>43252</v>
      </c>
      <c r="M1550" s="2">
        <f>DHMXX[[#This Row],[INV DOC DATE]]+30</f>
        <v>43282</v>
      </c>
      <c r="N1550" s="2">
        <v>43279</v>
      </c>
      <c r="O1550" s="7">
        <v>172.5</v>
      </c>
      <c r="P1550" s="2">
        <v>43290</v>
      </c>
      <c r="Q1550" s="7">
        <f>$E1550-$O1550</f>
        <v>0</v>
      </c>
      <c r="R1550" s="7" t="str">
        <f ca="1">IF(TODAY() - DHMXX[INV DUE DATE]&lt;30, "Less than 30 days",IF(TODAY()-DHMXX[INV DUE DATE]&lt;60,"30-60 days","More than 60 days"))</f>
        <v>Less than 30 days</v>
      </c>
      <c r="S1550" t="s">
        <v>1550</v>
      </c>
      <c r="T1550" s="43" t="s">
        <v>2229</v>
      </c>
      <c r="U1550" t="s">
        <v>3699</v>
      </c>
    </row>
    <row r="1551" spans="1:21" x14ac:dyDescent="0.3">
      <c r="A1551" t="s">
        <v>4139</v>
      </c>
      <c r="B1551" t="s">
        <v>30</v>
      </c>
      <c r="C1551" t="s">
        <v>1543</v>
      </c>
      <c r="D1551" s="15">
        <v>2000</v>
      </c>
      <c r="E1551" s="7">
        <v>172.5</v>
      </c>
      <c r="H1551">
        <v>37912</v>
      </c>
      <c r="I1551" t="s">
        <v>362</v>
      </c>
      <c r="J1551" t="s">
        <v>3153</v>
      </c>
      <c r="K1551" t="s">
        <v>3</v>
      </c>
      <c r="L1551" s="2">
        <v>43252</v>
      </c>
      <c r="M1551" s="2">
        <f>DHMXX[[#This Row],[INV DOC DATE]]+30</f>
        <v>43282</v>
      </c>
      <c r="N1551" s="2">
        <v>43279</v>
      </c>
      <c r="O1551" s="7">
        <v>172.5</v>
      </c>
      <c r="P1551" s="2">
        <v>43290</v>
      </c>
      <c r="Q1551" s="7">
        <f>$E1551-$O1551</f>
        <v>0</v>
      </c>
      <c r="R1551" s="7" t="str">
        <f ca="1">IF(TODAY() - DHMXX[INV DUE DATE]&lt;30, "Less than 30 days",IF(TODAY()-DHMXX[INV DUE DATE]&lt;60,"30-60 days","More than 60 days"))</f>
        <v>Less than 30 days</v>
      </c>
      <c r="S1551" t="s">
        <v>1550</v>
      </c>
      <c r="T1551" s="43" t="s">
        <v>2229</v>
      </c>
      <c r="U1551" t="s">
        <v>3699</v>
      </c>
    </row>
    <row r="1552" spans="1:21" x14ac:dyDescent="0.3">
      <c r="A1552" t="s">
        <v>4139</v>
      </c>
      <c r="B1552" t="s">
        <v>30</v>
      </c>
      <c r="C1552" t="s">
        <v>1544</v>
      </c>
      <c r="D1552" s="15">
        <v>2000</v>
      </c>
      <c r="E1552" s="7">
        <v>172.5</v>
      </c>
      <c r="H1552">
        <v>37912</v>
      </c>
      <c r="I1552" t="s">
        <v>362</v>
      </c>
      <c r="J1552" t="s">
        <v>3154</v>
      </c>
      <c r="K1552" t="s">
        <v>3</v>
      </c>
      <c r="L1552" s="2">
        <v>43252</v>
      </c>
      <c r="M1552" s="2">
        <f>DHMXX[[#This Row],[INV DOC DATE]]+30</f>
        <v>43282</v>
      </c>
      <c r="N1552" s="2">
        <v>43279</v>
      </c>
      <c r="O1552" s="7">
        <v>172.5</v>
      </c>
      <c r="P1552" s="2">
        <v>43290</v>
      </c>
      <c r="Q1552" s="7">
        <f>$E1552-$O1552</f>
        <v>0</v>
      </c>
      <c r="R1552" s="7" t="str">
        <f ca="1">IF(TODAY() - DHMXX[INV DUE DATE]&lt;30, "Less than 30 days",IF(TODAY()-DHMXX[INV DUE DATE]&lt;60,"30-60 days","More than 60 days"))</f>
        <v>Less than 30 days</v>
      </c>
      <c r="S1552" t="s">
        <v>1550</v>
      </c>
      <c r="T1552" s="43" t="s">
        <v>2229</v>
      </c>
      <c r="U1552" t="s">
        <v>3699</v>
      </c>
    </row>
    <row r="1553" spans="1:21" x14ac:dyDescent="0.3">
      <c r="A1553" t="s">
        <v>4139</v>
      </c>
      <c r="B1553" t="s">
        <v>30</v>
      </c>
      <c r="C1553" t="s">
        <v>1545</v>
      </c>
      <c r="D1553" s="15">
        <v>2000</v>
      </c>
      <c r="E1553" s="7">
        <v>480</v>
      </c>
      <c r="H1553">
        <v>132622</v>
      </c>
      <c r="I1553" t="s">
        <v>832</v>
      </c>
      <c r="J1553" t="s">
        <v>3156</v>
      </c>
      <c r="K1553" t="s">
        <v>3</v>
      </c>
      <c r="L1553" s="2">
        <v>43252</v>
      </c>
      <c r="M1553" s="2">
        <f>DHMXX[[#This Row],[INV DOC DATE]]+30</f>
        <v>43282</v>
      </c>
      <c r="N1553" s="2">
        <v>43279</v>
      </c>
      <c r="O1553" s="7">
        <v>480</v>
      </c>
      <c r="P1553" s="2">
        <v>43290</v>
      </c>
      <c r="Q1553" s="7">
        <f>$E1553-$O1553</f>
        <v>0</v>
      </c>
      <c r="R1553" s="7" t="str">
        <f ca="1">IF(TODAY() - DHMXX[INV DUE DATE]&lt;30, "Less than 30 days",IF(TODAY()-DHMXX[INV DUE DATE]&lt;60,"30-60 days","More than 60 days"))</f>
        <v>Less than 30 days</v>
      </c>
      <c r="S1553" t="s">
        <v>1550</v>
      </c>
      <c r="T1553" s="43" t="s">
        <v>2229</v>
      </c>
      <c r="U1553" t="s">
        <v>3699</v>
      </c>
    </row>
    <row r="1554" spans="1:21" x14ac:dyDescent="0.3">
      <c r="A1554" t="s">
        <v>4139</v>
      </c>
      <c r="B1554" t="s">
        <v>30</v>
      </c>
      <c r="C1554" t="s">
        <v>1546</v>
      </c>
      <c r="D1554" s="15">
        <v>2000</v>
      </c>
      <c r="E1554" s="7">
        <v>270</v>
      </c>
      <c r="H1554">
        <v>132622</v>
      </c>
      <c r="I1554" t="s">
        <v>832</v>
      </c>
      <c r="J1554" t="s">
        <v>3155</v>
      </c>
      <c r="K1554" t="s">
        <v>3</v>
      </c>
      <c r="L1554" s="2">
        <v>43252</v>
      </c>
      <c r="M1554" s="2">
        <f>DHMXX[[#This Row],[INV DOC DATE]]+30</f>
        <v>43282</v>
      </c>
      <c r="N1554" s="2">
        <v>43279</v>
      </c>
      <c r="O1554" s="7">
        <v>270</v>
      </c>
      <c r="P1554" s="2">
        <v>43290</v>
      </c>
      <c r="Q1554" s="7">
        <f>$E1554-$O1554</f>
        <v>0</v>
      </c>
      <c r="R1554" s="7" t="str">
        <f ca="1">IF(TODAY() - DHMXX[INV DUE DATE]&lt;30, "Less than 30 days",IF(TODAY()-DHMXX[INV DUE DATE]&lt;60,"30-60 days","More than 60 days"))</f>
        <v>Less than 30 days</v>
      </c>
      <c r="S1554" t="s">
        <v>1550</v>
      </c>
      <c r="T1554" s="43" t="s">
        <v>2229</v>
      </c>
      <c r="U1554" t="s">
        <v>3699</v>
      </c>
    </row>
    <row r="1555" spans="1:21" x14ac:dyDescent="0.3">
      <c r="A1555" t="s">
        <v>4141</v>
      </c>
      <c r="B1555" t="s">
        <v>30</v>
      </c>
      <c r="C1555" t="s">
        <v>1465</v>
      </c>
      <c r="D1555" s="15">
        <v>16</v>
      </c>
      <c r="E1555" s="7">
        <v>90</v>
      </c>
      <c r="H1555">
        <v>55031</v>
      </c>
      <c r="I1555" t="s">
        <v>861</v>
      </c>
      <c r="J1555" t="s">
        <v>3057</v>
      </c>
      <c r="K1555" t="s">
        <v>2677</v>
      </c>
      <c r="L1555" s="2">
        <v>43252</v>
      </c>
      <c r="M1555" s="2">
        <f>DHMXX[[#This Row],[INV DOC DATE]]+30</f>
        <v>43282</v>
      </c>
      <c r="N1555" s="2">
        <v>43279</v>
      </c>
      <c r="O1555" s="7">
        <v>90</v>
      </c>
      <c r="P1555" s="2">
        <v>43290</v>
      </c>
      <c r="Q1555" s="7">
        <f>$E1555-$O1555</f>
        <v>0</v>
      </c>
      <c r="R1555" s="7" t="str">
        <f ca="1">IF(TODAY() - DHMXX[INV DUE DATE]&lt;30, "Less than 30 days",IF(TODAY()-DHMXX[INV DUE DATE]&lt;60,"30-60 days","More than 60 days"))</f>
        <v>Less than 30 days</v>
      </c>
      <c r="S1555" t="s">
        <v>1550</v>
      </c>
      <c r="T1555" s="43" t="s">
        <v>2229</v>
      </c>
      <c r="U1555" t="s">
        <v>3699</v>
      </c>
    </row>
    <row r="1556" spans="1:21" x14ac:dyDescent="0.3">
      <c r="A1556" t="s">
        <v>4141</v>
      </c>
      <c r="B1556" t="s">
        <v>30</v>
      </c>
      <c r="C1556" t="s">
        <v>1466</v>
      </c>
      <c r="D1556" s="15">
        <v>16</v>
      </c>
      <c r="E1556" s="7">
        <v>86.25</v>
      </c>
      <c r="H1556">
        <v>55031</v>
      </c>
      <c r="I1556" t="s">
        <v>861</v>
      </c>
      <c r="J1556" t="s">
        <v>3057</v>
      </c>
      <c r="K1556" t="s">
        <v>2678</v>
      </c>
      <c r="L1556" s="2">
        <v>43252</v>
      </c>
      <c r="M1556" s="2">
        <f>DHMXX[[#This Row],[INV DOC DATE]]+30</f>
        <v>43282</v>
      </c>
      <c r="N1556" s="2">
        <v>43279</v>
      </c>
      <c r="O1556" s="7">
        <v>86.25</v>
      </c>
      <c r="P1556" s="2">
        <v>43290</v>
      </c>
      <c r="Q1556" s="7">
        <f>$E1556-$O1556</f>
        <v>0</v>
      </c>
      <c r="R1556" s="7" t="str">
        <f ca="1">IF(TODAY() - DHMXX[INV DUE DATE]&lt;30, "Less than 30 days",IF(TODAY()-DHMXX[INV DUE DATE]&lt;60,"30-60 days","More than 60 days"))</f>
        <v>Less than 30 days</v>
      </c>
      <c r="S1556" t="s">
        <v>1550</v>
      </c>
      <c r="T1556" s="43" t="s">
        <v>2229</v>
      </c>
      <c r="U1556" t="s">
        <v>3699</v>
      </c>
    </row>
    <row r="1557" spans="1:21" x14ac:dyDescent="0.3">
      <c r="A1557" t="s">
        <v>4141</v>
      </c>
      <c r="B1557" t="s">
        <v>30</v>
      </c>
      <c r="C1557" t="s">
        <v>1467</v>
      </c>
      <c r="D1557" s="15">
        <v>16</v>
      </c>
      <c r="E1557" s="7">
        <v>-11.5</v>
      </c>
      <c r="H1557">
        <v>55031</v>
      </c>
      <c r="I1557" t="s">
        <v>861</v>
      </c>
      <c r="J1557" t="s">
        <v>3057</v>
      </c>
      <c r="K1557" t="s">
        <v>3</v>
      </c>
      <c r="L1557" s="2">
        <v>43252</v>
      </c>
      <c r="M1557" s="2">
        <f>DHMXX[[#This Row],[INV DOC DATE]]+30</f>
        <v>43282</v>
      </c>
      <c r="N1557" s="2">
        <v>43279</v>
      </c>
      <c r="O1557" s="7">
        <v>-11.5</v>
      </c>
      <c r="P1557" s="2">
        <v>43290</v>
      </c>
      <c r="Q1557" s="7">
        <f>$E1557-$O1557</f>
        <v>0</v>
      </c>
      <c r="R1557" s="7" t="str">
        <f ca="1">IF(TODAY() - DHMXX[INV DUE DATE]&lt;30, "Less than 30 days",IF(TODAY()-DHMXX[INV DUE DATE]&lt;60,"30-60 days","More than 60 days"))</f>
        <v>Less than 30 days</v>
      </c>
      <c r="S1557" t="s">
        <v>1550</v>
      </c>
      <c r="T1557" s="43" t="s">
        <v>2229</v>
      </c>
      <c r="U1557" t="s">
        <v>3699</v>
      </c>
    </row>
    <row r="1558" spans="1:21" x14ac:dyDescent="0.3">
      <c r="A1558" t="s">
        <v>4141</v>
      </c>
      <c r="B1558" t="s">
        <v>30</v>
      </c>
      <c r="C1558" t="s">
        <v>1468</v>
      </c>
      <c r="D1558" s="15">
        <v>16</v>
      </c>
      <c r="E1558" s="7">
        <v>90</v>
      </c>
      <c r="H1558">
        <v>115325</v>
      </c>
      <c r="I1558" t="s">
        <v>860</v>
      </c>
      <c r="J1558" t="s">
        <v>3080</v>
      </c>
      <c r="K1558" t="s">
        <v>2677</v>
      </c>
      <c r="L1558" s="2">
        <v>43252</v>
      </c>
      <c r="M1558" s="2">
        <f>DHMXX[[#This Row],[INV DOC DATE]]+30</f>
        <v>43282</v>
      </c>
      <c r="N1558" s="2">
        <v>43279</v>
      </c>
      <c r="O1558" s="7">
        <v>90</v>
      </c>
      <c r="P1558" s="2">
        <v>43290</v>
      </c>
      <c r="Q1558" s="7">
        <f>$E1558-$O1558</f>
        <v>0</v>
      </c>
      <c r="R1558" s="7" t="str">
        <f ca="1">IF(TODAY() - DHMXX[INV DUE DATE]&lt;30, "Less than 30 days",IF(TODAY()-DHMXX[INV DUE DATE]&lt;60,"30-60 days","More than 60 days"))</f>
        <v>Less than 30 days</v>
      </c>
      <c r="S1558" t="s">
        <v>1550</v>
      </c>
      <c r="T1558" s="43" t="s">
        <v>2229</v>
      </c>
      <c r="U1558" t="s">
        <v>3699</v>
      </c>
    </row>
    <row r="1559" spans="1:21" x14ac:dyDescent="0.3">
      <c r="A1559" t="s">
        <v>4141</v>
      </c>
      <c r="B1559" t="s">
        <v>30</v>
      </c>
      <c r="C1559" t="s">
        <v>1469</v>
      </c>
      <c r="D1559" s="15">
        <v>16</v>
      </c>
      <c r="E1559" s="7">
        <v>86.25</v>
      </c>
      <c r="H1559">
        <v>115325</v>
      </c>
      <c r="I1559" t="s">
        <v>860</v>
      </c>
      <c r="J1559" t="s">
        <v>3080</v>
      </c>
      <c r="K1559" t="s">
        <v>2678</v>
      </c>
      <c r="L1559" s="2">
        <v>43252</v>
      </c>
      <c r="M1559" s="2">
        <f>DHMXX[[#This Row],[INV DOC DATE]]+30</f>
        <v>43282</v>
      </c>
      <c r="N1559" s="2">
        <v>43279</v>
      </c>
      <c r="O1559" s="7">
        <v>86.25</v>
      </c>
      <c r="P1559" s="2">
        <v>43290</v>
      </c>
      <c r="Q1559" s="7">
        <f>$E1559-$O1559</f>
        <v>0</v>
      </c>
      <c r="R1559" s="7" t="str">
        <f ca="1">IF(TODAY() - DHMXX[INV DUE DATE]&lt;30, "Less than 30 days",IF(TODAY()-DHMXX[INV DUE DATE]&lt;60,"30-60 days","More than 60 days"))</f>
        <v>Less than 30 days</v>
      </c>
      <c r="S1559" t="s">
        <v>1550</v>
      </c>
      <c r="T1559" s="43" t="s">
        <v>2229</v>
      </c>
      <c r="U1559" t="s">
        <v>3699</v>
      </c>
    </row>
    <row r="1560" spans="1:21" x14ac:dyDescent="0.3">
      <c r="A1560" t="s">
        <v>4141</v>
      </c>
      <c r="B1560" t="s">
        <v>30</v>
      </c>
      <c r="C1560" t="s">
        <v>1470</v>
      </c>
      <c r="D1560" s="15">
        <v>16</v>
      </c>
      <c r="E1560" s="7">
        <v>90</v>
      </c>
      <c r="H1560">
        <v>115325</v>
      </c>
      <c r="I1560" t="s">
        <v>860</v>
      </c>
      <c r="J1560" t="s">
        <v>3081</v>
      </c>
      <c r="K1560" t="s">
        <v>2677</v>
      </c>
      <c r="L1560" s="2">
        <v>43252</v>
      </c>
      <c r="M1560" s="2">
        <f>DHMXX[[#This Row],[INV DOC DATE]]+30</f>
        <v>43282</v>
      </c>
      <c r="N1560" s="2">
        <v>43279</v>
      </c>
      <c r="O1560" s="7">
        <v>90</v>
      </c>
      <c r="P1560" s="2">
        <v>43290</v>
      </c>
      <c r="Q1560" s="7">
        <f>$E1560-$O1560</f>
        <v>0</v>
      </c>
      <c r="R1560" s="7" t="str">
        <f ca="1">IF(TODAY() - DHMXX[INV DUE DATE]&lt;30, "Less than 30 days",IF(TODAY()-DHMXX[INV DUE DATE]&lt;60,"30-60 days","More than 60 days"))</f>
        <v>Less than 30 days</v>
      </c>
      <c r="S1560" t="s">
        <v>1550</v>
      </c>
      <c r="T1560" s="43" t="s">
        <v>2229</v>
      </c>
      <c r="U1560" t="s">
        <v>3699</v>
      </c>
    </row>
    <row r="1561" spans="1:21" x14ac:dyDescent="0.3">
      <c r="A1561" t="s">
        <v>4141</v>
      </c>
      <c r="B1561" t="s">
        <v>30</v>
      </c>
      <c r="C1561" t="s">
        <v>1471</v>
      </c>
      <c r="D1561" s="15">
        <v>16</v>
      </c>
      <c r="E1561" s="7">
        <v>86.25</v>
      </c>
      <c r="H1561">
        <v>115325</v>
      </c>
      <c r="I1561" t="s">
        <v>860</v>
      </c>
      <c r="J1561" t="s">
        <v>3081</v>
      </c>
      <c r="K1561" t="s">
        <v>2678</v>
      </c>
      <c r="L1561" s="2">
        <v>43252</v>
      </c>
      <c r="M1561" s="2">
        <f>DHMXX[[#This Row],[INV DOC DATE]]+30</f>
        <v>43282</v>
      </c>
      <c r="N1561" s="2">
        <v>43279</v>
      </c>
      <c r="O1561" s="7">
        <v>86.25</v>
      </c>
      <c r="P1561" s="2">
        <v>43290</v>
      </c>
      <c r="Q1561" s="7">
        <f>$E1561-$O1561</f>
        <v>0</v>
      </c>
      <c r="R1561" s="7" t="str">
        <f ca="1">IF(TODAY() - DHMXX[INV DUE DATE]&lt;30, "Less than 30 days",IF(TODAY()-DHMXX[INV DUE DATE]&lt;60,"30-60 days","More than 60 days"))</f>
        <v>Less than 30 days</v>
      </c>
      <c r="S1561" t="s">
        <v>1550</v>
      </c>
      <c r="T1561" s="43" t="s">
        <v>2229</v>
      </c>
      <c r="U1561" t="s">
        <v>3699</v>
      </c>
    </row>
    <row r="1562" spans="1:21" x14ac:dyDescent="0.3">
      <c r="A1562" t="s">
        <v>4141</v>
      </c>
      <c r="B1562" t="s">
        <v>30</v>
      </c>
      <c r="C1562" t="s">
        <v>1472</v>
      </c>
      <c r="D1562" s="15">
        <v>16</v>
      </c>
      <c r="E1562" s="7">
        <v>-11.5</v>
      </c>
      <c r="H1562">
        <v>115325</v>
      </c>
      <c r="I1562" t="s">
        <v>860</v>
      </c>
      <c r="J1562" t="s">
        <v>3081</v>
      </c>
      <c r="K1562" t="s">
        <v>3</v>
      </c>
      <c r="L1562" s="2">
        <v>43252</v>
      </c>
      <c r="M1562" s="2">
        <f>DHMXX[[#This Row],[INV DOC DATE]]+30</f>
        <v>43282</v>
      </c>
      <c r="N1562" s="2">
        <v>43279</v>
      </c>
      <c r="O1562" s="7">
        <v>-11.5</v>
      </c>
      <c r="P1562" s="2">
        <v>43290</v>
      </c>
      <c r="Q1562" s="7">
        <f>$E1562-$O1562</f>
        <v>0</v>
      </c>
      <c r="R1562" s="7" t="str">
        <f ca="1">IF(TODAY() - DHMXX[INV DUE DATE]&lt;30, "Less than 30 days",IF(TODAY()-DHMXX[INV DUE DATE]&lt;60,"30-60 days","More than 60 days"))</f>
        <v>Less than 30 days</v>
      </c>
      <c r="S1562" t="s">
        <v>1550</v>
      </c>
      <c r="T1562" s="43" t="s">
        <v>2229</v>
      </c>
      <c r="U1562" t="s">
        <v>3699</v>
      </c>
    </row>
    <row r="1563" spans="1:21" x14ac:dyDescent="0.3">
      <c r="A1563" t="s">
        <v>4141</v>
      </c>
      <c r="B1563" t="s">
        <v>30</v>
      </c>
      <c r="C1563" t="s">
        <v>1473</v>
      </c>
      <c r="D1563" s="15">
        <v>16</v>
      </c>
      <c r="E1563" s="7">
        <v>90</v>
      </c>
      <c r="H1563">
        <v>115325</v>
      </c>
      <c r="I1563" t="s">
        <v>860</v>
      </c>
      <c r="J1563" t="s">
        <v>3079</v>
      </c>
      <c r="K1563" t="s">
        <v>2677</v>
      </c>
      <c r="L1563" s="2">
        <v>43252</v>
      </c>
      <c r="M1563" s="2">
        <f>DHMXX[[#This Row],[INV DOC DATE]]+30</f>
        <v>43282</v>
      </c>
      <c r="N1563" s="2">
        <v>43279</v>
      </c>
      <c r="O1563" s="7">
        <v>90</v>
      </c>
      <c r="P1563" s="2">
        <v>43290</v>
      </c>
      <c r="Q1563" s="7">
        <f>$E1563-$O1563</f>
        <v>0</v>
      </c>
      <c r="R1563" s="7" t="str">
        <f ca="1">IF(TODAY() - DHMXX[INV DUE DATE]&lt;30, "Less than 30 days",IF(TODAY()-DHMXX[INV DUE DATE]&lt;60,"30-60 days","More than 60 days"))</f>
        <v>Less than 30 days</v>
      </c>
      <c r="S1563" t="s">
        <v>1550</v>
      </c>
      <c r="T1563" s="43" t="s">
        <v>2229</v>
      </c>
      <c r="U1563" t="s">
        <v>3699</v>
      </c>
    </row>
    <row r="1564" spans="1:21" x14ac:dyDescent="0.3">
      <c r="A1564" t="s">
        <v>4141</v>
      </c>
      <c r="B1564" t="s">
        <v>30</v>
      </c>
      <c r="C1564" t="s">
        <v>1474</v>
      </c>
      <c r="D1564" s="15">
        <v>16</v>
      </c>
      <c r="E1564" s="7">
        <v>86.25</v>
      </c>
      <c r="H1564">
        <v>115325</v>
      </c>
      <c r="I1564" t="s">
        <v>860</v>
      </c>
      <c r="J1564" t="s">
        <v>3079</v>
      </c>
      <c r="K1564" t="s">
        <v>2678</v>
      </c>
      <c r="L1564" s="2">
        <v>43252</v>
      </c>
      <c r="M1564" s="2">
        <f>DHMXX[[#This Row],[INV DOC DATE]]+30</f>
        <v>43282</v>
      </c>
      <c r="N1564" s="2">
        <v>43279</v>
      </c>
      <c r="O1564" s="7">
        <v>86.25</v>
      </c>
      <c r="P1564" s="2">
        <v>43290</v>
      </c>
      <c r="Q1564" s="7">
        <f>$E1564-$O1564</f>
        <v>0</v>
      </c>
      <c r="R1564" s="7" t="str">
        <f ca="1">IF(TODAY() - DHMXX[INV DUE DATE]&lt;30, "Less than 30 days",IF(TODAY()-DHMXX[INV DUE DATE]&lt;60,"30-60 days","More than 60 days"))</f>
        <v>Less than 30 days</v>
      </c>
      <c r="S1564" t="s">
        <v>1550</v>
      </c>
      <c r="T1564" s="43" t="s">
        <v>2229</v>
      </c>
      <c r="U1564" t="s">
        <v>3699</v>
      </c>
    </row>
    <row r="1565" spans="1:21" x14ac:dyDescent="0.3">
      <c r="A1565" t="s">
        <v>4142</v>
      </c>
      <c r="B1565" t="s">
        <v>30</v>
      </c>
      <c r="C1565" t="s">
        <v>1547</v>
      </c>
      <c r="D1565" s="15">
        <v>1</v>
      </c>
      <c r="E1565" s="7">
        <v>2626.31</v>
      </c>
      <c r="H1565">
        <v>55292</v>
      </c>
      <c r="I1565" t="s">
        <v>353</v>
      </c>
      <c r="J1565" t="s">
        <v>4143</v>
      </c>
      <c r="K1565" t="s">
        <v>2212</v>
      </c>
      <c r="L1565" s="2">
        <v>43250</v>
      </c>
      <c r="M1565" s="2">
        <f>DHMXX[[#This Row],[INV DOC DATE]]+30</f>
        <v>43280</v>
      </c>
      <c r="N1565" s="2">
        <v>43279</v>
      </c>
      <c r="O1565" s="7">
        <v>2626.31</v>
      </c>
      <c r="P1565" s="2">
        <v>43290</v>
      </c>
      <c r="Q1565" s="7">
        <f>$E1565-$O1565</f>
        <v>0</v>
      </c>
      <c r="R1565" s="7" t="str">
        <f ca="1">IF(TODAY() - DHMXX[INV DUE DATE]&lt;30, "Less than 30 days",IF(TODAY()-DHMXX[INV DUE DATE]&lt;60,"30-60 days","More than 60 days"))</f>
        <v>Less than 30 days</v>
      </c>
      <c r="S1565" t="s">
        <v>1550</v>
      </c>
      <c r="T1565" s="43" t="s">
        <v>2229</v>
      </c>
      <c r="U1565" t="s">
        <v>2212</v>
      </c>
    </row>
    <row r="1566" spans="1:21" x14ac:dyDescent="0.3">
      <c r="A1566" t="s">
        <v>4144</v>
      </c>
      <c r="B1566" t="s">
        <v>30</v>
      </c>
      <c r="C1566" t="s">
        <v>4145</v>
      </c>
      <c r="D1566" s="15">
        <v>1</v>
      </c>
      <c r="E1566" s="7">
        <v>2365.2199999999998</v>
      </c>
      <c r="H1566">
        <v>55292</v>
      </c>
      <c r="I1566" t="s">
        <v>353</v>
      </c>
      <c r="J1566" t="s">
        <v>4146</v>
      </c>
      <c r="K1566" t="s">
        <v>2212</v>
      </c>
      <c r="L1566" s="2">
        <v>43250</v>
      </c>
      <c r="M1566" s="2">
        <f>DHMXX[[#This Row],[INV DOC DATE]]+30</f>
        <v>43280</v>
      </c>
      <c r="N1566" s="2">
        <v>43279</v>
      </c>
      <c r="O1566" s="7">
        <v>2365.2199999999998</v>
      </c>
      <c r="P1566" s="2">
        <v>43290</v>
      </c>
      <c r="Q1566" s="7">
        <f>$E1566-$O1566</f>
        <v>0</v>
      </c>
      <c r="R1566" s="7" t="str">
        <f ca="1">IF(TODAY() - DHMXX[INV DUE DATE]&lt;30, "Less than 30 days",IF(TODAY()-DHMXX[INV DUE DATE]&lt;60,"30-60 days","More than 60 days"))</f>
        <v>Less than 30 days</v>
      </c>
      <c r="S1566" t="s">
        <v>1550</v>
      </c>
      <c r="T1566" s="43" t="s">
        <v>2229</v>
      </c>
      <c r="U1566" t="s">
        <v>2212</v>
      </c>
    </row>
    <row r="1567" spans="1:21" x14ac:dyDescent="0.3">
      <c r="A1567" t="s">
        <v>4147</v>
      </c>
      <c r="B1567" t="s">
        <v>30</v>
      </c>
      <c r="C1567" t="s">
        <v>4148</v>
      </c>
      <c r="D1567" s="15">
        <v>16</v>
      </c>
      <c r="E1567" s="7">
        <v>2372.94</v>
      </c>
      <c r="H1567">
        <v>56656</v>
      </c>
      <c r="I1567" t="s">
        <v>861</v>
      </c>
      <c r="J1567" t="s">
        <v>4149</v>
      </c>
      <c r="K1567" t="s">
        <v>2212</v>
      </c>
      <c r="L1567" s="2">
        <v>43250</v>
      </c>
      <c r="M1567" s="2">
        <f>DHMXX[[#This Row],[INV DOC DATE]]+30</f>
        <v>43280</v>
      </c>
      <c r="N1567" s="2">
        <v>43279</v>
      </c>
      <c r="O1567" s="7">
        <v>2372.94</v>
      </c>
      <c r="P1567" s="2">
        <v>43290</v>
      </c>
      <c r="Q1567" s="7">
        <f>$E1567-$O1567</f>
        <v>0</v>
      </c>
      <c r="R1567" s="7" t="str">
        <f ca="1">IF(TODAY() - DHMXX[INV DUE DATE]&lt;30, "Less than 30 days",IF(TODAY()-DHMXX[INV DUE DATE]&lt;60,"30-60 days","More than 60 days"))</f>
        <v>Less than 30 days</v>
      </c>
      <c r="S1567" t="s">
        <v>1550</v>
      </c>
      <c r="T1567" s="43" t="s">
        <v>2229</v>
      </c>
      <c r="U1567" t="s">
        <v>2212</v>
      </c>
    </row>
    <row r="1568" spans="1:21" x14ac:dyDescent="0.3">
      <c r="A1568" t="s">
        <v>4150</v>
      </c>
      <c r="B1568" t="s">
        <v>30</v>
      </c>
      <c r="C1568" t="s">
        <v>4151</v>
      </c>
      <c r="D1568" s="15">
        <v>16</v>
      </c>
      <c r="E1568" s="7">
        <v>2377.04</v>
      </c>
      <c r="H1568">
        <v>56656</v>
      </c>
      <c r="I1568" t="s">
        <v>861</v>
      </c>
      <c r="J1568" t="s">
        <v>4152</v>
      </c>
      <c r="K1568" t="s">
        <v>2212</v>
      </c>
      <c r="L1568" s="2">
        <v>43250</v>
      </c>
      <c r="M1568" s="2">
        <f>DHMXX[[#This Row],[INV DOC DATE]]+30</f>
        <v>43280</v>
      </c>
      <c r="N1568" s="2">
        <v>43279</v>
      </c>
      <c r="O1568" s="7">
        <v>2377.04</v>
      </c>
      <c r="P1568" s="2">
        <v>43290</v>
      </c>
      <c r="Q1568" s="7">
        <f>$E1568-$O1568</f>
        <v>0</v>
      </c>
      <c r="R1568" s="7" t="str">
        <f ca="1">IF(TODAY() - DHMXX[INV DUE DATE]&lt;30, "Less than 30 days",IF(TODAY()-DHMXX[INV DUE DATE]&lt;60,"30-60 days","More than 60 days"))</f>
        <v>Less than 30 days</v>
      </c>
      <c r="S1568" t="s">
        <v>1550</v>
      </c>
      <c r="T1568" s="43" t="s">
        <v>2229</v>
      </c>
      <c r="U1568" t="s">
        <v>2212</v>
      </c>
    </row>
    <row r="1569" spans="1:21" x14ac:dyDescent="0.3">
      <c r="A1569" t="s">
        <v>4153</v>
      </c>
      <c r="B1569" t="s">
        <v>30</v>
      </c>
      <c r="C1569" t="s">
        <v>4154</v>
      </c>
      <c r="D1569" s="15">
        <v>16</v>
      </c>
      <c r="E1569" s="7">
        <v>2665.03</v>
      </c>
      <c r="H1569">
        <v>56656</v>
      </c>
      <c r="I1569" t="s">
        <v>861</v>
      </c>
      <c r="J1569" t="s">
        <v>4155</v>
      </c>
      <c r="K1569" t="s">
        <v>2212</v>
      </c>
      <c r="L1569" s="2">
        <v>43250</v>
      </c>
      <c r="M1569" s="2">
        <f>DHMXX[[#This Row],[INV DOC DATE]]+30</f>
        <v>43280</v>
      </c>
      <c r="N1569" s="2">
        <v>43279</v>
      </c>
      <c r="O1569" s="7">
        <v>2665.03</v>
      </c>
      <c r="P1569" s="2">
        <v>43290</v>
      </c>
      <c r="Q1569" s="7">
        <f>$E1569-$O1569</f>
        <v>0</v>
      </c>
      <c r="R1569" s="7" t="str">
        <f ca="1">IF(TODAY() - DHMXX[INV DUE DATE]&lt;30, "Less than 30 days",IF(TODAY()-DHMXX[INV DUE DATE]&lt;60,"30-60 days","More than 60 days"))</f>
        <v>Less than 30 days</v>
      </c>
      <c r="S1569" t="s">
        <v>1550</v>
      </c>
      <c r="T1569" s="43" t="s">
        <v>2229</v>
      </c>
      <c r="U1569" t="s">
        <v>2212</v>
      </c>
    </row>
    <row r="1570" spans="1:21" x14ac:dyDescent="0.3">
      <c r="A1570" t="s">
        <v>4136</v>
      </c>
      <c r="B1570" t="s">
        <v>834</v>
      </c>
      <c r="C1570" t="s">
        <v>6</v>
      </c>
      <c r="D1570" s="15">
        <v>5001</v>
      </c>
      <c r="E1570" s="7">
        <v>480</v>
      </c>
      <c r="H1570">
        <v>117423</v>
      </c>
      <c r="I1570" t="s">
        <v>832</v>
      </c>
      <c r="J1570" t="s">
        <v>2698</v>
      </c>
      <c r="K1570" t="s">
        <v>3</v>
      </c>
      <c r="L1570" s="2">
        <v>43252</v>
      </c>
      <c r="M1570" s="2">
        <f>DHMXX[[#This Row],[INV DOC DATE]]+30</f>
        <v>43282</v>
      </c>
      <c r="N1570" s="2">
        <v>43279</v>
      </c>
      <c r="O1570" s="7">
        <v>480</v>
      </c>
      <c r="P1570" s="2">
        <v>43292</v>
      </c>
      <c r="Q1570" s="7">
        <f>$E1570-$O1570</f>
        <v>0</v>
      </c>
      <c r="R1570" s="7" t="str">
        <f ca="1">IF(TODAY() - DHMXX[INV DUE DATE]&lt;30, "Less than 30 days",IF(TODAY()-DHMXX[INV DUE DATE]&lt;60,"30-60 days","More than 60 days"))</f>
        <v>Less than 30 days</v>
      </c>
      <c r="S1570" t="s">
        <v>1550</v>
      </c>
      <c r="T1570" s="43" t="s">
        <v>2229</v>
      </c>
      <c r="U1570" t="s">
        <v>3699</v>
      </c>
    </row>
    <row r="1571" spans="1:21" x14ac:dyDescent="0.3">
      <c r="A1571" t="s">
        <v>4136</v>
      </c>
      <c r="B1571" t="s">
        <v>834</v>
      </c>
      <c r="C1571" t="s">
        <v>7</v>
      </c>
      <c r="D1571" s="15">
        <v>5001</v>
      </c>
      <c r="E1571" s="7">
        <v>480</v>
      </c>
      <c r="H1571">
        <v>117423</v>
      </c>
      <c r="I1571" t="s">
        <v>832</v>
      </c>
      <c r="J1571" t="s">
        <v>2699</v>
      </c>
      <c r="K1571" t="s">
        <v>3</v>
      </c>
      <c r="L1571" s="2">
        <v>43252</v>
      </c>
      <c r="M1571" s="2">
        <f>DHMXX[[#This Row],[INV DOC DATE]]+30</f>
        <v>43282</v>
      </c>
      <c r="N1571" s="2">
        <v>43279</v>
      </c>
      <c r="O1571" s="7">
        <v>480</v>
      </c>
      <c r="P1571" s="2">
        <v>43292</v>
      </c>
      <c r="Q1571" s="7">
        <f>$E1571-$O1571</f>
        <v>0</v>
      </c>
      <c r="R1571" s="7" t="str">
        <f ca="1">IF(TODAY() - DHMXX[INV DUE DATE]&lt;30, "Less than 30 days",IF(TODAY()-DHMXX[INV DUE DATE]&lt;60,"30-60 days","More than 60 days"))</f>
        <v>Less than 30 days</v>
      </c>
      <c r="S1571" t="s">
        <v>1550</v>
      </c>
      <c r="T1571" s="43" t="s">
        <v>2229</v>
      </c>
      <c r="U1571" t="s">
        <v>3699</v>
      </c>
    </row>
    <row r="1572" spans="1:21" x14ac:dyDescent="0.3">
      <c r="A1572" t="s">
        <v>4136</v>
      </c>
      <c r="B1572" t="s">
        <v>834</v>
      </c>
      <c r="C1572" t="s">
        <v>8</v>
      </c>
      <c r="D1572" s="15">
        <v>5001</v>
      </c>
      <c r="E1572" s="7">
        <v>270</v>
      </c>
      <c r="H1572">
        <v>117423</v>
      </c>
      <c r="I1572" t="s">
        <v>832</v>
      </c>
      <c r="J1572" t="s">
        <v>2700</v>
      </c>
      <c r="K1572" t="s">
        <v>3</v>
      </c>
      <c r="L1572" s="2">
        <v>43252</v>
      </c>
      <c r="M1572" s="2">
        <f>DHMXX[[#This Row],[INV DOC DATE]]+30</f>
        <v>43282</v>
      </c>
      <c r="N1572" s="2">
        <v>43279</v>
      </c>
      <c r="O1572" s="7">
        <v>270</v>
      </c>
      <c r="P1572" s="2">
        <v>43292</v>
      </c>
      <c r="Q1572" s="7">
        <f>$E1572-$O1572</f>
        <v>0</v>
      </c>
      <c r="R1572" s="7" t="str">
        <f ca="1">IF(TODAY() - DHMXX[INV DUE DATE]&lt;30, "Less than 30 days",IF(TODAY()-DHMXX[INV DUE DATE]&lt;60,"30-60 days","More than 60 days"))</f>
        <v>Less than 30 days</v>
      </c>
      <c r="S1572" t="s">
        <v>1550</v>
      </c>
      <c r="T1572" s="43" t="s">
        <v>2229</v>
      </c>
      <c r="U1572" t="s">
        <v>3699</v>
      </c>
    </row>
    <row r="1573" spans="1:21" x14ac:dyDescent="0.3">
      <c r="A1573" t="s">
        <v>4136</v>
      </c>
      <c r="B1573" t="s">
        <v>834</v>
      </c>
      <c r="C1573" t="s">
        <v>9</v>
      </c>
      <c r="D1573" s="15">
        <v>5001</v>
      </c>
      <c r="E1573" s="7">
        <v>270</v>
      </c>
      <c r="H1573">
        <v>117423</v>
      </c>
      <c r="I1573" t="s">
        <v>832</v>
      </c>
      <c r="J1573" t="s">
        <v>2701</v>
      </c>
      <c r="K1573" t="s">
        <v>3</v>
      </c>
      <c r="L1573" s="2">
        <v>43252</v>
      </c>
      <c r="M1573" s="2">
        <f>DHMXX[[#This Row],[INV DOC DATE]]+30</f>
        <v>43282</v>
      </c>
      <c r="N1573" s="2">
        <v>43279</v>
      </c>
      <c r="O1573" s="7">
        <v>270</v>
      </c>
      <c r="P1573" s="2">
        <v>43292</v>
      </c>
      <c r="Q1573" s="7">
        <f>$E1573-$O1573</f>
        <v>0</v>
      </c>
      <c r="R1573" s="7" t="str">
        <f ca="1">IF(TODAY() - DHMXX[INV DUE DATE]&lt;30, "Less than 30 days",IF(TODAY()-DHMXX[INV DUE DATE]&lt;60,"30-60 days","More than 60 days"))</f>
        <v>Less than 30 days</v>
      </c>
      <c r="S1573" t="s">
        <v>1550</v>
      </c>
      <c r="T1573" s="43" t="s">
        <v>2229</v>
      </c>
      <c r="U1573" t="s">
        <v>3699</v>
      </c>
    </row>
    <row r="1574" spans="1:21" x14ac:dyDescent="0.3">
      <c r="A1574" t="s">
        <v>4137</v>
      </c>
      <c r="B1574" t="s">
        <v>838</v>
      </c>
      <c r="C1574" t="s">
        <v>7</v>
      </c>
      <c r="D1574" s="15">
        <v>4049</v>
      </c>
      <c r="E1574" s="7">
        <v>172.5</v>
      </c>
      <c r="H1574">
        <v>104378</v>
      </c>
      <c r="I1574" t="s">
        <v>5136</v>
      </c>
      <c r="J1574" t="s">
        <v>2772</v>
      </c>
      <c r="K1574" t="s">
        <v>3</v>
      </c>
      <c r="L1574" s="2">
        <v>43252</v>
      </c>
      <c r="M1574" s="2">
        <f>DHMXX[[#This Row],[INV DOC DATE]]+30</f>
        <v>43282</v>
      </c>
      <c r="N1574" s="2">
        <v>43290</v>
      </c>
      <c r="O1574" s="7">
        <v>172.5</v>
      </c>
      <c r="P1574" s="2">
        <v>43299</v>
      </c>
      <c r="Q1574" s="7">
        <f>$E1574-$O1574</f>
        <v>0</v>
      </c>
      <c r="R1574" s="7" t="str">
        <f ca="1">IF(TODAY() - DHMXX[INV DUE DATE]&lt;30, "Less than 30 days",IF(TODAY()-DHMXX[INV DUE DATE]&lt;60,"30-60 days","More than 60 days"))</f>
        <v>Less than 30 days</v>
      </c>
      <c r="S1574" t="s">
        <v>1550</v>
      </c>
      <c r="T1574" s="43" t="s">
        <v>2229</v>
      </c>
      <c r="U1574" t="s">
        <v>3699</v>
      </c>
    </row>
    <row r="1575" spans="1:21" x14ac:dyDescent="0.3">
      <c r="A1575" t="s">
        <v>4137</v>
      </c>
      <c r="B1575" t="s">
        <v>838</v>
      </c>
      <c r="C1575" t="s">
        <v>8</v>
      </c>
      <c r="D1575" s="15">
        <v>4049</v>
      </c>
      <c r="E1575" s="7">
        <v>172.5</v>
      </c>
      <c r="H1575">
        <v>104378</v>
      </c>
      <c r="I1575" t="s">
        <v>5136</v>
      </c>
      <c r="J1575" t="s">
        <v>2722</v>
      </c>
      <c r="K1575" t="s">
        <v>3</v>
      </c>
      <c r="L1575" s="2">
        <v>43252</v>
      </c>
      <c r="M1575" s="2">
        <f>DHMXX[[#This Row],[INV DOC DATE]]+30</f>
        <v>43282</v>
      </c>
      <c r="N1575" s="2">
        <v>43290</v>
      </c>
      <c r="O1575" s="7">
        <v>172.5</v>
      </c>
      <c r="P1575" s="2">
        <v>43299</v>
      </c>
      <c r="Q1575" s="7">
        <f>$E1575-$O1575</f>
        <v>0</v>
      </c>
      <c r="R1575" s="7" t="str">
        <f ca="1">IF(TODAY() - DHMXX[INV DUE DATE]&lt;30, "Less than 30 days",IF(TODAY()-DHMXX[INV DUE DATE]&lt;60,"30-60 days","More than 60 days"))</f>
        <v>Less than 30 days</v>
      </c>
      <c r="S1575" t="s">
        <v>1550</v>
      </c>
      <c r="T1575" s="43" t="s">
        <v>2229</v>
      </c>
      <c r="U1575" t="s">
        <v>3699</v>
      </c>
    </row>
    <row r="1576" spans="1:21" x14ac:dyDescent="0.3">
      <c r="A1576" t="s">
        <v>4137</v>
      </c>
      <c r="B1576" t="s">
        <v>838</v>
      </c>
      <c r="C1576" t="s">
        <v>9</v>
      </c>
      <c r="D1576" s="15">
        <v>4049</v>
      </c>
      <c r="E1576" s="7">
        <v>172.5</v>
      </c>
      <c r="H1576">
        <v>104378</v>
      </c>
      <c r="I1576" t="s">
        <v>5136</v>
      </c>
      <c r="J1576" t="s">
        <v>3122</v>
      </c>
      <c r="K1576" t="s">
        <v>3</v>
      </c>
      <c r="L1576" s="2">
        <v>43252</v>
      </c>
      <c r="M1576" s="2">
        <f>DHMXX[[#This Row],[INV DOC DATE]]+30</f>
        <v>43282</v>
      </c>
      <c r="N1576" s="2">
        <v>43290</v>
      </c>
      <c r="O1576" s="7">
        <v>172.5</v>
      </c>
      <c r="P1576" s="2">
        <v>43299</v>
      </c>
      <c r="Q1576" s="7">
        <f>$E1576-$O1576</f>
        <v>0</v>
      </c>
      <c r="R1576" s="7" t="str">
        <f ca="1">IF(TODAY() - DHMXX[INV DUE DATE]&lt;30, "Less than 30 days",IF(TODAY()-DHMXX[INV DUE DATE]&lt;60,"30-60 days","More than 60 days"))</f>
        <v>Less than 30 days</v>
      </c>
      <c r="S1576" t="s">
        <v>1550</v>
      </c>
      <c r="T1576" s="43" t="s">
        <v>2229</v>
      </c>
      <c r="U1576" t="s">
        <v>3699</v>
      </c>
    </row>
    <row r="1577" spans="1:21" x14ac:dyDescent="0.3">
      <c r="A1577" t="s">
        <v>4137</v>
      </c>
      <c r="B1577" t="s">
        <v>838</v>
      </c>
      <c r="C1577" t="s">
        <v>10</v>
      </c>
      <c r="D1577" s="15">
        <v>4049</v>
      </c>
      <c r="E1577" s="7">
        <v>172.5</v>
      </c>
      <c r="H1577">
        <v>104378</v>
      </c>
      <c r="I1577" t="s">
        <v>5136</v>
      </c>
      <c r="J1577" t="s">
        <v>2771</v>
      </c>
      <c r="K1577" t="s">
        <v>3</v>
      </c>
      <c r="L1577" s="2">
        <v>43252</v>
      </c>
      <c r="M1577" s="2">
        <f>DHMXX[[#This Row],[INV DOC DATE]]+30</f>
        <v>43282</v>
      </c>
      <c r="N1577" s="2">
        <v>43290</v>
      </c>
      <c r="O1577" s="7">
        <v>172.5</v>
      </c>
      <c r="P1577" s="2">
        <v>43299</v>
      </c>
      <c r="Q1577" s="7">
        <f>$E1577-$O1577</f>
        <v>0</v>
      </c>
      <c r="R1577" s="7" t="str">
        <f ca="1">IF(TODAY() - DHMXX[INV DUE DATE]&lt;30, "Less than 30 days",IF(TODAY()-DHMXX[INV DUE DATE]&lt;60,"30-60 days","More than 60 days"))</f>
        <v>Less than 30 days</v>
      </c>
      <c r="S1577" t="s">
        <v>1550</v>
      </c>
      <c r="T1577" s="43" t="s">
        <v>2229</v>
      </c>
      <c r="U1577" t="s">
        <v>3699</v>
      </c>
    </row>
    <row r="1578" spans="1:21" x14ac:dyDescent="0.3">
      <c r="A1578" t="s">
        <v>4137</v>
      </c>
      <c r="B1578" t="s">
        <v>838</v>
      </c>
      <c r="C1578" t="s">
        <v>11</v>
      </c>
      <c r="D1578" s="15">
        <v>4049</v>
      </c>
      <c r="E1578" s="7">
        <v>172.5</v>
      </c>
      <c r="H1578">
        <v>104378</v>
      </c>
      <c r="I1578" t="s">
        <v>5136</v>
      </c>
      <c r="J1578" t="s">
        <v>3146</v>
      </c>
      <c r="K1578" t="s">
        <v>3</v>
      </c>
      <c r="L1578" s="2">
        <v>43252</v>
      </c>
      <c r="M1578" s="2">
        <f>DHMXX[[#This Row],[INV DOC DATE]]+30</f>
        <v>43282</v>
      </c>
      <c r="N1578" s="2">
        <v>43290</v>
      </c>
      <c r="O1578" s="7">
        <v>172.5</v>
      </c>
      <c r="P1578" s="2">
        <v>43299</v>
      </c>
      <c r="Q1578" s="7">
        <f>$E1578-$O1578</f>
        <v>0</v>
      </c>
      <c r="R1578" s="7" t="str">
        <f ca="1">IF(TODAY() - DHMXX[INV DUE DATE]&lt;30, "Less than 30 days",IF(TODAY()-DHMXX[INV DUE DATE]&lt;60,"30-60 days","More than 60 days"))</f>
        <v>Less than 30 days</v>
      </c>
      <c r="S1578" t="s">
        <v>1550</v>
      </c>
      <c r="T1578" s="43" t="s">
        <v>2229</v>
      </c>
      <c r="U1578" t="s">
        <v>3699</v>
      </c>
    </row>
    <row r="1579" spans="1:21" x14ac:dyDescent="0.3">
      <c r="A1579" t="s">
        <v>4137</v>
      </c>
      <c r="B1579" t="s">
        <v>838</v>
      </c>
      <c r="C1579" t="s">
        <v>12</v>
      </c>
      <c r="D1579" s="15">
        <v>4049</v>
      </c>
      <c r="E1579" s="7">
        <v>172.5</v>
      </c>
      <c r="H1579">
        <v>104378</v>
      </c>
      <c r="I1579" t="s">
        <v>5136</v>
      </c>
      <c r="J1579" t="s">
        <v>2732</v>
      </c>
      <c r="K1579" t="s">
        <v>3</v>
      </c>
      <c r="L1579" s="2">
        <v>43252</v>
      </c>
      <c r="M1579" s="2">
        <f>DHMXX[[#This Row],[INV DOC DATE]]+30</f>
        <v>43282</v>
      </c>
      <c r="N1579" s="2">
        <v>43290</v>
      </c>
      <c r="O1579" s="7">
        <v>172.5</v>
      </c>
      <c r="P1579" s="2">
        <v>43299</v>
      </c>
      <c r="Q1579" s="7">
        <f>$E1579-$O1579</f>
        <v>0</v>
      </c>
      <c r="R1579" s="7" t="str">
        <f ca="1">IF(TODAY() - DHMXX[INV DUE DATE]&lt;30, "Less than 30 days",IF(TODAY()-DHMXX[INV DUE DATE]&lt;60,"30-60 days","More than 60 days"))</f>
        <v>Less than 30 days</v>
      </c>
      <c r="S1579" t="s">
        <v>1550</v>
      </c>
      <c r="T1579" s="43" t="s">
        <v>2229</v>
      </c>
      <c r="U1579" t="s">
        <v>3699</v>
      </c>
    </row>
    <row r="1580" spans="1:21" x14ac:dyDescent="0.3">
      <c r="A1580" t="s">
        <v>4168</v>
      </c>
      <c r="B1580" t="s">
        <v>838</v>
      </c>
      <c r="C1580" t="s">
        <v>6</v>
      </c>
      <c r="D1580" s="15">
        <v>4007</v>
      </c>
      <c r="E1580" s="7">
        <v>172.5</v>
      </c>
      <c r="H1580">
        <v>165014</v>
      </c>
      <c r="I1580" t="s">
        <v>835</v>
      </c>
      <c r="J1580" t="s">
        <v>2703</v>
      </c>
      <c r="K1580" t="s">
        <v>3</v>
      </c>
      <c r="L1580" s="2">
        <v>43252</v>
      </c>
      <c r="M1580" s="2">
        <f>DHMXX[[#This Row],[INV DOC DATE]]+30</f>
        <v>43282</v>
      </c>
      <c r="N1580" s="2">
        <v>43290</v>
      </c>
      <c r="O1580" s="7">
        <v>172.5</v>
      </c>
      <c r="P1580" s="2">
        <v>43299</v>
      </c>
      <c r="Q1580" s="7">
        <f>$E1580-$O1580</f>
        <v>0</v>
      </c>
      <c r="R1580" s="7" t="str">
        <f ca="1">IF(TODAY() - DHMXX[INV DUE DATE]&lt;30, "Less than 30 days",IF(TODAY()-DHMXX[INV DUE DATE]&lt;60,"30-60 days","More than 60 days"))</f>
        <v>Less than 30 days</v>
      </c>
      <c r="S1580" t="s">
        <v>1550</v>
      </c>
      <c r="T1580" s="43" t="s">
        <v>2229</v>
      </c>
      <c r="U1580" t="s">
        <v>3699</v>
      </c>
    </row>
    <row r="1581" spans="1:21" x14ac:dyDescent="0.3">
      <c r="A1581" t="s">
        <v>3753</v>
      </c>
      <c r="B1581" t="s">
        <v>32</v>
      </c>
      <c r="C1581" t="s">
        <v>12</v>
      </c>
      <c r="D1581" s="15">
        <v>1</v>
      </c>
      <c r="E1581" s="7">
        <v>255.75</v>
      </c>
      <c r="F1581">
        <v>30080254</v>
      </c>
      <c r="J1581" t="s">
        <v>1127</v>
      </c>
      <c r="K1581" t="s">
        <v>3</v>
      </c>
      <c r="L1581" s="2">
        <v>42917</v>
      </c>
      <c r="M1581" s="2">
        <f>DHMXX[[#This Row],[INV DOC DATE]]+30</f>
        <v>42947</v>
      </c>
      <c r="N1581" s="2"/>
      <c r="O1581" s="7">
        <v>255.75</v>
      </c>
      <c r="P1581" s="2">
        <v>43304</v>
      </c>
      <c r="Q1581" s="7">
        <f>$E1581-$O1581</f>
        <v>0</v>
      </c>
      <c r="R1581" s="7" t="str">
        <f ca="1">IF(TODAY() - DHMXX[INV DUE DATE]&lt;30, "Less than 30 days",IF(TODAY()-DHMXX[INV DUE DATE]&lt;60,"30-60 days","More than 60 days"))</f>
        <v>More than 60 days</v>
      </c>
      <c r="S1581" t="s">
        <v>1550</v>
      </c>
      <c r="T1581" s="133" t="s">
        <v>5437</v>
      </c>
      <c r="U1581" t="s">
        <v>3699</v>
      </c>
    </row>
    <row r="1582" spans="1:21" x14ac:dyDescent="0.3">
      <c r="A1582" t="s">
        <v>3753</v>
      </c>
      <c r="B1582" t="s">
        <v>32</v>
      </c>
      <c r="C1582" t="s">
        <v>16</v>
      </c>
      <c r="D1582" s="15">
        <v>1</v>
      </c>
      <c r="E1582" s="7">
        <v>260.39999999999998</v>
      </c>
      <c r="F1582">
        <v>30080254</v>
      </c>
      <c r="J1582" t="s">
        <v>1136</v>
      </c>
      <c r="K1582" t="s">
        <v>3</v>
      </c>
      <c r="L1582" s="2">
        <v>42917</v>
      </c>
      <c r="M1582" s="2">
        <f>DHMXX[[#This Row],[INV DOC DATE]]+30</f>
        <v>42947</v>
      </c>
      <c r="N1582" s="2"/>
      <c r="O1582" s="7">
        <v>260.39999999999998</v>
      </c>
      <c r="P1582" s="2">
        <v>43304</v>
      </c>
      <c r="Q1582" s="7">
        <f>$E1582-$O1582</f>
        <v>0</v>
      </c>
      <c r="R1582" s="7" t="str">
        <f ca="1">IF(TODAY() - DHMXX[INV DUE DATE]&lt;30, "Less than 30 days",IF(TODAY()-DHMXX[INV DUE DATE]&lt;60,"30-60 days","More than 60 days"))</f>
        <v>More than 60 days</v>
      </c>
      <c r="S1582" t="s">
        <v>1550</v>
      </c>
      <c r="T1582" s="133" t="s">
        <v>5437</v>
      </c>
      <c r="U1582" t="s">
        <v>3699</v>
      </c>
    </row>
    <row r="1583" spans="1:21" x14ac:dyDescent="0.3">
      <c r="A1583" t="s">
        <v>4156</v>
      </c>
      <c r="B1583" t="s">
        <v>30</v>
      </c>
      <c r="C1583" t="s">
        <v>4157</v>
      </c>
      <c r="D1583" s="15">
        <v>1</v>
      </c>
      <c r="E1583" s="7">
        <v>2296.29</v>
      </c>
      <c r="H1583">
        <v>55292</v>
      </c>
      <c r="I1583" t="s">
        <v>353</v>
      </c>
      <c r="J1583" t="s">
        <v>4158</v>
      </c>
      <c r="K1583" t="s">
        <v>2212</v>
      </c>
      <c r="L1583" s="2">
        <v>43270</v>
      </c>
      <c r="M1583" s="2">
        <f>DHMXX[[#This Row],[INV DOC DATE]]+30</f>
        <v>43300</v>
      </c>
      <c r="N1583" s="2">
        <v>43279</v>
      </c>
      <c r="O1583" s="7">
        <v>2296.29</v>
      </c>
      <c r="P1583" s="2">
        <v>43304</v>
      </c>
      <c r="Q1583" s="7">
        <f>$E1583-$O1583</f>
        <v>0</v>
      </c>
      <c r="R1583" s="7" t="str">
        <f ca="1">IF(TODAY() - DHMXX[INV DUE DATE]&lt;30, "Less than 30 days",IF(TODAY()-DHMXX[INV DUE DATE]&lt;60,"30-60 days","More than 60 days"))</f>
        <v>Less than 30 days</v>
      </c>
      <c r="S1583" t="s">
        <v>1550</v>
      </c>
      <c r="T1583" s="133" t="s">
        <v>5437</v>
      </c>
      <c r="U1583" t="s">
        <v>2212</v>
      </c>
    </row>
    <row r="1584" spans="1:21" x14ac:dyDescent="0.3">
      <c r="A1584" s="6" t="s">
        <v>2152</v>
      </c>
      <c r="E1584" s="13">
        <v>90211</v>
      </c>
      <c r="L1584" s="11">
        <v>42795</v>
      </c>
      <c r="M1584" s="2">
        <f>DHMXX[[#This Row],[INV DOC DATE]]+30</f>
        <v>42825</v>
      </c>
      <c r="N1584" s="2"/>
      <c r="O1584" s="13">
        <v>90211</v>
      </c>
      <c r="Q1584" s="7">
        <f>$E1584-$O1584</f>
        <v>0</v>
      </c>
      <c r="R1584" s="7" t="str">
        <f ca="1">IF(TODAY() - DHMXX[INV DUE DATE]&lt;30, "Less than 30 days",IF(TODAY()-DHMXX[INV DUE DATE]&lt;60,"30-60 days","More than 60 days"))</f>
        <v>More than 60 days</v>
      </c>
      <c r="S1584" t="s">
        <v>1550</v>
      </c>
      <c r="T1584" s="43" t="s">
        <v>2229</v>
      </c>
      <c r="U1584" t="s">
        <v>3699</v>
      </c>
    </row>
    <row r="1585" spans="1:21" x14ac:dyDescent="0.3">
      <c r="A1585" t="s">
        <v>2152</v>
      </c>
      <c r="B1585" t="s">
        <v>30</v>
      </c>
      <c r="C1585" t="s">
        <v>1411</v>
      </c>
      <c r="D1585" s="15">
        <v>16</v>
      </c>
      <c r="E1585" s="7">
        <v>248</v>
      </c>
      <c r="H1585">
        <v>82223</v>
      </c>
      <c r="I1585" t="s">
        <v>858</v>
      </c>
      <c r="J1585" t="s">
        <v>1243</v>
      </c>
      <c r="K1585" t="s">
        <v>3</v>
      </c>
      <c r="L1585" s="2">
        <v>42795</v>
      </c>
      <c r="M1585" s="2">
        <f>DHMXX[[#This Row],[INV DOC DATE]]+30</f>
        <v>42825</v>
      </c>
      <c r="N1585" s="2"/>
      <c r="Q1585" s="7">
        <f>$E1585-$O1585</f>
        <v>248</v>
      </c>
      <c r="R1585" s="7" t="str">
        <f ca="1">IF(TODAY() - DHMXX[INV DUE DATE]&lt;30, "Less than 30 days",IF(TODAY()-DHMXX[INV DUE DATE]&lt;60,"30-60 days","More than 60 days"))</f>
        <v>More than 60 days</v>
      </c>
      <c r="S1585" t="s">
        <v>1550</v>
      </c>
      <c r="U1585" t="s">
        <v>3699</v>
      </c>
    </row>
    <row r="1586" spans="1:21" x14ac:dyDescent="0.3">
      <c r="A1586" t="s">
        <v>2152</v>
      </c>
      <c r="B1586" t="s">
        <v>30</v>
      </c>
      <c r="C1586" t="s">
        <v>1413</v>
      </c>
      <c r="D1586" s="15">
        <v>16</v>
      </c>
      <c r="E1586" s="7">
        <v>248</v>
      </c>
      <c r="H1586">
        <v>82227</v>
      </c>
      <c r="I1586" t="s">
        <v>858</v>
      </c>
      <c r="J1586" t="s">
        <v>1245</v>
      </c>
      <c r="K1586" t="s">
        <v>3</v>
      </c>
      <c r="L1586" s="2">
        <v>42795</v>
      </c>
      <c r="M1586" s="2">
        <f>DHMXX[[#This Row],[INV DOC DATE]]+30</f>
        <v>42825</v>
      </c>
      <c r="N1586" s="2"/>
      <c r="Q1586" s="7">
        <f>$E1586-$O1586</f>
        <v>248</v>
      </c>
      <c r="R1586" s="7" t="str">
        <f ca="1">IF(TODAY() - DHMXX[INV DUE DATE]&lt;30, "Less than 30 days",IF(TODAY()-DHMXX[INV DUE DATE]&lt;60,"30-60 days","More than 60 days"))</f>
        <v>More than 60 days</v>
      </c>
      <c r="S1586" t="s">
        <v>1550</v>
      </c>
      <c r="U1586" t="s">
        <v>3699</v>
      </c>
    </row>
    <row r="1587" spans="1:21" x14ac:dyDescent="0.3">
      <c r="A1587" t="s">
        <v>4159</v>
      </c>
      <c r="B1587" t="s">
        <v>30</v>
      </c>
      <c r="C1587" t="s">
        <v>4160</v>
      </c>
      <c r="D1587" s="15">
        <v>1</v>
      </c>
      <c r="E1587" s="7">
        <v>1470</v>
      </c>
      <c r="H1587">
        <v>1274</v>
      </c>
      <c r="I1587" t="s">
        <v>350</v>
      </c>
      <c r="J1587" t="s">
        <v>4161</v>
      </c>
      <c r="K1587" t="s">
        <v>2212</v>
      </c>
      <c r="L1587" s="2">
        <v>43276</v>
      </c>
      <c r="M1587" s="2">
        <f>DHMXX[[#This Row],[INV DOC DATE]]+30</f>
        <v>43306</v>
      </c>
      <c r="N1587" s="2">
        <v>43279</v>
      </c>
      <c r="Q1587" s="7">
        <f>$E1587-$O1587</f>
        <v>1470</v>
      </c>
      <c r="R1587" s="7" t="str">
        <f ca="1">IF(TODAY() - DHMXX[INV DUE DATE]&lt;30, "Less than 30 days",IF(TODAY()-DHMXX[INV DUE DATE]&lt;60,"30-60 days","More than 60 days"))</f>
        <v>Less than 30 days</v>
      </c>
      <c r="S1587" t="s">
        <v>1550</v>
      </c>
      <c r="U1587" t="s">
        <v>2212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359"/>
  <sheetViews>
    <sheetView zoomScale="90" zoomScaleNormal="90" workbookViewId="0">
      <pane ySplit="1" topLeftCell="A2" activePane="bottomLeft" state="frozen"/>
      <selection pane="bottomLeft" activeCell="J1371" sqref="J1371"/>
    </sheetView>
  </sheetViews>
  <sheetFormatPr defaultRowHeight="14.4" x14ac:dyDescent="0.3"/>
  <cols>
    <col min="1" max="1" width="14.77734375" style="4" bestFit="1" customWidth="1"/>
    <col min="2" max="2" width="11.44140625" bestFit="1" customWidth="1"/>
    <col min="3" max="3" width="6.6640625" bestFit="1" customWidth="1"/>
    <col min="4" max="4" width="18.33203125" bestFit="1" customWidth="1"/>
    <col min="5" max="5" width="17" style="7" bestFit="1" customWidth="1"/>
    <col min="6" max="6" width="10" bestFit="1" customWidth="1"/>
    <col min="7" max="7" width="12.21875" bestFit="1" customWidth="1"/>
    <col min="8" max="8" width="7.77734375" bestFit="1" customWidth="1"/>
    <col min="9" max="9" width="9.109375" bestFit="1" customWidth="1"/>
    <col min="10" max="10" width="27.44140625" bestFit="1" customWidth="1"/>
    <col min="11" max="11" width="15.77734375" bestFit="1" customWidth="1"/>
    <col min="12" max="12" width="16.33203125" bestFit="1" customWidth="1"/>
    <col min="13" max="13" width="16" bestFit="1" customWidth="1"/>
    <col min="14" max="14" width="15.5546875" bestFit="1" customWidth="1"/>
    <col min="15" max="15" width="12.44140625" style="7" bestFit="1" customWidth="1"/>
    <col min="16" max="16" width="17.44140625" style="2" bestFit="1" customWidth="1"/>
    <col min="17" max="17" width="21.33203125" style="7" bestFit="1" customWidth="1"/>
    <col min="18" max="18" width="17.5546875" style="7" bestFit="1" customWidth="1"/>
    <col min="19" max="19" width="11.109375" bestFit="1" customWidth="1"/>
    <col min="20" max="20" width="11.21875" style="43" bestFit="1" customWidth="1"/>
    <col min="21" max="21" width="14.33203125" bestFit="1" customWidth="1"/>
  </cols>
  <sheetData>
    <row r="1" spans="1:21" s="17" customFormat="1" ht="15" thickBot="1" x14ac:dyDescent="0.35">
      <c r="A1" s="57" t="s">
        <v>1</v>
      </c>
      <c r="B1" s="57" t="s">
        <v>33</v>
      </c>
      <c r="C1" s="57" t="s">
        <v>29</v>
      </c>
      <c r="D1" s="57" t="s">
        <v>0</v>
      </c>
      <c r="E1" s="58" t="s">
        <v>347</v>
      </c>
      <c r="F1" s="57" t="s">
        <v>32</v>
      </c>
      <c r="G1" s="57" t="s">
        <v>35</v>
      </c>
      <c r="H1" s="57" t="s">
        <v>30</v>
      </c>
      <c r="I1" s="57" t="s">
        <v>2</v>
      </c>
      <c r="J1" s="57" t="s">
        <v>819</v>
      </c>
      <c r="K1" s="57" t="s">
        <v>820</v>
      </c>
      <c r="L1" s="60" t="s">
        <v>5</v>
      </c>
      <c r="M1" s="60" t="s">
        <v>2241</v>
      </c>
      <c r="N1" s="60" t="s">
        <v>2244</v>
      </c>
      <c r="O1" s="58" t="s">
        <v>555</v>
      </c>
      <c r="P1" s="60" t="s">
        <v>2239</v>
      </c>
      <c r="Q1" s="58" t="s">
        <v>31</v>
      </c>
      <c r="R1" s="58" t="s">
        <v>2240</v>
      </c>
      <c r="S1" s="61" t="s">
        <v>2031</v>
      </c>
      <c r="T1" s="62" t="s">
        <v>2229</v>
      </c>
      <c r="U1" s="61" t="s">
        <v>3700</v>
      </c>
    </row>
    <row r="2" spans="1:21" x14ac:dyDescent="0.3">
      <c r="A2" s="14" t="s">
        <v>2149</v>
      </c>
      <c r="B2" t="s">
        <v>32</v>
      </c>
      <c r="C2" t="s">
        <v>134</v>
      </c>
      <c r="D2">
        <v>1</v>
      </c>
      <c r="E2" s="7">
        <v>74.8</v>
      </c>
      <c r="F2">
        <v>31319115</v>
      </c>
      <c r="J2" t="s">
        <v>2256</v>
      </c>
      <c r="K2" t="s">
        <v>3</v>
      </c>
      <c r="L2" s="2">
        <v>43101</v>
      </c>
      <c r="M2" s="2">
        <f>DOCXX[[#This Row],[INV DOC DATE]]+30</f>
        <v>43131</v>
      </c>
      <c r="N2" s="2">
        <v>43245</v>
      </c>
      <c r="O2" s="7">
        <v>74.8</v>
      </c>
      <c r="P2" s="2">
        <v>43299</v>
      </c>
      <c r="Q2" s="7">
        <f>$E2-$O2</f>
        <v>0</v>
      </c>
      <c r="R2" s="7" t="str">
        <f ca="1">IF(TODAY() - DOCXX[INV DUE DATE]&lt;30, "Less than 30 days",IF(TODAY()-DOCXX[INV DUE DATE]&lt;60,"30-60 days","More than 60 days"))</f>
        <v>More than 60 days</v>
      </c>
      <c r="S2" t="s">
        <v>818</v>
      </c>
      <c r="U2" s="7" t="s">
        <v>3699</v>
      </c>
    </row>
    <row r="3" spans="1:21" x14ac:dyDescent="0.3">
      <c r="A3" s="14" t="s">
        <v>2149</v>
      </c>
      <c r="B3" t="s">
        <v>32</v>
      </c>
      <c r="C3" t="s">
        <v>138</v>
      </c>
      <c r="D3">
        <v>1</v>
      </c>
      <c r="E3" s="7">
        <v>289.85000000000002</v>
      </c>
      <c r="F3">
        <v>42270153</v>
      </c>
      <c r="J3" t="s">
        <v>2256</v>
      </c>
      <c r="K3" t="s">
        <v>3</v>
      </c>
      <c r="L3" s="2">
        <v>43101</v>
      </c>
      <c r="M3" s="2">
        <f>DOCXX[[#This Row],[INV DOC DATE]]+30</f>
        <v>43131</v>
      </c>
      <c r="N3" s="2">
        <v>43245</v>
      </c>
      <c r="O3" s="7">
        <v>289.85000000000002</v>
      </c>
      <c r="P3" s="2">
        <v>43299</v>
      </c>
      <c r="Q3" s="7">
        <f>$E3-$O3</f>
        <v>0</v>
      </c>
      <c r="R3" s="7" t="str">
        <f ca="1">IF(TODAY() - DOCXX[INV DUE DATE]&lt;30, "Less than 30 days",IF(TODAY()-DOCXX[INV DUE DATE]&lt;60,"30-60 days","More than 60 days"))</f>
        <v>More than 60 days</v>
      </c>
      <c r="S3" t="s">
        <v>818</v>
      </c>
      <c r="U3" s="7" t="s">
        <v>3699</v>
      </c>
    </row>
    <row r="4" spans="1:21" x14ac:dyDescent="0.3">
      <c r="A4" s="14" t="s">
        <v>2149</v>
      </c>
      <c r="B4" t="s">
        <v>32</v>
      </c>
      <c r="C4" t="s">
        <v>139</v>
      </c>
      <c r="D4">
        <v>1</v>
      </c>
      <c r="E4" s="7">
        <v>289.85000000000002</v>
      </c>
      <c r="F4">
        <v>42272913</v>
      </c>
      <c r="J4" t="s">
        <v>2256</v>
      </c>
      <c r="K4" t="s">
        <v>3</v>
      </c>
      <c r="L4" s="2">
        <v>43101</v>
      </c>
      <c r="M4" s="2">
        <f>DOCXX[[#This Row],[INV DOC DATE]]+30</f>
        <v>43131</v>
      </c>
      <c r="N4" s="2">
        <v>43245</v>
      </c>
      <c r="O4" s="7">
        <v>289.85000000000002</v>
      </c>
      <c r="P4" s="2">
        <v>43299</v>
      </c>
      <c r="Q4" s="7">
        <f>$E4-$O4</f>
        <v>0</v>
      </c>
      <c r="R4" s="7" t="str">
        <f ca="1">IF(TODAY() - DOCXX[INV DUE DATE]&lt;30, "Less than 30 days",IF(TODAY()-DOCXX[INV DUE DATE]&lt;60,"30-60 days","More than 60 days"))</f>
        <v>More than 60 days</v>
      </c>
      <c r="S4" t="s">
        <v>818</v>
      </c>
      <c r="U4" s="7" t="s">
        <v>3699</v>
      </c>
    </row>
    <row r="5" spans="1:21" x14ac:dyDescent="0.3">
      <c r="A5" s="14" t="s">
        <v>2149</v>
      </c>
      <c r="B5" t="s">
        <v>32</v>
      </c>
      <c r="C5" t="s">
        <v>140</v>
      </c>
      <c r="D5">
        <v>1</v>
      </c>
      <c r="E5" s="7">
        <v>196.35</v>
      </c>
      <c r="F5">
        <v>42277150</v>
      </c>
      <c r="J5" t="s">
        <v>2256</v>
      </c>
      <c r="K5" t="s">
        <v>3</v>
      </c>
      <c r="L5" s="2">
        <v>43101</v>
      </c>
      <c r="M5" s="2">
        <f>DOCXX[[#This Row],[INV DOC DATE]]+30</f>
        <v>43131</v>
      </c>
      <c r="N5" s="2">
        <v>43245</v>
      </c>
      <c r="O5" s="7">
        <v>196.35</v>
      </c>
      <c r="P5" s="2">
        <v>43299</v>
      </c>
      <c r="Q5" s="7">
        <f>$E5-$O5</f>
        <v>0</v>
      </c>
      <c r="R5" s="7" t="str">
        <f ca="1">IF(TODAY() - DOCXX[INV DUE DATE]&lt;30, "Less than 30 days",IF(TODAY()-DOCXX[INV DUE DATE]&lt;60,"30-60 days","More than 60 days"))</f>
        <v>More than 60 days</v>
      </c>
      <c r="S5" t="s">
        <v>818</v>
      </c>
      <c r="U5" s="7" t="s">
        <v>3699</v>
      </c>
    </row>
    <row r="6" spans="1:21" x14ac:dyDescent="0.3">
      <c r="A6" s="14" t="s">
        <v>2149</v>
      </c>
      <c r="B6" t="s">
        <v>32</v>
      </c>
      <c r="C6" t="s">
        <v>321</v>
      </c>
      <c r="D6">
        <v>1</v>
      </c>
      <c r="E6" s="7">
        <v>299.2</v>
      </c>
      <c r="F6">
        <v>42243565</v>
      </c>
      <c r="J6" t="s">
        <v>2256</v>
      </c>
      <c r="K6" t="s">
        <v>3</v>
      </c>
      <c r="L6" s="2">
        <v>43101</v>
      </c>
      <c r="M6" s="2">
        <f>DOCXX[[#This Row],[INV DOC DATE]]+30</f>
        <v>43131</v>
      </c>
      <c r="N6" s="2">
        <v>43245</v>
      </c>
      <c r="O6" s="7">
        <v>299.2</v>
      </c>
      <c r="P6" s="2">
        <v>43299</v>
      </c>
      <c r="Q6" s="7">
        <f>$E6-$O6</f>
        <v>0</v>
      </c>
      <c r="R6" s="7" t="str">
        <f ca="1">IF(TODAY() - DOCXX[INV DUE DATE]&lt;30, "Less than 30 days",IF(TODAY()-DOCXX[INV DUE DATE]&lt;60,"30-60 days","More than 60 days"))</f>
        <v>More than 60 days</v>
      </c>
      <c r="S6" t="s">
        <v>818</v>
      </c>
      <c r="U6" s="7" t="s">
        <v>3699</v>
      </c>
    </row>
    <row r="7" spans="1:21" x14ac:dyDescent="0.3">
      <c r="A7" s="14" t="s">
        <v>2149</v>
      </c>
      <c r="B7" t="s">
        <v>32</v>
      </c>
      <c r="C7" t="s">
        <v>86</v>
      </c>
      <c r="D7">
        <v>1</v>
      </c>
      <c r="E7" s="7">
        <v>18.7</v>
      </c>
      <c r="F7">
        <v>31183515</v>
      </c>
      <c r="J7" t="s">
        <v>2256</v>
      </c>
      <c r="K7" t="s">
        <v>3</v>
      </c>
      <c r="L7" s="2">
        <v>43101</v>
      </c>
      <c r="M7" s="2">
        <f>DOCXX[[#This Row],[INV DOC DATE]]+30</f>
        <v>43131</v>
      </c>
      <c r="N7" s="2">
        <v>43245</v>
      </c>
      <c r="Q7" s="7">
        <f>$E7-$O7</f>
        <v>18.7</v>
      </c>
      <c r="R7" s="7" t="str">
        <f ca="1">IF(TODAY() - DOCXX[INV DUE DATE]&lt;30, "Less than 30 days",IF(TODAY()-DOCXX[INV DUE DATE]&lt;60,"30-60 days","More than 60 days"))</f>
        <v>More than 60 days</v>
      </c>
      <c r="S7" t="s">
        <v>818</v>
      </c>
      <c r="U7" s="7" t="s">
        <v>3699</v>
      </c>
    </row>
    <row r="8" spans="1:21" x14ac:dyDescent="0.3">
      <c r="A8" s="14" t="s">
        <v>2149</v>
      </c>
      <c r="B8" t="s">
        <v>32</v>
      </c>
      <c r="C8" t="s">
        <v>136</v>
      </c>
      <c r="D8">
        <v>1</v>
      </c>
      <c r="E8" s="7">
        <v>18.7</v>
      </c>
      <c r="F8">
        <v>32448833</v>
      </c>
      <c r="J8" t="s">
        <v>2256</v>
      </c>
      <c r="K8" t="s">
        <v>3</v>
      </c>
      <c r="L8" s="2">
        <v>43101</v>
      </c>
      <c r="M8" s="2">
        <f>DOCXX[[#This Row],[INV DOC DATE]]+30</f>
        <v>43131</v>
      </c>
      <c r="N8" s="2">
        <v>43245</v>
      </c>
      <c r="Q8" s="7">
        <f>$E8-$O8</f>
        <v>18.7</v>
      </c>
      <c r="R8" s="7" t="str">
        <f ca="1">IF(TODAY() - DOCXX[INV DUE DATE]&lt;30, "Less than 30 days",IF(TODAY()-DOCXX[INV DUE DATE]&lt;60,"30-60 days","More than 60 days"))</f>
        <v>More than 60 days</v>
      </c>
      <c r="S8" t="s">
        <v>818</v>
      </c>
      <c r="U8" s="7" t="s">
        <v>3699</v>
      </c>
    </row>
    <row r="9" spans="1:21" x14ac:dyDescent="0.3">
      <c r="A9" s="14" t="s">
        <v>2149</v>
      </c>
      <c r="B9" t="s">
        <v>32</v>
      </c>
      <c r="C9" t="s">
        <v>137</v>
      </c>
      <c r="D9">
        <v>1</v>
      </c>
      <c r="E9" s="7">
        <v>158.94999999999999</v>
      </c>
      <c r="F9">
        <v>38519031</v>
      </c>
      <c r="J9" t="s">
        <v>2256</v>
      </c>
      <c r="K9" t="s">
        <v>3</v>
      </c>
      <c r="L9" s="2">
        <v>43101</v>
      </c>
      <c r="M9" s="2">
        <f>DOCXX[[#This Row],[INV DOC DATE]]+30</f>
        <v>43131</v>
      </c>
      <c r="N9" s="2">
        <v>43245</v>
      </c>
      <c r="Q9" s="7">
        <f>$E9-$O9</f>
        <v>158.94999999999999</v>
      </c>
      <c r="R9" s="7" t="str">
        <f ca="1">IF(TODAY() - DOCXX[INV DUE DATE]&lt;30, "Less than 30 days",IF(TODAY()-DOCXX[INV DUE DATE]&lt;60,"30-60 days","More than 60 days"))</f>
        <v>More than 60 days</v>
      </c>
      <c r="S9" t="s">
        <v>818</v>
      </c>
      <c r="U9" s="7" t="s">
        <v>3699</v>
      </c>
    </row>
    <row r="10" spans="1:21" x14ac:dyDescent="0.3">
      <c r="A10" s="14" t="s">
        <v>2149</v>
      </c>
      <c r="B10" t="s">
        <v>32</v>
      </c>
      <c r="C10" t="s">
        <v>320</v>
      </c>
      <c r="D10">
        <v>1</v>
      </c>
      <c r="E10" s="7">
        <v>299.2</v>
      </c>
      <c r="F10">
        <v>28443652</v>
      </c>
      <c r="J10" t="s">
        <v>2256</v>
      </c>
      <c r="K10" t="s">
        <v>3</v>
      </c>
      <c r="L10" s="2">
        <v>43101</v>
      </c>
      <c r="M10" s="2">
        <f>DOCXX[[#This Row],[INV DOC DATE]]+30</f>
        <v>43131</v>
      </c>
      <c r="N10" s="2">
        <v>43245</v>
      </c>
      <c r="Q10" s="7">
        <f>$E10-$O10</f>
        <v>299.2</v>
      </c>
      <c r="R10" s="7" t="str">
        <f ca="1">IF(TODAY() - DOCXX[INV DUE DATE]&lt;30, "Less than 30 days",IF(TODAY()-DOCXX[INV DUE DATE]&lt;60,"30-60 days","More than 60 days"))</f>
        <v>More than 60 days</v>
      </c>
      <c r="S10" t="s">
        <v>818</v>
      </c>
      <c r="U10" s="7" t="s">
        <v>3699</v>
      </c>
    </row>
    <row r="11" spans="1:21" x14ac:dyDescent="0.3">
      <c r="A11" s="14" t="s">
        <v>2150</v>
      </c>
      <c r="B11" t="s">
        <v>35</v>
      </c>
      <c r="C11" t="s">
        <v>338</v>
      </c>
      <c r="D11">
        <v>1</v>
      </c>
      <c r="E11" s="7">
        <v>271.14999999999998</v>
      </c>
      <c r="G11">
        <v>4320253960</v>
      </c>
      <c r="J11" t="s">
        <v>2256</v>
      </c>
      <c r="K11" t="s">
        <v>3</v>
      </c>
      <c r="L11" s="2">
        <v>43132</v>
      </c>
      <c r="M11" s="2">
        <f>DOCXX[[#This Row],[INV DOC DATE]]+30</f>
        <v>43162</v>
      </c>
      <c r="N11" s="2">
        <v>43245</v>
      </c>
      <c r="O11" s="7">
        <v>271.14999999999998</v>
      </c>
      <c r="P11" s="2">
        <v>43255</v>
      </c>
      <c r="Q11" s="7">
        <f>$E11-$O11</f>
        <v>0</v>
      </c>
      <c r="R11" s="7" t="str">
        <f ca="1">IF(TODAY() - DOCXX[INV DUE DATE]&lt;30, "Less than 30 days",IF(TODAY()-DOCXX[INV DUE DATE]&lt;60,"30-60 days","More than 60 days"))</f>
        <v>More than 60 days</v>
      </c>
      <c r="S11" t="s">
        <v>818</v>
      </c>
      <c r="T11" s="43" t="s">
        <v>2229</v>
      </c>
      <c r="U11" s="7" t="s">
        <v>3699</v>
      </c>
    </row>
    <row r="12" spans="1:21" x14ac:dyDescent="0.3">
      <c r="A12" s="14" t="s">
        <v>2150</v>
      </c>
      <c r="B12" t="s">
        <v>32</v>
      </c>
      <c r="C12" t="s">
        <v>125</v>
      </c>
      <c r="D12">
        <v>1</v>
      </c>
      <c r="E12" s="7">
        <v>196.35</v>
      </c>
      <c r="F12">
        <v>31289683</v>
      </c>
      <c r="J12" t="s">
        <v>2256</v>
      </c>
      <c r="K12" t="s">
        <v>3</v>
      </c>
      <c r="L12" s="2">
        <v>43132</v>
      </c>
      <c r="M12" s="2">
        <f>DOCXX[[#This Row],[INV DOC DATE]]+30</f>
        <v>43162</v>
      </c>
      <c r="N12" s="2">
        <v>43245</v>
      </c>
      <c r="O12" s="7">
        <v>196.35</v>
      </c>
      <c r="P12" s="2">
        <v>43262</v>
      </c>
      <c r="Q12" s="7">
        <f>$E12-$O12</f>
        <v>0</v>
      </c>
      <c r="R12" s="7" t="str">
        <f ca="1">IF(TODAY() - DOCXX[INV DUE DATE]&lt;30, "Less than 30 days",IF(TODAY()-DOCXX[INV DUE DATE]&lt;60,"30-60 days","More than 60 days"))</f>
        <v>More than 60 days</v>
      </c>
      <c r="S12" t="s">
        <v>818</v>
      </c>
      <c r="T12" s="43" t="s">
        <v>2229</v>
      </c>
      <c r="U12" s="7" t="s">
        <v>3699</v>
      </c>
    </row>
    <row r="13" spans="1:21" x14ac:dyDescent="0.3">
      <c r="A13" s="14" t="s">
        <v>2150</v>
      </c>
      <c r="B13" t="s">
        <v>32</v>
      </c>
      <c r="C13" t="s">
        <v>126</v>
      </c>
      <c r="D13">
        <v>1</v>
      </c>
      <c r="E13" s="7">
        <v>261.8</v>
      </c>
      <c r="F13">
        <v>31309200</v>
      </c>
      <c r="J13" t="s">
        <v>2256</v>
      </c>
      <c r="K13" t="s">
        <v>3</v>
      </c>
      <c r="L13" s="2">
        <v>43132</v>
      </c>
      <c r="M13" s="2">
        <f>DOCXX[[#This Row],[INV DOC DATE]]+30</f>
        <v>43162</v>
      </c>
      <c r="N13" s="2">
        <v>43245</v>
      </c>
      <c r="O13" s="7">
        <v>261.8</v>
      </c>
      <c r="P13" s="2">
        <v>43262</v>
      </c>
      <c r="Q13" s="7">
        <f>$E13-$O13</f>
        <v>0</v>
      </c>
      <c r="R13" s="7" t="str">
        <f ca="1">IF(TODAY() - DOCXX[INV DUE DATE]&lt;30, "Less than 30 days",IF(TODAY()-DOCXX[INV DUE DATE]&lt;60,"30-60 days","More than 60 days"))</f>
        <v>More than 60 days</v>
      </c>
      <c r="S13" t="s">
        <v>818</v>
      </c>
      <c r="T13" s="43" t="s">
        <v>2229</v>
      </c>
      <c r="U13" s="7" t="s">
        <v>3699</v>
      </c>
    </row>
    <row r="14" spans="1:21" x14ac:dyDescent="0.3">
      <c r="A14" s="14" t="s">
        <v>2150</v>
      </c>
      <c r="B14" t="s">
        <v>32</v>
      </c>
      <c r="C14" t="s">
        <v>127</v>
      </c>
      <c r="D14">
        <v>1</v>
      </c>
      <c r="E14" s="7">
        <v>196.35</v>
      </c>
      <c r="F14">
        <v>31318060</v>
      </c>
      <c r="J14" t="s">
        <v>2256</v>
      </c>
      <c r="K14" t="s">
        <v>3</v>
      </c>
      <c r="L14" s="2">
        <v>43132</v>
      </c>
      <c r="M14" s="2">
        <f>DOCXX[[#This Row],[INV DOC DATE]]+30</f>
        <v>43162</v>
      </c>
      <c r="N14" s="2">
        <v>43245</v>
      </c>
      <c r="O14" s="7">
        <v>196.35</v>
      </c>
      <c r="P14" s="2">
        <v>43262</v>
      </c>
      <c r="Q14" s="7">
        <f>$E14-$O14</f>
        <v>0</v>
      </c>
      <c r="R14" s="7" t="str">
        <f ca="1">IF(TODAY() - DOCXX[INV DUE DATE]&lt;30, "Less than 30 days",IF(TODAY()-DOCXX[INV DUE DATE]&lt;60,"30-60 days","More than 60 days"))</f>
        <v>More than 60 days</v>
      </c>
      <c r="S14" t="s">
        <v>818</v>
      </c>
      <c r="T14" s="43" t="s">
        <v>2229</v>
      </c>
      <c r="U14" s="7" t="s">
        <v>3699</v>
      </c>
    </row>
    <row r="15" spans="1:21" x14ac:dyDescent="0.3">
      <c r="A15" s="14" t="s">
        <v>2150</v>
      </c>
      <c r="B15" t="s">
        <v>32</v>
      </c>
      <c r="C15" t="s">
        <v>128</v>
      </c>
      <c r="D15">
        <v>1</v>
      </c>
      <c r="E15" s="7">
        <v>196.35</v>
      </c>
      <c r="F15">
        <v>31318060</v>
      </c>
      <c r="J15" t="s">
        <v>2256</v>
      </c>
      <c r="K15" t="s">
        <v>3</v>
      </c>
      <c r="L15" s="2">
        <v>43132</v>
      </c>
      <c r="M15" s="2">
        <f>DOCXX[[#This Row],[INV DOC DATE]]+30</f>
        <v>43162</v>
      </c>
      <c r="N15" s="2">
        <v>43245</v>
      </c>
      <c r="O15" s="7">
        <v>196.35</v>
      </c>
      <c r="P15" s="2">
        <v>43262</v>
      </c>
      <c r="Q15" s="7">
        <f>$E15-$O15</f>
        <v>0</v>
      </c>
      <c r="R15" s="7" t="str">
        <f ca="1">IF(TODAY() - DOCXX[INV DUE DATE]&lt;30, "Less than 30 days",IF(TODAY()-DOCXX[INV DUE DATE]&lt;60,"30-60 days","More than 60 days"))</f>
        <v>More than 60 days</v>
      </c>
      <c r="S15" t="s">
        <v>818</v>
      </c>
      <c r="T15" s="43" t="s">
        <v>2229</v>
      </c>
      <c r="U15" s="7" t="s">
        <v>3699</v>
      </c>
    </row>
    <row r="16" spans="1:21" x14ac:dyDescent="0.3">
      <c r="A16" s="14" t="s">
        <v>2150</v>
      </c>
      <c r="B16" t="s">
        <v>32</v>
      </c>
      <c r="C16" t="s">
        <v>129</v>
      </c>
      <c r="D16">
        <v>1</v>
      </c>
      <c r="E16" s="7">
        <v>177.65</v>
      </c>
      <c r="F16">
        <v>31318061</v>
      </c>
      <c r="J16" t="s">
        <v>2256</v>
      </c>
      <c r="K16" t="s">
        <v>3</v>
      </c>
      <c r="L16" s="2">
        <v>43132</v>
      </c>
      <c r="M16" s="2">
        <f>DOCXX[[#This Row],[INV DOC DATE]]+30</f>
        <v>43162</v>
      </c>
      <c r="N16" s="2">
        <v>43245</v>
      </c>
      <c r="O16" s="7">
        <v>177.65</v>
      </c>
      <c r="P16" s="2">
        <v>43262</v>
      </c>
      <c r="Q16" s="7">
        <f>$E16-$O16</f>
        <v>0</v>
      </c>
      <c r="R16" s="7" t="str">
        <f ca="1">IF(TODAY() - DOCXX[INV DUE DATE]&lt;30, "Less than 30 days",IF(TODAY()-DOCXX[INV DUE DATE]&lt;60,"30-60 days","More than 60 days"))</f>
        <v>More than 60 days</v>
      </c>
      <c r="S16" t="s">
        <v>818</v>
      </c>
      <c r="T16" s="43" t="s">
        <v>2229</v>
      </c>
      <c r="U16" s="7" t="s">
        <v>3699</v>
      </c>
    </row>
    <row r="17" spans="1:21" x14ac:dyDescent="0.3">
      <c r="A17" s="14" t="s">
        <v>2150</v>
      </c>
      <c r="B17" t="s">
        <v>32</v>
      </c>
      <c r="C17" t="s">
        <v>130</v>
      </c>
      <c r="D17">
        <v>1</v>
      </c>
      <c r="E17" s="7">
        <v>271.14999999999998</v>
      </c>
      <c r="F17">
        <v>31318062</v>
      </c>
      <c r="J17" t="s">
        <v>2256</v>
      </c>
      <c r="K17" t="s">
        <v>3</v>
      </c>
      <c r="L17" s="2">
        <v>43132</v>
      </c>
      <c r="M17" s="2">
        <f>DOCXX[[#This Row],[INV DOC DATE]]+30</f>
        <v>43162</v>
      </c>
      <c r="N17" s="2">
        <v>43245</v>
      </c>
      <c r="O17" s="7">
        <v>271.14999999999998</v>
      </c>
      <c r="P17" s="2">
        <v>43262</v>
      </c>
      <c r="Q17" s="7">
        <f>$E17-$O17</f>
        <v>0</v>
      </c>
      <c r="R17" s="7" t="str">
        <f ca="1">IF(TODAY() - DOCXX[INV DUE DATE]&lt;30, "Less than 30 days",IF(TODAY()-DOCXX[INV DUE DATE]&lt;60,"30-60 days","More than 60 days"))</f>
        <v>More than 60 days</v>
      </c>
      <c r="S17" t="s">
        <v>818</v>
      </c>
      <c r="T17" s="43" t="s">
        <v>2229</v>
      </c>
      <c r="U17" s="7" t="s">
        <v>3699</v>
      </c>
    </row>
    <row r="18" spans="1:21" x14ac:dyDescent="0.3">
      <c r="A18" s="14" t="s">
        <v>2150</v>
      </c>
      <c r="B18" t="s">
        <v>32</v>
      </c>
      <c r="C18" t="s">
        <v>131</v>
      </c>
      <c r="D18">
        <v>1</v>
      </c>
      <c r="E18" s="7">
        <v>271.14999999999998</v>
      </c>
      <c r="F18">
        <v>31318063</v>
      </c>
      <c r="J18" t="s">
        <v>2256</v>
      </c>
      <c r="K18" t="s">
        <v>3</v>
      </c>
      <c r="L18" s="2">
        <v>43132</v>
      </c>
      <c r="M18" s="2">
        <f>DOCXX[[#This Row],[INV DOC DATE]]+30</f>
        <v>43162</v>
      </c>
      <c r="N18" s="2">
        <v>43245</v>
      </c>
      <c r="O18" s="7">
        <v>271.14999999999998</v>
      </c>
      <c r="P18" s="2">
        <v>43262</v>
      </c>
      <c r="Q18" s="7">
        <f>$E18-$O18</f>
        <v>0</v>
      </c>
      <c r="R18" s="7" t="str">
        <f ca="1">IF(TODAY() - DOCXX[INV DUE DATE]&lt;30, "Less than 30 days",IF(TODAY()-DOCXX[INV DUE DATE]&lt;60,"30-60 days","More than 60 days"))</f>
        <v>More than 60 days</v>
      </c>
      <c r="S18" t="s">
        <v>818</v>
      </c>
      <c r="T18" s="43" t="s">
        <v>2229</v>
      </c>
      <c r="U18" s="7" t="s">
        <v>3699</v>
      </c>
    </row>
    <row r="19" spans="1:21" x14ac:dyDescent="0.3">
      <c r="A19" s="14" t="s">
        <v>2150</v>
      </c>
      <c r="B19" t="s">
        <v>32</v>
      </c>
      <c r="C19" t="s">
        <v>132</v>
      </c>
      <c r="D19">
        <v>1</v>
      </c>
      <c r="E19" s="7">
        <v>187</v>
      </c>
      <c r="F19">
        <v>31318064</v>
      </c>
      <c r="J19" t="s">
        <v>2256</v>
      </c>
      <c r="K19" t="s">
        <v>3</v>
      </c>
      <c r="L19" s="2">
        <v>43132</v>
      </c>
      <c r="M19" s="2">
        <f>DOCXX[[#This Row],[INV DOC DATE]]+30</f>
        <v>43162</v>
      </c>
      <c r="N19" s="2">
        <v>43245</v>
      </c>
      <c r="O19" s="7">
        <v>187</v>
      </c>
      <c r="P19" s="2">
        <v>43262</v>
      </c>
      <c r="Q19" s="7">
        <f>$E19-$O19</f>
        <v>0</v>
      </c>
      <c r="R19" s="7" t="str">
        <f ca="1">IF(TODAY() - DOCXX[INV DUE DATE]&lt;30, "Less than 30 days",IF(TODAY()-DOCXX[INV DUE DATE]&lt;60,"30-60 days","More than 60 days"))</f>
        <v>More than 60 days</v>
      </c>
      <c r="S19" t="s">
        <v>818</v>
      </c>
      <c r="T19" s="43" t="s">
        <v>2229</v>
      </c>
      <c r="U19" s="7" t="s">
        <v>3699</v>
      </c>
    </row>
    <row r="20" spans="1:21" x14ac:dyDescent="0.3">
      <c r="A20" s="14" t="s">
        <v>2150</v>
      </c>
      <c r="B20" t="s">
        <v>32</v>
      </c>
      <c r="C20" t="s">
        <v>133</v>
      </c>
      <c r="D20">
        <v>1</v>
      </c>
      <c r="E20" s="7">
        <v>46.75</v>
      </c>
      <c r="F20">
        <v>31319488</v>
      </c>
      <c r="J20" t="s">
        <v>2256</v>
      </c>
      <c r="K20" t="s">
        <v>3</v>
      </c>
      <c r="L20" s="2">
        <v>43132</v>
      </c>
      <c r="M20" s="2">
        <f>DOCXX[[#This Row],[INV DOC DATE]]+30</f>
        <v>43162</v>
      </c>
      <c r="N20" s="2">
        <v>43245</v>
      </c>
      <c r="O20" s="7">
        <v>46.75</v>
      </c>
      <c r="P20" s="2">
        <v>43262</v>
      </c>
      <c r="Q20" s="7">
        <f>$E20-$O20</f>
        <v>0</v>
      </c>
      <c r="R20" s="7" t="str">
        <f ca="1">IF(TODAY() - DOCXX[INV DUE DATE]&lt;30, "Less than 30 days",IF(TODAY()-DOCXX[INV DUE DATE]&lt;60,"30-60 days","More than 60 days"))</f>
        <v>More than 60 days</v>
      </c>
      <c r="S20" t="s">
        <v>818</v>
      </c>
      <c r="T20" s="43" t="s">
        <v>2229</v>
      </c>
      <c r="U20" s="7" t="s">
        <v>3699</v>
      </c>
    </row>
    <row r="21" spans="1:21" x14ac:dyDescent="0.3">
      <c r="A21" s="14" t="s">
        <v>2150</v>
      </c>
      <c r="B21" t="s">
        <v>32</v>
      </c>
      <c r="C21" t="s">
        <v>134</v>
      </c>
      <c r="D21">
        <v>1</v>
      </c>
      <c r="E21" s="7">
        <v>271.14999999999998</v>
      </c>
      <c r="F21">
        <v>31325410</v>
      </c>
      <c r="J21" t="s">
        <v>2256</v>
      </c>
      <c r="K21" t="s">
        <v>3</v>
      </c>
      <c r="L21" s="2">
        <v>43132</v>
      </c>
      <c r="M21" s="2">
        <f>DOCXX[[#This Row],[INV DOC DATE]]+30</f>
        <v>43162</v>
      </c>
      <c r="N21" s="2">
        <v>43245</v>
      </c>
      <c r="O21" s="7">
        <v>271.14999999999998</v>
      </c>
      <c r="P21" s="2">
        <v>43262</v>
      </c>
      <c r="Q21" s="7">
        <f>$E21-$O21</f>
        <v>0</v>
      </c>
      <c r="R21" s="7" t="str">
        <f ca="1">IF(TODAY() - DOCXX[INV DUE DATE]&lt;30, "Less than 30 days",IF(TODAY()-DOCXX[INV DUE DATE]&lt;60,"30-60 days","More than 60 days"))</f>
        <v>More than 60 days</v>
      </c>
      <c r="S21" t="s">
        <v>818</v>
      </c>
      <c r="T21" s="43" t="s">
        <v>2229</v>
      </c>
      <c r="U21" s="7" t="s">
        <v>3699</v>
      </c>
    </row>
    <row r="22" spans="1:21" x14ac:dyDescent="0.3">
      <c r="A22" s="14" t="s">
        <v>2150</v>
      </c>
      <c r="B22" t="s">
        <v>32</v>
      </c>
      <c r="C22" t="s">
        <v>135</v>
      </c>
      <c r="D22">
        <v>1</v>
      </c>
      <c r="E22" s="7">
        <v>271.14999999999998</v>
      </c>
      <c r="F22">
        <v>31325411</v>
      </c>
      <c r="J22" t="s">
        <v>2256</v>
      </c>
      <c r="K22" t="s">
        <v>3</v>
      </c>
      <c r="L22" s="2">
        <v>43132</v>
      </c>
      <c r="M22" s="2">
        <f>DOCXX[[#This Row],[INV DOC DATE]]+30</f>
        <v>43162</v>
      </c>
      <c r="N22" s="2">
        <v>43245</v>
      </c>
      <c r="O22" s="7">
        <v>271.14999999999998</v>
      </c>
      <c r="P22" s="2">
        <v>43262</v>
      </c>
      <c r="Q22" s="7">
        <f>$E22-$O22</f>
        <v>0</v>
      </c>
      <c r="R22" s="7" t="str">
        <f ca="1">IF(TODAY() - DOCXX[INV DUE DATE]&lt;30, "Less than 30 days",IF(TODAY()-DOCXX[INV DUE DATE]&lt;60,"30-60 days","More than 60 days"))</f>
        <v>More than 60 days</v>
      </c>
      <c r="S22" t="s">
        <v>818</v>
      </c>
      <c r="T22" s="43" t="s">
        <v>2229</v>
      </c>
      <c r="U22" s="7" t="s">
        <v>3699</v>
      </c>
    </row>
    <row r="23" spans="1:21" x14ac:dyDescent="0.3">
      <c r="A23" s="14" t="s">
        <v>2150</v>
      </c>
      <c r="B23" t="s">
        <v>32</v>
      </c>
      <c r="C23" t="s">
        <v>136</v>
      </c>
      <c r="D23">
        <v>1</v>
      </c>
      <c r="E23" s="7">
        <v>224.4</v>
      </c>
      <c r="F23">
        <v>31325629</v>
      </c>
      <c r="J23" t="s">
        <v>2256</v>
      </c>
      <c r="K23" t="s">
        <v>3</v>
      </c>
      <c r="L23" s="2">
        <v>43132</v>
      </c>
      <c r="M23" s="2">
        <f>DOCXX[[#This Row],[INV DOC DATE]]+30</f>
        <v>43162</v>
      </c>
      <c r="N23" s="2">
        <v>43245</v>
      </c>
      <c r="O23" s="7">
        <v>224.4</v>
      </c>
      <c r="P23" s="2">
        <v>43262</v>
      </c>
      <c r="Q23" s="7">
        <f>$E23-$O23</f>
        <v>0</v>
      </c>
      <c r="R23" s="7" t="str">
        <f ca="1">IF(TODAY() - DOCXX[INV DUE DATE]&lt;30, "Less than 30 days",IF(TODAY()-DOCXX[INV DUE DATE]&lt;60,"30-60 days","More than 60 days"))</f>
        <v>More than 60 days</v>
      </c>
      <c r="S23" t="s">
        <v>818</v>
      </c>
      <c r="T23" s="43" t="s">
        <v>2229</v>
      </c>
      <c r="U23" s="7" t="s">
        <v>3699</v>
      </c>
    </row>
    <row r="24" spans="1:21" x14ac:dyDescent="0.3">
      <c r="A24" s="14" t="s">
        <v>2150</v>
      </c>
      <c r="B24" t="s">
        <v>32</v>
      </c>
      <c r="C24" t="s">
        <v>137</v>
      </c>
      <c r="D24">
        <v>1</v>
      </c>
      <c r="E24" s="7">
        <v>84.15</v>
      </c>
      <c r="F24">
        <v>31327216</v>
      </c>
      <c r="J24" t="s">
        <v>2256</v>
      </c>
      <c r="K24" t="s">
        <v>3</v>
      </c>
      <c r="L24" s="2">
        <v>43132</v>
      </c>
      <c r="M24" s="2">
        <f>DOCXX[[#This Row],[INV DOC DATE]]+30</f>
        <v>43162</v>
      </c>
      <c r="N24" s="2">
        <v>43245</v>
      </c>
      <c r="O24" s="7">
        <v>84.15</v>
      </c>
      <c r="P24" s="2">
        <v>43262</v>
      </c>
      <c r="Q24" s="7">
        <f>$E24-$O24</f>
        <v>0</v>
      </c>
      <c r="R24" s="7" t="str">
        <f ca="1">IF(TODAY() - DOCXX[INV DUE DATE]&lt;30, "Less than 30 days",IF(TODAY()-DOCXX[INV DUE DATE]&lt;60,"30-60 days","More than 60 days"))</f>
        <v>More than 60 days</v>
      </c>
      <c r="S24" t="s">
        <v>818</v>
      </c>
      <c r="T24" s="43" t="s">
        <v>2229</v>
      </c>
      <c r="U24" s="7" t="s">
        <v>3699</v>
      </c>
    </row>
    <row r="25" spans="1:21" x14ac:dyDescent="0.3">
      <c r="A25" s="14" t="s">
        <v>2150</v>
      </c>
      <c r="B25" t="s">
        <v>32</v>
      </c>
      <c r="C25" t="s">
        <v>138</v>
      </c>
      <c r="D25">
        <v>1</v>
      </c>
      <c r="E25" s="7">
        <v>271.14999999999998</v>
      </c>
      <c r="F25">
        <v>31332841</v>
      </c>
      <c r="J25" t="s">
        <v>2256</v>
      </c>
      <c r="K25" t="s">
        <v>3</v>
      </c>
      <c r="L25" s="2">
        <v>43132</v>
      </c>
      <c r="M25" s="2">
        <f>DOCXX[[#This Row],[INV DOC DATE]]+30</f>
        <v>43162</v>
      </c>
      <c r="N25" s="2">
        <v>43245</v>
      </c>
      <c r="O25" s="7">
        <v>271.14999999999998</v>
      </c>
      <c r="P25" s="2">
        <v>43262</v>
      </c>
      <c r="Q25" s="7">
        <f>$E25-$O25</f>
        <v>0</v>
      </c>
      <c r="R25" s="7" t="str">
        <f ca="1">IF(TODAY() - DOCXX[INV DUE DATE]&lt;30, "Less than 30 days",IF(TODAY()-DOCXX[INV DUE DATE]&lt;60,"30-60 days","More than 60 days"))</f>
        <v>More than 60 days</v>
      </c>
      <c r="S25" t="s">
        <v>818</v>
      </c>
      <c r="T25" s="43" t="s">
        <v>2229</v>
      </c>
      <c r="U25" s="7" t="s">
        <v>3699</v>
      </c>
    </row>
    <row r="26" spans="1:21" x14ac:dyDescent="0.3">
      <c r="A26" s="14" t="s">
        <v>2150</v>
      </c>
      <c r="B26" t="s">
        <v>32</v>
      </c>
      <c r="C26" t="s">
        <v>139</v>
      </c>
      <c r="D26">
        <v>1</v>
      </c>
      <c r="E26" s="7">
        <v>112.2</v>
      </c>
      <c r="F26">
        <v>31333667</v>
      </c>
      <c r="J26" t="s">
        <v>2256</v>
      </c>
      <c r="K26" t="s">
        <v>3</v>
      </c>
      <c r="L26" s="2">
        <v>43132</v>
      </c>
      <c r="M26" s="2">
        <f>DOCXX[[#This Row],[INV DOC DATE]]+30</f>
        <v>43162</v>
      </c>
      <c r="N26" s="2">
        <v>43245</v>
      </c>
      <c r="O26" s="7">
        <v>112.2</v>
      </c>
      <c r="P26" s="2">
        <v>43262</v>
      </c>
      <c r="Q26" s="7">
        <f>$E26-$O26</f>
        <v>0</v>
      </c>
      <c r="R26" s="7" t="str">
        <f ca="1">IF(TODAY() - DOCXX[INV DUE DATE]&lt;30, "Less than 30 days",IF(TODAY()-DOCXX[INV DUE DATE]&lt;60,"30-60 days","More than 60 days"))</f>
        <v>More than 60 days</v>
      </c>
      <c r="S26" t="s">
        <v>818</v>
      </c>
      <c r="T26" s="43" t="s">
        <v>2229</v>
      </c>
      <c r="U26" s="7" t="s">
        <v>3699</v>
      </c>
    </row>
    <row r="27" spans="1:21" x14ac:dyDescent="0.3">
      <c r="A27" s="14" t="s">
        <v>2150</v>
      </c>
      <c r="B27" t="s">
        <v>32</v>
      </c>
      <c r="C27" t="s">
        <v>140</v>
      </c>
      <c r="D27">
        <v>1</v>
      </c>
      <c r="E27" s="7">
        <v>271.14999999999998</v>
      </c>
      <c r="F27">
        <v>31334213</v>
      </c>
      <c r="J27" t="s">
        <v>2256</v>
      </c>
      <c r="K27" t="s">
        <v>3</v>
      </c>
      <c r="L27" s="2">
        <v>43132</v>
      </c>
      <c r="M27" s="2">
        <f>DOCXX[[#This Row],[INV DOC DATE]]+30</f>
        <v>43162</v>
      </c>
      <c r="N27" s="2">
        <v>43245</v>
      </c>
      <c r="O27" s="7">
        <v>271.14999999999998</v>
      </c>
      <c r="P27" s="2">
        <v>43262</v>
      </c>
      <c r="Q27" s="7">
        <f>$E27-$O27</f>
        <v>0</v>
      </c>
      <c r="R27" s="7" t="str">
        <f ca="1">IF(TODAY() - DOCXX[INV DUE DATE]&lt;30, "Less than 30 days",IF(TODAY()-DOCXX[INV DUE DATE]&lt;60,"30-60 days","More than 60 days"))</f>
        <v>More than 60 days</v>
      </c>
      <c r="S27" t="s">
        <v>818</v>
      </c>
      <c r="T27" s="43" t="s">
        <v>2229</v>
      </c>
      <c r="U27" s="7" t="s">
        <v>3699</v>
      </c>
    </row>
    <row r="28" spans="1:21" x14ac:dyDescent="0.3">
      <c r="A28" s="14" t="s">
        <v>2150</v>
      </c>
      <c r="B28" t="s">
        <v>32</v>
      </c>
      <c r="C28" t="s">
        <v>141</v>
      </c>
      <c r="D28">
        <v>1</v>
      </c>
      <c r="E28" s="7">
        <v>233.75</v>
      </c>
      <c r="F28">
        <v>31334214</v>
      </c>
      <c r="J28" t="s">
        <v>2256</v>
      </c>
      <c r="K28" t="s">
        <v>3</v>
      </c>
      <c r="L28" s="2">
        <v>43132</v>
      </c>
      <c r="M28" s="2">
        <f>DOCXX[[#This Row],[INV DOC DATE]]+30</f>
        <v>43162</v>
      </c>
      <c r="N28" s="2">
        <v>43245</v>
      </c>
      <c r="O28" s="7">
        <v>233.75</v>
      </c>
      <c r="P28" s="2">
        <v>43262</v>
      </c>
      <c r="Q28" s="7">
        <f>$E28-$O28</f>
        <v>0</v>
      </c>
      <c r="R28" s="7" t="str">
        <f ca="1">IF(TODAY() - DOCXX[INV DUE DATE]&lt;30, "Less than 30 days",IF(TODAY()-DOCXX[INV DUE DATE]&lt;60,"30-60 days","More than 60 days"))</f>
        <v>More than 60 days</v>
      </c>
      <c r="S28" t="s">
        <v>818</v>
      </c>
      <c r="T28" s="43" t="s">
        <v>2229</v>
      </c>
      <c r="U28" s="7" t="s">
        <v>3699</v>
      </c>
    </row>
    <row r="29" spans="1:21" x14ac:dyDescent="0.3">
      <c r="A29" s="14" t="s">
        <v>2150</v>
      </c>
      <c r="B29" t="s">
        <v>32</v>
      </c>
      <c r="C29" t="s">
        <v>142</v>
      </c>
      <c r="D29">
        <v>1</v>
      </c>
      <c r="E29" s="7">
        <v>205.7</v>
      </c>
      <c r="F29">
        <v>31337974</v>
      </c>
      <c r="J29" t="s">
        <v>2256</v>
      </c>
      <c r="K29" t="s">
        <v>3</v>
      </c>
      <c r="L29" s="2">
        <v>43132</v>
      </c>
      <c r="M29" s="2">
        <f>DOCXX[[#This Row],[INV DOC DATE]]+30</f>
        <v>43162</v>
      </c>
      <c r="N29" s="2">
        <v>43245</v>
      </c>
      <c r="O29" s="7">
        <v>205.7</v>
      </c>
      <c r="P29" s="2">
        <v>43262</v>
      </c>
      <c r="Q29" s="7">
        <f>$E29-$O29</f>
        <v>0</v>
      </c>
      <c r="R29" s="7" t="str">
        <f ca="1">IF(TODAY() - DOCXX[INV DUE DATE]&lt;30, "Less than 30 days",IF(TODAY()-DOCXX[INV DUE DATE]&lt;60,"30-60 days","More than 60 days"))</f>
        <v>More than 60 days</v>
      </c>
      <c r="S29" t="s">
        <v>818</v>
      </c>
      <c r="T29" s="43" t="s">
        <v>2229</v>
      </c>
      <c r="U29" s="7" t="s">
        <v>3699</v>
      </c>
    </row>
    <row r="30" spans="1:21" x14ac:dyDescent="0.3">
      <c r="A30" s="14" t="s">
        <v>2150</v>
      </c>
      <c r="B30" t="s">
        <v>32</v>
      </c>
      <c r="C30" t="s">
        <v>143</v>
      </c>
      <c r="D30">
        <v>1</v>
      </c>
      <c r="E30" s="7">
        <v>196.35</v>
      </c>
      <c r="F30">
        <v>31352125</v>
      </c>
      <c r="J30" t="s">
        <v>2256</v>
      </c>
      <c r="K30" t="s">
        <v>3</v>
      </c>
      <c r="L30" s="2">
        <v>43132</v>
      </c>
      <c r="M30" s="2">
        <f>DOCXX[[#This Row],[INV DOC DATE]]+30</f>
        <v>43162</v>
      </c>
      <c r="N30" s="2">
        <v>43245</v>
      </c>
      <c r="O30" s="7">
        <v>196.35</v>
      </c>
      <c r="P30" s="2">
        <v>43262</v>
      </c>
      <c r="Q30" s="7">
        <f>$E30-$O30</f>
        <v>0</v>
      </c>
      <c r="R30" s="7" t="str">
        <f ca="1">IF(TODAY() - DOCXX[INV DUE DATE]&lt;30, "Less than 30 days",IF(TODAY()-DOCXX[INV DUE DATE]&lt;60,"30-60 days","More than 60 days"))</f>
        <v>More than 60 days</v>
      </c>
      <c r="S30" t="s">
        <v>818</v>
      </c>
      <c r="T30" s="43" t="s">
        <v>2229</v>
      </c>
      <c r="U30" s="7" t="s">
        <v>3699</v>
      </c>
    </row>
    <row r="31" spans="1:21" x14ac:dyDescent="0.3">
      <c r="A31" s="14" t="s">
        <v>2150</v>
      </c>
      <c r="B31" t="s">
        <v>32</v>
      </c>
      <c r="C31" t="s">
        <v>144</v>
      </c>
      <c r="D31">
        <v>1</v>
      </c>
      <c r="E31" s="7">
        <v>233.75</v>
      </c>
      <c r="F31">
        <v>31362221</v>
      </c>
      <c r="J31" t="s">
        <v>2256</v>
      </c>
      <c r="K31" t="s">
        <v>3</v>
      </c>
      <c r="L31" s="2">
        <v>43132</v>
      </c>
      <c r="M31" s="2">
        <f>DOCXX[[#This Row],[INV DOC DATE]]+30</f>
        <v>43162</v>
      </c>
      <c r="N31" s="2">
        <v>43245</v>
      </c>
      <c r="O31" s="7">
        <v>233.75</v>
      </c>
      <c r="P31" s="2">
        <v>43262</v>
      </c>
      <c r="Q31" s="7">
        <f>$E31-$O31</f>
        <v>0</v>
      </c>
      <c r="R31" s="7" t="str">
        <f ca="1">IF(TODAY() - DOCXX[INV DUE DATE]&lt;30, "Less than 30 days",IF(TODAY()-DOCXX[INV DUE DATE]&lt;60,"30-60 days","More than 60 days"))</f>
        <v>More than 60 days</v>
      </c>
      <c r="S31" t="s">
        <v>818</v>
      </c>
      <c r="T31" s="43" t="s">
        <v>2229</v>
      </c>
      <c r="U31" s="7" t="s">
        <v>3699</v>
      </c>
    </row>
    <row r="32" spans="1:21" x14ac:dyDescent="0.3">
      <c r="A32" s="14" t="s">
        <v>2150</v>
      </c>
      <c r="B32" t="s">
        <v>32</v>
      </c>
      <c r="C32" t="s">
        <v>145</v>
      </c>
      <c r="D32">
        <v>1</v>
      </c>
      <c r="E32" s="7">
        <v>93.5</v>
      </c>
      <c r="F32">
        <v>31380497</v>
      </c>
      <c r="J32" t="s">
        <v>2256</v>
      </c>
      <c r="K32" t="s">
        <v>3</v>
      </c>
      <c r="L32" s="2">
        <v>43132</v>
      </c>
      <c r="M32" s="2">
        <f>DOCXX[[#This Row],[INV DOC DATE]]+30</f>
        <v>43162</v>
      </c>
      <c r="N32" s="2">
        <v>43245</v>
      </c>
      <c r="O32" s="7">
        <v>93.5</v>
      </c>
      <c r="P32" s="2">
        <v>43262</v>
      </c>
      <c r="Q32" s="7">
        <f>$E32-$O32</f>
        <v>0</v>
      </c>
      <c r="R32" s="7" t="str">
        <f ca="1">IF(TODAY() - DOCXX[INV DUE DATE]&lt;30, "Less than 30 days",IF(TODAY()-DOCXX[INV DUE DATE]&lt;60,"30-60 days","More than 60 days"))</f>
        <v>More than 60 days</v>
      </c>
      <c r="S32" t="s">
        <v>818</v>
      </c>
      <c r="T32" s="43" t="s">
        <v>2229</v>
      </c>
      <c r="U32" s="7" t="s">
        <v>3699</v>
      </c>
    </row>
    <row r="33" spans="1:21" x14ac:dyDescent="0.3">
      <c r="A33" s="14" t="s">
        <v>2150</v>
      </c>
      <c r="B33" t="s">
        <v>32</v>
      </c>
      <c r="C33" t="s">
        <v>146</v>
      </c>
      <c r="D33">
        <v>1</v>
      </c>
      <c r="E33" s="7">
        <v>121.55</v>
      </c>
      <c r="F33">
        <v>31383175</v>
      </c>
      <c r="J33" t="s">
        <v>2256</v>
      </c>
      <c r="K33" t="s">
        <v>3</v>
      </c>
      <c r="L33" s="2">
        <v>43132</v>
      </c>
      <c r="M33" s="2">
        <f>DOCXX[[#This Row],[INV DOC DATE]]+30</f>
        <v>43162</v>
      </c>
      <c r="N33" s="2">
        <v>43245</v>
      </c>
      <c r="O33" s="7">
        <v>121.55</v>
      </c>
      <c r="P33" s="2">
        <v>43262</v>
      </c>
      <c r="Q33" s="7">
        <f>$E33-$O33</f>
        <v>0</v>
      </c>
      <c r="R33" s="7" t="str">
        <f ca="1">IF(TODAY() - DOCXX[INV DUE DATE]&lt;30, "Less than 30 days",IF(TODAY()-DOCXX[INV DUE DATE]&lt;60,"30-60 days","More than 60 days"))</f>
        <v>More than 60 days</v>
      </c>
      <c r="S33" t="s">
        <v>818</v>
      </c>
      <c r="T33" s="43" t="s">
        <v>2229</v>
      </c>
      <c r="U33" s="7" t="s">
        <v>3699</v>
      </c>
    </row>
    <row r="34" spans="1:21" x14ac:dyDescent="0.3">
      <c r="A34" s="14" t="s">
        <v>2150</v>
      </c>
      <c r="B34" t="s">
        <v>32</v>
      </c>
      <c r="C34" t="s">
        <v>147</v>
      </c>
      <c r="D34">
        <v>1</v>
      </c>
      <c r="E34" s="7">
        <v>102.85</v>
      </c>
      <c r="F34">
        <v>31383176</v>
      </c>
      <c r="J34" t="s">
        <v>2256</v>
      </c>
      <c r="K34" t="s">
        <v>3</v>
      </c>
      <c r="L34" s="2">
        <v>43132</v>
      </c>
      <c r="M34" s="2">
        <f>DOCXX[[#This Row],[INV DOC DATE]]+30</f>
        <v>43162</v>
      </c>
      <c r="N34" s="2">
        <v>43245</v>
      </c>
      <c r="O34" s="7">
        <v>102.85</v>
      </c>
      <c r="P34" s="2">
        <v>43262</v>
      </c>
      <c r="Q34" s="7">
        <f>$E34-$O34</f>
        <v>0</v>
      </c>
      <c r="R34" s="7" t="str">
        <f ca="1">IF(TODAY() - DOCXX[INV DUE DATE]&lt;30, "Less than 30 days",IF(TODAY()-DOCXX[INV DUE DATE]&lt;60,"30-60 days","More than 60 days"))</f>
        <v>More than 60 days</v>
      </c>
      <c r="S34" t="s">
        <v>818</v>
      </c>
      <c r="T34" s="43" t="s">
        <v>2229</v>
      </c>
      <c r="U34" s="7" t="s">
        <v>3699</v>
      </c>
    </row>
    <row r="35" spans="1:21" x14ac:dyDescent="0.3">
      <c r="A35" s="14" t="s">
        <v>2150</v>
      </c>
      <c r="B35" t="s">
        <v>32</v>
      </c>
      <c r="C35" t="s">
        <v>148</v>
      </c>
      <c r="D35">
        <v>1</v>
      </c>
      <c r="E35" s="7">
        <v>130.9</v>
      </c>
      <c r="F35">
        <v>31391395</v>
      </c>
      <c r="J35" t="s">
        <v>2256</v>
      </c>
      <c r="K35" t="s">
        <v>3</v>
      </c>
      <c r="L35" s="2">
        <v>43132</v>
      </c>
      <c r="M35" s="2">
        <f>DOCXX[[#This Row],[INV DOC DATE]]+30</f>
        <v>43162</v>
      </c>
      <c r="N35" s="2">
        <v>43245</v>
      </c>
      <c r="O35" s="7">
        <v>130.9</v>
      </c>
      <c r="P35" s="2">
        <v>43262</v>
      </c>
      <c r="Q35" s="7">
        <f>$E35-$O35</f>
        <v>0</v>
      </c>
      <c r="R35" s="7" t="str">
        <f ca="1">IF(TODAY() - DOCXX[INV DUE DATE]&lt;30, "Less than 30 days",IF(TODAY()-DOCXX[INV DUE DATE]&lt;60,"30-60 days","More than 60 days"))</f>
        <v>More than 60 days</v>
      </c>
      <c r="S35" t="s">
        <v>818</v>
      </c>
      <c r="T35" s="43" t="s">
        <v>2229</v>
      </c>
      <c r="U35" s="7" t="s">
        <v>3699</v>
      </c>
    </row>
    <row r="36" spans="1:21" x14ac:dyDescent="0.3">
      <c r="A36" s="14" t="s">
        <v>2150</v>
      </c>
      <c r="B36" t="s">
        <v>32</v>
      </c>
      <c r="C36" t="s">
        <v>149</v>
      </c>
      <c r="D36">
        <v>1</v>
      </c>
      <c r="E36" s="7">
        <v>205.7</v>
      </c>
      <c r="F36">
        <v>31392286</v>
      </c>
      <c r="J36" t="s">
        <v>2256</v>
      </c>
      <c r="K36" t="s">
        <v>3</v>
      </c>
      <c r="L36" s="2">
        <v>43132</v>
      </c>
      <c r="M36" s="2">
        <f>DOCXX[[#This Row],[INV DOC DATE]]+30</f>
        <v>43162</v>
      </c>
      <c r="N36" s="2">
        <v>43245</v>
      </c>
      <c r="O36" s="7">
        <v>205.7</v>
      </c>
      <c r="P36" s="2">
        <v>43262</v>
      </c>
      <c r="Q36" s="7">
        <f>$E36-$O36</f>
        <v>0</v>
      </c>
      <c r="R36" s="7" t="str">
        <f ca="1">IF(TODAY() - DOCXX[INV DUE DATE]&lt;30, "Less than 30 days",IF(TODAY()-DOCXX[INV DUE DATE]&lt;60,"30-60 days","More than 60 days"))</f>
        <v>More than 60 days</v>
      </c>
      <c r="S36" t="s">
        <v>818</v>
      </c>
      <c r="T36" s="43" t="s">
        <v>2229</v>
      </c>
      <c r="U36" s="7" t="s">
        <v>3699</v>
      </c>
    </row>
    <row r="37" spans="1:21" x14ac:dyDescent="0.3">
      <c r="A37" s="14" t="s">
        <v>2150</v>
      </c>
      <c r="B37" t="s">
        <v>32</v>
      </c>
      <c r="C37" t="s">
        <v>150</v>
      </c>
      <c r="D37">
        <v>1</v>
      </c>
      <c r="E37" s="7">
        <v>130.9</v>
      </c>
      <c r="F37">
        <v>31392417</v>
      </c>
      <c r="J37" t="s">
        <v>2256</v>
      </c>
      <c r="K37" t="s">
        <v>3</v>
      </c>
      <c r="L37" s="2">
        <v>43132</v>
      </c>
      <c r="M37" s="2">
        <f>DOCXX[[#This Row],[INV DOC DATE]]+30</f>
        <v>43162</v>
      </c>
      <c r="N37" s="2">
        <v>43245</v>
      </c>
      <c r="O37" s="7">
        <v>130.9</v>
      </c>
      <c r="P37" s="2">
        <v>43262</v>
      </c>
      <c r="Q37" s="7">
        <f>$E37-$O37</f>
        <v>0</v>
      </c>
      <c r="R37" s="7" t="str">
        <f ca="1">IF(TODAY() - DOCXX[INV DUE DATE]&lt;30, "Less than 30 days",IF(TODAY()-DOCXX[INV DUE DATE]&lt;60,"30-60 days","More than 60 days"))</f>
        <v>More than 60 days</v>
      </c>
      <c r="S37" t="s">
        <v>818</v>
      </c>
      <c r="T37" s="43" t="s">
        <v>2229</v>
      </c>
      <c r="U37" s="7" t="s">
        <v>3699</v>
      </c>
    </row>
    <row r="38" spans="1:21" x14ac:dyDescent="0.3">
      <c r="A38" s="14" t="s">
        <v>2150</v>
      </c>
      <c r="B38" t="s">
        <v>32</v>
      </c>
      <c r="C38" t="s">
        <v>151</v>
      </c>
      <c r="D38">
        <v>1</v>
      </c>
      <c r="E38" s="7">
        <v>187</v>
      </c>
      <c r="F38">
        <v>31392696</v>
      </c>
      <c r="J38" t="s">
        <v>2256</v>
      </c>
      <c r="K38" t="s">
        <v>3</v>
      </c>
      <c r="L38" s="2">
        <v>43132</v>
      </c>
      <c r="M38" s="2">
        <f>DOCXX[[#This Row],[INV DOC DATE]]+30</f>
        <v>43162</v>
      </c>
      <c r="N38" s="2">
        <v>43245</v>
      </c>
      <c r="O38" s="7">
        <v>187</v>
      </c>
      <c r="P38" s="2">
        <v>43262</v>
      </c>
      <c r="Q38" s="7">
        <f>$E38-$O38</f>
        <v>0</v>
      </c>
      <c r="R38" s="7" t="str">
        <f ca="1">IF(TODAY() - DOCXX[INV DUE DATE]&lt;30, "Less than 30 days",IF(TODAY()-DOCXX[INV DUE DATE]&lt;60,"30-60 days","More than 60 days"))</f>
        <v>More than 60 days</v>
      </c>
      <c r="S38" t="s">
        <v>818</v>
      </c>
      <c r="T38" s="43" t="s">
        <v>2229</v>
      </c>
      <c r="U38" s="7" t="s">
        <v>3699</v>
      </c>
    </row>
    <row r="39" spans="1:21" x14ac:dyDescent="0.3">
      <c r="A39" s="14" t="s">
        <v>2150</v>
      </c>
      <c r="B39" t="s">
        <v>32</v>
      </c>
      <c r="C39" t="s">
        <v>152</v>
      </c>
      <c r="D39">
        <v>1</v>
      </c>
      <c r="E39" s="7">
        <v>46.75</v>
      </c>
      <c r="F39">
        <v>31400029</v>
      </c>
      <c r="J39" t="s">
        <v>2256</v>
      </c>
      <c r="K39" t="s">
        <v>3</v>
      </c>
      <c r="L39" s="2">
        <v>43132</v>
      </c>
      <c r="M39" s="2">
        <f>DOCXX[[#This Row],[INV DOC DATE]]+30</f>
        <v>43162</v>
      </c>
      <c r="N39" s="2">
        <v>43245</v>
      </c>
      <c r="O39" s="7">
        <v>46.75</v>
      </c>
      <c r="P39" s="2">
        <v>43262</v>
      </c>
      <c r="Q39" s="7">
        <f>$E39-$O39</f>
        <v>0</v>
      </c>
      <c r="R39" s="7" t="str">
        <f ca="1">IF(TODAY() - DOCXX[INV DUE DATE]&lt;30, "Less than 30 days",IF(TODAY()-DOCXX[INV DUE DATE]&lt;60,"30-60 days","More than 60 days"))</f>
        <v>More than 60 days</v>
      </c>
      <c r="S39" t="s">
        <v>818</v>
      </c>
      <c r="T39" s="43" t="s">
        <v>2229</v>
      </c>
      <c r="U39" s="7" t="s">
        <v>3699</v>
      </c>
    </row>
    <row r="40" spans="1:21" x14ac:dyDescent="0.3">
      <c r="A40" s="14" t="s">
        <v>2150</v>
      </c>
      <c r="B40" t="s">
        <v>32</v>
      </c>
      <c r="C40" t="s">
        <v>296</v>
      </c>
      <c r="D40">
        <v>1</v>
      </c>
      <c r="E40" s="7">
        <v>196.35</v>
      </c>
      <c r="F40">
        <v>31400686</v>
      </c>
      <c r="J40" t="s">
        <v>2256</v>
      </c>
      <c r="K40" t="s">
        <v>3</v>
      </c>
      <c r="L40" s="2">
        <v>43132</v>
      </c>
      <c r="M40" s="2">
        <f>DOCXX[[#This Row],[INV DOC DATE]]+30</f>
        <v>43162</v>
      </c>
      <c r="N40" s="2">
        <v>43245</v>
      </c>
      <c r="O40" s="7">
        <v>196.35</v>
      </c>
      <c r="P40" s="2">
        <v>43262</v>
      </c>
      <c r="Q40" s="7">
        <f>$E40-$O40</f>
        <v>0</v>
      </c>
      <c r="R40" s="7" t="str">
        <f ca="1">IF(TODAY() - DOCXX[INV DUE DATE]&lt;30, "Less than 30 days",IF(TODAY()-DOCXX[INV DUE DATE]&lt;60,"30-60 days","More than 60 days"))</f>
        <v>More than 60 days</v>
      </c>
      <c r="S40" t="s">
        <v>818</v>
      </c>
      <c r="T40" s="43" t="s">
        <v>2229</v>
      </c>
      <c r="U40" s="7" t="s">
        <v>3699</v>
      </c>
    </row>
    <row r="41" spans="1:21" x14ac:dyDescent="0.3">
      <c r="A41" s="14" t="s">
        <v>2150</v>
      </c>
      <c r="B41" t="s">
        <v>32</v>
      </c>
      <c r="C41" t="s">
        <v>297</v>
      </c>
      <c r="D41">
        <v>1</v>
      </c>
      <c r="E41" s="7">
        <v>149.6</v>
      </c>
      <c r="F41">
        <v>31401462</v>
      </c>
      <c r="J41" t="s">
        <v>2256</v>
      </c>
      <c r="K41" t="s">
        <v>3</v>
      </c>
      <c r="L41" s="2">
        <v>43132</v>
      </c>
      <c r="M41" s="2">
        <f>DOCXX[[#This Row],[INV DOC DATE]]+30</f>
        <v>43162</v>
      </c>
      <c r="N41" s="2">
        <v>43245</v>
      </c>
      <c r="O41" s="7">
        <v>149.6</v>
      </c>
      <c r="P41" s="2">
        <v>43262</v>
      </c>
      <c r="Q41" s="7">
        <f>$E41-$O41</f>
        <v>0</v>
      </c>
      <c r="R41" s="7" t="str">
        <f ca="1">IF(TODAY() - DOCXX[INV DUE DATE]&lt;30, "Less than 30 days",IF(TODAY()-DOCXX[INV DUE DATE]&lt;60,"30-60 days","More than 60 days"))</f>
        <v>More than 60 days</v>
      </c>
      <c r="S41" t="s">
        <v>818</v>
      </c>
      <c r="T41" s="43" t="s">
        <v>2229</v>
      </c>
      <c r="U41" s="7" t="s">
        <v>3699</v>
      </c>
    </row>
    <row r="42" spans="1:21" x14ac:dyDescent="0.3">
      <c r="A42" s="14" t="s">
        <v>2150</v>
      </c>
      <c r="B42" t="s">
        <v>32</v>
      </c>
      <c r="C42" t="s">
        <v>298</v>
      </c>
      <c r="D42">
        <v>1</v>
      </c>
      <c r="E42" s="7">
        <v>149.6</v>
      </c>
      <c r="F42">
        <v>31403087</v>
      </c>
      <c r="J42" t="s">
        <v>2256</v>
      </c>
      <c r="K42" t="s">
        <v>3</v>
      </c>
      <c r="L42" s="2">
        <v>43132</v>
      </c>
      <c r="M42" s="2">
        <f>DOCXX[[#This Row],[INV DOC DATE]]+30</f>
        <v>43162</v>
      </c>
      <c r="N42" s="2">
        <v>43245</v>
      </c>
      <c r="O42" s="7">
        <v>149.6</v>
      </c>
      <c r="P42" s="2">
        <v>43262</v>
      </c>
      <c r="Q42" s="7">
        <f>$E42-$O42</f>
        <v>0</v>
      </c>
      <c r="R42" s="7" t="str">
        <f ca="1">IF(TODAY() - DOCXX[INV DUE DATE]&lt;30, "Less than 30 days",IF(TODAY()-DOCXX[INV DUE DATE]&lt;60,"30-60 days","More than 60 days"))</f>
        <v>More than 60 days</v>
      </c>
      <c r="S42" t="s">
        <v>818</v>
      </c>
      <c r="T42" s="43" t="s">
        <v>2229</v>
      </c>
      <c r="U42" s="7" t="s">
        <v>3699</v>
      </c>
    </row>
    <row r="43" spans="1:21" x14ac:dyDescent="0.3">
      <c r="A43" s="14" t="s">
        <v>2150</v>
      </c>
      <c r="B43" t="s">
        <v>32</v>
      </c>
      <c r="C43" t="s">
        <v>299</v>
      </c>
      <c r="D43">
        <v>1</v>
      </c>
      <c r="E43" s="7">
        <v>37.4</v>
      </c>
      <c r="F43">
        <v>31403471</v>
      </c>
      <c r="J43" t="s">
        <v>2256</v>
      </c>
      <c r="K43" t="s">
        <v>3</v>
      </c>
      <c r="L43" s="2">
        <v>43132</v>
      </c>
      <c r="M43" s="2">
        <f>DOCXX[[#This Row],[INV DOC DATE]]+30</f>
        <v>43162</v>
      </c>
      <c r="N43" s="2">
        <v>43245</v>
      </c>
      <c r="O43" s="7">
        <v>37.4</v>
      </c>
      <c r="P43" s="2">
        <v>43262</v>
      </c>
      <c r="Q43" s="7">
        <f>$E43-$O43</f>
        <v>0</v>
      </c>
      <c r="R43" s="7" t="str">
        <f ca="1">IF(TODAY() - DOCXX[INV DUE DATE]&lt;30, "Less than 30 days",IF(TODAY()-DOCXX[INV DUE DATE]&lt;60,"30-60 days","More than 60 days"))</f>
        <v>More than 60 days</v>
      </c>
      <c r="S43" t="s">
        <v>818</v>
      </c>
      <c r="T43" s="43" t="s">
        <v>2229</v>
      </c>
      <c r="U43" s="7" t="s">
        <v>3699</v>
      </c>
    </row>
    <row r="44" spans="1:21" x14ac:dyDescent="0.3">
      <c r="A44" s="14" t="s">
        <v>2150</v>
      </c>
      <c r="B44" t="s">
        <v>32</v>
      </c>
      <c r="C44" t="s">
        <v>300</v>
      </c>
      <c r="D44">
        <v>1</v>
      </c>
      <c r="E44" s="7">
        <v>196.35</v>
      </c>
      <c r="F44">
        <v>31403472</v>
      </c>
      <c r="J44" t="s">
        <v>2256</v>
      </c>
      <c r="K44" t="s">
        <v>3</v>
      </c>
      <c r="L44" s="2">
        <v>43132</v>
      </c>
      <c r="M44" s="2">
        <f>DOCXX[[#This Row],[INV DOC DATE]]+30</f>
        <v>43162</v>
      </c>
      <c r="N44" s="2">
        <v>43245</v>
      </c>
      <c r="O44" s="7">
        <v>196.35</v>
      </c>
      <c r="P44" s="2">
        <v>43262</v>
      </c>
      <c r="Q44" s="7">
        <f>$E44-$O44</f>
        <v>0</v>
      </c>
      <c r="R44" s="7" t="str">
        <f ca="1">IF(TODAY() - DOCXX[INV DUE DATE]&lt;30, "Less than 30 days",IF(TODAY()-DOCXX[INV DUE DATE]&lt;60,"30-60 days","More than 60 days"))</f>
        <v>More than 60 days</v>
      </c>
      <c r="S44" t="s">
        <v>818</v>
      </c>
      <c r="T44" s="43" t="s">
        <v>2229</v>
      </c>
      <c r="U44" s="7" t="s">
        <v>3699</v>
      </c>
    </row>
    <row r="45" spans="1:21" x14ac:dyDescent="0.3">
      <c r="A45" s="14" t="s">
        <v>2150</v>
      </c>
      <c r="B45" t="s">
        <v>32</v>
      </c>
      <c r="C45" t="s">
        <v>301</v>
      </c>
      <c r="D45">
        <v>1</v>
      </c>
      <c r="E45" s="7">
        <v>168.3</v>
      </c>
      <c r="F45">
        <v>31403473</v>
      </c>
      <c r="J45" t="s">
        <v>2256</v>
      </c>
      <c r="K45" t="s">
        <v>3</v>
      </c>
      <c r="L45" s="2">
        <v>43132</v>
      </c>
      <c r="M45" s="2">
        <f>DOCXX[[#This Row],[INV DOC DATE]]+30</f>
        <v>43162</v>
      </c>
      <c r="N45" s="2">
        <v>43245</v>
      </c>
      <c r="O45" s="7">
        <v>168.3</v>
      </c>
      <c r="P45" s="2">
        <v>43262</v>
      </c>
      <c r="Q45" s="7">
        <f>$E45-$O45</f>
        <v>0</v>
      </c>
      <c r="R45" s="7" t="str">
        <f ca="1">IF(TODAY() - DOCXX[INV DUE DATE]&lt;30, "Less than 30 days",IF(TODAY()-DOCXX[INV DUE DATE]&lt;60,"30-60 days","More than 60 days"))</f>
        <v>More than 60 days</v>
      </c>
      <c r="S45" t="s">
        <v>818</v>
      </c>
      <c r="T45" s="43" t="s">
        <v>2229</v>
      </c>
      <c r="U45" s="7" t="s">
        <v>3699</v>
      </c>
    </row>
    <row r="46" spans="1:21" x14ac:dyDescent="0.3">
      <c r="A46" s="14" t="s">
        <v>2150</v>
      </c>
      <c r="B46" t="s">
        <v>32</v>
      </c>
      <c r="C46" t="s">
        <v>302</v>
      </c>
      <c r="D46">
        <v>1</v>
      </c>
      <c r="E46" s="7">
        <v>158.94999999999999</v>
      </c>
      <c r="F46">
        <v>31410542</v>
      </c>
      <c r="J46" t="s">
        <v>2256</v>
      </c>
      <c r="K46" t="s">
        <v>3</v>
      </c>
      <c r="L46" s="2">
        <v>43132</v>
      </c>
      <c r="M46" s="2">
        <f>DOCXX[[#This Row],[INV DOC DATE]]+30</f>
        <v>43162</v>
      </c>
      <c r="N46" s="2">
        <v>43245</v>
      </c>
      <c r="O46" s="7">
        <v>158.94999999999999</v>
      </c>
      <c r="P46" s="2">
        <v>43262</v>
      </c>
      <c r="Q46" s="7">
        <f>$E46-$O46</f>
        <v>0</v>
      </c>
      <c r="R46" s="7" t="str">
        <f ca="1">IF(TODAY() - DOCXX[INV DUE DATE]&lt;30, "Less than 30 days",IF(TODAY()-DOCXX[INV DUE DATE]&lt;60,"30-60 days","More than 60 days"))</f>
        <v>More than 60 days</v>
      </c>
      <c r="S46" t="s">
        <v>818</v>
      </c>
      <c r="T46" s="43" t="s">
        <v>2229</v>
      </c>
      <c r="U46" s="7" t="s">
        <v>3699</v>
      </c>
    </row>
    <row r="47" spans="1:21" x14ac:dyDescent="0.3">
      <c r="A47" s="14" t="s">
        <v>2150</v>
      </c>
      <c r="B47" t="s">
        <v>32</v>
      </c>
      <c r="C47" t="s">
        <v>303</v>
      </c>
      <c r="D47">
        <v>1</v>
      </c>
      <c r="E47" s="7">
        <v>149.6</v>
      </c>
      <c r="F47">
        <v>31410776</v>
      </c>
      <c r="J47" t="s">
        <v>2256</v>
      </c>
      <c r="K47" t="s">
        <v>3</v>
      </c>
      <c r="L47" s="2">
        <v>43132</v>
      </c>
      <c r="M47" s="2">
        <f>DOCXX[[#This Row],[INV DOC DATE]]+30</f>
        <v>43162</v>
      </c>
      <c r="N47" s="2">
        <v>43245</v>
      </c>
      <c r="O47" s="7">
        <v>149.6</v>
      </c>
      <c r="P47" s="2">
        <v>43262</v>
      </c>
      <c r="Q47" s="7">
        <f>$E47-$O47</f>
        <v>0</v>
      </c>
      <c r="R47" s="7" t="str">
        <f ca="1">IF(TODAY() - DOCXX[INV DUE DATE]&lt;30, "Less than 30 days",IF(TODAY()-DOCXX[INV DUE DATE]&lt;60,"30-60 days","More than 60 days"))</f>
        <v>More than 60 days</v>
      </c>
      <c r="S47" t="s">
        <v>818</v>
      </c>
      <c r="T47" s="43" t="s">
        <v>2229</v>
      </c>
      <c r="U47" s="7" t="s">
        <v>3699</v>
      </c>
    </row>
    <row r="48" spans="1:21" x14ac:dyDescent="0.3">
      <c r="A48" s="14" t="s">
        <v>2150</v>
      </c>
      <c r="B48" t="s">
        <v>32</v>
      </c>
      <c r="C48" t="s">
        <v>304</v>
      </c>
      <c r="D48">
        <v>1</v>
      </c>
      <c r="E48" s="7">
        <v>168.3</v>
      </c>
      <c r="F48">
        <v>31410786</v>
      </c>
      <c r="J48" t="s">
        <v>2256</v>
      </c>
      <c r="K48" t="s">
        <v>3</v>
      </c>
      <c r="L48" s="2">
        <v>43132</v>
      </c>
      <c r="M48" s="2">
        <f>DOCXX[[#This Row],[INV DOC DATE]]+30</f>
        <v>43162</v>
      </c>
      <c r="N48" s="2">
        <v>43245</v>
      </c>
      <c r="O48" s="7">
        <v>168.3</v>
      </c>
      <c r="P48" s="2">
        <v>43262</v>
      </c>
      <c r="Q48" s="7">
        <f>$E48-$O48</f>
        <v>0</v>
      </c>
      <c r="R48" s="7" t="str">
        <f ca="1">IF(TODAY() - DOCXX[INV DUE DATE]&lt;30, "Less than 30 days",IF(TODAY()-DOCXX[INV DUE DATE]&lt;60,"30-60 days","More than 60 days"))</f>
        <v>More than 60 days</v>
      </c>
      <c r="S48" t="s">
        <v>818</v>
      </c>
      <c r="T48" s="43" t="s">
        <v>2229</v>
      </c>
      <c r="U48" s="7" t="s">
        <v>3699</v>
      </c>
    </row>
    <row r="49" spans="1:21" x14ac:dyDescent="0.3">
      <c r="A49" s="14" t="s">
        <v>2150</v>
      </c>
      <c r="B49" t="s">
        <v>32</v>
      </c>
      <c r="C49" t="s">
        <v>305</v>
      </c>
      <c r="D49">
        <v>1</v>
      </c>
      <c r="E49" s="7">
        <v>158.94999999999999</v>
      </c>
      <c r="F49">
        <v>31410787</v>
      </c>
      <c r="J49" t="s">
        <v>2256</v>
      </c>
      <c r="K49" t="s">
        <v>3</v>
      </c>
      <c r="L49" s="2">
        <v>43132</v>
      </c>
      <c r="M49" s="2">
        <f>DOCXX[[#This Row],[INV DOC DATE]]+30</f>
        <v>43162</v>
      </c>
      <c r="N49" s="2">
        <v>43245</v>
      </c>
      <c r="O49" s="7">
        <v>158.94999999999999</v>
      </c>
      <c r="P49" s="2">
        <v>43262</v>
      </c>
      <c r="Q49" s="7">
        <f>$E49-$O49</f>
        <v>0</v>
      </c>
      <c r="R49" s="7" t="str">
        <f ca="1">IF(TODAY() - DOCXX[INV DUE DATE]&lt;30, "Less than 30 days",IF(TODAY()-DOCXX[INV DUE DATE]&lt;60,"30-60 days","More than 60 days"))</f>
        <v>More than 60 days</v>
      </c>
      <c r="S49" t="s">
        <v>818</v>
      </c>
      <c r="T49" s="43" t="s">
        <v>2229</v>
      </c>
      <c r="U49" s="7" t="s">
        <v>3699</v>
      </c>
    </row>
    <row r="50" spans="1:21" x14ac:dyDescent="0.3">
      <c r="A50" s="14" t="s">
        <v>2150</v>
      </c>
      <c r="B50" t="s">
        <v>32</v>
      </c>
      <c r="C50" t="s">
        <v>306</v>
      </c>
      <c r="D50">
        <v>1</v>
      </c>
      <c r="E50" s="7">
        <v>168.3</v>
      </c>
      <c r="F50">
        <v>31410788</v>
      </c>
      <c r="J50" t="s">
        <v>2256</v>
      </c>
      <c r="K50" t="s">
        <v>3</v>
      </c>
      <c r="L50" s="2">
        <v>43132</v>
      </c>
      <c r="M50" s="2">
        <f>DOCXX[[#This Row],[INV DOC DATE]]+30</f>
        <v>43162</v>
      </c>
      <c r="N50" s="2">
        <v>43245</v>
      </c>
      <c r="O50" s="7">
        <v>168.3</v>
      </c>
      <c r="P50" s="2">
        <v>43262</v>
      </c>
      <c r="Q50" s="7">
        <f>$E50-$O50</f>
        <v>0</v>
      </c>
      <c r="R50" s="7" t="str">
        <f ca="1">IF(TODAY() - DOCXX[INV DUE DATE]&lt;30, "Less than 30 days",IF(TODAY()-DOCXX[INV DUE DATE]&lt;60,"30-60 days","More than 60 days"))</f>
        <v>More than 60 days</v>
      </c>
      <c r="S50" t="s">
        <v>818</v>
      </c>
      <c r="T50" s="43" t="s">
        <v>2229</v>
      </c>
      <c r="U50" s="7" t="s">
        <v>3699</v>
      </c>
    </row>
    <row r="51" spans="1:21" x14ac:dyDescent="0.3">
      <c r="A51" s="14" t="s">
        <v>2150</v>
      </c>
      <c r="B51" t="s">
        <v>32</v>
      </c>
      <c r="C51" t="s">
        <v>307</v>
      </c>
      <c r="D51">
        <v>1</v>
      </c>
      <c r="E51" s="7">
        <v>140.25</v>
      </c>
      <c r="F51">
        <v>31410844</v>
      </c>
      <c r="J51" t="s">
        <v>2256</v>
      </c>
      <c r="K51" t="s">
        <v>3</v>
      </c>
      <c r="L51" s="2">
        <v>43132</v>
      </c>
      <c r="M51" s="2">
        <f>DOCXX[[#This Row],[INV DOC DATE]]+30</f>
        <v>43162</v>
      </c>
      <c r="N51" s="2">
        <v>43245</v>
      </c>
      <c r="O51" s="7">
        <v>140.25</v>
      </c>
      <c r="P51" s="2">
        <v>43262</v>
      </c>
      <c r="Q51" s="7">
        <f>$E51-$O51</f>
        <v>0</v>
      </c>
      <c r="R51" s="7" t="str">
        <f ca="1">IF(TODAY() - DOCXX[INV DUE DATE]&lt;30, "Less than 30 days",IF(TODAY()-DOCXX[INV DUE DATE]&lt;60,"30-60 days","More than 60 days"))</f>
        <v>More than 60 days</v>
      </c>
      <c r="S51" t="s">
        <v>818</v>
      </c>
      <c r="T51" s="43" t="s">
        <v>2229</v>
      </c>
      <c r="U51" s="7" t="s">
        <v>3699</v>
      </c>
    </row>
    <row r="52" spans="1:21" x14ac:dyDescent="0.3">
      <c r="A52" s="14" t="s">
        <v>2150</v>
      </c>
      <c r="B52" t="s">
        <v>32</v>
      </c>
      <c r="C52" t="s">
        <v>308</v>
      </c>
      <c r="D52">
        <v>1</v>
      </c>
      <c r="E52" s="7">
        <v>158.94999999999999</v>
      </c>
      <c r="F52">
        <v>31423223</v>
      </c>
      <c r="J52" t="s">
        <v>2256</v>
      </c>
      <c r="K52" t="s">
        <v>3</v>
      </c>
      <c r="L52" s="2">
        <v>43132</v>
      </c>
      <c r="M52" s="2">
        <f>DOCXX[[#This Row],[INV DOC DATE]]+30</f>
        <v>43162</v>
      </c>
      <c r="N52" s="2">
        <v>43245</v>
      </c>
      <c r="O52" s="7">
        <v>158.94999999999999</v>
      </c>
      <c r="P52" s="2">
        <v>43262</v>
      </c>
      <c r="Q52" s="7">
        <f>$E52-$O52</f>
        <v>0</v>
      </c>
      <c r="R52" s="7" t="str">
        <f ca="1">IF(TODAY() - DOCXX[INV DUE DATE]&lt;30, "Less than 30 days",IF(TODAY()-DOCXX[INV DUE DATE]&lt;60,"30-60 days","More than 60 days"))</f>
        <v>More than 60 days</v>
      </c>
      <c r="S52" t="s">
        <v>818</v>
      </c>
      <c r="T52" s="43" t="s">
        <v>2229</v>
      </c>
      <c r="U52" s="7" t="s">
        <v>3699</v>
      </c>
    </row>
    <row r="53" spans="1:21" x14ac:dyDescent="0.3">
      <c r="A53" s="14" t="s">
        <v>2150</v>
      </c>
      <c r="B53" t="s">
        <v>32</v>
      </c>
      <c r="C53" t="s">
        <v>309</v>
      </c>
      <c r="D53">
        <v>1</v>
      </c>
      <c r="E53" s="7">
        <v>121.55</v>
      </c>
      <c r="F53">
        <v>31423224</v>
      </c>
      <c r="J53" t="s">
        <v>2256</v>
      </c>
      <c r="K53" t="s">
        <v>3</v>
      </c>
      <c r="L53" s="2">
        <v>43132</v>
      </c>
      <c r="M53" s="2">
        <f>DOCXX[[#This Row],[INV DOC DATE]]+30</f>
        <v>43162</v>
      </c>
      <c r="N53" s="2">
        <v>43245</v>
      </c>
      <c r="O53" s="7">
        <v>121.55</v>
      </c>
      <c r="P53" s="2">
        <v>43262</v>
      </c>
      <c r="Q53" s="7">
        <f>$E53-$O53</f>
        <v>0</v>
      </c>
      <c r="R53" s="7" t="str">
        <f ca="1">IF(TODAY() - DOCXX[INV DUE DATE]&lt;30, "Less than 30 days",IF(TODAY()-DOCXX[INV DUE DATE]&lt;60,"30-60 days","More than 60 days"))</f>
        <v>More than 60 days</v>
      </c>
      <c r="S53" t="s">
        <v>818</v>
      </c>
      <c r="T53" s="43" t="s">
        <v>2229</v>
      </c>
      <c r="U53" s="7" t="s">
        <v>3699</v>
      </c>
    </row>
    <row r="54" spans="1:21" x14ac:dyDescent="0.3">
      <c r="A54" s="14" t="s">
        <v>2150</v>
      </c>
      <c r="B54" t="s">
        <v>32</v>
      </c>
      <c r="C54" t="s">
        <v>310</v>
      </c>
      <c r="D54">
        <v>1</v>
      </c>
      <c r="E54" s="7">
        <v>149.6</v>
      </c>
      <c r="F54">
        <v>31423225</v>
      </c>
      <c r="J54" t="s">
        <v>2256</v>
      </c>
      <c r="K54" t="s">
        <v>3</v>
      </c>
      <c r="L54" s="2">
        <v>43132</v>
      </c>
      <c r="M54" s="2">
        <f>DOCXX[[#This Row],[INV DOC DATE]]+30</f>
        <v>43162</v>
      </c>
      <c r="N54" s="2">
        <v>43245</v>
      </c>
      <c r="O54" s="7">
        <v>149.6</v>
      </c>
      <c r="P54" s="2">
        <v>43262</v>
      </c>
      <c r="Q54" s="7">
        <f>$E54-$O54</f>
        <v>0</v>
      </c>
      <c r="R54" s="7" t="str">
        <f ca="1">IF(TODAY() - DOCXX[INV DUE DATE]&lt;30, "Less than 30 days",IF(TODAY()-DOCXX[INV DUE DATE]&lt;60,"30-60 days","More than 60 days"))</f>
        <v>More than 60 days</v>
      </c>
      <c r="S54" t="s">
        <v>818</v>
      </c>
      <c r="T54" s="43" t="s">
        <v>2229</v>
      </c>
      <c r="U54" s="7" t="s">
        <v>3699</v>
      </c>
    </row>
    <row r="55" spans="1:21" x14ac:dyDescent="0.3">
      <c r="A55" s="14" t="s">
        <v>2150</v>
      </c>
      <c r="B55" t="s">
        <v>32</v>
      </c>
      <c r="C55" t="s">
        <v>311</v>
      </c>
      <c r="D55">
        <v>1</v>
      </c>
      <c r="E55" s="7">
        <v>158.94999999999999</v>
      </c>
      <c r="F55">
        <v>31423651</v>
      </c>
      <c r="J55" t="s">
        <v>2256</v>
      </c>
      <c r="K55" t="s">
        <v>3</v>
      </c>
      <c r="L55" s="2">
        <v>43132</v>
      </c>
      <c r="M55" s="2">
        <f>DOCXX[[#This Row],[INV DOC DATE]]+30</f>
        <v>43162</v>
      </c>
      <c r="N55" s="2">
        <v>43245</v>
      </c>
      <c r="O55" s="7">
        <v>158.94999999999999</v>
      </c>
      <c r="P55" s="2">
        <v>43262</v>
      </c>
      <c r="Q55" s="7">
        <f>$E55-$O55</f>
        <v>0</v>
      </c>
      <c r="R55" s="7" t="str">
        <f ca="1">IF(TODAY() - DOCXX[INV DUE DATE]&lt;30, "Less than 30 days",IF(TODAY()-DOCXX[INV DUE DATE]&lt;60,"30-60 days","More than 60 days"))</f>
        <v>More than 60 days</v>
      </c>
      <c r="S55" t="s">
        <v>818</v>
      </c>
      <c r="T55" s="43" t="s">
        <v>2229</v>
      </c>
      <c r="U55" s="7" t="s">
        <v>3699</v>
      </c>
    </row>
    <row r="56" spans="1:21" x14ac:dyDescent="0.3">
      <c r="A56" s="14" t="s">
        <v>2150</v>
      </c>
      <c r="B56" t="s">
        <v>32</v>
      </c>
      <c r="C56" t="s">
        <v>312</v>
      </c>
      <c r="D56">
        <v>1</v>
      </c>
      <c r="E56" s="7">
        <v>149.6</v>
      </c>
      <c r="F56">
        <v>31426556</v>
      </c>
      <c r="J56" t="s">
        <v>2256</v>
      </c>
      <c r="K56" t="s">
        <v>3</v>
      </c>
      <c r="L56" s="2">
        <v>43132</v>
      </c>
      <c r="M56" s="2">
        <f>DOCXX[[#This Row],[INV DOC DATE]]+30</f>
        <v>43162</v>
      </c>
      <c r="N56" s="2">
        <v>43245</v>
      </c>
      <c r="O56" s="7">
        <v>149.6</v>
      </c>
      <c r="P56" s="2">
        <v>43262</v>
      </c>
      <c r="Q56" s="7">
        <f>$E56-$O56</f>
        <v>0</v>
      </c>
      <c r="R56" s="7" t="str">
        <f ca="1">IF(TODAY() - DOCXX[INV DUE DATE]&lt;30, "Less than 30 days",IF(TODAY()-DOCXX[INV DUE DATE]&lt;60,"30-60 days","More than 60 days"))</f>
        <v>More than 60 days</v>
      </c>
      <c r="S56" t="s">
        <v>818</v>
      </c>
      <c r="T56" s="43" t="s">
        <v>2229</v>
      </c>
      <c r="U56" s="7" t="s">
        <v>3699</v>
      </c>
    </row>
    <row r="57" spans="1:21" x14ac:dyDescent="0.3">
      <c r="A57" s="14" t="s">
        <v>2150</v>
      </c>
      <c r="B57" t="s">
        <v>32</v>
      </c>
      <c r="C57" t="s">
        <v>313</v>
      </c>
      <c r="D57">
        <v>1</v>
      </c>
      <c r="E57" s="7">
        <v>149.6</v>
      </c>
      <c r="F57">
        <v>31426556</v>
      </c>
      <c r="J57" t="s">
        <v>2256</v>
      </c>
      <c r="K57" t="s">
        <v>3</v>
      </c>
      <c r="L57" s="2">
        <v>43132</v>
      </c>
      <c r="M57" s="2">
        <f>DOCXX[[#This Row],[INV DOC DATE]]+30</f>
        <v>43162</v>
      </c>
      <c r="N57" s="2">
        <v>43245</v>
      </c>
      <c r="O57" s="7">
        <v>149.6</v>
      </c>
      <c r="P57" s="2">
        <v>43262</v>
      </c>
      <c r="Q57" s="7">
        <f>$E57-$O57</f>
        <v>0</v>
      </c>
      <c r="R57" s="7" t="str">
        <f ca="1">IF(TODAY() - DOCXX[INV DUE DATE]&lt;30, "Less than 30 days",IF(TODAY()-DOCXX[INV DUE DATE]&lt;60,"30-60 days","More than 60 days"))</f>
        <v>More than 60 days</v>
      </c>
      <c r="S57" t="s">
        <v>818</v>
      </c>
      <c r="T57" s="43" t="s">
        <v>2229</v>
      </c>
      <c r="U57" s="7" t="s">
        <v>3699</v>
      </c>
    </row>
    <row r="58" spans="1:21" x14ac:dyDescent="0.3">
      <c r="A58" s="14" t="s">
        <v>2150</v>
      </c>
      <c r="B58" t="s">
        <v>32</v>
      </c>
      <c r="C58" t="s">
        <v>314</v>
      </c>
      <c r="D58">
        <v>1</v>
      </c>
      <c r="E58" s="7">
        <v>130.9</v>
      </c>
      <c r="F58">
        <v>31426557</v>
      </c>
      <c r="J58" t="s">
        <v>2256</v>
      </c>
      <c r="K58" t="s">
        <v>3</v>
      </c>
      <c r="L58" s="2">
        <v>43132</v>
      </c>
      <c r="M58" s="2">
        <f>DOCXX[[#This Row],[INV DOC DATE]]+30</f>
        <v>43162</v>
      </c>
      <c r="N58" s="2">
        <v>43245</v>
      </c>
      <c r="O58" s="7">
        <v>130.9</v>
      </c>
      <c r="P58" s="2">
        <v>43262</v>
      </c>
      <c r="Q58" s="7">
        <f>$E58-$O58</f>
        <v>0</v>
      </c>
      <c r="R58" s="7" t="str">
        <f ca="1">IF(TODAY() - DOCXX[INV DUE DATE]&lt;30, "Less than 30 days",IF(TODAY()-DOCXX[INV DUE DATE]&lt;60,"30-60 days","More than 60 days"))</f>
        <v>More than 60 days</v>
      </c>
      <c r="S58" t="s">
        <v>818</v>
      </c>
      <c r="T58" s="43" t="s">
        <v>2229</v>
      </c>
      <c r="U58" s="7" t="s">
        <v>3699</v>
      </c>
    </row>
    <row r="59" spans="1:21" x14ac:dyDescent="0.3">
      <c r="A59" s="14" t="s">
        <v>2150</v>
      </c>
      <c r="B59" t="s">
        <v>32</v>
      </c>
      <c r="C59" t="s">
        <v>315</v>
      </c>
      <c r="D59">
        <v>1</v>
      </c>
      <c r="E59" s="7">
        <v>130.9</v>
      </c>
      <c r="F59">
        <v>31426557</v>
      </c>
      <c r="J59" t="s">
        <v>2256</v>
      </c>
      <c r="K59" t="s">
        <v>3</v>
      </c>
      <c r="L59" s="2">
        <v>43132</v>
      </c>
      <c r="M59" s="2">
        <f>DOCXX[[#This Row],[INV DOC DATE]]+30</f>
        <v>43162</v>
      </c>
      <c r="N59" s="2">
        <v>43245</v>
      </c>
      <c r="O59" s="7">
        <v>130.9</v>
      </c>
      <c r="P59" s="2">
        <v>43262</v>
      </c>
      <c r="Q59" s="7">
        <f>$E59-$O59</f>
        <v>0</v>
      </c>
      <c r="R59" s="7" t="str">
        <f ca="1">IF(TODAY() - DOCXX[INV DUE DATE]&lt;30, "Less than 30 days",IF(TODAY()-DOCXX[INV DUE DATE]&lt;60,"30-60 days","More than 60 days"))</f>
        <v>More than 60 days</v>
      </c>
      <c r="S59" t="s">
        <v>818</v>
      </c>
      <c r="T59" s="43" t="s">
        <v>2229</v>
      </c>
      <c r="U59" s="7" t="s">
        <v>3699</v>
      </c>
    </row>
    <row r="60" spans="1:21" x14ac:dyDescent="0.3">
      <c r="A60" s="14" t="s">
        <v>2150</v>
      </c>
      <c r="B60" t="s">
        <v>32</v>
      </c>
      <c r="C60" t="s">
        <v>316</v>
      </c>
      <c r="D60">
        <v>1</v>
      </c>
      <c r="E60" s="7">
        <v>102.85</v>
      </c>
      <c r="F60">
        <v>31426558</v>
      </c>
      <c r="J60" t="s">
        <v>2256</v>
      </c>
      <c r="K60" t="s">
        <v>3</v>
      </c>
      <c r="L60" s="2">
        <v>43132</v>
      </c>
      <c r="M60" s="2">
        <f>DOCXX[[#This Row],[INV DOC DATE]]+30</f>
        <v>43162</v>
      </c>
      <c r="N60" s="2">
        <v>43245</v>
      </c>
      <c r="O60" s="7">
        <v>102.85</v>
      </c>
      <c r="P60" s="2">
        <v>43262</v>
      </c>
      <c r="Q60" s="7">
        <f>$E60-$O60</f>
        <v>0</v>
      </c>
      <c r="R60" s="7" t="str">
        <f ca="1">IF(TODAY() - DOCXX[INV DUE DATE]&lt;30, "Less than 30 days",IF(TODAY()-DOCXX[INV DUE DATE]&lt;60,"30-60 days","More than 60 days"))</f>
        <v>More than 60 days</v>
      </c>
      <c r="S60" t="s">
        <v>818</v>
      </c>
      <c r="T60" s="43" t="s">
        <v>2229</v>
      </c>
      <c r="U60" s="7" t="s">
        <v>3699</v>
      </c>
    </row>
    <row r="61" spans="1:21" x14ac:dyDescent="0.3">
      <c r="A61" s="14" t="s">
        <v>2150</v>
      </c>
      <c r="B61" t="s">
        <v>32</v>
      </c>
      <c r="C61" t="s">
        <v>317</v>
      </c>
      <c r="D61">
        <v>1</v>
      </c>
      <c r="E61" s="7">
        <v>102.85</v>
      </c>
      <c r="F61">
        <v>31426559</v>
      </c>
      <c r="J61" t="s">
        <v>2256</v>
      </c>
      <c r="K61" t="s">
        <v>3</v>
      </c>
      <c r="L61" s="2">
        <v>43132</v>
      </c>
      <c r="M61" s="2">
        <f>DOCXX[[#This Row],[INV DOC DATE]]+30</f>
        <v>43162</v>
      </c>
      <c r="N61" s="2">
        <v>43245</v>
      </c>
      <c r="O61" s="7">
        <v>102.85</v>
      </c>
      <c r="P61" s="2">
        <v>43262</v>
      </c>
      <c r="Q61" s="7">
        <f>$E61-$O61</f>
        <v>0</v>
      </c>
      <c r="R61" s="7" t="str">
        <f ca="1">IF(TODAY() - DOCXX[INV DUE DATE]&lt;30, "Less than 30 days",IF(TODAY()-DOCXX[INV DUE DATE]&lt;60,"30-60 days","More than 60 days"))</f>
        <v>More than 60 days</v>
      </c>
      <c r="S61" t="s">
        <v>818</v>
      </c>
      <c r="T61" s="43" t="s">
        <v>2229</v>
      </c>
      <c r="U61" s="7" t="s">
        <v>3699</v>
      </c>
    </row>
    <row r="62" spans="1:21" x14ac:dyDescent="0.3">
      <c r="A62" s="14" t="s">
        <v>2150</v>
      </c>
      <c r="B62" t="s">
        <v>32</v>
      </c>
      <c r="C62" t="s">
        <v>318</v>
      </c>
      <c r="D62">
        <v>1</v>
      </c>
      <c r="E62" s="7">
        <v>102.85</v>
      </c>
      <c r="F62">
        <v>31426559</v>
      </c>
      <c r="J62" t="s">
        <v>2256</v>
      </c>
      <c r="K62" t="s">
        <v>3</v>
      </c>
      <c r="L62" s="2">
        <v>43132</v>
      </c>
      <c r="M62" s="2">
        <f>DOCXX[[#This Row],[INV DOC DATE]]+30</f>
        <v>43162</v>
      </c>
      <c r="N62" s="2">
        <v>43245</v>
      </c>
      <c r="O62" s="7">
        <v>102.85</v>
      </c>
      <c r="P62" s="2">
        <v>43262</v>
      </c>
      <c r="Q62" s="7">
        <f>$E62-$O62</f>
        <v>0</v>
      </c>
      <c r="R62" s="7" t="str">
        <f ca="1">IF(TODAY() - DOCXX[INV DUE DATE]&lt;30, "Less than 30 days",IF(TODAY()-DOCXX[INV DUE DATE]&lt;60,"30-60 days","More than 60 days"))</f>
        <v>More than 60 days</v>
      </c>
      <c r="S62" t="s">
        <v>818</v>
      </c>
      <c r="T62" s="43" t="s">
        <v>2229</v>
      </c>
      <c r="U62" s="7" t="s">
        <v>3699</v>
      </c>
    </row>
    <row r="63" spans="1:21" x14ac:dyDescent="0.3">
      <c r="A63" s="14" t="s">
        <v>2150</v>
      </c>
      <c r="B63" t="s">
        <v>32</v>
      </c>
      <c r="C63" t="s">
        <v>319</v>
      </c>
      <c r="D63">
        <v>1</v>
      </c>
      <c r="E63" s="7">
        <v>140.25</v>
      </c>
      <c r="F63">
        <v>31431413</v>
      </c>
      <c r="J63" t="s">
        <v>2256</v>
      </c>
      <c r="K63" t="s">
        <v>3</v>
      </c>
      <c r="L63" s="2">
        <v>43132</v>
      </c>
      <c r="M63" s="2">
        <f>DOCXX[[#This Row],[INV DOC DATE]]+30</f>
        <v>43162</v>
      </c>
      <c r="N63" s="2">
        <v>43245</v>
      </c>
      <c r="O63" s="7">
        <v>140.25</v>
      </c>
      <c r="P63" s="2">
        <v>43262</v>
      </c>
      <c r="Q63" s="7">
        <f>$E63-$O63</f>
        <v>0</v>
      </c>
      <c r="R63" s="7" t="str">
        <f ca="1">IF(TODAY() - DOCXX[INV DUE DATE]&lt;30, "Less than 30 days",IF(TODAY()-DOCXX[INV DUE DATE]&lt;60,"30-60 days","More than 60 days"))</f>
        <v>More than 60 days</v>
      </c>
      <c r="S63" t="s">
        <v>818</v>
      </c>
      <c r="T63" s="43" t="s">
        <v>2229</v>
      </c>
      <c r="U63" s="7" t="s">
        <v>3699</v>
      </c>
    </row>
    <row r="64" spans="1:21" x14ac:dyDescent="0.3">
      <c r="A64" s="14" t="s">
        <v>2150</v>
      </c>
      <c r="B64" t="s">
        <v>32</v>
      </c>
      <c r="C64" t="s">
        <v>320</v>
      </c>
      <c r="D64">
        <v>1</v>
      </c>
      <c r="E64" s="7">
        <v>149.6</v>
      </c>
      <c r="F64">
        <v>31431417</v>
      </c>
      <c r="J64" t="s">
        <v>2256</v>
      </c>
      <c r="K64" t="s">
        <v>3</v>
      </c>
      <c r="L64" s="2">
        <v>43132</v>
      </c>
      <c r="M64" s="2">
        <f>DOCXX[[#This Row],[INV DOC DATE]]+30</f>
        <v>43162</v>
      </c>
      <c r="N64" s="2">
        <v>43245</v>
      </c>
      <c r="O64" s="7">
        <v>149.6</v>
      </c>
      <c r="P64" s="2">
        <v>43262</v>
      </c>
      <c r="Q64" s="7">
        <f>$E64-$O64</f>
        <v>0</v>
      </c>
      <c r="R64" s="7" t="str">
        <f ca="1">IF(TODAY() - DOCXX[INV DUE DATE]&lt;30, "Less than 30 days",IF(TODAY()-DOCXX[INV DUE DATE]&lt;60,"30-60 days","More than 60 days"))</f>
        <v>More than 60 days</v>
      </c>
      <c r="S64" t="s">
        <v>818</v>
      </c>
      <c r="T64" s="43" t="s">
        <v>2229</v>
      </c>
      <c r="U64" s="7" t="s">
        <v>3699</v>
      </c>
    </row>
    <row r="65" spans="1:21" x14ac:dyDescent="0.3">
      <c r="A65" s="14" t="s">
        <v>2150</v>
      </c>
      <c r="B65" t="s">
        <v>32</v>
      </c>
      <c r="C65" t="s">
        <v>321</v>
      </c>
      <c r="D65">
        <v>1</v>
      </c>
      <c r="E65" s="7">
        <v>158.94999999999999</v>
      </c>
      <c r="F65">
        <v>31433651</v>
      </c>
      <c r="J65" t="s">
        <v>2256</v>
      </c>
      <c r="K65" t="s">
        <v>3</v>
      </c>
      <c r="L65" s="2">
        <v>43132</v>
      </c>
      <c r="M65" s="2">
        <f>DOCXX[[#This Row],[INV DOC DATE]]+30</f>
        <v>43162</v>
      </c>
      <c r="N65" s="2">
        <v>43245</v>
      </c>
      <c r="O65" s="7">
        <v>158.94999999999999</v>
      </c>
      <c r="P65" s="2">
        <v>43262</v>
      </c>
      <c r="Q65" s="7">
        <f>$E65-$O65</f>
        <v>0</v>
      </c>
      <c r="R65" s="7" t="str">
        <f ca="1">IF(TODAY() - DOCXX[INV DUE DATE]&lt;30, "Less than 30 days",IF(TODAY()-DOCXX[INV DUE DATE]&lt;60,"30-60 days","More than 60 days"))</f>
        <v>More than 60 days</v>
      </c>
      <c r="S65" t="s">
        <v>818</v>
      </c>
      <c r="T65" s="43" t="s">
        <v>2229</v>
      </c>
      <c r="U65" s="7" t="s">
        <v>3699</v>
      </c>
    </row>
    <row r="66" spans="1:21" x14ac:dyDescent="0.3">
      <c r="A66" s="14" t="s">
        <v>2150</v>
      </c>
      <c r="B66" t="s">
        <v>32</v>
      </c>
      <c r="C66" t="s">
        <v>322</v>
      </c>
      <c r="D66">
        <v>1</v>
      </c>
      <c r="E66" s="7">
        <v>168.3</v>
      </c>
      <c r="F66">
        <v>31434521</v>
      </c>
      <c r="J66" t="s">
        <v>2256</v>
      </c>
      <c r="K66" t="s">
        <v>3</v>
      </c>
      <c r="L66" s="2">
        <v>43132</v>
      </c>
      <c r="M66" s="2">
        <f>DOCXX[[#This Row],[INV DOC DATE]]+30</f>
        <v>43162</v>
      </c>
      <c r="N66" s="2">
        <v>43245</v>
      </c>
      <c r="O66" s="7">
        <v>168.3</v>
      </c>
      <c r="P66" s="2">
        <v>43262</v>
      </c>
      <c r="Q66" s="7">
        <f>$E66-$O66</f>
        <v>0</v>
      </c>
      <c r="R66" s="7" t="str">
        <f ca="1">IF(TODAY() - DOCXX[INV DUE DATE]&lt;30, "Less than 30 days",IF(TODAY()-DOCXX[INV DUE DATE]&lt;60,"30-60 days","More than 60 days"))</f>
        <v>More than 60 days</v>
      </c>
      <c r="S66" t="s">
        <v>818</v>
      </c>
      <c r="T66" s="43" t="s">
        <v>2229</v>
      </c>
      <c r="U66" s="7" t="s">
        <v>3699</v>
      </c>
    </row>
    <row r="67" spans="1:21" x14ac:dyDescent="0.3">
      <c r="A67" s="14" t="s">
        <v>2150</v>
      </c>
      <c r="B67" t="s">
        <v>32</v>
      </c>
      <c r="C67" t="s">
        <v>323</v>
      </c>
      <c r="D67">
        <v>1</v>
      </c>
      <c r="E67" s="7">
        <v>65.45</v>
      </c>
      <c r="F67">
        <v>31434525</v>
      </c>
      <c r="J67" t="s">
        <v>2256</v>
      </c>
      <c r="K67" t="s">
        <v>3</v>
      </c>
      <c r="L67" s="2">
        <v>43132</v>
      </c>
      <c r="M67" s="2">
        <f>DOCXX[[#This Row],[INV DOC DATE]]+30</f>
        <v>43162</v>
      </c>
      <c r="N67" s="2">
        <v>43245</v>
      </c>
      <c r="O67" s="7">
        <v>65.45</v>
      </c>
      <c r="P67" s="2">
        <v>43262</v>
      </c>
      <c r="Q67" s="7">
        <f>$E67-$O67</f>
        <v>0</v>
      </c>
      <c r="R67" s="7" t="str">
        <f ca="1">IF(TODAY() - DOCXX[INV DUE DATE]&lt;30, "Less than 30 days",IF(TODAY()-DOCXX[INV DUE DATE]&lt;60,"30-60 days","More than 60 days"))</f>
        <v>More than 60 days</v>
      </c>
      <c r="S67" t="s">
        <v>818</v>
      </c>
      <c r="T67" s="43" t="s">
        <v>2229</v>
      </c>
      <c r="U67" s="7" t="s">
        <v>3699</v>
      </c>
    </row>
    <row r="68" spans="1:21" x14ac:dyDescent="0.3">
      <c r="A68" s="14" t="s">
        <v>2150</v>
      </c>
      <c r="B68" t="s">
        <v>32</v>
      </c>
      <c r="C68" t="s">
        <v>324</v>
      </c>
      <c r="D68">
        <v>1</v>
      </c>
      <c r="E68" s="7">
        <v>65.45</v>
      </c>
      <c r="F68">
        <v>31434525</v>
      </c>
      <c r="J68" t="s">
        <v>2256</v>
      </c>
      <c r="K68" t="s">
        <v>3</v>
      </c>
      <c r="L68" s="2">
        <v>43132</v>
      </c>
      <c r="M68" s="2">
        <f>DOCXX[[#This Row],[INV DOC DATE]]+30</f>
        <v>43162</v>
      </c>
      <c r="N68" s="2">
        <v>43245</v>
      </c>
      <c r="O68" s="7">
        <v>65.45</v>
      </c>
      <c r="P68" s="2">
        <v>43262</v>
      </c>
      <c r="Q68" s="7">
        <f>$E68-$O68</f>
        <v>0</v>
      </c>
      <c r="R68" s="7" t="str">
        <f ca="1">IF(TODAY() - DOCXX[INV DUE DATE]&lt;30, "Less than 30 days",IF(TODAY()-DOCXX[INV DUE DATE]&lt;60,"30-60 days","More than 60 days"))</f>
        <v>More than 60 days</v>
      </c>
      <c r="S68" t="s">
        <v>818</v>
      </c>
      <c r="T68" s="43" t="s">
        <v>2229</v>
      </c>
      <c r="U68" s="7" t="s">
        <v>3699</v>
      </c>
    </row>
    <row r="69" spans="1:21" x14ac:dyDescent="0.3">
      <c r="A69" s="14" t="s">
        <v>2150</v>
      </c>
      <c r="B69" t="s">
        <v>32</v>
      </c>
      <c r="C69" t="s">
        <v>325</v>
      </c>
      <c r="D69">
        <v>1</v>
      </c>
      <c r="E69" s="7">
        <v>140.25</v>
      </c>
      <c r="F69">
        <v>31434536</v>
      </c>
      <c r="J69" t="s">
        <v>2256</v>
      </c>
      <c r="K69" t="s">
        <v>3</v>
      </c>
      <c r="L69" s="2">
        <v>43132</v>
      </c>
      <c r="M69" s="2">
        <f>DOCXX[[#This Row],[INV DOC DATE]]+30</f>
        <v>43162</v>
      </c>
      <c r="N69" s="2">
        <v>43245</v>
      </c>
      <c r="O69" s="7">
        <v>140.25</v>
      </c>
      <c r="P69" s="2">
        <v>43262</v>
      </c>
      <c r="Q69" s="7">
        <f>$E69-$O69</f>
        <v>0</v>
      </c>
      <c r="R69" s="7" t="str">
        <f ca="1">IF(TODAY() - DOCXX[INV DUE DATE]&lt;30, "Less than 30 days",IF(TODAY()-DOCXX[INV DUE DATE]&lt;60,"30-60 days","More than 60 days"))</f>
        <v>More than 60 days</v>
      </c>
      <c r="S69" t="s">
        <v>818</v>
      </c>
      <c r="T69" s="43" t="s">
        <v>2229</v>
      </c>
      <c r="U69" s="7" t="s">
        <v>3699</v>
      </c>
    </row>
    <row r="70" spans="1:21" x14ac:dyDescent="0.3">
      <c r="A70" s="14" t="s">
        <v>2150</v>
      </c>
      <c r="B70" t="s">
        <v>32</v>
      </c>
      <c r="C70" t="s">
        <v>326</v>
      </c>
      <c r="D70">
        <v>1</v>
      </c>
      <c r="E70" s="7">
        <v>158.94999999999999</v>
      </c>
      <c r="F70">
        <v>31434538</v>
      </c>
      <c r="J70" t="s">
        <v>2256</v>
      </c>
      <c r="K70" t="s">
        <v>3</v>
      </c>
      <c r="L70" s="2">
        <v>43132</v>
      </c>
      <c r="M70" s="2">
        <f>DOCXX[[#This Row],[INV DOC DATE]]+30</f>
        <v>43162</v>
      </c>
      <c r="N70" s="2">
        <v>43245</v>
      </c>
      <c r="O70" s="7">
        <v>158.94999999999999</v>
      </c>
      <c r="P70" s="2">
        <v>43262</v>
      </c>
      <c r="Q70" s="7">
        <f>$E70-$O70</f>
        <v>0</v>
      </c>
      <c r="R70" s="7" t="str">
        <f ca="1">IF(TODAY() - DOCXX[INV DUE DATE]&lt;30, "Less than 30 days",IF(TODAY()-DOCXX[INV DUE DATE]&lt;60,"30-60 days","More than 60 days"))</f>
        <v>More than 60 days</v>
      </c>
      <c r="S70" t="s">
        <v>818</v>
      </c>
      <c r="T70" s="43" t="s">
        <v>2229</v>
      </c>
      <c r="U70" s="7" t="s">
        <v>3699</v>
      </c>
    </row>
    <row r="71" spans="1:21" x14ac:dyDescent="0.3">
      <c r="A71" s="14" t="s">
        <v>2150</v>
      </c>
      <c r="B71" t="s">
        <v>32</v>
      </c>
      <c r="C71" t="s">
        <v>327</v>
      </c>
      <c r="D71">
        <v>1</v>
      </c>
      <c r="E71" s="7">
        <v>93.5</v>
      </c>
      <c r="F71">
        <v>31452426</v>
      </c>
      <c r="J71" t="s">
        <v>2256</v>
      </c>
      <c r="K71" t="s">
        <v>3</v>
      </c>
      <c r="L71" s="2">
        <v>43132</v>
      </c>
      <c r="M71" s="2">
        <f>DOCXX[[#This Row],[INV DOC DATE]]+30</f>
        <v>43162</v>
      </c>
      <c r="N71" s="2">
        <v>43245</v>
      </c>
      <c r="O71" s="7">
        <v>93.5</v>
      </c>
      <c r="P71" s="2">
        <v>43262</v>
      </c>
      <c r="Q71" s="7">
        <f>$E71-$O71</f>
        <v>0</v>
      </c>
      <c r="R71" s="7" t="str">
        <f ca="1">IF(TODAY() - DOCXX[INV DUE DATE]&lt;30, "Less than 30 days",IF(TODAY()-DOCXX[INV DUE DATE]&lt;60,"30-60 days","More than 60 days"))</f>
        <v>More than 60 days</v>
      </c>
      <c r="S71" t="s">
        <v>818</v>
      </c>
      <c r="T71" s="43" t="s">
        <v>2229</v>
      </c>
      <c r="U71" s="7" t="s">
        <v>3699</v>
      </c>
    </row>
    <row r="72" spans="1:21" x14ac:dyDescent="0.3">
      <c r="A72" s="14" t="s">
        <v>2150</v>
      </c>
      <c r="B72" t="s">
        <v>32</v>
      </c>
      <c r="C72" t="s">
        <v>328</v>
      </c>
      <c r="D72">
        <v>1</v>
      </c>
      <c r="E72" s="7">
        <v>65.45</v>
      </c>
      <c r="F72">
        <v>31460448</v>
      </c>
      <c r="J72" t="s">
        <v>2256</v>
      </c>
      <c r="K72" t="s">
        <v>3</v>
      </c>
      <c r="L72" s="2">
        <v>43132</v>
      </c>
      <c r="M72" s="2">
        <f>DOCXX[[#This Row],[INV DOC DATE]]+30</f>
        <v>43162</v>
      </c>
      <c r="N72" s="2">
        <v>43245</v>
      </c>
      <c r="O72" s="7">
        <v>65.45</v>
      </c>
      <c r="P72" s="2">
        <v>43262</v>
      </c>
      <c r="Q72" s="7">
        <f>$E72-$O72</f>
        <v>0</v>
      </c>
      <c r="R72" s="7" t="str">
        <f ca="1">IF(TODAY() - DOCXX[INV DUE DATE]&lt;30, "Less than 30 days",IF(TODAY()-DOCXX[INV DUE DATE]&lt;60,"30-60 days","More than 60 days"))</f>
        <v>More than 60 days</v>
      </c>
      <c r="S72" t="s">
        <v>818</v>
      </c>
      <c r="T72" s="43" t="s">
        <v>2229</v>
      </c>
      <c r="U72" s="7" t="s">
        <v>3699</v>
      </c>
    </row>
    <row r="73" spans="1:21" x14ac:dyDescent="0.3">
      <c r="A73" s="14" t="s">
        <v>2150</v>
      </c>
      <c r="B73" t="s">
        <v>32</v>
      </c>
      <c r="C73" t="s">
        <v>329</v>
      </c>
      <c r="D73">
        <v>1</v>
      </c>
      <c r="E73" s="7">
        <v>65.45</v>
      </c>
      <c r="F73">
        <v>31460449</v>
      </c>
      <c r="J73" t="s">
        <v>2256</v>
      </c>
      <c r="K73" t="s">
        <v>3</v>
      </c>
      <c r="L73" s="2">
        <v>43132</v>
      </c>
      <c r="M73" s="2">
        <f>DOCXX[[#This Row],[INV DOC DATE]]+30</f>
        <v>43162</v>
      </c>
      <c r="N73" s="2">
        <v>43245</v>
      </c>
      <c r="O73" s="7">
        <v>65.45</v>
      </c>
      <c r="P73" s="2">
        <v>43262</v>
      </c>
      <c r="Q73" s="7">
        <f>$E73-$O73</f>
        <v>0</v>
      </c>
      <c r="R73" s="7" t="str">
        <f ca="1">IF(TODAY() - DOCXX[INV DUE DATE]&lt;30, "Less than 30 days",IF(TODAY()-DOCXX[INV DUE DATE]&lt;60,"30-60 days","More than 60 days"))</f>
        <v>More than 60 days</v>
      </c>
      <c r="S73" t="s">
        <v>818</v>
      </c>
      <c r="T73" s="43" t="s">
        <v>2229</v>
      </c>
      <c r="U73" s="7" t="s">
        <v>3699</v>
      </c>
    </row>
    <row r="74" spans="1:21" x14ac:dyDescent="0.3">
      <c r="A74" s="14" t="s">
        <v>2150</v>
      </c>
      <c r="B74" t="s">
        <v>32</v>
      </c>
      <c r="C74" t="s">
        <v>330</v>
      </c>
      <c r="D74">
        <v>1</v>
      </c>
      <c r="E74" s="7">
        <v>102.85</v>
      </c>
      <c r="F74">
        <v>31461172</v>
      </c>
      <c r="J74" t="s">
        <v>2256</v>
      </c>
      <c r="K74" t="s">
        <v>3</v>
      </c>
      <c r="L74" s="2">
        <v>43132</v>
      </c>
      <c r="M74" s="2">
        <f>DOCXX[[#This Row],[INV DOC DATE]]+30</f>
        <v>43162</v>
      </c>
      <c r="N74" s="2">
        <v>43245</v>
      </c>
      <c r="O74" s="7">
        <v>102.85</v>
      </c>
      <c r="P74" s="2">
        <v>43262</v>
      </c>
      <c r="Q74" s="7">
        <f>$E74-$O74</f>
        <v>0</v>
      </c>
      <c r="R74" s="7" t="str">
        <f ca="1">IF(TODAY() - DOCXX[INV DUE DATE]&lt;30, "Less than 30 days",IF(TODAY()-DOCXX[INV DUE DATE]&lt;60,"30-60 days","More than 60 days"))</f>
        <v>More than 60 days</v>
      </c>
      <c r="S74" t="s">
        <v>818</v>
      </c>
      <c r="T74" s="43" t="s">
        <v>2229</v>
      </c>
      <c r="U74" s="7" t="s">
        <v>3699</v>
      </c>
    </row>
    <row r="75" spans="1:21" x14ac:dyDescent="0.3">
      <c r="A75" s="14" t="s">
        <v>2150</v>
      </c>
      <c r="B75" t="s">
        <v>32</v>
      </c>
      <c r="C75" t="s">
        <v>331</v>
      </c>
      <c r="D75">
        <v>1</v>
      </c>
      <c r="E75" s="7">
        <v>102.85</v>
      </c>
      <c r="F75">
        <v>31473661</v>
      </c>
      <c r="J75" t="s">
        <v>2256</v>
      </c>
      <c r="K75" t="s">
        <v>3</v>
      </c>
      <c r="L75" s="2">
        <v>43132</v>
      </c>
      <c r="M75" s="2">
        <f>DOCXX[[#This Row],[INV DOC DATE]]+30</f>
        <v>43162</v>
      </c>
      <c r="N75" s="2">
        <v>43245</v>
      </c>
      <c r="O75" s="7">
        <v>102.85</v>
      </c>
      <c r="P75" s="2">
        <v>43262</v>
      </c>
      <c r="Q75" s="7">
        <f>$E75-$O75</f>
        <v>0</v>
      </c>
      <c r="R75" s="7" t="str">
        <f ca="1">IF(TODAY() - DOCXX[INV DUE DATE]&lt;30, "Less than 30 days",IF(TODAY()-DOCXX[INV DUE DATE]&lt;60,"30-60 days","More than 60 days"))</f>
        <v>More than 60 days</v>
      </c>
      <c r="S75" t="s">
        <v>818</v>
      </c>
      <c r="T75" s="43" t="s">
        <v>2229</v>
      </c>
      <c r="U75" s="7" t="s">
        <v>3699</v>
      </c>
    </row>
    <row r="76" spans="1:21" x14ac:dyDescent="0.3">
      <c r="A76" s="14" t="s">
        <v>2150</v>
      </c>
      <c r="B76" t="s">
        <v>32</v>
      </c>
      <c r="C76" t="s">
        <v>332</v>
      </c>
      <c r="D76">
        <v>1</v>
      </c>
      <c r="E76" s="7">
        <v>102.85</v>
      </c>
      <c r="F76">
        <v>31473661</v>
      </c>
      <c r="J76" t="s">
        <v>2256</v>
      </c>
      <c r="K76" t="s">
        <v>3</v>
      </c>
      <c r="L76" s="2">
        <v>43132</v>
      </c>
      <c r="M76" s="2">
        <f>DOCXX[[#This Row],[INV DOC DATE]]+30</f>
        <v>43162</v>
      </c>
      <c r="N76" s="2">
        <v>43245</v>
      </c>
      <c r="O76" s="7">
        <v>102.85</v>
      </c>
      <c r="P76" s="2">
        <v>43262</v>
      </c>
      <c r="Q76" s="7">
        <f>$E76-$O76</f>
        <v>0</v>
      </c>
      <c r="R76" s="7" t="str">
        <f ca="1">IF(TODAY() - DOCXX[INV DUE DATE]&lt;30, "Less than 30 days",IF(TODAY()-DOCXX[INV DUE DATE]&lt;60,"30-60 days","More than 60 days"))</f>
        <v>More than 60 days</v>
      </c>
      <c r="S76" t="s">
        <v>818</v>
      </c>
      <c r="T76" s="43" t="s">
        <v>2229</v>
      </c>
      <c r="U76" s="7" t="s">
        <v>3699</v>
      </c>
    </row>
    <row r="77" spans="1:21" x14ac:dyDescent="0.3">
      <c r="A77" s="14" t="s">
        <v>2150</v>
      </c>
      <c r="B77" t="s">
        <v>32</v>
      </c>
      <c r="C77" t="s">
        <v>333</v>
      </c>
      <c r="D77">
        <v>1</v>
      </c>
      <c r="E77" s="7">
        <v>102.85</v>
      </c>
      <c r="F77">
        <v>31473966</v>
      </c>
      <c r="J77" t="s">
        <v>2256</v>
      </c>
      <c r="K77" t="s">
        <v>3</v>
      </c>
      <c r="L77" s="2">
        <v>43132</v>
      </c>
      <c r="M77" s="2">
        <f>DOCXX[[#This Row],[INV DOC DATE]]+30</f>
        <v>43162</v>
      </c>
      <c r="N77" s="2">
        <v>43245</v>
      </c>
      <c r="O77" s="7">
        <v>102.85</v>
      </c>
      <c r="P77" s="2">
        <v>43262</v>
      </c>
      <c r="Q77" s="7">
        <f>$E77-$O77</f>
        <v>0</v>
      </c>
      <c r="R77" s="7" t="str">
        <f ca="1">IF(TODAY() - DOCXX[INV DUE DATE]&lt;30, "Less than 30 days",IF(TODAY()-DOCXX[INV DUE DATE]&lt;60,"30-60 days","More than 60 days"))</f>
        <v>More than 60 days</v>
      </c>
      <c r="S77" t="s">
        <v>818</v>
      </c>
      <c r="T77" s="43" t="s">
        <v>2229</v>
      </c>
      <c r="U77" s="7" t="s">
        <v>3699</v>
      </c>
    </row>
    <row r="78" spans="1:21" x14ac:dyDescent="0.3">
      <c r="A78" s="14" t="s">
        <v>2150</v>
      </c>
      <c r="B78" t="s">
        <v>32</v>
      </c>
      <c r="C78" t="s">
        <v>334</v>
      </c>
      <c r="D78">
        <v>1</v>
      </c>
      <c r="E78" s="7">
        <v>93.5</v>
      </c>
      <c r="F78">
        <v>31494716</v>
      </c>
      <c r="J78" t="s">
        <v>2256</v>
      </c>
      <c r="K78" t="s">
        <v>3</v>
      </c>
      <c r="L78" s="2">
        <v>43132</v>
      </c>
      <c r="M78" s="2">
        <f>DOCXX[[#This Row],[INV DOC DATE]]+30</f>
        <v>43162</v>
      </c>
      <c r="N78" s="2">
        <v>43245</v>
      </c>
      <c r="O78" s="7">
        <v>93.5</v>
      </c>
      <c r="P78" s="2">
        <v>43262</v>
      </c>
      <c r="Q78" s="7">
        <f>$E78-$O78</f>
        <v>0</v>
      </c>
      <c r="R78" s="7" t="str">
        <f ca="1">IF(TODAY() - DOCXX[INV DUE DATE]&lt;30, "Less than 30 days",IF(TODAY()-DOCXX[INV DUE DATE]&lt;60,"30-60 days","More than 60 days"))</f>
        <v>More than 60 days</v>
      </c>
      <c r="S78" t="s">
        <v>818</v>
      </c>
      <c r="T78" s="43" t="s">
        <v>2229</v>
      </c>
      <c r="U78" s="7" t="s">
        <v>3699</v>
      </c>
    </row>
    <row r="79" spans="1:21" x14ac:dyDescent="0.3">
      <c r="A79" s="14" t="s">
        <v>2150</v>
      </c>
      <c r="B79" t="s">
        <v>32</v>
      </c>
      <c r="C79" t="s">
        <v>335</v>
      </c>
      <c r="D79">
        <v>1</v>
      </c>
      <c r="E79" s="7">
        <v>102.85</v>
      </c>
      <c r="F79">
        <v>31494717</v>
      </c>
      <c r="J79" t="s">
        <v>2256</v>
      </c>
      <c r="K79" t="s">
        <v>3</v>
      </c>
      <c r="L79" s="2">
        <v>43132</v>
      </c>
      <c r="M79" s="2">
        <f>DOCXX[[#This Row],[INV DOC DATE]]+30</f>
        <v>43162</v>
      </c>
      <c r="N79" s="2">
        <v>43245</v>
      </c>
      <c r="O79" s="7">
        <v>102.85</v>
      </c>
      <c r="P79" s="2">
        <v>43262</v>
      </c>
      <c r="Q79" s="7">
        <f>$E79-$O79</f>
        <v>0</v>
      </c>
      <c r="R79" s="7" t="str">
        <f ca="1">IF(TODAY() - DOCXX[INV DUE DATE]&lt;30, "Less than 30 days",IF(TODAY()-DOCXX[INV DUE DATE]&lt;60,"30-60 days","More than 60 days"))</f>
        <v>More than 60 days</v>
      </c>
      <c r="S79" t="s">
        <v>818</v>
      </c>
      <c r="T79" s="43" t="s">
        <v>2229</v>
      </c>
      <c r="U79" s="7" t="s">
        <v>3699</v>
      </c>
    </row>
    <row r="80" spans="1:21" x14ac:dyDescent="0.3">
      <c r="A80" s="14" t="s">
        <v>2150</v>
      </c>
      <c r="B80" t="s">
        <v>32</v>
      </c>
      <c r="C80" t="s">
        <v>336</v>
      </c>
      <c r="D80">
        <v>1</v>
      </c>
      <c r="E80" s="7">
        <v>93.5</v>
      </c>
      <c r="F80">
        <v>31494719</v>
      </c>
      <c r="J80" t="s">
        <v>2256</v>
      </c>
      <c r="K80" t="s">
        <v>3</v>
      </c>
      <c r="L80" s="2">
        <v>43132</v>
      </c>
      <c r="M80" s="2">
        <f>DOCXX[[#This Row],[INV DOC DATE]]+30</f>
        <v>43162</v>
      </c>
      <c r="N80" s="2">
        <v>43245</v>
      </c>
      <c r="O80" s="7">
        <v>93.5</v>
      </c>
      <c r="P80" s="2">
        <v>43262</v>
      </c>
      <c r="Q80" s="7">
        <f>$E80-$O80</f>
        <v>0</v>
      </c>
      <c r="R80" s="7" t="str">
        <f ca="1">IF(TODAY() - DOCXX[INV DUE DATE]&lt;30, "Less than 30 days",IF(TODAY()-DOCXX[INV DUE DATE]&lt;60,"30-60 days","More than 60 days"))</f>
        <v>More than 60 days</v>
      </c>
      <c r="S80" t="s">
        <v>818</v>
      </c>
      <c r="T80" s="43" t="s">
        <v>2229</v>
      </c>
      <c r="U80" s="7" t="s">
        <v>3699</v>
      </c>
    </row>
    <row r="81" spans="1:21" x14ac:dyDescent="0.3">
      <c r="A81" s="14" t="s">
        <v>2150</v>
      </c>
      <c r="B81" t="s">
        <v>32</v>
      </c>
      <c r="C81" t="s">
        <v>337</v>
      </c>
      <c r="D81">
        <v>1</v>
      </c>
      <c r="E81" s="7">
        <v>84.15</v>
      </c>
      <c r="F81">
        <v>31495315</v>
      </c>
      <c r="J81" t="s">
        <v>2256</v>
      </c>
      <c r="K81" t="s">
        <v>3</v>
      </c>
      <c r="L81" s="2">
        <v>43132</v>
      </c>
      <c r="M81" s="2">
        <f>DOCXX[[#This Row],[INV DOC DATE]]+30</f>
        <v>43162</v>
      </c>
      <c r="N81" s="2">
        <v>43245</v>
      </c>
      <c r="O81" s="7">
        <v>84.15</v>
      </c>
      <c r="P81" s="2">
        <v>43262</v>
      </c>
      <c r="Q81" s="7">
        <f>$E81-$O81</f>
        <v>0</v>
      </c>
      <c r="R81" s="7" t="str">
        <f ca="1">IF(TODAY() - DOCXX[INV DUE DATE]&lt;30, "Less than 30 days",IF(TODAY()-DOCXX[INV DUE DATE]&lt;60,"30-60 days","More than 60 days"))</f>
        <v>More than 60 days</v>
      </c>
      <c r="S81" t="s">
        <v>818</v>
      </c>
      <c r="T81" s="43" t="s">
        <v>2229</v>
      </c>
      <c r="U81" s="7" t="s">
        <v>3699</v>
      </c>
    </row>
    <row r="82" spans="1:21" x14ac:dyDescent="0.3">
      <c r="A82" s="14" t="s">
        <v>2150</v>
      </c>
      <c r="B82" t="s">
        <v>32</v>
      </c>
      <c r="C82" t="s">
        <v>42</v>
      </c>
      <c r="D82">
        <v>1</v>
      </c>
      <c r="E82" s="7">
        <v>271.14999999999998</v>
      </c>
      <c r="F82">
        <v>28443652</v>
      </c>
      <c r="J82" t="s">
        <v>2256</v>
      </c>
      <c r="K82" t="s">
        <v>3</v>
      </c>
      <c r="L82" s="2">
        <v>43132</v>
      </c>
      <c r="M82" s="2">
        <f>DOCXX[[#This Row],[INV DOC DATE]]+30</f>
        <v>43162</v>
      </c>
      <c r="N82" s="2">
        <v>43245</v>
      </c>
      <c r="O82" s="7">
        <v>271.14999999999998</v>
      </c>
      <c r="P82" s="2">
        <v>43264</v>
      </c>
      <c r="Q82" s="7">
        <f>$E82-$O82</f>
        <v>0</v>
      </c>
      <c r="R82" s="7" t="str">
        <f ca="1">IF(TODAY() - DOCXX[INV DUE DATE]&lt;30, "Less than 30 days",IF(TODAY()-DOCXX[INV DUE DATE]&lt;60,"30-60 days","More than 60 days"))</f>
        <v>More than 60 days</v>
      </c>
      <c r="S82" t="s">
        <v>818</v>
      </c>
      <c r="T82" s="43" t="s">
        <v>2229</v>
      </c>
      <c r="U82" s="7" t="s">
        <v>3699</v>
      </c>
    </row>
    <row r="83" spans="1:21" x14ac:dyDescent="0.3">
      <c r="A83" s="14" t="s">
        <v>2150</v>
      </c>
      <c r="B83" t="s">
        <v>32</v>
      </c>
      <c r="C83" t="s">
        <v>124</v>
      </c>
      <c r="D83">
        <v>1</v>
      </c>
      <c r="E83" s="7">
        <v>84.15</v>
      </c>
      <c r="F83">
        <v>31283903</v>
      </c>
      <c r="J83" t="s">
        <v>2256</v>
      </c>
      <c r="K83" t="s">
        <v>3</v>
      </c>
      <c r="L83" s="2">
        <v>43132</v>
      </c>
      <c r="M83" s="2">
        <f>DOCXX[[#This Row],[INV DOC DATE]]+30</f>
        <v>43162</v>
      </c>
      <c r="N83" s="2">
        <v>43245</v>
      </c>
      <c r="O83" s="7">
        <v>84.15</v>
      </c>
      <c r="P83" s="2">
        <v>43264</v>
      </c>
      <c r="Q83" s="7">
        <f>$E83-$O83</f>
        <v>0</v>
      </c>
      <c r="R83" s="7" t="str">
        <f ca="1">IF(TODAY() - DOCXX[INV DUE DATE]&lt;30, "Less than 30 days",IF(TODAY()-DOCXX[INV DUE DATE]&lt;60,"30-60 days","More than 60 days"))</f>
        <v>More than 60 days</v>
      </c>
      <c r="S83" t="s">
        <v>818</v>
      </c>
      <c r="T83" s="43" t="s">
        <v>2229</v>
      </c>
      <c r="U83" s="7" t="s">
        <v>3699</v>
      </c>
    </row>
    <row r="84" spans="1:21" x14ac:dyDescent="0.3">
      <c r="A84" s="14" t="s">
        <v>2151</v>
      </c>
      <c r="B84" t="s">
        <v>838</v>
      </c>
      <c r="C84" t="s">
        <v>6</v>
      </c>
      <c r="D84">
        <v>4007</v>
      </c>
      <c r="E84" s="7">
        <v>299.2</v>
      </c>
      <c r="F84">
        <v>28443652</v>
      </c>
      <c r="J84" t="s">
        <v>2256</v>
      </c>
      <c r="K84" t="s">
        <v>3</v>
      </c>
      <c r="L84" s="2">
        <v>43160</v>
      </c>
      <c r="M84" s="2">
        <f>DOCXX[[#This Row],[INV DOC DATE]]+30</f>
        <v>43190</v>
      </c>
      <c r="N84" s="2">
        <v>43245</v>
      </c>
      <c r="Q84" s="7">
        <f>$E84-$O84</f>
        <v>299.2</v>
      </c>
      <c r="R84" s="7" t="str">
        <f ca="1">IF(TODAY() - DOCXX[INV DUE DATE]&lt;30, "Less than 30 days",IF(TODAY()-DOCXX[INV DUE DATE]&lt;60,"30-60 days","More than 60 days"))</f>
        <v>More than 60 days</v>
      </c>
      <c r="S84" t="s">
        <v>818</v>
      </c>
      <c r="U84" s="7" t="s">
        <v>3699</v>
      </c>
    </row>
    <row r="85" spans="1:21" x14ac:dyDescent="0.3">
      <c r="A85" s="14" t="s">
        <v>2145</v>
      </c>
      <c r="B85" t="s">
        <v>30</v>
      </c>
      <c r="C85" t="s">
        <v>27</v>
      </c>
      <c r="D85">
        <v>1</v>
      </c>
      <c r="E85" s="7">
        <v>10628.57</v>
      </c>
      <c r="H85">
        <v>1274</v>
      </c>
      <c r="I85" t="s">
        <v>350</v>
      </c>
      <c r="J85" t="s">
        <v>2255</v>
      </c>
      <c r="K85" t="s">
        <v>3</v>
      </c>
      <c r="L85" s="2">
        <v>43191</v>
      </c>
      <c r="M85" s="2">
        <f>DOCXX[[#This Row],[INV DOC DATE]]+30</f>
        <v>43221</v>
      </c>
      <c r="N85" s="2">
        <v>43243</v>
      </c>
      <c r="O85" s="7">
        <v>10628.57</v>
      </c>
      <c r="P85" s="2">
        <v>43250</v>
      </c>
      <c r="Q85" s="7">
        <f>$E85-$O85</f>
        <v>0</v>
      </c>
      <c r="R85" s="7" t="str">
        <f ca="1">IF(TODAY() - DOCXX[INV DUE DATE]&lt;30, "Less than 30 days",IF(TODAY()-DOCXX[INV DUE DATE]&lt;60,"30-60 days","More than 60 days"))</f>
        <v>More than 60 days</v>
      </c>
      <c r="S85" t="s">
        <v>818</v>
      </c>
      <c r="T85" s="43" t="s">
        <v>2229</v>
      </c>
      <c r="U85" s="7" t="s">
        <v>3699</v>
      </c>
    </row>
    <row r="86" spans="1:21" x14ac:dyDescent="0.3">
      <c r="A86" s="14" t="s">
        <v>2145</v>
      </c>
      <c r="B86" t="s">
        <v>30</v>
      </c>
      <c r="C86" t="s">
        <v>28</v>
      </c>
      <c r="D86">
        <v>1</v>
      </c>
      <c r="E86" s="7">
        <v>9380.7000000000007</v>
      </c>
      <c r="H86">
        <v>1273</v>
      </c>
      <c r="I86" t="s">
        <v>350</v>
      </c>
      <c r="J86" t="s">
        <v>2255</v>
      </c>
      <c r="K86" t="s">
        <v>3</v>
      </c>
      <c r="L86" s="2">
        <v>43191</v>
      </c>
      <c r="M86" s="2">
        <f>DOCXX[[#This Row],[INV DOC DATE]]+30</f>
        <v>43221</v>
      </c>
      <c r="N86" s="2">
        <v>43243</v>
      </c>
      <c r="O86" s="7">
        <v>9380.7000000000007</v>
      </c>
      <c r="P86" s="2">
        <v>43250</v>
      </c>
      <c r="Q86" s="7">
        <f>$E86-$O86</f>
        <v>0</v>
      </c>
      <c r="R86" s="7" t="str">
        <f ca="1">IF(TODAY() - DOCXX[INV DUE DATE]&lt;30, "Less than 30 days",IF(TODAY()-DOCXX[INV DUE DATE]&lt;60,"30-60 days","More than 60 days"))</f>
        <v>More than 60 days</v>
      </c>
      <c r="S86" t="s">
        <v>818</v>
      </c>
      <c r="T86" s="43" t="s">
        <v>2229</v>
      </c>
      <c r="U86" s="7" t="s">
        <v>3699</v>
      </c>
    </row>
    <row r="87" spans="1:21" x14ac:dyDescent="0.3">
      <c r="A87" s="14" t="s">
        <v>2145</v>
      </c>
      <c r="B87" t="s">
        <v>30</v>
      </c>
      <c r="C87" t="s">
        <v>37</v>
      </c>
      <c r="D87">
        <v>1</v>
      </c>
      <c r="E87" s="7">
        <v>9031.85</v>
      </c>
      <c r="H87">
        <v>58008</v>
      </c>
      <c r="I87" t="s">
        <v>355</v>
      </c>
      <c r="J87" t="s">
        <v>2255</v>
      </c>
      <c r="K87" t="s">
        <v>3</v>
      </c>
      <c r="L87" s="2">
        <v>43191</v>
      </c>
      <c r="M87" s="2">
        <f>DOCXX[[#This Row],[INV DOC DATE]]+30</f>
        <v>43221</v>
      </c>
      <c r="N87" s="2">
        <v>43243</v>
      </c>
      <c r="O87" s="7">
        <v>9031.85</v>
      </c>
      <c r="P87" s="2">
        <v>43250</v>
      </c>
      <c r="Q87" s="7">
        <f>$E87-$O87</f>
        <v>0</v>
      </c>
      <c r="R87" s="7" t="str">
        <f ca="1">IF(TODAY() - DOCXX[INV DUE DATE]&lt;30, "Less than 30 days",IF(TODAY()-DOCXX[INV DUE DATE]&lt;60,"30-60 days","More than 60 days"))</f>
        <v>More than 60 days</v>
      </c>
      <c r="S87" t="s">
        <v>818</v>
      </c>
      <c r="T87" s="43" t="s">
        <v>2229</v>
      </c>
      <c r="U87" s="7" t="s">
        <v>3699</v>
      </c>
    </row>
    <row r="88" spans="1:21" x14ac:dyDescent="0.3">
      <c r="A88" s="14" t="s">
        <v>2145</v>
      </c>
      <c r="B88" t="s">
        <v>30</v>
      </c>
      <c r="C88" t="s">
        <v>38</v>
      </c>
      <c r="D88">
        <v>1</v>
      </c>
      <c r="E88" s="7">
        <v>4954.95</v>
      </c>
      <c r="H88">
        <v>66660</v>
      </c>
      <c r="I88" t="s">
        <v>357</v>
      </c>
      <c r="J88" t="s">
        <v>2255</v>
      </c>
      <c r="K88" t="s">
        <v>3</v>
      </c>
      <c r="L88" s="2">
        <v>43191</v>
      </c>
      <c r="M88" s="2">
        <f>DOCXX[[#This Row],[INV DOC DATE]]+30</f>
        <v>43221</v>
      </c>
      <c r="N88" s="2">
        <v>43243</v>
      </c>
      <c r="O88" s="7">
        <v>4954.95</v>
      </c>
      <c r="P88" s="2">
        <v>43250</v>
      </c>
      <c r="Q88" s="7">
        <f>$E88-$O88</f>
        <v>0</v>
      </c>
      <c r="R88" s="7" t="str">
        <f ca="1">IF(TODAY() - DOCXX[INV DUE DATE]&lt;30, "Less than 30 days",IF(TODAY()-DOCXX[INV DUE DATE]&lt;60,"30-60 days","More than 60 days"))</f>
        <v>More than 60 days</v>
      </c>
      <c r="S88" t="s">
        <v>818</v>
      </c>
      <c r="T88" s="43" t="s">
        <v>2229</v>
      </c>
      <c r="U88" s="7" t="s">
        <v>3699</v>
      </c>
    </row>
    <row r="89" spans="1:21" x14ac:dyDescent="0.3">
      <c r="A89" s="14" t="s">
        <v>2145</v>
      </c>
      <c r="B89" t="s">
        <v>30</v>
      </c>
      <c r="C89" t="s">
        <v>39</v>
      </c>
      <c r="D89">
        <v>1</v>
      </c>
      <c r="E89" s="7">
        <v>4253.54</v>
      </c>
      <c r="H89">
        <v>97900</v>
      </c>
      <c r="I89" t="s">
        <v>350</v>
      </c>
      <c r="J89" t="s">
        <v>2255</v>
      </c>
      <c r="K89" t="s">
        <v>3</v>
      </c>
      <c r="L89" s="2">
        <v>43191</v>
      </c>
      <c r="M89" s="2">
        <f>DOCXX[[#This Row],[INV DOC DATE]]+30</f>
        <v>43221</v>
      </c>
      <c r="N89" s="2">
        <v>43243</v>
      </c>
      <c r="O89" s="7">
        <v>4253.54</v>
      </c>
      <c r="P89" s="2">
        <v>43250</v>
      </c>
      <c r="Q89" s="7">
        <f>$E89-$O89</f>
        <v>0</v>
      </c>
      <c r="R89" s="7" t="str">
        <f ca="1">IF(TODAY() - DOCXX[INV DUE DATE]&lt;30, "Less than 30 days",IF(TODAY()-DOCXX[INV DUE DATE]&lt;60,"30-60 days","More than 60 days"))</f>
        <v>More than 60 days</v>
      </c>
      <c r="S89" t="s">
        <v>818</v>
      </c>
      <c r="T89" s="43" t="s">
        <v>2229</v>
      </c>
      <c r="U89" s="7" t="s">
        <v>3699</v>
      </c>
    </row>
    <row r="90" spans="1:21" x14ac:dyDescent="0.3">
      <c r="A90" s="14" t="s">
        <v>2145</v>
      </c>
      <c r="B90" t="s">
        <v>30</v>
      </c>
      <c r="C90" t="s">
        <v>40</v>
      </c>
      <c r="D90">
        <v>1</v>
      </c>
      <c r="E90" s="7">
        <v>2857.14</v>
      </c>
      <c r="H90">
        <v>66665</v>
      </c>
      <c r="I90" t="s">
        <v>2248</v>
      </c>
      <c r="J90" t="s">
        <v>2255</v>
      </c>
      <c r="K90" t="s">
        <v>3</v>
      </c>
      <c r="L90" s="2">
        <v>43191</v>
      </c>
      <c r="M90" s="2">
        <f>DOCXX[[#This Row],[INV DOC DATE]]+30</f>
        <v>43221</v>
      </c>
      <c r="N90" s="2">
        <v>43243</v>
      </c>
      <c r="O90" s="7">
        <v>2857.14</v>
      </c>
      <c r="P90" s="2">
        <v>43250</v>
      </c>
      <c r="Q90" s="7">
        <f>$E90-$O90</f>
        <v>0</v>
      </c>
      <c r="R90" s="7" t="str">
        <f ca="1">IF(TODAY() - DOCXX[INV DUE DATE]&lt;30, "Less than 30 days",IF(TODAY()-DOCXX[INV DUE DATE]&lt;60,"30-60 days","More than 60 days"))</f>
        <v>More than 60 days</v>
      </c>
      <c r="S90" t="s">
        <v>818</v>
      </c>
      <c r="T90" s="43" t="s">
        <v>2229</v>
      </c>
      <c r="U90" s="7" t="s">
        <v>3699</v>
      </c>
    </row>
    <row r="91" spans="1:21" x14ac:dyDescent="0.3">
      <c r="A91" s="14" t="s">
        <v>2145</v>
      </c>
      <c r="B91" t="s">
        <v>30</v>
      </c>
      <c r="C91" t="s">
        <v>41</v>
      </c>
      <c r="D91">
        <v>1</v>
      </c>
      <c r="E91" s="7">
        <v>2850.71</v>
      </c>
      <c r="H91">
        <v>167840</v>
      </c>
      <c r="I91" t="s">
        <v>2249</v>
      </c>
      <c r="J91" t="s">
        <v>2255</v>
      </c>
      <c r="K91" t="s">
        <v>3</v>
      </c>
      <c r="L91" s="2">
        <v>43191</v>
      </c>
      <c r="M91" s="2">
        <f>DOCXX[[#This Row],[INV DOC DATE]]+30</f>
        <v>43221</v>
      </c>
      <c r="N91" s="2">
        <v>43243</v>
      </c>
      <c r="O91" s="7">
        <v>2850.71</v>
      </c>
      <c r="P91" s="2">
        <v>43250</v>
      </c>
      <c r="Q91" s="7">
        <f>$E91-$O91</f>
        <v>0</v>
      </c>
      <c r="R91" s="7" t="str">
        <f ca="1">IF(TODAY() - DOCXX[INV DUE DATE]&lt;30, "Less than 30 days",IF(TODAY()-DOCXX[INV DUE DATE]&lt;60,"30-60 days","More than 60 days"))</f>
        <v>More than 60 days</v>
      </c>
      <c r="S91" t="s">
        <v>818</v>
      </c>
      <c r="T91" s="43" t="s">
        <v>2229</v>
      </c>
      <c r="U91" s="7" t="s">
        <v>3699</v>
      </c>
    </row>
    <row r="92" spans="1:21" x14ac:dyDescent="0.3">
      <c r="A92" s="14" t="s">
        <v>2145</v>
      </c>
      <c r="B92" t="s">
        <v>30</v>
      </c>
      <c r="C92" t="s">
        <v>42</v>
      </c>
      <c r="D92">
        <v>1</v>
      </c>
      <c r="E92" s="7">
        <v>2451.7399999999998</v>
      </c>
      <c r="H92">
        <v>68162</v>
      </c>
      <c r="I92" t="s">
        <v>358</v>
      </c>
      <c r="J92" t="s">
        <v>2255</v>
      </c>
      <c r="K92" t="s">
        <v>3</v>
      </c>
      <c r="L92" s="2">
        <v>43191</v>
      </c>
      <c r="M92" s="2">
        <f>DOCXX[[#This Row],[INV DOC DATE]]+30</f>
        <v>43221</v>
      </c>
      <c r="N92" s="2">
        <v>43243</v>
      </c>
      <c r="O92" s="7">
        <v>2451.7399999999998</v>
      </c>
      <c r="P92" s="2">
        <v>43250</v>
      </c>
      <c r="Q92" s="7">
        <f>$E92-$O92</f>
        <v>0</v>
      </c>
      <c r="R92" s="7" t="str">
        <f ca="1">IF(TODAY() - DOCXX[INV DUE DATE]&lt;30, "Less than 30 days",IF(TODAY()-DOCXX[INV DUE DATE]&lt;60,"30-60 days","More than 60 days"))</f>
        <v>More than 60 days</v>
      </c>
      <c r="S92" t="s">
        <v>818</v>
      </c>
      <c r="T92" s="43" t="s">
        <v>2229</v>
      </c>
      <c r="U92" s="7" t="s">
        <v>3699</v>
      </c>
    </row>
    <row r="93" spans="1:21" x14ac:dyDescent="0.3">
      <c r="A93" s="14" t="s">
        <v>2145</v>
      </c>
      <c r="B93" t="s">
        <v>30</v>
      </c>
      <c r="C93" t="s">
        <v>43</v>
      </c>
      <c r="D93">
        <v>1</v>
      </c>
      <c r="E93" s="7">
        <v>2213.64</v>
      </c>
      <c r="H93">
        <v>55785</v>
      </c>
      <c r="I93" t="s">
        <v>354</v>
      </c>
      <c r="J93" t="s">
        <v>2255</v>
      </c>
      <c r="K93" t="s">
        <v>3</v>
      </c>
      <c r="L93" s="2">
        <v>43191</v>
      </c>
      <c r="M93" s="2">
        <f>DOCXX[[#This Row],[INV DOC DATE]]+30</f>
        <v>43221</v>
      </c>
      <c r="N93" s="2">
        <v>43243</v>
      </c>
      <c r="O93" s="7">
        <v>2213.64</v>
      </c>
      <c r="P93" s="2">
        <v>43250</v>
      </c>
      <c r="Q93" s="7">
        <f>$E93-$O93</f>
        <v>0</v>
      </c>
      <c r="R93" s="7" t="str">
        <f ca="1">IF(TODAY() - DOCXX[INV DUE DATE]&lt;30, "Less than 30 days",IF(TODAY()-DOCXX[INV DUE DATE]&lt;60,"30-60 days","More than 60 days"))</f>
        <v>More than 60 days</v>
      </c>
      <c r="S93" t="s">
        <v>818</v>
      </c>
      <c r="T93" s="43" t="s">
        <v>2229</v>
      </c>
      <c r="U93" s="7" t="s">
        <v>3699</v>
      </c>
    </row>
    <row r="94" spans="1:21" x14ac:dyDescent="0.3">
      <c r="A94" s="14" t="s">
        <v>2145</v>
      </c>
      <c r="B94" t="s">
        <v>30</v>
      </c>
      <c r="C94" t="s">
        <v>44</v>
      </c>
      <c r="D94">
        <v>1</v>
      </c>
      <c r="E94" s="7">
        <v>1994.85</v>
      </c>
      <c r="H94">
        <v>82624</v>
      </c>
      <c r="I94" t="s">
        <v>853</v>
      </c>
      <c r="J94" t="s">
        <v>2255</v>
      </c>
      <c r="K94" t="s">
        <v>3</v>
      </c>
      <c r="L94" s="2">
        <v>43191</v>
      </c>
      <c r="M94" s="2">
        <f>DOCXX[[#This Row],[INV DOC DATE]]+30</f>
        <v>43221</v>
      </c>
      <c r="N94" s="2">
        <v>43243</v>
      </c>
      <c r="O94" s="7">
        <v>1994.85</v>
      </c>
      <c r="P94" s="2">
        <v>43250</v>
      </c>
      <c r="Q94" s="7">
        <f>$E94-$O94</f>
        <v>0</v>
      </c>
      <c r="R94" s="7" t="str">
        <f ca="1">IF(TODAY() - DOCXX[INV DUE DATE]&lt;30, "Less than 30 days",IF(TODAY()-DOCXX[INV DUE DATE]&lt;60,"30-60 days","More than 60 days"))</f>
        <v>More than 60 days</v>
      </c>
      <c r="S94" t="s">
        <v>818</v>
      </c>
      <c r="T94" s="43" t="s">
        <v>2229</v>
      </c>
      <c r="U94" s="7" t="s">
        <v>3699</v>
      </c>
    </row>
    <row r="95" spans="1:21" x14ac:dyDescent="0.3">
      <c r="A95" s="14" t="s">
        <v>2145</v>
      </c>
      <c r="B95" t="s">
        <v>30</v>
      </c>
      <c r="C95" t="s">
        <v>45</v>
      </c>
      <c r="D95">
        <v>1</v>
      </c>
      <c r="E95" s="7">
        <v>1917.63</v>
      </c>
      <c r="H95">
        <v>67904</v>
      </c>
      <c r="I95" t="s">
        <v>853</v>
      </c>
      <c r="J95" t="s">
        <v>2255</v>
      </c>
      <c r="K95" t="s">
        <v>3</v>
      </c>
      <c r="L95" s="2">
        <v>43191</v>
      </c>
      <c r="M95" s="2">
        <f>DOCXX[[#This Row],[INV DOC DATE]]+30</f>
        <v>43221</v>
      </c>
      <c r="N95" s="2">
        <v>43243</v>
      </c>
      <c r="O95" s="7">
        <v>1917.63</v>
      </c>
      <c r="P95" s="2">
        <v>43250</v>
      </c>
      <c r="Q95" s="7">
        <f>$E95-$O95</f>
        <v>0</v>
      </c>
      <c r="R95" s="7" t="str">
        <f ca="1">IF(TODAY() - DOCXX[INV DUE DATE]&lt;30, "Less than 30 days",IF(TODAY()-DOCXX[INV DUE DATE]&lt;60,"30-60 days","More than 60 days"))</f>
        <v>More than 60 days</v>
      </c>
      <c r="S95" t="s">
        <v>818</v>
      </c>
      <c r="T95" s="43" t="s">
        <v>2229</v>
      </c>
      <c r="U95" s="7" t="s">
        <v>3699</v>
      </c>
    </row>
    <row r="96" spans="1:21" x14ac:dyDescent="0.3">
      <c r="A96" s="14" t="s">
        <v>2145</v>
      </c>
      <c r="B96" t="s">
        <v>30</v>
      </c>
      <c r="C96" t="s">
        <v>46</v>
      </c>
      <c r="D96">
        <v>1</v>
      </c>
      <c r="E96" s="7">
        <v>1756.76</v>
      </c>
      <c r="H96">
        <v>66652</v>
      </c>
      <c r="I96" t="s">
        <v>356</v>
      </c>
      <c r="J96" t="s">
        <v>2255</v>
      </c>
      <c r="K96" t="s">
        <v>3</v>
      </c>
      <c r="L96" s="2">
        <v>43191</v>
      </c>
      <c r="M96" s="2">
        <f>DOCXX[[#This Row],[INV DOC DATE]]+30</f>
        <v>43221</v>
      </c>
      <c r="N96" s="2">
        <v>43243</v>
      </c>
      <c r="O96" s="7">
        <v>1756.76</v>
      </c>
      <c r="P96" s="2">
        <v>43250</v>
      </c>
      <c r="Q96" s="7">
        <f>$E96-$O96</f>
        <v>0</v>
      </c>
      <c r="R96" s="7" t="str">
        <f ca="1">IF(TODAY() - DOCXX[INV DUE DATE]&lt;30, "Less than 30 days",IF(TODAY()-DOCXX[INV DUE DATE]&lt;60,"30-60 days","More than 60 days"))</f>
        <v>More than 60 days</v>
      </c>
      <c r="S96" t="s">
        <v>818</v>
      </c>
      <c r="T96" s="43" t="s">
        <v>2229</v>
      </c>
      <c r="U96" s="7" t="s">
        <v>3699</v>
      </c>
    </row>
    <row r="97" spans="1:21" x14ac:dyDescent="0.3">
      <c r="A97" s="14" t="s">
        <v>2145</v>
      </c>
      <c r="B97" t="s">
        <v>30</v>
      </c>
      <c r="C97" t="s">
        <v>47</v>
      </c>
      <c r="D97">
        <v>1</v>
      </c>
      <c r="E97" s="7">
        <v>1750.32</v>
      </c>
      <c r="H97">
        <v>1204</v>
      </c>
      <c r="I97" t="s">
        <v>2250</v>
      </c>
      <c r="J97" t="s">
        <v>2255</v>
      </c>
      <c r="K97" t="s">
        <v>3</v>
      </c>
      <c r="L97" s="2">
        <v>43191</v>
      </c>
      <c r="M97" s="2">
        <f>DOCXX[[#This Row],[INV DOC DATE]]+30</f>
        <v>43221</v>
      </c>
      <c r="N97" s="2">
        <v>43243</v>
      </c>
      <c r="O97" s="7">
        <v>1750.32</v>
      </c>
      <c r="P97" s="2">
        <v>43250</v>
      </c>
      <c r="Q97" s="7">
        <f>$E97-$O97</f>
        <v>0</v>
      </c>
      <c r="R97" s="7" t="str">
        <f ca="1">IF(TODAY() - DOCXX[INV DUE DATE]&lt;30, "Less than 30 days",IF(TODAY()-DOCXX[INV DUE DATE]&lt;60,"30-60 days","More than 60 days"))</f>
        <v>More than 60 days</v>
      </c>
      <c r="S97" t="s">
        <v>818</v>
      </c>
      <c r="T97" s="43" t="s">
        <v>2229</v>
      </c>
      <c r="U97" s="7" t="s">
        <v>3699</v>
      </c>
    </row>
    <row r="98" spans="1:21" x14ac:dyDescent="0.3">
      <c r="A98" s="14" t="s">
        <v>2145</v>
      </c>
      <c r="B98" t="s">
        <v>30</v>
      </c>
      <c r="C98" t="s">
        <v>295</v>
      </c>
      <c r="D98">
        <v>1</v>
      </c>
      <c r="E98" s="7">
        <v>1576.58</v>
      </c>
      <c r="H98">
        <v>75797</v>
      </c>
      <c r="I98" t="s">
        <v>859</v>
      </c>
      <c r="J98" t="s">
        <v>2255</v>
      </c>
      <c r="K98" t="s">
        <v>3</v>
      </c>
      <c r="L98" s="2">
        <v>43191</v>
      </c>
      <c r="M98" s="2">
        <f>DOCXX[[#This Row],[INV DOC DATE]]+30</f>
        <v>43221</v>
      </c>
      <c r="N98" s="2">
        <v>43243</v>
      </c>
      <c r="O98" s="7">
        <v>1576.58</v>
      </c>
      <c r="P98" s="2">
        <v>43250</v>
      </c>
      <c r="Q98" s="7">
        <f>$E98-$O98</f>
        <v>0</v>
      </c>
      <c r="R98" s="7" t="str">
        <f ca="1">IF(TODAY() - DOCXX[INV DUE DATE]&lt;30, "Less than 30 days",IF(TODAY()-DOCXX[INV DUE DATE]&lt;60,"30-60 days","More than 60 days"))</f>
        <v>More than 60 days</v>
      </c>
      <c r="S98" t="s">
        <v>818</v>
      </c>
      <c r="T98" s="43" t="s">
        <v>2229</v>
      </c>
      <c r="U98" s="7" t="s">
        <v>3699</v>
      </c>
    </row>
    <row r="99" spans="1:21" x14ac:dyDescent="0.3">
      <c r="A99" s="14" t="s">
        <v>2145</v>
      </c>
      <c r="B99" t="s">
        <v>30</v>
      </c>
      <c r="C99" t="s">
        <v>48</v>
      </c>
      <c r="D99">
        <v>1</v>
      </c>
      <c r="E99" s="7">
        <v>1492.92</v>
      </c>
      <c r="H99">
        <v>55609</v>
      </c>
      <c r="I99" t="s">
        <v>349</v>
      </c>
      <c r="J99" t="s">
        <v>2255</v>
      </c>
      <c r="K99" t="s">
        <v>3</v>
      </c>
      <c r="L99" s="2">
        <v>43191</v>
      </c>
      <c r="M99" s="2">
        <f>DOCXX[[#This Row],[INV DOC DATE]]+30</f>
        <v>43221</v>
      </c>
      <c r="N99" s="2">
        <v>43243</v>
      </c>
      <c r="O99" s="7">
        <v>1492.92</v>
      </c>
      <c r="P99" s="2">
        <v>43250</v>
      </c>
      <c r="Q99" s="7">
        <f>$E99-$O99</f>
        <v>0</v>
      </c>
      <c r="R99" s="7" t="str">
        <f ca="1">IF(TODAY() - DOCXX[INV DUE DATE]&lt;30, "Less than 30 days",IF(TODAY()-DOCXX[INV DUE DATE]&lt;60,"30-60 days","More than 60 days"))</f>
        <v>More than 60 days</v>
      </c>
      <c r="S99" t="s">
        <v>818</v>
      </c>
      <c r="T99" s="43" t="s">
        <v>2229</v>
      </c>
      <c r="U99" s="7" t="s">
        <v>3699</v>
      </c>
    </row>
    <row r="100" spans="1:21" x14ac:dyDescent="0.3">
      <c r="A100" s="14" t="s">
        <v>2145</v>
      </c>
      <c r="B100" t="s">
        <v>30</v>
      </c>
      <c r="C100" t="s">
        <v>49</v>
      </c>
      <c r="D100">
        <v>1</v>
      </c>
      <c r="E100" s="7">
        <v>1280.57</v>
      </c>
      <c r="H100">
        <v>1356</v>
      </c>
      <c r="I100" t="s">
        <v>2251</v>
      </c>
      <c r="J100" t="s">
        <v>2255</v>
      </c>
      <c r="K100" t="s">
        <v>3</v>
      </c>
      <c r="L100" s="2">
        <v>43191</v>
      </c>
      <c r="M100" s="2">
        <f>DOCXX[[#This Row],[INV DOC DATE]]+30</f>
        <v>43221</v>
      </c>
      <c r="N100" s="2">
        <v>43243</v>
      </c>
      <c r="O100" s="7">
        <v>1280.57</v>
      </c>
      <c r="P100" s="2">
        <v>43250</v>
      </c>
      <c r="Q100" s="7">
        <f>$E100-$O100</f>
        <v>0</v>
      </c>
      <c r="R100" s="7" t="str">
        <f ca="1">IF(TODAY() - DOCXX[INV DUE DATE]&lt;30, "Less than 30 days",IF(TODAY()-DOCXX[INV DUE DATE]&lt;60,"30-60 days","More than 60 days"))</f>
        <v>More than 60 days</v>
      </c>
      <c r="S100" t="s">
        <v>818</v>
      </c>
      <c r="T100" s="43" t="s">
        <v>2229</v>
      </c>
      <c r="U100" s="7" t="s">
        <v>3699</v>
      </c>
    </row>
    <row r="101" spans="1:21" x14ac:dyDescent="0.3">
      <c r="A101" s="14" t="s">
        <v>2145</v>
      </c>
      <c r="B101" t="s">
        <v>30</v>
      </c>
      <c r="C101" t="s">
        <v>50</v>
      </c>
      <c r="D101">
        <v>1</v>
      </c>
      <c r="E101" s="7">
        <v>1222.6500000000001</v>
      </c>
      <c r="H101">
        <v>68260</v>
      </c>
      <c r="I101" t="s">
        <v>2252</v>
      </c>
      <c r="J101" t="s">
        <v>2255</v>
      </c>
      <c r="K101" t="s">
        <v>3</v>
      </c>
      <c r="L101" s="2">
        <v>43191</v>
      </c>
      <c r="M101" s="2">
        <f>DOCXX[[#This Row],[INV DOC DATE]]+30</f>
        <v>43221</v>
      </c>
      <c r="N101" s="2">
        <v>43243</v>
      </c>
      <c r="O101" s="7">
        <v>1222.6500000000001</v>
      </c>
      <c r="P101" s="2">
        <v>43250</v>
      </c>
      <c r="Q101" s="7">
        <f>$E101-$O101</f>
        <v>0</v>
      </c>
      <c r="R101" s="7" t="str">
        <f ca="1">IF(TODAY() - DOCXX[INV DUE DATE]&lt;30, "Less than 30 days",IF(TODAY()-DOCXX[INV DUE DATE]&lt;60,"30-60 days","More than 60 days"))</f>
        <v>More than 60 days</v>
      </c>
      <c r="S101" t="s">
        <v>818</v>
      </c>
      <c r="T101" s="43" t="s">
        <v>2229</v>
      </c>
      <c r="U101" s="7" t="s">
        <v>3699</v>
      </c>
    </row>
    <row r="102" spans="1:21" x14ac:dyDescent="0.3">
      <c r="A102" s="14" t="s">
        <v>2145</v>
      </c>
      <c r="B102" t="s">
        <v>30</v>
      </c>
      <c r="C102" t="s">
        <v>51</v>
      </c>
      <c r="D102">
        <v>1</v>
      </c>
      <c r="E102" s="7">
        <v>804.38</v>
      </c>
      <c r="H102">
        <v>82294</v>
      </c>
      <c r="I102" t="s">
        <v>853</v>
      </c>
      <c r="J102" t="s">
        <v>2255</v>
      </c>
      <c r="K102" t="s">
        <v>3</v>
      </c>
      <c r="L102" s="2">
        <v>43191</v>
      </c>
      <c r="M102" s="2">
        <f>DOCXX[[#This Row],[INV DOC DATE]]+30</f>
        <v>43221</v>
      </c>
      <c r="N102" s="2">
        <v>43243</v>
      </c>
      <c r="O102" s="7">
        <v>804.38</v>
      </c>
      <c r="P102" s="2">
        <v>43250</v>
      </c>
      <c r="Q102" s="7">
        <f>$E102-$O102</f>
        <v>0</v>
      </c>
      <c r="R102" s="7" t="str">
        <f ca="1">IF(TODAY() - DOCXX[INV DUE DATE]&lt;30, "Less than 30 days",IF(TODAY()-DOCXX[INV DUE DATE]&lt;60,"30-60 days","More than 60 days"))</f>
        <v>More than 60 days</v>
      </c>
      <c r="S102" t="s">
        <v>818</v>
      </c>
      <c r="T102" s="43" t="s">
        <v>2229</v>
      </c>
      <c r="U102" s="7" t="s">
        <v>3699</v>
      </c>
    </row>
    <row r="103" spans="1:21" x14ac:dyDescent="0.3">
      <c r="A103" s="14" t="s">
        <v>2145</v>
      </c>
      <c r="B103" t="s">
        <v>30</v>
      </c>
      <c r="C103" t="s">
        <v>52</v>
      </c>
      <c r="D103">
        <v>1</v>
      </c>
      <c r="E103" s="7">
        <v>643.5</v>
      </c>
      <c r="H103">
        <v>68235</v>
      </c>
      <c r="I103" t="s">
        <v>2253</v>
      </c>
      <c r="J103" t="s">
        <v>2255</v>
      </c>
      <c r="K103" t="s">
        <v>3</v>
      </c>
      <c r="L103" s="2">
        <v>43191</v>
      </c>
      <c r="M103" s="2">
        <f>DOCXX[[#This Row],[INV DOC DATE]]+30</f>
        <v>43221</v>
      </c>
      <c r="N103" s="2">
        <v>43243</v>
      </c>
      <c r="O103" s="7">
        <v>643.5</v>
      </c>
      <c r="P103" s="2">
        <v>43250</v>
      </c>
      <c r="Q103" s="7">
        <f>$E103-$O103</f>
        <v>0</v>
      </c>
      <c r="R103" s="7" t="str">
        <f ca="1">IF(TODAY() - DOCXX[INV DUE DATE]&lt;30, "Less than 30 days",IF(TODAY()-DOCXX[INV DUE DATE]&lt;60,"30-60 days","More than 60 days"))</f>
        <v>More than 60 days</v>
      </c>
      <c r="S103" t="s">
        <v>818</v>
      </c>
      <c r="T103" s="43" t="s">
        <v>2229</v>
      </c>
      <c r="U103" s="7" t="s">
        <v>3699</v>
      </c>
    </row>
    <row r="104" spans="1:21" x14ac:dyDescent="0.3">
      <c r="A104" s="14" t="s">
        <v>2145</v>
      </c>
      <c r="B104" t="s">
        <v>30</v>
      </c>
      <c r="C104" t="s">
        <v>53</v>
      </c>
      <c r="D104">
        <v>1</v>
      </c>
      <c r="E104" s="7">
        <v>643.5</v>
      </c>
      <c r="H104">
        <v>172324</v>
      </c>
      <c r="I104" t="s">
        <v>352</v>
      </c>
      <c r="J104" t="s">
        <v>2255</v>
      </c>
      <c r="K104" t="s">
        <v>3</v>
      </c>
      <c r="L104" s="2">
        <v>43191</v>
      </c>
      <c r="M104" s="2">
        <f>DOCXX[[#This Row],[INV DOC DATE]]+30</f>
        <v>43221</v>
      </c>
      <c r="N104" s="2">
        <v>43243</v>
      </c>
      <c r="O104" s="7">
        <v>643.5</v>
      </c>
      <c r="P104" s="2">
        <v>43250</v>
      </c>
      <c r="Q104" s="7">
        <f>$E104-$O104</f>
        <v>0</v>
      </c>
      <c r="R104" s="7" t="str">
        <f ca="1">IF(TODAY() - DOCXX[INV DUE DATE]&lt;30, "Less than 30 days",IF(TODAY()-DOCXX[INV DUE DATE]&lt;60,"30-60 days","More than 60 days"))</f>
        <v>More than 60 days</v>
      </c>
      <c r="S104" t="s">
        <v>818</v>
      </c>
      <c r="T104" s="43" t="s">
        <v>2229</v>
      </c>
      <c r="U104" s="7" t="s">
        <v>3699</v>
      </c>
    </row>
    <row r="105" spans="1:21" x14ac:dyDescent="0.3">
      <c r="A105" s="14" t="s">
        <v>2145</v>
      </c>
      <c r="B105" t="s">
        <v>30</v>
      </c>
      <c r="C105" t="s">
        <v>54</v>
      </c>
      <c r="D105">
        <v>1</v>
      </c>
      <c r="E105" s="7">
        <v>643.5</v>
      </c>
      <c r="H105">
        <v>82330</v>
      </c>
      <c r="I105" t="s">
        <v>2254</v>
      </c>
      <c r="J105" t="s">
        <v>2255</v>
      </c>
      <c r="K105" t="s">
        <v>3</v>
      </c>
      <c r="L105" s="2">
        <v>43191</v>
      </c>
      <c r="M105" s="2">
        <f>DOCXX[[#This Row],[INV DOC DATE]]+30</f>
        <v>43221</v>
      </c>
      <c r="N105" s="2">
        <v>43243</v>
      </c>
      <c r="O105" s="7">
        <v>643.5</v>
      </c>
      <c r="P105" s="2">
        <v>43250</v>
      </c>
      <c r="Q105" s="7">
        <f>$E105-$O105</f>
        <v>0</v>
      </c>
      <c r="R105" s="7" t="str">
        <f ca="1">IF(TODAY() - DOCXX[INV DUE DATE]&lt;30, "Less than 30 days",IF(TODAY()-DOCXX[INV DUE DATE]&lt;60,"30-60 days","More than 60 days"))</f>
        <v>More than 60 days</v>
      </c>
      <c r="S105" t="s">
        <v>818</v>
      </c>
      <c r="T105" s="43" t="s">
        <v>2229</v>
      </c>
      <c r="U105" s="7" t="s">
        <v>3699</v>
      </c>
    </row>
    <row r="106" spans="1:21" x14ac:dyDescent="0.3">
      <c r="A106" s="14" t="s">
        <v>294</v>
      </c>
      <c r="B106" t="s">
        <v>30</v>
      </c>
      <c r="C106" t="s">
        <v>6</v>
      </c>
      <c r="D106">
        <v>1</v>
      </c>
      <c r="E106" s="7">
        <v>300</v>
      </c>
      <c r="H106">
        <v>55644</v>
      </c>
      <c r="I106" t="s">
        <v>348</v>
      </c>
      <c r="J106" t="s">
        <v>363</v>
      </c>
      <c r="K106" t="s">
        <v>3</v>
      </c>
      <c r="L106" s="2">
        <v>43220</v>
      </c>
      <c r="M106" s="2">
        <f>DOCXX[[#This Row],[INV DOC DATE]]+30</f>
        <v>43250</v>
      </c>
      <c r="N106" s="2">
        <v>43220</v>
      </c>
      <c r="O106" s="7">
        <v>300</v>
      </c>
      <c r="P106" s="2">
        <v>43250</v>
      </c>
      <c r="Q106" s="7">
        <f>$E106-$O106</f>
        <v>0</v>
      </c>
      <c r="R106" s="7" t="str">
        <f ca="1">IF(TODAY() - DOCXX[INV DUE DATE]&lt;30, "Less than 30 days",IF(TODAY()-DOCXX[INV DUE DATE]&lt;60,"30-60 days","More than 60 days"))</f>
        <v>30-60 days</v>
      </c>
      <c r="S106" t="s">
        <v>818</v>
      </c>
      <c r="T106" s="43" t="s">
        <v>2229</v>
      </c>
      <c r="U106" s="7" t="s">
        <v>3699</v>
      </c>
    </row>
    <row r="107" spans="1:21" x14ac:dyDescent="0.3">
      <c r="A107" s="14" t="s">
        <v>294</v>
      </c>
      <c r="B107" t="s">
        <v>30</v>
      </c>
      <c r="C107" t="s">
        <v>7</v>
      </c>
      <c r="D107">
        <v>1</v>
      </c>
      <c r="E107" s="7">
        <v>300</v>
      </c>
      <c r="H107">
        <v>55644</v>
      </c>
      <c r="I107" t="s">
        <v>348</v>
      </c>
      <c r="J107" t="s">
        <v>364</v>
      </c>
      <c r="K107" t="s">
        <v>3</v>
      </c>
      <c r="L107" s="2">
        <v>43220</v>
      </c>
      <c r="M107" s="2">
        <f>DOCXX[[#This Row],[INV DOC DATE]]+30</f>
        <v>43250</v>
      </c>
      <c r="N107" s="2">
        <v>43220</v>
      </c>
      <c r="O107" s="7">
        <v>300</v>
      </c>
      <c r="P107" s="2">
        <v>43250</v>
      </c>
      <c r="Q107" s="7">
        <f>$E107-$O107</f>
        <v>0</v>
      </c>
      <c r="R107" s="7" t="str">
        <f ca="1">IF(TODAY() - DOCXX[INV DUE DATE]&lt;30, "Less than 30 days",IF(TODAY()-DOCXX[INV DUE DATE]&lt;60,"30-60 days","More than 60 days"))</f>
        <v>30-60 days</v>
      </c>
      <c r="S107" t="s">
        <v>818</v>
      </c>
      <c r="T107" s="43" t="s">
        <v>2229</v>
      </c>
      <c r="U107" s="7" t="s">
        <v>3699</v>
      </c>
    </row>
    <row r="108" spans="1:21" x14ac:dyDescent="0.3">
      <c r="A108" s="14" t="s">
        <v>294</v>
      </c>
      <c r="B108" t="s">
        <v>30</v>
      </c>
      <c r="C108" t="s">
        <v>8</v>
      </c>
      <c r="D108">
        <v>1</v>
      </c>
      <c r="E108" s="7">
        <v>300</v>
      </c>
      <c r="H108">
        <v>55644</v>
      </c>
      <c r="I108" t="s">
        <v>348</v>
      </c>
      <c r="J108" t="s">
        <v>365</v>
      </c>
      <c r="K108" t="s">
        <v>3</v>
      </c>
      <c r="L108" s="2">
        <v>43220</v>
      </c>
      <c r="M108" s="2">
        <f>DOCXX[[#This Row],[INV DOC DATE]]+30</f>
        <v>43250</v>
      </c>
      <c r="N108" s="2">
        <v>43220</v>
      </c>
      <c r="O108" s="7">
        <v>300</v>
      </c>
      <c r="P108" s="2">
        <v>43250</v>
      </c>
      <c r="Q108" s="7">
        <f>$E108-$O108</f>
        <v>0</v>
      </c>
      <c r="R108" s="7" t="str">
        <f ca="1">IF(TODAY() - DOCXX[INV DUE DATE]&lt;30, "Less than 30 days",IF(TODAY()-DOCXX[INV DUE DATE]&lt;60,"30-60 days","More than 60 days"))</f>
        <v>30-60 days</v>
      </c>
      <c r="S108" t="s">
        <v>818</v>
      </c>
      <c r="T108" s="43" t="s">
        <v>2229</v>
      </c>
      <c r="U108" s="7" t="s">
        <v>3699</v>
      </c>
    </row>
    <row r="109" spans="1:21" x14ac:dyDescent="0.3">
      <c r="A109" s="14" t="s">
        <v>294</v>
      </c>
      <c r="B109" t="s">
        <v>30</v>
      </c>
      <c r="C109" t="s">
        <v>9</v>
      </c>
      <c r="D109">
        <v>1</v>
      </c>
      <c r="E109" s="7">
        <v>225</v>
      </c>
      <c r="H109">
        <v>122967</v>
      </c>
      <c r="I109" t="s">
        <v>349</v>
      </c>
      <c r="J109" t="s">
        <v>366</v>
      </c>
      <c r="K109" t="s">
        <v>3</v>
      </c>
      <c r="L109" s="2">
        <v>43220</v>
      </c>
      <c r="M109" s="2">
        <f>DOCXX[[#This Row],[INV DOC DATE]]+30</f>
        <v>43250</v>
      </c>
      <c r="N109" s="2">
        <v>43220</v>
      </c>
      <c r="O109" s="7">
        <v>225</v>
      </c>
      <c r="P109" s="2">
        <v>43250</v>
      </c>
      <c r="Q109" s="7">
        <f>$E109-$O109</f>
        <v>0</v>
      </c>
      <c r="R109" s="7" t="str">
        <f ca="1">IF(TODAY() - DOCXX[INV DUE DATE]&lt;30, "Less than 30 days",IF(TODAY()-DOCXX[INV DUE DATE]&lt;60,"30-60 days","More than 60 days"))</f>
        <v>30-60 days</v>
      </c>
      <c r="S109" t="s">
        <v>818</v>
      </c>
      <c r="T109" s="43" t="s">
        <v>2229</v>
      </c>
      <c r="U109" s="7" t="s">
        <v>3699</v>
      </c>
    </row>
    <row r="110" spans="1:21" x14ac:dyDescent="0.3">
      <c r="A110" s="14" t="s">
        <v>294</v>
      </c>
      <c r="B110" t="s">
        <v>30</v>
      </c>
      <c r="C110" t="s">
        <v>10</v>
      </c>
      <c r="D110">
        <v>1</v>
      </c>
      <c r="E110" s="7">
        <v>225</v>
      </c>
      <c r="H110">
        <v>122967</v>
      </c>
      <c r="I110" t="s">
        <v>349</v>
      </c>
      <c r="J110" t="s">
        <v>367</v>
      </c>
      <c r="K110" t="s">
        <v>3</v>
      </c>
      <c r="L110" s="2">
        <v>43220</v>
      </c>
      <c r="M110" s="2">
        <f>DOCXX[[#This Row],[INV DOC DATE]]+30</f>
        <v>43250</v>
      </c>
      <c r="N110" s="2">
        <v>43220</v>
      </c>
      <c r="O110" s="7">
        <v>225</v>
      </c>
      <c r="P110" s="2">
        <v>43250</v>
      </c>
      <c r="Q110" s="7">
        <f>$E110-$O110</f>
        <v>0</v>
      </c>
      <c r="R110" s="7" t="str">
        <f ca="1">IF(TODAY() - DOCXX[INV DUE DATE]&lt;30, "Less than 30 days",IF(TODAY()-DOCXX[INV DUE DATE]&lt;60,"30-60 days","More than 60 days"))</f>
        <v>30-60 days</v>
      </c>
      <c r="S110" t="s">
        <v>818</v>
      </c>
      <c r="T110" s="43" t="s">
        <v>2229</v>
      </c>
      <c r="U110" s="7" t="s">
        <v>3699</v>
      </c>
    </row>
    <row r="111" spans="1:21" x14ac:dyDescent="0.3">
      <c r="A111" s="14" t="s">
        <v>294</v>
      </c>
      <c r="B111" t="s">
        <v>30</v>
      </c>
      <c r="C111" t="s">
        <v>11</v>
      </c>
      <c r="D111">
        <v>1</v>
      </c>
      <c r="E111" s="7">
        <v>225</v>
      </c>
      <c r="H111">
        <v>122967</v>
      </c>
      <c r="I111" t="s">
        <v>349</v>
      </c>
      <c r="J111" t="s">
        <v>368</v>
      </c>
      <c r="K111" t="s">
        <v>3</v>
      </c>
      <c r="L111" s="2">
        <v>43220</v>
      </c>
      <c r="M111" s="2">
        <f>DOCXX[[#This Row],[INV DOC DATE]]+30</f>
        <v>43250</v>
      </c>
      <c r="N111" s="2">
        <v>43220</v>
      </c>
      <c r="O111" s="7">
        <v>225</v>
      </c>
      <c r="P111" s="2">
        <v>43250</v>
      </c>
      <c r="Q111" s="7">
        <f>$E111-$O111</f>
        <v>0</v>
      </c>
      <c r="R111" s="7" t="str">
        <f ca="1">IF(TODAY() - DOCXX[INV DUE DATE]&lt;30, "Less than 30 days",IF(TODAY()-DOCXX[INV DUE DATE]&lt;60,"30-60 days","More than 60 days"))</f>
        <v>30-60 days</v>
      </c>
      <c r="S111" t="s">
        <v>818</v>
      </c>
      <c r="T111" s="43" t="s">
        <v>2229</v>
      </c>
      <c r="U111" s="7" t="s">
        <v>3699</v>
      </c>
    </row>
    <row r="112" spans="1:21" x14ac:dyDescent="0.3">
      <c r="A112" s="14" t="s">
        <v>294</v>
      </c>
      <c r="B112" t="s">
        <v>30</v>
      </c>
      <c r="C112" t="s">
        <v>12</v>
      </c>
      <c r="D112">
        <v>1</v>
      </c>
      <c r="E112" s="7">
        <v>225</v>
      </c>
      <c r="H112">
        <v>122967</v>
      </c>
      <c r="I112" t="s">
        <v>349</v>
      </c>
      <c r="J112" t="s">
        <v>369</v>
      </c>
      <c r="K112" t="s">
        <v>3</v>
      </c>
      <c r="L112" s="2">
        <v>43220</v>
      </c>
      <c r="M112" s="2">
        <f>DOCXX[[#This Row],[INV DOC DATE]]+30</f>
        <v>43250</v>
      </c>
      <c r="N112" s="2">
        <v>43220</v>
      </c>
      <c r="O112" s="7">
        <v>225</v>
      </c>
      <c r="P112" s="2">
        <v>43250</v>
      </c>
      <c r="Q112" s="7">
        <f>$E112-$O112</f>
        <v>0</v>
      </c>
      <c r="R112" s="7" t="str">
        <f ca="1">IF(TODAY() - DOCXX[INV DUE DATE]&lt;30, "Less than 30 days",IF(TODAY()-DOCXX[INV DUE DATE]&lt;60,"30-60 days","More than 60 days"))</f>
        <v>30-60 days</v>
      </c>
      <c r="S112" t="s">
        <v>818</v>
      </c>
      <c r="T112" s="43" t="s">
        <v>2229</v>
      </c>
      <c r="U112" s="7" t="s">
        <v>3699</v>
      </c>
    </row>
    <row r="113" spans="1:21" x14ac:dyDescent="0.3">
      <c r="A113" s="14" t="s">
        <v>294</v>
      </c>
      <c r="B113" t="s">
        <v>30</v>
      </c>
      <c r="C113" t="s">
        <v>13</v>
      </c>
      <c r="D113">
        <v>1</v>
      </c>
      <c r="E113" s="7">
        <v>225</v>
      </c>
      <c r="H113">
        <v>122967</v>
      </c>
      <c r="I113" t="s">
        <v>349</v>
      </c>
      <c r="J113" t="s">
        <v>370</v>
      </c>
      <c r="K113" t="s">
        <v>3</v>
      </c>
      <c r="L113" s="2">
        <v>43220</v>
      </c>
      <c r="M113" s="2">
        <f>DOCXX[[#This Row],[INV DOC DATE]]+30</f>
        <v>43250</v>
      </c>
      <c r="N113" s="2">
        <v>43220</v>
      </c>
      <c r="O113" s="7">
        <v>225</v>
      </c>
      <c r="P113" s="2">
        <v>43250</v>
      </c>
      <c r="Q113" s="7">
        <f>$E113-$O113</f>
        <v>0</v>
      </c>
      <c r="R113" s="7" t="str">
        <f ca="1">IF(TODAY() - DOCXX[INV DUE DATE]&lt;30, "Less than 30 days",IF(TODAY()-DOCXX[INV DUE DATE]&lt;60,"30-60 days","More than 60 days"))</f>
        <v>30-60 days</v>
      </c>
      <c r="S113" t="s">
        <v>818</v>
      </c>
      <c r="T113" s="43" t="s">
        <v>2229</v>
      </c>
      <c r="U113" s="7" t="s">
        <v>3699</v>
      </c>
    </row>
    <row r="114" spans="1:21" x14ac:dyDescent="0.3">
      <c r="A114" s="14" t="s">
        <v>294</v>
      </c>
      <c r="B114" t="s">
        <v>30</v>
      </c>
      <c r="C114" t="s">
        <v>14</v>
      </c>
      <c r="D114">
        <v>1</v>
      </c>
      <c r="E114" s="7">
        <v>225</v>
      </c>
      <c r="H114">
        <v>122967</v>
      </c>
      <c r="I114" t="s">
        <v>349</v>
      </c>
      <c r="J114" t="s">
        <v>371</v>
      </c>
      <c r="K114" t="s">
        <v>3</v>
      </c>
      <c r="L114" s="2">
        <v>43220</v>
      </c>
      <c r="M114" s="2">
        <f>DOCXX[[#This Row],[INV DOC DATE]]+30</f>
        <v>43250</v>
      </c>
      <c r="N114" s="2">
        <v>43220</v>
      </c>
      <c r="O114" s="7">
        <v>225</v>
      </c>
      <c r="P114" s="2">
        <v>43250</v>
      </c>
      <c r="Q114" s="7">
        <f>$E114-$O114</f>
        <v>0</v>
      </c>
      <c r="R114" s="7" t="str">
        <f ca="1">IF(TODAY() - DOCXX[INV DUE DATE]&lt;30, "Less than 30 days",IF(TODAY()-DOCXX[INV DUE DATE]&lt;60,"30-60 days","More than 60 days"))</f>
        <v>30-60 days</v>
      </c>
      <c r="S114" t="s">
        <v>818</v>
      </c>
      <c r="T114" s="43" t="s">
        <v>2229</v>
      </c>
      <c r="U114" s="7" t="s">
        <v>3699</v>
      </c>
    </row>
    <row r="115" spans="1:21" x14ac:dyDescent="0.3">
      <c r="A115" s="14" t="s">
        <v>294</v>
      </c>
      <c r="B115" t="s">
        <v>30</v>
      </c>
      <c r="C115" t="s">
        <v>15</v>
      </c>
      <c r="D115">
        <v>1</v>
      </c>
      <c r="E115" s="7">
        <v>172.5</v>
      </c>
      <c r="H115">
        <v>122967</v>
      </c>
      <c r="I115" t="s">
        <v>349</v>
      </c>
      <c r="J115" t="s">
        <v>372</v>
      </c>
      <c r="K115" t="s">
        <v>3</v>
      </c>
      <c r="L115" s="2">
        <v>43220</v>
      </c>
      <c r="M115" s="2">
        <f>DOCXX[[#This Row],[INV DOC DATE]]+30</f>
        <v>43250</v>
      </c>
      <c r="N115" s="2">
        <v>43220</v>
      </c>
      <c r="O115" s="7">
        <v>172.5</v>
      </c>
      <c r="P115" s="2">
        <v>43250</v>
      </c>
      <c r="Q115" s="7">
        <f>$E115-$O115</f>
        <v>0</v>
      </c>
      <c r="R115" s="7" t="str">
        <f ca="1">IF(TODAY() - DOCXX[INV DUE DATE]&lt;30, "Less than 30 days",IF(TODAY()-DOCXX[INV DUE DATE]&lt;60,"30-60 days","More than 60 days"))</f>
        <v>30-60 days</v>
      </c>
      <c r="S115" t="s">
        <v>818</v>
      </c>
      <c r="T115" s="43" t="s">
        <v>2229</v>
      </c>
      <c r="U115" s="7" t="s">
        <v>3699</v>
      </c>
    </row>
    <row r="116" spans="1:21" x14ac:dyDescent="0.3">
      <c r="A116" s="14" t="s">
        <v>294</v>
      </c>
      <c r="B116" t="s">
        <v>30</v>
      </c>
      <c r="C116" t="s">
        <v>16</v>
      </c>
      <c r="D116">
        <v>1</v>
      </c>
      <c r="E116" s="7">
        <v>172.5</v>
      </c>
      <c r="H116">
        <v>122967</v>
      </c>
      <c r="I116" t="s">
        <v>349</v>
      </c>
      <c r="J116" t="s">
        <v>373</v>
      </c>
      <c r="K116" t="s">
        <v>3</v>
      </c>
      <c r="L116" s="2">
        <v>43220</v>
      </c>
      <c r="M116" s="2">
        <f>DOCXX[[#This Row],[INV DOC DATE]]+30</f>
        <v>43250</v>
      </c>
      <c r="N116" s="2">
        <v>43220</v>
      </c>
      <c r="O116" s="7">
        <v>172.5</v>
      </c>
      <c r="P116" s="2">
        <v>43250</v>
      </c>
      <c r="Q116" s="7">
        <f>$E116-$O116</f>
        <v>0</v>
      </c>
      <c r="R116" s="7" t="str">
        <f ca="1">IF(TODAY() - DOCXX[INV DUE DATE]&lt;30, "Less than 30 days",IF(TODAY()-DOCXX[INV DUE DATE]&lt;60,"30-60 days","More than 60 days"))</f>
        <v>30-60 days</v>
      </c>
      <c r="S116" t="s">
        <v>818</v>
      </c>
      <c r="T116" s="43" t="s">
        <v>2229</v>
      </c>
      <c r="U116" s="7" t="s">
        <v>3699</v>
      </c>
    </row>
    <row r="117" spans="1:21" x14ac:dyDescent="0.3">
      <c r="A117" s="14" t="s">
        <v>294</v>
      </c>
      <c r="B117" t="s">
        <v>30</v>
      </c>
      <c r="C117" t="s">
        <v>17</v>
      </c>
      <c r="D117">
        <v>1</v>
      </c>
      <c r="E117" s="7">
        <v>172.5</v>
      </c>
      <c r="H117">
        <v>122967</v>
      </c>
      <c r="I117" t="s">
        <v>349</v>
      </c>
      <c r="J117" t="s">
        <v>374</v>
      </c>
      <c r="K117" t="s">
        <v>3</v>
      </c>
      <c r="L117" s="2">
        <v>43220</v>
      </c>
      <c r="M117" s="2">
        <f>DOCXX[[#This Row],[INV DOC DATE]]+30</f>
        <v>43250</v>
      </c>
      <c r="N117" s="2">
        <v>43220</v>
      </c>
      <c r="O117" s="7">
        <v>172.5</v>
      </c>
      <c r="P117" s="2">
        <v>43250</v>
      </c>
      <c r="Q117" s="7">
        <f>$E117-$O117</f>
        <v>0</v>
      </c>
      <c r="R117" s="7" t="str">
        <f ca="1">IF(TODAY() - DOCXX[INV DUE DATE]&lt;30, "Less than 30 days",IF(TODAY()-DOCXX[INV DUE DATE]&lt;60,"30-60 days","More than 60 days"))</f>
        <v>30-60 days</v>
      </c>
      <c r="S117" t="s">
        <v>818</v>
      </c>
      <c r="T117" s="43" t="s">
        <v>2229</v>
      </c>
      <c r="U117" s="7" t="s">
        <v>3699</v>
      </c>
    </row>
    <row r="118" spans="1:21" x14ac:dyDescent="0.3">
      <c r="A118" s="14" t="s">
        <v>294</v>
      </c>
      <c r="B118" t="s">
        <v>30</v>
      </c>
      <c r="C118" t="s">
        <v>18</v>
      </c>
      <c r="D118">
        <v>1</v>
      </c>
      <c r="E118" s="7">
        <v>172.5</v>
      </c>
      <c r="H118">
        <v>122967</v>
      </c>
      <c r="I118" t="s">
        <v>349</v>
      </c>
      <c r="J118" t="s">
        <v>375</v>
      </c>
      <c r="K118" t="s">
        <v>3</v>
      </c>
      <c r="L118" s="2">
        <v>43220</v>
      </c>
      <c r="M118" s="2">
        <f>DOCXX[[#This Row],[INV DOC DATE]]+30</f>
        <v>43250</v>
      </c>
      <c r="N118" s="2">
        <v>43220</v>
      </c>
      <c r="O118" s="7">
        <v>172.5</v>
      </c>
      <c r="P118" s="2">
        <v>43250</v>
      </c>
      <c r="Q118" s="7">
        <f>$E118-$O118</f>
        <v>0</v>
      </c>
      <c r="R118" s="7" t="str">
        <f ca="1">IF(TODAY() - DOCXX[INV DUE DATE]&lt;30, "Less than 30 days",IF(TODAY()-DOCXX[INV DUE DATE]&lt;60,"30-60 days","More than 60 days"))</f>
        <v>30-60 days</v>
      </c>
      <c r="S118" t="s">
        <v>818</v>
      </c>
      <c r="T118" s="43" t="s">
        <v>2229</v>
      </c>
      <c r="U118" s="7" t="s">
        <v>3699</v>
      </c>
    </row>
    <row r="119" spans="1:21" x14ac:dyDescent="0.3">
      <c r="A119" s="14" t="s">
        <v>294</v>
      </c>
      <c r="B119" t="s">
        <v>30</v>
      </c>
      <c r="C119" t="s">
        <v>19</v>
      </c>
      <c r="D119">
        <v>1</v>
      </c>
      <c r="E119" s="7">
        <v>172.5</v>
      </c>
      <c r="H119">
        <v>122967</v>
      </c>
      <c r="I119" t="s">
        <v>349</v>
      </c>
      <c r="J119" t="s">
        <v>376</v>
      </c>
      <c r="K119" t="s">
        <v>3</v>
      </c>
      <c r="L119" s="2">
        <v>43220</v>
      </c>
      <c r="M119" s="2">
        <f>DOCXX[[#This Row],[INV DOC DATE]]+30</f>
        <v>43250</v>
      </c>
      <c r="N119" s="2">
        <v>43220</v>
      </c>
      <c r="O119" s="7">
        <v>172.5</v>
      </c>
      <c r="P119" s="2">
        <v>43250</v>
      </c>
      <c r="Q119" s="7">
        <f>$E119-$O119</f>
        <v>0</v>
      </c>
      <c r="R119" s="7" t="str">
        <f ca="1">IF(TODAY() - DOCXX[INV DUE DATE]&lt;30, "Less than 30 days",IF(TODAY()-DOCXX[INV DUE DATE]&lt;60,"30-60 days","More than 60 days"))</f>
        <v>30-60 days</v>
      </c>
      <c r="S119" t="s">
        <v>818</v>
      </c>
      <c r="T119" s="43" t="s">
        <v>2229</v>
      </c>
      <c r="U119" s="7" t="s">
        <v>3699</v>
      </c>
    </row>
    <row r="120" spans="1:21" x14ac:dyDescent="0.3">
      <c r="A120" s="14" t="s">
        <v>294</v>
      </c>
      <c r="B120" t="s">
        <v>30</v>
      </c>
      <c r="C120" t="s">
        <v>20</v>
      </c>
      <c r="D120">
        <v>1</v>
      </c>
      <c r="E120" s="7">
        <v>172.5</v>
      </c>
      <c r="H120">
        <v>1273</v>
      </c>
      <c r="I120" t="s">
        <v>350</v>
      </c>
      <c r="J120" t="s">
        <v>377</v>
      </c>
      <c r="K120" t="s">
        <v>3</v>
      </c>
      <c r="L120" s="2">
        <v>43220</v>
      </c>
      <c r="M120" s="2">
        <f>DOCXX[[#This Row],[INV DOC DATE]]+30</f>
        <v>43250</v>
      </c>
      <c r="N120" s="2">
        <v>43220</v>
      </c>
      <c r="O120" s="7">
        <v>172.5</v>
      </c>
      <c r="P120" s="2">
        <v>43250</v>
      </c>
      <c r="Q120" s="7">
        <f>$E120-$O120</f>
        <v>0</v>
      </c>
      <c r="R120" s="7" t="str">
        <f ca="1">IF(TODAY() - DOCXX[INV DUE DATE]&lt;30, "Less than 30 days",IF(TODAY()-DOCXX[INV DUE DATE]&lt;60,"30-60 days","More than 60 days"))</f>
        <v>30-60 days</v>
      </c>
      <c r="S120" t="s">
        <v>818</v>
      </c>
      <c r="T120" s="43" t="s">
        <v>2229</v>
      </c>
      <c r="U120" s="7" t="s">
        <v>3699</v>
      </c>
    </row>
    <row r="121" spans="1:21" x14ac:dyDescent="0.3">
      <c r="A121" s="14" t="s">
        <v>294</v>
      </c>
      <c r="B121" t="s">
        <v>30</v>
      </c>
      <c r="C121" t="s">
        <v>21</v>
      </c>
      <c r="D121">
        <v>1</v>
      </c>
      <c r="E121" s="7">
        <v>172.5</v>
      </c>
      <c r="H121">
        <v>1273</v>
      </c>
      <c r="I121" t="s">
        <v>350</v>
      </c>
      <c r="J121" t="s">
        <v>378</v>
      </c>
      <c r="K121" t="s">
        <v>3</v>
      </c>
      <c r="L121" s="2">
        <v>43220</v>
      </c>
      <c r="M121" s="2">
        <f>DOCXX[[#This Row],[INV DOC DATE]]+30</f>
        <v>43250</v>
      </c>
      <c r="N121" s="2">
        <v>43220</v>
      </c>
      <c r="O121" s="7">
        <v>172.5</v>
      </c>
      <c r="P121" s="2">
        <v>43250</v>
      </c>
      <c r="Q121" s="7">
        <f>$E121-$O121</f>
        <v>0</v>
      </c>
      <c r="R121" s="7" t="str">
        <f ca="1">IF(TODAY() - DOCXX[INV DUE DATE]&lt;30, "Less than 30 days",IF(TODAY()-DOCXX[INV DUE DATE]&lt;60,"30-60 days","More than 60 days"))</f>
        <v>30-60 days</v>
      </c>
      <c r="S121" t="s">
        <v>818</v>
      </c>
      <c r="T121" s="43" t="s">
        <v>2229</v>
      </c>
      <c r="U121" s="7" t="s">
        <v>3699</v>
      </c>
    </row>
    <row r="122" spans="1:21" x14ac:dyDescent="0.3">
      <c r="A122" s="14" t="s">
        <v>294</v>
      </c>
      <c r="B122" t="s">
        <v>30</v>
      </c>
      <c r="C122" t="s">
        <v>22</v>
      </c>
      <c r="D122">
        <v>1</v>
      </c>
      <c r="E122" s="7">
        <v>225</v>
      </c>
      <c r="H122">
        <v>1273</v>
      </c>
      <c r="I122" t="s">
        <v>350</v>
      </c>
      <c r="J122" t="s">
        <v>379</v>
      </c>
      <c r="K122" t="s">
        <v>3</v>
      </c>
      <c r="L122" s="2">
        <v>43220</v>
      </c>
      <c r="M122" s="2">
        <f>DOCXX[[#This Row],[INV DOC DATE]]+30</f>
        <v>43250</v>
      </c>
      <c r="N122" s="2">
        <v>43220</v>
      </c>
      <c r="O122" s="7">
        <v>225</v>
      </c>
      <c r="P122" s="2">
        <v>43250</v>
      </c>
      <c r="Q122" s="7">
        <f>$E122-$O122</f>
        <v>0</v>
      </c>
      <c r="R122" s="7" t="str">
        <f ca="1">IF(TODAY() - DOCXX[INV DUE DATE]&lt;30, "Less than 30 days",IF(TODAY()-DOCXX[INV DUE DATE]&lt;60,"30-60 days","More than 60 days"))</f>
        <v>30-60 days</v>
      </c>
      <c r="S122" t="s">
        <v>818</v>
      </c>
      <c r="T122" s="43" t="s">
        <v>2229</v>
      </c>
      <c r="U122" s="7" t="s">
        <v>3699</v>
      </c>
    </row>
    <row r="123" spans="1:21" x14ac:dyDescent="0.3">
      <c r="A123" s="14" t="s">
        <v>294</v>
      </c>
      <c r="B123" t="s">
        <v>30</v>
      </c>
      <c r="C123" t="s">
        <v>23</v>
      </c>
      <c r="D123">
        <v>1</v>
      </c>
      <c r="E123" s="7">
        <v>225</v>
      </c>
      <c r="H123">
        <v>1273</v>
      </c>
      <c r="I123" t="s">
        <v>350</v>
      </c>
      <c r="J123" t="s">
        <v>380</v>
      </c>
      <c r="K123" t="s">
        <v>3</v>
      </c>
      <c r="L123" s="2">
        <v>43220</v>
      </c>
      <c r="M123" s="2">
        <f>DOCXX[[#This Row],[INV DOC DATE]]+30</f>
        <v>43250</v>
      </c>
      <c r="N123" s="2">
        <v>43220</v>
      </c>
      <c r="O123" s="7">
        <v>225</v>
      </c>
      <c r="P123" s="2">
        <v>43250</v>
      </c>
      <c r="Q123" s="7">
        <f>$E123-$O123</f>
        <v>0</v>
      </c>
      <c r="R123" s="7" t="str">
        <f ca="1">IF(TODAY() - DOCXX[INV DUE DATE]&lt;30, "Less than 30 days",IF(TODAY()-DOCXX[INV DUE DATE]&lt;60,"30-60 days","More than 60 days"))</f>
        <v>30-60 days</v>
      </c>
      <c r="S123" t="s">
        <v>818</v>
      </c>
      <c r="T123" s="43" t="s">
        <v>2229</v>
      </c>
      <c r="U123" s="7" t="s">
        <v>3699</v>
      </c>
    </row>
    <row r="124" spans="1:21" x14ac:dyDescent="0.3">
      <c r="A124" s="14" t="s">
        <v>294</v>
      </c>
      <c r="B124" t="s">
        <v>30</v>
      </c>
      <c r="C124" t="s">
        <v>24</v>
      </c>
      <c r="D124">
        <v>1</v>
      </c>
      <c r="E124" s="7">
        <v>225</v>
      </c>
      <c r="H124">
        <v>1273</v>
      </c>
      <c r="I124" t="s">
        <v>350</v>
      </c>
      <c r="J124" t="s">
        <v>381</v>
      </c>
      <c r="K124" t="s">
        <v>3</v>
      </c>
      <c r="L124" s="2">
        <v>43220</v>
      </c>
      <c r="M124" s="2">
        <f>DOCXX[[#This Row],[INV DOC DATE]]+30</f>
        <v>43250</v>
      </c>
      <c r="N124" s="2">
        <v>43220</v>
      </c>
      <c r="O124" s="7">
        <v>225</v>
      </c>
      <c r="P124" s="2">
        <v>43250</v>
      </c>
      <c r="Q124" s="7">
        <f>$E124-$O124</f>
        <v>0</v>
      </c>
      <c r="R124" s="7" t="str">
        <f ca="1">IF(TODAY() - DOCXX[INV DUE DATE]&lt;30, "Less than 30 days",IF(TODAY()-DOCXX[INV DUE DATE]&lt;60,"30-60 days","More than 60 days"))</f>
        <v>30-60 days</v>
      </c>
      <c r="S124" t="s">
        <v>818</v>
      </c>
      <c r="T124" s="43" t="s">
        <v>2229</v>
      </c>
      <c r="U124" s="7" t="s">
        <v>3699</v>
      </c>
    </row>
    <row r="125" spans="1:21" x14ac:dyDescent="0.3">
      <c r="A125" s="14" t="s">
        <v>294</v>
      </c>
      <c r="B125" t="s">
        <v>30</v>
      </c>
      <c r="C125" t="s">
        <v>25</v>
      </c>
      <c r="D125">
        <v>1</v>
      </c>
      <c r="E125" s="7">
        <v>225</v>
      </c>
      <c r="H125">
        <v>1273</v>
      </c>
      <c r="I125" t="s">
        <v>350</v>
      </c>
      <c r="J125" t="s">
        <v>382</v>
      </c>
      <c r="K125" t="s">
        <v>3</v>
      </c>
      <c r="L125" s="2">
        <v>43220</v>
      </c>
      <c r="M125" s="2">
        <f>DOCXX[[#This Row],[INV DOC DATE]]+30</f>
        <v>43250</v>
      </c>
      <c r="N125" s="2">
        <v>43220</v>
      </c>
      <c r="O125" s="7">
        <v>225</v>
      </c>
      <c r="P125" s="2">
        <v>43250</v>
      </c>
      <c r="Q125" s="7">
        <f>$E125-$O125</f>
        <v>0</v>
      </c>
      <c r="R125" s="7" t="str">
        <f ca="1">IF(TODAY() - DOCXX[INV DUE DATE]&lt;30, "Less than 30 days",IF(TODAY()-DOCXX[INV DUE DATE]&lt;60,"30-60 days","More than 60 days"))</f>
        <v>30-60 days</v>
      </c>
      <c r="S125" t="s">
        <v>818</v>
      </c>
      <c r="T125" s="43" t="s">
        <v>2229</v>
      </c>
      <c r="U125" s="7" t="s">
        <v>3699</v>
      </c>
    </row>
    <row r="126" spans="1:21" x14ac:dyDescent="0.3">
      <c r="A126" s="14" t="s">
        <v>294</v>
      </c>
      <c r="B126" t="s">
        <v>30</v>
      </c>
      <c r="C126" t="s">
        <v>26</v>
      </c>
      <c r="D126">
        <v>1</v>
      </c>
      <c r="E126" s="7">
        <v>225</v>
      </c>
      <c r="H126">
        <v>1273</v>
      </c>
      <c r="I126" t="s">
        <v>350</v>
      </c>
      <c r="J126" t="s">
        <v>383</v>
      </c>
      <c r="K126" t="s">
        <v>3</v>
      </c>
      <c r="L126" s="2">
        <v>43220</v>
      </c>
      <c r="M126" s="2">
        <f>DOCXX[[#This Row],[INV DOC DATE]]+30</f>
        <v>43250</v>
      </c>
      <c r="N126" s="2">
        <v>43220</v>
      </c>
      <c r="O126" s="7">
        <v>225</v>
      </c>
      <c r="P126" s="2">
        <v>43250</v>
      </c>
      <c r="Q126" s="7">
        <f>$E126-$O126</f>
        <v>0</v>
      </c>
      <c r="R126" s="7" t="str">
        <f ca="1">IF(TODAY() - DOCXX[INV DUE DATE]&lt;30, "Less than 30 days",IF(TODAY()-DOCXX[INV DUE DATE]&lt;60,"30-60 days","More than 60 days"))</f>
        <v>30-60 days</v>
      </c>
      <c r="S126" t="s">
        <v>818</v>
      </c>
      <c r="T126" s="43" t="s">
        <v>2229</v>
      </c>
      <c r="U126" s="7" t="s">
        <v>3699</v>
      </c>
    </row>
    <row r="127" spans="1:21" x14ac:dyDescent="0.3">
      <c r="A127" s="14" t="s">
        <v>294</v>
      </c>
      <c r="B127" t="s">
        <v>30</v>
      </c>
      <c r="C127" t="s">
        <v>27</v>
      </c>
      <c r="D127">
        <v>1</v>
      </c>
      <c r="E127" s="7">
        <v>225</v>
      </c>
      <c r="H127">
        <v>1273</v>
      </c>
      <c r="I127" t="s">
        <v>350</v>
      </c>
      <c r="J127" t="s">
        <v>384</v>
      </c>
      <c r="K127" t="s">
        <v>3</v>
      </c>
      <c r="L127" s="2">
        <v>43220</v>
      </c>
      <c r="M127" s="2">
        <f>DOCXX[[#This Row],[INV DOC DATE]]+30</f>
        <v>43250</v>
      </c>
      <c r="N127" s="2">
        <v>43220</v>
      </c>
      <c r="O127" s="7">
        <v>225</v>
      </c>
      <c r="P127" s="2">
        <v>43250</v>
      </c>
      <c r="Q127" s="7">
        <f>$E127-$O127</f>
        <v>0</v>
      </c>
      <c r="R127" s="7" t="str">
        <f ca="1">IF(TODAY() - DOCXX[INV DUE DATE]&lt;30, "Less than 30 days",IF(TODAY()-DOCXX[INV DUE DATE]&lt;60,"30-60 days","More than 60 days"))</f>
        <v>30-60 days</v>
      </c>
      <c r="S127" t="s">
        <v>818</v>
      </c>
      <c r="T127" s="43" t="s">
        <v>2229</v>
      </c>
      <c r="U127" s="7" t="s">
        <v>3699</v>
      </c>
    </row>
    <row r="128" spans="1:21" x14ac:dyDescent="0.3">
      <c r="A128" s="14" t="s">
        <v>294</v>
      </c>
      <c r="B128" t="s">
        <v>30</v>
      </c>
      <c r="C128" t="s">
        <v>28</v>
      </c>
      <c r="D128">
        <v>1</v>
      </c>
      <c r="E128" s="7">
        <v>225</v>
      </c>
      <c r="H128">
        <v>1273</v>
      </c>
      <c r="I128" t="s">
        <v>350</v>
      </c>
      <c r="J128" t="s">
        <v>385</v>
      </c>
      <c r="K128" t="s">
        <v>3</v>
      </c>
      <c r="L128" s="2">
        <v>43220</v>
      </c>
      <c r="M128" s="2">
        <f>DOCXX[[#This Row],[INV DOC DATE]]+30</f>
        <v>43250</v>
      </c>
      <c r="N128" s="2">
        <v>43220</v>
      </c>
      <c r="O128" s="7">
        <v>225</v>
      </c>
      <c r="P128" s="2">
        <v>43250</v>
      </c>
      <c r="Q128" s="7">
        <f>$E128-$O128</f>
        <v>0</v>
      </c>
      <c r="R128" s="7" t="str">
        <f ca="1">IF(TODAY() - DOCXX[INV DUE DATE]&lt;30, "Less than 30 days",IF(TODAY()-DOCXX[INV DUE DATE]&lt;60,"30-60 days","More than 60 days"))</f>
        <v>30-60 days</v>
      </c>
      <c r="S128" t="s">
        <v>818</v>
      </c>
      <c r="T128" s="43" t="s">
        <v>2229</v>
      </c>
      <c r="U128" s="7" t="s">
        <v>3699</v>
      </c>
    </row>
    <row r="129" spans="1:21" x14ac:dyDescent="0.3">
      <c r="A129" s="14" t="s">
        <v>294</v>
      </c>
      <c r="B129" t="s">
        <v>30</v>
      </c>
      <c r="C129" t="s">
        <v>37</v>
      </c>
      <c r="D129">
        <v>1</v>
      </c>
      <c r="E129" s="7">
        <v>225</v>
      </c>
      <c r="H129">
        <v>1273</v>
      </c>
      <c r="I129" t="s">
        <v>350</v>
      </c>
      <c r="J129" t="s">
        <v>386</v>
      </c>
      <c r="K129" t="s">
        <v>3</v>
      </c>
      <c r="L129" s="2">
        <v>43220</v>
      </c>
      <c r="M129" s="2">
        <f>DOCXX[[#This Row],[INV DOC DATE]]+30</f>
        <v>43250</v>
      </c>
      <c r="N129" s="2">
        <v>43220</v>
      </c>
      <c r="O129" s="7">
        <v>225</v>
      </c>
      <c r="P129" s="2">
        <v>43250</v>
      </c>
      <c r="Q129" s="7">
        <f>$E129-$O129</f>
        <v>0</v>
      </c>
      <c r="R129" s="7" t="str">
        <f ca="1">IF(TODAY() - DOCXX[INV DUE DATE]&lt;30, "Less than 30 days",IF(TODAY()-DOCXX[INV DUE DATE]&lt;60,"30-60 days","More than 60 days"))</f>
        <v>30-60 days</v>
      </c>
      <c r="S129" t="s">
        <v>818</v>
      </c>
      <c r="T129" s="43" t="s">
        <v>2229</v>
      </c>
      <c r="U129" s="7" t="s">
        <v>3699</v>
      </c>
    </row>
    <row r="130" spans="1:21" x14ac:dyDescent="0.3">
      <c r="A130" s="14" t="s">
        <v>294</v>
      </c>
      <c r="B130" t="s">
        <v>30</v>
      </c>
      <c r="C130" t="s">
        <v>38</v>
      </c>
      <c r="D130">
        <v>1</v>
      </c>
      <c r="E130" s="7">
        <v>225</v>
      </c>
      <c r="H130">
        <v>1273</v>
      </c>
      <c r="I130" t="s">
        <v>350</v>
      </c>
      <c r="J130" t="s">
        <v>387</v>
      </c>
      <c r="K130" t="s">
        <v>3</v>
      </c>
      <c r="L130" s="2">
        <v>43220</v>
      </c>
      <c r="M130" s="2">
        <f>DOCXX[[#This Row],[INV DOC DATE]]+30</f>
        <v>43250</v>
      </c>
      <c r="N130" s="2">
        <v>43220</v>
      </c>
      <c r="O130" s="7">
        <v>225</v>
      </c>
      <c r="P130" s="2">
        <v>43250</v>
      </c>
      <c r="Q130" s="7">
        <f>$E130-$O130</f>
        <v>0</v>
      </c>
      <c r="R130" s="7" t="str">
        <f ca="1">IF(TODAY() - DOCXX[INV DUE DATE]&lt;30, "Less than 30 days",IF(TODAY()-DOCXX[INV DUE DATE]&lt;60,"30-60 days","More than 60 days"))</f>
        <v>30-60 days</v>
      </c>
      <c r="S130" t="s">
        <v>818</v>
      </c>
      <c r="T130" s="43" t="s">
        <v>2229</v>
      </c>
      <c r="U130" s="7" t="s">
        <v>3699</v>
      </c>
    </row>
    <row r="131" spans="1:21" x14ac:dyDescent="0.3">
      <c r="A131" s="14" t="s">
        <v>294</v>
      </c>
      <c r="B131" t="s">
        <v>30</v>
      </c>
      <c r="C131" t="s">
        <v>39</v>
      </c>
      <c r="D131">
        <v>1</v>
      </c>
      <c r="E131" s="7">
        <v>225</v>
      </c>
      <c r="H131">
        <v>1273</v>
      </c>
      <c r="I131" t="s">
        <v>350</v>
      </c>
      <c r="J131" t="s">
        <v>388</v>
      </c>
      <c r="K131" t="s">
        <v>3</v>
      </c>
      <c r="L131" s="2">
        <v>43220</v>
      </c>
      <c r="M131" s="2">
        <f>DOCXX[[#This Row],[INV DOC DATE]]+30</f>
        <v>43250</v>
      </c>
      <c r="N131" s="2">
        <v>43220</v>
      </c>
      <c r="O131" s="7">
        <v>225</v>
      </c>
      <c r="P131" s="2">
        <v>43250</v>
      </c>
      <c r="Q131" s="7">
        <f>$E131-$O131</f>
        <v>0</v>
      </c>
      <c r="R131" s="7" t="str">
        <f ca="1">IF(TODAY() - DOCXX[INV DUE DATE]&lt;30, "Less than 30 days",IF(TODAY()-DOCXX[INV DUE DATE]&lt;60,"30-60 days","More than 60 days"))</f>
        <v>30-60 days</v>
      </c>
      <c r="S131" t="s">
        <v>818</v>
      </c>
      <c r="T131" s="43" t="s">
        <v>2229</v>
      </c>
      <c r="U131" s="7" t="s">
        <v>3699</v>
      </c>
    </row>
    <row r="132" spans="1:21" x14ac:dyDescent="0.3">
      <c r="A132" s="14" t="s">
        <v>294</v>
      </c>
      <c r="B132" t="s">
        <v>30</v>
      </c>
      <c r="C132" t="s">
        <v>40</v>
      </c>
      <c r="D132">
        <v>1</v>
      </c>
      <c r="E132" s="7">
        <v>225</v>
      </c>
      <c r="H132">
        <v>1273</v>
      </c>
      <c r="I132" t="s">
        <v>350</v>
      </c>
      <c r="J132" t="s">
        <v>389</v>
      </c>
      <c r="K132" t="s">
        <v>3</v>
      </c>
      <c r="L132" s="2">
        <v>43220</v>
      </c>
      <c r="M132" s="2">
        <f>DOCXX[[#This Row],[INV DOC DATE]]+30</f>
        <v>43250</v>
      </c>
      <c r="N132" s="2">
        <v>43220</v>
      </c>
      <c r="O132" s="7">
        <v>225</v>
      </c>
      <c r="P132" s="2">
        <v>43250</v>
      </c>
      <c r="Q132" s="7">
        <f>$E132-$O132</f>
        <v>0</v>
      </c>
      <c r="R132" s="7" t="str">
        <f ca="1">IF(TODAY() - DOCXX[INV DUE DATE]&lt;30, "Less than 30 days",IF(TODAY()-DOCXX[INV DUE DATE]&lt;60,"30-60 days","More than 60 days"))</f>
        <v>30-60 days</v>
      </c>
      <c r="S132" t="s">
        <v>818</v>
      </c>
      <c r="T132" s="43" t="s">
        <v>2229</v>
      </c>
      <c r="U132" s="7" t="s">
        <v>3699</v>
      </c>
    </row>
    <row r="133" spans="1:21" x14ac:dyDescent="0.3">
      <c r="A133" s="14" t="s">
        <v>294</v>
      </c>
      <c r="B133" t="s">
        <v>30</v>
      </c>
      <c r="C133" t="s">
        <v>41</v>
      </c>
      <c r="D133">
        <v>1</v>
      </c>
      <c r="E133" s="7">
        <v>225</v>
      </c>
      <c r="H133">
        <v>1273</v>
      </c>
      <c r="I133" t="s">
        <v>350</v>
      </c>
      <c r="J133" t="s">
        <v>390</v>
      </c>
      <c r="K133" t="s">
        <v>3</v>
      </c>
      <c r="L133" s="2">
        <v>43220</v>
      </c>
      <c r="M133" s="2">
        <f>DOCXX[[#This Row],[INV DOC DATE]]+30</f>
        <v>43250</v>
      </c>
      <c r="N133" s="2">
        <v>43220</v>
      </c>
      <c r="O133" s="7">
        <v>225</v>
      </c>
      <c r="P133" s="2">
        <v>43250</v>
      </c>
      <c r="Q133" s="7">
        <f>$E133-$O133</f>
        <v>0</v>
      </c>
      <c r="R133" s="7" t="str">
        <f ca="1">IF(TODAY() - DOCXX[INV DUE DATE]&lt;30, "Less than 30 days",IF(TODAY()-DOCXX[INV DUE DATE]&lt;60,"30-60 days","More than 60 days"))</f>
        <v>30-60 days</v>
      </c>
      <c r="S133" t="s">
        <v>818</v>
      </c>
      <c r="T133" s="43" t="s">
        <v>2229</v>
      </c>
      <c r="U133" s="7" t="s">
        <v>3699</v>
      </c>
    </row>
    <row r="134" spans="1:21" x14ac:dyDescent="0.3">
      <c r="A134" s="14" t="s">
        <v>294</v>
      </c>
      <c r="B134" t="s">
        <v>30</v>
      </c>
      <c r="C134" t="s">
        <v>42</v>
      </c>
      <c r="D134">
        <v>1</v>
      </c>
      <c r="E134" s="7">
        <v>225</v>
      </c>
      <c r="H134">
        <v>1273</v>
      </c>
      <c r="I134" t="s">
        <v>350</v>
      </c>
      <c r="J134" t="s">
        <v>391</v>
      </c>
      <c r="K134" t="s">
        <v>3</v>
      </c>
      <c r="L134" s="2">
        <v>43220</v>
      </c>
      <c r="M134" s="2">
        <f>DOCXX[[#This Row],[INV DOC DATE]]+30</f>
        <v>43250</v>
      </c>
      <c r="N134" s="2">
        <v>43220</v>
      </c>
      <c r="O134" s="7">
        <v>225</v>
      </c>
      <c r="P134" s="2">
        <v>43250</v>
      </c>
      <c r="Q134" s="7">
        <f>$E134-$O134</f>
        <v>0</v>
      </c>
      <c r="R134" s="7" t="str">
        <f ca="1">IF(TODAY() - DOCXX[INV DUE DATE]&lt;30, "Less than 30 days",IF(TODAY()-DOCXX[INV DUE DATE]&lt;60,"30-60 days","More than 60 days"))</f>
        <v>30-60 days</v>
      </c>
      <c r="S134" t="s">
        <v>818</v>
      </c>
      <c r="T134" s="43" t="s">
        <v>2229</v>
      </c>
      <c r="U134" s="7" t="s">
        <v>3699</v>
      </c>
    </row>
    <row r="135" spans="1:21" x14ac:dyDescent="0.3">
      <c r="A135" s="14" t="s">
        <v>294</v>
      </c>
      <c r="B135" t="s">
        <v>30</v>
      </c>
      <c r="C135" t="s">
        <v>43</v>
      </c>
      <c r="D135">
        <v>1</v>
      </c>
      <c r="E135" s="7">
        <v>225</v>
      </c>
      <c r="H135">
        <v>1273</v>
      </c>
      <c r="I135" t="s">
        <v>350</v>
      </c>
      <c r="J135" t="s">
        <v>392</v>
      </c>
      <c r="K135" t="s">
        <v>3</v>
      </c>
      <c r="L135" s="2">
        <v>43220</v>
      </c>
      <c r="M135" s="2">
        <f>DOCXX[[#This Row],[INV DOC DATE]]+30</f>
        <v>43250</v>
      </c>
      <c r="N135" s="2">
        <v>43220</v>
      </c>
      <c r="O135" s="7">
        <v>225</v>
      </c>
      <c r="P135" s="2">
        <v>43250</v>
      </c>
      <c r="Q135" s="7">
        <f>$E135-$O135</f>
        <v>0</v>
      </c>
      <c r="R135" s="7" t="str">
        <f ca="1">IF(TODAY() - DOCXX[INV DUE DATE]&lt;30, "Less than 30 days",IF(TODAY()-DOCXX[INV DUE DATE]&lt;60,"30-60 days","More than 60 days"))</f>
        <v>30-60 days</v>
      </c>
      <c r="S135" t="s">
        <v>818</v>
      </c>
      <c r="T135" s="43" t="s">
        <v>2229</v>
      </c>
      <c r="U135" s="7" t="s">
        <v>3699</v>
      </c>
    </row>
    <row r="136" spans="1:21" x14ac:dyDescent="0.3">
      <c r="A136" s="14" t="s">
        <v>294</v>
      </c>
      <c r="B136" t="s">
        <v>30</v>
      </c>
      <c r="C136" t="s">
        <v>44</v>
      </c>
      <c r="D136">
        <v>1</v>
      </c>
      <c r="E136" s="7">
        <v>225</v>
      </c>
      <c r="H136">
        <v>1273</v>
      </c>
      <c r="I136" t="s">
        <v>350</v>
      </c>
      <c r="J136" t="s">
        <v>393</v>
      </c>
      <c r="K136" t="s">
        <v>3</v>
      </c>
      <c r="L136" s="2">
        <v>43220</v>
      </c>
      <c r="M136" s="2">
        <f>DOCXX[[#This Row],[INV DOC DATE]]+30</f>
        <v>43250</v>
      </c>
      <c r="N136" s="2">
        <v>43220</v>
      </c>
      <c r="O136" s="7">
        <v>225</v>
      </c>
      <c r="P136" s="2">
        <v>43250</v>
      </c>
      <c r="Q136" s="7">
        <f>$E136-$O136</f>
        <v>0</v>
      </c>
      <c r="R136" s="7" t="str">
        <f ca="1">IF(TODAY() - DOCXX[INV DUE DATE]&lt;30, "Less than 30 days",IF(TODAY()-DOCXX[INV DUE DATE]&lt;60,"30-60 days","More than 60 days"))</f>
        <v>30-60 days</v>
      </c>
      <c r="S136" t="s">
        <v>818</v>
      </c>
      <c r="T136" s="43" t="s">
        <v>2229</v>
      </c>
      <c r="U136" s="7" t="s">
        <v>3699</v>
      </c>
    </row>
    <row r="137" spans="1:21" x14ac:dyDescent="0.3">
      <c r="A137" s="14" t="s">
        <v>294</v>
      </c>
      <c r="B137" t="s">
        <v>30</v>
      </c>
      <c r="C137" t="s">
        <v>45</v>
      </c>
      <c r="D137">
        <v>1</v>
      </c>
      <c r="E137" s="7">
        <v>225</v>
      </c>
      <c r="H137">
        <v>1273</v>
      </c>
      <c r="I137" t="s">
        <v>350</v>
      </c>
      <c r="J137" t="s">
        <v>394</v>
      </c>
      <c r="K137" t="s">
        <v>3</v>
      </c>
      <c r="L137" s="2">
        <v>43220</v>
      </c>
      <c r="M137" s="2">
        <f>DOCXX[[#This Row],[INV DOC DATE]]+30</f>
        <v>43250</v>
      </c>
      <c r="N137" s="2">
        <v>43220</v>
      </c>
      <c r="O137" s="7">
        <v>225</v>
      </c>
      <c r="P137" s="2">
        <v>43250</v>
      </c>
      <c r="Q137" s="7">
        <f>$E137-$O137</f>
        <v>0</v>
      </c>
      <c r="R137" s="7" t="str">
        <f ca="1">IF(TODAY() - DOCXX[INV DUE DATE]&lt;30, "Less than 30 days",IF(TODAY()-DOCXX[INV DUE DATE]&lt;60,"30-60 days","More than 60 days"))</f>
        <v>30-60 days</v>
      </c>
      <c r="S137" t="s">
        <v>818</v>
      </c>
      <c r="T137" s="43" t="s">
        <v>2229</v>
      </c>
      <c r="U137" s="7" t="s">
        <v>3699</v>
      </c>
    </row>
    <row r="138" spans="1:21" x14ac:dyDescent="0.3">
      <c r="A138" s="14" t="s">
        <v>294</v>
      </c>
      <c r="B138" t="s">
        <v>30</v>
      </c>
      <c r="C138" t="s">
        <v>46</v>
      </c>
      <c r="D138">
        <v>1</v>
      </c>
      <c r="E138" s="7">
        <v>225</v>
      </c>
      <c r="H138">
        <v>1273</v>
      </c>
      <c r="I138" t="s">
        <v>350</v>
      </c>
      <c r="J138" t="s">
        <v>395</v>
      </c>
      <c r="K138" t="s">
        <v>3</v>
      </c>
      <c r="L138" s="2">
        <v>43220</v>
      </c>
      <c r="M138" s="2">
        <f>DOCXX[[#This Row],[INV DOC DATE]]+30</f>
        <v>43250</v>
      </c>
      <c r="N138" s="2">
        <v>43220</v>
      </c>
      <c r="O138" s="7">
        <v>225</v>
      </c>
      <c r="P138" s="2">
        <v>43250</v>
      </c>
      <c r="Q138" s="7">
        <f>$E138-$O138</f>
        <v>0</v>
      </c>
      <c r="R138" s="7" t="str">
        <f ca="1">IF(TODAY() - DOCXX[INV DUE DATE]&lt;30, "Less than 30 days",IF(TODAY()-DOCXX[INV DUE DATE]&lt;60,"30-60 days","More than 60 days"))</f>
        <v>30-60 days</v>
      </c>
      <c r="S138" t="s">
        <v>818</v>
      </c>
      <c r="T138" s="43" t="s">
        <v>2229</v>
      </c>
      <c r="U138" s="7" t="s">
        <v>3699</v>
      </c>
    </row>
    <row r="139" spans="1:21" x14ac:dyDescent="0.3">
      <c r="A139" s="14" t="s">
        <v>294</v>
      </c>
      <c r="B139" t="s">
        <v>30</v>
      </c>
      <c r="C139" t="s">
        <v>47</v>
      </c>
      <c r="D139">
        <v>1</v>
      </c>
      <c r="E139" s="7">
        <v>225</v>
      </c>
      <c r="H139">
        <v>1273</v>
      </c>
      <c r="I139" t="s">
        <v>350</v>
      </c>
      <c r="J139" t="s">
        <v>396</v>
      </c>
      <c r="K139" t="s">
        <v>3</v>
      </c>
      <c r="L139" s="2">
        <v>43220</v>
      </c>
      <c r="M139" s="2">
        <f>DOCXX[[#This Row],[INV DOC DATE]]+30</f>
        <v>43250</v>
      </c>
      <c r="N139" s="2">
        <v>43220</v>
      </c>
      <c r="O139" s="7">
        <v>225</v>
      </c>
      <c r="P139" s="2">
        <v>43250</v>
      </c>
      <c r="Q139" s="7">
        <f>$E139-$O139</f>
        <v>0</v>
      </c>
      <c r="R139" s="7" t="str">
        <f ca="1">IF(TODAY() - DOCXX[INV DUE DATE]&lt;30, "Less than 30 days",IF(TODAY()-DOCXX[INV DUE DATE]&lt;60,"30-60 days","More than 60 days"))</f>
        <v>30-60 days</v>
      </c>
      <c r="S139" t="s">
        <v>818</v>
      </c>
      <c r="T139" s="43" t="s">
        <v>2229</v>
      </c>
      <c r="U139" s="7" t="s">
        <v>3699</v>
      </c>
    </row>
    <row r="140" spans="1:21" x14ac:dyDescent="0.3">
      <c r="A140" s="14" t="s">
        <v>294</v>
      </c>
      <c r="B140" t="s">
        <v>30</v>
      </c>
      <c r="C140" t="s">
        <v>295</v>
      </c>
      <c r="D140">
        <v>1</v>
      </c>
      <c r="E140" s="7">
        <v>172.5</v>
      </c>
      <c r="H140">
        <v>1273</v>
      </c>
      <c r="I140" t="s">
        <v>350</v>
      </c>
      <c r="J140" t="s">
        <v>397</v>
      </c>
      <c r="K140" t="s">
        <v>3</v>
      </c>
      <c r="L140" s="2">
        <v>43220</v>
      </c>
      <c r="M140" s="2">
        <f>DOCXX[[#This Row],[INV DOC DATE]]+30</f>
        <v>43250</v>
      </c>
      <c r="N140" s="2">
        <v>43220</v>
      </c>
      <c r="O140" s="7">
        <v>172.5</v>
      </c>
      <c r="P140" s="2">
        <v>43250</v>
      </c>
      <c r="Q140" s="7">
        <f>$E140-$O140</f>
        <v>0</v>
      </c>
      <c r="R140" s="7" t="str">
        <f ca="1">IF(TODAY() - DOCXX[INV DUE DATE]&lt;30, "Less than 30 days",IF(TODAY()-DOCXX[INV DUE DATE]&lt;60,"30-60 days","More than 60 days"))</f>
        <v>30-60 days</v>
      </c>
      <c r="S140" t="s">
        <v>818</v>
      </c>
      <c r="T140" s="43" t="s">
        <v>2229</v>
      </c>
      <c r="U140" s="7" t="s">
        <v>3699</v>
      </c>
    </row>
    <row r="141" spans="1:21" x14ac:dyDescent="0.3">
      <c r="A141" s="14" t="s">
        <v>294</v>
      </c>
      <c r="B141" t="s">
        <v>30</v>
      </c>
      <c r="C141" t="s">
        <v>48</v>
      </c>
      <c r="D141">
        <v>1</v>
      </c>
      <c r="E141" s="7">
        <v>172.5</v>
      </c>
      <c r="H141">
        <v>1273</v>
      </c>
      <c r="I141" t="s">
        <v>350</v>
      </c>
      <c r="J141" t="s">
        <v>398</v>
      </c>
      <c r="K141" t="s">
        <v>3</v>
      </c>
      <c r="L141" s="2">
        <v>43220</v>
      </c>
      <c r="M141" s="2">
        <f>DOCXX[[#This Row],[INV DOC DATE]]+30</f>
        <v>43250</v>
      </c>
      <c r="N141" s="2">
        <v>43220</v>
      </c>
      <c r="O141" s="7">
        <v>172.5</v>
      </c>
      <c r="P141" s="2">
        <v>43250</v>
      </c>
      <c r="Q141" s="7">
        <f>$E141-$O141</f>
        <v>0</v>
      </c>
      <c r="R141" s="7" t="str">
        <f ca="1">IF(TODAY() - DOCXX[INV DUE DATE]&lt;30, "Less than 30 days",IF(TODAY()-DOCXX[INV DUE DATE]&lt;60,"30-60 days","More than 60 days"))</f>
        <v>30-60 days</v>
      </c>
      <c r="S141" t="s">
        <v>818</v>
      </c>
      <c r="T141" s="43" t="s">
        <v>2229</v>
      </c>
      <c r="U141" s="7" t="s">
        <v>3699</v>
      </c>
    </row>
    <row r="142" spans="1:21" x14ac:dyDescent="0.3">
      <c r="A142" s="14" t="s">
        <v>294</v>
      </c>
      <c r="B142" t="s">
        <v>30</v>
      </c>
      <c r="C142" t="s">
        <v>49</v>
      </c>
      <c r="D142">
        <v>1</v>
      </c>
      <c r="E142" s="7">
        <v>172.5</v>
      </c>
      <c r="H142">
        <v>1273</v>
      </c>
      <c r="I142" t="s">
        <v>350</v>
      </c>
      <c r="J142" t="s">
        <v>399</v>
      </c>
      <c r="K142" t="s">
        <v>3</v>
      </c>
      <c r="L142" s="2">
        <v>43220</v>
      </c>
      <c r="M142" s="2">
        <f>DOCXX[[#This Row],[INV DOC DATE]]+30</f>
        <v>43250</v>
      </c>
      <c r="N142" s="2">
        <v>43220</v>
      </c>
      <c r="O142" s="7">
        <v>172.5</v>
      </c>
      <c r="P142" s="2">
        <v>43250</v>
      </c>
      <c r="Q142" s="7">
        <f>$E142-$O142</f>
        <v>0</v>
      </c>
      <c r="R142" s="7" t="str">
        <f ca="1">IF(TODAY() - DOCXX[INV DUE DATE]&lt;30, "Less than 30 days",IF(TODAY()-DOCXX[INV DUE DATE]&lt;60,"30-60 days","More than 60 days"))</f>
        <v>30-60 days</v>
      </c>
      <c r="S142" t="s">
        <v>818</v>
      </c>
      <c r="T142" s="43" t="s">
        <v>2229</v>
      </c>
      <c r="U142" s="7" t="s">
        <v>3699</v>
      </c>
    </row>
    <row r="143" spans="1:21" x14ac:dyDescent="0.3">
      <c r="A143" s="14" t="s">
        <v>294</v>
      </c>
      <c r="B143" t="s">
        <v>30</v>
      </c>
      <c r="C143" t="s">
        <v>50</v>
      </c>
      <c r="D143">
        <v>1</v>
      </c>
      <c r="E143" s="7">
        <v>172.5</v>
      </c>
      <c r="H143">
        <v>1274</v>
      </c>
      <c r="I143" t="s">
        <v>350</v>
      </c>
      <c r="J143" t="s">
        <v>400</v>
      </c>
      <c r="K143" t="s">
        <v>3</v>
      </c>
      <c r="L143" s="2">
        <v>43220</v>
      </c>
      <c r="M143" s="2">
        <f>DOCXX[[#This Row],[INV DOC DATE]]+30</f>
        <v>43250</v>
      </c>
      <c r="N143" s="2">
        <v>43220</v>
      </c>
      <c r="O143" s="7">
        <v>172.5</v>
      </c>
      <c r="P143" s="2">
        <v>43250</v>
      </c>
      <c r="Q143" s="7">
        <f>$E143-$O143</f>
        <v>0</v>
      </c>
      <c r="R143" s="7" t="str">
        <f ca="1">IF(TODAY() - DOCXX[INV DUE DATE]&lt;30, "Less than 30 days",IF(TODAY()-DOCXX[INV DUE DATE]&lt;60,"30-60 days","More than 60 days"))</f>
        <v>30-60 days</v>
      </c>
      <c r="S143" t="s">
        <v>818</v>
      </c>
      <c r="T143" s="43" t="s">
        <v>2229</v>
      </c>
      <c r="U143" s="7" t="s">
        <v>3699</v>
      </c>
    </row>
    <row r="144" spans="1:21" x14ac:dyDescent="0.3">
      <c r="A144" s="14" t="s">
        <v>294</v>
      </c>
      <c r="B144" t="s">
        <v>30</v>
      </c>
      <c r="C144" t="s">
        <v>51</v>
      </c>
      <c r="D144">
        <v>1</v>
      </c>
      <c r="E144" s="7">
        <v>172.5</v>
      </c>
      <c r="H144">
        <v>1274</v>
      </c>
      <c r="I144" t="s">
        <v>350</v>
      </c>
      <c r="J144" t="s">
        <v>401</v>
      </c>
      <c r="K144" t="s">
        <v>3</v>
      </c>
      <c r="L144" s="2">
        <v>43220</v>
      </c>
      <c r="M144" s="2">
        <f>DOCXX[[#This Row],[INV DOC DATE]]+30</f>
        <v>43250</v>
      </c>
      <c r="N144" s="2">
        <v>43220</v>
      </c>
      <c r="O144" s="7">
        <v>172.5</v>
      </c>
      <c r="P144" s="2">
        <v>43250</v>
      </c>
      <c r="Q144" s="7">
        <f>$E144-$O144</f>
        <v>0</v>
      </c>
      <c r="R144" s="7" t="str">
        <f ca="1">IF(TODAY() - DOCXX[INV DUE DATE]&lt;30, "Less than 30 days",IF(TODAY()-DOCXX[INV DUE DATE]&lt;60,"30-60 days","More than 60 days"))</f>
        <v>30-60 days</v>
      </c>
      <c r="S144" t="s">
        <v>818</v>
      </c>
      <c r="T144" s="43" t="s">
        <v>2229</v>
      </c>
      <c r="U144" s="7" t="s">
        <v>3699</v>
      </c>
    </row>
    <row r="145" spans="1:21" x14ac:dyDescent="0.3">
      <c r="A145" s="14" t="s">
        <v>294</v>
      </c>
      <c r="B145" t="s">
        <v>30</v>
      </c>
      <c r="C145" t="s">
        <v>52</v>
      </c>
      <c r="D145">
        <v>1</v>
      </c>
      <c r="E145" s="7">
        <v>172.5</v>
      </c>
      <c r="H145">
        <v>127678</v>
      </c>
      <c r="I145" t="s">
        <v>349</v>
      </c>
      <c r="J145" t="s">
        <v>402</v>
      </c>
      <c r="K145" t="s">
        <v>3</v>
      </c>
      <c r="L145" s="2">
        <v>43220</v>
      </c>
      <c r="M145" s="2">
        <f>DOCXX[[#This Row],[INV DOC DATE]]+30</f>
        <v>43250</v>
      </c>
      <c r="N145" s="2">
        <v>43220</v>
      </c>
      <c r="O145" s="7">
        <v>172.5</v>
      </c>
      <c r="P145" s="2">
        <v>43250</v>
      </c>
      <c r="Q145" s="7">
        <f>$E145-$O145</f>
        <v>0</v>
      </c>
      <c r="R145" s="7" t="str">
        <f ca="1">IF(TODAY() - DOCXX[INV DUE DATE]&lt;30, "Less than 30 days",IF(TODAY()-DOCXX[INV DUE DATE]&lt;60,"30-60 days","More than 60 days"))</f>
        <v>30-60 days</v>
      </c>
      <c r="S145" t="s">
        <v>818</v>
      </c>
      <c r="T145" s="43" t="s">
        <v>2229</v>
      </c>
      <c r="U145" s="7" t="s">
        <v>3699</v>
      </c>
    </row>
    <row r="146" spans="1:21" x14ac:dyDescent="0.3">
      <c r="A146" s="14" t="s">
        <v>294</v>
      </c>
      <c r="B146" t="s">
        <v>30</v>
      </c>
      <c r="C146" t="s">
        <v>53</v>
      </c>
      <c r="D146">
        <v>1</v>
      </c>
      <c r="E146" s="7">
        <v>172.5</v>
      </c>
      <c r="H146">
        <v>127678</v>
      </c>
      <c r="I146" t="s">
        <v>349</v>
      </c>
      <c r="J146" t="s">
        <v>403</v>
      </c>
      <c r="K146" t="s">
        <v>3</v>
      </c>
      <c r="L146" s="2">
        <v>43220</v>
      </c>
      <c r="M146" s="2">
        <f>DOCXX[[#This Row],[INV DOC DATE]]+30</f>
        <v>43250</v>
      </c>
      <c r="N146" s="2">
        <v>43220</v>
      </c>
      <c r="O146" s="7">
        <v>172.5</v>
      </c>
      <c r="P146" s="2">
        <v>43250</v>
      </c>
      <c r="Q146" s="7">
        <f>$E146-$O146</f>
        <v>0</v>
      </c>
      <c r="R146" s="7" t="str">
        <f ca="1">IF(TODAY() - DOCXX[INV DUE DATE]&lt;30, "Less than 30 days",IF(TODAY()-DOCXX[INV DUE DATE]&lt;60,"30-60 days","More than 60 days"))</f>
        <v>30-60 days</v>
      </c>
      <c r="S146" t="s">
        <v>818</v>
      </c>
      <c r="T146" s="43" t="s">
        <v>2229</v>
      </c>
      <c r="U146" s="7" t="s">
        <v>3699</v>
      </c>
    </row>
    <row r="147" spans="1:21" x14ac:dyDescent="0.3">
      <c r="A147" s="14" t="s">
        <v>294</v>
      </c>
      <c r="B147" t="s">
        <v>30</v>
      </c>
      <c r="C147" t="s">
        <v>54</v>
      </c>
      <c r="D147">
        <v>1</v>
      </c>
      <c r="E147" s="7">
        <v>172.5</v>
      </c>
      <c r="H147">
        <v>127678</v>
      </c>
      <c r="I147" t="s">
        <v>349</v>
      </c>
      <c r="J147" t="s">
        <v>404</v>
      </c>
      <c r="K147" t="s">
        <v>3</v>
      </c>
      <c r="L147" s="2">
        <v>43220</v>
      </c>
      <c r="M147" s="2">
        <f>DOCXX[[#This Row],[INV DOC DATE]]+30</f>
        <v>43250</v>
      </c>
      <c r="N147" s="2">
        <v>43220</v>
      </c>
      <c r="O147" s="7">
        <v>172.5</v>
      </c>
      <c r="P147" s="2">
        <v>43250</v>
      </c>
      <c r="Q147" s="7">
        <f>$E147-$O147</f>
        <v>0</v>
      </c>
      <c r="R147" s="7" t="str">
        <f ca="1">IF(TODAY() - DOCXX[INV DUE DATE]&lt;30, "Less than 30 days",IF(TODAY()-DOCXX[INV DUE DATE]&lt;60,"30-60 days","More than 60 days"))</f>
        <v>30-60 days</v>
      </c>
      <c r="S147" t="s">
        <v>818</v>
      </c>
      <c r="T147" s="43" t="s">
        <v>2229</v>
      </c>
      <c r="U147" s="7" t="s">
        <v>3699</v>
      </c>
    </row>
    <row r="148" spans="1:21" x14ac:dyDescent="0.3">
      <c r="A148" s="14" t="s">
        <v>294</v>
      </c>
      <c r="B148" t="s">
        <v>30</v>
      </c>
      <c r="C148" t="s">
        <v>55</v>
      </c>
      <c r="D148">
        <v>1</v>
      </c>
      <c r="E148" s="7">
        <v>172.5</v>
      </c>
      <c r="H148">
        <v>127678</v>
      </c>
      <c r="I148" t="s">
        <v>349</v>
      </c>
      <c r="J148" t="s">
        <v>405</v>
      </c>
      <c r="K148" t="s">
        <v>3</v>
      </c>
      <c r="L148" s="2">
        <v>43220</v>
      </c>
      <c r="M148" s="2">
        <f>DOCXX[[#This Row],[INV DOC DATE]]+30</f>
        <v>43250</v>
      </c>
      <c r="N148" s="2">
        <v>43220</v>
      </c>
      <c r="O148" s="7">
        <v>172.5</v>
      </c>
      <c r="P148" s="2">
        <v>43250</v>
      </c>
      <c r="Q148" s="7">
        <f>$E148-$O148</f>
        <v>0</v>
      </c>
      <c r="R148" s="7" t="str">
        <f ca="1">IF(TODAY() - DOCXX[INV DUE DATE]&lt;30, "Less than 30 days",IF(TODAY()-DOCXX[INV DUE DATE]&lt;60,"30-60 days","More than 60 days"))</f>
        <v>30-60 days</v>
      </c>
      <c r="S148" t="s">
        <v>818</v>
      </c>
      <c r="T148" s="43" t="s">
        <v>2229</v>
      </c>
      <c r="U148" s="7" t="s">
        <v>3699</v>
      </c>
    </row>
    <row r="149" spans="1:21" x14ac:dyDescent="0.3">
      <c r="A149" s="14" t="s">
        <v>294</v>
      </c>
      <c r="B149" t="s">
        <v>30</v>
      </c>
      <c r="C149" t="s">
        <v>56</v>
      </c>
      <c r="D149">
        <v>1</v>
      </c>
      <c r="E149" s="7">
        <v>172.5</v>
      </c>
      <c r="H149">
        <v>127678</v>
      </c>
      <c r="I149" t="s">
        <v>349</v>
      </c>
      <c r="J149" t="s">
        <v>406</v>
      </c>
      <c r="K149" t="s">
        <v>3</v>
      </c>
      <c r="L149" s="2">
        <v>43220</v>
      </c>
      <c r="M149" s="2">
        <f>DOCXX[[#This Row],[INV DOC DATE]]+30</f>
        <v>43250</v>
      </c>
      <c r="N149" s="2">
        <v>43220</v>
      </c>
      <c r="O149" s="7">
        <v>172.5</v>
      </c>
      <c r="P149" s="2">
        <v>43250</v>
      </c>
      <c r="Q149" s="7">
        <f>$E149-$O149</f>
        <v>0</v>
      </c>
      <c r="R149" s="7" t="str">
        <f ca="1">IF(TODAY() - DOCXX[INV DUE DATE]&lt;30, "Less than 30 days",IF(TODAY()-DOCXX[INV DUE DATE]&lt;60,"30-60 days","More than 60 days"))</f>
        <v>30-60 days</v>
      </c>
      <c r="S149" t="s">
        <v>818</v>
      </c>
      <c r="T149" s="43" t="s">
        <v>2229</v>
      </c>
      <c r="U149" s="7" t="s">
        <v>3699</v>
      </c>
    </row>
    <row r="150" spans="1:21" x14ac:dyDescent="0.3">
      <c r="A150" s="14" t="s">
        <v>294</v>
      </c>
      <c r="B150" t="s">
        <v>30</v>
      </c>
      <c r="C150" t="s">
        <v>57</v>
      </c>
      <c r="D150">
        <v>1</v>
      </c>
      <c r="E150" s="7">
        <v>172.5</v>
      </c>
      <c r="H150">
        <v>127678</v>
      </c>
      <c r="I150" t="s">
        <v>349</v>
      </c>
      <c r="J150" t="s">
        <v>407</v>
      </c>
      <c r="K150" t="s">
        <v>3</v>
      </c>
      <c r="L150" s="2">
        <v>43220</v>
      </c>
      <c r="M150" s="2">
        <f>DOCXX[[#This Row],[INV DOC DATE]]+30</f>
        <v>43250</v>
      </c>
      <c r="N150" s="2">
        <v>43220</v>
      </c>
      <c r="O150" s="7">
        <v>172.5</v>
      </c>
      <c r="P150" s="2">
        <v>43250</v>
      </c>
      <c r="Q150" s="7">
        <f>$E150-$O150</f>
        <v>0</v>
      </c>
      <c r="R150" s="7" t="str">
        <f ca="1">IF(TODAY() - DOCXX[INV DUE DATE]&lt;30, "Less than 30 days",IF(TODAY()-DOCXX[INV DUE DATE]&lt;60,"30-60 days","More than 60 days"))</f>
        <v>30-60 days</v>
      </c>
      <c r="S150" t="s">
        <v>818</v>
      </c>
      <c r="T150" s="43" t="s">
        <v>2229</v>
      </c>
      <c r="U150" s="7" t="s">
        <v>3699</v>
      </c>
    </row>
    <row r="151" spans="1:21" x14ac:dyDescent="0.3">
      <c r="A151" s="14" t="s">
        <v>294</v>
      </c>
      <c r="B151" t="s">
        <v>30</v>
      </c>
      <c r="C151" t="s">
        <v>58</v>
      </c>
      <c r="D151">
        <v>1</v>
      </c>
      <c r="E151" s="7">
        <v>172.5</v>
      </c>
      <c r="H151">
        <v>127678</v>
      </c>
      <c r="I151" t="s">
        <v>349</v>
      </c>
      <c r="J151" t="s">
        <v>408</v>
      </c>
      <c r="K151" t="s">
        <v>3</v>
      </c>
      <c r="L151" s="2">
        <v>43220</v>
      </c>
      <c r="M151" s="2">
        <f>DOCXX[[#This Row],[INV DOC DATE]]+30</f>
        <v>43250</v>
      </c>
      <c r="N151" s="2">
        <v>43220</v>
      </c>
      <c r="O151" s="7">
        <v>172.5</v>
      </c>
      <c r="P151" s="2">
        <v>43250</v>
      </c>
      <c r="Q151" s="7">
        <f>$E151-$O151</f>
        <v>0</v>
      </c>
      <c r="R151" s="7" t="str">
        <f ca="1">IF(TODAY() - DOCXX[INV DUE DATE]&lt;30, "Less than 30 days",IF(TODAY()-DOCXX[INV DUE DATE]&lt;60,"30-60 days","More than 60 days"))</f>
        <v>30-60 days</v>
      </c>
      <c r="S151" t="s">
        <v>818</v>
      </c>
      <c r="T151" s="43" t="s">
        <v>2229</v>
      </c>
      <c r="U151" s="7" t="s">
        <v>3699</v>
      </c>
    </row>
    <row r="152" spans="1:21" x14ac:dyDescent="0.3">
      <c r="A152" s="14" t="s">
        <v>294</v>
      </c>
      <c r="B152" t="s">
        <v>30</v>
      </c>
      <c r="C152" t="s">
        <v>59</v>
      </c>
      <c r="D152">
        <v>1</v>
      </c>
      <c r="E152" s="7">
        <v>225</v>
      </c>
      <c r="H152">
        <v>127678</v>
      </c>
      <c r="I152" t="s">
        <v>349</v>
      </c>
      <c r="J152" t="s">
        <v>409</v>
      </c>
      <c r="K152" t="s">
        <v>3</v>
      </c>
      <c r="L152" s="2">
        <v>43220</v>
      </c>
      <c r="M152" s="2">
        <f>DOCXX[[#This Row],[INV DOC DATE]]+30</f>
        <v>43250</v>
      </c>
      <c r="N152" s="2">
        <v>43220</v>
      </c>
      <c r="O152" s="7">
        <v>225</v>
      </c>
      <c r="P152" s="2">
        <v>43250</v>
      </c>
      <c r="Q152" s="7">
        <f>$E152-$O152</f>
        <v>0</v>
      </c>
      <c r="R152" s="7" t="str">
        <f ca="1">IF(TODAY() - DOCXX[INV DUE DATE]&lt;30, "Less than 30 days",IF(TODAY()-DOCXX[INV DUE DATE]&lt;60,"30-60 days","More than 60 days"))</f>
        <v>30-60 days</v>
      </c>
      <c r="S152" t="s">
        <v>818</v>
      </c>
      <c r="T152" s="43" t="s">
        <v>2229</v>
      </c>
      <c r="U152" s="7" t="s">
        <v>3699</v>
      </c>
    </row>
    <row r="153" spans="1:21" x14ac:dyDescent="0.3">
      <c r="A153" s="14" t="s">
        <v>294</v>
      </c>
      <c r="B153" t="s">
        <v>30</v>
      </c>
      <c r="C153" t="s">
        <v>60</v>
      </c>
      <c r="D153">
        <v>1</v>
      </c>
      <c r="E153" s="7">
        <v>225</v>
      </c>
      <c r="H153">
        <v>127678</v>
      </c>
      <c r="I153" t="s">
        <v>349</v>
      </c>
      <c r="J153" t="s">
        <v>410</v>
      </c>
      <c r="K153" t="s">
        <v>3</v>
      </c>
      <c r="L153" s="2">
        <v>43220</v>
      </c>
      <c r="M153" s="2">
        <f>DOCXX[[#This Row],[INV DOC DATE]]+30</f>
        <v>43250</v>
      </c>
      <c r="N153" s="2">
        <v>43220</v>
      </c>
      <c r="O153" s="7">
        <v>225</v>
      </c>
      <c r="P153" s="2">
        <v>43250</v>
      </c>
      <c r="Q153" s="7">
        <f>$E153-$O153</f>
        <v>0</v>
      </c>
      <c r="R153" s="7" t="str">
        <f ca="1">IF(TODAY() - DOCXX[INV DUE DATE]&lt;30, "Less than 30 days",IF(TODAY()-DOCXX[INV DUE DATE]&lt;60,"30-60 days","More than 60 days"))</f>
        <v>30-60 days</v>
      </c>
      <c r="S153" t="s">
        <v>818</v>
      </c>
      <c r="T153" s="43" t="s">
        <v>2229</v>
      </c>
      <c r="U153" s="7" t="s">
        <v>3699</v>
      </c>
    </row>
    <row r="154" spans="1:21" x14ac:dyDescent="0.3">
      <c r="A154" s="14" t="s">
        <v>294</v>
      </c>
      <c r="B154" t="s">
        <v>30</v>
      </c>
      <c r="C154" t="s">
        <v>61</v>
      </c>
      <c r="D154">
        <v>1</v>
      </c>
      <c r="E154" s="7">
        <v>225</v>
      </c>
      <c r="H154">
        <v>127678</v>
      </c>
      <c r="I154" t="s">
        <v>349</v>
      </c>
      <c r="J154" t="s">
        <v>411</v>
      </c>
      <c r="K154" t="s">
        <v>3</v>
      </c>
      <c r="L154" s="2">
        <v>43220</v>
      </c>
      <c r="M154" s="2">
        <f>DOCXX[[#This Row],[INV DOC DATE]]+30</f>
        <v>43250</v>
      </c>
      <c r="N154" s="2">
        <v>43220</v>
      </c>
      <c r="O154" s="7">
        <v>225</v>
      </c>
      <c r="P154" s="2">
        <v>43250</v>
      </c>
      <c r="Q154" s="7">
        <f>$E154-$O154</f>
        <v>0</v>
      </c>
      <c r="R154" s="7" t="str">
        <f ca="1">IF(TODAY() - DOCXX[INV DUE DATE]&lt;30, "Less than 30 days",IF(TODAY()-DOCXX[INV DUE DATE]&lt;60,"30-60 days","More than 60 days"))</f>
        <v>30-60 days</v>
      </c>
      <c r="S154" t="s">
        <v>818</v>
      </c>
      <c r="T154" s="43" t="s">
        <v>2229</v>
      </c>
      <c r="U154" s="7" t="s">
        <v>3699</v>
      </c>
    </row>
    <row r="155" spans="1:21" x14ac:dyDescent="0.3">
      <c r="A155" s="14" t="s">
        <v>294</v>
      </c>
      <c r="B155" t="s">
        <v>30</v>
      </c>
      <c r="C155" t="s">
        <v>62</v>
      </c>
      <c r="D155">
        <v>1</v>
      </c>
      <c r="E155" s="7">
        <v>225</v>
      </c>
      <c r="H155">
        <v>127678</v>
      </c>
      <c r="I155" t="s">
        <v>349</v>
      </c>
      <c r="J155" t="s">
        <v>412</v>
      </c>
      <c r="K155" t="s">
        <v>3</v>
      </c>
      <c r="L155" s="2">
        <v>43220</v>
      </c>
      <c r="M155" s="2">
        <f>DOCXX[[#This Row],[INV DOC DATE]]+30</f>
        <v>43250</v>
      </c>
      <c r="N155" s="2">
        <v>43220</v>
      </c>
      <c r="O155" s="7">
        <v>225</v>
      </c>
      <c r="P155" s="2">
        <v>43250</v>
      </c>
      <c r="Q155" s="7">
        <f>$E155-$O155</f>
        <v>0</v>
      </c>
      <c r="R155" s="7" t="str">
        <f ca="1">IF(TODAY() - DOCXX[INV DUE DATE]&lt;30, "Less than 30 days",IF(TODAY()-DOCXX[INV DUE DATE]&lt;60,"30-60 days","More than 60 days"))</f>
        <v>30-60 days</v>
      </c>
      <c r="S155" t="s">
        <v>818</v>
      </c>
      <c r="T155" s="43" t="s">
        <v>2229</v>
      </c>
      <c r="U155" s="7" t="s">
        <v>3699</v>
      </c>
    </row>
    <row r="156" spans="1:21" x14ac:dyDescent="0.3">
      <c r="A156" s="14" t="s">
        <v>294</v>
      </c>
      <c r="B156" t="s">
        <v>30</v>
      </c>
      <c r="C156" t="s">
        <v>63</v>
      </c>
      <c r="D156">
        <v>1</v>
      </c>
      <c r="E156" s="7">
        <v>225</v>
      </c>
      <c r="H156">
        <v>127678</v>
      </c>
      <c r="I156" t="s">
        <v>349</v>
      </c>
      <c r="J156" t="s">
        <v>413</v>
      </c>
      <c r="K156" t="s">
        <v>3</v>
      </c>
      <c r="L156" s="2">
        <v>43220</v>
      </c>
      <c r="M156" s="2">
        <f>DOCXX[[#This Row],[INV DOC DATE]]+30</f>
        <v>43250</v>
      </c>
      <c r="N156" s="2">
        <v>43220</v>
      </c>
      <c r="O156" s="7">
        <v>225</v>
      </c>
      <c r="P156" s="2">
        <v>43250</v>
      </c>
      <c r="Q156" s="7">
        <f>$E156-$O156</f>
        <v>0</v>
      </c>
      <c r="R156" s="7" t="str">
        <f ca="1">IF(TODAY() - DOCXX[INV DUE DATE]&lt;30, "Less than 30 days",IF(TODAY()-DOCXX[INV DUE DATE]&lt;60,"30-60 days","More than 60 days"))</f>
        <v>30-60 days</v>
      </c>
      <c r="S156" t="s">
        <v>818</v>
      </c>
      <c r="T156" s="43" t="s">
        <v>2229</v>
      </c>
      <c r="U156" s="7" t="s">
        <v>3699</v>
      </c>
    </row>
    <row r="157" spans="1:21" x14ac:dyDescent="0.3">
      <c r="A157" s="14" t="s">
        <v>294</v>
      </c>
      <c r="B157" t="s">
        <v>30</v>
      </c>
      <c r="C157" t="s">
        <v>64</v>
      </c>
      <c r="D157">
        <v>1</v>
      </c>
      <c r="E157" s="7">
        <v>225</v>
      </c>
      <c r="H157">
        <v>127678</v>
      </c>
      <c r="I157" t="s">
        <v>349</v>
      </c>
      <c r="J157" t="s">
        <v>414</v>
      </c>
      <c r="K157" t="s">
        <v>3</v>
      </c>
      <c r="L157" s="2">
        <v>43220</v>
      </c>
      <c r="M157" s="2">
        <f>DOCXX[[#This Row],[INV DOC DATE]]+30</f>
        <v>43250</v>
      </c>
      <c r="N157" s="2">
        <v>43220</v>
      </c>
      <c r="O157" s="7">
        <v>225</v>
      </c>
      <c r="P157" s="2">
        <v>43250</v>
      </c>
      <c r="Q157" s="7">
        <f>$E157-$O157</f>
        <v>0</v>
      </c>
      <c r="R157" s="7" t="str">
        <f ca="1">IF(TODAY() - DOCXX[INV DUE DATE]&lt;30, "Less than 30 days",IF(TODAY()-DOCXX[INV DUE DATE]&lt;60,"30-60 days","More than 60 days"))</f>
        <v>30-60 days</v>
      </c>
      <c r="S157" t="s">
        <v>818</v>
      </c>
      <c r="T157" s="43" t="s">
        <v>2229</v>
      </c>
      <c r="U157" s="7" t="s">
        <v>3699</v>
      </c>
    </row>
    <row r="158" spans="1:21" x14ac:dyDescent="0.3">
      <c r="A158" s="14" t="s">
        <v>294</v>
      </c>
      <c r="B158" t="s">
        <v>30</v>
      </c>
      <c r="C158" t="s">
        <v>65</v>
      </c>
      <c r="D158">
        <v>1</v>
      </c>
      <c r="E158" s="7">
        <v>225</v>
      </c>
      <c r="H158">
        <v>127678</v>
      </c>
      <c r="I158" t="s">
        <v>349</v>
      </c>
      <c r="J158" t="s">
        <v>415</v>
      </c>
      <c r="K158" t="s">
        <v>3</v>
      </c>
      <c r="L158" s="2">
        <v>43220</v>
      </c>
      <c r="M158" s="2">
        <f>DOCXX[[#This Row],[INV DOC DATE]]+30</f>
        <v>43250</v>
      </c>
      <c r="N158" s="2">
        <v>43220</v>
      </c>
      <c r="O158" s="7">
        <v>225</v>
      </c>
      <c r="P158" s="2">
        <v>43250</v>
      </c>
      <c r="Q158" s="7">
        <f>$E158-$O158</f>
        <v>0</v>
      </c>
      <c r="R158" s="7" t="str">
        <f ca="1">IF(TODAY() - DOCXX[INV DUE DATE]&lt;30, "Less than 30 days",IF(TODAY()-DOCXX[INV DUE DATE]&lt;60,"30-60 days","More than 60 days"))</f>
        <v>30-60 days</v>
      </c>
      <c r="S158" t="s">
        <v>818</v>
      </c>
      <c r="T158" s="43" t="s">
        <v>2229</v>
      </c>
      <c r="U158" s="7" t="s">
        <v>3699</v>
      </c>
    </row>
    <row r="159" spans="1:21" x14ac:dyDescent="0.3">
      <c r="A159" s="14" t="s">
        <v>294</v>
      </c>
      <c r="B159" t="s">
        <v>30</v>
      </c>
      <c r="C159" t="s">
        <v>66</v>
      </c>
      <c r="D159">
        <v>1</v>
      </c>
      <c r="E159" s="7">
        <v>225</v>
      </c>
      <c r="H159">
        <v>127678</v>
      </c>
      <c r="I159" t="s">
        <v>349</v>
      </c>
      <c r="J159" t="s">
        <v>416</v>
      </c>
      <c r="K159" t="s">
        <v>3</v>
      </c>
      <c r="L159" s="2">
        <v>43220</v>
      </c>
      <c r="M159" s="2">
        <f>DOCXX[[#This Row],[INV DOC DATE]]+30</f>
        <v>43250</v>
      </c>
      <c r="N159" s="2">
        <v>43220</v>
      </c>
      <c r="O159" s="7">
        <v>225</v>
      </c>
      <c r="P159" s="2">
        <v>43250</v>
      </c>
      <c r="Q159" s="7">
        <f>$E159-$O159</f>
        <v>0</v>
      </c>
      <c r="R159" s="7" t="str">
        <f ca="1">IF(TODAY() - DOCXX[INV DUE DATE]&lt;30, "Less than 30 days",IF(TODAY()-DOCXX[INV DUE DATE]&lt;60,"30-60 days","More than 60 days"))</f>
        <v>30-60 days</v>
      </c>
      <c r="S159" t="s">
        <v>818</v>
      </c>
      <c r="T159" s="43" t="s">
        <v>2229</v>
      </c>
      <c r="U159" s="7" t="s">
        <v>3699</v>
      </c>
    </row>
    <row r="160" spans="1:21" x14ac:dyDescent="0.3">
      <c r="A160" s="14" t="s">
        <v>294</v>
      </c>
      <c r="B160" t="s">
        <v>30</v>
      </c>
      <c r="C160" t="s">
        <v>67</v>
      </c>
      <c r="D160">
        <v>1</v>
      </c>
      <c r="E160" s="7">
        <v>225</v>
      </c>
      <c r="H160">
        <v>127678</v>
      </c>
      <c r="I160" t="s">
        <v>349</v>
      </c>
      <c r="J160" t="s">
        <v>417</v>
      </c>
      <c r="K160" t="s">
        <v>3</v>
      </c>
      <c r="L160" s="2">
        <v>43220</v>
      </c>
      <c r="M160" s="2">
        <f>DOCXX[[#This Row],[INV DOC DATE]]+30</f>
        <v>43250</v>
      </c>
      <c r="N160" s="2">
        <v>43220</v>
      </c>
      <c r="O160" s="7">
        <v>225</v>
      </c>
      <c r="P160" s="2">
        <v>43250</v>
      </c>
      <c r="Q160" s="7">
        <f>$E160-$O160</f>
        <v>0</v>
      </c>
      <c r="R160" s="7" t="str">
        <f ca="1">IF(TODAY() - DOCXX[INV DUE DATE]&lt;30, "Less than 30 days",IF(TODAY()-DOCXX[INV DUE DATE]&lt;60,"30-60 days","More than 60 days"))</f>
        <v>30-60 days</v>
      </c>
      <c r="S160" t="s">
        <v>818</v>
      </c>
      <c r="T160" s="43" t="s">
        <v>2229</v>
      </c>
      <c r="U160" s="7" t="s">
        <v>3699</v>
      </c>
    </row>
    <row r="161" spans="1:21" x14ac:dyDescent="0.3">
      <c r="A161" s="14" t="s">
        <v>294</v>
      </c>
      <c r="B161" t="s">
        <v>30</v>
      </c>
      <c r="C161" t="s">
        <v>68</v>
      </c>
      <c r="D161">
        <v>1</v>
      </c>
      <c r="E161" s="7">
        <v>225</v>
      </c>
      <c r="H161">
        <v>127678</v>
      </c>
      <c r="I161" t="s">
        <v>349</v>
      </c>
      <c r="J161" t="s">
        <v>418</v>
      </c>
      <c r="K161" t="s">
        <v>3</v>
      </c>
      <c r="L161" s="2">
        <v>43220</v>
      </c>
      <c r="M161" s="2">
        <f>DOCXX[[#This Row],[INV DOC DATE]]+30</f>
        <v>43250</v>
      </c>
      <c r="N161" s="2">
        <v>43220</v>
      </c>
      <c r="O161" s="7">
        <v>225</v>
      </c>
      <c r="P161" s="2">
        <v>43250</v>
      </c>
      <c r="Q161" s="7">
        <f>$E161-$O161</f>
        <v>0</v>
      </c>
      <c r="R161" s="7" t="str">
        <f ca="1">IF(TODAY() - DOCXX[INV DUE DATE]&lt;30, "Less than 30 days",IF(TODAY()-DOCXX[INV DUE DATE]&lt;60,"30-60 days","More than 60 days"))</f>
        <v>30-60 days</v>
      </c>
      <c r="S161" t="s">
        <v>818</v>
      </c>
      <c r="T161" s="43" t="s">
        <v>2229</v>
      </c>
      <c r="U161" s="7" t="s">
        <v>3699</v>
      </c>
    </row>
    <row r="162" spans="1:21" x14ac:dyDescent="0.3">
      <c r="A162" s="14" t="s">
        <v>294</v>
      </c>
      <c r="B162" t="s">
        <v>30</v>
      </c>
      <c r="C162" t="s">
        <v>69</v>
      </c>
      <c r="D162">
        <v>1</v>
      </c>
      <c r="E162" s="7">
        <v>172.5</v>
      </c>
      <c r="H162">
        <v>137491</v>
      </c>
      <c r="I162" t="s">
        <v>351</v>
      </c>
      <c r="J162" t="s">
        <v>419</v>
      </c>
      <c r="K162" t="s">
        <v>3</v>
      </c>
      <c r="L162" s="2">
        <v>43220</v>
      </c>
      <c r="M162" s="2">
        <f>DOCXX[[#This Row],[INV DOC DATE]]+30</f>
        <v>43250</v>
      </c>
      <c r="N162" s="2">
        <v>43220</v>
      </c>
      <c r="O162" s="7">
        <v>172.5</v>
      </c>
      <c r="P162" s="2">
        <v>43250</v>
      </c>
      <c r="Q162" s="7">
        <f>$E162-$O162</f>
        <v>0</v>
      </c>
      <c r="R162" s="7" t="str">
        <f ca="1">IF(TODAY() - DOCXX[INV DUE DATE]&lt;30, "Less than 30 days",IF(TODAY()-DOCXX[INV DUE DATE]&lt;60,"30-60 days","More than 60 days"))</f>
        <v>30-60 days</v>
      </c>
      <c r="S162" t="s">
        <v>818</v>
      </c>
      <c r="T162" s="43" t="s">
        <v>2229</v>
      </c>
      <c r="U162" s="7" t="s">
        <v>3699</v>
      </c>
    </row>
    <row r="163" spans="1:21" x14ac:dyDescent="0.3">
      <c r="A163" s="14" t="s">
        <v>294</v>
      </c>
      <c r="B163" t="s">
        <v>30</v>
      </c>
      <c r="C163" t="s">
        <v>70</v>
      </c>
      <c r="D163">
        <v>1</v>
      </c>
      <c r="E163" s="7">
        <v>172.5</v>
      </c>
      <c r="H163">
        <v>137491</v>
      </c>
      <c r="I163" t="s">
        <v>351</v>
      </c>
      <c r="J163" t="s">
        <v>420</v>
      </c>
      <c r="K163" t="s">
        <v>3</v>
      </c>
      <c r="L163" s="2">
        <v>43220</v>
      </c>
      <c r="M163" s="2">
        <f>DOCXX[[#This Row],[INV DOC DATE]]+30</f>
        <v>43250</v>
      </c>
      <c r="N163" s="2">
        <v>43220</v>
      </c>
      <c r="O163" s="7">
        <v>172.5</v>
      </c>
      <c r="P163" s="2">
        <v>43250</v>
      </c>
      <c r="Q163" s="7">
        <f>$E163-$O163</f>
        <v>0</v>
      </c>
      <c r="R163" s="7" t="str">
        <f ca="1">IF(TODAY() - DOCXX[INV DUE DATE]&lt;30, "Less than 30 days",IF(TODAY()-DOCXX[INV DUE DATE]&lt;60,"30-60 days","More than 60 days"))</f>
        <v>30-60 days</v>
      </c>
      <c r="S163" t="s">
        <v>818</v>
      </c>
      <c r="T163" s="43" t="s">
        <v>2229</v>
      </c>
      <c r="U163" s="7" t="s">
        <v>3699</v>
      </c>
    </row>
    <row r="164" spans="1:21" x14ac:dyDescent="0.3">
      <c r="A164" s="14" t="s">
        <v>294</v>
      </c>
      <c r="B164" t="s">
        <v>30</v>
      </c>
      <c r="C164" t="s">
        <v>71</v>
      </c>
      <c r="D164">
        <v>1</v>
      </c>
      <c r="E164" s="7">
        <v>172.5</v>
      </c>
      <c r="H164">
        <v>172324</v>
      </c>
      <c r="I164" t="s">
        <v>352</v>
      </c>
      <c r="J164" t="s">
        <v>421</v>
      </c>
      <c r="K164" t="s">
        <v>3</v>
      </c>
      <c r="L164" s="2">
        <v>43220</v>
      </c>
      <c r="M164" s="2">
        <f>DOCXX[[#This Row],[INV DOC DATE]]+30</f>
        <v>43250</v>
      </c>
      <c r="N164" s="2">
        <v>43220</v>
      </c>
      <c r="O164" s="7">
        <v>172.5</v>
      </c>
      <c r="P164" s="2">
        <v>43250</v>
      </c>
      <c r="Q164" s="7">
        <f>$E164-$O164</f>
        <v>0</v>
      </c>
      <c r="R164" s="7" t="str">
        <f ca="1">IF(TODAY() - DOCXX[INV DUE DATE]&lt;30, "Less than 30 days",IF(TODAY()-DOCXX[INV DUE DATE]&lt;60,"30-60 days","More than 60 days"))</f>
        <v>30-60 days</v>
      </c>
      <c r="S164" t="s">
        <v>818</v>
      </c>
      <c r="T164" s="43" t="s">
        <v>2229</v>
      </c>
      <c r="U164" s="7" t="s">
        <v>3699</v>
      </c>
    </row>
    <row r="165" spans="1:21" x14ac:dyDescent="0.3">
      <c r="A165" s="14" t="s">
        <v>294</v>
      </c>
      <c r="B165" t="s">
        <v>30</v>
      </c>
      <c r="C165" t="s">
        <v>72</v>
      </c>
      <c r="D165">
        <v>1</v>
      </c>
      <c r="E165" s="7">
        <v>172.5</v>
      </c>
      <c r="H165">
        <v>172324</v>
      </c>
      <c r="I165" t="s">
        <v>352</v>
      </c>
      <c r="J165" t="s">
        <v>422</v>
      </c>
      <c r="K165" t="s">
        <v>3</v>
      </c>
      <c r="L165" s="2">
        <v>43220</v>
      </c>
      <c r="M165" s="2">
        <f>DOCXX[[#This Row],[INV DOC DATE]]+30</f>
        <v>43250</v>
      </c>
      <c r="N165" s="2">
        <v>43220</v>
      </c>
      <c r="O165" s="7">
        <v>172.5</v>
      </c>
      <c r="P165" s="2">
        <v>43250</v>
      </c>
      <c r="Q165" s="7">
        <f>$E165-$O165</f>
        <v>0</v>
      </c>
      <c r="R165" s="7" t="str">
        <f ca="1">IF(TODAY() - DOCXX[INV DUE DATE]&lt;30, "Less than 30 days",IF(TODAY()-DOCXX[INV DUE DATE]&lt;60,"30-60 days","More than 60 days"))</f>
        <v>30-60 days</v>
      </c>
      <c r="S165" t="s">
        <v>818</v>
      </c>
      <c r="T165" s="43" t="s">
        <v>2229</v>
      </c>
      <c r="U165" s="7" t="s">
        <v>3699</v>
      </c>
    </row>
    <row r="166" spans="1:21" x14ac:dyDescent="0.3">
      <c r="A166" s="14" t="s">
        <v>294</v>
      </c>
      <c r="B166" t="s">
        <v>30</v>
      </c>
      <c r="C166" t="s">
        <v>73</v>
      </c>
      <c r="D166">
        <v>1</v>
      </c>
      <c r="E166" s="7">
        <v>172.5</v>
      </c>
      <c r="H166">
        <v>172324</v>
      </c>
      <c r="I166" t="s">
        <v>352</v>
      </c>
      <c r="J166" t="s">
        <v>423</v>
      </c>
      <c r="K166" t="s">
        <v>3</v>
      </c>
      <c r="L166" s="2">
        <v>43220</v>
      </c>
      <c r="M166" s="2">
        <f>DOCXX[[#This Row],[INV DOC DATE]]+30</f>
        <v>43250</v>
      </c>
      <c r="N166" s="2">
        <v>43220</v>
      </c>
      <c r="O166" s="7">
        <v>172.5</v>
      </c>
      <c r="P166" s="2">
        <v>43250</v>
      </c>
      <c r="Q166" s="7">
        <f>$E166-$O166</f>
        <v>0</v>
      </c>
      <c r="R166" s="7" t="str">
        <f ca="1">IF(TODAY() - DOCXX[INV DUE DATE]&lt;30, "Less than 30 days",IF(TODAY()-DOCXX[INV DUE DATE]&lt;60,"30-60 days","More than 60 days"))</f>
        <v>30-60 days</v>
      </c>
      <c r="S166" t="s">
        <v>818</v>
      </c>
      <c r="T166" s="43" t="s">
        <v>2229</v>
      </c>
      <c r="U166" s="7" t="s">
        <v>3699</v>
      </c>
    </row>
    <row r="167" spans="1:21" x14ac:dyDescent="0.3">
      <c r="A167" s="14" t="s">
        <v>294</v>
      </c>
      <c r="B167" t="s">
        <v>30</v>
      </c>
      <c r="C167" t="s">
        <v>74</v>
      </c>
      <c r="D167">
        <v>1</v>
      </c>
      <c r="E167" s="7">
        <v>172.5</v>
      </c>
      <c r="H167">
        <v>55601</v>
      </c>
      <c r="I167" t="s">
        <v>353</v>
      </c>
      <c r="J167" t="s">
        <v>424</v>
      </c>
      <c r="K167" t="s">
        <v>3</v>
      </c>
      <c r="L167" s="2">
        <v>43220</v>
      </c>
      <c r="M167" s="2">
        <f>DOCXX[[#This Row],[INV DOC DATE]]+30</f>
        <v>43250</v>
      </c>
      <c r="N167" s="2">
        <v>43220</v>
      </c>
      <c r="O167" s="7">
        <v>172.5</v>
      </c>
      <c r="P167" s="2">
        <v>43250</v>
      </c>
      <c r="Q167" s="7">
        <f>$E167-$O167</f>
        <v>0</v>
      </c>
      <c r="R167" s="7" t="str">
        <f ca="1">IF(TODAY() - DOCXX[INV DUE DATE]&lt;30, "Less than 30 days",IF(TODAY()-DOCXX[INV DUE DATE]&lt;60,"30-60 days","More than 60 days"))</f>
        <v>30-60 days</v>
      </c>
      <c r="S167" t="s">
        <v>818</v>
      </c>
      <c r="T167" s="43" t="s">
        <v>2229</v>
      </c>
      <c r="U167" s="7" t="s">
        <v>3699</v>
      </c>
    </row>
    <row r="168" spans="1:21" x14ac:dyDescent="0.3">
      <c r="A168" s="14" t="s">
        <v>294</v>
      </c>
      <c r="B168" t="s">
        <v>30</v>
      </c>
      <c r="C168" t="s">
        <v>75</v>
      </c>
      <c r="D168">
        <v>1</v>
      </c>
      <c r="E168" s="7">
        <v>172.5</v>
      </c>
      <c r="H168">
        <v>55601</v>
      </c>
      <c r="I168" t="s">
        <v>353</v>
      </c>
      <c r="J168" t="s">
        <v>425</v>
      </c>
      <c r="K168" t="s">
        <v>3</v>
      </c>
      <c r="L168" s="2">
        <v>43220</v>
      </c>
      <c r="M168" s="2">
        <f>DOCXX[[#This Row],[INV DOC DATE]]+30</f>
        <v>43250</v>
      </c>
      <c r="N168" s="2">
        <v>43220</v>
      </c>
      <c r="O168" s="7">
        <v>172.5</v>
      </c>
      <c r="P168" s="2">
        <v>43250</v>
      </c>
      <c r="Q168" s="7">
        <f>$E168-$O168</f>
        <v>0</v>
      </c>
      <c r="R168" s="7" t="str">
        <f ca="1">IF(TODAY() - DOCXX[INV DUE DATE]&lt;30, "Less than 30 days",IF(TODAY()-DOCXX[INV DUE DATE]&lt;60,"30-60 days","More than 60 days"))</f>
        <v>30-60 days</v>
      </c>
      <c r="S168" t="s">
        <v>818</v>
      </c>
      <c r="T168" s="43" t="s">
        <v>2229</v>
      </c>
      <c r="U168" s="7" t="s">
        <v>3699</v>
      </c>
    </row>
    <row r="169" spans="1:21" x14ac:dyDescent="0.3">
      <c r="A169" s="14" t="s">
        <v>294</v>
      </c>
      <c r="B169" t="s">
        <v>30</v>
      </c>
      <c r="C169" t="s">
        <v>76</v>
      </c>
      <c r="D169">
        <v>1</v>
      </c>
      <c r="E169" s="7">
        <v>172.5</v>
      </c>
      <c r="H169">
        <v>55601</v>
      </c>
      <c r="I169" t="s">
        <v>353</v>
      </c>
      <c r="J169" t="s">
        <v>426</v>
      </c>
      <c r="K169" t="s">
        <v>3</v>
      </c>
      <c r="L169" s="2">
        <v>43220</v>
      </c>
      <c r="M169" s="2">
        <f>DOCXX[[#This Row],[INV DOC DATE]]+30</f>
        <v>43250</v>
      </c>
      <c r="N169" s="2">
        <v>43220</v>
      </c>
      <c r="O169" s="7">
        <v>172.5</v>
      </c>
      <c r="P169" s="2">
        <v>43250</v>
      </c>
      <c r="Q169" s="7">
        <f>$E169-$O169</f>
        <v>0</v>
      </c>
      <c r="R169" s="7" t="str">
        <f ca="1">IF(TODAY() - DOCXX[INV DUE DATE]&lt;30, "Less than 30 days",IF(TODAY()-DOCXX[INV DUE DATE]&lt;60,"30-60 days","More than 60 days"))</f>
        <v>30-60 days</v>
      </c>
      <c r="S169" t="s">
        <v>818</v>
      </c>
      <c r="T169" s="43" t="s">
        <v>2229</v>
      </c>
      <c r="U169" s="7" t="s">
        <v>3699</v>
      </c>
    </row>
    <row r="170" spans="1:21" x14ac:dyDescent="0.3">
      <c r="A170" s="14" t="s">
        <v>294</v>
      </c>
      <c r="B170" t="s">
        <v>30</v>
      </c>
      <c r="C170" t="s">
        <v>77</v>
      </c>
      <c r="D170">
        <v>1</v>
      </c>
      <c r="E170" s="7">
        <v>225</v>
      </c>
      <c r="H170">
        <v>55601</v>
      </c>
      <c r="I170" t="s">
        <v>353</v>
      </c>
      <c r="J170" t="s">
        <v>427</v>
      </c>
      <c r="K170" t="s">
        <v>3</v>
      </c>
      <c r="L170" s="2">
        <v>43220</v>
      </c>
      <c r="M170" s="2">
        <f>DOCXX[[#This Row],[INV DOC DATE]]+30</f>
        <v>43250</v>
      </c>
      <c r="N170" s="2">
        <v>43220</v>
      </c>
      <c r="O170" s="7">
        <v>225</v>
      </c>
      <c r="P170" s="2">
        <v>43250</v>
      </c>
      <c r="Q170" s="7">
        <f>$E170-$O170</f>
        <v>0</v>
      </c>
      <c r="R170" s="7" t="str">
        <f ca="1">IF(TODAY() - DOCXX[INV DUE DATE]&lt;30, "Less than 30 days",IF(TODAY()-DOCXX[INV DUE DATE]&lt;60,"30-60 days","More than 60 days"))</f>
        <v>30-60 days</v>
      </c>
      <c r="S170" t="s">
        <v>818</v>
      </c>
      <c r="T170" s="43" t="s">
        <v>2229</v>
      </c>
      <c r="U170" s="7" t="s">
        <v>3699</v>
      </c>
    </row>
    <row r="171" spans="1:21" x14ac:dyDescent="0.3">
      <c r="A171" s="14" t="s">
        <v>294</v>
      </c>
      <c r="B171" t="s">
        <v>30</v>
      </c>
      <c r="C171" t="s">
        <v>78</v>
      </c>
      <c r="D171">
        <v>1</v>
      </c>
      <c r="E171" s="7">
        <v>225</v>
      </c>
      <c r="H171">
        <v>55601</v>
      </c>
      <c r="I171" t="s">
        <v>353</v>
      </c>
      <c r="J171" t="s">
        <v>428</v>
      </c>
      <c r="K171" t="s">
        <v>3</v>
      </c>
      <c r="L171" s="2">
        <v>43220</v>
      </c>
      <c r="M171" s="2">
        <f>DOCXX[[#This Row],[INV DOC DATE]]+30</f>
        <v>43250</v>
      </c>
      <c r="N171" s="2">
        <v>43220</v>
      </c>
      <c r="O171" s="7">
        <v>225</v>
      </c>
      <c r="P171" s="2">
        <v>43250</v>
      </c>
      <c r="Q171" s="7">
        <f>$E171-$O171</f>
        <v>0</v>
      </c>
      <c r="R171" s="7" t="str">
        <f ca="1">IF(TODAY() - DOCXX[INV DUE DATE]&lt;30, "Less than 30 days",IF(TODAY()-DOCXX[INV DUE DATE]&lt;60,"30-60 days","More than 60 days"))</f>
        <v>30-60 days</v>
      </c>
      <c r="S171" t="s">
        <v>818</v>
      </c>
      <c r="T171" s="43" t="s">
        <v>2229</v>
      </c>
      <c r="U171" s="7" t="s">
        <v>3699</v>
      </c>
    </row>
    <row r="172" spans="1:21" x14ac:dyDescent="0.3">
      <c r="A172" s="14" t="s">
        <v>294</v>
      </c>
      <c r="B172" t="s">
        <v>30</v>
      </c>
      <c r="C172" t="s">
        <v>79</v>
      </c>
      <c r="D172">
        <v>1</v>
      </c>
      <c r="E172" s="7">
        <v>225</v>
      </c>
      <c r="H172">
        <v>55601</v>
      </c>
      <c r="I172" t="s">
        <v>353</v>
      </c>
      <c r="J172" t="s">
        <v>429</v>
      </c>
      <c r="K172" t="s">
        <v>3</v>
      </c>
      <c r="L172" s="2">
        <v>43220</v>
      </c>
      <c r="M172" s="2">
        <f>DOCXX[[#This Row],[INV DOC DATE]]+30</f>
        <v>43250</v>
      </c>
      <c r="N172" s="2">
        <v>43220</v>
      </c>
      <c r="O172" s="7">
        <v>225</v>
      </c>
      <c r="P172" s="2">
        <v>43250</v>
      </c>
      <c r="Q172" s="7">
        <f>$E172-$O172</f>
        <v>0</v>
      </c>
      <c r="R172" s="7" t="str">
        <f ca="1">IF(TODAY() - DOCXX[INV DUE DATE]&lt;30, "Less than 30 days",IF(TODAY()-DOCXX[INV DUE DATE]&lt;60,"30-60 days","More than 60 days"))</f>
        <v>30-60 days</v>
      </c>
      <c r="S172" t="s">
        <v>818</v>
      </c>
      <c r="T172" s="43" t="s">
        <v>2229</v>
      </c>
      <c r="U172" s="7" t="s">
        <v>3699</v>
      </c>
    </row>
    <row r="173" spans="1:21" x14ac:dyDescent="0.3">
      <c r="A173" s="14" t="s">
        <v>294</v>
      </c>
      <c r="B173" t="s">
        <v>30</v>
      </c>
      <c r="C173" t="s">
        <v>80</v>
      </c>
      <c r="D173">
        <v>1</v>
      </c>
      <c r="E173" s="7">
        <v>225</v>
      </c>
      <c r="H173">
        <v>55601</v>
      </c>
      <c r="I173" t="s">
        <v>353</v>
      </c>
      <c r="J173" t="s">
        <v>430</v>
      </c>
      <c r="K173" t="s">
        <v>3</v>
      </c>
      <c r="L173" s="2">
        <v>43220</v>
      </c>
      <c r="M173" s="2">
        <f>DOCXX[[#This Row],[INV DOC DATE]]+30</f>
        <v>43250</v>
      </c>
      <c r="N173" s="2">
        <v>43220</v>
      </c>
      <c r="O173" s="7">
        <v>225</v>
      </c>
      <c r="P173" s="2">
        <v>43250</v>
      </c>
      <c r="Q173" s="7">
        <f>$E173-$O173</f>
        <v>0</v>
      </c>
      <c r="R173" s="7" t="str">
        <f ca="1">IF(TODAY() - DOCXX[INV DUE DATE]&lt;30, "Less than 30 days",IF(TODAY()-DOCXX[INV DUE DATE]&lt;60,"30-60 days","More than 60 days"))</f>
        <v>30-60 days</v>
      </c>
      <c r="S173" t="s">
        <v>818</v>
      </c>
      <c r="T173" s="43" t="s">
        <v>2229</v>
      </c>
      <c r="U173" s="7" t="s">
        <v>3699</v>
      </c>
    </row>
    <row r="174" spans="1:21" x14ac:dyDescent="0.3">
      <c r="A174" s="14" t="s">
        <v>294</v>
      </c>
      <c r="B174" t="s">
        <v>30</v>
      </c>
      <c r="C174" t="s">
        <v>81</v>
      </c>
      <c r="D174">
        <v>1</v>
      </c>
      <c r="E174" s="7">
        <v>225</v>
      </c>
      <c r="H174">
        <v>55601</v>
      </c>
      <c r="I174" t="s">
        <v>353</v>
      </c>
      <c r="J174" t="s">
        <v>431</v>
      </c>
      <c r="K174" t="s">
        <v>3</v>
      </c>
      <c r="L174" s="2">
        <v>43220</v>
      </c>
      <c r="M174" s="2">
        <f>DOCXX[[#This Row],[INV DOC DATE]]+30</f>
        <v>43250</v>
      </c>
      <c r="N174" s="2">
        <v>43220</v>
      </c>
      <c r="O174" s="7">
        <v>225</v>
      </c>
      <c r="P174" s="2">
        <v>43250</v>
      </c>
      <c r="Q174" s="7">
        <f>$E174-$O174</f>
        <v>0</v>
      </c>
      <c r="R174" s="7" t="str">
        <f ca="1">IF(TODAY() - DOCXX[INV DUE DATE]&lt;30, "Less than 30 days",IF(TODAY()-DOCXX[INV DUE DATE]&lt;60,"30-60 days","More than 60 days"))</f>
        <v>30-60 days</v>
      </c>
      <c r="S174" t="s">
        <v>818</v>
      </c>
      <c r="T174" s="43" t="s">
        <v>2229</v>
      </c>
      <c r="U174" s="7" t="s">
        <v>3699</v>
      </c>
    </row>
    <row r="175" spans="1:21" x14ac:dyDescent="0.3">
      <c r="A175" s="14" t="s">
        <v>294</v>
      </c>
      <c r="B175" t="s">
        <v>30</v>
      </c>
      <c r="C175" t="s">
        <v>82</v>
      </c>
      <c r="D175">
        <v>1</v>
      </c>
      <c r="E175" s="7">
        <v>225</v>
      </c>
      <c r="H175">
        <v>55601</v>
      </c>
      <c r="I175" t="s">
        <v>353</v>
      </c>
      <c r="J175" t="s">
        <v>432</v>
      </c>
      <c r="K175" t="s">
        <v>3</v>
      </c>
      <c r="L175" s="2">
        <v>43220</v>
      </c>
      <c r="M175" s="2">
        <f>DOCXX[[#This Row],[INV DOC DATE]]+30</f>
        <v>43250</v>
      </c>
      <c r="N175" s="2">
        <v>43220</v>
      </c>
      <c r="O175" s="7">
        <v>225</v>
      </c>
      <c r="P175" s="2">
        <v>43250</v>
      </c>
      <c r="Q175" s="7">
        <f>$E175-$O175</f>
        <v>0</v>
      </c>
      <c r="R175" s="7" t="str">
        <f ca="1">IF(TODAY() - DOCXX[INV DUE DATE]&lt;30, "Less than 30 days",IF(TODAY()-DOCXX[INV DUE DATE]&lt;60,"30-60 days","More than 60 days"))</f>
        <v>30-60 days</v>
      </c>
      <c r="S175" t="s">
        <v>818</v>
      </c>
      <c r="T175" s="43" t="s">
        <v>2229</v>
      </c>
      <c r="U175" s="7" t="s">
        <v>3699</v>
      </c>
    </row>
    <row r="176" spans="1:21" x14ac:dyDescent="0.3">
      <c r="A176" s="14" t="s">
        <v>294</v>
      </c>
      <c r="B176" t="s">
        <v>30</v>
      </c>
      <c r="C176" t="s">
        <v>83</v>
      </c>
      <c r="D176">
        <v>1</v>
      </c>
      <c r="E176" s="7">
        <v>225</v>
      </c>
      <c r="H176">
        <v>55601</v>
      </c>
      <c r="I176" t="s">
        <v>353</v>
      </c>
      <c r="J176" t="s">
        <v>433</v>
      </c>
      <c r="K176" t="s">
        <v>3</v>
      </c>
      <c r="L176" s="2">
        <v>43220</v>
      </c>
      <c r="M176" s="2">
        <f>DOCXX[[#This Row],[INV DOC DATE]]+30</f>
        <v>43250</v>
      </c>
      <c r="N176" s="2">
        <v>43220</v>
      </c>
      <c r="O176" s="7">
        <v>225</v>
      </c>
      <c r="P176" s="2">
        <v>43250</v>
      </c>
      <c r="Q176" s="7">
        <f>$E176-$O176</f>
        <v>0</v>
      </c>
      <c r="R176" s="7" t="str">
        <f ca="1">IF(TODAY() - DOCXX[INV DUE DATE]&lt;30, "Less than 30 days",IF(TODAY()-DOCXX[INV DUE DATE]&lt;60,"30-60 days","More than 60 days"))</f>
        <v>30-60 days</v>
      </c>
      <c r="S176" t="s">
        <v>818</v>
      </c>
      <c r="T176" s="43" t="s">
        <v>2229</v>
      </c>
      <c r="U176" s="7" t="s">
        <v>3699</v>
      </c>
    </row>
    <row r="177" spans="1:21" x14ac:dyDescent="0.3">
      <c r="A177" s="14" t="s">
        <v>294</v>
      </c>
      <c r="B177" t="s">
        <v>30</v>
      </c>
      <c r="C177" t="s">
        <v>84</v>
      </c>
      <c r="D177">
        <v>1</v>
      </c>
      <c r="E177" s="7">
        <v>225</v>
      </c>
      <c r="H177">
        <v>55601</v>
      </c>
      <c r="I177" t="s">
        <v>353</v>
      </c>
      <c r="J177" t="s">
        <v>434</v>
      </c>
      <c r="K177" t="s">
        <v>3</v>
      </c>
      <c r="L177" s="2">
        <v>43220</v>
      </c>
      <c r="M177" s="2">
        <f>DOCXX[[#This Row],[INV DOC DATE]]+30</f>
        <v>43250</v>
      </c>
      <c r="N177" s="2">
        <v>43220</v>
      </c>
      <c r="O177" s="7">
        <v>225</v>
      </c>
      <c r="P177" s="2">
        <v>43250</v>
      </c>
      <c r="Q177" s="7">
        <f>$E177-$O177</f>
        <v>0</v>
      </c>
      <c r="R177" s="7" t="str">
        <f ca="1">IF(TODAY() - DOCXX[INV DUE DATE]&lt;30, "Less than 30 days",IF(TODAY()-DOCXX[INV DUE DATE]&lt;60,"30-60 days","More than 60 days"))</f>
        <v>30-60 days</v>
      </c>
      <c r="S177" t="s">
        <v>818</v>
      </c>
      <c r="T177" s="43" t="s">
        <v>2229</v>
      </c>
      <c r="U177" s="7" t="s">
        <v>3699</v>
      </c>
    </row>
    <row r="178" spans="1:21" x14ac:dyDescent="0.3">
      <c r="A178" s="14" t="s">
        <v>294</v>
      </c>
      <c r="B178" t="s">
        <v>30</v>
      </c>
      <c r="C178" t="s">
        <v>85</v>
      </c>
      <c r="D178">
        <v>1</v>
      </c>
      <c r="E178" s="7">
        <v>225</v>
      </c>
      <c r="H178">
        <v>55601</v>
      </c>
      <c r="I178" t="s">
        <v>353</v>
      </c>
      <c r="J178" t="s">
        <v>435</v>
      </c>
      <c r="K178" t="s">
        <v>3</v>
      </c>
      <c r="L178" s="2">
        <v>43220</v>
      </c>
      <c r="M178" s="2">
        <f>DOCXX[[#This Row],[INV DOC DATE]]+30</f>
        <v>43250</v>
      </c>
      <c r="N178" s="2">
        <v>43220</v>
      </c>
      <c r="O178" s="7">
        <v>225</v>
      </c>
      <c r="P178" s="2">
        <v>43250</v>
      </c>
      <c r="Q178" s="7">
        <f>$E178-$O178</f>
        <v>0</v>
      </c>
      <c r="R178" s="7" t="str">
        <f ca="1">IF(TODAY() - DOCXX[INV DUE DATE]&lt;30, "Less than 30 days",IF(TODAY()-DOCXX[INV DUE DATE]&lt;60,"30-60 days","More than 60 days"))</f>
        <v>30-60 days</v>
      </c>
      <c r="S178" t="s">
        <v>818</v>
      </c>
      <c r="T178" s="43" t="s">
        <v>2229</v>
      </c>
      <c r="U178" s="7" t="s">
        <v>3699</v>
      </c>
    </row>
    <row r="179" spans="1:21" x14ac:dyDescent="0.3">
      <c r="A179" s="14" t="s">
        <v>294</v>
      </c>
      <c r="B179" t="s">
        <v>30</v>
      </c>
      <c r="C179" t="s">
        <v>86</v>
      </c>
      <c r="D179">
        <v>1</v>
      </c>
      <c r="E179" s="7">
        <v>225</v>
      </c>
      <c r="H179">
        <v>55601</v>
      </c>
      <c r="I179" t="s">
        <v>353</v>
      </c>
      <c r="J179" t="s">
        <v>436</v>
      </c>
      <c r="K179" t="s">
        <v>3</v>
      </c>
      <c r="L179" s="2">
        <v>43220</v>
      </c>
      <c r="M179" s="2">
        <f>DOCXX[[#This Row],[INV DOC DATE]]+30</f>
        <v>43250</v>
      </c>
      <c r="N179" s="2">
        <v>43220</v>
      </c>
      <c r="O179" s="7">
        <v>225</v>
      </c>
      <c r="P179" s="2">
        <v>43250</v>
      </c>
      <c r="Q179" s="7">
        <f>$E179-$O179</f>
        <v>0</v>
      </c>
      <c r="R179" s="7" t="str">
        <f ca="1">IF(TODAY() - DOCXX[INV DUE DATE]&lt;30, "Less than 30 days",IF(TODAY()-DOCXX[INV DUE DATE]&lt;60,"30-60 days","More than 60 days"))</f>
        <v>30-60 days</v>
      </c>
      <c r="S179" t="s">
        <v>818</v>
      </c>
      <c r="T179" s="43" t="s">
        <v>2229</v>
      </c>
      <c r="U179" s="7" t="s">
        <v>3699</v>
      </c>
    </row>
    <row r="180" spans="1:21" x14ac:dyDescent="0.3">
      <c r="A180" s="14" t="s">
        <v>294</v>
      </c>
      <c r="B180" t="s">
        <v>30</v>
      </c>
      <c r="C180" t="s">
        <v>87</v>
      </c>
      <c r="D180">
        <v>1</v>
      </c>
      <c r="E180" s="7">
        <v>225</v>
      </c>
      <c r="H180">
        <v>55601</v>
      </c>
      <c r="I180" t="s">
        <v>353</v>
      </c>
      <c r="J180" t="s">
        <v>437</v>
      </c>
      <c r="K180" t="s">
        <v>3</v>
      </c>
      <c r="L180" s="2">
        <v>43220</v>
      </c>
      <c r="M180" s="2">
        <f>DOCXX[[#This Row],[INV DOC DATE]]+30</f>
        <v>43250</v>
      </c>
      <c r="N180" s="2">
        <v>43220</v>
      </c>
      <c r="O180" s="7">
        <v>225</v>
      </c>
      <c r="P180" s="2">
        <v>43250</v>
      </c>
      <c r="Q180" s="7">
        <f>$E180-$O180</f>
        <v>0</v>
      </c>
      <c r="R180" s="7" t="str">
        <f ca="1">IF(TODAY() - DOCXX[INV DUE DATE]&lt;30, "Less than 30 days",IF(TODAY()-DOCXX[INV DUE DATE]&lt;60,"30-60 days","More than 60 days"))</f>
        <v>30-60 days</v>
      </c>
      <c r="S180" t="s">
        <v>818</v>
      </c>
      <c r="T180" s="43" t="s">
        <v>2229</v>
      </c>
      <c r="U180" s="7" t="s">
        <v>3699</v>
      </c>
    </row>
    <row r="181" spans="1:21" x14ac:dyDescent="0.3">
      <c r="A181" s="14" t="s">
        <v>294</v>
      </c>
      <c r="B181" t="s">
        <v>30</v>
      </c>
      <c r="C181" t="s">
        <v>88</v>
      </c>
      <c r="D181">
        <v>1</v>
      </c>
      <c r="E181" s="7">
        <v>225</v>
      </c>
      <c r="H181">
        <v>55601</v>
      </c>
      <c r="I181" t="s">
        <v>353</v>
      </c>
      <c r="J181" t="s">
        <v>438</v>
      </c>
      <c r="K181" t="s">
        <v>3</v>
      </c>
      <c r="L181" s="2">
        <v>43220</v>
      </c>
      <c r="M181" s="2">
        <f>DOCXX[[#This Row],[INV DOC DATE]]+30</f>
        <v>43250</v>
      </c>
      <c r="N181" s="2">
        <v>43220</v>
      </c>
      <c r="O181" s="7">
        <v>225</v>
      </c>
      <c r="P181" s="2">
        <v>43250</v>
      </c>
      <c r="Q181" s="7">
        <f>$E181-$O181</f>
        <v>0</v>
      </c>
      <c r="R181" s="7" t="str">
        <f ca="1">IF(TODAY() - DOCXX[INV DUE DATE]&lt;30, "Less than 30 days",IF(TODAY()-DOCXX[INV DUE DATE]&lt;60,"30-60 days","More than 60 days"))</f>
        <v>30-60 days</v>
      </c>
      <c r="S181" t="s">
        <v>818</v>
      </c>
      <c r="T181" s="43" t="s">
        <v>2229</v>
      </c>
      <c r="U181" s="7" t="s">
        <v>3699</v>
      </c>
    </row>
    <row r="182" spans="1:21" x14ac:dyDescent="0.3">
      <c r="A182" s="14" t="s">
        <v>294</v>
      </c>
      <c r="B182" t="s">
        <v>30</v>
      </c>
      <c r="C182" t="s">
        <v>89</v>
      </c>
      <c r="D182">
        <v>1</v>
      </c>
      <c r="E182" s="7">
        <v>225</v>
      </c>
      <c r="H182">
        <v>55601</v>
      </c>
      <c r="I182" t="s">
        <v>353</v>
      </c>
      <c r="J182" t="s">
        <v>439</v>
      </c>
      <c r="K182" t="s">
        <v>3</v>
      </c>
      <c r="L182" s="2">
        <v>43220</v>
      </c>
      <c r="M182" s="2">
        <f>DOCXX[[#This Row],[INV DOC DATE]]+30</f>
        <v>43250</v>
      </c>
      <c r="N182" s="2">
        <v>43220</v>
      </c>
      <c r="O182" s="7">
        <v>225</v>
      </c>
      <c r="P182" s="2">
        <v>43250</v>
      </c>
      <c r="Q182" s="7">
        <f>$E182-$O182</f>
        <v>0</v>
      </c>
      <c r="R182" s="7" t="str">
        <f ca="1">IF(TODAY() - DOCXX[INV DUE DATE]&lt;30, "Less than 30 days",IF(TODAY()-DOCXX[INV DUE DATE]&lt;60,"30-60 days","More than 60 days"))</f>
        <v>30-60 days</v>
      </c>
      <c r="S182" t="s">
        <v>818</v>
      </c>
      <c r="T182" s="43" t="s">
        <v>2229</v>
      </c>
      <c r="U182" s="7" t="s">
        <v>3699</v>
      </c>
    </row>
    <row r="183" spans="1:21" x14ac:dyDescent="0.3">
      <c r="A183" s="14" t="s">
        <v>294</v>
      </c>
      <c r="B183" t="s">
        <v>30</v>
      </c>
      <c r="C183" t="s">
        <v>90</v>
      </c>
      <c r="D183">
        <v>1</v>
      </c>
      <c r="E183" s="7">
        <v>225</v>
      </c>
      <c r="H183">
        <v>55601</v>
      </c>
      <c r="I183" t="s">
        <v>353</v>
      </c>
      <c r="J183" t="s">
        <v>440</v>
      </c>
      <c r="K183" t="s">
        <v>3</v>
      </c>
      <c r="L183" s="2">
        <v>43220</v>
      </c>
      <c r="M183" s="2">
        <f>DOCXX[[#This Row],[INV DOC DATE]]+30</f>
        <v>43250</v>
      </c>
      <c r="N183" s="2">
        <v>43220</v>
      </c>
      <c r="O183" s="7">
        <v>225</v>
      </c>
      <c r="P183" s="2">
        <v>43250</v>
      </c>
      <c r="Q183" s="7">
        <f>$E183-$O183</f>
        <v>0</v>
      </c>
      <c r="R183" s="7" t="str">
        <f ca="1">IF(TODAY() - DOCXX[INV DUE DATE]&lt;30, "Less than 30 days",IF(TODAY()-DOCXX[INV DUE DATE]&lt;60,"30-60 days","More than 60 days"))</f>
        <v>30-60 days</v>
      </c>
      <c r="S183" t="s">
        <v>818</v>
      </c>
      <c r="T183" s="43" t="s">
        <v>2229</v>
      </c>
      <c r="U183" s="7" t="s">
        <v>3699</v>
      </c>
    </row>
    <row r="184" spans="1:21" x14ac:dyDescent="0.3">
      <c r="A184" s="14" t="s">
        <v>294</v>
      </c>
      <c r="B184" t="s">
        <v>30</v>
      </c>
      <c r="C184" t="s">
        <v>91</v>
      </c>
      <c r="D184">
        <v>1</v>
      </c>
      <c r="E184" s="7">
        <v>225</v>
      </c>
      <c r="H184">
        <v>55601</v>
      </c>
      <c r="I184" t="s">
        <v>353</v>
      </c>
      <c r="J184" t="s">
        <v>441</v>
      </c>
      <c r="K184" t="s">
        <v>3</v>
      </c>
      <c r="L184" s="2">
        <v>43220</v>
      </c>
      <c r="M184" s="2">
        <f>DOCXX[[#This Row],[INV DOC DATE]]+30</f>
        <v>43250</v>
      </c>
      <c r="N184" s="2">
        <v>43220</v>
      </c>
      <c r="O184" s="7">
        <v>225</v>
      </c>
      <c r="P184" s="2">
        <v>43250</v>
      </c>
      <c r="Q184" s="7">
        <f>$E184-$O184</f>
        <v>0</v>
      </c>
      <c r="R184" s="7" t="str">
        <f ca="1">IF(TODAY() - DOCXX[INV DUE DATE]&lt;30, "Less than 30 days",IF(TODAY()-DOCXX[INV DUE DATE]&lt;60,"30-60 days","More than 60 days"))</f>
        <v>30-60 days</v>
      </c>
      <c r="S184" t="s">
        <v>818</v>
      </c>
      <c r="T184" s="43" t="s">
        <v>2229</v>
      </c>
      <c r="U184" s="7" t="s">
        <v>3699</v>
      </c>
    </row>
    <row r="185" spans="1:21" x14ac:dyDescent="0.3">
      <c r="A185" s="14" t="s">
        <v>294</v>
      </c>
      <c r="B185" t="s">
        <v>30</v>
      </c>
      <c r="C185" t="s">
        <v>92</v>
      </c>
      <c r="D185">
        <v>1</v>
      </c>
      <c r="E185" s="7">
        <v>225</v>
      </c>
      <c r="H185">
        <v>55601</v>
      </c>
      <c r="I185" t="s">
        <v>353</v>
      </c>
      <c r="J185" t="s">
        <v>442</v>
      </c>
      <c r="K185" t="s">
        <v>3</v>
      </c>
      <c r="L185" s="2">
        <v>43220</v>
      </c>
      <c r="M185" s="2">
        <f>DOCXX[[#This Row],[INV DOC DATE]]+30</f>
        <v>43250</v>
      </c>
      <c r="N185" s="2">
        <v>43220</v>
      </c>
      <c r="O185" s="7">
        <v>225</v>
      </c>
      <c r="P185" s="2">
        <v>43250</v>
      </c>
      <c r="Q185" s="7">
        <f>$E185-$O185</f>
        <v>0</v>
      </c>
      <c r="R185" s="7" t="str">
        <f ca="1">IF(TODAY() - DOCXX[INV DUE DATE]&lt;30, "Less than 30 days",IF(TODAY()-DOCXX[INV DUE DATE]&lt;60,"30-60 days","More than 60 days"))</f>
        <v>30-60 days</v>
      </c>
      <c r="S185" t="s">
        <v>818</v>
      </c>
      <c r="T185" s="43" t="s">
        <v>2229</v>
      </c>
      <c r="U185" s="7" t="s">
        <v>3699</v>
      </c>
    </row>
    <row r="186" spans="1:21" x14ac:dyDescent="0.3">
      <c r="A186" s="14" t="s">
        <v>294</v>
      </c>
      <c r="B186" t="s">
        <v>30</v>
      </c>
      <c r="C186" t="s">
        <v>30</v>
      </c>
      <c r="D186">
        <v>1</v>
      </c>
      <c r="E186" s="7">
        <v>225</v>
      </c>
      <c r="H186">
        <v>55601</v>
      </c>
      <c r="I186" t="s">
        <v>353</v>
      </c>
      <c r="J186" t="s">
        <v>443</v>
      </c>
      <c r="K186" t="s">
        <v>3</v>
      </c>
      <c r="L186" s="2">
        <v>43220</v>
      </c>
      <c r="M186" s="2">
        <f>DOCXX[[#This Row],[INV DOC DATE]]+30</f>
        <v>43250</v>
      </c>
      <c r="N186" s="2">
        <v>43220</v>
      </c>
      <c r="O186" s="7">
        <v>225</v>
      </c>
      <c r="P186" s="2">
        <v>43250</v>
      </c>
      <c r="Q186" s="7">
        <f>$E186-$O186</f>
        <v>0</v>
      </c>
      <c r="R186" s="7" t="str">
        <f ca="1">IF(TODAY() - DOCXX[INV DUE DATE]&lt;30, "Less than 30 days",IF(TODAY()-DOCXX[INV DUE DATE]&lt;60,"30-60 days","More than 60 days"))</f>
        <v>30-60 days</v>
      </c>
      <c r="S186" t="s">
        <v>818</v>
      </c>
      <c r="T186" s="43" t="s">
        <v>2229</v>
      </c>
      <c r="U186" s="7" t="s">
        <v>3699</v>
      </c>
    </row>
    <row r="187" spans="1:21" x14ac:dyDescent="0.3">
      <c r="A187" s="14" t="s">
        <v>294</v>
      </c>
      <c r="B187" t="s">
        <v>30</v>
      </c>
      <c r="C187" t="s">
        <v>93</v>
      </c>
      <c r="D187">
        <v>1</v>
      </c>
      <c r="E187" s="7">
        <v>225</v>
      </c>
      <c r="H187">
        <v>55601</v>
      </c>
      <c r="I187" t="s">
        <v>353</v>
      </c>
      <c r="J187" t="s">
        <v>444</v>
      </c>
      <c r="K187" t="s">
        <v>3</v>
      </c>
      <c r="L187" s="2">
        <v>43220</v>
      </c>
      <c r="M187" s="2">
        <f>DOCXX[[#This Row],[INV DOC DATE]]+30</f>
        <v>43250</v>
      </c>
      <c r="N187" s="2">
        <v>43220</v>
      </c>
      <c r="O187" s="7">
        <v>225</v>
      </c>
      <c r="P187" s="2">
        <v>43250</v>
      </c>
      <c r="Q187" s="7">
        <f>$E187-$O187</f>
        <v>0</v>
      </c>
      <c r="R187" s="7" t="str">
        <f ca="1">IF(TODAY() - DOCXX[INV DUE DATE]&lt;30, "Less than 30 days",IF(TODAY()-DOCXX[INV DUE DATE]&lt;60,"30-60 days","More than 60 days"))</f>
        <v>30-60 days</v>
      </c>
      <c r="S187" t="s">
        <v>818</v>
      </c>
      <c r="T187" s="43" t="s">
        <v>2229</v>
      </c>
      <c r="U187" s="7" t="s">
        <v>3699</v>
      </c>
    </row>
    <row r="188" spans="1:21" x14ac:dyDescent="0.3">
      <c r="A188" s="14" t="s">
        <v>294</v>
      </c>
      <c r="B188" t="s">
        <v>30</v>
      </c>
      <c r="C188" t="s">
        <v>94</v>
      </c>
      <c r="D188">
        <v>1</v>
      </c>
      <c r="E188" s="7">
        <v>225</v>
      </c>
      <c r="H188">
        <v>55601</v>
      </c>
      <c r="I188" t="s">
        <v>353</v>
      </c>
      <c r="J188" t="s">
        <v>445</v>
      </c>
      <c r="K188" t="s">
        <v>3</v>
      </c>
      <c r="L188" s="2">
        <v>43220</v>
      </c>
      <c r="M188" s="2">
        <f>DOCXX[[#This Row],[INV DOC DATE]]+30</f>
        <v>43250</v>
      </c>
      <c r="N188" s="2">
        <v>43220</v>
      </c>
      <c r="O188" s="7">
        <v>225</v>
      </c>
      <c r="P188" s="2">
        <v>43250</v>
      </c>
      <c r="Q188" s="7">
        <f>$E188-$O188</f>
        <v>0</v>
      </c>
      <c r="R188" s="7" t="str">
        <f ca="1">IF(TODAY() - DOCXX[INV DUE DATE]&lt;30, "Less than 30 days",IF(TODAY()-DOCXX[INV DUE DATE]&lt;60,"30-60 days","More than 60 days"))</f>
        <v>30-60 days</v>
      </c>
      <c r="S188" t="s">
        <v>818</v>
      </c>
      <c r="T188" s="43" t="s">
        <v>2229</v>
      </c>
      <c r="U188" s="7" t="s">
        <v>3699</v>
      </c>
    </row>
    <row r="189" spans="1:21" x14ac:dyDescent="0.3">
      <c r="A189" s="14" t="s">
        <v>294</v>
      </c>
      <c r="B189" t="s">
        <v>30</v>
      </c>
      <c r="C189" t="s">
        <v>95</v>
      </c>
      <c r="D189">
        <v>1</v>
      </c>
      <c r="E189" s="7">
        <v>225</v>
      </c>
      <c r="H189">
        <v>55601</v>
      </c>
      <c r="I189" t="s">
        <v>353</v>
      </c>
      <c r="J189" t="s">
        <v>446</v>
      </c>
      <c r="K189" t="s">
        <v>3</v>
      </c>
      <c r="L189" s="2">
        <v>43220</v>
      </c>
      <c r="M189" s="2">
        <f>DOCXX[[#This Row],[INV DOC DATE]]+30</f>
        <v>43250</v>
      </c>
      <c r="N189" s="2">
        <v>43220</v>
      </c>
      <c r="O189" s="7">
        <v>225</v>
      </c>
      <c r="P189" s="2">
        <v>43250</v>
      </c>
      <c r="Q189" s="7">
        <f>$E189-$O189</f>
        <v>0</v>
      </c>
      <c r="R189" s="7" t="str">
        <f ca="1">IF(TODAY() - DOCXX[INV DUE DATE]&lt;30, "Less than 30 days",IF(TODAY()-DOCXX[INV DUE DATE]&lt;60,"30-60 days","More than 60 days"))</f>
        <v>30-60 days</v>
      </c>
      <c r="S189" t="s">
        <v>818</v>
      </c>
      <c r="T189" s="43" t="s">
        <v>2229</v>
      </c>
      <c r="U189" s="7" t="s">
        <v>3699</v>
      </c>
    </row>
    <row r="190" spans="1:21" x14ac:dyDescent="0.3">
      <c r="A190" s="14" t="s">
        <v>294</v>
      </c>
      <c r="B190" t="s">
        <v>30</v>
      </c>
      <c r="C190" t="s">
        <v>96</v>
      </c>
      <c r="D190">
        <v>1</v>
      </c>
      <c r="E190" s="7">
        <v>225</v>
      </c>
      <c r="H190">
        <v>55601</v>
      </c>
      <c r="I190" t="s">
        <v>353</v>
      </c>
      <c r="J190" t="s">
        <v>447</v>
      </c>
      <c r="K190" t="s">
        <v>3</v>
      </c>
      <c r="L190" s="2">
        <v>43220</v>
      </c>
      <c r="M190" s="2">
        <f>DOCXX[[#This Row],[INV DOC DATE]]+30</f>
        <v>43250</v>
      </c>
      <c r="N190" s="2">
        <v>43220</v>
      </c>
      <c r="O190" s="7">
        <v>225</v>
      </c>
      <c r="P190" s="2">
        <v>43250</v>
      </c>
      <c r="Q190" s="7">
        <f>$E190-$O190</f>
        <v>0</v>
      </c>
      <c r="R190" s="7" t="str">
        <f ca="1">IF(TODAY() - DOCXX[INV DUE DATE]&lt;30, "Less than 30 days",IF(TODAY()-DOCXX[INV DUE DATE]&lt;60,"30-60 days","More than 60 days"))</f>
        <v>30-60 days</v>
      </c>
      <c r="S190" t="s">
        <v>818</v>
      </c>
      <c r="T190" s="43" t="s">
        <v>2229</v>
      </c>
      <c r="U190" s="7" t="s">
        <v>3699</v>
      </c>
    </row>
    <row r="191" spans="1:21" x14ac:dyDescent="0.3">
      <c r="A191" s="14" t="s">
        <v>294</v>
      </c>
      <c r="B191" t="s">
        <v>30</v>
      </c>
      <c r="C191" t="s">
        <v>97</v>
      </c>
      <c r="D191">
        <v>1</v>
      </c>
      <c r="E191" s="7">
        <v>225</v>
      </c>
      <c r="H191">
        <v>55601</v>
      </c>
      <c r="I191" t="s">
        <v>353</v>
      </c>
      <c r="J191" t="s">
        <v>448</v>
      </c>
      <c r="K191" t="s">
        <v>3</v>
      </c>
      <c r="L191" s="2">
        <v>43220</v>
      </c>
      <c r="M191" s="2">
        <f>DOCXX[[#This Row],[INV DOC DATE]]+30</f>
        <v>43250</v>
      </c>
      <c r="N191" s="2">
        <v>43220</v>
      </c>
      <c r="O191" s="7">
        <v>225</v>
      </c>
      <c r="P191" s="2">
        <v>43250</v>
      </c>
      <c r="Q191" s="7">
        <f>$E191-$O191</f>
        <v>0</v>
      </c>
      <c r="R191" s="7" t="str">
        <f ca="1">IF(TODAY() - DOCXX[INV DUE DATE]&lt;30, "Less than 30 days",IF(TODAY()-DOCXX[INV DUE DATE]&lt;60,"30-60 days","More than 60 days"))</f>
        <v>30-60 days</v>
      </c>
      <c r="S191" t="s">
        <v>818</v>
      </c>
      <c r="T191" s="43" t="s">
        <v>2229</v>
      </c>
      <c r="U191" s="7" t="s">
        <v>3699</v>
      </c>
    </row>
    <row r="192" spans="1:21" x14ac:dyDescent="0.3">
      <c r="A192" s="14" t="s">
        <v>294</v>
      </c>
      <c r="B192" t="s">
        <v>30</v>
      </c>
      <c r="C192" t="s">
        <v>98</v>
      </c>
      <c r="D192">
        <v>1</v>
      </c>
      <c r="E192" s="7">
        <v>225</v>
      </c>
      <c r="H192">
        <v>55601</v>
      </c>
      <c r="I192" t="s">
        <v>353</v>
      </c>
      <c r="J192" t="s">
        <v>449</v>
      </c>
      <c r="K192" t="s">
        <v>3</v>
      </c>
      <c r="L192" s="2">
        <v>43220</v>
      </c>
      <c r="M192" s="2">
        <f>DOCXX[[#This Row],[INV DOC DATE]]+30</f>
        <v>43250</v>
      </c>
      <c r="N192" s="2">
        <v>43220</v>
      </c>
      <c r="O192" s="7">
        <v>225</v>
      </c>
      <c r="P192" s="2">
        <v>43250</v>
      </c>
      <c r="Q192" s="7">
        <f>$E192-$O192</f>
        <v>0</v>
      </c>
      <c r="R192" s="7" t="str">
        <f ca="1">IF(TODAY() - DOCXX[INV DUE DATE]&lt;30, "Less than 30 days",IF(TODAY()-DOCXX[INV DUE DATE]&lt;60,"30-60 days","More than 60 days"))</f>
        <v>30-60 days</v>
      </c>
      <c r="S192" t="s">
        <v>818</v>
      </c>
      <c r="T192" s="43" t="s">
        <v>2229</v>
      </c>
      <c r="U192" s="7" t="s">
        <v>3699</v>
      </c>
    </row>
    <row r="193" spans="1:21" x14ac:dyDescent="0.3">
      <c r="A193" s="14" t="s">
        <v>294</v>
      </c>
      <c r="B193" t="s">
        <v>30</v>
      </c>
      <c r="C193" t="s">
        <v>99</v>
      </c>
      <c r="D193">
        <v>1</v>
      </c>
      <c r="E193" s="7">
        <v>225</v>
      </c>
      <c r="H193">
        <v>55601</v>
      </c>
      <c r="I193" t="s">
        <v>353</v>
      </c>
      <c r="J193" t="s">
        <v>450</v>
      </c>
      <c r="K193" t="s">
        <v>3</v>
      </c>
      <c r="L193" s="2">
        <v>43220</v>
      </c>
      <c r="M193" s="2">
        <f>DOCXX[[#This Row],[INV DOC DATE]]+30</f>
        <v>43250</v>
      </c>
      <c r="N193" s="2">
        <v>43220</v>
      </c>
      <c r="O193" s="7">
        <v>225</v>
      </c>
      <c r="P193" s="2">
        <v>43250</v>
      </c>
      <c r="Q193" s="7">
        <f>$E193-$O193</f>
        <v>0</v>
      </c>
      <c r="R193" s="7" t="str">
        <f ca="1">IF(TODAY() - DOCXX[INV DUE DATE]&lt;30, "Less than 30 days",IF(TODAY()-DOCXX[INV DUE DATE]&lt;60,"30-60 days","More than 60 days"))</f>
        <v>30-60 days</v>
      </c>
      <c r="S193" t="s">
        <v>818</v>
      </c>
      <c r="T193" s="43" t="s">
        <v>2229</v>
      </c>
      <c r="U193" s="7" t="s">
        <v>3699</v>
      </c>
    </row>
    <row r="194" spans="1:21" x14ac:dyDescent="0.3">
      <c r="A194" s="14" t="s">
        <v>294</v>
      </c>
      <c r="B194" t="s">
        <v>30</v>
      </c>
      <c r="C194" t="s">
        <v>100</v>
      </c>
      <c r="D194">
        <v>1</v>
      </c>
      <c r="E194" s="7">
        <v>225</v>
      </c>
      <c r="H194">
        <v>55601</v>
      </c>
      <c r="I194" t="s">
        <v>353</v>
      </c>
      <c r="J194" t="s">
        <v>451</v>
      </c>
      <c r="K194" t="s">
        <v>3</v>
      </c>
      <c r="L194" s="2">
        <v>43220</v>
      </c>
      <c r="M194" s="2">
        <f>DOCXX[[#This Row],[INV DOC DATE]]+30</f>
        <v>43250</v>
      </c>
      <c r="N194" s="2">
        <v>43220</v>
      </c>
      <c r="O194" s="7">
        <v>225</v>
      </c>
      <c r="P194" s="2">
        <v>43250</v>
      </c>
      <c r="Q194" s="7">
        <f>$E194-$O194</f>
        <v>0</v>
      </c>
      <c r="R194" s="7" t="str">
        <f ca="1">IF(TODAY() - DOCXX[INV DUE DATE]&lt;30, "Less than 30 days",IF(TODAY()-DOCXX[INV DUE DATE]&lt;60,"30-60 days","More than 60 days"))</f>
        <v>30-60 days</v>
      </c>
      <c r="S194" t="s">
        <v>818</v>
      </c>
      <c r="T194" s="43" t="s">
        <v>2229</v>
      </c>
      <c r="U194" s="7" t="s">
        <v>3699</v>
      </c>
    </row>
    <row r="195" spans="1:21" x14ac:dyDescent="0.3">
      <c r="A195" s="14" t="s">
        <v>294</v>
      </c>
      <c r="B195" t="s">
        <v>30</v>
      </c>
      <c r="C195" t="s">
        <v>101</v>
      </c>
      <c r="D195">
        <v>1</v>
      </c>
      <c r="E195" s="7">
        <v>225</v>
      </c>
      <c r="H195">
        <v>55601</v>
      </c>
      <c r="I195" t="s">
        <v>353</v>
      </c>
      <c r="J195" t="s">
        <v>452</v>
      </c>
      <c r="K195" t="s">
        <v>3</v>
      </c>
      <c r="L195" s="2">
        <v>43220</v>
      </c>
      <c r="M195" s="2">
        <f>DOCXX[[#This Row],[INV DOC DATE]]+30</f>
        <v>43250</v>
      </c>
      <c r="N195" s="2">
        <v>43220</v>
      </c>
      <c r="O195" s="7">
        <v>225</v>
      </c>
      <c r="P195" s="2">
        <v>43250</v>
      </c>
      <c r="Q195" s="7">
        <f>$E195-$O195</f>
        <v>0</v>
      </c>
      <c r="R195" s="7" t="str">
        <f ca="1">IF(TODAY() - DOCXX[INV DUE DATE]&lt;30, "Less than 30 days",IF(TODAY()-DOCXX[INV DUE DATE]&lt;60,"30-60 days","More than 60 days"))</f>
        <v>30-60 days</v>
      </c>
      <c r="S195" t="s">
        <v>818</v>
      </c>
      <c r="T195" s="43" t="s">
        <v>2229</v>
      </c>
      <c r="U195" s="7" t="s">
        <v>3699</v>
      </c>
    </row>
    <row r="196" spans="1:21" x14ac:dyDescent="0.3">
      <c r="A196" s="14" t="s">
        <v>294</v>
      </c>
      <c r="B196" t="s">
        <v>30</v>
      </c>
      <c r="C196" t="s">
        <v>102</v>
      </c>
      <c r="D196">
        <v>1</v>
      </c>
      <c r="E196" s="7">
        <v>225</v>
      </c>
      <c r="H196">
        <v>55601</v>
      </c>
      <c r="I196" t="s">
        <v>353</v>
      </c>
      <c r="J196" t="s">
        <v>453</v>
      </c>
      <c r="K196" t="s">
        <v>3</v>
      </c>
      <c r="L196" s="2">
        <v>43220</v>
      </c>
      <c r="M196" s="2">
        <f>DOCXX[[#This Row],[INV DOC DATE]]+30</f>
        <v>43250</v>
      </c>
      <c r="N196" s="2">
        <v>43220</v>
      </c>
      <c r="O196" s="7">
        <v>225</v>
      </c>
      <c r="P196" s="2">
        <v>43250</v>
      </c>
      <c r="Q196" s="7">
        <f>$E196-$O196</f>
        <v>0</v>
      </c>
      <c r="R196" s="7" t="str">
        <f ca="1">IF(TODAY() - DOCXX[INV DUE DATE]&lt;30, "Less than 30 days",IF(TODAY()-DOCXX[INV DUE DATE]&lt;60,"30-60 days","More than 60 days"))</f>
        <v>30-60 days</v>
      </c>
      <c r="S196" t="s">
        <v>818</v>
      </c>
      <c r="T196" s="43" t="s">
        <v>2229</v>
      </c>
      <c r="U196" s="7" t="s">
        <v>3699</v>
      </c>
    </row>
    <row r="197" spans="1:21" x14ac:dyDescent="0.3">
      <c r="A197" s="14" t="s">
        <v>294</v>
      </c>
      <c r="B197" t="s">
        <v>30</v>
      </c>
      <c r="C197" t="s">
        <v>103</v>
      </c>
      <c r="D197">
        <v>1</v>
      </c>
      <c r="E197" s="7">
        <v>225</v>
      </c>
      <c r="H197">
        <v>55601</v>
      </c>
      <c r="I197" t="s">
        <v>353</v>
      </c>
      <c r="J197" t="s">
        <v>454</v>
      </c>
      <c r="K197" t="s">
        <v>3</v>
      </c>
      <c r="L197" s="2">
        <v>43220</v>
      </c>
      <c r="M197" s="2">
        <f>DOCXX[[#This Row],[INV DOC DATE]]+30</f>
        <v>43250</v>
      </c>
      <c r="N197" s="2">
        <v>43220</v>
      </c>
      <c r="O197" s="7">
        <v>225</v>
      </c>
      <c r="P197" s="2">
        <v>43250</v>
      </c>
      <c r="Q197" s="7">
        <f>$E197-$O197</f>
        <v>0</v>
      </c>
      <c r="R197" s="7" t="str">
        <f ca="1">IF(TODAY() - DOCXX[INV DUE DATE]&lt;30, "Less than 30 days",IF(TODAY()-DOCXX[INV DUE DATE]&lt;60,"30-60 days","More than 60 days"))</f>
        <v>30-60 days</v>
      </c>
      <c r="S197" t="s">
        <v>818</v>
      </c>
      <c r="T197" s="43" t="s">
        <v>2229</v>
      </c>
      <c r="U197" s="7" t="s">
        <v>3699</v>
      </c>
    </row>
    <row r="198" spans="1:21" x14ac:dyDescent="0.3">
      <c r="A198" s="14" t="s">
        <v>294</v>
      </c>
      <c r="B198" t="s">
        <v>30</v>
      </c>
      <c r="C198" t="s">
        <v>104</v>
      </c>
      <c r="D198">
        <v>1</v>
      </c>
      <c r="E198" s="7">
        <v>225</v>
      </c>
      <c r="H198">
        <v>55601</v>
      </c>
      <c r="I198" t="s">
        <v>353</v>
      </c>
      <c r="J198" t="s">
        <v>455</v>
      </c>
      <c r="K198" t="s">
        <v>3</v>
      </c>
      <c r="L198" s="2">
        <v>43220</v>
      </c>
      <c r="M198" s="2">
        <f>DOCXX[[#This Row],[INV DOC DATE]]+30</f>
        <v>43250</v>
      </c>
      <c r="N198" s="2">
        <v>43220</v>
      </c>
      <c r="O198" s="7">
        <v>225</v>
      </c>
      <c r="P198" s="2">
        <v>43250</v>
      </c>
      <c r="Q198" s="7">
        <f>$E198-$O198</f>
        <v>0</v>
      </c>
      <c r="R198" s="7" t="str">
        <f ca="1">IF(TODAY() - DOCXX[INV DUE DATE]&lt;30, "Less than 30 days",IF(TODAY()-DOCXX[INV DUE DATE]&lt;60,"30-60 days","More than 60 days"))</f>
        <v>30-60 days</v>
      </c>
      <c r="S198" t="s">
        <v>818</v>
      </c>
      <c r="T198" s="43" t="s">
        <v>2229</v>
      </c>
      <c r="U198" s="7" t="s">
        <v>3699</v>
      </c>
    </row>
    <row r="199" spans="1:21" x14ac:dyDescent="0.3">
      <c r="A199" s="14" t="s">
        <v>294</v>
      </c>
      <c r="B199" t="s">
        <v>30</v>
      </c>
      <c r="C199" t="s">
        <v>105</v>
      </c>
      <c r="D199">
        <v>1</v>
      </c>
      <c r="E199" s="7">
        <v>225</v>
      </c>
      <c r="H199">
        <v>55601</v>
      </c>
      <c r="I199" t="s">
        <v>353</v>
      </c>
      <c r="J199" t="s">
        <v>456</v>
      </c>
      <c r="K199" t="s">
        <v>3</v>
      </c>
      <c r="L199" s="2">
        <v>43220</v>
      </c>
      <c r="M199" s="2">
        <f>DOCXX[[#This Row],[INV DOC DATE]]+30</f>
        <v>43250</v>
      </c>
      <c r="N199" s="2">
        <v>43220</v>
      </c>
      <c r="O199" s="7">
        <v>225</v>
      </c>
      <c r="P199" s="2">
        <v>43250</v>
      </c>
      <c r="Q199" s="7">
        <f>$E199-$O199</f>
        <v>0</v>
      </c>
      <c r="R199" s="7" t="str">
        <f ca="1">IF(TODAY() - DOCXX[INV DUE DATE]&lt;30, "Less than 30 days",IF(TODAY()-DOCXX[INV DUE DATE]&lt;60,"30-60 days","More than 60 days"))</f>
        <v>30-60 days</v>
      </c>
      <c r="S199" t="s">
        <v>818</v>
      </c>
      <c r="T199" s="43" t="s">
        <v>2229</v>
      </c>
      <c r="U199" s="7" t="s">
        <v>3699</v>
      </c>
    </row>
    <row r="200" spans="1:21" x14ac:dyDescent="0.3">
      <c r="A200" s="14" t="s">
        <v>294</v>
      </c>
      <c r="B200" t="s">
        <v>30</v>
      </c>
      <c r="C200" t="s">
        <v>106</v>
      </c>
      <c r="D200">
        <v>1</v>
      </c>
      <c r="E200" s="7">
        <v>225</v>
      </c>
      <c r="H200">
        <v>55601</v>
      </c>
      <c r="I200" t="s">
        <v>353</v>
      </c>
      <c r="J200" t="s">
        <v>457</v>
      </c>
      <c r="K200" t="s">
        <v>3</v>
      </c>
      <c r="L200" s="2">
        <v>43220</v>
      </c>
      <c r="M200" s="2">
        <f>DOCXX[[#This Row],[INV DOC DATE]]+30</f>
        <v>43250</v>
      </c>
      <c r="N200" s="2">
        <v>43220</v>
      </c>
      <c r="O200" s="7">
        <v>225</v>
      </c>
      <c r="P200" s="2">
        <v>43250</v>
      </c>
      <c r="Q200" s="7">
        <f>$E200-$O200</f>
        <v>0</v>
      </c>
      <c r="R200" s="7" t="str">
        <f ca="1">IF(TODAY() - DOCXX[INV DUE DATE]&lt;30, "Less than 30 days",IF(TODAY()-DOCXX[INV DUE DATE]&lt;60,"30-60 days","More than 60 days"))</f>
        <v>30-60 days</v>
      </c>
      <c r="S200" t="s">
        <v>818</v>
      </c>
      <c r="T200" s="43" t="s">
        <v>2229</v>
      </c>
      <c r="U200" s="7" t="s">
        <v>3699</v>
      </c>
    </row>
    <row r="201" spans="1:21" x14ac:dyDescent="0.3">
      <c r="A201" s="14" t="s">
        <v>294</v>
      </c>
      <c r="B201" t="s">
        <v>30</v>
      </c>
      <c r="C201" t="s">
        <v>107</v>
      </c>
      <c r="D201">
        <v>1</v>
      </c>
      <c r="E201" s="7">
        <v>225</v>
      </c>
      <c r="H201">
        <v>55601</v>
      </c>
      <c r="I201" t="s">
        <v>353</v>
      </c>
      <c r="J201" t="s">
        <v>458</v>
      </c>
      <c r="K201" t="s">
        <v>3</v>
      </c>
      <c r="L201" s="2">
        <v>43220</v>
      </c>
      <c r="M201" s="2">
        <f>DOCXX[[#This Row],[INV DOC DATE]]+30</f>
        <v>43250</v>
      </c>
      <c r="N201" s="2">
        <v>43220</v>
      </c>
      <c r="O201" s="7">
        <v>225</v>
      </c>
      <c r="P201" s="2">
        <v>43250</v>
      </c>
      <c r="Q201" s="7">
        <f>$E201-$O201</f>
        <v>0</v>
      </c>
      <c r="R201" s="7" t="str">
        <f ca="1">IF(TODAY() - DOCXX[INV DUE DATE]&lt;30, "Less than 30 days",IF(TODAY()-DOCXX[INV DUE DATE]&lt;60,"30-60 days","More than 60 days"))</f>
        <v>30-60 days</v>
      </c>
      <c r="S201" t="s">
        <v>818</v>
      </c>
      <c r="T201" s="43" t="s">
        <v>2229</v>
      </c>
      <c r="U201" s="7" t="s">
        <v>3699</v>
      </c>
    </row>
    <row r="202" spans="1:21" x14ac:dyDescent="0.3">
      <c r="A202" s="14" t="s">
        <v>294</v>
      </c>
      <c r="B202" t="s">
        <v>30</v>
      </c>
      <c r="C202" t="s">
        <v>108</v>
      </c>
      <c r="D202">
        <v>1</v>
      </c>
      <c r="E202" s="7">
        <v>225</v>
      </c>
      <c r="H202">
        <v>55601</v>
      </c>
      <c r="I202" t="s">
        <v>353</v>
      </c>
      <c r="J202" t="s">
        <v>459</v>
      </c>
      <c r="K202" t="s">
        <v>3</v>
      </c>
      <c r="L202" s="2">
        <v>43220</v>
      </c>
      <c r="M202" s="2">
        <f>DOCXX[[#This Row],[INV DOC DATE]]+30</f>
        <v>43250</v>
      </c>
      <c r="N202" s="2">
        <v>43220</v>
      </c>
      <c r="O202" s="7">
        <v>225</v>
      </c>
      <c r="P202" s="2">
        <v>43250</v>
      </c>
      <c r="Q202" s="7">
        <f>$E202-$O202</f>
        <v>0</v>
      </c>
      <c r="R202" s="7" t="str">
        <f ca="1">IF(TODAY() - DOCXX[INV DUE DATE]&lt;30, "Less than 30 days",IF(TODAY()-DOCXX[INV DUE DATE]&lt;60,"30-60 days","More than 60 days"))</f>
        <v>30-60 days</v>
      </c>
      <c r="S202" t="s">
        <v>818</v>
      </c>
      <c r="T202" s="43" t="s">
        <v>2229</v>
      </c>
      <c r="U202" s="7" t="s">
        <v>3699</v>
      </c>
    </row>
    <row r="203" spans="1:21" x14ac:dyDescent="0.3">
      <c r="A203" s="14" t="s">
        <v>294</v>
      </c>
      <c r="B203" t="s">
        <v>30</v>
      </c>
      <c r="C203" t="s">
        <v>109</v>
      </c>
      <c r="D203">
        <v>1</v>
      </c>
      <c r="E203" s="7">
        <v>225</v>
      </c>
      <c r="H203">
        <v>55601</v>
      </c>
      <c r="I203" t="s">
        <v>353</v>
      </c>
      <c r="J203" t="s">
        <v>460</v>
      </c>
      <c r="K203" t="s">
        <v>3</v>
      </c>
      <c r="L203" s="2">
        <v>43220</v>
      </c>
      <c r="M203" s="2">
        <f>DOCXX[[#This Row],[INV DOC DATE]]+30</f>
        <v>43250</v>
      </c>
      <c r="N203" s="2">
        <v>43220</v>
      </c>
      <c r="O203" s="7">
        <v>225</v>
      </c>
      <c r="P203" s="2">
        <v>43250</v>
      </c>
      <c r="Q203" s="7">
        <f>$E203-$O203</f>
        <v>0</v>
      </c>
      <c r="R203" s="7" t="str">
        <f ca="1">IF(TODAY() - DOCXX[INV DUE DATE]&lt;30, "Less than 30 days",IF(TODAY()-DOCXX[INV DUE DATE]&lt;60,"30-60 days","More than 60 days"))</f>
        <v>30-60 days</v>
      </c>
      <c r="S203" t="s">
        <v>818</v>
      </c>
      <c r="T203" s="43" t="s">
        <v>2229</v>
      </c>
      <c r="U203" s="7" t="s">
        <v>3699</v>
      </c>
    </row>
    <row r="204" spans="1:21" x14ac:dyDescent="0.3">
      <c r="A204" s="14" t="s">
        <v>294</v>
      </c>
      <c r="B204" t="s">
        <v>30</v>
      </c>
      <c r="C204" t="s">
        <v>110</v>
      </c>
      <c r="D204">
        <v>1</v>
      </c>
      <c r="E204" s="7">
        <v>225</v>
      </c>
      <c r="H204">
        <v>55601</v>
      </c>
      <c r="I204" t="s">
        <v>353</v>
      </c>
      <c r="J204" t="s">
        <v>461</v>
      </c>
      <c r="K204" t="s">
        <v>3</v>
      </c>
      <c r="L204" s="2">
        <v>43220</v>
      </c>
      <c r="M204" s="2">
        <f>DOCXX[[#This Row],[INV DOC DATE]]+30</f>
        <v>43250</v>
      </c>
      <c r="N204" s="2">
        <v>43220</v>
      </c>
      <c r="O204" s="7">
        <v>225</v>
      </c>
      <c r="P204" s="2">
        <v>43250</v>
      </c>
      <c r="Q204" s="7">
        <f>$E204-$O204</f>
        <v>0</v>
      </c>
      <c r="R204" s="7" t="str">
        <f ca="1">IF(TODAY() - DOCXX[INV DUE DATE]&lt;30, "Less than 30 days",IF(TODAY()-DOCXX[INV DUE DATE]&lt;60,"30-60 days","More than 60 days"))</f>
        <v>30-60 days</v>
      </c>
      <c r="S204" t="s">
        <v>818</v>
      </c>
      <c r="T204" s="43" t="s">
        <v>2229</v>
      </c>
      <c r="U204" s="7" t="s">
        <v>3699</v>
      </c>
    </row>
    <row r="205" spans="1:21" x14ac:dyDescent="0.3">
      <c r="A205" s="14" t="s">
        <v>294</v>
      </c>
      <c r="B205" t="s">
        <v>30</v>
      </c>
      <c r="C205" t="s">
        <v>111</v>
      </c>
      <c r="D205">
        <v>1</v>
      </c>
      <c r="E205" s="7">
        <v>225</v>
      </c>
      <c r="H205">
        <v>55601</v>
      </c>
      <c r="I205" t="s">
        <v>353</v>
      </c>
      <c r="J205" t="s">
        <v>462</v>
      </c>
      <c r="K205" t="s">
        <v>3</v>
      </c>
      <c r="L205" s="2">
        <v>43220</v>
      </c>
      <c r="M205" s="2">
        <f>DOCXX[[#This Row],[INV DOC DATE]]+30</f>
        <v>43250</v>
      </c>
      <c r="N205" s="2">
        <v>43220</v>
      </c>
      <c r="O205" s="7">
        <v>225</v>
      </c>
      <c r="P205" s="2">
        <v>43250</v>
      </c>
      <c r="Q205" s="7">
        <f>$E205-$O205</f>
        <v>0</v>
      </c>
      <c r="R205" s="7" t="str">
        <f ca="1">IF(TODAY() - DOCXX[INV DUE DATE]&lt;30, "Less than 30 days",IF(TODAY()-DOCXX[INV DUE DATE]&lt;60,"30-60 days","More than 60 days"))</f>
        <v>30-60 days</v>
      </c>
      <c r="S205" t="s">
        <v>818</v>
      </c>
      <c r="T205" s="43" t="s">
        <v>2229</v>
      </c>
      <c r="U205" s="7" t="s">
        <v>3699</v>
      </c>
    </row>
    <row r="206" spans="1:21" x14ac:dyDescent="0.3">
      <c r="A206" s="14" t="s">
        <v>294</v>
      </c>
      <c r="B206" t="s">
        <v>30</v>
      </c>
      <c r="C206" t="s">
        <v>112</v>
      </c>
      <c r="D206">
        <v>1</v>
      </c>
      <c r="E206" s="7">
        <v>225</v>
      </c>
      <c r="H206">
        <v>55601</v>
      </c>
      <c r="I206" t="s">
        <v>353</v>
      </c>
      <c r="J206" t="s">
        <v>463</v>
      </c>
      <c r="K206" t="s">
        <v>3</v>
      </c>
      <c r="L206" s="2">
        <v>43220</v>
      </c>
      <c r="M206" s="2">
        <f>DOCXX[[#This Row],[INV DOC DATE]]+30</f>
        <v>43250</v>
      </c>
      <c r="N206" s="2">
        <v>43220</v>
      </c>
      <c r="O206" s="7">
        <v>225</v>
      </c>
      <c r="P206" s="2">
        <v>43250</v>
      </c>
      <c r="Q206" s="7">
        <f>$E206-$O206</f>
        <v>0</v>
      </c>
      <c r="R206" s="7" t="str">
        <f ca="1">IF(TODAY() - DOCXX[INV DUE DATE]&lt;30, "Less than 30 days",IF(TODAY()-DOCXX[INV DUE DATE]&lt;60,"30-60 days","More than 60 days"))</f>
        <v>30-60 days</v>
      </c>
      <c r="S206" t="s">
        <v>818</v>
      </c>
      <c r="T206" s="43" t="s">
        <v>2229</v>
      </c>
      <c r="U206" s="7" t="s">
        <v>3699</v>
      </c>
    </row>
    <row r="207" spans="1:21" x14ac:dyDescent="0.3">
      <c r="A207" s="14" t="s">
        <v>294</v>
      </c>
      <c r="B207" t="s">
        <v>30</v>
      </c>
      <c r="C207" t="s">
        <v>113</v>
      </c>
      <c r="D207">
        <v>1</v>
      </c>
      <c r="E207" s="7">
        <v>225</v>
      </c>
      <c r="H207">
        <v>55601</v>
      </c>
      <c r="I207" t="s">
        <v>353</v>
      </c>
      <c r="J207" t="s">
        <v>464</v>
      </c>
      <c r="K207" t="s">
        <v>3</v>
      </c>
      <c r="L207" s="2">
        <v>43220</v>
      </c>
      <c r="M207" s="2">
        <f>DOCXX[[#This Row],[INV DOC DATE]]+30</f>
        <v>43250</v>
      </c>
      <c r="N207" s="2">
        <v>43220</v>
      </c>
      <c r="O207" s="7">
        <v>225</v>
      </c>
      <c r="P207" s="2">
        <v>43250</v>
      </c>
      <c r="Q207" s="7">
        <f>$E207-$O207</f>
        <v>0</v>
      </c>
      <c r="R207" s="7" t="str">
        <f ca="1">IF(TODAY() - DOCXX[INV DUE DATE]&lt;30, "Less than 30 days",IF(TODAY()-DOCXX[INV DUE DATE]&lt;60,"30-60 days","More than 60 days"))</f>
        <v>30-60 days</v>
      </c>
      <c r="S207" t="s">
        <v>818</v>
      </c>
      <c r="T207" s="43" t="s">
        <v>2229</v>
      </c>
      <c r="U207" s="7" t="s">
        <v>3699</v>
      </c>
    </row>
    <row r="208" spans="1:21" x14ac:dyDescent="0.3">
      <c r="A208" s="14" t="s">
        <v>294</v>
      </c>
      <c r="B208" t="s">
        <v>30</v>
      </c>
      <c r="C208" t="s">
        <v>114</v>
      </c>
      <c r="D208">
        <v>1</v>
      </c>
      <c r="E208" s="7">
        <v>225</v>
      </c>
      <c r="H208">
        <v>55601</v>
      </c>
      <c r="I208" t="s">
        <v>353</v>
      </c>
      <c r="J208" t="s">
        <v>465</v>
      </c>
      <c r="K208" t="s">
        <v>3</v>
      </c>
      <c r="L208" s="2">
        <v>43220</v>
      </c>
      <c r="M208" s="2">
        <f>DOCXX[[#This Row],[INV DOC DATE]]+30</f>
        <v>43250</v>
      </c>
      <c r="N208" s="2">
        <v>43220</v>
      </c>
      <c r="O208" s="7">
        <v>225</v>
      </c>
      <c r="P208" s="2">
        <v>43250</v>
      </c>
      <c r="Q208" s="7">
        <f>$E208-$O208</f>
        <v>0</v>
      </c>
      <c r="R208" s="7" t="str">
        <f ca="1">IF(TODAY() - DOCXX[INV DUE DATE]&lt;30, "Less than 30 days",IF(TODAY()-DOCXX[INV DUE DATE]&lt;60,"30-60 days","More than 60 days"))</f>
        <v>30-60 days</v>
      </c>
      <c r="S208" t="s">
        <v>818</v>
      </c>
      <c r="T208" s="43" t="s">
        <v>2229</v>
      </c>
      <c r="U208" s="7" t="s">
        <v>3699</v>
      </c>
    </row>
    <row r="209" spans="1:21" x14ac:dyDescent="0.3">
      <c r="A209" s="14" t="s">
        <v>294</v>
      </c>
      <c r="B209" t="s">
        <v>30</v>
      </c>
      <c r="C209" t="s">
        <v>115</v>
      </c>
      <c r="D209">
        <v>1</v>
      </c>
      <c r="E209" s="7">
        <v>225</v>
      </c>
      <c r="H209">
        <v>55601</v>
      </c>
      <c r="I209" t="s">
        <v>353</v>
      </c>
      <c r="J209" t="s">
        <v>466</v>
      </c>
      <c r="K209" t="s">
        <v>3</v>
      </c>
      <c r="L209" s="2">
        <v>43220</v>
      </c>
      <c r="M209" s="2">
        <f>DOCXX[[#This Row],[INV DOC DATE]]+30</f>
        <v>43250</v>
      </c>
      <c r="N209" s="2">
        <v>43220</v>
      </c>
      <c r="O209" s="7">
        <v>225</v>
      </c>
      <c r="P209" s="2">
        <v>43250</v>
      </c>
      <c r="Q209" s="7">
        <f>$E209-$O209</f>
        <v>0</v>
      </c>
      <c r="R209" s="7" t="str">
        <f ca="1">IF(TODAY() - DOCXX[INV DUE DATE]&lt;30, "Less than 30 days",IF(TODAY()-DOCXX[INV DUE DATE]&lt;60,"30-60 days","More than 60 days"))</f>
        <v>30-60 days</v>
      </c>
      <c r="S209" t="s">
        <v>818</v>
      </c>
      <c r="T209" s="43" t="s">
        <v>2229</v>
      </c>
      <c r="U209" s="7" t="s">
        <v>3699</v>
      </c>
    </row>
    <row r="210" spans="1:21" x14ac:dyDescent="0.3">
      <c r="A210" s="14" t="s">
        <v>294</v>
      </c>
      <c r="B210" t="s">
        <v>30</v>
      </c>
      <c r="C210" t="s">
        <v>116</v>
      </c>
      <c r="D210">
        <v>1</v>
      </c>
      <c r="E210" s="7">
        <v>225</v>
      </c>
      <c r="H210">
        <v>55601</v>
      </c>
      <c r="I210" t="s">
        <v>353</v>
      </c>
      <c r="J210" t="s">
        <v>467</v>
      </c>
      <c r="K210" t="s">
        <v>3</v>
      </c>
      <c r="L210" s="2">
        <v>43220</v>
      </c>
      <c r="M210" s="2">
        <f>DOCXX[[#This Row],[INV DOC DATE]]+30</f>
        <v>43250</v>
      </c>
      <c r="N210" s="2">
        <v>43220</v>
      </c>
      <c r="O210" s="7">
        <v>225</v>
      </c>
      <c r="P210" s="2">
        <v>43250</v>
      </c>
      <c r="Q210" s="7">
        <f>$E210-$O210</f>
        <v>0</v>
      </c>
      <c r="R210" s="7" t="str">
        <f ca="1">IF(TODAY() - DOCXX[INV DUE DATE]&lt;30, "Less than 30 days",IF(TODAY()-DOCXX[INV DUE DATE]&lt;60,"30-60 days","More than 60 days"))</f>
        <v>30-60 days</v>
      </c>
      <c r="S210" t="s">
        <v>818</v>
      </c>
      <c r="T210" s="43" t="s">
        <v>2229</v>
      </c>
      <c r="U210" s="7" t="s">
        <v>3699</v>
      </c>
    </row>
    <row r="211" spans="1:21" x14ac:dyDescent="0.3">
      <c r="A211" s="14" t="s">
        <v>294</v>
      </c>
      <c r="B211" t="s">
        <v>30</v>
      </c>
      <c r="C211" t="s">
        <v>117</v>
      </c>
      <c r="D211">
        <v>1</v>
      </c>
      <c r="E211" s="7">
        <v>225</v>
      </c>
      <c r="H211">
        <v>55601</v>
      </c>
      <c r="I211" t="s">
        <v>353</v>
      </c>
      <c r="J211" t="s">
        <v>468</v>
      </c>
      <c r="K211" t="s">
        <v>3</v>
      </c>
      <c r="L211" s="2">
        <v>43220</v>
      </c>
      <c r="M211" s="2">
        <f>DOCXX[[#This Row],[INV DOC DATE]]+30</f>
        <v>43250</v>
      </c>
      <c r="N211" s="2">
        <v>43220</v>
      </c>
      <c r="O211" s="7">
        <v>225</v>
      </c>
      <c r="P211" s="2">
        <v>43250</v>
      </c>
      <c r="Q211" s="7">
        <f>$E211-$O211</f>
        <v>0</v>
      </c>
      <c r="R211" s="7" t="str">
        <f ca="1">IF(TODAY() - DOCXX[INV DUE DATE]&lt;30, "Less than 30 days",IF(TODAY()-DOCXX[INV DUE DATE]&lt;60,"30-60 days","More than 60 days"))</f>
        <v>30-60 days</v>
      </c>
      <c r="S211" t="s">
        <v>818</v>
      </c>
      <c r="T211" s="43" t="s">
        <v>2229</v>
      </c>
      <c r="U211" s="7" t="s">
        <v>3699</v>
      </c>
    </row>
    <row r="212" spans="1:21" x14ac:dyDescent="0.3">
      <c r="A212" s="14" t="s">
        <v>294</v>
      </c>
      <c r="B212" t="s">
        <v>30</v>
      </c>
      <c r="C212" t="s">
        <v>118</v>
      </c>
      <c r="D212">
        <v>1</v>
      </c>
      <c r="E212" s="7">
        <v>225</v>
      </c>
      <c r="H212">
        <v>55601</v>
      </c>
      <c r="I212" t="s">
        <v>353</v>
      </c>
      <c r="J212" t="s">
        <v>469</v>
      </c>
      <c r="K212" t="s">
        <v>3</v>
      </c>
      <c r="L212" s="2">
        <v>43220</v>
      </c>
      <c r="M212" s="2">
        <f>DOCXX[[#This Row],[INV DOC DATE]]+30</f>
        <v>43250</v>
      </c>
      <c r="N212" s="2">
        <v>43220</v>
      </c>
      <c r="O212" s="7">
        <v>225</v>
      </c>
      <c r="P212" s="2">
        <v>43250</v>
      </c>
      <c r="Q212" s="7">
        <f>$E212-$O212</f>
        <v>0</v>
      </c>
      <c r="R212" s="7" t="str">
        <f ca="1">IF(TODAY() - DOCXX[INV DUE DATE]&lt;30, "Less than 30 days",IF(TODAY()-DOCXX[INV DUE DATE]&lt;60,"30-60 days","More than 60 days"))</f>
        <v>30-60 days</v>
      </c>
      <c r="S212" t="s">
        <v>818</v>
      </c>
      <c r="T212" s="43" t="s">
        <v>2229</v>
      </c>
      <c r="U212" s="7" t="s">
        <v>3699</v>
      </c>
    </row>
    <row r="213" spans="1:21" x14ac:dyDescent="0.3">
      <c r="A213" s="14" t="s">
        <v>294</v>
      </c>
      <c r="B213" t="s">
        <v>30</v>
      </c>
      <c r="C213" t="s">
        <v>119</v>
      </c>
      <c r="D213">
        <v>1</v>
      </c>
      <c r="E213" s="7">
        <v>225</v>
      </c>
      <c r="H213">
        <v>55601</v>
      </c>
      <c r="I213" t="s">
        <v>353</v>
      </c>
      <c r="J213" t="s">
        <v>470</v>
      </c>
      <c r="K213" t="s">
        <v>3</v>
      </c>
      <c r="L213" s="2">
        <v>43220</v>
      </c>
      <c r="M213" s="2">
        <f>DOCXX[[#This Row],[INV DOC DATE]]+30</f>
        <v>43250</v>
      </c>
      <c r="N213" s="2">
        <v>43220</v>
      </c>
      <c r="O213" s="7">
        <v>225</v>
      </c>
      <c r="P213" s="2">
        <v>43250</v>
      </c>
      <c r="Q213" s="7">
        <f>$E213-$O213</f>
        <v>0</v>
      </c>
      <c r="R213" s="7" t="str">
        <f ca="1">IF(TODAY() - DOCXX[INV DUE DATE]&lt;30, "Less than 30 days",IF(TODAY()-DOCXX[INV DUE DATE]&lt;60,"30-60 days","More than 60 days"))</f>
        <v>30-60 days</v>
      </c>
      <c r="S213" t="s">
        <v>818</v>
      </c>
      <c r="T213" s="43" t="s">
        <v>2229</v>
      </c>
      <c r="U213" s="7" t="s">
        <v>3699</v>
      </c>
    </row>
    <row r="214" spans="1:21" x14ac:dyDescent="0.3">
      <c r="A214" s="14" t="s">
        <v>294</v>
      </c>
      <c r="B214" t="s">
        <v>30</v>
      </c>
      <c r="C214" t="s">
        <v>120</v>
      </c>
      <c r="D214">
        <v>1</v>
      </c>
      <c r="E214" s="7">
        <v>225</v>
      </c>
      <c r="H214">
        <v>55601</v>
      </c>
      <c r="I214" t="s">
        <v>353</v>
      </c>
      <c r="J214" t="s">
        <v>471</v>
      </c>
      <c r="K214" t="s">
        <v>3</v>
      </c>
      <c r="L214" s="2">
        <v>43220</v>
      </c>
      <c r="M214" s="2">
        <f>DOCXX[[#This Row],[INV DOC DATE]]+30</f>
        <v>43250</v>
      </c>
      <c r="N214" s="2">
        <v>43220</v>
      </c>
      <c r="O214" s="7">
        <v>225</v>
      </c>
      <c r="P214" s="2">
        <v>43250</v>
      </c>
      <c r="Q214" s="7">
        <f>$E214-$O214</f>
        <v>0</v>
      </c>
      <c r="R214" s="7" t="str">
        <f ca="1">IF(TODAY() - DOCXX[INV DUE DATE]&lt;30, "Less than 30 days",IF(TODAY()-DOCXX[INV DUE DATE]&lt;60,"30-60 days","More than 60 days"))</f>
        <v>30-60 days</v>
      </c>
      <c r="S214" t="s">
        <v>818</v>
      </c>
      <c r="T214" s="43" t="s">
        <v>2229</v>
      </c>
      <c r="U214" s="7" t="s">
        <v>3699</v>
      </c>
    </row>
    <row r="215" spans="1:21" x14ac:dyDescent="0.3">
      <c r="A215" s="14" t="s">
        <v>294</v>
      </c>
      <c r="B215" t="s">
        <v>30</v>
      </c>
      <c r="C215" t="s">
        <v>121</v>
      </c>
      <c r="D215">
        <v>1</v>
      </c>
      <c r="E215" s="7">
        <v>225</v>
      </c>
      <c r="H215">
        <v>55601</v>
      </c>
      <c r="I215" t="s">
        <v>353</v>
      </c>
      <c r="J215" t="s">
        <v>472</v>
      </c>
      <c r="K215" t="s">
        <v>3</v>
      </c>
      <c r="L215" s="2">
        <v>43220</v>
      </c>
      <c r="M215" s="2">
        <f>DOCXX[[#This Row],[INV DOC DATE]]+30</f>
        <v>43250</v>
      </c>
      <c r="N215" s="2">
        <v>43220</v>
      </c>
      <c r="O215" s="7">
        <v>225</v>
      </c>
      <c r="P215" s="2">
        <v>43250</v>
      </c>
      <c r="Q215" s="7">
        <f>$E215-$O215</f>
        <v>0</v>
      </c>
      <c r="R215" s="7" t="str">
        <f ca="1">IF(TODAY() - DOCXX[INV DUE DATE]&lt;30, "Less than 30 days",IF(TODAY()-DOCXX[INV DUE DATE]&lt;60,"30-60 days","More than 60 days"))</f>
        <v>30-60 days</v>
      </c>
      <c r="S215" t="s">
        <v>818</v>
      </c>
      <c r="T215" s="43" t="s">
        <v>2229</v>
      </c>
      <c r="U215" s="7" t="s">
        <v>3699</v>
      </c>
    </row>
    <row r="216" spans="1:21" x14ac:dyDescent="0.3">
      <c r="A216" s="14" t="s">
        <v>294</v>
      </c>
      <c r="B216" t="s">
        <v>30</v>
      </c>
      <c r="C216" t="s">
        <v>122</v>
      </c>
      <c r="D216">
        <v>1</v>
      </c>
      <c r="E216" s="7">
        <v>225</v>
      </c>
      <c r="H216">
        <v>55601</v>
      </c>
      <c r="I216" t="s">
        <v>353</v>
      </c>
      <c r="J216" t="s">
        <v>473</v>
      </c>
      <c r="K216" t="s">
        <v>3</v>
      </c>
      <c r="L216" s="2">
        <v>43220</v>
      </c>
      <c r="M216" s="2">
        <f>DOCXX[[#This Row],[INV DOC DATE]]+30</f>
        <v>43250</v>
      </c>
      <c r="N216" s="2">
        <v>43220</v>
      </c>
      <c r="O216" s="7">
        <v>225</v>
      </c>
      <c r="P216" s="2">
        <v>43250</v>
      </c>
      <c r="Q216" s="7">
        <f>$E216-$O216</f>
        <v>0</v>
      </c>
      <c r="R216" s="7" t="str">
        <f ca="1">IF(TODAY() - DOCXX[INV DUE DATE]&lt;30, "Less than 30 days",IF(TODAY()-DOCXX[INV DUE DATE]&lt;60,"30-60 days","More than 60 days"))</f>
        <v>30-60 days</v>
      </c>
      <c r="S216" t="s">
        <v>818</v>
      </c>
      <c r="T216" s="43" t="s">
        <v>2229</v>
      </c>
      <c r="U216" s="7" t="s">
        <v>3699</v>
      </c>
    </row>
    <row r="217" spans="1:21" x14ac:dyDescent="0.3">
      <c r="A217" s="14" t="s">
        <v>294</v>
      </c>
      <c r="B217" t="s">
        <v>30</v>
      </c>
      <c r="C217" t="s">
        <v>123</v>
      </c>
      <c r="D217">
        <v>1</v>
      </c>
      <c r="E217" s="7">
        <v>225</v>
      </c>
      <c r="H217">
        <v>55601</v>
      </c>
      <c r="I217" t="s">
        <v>353</v>
      </c>
      <c r="J217" t="s">
        <v>474</v>
      </c>
      <c r="K217" t="s">
        <v>3</v>
      </c>
      <c r="L217" s="2">
        <v>43220</v>
      </c>
      <c r="M217" s="2">
        <f>DOCXX[[#This Row],[INV DOC DATE]]+30</f>
        <v>43250</v>
      </c>
      <c r="N217" s="2">
        <v>43220</v>
      </c>
      <c r="O217" s="7">
        <v>225</v>
      </c>
      <c r="P217" s="2">
        <v>43250</v>
      </c>
      <c r="Q217" s="7">
        <f>$E217-$O217</f>
        <v>0</v>
      </c>
      <c r="R217" s="7" t="str">
        <f ca="1">IF(TODAY() - DOCXX[INV DUE DATE]&lt;30, "Less than 30 days",IF(TODAY()-DOCXX[INV DUE DATE]&lt;60,"30-60 days","More than 60 days"))</f>
        <v>30-60 days</v>
      </c>
      <c r="S217" t="s">
        <v>818</v>
      </c>
      <c r="T217" s="43" t="s">
        <v>2229</v>
      </c>
      <c r="U217" s="7" t="s">
        <v>3699</v>
      </c>
    </row>
    <row r="218" spans="1:21" x14ac:dyDescent="0.3">
      <c r="A218" s="14" t="s">
        <v>294</v>
      </c>
      <c r="B218" t="s">
        <v>30</v>
      </c>
      <c r="C218" t="s">
        <v>124</v>
      </c>
      <c r="D218">
        <v>1</v>
      </c>
      <c r="E218" s="7">
        <v>225</v>
      </c>
      <c r="H218">
        <v>55601</v>
      </c>
      <c r="I218" t="s">
        <v>353</v>
      </c>
      <c r="J218" t="s">
        <v>475</v>
      </c>
      <c r="K218" t="s">
        <v>3</v>
      </c>
      <c r="L218" s="2">
        <v>43220</v>
      </c>
      <c r="M218" s="2">
        <f>DOCXX[[#This Row],[INV DOC DATE]]+30</f>
        <v>43250</v>
      </c>
      <c r="N218" s="2">
        <v>43220</v>
      </c>
      <c r="O218" s="7">
        <v>225</v>
      </c>
      <c r="P218" s="2">
        <v>43250</v>
      </c>
      <c r="Q218" s="7">
        <f>$E218-$O218</f>
        <v>0</v>
      </c>
      <c r="R218" s="7" t="str">
        <f ca="1">IF(TODAY() - DOCXX[INV DUE DATE]&lt;30, "Less than 30 days",IF(TODAY()-DOCXX[INV DUE DATE]&lt;60,"30-60 days","More than 60 days"))</f>
        <v>30-60 days</v>
      </c>
      <c r="S218" t="s">
        <v>818</v>
      </c>
      <c r="T218" s="43" t="s">
        <v>2229</v>
      </c>
      <c r="U218" s="7" t="s">
        <v>3699</v>
      </c>
    </row>
    <row r="219" spans="1:21" x14ac:dyDescent="0.3">
      <c r="A219" s="14" t="s">
        <v>294</v>
      </c>
      <c r="B219" t="s">
        <v>30</v>
      </c>
      <c r="C219" t="s">
        <v>125</v>
      </c>
      <c r="D219">
        <v>1</v>
      </c>
      <c r="E219" s="7">
        <v>225</v>
      </c>
      <c r="H219">
        <v>55601</v>
      </c>
      <c r="I219" t="s">
        <v>353</v>
      </c>
      <c r="J219" t="s">
        <v>476</v>
      </c>
      <c r="K219" t="s">
        <v>3</v>
      </c>
      <c r="L219" s="2">
        <v>43220</v>
      </c>
      <c r="M219" s="2">
        <f>DOCXX[[#This Row],[INV DOC DATE]]+30</f>
        <v>43250</v>
      </c>
      <c r="N219" s="2">
        <v>43220</v>
      </c>
      <c r="O219" s="7">
        <v>225</v>
      </c>
      <c r="P219" s="2">
        <v>43250</v>
      </c>
      <c r="Q219" s="7">
        <f>$E219-$O219</f>
        <v>0</v>
      </c>
      <c r="R219" s="7" t="str">
        <f ca="1">IF(TODAY() - DOCXX[INV DUE DATE]&lt;30, "Less than 30 days",IF(TODAY()-DOCXX[INV DUE DATE]&lt;60,"30-60 days","More than 60 days"))</f>
        <v>30-60 days</v>
      </c>
      <c r="S219" t="s">
        <v>818</v>
      </c>
      <c r="T219" s="43" t="s">
        <v>2229</v>
      </c>
      <c r="U219" s="7" t="s">
        <v>3699</v>
      </c>
    </row>
    <row r="220" spans="1:21" x14ac:dyDescent="0.3">
      <c r="A220" s="14" t="s">
        <v>294</v>
      </c>
      <c r="B220" t="s">
        <v>30</v>
      </c>
      <c r="C220" t="s">
        <v>126</v>
      </c>
      <c r="D220">
        <v>1</v>
      </c>
      <c r="E220" s="7">
        <v>225</v>
      </c>
      <c r="H220">
        <v>55601</v>
      </c>
      <c r="I220" t="s">
        <v>353</v>
      </c>
      <c r="J220" t="s">
        <v>477</v>
      </c>
      <c r="K220" t="s">
        <v>3</v>
      </c>
      <c r="L220" s="2">
        <v>43220</v>
      </c>
      <c r="M220" s="2">
        <f>DOCXX[[#This Row],[INV DOC DATE]]+30</f>
        <v>43250</v>
      </c>
      <c r="N220" s="2">
        <v>43220</v>
      </c>
      <c r="O220" s="7">
        <v>225</v>
      </c>
      <c r="P220" s="2">
        <v>43250</v>
      </c>
      <c r="Q220" s="7">
        <f>$E220-$O220</f>
        <v>0</v>
      </c>
      <c r="R220" s="7" t="str">
        <f ca="1">IF(TODAY() - DOCXX[INV DUE DATE]&lt;30, "Less than 30 days",IF(TODAY()-DOCXX[INV DUE DATE]&lt;60,"30-60 days","More than 60 days"))</f>
        <v>30-60 days</v>
      </c>
      <c r="S220" t="s">
        <v>818</v>
      </c>
      <c r="T220" s="43" t="s">
        <v>2229</v>
      </c>
      <c r="U220" s="7" t="s">
        <v>3699</v>
      </c>
    </row>
    <row r="221" spans="1:21" x14ac:dyDescent="0.3">
      <c r="A221" s="14" t="s">
        <v>294</v>
      </c>
      <c r="B221" t="s">
        <v>30</v>
      </c>
      <c r="C221" t="s">
        <v>127</v>
      </c>
      <c r="D221">
        <v>1</v>
      </c>
      <c r="E221" s="7">
        <v>225</v>
      </c>
      <c r="H221">
        <v>55601</v>
      </c>
      <c r="I221" t="s">
        <v>353</v>
      </c>
      <c r="J221" t="s">
        <v>478</v>
      </c>
      <c r="K221" t="s">
        <v>3</v>
      </c>
      <c r="L221" s="2">
        <v>43220</v>
      </c>
      <c r="M221" s="2">
        <f>DOCXX[[#This Row],[INV DOC DATE]]+30</f>
        <v>43250</v>
      </c>
      <c r="N221" s="2">
        <v>43220</v>
      </c>
      <c r="O221" s="7">
        <v>225</v>
      </c>
      <c r="P221" s="2">
        <v>43250</v>
      </c>
      <c r="Q221" s="7">
        <f>$E221-$O221</f>
        <v>0</v>
      </c>
      <c r="R221" s="7" t="str">
        <f ca="1">IF(TODAY() - DOCXX[INV DUE DATE]&lt;30, "Less than 30 days",IF(TODAY()-DOCXX[INV DUE DATE]&lt;60,"30-60 days","More than 60 days"))</f>
        <v>30-60 days</v>
      </c>
      <c r="S221" t="s">
        <v>818</v>
      </c>
      <c r="T221" s="43" t="s">
        <v>2229</v>
      </c>
      <c r="U221" s="7" t="s">
        <v>3699</v>
      </c>
    </row>
    <row r="222" spans="1:21" x14ac:dyDescent="0.3">
      <c r="A222" s="14" t="s">
        <v>294</v>
      </c>
      <c r="B222" t="s">
        <v>30</v>
      </c>
      <c r="C222" t="s">
        <v>128</v>
      </c>
      <c r="D222">
        <v>1</v>
      </c>
      <c r="E222" s="7">
        <v>225</v>
      </c>
      <c r="H222">
        <v>55601</v>
      </c>
      <c r="I222" t="s">
        <v>353</v>
      </c>
      <c r="J222" t="s">
        <v>479</v>
      </c>
      <c r="K222" t="s">
        <v>3</v>
      </c>
      <c r="L222" s="2">
        <v>43220</v>
      </c>
      <c r="M222" s="2">
        <f>DOCXX[[#This Row],[INV DOC DATE]]+30</f>
        <v>43250</v>
      </c>
      <c r="N222" s="2">
        <v>43220</v>
      </c>
      <c r="O222" s="7">
        <v>225</v>
      </c>
      <c r="P222" s="2">
        <v>43250</v>
      </c>
      <c r="Q222" s="7">
        <f>$E222-$O222</f>
        <v>0</v>
      </c>
      <c r="R222" s="7" t="str">
        <f ca="1">IF(TODAY() - DOCXX[INV DUE DATE]&lt;30, "Less than 30 days",IF(TODAY()-DOCXX[INV DUE DATE]&lt;60,"30-60 days","More than 60 days"))</f>
        <v>30-60 days</v>
      </c>
      <c r="S222" t="s">
        <v>818</v>
      </c>
      <c r="T222" s="43" t="s">
        <v>2229</v>
      </c>
      <c r="U222" s="7" t="s">
        <v>3699</v>
      </c>
    </row>
    <row r="223" spans="1:21" x14ac:dyDescent="0.3">
      <c r="A223" s="14" t="s">
        <v>294</v>
      </c>
      <c r="B223" t="s">
        <v>30</v>
      </c>
      <c r="C223" t="s">
        <v>129</v>
      </c>
      <c r="D223">
        <v>1</v>
      </c>
      <c r="E223" s="7">
        <v>225</v>
      </c>
      <c r="H223">
        <v>55601</v>
      </c>
      <c r="I223" t="s">
        <v>353</v>
      </c>
      <c r="J223" t="s">
        <v>480</v>
      </c>
      <c r="K223" t="s">
        <v>3</v>
      </c>
      <c r="L223" s="2">
        <v>43220</v>
      </c>
      <c r="M223" s="2">
        <f>DOCXX[[#This Row],[INV DOC DATE]]+30</f>
        <v>43250</v>
      </c>
      <c r="N223" s="2">
        <v>43220</v>
      </c>
      <c r="O223" s="7">
        <v>225</v>
      </c>
      <c r="P223" s="2">
        <v>43250</v>
      </c>
      <c r="Q223" s="7">
        <f>$E223-$O223</f>
        <v>0</v>
      </c>
      <c r="R223" s="7" t="str">
        <f ca="1">IF(TODAY() - DOCXX[INV DUE DATE]&lt;30, "Less than 30 days",IF(TODAY()-DOCXX[INV DUE DATE]&lt;60,"30-60 days","More than 60 days"))</f>
        <v>30-60 days</v>
      </c>
      <c r="S223" t="s">
        <v>818</v>
      </c>
      <c r="T223" s="43" t="s">
        <v>2229</v>
      </c>
      <c r="U223" s="7" t="s">
        <v>3699</v>
      </c>
    </row>
    <row r="224" spans="1:21" x14ac:dyDescent="0.3">
      <c r="A224" s="14" t="s">
        <v>294</v>
      </c>
      <c r="B224" t="s">
        <v>30</v>
      </c>
      <c r="C224" t="s">
        <v>130</v>
      </c>
      <c r="D224">
        <v>1</v>
      </c>
      <c r="E224" s="7">
        <v>225</v>
      </c>
      <c r="H224">
        <v>55601</v>
      </c>
      <c r="I224" t="s">
        <v>353</v>
      </c>
      <c r="J224" t="s">
        <v>481</v>
      </c>
      <c r="K224" t="s">
        <v>3</v>
      </c>
      <c r="L224" s="2">
        <v>43220</v>
      </c>
      <c r="M224" s="2">
        <f>DOCXX[[#This Row],[INV DOC DATE]]+30</f>
        <v>43250</v>
      </c>
      <c r="N224" s="2">
        <v>43220</v>
      </c>
      <c r="O224" s="7">
        <v>225</v>
      </c>
      <c r="P224" s="2">
        <v>43250</v>
      </c>
      <c r="Q224" s="7">
        <f>$E224-$O224</f>
        <v>0</v>
      </c>
      <c r="R224" s="7" t="str">
        <f ca="1">IF(TODAY() - DOCXX[INV DUE DATE]&lt;30, "Less than 30 days",IF(TODAY()-DOCXX[INV DUE DATE]&lt;60,"30-60 days","More than 60 days"))</f>
        <v>30-60 days</v>
      </c>
      <c r="S224" t="s">
        <v>818</v>
      </c>
      <c r="T224" s="43" t="s">
        <v>2229</v>
      </c>
      <c r="U224" s="7" t="s">
        <v>3699</v>
      </c>
    </row>
    <row r="225" spans="1:21" x14ac:dyDescent="0.3">
      <c r="A225" s="14" t="s">
        <v>294</v>
      </c>
      <c r="B225" t="s">
        <v>30</v>
      </c>
      <c r="C225" t="s">
        <v>131</v>
      </c>
      <c r="D225">
        <v>1</v>
      </c>
      <c r="E225" s="7">
        <v>225</v>
      </c>
      <c r="H225">
        <v>55601</v>
      </c>
      <c r="I225" t="s">
        <v>353</v>
      </c>
      <c r="J225" t="s">
        <v>482</v>
      </c>
      <c r="K225" t="s">
        <v>3</v>
      </c>
      <c r="L225" s="2">
        <v>43220</v>
      </c>
      <c r="M225" s="2">
        <f>DOCXX[[#This Row],[INV DOC DATE]]+30</f>
        <v>43250</v>
      </c>
      <c r="N225" s="2">
        <v>43220</v>
      </c>
      <c r="O225" s="7">
        <v>225</v>
      </c>
      <c r="P225" s="2">
        <v>43250</v>
      </c>
      <c r="Q225" s="7">
        <f>$E225-$O225</f>
        <v>0</v>
      </c>
      <c r="R225" s="7" t="str">
        <f ca="1">IF(TODAY() - DOCXX[INV DUE DATE]&lt;30, "Less than 30 days",IF(TODAY()-DOCXX[INV DUE DATE]&lt;60,"30-60 days","More than 60 days"))</f>
        <v>30-60 days</v>
      </c>
      <c r="S225" t="s">
        <v>818</v>
      </c>
      <c r="T225" s="43" t="s">
        <v>2229</v>
      </c>
      <c r="U225" s="7" t="s">
        <v>3699</v>
      </c>
    </row>
    <row r="226" spans="1:21" x14ac:dyDescent="0.3">
      <c r="A226" s="14" t="s">
        <v>294</v>
      </c>
      <c r="B226" t="s">
        <v>30</v>
      </c>
      <c r="C226" t="s">
        <v>132</v>
      </c>
      <c r="D226">
        <v>1</v>
      </c>
      <c r="E226" s="7">
        <v>225</v>
      </c>
      <c r="H226">
        <v>55601</v>
      </c>
      <c r="I226" t="s">
        <v>353</v>
      </c>
      <c r="J226" t="s">
        <v>483</v>
      </c>
      <c r="K226" t="s">
        <v>3</v>
      </c>
      <c r="L226" s="2">
        <v>43220</v>
      </c>
      <c r="M226" s="2">
        <f>DOCXX[[#This Row],[INV DOC DATE]]+30</f>
        <v>43250</v>
      </c>
      <c r="N226" s="2">
        <v>43220</v>
      </c>
      <c r="O226" s="7">
        <v>225</v>
      </c>
      <c r="P226" s="2">
        <v>43250</v>
      </c>
      <c r="Q226" s="7">
        <f>$E226-$O226</f>
        <v>0</v>
      </c>
      <c r="R226" s="7" t="str">
        <f ca="1">IF(TODAY() - DOCXX[INV DUE DATE]&lt;30, "Less than 30 days",IF(TODAY()-DOCXX[INV DUE DATE]&lt;60,"30-60 days","More than 60 days"))</f>
        <v>30-60 days</v>
      </c>
      <c r="S226" t="s">
        <v>818</v>
      </c>
      <c r="T226" s="43" t="s">
        <v>2229</v>
      </c>
      <c r="U226" s="7" t="s">
        <v>3699</v>
      </c>
    </row>
    <row r="227" spans="1:21" x14ac:dyDescent="0.3">
      <c r="A227" s="14" t="s">
        <v>294</v>
      </c>
      <c r="B227" t="s">
        <v>30</v>
      </c>
      <c r="C227" t="s">
        <v>133</v>
      </c>
      <c r="D227">
        <v>1</v>
      </c>
      <c r="E227" s="7">
        <v>225</v>
      </c>
      <c r="H227">
        <v>55601</v>
      </c>
      <c r="I227" t="s">
        <v>353</v>
      </c>
      <c r="J227" t="s">
        <v>484</v>
      </c>
      <c r="K227" t="s">
        <v>3</v>
      </c>
      <c r="L227" s="2">
        <v>43220</v>
      </c>
      <c r="M227" s="2">
        <f>DOCXX[[#This Row],[INV DOC DATE]]+30</f>
        <v>43250</v>
      </c>
      <c r="N227" s="2">
        <v>43220</v>
      </c>
      <c r="O227" s="7">
        <v>225</v>
      </c>
      <c r="P227" s="2">
        <v>43250</v>
      </c>
      <c r="Q227" s="7">
        <f>$E227-$O227</f>
        <v>0</v>
      </c>
      <c r="R227" s="7" t="str">
        <f ca="1">IF(TODAY() - DOCXX[INV DUE DATE]&lt;30, "Less than 30 days",IF(TODAY()-DOCXX[INV DUE DATE]&lt;60,"30-60 days","More than 60 days"))</f>
        <v>30-60 days</v>
      </c>
      <c r="S227" t="s">
        <v>818</v>
      </c>
      <c r="T227" s="43" t="s">
        <v>2229</v>
      </c>
      <c r="U227" s="7" t="s">
        <v>3699</v>
      </c>
    </row>
    <row r="228" spans="1:21" x14ac:dyDescent="0.3">
      <c r="A228" s="14" t="s">
        <v>294</v>
      </c>
      <c r="B228" t="s">
        <v>30</v>
      </c>
      <c r="C228" t="s">
        <v>134</v>
      </c>
      <c r="D228">
        <v>1</v>
      </c>
      <c r="E228" s="7">
        <v>225</v>
      </c>
      <c r="H228">
        <v>55601</v>
      </c>
      <c r="I228" t="s">
        <v>353</v>
      </c>
      <c r="J228" t="s">
        <v>485</v>
      </c>
      <c r="K228" t="s">
        <v>3</v>
      </c>
      <c r="L228" s="2">
        <v>43220</v>
      </c>
      <c r="M228" s="2">
        <f>DOCXX[[#This Row],[INV DOC DATE]]+30</f>
        <v>43250</v>
      </c>
      <c r="N228" s="2">
        <v>43220</v>
      </c>
      <c r="O228" s="7">
        <v>225</v>
      </c>
      <c r="P228" s="2">
        <v>43250</v>
      </c>
      <c r="Q228" s="7">
        <f>$E228-$O228</f>
        <v>0</v>
      </c>
      <c r="R228" s="7" t="str">
        <f ca="1">IF(TODAY() - DOCXX[INV DUE DATE]&lt;30, "Less than 30 days",IF(TODAY()-DOCXX[INV DUE DATE]&lt;60,"30-60 days","More than 60 days"))</f>
        <v>30-60 days</v>
      </c>
      <c r="S228" t="s">
        <v>818</v>
      </c>
      <c r="T228" s="43" t="s">
        <v>2229</v>
      </c>
      <c r="U228" s="7" t="s">
        <v>3699</v>
      </c>
    </row>
    <row r="229" spans="1:21" x14ac:dyDescent="0.3">
      <c r="A229" s="14" t="s">
        <v>294</v>
      </c>
      <c r="B229" t="s">
        <v>30</v>
      </c>
      <c r="C229" t="s">
        <v>135</v>
      </c>
      <c r="D229">
        <v>1</v>
      </c>
      <c r="E229" s="7">
        <v>225</v>
      </c>
      <c r="H229">
        <v>55601</v>
      </c>
      <c r="I229" t="s">
        <v>353</v>
      </c>
      <c r="J229" t="s">
        <v>486</v>
      </c>
      <c r="K229" t="s">
        <v>3</v>
      </c>
      <c r="L229" s="2">
        <v>43220</v>
      </c>
      <c r="M229" s="2">
        <f>DOCXX[[#This Row],[INV DOC DATE]]+30</f>
        <v>43250</v>
      </c>
      <c r="N229" s="2">
        <v>43220</v>
      </c>
      <c r="O229" s="7">
        <v>225</v>
      </c>
      <c r="P229" s="2">
        <v>43250</v>
      </c>
      <c r="Q229" s="7">
        <f>$E229-$O229</f>
        <v>0</v>
      </c>
      <c r="R229" s="7" t="str">
        <f ca="1">IF(TODAY() - DOCXX[INV DUE DATE]&lt;30, "Less than 30 days",IF(TODAY()-DOCXX[INV DUE DATE]&lt;60,"30-60 days","More than 60 days"))</f>
        <v>30-60 days</v>
      </c>
      <c r="S229" t="s">
        <v>818</v>
      </c>
      <c r="T229" s="43" t="s">
        <v>2229</v>
      </c>
      <c r="U229" s="7" t="s">
        <v>3699</v>
      </c>
    </row>
    <row r="230" spans="1:21" x14ac:dyDescent="0.3">
      <c r="A230" s="14" t="s">
        <v>294</v>
      </c>
      <c r="B230" t="s">
        <v>30</v>
      </c>
      <c r="C230" t="s">
        <v>136</v>
      </c>
      <c r="D230">
        <v>1</v>
      </c>
      <c r="E230" s="7">
        <v>225</v>
      </c>
      <c r="H230">
        <v>55601</v>
      </c>
      <c r="I230" t="s">
        <v>353</v>
      </c>
      <c r="J230" t="s">
        <v>487</v>
      </c>
      <c r="K230" t="s">
        <v>3</v>
      </c>
      <c r="L230" s="2">
        <v>43220</v>
      </c>
      <c r="M230" s="2">
        <f>DOCXX[[#This Row],[INV DOC DATE]]+30</f>
        <v>43250</v>
      </c>
      <c r="N230" s="2">
        <v>43220</v>
      </c>
      <c r="O230" s="7">
        <v>225</v>
      </c>
      <c r="P230" s="2">
        <v>43250</v>
      </c>
      <c r="Q230" s="7">
        <f>$E230-$O230</f>
        <v>0</v>
      </c>
      <c r="R230" s="7" t="str">
        <f ca="1">IF(TODAY() - DOCXX[INV DUE DATE]&lt;30, "Less than 30 days",IF(TODAY()-DOCXX[INV DUE DATE]&lt;60,"30-60 days","More than 60 days"))</f>
        <v>30-60 days</v>
      </c>
      <c r="S230" t="s">
        <v>818</v>
      </c>
      <c r="T230" s="43" t="s">
        <v>2229</v>
      </c>
      <c r="U230" s="7" t="s">
        <v>3699</v>
      </c>
    </row>
    <row r="231" spans="1:21" x14ac:dyDescent="0.3">
      <c r="A231" s="14" t="s">
        <v>294</v>
      </c>
      <c r="B231" t="s">
        <v>30</v>
      </c>
      <c r="C231" t="s">
        <v>137</v>
      </c>
      <c r="D231">
        <v>1</v>
      </c>
      <c r="E231" s="7">
        <v>225</v>
      </c>
      <c r="H231">
        <v>55601</v>
      </c>
      <c r="I231" t="s">
        <v>353</v>
      </c>
      <c r="J231" t="s">
        <v>488</v>
      </c>
      <c r="K231" t="s">
        <v>3</v>
      </c>
      <c r="L231" s="2">
        <v>43220</v>
      </c>
      <c r="M231" s="2">
        <f>DOCXX[[#This Row],[INV DOC DATE]]+30</f>
        <v>43250</v>
      </c>
      <c r="N231" s="2">
        <v>43220</v>
      </c>
      <c r="O231" s="7">
        <v>225</v>
      </c>
      <c r="P231" s="2">
        <v>43250</v>
      </c>
      <c r="Q231" s="7">
        <f>$E231-$O231</f>
        <v>0</v>
      </c>
      <c r="R231" s="7" t="str">
        <f ca="1">IF(TODAY() - DOCXX[INV DUE DATE]&lt;30, "Less than 30 days",IF(TODAY()-DOCXX[INV DUE DATE]&lt;60,"30-60 days","More than 60 days"))</f>
        <v>30-60 days</v>
      </c>
      <c r="S231" t="s">
        <v>818</v>
      </c>
      <c r="T231" s="43" t="s">
        <v>2229</v>
      </c>
      <c r="U231" s="7" t="s">
        <v>3699</v>
      </c>
    </row>
    <row r="232" spans="1:21" x14ac:dyDescent="0.3">
      <c r="A232" s="14" t="s">
        <v>294</v>
      </c>
      <c r="B232" t="s">
        <v>30</v>
      </c>
      <c r="C232" t="s">
        <v>138</v>
      </c>
      <c r="D232">
        <v>1</v>
      </c>
      <c r="E232" s="7">
        <v>225</v>
      </c>
      <c r="H232">
        <v>55601</v>
      </c>
      <c r="I232" t="s">
        <v>353</v>
      </c>
      <c r="J232" t="s">
        <v>489</v>
      </c>
      <c r="K232" t="s">
        <v>3</v>
      </c>
      <c r="L232" s="2">
        <v>43220</v>
      </c>
      <c r="M232" s="2">
        <f>DOCXX[[#This Row],[INV DOC DATE]]+30</f>
        <v>43250</v>
      </c>
      <c r="N232" s="2">
        <v>43220</v>
      </c>
      <c r="O232" s="7">
        <v>225</v>
      </c>
      <c r="P232" s="2">
        <v>43250</v>
      </c>
      <c r="Q232" s="7">
        <f>$E232-$O232</f>
        <v>0</v>
      </c>
      <c r="R232" s="7" t="str">
        <f ca="1">IF(TODAY() - DOCXX[INV DUE DATE]&lt;30, "Less than 30 days",IF(TODAY()-DOCXX[INV DUE DATE]&lt;60,"30-60 days","More than 60 days"))</f>
        <v>30-60 days</v>
      </c>
      <c r="S232" t="s">
        <v>818</v>
      </c>
      <c r="T232" s="43" t="s">
        <v>2229</v>
      </c>
      <c r="U232" s="7" t="s">
        <v>3699</v>
      </c>
    </row>
    <row r="233" spans="1:21" x14ac:dyDescent="0.3">
      <c r="A233" s="14" t="s">
        <v>294</v>
      </c>
      <c r="B233" t="s">
        <v>30</v>
      </c>
      <c r="C233" t="s">
        <v>139</v>
      </c>
      <c r="D233">
        <v>1</v>
      </c>
      <c r="E233" s="7">
        <v>172.5</v>
      </c>
      <c r="H233">
        <v>55601</v>
      </c>
      <c r="I233" t="s">
        <v>353</v>
      </c>
      <c r="J233" t="s">
        <v>490</v>
      </c>
      <c r="K233" t="s">
        <v>3</v>
      </c>
      <c r="L233" s="2">
        <v>43220</v>
      </c>
      <c r="M233" s="2">
        <f>DOCXX[[#This Row],[INV DOC DATE]]+30</f>
        <v>43250</v>
      </c>
      <c r="N233" s="2">
        <v>43220</v>
      </c>
      <c r="O233" s="7">
        <v>172.5</v>
      </c>
      <c r="P233" s="2">
        <v>43250</v>
      </c>
      <c r="Q233" s="7">
        <f>$E233-$O233</f>
        <v>0</v>
      </c>
      <c r="R233" s="7" t="str">
        <f ca="1">IF(TODAY() - DOCXX[INV DUE DATE]&lt;30, "Less than 30 days",IF(TODAY()-DOCXX[INV DUE DATE]&lt;60,"30-60 days","More than 60 days"))</f>
        <v>30-60 days</v>
      </c>
      <c r="S233" t="s">
        <v>818</v>
      </c>
      <c r="T233" s="43" t="s">
        <v>2229</v>
      </c>
      <c r="U233" s="7" t="s">
        <v>3699</v>
      </c>
    </row>
    <row r="234" spans="1:21" x14ac:dyDescent="0.3">
      <c r="A234" s="14" t="s">
        <v>294</v>
      </c>
      <c r="B234" t="s">
        <v>30</v>
      </c>
      <c r="C234" t="s">
        <v>140</v>
      </c>
      <c r="D234">
        <v>1</v>
      </c>
      <c r="E234" s="7">
        <v>172.5</v>
      </c>
      <c r="H234">
        <v>55609</v>
      </c>
      <c r="I234" t="s">
        <v>349</v>
      </c>
      <c r="J234" t="s">
        <v>491</v>
      </c>
      <c r="K234" t="s">
        <v>3</v>
      </c>
      <c r="L234" s="2">
        <v>43220</v>
      </c>
      <c r="M234" s="2">
        <f>DOCXX[[#This Row],[INV DOC DATE]]+30</f>
        <v>43250</v>
      </c>
      <c r="N234" s="2">
        <v>43220</v>
      </c>
      <c r="O234" s="7">
        <v>172.5</v>
      </c>
      <c r="P234" s="2">
        <v>43250</v>
      </c>
      <c r="Q234" s="7">
        <f>$E234-$O234</f>
        <v>0</v>
      </c>
      <c r="R234" s="7" t="str">
        <f ca="1">IF(TODAY() - DOCXX[INV DUE DATE]&lt;30, "Less than 30 days",IF(TODAY()-DOCXX[INV DUE DATE]&lt;60,"30-60 days","More than 60 days"))</f>
        <v>30-60 days</v>
      </c>
      <c r="S234" t="s">
        <v>818</v>
      </c>
      <c r="T234" s="43" t="s">
        <v>2229</v>
      </c>
      <c r="U234" s="7" t="s">
        <v>3699</v>
      </c>
    </row>
    <row r="235" spans="1:21" x14ac:dyDescent="0.3">
      <c r="A235" s="14" t="s">
        <v>294</v>
      </c>
      <c r="B235" t="s">
        <v>30</v>
      </c>
      <c r="C235" t="s">
        <v>141</v>
      </c>
      <c r="D235">
        <v>1</v>
      </c>
      <c r="E235" s="7">
        <v>172.5</v>
      </c>
      <c r="H235">
        <v>55785</v>
      </c>
      <c r="I235" t="s">
        <v>354</v>
      </c>
      <c r="J235" t="s">
        <v>492</v>
      </c>
      <c r="K235" t="s">
        <v>3</v>
      </c>
      <c r="L235" s="2">
        <v>43220</v>
      </c>
      <c r="M235" s="2">
        <f>DOCXX[[#This Row],[INV DOC DATE]]+30</f>
        <v>43250</v>
      </c>
      <c r="N235" s="2">
        <v>43220</v>
      </c>
      <c r="O235" s="7">
        <v>172.5</v>
      </c>
      <c r="P235" s="2">
        <v>43250</v>
      </c>
      <c r="Q235" s="7">
        <f>$E235-$O235</f>
        <v>0</v>
      </c>
      <c r="R235" s="7" t="str">
        <f ca="1">IF(TODAY() - DOCXX[INV DUE DATE]&lt;30, "Less than 30 days",IF(TODAY()-DOCXX[INV DUE DATE]&lt;60,"30-60 days","More than 60 days"))</f>
        <v>30-60 days</v>
      </c>
      <c r="S235" t="s">
        <v>818</v>
      </c>
      <c r="T235" s="43" t="s">
        <v>2229</v>
      </c>
      <c r="U235" s="7" t="s">
        <v>3699</v>
      </c>
    </row>
    <row r="236" spans="1:21" x14ac:dyDescent="0.3">
      <c r="A236" s="14" t="s">
        <v>294</v>
      </c>
      <c r="B236" t="s">
        <v>30</v>
      </c>
      <c r="C236" t="s">
        <v>142</v>
      </c>
      <c r="D236">
        <v>1</v>
      </c>
      <c r="E236" s="7">
        <v>270</v>
      </c>
      <c r="H236">
        <v>58008</v>
      </c>
      <c r="I236" t="s">
        <v>355</v>
      </c>
      <c r="J236" t="s">
        <v>493</v>
      </c>
      <c r="K236" t="s">
        <v>3</v>
      </c>
      <c r="L236" s="2">
        <v>43220</v>
      </c>
      <c r="M236" s="2">
        <f>DOCXX[[#This Row],[INV DOC DATE]]+30</f>
        <v>43250</v>
      </c>
      <c r="N236" s="2">
        <v>43220</v>
      </c>
      <c r="O236" s="7">
        <v>270</v>
      </c>
      <c r="P236" s="2">
        <v>43250</v>
      </c>
      <c r="Q236" s="7">
        <f>$E236-$O236</f>
        <v>0</v>
      </c>
      <c r="R236" s="7" t="str">
        <f ca="1">IF(TODAY() - DOCXX[INV DUE DATE]&lt;30, "Less than 30 days",IF(TODAY()-DOCXX[INV DUE DATE]&lt;60,"30-60 days","More than 60 days"))</f>
        <v>30-60 days</v>
      </c>
      <c r="S236" t="s">
        <v>818</v>
      </c>
      <c r="T236" s="43" t="s">
        <v>2229</v>
      </c>
      <c r="U236" s="7" t="s">
        <v>3699</v>
      </c>
    </row>
    <row r="237" spans="1:21" x14ac:dyDescent="0.3">
      <c r="A237" s="14" t="s">
        <v>294</v>
      </c>
      <c r="B237" t="s">
        <v>30</v>
      </c>
      <c r="C237" t="s">
        <v>143</v>
      </c>
      <c r="D237">
        <v>1</v>
      </c>
      <c r="E237" s="7">
        <v>270</v>
      </c>
      <c r="H237">
        <v>58008</v>
      </c>
      <c r="I237" t="s">
        <v>355</v>
      </c>
      <c r="J237" t="s">
        <v>494</v>
      </c>
      <c r="K237" t="s">
        <v>3</v>
      </c>
      <c r="L237" s="2">
        <v>43220</v>
      </c>
      <c r="M237" s="2">
        <f>DOCXX[[#This Row],[INV DOC DATE]]+30</f>
        <v>43250</v>
      </c>
      <c r="N237" s="2">
        <v>43220</v>
      </c>
      <c r="O237" s="7">
        <v>270</v>
      </c>
      <c r="P237" s="2">
        <v>43250</v>
      </c>
      <c r="Q237" s="7">
        <f>$E237-$O237</f>
        <v>0</v>
      </c>
      <c r="R237" s="7" t="str">
        <f ca="1">IF(TODAY() - DOCXX[INV DUE DATE]&lt;30, "Less than 30 days",IF(TODAY()-DOCXX[INV DUE DATE]&lt;60,"30-60 days","More than 60 days"))</f>
        <v>30-60 days</v>
      </c>
      <c r="S237" t="s">
        <v>818</v>
      </c>
      <c r="T237" s="43" t="s">
        <v>2229</v>
      </c>
      <c r="U237" s="7" t="s">
        <v>3699</v>
      </c>
    </row>
    <row r="238" spans="1:21" x14ac:dyDescent="0.3">
      <c r="A238" s="14" t="s">
        <v>294</v>
      </c>
      <c r="B238" t="s">
        <v>30</v>
      </c>
      <c r="C238" t="s">
        <v>144</v>
      </c>
      <c r="D238">
        <v>1</v>
      </c>
      <c r="E238" s="7">
        <v>270</v>
      </c>
      <c r="H238">
        <v>58008</v>
      </c>
      <c r="I238" t="s">
        <v>355</v>
      </c>
      <c r="J238" t="s">
        <v>495</v>
      </c>
      <c r="K238" t="s">
        <v>3</v>
      </c>
      <c r="L238" s="2">
        <v>43220</v>
      </c>
      <c r="M238" s="2">
        <f>DOCXX[[#This Row],[INV DOC DATE]]+30</f>
        <v>43250</v>
      </c>
      <c r="N238" s="2">
        <v>43220</v>
      </c>
      <c r="O238" s="7">
        <v>270</v>
      </c>
      <c r="P238" s="2">
        <v>43250</v>
      </c>
      <c r="Q238" s="7">
        <f>$E238-$O238</f>
        <v>0</v>
      </c>
      <c r="R238" s="7" t="str">
        <f ca="1">IF(TODAY() - DOCXX[INV DUE DATE]&lt;30, "Less than 30 days",IF(TODAY()-DOCXX[INV DUE DATE]&lt;60,"30-60 days","More than 60 days"))</f>
        <v>30-60 days</v>
      </c>
      <c r="S238" t="s">
        <v>818</v>
      </c>
      <c r="T238" s="43" t="s">
        <v>2229</v>
      </c>
      <c r="U238" s="7" t="s">
        <v>3699</v>
      </c>
    </row>
    <row r="239" spans="1:21" x14ac:dyDescent="0.3">
      <c r="A239" s="14" t="s">
        <v>294</v>
      </c>
      <c r="B239" t="s">
        <v>30</v>
      </c>
      <c r="C239" t="s">
        <v>145</v>
      </c>
      <c r="D239">
        <v>1</v>
      </c>
      <c r="E239" s="7">
        <v>270</v>
      </c>
      <c r="H239">
        <v>58008</v>
      </c>
      <c r="I239" t="s">
        <v>355</v>
      </c>
      <c r="J239" t="s">
        <v>496</v>
      </c>
      <c r="K239" t="s">
        <v>3</v>
      </c>
      <c r="L239" s="2">
        <v>43220</v>
      </c>
      <c r="M239" s="2">
        <f>DOCXX[[#This Row],[INV DOC DATE]]+30</f>
        <v>43250</v>
      </c>
      <c r="N239" s="2">
        <v>43220</v>
      </c>
      <c r="O239" s="7">
        <v>270</v>
      </c>
      <c r="P239" s="2">
        <v>43250</v>
      </c>
      <c r="Q239" s="7">
        <f>$E239-$O239</f>
        <v>0</v>
      </c>
      <c r="R239" s="7" t="str">
        <f ca="1">IF(TODAY() - DOCXX[INV DUE DATE]&lt;30, "Less than 30 days",IF(TODAY()-DOCXX[INV DUE DATE]&lt;60,"30-60 days","More than 60 days"))</f>
        <v>30-60 days</v>
      </c>
      <c r="S239" t="s">
        <v>818</v>
      </c>
      <c r="T239" s="43" t="s">
        <v>2229</v>
      </c>
      <c r="U239" s="7" t="s">
        <v>3699</v>
      </c>
    </row>
    <row r="240" spans="1:21" x14ac:dyDescent="0.3">
      <c r="A240" s="14" t="s">
        <v>294</v>
      </c>
      <c r="B240" t="s">
        <v>30</v>
      </c>
      <c r="C240" t="s">
        <v>146</v>
      </c>
      <c r="D240">
        <v>1</v>
      </c>
      <c r="E240" s="7">
        <v>270</v>
      </c>
      <c r="H240">
        <v>58008</v>
      </c>
      <c r="I240" t="s">
        <v>355</v>
      </c>
      <c r="J240" t="s">
        <v>497</v>
      </c>
      <c r="K240" t="s">
        <v>3</v>
      </c>
      <c r="L240" s="2">
        <v>43220</v>
      </c>
      <c r="M240" s="2">
        <f>DOCXX[[#This Row],[INV DOC DATE]]+30</f>
        <v>43250</v>
      </c>
      <c r="N240" s="2">
        <v>43220</v>
      </c>
      <c r="O240" s="7">
        <v>270</v>
      </c>
      <c r="P240" s="2">
        <v>43250</v>
      </c>
      <c r="Q240" s="7">
        <f>$E240-$O240</f>
        <v>0</v>
      </c>
      <c r="R240" s="7" t="str">
        <f ca="1">IF(TODAY() - DOCXX[INV DUE DATE]&lt;30, "Less than 30 days",IF(TODAY()-DOCXX[INV DUE DATE]&lt;60,"30-60 days","More than 60 days"))</f>
        <v>30-60 days</v>
      </c>
      <c r="S240" t="s">
        <v>818</v>
      </c>
      <c r="T240" s="43" t="s">
        <v>2229</v>
      </c>
      <c r="U240" s="7" t="s">
        <v>3699</v>
      </c>
    </row>
    <row r="241" spans="1:21" x14ac:dyDescent="0.3">
      <c r="A241" s="14" t="s">
        <v>294</v>
      </c>
      <c r="B241" t="s">
        <v>30</v>
      </c>
      <c r="C241" t="s">
        <v>147</v>
      </c>
      <c r="D241">
        <v>1</v>
      </c>
      <c r="E241" s="7">
        <v>172.5</v>
      </c>
      <c r="H241">
        <v>58008</v>
      </c>
      <c r="I241" t="s">
        <v>355</v>
      </c>
      <c r="J241" t="s">
        <v>498</v>
      </c>
      <c r="K241" t="s">
        <v>3</v>
      </c>
      <c r="L241" s="2">
        <v>43220</v>
      </c>
      <c r="M241" s="2">
        <f>DOCXX[[#This Row],[INV DOC DATE]]+30</f>
        <v>43250</v>
      </c>
      <c r="N241" s="2">
        <v>43220</v>
      </c>
      <c r="O241" s="7">
        <v>172.5</v>
      </c>
      <c r="P241" s="2">
        <v>43250</v>
      </c>
      <c r="Q241" s="7">
        <f>$E241-$O241</f>
        <v>0</v>
      </c>
      <c r="R241" s="7" t="str">
        <f ca="1">IF(TODAY() - DOCXX[INV DUE DATE]&lt;30, "Less than 30 days",IF(TODAY()-DOCXX[INV DUE DATE]&lt;60,"30-60 days","More than 60 days"))</f>
        <v>30-60 days</v>
      </c>
      <c r="S241" t="s">
        <v>818</v>
      </c>
      <c r="T241" s="43" t="s">
        <v>2229</v>
      </c>
      <c r="U241" s="7" t="s">
        <v>3699</v>
      </c>
    </row>
    <row r="242" spans="1:21" x14ac:dyDescent="0.3">
      <c r="A242" s="14" t="s">
        <v>294</v>
      </c>
      <c r="B242" t="s">
        <v>30</v>
      </c>
      <c r="C242" t="s">
        <v>148</v>
      </c>
      <c r="D242">
        <v>1</v>
      </c>
      <c r="E242" s="7">
        <v>172.5</v>
      </c>
      <c r="H242">
        <v>58008</v>
      </c>
      <c r="I242" t="s">
        <v>355</v>
      </c>
      <c r="J242" t="s">
        <v>499</v>
      </c>
      <c r="K242" t="s">
        <v>3</v>
      </c>
      <c r="L242" s="2">
        <v>43220</v>
      </c>
      <c r="M242" s="2">
        <f>DOCXX[[#This Row],[INV DOC DATE]]+30</f>
        <v>43250</v>
      </c>
      <c r="N242" s="2">
        <v>43220</v>
      </c>
      <c r="O242" s="7">
        <v>172.5</v>
      </c>
      <c r="P242" s="2">
        <v>43250</v>
      </c>
      <c r="Q242" s="7">
        <f>$E242-$O242</f>
        <v>0</v>
      </c>
      <c r="R242" s="7" t="str">
        <f ca="1">IF(TODAY() - DOCXX[INV DUE DATE]&lt;30, "Less than 30 days",IF(TODAY()-DOCXX[INV DUE DATE]&lt;60,"30-60 days","More than 60 days"))</f>
        <v>30-60 days</v>
      </c>
      <c r="S242" t="s">
        <v>818</v>
      </c>
      <c r="T242" s="43" t="s">
        <v>2229</v>
      </c>
      <c r="U242" s="7" t="s">
        <v>3699</v>
      </c>
    </row>
    <row r="243" spans="1:21" x14ac:dyDescent="0.3">
      <c r="A243" s="14" t="s">
        <v>294</v>
      </c>
      <c r="B243" t="s">
        <v>30</v>
      </c>
      <c r="C243" t="s">
        <v>149</v>
      </c>
      <c r="D243">
        <v>1</v>
      </c>
      <c r="E243" s="7">
        <v>480</v>
      </c>
      <c r="H243">
        <v>58008</v>
      </c>
      <c r="I243" t="s">
        <v>355</v>
      </c>
      <c r="J243" t="s">
        <v>500</v>
      </c>
      <c r="K243" t="s">
        <v>3</v>
      </c>
      <c r="L243" s="2">
        <v>43220</v>
      </c>
      <c r="M243" s="2">
        <f>DOCXX[[#This Row],[INV DOC DATE]]+30</f>
        <v>43250</v>
      </c>
      <c r="N243" s="2">
        <v>43220</v>
      </c>
      <c r="O243" s="7">
        <v>480</v>
      </c>
      <c r="P243" s="2">
        <v>43250</v>
      </c>
      <c r="Q243" s="7">
        <f>$E243-$O243</f>
        <v>0</v>
      </c>
      <c r="R243" s="7" t="str">
        <f ca="1">IF(TODAY() - DOCXX[INV DUE DATE]&lt;30, "Less than 30 days",IF(TODAY()-DOCXX[INV DUE DATE]&lt;60,"30-60 days","More than 60 days"))</f>
        <v>30-60 days</v>
      </c>
      <c r="S243" t="s">
        <v>818</v>
      </c>
      <c r="T243" s="43" t="s">
        <v>2229</v>
      </c>
      <c r="U243" s="7" t="s">
        <v>3699</v>
      </c>
    </row>
    <row r="244" spans="1:21" x14ac:dyDescent="0.3">
      <c r="A244" s="14" t="s">
        <v>294</v>
      </c>
      <c r="B244" t="s">
        <v>30</v>
      </c>
      <c r="C244" t="s">
        <v>150</v>
      </c>
      <c r="D244">
        <v>1</v>
      </c>
      <c r="E244" s="7">
        <v>480</v>
      </c>
      <c r="H244">
        <v>58008</v>
      </c>
      <c r="I244" t="s">
        <v>355</v>
      </c>
      <c r="J244" t="s">
        <v>501</v>
      </c>
      <c r="K244" t="s">
        <v>3</v>
      </c>
      <c r="L244" s="2">
        <v>43220</v>
      </c>
      <c r="M244" s="2">
        <f>DOCXX[[#This Row],[INV DOC DATE]]+30</f>
        <v>43250</v>
      </c>
      <c r="N244" s="2">
        <v>43220</v>
      </c>
      <c r="O244" s="7">
        <v>480</v>
      </c>
      <c r="P244" s="2">
        <v>43250</v>
      </c>
      <c r="Q244" s="7">
        <f>$E244-$O244</f>
        <v>0</v>
      </c>
      <c r="R244" s="7" t="str">
        <f ca="1">IF(TODAY() - DOCXX[INV DUE DATE]&lt;30, "Less than 30 days",IF(TODAY()-DOCXX[INV DUE DATE]&lt;60,"30-60 days","More than 60 days"))</f>
        <v>30-60 days</v>
      </c>
      <c r="S244" t="s">
        <v>818</v>
      </c>
      <c r="T244" s="43" t="s">
        <v>2229</v>
      </c>
      <c r="U244" s="7" t="s">
        <v>3699</v>
      </c>
    </row>
    <row r="245" spans="1:21" x14ac:dyDescent="0.3">
      <c r="A245" s="14" t="s">
        <v>294</v>
      </c>
      <c r="B245" t="s">
        <v>30</v>
      </c>
      <c r="C245" t="s">
        <v>151</v>
      </c>
      <c r="D245">
        <v>1</v>
      </c>
      <c r="E245" s="7">
        <v>480</v>
      </c>
      <c r="H245">
        <v>58008</v>
      </c>
      <c r="I245" t="s">
        <v>355</v>
      </c>
      <c r="J245" t="s">
        <v>502</v>
      </c>
      <c r="K245" t="s">
        <v>3</v>
      </c>
      <c r="L245" s="2">
        <v>43220</v>
      </c>
      <c r="M245" s="2">
        <f>DOCXX[[#This Row],[INV DOC DATE]]+30</f>
        <v>43250</v>
      </c>
      <c r="N245" s="2">
        <v>43220</v>
      </c>
      <c r="O245" s="7">
        <v>480</v>
      </c>
      <c r="P245" s="2">
        <v>43250</v>
      </c>
      <c r="Q245" s="7">
        <f>$E245-$O245</f>
        <v>0</v>
      </c>
      <c r="R245" s="7" t="str">
        <f ca="1">IF(TODAY() - DOCXX[INV DUE DATE]&lt;30, "Less than 30 days",IF(TODAY()-DOCXX[INV DUE DATE]&lt;60,"30-60 days","More than 60 days"))</f>
        <v>30-60 days</v>
      </c>
      <c r="S245" t="s">
        <v>818</v>
      </c>
      <c r="T245" s="43" t="s">
        <v>2229</v>
      </c>
      <c r="U245" s="7" t="s">
        <v>3699</v>
      </c>
    </row>
    <row r="246" spans="1:21" x14ac:dyDescent="0.3">
      <c r="A246" s="14" t="s">
        <v>294</v>
      </c>
      <c r="B246" t="s">
        <v>30</v>
      </c>
      <c r="C246" t="s">
        <v>152</v>
      </c>
      <c r="D246">
        <v>1</v>
      </c>
      <c r="E246" s="7">
        <v>480</v>
      </c>
      <c r="H246">
        <v>58008</v>
      </c>
      <c r="I246" t="s">
        <v>355</v>
      </c>
      <c r="J246" t="s">
        <v>503</v>
      </c>
      <c r="K246" t="s">
        <v>3</v>
      </c>
      <c r="L246" s="2">
        <v>43220</v>
      </c>
      <c r="M246" s="2">
        <f>DOCXX[[#This Row],[INV DOC DATE]]+30</f>
        <v>43250</v>
      </c>
      <c r="N246" s="2">
        <v>43220</v>
      </c>
      <c r="O246" s="7">
        <v>480</v>
      </c>
      <c r="P246" s="2">
        <v>43250</v>
      </c>
      <c r="Q246" s="7">
        <f>$E246-$O246</f>
        <v>0</v>
      </c>
      <c r="R246" s="7" t="str">
        <f ca="1">IF(TODAY() - DOCXX[INV DUE DATE]&lt;30, "Less than 30 days",IF(TODAY()-DOCXX[INV DUE DATE]&lt;60,"30-60 days","More than 60 days"))</f>
        <v>30-60 days</v>
      </c>
      <c r="S246" t="s">
        <v>818</v>
      </c>
      <c r="T246" s="43" t="s">
        <v>2229</v>
      </c>
      <c r="U246" s="7" t="s">
        <v>3699</v>
      </c>
    </row>
    <row r="247" spans="1:21" x14ac:dyDescent="0.3">
      <c r="A247" s="14" t="s">
        <v>294</v>
      </c>
      <c r="B247" t="s">
        <v>30</v>
      </c>
      <c r="C247" t="s">
        <v>296</v>
      </c>
      <c r="D247">
        <v>1</v>
      </c>
      <c r="E247" s="7">
        <v>480</v>
      </c>
      <c r="H247">
        <v>58008</v>
      </c>
      <c r="I247" t="s">
        <v>355</v>
      </c>
      <c r="J247" t="s">
        <v>504</v>
      </c>
      <c r="K247" t="s">
        <v>3</v>
      </c>
      <c r="L247" s="2">
        <v>43220</v>
      </c>
      <c r="M247" s="2">
        <f>DOCXX[[#This Row],[INV DOC DATE]]+30</f>
        <v>43250</v>
      </c>
      <c r="N247" s="2">
        <v>43220</v>
      </c>
      <c r="O247" s="7">
        <v>480</v>
      </c>
      <c r="P247" s="2">
        <v>43250</v>
      </c>
      <c r="Q247" s="7">
        <f>$E247-$O247</f>
        <v>0</v>
      </c>
      <c r="R247" s="7" t="str">
        <f ca="1">IF(TODAY() - DOCXX[INV DUE DATE]&lt;30, "Less than 30 days",IF(TODAY()-DOCXX[INV DUE DATE]&lt;60,"30-60 days","More than 60 days"))</f>
        <v>30-60 days</v>
      </c>
      <c r="S247" t="s">
        <v>818</v>
      </c>
      <c r="T247" s="43" t="s">
        <v>2229</v>
      </c>
      <c r="U247" s="7" t="s">
        <v>3699</v>
      </c>
    </row>
    <row r="248" spans="1:21" x14ac:dyDescent="0.3">
      <c r="A248" s="14" t="s">
        <v>294</v>
      </c>
      <c r="B248" t="s">
        <v>30</v>
      </c>
      <c r="C248" t="s">
        <v>297</v>
      </c>
      <c r="D248">
        <v>1</v>
      </c>
      <c r="E248" s="7">
        <v>172.5</v>
      </c>
      <c r="H248">
        <v>66652</v>
      </c>
      <c r="I248" t="s">
        <v>356</v>
      </c>
      <c r="J248" t="s">
        <v>505</v>
      </c>
      <c r="K248" t="s">
        <v>3</v>
      </c>
      <c r="L248" s="2">
        <v>43220</v>
      </c>
      <c r="M248" s="2">
        <f>DOCXX[[#This Row],[INV DOC DATE]]+30</f>
        <v>43250</v>
      </c>
      <c r="N248" s="2">
        <v>43220</v>
      </c>
      <c r="O248" s="7">
        <v>172.5</v>
      </c>
      <c r="P248" s="2">
        <v>43250</v>
      </c>
      <c r="Q248" s="7">
        <f>$E248-$O248</f>
        <v>0</v>
      </c>
      <c r="R248" s="7" t="str">
        <f ca="1">IF(TODAY() - DOCXX[INV DUE DATE]&lt;30, "Less than 30 days",IF(TODAY()-DOCXX[INV DUE DATE]&lt;60,"30-60 days","More than 60 days"))</f>
        <v>30-60 days</v>
      </c>
      <c r="S248" t="s">
        <v>818</v>
      </c>
      <c r="T248" s="43" t="s">
        <v>2229</v>
      </c>
      <c r="U248" s="7" t="s">
        <v>3699</v>
      </c>
    </row>
    <row r="249" spans="1:21" x14ac:dyDescent="0.3">
      <c r="A249" s="14" t="s">
        <v>294</v>
      </c>
      <c r="B249" t="s">
        <v>30</v>
      </c>
      <c r="C249" t="s">
        <v>298</v>
      </c>
      <c r="D249">
        <v>1</v>
      </c>
      <c r="E249" s="7">
        <v>172.5</v>
      </c>
      <c r="H249">
        <v>66660</v>
      </c>
      <c r="I249" t="s">
        <v>357</v>
      </c>
      <c r="J249" t="s">
        <v>506</v>
      </c>
      <c r="K249" t="s">
        <v>3</v>
      </c>
      <c r="L249" s="2">
        <v>43220</v>
      </c>
      <c r="M249" s="2">
        <f>DOCXX[[#This Row],[INV DOC DATE]]+30</f>
        <v>43250</v>
      </c>
      <c r="N249" s="2">
        <v>43220</v>
      </c>
      <c r="O249" s="7">
        <v>172.5</v>
      </c>
      <c r="P249" s="2">
        <v>43250</v>
      </c>
      <c r="Q249" s="7">
        <f>$E249-$O249</f>
        <v>0</v>
      </c>
      <c r="R249" s="7" t="str">
        <f ca="1">IF(TODAY() - DOCXX[INV DUE DATE]&lt;30, "Less than 30 days",IF(TODAY()-DOCXX[INV DUE DATE]&lt;60,"30-60 days","More than 60 days"))</f>
        <v>30-60 days</v>
      </c>
      <c r="S249" t="s">
        <v>818</v>
      </c>
      <c r="T249" s="43" t="s">
        <v>2229</v>
      </c>
      <c r="U249" s="7" t="s">
        <v>3699</v>
      </c>
    </row>
    <row r="250" spans="1:21" x14ac:dyDescent="0.3">
      <c r="A250" s="14" t="s">
        <v>294</v>
      </c>
      <c r="B250" t="s">
        <v>30</v>
      </c>
      <c r="C250" t="s">
        <v>299</v>
      </c>
      <c r="D250">
        <v>1</v>
      </c>
      <c r="E250" s="7">
        <v>172.5</v>
      </c>
      <c r="H250">
        <v>66660</v>
      </c>
      <c r="I250" t="s">
        <v>357</v>
      </c>
      <c r="J250" t="s">
        <v>507</v>
      </c>
      <c r="K250" t="s">
        <v>3</v>
      </c>
      <c r="L250" s="2">
        <v>43220</v>
      </c>
      <c r="M250" s="2">
        <f>DOCXX[[#This Row],[INV DOC DATE]]+30</f>
        <v>43250</v>
      </c>
      <c r="N250" s="2">
        <v>43220</v>
      </c>
      <c r="O250" s="7">
        <v>172.5</v>
      </c>
      <c r="P250" s="2">
        <v>43250</v>
      </c>
      <c r="Q250" s="7">
        <f>$E250-$O250</f>
        <v>0</v>
      </c>
      <c r="R250" s="7" t="str">
        <f ca="1">IF(TODAY() - DOCXX[INV DUE DATE]&lt;30, "Less than 30 days",IF(TODAY()-DOCXX[INV DUE DATE]&lt;60,"30-60 days","More than 60 days"))</f>
        <v>30-60 days</v>
      </c>
      <c r="S250" t="s">
        <v>818</v>
      </c>
      <c r="T250" s="43" t="s">
        <v>2229</v>
      </c>
      <c r="U250" s="7" t="s">
        <v>3699</v>
      </c>
    </row>
    <row r="251" spans="1:21" x14ac:dyDescent="0.3">
      <c r="A251" s="14" t="s">
        <v>294</v>
      </c>
      <c r="B251" t="s">
        <v>30</v>
      </c>
      <c r="C251" t="s">
        <v>300</v>
      </c>
      <c r="D251">
        <v>1</v>
      </c>
      <c r="E251" s="7">
        <v>172.5</v>
      </c>
      <c r="H251">
        <v>66660</v>
      </c>
      <c r="I251" t="s">
        <v>357</v>
      </c>
      <c r="J251" t="s">
        <v>508</v>
      </c>
      <c r="K251" t="s">
        <v>3</v>
      </c>
      <c r="L251" s="2">
        <v>43220</v>
      </c>
      <c r="M251" s="2">
        <f>DOCXX[[#This Row],[INV DOC DATE]]+30</f>
        <v>43250</v>
      </c>
      <c r="N251" s="2">
        <v>43220</v>
      </c>
      <c r="O251" s="7">
        <v>172.5</v>
      </c>
      <c r="P251" s="2">
        <v>43250</v>
      </c>
      <c r="Q251" s="7">
        <f>$E251-$O251</f>
        <v>0</v>
      </c>
      <c r="R251" s="7" t="str">
        <f ca="1">IF(TODAY() - DOCXX[INV DUE DATE]&lt;30, "Less than 30 days",IF(TODAY()-DOCXX[INV DUE DATE]&lt;60,"30-60 days","More than 60 days"))</f>
        <v>30-60 days</v>
      </c>
      <c r="S251" t="s">
        <v>818</v>
      </c>
      <c r="T251" s="43" t="s">
        <v>2229</v>
      </c>
      <c r="U251" s="7" t="s">
        <v>3699</v>
      </c>
    </row>
    <row r="252" spans="1:21" x14ac:dyDescent="0.3">
      <c r="A252" s="14" t="s">
        <v>294</v>
      </c>
      <c r="B252" t="s">
        <v>30</v>
      </c>
      <c r="C252" t="s">
        <v>301</v>
      </c>
      <c r="D252">
        <v>1</v>
      </c>
      <c r="E252" s="7">
        <v>172.5</v>
      </c>
      <c r="H252">
        <v>67859</v>
      </c>
      <c r="I252" t="s">
        <v>349</v>
      </c>
      <c r="J252" t="s">
        <v>509</v>
      </c>
      <c r="K252" t="s">
        <v>3</v>
      </c>
      <c r="L252" s="2">
        <v>43220</v>
      </c>
      <c r="M252" s="2">
        <f>DOCXX[[#This Row],[INV DOC DATE]]+30</f>
        <v>43250</v>
      </c>
      <c r="N252" s="2">
        <v>43220</v>
      </c>
      <c r="O252" s="7">
        <v>172.5</v>
      </c>
      <c r="P252" s="2">
        <v>43250</v>
      </c>
      <c r="Q252" s="7">
        <f>$E252-$O252</f>
        <v>0</v>
      </c>
      <c r="R252" s="7" t="str">
        <f ca="1">IF(TODAY() - DOCXX[INV DUE DATE]&lt;30, "Less than 30 days",IF(TODAY()-DOCXX[INV DUE DATE]&lt;60,"30-60 days","More than 60 days"))</f>
        <v>30-60 days</v>
      </c>
      <c r="S252" t="s">
        <v>818</v>
      </c>
      <c r="T252" s="43" t="s">
        <v>2229</v>
      </c>
      <c r="U252" s="7" t="s">
        <v>3699</v>
      </c>
    </row>
    <row r="253" spans="1:21" x14ac:dyDescent="0.3">
      <c r="A253" s="14" t="s">
        <v>294</v>
      </c>
      <c r="B253" t="s">
        <v>30</v>
      </c>
      <c r="C253" t="s">
        <v>302</v>
      </c>
      <c r="D253">
        <v>1</v>
      </c>
      <c r="E253" s="7">
        <v>172.5</v>
      </c>
      <c r="H253">
        <v>67859</v>
      </c>
      <c r="I253" t="s">
        <v>349</v>
      </c>
      <c r="J253" t="s">
        <v>510</v>
      </c>
      <c r="K253" t="s">
        <v>3</v>
      </c>
      <c r="L253" s="2">
        <v>43220</v>
      </c>
      <c r="M253" s="2">
        <f>DOCXX[[#This Row],[INV DOC DATE]]+30</f>
        <v>43250</v>
      </c>
      <c r="N253" s="2">
        <v>43220</v>
      </c>
      <c r="O253" s="7">
        <v>172.5</v>
      </c>
      <c r="P253" s="2">
        <v>43250</v>
      </c>
      <c r="Q253" s="7">
        <f>$E253-$O253</f>
        <v>0</v>
      </c>
      <c r="R253" s="7" t="str">
        <f ca="1">IF(TODAY() - DOCXX[INV DUE DATE]&lt;30, "Less than 30 days",IF(TODAY()-DOCXX[INV DUE DATE]&lt;60,"30-60 days","More than 60 days"))</f>
        <v>30-60 days</v>
      </c>
      <c r="S253" t="s">
        <v>818</v>
      </c>
      <c r="T253" s="43" t="s">
        <v>2229</v>
      </c>
      <c r="U253" s="7" t="s">
        <v>3699</v>
      </c>
    </row>
    <row r="254" spans="1:21" x14ac:dyDescent="0.3">
      <c r="A254" s="14" t="s">
        <v>294</v>
      </c>
      <c r="B254" t="s">
        <v>30</v>
      </c>
      <c r="C254" t="s">
        <v>303</v>
      </c>
      <c r="D254">
        <v>1</v>
      </c>
      <c r="E254" s="7">
        <v>172.5</v>
      </c>
      <c r="H254">
        <v>68162</v>
      </c>
      <c r="I254" t="s">
        <v>358</v>
      </c>
      <c r="J254" t="s">
        <v>511</v>
      </c>
      <c r="K254" t="s">
        <v>3</v>
      </c>
      <c r="L254" s="2">
        <v>43220</v>
      </c>
      <c r="M254" s="2">
        <f>DOCXX[[#This Row],[INV DOC DATE]]+30</f>
        <v>43250</v>
      </c>
      <c r="N254" s="2">
        <v>43220</v>
      </c>
      <c r="O254" s="7">
        <v>172.5</v>
      </c>
      <c r="P254" s="2">
        <v>43250</v>
      </c>
      <c r="Q254" s="7">
        <f>$E254-$O254</f>
        <v>0</v>
      </c>
      <c r="R254" s="7" t="str">
        <f ca="1">IF(TODAY() - DOCXX[INV DUE DATE]&lt;30, "Less than 30 days",IF(TODAY()-DOCXX[INV DUE DATE]&lt;60,"30-60 days","More than 60 days"))</f>
        <v>30-60 days</v>
      </c>
      <c r="S254" t="s">
        <v>818</v>
      </c>
      <c r="T254" s="43" t="s">
        <v>2229</v>
      </c>
      <c r="U254" s="7" t="s">
        <v>3699</v>
      </c>
    </row>
    <row r="255" spans="1:21" x14ac:dyDescent="0.3">
      <c r="A255" s="14" t="s">
        <v>294</v>
      </c>
      <c r="B255" t="s">
        <v>30</v>
      </c>
      <c r="C255" t="s">
        <v>304</v>
      </c>
      <c r="D255">
        <v>1</v>
      </c>
      <c r="E255" s="7">
        <v>225</v>
      </c>
      <c r="H255">
        <v>68162</v>
      </c>
      <c r="I255" t="s">
        <v>358</v>
      </c>
      <c r="J255" t="s">
        <v>512</v>
      </c>
      <c r="K255" t="s">
        <v>3</v>
      </c>
      <c r="L255" s="2">
        <v>43220</v>
      </c>
      <c r="M255" s="2">
        <f>DOCXX[[#This Row],[INV DOC DATE]]+30</f>
        <v>43250</v>
      </c>
      <c r="N255" s="2">
        <v>43220</v>
      </c>
      <c r="O255" s="7">
        <v>225</v>
      </c>
      <c r="P255" s="2">
        <v>43250</v>
      </c>
      <c r="Q255" s="7">
        <f>$E255-$O255</f>
        <v>0</v>
      </c>
      <c r="R255" s="7" t="str">
        <f ca="1">IF(TODAY() - DOCXX[INV DUE DATE]&lt;30, "Less than 30 days",IF(TODAY()-DOCXX[INV DUE DATE]&lt;60,"30-60 days","More than 60 days"))</f>
        <v>30-60 days</v>
      </c>
      <c r="S255" t="s">
        <v>818</v>
      </c>
      <c r="T255" s="43" t="s">
        <v>2229</v>
      </c>
      <c r="U255" s="7" t="s">
        <v>3699</v>
      </c>
    </row>
    <row r="256" spans="1:21" x14ac:dyDescent="0.3">
      <c r="A256" s="14" t="s">
        <v>294</v>
      </c>
      <c r="B256" t="s">
        <v>30</v>
      </c>
      <c r="C256" t="s">
        <v>305</v>
      </c>
      <c r="D256">
        <v>1</v>
      </c>
      <c r="E256" s="7">
        <v>225</v>
      </c>
      <c r="H256">
        <v>68162</v>
      </c>
      <c r="I256" t="s">
        <v>358</v>
      </c>
      <c r="J256" t="s">
        <v>513</v>
      </c>
      <c r="K256" t="s">
        <v>3</v>
      </c>
      <c r="L256" s="2">
        <v>43220</v>
      </c>
      <c r="M256" s="2">
        <f>DOCXX[[#This Row],[INV DOC DATE]]+30</f>
        <v>43250</v>
      </c>
      <c r="N256" s="2">
        <v>43220</v>
      </c>
      <c r="O256" s="7">
        <v>225</v>
      </c>
      <c r="P256" s="2">
        <v>43250</v>
      </c>
      <c r="Q256" s="7">
        <f>$E256-$O256</f>
        <v>0</v>
      </c>
      <c r="R256" s="7" t="str">
        <f ca="1">IF(TODAY() - DOCXX[INV DUE DATE]&lt;30, "Less than 30 days",IF(TODAY()-DOCXX[INV DUE DATE]&lt;60,"30-60 days","More than 60 days"))</f>
        <v>30-60 days</v>
      </c>
      <c r="S256" t="s">
        <v>818</v>
      </c>
      <c r="T256" s="43" t="s">
        <v>2229</v>
      </c>
      <c r="U256" s="7" t="s">
        <v>3699</v>
      </c>
    </row>
    <row r="257" spans="1:21" x14ac:dyDescent="0.3">
      <c r="A257" s="14" t="s">
        <v>294</v>
      </c>
      <c r="B257" t="s">
        <v>30</v>
      </c>
      <c r="C257" t="s">
        <v>306</v>
      </c>
      <c r="D257">
        <v>1</v>
      </c>
      <c r="E257" s="7">
        <v>225</v>
      </c>
      <c r="H257">
        <v>68162</v>
      </c>
      <c r="I257" t="s">
        <v>358</v>
      </c>
      <c r="J257" t="s">
        <v>514</v>
      </c>
      <c r="K257" t="s">
        <v>3</v>
      </c>
      <c r="L257" s="2">
        <v>43220</v>
      </c>
      <c r="M257" s="2">
        <f>DOCXX[[#This Row],[INV DOC DATE]]+30</f>
        <v>43250</v>
      </c>
      <c r="N257" s="2">
        <v>43220</v>
      </c>
      <c r="O257" s="7">
        <v>225</v>
      </c>
      <c r="P257" s="2">
        <v>43250</v>
      </c>
      <c r="Q257" s="7">
        <f>$E257-$O257</f>
        <v>0</v>
      </c>
      <c r="R257" s="7" t="str">
        <f ca="1">IF(TODAY() - DOCXX[INV DUE DATE]&lt;30, "Less than 30 days",IF(TODAY()-DOCXX[INV DUE DATE]&lt;60,"30-60 days","More than 60 days"))</f>
        <v>30-60 days</v>
      </c>
      <c r="S257" t="s">
        <v>818</v>
      </c>
      <c r="T257" s="43" t="s">
        <v>2229</v>
      </c>
      <c r="U257" s="7" t="s">
        <v>3699</v>
      </c>
    </row>
    <row r="258" spans="1:21" x14ac:dyDescent="0.3">
      <c r="A258" s="14" t="s">
        <v>294</v>
      </c>
      <c r="B258" t="s">
        <v>30</v>
      </c>
      <c r="C258" t="s">
        <v>307</v>
      </c>
      <c r="D258">
        <v>1</v>
      </c>
      <c r="E258" s="7">
        <v>225</v>
      </c>
      <c r="H258">
        <v>68162</v>
      </c>
      <c r="I258" t="s">
        <v>358</v>
      </c>
      <c r="J258" t="s">
        <v>515</v>
      </c>
      <c r="K258" t="s">
        <v>3</v>
      </c>
      <c r="L258" s="2">
        <v>43220</v>
      </c>
      <c r="M258" s="2">
        <f>DOCXX[[#This Row],[INV DOC DATE]]+30</f>
        <v>43250</v>
      </c>
      <c r="N258" s="2">
        <v>43220</v>
      </c>
      <c r="O258" s="7">
        <v>225</v>
      </c>
      <c r="P258" s="2">
        <v>43250</v>
      </c>
      <c r="Q258" s="7">
        <f>$E258-$O258</f>
        <v>0</v>
      </c>
      <c r="R258" s="7" t="str">
        <f ca="1">IF(TODAY() - DOCXX[INV DUE DATE]&lt;30, "Less than 30 days",IF(TODAY()-DOCXX[INV DUE DATE]&lt;60,"30-60 days","More than 60 days"))</f>
        <v>30-60 days</v>
      </c>
      <c r="S258" t="s">
        <v>818</v>
      </c>
      <c r="T258" s="43" t="s">
        <v>2229</v>
      </c>
      <c r="U258" s="7" t="s">
        <v>3699</v>
      </c>
    </row>
    <row r="259" spans="1:21" x14ac:dyDescent="0.3">
      <c r="A259" s="14" t="s">
        <v>294</v>
      </c>
      <c r="B259" t="s">
        <v>30</v>
      </c>
      <c r="C259" t="s">
        <v>308</v>
      </c>
      <c r="D259">
        <v>1</v>
      </c>
      <c r="E259" s="7">
        <v>225</v>
      </c>
      <c r="H259">
        <v>68162</v>
      </c>
      <c r="I259" t="s">
        <v>358</v>
      </c>
      <c r="J259" t="s">
        <v>516</v>
      </c>
      <c r="K259" t="s">
        <v>3</v>
      </c>
      <c r="L259" s="2">
        <v>43220</v>
      </c>
      <c r="M259" s="2">
        <f>DOCXX[[#This Row],[INV DOC DATE]]+30</f>
        <v>43250</v>
      </c>
      <c r="N259" s="2">
        <v>43220</v>
      </c>
      <c r="O259" s="7">
        <v>225</v>
      </c>
      <c r="P259" s="2">
        <v>43250</v>
      </c>
      <c r="Q259" s="7">
        <f>$E259-$O259</f>
        <v>0</v>
      </c>
      <c r="R259" s="7" t="str">
        <f ca="1">IF(TODAY() - DOCXX[INV DUE DATE]&lt;30, "Less than 30 days",IF(TODAY()-DOCXX[INV DUE DATE]&lt;60,"30-60 days","More than 60 days"))</f>
        <v>30-60 days</v>
      </c>
      <c r="S259" t="s">
        <v>818</v>
      </c>
      <c r="T259" s="43" t="s">
        <v>2229</v>
      </c>
      <c r="U259" s="7" t="s">
        <v>3699</v>
      </c>
    </row>
    <row r="260" spans="1:21" x14ac:dyDescent="0.3">
      <c r="A260" s="14" t="s">
        <v>294</v>
      </c>
      <c r="B260" t="s">
        <v>30</v>
      </c>
      <c r="C260" t="s">
        <v>309</v>
      </c>
      <c r="D260">
        <v>1</v>
      </c>
      <c r="E260" s="7">
        <v>225</v>
      </c>
      <c r="H260">
        <v>68162</v>
      </c>
      <c r="I260" t="s">
        <v>358</v>
      </c>
      <c r="J260" t="s">
        <v>517</v>
      </c>
      <c r="K260" t="s">
        <v>3</v>
      </c>
      <c r="L260" s="2">
        <v>43220</v>
      </c>
      <c r="M260" s="2">
        <f>DOCXX[[#This Row],[INV DOC DATE]]+30</f>
        <v>43250</v>
      </c>
      <c r="N260" s="2">
        <v>43220</v>
      </c>
      <c r="O260" s="7">
        <v>225</v>
      </c>
      <c r="P260" s="2">
        <v>43250</v>
      </c>
      <c r="Q260" s="7">
        <f>$E260-$O260</f>
        <v>0</v>
      </c>
      <c r="R260" s="7" t="str">
        <f ca="1">IF(TODAY() - DOCXX[INV DUE DATE]&lt;30, "Less than 30 days",IF(TODAY()-DOCXX[INV DUE DATE]&lt;60,"30-60 days","More than 60 days"))</f>
        <v>30-60 days</v>
      </c>
      <c r="S260" t="s">
        <v>818</v>
      </c>
      <c r="T260" s="43" t="s">
        <v>2229</v>
      </c>
      <c r="U260" s="7" t="s">
        <v>3699</v>
      </c>
    </row>
    <row r="261" spans="1:21" x14ac:dyDescent="0.3">
      <c r="A261" s="14" t="s">
        <v>294</v>
      </c>
      <c r="B261" t="s">
        <v>30</v>
      </c>
      <c r="C261" t="s">
        <v>310</v>
      </c>
      <c r="D261">
        <v>1</v>
      </c>
      <c r="E261" s="7">
        <v>225</v>
      </c>
      <c r="H261">
        <v>68162</v>
      </c>
      <c r="I261" t="s">
        <v>358</v>
      </c>
      <c r="J261" t="s">
        <v>518</v>
      </c>
      <c r="K261" t="s">
        <v>3</v>
      </c>
      <c r="L261" s="2">
        <v>43220</v>
      </c>
      <c r="M261" s="2">
        <f>DOCXX[[#This Row],[INV DOC DATE]]+30</f>
        <v>43250</v>
      </c>
      <c r="N261" s="2">
        <v>43220</v>
      </c>
      <c r="O261" s="7">
        <v>225</v>
      </c>
      <c r="P261" s="2">
        <v>43250</v>
      </c>
      <c r="Q261" s="7">
        <f>$E261-$O261</f>
        <v>0</v>
      </c>
      <c r="R261" s="7" t="str">
        <f ca="1">IF(TODAY() - DOCXX[INV DUE DATE]&lt;30, "Less than 30 days",IF(TODAY()-DOCXX[INV DUE DATE]&lt;60,"30-60 days","More than 60 days"))</f>
        <v>30-60 days</v>
      </c>
      <c r="S261" t="s">
        <v>818</v>
      </c>
      <c r="T261" s="43" t="s">
        <v>2229</v>
      </c>
      <c r="U261" s="7" t="s">
        <v>3699</v>
      </c>
    </row>
    <row r="262" spans="1:21" x14ac:dyDescent="0.3">
      <c r="A262" s="14" t="s">
        <v>294</v>
      </c>
      <c r="B262" t="s">
        <v>30</v>
      </c>
      <c r="C262" t="s">
        <v>311</v>
      </c>
      <c r="D262">
        <v>1</v>
      </c>
      <c r="E262" s="7">
        <v>225</v>
      </c>
      <c r="H262">
        <v>68162</v>
      </c>
      <c r="I262" t="s">
        <v>358</v>
      </c>
      <c r="J262" t="s">
        <v>519</v>
      </c>
      <c r="K262" t="s">
        <v>3</v>
      </c>
      <c r="L262" s="2">
        <v>43220</v>
      </c>
      <c r="M262" s="2">
        <f>DOCXX[[#This Row],[INV DOC DATE]]+30</f>
        <v>43250</v>
      </c>
      <c r="N262" s="2">
        <v>43220</v>
      </c>
      <c r="O262" s="7">
        <v>225</v>
      </c>
      <c r="P262" s="2">
        <v>43250</v>
      </c>
      <c r="Q262" s="7">
        <f>$E262-$O262</f>
        <v>0</v>
      </c>
      <c r="R262" s="7" t="str">
        <f ca="1">IF(TODAY() - DOCXX[INV DUE DATE]&lt;30, "Less than 30 days",IF(TODAY()-DOCXX[INV DUE DATE]&lt;60,"30-60 days","More than 60 days"))</f>
        <v>30-60 days</v>
      </c>
      <c r="S262" t="s">
        <v>818</v>
      </c>
      <c r="T262" s="43" t="s">
        <v>2229</v>
      </c>
      <c r="U262" s="7" t="s">
        <v>3699</v>
      </c>
    </row>
    <row r="263" spans="1:21" x14ac:dyDescent="0.3">
      <c r="A263" s="14" t="s">
        <v>294</v>
      </c>
      <c r="B263" t="s">
        <v>30</v>
      </c>
      <c r="C263" t="s">
        <v>312</v>
      </c>
      <c r="D263">
        <v>1</v>
      </c>
      <c r="E263" s="7">
        <v>172.5</v>
      </c>
      <c r="H263">
        <v>68162</v>
      </c>
      <c r="I263" t="s">
        <v>358</v>
      </c>
      <c r="J263" t="s">
        <v>520</v>
      </c>
      <c r="K263" t="s">
        <v>3</v>
      </c>
      <c r="L263" s="2">
        <v>43220</v>
      </c>
      <c r="M263" s="2">
        <f>DOCXX[[#This Row],[INV DOC DATE]]+30</f>
        <v>43250</v>
      </c>
      <c r="N263" s="2">
        <v>43220</v>
      </c>
      <c r="O263" s="7">
        <v>172.5</v>
      </c>
      <c r="P263" s="2">
        <v>43250</v>
      </c>
      <c r="Q263" s="7">
        <f>$E263-$O263</f>
        <v>0</v>
      </c>
      <c r="R263" s="7" t="str">
        <f ca="1">IF(TODAY() - DOCXX[INV DUE DATE]&lt;30, "Less than 30 days",IF(TODAY()-DOCXX[INV DUE DATE]&lt;60,"30-60 days","More than 60 days"))</f>
        <v>30-60 days</v>
      </c>
      <c r="S263" t="s">
        <v>818</v>
      </c>
      <c r="T263" s="43" t="s">
        <v>2229</v>
      </c>
      <c r="U263" s="7" t="s">
        <v>3699</v>
      </c>
    </row>
    <row r="264" spans="1:21" x14ac:dyDescent="0.3">
      <c r="A264" s="14" t="s">
        <v>294</v>
      </c>
      <c r="B264" t="s">
        <v>30</v>
      </c>
      <c r="C264" t="s">
        <v>313</v>
      </c>
      <c r="D264">
        <v>1</v>
      </c>
      <c r="E264" s="7">
        <v>172.5</v>
      </c>
      <c r="H264">
        <v>68162</v>
      </c>
      <c r="I264" t="s">
        <v>358</v>
      </c>
      <c r="J264" t="s">
        <v>521</v>
      </c>
      <c r="K264" t="s">
        <v>3</v>
      </c>
      <c r="L264" s="2">
        <v>43220</v>
      </c>
      <c r="M264" s="2">
        <f>DOCXX[[#This Row],[INV DOC DATE]]+30</f>
        <v>43250</v>
      </c>
      <c r="N264" s="2">
        <v>43220</v>
      </c>
      <c r="O264" s="7">
        <v>172.5</v>
      </c>
      <c r="P264" s="2">
        <v>43250</v>
      </c>
      <c r="Q264" s="7">
        <f>$E264-$O264</f>
        <v>0</v>
      </c>
      <c r="R264" s="7" t="str">
        <f ca="1">IF(TODAY() - DOCXX[INV DUE DATE]&lt;30, "Less than 30 days",IF(TODAY()-DOCXX[INV DUE DATE]&lt;60,"30-60 days","More than 60 days"))</f>
        <v>30-60 days</v>
      </c>
      <c r="S264" t="s">
        <v>818</v>
      </c>
      <c r="T264" s="43" t="s">
        <v>2229</v>
      </c>
      <c r="U264" s="7" t="s">
        <v>3699</v>
      </c>
    </row>
    <row r="265" spans="1:21" x14ac:dyDescent="0.3">
      <c r="A265" s="14" t="s">
        <v>294</v>
      </c>
      <c r="B265" t="s">
        <v>30</v>
      </c>
      <c r="C265" t="s">
        <v>314</v>
      </c>
      <c r="D265">
        <v>1</v>
      </c>
      <c r="E265" s="7">
        <v>172.5</v>
      </c>
      <c r="H265">
        <v>68162</v>
      </c>
      <c r="I265" t="s">
        <v>358</v>
      </c>
      <c r="J265" t="s">
        <v>522</v>
      </c>
      <c r="K265" t="s">
        <v>3</v>
      </c>
      <c r="L265" s="2">
        <v>43220</v>
      </c>
      <c r="M265" s="2">
        <f>DOCXX[[#This Row],[INV DOC DATE]]+30</f>
        <v>43250</v>
      </c>
      <c r="N265" s="2">
        <v>43220</v>
      </c>
      <c r="O265" s="7">
        <v>172.5</v>
      </c>
      <c r="P265" s="2">
        <v>43250</v>
      </c>
      <c r="Q265" s="7">
        <f>$E265-$O265</f>
        <v>0</v>
      </c>
      <c r="R265" s="7" t="str">
        <f ca="1">IF(TODAY() - DOCXX[INV DUE DATE]&lt;30, "Less than 30 days",IF(TODAY()-DOCXX[INV DUE DATE]&lt;60,"30-60 days","More than 60 days"))</f>
        <v>30-60 days</v>
      </c>
      <c r="S265" t="s">
        <v>818</v>
      </c>
      <c r="T265" s="43" t="s">
        <v>2229</v>
      </c>
      <c r="U265" s="7" t="s">
        <v>3699</v>
      </c>
    </row>
    <row r="266" spans="1:21" x14ac:dyDescent="0.3">
      <c r="A266" s="14" t="s">
        <v>294</v>
      </c>
      <c r="B266" t="s">
        <v>30</v>
      </c>
      <c r="C266" t="s">
        <v>315</v>
      </c>
      <c r="D266">
        <v>1</v>
      </c>
      <c r="E266" s="7">
        <v>172.5</v>
      </c>
      <c r="H266">
        <v>68162</v>
      </c>
      <c r="I266" t="s">
        <v>358</v>
      </c>
      <c r="J266" t="s">
        <v>523</v>
      </c>
      <c r="K266" t="s">
        <v>3</v>
      </c>
      <c r="L266" s="2">
        <v>43220</v>
      </c>
      <c r="M266" s="2">
        <f>DOCXX[[#This Row],[INV DOC DATE]]+30</f>
        <v>43250</v>
      </c>
      <c r="N266" s="2">
        <v>43220</v>
      </c>
      <c r="O266" s="7">
        <v>172.5</v>
      </c>
      <c r="P266" s="2">
        <v>43250</v>
      </c>
      <c r="Q266" s="7">
        <f>$E266-$O266</f>
        <v>0</v>
      </c>
      <c r="R266" s="7" t="str">
        <f ca="1">IF(TODAY() - DOCXX[INV DUE DATE]&lt;30, "Less than 30 days",IF(TODAY()-DOCXX[INV DUE DATE]&lt;60,"30-60 days","More than 60 days"))</f>
        <v>30-60 days</v>
      </c>
      <c r="S266" t="s">
        <v>818</v>
      </c>
      <c r="T266" s="43" t="s">
        <v>2229</v>
      </c>
      <c r="U266" s="7" t="s">
        <v>3699</v>
      </c>
    </row>
    <row r="267" spans="1:21" x14ac:dyDescent="0.3">
      <c r="A267" s="14" t="s">
        <v>294</v>
      </c>
      <c r="B267" t="s">
        <v>30</v>
      </c>
      <c r="C267" t="s">
        <v>316</v>
      </c>
      <c r="D267">
        <v>1</v>
      </c>
      <c r="E267" s="7">
        <v>172.5</v>
      </c>
      <c r="H267">
        <v>68162</v>
      </c>
      <c r="I267" t="s">
        <v>358</v>
      </c>
      <c r="J267" t="s">
        <v>524</v>
      </c>
      <c r="K267" t="s">
        <v>3</v>
      </c>
      <c r="L267" s="2">
        <v>43220</v>
      </c>
      <c r="M267" s="2">
        <f>DOCXX[[#This Row],[INV DOC DATE]]+30</f>
        <v>43250</v>
      </c>
      <c r="N267" s="2">
        <v>43220</v>
      </c>
      <c r="O267" s="7">
        <v>172.5</v>
      </c>
      <c r="P267" s="2">
        <v>43250</v>
      </c>
      <c r="Q267" s="7">
        <f>$E267-$O267</f>
        <v>0</v>
      </c>
      <c r="R267" s="7" t="str">
        <f ca="1">IF(TODAY() - DOCXX[INV DUE DATE]&lt;30, "Less than 30 days",IF(TODAY()-DOCXX[INV DUE DATE]&lt;60,"30-60 days","More than 60 days"))</f>
        <v>30-60 days</v>
      </c>
      <c r="S267" t="s">
        <v>818</v>
      </c>
      <c r="T267" s="43" t="s">
        <v>2229</v>
      </c>
      <c r="U267" s="7" t="s">
        <v>3699</v>
      </c>
    </row>
    <row r="268" spans="1:21" x14ac:dyDescent="0.3">
      <c r="A268" s="14" t="s">
        <v>294</v>
      </c>
      <c r="B268" t="s">
        <v>30</v>
      </c>
      <c r="C268" t="s">
        <v>317</v>
      </c>
      <c r="D268">
        <v>1</v>
      </c>
      <c r="E268" s="7">
        <v>172.5</v>
      </c>
      <c r="H268">
        <v>68162</v>
      </c>
      <c r="I268" t="s">
        <v>358</v>
      </c>
      <c r="J268" t="s">
        <v>525</v>
      </c>
      <c r="K268" t="s">
        <v>3</v>
      </c>
      <c r="L268" s="2">
        <v>43220</v>
      </c>
      <c r="M268" s="2">
        <f>DOCXX[[#This Row],[INV DOC DATE]]+30</f>
        <v>43250</v>
      </c>
      <c r="N268" s="2">
        <v>43220</v>
      </c>
      <c r="O268" s="7">
        <v>172.5</v>
      </c>
      <c r="P268" s="2">
        <v>43250</v>
      </c>
      <c r="Q268" s="7">
        <f>$E268-$O268</f>
        <v>0</v>
      </c>
      <c r="R268" s="7" t="str">
        <f ca="1">IF(TODAY() - DOCXX[INV DUE DATE]&lt;30, "Less than 30 days",IF(TODAY()-DOCXX[INV DUE DATE]&lt;60,"30-60 days","More than 60 days"))</f>
        <v>30-60 days</v>
      </c>
      <c r="S268" t="s">
        <v>818</v>
      </c>
      <c r="T268" s="43" t="s">
        <v>2229</v>
      </c>
      <c r="U268" s="7" t="s">
        <v>3699</v>
      </c>
    </row>
    <row r="269" spans="1:21" x14ac:dyDescent="0.3">
      <c r="A269" s="14" t="s">
        <v>294</v>
      </c>
      <c r="B269" t="s">
        <v>30</v>
      </c>
      <c r="C269" t="s">
        <v>318</v>
      </c>
      <c r="D269">
        <v>1</v>
      </c>
      <c r="E269" s="7">
        <v>172.5</v>
      </c>
      <c r="H269">
        <v>68162</v>
      </c>
      <c r="I269" t="s">
        <v>358</v>
      </c>
      <c r="J269" t="s">
        <v>526</v>
      </c>
      <c r="K269" t="s">
        <v>3</v>
      </c>
      <c r="L269" s="2">
        <v>43220</v>
      </c>
      <c r="M269" s="2">
        <f>DOCXX[[#This Row],[INV DOC DATE]]+30</f>
        <v>43250</v>
      </c>
      <c r="N269" s="2">
        <v>43220</v>
      </c>
      <c r="O269" s="7">
        <v>172.5</v>
      </c>
      <c r="P269" s="2">
        <v>43250</v>
      </c>
      <c r="Q269" s="7">
        <f>$E269-$O269</f>
        <v>0</v>
      </c>
      <c r="R269" s="7" t="str">
        <f ca="1">IF(TODAY() - DOCXX[INV DUE DATE]&lt;30, "Less than 30 days",IF(TODAY()-DOCXX[INV DUE DATE]&lt;60,"30-60 days","More than 60 days"))</f>
        <v>30-60 days</v>
      </c>
      <c r="S269" t="s">
        <v>818</v>
      </c>
      <c r="T269" s="43" t="s">
        <v>2229</v>
      </c>
      <c r="U269" s="7" t="s">
        <v>3699</v>
      </c>
    </row>
    <row r="270" spans="1:21" x14ac:dyDescent="0.3">
      <c r="A270" s="14" t="s">
        <v>294</v>
      </c>
      <c r="B270" t="s">
        <v>30</v>
      </c>
      <c r="C270" t="s">
        <v>319</v>
      </c>
      <c r="D270">
        <v>1</v>
      </c>
      <c r="E270" s="7">
        <v>172.5</v>
      </c>
      <c r="H270">
        <v>68162</v>
      </c>
      <c r="I270" t="s">
        <v>358</v>
      </c>
      <c r="J270" t="s">
        <v>527</v>
      </c>
      <c r="K270" t="s">
        <v>3</v>
      </c>
      <c r="L270" s="2">
        <v>43220</v>
      </c>
      <c r="M270" s="2">
        <f>DOCXX[[#This Row],[INV DOC DATE]]+30</f>
        <v>43250</v>
      </c>
      <c r="N270" s="2">
        <v>43220</v>
      </c>
      <c r="O270" s="7">
        <v>172.5</v>
      </c>
      <c r="P270" s="2">
        <v>43250</v>
      </c>
      <c r="Q270" s="7">
        <f>$E270-$O270</f>
        <v>0</v>
      </c>
      <c r="R270" s="7" t="str">
        <f ca="1">IF(TODAY() - DOCXX[INV DUE DATE]&lt;30, "Less than 30 days",IF(TODAY()-DOCXX[INV DUE DATE]&lt;60,"30-60 days","More than 60 days"))</f>
        <v>30-60 days</v>
      </c>
      <c r="S270" t="s">
        <v>818</v>
      </c>
      <c r="T270" s="43" t="s">
        <v>2229</v>
      </c>
      <c r="U270" s="7" t="s">
        <v>3699</v>
      </c>
    </row>
    <row r="271" spans="1:21" x14ac:dyDescent="0.3">
      <c r="A271" s="14" t="s">
        <v>294</v>
      </c>
      <c r="B271" t="s">
        <v>30</v>
      </c>
      <c r="C271" t="s">
        <v>320</v>
      </c>
      <c r="D271">
        <v>1</v>
      </c>
      <c r="E271" s="7">
        <v>172.5</v>
      </c>
      <c r="H271">
        <v>68162</v>
      </c>
      <c r="I271" t="s">
        <v>358</v>
      </c>
      <c r="J271" t="s">
        <v>528</v>
      </c>
      <c r="K271" t="s">
        <v>3</v>
      </c>
      <c r="L271" s="2">
        <v>43220</v>
      </c>
      <c r="M271" s="2">
        <f>DOCXX[[#This Row],[INV DOC DATE]]+30</f>
        <v>43250</v>
      </c>
      <c r="N271" s="2">
        <v>43220</v>
      </c>
      <c r="O271" s="7">
        <v>172.5</v>
      </c>
      <c r="P271" s="2">
        <v>43250</v>
      </c>
      <c r="Q271" s="7">
        <f>$E271-$O271</f>
        <v>0</v>
      </c>
      <c r="R271" s="7" t="str">
        <f ca="1">IF(TODAY() - DOCXX[INV DUE DATE]&lt;30, "Less than 30 days",IF(TODAY()-DOCXX[INV DUE DATE]&lt;60,"30-60 days","More than 60 days"))</f>
        <v>30-60 days</v>
      </c>
      <c r="S271" t="s">
        <v>818</v>
      </c>
      <c r="T271" s="43" t="s">
        <v>2229</v>
      </c>
      <c r="U271" s="7" t="s">
        <v>3699</v>
      </c>
    </row>
    <row r="272" spans="1:21" x14ac:dyDescent="0.3">
      <c r="A272" s="14" t="s">
        <v>294</v>
      </c>
      <c r="B272" t="s">
        <v>30</v>
      </c>
      <c r="C272" t="s">
        <v>321</v>
      </c>
      <c r="D272">
        <v>1</v>
      </c>
      <c r="E272" s="7">
        <v>172.5</v>
      </c>
      <c r="H272">
        <v>68162</v>
      </c>
      <c r="I272" t="s">
        <v>358</v>
      </c>
      <c r="J272" t="s">
        <v>529</v>
      </c>
      <c r="K272" t="s">
        <v>3</v>
      </c>
      <c r="L272" s="2">
        <v>43220</v>
      </c>
      <c r="M272" s="2">
        <f>DOCXX[[#This Row],[INV DOC DATE]]+30</f>
        <v>43250</v>
      </c>
      <c r="N272" s="2">
        <v>43220</v>
      </c>
      <c r="O272" s="7">
        <v>172.5</v>
      </c>
      <c r="P272" s="2">
        <v>43250</v>
      </c>
      <c r="Q272" s="7">
        <f>$E272-$O272</f>
        <v>0</v>
      </c>
      <c r="R272" s="7" t="str">
        <f ca="1">IF(TODAY() - DOCXX[INV DUE DATE]&lt;30, "Less than 30 days",IF(TODAY()-DOCXX[INV DUE DATE]&lt;60,"30-60 days","More than 60 days"))</f>
        <v>30-60 days</v>
      </c>
      <c r="S272" t="s">
        <v>818</v>
      </c>
      <c r="T272" s="43" t="s">
        <v>2229</v>
      </c>
      <c r="U272" s="7" t="s">
        <v>3699</v>
      </c>
    </row>
    <row r="273" spans="1:21" x14ac:dyDescent="0.3">
      <c r="A273" s="14" t="s">
        <v>294</v>
      </c>
      <c r="B273" t="s">
        <v>30</v>
      </c>
      <c r="C273" t="s">
        <v>322</v>
      </c>
      <c r="D273">
        <v>1</v>
      </c>
      <c r="E273" s="7">
        <v>172.5</v>
      </c>
      <c r="H273">
        <v>75797</v>
      </c>
      <c r="I273" t="s">
        <v>359</v>
      </c>
      <c r="J273" t="s">
        <v>530</v>
      </c>
      <c r="K273" t="s">
        <v>3</v>
      </c>
      <c r="L273" s="2">
        <v>43220</v>
      </c>
      <c r="M273" s="2">
        <f>DOCXX[[#This Row],[INV DOC DATE]]+30</f>
        <v>43250</v>
      </c>
      <c r="N273" s="2">
        <v>43220</v>
      </c>
      <c r="O273" s="7">
        <v>172.5</v>
      </c>
      <c r="P273" s="2">
        <v>43250</v>
      </c>
      <c r="Q273" s="7">
        <f>$E273-$O273</f>
        <v>0</v>
      </c>
      <c r="R273" s="7" t="str">
        <f ca="1">IF(TODAY() - DOCXX[INV DUE DATE]&lt;30, "Less than 30 days",IF(TODAY()-DOCXX[INV DUE DATE]&lt;60,"30-60 days","More than 60 days"))</f>
        <v>30-60 days</v>
      </c>
      <c r="S273" t="s">
        <v>818</v>
      </c>
      <c r="T273" s="43" t="s">
        <v>2229</v>
      </c>
      <c r="U273" s="7" t="s">
        <v>3699</v>
      </c>
    </row>
    <row r="274" spans="1:21" x14ac:dyDescent="0.3">
      <c r="A274" s="14" t="s">
        <v>294</v>
      </c>
      <c r="B274" t="s">
        <v>30</v>
      </c>
      <c r="C274" t="s">
        <v>323</v>
      </c>
      <c r="D274">
        <v>1</v>
      </c>
      <c r="E274" s="7">
        <v>172.5</v>
      </c>
      <c r="H274">
        <v>75797</v>
      </c>
      <c r="I274" t="s">
        <v>359</v>
      </c>
      <c r="J274" t="s">
        <v>531</v>
      </c>
      <c r="K274" t="s">
        <v>3</v>
      </c>
      <c r="L274" s="2">
        <v>43220</v>
      </c>
      <c r="M274" s="2">
        <f>DOCXX[[#This Row],[INV DOC DATE]]+30</f>
        <v>43250</v>
      </c>
      <c r="N274" s="2">
        <v>43220</v>
      </c>
      <c r="O274" s="7">
        <v>172.5</v>
      </c>
      <c r="P274" s="2">
        <v>43250</v>
      </c>
      <c r="Q274" s="7">
        <f>$E274-$O274</f>
        <v>0</v>
      </c>
      <c r="R274" s="7" t="str">
        <f ca="1">IF(TODAY() - DOCXX[INV DUE DATE]&lt;30, "Less than 30 days",IF(TODAY()-DOCXX[INV DUE DATE]&lt;60,"30-60 days","More than 60 days"))</f>
        <v>30-60 days</v>
      </c>
      <c r="S274" t="s">
        <v>818</v>
      </c>
      <c r="T274" s="43" t="s">
        <v>2229</v>
      </c>
      <c r="U274" s="7" t="s">
        <v>3699</v>
      </c>
    </row>
    <row r="275" spans="1:21" x14ac:dyDescent="0.3">
      <c r="A275" s="14" t="s">
        <v>294</v>
      </c>
      <c r="B275" t="s">
        <v>30</v>
      </c>
      <c r="C275" t="s">
        <v>324</v>
      </c>
      <c r="D275">
        <v>1</v>
      </c>
      <c r="E275" s="7">
        <v>172.5</v>
      </c>
      <c r="H275">
        <v>75797</v>
      </c>
      <c r="I275" t="s">
        <v>359</v>
      </c>
      <c r="J275" t="s">
        <v>532</v>
      </c>
      <c r="K275" t="s">
        <v>3</v>
      </c>
      <c r="L275" s="2">
        <v>43220</v>
      </c>
      <c r="M275" s="2">
        <f>DOCXX[[#This Row],[INV DOC DATE]]+30</f>
        <v>43250</v>
      </c>
      <c r="N275" s="2">
        <v>43220</v>
      </c>
      <c r="O275" s="7">
        <v>172.5</v>
      </c>
      <c r="P275" s="2">
        <v>43250</v>
      </c>
      <c r="Q275" s="7">
        <f>$E275-$O275</f>
        <v>0</v>
      </c>
      <c r="R275" s="7" t="str">
        <f ca="1">IF(TODAY() - DOCXX[INV DUE DATE]&lt;30, "Less than 30 days",IF(TODAY()-DOCXX[INV DUE DATE]&lt;60,"30-60 days","More than 60 days"))</f>
        <v>30-60 days</v>
      </c>
      <c r="S275" t="s">
        <v>818</v>
      </c>
      <c r="T275" s="43" t="s">
        <v>2229</v>
      </c>
      <c r="U275" s="7" t="s">
        <v>3699</v>
      </c>
    </row>
    <row r="276" spans="1:21" x14ac:dyDescent="0.3">
      <c r="A276" s="14" t="s">
        <v>294</v>
      </c>
      <c r="B276" t="s">
        <v>30</v>
      </c>
      <c r="C276" t="s">
        <v>325</v>
      </c>
      <c r="D276">
        <v>1</v>
      </c>
      <c r="E276" s="7">
        <v>172.5</v>
      </c>
      <c r="H276">
        <v>75797</v>
      </c>
      <c r="I276" t="s">
        <v>359</v>
      </c>
      <c r="J276" t="s">
        <v>533</v>
      </c>
      <c r="K276" t="s">
        <v>3</v>
      </c>
      <c r="L276" s="2">
        <v>43220</v>
      </c>
      <c r="M276" s="2">
        <f>DOCXX[[#This Row],[INV DOC DATE]]+30</f>
        <v>43250</v>
      </c>
      <c r="N276" s="2">
        <v>43220</v>
      </c>
      <c r="O276" s="7">
        <v>172.5</v>
      </c>
      <c r="P276" s="2">
        <v>43250</v>
      </c>
      <c r="Q276" s="7">
        <f>$E276-$O276</f>
        <v>0</v>
      </c>
      <c r="R276" s="7" t="str">
        <f ca="1">IF(TODAY() - DOCXX[INV DUE DATE]&lt;30, "Less than 30 days",IF(TODAY()-DOCXX[INV DUE DATE]&lt;60,"30-60 days","More than 60 days"))</f>
        <v>30-60 days</v>
      </c>
      <c r="S276" t="s">
        <v>818</v>
      </c>
      <c r="T276" s="43" t="s">
        <v>2229</v>
      </c>
      <c r="U276" s="7" t="s">
        <v>3699</v>
      </c>
    </row>
    <row r="277" spans="1:21" x14ac:dyDescent="0.3">
      <c r="A277" s="14" t="s">
        <v>294</v>
      </c>
      <c r="B277" t="s">
        <v>30</v>
      </c>
      <c r="C277" t="s">
        <v>326</v>
      </c>
      <c r="D277">
        <v>1</v>
      </c>
      <c r="E277" s="7">
        <v>172.5</v>
      </c>
      <c r="H277">
        <v>75797</v>
      </c>
      <c r="I277" t="s">
        <v>359</v>
      </c>
      <c r="J277" t="s">
        <v>534</v>
      </c>
      <c r="K277" t="s">
        <v>3</v>
      </c>
      <c r="L277" s="2">
        <v>43220</v>
      </c>
      <c r="M277" s="2">
        <f>DOCXX[[#This Row],[INV DOC DATE]]+30</f>
        <v>43250</v>
      </c>
      <c r="N277" s="2">
        <v>43220</v>
      </c>
      <c r="O277" s="7">
        <v>172.5</v>
      </c>
      <c r="P277" s="2">
        <v>43250</v>
      </c>
      <c r="Q277" s="7">
        <f>$E277-$O277</f>
        <v>0</v>
      </c>
      <c r="R277" s="7" t="str">
        <f ca="1">IF(TODAY() - DOCXX[INV DUE DATE]&lt;30, "Less than 30 days",IF(TODAY()-DOCXX[INV DUE DATE]&lt;60,"30-60 days","More than 60 days"))</f>
        <v>30-60 days</v>
      </c>
      <c r="S277" t="s">
        <v>818</v>
      </c>
      <c r="T277" s="43" t="s">
        <v>2229</v>
      </c>
      <c r="U277" s="7" t="s">
        <v>3699</v>
      </c>
    </row>
    <row r="278" spans="1:21" x14ac:dyDescent="0.3">
      <c r="A278" s="14" t="s">
        <v>294</v>
      </c>
      <c r="B278" t="s">
        <v>30</v>
      </c>
      <c r="C278" t="s">
        <v>327</v>
      </c>
      <c r="D278">
        <v>1</v>
      </c>
      <c r="E278" s="7">
        <v>172.5</v>
      </c>
      <c r="H278">
        <v>75797</v>
      </c>
      <c r="I278" t="s">
        <v>359</v>
      </c>
      <c r="J278" t="s">
        <v>535</v>
      </c>
      <c r="K278" t="s">
        <v>3</v>
      </c>
      <c r="L278" s="2">
        <v>43220</v>
      </c>
      <c r="M278" s="2">
        <f>DOCXX[[#This Row],[INV DOC DATE]]+30</f>
        <v>43250</v>
      </c>
      <c r="N278" s="2">
        <v>43220</v>
      </c>
      <c r="O278" s="7">
        <v>172.5</v>
      </c>
      <c r="P278" s="2">
        <v>43250</v>
      </c>
      <c r="Q278" s="7">
        <f>$E278-$O278</f>
        <v>0</v>
      </c>
      <c r="R278" s="7" t="str">
        <f ca="1">IF(TODAY() - DOCXX[INV DUE DATE]&lt;30, "Less than 30 days",IF(TODAY()-DOCXX[INV DUE DATE]&lt;60,"30-60 days","More than 60 days"))</f>
        <v>30-60 days</v>
      </c>
      <c r="S278" t="s">
        <v>818</v>
      </c>
      <c r="T278" s="43" t="s">
        <v>2229</v>
      </c>
      <c r="U278" s="7" t="s">
        <v>3699</v>
      </c>
    </row>
    <row r="279" spans="1:21" x14ac:dyDescent="0.3">
      <c r="A279" s="14" t="s">
        <v>294</v>
      </c>
      <c r="B279" t="s">
        <v>30</v>
      </c>
      <c r="C279" t="s">
        <v>328</v>
      </c>
      <c r="D279">
        <v>1</v>
      </c>
      <c r="E279" s="7">
        <v>172.5</v>
      </c>
      <c r="H279">
        <v>75797</v>
      </c>
      <c r="I279" t="s">
        <v>359</v>
      </c>
      <c r="J279" t="s">
        <v>536</v>
      </c>
      <c r="K279" t="s">
        <v>3</v>
      </c>
      <c r="L279" s="2">
        <v>43220</v>
      </c>
      <c r="M279" s="2">
        <f>DOCXX[[#This Row],[INV DOC DATE]]+30</f>
        <v>43250</v>
      </c>
      <c r="N279" s="2">
        <v>43220</v>
      </c>
      <c r="O279" s="7">
        <v>172.5</v>
      </c>
      <c r="P279" s="2">
        <v>43250</v>
      </c>
      <c r="Q279" s="7">
        <f>$E279-$O279</f>
        <v>0</v>
      </c>
      <c r="R279" s="7" t="str">
        <f ca="1">IF(TODAY() - DOCXX[INV DUE DATE]&lt;30, "Less than 30 days",IF(TODAY()-DOCXX[INV DUE DATE]&lt;60,"30-60 days","More than 60 days"))</f>
        <v>30-60 days</v>
      </c>
      <c r="S279" t="s">
        <v>818</v>
      </c>
      <c r="T279" s="43" t="s">
        <v>2229</v>
      </c>
      <c r="U279" s="7" t="s">
        <v>3699</v>
      </c>
    </row>
    <row r="280" spans="1:21" x14ac:dyDescent="0.3">
      <c r="A280" s="14" t="s">
        <v>294</v>
      </c>
      <c r="B280" t="s">
        <v>30</v>
      </c>
      <c r="C280" t="s">
        <v>329</v>
      </c>
      <c r="D280">
        <v>1</v>
      </c>
      <c r="E280" s="7">
        <v>172.5</v>
      </c>
      <c r="H280">
        <v>75797</v>
      </c>
      <c r="I280" t="s">
        <v>359</v>
      </c>
      <c r="J280" t="s">
        <v>537</v>
      </c>
      <c r="K280" t="s">
        <v>3</v>
      </c>
      <c r="L280" s="2">
        <v>43220</v>
      </c>
      <c r="M280" s="2">
        <f>DOCXX[[#This Row],[INV DOC DATE]]+30</f>
        <v>43250</v>
      </c>
      <c r="N280" s="2">
        <v>43220</v>
      </c>
      <c r="O280" s="7">
        <v>172.5</v>
      </c>
      <c r="P280" s="2">
        <v>43250</v>
      </c>
      <c r="Q280" s="7">
        <f>$E280-$O280</f>
        <v>0</v>
      </c>
      <c r="R280" s="7" t="str">
        <f ca="1">IF(TODAY() - DOCXX[INV DUE DATE]&lt;30, "Less than 30 days",IF(TODAY()-DOCXX[INV DUE DATE]&lt;60,"30-60 days","More than 60 days"))</f>
        <v>30-60 days</v>
      </c>
      <c r="S280" t="s">
        <v>818</v>
      </c>
      <c r="T280" s="43" t="s">
        <v>2229</v>
      </c>
      <c r="U280" s="7" t="s">
        <v>3699</v>
      </c>
    </row>
    <row r="281" spans="1:21" x14ac:dyDescent="0.3">
      <c r="A281" s="14" t="s">
        <v>294</v>
      </c>
      <c r="B281" t="s">
        <v>30</v>
      </c>
      <c r="C281" t="s">
        <v>330</v>
      </c>
      <c r="D281">
        <v>1</v>
      </c>
      <c r="E281" s="7">
        <v>172.5</v>
      </c>
      <c r="H281">
        <v>75797</v>
      </c>
      <c r="I281" t="s">
        <v>359</v>
      </c>
      <c r="J281" t="s">
        <v>538</v>
      </c>
      <c r="K281" t="s">
        <v>3</v>
      </c>
      <c r="L281" s="2">
        <v>43220</v>
      </c>
      <c r="M281" s="2">
        <f>DOCXX[[#This Row],[INV DOC DATE]]+30</f>
        <v>43250</v>
      </c>
      <c r="N281" s="2">
        <v>43220</v>
      </c>
      <c r="O281" s="7">
        <v>172.5</v>
      </c>
      <c r="P281" s="2">
        <v>43250</v>
      </c>
      <c r="Q281" s="7">
        <f>$E281-$O281</f>
        <v>0</v>
      </c>
      <c r="R281" s="7" t="str">
        <f ca="1">IF(TODAY() - DOCXX[INV DUE DATE]&lt;30, "Less than 30 days",IF(TODAY()-DOCXX[INV DUE DATE]&lt;60,"30-60 days","More than 60 days"))</f>
        <v>30-60 days</v>
      </c>
      <c r="S281" t="s">
        <v>818</v>
      </c>
      <c r="T281" s="43" t="s">
        <v>2229</v>
      </c>
      <c r="U281" s="7" t="s">
        <v>3699</v>
      </c>
    </row>
    <row r="282" spans="1:21" x14ac:dyDescent="0.3">
      <c r="A282" s="14" t="s">
        <v>294</v>
      </c>
      <c r="B282" t="s">
        <v>30</v>
      </c>
      <c r="C282" t="s">
        <v>331</v>
      </c>
      <c r="D282">
        <v>1</v>
      </c>
      <c r="E282" s="7">
        <v>172.5</v>
      </c>
      <c r="H282">
        <v>75797</v>
      </c>
      <c r="I282" t="s">
        <v>359</v>
      </c>
      <c r="J282" t="s">
        <v>539</v>
      </c>
      <c r="K282" t="s">
        <v>3</v>
      </c>
      <c r="L282" s="2">
        <v>43220</v>
      </c>
      <c r="M282" s="2">
        <f>DOCXX[[#This Row],[INV DOC DATE]]+30</f>
        <v>43250</v>
      </c>
      <c r="N282" s="2">
        <v>43220</v>
      </c>
      <c r="O282" s="7">
        <v>172.5</v>
      </c>
      <c r="P282" s="2">
        <v>43250</v>
      </c>
      <c r="Q282" s="7">
        <f>$E282-$O282</f>
        <v>0</v>
      </c>
      <c r="R282" s="7" t="str">
        <f ca="1">IF(TODAY() - DOCXX[INV DUE DATE]&lt;30, "Less than 30 days",IF(TODAY()-DOCXX[INV DUE DATE]&lt;60,"30-60 days","More than 60 days"))</f>
        <v>30-60 days</v>
      </c>
      <c r="S282" t="s">
        <v>818</v>
      </c>
      <c r="T282" s="43" t="s">
        <v>2229</v>
      </c>
      <c r="U282" s="7" t="s">
        <v>3699</v>
      </c>
    </row>
    <row r="283" spans="1:21" x14ac:dyDescent="0.3">
      <c r="A283" s="14" t="s">
        <v>294</v>
      </c>
      <c r="B283" t="s">
        <v>30</v>
      </c>
      <c r="C283" t="s">
        <v>332</v>
      </c>
      <c r="D283">
        <v>1</v>
      </c>
      <c r="E283" s="7">
        <v>172.5</v>
      </c>
      <c r="H283">
        <v>75797</v>
      </c>
      <c r="I283" t="s">
        <v>359</v>
      </c>
      <c r="J283" t="s">
        <v>540</v>
      </c>
      <c r="K283" t="s">
        <v>3</v>
      </c>
      <c r="L283" s="2">
        <v>43220</v>
      </c>
      <c r="M283" s="2">
        <f>DOCXX[[#This Row],[INV DOC DATE]]+30</f>
        <v>43250</v>
      </c>
      <c r="N283" s="2">
        <v>43220</v>
      </c>
      <c r="O283" s="7">
        <v>172.5</v>
      </c>
      <c r="P283" s="2">
        <v>43250</v>
      </c>
      <c r="Q283" s="7">
        <f>$E283-$O283</f>
        <v>0</v>
      </c>
      <c r="R283" s="7" t="str">
        <f ca="1">IF(TODAY() - DOCXX[INV DUE DATE]&lt;30, "Less than 30 days",IF(TODAY()-DOCXX[INV DUE DATE]&lt;60,"30-60 days","More than 60 days"))</f>
        <v>30-60 days</v>
      </c>
      <c r="S283" t="s">
        <v>818</v>
      </c>
      <c r="T283" s="43" t="s">
        <v>2229</v>
      </c>
      <c r="U283" s="7" t="s">
        <v>3699</v>
      </c>
    </row>
    <row r="284" spans="1:21" x14ac:dyDescent="0.3">
      <c r="A284" s="14" t="s">
        <v>294</v>
      </c>
      <c r="B284" t="s">
        <v>30</v>
      </c>
      <c r="C284" t="s">
        <v>333</v>
      </c>
      <c r="D284">
        <v>1</v>
      </c>
      <c r="E284" s="7">
        <v>172.5</v>
      </c>
      <c r="H284">
        <v>75797</v>
      </c>
      <c r="I284" t="s">
        <v>359</v>
      </c>
      <c r="J284" t="s">
        <v>541</v>
      </c>
      <c r="K284" t="s">
        <v>3</v>
      </c>
      <c r="L284" s="2">
        <v>43220</v>
      </c>
      <c r="M284" s="2">
        <f>DOCXX[[#This Row],[INV DOC DATE]]+30</f>
        <v>43250</v>
      </c>
      <c r="N284" s="2">
        <v>43220</v>
      </c>
      <c r="O284" s="7">
        <v>172.5</v>
      </c>
      <c r="P284" s="2">
        <v>43250</v>
      </c>
      <c r="Q284" s="7">
        <f>$E284-$O284</f>
        <v>0</v>
      </c>
      <c r="R284" s="7" t="str">
        <f ca="1">IF(TODAY() - DOCXX[INV DUE DATE]&lt;30, "Less than 30 days",IF(TODAY()-DOCXX[INV DUE DATE]&lt;60,"30-60 days","More than 60 days"))</f>
        <v>30-60 days</v>
      </c>
      <c r="S284" t="s">
        <v>818</v>
      </c>
      <c r="T284" s="43" t="s">
        <v>2229</v>
      </c>
      <c r="U284" s="7" t="s">
        <v>3699</v>
      </c>
    </row>
    <row r="285" spans="1:21" x14ac:dyDescent="0.3">
      <c r="A285" s="14" t="s">
        <v>294</v>
      </c>
      <c r="B285" t="s">
        <v>30</v>
      </c>
      <c r="C285" t="s">
        <v>334</v>
      </c>
      <c r="D285">
        <v>1</v>
      </c>
      <c r="E285" s="7">
        <v>172.5</v>
      </c>
      <c r="H285">
        <v>75797</v>
      </c>
      <c r="I285" t="s">
        <v>359</v>
      </c>
      <c r="J285" t="s">
        <v>542</v>
      </c>
      <c r="K285" t="s">
        <v>3</v>
      </c>
      <c r="L285" s="2">
        <v>43220</v>
      </c>
      <c r="M285" s="2">
        <f>DOCXX[[#This Row],[INV DOC DATE]]+30</f>
        <v>43250</v>
      </c>
      <c r="N285" s="2">
        <v>43220</v>
      </c>
      <c r="O285" s="7">
        <v>172.5</v>
      </c>
      <c r="P285" s="2">
        <v>43250</v>
      </c>
      <c r="Q285" s="7">
        <f>$E285-$O285</f>
        <v>0</v>
      </c>
      <c r="R285" s="7" t="str">
        <f ca="1">IF(TODAY() - DOCXX[INV DUE DATE]&lt;30, "Less than 30 days",IF(TODAY()-DOCXX[INV DUE DATE]&lt;60,"30-60 days","More than 60 days"))</f>
        <v>30-60 days</v>
      </c>
      <c r="S285" t="s">
        <v>818</v>
      </c>
      <c r="T285" s="43" t="s">
        <v>2229</v>
      </c>
      <c r="U285" s="7" t="s">
        <v>3699</v>
      </c>
    </row>
    <row r="286" spans="1:21" x14ac:dyDescent="0.3">
      <c r="A286" s="14" t="s">
        <v>294</v>
      </c>
      <c r="B286" t="s">
        <v>30</v>
      </c>
      <c r="C286" t="s">
        <v>335</v>
      </c>
      <c r="D286">
        <v>1</v>
      </c>
      <c r="E286" s="7">
        <v>172.5</v>
      </c>
      <c r="H286">
        <v>75797</v>
      </c>
      <c r="I286" t="s">
        <v>359</v>
      </c>
      <c r="J286" t="s">
        <v>543</v>
      </c>
      <c r="K286" t="s">
        <v>3</v>
      </c>
      <c r="L286" s="2">
        <v>43220</v>
      </c>
      <c r="M286" s="2">
        <f>DOCXX[[#This Row],[INV DOC DATE]]+30</f>
        <v>43250</v>
      </c>
      <c r="N286" s="2">
        <v>43220</v>
      </c>
      <c r="O286" s="7">
        <v>172.5</v>
      </c>
      <c r="P286" s="2">
        <v>43250</v>
      </c>
      <c r="Q286" s="7">
        <f>$E286-$O286</f>
        <v>0</v>
      </c>
      <c r="R286" s="7" t="str">
        <f ca="1">IF(TODAY() - DOCXX[INV DUE DATE]&lt;30, "Less than 30 days",IF(TODAY()-DOCXX[INV DUE DATE]&lt;60,"30-60 days","More than 60 days"))</f>
        <v>30-60 days</v>
      </c>
      <c r="S286" t="s">
        <v>818</v>
      </c>
      <c r="T286" s="43" t="s">
        <v>2229</v>
      </c>
      <c r="U286" s="7" t="s">
        <v>3699</v>
      </c>
    </row>
    <row r="287" spans="1:21" x14ac:dyDescent="0.3">
      <c r="A287" s="14" t="s">
        <v>294</v>
      </c>
      <c r="B287" t="s">
        <v>30</v>
      </c>
      <c r="C287" t="s">
        <v>336</v>
      </c>
      <c r="D287">
        <v>1</v>
      </c>
      <c r="E287" s="7">
        <v>172.5</v>
      </c>
      <c r="H287">
        <v>75797</v>
      </c>
      <c r="I287" t="s">
        <v>359</v>
      </c>
      <c r="J287" t="s">
        <v>544</v>
      </c>
      <c r="K287" t="s">
        <v>3</v>
      </c>
      <c r="L287" s="2">
        <v>43220</v>
      </c>
      <c r="M287" s="2">
        <f>DOCXX[[#This Row],[INV DOC DATE]]+30</f>
        <v>43250</v>
      </c>
      <c r="N287" s="2">
        <v>43220</v>
      </c>
      <c r="O287" s="7">
        <v>172.5</v>
      </c>
      <c r="P287" s="2">
        <v>43250</v>
      </c>
      <c r="Q287" s="7">
        <f>$E287-$O287</f>
        <v>0</v>
      </c>
      <c r="R287" s="7" t="str">
        <f ca="1">IF(TODAY() - DOCXX[INV DUE DATE]&lt;30, "Less than 30 days",IF(TODAY()-DOCXX[INV DUE DATE]&lt;60,"30-60 days","More than 60 days"))</f>
        <v>30-60 days</v>
      </c>
      <c r="S287" t="s">
        <v>818</v>
      </c>
      <c r="T287" s="43" t="s">
        <v>2229</v>
      </c>
      <c r="U287" s="7" t="s">
        <v>3699</v>
      </c>
    </row>
    <row r="288" spans="1:21" x14ac:dyDescent="0.3">
      <c r="A288" s="14" t="s">
        <v>294</v>
      </c>
      <c r="B288" t="s">
        <v>30</v>
      </c>
      <c r="C288" t="s">
        <v>337</v>
      </c>
      <c r="D288">
        <v>1</v>
      </c>
      <c r="E288" s="7">
        <v>172.5</v>
      </c>
      <c r="H288">
        <v>75797</v>
      </c>
      <c r="I288" t="s">
        <v>359</v>
      </c>
      <c r="J288" t="s">
        <v>545</v>
      </c>
      <c r="K288" t="s">
        <v>3</v>
      </c>
      <c r="L288" s="2">
        <v>43220</v>
      </c>
      <c r="M288" s="2">
        <f>DOCXX[[#This Row],[INV DOC DATE]]+30</f>
        <v>43250</v>
      </c>
      <c r="N288" s="2">
        <v>43220</v>
      </c>
      <c r="O288" s="7">
        <v>172.5</v>
      </c>
      <c r="P288" s="2">
        <v>43250</v>
      </c>
      <c r="Q288" s="7">
        <f>$E288-$O288</f>
        <v>0</v>
      </c>
      <c r="R288" s="7" t="str">
        <f ca="1">IF(TODAY() - DOCXX[INV DUE DATE]&lt;30, "Less than 30 days",IF(TODAY()-DOCXX[INV DUE DATE]&lt;60,"30-60 days","More than 60 days"))</f>
        <v>30-60 days</v>
      </c>
      <c r="S288" t="s">
        <v>818</v>
      </c>
      <c r="T288" s="43" t="s">
        <v>2229</v>
      </c>
      <c r="U288" s="7" t="s">
        <v>3699</v>
      </c>
    </row>
    <row r="289" spans="1:21" x14ac:dyDescent="0.3">
      <c r="A289" s="14" t="s">
        <v>294</v>
      </c>
      <c r="B289" t="s">
        <v>30</v>
      </c>
      <c r="C289" t="s">
        <v>338</v>
      </c>
      <c r="D289">
        <v>1</v>
      </c>
      <c r="E289" s="7">
        <v>172.5</v>
      </c>
      <c r="H289">
        <v>75797</v>
      </c>
      <c r="I289" t="s">
        <v>359</v>
      </c>
      <c r="J289" t="s">
        <v>546</v>
      </c>
      <c r="K289" t="s">
        <v>3</v>
      </c>
      <c r="L289" s="2">
        <v>43220</v>
      </c>
      <c r="M289" s="2">
        <f>DOCXX[[#This Row],[INV DOC DATE]]+30</f>
        <v>43250</v>
      </c>
      <c r="N289" s="2">
        <v>43220</v>
      </c>
      <c r="O289" s="7">
        <v>172.5</v>
      </c>
      <c r="P289" s="2">
        <v>43250</v>
      </c>
      <c r="Q289" s="7">
        <f>$E289-$O289</f>
        <v>0</v>
      </c>
      <c r="R289" s="7" t="str">
        <f ca="1">IF(TODAY() - DOCXX[INV DUE DATE]&lt;30, "Less than 30 days",IF(TODAY()-DOCXX[INV DUE DATE]&lt;60,"30-60 days","More than 60 days"))</f>
        <v>30-60 days</v>
      </c>
      <c r="S289" t="s">
        <v>818</v>
      </c>
      <c r="T289" s="43" t="s">
        <v>2229</v>
      </c>
      <c r="U289" s="7" t="s">
        <v>3699</v>
      </c>
    </row>
    <row r="290" spans="1:21" x14ac:dyDescent="0.3">
      <c r="A290" s="14" t="s">
        <v>294</v>
      </c>
      <c r="B290" t="s">
        <v>30</v>
      </c>
      <c r="C290" t="s">
        <v>339</v>
      </c>
      <c r="D290">
        <v>1</v>
      </c>
      <c r="E290" s="7">
        <v>172.5</v>
      </c>
      <c r="H290">
        <v>75797</v>
      </c>
      <c r="I290" t="s">
        <v>359</v>
      </c>
      <c r="J290" t="s">
        <v>547</v>
      </c>
      <c r="K290" t="s">
        <v>3</v>
      </c>
      <c r="L290" s="2">
        <v>43220</v>
      </c>
      <c r="M290" s="2">
        <f>DOCXX[[#This Row],[INV DOC DATE]]+30</f>
        <v>43250</v>
      </c>
      <c r="N290" s="2">
        <v>43220</v>
      </c>
      <c r="O290" s="7">
        <v>172.5</v>
      </c>
      <c r="P290" s="2">
        <v>43250</v>
      </c>
      <c r="Q290" s="7">
        <f>$E290-$O290</f>
        <v>0</v>
      </c>
      <c r="R290" s="7" t="str">
        <f ca="1">IF(TODAY() - DOCXX[INV DUE DATE]&lt;30, "Less than 30 days",IF(TODAY()-DOCXX[INV DUE DATE]&lt;60,"30-60 days","More than 60 days"))</f>
        <v>30-60 days</v>
      </c>
      <c r="S290" t="s">
        <v>818</v>
      </c>
      <c r="T290" s="43" t="s">
        <v>2229</v>
      </c>
      <c r="U290" s="7" t="s">
        <v>3699</v>
      </c>
    </row>
    <row r="291" spans="1:21" x14ac:dyDescent="0.3">
      <c r="A291" s="14" t="s">
        <v>294</v>
      </c>
      <c r="B291" t="s">
        <v>30</v>
      </c>
      <c r="C291" t="s">
        <v>340</v>
      </c>
      <c r="D291">
        <v>1</v>
      </c>
      <c r="E291" s="7">
        <v>172.5</v>
      </c>
      <c r="H291">
        <v>75797</v>
      </c>
      <c r="I291" t="s">
        <v>359</v>
      </c>
      <c r="J291" t="s">
        <v>548</v>
      </c>
      <c r="K291" t="s">
        <v>3</v>
      </c>
      <c r="L291" s="2">
        <v>43220</v>
      </c>
      <c r="M291" s="2">
        <f>DOCXX[[#This Row],[INV DOC DATE]]+30</f>
        <v>43250</v>
      </c>
      <c r="N291" s="2">
        <v>43220</v>
      </c>
      <c r="O291" s="7">
        <v>172.5</v>
      </c>
      <c r="P291" s="2">
        <v>43250</v>
      </c>
      <c r="Q291" s="7">
        <f>$E291-$O291</f>
        <v>0</v>
      </c>
      <c r="R291" s="7" t="str">
        <f ca="1">IF(TODAY() - DOCXX[INV DUE DATE]&lt;30, "Less than 30 days",IF(TODAY()-DOCXX[INV DUE DATE]&lt;60,"30-60 days","More than 60 days"))</f>
        <v>30-60 days</v>
      </c>
      <c r="S291" t="s">
        <v>818</v>
      </c>
      <c r="T291" s="43" t="s">
        <v>2229</v>
      </c>
      <c r="U291" s="7" t="s">
        <v>3699</v>
      </c>
    </row>
    <row r="292" spans="1:21" x14ac:dyDescent="0.3">
      <c r="A292" s="14" t="s">
        <v>294</v>
      </c>
      <c r="B292" t="s">
        <v>30</v>
      </c>
      <c r="C292" t="s">
        <v>341</v>
      </c>
      <c r="D292">
        <v>1</v>
      </c>
      <c r="E292" s="7">
        <v>172.5</v>
      </c>
      <c r="H292">
        <v>75797</v>
      </c>
      <c r="I292" t="s">
        <v>359</v>
      </c>
      <c r="J292" t="s">
        <v>549</v>
      </c>
      <c r="K292" t="s">
        <v>3</v>
      </c>
      <c r="L292" s="2">
        <v>43220</v>
      </c>
      <c r="M292" s="2">
        <f>DOCXX[[#This Row],[INV DOC DATE]]+30</f>
        <v>43250</v>
      </c>
      <c r="N292" s="2">
        <v>43220</v>
      </c>
      <c r="O292" s="7">
        <v>172.5</v>
      </c>
      <c r="P292" s="2">
        <v>43250</v>
      </c>
      <c r="Q292" s="7">
        <f>$E292-$O292</f>
        <v>0</v>
      </c>
      <c r="R292" s="7" t="str">
        <f ca="1">IF(TODAY() - DOCXX[INV DUE DATE]&lt;30, "Less than 30 days",IF(TODAY()-DOCXX[INV DUE DATE]&lt;60,"30-60 days","More than 60 days"))</f>
        <v>30-60 days</v>
      </c>
      <c r="S292" t="s">
        <v>818</v>
      </c>
      <c r="T292" s="43" t="s">
        <v>2229</v>
      </c>
      <c r="U292" s="7" t="s">
        <v>3699</v>
      </c>
    </row>
    <row r="293" spans="1:21" x14ac:dyDescent="0.3">
      <c r="A293" s="14" t="s">
        <v>294</v>
      </c>
      <c r="B293" t="s">
        <v>30</v>
      </c>
      <c r="C293" t="s">
        <v>342</v>
      </c>
      <c r="D293">
        <v>1</v>
      </c>
      <c r="E293" s="7">
        <v>172.5</v>
      </c>
      <c r="H293">
        <v>77559</v>
      </c>
      <c r="I293" t="s">
        <v>349</v>
      </c>
      <c r="J293" t="s">
        <v>550</v>
      </c>
      <c r="K293" t="s">
        <v>3</v>
      </c>
      <c r="L293" s="2">
        <v>43220</v>
      </c>
      <c r="M293" s="2">
        <f>DOCXX[[#This Row],[INV DOC DATE]]+30</f>
        <v>43250</v>
      </c>
      <c r="N293" s="2">
        <v>43220</v>
      </c>
      <c r="O293" s="7">
        <v>172.5</v>
      </c>
      <c r="P293" s="2">
        <v>43250</v>
      </c>
      <c r="Q293" s="7">
        <f>$E293-$O293</f>
        <v>0</v>
      </c>
      <c r="R293" s="7" t="str">
        <f ca="1">IF(TODAY() - DOCXX[INV DUE DATE]&lt;30, "Less than 30 days",IF(TODAY()-DOCXX[INV DUE DATE]&lt;60,"30-60 days","More than 60 days"))</f>
        <v>30-60 days</v>
      </c>
      <c r="S293" t="s">
        <v>818</v>
      </c>
      <c r="T293" s="43" t="s">
        <v>2229</v>
      </c>
      <c r="U293" s="7" t="s">
        <v>3699</v>
      </c>
    </row>
    <row r="294" spans="1:21" x14ac:dyDescent="0.3">
      <c r="A294" s="14" t="s">
        <v>294</v>
      </c>
      <c r="B294" t="s">
        <v>30</v>
      </c>
      <c r="C294" t="s">
        <v>343</v>
      </c>
      <c r="D294">
        <v>1</v>
      </c>
      <c r="E294" s="7">
        <v>172.5</v>
      </c>
      <c r="H294">
        <v>91295</v>
      </c>
      <c r="I294" t="s">
        <v>360</v>
      </c>
      <c r="J294" t="s">
        <v>551</v>
      </c>
      <c r="K294" t="s">
        <v>3</v>
      </c>
      <c r="L294" s="2">
        <v>43220</v>
      </c>
      <c r="M294" s="2">
        <f>DOCXX[[#This Row],[INV DOC DATE]]+30</f>
        <v>43250</v>
      </c>
      <c r="N294" s="2">
        <v>43220</v>
      </c>
      <c r="O294" s="7">
        <v>172.5</v>
      </c>
      <c r="P294" s="2">
        <v>43250</v>
      </c>
      <c r="Q294" s="7">
        <f>$E294-$O294</f>
        <v>0</v>
      </c>
      <c r="R294" s="7" t="str">
        <f ca="1">IF(TODAY() - DOCXX[INV DUE DATE]&lt;30, "Less than 30 days",IF(TODAY()-DOCXX[INV DUE DATE]&lt;60,"30-60 days","More than 60 days"))</f>
        <v>30-60 days</v>
      </c>
      <c r="S294" t="s">
        <v>818</v>
      </c>
      <c r="T294" s="43" t="s">
        <v>2229</v>
      </c>
      <c r="U294" s="7" t="s">
        <v>3699</v>
      </c>
    </row>
    <row r="295" spans="1:21" x14ac:dyDescent="0.3">
      <c r="A295" s="14" t="s">
        <v>294</v>
      </c>
      <c r="B295" t="s">
        <v>30</v>
      </c>
      <c r="C295" t="s">
        <v>344</v>
      </c>
      <c r="D295">
        <v>1</v>
      </c>
      <c r="E295" s="7">
        <v>172.5</v>
      </c>
      <c r="H295">
        <v>97900</v>
      </c>
      <c r="I295" t="s">
        <v>350</v>
      </c>
      <c r="J295" t="s">
        <v>552</v>
      </c>
      <c r="K295" t="s">
        <v>3</v>
      </c>
      <c r="L295" s="2">
        <v>43220</v>
      </c>
      <c r="M295" s="2">
        <f>DOCXX[[#This Row],[INV DOC DATE]]+30</f>
        <v>43250</v>
      </c>
      <c r="N295" s="2">
        <v>43220</v>
      </c>
      <c r="O295" s="7">
        <v>172.5</v>
      </c>
      <c r="P295" s="2">
        <v>43250</v>
      </c>
      <c r="Q295" s="7">
        <f>$E295-$O295</f>
        <v>0</v>
      </c>
      <c r="R295" s="7" t="str">
        <f ca="1">IF(TODAY() - DOCXX[INV DUE DATE]&lt;30, "Less than 30 days",IF(TODAY()-DOCXX[INV DUE DATE]&lt;60,"30-60 days","More than 60 days"))</f>
        <v>30-60 days</v>
      </c>
      <c r="S295" t="s">
        <v>818</v>
      </c>
      <c r="T295" s="43" t="s">
        <v>2229</v>
      </c>
      <c r="U295" s="7" t="s">
        <v>3699</v>
      </c>
    </row>
    <row r="296" spans="1:21" x14ac:dyDescent="0.3">
      <c r="A296" s="14" t="s">
        <v>294</v>
      </c>
      <c r="B296" t="s">
        <v>30</v>
      </c>
      <c r="C296" t="s">
        <v>345</v>
      </c>
      <c r="D296">
        <v>2000</v>
      </c>
      <c r="E296" s="7">
        <v>172.5</v>
      </c>
      <c r="H296">
        <v>11843</v>
      </c>
      <c r="I296" t="s">
        <v>361</v>
      </c>
      <c r="J296" t="s">
        <v>553</v>
      </c>
      <c r="K296" t="s">
        <v>3</v>
      </c>
      <c r="L296" s="2">
        <v>43220</v>
      </c>
      <c r="M296" s="2">
        <f>DOCXX[[#This Row],[INV DOC DATE]]+30</f>
        <v>43250</v>
      </c>
      <c r="N296" s="2">
        <v>43220</v>
      </c>
      <c r="O296" s="7">
        <v>172.5</v>
      </c>
      <c r="P296" s="2">
        <v>43250</v>
      </c>
      <c r="Q296" s="7">
        <f>$E296-$O296</f>
        <v>0</v>
      </c>
      <c r="R296" s="7" t="str">
        <f ca="1">IF(TODAY() - DOCXX[INV DUE DATE]&lt;30, "Less than 30 days",IF(TODAY()-DOCXX[INV DUE DATE]&lt;60,"30-60 days","More than 60 days"))</f>
        <v>30-60 days</v>
      </c>
      <c r="S296" t="s">
        <v>818</v>
      </c>
      <c r="T296" s="43" t="s">
        <v>2229</v>
      </c>
      <c r="U296" s="7" t="s">
        <v>3699</v>
      </c>
    </row>
    <row r="297" spans="1:21" x14ac:dyDescent="0.3">
      <c r="A297" s="14" t="s">
        <v>294</v>
      </c>
      <c r="B297" t="s">
        <v>30</v>
      </c>
      <c r="C297" t="s">
        <v>346</v>
      </c>
      <c r="D297">
        <v>2000</v>
      </c>
      <c r="E297" s="7">
        <v>172.5</v>
      </c>
      <c r="H297">
        <v>37912</v>
      </c>
      <c r="I297" t="s">
        <v>362</v>
      </c>
      <c r="J297" t="s">
        <v>554</v>
      </c>
      <c r="K297" t="s">
        <v>3</v>
      </c>
      <c r="L297" s="2">
        <v>43220</v>
      </c>
      <c r="M297" s="2">
        <f>DOCXX[[#This Row],[INV DOC DATE]]+30</f>
        <v>43250</v>
      </c>
      <c r="N297" s="2">
        <v>43220</v>
      </c>
      <c r="O297" s="7">
        <v>172.5</v>
      </c>
      <c r="P297" s="2">
        <v>43250</v>
      </c>
      <c r="Q297" s="7">
        <f>$E297-$O297</f>
        <v>0</v>
      </c>
      <c r="R297" s="7" t="str">
        <f ca="1">IF(TODAY() - DOCXX[INV DUE DATE]&lt;30, "Less than 30 days",IF(TODAY()-DOCXX[INV DUE DATE]&lt;60,"30-60 days","More than 60 days"))</f>
        <v>30-60 days</v>
      </c>
      <c r="S297" t="s">
        <v>818</v>
      </c>
      <c r="T297" s="43" t="s">
        <v>2229</v>
      </c>
      <c r="U297" s="7" t="s">
        <v>3699</v>
      </c>
    </row>
    <row r="298" spans="1:21" x14ac:dyDescent="0.3">
      <c r="A298" s="14" t="s">
        <v>2146</v>
      </c>
      <c r="B298" t="s">
        <v>30</v>
      </c>
      <c r="C298" t="s">
        <v>6</v>
      </c>
      <c r="D298">
        <v>1</v>
      </c>
      <c r="E298" s="7">
        <v>12704.5</v>
      </c>
      <c r="H298">
        <v>1274</v>
      </c>
      <c r="I298" t="s">
        <v>350</v>
      </c>
      <c r="J298" t="s">
        <v>2247</v>
      </c>
      <c r="K298" t="s">
        <v>3</v>
      </c>
      <c r="L298" s="2">
        <v>43191</v>
      </c>
      <c r="M298" s="2">
        <f>DOCXX[[#This Row],[INV DOC DATE]]+30</f>
        <v>43221</v>
      </c>
      <c r="N298" s="2">
        <v>43243</v>
      </c>
      <c r="O298" s="7">
        <v>12704.5</v>
      </c>
      <c r="P298" s="2">
        <v>43250</v>
      </c>
      <c r="Q298" s="7">
        <f>$E298-$O298</f>
        <v>0</v>
      </c>
      <c r="R298" s="7" t="str">
        <f ca="1">IF(TODAY() - DOCXX[INV DUE DATE]&lt;30, "Less than 30 days",IF(TODAY()-DOCXX[INV DUE DATE]&lt;60,"30-60 days","More than 60 days"))</f>
        <v>More than 60 days</v>
      </c>
      <c r="S298" t="s">
        <v>818</v>
      </c>
      <c r="U298" s="7" t="s">
        <v>3699</v>
      </c>
    </row>
    <row r="299" spans="1:21" x14ac:dyDescent="0.3">
      <c r="A299" s="14" t="s">
        <v>2146</v>
      </c>
      <c r="B299" t="s">
        <v>30</v>
      </c>
      <c r="C299" t="s">
        <v>7</v>
      </c>
      <c r="D299">
        <v>1</v>
      </c>
      <c r="E299" s="7">
        <v>11212.86</v>
      </c>
      <c r="H299">
        <v>1273</v>
      </c>
      <c r="I299" t="s">
        <v>350</v>
      </c>
      <c r="J299" t="s">
        <v>2247</v>
      </c>
      <c r="K299" t="s">
        <v>3</v>
      </c>
      <c r="L299" s="2">
        <v>43191</v>
      </c>
      <c r="M299" s="2">
        <f>DOCXX[[#This Row],[INV DOC DATE]]+30</f>
        <v>43221</v>
      </c>
      <c r="N299" s="2">
        <v>43243</v>
      </c>
      <c r="O299" s="7">
        <v>11212.86</v>
      </c>
      <c r="P299" s="2">
        <v>43250</v>
      </c>
      <c r="Q299" s="7">
        <f>$E299-$O299</f>
        <v>0</v>
      </c>
      <c r="R299" s="7" t="str">
        <f ca="1">IF(TODAY() - DOCXX[INV DUE DATE]&lt;30, "Less than 30 days",IF(TODAY()-DOCXX[INV DUE DATE]&lt;60,"30-60 days","More than 60 days"))</f>
        <v>More than 60 days</v>
      </c>
      <c r="S299" t="s">
        <v>818</v>
      </c>
      <c r="U299" s="7" t="s">
        <v>3699</v>
      </c>
    </row>
    <row r="300" spans="1:21" x14ac:dyDescent="0.3">
      <c r="A300" s="14" t="s">
        <v>2146</v>
      </c>
      <c r="B300" t="s">
        <v>30</v>
      </c>
      <c r="C300" t="s">
        <v>8</v>
      </c>
      <c r="D300">
        <v>1</v>
      </c>
      <c r="E300" s="7">
        <v>10795.87</v>
      </c>
      <c r="H300">
        <v>58008</v>
      </c>
      <c r="I300" t="s">
        <v>355</v>
      </c>
      <c r="J300" t="s">
        <v>2247</v>
      </c>
      <c r="K300" t="s">
        <v>3</v>
      </c>
      <c r="L300" s="2">
        <v>43191</v>
      </c>
      <c r="M300" s="2">
        <f>DOCXX[[#This Row],[INV DOC DATE]]+30</f>
        <v>43221</v>
      </c>
      <c r="N300" s="2">
        <v>43243</v>
      </c>
      <c r="O300" s="7">
        <v>10795.87</v>
      </c>
      <c r="P300" s="2">
        <v>43250</v>
      </c>
      <c r="Q300" s="7">
        <f>$E300-$O300</f>
        <v>0</v>
      </c>
      <c r="R300" s="7" t="str">
        <f ca="1">IF(TODAY() - DOCXX[INV DUE DATE]&lt;30, "Less than 30 days",IF(TODAY()-DOCXX[INV DUE DATE]&lt;60,"30-60 days","More than 60 days"))</f>
        <v>More than 60 days</v>
      </c>
      <c r="S300" t="s">
        <v>818</v>
      </c>
      <c r="U300" s="7" t="s">
        <v>3699</v>
      </c>
    </row>
    <row r="301" spans="1:21" x14ac:dyDescent="0.3">
      <c r="A301" s="14" t="s">
        <v>2146</v>
      </c>
      <c r="B301" t="s">
        <v>30</v>
      </c>
      <c r="C301" t="s">
        <v>9</v>
      </c>
      <c r="D301">
        <v>1</v>
      </c>
      <c r="E301" s="7">
        <v>5922.71</v>
      </c>
      <c r="H301">
        <v>66660</v>
      </c>
      <c r="I301" t="s">
        <v>357</v>
      </c>
      <c r="J301" t="s">
        <v>2247</v>
      </c>
      <c r="K301" t="s">
        <v>3</v>
      </c>
      <c r="L301" s="2">
        <v>43191</v>
      </c>
      <c r="M301" s="2">
        <f>DOCXX[[#This Row],[INV DOC DATE]]+30</f>
        <v>43221</v>
      </c>
      <c r="N301" s="2">
        <v>43243</v>
      </c>
      <c r="O301" s="7">
        <v>5922.71</v>
      </c>
      <c r="P301" s="2">
        <v>43250</v>
      </c>
      <c r="Q301" s="7">
        <f>$E301-$O301</f>
        <v>0</v>
      </c>
      <c r="R301" s="7" t="str">
        <f ca="1">IF(TODAY() - DOCXX[INV DUE DATE]&lt;30, "Less than 30 days",IF(TODAY()-DOCXX[INV DUE DATE]&lt;60,"30-60 days","More than 60 days"))</f>
        <v>More than 60 days</v>
      </c>
      <c r="S301" t="s">
        <v>818</v>
      </c>
      <c r="U301" s="7" t="s">
        <v>3699</v>
      </c>
    </row>
    <row r="302" spans="1:21" x14ac:dyDescent="0.3">
      <c r="A302" s="14" t="s">
        <v>2146</v>
      </c>
      <c r="B302" t="s">
        <v>30</v>
      </c>
      <c r="C302" t="s">
        <v>10</v>
      </c>
      <c r="D302">
        <v>1</v>
      </c>
      <c r="E302" s="7">
        <v>5084.3</v>
      </c>
      <c r="H302">
        <v>97900</v>
      </c>
      <c r="I302" t="s">
        <v>350</v>
      </c>
      <c r="J302" t="s">
        <v>2247</v>
      </c>
      <c r="K302" t="s">
        <v>3</v>
      </c>
      <c r="L302" s="2">
        <v>43191</v>
      </c>
      <c r="M302" s="2">
        <f>DOCXX[[#This Row],[INV DOC DATE]]+30</f>
        <v>43221</v>
      </c>
      <c r="N302" s="2">
        <v>43243</v>
      </c>
      <c r="O302" s="7">
        <v>5084.3</v>
      </c>
      <c r="P302" s="2">
        <v>43250</v>
      </c>
      <c r="Q302" s="7">
        <f>$E302-$O302</f>
        <v>0</v>
      </c>
      <c r="R302" s="7" t="str">
        <f ca="1">IF(TODAY() - DOCXX[INV DUE DATE]&lt;30, "Less than 30 days",IF(TODAY()-DOCXX[INV DUE DATE]&lt;60,"30-60 days","More than 60 days"))</f>
        <v>More than 60 days</v>
      </c>
      <c r="S302" t="s">
        <v>818</v>
      </c>
      <c r="U302" s="7" t="s">
        <v>3699</v>
      </c>
    </row>
    <row r="303" spans="1:21" x14ac:dyDescent="0.3">
      <c r="A303" s="14" t="s">
        <v>2146</v>
      </c>
      <c r="B303" t="s">
        <v>30</v>
      </c>
      <c r="C303" t="s">
        <v>11</v>
      </c>
      <c r="D303">
        <v>1</v>
      </c>
      <c r="E303" s="7">
        <v>3415.17</v>
      </c>
      <c r="H303">
        <v>66665</v>
      </c>
      <c r="I303" t="s">
        <v>2248</v>
      </c>
      <c r="J303" t="s">
        <v>2247</v>
      </c>
      <c r="K303" t="s">
        <v>3</v>
      </c>
      <c r="L303" s="2">
        <v>43191</v>
      </c>
      <c r="M303" s="2">
        <f>DOCXX[[#This Row],[INV DOC DATE]]+30</f>
        <v>43221</v>
      </c>
      <c r="N303" s="2">
        <v>43243</v>
      </c>
      <c r="O303" s="7">
        <v>3415.17</v>
      </c>
      <c r="P303" s="2">
        <v>43250</v>
      </c>
      <c r="Q303" s="7">
        <f>$E303-$O303</f>
        <v>0</v>
      </c>
      <c r="R303" s="7" t="str">
        <f ca="1">IF(TODAY() - DOCXX[INV DUE DATE]&lt;30, "Less than 30 days",IF(TODAY()-DOCXX[INV DUE DATE]&lt;60,"30-60 days","More than 60 days"))</f>
        <v>More than 60 days</v>
      </c>
      <c r="S303" t="s">
        <v>818</v>
      </c>
      <c r="U303" s="7" t="s">
        <v>3699</v>
      </c>
    </row>
    <row r="304" spans="1:21" x14ac:dyDescent="0.3">
      <c r="A304" s="14" t="s">
        <v>2146</v>
      </c>
      <c r="B304" t="s">
        <v>30</v>
      </c>
      <c r="C304" t="s">
        <v>12</v>
      </c>
      <c r="D304">
        <v>1</v>
      </c>
      <c r="E304" s="7">
        <v>3407.48</v>
      </c>
      <c r="H304">
        <v>167840</v>
      </c>
      <c r="I304" t="s">
        <v>2249</v>
      </c>
      <c r="J304" t="s">
        <v>2247</v>
      </c>
      <c r="K304" t="s">
        <v>3</v>
      </c>
      <c r="L304" s="2">
        <v>43191</v>
      </c>
      <c r="M304" s="2">
        <f>DOCXX[[#This Row],[INV DOC DATE]]+30</f>
        <v>43221</v>
      </c>
      <c r="N304" s="2">
        <v>43243</v>
      </c>
      <c r="O304" s="7">
        <v>3407.48</v>
      </c>
      <c r="P304" s="2">
        <v>43250</v>
      </c>
      <c r="Q304" s="7">
        <f>$E304-$O304</f>
        <v>0</v>
      </c>
      <c r="R304" s="7" t="str">
        <f ca="1">IF(TODAY() - DOCXX[INV DUE DATE]&lt;30, "Less than 30 days",IF(TODAY()-DOCXX[INV DUE DATE]&lt;60,"30-60 days","More than 60 days"))</f>
        <v>More than 60 days</v>
      </c>
      <c r="S304" t="s">
        <v>818</v>
      </c>
      <c r="U304" s="7" t="s">
        <v>3699</v>
      </c>
    </row>
    <row r="305" spans="1:21" x14ac:dyDescent="0.3">
      <c r="A305" s="14" t="s">
        <v>2146</v>
      </c>
      <c r="B305" t="s">
        <v>30</v>
      </c>
      <c r="C305" t="s">
        <v>13</v>
      </c>
      <c r="D305">
        <v>1</v>
      </c>
      <c r="E305" s="7">
        <v>2930.59</v>
      </c>
      <c r="H305">
        <v>68162</v>
      </c>
      <c r="I305" t="s">
        <v>358</v>
      </c>
      <c r="J305" t="s">
        <v>2247</v>
      </c>
      <c r="K305" t="s">
        <v>3</v>
      </c>
      <c r="L305" s="2">
        <v>43191</v>
      </c>
      <c r="M305" s="2">
        <f>DOCXX[[#This Row],[INV DOC DATE]]+30</f>
        <v>43221</v>
      </c>
      <c r="N305" s="2">
        <v>43243</v>
      </c>
      <c r="O305" s="7">
        <v>2930.59</v>
      </c>
      <c r="P305" s="2">
        <v>43250</v>
      </c>
      <c r="Q305" s="7">
        <f>$E305-$O305</f>
        <v>0</v>
      </c>
      <c r="R305" s="7" t="str">
        <f ca="1">IF(TODAY() - DOCXX[INV DUE DATE]&lt;30, "Less than 30 days",IF(TODAY()-DOCXX[INV DUE DATE]&lt;60,"30-60 days","More than 60 days"))</f>
        <v>More than 60 days</v>
      </c>
      <c r="S305" t="s">
        <v>818</v>
      </c>
      <c r="U305" s="7" t="s">
        <v>3699</v>
      </c>
    </row>
    <row r="306" spans="1:21" x14ac:dyDescent="0.3">
      <c r="A306" s="14" t="s">
        <v>2146</v>
      </c>
      <c r="B306" t="s">
        <v>30</v>
      </c>
      <c r="C306" t="s">
        <v>14</v>
      </c>
      <c r="D306">
        <v>1</v>
      </c>
      <c r="E306" s="7">
        <v>2645.99</v>
      </c>
      <c r="H306">
        <v>55785</v>
      </c>
      <c r="I306" t="s">
        <v>354</v>
      </c>
      <c r="J306" t="s">
        <v>2247</v>
      </c>
      <c r="K306" t="s">
        <v>3</v>
      </c>
      <c r="L306" s="2">
        <v>43191</v>
      </c>
      <c r="M306" s="2">
        <f>DOCXX[[#This Row],[INV DOC DATE]]+30</f>
        <v>43221</v>
      </c>
      <c r="N306" s="2">
        <v>43243</v>
      </c>
      <c r="O306" s="7">
        <v>2645.99</v>
      </c>
      <c r="P306" s="2">
        <v>43250</v>
      </c>
      <c r="Q306" s="7">
        <f>$E306-$O306</f>
        <v>0</v>
      </c>
      <c r="R306" s="7" t="str">
        <f ca="1">IF(TODAY() - DOCXX[INV DUE DATE]&lt;30, "Less than 30 days",IF(TODAY()-DOCXX[INV DUE DATE]&lt;60,"30-60 days","More than 60 days"))</f>
        <v>More than 60 days</v>
      </c>
      <c r="S306" t="s">
        <v>818</v>
      </c>
      <c r="U306" s="7" t="s">
        <v>3699</v>
      </c>
    </row>
    <row r="307" spans="1:21" x14ac:dyDescent="0.3">
      <c r="A307" s="14" t="s">
        <v>2146</v>
      </c>
      <c r="B307" t="s">
        <v>30</v>
      </c>
      <c r="C307" t="s">
        <v>15</v>
      </c>
      <c r="D307">
        <v>1</v>
      </c>
      <c r="E307" s="7">
        <v>2384.4699999999998</v>
      </c>
      <c r="H307">
        <v>82624</v>
      </c>
      <c r="I307" t="s">
        <v>853</v>
      </c>
      <c r="J307" t="s">
        <v>2247</v>
      </c>
      <c r="K307" t="s">
        <v>3</v>
      </c>
      <c r="L307" s="2">
        <v>43191</v>
      </c>
      <c r="M307" s="2">
        <f>DOCXX[[#This Row],[INV DOC DATE]]+30</f>
        <v>43221</v>
      </c>
      <c r="N307" s="2">
        <v>43243</v>
      </c>
      <c r="O307" s="7">
        <v>2384.4699999999998</v>
      </c>
      <c r="P307" s="2">
        <v>43250</v>
      </c>
      <c r="Q307" s="7">
        <f>$E307-$O307</f>
        <v>0</v>
      </c>
      <c r="R307" s="7" t="str">
        <f ca="1">IF(TODAY() - DOCXX[INV DUE DATE]&lt;30, "Less than 30 days",IF(TODAY()-DOCXX[INV DUE DATE]&lt;60,"30-60 days","More than 60 days"))</f>
        <v>More than 60 days</v>
      </c>
      <c r="S307" t="s">
        <v>818</v>
      </c>
      <c r="U307" s="7" t="s">
        <v>3699</v>
      </c>
    </row>
    <row r="308" spans="1:21" x14ac:dyDescent="0.3">
      <c r="A308" s="14" t="s">
        <v>2146</v>
      </c>
      <c r="B308" t="s">
        <v>30</v>
      </c>
      <c r="C308" t="s">
        <v>16</v>
      </c>
      <c r="D308">
        <v>1</v>
      </c>
      <c r="E308" s="7">
        <v>2292.17</v>
      </c>
      <c r="H308">
        <v>67904</v>
      </c>
      <c r="I308" t="s">
        <v>853</v>
      </c>
      <c r="J308" t="s">
        <v>2247</v>
      </c>
      <c r="K308" t="s">
        <v>3</v>
      </c>
      <c r="L308" s="2">
        <v>43191</v>
      </c>
      <c r="M308" s="2">
        <f>DOCXX[[#This Row],[INV DOC DATE]]+30</f>
        <v>43221</v>
      </c>
      <c r="N308" s="2">
        <v>43243</v>
      </c>
      <c r="O308" s="7">
        <v>2292.17</v>
      </c>
      <c r="P308" s="2">
        <v>43250</v>
      </c>
      <c r="Q308" s="7">
        <f>$E308-$O308</f>
        <v>0</v>
      </c>
      <c r="R308" s="7" t="str">
        <f ca="1">IF(TODAY() - DOCXX[INV DUE DATE]&lt;30, "Less than 30 days",IF(TODAY()-DOCXX[INV DUE DATE]&lt;60,"30-60 days","More than 60 days"))</f>
        <v>More than 60 days</v>
      </c>
      <c r="S308" t="s">
        <v>818</v>
      </c>
      <c r="U308" s="7" t="s">
        <v>3699</v>
      </c>
    </row>
    <row r="309" spans="1:21" x14ac:dyDescent="0.3">
      <c r="A309" s="14" t="s">
        <v>2146</v>
      </c>
      <c r="B309" t="s">
        <v>30</v>
      </c>
      <c r="C309" t="s">
        <v>17</v>
      </c>
      <c r="D309">
        <v>1</v>
      </c>
      <c r="E309" s="7">
        <v>2099.87</v>
      </c>
      <c r="H309">
        <v>66652</v>
      </c>
      <c r="I309" t="s">
        <v>356</v>
      </c>
      <c r="J309" t="s">
        <v>2247</v>
      </c>
      <c r="K309" t="s">
        <v>3</v>
      </c>
      <c r="L309" s="2">
        <v>43191</v>
      </c>
      <c r="M309" s="2">
        <f>DOCXX[[#This Row],[INV DOC DATE]]+30</f>
        <v>43221</v>
      </c>
      <c r="N309" s="2">
        <v>43243</v>
      </c>
      <c r="O309" s="7">
        <v>2099.87</v>
      </c>
      <c r="P309" s="2">
        <v>43250</v>
      </c>
      <c r="Q309" s="7">
        <f>$E309-$O309</f>
        <v>0</v>
      </c>
      <c r="R309" s="7" t="str">
        <f ca="1">IF(TODAY() - DOCXX[INV DUE DATE]&lt;30, "Less than 30 days",IF(TODAY()-DOCXX[INV DUE DATE]&lt;60,"30-60 days","More than 60 days"))</f>
        <v>More than 60 days</v>
      </c>
      <c r="S309" t="s">
        <v>818</v>
      </c>
      <c r="U309" s="7" t="s">
        <v>3699</v>
      </c>
    </row>
    <row r="310" spans="1:21" x14ac:dyDescent="0.3">
      <c r="A310" s="14" t="s">
        <v>2146</v>
      </c>
      <c r="B310" t="s">
        <v>30</v>
      </c>
      <c r="C310" t="s">
        <v>18</v>
      </c>
      <c r="D310">
        <v>1</v>
      </c>
      <c r="E310" s="7">
        <v>2092.1799999999998</v>
      </c>
      <c r="H310">
        <v>1204</v>
      </c>
      <c r="I310" t="s">
        <v>2250</v>
      </c>
      <c r="J310" t="s">
        <v>2247</v>
      </c>
      <c r="K310" t="s">
        <v>3</v>
      </c>
      <c r="L310" s="2">
        <v>43191</v>
      </c>
      <c r="M310" s="2">
        <f>DOCXX[[#This Row],[INV DOC DATE]]+30</f>
        <v>43221</v>
      </c>
      <c r="N310" s="2">
        <v>43243</v>
      </c>
      <c r="O310" s="7">
        <v>2092.1799999999998</v>
      </c>
      <c r="P310" s="2">
        <v>43250</v>
      </c>
      <c r="Q310" s="7">
        <f>$E310-$O310</f>
        <v>0</v>
      </c>
      <c r="R310" s="7" t="str">
        <f ca="1">IF(TODAY() - DOCXX[INV DUE DATE]&lt;30, "Less than 30 days",IF(TODAY()-DOCXX[INV DUE DATE]&lt;60,"30-60 days","More than 60 days"))</f>
        <v>More than 60 days</v>
      </c>
      <c r="S310" t="s">
        <v>818</v>
      </c>
      <c r="U310" s="7" t="s">
        <v>3699</v>
      </c>
    </row>
    <row r="311" spans="1:21" x14ac:dyDescent="0.3">
      <c r="A311" s="14" t="s">
        <v>2146</v>
      </c>
      <c r="B311" t="s">
        <v>30</v>
      </c>
      <c r="C311" t="s">
        <v>19</v>
      </c>
      <c r="D311">
        <v>1</v>
      </c>
      <c r="E311" s="7">
        <v>1884.5</v>
      </c>
      <c r="H311">
        <v>75797</v>
      </c>
      <c r="I311" t="s">
        <v>859</v>
      </c>
      <c r="J311" t="s">
        <v>2247</v>
      </c>
      <c r="K311" t="s">
        <v>3</v>
      </c>
      <c r="L311" s="2">
        <v>43191</v>
      </c>
      <c r="M311" s="2">
        <f>DOCXX[[#This Row],[INV DOC DATE]]+30</f>
        <v>43221</v>
      </c>
      <c r="N311" s="2">
        <v>43243</v>
      </c>
      <c r="O311" s="7">
        <v>1884.5</v>
      </c>
      <c r="P311" s="2">
        <v>43250</v>
      </c>
      <c r="Q311" s="7">
        <f>$E311-$O311</f>
        <v>0</v>
      </c>
      <c r="R311" s="7" t="str">
        <f ca="1">IF(TODAY() - DOCXX[INV DUE DATE]&lt;30, "Less than 30 days",IF(TODAY()-DOCXX[INV DUE DATE]&lt;60,"30-60 days","More than 60 days"))</f>
        <v>More than 60 days</v>
      </c>
      <c r="S311" t="s">
        <v>818</v>
      </c>
      <c r="U311" s="7" t="s">
        <v>3699</v>
      </c>
    </row>
    <row r="312" spans="1:21" x14ac:dyDescent="0.3">
      <c r="A312" s="14" t="s">
        <v>2146</v>
      </c>
      <c r="B312" t="s">
        <v>30</v>
      </c>
      <c r="C312" t="s">
        <v>20</v>
      </c>
      <c r="D312">
        <v>1</v>
      </c>
      <c r="E312" s="7">
        <v>1784.5</v>
      </c>
      <c r="H312">
        <v>55609</v>
      </c>
      <c r="I312" t="s">
        <v>349</v>
      </c>
      <c r="J312" t="s">
        <v>2247</v>
      </c>
      <c r="K312" t="s">
        <v>3</v>
      </c>
      <c r="L312" s="2">
        <v>43191</v>
      </c>
      <c r="M312" s="2">
        <f>DOCXX[[#This Row],[INV DOC DATE]]+30</f>
        <v>43221</v>
      </c>
      <c r="N312" s="2">
        <v>43243</v>
      </c>
      <c r="O312" s="7">
        <v>1784.5</v>
      </c>
      <c r="P312" s="2">
        <v>43250</v>
      </c>
      <c r="Q312" s="7">
        <f>$E312-$O312</f>
        <v>0</v>
      </c>
      <c r="R312" s="7" t="str">
        <f ca="1">IF(TODAY() - DOCXX[INV DUE DATE]&lt;30, "Less than 30 days",IF(TODAY()-DOCXX[INV DUE DATE]&lt;60,"30-60 days","More than 60 days"))</f>
        <v>More than 60 days</v>
      </c>
      <c r="S312" t="s">
        <v>818</v>
      </c>
      <c r="U312" s="7" t="s">
        <v>3699</v>
      </c>
    </row>
    <row r="313" spans="1:21" x14ac:dyDescent="0.3">
      <c r="A313" s="14" t="s">
        <v>2146</v>
      </c>
      <c r="B313" t="s">
        <v>30</v>
      </c>
      <c r="C313" t="s">
        <v>21</v>
      </c>
      <c r="D313">
        <v>1</v>
      </c>
      <c r="E313" s="7">
        <v>1530.67</v>
      </c>
      <c r="H313">
        <v>1356</v>
      </c>
      <c r="I313" t="s">
        <v>2251</v>
      </c>
      <c r="J313" t="s">
        <v>2247</v>
      </c>
      <c r="K313" t="s">
        <v>3</v>
      </c>
      <c r="L313" s="2">
        <v>43191</v>
      </c>
      <c r="M313" s="2">
        <f>DOCXX[[#This Row],[INV DOC DATE]]+30</f>
        <v>43221</v>
      </c>
      <c r="N313" s="2">
        <v>43243</v>
      </c>
      <c r="O313" s="7">
        <v>1530.67</v>
      </c>
      <c r="P313" s="2">
        <v>43250</v>
      </c>
      <c r="Q313" s="7">
        <f>$E313-$O313</f>
        <v>0</v>
      </c>
      <c r="R313" s="7" t="str">
        <f ca="1">IF(TODAY() - DOCXX[INV DUE DATE]&lt;30, "Less than 30 days",IF(TODAY()-DOCXX[INV DUE DATE]&lt;60,"30-60 days","More than 60 days"))</f>
        <v>More than 60 days</v>
      </c>
      <c r="S313" t="s">
        <v>818</v>
      </c>
      <c r="U313" s="7" t="s">
        <v>3699</v>
      </c>
    </row>
    <row r="314" spans="1:21" x14ac:dyDescent="0.3">
      <c r="A314" s="14" t="s">
        <v>2146</v>
      </c>
      <c r="B314" t="s">
        <v>30</v>
      </c>
      <c r="C314" t="s">
        <v>22</v>
      </c>
      <c r="D314">
        <v>1</v>
      </c>
      <c r="E314" s="7">
        <v>1461.45</v>
      </c>
      <c r="H314">
        <v>68260</v>
      </c>
      <c r="I314" t="s">
        <v>2252</v>
      </c>
      <c r="J314" t="s">
        <v>2247</v>
      </c>
      <c r="K314" t="s">
        <v>3</v>
      </c>
      <c r="L314" s="2">
        <v>43191</v>
      </c>
      <c r="M314" s="2">
        <f>DOCXX[[#This Row],[INV DOC DATE]]+30</f>
        <v>43221</v>
      </c>
      <c r="N314" s="2">
        <v>43243</v>
      </c>
      <c r="O314" s="7">
        <v>1461.45</v>
      </c>
      <c r="P314" s="2">
        <v>43250</v>
      </c>
      <c r="Q314" s="7">
        <f>$E314-$O314</f>
        <v>0</v>
      </c>
      <c r="R314" s="7" t="str">
        <f ca="1">IF(TODAY() - DOCXX[INV DUE DATE]&lt;30, "Less than 30 days",IF(TODAY()-DOCXX[INV DUE DATE]&lt;60,"30-60 days","More than 60 days"))</f>
        <v>More than 60 days</v>
      </c>
      <c r="S314" t="s">
        <v>818</v>
      </c>
      <c r="U314" s="7" t="s">
        <v>3699</v>
      </c>
    </row>
    <row r="315" spans="1:21" x14ac:dyDescent="0.3">
      <c r="A315" s="14" t="s">
        <v>2146</v>
      </c>
      <c r="B315" t="s">
        <v>30</v>
      </c>
      <c r="C315" t="s">
        <v>23</v>
      </c>
      <c r="D315">
        <v>1</v>
      </c>
      <c r="E315" s="7">
        <v>961.48</v>
      </c>
      <c r="H315">
        <v>82294</v>
      </c>
      <c r="I315" t="s">
        <v>853</v>
      </c>
      <c r="J315" t="s">
        <v>2247</v>
      </c>
      <c r="K315" t="s">
        <v>3</v>
      </c>
      <c r="L315" s="2">
        <v>43191</v>
      </c>
      <c r="M315" s="2">
        <f>DOCXX[[#This Row],[INV DOC DATE]]+30</f>
        <v>43221</v>
      </c>
      <c r="N315" s="2">
        <v>43243</v>
      </c>
      <c r="O315" s="7">
        <v>961.48</v>
      </c>
      <c r="P315" s="2">
        <v>43250</v>
      </c>
      <c r="Q315" s="7">
        <f>$E315-$O315</f>
        <v>0</v>
      </c>
      <c r="R315" s="7" t="str">
        <f ca="1">IF(TODAY() - DOCXX[INV DUE DATE]&lt;30, "Less than 30 days",IF(TODAY()-DOCXX[INV DUE DATE]&lt;60,"30-60 days","More than 60 days"))</f>
        <v>More than 60 days</v>
      </c>
      <c r="S315" t="s">
        <v>818</v>
      </c>
      <c r="U315" s="7" t="s">
        <v>3699</v>
      </c>
    </row>
    <row r="316" spans="1:21" x14ac:dyDescent="0.3">
      <c r="A316" s="14" t="s">
        <v>2146</v>
      </c>
      <c r="B316" t="s">
        <v>30</v>
      </c>
      <c r="C316" t="s">
        <v>24</v>
      </c>
      <c r="D316">
        <v>1</v>
      </c>
      <c r="E316" s="7">
        <v>769.18</v>
      </c>
      <c r="H316">
        <v>68235</v>
      </c>
      <c r="I316" t="s">
        <v>2253</v>
      </c>
      <c r="J316" t="s">
        <v>2247</v>
      </c>
      <c r="K316" t="s">
        <v>3</v>
      </c>
      <c r="L316" s="2">
        <v>43191</v>
      </c>
      <c r="M316" s="2">
        <f>DOCXX[[#This Row],[INV DOC DATE]]+30</f>
        <v>43221</v>
      </c>
      <c r="N316" s="2">
        <v>43243</v>
      </c>
      <c r="O316" s="7">
        <v>769.18</v>
      </c>
      <c r="P316" s="2">
        <v>43250</v>
      </c>
      <c r="Q316" s="7">
        <f>$E316-$O316</f>
        <v>0</v>
      </c>
      <c r="R316" s="7" t="str">
        <f ca="1">IF(TODAY() - DOCXX[INV DUE DATE]&lt;30, "Less than 30 days",IF(TODAY()-DOCXX[INV DUE DATE]&lt;60,"30-60 days","More than 60 days"))</f>
        <v>More than 60 days</v>
      </c>
      <c r="S316" t="s">
        <v>818</v>
      </c>
      <c r="U316" s="7" t="s">
        <v>3699</v>
      </c>
    </row>
    <row r="317" spans="1:21" x14ac:dyDescent="0.3">
      <c r="A317" s="14" t="s">
        <v>2146</v>
      </c>
      <c r="B317" t="s">
        <v>30</v>
      </c>
      <c r="C317" t="s">
        <v>25</v>
      </c>
      <c r="D317">
        <v>1</v>
      </c>
      <c r="E317" s="7">
        <v>769.18</v>
      </c>
      <c r="H317">
        <v>172324</v>
      </c>
      <c r="I317" t="s">
        <v>352</v>
      </c>
      <c r="J317" t="s">
        <v>2247</v>
      </c>
      <c r="K317" t="s">
        <v>3</v>
      </c>
      <c r="L317" s="2">
        <v>43191</v>
      </c>
      <c r="M317" s="2">
        <f>DOCXX[[#This Row],[INV DOC DATE]]+30</f>
        <v>43221</v>
      </c>
      <c r="N317" s="2">
        <v>43243</v>
      </c>
      <c r="O317" s="7">
        <v>769.18</v>
      </c>
      <c r="P317" s="2">
        <v>43250</v>
      </c>
      <c r="Q317" s="7">
        <f>$E317-$O317</f>
        <v>0</v>
      </c>
      <c r="R317" s="7" t="str">
        <f ca="1">IF(TODAY() - DOCXX[INV DUE DATE]&lt;30, "Less than 30 days",IF(TODAY()-DOCXX[INV DUE DATE]&lt;60,"30-60 days","More than 60 days"))</f>
        <v>More than 60 days</v>
      </c>
      <c r="S317" t="s">
        <v>818</v>
      </c>
      <c r="U317" s="7" t="s">
        <v>3699</v>
      </c>
    </row>
    <row r="318" spans="1:21" x14ac:dyDescent="0.3">
      <c r="A318" s="14" t="s">
        <v>2146</v>
      </c>
      <c r="B318" t="s">
        <v>30</v>
      </c>
      <c r="C318" t="s">
        <v>26</v>
      </c>
      <c r="D318">
        <v>1</v>
      </c>
      <c r="E318" s="7">
        <v>769.18</v>
      </c>
      <c r="H318">
        <v>82330</v>
      </c>
      <c r="I318" t="s">
        <v>2254</v>
      </c>
      <c r="J318" t="s">
        <v>2247</v>
      </c>
      <c r="K318" t="s">
        <v>3</v>
      </c>
      <c r="L318" s="2">
        <v>43191</v>
      </c>
      <c r="M318" s="2">
        <f>DOCXX[[#This Row],[INV DOC DATE]]+30</f>
        <v>43221</v>
      </c>
      <c r="N318" s="2">
        <v>43243</v>
      </c>
      <c r="O318" s="7">
        <v>769.18</v>
      </c>
      <c r="P318" s="2">
        <v>43250</v>
      </c>
      <c r="Q318" s="7">
        <f>$E318-$O318</f>
        <v>0</v>
      </c>
      <c r="R318" s="7" t="str">
        <f ca="1">IF(TODAY() - DOCXX[INV DUE DATE]&lt;30, "Less than 30 days",IF(TODAY()-DOCXX[INV DUE DATE]&lt;60,"30-60 days","More than 60 days"))</f>
        <v>More than 60 days</v>
      </c>
      <c r="S318" t="s">
        <v>818</v>
      </c>
      <c r="U318" s="7" t="s">
        <v>3699</v>
      </c>
    </row>
    <row r="319" spans="1:21" x14ac:dyDescent="0.3">
      <c r="A319" s="14" t="s">
        <v>2146</v>
      </c>
      <c r="B319" t="s">
        <v>32</v>
      </c>
      <c r="C319" t="s">
        <v>6</v>
      </c>
      <c r="D319">
        <v>1</v>
      </c>
      <c r="E319" s="7">
        <v>196.35</v>
      </c>
      <c r="F319">
        <v>27084675</v>
      </c>
      <c r="J319" t="s">
        <v>2256</v>
      </c>
      <c r="K319" t="s">
        <v>3</v>
      </c>
      <c r="L319" s="2">
        <v>43191</v>
      </c>
      <c r="M319" s="2">
        <f>DOCXX[[#This Row],[INV DOC DATE]]+30</f>
        <v>43221</v>
      </c>
      <c r="N319" s="2">
        <v>43244</v>
      </c>
      <c r="O319" s="7">
        <v>196.35</v>
      </c>
      <c r="P319" s="2">
        <v>43255</v>
      </c>
      <c r="Q319" s="7">
        <f>$E319-$O319</f>
        <v>0</v>
      </c>
      <c r="R319" s="7" t="str">
        <f ca="1">IF(TODAY() - DOCXX[INV DUE DATE]&lt;30, "Less than 30 days",IF(TODAY()-DOCXX[INV DUE DATE]&lt;60,"30-60 days","More than 60 days"))</f>
        <v>More than 60 days</v>
      </c>
      <c r="S319" t="s">
        <v>818</v>
      </c>
      <c r="U319" s="7" t="s">
        <v>3699</v>
      </c>
    </row>
    <row r="320" spans="1:21" x14ac:dyDescent="0.3">
      <c r="A320" s="14" t="s">
        <v>2146</v>
      </c>
      <c r="B320" t="s">
        <v>32</v>
      </c>
      <c r="C320" t="s">
        <v>7</v>
      </c>
      <c r="D320">
        <v>1</v>
      </c>
      <c r="E320" s="7">
        <v>243.1</v>
      </c>
      <c r="F320">
        <v>31281322</v>
      </c>
      <c r="J320" t="s">
        <v>2256</v>
      </c>
      <c r="K320" t="s">
        <v>3</v>
      </c>
      <c r="L320" s="2">
        <v>43191</v>
      </c>
      <c r="M320" s="2">
        <f>DOCXX[[#This Row],[INV DOC DATE]]+30</f>
        <v>43221</v>
      </c>
      <c r="N320" s="2">
        <v>43244</v>
      </c>
      <c r="O320" s="7">
        <v>243.1</v>
      </c>
      <c r="P320" s="2">
        <v>43255</v>
      </c>
      <c r="Q320" s="7">
        <f>$E320-$O320</f>
        <v>0</v>
      </c>
      <c r="R320" s="7" t="str">
        <f ca="1">IF(TODAY() - DOCXX[INV DUE DATE]&lt;30, "Less than 30 days",IF(TODAY()-DOCXX[INV DUE DATE]&lt;60,"30-60 days","More than 60 days"))</f>
        <v>More than 60 days</v>
      </c>
      <c r="S320" t="s">
        <v>818</v>
      </c>
      <c r="U320" s="7" t="s">
        <v>3699</v>
      </c>
    </row>
    <row r="321" spans="1:21" x14ac:dyDescent="0.3">
      <c r="A321" s="14" t="s">
        <v>2146</v>
      </c>
      <c r="B321" t="s">
        <v>32</v>
      </c>
      <c r="C321" t="s">
        <v>8</v>
      </c>
      <c r="D321">
        <v>1</v>
      </c>
      <c r="E321" s="7">
        <v>289.85000000000002</v>
      </c>
      <c r="F321">
        <v>31460448</v>
      </c>
      <c r="J321" t="s">
        <v>2256</v>
      </c>
      <c r="K321" t="s">
        <v>3</v>
      </c>
      <c r="L321" s="2">
        <v>43191</v>
      </c>
      <c r="M321" s="2">
        <f>DOCXX[[#This Row],[INV DOC DATE]]+30</f>
        <v>43221</v>
      </c>
      <c r="N321" s="2">
        <v>43244</v>
      </c>
      <c r="O321" s="7">
        <v>289.85000000000002</v>
      </c>
      <c r="P321" s="2">
        <v>43255</v>
      </c>
      <c r="Q321" s="7">
        <f>$E321-$O321</f>
        <v>0</v>
      </c>
      <c r="R321" s="7" t="str">
        <f ca="1">IF(TODAY() - DOCXX[INV DUE DATE]&lt;30, "Less than 30 days",IF(TODAY()-DOCXX[INV DUE DATE]&lt;60,"30-60 days","More than 60 days"))</f>
        <v>More than 60 days</v>
      </c>
      <c r="S321" t="s">
        <v>818</v>
      </c>
      <c r="U321" s="7" t="s">
        <v>3699</v>
      </c>
    </row>
    <row r="322" spans="1:21" x14ac:dyDescent="0.3">
      <c r="A322" s="14" t="s">
        <v>2146</v>
      </c>
      <c r="B322" t="s">
        <v>32</v>
      </c>
      <c r="C322" t="s">
        <v>9</v>
      </c>
      <c r="D322">
        <v>1</v>
      </c>
      <c r="E322" s="7">
        <v>168.3</v>
      </c>
      <c r="F322">
        <v>31482909</v>
      </c>
      <c r="J322" t="s">
        <v>2256</v>
      </c>
      <c r="K322" t="s">
        <v>3</v>
      </c>
      <c r="L322" s="2">
        <v>43191</v>
      </c>
      <c r="M322" s="2">
        <f>DOCXX[[#This Row],[INV DOC DATE]]+30</f>
        <v>43221</v>
      </c>
      <c r="N322" s="2">
        <v>43244</v>
      </c>
      <c r="O322" s="7">
        <v>168.3</v>
      </c>
      <c r="P322" s="2">
        <v>43255</v>
      </c>
      <c r="Q322" s="7">
        <f>$E322-$O322</f>
        <v>0</v>
      </c>
      <c r="R322" s="7" t="str">
        <f ca="1">IF(TODAY() - DOCXX[INV DUE DATE]&lt;30, "Less than 30 days",IF(TODAY()-DOCXX[INV DUE DATE]&lt;60,"30-60 days","More than 60 days"))</f>
        <v>More than 60 days</v>
      </c>
      <c r="S322" t="s">
        <v>818</v>
      </c>
      <c r="U322" s="7" t="s">
        <v>3699</v>
      </c>
    </row>
    <row r="323" spans="1:21" x14ac:dyDescent="0.3">
      <c r="A323" s="14" t="s">
        <v>2146</v>
      </c>
      <c r="B323" t="s">
        <v>32</v>
      </c>
      <c r="C323" t="s">
        <v>10</v>
      </c>
      <c r="D323">
        <v>1</v>
      </c>
      <c r="E323" s="7">
        <v>177.65</v>
      </c>
      <c r="F323">
        <v>31483060</v>
      </c>
      <c r="J323" t="s">
        <v>2256</v>
      </c>
      <c r="K323" t="s">
        <v>3</v>
      </c>
      <c r="L323" s="2">
        <v>43191</v>
      </c>
      <c r="M323" s="2">
        <f>DOCXX[[#This Row],[INV DOC DATE]]+30</f>
        <v>43221</v>
      </c>
      <c r="N323" s="2">
        <v>43244</v>
      </c>
      <c r="O323" s="7">
        <v>177.65</v>
      </c>
      <c r="P323" s="2">
        <v>43255</v>
      </c>
      <c r="Q323" s="7">
        <f>$E323-$O323</f>
        <v>0</v>
      </c>
      <c r="R323" s="7" t="str">
        <f ca="1">IF(TODAY() - DOCXX[INV DUE DATE]&lt;30, "Less than 30 days",IF(TODAY()-DOCXX[INV DUE DATE]&lt;60,"30-60 days","More than 60 days"))</f>
        <v>More than 60 days</v>
      </c>
      <c r="S323" t="s">
        <v>818</v>
      </c>
      <c r="U323" s="7" t="s">
        <v>3699</v>
      </c>
    </row>
    <row r="324" spans="1:21" x14ac:dyDescent="0.3">
      <c r="A324" s="14" t="s">
        <v>2146</v>
      </c>
      <c r="B324" t="s">
        <v>32</v>
      </c>
      <c r="C324" t="s">
        <v>11</v>
      </c>
      <c r="D324">
        <v>1</v>
      </c>
      <c r="E324" s="7">
        <v>289.85000000000002</v>
      </c>
      <c r="F324">
        <v>31483061</v>
      </c>
      <c r="J324" t="s">
        <v>2256</v>
      </c>
      <c r="K324" t="s">
        <v>3</v>
      </c>
      <c r="L324" s="2">
        <v>43191</v>
      </c>
      <c r="M324" s="2">
        <f>DOCXX[[#This Row],[INV DOC DATE]]+30</f>
        <v>43221</v>
      </c>
      <c r="N324" s="2">
        <v>43244</v>
      </c>
      <c r="O324" s="7">
        <v>289.85000000000002</v>
      </c>
      <c r="P324" s="2">
        <v>43255</v>
      </c>
      <c r="Q324" s="7">
        <f>$E324-$O324</f>
        <v>0</v>
      </c>
      <c r="R324" s="7" t="str">
        <f ca="1">IF(TODAY() - DOCXX[INV DUE DATE]&lt;30, "Less than 30 days",IF(TODAY()-DOCXX[INV DUE DATE]&lt;60,"30-60 days","More than 60 days"))</f>
        <v>More than 60 days</v>
      </c>
      <c r="S324" t="s">
        <v>818</v>
      </c>
      <c r="U324" s="7" t="s">
        <v>3699</v>
      </c>
    </row>
    <row r="325" spans="1:21" x14ac:dyDescent="0.3">
      <c r="A325" s="14" t="s">
        <v>2146</v>
      </c>
      <c r="B325" t="s">
        <v>32</v>
      </c>
      <c r="C325" t="s">
        <v>12</v>
      </c>
      <c r="D325">
        <v>1</v>
      </c>
      <c r="E325" s="7">
        <v>177.65</v>
      </c>
      <c r="F325">
        <v>31483062</v>
      </c>
      <c r="J325" t="s">
        <v>2256</v>
      </c>
      <c r="K325" t="s">
        <v>3</v>
      </c>
      <c r="L325" s="2">
        <v>43191</v>
      </c>
      <c r="M325" s="2">
        <f>DOCXX[[#This Row],[INV DOC DATE]]+30</f>
        <v>43221</v>
      </c>
      <c r="N325" s="2">
        <v>43244</v>
      </c>
      <c r="O325" s="7">
        <v>177.65</v>
      </c>
      <c r="P325" s="2">
        <v>43255</v>
      </c>
      <c r="Q325" s="7">
        <f>$E325-$O325</f>
        <v>0</v>
      </c>
      <c r="R325" s="7" t="str">
        <f ca="1">IF(TODAY() - DOCXX[INV DUE DATE]&lt;30, "Less than 30 days",IF(TODAY()-DOCXX[INV DUE DATE]&lt;60,"30-60 days","More than 60 days"))</f>
        <v>More than 60 days</v>
      </c>
      <c r="S325" t="s">
        <v>818</v>
      </c>
      <c r="U325" s="7" t="s">
        <v>3699</v>
      </c>
    </row>
    <row r="326" spans="1:21" x14ac:dyDescent="0.3">
      <c r="A326" s="14" t="s">
        <v>2146</v>
      </c>
      <c r="B326" t="s">
        <v>32</v>
      </c>
      <c r="C326" t="s">
        <v>13</v>
      </c>
      <c r="D326">
        <v>1</v>
      </c>
      <c r="E326" s="7">
        <v>289.85000000000002</v>
      </c>
      <c r="F326">
        <v>31519882</v>
      </c>
      <c r="J326" t="s">
        <v>2256</v>
      </c>
      <c r="K326" t="s">
        <v>3</v>
      </c>
      <c r="L326" s="2">
        <v>43191</v>
      </c>
      <c r="M326" s="2">
        <f>DOCXX[[#This Row],[INV DOC DATE]]+30</f>
        <v>43221</v>
      </c>
      <c r="N326" s="2">
        <v>43244</v>
      </c>
      <c r="O326" s="7">
        <v>289.85000000000002</v>
      </c>
      <c r="P326" s="2">
        <v>43255</v>
      </c>
      <c r="Q326" s="7">
        <f>$E326-$O326</f>
        <v>0</v>
      </c>
      <c r="R326" s="7" t="str">
        <f ca="1">IF(TODAY() - DOCXX[INV DUE DATE]&lt;30, "Less than 30 days",IF(TODAY()-DOCXX[INV DUE DATE]&lt;60,"30-60 days","More than 60 days"))</f>
        <v>More than 60 days</v>
      </c>
      <c r="S326" t="s">
        <v>818</v>
      </c>
      <c r="U326" s="7" t="s">
        <v>3699</v>
      </c>
    </row>
    <row r="327" spans="1:21" x14ac:dyDescent="0.3">
      <c r="A327" s="14" t="s">
        <v>2146</v>
      </c>
      <c r="B327" t="s">
        <v>32</v>
      </c>
      <c r="C327" t="s">
        <v>14</v>
      </c>
      <c r="D327">
        <v>1</v>
      </c>
      <c r="E327" s="7">
        <v>289.85000000000002</v>
      </c>
      <c r="F327">
        <v>31612063</v>
      </c>
      <c r="J327" t="s">
        <v>2256</v>
      </c>
      <c r="K327" t="s">
        <v>3</v>
      </c>
      <c r="L327" s="2">
        <v>43191</v>
      </c>
      <c r="M327" s="2">
        <f>DOCXX[[#This Row],[INV DOC DATE]]+30</f>
        <v>43221</v>
      </c>
      <c r="N327" s="2">
        <v>43244</v>
      </c>
      <c r="O327" s="7">
        <v>289.85000000000002</v>
      </c>
      <c r="P327" s="2">
        <v>43255</v>
      </c>
      <c r="Q327" s="7">
        <f>$E327-$O327</f>
        <v>0</v>
      </c>
      <c r="R327" s="7" t="str">
        <f ca="1">IF(TODAY() - DOCXX[INV DUE DATE]&lt;30, "Less than 30 days",IF(TODAY()-DOCXX[INV DUE DATE]&lt;60,"30-60 days","More than 60 days"))</f>
        <v>More than 60 days</v>
      </c>
      <c r="S327" t="s">
        <v>818</v>
      </c>
      <c r="U327" s="7" t="s">
        <v>3699</v>
      </c>
    </row>
    <row r="328" spans="1:21" x14ac:dyDescent="0.3">
      <c r="A328" s="14" t="s">
        <v>2146</v>
      </c>
      <c r="B328" t="s">
        <v>32</v>
      </c>
      <c r="C328" t="s">
        <v>15</v>
      </c>
      <c r="D328">
        <v>1</v>
      </c>
      <c r="E328" s="7">
        <v>158.94999999999999</v>
      </c>
      <c r="F328">
        <v>31683931</v>
      </c>
      <c r="J328" t="s">
        <v>2256</v>
      </c>
      <c r="K328" t="s">
        <v>3</v>
      </c>
      <c r="L328" s="2">
        <v>43191</v>
      </c>
      <c r="M328" s="2">
        <f>DOCXX[[#This Row],[INV DOC DATE]]+30</f>
        <v>43221</v>
      </c>
      <c r="N328" s="2">
        <v>43244</v>
      </c>
      <c r="O328" s="7">
        <v>158.94999999999999</v>
      </c>
      <c r="P328" s="2">
        <v>43255</v>
      </c>
      <c r="Q328" s="7">
        <f>$E328-$O328</f>
        <v>0</v>
      </c>
      <c r="R328" s="7" t="str">
        <f ca="1">IF(TODAY() - DOCXX[INV DUE DATE]&lt;30, "Less than 30 days",IF(TODAY()-DOCXX[INV DUE DATE]&lt;60,"30-60 days","More than 60 days"))</f>
        <v>More than 60 days</v>
      </c>
      <c r="S328" t="s">
        <v>818</v>
      </c>
      <c r="U328" s="7" t="s">
        <v>3699</v>
      </c>
    </row>
    <row r="329" spans="1:21" x14ac:dyDescent="0.3">
      <c r="A329" s="14" t="s">
        <v>2146</v>
      </c>
      <c r="B329" t="s">
        <v>32</v>
      </c>
      <c r="C329" t="s">
        <v>16</v>
      </c>
      <c r="D329">
        <v>1</v>
      </c>
      <c r="E329" s="7">
        <v>289.85000000000002</v>
      </c>
      <c r="F329">
        <v>31740726</v>
      </c>
      <c r="J329" t="s">
        <v>2256</v>
      </c>
      <c r="K329" t="s">
        <v>3</v>
      </c>
      <c r="L329" s="2">
        <v>43191</v>
      </c>
      <c r="M329" s="2">
        <f>DOCXX[[#This Row],[INV DOC DATE]]+30</f>
        <v>43221</v>
      </c>
      <c r="N329" s="2">
        <v>43244</v>
      </c>
      <c r="O329" s="7">
        <v>289.85000000000002</v>
      </c>
      <c r="P329" s="2">
        <v>43255</v>
      </c>
      <c r="Q329" s="7">
        <f>$E329-$O329</f>
        <v>0</v>
      </c>
      <c r="R329" s="7" t="str">
        <f ca="1">IF(TODAY() - DOCXX[INV DUE DATE]&lt;30, "Less than 30 days",IF(TODAY()-DOCXX[INV DUE DATE]&lt;60,"30-60 days","More than 60 days"))</f>
        <v>More than 60 days</v>
      </c>
      <c r="S329" t="s">
        <v>818</v>
      </c>
      <c r="U329" s="7" t="s">
        <v>3699</v>
      </c>
    </row>
    <row r="330" spans="1:21" x14ac:dyDescent="0.3">
      <c r="A330" s="14" t="s">
        <v>2146</v>
      </c>
      <c r="B330" t="s">
        <v>32</v>
      </c>
      <c r="C330" t="s">
        <v>17</v>
      </c>
      <c r="D330">
        <v>1</v>
      </c>
      <c r="E330" s="7">
        <v>140.25</v>
      </c>
      <c r="F330">
        <v>31740727</v>
      </c>
      <c r="J330" t="s">
        <v>2256</v>
      </c>
      <c r="K330" t="s">
        <v>3</v>
      </c>
      <c r="L330" s="2">
        <v>43191</v>
      </c>
      <c r="M330" s="2">
        <f>DOCXX[[#This Row],[INV DOC DATE]]+30</f>
        <v>43221</v>
      </c>
      <c r="N330" s="2">
        <v>43244</v>
      </c>
      <c r="O330" s="7">
        <v>140.25</v>
      </c>
      <c r="P330" s="2">
        <v>43255</v>
      </c>
      <c r="Q330" s="7">
        <f>$E330-$O330</f>
        <v>0</v>
      </c>
      <c r="R330" s="7" t="str">
        <f ca="1">IF(TODAY() - DOCXX[INV DUE DATE]&lt;30, "Less than 30 days",IF(TODAY()-DOCXX[INV DUE DATE]&lt;60,"30-60 days","More than 60 days"))</f>
        <v>More than 60 days</v>
      </c>
      <c r="S330" t="s">
        <v>818</v>
      </c>
      <c r="U330" s="7" t="s">
        <v>3699</v>
      </c>
    </row>
    <row r="331" spans="1:21" x14ac:dyDescent="0.3">
      <c r="A331" s="14" t="s">
        <v>2146</v>
      </c>
      <c r="B331" t="s">
        <v>32</v>
      </c>
      <c r="C331" t="s">
        <v>18</v>
      </c>
      <c r="D331">
        <v>1</v>
      </c>
      <c r="E331" s="7">
        <v>56.1</v>
      </c>
      <c r="F331">
        <v>31742081</v>
      </c>
      <c r="J331" t="s">
        <v>2256</v>
      </c>
      <c r="K331" t="s">
        <v>3</v>
      </c>
      <c r="L331" s="2">
        <v>43191</v>
      </c>
      <c r="M331" s="2">
        <f>DOCXX[[#This Row],[INV DOC DATE]]+30</f>
        <v>43221</v>
      </c>
      <c r="N331" s="2">
        <v>43244</v>
      </c>
      <c r="O331" s="7">
        <v>56.1</v>
      </c>
      <c r="P331" s="2">
        <v>43255</v>
      </c>
      <c r="Q331" s="7">
        <f>$E331-$O331</f>
        <v>0</v>
      </c>
      <c r="R331" s="7" t="str">
        <f ca="1">IF(TODAY() - DOCXX[INV DUE DATE]&lt;30, "Less than 30 days",IF(TODAY()-DOCXX[INV DUE DATE]&lt;60,"30-60 days","More than 60 days"))</f>
        <v>More than 60 days</v>
      </c>
      <c r="S331" t="s">
        <v>818</v>
      </c>
      <c r="U331" s="7" t="s">
        <v>3699</v>
      </c>
    </row>
    <row r="332" spans="1:21" x14ac:dyDescent="0.3">
      <c r="A332" s="14" t="s">
        <v>2146</v>
      </c>
      <c r="B332" t="s">
        <v>32</v>
      </c>
      <c r="C332" t="s">
        <v>19</v>
      </c>
      <c r="D332">
        <v>1</v>
      </c>
      <c r="E332" s="7">
        <v>56.1</v>
      </c>
      <c r="F332">
        <v>31752978</v>
      </c>
      <c r="J332" t="s">
        <v>2256</v>
      </c>
      <c r="K332" t="s">
        <v>3</v>
      </c>
      <c r="L332" s="2">
        <v>43191</v>
      </c>
      <c r="M332" s="2">
        <f>DOCXX[[#This Row],[INV DOC DATE]]+30</f>
        <v>43221</v>
      </c>
      <c r="N332" s="2">
        <v>43244</v>
      </c>
      <c r="O332" s="7">
        <v>56.1</v>
      </c>
      <c r="P332" s="2">
        <v>43255</v>
      </c>
      <c r="Q332" s="7">
        <f>$E332-$O332</f>
        <v>0</v>
      </c>
      <c r="R332" s="7" t="str">
        <f ca="1">IF(TODAY() - DOCXX[INV DUE DATE]&lt;30, "Less than 30 days",IF(TODAY()-DOCXX[INV DUE DATE]&lt;60,"30-60 days","More than 60 days"))</f>
        <v>More than 60 days</v>
      </c>
      <c r="S332" t="s">
        <v>818</v>
      </c>
      <c r="U332" s="7" t="s">
        <v>3699</v>
      </c>
    </row>
    <row r="333" spans="1:21" x14ac:dyDescent="0.3">
      <c r="A333" s="14" t="s">
        <v>2146</v>
      </c>
      <c r="B333" t="s">
        <v>32</v>
      </c>
      <c r="C333" t="s">
        <v>20</v>
      </c>
      <c r="D333">
        <v>1</v>
      </c>
      <c r="E333" s="7">
        <v>93.5</v>
      </c>
      <c r="F333">
        <v>31752979</v>
      </c>
      <c r="J333" t="s">
        <v>2256</v>
      </c>
      <c r="K333" t="s">
        <v>3</v>
      </c>
      <c r="L333" s="2">
        <v>43191</v>
      </c>
      <c r="M333" s="2">
        <f>DOCXX[[#This Row],[INV DOC DATE]]+30</f>
        <v>43221</v>
      </c>
      <c r="N333" s="2">
        <v>43244</v>
      </c>
      <c r="O333" s="7">
        <v>93.5</v>
      </c>
      <c r="P333" s="2">
        <v>43255</v>
      </c>
      <c r="Q333" s="7">
        <f>$E333-$O333</f>
        <v>0</v>
      </c>
      <c r="R333" s="7" t="str">
        <f ca="1">IF(TODAY() - DOCXX[INV DUE DATE]&lt;30, "Less than 30 days",IF(TODAY()-DOCXX[INV DUE DATE]&lt;60,"30-60 days","More than 60 days"))</f>
        <v>More than 60 days</v>
      </c>
      <c r="S333" t="s">
        <v>818</v>
      </c>
      <c r="U333" s="7" t="s">
        <v>3699</v>
      </c>
    </row>
    <row r="334" spans="1:21" x14ac:dyDescent="0.3">
      <c r="A334" s="14" t="s">
        <v>2146</v>
      </c>
      <c r="B334" t="s">
        <v>32</v>
      </c>
      <c r="C334" t="s">
        <v>21</v>
      </c>
      <c r="D334">
        <v>1</v>
      </c>
      <c r="E334" s="7">
        <v>46.75</v>
      </c>
      <c r="F334">
        <v>31753150</v>
      </c>
      <c r="J334" t="s">
        <v>2256</v>
      </c>
      <c r="K334" t="s">
        <v>3</v>
      </c>
      <c r="L334" s="2">
        <v>43191</v>
      </c>
      <c r="M334" s="2">
        <f>DOCXX[[#This Row],[INV DOC DATE]]+30</f>
        <v>43221</v>
      </c>
      <c r="N334" s="2">
        <v>43244</v>
      </c>
      <c r="O334" s="7">
        <v>46.75</v>
      </c>
      <c r="P334" s="2">
        <v>43255</v>
      </c>
      <c r="Q334" s="7">
        <f>$E334-$O334</f>
        <v>0</v>
      </c>
      <c r="R334" s="7" t="str">
        <f ca="1">IF(TODAY() - DOCXX[INV DUE DATE]&lt;30, "Less than 30 days",IF(TODAY()-DOCXX[INV DUE DATE]&lt;60,"30-60 days","More than 60 days"))</f>
        <v>More than 60 days</v>
      </c>
      <c r="S334" t="s">
        <v>818</v>
      </c>
      <c r="U334" s="7" t="s">
        <v>3699</v>
      </c>
    </row>
    <row r="335" spans="1:21" x14ac:dyDescent="0.3">
      <c r="A335" s="14" t="s">
        <v>2146</v>
      </c>
      <c r="B335" t="s">
        <v>32</v>
      </c>
      <c r="C335" t="s">
        <v>22</v>
      </c>
      <c r="D335">
        <v>1</v>
      </c>
      <c r="E335" s="7">
        <v>271.14999999999998</v>
      </c>
      <c r="F335">
        <v>31753150</v>
      </c>
      <c r="J335" t="s">
        <v>2256</v>
      </c>
      <c r="K335" t="s">
        <v>3</v>
      </c>
      <c r="L335" s="2">
        <v>43191</v>
      </c>
      <c r="M335" s="2">
        <f>DOCXX[[#This Row],[INV DOC DATE]]+30</f>
        <v>43221</v>
      </c>
      <c r="N335" s="2">
        <v>43244</v>
      </c>
      <c r="O335" s="7">
        <v>271.14999999999998</v>
      </c>
      <c r="P335" s="2">
        <v>43255</v>
      </c>
      <c r="Q335" s="7">
        <f>$E335-$O335</f>
        <v>0</v>
      </c>
      <c r="R335" s="7" t="str">
        <f ca="1">IF(TODAY() - DOCXX[INV DUE DATE]&lt;30, "Less than 30 days",IF(TODAY()-DOCXX[INV DUE DATE]&lt;60,"30-60 days","More than 60 days"))</f>
        <v>More than 60 days</v>
      </c>
      <c r="S335" t="s">
        <v>818</v>
      </c>
      <c r="U335" s="7" t="s">
        <v>3699</v>
      </c>
    </row>
    <row r="336" spans="1:21" x14ac:dyDescent="0.3">
      <c r="A336" s="14" t="s">
        <v>2146</v>
      </c>
      <c r="B336" t="s">
        <v>32</v>
      </c>
      <c r="C336" t="s">
        <v>23</v>
      </c>
      <c r="D336">
        <v>1</v>
      </c>
      <c r="E336" s="7">
        <v>84.15</v>
      </c>
      <c r="F336">
        <v>31753151</v>
      </c>
      <c r="J336" t="s">
        <v>2256</v>
      </c>
      <c r="K336" t="s">
        <v>3</v>
      </c>
      <c r="L336" s="2">
        <v>43191</v>
      </c>
      <c r="M336" s="2">
        <f>DOCXX[[#This Row],[INV DOC DATE]]+30</f>
        <v>43221</v>
      </c>
      <c r="N336" s="2">
        <v>43244</v>
      </c>
      <c r="O336" s="7">
        <v>84.15</v>
      </c>
      <c r="P336" s="2">
        <v>43255</v>
      </c>
      <c r="Q336" s="7">
        <f>$E336-$O336</f>
        <v>0</v>
      </c>
      <c r="R336" s="7" t="str">
        <f ca="1">IF(TODAY() - DOCXX[INV DUE DATE]&lt;30, "Less than 30 days",IF(TODAY()-DOCXX[INV DUE DATE]&lt;60,"30-60 days","More than 60 days"))</f>
        <v>More than 60 days</v>
      </c>
      <c r="S336" t="s">
        <v>818</v>
      </c>
      <c r="U336" s="7" t="s">
        <v>3699</v>
      </c>
    </row>
    <row r="337" spans="1:21" x14ac:dyDescent="0.3">
      <c r="A337" s="14" t="s">
        <v>2146</v>
      </c>
      <c r="B337" t="s">
        <v>32</v>
      </c>
      <c r="C337" t="s">
        <v>24</v>
      </c>
      <c r="D337">
        <v>1</v>
      </c>
      <c r="E337" s="7">
        <v>140.25</v>
      </c>
      <c r="F337">
        <v>31753152</v>
      </c>
      <c r="J337" t="s">
        <v>2256</v>
      </c>
      <c r="K337" t="s">
        <v>3</v>
      </c>
      <c r="L337" s="2">
        <v>43191</v>
      </c>
      <c r="M337" s="2">
        <f>DOCXX[[#This Row],[INV DOC DATE]]+30</f>
        <v>43221</v>
      </c>
      <c r="N337" s="2">
        <v>43244</v>
      </c>
      <c r="O337" s="7">
        <v>140.25</v>
      </c>
      <c r="P337" s="2">
        <v>43255</v>
      </c>
      <c r="Q337" s="7">
        <f>$E337-$O337</f>
        <v>0</v>
      </c>
      <c r="R337" s="7" t="str">
        <f ca="1">IF(TODAY() - DOCXX[INV DUE DATE]&lt;30, "Less than 30 days",IF(TODAY()-DOCXX[INV DUE DATE]&lt;60,"30-60 days","More than 60 days"))</f>
        <v>More than 60 days</v>
      </c>
      <c r="S337" t="s">
        <v>818</v>
      </c>
      <c r="U337" s="7" t="s">
        <v>3699</v>
      </c>
    </row>
    <row r="338" spans="1:21" x14ac:dyDescent="0.3">
      <c r="A338" s="14" t="s">
        <v>2146</v>
      </c>
      <c r="B338" t="s">
        <v>32</v>
      </c>
      <c r="C338" t="s">
        <v>25</v>
      </c>
      <c r="D338">
        <v>1</v>
      </c>
      <c r="E338" s="7">
        <v>121.55</v>
      </c>
      <c r="F338">
        <v>31753153</v>
      </c>
      <c r="J338" t="s">
        <v>2256</v>
      </c>
      <c r="K338" t="s">
        <v>3</v>
      </c>
      <c r="L338" s="2">
        <v>43191</v>
      </c>
      <c r="M338" s="2">
        <f>DOCXX[[#This Row],[INV DOC DATE]]+30</f>
        <v>43221</v>
      </c>
      <c r="N338" s="2">
        <v>43244</v>
      </c>
      <c r="O338" s="7">
        <v>121.55</v>
      </c>
      <c r="P338" s="2">
        <v>43255</v>
      </c>
      <c r="Q338" s="7">
        <f>$E338-$O338</f>
        <v>0</v>
      </c>
      <c r="R338" s="7" t="str">
        <f ca="1">IF(TODAY() - DOCXX[INV DUE DATE]&lt;30, "Less than 30 days",IF(TODAY()-DOCXX[INV DUE DATE]&lt;60,"30-60 days","More than 60 days"))</f>
        <v>More than 60 days</v>
      </c>
      <c r="S338" t="s">
        <v>818</v>
      </c>
      <c r="U338" s="7" t="s">
        <v>3699</v>
      </c>
    </row>
    <row r="339" spans="1:21" x14ac:dyDescent="0.3">
      <c r="A339" s="14" t="s">
        <v>2146</v>
      </c>
      <c r="B339" t="s">
        <v>32</v>
      </c>
      <c r="C339" t="s">
        <v>26</v>
      </c>
      <c r="D339">
        <v>1</v>
      </c>
      <c r="E339" s="7">
        <v>205.7</v>
      </c>
      <c r="F339">
        <v>31753154</v>
      </c>
      <c r="J339" t="s">
        <v>2256</v>
      </c>
      <c r="K339" t="s">
        <v>3</v>
      </c>
      <c r="L339" s="2">
        <v>43191</v>
      </c>
      <c r="M339" s="2">
        <f>DOCXX[[#This Row],[INV DOC DATE]]+30</f>
        <v>43221</v>
      </c>
      <c r="N339" s="2">
        <v>43244</v>
      </c>
      <c r="O339" s="7">
        <v>205.7</v>
      </c>
      <c r="P339" s="2">
        <v>43255</v>
      </c>
      <c r="Q339" s="7">
        <f>$E339-$O339</f>
        <v>0</v>
      </c>
      <c r="R339" s="7" t="str">
        <f ca="1">IF(TODAY() - DOCXX[INV DUE DATE]&lt;30, "Less than 30 days",IF(TODAY()-DOCXX[INV DUE DATE]&lt;60,"30-60 days","More than 60 days"))</f>
        <v>More than 60 days</v>
      </c>
      <c r="S339" t="s">
        <v>818</v>
      </c>
      <c r="U339" s="7" t="s">
        <v>3699</v>
      </c>
    </row>
    <row r="340" spans="1:21" x14ac:dyDescent="0.3">
      <c r="A340" s="14" t="s">
        <v>2146</v>
      </c>
      <c r="B340" t="s">
        <v>32</v>
      </c>
      <c r="C340" t="s">
        <v>27</v>
      </c>
      <c r="D340">
        <v>1</v>
      </c>
      <c r="E340" s="7">
        <v>65.45</v>
      </c>
      <c r="F340">
        <v>31753155</v>
      </c>
      <c r="J340" t="s">
        <v>2256</v>
      </c>
      <c r="K340" t="s">
        <v>3</v>
      </c>
      <c r="L340" s="2">
        <v>43191</v>
      </c>
      <c r="M340" s="2">
        <f>DOCXX[[#This Row],[INV DOC DATE]]+30</f>
        <v>43221</v>
      </c>
      <c r="N340" s="2">
        <v>43244</v>
      </c>
      <c r="O340" s="7">
        <v>65.45</v>
      </c>
      <c r="P340" s="2">
        <v>43255</v>
      </c>
      <c r="Q340" s="7">
        <f>$E340-$O340</f>
        <v>0</v>
      </c>
      <c r="R340" s="7" t="str">
        <f ca="1">IF(TODAY() - DOCXX[INV DUE DATE]&lt;30, "Less than 30 days",IF(TODAY()-DOCXX[INV DUE DATE]&lt;60,"30-60 days","More than 60 days"))</f>
        <v>More than 60 days</v>
      </c>
      <c r="S340" t="s">
        <v>818</v>
      </c>
      <c r="U340" s="7" t="s">
        <v>3699</v>
      </c>
    </row>
    <row r="341" spans="1:21" x14ac:dyDescent="0.3">
      <c r="A341" s="14" t="s">
        <v>2146</v>
      </c>
      <c r="B341" t="s">
        <v>32</v>
      </c>
      <c r="C341" t="s">
        <v>28</v>
      </c>
      <c r="D341">
        <v>1</v>
      </c>
      <c r="E341" s="7">
        <v>215.05</v>
      </c>
      <c r="F341">
        <v>31753156</v>
      </c>
      <c r="J341" t="s">
        <v>2256</v>
      </c>
      <c r="K341" t="s">
        <v>3</v>
      </c>
      <c r="L341" s="2">
        <v>43191</v>
      </c>
      <c r="M341" s="2">
        <f>DOCXX[[#This Row],[INV DOC DATE]]+30</f>
        <v>43221</v>
      </c>
      <c r="N341" s="2">
        <v>43244</v>
      </c>
      <c r="O341" s="7">
        <v>215.05</v>
      </c>
      <c r="P341" s="2">
        <v>43255</v>
      </c>
      <c r="Q341" s="7">
        <f>$E341-$O341</f>
        <v>0</v>
      </c>
      <c r="R341" s="7" t="str">
        <f ca="1">IF(TODAY() - DOCXX[INV DUE DATE]&lt;30, "Less than 30 days",IF(TODAY()-DOCXX[INV DUE DATE]&lt;60,"30-60 days","More than 60 days"))</f>
        <v>More than 60 days</v>
      </c>
      <c r="S341" t="s">
        <v>818</v>
      </c>
      <c r="U341" s="7" t="s">
        <v>3699</v>
      </c>
    </row>
    <row r="342" spans="1:21" x14ac:dyDescent="0.3">
      <c r="A342" s="14" t="s">
        <v>2146</v>
      </c>
      <c r="B342" t="s">
        <v>32</v>
      </c>
      <c r="C342" t="s">
        <v>37</v>
      </c>
      <c r="D342">
        <v>1</v>
      </c>
      <c r="E342" s="7">
        <v>215.05</v>
      </c>
      <c r="F342">
        <v>31753157</v>
      </c>
      <c r="J342" t="s">
        <v>2256</v>
      </c>
      <c r="K342" t="s">
        <v>3</v>
      </c>
      <c r="L342" s="2">
        <v>43191</v>
      </c>
      <c r="M342" s="2">
        <f>DOCXX[[#This Row],[INV DOC DATE]]+30</f>
        <v>43221</v>
      </c>
      <c r="N342" s="2">
        <v>43244</v>
      </c>
      <c r="O342" s="7">
        <v>215.05</v>
      </c>
      <c r="P342" s="2">
        <v>43255</v>
      </c>
      <c r="Q342" s="7">
        <f>$E342-$O342</f>
        <v>0</v>
      </c>
      <c r="R342" s="7" t="str">
        <f ca="1">IF(TODAY() - DOCXX[INV DUE DATE]&lt;30, "Less than 30 days",IF(TODAY()-DOCXX[INV DUE DATE]&lt;60,"30-60 days","More than 60 days"))</f>
        <v>More than 60 days</v>
      </c>
      <c r="S342" t="s">
        <v>818</v>
      </c>
      <c r="U342" s="7" t="s">
        <v>3699</v>
      </c>
    </row>
    <row r="343" spans="1:21" x14ac:dyDescent="0.3">
      <c r="A343" s="14" t="s">
        <v>2146</v>
      </c>
      <c r="B343" t="s">
        <v>32</v>
      </c>
      <c r="C343" t="s">
        <v>38</v>
      </c>
      <c r="D343">
        <v>1</v>
      </c>
      <c r="E343" s="7">
        <v>9.35</v>
      </c>
      <c r="F343">
        <v>31753158</v>
      </c>
      <c r="J343" t="s">
        <v>2256</v>
      </c>
      <c r="K343" t="s">
        <v>3</v>
      </c>
      <c r="L343" s="2">
        <v>43191</v>
      </c>
      <c r="M343" s="2">
        <f>DOCXX[[#This Row],[INV DOC DATE]]+30</f>
        <v>43221</v>
      </c>
      <c r="N343" s="2">
        <v>43244</v>
      </c>
      <c r="O343" s="7">
        <v>9.35</v>
      </c>
      <c r="P343" s="2">
        <v>43255</v>
      </c>
      <c r="Q343" s="7">
        <f>$E343-$O343</f>
        <v>0</v>
      </c>
      <c r="R343" s="7" t="str">
        <f ca="1">IF(TODAY() - DOCXX[INV DUE DATE]&lt;30, "Less than 30 days",IF(TODAY()-DOCXX[INV DUE DATE]&lt;60,"30-60 days","More than 60 days"))</f>
        <v>More than 60 days</v>
      </c>
      <c r="S343" t="s">
        <v>818</v>
      </c>
      <c r="U343" s="7" t="s">
        <v>3699</v>
      </c>
    </row>
    <row r="344" spans="1:21" x14ac:dyDescent="0.3">
      <c r="A344" s="14" t="s">
        <v>2146</v>
      </c>
      <c r="B344" t="s">
        <v>32</v>
      </c>
      <c r="C344" t="s">
        <v>39</v>
      </c>
      <c r="D344">
        <v>1</v>
      </c>
      <c r="E344" s="7">
        <v>252.45</v>
      </c>
      <c r="F344">
        <v>31753158</v>
      </c>
      <c r="J344" t="s">
        <v>2256</v>
      </c>
      <c r="K344" t="s">
        <v>3</v>
      </c>
      <c r="L344" s="2">
        <v>43191</v>
      </c>
      <c r="M344" s="2">
        <f>DOCXX[[#This Row],[INV DOC DATE]]+30</f>
        <v>43221</v>
      </c>
      <c r="N344" s="2">
        <v>43244</v>
      </c>
      <c r="O344" s="7">
        <v>252.45</v>
      </c>
      <c r="P344" s="2">
        <v>43255</v>
      </c>
      <c r="Q344" s="7">
        <f>$E344-$O344</f>
        <v>0</v>
      </c>
      <c r="R344" s="7" t="str">
        <f ca="1">IF(TODAY() - DOCXX[INV DUE DATE]&lt;30, "Less than 30 days",IF(TODAY()-DOCXX[INV DUE DATE]&lt;60,"30-60 days","More than 60 days"))</f>
        <v>More than 60 days</v>
      </c>
      <c r="S344" t="s">
        <v>818</v>
      </c>
      <c r="U344" s="7" t="s">
        <v>3699</v>
      </c>
    </row>
    <row r="345" spans="1:21" x14ac:dyDescent="0.3">
      <c r="A345" s="14" t="s">
        <v>2146</v>
      </c>
      <c r="B345" t="s">
        <v>32</v>
      </c>
      <c r="C345" t="s">
        <v>40</v>
      </c>
      <c r="D345">
        <v>1</v>
      </c>
      <c r="E345" s="7">
        <v>224.4</v>
      </c>
      <c r="F345">
        <v>31753159</v>
      </c>
      <c r="J345" t="s">
        <v>2256</v>
      </c>
      <c r="K345" t="s">
        <v>3</v>
      </c>
      <c r="L345" s="2">
        <v>43191</v>
      </c>
      <c r="M345" s="2">
        <f>DOCXX[[#This Row],[INV DOC DATE]]+30</f>
        <v>43221</v>
      </c>
      <c r="N345" s="2">
        <v>43244</v>
      </c>
      <c r="O345" s="7">
        <v>224.4</v>
      </c>
      <c r="P345" s="2">
        <v>43255</v>
      </c>
      <c r="Q345" s="7">
        <f>$E345-$O345</f>
        <v>0</v>
      </c>
      <c r="R345" s="7" t="str">
        <f ca="1">IF(TODAY() - DOCXX[INV DUE DATE]&lt;30, "Less than 30 days",IF(TODAY()-DOCXX[INV DUE DATE]&lt;60,"30-60 days","More than 60 days"))</f>
        <v>More than 60 days</v>
      </c>
      <c r="S345" t="s">
        <v>818</v>
      </c>
      <c r="U345" s="7" t="s">
        <v>3699</v>
      </c>
    </row>
    <row r="346" spans="1:21" x14ac:dyDescent="0.3">
      <c r="A346" s="14" t="s">
        <v>2146</v>
      </c>
      <c r="B346" t="s">
        <v>32</v>
      </c>
      <c r="C346" t="s">
        <v>41</v>
      </c>
      <c r="D346">
        <v>1</v>
      </c>
      <c r="E346" s="7">
        <v>205.7</v>
      </c>
      <c r="F346">
        <v>31753160</v>
      </c>
      <c r="J346" t="s">
        <v>2256</v>
      </c>
      <c r="K346" t="s">
        <v>3</v>
      </c>
      <c r="L346" s="2">
        <v>43191</v>
      </c>
      <c r="M346" s="2">
        <f>DOCXX[[#This Row],[INV DOC DATE]]+30</f>
        <v>43221</v>
      </c>
      <c r="N346" s="2">
        <v>43244</v>
      </c>
      <c r="O346" s="7">
        <v>205.7</v>
      </c>
      <c r="P346" s="2">
        <v>43255</v>
      </c>
      <c r="Q346" s="7">
        <f>$E346-$O346</f>
        <v>0</v>
      </c>
      <c r="R346" s="7" t="str">
        <f ca="1">IF(TODAY() - DOCXX[INV DUE DATE]&lt;30, "Less than 30 days",IF(TODAY()-DOCXX[INV DUE DATE]&lt;60,"30-60 days","More than 60 days"))</f>
        <v>More than 60 days</v>
      </c>
      <c r="S346" t="s">
        <v>818</v>
      </c>
      <c r="U346" s="7" t="s">
        <v>3699</v>
      </c>
    </row>
    <row r="347" spans="1:21" x14ac:dyDescent="0.3">
      <c r="A347" s="14" t="s">
        <v>2146</v>
      </c>
      <c r="B347" t="s">
        <v>32</v>
      </c>
      <c r="C347" t="s">
        <v>42</v>
      </c>
      <c r="D347">
        <v>1</v>
      </c>
      <c r="E347" s="7">
        <v>252.45</v>
      </c>
      <c r="F347">
        <v>31753161</v>
      </c>
      <c r="J347" t="s">
        <v>2256</v>
      </c>
      <c r="K347" t="s">
        <v>3</v>
      </c>
      <c r="L347" s="2">
        <v>43191</v>
      </c>
      <c r="M347" s="2">
        <f>DOCXX[[#This Row],[INV DOC DATE]]+30</f>
        <v>43221</v>
      </c>
      <c r="N347" s="2">
        <v>43244</v>
      </c>
      <c r="O347" s="7">
        <v>252.45</v>
      </c>
      <c r="P347" s="2">
        <v>43255</v>
      </c>
      <c r="Q347" s="7">
        <f>$E347-$O347</f>
        <v>0</v>
      </c>
      <c r="R347" s="7" t="str">
        <f ca="1">IF(TODAY() - DOCXX[INV DUE DATE]&lt;30, "Less than 30 days",IF(TODAY()-DOCXX[INV DUE DATE]&lt;60,"30-60 days","More than 60 days"))</f>
        <v>More than 60 days</v>
      </c>
      <c r="S347" t="s">
        <v>818</v>
      </c>
      <c r="U347" s="7" t="s">
        <v>3699</v>
      </c>
    </row>
    <row r="348" spans="1:21" x14ac:dyDescent="0.3">
      <c r="A348" s="14" t="s">
        <v>2146</v>
      </c>
      <c r="B348" t="s">
        <v>32</v>
      </c>
      <c r="C348" t="s">
        <v>43</v>
      </c>
      <c r="D348">
        <v>1</v>
      </c>
      <c r="E348" s="7">
        <v>196.35</v>
      </c>
      <c r="F348">
        <v>31753162</v>
      </c>
      <c r="J348" t="s">
        <v>2256</v>
      </c>
      <c r="K348" t="s">
        <v>3</v>
      </c>
      <c r="L348" s="2">
        <v>43191</v>
      </c>
      <c r="M348" s="2">
        <f>DOCXX[[#This Row],[INV DOC DATE]]+30</f>
        <v>43221</v>
      </c>
      <c r="N348" s="2">
        <v>43244</v>
      </c>
      <c r="O348" s="7">
        <v>196.35</v>
      </c>
      <c r="P348" s="2">
        <v>43255</v>
      </c>
      <c r="Q348" s="7">
        <f>$E348-$O348</f>
        <v>0</v>
      </c>
      <c r="R348" s="7" t="str">
        <f ca="1">IF(TODAY() - DOCXX[INV DUE DATE]&lt;30, "Less than 30 days",IF(TODAY()-DOCXX[INV DUE DATE]&lt;60,"30-60 days","More than 60 days"))</f>
        <v>More than 60 days</v>
      </c>
      <c r="S348" t="s">
        <v>818</v>
      </c>
      <c r="U348" s="7" t="s">
        <v>3699</v>
      </c>
    </row>
    <row r="349" spans="1:21" x14ac:dyDescent="0.3">
      <c r="A349" s="14" t="s">
        <v>2146</v>
      </c>
      <c r="B349" t="s">
        <v>32</v>
      </c>
      <c r="C349" t="s">
        <v>44</v>
      </c>
      <c r="D349">
        <v>1</v>
      </c>
      <c r="E349" s="7">
        <v>243.1</v>
      </c>
      <c r="F349">
        <v>31753163</v>
      </c>
      <c r="J349" t="s">
        <v>2256</v>
      </c>
      <c r="K349" t="s">
        <v>3</v>
      </c>
      <c r="L349" s="2">
        <v>43191</v>
      </c>
      <c r="M349" s="2">
        <f>DOCXX[[#This Row],[INV DOC DATE]]+30</f>
        <v>43221</v>
      </c>
      <c r="N349" s="2">
        <v>43244</v>
      </c>
      <c r="O349" s="7">
        <v>243.1</v>
      </c>
      <c r="P349" s="2">
        <v>43255</v>
      </c>
      <c r="Q349" s="7">
        <f>$E349-$O349</f>
        <v>0</v>
      </c>
      <c r="R349" s="7" t="str">
        <f ca="1">IF(TODAY() - DOCXX[INV DUE DATE]&lt;30, "Less than 30 days",IF(TODAY()-DOCXX[INV DUE DATE]&lt;60,"30-60 days","More than 60 days"))</f>
        <v>More than 60 days</v>
      </c>
      <c r="S349" t="s">
        <v>818</v>
      </c>
      <c r="U349" s="7" t="s">
        <v>3699</v>
      </c>
    </row>
    <row r="350" spans="1:21" x14ac:dyDescent="0.3">
      <c r="A350" s="14" t="s">
        <v>2146</v>
      </c>
      <c r="B350" t="s">
        <v>32</v>
      </c>
      <c r="C350" t="s">
        <v>45</v>
      </c>
      <c r="D350">
        <v>1</v>
      </c>
      <c r="E350" s="7">
        <v>215.05</v>
      </c>
      <c r="F350">
        <v>31753164</v>
      </c>
      <c r="J350" t="s">
        <v>2256</v>
      </c>
      <c r="K350" t="s">
        <v>3</v>
      </c>
      <c r="L350" s="2">
        <v>43191</v>
      </c>
      <c r="M350" s="2">
        <f>DOCXX[[#This Row],[INV DOC DATE]]+30</f>
        <v>43221</v>
      </c>
      <c r="N350" s="2">
        <v>43244</v>
      </c>
      <c r="O350" s="7">
        <v>215.05</v>
      </c>
      <c r="P350" s="2">
        <v>43255</v>
      </c>
      <c r="Q350" s="7">
        <f>$E350-$O350</f>
        <v>0</v>
      </c>
      <c r="R350" s="7" t="str">
        <f ca="1">IF(TODAY() - DOCXX[INV DUE DATE]&lt;30, "Less than 30 days",IF(TODAY()-DOCXX[INV DUE DATE]&lt;60,"30-60 days","More than 60 days"))</f>
        <v>More than 60 days</v>
      </c>
      <c r="S350" t="s">
        <v>818</v>
      </c>
      <c r="U350" s="7" t="s">
        <v>3699</v>
      </c>
    </row>
    <row r="351" spans="1:21" x14ac:dyDescent="0.3">
      <c r="A351" s="14" t="s">
        <v>2146</v>
      </c>
      <c r="B351" t="s">
        <v>32</v>
      </c>
      <c r="C351" t="s">
        <v>46</v>
      </c>
      <c r="D351">
        <v>1</v>
      </c>
      <c r="E351" s="7">
        <v>93.5</v>
      </c>
      <c r="F351">
        <v>31753165</v>
      </c>
      <c r="J351" t="s">
        <v>2256</v>
      </c>
      <c r="K351" t="s">
        <v>3</v>
      </c>
      <c r="L351" s="2">
        <v>43191</v>
      </c>
      <c r="M351" s="2">
        <f>DOCXX[[#This Row],[INV DOC DATE]]+30</f>
        <v>43221</v>
      </c>
      <c r="N351" s="2">
        <v>43244</v>
      </c>
      <c r="O351" s="7">
        <v>93.5</v>
      </c>
      <c r="P351" s="2">
        <v>43255</v>
      </c>
      <c r="Q351" s="7">
        <f>$E351-$O351</f>
        <v>0</v>
      </c>
      <c r="R351" s="7" t="str">
        <f ca="1">IF(TODAY() - DOCXX[INV DUE DATE]&lt;30, "Less than 30 days",IF(TODAY()-DOCXX[INV DUE DATE]&lt;60,"30-60 days","More than 60 days"))</f>
        <v>More than 60 days</v>
      </c>
      <c r="S351" t="s">
        <v>818</v>
      </c>
      <c r="U351" s="7" t="s">
        <v>3699</v>
      </c>
    </row>
    <row r="352" spans="1:21" x14ac:dyDescent="0.3">
      <c r="A352" s="14" t="s">
        <v>2146</v>
      </c>
      <c r="B352" t="s">
        <v>32</v>
      </c>
      <c r="C352" t="s">
        <v>47</v>
      </c>
      <c r="D352">
        <v>1</v>
      </c>
      <c r="E352" s="7">
        <v>84.15</v>
      </c>
      <c r="F352">
        <v>31754116</v>
      </c>
      <c r="J352" t="s">
        <v>2256</v>
      </c>
      <c r="K352" t="s">
        <v>3</v>
      </c>
      <c r="L352" s="2">
        <v>43191</v>
      </c>
      <c r="M352" s="2">
        <f>DOCXX[[#This Row],[INV DOC DATE]]+30</f>
        <v>43221</v>
      </c>
      <c r="N352" s="2">
        <v>43244</v>
      </c>
      <c r="O352" s="7">
        <v>84.15</v>
      </c>
      <c r="P352" s="2">
        <v>43255</v>
      </c>
      <c r="Q352" s="7">
        <f>$E352-$O352</f>
        <v>0</v>
      </c>
      <c r="R352" s="7" t="str">
        <f ca="1">IF(TODAY() - DOCXX[INV DUE DATE]&lt;30, "Less than 30 days",IF(TODAY()-DOCXX[INV DUE DATE]&lt;60,"30-60 days","More than 60 days"))</f>
        <v>More than 60 days</v>
      </c>
      <c r="S352" t="s">
        <v>818</v>
      </c>
      <c r="U352" s="7" t="s">
        <v>3699</v>
      </c>
    </row>
    <row r="353" spans="1:21" x14ac:dyDescent="0.3">
      <c r="A353" s="14" t="s">
        <v>2146</v>
      </c>
      <c r="B353" t="s">
        <v>32</v>
      </c>
      <c r="C353" t="s">
        <v>295</v>
      </c>
      <c r="D353">
        <v>1</v>
      </c>
      <c r="E353" s="7">
        <v>130.9</v>
      </c>
      <c r="F353">
        <v>31754217</v>
      </c>
      <c r="J353" t="s">
        <v>2256</v>
      </c>
      <c r="K353" t="s">
        <v>3</v>
      </c>
      <c r="L353" s="2">
        <v>43191</v>
      </c>
      <c r="M353" s="2">
        <f>DOCXX[[#This Row],[INV DOC DATE]]+30</f>
        <v>43221</v>
      </c>
      <c r="N353" s="2">
        <v>43244</v>
      </c>
      <c r="O353" s="7">
        <v>130.9</v>
      </c>
      <c r="P353" s="2">
        <v>43255</v>
      </c>
      <c r="Q353" s="7">
        <f>$E353-$O353</f>
        <v>0</v>
      </c>
      <c r="R353" s="7" t="str">
        <f ca="1">IF(TODAY() - DOCXX[INV DUE DATE]&lt;30, "Less than 30 days",IF(TODAY()-DOCXX[INV DUE DATE]&lt;60,"30-60 days","More than 60 days"))</f>
        <v>More than 60 days</v>
      </c>
      <c r="S353" t="s">
        <v>818</v>
      </c>
      <c r="U353" s="7" t="s">
        <v>3699</v>
      </c>
    </row>
    <row r="354" spans="1:21" x14ac:dyDescent="0.3">
      <c r="A354" s="14" t="s">
        <v>2146</v>
      </c>
      <c r="B354" t="s">
        <v>32</v>
      </c>
      <c r="C354" t="s">
        <v>48</v>
      </c>
      <c r="D354">
        <v>1</v>
      </c>
      <c r="E354" s="7">
        <v>102.85</v>
      </c>
      <c r="F354">
        <v>31754259</v>
      </c>
      <c r="J354" t="s">
        <v>2256</v>
      </c>
      <c r="K354" t="s">
        <v>3</v>
      </c>
      <c r="L354" s="2">
        <v>43191</v>
      </c>
      <c r="M354" s="2">
        <f>DOCXX[[#This Row],[INV DOC DATE]]+30</f>
        <v>43221</v>
      </c>
      <c r="N354" s="2">
        <v>43244</v>
      </c>
      <c r="O354" s="7">
        <v>102.85</v>
      </c>
      <c r="P354" s="2">
        <v>43255</v>
      </c>
      <c r="Q354" s="7">
        <f>$E354-$O354</f>
        <v>0</v>
      </c>
      <c r="R354" s="7" t="str">
        <f ca="1">IF(TODAY() - DOCXX[INV DUE DATE]&lt;30, "Less than 30 days",IF(TODAY()-DOCXX[INV DUE DATE]&lt;60,"30-60 days","More than 60 days"))</f>
        <v>More than 60 days</v>
      </c>
      <c r="S354" t="s">
        <v>818</v>
      </c>
      <c r="U354" s="7" t="s">
        <v>3699</v>
      </c>
    </row>
    <row r="355" spans="1:21" x14ac:dyDescent="0.3">
      <c r="A355" s="14" t="s">
        <v>2146</v>
      </c>
      <c r="B355" t="s">
        <v>32</v>
      </c>
      <c r="C355" t="s">
        <v>49</v>
      </c>
      <c r="D355">
        <v>1</v>
      </c>
      <c r="E355" s="7">
        <v>46.75</v>
      </c>
      <c r="F355">
        <v>31754360</v>
      </c>
      <c r="J355" t="s">
        <v>2256</v>
      </c>
      <c r="K355" t="s">
        <v>3</v>
      </c>
      <c r="L355" s="2">
        <v>43191</v>
      </c>
      <c r="M355" s="2">
        <f>DOCXX[[#This Row],[INV DOC DATE]]+30</f>
        <v>43221</v>
      </c>
      <c r="N355" s="2">
        <v>43244</v>
      </c>
      <c r="O355" s="7">
        <v>46.75</v>
      </c>
      <c r="P355" s="2">
        <v>43255</v>
      </c>
      <c r="Q355" s="7">
        <f>$E355-$O355</f>
        <v>0</v>
      </c>
      <c r="R355" s="7" t="str">
        <f ca="1">IF(TODAY() - DOCXX[INV DUE DATE]&lt;30, "Less than 30 days",IF(TODAY()-DOCXX[INV DUE DATE]&lt;60,"30-60 days","More than 60 days"))</f>
        <v>More than 60 days</v>
      </c>
      <c r="S355" t="s">
        <v>818</v>
      </c>
      <c r="U355" s="7" t="s">
        <v>3699</v>
      </c>
    </row>
    <row r="356" spans="1:21" x14ac:dyDescent="0.3">
      <c r="A356" s="14" t="s">
        <v>2146</v>
      </c>
      <c r="B356" t="s">
        <v>32</v>
      </c>
      <c r="C356" t="s">
        <v>50</v>
      </c>
      <c r="D356">
        <v>1</v>
      </c>
      <c r="E356" s="7">
        <v>140.25</v>
      </c>
      <c r="F356">
        <v>31754361</v>
      </c>
      <c r="J356" t="s">
        <v>2256</v>
      </c>
      <c r="K356" t="s">
        <v>3</v>
      </c>
      <c r="L356" s="2">
        <v>43191</v>
      </c>
      <c r="M356" s="2">
        <f>DOCXX[[#This Row],[INV DOC DATE]]+30</f>
        <v>43221</v>
      </c>
      <c r="N356" s="2">
        <v>43244</v>
      </c>
      <c r="O356" s="7">
        <v>140.25</v>
      </c>
      <c r="P356" s="2">
        <v>43255</v>
      </c>
      <c r="Q356" s="7">
        <f>$E356-$O356</f>
        <v>0</v>
      </c>
      <c r="R356" s="7" t="str">
        <f ca="1">IF(TODAY() - DOCXX[INV DUE DATE]&lt;30, "Less than 30 days",IF(TODAY()-DOCXX[INV DUE DATE]&lt;60,"30-60 days","More than 60 days"))</f>
        <v>More than 60 days</v>
      </c>
      <c r="S356" t="s">
        <v>818</v>
      </c>
      <c r="U356" s="7" t="s">
        <v>3699</v>
      </c>
    </row>
    <row r="357" spans="1:21" x14ac:dyDescent="0.3">
      <c r="A357" s="14" t="s">
        <v>2146</v>
      </c>
      <c r="B357" t="s">
        <v>32</v>
      </c>
      <c r="C357" t="s">
        <v>51</v>
      </c>
      <c r="D357">
        <v>1</v>
      </c>
      <c r="E357" s="7">
        <v>130.9</v>
      </c>
      <c r="F357">
        <v>31754362</v>
      </c>
      <c r="J357" t="s">
        <v>2256</v>
      </c>
      <c r="K357" t="s">
        <v>3</v>
      </c>
      <c r="L357" s="2">
        <v>43191</v>
      </c>
      <c r="M357" s="2">
        <f>DOCXX[[#This Row],[INV DOC DATE]]+30</f>
        <v>43221</v>
      </c>
      <c r="N357" s="2">
        <v>43244</v>
      </c>
      <c r="O357" s="7">
        <v>130.9</v>
      </c>
      <c r="P357" s="2">
        <v>43255</v>
      </c>
      <c r="Q357" s="7">
        <f>$E357-$O357</f>
        <v>0</v>
      </c>
      <c r="R357" s="7" t="str">
        <f ca="1">IF(TODAY() - DOCXX[INV DUE DATE]&lt;30, "Less than 30 days",IF(TODAY()-DOCXX[INV DUE DATE]&lt;60,"30-60 days","More than 60 days"))</f>
        <v>More than 60 days</v>
      </c>
      <c r="S357" t="s">
        <v>818</v>
      </c>
      <c r="U357" s="7" t="s">
        <v>3699</v>
      </c>
    </row>
    <row r="358" spans="1:21" x14ac:dyDescent="0.3">
      <c r="A358" s="14" t="s">
        <v>2146</v>
      </c>
      <c r="B358" t="s">
        <v>32</v>
      </c>
      <c r="C358" t="s">
        <v>52</v>
      </c>
      <c r="D358">
        <v>1</v>
      </c>
      <c r="E358" s="7">
        <v>56.1</v>
      </c>
      <c r="F358">
        <v>31759383</v>
      </c>
      <c r="J358" t="s">
        <v>2256</v>
      </c>
      <c r="K358" t="s">
        <v>3</v>
      </c>
      <c r="L358" s="2">
        <v>43191</v>
      </c>
      <c r="M358" s="2">
        <f>DOCXX[[#This Row],[INV DOC DATE]]+30</f>
        <v>43221</v>
      </c>
      <c r="N358" s="2">
        <v>43244</v>
      </c>
      <c r="O358" s="7">
        <v>56.1</v>
      </c>
      <c r="P358" s="2">
        <v>43255</v>
      </c>
      <c r="Q358" s="7">
        <f>$E358-$O358</f>
        <v>0</v>
      </c>
      <c r="R358" s="7" t="str">
        <f ca="1">IF(TODAY() - DOCXX[INV DUE DATE]&lt;30, "Less than 30 days",IF(TODAY()-DOCXX[INV DUE DATE]&lt;60,"30-60 days","More than 60 days"))</f>
        <v>More than 60 days</v>
      </c>
      <c r="S358" t="s">
        <v>818</v>
      </c>
      <c r="U358" s="7" t="s">
        <v>3699</v>
      </c>
    </row>
    <row r="359" spans="1:21" x14ac:dyDescent="0.3">
      <c r="A359" s="14" t="s">
        <v>2146</v>
      </c>
      <c r="B359" t="s">
        <v>32</v>
      </c>
      <c r="C359" t="s">
        <v>53</v>
      </c>
      <c r="D359">
        <v>1</v>
      </c>
      <c r="E359" s="7">
        <v>112.2</v>
      </c>
      <c r="F359">
        <v>31767530</v>
      </c>
      <c r="J359" t="s">
        <v>2256</v>
      </c>
      <c r="K359" t="s">
        <v>3</v>
      </c>
      <c r="L359" s="2">
        <v>43191</v>
      </c>
      <c r="M359" s="2">
        <f>DOCXX[[#This Row],[INV DOC DATE]]+30</f>
        <v>43221</v>
      </c>
      <c r="N359" s="2">
        <v>43244</v>
      </c>
      <c r="O359" s="7">
        <v>112.2</v>
      </c>
      <c r="P359" s="2">
        <v>43255</v>
      </c>
      <c r="Q359" s="7">
        <f>$E359-$O359</f>
        <v>0</v>
      </c>
      <c r="R359" s="7" t="str">
        <f ca="1">IF(TODAY() - DOCXX[INV DUE DATE]&lt;30, "Less than 30 days",IF(TODAY()-DOCXX[INV DUE DATE]&lt;60,"30-60 days","More than 60 days"))</f>
        <v>More than 60 days</v>
      </c>
      <c r="S359" t="s">
        <v>818</v>
      </c>
      <c r="U359" s="7" t="s">
        <v>3699</v>
      </c>
    </row>
    <row r="360" spans="1:21" x14ac:dyDescent="0.3">
      <c r="A360" s="14" t="s">
        <v>2146</v>
      </c>
      <c r="B360" t="s">
        <v>32</v>
      </c>
      <c r="C360" t="s">
        <v>54</v>
      </c>
      <c r="D360">
        <v>1</v>
      </c>
      <c r="E360" s="7">
        <v>130.9</v>
      </c>
      <c r="F360">
        <v>31777567</v>
      </c>
      <c r="J360" t="s">
        <v>2256</v>
      </c>
      <c r="K360" t="s">
        <v>3</v>
      </c>
      <c r="L360" s="2">
        <v>43191</v>
      </c>
      <c r="M360" s="2">
        <f>DOCXX[[#This Row],[INV DOC DATE]]+30</f>
        <v>43221</v>
      </c>
      <c r="N360" s="2">
        <v>43244</v>
      </c>
      <c r="O360" s="7">
        <v>130.9</v>
      </c>
      <c r="P360" s="2">
        <v>43255</v>
      </c>
      <c r="Q360" s="7">
        <f>$E360-$O360</f>
        <v>0</v>
      </c>
      <c r="R360" s="7" t="str">
        <f ca="1">IF(TODAY() - DOCXX[INV DUE DATE]&lt;30, "Less than 30 days",IF(TODAY()-DOCXX[INV DUE DATE]&lt;60,"30-60 days","More than 60 days"))</f>
        <v>More than 60 days</v>
      </c>
      <c r="S360" t="s">
        <v>818</v>
      </c>
      <c r="U360" s="7" t="s">
        <v>3699</v>
      </c>
    </row>
    <row r="361" spans="1:21" x14ac:dyDescent="0.3">
      <c r="A361" s="14" t="s">
        <v>2146</v>
      </c>
      <c r="B361" t="s">
        <v>32</v>
      </c>
      <c r="C361" t="s">
        <v>58</v>
      </c>
      <c r="D361">
        <v>1</v>
      </c>
      <c r="E361" s="7">
        <v>149.6</v>
      </c>
      <c r="F361">
        <v>31787059</v>
      </c>
      <c r="J361" t="s">
        <v>2256</v>
      </c>
      <c r="K361" t="s">
        <v>3</v>
      </c>
      <c r="L361" s="2">
        <v>43191</v>
      </c>
      <c r="M361" s="2">
        <f>DOCXX[[#This Row],[INV DOC DATE]]+30</f>
        <v>43221</v>
      </c>
      <c r="N361" s="2">
        <v>43244</v>
      </c>
      <c r="O361" s="7">
        <v>149.6</v>
      </c>
      <c r="P361" s="2">
        <v>43255</v>
      </c>
      <c r="Q361" s="7">
        <f>$E361-$O361</f>
        <v>0</v>
      </c>
      <c r="R361" s="7" t="str">
        <f ca="1">IF(TODAY() - DOCXX[INV DUE DATE]&lt;30, "Less than 30 days",IF(TODAY()-DOCXX[INV DUE DATE]&lt;60,"30-60 days","More than 60 days"))</f>
        <v>More than 60 days</v>
      </c>
      <c r="S361" t="s">
        <v>818</v>
      </c>
      <c r="U361" s="7" t="s">
        <v>3699</v>
      </c>
    </row>
    <row r="362" spans="1:21" x14ac:dyDescent="0.3">
      <c r="A362" s="14" t="s">
        <v>2146</v>
      </c>
      <c r="B362" t="s">
        <v>32</v>
      </c>
      <c r="C362" t="s">
        <v>59</v>
      </c>
      <c r="D362">
        <v>1</v>
      </c>
      <c r="E362" s="7">
        <v>130.9</v>
      </c>
      <c r="F362">
        <v>31790911</v>
      </c>
      <c r="J362" t="s">
        <v>2256</v>
      </c>
      <c r="K362" t="s">
        <v>3</v>
      </c>
      <c r="L362" s="2">
        <v>43191</v>
      </c>
      <c r="M362" s="2">
        <f>DOCXX[[#This Row],[INV DOC DATE]]+30</f>
        <v>43221</v>
      </c>
      <c r="N362" s="2">
        <v>43244</v>
      </c>
      <c r="O362" s="7">
        <v>130.9</v>
      </c>
      <c r="P362" s="2">
        <v>43255</v>
      </c>
      <c r="Q362" s="7">
        <f>$E362-$O362</f>
        <v>0</v>
      </c>
      <c r="R362" s="7" t="str">
        <f ca="1">IF(TODAY() - DOCXX[INV DUE DATE]&lt;30, "Less than 30 days",IF(TODAY()-DOCXX[INV DUE DATE]&lt;60,"30-60 days","More than 60 days"))</f>
        <v>More than 60 days</v>
      </c>
      <c r="S362" t="s">
        <v>818</v>
      </c>
      <c r="U362" s="7" t="s">
        <v>3699</v>
      </c>
    </row>
    <row r="363" spans="1:21" x14ac:dyDescent="0.3">
      <c r="A363" s="14" t="s">
        <v>2146</v>
      </c>
      <c r="B363" t="s">
        <v>32</v>
      </c>
      <c r="C363" t="s">
        <v>60</v>
      </c>
      <c r="D363">
        <v>1</v>
      </c>
      <c r="E363" s="7">
        <v>140.25</v>
      </c>
      <c r="F363">
        <v>31798089</v>
      </c>
      <c r="J363" t="s">
        <v>2256</v>
      </c>
      <c r="K363" t="s">
        <v>3</v>
      </c>
      <c r="L363" s="2">
        <v>43191</v>
      </c>
      <c r="M363" s="2">
        <f>DOCXX[[#This Row],[INV DOC DATE]]+30</f>
        <v>43221</v>
      </c>
      <c r="N363" s="2">
        <v>43244</v>
      </c>
      <c r="O363" s="7">
        <v>140.25</v>
      </c>
      <c r="P363" s="2">
        <v>43255</v>
      </c>
      <c r="Q363" s="7">
        <f>$E363-$O363</f>
        <v>0</v>
      </c>
      <c r="R363" s="7" t="str">
        <f ca="1">IF(TODAY() - DOCXX[INV DUE DATE]&lt;30, "Less than 30 days",IF(TODAY()-DOCXX[INV DUE DATE]&lt;60,"30-60 days","More than 60 days"))</f>
        <v>More than 60 days</v>
      </c>
      <c r="S363" t="s">
        <v>818</v>
      </c>
      <c r="U363" s="7" t="s">
        <v>3699</v>
      </c>
    </row>
    <row r="364" spans="1:21" x14ac:dyDescent="0.3">
      <c r="A364" s="14" t="s">
        <v>2146</v>
      </c>
      <c r="B364" t="s">
        <v>32</v>
      </c>
      <c r="C364" t="s">
        <v>61</v>
      </c>
      <c r="D364">
        <v>1</v>
      </c>
      <c r="E364" s="7">
        <v>177.65</v>
      </c>
      <c r="F364">
        <v>31808995</v>
      </c>
      <c r="J364" t="s">
        <v>2256</v>
      </c>
      <c r="K364" t="s">
        <v>3</v>
      </c>
      <c r="L364" s="2">
        <v>43191</v>
      </c>
      <c r="M364" s="2">
        <f>DOCXX[[#This Row],[INV DOC DATE]]+30</f>
        <v>43221</v>
      </c>
      <c r="N364" s="2">
        <v>43244</v>
      </c>
      <c r="O364" s="7">
        <v>177.65</v>
      </c>
      <c r="P364" s="2">
        <v>43255</v>
      </c>
      <c r="Q364" s="7">
        <f>$E364-$O364</f>
        <v>0</v>
      </c>
      <c r="R364" s="7" t="str">
        <f ca="1">IF(TODAY() - DOCXX[INV DUE DATE]&lt;30, "Less than 30 days",IF(TODAY()-DOCXX[INV DUE DATE]&lt;60,"30-60 days","More than 60 days"))</f>
        <v>More than 60 days</v>
      </c>
      <c r="S364" t="s">
        <v>818</v>
      </c>
      <c r="U364" s="7" t="s">
        <v>3699</v>
      </c>
    </row>
    <row r="365" spans="1:21" x14ac:dyDescent="0.3">
      <c r="A365" s="14" t="s">
        <v>2146</v>
      </c>
      <c r="B365" t="s">
        <v>32</v>
      </c>
      <c r="C365" t="s">
        <v>62</v>
      </c>
      <c r="D365">
        <v>1</v>
      </c>
      <c r="E365" s="7">
        <v>93.5</v>
      </c>
      <c r="F365">
        <v>31808996</v>
      </c>
      <c r="J365" t="s">
        <v>2256</v>
      </c>
      <c r="K365" t="s">
        <v>3</v>
      </c>
      <c r="L365" s="2">
        <v>43191</v>
      </c>
      <c r="M365" s="2">
        <f>DOCXX[[#This Row],[INV DOC DATE]]+30</f>
        <v>43221</v>
      </c>
      <c r="N365" s="2">
        <v>43244</v>
      </c>
      <c r="O365" s="7">
        <v>93.5</v>
      </c>
      <c r="P365" s="2">
        <v>43255</v>
      </c>
      <c r="Q365" s="7">
        <f>$E365-$O365</f>
        <v>0</v>
      </c>
      <c r="R365" s="7" t="str">
        <f ca="1">IF(TODAY() - DOCXX[INV DUE DATE]&lt;30, "Less than 30 days",IF(TODAY()-DOCXX[INV DUE DATE]&lt;60,"30-60 days","More than 60 days"))</f>
        <v>More than 60 days</v>
      </c>
      <c r="S365" t="s">
        <v>818</v>
      </c>
      <c r="U365" s="7" t="s">
        <v>3699</v>
      </c>
    </row>
    <row r="366" spans="1:21" x14ac:dyDescent="0.3">
      <c r="A366" s="14" t="s">
        <v>2146</v>
      </c>
      <c r="B366" t="s">
        <v>32</v>
      </c>
      <c r="C366" t="s">
        <v>63</v>
      </c>
      <c r="D366">
        <v>1</v>
      </c>
      <c r="E366" s="7">
        <v>140.25</v>
      </c>
      <c r="F366">
        <v>31810490</v>
      </c>
      <c r="J366" t="s">
        <v>2256</v>
      </c>
      <c r="K366" t="s">
        <v>3</v>
      </c>
      <c r="L366" s="2">
        <v>43191</v>
      </c>
      <c r="M366" s="2">
        <f>DOCXX[[#This Row],[INV DOC DATE]]+30</f>
        <v>43221</v>
      </c>
      <c r="N366" s="2">
        <v>43244</v>
      </c>
      <c r="O366" s="7">
        <v>140.25</v>
      </c>
      <c r="P366" s="2">
        <v>43255</v>
      </c>
      <c r="Q366" s="7">
        <f>$E366-$O366</f>
        <v>0</v>
      </c>
      <c r="R366" s="7" t="str">
        <f ca="1">IF(TODAY() - DOCXX[INV DUE DATE]&lt;30, "Less than 30 days",IF(TODAY()-DOCXX[INV DUE DATE]&lt;60,"30-60 days","More than 60 days"))</f>
        <v>More than 60 days</v>
      </c>
      <c r="S366" t="s">
        <v>818</v>
      </c>
      <c r="U366" s="7" t="s">
        <v>3699</v>
      </c>
    </row>
    <row r="367" spans="1:21" x14ac:dyDescent="0.3">
      <c r="A367" s="14" t="s">
        <v>2146</v>
      </c>
      <c r="B367" t="s">
        <v>32</v>
      </c>
      <c r="C367" t="s">
        <v>64</v>
      </c>
      <c r="D367">
        <v>1</v>
      </c>
      <c r="E367" s="7">
        <v>93.5</v>
      </c>
      <c r="F367">
        <v>31810491</v>
      </c>
      <c r="J367" t="s">
        <v>2256</v>
      </c>
      <c r="K367" t="s">
        <v>3</v>
      </c>
      <c r="L367" s="2">
        <v>43191</v>
      </c>
      <c r="M367" s="2">
        <f>DOCXX[[#This Row],[INV DOC DATE]]+30</f>
        <v>43221</v>
      </c>
      <c r="N367" s="2">
        <v>43244</v>
      </c>
      <c r="O367" s="7">
        <v>93.5</v>
      </c>
      <c r="P367" s="2">
        <v>43255</v>
      </c>
      <c r="Q367" s="7">
        <f>$E367-$O367</f>
        <v>0</v>
      </c>
      <c r="R367" s="7" t="str">
        <f ca="1">IF(TODAY() - DOCXX[INV DUE DATE]&lt;30, "Less than 30 days",IF(TODAY()-DOCXX[INV DUE DATE]&lt;60,"30-60 days","More than 60 days"))</f>
        <v>More than 60 days</v>
      </c>
      <c r="S367" t="s">
        <v>818</v>
      </c>
      <c r="U367" s="7" t="s">
        <v>3699</v>
      </c>
    </row>
    <row r="368" spans="1:21" x14ac:dyDescent="0.3">
      <c r="A368" s="14" t="s">
        <v>2146</v>
      </c>
      <c r="B368" t="s">
        <v>32</v>
      </c>
      <c r="C368" t="s">
        <v>65</v>
      </c>
      <c r="D368">
        <v>1</v>
      </c>
      <c r="E368" s="7">
        <v>215.05</v>
      </c>
      <c r="F368">
        <v>31823359</v>
      </c>
      <c r="J368" t="s">
        <v>2256</v>
      </c>
      <c r="K368" t="s">
        <v>3</v>
      </c>
      <c r="L368" s="2">
        <v>43191</v>
      </c>
      <c r="M368" s="2">
        <f>DOCXX[[#This Row],[INV DOC DATE]]+30</f>
        <v>43221</v>
      </c>
      <c r="N368" s="2">
        <v>43244</v>
      </c>
      <c r="O368" s="7">
        <v>215.05</v>
      </c>
      <c r="P368" s="2">
        <v>43255</v>
      </c>
      <c r="Q368" s="7">
        <f>$E368-$O368</f>
        <v>0</v>
      </c>
      <c r="R368" s="7" t="str">
        <f ca="1">IF(TODAY() - DOCXX[INV DUE DATE]&lt;30, "Less than 30 days",IF(TODAY()-DOCXX[INV DUE DATE]&lt;60,"30-60 days","More than 60 days"))</f>
        <v>More than 60 days</v>
      </c>
      <c r="S368" t="s">
        <v>818</v>
      </c>
      <c r="U368" s="7" t="s">
        <v>3699</v>
      </c>
    </row>
    <row r="369" spans="1:21" x14ac:dyDescent="0.3">
      <c r="A369" s="14" t="s">
        <v>2146</v>
      </c>
      <c r="B369" t="s">
        <v>32</v>
      </c>
      <c r="C369" t="s">
        <v>66</v>
      </c>
      <c r="D369">
        <v>1</v>
      </c>
      <c r="E369" s="7">
        <v>261.8</v>
      </c>
      <c r="F369">
        <v>31823884</v>
      </c>
      <c r="J369" t="s">
        <v>2256</v>
      </c>
      <c r="K369" t="s">
        <v>3</v>
      </c>
      <c r="L369" s="2">
        <v>43191</v>
      </c>
      <c r="M369" s="2">
        <f>DOCXX[[#This Row],[INV DOC DATE]]+30</f>
        <v>43221</v>
      </c>
      <c r="N369" s="2">
        <v>43244</v>
      </c>
      <c r="O369" s="7">
        <v>261.8</v>
      </c>
      <c r="P369" s="2">
        <v>43255</v>
      </c>
      <c r="Q369" s="7">
        <f>$E369-$O369</f>
        <v>0</v>
      </c>
      <c r="R369" s="7" t="str">
        <f ca="1">IF(TODAY() - DOCXX[INV DUE DATE]&lt;30, "Less than 30 days",IF(TODAY()-DOCXX[INV DUE DATE]&lt;60,"30-60 days","More than 60 days"))</f>
        <v>More than 60 days</v>
      </c>
      <c r="S369" t="s">
        <v>818</v>
      </c>
      <c r="U369" s="7" t="s">
        <v>3699</v>
      </c>
    </row>
    <row r="370" spans="1:21" x14ac:dyDescent="0.3">
      <c r="A370" s="14" t="s">
        <v>2146</v>
      </c>
      <c r="B370" t="s">
        <v>32</v>
      </c>
      <c r="C370" t="s">
        <v>67</v>
      </c>
      <c r="D370">
        <v>1</v>
      </c>
      <c r="E370" s="7">
        <v>271.14999999999998</v>
      </c>
      <c r="F370">
        <v>31823885</v>
      </c>
      <c r="J370" t="s">
        <v>2256</v>
      </c>
      <c r="K370" t="s">
        <v>3</v>
      </c>
      <c r="L370" s="2">
        <v>43191</v>
      </c>
      <c r="M370" s="2">
        <f>DOCXX[[#This Row],[INV DOC DATE]]+30</f>
        <v>43221</v>
      </c>
      <c r="N370" s="2">
        <v>43244</v>
      </c>
      <c r="O370" s="7">
        <v>271.14999999999998</v>
      </c>
      <c r="P370" s="2">
        <v>43255</v>
      </c>
      <c r="Q370" s="7">
        <f>$E370-$O370</f>
        <v>0</v>
      </c>
      <c r="R370" s="7" t="str">
        <f ca="1">IF(TODAY() - DOCXX[INV DUE DATE]&lt;30, "Less than 30 days",IF(TODAY()-DOCXX[INV DUE DATE]&lt;60,"30-60 days","More than 60 days"))</f>
        <v>More than 60 days</v>
      </c>
      <c r="S370" t="s">
        <v>818</v>
      </c>
      <c r="U370" s="7" t="s">
        <v>3699</v>
      </c>
    </row>
    <row r="371" spans="1:21" x14ac:dyDescent="0.3">
      <c r="A371" s="14" t="s">
        <v>2146</v>
      </c>
      <c r="B371" t="s">
        <v>32</v>
      </c>
      <c r="C371" t="s">
        <v>68</v>
      </c>
      <c r="D371">
        <v>1</v>
      </c>
      <c r="E371" s="7">
        <v>187</v>
      </c>
      <c r="F371">
        <v>31823888</v>
      </c>
      <c r="J371" t="s">
        <v>2256</v>
      </c>
      <c r="K371" t="s">
        <v>3</v>
      </c>
      <c r="L371" s="2">
        <v>43191</v>
      </c>
      <c r="M371" s="2">
        <f>DOCXX[[#This Row],[INV DOC DATE]]+30</f>
        <v>43221</v>
      </c>
      <c r="N371" s="2">
        <v>43244</v>
      </c>
      <c r="O371" s="7">
        <v>187</v>
      </c>
      <c r="P371" s="2">
        <v>43255</v>
      </c>
      <c r="Q371" s="7">
        <f>$E371-$O371</f>
        <v>0</v>
      </c>
      <c r="R371" s="7" t="str">
        <f ca="1">IF(TODAY() - DOCXX[INV DUE DATE]&lt;30, "Less than 30 days",IF(TODAY()-DOCXX[INV DUE DATE]&lt;60,"30-60 days","More than 60 days"))</f>
        <v>More than 60 days</v>
      </c>
      <c r="S371" t="s">
        <v>818</v>
      </c>
      <c r="U371" s="7" t="s">
        <v>3699</v>
      </c>
    </row>
    <row r="372" spans="1:21" x14ac:dyDescent="0.3">
      <c r="A372" s="14" t="s">
        <v>2146</v>
      </c>
      <c r="B372" t="s">
        <v>32</v>
      </c>
      <c r="C372" t="s">
        <v>69</v>
      </c>
      <c r="D372">
        <v>1</v>
      </c>
      <c r="E372" s="7">
        <v>93.5</v>
      </c>
      <c r="F372">
        <v>31823889</v>
      </c>
      <c r="J372" t="s">
        <v>2256</v>
      </c>
      <c r="K372" t="s">
        <v>3</v>
      </c>
      <c r="L372" s="2">
        <v>43191</v>
      </c>
      <c r="M372" s="2">
        <f>DOCXX[[#This Row],[INV DOC DATE]]+30</f>
        <v>43221</v>
      </c>
      <c r="N372" s="2">
        <v>43244</v>
      </c>
      <c r="O372" s="7">
        <v>93.5</v>
      </c>
      <c r="P372" s="2">
        <v>43255</v>
      </c>
      <c r="Q372" s="7">
        <f>$E372-$O372</f>
        <v>0</v>
      </c>
      <c r="R372" s="7" t="str">
        <f ca="1">IF(TODAY() - DOCXX[INV DUE DATE]&lt;30, "Less than 30 days",IF(TODAY()-DOCXX[INV DUE DATE]&lt;60,"30-60 days","More than 60 days"))</f>
        <v>More than 60 days</v>
      </c>
      <c r="S372" t="s">
        <v>818</v>
      </c>
      <c r="U372" s="7" t="s">
        <v>3699</v>
      </c>
    </row>
    <row r="373" spans="1:21" x14ac:dyDescent="0.3">
      <c r="A373" s="14" t="s">
        <v>2146</v>
      </c>
      <c r="B373" t="s">
        <v>32</v>
      </c>
      <c r="C373" t="s">
        <v>70</v>
      </c>
      <c r="D373">
        <v>1</v>
      </c>
      <c r="E373" s="7">
        <v>65.45</v>
      </c>
      <c r="F373">
        <v>31823890</v>
      </c>
      <c r="J373" t="s">
        <v>2256</v>
      </c>
      <c r="K373" t="s">
        <v>3</v>
      </c>
      <c r="L373" s="2">
        <v>43191</v>
      </c>
      <c r="M373" s="2">
        <f>DOCXX[[#This Row],[INV DOC DATE]]+30</f>
        <v>43221</v>
      </c>
      <c r="N373" s="2">
        <v>43244</v>
      </c>
      <c r="O373" s="7">
        <v>65.45</v>
      </c>
      <c r="P373" s="2">
        <v>43255</v>
      </c>
      <c r="Q373" s="7">
        <f>$E373-$O373</f>
        <v>0</v>
      </c>
      <c r="R373" s="7" t="str">
        <f ca="1">IF(TODAY() - DOCXX[INV DUE DATE]&lt;30, "Less than 30 days",IF(TODAY()-DOCXX[INV DUE DATE]&lt;60,"30-60 days","More than 60 days"))</f>
        <v>More than 60 days</v>
      </c>
      <c r="S373" t="s">
        <v>818</v>
      </c>
      <c r="U373" s="7" t="s">
        <v>3699</v>
      </c>
    </row>
    <row r="374" spans="1:21" x14ac:dyDescent="0.3">
      <c r="A374" s="14" t="s">
        <v>2146</v>
      </c>
      <c r="B374" t="s">
        <v>32</v>
      </c>
      <c r="C374" t="s">
        <v>71</v>
      </c>
      <c r="D374">
        <v>1</v>
      </c>
      <c r="E374" s="7">
        <v>74.8</v>
      </c>
      <c r="F374">
        <v>31823891</v>
      </c>
      <c r="J374" t="s">
        <v>2256</v>
      </c>
      <c r="K374" t="s">
        <v>3</v>
      </c>
      <c r="L374" s="2">
        <v>43191</v>
      </c>
      <c r="M374" s="2">
        <f>DOCXX[[#This Row],[INV DOC DATE]]+30</f>
        <v>43221</v>
      </c>
      <c r="N374" s="2">
        <v>43244</v>
      </c>
      <c r="O374" s="7">
        <v>74.8</v>
      </c>
      <c r="P374" s="2">
        <v>43255</v>
      </c>
      <c r="Q374" s="7">
        <f>$E374-$O374</f>
        <v>0</v>
      </c>
      <c r="R374" s="7" t="str">
        <f ca="1">IF(TODAY() - DOCXX[INV DUE DATE]&lt;30, "Less than 30 days",IF(TODAY()-DOCXX[INV DUE DATE]&lt;60,"30-60 days","More than 60 days"))</f>
        <v>More than 60 days</v>
      </c>
      <c r="S374" t="s">
        <v>818</v>
      </c>
      <c r="U374" s="7" t="s">
        <v>3699</v>
      </c>
    </row>
    <row r="375" spans="1:21" x14ac:dyDescent="0.3">
      <c r="A375" s="14" t="s">
        <v>2146</v>
      </c>
      <c r="B375" t="s">
        <v>32</v>
      </c>
      <c r="C375" t="s">
        <v>72</v>
      </c>
      <c r="D375">
        <v>1</v>
      </c>
      <c r="E375" s="7">
        <v>243.1</v>
      </c>
      <c r="F375">
        <v>31823892</v>
      </c>
      <c r="J375" t="s">
        <v>2256</v>
      </c>
      <c r="K375" t="s">
        <v>3</v>
      </c>
      <c r="L375" s="2">
        <v>43191</v>
      </c>
      <c r="M375" s="2">
        <f>DOCXX[[#This Row],[INV DOC DATE]]+30</f>
        <v>43221</v>
      </c>
      <c r="N375" s="2">
        <v>43244</v>
      </c>
      <c r="O375" s="7">
        <v>243.1</v>
      </c>
      <c r="P375" s="2">
        <v>43255</v>
      </c>
      <c r="Q375" s="7">
        <f>$E375-$O375</f>
        <v>0</v>
      </c>
      <c r="R375" s="7" t="str">
        <f ca="1">IF(TODAY() - DOCXX[INV DUE DATE]&lt;30, "Less than 30 days",IF(TODAY()-DOCXX[INV DUE DATE]&lt;60,"30-60 days","More than 60 days"))</f>
        <v>More than 60 days</v>
      </c>
      <c r="S375" t="s">
        <v>818</v>
      </c>
      <c r="U375" s="7" t="s">
        <v>3699</v>
      </c>
    </row>
    <row r="376" spans="1:21" x14ac:dyDescent="0.3">
      <c r="A376" s="14" t="s">
        <v>2146</v>
      </c>
      <c r="B376" t="s">
        <v>32</v>
      </c>
      <c r="C376" t="s">
        <v>73</v>
      </c>
      <c r="D376">
        <v>1</v>
      </c>
      <c r="E376" s="7">
        <v>37.4</v>
      </c>
      <c r="F376">
        <v>31823893</v>
      </c>
      <c r="J376" t="s">
        <v>2256</v>
      </c>
      <c r="K376" t="s">
        <v>3</v>
      </c>
      <c r="L376" s="2">
        <v>43191</v>
      </c>
      <c r="M376" s="2">
        <f>DOCXX[[#This Row],[INV DOC DATE]]+30</f>
        <v>43221</v>
      </c>
      <c r="N376" s="2">
        <v>43244</v>
      </c>
      <c r="O376" s="7">
        <v>37.4</v>
      </c>
      <c r="P376" s="2">
        <v>43255</v>
      </c>
      <c r="Q376" s="7">
        <f>$E376-$O376</f>
        <v>0</v>
      </c>
      <c r="R376" s="7" t="str">
        <f ca="1">IF(TODAY() - DOCXX[INV DUE DATE]&lt;30, "Less than 30 days",IF(TODAY()-DOCXX[INV DUE DATE]&lt;60,"30-60 days","More than 60 days"))</f>
        <v>More than 60 days</v>
      </c>
      <c r="S376" t="s">
        <v>818</v>
      </c>
      <c r="U376" s="7" t="s">
        <v>3699</v>
      </c>
    </row>
    <row r="377" spans="1:21" x14ac:dyDescent="0.3">
      <c r="A377" s="14" t="s">
        <v>2146</v>
      </c>
      <c r="B377" t="s">
        <v>32</v>
      </c>
      <c r="C377" t="s">
        <v>74</v>
      </c>
      <c r="D377">
        <v>1</v>
      </c>
      <c r="E377" s="7">
        <v>215.05</v>
      </c>
      <c r="F377">
        <v>31823894</v>
      </c>
      <c r="J377" t="s">
        <v>2256</v>
      </c>
      <c r="K377" t="s">
        <v>3</v>
      </c>
      <c r="L377" s="2">
        <v>43191</v>
      </c>
      <c r="M377" s="2">
        <f>DOCXX[[#This Row],[INV DOC DATE]]+30</f>
        <v>43221</v>
      </c>
      <c r="N377" s="2">
        <v>43244</v>
      </c>
      <c r="O377" s="7">
        <v>215.05</v>
      </c>
      <c r="P377" s="2">
        <v>43255</v>
      </c>
      <c r="Q377" s="7">
        <f>$E377-$O377</f>
        <v>0</v>
      </c>
      <c r="R377" s="7" t="str">
        <f ca="1">IF(TODAY() - DOCXX[INV DUE DATE]&lt;30, "Less than 30 days",IF(TODAY()-DOCXX[INV DUE DATE]&lt;60,"30-60 days","More than 60 days"))</f>
        <v>More than 60 days</v>
      </c>
      <c r="S377" t="s">
        <v>818</v>
      </c>
      <c r="U377" s="7" t="s">
        <v>3699</v>
      </c>
    </row>
    <row r="378" spans="1:21" x14ac:dyDescent="0.3">
      <c r="A378" s="14" t="s">
        <v>2146</v>
      </c>
      <c r="B378" t="s">
        <v>32</v>
      </c>
      <c r="C378" t="s">
        <v>75</v>
      </c>
      <c r="D378">
        <v>1</v>
      </c>
      <c r="E378" s="7">
        <v>215.05</v>
      </c>
      <c r="F378">
        <v>31830737</v>
      </c>
      <c r="J378" t="s">
        <v>2256</v>
      </c>
      <c r="K378" t="s">
        <v>3</v>
      </c>
      <c r="L378" s="2">
        <v>43191</v>
      </c>
      <c r="M378" s="2">
        <f>DOCXX[[#This Row],[INV DOC DATE]]+30</f>
        <v>43221</v>
      </c>
      <c r="N378" s="2">
        <v>43244</v>
      </c>
      <c r="O378" s="7">
        <v>215.05</v>
      </c>
      <c r="P378" s="2">
        <v>43255</v>
      </c>
      <c r="Q378" s="7">
        <f>$E378-$O378</f>
        <v>0</v>
      </c>
      <c r="R378" s="7" t="str">
        <f ca="1">IF(TODAY() - DOCXX[INV DUE DATE]&lt;30, "Less than 30 days",IF(TODAY()-DOCXX[INV DUE DATE]&lt;60,"30-60 days","More than 60 days"))</f>
        <v>More than 60 days</v>
      </c>
      <c r="S378" t="s">
        <v>818</v>
      </c>
      <c r="U378" s="7" t="s">
        <v>3699</v>
      </c>
    </row>
    <row r="379" spans="1:21" x14ac:dyDescent="0.3">
      <c r="A379" s="14" t="s">
        <v>2146</v>
      </c>
      <c r="B379" t="s">
        <v>32</v>
      </c>
      <c r="C379" t="s">
        <v>76</v>
      </c>
      <c r="D379">
        <v>1</v>
      </c>
      <c r="E379" s="7">
        <v>215.05</v>
      </c>
      <c r="F379">
        <v>31830738</v>
      </c>
      <c r="J379" t="s">
        <v>2256</v>
      </c>
      <c r="K379" t="s">
        <v>3</v>
      </c>
      <c r="L379" s="2">
        <v>43191</v>
      </c>
      <c r="M379" s="2">
        <f>DOCXX[[#This Row],[INV DOC DATE]]+30</f>
        <v>43221</v>
      </c>
      <c r="N379" s="2">
        <v>43244</v>
      </c>
      <c r="O379" s="7">
        <v>215.05</v>
      </c>
      <c r="P379" s="2">
        <v>43255</v>
      </c>
      <c r="Q379" s="7">
        <f>$E379-$O379</f>
        <v>0</v>
      </c>
      <c r="R379" s="7" t="str">
        <f ca="1">IF(TODAY() - DOCXX[INV DUE DATE]&lt;30, "Less than 30 days",IF(TODAY()-DOCXX[INV DUE DATE]&lt;60,"30-60 days","More than 60 days"))</f>
        <v>More than 60 days</v>
      </c>
      <c r="S379" t="s">
        <v>818</v>
      </c>
      <c r="U379" s="7" t="s">
        <v>3699</v>
      </c>
    </row>
    <row r="380" spans="1:21" x14ac:dyDescent="0.3">
      <c r="A380" s="14" t="s">
        <v>2146</v>
      </c>
      <c r="B380" t="s">
        <v>32</v>
      </c>
      <c r="C380" t="s">
        <v>77</v>
      </c>
      <c r="D380">
        <v>1</v>
      </c>
      <c r="E380" s="7">
        <v>205.7</v>
      </c>
      <c r="F380">
        <v>31832161</v>
      </c>
      <c r="J380" t="s">
        <v>2256</v>
      </c>
      <c r="K380" t="s">
        <v>3</v>
      </c>
      <c r="L380" s="2">
        <v>43191</v>
      </c>
      <c r="M380" s="2">
        <f>DOCXX[[#This Row],[INV DOC DATE]]+30</f>
        <v>43221</v>
      </c>
      <c r="N380" s="2">
        <v>43244</v>
      </c>
      <c r="O380" s="7">
        <v>205.7</v>
      </c>
      <c r="P380" s="2">
        <v>43255</v>
      </c>
      <c r="Q380" s="7">
        <f>$E380-$O380</f>
        <v>0</v>
      </c>
      <c r="R380" s="7" t="str">
        <f ca="1">IF(TODAY() - DOCXX[INV DUE DATE]&lt;30, "Less than 30 days",IF(TODAY()-DOCXX[INV DUE DATE]&lt;60,"30-60 days","More than 60 days"))</f>
        <v>More than 60 days</v>
      </c>
      <c r="S380" t="s">
        <v>818</v>
      </c>
      <c r="U380" s="7" t="s">
        <v>3699</v>
      </c>
    </row>
    <row r="381" spans="1:21" x14ac:dyDescent="0.3">
      <c r="A381" s="14" t="s">
        <v>2146</v>
      </c>
      <c r="B381" t="s">
        <v>32</v>
      </c>
      <c r="C381" t="s">
        <v>78</v>
      </c>
      <c r="D381">
        <v>1</v>
      </c>
      <c r="E381" s="7">
        <v>93.5</v>
      </c>
      <c r="F381">
        <v>31845282</v>
      </c>
      <c r="J381" t="s">
        <v>2256</v>
      </c>
      <c r="K381" t="s">
        <v>3</v>
      </c>
      <c r="L381" s="2">
        <v>43191</v>
      </c>
      <c r="M381" s="2">
        <f>DOCXX[[#This Row],[INV DOC DATE]]+30</f>
        <v>43221</v>
      </c>
      <c r="N381" s="2">
        <v>43244</v>
      </c>
      <c r="O381" s="7">
        <v>93.5</v>
      </c>
      <c r="P381" s="2">
        <v>43255</v>
      </c>
      <c r="Q381" s="7">
        <f>$E381-$O381</f>
        <v>0</v>
      </c>
      <c r="R381" s="7" t="str">
        <f ca="1">IF(TODAY() - DOCXX[INV DUE DATE]&lt;30, "Less than 30 days",IF(TODAY()-DOCXX[INV DUE DATE]&lt;60,"30-60 days","More than 60 days"))</f>
        <v>More than 60 days</v>
      </c>
      <c r="S381" t="s">
        <v>818</v>
      </c>
      <c r="U381" s="7" t="s">
        <v>3699</v>
      </c>
    </row>
    <row r="382" spans="1:21" x14ac:dyDescent="0.3">
      <c r="A382" s="14" t="s">
        <v>2146</v>
      </c>
      <c r="B382" t="s">
        <v>32</v>
      </c>
      <c r="C382" t="s">
        <v>79</v>
      </c>
      <c r="D382">
        <v>1</v>
      </c>
      <c r="E382" s="7">
        <v>93.5</v>
      </c>
      <c r="F382">
        <v>31845282</v>
      </c>
      <c r="J382" t="s">
        <v>2256</v>
      </c>
      <c r="K382" t="s">
        <v>3</v>
      </c>
      <c r="L382" s="2">
        <v>43191</v>
      </c>
      <c r="M382" s="2">
        <f>DOCXX[[#This Row],[INV DOC DATE]]+30</f>
        <v>43221</v>
      </c>
      <c r="N382" s="2">
        <v>43244</v>
      </c>
      <c r="O382" s="7">
        <v>93.5</v>
      </c>
      <c r="P382" s="2">
        <v>43255</v>
      </c>
      <c r="Q382" s="7">
        <f>$E382-$O382</f>
        <v>0</v>
      </c>
      <c r="R382" s="7" t="str">
        <f ca="1">IF(TODAY() - DOCXX[INV DUE DATE]&lt;30, "Less than 30 days",IF(TODAY()-DOCXX[INV DUE DATE]&lt;60,"30-60 days","More than 60 days"))</f>
        <v>More than 60 days</v>
      </c>
      <c r="S382" t="s">
        <v>818</v>
      </c>
      <c r="U382" s="7" t="s">
        <v>3699</v>
      </c>
    </row>
    <row r="383" spans="1:21" x14ac:dyDescent="0.3">
      <c r="A383" s="14" t="s">
        <v>2146</v>
      </c>
      <c r="B383" t="s">
        <v>32</v>
      </c>
      <c r="C383" t="s">
        <v>80</v>
      </c>
      <c r="D383">
        <v>1</v>
      </c>
      <c r="E383" s="7">
        <v>177.65</v>
      </c>
      <c r="F383">
        <v>31845283</v>
      </c>
      <c r="J383" t="s">
        <v>2256</v>
      </c>
      <c r="K383" t="s">
        <v>3</v>
      </c>
      <c r="L383" s="2">
        <v>43191</v>
      </c>
      <c r="M383" s="2">
        <f>DOCXX[[#This Row],[INV DOC DATE]]+30</f>
        <v>43221</v>
      </c>
      <c r="N383" s="2">
        <v>43244</v>
      </c>
      <c r="O383" s="7">
        <v>177.65</v>
      </c>
      <c r="P383" s="2">
        <v>43255</v>
      </c>
      <c r="Q383" s="7">
        <f>$E383-$O383</f>
        <v>0</v>
      </c>
      <c r="R383" s="7" t="str">
        <f ca="1">IF(TODAY() - DOCXX[INV DUE DATE]&lt;30, "Less than 30 days",IF(TODAY()-DOCXX[INV DUE DATE]&lt;60,"30-60 days","More than 60 days"))</f>
        <v>More than 60 days</v>
      </c>
      <c r="S383" t="s">
        <v>818</v>
      </c>
      <c r="U383" s="7" t="s">
        <v>3699</v>
      </c>
    </row>
    <row r="384" spans="1:21" x14ac:dyDescent="0.3">
      <c r="A384" s="14" t="s">
        <v>2146</v>
      </c>
      <c r="B384" t="s">
        <v>32</v>
      </c>
      <c r="C384" t="s">
        <v>81</v>
      </c>
      <c r="D384">
        <v>1</v>
      </c>
      <c r="E384" s="7">
        <v>177.65</v>
      </c>
      <c r="F384">
        <v>31845283</v>
      </c>
      <c r="J384" t="s">
        <v>2256</v>
      </c>
      <c r="K384" t="s">
        <v>3</v>
      </c>
      <c r="L384" s="2">
        <v>43191</v>
      </c>
      <c r="M384" s="2">
        <f>DOCXX[[#This Row],[INV DOC DATE]]+30</f>
        <v>43221</v>
      </c>
      <c r="N384" s="2">
        <v>43244</v>
      </c>
      <c r="O384" s="7">
        <v>177.65</v>
      </c>
      <c r="P384" s="2">
        <v>43255</v>
      </c>
      <c r="Q384" s="7">
        <f>$E384-$O384</f>
        <v>0</v>
      </c>
      <c r="R384" s="7" t="str">
        <f ca="1">IF(TODAY() - DOCXX[INV DUE DATE]&lt;30, "Less than 30 days",IF(TODAY()-DOCXX[INV DUE DATE]&lt;60,"30-60 days","More than 60 days"))</f>
        <v>More than 60 days</v>
      </c>
      <c r="S384" t="s">
        <v>818</v>
      </c>
      <c r="U384" s="7" t="s">
        <v>3699</v>
      </c>
    </row>
    <row r="385" spans="1:21" x14ac:dyDescent="0.3">
      <c r="A385" s="14" t="s">
        <v>2146</v>
      </c>
      <c r="B385" t="s">
        <v>32</v>
      </c>
      <c r="C385" t="s">
        <v>82</v>
      </c>
      <c r="D385">
        <v>1</v>
      </c>
      <c r="E385" s="7">
        <v>140.25</v>
      </c>
      <c r="F385">
        <v>31845284</v>
      </c>
      <c r="J385" t="s">
        <v>2256</v>
      </c>
      <c r="K385" t="s">
        <v>3</v>
      </c>
      <c r="L385" s="2">
        <v>43191</v>
      </c>
      <c r="M385" s="2">
        <f>DOCXX[[#This Row],[INV DOC DATE]]+30</f>
        <v>43221</v>
      </c>
      <c r="N385" s="2">
        <v>43244</v>
      </c>
      <c r="O385" s="7">
        <v>140.25</v>
      </c>
      <c r="P385" s="2">
        <v>43255</v>
      </c>
      <c r="Q385" s="7">
        <f>$E385-$O385</f>
        <v>0</v>
      </c>
      <c r="R385" s="7" t="str">
        <f ca="1">IF(TODAY() - DOCXX[INV DUE DATE]&lt;30, "Less than 30 days",IF(TODAY()-DOCXX[INV DUE DATE]&lt;60,"30-60 days","More than 60 days"))</f>
        <v>More than 60 days</v>
      </c>
      <c r="S385" t="s">
        <v>818</v>
      </c>
      <c r="U385" s="7" t="s">
        <v>3699</v>
      </c>
    </row>
    <row r="386" spans="1:21" x14ac:dyDescent="0.3">
      <c r="A386" s="14" t="s">
        <v>2146</v>
      </c>
      <c r="B386" t="s">
        <v>32</v>
      </c>
      <c r="C386" t="s">
        <v>83</v>
      </c>
      <c r="D386">
        <v>1</v>
      </c>
      <c r="E386" s="7">
        <v>140.25</v>
      </c>
      <c r="F386">
        <v>31845284</v>
      </c>
      <c r="J386" t="s">
        <v>2256</v>
      </c>
      <c r="K386" t="s">
        <v>3</v>
      </c>
      <c r="L386" s="2">
        <v>43191</v>
      </c>
      <c r="M386" s="2">
        <f>DOCXX[[#This Row],[INV DOC DATE]]+30</f>
        <v>43221</v>
      </c>
      <c r="N386" s="2">
        <v>43244</v>
      </c>
      <c r="O386" s="7">
        <v>140.25</v>
      </c>
      <c r="P386" s="2">
        <v>43255</v>
      </c>
      <c r="Q386" s="7">
        <f>$E386-$O386</f>
        <v>0</v>
      </c>
      <c r="R386" s="7" t="str">
        <f ca="1">IF(TODAY() - DOCXX[INV DUE DATE]&lt;30, "Less than 30 days",IF(TODAY()-DOCXX[INV DUE DATE]&lt;60,"30-60 days","More than 60 days"))</f>
        <v>More than 60 days</v>
      </c>
      <c r="S386" t="s">
        <v>818</v>
      </c>
      <c r="U386" s="7" t="s">
        <v>3699</v>
      </c>
    </row>
    <row r="387" spans="1:21" x14ac:dyDescent="0.3">
      <c r="A387" s="14" t="s">
        <v>2146</v>
      </c>
      <c r="B387" t="s">
        <v>32</v>
      </c>
      <c r="C387" t="s">
        <v>84</v>
      </c>
      <c r="D387">
        <v>1</v>
      </c>
      <c r="E387" s="7">
        <v>149.6</v>
      </c>
      <c r="F387">
        <v>31845285</v>
      </c>
      <c r="J387" t="s">
        <v>2256</v>
      </c>
      <c r="K387" t="s">
        <v>3</v>
      </c>
      <c r="L387" s="2">
        <v>43191</v>
      </c>
      <c r="M387" s="2">
        <f>DOCXX[[#This Row],[INV DOC DATE]]+30</f>
        <v>43221</v>
      </c>
      <c r="N387" s="2">
        <v>43244</v>
      </c>
      <c r="O387" s="7">
        <v>149.6</v>
      </c>
      <c r="P387" s="2">
        <v>43255</v>
      </c>
      <c r="Q387" s="7">
        <f>$E387-$O387</f>
        <v>0</v>
      </c>
      <c r="R387" s="7" t="str">
        <f ca="1">IF(TODAY() - DOCXX[INV DUE DATE]&lt;30, "Less than 30 days",IF(TODAY()-DOCXX[INV DUE DATE]&lt;60,"30-60 days","More than 60 days"))</f>
        <v>More than 60 days</v>
      </c>
      <c r="S387" t="s">
        <v>818</v>
      </c>
      <c r="U387" s="7" t="s">
        <v>3699</v>
      </c>
    </row>
    <row r="388" spans="1:21" x14ac:dyDescent="0.3">
      <c r="A388" s="14" t="s">
        <v>2146</v>
      </c>
      <c r="B388" t="s">
        <v>32</v>
      </c>
      <c r="C388" t="s">
        <v>85</v>
      </c>
      <c r="D388">
        <v>1</v>
      </c>
      <c r="E388" s="7">
        <v>84.15</v>
      </c>
      <c r="F388">
        <v>31845912</v>
      </c>
      <c r="J388" t="s">
        <v>2256</v>
      </c>
      <c r="K388" t="s">
        <v>3</v>
      </c>
      <c r="L388" s="2">
        <v>43191</v>
      </c>
      <c r="M388" s="2">
        <f>DOCXX[[#This Row],[INV DOC DATE]]+30</f>
        <v>43221</v>
      </c>
      <c r="N388" s="2">
        <v>43244</v>
      </c>
      <c r="O388" s="7">
        <v>84.15</v>
      </c>
      <c r="P388" s="2">
        <v>43255</v>
      </c>
      <c r="Q388" s="7">
        <f>$E388-$O388</f>
        <v>0</v>
      </c>
      <c r="R388" s="7" t="str">
        <f ca="1">IF(TODAY() - DOCXX[INV DUE DATE]&lt;30, "Less than 30 days",IF(TODAY()-DOCXX[INV DUE DATE]&lt;60,"30-60 days","More than 60 days"))</f>
        <v>More than 60 days</v>
      </c>
      <c r="S388" t="s">
        <v>818</v>
      </c>
      <c r="U388" s="7" t="s">
        <v>3699</v>
      </c>
    </row>
    <row r="389" spans="1:21" x14ac:dyDescent="0.3">
      <c r="A389" s="14" t="s">
        <v>2146</v>
      </c>
      <c r="B389" t="s">
        <v>32</v>
      </c>
      <c r="C389" t="s">
        <v>86</v>
      </c>
      <c r="D389">
        <v>1</v>
      </c>
      <c r="E389" s="7">
        <v>215.05</v>
      </c>
      <c r="F389">
        <v>31846335</v>
      </c>
      <c r="J389" t="s">
        <v>2256</v>
      </c>
      <c r="K389" t="s">
        <v>3</v>
      </c>
      <c r="L389" s="2">
        <v>43191</v>
      </c>
      <c r="M389" s="2">
        <f>DOCXX[[#This Row],[INV DOC DATE]]+30</f>
        <v>43221</v>
      </c>
      <c r="N389" s="2">
        <v>43244</v>
      </c>
      <c r="O389" s="7">
        <v>215.05</v>
      </c>
      <c r="P389" s="2">
        <v>43255</v>
      </c>
      <c r="Q389" s="7">
        <f>$E389-$O389</f>
        <v>0</v>
      </c>
      <c r="R389" s="7" t="str">
        <f ca="1">IF(TODAY() - DOCXX[INV DUE DATE]&lt;30, "Less than 30 days",IF(TODAY()-DOCXX[INV DUE DATE]&lt;60,"30-60 days","More than 60 days"))</f>
        <v>More than 60 days</v>
      </c>
      <c r="S389" t="s">
        <v>818</v>
      </c>
      <c r="U389" s="7" t="s">
        <v>3699</v>
      </c>
    </row>
    <row r="390" spans="1:21" x14ac:dyDescent="0.3">
      <c r="A390" s="14" t="s">
        <v>2146</v>
      </c>
      <c r="B390" t="s">
        <v>32</v>
      </c>
      <c r="C390" t="s">
        <v>87</v>
      </c>
      <c r="D390">
        <v>1</v>
      </c>
      <c r="E390" s="7">
        <v>196.35</v>
      </c>
      <c r="F390">
        <v>31846336</v>
      </c>
      <c r="J390" t="s">
        <v>2256</v>
      </c>
      <c r="K390" t="s">
        <v>3</v>
      </c>
      <c r="L390" s="2">
        <v>43191</v>
      </c>
      <c r="M390" s="2">
        <f>DOCXX[[#This Row],[INV DOC DATE]]+30</f>
        <v>43221</v>
      </c>
      <c r="N390" s="2">
        <v>43244</v>
      </c>
      <c r="O390" s="7">
        <v>196.35</v>
      </c>
      <c r="P390" s="2">
        <v>43255</v>
      </c>
      <c r="Q390" s="7">
        <f>$E390-$O390</f>
        <v>0</v>
      </c>
      <c r="R390" s="7" t="str">
        <f ca="1">IF(TODAY() - DOCXX[INV DUE DATE]&lt;30, "Less than 30 days",IF(TODAY()-DOCXX[INV DUE DATE]&lt;60,"30-60 days","More than 60 days"))</f>
        <v>More than 60 days</v>
      </c>
      <c r="S390" t="s">
        <v>818</v>
      </c>
      <c r="U390" s="7" t="s">
        <v>3699</v>
      </c>
    </row>
    <row r="391" spans="1:21" x14ac:dyDescent="0.3">
      <c r="A391" s="14" t="s">
        <v>2146</v>
      </c>
      <c r="B391" t="s">
        <v>32</v>
      </c>
      <c r="C391" t="s">
        <v>88</v>
      </c>
      <c r="D391">
        <v>1</v>
      </c>
      <c r="E391" s="7">
        <v>243.1</v>
      </c>
      <c r="F391">
        <v>31846490</v>
      </c>
      <c r="J391" t="s">
        <v>2256</v>
      </c>
      <c r="K391" t="s">
        <v>3</v>
      </c>
      <c r="L391" s="2">
        <v>43191</v>
      </c>
      <c r="M391" s="2">
        <f>DOCXX[[#This Row],[INV DOC DATE]]+30</f>
        <v>43221</v>
      </c>
      <c r="N391" s="2">
        <v>43244</v>
      </c>
      <c r="O391" s="7">
        <v>243.1</v>
      </c>
      <c r="P391" s="2">
        <v>43255</v>
      </c>
      <c r="Q391" s="7">
        <f>$E391-$O391</f>
        <v>0</v>
      </c>
      <c r="R391" s="7" t="str">
        <f ca="1">IF(TODAY() - DOCXX[INV DUE DATE]&lt;30, "Less than 30 days",IF(TODAY()-DOCXX[INV DUE DATE]&lt;60,"30-60 days","More than 60 days"))</f>
        <v>More than 60 days</v>
      </c>
      <c r="S391" t="s">
        <v>818</v>
      </c>
      <c r="U391" s="7" t="s">
        <v>3699</v>
      </c>
    </row>
    <row r="392" spans="1:21" x14ac:dyDescent="0.3">
      <c r="A392" s="14" t="s">
        <v>2146</v>
      </c>
      <c r="B392" t="s">
        <v>32</v>
      </c>
      <c r="C392" t="s">
        <v>89</v>
      </c>
      <c r="D392">
        <v>1</v>
      </c>
      <c r="E392" s="7">
        <v>243.1</v>
      </c>
      <c r="F392">
        <v>31846490</v>
      </c>
      <c r="J392" t="s">
        <v>2256</v>
      </c>
      <c r="K392" t="s">
        <v>3</v>
      </c>
      <c r="L392" s="2">
        <v>43191</v>
      </c>
      <c r="M392" s="2">
        <f>DOCXX[[#This Row],[INV DOC DATE]]+30</f>
        <v>43221</v>
      </c>
      <c r="N392" s="2">
        <v>43244</v>
      </c>
      <c r="O392" s="7">
        <v>243.1</v>
      </c>
      <c r="P392" s="2">
        <v>43255</v>
      </c>
      <c r="Q392" s="7">
        <f>$E392-$O392</f>
        <v>0</v>
      </c>
      <c r="R392" s="7" t="str">
        <f ca="1">IF(TODAY() - DOCXX[INV DUE DATE]&lt;30, "Less than 30 days",IF(TODAY()-DOCXX[INV DUE DATE]&lt;60,"30-60 days","More than 60 days"))</f>
        <v>More than 60 days</v>
      </c>
      <c r="S392" t="s">
        <v>818</v>
      </c>
      <c r="U392" s="7" t="s">
        <v>3699</v>
      </c>
    </row>
    <row r="393" spans="1:21" x14ac:dyDescent="0.3">
      <c r="A393" s="14" t="s">
        <v>2146</v>
      </c>
      <c r="B393" t="s">
        <v>32</v>
      </c>
      <c r="C393" t="s">
        <v>90</v>
      </c>
      <c r="D393">
        <v>1</v>
      </c>
      <c r="E393" s="7">
        <v>187</v>
      </c>
      <c r="F393">
        <v>31853536</v>
      </c>
      <c r="J393" t="s">
        <v>2256</v>
      </c>
      <c r="K393" t="s">
        <v>3</v>
      </c>
      <c r="L393" s="2">
        <v>43191</v>
      </c>
      <c r="M393" s="2">
        <f>DOCXX[[#This Row],[INV DOC DATE]]+30</f>
        <v>43221</v>
      </c>
      <c r="N393" s="2">
        <v>43244</v>
      </c>
      <c r="O393" s="7">
        <v>187</v>
      </c>
      <c r="P393" s="2">
        <v>43255</v>
      </c>
      <c r="Q393" s="7">
        <f>$E393-$O393</f>
        <v>0</v>
      </c>
      <c r="R393" s="7" t="str">
        <f ca="1">IF(TODAY() - DOCXX[INV DUE DATE]&lt;30, "Less than 30 days",IF(TODAY()-DOCXX[INV DUE DATE]&lt;60,"30-60 days","More than 60 days"))</f>
        <v>More than 60 days</v>
      </c>
      <c r="S393" t="s">
        <v>818</v>
      </c>
      <c r="U393" s="7" t="s">
        <v>3699</v>
      </c>
    </row>
    <row r="394" spans="1:21" x14ac:dyDescent="0.3">
      <c r="A394" s="14" t="s">
        <v>2146</v>
      </c>
      <c r="B394" t="s">
        <v>32</v>
      </c>
      <c r="C394" t="s">
        <v>91</v>
      </c>
      <c r="D394">
        <v>1</v>
      </c>
      <c r="E394" s="7">
        <v>65.45</v>
      </c>
      <c r="F394">
        <v>31853728</v>
      </c>
      <c r="J394" t="s">
        <v>2256</v>
      </c>
      <c r="K394" t="s">
        <v>3</v>
      </c>
      <c r="L394" s="2">
        <v>43191</v>
      </c>
      <c r="M394" s="2">
        <f>DOCXX[[#This Row],[INV DOC DATE]]+30</f>
        <v>43221</v>
      </c>
      <c r="N394" s="2">
        <v>43244</v>
      </c>
      <c r="O394" s="7">
        <v>65.45</v>
      </c>
      <c r="P394" s="2">
        <v>43255</v>
      </c>
      <c r="Q394" s="7">
        <f>$E394-$O394</f>
        <v>0</v>
      </c>
      <c r="R394" s="7" t="str">
        <f ca="1">IF(TODAY() - DOCXX[INV DUE DATE]&lt;30, "Less than 30 days",IF(TODAY()-DOCXX[INV DUE DATE]&lt;60,"30-60 days","More than 60 days"))</f>
        <v>More than 60 days</v>
      </c>
      <c r="S394" t="s">
        <v>818</v>
      </c>
      <c r="U394" s="7" t="s">
        <v>3699</v>
      </c>
    </row>
    <row r="395" spans="1:21" x14ac:dyDescent="0.3">
      <c r="A395" s="14" t="s">
        <v>2146</v>
      </c>
      <c r="B395" t="s">
        <v>32</v>
      </c>
      <c r="C395" t="s">
        <v>92</v>
      </c>
      <c r="D395">
        <v>1</v>
      </c>
      <c r="E395" s="7">
        <v>149.6</v>
      </c>
      <c r="F395">
        <v>31865682</v>
      </c>
      <c r="J395" t="s">
        <v>2256</v>
      </c>
      <c r="K395" t="s">
        <v>3</v>
      </c>
      <c r="L395" s="2">
        <v>43191</v>
      </c>
      <c r="M395" s="2">
        <f>DOCXX[[#This Row],[INV DOC DATE]]+30</f>
        <v>43221</v>
      </c>
      <c r="N395" s="2">
        <v>43244</v>
      </c>
      <c r="O395" s="7">
        <v>149.6</v>
      </c>
      <c r="P395" s="2">
        <v>43255</v>
      </c>
      <c r="Q395" s="7">
        <f>$E395-$O395</f>
        <v>0</v>
      </c>
      <c r="R395" s="7" t="str">
        <f ca="1">IF(TODAY() - DOCXX[INV DUE DATE]&lt;30, "Less than 30 days",IF(TODAY()-DOCXX[INV DUE DATE]&lt;60,"30-60 days","More than 60 days"))</f>
        <v>More than 60 days</v>
      </c>
      <c r="S395" t="s">
        <v>818</v>
      </c>
      <c r="U395" s="7" t="s">
        <v>3699</v>
      </c>
    </row>
    <row r="396" spans="1:21" x14ac:dyDescent="0.3">
      <c r="A396" s="14" t="s">
        <v>2146</v>
      </c>
      <c r="B396" t="s">
        <v>32</v>
      </c>
      <c r="C396" t="s">
        <v>30</v>
      </c>
      <c r="D396">
        <v>1</v>
      </c>
      <c r="E396" s="7">
        <v>149.6</v>
      </c>
      <c r="F396">
        <v>31866188</v>
      </c>
      <c r="J396" t="s">
        <v>2256</v>
      </c>
      <c r="K396" t="s">
        <v>3</v>
      </c>
      <c r="L396" s="2">
        <v>43191</v>
      </c>
      <c r="M396" s="2">
        <f>DOCXX[[#This Row],[INV DOC DATE]]+30</f>
        <v>43221</v>
      </c>
      <c r="N396" s="2">
        <v>43244</v>
      </c>
      <c r="O396" s="7">
        <v>149.6</v>
      </c>
      <c r="P396" s="2">
        <v>43255</v>
      </c>
      <c r="Q396" s="7">
        <f>$E396-$O396</f>
        <v>0</v>
      </c>
      <c r="R396" s="7" t="str">
        <f ca="1">IF(TODAY() - DOCXX[INV DUE DATE]&lt;30, "Less than 30 days",IF(TODAY()-DOCXX[INV DUE DATE]&lt;60,"30-60 days","More than 60 days"))</f>
        <v>More than 60 days</v>
      </c>
      <c r="S396" t="s">
        <v>818</v>
      </c>
      <c r="U396" s="7" t="s">
        <v>3699</v>
      </c>
    </row>
    <row r="397" spans="1:21" x14ac:dyDescent="0.3">
      <c r="A397" s="14" t="s">
        <v>2146</v>
      </c>
      <c r="B397" t="s">
        <v>32</v>
      </c>
      <c r="C397" t="s">
        <v>93</v>
      </c>
      <c r="D397">
        <v>1</v>
      </c>
      <c r="E397" s="7">
        <v>121.55</v>
      </c>
      <c r="F397">
        <v>31887216</v>
      </c>
      <c r="J397" t="s">
        <v>2256</v>
      </c>
      <c r="K397" t="s">
        <v>3</v>
      </c>
      <c r="L397" s="2">
        <v>43191</v>
      </c>
      <c r="M397" s="2">
        <f>DOCXX[[#This Row],[INV DOC DATE]]+30</f>
        <v>43221</v>
      </c>
      <c r="N397" s="2">
        <v>43244</v>
      </c>
      <c r="O397" s="7">
        <v>121.55</v>
      </c>
      <c r="P397" s="2">
        <v>43255</v>
      </c>
      <c r="Q397" s="7">
        <f>$E397-$O397</f>
        <v>0</v>
      </c>
      <c r="R397" s="7" t="str">
        <f ca="1">IF(TODAY() - DOCXX[INV DUE DATE]&lt;30, "Less than 30 days",IF(TODAY()-DOCXX[INV DUE DATE]&lt;60,"30-60 days","More than 60 days"))</f>
        <v>More than 60 days</v>
      </c>
      <c r="S397" t="s">
        <v>818</v>
      </c>
      <c r="U397" s="7" t="s">
        <v>3699</v>
      </c>
    </row>
    <row r="398" spans="1:21" x14ac:dyDescent="0.3">
      <c r="A398" s="14" t="s">
        <v>2146</v>
      </c>
      <c r="B398" t="s">
        <v>32</v>
      </c>
      <c r="C398" t="s">
        <v>94</v>
      </c>
      <c r="D398">
        <v>1</v>
      </c>
      <c r="E398" s="7">
        <v>112.2</v>
      </c>
      <c r="F398">
        <v>31888761</v>
      </c>
      <c r="J398" t="s">
        <v>2256</v>
      </c>
      <c r="K398" t="s">
        <v>3</v>
      </c>
      <c r="L398" s="2">
        <v>43191</v>
      </c>
      <c r="M398" s="2">
        <f>DOCXX[[#This Row],[INV DOC DATE]]+30</f>
        <v>43221</v>
      </c>
      <c r="N398" s="2">
        <v>43244</v>
      </c>
      <c r="O398" s="7">
        <v>112.2</v>
      </c>
      <c r="P398" s="2">
        <v>43255</v>
      </c>
      <c r="Q398" s="7">
        <f>$E398-$O398</f>
        <v>0</v>
      </c>
      <c r="R398" s="7" t="str">
        <f ca="1">IF(TODAY() - DOCXX[INV DUE DATE]&lt;30, "Less than 30 days",IF(TODAY()-DOCXX[INV DUE DATE]&lt;60,"30-60 days","More than 60 days"))</f>
        <v>More than 60 days</v>
      </c>
      <c r="S398" t="s">
        <v>818</v>
      </c>
      <c r="U398" s="7" t="s">
        <v>3699</v>
      </c>
    </row>
    <row r="399" spans="1:21" x14ac:dyDescent="0.3">
      <c r="A399" s="14" t="s">
        <v>2146</v>
      </c>
      <c r="B399" t="s">
        <v>32</v>
      </c>
      <c r="C399" t="s">
        <v>95</v>
      </c>
      <c r="D399">
        <v>1</v>
      </c>
      <c r="E399" s="7">
        <v>158.94999999999999</v>
      </c>
      <c r="F399">
        <v>31888763</v>
      </c>
      <c r="J399" t="s">
        <v>2256</v>
      </c>
      <c r="K399" t="s">
        <v>3</v>
      </c>
      <c r="L399" s="2">
        <v>43191</v>
      </c>
      <c r="M399" s="2">
        <f>DOCXX[[#This Row],[INV DOC DATE]]+30</f>
        <v>43221</v>
      </c>
      <c r="N399" s="2">
        <v>43244</v>
      </c>
      <c r="O399" s="7">
        <v>158.94999999999999</v>
      </c>
      <c r="P399" s="2">
        <v>43255</v>
      </c>
      <c r="Q399" s="7">
        <f>$E399-$O399</f>
        <v>0</v>
      </c>
      <c r="R399" s="7" t="str">
        <f ca="1">IF(TODAY() - DOCXX[INV DUE DATE]&lt;30, "Less than 30 days",IF(TODAY()-DOCXX[INV DUE DATE]&lt;60,"30-60 days","More than 60 days"))</f>
        <v>More than 60 days</v>
      </c>
      <c r="S399" t="s">
        <v>818</v>
      </c>
      <c r="U399" s="7" t="s">
        <v>3699</v>
      </c>
    </row>
    <row r="400" spans="1:21" x14ac:dyDescent="0.3">
      <c r="A400" s="14" t="s">
        <v>2146</v>
      </c>
      <c r="B400" t="s">
        <v>32</v>
      </c>
      <c r="C400" t="s">
        <v>96</v>
      </c>
      <c r="D400">
        <v>1</v>
      </c>
      <c r="E400" s="7">
        <v>149.6</v>
      </c>
      <c r="F400">
        <v>31899301</v>
      </c>
      <c r="J400" t="s">
        <v>2256</v>
      </c>
      <c r="K400" t="s">
        <v>3</v>
      </c>
      <c r="L400" s="2">
        <v>43191</v>
      </c>
      <c r="M400" s="2">
        <f>DOCXX[[#This Row],[INV DOC DATE]]+30</f>
        <v>43221</v>
      </c>
      <c r="N400" s="2">
        <v>43244</v>
      </c>
      <c r="O400" s="7">
        <v>149.6</v>
      </c>
      <c r="P400" s="2">
        <v>43255</v>
      </c>
      <c r="Q400" s="7">
        <f>$E400-$O400</f>
        <v>0</v>
      </c>
      <c r="R400" s="7" t="str">
        <f ca="1">IF(TODAY() - DOCXX[INV DUE DATE]&lt;30, "Less than 30 days",IF(TODAY()-DOCXX[INV DUE DATE]&lt;60,"30-60 days","More than 60 days"))</f>
        <v>More than 60 days</v>
      </c>
      <c r="S400" t="s">
        <v>818</v>
      </c>
      <c r="U400" s="7" t="s">
        <v>3699</v>
      </c>
    </row>
    <row r="401" spans="1:21" x14ac:dyDescent="0.3">
      <c r="A401" s="14" t="s">
        <v>2146</v>
      </c>
      <c r="B401" t="s">
        <v>32</v>
      </c>
      <c r="C401" t="s">
        <v>97</v>
      </c>
      <c r="D401">
        <v>1</v>
      </c>
      <c r="E401" s="7">
        <v>130.9</v>
      </c>
      <c r="F401">
        <v>31899302</v>
      </c>
      <c r="J401" t="s">
        <v>2256</v>
      </c>
      <c r="K401" t="s">
        <v>3</v>
      </c>
      <c r="L401" s="2">
        <v>43191</v>
      </c>
      <c r="M401" s="2">
        <f>DOCXX[[#This Row],[INV DOC DATE]]+30</f>
        <v>43221</v>
      </c>
      <c r="N401" s="2">
        <v>43244</v>
      </c>
      <c r="O401" s="7">
        <v>130.9</v>
      </c>
      <c r="P401" s="2">
        <v>43255</v>
      </c>
      <c r="Q401" s="7">
        <f>$E401-$O401</f>
        <v>0</v>
      </c>
      <c r="R401" s="7" t="str">
        <f ca="1">IF(TODAY() - DOCXX[INV DUE DATE]&lt;30, "Less than 30 days",IF(TODAY()-DOCXX[INV DUE DATE]&lt;60,"30-60 days","More than 60 days"))</f>
        <v>More than 60 days</v>
      </c>
      <c r="S401" t="s">
        <v>818</v>
      </c>
      <c r="U401" s="7" t="s">
        <v>3699</v>
      </c>
    </row>
    <row r="402" spans="1:21" x14ac:dyDescent="0.3">
      <c r="A402" s="14" t="s">
        <v>2146</v>
      </c>
      <c r="B402" t="s">
        <v>32</v>
      </c>
      <c r="C402" t="s">
        <v>98</v>
      </c>
      <c r="D402">
        <v>1</v>
      </c>
      <c r="E402" s="7">
        <v>140.25</v>
      </c>
      <c r="F402">
        <v>31899303</v>
      </c>
      <c r="J402" t="s">
        <v>2256</v>
      </c>
      <c r="K402" t="s">
        <v>3</v>
      </c>
      <c r="L402" s="2">
        <v>43191</v>
      </c>
      <c r="M402" s="2">
        <f>DOCXX[[#This Row],[INV DOC DATE]]+30</f>
        <v>43221</v>
      </c>
      <c r="N402" s="2">
        <v>43244</v>
      </c>
      <c r="O402" s="7">
        <v>140.25</v>
      </c>
      <c r="P402" s="2">
        <v>43255</v>
      </c>
      <c r="Q402" s="7">
        <f>$E402-$O402</f>
        <v>0</v>
      </c>
      <c r="R402" s="7" t="str">
        <f ca="1">IF(TODAY() - DOCXX[INV DUE DATE]&lt;30, "Less than 30 days",IF(TODAY()-DOCXX[INV DUE DATE]&lt;60,"30-60 days","More than 60 days"))</f>
        <v>More than 60 days</v>
      </c>
      <c r="S402" t="s">
        <v>818</v>
      </c>
      <c r="U402" s="7" t="s">
        <v>3699</v>
      </c>
    </row>
    <row r="403" spans="1:21" x14ac:dyDescent="0.3">
      <c r="A403" s="14" t="s">
        <v>2146</v>
      </c>
      <c r="B403" t="s">
        <v>32</v>
      </c>
      <c r="C403" t="s">
        <v>99</v>
      </c>
      <c r="D403">
        <v>1</v>
      </c>
      <c r="E403" s="7">
        <v>140.25</v>
      </c>
      <c r="F403">
        <v>31899304</v>
      </c>
      <c r="J403" t="s">
        <v>2256</v>
      </c>
      <c r="K403" t="s">
        <v>3</v>
      </c>
      <c r="L403" s="2">
        <v>43191</v>
      </c>
      <c r="M403" s="2">
        <f>DOCXX[[#This Row],[INV DOC DATE]]+30</f>
        <v>43221</v>
      </c>
      <c r="N403" s="2">
        <v>43244</v>
      </c>
      <c r="O403" s="7">
        <v>140.25</v>
      </c>
      <c r="P403" s="2">
        <v>43255</v>
      </c>
      <c r="Q403" s="7">
        <f>$E403-$O403</f>
        <v>0</v>
      </c>
      <c r="R403" s="7" t="str">
        <f ca="1">IF(TODAY() - DOCXX[INV DUE DATE]&lt;30, "Less than 30 days",IF(TODAY()-DOCXX[INV DUE DATE]&lt;60,"30-60 days","More than 60 days"))</f>
        <v>More than 60 days</v>
      </c>
      <c r="S403" t="s">
        <v>818</v>
      </c>
      <c r="U403" s="7" t="s">
        <v>3699</v>
      </c>
    </row>
    <row r="404" spans="1:21" x14ac:dyDescent="0.3">
      <c r="A404" s="14" t="s">
        <v>2146</v>
      </c>
      <c r="B404" t="s">
        <v>32</v>
      </c>
      <c r="C404" t="s">
        <v>100</v>
      </c>
      <c r="D404">
        <v>1</v>
      </c>
      <c r="E404" s="7">
        <v>149.6</v>
      </c>
      <c r="F404">
        <v>31899307</v>
      </c>
      <c r="J404" t="s">
        <v>2256</v>
      </c>
      <c r="K404" t="s">
        <v>3</v>
      </c>
      <c r="L404" s="2">
        <v>43191</v>
      </c>
      <c r="M404" s="2">
        <f>DOCXX[[#This Row],[INV DOC DATE]]+30</f>
        <v>43221</v>
      </c>
      <c r="N404" s="2">
        <v>43244</v>
      </c>
      <c r="O404" s="7">
        <v>149.6</v>
      </c>
      <c r="P404" s="2">
        <v>43255</v>
      </c>
      <c r="Q404" s="7">
        <f>$E404-$O404</f>
        <v>0</v>
      </c>
      <c r="R404" s="7" t="str">
        <f ca="1">IF(TODAY() - DOCXX[INV DUE DATE]&lt;30, "Less than 30 days",IF(TODAY()-DOCXX[INV DUE DATE]&lt;60,"30-60 days","More than 60 days"))</f>
        <v>More than 60 days</v>
      </c>
      <c r="S404" t="s">
        <v>818</v>
      </c>
      <c r="U404" s="7" t="s">
        <v>3699</v>
      </c>
    </row>
    <row r="405" spans="1:21" x14ac:dyDescent="0.3">
      <c r="A405" s="14" t="s">
        <v>2146</v>
      </c>
      <c r="B405" t="s">
        <v>32</v>
      </c>
      <c r="C405" t="s">
        <v>101</v>
      </c>
      <c r="D405">
        <v>1</v>
      </c>
      <c r="E405" s="7">
        <v>187</v>
      </c>
      <c r="F405">
        <v>31899308</v>
      </c>
      <c r="J405" t="s">
        <v>2256</v>
      </c>
      <c r="K405" t="s">
        <v>3</v>
      </c>
      <c r="L405" s="2">
        <v>43191</v>
      </c>
      <c r="M405" s="2">
        <f>DOCXX[[#This Row],[INV DOC DATE]]+30</f>
        <v>43221</v>
      </c>
      <c r="N405" s="2">
        <v>43244</v>
      </c>
      <c r="O405" s="7">
        <v>187</v>
      </c>
      <c r="P405" s="2">
        <v>43255</v>
      </c>
      <c r="Q405" s="7">
        <f>$E405-$O405</f>
        <v>0</v>
      </c>
      <c r="R405" s="7" t="str">
        <f ca="1">IF(TODAY() - DOCXX[INV DUE DATE]&lt;30, "Less than 30 days",IF(TODAY()-DOCXX[INV DUE DATE]&lt;60,"30-60 days","More than 60 days"))</f>
        <v>More than 60 days</v>
      </c>
      <c r="S405" t="s">
        <v>818</v>
      </c>
      <c r="U405" s="7" t="s">
        <v>3699</v>
      </c>
    </row>
    <row r="406" spans="1:21" x14ac:dyDescent="0.3">
      <c r="A406" s="14" t="s">
        <v>2146</v>
      </c>
      <c r="B406" t="s">
        <v>32</v>
      </c>
      <c r="C406" t="s">
        <v>102</v>
      </c>
      <c r="D406">
        <v>1</v>
      </c>
      <c r="E406" s="7">
        <v>130.9</v>
      </c>
      <c r="F406">
        <v>31920271</v>
      </c>
      <c r="J406" t="s">
        <v>2256</v>
      </c>
      <c r="K406" t="s">
        <v>3</v>
      </c>
      <c r="L406" s="2">
        <v>43191</v>
      </c>
      <c r="M406" s="2">
        <f>DOCXX[[#This Row],[INV DOC DATE]]+30</f>
        <v>43221</v>
      </c>
      <c r="N406" s="2">
        <v>43244</v>
      </c>
      <c r="O406" s="7">
        <v>130.9</v>
      </c>
      <c r="P406" s="2">
        <v>43255</v>
      </c>
      <c r="Q406" s="7">
        <f>$E406-$O406</f>
        <v>0</v>
      </c>
      <c r="R406" s="7" t="str">
        <f ca="1">IF(TODAY() - DOCXX[INV DUE DATE]&lt;30, "Less than 30 days",IF(TODAY()-DOCXX[INV DUE DATE]&lt;60,"30-60 days","More than 60 days"))</f>
        <v>More than 60 days</v>
      </c>
      <c r="S406" t="s">
        <v>818</v>
      </c>
      <c r="U406" s="7" t="s">
        <v>3699</v>
      </c>
    </row>
    <row r="407" spans="1:21" x14ac:dyDescent="0.3">
      <c r="A407" s="14" t="s">
        <v>2146</v>
      </c>
      <c r="B407" t="s">
        <v>32</v>
      </c>
      <c r="C407" t="s">
        <v>103</v>
      </c>
      <c r="D407">
        <v>1</v>
      </c>
      <c r="E407" s="7">
        <v>112.2</v>
      </c>
      <c r="F407">
        <v>31921066</v>
      </c>
      <c r="J407" t="s">
        <v>2256</v>
      </c>
      <c r="K407" t="s">
        <v>3</v>
      </c>
      <c r="L407" s="2">
        <v>43191</v>
      </c>
      <c r="M407" s="2">
        <f>DOCXX[[#This Row],[INV DOC DATE]]+30</f>
        <v>43221</v>
      </c>
      <c r="N407" s="2">
        <v>43244</v>
      </c>
      <c r="O407" s="7">
        <v>112.2</v>
      </c>
      <c r="P407" s="2">
        <v>43255</v>
      </c>
      <c r="Q407" s="7">
        <f>$E407-$O407</f>
        <v>0</v>
      </c>
      <c r="R407" s="7" t="str">
        <f ca="1">IF(TODAY() - DOCXX[INV DUE DATE]&lt;30, "Less than 30 days",IF(TODAY()-DOCXX[INV DUE DATE]&lt;60,"30-60 days","More than 60 days"))</f>
        <v>More than 60 days</v>
      </c>
      <c r="S407" t="s">
        <v>818</v>
      </c>
      <c r="U407" s="7" t="s">
        <v>3699</v>
      </c>
    </row>
    <row r="408" spans="1:21" x14ac:dyDescent="0.3">
      <c r="A408" s="14" t="s">
        <v>2146</v>
      </c>
      <c r="B408" t="s">
        <v>32</v>
      </c>
      <c r="C408" t="s">
        <v>104</v>
      </c>
      <c r="D408">
        <v>1</v>
      </c>
      <c r="E408" s="7">
        <v>140.25</v>
      </c>
      <c r="F408">
        <v>31932184</v>
      </c>
      <c r="J408" t="s">
        <v>2256</v>
      </c>
      <c r="K408" t="s">
        <v>3</v>
      </c>
      <c r="L408" s="2">
        <v>43191</v>
      </c>
      <c r="M408" s="2">
        <f>DOCXX[[#This Row],[INV DOC DATE]]+30</f>
        <v>43221</v>
      </c>
      <c r="N408" s="2">
        <v>43244</v>
      </c>
      <c r="O408" s="7">
        <v>140.25</v>
      </c>
      <c r="P408" s="2">
        <v>43255</v>
      </c>
      <c r="Q408" s="7">
        <f>$E408-$O408</f>
        <v>0</v>
      </c>
      <c r="R408" s="7" t="str">
        <f ca="1">IF(TODAY() - DOCXX[INV DUE DATE]&lt;30, "Less than 30 days",IF(TODAY()-DOCXX[INV DUE DATE]&lt;60,"30-60 days","More than 60 days"))</f>
        <v>More than 60 days</v>
      </c>
      <c r="S408" t="s">
        <v>818</v>
      </c>
      <c r="U408" s="7" t="s">
        <v>3699</v>
      </c>
    </row>
    <row r="409" spans="1:21" x14ac:dyDescent="0.3">
      <c r="A409" s="14" t="s">
        <v>2146</v>
      </c>
      <c r="B409" t="s">
        <v>32</v>
      </c>
      <c r="C409" t="s">
        <v>105</v>
      </c>
      <c r="D409">
        <v>1</v>
      </c>
      <c r="E409" s="7">
        <v>65.45</v>
      </c>
      <c r="F409">
        <v>31933540</v>
      </c>
      <c r="J409" t="s">
        <v>2256</v>
      </c>
      <c r="K409" t="s">
        <v>3</v>
      </c>
      <c r="L409" s="2">
        <v>43191</v>
      </c>
      <c r="M409" s="2">
        <f>DOCXX[[#This Row],[INV DOC DATE]]+30</f>
        <v>43221</v>
      </c>
      <c r="N409" s="2">
        <v>43244</v>
      </c>
      <c r="O409" s="7">
        <v>65.45</v>
      </c>
      <c r="P409" s="2">
        <v>43255</v>
      </c>
      <c r="Q409" s="7">
        <f>$E409-$O409</f>
        <v>0</v>
      </c>
      <c r="R409" s="7" t="str">
        <f ca="1">IF(TODAY() - DOCXX[INV DUE DATE]&lt;30, "Less than 30 days",IF(TODAY()-DOCXX[INV DUE DATE]&lt;60,"30-60 days","More than 60 days"))</f>
        <v>More than 60 days</v>
      </c>
      <c r="S409" t="s">
        <v>818</v>
      </c>
      <c r="U409" s="7" t="s">
        <v>3699</v>
      </c>
    </row>
    <row r="410" spans="1:21" x14ac:dyDescent="0.3">
      <c r="A410" s="14" t="s">
        <v>2146</v>
      </c>
      <c r="B410" t="s">
        <v>32</v>
      </c>
      <c r="C410" t="s">
        <v>106</v>
      </c>
      <c r="D410">
        <v>1</v>
      </c>
      <c r="E410" s="7">
        <v>121.55</v>
      </c>
      <c r="F410">
        <v>31935373</v>
      </c>
      <c r="J410" t="s">
        <v>2256</v>
      </c>
      <c r="K410" t="s">
        <v>3</v>
      </c>
      <c r="L410" s="2">
        <v>43191</v>
      </c>
      <c r="M410" s="2">
        <f>DOCXX[[#This Row],[INV DOC DATE]]+30</f>
        <v>43221</v>
      </c>
      <c r="N410" s="2">
        <v>43244</v>
      </c>
      <c r="O410" s="7">
        <v>121.55</v>
      </c>
      <c r="P410" s="2">
        <v>43255</v>
      </c>
      <c r="Q410" s="7">
        <f>$E410-$O410</f>
        <v>0</v>
      </c>
      <c r="R410" s="7" t="str">
        <f ca="1">IF(TODAY() - DOCXX[INV DUE DATE]&lt;30, "Less than 30 days",IF(TODAY()-DOCXX[INV DUE DATE]&lt;60,"30-60 days","More than 60 days"))</f>
        <v>More than 60 days</v>
      </c>
      <c r="S410" t="s">
        <v>818</v>
      </c>
      <c r="U410" s="7" t="s">
        <v>3699</v>
      </c>
    </row>
    <row r="411" spans="1:21" x14ac:dyDescent="0.3">
      <c r="A411" s="14" t="s">
        <v>2146</v>
      </c>
      <c r="B411" t="s">
        <v>32</v>
      </c>
      <c r="C411" t="s">
        <v>107</v>
      </c>
      <c r="D411">
        <v>1</v>
      </c>
      <c r="E411" s="7">
        <v>130.9</v>
      </c>
      <c r="F411">
        <v>31935710</v>
      </c>
      <c r="J411" t="s">
        <v>2256</v>
      </c>
      <c r="K411" t="s">
        <v>3</v>
      </c>
      <c r="L411" s="2">
        <v>43191</v>
      </c>
      <c r="M411" s="2">
        <f>DOCXX[[#This Row],[INV DOC DATE]]+30</f>
        <v>43221</v>
      </c>
      <c r="N411" s="2">
        <v>43244</v>
      </c>
      <c r="O411" s="7">
        <v>130.9</v>
      </c>
      <c r="P411" s="2">
        <v>43255</v>
      </c>
      <c r="Q411" s="7">
        <f>$E411-$O411</f>
        <v>0</v>
      </c>
      <c r="R411" s="7" t="str">
        <f ca="1">IF(TODAY() - DOCXX[INV DUE DATE]&lt;30, "Less than 30 days",IF(TODAY()-DOCXX[INV DUE DATE]&lt;60,"30-60 days","More than 60 days"))</f>
        <v>More than 60 days</v>
      </c>
      <c r="S411" t="s">
        <v>818</v>
      </c>
      <c r="U411" s="7" t="s">
        <v>3699</v>
      </c>
    </row>
    <row r="412" spans="1:21" x14ac:dyDescent="0.3">
      <c r="A412" s="14" t="s">
        <v>2146</v>
      </c>
      <c r="B412" t="s">
        <v>32</v>
      </c>
      <c r="C412" t="s">
        <v>108</v>
      </c>
      <c r="D412">
        <v>1</v>
      </c>
      <c r="E412" s="7">
        <v>112.2</v>
      </c>
      <c r="F412">
        <v>31935712</v>
      </c>
      <c r="J412" t="s">
        <v>2256</v>
      </c>
      <c r="K412" t="s">
        <v>3</v>
      </c>
      <c r="L412" s="2">
        <v>43191</v>
      </c>
      <c r="M412" s="2">
        <f>DOCXX[[#This Row],[INV DOC DATE]]+30</f>
        <v>43221</v>
      </c>
      <c r="N412" s="2">
        <v>43244</v>
      </c>
      <c r="O412" s="7">
        <v>112.2</v>
      </c>
      <c r="P412" s="2">
        <v>43255</v>
      </c>
      <c r="Q412" s="7">
        <f>$E412-$O412</f>
        <v>0</v>
      </c>
      <c r="R412" s="7" t="str">
        <f ca="1">IF(TODAY() - DOCXX[INV DUE DATE]&lt;30, "Less than 30 days",IF(TODAY()-DOCXX[INV DUE DATE]&lt;60,"30-60 days","More than 60 days"))</f>
        <v>More than 60 days</v>
      </c>
      <c r="S412" t="s">
        <v>818</v>
      </c>
      <c r="U412" s="7" t="s">
        <v>3699</v>
      </c>
    </row>
    <row r="413" spans="1:21" x14ac:dyDescent="0.3">
      <c r="A413" s="14" t="s">
        <v>2146</v>
      </c>
      <c r="B413" t="s">
        <v>32</v>
      </c>
      <c r="C413" t="s">
        <v>109</v>
      </c>
      <c r="D413">
        <v>1</v>
      </c>
      <c r="E413" s="7">
        <v>46.75</v>
      </c>
      <c r="F413">
        <v>31942811</v>
      </c>
      <c r="J413" t="s">
        <v>2256</v>
      </c>
      <c r="K413" t="s">
        <v>3</v>
      </c>
      <c r="L413" s="2">
        <v>43191</v>
      </c>
      <c r="M413" s="2">
        <f>DOCXX[[#This Row],[INV DOC DATE]]+30</f>
        <v>43221</v>
      </c>
      <c r="N413" s="2">
        <v>43244</v>
      </c>
      <c r="O413" s="7">
        <v>46.75</v>
      </c>
      <c r="P413" s="2">
        <v>43255</v>
      </c>
      <c r="Q413" s="7">
        <f>$E413-$O413</f>
        <v>0</v>
      </c>
      <c r="R413" s="7" t="str">
        <f ca="1">IF(TODAY() - DOCXX[INV DUE DATE]&lt;30, "Less than 30 days",IF(TODAY()-DOCXX[INV DUE DATE]&lt;60,"30-60 days","More than 60 days"))</f>
        <v>More than 60 days</v>
      </c>
      <c r="S413" t="s">
        <v>818</v>
      </c>
      <c r="U413" s="7" t="s">
        <v>3699</v>
      </c>
    </row>
    <row r="414" spans="1:21" x14ac:dyDescent="0.3">
      <c r="A414" s="14" t="s">
        <v>2146</v>
      </c>
      <c r="B414" t="s">
        <v>32</v>
      </c>
      <c r="C414" t="s">
        <v>110</v>
      </c>
      <c r="D414">
        <v>1</v>
      </c>
      <c r="E414" s="7">
        <v>18.7</v>
      </c>
      <c r="F414">
        <v>31944807</v>
      </c>
      <c r="J414" t="s">
        <v>2256</v>
      </c>
      <c r="K414" t="s">
        <v>3</v>
      </c>
      <c r="L414" s="2">
        <v>43191</v>
      </c>
      <c r="M414" s="2">
        <f>DOCXX[[#This Row],[INV DOC DATE]]+30</f>
        <v>43221</v>
      </c>
      <c r="N414" s="2">
        <v>43244</v>
      </c>
      <c r="O414" s="7">
        <v>18.7</v>
      </c>
      <c r="P414" s="2">
        <v>43255</v>
      </c>
      <c r="Q414" s="7">
        <f>$E414-$O414</f>
        <v>0</v>
      </c>
      <c r="R414" s="7" t="str">
        <f ca="1">IF(TODAY() - DOCXX[INV DUE DATE]&lt;30, "Less than 30 days",IF(TODAY()-DOCXX[INV DUE DATE]&lt;60,"30-60 days","More than 60 days"))</f>
        <v>More than 60 days</v>
      </c>
      <c r="S414" t="s">
        <v>818</v>
      </c>
      <c r="U414" s="7" t="s">
        <v>3699</v>
      </c>
    </row>
    <row r="415" spans="1:21" x14ac:dyDescent="0.3">
      <c r="A415" s="14" t="s">
        <v>2146</v>
      </c>
      <c r="B415" t="s">
        <v>32</v>
      </c>
      <c r="C415" t="s">
        <v>111</v>
      </c>
      <c r="D415">
        <v>1</v>
      </c>
      <c r="E415" s="7">
        <v>74.8</v>
      </c>
      <c r="F415">
        <v>31945969</v>
      </c>
      <c r="J415" t="s">
        <v>2256</v>
      </c>
      <c r="K415" t="s">
        <v>3</v>
      </c>
      <c r="L415" s="2">
        <v>43191</v>
      </c>
      <c r="M415" s="2">
        <f>DOCXX[[#This Row],[INV DOC DATE]]+30</f>
        <v>43221</v>
      </c>
      <c r="N415" s="2">
        <v>43244</v>
      </c>
      <c r="O415" s="7">
        <v>74.8</v>
      </c>
      <c r="P415" s="2">
        <v>43255</v>
      </c>
      <c r="Q415" s="7">
        <f>$E415-$O415</f>
        <v>0</v>
      </c>
      <c r="R415" s="7" t="str">
        <f ca="1">IF(TODAY() - DOCXX[INV DUE DATE]&lt;30, "Less than 30 days",IF(TODAY()-DOCXX[INV DUE DATE]&lt;60,"30-60 days","More than 60 days"))</f>
        <v>More than 60 days</v>
      </c>
      <c r="S415" t="s">
        <v>818</v>
      </c>
      <c r="U415" s="7" t="s">
        <v>3699</v>
      </c>
    </row>
    <row r="416" spans="1:21" x14ac:dyDescent="0.3">
      <c r="A416" s="14" t="s">
        <v>2146</v>
      </c>
      <c r="B416" t="s">
        <v>32</v>
      </c>
      <c r="C416" t="s">
        <v>112</v>
      </c>
      <c r="D416">
        <v>1</v>
      </c>
      <c r="E416" s="7">
        <v>18.7</v>
      </c>
      <c r="F416">
        <v>31993483</v>
      </c>
      <c r="J416" t="s">
        <v>2256</v>
      </c>
      <c r="K416" t="s">
        <v>3</v>
      </c>
      <c r="L416" s="2">
        <v>43191</v>
      </c>
      <c r="M416" s="2">
        <f>DOCXX[[#This Row],[INV DOC DATE]]+30</f>
        <v>43221</v>
      </c>
      <c r="N416" s="2">
        <v>43244</v>
      </c>
      <c r="O416" s="7">
        <v>18.7</v>
      </c>
      <c r="P416" s="2">
        <v>43255</v>
      </c>
      <c r="Q416" s="7">
        <f>$E416-$O416</f>
        <v>0</v>
      </c>
      <c r="R416" s="7" t="str">
        <f ca="1">IF(TODAY() - DOCXX[INV DUE DATE]&lt;30, "Less than 30 days",IF(TODAY()-DOCXX[INV DUE DATE]&lt;60,"30-60 days","More than 60 days"))</f>
        <v>More than 60 days</v>
      </c>
      <c r="S416" t="s">
        <v>818</v>
      </c>
      <c r="U416" s="7" t="s">
        <v>3699</v>
      </c>
    </row>
    <row r="417" spans="1:21" x14ac:dyDescent="0.3">
      <c r="A417" s="14" t="s">
        <v>2146</v>
      </c>
      <c r="B417" t="s">
        <v>32</v>
      </c>
      <c r="C417" t="s">
        <v>113</v>
      </c>
      <c r="D417">
        <v>1</v>
      </c>
      <c r="E417" s="7">
        <v>18.7</v>
      </c>
      <c r="F417">
        <v>32002914</v>
      </c>
      <c r="J417" t="s">
        <v>2256</v>
      </c>
      <c r="K417" t="s">
        <v>3</v>
      </c>
      <c r="L417" s="2">
        <v>43191</v>
      </c>
      <c r="M417" s="2">
        <f>DOCXX[[#This Row],[INV DOC DATE]]+30</f>
        <v>43221</v>
      </c>
      <c r="N417" s="2">
        <v>43244</v>
      </c>
      <c r="O417" s="7">
        <v>18.7</v>
      </c>
      <c r="P417" s="2">
        <v>43255</v>
      </c>
      <c r="Q417" s="7">
        <f>$E417-$O417</f>
        <v>0</v>
      </c>
      <c r="R417" s="7" t="str">
        <f ca="1">IF(TODAY() - DOCXX[INV DUE DATE]&lt;30, "Less than 30 days",IF(TODAY()-DOCXX[INV DUE DATE]&lt;60,"30-60 days","More than 60 days"))</f>
        <v>More than 60 days</v>
      </c>
      <c r="S417" t="s">
        <v>818</v>
      </c>
      <c r="U417" s="7" t="s">
        <v>3699</v>
      </c>
    </row>
    <row r="418" spans="1:21" x14ac:dyDescent="0.3">
      <c r="A418" s="14" t="s">
        <v>2146</v>
      </c>
      <c r="B418" t="s">
        <v>32</v>
      </c>
      <c r="C418" t="s">
        <v>115</v>
      </c>
      <c r="D418">
        <v>1</v>
      </c>
      <c r="E418" s="7">
        <v>289.85000000000002</v>
      </c>
      <c r="F418">
        <v>28740310</v>
      </c>
      <c r="J418" t="s">
        <v>2256</v>
      </c>
      <c r="K418" t="s">
        <v>3</v>
      </c>
      <c r="L418" s="2">
        <v>43191</v>
      </c>
      <c r="M418" s="2">
        <f>DOCXX[[#This Row],[INV DOC DATE]]+30</f>
        <v>43221</v>
      </c>
      <c r="N418" s="2">
        <v>43244</v>
      </c>
      <c r="O418" s="7">
        <v>289.85000000000002</v>
      </c>
      <c r="P418" s="2">
        <v>43255</v>
      </c>
      <c r="Q418" s="7">
        <f>$E418-$O418</f>
        <v>0</v>
      </c>
      <c r="R418" s="7" t="str">
        <f ca="1">IF(TODAY() - DOCXX[INV DUE DATE]&lt;30, "Less than 30 days",IF(TODAY()-DOCXX[INV DUE DATE]&lt;60,"30-60 days","More than 60 days"))</f>
        <v>More than 60 days</v>
      </c>
      <c r="S418" t="s">
        <v>818</v>
      </c>
      <c r="U418" s="7" t="s">
        <v>3699</v>
      </c>
    </row>
    <row r="419" spans="1:21" x14ac:dyDescent="0.3">
      <c r="A419" s="14" t="s">
        <v>2146</v>
      </c>
      <c r="B419" t="s">
        <v>32</v>
      </c>
      <c r="C419" t="s">
        <v>116</v>
      </c>
      <c r="D419">
        <v>1</v>
      </c>
      <c r="E419" s="7">
        <v>289.85000000000002</v>
      </c>
      <c r="F419">
        <v>31723038</v>
      </c>
      <c r="J419" t="s">
        <v>2256</v>
      </c>
      <c r="K419" t="s">
        <v>3</v>
      </c>
      <c r="L419" s="2">
        <v>43191</v>
      </c>
      <c r="M419" s="2">
        <f>DOCXX[[#This Row],[INV DOC DATE]]+30</f>
        <v>43221</v>
      </c>
      <c r="N419" s="2">
        <v>43244</v>
      </c>
      <c r="O419" s="7">
        <v>289.85000000000002</v>
      </c>
      <c r="P419" s="2">
        <v>43255</v>
      </c>
      <c r="Q419" s="7">
        <f>$E419-$O419</f>
        <v>0</v>
      </c>
      <c r="R419" s="7" t="str">
        <f ca="1">IF(TODAY() - DOCXX[INV DUE DATE]&lt;30, "Less than 30 days",IF(TODAY()-DOCXX[INV DUE DATE]&lt;60,"30-60 days","More than 60 days"))</f>
        <v>More than 60 days</v>
      </c>
      <c r="S419" t="s">
        <v>818</v>
      </c>
      <c r="U419" s="7" t="s">
        <v>3699</v>
      </c>
    </row>
    <row r="420" spans="1:21" x14ac:dyDescent="0.3">
      <c r="A420" s="14" t="s">
        <v>2146</v>
      </c>
      <c r="B420" t="s">
        <v>32</v>
      </c>
      <c r="C420" t="s">
        <v>117</v>
      </c>
      <c r="D420">
        <v>1</v>
      </c>
      <c r="E420" s="7">
        <v>289.85000000000002</v>
      </c>
      <c r="F420">
        <v>30788780</v>
      </c>
      <c r="J420" t="s">
        <v>2256</v>
      </c>
      <c r="K420" t="s">
        <v>3</v>
      </c>
      <c r="L420" s="2">
        <v>43191</v>
      </c>
      <c r="M420" s="2">
        <f>DOCXX[[#This Row],[INV DOC DATE]]+30</f>
        <v>43221</v>
      </c>
      <c r="N420" s="2">
        <v>43244</v>
      </c>
      <c r="O420" s="7">
        <v>289.85000000000002</v>
      </c>
      <c r="P420" s="2">
        <v>43255</v>
      </c>
      <c r="Q420" s="7">
        <f>$E420-$O420</f>
        <v>0</v>
      </c>
      <c r="R420" s="7" t="str">
        <f ca="1">IF(TODAY() - DOCXX[INV DUE DATE]&lt;30, "Less than 30 days",IF(TODAY()-DOCXX[INV DUE DATE]&lt;60,"30-60 days","More than 60 days"))</f>
        <v>More than 60 days</v>
      </c>
      <c r="S420" t="s">
        <v>818</v>
      </c>
      <c r="U420" s="7" t="s">
        <v>3699</v>
      </c>
    </row>
    <row r="421" spans="1:21" x14ac:dyDescent="0.3">
      <c r="A421" s="14" t="s">
        <v>2146</v>
      </c>
      <c r="B421" t="s">
        <v>32</v>
      </c>
      <c r="C421" t="s">
        <v>118</v>
      </c>
      <c r="D421">
        <v>1</v>
      </c>
      <c r="E421" s="7">
        <v>289.85000000000002</v>
      </c>
      <c r="F421">
        <v>28519379</v>
      </c>
      <c r="J421" t="s">
        <v>2256</v>
      </c>
      <c r="K421" t="s">
        <v>3</v>
      </c>
      <c r="L421" s="2">
        <v>43191</v>
      </c>
      <c r="M421" s="2">
        <f>DOCXX[[#This Row],[INV DOC DATE]]+30</f>
        <v>43221</v>
      </c>
      <c r="N421" s="2">
        <v>43244</v>
      </c>
      <c r="O421" s="7">
        <v>289.85000000000002</v>
      </c>
      <c r="P421" s="2">
        <v>43255</v>
      </c>
      <c r="Q421" s="7">
        <f>$E421-$O421</f>
        <v>0</v>
      </c>
      <c r="R421" s="7" t="str">
        <f ca="1">IF(TODAY() - DOCXX[INV DUE DATE]&lt;30, "Less than 30 days",IF(TODAY()-DOCXX[INV DUE DATE]&lt;60,"30-60 days","More than 60 days"))</f>
        <v>More than 60 days</v>
      </c>
      <c r="S421" t="s">
        <v>818</v>
      </c>
      <c r="U421" s="7" t="s">
        <v>3699</v>
      </c>
    </row>
    <row r="422" spans="1:21" x14ac:dyDescent="0.3">
      <c r="A422" s="14" t="s">
        <v>2146</v>
      </c>
      <c r="B422" t="s">
        <v>32</v>
      </c>
      <c r="C422" t="s">
        <v>119</v>
      </c>
      <c r="D422">
        <v>1</v>
      </c>
      <c r="E422" s="7">
        <v>289.85000000000002</v>
      </c>
      <c r="F422">
        <v>31460449</v>
      </c>
      <c r="J422" t="s">
        <v>2256</v>
      </c>
      <c r="K422" t="s">
        <v>3</v>
      </c>
      <c r="L422" s="2">
        <v>43191</v>
      </c>
      <c r="M422" s="2">
        <f>DOCXX[[#This Row],[INV DOC DATE]]+30</f>
        <v>43221</v>
      </c>
      <c r="N422" s="2">
        <v>43244</v>
      </c>
      <c r="O422" s="7">
        <v>289.85000000000002</v>
      </c>
      <c r="P422" s="2">
        <v>43255</v>
      </c>
      <c r="Q422" s="7">
        <f>$E422-$O422</f>
        <v>0</v>
      </c>
      <c r="R422" s="7" t="str">
        <f ca="1">IF(TODAY() - DOCXX[INV DUE DATE]&lt;30, "Less than 30 days",IF(TODAY()-DOCXX[INV DUE DATE]&lt;60,"30-60 days","More than 60 days"))</f>
        <v>More than 60 days</v>
      </c>
      <c r="S422" t="s">
        <v>818</v>
      </c>
      <c r="U422" s="7" t="s">
        <v>3699</v>
      </c>
    </row>
    <row r="423" spans="1:21" x14ac:dyDescent="0.3">
      <c r="A423" s="14" t="s">
        <v>2146</v>
      </c>
      <c r="B423" t="s">
        <v>32</v>
      </c>
      <c r="C423" t="s">
        <v>120</v>
      </c>
      <c r="D423">
        <v>1</v>
      </c>
      <c r="E423" s="7">
        <v>289.85000000000002</v>
      </c>
      <c r="F423">
        <v>27656369</v>
      </c>
      <c r="J423" t="s">
        <v>2256</v>
      </c>
      <c r="K423" t="s">
        <v>3</v>
      </c>
      <c r="L423" s="2">
        <v>43191</v>
      </c>
      <c r="M423" s="2">
        <f>DOCXX[[#This Row],[INV DOC DATE]]+30</f>
        <v>43221</v>
      </c>
      <c r="N423" s="2">
        <v>43244</v>
      </c>
      <c r="O423" s="7">
        <v>289.85000000000002</v>
      </c>
      <c r="P423" s="2">
        <v>43255</v>
      </c>
      <c r="Q423" s="7">
        <f>$E423-$O423</f>
        <v>0</v>
      </c>
      <c r="R423" s="7" t="str">
        <f ca="1">IF(TODAY() - DOCXX[INV DUE DATE]&lt;30, "Less than 30 days",IF(TODAY()-DOCXX[INV DUE DATE]&lt;60,"30-60 days","More than 60 days"))</f>
        <v>More than 60 days</v>
      </c>
      <c r="S423" t="s">
        <v>818</v>
      </c>
      <c r="U423" s="7" t="s">
        <v>3699</v>
      </c>
    </row>
    <row r="424" spans="1:21" x14ac:dyDescent="0.3">
      <c r="A424" s="14" t="s">
        <v>2146</v>
      </c>
      <c r="B424" t="s">
        <v>32</v>
      </c>
      <c r="C424" t="s">
        <v>121</v>
      </c>
      <c r="D424">
        <v>1</v>
      </c>
      <c r="E424" s="7">
        <v>289.85000000000002</v>
      </c>
      <c r="F424">
        <v>27920795</v>
      </c>
      <c r="J424" t="s">
        <v>2256</v>
      </c>
      <c r="K424" t="s">
        <v>3</v>
      </c>
      <c r="L424" s="2">
        <v>43191</v>
      </c>
      <c r="M424" s="2">
        <f>DOCXX[[#This Row],[INV DOC DATE]]+30</f>
        <v>43221</v>
      </c>
      <c r="N424" s="2">
        <v>43244</v>
      </c>
      <c r="O424" s="7">
        <v>289.85000000000002</v>
      </c>
      <c r="P424" s="2">
        <v>43255</v>
      </c>
      <c r="Q424" s="7">
        <f>$E424-$O424</f>
        <v>0</v>
      </c>
      <c r="R424" s="7" t="str">
        <f ca="1">IF(TODAY() - DOCXX[INV DUE DATE]&lt;30, "Less than 30 days",IF(TODAY()-DOCXX[INV DUE DATE]&lt;60,"30-60 days","More than 60 days"))</f>
        <v>More than 60 days</v>
      </c>
      <c r="S424" t="s">
        <v>818</v>
      </c>
      <c r="U424" s="7" t="s">
        <v>3699</v>
      </c>
    </row>
    <row r="425" spans="1:21" x14ac:dyDescent="0.3">
      <c r="A425" s="14" t="s">
        <v>2146</v>
      </c>
      <c r="B425" t="s">
        <v>32</v>
      </c>
      <c r="C425" t="s">
        <v>122</v>
      </c>
      <c r="D425">
        <v>1</v>
      </c>
      <c r="E425" s="7">
        <v>289.85000000000002</v>
      </c>
      <c r="F425">
        <v>27609137</v>
      </c>
      <c r="J425" t="s">
        <v>2256</v>
      </c>
      <c r="K425" t="s">
        <v>3</v>
      </c>
      <c r="L425" s="2">
        <v>43191</v>
      </c>
      <c r="M425" s="2">
        <f>DOCXX[[#This Row],[INV DOC DATE]]+30</f>
        <v>43221</v>
      </c>
      <c r="N425" s="2">
        <v>43244</v>
      </c>
      <c r="O425" s="7">
        <v>289.85000000000002</v>
      </c>
      <c r="P425" s="2">
        <v>43255</v>
      </c>
      <c r="Q425" s="7">
        <f>$E425-$O425</f>
        <v>0</v>
      </c>
      <c r="R425" s="7" t="str">
        <f ca="1">IF(TODAY() - DOCXX[INV DUE DATE]&lt;30, "Less than 30 days",IF(TODAY()-DOCXX[INV DUE DATE]&lt;60,"30-60 days","More than 60 days"))</f>
        <v>More than 60 days</v>
      </c>
      <c r="S425" t="s">
        <v>818</v>
      </c>
      <c r="U425" s="7" t="s">
        <v>3699</v>
      </c>
    </row>
    <row r="426" spans="1:21" x14ac:dyDescent="0.3">
      <c r="A426" s="14" t="s">
        <v>2146</v>
      </c>
      <c r="B426" t="s">
        <v>32</v>
      </c>
      <c r="C426" t="s">
        <v>123</v>
      </c>
      <c r="D426">
        <v>1</v>
      </c>
      <c r="E426" s="7">
        <v>289.85000000000002</v>
      </c>
      <c r="F426">
        <v>29953891</v>
      </c>
      <c r="J426" t="s">
        <v>2256</v>
      </c>
      <c r="K426" t="s">
        <v>3</v>
      </c>
      <c r="L426" s="2">
        <v>43191</v>
      </c>
      <c r="M426" s="2">
        <f>DOCXX[[#This Row],[INV DOC DATE]]+30</f>
        <v>43221</v>
      </c>
      <c r="N426" s="2">
        <v>43244</v>
      </c>
      <c r="O426" s="7">
        <v>289.85000000000002</v>
      </c>
      <c r="P426" s="2">
        <v>43255</v>
      </c>
      <c r="Q426" s="7">
        <f>$E426-$O426</f>
        <v>0</v>
      </c>
      <c r="R426" s="7" t="str">
        <f ca="1">IF(TODAY() - DOCXX[INV DUE DATE]&lt;30, "Less than 30 days",IF(TODAY()-DOCXX[INV DUE DATE]&lt;60,"30-60 days","More than 60 days"))</f>
        <v>More than 60 days</v>
      </c>
      <c r="S426" t="s">
        <v>818</v>
      </c>
      <c r="U426" s="7" t="s">
        <v>3699</v>
      </c>
    </row>
    <row r="427" spans="1:21" x14ac:dyDescent="0.3">
      <c r="A427" s="14" t="s">
        <v>2146</v>
      </c>
      <c r="B427" t="s">
        <v>32</v>
      </c>
      <c r="C427" t="s">
        <v>124</v>
      </c>
      <c r="D427">
        <v>1</v>
      </c>
      <c r="E427" s="7">
        <v>289.85000000000002</v>
      </c>
      <c r="F427">
        <v>31048611</v>
      </c>
      <c r="J427" t="s">
        <v>2256</v>
      </c>
      <c r="K427" t="s">
        <v>3</v>
      </c>
      <c r="L427" s="2">
        <v>43191</v>
      </c>
      <c r="M427" s="2">
        <f>DOCXX[[#This Row],[INV DOC DATE]]+30</f>
        <v>43221</v>
      </c>
      <c r="N427" s="2">
        <v>43244</v>
      </c>
      <c r="O427" s="7">
        <v>289.85000000000002</v>
      </c>
      <c r="P427" s="2">
        <v>43255</v>
      </c>
      <c r="Q427" s="7">
        <f>$E427-$O427</f>
        <v>0</v>
      </c>
      <c r="R427" s="7" t="str">
        <f ca="1">IF(TODAY() - DOCXX[INV DUE DATE]&lt;30, "Less than 30 days",IF(TODAY()-DOCXX[INV DUE DATE]&lt;60,"30-60 days","More than 60 days"))</f>
        <v>More than 60 days</v>
      </c>
      <c r="S427" t="s">
        <v>818</v>
      </c>
      <c r="U427" s="7" t="s">
        <v>3699</v>
      </c>
    </row>
    <row r="428" spans="1:21" x14ac:dyDescent="0.3">
      <c r="A428" s="14" t="s">
        <v>2146</v>
      </c>
      <c r="B428" t="s">
        <v>32</v>
      </c>
      <c r="C428" t="s">
        <v>125</v>
      </c>
      <c r="D428">
        <v>1</v>
      </c>
      <c r="E428" s="7">
        <v>289.85000000000002</v>
      </c>
      <c r="F428">
        <v>31325411</v>
      </c>
      <c r="J428" t="s">
        <v>2256</v>
      </c>
      <c r="K428" t="s">
        <v>3</v>
      </c>
      <c r="L428" s="2">
        <v>43191</v>
      </c>
      <c r="M428" s="2">
        <f>DOCXX[[#This Row],[INV DOC DATE]]+30</f>
        <v>43221</v>
      </c>
      <c r="N428" s="2">
        <v>43244</v>
      </c>
      <c r="O428" s="7">
        <v>289.85000000000002</v>
      </c>
      <c r="P428" s="2">
        <v>43255</v>
      </c>
      <c r="Q428" s="7">
        <f>$E428-$O428</f>
        <v>0</v>
      </c>
      <c r="R428" s="7" t="str">
        <f ca="1">IF(TODAY() - DOCXX[INV DUE DATE]&lt;30, "Less than 30 days",IF(TODAY()-DOCXX[INV DUE DATE]&lt;60,"30-60 days","More than 60 days"))</f>
        <v>More than 60 days</v>
      </c>
      <c r="S428" t="s">
        <v>818</v>
      </c>
      <c r="U428" s="7" t="s">
        <v>3699</v>
      </c>
    </row>
    <row r="429" spans="1:21" x14ac:dyDescent="0.3">
      <c r="A429" s="14" t="s">
        <v>2146</v>
      </c>
      <c r="B429" t="s">
        <v>32</v>
      </c>
      <c r="C429" t="s">
        <v>126</v>
      </c>
      <c r="D429">
        <v>1</v>
      </c>
      <c r="E429" s="7">
        <v>289.85000000000002</v>
      </c>
      <c r="F429">
        <v>27609136</v>
      </c>
      <c r="J429" t="s">
        <v>2256</v>
      </c>
      <c r="K429" t="s">
        <v>3</v>
      </c>
      <c r="L429" s="2">
        <v>43191</v>
      </c>
      <c r="M429" s="2">
        <f>DOCXX[[#This Row],[INV DOC DATE]]+30</f>
        <v>43221</v>
      </c>
      <c r="N429" s="2">
        <v>43244</v>
      </c>
      <c r="O429" s="7">
        <v>289.85000000000002</v>
      </c>
      <c r="P429" s="2">
        <v>43255</v>
      </c>
      <c r="Q429" s="7">
        <f>$E429-$O429</f>
        <v>0</v>
      </c>
      <c r="R429" s="7" t="str">
        <f ca="1">IF(TODAY() - DOCXX[INV DUE DATE]&lt;30, "Less than 30 days",IF(TODAY()-DOCXX[INV DUE DATE]&lt;60,"30-60 days","More than 60 days"))</f>
        <v>More than 60 days</v>
      </c>
      <c r="S429" t="s">
        <v>818</v>
      </c>
      <c r="U429" s="7" t="s">
        <v>3699</v>
      </c>
    </row>
    <row r="430" spans="1:21" x14ac:dyDescent="0.3">
      <c r="A430" s="14" t="s">
        <v>2146</v>
      </c>
      <c r="B430" t="s">
        <v>32</v>
      </c>
      <c r="C430" t="s">
        <v>127</v>
      </c>
      <c r="D430">
        <v>1</v>
      </c>
      <c r="E430" s="7">
        <v>289.85000000000002</v>
      </c>
      <c r="F430">
        <v>31040260</v>
      </c>
      <c r="J430" t="s">
        <v>2256</v>
      </c>
      <c r="K430" t="s">
        <v>3</v>
      </c>
      <c r="L430" s="2">
        <v>43191</v>
      </c>
      <c r="M430" s="2">
        <f>DOCXX[[#This Row],[INV DOC DATE]]+30</f>
        <v>43221</v>
      </c>
      <c r="N430" s="2">
        <v>43244</v>
      </c>
      <c r="O430" s="7">
        <v>289.85000000000002</v>
      </c>
      <c r="P430" s="2">
        <v>43255</v>
      </c>
      <c r="Q430" s="7">
        <f>$E430-$O430</f>
        <v>0</v>
      </c>
      <c r="R430" s="7" t="str">
        <f ca="1">IF(TODAY() - DOCXX[INV DUE DATE]&lt;30, "Less than 30 days",IF(TODAY()-DOCXX[INV DUE DATE]&lt;60,"30-60 days","More than 60 days"))</f>
        <v>More than 60 days</v>
      </c>
      <c r="S430" t="s">
        <v>818</v>
      </c>
      <c r="U430" s="7" t="s">
        <v>3699</v>
      </c>
    </row>
    <row r="431" spans="1:21" x14ac:dyDescent="0.3">
      <c r="A431" s="14" t="s">
        <v>2146</v>
      </c>
      <c r="B431" t="s">
        <v>32</v>
      </c>
      <c r="C431" t="s">
        <v>128</v>
      </c>
      <c r="D431">
        <v>1</v>
      </c>
      <c r="E431" s="7">
        <v>289.85000000000002</v>
      </c>
      <c r="F431">
        <v>27779877</v>
      </c>
      <c r="J431" t="s">
        <v>2256</v>
      </c>
      <c r="K431" t="s">
        <v>3</v>
      </c>
      <c r="L431" s="2">
        <v>43191</v>
      </c>
      <c r="M431" s="2">
        <f>DOCXX[[#This Row],[INV DOC DATE]]+30</f>
        <v>43221</v>
      </c>
      <c r="N431" s="2">
        <v>43244</v>
      </c>
      <c r="O431" s="7">
        <v>289.85000000000002</v>
      </c>
      <c r="P431" s="2">
        <v>43255</v>
      </c>
      <c r="Q431" s="7">
        <f>$E431-$O431</f>
        <v>0</v>
      </c>
      <c r="R431" s="7" t="str">
        <f ca="1">IF(TODAY() - DOCXX[INV DUE DATE]&lt;30, "Less than 30 days",IF(TODAY()-DOCXX[INV DUE DATE]&lt;60,"30-60 days","More than 60 days"))</f>
        <v>More than 60 days</v>
      </c>
      <c r="S431" t="s">
        <v>818</v>
      </c>
      <c r="U431" s="7" t="s">
        <v>3699</v>
      </c>
    </row>
    <row r="432" spans="1:21" x14ac:dyDescent="0.3">
      <c r="A432" s="14" t="s">
        <v>2146</v>
      </c>
      <c r="B432" t="s">
        <v>32</v>
      </c>
      <c r="C432" t="s">
        <v>129</v>
      </c>
      <c r="D432">
        <v>1</v>
      </c>
      <c r="E432" s="7">
        <v>289.85000000000002</v>
      </c>
      <c r="F432">
        <v>26859068</v>
      </c>
      <c r="J432" t="s">
        <v>2256</v>
      </c>
      <c r="K432" t="s">
        <v>3</v>
      </c>
      <c r="L432" s="2">
        <v>43191</v>
      </c>
      <c r="M432" s="2">
        <f>DOCXX[[#This Row],[INV DOC DATE]]+30</f>
        <v>43221</v>
      </c>
      <c r="N432" s="2">
        <v>43244</v>
      </c>
      <c r="O432" s="7">
        <v>289.85000000000002</v>
      </c>
      <c r="P432" s="2">
        <v>43255</v>
      </c>
      <c r="Q432" s="7">
        <f>$E432-$O432</f>
        <v>0</v>
      </c>
      <c r="R432" s="7" t="str">
        <f ca="1">IF(TODAY() - DOCXX[INV DUE DATE]&lt;30, "Less than 30 days",IF(TODAY()-DOCXX[INV DUE DATE]&lt;60,"30-60 days","More than 60 days"))</f>
        <v>More than 60 days</v>
      </c>
      <c r="S432" t="s">
        <v>818</v>
      </c>
      <c r="U432" s="7" t="s">
        <v>3699</v>
      </c>
    </row>
    <row r="433" spans="1:21" x14ac:dyDescent="0.3">
      <c r="A433" s="14" t="s">
        <v>2146</v>
      </c>
      <c r="B433" t="s">
        <v>32</v>
      </c>
      <c r="C433" t="s">
        <v>130</v>
      </c>
      <c r="D433">
        <v>1</v>
      </c>
      <c r="E433" s="7">
        <v>289.85000000000002</v>
      </c>
      <c r="F433">
        <v>27819027</v>
      </c>
      <c r="J433" t="s">
        <v>2256</v>
      </c>
      <c r="K433" t="s">
        <v>3</v>
      </c>
      <c r="L433" s="2">
        <v>43191</v>
      </c>
      <c r="M433" s="2">
        <f>DOCXX[[#This Row],[INV DOC DATE]]+30</f>
        <v>43221</v>
      </c>
      <c r="N433" s="2">
        <v>43244</v>
      </c>
      <c r="O433" s="7">
        <v>289.85000000000002</v>
      </c>
      <c r="P433" s="2">
        <v>43255</v>
      </c>
      <c r="Q433" s="7">
        <f>$E433-$O433</f>
        <v>0</v>
      </c>
      <c r="R433" s="7" t="str">
        <f ca="1">IF(TODAY() - DOCXX[INV DUE DATE]&lt;30, "Less than 30 days",IF(TODAY()-DOCXX[INV DUE DATE]&lt;60,"30-60 days","More than 60 days"))</f>
        <v>More than 60 days</v>
      </c>
      <c r="S433" t="s">
        <v>818</v>
      </c>
      <c r="U433" s="7" t="s">
        <v>3699</v>
      </c>
    </row>
    <row r="434" spans="1:21" x14ac:dyDescent="0.3">
      <c r="A434" s="14" t="s">
        <v>2146</v>
      </c>
      <c r="B434" t="s">
        <v>32</v>
      </c>
      <c r="C434" t="s">
        <v>131</v>
      </c>
      <c r="D434">
        <v>1</v>
      </c>
      <c r="E434" s="7">
        <v>289.85000000000002</v>
      </c>
      <c r="F434">
        <v>27475226</v>
      </c>
      <c r="J434" t="s">
        <v>2256</v>
      </c>
      <c r="K434" t="s">
        <v>3</v>
      </c>
      <c r="L434" s="2">
        <v>43191</v>
      </c>
      <c r="M434" s="2">
        <f>DOCXX[[#This Row],[INV DOC DATE]]+30</f>
        <v>43221</v>
      </c>
      <c r="N434" s="2">
        <v>43244</v>
      </c>
      <c r="O434" s="7">
        <v>289.85000000000002</v>
      </c>
      <c r="P434" s="2">
        <v>43255</v>
      </c>
      <c r="Q434" s="7">
        <f>$E434-$O434</f>
        <v>0</v>
      </c>
      <c r="R434" s="7" t="str">
        <f ca="1">IF(TODAY() - DOCXX[INV DUE DATE]&lt;30, "Less than 30 days",IF(TODAY()-DOCXX[INV DUE DATE]&lt;60,"30-60 days","More than 60 days"))</f>
        <v>More than 60 days</v>
      </c>
      <c r="S434" t="s">
        <v>818</v>
      </c>
      <c r="U434" s="7" t="s">
        <v>3699</v>
      </c>
    </row>
    <row r="435" spans="1:21" x14ac:dyDescent="0.3">
      <c r="A435" s="14" t="s">
        <v>2146</v>
      </c>
      <c r="B435" t="s">
        <v>32</v>
      </c>
      <c r="C435" t="s">
        <v>132</v>
      </c>
      <c r="D435">
        <v>1</v>
      </c>
      <c r="E435" s="7">
        <v>289.85000000000002</v>
      </c>
      <c r="F435">
        <v>31081488</v>
      </c>
      <c r="J435" t="s">
        <v>2256</v>
      </c>
      <c r="K435" t="s">
        <v>3</v>
      </c>
      <c r="L435" s="2">
        <v>43191</v>
      </c>
      <c r="M435" s="2">
        <f>DOCXX[[#This Row],[INV DOC DATE]]+30</f>
        <v>43221</v>
      </c>
      <c r="N435" s="2">
        <v>43244</v>
      </c>
      <c r="O435" s="7">
        <v>289.85000000000002</v>
      </c>
      <c r="P435" s="2">
        <v>43255</v>
      </c>
      <c r="Q435" s="7">
        <f>$E435-$O435</f>
        <v>0</v>
      </c>
      <c r="R435" s="7" t="str">
        <f ca="1">IF(TODAY() - DOCXX[INV DUE DATE]&lt;30, "Less than 30 days",IF(TODAY()-DOCXX[INV DUE DATE]&lt;60,"30-60 days","More than 60 days"))</f>
        <v>More than 60 days</v>
      </c>
      <c r="S435" t="s">
        <v>818</v>
      </c>
      <c r="U435" s="7" t="s">
        <v>3699</v>
      </c>
    </row>
    <row r="436" spans="1:21" x14ac:dyDescent="0.3">
      <c r="A436" s="14" t="s">
        <v>2146</v>
      </c>
      <c r="B436" t="s">
        <v>32</v>
      </c>
      <c r="C436" t="s">
        <v>133</v>
      </c>
      <c r="D436">
        <v>1</v>
      </c>
      <c r="E436" s="7">
        <v>289.85000000000002</v>
      </c>
      <c r="F436">
        <v>31236636</v>
      </c>
      <c r="J436" t="s">
        <v>2256</v>
      </c>
      <c r="K436" t="s">
        <v>3</v>
      </c>
      <c r="L436" s="2">
        <v>43191</v>
      </c>
      <c r="M436" s="2">
        <f>DOCXX[[#This Row],[INV DOC DATE]]+30</f>
        <v>43221</v>
      </c>
      <c r="N436" s="2">
        <v>43244</v>
      </c>
      <c r="O436" s="7">
        <v>289.85000000000002</v>
      </c>
      <c r="P436" s="2">
        <v>43255</v>
      </c>
      <c r="Q436" s="7">
        <f>$E436-$O436</f>
        <v>0</v>
      </c>
      <c r="R436" s="7" t="str">
        <f ca="1">IF(TODAY() - DOCXX[INV DUE DATE]&lt;30, "Less than 30 days",IF(TODAY()-DOCXX[INV DUE DATE]&lt;60,"30-60 days","More than 60 days"))</f>
        <v>More than 60 days</v>
      </c>
      <c r="S436" t="s">
        <v>818</v>
      </c>
      <c r="U436" s="7" t="s">
        <v>3699</v>
      </c>
    </row>
    <row r="437" spans="1:21" x14ac:dyDescent="0.3">
      <c r="A437" s="14" t="s">
        <v>2146</v>
      </c>
      <c r="B437" t="s">
        <v>32</v>
      </c>
      <c r="C437" t="s">
        <v>134</v>
      </c>
      <c r="D437">
        <v>1</v>
      </c>
      <c r="E437" s="7">
        <v>289.85000000000002</v>
      </c>
      <c r="F437">
        <v>27908992</v>
      </c>
      <c r="J437" t="s">
        <v>2256</v>
      </c>
      <c r="K437" t="s">
        <v>3</v>
      </c>
      <c r="L437" s="2">
        <v>43191</v>
      </c>
      <c r="M437" s="2">
        <f>DOCXX[[#This Row],[INV DOC DATE]]+30</f>
        <v>43221</v>
      </c>
      <c r="N437" s="2">
        <v>43244</v>
      </c>
      <c r="O437" s="7">
        <v>289.85000000000002</v>
      </c>
      <c r="P437" s="2">
        <v>43255</v>
      </c>
      <c r="Q437" s="7">
        <f>$E437-$O437</f>
        <v>0</v>
      </c>
      <c r="R437" s="7" t="str">
        <f ca="1">IF(TODAY() - DOCXX[INV DUE DATE]&lt;30, "Less than 30 days",IF(TODAY()-DOCXX[INV DUE DATE]&lt;60,"30-60 days","More than 60 days"))</f>
        <v>More than 60 days</v>
      </c>
      <c r="S437" t="s">
        <v>818</v>
      </c>
      <c r="U437" s="7" t="s">
        <v>3699</v>
      </c>
    </row>
    <row r="438" spans="1:21" x14ac:dyDescent="0.3">
      <c r="A438" s="14" t="s">
        <v>2146</v>
      </c>
      <c r="B438" t="s">
        <v>32</v>
      </c>
      <c r="C438" t="s">
        <v>135</v>
      </c>
      <c r="D438">
        <v>1</v>
      </c>
      <c r="E438" s="7">
        <v>289.85000000000002</v>
      </c>
      <c r="F438">
        <v>31732055</v>
      </c>
      <c r="J438" t="s">
        <v>2256</v>
      </c>
      <c r="K438" t="s">
        <v>3</v>
      </c>
      <c r="L438" s="2">
        <v>43191</v>
      </c>
      <c r="M438" s="2">
        <f>DOCXX[[#This Row],[INV DOC DATE]]+30</f>
        <v>43221</v>
      </c>
      <c r="N438" s="2">
        <v>43244</v>
      </c>
      <c r="O438" s="7">
        <v>289.85000000000002</v>
      </c>
      <c r="P438" s="2">
        <v>43255</v>
      </c>
      <c r="Q438" s="7">
        <f>$E438-$O438</f>
        <v>0</v>
      </c>
      <c r="R438" s="7" t="str">
        <f ca="1">IF(TODAY() - DOCXX[INV DUE DATE]&lt;30, "Less than 30 days",IF(TODAY()-DOCXX[INV DUE DATE]&lt;60,"30-60 days","More than 60 days"))</f>
        <v>More than 60 days</v>
      </c>
      <c r="S438" t="s">
        <v>818</v>
      </c>
      <c r="U438" s="7" t="s">
        <v>3699</v>
      </c>
    </row>
    <row r="439" spans="1:21" x14ac:dyDescent="0.3">
      <c r="A439" s="14" t="s">
        <v>2146</v>
      </c>
      <c r="B439" t="s">
        <v>32</v>
      </c>
      <c r="C439" t="s">
        <v>136</v>
      </c>
      <c r="D439">
        <v>1</v>
      </c>
      <c r="E439" s="7">
        <v>289.85000000000002</v>
      </c>
      <c r="F439">
        <v>30730038</v>
      </c>
      <c r="J439" t="s">
        <v>2256</v>
      </c>
      <c r="K439" t="s">
        <v>3</v>
      </c>
      <c r="L439" s="2">
        <v>43191</v>
      </c>
      <c r="M439" s="2">
        <f>DOCXX[[#This Row],[INV DOC DATE]]+30</f>
        <v>43221</v>
      </c>
      <c r="N439" s="2">
        <v>43244</v>
      </c>
      <c r="O439" s="7">
        <v>289.85000000000002</v>
      </c>
      <c r="P439" s="2">
        <v>43255</v>
      </c>
      <c r="Q439" s="7">
        <f>$E439-$O439</f>
        <v>0</v>
      </c>
      <c r="R439" s="7" t="str">
        <f ca="1">IF(TODAY() - DOCXX[INV DUE DATE]&lt;30, "Less than 30 days",IF(TODAY()-DOCXX[INV DUE DATE]&lt;60,"30-60 days","More than 60 days"))</f>
        <v>More than 60 days</v>
      </c>
      <c r="S439" t="s">
        <v>818</v>
      </c>
      <c r="U439" s="7" t="s">
        <v>3699</v>
      </c>
    </row>
    <row r="440" spans="1:21" x14ac:dyDescent="0.3">
      <c r="A440" s="14" t="s">
        <v>2146</v>
      </c>
      <c r="B440" t="s">
        <v>32</v>
      </c>
      <c r="C440" t="s">
        <v>137</v>
      </c>
      <c r="D440">
        <v>1</v>
      </c>
      <c r="E440" s="7">
        <v>289.85000000000002</v>
      </c>
      <c r="F440">
        <v>28677477</v>
      </c>
      <c r="J440" t="s">
        <v>2256</v>
      </c>
      <c r="K440" t="s">
        <v>3</v>
      </c>
      <c r="L440" s="2">
        <v>43191</v>
      </c>
      <c r="M440" s="2">
        <f>DOCXX[[#This Row],[INV DOC DATE]]+30</f>
        <v>43221</v>
      </c>
      <c r="N440" s="2">
        <v>43244</v>
      </c>
      <c r="O440" s="7">
        <v>289.85000000000002</v>
      </c>
      <c r="P440" s="2">
        <v>43255</v>
      </c>
      <c r="Q440" s="7">
        <f>$E440-$O440</f>
        <v>0</v>
      </c>
      <c r="R440" s="7" t="str">
        <f ca="1">IF(TODAY() - DOCXX[INV DUE DATE]&lt;30, "Less than 30 days",IF(TODAY()-DOCXX[INV DUE DATE]&lt;60,"30-60 days","More than 60 days"))</f>
        <v>More than 60 days</v>
      </c>
      <c r="S440" t="s">
        <v>818</v>
      </c>
      <c r="U440" s="7" t="s">
        <v>3699</v>
      </c>
    </row>
    <row r="441" spans="1:21" x14ac:dyDescent="0.3">
      <c r="A441" s="14" t="s">
        <v>2146</v>
      </c>
      <c r="B441" t="s">
        <v>32</v>
      </c>
      <c r="C441" t="s">
        <v>138</v>
      </c>
      <c r="D441">
        <v>1</v>
      </c>
      <c r="E441" s="7">
        <v>289.85000000000002</v>
      </c>
      <c r="F441">
        <v>31211525</v>
      </c>
      <c r="J441" t="s">
        <v>2256</v>
      </c>
      <c r="K441" t="s">
        <v>3</v>
      </c>
      <c r="L441" s="2">
        <v>43191</v>
      </c>
      <c r="M441" s="2">
        <f>DOCXX[[#This Row],[INV DOC DATE]]+30</f>
        <v>43221</v>
      </c>
      <c r="N441" s="2">
        <v>43244</v>
      </c>
      <c r="O441" s="7">
        <v>289.85000000000002</v>
      </c>
      <c r="P441" s="2">
        <v>43255</v>
      </c>
      <c r="Q441" s="7">
        <f>$E441-$O441</f>
        <v>0</v>
      </c>
      <c r="R441" s="7" t="str">
        <f ca="1">IF(TODAY() - DOCXX[INV DUE DATE]&lt;30, "Less than 30 days",IF(TODAY()-DOCXX[INV DUE DATE]&lt;60,"30-60 days","More than 60 days"))</f>
        <v>More than 60 days</v>
      </c>
      <c r="S441" t="s">
        <v>818</v>
      </c>
      <c r="U441" s="7" t="s">
        <v>3699</v>
      </c>
    </row>
    <row r="442" spans="1:21" x14ac:dyDescent="0.3">
      <c r="A442" s="14" t="s">
        <v>2146</v>
      </c>
      <c r="B442" t="s">
        <v>32</v>
      </c>
      <c r="C442" t="s">
        <v>139</v>
      </c>
      <c r="D442">
        <v>1</v>
      </c>
      <c r="E442" s="7">
        <v>289.85000000000002</v>
      </c>
      <c r="F442">
        <v>27919722</v>
      </c>
      <c r="J442" t="s">
        <v>2256</v>
      </c>
      <c r="K442" t="s">
        <v>3</v>
      </c>
      <c r="L442" s="2">
        <v>43191</v>
      </c>
      <c r="M442" s="2">
        <f>DOCXX[[#This Row],[INV DOC DATE]]+30</f>
        <v>43221</v>
      </c>
      <c r="N442" s="2">
        <v>43244</v>
      </c>
      <c r="O442" s="7">
        <v>289.85000000000002</v>
      </c>
      <c r="P442" s="2">
        <v>43255</v>
      </c>
      <c r="Q442" s="7">
        <f>$E442-$O442</f>
        <v>0</v>
      </c>
      <c r="R442" s="7" t="str">
        <f ca="1">IF(TODAY() - DOCXX[INV DUE DATE]&lt;30, "Less than 30 days",IF(TODAY()-DOCXX[INV DUE DATE]&lt;60,"30-60 days","More than 60 days"))</f>
        <v>More than 60 days</v>
      </c>
      <c r="S442" t="s">
        <v>818</v>
      </c>
      <c r="U442" s="7" t="s">
        <v>3699</v>
      </c>
    </row>
    <row r="443" spans="1:21" x14ac:dyDescent="0.3">
      <c r="A443" s="14" t="s">
        <v>2146</v>
      </c>
      <c r="B443" t="s">
        <v>32</v>
      </c>
      <c r="C443" t="s">
        <v>140</v>
      </c>
      <c r="D443">
        <v>1</v>
      </c>
      <c r="E443" s="7">
        <v>289.85000000000002</v>
      </c>
      <c r="F443">
        <v>28330595</v>
      </c>
      <c r="J443" t="s">
        <v>2256</v>
      </c>
      <c r="K443" t="s">
        <v>3</v>
      </c>
      <c r="L443" s="2">
        <v>43191</v>
      </c>
      <c r="M443" s="2">
        <f>DOCXX[[#This Row],[INV DOC DATE]]+30</f>
        <v>43221</v>
      </c>
      <c r="N443" s="2">
        <v>43244</v>
      </c>
      <c r="O443" s="7">
        <v>289.85000000000002</v>
      </c>
      <c r="P443" s="2">
        <v>43255</v>
      </c>
      <c r="Q443" s="7">
        <f>$E443-$O443</f>
        <v>0</v>
      </c>
      <c r="R443" s="7" t="str">
        <f ca="1">IF(TODAY() - DOCXX[INV DUE DATE]&lt;30, "Less than 30 days",IF(TODAY()-DOCXX[INV DUE DATE]&lt;60,"30-60 days","More than 60 days"))</f>
        <v>More than 60 days</v>
      </c>
      <c r="S443" t="s">
        <v>818</v>
      </c>
      <c r="U443" s="7" t="s">
        <v>3699</v>
      </c>
    </row>
    <row r="444" spans="1:21" x14ac:dyDescent="0.3">
      <c r="A444" s="14" t="s">
        <v>2146</v>
      </c>
      <c r="B444" t="s">
        <v>32</v>
      </c>
      <c r="C444" t="s">
        <v>141</v>
      </c>
      <c r="D444">
        <v>1</v>
      </c>
      <c r="E444" s="7">
        <v>289.85000000000002</v>
      </c>
      <c r="F444">
        <v>31619288</v>
      </c>
      <c r="J444" t="s">
        <v>2256</v>
      </c>
      <c r="K444" t="s">
        <v>3</v>
      </c>
      <c r="L444" s="2">
        <v>43191</v>
      </c>
      <c r="M444" s="2">
        <f>DOCXX[[#This Row],[INV DOC DATE]]+30</f>
        <v>43221</v>
      </c>
      <c r="N444" s="2">
        <v>43244</v>
      </c>
      <c r="O444" s="7">
        <v>289.85000000000002</v>
      </c>
      <c r="P444" s="2">
        <v>43255</v>
      </c>
      <c r="Q444" s="7">
        <f>$E444-$O444</f>
        <v>0</v>
      </c>
      <c r="R444" s="7" t="str">
        <f ca="1">IF(TODAY() - DOCXX[INV DUE DATE]&lt;30, "Less than 30 days",IF(TODAY()-DOCXX[INV DUE DATE]&lt;60,"30-60 days","More than 60 days"))</f>
        <v>More than 60 days</v>
      </c>
      <c r="S444" t="s">
        <v>818</v>
      </c>
      <c r="U444" s="7" t="s">
        <v>3699</v>
      </c>
    </row>
    <row r="445" spans="1:21" x14ac:dyDescent="0.3">
      <c r="A445" s="14" t="s">
        <v>2146</v>
      </c>
      <c r="B445" t="s">
        <v>32</v>
      </c>
      <c r="C445" t="s">
        <v>142</v>
      </c>
      <c r="D445">
        <v>1</v>
      </c>
      <c r="E445" s="7">
        <v>289.85000000000002</v>
      </c>
      <c r="F445">
        <v>30939990</v>
      </c>
      <c r="J445" t="s">
        <v>2256</v>
      </c>
      <c r="K445" t="s">
        <v>3</v>
      </c>
      <c r="L445" s="2">
        <v>43191</v>
      </c>
      <c r="M445" s="2">
        <f>DOCXX[[#This Row],[INV DOC DATE]]+30</f>
        <v>43221</v>
      </c>
      <c r="N445" s="2">
        <v>43244</v>
      </c>
      <c r="O445" s="7">
        <v>289.85000000000002</v>
      </c>
      <c r="P445" s="2">
        <v>43255</v>
      </c>
      <c r="Q445" s="7">
        <f>$E445-$O445</f>
        <v>0</v>
      </c>
      <c r="R445" s="7" t="str">
        <f ca="1">IF(TODAY() - DOCXX[INV DUE DATE]&lt;30, "Less than 30 days",IF(TODAY()-DOCXX[INV DUE DATE]&lt;60,"30-60 days","More than 60 days"))</f>
        <v>More than 60 days</v>
      </c>
      <c r="S445" t="s">
        <v>818</v>
      </c>
      <c r="U445" s="7" t="s">
        <v>3699</v>
      </c>
    </row>
    <row r="446" spans="1:21" x14ac:dyDescent="0.3">
      <c r="A446" s="14" t="s">
        <v>2146</v>
      </c>
      <c r="B446" t="s">
        <v>32</v>
      </c>
      <c r="C446" t="s">
        <v>143</v>
      </c>
      <c r="D446">
        <v>1</v>
      </c>
      <c r="E446" s="7">
        <v>289.85000000000002</v>
      </c>
      <c r="F446">
        <v>30709836</v>
      </c>
      <c r="J446" t="s">
        <v>2256</v>
      </c>
      <c r="K446" t="s">
        <v>3</v>
      </c>
      <c r="L446" s="2">
        <v>43191</v>
      </c>
      <c r="M446" s="2">
        <f>DOCXX[[#This Row],[INV DOC DATE]]+30</f>
        <v>43221</v>
      </c>
      <c r="N446" s="2">
        <v>43244</v>
      </c>
      <c r="O446" s="7">
        <v>289.85000000000002</v>
      </c>
      <c r="P446" s="2">
        <v>43255</v>
      </c>
      <c r="Q446" s="7">
        <f>$E446-$O446</f>
        <v>0</v>
      </c>
      <c r="R446" s="7" t="str">
        <f ca="1">IF(TODAY() - DOCXX[INV DUE DATE]&lt;30, "Less than 30 days",IF(TODAY()-DOCXX[INV DUE DATE]&lt;60,"30-60 days","More than 60 days"))</f>
        <v>More than 60 days</v>
      </c>
      <c r="S446" t="s">
        <v>818</v>
      </c>
      <c r="U446" s="7" t="s">
        <v>3699</v>
      </c>
    </row>
    <row r="447" spans="1:21" x14ac:dyDescent="0.3">
      <c r="A447" s="14" t="s">
        <v>2146</v>
      </c>
      <c r="B447" t="s">
        <v>32</v>
      </c>
      <c r="C447" t="s">
        <v>144</v>
      </c>
      <c r="D447">
        <v>1</v>
      </c>
      <c r="E447" s="7">
        <v>289.85000000000002</v>
      </c>
      <c r="F447">
        <v>30466964</v>
      </c>
      <c r="J447" t="s">
        <v>2256</v>
      </c>
      <c r="K447" t="s">
        <v>3</v>
      </c>
      <c r="L447" s="2">
        <v>43191</v>
      </c>
      <c r="M447" s="2">
        <f>DOCXX[[#This Row],[INV DOC DATE]]+30</f>
        <v>43221</v>
      </c>
      <c r="N447" s="2">
        <v>43244</v>
      </c>
      <c r="O447" s="7">
        <v>289.85000000000002</v>
      </c>
      <c r="P447" s="2">
        <v>43255</v>
      </c>
      <c r="Q447" s="7">
        <f>$E447-$O447</f>
        <v>0</v>
      </c>
      <c r="R447" s="7" t="str">
        <f ca="1">IF(TODAY() - DOCXX[INV DUE DATE]&lt;30, "Less than 30 days",IF(TODAY()-DOCXX[INV DUE DATE]&lt;60,"30-60 days","More than 60 days"))</f>
        <v>More than 60 days</v>
      </c>
      <c r="S447" t="s">
        <v>818</v>
      </c>
      <c r="U447" s="7" t="s">
        <v>3699</v>
      </c>
    </row>
    <row r="448" spans="1:21" x14ac:dyDescent="0.3">
      <c r="A448" s="14" t="s">
        <v>2146</v>
      </c>
      <c r="B448" t="s">
        <v>32</v>
      </c>
      <c r="C448" t="s">
        <v>145</v>
      </c>
      <c r="D448">
        <v>1</v>
      </c>
      <c r="E448" s="7">
        <v>289.85000000000002</v>
      </c>
      <c r="F448">
        <v>25866744</v>
      </c>
      <c r="J448" t="s">
        <v>2256</v>
      </c>
      <c r="K448" t="s">
        <v>3</v>
      </c>
      <c r="L448" s="2">
        <v>43191</v>
      </c>
      <c r="M448" s="2">
        <f>DOCXX[[#This Row],[INV DOC DATE]]+30</f>
        <v>43221</v>
      </c>
      <c r="N448" s="2">
        <v>43244</v>
      </c>
      <c r="O448" s="7">
        <v>289.85000000000002</v>
      </c>
      <c r="P448" s="2">
        <v>43255</v>
      </c>
      <c r="Q448" s="7">
        <f>$E448-$O448</f>
        <v>0</v>
      </c>
      <c r="R448" s="7" t="str">
        <f ca="1">IF(TODAY() - DOCXX[INV DUE DATE]&lt;30, "Less than 30 days",IF(TODAY()-DOCXX[INV DUE DATE]&lt;60,"30-60 days","More than 60 days"))</f>
        <v>More than 60 days</v>
      </c>
      <c r="S448" t="s">
        <v>818</v>
      </c>
      <c r="U448" s="7" t="s">
        <v>3699</v>
      </c>
    </row>
    <row r="449" spans="1:21" x14ac:dyDescent="0.3">
      <c r="A449" s="14" t="s">
        <v>2146</v>
      </c>
      <c r="B449" t="s">
        <v>32</v>
      </c>
      <c r="C449" t="s">
        <v>146</v>
      </c>
      <c r="D449">
        <v>1</v>
      </c>
      <c r="E449" s="7">
        <v>289.85000000000002</v>
      </c>
      <c r="F449">
        <v>24058169</v>
      </c>
      <c r="J449" t="s">
        <v>2256</v>
      </c>
      <c r="K449" t="s">
        <v>3</v>
      </c>
      <c r="L449" s="2">
        <v>43191</v>
      </c>
      <c r="M449" s="2">
        <f>DOCXX[[#This Row],[INV DOC DATE]]+30</f>
        <v>43221</v>
      </c>
      <c r="N449" s="2">
        <v>43244</v>
      </c>
      <c r="O449" s="7">
        <v>289.85000000000002</v>
      </c>
      <c r="P449" s="2">
        <v>43255</v>
      </c>
      <c r="Q449" s="7">
        <f>$E449-$O449</f>
        <v>0</v>
      </c>
      <c r="R449" s="7" t="str">
        <f ca="1">IF(TODAY() - DOCXX[INV DUE DATE]&lt;30, "Less than 30 days",IF(TODAY()-DOCXX[INV DUE DATE]&lt;60,"30-60 days","More than 60 days"))</f>
        <v>More than 60 days</v>
      </c>
      <c r="S449" t="s">
        <v>818</v>
      </c>
      <c r="U449" s="7" t="s">
        <v>3699</v>
      </c>
    </row>
    <row r="450" spans="1:21" x14ac:dyDescent="0.3">
      <c r="A450" s="14" t="s">
        <v>2146</v>
      </c>
      <c r="B450" t="s">
        <v>32</v>
      </c>
      <c r="C450" t="s">
        <v>147</v>
      </c>
      <c r="D450">
        <v>1</v>
      </c>
      <c r="E450" s="7">
        <v>289.85000000000002</v>
      </c>
      <c r="F450">
        <v>28434103</v>
      </c>
      <c r="J450" t="s">
        <v>2256</v>
      </c>
      <c r="K450" t="s">
        <v>3</v>
      </c>
      <c r="L450" s="2">
        <v>43191</v>
      </c>
      <c r="M450" s="2">
        <f>DOCXX[[#This Row],[INV DOC DATE]]+30</f>
        <v>43221</v>
      </c>
      <c r="N450" s="2">
        <v>43244</v>
      </c>
      <c r="O450" s="7">
        <v>289.85000000000002</v>
      </c>
      <c r="P450" s="2">
        <v>43255</v>
      </c>
      <c r="Q450" s="7">
        <f>$E450-$O450</f>
        <v>0</v>
      </c>
      <c r="R450" s="7" t="str">
        <f ca="1">IF(TODAY() - DOCXX[INV DUE DATE]&lt;30, "Less than 30 days",IF(TODAY()-DOCXX[INV DUE DATE]&lt;60,"30-60 days","More than 60 days"))</f>
        <v>More than 60 days</v>
      </c>
      <c r="S450" t="s">
        <v>818</v>
      </c>
      <c r="U450" s="7" t="s">
        <v>3699</v>
      </c>
    </row>
    <row r="451" spans="1:21" x14ac:dyDescent="0.3">
      <c r="A451" s="14" t="s">
        <v>2146</v>
      </c>
      <c r="B451" t="s">
        <v>32</v>
      </c>
      <c r="C451" t="s">
        <v>148</v>
      </c>
      <c r="D451">
        <v>1</v>
      </c>
      <c r="E451" s="7">
        <v>289.85000000000002</v>
      </c>
      <c r="F451">
        <v>30448412</v>
      </c>
      <c r="J451" t="s">
        <v>2256</v>
      </c>
      <c r="K451" t="s">
        <v>3</v>
      </c>
      <c r="L451" s="2">
        <v>43191</v>
      </c>
      <c r="M451" s="2">
        <f>DOCXX[[#This Row],[INV DOC DATE]]+30</f>
        <v>43221</v>
      </c>
      <c r="N451" s="2">
        <v>43244</v>
      </c>
      <c r="O451" s="7">
        <v>289.85000000000002</v>
      </c>
      <c r="P451" s="2">
        <v>43255</v>
      </c>
      <c r="Q451" s="7">
        <f>$E451-$O451</f>
        <v>0</v>
      </c>
      <c r="R451" s="7" t="str">
        <f ca="1">IF(TODAY() - DOCXX[INV DUE DATE]&lt;30, "Less than 30 days",IF(TODAY()-DOCXX[INV DUE DATE]&lt;60,"30-60 days","More than 60 days"))</f>
        <v>More than 60 days</v>
      </c>
      <c r="S451" t="s">
        <v>818</v>
      </c>
      <c r="U451" s="7" t="s">
        <v>3699</v>
      </c>
    </row>
    <row r="452" spans="1:21" x14ac:dyDescent="0.3">
      <c r="A452" s="14" t="s">
        <v>2146</v>
      </c>
      <c r="B452" t="s">
        <v>32</v>
      </c>
      <c r="C452" t="s">
        <v>149</v>
      </c>
      <c r="D452">
        <v>1</v>
      </c>
      <c r="E452" s="7">
        <v>289.85000000000002</v>
      </c>
      <c r="F452">
        <v>27609261</v>
      </c>
      <c r="J452" t="s">
        <v>2256</v>
      </c>
      <c r="K452" t="s">
        <v>3</v>
      </c>
      <c r="L452" s="2">
        <v>43191</v>
      </c>
      <c r="M452" s="2">
        <f>DOCXX[[#This Row],[INV DOC DATE]]+30</f>
        <v>43221</v>
      </c>
      <c r="N452" s="2">
        <v>43244</v>
      </c>
      <c r="O452" s="7">
        <v>289.85000000000002</v>
      </c>
      <c r="P452" s="2">
        <v>43255</v>
      </c>
      <c r="Q452" s="7">
        <f>$E452-$O452</f>
        <v>0</v>
      </c>
      <c r="R452" s="7" t="str">
        <f ca="1">IF(TODAY() - DOCXX[INV DUE DATE]&lt;30, "Less than 30 days",IF(TODAY()-DOCXX[INV DUE DATE]&lt;60,"30-60 days","More than 60 days"))</f>
        <v>More than 60 days</v>
      </c>
      <c r="S452" t="s">
        <v>818</v>
      </c>
      <c r="U452" s="7" t="s">
        <v>3699</v>
      </c>
    </row>
    <row r="453" spans="1:21" x14ac:dyDescent="0.3">
      <c r="A453" s="14" t="s">
        <v>2146</v>
      </c>
      <c r="B453" t="s">
        <v>32</v>
      </c>
      <c r="C453" t="s">
        <v>150</v>
      </c>
      <c r="D453">
        <v>1</v>
      </c>
      <c r="E453" s="7">
        <v>289.85000000000002</v>
      </c>
      <c r="F453">
        <v>30738470</v>
      </c>
      <c r="J453" t="s">
        <v>2256</v>
      </c>
      <c r="K453" t="s">
        <v>3</v>
      </c>
      <c r="L453" s="2">
        <v>43191</v>
      </c>
      <c r="M453" s="2">
        <f>DOCXX[[#This Row],[INV DOC DATE]]+30</f>
        <v>43221</v>
      </c>
      <c r="N453" s="2">
        <v>43244</v>
      </c>
      <c r="O453" s="7">
        <v>289.85000000000002</v>
      </c>
      <c r="P453" s="2">
        <v>43255</v>
      </c>
      <c r="Q453" s="7">
        <f>$E453-$O453</f>
        <v>0</v>
      </c>
      <c r="R453" s="7" t="str">
        <f ca="1">IF(TODAY() - DOCXX[INV DUE DATE]&lt;30, "Less than 30 days",IF(TODAY()-DOCXX[INV DUE DATE]&lt;60,"30-60 days","More than 60 days"))</f>
        <v>More than 60 days</v>
      </c>
      <c r="S453" t="s">
        <v>818</v>
      </c>
      <c r="U453" s="7" t="s">
        <v>3699</v>
      </c>
    </row>
    <row r="454" spans="1:21" x14ac:dyDescent="0.3">
      <c r="A454" s="14" t="s">
        <v>2146</v>
      </c>
      <c r="B454" t="s">
        <v>32</v>
      </c>
      <c r="C454" t="s">
        <v>151</v>
      </c>
      <c r="D454">
        <v>1</v>
      </c>
      <c r="E454" s="7">
        <v>289.85000000000002</v>
      </c>
      <c r="F454">
        <v>30668263</v>
      </c>
      <c r="J454" t="s">
        <v>2256</v>
      </c>
      <c r="K454" t="s">
        <v>3</v>
      </c>
      <c r="L454" s="2">
        <v>43191</v>
      </c>
      <c r="M454" s="2">
        <f>DOCXX[[#This Row],[INV DOC DATE]]+30</f>
        <v>43221</v>
      </c>
      <c r="N454" s="2">
        <v>43244</v>
      </c>
      <c r="O454" s="7">
        <v>289.85000000000002</v>
      </c>
      <c r="P454" s="2">
        <v>43255</v>
      </c>
      <c r="Q454" s="7">
        <f>$E454-$O454</f>
        <v>0</v>
      </c>
      <c r="R454" s="7" t="str">
        <f ca="1">IF(TODAY() - DOCXX[INV DUE DATE]&lt;30, "Less than 30 days",IF(TODAY()-DOCXX[INV DUE DATE]&lt;60,"30-60 days","More than 60 days"))</f>
        <v>More than 60 days</v>
      </c>
      <c r="S454" t="s">
        <v>818</v>
      </c>
      <c r="U454" s="7" t="s">
        <v>3699</v>
      </c>
    </row>
    <row r="455" spans="1:21" x14ac:dyDescent="0.3">
      <c r="A455" s="14" t="s">
        <v>2146</v>
      </c>
      <c r="B455" t="s">
        <v>32</v>
      </c>
      <c r="C455" t="s">
        <v>152</v>
      </c>
      <c r="D455">
        <v>1</v>
      </c>
      <c r="E455" s="7">
        <v>289.85000000000002</v>
      </c>
      <c r="F455">
        <v>27511082</v>
      </c>
      <c r="J455" t="s">
        <v>2256</v>
      </c>
      <c r="K455" t="s">
        <v>3</v>
      </c>
      <c r="L455" s="2">
        <v>43191</v>
      </c>
      <c r="M455" s="2">
        <f>DOCXX[[#This Row],[INV DOC DATE]]+30</f>
        <v>43221</v>
      </c>
      <c r="N455" s="2">
        <v>43244</v>
      </c>
      <c r="O455" s="7">
        <v>289.85000000000002</v>
      </c>
      <c r="P455" s="2">
        <v>43255</v>
      </c>
      <c r="Q455" s="7">
        <f>$E455-$O455</f>
        <v>0</v>
      </c>
      <c r="R455" s="7" t="str">
        <f ca="1">IF(TODAY() - DOCXX[INV DUE DATE]&lt;30, "Less than 30 days",IF(TODAY()-DOCXX[INV DUE DATE]&lt;60,"30-60 days","More than 60 days"))</f>
        <v>More than 60 days</v>
      </c>
      <c r="S455" t="s">
        <v>818</v>
      </c>
      <c r="U455" s="7" t="s">
        <v>3699</v>
      </c>
    </row>
    <row r="456" spans="1:21" x14ac:dyDescent="0.3">
      <c r="A456" s="14" t="s">
        <v>2146</v>
      </c>
      <c r="B456" t="s">
        <v>32</v>
      </c>
      <c r="C456" t="s">
        <v>296</v>
      </c>
      <c r="D456">
        <v>1</v>
      </c>
      <c r="E456" s="7">
        <v>289.85000000000002</v>
      </c>
      <c r="F456">
        <v>31003082</v>
      </c>
      <c r="J456" t="s">
        <v>2256</v>
      </c>
      <c r="K456" t="s">
        <v>3</v>
      </c>
      <c r="L456" s="2">
        <v>43191</v>
      </c>
      <c r="M456" s="2">
        <f>DOCXX[[#This Row],[INV DOC DATE]]+30</f>
        <v>43221</v>
      </c>
      <c r="N456" s="2">
        <v>43244</v>
      </c>
      <c r="O456" s="7">
        <v>289.85000000000002</v>
      </c>
      <c r="P456" s="2">
        <v>43255</v>
      </c>
      <c r="Q456" s="7">
        <f>$E456-$O456</f>
        <v>0</v>
      </c>
      <c r="R456" s="7" t="str">
        <f ca="1">IF(TODAY() - DOCXX[INV DUE DATE]&lt;30, "Less than 30 days",IF(TODAY()-DOCXX[INV DUE DATE]&lt;60,"30-60 days","More than 60 days"))</f>
        <v>More than 60 days</v>
      </c>
      <c r="S456" t="s">
        <v>818</v>
      </c>
      <c r="U456" s="7" t="s">
        <v>3699</v>
      </c>
    </row>
    <row r="457" spans="1:21" x14ac:dyDescent="0.3">
      <c r="A457" s="14" t="s">
        <v>2146</v>
      </c>
      <c r="B457" t="s">
        <v>32</v>
      </c>
      <c r="C457" t="s">
        <v>297</v>
      </c>
      <c r="D457">
        <v>1</v>
      </c>
      <c r="E457" s="7">
        <v>289.85000000000002</v>
      </c>
      <c r="F457">
        <v>30473455</v>
      </c>
      <c r="J457" t="s">
        <v>2256</v>
      </c>
      <c r="K457" t="s">
        <v>3</v>
      </c>
      <c r="L457" s="2">
        <v>43191</v>
      </c>
      <c r="M457" s="2">
        <f>DOCXX[[#This Row],[INV DOC DATE]]+30</f>
        <v>43221</v>
      </c>
      <c r="N457" s="2">
        <v>43244</v>
      </c>
      <c r="O457" s="7">
        <v>289.85000000000002</v>
      </c>
      <c r="P457" s="2">
        <v>43255</v>
      </c>
      <c r="Q457" s="7">
        <f>$E457-$O457</f>
        <v>0</v>
      </c>
      <c r="R457" s="7" t="str">
        <f ca="1">IF(TODAY() - DOCXX[INV DUE DATE]&lt;30, "Less than 30 days",IF(TODAY()-DOCXX[INV DUE DATE]&lt;60,"30-60 days","More than 60 days"))</f>
        <v>More than 60 days</v>
      </c>
      <c r="S457" t="s">
        <v>818</v>
      </c>
      <c r="U457" s="7" t="s">
        <v>3699</v>
      </c>
    </row>
    <row r="458" spans="1:21" x14ac:dyDescent="0.3">
      <c r="A458" s="14" t="s">
        <v>2146</v>
      </c>
      <c r="B458" t="s">
        <v>32</v>
      </c>
      <c r="C458" t="s">
        <v>299</v>
      </c>
      <c r="D458">
        <v>1</v>
      </c>
      <c r="E458" s="7">
        <v>289.85000000000002</v>
      </c>
      <c r="F458">
        <v>31362221</v>
      </c>
      <c r="J458" t="s">
        <v>2256</v>
      </c>
      <c r="K458" t="s">
        <v>3</v>
      </c>
      <c r="L458" s="2">
        <v>43191</v>
      </c>
      <c r="M458" s="2">
        <f>DOCXX[[#This Row],[INV DOC DATE]]+30</f>
        <v>43221</v>
      </c>
      <c r="N458" s="2">
        <v>43244</v>
      </c>
      <c r="O458" s="7">
        <v>289.85000000000002</v>
      </c>
      <c r="P458" s="2">
        <v>43255</v>
      </c>
      <c r="Q458" s="7">
        <f>$E458-$O458</f>
        <v>0</v>
      </c>
      <c r="R458" s="7" t="str">
        <f ca="1">IF(TODAY() - DOCXX[INV DUE DATE]&lt;30, "Less than 30 days",IF(TODAY()-DOCXX[INV DUE DATE]&lt;60,"30-60 days","More than 60 days"))</f>
        <v>More than 60 days</v>
      </c>
      <c r="S458" t="s">
        <v>818</v>
      </c>
      <c r="U458" s="7" t="s">
        <v>3699</v>
      </c>
    </row>
    <row r="459" spans="1:21" x14ac:dyDescent="0.3">
      <c r="A459" s="14" t="s">
        <v>2146</v>
      </c>
      <c r="B459" t="s">
        <v>32</v>
      </c>
      <c r="C459" t="s">
        <v>300</v>
      </c>
      <c r="D459">
        <v>1</v>
      </c>
      <c r="E459" s="7">
        <v>289.85000000000002</v>
      </c>
      <c r="F459">
        <v>31146869</v>
      </c>
      <c r="J459" t="s">
        <v>2256</v>
      </c>
      <c r="K459" t="s">
        <v>3</v>
      </c>
      <c r="L459" s="2">
        <v>43191</v>
      </c>
      <c r="M459" s="2">
        <f>DOCXX[[#This Row],[INV DOC DATE]]+30</f>
        <v>43221</v>
      </c>
      <c r="N459" s="2">
        <v>43244</v>
      </c>
      <c r="O459" s="7">
        <v>289.85000000000002</v>
      </c>
      <c r="P459" s="2">
        <v>43255</v>
      </c>
      <c r="Q459" s="7">
        <f>$E459-$O459</f>
        <v>0</v>
      </c>
      <c r="R459" s="7" t="str">
        <f ca="1">IF(TODAY() - DOCXX[INV DUE DATE]&lt;30, "Less than 30 days",IF(TODAY()-DOCXX[INV DUE DATE]&lt;60,"30-60 days","More than 60 days"))</f>
        <v>More than 60 days</v>
      </c>
      <c r="S459" t="s">
        <v>818</v>
      </c>
      <c r="U459" s="7" t="s">
        <v>3699</v>
      </c>
    </row>
    <row r="460" spans="1:21" x14ac:dyDescent="0.3">
      <c r="A460" s="14" t="s">
        <v>2146</v>
      </c>
      <c r="B460" t="s">
        <v>32</v>
      </c>
      <c r="C460" t="s">
        <v>301</v>
      </c>
      <c r="D460">
        <v>1</v>
      </c>
      <c r="E460" s="7">
        <v>289.85000000000002</v>
      </c>
      <c r="F460">
        <v>30588006</v>
      </c>
      <c r="J460" t="s">
        <v>2256</v>
      </c>
      <c r="K460" t="s">
        <v>3</v>
      </c>
      <c r="L460" s="2">
        <v>43191</v>
      </c>
      <c r="M460" s="2">
        <f>DOCXX[[#This Row],[INV DOC DATE]]+30</f>
        <v>43221</v>
      </c>
      <c r="N460" s="2">
        <v>43244</v>
      </c>
      <c r="O460" s="7">
        <v>289.85000000000002</v>
      </c>
      <c r="P460" s="2">
        <v>43255</v>
      </c>
      <c r="Q460" s="7">
        <f>$E460-$O460</f>
        <v>0</v>
      </c>
      <c r="R460" s="7" t="str">
        <f ca="1">IF(TODAY() - DOCXX[INV DUE DATE]&lt;30, "Less than 30 days",IF(TODAY()-DOCXX[INV DUE DATE]&lt;60,"30-60 days","More than 60 days"))</f>
        <v>More than 60 days</v>
      </c>
      <c r="S460" t="s">
        <v>818</v>
      </c>
      <c r="U460" s="7" t="s">
        <v>3699</v>
      </c>
    </row>
    <row r="461" spans="1:21" x14ac:dyDescent="0.3">
      <c r="A461" s="14" t="s">
        <v>2146</v>
      </c>
      <c r="B461" t="s">
        <v>32</v>
      </c>
      <c r="C461" t="s">
        <v>302</v>
      </c>
      <c r="D461">
        <v>1</v>
      </c>
      <c r="E461" s="7">
        <v>289.85000000000002</v>
      </c>
      <c r="F461">
        <v>27840979</v>
      </c>
      <c r="J461" t="s">
        <v>2256</v>
      </c>
      <c r="K461" t="s">
        <v>3</v>
      </c>
      <c r="L461" s="2">
        <v>43191</v>
      </c>
      <c r="M461" s="2">
        <f>DOCXX[[#This Row],[INV DOC DATE]]+30</f>
        <v>43221</v>
      </c>
      <c r="N461" s="2">
        <v>43244</v>
      </c>
      <c r="O461" s="7">
        <v>289.85000000000002</v>
      </c>
      <c r="P461" s="2">
        <v>43255</v>
      </c>
      <c r="Q461" s="7">
        <f>$E461-$O461</f>
        <v>0</v>
      </c>
      <c r="R461" s="7" t="str">
        <f ca="1">IF(TODAY() - DOCXX[INV DUE DATE]&lt;30, "Less than 30 days",IF(TODAY()-DOCXX[INV DUE DATE]&lt;60,"30-60 days","More than 60 days"))</f>
        <v>More than 60 days</v>
      </c>
      <c r="S461" t="s">
        <v>818</v>
      </c>
      <c r="U461" s="7" t="s">
        <v>3699</v>
      </c>
    </row>
    <row r="462" spans="1:21" x14ac:dyDescent="0.3">
      <c r="A462" s="14" t="s">
        <v>2146</v>
      </c>
      <c r="B462" t="s">
        <v>32</v>
      </c>
      <c r="C462" t="s">
        <v>303</v>
      </c>
      <c r="D462">
        <v>1</v>
      </c>
      <c r="E462" s="7">
        <v>289.85000000000002</v>
      </c>
      <c r="F462">
        <v>23516020</v>
      </c>
      <c r="J462" t="s">
        <v>2256</v>
      </c>
      <c r="K462" t="s">
        <v>3</v>
      </c>
      <c r="L462" s="2">
        <v>43191</v>
      </c>
      <c r="M462" s="2">
        <f>DOCXX[[#This Row],[INV DOC DATE]]+30</f>
        <v>43221</v>
      </c>
      <c r="N462" s="2">
        <v>43244</v>
      </c>
      <c r="O462" s="7">
        <v>289.85000000000002</v>
      </c>
      <c r="P462" s="2">
        <v>43255</v>
      </c>
      <c r="Q462" s="7">
        <f>$E462-$O462</f>
        <v>0</v>
      </c>
      <c r="R462" s="7" t="str">
        <f ca="1">IF(TODAY() - DOCXX[INV DUE DATE]&lt;30, "Less than 30 days",IF(TODAY()-DOCXX[INV DUE DATE]&lt;60,"30-60 days","More than 60 days"))</f>
        <v>More than 60 days</v>
      </c>
      <c r="S462" t="s">
        <v>818</v>
      </c>
      <c r="U462" s="7" t="s">
        <v>3699</v>
      </c>
    </row>
    <row r="463" spans="1:21" x14ac:dyDescent="0.3">
      <c r="A463" s="14" t="s">
        <v>2146</v>
      </c>
      <c r="B463" t="s">
        <v>32</v>
      </c>
      <c r="C463" t="s">
        <v>304</v>
      </c>
      <c r="D463">
        <v>1</v>
      </c>
      <c r="E463" s="7">
        <v>289.85000000000002</v>
      </c>
      <c r="F463">
        <v>30308619</v>
      </c>
      <c r="J463" t="s">
        <v>2256</v>
      </c>
      <c r="K463" t="s">
        <v>3</v>
      </c>
      <c r="L463" s="2">
        <v>43191</v>
      </c>
      <c r="M463" s="2">
        <f>DOCXX[[#This Row],[INV DOC DATE]]+30</f>
        <v>43221</v>
      </c>
      <c r="N463" s="2">
        <v>43244</v>
      </c>
      <c r="O463" s="7">
        <v>289.85000000000002</v>
      </c>
      <c r="P463" s="2">
        <v>43255</v>
      </c>
      <c r="Q463" s="7">
        <f>$E463-$O463</f>
        <v>0</v>
      </c>
      <c r="R463" s="7" t="str">
        <f ca="1">IF(TODAY() - DOCXX[INV DUE DATE]&lt;30, "Less than 30 days",IF(TODAY()-DOCXX[INV DUE DATE]&lt;60,"30-60 days","More than 60 days"))</f>
        <v>More than 60 days</v>
      </c>
      <c r="S463" t="s">
        <v>818</v>
      </c>
      <c r="U463" s="7" t="s">
        <v>3699</v>
      </c>
    </row>
    <row r="464" spans="1:21" x14ac:dyDescent="0.3">
      <c r="A464" s="14" t="s">
        <v>2146</v>
      </c>
      <c r="B464" t="s">
        <v>32</v>
      </c>
      <c r="C464" t="s">
        <v>305</v>
      </c>
      <c r="D464">
        <v>1</v>
      </c>
      <c r="E464" s="7">
        <v>289.85000000000002</v>
      </c>
      <c r="F464">
        <v>30308619</v>
      </c>
      <c r="J464" t="s">
        <v>2256</v>
      </c>
      <c r="K464" t="s">
        <v>3</v>
      </c>
      <c r="L464" s="2">
        <v>43191</v>
      </c>
      <c r="M464" s="2">
        <f>DOCXX[[#This Row],[INV DOC DATE]]+30</f>
        <v>43221</v>
      </c>
      <c r="N464" s="2">
        <v>43244</v>
      </c>
      <c r="O464" s="7">
        <v>289.85000000000002</v>
      </c>
      <c r="P464" s="2">
        <v>43255</v>
      </c>
      <c r="Q464" s="7">
        <f>$E464-$O464</f>
        <v>0</v>
      </c>
      <c r="R464" s="7" t="str">
        <f ca="1">IF(TODAY() - DOCXX[INV DUE DATE]&lt;30, "Less than 30 days",IF(TODAY()-DOCXX[INV DUE DATE]&lt;60,"30-60 days","More than 60 days"))</f>
        <v>More than 60 days</v>
      </c>
      <c r="S464" t="s">
        <v>818</v>
      </c>
      <c r="U464" s="7" t="s">
        <v>3699</v>
      </c>
    </row>
    <row r="465" spans="1:21" x14ac:dyDescent="0.3">
      <c r="A465" s="14" t="s">
        <v>2146</v>
      </c>
      <c r="B465" t="s">
        <v>32</v>
      </c>
      <c r="C465" t="s">
        <v>306</v>
      </c>
      <c r="D465">
        <v>1</v>
      </c>
      <c r="E465" s="7">
        <v>289.85000000000002</v>
      </c>
      <c r="F465">
        <v>27406596</v>
      </c>
      <c r="J465" t="s">
        <v>2256</v>
      </c>
      <c r="K465" t="s">
        <v>3</v>
      </c>
      <c r="L465" s="2">
        <v>43191</v>
      </c>
      <c r="M465" s="2">
        <f>DOCXX[[#This Row],[INV DOC DATE]]+30</f>
        <v>43221</v>
      </c>
      <c r="N465" s="2">
        <v>43244</v>
      </c>
      <c r="O465" s="7">
        <v>289.85000000000002</v>
      </c>
      <c r="P465" s="2">
        <v>43255</v>
      </c>
      <c r="Q465" s="7">
        <f>$E465-$O465</f>
        <v>0</v>
      </c>
      <c r="R465" s="7" t="str">
        <f ca="1">IF(TODAY() - DOCXX[INV DUE DATE]&lt;30, "Less than 30 days",IF(TODAY()-DOCXX[INV DUE DATE]&lt;60,"30-60 days","More than 60 days"))</f>
        <v>More than 60 days</v>
      </c>
      <c r="S465" t="s">
        <v>818</v>
      </c>
      <c r="U465" s="7" t="s">
        <v>3699</v>
      </c>
    </row>
    <row r="466" spans="1:21" x14ac:dyDescent="0.3">
      <c r="A466" s="14" t="s">
        <v>2146</v>
      </c>
      <c r="B466" t="s">
        <v>32</v>
      </c>
      <c r="C466" t="s">
        <v>307</v>
      </c>
      <c r="D466">
        <v>1</v>
      </c>
      <c r="E466" s="7">
        <v>289.85000000000002</v>
      </c>
      <c r="F466">
        <v>30308618</v>
      </c>
      <c r="J466" t="s">
        <v>2256</v>
      </c>
      <c r="K466" t="s">
        <v>3</v>
      </c>
      <c r="L466" s="2">
        <v>43191</v>
      </c>
      <c r="M466" s="2">
        <f>DOCXX[[#This Row],[INV DOC DATE]]+30</f>
        <v>43221</v>
      </c>
      <c r="N466" s="2">
        <v>43244</v>
      </c>
      <c r="O466" s="7">
        <v>289.85000000000002</v>
      </c>
      <c r="P466" s="2">
        <v>43255</v>
      </c>
      <c r="Q466" s="7">
        <f>$E466-$O466</f>
        <v>0</v>
      </c>
      <c r="R466" s="7" t="str">
        <f ca="1">IF(TODAY() - DOCXX[INV DUE DATE]&lt;30, "Less than 30 days",IF(TODAY()-DOCXX[INV DUE DATE]&lt;60,"30-60 days","More than 60 days"))</f>
        <v>More than 60 days</v>
      </c>
      <c r="S466" t="s">
        <v>818</v>
      </c>
      <c r="U466" s="7" t="s">
        <v>3699</v>
      </c>
    </row>
    <row r="467" spans="1:21" x14ac:dyDescent="0.3">
      <c r="A467" s="14" t="s">
        <v>2146</v>
      </c>
      <c r="B467" t="s">
        <v>32</v>
      </c>
      <c r="C467" t="s">
        <v>308</v>
      </c>
      <c r="D467">
        <v>1</v>
      </c>
      <c r="E467" s="7">
        <v>289.85000000000002</v>
      </c>
      <c r="F467">
        <v>27629934</v>
      </c>
      <c r="J467" t="s">
        <v>2256</v>
      </c>
      <c r="K467" t="s">
        <v>3</v>
      </c>
      <c r="L467" s="2">
        <v>43191</v>
      </c>
      <c r="M467" s="2">
        <f>DOCXX[[#This Row],[INV DOC DATE]]+30</f>
        <v>43221</v>
      </c>
      <c r="N467" s="2">
        <v>43244</v>
      </c>
      <c r="O467" s="7">
        <v>289.85000000000002</v>
      </c>
      <c r="P467" s="2">
        <v>43255</v>
      </c>
      <c r="Q467" s="7">
        <f>$E467-$O467</f>
        <v>0</v>
      </c>
      <c r="R467" s="7" t="str">
        <f ca="1">IF(TODAY() - DOCXX[INV DUE DATE]&lt;30, "Less than 30 days",IF(TODAY()-DOCXX[INV DUE DATE]&lt;60,"30-60 days","More than 60 days"))</f>
        <v>More than 60 days</v>
      </c>
      <c r="S467" t="s">
        <v>818</v>
      </c>
      <c r="U467" s="7" t="s">
        <v>3699</v>
      </c>
    </row>
    <row r="468" spans="1:21" x14ac:dyDescent="0.3">
      <c r="A468" s="14" t="s">
        <v>2146</v>
      </c>
      <c r="B468" t="s">
        <v>32</v>
      </c>
      <c r="C468" t="s">
        <v>309</v>
      </c>
      <c r="D468">
        <v>1</v>
      </c>
      <c r="E468" s="7">
        <v>289.85000000000002</v>
      </c>
      <c r="F468">
        <v>30706598</v>
      </c>
      <c r="J468" t="s">
        <v>2256</v>
      </c>
      <c r="K468" t="s">
        <v>3</v>
      </c>
      <c r="L468" s="2">
        <v>43191</v>
      </c>
      <c r="M468" s="2">
        <f>DOCXX[[#This Row],[INV DOC DATE]]+30</f>
        <v>43221</v>
      </c>
      <c r="N468" s="2">
        <v>43244</v>
      </c>
      <c r="O468" s="7">
        <v>289.85000000000002</v>
      </c>
      <c r="P468" s="2">
        <v>43255</v>
      </c>
      <c r="Q468" s="7">
        <f>$E468-$O468</f>
        <v>0</v>
      </c>
      <c r="R468" s="7" t="str">
        <f ca="1">IF(TODAY() - DOCXX[INV DUE DATE]&lt;30, "Less than 30 days",IF(TODAY()-DOCXX[INV DUE DATE]&lt;60,"30-60 days","More than 60 days"))</f>
        <v>More than 60 days</v>
      </c>
      <c r="S468" t="s">
        <v>818</v>
      </c>
      <c r="U468" s="7" t="s">
        <v>3699</v>
      </c>
    </row>
    <row r="469" spans="1:21" x14ac:dyDescent="0.3">
      <c r="A469" s="14" t="s">
        <v>2146</v>
      </c>
      <c r="B469" t="s">
        <v>32</v>
      </c>
      <c r="C469" t="s">
        <v>310</v>
      </c>
      <c r="D469">
        <v>1</v>
      </c>
      <c r="E469" s="7">
        <v>289.85000000000002</v>
      </c>
      <c r="F469">
        <v>30785048</v>
      </c>
      <c r="J469" t="s">
        <v>2256</v>
      </c>
      <c r="K469" t="s">
        <v>3</v>
      </c>
      <c r="L469" s="2">
        <v>43191</v>
      </c>
      <c r="M469" s="2">
        <f>DOCXX[[#This Row],[INV DOC DATE]]+30</f>
        <v>43221</v>
      </c>
      <c r="N469" s="2">
        <v>43244</v>
      </c>
      <c r="O469" s="7">
        <v>289.85000000000002</v>
      </c>
      <c r="P469" s="2">
        <v>43255</v>
      </c>
      <c r="Q469" s="7">
        <f>$E469-$O469</f>
        <v>0</v>
      </c>
      <c r="R469" s="7" t="str">
        <f ca="1">IF(TODAY() - DOCXX[INV DUE DATE]&lt;30, "Less than 30 days",IF(TODAY()-DOCXX[INV DUE DATE]&lt;60,"30-60 days","More than 60 days"))</f>
        <v>More than 60 days</v>
      </c>
      <c r="S469" t="s">
        <v>818</v>
      </c>
      <c r="U469" s="7" t="s">
        <v>3699</v>
      </c>
    </row>
    <row r="470" spans="1:21" x14ac:dyDescent="0.3">
      <c r="A470" s="14" t="s">
        <v>2146</v>
      </c>
      <c r="B470" t="s">
        <v>32</v>
      </c>
      <c r="C470" t="s">
        <v>311</v>
      </c>
      <c r="D470">
        <v>1</v>
      </c>
      <c r="E470" s="7">
        <v>289.85000000000002</v>
      </c>
      <c r="F470">
        <v>30850395</v>
      </c>
      <c r="J470" t="s">
        <v>2256</v>
      </c>
      <c r="K470" t="s">
        <v>3</v>
      </c>
      <c r="L470" s="2">
        <v>43191</v>
      </c>
      <c r="M470" s="2">
        <f>DOCXX[[#This Row],[INV DOC DATE]]+30</f>
        <v>43221</v>
      </c>
      <c r="N470" s="2">
        <v>43244</v>
      </c>
      <c r="O470" s="7">
        <v>289.85000000000002</v>
      </c>
      <c r="P470" s="2">
        <v>43255</v>
      </c>
      <c r="Q470" s="7">
        <f>$E470-$O470</f>
        <v>0</v>
      </c>
      <c r="R470" s="7" t="str">
        <f ca="1">IF(TODAY() - DOCXX[INV DUE DATE]&lt;30, "Less than 30 days",IF(TODAY()-DOCXX[INV DUE DATE]&lt;60,"30-60 days","More than 60 days"))</f>
        <v>More than 60 days</v>
      </c>
      <c r="S470" t="s">
        <v>818</v>
      </c>
      <c r="U470" s="7" t="s">
        <v>3699</v>
      </c>
    </row>
    <row r="471" spans="1:21" x14ac:dyDescent="0.3">
      <c r="A471" s="14" t="s">
        <v>2146</v>
      </c>
      <c r="B471" t="s">
        <v>32</v>
      </c>
      <c r="C471" t="s">
        <v>312</v>
      </c>
      <c r="D471">
        <v>1</v>
      </c>
      <c r="E471" s="7">
        <v>289.85000000000002</v>
      </c>
      <c r="F471">
        <v>28206749</v>
      </c>
      <c r="J471" t="s">
        <v>2256</v>
      </c>
      <c r="K471" t="s">
        <v>3</v>
      </c>
      <c r="L471" s="2">
        <v>43191</v>
      </c>
      <c r="M471" s="2">
        <f>DOCXX[[#This Row],[INV DOC DATE]]+30</f>
        <v>43221</v>
      </c>
      <c r="N471" s="2">
        <v>43244</v>
      </c>
      <c r="O471" s="7">
        <v>289.85000000000002</v>
      </c>
      <c r="P471" s="2">
        <v>43255</v>
      </c>
      <c r="Q471" s="7">
        <f>$E471-$O471</f>
        <v>0</v>
      </c>
      <c r="R471" s="7" t="str">
        <f ca="1">IF(TODAY() - DOCXX[INV DUE DATE]&lt;30, "Less than 30 days",IF(TODAY()-DOCXX[INV DUE DATE]&lt;60,"30-60 days","More than 60 days"))</f>
        <v>More than 60 days</v>
      </c>
      <c r="S471" t="s">
        <v>818</v>
      </c>
      <c r="U471" s="7" t="s">
        <v>3699</v>
      </c>
    </row>
    <row r="472" spans="1:21" x14ac:dyDescent="0.3">
      <c r="A472" s="14" t="s">
        <v>2146</v>
      </c>
      <c r="B472" t="s">
        <v>32</v>
      </c>
      <c r="C472" t="s">
        <v>313</v>
      </c>
      <c r="D472">
        <v>1</v>
      </c>
      <c r="E472" s="7">
        <v>289.85000000000002</v>
      </c>
      <c r="F472">
        <v>23770957</v>
      </c>
      <c r="J472" t="s">
        <v>2256</v>
      </c>
      <c r="K472" t="s">
        <v>3</v>
      </c>
      <c r="L472" s="2">
        <v>43191</v>
      </c>
      <c r="M472" s="2">
        <f>DOCXX[[#This Row],[INV DOC DATE]]+30</f>
        <v>43221</v>
      </c>
      <c r="N472" s="2">
        <v>43244</v>
      </c>
      <c r="O472" s="7">
        <v>289.85000000000002</v>
      </c>
      <c r="P472" s="2">
        <v>43255</v>
      </c>
      <c r="Q472" s="7">
        <f>$E472-$O472</f>
        <v>0</v>
      </c>
      <c r="R472" s="7" t="str">
        <f ca="1">IF(TODAY() - DOCXX[INV DUE DATE]&lt;30, "Less than 30 days",IF(TODAY()-DOCXX[INV DUE DATE]&lt;60,"30-60 days","More than 60 days"))</f>
        <v>More than 60 days</v>
      </c>
      <c r="S472" t="s">
        <v>818</v>
      </c>
      <c r="U472" s="7" t="s">
        <v>3699</v>
      </c>
    </row>
    <row r="473" spans="1:21" x14ac:dyDescent="0.3">
      <c r="A473" s="14" t="s">
        <v>2146</v>
      </c>
      <c r="B473" t="s">
        <v>32</v>
      </c>
      <c r="C473" t="s">
        <v>314</v>
      </c>
      <c r="D473">
        <v>1</v>
      </c>
      <c r="E473" s="7">
        <v>289.85000000000002</v>
      </c>
      <c r="F473">
        <v>30573759</v>
      </c>
      <c r="J473" t="s">
        <v>2256</v>
      </c>
      <c r="K473" t="s">
        <v>3</v>
      </c>
      <c r="L473" s="2">
        <v>43191</v>
      </c>
      <c r="M473" s="2">
        <f>DOCXX[[#This Row],[INV DOC DATE]]+30</f>
        <v>43221</v>
      </c>
      <c r="N473" s="2">
        <v>43244</v>
      </c>
      <c r="O473" s="7">
        <v>289.85000000000002</v>
      </c>
      <c r="P473" s="2">
        <v>43255</v>
      </c>
      <c r="Q473" s="7">
        <f>$E473-$O473</f>
        <v>0</v>
      </c>
      <c r="R473" s="7" t="str">
        <f ca="1">IF(TODAY() - DOCXX[INV DUE DATE]&lt;30, "Less than 30 days",IF(TODAY()-DOCXX[INV DUE DATE]&lt;60,"30-60 days","More than 60 days"))</f>
        <v>More than 60 days</v>
      </c>
      <c r="S473" t="s">
        <v>818</v>
      </c>
      <c r="U473" s="7" t="s">
        <v>3699</v>
      </c>
    </row>
    <row r="474" spans="1:21" x14ac:dyDescent="0.3">
      <c r="A474" s="14" t="s">
        <v>2146</v>
      </c>
      <c r="B474" t="s">
        <v>32</v>
      </c>
      <c r="C474" t="s">
        <v>315</v>
      </c>
      <c r="D474">
        <v>1</v>
      </c>
      <c r="E474" s="7">
        <v>289.85000000000002</v>
      </c>
      <c r="F474">
        <v>28651205</v>
      </c>
      <c r="J474" t="s">
        <v>2256</v>
      </c>
      <c r="K474" t="s">
        <v>3</v>
      </c>
      <c r="L474" s="2">
        <v>43191</v>
      </c>
      <c r="M474" s="2">
        <f>DOCXX[[#This Row],[INV DOC DATE]]+30</f>
        <v>43221</v>
      </c>
      <c r="N474" s="2">
        <v>43244</v>
      </c>
      <c r="O474" s="7">
        <v>289.85000000000002</v>
      </c>
      <c r="P474" s="2">
        <v>43255</v>
      </c>
      <c r="Q474" s="7">
        <f>$E474-$O474</f>
        <v>0</v>
      </c>
      <c r="R474" s="7" t="str">
        <f ca="1">IF(TODAY() - DOCXX[INV DUE DATE]&lt;30, "Less than 30 days",IF(TODAY()-DOCXX[INV DUE DATE]&lt;60,"30-60 days","More than 60 days"))</f>
        <v>More than 60 days</v>
      </c>
      <c r="S474" t="s">
        <v>818</v>
      </c>
      <c r="U474" s="7" t="s">
        <v>3699</v>
      </c>
    </row>
    <row r="475" spans="1:21" x14ac:dyDescent="0.3">
      <c r="A475" s="14" t="s">
        <v>2146</v>
      </c>
      <c r="B475" t="s">
        <v>32</v>
      </c>
      <c r="C475" t="s">
        <v>316</v>
      </c>
      <c r="D475">
        <v>1</v>
      </c>
      <c r="E475" s="7">
        <v>289.85000000000002</v>
      </c>
      <c r="F475">
        <v>30850396</v>
      </c>
      <c r="J475" t="s">
        <v>2256</v>
      </c>
      <c r="K475" t="s">
        <v>3</v>
      </c>
      <c r="L475" s="2">
        <v>43191</v>
      </c>
      <c r="M475" s="2">
        <f>DOCXX[[#This Row],[INV DOC DATE]]+30</f>
        <v>43221</v>
      </c>
      <c r="N475" s="2">
        <v>43244</v>
      </c>
      <c r="O475" s="7">
        <v>289.85000000000002</v>
      </c>
      <c r="P475" s="2">
        <v>43255</v>
      </c>
      <c r="Q475" s="7">
        <f>$E475-$O475</f>
        <v>0</v>
      </c>
      <c r="R475" s="7" t="str">
        <f ca="1">IF(TODAY() - DOCXX[INV DUE DATE]&lt;30, "Less than 30 days",IF(TODAY()-DOCXX[INV DUE DATE]&lt;60,"30-60 days","More than 60 days"))</f>
        <v>More than 60 days</v>
      </c>
      <c r="S475" t="s">
        <v>818</v>
      </c>
      <c r="U475" s="7" t="s">
        <v>3699</v>
      </c>
    </row>
    <row r="476" spans="1:21" x14ac:dyDescent="0.3">
      <c r="A476" s="14" t="s">
        <v>2146</v>
      </c>
      <c r="B476" t="s">
        <v>32</v>
      </c>
      <c r="C476" t="s">
        <v>317</v>
      </c>
      <c r="D476">
        <v>1</v>
      </c>
      <c r="E476" s="7">
        <v>289.85000000000002</v>
      </c>
      <c r="F476">
        <v>27656481</v>
      </c>
      <c r="J476" t="s">
        <v>2256</v>
      </c>
      <c r="K476" t="s">
        <v>3</v>
      </c>
      <c r="L476" s="2">
        <v>43191</v>
      </c>
      <c r="M476" s="2">
        <f>DOCXX[[#This Row],[INV DOC DATE]]+30</f>
        <v>43221</v>
      </c>
      <c r="N476" s="2">
        <v>43244</v>
      </c>
      <c r="O476" s="7">
        <v>289.85000000000002</v>
      </c>
      <c r="P476" s="2">
        <v>43255</v>
      </c>
      <c r="Q476" s="7">
        <f>$E476-$O476</f>
        <v>0</v>
      </c>
      <c r="R476" s="7" t="str">
        <f ca="1">IF(TODAY() - DOCXX[INV DUE DATE]&lt;30, "Less than 30 days",IF(TODAY()-DOCXX[INV DUE DATE]&lt;60,"30-60 days","More than 60 days"))</f>
        <v>More than 60 days</v>
      </c>
      <c r="S476" t="s">
        <v>818</v>
      </c>
      <c r="U476" s="7" t="s">
        <v>3699</v>
      </c>
    </row>
    <row r="477" spans="1:21" x14ac:dyDescent="0.3">
      <c r="A477" s="14" t="s">
        <v>2146</v>
      </c>
      <c r="B477" t="s">
        <v>32</v>
      </c>
      <c r="C477" t="s">
        <v>318</v>
      </c>
      <c r="D477">
        <v>1</v>
      </c>
      <c r="E477" s="7">
        <v>289.85000000000002</v>
      </c>
      <c r="F477">
        <v>29420620</v>
      </c>
      <c r="J477" t="s">
        <v>2256</v>
      </c>
      <c r="K477" t="s">
        <v>3</v>
      </c>
      <c r="L477" s="2">
        <v>43191</v>
      </c>
      <c r="M477" s="2">
        <f>DOCXX[[#This Row],[INV DOC DATE]]+30</f>
        <v>43221</v>
      </c>
      <c r="N477" s="2">
        <v>43244</v>
      </c>
      <c r="O477" s="7">
        <v>289.85000000000002</v>
      </c>
      <c r="P477" s="2">
        <v>43255</v>
      </c>
      <c r="Q477" s="7">
        <f>$E477-$O477</f>
        <v>0</v>
      </c>
      <c r="R477" s="7" t="str">
        <f ca="1">IF(TODAY() - DOCXX[INV DUE DATE]&lt;30, "Less than 30 days",IF(TODAY()-DOCXX[INV DUE DATE]&lt;60,"30-60 days","More than 60 days"))</f>
        <v>More than 60 days</v>
      </c>
      <c r="S477" t="s">
        <v>818</v>
      </c>
      <c r="U477" s="7" t="s">
        <v>3699</v>
      </c>
    </row>
    <row r="478" spans="1:21" x14ac:dyDescent="0.3">
      <c r="A478" s="14" t="s">
        <v>2146</v>
      </c>
      <c r="B478" t="s">
        <v>32</v>
      </c>
      <c r="C478" t="s">
        <v>319</v>
      </c>
      <c r="D478">
        <v>1</v>
      </c>
      <c r="E478" s="7">
        <v>289.85000000000002</v>
      </c>
      <c r="F478">
        <v>29877676</v>
      </c>
      <c r="J478" t="s">
        <v>2256</v>
      </c>
      <c r="K478" t="s">
        <v>3</v>
      </c>
      <c r="L478" s="2">
        <v>43191</v>
      </c>
      <c r="M478" s="2">
        <f>DOCXX[[#This Row],[INV DOC DATE]]+30</f>
        <v>43221</v>
      </c>
      <c r="N478" s="2">
        <v>43244</v>
      </c>
      <c r="O478" s="7">
        <v>289.85000000000002</v>
      </c>
      <c r="P478" s="2">
        <v>43255</v>
      </c>
      <c r="Q478" s="7">
        <f>$E478-$O478</f>
        <v>0</v>
      </c>
      <c r="R478" s="7" t="str">
        <f ca="1">IF(TODAY() - DOCXX[INV DUE DATE]&lt;30, "Less than 30 days",IF(TODAY()-DOCXX[INV DUE DATE]&lt;60,"30-60 days","More than 60 days"))</f>
        <v>More than 60 days</v>
      </c>
      <c r="S478" t="s">
        <v>818</v>
      </c>
      <c r="U478" s="7" t="s">
        <v>3699</v>
      </c>
    </row>
    <row r="479" spans="1:21" x14ac:dyDescent="0.3">
      <c r="A479" s="14" t="s">
        <v>2146</v>
      </c>
      <c r="B479" t="s">
        <v>32</v>
      </c>
      <c r="C479" t="s">
        <v>320</v>
      </c>
      <c r="D479">
        <v>1</v>
      </c>
      <c r="E479" s="7">
        <v>289.85000000000002</v>
      </c>
      <c r="F479">
        <v>29872647</v>
      </c>
      <c r="J479" t="s">
        <v>2256</v>
      </c>
      <c r="K479" t="s">
        <v>3</v>
      </c>
      <c r="L479" s="2">
        <v>43191</v>
      </c>
      <c r="M479" s="2">
        <f>DOCXX[[#This Row],[INV DOC DATE]]+30</f>
        <v>43221</v>
      </c>
      <c r="N479" s="2">
        <v>43244</v>
      </c>
      <c r="O479" s="7">
        <v>289.85000000000002</v>
      </c>
      <c r="P479" s="2">
        <v>43255</v>
      </c>
      <c r="Q479" s="7">
        <f>$E479-$O479</f>
        <v>0</v>
      </c>
      <c r="R479" s="7" t="str">
        <f ca="1">IF(TODAY() - DOCXX[INV DUE DATE]&lt;30, "Less than 30 days",IF(TODAY()-DOCXX[INV DUE DATE]&lt;60,"30-60 days","More than 60 days"))</f>
        <v>More than 60 days</v>
      </c>
      <c r="S479" t="s">
        <v>818</v>
      </c>
      <c r="U479" s="7" t="s">
        <v>3699</v>
      </c>
    </row>
    <row r="480" spans="1:21" x14ac:dyDescent="0.3">
      <c r="A480" s="14" t="s">
        <v>2146</v>
      </c>
      <c r="B480" t="s">
        <v>32</v>
      </c>
      <c r="C480" t="s">
        <v>321</v>
      </c>
      <c r="D480">
        <v>1</v>
      </c>
      <c r="E480" s="7">
        <v>289.85000000000002</v>
      </c>
      <c r="F480">
        <v>29421038</v>
      </c>
      <c r="J480" t="s">
        <v>2256</v>
      </c>
      <c r="K480" t="s">
        <v>3</v>
      </c>
      <c r="L480" s="2">
        <v>43191</v>
      </c>
      <c r="M480" s="2">
        <f>DOCXX[[#This Row],[INV DOC DATE]]+30</f>
        <v>43221</v>
      </c>
      <c r="N480" s="2">
        <v>43244</v>
      </c>
      <c r="O480" s="7">
        <v>289.85000000000002</v>
      </c>
      <c r="P480" s="2">
        <v>43255</v>
      </c>
      <c r="Q480" s="7">
        <f>$E480-$O480</f>
        <v>0</v>
      </c>
      <c r="R480" s="7" t="str">
        <f ca="1">IF(TODAY() - DOCXX[INV DUE DATE]&lt;30, "Less than 30 days",IF(TODAY()-DOCXX[INV DUE DATE]&lt;60,"30-60 days","More than 60 days"))</f>
        <v>More than 60 days</v>
      </c>
      <c r="S480" t="s">
        <v>818</v>
      </c>
      <c r="U480" s="7" t="s">
        <v>3699</v>
      </c>
    </row>
    <row r="481" spans="1:21" x14ac:dyDescent="0.3">
      <c r="A481" s="14" t="s">
        <v>2146</v>
      </c>
      <c r="B481" t="s">
        <v>32</v>
      </c>
      <c r="C481" t="s">
        <v>322</v>
      </c>
      <c r="D481">
        <v>1</v>
      </c>
      <c r="E481" s="7">
        <v>289.85000000000002</v>
      </c>
      <c r="F481">
        <v>28847319</v>
      </c>
      <c r="J481" t="s">
        <v>2256</v>
      </c>
      <c r="K481" t="s">
        <v>3</v>
      </c>
      <c r="L481" s="2">
        <v>43191</v>
      </c>
      <c r="M481" s="2">
        <f>DOCXX[[#This Row],[INV DOC DATE]]+30</f>
        <v>43221</v>
      </c>
      <c r="N481" s="2">
        <v>43244</v>
      </c>
      <c r="O481" s="7">
        <v>289.85000000000002</v>
      </c>
      <c r="P481" s="2">
        <v>43255</v>
      </c>
      <c r="Q481" s="7">
        <f>$E481-$O481</f>
        <v>0</v>
      </c>
      <c r="R481" s="7" t="str">
        <f ca="1">IF(TODAY() - DOCXX[INV DUE DATE]&lt;30, "Less than 30 days",IF(TODAY()-DOCXX[INV DUE DATE]&lt;60,"30-60 days","More than 60 days"))</f>
        <v>More than 60 days</v>
      </c>
      <c r="S481" t="s">
        <v>818</v>
      </c>
      <c r="U481" s="7" t="s">
        <v>3699</v>
      </c>
    </row>
    <row r="482" spans="1:21" x14ac:dyDescent="0.3">
      <c r="A482" s="14" t="s">
        <v>2146</v>
      </c>
      <c r="B482" t="s">
        <v>32</v>
      </c>
      <c r="C482" t="s">
        <v>323</v>
      </c>
      <c r="D482">
        <v>1</v>
      </c>
      <c r="E482" s="7">
        <v>289.85000000000002</v>
      </c>
      <c r="F482">
        <v>31723037</v>
      </c>
      <c r="J482" t="s">
        <v>2256</v>
      </c>
      <c r="K482" t="s">
        <v>3</v>
      </c>
      <c r="L482" s="2">
        <v>43191</v>
      </c>
      <c r="M482" s="2">
        <f>DOCXX[[#This Row],[INV DOC DATE]]+30</f>
        <v>43221</v>
      </c>
      <c r="N482" s="2">
        <v>43244</v>
      </c>
      <c r="O482" s="7">
        <v>289.85000000000002</v>
      </c>
      <c r="P482" s="2">
        <v>43255</v>
      </c>
      <c r="Q482" s="7">
        <f>$E482-$O482</f>
        <v>0</v>
      </c>
      <c r="R482" s="7" t="str">
        <f ca="1">IF(TODAY() - DOCXX[INV DUE DATE]&lt;30, "Less than 30 days",IF(TODAY()-DOCXX[INV DUE DATE]&lt;60,"30-60 days","More than 60 days"))</f>
        <v>More than 60 days</v>
      </c>
      <c r="S482" t="s">
        <v>818</v>
      </c>
      <c r="U482" s="7" t="s">
        <v>3699</v>
      </c>
    </row>
    <row r="483" spans="1:21" x14ac:dyDescent="0.3">
      <c r="A483" s="14" t="s">
        <v>2146</v>
      </c>
      <c r="B483" t="s">
        <v>32</v>
      </c>
      <c r="C483" t="s">
        <v>324</v>
      </c>
      <c r="D483">
        <v>1</v>
      </c>
      <c r="E483" s="7">
        <v>289.85000000000002</v>
      </c>
      <c r="F483">
        <v>30713970</v>
      </c>
      <c r="J483" t="s">
        <v>2256</v>
      </c>
      <c r="K483" t="s">
        <v>3</v>
      </c>
      <c r="L483" s="2">
        <v>43191</v>
      </c>
      <c r="M483" s="2">
        <f>DOCXX[[#This Row],[INV DOC DATE]]+30</f>
        <v>43221</v>
      </c>
      <c r="N483" s="2">
        <v>43244</v>
      </c>
      <c r="O483" s="7">
        <v>289.85000000000002</v>
      </c>
      <c r="P483" s="2">
        <v>43255</v>
      </c>
      <c r="Q483" s="7">
        <f>$E483-$O483</f>
        <v>0</v>
      </c>
      <c r="R483" s="7" t="str">
        <f ca="1">IF(TODAY() - DOCXX[INV DUE DATE]&lt;30, "Less than 30 days",IF(TODAY()-DOCXX[INV DUE DATE]&lt;60,"30-60 days","More than 60 days"))</f>
        <v>More than 60 days</v>
      </c>
      <c r="S483" t="s">
        <v>818</v>
      </c>
      <c r="U483" s="7" t="s">
        <v>3699</v>
      </c>
    </row>
    <row r="484" spans="1:21" x14ac:dyDescent="0.3">
      <c r="A484" s="14" t="s">
        <v>2146</v>
      </c>
      <c r="B484" t="s">
        <v>32</v>
      </c>
      <c r="C484" t="s">
        <v>325</v>
      </c>
      <c r="D484">
        <v>1</v>
      </c>
      <c r="E484" s="7">
        <v>289.85000000000002</v>
      </c>
      <c r="F484">
        <v>25417840</v>
      </c>
      <c r="J484" t="s">
        <v>2256</v>
      </c>
      <c r="K484" t="s">
        <v>3</v>
      </c>
      <c r="L484" s="2">
        <v>43191</v>
      </c>
      <c r="M484" s="2">
        <f>DOCXX[[#This Row],[INV DOC DATE]]+30</f>
        <v>43221</v>
      </c>
      <c r="N484" s="2">
        <v>43244</v>
      </c>
      <c r="O484" s="7">
        <v>289.85000000000002</v>
      </c>
      <c r="P484" s="2">
        <v>43255</v>
      </c>
      <c r="Q484" s="7">
        <f>$E484-$O484</f>
        <v>0</v>
      </c>
      <c r="R484" s="7" t="str">
        <f ca="1">IF(TODAY() - DOCXX[INV DUE DATE]&lt;30, "Less than 30 days",IF(TODAY()-DOCXX[INV DUE DATE]&lt;60,"30-60 days","More than 60 days"))</f>
        <v>More than 60 days</v>
      </c>
      <c r="S484" t="s">
        <v>818</v>
      </c>
      <c r="U484" s="7" t="s">
        <v>3699</v>
      </c>
    </row>
    <row r="485" spans="1:21" x14ac:dyDescent="0.3">
      <c r="A485" s="14" t="s">
        <v>2146</v>
      </c>
      <c r="B485" t="s">
        <v>32</v>
      </c>
      <c r="C485" t="s">
        <v>326</v>
      </c>
      <c r="D485">
        <v>1</v>
      </c>
      <c r="E485" s="7">
        <v>289.85000000000002</v>
      </c>
      <c r="F485">
        <v>30691595</v>
      </c>
      <c r="J485" t="s">
        <v>2256</v>
      </c>
      <c r="K485" t="s">
        <v>3</v>
      </c>
      <c r="L485" s="2">
        <v>43191</v>
      </c>
      <c r="M485" s="2">
        <f>DOCXX[[#This Row],[INV DOC DATE]]+30</f>
        <v>43221</v>
      </c>
      <c r="N485" s="2">
        <v>43244</v>
      </c>
      <c r="O485" s="7">
        <v>289.85000000000002</v>
      </c>
      <c r="P485" s="2">
        <v>43255</v>
      </c>
      <c r="Q485" s="7">
        <f>$E485-$O485</f>
        <v>0</v>
      </c>
      <c r="R485" s="7" t="str">
        <f ca="1">IF(TODAY() - DOCXX[INV DUE DATE]&lt;30, "Less than 30 days",IF(TODAY()-DOCXX[INV DUE DATE]&lt;60,"30-60 days","More than 60 days"))</f>
        <v>More than 60 days</v>
      </c>
      <c r="S485" t="s">
        <v>818</v>
      </c>
      <c r="U485" s="7" t="s">
        <v>3699</v>
      </c>
    </row>
    <row r="486" spans="1:21" x14ac:dyDescent="0.3">
      <c r="A486" s="14" t="s">
        <v>2146</v>
      </c>
      <c r="B486" t="s">
        <v>32</v>
      </c>
      <c r="C486" t="s">
        <v>327</v>
      </c>
      <c r="D486">
        <v>1</v>
      </c>
      <c r="E486" s="7">
        <v>289.85000000000002</v>
      </c>
      <c r="F486">
        <v>27665486</v>
      </c>
      <c r="J486" t="s">
        <v>2256</v>
      </c>
      <c r="K486" t="s">
        <v>3</v>
      </c>
      <c r="L486" s="2">
        <v>43191</v>
      </c>
      <c r="M486" s="2">
        <f>DOCXX[[#This Row],[INV DOC DATE]]+30</f>
        <v>43221</v>
      </c>
      <c r="N486" s="2">
        <v>43244</v>
      </c>
      <c r="O486" s="7">
        <v>289.85000000000002</v>
      </c>
      <c r="P486" s="2">
        <v>43255</v>
      </c>
      <c r="Q486" s="7">
        <f>$E486-$O486</f>
        <v>0</v>
      </c>
      <c r="R486" s="7" t="str">
        <f ca="1">IF(TODAY() - DOCXX[INV DUE DATE]&lt;30, "Less than 30 days",IF(TODAY()-DOCXX[INV DUE DATE]&lt;60,"30-60 days","More than 60 days"))</f>
        <v>More than 60 days</v>
      </c>
      <c r="S486" t="s">
        <v>818</v>
      </c>
      <c r="U486" s="7" t="s">
        <v>3699</v>
      </c>
    </row>
    <row r="487" spans="1:21" x14ac:dyDescent="0.3">
      <c r="A487" s="14" t="s">
        <v>2146</v>
      </c>
      <c r="B487" t="s">
        <v>32</v>
      </c>
      <c r="C487" t="s">
        <v>328</v>
      </c>
      <c r="D487">
        <v>1</v>
      </c>
      <c r="E487" s="7">
        <v>289.85000000000002</v>
      </c>
      <c r="F487">
        <v>30260506</v>
      </c>
      <c r="J487" t="s">
        <v>2256</v>
      </c>
      <c r="K487" t="s">
        <v>3</v>
      </c>
      <c r="L487" s="2">
        <v>43191</v>
      </c>
      <c r="M487" s="2">
        <f>DOCXX[[#This Row],[INV DOC DATE]]+30</f>
        <v>43221</v>
      </c>
      <c r="N487" s="2">
        <v>43244</v>
      </c>
      <c r="O487" s="7">
        <v>289.85000000000002</v>
      </c>
      <c r="P487" s="2">
        <v>43255</v>
      </c>
      <c r="Q487" s="7">
        <f>$E487-$O487</f>
        <v>0</v>
      </c>
      <c r="R487" s="7" t="str">
        <f ca="1">IF(TODAY() - DOCXX[INV DUE DATE]&lt;30, "Less than 30 days",IF(TODAY()-DOCXX[INV DUE DATE]&lt;60,"30-60 days","More than 60 days"))</f>
        <v>More than 60 days</v>
      </c>
      <c r="S487" t="s">
        <v>818</v>
      </c>
      <c r="U487" s="7" t="s">
        <v>3699</v>
      </c>
    </row>
    <row r="488" spans="1:21" x14ac:dyDescent="0.3">
      <c r="A488" s="14" t="s">
        <v>2146</v>
      </c>
      <c r="B488" t="s">
        <v>32</v>
      </c>
      <c r="C488" t="s">
        <v>329</v>
      </c>
      <c r="D488">
        <v>1</v>
      </c>
      <c r="E488" s="7">
        <v>289.85000000000002</v>
      </c>
      <c r="F488">
        <v>31334214</v>
      </c>
      <c r="J488" t="s">
        <v>2256</v>
      </c>
      <c r="K488" t="s">
        <v>3</v>
      </c>
      <c r="L488" s="2">
        <v>43191</v>
      </c>
      <c r="M488" s="2">
        <f>DOCXX[[#This Row],[INV DOC DATE]]+30</f>
        <v>43221</v>
      </c>
      <c r="N488" s="2">
        <v>43244</v>
      </c>
      <c r="O488" s="7">
        <v>289.85000000000002</v>
      </c>
      <c r="P488" s="2">
        <v>43255</v>
      </c>
      <c r="Q488" s="7">
        <f>$E488-$O488</f>
        <v>0</v>
      </c>
      <c r="R488" s="7" t="str">
        <f ca="1">IF(TODAY() - DOCXX[INV DUE DATE]&lt;30, "Less than 30 days",IF(TODAY()-DOCXX[INV DUE DATE]&lt;60,"30-60 days","More than 60 days"))</f>
        <v>More than 60 days</v>
      </c>
      <c r="S488" t="s">
        <v>818</v>
      </c>
      <c r="U488" s="7" t="s">
        <v>3699</v>
      </c>
    </row>
    <row r="489" spans="1:21" x14ac:dyDescent="0.3">
      <c r="A489" s="14" t="s">
        <v>2146</v>
      </c>
      <c r="B489" t="s">
        <v>32</v>
      </c>
      <c r="C489" t="s">
        <v>330</v>
      </c>
      <c r="D489">
        <v>1</v>
      </c>
      <c r="E489" s="7">
        <v>289.85000000000002</v>
      </c>
      <c r="F489">
        <v>30259495</v>
      </c>
      <c r="J489" t="s">
        <v>2256</v>
      </c>
      <c r="K489" t="s">
        <v>3</v>
      </c>
      <c r="L489" s="2">
        <v>43191</v>
      </c>
      <c r="M489" s="2">
        <f>DOCXX[[#This Row],[INV DOC DATE]]+30</f>
        <v>43221</v>
      </c>
      <c r="N489" s="2">
        <v>43244</v>
      </c>
      <c r="O489" s="7">
        <v>289.85000000000002</v>
      </c>
      <c r="P489" s="2">
        <v>43255</v>
      </c>
      <c r="Q489" s="7">
        <f>$E489-$O489</f>
        <v>0</v>
      </c>
      <c r="R489" s="7" t="str">
        <f ca="1">IF(TODAY() - DOCXX[INV DUE DATE]&lt;30, "Less than 30 days",IF(TODAY()-DOCXX[INV DUE DATE]&lt;60,"30-60 days","More than 60 days"))</f>
        <v>More than 60 days</v>
      </c>
      <c r="S489" t="s">
        <v>818</v>
      </c>
      <c r="U489" s="7" t="s">
        <v>3699</v>
      </c>
    </row>
    <row r="490" spans="1:21" x14ac:dyDescent="0.3">
      <c r="A490" s="14" t="s">
        <v>2146</v>
      </c>
      <c r="B490" t="s">
        <v>32</v>
      </c>
      <c r="C490" t="s">
        <v>331</v>
      </c>
      <c r="D490">
        <v>1</v>
      </c>
      <c r="E490" s="7">
        <v>289.85000000000002</v>
      </c>
      <c r="F490">
        <v>27556956</v>
      </c>
      <c r="J490" t="s">
        <v>2256</v>
      </c>
      <c r="K490" t="s">
        <v>3</v>
      </c>
      <c r="L490" s="2">
        <v>43191</v>
      </c>
      <c r="M490" s="2">
        <f>DOCXX[[#This Row],[INV DOC DATE]]+30</f>
        <v>43221</v>
      </c>
      <c r="N490" s="2">
        <v>43244</v>
      </c>
      <c r="O490" s="7">
        <v>289.85000000000002</v>
      </c>
      <c r="P490" s="2">
        <v>43255</v>
      </c>
      <c r="Q490" s="7">
        <f>$E490-$O490</f>
        <v>0</v>
      </c>
      <c r="R490" s="7" t="str">
        <f ca="1">IF(TODAY() - DOCXX[INV DUE DATE]&lt;30, "Less than 30 days",IF(TODAY()-DOCXX[INV DUE DATE]&lt;60,"30-60 days","More than 60 days"))</f>
        <v>More than 60 days</v>
      </c>
      <c r="S490" t="s">
        <v>818</v>
      </c>
      <c r="U490" s="7" t="s">
        <v>3699</v>
      </c>
    </row>
    <row r="491" spans="1:21" x14ac:dyDescent="0.3">
      <c r="A491" s="14" t="s">
        <v>2146</v>
      </c>
      <c r="B491" t="s">
        <v>32</v>
      </c>
      <c r="C491" t="s">
        <v>332</v>
      </c>
      <c r="D491">
        <v>1</v>
      </c>
      <c r="E491" s="7">
        <v>289.85000000000002</v>
      </c>
      <c r="F491">
        <v>30709832</v>
      </c>
      <c r="J491" t="s">
        <v>2256</v>
      </c>
      <c r="K491" t="s">
        <v>3</v>
      </c>
      <c r="L491" s="2">
        <v>43191</v>
      </c>
      <c r="M491" s="2">
        <f>DOCXX[[#This Row],[INV DOC DATE]]+30</f>
        <v>43221</v>
      </c>
      <c r="N491" s="2">
        <v>43244</v>
      </c>
      <c r="O491" s="7">
        <v>289.85000000000002</v>
      </c>
      <c r="P491" s="2">
        <v>43255</v>
      </c>
      <c r="Q491" s="7">
        <f>$E491-$O491</f>
        <v>0</v>
      </c>
      <c r="R491" s="7" t="str">
        <f ca="1">IF(TODAY() - DOCXX[INV DUE DATE]&lt;30, "Less than 30 days",IF(TODAY()-DOCXX[INV DUE DATE]&lt;60,"30-60 days","More than 60 days"))</f>
        <v>More than 60 days</v>
      </c>
      <c r="S491" t="s">
        <v>818</v>
      </c>
      <c r="U491" s="7" t="s">
        <v>3699</v>
      </c>
    </row>
    <row r="492" spans="1:21" x14ac:dyDescent="0.3">
      <c r="A492" s="14" t="s">
        <v>2146</v>
      </c>
      <c r="B492" t="s">
        <v>32</v>
      </c>
      <c r="C492" t="s">
        <v>333</v>
      </c>
      <c r="D492">
        <v>1</v>
      </c>
      <c r="E492" s="7">
        <v>289.85000000000002</v>
      </c>
      <c r="F492">
        <v>30771122</v>
      </c>
      <c r="J492" t="s">
        <v>2256</v>
      </c>
      <c r="K492" t="s">
        <v>3</v>
      </c>
      <c r="L492" s="2">
        <v>43191</v>
      </c>
      <c r="M492" s="2">
        <f>DOCXX[[#This Row],[INV DOC DATE]]+30</f>
        <v>43221</v>
      </c>
      <c r="N492" s="2">
        <v>43244</v>
      </c>
      <c r="O492" s="7">
        <v>289.85000000000002</v>
      </c>
      <c r="P492" s="2">
        <v>43255</v>
      </c>
      <c r="Q492" s="7">
        <f>$E492-$O492</f>
        <v>0</v>
      </c>
      <c r="R492" s="7" t="str">
        <f ca="1">IF(TODAY() - DOCXX[INV DUE DATE]&lt;30, "Less than 30 days",IF(TODAY()-DOCXX[INV DUE DATE]&lt;60,"30-60 days","More than 60 days"))</f>
        <v>More than 60 days</v>
      </c>
      <c r="S492" t="s">
        <v>818</v>
      </c>
      <c r="U492" s="7" t="s">
        <v>3699</v>
      </c>
    </row>
    <row r="493" spans="1:21" x14ac:dyDescent="0.3">
      <c r="A493" s="14" t="s">
        <v>2146</v>
      </c>
      <c r="B493" t="s">
        <v>32</v>
      </c>
      <c r="C493" t="s">
        <v>334</v>
      </c>
      <c r="D493">
        <v>1</v>
      </c>
      <c r="E493" s="7">
        <v>289.85000000000002</v>
      </c>
      <c r="F493">
        <v>30307894</v>
      </c>
      <c r="J493" t="s">
        <v>2256</v>
      </c>
      <c r="K493" t="s">
        <v>3</v>
      </c>
      <c r="L493" s="2">
        <v>43191</v>
      </c>
      <c r="M493" s="2">
        <f>DOCXX[[#This Row],[INV DOC DATE]]+30</f>
        <v>43221</v>
      </c>
      <c r="N493" s="2">
        <v>43244</v>
      </c>
      <c r="O493" s="7">
        <v>289.85000000000002</v>
      </c>
      <c r="P493" s="2">
        <v>43255</v>
      </c>
      <c r="Q493" s="7">
        <f>$E493-$O493</f>
        <v>0</v>
      </c>
      <c r="R493" s="7" t="str">
        <f ca="1">IF(TODAY() - DOCXX[INV DUE DATE]&lt;30, "Less than 30 days",IF(TODAY()-DOCXX[INV DUE DATE]&lt;60,"30-60 days","More than 60 days"))</f>
        <v>More than 60 days</v>
      </c>
      <c r="S493" t="s">
        <v>818</v>
      </c>
      <c r="U493" s="7" t="s">
        <v>3699</v>
      </c>
    </row>
    <row r="494" spans="1:21" x14ac:dyDescent="0.3">
      <c r="A494" s="14" t="s">
        <v>2146</v>
      </c>
      <c r="B494" t="s">
        <v>32</v>
      </c>
      <c r="C494" t="s">
        <v>335</v>
      </c>
      <c r="D494">
        <v>1</v>
      </c>
      <c r="E494" s="7">
        <v>289.85000000000002</v>
      </c>
      <c r="F494">
        <v>30839527</v>
      </c>
      <c r="J494" t="s">
        <v>2256</v>
      </c>
      <c r="K494" t="s">
        <v>3</v>
      </c>
      <c r="L494" s="2">
        <v>43191</v>
      </c>
      <c r="M494" s="2">
        <f>DOCXX[[#This Row],[INV DOC DATE]]+30</f>
        <v>43221</v>
      </c>
      <c r="N494" s="2">
        <v>43244</v>
      </c>
      <c r="O494" s="7">
        <v>289.85000000000002</v>
      </c>
      <c r="P494" s="2">
        <v>43255</v>
      </c>
      <c r="Q494" s="7">
        <f>$E494-$O494</f>
        <v>0</v>
      </c>
      <c r="R494" s="7" t="str">
        <f ca="1">IF(TODAY() - DOCXX[INV DUE DATE]&lt;30, "Less than 30 days",IF(TODAY()-DOCXX[INV DUE DATE]&lt;60,"30-60 days","More than 60 days"))</f>
        <v>More than 60 days</v>
      </c>
      <c r="S494" t="s">
        <v>818</v>
      </c>
      <c r="U494" s="7" t="s">
        <v>3699</v>
      </c>
    </row>
    <row r="495" spans="1:21" x14ac:dyDescent="0.3">
      <c r="A495" s="14" t="s">
        <v>2146</v>
      </c>
      <c r="B495" t="s">
        <v>32</v>
      </c>
      <c r="C495" t="s">
        <v>336</v>
      </c>
      <c r="D495">
        <v>1</v>
      </c>
      <c r="E495" s="7">
        <v>289.85000000000002</v>
      </c>
      <c r="F495">
        <v>30274933</v>
      </c>
      <c r="J495" t="s">
        <v>2256</v>
      </c>
      <c r="K495" t="s">
        <v>3</v>
      </c>
      <c r="L495" s="2">
        <v>43191</v>
      </c>
      <c r="M495" s="2">
        <f>DOCXX[[#This Row],[INV DOC DATE]]+30</f>
        <v>43221</v>
      </c>
      <c r="N495" s="2">
        <v>43244</v>
      </c>
      <c r="O495" s="7">
        <v>289.85000000000002</v>
      </c>
      <c r="P495" s="2">
        <v>43255</v>
      </c>
      <c r="Q495" s="7">
        <f>$E495-$O495</f>
        <v>0</v>
      </c>
      <c r="R495" s="7" t="str">
        <f ca="1">IF(TODAY() - DOCXX[INV DUE DATE]&lt;30, "Less than 30 days",IF(TODAY()-DOCXX[INV DUE DATE]&lt;60,"30-60 days","More than 60 days"))</f>
        <v>More than 60 days</v>
      </c>
      <c r="S495" t="s">
        <v>818</v>
      </c>
      <c r="U495" s="7" t="s">
        <v>3699</v>
      </c>
    </row>
    <row r="496" spans="1:21" x14ac:dyDescent="0.3">
      <c r="A496" s="14" t="s">
        <v>2146</v>
      </c>
      <c r="B496" t="s">
        <v>32</v>
      </c>
      <c r="C496" t="s">
        <v>337</v>
      </c>
      <c r="D496">
        <v>1</v>
      </c>
      <c r="E496" s="7">
        <v>289.85000000000002</v>
      </c>
      <c r="F496">
        <v>29473856</v>
      </c>
      <c r="J496" t="s">
        <v>2256</v>
      </c>
      <c r="K496" t="s">
        <v>3</v>
      </c>
      <c r="L496" s="2">
        <v>43191</v>
      </c>
      <c r="M496" s="2">
        <f>DOCXX[[#This Row],[INV DOC DATE]]+30</f>
        <v>43221</v>
      </c>
      <c r="N496" s="2">
        <v>43244</v>
      </c>
      <c r="O496" s="7">
        <v>289.85000000000002</v>
      </c>
      <c r="P496" s="2">
        <v>43255</v>
      </c>
      <c r="Q496" s="7">
        <f>$E496-$O496</f>
        <v>0</v>
      </c>
      <c r="R496" s="7" t="str">
        <f ca="1">IF(TODAY() - DOCXX[INV DUE DATE]&lt;30, "Less than 30 days",IF(TODAY()-DOCXX[INV DUE DATE]&lt;60,"30-60 days","More than 60 days"))</f>
        <v>More than 60 days</v>
      </c>
      <c r="S496" t="s">
        <v>818</v>
      </c>
      <c r="U496" s="7" t="s">
        <v>3699</v>
      </c>
    </row>
    <row r="497" spans="1:21" x14ac:dyDescent="0.3">
      <c r="A497" s="14" t="s">
        <v>2146</v>
      </c>
      <c r="B497" t="s">
        <v>32</v>
      </c>
      <c r="C497" t="s">
        <v>338</v>
      </c>
      <c r="D497">
        <v>1</v>
      </c>
      <c r="E497" s="7">
        <v>289.85000000000002</v>
      </c>
      <c r="F497">
        <v>24153269</v>
      </c>
      <c r="J497" t="s">
        <v>2256</v>
      </c>
      <c r="K497" t="s">
        <v>3</v>
      </c>
      <c r="L497" s="2">
        <v>43191</v>
      </c>
      <c r="M497" s="2">
        <f>DOCXX[[#This Row],[INV DOC DATE]]+30</f>
        <v>43221</v>
      </c>
      <c r="N497" s="2">
        <v>43244</v>
      </c>
      <c r="O497" s="7">
        <v>289.85000000000002</v>
      </c>
      <c r="P497" s="2">
        <v>43255</v>
      </c>
      <c r="Q497" s="7">
        <f>$E497-$O497</f>
        <v>0</v>
      </c>
      <c r="R497" s="7" t="str">
        <f ca="1">IF(TODAY() - DOCXX[INV DUE DATE]&lt;30, "Less than 30 days",IF(TODAY()-DOCXX[INV DUE DATE]&lt;60,"30-60 days","More than 60 days"))</f>
        <v>More than 60 days</v>
      </c>
      <c r="S497" t="s">
        <v>818</v>
      </c>
      <c r="U497" s="7" t="s">
        <v>3699</v>
      </c>
    </row>
    <row r="498" spans="1:21" x14ac:dyDescent="0.3">
      <c r="A498" s="14" t="s">
        <v>2146</v>
      </c>
      <c r="B498" t="s">
        <v>32</v>
      </c>
      <c r="C498" t="s">
        <v>339</v>
      </c>
      <c r="D498">
        <v>1</v>
      </c>
      <c r="E498" s="7">
        <v>289.85000000000002</v>
      </c>
      <c r="F498">
        <v>31629569</v>
      </c>
      <c r="J498" t="s">
        <v>2256</v>
      </c>
      <c r="K498" t="s">
        <v>3</v>
      </c>
      <c r="L498" s="2">
        <v>43191</v>
      </c>
      <c r="M498" s="2">
        <f>DOCXX[[#This Row],[INV DOC DATE]]+30</f>
        <v>43221</v>
      </c>
      <c r="N498" s="2">
        <v>43244</v>
      </c>
      <c r="O498" s="7">
        <v>289.85000000000002</v>
      </c>
      <c r="P498" s="2">
        <v>43255</v>
      </c>
      <c r="Q498" s="7">
        <f>$E498-$O498</f>
        <v>0</v>
      </c>
      <c r="R498" s="7" t="str">
        <f ca="1">IF(TODAY() - DOCXX[INV DUE DATE]&lt;30, "Less than 30 days",IF(TODAY()-DOCXX[INV DUE DATE]&lt;60,"30-60 days","More than 60 days"))</f>
        <v>More than 60 days</v>
      </c>
      <c r="S498" t="s">
        <v>818</v>
      </c>
      <c r="U498" s="7" t="s">
        <v>3699</v>
      </c>
    </row>
    <row r="499" spans="1:21" x14ac:dyDescent="0.3">
      <c r="A499" s="14" t="s">
        <v>2146</v>
      </c>
      <c r="B499" t="s">
        <v>32</v>
      </c>
      <c r="C499" t="s">
        <v>340</v>
      </c>
      <c r="D499">
        <v>1</v>
      </c>
      <c r="E499" s="7">
        <v>289.85000000000002</v>
      </c>
      <c r="F499">
        <v>30721205</v>
      </c>
      <c r="J499" t="s">
        <v>2256</v>
      </c>
      <c r="K499" t="s">
        <v>3</v>
      </c>
      <c r="L499" s="2">
        <v>43191</v>
      </c>
      <c r="M499" s="2">
        <f>DOCXX[[#This Row],[INV DOC DATE]]+30</f>
        <v>43221</v>
      </c>
      <c r="N499" s="2">
        <v>43244</v>
      </c>
      <c r="O499" s="7">
        <v>289.85000000000002</v>
      </c>
      <c r="P499" s="2">
        <v>43255</v>
      </c>
      <c r="Q499" s="7">
        <f>$E499-$O499</f>
        <v>0</v>
      </c>
      <c r="R499" s="7" t="str">
        <f ca="1">IF(TODAY() - DOCXX[INV DUE DATE]&lt;30, "Less than 30 days",IF(TODAY()-DOCXX[INV DUE DATE]&lt;60,"30-60 days","More than 60 days"))</f>
        <v>More than 60 days</v>
      </c>
      <c r="S499" t="s">
        <v>818</v>
      </c>
      <c r="U499" s="7" t="s">
        <v>3699</v>
      </c>
    </row>
    <row r="500" spans="1:21" x14ac:dyDescent="0.3">
      <c r="A500" s="14" t="s">
        <v>2146</v>
      </c>
      <c r="B500" t="s">
        <v>32</v>
      </c>
      <c r="C500" t="s">
        <v>341</v>
      </c>
      <c r="D500">
        <v>1</v>
      </c>
      <c r="E500" s="7">
        <v>289.85000000000002</v>
      </c>
      <c r="F500">
        <v>30788066</v>
      </c>
      <c r="J500" t="s">
        <v>2256</v>
      </c>
      <c r="K500" t="s">
        <v>3</v>
      </c>
      <c r="L500" s="2">
        <v>43191</v>
      </c>
      <c r="M500" s="2">
        <f>DOCXX[[#This Row],[INV DOC DATE]]+30</f>
        <v>43221</v>
      </c>
      <c r="N500" s="2">
        <v>43244</v>
      </c>
      <c r="O500" s="7">
        <v>289.85000000000002</v>
      </c>
      <c r="P500" s="2">
        <v>43255</v>
      </c>
      <c r="Q500" s="7">
        <f>$E500-$O500</f>
        <v>0</v>
      </c>
      <c r="R500" s="7" t="str">
        <f ca="1">IF(TODAY() - DOCXX[INV DUE DATE]&lt;30, "Less than 30 days",IF(TODAY()-DOCXX[INV DUE DATE]&lt;60,"30-60 days","More than 60 days"))</f>
        <v>More than 60 days</v>
      </c>
      <c r="S500" t="s">
        <v>818</v>
      </c>
      <c r="U500" s="7" t="s">
        <v>3699</v>
      </c>
    </row>
    <row r="501" spans="1:21" x14ac:dyDescent="0.3">
      <c r="A501" s="14" t="s">
        <v>2146</v>
      </c>
      <c r="B501" t="s">
        <v>32</v>
      </c>
      <c r="C501" t="s">
        <v>342</v>
      </c>
      <c r="D501">
        <v>1</v>
      </c>
      <c r="E501" s="7">
        <v>289.85000000000002</v>
      </c>
      <c r="F501">
        <v>31473966</v>
      </c>
      <c r="J501" t="s">
        <v>2256</v>
      </c>
      <c r="K501" t="s">
        <v>3</v>
      </c>
      <c r="L501" s="2">
        <v>43191</v>
      </c>
      <c r="M501" s="2">
        <f>DOCXX[[#This Row],[INV DOC DATE]]+30</f>
        <v>43221</v>
      </c>
      <c r="N501" s="2">
        <v>43244</v>
      </c>
      <c r="O501" s="7">
        <v>289.85000000000002</v>
      </c>
      <c r="P501" s="2">
        <v>43255</v>
      </c>
      <c r="Q501" s="7">
        <f>$E501-$O501</f>
        <v>0</v>
      </c>
      <c r="R501" s="7" t="str">
        <f ca="1">IF(TODAY() - DOCXX[INV DUE DATE]&lt;30, "Less than 30 days",IF(TODAY()-DOCXX[INV DUE DATE]&lt;60,"30-60 days","More than 60 days"))</f>
        <v>More than 60 days</v>
      </c>
      <c r="S501" t="s">
        <v>818</v>
      </c>
      <c r="U501" s="7" t="s">
        <v>3699</v>
      </c>
    </row>
    <row r="502" spans="1:21" x14ac:dyDescent="0.3">
      <c r="A502" s="14" t="s">
        <v>2146</v>
      </c>
      <c r="B502" t="s">
        <v>32</v>
      </c>
      <c r="C502" t="s">
        <v>55</v>
      </c>
      <c r="D502">
        <v>1</v>
      </c>
      <c r="E502" s="7">
        <v>112.2</v>
      </c>
      <c r="F502">
        <v>31778348</v>
      </c>
      <c r="J502" t="s">
        <v>2256</v>
      </c>
      <c r="K502" t="s">
        <v>3</v>
      </c>
      <c r="L502" s="2">
        <v>43191</v>
      </c>
      <c r="M502" s="2">
        <f>DOCXX[[#This Row],[INV DOC DATE]]+30</f>
        <v>43221</v>
      </c>
      <c r="N502" s="2">
        <v>43244</v>
      </c>
      <c r="Q502" s="7">
        <f>$E502-$O502</f>
        <v>112.2</v>
      </c>
      <c r="R502" s="7" t="str">
        <f ca="1">IF(TODAY() - DOCXX[INV DUE DATE]&lt;30, "Less than 30 days",IF(TODAY()-DOCXX[INV DUE DATE]&lt;60,"30-60 days","More than 60 days"))</f>
        <v>More than 60 days</v>
      </c>
      <c r="S502" t="s">
        <v>818</v>
      </c>
      <c r="U502" s="7" t="s">
        <v>3699</v>
      </c>
    </row>
    <row r="503" spans="1:21" x14ac:dyDescent="0.3">
      <c r="A503" s="14" t="s">
        <v>2146</v>
      </c>
      <c r="B503" t="s">
        <v>32</v>
      </c>
      <c r="C503" t="s">
        <v>56</v>
      </c>
      <c r="D503">
        <v>1</v>
      </c>
      <c r="E503" s="7">
        <v>112.2</v>
      </c>
      <c r="F503">
        <v>31778349</v>
      </c>
      <c r="J503" t="s">
        <v>2256</v>
      </c>
      <c r="K503" t="s">
        <v>3</v>
      </c>
      <c r="L503" s="2">
        <v>43191</v>
      </c>
      <c r="M503" s="2">
        <f>DOCXX[[#This Row],[INV DOC DATE]]+30</f>
        <v>43221</v>
      </c>
      <c r="N503" s="2">
        <v>43244</v>
      </c>
      <c r="Q503" s="7">
        <f>$E503-$O503</f>
        <v>112.2</v>
      </c>
      <c r="R503" s="7" t="str">
        <f ca="1">IF(TODAY() - DOCXX[INV DUE DATE]&lt;30, "Less than 30 days",IF(TODAY()-DOCXX[INV DUE DATE]&lt;60,"30-60 days","More than 60 days"))</f>
        <v>More than 60 days</v>
      </c>
      <c r="S503" t="s">
        <v>818</v>
      </c>
      <c r="U503" s="7" t="s">
        <v>3699</v>
      </c>
    </row>
    <row r="504" spans="1:21" x14ac:dyDescent="0.3">
      <c r="A504" s="14" t="s">
        <v>2146</v>
      </c>
      <c r="B504" t="s">
        <v>32</v>
      </c>
      <c r="C504" t="s">
        <v>57</v>
      </c>
      <c r="D504">
        <v>1</v>
      </c>
      <c r="E504" s="7">
        <v>102.85</v>
      </c>
      <c r="F504">
        <v>31778730</v>
      </c>
      <c r="J504" t="s">
        <v>2256</v>
      </c>
      <c r="K504" t="s">
        <v>3</v>
      </c>
      <c r="L504" s="2">
        <v>43191</v>
      </c>
      <c r="M504" s="2">
        <f>DOCXX[[#This Row],[INV DOC DATE]]+30</f>
        <v>43221</v>
      </c>
      <c r="N504" s="2">
        <v>43244</v>
      </c>
      <c r="Q504" s="7">
        <f>$E504-$O504</f>
        <v>102.85</v>
      </c>
      <c r="R504" s="7" t="str">
        <f ca="1">IF(TODAY() - DOCXX[INV DUE DATE]&lt;30, "Less than 30 days",IF(TODAY()-DOCXX[INV DUE DATE]&lt;60,"30-60 days","More than 60 days"))</f>
        <v>More than 60 days</v>
      </c>
      <c r="S504" t="s">
        <v>818</v>
      </c>
      <c r="U504" s="7" t="s">
        <v>3699</v>
      </c>
    </row>
    <row r="505" spans="1:21" x14ac:dyDescent="0.3">
      <c r="A505" s="14" t="s">
        <v>2146</v>
      </c>
      <c r="B505" t="s">
        <v>32</v>
      </c>
      <c r="C505" t="s">
        <v>114</v>
      </c>
      <c r="D505">
        <v>1</v>
      </c>
      <c r="E505" s="7">
        <v>149.6</v>
      </c>
      <c r="F505">
        <v>42304562</v>
      </c>
      <c r="J505" t="s">
        <v>2256</v>
      </c>
      <c r="K505" t="s">
        <v>3</v>
      </c>
      <c r="L505" s="2">
        <v>43191</v>
      </c>
      <c r="M505" s="2">
        <f>DOCXX[[#This Row],[INV DOC DATE]]+30</f>
        <v>43221</v>
      </c>
      <c r="N505" s="2">
        <v>43244</v>
      </c>
      <c r="Q505" s="7">
        <f>$E505-$O505</f>
        <v>149.6</v>
      </c>
      <c r="R505" s="7" t="str">
        <f ca="1">IF(TODAY() - DOCXX[INV DUE DATE]&lt;30, "Less than 30 days",IF(TODAY()-DOCXX[INV DUE DATE]&lt;60,"30-60 days","More than 60 days"))</f>
        <v>More than 60 days</v>
      </c>
      <c r="S505" t="s">
        <v>818</v>
      </c>
      <c r="U505" s="7" t="s">
        <v>3699</v>
      </c>
    </row>
    <row r="506" spans="1:21" x14ac:dyDescent="0.3">
      <c r="A506" s="14" t="s">
        <v>2146</v>
      </c>
      <c r="B506" t="s">
        <v>32</v>
      </c>
      <c r="C506" t="s">
        <v>298</v>
      </c>
      <c r="D506">
        <v>1</v>
      </c>
      <c r="E506" s="7">
        <v>289.85000000000002</v>
      </c>
      <c r="F506">
        <v>28443652</v>
      </c>
      <c r="J506" t="s">
        <v>2256</v>
      </c>
      <c r="K506" t="s">
        <v>3</v>
      </c>
      <c r="L506" s="2">
        <v>43191</v>
      </c>
      <c r="M506" s="2">
        <f>DOCXX[[#This Row],[INV DOC DATE]]+30</f>
        <v>43221</v>
      </c>
      <c r="N506" s="2">
        <v>43244</v>
      </c>
      <c r="Q506" s="7">
        <f>$E506-$O506</f>
        <v>289.85000000000002</v>
      </c>
      <c r="R506" s="7" t="str">
        <f ca="1">IF(TODAY() - DOCXX[INV DUE DATE]&lt;30, "Less than 30 days",IF(TODAY()-DOCXX[INV DUE DATE]&lt;60,"30-60 days","More than 60 days"))</f>
        <v>More than 60 days</v>
      </c>
      <c r="S506" t="s">
        <v>818</v>
      </c>
      <c r="U506" s="7" t="s">
        <v>3699</v>
      </c>
    </row>
    <row r="507" spans="1:21" x14ac:dyDescent="0.3">
      <c r="A507" s="14" t="s">
        <v>2147</v>
      </c>
      <c r="B507" t="s">
        <v>35</v>
      </c>
      <c r="E507" s="7">
        <v>13838</v>
      </c>
      <c r="G507">
        <v>4700681102</v>
      </c>
      <c r="J507" t="s">
        <v>2257</v>
      </c>
      <c r="K507" t="s">
        <v>4</v>
      </c>
      <c r="L507" s="2">
        <v>43191</v>
      </c>
      <c r="M507" s="2">
        <f>DOCXX[[#This Row],[INV DOC DATE]]+30</f>
        <v>43221</v>
      </c>
      <c r="N507" s="2">
        <v>43244</v>
      </c>
      <c r="O507" s="7">
        <v>13838</v>
      </c>
      <c r="P507" s="2">
        <v>43279</v>
      </c>
      <c r="Q507" s="7">
        <f>$E507-$O507</f>
        <v>0</v>
      </c>
      <c r="R507" s="7" t="str">
        <f ca="1">IF(TODAY() - DOCXX[INV DUE DATE]&lt;30, "Less than 30 days",IF(TODAY()-DOCXX[INV DUE DATE]&lt;60,"30-60 days","More than 60 days"))</f>
        <v>More than 60 days</v>
      </c>
      <c r="S507" t="s">
        <v>818</v>
      </c>
      <c r="T507" s="43" t="s">
        <v>2229</v>
      </c>
      <c r="U507" s="7" t="s">
        <v>3699</v>
      </c>
    </row>
    <row r="508" spans="1:21" x14ac:dyDescent="0.3">
      <c r="A508" s="14" t="s">
        <v>3731</v>
      </c>
      <c r="B508" t="s">
        <v>30</v>
      </c>
      <c r="C508" t="s">
        <v>27</v>
      </c>
      <c r="D508">
        <v>1</v>
      </c>
      <c r="E508" s="7">
        <v>8294.77</v>
      </c>
      <c r="H508">
        <v>1274</v>
      </c>
      <c r="I508" t="s">
        <v>350</v>
      </c>
      <c r="J508" t="s">
        <v>3738</v>
      </c>
      <c r="K508" t="s">
        <v>3</v>
      </c>
      <c r="L508" s="2">
        <v>43221</v>
      </c>
      <c r="M508" s="2">
        <f>DOCXX[[#This Row],[INV DOC DATE]]+30</f>
        <v>43251</v>
      </c>
      <c r="N508" s="2">
        <v>43266</v>
      </c>
      <c r="O508" s="7">
        <v>8294.77</v>
      </c>
      <c r="P508" s="2">
        <v>43278</v>
      </c>
      <c r="Q508" s="7">
        <f>$E508-$O508</f>
        <v>0</v>
      </c>
      <c r="R508" s="7" t="str">
        <f ca="1">IF(TODAY() - DOCXX[INV DUE DATE]&lt;30, "Less than 30 days",IF(TODAY()-DOCXX[INV DUE DATE]&lt;60,"30-60 days","More than 60 days"))</f>
        <v>30-60 days</v>
      </c>
      <c r="S508" t="s">
        <v>818</v>
      </c>
      <c r="T508" s="43" t="s">
        <v>2229</v>
      </c>
      <c r="U508" s="7" t="s">
        <v>3699</v>
      </c>
    </row>
    <row r="509" spans="1:21" x14ac:dyDescent="0.3">
      <c r="A509" s="14" t="s">
        <v>3731</v>
      </c>
      <c r="B509" t="s">
        <v>30</v>
      </c>
      <c r="C509" t="s">
        <v>28</v>
      </c>
      <c r="D509">
        <v>1</v>
      </c>
      <c r="E509" s="7">
        <v>7320.88</v>
      </c>
      <c r="H509">
        <v>1273</v>
      </c>
      <c r="I509" t="s">
        <v>350</v>
      </c>
      <c r="J509" t="s">
        <v>3738</v>
      </c>
      <c r="K509" t="s">
        <v>3</v>
      </c>
      <c r="L509" s="2">
        <v>43221</v>
      </c>
      <c r="M509" s="2">
        <f>DOCXX[[#This Row],[INV DOC DATE]]+30</f>
        <v>43251</v>
      </c>
      <c r="N509" s="2">
        <v>43266</v>
      </c>
      <c r="O509" s="7">
        <v>7320.88</v>
      </c>
      <c r="P509" s="2">
        <v>43278</v>
      </c>
      <c r="Q509" s="7">
        <f>$E509-$O509</f>
        <v>0</v>
      </c>
      <c r="R509" s="7" t="str">
        <f ca="1">IF(TODAY() - DOCXX[INV DUE DATE]&lt;30, "Less than 30 days",IF(TODAY()-DOCXX[INV DUE DATE]&lt;60,"30-60 days","More than 60 days"))</f>
        <v>30-60 days</v>
      </c>
      <c r="S509" t="s">
        <v>818</v>
      </c>
      <c r="T509" s="43" t="s">
        <v>2229</v>
      </c>
      <c r="U509" s="7" t="s">
        <v>3699</v>
      </c>
    </row>
    <row r="510" spans="1:21" x14ac:dyDescent="0.3">
      <c r="A510" s="14" t="s">
        <v>3731</v>
      </c>
      <c r="B510" t="s">
        <v>30</v>
      </c>
      <c r="C510" t="s">
        <v>37</v>
      </c>
      <c r="D510">
        <v>1</v>
      </c>
      <c r="E510" s="7">
        <v>7048.63</v>
      </c>
      <c r="H510">
        <v>58008</v>
      </c>
      <c r="I510" t="s">
        <v>355</v>
      </c>
      <c r="J510" t="s">
        <v>3738</v>
      </c>
      <c r="K510" t="s">
        <v>3</v>
      </c>
      <c r="L510" s="2">
        <v>43221</v>
      </c>
      <c r="M510" s="2">
        <f>DOCXX[[#This Row],[INV DOC DATE]]+30</f>
        <v>43251</v>
      </c>
      <c r="N510" s="2">
        <v>43266</v>
      </c>
      <c r="O510" s="7">
        <v>7048.63</v>
      </c>
      <c r="P510" s="2">
        <v>43278</v>
      </c>
      <c r="Q510" s="7">
        <f>$E510-$O510</f>
        <v>0</v>
      </c>
      <c r="R510" s="7" t="str">
        <f ca="1">IF(TODAY() - DOCXX[INV DUE DATE]&lt;30, "Less than 30 days",IF(TODAY()-DOCXX[INV DUE DATE]&lt;60,"30-60 days","More than 60 days"))</f>
        <v>30-60 days</v>
      </c>
      <c r="S510" t="s">
        <v>818</v>
      </c>
      <c r="T510" s="43" t="s">
        <v>2229</v>
      </c>
      <c r="U510" s="7" t="s">
        <v>3699</v>
      </c>
    </row>
    <row r="511" spans="1:21" x14ac:dyDescent="0.3">
      <c r="A511" s="14" t="s">
        <v>3731</v>
      </c>
      <c r="B511" t="s">
        <v>30</v>
      </c>
      <c r="C511" t="s">
        <v>38</v>
      </c>
      <c r="D511">
        <v>1</v>
      </c>
      <c r="E511" s="7">
        <v>3866.94</v>
      </c>
      <c r="H511">
        <v>66660</v>
      </c>
      <c r="I511" t="s">
        <v>357</v>
      </c>
      <c r="J511" t="s">
        <v>3738</v>
      </c>
      <c r="K511" t="s">
        <v>3</v>
      </c>
      <c r="L511" s="2">
        <v>43221</v>
      </c>
      <c r="M511" s="2">
        <f>DOCXX[[#This Row],[INV DOC DATE]]+30</f>
        <v>43251</v>
      </c>
      <c r="N511" s="2">
        <v>43266</v>
      </c>
      <c r="O511" s="7">
        <v>3866.94</v>
      </c>
      <c r="P511" s="2">
        <v>43278</v>
      </c>
      <c r="Q511" s="7">
        <f>$E511-$O511</f>
        <v>0</v>
      </c>
      <c r="R511" s="7" t="str">
        <f ca="1">IF(TODAY() - DOCXX[INV DUE DATE]&lt;30, "Less than 30 days",IF(TODAY()-DOCXX[INV DUE DATE]&lt;60,"30-60 days","More than 60 days"))</f>
        <v>30-60 days</v>
      </c>
      <c r="S511" t="s">
        <v>818</v>
      </c>
      <c r="T511" s="43" t="s">
        <v>2229</v>
      </c>
      <c r="U511" s="7" t="s">
        <v>3699</v>
      </c>
    </row>
    <row r="512" spans="1:21" x14ac:dyDescent="0.3">
      <c r="A512" s="14" t="s">
        <v>3731</v>
      </c>
      <c r="B512" t="s">
        <v>30</v>
      </c>
      <c r="C512" t="s">
        <v>39</v>
      </c>
      <c r="D512">
        <v>1</v>
      </c>
      <c r="E512" s="7">
        <v>3319.54</v>
      </c>
      <c r="H512">
        <v>97900</v>
      </c>
      <c r="I512" t="s">
        <v>350</v>
      </c>
      <c r="J512" t="s">
        <v>3738</v>
      </c>
      <c r="K512" t="s">
        <v>3</v>
      </c>
      <c r="L512" s="2">
        <v>43221</v>
      </c>
      <c r="M512" s="2">
        <f>DOCXX[[#This Row],[INV DOC DATE]]+30</f>
        <v>43251</v>
      </c>
      <c r="N512" s="2">
        <v>43266</v>
      </c>
      <c r="O512" s="7">
        <v>3319.54</v>
      </c>
      <c r="P512" s="2">
        <v>43278</v>
      </c>
      <c r="Q512" s="7">
        <f>$E512-$O512</f>
        <v>0</v>
      </c>
      <c r="R512" s="7" t="str">
        <f ca="1">IF(TODAY() - DOCXX[INV DUE DATE]&lt;30, "Less than 30 days",IF(TODAY()-DOCXX[INV DUE DATE]&lt;60,"30-60 days","More than 60 days"))</f>
        <v>30-60 days</v>
      </c>
      <c r="S512" t="s">
        <v>818</v>
      </c>
      <c r="T512" s="43" t="s">
        <v>2229</v>
      </c>
      <c r="U512" s="7" t="s">
        <v>3699</v>
      </c>
    </row>
    <row r="513" spans="1:21" x14ac:dyDescent="0.3">
      <c r="A513" s="14" t="s">
        <v>3731</v>
      </c>
      <c r="B513" t="s">
        <v>30</v>
      </c>
      <c r="C513" t="s">
        <v>40</v>
      </c>
      <c r="D513">
        <v>1</v>
      </c>
      <c r="E513" s="7">
        <v>2229.77</v>
      </c>
      <c r="H513">
        <v>66665</v>
      </c>
      <c r="I513" t="s">
        <v>2248</v>
      </c>
      <c r="J513" t="s">
        <v>3738</v>
      </c>
      <c r="K513" t="s">
        <v>3</v>
      </c>
      <c r="L513" s="2">
        <v>43221</v>
      </c>
      <c r="M513" s="2">
        <f>DOCXX[[#This Row],[INV DOC DATE]]+30</f>
        <v>43251</v>
      </c>
      <c r="N513" s="2">
        <v>43266</v>
      </c>
      <c r="O513" s="7">
        <v>2229.77</v>
      </c>
      <c r="P513" s="2">
        <v>43278</v>
      </c>
      <c r="Q513" s="7">
        <f>$E513-$O513</f>
        <v>0</v>
      </c>
      <c r="R513" s="7" t="str">
        <f ca="1">IF(TODAY() - DOCXX[INV DUE DATE]&lt;30, "Less than 30 days",IF(TODAY()-DOCXX[INV DUE DATE]&lt;60,"30-60 days","More than 60 days"))</f>
        <v>30-60 days</v>
      </c>
      <c r="S513" t="s">
        <v>818</v>
      </c>
      <c r="T513" s="43" t="s">
        <v>2229</v>
      </c>
      <c r="U513" s="7" t="s">
        <v>3699</v>
      </c>
    </row>
    <row r="514" spans="1:21" x14ac:dyDescent="0.3">
      <c r="A514" s="14" t="s">
        <v>3731</v>
      </c>
      <c r="B514" t="s">
        <v>30</v>
      </c>
      <c r="C514" t="s">
        <v>41</v>
      </c>
      <c r="D514">
        <v>1</v>
      </c>
      <c r="E514" s="7">
        <v>2224.75</v>
      </c>
      <c r="H514">
        <v>167840</v>
      </c>
      <c r="I514" t="s">
        <v>2249</v>
      </c>
      <c r="J514" t="s">
        <v>3738</v>
      </c>
      <c r="K514" t="s">
        <v>3</v>
      </c>
      <c r="L514" s="2">
        <v>43221</v>
      </c>
      <c r="M514" s="2">
        <f>DOCXX[[#This Row],[INV DOC DATE]]+30</f>
        <v>43251</v>
      </c>
      <c r="N514" s="2">
        <v>43266</v>
      </c>
      <c r="O514" s="7">
        <v>2224.75</v>
      </c>
      <c r="P514" s="2">
        <v>43278</v>
      </c>
      <c r="Q514" s="7">
        <f>$E514-$O514</f>
        <v>0</v>
      </c>
      <c r="R514" s="7" t="str">
        <f ca="1">IF(TODAY() - DOCXX[INV DUE DATE]&lt;30, "Less than 30 days",IF(TODAY()-DOCXX[INV DUE DATE]&lt;60,"30-60 days","More than 60 days"))</f>
        <v>30-60 days</v>
      </c>
      <c r="S514" t="s">
        <v>818</v>
      </c>
      <c r="T514" s="43" t="s">
        <v>2229</v>
      </c>
      <c r="U514" s="7" t="s">
        <v>3699</v>
      </c>
    </row>
    <row r="515" spans="1:21" x14ac:dyDescent="0.3">
      <c r="A515" s="14" t="s">
        <v>3731</v>
      </c>
      <c r="B515" t="s">
        <v>30</v>
      </c>
      <c r="C515" t="s">
        <v>42</v>
      </c>
      <c r="D515">
        <v>1</v>
      </c>
      <c r="E515" s="7">
        <v>1913.38</v>
      </c>
      <c r="H515">
        <v>68162</v>
      </c>
      <c r="I515" t="s">
        <v>358</v>
      </c>
      <c r="J515" t="s">
        <v>3738</v>
      </c>
      <c r="K515" t="s">
        <v>3</v>
      </c>
      <c r="L515" s="2">
        <v>43221</v>
      </c>
      <c r="M515" s="2">
        <f>DOCXX[[#This Row],[INV DOC DATE]]+30</f>
        <v>43251</v>
      </c>
      <c r="N515" s="2">
        <v>43266</v>
      </c>
      <c r="O515" s="7">
        <v>1913.38</v>
      </c>
      <c r="P515" s="2">
        <v>43278</v>
      </c>
      <c r="Q515" s="7">
        <f>$E515-$O515</f>
        <v>0</v>
      </c>
      <c r="R515" s="7" t="str">
        <f ca="1">IF(TODAY() - DOCXX[INV DUE DATE]&lt;30, "Less than 30 days",IF(TODAY()-DOCXX[INV DUE DATE]&lt;60,"30-60 days","More than 60 days"))</f>
        <v>30-60 days</v>
      </c>
      <c r="S515" t="s">
        <v>818</v>
      </c>
      <c r="T515" s="43" t="s">
        <v>2229</v>
      </c>
      <c r="U515" s="7" t="s">
        <v>3699</v>
      </c>
    </row>
    <row r="516" spans="1:21" x14ac:dyDescent="0.3">
      <c r="A516" s="14" t="s">
        <v>3731</v>
      </c>
      <c r="B516" t="s">
        <v>30</v>
      </c>
      <c r="C516" t="s">
        <v>43</v>
      </c>
      <c r="D516">
        <v>1</v>
      </c>
      <c r="E516" s="7">
        <v>1727.57</v>
      </c>
      <c r="H516">
        <v>55785</v>
      </c>
      <c r="I516" t="s">
        <v>354</v>
      </c>
      <c r="J516" t="s">
        <v>3738</v>
      </c>
      <c r="K516" t="s">
        <v>3</v>
      </c>
      <c r="L516" s="2">
        <v>43221</v>
      </c>
      <c r="M516" s="2">
        <f>DOCXX[[#This Row],[INV DOC DATE]]+30</f>
        <v>43251</v>
      </c>
      <c r="N516" s="2">
        <v>43266</v>
      </c>
      <c r="O516" s="7">
        <v>1727.57</v>
      </c>
      <c r="P516" s="2">
        <v>43278</v>
      </c>
      <c r="Q516" s="7">
        <f>$E516-$O516</f>
        <v>0</v>
      </c>
      <c r="R516" s="7" t="str">
        <f ca="1">IF(TODAY() - DOCXX[INV DUE DATE]&lt;30, "Less than 30 days",IF(TODAY()-DOCXX[INV DUE DATE]&lt;60,"30-60 days","More than 60 days"))</f>
        <v>30-60 days</v>
      </c>
      <c r="S516" t="s">
        <v>818</v>
      </c>
      <c r="T516" s="43" t="s">
        <v>2229</v>
      </c>
      <c r="U516" s="7" t="s">
        <v>3699</v>
      </c>
    </row>
    <row r="517" spans="1:21" x14ac:dyDescent="0.3">
      <c r="A517" s="14" t="s">
        <v>3731</v>
      </c>
      <c r="B517" t="s">
        <v>30</v>
      </c>
      <c r="C517" t="s">
        <v>44</v>
      </c>
      <c r="D517">
        <v>1</v>
      </c>
      <c r="E517" s="7">
        <v>1556.82</v>
      </c>
      <c r="H517">
        <v>82624</v>
      </c>
      <c r="I517" t="s">
        <v>853</v>
      </c>
      <c r="J517" t="s">
        <v>3738</v>
      </c>
      <c r="K517" t="s">
        <v>3</v>
      </c>
      <c r="L517" s="2">
        <v>43221</v>
      </c>
      <c r="M517" s="2">
        <f>DOCXX[[#This Row],[INV DOC DATE]]+30</f>
        <v>43251</v>
      </c>
      <c r="N517" s="2">
        <v>43266</v>
      </c>
      <c r="O517" s="7">
        <v>1556.82</v>
      </c>
      <c r="P517" s="2">
        <v>43278</v>
      </c>
      <c r="Q517" s="7">
        <f>$E517-$O517</f>
        <v>0</v>
      </c>
      <c r="R517" s="7" t="str">
        <f ca="1">IF(TODAY() - DOCXX[INV DUE DATE]&lt;30, "Less than 30 days",IF(TODAY()-DOCXX[INV DUE DATE]&lt;60,"30-60 days","More than 60 days"))</f>
        <v>30-60 days</v>
      </c>
      <c r="S517" t="s">
        <v>818</v>
      </c>
      <c r="T517" s="43" t="s">
        <v>2229</v>
      </c>
      <c r="U517" s="7" t="s">
        <v>3699</v>
      </c>
    </row>
    <row r="518" spans="1:21" x14ac:dyDescent="0.3">
      <c r="A518" s="14" t="s">
        <v>3731</v>
      </c>
      <c r="B518" t="s">
        <v>30</v>
      </c>
      <c r="C518" t="s">
        <v>45</v>
      </c>
      <c r="D518">
        <v>1</v>
      </c>
      <c r="E518" s="7">
        <v>1496.56</v>
      </c>
      <c r="H518">
        <v>67904</v>
      </c>
      <c r="I518" t="s">
        <v>853</v>
      </c>
      <c r="J518" t="s">
        <v>3738</v>
      </c>
      <c r="K518" t="s">
        <v>3</v>
      </c>
      <c r="L518" s="2">
        <v>43221</v>
      </c>
      <c r="M518" s="2">
        <f>DOCXX[[#This Row],[INV DOC DATE]]+30</f>
        <v>43251</v>
      </c>
      <c r="N518" s="2">
        <v>43266</v>
      </c>
      <c r="O518" s="7">
        <v>1496.56</v>
      </c>
      <c r="P518" s="2">
        <v>43278</v>
      </c>
      <c r="Q518" s="7">
        <f>$E518-$O518</f>
        <v>0</v>
      </c>
      <c r="R518" s="7" t="str">
        <f ca="1">IF(TODAY() - DOCXX[INV DUE DATE]&lt;30, "Less than 30 days",IF(TODAY()-DOCXX[INV DUE DATE]&lt;60,"30-60 days","More than 60 days"))</f>
        <v>30-60 days</v>
      </c>
      <c r="S518" t="s">
        <v>818</v>
      </c>
      <c r="T518" s="43" t="s">
        <v>2229</v>
      </c>
      <c r="U518" s="7" t="s">
        <v>3699</v>
      </c>
    </row>
    <row r="519" spans="1:21" x14ac:dyDescent="0.3">
      <c r="A519" s="14" t="s">
        <v>3731</v>
      </c>
      <c r="B519" t="s">
        <v>30</v>
      </c>
      <c r="C519" t="s">
        <v>46</v>
      </c>
      <c r="D519">
        <v>1</v>
      </c>
      <c r="E519" s="7">
        <v>1371.01</v>
      </c>
      <c r="H519">
        <v>66652</v>
      </c>
      <c r="I519" t="s">
        <v>356</v>
      </c>
      <c r="J519" t="s">
        <v>3738</v>
      </c>
      <c r="K519" t="s">
        <v>3</v>
      </c>
      <c r="L519" s="2">
        <v>43221</v>
      </c>
      <c r="M519" s="2">
        <f>DOCXX[[#This Row],[INV DOC DATE]]+30</f>
        <v>43251</v>
      </c>
      <c r="N519" s="2">
        <v>43266</v>
      </c>
      <c r="O519" s="7">
        <v>1371.01</v>
      </c>
      <c r="P519" s="2">
        <v>43278</v>
      </c>
      <c r="Q519" s="7">
        <f>$E519-$O519</f>
        <v>0</v>
      </c>
      <c r="R519" s="7" t="str">
        <f ca="1">IF(TODAY() - DOCXX[INV DUE DATE]&lt;30, "Less than 30 days",IF(TODAY()-DOCXX[INV DUE DATE]&lt;60,"30-60 days","More than 60 days"))</f>
        <v>30-60 days</v>
      </c>
      <c r="S519" t="s">
        <v>818</v>
      </c>
      <c r="T519" s="43" t="s">
        <v>2229</v>
      </c>
      <c r="U519" s="7" t="s">
        <v>3699</v>
      </c>
    </row>
    <row r="520" spans="1:21" x14ac:dyDescent="0.3">
      <c r="A520" s="14" t="s">
        <v>3731</v>
      </c>
      <c r="B520" t="s">
        <v>30</v>
      </c>
      <c r="C520" t="s">
        <v>47</v>
      </c>
      <c r="D520">
        <v>1</v>
      </c>
      <c r="E520" s="7">
        <v>1365.98</v>
      </c>
      <c r="H520">
        <v>1204</v>
      </c>
      <c r="I520" t="s">
        <v>2250</v>
      </c>
      <c r="J520" t="s">
        <v>3738</v>
      </c>
      <c r="K520" t="s">
        <v>3</v>
      </c>
      <c r="L520" s="2">
        <v>43221</v>
      </c>
      <c r="M520" s="2">
        <f>DOCXX[[#This Row],[INV DOC DATE]]+30</f>
        <v>43251</v>
      </c>
      <c r="N520" s="2">
        <v>43266</v>
      </c>
      <c r="O520" s="7">
        <v>1365.98</v>
      </c>
      <c r="P520" s="2">
        <v>43278</v>
      </c>
      <c r="Q520" s="7">
        <f>$E520-$O520</f>
        <v>0</v>
      </c>
      <c r="R520" s="7" t="str">
        <f ca="1">IF(TODAY() - DOCXX[INV DUE DATE]&lt;30, "Less than 30 days",IF(TODAY()-DOCXX[INV DUE DATE]&lt;60,"30-60 days","More than 60 days"))</f>
        <v>30-60 days</v>
      </c>
      <c r="S520" t="s">
        <v>818</v>
      </c>
      <c r="T520" s="43" t="s">
        <v>2229</v>
      </c>
      <c r="U520" s="7" t="s">
        <v>3699</v>
      </c>
    </row>
    <row r="521" spans="1:21" x14ac:dyDescent="0.3">
      <c r="A521" s="14" t="s">
        <v>3731</v>
      </c>
      <c r="B521" t="s">
        <v>30</v>
      </c>
      <c r="C521" t="s">
        <v>295</v>
      </c>
      <c r="D521">
        <v>1</v>
      </c>
      <c r="E521" s="7">
        <v>1230.3900000000001</v>
      </c>
      <c r="H521">
        <v>75797</v>
      </c>
      <c r="I521" t="s">
        <v>859</v>
      </c>
      <c r="J521" t="s">
        <v>3738</v>
      </c>
      <c r="K521" t="s">
        <v>3</v>
      </c>
      <c r="L521" s="2">
        <v>43221</v>
      </c>
      <c r="M521" s="2">
        <f>DOCXX[[#This Row],[INV DOC DATE]]+30</f>
        <v>43251</v>
      </c>
      <c r="N521" s="2">
        <v>43266</v>
      </c>
      <c r="O521" s="7">
        <v>1230.3900000000001</v>
      </c>
      <c r="P521" s="2">
        <v>43278</v>
      </c>
      <c r="Q521" s="7">
        <f>$E521-$O521</f>
        <v>0</v>
      </c>
      <c r="R521" s="7" t="str">
        <f ca="1">IF(TODAY() - DOCXX[INV DUE DATE]&lt;30, "Less than 30 days",IF(TODAY()-DOCXX[INV DUE DATE]&lt;60,"30-60 days","More than 60 days"))</f>
        <v>30-60 days</v>
      </c>
      <c r="S521" t="s">
        <v>818</v>
      </c>
      <c r="T521" s="43" t="s">
        <v>2229</v>
      </c>
      <c r="U521" s="7" t="s">
        <v>3699</v>
      </c>
    </row>
    <row r="522" spans="1:21" x14ac:dyDescent="0.3">
      <c r="A522" s="14" t="s">
        <v>3731</v>
      </c>
      <c r="B522" t="s">
        <v>30</v>
      </c>
      <c r="C522" t="s">
        <v>48</v>
      </c>
      <c r="D522">
        <v>1</v>
      </c>
      <c r="E522" s="7">
        <v>1165.0999999999999</v>
      </c>
      <c r="H522">
        <v>55609</v>
      </c>
      <c r="I522" t="s">
        <v>349</v>
      </c>
      <c r="J522" t="s">
        <v>3738</v>
      </c>
      <c r="K522" t="s">
        <v>3</v>
      </c>
      <c r="L522" s="2">
        <v>43221</v>
      </c>
      <c r="M522" s="2">
        <f>DOCXX[[#This Row],[INV DOC DATE]]+30</f>
        <v>43251</v>
      </c>
      <c r="N522" s="2">
        <v>43266</v>
      </c>
      <c r="O522" s="7">
        <v>1165.0999999999999</v>
      </c>
      <c r="P522" s="2">
        <v>43278</v>
      </c>
      <c r="Q522" s="7">
        <f>$E522-$O522</f>
        <v>0</v>
      </c>
      <c r="R522" s="7" t="str">
        <f ca="1">IF(TODAY() - DOCXX[INV DUE DATE]&lt;30, "Less than 30 days",IF(TODAY()-DOCXX[INV DUE DATE]&lt;60,"30-60 days","More than 60 days"))</f>
        <v>30-60 days</v>
      </c>
      <c r="S522" t="s">
        <v>818</v>
      </c>
      <c r="T522" s="43" t="s">
        <v>2229</v>
      </c>
      <c r="U522" s="7" t="s">
        <v>3699</v>
      </c>
    </row>
    <row r="523" spans="1:21" x14ac:dyDescent="0.3">
      <c r="A523" s="14" t="s">
        <v>3731</v>
      </c>
      <c r="B523" t="s">
        <v>30</v>
      </c>
      <c r="C523" t="s">
        <v>49</v>
      </c>
      <c r="D523">
        <v>1</v>
      </c>
      <c r="E523" s="7">
        <v>999.38</v>
      </c>
      <c r="H523">
        <v>1356</v>
      </c>
      <c r="I523" t="s">
        <v>2251</v>
      </c>
      <c r="J523" t="s">
        <v>3738</v>
      </c>
      <c r="K523" t="s">
        <v>3</v>
      </c>
      <c r="L523" s="2">
        <v>43221</v>
      </c>
      <c r="M523" s="2">
        <f>DOCXX[[#This Row],[INV DOC DATE]]+30</f>
        <v>43251</v>
      </c>
      <c r="N523" s="2">
        <v>43266</v>
      </c>
      <c r="O523" s="7">
        <v>999.38</v>
      </c>
      <c r="P523" s="2">
        <v>43278</v>
      </c>
      <c r="Q523" s="7">
        <f>$E523-$O523</f>
        <v>0</v>
      </c>
      <c r="R523" s="7" t="str">
        <f ca="1">IF(TODAY() - DOCXX[INV DUE DATE]&lt;30, "Less than 30 days",IF(TODAY()-DOCXX[INV DUE DATE]&lt;60,"30-60 days","More than 60 days"))</f>
        <v>30-60 days</v>
      </c>
      <c r="S523" t="s">
        <v>818</v>
      </c>
      <c r="T523" s="43" t="s">
        <v>2229</v>
      </c>
      <c r="U523" s="7" t="s">
        <v>3699</v>
      </c>
    </row>
    <row r="524" spans="1:21" x14ac:dyDescent="0.3">
      <c r="A524" s="14" t="s">
        <v>3731</v>
      </c>
      <c r="B524" t="s">
        <v>30</v>
      </c>
      <c r="C524" t="s">
        <v>50</v>
      </c>
      <c r="D524">
        <v>1</v>
      </c>
      <c r="E524" s="7">
        <v>954.18</v>
      </c>
      <c r="H524">
        <v>68260</v>
      </c>
      <c r="I524" t="s">
        <v>2252</v>
      </c>
      <c r="J524" t="s">
        <v>3738</v>
      </c>
      <c r="K524" t="s">
        <v>3</v>
      </c>
      <c r="L524" s="2">
        <v>43221</v>
      </c>
      <c r="M524" s="2">
        <f>DOCXX[[#This Row],[INV DOC DATE]]+30</f>
        <v>43251</v>
      </c>
      <c r="N524" s="2">
        <v>43266</v>
      </c>
      <c r="O524" s="7">
        <v>954.18</v>
      </c>
      <c r="P524" s="2">
        <v>43278</v>
      </c>
      <c r="Q524" s="7">
        <f>$E524-$O524</f>
        <v>0</v>
      </c>
      <c r="R524" s="7" t="str">
        <f ca="1">IF(TODAY() - DOCXX[INV DUE DATE]&lt;30, "Less than 30 days",IF(TODAY()-DOCXX[INV DUE DATE]&lt;60,"30-60 days","More than 60 days"))</f>
        <v>30-60 days</v>
      </c>
      <c r="S524" t="s">
        <v>818</v>
      </c>
      <c r="T524" s="43" t="s">
        <v>2229</v>
      </c>
      <c r="U524" s="7" t="s">
        <v>3699</v>
      </c>
    </row>
    <row r="525" spans="1:21" x14ac:dyDescent="0.3">
      <c r="A525" s="14" t="s">
        <v>3731</v>
      </c>
      <c r="B525" t="s">
        <v>30</v>
      </c>
      <c r="C525" t="s">
        <v>51</v>
      </c>
      <c r="D525">
        <v>1</v>
      </c>
      <c r="E525" s="7">
        <v>627.75</v>
      </c>
      <c r="H525">
        <v>82294</v>
      </c>
      <c r="I525" t="s">
        <v>853</v>
      </c>
      <c r="J525" t="s">
        <v>3738</v>
      </c>
      <c r="K525" t="s">
        <v>3</v>
      </c>
      <c r="L525" s="2">
        <v>43221</v>
      </c>
      <c r="M525" s="2">
        <f>DOCXX[[#This Row],[INV DOC DATE]]+30</f>
        <v>43251</v>
      </c>
      <c r="N525" s="2">
        <v>43266</v>
      </c>
      <c r="O525" s="7">
        <v>627.75</v>
      </c>
      <c r="P525" s="2">
        <v>43278</v>
      </c>
      <c r="Q525" s="7">
        <f>$E525-$O525</f>
        <v>0</v>
      </c>
      <c r="R525" s="7" t="str">
        <f ca="1">IF(TODAY() - DOCXX[INV DUE DATE]&lt;30, "Less than 30 days",IF(TODAY()-DOCXX[INV DUE DATE]&lt;60,"30-60 days","More than 60 days"))</f>
        <v>30-60 days</v>
      </c>
      <c r="S525" t="s">
        <v>818</v>
      </c>
      <c r="T525" s="43" t="s">
        <v>2229</v>
      </c>
      <c r="U525" s="7" t="s">
        <v>3699</v>
      </c>
    </row>
    <row r="526" spans="1:21" x14ac:dyDescent="0.3">
      <c r="A526" s="14" t="s">
        <v>3731</v>
      </c>
      <c r="B526" t="s">
        <v>30</v>
      </c>
      <c r="C526" t="s">
        <v>52</v>
      </c>
      <c r="D526">
        <v>1</v>
      </c>
      <c r="E526" s="7">
        <v>502.2</v>
      </c>
      <c r="H526">
        <v>68235</v>
      </c>
      <c r="I526" t="s">
        <v>2253</v>
      </c>
      <c r="J526" t="s">
        <v>3738</v>
      </c>
      <c r="K526" t="s">
        <v>3</v>
      </c>
      <c r="L526" s="2">
        <v>43221</v>
      </c>
      <c r="M526" s="2">
        <f>DOCXX[[#This Row],[INV DOC DATE]]+30</f>
        <v>43251</v>
      </c>
      <c r="N526" s="2">
        <v>43266</v>
      </c>
      <c r="O526" s="7">
        <v>502.2</v>
      </c>
      <c r="P526" s="2">
        <v>43278</v>
      </c>
      <c r="Q526" s="7">
        <f>$E526-$O526</f>
        <v>0</v>
      </c>
      <c r="R526" s="7" t="str">
        <f ca="1">IF(TODAY() - DOCXX[INV DUE DATE]&lt;30, "Less than 30 days",IF(TODAY()-DOCXX[INV DUE DATE]&lt;60,"30-60 days","More than 60 days"))</f>
        <v>30-60 days</v>
      </c>
      <c r="S526" t="s">
        <v>818</v>
      </c>
      <c r="T526" s="43" t="s">
        <v>2229</v>
      </c>
      <c r="U526" s="7" t="s">
        <v>3699</v>
      </c>
    </row>
    <row r="527" spans="1:21" x14ac:dyDescent="0.3">
      <c r="A527" s="14" t="s">
        <v>3731</v>
      </c>
      <c r="B527" t="s">
        <v>30</v>
      </c>
      <c r="C527" t="s">
        <v>53</v>
      </c>
      <c r="D527">
        <v>1</v>
      </c>
      <c r="E527" s="7">
        <v>502.2</v>
      </c>
      <c r="H527">
        <v>172324</v>
      </c>
      <c r="I527" t="s">
        <v>352</v>
      </c>
      <c r="J527" t="s">
        <v>3738</v>
      </c>
      <c r="K527" t="s">
        <v>3</v>
      </c>
      <c r="L527" s="2">
        <v>43221</v>
      </c>
      <c r="M527" s="2">
        <f>DOCXX[[#This Row],[INV DOC DATE]]+30</f>
        <v>43251</v>
      </c>
      <c r="N527" s="2">
        <v>43266</v>
      </c>
      <c r="O527" s="7">
        <v>502.2</v>
      </c>
      <c r="P527" s="2">
        <v>43278</v>
      </c>
      <c r="Q527" s="7">
        <f>$E527-$O527</f>
        <v>0</v>
      </c>
      <c r="R527" s="7" t="str">
        <f ca="1">IF(TODAY() - DOCXX[INV DUE DATE]&lt;30, "Less than 30 days",IF(TODAY()-DOCXX[INV DUE DATE]&lt;60,"30-60 days","More than 60 days"))</f>
        <v>30-60 days</v>
      </c>
      <c r="S527" t="s">
        <v>818</v>
      </c>
      <c r="T527" s="43" t="s">
        <v>2229</v>
      </c>
      <c r="U527" s="7" t="s">
        <v>3699</v>
      </c>
    </row>
    <row r="528" spans="1:21" x14ac:dyDescent="0.3">
      <c r="A528" s="14" t="s">
        <v>3731</v>
      </c>
      <c r="B528" t="s">
        <v>30</v>
      </c>
      <c r="C528" t="s">
        <v>54</v>
      </c>
      <c r="D528">
        <v>1</v>
      </c>
      <c r="E528" s="7">
        <v>502.2</v>
      </c>
      <c r="H528">
        <v>82330</v>
      </c>
      <c r="I528" t="s">
        <v>2254</v>
      </c>
      <c r="J528" t="s">
        <v>3738</v>
      </c>
      <c r="K528" t="s">
        <v>3</v>
      </c>
      <c r="L528" s="2">
        <v>43221</v>
      </c>
      <c r="M528" s="2">
        <f>DOCXX[[#This Row],[INV DOC DATE]]+30</f>
        <v>43251</v>
      </c>
      <c r="N528" s="2">
        <v>43266</v>
      </c>
      <c r="O528" s="7">
        <v>502.2</v>
      </c>
      <c r="P528" s="2">
        <v>43278</v>
      </c>
      <c r="Q528" s="7">
        <f>$E528-$O528</f>
        <v>0</v>
      </c>
      <c r="R528" s="7" t="str">
        <f ca="1">IF(TODAY() - DOCXX[INV DUE DATE]&lt;30, "Less than 30 days",IF(TODAY()-DOCXX[INV DUE DATE]&lt;60,"30-60 days","More than 60 days"))</f>
        <v>30-60 days</v>
      </c>
      <c r="S528" t="s">
        <v>818</v>
      </c>
      <c r="T528" s="43" t="s">
        <v>2229</v>
      </c>
      <c r="U528" s="7" t="s">
        <v>3699</v>
      </c>
    </row>
    <row r="529" spans="1:21" x14ac:dyDescent="0.3">
      <c r="A529" s="14" t="s">
        <v>3160</v>
      </c>
      <c r="B529" t="s">
        <v>118</v>
      </c>
      <c r="C529" t="s">
        <v>6</v>
      </c>
      <c r="D529">
        <v>1</v>
      </c>
      <c r="E529" s="7">
        <v>178.25</v>
      </c>
      <c r="H529">
        <v>1273</v>
      </c>
      <c r="I529" t="s">
        <v>350</v>
      </c>
      <c r="J529" t="s">
        <v>3161</v>
      </c>
      <c r="K529" t="s">
        <v>3</v>
      </c>
      <c r="L529" s="2">
        <v>43221</v>
      </c>
      <c r="M529" s="2">
        <f>DOCXX[[#This Row],[INV DOC DATE]]+30</f>
        <v>43251</v>
      </c>
      <c r="N529" s="2">
        <v>43252</v>
      </c>
      <c r="O529" s="7">
        <v>178.25</v>
      </c>
      <c r="P529" s="2">
        <v>43262</v>
      </c>
      <c r="Q529" s="7">
        <f>$E529-$O529</f>
        <v>0</v>
      </c>
      <c r="R529" s="7" t="str">
        <f ca="1">IF(TODAY() - DOCXX[INV DUE DATE]&lt;30, "Less than 30 days",IF(TODAY()-DOCXX[INV DUE DATE]&lt;60,"30-60 days","More than 60 days"))</f>
        <v>30-60 days</v>
      </c>
      <c r="S529" t="s">
        <v>818</v>
      </c>
      <c r="T529" s="43" t="s">
        <v>2229</v>
      </c>
      <c r="U529" s="7" t="s">
        <v>3699</v>
      </c>
    </row>
    <row r="530" spans="1:21" x14ac:dyDescent="0.3">
      <c r="A530" s="14" t="s">
        <v>3160</v>
      </c>
      <c r="B530" t="s">
        <v>118</v>
      </c>
      <c r="C530" t="s">
        <v>7</v>
      </c>
      <c r="D530">
        <v>1</v>
      </c>
      <c r="E530" s="7">
        <v>178.25</v>
      </c>
      <c r="H530">
        <v>1273</v>
      </c>
      <c r="I530" t="s">
        <v>350</v>
      </c>
      <c r="J530" t="s">
        <v>3162</v>
      </c>
      <c r="K530" t="s">
        <v>3</v>
      </c>
      <c r="L530" s="2">
        <v>43221</v>
      </c>
      <c r="M530" s="2">
        <f>DOCXX[[#This Row],[INV DOC DATE]]+30</f>
        <v>43251</v>
      </c>
      <c r="N530" s="2">
        <v>43252</v>
      </c>
      <c r="O530" s="7">
        <v>178.25</v>
      </c>
      <c r="P530" s="2">
        <v>43262</v>
      </c>
      <c r="Q530" s="7">
        <f>$E530-$O530</f>
        <v>0</v>
      </c>
      <c r="R530" s="7" t="str">
        <f ca="1">IF(TODAY() - DOCXX[INV DUE DATE]&lt;30, "Less than 30 days",IF(TODAY()-DOCXX[INV DUE DATE]&lt;60,"30-60 days","More than 60 days"))</f>
        <v>30-60 days</v>
      </c>
      <c r="S530" t="s">
        <v>818</v>
      </c>
      <c r="T530" s="43" t="s">
        <v>2229</v>
      </c>
      <c r="U530" s="7" t="s">
        <v>3699</v>
      </c>
    </row>
    <row r="531" spans="1:21" x14ac:dyDescent="0.3">
      <c r="A531" s="14" t="s">
        <v>3160</v>
      </c>
      <c r="B531" t="s">
        <v>118</v>
      </c>
      <c r="C531" t="s">
        <v>8</v>
      </c>
      <c r="D531">
        <v>1</v>
      </c>
      <c r="E531" s="7">
        <v>178.25</v>
      </c>
      <c r="H531">
        <v>1273</v>
      </c>
      <c r="I531" t="s">
        <v>350</v>
      </c>
      <c r="J531" t="s">
        <v>3163</v>
      </c>
      <c r="K531" t="s">
        <v>3</v>
      </c>
      <c r="L531" s="2">
        <v>43221</v>
      </c>
      <c r="M531" s="2">
        <f>DOCXX[[#This Row],[INV DOC DATE]]+30</f>
        <v>43251</v>
      </c>
      <c r="N531" s="2">
        <v>43252</v>
      </c>
      <c r="O531" s="7">
        <v>178.25</v>
      </c>
      <c r="P531" s="2">
        <v>43262</v>
      </c>
      <c r="Q531" s="7">
        <f>$E531-$O531</f>
        <v>0</v>
      </c>
      <c r="R531" s="7" t="str">
        <f ca="1">IF(TODAY() - DOCXX[INV DUE DATE]&lt;30, "Less than 30 days",IF(TODAY()-DOCXX[INV DUE DATE]&lt;60,"30-60 days","More than 60 days"))</f>
        <v>30-60 days</v>
      </c>
      <c r="S531" t="s">
        <v>818</v>
      </c>
      <c r="T531" s="43" t="s">
        <v>2229</v>
      </c>
      <c r="U531" s="7" t="s">
        <v>3699</v>
      </c>
    </row>
    <row r="532" spans="1:21" x14ac:dyDescent="0.3">
      <c r="A532" s="14" t="s">
        <v>3160</v>
      </c>
      <c r="B532" t="s">
        <v>118</v>
      </c>
      <c r="C532" t="s">
        <v>9</v>
      </c>
      <c r="D532">
        <v>1</v>
      </c>
      <c r="E532" s="7">
        <v>232.5</v>
      </c>
      <c r="H532">
        <v>1273</v>
      </c>
      <c r="I532" t="s">
        <v>350</v>
      </c>
      <c r="J532" t="s">
        <v>3164</v>
      </c>
      <c r="K532" t="s">
        <v>3</v>
      </c>
      <c r="L532" s="2">
        <v>43221</v>
      </c>
      <c r="M532" s="2">
        <f>DOCXX[[#This Row],[INV DOC DATE]]+30</f>
        <v>43251</v>
      </c>
      <c r="N532" s="2">
        <v>43252</v>
      </c>
      <c r="O532" s="7">
        <v>232.5</v>
      </c>
      <c r="P532" s="2">
        <v>43262</v>
      </c>
      <c r="Q532" s="7">
        <f>$E532-$O532</f>
        <v>0</v>
      </c>
      <c r="R532" s="7" t="str">
        <f ca="1">IF(TODAY() - DOCXX[INV DUE DATE]&lt;30, "Less than 30 days",IF(TODAY()-DOCXX[INV DUE DATE]&lt;60,"30-60 days","More than 60 days"))</f>
        <v>30-60 days</v>
      </c>
      <c r="S532" t="s">
        <v>818</v>
      </c>
      <c r="T532" s="43" t="s">
        <v>2229</v>
      </c>
      <c r="U532" s="7" t="s">
        <v>3699</v>
      </c>
    </row>
    <row r="533" spans="1:21" x14ac:dyDescent="0.3">
      <c r="A533" s="14" t="s">
        <v>3160</v>
      </c>
      <c r="B533" t="s">
        <v>118</v>
      </c>
      <c r="C533" t="s">
        <v>10</v>
      </c>
      <c r="D533">
        <v>1</v>
      </c>
      <c r="E533" s="7">
        <v>232.5</v>
      </c>
      <c r="H533">
        <v>1273</v>
      </c>
      <c r="I533" t="s">
        <v>350</v>
      </c>
      <c r="J533" t="s">
        <v>3165</v>
      </c>
      <c r="K533" t="s">
        <v>3</v>
      </c>
      <c r="L533" s="2">
        <v>43221</v>
      </c>
      <c r="M533" s="2">
        <f>DOCXX[[#This Row],[INV DOC DATE]]+30</f>
        <v>43251</v>
      </c>
      <c r="N533" s="2">
        <v>43252</v>
      </c>
      <c r="O533" s="7">
        <v>232.5</v>
      </c>
      <c r="P533" s="2">
        <v>43262</v>
      </c>
      <c r="Q533" s="7">
        <f>$E533-$O533</f>
        <v>0</v>
      </c>
      <c r="R533" s="7" t="str">
        <f ca="1">IF(TODAY() - DOCXX[INV DUE DATE]&lt;30, "Less than 30 days",IF(TODAY()-DOCXX[INV DUE DATE]&lt;60,"30-60 days","More than 60 days"))</f>
        <v>30-60 days</v>
      </c>
      <c r="S533" t="s">
        <v>818</v>
      </c>
      <c r="T533" s="43" t="s">
        <v>2229</v>
      </c>
      <c r="U533" s="7" t="s">
        <v>3699</v>
      </c>
    </row>
    <row r="534" spans="1:21" x14ac:dyDescent="0.3">
      <c r="A534" s="14" t="s">
        <v>3160</v>
      </c>
      <c r="B534" t="s">
        <v>118</v>
      </c>
      <c r="C534" t="s">
        <v>11</v>
      </c>
      <c r="D534">
        <v>1</v>
      </c>
      <c r="E534" s="7">
        <v>232.5</v>
      </c>
      <c r="H534">
        <v>1273</v>
      </c>
      <c r="I534" t="s">
        <v>350</v>
      </c>
      <c r="J534" t="s">
        <v>3166</v>
      </c>
      <c r="K534" t="s">
        <v>3</v>
      </c>
      <c r="L534" s="2">
        <v>43221</v>
      </c>
      <c r="M534" s="2">
        <f>DOCXX[[#This Row],[INV DOC DATE]]+30</f>
        <v>43251</v>
      </c>
      <c r="N534" s="2">
        <v>43252</v>
      </c>
      <c r="O534" s="7">
        <v>232.5</v>
      </c>
      <c r="P534" s="2">
        <v>43262</v>
      </c>
      <c r="Q534" s="7">
        <f>$E534-$O534</f>
        <v>0</v>
      </c>
      <c r="R534" s="7" t="str">
        <f ca="1">IF(TODAY() - DOCXX[INV DUE DATE]&lt;30, "Less than 30 days",IF(TODAY()-DOCXX[INV DUE DATE]&lt;60,"30-60 days","More than 60 days"))</f>
        <v>30-60 days</v>
      </c>
      <c r="S534" t="s">
        <v>818</v>
      </c>
      <c r="T534" s="43" t="s">
        <v>2229</v>
      </c>
      <c r="U534" s="7" t="s">
        <v>3699</v>
      </c>
    </row>
    <row r="535" spans="1:21" x14ac:dyDescent="0.3">
      <c r="A535" s="14" t="s">
        <v>3160</v>
      </c>
      <c r="B535" t="s">
        <v>118</v>
      </c>
      <c r="C535" t="s">
        <v>12</v>
      </c>
      <c r="D535">
        <v>1</v>
      </c>
      <c r="E535" s="7">
        <v>232.5</v>
      </c>
      <c r="H535">
        <v>1273</v>
      </c>
      <c r="I535" t="s">
        <v>350</v>
      </c>
      <c r="J535" t="s">
        <v>3167</v>
      </c>
      <c r="K535" t="s">
        <v>3</v>
      </c>
      <c r="L535" s="2">
        <v>43221</v>
      </c>
      <c r="M535" s="2">
        <f>DOCXX[[#This Row],[INV DOC DATE]]+30</f>
        <v>43251</v>
      </c>
      <c r="N535" s="2">
        <v>43252</v>
      </c>
      <c r="O535" s="7">
        <v>232.5</v>
      </c>
      <c r="P535" s="2">
        <v>43262</v>
      </c>
      <c r="Q535" s="7">
        <f>$E535-$O535</f>
        <v>0</v>
      </c>
      <c r="R535" s="7" t="str">
        <f ca="1">IF(TODAY() - DOCXX[INV DUE DATE]&lt;30, "Less than 30 days",IF(TODAY()-DOCXX[INV DUE DATE]&lt;60,"30-60 days","More than 60 days"))</f>
        <v>30-60 days</v>
      </c>
      <c r="S535" t="s">
        <v>818</v>
      </c>
      <c r="T535" s="43" t="s">
        <v>2229</v>
      </c>
      <c r="U535" s="7" t="s">
        <v>3699</v>
      </c>
    </row>
    <row r="536" spans="1:21" x14ac:dyDescent="0.3">
      <c r="A536" s="14" t="s">
        <v>3160</v>
      </c>
      <c r="B536" t="s">
        <v>118</v>
      </c>
      <c r="C536" t="s">
        <v>13</v>
      </c>
      <c r="D536">
        <v>1</v>
      </c>
      <c r="E536" s="7">
        <v>232.5</v>
      </c>
      <c r="H536">
        <v>1273</v>
      </c>
      <c r="I536" t="s">
        <v>350</v>
      </c>
      <c r="J536" t="s">
        <v>3168</v>
      </c>
      <c r="K536" t="s">
        <v>3</v>
      </c>
      <c r="L536" s="2">
        <v>43221</v>
      </c>
      <c r="M536" s="2">
        <f>DOCXX[[#This Row],[INV DOC DATE]]+30</f>
        <v>43251</v>
      </c>
      <c r="N536" s="2">
        <v>43252</v>
      </c>
      <c r="O536" s="7">
        <v>232.5</v>
      </c>
      <c r="P536" s="2">
        <v>43262</v>
      </c>
      <c r="Q536" s="7">
        <f>$E536-$O536</f>
        <v>0</v>
      </c>
      <c r="R536" s="7" t="str">
        <f ca="1">IF(TODAY() - DOCXX[INV DUE DATE]&lt;30, "Less than 30 days",IF(TODAY()-DOCXX[INV DUE DATE]&lt;60,"30-60 days","More than 60 days"))</f>
        <v>30-60 days</v>
      </c>
      <c r="S536" t="s">
        <v>818</v>
      </c>
      <c r="T536" s="43" t="s">
        <v>2229</v>
      </c>
      <c r="U536" s="7" t="s">
        <v>3699</v>
      </c>
    </row>
    <row r="537" spans="1:21" x14ac:dyDescent="0.3">
      <c r="A537" s="14" t="s">
        <v>3160</v>
      </c>
      <c r="B537" t="s">
        <v>118</v>
      </c>
      <c r="C537" t="s">
        <v>14</v>
      </c>
      <c r="D537">
        <v>1</v>
      </c>
      <c r="E537" s="7">
        <v>232.5</v>
      </c>
      <c r="H537">
        <v>1273</v>
      </c>
      <c r="I537" t="s">
        <v>350</v>
      </c>
      <c r="J537" t="s">
        <v>3169</v>
      </c>
      <c r="K537" t="s">
        <v>3</v>
      </c>
      <c r="L537" s="2">
        <v>43221</v>
      </c>
      <c r="M537" s="2">
        <f>DOCXX[[#This Row],[INV DOC DATE]]+30</f>
        <v>43251</v>
      </c>
      <c r="N537" s="2">
        <v>43252</v>
      </c>
      <c r="O537" s="7">
        <v>232.5</v>
      </c>
      <c r="P537" s="2">
        <v>43262</v>
      </c>
      <c r="Q537" s="7">
        <f>$E537-$O537</f>
        <v>0</v>
      </c>
      <c r="R537" s="7" t="str">
        <f ca="1">IF(TODAY() - DOCXX[INV DUE DATE]&lt;30, "Less than 30 days",IF(TODAY()-DOCXX[INV DUE DATE]&lt;60,"30-60 days","More than 60 days"))</f>
        <v>30-60 days</v>
      </c>
      <c r="S537" t="s">
        <v>818</v>
      </c>
      <c r="T537" s="43" t="s">
        <v>2229</v>
      </c>
      <c r="U537" s="7" t="s">
        <v>3699</v>
      </c>
    </row>
    <row r="538" spans="1:21" x14ac:dyDescent="0.3">
      <c r="A538" s="14" t="s">
        <v>3160</v>
      </c>
      <c r="B538" t="s">
        <v>118</v>
      </c>
      <c r="C538" t="s">
        <v>15</v>
      </c>
      <c r="D538">
        <v>1</v>
      </c>
      <c r="E538" s="7">
        <v>232.5</v>
      </c>
      <c r="H538">
        <v>1273</v>
      </c>
      <c r="I538" t="s">
        <v>350</v>
      </c>
      <c r="J538" t="s">
        <v>3170</v>
      </c>
      <c r="K538" t="s">
        <v>3</v>
      </c>
      <c r="L538" s="2">
        <v>43221</v>
      </c>
      <c r="M538" s="2">
        <f>DOCXX[[#This Row],[INV DOC DATE]]+30</f>
        <v>43251</v>
      </c>
      <c r="N538" s="2">
        <v>43252</v>
      </c>
      <c r="O538" s="7">
        <v>232.5</v>
      </c>
      <c r="P538" s="2">
        <v>43262</v>
      </c>
      <c r="Q538" s="7">
        <f>$E538-$O538</f>
        <v>0</v>
      </c>
      <c r="R538" s="7" t="str">
        <f ca="1">IF(TODAY() - DOCXX[INV DUE DATE]&lt;30, "Less than 30 days",IF(TODAY()-DOCXX[INV DUE DATE]&lt;60,"30-60 days","More than 60 days"))</f>
        <v>30-60 days</v>
      </c>
      <c r="S538" t="s">
        <v>818</v>
      </c>
      <c r="T538" s="43" t="s">
        <v>2229</v>
      </c>
      <c r="U538" s="7" t="s">
        <v>3699</v>
      </c>
    </row>
    <row r="539" spans="1:21" x14ac:dyDescent="0.3">
      <c r="A539" s="14" t="s">
        <v>3160</v>
      </c>
      <c r="B539" t="s">
        <v>118</v>
      </c>
      <c r="C539" t="s">
        <v>16</v>
      </c>
      <c r="D539">
        <v>1</v>
      </c>
      <c r="E539" s="7">
        <v>232.5</v>
      </c>
      <c r="H539">
        <v>1273</v>
      </c>
      <c r="I539" t="s">
        <v>350</v>
      </c>
      <c r="J539" t="s">
        <v>3171</v>
      </c>
      <c r="K539" t="s">
        <v>3</v>
      </c>
      <c r="L539" s="2">
        <v>43221</v>
      </c>
      <c r="M539" s="2">
        <f>DOCXX[[#This Row],[INV DOC DATE]]+30</f>
        <v>43251</v>
      </c>
      <c r="N539" s="2">
        <v>43252</v>
      </c>
      <c r="O539" s="7">
        <v>232.5</v>
      </c>
      <c r="P539" s="2">
        <v>43262</v>
      </c>
      <c r="Q539" s="7">
        <f>$E539-$O539</f>
        <v>0</v>
      </c>
      <c r="R539" s="7" t="str">
        <f ca="1">IF(TODAY() - DOCXX[INV DUE DATE]&lt;30, "Less than 30 days",IF(TODAY()-DOCXX[INV DUE DATE]&lt;60,"30-60 days","More than 60 days"))</f>
        <v>30-60 days</v>
      </c>
      <c r="S539" t="s">
        <v>818</v>
      </c>
      <c r="T539" s="43" t="s">
        <v>2229</v>
      </c>
      <c r="U539" s="7" t="s">
        <v>3699</v>
      </c>
    </row>
    <row r="540" spans="1:21" x14ac:dyDescent="0.3">
      <c r="A540" s="14" t="s">
        <v>3160</v>
      </c>
      <c r="B540" t="s">
        <v>118</v>
      </c>
      <c r="C540" t="s">
        <v>17</v>
      </c>
      <c r="D540">
        <v>1</v>
      </c>
      <c r="E540" s="7">
        <v>232.5</v>
      </c>
      <c r="H540">
        <v>1273</v>
      </c>
      <c r="I540" t="s">
        <v>350</v>
      </c>
      <c r="J540" t="s">
        <v>3172</v>
      </c>
      <c r="K540" t="s">
        <v>3</v>
      </c>
      <c r="L540" s="2">
        <v>43221</v>
      </c>
      <c r="M540" s="2">
        <f>DOCXX[[#This Row],[INV DOC DATE]]+30</f>
        <v>43251</v>
      </c>
      <c r="N540" s="2">
        <v>43252</v>
      </c>
      <c r="O540" s="7">
        <v>232.5</v>
      </c>
      <c r="P540" s="2">
        <v>43262</v>
      </c>
      <c r="Q540" s="7">
        <f>$E540-$O540</f>
        <v>0</v>
      </c>
      <c r="R540" s="7" t="str">
        <f ca="1">IF(TODAY() - DOCXX[INV DUE DATE]&lt;30, "Less than 30 days",IF(TODAY()-DOCXX[INV DUE DATE]&lt;60,"30-60 days","More than 60 days"))</f>
        <v>30-60 days</v>
      </c>
      <c r="S540" t="s">
        <v>818</v>
      </c>
      <c r="T540" s="43" t="s">
        <v>2229</v>
      </c>
      <c r="U540" s="7" t="s">
        <v>3699</v>
      </c>
    </row>
    <row r="541" spans="1:21" x14ac:dyDescent="0.3">
      <c r="A541" s="14" t="s">
        <v>3160</v>
      </c>
      <c r="B541" t="s">
        <v>118</v>
      </c>
      <c r="C541" t="s">
        <v>18</v>
      </c>
      <c r="D541">
        <v>1</v>
      </c>
      <c r="E541" s="7">
        <v>232.5</v>
      </c>
      <c r="H541">
        <v>1273</v>
      </c>
      <c r="I541" t="s">
        <v>350</v>
      </c>
      <c r="J541" t="s">
        <v>3173</v>
      </c>
      <c r="K541" t="s">
        <v>3</v>
      </c>
      <c r="L541" s="2">
        <v>43221</v>
      </c>
      <c r="M541" s="2">
        <f>DOCXX[[#This Row],[INV DOC DATE]]+30</f>
        <v>43251</v>
      </c>
      <c r="N541" s="2">
        <v>43252</v>
      </c>
      <c r="O541" s="7">
        <v>232.5</v>
      </c>
      <c r="P541" s="2">
        <v>43262</v>
      </c>
      <c r="Q541" s="7">
        <f>$E541-$O541</f>
        <v>0</v>
      </c>
      <c r="R541" s="7" t="str">
        <f ca="1">IF(TODAY() - DOCXX[INV DUE DATE]&lt;30, "Less than 30 days",IF(TODAY()-DOCXX[INV DUE DATE]&lt;60,"30-60 days","More than 60 days"))</f>
        <v>30-60 days</v>
      </c>
      <c r="S541" t="s">
        <v>818</v>
      </c>
      <c r="T541" s="43" t="s">
        <v>2229</v>
      </c>
      <c r="U541" s="7" t="s">
        <v>3699</v>
      </c>
    </row>
    <row r="542" spans="1:21" x14ac:dyDescent="0.3">
      <c r="A542" s="14" t="s">
        <v>3160</v>
      </c>
      <c r="B542" t="s">
        <v>118</v>
      </c>
      <c r="C542" t="s">
        <v>19</v>
      </c>
      <c r="D542">
        <v>1</v>
      </c>
      <c r="E542" s="7">
        <v>232.5</v>
      </c>
      <c r="H542">
        <v>1273</v>
      </c>
      <c r="I542" t="s">
        <v>350</v>
      </c>
      <c r="J542" t="s">
        <v>3174</v>
      </c>
      <c r="K542" t="s">
        <v>3</v>
      </c>
      <c r="L542" s="2">
        <v>43221</v>
      </c>
      <c r="M542" s="2">
        <f>DOCXX[[#This Row],[INV DOC DATE]]+30</f>
        <v>43251</v>
      </c>
      <c r="N542" s="2">
        <v>43252</v>
      </c>
      <c r="O542" s="7">
        <v>232.5</v>
      </c>
      <c r="P542" s="2">
        <v>43262</v>
      </c>
      <c r="Q542" s="7">
        <f>$E542-$O542</f>
        <v>0</v>
      </c>
      <c r="R542" s="7" t="str">
        <f ca="1">IF(TODAY() - DOCXX[INV DUE DATE]&lt;30, "Less than 30 days",IF(TODAY()-DOCXX[INV DUE DATE]&lt;60,"30-60 days","More than 60 days"))</f>
        <v>30-60 days</v>
      </c>
      <c r="S542" t="s">
        <v>818</v>
      </c>
      <c r="T542" s="43" t="s">
        <v>2229</v>
      </c>
      <c r="U542" s="7" t="s">
        <v>3699</v>
      </c>
    </row>
    <row r="543" spans="1:21" x14ac:dyDescent="0.3">
      <c r="A543" s="14" t="s">
        <v>3160</v>
      </c>
      <c r="B543" t="s">
        <v>118</v>
      </c>
      <c r="C543" t="s">
        <v>20</v>
      </c>
      <c r="D543">
        <v>1</v>
      </c>
      <c r="E543" s="7">
        <v>232.5</v>
      </c>
      <c r="H543">
        <v>1273</v>
      </c>
      <c r="I543" t="s">
        <v>350</v>
      </c>
      <c r="J543" t="s">
        <v>3175</v>
      </c>
      <c r="K543" t="s">
        <v>3</v>
      </c>
      <c r="L543" s="2">
        <v>43221</v>
      </c>
      <c r="M543" s="2">
        <f>DOCXX[[#This Row],[INV DOC DATE]]+30</f>
        <v>43251</v>
      </c>
      <c r="N543" s="2">
        <v>43252</v>
      </c>
      <c r="O543" s="7">
        <v>232.5</v>
      </c>
      <c r="P543" s="2">
        <v>43262</v>
      </c>
      <c r="Q543" s="7">
        <f>$E543-$O543</f>
        <v>0</v>
      </c>
      <c r="R543" s="7" t="str">
        <f ca="1">IF(TODAY() - DOCXX[INV DUE DATE]&lt;30, "Less than 30 days",IF(TODAY()-DOCXX[INV DUE DATE]&lt;60,"30-60 days","More than 60 days"))</f>
        <v>30-60 days</v>
      </c>
      <c r="S543" t="s">
        <v>818</v>
      </c>
      <c r="T543" s="43" t="s">
        <v>2229</v>
      </c>
      <c r="U543" s="7" t="s">
        <v>3699</v>
      </c>
    </row>
    <row r="544" spans="1:21" x14ac:dyDescent="0.3">
      <c r="A544" s="14" t="s">
        <v>3160</v>
      </c>
      <c r="B544" t="s">
        <v>118</v>
      </c>
      <c r="C544" t="s">
        <v>21</v>
      </c>
      <c r="D544">
        <v>1</v>
      </c>
      <c r="E544" s="7">
        <v>232.5</v>
      </c>
      <c r="H544">
        <v>1273</v>
      </c>
      <c r="I544" t="s">
        <v>350</v>
      </c>
      <c r="J544" t="s">
        <v>3176</v>
      </c>
      <c r="K544" t="s">
        <v>3</v>
      </c>
      <c r="L544" s="2">
        <v>43221</v>
      </c>
      <c r="M544" s="2">
        <f>DOCXX[[#This Row],[INV DOC DATE]]+30</f>
        <v>43251</v>
      </c>
      <c r="N544" s="2">
        <v>43252</v>
      </c>
      <c r="O544" s="7">
        <v>232.5</v>
      </c>
      <c r="P544" s="2">
        <v>43262</v>
      </c>
      <c r="Q544" s="7">
        <f>$E544-$O544</f>
        <v>0</v>
      </c>
      <c r="R544" s="7" t="str">
        <f ca="1">IF(TODAY() - DOCXX[INV DUE DATE]&lt;30, "Less than 30 days",IF(TODAY()-DOCXX[INV DUE DATE]&lt;60,"30-60 days","More than 60 days"))</f>
        <v>30-60 days</v>
      </c>
      <c r="S544" t="s">
        <v>818</v>
      </c>
      <c r="T544" s="43" t="s">
        <v>2229</v>
      </c>
      <c r="U544" s="7" t="s">
        <v>3699</v>
      </c>
    </row>
    <row r="545" spans="1:21" x14ac:dyDescent="0.3">
      <c r="A545" s="14" t="s">
        <v>3160</v>
      </c>
      <c r="B545" t="s">
        <v>118</v>
      </c>
      <c r="C545" t="s">
        <v>22</v>
      </c>
      <c r="D545">
        <v>1</v>
      </c>
      <c r="E545" s="7">
        <v>232.5</v>
      </c>
      <c r="H545">
        <v>1273</v>
      </c>
      <c r="I545" t="s">
        <v>350</v>
      </c>
      <c r="J545" t="s">
        <v>3177</v>
      </c>
      <c r="K545" t="s">
        <v>3</v>
      </c>
      <c r="L545" s="2">
        <v>43221</v>
      </c>
      <c r="M545" s="2">
        <f>DOCXX[[#This Row],[INV DOC DATE]]+30</f>
        <v>43251</v>
      </c>
      <c r="N545" s="2">
        <v>43252</v>
      </c>
      <c r="O545" s="7">
        <v>232.5</v>
      </c>
      <c r="P545" s="2">
        <v>43262</v>
      </c>
      <c r="Q545" s="7">
        <f>$E545-$O545</f>
        <v>0</v>
      </c>
      <c r="R545" s="7" t="str">
        <f ca="1">IF(TODAY() - DOCXX[INV DUE DATE]&lt;30, "Less than 30 days",IF(TODAY()-DOCXX[INV DUE DATE]&lt;60,"30-60 days","More than 60 days"))</f>
        <v>30-60 days</v>
      </c>
      <c r="S545" t="s">
        <v>818</v>
      </c>
      <c r="T545" s="43" t="s">
        <v>2229</v>
      </c>
      <c r="U545" s="7" t="s">
        <v>3699</v>
      </c>
    </row>
    <row r="546" spans="1:21" x14ac:dyDescent="0.3">
      <c r="A546" s="14" t="s">
        <v>3160</v>
      </c>
      <c r="B546" t="s">
        <v>118</v>
      </c>
      <c r="C546" t="s">
        <v>23</v>
      </c>
      <c r="D546">
        <v>1</v>
      </c>
      <c r="E546" s="7">
        <v>232.5</v>
      </c>
      <c r="H546">
        <v>1273</v>
      </c>
      <c r="I546" t="s">
        <v>350</v>
      </c>
      <c r="J546" t="s">
        <v>3178</v>
      </c>
      <c r="K546" t="s">
        <v>3</v>
      </c>
      <c r="L546" s="2">
        <v>43221</v>
      </c>
      <c r="M546" s="2">
        <f>DOCXX[[#This Row],[INV DOC DATE]]+30</f>
        <v>43251</v>
      </c>
      <c r="N546" s="2">
        <v>43252</v>
      </c>
      <c r="O546" s="7">
        <v>232.5</v>
      </c>
      <c r="P546" s="2">
        <v>43262</v>
      </c>
      <c r="Q546" s="7">
        <f>$E546-$O546</f>
        <v>0</v>
      </c>
      <c r="R546" s="7" t="str">
        <f ca="1">IF(TODAY() - DOCXX[INV DUE DATE]&lt;30, "Less than 30 days",IF(TODAY()-DOCXX[INV DUE DATE]&lt;60,"30-60 days","More than 60 days"))</f>
        <v>30-60 days</v>
      </c>
      <c r="S546" t="s">
        <v>818</v>
      </c>
      <c r="T546" s="43" t="s">
        <v>2229</v>
      </c>
      <c r="U546" s="7" t="s">
        <v>3699</v>
      </c>
    </row>
    <row r="547" spans="1:21" x14ac:dyDescent="0.3">
      <c r="A547" s="14" t="s">
        <v>3160</v>
      </c>
      <c r="B547" t="s">
        <v>118</v>
      </c>
      <c r="C547" t="s">
        <v>24</v>
      </c>
      <c r="D547">
        <v>1</v>
      </c>
      <c r="E547" s="7">
        <v>232.5</v>
      </c>
      <c r="H547">
        <v>1273</v>
      </c>
      <c r="I547" t="s">
        <v>350</v>
      </c>
      <c r="J547" t="s">
        <v>3179</v>
      </c>
      <c r="K547" t="s">
        <v>3</v>
      </c>
      <c r="L547" s="2">
        <v>43221</v>
      </c>
      <c r="M547" s="2">
        <f>DOCXX[[#This Row],[INV DOC DATE]]+30</f>
        <v>43251</v>
      </c>
      <c r="N547" s="2">
        <v>43252</v>
      </c>
      <c r="O547" s="7">
        <v>232.5</v>
      </c>
      <c r="P547" s="2">
        <v>43262</v>
      </c>
      <c r="Q547" s="7">
        <f>$E547-$O547</f>
        <v>0</v>
      </c>
      <c r="R547" s="7" t="str">
        <f ca="1">IF(TODAY() - DOCXX[INV DUE DATE]&lt;30, "Less than 30 days",IF(TODAY()-DOCXX[INV DUE DATE]&lt;60,"30-60 days","More than 60 days"))</f>
        <v>30-60 days</v>
      </c>
      <c r="S547" t="s">
        <v>818</v>
      </c>
      <c r="T547" s="43" t="s">
        <v>2229</v>
      </c>
      <c r="U547" s="7" t="s">
        <v>3699</v>
      </c>
    </row>
    <row r="548" spans="1:21" x14ac:dyDescent="0.3">
      <c r="A548" s="14" t="s">
        <v>3160</v>
      </c>
      <c r="B548" t="s">
        <v>118</v>
      </c>
      <c r="C548" t="s">
        <v>25</v>
      </c>
      <c r="D548">
        <v>1</v>
      </c>
      <c r="E548" s="7">
        <v>232.5</v>
      </c>
      <c r="H548">
        <v>1273</v>
      </c>
      <c r="I548" t="s">
        <v>350</v>
      </c>
      <c r="J548" t="s">
        <v>3180</v>
      </c>
      <c r="K548" t="s">
        <v>3</v>
      </c>
      <c r="L548" s="2">
        <v>43221</v>
      </c>
      <c r="M548" s="2">
        <f>DOCXX[[#This Row],[INV DOC DATE]]+30</f>
        <v>43251</v>
      </c>
      <c r="N548" s="2">
        <v>43252</v>
      </c>
      <c r="O548" s="7">
        <v>232.5</v>
      </c>
      <c r="P548" s="2">
        <v>43262</v>
      </c>
      <c r="Q548" s="7">
        <f>$E548-$O548</f>
        <v>0</v>
      </c>
      <c r="R548" s="7" t="str">
        <f ca="1">IF(TODAY() - DOCXX[INV DUE DATE]&lt;30, "Less than 30 days",IF(TODAY()-DOCXX[INV DUE DATE]&lt;60,"30-60 days","More than 60 days"))</f>
        <v>30-60 days</v>
      </c>
      <c r="S548" t="s">
        <v>818</v>
      </c>
      <c r="T548" s="43" t="s">
        <v>2229</v>
      </c>
      <c r="U548" s="7" t="s">
        <v>3699</v>
      </c>
    </row>
    <row r="549" spans="1:21" x14ac:dyDescent="0.3">
      <c r="A549" s="14" t="s">
        <v>3160</v>
      </c>
      <c r="B549" t="s">
        <v>118</v>
      </c>
      <c r="C549" t="s">
        <v>26</v>
      </c>
      <c r="D549">
        <v>1</v>
      </c>
      <c r="E549" s="7">
        <v>232.5</v>
      </c>
      <c r="H549">
        <v>1273</v>
      </c>
      <c r="I549" t="s">
        <v>350</v>
      </c>
      <c r="J549" t="s">
        <v>3181</v>
      </c>
      <c r="K549" t="s">
        <v>3</v>
      </c>
      <c r="L549" s="2">
        <v>43221</v>
      </c>
      <c r="M549" s="2">
        <f>DOCXX[[#This Row],[INV DOC DATE]]+30</f>
        <v>43251</v>
      </c>
      <c r="N549" s="2">
        <v>43252</v>
      </c>
      <c r="O549" s="7">
        <v>232.5</v>
      </c>
      <c r="P549" s="2">
        <v>43262</v>
      </c>
      <c r="Q549" s="7">
        <f>$E549-$O549</f>
        <v>0</v>
      </c>
      <c r="R549" s="7" t="str">
        <f ca="1">IF(TODAY() - DOCXX[INV DUE DATE]&lt;30, "Less than 30 days",IF(TODAY()-DOCXX[INV DUE DATE]&lt;60,"30-60 days","More than 60 days"))</f>
        <v>30-60 days</v>
      </c>
      <c r="S549" t="s">
        <v>818</v>
      </c>
      <c r="T549" s="43" t="s">
        <v>2229</v>
      </c>
      <c r="U549" s="7" t="s">
        <v>3699</v>
      </c>
    </row>
    <row r="550" spans="1:21" x14ac:dyDescent="0.3">
      <c r="A550" s="14" t="s">
        <v>3160</v>
      </c>
      <c r="B550" t="s">
        <v>118</v>
      </c>
      <c r="C550" t="s">
        <v>27</v>
      </c>
      <c r="D550">
        <v>1</v>
      </c>
      <c r="E550" s="7">
        <v>178.25</v>
      </c>
      <c r="H550">
        <v>1273</v>
      </c>
      <c r="I550" t="s">
        <v>350</v>
      </c>
      <c r="J550" t="s">
        <v>3182</v>
      </c>
      <c r="K550" t="s">
        <v>3</v>
      </c>
      <c r="L550" s="2">
        <v>43221</v>
      </c>
      <c r="M550" s="2">
        <f>DOCXX[[#This Row],[INV DOC DATE]]+30</f>
        <v>43251</v>
      </c>
      <c r="N550" s="2">
        <v>43252</v>
      </c>
      <c r="O550" s="7">
        <v>178.25</v>
      </c>
      <c r="P550" s="2">
        <v>43262</v>
      </c>
      <c r="Q550" s="7">
        <f>$E550-$O550</f>
        <v>0</v>
      </c>
      <c r="R550" s="7" t="str">
        <f ca="1">IF(TODAY() - DOCXX[INV DUE DATE]&lt;30, "Less than 30 days",IF(TODAY()-DOCXX[INV DUE DATE]&lt;60,"30-60 days","More than 60 days"))</f>
        <v>30-60 days</v>
      </c>
      <c r="S550" t="s">
        <v>818</v>
      </c>
      <c r="T550" s="43" t="s">
        <v>2229</v>
      </c>
      <c r="U550" s="7" t="s">
        <v>3699</v>
      </c>
    </row>
    <row r="551" spans="1:21" x14ac:dyDescent="0.3">
      <c r="A551" s="14" t="s">
        <v>3160</v>
      </c>
      <c r="B551" t="s">
        <v>118</v>
      </c>
      <c r="C551" t="s">
        <v>28</v>
      </c>
      <c r="D551">
        <v>1</v>
      </c>
      <c r="E551" s="7">
        <v>178.25</v>
      </c>
      <c r="H551">
        <v>1273</v>
      </c>
      <c r="I551" t="s">
        <v>350</v>
      </c>
      <c r="J551" t="s">
        <v>3183</v>
      </c>
      <c r="K551" t="s">
        <v>3</v>
      </c>
      <c r="L551" s="2">
        <v>43221</v>
      </c>
      <c r="M551" s="2">
        <f>DOCXX[[#This Row],[INV DOC DATE]]+30</f>
        <v>43251</v>
      </c>
      <c r="N551" s="2">
        <v>43252</v>
      </c>
      <c r="O551" s="7">
        <v>178.25</v>
      </c>
      <c r="P551" s="2">
        <v>43262</v>
      </c>
      <c r="Q551" s="7">
        <f>$E551-$O551</f>
        <v>0</v>
      </c>
      <c r="R551" s="7" t="str">
        <f ca="1">IF(TODAY() - DOCXX[INV DUE DATE]&lt;30, "Less than 30 days",IF(TODAY()-DOCXX[INV DUE DATE]&lt;60,"30-60 days","More than 60 days"))</f>
        <v>30-60 days</v>
      </c>
      <c r="S551" t="s">
        <v>818</v>
      </c>
      <c r="T551" s="43" t="s">
        <v>2229</v>
      </c>
      <c r="U551" s="7" t="s">
        <v>3699</v>
      </c>
    </row>
    <row r="552" spans="1:21" x14ac:dyDescent="0.3">
      <c r="A552" s="14" t="s">
        <v>3160</v>
      </c>
      <c r="B552" t="s">
        <v>118</v>
      </c>
      <c r="C552" t="s">
        <v>37</v>
      </c>
      <c r="D552">
        <v>1</v>
      </c>
      <c r="E552" s="7">
        <v>178.25</v>
      </c>
      <c r="H552">
        <v>1274</v>
      </c>
      <c r="I552" t="s">
        <v>350</v>
      </c>
      <c r="J552" t="s">
        <v>3184</v>
      </c>
      <c r="K552" t="s">
        <v>3</v>
      </c>
      <c r="L552" s="2">
        <v>43221</v>
      </c>
      <c r="M552" s="2">
        <f>DOCXX[[#This Row],[INV DOC DATE]]+30</f>
        <v>43251</v>
      </c>
      <c r="N552" s="2">
        <v>43252</v>
      </c>
      <c r="O552" s="7">
        <v>178.25</v>
      </c>
      <c r="P552" s="2">
        <v>43262</v>
      </c>
      <c r="Q552" s="7">
        <f>$E552-$O552</f>
        <v>0</v>
      </c>
      <c r="R552" s="7" t="str">
        <f ca="1">IF(TODAY() - DOCXX[INV DUE DATE]&lt;30, "Less than 30 days",IF(TODAY()-DOCXX[INV DUE DATE]&lt;60,"30-60 days","More than 60 days"))</f>
        <v>30-60 days</v>
      </c>
      <c r="S552" t="s">
        <v>818</v>
      </c>
      <c r="T552" s="43" t="s">
        <v>2229</v>
      </c>
      <c r="U552" s="7" t="s">
        <v>3699</v>
      </c>
    </row>
    <row r="553" spans="1:21" x14ac:dyDescent="0.3">
      <c r="A553" s="14" t="s">
        <v>3160</v>
      </c>
      <c r="B553" t="s">
        <v>118</v>
      </c>
      <c r="C553" t="s">
        <v>38</v>
      </c>
      <c r="D553">
        <v>1</v>
      </c>
      <c r="E553" s="7">
        <v>178.25</v>
      </c>
      <c r="H553">
        <v>1274</v>
      </c>
      <c r="I553" t="s">
        <v>350</v>
      </c>
      <c r="J553" t="s">
        <v>3185</v>
      </c>
      <c r="K553" t="s">
        <v>3</v>
      </c>
      <c r="L553" s="2">
        <v>43221</v>
      </c>
      <c r="M553" s="2">
        <f>DOCXX[[#This Row],[INV DOC DATE]]+30</f>
        <v>43251</v>
      </c>
      <c r="N553" s="2">
        <v>43252</v>
      </c>
      <c r="O553" s="7">
        <v>178.25</v>
      </c>
      <c r="P553" s="2">
        <v>43262</v>
      </c>
      <c r="Q553" s="7">
        <f>$E553-$O553</f>
        <v>0</v>
      </c>
      <c r="R553" s="7" t="str">
        <f ca="1">IF(TODAY() - DOCXX[INV DUE DATE]&lt;30, "Less than 30 days",IF(TODAY()-DOCXX[INV DUE DATE]&lt;60,"30-60 days","More than 60 days"))</f>
        <v>30-60 days</v>
      </c>
      <c r="S553" t="s">
        <v>818</v>
      </c>
      <c r="T553" s="43" t="s">
        <v>2229</v>
      </c>
      <c r="U553" s="7" t="s">
        <v>3699</v>
      </c>
    </row>
    <row r="554" spans="1:21" x14ac:dyDescent="0.3">
      <c r="A554" s="14" t="s">
        <v>3160</v>
      </c>
      <c r="B554" t="s">
        <v>118</v>
      </c>
      <c r="C554" t="s">
        <v>39</v>
      </c>
      <c r="D554">
        <v>1</v>
      </c>
      <c r="E554" s="7">
        <v>178.25</v>
      </c>
      <c r="H554">
        <v>55601</v>
      </c>
      <c r="I554" t="s">
        <v>353</v>
      </c>
      <c r="J554" t="s">
        <v>3186</v>
      </c>
      <c r="K554" t="s">
        <v>3</v>
      </c>
      <c r="L554" s="2">
        <v>43221</v>
      </c>
      <c r="M554" s="2">
        <f>DOCXX[[#This Row],[INV DOC DATE]]+30</f>
        <v>43251</v>
      </c>
      <c r="N554" s="2">
        <v>43252</v>
      </c>
      <c r="O554" s="7">
        <v>178.25</v>
      </c>
      <c r="P554" s="2">
        <v>43262</v>
      </c>
      <c r="Q554" s="7">
        <f>$E554-$O554</f>
        <v>0</v>
      </c>
      <c r="R554" s="7" t="str">
        <f ca="1">IF(TODAY() - DOCXX[INV DUE DATE]&lt;30, "Less than 30 days",IF(TODAY()-DOCXX[INV DUE DATE]&lt;60,"30-60 days","More than 60 days"))</f>
        <v>30-60 days</v>
      </c>
      <c r="S554" t="s">
        <v>818</v>
      </c>
      <c r="T554" s="43" t="s">
        <v>2229</v>
      </c>
      <c r="U554" s="7" t="s">
        <v>3699</v>
      </c>
    </row>
    <row r="555" spans="1:21" x14ac:dyDescent="0.3">
      <c r="A555" s="14" t="s">
        <v>3160</v>
      </c>
      <c r="B555" t="s">
        <v>118</v>
      </c>
      <c r="C555" t="s">
        <v>40</v>
      </c>
      <c r="D555">
        <v>1</v>
      </c>
      <c r="E555" s="7">
        <v>178.25</v>
      </c>
      <c r="H555">
        <v>55601</v>
      </c>
      <c r="I555" t="s">
        <v>353</v>
      </c>
      <c r="J555" t="s">
        <v>3187</v>
      </c>
      <c r="K555" t="s">
        <v>3</v>
      </c>
      <c r="L555" s="2">
        <v>43221</v>
      </c>
      <c r="M555" s="2">
        <f>DOCXX[[#This Row],[INV DOC DATE]]+30</f>
        <v>43251</v>
      </c>
      <c r="N555" s="2">
        <v>43252</v>
      </c>
      <c r="O555" s="7">
        <v>178.25</v>
      </c>
      <c r="P555" s="2">
        <v>43262</v>
      </c>
      <c r="Q555" s="7">
        <f>$E555-$O555</f>
        <v>0</v>
      </c>
      <c r="R555" s="7" t="str">
        <f ca="1">IF(TODAY() - DOCXX[INV DUE DATE]&lt;30, "Less than 30 days",IF(TODAY()-DOCXX[INV DUE DATE]&lt;60,"30-60 days","More than 60 days"))</f>
        <v>30-60 days</v>
      </c>
      <c r="S555" t="s">
        <v>818</v>
      </c>
      <c r="T555" s="43" t="s">
        <v>2229</v>
      </c>
      <c r="U555" s="7" t="s">
        <v>3699</v>
      </c>
    </row>
    <row r="556" spans="1:21" x14ac:dyDescent="0.3">
      <c r="A556" s="14" t="s">
        <v>3160</v>
      </c>
      <c r="B556" t="s">
        <v>118</v>
      </c>
      <c r="C556" t="s">
        <v>41</v>
      </c>
      <c r="D556">
        <v>1</v>
      </c>
      <c r="E556" s="7">
        <v>178.25</v>
      </c>
      <c r="H556">
        <v>55601</v>
      </c>
      <c r="I556" t="s">
        <v>353</v>
      </c>
      <c r="J556" t="s">
        <v>3188</v>
      </c>
      <c r="K556" t="s">
        <v>3</v>
      </c>
      <c r="L556" s="2">
        <v>43221</v>
      </c>
      <c r="M556" s="2">
        <f>DOCXX[[#This Row],[INV DOC DATE]]+30</f>
        <v>43251</v>
      </c>
      <c r="N556" s="2">
        <v>43252</v>
      </c>
      <c r="O556" s="7">
        <v>178.25</v>
      </c>
      <c r="P556" s="2">
        <v>43262</v>
      </c>
      <c r="Q556" s="7">
        <f>$E556-$O556</f>
        <v>0</v>
      </c>
      <c r="R556" s="7" t="str">
        <f ca="1">IF(TODAY() - DOCXX[INV DUE DATE]&lt;30, "Less than 30 days",IF(TODAY()-DOCXX[INV DUE DATE]&lt;60,"30-60 days","More than 60 days"))</f>
        <v>30-60 days</v>
      </c>
      <c r="S556" t="s">
        <v>818</v>
      </c>
      <c r="T556" s="43" t="s">
        <v>2229</v>
      </c>
      <c r="U556" s="7" t="s">
        <v>3699</v>
      </c>
    </row>
    <row r="557" spans="1:21" x14ac:dyDescent="0.3">
      <c r="A557" s="14" t="s">
        <v>3160</v>
      </c>
      <c r="B557" t="s">
        <v>118</v>
      </c>
      <c r="C557" t="s">
        <v>42</v>
      </c>
      <c r="D557">
        <v>1</v>
      </c>
      <c r="E557" s="7">
        <v>232.5</v>
      </c>
      <c r="H557">
        <v>55601</v>
      </c>
      <c r="I557" t="s">
        <v>353</v>
      </c>
      <c r="J557" t="s">
        <v>3189</v>
      </c>
      <c r="K557" t="s">
        <v>3</v>
      </c>
      <c r="L557" s="2">
        <v>43221</v>
      </c>
      <c r="M557" s="2">
        <f>DOCXX[[#This Row],[INV DOC DATE]]+30</f>
        <v>43251</v>
      </c>
      <c r="N557" s="2">
        <v>43252</v>
      </c>
      <c r="O557" s="7">
        <v>232.5</v>
      </c>
      <c r="P557" s="2">
        <v>43262</v>
      </c>
      <c r="Q557" s="7">
        <f>$E557-$O557</f>
        <v>0</v>
      </c>
      <c r="R557" s="7" t="str">
        <f ca="1">IF(TODAY() - DOCXX[INV DUE DATE]&lt;30, "Less than 30 days",IF(TODAY()-DOCXX[INV DUE DATE]&lt;60,"30-60 days","More than 60 days"))</f>
        <v>30-60 days</v>
      </c>
      <c r="S557" t="s">
        <v>818</v>
      </c>
      <c r="T557" s="43" t="s">
        <v>2229</v>
      </c>
      <c r="U557" s="7" t="s">
        <v>3699</v>
      </c>
    </row>
    <row r="558" spans="1:21" x14ac:dyDescent="0.3">
      <c r="A558" s="14" t="s">
        <v>3160</v>
      </c>
      <c r="B558" t="s">
        <v>118</v>
      </c>
      <c r="C558" t="s">
        <v>43</v>
      </c>
      <c r="D558">
        <v>1</v>
      </c>
      <c r="E558" s="7">
        <v>232.5</v>
      </c>
      <c r="H558">
        <v>55601</v>
      </c>
      <c r="I558" t="s">
        <v>353</v>
      </c>
      <c r="J558" t="s">
        <v>3190</v>
      </c>
      <c r="K558" t="s">
        <v>3</v>
      </c>
      <c r="L558" s="2">
        <v>43221</v>
      </c>
      <c r="M558" s="2">
        <f>DOCXX[[#This Row],[INV DOC DATE]]+30</f>
        <v>43251</v>
      </c>
      <c r="N558" s="2">
        <v>43252</v>
      </c>
      <c r="O558" s="7">
        <v>232.5</v>
      </c>
      <c r="P558" s="2">
        <v>43262</v>
      </c>
      <c r="Q558" s="7">
        <f>$E558-$O558</f>
        <v>0</v>
      </c>
      <c r="R558" s="7" t="str">
        <f ca="1">IF(TODAY() - DOCXX[INV DUE DATE]&lt;30, "Less than 30 days",IF(TODAY()-DOCXX[INV DUE DATE]&lt;60,"30-60 days","More than 60 days"))</f>
        <v>30-60 days</v>
      </c>
      <c r="S558" t="s">
        <v>818</v>
      </c>
      <c r="T558" s="43" t="s">
        <v>2229</v>
      </c>
      <c r="U558" s="7" t="s">
        <v>3699</v>
      </c>
    </row>
    <row r="559" spans="1:21" x14ac:dyDescent="0.3">
      <c r="A559" s="14" t="s">
        <v>3160</v>
      </c>
      <c r="B559" t="s">
        <v>118</v>
      </c>
      <c r="C559" t="s">
        <v>44</v>
      </c>
      <c r="D559">
        <v>1</v>
      </c>
      <c r="E559" s="7">
        <v>232.5</v>
      </c>
      <c r="H559">
        <v>55601</v>
      </c>
      <c r="I559" t="s">
        <v>353</v>
      </c>
      <c r="J559" t="s">
        <v>3191</v>
      </c>
      <c r="K559" t="s">
        <v>3</v>
      </c>
      <c r="L559" s="2">
        <v>43221</v>
      </c>
      <c r="M559" s="2">
        <f>DOCXX[[#This Row],[INV DOC DATE]]+30</f>
        <v>43251</v>
      </c>
      <c r="N559" s="2">
        <v>43252</v>
      </c>
      <c r="O559" s="7">
        <v>232.5</v>
      </c>
      <c r="P559" s="2">
        <v>43262</v>
      </c>
      <c r="Q559" s="7">
        <f>$E559-$O559</f>
        <v>0</v>
      </c>
      <c r="R559" s="7" t="str">
        <f ca="1">IF(TODAY() - DOCXX[INV DUE DATE]&lt;30, "Less than 30 days",IF(TODAY()-DOCXX[INV DUE DATE]&lt;60,"30-60 days","More than 60 days"))</f>
        <v>30-60 days</v>
      </c>
      <c r="S559" t="s">
        <v>818</v>
      </c>
      <c r="T559" s="43" t="s">
        <v>2229</v>
      </c>
      <c r="U559" s="7" t="s">
        <v>3699</v>
      </c>
    </row>
    <row r="560" spans="1:21" x14ac:dyDescent="0.3">
      <c r="A560" s="14" t="s">
        <v>3160</v>
      </c>
      <c r="B560" t="s">
        <v>118</v>
      </c>
      <c r="C560" t="s">
        <v>45</v>
      </c>
      <c r="D560">
        <v>1</v>
      </c>
      <c r="E560" s="7">
        <v>232.5</v>
      </c>
      <c r="H560">
        <v>55601</v>
      </c>
      <c r="I560" t="s">
        <v>353</v>
      </c>
      <c r="J560" t="s">
        <v>3192</v>
      </c>
      <c r="K560" t="s">
        <v>3</v>
      </c>
      <c r="L560" s="2">
        <v>43221</v>
      </c>
      <c r="M560" s="2">
        <f>DOCXX[[#This Row],[INV DOC DATE]]+30</f>
        <v>43251</v>
      </c>
      <c r="N560" s="2">
        <v>43252</v>
      </c>
      <c r="O560" s="7">
        <v>232.5</v>
      </c>
      <c r="P560" s="2">
        <v>43262</v>
      </c>
      <c r="Q560" s="7">
        <f>$E560-$O560</f>
        <v>0</v>
      </c>
      <c r="R560" s="7" t="str">
        <f ca="1">IF(TODAY() - DOCXX[INV DUE DATE]&lt;30, "Less than 30 days",IF(TODAY()-DOCXX[INV DUE DATE]&lt;60,"30-60 days","More than 60 days"))</f>
        <v>30-60 days</v>
      </c>
      <c r="S560" t="s">
        <v>818</v>
      </c>
      <c r="T560" s="43" t="s">
        <v>2229</v>
      </c>
      <c r="U560" s="7" t="s">
        <v>3699</v>
      </c>
    </row>
    <row r="561" spans="1:21" x14ac:dyDescent="0.3">
      <c r="A561" s="14" t="s">
        <v>3160</v>
      </c>
      <c r="B561" t="s">
        <v>118</v>
      </c>
      <c r="C561" t="s">
        <v>46</v>
      </c>
      <c r="D561">
        <v>1</v>
      </c>
      <c r="E561" s="7">
        <v>232.5</v>
      </c>
      <c r="H561">
        <v>55601</v>
      </c>
      <c r="I561" t="s">
        <v>353</v>
      </c>
      <c r="J561" t="s">
        <v>3193</v>
      </c>
      <c r="K561" t="s">
        <v>3</v>
      </c>
      <c r="L561" s="2">
        <v>43221</v>
      </c>
      <c r="M561" s="2">
        <f>DOCXX[[#This Row],[INV DOC DATE]]+30</f>
        <v>43251</v>
      </c>
      <c r="N561" s="2">
        <v>43252</v>
      </c>
      <c r="O561" s="7">
        <v>232.5</v>
      </c>
      <c r="P561" s="2">
        <v>43262</v>
      </c>
      <c r="Q561" s="7">
        <f>$E561-$O561</f>
        <v>0</v>
      </c>
      <c r="R561" s="7" t="str">
        <f ca="1">IF(TODAY() - DOCXX[INV DUE DATE]&lt;30, "Less than 30 days",IF(TODAY()-DOCXX[INV DUE DATE]&lt;60,"30-60 days","More than 60 days"))</f>
        <v>30-60 days</v>
      </c>
      <c r="S561" t="s">
        <v>818</v>
      </c>
      <c r="T561" s="43" t="s">
        <v>2229</v>
      </c>
      <c r="U561" s="7" t="s">
        <v>3699</v>
      </c>
    </row>
    <row r="562" spans="1:21" x14ac:dyDescent="0.3">
      <c r="A562" s="14" t="s">
        <v>3160</v>
      </c>
      <c r="B562" t="s">
        <v>118</v>
      </c>
      <c r="C562" t="s">
        <v>47</v>
      </c>
      <c r="D562">
        <v>1</v>
      </c>
      <c r="E562" s="7">
        <v>232.5</v>
      </c>
      <c r="H562">
        <v>55601</v>
      </c>
      <c r="I562" t="s">
        <v>353</v>
      </c>
      <c r="J562" t="s">
        <v>3194</v>
      </c>
      <c r="K562" t="s">
        <v>3</v>
      </c>
      <c r="L562" s="2">
        <v>43221</v>
      </c>
      <c r="M562" s="2">
        <f>DOCXX[[#This Row],[INV DOC DATE]]+30</f>
        <v>43251</v>
      </c>
      <c r="N562" s="2">
        <v>43252</v>
      </c>
      <c r="O562" s="7">
        <v>232.5</v>
      </c>
      <c r="P562" s="2">
        <v>43262</v>
      </c>
      <c r="Q562" s="7">
        <f>$E562-$O562</f>
        <v>0</v>
      </c>
      <c r="R562" s="7" t="str">
        <f ca="1">IF(TODAY() - DOCXX[INV DUE DATE]&lt;30, "Less than 30 days",IF(TODAY()-DOCXX[INV DUE DATE]&lt;60,"30-60 days","More than 60 days"))</f>
        <v>30-60 days</v>
      </c>
      <c r="S562" t="s">
        <v>818</v>
      </c>
      <c r="T562" s="43" t="s">
        <v>2229</v>
      </c>
      <c r="U562" s="7" t="s">
        <v>3699</v>
      </c>
    </row>
    <row r="563" spans="1:21" x14ac:dyDescent="0.3">
      <c r="A563" s="14" t="s">
        <v>3160</v>
      </c>
      <c r="B563" t="s">
        <v>118</v>
      </c>
      <c r="C563" t="s">
        <v>295</v>
      </c>
      <c r="D563">
        <v>1</v>
      </c>
      <c r="E563" s="7">
        <v>232.5</v>
      </c>
      <c r="H563">
        <v>55601</v>
      </c>
      <c r="I563" t="s">
        <v>353</v>
      </c>
      <c r="J563" t="s">
        <v>3195</v>
      </c>
      <c r="K563" t="s">
        <v>3</v>
      </c>
      <c r="L563" s="2">
        <v>43221</v>
      </c>
      <c r="M563" s="2">
        <f>DOCXX[[#This Row],[INV DOC DATE]]+30</f>
        <v>43251</v>
      </c>
      <c r="N563" s="2">
        <v>43252</v>
      </c>
      <c r="O563" s="7">
        <v>232.5</v>
      </c>
      <c r="P563" s="2">
        <v>43262</v>
      </c>
      <c r="Q563" s="7">
        <f>$E563-$O563</f>
        <v>0</v>
      </c>
      <c r="R563" s="7" t="str">
        <f ca="1">IF(TODAY() - DOCXX[INV DUE DATE]&lt;30, "Less than 30 days",IF(TODAY()-DOCXX[INV DUE DATE]&lt;60,"30-60 days","More than 60 days"))</f>
        <v>30-60 days</v>
      </c>
      <c r="S563" t="s">
        <v>818</v>
      </c>
      <c r="T563" s="43" t="s">
        <v>2229</v>
      </c>
      <c r="U563" s="7" t="s">
        <v>3699</v>
      </c>
    </row>
    <row r="564" spans="1:21" x14ac:dyDescent="0.3">
      <c r="A564" s="14" t="s">
        <v>3160</v>
      </c>
      <c r="B564" t="s">
        <v>118</v>
      </c>
      <c r="C564" t="s">
        <v>48</v>
      </c>
      <c r="D564">
        <v>1</v>
      </c>
      <c r="E564" s="7">
        <v>232.5</v>
      </c>
      <c r="H564">
        <v>55601</v>
      </c>
      <c r="I564" t="s">
        <v>353</v>
      </c>
      <c r="J564" t="s">
        <v>3196</v>
      </c>
      <c r="K564" t="s">
        <v>3</v>
      </c>
      <c r="L564" s="2">
        <v>43221</v>
      </c>
      <c r="M564" s="2">
        <f>DOCXX[[#This Row],[INV DOC DATE]]+30</f>
        <v>43251</v>
      </c>
      <c r="N564" s="2">
        <v>43252</v>
      </c>
      <c r="O564" s="7">
        <v>232.5</v>
      </c>
      <c r="P564" s="2">
        <v>43262</v>
      </c>
      <c r="Q564" s="7">
        <f>$E564-$O564</f>
        <v>0</v>
      </c>
      <c r="R564" s="7" t="str">
        <f ca="1">IF(TODAY() - DOCXX[INV DUE DATE]&lt;30, "Less than 30 days",IF(TODAY()-DOCXX[INV DUE DATE]&lt;60,"30-60 days","More than 60 days"))</f>
        <v>30-60 days</v>
      </c>
      <c r="S564" t="s">
        <v>818</v>
      </c>
      <c r="T564" s="43" t="s">
        <v>2229</v>
      </c>
      <c r="U564" s="7" t="s">
        <v>3699</v>
      </c>
    </row>
    <row r="565" spans="1:21" x14ac:dyDescent="0.3">
      <c r="A565" s="14" t="s">
        <v>3160</v>
      </c>
      <c r="B565" t="s">
        <v>118</v>
      </c>
      <c r="C565" t="s">
        <v>49</v>
      </c>
      <c r="D565">
        <v>1</v>
      </c>
      <c r="E565" s="7">
        <v>232.5</v>
      </c>
      <c r="H565">
        <v>55601</v>
      </c>
      <c r="I565" t="s">
        <v>353</v>
      </c>
      <c r="J565" t="s">
        <v>3197</v>
      </c>
      <c r="K565" t="s">
        <v>3</v>
      </c>
      <c r="L565" s="2">
        <v>43221</v>
      </c>
      <c r="M565" s="2">
        <f>DOCXX[[#This Row],[INV DOC DATE]]+30</f>
        <v>43251</v>
      </c>
      <c r="N565" s="2">
        <v>43252</v>
      </c>
      <c r="O565" s="7">
        <v>232.5</v>
      </c>
      <c r="P565" s="2">
        <v>43262</v>
      </c>
      <c r="Q565" s="7">
        <f>$E565-$O565</f>
        <v>0</v>
      </c>
      <c r="R565" s="7" t="str">
        <f ca="1">IF(TODAY() - DOCXX[INV DUE DATE]&lt;30, "Less than 30 days",IF(TODAY()-DOCXX[INV DUE DATE]&lt;60,"30-60 days","More than 60 days"))</f>
        <v>30-60 days</v>
      </c>
      <c r="S565" t="s">
        <v>818</v>
      </c>
      <c r="T565" s="43" t="s">
        <v>2229</v>
      </c>
      <c r="U565" s="7" t="s">
        <v>3699</v>
      </c>
    </row>
    <row r="566" spans="1:21" x14ac:dyDescent="0.3">
      <c r="A566" s="14" t="s">
        <v>3160</v>
      </c>
      <c r="B566" t="s">
        <v>118</v>
      </c>
      <c r="C566" t="s">
        <v>50</v>
      </c>
      <c r="D566">
        <v>1</v>
      </c>
      <c r="E566" s="7">
        <v>232.5</v>
      </c>
      <c r="H566">
        <v>55601</v>
      </c>
      <c r="I566" t="s">
        <v>353</v>
      </c>
      <c r="J566" t="s">
        <v>3198</v>
      </c>
      <c r="K566" t="s">
        <v>3</v>
      </c>
      <c r="L566" s="2">
        <v>43221</v>
      </c>
      <c r="M566" s="2">
        <f>DOCXX[[#This Row],[INV DOC DATE]]+30</f>
        <v>43251</v>
      </c>
      <c r="N566" s="2">
        <v>43252</v>
      </c>
      <c r="O566" s="7">
        <v>232.5</v>
      </c>
      <c r="P566" s="2">
        <v>43262</v>
      </c>
      <c r="Q566" s="7">
        <f>$E566-$O566</f>
        <v>0</v>
      </c>
      <c r="R566" s="7" t="str">
        <f ca="1">IF(TODAY() - DOCXX[INV DUE DATE]&lt;30, "Less than 30 days",IF(TODAY()-DOCXX[INV DUE DATE]&lt;60,"30-60 days","More than 60 days"))</f>
        <v>30-60 days</v>
      </c>
      <c r="S566" t="s">
        <v>818</v>
      </c>
      <c r="T566" s="43" t="s">
        <v>2229</v>
      </c>
      <c r="U566" s="7" t="s">
        <v>3699</v>
      </c>
    </row>
    <row r="567" spans="1:21" x14ac:dyDescent="0.3">
      <c r="A567" s="14" t="s">
        <v>3160</v>
      </c>
      <c r="B567" t="s">
        <v>118</v>
      </c>
      <c r="C567" t="s">
        <v>51</v>
      </c>
      <c r="D567">
        <v>1</v>
      </c>
      <c r="E567" s="7">
        <v>232.5</v>
      </c>
      <c r="H567">
        <v>55601</v>
      </c>
      <c r="I567" t="s">
        <v>353</v>
      </c>
      <c r="J567" t="s">
        <v>3199</v>
      </c>
      <c r="K567" t="s">
        <v>3</v>
      </c>
      <c r="L567" s="2">
        <v>43221</v>
      </c>
      <c r="M567" s="2">
        <f>DOCXX[[#This Row],[INV DOC DATE]]+30</f>
        <v>43251</v>
      </c>
      <c r="N567" s="2">
        <v>43252</v>
      </c>
      <c r="O567" s="7">
        <v>232.5</v>
      </c>
      <c r="P567" s="2">
        <v>43262</v>
      </c>
      <c r="Q567" s="7">
        <f>$E567-$O567</f>
        <v>0</v>
      </c>
      <c r="R567" s="7" t="str">
        <f ca="1">IF(TODAY() - DOCXX[INV DUE DATE]&lt;30, "Less than 30 days",IF(TODAY()-DOCXX[INV DUE DATE]&lt;60,"30-60 days","More than 60 days"))</f>
        <v>30-60 days</v>
      </c>
      <c r="S567" t="s">
        <v>818</v>
      </c>
      <c r="T567" s="43" t="s">
        <v>2229</v>
      </c>
      <c r="U567" s="7" t="s">
        <v>3699</v>
      </c>
    </row>
    <row r="568" spans="1:21" x14ac:dyDescent="0.3">
      <c r="A568" s="14" t="s">
        <v>3160</v>
      </c>
      <c r="B568" t="s">
        <v>118</v>
      </c>
      <c r="C568" t="s">
        <v>52</v>
      </c>
      <c r="D568">
        <v>1</v>
      </c>
      <c r="E568" s="7">
        <v>232.5</v>
      </c>
      <c r="H568">
        <v>55601</v>
      </c>
      <c r="I568" t="s">
        <v>353</v>
      </c>
      <c r="J568" t="s">
        <v>3200</v>
      </c>
      <c r="K568" t="s">
        <v>3</v>
      </c>
      <c r="L568" s="2">
        <v>43221</v>
      </c>
      <c r="M568" s="2">
        <f>DOCXX[[#This Row],[INV DOC DATE]]+30</f>
        <v>43251</v>
      </c>
      <c r="N568" s="2">
        <v>43252</v>
      </c>
      <c r="O568" s="7">
        <v>232.5</v>
      </c>
      <c r="P568" s="2">
        <v>43262</v>
      </c>
      <c r="Q568" s="7">
        <f>$E568-$O568</f>
        <v>0</v>
      </c>
      <c r="R568" s="7" t="str">
        <f ca="1">IF(TODAY() - DOCXX[INV DUE DATE]&lt;30, "Less than 30 days",IF(TODAY()-DOCXX[INV DUE DATE]&lt;60,"30-60 days","More than 60 days"))</f>
        <v>30-60 days</v>
      </c>
      <c r="S568" t="s">
        <v>818</v>
      </c>
      <c r="T568" s="43" t="s">
        <v>2229</v>
      </c>
      <c r="U568" s="7" t="s">
        <v>3699</v>
      </c>
    </row>
    <row r="569" spans="1:21" x14ac:dyDescent="0.3">
      <c r="A569" s="14" t="s">
        <v>3160</v>
      </c>
      <c r="B569" t="s">
        <v>118</v>
      </c>
      <c r="C569" t="s">
        <v>53</v>
      </c>
      <c r="D569">
        <v>1</v>
      </c>
      <c r="E569" s="7">
        <v>232.5</v>
      </c>
      <c r="H569">
        <v>55601</v>
      </c>
      <c r="I569" t="s">
        <v>353</v>
      </c>
      <c r="J569" t="s">
        <v>3201</v>
      </c>
      <c r="K569" t="s">
        <v>3</v>
      </c>
      <c r="L569" s="2">
        <v>43221</v>
      </c>
      <c r="M569" s="2">
        <f>DOCXX[[#This Row],[INV DOC DATE]]+30</f>
        <v>43251</v>
      </c>
      <c r="N569" s="2">
        <v>43252</v>
      </c>
      <c r="O569" s="7">
        <v>232.5</v>
      </c>
      <c r="P569" s="2">
        <v>43262</v>
      </c>
      <c r="Q569" s="7">
        <f>$E569-$O569</f>
        <v>0</v>
      </c>
      <c r="R569" s="7" t="str">
        <f ca="1">IF(TODAY() - DOCXX[INV DUE DATE]&lt;30, "Less than 30 days",IF(TODAY()-DOCXX[INV DUE DATE]&lt;60,"30-60 days","More than 60 days"))</f>
        <v>30-60 days</v>
      </c>
      <c r="S569" t="s">
        <v>818</v>
      </c>
      <c r="T569" s="43" t="s">
        <v>2229</v>
      </c>
      <c r="U569" s="7" t="s">
        <v>3699</v>
      </c>
    </row>
    <row r="570" spans="1:21" x14ac:dyDescent="0.3">
      <c r="A570" s="14" t="s">
        <v>3160</v>
      </c>
      <c r="B570" t="s">
        <v>118</v>
      </c>
      <c r="C570" t="s">
        <v>54</v>
      </c>
      <c r="D570">
        <v>1</v>
      </c>
      <c r="E570" s="7">
        <v>232.5</v>
      </c>
      <c r="H570">
        <v>55601</v>
      </c>
      <c r="I570" t="s">
        <v>353</v>
      </c>
      <c r="J570" t="s">
        <v>3202</v>
      </c>
      <c r="K570" t="s">
        <v>3</v>
      </c>
      <c r="L570" s="2">
        <v>43221</v>
      </c>
      <c r="M570" s="2">
        <f>DOCXX[[#This Row],[INV DOC DATE]]+30</f>
        <v>43251</v>
      </c>
      <c r="N570" s="2">
        <v>43252</v>
      </c>
      <c r="O570" s="7">
        <v>232.5</v>
      </c>
      <c r="P570" s="2">
        <v>43262</v>
      </c>
      <c r="Q570" s="7">
        <f>$E570-$O570</f>
        <v>0</v>
      </c>
      <c r="R570" s="7" t="str">
        <f ca="1">IF(TODAY() - DOCXX[INV DUE DATE]&lt;30, "Less than 30 days",IF(TODAY()-DOCXX[INV DUE DATE]&lt;60,"30-60 days","More than 60 days"))</f>
        <v>30-60 days</v>
      </c>
      <c r="S570" t="s">
        <v>818</v>
      </c>
      <c r="T570" s="43" t="s">
        <v>2229</v>
      </c>
      <c r="U570" s="7" t="s">
        <v>3699</v>
      </c>
    </row>
    <row r="571" spans="1:21" x14ac:dyDescent="0.3">
      <c r="A571" s="14" t="s">
        <v>3160</v>
      </c>
      <c r="B571" t="s">
        <v>118</v>
      </c>
      <c r="C571" t="s">
        <v>55</v>
      </c>
      <c r="D571">
        <v>1</v>
      </c>
      <c r="E571" s="7">
        <v>232.5</v>
      </c>
      <c r="H571">
        <v>55601</v>
      </c>
      <c r="I571" t="s">
        <v>353</v>
      </c>
      <c r="J571" t="s">
        <v>3203</v>
      </c>
      <c r="K571" t="s">
        <v>3</v>
      </c>
      <c r="L571" s="2">
        <v>43221</v>
      </c>
      <c r="M571" s="2">
        <f>DOCXX[[#This Row],[INV DOC DATE]]+30</f>
        <v>43251</v>
      </c>
      <c r="N571" s="2">
        <v>43252</v>
      </c>
      <c r="O571" s="7">
        <v>232.5</v>
      </c>
      <c r="P571" s="2">
        <v>43262</v>
      </c>
      <c r="Q571" s="7">
        <f>$E571-$O571</f>
        <v>0</v>
      </c>
      <c r="R571" s="7" t="str">
        <f ca="1">IF(TODAY() - DOCXX[INV DUE DATE]&lt;30, "Less than 30 days",IF(TODAY()-DOCXX[INV DUE DATE]&lt;60,"30-60 days","More than 60 days"))</f>
        <v>30-60 days</v>
      </c>
      <c r="S571" t="s">
        <v>818</v>
      </c>
      <c r="T571" s="43" t="s">
        <v>2229</v>
      </c>
      <c r="U571" s="7" t="s">
        <v>3699</v>
      </c>
    </row>
    <row r="572" spans="1:21" x14ac:dyDescent="0.3">
      <c r="A572" s="14" t="s">
        <v>3160</v>
      </c>
      <c r="B572" t="s">
        <v>118</v>
      </c>
      <c r="C572" t="s">
        <v>56</v>
      </c>
      <c r="D572">
        <v>1</v>
      </c>
      <c r="E572" s="7">
        <v>232.5</v>
      </c>
      <c r="H572">
        <v>55601</v>
      </c>
      <c r="I572" t="s">
        <v>353</v>
      </c>
      <c r="J572" t="s">
        <v>3204</v>
      </c>
      <c r="K572" t="s">
        <v>3</v>
      </c>
      <c r="L572" s="2">
        <v>43221</v>
      </c>
      <c r="M572" s="2">
        <f>DOCXX[[#This Row],[INV DOC DATE]]+30</f>
        <v>43251</v>
      </c>
      <c r="N572" s="2">
        <v>43252</v>
      </c>
      <c r="O572" s="7">
        <v>232.5</v>
      </c>
      <c r="P572" s="2">
        <v>43262</v>
      </c>
      <c r="Q572" s="7">
        <f>$E572-$O572</f>
        <v>0</v>
      </c>
      <c r="R572" s="7" t="str">
        <f ca="1">IF(TODAY() - DOCXX[INV DUE DATE]&lt;30, "Less than 30 days",IF(TODAY()-DOCXX[INV DUE DATE]&lt;60,"30-60 days","More than 60 days"))</f>
        <v>30-60 days</v>
      </c>
      <c r="S572" t="s">
        <v>818</v>
      </c>
      <c r="T572" s="43" t="s">
        <v>2229</v>
      </c>
      <c r="U572" s="7" t="s">
        <v>3699</v>
      </c>
    </row>
    <row r="573" spans="1:21" x14ac:dyDescent="0.3">
      <c r="A573" s="14" t="s">
        <v>3160</v>
      </c>
      <c r="B573" t="s">
        <v>118</v>
      </c>
      <c r="C573" t="s">
        <v>57</v>
      </c>
      <c r="D573">
        <v>1</v>
      </c>
      <c r="E573" s="7">
        <v>232.5</v>
      </c>
      <c r="H573">
        <v>55601</v>
      </c>
      <c r="I573" t="s">
        <v>353</v>
      </c>
      <c r="J573" t="s">
        <v>3205</v>
      </c>
      <c r="K573" t="s">
        <v>3</v>
      </c>
      <c r="L573" s="2">
        <v>43221</v>
      </c>
      <c r="M573" s="2">
        <f>DOCXX[[#This Row],[INV DOC DATE]]+30</f>
        <v>43251</v>
      </c>
      <c r="N573" s="2">
        <v>43252</v>
      </c>
      <c r="O573" s="7">
        <v>232.5</v>
      </c>
      <c r="P573" s="2">
        <v>43262</v>
      </c>
      <c r="Q573" s="7">
        <f>$E573-$O573</f>
        <v>0</v>
      </c>
      <c r="R573" s="7" t="str">
        <f ca="1">IF(TODAY() - DOCXX[INV DUE DATE]&lt;30, "Less than 30 days",IF(TODAY()-DOCXX[INV DUE DATE]&lt;60,"30-60 days","More than 60 days"))</f>
        <v>30-60 days</v>
      </c>
      <c r="S573" t="s">
        <v>818</v>
      </c>
      <c r="T573" s="43" t="s">
        <v>2229</v>
      </c>
      <c r="U573" s="7" t="s">
        <v>3699</v>
      </c>
    </row>
    <row r="574" spans="1:21" x14ac:dyDescent="0.3">
      <c r="A574" s="14" t="s">
        <v>3160</v>
      </c>
      <c r="B574" t="s">
        <v>118</v>
      </c>
      <c r="C574" t="s">
        <v>58</v>
      </c>
      <c r="D574">
        <v>1</v>
      </c>
      <c r="E574" s="7">
        <v>232.5</v>
      </c>
      <c r="H574">
        <v>55601</v>
      </c>
      <c r="I574" t="s">
        <v>353</v>
      </c>
      <c r="J574" t="s">
        <v>3206</v>
      </c>
      <c r="K574" t="s">
        <v>3</v>
      </c>
      <c r="L574" s="2">
        <v>43221</v>
      </c>
      <c r="M574" s="2">
        <f>DOCXX[[#This Row],[INV DOC DATE]]+30</f>
        <v>43251</v>
      </c>
      <c r="N574" s="2">
        <v>43252</v>
      </c>
      <c r="O574" s="7">
        <v>232.5</v>
      </c>
      <c r="P574" s="2">
        <v>43262</v>
      </c>
      <c r="Q574" s="7">
        <f>$E574-$O574</f>
        <v>0</v>
      </c>
      <c r="R574" s="7" t="str">
        <f ca="1">IF(TODAY() - DOCXX[INV DUE DATE]&lt;30, "Less than 30 days",IF(TODAY()-DOCXX[INV DUE DATE]&lt;60,"30-60 days","More than 60 days"))</f>
        <v>30-60 days</v>
      </c>
      <c r="S574" t="s">
        <v>818</v>
      </c>
      <c r="T574" s="43" t="s">
        <v>2229</v>
      </c>
      <c r="U574" s="7" t="s">
        <v>3699</v>
      </c>
    </row>
    <row r="575" spans="1:21" x14ac:dyDescent="0.3">
      <c r="A575" s="14" t="s">
        <v>3160</v>
      </c>
      <c r="B575" t="s">
        <v>118</v>
      </c>
      <c r="C575" t="s">
        <v>59</v>
      </c>
      <c r="D575">
        <v>1</v>
      </c>
      <c r="E575" s="7">
        <v>232.5</v>
      </c>
      <c r="H575">
        <v>55601</v>
      </c>
      <c r="I575" t="s">
        <v>353</v>
      </c>
      <c r="J575" t="s">
        <v>3207</v>
      </c>
      <c r="K575" t="s">
        <v>3</v>
      </c>
      <c r="L575" s="2">
        <v>43221</v>
      </c>
      <c r="M575" s="2">
        <f>DOCXX[[#This Row],[INV DOC DATE]]+30</f>
        <v>43251</v>
      </c>
      <c r="N575" s="2">
        <v>43252</v>
      </c>
      <c r="O575" s="7">
        <v>232.5</v>
      </c>
      <c r="P575" s="2">
        <v>43262</v>
      </c>
      <c r="Q575" s="7">
        <f>$E575-$O575</f>
        <v>0</v>
      </c>
      <c r="R575" s="7" t="str">
        <f ca="1">IF(TODAY() - DOCXX[INV DUE DATE]&lt;30, "Less than 30 days",IF(TODAY()-DOCXX[INV DUE DATE]&lt;60,"30-60 days","More than 60 days"))</f>
        <v>30-60 days</v>
      </c>
      <c r="S575" t="s">
        <v>818</v>
      </c>
      <c r="T575" s="43" t="s">
        <v>2229</v>
      </c>
      <c r="U575" s="7" t="s">
        <v>3699</v>
      </c>
    </row>
    <row r="576" spans="1:21" x14ac:dyDescent="0.3">
      <c r="A576" s="14" t="s">
        <v>3160</v>
      </c>
      <c r="B576" t="s">
        <v>118</v>
      </c>
      <c r="C576" t="s">
        <v>60</v>
      </c>
      <c r="D576">
        <v>1</v>
      </c>
      <c r="E576" s="7">
        <v>232.5</v>
      </c>
      <c r="H576">
        <v>55601</v>
      </c>
      <c r="I576" t="s">
        <v>353</v>
      </c>
      <c r="J576" t="s">
        <v>3208</v>
      </c>
      <c r="K576" t="s">
        <v>3</v>
      </c>
      <c r="L576" s="2">
        <v>43221</v>
      </c>
      <c r="M576" s="2">
        <f>DOCXX[[#This Row],[INV DOC DATE]]+30</f>
        <v>43251</v>
      </c>
      <c r="N576" s="2">
        <v>43252</v>
      </c>
      <c r="O576" s="7">
        <v>232.5</v>
      </c>
      <c r="P576" s="2">
        <v>43262</v>
      </c>
      <c r="Q576" s="7">
        <f>$E576-$O576</f>
        <v>0</v>
      </c>
      <c r="R576" s="7" t="str">
        <f ca="1">IF(TODAY() - DOCXX[INV DUE DATE]&lt;30, "Less than 30 days",IF(TODAY()-DOCXX[INV DUE DATE]&lt;60,"30-60 days","More than 60 days"))</f>
        <v>30-60 days</v>
      </c>
      <c r="S576" t="s">
        <v>818</v>
      </c>
      <c r="T576" s="43" t="s">
        <v>2229</v>
      </c>
      <c r="U576" s="7" t="s">
        <v>3699</v>
      </c>
    </row>
    <row r="577" spans="1:21" x14ac:dyDescent="0.3">
      <c r="A577" s="14" t="s">
        <v>3160</v>
      </c>
      <c r="B577" t="s">
        <v>118</v>
      </c>
      <c r="C577" t="s">
        <v>61</v>
      </c>
      <c r="D577">
        <v>1</v>
      </c>
      <c r="E577" s="7">
        <v>232.5</v>
      </c>
      <c r="H577">
        <v>55601</v>
      </c>
      <c r="I577" t="s">
        <v>353</v>
      </c>
      <c r="J577" t="s">
        <v>3209</v>
      </c>
      <c r="K577" t="s">
        <v>3</v>
      </c>
      <c r="L577" s="2">
        <v>43221</v>
      </c>
      <c r="M577" s="2">
        <f>DOCXX[[#This Row],[INV DOC DATE]]+30</f>
        <v>43251</v>
      </c>
      <c r="N577" s="2">
        <v>43252</v>
      </c>
      <c r="O577" s="7">
        <v>232.5</v>
      </c>
      <c r="P577" s="2">
        <v>43262</v>
      </c>
      <c r="Q577" s="7">
        <f>$E577-$O577</f>
        <v>0</v>
      </c>
      <c r="R577" s="7" t="str">
        <f ca="1">IF(TODAY() - DOCXX[INV DUE DATE]&lt;30, "Less than 30 days",IF(TODAY()-DOCXX[INV DUE DATE]&lt;60,"30-60 days","More than 60 days"))</f>
        <v>30-60 days</v>
      </c>
      <c r="S577" t="s">
        <v>818</v>
      </c>
      <c r="T577" s="43" t="s">
        <v>2229</v>
      </c>
      <c r="U577" s="7" t="s">
        <v>3699</v>
      </c>
    </row>
    <row r="578" spans="1:21" x14ac:dyDescent="0.3">
      <c r="A578" s="14" t="s">
        <v>3160</v>
      </c>
      <c r="B578" t="s">
        <v>118</v>
      </c>
      <c r="C578" t="s">
        <v>62</v>
      </c>
      <c r="D578">
        <v>1</v>
      </c>
      <c r="E578" s="7">
        <v>232.5</v>
      </c>
      <c r="H578">
        <v>55601</v>
      </c>
      <c r="I578" t="s">
        <v>353</v>
      </c>
      <c r="J578" t="s">
        <v>3210</v>
      </c>
      <c r="K578" t="s">
        <v>3</v>
      </c>
      <c r="L578" s="2">
        <v>43221</v>
      </c>
      <c r="M578" s="2">
        <f>DOCXX[[#This Row],[INV DOC DATE]]+30</f>
        <v>43251</v>
      </c>
      <c r="N578" s="2">
        <v>43252</v>
      </c>
      <c r="O578" s="7">
        <v>232.5</v>
      </c>
      <c r="P578" s="2">
        <v>43262</v>
      </c>
      <c r="Q578" s="7">
        <f>$E578-$O578</f>
        <v>0</v>
      </c>
      <c r="R578" s="7" t="str">
        <f ca="1">IF(TODAY() - DOCXX[INV DUE DATE]&lt;30, "Less than 30 days",IF(TODAY()-DOCXX[INV DUE DATE]&lt;60,"30-60 days","More than 60 days"))</f>
        <v>30-60 days</v>
      </c>
      <c r="S578" t="s">
        <v>818</v>
      </c>
      <c r="T578" s="43" t="s">
        <v>2229</v>
      </c>
      <c r="U578" s="7" t="s">
        <v>3699</v>
      </c>
    </row>
    <row r="579" spans="1:21" x14ac:dyDescent="0.3">
      <c r="A579" s="14" t="s">
        <v>3160</v>
      </c>
      <c r="B579" t="s">
        <v>118</v>
      </c>
      <c r="C579" t="s">
        <v>63</v>
      </c>
      <c r="D579">
        <v>1</v>
      </c>
      <c r="E579" s="7">
        <v>232.5</v>
      </c>
      <c r="H579">
        <v>55601</v>
      </c>
      <c r="I579" t="s">
        <v>353</v>
      </c>
      <c r="J579" t="s">
        <v>3211</v>
      </c>
      <c r="K579" t="s">
        <v>3</v>
      </c>
      <c r="L579" s="2">
        <v>43221</v>
      </c>
      <c r="M579" s="2">
        <f>DOCXX[[#This Row],[INV DOC DATE]]+30</f>
        <v>43251</v>
      </c>
      <c r="N579" s="2">
        <v>43252</v>
      </c>
      <c r="O579" s="7">
        <v>232.5</v>
      </c>
      <c r="P579" s="2">
        <v>43262</v>
      </c>
      <c r="Q579" s="7">
        <f>$E579-$O579</f>
        <v>0</v>
      </c>
      <c r="R579" s="7" t="str">
        <f ca="1">IF(TODAY() - DOCXX[INV DUE DATE]&lt;30, "Less than 30 days",IF(TODAY()-DOCXX[INV DUE DATE]&lt;60,"30-60 days","More than 60 days"))</f>
        <v>30-60 days</v>
      </c>
      <c r="S579" t="s">
        <v>818</v>
      </c>
      <c r="T579" s="43" t="s">
        <v>2229</v>
      </c>
      <c r="U579" s="7" t="s">
        <v>3699</v>
      </c>
    </row>
    <row r="580" spans="1:21" x14ac:dyDescent="0.3">
      <c r="A580" s="14" t="s">
        <v>3160</v>
      </c>
      <c r="B580" t="s">
        <v>118</v>
      </c>
      <c r="C580" t="s">
        <v>64</v>
      </c>
      <c r="D580">
        <v>1</v>
      </c>
      <c r="E580" s="7">
        <v>232.5</v>
      </c>
      <c r="H580">
        <v>55601</v>
      </c>
      <c r="I580" t="s">
        <v>353</v>
      </c>
      <c r="J580" t="s">
        <v>3212</v>
      </c>
      <c r="K580" t="s">
        <v>3</v>
      </c>
      <c r="L580" s="2">
        <v>43221</v>
      </c>
      <c r="M580" s="2">
        <f>DOCXX[[#This Row],[INV DOC DATE]]+30</f>
        <v>43251</v>
      </c>
      <c r="N580" s="2">
        <v>43252</v>
      </c>
      <c r="O580" s="7">
        <v>232.5</v>
      </c>
      <c r="P580" s="2">
        <v>43262</v>
      </c>
      <c r="Q580" s="7">
        <f>$E580-$O580</f>
        <v>0</v>
      </c>
      <c r="R580" s="7" t="str">
        <f ca="1">IF(TODAY() - DOCXX[INV DUE DATE]&lt;30, "Less than 30 days",IF(TODAY()-DOCXX[INV DUE DATE]&lt;60,"30-60 days","More than 60 days"))</f>
        <v>30-60 days</v>
      </c>
      <c r="S580" t="s">
        <v>818</v>
      </c>
      <c r="T580" s="43" t="s">
        <v>2229</v>
      </c>
      <c r="U580" s="7" t="s">
        <v>3699</v>
      </c>
    </row>
    <row r="581" spans="1:21" x14ac:dyDescent="0.3">
      <c r="A581" s="14" t="s">
        <v>3160</v>
      </c>
      <c r="B581" t="s">
        <v>118</v>
      </c>
      <c r="C581" t="s">
        <v>65</v>
      </c>
      <c r="D581">
        <v>1</v>
      </c>
      <c r="E581" s="7">
        <v>232.5</v>
      </c>
      <c r="H581">
        <v>55601</v>
      </c>
      <c r="I581" t="s">
        <v>353</v>
      </c>
      <c r="J581" t="s">
        <v>3213</v>
      </c>
      <c r="K581" t="s">
        <v>3</v>
      </c>
      <c r="L581" s="2">
        <v>43221</v>
      </c>
      <c r="M581" s="2">
        <f>DOCXX[[#This Row],[INV DOC DATE]]+30</f>
        <v>43251</v>
      </c>
      <c r="N581" s="2">
        <v>43252</v>
      </c>
      <c r="O581" s="7">
        <v>232.5</v>
      </c>
      <c r="P581" s="2">
        <v>43262</v>
      </c>
      <c r="Q581" s="7">
        <f>$E581-$O581</f>
        <v>0</v>
      </c>
      <c r="R581" s="7" t="str">
        <f ca="1">IF(TODAY() - DOCXX[INV DUE DATE]&lt;30, "Less than 30 days",IF(TODAY()-DOCXX[INV DUE DATE]&lt;60,"30-60 days","More than 60 days"))</f>
        <v>30-60 days</v>
      </c>
      <c r="S581" t="s">
        <v>818</v>
      </c>
      <c r="T581" s="43" t="s">
        <v>2229</v>
      </c>
      <c r="U581" s="7" t="s">
        <v>3699</v>
      </c>
    </row>
    <row r="582" spans="1:21" x14ac:dyDescent="0.3">
      <c r="A582" s="14" t="s">
        <v>3160</v>
      </c>
      <c r="B582" t="s">
        <v>118</v>
      </c>
      <c r="C582" t="s">
        <v>66</v>
      </c>
      <c r="D582">
        <v>1</v>
      </c>
      <c r="E582" s="7">
        <v>232.5</v>
      </c>
      <c r="H582">
        <v>55601</v>
      </c>
      <c r="I582" t="s">
        <v>353</v>
      </c>
      <c r="J582" t="s">
        <v>3214</v>
      </c>
      <c r="K582" t="s">
        <v>3</v>
      </c>
      <c r="L582" s="2">
        <v>43221</v>
      </c>
      <c r="M582" s="2">
        <f>DOCXX[[#This Row],[INV DOC DATE]]+30</f>
        <v>43251</v>
      </c>
      <c r="N582" s="2">
        <v>43252</v>
      </c>
      <c r="O582" s="7">
        <v>232.5</v>
      </c>
      <c r="P582" s="2">
        <v>43262</v>
      </c>
      <c r="Q582" s="7">
        <f>$E582-$O582</f>
        <v>0</v>
      </c>
      <c r="R582" s="7" t="str">
        <f ca="1">IF(TODAY() - DOCXX[INV DUE DATE]&lt;30, "Less than 30 days",IF(TODAY()-DOCXX[INV DUE DATE]&lt;60,"30-60 days","More than 60 days"))</f>
        <v>30-60 days</v>
      </c>
      <c r="S582" t="s">
        <v>818</v>
      </c>
      <c r="T582" s="43" t="s">
        <v>2229</v>
      </c>
      <c r="U582" s="7" t="s">
        <v>3699</v>
      </c>
    </row>
    <row r="583" spans="1:21" x14ac:dyDescent="0.3">
      <c r="A583" s="14" t="s">
        <v>3160</v>
      </c>
      <c r="B583" t="s">
        <v>118</v>
      </c>
      <c r="C583" t="s">
        <v>67</v>
      </c>
      <c r="D583">
        <v>1</v>
      </c>
      <c r="E583" s="7">
        <v>232.5</v>
      </c>
      <c r="H583">
        <v>55601</v>
      </c>
      <c r="I583" t="s">
        <v>353</v>
      </c>
      <c r="J583" t="s">
        <v>3215</v>
      </c>
      <c r="K583" t="s">
        <v>3</v>
      </c>
      <c r="L583" s="2">
        <v>43221</v>
      </c>
      <c r="M583" s="2">
        <f>DOCXX[[#This Row],[INV DOC DATE]]+30</f>
        <v>43251</v>
      </c>
      <c r="N583" s="2">
        <v>43252</v>
      </c>
      <c r="O583" s="7">
        <v>232.5</v>
      </c>
      <c r="P583" s="2">
        <v>43262</v>
      </c>
      <c r="Q583" s="7">
        <f>$E583-$O583</f>
        <v>0</v>
      </c>
      <c r="R583" s="7" t="str">
        <f ca="1">IF(TODAY() - DOCXX[INV DUE DATE]&lt;30, "Less than 30 days",IF(TODAY()-DOCXX[INV DUE DATE]&lt;60,"30-60 days","More than 60 days"))</f>
        <v>30-60 days</v>
      </c>
      <c r="S583" t="s">
        <v>818</v>
      </c>
      <c r="T583" s="43" t="s">
        <v>2229</v>
      </c>
      <c r="U583" s="7" t="s">
        <v>3699</v>
      </c>
    </row>
    <row r="584" spans="1:21" x14ac:dyDescent="0.3">
      <c r="A584" s="14" t="s">
        <v>3160</v>
      </c>
      <c r="B584" t="s">
        <v>118</v>
      </c>
      <c r="C584" t="s">
        <v>68</v>
      </c>
      <c r="D584">
        <v>1</v>
      </c>
      <c r="E584" s="7">
        <v>232.5</v>
      </c>
      <c r="H584">
        <v>55601</v>
      </c>
      <c r="I584" t="s">
        <v>353</v>
      </c>
      <c r="J584" t="s">
        <v>3216</v>
      </c>
      <c r="K584" t="s">
        <v>3</v>
      </c>
      <c r="L584" s="2">
        <v>43221</v>
      </c>
      <c r="M584" s="2">
        <f>DOCXX[[#This Row],[INV DOC DATE]]+30</f>
        <v>43251</v>
      </c>
      <c r="N584" s="2">
        <v>43252</v>
      </c>
      <c r="O584" s="7">
        <v>232.5</v>
      </c>
      <c r="P584" s="2">
        <v>43262</v>
      </c>
      <c r="Q584" s="7">
        <f>$E584-$O584</f>
        <v>0</v>
      </c>
      <c r="R584" s="7" t="str">
        <f ca="1">IF(TODAY() - DOCXX[INV DUE DATE]&lt;30, "Less than 30 days",IF(TODAY()-DOCXX[INV DUE DATE]&lt;60,"30-60 days","More than 60 days"))</f>
        <v>30-60 days</v>
      </c>
      <c r="S584" t="s">
        <v>818</v>
      </c>
      <c r="T584" s="43" t="s">
        <v>2229</v>
      </c>
      <c r="U584" s="7" t="s">
        <v>3699</v>
      </c>
    </row>
    <row r="585" spans="1:21" x14ac:dyDescent="0.3">
      <c r="A585" s="14" t="s">
        <v>3160</v>
      </c>
      <c r="B585" t="s">
        <v>118</v>
      </c>
      <c r="C585" t="s">
        <v>69</v>
      </c>
      <c r="D585">
        <v>1</v>
      </c>
      <c r="E585" s="7">
        <v>232.5</v>
      </c>
      <c r="H585">
        <v>55601</v>
      </c>
      <c r="I585" t="s">
        <v>353</v>
      </c>
      <c r="J585" t="s">
        <v>3217</v>
      </c>
      <c r="K585" t="s">
        <v>3</v>
      </c>
      <c r="L585" s="2">
        <v>43221</v>
      </c>
      <c r="M585" s="2">
        <f>DOCXX[[#This Row],[INV DOC DATE]]+30</f>
        <v>43251</v>
      </c>
      <c r="N585" s="2">
        <v>43252</v>
      </c>
      <c r="O585" s="7">
        <v>232.5</v>
      </c>
      <c r="P585" s="2">
        <v>43262</v>
      </c>
      <c r="Q585" s="7">
        <f>$E585-$O585</f>
        <v>0</v>
      </c>
      <c r="R585" s="7" t="str">
        <f ca="1">IF(TODAY() - DOCXX[INV DUE DATE]&lt;30, "Less than 30 days",IF(TODAY()-DOCXX[INV DUE DATE]&lt;60,"30-60 days","More than 60 days"))</f>
        <v>30-60 days</v>
      </c>
      <c r="S585" t="s">
        <v>818</v>
      </c>
      <c r="T585" s="43" t="s">
        <v>2229</v>
      </c>
      <c r="U585" s="7" t="s">
        <v>3699</v>
      </c>
    </row>
    <row r="586" spans="1:21" x14ac:dyDescent="0.3">
      <c r="A586" s="14" t="s">
        <v>3160</v>
      </c>
      <c r="B586" t="s">
        <v>118</v>
      </c>
      <c r="C586" t="s">
        <v>70</v>
      </c>
      <c r="D586">
        <v>1</v>
      </c>
      <c r="E586" s="7">
        <v>232.5</v>
      </c>
      <c r="H586">
        <v>55601</v>
      </c>
      <c r="I586" t="s">
        <v>353</v>
      </c>
      <c r="J586" t="s">
        <v>3218</v>
      </c>
      <c r="K586" t="s">
        <v>3</v>
      </c>
      <c r="L586" s="2">
        <v>43221</v>
      </c>
      <c r="M586" s="2">
        <f>DOCXX[[#This Row],[INV DOC DATE]]+30</f>
        <v>43251</v>
      </c>
      <c r="N586" s="2">
        <v>43252</v>
      </c>
      <c r="O586" s="7">
        <v>232.5</v>
      </c>
      <c r="P586" s="2">
        <v>43262</v>
      </c>
      <c r="Q586" s="7">
        <f>$E586-$O586</f>
        <v>0</v>
      </c>
      <c r="R586" s="7" t="str">
        <f ca="1">IF(TODAY() - DOCXX[INV DUE DATE]&lt;30, "Less than 30 days",IF(TODAY()-DOCXX[INV DUE DATE]&lt;60,"30-60 days","More than 60 days"))</f>
        <v>30-60 days</v>
      </c>
      <c r="S586" t="s">
        <v>818</v>
      </c>
      <c r="T586" s="43" t="s">
        <v>2229</v>
      </c>
      <c r="U586" s="7" t="s">
        <v>3699</v>
      </c>
    </row>
    <row r="587" spans="1:21" x14ac:dyDescent="0.3">
      <c r="A587" s="14" t="s">
        <v>3160</v>
      </c>
      <c r="B587" t="s">
        <v>118</v>
      </c>
      <c r="C587" t="s">
        <v>71</v>
      </c>
      <c r="D587">
        <v>1</v>
      </c>
      <c r="E587" s="7">
        <v>232.5</v>
      </c>
      <c r="H587">
        <v>55601</v>
      </c>
      <c r="I587" t="s">
        <v>353</v>
      </c>
      <c r="J587" t="s">
        <v>3219</v>
      </c>
      <c r="K587" t="s">
        <v>3</v>
      </c>
      <c r="L587" s="2">
        <v>43221</v>
      </c>
      <c r="M587" s="2">
        <f>DOCXX[[#This Row],[INV DOC DATE]]+30</f>
        <v>43251</v>
      </c>
      <c r="N587" s="2">
        <v>43252</v>
      </c>
      <c r="O587" s="7">
        <v>232.5</v>
      </c>
      <c r="P587" s="2">
        <v>43262</v>
      </c>
      <c r="Q587" s="7">
        <f>$E587-$O587</f>
        <v>0</v>
      </c>
      <c r="R587" s="7" t="str">
        <f ca="1">IF(TODAY() - DOCXX[INV DUE DATE]&lt;30, "Less than 30 days",IF(TODAY()-DOCXX[INV DUE DATE]&lt;60,"30-60 days","More than 60 days"))</f>
        <v>30-60 days</v>
      </c>
      <c r="S587" t="s">
        <v>818</v>
      </c>
      <c r="T587" s="43" t="s">
        <v>2229</v>
      </c>
      <c r="U587" s="7" t="s">
        <v>3699</v>
      </c>
    </row>
    <row r="588" spans="1:21" x14ac:dyDescent="0.3">
      <c r="A588" s="14" t="s">
        <v>3160</v>
      </c>
      <c r="B588" t="s">
        <v>118</v>
      </c>
      <c r="C588" t="s">
        <v>72</v>
      </c>
      <c r="D588">
        <v>1</v>
      </c>
      <c r="E588" s="7">
        <v>232.5</v>
      </c>
      <c r="H588">
        <v>55601</v>
      </c>
      <c r="I588" t="s">
        <v>353</v>
      </c>
      <c r="J588" t="s">
        <v>3220</v>
      </c>
      <c r="K588" t="s">
        <v>3</v>
      </c>
      <c r="L588" s="2">
        <v>43221</v>
      </c>
      <c r="M588" s="2">
        <f>DOCXX[[#This Row],[INV DOC DATE]]+30</f>
        <v>43251</v>
      </c>
      <c r="N588" s="2">
        <v>43252</v>
      </c>
      <c r="O588" s="7">
        <v>232.5</v>
      </c>
      <c r="P588" s="2">
        <v>43262</v>
      </c>
      <c r="Q588" s="7">
        <f>$E588-$O588</f>
        <v>0</v>
      </c>
      <c r="R588" s="7" t="str">
        <f ca="1">IF(TODAY() - DOCXX[INV DUE DATE]&lt;30, "Less than 30 days",IF(TODAY()-DOCXX[INV DUE DATE]&lt;60,"30-60 days","More than 60 days"))</f>
        <v>30-60 days</v>
      </c>
      <c r="S588" t="s">
        <v>818</v>
      </c>
      <c r="T588" s="43" t="s">
        <v>2229</v>
      </c>
      <c r="U588" s="7" t="s">
        <v>3699</v>
      </c>
    </row>
    <row r="589" spans="1:21" x14ac:dyDescent="0.3">
      <c r="A589" s="14" t="s">
        <v>3160</v>
      </c>
      <c r="B589" t="s">
        <v>118</v>
      </c>
      <c r="C589" t="s">
        <v>73</v>
      </c>
      <c r="D589">
        <v>1</v>
      </c>
      <c r="E589" s="7">
        <v>232.5</v>
      </c>
      <c r="H589">
        <v>55601</v>
      </c>
      <c r="I589" t="s">
        <v>353</v>
      </c>
      <c r="J589" t="s">
        <v>3221</v>
      </c>
      <c r="K589" t="s">
        <v>3</v>
      </c>
      <c r="L589" s="2">
        <v>43221</v>
      </c>
      <c r="M589" s="2">
        <f>DOCXX[[#This Row],[INV DOC DATE]]+30</f>
        <v>43251</v>
      </c>
      <c r="N589" s="2">
        <v>43252</v>
      </c>
      <c r="O589" s="7">
        <v>232.5</v>
      </c>
      <c r="P589" s="2">
        <v>43262</v>
      </c>
      <c r="Q589" s="7">
        <f>$E589-$O589</f>
        <v>0</v>
      </c>
      <c r="R589" s="7" t="str">
        <f ca="1">IF(TODAY() - DOCXX[INV DUE DATE]&lt;30, "Less than 30 days",IF(TODAY()-DOCXX[INV DUE DATE]&lt;60,"30-60 days","More than 60 days"))</f>
        <v>30-60 days</v>
      </c>
      <c r="S589" t="s">
        <v>818</v>
      </c>
      <c r="T589" s="43" t="s">
        <v>2229</v>
      </c>
      <c r="U589" s="7" t="s">
        <v>3699</v>
      </c>
    </row>
    <row r="590" spans="1:21" x14ac:dyDescent="0.3">
      <c r="A590" s="14" t="s">
        <v>3160</v>
      </c>
      <c r="B590" t="s">
        <v>118</v>
      </c>
      <c r="C590" t="s">
        <v>74</v>
      </c>
      <c r="D590">
        <v>1</v>
      </c>
      <c r="E590" s="7">
        <v>232.5</v>
      </c>
      <c r="H590">
        <v>55601</v>
      </c>
      <c r="I590" t="s">
        <v>353</v>
      </c>
      <c r="J590" t="s">
        <v>3222</v>
      </c>
      <c r="K590" t="s">
        <v>3</v>
      </c>
      <c r="L590" s="2">
        <v>43221</v>
      </c>
      <c r="M590" s="2">
        <f>DOCXX[[#This Row],[INV DOC DATE]]+30</f>
        <v>43251</v>
      </c>
      <c r="N590" s="2">
        <v>43252</v>
      </c>
      <c r="O590" s="7">
        <v>232.5</v>
      </c>
      <c r="P590" s="2">
        <v>43262</v>
      </c>
      <c r="Q590" s="7">
        <f>$E590-$O590</f>
        <v>0</v>
      </c>
      <c r="R590" s="7" t="str">
        <f ca="1">IF(TODAY() - DOCXX[INV DUE DATE]&lt;30, "Less than 30 days",IF(TODAY()-DOCXX[INV DUE DATE]&lt;60,"30-60 days","More than 60 days"))</f>
        <v>30-60 days</v>
      </c>
      <c r="S590" t="s">
        <v>818</v>
      </c>
      <c r="T590" s="43" t="s">
        <v>2229</v>
      </c>
      <c r="U590" s="7" t="s">
        <v>3699</v>
      </c>
    </row>
    <row r="591" spans="1:21" x14ac:dyDescent="0.3">
      <c r="A591" s="14" t="s">
        <v>3160</v>
      </c>
      <c r="B591" t="s">
        <v>118</v>
      </c>
      <c r="C591" t="s">
        <v>75</v>
      </c>
      <c r="D591">
        <v>1</v>
      </c>
      <c r="E591" s="7">
        <v>232.5</v>
      </c>
      <c r="H591">
        <v>55601</v>
      </c>
      <c r="I591" t="s">
        <v>353</v>
      </c>
      <c r="J591" t="s">
        <v>3223</v>
      </c>
      <c r="K591" t="s">
        <v>3</v>
      </c>
      <c r="L591" s="2">
        <v>43221</v>
      </c>
      <c r="M591" s="2">
        <f>DOCXX[[#This Row],[INV DOC DATE]]+30</f>
        <v>43251</v>
      </c>
      <c r="N591" s="2">
        <v>43252</v>
      </c>
      <c r="O591" s="7">
        <v>232.5</v>
      </c>
      <c r="P591" s="2">
        <v>43262</v>
      </c>
      <c r="Q591" s="7">
        <f>$E591-$O591</f>
        <v>0</v>
      </c>
      <c r="R591" s="7" t="str">
        <f ca="1">IF(TODAY() - DOCXX[INV DUE DATE]&lt;30, "Less than 30 days",IF(TODAY()-DOCXX[INV DUE DATE]&lt;60,"30-60 days","More than 60 days"))</f>
        <v>30-60 days</v>
      </c>
      <c r="S591" t="s">
        <v>818</v>
      </c>
      <c r="T591" s="43" t="s">
        <v>2229</v>
      </c>
      <c r="U591" s="7" t="s">
        <v>3699</v>
      </c>
    </row>
    <row r="592" spans="1:21" x14ac:dyDescent="0.3">
      <c r="A592" s="14" t="s">
        <v>3160</v>
      </c>
      <c r="B592" t="s">
        <v>118</v>
      </c>
      <c r="C592" t="s">
        <v>76</v>
      </c>
      <c r="D592">
        <v>1</v>
      </c>
      <c r="E592" s="7">
        <v>232.5</v>
      </c>
      <c r="H592">
        <v>55601</v>
      </c>
      <c r="I592" t="s">
        <v>353</v>
      </c>
      <c r="J592" t="s">
        <v>3224</v>
      </c>
      <c r="K592" t="s">
        <v>3</v>
      </c>
      <c r="L592" s="2">
        <v>43221</v>
      </c>
      <c r="M592" s="2">
        <f>DOCXX[[#This Row],[INV DOC DATE]]+30</f>
        <v>43251</v>
      </c>
      <c r="N592" s="2">
        <v>43252</v>
      </c>
      <c r="O592" s="7">
        <v>232.5</v>
      </c>
      <c r="P592" s="2">
        <v>43262</v>
      </c>
      <c r="Q592" s="7">
        <f>$E592-$O592</f>
        <v>0</v>
      </c>
      <c r="R592" s="7" t="str">
        <f ca="1">IF(TODAY() - DOCXX[INV DUE DATE]&lt;30, "Less than 30 days",IF(TODAY()-DOCXX[INV DUE DATE]&lt;60,"30-60 days","More than 60 days"))</f>
        <v>30-60 days</v>
      </c>
      <c r="S592" t="s">
        <v>818</v>
      </c>
      <c r="T592" s="43" t="s">
        <v>2229</v>
      </c>
      <c r="U592" s="7" t="s">
        <v>3699</v>
      </c>
    </row>
    <row r="593" spans="1:21" x14ac:dyDescent="0.3">
      <c r="A593" s="14" t="s">
        <v>3160</v>
      </c>
      <c r="B593" t="s">
        <v>118</v>
      </c>
      <c r="C593" t="s">
        <v>77</v>
      </c>
      <c r="D593">
        <v>1</v>
      </c>
      <c r="E593" s="7">
        <v>232.5</v>
      </c>
      <c r="H593">
        <v>55601</v>
      </c>
      <c r="I593" t="s">
        <v>353</v>
      </c>
      <c r="J593" t="s">
        <v>3225</v>
      </c>
      <c r="K593" t="s">
        <v>3</v>
      </c>
      <c r="L593" s="2">
        <v>43221</v>
      </c>
      <c r="M593" s="2">
        <f>DOCXX[[#This Row],[INV DOC DATE]]+30</f>
        <v>43251</v>
      </c>
      <c r="N593" s="2">
        <v>43252</v>
      </c>
      <c r="O593" s="7">
        <v>232.5</v>
      </c>
      <c r="P593" s="2">
        <v>43262</v>
      </c>
      <c r="Q593" s="7">
        <f>$E593-$O593</f>
        <v>0</v>
      </c>
      <c r="R593" s="7" t="str">
        <f ca="1">IF(TODAY() - DOCXX[INV DUE DATE]&lt;30, "Less than 30 days",IF(TODAY()-DOCXX[INV DUE DATE]&lt;60,"30-60 days","More than 60 days"))</f>
        <v>30-60 days</v>
      </c>
      <c r="S593" t="s">
        <v>818</v>
      </c>
      <c r="T593" s="43" t="s">
        <v>2229</v>
      </c>
      <c r="U593" s="7" t="s">
        <v>3699</v>
      </c>
    </row>
    <row r="594" spans="1:21" x14ac:dyDescent="0.3">
      <c r="A594" s="14" t="s">
        <v>3160</v>
      </c>
      <c r="B594" t="s">
        <v>118</v>
      </c>
      <c r="C594" t="s">
        <v>78</v>
      </c>
      <c r="D594">
        <v>1</v>
      </c>
      <c r="E594" s="7">
        <v>232.5</v>
      </c>
      <c r="H594">
        <v>55601</v>
      </c>
      <c r="I594" t="s">
        <v>353</v>
      </c>
      <c r="J594" t="s">
        <v>3226</v>
      </c>
      <c r="K594" t="s">
        <v>3</v>
      </c>
      <c r="L594" s="2">
        <v>43221</v>
      </c>
      <c r="M594" s="2">
        <f>DOCXX[[#This Row],[INV DOC DATE]]+30</f>
        <v>43251</v>
      </c>
      <c r="N594" s="2">
        <v>43252</v>
      </c>
      <c r="O594" s="7">
        <v>232.5</v>
      </c>
      <c r="P594" s="2">
        <v>43262</v>
      </c>
      <c r="Q594" s="7">
        <f>$E594-$O594</f>
        <v>0</v>
      </c>
      <c r="R594" s="7" t="str">
        <f ca="1">IF(TODAY() - DOCXX[INV DUE DATE]&lt;30, "Less than 30 days",IF(TODAY()-DOCXX[INV DUE DATE]&lt;60,"30-60 days","More than 60 days"))</f>
        <v>30-60 days</v>
      </c>
      <c r="S594" t="s">
        <v>818</v>
      </c>
      <c r="T594" s="43" t="s">
        <v>2229</v>
      </c>
      <c r="U594" s="7" t="s">
        <v>3699</v>
      </c>
    </row>
    <row r="595" spans="1:21" x14ac:dyDescent="0.3">
      <c r="A595" s="14" t="s">
        <v>3160</v>
      </c>
      <c r="B595" t="s">
        <v>118</v>
      </c>
      <c r="C595" t="s">
        <v>79</v>
      </c>
      <c r="D595">
        <v>1</v>
      </c>
      <c r="E595" s="7">
        <v>232.5</v>
      </c>
      <c r="H595">
        <v>55601</v>
      </c>
      <c r="I595" t="s">
        <v>353</v>
      </c>
      <c r="J595" t="s">
        <v>3227</v>
      </c>
      <c r="K595" t="s">
        <v>3</v>
      </c>
      <c r="L595" s="2">
        <v>43221</v>
      </c>
      <c r="M595" s="2">
        <f>DOCXX[[#This Row],[INV DOC DATE]]+30</f>
        <v>43251</v>
      </c>
      <c r="N595" s="2">
        <v>43252</v>
      </c>
      <c r="O595" s="7">
        <v>232.5</v>
      </c>
      <c r="P595" s="2">
        <v>43262</v>
      </c>
      <c r="Q595" s="7">
        <f>$E595-$O595</f>
        <v>0</v>
      </c>
      <c r="R595" s="7" t="str">
        <f ca="1">IF(TODAY() - DOCXX[INV DUE DATE]&lt;30, "Less than 30 days",IF(TODAY()-DOCXX[INV DUE DATE]&lt;60,"30-60 days","More than 60 days"))</f>
        <v>30-60 days</v>
      </c>
      <c r="S595" t="s">
        <v>818</v>
      </c>
      <c r="T595" s="43" t="s">
        <v>2229</v>
      </c>
      <c r="U595" s="7" t="s">
        <v>3699</v>
      </c>
    </row>
    <row r="596" spans="1:21" x14ac:dyDescent="0.3">
      <c r="A596" s="14" t="s">
        <v>3160</v>
      </c>
      <c r="B596" t="s">
        <v>118</v>
      </c>
      <c r="C596" t="s">
        <v>80</v>
      </c>
      <c r="D596">
        <v>1</v>
      </c>
      <c r="E596" s="7">
        <v>232.5</v>
      </c>
      <c r="H596">
        <v>55601</v>
      </c>
      <c r="I596" t="s">
        <v>353</v>
      </c>
      <c r="J596" t="s">
        <v>3228</v>
      </c>
      <c r="K596" t="s">
        <v>3</v>
      </c>
      <c r="L596" s="2">
        <v>43221</v>
      </c>
      <c r="M596" s="2">
        <f>DOCXX[[#This Row],[INV DOC DATE]]+30</f>
        <v>43251</v>
      </c>
      <c r="N596" s="2">
        <v>43252</v>
      </c>
      <c r="O596" s="7">
        <v>232.5</v>
      </c>
      <c r="P596" s="2">
        <v>43262</v>
      </c>
      <c r="Q596" s="7">
        <f>$E596-$O596</f>
        <v>0</v>
      </c>
      <c r="R596" s="7" t="str">
        <f ca="1">IF(TODAY() - DOCXX[INV DUE DATE]&lt;30, "Less than 30 days",IF(TODAY()-DOCXX[INV DUE DATE]&lt;60,"30-60 days","More than 60 days"))</f>
        <v>30-60 days</v>
      </c>
      <c r="S596" t="s">
        <v>818</v>
      </c>
      <c r="T596" s="43" t="s">
        <v>2229</v>
      </c>
      <c r="U596" s="7" t="s">
        <v>3699</v>
      </c>
    </row>
    <row r="597" spans="1:21" x14ac:dyDescent="0.3">
      <c r="A597" s="14" t="s">
        <v>3160</v>
      </c>
      <c r="B597" t="s">
        <v>118</v>
      </c>
      <c r="C597" t="s">
        <v>81</v>
      </c>
      <c r="D597">
        <v>1</v>
      </c>
      <c r="E597" s="7">
        <v>232.5</v>
      </c>
      <c r="H597">
        <v>55601</v>
      </c>
      <c r="I597" t="s">
        <v>353</v>
      </c>
      <c r="J597" t="s">
        <v>3229</v>
      </c>
      <c r="K597" t="s">
        <v>3</v>
      </c>
      <c r="L597" s="2">
        <v>43221</v>
      </c>
      <c r="M597" s="2">
        <f>DOCXX[[#This Row],[INV DOC DATE]]+30</f>
        <v>43251</v>
      </c>
      <c r="N597" s="2">
        <v>43252</v>
      </c>
      <c r="O597" s="7">
        <v>232.5</v>
      </c>
      <c r="P597" s="2">
        <v>43262</v>
      </c>
      <c r="Q597" s="7">
        <f>$E597-$O597</f>
        <v>0</v>
      </c>
      <c r="R597" s="7" t="str">
        <f ca="1">IF(TODAY() - DOCXX[INV DUE DATE]&lt;30, "Less than 30 days",IF(TODAY()-DOCXX[INV DUE DATE]&lt;60,"30-60 days","More than 60 days"))</f>
        <v>30-60 days</v>
      </c>
      <c r="S597" t="s">
        <v>818</v>
      </c>
      <c r="T597" s="43" t="s">
        <v>2229</v>
      </c>
      <c r="U597" s="7" t="s">
        <v>3699</v>
      </c>
    </row>
    <row r="598" spans="1:21" x14ac:dyDescent="0.3">
      <c r="A598" s="14" t="s">
        <v>3160</v>
      </c>
      <c r="B598" t="s">
        <v>118</v>
      </c>
      <c r="C598" t="s">
        <v>82</v>
      </c>
      <c r="D598">
        <v>1</v>
      </c>
      <c r="E598" s="7">
        <v>232.5</v>
      </c>
      <c r="H598">
        <v>55601</v>
      </c>
      <c r="I598" t="s">
        <v>353</v>
      </c>
      <c r="J598" t="s">
        <v>3230</v>
      </c>
      <c r="K598" t="s">
        <v>3</v>
      </c>
      <c r="L598" s="2">
        <v>43221</v>
      </c>
      <c r="M598" s="2">
        <f>DOCXX[[#This Row],[INV DOC DATE]]+30</f>
        <v>43251</v>
      </c>
      <c r="N598" s="2">
        <v>43252</v>
      </c>
      <c r="O598" s="7">
        <v>232.5</v>
      </c>
      <c r="P598" s="2">
        <v>43262</v>
      </c>
      <c r="Q598" s="7">
        <f>$E598-$O598</f>
        <v>0</v>
      </c>
      <c r="R598" s="7" t="str">
        <f ca="1">IF(TODAY() - DOCXX[INV DUE DATE]&lt;30, "Less than 30 days",IF(TODAY()-DOCXX[INV DUE DATE]&lt;60,"30-60 days","More than 60 days"))</f>
        <v>30-60 days</v>
      </c>
      <c r="S598" t="s">
        <v>818</v>
      </c>
      <c r="T598" s="43" t="s">
        <v>2229</v>
      </c>
      <c r="U598" s="7" t="s">
        <v>3699</v>
      </c>
    </row>
    <row r="599" spans="1:21" x14ac:dyDescent="0.3">
      <c r="A599" s="14" t="s">
        <v>3160</v>
      </c>
      <c r="B599" t="s">
        <v>118</v>
      </c>
      <c r="C599" t="s">
        <v>83</v>
      </c>
      <c r="D599">
        <v>1</v>
      </c>
      <c r="E599" s="7">
        <v>232.5</v>
      </c>
      <c r="H599">
        <v>55601</v>
      </c>
      <c r="I599" t="s">
        <v>353</v>
      </c>
      <c r="J599" t="s">
        <v>3231</v>
      </c>
      <c r="K599" t="s">
        <v>3</v>
      </c>
      <c r="L599" s="2">
        <v>43221</v>
      </c>
      <c r="M599" s="2">
        <f>DOCXX[[#This Row],[INV DOC DATE]]+30</f>
        <v>43251</v>
      </c>
      <c r="N599" s="2">
        <v>43252</v>
      </c>
      <c r="O599" s="7">
        <v>232.5</v>
      </c>
      <c r="P599" s="2">
        <v>43262</v>
      </c>
      <c r="Q599" s="7">
        <f>$E599-$O599</f>
        <v>0</v>
      </c>
      <c r="R599" s="7" t="str">
        <f ca="1">IF(TODAY() - DOCXX[INV DUE DATE]&lt;30, "Less than 30 days",IF(TODAY()-DOCXX[INV DUE DATE]&lt;60,"30-60 days","More than 60 days"))</f>
        <v>30-60 days</v>
      </c>
      <c r="S599" t="s">
        <v>818</v>
      </c>
      <c r="T599" s="43" t="s">
        <v>2229</v>
      </c>
      <c r="U599" s="7" t="s">
        <v>3699</v>
      </c>
    </row>
    <row r="600" spans="1:21" x14ac:dyDescent="0.3">
      <c r="A600" s="14" t="s">
        <v>3160</v>
      </c>
      <c r="B600" t="s">
        <v>118</v>
      </c>
      <c r="C600" t="s">
        <v>84</v>
      </c>
      <c r="D600">
        <v>1</v>
      </c>
      <c r="E600" s="7">
        <v>232.5</v>
      </c>
      <c r="H600">
        <v>55601</v>
      </c>
      <c r="I600" t="s">
        <v>353</v>
      </c>
      <c r="J600" t="s">
        <v>3232</v>
      </c>
      <c r="K600" t="s">
        <v>3</v>
      </c>
      <c r="L600" s="2">
        <v>43221</v>
      </c>
      <c r="M600" s="2">
        <f>DOCXX[[#This Row],[INV DOC DATE]]+30</f>
        <v>43251</v>
      </c>
      <c r="N600" s="2">
        <v>43252</v>
      </c>
      <c r="O600" s="7">
        <v>232.5</v>
      </c>
      <c r="P600" s="2">
        <v>43262</v>
      </c>
      <c r="Q600" s="7">
        <f>$E600-$O600</f>
        <v>0</v>
      </c>
      <c r="R600" s="7" t="str">
        <f ca="1">IF(TODAY() - DOCXX[INV DUE DATE]&lt;30, "Less than 30 days",IF(TODAY()-DOCXX[INV DUE DATE]&lt;60,"30-60 days","More than 60 days"))</f>
        <v>30-60 days</v>
      </c>
      <c r="S600" t="s">
        <v>818</v>
      </c>
      <c r="T600" s="43" t="s">
        <v>2229</v>
      </c>
      <c r="U600" s="7" t="s">
        <v>3699</v>
      </c>
    </row>
    <row r="601" spans="1:21" x14ac:dyDescent="0.3">
      <c r="A601" s="14" t="s">
        <v>3160</v>
      </c>
      <c r="B601" t="s">
        <v>118</v>
      </c>
      <c r="C601" t="s">
        <v>85</v>
      </c>
      <c r="D601">
        <v>1</v>
      </c>
      <c r="E601" s="7">
        <v>232.5</v>
      </c>
      <c r="H601">
        <v>55601</v>
      </c>
      <c r="I601" t="s">
        <v>353</v>
      </c>
      <c r="J601" t="s">
        <v>3233</v>
      </c>
      <c r="K601" t="s">
        <v>3</v>
      </c>
      <c r="L601" s="2">
        <v>43221</v>
      </c>
      <c r="M601" s="2">
        <f>DOCXX[[#This Row],[INV DOC DATE]]+30</f>
        <v>43251</v>
      </c>
      <c r="N601" s="2">
        <v>43252</v>
      </c>
      <c r="O601" s="7">
        <v>232.5</v>
      </c>
      <c r="P601" s="2">
        <v>43262</v>
      </c>
      <c r="Q601" s="7">
        <f>$E601-$O601</f>
        <v>0</v>
      </c>
      <c r="R601" s="7" t="str">
        <f ca="1">IF(TODAY() - DOCXX[INV DUE DATE]&lt;30, "Less than 30 days",IF(TODAY()-DOCXX[INV DUE DATE]&lt;60,"30-60 days","More than 60 days"))</f>
        <v>30-60 days</v>
      </c>
      <c r="S601" t="s">
        <v>818</v>
      </c>
      <c r="T601" s="43" t="s">
        <v>2229</v>
      </c>
      <c r="U601" s="7" t="s">
        <v>3699</v>
      </c>
    </row>
    <row r="602" spans="1:21" x14ac:dyDescent="0.3">
      <c r="A602" s="14" t="s">
        <v>3160</v>
      </c>
      <c r="B602" t="s">
        <v>118</v>
      </c>
      <c r="C602" t="s">
        <v>86</v>
      </c>
      <c r="D602">
        <v>1</v>
      </c>
      <c r="E602" s="7">
        <v>232.5</v>
      </c>
      <c r="H602">
        <v>55601</v>
      </c>
      <c r="I602" t="s">
        <v>353</v>
      </c>
      <c r="J602" t="s">
        <v>3234</v>
      </c>
      <c r="K602" t="s">
        <v>3</v>
      </c>
      <c r="L602" s="2">
        <v>43221</v>
      </c>
      <c r="M602" s="2">
        <f>DOCXX[[#This Row],[INV DOC DATE]]+30</f>
        <v>43251</v>
      </c>
      <c r="N602" s="2">
        <v>43252</v>
      </c>
      <c r="O602" s="7">
        <v>232.5</v>
      </c>
      <c r="P602" s="2">
        <v>43262</v>
      </c>
      <c r="Q602" s="7">
        <f>$E602-$O602</f>
        <v>0</v>
      </c>
      <c r="R602" s="7" t="str">
        <f ca="1">IF(TODAY() - DOCXX[INV DUE DATE]&lt;30, "Less than 30 days",IF(TODAY()-DOCXX[INV DUE DATE]&lt;60,"30-60 days","More than 60 days"))</f>
        <v>30-60 days</v>
      </c>
      <c r="S602" t="s">
        <v>818</v>
      </c>
      <c r="T602" s="43" t="s">
        <v>2229</v>
      </c>
      <c r="U602" s="7" t="s">
        <v>3699</v>
      </c>
    </row>
    <row r="603" spans="1:21" x14ac:dyDescent="0.3">
      <c r="A603" s="14" t="s">
        <v>3160</v>
      </c>
      <c r="B603" t="s">
        <v>118</v>
      </c>
      <c r="C603" t="s">
        <v>87</v>
      </c>
      <c r="D603">
        <v>1</v>
      </c>
      <c r="E603" s="7">
        <v>232.5</v>
      </c>
      <c r="H603">
        <v>55601</v>
      </c>
      <c r="I603" t="s">
        <v>353</v>
      </c>
      <c r="J603" t="s">
        <v>3235</v>
      </c>
      <c r="K603" t="s">
        <v>3</v>
      </c>
      <c r="L603" s="2">
        <v>43221</v>
      </c>
      <c r="M603" s="2">
        <f>DOCXX[[#This Row],[INV DOC DATE]]+30</f>
        <v>43251</v>
      </c>
      <c r="N603" s="2">
        <v>43252</v>
      </c>
      <c r="O603" s="7">
        <v>232.5</v>
      </c>
      <c r="P603" s="2">
        <v>43262</v>
      </c>
      <c r="Q603" s="7">
        <f>$E603-$O603</f>
        <v>0</v>
      </c>
      <c r="R603" s="7" t="str">
        <f ca="1">IF(TODAY() - DOCXX[INV DUE DATE]&lt;30, "Less than 30 days",IF(TODAY()-DOCXX[INV DUE DATE]&lt;60,"30-60 days","More than 60 days"))</f>
        <v>30-60 days</v>
      </c>
      <c r="S603" t="s">
        <v>818</v>
      </c>
      <c r="T603" s="43" t="s">
        <v>2229</v>
      </c>
      <c r="U603" s="7" t="s">
        <v>3699</v>
      </c>
    </row>
    <row r="604" spans="1:21" x14ac:dyDescent="0.3">
      <c r="A604" s="14" t="s">
        <v>3160</v>
      </c>
      <c r="B604" t="s">
        <v>118</v>
      </c>
      <c r="C604" t="s">
        <v>88</v>
      </c>
      <c r="D604">
        <v>1</v>
      </c>
      <c r="E604" s="7">
        <v>232.5</v>
      </c>
      <c r="H604">
        <v>55601</v>
      </c>
      <c r="I604" t="s">
        <v>353</v>
      </c>
      <c r="J604" t="s">
        <v>3236</v>
      </c>
      <c r="K604" t="s">
        <v>3</v>
      </c>
      <c r="L604" s="2">
        <v>43221</v>
      </c>
      <c r="M604" s="2">
        <f>DOCXX[[#This Row],[INV DOC DATE]]+30</f>
        <v>43251</v>
      </c>
      <c r="N604" s="2">
        <v>43252</v>
      </c>
      <c r="O604" s="7">
        <v>232.5</v>
      </c>
      <c r="P604" s="2">
        <v>43262</v>
      </c>
      <c r="Q604" s="7">
        <f>$E604-$O604</f>
        <v>0</v>
      </c>
      <c r="R604" s="7" t="str">
        <f ca="1">IF(TODAY() - DOCXX[INV DUE DATE]&lt;30, "Less than 30 days",IF(TODAY()-DOCXX[INV DUE DATE]&lt;60,"30-60 days","More than 60 days"))</f>
        <v>30-60 days</v>
      </c>
      <c r="S604" t="s">
        <v>818</v>
      </c>
      <c r="T604" s="43" t="s">
        <v>2229</v>
      </c>
      <c r="U604" s="7" t="s">
        <v>3699</v>
      </c>
    </row>
    <row r="605" spans="1:21" x14ac:dyDescent="0.3">
      <c r="A605" s="14" t="s">
        <v>3160</v>
      </c>
      <c r="B605" t="s">
        <v>118</v>
      </c>
      <c r="C605" t="s">
        <v>89</v>
      </c>
      <c r="D605">
        <v>1</v>
      </c>
      <c r="E605" s="7">
        <v>232.5</v>
      </c>
      <c r="H605">
        <v>55601</v>
      </c>
      <c r="I605" t="s">
        <v>353</v>
      </c>
      <c r="J605" t="s">
        <v>3237</v>
      </c>
      <c r="K605" t="s">
        <v>3</v>
      </c>
      <c r="L605" s="2">
        <v>43221</v>
      </c>
      <c r="M605" s="2">
        <f>DOCXX[[#This Row],[INV DOC DATE]]+30</f>
        <v>43251</v>
      </c>
      <c r="N605" s="2">
        <v>43252</v>
      </c>
      <c r="O605" s="7">
        <v>232.5</v>
      </c>
      <c r="P605" s="2">
        <v>43262</v>
      </c>
      <c r="Q605" s="7">
        <f>$E605-$O605</f>
        <v>0</v>
      </c>
      <c r="R605" s="7" t="str">
        <f ca="1">IF(TODAY() - DOCXX[INV DUE DATE]&lt;30, "Less than 30 days",IF(TODAY()-DOCXX[INV DUE DATE]&lt;60,"30-60 days","More than 60 days"))</f>
        <v>30-60 days</v>
      </c>
      <c r="S605" t="s">
        <v>818</v>
      </c>
      <c r="T605" s="43" t="s">
        <v>2229</v>
      </c>
      <c r="U605" s="7" t="s">
        <v>3699</v>
      </c>
    </row>
    <row r="606" spans="1:21" x14ac:dyDescent="0.3">
      <c r="A606" s="14" t="s">
        <v>3160</v>
      </c>
      <c r="B606" t="s">
        <v>118</v>
      </c>
      <c r="C606" t="s">
        <v>90</v>
      </c>
      <c r="D606">
        <v>1</v>
      </c>
      <c r="E606" s="7">
        <v>232.5</v>
      </c>
      <c r="H606">
        <v>55601</v>
      </c>
      <c r="I606" t="s">
        <v>353</v>
      </c>
      <c r="J606" t="s">
        <v>3238</v>
      </c>
      <c r="K606" t="s">
        <v>3</v>
      </c>
      <c r="L606" s="2">
        <v>43221</v>
      </c>
      <c r="M606" s="2">
        <f>DOCXX[[#This Row],[INV DOC DATE]]+30</f>
        <v>43251</v>
      </c>
      <c r="N606" s="2">
        <v>43252</v>
      </c>
      <c r="O606" s="7">
        <v>232.5</v>
      </c>
      <c r="P606" s="2">
        <v>43262</v>
      </c>
      <c r="Q606" s="7">
        <f>$E606-$O606</f>
        <v>0</v>
      </c>
      <c r="R606" s="7" t="str">
        <f ca="1">IF(TODAY() - DOCXX[INV DUE DATE]&lt;30, "Less than 30 days",IF(TODAY()-DOCXX[INV DUE DATE]&lt;60,"30-60 days","More than 60 days"))</f>
        <v>30-60 days</v>
      </c>
      <c r="S606" t="s">
        <v>818</v>
      </c>
      <c r="T606" s="43" t="s">
        <v>2229</v>
      </c>
      <c r="U606" s="7" t="s">
        <v>3699</v>
      </c>
    </row>
    <row r="607" spans="1:21" x14ac:dyDescent="0.3">
      <c r="A607" s="14" t="s">
        <v>3160</v>
      </c>
      <c r="B607" t="s">
        <v>118</v>
      </c>
      <c r="C607" t="s">
        <v>91</v>
      </c>
      <c r="D607">
        <v>1</v>
      </c>
      <c r="E607" s="7">
        <v>232.5</v>
      </c>
      <c r="H607">
        <v>55601</v>
      </c>
      <c r="I607" t="s">
        <v>353</v>
      </c>
      <c r="J607" t="s">
        <v>3239</v>
      </c>
      <c r="K607" t="s">
        <v>3</v>
      </c>
      <c r="L607" s="2">
        <v>43221</v>
      </c>
      <c r="M607" s="2">
        <f>DOCXX[[#This Row],[INV DOC DATE]]+30</f>
        <v>43251</v>
      </c>
      <c r="N607" s="2">
        <v>43252</v>
      </c>
      <c r="O607" s="7">
        <v>232.5</v>
      </c>
      <c r="P607" s="2">
        <v>43262</v>
      </c>
      <c r="Q607" s="7">
        <f>$E607-$O607</f>
        <v>0</v>
      </c>
      <c r="R607" s="7" t="str">
        <f ca="1">IF(TODAY() - DOCXX[INV DUE DATE]&lt;30, "Less than 30 days",IF(TODAY()-DOCXX[INV DUE DATE]&lt;60,"30-60 days","More than 60 days"))</f>
        <v>30-60 days</v>
      </c>
      <c r="S607" t="s">
        <v>818</v>
      </c>
      <c r="T607" s="43" t="s">
        <v>2229</v>
      </c>
      <c r="U607" s="7" t="s">
        <v>3699</v>
      </c>
    </row>
    <row r="608" spans="1:21" x14ac:dyDescent="0.3">
      <c r="A608" s="14" t="s">
        <v>3160</v>
      </c>
      <c r="B608" t="s">
        <v>118</v>
      </c>
      <c r="C608" t="s">
        <v>92</v>
      </c>
      <c r="D608">
        <v>1</v>
      </c>
      <c r="E608" s="7">
        <v>232.5</v>
      </c>
      <c r="H608">
        <v>55601</v>
      </c>
      <c r="I608" t="s">
        <v>353</v>
      </c>
      <c r="J608" t="s">
        <v>3240</v>
      </c>
      <c r="K608" t="s">
        <v>3</v>
      </c>
      <c r="L608" s="2">
        <v>43221</v>
      </c>
      <c r="M608" s="2">
        <f>DOCXX[[#This Row],[INV DOC DATE]]+30</f>
        <v>43251</v>
      </c>
      <c r="N608" s="2">
        <v>43252</v>
      </c>
      <c r="O608" s="7">
        <v>232.5</v>
      </c>
      <c r="P608" s="2">
        <v>43262</v>
      </c>
      <c r="Q608" s="7">
        <f>$E608-$O608</f>
        <v>0</v>
      </c>
      <c r="R608" s="7" t="str">
        <f ca="1">IF(TODAY() - DOCXX[INV DUE DATE]&lt;30, "Less than 30 days",IF(TODAY()-DOCXX[INV DUE DATE]&lt;60,"30-60 days","More than 60 days"))</f>
        <v>30-60 days</v>
      </c>
      <c r="S608" t="s">
        <v>818</v>
      </c>
      <c r="T608" s="43" t="s">
        <v>2229</v>
      </c>
      <c r="U608" s="7" t="s">
        <v>3699</v>
      </c>
    </row>
    <row r="609" spans="1:21" x14ac:dyDescent="0.3">
      <c r="A609" s="14" t="s">
        <v>3160</v>
      </c>
      <c r="B609" t="s">
        <v>118</v>
      </c>
      <c r="C609" t="s">
        <v>30</v>
      </c>
      <c r="D609">
        <v>1</v>
      </c>
      <c r="E609" s="7">
        <v>232.5</v>
      </c>
      <c r="H609">
        <v>55601</v>
      </c>
      <c r="I609" t="s">
        <v>353</v>
      </c>
      <c r="J609" t="s">
        <v>3241</v>
      </c>
      <c r="K609" t="s">
        <v>3</v>
      </c>
      <c r="L609" s="2">
        <v>43221</v>
      </c>
      <c r="M609" s="2">
        <f>DOCXX[[#This Row],[INV DOC DATE]]+30</f>
        <v>43251</v>
      </c>
      <c r="N609" s="2">
        <v>43252</v>
      </c>
      <c r="O609" s="7">
        <v>232.5</v>
      </c>
      <c r="P609" s="2">
        <v>43262</v>
      </c>
      <c r="Q609" s="7">
        <f>$E609-$O609</f>
        <v>0</v>
      </c>
      <c r="R609" s="7" t="str">
        <f ca="1">IF(TODAY() - DOCXX[INV DUE DATE]&lt;30, "Less than 30 days",IF(TODAY()-DOCXX[INV DUE DATE]&lt;60,"30-60 days","More than 60 days"))</f>
        <v>30-60 days</v>
      </c>
      <c r="S609" t="s">
        <v>818</v>
      </c>
      <c r="T609" s="43" t="s">
        <v>2229</v>
      </c>
      <c r="U609" s="7" t="s">
        <v>3699</v>
      </c>
    </row>
    <row r="610" spans="1:21" x14ac:dyDescent="0.3">
      <c r="A610" s="14" t="s">
        <v>3160</v>
      </c>
      <c r="B610" t="s">
        <v>118</v>
      </c>
      <c r="C610" t="s">
        <v>93</v>
      </c>
      <c r="D610">
        <v>1</v>
      </c>
      <c r="E610" s="7">
        <v>232.5</v>
      </c>
      <c r="H610">
        <v>55601</v>
      </c>
      <c r="I610" t="s">
        <v>353</v>
      </c>
      <c r="J610" t="s">
        <v>3242</v>
      </c>
      <c r="K610" t="s">
        <v>3</v>
      </c>
      <c r="L610" s="2">
        <v>43221</v>
      </c>
      <c r="M610" s="2">
        <f>DOCXX[[#This Row],[INV DOC DATE]]+30</f>
        <v>43251</v>
      </c>
      <c r="N610" s="2">
        <v>43252</v>
      </c>
      <c r="O610" s="7">
        <v>232.5</v>
      </c>
      <c r="P610" s="2">
        <v>43262</v>
      </c>
      <c r="Q610" s="7">
        <f>$E610-$O610</f>
        <v>0</v>
      </c>
      <c r="R610" s="7" t="str">
        <f ca="1">IF(TODAY() - DOCXX[INV DUE DATE]&lt;30, "Less than 30 days",IF(TODAY()-DOCXX[INV DUE DATE]&lt;60,"30-60 days","More than 60 days"))</f>
        <v>30-60 days</v>
      </c>
      <c r="S610" t="s">
        <v>818</v>
      </c>
      <c r="T610" s="43" t="s">
        <v>2229</v>
      </c>
      <c r="U610" s="7" t="s">
        <v>3699</v>
      </c>
    </row>
    <row r="611" spans="1:21" x14ac:dyDescent="0.3">
      <c r="A611" s="14" t="s">
        <v>3160</v>
      </c>
      <c r="B611" t="s">
        <v>118</v>
      </c>
      <c r="C611" t="s">
        <v>94</v>
      </c>
      <c r="D611">
        <v>1</v>
      </c>
      <c r="E611" s="7">
        <v>232.5</v>
      </c>
      <c r="H611">
        <v>55601</v>
      </c>
      <c r="I611" t="s">
        <v>353</v>
      </c>
      <c r="J611" t="s">
        <v>3243</v>
      </c>
      <c r="K611" t="s">
        <v>3</v>
      </c>
      <c r="L611" s="2">
        <v>43221</v>
      </c>
      <c r="M611" s="2">
        <f>DOCXX[[#This Row],[INV DOC DATE]]+30</f>
        <v>43251</v>
      </c>
      <c r="N611" s="2">
        <v>43252</v>
      </c>
      <c r="O611" s="7">
        <v>232.5</v>
      </c>
      <c r="P611" s="2">
        <v>43262</v>
      </c>
      <c r="Q611" s="7">
        <f>$E611-$O611</f>
        <v>0</v>
      </c>
      <c r="R611" s="7" t="str">
        <f ca="1">IF(TODAY() - DOCXX[INV DUE DATE]&lt;30, "Less than 30 days",IF(TODAY()-DOCXX[INV DUE DATE]&lt;60,"30-60 days","More than 60 days"))</f>
        <v>30-60 days</v>
      </c>
      <c r="S611" t="s">
        <v>818</v>
      </c>
      <c r="T611" s="43" t="s">
        <v>2229</v>
      </c>
      <c r="U611" s="7" t="s">
        <v>3699</v>
      </c>
    </row>
    <row r="612" spans="1:21" x14ac:dyDescent="0.3">
      <c r="A612" s="14" t="s">
        <v>3160</v>
      </c>
      <c r="B612" t="s">
        <v>118</v>
      </c>
      <c r="C612" t="s">
        <v>95</v>
      </c>
      <c r="D612">
        <v>1</v>
      </c>
      <c r="E612" s="7">
        <v>232.5</v>
      </c>
      <c r="H612">
        <v>55601</v>
      </c>
      <c r="I612" t="s">
        <v>353</v>
      </c>
      <c r="J612" t="s">
        <v>3244</v>
      </c>
      <c r="K612" t="s">
        <v>3</v>
      </c>
      <c r="L612" s="2">
        <v>43221</v>
      </c>
      <c r="M612" s="2">
        <f>DOCXX[[#This Row],[INV DOC DATE]]+30</f>
        <v>43251</v>
      </c>
      <c r="N612" s="2">
        <v>43252</v>
      </c>
      <c r="O612" s="7">
        <v>232.5</v>
      </c>
      <c r="P612" s="2">
        <v>43262</v>
      </c>
      <c r="Q612" s="7">
        <f>$E612-$O612</f>
        <v>0</v>
      </c>
      <c r="R612" s="7" t="str">
        <f ca="1">IF(TODAY() - DOCXX[INV DUE DATE]&lt;30, "Less than 30 days",IF(TODAY()-DOCXX[INV DUE DATE]&lt;60,"30-60 days","More than 60 days"))</f>
        <v>30-60 days</v>
      </c>
      <c r="S612" t="s">
        <v>818</v>
      </c>
      <c r="T612" s="43" t="s">
        <v>2229</v>
      </c>
      <c r="U612" s="7" t="s">
        <v>3699</v>
      </c>
    </row>
    <row r="613" spans="1:21" x14ac:dyDescent="0.3">
      <c r="A613" s="14" t="s">
        <v>3160</v>
      </c>
      <c r="B613" t="s">
        <v>118</v>
      </c>
      <c r="C613" t="s">
        <v>96</v>
      </c>
      <c r="D613">
        <v>1</v>
      </c>
      <c r="E613" s="7">
        <v>232.5</v>
      </c>
      <c r="H613">
        <v>55601</v>
      </c>
      <c r="I613" t="s">
        <v>353</v>
      </c>
      <c r="J613" t="s">
        <v>3245</v>
      </c>
      <c r="K613" t="s">
        <v>3</v>
      </c>
      <c r="L613" s="2">
        <v>43221</v>
      </c>
      <c r="M613" s="2">
        <f>DOCXX[[#This Row],[INV DOC DATE]]+30</f>
        <v>43251</v>
      </c>
      <c r="N613" s="2">
        <v>43252</v>
      </c>
      <c r="O613" s="7">
        <v>232.5</v>
      </c>
      <c r="P613" s="2">
        <v>43262</v>
      </c>
      <c r="Q613" s="7">
        <f>$E613-$O613</f>
        <v>0</v>
      </c>
      <c r="R613" s="7" t="str">
        <f ca="1">IF(TODAY() - DOCXX[INV DUE DATE]&lt;30, "Less than 30 days",IF(TODAY()-DOCXX[INV DUE DATE]&lt;60,"30-60 days","More than 60 days"))</f>
        <v>30-60 days</v>
      </c>
      <c r="S613" t="s">
        <v>818</v>
      </c>
      <c r="T613" s="43" t="s">
        <v>2229</v>
      </c>
      <c r="U613" s="7" t="s">
        <v>3699</v>
      </c>
    </row>
    <row r="614" spans="1:21" x14ac:dyDescent="0.3">
      <c r="A614" s="14" t="s">
        <v>3160</v>
      </c>
      <c r="B614" t="s">
        <v>118</v>
      </c>
      <c r="C614" t="s">
        <v>97</v>
      </c>
      <c r="D614">
        <v>1</v>
      </c>
      <c r="E614" s="7">
        <v>232.5</v>
      </c>
      <c r="H614">
        <v>55601</v>
      </c>
      <c r="I614" t="s">
        <v>353</v>
      </c>
      <c r="J614" t="s">
        <v>3246</v>
      </c>
      <c r="K614" t="s">
        <v>3</v>
      </c>
      <c r="L614" s="2">
        <v>43221</v>
      </c>
      <c r="M614" s="2">
        <f>DOCXX[[#This Row],[INV DOC DATE]]+30</f>
        <v>43251</v>
      </c>
      <c r="N614" s="2">
        <v>43252</v>
      </c>
      <c r="O614" s="7">
        <v>232.5</v>
      </c>
      <c r="P614" s="2">
        <v>43262</v>
      </c>
      <c r="Q614" s="7">
        <f>$E614-$O614</f>
        <v>0</v>
      </c>
      <c r="R614" s="7" t="str">
        <f ca="1">IF(TODAY() - DOCXX[INV DUE DATE]&lt;30, "Less than 30 days",IF(TODAY()-DOCXX[INV DUE DATE]&lt;60,"30-60 days","More than 60 days"))</f>
        <v>30-60 days</v>
      </c>
      <c r="S614" t="s">
        <v>818</v>
      </c>
      <c r="T614" s="43" t="s">
        <v>2229</v>
      </c>
      <c r="U614" s="7" t="s">
        <v>3699</v>
      </c>
    </row>
    <row r="615" spans="1:21" x14ac:dyDescent="0.3">
      <c r="A615" s="14" t="s">
        <v>3160</v>
      </c>
      <c r="B615" t="s">
        <v>118</v>
      </c>
      <c r="C615" t="s">
        <v>98</v>
      </c>
      <c r="D615">
        <v>1</v>
      </c>
      <c r="E615" s="7">
        <v>232.5</v>
      </c>
      <c r="H615">
        <v>55601</v>
      </c>
      <c r="I615" t="s">
        <v>353</v>
      </c>
      <c r="J615" t="s">
        <v>3247</v>
      </c>
      <c r="K615" t="s">
        <v>3</v>
      </c>
      <c r="L615" s="2">
        <v>43221</v>
      </c>
      <c r="M615" s="2">
        <f>DOCXX[[#This Row],[INV DOC DATE]]+30</f>
        <v>43251</v>
      </c>
      <c r="N615" s="2">
        <v>43252</v>
      </c>
      <c r="O615" s="7">
        <v>232.5</v>
      </c>
      <c r="P615" s="2">
        <v>43262</v>
      </c>
      <c r="Q615" s="7">
        <f>$E615-$O615</f>
        <v>0</v>
      </c>
      <c r="R615" s="7" t="str">
        <f ca="1">IF(TODAY() - DOCXX[INV DUE DATE]&lt;30, "Less than 30 days",IF(TODAY()-DOCXX[INV DUE DATE]&lt;60,"30-60 days","More than 60 days"))</f>
        <v>30-60 days</v>
      </c>
      <c r="S615" t="s">
        <v>818</v>
      </c>
      <c r="T615" s="43" t="s">
        <v>2229</v>
      </c>
      <c r="U615" s="7" t="s">
        <v>3699</v>
      </c>
    </row>
    <row r="616" spans="1:21" x14ac:dyDescent="0.3">
      <c r="A616" s="14" t="s">
        <v>3160</v>
      </c>
      <c r="B616" t="s">
        <v>118</v>
      </c>
      <c r="C616" t="s">
        <v>99</v>
      </c>
      <c r="D616">
        <v>1</v>
      </c>
      <c r="E616" s="7">
        <v>232.5</v>
      </c>
      <c r="H616">
        <v>55601</v>
      </c>
      <c r="I616" t="s">
        <v>353</v>
      </c>
      <c r="J616" t="s">
        <v>3248</v>
      </c>
      <c r="K616" t="s">
        <v>3</v>
      </c>
      <c r="L616" s="2">
        <v>43221</v>
      </c>
      <c r="M616" s="2">
        <f>DOCXX[[#This Row],[INV DOC DATE]]+30</f>
        <v>43251</v>
      </c>
      <c r="N616" s="2">
        <v>43252</v>
      </c>
      <c r="O616" s="7">
        <v>232.5</v>
      </c>
      <c r="P616" s="2">
        <v>43262</v>
      </c>
      <c r="Q616" s="7">
        <f>$E616-$O616</f>
        <v>0</v>
      </c>
      <c r="R616" s="7" t="str">
        <f ca="1">IF(TODAY() - DOCXX[INV DUE DATE]&lt;30, "Less than 30 days",IF(TODAY()-DOCXX[INV DUE DATE]&lt;60,"30-60 days","More than 60 days"))</f>
        <v>30-60 days</v>
      </c>
      <c r="S616" t="s">
        <v>818</v>
      </c>
      <c r="T616" s="43" t="s">
        <v>2229</v>
      </c>
      <c r="U616" s="7" t="s">
        <v>3699</v>
      </c>
    </row>
    <row r="617" spans="1:21" x14ac:dyDescent="0.3">
      <c r="A617" s="14" t="s">
        <v>3160</v>
      </c>
      <c r="B617" t="s">
        <v>118</v>
      </c>
      <c r="C617" t="s">
        <v>100</v>
      </c>
      <c r="D617">
        <v>1</v>
      </c>
      <c r="E617" s="7">
        <v>232.5</v>
      </c>
      <c r="H617">
        <v>55601</v>
      </c>
      <c r="I617" t="s">
        <v>353</v>
      </c>
      <c r="J617" t="s">
        <v>3249</v>
      </c>
      <c r="K617" t="s">
        <v>3</v>
      </c>
      <c r="L617" s="2">
        <v>43221</v>
      </c>
      <c r="M617" s="2">
        <f>DOCXX[[#This Row],[INV DOC DATE]]+30</f>
        <v>43251</v>
      </c>
      <c r="N617" s="2">
        <v>43252</v>
      </c>
      <c r="O617" s="7">
        <v>232.5</v>
      </c>
      <c r="P617" s="2">
        <v>43262</v>
      </c>
      <c r="Q617" s="7">
        <f>$E617-$O617</f>
        <v>0</v>
      </c>
      <c r="R617" s="7" t="str">
        <f ca="1">IF(TODAY() - DOCXX[INV DUE DATE]&lt;30, "Less than 30 days",IF(TODAY()-DOCXX[INV DUE DATE]&lt;60,"30-60 days","More than 60 days"))</f>
        <v>30-60 days</v>
      </c>
      <c r="S617" t="s">
        <v>818</v>
      </c>
      <c r="T617" s="43" t="s">
        <v>2229</v>
      </c>
      <c r="U617" s="7" t="s">
        <v>3699</v>
      </c>
    </row>
    <row r="618" spans="1:21" x14ac:dyDescent="0.3">
      <c r="A618" s="14" t="s">
        <v>3160</v>
      </c>
      <c r="B618" t="s">
        <v>118</v>
      </c>
      <c r="C618" t="s">
        <v>101</v>
      </c>
      <c r="D618">
        <v>1</v>
      </c>
      <c r="E618" s="7">
        <v>232.5</v>
      </c>
      <c r="H618">
        <v>55601</v>
      </c>
      <c r="I618" t="s">
        <v>353</v>
      </c>
      <c r="J618" t="s">
        <v>3250</v>
      </c>
      <c r="K618" t="s">
        <v>3</v>
      </c>
      <c r="L618" s="2">
        <v>43221</v>
      </c>
      <c r="M618" s="2">
        <f>DOCXX[[#This Row],[INV DOC DATE]]+30</f>
        <v>43251</v>
      </c>
      <c r="N618" s="2">
        <v>43252</v>
      </c>
      <c r="O618" s="7">
        <v>232.5</v>
      </c>
      <c r="P618" s="2">
        <v>43262</v>
      </c>
      <c r="Q618" s="7">
        <f>$E618-$O618</f>
        <v>0</v>
      </c>
      <c r="R618" s="7" t="str">
        <f ca="1">IF(TODAY() - DOCXX[INV DUE DATE]&lt;30, "Less than 30 days",IF(TODAY()-DOCXX[INV DUE DATE]&lt;60,"30-60 days","More than 60 days"))</f>
        <v>30-60 days</v>
      </c>
      <c r="S618" t="s">
        <v>818</v>
      </c>
      <c r="T618" s="43" t="s">
        <v>2229</v>
      </c>
      <c r="U618" s="7" t="s">
        <v>3699</v>
      </c>
    </row>
    <row r="619" spans="1:21" x14ac:dyDescent="0.3">
      <c r="A619" s="14" t="s">
        <v>3160</v>
      </c>
      <c r="B619" t="s">
        <v>118</v>
      </c>
      <c r="C619" t="s">
        <v>102</v>
      </c>
      <c r="D619">
        <v>1</v>
      </c>
      <c r="E619" s="7">
        <v>232.5</v>
      </c>
      <c r="H619">
        <v>55601</v>
      </c>
      <c r="I619" t="s">
        <v>353</v>
      </c>
      <c r="J619" t="s">
        <v>3251</v>
      </c>
      <c r="K619" t="s">
        <v>3</v>
      </c>
      <c r="L619" s="2">
        <v>43221</v>
      </c>
      <c r="M619" s="2">
        <f>DOCXX[[#This Row],[INV DOC DATE]]+30</f>
        <v>43251</v>
      </c>
      <c r="N619" s="2">
        <v>43252</v>
      </c>
      <c r="O619" s="7">
        <v>232.5</v>
      </c>
      <c r="P619" s="2">
        <v>43262</v>
      </c>
      <c r="Q619" s="7">
        <f>$E619-$O619</f>
        <v>0</v>
      </c>
      <c r="R619" s="7" t="str">
        <f ca="1">IF(TODAY() - DOCXX[INV DUE DATE]&lt;30, "Less than 30 days",IF(TODAY()-DOCXX[INV DUE DATE]&lt;60,"30-60 days","More than 60 days"))</f>
        <v>30-60 days</v>
      </c>
      <c r="S619" t="s">
        <v>818</v>
      </c>
      <c r="T619" s="43" t="s">
        <v>2229</v>
      </c>
      <c r="U619" s="7" t="s">
        <v>3699</v>
      </c>
    </row>
    <row r="620" spans="1:21" x14ac:dyDescent="0.3">
      <c r="A620" s="14" t="s">
        <v>3160</v>
      </c>
      <c r="B620" t="s">
        <v>118</v>
      </c>
      <c r="C620" t="s">
        <v>103</v>
      </c>
      <c r="D620">
        <v>1</v>
      </c>
      <c r="E620" s="7">
        <v>178.25</v>
      </c>
      <c r="H620">
        <v>55601</v>
      </c>
      <c r="I620" t="s">
        <v>353</v>
      </c>
      <c r="J620" t="s">
        <v>3252</v>
      </c>
      <c r="K620" t="s">
        <v>3</v>
      </c>
      <c r="L620" s="2">
        <v>43221</v>
      </c>
      <c r="M620" s="2">
        <f>DOCXX[[#This Row],[INV DOC DATE]]+30</f>
        <v>43251</v>
      </c>
      <c r="N620" s="2">
        <v>43252</v>
      </c>
      <c r="O620" s="7">
        <v>178.25</v>
      </c>
      <c r="P620" s="2">
        <v>43262</v>
      </c>
      <c r="Q620" s="7">
        <f>$E620-$O620</f>
        <v>0</v>
      </c>
      <c r="R620" s="7" t="str">
        <f ca="1">IF(TODAY() - DOCXX[INV DUE DATE]&lt;30, "Less than 30 days",IF(TODAY()-DOCXX[INV DUE DATE]&lt;60,"30-60 days","More than 60 days"))</f>
        <v>30-60 days</v>
      </c>
      <c r="S620" t="s">
        <v>818</v>
      </c>
      <c r="T620" s="43" t="s">
        <v>2229</v>
      </c>
      <c r="U620" s="7" t="s">
        <v>3699</v>
      </c>
    </row>
    <row r="621" spans="1:21" x14ac:dyDescent="0.3">
      <c r="A621" s="14" t="s">
        <v>3160</v>
      </c>
      <c r="B621" t="s">
        <v>118</v>
      </c>
      <c r="C621" t="s">
        <v>104</v>
      </c>
      <c r="D621">
        <v>1</v>
      </c>
      <c r="E621" s="7">
        <v>178.25</v>
      </c>
      <c r="H621">
        <v>55609</v>
      </c>
      <c r="I621" t="s">
        <v>349</v>
      </c>
      <c r="J621" t="s">
        <v>3253</v>
      </c>
      <c r="K621" t="s">
        <v>3</v>
      </c>
      <c r="L621" s="2">
        <v>43221</v>
      </c>
      <c r="M621" s="2">
        <f>DOCXX[[#This Row],[INV DOC DATE]]+30</f>
        <v>43251</v>
      </c>
      <c r="N621" s="2">
        <v>43252</v>
      </c>
      <c r="O621" s="7">
        <v>178.25</v>
      </c>
      <c r="P621" s="2">
        <v>43262</v>
      </c>
      <c r="Q621" s="7">
        <f>$E621-$O621</f>
        <v>0</v>
      </c>
      <c r="R621" s="7" t="str">
        <f ca="1">IF(TODAY() - DOCXX[INV DUE DATE]&lt;30, "Less than 30 days",IF(TODAY()-DOCXX[INV DUE DATE]&lt;60,"30-60 days","More than 60 days"))</f>
        <v>30-60 days</v>
      </c>
      <c r="S621" t="s">
        <v>818</v>
      </c>
      <c r="T621" s="43" t="s">
        <v>2229</v>
      </c>
      <c r="U621" s="7" t="s">
        <v>3699</v>
      </c>
    </row>
    <row r="622" spans="1:21" x14ac:dyDescent="0.3">
      <c r="A622" s="14" t="s">
        <v>3160</v>
      </c>
      <c r="B622" t="s">
        <v>118</v>
      </c>
      <c r="C622" t="s">
        <v>105</v>
      </c>
      <c r="D622">
        <v>1</v>
      </c>
      <c r="E622" s="7">
        <v>310</v>
      </c>
      <c r="H622">
        <v>55644</v>
      </c>
      <c r="I622" t="s">
        <v>348</v>
      </c>
      <c r="J622" t="s">
        <v>3254</v>
      </c>
      <c r="K622" t="s">
        <v>3</v>
      </c>
      <c r="L622" s="2">
        <v>43221</v>
      </c>
      <c r="M622" s="2">
        <f>DOCXX[[#This Row],[INV DOC DATE]]+30</f>
        <v>43251</v>
      </c>
      <c r="N622" s="2">
        <v>43252</v>
      </c>
      <c r="O622" s="7">
        <v>310</v>
      </c>
      <c r="P622" s="2">
        <v>43262</v>
      </c>
      <c r="Q622" s="7">
        <f>$E622-$O622</f>
        <v>0</v>
      </c>
      <c r="R622" s="7" t="str">
        <f ca="1">IF(TODAY() - DOCXX[INV DUE DATE]&lt;30, "Less than 30 days",IF(TODAY()-DOCXX[INV DUE DATE]&lt;60,"30-60 days","More than 60 days"))</f>
        <v>30-60 days</v>
      </c>
      <c r="S622" t="s">
        <v>818</v>
      </c>
      <c r="T622" s="43" t="s">
        <v>2229</v>
      </c>
      <c r="U622" s="7" t="s">
        <v>3699</v>
      </c>
    </row>
    <row r="623" spans="1:21" x14ac:dyDescent="0.3">
      <c r="A623" s="14" t="s">
        <v>3160</v>
      </c>
      <c r="B623" t="s">
        <v>118</v>
      </c>
      <c r="C623" t="s">
        <v>106</v>
      </c>
      <c r="D623">
        <v>1</v>
      </c>
      <c r="E623" s="7">
        <v>310</v>
      </c>
      <c r="H623">
        <v>55644</v>
      </c>
      <c r="I623" t="s">
        <v>348</v>
      </c>
      <c r="J623" t="s">
        <v>3255</v>
      </c>
      <c r="K623" t="s">
        <v>3</v>
      </c>
      <c r="L623" s="2">
        <v>43221</v>
      </c>
      <c r="M623" s="2">
        <f>DOCXX[[#This Row],[INV DOC DATE]]+30</f>
        <v>43251</v>
      </c>
      <c r="N623" s="2">
        <v>43252</v>
      </c>
      <c r="O623" s="7">
        <v>310</v>
      </c>
      <c r="P623" s="2">
        <v>43262</v>
      </c>
      <c r="Q623" s="7">
        <f>$E623-$O623</f>
        <v>0</v>
      </c>
      <c r="R623" s="7" t="str">
        <f ca="1">IF(TODAY() - DOCXX[INV DUE DATE]&lt;30, "Less than 30 days",IF(TODAY()-DOCXX[INV DUE DATE]&lt;60,"30-60 days","More than 60 days"))</f>
        <v>30-60 days</v>
      </c>
      <c r="S623" t="s">
        <v>818</v>
      </c>
      <c r="T623" s="43" t="s">
        <v>2229</v>
      </c>
      <c r="U623" s="7" t="s">
        <v>3699</v>
      </c>
    </row>
    <row r="624" spans="1:21" x14ac:dyDescent="0.3">
      <c r="A624" s="14" t="s">
        <v>3160</v>
      </c>
      <c r="B624" t="s">
        <v>118</v>
      </c>
      <c r="C624" t="s">
        <v>107</v>
      </c>
      <c r="D624">
        <v>1</v>
      </c>
      <c r="E624" s="7">
        <v>310</v>
      </c>
      <c r="H624">
        <v>55644</v>
      </c>
      <c r="I624" t="s">
        <v>348</v>
      </c>
      <c r="J624" t="s">
        <v>3256</v>
      </c>
      <c r="K624" t="s">
        <v>3</v>
      </c>
      <c r="L624" s="2">
        <v>43221</v>
      </c>
      <c r="M624" s="2">
        <f>DOCXX[[#This Row],[INV DOC DATE]]+30</f>
        <v>43251</v>
      </c>
      <c r="N624" s="2">
        <v>43252</v>
      </c>
      <c r="O624" s="7">
        <v>310</v>
      </c>
      <c r="P624" s="2">
        <v>43262</v>
      </c>
      <c r="Q624" s="7">
        <f>$E624-$O624</f>
        <v>0</v>
      </c>
      <c r="R624" s="7" t="str">
        <f ca="1">IF(TODAY() - DOCXX[INV DUE DATE]&lt;30, "Less than 30 days",IF(TODAY()-DOCXX[INV DUE DATE]&lt;60,"30-60 days","More than 60 days"))</f>
        <v>30-60 days</v>
      </c>
      <c r="S624" t="s">
        <v>818</v>
      </c>
      <c r="T624" s="43" t="s">
        <v>2229</v>
      </c>
      <c r="U624" s="7" t="s">
        <v>3699</v>
      </c>
    </row>
    <row r="625" spans="1:21" x14ac:dyDescent="0.3">
      <c r="A625" s="14" t="s">
        <v>3160</v>
      </c>
      <c r="B625" t="s">
        <v>118</v>
      </c>
      <c r="C625" t="s">
        <v>108</v>
      </c>
      <c r="D625">
        <v>1</v>
      </c>
      <c r="E625" s="7">
        <v>178.25</v>
      </c>
      <c r="H625">
        <v>55785</v>
      </c>
      <c r="I625" t="s">
        <v>354</v>
      </c>
      <c r="J625" t="s">
        <v>3257</v>
      </c>
      <c r="K625" t="s">
        <v>3</v>
      </c>
      <c r="L625" s="2">
        <v>43221</v>
      </c>
      <c r="M625" s="2">
        <f>DOCXX[[#This Row],[INV DOC DATE]]+30</f>
        <v>43251</v>
      </c>
      <c r="N625" s="2">
        <v>43252</v>
      </c>
      <c r="O625" s="7">
        <v>178.25</v>
      </c>
      <c r="P625" s="2">
        <v>43262</v>
      </c>
      <c r="Q625" s="7">
        <f>$E625-$O625</f>
        <v>0</v>
      </c>
      <c r="R625" s="7" t="str">
        <f ca="1">IF(TODAY() - DOCXX[INV DUE DATE]&lt;30, "Less than 30 days",IF(TODAY()-DOCXX[INV DUE DATE]&lt;60,"30-60 days","More than 60 days"))</f>
        <v>30-60 days</v>
      </c>
      <c r="S625" t="s">
        <v>818</v>
      </c>
      <c r="T625" s="43" t="s">
        <v>2229</v>
      </c>
      <c r="U625" s="7" t="s">
        <v>3699</v>
      </c>
    </row>
    <row r="626" spans="1:21" x14ac:dyDescent="0.3">
      <c r="A626" s="14" t="s">
        <v>3160</v>
      </c>
      <c r="B626" t="s">
        <v>118</v>
      </c>
      <c r="C626" t="s">
        <v>109</v>
      </c>
      <c r="D626">
        <v>1</v>
      </c>
      <c r="E626" s="7">
        <v>178.25</v>
      </c>
      <c r="H626">
        <v>58008</v>
      </c>
      <c r="I626" t="s">
        <v>355</v>
      </c>
      <c r="J626" t="s">
        <v>3258</v>
      </c>
      <c r="K626" t="s">
        <v>3</v>
      </c>
      <c r="L626" s="2">
        <v>43221</v>
      </c>
      <c r="M626" s="2">
        <f>DOCXX[[#This Row],[INV DOC DATE]]+30</f>
        <v>43251</v>
      </c>
      <c r="N626" s="2">
        <v>43252</v>
      </c>
      <c r="O626" s="7">
        <v>178.25</v>
      </c>
      <c r="P626" s="2">
        <v>43262</v>
      </c>
      <c r="Q626" s="7">
        <f>$E626-$O626</f>
        <v>0</v>
      </c>
      <c r="R626" s="7" t="str">
        <f ca="1">IF(TODAY() - DOCXX[INV DUE DATE]&lt;30, "Less than 30 days",IF(TODAY()-DOCXX[INV DUE DATE]&lt;60,"30-60 days","More than 60 days"))</f>
        <v>30-60 days</v>
      </c>
      <c r="S626" t="s">
        <v>818</v>
      </c>
      <c r="T626" s="43" t="s">
        <v>2229</v>
      </c>
      <c r="U626" s="7" t="s">
        <v>3699</v>
      </c>
    </row>
    <row r="627" spans="1:21" x14ac:dyDescent="0.3">
      <c r="A627" s="14" t="s">
        <v>3160</v>
      </c>
      <c r="B627" t="s">
        <v>118</v>
      </c>
      <c r="C627" t="s">
        <v>110</v>
      </c>
      <c r="D627">
        <v>1</v>
      </c>
      <c r="E627" s="7">
        <v>178.25</v>
      </c>
      <c r="H627">
        <v>58008</v>
      </c>
      <c r="I627" t="s">
        <v>355</v>
      </c>
      <c r="J627" t="s">
        <v>3259</v>
      </c>
      <c r="K627" t="s">
        <v>3</v>
      </c>
      <c r="L627" s="2">
        <v>43221</v>
      </c>
      <c r="M627" s="2">
        <f>DOCXX[[#This Row],[INV DOC DATE]]+30</f>
        <v>43251</v>
      </c>
      <c r="N627" s="2">
        <v>43252</v>
      </c>
      <c r="O627" s="7">
        <v>178.25</v>
      </c>
      <c r="P627" s="2">
        <v>43262</v>
      </c>
      <c r="Q627" s="7">
        <f>$E627-$O627</f>
        <v>0</v>
      </c>
      <c r="R627" s="7" t="str">
        <f ca="1">IF(TODAY() - DOCXX[INV DUE DATE]&lt;30, "Less than 30 days",IF(TODAY()-DOCXX[INV DUE DATE]&lt;60,"30-60 days","More than 60 days"))</f>
        <v>30-60 days</v>
      </c>
      <c r="S627" t="s">
        <v>818</v>
      </c>
      <c r="T627" s="43" t="s">
        <v>2229</v>
      </c>
      <c r="U627" s="7" t="s">
        <v>3699</v>
      </c>
    </row>
    <row r="628" spans="1:21" x14ac:dyDescent="0.3">
      <c r="A628" s="14" t="s">
        <v>3160</v>
      </c>
      <c r="B628" t="s">
        <v>118</v>
      </c>
      <c r="C628" t="s">
        <v>111</v>
      </c>
      <c r="D628">
        <v>1</v>
      </c>
      <c r="E628" s="7">
        <v>496</v>
      </c>
      <c r="H628">
        <v>58008</v>
      </c>
      <c r="I628" t="s">
        <v>355</v>
      </c>
      <c r="J628" t="s">
        <v>3260</v>
      </c>
      <c r="K628" t="s">
        <v>3</v>
      </c>
      <c r="L628" s="2">
        <v>43221</v>
      </c>
      <c r="M628" s="2">
        <f>DOCXX[[#This Row],[INV DOC DATE]]+30</f>
        <v>43251</v>
      </c>
      <c r="N628" s="2">
        <v>43252</v>
      </c>
      <c r="O628" s="7">
        <v>496</v>
      </c>
      <c r="P628" s="2">
        <v>43262</v>
      </c>
      <c r="Q628" s="7">
        <f>$E628-$O628</f>
        <v>0</v>
      </c>
      <c r="R628" s="7" t="str">
        <f ca="1">IF(TODAY() - DOCXX[INV DUE DATE]&lt;30, "Less than 30 days",IF(TODAY()-DOCXX[INV DUE DATE]&lt;60,"30-60 days","More than 60 days"))</f>
        <v>30-60 days</v>
      </c>
      <c r="S628" t="s">
        <v>818</v>
      </c>
      <c r="T628" s="43" t="s">
        <v>2229</v>
      </c>
      <c r="U628" s="7" t="s">
        <v>3699</v>
      </c>
    </row>
    <row r="629" spans="1:21" x14ac:dyDescent="0.3">
      <c r="A629" s="14" t="s">
        <v>3160</v>
      </c>
      <c r="B629" t="s">
        <v>118</v>
      </c>
      <c r="C629" t="s">
        <v>112</v>
      </c>
      <c r="D629">
        <v>1</v>
      </c>
      <c r="E629" s="7">
        <v>496</v>
      </c>
      <c r="H629">
        <v>58008</v>
      </c>
      <c r="I629" t="s">
        <v>355</v>
      </c>
      <c r="J629" t="s">
        <v>3261</v>
      </c>
      <c r="K629" t="s">
        <v>3</v>
      </c>
      <c r="L629" s="2">
        <v>43221</v>
      </c>
      <c r="M629" s="2">
        <f>DOCXX[[#This Row],[INV DOC DATE]]+30</f>
        <v>43251</v>
      </c>
      <c r="N629" s="2">
        <v>43252</v>
      </c>
      <c r="O629" s="7">
        <v>496</v>
      </c>
      <c r="P629" s="2">
        <v>43262</v>
      </c>
      <c r="Q629" s="7">
        <f>$E629-$O629</f>
        <v>0</v>
      </c>
      <c r="R629" s="7" t="str">
        <f ca="1">IF(TODAY() - DOCXX[INV DUE DATE]&lt;30, "Less than 30 days",IF(TODAY()-DOCXX[INV DUE DATE]&lt;60,"30-60 days","More than 60 days"))</f>
        <v>30-60 days</v>
      </c>
      <c r="S629" t="s">
        <v>818</v>
      </c>
      <c r="T629" s="43" t="s">
        <v>2229</v>
      </c>
      <c r="U629" s="7" t="s">
        <v>3699</v>
      </c>
    </row>
    <row r="630" spans="1:21" x14ac:dyDescent="0.3">
      <c r="A630" s="14" t="s">
        <v>3160</v>
      </c>
      <c r="B630" t="s">
        <v>118</v>
      </c>
      <c r="C630" t="s">
        <v>113</v>
      </c>
      <c r="D630">
        <v>1</v>
      </c>
      <c r="E630" s="7">
        <v>496</v>
      </c>
      <c r="H630">
        <v>58008</v>
      </c>
      <c r="I630" t="s">
        <v>355</v>
      </c>
      <c r="J630" t="s">
        <v>3262</v>
      </c>
      <c r="K630" t="s">
        <v>3</v>
      </c>
      <c r="L630" s="2">
        <v>43221</v>
      </c>
      <c r="M630" s="2">
        <f>DOCXX[[#This Row],[INV DOC DATE]]+30</f>
        <v>43251</v>
      </c>
      <c r="N630" s="2">
        <v>43252</v>
      </c>
      <c r="O630" s="7">
        <v>496</v>
      </c>
      <c r="P630" s="2">
        <v>43262</v>
      </c>
      <c r="Q630" s="7">
        <f>$E630-$O630</f>
        <v>0</v>
      </c>
      <c r="R630" s="7" t="str">
        <f ca="1">IF(TODAY() - DOCXX[INV DUE DATE]&lt;30, "Less than 30 days",IF(TODAY()-DOCXX[INV DUE DATE]&lt;60,"30-60 days","More than 60 days"))</f>
        <v>30-60 days</v>
      </c>
      <c r="S630" t="s">
        <v>818</v>
      </c>
      <c r="T630" s="43" t="s">
        <v>2229</v>
      </c>
      <c r="U630" s="7" t="s">
        <v>3699</v>
      </c>
    </row>
    <row r="631" spans="1:21" x14ac:dyDescent="0.3">
      <c r="A631" s="14" t="s">
        <v>3160</v>
      </c>
      <c r="B631" t="s">
        <v>118</v>
      </c>
      <c r="C631" t="s">
        <v>114</v>
      </c>
      <c r="D631">
        <v>1</v>
      </c>
      <c r="E631" s="7">
        <v>496</v>
      </c>
      <c r="H631">
        <v>58008</v>
      </c>
      <c r="I631" t="s">
        <v>355</v>
      </c>
      <c r="J631" t="s">
        <v>3263</v>
      </c>
      <c r="K631" t="s">
        <v>3</v>
      </c>
      <c r="L631" s="2">
        <v>43221</v>
      </c>
      <c r="M631" s="2">
        <f>DOCXX[[#This Row],[INV DOC DATE]]+30</f>
        <v>43251</v>
      </c>
      <c r="N631" s="2">
        <v>43252</v>
      </c>
      <c r="O631" s="7">
        <v>496</v>
      </c>
      <c r="P631" s="2">
        <v>43262</v>
      </c>
      <c r="Q631" s="7">
        <f>$E631-$O631</f>
        <v>0</v>
      </c>
      <c r="R631" s="7" t="str">
        <f ca="1">IF(TODAY() - DOCXX[INV DUE DATE]&lt;30, "Less than 30 days",IF(TODAY()-DOCXX[INV DUE DATE]&lt;60,"30-60 days","More than 60 days"))</f>
        <v>30-60 days</v>
      </c>
      <c r="S631" t="s">
        <v>818</v>
      </c>
      <c r="T631" s="43" t="s">
        <v>2229</v>
      </c>
      <c r="U631" s="7" t="s">
        <v>3699</v>
      </c>
    </row>
    <row r="632" spans="1:21" x14ac:dyDescent="0.3">
      <c r="A632" s="14" t="s">
        <v>3160</v>
      </c>
      <c r="B632" t="s">
        <v>118</v>
      </c>
      <c r="C632" t="s">
        <v>115</v>
      </c>
      <c r="D632">
        <v>1</v>
      </c>
      <c r="E632" s="7">
        <v>496</v>
      </c>
      <c r="H632">
        <v>58008</v>
      </c>
      <c r="I632" t="s">
        <v>355</v>
      </c>
      <c r="J632" t="s">
        <v>3264</v>
      </c>
      <c r="K632" t="s">
        <v>3</v>
      </c>
      <c r="L632" s="2">
        <v>43221</v>
      </c>
      <c r="M632" s="2">
        <f>DOCXX[[#This Row],[INV DOC DATE]]+30</f>
        <v>43251</v>
      </c>
      <c r="N632" s="2">
        <v>43252</v>
      </c>
      <c r="O632" s="7">
        <v>496</v>
      </c>
      <c r="P632" s="2">
        <v>43262</v>
      </c>
      <c r="Q632" s="7">
        <f>$E632-$O632</f>
        <v>0</v>
      </c>
      <c r="R632" s="7" t="str">
        <f ca="1">IF(TODAY() - DOCXX[INV DUE DATE]&lt;30, "Less than 30 days",IF(TODAY()-DOCXX[INV DUE DATE]&lt;60,"30-60 days","More than 60 days"))</f>
        <v>30-60 days</v>
      </c>
      <c r="S632" t="s">
        <v>818</v>
      </c>
      <c r="T632" s="43" t="s">
        <v>2229</v>
      </c>
      <c r="U632" s="7" t="s">
        <v>3699</v>
      </c>
    </row>
    <row r="633" spans="1:21" x14ac:dyDescent="0.3">
      <c r="A633" s="14" t="s">
        <v>3160</v>
      </c>
      <c r="B633" t="s">
        <v>118</v>
      </c>
      <c r="C633" t="s">
        <v>116</v>
      </c>
      <c r="D633">
        <v>1</v>
      </c>
      <c r="E633" s="7">
        <v>279</v>
      </c>
      <c r="H633">
        <v>58008</v>
      </c>
      <c r="I633" t="s">
        <v>355</v>
      </c>
      <c r="J633" t="s">
        <v>3265</v>
      </c>
      <c r="K633" t="s">
        <v>3</v>
      </c>
      <c r="L633" s="2">
        <v>43221</v>
      </c>
      <c r="M633" s="2">
        <f>DOCXX[[#This Row],[INV DOC DATE]]+30</f>
        <v>43251</v>
      </c>
      <c r="N633" s="2">
        <v>43252</v>
      </c>
      <c r="O633" s="7">
        <v>279</v>
      </c>
      <c r="P633" s="2">
        <v>43262</v>
      </c>
      <c r="Q633" s="7">
        <f>$E633-$O633</f>
        <v>0</v>
      </c>
      <c r="R633" s="7" t="str">
        <f ca="1">IF(TODAY() - DOCXX[INV DUE DATE]&lt;30, "Less than 30 days",IF(TODAY()-DOCXX[INV DUE DATE]&lt;60,"30-60 days","More than 60 days"))</f>
        <v>30-60 days</v>
      </c>
      <c r="S633" t="s">
        <v>818</v>
      </c>
      <c r="T633" s="43" t="s">
        <v>2229</v>
      </c>
      <c r="U633" s="7" t="s">
        <v>3699</v>
      </c>
    </row>
    <row r="634" spans="1:21" x14ac:dyDescent="0.3">
      <c r="A634" s="14" t="s">
        <v>3160</v>
      </c>
      <c r="B634" t="s">
        <v>118</v>
      </c>
      <c r="C634" t="s">
        <v>117</v>
      </c>
      <c r="D634">
        <v>1</v>
      </c>
      <c r="E634" s="7">
        <v>279</v>
      </c>
      <c r="H634">
        <v>58008</v>
      </c>
      <c r="I634" t="s">
        <v>355</v>
      </c>
      <c r="J634" t="s">
        <v>3266</v>
      </c>
      <c r="K634" t="s">
        <v>3</v>
      </c>
      <c r="L634" s="2">
        <v>43221</v>
      </c>
      <c r="M634" s="2">
        <f>DOCXX[[#This Row],[INV DOC DATE]]+30</f>
        <v>43251</v>
      </c>
      <c r="N634" s="2">
        <v>43252</v>
      </c>
      <c r="O634" s="7">
        <v>279</v>
      </c>
      <c r="P634" s="2">
        <v>43262</v>
      </c>
      <c r="Q634" s="7">
        <f>$E634-$O634</f>
        <v>0</v>
      </c>
      <c r="R634" s="7" t="str">
        <f ca="1">IF(TODAY() - DOCXX[INV DUE DATE]&lt;30, "Less than 30 days",IF(TODAY()-DOCXX[INV DUE DATE]&lt;60,"30-60 days","More than 60 days"))</f>
        <v>30-60 days</v>
      </c>
      <c r="S634" t="s">
        <v>818</v>
      </c>
      <c r="T634" s="43" t="s">
        <v>2229</v>
      </c>
      <c r="U634" s="7" t="s">
        <v>3699</v>
      </c>
    </row>
    <row r="635" spans="1:21" x14ac:dyDescent="0.3">
      <c r="A635" s="14" t="s">
        <v>3160</v>
      </c>
      <c r="B635" t="s">
        <v>118</v>
      </c>
      <c r="C635" t="s">
        <v>118</v>
      </c>
      <c r="D635">
        <v>1</v>
      </c>
      <c r="E635" s="7">
        <v>279</v>
      </c>
      <c r="H635">
        <v>58008</v>
      </c>
      <c r="I635" t="s">
        <v>355</v>
      </c>
      <c r="J635" t="s">
        <v>3267</v>
      </c>
      <c r="K635" t="s">
        <v>3</v>
      </c>
      <c r="L635" s="2">
        <v>43221</v>
      </c>
      <c r="M635" s="2">
        <f>DOCXX[[#This Row],[INV DOC DATE]]+30</f>
        <v>43251</v>
      </c>
      <c r="N635" s="2">
        <v>43252</v>
      </c>
      <c r="O635" s="7">
        <v>279</v>
      </c>
      <c r="P635" s="2">
        <v>43262</v>
      </c>
      <c r="Q635" s="7">
        <f>$E635-$O635</f>
        <v>0</v>
      </c>
      <c r="R635" s="7" t="str">
        <f ca="1">IF(TODAY() - DOCXX[INV DUE DATE]&lt;30, "Less than 30 days",IF(TODAY()-DOCXX[INV DUE DATE]&lt;60,"30-60 days","More than 60 days"))</f>
        <v>30-60 days</v>
      </c>
      <c r="S635" t="s">
        <v>818</v>
      </c>
      <c r="T635" s="43" t="s">
        <v>2229</v>
      </c>
      <c r="U635" s="7" t="s">
        <v>3699</v>
      </c>
    </row>
    <row r="636" spans="1:21" x14ac:dyDescent="0.3">
      <c r="A636" s="14" t="s">
        <v>3160</v>
      </c>
      <c r="B636" t="s">
        <v>118</v>
      </c>
      <c r="C636" t="s">
        <v>119</v>
      </c>
      <c r="D636">
        <v>1</v>
      </c>
      <c r="E636" s="7">
        <v>279</v>
      </c>
      <c r="H636">
        <v>58008</v>
      </c>
      <c r="I636" t="s">
        <v>355</v>
      </c>
      <c r="J636" t="s">
        <v>3268</v>
      </c>
      <c r="K636" t="s">
        <v>3</v>
      </c>
      <c r="L636" s="2">
        <v>43221</v>
      </c>
      <c r="M636" s="2">
        <f>DOCXX[[#This Row],[INV DOC DATE]]+30</f>
        <v>43251</v>
      </c>
      <c r="N636" s="2">
        <v>43252</v>
      </c>
      <c r="O636" s="7">
        <v>279</v>
      </c>
      <c r="P636" s="2">
        <v>43262</v>
      </c>
      <c r="Q636" s="7">
        <f>$E636-$O636</f>
        <v>0</v>
      </c>
      <c r="R636" s="7" t="str">
        <f ca="1">IF(TODAY() - DOCXX[INV DUE DATE]&lt;30, "Less than 30 days",IF(TODAY()-DOCXX[INV DUE DATE]&lt;60,"30-60 days","More than 60 days"))</f>
        <v>30-60 days</v>
      </c>
      <c r="S636" t="s">
        <v>818</v>
      </c>
      <c r="T636" s="43" t="s">
        <v>2229</v>
      </c>
      <c r="U636" s="7" t="s">
        <v>3699</v>
      </c>
    </row>
    <row r="637" spans="1:21" x14ac:dyDescent="0.3">
      <c r="A637" s="14" t="s">
        <v>3160</v>
      </c>
      <c r="B637" t="s">
        <v>118</v>
      </c>
      <c r="C637" t="s">
        <v>120</v>
      </c>
      <c r="D637">
        <v>1</v>
      </c>
      <c r="E637" s="7">
        <v>279</v>
      </c>
      <c r="H637">
        <v>58008</v>
      </c>
      <c r="I637" t="s">
        <v>355</v>
      </c>
      <c r="J637" t="s">
        <v>3269</v>
      </c>
      <c r="K637" t="s">
        <v>3</v>
      </c>
      <c r="L637" s="2">
        <v>43221</v>
      </c>
      <c r="M637" s="2">
        <f>DOCXX[[#This Row],[INV DOC DATE]]+30</f>
        <v>43251</v>
      </c>
      <c r="N637" s="2">
        <v>43252</v>
      </c>
      <c r="O637" s="7">
        <v>279</v>
      </c>
      <c r="P637" s="2">
        <v>43262</v>
      </c>
      <c r="Q637" s="7">
        <f>$E637-$O637</f>
        <v>0</v>
      </c>
      <c r="R637" s="7" t="str">
        <f ca="1">IF(TODAY() - DOCXX[INV DUE DATE]&lt;30, "Less than 30 days",IF(TODAY()-DOCXX[INV DUE DATE]&lt;60,"30-60 days","More than 60 days"))</f>
        <v>30-60 days</v>
      </c>
      <c r="S637" t="s">
        <v>818</v>
      </c>
      <c r="T637" s="43" t="s">
        <v>2229</v>
      </c>
      <c r="U637" s="7" t="s">
        <v>3699</v>
      </c>
    </row>
    <row r="638" spans="1:21" x14ac:dyDescent="0.3">
      <c r="A638" s="14" t="s">
        <v>3160</v>
      </c>
      <c r="B638" t="s">
        <v>118</v>
      </c>
      <c r="C638" t="s">
        <v>121</v>
      </c>
      <c r="D638">
        <v>1</v>
      </c>
      <c r="E638" s="7">
        <v>178.25</v>
      </c>
      <c r="H638">
        <v>66652</v>
      </c>
      <c r="I638" t="s">
        <v>356</v>
      </c>
      <c r="J638" t="s">
        <v>3270</v>
      </c>
      <c r="K638" t="s">
        <v>3</v>
      </c>
      <c r="L638" s="2">
        <v>43221</v>
      </c>
      <c r="M638" s="2">
        <f>DOCXX[[#This Row],[INV DOC DATE]]+30</f>
        <v>43251</v>
      </c>
      <c r="N638" s="2">
        <v>43252</v>
      </c>
      <c r="O638" s="7">
        <v>178.25</v>
      </c>
      <c r="P638" s="2">
        <v>43262</v>
      </c>
      <c r="Q638" s="7">
        <f>$E638-$O638</f>
        <v>0</v>
      </c>
      <c r="R638" s="7" t="str">
        <f ca="1">IF(TODAY() - DOCXX[INV DUE DATE]&lt;30, "Less than 30 days",IF(TODAY()-DOCXX[INV DUE DATE]&lt;60,"30-60 days","More than 60 days"))</f>
        <v>30-60 days</v>
      </c>
      <c r="S638" t="s">
        <v>818</v>
      </c>
      <c r="T638" s="43" t="s">
        <v>2229</v>
      </c>
      <c r="U638" s="7" t="s">
        <v>3699</v>
      </c>
    </row>
    <row r="639" spans="1:21" x14ac:dyDescent="0.3">
      <c r="A639" s="14" t="s">
        <v>3160</v>
      </c>
      <c r="B639" t="s">
        <v>118</v>
      </c>
      <c r="C639" t="s">
        <v>122</v>
      </c>
      <c r="D639">
        <v>1</v>
      </c>
      <c r="E639" s="7">
        <v>178.25</v>
      </c>
      <c r="H639">
        <v>66660</v>
      </c>
      <c r="I639" t="s">
        <v>357</v>
      </c>
      <c r="J639" t="s">
        <v>3271</v>
      </c>
      <c r="K639" t="s">
        <v>3</v>
      </c>
      <c r="L639" s="2">
        <v>43221</v>
      </c>
      <c r="M639" s="2">
        <f>DOCXX[[#This Row],[INV DOC DATE]]+30</f>
        <v>43251</v>
      </c>
      <c r="N639" s="2">
        <v>43252</v>
      </c>
      <c r="O639" s="7">
        <v>178.25</v>
      </c>
      <c r="P639" s="2">
        <v>43262</v>
      </c>
      <c r="Q639" s="7">
        <f>$E639-$O639</f>
        <v>0</v>
      </c>
      <c r="R639" s="7" t="str">
        <f ca="1">IF(TODAY() - DOCXX[INV DUE DATE]&lt;30, "Less than 30 days",IF(TODAY()-DOCXX[INV DUE DATE]&lt;60,"30-60 days","More than 60 days"))</f>
        <v>30-60 days</v>
      </c>
      <c r="S639" t="s">
        <v>818</v>
      </c>
      <c r="T639" s="43" t="s">
        <v>2229</v>
      </c>
      <c r="U639" s="7" t="s">
        <v>3699</v>
      </c>
    </row>
    <row r="640" spans="1:21" x14ac:dyDescent="0.3">
      <c r="A640" s="14" t="s">
        <v>3160</v>
      </c>
      <c r="B640" t="s">
        <v>118</v>
      </c>
      <c r="C640" t="s">
        <v>123</v>
      </c>
      <c r="D640">
        <v>1</v>
      </c>
      <c r="E640" s="7">
        <v>178.25</v>
      </c>
      <c r="H640">
        <v>66660</v>
      </c>
      <c r="I640" t="s">
        <v>357</v>
      </c>
      <c r="J640" t="s">
        <v>3272</v>
      </c>
      <c r="K640" t="s">
        <v>3</v>
      </c>
      <c r="L640" s="2">
        <v>43221</v>
      </c>
      <c r="M640" s="2">
        <f>DOCXX[[#This Row],[INV DOC DATE]]+30</f>
        <v>43251</v>
      </c>
      <c r="N640" s="2">
        <v>43252</v>
      </c>
      <c r="O640" s="7">
        <v>178.25</v>
      </c>
      <c r="P640" s="2">
        <v>43262</v>
      </c>
      <c r="Q640" s="7">
        <f>$E640-$O640</f>
        <v>0</v>
      </c>
      <c r="R640" s="7" t="str">
        <f ca="1">IF(TODAY() - DOCXX[INV DUE DATE]&lt;30, "Less than 30 days",IF(TODAY()-DOCXX[INV DUE DATE]&lt;60,"30-60 days","More than 60 days"))</f>
        <v>30-60 days</v>
      </c>
      <c r="S640" t="s">
        <v>818</v>
      </c>
      <c r="T640" s="43" t="s">
        <v>2229</v>
      </c>
      <c r="U640" s="7" t="s">
        <v>3699</v>
      </c>
    </row>
    <row r="641" spans="1:21" x14ac:dyDescent="0.3">
      <c r="A641" s="14" t="s">
        <v>3160</v>
      </c>
      <c r="B641" t="s">
        <v>118</v>
      </c>
      <c r="C641" t="s">
        <v>124</v>
      </c>
      <c r="D641">
        <v>1</v>
      </c>
      <c r="E641" s="7">
        <v>178.25</v>
      </c>
      <c r="H641">
        <v>66660</v>
      </c>
      <c r="I641" t="s">
        <v>357</v>
      </c>
      <c r="J641" t="s">
        <v>3273</v>
      </c>
      <c r="K641" t="s">
        <v>3</v>
      </c>
      <c r="L641" s="2">
        <v>43221</v>
      </c>
      <c r="M641" s="2">
        <f>DOCXX[[#This Row],[INV DOC DATE]]+30</f>
        <v>43251</v>
      </c>
      <c r="N641" s="2">
        <v>43252</v>
      </c>
      <c r="O641" s="7">
        <v>178.25</v>
      </c>
      <c r="P641" s="2">
        <v>43262</v>
      </c>
      <c r="Q641" s="7">
        <f>$E641-$O641</f>
        <v>0</v>
      </c>
      <c r="R641" s="7" t="str">
        <f ca="1">IF(TODAY() - DOCXX[INV DUE DATE]&lt;30, "Less than 30 days",IF(TODAY()-DOCXX[INV DUE DATE]&lt;60,"30-60 days","More than 60 days"))</f>
        <v>30-60 days</v>
      </c>
      <c r="S641" t="s">
        <v>818</v>
      </c>
      <c r="T641" s="43" t="s">
        <v>2229</v>
      </c>
      <c r="U641" s="7" t="s">
        <v>3699</v>
      </c>
    </row>
    <row r="642" spans="1:21" x14ac:dyDescent="0.3">
      <c r="A642" s="14" t="s">
        <v>3160</v>
      </c>
      <c r="B642" t="s">
        <v>118</v>
      </c>
      <c r="C642" t="s">
        <v>125</v>
      </c>
      <c r="D642">
        <v>1</v>
      </c>
      <c r="E642" s="7">
        <v>178.25</v>
      </c>
      <c r="H642">
        <v>67859</v>
      </c>
      <c r="I642" t="s">
        <v>349</v>
      </c>
      <c r="J642" t="s">
        <v>3274</v>
      </c>
      <c r="K642" t="s">
        <v>3</v>
      </c>
      <c r="L642" s="2">
        <v>43221</v>
      </c>
      <c r="M642" s="2">
        <f>DOCXX[[#This Row],[INV DOC DATE]]+30</f>
        <v>43251</v>
      </c>
      <c r="N642" s="2">
        <v>43252</v>
      </c>
      <c r="O642" s="7">
        <v>178.25</v>
      </c>
      <c r="P642" s="2">
        <v>43262</v>
      </c>
      <c r="Q642" s="7">
        <f>$E642-$O642</f>
        <v>0</v>
      </c>
      <c r="R642" s="7" t="str">
        <f ca="1">IF(TODAY() - DOCXX[INV DUE DATE]&lt;30, "Less than 30 days",IF(TODAY()-DOCXX[INV DUE DATE]&lt;60,"30-60 days","More than 60 days"))</f>
        <v>30-60 days</v>
      </c>
      <c r="S642" t="s">
        <v>818</v>
      </c>
      <c r="T642" s="43" t="s">
        <v>2229</v>
      </c>
      <c r="U642" s="7" t="s">
        <v>3699</v>
      </c>
    </row>
    <row r="643" spans="1:21" x14ac:dyDescent="0.3">
      <c r="A643" s="14" t="s">
        <v>3160</v>
      </c>
      <c r="B643" t="s">
        <v>118</v>
      </c>
      <c r="C643" t="s">
        <v>126</v>
      </c>
      <c r="D643">
        <v>1</v>
      </c>
      <c r="E643" s="7">
        <v>178.25</v>
      </c>
      <c r="H643">
        <v>67859</v>
      </c>
      <c r="I643" t="s">
        <v>349</v>
      </c>
      <c r="J643" t="s">
        <v>3275</v>
      </c>
      <c r="K643" t="s">
        <v>3</v>
      </c>
      <c r="L643" s="2">
        <v>43221</v>
      </c>
      <c r="M643" s="2">
        <f>DOCXX[[#This Row],[INV DOC DATE]]+30</f>
        <v>43251</v>
      </c>
      <c r="N643" s="2">
        <v>43252</v>
      </c>
      <c r="O643" s="7">
        <v>178.25</v>
      </c>
      <c r="P643" s="2">
        <v>43262</v>
      </c>
      <c r="Q643" s="7">
        <f>$E643-$O643</f>
        <v>0</v>
      </c>
      <c r="R643" s="7" t="str">
        <f ca="1">IF(TODAY() - DOCXX[INV DUE DATE]&lt;30, "Less than 30 days",IF(TODAY()-DOCXX[INV DUE DATE]&lt;60,"30-60 days","More than 60 days"))</f>
        <v>30-60 days</v>
      </c>
      <c r="S643" t="s">
        <v>818</v>
      </c>
      <c r="T643" s="43" t="s">
        <v>2229</v>
      </c>
      <c r="U643" s="7" t="s">
        <v>3699</v>
      </c>
    </row>
    <row r="644" spans="1:21" x14ac:dyDescent="0.3">
      <c r="A644" s="14" t="s">
        <v>3160</v>
      </c>
      <c r="B644" t="s">
        <v>118</v>
      </c>
      <c r="C644" t="s">
        <v>127</v>
      </c>
      <c r="D644">
        <v>1</v>
      </c>
      <c r="E644" s="7">
        <v>178.25</v>
      </c>
      <c r="H644">
        <v>68162</v>
      </c>
      <c r="I644" t="s">
        <v>358</v>
      </c>
      <c r="J644" t="s">
        <v>3276</v>
      </c>
      <c r="K644" t="s">
        <v>3</v>
      </c>
      <c r="L644" s="2">
        <v>43221</v>
      </c>
      <c r="M644" s="2">
        <f>DOCXX[[#This Row],[INV DOC DATE]]+30</f>
        <v>43251</v>
      </c>
      <c r="N644" s="2">
        <v>43252</v>
      </c>
      <c r="O644" s="7">
        <v>178.25</v>
      </c>
      <c r="P644" s="2">
        <v>43262</v>
      </c>
      <c r="Q644" s="7">
        <f>$E644-$O644</f>
        <v>0</v>
      </c>
      <c r="R644" s="7" t="str">
        <f ca="1">IF(TODAY() - DOCXX[INV DUE DATE]&lt;30, "Less than 30 days",IF(TODAY()-DOCXX[INV DUE DATE]&lt;60,"30-60 days","More than 60 days"))</f>
        <v>30-60 days</v>
      </c>
      <c r="S644" t="s">
        <v>818</v>
      </c>
      <c r="T644" s="43" t="s">
        <v>2229</v>
      </c>
      <c r="U644" s="7" t="s">
        <v>3699</v>
      </c>
    </row>
    <row r="645" spans="1:21" x14ac:dyDescent="0.3">
      <c r="A645" s="14" t="s">
        <v>3160</v>
      </c>
      <c r="B645" t="s">
        <v>118</v>
      </c>
      <c r="C645" t="s">
        <v>128</v>
      </c>
      <c r="D645">
        <v>1</v>
      </c>
      <c r="E645" s="7">
        <v>178.25</v>
      </c>
      <c r="H645">
        <v>68162</v>
      </c>
      <c r="I645" t="s">
        <v>358</v>
      </c>
      <c r="J645" t="s">
        <v>3277</v>
      </c>
      <c r="K645" t="s">
        <v>3</v>
      </c>
      <c r="L645" s="2">
        <v>43221</v>
      </c>
      <c r="M645" s="2">
        <f>DOCXX[[#This Row],[INV DOC DATE]]+30</f>
        <v>43251</v>
      </c>
      <c r="N645" s="2">
        <v>43252</v>
      </c>
      <c r="O645" s="7">
        <v>178.25</v>
      </c>
      <c r="P645" s="2">
        <v>43262</v>
      </c>
      <c r="Q645" s="7">
        <f>$E645-$O645</f>
        <v>0</v>
      </c>
      <c r="R645" s="7" t="str">
        <f ca="1">IF(TODAY() - DOCXX[INV DUE DATE]&lt;30, "Less than 30 days",IF(TODAY()-DOCXX[INV DUE DATE]&lt;60,"30-60 days","More than 60 days"))</f>
        <v>30-60 days</v>
      </c>
      <c r="S645" t="s">
        <v>818</v>
      </c>
      <c r="T645" s="43" t="s">
        <v>2229</v>
      </c>
      <c r="U645" s="7" t="s">
        <v>3699</v>
      </c>
    </row>
    <row r="646" spans="1:21" x14ac:dyDescent="0.3">
      <c r="A646" s="14" t="s">
        <v>3160</v>
      </c>
      <c r="B646" t="s">
        <v>118</v>
      </c>
      <c r="C646" t="s">
        <v>129</v>
      </c>
      <c r="D646">
        <v>1</v>
      </c>
      <c r="E646" s="7">
        <v>178.25</v>
      </c>
      <c r="H646">
        <v>68162</v>
      </c>
      <c r="I646" t="s">
        <v>358</v>
      </c>
      <c r="J646" t="s">
        <v>3278</v>
      </c>
      <c r="K646" t="s">
        <v>3</v>
      </c>
      <c r="L646" s="2">
        <v>43221</v>
      </c>
      <c r="M646" s="2">
        <f>DOCXX[[#This Row],[INV DOC DATE]]+30</f>
        <v>43251</v>
      </c>
      <c r="N646" s="2">
        <v>43252</v>
      </c>
      <c r="O646" s="7">
        <v>178.25</v>
      </c>
      <c r="P646" s="2">
        <v>43262</v>
      </c>
      <c r="Q646" s="7">
        <f>$E646-$O646</f>
        <v>0</v>
      </c>
      <c r="R646" s="7" t="str">
        <f ca="1">IF(TODAY() - DOCXX[INV DUE DATE]&lt;30, "Less than 30 days",IF(TODAY()-DOCXX[INV DUE DATE]&lt;60,"30-60 days","More than 60 days"))</f>
        <v>30-60 days</v>
      </c>
      <c r="S646" t="s">
        <v>818</v>
      </c>
      <c r="T646" s="43" t="s">
        <v>2229</v>
      </c>
      <c r="U646" s="7" t="s">
        <v>3699</v>
      </c>
    </row>
    <row r="647" spans="1:21" x14ac:dyDescent="0.3">
      <c r="A647" s="14" t="s">
        <v>3160</v>
      </c>
      <c r="B647" t="s">
        <v>118</v>
      </c>
      <c r="C647" t="s">
        <v>130</v>
      </c>
      <c r="D647">
        <v>1</v>
      </c>
      <c r="E647" s="7">
        <v>178.25</v>
      </c>
      <c r="H647">
        <v>68162</v>
      </c>
      <c r="I647" t="s">
        <v>358</v>
      </c>
      <c r="J647" t="s">
        <v>3279</v>
      </c>
      <c r="K647" t="s">
        <v>3</v>
      </c>
      <c r="L647" s="2">
        <v>43221</v>
      </c>
      <c r="M647" s="2">
        <f>DOCXX[[#This Row],[INV DOC DATE]]+30</f>
        <v>43251</v>
      </c>
      <c r="N647" s="2">
        <v>43252</v>
      </c>
      <c r="O647" s="7">
        <v>178.25</v>
      </c>
      <c r="P647" s="2">
        <v>43262</v>
      </c>
      <c r="Q647" s="7">
        <f>$E647-$O647</f>
        <v>0</v>
      </c>
      <c r="R647" s="7" t="str">
        <f ca="1">IF(TODAY() - DOCXX[INV DUE DATE]&lt;30, "Less than 30 days",IF(TODAY()-DOCXX[INV DUE DATE]&lt;60,"30-60 days","More than 60 days"))</f>
        <v>30-60 days</v>
      </c>
      <c r="S647" t="s">
        <v>818</v>
      </c>
      <c r="T647" s="43" t="s">
        <v>2229</v>
      </c>
      <c r="U647" s="7" t="s">
        <v>3699</v>
      </c>
    </row>
    <row r="648" spans="1:21" x14ac:dyDescent="0.3">
      <c r="A648" s="14" t="s">
        <v>3160</v>
      </c>
      <c r="B648" t="s">
        <v>118</v>
      </c>
      <c r="C648" t="s">
        <v>131</v>
      </c>
      <c r="D648">
        <v>1</v>
      </c>
      <c r="E648" s="7">
        <v>178.25</v>
      </c>
      <c r="H648">
        <v>68162</v>
      </c>
      <c r="I648" t="s">
        <v>358</v>
      </c>
      <c r="J648" t="s">
        <v>3280</v>
      </c>
      <c r="K648" t="s">
        <v>3</v>
      </c>
      <c r="L648" s="2">
        <v>43221</v>
      </c>
      <c r="M648" s="2">
        <f>DOCXX[[#This Row],[INV DOC DATE]]+30</f>
        <v>43251</v>
      </c>
      <c r="N648" s="2">
        <v>43252</v>
      </c>
      <c r="O648" s="7">
        <v>178.25</v>
      </c>
      <c r="P648" s="2">
        <v>43262</v>
      </c>
      <c r="Q648" s="7">
        <f>$E648-$O648</f>
        <v>0</v>
      </c>
      <c r="R648" s="7" t="str">
        <f ca="1">IF(TODAY() - DOCXX[INV DUE DATE]&lt;30, "Less than 30 days",IF(TODAY()-DOCXX[INV DUE DATE]&lt;60,"30-60 days","More than 60 days"))</f>
        <v>30-60 days</v>
      </c>
      <c r="S648" t="s">
        <v>818</v>
      </c>
      <c r="T648" s="43" t="s">
        <v>2229</v>
      </c>
      <c r="U648" s="7" t="s">
        <v>3699</v>
      </c>
    </row>
    <row r="649" spans="1:21" x14ac:dyDescent="0.3">
      <c r="A649" s="14" t="s">
        <v>3160</v>
      </c>
      <c r="B649" t="s">
        <v>118</v>
      </c>
      <c r="C649" t="s">
        <v>132</v>
      </c>
      <c r="D649">
        <v>1</v>
      </c>
      <c r="E649" s="7">
        <v>178.25</v>
      </c>
      <c r="H649">
        <v>68162</v>
      </c>
      <c r="I649" t="s">
        <v>358</v>
      </c>
      <c r="J649" t="s">
        <v>3281</v>
      </c>
      <c r="K649" t="s">
        <v>3</v>
      </c>
      <c r="L649" s="2">
        <v>43221</v>
      </c>
      <c r="M649" s="2">
        <f>DOCXX[[#This Row],[INV DOC DATE]]+30</f>
        <v>43251</v>
      </c>
      <c r="N649" s="2">
        <v>43252</v>
      </c>
      <c r="O649" s="7">
        <v>178.25</v>
      </c>
      <c r="P649" s="2">
        <v>43262</v>
      </c>
      <c r="Q649" s="7">
        <f>$E649-$O649</f>
        <v>0</v>
      </c>
      <c r="R649" s="7" t="str">
        <f ca="1">IF(TODAY() - DOCXX[INV DUE DATE]&lt;30, "Less than 30 days",IF(TODAY()-DOCXX[INV DUE DATE]&lt;60,"30-60 days","More than 60 days"))</f>
        <v>30-60 days</v>
      </c>
      <c r="S649" t="s">
        <v>818</v>
      </c>
      <c r="T649" s="43" t="s">
        <v>2229</v>
      </c>
      <c r="U649" s="7" t="s">
        <v>3699</v>
      </c>
    </row>
    <row r="650" spans="1:21" x14ac:dyDescent="0.3">
      <c r="A650" s="14" t="s">
        <v>3160</v>
      </c>
      <c r="B650" t="s">
        <v>118</v>
      </c>
      <c r="C650" t="s">
        <v>133</v>
      </c>
      <c r="D650">
        <v>1</v>
      </c>
      <c r="E650" s="7">
        <v>178.25</v>
      </c>
      <c r="H650">
        <v>68162</v>
      </c>
      <c r="I650" t="s">
        <v>358</v>
      </c>
      <c r="J650" t="s">
        <v>3282</v>
      </c>
      <c r="K650" t="s">
        <v>3</v>
      </c>
      <c r="L650" s="2">
        <v>43221</v>
      </c>
      <c r="M650" s="2">
        <f>DOCXX[[#This Row],[INV DOC DATE]]+30</f>
        <v>43251</v>
      </c>
      <c r="N650" s="2">
        <v>43252</v>
      </c>
      <c r="O650" s="7">
        <v>178.25</v>
      </c>
      <c r="P650" s="2">
        <v>43262</v>
      </c>
      <c r="Q650" s="7">
        <f>$E650-$O650</f>
        <v>0</v>
      </c>
      <c r="R650" s="7" t="str">
        <f ca="1">IF(TODAY() - DOCXX[INV DUE DATE]&lt;30, "Less than 30 days",IF(TODAY()-DOCXX[INV DUE DATE]&lt;60,"30-60 days","More than 60 days"))</f>
        <v>30-60 days</v>
      </c>
      <c r="S650" t="s">
        <v>818</v>
      </c>
      <c r="T650" s="43" t="s">
        <v>2229</v>
      </c>
      <c r="U650" s="7" t="s">
        <v>3699</v>
      </c>
    </row>
    <row r="651" spans="1:21" x14ac:dyDescent="0.3">
      <c r="A651" s="14" t="s">
        <v>3160</v>
      </c>
      <c r="B651" t="s">
        <v>118</v>
      </c>
      <c r="C651" t="s">
        <v>134</v>
      </c>
      <c r="D651">
        <v>1</v>
      </c>
      <c r="E651" s="7">
        <v>178.25</v>
      </c>
      <c r="H651">
        <v>68162</v>
      </c>
      <c r="I651" t="s">
        <v>358</v>
      </c>
      <c r="J651" t="s">
        <v>3283</v>
      </c>
      <c r="K651" t="s">
        <v>3</v>
      </c>
      <c r="L651" s="2">
        <v>43221</v>
      </c>
      <c r="M651" s="2">
        <f>DOCXX[[#This Row],[INV DOC DATE]]+30</f>
        <v>43251</v>
      </c>
      <c r="N651" s="2">
        <v>43252</v>
      </c>
      <c r="O651" s="7">
        <v>178.25</v>
      </c>
      <c r="P651" s="2">
        <v>43262</v>
      </c>
      <c r="Q651" s="7">
        <f>$E651-$O651</f>
        <v>0</v>
      </c>
      <c r="R651" s="7" t="str">
        <f ca="1">IF(TODAY() - DOCXX[INV DUE DATE]&lt;30, "Less than 30 days",IF(TODAY()-DOCXX[INV DUE DATE]&lt;60,"30-60 days","More than 60 days"))</f>
        <v>30-60 days</v>
      </c>
      <c r="S651" t="s">
        <v>818</v>
      </c>
      <c r="T651" s="43" t="s">
        <v>2229</v>
      </c>
      <c r="U651" s="7" t="s">
        <v>3699</v>
      </c>
    </row>
    <row r="652" spans="1:21" x14ac:dyDescent="0.3">
      <c r="A652" s="14" t="s">
        <v>3160</v>
      </c>
      <c r="B652" t="s">
        <v>118</v>
      </c>
      <c r="C652" t="s">
        <v>135</v>
      </c>
      <c r="D652">
        <v>1</v>
      </c>
      <c r="E652" s="7">
        <v>178.25</v>
      </c>
      <c r="H652">
        <v>68162</v>
      </c>
      <c r="I652" t="s">
        <v>358</v>
      </c>
      <c r="J652" t="s">
        <v>3284</v>
      </c>
      <c r="K652" t="s">
        <v>3</v>
      </c>
      <c r="L652" s="2">
        <v>43221</v>
      </c>
      <c r="M652" s="2">
        <f>DOCXX[[#This Row],[INV DOC DATE]]+30</f>
        <v>43251</v>
      </c>
      <c r="N652" s="2">
        <v>43252</v>
      </c>
      <c r="O652" s="7">
        <v>178.25</v>
      </c>
      <c r="P652" s="2">
        <v>43262</v>
      </c>
      <c r="Q652" s="7">
        <f>$E652-$O652</f>
        <v>0</v>
      </c>
      <c r="R652" s="7" t="str">
        <f ca="1">IF(TODAY() - DOCXX[INV DUE DATE]&lt;30, "Less than 30 days",IF(TODAY()-DOCXX[INV DUE DATE]&lt;60,"30-60 days","More than 60 days"))</f>
        <v>30-60 days</v>
      </c>
      <c r="S652" t="s">
        <v>818</v>
      </c>
      <c r="T652" s="43" t="s">
        <v>2229</v>
      </c>
      <c r="U652" s="7" t="s">
        <v>3699</v>
      </c>
    </row>
    <row r="653" spans="1:21" x14ac:dyDescent="0.3">
      <c r="A653" s="14" t="s">
        <v>3160</v>
      </c>
      <c r="B653" t="s">
        <v>118</v>
      </c>
      <c r="C653" t="s">
        <v>136</v>
      </c>
      <c r="D653">
        <v>1</v>
      </c>
      <c r="E653" s="7">
        <v>178.25</v>
      </c>
      <c r="H653">
        <v>68162</v>
      </c>
      <c r="I653" t="s">
        <v>358</v>
      </c>
      <c r="J653" t="s">
        <v>3285</v>
      </c>
      <c r="K653" t="s">
        <v>3</v>
      </c>
      <c r="L653" s="2">
        <v>43221</v>
      </c>
      <c r="M653" s="2">
        <f>DOCXX[[#This Row],[INV DOC DATE]]+30</f>
        <v>43251</v>
      </c>
      <c r="N653" s="2">
        <v>43252</v>
      </c>
      <c r="O653" s="7">
        <v>178.25</v>
      </c>
      <c r="P653" s="2">
        <v>43262</v>
      </c>
      <c r="Q653" s="7">
        <f>$E653-$O653</f>
        <v>0</v>
      </c>
      <c r="R653" s="7" t="str">
        <f ca="1">IF(TODAY() - DOCXX[INV DUE DATE]&lt;30, "Less than 30 days",IF(TODAY()-DOCXX[INV DUE DATE]&lt;60,"30-60 days","More than 60 days"))</f>
        <v>30-60 days</v>
      </c>
      <c r="S653" t="s">
        <v>818</v>
      </c>
      <c r="T653" s="43" t="s">
        <v>2229</v>
      </c>
      <c r="U653" s="7" t="s">
        <v>3699</v>
      </c>
    </row>
    <row r="654" spans="1:21" x14ac:dyDescent="0.3">
      <c r="A654" s="14" t="s">
        <v>3160</v>
      </c>
      <c r="B654" t="s">
        <v>118</v>
      </c>
      <c r="C654" t="s">
        <v>137</v>
      </c>
      <c r="D654">
        <v>1</v>
      </c>
      <c r="E654" s="7">
        <v>232.5</v>
      </c>
      <c r="H654">
        <v>68162</v>
      </c>
      <c r="I654" t="s">
        <v>358</v>
      </c>
      <c r="J654" t="s">
        <v>3286</v>
      </c>
      <c r="K654" t="s">
        <v>3</v>
      </c>
      <c r="L654" s="2">
        <v>43221</v>
      </c>
      <c r="M654" s="2">
        <f>DOCXX[[#This Row],[INV DOC DATE]]+30</f>
        <v>43251</v>
      </c>
      <c r="N654" s="2">
        <v>43252</v>
      </c>
      <c r="O654" s="7">
        <v>232.5</v>
      </c>
      <c r="P654" s="2">
        <v>43262</v>
      </c>
      <c r="Q654" s="7">
        <f>$E654-$O654</f>
        <v>0</v>
      </c>
      <c r="R654" s="7" t="str">
        <f ca="1">IF(TODAY() - DOCXX[INV DUE DATE]&lt;30, "Less than 30 days",IF(TODAY()-DOCXX[INV DUE DATE]&lt;60,"30-60 days","More than 60 days"))</f>
        <v>30-60 days</v>
      </c>
      <c r="S654" t="s">
        <v>818</v>
      </c>
      <c r="T654" s="43" t="s">
        <v>2229</v>
      </c>
      <c r="U654" s="7" t="s">
        <v>3699</v>
      </c>
    </row>
    <row r="655" spans="1:21" x14ac:dyDescent="0.3">
      <c r="A655" s="14" t="s">
        <v>3160</v>
      </c>
      <c r="B655" t="s">
        <v>118</v>
      </c>
      <c r="C655" t="s">
        <v>138</v>
      </c>
      <c r="D655">
        <v>1</v>
      </c>
      <c r="E655" s="7">
        <v>232.5</v>
      </c>
      <c r="H655">
        <v>68162</v>
      </c>
      <c r="I655" t="s">
        <v>358</v>
      </c>
      <c r="J655" t="s">
        <v>3287</v>
      </c>
      <c r="K655" t="s">
        <v>3</v>
      </c>
      <c r="L655" s="2">
        <v>43221</v>
      </c>
      <c r="M655" s="2">
        <f>DOCXX[[#This Row],[INV DOC DATE]]+30</f>
        <v>43251</v>
      </c>
      <c r="N655" s="2">
        <v>43252</v>
      </c>
      <c r="O655" s="7">
        <v>232.5</v>
      </c>
      <c r="P655" s="2">
        <v>43262</v>
      </c>
      <c r="Q655" s="7">
        <f>$E655-$O655</f>
        <v>0</v>
      </c>
      <c r="R655" s="7" t="str">
        <f ca="1">IF(TODAY() - DOCXX[INV DUE DATE]&lt;30, "Less than 30 days",IF(TODAY()-DOCXX[INV DUE DATE]&lt;60,"30-60 days","More than 60 days"))</f>
        <v>30-60 days</v>
      </c>
      <c r="S655" t="s">
        <v>818</v>
      </c>
      <c r="T655" s="43" t="s">
        <v>2229</v>
      </c>
      <c r="U655" s="7" t="s">
        <v>3699</v>
      </c>
    </row>
    <row r="656" spans="1:21" x14ac:dyDescent="0.3">
      <c r="A656" s="14" t="s">
        <v>3160</v>
      </c>
      <c r="B656" t="s">
        <v>118</v>
      </c>
      <c r="C656" t="s">
        <v>139</v>
      </c>
      <c r="D656">
        <v>1</v>
      </c>
      <c r="E656" s="7">
        <v>232.5</v>
      </c>
      <c r="H656">
        <v>68162</v>
      </c>
      <c r="I656" t="s">
        <v>358</v>
      </c>
      <c r="J656" t="s">
        <v>3288</v>
      </c>
      <c r="K656" t="s">
        <v>3</v>
      </c>
      <c r="L656" s="2">
        <v>43221</v>
      </c>
      <c r="M656" s="2">
        <f>DOCXX[[#This Row],[INV DOC DATE]]+30</f>
        <v>43251</v>
      </c>
      <c r="N656" s="2">
        <v>43252</v>
      </c>
      <c r="O656" s="7">
        <v>232.5</v>
      </c>
      <c r="P656" s="2">
        <v>43262</v>
      </c>
      <c r="Q656" s="7">
        <f>$E656-$O656</f>
        <v>0</v>
      </c>
      <c r="R656" s="7" t="str">
        <f ca="1">IF(TODAY() - DOCXX[INV DUE DATE]&lt;30, "Less than 30 days",IF(TODAY()-DOCXX[INV DUE DATE]&lt;60,"30-60 days","More than 60 days"))</f>
        <v>30-60 days</v>
      </c>
      <c r="S656" t="s">
        <v>818</v>
      </c>
      <c r="T656" s="43" t="s">
        <v>2229</v>
      </c>
      <c r="U656" s="7" t="s">
        <v>3699</v>
      </c>
    </row>
    <row r="657" spans="1:21" x14ac:dyDescent="0.3">
      <c r="A657" s="14" t="s">
        <v>3160</v>
      </c>
      <c r="B657" t="s">
        <v>118</v>
      </c>
      <c r="C657" t="s">
        <v>140</v>
      </c>
      <c r="D657">
        <v>1</v>
      </c>
      <c r="E657" s="7">
        <v>232.5</v>
      </c>
      <c r="H657">
        <v>68162</v>
      </c>
      <c r="I657" t="s">
        <v>358</v>
      </c>
      <c r="J657" t="s">
        <v>3289</v>
      </c>
      <c r="K657" t="s">
        <v>3</v>
      </c>
      <c r="L657" s="2">
        <v>43221</v>
      </c>
      <c r="M657" s="2">
        <f>DOCXX[[#This Row],[INV DOC DATE]]+30</f>
        <v>43251</v>
      </c>
      <c r="N657" s="2">
        <v>43252</v>
      </c>
      <c r="O657" s="7">
        <v>232.5</v>
      </c>
      <c r="P657" s="2">
        <v>43262</v>
      </c>
      <c r="Q657" s="7">
        <f>$E657-$O657</f>
        <v>0</v>
      </c>
      <c r="R657" s="7" t="str">
        <f ca="1">IF(TODAY() - DOCXX[INV DUE DATE]&lt;30, "Less than 30 days",IF(TODAY()-DOCXX[INV DUE DATE]&lt;60,"30-60 days","More than 60 days"))</f>
        <v>30-60 days</v>
      </c>
      <c r="S657" t="s">
        <v>818</v>
      </c>
      <c r="T657" s="43" t="s">
        <v>2229</v>
      </c>
      <c r="U657" s="7" t="s">
        <v>3699</v>
      </c>
    </row>
    <row r="658" spans="1:21" x14ac:dyDescent="0.3">
      <c r="A658" s="14" t="s">
        <v>3160</v>
      </c>
      <c r="B658" t="s">
        <v>118</v>
      </c>
      <c r="C658" t="s">
        <v>141</v>
      </c>
      <c r="D658">
        <v>1</v>
      </c>
      <c r="E658" s="7">
        <v>232.5</v>
      </c>
      <c r="H658">
        <v>68162</v>
      </c>
      <c r="I658" t="s">
        <v>358</v>
      </c>
      <c r="J658" t="s">
        <v>3290</v>
      </c>
      <c r="K658" t="s">
        <v>3</v>
      </c>
      <c r="L658" s="2">
        <v>43221</v>
      </c>
      <c r="M658" s="2">
        <f>DOCXX[[#This Row],[INV DOC DATE]]+30</f>
        <v>43251</v>
      </c>
      <c r="N658" s="2">
        <v>43252</v>
      </c>
      <c r="O658" s="7">
        <v>232.5</v>
      </c>
      <c r="P658" s="2">
        <v>43262</v>
      </c>
      <c r="Q658" s="7">
        <f>$E658-$O658</f>
        <v>0</v>
      </c>
      <c r="R658" s="7" t="str">
        <f ca="1">IF(TODAY() - DOCXX[INV DUE DATE]&lt;30, "Less than 30 days",IF(TODAY()-DOCXX[INV DUE DATE]&lt;60,"30-60 days","More than 60 days"))</f>
        <v>30-60 days</v>
      </c>
      <c r="S658" t="s">
        <v>818</v>
      </c>
      <c r="T658" s="43" t="s">
        <v>2229</v>
      </c>
      <c r="U658" s="7" t="s">
        <v>3699</v>
      </c>
    </row>
    <row r="659" spans="1:21" x14ac:dyDescent="0.3">
      <c r="A659" s="14" t="s">
        <v>3160</v>
      </c>
      <c r="B659" t="s">
        <v>118</v>
      </c>
      <c r="C659" t="s">
        <v>142</v>
      </c>
      <c r="D659">
        <v>1</v>
      </c>
      <c r="E659" s="7">
        <v>232.5</v>
      </c>
      <c r="H659">
        <v>68162</v>
      </c>
      <c r="I659" t="s">
        <v>358</v>
      </c>
      <c r="J659" t="s">
        <v>3291</v>
      </c>
      <c r="K659" t="s">
        <v>3</v>
      </c>
      <c r="L659" s="2">
        <v>43221</v>
      </c>
      <c r="M659" s="2">
        <f>DOCXX[[#This Row],[INV DOC DATE]]+30</f>
        <v>43251</v>
      </c>
      <c r="N659" s="2">
        <v>43252</v>
      </c>
      <c r="O659" s="7">
        <v>232.5</v>
      </c>
      <c r="P659" s="2">
        <v>43262</v>
      </c>
      <c r="Q659" s="7">
        <f>$E659-$O659</f>
        <v>0</v>
      </c>
      <c r="R659" s="7" t="str">
        <f ca="1">IF(TODAY() - DOCXX[INV DUE DATE]&lt;30, "Less than 30 days",IF(TODAY()-DOCXX[INV DUE DATE]&lt;60,"30-60 days","More than 60 days"))</f>
        <v>30-60 days</v>
      </c>
      <c r="S659" t="s">
        <v>818</v>
      </c>
      <c r="T659" s="43" t="s">
        <v>2229</v>
      </c>
      <c r="U659" s="7" t="s">
        <v>3699</v>
      </c>
    </row>
    <row r="660" spans="1:21" x14ac:dyDescent="0.3">
      <c r="A660" s="14" t="s">
        <v>3160</v>
      </c>
      <c r="B660" t="s">
        <v>118</v>
      </c>
      <c r="C660" t="s">
        <v>143</v>
      </c>
      <c r="D660">
        <v>1</v>
      </c>
      <c r="E660" s="7">
        <v>232.5</v>
      </c>
      <c r="H660">
        <v>68162</v>
      </c>
      <c r="I660" t="s">
        <v>358</v>
      </c>
      <c r="J660" t="s">
        <v>3292</v>
      </c>
      <c r="K660" t="s">
        <v>3</v>
      </c>
      <c r="L660" s="2">
        <v>43221</v>
      </c>
      <c r="M660" s="2">
        <f>DOCXX[[#This Row],[INV DOC DATE]]+30</f>
        <v>43251</v>
      </c>
      <c r="N660" s="2">
        <v>43252</v>
      </c>
      <c r="O660" s="7">
        <v>232.5</v>
      </c>
      <c r="P660" s="2">
        <v>43262</v>
      </c>
      <c r="Q660" s="7">
        <f>$E660-$O660</f>
        <v>0</v>
      </c>
      <c r="R660" s="7" t="str">
        <f ca="1">IF(TODAY() - DOCXX[INV DUE DATE]&lt;30, "Less than 30 days",IF(TODAY()-DOCXX[INV DUE DATE]&lt;60,"30-60 days","More than 60 days"))</f>
        <v>30-60 days</v>
      </c>
      <c r="S660" t="s">
        <v>818</v>
      </c>
      <c r="T660" s="43" t="s">
        <v>2229</v>
      </c>
      <c r="U660" s="7" t="s">
        <v>3699</v>
      </c>
    </row>
    <row r="661" spans="1:21" x14ac:dyDescent="0.3">
      <c r="A661" s="14" t="s">
        <v>3160</v>
      </c>
      <c r="B661" t="s">
        <v>118</v>
      </c>
      <c r="C661" t="s">
        <v>144</v>
      </c>
      <c r="D661">
        <v>1</v>
      </c>
      <c r="E661" s="7">
        <v>232.5</v>
      </c>
      <c r="H661">
        <v>68162</v>
      </c>
      <c r="I661" t="s">
        <v>358</v>
      </c>
      <c r="J661" t="s">
        <v>3293</v>
      </c>
      <c r="K661" t="s">
        <v>3</v>
      </c>
      <c r="L661" s="2">
        <v>43221</v>
      </c>
      <c r="M661" s="2">
        <f>DOCXX[[#This Row],[INV DOC DATE]]+30</f>
        <v>43251</v>
      </c>
      <c r="N661" s="2">
        <v>43252</v>
      </c>
      <c r="O661" s="7">
        <v>232.5</v>
      </c>
      <c r="P661" s="2">
        <v>43262</v>
      </c>
      <c r="Q661" s="7">
        <f>$E661-$O661</f>
        <v>0</v>
      </c>
      <c r="R661" s="7" t="str">
        <f ca="1">IF(TODAY() - DOCXX[INV DUE DATE]&lt;30, "Less than 30 days",IF(TODAY()-DOCXX[INV DUE DATE]&lt;60,"30-60 days","More than 60 days"))</f>
        <v>30-60 days</v>
      </c>
      <c r="S661" t="s">
        <v>818</v>
      </c>
      <c r="T661" s="43" t="s">
        <v>2229</v>
      </c>
      <c r="U661" s="7" t="s">
        <v>3699</v>
      </c>
    </row>
    <row r="662" spans="1:21" x14ac:dyDescent="0.3">
      <c r="A662" s="14" t="s">
        <v>3160</v>
      </c>
      <c r="B662" t="s">
        <v>118</v>
      </c>
      <c r="C662" t="s">
        <v>145</v>
      </c>
      <c r="D662">
        <v>1</v>
      </c>
      <c r="E662" s="7">
        <v>178.25</v>
      </c>
      <c r="H662">
        <v>68162</v>
      </c>
      <c r="I662" t="s">
        <v>358</v>
      </c>
      <c r="J662" t="s">
        <v>3294</v>
      </c>
      <c r="K662" t="s">
        <v>3</v>
      </c>
      <c r="L662" s="2">
        <v>43221</v>
      </c>
      <c r="M662" s="2">
        <f>DOCXX[[#This Row],[INV DOC DATE]]+30</f>
        <v>43251</v>
      </c>
      <c r="N662" s="2">
        <v>43252</v>
      </c>
      <c r="O662" s="7">
        <v>178.25</v>
      </c>
      <c r="P662" s="2">
        <v>43262</v>
      </c>
      <c r="Q662" s="7">
        <f>$E662-$O662</f>
        <v>0</v>
      </c>
      <c r="R662" s="7" t="str">
        <f ca="1">IF(TODAY() - DOCXX[INV DUE DATE]&lt;30, "Less than 30 days",IF(TODAY()-DOCXX[INV DUE DATE]&lt;60,"30-60 days","More than 60 days"))</f>
        <v>30-60 days</v>
      </c>
      <c r="S662" t="s">
        <v>818</v>
      </c>
      <c r="T662" s="43" t="s">
        <v>2229</v>
      </c>
      <c r="U662" s="7" t="s">
        <v>3699</v>
      </c>
    </row>
    <row r="663" spans="1:21" x14ac:dyDescent="0.3">
      <c r="A663" s="14" t="s">
        <v>3160</v>
      </c>
      <c r="B663" t="s">
        <v>118</v>
      </c>
      <c r="C663" t="s">
        <v>146</v>
      </c>
      <c r="D663">
        <v>1</v>
      </c>
      <c r="E663" s="7">
        <v>178.25</v>
      </c>
      <c r="H663">
        <v>75797</v>
      </c>
      <c r="I663" t="s">
        <v>359</v>
      </c>
      <c r="J663" t="s">
        <v>3295</v>
      </c>
      <c r="K663" t="s">
        <v>3</v>
      </c>
      <c r="L663" s="2">
        <v>43221</v>
      </c>
      <c r="M663" s="2">
        <f>DOCXX[[#This Row],[INV DOC DATE]]+30</f>
        <v>43251</v>
      </c>
      <c r="N663" s="2">
        <v>43252</v>
      </c>
      <c r="O663" s="7">
        <v>178.25</v>
      </c>
      <c r="P663" s="2">
        <v>43262</v>
      </c>
      <c r="Q663" s="7">
        <f>$E663-$O663</f>
        <v>0</v>
      </c>
      <c r="R663" s="7" t="str">
        <f ca="1">IF(TODAY() - DOCXX[INV DUE DATE]&lt;30, "Less than 30 days",IF(TODAY()-DOCXX[INV DUE DATE]&lt;60,"30-60 days","More than 60 days"))</f>
        <v>30-60 days</v>
      </c>
      <c r="S663" t="s">
        <v>818</v>
      </c>
      <c r="T663" s="43" t="s">
        <v>2229</v>
      </c>
      <c r="U663" s="7" t="s">
        <v>3699</v>
      </c>
    </row>
    <row r="664" spans="1:21" x14ac:dyDescent="0.3">
      <c r="A664" s="14" t="s">
        <v>3160</v>
      </c>
      <c r="B664" t="s">
        <v>118</v>
      </c>
      <c r="C664" t="s">
        <v>147</v>
      </c>
      <c r="D664">
        <v>1</v>
      </c>
      <c r="E664" s="7">
        <v>178.25</v>
      </c>
      <c r="H664">
        <v>75797</v>
      </c>
      <c r="I664" t="s">
        <v>359</v>
      </c>
      <c r="J664" t="s">
        <v>3296</v>
      </c>
      <c r="K664" t="s">
        <v>3</v>
      </c>
      <c r="L664" s="2">
        <v>43221</v>
      </c>
      <c r="M664" s="2">
        <f>DOCXX[[#This Row],[INV DOC DATE]]+30</f>
        <v>43251</v>
      </c>
      <c r="N664" s="2">
        <v>43252</v>
      </c>
      <c r="O664" s="7">
        <v>178.25</v>
      </c>
      <c r="P664" s="2">
        <v>43262</v>
      </c>
      <c r="Q664" s="7">
        <f>$E664-$O664</f>
        <v>0</v>
      </c>
      <c r="R664" s="7" t="str">
        <f ca="1">IF(TODAY() - DOCXX[INV DUE DATE]&lt;30, "Less than 30 days",IF(TODAY()-DOCXX[INV DUE DATE]&lt;60,"30-60 days","More than 60 days"))</f>
        <v>30-60 days</v>
      </c>
      <c r="S664" t="s">
        <v>818</v>
      </c>
      <c r="T664" s="43" t="s">
        <v>2229</v>
      </c>
      <c r="U664" s="7" t="s">
        <v>3699</v>
      </c>
    </row>
    <row r="665" spans="1:21" x14ac:dyDescent="0.3">
      <c r="A665" s="14" t="s">
        <v>3160</v>
      </c>
      <c r="B665" t="s">
        <v>118</v>
      </c>
      <c r="C665" t="s">
        <v>148</v>
      </c>
      <c r="D665">
        <v>1</v>
      </c>
      <c r="E665" s="7">
        <v>178.25</v>
      </c>
      <c r="H665">
        <v>75797</v>
      </c>
      <c r="I665" t="s">
        <v>359</v>
      </c>
      <c r="J665" t="s">
        <v>3297</v>
      </c>
      <c r="K665" t="s">
        <v>3</v>
      </c>
      <c r="L665" s="2">
        <v>43221</v>
      </c>
      <c r="M665" s="2">
        <f>DOCXX[[#This Row],[INV DOC DATE]]+30</f>
        <v>43251</v>
      </c>
      <c r="N665" s="2">
        <v>43252</v>
      </c>
      <c r="O665" s="7">
        <v>178.25</v>
      </c>
      <c r="P665" s="2">
        <v>43262</v>
      </c>
      <c r="Q665" s="7">
        <f>$E665-$O665</f>
        <v>0</v>
      </c>
      <c r="R665" s="7" t="str">
        <f ca="1">IF(TODAY() - DOCXX[INV DUE DATE]&lt;30, "Less than 30 days",IF(TODAY()-DOCXX[INV DUE DATE]&lt;60,"30-60 days","More than 60 days"))</f>
        <v>30-60 days</v>
      </c>
      <c r="S665" t="s">
        <v>818</v>
      </c>
      <c r="T665" s="43" t="s">
        <v>2229</v>
      </c>
      <c r="U665" s="7" t="s">
        <v>3699</v>
      </c>
    </row>
    <row r="666" spans="1:21" x14ac:dyDescent="0.3">
      <c r="A666" s="14" t="s">
        <v>3160</v>
      </c>
      <c r="B666" t="s">
        <v>118</v>
      </c>
      <c r="C666" t="s">
        <v>149</v>
      </c>
      <c r="D666">
        <v>1</v>
      </c>
      <c r="E666" s="7">
        <v>178.25</v>
      </c>
      <c r="H666">
        <v>75797</v>
      </c>
      <c r="I666" t="s">
        <v>359</v>
      </c>
      <c r="J666" t="s">
        <v>3298</v>
      </c>
      <c r="K666" t="s">
        <v>3</v>
      </c>
      <c r="L666" s="2">
        <v>43221</v>
      </c>
      <c r="M666" s="2">
        <f>DOCXX[[#This Row],[INV DOC DATE]]+30</f>
        <v>43251</v>
      </c>
      <c r="N666" s="2">
        <v>43252</v>
      </c>
      <c r="O666" s="7">
        <v>178.25</v>
      </c>
      <c r="P666" s="2">
        <v>43262</v>
      </c>
      <c r="Q666" s="7">
        <f>$E666-$O666</f>
        <v>0</v>
      </c>
      <c r="R666" s="7" t="str">
        <f ca="1">IF(TODAY() - DOCXX[INV DUE DATE]&lt;30, "Less than 30 days",IF(TODAY()-DOCXX[INV DUE DATE]&lt;60,"30-60 days","More than 60 days"))</f>
        <v>30-60 days</v>
      </c>
      <c r="S666" t="s">
        <v>818</v>
      </c>
      <c r="T666" s="43" t="s">
        <v>2229</v>
      </c>
      <c r="U666" s="7" t="s">
        <v>3699</v>
      </c>
    </row>
    <row r="667" spans="1:21" x14ac:dyDescent="0.3">
      <c r="A667" s="14" t="s">
        <v>3160</v>
      </c>
      <c r="B667" t="s">
        <v>118</v>
      </c>
      <c r="C667" t="s">
        <v>150</v>
      </c>
      <c r="D667">
        <v>1</v>
      </c>
      <c r="E667" s="7">
        <v>178.25</v>
      </c>
      <c r="H667">
        <v>75797</v>
      </c>
      <c r="I667" t="s">
        <v>359</v>
      </c>
      <c r="J667" t="s">
        <v>3299</v>
      </c>
      <c r="K667" t="s">
        <v>3</v>
      </c>
      <c r="L667" s="2">
        <v>43221</v>
      </c>
      <c r="M667" s="2">
        <f>DOCXX[[#This Row],[INV DOC DATE]]+30</f>
        <v>43251</v>
      </c>
      <c r="N667" s="2">
        <v>43252</v>
      </c>
      <c r="O667" s="7">
        <v>178.25</v>
      </c>
      <c r="P667" s="2">
        <v>43262</v>
      </c>
      <c r="Q667" s="7">
        <f>$E667-$O667</f>
        <v>0</v>
      </c>
      <c r="R667" s="7" t="str">
        <f ca="1">IF(TODAY() - DOCXX[INV DUE DATE]&lt;30, "Less than 30 days",IF(TODAY()-DOCXX[INV DUE DATE]&lt;60,"30-60 days","More than 60 days"))</f>
        <v>30-60 days</v>
      </c>
      <c r="S667" t="s">
        <v>818</v>
      </c>
      <c r="T667" s="43" t="s">
        <v>2229</v>
      </c>
      <c r="U667" s="7" t="s">
        <v>3699</v>
      </c>
    </row>
    <row r="668" spans="1:21" x14ac:dyDescent="0.3">
      <c r="A668" s="14" t="s">
        <v>3160</v>
      </c>
      <c r="B668" t="s">
        <v>118</v>
      </c>
      <c r="C668" t="s">
        <v>151</v>
      </c>
      <c r="D668">
        <v>1</v>
      </c>
      <c r="E668" s="7">
        <v>178.25</v>
      </c>
      <c r="H668">
        <v>75797</v>
      </c>
      <c r="I668" t="s">
        <v>359</v>
      </c>
      <c r="J668" t="s">
        <v>3300</v>
      </c>
      <c r="K668" t="s">
        <v>3</v>
      </c>
      <c r="L668" s="2">
        <v>43221</v>
      </c>
      <c r="M668" s="2">
        <f>DOCXX[[#This Row],[INV DOC DATE]]+30</f>
        <v>43251</v>
      </c>
      <c r="N668" s="2">
        <v>43252</v>
      </c>
      <c r="O668" s="7">
        <v>178.25</v>
      </c>
      <c r="P668" s="2">
        <v>43262</v>
      </c>
      <c r="Q668" s="7">
        <f>$E668-$O668</f>
        <v>0</v>
      </c>
      <c r="R668" s="7" t="str">
        <f ca="1">IF(TODAY() - DOCXX[INV DUE DATE]&lt;30, "Less than 30 days",IF(TODAY()-DOCXX[INV DUE DATE]&lt;60,"30-60 days","More than 60 days"))</f>
        <v>30-60 days</v>
      </c>
      <c r="S668" t="s">
        <v>818</v>
      </c>
      <c r="T668" s="43" t="s">
        <v>2229</v>
      </c>
      <c r="U668" s="7" t="s">
        <v>3699</v>
      </c>
    </row>
    <row r="669" spans="1:21" x14ac:dyDescent="0.3">
      <c r="A669" s="14" t="s">
        <v>3160</v>
      </c>
      <c r="B669" t="s">
        <v>118</v>
      </c>
      <c r="C669" t="s">
        <v>152</v>
      </c>
      <c r="D669">
        <v>1</v>
      </c>
      <c r="E669" s="7">
        <v>178.25</v>
      </c>
      <c r="H669">
        <v>75797</v>
      </c>
      <c r="I669" t="s">
        <v>359</v>
      </c>
      <c r="J669" t="s">
        <v>3301</v>
      </c>
      <c r="K669" t="s">
        <v>3</v>
      </c>
      <c r="L669" s="2">
        <v>43221</v>
      </c>
      <c r="M669" s="2">
        <f>DOCXX[[#This Row],[INV DOC DATE]]+30</f>
        <v>43251</v>
      </c>
      <c r="N669" s="2">
        <v>43252</v>
      </c>
      <c r="O669" s="7">
        <v>178.25</v>
      </c>
      <c r="P669" s="2">
        <v>43262</v>
      </c>
      <c r="Q669" s="7">
        <f>$E669-$O669</f>
        <v>0</v>
      </c>
      <c r="R669" s="7" t="str">
        <f ca="1">IF(TODAY() - DOCXX[INV DUE DATE]&lt;30, "Less than 30 days",IF(TODAY()-DOCXX[INV DUE DATE]&lt;60,"30-60 days","More than 60 days"))</f>
        <v>30-60 days</v>
      </c>
      <c r="S669" t="s">
        <v>818</v>
      </c>
      <c r="T669" s="43" t="s">
        <v>2229</v>
      </c>
      <c r="U669" s="7" t="s">
        <v>3699</v>
      </c>
    </row>
    <row r="670" spans="1:21" x14ac:dyDescent="0.3">
      <c r="A670" s="14" t="s">
        <v>3160</v>
      </c>
      <c r="B670" t="s">
        <v>118</v>
      </c>
      <c r="C670" t="s">
        <v>296</v>
      </c>
      <c r="D670">
        <v>1</v>
      </c>
      <c r="E670" s="7">
        <v>178.25</v>
      </c>
      <c r="H670">
        <v>75797</v>
      </c>
      <c r="I670" t="s">
        <v>359</v>
      </c>
      <c r="J670" t="s">
        <v>3302</v>
      </c>
      <c r="K670" t="s">
        <v>3</v>
      </c>
      <c r="L670" s="2">
        <v>43221</v>
      </c>
      <c r="M670" s="2">
        <f>DOCXX[[#This Row],[INV DOC DATE]]+30</f>
        <v>43251</v>
      </c>
      <c r="N670" s="2">
        <v>43252</v>
      </c>
      <c r="O670" s="7">
        <v>178.25</v>
      </c>
      <c r="P670" s="2">
        <v>43262</v>
      </c>
      <c r="Q670" s="7">
        <f>$E670-$O670</f>
        <v>0</v>
      </c>
      <c r="R670" s="7" t="str">
        <f ca="1">IF(TODAY() - DOCXX[INV DUE DATE]&lt;30, "Less than 30 days",IF(TODAY()-DOCXX[INV DUE DATE]&lt;60,"30-60 days","More than 60 days"))</f>
        <v>30-60 days</v>
      </c>
      <c r="S670" t="s">
        <v>818</v>
      </c>
      <c r="T670" s="43" t="s">
        <v>2229</v>
      </c>
      <c r="U670" s="7" t="s">
        <v>3699</v>
      </c>
    </row>
    <row r="671" spans="1:21" x14ac:dyDescent="0.3">
      <c r="A671" s="14" t="s">
        <v>3160</v>
      </c>
      <c r="B671" t="s">
        <v>118</v>
      </c>
      <c r="C671" t="s">
        <v>297</v>
      </c>
      <c r="D671">
        <v>1</v>
      </c>
      <c r="E671" s="7">
        <v>178.25</v>
      </c>
      <c r="H671">
        <v>75797</v>
      </c>
      <c r="I671" t="s">
        <v>359</v>
      </c>
      <c r="J671" t="s">
        <v>3303</v>
      </c>
      <c r="K671" t="s">
        <v>3</v>
      </c>
      <c r="L671" s="2">
        <v>43221</v>
      </c>
      <c r="M671" s="2">
        <f>DOCXX[[#This Row],[INV DOC DATE]]+30</f>
        <v>43251</v>
      </c>
      <c r="N671" s="2">
        <v>43252</v>
      </c>
      <c r="O671" s="7">
        <v>178.25</v>
      </c>
      <c r="P671" s="2">
        <v>43262</v>
      </c>
      <c r="Q671" s="7">
        <f>$E671-$O671</f>
        <v>0</v>
      </c>
      <c r="R671" s="7" t="str">
        <f ca="1">IF(TODAY() - DOCXX[INV DUE DATE]&lt;30, "Less than 30 days",IF(TODAY()-DOCXX[INV DUE DATE]&lt;60,"30-60 days","More than 60 days"))</f>
        <v>30-60 days</v>
      </c>
      <c r="S671" t="s">
        <v>818</v>
      </c>
      <c r="T671" s="43" t="s">
        <v>2229</v>
      </c>
      <c r="U671" s="7" t="s">
        <v>3699</v>
      </c>
    </row>
    <row r="672" spans="1:21" x14ac:dyDescent="0.3">
      <c r="A672" s="14" t="s">
        <v>3160</v>
      </c>
      <c r="B672" t="s">
        <v>118</v>
      </c>
      <c r="C672" t="s">
        <v>298</v>
      </c>
      <c r="D672">
        <v>1</v>
      </c>
      <c r="E672" s="7">
        <v>178.25</v>
      </c>
      <c r="H672">
        <v>75797</v>
      </c>
      <c r="I672" t="s">
        <v>359</v>
      </c>
      <c r="J672" t="s">
        <v>3304</v>
      </c>
      <c r="K672" t="s">
        <v>3</v>
      </c>
      <c r="L672" s="2">
        <v>43221</v>
      </c>
      <c r="M672" s="2">
        <f>DOCXX[[#This Row],[INV DOC DATE]]+30</f>
        <v>43251</v>
      </c>
      <c r="N672" s="2">
        <v>43252</v>
      </c>
      <c r="O672" s="7">
        <v>178.25</v>
      </c>
      <c r="P672" s="2">
        <v>43262</v>
      </c>
      <c r="Q672" s="7">
        <f>$E672-$O672</f>
        <v>0</v>
      </c>
      <c r="R672" s="7" t="str">
        <f ca="1">IF(TODAY() - DOCXX[INV DUE DATE]&lt;30, "Less than 30 days",IF(TODAY()-DOCXX[INV DUE DATE]&lt;60,"30-60 days","More than 60 days"))</f>
        <v>30-60 days</v>
      </c>
      <c r="S672" t="s">
        <v>818</v>
      </c>
      <c r="T672" s="43" t="s">
        <v>2229</v>
      </c>
      <c r="U672" s="7" t="s">
        <v>3699</v>
      </c>
    </row>
    <row r="673" spans="1:21" x14ac:dyDescent="0.3">
      <c r="A673" s="14" t="s">
        <v>3160</v>
      </c>
      <c r="B673" t="s">
        <v>118</v>
      </c>
      <c r="C673" t="s">
        <v>299</v>
      </c>
      <c r="D673">
        <v>1</v>
      </c>
      <c r="E673" s="7">
        <v>178.25</v>
      </c>
      <c r="H673">
        <v>75797</v>
      </c>
      <c r="I673" t="s">
        <v>359</v>
      </c>
      <c r="J673" t="s">
        <v>3305</v>
      </c>
      <c r="K673" t="s">
        <v>3</v>
      </c>
      <c r="L673" s="2">
        <v>43221</v>
      </c>
      <c r="M673" s="2">
        <f>DOCXX[[#This Row],[INV DOC DATE]]+30</f>
        <v>43251</v>
      </c>
      <c r="N673" s="2">
        <v>43252</v>
      </c>
      <c r="O673" s="7">
        <v>178.25</v>
      </c>
      <c r="P673" s="2">
        <v>43262</v>
      </c>
      <c r="Q673" s="7">
        <f>$E673-$O673</f>
        <v>0</v>
      </c>
      <c r="R673" s="7" t="str">
        <f ca="1">IF(TODAY() - DOCXX[INV DUE DATE]&lt;30, "Less than 30 days",IF(TODAY()-DOCXX[INV DUE DATE]&lt;60,"30-60 days","More than 60 days"))</f>
        <v>30-60 days</v>
      </c>
      <c r="S673" t="s">
        <v>818</v>
      </c>
      <c r="T673" s="43" t="s">
        <v>2229</v>
      </c>
      <c r="U673" s="7" t="s">
        <v>3699</v>
      </c>
    </row>
    <row r="674" spans="1:21" x14ac:dyDescent="0.3">
      <c r="A674" s="14" t="s">
        <v>3160</v>
      </c>
      <c r="B674" t="s">
        <v>118</v>
      </c>
      <c r="C674" t="s">
        <v>300</v>
      </c>
      <c r="D674">
        <v>1</v>
      </c>
      <c r="E674" s="7">
        <v>178.25</v>
      </c>
      <c r="H674">
        <v>75797</v>
      </c>
      <c r="I674" t="s">
        <v>359</v>
      </c>
      <c r="J674" t="s">
        <v>3306</v>
      </c>
      <c r="K674" t="s">
        <v>3</v>
      </c>
      <c r="L674" s="2">
        <v>43221</v>
      </c>
      <c r="M674" s="2">
        <f>DOCXX[[#This Row],[INV DOC DATE]]+30</f>
        <v>43251</v>
      </c>
      <c r="N674" s="2">
        <v>43252</v>
      </c>
      <c r="O674" s="7">
        <v>178.25</v>
      </c>
      <c r="P674" s="2">
        <v>43262</v>
      </c>
      <c r="Q674" s="7">
        <f>$E674-$O674</f>
        <v>0</v>
      </c>
      <c r="R674" s="7" t="str">
        <f ca="1">IF(TODAY() - DOCXX[INV DUE DATE]&lt;30, "Less than 30 days",IF(TODAY()-DOCXX[INV DUE DATE]&lt;60,"30-60 days","More than 60 days"))</f>
        <v>30-60 days</v>
      </c>
      <c r="S674" t="s">
        <v>818</v>
      </c>
      <c r="T674" s="43" t="s">
        <v>2229</v>
      </c>
      <c r="U674" s="7" t="s">
        <v>3699</v>
      </c>
    </row>
    <row r="675" spans="1:21" x14ac:dyDescent="0.3">
      <c r="A675" s="14" t="s">
        <v>3160</v>
      </c>
      <c r="B675" t="s">
        <v>118</v>
      </c>
      <c r="C675" t="s">
        <v>301</v>
      </c>
      <c r="D675">
        <v>1</v>
      </c>
      <c r="E675" s="7">
        <v>178.25</v>
      </c>
      <c r="H675">
        <v>75797</v>
      </c>
      <c r="I675" t="s">
        <v>359</v>
      </c>
      <c r="J675" t="s">
        <v>3307</v>
      </c>
      <c r="K675" t="s">
        <v>3</v>
      </c>
      <c r="L675" s="2">
        <v>43221</v>
      </c>
      <c r="M675" s="2">
        <f>DOCXX[[#This Row],[INV DOC DATE]]+30</f>
        <v>43251</v>
      </c>
      <c r="N675" s="2">
        <v>43252</v>
      </c>
      <c r="O675" s="7">
        <v>178.25</v>
      </c>
      <c r="P675" s="2">
        <v>43262</v>
      </c>
      <c r="Q675" s="7">
        <f>$E675-$O675</f>
        <v>0</v>
      </c>
      <c r="R675" s="7" t="str">
        <f ca="1">IF(TODAY() - DOCXX[INV DUE DATE]&lt;30, "Less than 30 days",IF(TODAY()-DOCXX[INV DUE DATE]&lt;60,"30-60 days","More than 60 days"))</f>
        <v>30-60 days</v>
      </c>
      <c r="S675" t="s">
        <v>818</v>
      </c>
      <c r="T675" s="43" t="s">
        <v>2229</v>
      </c>
      <c r="U675" s="7" t="s">
        <v>3699</v>
      </c>
    </row>
    <row r="676" spans="1:21" x14ac:dyDescent="0.3">
      <c r="A676" s="14" t="s">
        <v>3160</v>
      </c>
      <c r="B676" t="s">
        <v>118</v>
      </c>
      <c r="C676" t="s">
        <v>302</v>
      </c>
      <c r="D676">
        <v>1</v>
      </c>
      <c r="E676" s="7">
        <v>178.25</v>
      </c>
      <c r="H676">
        <v>75797</v>
      </c>
      <c r="I676" t="s">
        <v>359</v>
      </c>
      <c r="J676" t="s">
        <v>3308</v>
      </c>
      <c r="K676" t="s">
        <v>3</v>
      </c>
      <c r="L676" s="2">
        <v>43221</v>
      </c>
      <c r="M676" s="2">
        <f>DOCXX[[#This Row],[INV DOC DATE]]+30</f>
        <v>43251</v>
      </c>
      <c r="N676" s="2">
        <v>43252</v>
      </c>
      <c r="O676" s="7">
        <v>178.25</v>
      </c>
      <c r="P676" s="2">
        <v>43262</v>
      </c>
      <c r="Q676" s="7">
        <f>$E676-$O676</f>
        <v>0</v>
      </c>
      <c r="R676" s="7" t="str">
        <f ca="1">IF(TODAY() - DOCXX[INV DUE DATE]&lt;30, "Less than 30 days",IF(TODAY()-DOCXX[INV DUE DATE]&lt;60,"30-60 days","More than 60 days"))</f>
        <v>30-60 days</v>
      </c>
      <c r="S676" t="s">
        <v>818</v>
      </c>
      <c r="T676" s="43" t="s">
        <v>2229</v>
      </c>
      <c r="U676" s="7" t="s">
        <v>3699</v>
      </c>
    </row>
    <row r="677" spans="1:21" x14ac:dyDescent="0.3">
      <c r="A677" s="14" t="s">
        <v>3160</v>
      </c>
      <c r="B677" t="s">
        <v>118</v>
      </c>
      <c r="C677" t="s">
        <v>303</v>
      </c>
      <c r="D677">
        <v>1</v>
      </c>
      <c r="E677" s="7">
        <v>178.25</v>
      </c>
      <c r="H677">
        <v>75797</v>
      </c>
      <c r="I677" t="s">
        <v>359</v>
      </c>
      <c r="J677" t="s">
        <v>3309</v>
      </c>
      <c r="K677" t="s">
        <v>3</v>
      </c>
      <c r="L677" s="2">
        <v>43221</v>
      </c>
      <c r="M677" s="2">
        <f>DOCXX[[#This Row],[INV DOC DATE]]+30</f>
        <v>43251</v>
      </c>
      <c r="N677" s="2">
        <v>43252</v>
      </c>
      <c r="O677" s="7">
        <v>178.25</v>
      </c>
      <c r="P677" s="2">
        <v>43262</v>
      </c>
      <c r="Q677" s="7">
        <f>$E677-$O677</f>
        <v>0</v>
      </c>
      <c r="R677" s="7" t="str">
        <f ca="1">IF(TODAY() - DOCXX[INV DUE DATE]&lt;30, "Less than 30 days",IF(TODAY()-DOCXX[INV DUE DATE]&lt;60,"30-60 days","More than 60 days"))</f>
        <v>30-60 days</v>
      </c>
      <c r="S677" t="s">
        <v>818</v>
      </c>
      <c r="T677" s="43" t="s">
        <v>2229</v>
      </c>
      <c r="U677" s="7" t="s">
        <v>3699</v>
      </c>
    </row>
    <row r="678" spans="1:21" x14ac:dyDescent="0.3">
      <c r="A678" s="14" t="s">
        <v>3160</v>
      </c>
      <c r="B678" t="s">
        <v>118</v>
      </c>
      <c r="C678" t="s">
        <v>304</v>
      </c>
      <c r="D678">
        <v>1</v>
      </c>
      <c r="E678" s="7">
        <v>178.25</v>
      </c>
      <c r="H678">
        <v>75797</v>
      </c>
      <c r="I678" t="s">
        <v>359</v>
      </c>
      <c r="J678" t="s">
        <v>3310</v>
      </c>
      <c r="K678" t="s">
        <v>3</v>
      </c>
      <c r="L678" s="2">
        <v>43221</v>
      </c>
      <c r="M678" s="2">
        <f>DOCXX[[#This Row],[INV DOC DATE]]+30</f>
        <v>43251</v>
      </c>
      <c r="N678" s="2">
        <v>43252</v>
      </c>
      <c r="O678" s="7">
        <v>178.25</v>
      </c>
      <c r="P678" s="2">
        <v>43262</v>
      </c>
      <c r="Q678" s="7">
        <f>$E678-$O678</f>
        <v>0</v>
      </c>
      <c r="R678" s="7" t="str">
        <f ca="1">IF(TODAY() - DOCXX[INV DUE DATE]&lt;30, "Less than 30 days",IF(TODAY()-DOCXX[INV DUE DATE]&lt;60,"30-60 days","More than 60 days"))</f>
        <v>30-60 days</v>
      </c>
      <c r="S678" t="s">
        <v>818</v>
      </c>
      <c r="T678" s="43" t="s">
        <v>2229</v>
      </c>
      <c r="U678" s="7" t="s">
        <v>3699</v>
      </c>
    </row>
    <row r="679" spans="1:21" x14ac:dyDescent="0.3">
      <c r="A679" s="14" t="s">
        <v>3160</v>
      </c>
      <c r="B679" t="s">
        <v>118</v>
      </c>
      <c r="C679" t="s">
        <v>305</v>
      </c>
      <c r="D679">
        <v>1</v>
      </c>
      <c r="E679" s="7">
        <v>178.25</v>
      </c>
      <c r="H679">
        <v>75797</v>
      </c>
      <c r="I679" t="s">
        <v>359</v>
      </c>
      <c r="J679" t="s">
        <v>3311</v>
      </c>
      <c r="K679" t="s">
        <v>3</v>
      </c>
      <c r="L679" s="2">
        <v>43221</v>
      </c>
      <c r="M679" s="2">
        <f>DOCXX[[#This Row],[INV DOC DATE]]+30</f>
        <v>43251</v>
      </c>
      <c r="N679" s="2">
        <v>43252</v>
      </c>
      <c r="O679" s="7">
        <v>178.25</v>
      </c>
      <c r="P679" s="2">
        <v>43262</v>
      </c>
      <c r="Q679" s="7">
        <f>$E679-$O679</f>
        <v>0</v>
      </c>
      <c r="R679" s="7" t="str">
        <f ca="1">IF(TODAY() - DOCXX[INV DUE DATE]&lt;30, "Less than 30 days",IF(TODAY()-DOCXX[INV DUE DATE]&lt;60,"30-60 days","More than 60 days"))</f>
        <v>30-60 days</v>
      </c>
      <c r="S679" t="s">
        <v>818</v>
      </c>
      <c r="T679" s="43" t="s">
        <v>2229</v>
      </c>
      <c r="U679" s="7" t="s">
        <v>3699</v>
      </c>
    </row>
    <row r="680" spans="1:21" x14ac:dyDescent="0.3">
      <c r="A680" s="14" t="s">
        <v>3160</v>
      </c>
      <c r="B680" t="s">
        <v>118</v>
      </c>
      <c r="C680" t="s">
        <v>306</v>
      </c>
      <c r="D680">
        <v>1</v>
      </c>
      <c r="E680" s="7">
        <v>178.25</v>
      </c>
      <c r="H680">
        <v>75797</v>
      </c>
      <c r="I680" t="s">
        <v>359</v>
      </c>
      <c r="J680" t="s">
        <v>3312</v>
      </c>
      <c r="K680" t="s">
        <v>3</v>
      </c>
      <c r="L680" s="2">
        <v>43221</v>
      </c>
      <c r="M680" s="2">
        <f>DOCXX[[#This Row],[INV DOC DATE]]+30</f>
        <v>43251</v>
      </c>
      <c r="N680" s="2">
        <v>43252</v>
      </c>
      <c r="O680" s="7">
        <v>178.25</v>
      </c>
      <c r="P680" s="2">
        <v>43262</v>
      </c>
      <c r="Q680" s="7">
        <f>$E680-$O680</f>
        <v>0</v>
      </c>
      <c r="R680" s="7" t="str">
        <f ca="1">IF(TODAY() - DOCXX[INV DUE DATE]&lt;30, "Less than 30 days",IF(TODAY()-DOCXX[INV DUE DATE]&lt;60,"30-60 days","More than 60 days"))</f>
        <v>30-60 days</v>
      </c>
      <c r="S680" t="s">
        <v>818</v>
      </c>
      <c r="T680" s="43" t="s">
        <v>2229</v>
      </c>
      <c r="U680" s="7" t="s">
        <v>3699</v>
      </c>
    </row>
    <row r="681" spans="1:21" x14ac:dyDescent="0.3">
      <c r="A681" s="14" t="s">
        <v>3160</v>
      </c>
      <c r="B681" t="s">
        <v>118</v>
      </c>
      <c r="C681" t="s">
        <v>307</v>
      </c>
      <c r="D681">
        <v>1</v>
      </c>
      <c r="E681" s="7">
        <v>178.25</v>
      </c>
      <c r="H681">
        <v>75797</v>
      </c>
      <c r="I681" t="s">
        <v>359</v>
      </c>
      <c r="J681" t="s">
        <v>3313</v>
      </c>
      <c r="K681" t="s">
        <v>3</v>
      </c>
      <c r="L681" s="2">
        <v>43221</v>
      </c>
      <c r="M681" s="2">
        <f>DOCXX[[#This Row],[INV DOC DATE]]+30</f>
        <v>43251</v>
      </c>
      <c r="N681" s="2">
        <v>43252</v>
      </c>
      <c r="O681" s="7">
        <v>178.25</v>
      </c>
      <c r="P681" s="2">
        <v>43262</v>
      </c>
      <c r="Q681" s="7">
        <f>$E681-$O681</f>
        <v>0</v>
      </c>
      <c r="R681" s="7" t="str">
        <f ca="1">IF(TODAY() - DOCXX[INV DUE DATE]&lt;30, "Less than 30 days",IF(TODAY()-DOCXX[INV DUE DATE]&lt;60,"30-60 days","More than 60 days"))</f>
        <v>30-60 days</v>
      </c>
      <c r="S681" t="s">
        <v>818</v>
      </c>
      <c r="T681" s="43" t="s">
        <v>2229</v>
      </c>
      <c r="U681" s="7" t="s">
        <v>3699</v>
      </c>
    </row>
    <row r="682" spans="1:21" x14ac:dyDescent="0.3">
      <c r="A682" s="14" t="s">
        <v>3160</v>
      </c>
      <c r="B682" t="s">
        <v>118</v>
      </c>
      <c r="C682" t="s">
        <v>308</v>
      </c>
      <c r="D682">
        <v>1</v>
      </c>
      <c r="E682" s="7">
        <v>178.25</v>
      </c>
      <c r="H682">
        <v>75797</v>
      </c>
      <c r="I682" t="s">
        <v>359</v>
      </c>
      <c r="J682" t="s">
        <v>3314</v>
      </c>
      <c r="K682" t="s">
        <v>3</v>
      </c>
      <c r="L682" s="2">
        <v>43221</v>
      </c>
      <c r="M682" s="2">
        <f>DOCXX[[#This Row],[INV DOC DATE]]+30</f>
        <v>43251</v>
      </c>
      <c r="N682" s="2">
        <v>43252</v>
      </c>
      <c r="O682" s="7">
        <v>178.25</v>
      </c>
      <c r="P682" s="2">
        <v>43262</v>
      </c>
      <c r="Q682" s="7">
        <f>$E682-$O682</f>
        <v>0</v>
      </c>
      <c r="R682" s="7" t="str">
        <f ca="1">IF(TODAY() - DOCXX[INV DUE DATE]&lt;30, "Less than 30 days",IF(TODAY()-DOCXX[INV DUE DATE]&lt;60,"30-60 days","More than 60 days"))</f>
        <v>30-60 days</v>
      </c>
      <c r="S682" t="s">
        <v>818</v>
      </c>
      <c r="T682" s="43" t="s">
        <v>2229</v>
      </c>
      <c r="U682" s="7" t="s">
        <v>3699</v>
      </c>
    </row>
    <row r="683" spans="1:21" x14ac:dyDescent="0.3">
      <c r="A683" s="14" t="s">
        <v>3160</v>
      </c>
      <c r="B683" t="s">
        <v>118</v>
      </c>
      <c r="C683" t="s">
        <v>309</v>
      </c>
      <c r="D683">
        <v>1</v>
      </c>
      <c r="E683" s="7">
        <v>178.25</v>
      </c>
      <c r="H683">
        <v>77559</v>
      </c>
      <c r="I683" t="s">
        <v>349</v>
      </c>
      <c r="J683" t="s">
        <v>3315</v>
      </c>
      <c r="K683" t="s">
        <v>3</v>
      </c>
      <c r="L683" s="2">
        <v>43221</v>
      </c>
      <c r="M683" s="2">
        <f>DOCXX[[#This Row],[INV DOC DATE]]+30</f>
        <v>43251</v>
      </c>
      <c r="N683" s="2">
        <v>43252</v>
      </c>
      <c r="O683" s="7">
        <v>178.25</v>
      </c>
      <c r="P683" s="2">
        <v>43262</v>
      </c>
      <c r="Q683" s="7">
        <f>$E683-$O683</f>
        <v>0</v>
      </c>
      <c r="R683" s="7" t="str">
        <f ca="1">IF(TODAY() - DOCXX[INV DUE DATE]&lt;30, "Less than 30 days",IF(TODAY()-DOCXX[INV DUE DATE]&lt;60,"30-60 days","More than 60 days"))</f>
        <v>30-60 days</v>
      </c>
      <c r="S683" t="s">
        <v>818</v>
      </c>
      <c r="T683" s="43" t="s">
        <v>2229</v>
      </c>
      <c r="U683" s="7" t="s">
        <v>3699</v>
      </c>
    </row>
    <row r="684" spans="1:21" x14ac:dyDescent="0.3">
      <c r="A684" s="14" t="s">
        <v>3160</v>
      </c>
      <c r="B684" t="s">
        <v>118</v>
      </c>
      <c r="C684" t="s">
        <v>310</v>
      </c>
      <c r="D684">
        <v>1</v>
      </c>
      <c r="E684" s="7">
        <v>178.25</v>
      </c>
      <c r="H684">
        <v>91295</v>
      </c>
      <c r="I684" t="s">
        <v>360</v>
      </c>
      <c r="J684" t="s">
        <v>3316</v>
      </c>
      <c r="K684" t="s">
        <v>3</v>
      </c>
      <c r="L684" s="2">
        <v>43221</v>
      </c>
      <c r="M684" s="2">
        <f>DOCXX[[#This Row],[INV DOC DATE]]+30</f>
        <v>43251</v>
      </c>
      <c r="N684" s="2">
        <v>43252</v>
      </c>
      <c r="O684" s="7">
        <v>178.25</v>
      </c>
      <c r="P684" s="2">
        <v>43262</v>
      </c>
      <c r="Q684" s="7">
        <f>$E684-$O684</f>
        <v>0</v>
      </c>
      <c r="R684" s="7" t="str">
        <f ca="1">IF(TODAY() - DOCXX[INV DUE DATE]&lt;30, "Less than 30 days",IF(TODAY()-DOCXX[INV DUE DATE]&lt;60,"30-60 days","More than 60 days"))</f>
        <v>30-60 days</v>
      </c>
      <c r="S684" t="s">
        <v>818</v>
      </c>
      <c r="T684" s="43" t="s">
        <v>2229</v>
      </c>
      <c r="U684" s="7" t="s">
        <v>3699</v>
      </c>
    </row>
    <row r="685" spans="1:21" x14ac:dyDescent="0.3">
      <c r="A685" s="14" t="s">
        <v>3160</v>
      </c>
      <c r="B685" t="s">
        <v>118</v>
      </c>
      <c r="C685" t="s">
        <v>311</v>
      </c>
      <c r="D685">
        <v>1</v>
      </c>
      <c r="E685" s="7">
        <v>178.25</v>
      </c>
      <c r="H685">
        <v>97900</v>
      </c>
      <c r="I685" t="s">
        <v>350</v>
      </c>
      <c r="J685" t="s">
        <v>3317</v>
      </c>
      <c r="K685" t="s">
        <v>3</v>
      </c>
      <c r="L685" s="2">
        <v>43221</v>
      </c>
      <c r="M685" s="2">
        <f>DOCXX[[#This Row],[INV DOC DATE]]+30</f>
        <v>43251</v>
      </c>
      <c r="N685" s="2">
        <v>43252</v>
      </c>
      <c r="O685" s="7">
        <v>178.25</v>
      </c>
      <c r="P685" s="2">
        <v>43262</v>
      </c>
      <c r="Q685" s="7">
        <f>$E685-$O685</f>
        <v>0</v>
      </c>
      <c r="R685" s="7" t="str">
        <f ca="1">IF(TODAY() - DOCXX[INV DUE DATE]&lt;30, "Less than 30 days",IF(TODAY()-DOCXX[INV DUE DATE]&lt;60,"30-60 days","More than 60 days"))</f>
        <v>30-60 days</v>
      </c>
      <c r="S685" t="s">
        <v>818</v>
      </c>
      <c r="T685" s="43" t="s">
        <v>2229</v>
      </c>
      <c r="U685" s="7" t="s">
        <v>3699</v>
      </c>
    </row>
    <row r="686" spans="1:21" x14ac:dyDescent="0.3">
      <c r="A686" s="14" t="s">
        <v>3160</v>
      </c>
      <c r="B686" t="s">
        <v>118</v>
      </c>
      <c r="C686" t="s">
        <v>312</v>
      </c>
      <c r="D686">
        <v>1</v>
      </c>
      <c r="E686" s="7">
        <v>232.5</v>
      </c>
      <c r="H686">
        <v>122967</v>
      </c>
      <c r="I686" t="s">
        <v>349</v>
      </c>
      <c r="J686" t="s">
        <v>3318</v>
      </c>
      <c r="K686" t="s">
        <v>3</v>
      </c>
      <c r="L686" s="2">
        <v>43221</v>
      </c>
      <c r="M686" s="2">
        <f>DOCXX[[#This Row],[INV DOC DATE]]+30</f>
        <v>43251</v>
      </c>
      <c r="N686" s="2">
        <v>43252</v>
      </c>
      <c r="O686" s="7">
        <v>232.5</v>
      </c>
      <c r="P686" s="2">
        <v>43262</v>
      </c>
      <c r="Q686" s="7">
        <f>$E686-$O686</f>
        <v>0</v>
      </c>
      <c r="R686" s="7" t="str">
        <f ca="1">IF(TODAY() - DOCXX[INV DUE DATE]&lt;30, "Less than 30 days",IF(TODAY()-DOCXX[INV DUE DATE]&lt;60,"30-60 days","More than 60 days"))</f>
        <v>30-60 days</v>
      </c>
      <c r="S686" t="s">
        <v>818</v>
      </c>
      <c r="T686" s="43" t="s">
        <v>2229</v>
      </c>
      <c r="U686" s="7" t="s">
        <v>3699</v>
      </c>
    </row>
    <row r="687" spans="1:21" x14ac:dyDescent="0.3">
      <c r="A687" s="14" t="s">
        <v>3160</v>
      </c>
      <c r="B687" t="s">
        <v>118</v>
      </c>
      <c r="C687" t="s">
        <v>313</v>
      </c>
      <c r="D687">
        <v>1</v>
      </c>
      <c r="E687" s="7">
        <v>232.5</v>
      </c>
      <c r="H687">
        <v>122967</v>
      </c>
      <c r="I687" t="s">
        <v>349</v>
      </c>
      <c r="J687" t="s">
        <v>3319</v>
      </c>
      <c r="K687" t="s">
        <v>3</v>
      </c>
      <c r="L687" s="2">
        <v>43221</v>
      </c>
      <c r="M687" s="2">
        <f>DOCXX[[#This Row],[INV DOC DATE]]+30</f>
        <v>43251</v>
      </c>
      <c r="N687" s="2">
        <v>43252</v>
      </c>
      <c r="O687" s="7">
        <v>232.5</v>
      </c>
      <c r="P687" s="2">
        <v>43262</v>
      </c>
      <c r="Q687" s="7">
        <f>$E687-$O687</f>
        <v>0</v>
      </c>
      <c r="R687" s="7" t="str">
        <f ca="1">IF(TODAY() - DOCXX[INV DUE DATE]&lt;30, "Less than 30 days",IF(TODAY()-DOCXX[INV DUE DATE]&lt;60,"30-60 days","More than 60 days"))</f>
        <v>30-60 days</v>
      </c>
      <c r="S687" t="s">
        <v>818</v>
      </c>
      <c r="T687" s="43" t="s">
        <v>2229</v>
      </c>
      <c r="U687" s="7" t="s">
        <v>3699</v>
      </c>
    </row>
    <row r="688" spans="1:21" x14ac:dyDescent="0.3">
      <c r="A688" s="14" t="s">
        <v>3160</v>
      </c>
      <c r="B688" t="s">
        <v>118</v>
      </c>
      <c r="C688" t="s">
        <v>314</v>
      </c>
      <c r="D688">
        <v>1</v>
      </c>
      <c r="E688" s="7">
        <v>232.5</v>
      </c>
      <c r="H688">
        <v>122967</v>
      </c>
      <c r="I688" t="s">
        <v>349</v>
      </c>
      <c r="J688" t="s">
        <v>3320</v>
      </c>
      <c r="K688" t="s">
        <v>3</v>
      </c>
      <c r="L688" s="2">
        <v>43221</v>
      </c>
      <c r="M688" s="2">
        <f>DOCXX[[#This Row],[INV DOC DATE]]+30</f>
        <v>43251</v>
      </c>
      <c r="N688" s="2">
        <v>43252</v>
      </c>
      <c r="O688" s="7">
        <v>232.5</v>
      </c>
      <c r="P688" s="2">
        <v>43262</v>
      </c>
      <c r="Q688" s="7">
        <f>$E688-$O688</f>
        <v>0</v>
      </c>
      <c r="R688" s="7" t="str">
        <f ca="1">IF(TODAY() - DOCXX[INV DUE DATE]&lt;30, "Less than 30 days",IF(TODAY()-DOCXX[INV DUE DATE]&lt;60,"30-60 days","More than 60 days"))</f>
        <v>30-60 days</v>
      </c>
      <c r="S688" t="s">
        <v>818</v>
      </c>
      <c r="T688" s="43" t="s">
        <v>2229</v>
      </c>
      <c r="U688" s="7" t="s">
        <v>3699</v>
      </c>
    </row>
    <row r="689" spans="1:21" x14ac:dyDescent="0.3">
      <c r="A689" s="14" t="s">
        <v>3160</v>
      </c>
      <c r="B689" t="s">
        <v>118</v>
      </c>
      <c r="C689" t="s">
        <v>315</v>
      </c>
      <c r="D689">
        <v>1</v>
      </c>
      <c r="E689" s="7">
        <v>232.5</v>
      </c>
      <c r="H689">
        <v>122967</v>
      </c>
      <c r="I689" t="s">
        <v>349</v>
      </c>
      <c r="J689" t="s">
        <v>3321</v>
      </c>
      <c r="K689" t="s">
        <v>3</v>
      </c>
      <c r="L689" s="2">
        <v>43221</v>
      </c>
      <c r="M689" s="2">
        <f>DOCXX[[#This Row],[INV DOC DATE]]+30</f>
        <v>43251</v>
      </c>
      <c r="N689" s="2">
        <v>43252</v>
      </c>
      <c r="O689" s="7">
        <v>232.5</v>
      </c>
      <c r="P689" s="2">
        <v>43262</v>
      </c>
      <c r="Q689" s="7">
        <f>$E689-$O689</f>
        <v>0</v>
      </c>
      <c r="R689" s="7" t="str">
        <f ca="1">IF(TODAY() - DOCXX[INV DUE DATE]&lt;30, "Less than 30 days",IF(TODAY()-DOCXX[INV DUE DATE]&lt;60,"30-60 days","More than 60 days"))</f>
        <v>30-60 days</v>
      </c>
      <c r="S689" t="s">
        <v>818</v>
      </c>
      <c r="T689" s="43" t="s">
        <v>2229</v>
      </c>
      <c r="U689" s="7" t="s">
        <v>3699</v>
      </c>
    </row>
    <row r="690" spans="1:21" x14ac:dyDescent="0.3">
      <c r="A690" s="14" t="s">
        <v>3160</v>
      </c>
      <c r="B690" t="s">
        <v>118</v>
      </c>
      <c r="C690" t="s">
        <v>316</v>
      </c>
      <c r="D690">
        <v>1</v>
      </c>
      <c r="E690" s="7">
        <v>232.5</v>
      </c>
      <c r="H690">
        <v>122967</v>
      </c>
      <c r="I690" t="s">
        <v>349</v>
      </c>
      <c r="J690" t="s">
        <v>3322</v>
      </c>
      <c r="K690" t="s">
        <v>3</v>
      </c>
      <c r="L690" s="2">
        <v>43221</v>
      </c>
      <c r="M690" s="2">
        <f>DOCXX[[#This Row],[INV DOC DATE]]+30</f>
        <v>43251</v>
      </c>
      <c r="N690" s="2">
        <v>43252</v>
      </c>
      <c r="O690" s="7">
        <v>232.5</v>
      </c>
      <c r="P690" s="2">
        <v>43262</v>
      </c>
      <c r="Q690" s="7">
        <f>$E690-$O690</f>
        <v>0</v>
      </c>
      <c r="R690" s="7" t="str">
        <f ca="1">IF(TODAY() - DOCXX[INV DUE DATE]&lt;30, "Less than 30 days",IF(TODAY()-DOCXX[INV DUE DATE]&lt;60,"30-60 days","More than 60 days"))</f>
        <v>30-60 days</v>
      </c>
      <c r="S690" t="s">
        <v>818</v>
      </c>
      <c r="T690" s="43" t="s">
        <v>2229</v>
      </c>
      <c r="U690" s="7" t="s">
        <v>3699</v>
      </c>
    </row>
    <row r="691" spans="1:21" x14ac:dyDescent="0.3">
      <c r="A691" s="14" t="s">
        <v>3160</v>
      </c>
      <c r="B691" t="s">
        <v>118</v>
      </c>
      <c r="C691" t="s">
        <v>317</v>
      </c>
      <c r="D691">
        <v>1</v>
      </c>
      <c r="E691" s="7">
        <v>232.5</v>
      </c>
      <c r="H691">
        <v>122967</v>
      </c>
      <c r="I691" t="s">
        <v>349</v>
      </c>
      <c r="J691" t="s">
        <v>3323</v>
      </c>
      <c r="K691" t="s">
        <v>3</v>
      </c>
      <c r="L691" s="2">
        <v>43221</v>
      </c>
      <c r="M691" s="2">
        <f>DOCXX[[#This Row],[INV DOC DATE]]+30</f>
        <v>43251</v>
      </c>
      <c r="N691" s="2">
        <v>43252</v>
      </c>
      <c r="O691" s="7">
        <v>232.5</v>
      </c>
      <c r="P691" s="2">
        <v>43262</v>
      </c>
      <c r="Q691" s="7">
        <f>$E691-$O691</f>
        <v>0</v>
      </c>
      <c r="R691" s="7" t="str">
        <f ca="1">IF(TODAY() - DOCXX[INV DUE DATE]&lt;30, "Less than 30 days",IF(TODAY()-DOCXX[INV DUE DATE]&lt;60,"30-60 days","More than 60 days"))</f>
        <v>30-60 days</v>
      </c>
      <c r="S691" t="s">
        <v>818</v>
      </c>
      <c r="T691" s="43" t="s">
        <v>2229</v>
      </c>
      <c r="U691" s="7" t="s">
        <v>3699</v>
      </c>
    </row>
    <row r="692" spans="1:21" x14ac:dyDescent="0.3">
      <c r="A692" s="14" t="s">
        <v>3160</v>
      </c>
      <c r="B692" t="s">
        <v>118</v>
      </c>
      <c r="C692" t="s">
        <v>318</v>
      </c>
      <c r="D692">
        <v>1</v>
      </c>
      <c r="E692" s="7">
        <v>178.25</v>
      </c>
      <c r="H692">
        <v>122967</v>
      </c>
      <c r="I692" t="s">
        <v>349</v>
      </c>
      <c r="J692" t="s">
        <v>3324</v>
      </c>
      <c r="K692" t="s">
        <v>3</v>
      </c>
      <c r="L692" s="2">
        <v>43221</v>
      </c>
      <c r="M692" s="2">
        <f>DOCXX[[#This Row],[INV DOC DATE]]+30</f>
        <v>43251</v>
      </c>
      <c r="N692" s="2">
        <v>43252</v>
      </c>
      <c r="O692" s="7">
        <v>178.25</v>
      </c>
      <c r="P692" s="2">
        <v>43262</v>
      </c>
      <c r="Q692" s="7">
        <f>$E692-$O692</f>
        <v>0</v>
      </c>
      <c r="R692" s="7" t="str">
        <f ca="1">IF(TODAY() - DOCXX[INV DUE DATE]&lt;30, "Less than 30 days",IF(TODAY()-DOCXX[INV DUE DATE]&lt;60,"30-60 days","More than 60 days"))</f>
        <v>30-60 days</v>
      </c>
      <c r="S692" t="s">
        <v>818</v>
      </c>
      <c r="T692" s="43" t="s">
        <v>2229</v>
      </c>
      <c r="U692" s="7" t="s">
        <v>3699</v>
      </c>
    </row>
    <row r="693" spans="1:21" x14ac:dyDescent="0.3">
      <c r="A693" s="14" t="s">
        <v>3160</v>
      </c>
      <c r="B693" t="s">
        <v>118</v>
      </c>
      <c r="C693" t="s">
        <v>319</v>
      </c>
      <c r="D693">
        <v>1</v>
      </c>
      <c r="E693" s="7">
        <v>178.25</v>
      </c>
      <c r="H693">
        <v>122967</v>
      </c>
      <c r="I693" t="s">
        <v>349</v>
      </c>
      <c r="J693" t="s">
        <v>3325</v>
      </c>
      <c r="K693" t="s">
        <v>3</v>
      </c>
      <c r="L693" s="2">
        <v>43221</v>
      </c>
      <c r="M693" s="2">
        <f>DOCXX[[#This Row],[INV DOC DATE]]+30</f>
        <v>43251</v>
      </c>
      <c r="N693" s="2">
        <v>43252</v>
      </c>
      <c r="O693" s="7">
        <v>178.25</v>
      </c>
      <c r="P693" s="2">
        <v>43262</v>
      </c>
      <c r="Q693" s="7">
        <f>$E693-$O693</f>
        <v>0</v>
      </c>
      <c r="R693" s="7" t="str">
        <f ca="1">IF(TODAY() - DOCXX[INV DUE DATE]&lt;30, "Less than 30 days",IF(TODAY()-DOCXX[INV DUE DATE]&lt;60,"30-60 days","More than 60 days"))</f>
        <v>30-60 days</v>
      </c>
      <c r="S693" t="s">
        <v>818</v>
      </c>
      <c r="T693" s="43" t="s">
        <v>2229</v>
      </c>
      <c r="U693" s="7" t="s">
        <v>3699</v>
      </c>
    </row>
    <row r="694" spans="1:21" x14ac:dyDescent="0.3">
      <c r="A694" s="14" t="s">
        <v>3160</v>
      </c>
      <c r="B694" t="s">
        <v>118</v>
      </c>
      <c r="C694" t="s">
        <v>320</v>
      </c>
      <c r="D694">
        <v>1</v>
      </c>
      <c r="E694" s="7">
        <v>178.25</v>
      </c>
      <c r="H694">
        <v>122967</v>
      </c>
      <c r="I694" t="s">
        <v>349</v>
      </c>
      <c r="J694" t="s">
        <v>3326</v>
      </c>
      <c r="K694" t="s">
        <v>3</v>
      </c>
      <c r="L694" s="2">
        <v>43221</v>
      </c>
      <c r="M694" s="2">
        <f>DOCXX[[#This Row],[INV DOC DATE]]+30</f>
        <v>43251</v>
      </c>
      <c r="N694" s="2">
        <v>43252</v>
      </c>
      <c r="O694" s="7">
        <v>178.25</v>
      </c>
      <c r="P694" s="2">
        <v>43262</v>
      </c>
      <c r="Q694" s="7">
        <f>$E694-$O694</f>
        <v>0</v>
      </c>
      <c r="R694" s="7" t="str">
        <f ca="1">IF(TODAY() - DOCXX[INV DUE DATE]&lt;30, "Less than 30 days",IF(TODAY()-DOCXX[INV DUE DATE]&lt;60,"30-60 days","More than 60 days"))</f>
        <v>30-60 days</v>
      </c>
      <c r="S694" t="s">
        <v>818</v>
      </c>
      <c r="T694" s="43" t="s">
        <v>2229</v>
      </c>
      <c r="U694" s="7" t="s">
        <v>3699</v>
      </c>
    </row>
    <row r="695" spans="1:21" x14ac:dyDescent="0.3">
      <c r="A695" s="14" t="s">
        <v>3160</v>
      </c>
      <c r="B695" t="s">
        <v>118</v>
      </c>
      <c r="C695" t="s">
        <v>321</v>
      </c>
      <c r="D695">
        <v>1</v>
      </c>
      <c r="E695" s="7">
        <v>178.25</v>
      </c>
      <c r="H695">
        <v>122967</v>
      </c>
      <c r="I695" t="s">
        <v>349</v>
      </c>
      <c r="J695" t="s">
        <v>3327</v>
      </c>
      <c r="K695" t="s">
        <v>3</v>
      </c>
      <c r="L695" s="2">
        <v>43221</v>
      </c>
      <c r="M695" s="2">
        <f>DOCXX[[#This Row],[INV DOC DATE]]+30</f>
        <v>43251</v>
      </c>
      <c r="N695" s="2">
        <v>43252</v>
      </c>
      <c r="O695" s="7">
        <v>178.25</v>
      </c>
      <c r="P695" s="2">
        <v>43262</v>
      </c>
      <c r="Q695" s="7">
        <f>$E695-$O695</f>
        <v>0</v>
      </c>
      <c r="R695" s="7" t="str">
        <f ca="1">IF(TODAY() - DOCXX[INV DUE DATE]&lt;30, "Less than 30 days",IF(TODAY()-DOCXX[INV DUE DATE]&lt;60,"30-60 days","More than 60 days"))</f>
        <v>30-60 days</v>
      </c>
      <c r="S695" t="s">
        <v>818</v>
      </c>
      <c r="T695" s="43" t="s">
        <v>2229</v>
      </c>
      <c r="U695" s="7" t="s">
        <v>3699</v>
      </c>
    </row>
    <row r="696" spans="1:21" x14ac:dyDescent="0.3">
      <c r="A696" s="14" t="s">
        <v>3160</v>
      </c>
      <c r="B696" t="s">
        <v>118</v>
      </c>
      <c r="C696" t="s">
        <v>322</v>
      </c>
      <c r="D696">
        <v>1</v>
      </c>
      <c r="E696" s="7">
        <v>178.25</v>
      </c>
      <c r="H696">
        <v>122967</v>
      </c>
      <c r="I696" t="s">
        <v>349</v>
      </c>
      <c r="J696" t="s">
        <v>3328</v>
      </c>
      <c r="K696" t="s">
        <v>3</v>
      </c>
      <c r="L696" s="2">
        <v>43221</v>
      </c>
      <c r="M696" s="2">
        <f>DOCXX[[#This Row],[INV DOC DATE]]+30</f>
        <v>43251</v>
      </c>
      <c r="N696" s="2">
        <v>43252</v>
      </c>
      <c r="O696" s="7">
        <v>178.25</v>
      </c>
      <c r="P696" s="2">
        <v>43262</v>
      </c>
      <c r="Q696" s="7">
        <f>$E696-$O696</f>
        <v>0</v>
      </c>
      <c r="R696" s="7" t="str">
        <f ca="1">IF(TODAY() - DOCXX[INV DUE DATE]&lt;30, "Less than 30 days",IF(TODAY()-DOCXX[INV DUE DATE]&lt;60,"30-60 days","More than 60 days"))</f>
        <v>30-60 days</v>
      </c>
      <c r="S696" t="s">
        <v>818</v>
      </c>
      <c r="T696" s="43" t="s">
        <v>2229</v>
      </c>
      <c r="U696" s="7" t="s">
        <v>3699</v>
      </c>
    </row>
    <row r="697" spans="1:21" x14ac:dyDescent="0.3">
      <c r="A697" s="14" t="s">
        <v>3160</v>
      </c>
      <c r="B697" t="s">
        <v>118</v>
      </c>
      <c r="C697" t="s">
        <v>323</v>
      </c>
      <c r="D697">
        <v>1</v>
      </c>
      <c r="E697" s="7">
        <v>178.25</v>
      </c>
      <c r="H697">
        <v>127678</v>
      </c>
      <c r="I697" t="s">
        <v>349</v>
      </c>
      <c r="J697" t="s">
        <v>3329</v>
      </c>
      <c r="K697" t="s">
        <v>3</v>
      </c>
      <c r="L697" s="2">
        <v>43221</v>
      </c>
      <c r="M697" s="2">
        <f>DOCXX[[#This Row],[INV DOC DATE]]+30</f>
        <v>43251</v>
      </c>
      <c r="N697" s="2">
        <v>43252</v>
      </c>
      <c r="O697" s="7">
        <v>178.25</v>
      </c>
      <c r="P697" s="2">
        <v>43262</v>
      </c>
      <c r="Q697" s="7">
        <f>$E697-$O697</f>
        <v>0</v>
      </c>
      <c r="R697" s="7" t="str">
        <f ca="1">IF(TODAY() - DOCXX[INV DUE DATE]&lt;30, "Less than 30 days",IF(TODAY()-DOCXX[INV DUE DATE]&lt;60,"30-60 days","More than 60 days"))</f>
        <v>30-60 days</v>
      </c>
      <c r="S697" t="s">
        <v>818</v>
      </c>
      <c r="T697" s="43" t="s">
        <v>2229</v>
      </c>
      <c r="U697" s="7" t="s">
        <v>3699</v>
      </c>
    </row>
    <row r="698" spans="1:21" x14ac:dyDescent="0.3">
      <c r="A698" s="14" t="s">
        <v>3160</v>
      </c>
      <c r="B698" t="s">
        <v>118</v>
      </c>
      <c r="C698" t="s">
        <v>324</v>
      </c>
      <c r="D698">
        <v>1</v>
      </c>
      <c r="E698" s="7">
        <v>178.25</v>
      </c>
      <c r="H698">
        <v>127678</v>
      </c>
      <c r="I698" t="s">
        <v>349</v>
      </c>
      <c r="J698" t="s">
        <v>3330</v>
      </c>
      <c r="K698" t="s">
        <v>3</v>
      </c>
      <c r="L698" s="2">
        <v>43221</v>
      </c>
      <c r="M698" s="2">
        <f>DOCXX[[#This Row],[INV DOC DATE]]+30</f>
        <v>43251</v>
      </c>
      <c r="N698" s="2">
        <v>43252</v>
      </c>
      <c r="O698" s="7">
        <v>178.25</v>
      </c>
      <c r="P698" s="2">
        <v>43262</v>
      </c>
      <c r="Q698" s="7">
        <f>$E698-$O698</f>
        <v>0</v>
      </c>
      <c r="R698" s="7" t="str">
        <f ca="1">IF(TODAY() - DOCXX[INV DUE DATE]&lt;30, "Less than 30 days",IF(TODAY()-DOCXX[INV DUE DATE]&lt;60,"30-60 days","More than 60 days"))</f>
        <v>30-60 days</v>
      </c>
      <c r="S698" t="s">
        <v>818</v>
      </c>
      <c r="T698" s="43" t="s">
        <v>2229</v>
      </c>
      <c r="U698" s="7" t="s">
        <v>3699</v>
      </c>
    </row>
    <row r="699" spans="1:21" x14ac:dyDescent="0.3">
      <c r="A699" s="14" t="s">
        <v>3160</v>
      </c>
      <c r="B699" t="s">
        <v>118</v>
      </c>
      <c r="C699" t="s">
        <v>325</v>
      </c>
      <c r="D699">
        <v>1</v>
      </c>
      <c r="E699" s="7">
        <v>178.25</v>
      </c>
      <c r="H699">
        <v>127678</v>
      </c>
      <c r="I699" t="s">
        <v>349</v>
      </c>
      <c r="J699" t="s">
        <v>3331</v>
      </c>
      <c r="K699" t="s">
        <v>3</v>
      </c>
      <c r="L699" s="2">
        <v>43221</v>
      </c>
      <c r="M699" s="2">
        <f>DOCXX[[#This Row],[INV DOC DATE]]+30</f>
        <v>43251</v>
      </c>
      <c r="N699" s="2">
        <v>43252</v>
      </c>
      <c r="O699" s="7">
        <v>178.25</v>
      </c>
      <c r="P699" s="2">
        <v>43262</v>
      </c>
      <c r="Q699" s="7">
        <f>$E699-$O699</f>
        <v>0</v>
      </c>
      <c r="R699" s="7" t="str">
        <f ca="1">IF(TODAY() - DOCXX[INV DUE DATE]&lt;30, "Less than 30 days",IF(TODAY()-DOCXX[INV DUE DATE]&lt;60,"30-60 days","More than 60 days"))</f>
        <v>30-60 days</v>
      </c>
      <c r="S699" t="s">
        <v>818</v>
      </c>
      <c r="T699" s="43" t="s">
        <v>2229</v>
      </c>
      <c r="U699" s="7" t="s">
        <v>3699</v>
      </c>
    </row>
    <row r="700" spans="1:21" x14ac:dyDescent="0.3">
      <c r="A700" s="14" t="s">
        <v>3160</v>
      </c>
      <c r="B700" t="s">
        <v>118</v>
      </c>
      <c r="C700" t="s">
        <v>326</v>
      </c>
      <c r="D700">
        <v>1</v>
      </c>
      <c r="E700" s="7">
        <v>178.25</v>
      </c>
      <c r="H700">
        <v>127678</v>
      </c>
      <c r="I700" t="s">
        <v>349</v>
      </c>
      <c r="J700" t="s">
        <v>3332</v>
      </c>
      <c r="K700" t="s">
        <v>3</v>
      </c>
      <c r="L700" s="2">
        <v>43221</v>
      </c>
      <c r="M700" s="2">
        <f>DOCXX[[#This Row],[INV DOC DATE]]+30</f>
        <v>43251</v>
      </c>
      <c r="N700" s="2">
        <v>43252</v>
      </c>
      <c r="O700" s="7">
        <v>178.25</v>
      </c>
      <c r="P700" s="2">
        <v>43262</v>
      </c>
      <c r="Q700" s="7">
        <f>$E700-$O700</f>
        <v>0</v>
      </c>
      <c r="R700" s="7" t="str">
        <f ca="1">IF(TODAY() - DOCXX[INV DUE DATE]&lt;30, "Less than 30 days",IF(TODAY()-DOCXX[INV DUE DATE]&lt;60,"30-60 days","More than 60 days"))</f>
        <v>30-60 days</v>
      </c>
      <c r="S700" t="s">
        <v>818</v>
      </c>
      <c r="T700" s="43" t="s">
        <v>2229</v>
      </c>
      <c r="U700" s="7" t="s">
        <v>3699</v>
      </c>
    </row>
    <row r="701" spans="1:21" x14ac:dyDescent="0.3">
      <c r="A701" s="14" t="s">
        <v>3160</v>
      </c>
      <c r="B701" t="s">
        <v>118</v>
      </c>
      <c r="C701" t="s">
        <v>327</v>
      </c>
      <c r="D701">
        <v>1</v>
      </c>
      <c r="E701" s="7">
        <v>178.25</v>
      </c>
      <c r="H701">
        <v>127678</v>
      </c>
      <c r="I701" t="s">
        <v>349</v>
      </c>
      <c r="J701" t="s">
        <v>3333</v>
      </c>
      <c r="K701" t="s">
        <v>3</v>
      </c>
      <c r="L701" s="2">
        <v>43221</v>
      </c>
      <c r="M701" s="2">
        <f>DOCXX[[#This Row],[INV DOC DATE]]+30</f>
        <v>43251</v>
      </c>
      <c r="N701" s="2">
        <v>43252</v>
      </c>
      <c r="O701" s="7">
        <v>178.25</v>
      </c>
      <c r="P701" s="2">
        <v>43262</v>
      </c>
      <c r="Q701" s="7">
        <f>$E701-$O701</f>
        <v>0</v>
      </c>
      <c r="R701" s="7" t="str">
        <f ca="1">IF(TODAY() - DOCXX[INV DUE DATE]&lt;30, "Less than 30 days",IF(TODAY()-DOCXX[INV DUE DATE]&lt;60,"30-60 days","More than 60 days"))</f>
        <v>30-60 days</v>
      </c>
      <c r="S701" t="s">
        <v>818</v>
      </c>
      <c r="T701" s="43" t="s">
        <v>2229</v>
      </c>
      <c r="U701" s="7" t="s">
        <v>3699</v>
      </c>
    </row>
    <row r="702" spans="1:21" x14ac:dyDescent="0.3">
      <c r="A702" s="14" t="s">
        <v>3160</v>
      </c>
      <c r="B702" t="s">
        <v>118</v>
      </c>
      <c r="C702" t="s">
        <v>328</v>
      </c>
      <c r="D702">
        <v>1</v>
      </c>
      <c r="E702" s="7">
        <v>178.25</v>
      </c>
      <c r="H702">
        <v>127678</v>
      </c>
      <c r="I702" t="s">
        <v>349</v>
      </c>
      <c r="J702" t="s">
        <v>3334</v>
      </c>
      <c r="K702" t="s">
        <v>3</v>
      </c>
      <c r="L702" s="2">
        <v>43221</v>
      </c>
      <c r="M702" s="2">
        <f>DOCXX[[#This Row],[INV DOC DATE]]+30</f>
        <v>43251</v>
      </c>
      <c r="N702" s="2">
        <v>43252</v>
      </c>
      <c r="O702" s="7">
        <v>178.25</v>
      </c>
      <c r="P702" s="2">
        <v>43262</v>
      </c>
      <c r="Q702" s="7">
        <f>$E702-$O702</f>
        <v>0</v>
      </c>
      <c r="R702" s="7" t="str">
        <f ca="1">IF(TODAY() - DOCXX[INV DUE DATE]&lt;30, "Less than 30 days",IF(TODAY()-DOCXX[INV DUE DATE]&lt;60,"30-60 days","More than 60 days"))</f>
        <v>30-60 days</v>
      </c>
      <c r="S702" t="s">
        <v>818</v>
      </c>
      <c r="T702" s="43" t="s">
        <v>2229</v>
      </c>
      <c r="U702" s="7" t="s">
        <v>3699</v>
      </c>
    </row>
    <row r="703" spans="1:21" x14ac:dyDescent="0.3">
      <c r="A703" s="14" t="s">
        <v>3160</v>
      </c>
      <c r="B703" t="s">
        <v>118</v>
      </c>
      <c r="C703" t="s">
        <v>329</v>
      </c>
      <c r="D703">
        <v>1</v>
      </c>
      <c r="E703" s="7">
        <v>178.25</v>
      </c>
      <c r="H703">
        <v>127678</v>
      </c>
      <c r="I703" t="s">
        <v>349</v>
      </c>
      <c r="J703" t="s">
        <v>3335</v>
      </c>
      <c r="K703" t="s">
        <v>3</v>
      </c>
      <c r="L703" s="2">
        <v>43221</v>
      </c>
      <c r="M703" s="2">
        <f>DOCXX[[#This Row],[INV DOC DATE]]+30</f>
        <v>43251</v>
      </c>
      <c r="N703" s="2">
        <v>43252</v>
      </c>
      <c r="O703" s="7">
        <v>178.25</v>
      </c>
      <c r="P703" s="2">
        <v>43262</v>
      </c>
      <c r="Q703" s="7">
        <f>$E703-$O703</f>
        <v>0</v>
      </c>
      <c r="R703" s="7" t="str">
        <f ca="1">IF(TODAY() - DOCXX[INV DUE DATE]&lt;30, "Less than 30 days",IF(TODAY()-DOCXX[INV DUE DATE]&lt;60,"30-60 days","More than 60 days"))</f>
        <v>30-60 days</v>
      </c>
      <c r="S703" t="s">
        <v>818</v>
      </c>
      <c r="T703" s="43" t="s">
        <v>2229</v>
      </c>
      <c r="U703" s="7" t="s">
        <v>3699</v>
      </c>
    </row>
    <row r="704" spans="1:21" x14ac:dyDescent="0.3">
      <c r="A704" s="14" t="s">
        <v>3160</v>
      </c>
      <c r="B704" t="s">
        <v>118</v>
      </c>
      <c r="C704" t="s">
        <v>330</v>
      </c>
      <c r="D704">
        <v>1</v>
      </c>
      <c r="E704" s="7">
        <v>232.5</v>
      </c>
      <c r="H704">
        <v>127678</v>
      </c>
      <c r="I704" t="s">
        <v>349</v>
      </c>
      <c r="J704" t="s">
        <v>3336</v>
      </c>
      <c r="K704" t="s">
        <v>3</v>
      </c>
      <c r="L704" s="2">
        <v>43221</v>
      </c>
      <c r="M704" s="2">
        <f>DOCXX[[#This Row],[INV DOC DATE]]+30</f>
        <v>43251</v>
      </c>
      <c r="N704" s="2">
        <v>43252</v>
      </c>
      <c r="O704" s="7">
        <v>232.5</v>
      </c>
      <c r="P704" s="2">
        <v>43262</v>
      </c>
      <c r="Q704" s="7">
        <f>$E704-$O704</f>
        <v>0</v>
      </c>
      <c r="R704" s="7" t="str">
        <f ca="1">IF(TODAY() - DOCXX[INV DUE DATE]&lt;30, "Less than 30 days",IF(TODAY()-DOCXX[INV DUE DATE]&lt;60,"30-60 days","More than 60 days"))</f>
        <v>30-60 days</v>
      </c>
      <c r="S704" t="s">
        <v>818</v>
      </c>
      <c r="T704" s="43" t="s">
        <v>2229</v>
      </c>
      <c r="U704" s="7" t="s">
        <v>3699</v>
      </c>
    </row>
    <row r="705" spans="1:21" x14ac:dyDescent="0.3">
      <c r="A705" s="14" t="s">
        <v>3160</v>
      </c>
      <c r="B705" t="s">
        <v>118</v>
      </c>
      <c r="C705" t="s">
        <v>331</v>
      </c>
      <c r="D705">
        <v>1</v>
      </c>
      <c r="E705" s="7">
        <v>232.5</v>
      </c>
      <c r="H705">
        <v>127678</v>
      </c>
      <c r="I705" t="s">
        <v>349</v>
      </c>
      <c r="J705" t="s">
        <v>3337</v>
      </c>
      <c r="K705" t="s">
        <v>3</v>
      </c>
      <c r="L705" s="2">
        <v>43221</v>
      </c>
      <c r="M705" s="2">
        <f>DOCXX[[#This Row],[INV DOC DATE]]+30</f>
        <v>43251</v>
      </c>
      <c r="N705" s="2">
        <v>43252</v>
      </c>
      <c r="O705" s="7">
        <v>232.5</v>
      </c>
      <c r="P705" s="2">
        <v>43262</v>
      </c>
      <c r="Q705" s="7">
        <f>$E705-$O705</f>
        <v>0</v>
      </c>
      <c r="R705" s="7" t="str">
        <f ca="1">IF(TODAY() - DOCXX[INV DUE DATE]&lt;30, "Less than 30 days",IF(TODAY()-DOCXX[INV DUE DATE]&lt;60,"30-60 days","More than 60 days"))</f>
        <v>30-60 days</v>
      </c>
      <c r="S705" t="s">
        <v>818</v>
      </c>
      <c r="T705" s="43" t="s">
        <v>2229</v>
      </c>
      <c r="U705" s="7" t="s">
        <v>3699</v>
      </c>
    </row>
    <row r="706" spans="1:21" x14ac:dyDescent="0.3">
      <c r="A706" s="14" t="s">
        <v>3160</v>
      </c>
      <c r="B706" t="s">
        <v>118</v>
      </c>
      <c r="C706" t="s">
        <v>332</v>
      </c>
      <c r="D706">
        <v>1</v>
      </c>
      <c r="E706" s="7">
        <v>232.5</v>
      </c>
      <c r="H706">
        <v>127678</v>
      </c>
      <c r="I706" t="s">
        <v>349</v>
      </c>
      <c r="J706" t="s">
        <v>3338</v>
      </c>
      <c r="K706" t="s">
        <v>3</v>
      </c>
      <c r="L706" s="2">
        <v>43221</v>
      </c>
      <c r="M706" s="2">
        <f>DOCXX[[#This Row],[INV DOC DATE]]+30</f>
        <v>43251</v>
      </c>
      <c r="N706" s="2">
        <v>43252</v>
      </c>
      <c r="O706" s="7">
        <v>232.5</v>
      </c>
      <c r="P706" s="2">
        <v>43262</v>
      </c>
      <c r="Q706" s="7">
        <f>$E706-$O706</f>
        <v>0</v>
      </c>
      <c r="R706" s="7" t="str">
        <f ca="1">IF(TODAY() - DOCXX[INV DUE DATE]&lt;30, "Less than 30 days",IF(TODAY()-DOCXX[INV DUE DATE]&lt;60,"30-60 days","More than 60 days"))</f>
        <v>30-60 days</v>
      </c>
      <c r="S706" t="s">
        <v>818</v>
      </c>
      <c r="T706" s="43" t="s">
        <v>2229</v>
      </c>
      <c r="U706" s="7" t="s">
        <v>3699</v>
      </c>
    </row>
    <row r="707" spans="1:21" x14ac:dyDescent="0.3">
      <c r="A707" s="14" t="s">
        <v>3160</v>
      </c>
      <c r="B707" t="s">
        <v>118</v>
      </c>
      <c r="C707" t="s">
        <v>333</v>
      </c>
      <c r="D707">
        <v>1</v>
      </c>
      <c r="E707" s="7">
        <v>232.5</v>
      </c>
      <c r="H707">
        <v>127678</v>
      </c>
      <c r="I707" t="s">
        <v>349</v>
      </c>
      <c r="J707" t="s">
        <v>3339</v>
      </c>
      <c r="K707" t="s">
        <v>3</v>
      </c>
      <c r="L707" s="2">
        <v>43221</v>
      </c>
      <c r="M707" s="2">
        <f>DOCXX[[#This Row],[INV DOC DATE]]+30</f>
        <v>43251</v>
      </c>
      <c r="N707" s="2">
        <v>43252</v>
      </c>
      <c r="O707" s="7">
        <v>232.5</v>
      </c>
      <c r="P707" s="2">
        <v>43262</v>
      </c>
      <c r="Q707" s="7">
        <f>$E707-$O707</f>
        <v>0</v>
      </c>
      <c r="R707" s="7" t="str">
        <f ca="1">IF(TODAY() - DOCXX[INV DUE DATE]&lt;30, "Less than 30 days",IF(TODAY()-DOCXX[INV DUE DATE]&lt;60,"30-60 days","More than 60 days"))</f>
        <v>30-60 days</v>
      </c>
      <c r="S707" t="s">
        <v>818</v>
      </c>
      <c r="T707" s="43" t="s">
        <v>2229</v>
      </c>
      <c r="U707" s="7" t="s">
        <v>3699</v>
      </c>
    </row>
    <row r="708" spans="1:21" x14ac:dyDescent="0.3">
      <c r="A708" s="14" t="s">
        <v>3160</v>
      </c>
      <c r="B708" t="s">
        <v>118</v>
      </c>
      <c r="C708" t="s">
        <v>334</v>
      </c>
      <c r="D708">
        <v>1</v>
      </c>
      <c r="E708" s="7">
        <v>232.5</v>
      </c>
      <c r="H708">
        <v>127678</v>
      </c>
      <c r="I708" t="s">
        <v>349</v>
      </c>
      <c r="J708" t="s">
        <v>3340</v>
      </c>
      <c r="K708" t="s">
        <v>3</v>
      </c>
      <c r="L708" s="2">
        <v>43221</v>
      </c>
      <c r="M708" s="2">
        <f>DOCXX[[#This Row],[INV DOC DATE]]+30</f>
        <v>43251</v>
      </c>
      <c r="N708" s="2">
        <v>43252</v>
      </c>
      <c r="O708" s="7">
        <v>232.5</v>
      </c>
      <c r="P708" s="2">
        <v>43262</v>
      </c>
      <c r="Q708" s="7">
        <f>$E708-$O708</f>
        <v>0</v>
      </c>
      <c r="R708" s="7" t="str">
        <f ca="1">IF(TODAY() - DOCXX[INV DUE DATE]&lt;30, "Less than 30 days",IF(TODAY()-DOCXX[INV DUE DATE]&lt;60,"30-60 days","More than 60 days"))</f>
        <v>30-60 days</v>
      </c>
      <c r="S708" t="s">
        <v>818</v>
      </c>
      <c r="T708" s="43" t="s">
        <v>2229</v>
      </c>
      <c r="U708" s="7" t="s">
        <v>3699</v>
      </c>
    </row>
    <row r="709" spans="1:21" x14ac:dyDescent="0.3">
      <c r="A709" s="14" t="s">
        <v>3160</v>
      </c>
      <c r="B709" t="s">
        <v>118</v>
      </c>
      <c r="C709" t="s">
        <v>335</v>
      </c>
      <c r="D709">
        <v>1</v>
      </c>
      <c r="E709" s="7">
        <v>232.5</v>
      </c>
      <c r="H709">
        <v>127678</v>
      </c>
      <c r="I709" t="s">
        <v>349</v>
      </c>
      <c r="J709" t="s">
        <v>3341</v>
      </c>
      <c r="K709" t="s">
        <v>3</v>
      </c>
      <c r="L709" s="2">
        <v>43221</v>
      </c>
      <c r="M709" s="2">
        <f>DOCXX[[#This Row],[INV DOC DATE]]+30</f>
        <v>43251</v>
      </c>
      <c r="N709" s="2">
        <v>43252</v>
      </c>
      <c r="O709" s="7">
        <v>232.5</v>
      </c>
      <c r="P709" s="2">
        <v>43262</v>
      </c>
      <c r="Q709" s="7">
        <f>$E709-$O709</f>
        <v>0</v>
      </c>
      <c r="R709" s="7" t="str">
        <f ca="1">IF(TODAY() - DOCXX[INV DUE DATE]&lt;30, "Less than 30 days",IF(TODAY()-DOCXX[INV DUE DATE]&lt;60,"30-60 days","More than 60 days"))</f>
        <v>30-60 days</v>
      </c>
      <c r="S709" t="s">
        <v>818</v>
      </c>
      <c r="T709" s="43" t="s">
        <v>2229</v>
      </c>
      <c r="U709" s="7" t="s">
        <v>3699</v>
      </c>
    </row>
    <row r="710" spans="1:21" x14ac:dyDescent="0.3">
      <c r="A710" s="14" t="s">
        <v>3160</v>
      </c>
      <c r="B710" t="s">
        <v>118</v>
      </c>
      <c r="C710" t="s">
        <v>336</v>
      </c>
      <c r="D710">
        <v>1</v>
      </c>
      <c r="E710" s="7">
        <v>232.5</v>
      </c>
      <c r="H710">
        <v>127678</v>
      </c>
      <c r="I710" t="s">
        <v>349</v>
      </c>
      <c r="J710" t="s">
        <v>3342</v>
      </c>
      <c r="K710" t="s">
        <v>3</v>
      </c>
      <c r="L710" s="2">
        <v>43221</v>
      </c>
      <c r="M710" s="2">
        <f>DOCXX[[#This Row],[INV DOC DATE]]+30</f>
        <v>43251</v>
      </c>
      <c r="N710" s="2">
        <v>43252</v>
      </c>
      <c r="O710" s="7">
        <v>232.5</v>
      </c>
      <c r="P710" s="2">
        <v>43262</v>
      </c>
      <c r="Q710" s="7">
        <f>$E710-$O710</f>
        <v>0</v>
      </c>
      <c r="R710" s="7" t="str">
        <f ca="1">IF(TODAY() - DOCXX[INV DUE DATE]&lt;30, "Less than 30 days",IF(TODAY()-DOCXX[INV DUE DATE]&lt;60,"30-60 days","More than 60 days"))</f>
        <v>30-60 days</v>
      </c>
      <c r="S710" t="s">
        <v>818</v>
      </c>
      <c r="T710" s="43" t="s">
        <v>2229</v>
      </c>
      <c r="U710" s="7" t="s">
        <v>3699</v>
      </c>
    </row>
    <row r="711" spans="1:21" x14ac:dyDescent="0.3">
      <c r="A711" s="14" t="s">
        <v>3160</v>
      </c>
      <c r="B711" t="s">
        <v>118</v>
      </c>
      <c r="C711" t="s">
        <v>337</v>
      </c>
      <c r="D711">
        <v>1</v>
      </c>
      <c r="E711" s="7">
        <v>232.5</v>
      </c>
      <c r="H711">
        <v>127678</v>
      </c>
      <c r="I711" t="s">
        <v>349</v>
      </c>
      <c r="J711" t="s">
        <v>3343</v>
      </c>
      <c r="K711" t="s">
        <v>3</v>
      </c>
      <c r="L711" s="2">
        <v>43221</v>
      </c>
      <c r="M711" s="2">
        <f>DOCXX[[#This Row],[INV DOC DATE]]+30</f>
        <v>43251</v>
      </c>
      <c r="N711" s="2">
        <v>43252</v>
      </c>
      <c r="O711" s="7">
        <v>232.5</v>
      </c>
      <c r="P711" s="2">
        <v>43262</v>
      </c>
      <c r="Q711" s="7">
        <f>$E711-$O711</f>
        <v>0</v>
      </c>
      <c r="R711" s="7" t="str">
        <f ca="1">IF(TODAY() - DOCXX[INV DUE DATE]&lt;30, "Less than 30 days",IF(TODAY()-DOCXX[INV DUE DATE]&lt;60,"30-60 days","More than 60 days"))</f>
        <v>30-60 days</v>
      </c>
      <c r="S711" t="s">
        <v>818</v>
      </c>
      <c r="T711" s="43" t="s">
        <v>2229</v>
      </c>
      <c r="U711" s="7" t="s">
        <v>3699</v>
      </c>
    </row>
    <row r="712" spans="1:21" x14ac:dyDescent="0.3">
      <c r="A712" s="14" t="s">
        <v>3160</v>
      </c>
      <c r="B712" t="s">
        <v>118</v>
      </c>
      <c r="C712" t="s">
        <v>338</v>
      </c>
      <c r="D712">
        <v>1</v>
      </c>
      <c r="E712" s="7">
        <v>232.5</v>
      </c>
      <c r="H712">
        <v>127678</v>
      </c>
      <c r="I712" t="s">
        <v>349</v>
      </c>
      <c r="J712" t="s">
        <v>3344</v>
      </c>
      <c r="K712" t="s">
        <v>3</v>
      </c>
      <c r="L712" s="2">
        <v>43221</v>
      </c>
      <c r="M712" s="2">
        <f>DOCXX[[#This Row],[INV DOC DATE]]+30</f>
        <v>43251</v>
      </c>
      <c r="N712" s="2">
        <v>43252</v>
      </c>
      <c r="O712" s="7">
        <v>232.5</v>
      </c>
      <c r="P712" s="2">
        <v>43262</v>
      </c>
      <c r="Q712" s="7">
        <f>$E712-$O712</f>
        <v>0</v>
      </c>
      <c r="R712" s="7" t="str">
        <f ca="1">IF(TODAY() - DOCXX[INV DUE DATE]&lt;30, "Less than 30 days",IF(TODAY()-DOCXX[INV DUE DATE]&lt;60,"30-60 days","More than 60 days"))</f>
        <v>30-60 days</v>
      </c>
      <c r="S712" t="s">
        <v>818</v>
      </c>
      <c r="T712" s="43" t="s">
        <v>2229</v>
      </c>
      <c r="U712" s="7" t="s">
        <v>3699</v>
      </c>
    </row>
    <row r="713" spans="1:21" x14ac:dyDescent="0.3">
      <c r="A713" s="14" t="s">
        <v>3160</v>
      </c>
      <c r="B713" t="s">
        <v>118</v>
      </c>
      <c r="C713" t="s">
        <v>339</v>
      </c>
      <c r="D713">
        <v>1</v>
      </c>
      <c r="E713" s="7">
        <v>232.5</v>
      </c>
      <c r="H713">
        <v>127678</v>
      </c>
      <c r="I713" t="s">
        <v>349</v>
      </c>
      <c r="J713" t="s">
        <v>3345</v>
      </c>
      <c r="K713" t="s">
        <v>3</v>
      </c>
      <c r="L713" s="2">
        <v>43221</v>
      </c>
      <c r="M713" s="2">
        <f>DOCXX[[#This Row],[INV DOC DATE]]+30</f>
        <v>43251</v>
      </c>
      <c r="N713" s="2">
        <v>43252</v>
      </c>
      <c r="O713" s="7">
        <v>232.5</v>
      </c>
      <c r="P713" s="2">
        <v>43262</v>
      </c>
      <c r="Q713" s="7">
        <f>$E713-$O713</f>
        <v>0</v>
      </c>
      <c r="R713" s="7" t="str">
        <f ca="1">IF(TODAY() - DOCXX[INV DUE DATE]&lt;30, "Less than 30 days",IF(TODAY()-DOCXX[INV DUE DATE]&lt;60,"30-60 days","More than 60 days"))</f>
        <v>30-60 days</v>
      </c>
      <c r="S713" t="s">
        <v>818</v>
      </c>
      <c r="T713" s="43" t="s">
        <v>2229</v>
      </c>
      <c r="U713" s="7" t="s">
        <v>3699</v>
      </c>
    </row>
    <row r="714" spans="1:21" x14ac:dyDescent="0.3">
      <c r="A714" s="14" t="s">
        <v>3160</v>
      </c>
      <c r="B714" t="s">
        <v>118</v>
      </c>
      <c r="C714" t="s">
        <v>340</v>
      </c>
      <c r="D714">
        <v>1</v>
      </c>
      <c r="E714" s="7">
        <v>178.25</v>
      </c>
      <c r="H714">
        <v>137491</v>
      </c>
      <c r="I714" t="s">
        <v>351</v>
      </c>
      <c r="J714" t="s">
        <v>3346</v>
      </c>
      <c r="K714" t="s">
        <v>3</v>
      </c>
      <c r="L714" s="2">
        <v>43221</v>
      </c>
      <c r="M714" s="2">
        <f>DOCXX[[#This Row],[INV DOC DATE]]+30</f>
        <v>43251</v>
      </c>
      <c r="N714" s="2">
        <v>43252</v>
      </c>
      <c r="O714" s="7">
        <v>178.25</v>
      </c>
      <c r="P714" s="2">
        <v>43262</v>
      </c>
      <c r="Q714" s="7">
        <f>$E714-$O714</f>
        <v>0</v>
      </c>
      <c r="R714" s="7" t="str">
        <f ca="1">IF(TODAY() - DOCXX[INV DUE DATE]&lt;30, "Less than 30 days",IF(TODAY()-DOCXX[INV DUE DATE]&lt;60,"30-60 days","More than 60 days"))</f>
        <v>30-60 days</v>
      </c>
      <c r="S714" t="s">
        <v>818</v>
      </c>
      <c r="T714" s="43" t="s">
        <v>2229</v>
      </c>
      <c r="U714" s="7" t="s">
        <v>3699</v>
      </c>
    </row>
    <row r="715" spans="1:21" x14ac:dyDescent="0.3">
      <c r="A715" s="14" t="s">
        <v>3160</v>
      </c>
      <c r="B715" t="s">
        <v>118</v>
      </c>
      <c r="C715" t="s">
        <v>341</v>
      </c>
      <c r="D715">
        <v>1</v>
      </c>
      <c r="E715" s="7">
        <v>178.25</v>
      </c>
      <c r="H715">
        <v>137491</v>
      </c>
      <c r="I715" t="s">
        <v>351</v>
      </c>
      <c r="J715" t="s">
        <v>3347</v>
      </c>
      <c r="K715" t="s">
        <v>3</v>
      </c>
      <c r="L715" s="2">
        <v>43221</v>
      </c>
      <c r="M715" s="2">
        <f>DOCXX[[#This Row],[INV DOC DATE]]+30</f>
        <v>43251</v>
      </c>
      <c r="N715" s="2">
        <v>43252</v>
      </c>
      <c r="O715" s="7">
        <v>178.25</v>
      </c>
      <c r="P715" s="2">
        <v>43262</v>
      </c>
      <c r="Q715" s="7">
        <f>$E715-$O715</f>
        <v>0</v>
      </c>
      <c r="R715" s="7" t="str">
        <f ca="1">IF(TODAY() - DOCXX[INV DUE DATE]&lt;30, "Less than 30 days",IF(TODAY()-DOCXX[INV DUE DATE]&lt;60,"30-60 days","More than 60 days"))</f>
        <v>30-60 days</v>
      </c>
      <c r="S715" t="s">
        <v>818</v>
      </c>
      <c r="T715" s="43" t="s">
        <v>2229</v>
      </c>
      <c r="U715" s="7" t="s">
        <v>3699</v>
      </c>
    </row>
    <row r="716" spans="1:21" x14ac:dyDescent="0.3">
      <c r="A716" s="14" t="s">
        <v>3160</v>
      </c>
      <c r="B716" t="s">
        <v>118</v>
      </c>
      <c r="C716" t="s">
        <v>342</v>
      </c>
      <c r="D716">
        <v>1</v>
      </c>
      <c r="E716" s="7">
        <v>178.25</v>
      </c>
      <c r="H716">
        <v>172324</v>
      </c>
      <c r="I716" t="s">
        <v>352</v>
      </c>
      <c r="J716" t="s">
        <v>3348</v>
      </c>
      <c r="K716" t="s">
        <v>3</v>
      </c>
      <c r="L716" s="2">
        <v>43221</v>
      </c>
      <c r="M716" s="2">
        <f>DOCXX[[#This Row],[INV DOC DATE]]+30</f>
        <v>43251</v>
      </c>
      <c r="N716" s="2">
        <v>43252</v>
      </c>
      <c r="O716" s="7">
        <v>178.25</v>
      </c>
      <c r="P716" s="2">
        <v>43262</v>
      </c>
      <c r="Q716" s="7">
        <f>$E716-$O716</f>
        <v>0</v>
      </c>
      <c r="R716" s="7" t="str">
        <f ca="1">IF(TODAY() - DOCXX[INV DUE DATE]&lt;30, "Less than 30 days",IF(TODAY()-DOCXX[INV DUE DATE]&lt;60,"30-60 days","More than 60 days"))</f>
        <v>30-60 days</v>
      </c>
      <c r="S716" t="s">
        <v>818</v>
      </c>
      <c r="T716" s="43" t="s">
        <v>2229</v>
      </c>
      <c r="U716" s="7" t="s">
        <v>3699</v>
      </c>
    </row>
    <row r="717" spans="1:21" x14ac:dyDescent="0.3">
      <c r="A717" s="14" t="s">
        <v>3160</v>
      </c>
      <c r="B717" t="s">
        <v>118</v>
      </c>
      <c r="C717" t="s">
        <v>343</v>
      </c>
      <c r="D717">
        <v>1</v>
      </c>
      <c r="E717" s="7">
        <v>178.25</v>
      </c>
      <c r="H717">
        <v>172324</v>
      </c>
      <c r="I717" t="s">
        <v>352</v>
      </c>
      <c r="J717" t="s">
        <v>3349</v>
      </c>
      <c r="K717" t="s">
        <v>3</v>
      </c>
      <c r="L717" s="2">
        <v>43221</v>
      </c>
      <c r="M717" s="2">
        <f>DOCXX[[#This Row],[INV DOC DATE]]+30</f>
        <v>43251</v>
      </c>
      <c r="N717" s="2">
        <v>43252</v>
      </c>
      <c r="O717" s="7">
        <v>178.25</v>
      </c>
      <c r="P717" s="2">
        <v>43262</v>
      </c>
      <c r="Q717" s="7">
        <f>$E717-$O717</f>
        <v>0</v>
      </c>
      <c r="R717" s="7" t="str">
        <f ca="1">IF(TODAY() - DOCXX[INV DUE DATE]&lt;30, "Less than 30 days",IF(TODAY()-DOCXX[INV DUE DATE]&lt;60,"30-60 days","More than 60 days"))</f>
        <v>30-60 days</v>
      </c>
      <c r="S717" t="s">
        <v>818</v>
      </c>
      <c r="T717" s="43" t="s">
        <v>2229</v>
      </c>
      <c r="U717" s="7" t="s">
        <v>3699</v>
      </c>
    </row>
    <row r="718" spans="1:21" x14ac:dyDescent="0.3">
      <c r="A718" s="14" t="s">
        <v>3160</v>
      </c>
      <c r="B718" t="s">
        <v>118</v>
      </c>
      <c r="C718" t="s">
        <v>344</v>
      </c>
      <c r="D718">
        <v>1</v>
      </c>
      <c r="E718" s="7">
        <v>178.25</v>
      </c>
      <c r="H718">
        <v>172324</v>
      </c>
      <c r="I718" t="s">
        <v>352</v>
      </c>
      <c r="J718" t="s">
        <v>3350</v>
      </c>
      <c r="K718" t="s">
        <v>3</v>
      </c>
      <c r="L718" s="2">
        <v>43221</v>
      </c>
      <c r="M718" s="2">
        <f>DOCXX[[#This Row],[INV DOC DATE]]+30</f>
        <v>43251</v>
      </c>
      <c r="N718" s="2">
        <v>43252</v>
      </c>
      <c r="O718" s="7">
        <v>178.25</v>
      </c>
      <c r="P718" s="2">
        <v>43262</v>
      </c>
      <c r="Q718" s="7">
        <f>$E718-$O718</f>
        <v>0</v>
      </c>
      <c r="R718" s="7" t="str">
        <f ca="1">IF(TODAY() - DOCXX[INV DUE DATE]&lt;30, "Less than 30 days",IF(TODAY()-DOCXX[INV DUE DATE]&lt;60,"30-60 days","More than 60 days"))</f>
        <v>30-60 days</v>
      </c>
      <c r="S718" t="s">
        <v>818</v>
      </c>
      <c r="T718" s="43" t="s">
        <v>2229</v>
      </c>
      <c r="U718" s="7" t="s">
        <v>3699</v>
      </c>
    </row>
    <row r="719" spans="1:21" x14ac:dyDescent="0.3">
      <c r="A719" s="14" t="s">
        <v>3160</v>
      </c>
      <c r="B719" t="s">
        <v>118</v>
      </c>
      <c r="C719" t="s">
        <v>345</v>
      </c>
      <c r="D719">
        <v>2000</v>
      </c>
      <c r="E719" s="7">
        <v>178.25</v>
      </c>
      <c r="H719">
        <v>11843</v>
      </c>
      <c r="I719" t="s">
        <v>361</v>
      </c>
      <c r="J719" t="s">
        <v>3351</v>
      </c>
      <c r="K719" t="s">
        <v>3</v>
      </c>
      <c r="L719" s="2">
        <v>43221</v>
      </c>
      <c r="M719" s="2">
        <f>DOCXX[[#This Row],[INV DOC DATE]]+30</f>
        <v>43251</v>
      </c>
      <c r="N719" s="2">
        <v>43252</v>
      </c>
      <c r="O719" s="7">
        <v>178.25</v>
      </c>
      <c r="P719" s="2">
        <v>43262</v>
      </c>
      <c r="Q719" s="7">
        <f>$E719-$O719</f>
        <v>0</v>
      </c>
      <c r="R719" s="7" t="str">
        <f ca="1">IF(TODAY() - DOCXX[INV DUE DATE]&lt;30, "Less than 30 days",IF(TODAY()-DOCXX[INV DUE DATE]&lt;60,"30-60 days","More than 60 days"))</f>
        <v>30-60 days</v>
      </c>
      <c r="S719" t="s">
        <v>818</v>
      </c>
      <c r="T719" s="43" t="s">
        <v>2229</v>
      </c>
      <c r="U719" s="7" t="s">
        <v>3699</v>
      </c>
    </row>
    <row r="720" spans="1:21" x14ac:dyDescent="0.3">
      <c r="A720" s="14" t="s">
        <v>3160</v>
      </c>
      <c r="B720" t="s">
        <v>118</v>
      </c>
      <c r="C720" t="s">
        <v>346</v>
      </c>
      <c r="D720">
        <v>2000</v>
      </c>
      <c r="E720" s="7">
        <v>178.25</v>
      </c>
      <c r="H720">
        <v>37912</v>
      </c>
      <c r="I720" t="s">
        <v>362</v>
      </c>
      <c r="J720" t="s">
        <v>3352</v>
      </c>
      <c r="K720" t="s">
        <v>3</v>
      </c>
      <c r="L720" s="2">
        <v>43221</v>
      </c>
      <c r="M720" s="2">
        <f>DOCXX[[#This Row],[INV DOC DATE]]+30</f>
        <v>43251</v>
      </c>
      <c r="N720" s="2">
        <v>43252</v>
      </c>
      <c r="O720" s="7">
        <v>178.25</v>
      </c>
      <c r="P720" s="2">
        <v>43262</v>
      </c>
      <c r="Q720" s="7">
        <f>$E720-$O720</f>
        <v>0</v>
      </c>
      <c r="R720" s="7" t="str">
        <f ca="1">IF(TODAY() - DOCXX[INV DUE DATE]&lt;30, "Less than 30 days",IF(TODAY()-DOCXX[INV DUE DATE]&lt;60,"30-60 days","More than 60 days"))</f>
        <v>30-60 days</v>
      </c>
      <c r="S720" t="s">
        <v>818</v>
      </c>
      <c r="T720" s="43" t="s">
        <v>2229</v>
      </c>
      <c r="U720" s="7" t="s">
        <v>3699</v>
      </c>
    </row>
    <row r="721" spans="1:21" x14ac:dyDescent="0.3">
      <c r="A721" s="14" t="s">
        <v>3160</v>
      </c>
      <c r="B721" t="s">
        <v>30</v>
      </c>
      <c r="C721" t="s">
        <v>55</v>
      </c>
      <c r="D721">
        <v>1</v>
      </c>
      <c r="E721" s="7">
        <v>2688.09</v>
      </c>
      <c r="H721">
        <v>1274</v>
      </c>
      <c r="I721" t="s">
        <v>350</v>
      </c>
      <c r="J721" t="s">
        <v>3739</v>
      </c>
      <c r="K721" t="s">
        <v>3</v>
      </c>
      <c r="L721" s="2">
        <v>43221</v>
      </c>
      <c r="M721" s="2">
        <f>DOCXX[[#This Row],[INV DOC DATE]]+30</f>
        <v>43251</v>
      </c>
      <c r="N721" s="2">
        <v>43266</v>
      </c>
      <c r="O721" s="7">
        <v>2688.09</v>
      </c>
      <c r="P721" s="2">
        <v>43278</v>
      </c>
      <c r="Q721" s="7">
        <f>$E721-$O721</f>
        <v>0</v>
      </c>
      <c r="R721" s="7" t="str">
        <f ca="1">IF(TODAY() - DOCXX[INV DUE DATE]&lt;30, "Less than 30 days",IF(TODAY()-DOCXX[INV DUE DATE]&lt;60,"30-60 days","More than 60 days"))</f>
        <v>30-60 days</v>
      </c>
      <c r="S721" t="s">
        <v>818</v>
      </c>
      <c r="T721" s="43" t="s">
        <v>2229</v>
      </c>
      <c r="U721" s="7" t="s">
        <v>3699</v>
      </c>
    </row>
    <row r="722" spans="1:21" x14ac:dyDescent="0.3">
      <c r="A722" s="14" t="s">
        <v>3160</v>
      </c>
      <c r="B722" t="s">
        <v>30</v>
      </c>
      <c r="C722" t="s">
        <v>56</v>
      </c>
      <c r="D722">
        <v>1</v>
      </c>
      <c r="E722" s="7">
        <v>2372.5100000000002</v>
      </c>
      <c r="H722">
        <v>1273</v>
      </c>
      <c r="I722" t="s">
        <v>350</v>
      </c>
      <c r="J722" t="s">
        <v>3739</v>
      </c>
      <c r="K722" t="s">
        <v>3</v>
      </c>
      <c r="L722" s="2">
        <v>43221</v>
      </c>
      <c r="M722" s="2">
        <f>DOCXX[[#This Row],[INV DOC DATE]]+30</f>
        <v>43251</v>
      </c>
      <c r="N722" s="2">
        <v>43266</v>
      </c>
      <c r="O722" s="7">
        <v>2372.5100000000002</v>
      </c>
      <c r="P722" s="2">
        <v>43278</v>
      </c>
      <c r="Q722" s="7">
        <f>$E722-$O722</f>
        <v>0</v>
      </c>
      <c r="R722" s="7" t="str">
        <f ca="1">IF(TODAY() - DOCXX[INV DUE DATE]&lt;30, "Less than 30 days",IF(TODAY()-DOCXX[INV DUE DATE]&lt;60,"30-60 days","More than 60 days"))</f>
        <v>30-60 days</v>
      </c>
      <c r="S722" t="s">
        <v>818</v>
      </c>
      <c r="T722" s="43" t="s">
        <v>2229</v>
      </c>
      <c r="U722" s="7" t="s">
        <v>3699</v>
      </c>
    </row>
    <row r="723" spans="1:21" x14ac:dyDescent="0.3">
      <c r="A723" s="14" t="s">
        <v>3160</v>
      </c>
      <c r="B723" t="s">
        <v>30</v>
      </c>
      <c r="C723" t="s">
        <v>57</v>
      </c>
      <c r="D723">
        <v>1</v>
      </c>
      <c r="E723" s="7">
        <v>2284.2800000000002</v>
      </c>
      <c r="H723">
        <v>58008</v>
      </c>
      <c r="I723" t="s">
        <v>355</v>
      </c>
      <c r="J723" t="s">
        <v>3739</v>
      </c>
      <c r="K723" t="s">
        <v>3</v>
      </c>
      <c r="L723" s="2">
        <v>43221</v>
      </c>
      <c r="M723" s="2">
        <f>DOCXX[[#This Row],[INV DOC DATE]]+30</f>
        <v>43251</v>
      </c>
      <c r="N723" s="2">
        <v>43266</v>
      </c>
      <c r="O723" s="7">
        <v>2284.2800000000002</v>
      </c>
      <c r="P723" s="2">
        <v>43278</v>
      </c>
      <c r="Q723" s="7">
        <f>$E723-$O723</f>
        <v>0</v>
      </c>
      <c r="R723" s="7" t="str">
        <f ca="1">IF(TODAY() - DOCXX[INV DUE DATE]&lt;30, "Less than 30 days",IF(TODAY()-DOCXX[INV DUE DATE]&lt;60,"30-60 days","More than 60 days"))</f>
        <v>30-60 days</v>
      </c>
      <c r="S723" t="s">
        <v>818</v>
      </c>
      <c r="T723" s="43" t="s">
        <v>2229</v>
      </c>
      <c r="U723" s="7" t="s">
        <v>3699</v>
      </c>
    </row>
    <row r="724" spans="1:21" x14ac:dyDescent="0.3">
      <c r="A724" s="14" t="s">
        <v>3160</v>
      </c>
      <c r="B724" t="s">
        <v>30</v>
      </c>
      <c r="C724" t="s">
        <v>58</v>
      </c>
      <c r="D724">
        <v>1</v>
      </c>
      <c r="E724" s="7">
        <v>1253.18</v>
      </c>
      <c r="H724">
        <v>66660</v>
      </c>
      <c r="I724" t="s">
        <v>357</v>
      </c>
      <c r="J724" t="s">
        <v>3739</v>
      </c>
      <c r="K724" t="s">
        <v>3</v>
      </c>
      <c r="L724" s="2">
        <v>43221</v>
      </c>
      <c r="M724" s="2">
        <f>DOCXX[[#This Row],[INV DOC DATE]]+30</f>
        <v>43251</v>
      </c>
      <c r="N724" s="2">
        <v>43266</v>
      </c>
      <c r="O724" s="7">
        <v>1253.18</v>
      </c>
      <c r="P724" s="2">
        <v>43278</v>
      </c>
      <c r="Q724" s="7">
        <f>$E724-$O724</f>
        <v>0</v>
      </c>
      <c r="R724" s="7" t="str">
        <f ca="1">IF(TODAY() - DOCXX[INV DUE DATE]&lt;30, "Less than 30 days",IF(TODAY()-DOCXX[INV DUE DATE]&lt;60,"30-60 days","More than 60 days"))</f>
        <v>30-60 days</v>
      </c>
      <c r="S724" t="s">
        <v>818</v>
      </c>
      <c r="T724" s="43" t="s">
        <v>2229</v>
      </c>
      <c r="U724" s="7" t="s">
        <v>3699</v>
      </c>
    </row>
    <row r="725" spans="1:21" x14ac:dyDescent="0.3">
      <c r="A725" s="14" t="s">
        <v>3160</v>
      </c>
      <c r="B725" t="s">
        <v>30</v>
      </c>
      <c r="C725" t="s">
        <v>59</v>
      </c>
      <c r="D725">
        <v>1</v>
      </c>
      <c r="E725" s="7">
        <v>1075.78</v>
      </c>
      <c r="H725">
        <v>97900</v>
      </c>
      <c r="I725" t="s">
        <v>350</v>
      </c>
      <c r="J725" t="s">
        <v>3739</v>
      </c>
      <c r="K725" t="s">
        <v>3</v>
      </c>
      <c r="L725" s="2">
        <v>43221</v>
      </c>
      <c r="M725" s="2">
        <f>DOCXX[[#This Row],[INV DOC DATE]]+30</f>
        <v>43251</v>
      </c>
      <c r="N725" s="2">
        <v>43266</v>
      </c>
      <c r="O725" s="7">
        <v>1075.78</v>
      </c>
      <c r="P725" s="2">
        <v>43278</v>
      </c>
      <c r="Q725" s="7">
        <f>$E725-$O725</f>
        <v>0</v>
      </c>
      <c r="R725" s="7" t="str">
        <f ca="1">IF(TODAY() - DOCXX[INV DUE DATE]&lt;30, "Less than 30 days",IF(TODAY()-DOCXX[INV DUE DATE]&lt;60,"30-60 days","More than 60 days"))</f>
        <v>30-60 days</v>
      </c>
      <c r="S725" t="s">
        <v>818</v>
      </c>
      <c r="T725" s="43" t="s">
        <v>2229</v>
      </c>
      <c r="U725" s="7" t="s">
        <v>3699</v>
      </c>
    </row>
    <row r="726" spans="1:21" x14ac:dyDescent="0.3">
      <c r="A726" s="14" t="s">
        <v>3160</v>
      </c>
      <c r="B726" t="s">
        <v>30</v>
      </c>
      <c r="C726" t="s">
        <v>60</v>
      </c>
      <c r="D726">
        <v>1</v>
      </c>
      <c r="E726" s="7">
        <v>722.61</v>
      </c>
      <c r="H726">
        <v>66665</v>
      </c>
      <c r="I726" t="s">
        <v>2248</v>
      </c>
      <c r="J726" t="s">
        <v>3739</v>
      </c>
      <c r="K726" t="s">
        <v>3</v>
      </c>
      <c r="L726" s="2">
        <v>43221</v>
      </c>
      <c r="M726" s="2">
        <f>DOCXX[[#This Row],[INV DOC DATE]]+30</f>
        <v>43251</v>
      </c>
      <c r="N726" s="2">
        <v>43266</v>
      </c>
      <c r="O726" s="7">
        <v>722.61</v>
      </c>
      <c r="P726" s="2">
        <v>43278</v>
      </c>
      <c r="Q726" s="7">
        <f>$E726-$O726</f>
        <v>0</v>
      </c>
      <c r="R726" s="7" t="str">
        <f ca="1">IF(TODAY() - DOCXX[INV DUE DATE]&lt;30, "Less than 30 days",IF(TODAY()-DOCXX[INV DUE DATE]&lt;60,"30-60 days","More than 60 days"))</f>
        <v>30-60 days</v>
      </c>
      <c r="S726" t="s">
        <v>818</v>
      </c>
      <c r="T726" s="43" t="s">
        <v>2229</v>
      </c>
      <c r="U726" s="7" t="s">
        <v>3699</v>
      </c>
    </row>
    <row r="727" spans="1:21" x14ac:dyDescent="0.3">
      <c r="A727" s="14" t="s">
        <v>3160</v>
      </c>
      <c r="B727" t="s">
        <v>30</v>
      </c>
      <c r="C727" t="s">
        <v>61</v>
      </c>
      <c r="D727">
        <v>1</v>
      </c>
      <c r="E727" s="7">
        <v>720.98</v>
      </c>
      <c r="H727">
        <v>167840</v>
      </c>
      <c r="I727" t="s">
        <v>2249</v>
      </c>
      <c r="J727" t="s">
        <v>3739</v>
      </c>
      <c r="K727" t="s">
        <v>3</v>
      </c>
      <c r="L727" s="2">
        <v>43221</v>
      </c>
      <c r="M727" s="2">
        <f>DOCXX[[#This Row],[INV DOC DATE]]+30</f>
        <v>43251</v>
      </c>
      <c r="N727" s="2">
        <v>43266</v>
      </c>
      <c r="O727" s="7">
        <v>720.98</v>
      </c>
      <c r="P727" s="2">
        <v>43278</v>
      </c>
      <c r="Q727" s="7">
        <f>$E727-$O727</f>
        <v>0</v>
      </c>
      <c r="R727" s="7" t="str">
        <f ca="1">IF(TODAY() - DOCXX[INV DUE DATE]&lt;30, "Less than 30 days",IF(TODAY()-DOCXX[INV DUE DATE]&lt;60,"30-60 days","More than 60 days"))</f>
        <v>30-60 days</v>
      </c>
      <c r="S727" t="s">
        <v>818</v>
      </c>
      <c r="T727" s="43" t="s">
        <v>2229</v>
      </c>
      <c r="U727" s="7" t="s">
        <v>3699</v>
      </c>
    </row>
    <row r="728" spans="1:21" x14ac:dyDescent="0.3">
      <c r="A728" s="14" t="s">
        <v>3160</v>
      </c>
      <c r="B728" t="s">
        <v>30</v>
      </c>
      <c r="C728" t="s">
        <v>62</v>
      </c>
      <c r="D728">
        <v>1</v>
      </c>
      <c r="E728" s="7">
        <v>620.08000000000004</v>
      </c>
      <c r="H728">
        <v>68162</v>
      </c>
      <c r="I728" t="s">
        <v>358</v>
      </c>
      <c r="J728" t="s">
        <v>3739</v>
      </c>
      <c r="K728" t="s">
        <v>3</v>
      </c>
      <c r="L728" s="2">
        <v>43221</v>
      </c>
      <c r="M728" s="2">
        <f>DOCXX[[#This Row],[INV DOC DATE]]+30</f>
        <v>43251</v>
      </c>
      <c r="N728" s="2">
        <v>43266</v>
      </c>
      <c r="O728" s="7">
        <v>620.08000000000004</v>
      </c>
      <c r="P728" s="2">
        <v>43278</v>
      </c>
      <c r="Q728" s="7">
        <f>$E728-$O728</f>
        <v>0</v>
      </c>
      <c r="R728" s="7" t="str">
        <f ca="1">IF(TODAY() - DOCXX[INV DUE DATE]&lt;30, "Less than 30 days",IF(TODAY()-DOCXX[INV DUE DATE]&lt;60,"30-60 days","More than 60 days"))</f>
        <v>30-60 days</v>
      </c>
      <c r="S728" t="s">
        <v>818</v>
      </c>
      <c r="T728" s="43" t="s">
        <v>2229</v>
      </c>
      <c r="U728" s="7" t="s">
        <v>3699</v>
      </c>
    </row>
    <row r="729" spans="1:21" x14ac:dyDescent="0.3">
      <c r="A729" s="14" t="s">
        <v>3160</v>
      </c>
      <c r="B729" t="s">
        <v>30</v>
      </c>
      <c r="C729" t="s">
        <v>63</v>
      </c>
      <c r="D729">
        <v>1</v>
      </c>
      <c r="E729" s="7">
        <v>559.86</v>
      </c>
      <c r="H729">
        <v>55785</v>
      </c>
      <c r="I729" t="s">
        <v>354</v>
      </c>
      <c r="J729" t="s">
        <v>3739</v>
      </c>
      <c r="K729" t="s">
        <v>3</v>
      </c>
      <c r="L729" s="2">
        <v>43221</v>
      </c>
      <c r="M729" s="2">
        <f>DOCXX[[#This Row],[INV DOC DATE]]+30</f>
        <v>43251</v>
      </c>
      <c r="N729" s="2">
        <v>43266</v>
      </c>
      <c r="O729" s="7">
        <v>559.86</v>
      </c>
      <c r="P729" s="2">
        <v>43278</v>
      </c>
      <c r="Q729" s="7">
        <f>$E729-$O729</f>
        <v>0</v>
      </c>
      <c r="R729" s="7" t="str">
        <f ca="1">IF(TODAY() - DOCXX[INV DUE DATE]&lt;30, "Less than 30 days",IF(TODAY()-DOCXX[INV DUE DATE]&lt;60,"30-60 days","More than 60 days"))</f>
        <v>30-60 days</v>
      </c>
      <c r="S729" t="s">
        <v>818</v>
      </c>
      <c r="T729" s="43" t="s">
        <v>2229</v>
      </c>
      <c r="U729" s="7" t="s">
        <v>3699</v>
      </c>
    </row>
    <row r="730" spans="1:21" x14ac:dyDescent="0.3">
      <c r="A730" s="14" t="s">
        <v>3160</v>
      </c>
      <c r="B730" t="s">
        <v>30</v>
      </c>
      <c r="C730" t="s">
        <v>64</v>
      </c>
      <c r="D730">
        <v>1</v>
      </c>
      <c r="E730" s="7">
        <v>504.53</v>
      </c>
      <c r="H730">
        <v>82624</v>
      </c>
      <c r="I730" t="s">
        <v>853</v>
      </c>
      <c r="J730" t="s">
        <v>3739</v>
      </c>
      <c r="K730" t="s">
        <v>3</v>
      </c>
      <c r="L730" s="2">
        <v>43221</v>
      </c>
      <c r="M730" s="2">
        <f>DOCXX[[#This Row],[INV DOC DATE]]+30</f>
        <v>43251</v>
      </c>
      <c r="N730" s="2">
        <v>43266</v>
      </c>
      <c r="O730" s="7">
        <v>504.53</v>
      </c>
      <c r="P730" s="2">
        <v>43278</v>
      </c>
      <c r="Q730" s="7">
        <f>$E730-$O730</f>
        <v>0</v>
      </c>
      <c r="R730" s="7" t="str">
        <f ca="1">IF(TODAY() - DOCXX[INV DUE DATE]&lt;30, "Less than 30 days",IF(TODAY()-DOCXX[INV DUE DATE]&lt;60,"30-60 days","More than 60 days"))</f>
        <v>30-60 days</v>
      </c>
      <c r="S730" t="s">
        <v>818</v>
      </c>
      <c r="T730" s="43" t="s">
        <v>2229</v>
      </c>
      <c r="U730" s="7" t="s">
        <v>3699</v>
      </c>
    </row>
    <row r="731" spans="1:21" x14ac:dyDescent="0.3">
      <c r="A731" s="14" t="s">
        <v>3160</v>
      </c>
      <c r="B731" t="s">
        <v>30</v>
      </c>
      <c r="C731" t="s">
        <v>65</v>
      </c>
      <c r="D731">
        <v>1</v>
      </c>
      <c r="E731" s="7">
        <v>485</v>
      </c>
      <c r="H731">
        <v>67904</v>
      </c>
      <c r="I731" t="s">
        <v>853</v>
      </c>
      <c r="J731" t="s">
        <v>3739</v>
      </c>
      <c r="K731" t="s">
        <v>3</v>
      </c>
      <c r="L731" s="2">
        <v>43221</v>
      </c>
      <c r="M731" s="2">
        <f>DOCXX[[#This Row],[INV DOC DATE]]+30</f>
        <v>43251</v>
      </c>
      <c r="N731" s="2">
        <v>43266</v>
      </c>
      <c r="O731" s="7">
        <v>485</v>
      </c>
      <c r="P731" s="2">
        <v>43278</v>
      </c>
      <c r="Q731" s="7">
        <f>$E731-$O731</f>
        <v>0</v>
      </c>
      <c r="R731" s="7" t="str">
        <f ca="1">IF(TODAY() - DOCXX[INV DUE DATE]&lt;30, "Less than 30 days",IF(TODAY()-DOCXX[INV DUE DATE]&lt;60,"30-60 days","More than 60 days"))</f>
        <v>30-60 days</v>
      </c>
      <c r="S731" t="s">
        <v>818</v>
      </c>
      <c r="T731" s="43" t="s">
        <v>2229</v>
      </c>
      <c r="U731" s="7" t="s">
        <v>3699</v>
      </c>
    </row>
    <row r="732" spans="1:21" x14ac:dyDescent="0.3">
      <c r="A732" s="14" t="s">
        <v>3160</v>
      </c>
      <c r="B732" t="s">
        <v>30</v>
      </c>
      <c r="C732" t="s">
        <v>66</v>
      </c>
      <c r="D732">
        <v>1</v>
      </c>
      <c r="E732" s="7">
        <v>444.31</v>
      </c>
      <c r="H732">
        <v>66652</v>
      </c>
      <c r="I732" t="s">
        <v>356</v>
      </c>
      <c r="J732" t="s">
        <v>3739</v>
      </c>
      <c r="K732" t="s">
        <v>3</v>
      </c>
      <c r="L732" s="2">
        <v>43221</v>
      </c>
      <c r="M732" s="2">
        <f>DOCXX[[#This Row],[INV DOC DATE]]+30</f>
        <v>43251</v>
      </c>
      <c r="N732" s="2">
        <v>43266</v>
      </c>
      <c r="O732" s="7">
        <v>444.31</v>
      </c>
      <c r="P732" s="2">
        <v>43278</v>
      </c>
      <c r="Q732" s="7">
        <f>$E732-$O732</f>
        <v>0</v>
      </c>
      <c r="R732" s="7" t="str">
        <f ca="1">IF(TODAY() - DOCXX[INV DUE DATE]&lt;30, "Less than 30 days",IF(TODAY()-DOCXX[INV DUE DATE]&lt;60,"30-60 days","More than 60 days"))</f>
        <v>30-60 days</v>
      </c>
      <c r="S732" t="s">
        <v>818</v>
      </c>
      <c r="T732" s="43" t="s">
        <v>2229</v>
      </c>
      <c r="U732" s="7" t="s">
        <v>3699</v>
      </c>
    </row>
    <row r="733" spans="1:21" x14ac:dyDescent="0.3">
      <c r="A733" s="14" t="s">
        <v>3160</v>
      </c>
      <c r="B733" t="s">
        <v>30</v>
      </c>
      <c r="C733" t="s">
        <v>67</v>
      </c>
      <c r="D733">
        <v>1</v>
      </c>
      <c r="E733" s="7">
        <v>442.68</v>
      </c>
      <c r="H733">
        <v>1204</v>
      </c>
      <c r="I733" t="s">
        <v>2250</v>
      </c>
      <c r="J733" t="s">
        <v>3739</v>
      </c>
      <c r="K733" t="s">
        <v>3</v>
      </c>
      <c r="L733" s="2">
        <v>43221</v>
      </c>
      <c r="M733" s="2">
        <f>DOCXX[[#This Row],[INV DOC DATE]]+30</f>
        <v>43251</v>
      </c>
      <c r="N733" s="2">
        <v>43266</v>
      </c>
      <c r="O733" s="7">
        <v>442.68</v>
      </c>
      <c r="P733" s="2">
        <v>43278</v>
      </c>
      <c r="Q733" s="7">
        <f>$E733-$O733</f>
        <v>0</v>
      </c>
      <c r="R733" s="7" t="str">
        <f ca="1">IF(TODAY() - DOCXX[INV DUE DATE]&lt;30, "Less than 30 days",IF(TODAY()-DOCXX[INV DUE DATE]&lt;60,"30-60 days","More than 60 days"))</f>
        <v>30-60 days</v>
      </c>
      <c r="S733" t="s">
        <v>818</v>
      </c>
      <c r="T733" s="43" t="s">
        <v>2229</v>
      </c>
      <c r="U733" s="7" t="s">
        <v>3699</v>
      </c>
    </row>
    <row r="734" spans="1:21" x14ac:dyDescent="0.3">
      <c r="A734" s="14" t="s">
        <v>3160</v>
      </c>
      <c r="B734" t="s">
        <v>30</v>
      </c>
      <c r="C734" t="s">
        <v>68</v>
      </c>
      <c r="D734">
        <v>1</v>
      </c>
      <c r="E734" s="7">
        <v>398.74</v>
      </c>
      <c r="H734">
        <v>75797</v>
      </c>
      <c r="I734" t="s">
        <v>859</v>
      </c>
      <c r="J734" t="s">
        <v>3739</v>
      </c>
      <c r="K734" t="s">
        <v>3</v>
      </c>
      <c r="L734" s="2">
        <v>43221</v>
      </c>
      <c r="M734" s="2">
        <f>DOCXX[[#This Row],[INV DOC DATE]]+30</f>
        <v>43251</v>
      </c>
      <c r="N734" s="2">
        <v>43266</v>
      </c>
      <c r="O734" s="7">
        <v>398.74</v>
      </c>
      <c r="P734" s="2">
        <v>43278</v>
      </c>
      <c r="Q734" s="7">
        <f>$E734-$O734</f>
        <v>0</v>
      </c>
      <c r="R734" s="7" t="str">
        <f ca="1">IF(TODAY() - DOCXX[INV DUE DATE]&lt;30, "Less than 30 days",IF(TODAY()-DOCXX[INV DUE DATE]&lt;60,"30-60 days","More than 60 days"))</f>
        <v>30-60 days</v>
      </c>
      <c r="S734" t="s">
        <v>818</v>
      </c>
      <c r="T734" s="43" t="s">
        <v>2229</v>
      </c>
      <c r="U734" s="7" t="s">
        <v>3699</v>
      </c>
    </row>
    <row r="735" spans="1:21" x14ac:dyDescent="0.3">
      <c r="A735" s="14" t="s">
        <v>3160</v>
      </c>
      <c r="B735" t="s">
        <v>30</v>
      </c>
      <c r="C735" t="s">
        <v>69</v>
      </c>
      <c r="D735">
        <v>1</v>
      </c>
      <c r="E735" s="7">
        <v>377.58</v>
      </c>
      <c r="H735">
        <v>55609</v>
      </c>
      <c r="I735" t="s">
        <v>349</v>
      </c>
      <c r="J735" t="s">
        <v>3739</v>
      </c>
      <c r="K735" t="s">
        <v>3</v>
      </c>
      <c r="L735" s="2">
        <v>43221</v>
      </c>
      <c r="M735" s="2">
        <f>DOCXX[[#This Row],[INV DOC DATE]]+30</f>
        <v>43251</v>
      </c>
      <c r="N735" s="2">
        <v>43266</v>
      </c>
      <c r="O735" s="7">
        <v>377.58</v>
      </c>
      <c r="P735" s="2">
        <v>43278</v>
      </c>
      <c r="Q735" s="7">
        <f>$E735-$O735</f>
        <v>0</v>
      </c>
      <c r="R735" s="7" t="str">
        <f ca="1">IF(TODAY() - DOCXX[INV DUE DATE]&lt;30, "Less than 30 days",IF(TODAY()-DOCXX[INV DUE DATE]&lt;60,"30-60 days","More than 60 days"))</f>
        <v>30-60 days</v>
      </c>
      <c r="S735" t="s">
        <v>818</v>
      </c>
      <c r="T735" s="43" t="s">
        <v>2229</v>
      </c>
      <c r="U735" s="7" t="s">
        <v>3699</v>
      </c>
    </row>
    <row r="736" spans="1:21" x14ac:dyDescent="0.3">
      <c r="A736" s="14" t="s">
        <v>3160</v>
      </c>
      <c r="B736" t="s">
        <v>30</v>
      </c>
      <c r="C736" t="s">
        <v>70</v>
      </c>
      <c r="D736">
        <v>1</v>
      </c>
      <c r="E736" s="7">
        <v>323.87</v>
      </c>
      <c r="H736">
        <v>1356</v>
      </c>
      <c r="I736" t="s">
        <v>2251</v>
      </c>
      <c r="J736" t="s">
        <v>3739</v>
      </c>
      <c r="K736" t="s">
        <v>3</v>
      </c>
      <c r="L736" s="2">
        <v>43221</v>
      </c>
      <c r="M736" s="2">
        <f>DOCXX[[#This Row],[INV DOC DATE]]+30</f>
        <v>43251</v>
      </c>
      <c r="N736" s="2">
        <v>43266</v>
      </c>
      <c r="O736" s="7">
        <v>323.87</v>
      </c>
      <c r="P736" s="2">
        <v>43278</v>
      </c>
      <c r="Q736" s="7">
        <f>$E736-$O736</f>
        <v>0</v>
      </c>
      <c r="R736" s="7" t="str">
        <f ca="1">IF(TODAY() - DOCXX[INV DUE DATE]&lt;30, "Less than 30 days",IF(TODAY()-DOCXX[INV DUE DATE]&lt;60,"30-60 days","More than 60 days"))</f>
        <v>30-60 days</v>
      </c>
      <c r="S736" t="s">
        <v>818</v>
      </c>
      <c r="T736" s="43" t="s">
        <v>2229</v>
      </c>
      <c r="U736" s="7" t="s">
        <v>3699</v>
      </c>
    </row>
    <row r="737" spans="1:21" x14ac:dyDescent="0.3">
      <c r="A737" s="14" t="s">
        <v>3160</v>
      </c>
      <c r="B737" t="s">
        <v>30</v>
      </c>
      <c r="C737" t="s">
        <v>71</v>
      </c>
      <c r="D737">
        <v>1</v>
      </c>
      <c r="E737" s="7">
        <v>309.23</v>
      </c>
      <c r="H737">
        <v>68260</v>
      </c>
      <c r="I737" t="s">
        <v>2252</v>
      </c>
      <c r="J737" t="s">
        <v>3739</v>
      </c>
      <c r="K737" t="s">
        <v>3</v>
      </c>
      <c r="L737" s="2">
        <v>43221</v>
      </c>
      <c r="M737" s="2">
        <f>DOCXX[[#This Row],[INV DOC DATE]]+30</f>
        <v>43251</v>
      </c>
      <c r="N737" s="2">
        <v>43266</v>
      </c>
      <c r="O737" s="7">
        <v>309.23</v>
      </c>
      <c r="P737" s="2">
        <v>43278</v>
      </c>
      <c r="Q737" s="7">
        <f>$E737-$O737</f>
        <v>0</v>
      </c>
      <c r="R737" s="7" t="str">
        <f ca="1">IF(TODAY() - DOCXX[INV DUE DATE]&lt;30, "Less than 30 days",IF(TODAY()-DOCXX[INV DUE DATE]&lt;60,"30-60 days","More than 60 days"))</f>
        <v>30-60 days</v>
      </c>
      <c r="S737" t="s">
        <v>818</v>
      </c>
      <c r="T737" s="43" t="s">
        <v>2229</v>
      </c>
      <c r="U737" s="7" t="s">
        <v>3699</v>
      </c>
    </row>
    <row r="738" spans="1:21" x14ac:dyDescent="0.3">
      <c r="A738" s="14" t="s">
        <v>3160</v>
      </c>
      <c r="B738" t="s">
        <v>30</v>
      </c>
      <c r="C738" t="s">
        <v>72</v>
      </c>
      <c r="D738">
        <v>1</v>
      </c>
      <c r="E738" s="7">
        <v>203.44</v>
      </c>
      <c r="H738">
        <v>82294</v>
      </c>
      <c r="I738" t="s">
        <v>853</v>
      </c>
      <c r="J738" t="s">
        <v>3739</v>
      </c>
      <c r="K738" t="s">
        <v>3</v>
      </c>
      <c r="L738" s="2">
        <v>43221</v>
      </c>
      <c r="M738" s="2">
        <f>DOCXX[[#This Row],[INV DOC DATE]]+30</f>
        <v>43251</v>
      </c>
      <c r="N738" s="2">
        <v>43266</v>
      </c>
      <c r="O738" s="7">
        <v>203.44</v>
      </c>
      <c r="P738" s="2">
        <v>43278</v>
      </c>
      <c r="Q738" s="7">
        <f>$E738-$O738</f>
        <v>0</v>
      </c>
      <c r="R738" s="7" t="str">
        <f ca="1">IF(TODAY() - DOCXX[INV DUE DATE]&lt;30, "Less than 30 days",IF(TODAY()-DOCXX[INV DUE DATE]&lt;60,"30-60 days","More than 60 days"))</f>
        <v>30-60 days</v>
      </c>
      <c r="S738" t="s">
        <v>818</v>
      </c>
      <c r="T738" s="43" t="s">
        <v>2229</v>
      </c>
      <c r="U738" s="7" t="s">
        <v>3699</v>
      </c>
    </row>
    <row r="739" spans="1:21" x14ac:dyDescent="0.3">
      <c r="A739" s="14" t="s">
        <v>3160</v>
      </c>
      <c r="B739" t="s">
        <v>30</v>
      </c>
      <c r="C739" t="s">
        <v>73</v>
      </c>
      <c r="D739">
        <v>1</v>
      </c>
      <c r="E739" s="7">
        <v>162.75</v>
      </c>
      <c r="H739">
        <v>68235</v>
      </c>
      <c r="I739" t="s">
        <v>2253</v>
      </c>
      <c r="J739" t="s">
        <v>3739</v>
      </c>
      <c r="K739" t="s">
        <v>3</v>
      </c>
      <c r="L739" s="2">
        <v>43221</v>
      </c>
      <c r="M739" s="2">
        <f>DOCXX[[#This Row],[INV DOC DATE]]+30</f>
        <v>43251</v>
      </c>
      <c r="N739" s="2">
        <v>43266</v>
      </c>
      <c r="O739" s="7">
        <v>162.75</v>
      </c>
      <c r="P739" s="2">
        <v>43278</v>
      </c>
      <c r="Q739" s="7">
        <f>$E739-$O739</f>
        <v>0</v>
      </c>
      <c r="R739" s="7" t="str">
        <f ca="1">IF(TODAY() - DOCXX[INV DUE DATE]&lt;30, "Less than 30 days",IF(TODAY()-DOCXX[INV DUE DATE]&lt;60,"30-60 days","More than 60 days"))</f>
        <v>30-60 days</v>
      </c>
      <c r="S739" t="s">
        <v>818</v>
      </c>
      <c r="T739" s="43" t="s">
        <v>2229</v>
      </c>
      <c r="U739" s="7" t="s">
        <v>3699</v>
      </c>
    </row>
    <row r="740" spans="1:21" x14ac:dyDescent="0.3">
      <c r="A740" s="14" t="s">
        <v>3160</v>
      </c>
      <c r="B740" t="s">
        <v>30</v>
      </c>
      <c r="C740" t="s">
        <v>74</v>
      </c>
      <c r="D740">
        <v>1</v>
      </c>
      <c r="E740" s="7">
        <v>162.75</v>
      </c>
      <c r="H740">
        <v>172324</v>
      </c>
      <c r="I740" t="s">
        <v>352</v>
      </c>
      <c r="J740" t="s">
        <v>3739</v>
      </c>
      <c r="K740" t="s">
        <v>3</v>
      </c>
      <c r="L740" s="2">
        <v>43221</v>
      </c>
      <c r="M740" s="2">
        <f>DOCXX[[#This Row],[INV DOC DATE]]+30</f>
        <v>43251</v>
      </c>
      <c r="N740" s="2">
        <v>43266</v>
      </c>
      <c r="O740" s="7">
        <v>162.75</v>
      </c>
      <c r="P740" s="2">
        <v>43278</v>
      </c>
      <c r="Q740" s="7">
        <f>$E740-$O740</f>
        <v>0</v>
      </c>
      <c r="R740" s="7" t="str">
        <f ca="1">IF(TODAY() - DOCXX[INV DUE DATE]&lt;30, "Less than 30 days",IF(TODAY()-DOCXX[INV DUE DATE]&lt;60,"30-60 days","More than 60 days"))</f>
        <v>30-60 days</v>
      </c>
      <c r="S740" t="s">
        <v>818</v>
      </c>
      <c r="T740" s="43" t="s">
        <v>2229</v>
      </c>
      <c r="U740" s="7" t="s">
        <v>3699</v>
      </c>
    </row>
    <row r="741" spans="1:21" x14ac:dyDescent="0.3">
      <c r="A741" s="14" t="s">
        <v>3160</v>
      </c>
      <c r="B741" t="s">
        <v>30</v>
      </c>
      <c r="C741" t="s">
        <v>75</v>
      </c>
      <c r="D741">
        <v>1</v>
      </c>
      <c r="E741" s="7">
        <v>162.75</v>
      </c>
      <c r="H741">
        <v>82330</v>
      </c>
      <c r="I741" t="s">
        <v>2254</v>
      </c>
      <c r="J741" t="s">
        <v>3739</v>
      </c>
      <c r="K741" t="s">
        <v>3</v>
      </c>
      <c r="L741" s="2">
        <v>43221</v>
      </c>
      <c r="M741" s="2">
        <f>DOCXX[[#This Row],[INV DOC DATE]]+30</f>
        <v>43251</v>
      </c>
      <c r="N741" s="2">
        <v>43266</v>
      </c>
      <c r="O741" s="7">
        <v>162.75</v>
      </c>
      <c r="P741" s="2">
        <v>43278</v>
      </c>
      <c r="Q741" s="7">
        <f>$E741-$O741</f>
        <v>0</v>
      </c>
      <c r="R741" s="7" t="str">
        <f ca="1">IF(TODAY() - DOCXX[INV DUE DATE]&lt;30, "Less than 30 days",IF(TODAY()-DOCXX[INV DUE DATE]&lt;60,"30-60 days","More than 60 days"))</f>
        <v>30-60 days</v>
      </c>
      <c r="S741" t="s">
        <v>818</v>
      </c>
      <c r="T741" s="43" t="s">
        <v>2229</v>
      </c>
      <c r="U741" s="7" t="s">
        <v>3699</v>
      </c>
    </row>
    <row r="742" spans="1:21" x14ac:dyDescent="0.3">
      <c r="A742" s="14" t="s">
        <v>3730</v>
      </c>
      <c r="B742" t="s">
        <v>32</v>
      </c>
      <c r="C742" t="s">
        <v>6</v>
      </c>
      <c r="D742">
        <v>1</v>
      </c>
      <c r="E742" s="7">
        <v>299.2</v>
      </c>
      <c r="F742">
        <v>23516020</v>
      </c>
      <c r="J742" t="s">
        <v>2256</v>
      </c>
      <c r="K742" t="s">
        <v>3</v>
      </c>
      <c r="L742" s="2">
        <v>43221</v>
      </c>
      <c r="M742" s="2">
        <f>DOCXX[[#This Row],[INV DOC DATE]]+30</f>
        <v>43251</v>
      </c>
      <c r="N742" s="2">
        <v>43266</v>
      </c>
      <c r="O742" s="7">
        <v>299.2</v>
      </c>
      <c r="P742" s="2">
        <v>43278</v>
      </c>
      <c r="Q742" s="7">
        <f>$E742-$O742</f>
        <v>0</v>
      </c>
      <c r="R742" s="7" t="str">
        <f ca="1">IF(TODAY() - DOCXX[INV DUE DATE]&lt;30, "Less than 30 days",IF(TODAY()-DOCXX[INV DUE DATE]&lt;60,"30-60 days","More than 60 days"))</f>
        <v>30-60 days</v>
      </c>
      <c r="S742" t="s">
        <v>818</v>
      </c>
      <c r="T742"/>
      <c r="U742" s="7" t="s">
        <v>3699</v>
      </c>
    </row>
    <row r="743" spans="1:21" x14ac:dyDescent="0.3">
      <c r="A743" s="14" t="s">
        <v>3730</v>
      </c>
      <c r="B743" t="s">
        <v>32</v>
      </c>
      <c r="C743" t="s">
        <v>7</v>
      </c>
      <c r="D743">
        <v>1</v>
      </c>
      <c r="E743" s="7">
        <v>299.2</v>
      </c>
      <c r="F743">
        <v>23770957</v>
      </c>
      <c r="J743" t="s">
        <v>2256</v>
      </c>
      <c r="K743" t="s">
        <v>3</v>
      </c>
      <c r="L743" s="2">
        <v>43221</v>
      </c>
      <c r="M743" s="2">
        <f>DOCXX[[#This Row],[INV DOC DATE]]+30</f>
        <v>43251</v>
      </c>
      <c r="N743" s="2">
        <v>43266</v>
      </c>
      <c r="O743" s="7">
        <v>299.2</v>
      </c>
      <c r="P743" s="2">
        <v>43278</v>
      </c>
      <c r="Q743" s="7">
        <f>$E743-$O743</f>
        <v>0</v>
      </c>
      <c r="R743" s="7" t="str">
        <f ca="1">IF(TODAY() - DOCXX[INV DUE DATE]&lt;30, "Less than 30 days",IF(TODAY()-DOCXX[INV DUE DATE]&lt;60,"30-60 days","More than 60 days"))</f>
        <v>30-60 days</v>
      </c>
      <c r="S743" t="s">
        <v>818</v>
      </c>
      <c r="T743"/>
      <c r="U743" s="7" t="s">
        <v>3699</v>
      </c>
    </row>
    <row r="744" spans="1:21" x14ac:dyDescent="0.3">
      <c r="A744" s="14" t="s">
        <v>3730</v>
      </c>
      <c r="B744" t="s">
        <v>32</v>
      </c>
      <c r="C744" t="s">
        <v>8</v>
      </c>
      <c r="D744">
        <v>1</v>
      </c>
      <c r="E744" s="7">
        <v>299.2</v>
      </c>
      <c r="F744">
        <v>24058169</v>
      </c>
      <c r="J744" t="s">
        <v>2256</v>
      </c>
      <c r="K744" t="s">
        <v>3</v>
      </c>
      <c r="L744" s="2">
        <v>43221</v>
      </c>
      <c r="M744" s="2">
        <f>DOCXX[[#This Row],[INV DOC DATE]]+30</f>
        <v>43251</v>
      </c>
      <c r="N744" s="2">
        <v>43266</v>
      </c>
      <c r="O744" s="7">
        <v>299.2</v>
      </c>
      <c r="P744" s="2">
        <v>43278</v>
      </c>
      <c r="Q744" s="7">
        <f>$E744-$O744</f>
        <v>0</v>
      </c>
      <c r="R744" s="7" t="str">
        <f ca="1">IF(TODAY() - DOCXX[INV DUE DATE]&lt;30, "Less than 30 days",IF(TODAY()-DOCXX[INV DUE DATE]&lt;60,"30-60 days","More than 60 days"))</f>
        <v>30-60 days</v>
      </c>
      <c r="S744" t="s">
        <v>818</v>
      </c>
      <c r="T744"/>
      <c r="U744" s="7" t="s">
        <v>3699</v>
      </c>
    </row>
    <row r="745" spans="1:21" x14ac:dyDescent="0.3">
      <c r="A745" s="14" t="s">
        <v>3730</v>
      </c>
      <c r="B745" t="s">
        <v>32</v>
      </c>
      <c r="C745" t="s">
        <v>9</v>
      </c>
      <c r="D745">
        <v>1</v>
      </c>
      <c r="E745" s="7">
        <v>299.2</v>
      </c>
      <c r="F745">
        <v>24153269</v>
      </c>
      <c r="J745" t="s">
        <v>2256</v>
      </c>
      <c r="K745" t="s">
        <v>3</v>
      </c>
      <c r="L745" s="2">
        <v>43221</v>
      </c>
      <c r="M745" s="2">
        <f>DOCXX[[#This Row],[INV DOC DATE]]+30</f>
        <v>43251</v>
      </c>
      <c r="N745" s="2">
        <v>43266</v>
      </c>
      <c r="O745" s="7">
        <v>299.2</v>
      </c>
      <c r="P745" s="2">
        <v>43278</v>
      </c>
      <c r="Q745" s="7">
        <f>$E745-$O745</f>
        <v>0</v>
      </c>
      <c r="R745" s="7" t="str">
        <f ca="1">IF(TODAY() - DOCXX[INV DUE DATE]&lt;30, "Less than 30 days",IF(TODAY()-DOCXX[INV DUE DATE]&lt;60,"30-60 days","More than 60 days"))</f>
        <v>30-60 days</v>
      </c>
      <c r="S745" t="s">
        <v>818</v>
      </c>
      <c r="T745"/>
      <c r="U745" s="7" t="s">
        <v>3699</v>
      </c>
    </row>
    <row r="746" spans="1:21" x14ac:dyDescent="0.3">
      <c r="A746" s="14" t="s">
        <v>3730</v>
      </c>
      <c r="B746" t="s">
        <v>32</v>
      </c>
      <c r="C746" t="s">
        <v>10</v>
      </c>
      <c r="D746">
        <v>1</v>
      </c>
      <c r="E746" s="7">
        <v>299.2</v>
      </c>
      <c r="F746">
        <v>25417840</v>
      </c>
      <c r="J746" t="s">
        <v>2256</v>
      </c>
      <c r="K746" t="s">
        <v>3</v>
      </c>
      <c r="L746" s="2">
        <v>43221</v>
      </c>
      <c r="M746" s="2">
        <f>DOCXX[[#This Row],[INV DOC DATE]]+30</f>
        <v>43251</v>
      </c>
      <c r="N746" s="2">
        <v>43266</v>
      </c>
      <c r="O746" s="7">
        <v>299.2</v>
      </c>
      <c r="P746" s="2">
        <v>43278</v>
      </c>
      <c r="Q746" s="7">
        <f>$E746-$O746</f>
        <v>0</v>
      </c>
      <c r="R746" s="7" t="str">
        <f ca="1">IF(TODAY() - DOCXX[INV DUE DATE]&lt;30, "Less than 30 days",IF(TODAY()-DOCXX[INV DUE DATE]&lt;60,"30-60 days","More than 60 days"))</f>
        <v>30-60 days</v>
      </c>
      <c r="S746" t="s">
        <v>818</v>
      </c>
      <c r="T746"/>
      <c r="U746" s="7" t="s">
        <v>3699</v>
      </c>
    </row>
    <row r="747" spans="1:21" x14ac:dyDescent="0.3">
      <c r="A747" s="14" t="s">
        <v>3730</v>
      </c>
      <c r="B747" t="s">
        <v>32</v>
      </c>
      <c r="C747" t="s">
        <v>11</v>
      </c>
      <c r="D747">
        <v>1</v>
      </c>
      <c r="E747" s="7">
        <v>299.2</v>
      </c>
      <c r="F747">
        <v>25866744</v>
      </c>
      <c r="J747" t="s">
        <v>2256</v>
      </c>
      <c r="K747" t="s">
        <v>3</v>
      </c>
      <c r="L747" s="2">
        <v>43221</v>
      </c>
      <c r="M747" s="2">
        <f>DOCXX[[#This Row],[INV DOC DATE]]+30</f>
        <v>43251</v>
      </c>
      <c r="N747" s="2">
        <v>43266</v>
      </c>
      <c r="O747" s="7">
        <v>299.2</v>
      </c>
      <c r="P747" s="2">
        <v>43278</v>
      </c>
      <c r="Q747" s="7">
        <f>$E747-$O747</f>
        <v>0</v>
      </c>
      <c r="R747" s="7" t="str">
        <f ca="1">IF(TODAY() - DOCXX[INV DUE DATE]&lt;30, "Less than 30 days",IF(TODAY()-DOCXX[INV DUE DATE]&lt;60,"30-60 days","More than 60 days"))</f>
        <v>30-60 days</v>
      </c>
      <c r="S747" t="s">
        <v>818</v>
      </c>
      <c r="T747"/>
      <c r="U747" s="7" t="s">
        <v>3699</v>
      </c>
    </row>
    <row r="748" spans="1:21" x14ac:dyDescent="0.3">
      <c r="A748" s="14" t="s">
        <v>3730</v>
      </c>
      <c r="B748" t="s">
        <v>32</v>
      </c>
      <c r="C748" t="s">
        <v>12</v>
      </c>
      <c r="D748">
        <v>1</v>
      </c>
      <c r="E748" s="7">
        <v>299.2</v>
      </c>
      <c r="F748">
        <v>26859068</v>
      </c>
      <c r="J748" t="s">
        <v>2256</v>
      </c>
      <c r="K748" t="s">
        <v>3</v>
      </c>
      <c r="L748" s="2">
        <v>43221</v>
      </c>
      <c r="M748" s="2">
        <f>DOCXX[[#This Row],[INV DOC DATE]]+30</f>
        <v>43251</v>
      </c>
      <c r="N748" s="2">
        <v>43266</v>
      </c>
      <c r="O748" s="7">
        <v>299.2</v>
      </c>
      <c r="P748" s="2">
        <v>43278</v>
      </c>
      <c r="Q748" s="7">
        <f>$E748-$O748</f>
        <v>0</v>
      </c>
      <c r="R748" s="7" t="str">
        <f ca="1">IF(TODAY() - DOCXX[INV DUE DATE]&lt;30, "Less than 30 days",IF(TODAY()-DOCXX[INV DUE DATE]&lt;60,"30-60 days","More than 60 days"))</f>
        <v>30-60 days</v>
      </c>
      <c r="S748" t="s">
        <v>818</v>
      </c>
      <c r="T748"/>
      <c r="U748" s="7" t="s">
        <v>3699</v>
      </c>
    </row>
    <row r="749" spans="1:21" x14ac:dyDescent="0.3">
      <c r="A749" s="14" t="s">
        <v>3730</v>
      </c>
      <c r="B749" t="s">
        <v>32</v>
      </c>
      <c r="C749" t="s">
        <v>13</v>
      </c>
      <c r="D749">
        <v>1</v>
      </c>
      <c r="E749" s="7">
        <v>299.2</v>
      </c>
      <c r="F749">
        <v>27406596</v>
      </c>
      <c r="J749" t="s">
        <v>2256</v>
      </c>
      <c r="K749" t="s">
        <v>3</v>
      </c>
      <c r="L749" s="2">
        <v>43221</v>
      </c>
      <c r="M749" s="2">
        <f>DOCXX[[#This Row],[INV DOC DATE]]+30</f>
        <v>43251</v>
      </c>
      <c r="N749" s="2">
        <v>43266</v>
      </c>
      <c r="O749" s="7">
        <v>299.2</v>
      </c>
      <c r="P749" s="2">
        <v>43278</v>
      </c>
      <c r="Q749" s="7">
        <f>$E749-$O749</f>
        <v>0</v>
      </c>
      <c r="R749" s="7" t="str">
        <f ca="1">IF(TODAY() - DOCXX[INV DUE DATE]&lt;30, "Less than 30 days",IF(TODAY()-DOCXX[INV DUE DATE]&lt;60,"30-60 days","More than 60 days"))</f>
        <v>30-60 days</v>
      </c>
      <c r="S749" t="s">
        <v>818</v>
      </c>
      <c r="T749"/>
      <c r="U749" s="7" t="s">
        <v>3699</v>
      </c>
    </row>
    <row r="750" spans="1:21" x14ac:dyDescent="0.3">
      <c r="A750" s="14" t="s">
        <v>3730</v>
      </c>
      <c r="B750" t="s">
        <v>32</v>
      </c>
      <c r="C750" t="s">
        <v>14</v>
      </c>
      <c r="D750">
        <v>1</v>
      </c>
      <c r="E750" s="7">
        <v>299.2</v>
      </c>
      <c r="F750">
        <v>27475226</v>
      </c>
      <c r="J750" t="s">
        <v>2256</v>
      </c>
      <c r="K750" t="s">
        <v>3</v>
      </c>
      <c r="L750" s="2">
        <v>43221</v>
      </c>
      <c r="M750" s="2">
        <f>DOCXX[[#This Row],[INV DOC DATE]]+30</f>
        <v>43251</v>
      </c>
      <c r="N750" s="2">
        <v>43266</v>
      </c>
      <c r="O750" s="7">
        <v>299.2</v>
      </c>
      <c r="P750" s="2">
        <v>43278</v>
      </c>
      <c r="Q750" s="7">
        <f>$E750-$O750</f>
        <v>0</v>
      </c>
      <c r="R750" s="7" t="str">
        <f ca="1">IF(TODAY() - DOCXX[INV DUE DATE]&lt;30, "Less than 30 days",IF(TODAY()-DOCXX[INV DUE DATE]&lt;60,"30-60 days","More than 60 days"))</f>
        <v>30-60 days</v>
      </c>
      <c r="S750" t="s">
        <v>818</v>
      </c>
      <c r="T750"/>
      <c r="U750" s="7" t="s">
        <v>3699</v>
      </c>
    </row>
    <row r="751" spans="1:21" x14ac:dyDescent="0.3">
      <c r="A751" s="14" t="s">
        <v>3730</v>
      </c>
      <c r="B751" t="s">
        <v>32</v>
      </c>
      <c r="C751" t="s">
        <v>15</v>
      </c>
      <c r="D751">
        <v>1</v>
      </c>
      <c r="E751" s="7">
        <v>299.2</v>
      </c>
      <c r="F751">
        <v>27511082</v>
      </c>
      <c r="J751" t="s">
        <v>2256</v>
      </c>
      <c r="K751" t="s">
        <v>3</v>
      </c>
      <c r="L751" s="2">
        <v>43221</v>
      </c>
      <c r="M751" s="2">
        <f>DOCXX[[#This Row],[INV DOC DATE]]+30</f>
        <v>43251</v>
      </c>
      <c r="N751" s="2">
        <v>43266</v>
      </c>
      <c r="O751" s="7">
        <v>299.2</v>
      </c>
      <c r="P751" s="2">
        <v>43278</v>
      </c>
      <c r="Q751" s="7">
        <f>$E751-$O751</f>
        <v>0</v>
      </c>
      <c r="R751" s="7" t="str">
        <f ca="1">IF(TODAY() - DOCXX[INV DUE DATE]&lt;30, "Less than 30 days",IF(TODAY()-DOCXX[INV DUE DATE]&lt;60,"30-60 days","More than 60 days"))</f>
        <v>30-60 days</v>
      </c>
      <c r="S751" t="s">
        <v>818</v>
      </c>
      <c r="T751"/>
      <c r="U751" s="7" t="s">
        <v>3699</v>
      </c>
    </row>
    <row r="752" spans="1:21" x14ac:dyDescent="0.3">
      <c r="A752" s="14" t="s">
        <v>3730</v>
      </c>
      <c r="B752" t="s">
        <v>32</v>
      </c>
      <c r="C752" t="s">
        <v>16</v>
      </c>
      <c r="D752">
        <v>1</v>
      </c>
      <c r="E752" s="7">
        <v>299.2</v>
      </c>
      <c r="F752">
        <v>27556956</v>
      </c>
      <c r="J752" t="s">
        <v>2256</v>
      </c>
      <c r="K752" t="s">
        <v>3</v>
      </c>
      <c r="L752" s="2">
        <v>43221</v>
      </c>
      <c r="M752" s="2">
        <f>DOCXX[[#This Row],[INV DOC DATE]]+30</f>
        <v>43251</v>
      </c>
      <c r="N752" s="2">
        <v>43266</v>
      </c>
      <c r="O752" s="7">
        <v>299.2</v>
      </c>
      <c r="P752" s="2">
        <v>43278</v>
      </c>
      <c r="Q752" s="7">
        <f>$E752-$O752</f>
        <v>0</v>
      </c>
      <c r="R752" s="7" t="str">
        <f ca="1">IF(TODAY() - DOCXX[INV DUE DATE]&lt;30, "Less than 30 days",IF(TODAY()-DOCXX[INV DUE DATE]&lt;60,"30-60 days","More than 60 days"))</f>
        <v>30-60 days</v>
      </c>
      <c r="S752" t="s">
        <v>818</v>
      </c>
      <c r="T752"/>
      <c r="U752" s="7" t="s">
        <v>3699</v>
      </c>
    </row>
    <row r="753" spans="1:21" x14ac:dyDescent="0.3">
      <c r="A753" s="14" t="s">
        <v>3730</v>
      </c>
      <c r="B753" t="s">
        <v>32</v>
      </c>
      <c r="C753" t="s">
        <v>17</v>
      </c>
      <c r="D753">
        <v>1</v>
      </c>
      <c r="E753" s="7">
        <v>299.2</v>
      </c>
      <c r="F753">
        <v>27609136</v>
      </c>
      <c r="J753" t="s">
        <v>2256</v>
      </c>
      <c r="K753" t="s">
        <v>3</v>
      </c>
      <c r="L753" s="2">
        <v>43221</v>
      </c>
      <c r="M753" s="2">
        <f>DOCXX[[#This Row],[INV DOC DATE]]+30</f>
        <v>43251</v>
      </c>
      <c r="N753" s="2">
        <v>43266</v>
      </c>
      <c r="O753" s="7">
        <v>299.2</v>
      </c>
      <c r="P753" s="2">
        <v>43278</v>
      </c>
      <c r="Q753" s="7">
        <f>$E753-$O753</f>
        <v>0</v>
      </c>
      <c r="R753" s="7" t="str">
        <f ca="1">IF(TODAY() - DOCXX[INV DUE DATE]&lt;30, "Less than 30 days",IF(TODAY()-DOCXX[INV DUE DATE]&lt;60,"30-60 days","More than 60 days"))</f>
        <v>30-60 days</v>
      </c>
      <c r="S753" t="s">
        <v>818</v>
      </c>
      <c r="T753"/>
      <c r="U753" s="7" t="s">
        <v>3699</v>
      </c>
    </row>
    <row r="754" spans="1:21" x14ac:dyDescent="0.3">
      <c r="A754" s="14" t="s">
        <v>3730</v>
      </c>
      <c r="B754" t="s">
        <v>32</v>
      </c>
      <c r="C754" t="s">
        <v>18</v>
      </c>
      <c r="D754">
        <v>1</v>
      </c>
      <c r="E754" s="7">
        <v>299.2</v>
      </c>
      <c r="F754">
        <v>27609137</v>
      </c>
      <c r="J754" t="s">
        <v>2256</v>
      </c>
      <c r="K754" t="s">
        <v>3</v>
      </c>
      <c r="L754" s="2">
        <v>43221</v>
      </c>
      <c r="M754" s="2">
        <f>DOCXX[[#This Row],[INV DOC DATE]]+30</f>
        <v>43251</v>
      </c>
      <c r="N754" s="2">
        <v>43266</v>
      </c>
      <c r="O754" s="7">
        <v>299.2</v>
      </c>
      <c r="P754" s="2">
        <v>43278</v>
      </c>
      <c r="Q754" s="7">
        <f>$E754-$O754</f>
        <v>0</v>
      </c>
      <c r="R754" s="7" t="str">
        <f ca="1">IF(TODAY() - DOCXX[INV DUE DATE]&lt;30, "Less than 30 days",IF(TODAY()-DOCXX[INV DUE DATE]&lt;60,"30-60 days","More than 60 days"))</f>
        <v>30-60 days</v>
      </c>
      <c r="S754" t="s">
        <v>818</v>
      </c>
      <c r="T754"/>
      <c r="U754" s="7" t="s">
        <v>3699</v>
      </c>
    </row>
    <row r="755" spans="1:21" x14ac:dyDescent="0.3">
      <c r="A755" s="14" t="s">
        <v>3730</v>
      </c>
      <c r="B755" t="s">
        <v>32</v>
      </c>
      <c r="C755" t="s">
        <v>19</v>
      </c>
      <c r="D755">
        <v>1</v>
      </c>
      <c r="E755" s="7">
        <v>299.2</v>
      </c>
      <c r="F755">
        <v>27609261</v>
      </c>
      <c r="J755" t="s">
        <v>2256</v>
      </c>
      <c r="K755" t="s">
        <v>3</v>
      </c>
      <c r="L755" s="2">
        <v>43221</v>
      </c>
      <c r="M755" s="2">
        <f>DOCXX[[#This Row],[INV DOC DATE]]+30</f>
        <v>43251</v>
      </c>
      <c r="N755" s="2">
        <v>43266</v>
      </c>
      <c r="O755" s="7">
        <v>299.2</v>
      </c>
      <c r="P755" s="2">
        <v>43278</v>
      </c>
      <c r="Q755" s="7">
        <f>$E755-$O755</f>
        <v>0</v>
      </c>
      <c r="R755" s="7" t="str">
        <f ca="1">IF(TODAY() - DOCXX[INV DUE DATE]&lt;30, "Less than 30 days",IF(TODAY()-DOCXX[INV DUE DATE]&lt;60,"30-60 days","More than 60 days"))</f>
        <v>30-60 days</v>
      </c>
      <c r="S755" t="s">
        <v>818</v>
      </c>
      <c r="T755"/>
      <c r="U755" s="7" t="s">
        <v>3699</v>
      </c>
    </row>
    <row r="756" spans="1:21" x14ac:dyDescent="0.3">
      <c r="A756" s="14" t="s">
        <v>3730</v>
      </c>
      <c r="B756" t="s">
        <v>32</v>
      </c>
      <c r="C756" t="s">
        <v>20</v>
      </c>
      <c r="D756">
        <v>1</v>
      </c>
      <c r="E756" s="7">
        <v>299.2</v>
      </c>
      <c r="F756">
        <v>27629934</v>
      </c>
      <c r="J756" t="s">
        <v>2256</v>
      </c>
      <c r="K756" t="s">
        <v>3</v>
      </c>
      <c r="L756" s="2">
        <v>43221</v>
      </c>
      <c r="M756" s="2">
        <f>DOCXX[[#This Row],[INV DOC DATE]]+30</f>
        <v>43251</v>
      </c>
      <c r="N756" s="2">
        <v>43266</v>
      </c>
      <c r="O756" s="7">
        <v>299.2</v>
      </c>
      <c r="P756" s="2">
        <v>43278</v>
      </c>
      <c r="Q756" s="7">
        <f>$E756-$O756</f>
        <v>0</v>
      </c>
      <c r="R756" s="7" t="str">
        <f ca="1">IF(TODAY() - DOCXX[INV DUE DATE]&lt;30, "Less than 30 days",IF(TODAY()-DOCXX[INV DUE DATE]&lt;60,"30-60 days","More than 60 days"))</f>
        <v>30-60 days</v>
      </c>
      <c r="S756" t="s">
        <v>818</v>
      </c>
      <c r="T756"/>
      <c r="U756" s="7" t="s">
        <v>3699</v>
      </c>
    </row>
    <row r="757" spans="1:21" x14ac:dyDescent="0.3">
      <c r="A757" s="14" t="s">
        <v>3730</v>
      </c>
      <c r="B757" t="s">
        <v>32</v>
      </c>
      <c r="C757" t="s">
        <v>21</v>
      </c>
      <c r="D757">
        <v>1</v>
      </c>
      <c r="E757" s="7">
        <v>299.2</v>
      </c>
      <c r="F757">
        <v>27656369</v>
      </c>
      <c r="J757" t="s">
        <v>2256</v>
      </c>
      <c r="K757" t="s">
        <v>3</v>
      </c>
      <c r="L757" s="2">
        <v>43221</v>
      </c>
      <c r="M757" s="2">
        <f>DOCXX[[#This Row],[INV DOC DATE]]+30</f>
        <v>43251</v>
      </c>
      <c r="N757" s="2">
        <v>43266</v>
      </c>
      <c r="O757" s="7">
        <v>299.2</v>
      </c>
      <c r="P757" s="2">
        <v>43278</v>
      </c>
      <c r="Q757" s="7">
        <f>$E757-$O757</f>
        <v>0</v>
      </c>
      <c r="R757" s="7" t="str">
        <f ca="1">IF(TODAY() - DOCXX[INV DUE DATE]&lt;30, "Less than 30 days",IF(TODAY()-DOCXX[INV DUE DATE]&lt;60,"30-60 days","More than 60 days"))</f>
        <v>30-60 days</v>
      </c>
      <c r="S757" t="s">
        <v>818</v>
      </c>
      <c r="T757"/>
      <c r="U757" s="7" t="s">
        <v>3699</v>
      </c>
    </row>
    <row r="758" spans="1:21" x14ac:dyDescent="0.3">
      <c r="A758" s="14" t="s">
        <v>3730</v>
      </c>
      <c r="B758" t="s">
        <v>32</v>
      </c>
      <c r="C758" t="s">
        <v>22</v>
      </c>
      <c r="D758">
        <v>1</v>
      </c>
      <c r="E758" s="7">
        <v>299.2</v>
      </c>
      <c r="F758">
        <v>27656481</v>
      </c>
      <c r="J758" t="s">
        <v>2256</v>
      </c>
      <c r="K758" t="s">
        <v>3</v>
      </c>
      <c r="L758" s="2">
        <v>43221</v>
      </c>
      <c r="M758" s="2">
        <f>DOCXX[[#This Row],[INV DOC DATE]]+30</f>
        <v>43251</v>
      </c>
      <c r="N758" s="2">
        <v>43266</v>
      </c>
      <c r="O758" s="7">
        <v>299.2</v>
      </c>
      <c r="P758" s="2">
        <v>43278</v>
      </c>
      <c r="Q758" s="7">
        <f>$E758-$O758</f>
        <v>0</v>
      </c>
      <c r="R758" s="7" t="str">
        <f ca="1">IF(TODAY() - DOCXX[INV DUE DATE]&lt;30, "Less than 30 days",IF(TODAY()-DOCXX[INV DUE DATE]&lt;60,"30-60 days","More than 60 days"))</f>
        <v>30-60 days</v>
      </c>
      <c r="S758" t="s">
        <v>818</v>
      </c>
      <c r="T758"/>
      <c r="U758" s="7" t="s">
        <v>3699</v>
      </c>
    </row>
    <row r="759" spans="1:21" x14ac:dyDescent="0.3">
      <c r="A759" s="14" t="s">
        <v>3730</v>
      </c>
      <c r="B759" t="s">
        <v>32</v>
      </c>
      <c r="C759" t="s">
        <v>23</v>
      </c>
      <c r="D759">
        <v>1</v>
      </c>
      <c r="E759" s="7">
        <v>299.2</v>
      </c>
      <c r="F759">
        <v>27665486</v>
      </c>
      <c r="J759" t="s">
        <v>2256</v>
      </c>
      <c r="K759" t="s">
        <v>3</v>
      </c>
      <c r="L759" s="2">
        <v>43221</v>
      </c>
      <c r="M759" s="2">
        <f>DOCXX[[#This Row],[INV DOC DATE]]+30</f>
        <v>43251</v>
      </c>
      <c r="N759" s="2">
        <v>43266</v>
      </c>
      <c r="O759" s="7">
        <v>299.2</v>
      </c>
      <c r="P759" s="2">
        <v>43278</v>
      </c>
      <c r="Q759" s="7">
        <f>$E759-$O759</f>
        <v>0</v>
      </c>
      <c r="R759" s="7" t="str">
        <f ca="1">IF(TODAY() - DOCXX[INV DUE DATE]&lt;30, "Less than 30 days",IF(TODAY()-DOCXX[INV DUE DATE]&lt;60,"30-60 days","More than 60 days"))</f>
        <v>30-60 days</v>
      </c>
      <c r="S759" t="s">
        <v>818</v>
      </c>
      <c r="T759"/>
      <c r="U759" s="7" t="s">
        <v>3699</v>
      </c>
    </row>
    <row r="760" spans="1:21" x14ac:dyDescent="0.3">
      <c r="A760" s="14" t="s">
        <v>3730</v>
      </c>
      <c r="B760" t="s">
        <v>32</v>
      </c>
      <c r="C760" t="s">
        <v>24</v>
      </c>
      <c r="D760">
        <v>1</v>
      </c>
      <c r="E760" s="7">
        <v>299.2</v>
      </c>
      <c r="F760">
        <v>27779877</v>
      </c>
      <c r="J760" t="s">
        <v>2256</v>
      </c>
      <c r="K760" t="s">
        <v>3</v>
      </c>
      <c r="L760" s="2">
        <v>43221</v>
      </c>
      <c r="M760" s="2">
        <f>DOCXX[[#This Row],[INV DOC DATE]]+30</f>
        <v>43251</v>
      </c>
      <c r="N760" s="2">
        <v>43266</v>
      </c>
      <c r="O760" s="7">
        <v>299.2</v>
      </c>
      <c r="P760" s="2">
        <v>43278</v>
      </c>
      <c r="Q760" s="7">
        <f>$E760-$O760</f>
        <v>0</v>
      </c>
      <c r="R760" s="7" t="str">
        <f ca="1">IF(TODAY() - DOCXX[INV DUE DATE]&lt;30, "Less than 30 days",IF(TODAY()-DOCXX[INV DUE DATE]&lt;60,"30-60 days","More than 60 days"))</f>
        <v>30-60 days</v>
      </c>
      <c r="S760" t="s">
        <v>818</v>
      </c>
      <c r="T760"/>
      <c r="U760" s="7" t="s">
        <v>3699</v>
      </c>
    </row>
    <row r="761" spans="1:21" x14ac:dyDescent="0.3">
      <c r="A761" s="14" t="s">
        <v>3730</v>
      </c>
      <c r="B761" t="s">
        <v>32</v>
      </c>
      <c r="C761" t="s">
        <v>25</v>
      </c>
      <c r="D761">
        <v>1</v>
      </c>
      <c r="E761" s="7">
        <v>299.2</v>
      </c>
      <c r="F761">
        <v>27819027</v>
      </c>
      <c r="J761" t="s">
        <v>2256</v>
      </c>
      <c r="K761" t="s">
        <v>3</v>
      </c>
      <c r="L761" s="2">
        <v>43221</v>
      </c>
      <c r="M761" s="2">
        <f>DOCXX[[#This Row],[INV DOC DATE]]+30</f>
        <v>43251</v>
      </c>
      <c r="N761" s="2">
        <v>43266</v>
      </c>
      <c r="O761" s="7">
        <v>299.2</v>
      </c>
      <c r="P761" s="2">
        <v>43278</v>
      </c>
      <c r="Q761" s="7">
        <f>$E761-$O761</f>
        <v>0</v>
      </c>
      <c r="R761" s="7" t="str">
        <f ca="1">IF(TODAY() - DOCXX[INV DUE DATE]&lt;30, "Less than 30 days",IF(TODAY()-DOCXX[INV DUE DATE]&lt;60,"30-60 days","More than 60 days"))</f>
        <v>30-60 days</v>
      </c>
      <c r="S761" t="s">
        <v>818</v>
      </c>
      <c r="T761"/>
      <c r="U761" s="7" t="s">
        <v>3699</v>
      </c>
    </row>
    <row r="762" spans="1:21" x14ac:dyDescent="0.3">
      <c r="A762" s="14" t="s">
        <v>3730</v>
      </c>
      <c r="B762" t="s">
        <v>32</v>
      </c>
      <c r="C762" t="s">
        <v>26</v>
      </c>
      <c r="D762">
        <v>1</v>
      </c>
      <c r="E762" s="7">
        <v>299.2</v>
      </c>
      <c r="F762">
        <v>27840979</v>
      </c>
      <c r="J762" t="s">
        <v>2256</v>
      </c>
      <c r="K762" t="s">
        <v>3</v>
      </c>
      <c r="L762" s="2">
        <v>43221</v>
      </c>
      <c r="M762" s="2">
        <f>DOCXX[[#This Row],[INV DOC DATE]]+30</f>
        <v>43251</v>
      </c>
      <c r="N762" s="2">
        <v>43266</v>
      </c>
      <c r="O762" s="7">
        <v>299.2</v>
      </c>
      <c r="P762" s="2">
        <v>43278</v>
      </c>
      <c r="Q762" s="7">
        <f>$E762-$O762</f>
        <v>0</v>
      </c>
      <c r="R762" s="7" t="str">
        <f ca="1">IF(TODAY() - DOCXX[INV DUE DATE]&lt;30, "Less than 30 days",IF(TODAY()-DOCXX[INV DUE DATE]&lt;60,"30-60 days","More than 60 days"))</f>
        <v>30-60 days</v>
      </c>
      <c r="S762" t="s">
        <v>818</v>
      </c>
      <c r="T762"/>
      <c r="U762" s="7" t="s">
        <v>3699</v>
      </c>
    </row>
    <row r="763" spans="1:21" x14ac:dyDescent="0.3">
      <c r="A763" s="14" t="s">
        <v>3730</v>
      </c>
      <c r="B763" t="s">
        <v>32</v>
      </c>
      <c r="C763" t="s">
        <v>27</v>
      </c>
      <c r="D763">
        <v>1</v>
      </c>
      <c r="E763" s="7">
        <v>299.2</v>
      </c>
      <c r="F763">
        <v>27908992</v>
      </c>
      <c r="J763" t="s">
        <v>2256</v>
      </c>
      <c r="K763" t="s">
        <v>3</v>
      </c>
      <c r="L763" s="2">
        <v>43221</v>
      </c>
      <c r="M763" s="2">
        <f>DOCXX[[#This Row],[INV DOC DATE]]+30</f>
        <v>43251</v>
      </c>
      <c r="N763" s="2">
        <v>43266</v>
      </c>
      <c r="O763" s="7">
        <v>299.2</v>
      </c>
      <c r="P763" s="2">
        <v>43278</v>
      </c>
      <c r="Q763" s="7">
        <f>$E763-$O763</f>
        <v>0</v>
      </c>
      <c r="R763" s="7" t="str">
        <f ca="1">IF(TODAY() - DOCXX[INV DUE DATE]&lt;30, "Less than 30 days",IF(TODAY()-DOCXX[INV DUE DATE]&lt;60,"30-60 days","More than 60 days"))</f>
        <v>30-60 days</v>
      </c>
      <c r="S763" t="s">
        <v>818</v>
      </c>
      <c r="T763"/>
      <c r="U763" s="7" t="s">
        <v>3699</v>
      </c>
    </row>
    <row r="764" spans="1:21" x14ac:dyDescent="0.3">
      <c r="A764" s="14" t="s">
        <v>3730</v>
      </c>
      <c r="B764" t="s">
        <v>32</v>
      </c>
      <c r="C764" t="s">
        <v>28</v>
      </c>
      <c r="D764">
        <v>1</v>
      </c>
      <c r="E764" s="7">
        <v>299.2</v>
      </c>
      <c r="F764">
        <v>27919722</v>
      </c>
      <c r="J764" t="s">
        <v>2256</v>
      </c>
      <c r="K764" t="s">
        <v>3</v>
      </c>
      <c r="L764" s="2">
        <v>43221</v>
      </c>
      <c r="M764" s="2">
        <f>DOCXX[[#This Row],[INV DOC DATE]]+30</f>
        <v>43251</v>
      </c>
      <c r="N764" s="2">
        <v>43266</v>
      </c>
      <c r="O764" s="7">
        <v>299.2</v>
      </c>
      <c r="P764" s="2">
        <v>43278</v>
      </c>
      <c r="Q764" s="7">
        <f>$E764-$O764</f>
        <v>0</v>
      </c>
      <c r="R764" s="7" t="str">
        <f ca="1">IF(TODAY() - DOCXX[INV DUE DATE]&lt;30, "Less than 30 days",IF(TODAY()-DOCXX[INV DUE DATE]&lt;60,"30-60 days","More than 60 days"))</f>
        <v>30-60 days</v>
      </c>
      <c r="S764" t="s">
        <v>818</v>
      </c>
      <c r="T764"/>
      <c r="U764" s="7" t="s">
        <v>3699</v>
      </c>
    </row>
    <row r="765" spans="1:21" x14ac:dyDescent="0.3">
      <c r="A765" s="14" t="s">
        <v>3730</v>
      </c>
      <c r="B765" t="s">
        <v>32</v>
      </c>
      <c r="C765" t="s">
        <v>37</v>
      </c>
      <c r="D765">
        <v>1</v>
      </c>
      <c r="E765" s="7">
        <v>299.2</v>
      </c>
      <c r="F765">
        <v>27920795</v>
      </c>
      <c r="J765" t="s">
        <v>2256</v>
      </c>
      <c r="K765" t="s">
        <v>3</v>
      </c>
      <c r="L765" s="2">
        <v>43221</v>
      </c>
      <c r="M765" s="2">
        <f>DOCXX[[#This Row],[INV DOC DATE]]+30</f>
        <v>43251</v>
      </c>
      <c r="N765" s="2">
        <v>43266</v>
      </c>
      <c r="O765" s="7">
        <v>299.2</v>
      </c>
      <c r="P765" s="2">
        <v>43278</v>
      </c>
      <c r="Q765" s="7">
        <f>$E765-$O765</f>
        <v>0</v>
      </c>
      <c r="R765" s="7" t="str">
        <f ca="1">IF(TODAY() - DOCXX[INV DUE DATE]&lt;30, "Less than 30 days",IF(TODAY()-DOCXX[INV DUE DATE]&lt;60,"30-60 days","More than 60 days"))</f>
        <v>30-60 days</v>
      </c>
      <c r="S765" t="s">
        <v>818</v>
      </c>
      <c r="T765"/>
      <c r="U765" s="7" t="s">
        <v>3699</v>
      </c>
    </row>
    <row r="766" spans="1:21" x14ac:dyDescent="0.3">
      <c r="A766" s="14" t="s">
        <v>3730</v>
      </c>
      <c r="B766" t="s">
        <v>32</v>
      </c>
      <c r="C766" t="s">
        <v>38</v>
      </c>
      <c r="D766">
        <v>1</v>
      </c>
      <c r="E766" s="7">
        <v>299.2</v>
      </c>
      <c r="F766">
        <v>28206749</v>
      </c>
      <c r="J766" t="s">
        <v>2256</v>
      </c>
      <c r="K766" t="s">
        <v>3</v>
      </c>
      <c r="L766" s="2">
        <v>43221</v>
      </c>
      <c r="M766" s="2">
        <f>DOCXX[[#This Row],[INV DOC DATE]]+30</f>
        <v>43251</v>
      </c>
      <c r="N766" s="2">
        <v>43266</v>
      </c>
      <c r="O766" s="7">
        <v>299.2</v>
      </c>
      <c r="P766" s="2">
        <v>43278</v>
      </c>
      <c r="Q766" s="7">
        <f>$E766-$O766</f>
        <v>0</v>
      </c>
      <c r="R766" s="7" t="str">
        <f ca="1">IF(TODAY() - DOCXX[INV DUE DATE]&lt;30, "Less than 30 days",IF(TODAY()-DOCXX[INV DUE DATE]&lt;60,"30-60 days","More than 60 days"))</f>
        <v>30-60 days</v>
      </c>
      <c r="S766" t="s">
        <v>818</v>
      </c>
      <c r="T766"/>
      <c r="U766" s="7" t="s">
        <v>3699</v>
      </c>
    </row>
    <row r="767" spans="1:21" x14ac:dyDescent="0.3">
      <c r="A767" s="14" t="s">
        <v>3730</v>
      </c>
      <c r="B767" t="s">
        <v>32</v>
      </c>
      <c r="C767" t="s">
        <v>39</v>
      </c>
      <c r="D767">
        <v>1</v>
      </c>
      <c r="E767" s="7">
        <v>299.2</v>
      </c>
      <c r="F767">
        <v>28330595</v>
      </c>
      <c r="J767" t="s">
        <v>2256</v>
      </c>
      <c r="K767" t="s">
        <v>3</v>
      </c>
      <c r="L767" s="2">
        <v>43221</v>
      </c>
      <c r="M767" s="2">
        <f>DOCXX[[#This Row],[INV DOC DATE]]+30</f>
        <v>43251</v>
      </c>
      <c r="N767" s="2">
        <v>43266</v>
      </c>
      <c r="O767" s="7">
        <v>299.2</v>
      </c>
      <c r="P767" s="2">
        <v>43278</v>
      </c>
      <c r="Q767" s="7">
        <f>$E767-$O767</f>
        <v>0</v>
      </c>
      <c r="R767" s="7" t="str">
        <f ca="1">IF(TODAY() - DOCXX[INV DUE DATE]&lt;30, "Less than 30 days",IF(TODAY()-DOCXX[INV DUE DATE]&lt;60,"30-60 days","More than 60 days"))</f>
        <v>30-60 days</v>
      </c>
      <c r="S767" t="s">
        <v>818</v>
      </c>
      <c r="T767"/>
      <c r="U767" s="7" t="s">
        <v>3699</v>
      </c>
    </row>
    <row r="768" spans="1:21" x14ac:dyDescent="0.3">
      <c r="A768" s="14" t="s">
        <v>3730</v>
      </c>
      <c r="B768" t="s">
        <v>32</v>
      </c>
      <c r="C768" t="s">
        <v>40</v>
      </c>
      <c r="D768">
        <v>1</v>
      </c>
      <c r="E768" s="7">
        <v>299.2</v>
      </c>
      <c r="F768">
        <v>28434103</v>
      </c>
      <c r="J768" t="s">
        <v>2256</v>
      </c>
      <c r="K768" t="s">
        <v>3</v>
      </c>
      <c r="L768" s="2">
        <v>43221</v>
      </c>
      <c r="M768" s="2">
        <f>DOCXX[[#This Row],[INV DOC DATE]]+30</f>
        <v>43251</v>
      </c>
      <c r="N768" s="2">
        <v>43266</v>
      </c>
      <c r="O768" s="7">
        <v>299.2</v>
      </c>
      <c r="P768" s="2">
        <v>43278</v>
      </c>
      <c r="Q768" s="7">
        <f>$E768-$O768</f>
        <v>0</v>
      </c>
      <c r="R768" s="7" t="str">
        <f ca="1">IF(TODAY() - DOCXX[INV DUE DATE]&lt;30, "Less than 30 days",IF(TODAY()-DOCXX[INV DUE DATE]&lt;60,"30-60 days","More than 60 days"))</f>
        <v>30-60 days</v>
      </c>
      <c r="S768" t="s">
        <v>818</v>
      </c>
      <c r="T768"/>
      <c r="U768" s="7" t="s">
        <v>3699</v>
      </c>
    </row>
    <row r="769" spans="1:21" x14ac:dyDescent="0.3">
      <c r="A769" s="14" t="s">
        <v>3730</v>
      </c>
      <c r="B769" t="s">
        <v>32</v>
      </c>
      <c r="C769" t="s">
        <v>42</v>
      </c>
      <c r="D769">
        <v>1</v>
      </c>
      <c r="E769" s="7">
        <v>299.2</v>
      </c>
      <c r="F769">
        <v>28519379</v>
      </c>
      <c r="J769" t="s">
        <v>2256</v>
      </c>
      <c r="K769" t="s">
        <v>3</v>
      </c>
      <c r="L769" s="2">
        <v>43221</v>
      </c>
      <c r="M769" s="2">
        <f>DOCXX[[#This Row],[INV DOC DATE]]+30</f>
        <v>43251</v>
      </c>
      <c r="N769" s="2">
        <v>43266</v>
      </c>
      <c r="O769" s="7">
        <v>299.2</v>
      </c>
      <c r="P769" s="2">
        <v>43278</v>
      </c>
      <c r="Q769" s="7">
        <f>$E769-$O769</f>
        <v>0</v>
      </c>
      <c r="R769" s="7" t="str">
        <f ca="1">IF(TODAY() - DOCXX[INV DUE DATE]&lt;30, "Less than 30 days",IF(TODAY()-DOCXX[INV DUE DATE]&lt;60,"30-60 days","More than 60 days"))</f>
        <v>30-60 days</v>
      </c>
      <c r="S769" t="s">
        <v>818</v>
      </c>
      <c r="T769"/>
      <c r="U769" s="7" t="s">
        <v>3699</v>
      </c>
    </row>
    <row r="770" spans="1:21" x14ac:dyDescent="0.3">
      <c r="A770" s="14" t="s">
        <v>3730</v>
      </c>
      <c r="B770" t="s">
        <v>32</v>
      </c>
      <c r="C770" t="s">
        <v>43</v>
      </c>
      <c r="D770">
        <v>1</v>
      </c>
      <c r="E770" s="7">
        <v>299.2</v>
      </c>
      <c r="F770">
        <v>28651205</v>
      </c>
      <c r="J770" t="s">
        <v>2256</v>
      </c>
      <c r="K770" t="s">
        <v>3</v>
      </c>
      <c r="L770" s="2">
        <v>43221</v>
      </c>
      <c r="M770" s="2">
        <f>DOCXX[[#This Row],[INV DOC DATE]]+30</f>
        <v>43251</v>
      </c>
      <c r="N770" s="2">
        <v>43266</v>
      </c>
      <c r="O770" s="7">
        <v>299.2</v>
      </c>
      <c r="P770" s="2">
        <v>43278</v>
      </c>
      <c r="Q770" s="7">
        <f>$E770-$O770</f>
        <v>0</v>
      </c>
      <c r="R770" s="7" t="str">
        <f ca="1">IF(TODAY() - DOCXX[INV DUE DATE]&lt;30, "Less than 30 days",IF(TODAY()-DOCXX[INV DUE DATE]&lt;60,"30-60 days","More than 60 days"))</f>
        <v>30-60 days</v>
      </c>
      <c r="S770" t="s">
        <v>818</v>
      </c>
      <c r="T770"/>
      <c r="U770" s="7" t="s">
        <v>3699</v>
      </c>
    </row>
    <row r="771" spans="1:21" x14ac:dyDescent="0.3">
      <c r="A771" s="14" t="s">
        <v>3730</v>
      </c>
      <c r="B771" t="s">
        <v>32</v>
      </c>
      <c r="C771" t="s">
        <v>44</v>
      </c>
      <c r="D771">
        <v>1</v>
      </c>
      <c r="E771" s="7">
        <v>299.2</v>
      </c>
      <c r="F771">
        <v>28677477</v>
      </c>
      <c r="J771" t="s">
        <v>2256</v>
      </c>
      <c r="K771" t="s">
        <v>3</v>
      </c>
      <c r="L771" s="2">
        <v>43221</v>
      </c>
      <c r="M771" s="2">
        <f>DOCXX[[#This Row],[INV DOC DATE]]+30</f>
        <v>43251</v>
      </c>
      <c r="N771" s="2">
        <v>43266</v>
      </c>
      <c r="O771" s="7">
        <v>299.2</v>
      </c>
      <c r="P771" s="2">
        <v>43278</v>
      </c>
      <c r="Q771" s="7">
        <f>$E771-$O771</f>
        <v>0</v>
      </c>
      <c r="R771" s="7" t="str">
        <f ca="1">IF(TODAY() - DOCXX[INV DUE DATE]&lt;30, "Less than 30 days",IF(TODAY()-DOCXX[INV DUE DATE]&lt;60,"30-60 days","More than 60 days"))</f>
        <v>30-60 days</v>
      </c>
      <c r="S771" t="s">
        <v>818</v>
      </c>
      <c r="T771"/>
      <c r="U771" s="7" t="s">
        <v>3699</v>
      </c>
    </row>
    <row r="772" spans="1:21" x14ac:dyDescent="0.3">
      <c r="A772" s="14" t="s">
        <v>3730</v>
      </c>
      <c r="B772" t="s">
        <v>32</v>
      </c>
      <c r="C772" t="s">
        <v>45</v>
      </c>
      <c r="D772">
        <v>1</v>
      </c>
      <c r="E772" s="7">
        <v>299.2</v>
      </c>
      <c r="F772">
        <v>28740310</v>
      </c>
      <c r="J772" t="s">
        <v>2256</v>
      </c>
      <c r="K772" t="s">
        <v>3</v>
      </c>
      <c r="L772" s="2">
        <v>43221</v>
      </c>
      <c r="M772" s="2">
        <f>DOCXX[[#This Row],[INV DOC DATE]]+30</f>
        <v>43251</v>
      </c>
      <c r="N772" s="2">
        <v>43266</v>
      </c>
      <c r="O772" s="7">
        <v>299.2</v>
      </c>
      <c r="P772" s="2">
        <v>43278</v>
      </c>
      <c r="Q772" s="7">
        <f>$E772-$O772</f>
        <v>0</v>
      </c>
      <c r="R772" s="7" t="str">
        <f ca="1">IF(TODAY() - DOCXX[INV DUE DATE]&lt;30, "Less than 30 days",IF(TODAY()-DOCXX[INV DUE DATE]&lt;60,"30-60 days","More than 60 days"))</f>
        <v>30-60 days</v>
      </c>
      <c r="S772" t="s">
        <v>818</v>
      </c>
      <c r="T772"/>
      <c r="U772" s="7" t="s">
        <v>3699</v>
      </c>
    </row>
    <row r="773" spans="1:21" x14ac:dyDescent="0.3">
      <c r="A773" s="14" t="s">
        <v>3730</v>
      </c>
      <c r="B773" t="s">
        <v>32</v>
      </c>
      <c r="C773" t="s">
        <v>46</v>
      </c>
      <c r="D773">
        <v>1</v>
      </c>
      <c r="E773" s="7">
        <v>299.2</v>
      </c>
      <c r="F773">
        <v>28847319</v>
      </c>
      <c r="J773" t="s">
        <v>2256</v>
      </c>
      <c r="K773" t="s">
        <v>3</v>
      </c>
      <c r="L773" s="2">
        <v>43221</v>
      </c>
      <c r="M773" s="2">
        <f>DOCXX[[#This Row],[INV DOC DATE]]+30</f>
        <v>43251</v>
      </c>
      <c r="N773" s="2">
        <v>43266</v>
      </c>
      <c r="O773" s="7">
        <v>299.2</v>
      </c>
      <c r="P773" s="2">
        <v>43278</v>
      </c>
      <c r="Q773" s="7">
        <f>$E773-$O773</f>
        <v>0</v>
      </c>
      <c r="R773" s="7" t="str">
        <f ca="1">IF(TODAY() - DOCXX[INV DUE DATE]&lt;30, "Less than 30 days",IF(TODAY()-DOCXX[INV DUE DATE]&lt;60,"30-60 days","More than 60 days"))</f>
        <v>30-60 days</v>
      </c>
      <c r="S773" t="s">
        <v>818</v>
      </c>
      <c r="T773"/>
      <c r="U773" s="7" t="s">
        <v>3699</v>
      </c>
    </row>
    <row r="774" spans="1:21" x14ac:dyDescent="0.3">
      <c r="A774" s="14" t="s">
        <v>3730</v>
      </c>
      <c r="B774" t="s">
        <v>32</v>
      </c>
      <c r="C774" t="s">
        <v>47</v>
      </c>
      <c r="D774">
        <v>1</v>
      </c>
      <c r="E774" s="7">
        <v>299.2</v>
      </c>
      <c r="F774">
        <v>29420620</v>
      </c>
      <c r="J774" t="s">
        <v>2256</v>
      </c>
      <c r="K774" t="s">
        <v>3</v>
      </c>
      <c r="L774" s="2">
        <v>43221</v>
      </c>
      <c r="M774" s="2">
        <f>DOCXX[[#This Row],[INV DOC DATE]]+30</f>
        <v>43251</v>
      </c>
      <c r="N774" s="2">
        <v>43266</v>
      </c>
      <c r="O774" s="7">
        <v>299.2</v>
      </c>
      <c r="P774" s="2">
        <v>43278</v>
      </c>
      <c r="Q774" s="7">
        <f>$E774-$O774</f>
        <v>0</v>
      </c>
      <c r="R774" s="7" t="str">
        <f ca="1">IF(TODAY() - DOCXX[INV DUE DATE]&lt;30, "Less than 30 days",IF(TODAY()-DOCXX[INV DUE DATE]&lt;60,"30-60 days","More than 60 days"))</f>
        <v>30-60 days</v>
      </c>
      <c r="S774" t="s">
        <v>818</v>
      </c>
      <c r="T774"/>
      <c r="U774" s="7" t="s">
        <v>3699</v>
      </c>
    </row>
    <row r="775" spans="1:21" x14ac:dyDescent="0.3">
      <c r="A775" s="14" t="s">
        <v>3730</v>
      </c>
      <c r="B775" t="s">
        <v>32</v>
      </c>
      <c r="C775" t="s">
        <v>295</v>
      </c>
      <c r="D775">
        <v>1</v>
      </c>
      <c r="E775" s="7">
        <v>299.2</v>
      </c>
      <c r="F775">
        <v>29421038</v>
      </c>
      <c r="J775" t="s">
        <v>2256</v>
      </c>
      <c r="K775" t="s">
        <v>3</v>
      </c>
      <c r="L775" s="2">
        <v>43221</v>
      </c>
      <c r="M775" s="2">
        <f>DOCXX[[#This Row],[INV DOC DATE]]+30</f>
        <v>43251</v>
      </c>
      <c r="N775" s="2">
        <v>43266</v>
      </c>
      <c r="O775" s="7">
        <v>299.2</v>
      </c>
      <c r="P775" s="2">
        <v>43278</v>
      </c>
      <c r="Q775" s="7">
        <f>$E775-$O775</f>
        <v>0</v>
      </c>
      <c r="R775" s="7" t="str">
        <f ca="1">IF(TODAY() - DOCXX[INV DUE DATE]&lt;30, "Less than 30 days",IF(TODAY()-DOCXX[INV DUE DATE]&lt;60,"30-60 days","More than 60 days"))</f>
        <v>30-60 days</v>
      </c>
      <c r="S775" t="s">
        <v>818</v>
      </c>
      <c r="T775"/>
      <c r="U775" s="7" t="s">
        <v>3699</v>
      </c>
    </row>
    <row r="776" spans="1:21" x14ac:dyDescent="0.3">
      <c r="A776" s="14" t="s">
        <v>3730</v>
      </c>
      <c r="B776" t="s">
        <v>32</v>
      </c>
      <c r="C776" t="s">
        <v>48</v>
      </c>
      <c r="D776">
        <v>1</v>
      </c>
      <c r="E776" s="7">
        <v>299.2</v>
      </c>
      <c r="F776">
        <v>29473856</v>
      </c>
      <c r="J776" t="s">
        <v>2256</v>
      </c>
      <c r="K776" t="s">
        <v>3</v>
      </c>
      <c r="L776" s="2">
        <v>43221</v>
      </c>
      <c r="M776" s="2">
        <f>DOCXX[[#This Row],[INV DOC DATE]]+30</f>
        <v>43251</v>
      </c>
      <c r="N776" s="2">
        <v>43266</v>
      </c>
      <c r="O776" s="7">
        <v>299.2</v>
      </c>
      <c r="P776" s="2">
        <v>43278</v>
      </c>
      <c r="Q776" s="7">
        <f>$E776-$O776</f>
        <v>0</v>
      </c>
      <c r="R776" s="7" t="str">
        <f ca="1">IF(TODAY() - DOCXX[INV DUE DATE]&lt;30, "Less than 30 days",IF(TODAY()-DOCXX[INV DUE DATE]&lt;60,"30-60 days","More than 60 days"))</f>
        <v>30-60 days</v>
      </c>
      <c r="S776" t="s">
        <v>818</v>
      </c>
      <c r="T776"/>
      <c r="U776" s="7" t="s">
        <v>3699</v>
      </c>
    </row>
    <row r="777" spans="1:21" x14ac:dyDescent="0.3">
      <c r="A777" s="14" t="s">
        <v>3730</v>
      </c>
      <c r="B777" t="s">
        <v>32</v>
      </c>
      <c r="C777" t="s">
        <v>49</v>
      </c>
      <c r="D777">
        <v>1</v>
      </c>
      <c r="E777" s="7">
        <v>121.55</v>
      </c>
      <c r="F777">
        <v>29746687</v>
      </c>
      <c r="J777" t="s">
        <v>2256</v>
      </c>
      <c r="K777" t="s">
        <v>3</v>
      </c>
      <c r="L777" s="2">
        <v>43221</v>
      </c>
      <c r="M777" s="2">
        <f>DOCXX[[#This Row],[INV DOC DATE]]+30</f>
        <v>43251</v>
      </c>
      <c r="N777" s="2">
        <v>43266</v>
      </c>
      <c r="O777" s="7">
        <v>121.55</v>
      </c>
      <c r="P777" s="2">
        <v>43278</v>
      </c>
      <c r="Q777" s="7">
        <f>$E777-$O777</f>
        <v>0</v>
      </c>
      <c r="R777" s="7" t="str">
        <f ca="1">IF(TODAY() - DOCXX[INV DUE DATE]&lt;30, "Less than 30 days",IF(TODAY()-DOCXX[INV DUE DATE]&lt;60,"30-60 days","More than 60 days"))</f>
        <v>30-60 days</v>
      </c>
      <c r="S777" t="s">
        <v>818</v>
      </c>
      <c r="T777"/>
      <c r="U777" s="7" t="s">
        <v>3699</v>
      </c>
    </row>
    <row r="778" spans="1:21" x14ac:dyDescent="0.3">
      <c r="A778" s="14" t="s">
        <v>3730</v>
      </c>
      <c r="B778" t="s">
        <v>32</v>
      </c>
      <c r="C778" t="s">
        <v>50</v>
      </c>
      <c r="D778">
        <v>1</v>
      </c>
      <c r="E778" s="7">
        <v>121.55</v>
      </c>
      <c r="F778">
        <v>29773720</v>
      </c>
      <c r="J778" t="s">
        <v>2256</v>
      </c>
      <c r="K778" t="s">
        <v>3</v>
      </c>
      <c r="L778" s="2">
        <v>43221</v>
      </c>
      <c r="M778" s="2">
        <f>DOCXX[[#This Row],[INV DOC DATE]]+30</f>
        <v>43251</v>
      </c>
      <c r="N778" s="2">
        <v>43266</v>
      </c>
      <c r="O778" s="7">
        <v>121.55</v>
      </c>
      <c r="P778" s="2">
        <v>43278</v>
      </c>
      <c r="Q778" s="7">
        <f>$E778-$O778</f>
        <v>0</v>
      </c>
      <c r="R778" s="7" t="str">
        <f ca="1">IF(TODAY() - DOCXX[INV DUE DATE]&lt;30, "Less than 30 days",IF(TODAY()-DOCXX[INV DUE DATE]&lt;60,"30-60 days","More than 60 days"))</f>
        <v>30-60 days</v>
      </c>
      <c r="S778" t="s">
        <v>818</v>
      </c>
      <c r="T778"/>
      <c r="U778" s="7" t="s">
        <v>3699</v>
      </c>
    </row>
    <row r="779" spans="1:21" x14ac:dyDescent="0.3">
      <c r="A779" s="14" t="s">
        <v>3730</v>
      </c>
      <c r="B779" t="s">
        <v>32</v>
      </c>
      <c r="C779" t="s">
        <v>51</v>
      </c>
      <c r="D779">
        <v>1</v>
      </c>
      <c r="E779" s="7">
        <v>299.2</v>
      </c>
      <c r="F779">
        <v>29872647</v>
      </c>
      <c r="J779" t="s">
        <v>2256</v>
      </c>
      <c r="K779" t="s">
        <v>3</v>
      </c>
      <c r="L779" s="2">
        <v>43221</v>
      </c>
      <c r="M779" s="2">
        <f>DOCXX[[#This Row],[INV DOC DATE]]+30</f>
        <v>43251</v>
      </c>
      <c r="N779" s="2">
        <v>43266</v>
      </c>
      <c r="O779" s="7">
        <v>299.2</v>
      </c>
      <c r="P779" s="2">
        <v>43278</v>
      </c>
      <c r="Q779" s="7">
        <f>$E779-$O779</f>
        <v>0</v>
      </c>
      <c r="R779" s="7" t="str">
        <f ca="1">IF(TODAY() - DOCXX[INV DUE DATE]&lt;30, "Less than 30 days",IF(TODAY()-DOCXX[INV DUE DATE]&lt;60,"30-60 days","More than 60 days"))</f>
        <v>30-60 days</v>
      </c>
      <c r="S779" t="s">
        <v>818</v>
      </c>
      <c r="T779"/>
      <c r="U779" s="7" t="s">
        <v>3699</v>
      </c>
    </row>
    <row r="780" spans="1:21" x14ac:dyDescent="0.3">
      <c r="A780" s="14" t="s">
        <v>3730</v>
      </c>
      <c r="B780" t="s">
        <v>32</v>
      </c>
      <c r="C780" t="s">
        <v>52</v>
      </c>
      <c r="D780">
        <v>1</v>
      </c>
      <c r="E780" s="7">
        <v>299.2</v>
      </c>
      <c r="F780">
        <v>29877676</v>
      </c>
      <c r="J780" t="s">
        <v>2256</v>
      </c>
      <c r="K780" t="s">
        <v>3</v>
      </c>
      <c r="L780" s="2">
        <v>43221</v>
      </c>
      <c r="M780" s="2">
        <f>DOCXX[[#This Row],[INV DOC DATE]]+30</f>
        <v>43251</v>
      </c>
      <c r="N780" s="2">
        <v>43266</v>
      </c>
      <c r="O780" s="7">
        <v>299.2</v>
      </c>
      <c r="P780" s="2">
        <v>43278</v>
      </c>
      <c r="Q780" s="7">
        <f>$E780-$O780</f>
        <v>0</v>
      </c>
      <c r="R780" s="7" t="str">
        <f ca="1">IF(TODAY() - DOCXX[INV DUE DATE]&lt;30, "Less than 30 days",IF(TODAY()-DOCXX[INV DUE DATE]&lt;60,"30-60 days","More than 60 days"))</f>
        <v>30-60 days</v>
      </c>
      <c r="S780" t="s">
        <v>818</v>
      </c>
      <c r="T780"/>
      <c r="U780" s="7" t="s">
        <v>3699</v>
      </c>
    </row>
    <row r="781" spans="1:21" x14ac:dyDescent="0.3">
      <c r="A781" s="14" t="s">
        <v>3730</v>
      </c>
      <c r="B781" t="s">
        <v>32</v>
      </c>
      <c r="C781" t="s">
        <v>53</v>
      </c>
      <c r="D781">
        <v>1</v>
      </c>
      <c r="E781" s="7">
        <v>299.2</v>
      </c>
      <c r="F781">
        <v>29953891</v>
      </c>
      <c r="J781" t="s">
        <v>2256</v>
      </c>
      <c r="K781" t="s">
        <v>3</v>
      </c>
      <c r="L781" s="2">
        <v>43221</v>
      </c>
      <c r="M781" s="2">
        <f>DOCXX[[#This Row],[INV DOC DATE]]+30</f>
        <v>43251</v>
      </c>
      <c r="N781" s="2">
        <v>43266</v>
      </c>
      <c r="O781" s="7">
        <v>299.2</v>
      </c>
      <c r="P781" s="2">
        <v>43278</v>
      </c>
      <c r="Q781" s="7">
        <f>$E781-$O781</f>
        <v>0</v>
      </c>
      <c r="R781" s="7" t="str">
        <f ca="1">IF(TODAY() - DOCXX[INV DUE DATE]&lt;30, "Less than 30 days",IF(TODAY()-DOCXX[INV DUE DATE]&lt;60,"30-60 days","More than 60 days"))</f>
        <v>30-60 days</v>
      </c>
      <c r="S781" t="s">
        <v>818</v>
      </c>
      <c r="T781"/>
      <c r="U781" s="7" t="s">
        <v>3699</v>
      </c>
    </row>
    <row r="782" spans="1:21" x14ac:dyDescent="0.3">
      <c r="A782" s="14" t="s">
        <v>3730</v>
      </c>
      <c r="B782" t="s">
        <v>32</v>
      </c>
      <c r="C782" t="s">
        <v>54</v>
      </c>
      <c r="D782">
        <v>1</v>
      </c>
      <c r="E782" s="7">
        <v>299.2</v>
      </c>
      <c r="F782">
        <v>30259495</v>
      </c>
      <c r="J782" t="s">
        <v>2256</v>
      </c>
      <c r="K782" t="s">
        <v>3</v>
      </c>
      <c r="L782" s="2">
        <v>43221</v>
      </c>
      <c r="M782" s="2">
        <f>DOCXX[[#This Row],[INV DOC DATE]]+30</f>
        <v>43251</v>
      </c>
      <c r="N782" s="2">
        <v>43266</v>
      </c>
      <c r="O782" s="7">
        <v>299.2</v>
      </c>
      <c r="P782" s="2">
        <v>43278</v>
      </c>
      <c r="Q782" s="7">
        <f>$E782-$O782</f>
        <v>0</v>
      </c>
      <c r="R782" s="7" t="str">
        <f ca="1">IF(TODAY() - DOCXX[INV DUE DATE]&lt;30, "Less than 30 days",IF(TODAY()-DOCXX[INV DUE DATE]&lt;60,"30-60 days","More than 60 days"))</f>
        <v>30-60 days</v>
      </c>
      <c r="S782" t="s">
        <v>818</v>
      </c>
      <c r="T782"/>
      <c r="U782" s="7" t="s">
        <v>3699</v>
      </c>
    </row>
    <row r="783" spans="1:21" x14ac:dyDescent="0.3">
      <c r="A783" s="14" t="s">
        <v>3730</v>
      </c>
      <c r="B783" t="s">
        <v>32</v>
      </c>
      <c r="C783" t="s">
        <v>55</v>
      </c>
      <c r="D783">
        <v>1</v>
      </c>
      <c r="E783" s="7">
        <v>299.2</v>
      </c>
      <c r="F783">
        <v>30260506</v>
      </c>
      <c r="J783" t="s">
        <v>2256</v>
      </c>
      <c r="K783" t="s">
        <v>3</v>
      </c>
      <c r="L783" s="2">
        <v>43221</v>
      </c>
      <c r="M783" s="2">
        <f>DOCXX[[#This Row],[INV DOC DATE]]+30</f>
        <v>43251</v>
      </c>
      <c r="N783" s="2">
        <v>43266</v>
      </c>
      <c r="O783" s="7">
        <v>299.2</v>
      </c>
      <c r="P783" s="2">
        <v>43278</v>
      </c>
      <c r="Q783" s="7">
        <f>$E783-$O783</f>
        <v>0</v>
      </c>
      <c r="R783" s="7" t="str">
        <f ca="1">IF(TODAY() - DOCXX[INV DUE DATE]&lt;30, "Less than 30 days",IF(TODAY()-DOCXX[INV DUE DATE]&lt;60,"30-60 days","More than 60 days"))</f>
        <v>30-60 days</v>
      </c>
      <c r="S783" t="s">
        <v>818</v>
      </c>
      <c r="T783"/>
      <c r="U783" s="7" t="s">
        <v>3699</v>
      </c>
    </row>
    <row r="784" spans="1:21" x14ac:dyDescent="0.3">
      <c r="A784" s="14" t="s">
        <v>3730</v>
      </c>
      <c r="B784" t="s">
        <v>32</v>
      </c>
      <c r="C784" t="s">
        <v>56</v>
      </c>
      <c r="D784">
        <v>1</v>
      </c>
      <c r="E784" s="7">
        <v>299.2</v>
      </c>
      <c r="F784">
        <v>30274933</v>
      </c>
      <c r="J784" t="s">
        <v>2256</v>
      </c>
      <c r="K784" t="s">
        <v>3</v>
      </c>
      <c r="L784" s="2">
        <v>43221</v>
      </c>
      <c r="M784" s="2">
        <f>DOCXX[[#This Row],[INV DOC DATE]]+30</f>
        <v>43251</v>
      </c>
      <c r="N784" s="2">
        <v>43266</v>
      </c>
      <c r="O784" s="7">
        <v>299.2</v>
      </c>
      <c r="P784" s="2">
        <v>43278</v>
      </c>
      <c r="Q784" s="7">
        <f>$E784-$O784</f>
        <v>0</v>
      </c>
      <c r="R784" s="7" t="str">
        <f ca="1">IF(TODAY() - DOCXX[INV DUE DATE]&lt;30, "Less than 30 days",IF(TODAY()-DOCXX[INV DUE DATE]&lt;60,"30-60 days","More than 60 days"))</f>
        <v>30-60 days</v>
      </c>
      <c r="S784" t="s">
        <v>818</v>
      </c>
      <c r="T784"/>
      <c r="U784" s="7" t="s">
        <v>3699</v>
      </c>
    </row>
    <row r="785" spans="1:21" x14ac:dyDescent="0.3">
      <c r="A785" s="14" t="s">
        <v>3730</v>
      </c>
      <c r="B785" t="s">
        <v>32</v>
      </c>
      <c r="C785" t="s">
        <v>57</v>
      </c>
      <c r="D785">
        <v>1</v>
      </c>
      <c r="E785" s="7">
        <v>299.2</v>
      </c>
      <c r="F785">
        <v>30307894</v>
      </c>
      <c r="J785" t="s">
        <v>2256</v>
      </c>
      <c r="K785" t="s">
        <v>3</v>
      </c>
      <c r="L785" s="2">
        <v>43221</v>
      </c>
      <c r="M785" s="2">
        <f>DOCXX[[#This Row],[INV DOC DATE]]+30</f>
        <v>43251</v>
      </c>
      <c r="N785" s="2">
        <v>43266</v>
      </c>
      <c r="O785" s="7">
        <v>299.2</v>
      </c>
      <c r="P785" s="2">
        <v>43278</v>
      </c>
      <c r="Q785" s="7">
        <f>$E785-$O785</f>
        <v>0</v>
      </c>
      <c r="R785" s="7" t="str">
        <f ca="1">IF(TODAY() - DOCXX[INV DUE DATE]&lt;30, "Less than 30 days",IF(TODAY()-DOCXX[INV DUE DATE]&lt;60,"30-60 days","More than 60 days"))</f>
        <v>30-60 days</v>
      </c>
      <c r="S785" t="s">
        <v>818</v>
      </c>
      <c r="T785"/>
      <c r="U785" s="7" t="s">
        <v>3699</v>
      </c>
    </row>
    <row r="786" spans="1:21" x14ac:dyDescent="0.3">
      <c r="A786" s="14" t="s">
        <v>3730</v>
      </c>
      <c r="B786" t="s">
        <v>32</v>
      </c>
      <c r="C786" t="s">
        <v>58</v>
      </c>
      <c r="D786">
        <v>1</v>
      </c>
      <c r="E786" s="7">
        <v>299.2</v>
      </c>
      <c r="F786">
        <v>30308618</v>
      </c>
      <c r="J786" t="s">
        <v>2256</v>
      </c>
      <c r="K786" t="s">
        <v>3</v>
      </c>
      <c r="L786" s="2">
        <v>43221</v>
      </c>
      <c r="M786" s="2">
        <f>DOCXX[[#This Row],[INV DOC DATE]]+30</f>
        <v>43251</v>
      </c>
      <c r="N786" s="2">
        <v>43266</v>
      </c>
      <c r="O786" s="7">
        <v>299.2</v>
      </c>
      <c r="P786" s="2">
        <v>43278</v>
      </c>
      <c r="Q786" s="7">
        <f>$E786-$O786</f>
        <v>0</v>
      </c>
      <c r="R786" s="7" t="str">
        <f ca="1">IF(TODAY() - DOCXX[INV DUE DATE]&lt;30, "Less than 30 days",IF(TODAY()-DOCXX[INV DUE DATE]&lt;60,"30-60 days","More than 60 days"))</f>
        <v>30-60 days</v>
      </c>
      <c r="S786" t="s">
        <v>818</v>
      </c>
      <c r="T786"/>
      <c r="U786" s="7" t="s">
        <v>3699</v>
      </c>
    </row>
    <row r="787" spans="1:21" x14ac:dyDescent="0.3">
      <c r="A787" s="14" t="s">
        <v>3730</v>
      </c>
      <c r="B787" t="s">
        <v>32</v>
      </c>
      <c r="C787" t="s">
        <v>59</v>
      </c>
      <c r="D787">
        <v>1</v>
      </c>
      <c r="E787" s="7">
        <v>299.2</v>
      </c>
      <c r="F787">
        <v>30308619</v>
      </c>
      <c r="J787" t="s">
        <v>2256</v>
      </c>
      <c r="K787" t="s">
        <v>3</v>
      </c>
      <c r="L787" s="2">
        <v>43221</v>
      </c>
      <c r="M787" s="2">
        <f>DOCXX[[#This Row],[INV DOC DATE]]+30</f>
        <v>43251</v>
      </c>
      <c r="N787" s="2">
        <v>43266</v>
      </c>
      <c r="O787" s="7">
        <v>299.2</v>
      </c>
      <c r="P787" s="2">
        <v>43278</v>
      </c>
      <c r="Q787" s="7">
        <f>$E787-$O787</f>
        <v>0</v>
      </c>
      <c r="R787" s="7" t="str">
        <f ca="1">IF(TODAY() - DOCXX[INV DUE DATE]&lt;30, "Less than 30 days",IF(TODAY()-DOCXX[INV DUE DATE]&lt;60,"30-60 days","More than 60 days"))</f>
        <v>30-60 days</v>
      </c>
      <c r="S787" t="s">
        <v>818</v>
      </c>
      <c r="T787"/>
      <c r="U787" s="7" t="s">
        <v>3699</v>
      </c>
    </row>
    <row r="788" spans="1:21" x14ac:dyDescent="0.3">
      <c r="A788" s="14" t="s">
        <v>3730</v>
      </c>
      <c r="B788" t="s">
        <v>32</v>
      </c>
      <c r="C788" t="s">
        <v>60</v>
      </c>
      <c r="D788">
        <v>1</v>
      </c>
      <c r="E788" s="7">
        <v>299.2</v>
      </c>
      <c r="F788">
        <v>30308619</v>
      </c>
      <c r="J788" t="s">
        <v>2256</v>
      </c>
      <c r="K788" t="s">
        <v>3</v>
      </c>
      <c r="L788" s="2">
        <v>43221</v>
      </c>
      <c r="M788" s="2">
        <f>DOCXX[[#This Row],[INV DOC DATE]]+30</f>
        <v>43251</v>
      </c>
      <c r="N788" s="2">
        <v>43266</v>
      </c>
      <c r="O788" s="7">
        <v>299.2</v>
      </c>
      <c r="P788" s="2">
        <v>43278</v>
      </c>
      <c r="Q788" s="7">
        <f>$E788-$O788</f>
        <v>0</v>
      </c>
      <c r="R788" s="7" t="str">
        <f ca="1">IF(TODAY() - DOCXX[INV DUE DATE]&lt;30, "Less than 30 days",IF(TODAY()-DOCXX[INV DUE DATE]&lt;60,"30-60 days","More than 60 days"))</f>
        <v>30-60 days</v>
      </c>
      <c r="S788" t="s">
        <v>818</v>
      </c>
      <c r="T788"/>
      <c r="U788" s="7" t="s">
        <v>3699</v>
      </c>
    </row>
    <row r="789" spans="1:21" x14ac:dyDescent="0.3">
      <c r="A789" s="14" t="s">
        <v>3730</v>
      </c>
      <c r="B789" t="s">
        <v>32</v>
      </c>
      <c r="C789" t="s">
        <v>61</v>
      </c>
      <c r="D789">
        <v>1</v>
      </c>
      <c r="E789" s="7">
        <v>299.2</v>
      </c>
      <c r="F789">
        <v>30448412</v>
      </c>
      <c r="J789" t="s">
        <v>2256</v>
      </c>
      <c r="K789" t="s">
        <v>3</v>
      </c>
      <c r="L789" s="2">
        <v>43221</v>
      </c>
      <c r="M789" s="2">
        <f>DOCXX[[#This Row],[INV DOC DATE]]+30</f>
        <v>43251</v>
      </c>
      <c r="N789" s="2">
        <v>43266</v>
      </c>
      <c r="O789" s="7">
        <v>299.2</v>
      </c>
      <c r="P789" s="2">
        <v>43278</v>
      </c>
      <c r="Q789" s="7">
        <f>$E789-$O789</f>
        <v>0</v>
      </c>
      <c r="R789" s="7" t="str">
        <f ca="1">IF(TODAY() - DOCXX[INV DUE DATE]&lt;30, "Less than 30 days",IF(TODAY()-DOCXX[INV DUE DATE]&lt;60,"30-60 days","More than 60 days"))</f>
        <v>30-60 days</v>
      </c>
      <c r="S789" t="s">
        <v>818</v>
      </c>
      <c r="T789"/>
      <c r="U789" s="7" t="s">
        <v>3699</v>
      </c>
    </row>
    <row r="790" spans="1:21" x14ac:dyDescent="0.3">
      <c r="A790" s="14" t="s">
        <v>3730</v>
      </c>
      <c r="B790" t="s">
        <v>32</v>
      </c>
      <c r="C790" t="s">
        <v>62</v>
      </c>
      <c r="D790">
        <v>1</v>
      </c>
      <c r="E790" s="7">
        <v>299.2</v>
      </c>
      <c r="F790">
        <v>30466964</v>
      </c>
      <c r="J790" t="s">
        <v>2256</v>
      </c>
      <c r="K790" t="s">
        <v>3</v>
      </c>
      <c r="L790" s="2">
        <v>43221</v>
      </c>
      <c r="M790" s="2">
        <f>DOCXX[[#This Row],[INV DOC DATE]]+30</f>
        <v>43251</v>
      </c>
      <c r="N790" s="2">
        <v>43266</v>
      </c>
      <c r="O790" s="7">
        <v>299.2</v>
      </c>
      <c r="P790" s="2">
        <v>43278</v>
      </c>
      <c r="Q790" s="7">
        <f>$E790-$O790</f>
        <v>0</v>
      </c>
      <c r="R790" s="7" t="str">
        <f ca="1">IF(TODAY() - DOCXX[INV DUE DATE]&lt;30, "Less than 30 days",IF(TODAY()-DOCXX[INV DUE DATE]&lt;60,"30-60 days","More than 60 days"))</f>
        <v>30-60 days</v>
      </c>
      <c r="S790" t="s">
        <v>818</v>
      </c>
      <c r="T790"/>
      <c r="U790" s="7" t="s">
        <v>3699</v>
      </c>
    </row>
    <row r="791" spans="1:21" x14ac:dyDescent="0.3">
      <c r="A791" s="14" t="s">
        <v>3730</v>
      </c>
      <c r="B791" t="s">
        <v>32</v>
      </c>
      <c r="C791" t="s">
        <v>63</v>
      </c>
      <c r="D791">
        <v>1</v>
      </c>
      <c r="E791" s="7">
        <v>299.2</v>
      </c>
      <c r="F791">
        <v>30473455</v>
      </c>
      <c r="J791" t="s">
        <v>2256</v>
      </c>
      <c r="K791" t="s">
        <v>3</v>
      </c>
      <c r="L791" s="2">
        <v>43221</v>
      </c>
      <c r="M791" s="2">
        <f>DOCXX[[#This Row],[INV DOC DATE]]+30</f>
        <v>43251</v>
      </c>
      <c r="N791" s="2">
        <v>43266</v>
      </c>
      <c r="O791" s="7">
        <v>299.2</v>
      </c>
      <c r="P791" s="2">
        <v>43278</v>
      </c>
      <c r="Q791" s="7">
        <f>$E791-$O791</f>
        <v>0</v>
      </c>
      <c r="R791" s="7" t="str">
        <f ca="1">IF(TODAY() - DOCXX[INV DUE DATE]&lt;30, "Less than 30 days",IF(TODAY()-DOCXX[INV DUE DATE]&lt;60,"30-60 days","More than 60 days"))</f>
        <v>30-60 days</v>
      </c>
      <c r="S791" t="s">
        <v>818</v>
      </c>
      <c r="T791"/>
      <c r="U791" s="7" t="s">
        <v>3699</v>
      </c>
    </row>
    <row r="792" spans="1:21" x14ac:dyDescent="0.3">
      <c r="A792" s="14" t="s">
        <v>3730</v>
      </c>
      <c r="B792" t="s">
        <v>32</v>
      </c>
      <c r="C792" t="s">
        <v>64</v>
      </c>
      <c r="D792">
        <v>1</v>
      </c>
      <c r="E792" s="7">
        <v>299.2</v>
      </c>
      <c r="F792">
        <v>30573759</v>
      </c>
      <c r="J792" t="s">
        <v>2256</v>
      </c>
      <c r="K792" t="s">
        <v>3</v>
      </c>
      <c r="L792" s="2">
        <v>43221</v>
      </c>
      <c r="M792" s="2">
        <f>DOCXX[[#This Row],[INV DOC DATE]]+30</f>
        <v>43251</v>
      </c>
      <c r="N792" s="2">
        <v>43266</v>
      </c>
      <c r="O792" s="7">
        <v>299.2</v>
      </c>
      <c r="P792" s="2">
        <v>43278</v>
      </c>
      <c r="Q792" s="7">
        <f>$E792-$O792</f>
        <v>0</v>
      </c>
      <c r="R792" s="7" t="str">
        <f ca="1">IF(TODAY() - DOCXX[INV DUE DATE]&lt;30, "Less than 30 days",IF(TODAY()-DOCXX[INV DUE DATE]&lt;60,"30-60 days","More than 60 days"))</f>
        <v>30-60 days</v>
      </c>
      <c r="S792" t="s">
        <v>818</v>
      </c>
      <c r="T792"/>
      <c r="U792" s="7" t="s">
        <v>3699</v>
      </c>
    </row>
    <row r="793" spans="1:21" x14ac:dyDescent="0.3">
      <c r="A793" s="14" t="s">
        <v>3730</v>
      </c>
      <c r="B793" t="s">
        <v>32</v>
      </c>
      <c r="C793" t="s">
        <v>65</v>
      </c>
      <c r="D793">
        <v>1</v>
      </c>
      <c r="E793" s="7">
        <v>299.2</v>
      </c>
      <c r="F793">
        <v>30588006</v>
      </c>
      <c r="J793" t="s">
        <v>2256</v>
      </c>
      <c r="K793" t="s">
        <v>3</v>
      </c>
      <c r="L793" s="2">
        <v>43221</v>
      </c>
      <c r="M793" s="2">
        <f>DOCXX[[#This Row],[INV DOC DATE]]+30</f>
        <v>43251</v>
      </c>
      <c r="N793" s="2">
        <v>43266</v>
      </c>
      <c r="O793" s="7">
        <v>299.2</v>
      </c>
      <c r="P793" s="2">
        <v>43278</v>
      </c>
      <c r="Q793" s="7">
        <f>$E793-$O793</f>
        <v>0</v>
      </c>
      <c r="R793" s="7" t="str">
        <f ca="1">IF(TODAY() - DOCXX[INV DUE DATE]&lt;30, "Less than 30 days",IF(TODAY()-DOCXX[INV DUE DATE]&lt;60,"30-60 days","More than 60 days"))</f>
        <v>30-60 days</v>
      </c>
      <c r="S793" t="s">
        <v>818</v>
      </c>
      <c r="T793"/>
      <c r="U793" s="7" t="s">
        <v>3699</v>
      </c>
    </row>
    <row r="794" spans="1:21" x14ac:dyDescent="0.3">
      <c r="A794" s="14" t="s">
        <v>3730</v>
      </c>
      <c r="B794" t="s">
        <v>32</v>
      </c>
      <c r="C794" t="s">
        <v>66</v>
      </c>
      <c r="D794">
        <v>1</v>
      </c>
      <c r="E794" s="7">
        <v>299.2</v>
      </c>
      <c r="F794">
        <v>30668263</v>
      </c>
      <c r="J794" t="s">
        <v>2256</v>
      </c>
      <c r="K794" t="s">
        <v>3</v>
      </c>
      <c r="L794" s="2">
        <v>43221</v>
      </c>
      <c r="M794" s="2">
        <f>DOCXX[[#This Row],[INV DOC DATE]]+30</f>
        <v>43251</v>
      </c>
      <c r="N794" s="2">
        <v>43266</v>
      </c>
      <c r="O794" s="7">
        <v>299.2</v>
      </c>
      <c r="P794" s="2">
        <v>43278</v>
      </c>
      <c r="Q794" s="7">
        <f>$E794-$O794</f>
        <v>0</v>
      </c>
      <c r="R794" s="7" t="str">
        <f ca="1">IF(TODAY() - DOCXX[INV DUE DATE]&lt;30, "Less than 30 days",IF(TODAY()-DOCXX[INV DUE DATE]&lt;60,"30-60 days","More than 60 days"))</f>
        <v>30-60 days</v>
      </c>
      <c r="S794" t="s">
        <v>818</v>
      </c>
      <c r="T794"/>
      <c r="U794" s="7" t="s">
        <v>3699</v>
      </c>
    </row>
    <row r="795" spans="1:21" x14ac:dyDescent="0.3">
      <c r="A795" s="14" t="s">
        <v>3730</v>
      </c>
      <c r="B795" t="s">
        <v>32</v>
      </c>
      <c r="C795" t="s">
        <v>67</v>
      </c>
      <c r="D795">
        <v>1</v>
      </c>
      <c r="E795" s="7">
        <v>261.8</v>
      </c>
      <c r="F795">
        <v>30691595</v>
      </c>
      <c r="J795" t="s">
        <v>2256</v>
      </c>
      <c r="K795" t="s">
        <v>3</v>
      </c>
      <c r="L795" s="2">
        <v>43221</v>
      </c>
      <c r="M795" s="2">
        <f>DOCXX[[#This Row],[INV DOC DATE]]+30</f>
        <v>43251</v>
      </c>
      <c r="N795" s="2">
        <v>43266</v>
      </c>
      <c r="O795" s="7">
        <v>261.8</v>
      </c>
      <c r="P795" s="2">
        <v>43278</v>
      </c>
      <c r="Q795" s="7">
        <f>$E795-$O795</f>
        <v>0</v>
      </c>
      <c r="R795" s="7" t="str">
        <f ca="1">IF(TODAY() - DOCXX[INV DUE DATE]&lt;30, "Less than 30 days",IF(TODAY()-DOCXX[INV DUE DATE]&lt;60,"30-60 days","More than 60 days"))</f>
        <v>30-60 days</v>
      </c>
      <c r="S795" t="s">
        <v>818</v>
      </c>
      <c r="T795"/>
      <c r="U795" s="7" t="s">
        <v>3699</v>
      </c>
    </row>
    <row r="796" spans="1:21" x14ac:dyDescent="0.3">
      <c r="A796" s="14" t="s">
        <v>3730</v>
      </c>
      <c r="B796" t="s">
        <v>32</v>
      </c>
      <c r="C796" t="s">
        <v>68</v>
      </c>
      <c r="D796">
        <v>1</v>
      </c>
      <c r="E796" s="7">
        <v>299.2</v>
      </c>
      <c r="F796">
        <v>30706598</v>
      </c>
      <c r="J796" t="s">
        <v>2256</v>
      </c>
      <c r="K796" t="s">
        <v>3</v>
      </c>
      <c r="L796" s="2">
        <v>43221</v>
      </c>
      <c r="M796" s="2">
        <f>DOCXX[[#This Row],[INV DOC DATE]]+30</f>
        <v>43251</v>
      </c>
      <c r="N796" s="2">
        <v>43266</v>
      </c>
      <c r="O796" s="7">
        <v>299.2</v>
      </c>
      <c r="P796" s="2">
        <v>43278</v>
      </c>
      <c r="Q796" s="7">
        <f>$E796-$O796</f>
        <v>0</v>
      </c>
      <c r="R796" s="7" t="str">
        <f ca="1">IF(TODAY() - DOCXX[INV DUE DATE]&lt;30, "Less than 30 days",IF(TODAY()-DOCXX[INV DUE DATE]&lt;60,"30-60 days","More than 60 days"))</f>
        <v>30-60 days</v>
      </c>
      <c r="S796" t="s">
        <v>818</v>
      </c>
      <c r="T796"/>
      <c r="U796" s="7" t="s">
        <v>3699</v>
      </c>
    </row>
    <row r="797" spans="1:21" x14ac:dyDescent="0.3">
      <c r="A797" s="14" t="s">
        <v>3730</v>
      </c>
      <c r="B797" t="s">
        <v>32</v>
      </c>
      <c r="C797" t="s">
        <v>69</v>
      </c>
      <c r="D797">
        <v>1</v>
      </c>
      <c r="E797" s="7">
        <v>299.2</v>
      </c>
      <c r="F797">
        <v>30709832</v>
      </c>
      <c r="J797" t="s">
        <v>2256</v>
      </c>
      <c r="K797" t="s">
        <v>3</v>
      </c>
      <c r="L797" s="2">
        <v>43221</v>
      </c>
      <c r="M797" s="2">
        <f>DOCXX[[#This Row],[INV DOC DATE]]+30</f>
        <v>43251</v>
      </c>
      <c r="N797" s="2">
        <v>43266</v>
      </c>
      <c r="O797" s="7">
        <v>299.2</v>
      </c>
      <c r="P797" s="2">
        <v>43278</v>
      </c>
      <c r="Q797" s="7">
        <f>$E797-$O797</f>
        <v>0</v>
      </c>
      <c r="R797" s="7" t="str">
        <f ca="1">IF(TODAY() - DOCXX[INV DUE DATE]&lt;30, "Less than 30 days",IF(TODAY()-DOCXX[INV DUE DATE]&lt;60,"30-60 days","More than 60 days"))</f>
        <v>30-60 days</v>
      </c>
      <c r="S797" t="s">
        <v>818</v>
      </c>
      <c r="T797"/>
      <c r="U797" s="7" t="s">
        <v>3699</v>
      </c>
    </row>
    <row r="798" spans="1:21" x14ac:dyDescent="0.3">
      <c r="A798" s="14" t="s">
        <v>3730</v>
      </c>
      <c r="B798" t="s">
        <v>32</v>
      </c>
      <c r="C798" t="s">
        <v>70</v>
      </c>
      <c r="D798">
        <v>1</v>
      </c>
      <c r="E798" s="7">
        <v>299.2</v>
      </c>
      <c r="F798">
        <v>30709836</v>
      </c>
      <c r="J798" t="s">
        <v>2256</v>
      </c>
      <c r="K798" t="s">
        <v>3</v>
      </c>
      <c r="L798" s="2">
        <v>43221</v>
      </c>
      <c r="M798" s="2">
        <f>DOCXX[[#This Row],[INV DOC DATE]]+30</f>
        <v>43251</v>
      </c>
      <c r="N798" s="2">
        <v>43266</v>
      </c>
      <c r="O798" s="7">
        <v>299.2</v>
      </c>
      <c r="P798" s="2">
        <v>43278</v>
      </c>
      <c r="Q798" s="7">
        <f>$E798-$O798</f>
        <v>0</v>
      </c>
      <c r="R798" s="7" t="str">
        <f ca="1">IF(TODAY() - DOCXX[INV DUE DATE]&lt;30, "Less than 30 days",IF(TODAY()-DOCXX[INV DUE DATE]&lt;60,"30-60 days","More than 60 days"))</f>
        <v>30-60 days</v>
      </c>
      <c r="S798" t="s">
        <v>818</v>
      </c>
      <c r="T798"/>
      <c r="U798" s="7" t="s">
        <v>3699</v>
      </c>
    </row>
    <row r="799" spans="1:21" x14ac:dyDescent="0.3">
      <c r="A799" s="14" t="s">
        <v>3730</v>
      </c>
      <c r="B799" t="s">
        <v>32</v>
      </c>
      <c r="C799" t="s">
        <v>71</v>
      </c>
      <c r="D799">
        <v>1</v>
      </c>
      <c r="E799" s="7">
        <v>299.2</v>
      </c>
      <c r="F799">
        <v>30713970</v>
      </c>
      <c r="J799" t="s">
        <v>2256</v>
      </c>
      <c r="K799" t="s">
        <v>3</v>
      </c>
      <c r="L799" s="2">
        <v>43221</v>
      </c>
      <c r="M799" s="2">
        <f>DOCXX[[#This Row],[INV DOC DATE]]+30</f>
        <v>43251</v>
      </c>
      <c r="N799" s="2">
        <v>43266</v>
      </c>
      <c r="O799" s="7">
        <v>299.2</v>
      </c>
      <c r="P799" s="2">
        <v>43278</v>
      </c>
      <c r="Q799" s="7">
        <f>$E799-$O799</f>
        <v>0</v>
      </c>
      <c r="R799" s="7" t="str">
        <f ca="1">IF(TODAY() - DOCXX[INV DUE DATE]&lt;30, "Less than 30 days",IF(TODAY()-DOCXX[INV DUE DATE]&lt;60,"30-60 days","More than 60 days"))</f>
        <v>30-60 days</v>
      </c>
      <c r="S799" t="s">
        <v>818</v>
      </c>
      <c r="T799"/>
      <c r="U799" s="7" t="s">
        <v>3699</v>
      </c>
    </row>
    <row r="800" spans="1:21" x14ac:dyDescent="0.3">
      <c r="A800" s="14" t="s">
        <v>3730</v>
      </c>
      <c r="B800" t="s">
        <v>32</v>
      </c>
      <c r="C800" t="s">
        <v>72</v>
      </c>
      <c r="D800">
        <v>1</v>
      </c>
      <c r="E800" s="7">
        <v>299.2</v>
      </c>
      <c r="F800">
        <v>30721205</v>
      </c>
      <c r="J800" t="s">
        <v>2256</v>
      </c>
      <c r="K800" t="s">
        <v>3</v>
      </c>
      <c r="L800" s="2">
        <v>43221</v>
      </c>
      <c r="M800" s="2">
        <f>DOCXX[[#This Row],[INV DOC DATE]]+30</f>
        <v>43251</v>
      </c>
      <c r="N800" s="2">
        <v>43266</v>
      </c>
      <c r="O800" s="7">
        <v>299.2</v>
      </c>
      <c r="P800" s="2">
        <v>43278</v>
      </c>
      <c r="Q800" s="7">
        <f>$E800-$O800</f>
        <v>0</v>
      </c>
      <c r="R800" s="7" t="str">
        <f ca="1">IF(TODAY() - DOCXX[INV DUE DATE]&lt;30, "Less than 30 days",IF(TODAY()-DOCXX[INV DUE DATE]&lt;60,"30-60 days","More than 60 days"))</f>
        <v>30-60 days</v>
      </c>
      <c r="S800" t="s">
        <v>818</v>
      </c>
      <c r="T800"/>
      <c r="U800" s="7" t="s">
        <v>3699</v>
      </c>
    </row>
    <row r="801" spans="1:21" x14ac:dyDescent="0.3">
      <c r="A801" s="14" t="s">
        <v>3730</v>
      </c>
      <c r="B801" t="s">
        <v>32</v>
      </c>
      <c r="C801" t="s">
        <v>73</v>
      </c>
      <c r="D801">
        <v>1</v>
      </c>
      <c r="E801" s="7">
        <v>299.2</v>
      </c>
      <c r="F801">
        <v>30730038</v>
      </c>
      <c r="J801" t="s">
        <v>2256</v>
      </c>
      <c r="K801" t="s">
        <v>3</v>
      </c>
      <c r="L801" s="2">
        <v>43221</v>
      </c>
      <c r="M801" s="2">
        <f>DOCXX[[#This Row],[INV DOC DATE]]+30</f>
        <v>43251</v>
      </c>
      <c r="N801" s="2">
        <v>43266</v>
      </c>
      <c r="O801" s="7">
        <v>299.2</v>
      </c>
      <c r="P801" s="2">
        <v>43278</v>
      </c>
      <c r="Q801" s="7">
        <f>$E801-$O801</f>
        <v>0</v>
      </c>
      <c r="R801" s="7" t="str">
        <f ca="1">IF(TODAY() - DOCXX[INV DUE DATE]&lt;30, "Less than 30 days",IF(TODAY()-DOCXX[INV DUE DATE]&lt;60,"30-60 days","More than 60 days"))</f>
        <v>30-60 days</v>
      </c>
      <c r="S801" t="s">
        <v>818</v>
      </c>
      <c r="T801"/>
      <c r="U801" s="7" t="s">
        <v>3699</v>
      </c>
    </row>
    <row r="802" spans="1:21" x14ac:dyDescent="0.3">
      <c r="A802" s="14" t="s">
        <v>3730</v>
      </c>
      <c r="B802" t="s">
        <v>32</v>
      </c>
      <c r="C802" t="s">
        <v>74</v>
      </c>
      <c r="D802">
        <v>1</v>
      </c>
      <c r="E802" s="7">
        <v>299.2</v>
      </c>
      <c r="F802">
        <v>30738470</v>
      </c>
      <c r="J802" t="s">
        <v>2256</v>
      </c>
      <c r="K802" t="s">
        <v>3</v>
      </c>
      <c r="L802" s="2">
        <v>43221</v>
      </c>
      <c r="M802" s="2">
        <f>DOCXX[[#This Row],[INV DOC DATE]]+30</f>
        <v>43251</v>
      </c>
      <c r="N802" s="2">
        <v>43266</v>
      </c>
      <c r="O802" s="7">
        <v>299.2</v>
      </c>
      <c r="P802" s="2">
        <v>43278</v>
      </c>
      <c r="Q802" s="7">
        <f>$E802-$O802</f>
        <v>0</v>
      </c>
      <c r="R802" s="7" t="str">
        <f ca="1">IF(TODAY() - DOCXX[INV DUE DATE]&lt;30, "Less than 30 days",IF(TODAY()-DOCXX[INV DUE DATE]&lt;60,"30-60 days","More than 60 days"))</f>
        <v>30-60 days</v>
      </c>
      <c r="S802" t="s">
        <v>818</v>
      </c>
      <c r="T802"/>
      <c r="U802" s="7" t="s">
        <v>3699</v>
      </c>
    </row>
    <row r="803" spans="1:21" x14ac:dyDescent="0.3">
      <c r="A803" s="14" t="s">
        <v>3730</v>
      </c>
      <c r="B803" t="s">
        <v>32</v>
      </c>
      <c r="C803" t="s">
        <v>75</v>
      </c>
      <c r="D803">
        <v>1</v>
      </c>
      <c r="E803" s="7">
        <v>299.2</v>
      </c>
      <c r="F803">
        <v>30771122</v>
      </c>
      <c r="J803" t="s">
        <v>2256</v>
      </c>
      <c r="K803" t="s">
        <v>3</v>
      </c>
      <c r="L803" s="2">
        <v>43221</v>
      </c>
      <c r="M803" s="2">
        <f>DOCXX[[#This Row],[INV DOC DATE]]+30</f>
        <v>43251</v>
      </c>
      <c r="N803" s="2">
        <v>43266</v>
      </c>
      <c r="O803" s="7">
        <v>299.2</v>
      </c>
      <c r="P803" s="2">
        <v>43278</v>
      </c>
      <c r="Q803" s="7">
        <f>$E803-$O803</f>
        <v>0</v>
      </c>
      <c r="R803" s="7" t="str">
        <f ca="1">IF(TODAY() - DOCXX[INV DUE DATE]&lt;30, "Less than 30 days",IF(TODAY()-DOCXX[INV DUE DATE]&lt;60,"30-60 days","More than 60 days"))</f>
        <v>30-60 days</v>
      </c>
      <c r="S803" t="s">
        <v>818</v>
      </c>
      <c r="T803"/>
      <c r="U803" s="7" t="s">
        <v>3699</v>
      </c>
    </row>
    <row r="804" spans="1:21" x14ac:dyDescent="0.3">
      <c r="A804" s="14" t="s">
        <v>3730</v>
      </c>
      <c r="B804" t="s">
        <v>32</v>
      </c>
      <c r="C804" t="s">
        <v>76</v>
      </c>
      <c r="D804">
        <v>1</v>
      </c>
      <c r="E804" s="7">
        <v>299.2</v>
      </c>
      <c r="F804">
        <v>30785048</v>
      </c>
      <c r="J804" t="s">
        <v>2256</v>
      </c>
      <c r="K804" t="s">
        <v>3</v>
      </c>
      <c r="L804" s="2">
        <v>43221</v>
      </c>
      <c r="M804" s="2">
        <f>DOCXX[[#This Row],[INV DOC DATE]]+30</f>
        <v>43251</v>
      </c>
      <c r="N804" s="2">
        <v>43266</v>
      </c>
      <c r="O804" s="7">
        <v>299.2</v>
      </c>
      <c r="P804" s="2">
        <v>43278</v>
      </c>
      <c r="Q804" s="7">
        <f>$E804-$O804</f>
        <v>0</v>
      </c>
      <c r="R804" s="7" t="str">
        <f ca="1">IF(TODAY() - DOCXX[INV DUE DATE]&lt;30, "Less than 30 days",IF(TODAY()-DOCXX[INV DUE DATE]&lt;60,"30-60 days","More than 60 days"))</f>
        <v>30-60 days</v>
      </c>
      <c r="S804" t="s">
        <v>818</v>
      </c>
      <c r="T804"/>
      <c r="U804" s="7" t="s">
        <v>3699</v>
      </c>
    </row>
    <row r="805" spans="1:21" x14ac:dyDescent="0.3">
      <c r="A805" s="14" t="s">
        <v>3730</v>
      </c>
      <c r="B805" t="s">
        <v>32</v>
      </c>
      <c r="C805" t="s">
        <v>77</v>
      </c>
      <c r="D805">
        <v>1</v>
      </c>
      <c r="E805" s="7">
        <v>299.2</v>
      </c>
      <c r="F805">
        <v>30788066</v>
      </c>
      <c r="J805" t="s">
        <v>2256</v>
      </c>
      <c r="K805" t="s">
        <v>3</v>
      </c>
      <c r="L805" s="2">
        <v>43221</v>
      </c>
      <c r="M805" s="2">
        <f>DOCXX[[#This Row],[INV DOC DATE]]+30</f>
        <v>43251</v>
      </c>
      <c r="N805" s="2">
        <v>43266</v>
      </c>
      <c r="O805" s="7">
        <v>299.2</v>
      </c>
      <c r="P805" s="2">
        <v>43278</v>
      </c>
      <c r="Q805" s="7">
        <f>$E805-$O805</f>
        <v>0</v>
      </c>
      <c r="R805" s="7" t="str">
        <f ca="1">IF(TODAY() - DOCXX[INV DUE DATE]&lt;30, "Less than 30 days",IF(TODAY()-DOCXX[INV DUE DATE]&lt;60,"30-60 days","More than 60 days"))</f>
        <v>30-60 days</v>
      </c>
      <c r="S805" t="s">
        <v>818</v>
      </c>
      <c r="T805"/>
      <c r="U805" s="7" t="s">
        <v>3699</v>
      </c>
    </row>
    <row r="806" spans="1:21" x14ac:dyDescent="0.3">
      <c r="A806" s="14" t="s">
        <v>3730</v>
      </c>
      <c r="B806" t="s">
        <v>32</v>
      </c>
      <c r="C806" t="s">
        <v>78</v>
      </c>
      <c r="D806">
        <v>1</v>
      </c>
      <c r="E806" s="7">
        <v>299.2</v>
      </c>
      <c r="F806">
        <v>30788780</v>
      </c>
      <c r="J806" t="s">
        <v>2256</v>
      </c>
      <c r="K806" t="s">
        <v>3</v>
      </c>
      <c r="L806" s="2">
        <v>43221</v>
      </c>
      <c r="M806" s="2">
        <f>DOCXX[[#This Row],[INV DOC DATE]]+30</f>
        <v>43251</v>
      </c>
      <c r="N806" s="2">
        <v>43266</v>
      </c>
      <c r="O806" s="7">
        <v>299.2</v>
      </c>
      <c r="P806" s="2">
        <v>43278</v>
      </c>
      <c r="Q806" s="7">
        <f>$E806-$O806</f>
        <v>0</v>
      </c>
      <c r="R806" s="7" t="str">
        <f ca="1">IF(TODAY() - DOCXX[INV DUE DATE]&lt;30, "Less than 30 days",IF(TODAY()-DOCXX[INV DUE DATE]&lt;60,"30-60 days","More than 60 days"))</f>
        <v>30-60 days</v>
      </c>
      <c r="S806" t="s">
        <v>818</v>
      </c>
      <c r="T806"/>
      <c r="U806" s="7" t="s">
        <v>3699</v>
      </c>
    </row>
    <row r="807" spans="1:21" x14ac:dyDescent="0.3">
      <c r="A807" s="14" t="s">
        <v>3730</v>
      </c>
      <c r="B807" t="s">
        <v>32</v>
      </c>
      <c r="C807" t="s">
        <v>79</v>
      </c>
      <c r="D807">
        <v>1</v>
      </c>
      <c r="E807" s="7">
        <v>299.2</v>
      </c>
      <c r="F807">
        <v>30839527</v>
      </c>
      <c r="J807" t="s">
        <v>2256</v>
      </c>
      <c r="K807" t="s">
        <v>3</v>
      </c>
      <c r="L807" s="2">
        <v>43221</v>
      </c>
      <c r="M807" s="2">
        <f>DOCXX[[#This Row],[INV DOC DATE]]+30</f>
        <v>43251</v>
      </c>
      <c r="N807" s="2">
        <v>43266</v>
      </c>
      <c r="O807" s="7">
        <v>299.2</v>
      </c>
      <c r="P807" s="2">
        <v>43278</v>
      </c>
      <c r="Q807" s="7">
        <f>$E807-$O807</f>
        <v>0</v>
      </c>
      <c r="R807" s="7" t="str">
        <f ca="1">IF(TODAY() - DOCXX[INV DUE DATE]&lt;30, "Less than 30 days",IF(TODAY()-DOCXX[INV DUE DATE]&lt;60,"30-60 days","More than 60 days"))</f>
        <v>30-60 days</v>
      </c>
      <c r="S807" t="s">
        <v>818</v>
      </c>
      <c r="T807"/>
      <c r="U807" s="7" t="s">
        <v>3699</v>
      </c>
    </row>
    <row r="808" spans="1:21" x14ac:dyDescent="0.3">
      <c r="A808" s="14" t="s">
        <v>3730</v>
      </c>
      <c r="B808" t="s">
        <v>32</v>
      </c>
      <c r="C808" t="s">
        <v>80</v>
      </c>
      <c r="D808">
        <v>1</v>
      </c>
      <c r="E808" s="7">
        <v>299.2</v>
      </c>
      <c r="F808">
        <v>30850395</v>
      </c>
      <c r="J808" t="s">
        <v>2256</v>
      </c>
      <c r="K808" t="s">
        <v>3</v>
      </c>
      <c r="L808" s="2">
        <v>43221</v>
      </c>
      <c r="M808" s="2">
        <f>DOCXX[[#This Row],[INV DOC DATE]]+30</f>
        <v>43251</v>
      </c>
      <c r="N808" s="2">
        <v>43266</v>
      </c>
      <c r="O808" s="7">
        <v>299.2</v>
      </c>
      <c r="P808" s="2">
        <v>43278</v>
      </c>
      <c r="Q808" s="7">
        <f>$E808-$O808</f>
        <v>0</v>
      </c>
      <c r="R808" s="7" t="str">
        <f ca="1">IF(TODAY() - DOCXX[INV DUE DATE]&lt;30, "Less than 30 days",IF(TODAY()-DOCXX[INV DUE DATE]&lt;60,"30-60 days","More than 60 days"))</f>
        <v>30-60 days</v>
      </c>
      <c r="S808" t="s">
        <v>818</v>
      </c>
      <c r="T808"/>
      <c r="U808" s="7" t="s">
        <v>3699</v>
      </c>
    </row>
    <row r="809" spans="1:21" x14ac:dyDescent="0.3">
      <c r="A809" s="14" t="s">
        <v>3730</v>
      </c>
      <c r="B809" t="s">
        <v>32</v>
      </c>
      <c r="C809" t="s">
        <v>81</v>
      </c>
      <c r="D809">
        <v>1</v>
      </c>
      <c r="E809" s="7">
        <v>299.2</v>
      </c>
      <c r="F809">
        <v>30850396</v>
      </c>
      <c r="J809" t="s">
        <v>2256</v>
      </c>
      <c r="K809" t="s">
        <v>3</v>
      </c>
      <c r="L809" s="2">
        <v>43221</v>
      </c>
      <c r="M809" s="2">
        <f>DOCXX[[#This Row],[INV DOC DATE]]+30</f>
        <v>43251</v>
      </c>
      <c r="N809" s="2">
        <v>43266</v>
      </c>
      <c r="O809" s="7">
        <v>299.2</v>
      </c>
      <c r="P809" s="2">
        <v>43278</v>
      </c>
      <c r="Q809" s="7">
        <f>$E809-$O809</f>
        <v>0</v>
      </c>
      <c r="R809" s="7" t="str">
        <f ca="1">IF(TODAY() - DOCXX[INV DUE DATE]&lt;30, "Less than 30 days",IF(TODAY()-DOCXX[INV DUE DATE]&lt;60,"30-60 days","More than 60 days"))</f>
        <v>30-60 days</v>
      </c>
      <c r="S809" t="s">
        <v>818</v>
      </c>
      <c r="T809"/>
      <c r="U809" s="7" t="s">
        <v>3699</v>
      </c>
    </row>
    <row r="810" spans="1:21" x14ac:dyDescent="0.3">
      <c r="A810" s="14" t="s">
        <v>3730</v>
      </c>
      <c r="B810" t="s">
        <v>32</v>
      </c>
      <c r="C810" t="s">
        <v>82</v>
      </c>
      <c r="D810">
        <v>1</v>
      </c>
      <c r="E810" s="7">
        <v>299.2</v>
      </c>
      <c r="F810">
        <v>30939990</v>
      </c>
      <c r="J810" t="s">
        <v>2256</v>
      </c>
      <c r="K810" t="s">
        <v>3</v>
      </c>
      <c r="L810" s="2">
        <v>43221</v>
      </c>
      <c r="M810" s="2">
        <f>DOCXX[[#This Row],[INV DOC DATE]]+30</f>
        <v>43251</v>
      </c>
      <c r="N810" s="2">
        <v>43266</v>
      </c>
      <c r="O810" s="7">
        <v>299.2</v>
      </c>
      <c r="P810" s="2">
        <v>43278</v>
      </c>
      <c r="Q810" s="7">
        <f>$E810-$O810</f>
        <v>0</v>
      </c>
      <c r="R810" s="7" t="str">
        <f ca="1">IF(TODAY() - DOCXX[INV DUE DATE]&lt;30, "Less than 30 days",IF(TODAY()-DOCXX[INV DUE DATE]&lt;60,"30-60 days","More than 60 days"))</f>
        <v>30-60 days</v>
      </c>
      <c r="S810" t="s">
        <v>818</v>
      </c>
      <c r="T810"/>
      <c r="U810" s="7" t="s">
        <v>3699</v>
      </c>
    </row>
    <row r="811" spans="1:21" x14ac:dyDescent="0.3">
      <c r="A811" s="14" t="s">
        <v>3730</v>
      </c>
      <c r="B811" t="s">
        <v>32</v>
      </c>
      <c r="C811" t="s">
        <v>83</v>
      </c>
      <c r="D811">
        <v>1</v>
      </c>
      <c r="E811" s="7">
        <v>299.2</v>
      </c>
      <c r="F811">
        <v>31003082</v>
      </c>
      <c r="J811" t="s">
        <v>2256</v>
      </c>
      <c r="K811" t="s">
        <v>3</v>
      </c>
      <c r="L811" s="2">
        <v>43221</v>
      </c>
      <c r="M811" s="2">
        <f>DOCXX[[#This Row],[INV DOC DATE]]+30</f>
        <v>43251</v>
      </c>
      <c r="N811" s="2">
        <v>43266</v>
      </c>
      <c r="O811" s="7">
        <v>299.2</v>
      </c>
      <c r="P811" s="2">
        <v>43278</v>
      </c>
      <c r="Q811" s="7">
        <f>$E811-$O811</f>
        <v>0</v>
      </c>
      <c r="R811" s="7" t="str">
        <f ca="1">IF(TODAY() - DOCXX[INV DUE DATE]&lt;30, "Less than 30 days",IF(TODAY()-DOCXX[INV DUE DATE]&lt;60,"30-60 days","More than 60 days"))</f>
        <v>30-60 days</v>
      </c>
      <c r="S811" t="s">
        <v>818</v>
      </c>
      <c r="T811"/>
      <c r="U811" s="7" t="s">
        <v>3699</v>
      </c>
    </row>
    <row r="812" spans="1:21" x14ac:dyDescent="0.3">
      <c r="A812" s="14" t="s">
        <v>3730</v>
      </c>
      <c r="B812" t="s">
        <v>32</v>
      </c>
      <c r="C812" t="s">
        <v>84</v>
      </c>
      <c r="D812">
        <v>1</v>
      </c>
      <c r="E812" s="7">
        <v>299.2</v>
      </c>
      <c r="F812">
        <v>31040260</v>
      </c>
      <c r="J812" t="s">
        <v>2256</v>
      </c>
      <c r="K812" t="s">
        <v>3</v>
      </c>
      <c r="L812" s="2">
        <v>43221</v>
      </c>
      <c r="M812" s="2">
        <f>DOCXX[[#This Row],[INV DOC DATE]]+30</f>
        <v>43251</v>
      </c>
      <c r="N812" s="2">
        <v>43266</v>
      </c>
      <c r="O812" s="7">
        <v>299.2</v>
      </c>
      <c r="P812" s="2">
        <v>43278</v>
      </c>
      <c r="Q812" s="7">
        <f>$E812-$O812</f>
        <v>0</v>
      </c>
      <c r="R812" s="7" t="str">
        <f ca="1">IF(TODAY() - DOCXX[INV DUE DATE]&lt;30, "Less than 30 days",IF(TODAY()-DOCXX[INV DUE DATE]&lt;60,"30-60 days","More than 60 days"))</f>
        <v>30-60 days</v>
      </c>
      <c r="S812" t="s">
        <v>818</v>
      </c>
      <c r="T812"/>
      <c r="U812" s="7" t="s">
        <v>3699</v>
      </c>
    </row>
    <row r="813" spans="1:21" x14ac:dyDescent="0.3">
      <c r="A813" s="14" t="s">
        <v>3730</v>
      </c>
      <c r="B813" t="s">
        <v>32</v>
      </c>
      <c r="C813" t="s">
        <v>85</v>
      </c>
      <c r="D813">
        <v>1</v>
      </c>
      <c r="E813" s="7">
        <v>299.2</v>
      </c>
      <c r="F813">
        <v>31048611</v>
      </c>
      <c r="J813" t="s">
        <v>2256</v>
      </c>
      <c r="K813" t="s">
        <v>3</v>
      </c>
      <c r="L813" s="2">
        <v>43221</v>
      </c>
      <c r="M813" s="2">
        <f>DOCXX[[#This Row],[INV DOC DATE]]+30</f>
        <v>43251</v>
      </c>
      <c r="N813" s="2">
        <v>43266</v>
      </c>
      <c r="O813" s="7">
        <v>299.2</v>
      </c>
      <c r="P813" s="2">
        <v>43278</v>
      </c>
      <c r="Q813" s="7">
        <f>$E813-$O813</f>
        <v>0</v>
      </c>
      <c r="R813" s="7" t="str">
        <f ca="1">IF(TODAY() - DOCXX[INV DUE DATE]&lt;30, "Less than 30 days",IF(TODAY()-DOCXX[INV DUE DATE]&lt;60,"30-60 days","More than 60 days"))</f>
        <v>30-60 days</v>
      </c>
      <c r="S813" t="s">
        <v>818</v>
      </c>
      <c r="T813"/>
      <c r="U813" s="7" t="s">
        <v>3699</v>
      </c>
    </row>
    <row r="814" spans="1:21" x14ac:dyDescent="0.3">
      <c r="A814" s="14" t="s">
        <v>3730</v>
      </c>
      <c r="B814" t="s">
        <v>32</v>
      </c>
      <c r="C814" t="s">
        <v>86</v>
      </c>
      <c r="D814">
        <v>1</v>
      </c>
      <c r="E814" s="7">
        <v>299.2</v>
      </c>
      <c r="F814">
        <v>31081488</v>
      </c>
      <c r="J814" t="s">
        <v>2256</v>
      </c>
      <c r="K814" t="s">
        <v>3</v>
      </c>
      <c r="L814" s="2">
        <v>43221</v>
      </c>
      <c r="M814" s="2">
        <f>DOCXX[[#This Row],[INV DOC DATE]]+30</f>
        <v>43251</v>
      </c>
      <c r="N814" s="2">
        <v>43266</v>
      </c>
      <c r="O814" s="7">
        <v>299.2</v>
      </c>
      <c r="P814" s="2">
        <v>43278</v>
      </c>
      <c r="Q814" s="7">
        <f>$E814-$O814</f>
        <v>0</v>
      </c>
      <c r="R814" s="7" t="str">
        <f ca="1">IF(TODAY() - DOCXX[INV DUE DATE]&lt;30, "Less than 30 days",IF(TODAY()-DOCXX[INV DUE DATE]&lt;60,"30-60 days","More than 60 days"))</f>
        <v>30-60 days</v>
      </c>
      <c r="S814" t="s">
        <v>818</v>
      </c>
      <c r="T814"/>
      <c r="U814" s="7" t="s">
        <v>3699</v>
      </c>
    </row>
    <row r="815" spans="1:21" x14ac:dyDescent="0.3">
      <c r="A815" s="14" t="s">
        <v>3730</v>
      </c>
      <c r="B815" t="s">
        <v>32</v>
      </c>
      <c r="C815" t="s">
        <v>87</v>
      </c>
      <c r="D815">
        <v>1</v>
      </c>
      <c r="E815" s="7">
        <v>299.2</v>
      </c>
      <c r="F815">
        <v>31236636</v>
      </c>
      <c r="J815" t="s">
        <v>2256</v>
      </c>
      <c r="K815" t="s">
        <v>3</v>
      </c>
      <c r="L815" s="2">
        <v>43221</v>
      </c>
      <c r="M815" s="2">
        <f>DOCXX[[#This Row],[INV DOC DATE]]+30</f>
        <v>43251</v>
      </c>
      <c r="N815" s="2">
        <v>43266</v>
      </c>
      <c r="O815" s="7">
        <v>299.2</v>
      </c>
      <c r="P815" s="2">
        <v>43278</v>
      </c>
      <c r="Q815" s="7">
        <f>$E815-$O815</f>
        <v>0</v>
      </c>
      <c r="R815" s="7" t="str">
        <f ca="1">IF(TODAY() - DOCXX[INV DUE DATE]&lt;30, "Less than 30 days",IF(TODAY()-DOCXX[INV DUE DATE]&lt;60,"30-60 days","More than 60 days"))</f>
        <v>30-60 days</v>
      </c>
      <c r="S815" t="s">
        <v>818</v>
      </c>
      <c r="T815"/>
      <c r="U815" s="7" t="s">
        <v>3699</v>
      </c>
    </row>
    <row r="816" spans="1:21" x14ac:dyDescent="0.3">
      <c r="A816" s="14" t="s">
        <v>3730</v>
      </c>
      <c r="B816" t="s">
        <v>32</v>
      </c>
      <c r="C816" t="s">
        <v>88</v>
      </c>
      <c r="D816">
        <v>1</v>
      </c>
      <c r="E816" s="7">
        <v>299.2</v>
      </c>
      <c r="F816">
        <v>31325411</v>
      </c>
      <c r="J816" t="s">
        <v>2256</v>
      </c>
      <c r="K816" t="s">
        <v>3</v>
      </c>
      <c r="L816" s="2">
        <v>43221</v>
      </c>
      <c r="M816" s="2">
        <f>DOCXX[[#This Row],[INV DOC DATE]]+30</f>
        <v>43251</v>
      </c>
      <c r="N816" s="2">
        <v>43266</v>
      </c>
      <c r="O816" s="7">
        <v>299.2</v>
      </c>
      <c r="P816" s="2">
        <v>43278</v>
      </c>
      <c r="Q816" s="7">
        <f>$E816-$O816</f>
        <v>0</v>
      </c>
      <c r="R816" s="7" t="str">
        <f ca="1">IF(TODAY() - DOCXX[INV DUE DATE]&lt;30, "Less than 30 days",IF(TODAY()-DOCXX[INV DUE DATE]&lt;60,"30-60 days","More than 60 days"))</f>
        <v>30-60 days</v>
      </c>
      <c r="S816" t="s">
        <v>818</v>
      </c>
      <c r="T816"/>
      <c r="U816" s="7" t="s">
        <v>3699</v>
      </c>
    </row>
    <row r="817" spans="1:21" x14ac:dyDescent="0.3">
      <c r="A817" s="14" t="s">
        <v>3730</v>
      </c>
      <c r="B817" t="s">
        <v>32</v>
      </c>
      <c r="C817" t="s">
        <v>89</v>
      </c>
      <c r="D817">
        <v>1</v>
      </c>
      <c r="E817" s="7">
        <v>299.2</v>
      </c>
      <c r="F817">
        <v>31334214</v>
      </c>
      <c r="J817" t="s">
        <v>2256</v>
      </c>
      <c r="K817" t="s">
        <v>3</v>
      </c>
      <c r="L817" s="2">
        <v>43221</v>
      </c>
      <c r="M817" s="2">
        <f>DOCXX[[#This Row],[INV DOC DATE]]+30</f>
        <v>43251</v>
      </c>
      <c r="N817" s="2">
        <v>43266</v>
      </c>
      <c r="O817" s="7">
        <v>299.2</v>
      </c>
      <c r="P817" s="2">
        <v>43278</v>
      </c>
      <c r="Q817" s="7">
        <f>$E817-$O817</f>
        <v>0</v>
      </c>
      <c r="R817" s="7" t="str">
        <f ca="1">IF(TODAY() - DOCXX[INV DUE DATE]&lt;30, "Less than 30 days",IF(TODAY()-DOCXX[INV DUE DATE]&lt;60,"30-60 days","More than 60 days"))</f>
        <v>30-60 days</v>
      </c>
      <c r="S817" t="s">
        <v>818</v>
      </c>
      <c r="T817"/>
      <c r="U817" s="7" t="s">
        <v>3699</v>
      </c>
    </row>
    <row r="818" spans="1:21" x14ac:dyDescent="0.3">
      <c r="A818" s="14" t="s">
        <v>3730</v>
      </c>
      <c r="B818" t="s">
        <v>32</v>
      </c>
      <c r="C818" t="s">
        <v>90</v>
      </c>
      <c r="D818">
        <v>1</v>
      </c>
      <c r="E818" s="7">
        <v>299.2</v>
      </c>
      <c r="F818">
        <v>31473966</v>
      </c>
      <c r="J818" t="s">
        <v>2256</v>
      </c>
      <c r="K818" t="s">
        <v>3</v>
      </c>
      <c r="L818" s="2">
        <v>43221</v>
      </c>
      <c r="M818" s="2">
        <f>DOCXX[[#This Row],[INV DOC DATE]]+30</f>
        <v>43251</v>
      </c>
      <c r="N818" s="2">
        <v>43266</v>
      </c>
      <c r="O818" s="7">
        <v>299.2</v>
      </c>
      <c r="P818" s="2">
        <v>43278</v>
      </c>
      <c r="Q818" s="7">
        <f>$E818-$O818</f>
        <v>0</v>
      </c>
      <c r="R818" s="7" t="str">
        <f ca="1">IF(TODAY() - DOCXX[INV DUE DATE]&lt;30, "Less than 30 days",IF(TODAY()-DOCXX[INV DUE DATE]&lt;60,"30-60 days","More than 60 days"))</f>
        <v>30-60 days</v>
      </c>
      <c r="S818" t="s">
        <v>818</v>
      </c>
      <c r="T818"/>
      <c r="U818" s="7" t="s">
        <v>3699</v>
      </c>
    </row>
    <row r="819" spans="1:21" x14ac:dyDescent="0.3">
      <c r="A819" s="14" t="s">
        <v>3730</v>
      </c>
      <c r="B819" t="s">
        <v>32</v>
      </c>
      <c r="C819" t="s">
        <v>91</v>
      </c>
      <c r="D819">
        <v>1</v>
      </c>
      <c r="E819" s="7">
        <v>56.1</v>
      </c>
      <c r="F819">
        <v>31496660</v>
      </c>
      <c r="J819" t="s">
        <v>2256</v>
      </c>
      <c r="K819" t="s">
        <v>3</v>
      </c>
      <c r="L819" s="2">
        <v>43221</v>
      </c>
      <c r="M819" s="2">
        <f>DOCXX[[#This Row],[INV DOC DATE]]+30</f>
        <v>43251</v>
      </c>
      <c r="N819" s="2">
        <v>43266</v>
      </c>
      <c r="O819" s="7">
        <v>56.1</v>
      </c>
      <c r="P819" s="2">
        <v>43278</v>
      </c>
      <c r="Q819" s="7">
        <f>$E819-$O819</f>
        <v>0</v>
      </c>
      <c r="R819" s="7" t="str">
        <f ca="1">IF(TODAY() - DOCXX[INV DUE DATE]&lt;30, "Less than 30 days",IF(TODAY()-DOCXX[INV DUE DATE]&lt;60,"30-60 days","More than 60 days"))</f>
        <v>30-60 days</v>
      </c>
      <c r="S819" t="s">
        <v>818</v>
      </c>
      <c r="T819"/>
      <c r="U819" s="7" t="s">
        <v>3699</v>
      </c>
    </row>
    <row r="820" spans="1:21" x14ac:dyDescent="0.3">
      <c r="A820" s="14" t="s">
        <v>3730</v>
      </c>
      <c r="B820" t="s">
        <v>32</v>
      </c>
      <c r="C820" t="s">
        <v>92</v>
      </c>
      <c r="D820">
        <v>1</v>
      </c>
      <c r="E820" s="7">
        <v>299.2</v>
      </c>
      <c r="F820">
        <v>31519882</v>
      </c>
      <c r="J820" t="s">
        <v>2256</v>
      </c>
      <c r="K820" t="s">
        <v>3</v>
      </c>
      <c r="L820" s="2">
        <v>43221</v>
      </c>
      <c r="M820" s="2">
        <f>DOCXX[[#This Row],[INV DOC DATE]]+30</f>
        <v>43251</v>
      </c>
      <c r="N820" s="2">
        <v>43266</v>
      </c>
      <c r="O820" s="7">
        <v>299.2</v>
      </c>
      <c r="P820" s="2">
        <v>43278</v>
      </c>
      <c r="Q820" s="7">
        <f>$E820-$O820</f>
        <v>0</v>
      </c>
      <c r="R820" s="7" t="str">
        <f ca="1">IF(TODAY() - DOCXX[INV DUE DATE]&lt;30, "Less than 30 days",IF(TODAY()-DOCXX[INV DUE DATE]&lt;60,"30-60 days","More than 60 days"))</f>
        <v>30-60 days</v>
      </c>
      <c r="S820" t="s">
        <v>818</v>
      </c>
      <c r="T820"/>
      <c r="U820" s="7" t="s">
        <v>3699</v>
      </c>
    </row>
    <row r="821" spans="1:21" x14ac:dyDescent="0.3">
      <c r="A821" s="14" t="s">
        <v>3730</v>
      </c>
      <c r="B821" t="s">
        <v>32</v>
      </c>
      <c r="C821" t="s">
        <v>30</v>
      </c>
      <c r="D821">
        <v>1</v>
      </c>
      <c r="E821" s="7">
        <v>299.2</v>
      </c>
      <c r="F821">
        <v>31612063</v>
      </c>
      <c r="J821" t="s">
        <v>2256</v>
      </c>
      <c r="K821" t="s">
        <v>3</v>
      </c>
      <c r="L821" s="2">
        <v>43221</v>
      </c>
      <c r="M821" s="2">
        <f>DOCXX[[#This Row],[INV DOC DATE]]+30</f>
        <v>43251</v>
      </c>
      <c r="N821" s="2">
        <v>43266</v>
      </c>
      <c r="O821" s="7">
        <v>299.2</v>
      </c>
      <c r="P821" s="2">
        <v>43278</v>
      </c>
      <c r="Q821" s="7">
        <f>$E821-$O821</f>
        <v>0</v>
      </c>
      <c r="R821" s="7" t="str">
        <f ca="1">IF(TODAY() - DOCXX[INV DUE DATE]&lt;30, "Less than 30 days",IF(TODAY()-DOCXX[INV DUE DATE]&lt;60,"30-60 days","More than 60 days"))</f>
        <v>30-60 days</v>
      </c>
      <c r="S821" t="s">
        <v>818</v>
      </c>
      <c r="T821"/>
      <c r="U821" s="7" t="s">
        <v>3699</v>
      </c>
    </row>
    <row r="822" spans="1:21" x14ac:dyDescent="0.3">
      <c r="A822" s="14" t="s">
        <v>3730</v>
      </c>
      <c r="B822" t="s">
        <v>32</v>
      </c>
      <c r="C822" t="s">
        <v>93</v>
      </c>
      <c r="D822">
        <v>1</v>
      </c>
      <c r="E822" s="7">
        <v>299.2</v>
      </c>
      <c r="F822">
        <v>31732055</v>
      </c>
      <c r="J822" t="s">
        <v>2256</v>
      </c>
      <c r="K822" t="s">
        <v>3</v>
      </c>
      <c r="L822" s="2">
        <v>43221</v>
      </c>
      <c r="M822" s="2">
        <f>DOCXX[[#This Row],[INV DOC DATE]]+30</f>
        <v>43251</v>
      </c>
      <c r="N822" s="2">
        <v>43266</v>
      </c>
      <c r="O822" s="7">
        <v>299.2</v>
      </c>
      <c r="P822" s="2">
        <v>43278</v>
      </c>
      <c r="Q822" s="7">
        <f>$E822-$O822</f>
        <v>0</v>
      </c>
      <c r="R822" s="7" t="str">
        <f ca="1">IF(TODAY() - DOCXX[INV DUE DATE]&lt;30, "Less than 30 days",IF(TODAY()-DOCXX[INV DUE DATE]&lt;60,"30-60 days","More than 60 days"))</f>
        <v>30-60 days</v>
      </c>
      <c r="S822" t="s">
        <v>818</v>
      </c>
      <c r="T822"/>
      <c r="U822" s="7" t="s">
        <v>3699</v>
      </c>
    </row>
    <row r="823" spans="1:21" x14ac:dyDescent="0.3">
      <c r="A823" s="14" t="s">
        <v>3730</v>
      </c>
      <c r="B823" t="s">
        <v>32</v>
      </c>
      <c r="C823" t="s">
        <v>94</v>
      </c>
      <c r="D823">
        <v>1</v>
      </c>
      <c r="E823" s="7">
        <v>299.2</v>
      </c>
      <c r="F823">
        <v>31759383</v>
      </c>
      <c r="J823" t="s">
        <v>2256</v>
      </c>
      <c r="K823" t="s">
        <v>3</v>
      </c>
      <c r="L823" s="2">
        <v>43221</v>
      </c>
      <c r="M823" s="2">
        <f>DOCXX[[#This Row],[INV DOC DATE]]+30</f>
        <v>43251</v>
      </c>
      <c r="N823" s="2">
        <v>43266</v>
      </c>
      <c r="O823" s="7">
        <v>299.2</v>
      </c>
      <c r="P823" s="2">
        <v>43278</v>
      </c>
      <c r="Q823" s="7">
        <f>$E823-$O823</f>
        <v>0</v>
      </c>
      <c r="R823" s="7" t="str">
        <f ca="1">IF(TODAY() - DOCXX[INV DUE DATE]&lt;30, "Less than 30 days",IF(TODAY()-DOCXX[INV DUE DATE]&lt;60,"30-60 days","More than 60 days"))</f>
        <v>30-60 days</v>
      </c>
      <c r="S823" t="s">
        <v>818</v>
      </c>
      <c r="T823"/>
      <c r="U823" s="7" t="s">
        <v>3699</v>
      </c>
    </row>
    <row r="824" spans="1:21" x14ac:dyDescent="0.3">
      <c r="A824" s="14" t="s">
        <v>3730</v>
      </c>
      <c r="B824" t="s">
        <v>32</v>
      </c>
      <c r="C824" t="s">
        <v>95</v>
      </c>
      <c r="D824">
        <v>1</v>
      </c>
      <c r="E824" s="7">
        <v>252.45</v>
      </c>
      <c r="F824">
        <v>31790911</v>
      </c>
      <c r="J824" t="s">
        <v>2256</v>
      </c>
      <c r="K824" t="s">
        <v>3</v>
      </c>
      <c r="L824" s="2">
        <v>43221</v>
      </c>
      <c r="M824" s="2">
        <f>DOCXX[[#This Row],[INV DOC DATE]]+30</f>
        <v>43251</v>
      </c>
      <c r="N824" s="2">
        <v>43266</v>
      </c>
      <c r="O824" s="7">
        <v>252.45</v>
      </c>
      <c r="P824" s="2">
        <v>43278</v>
      </c>
      <c r="Q824" s="7">
        <f>$E824-$O824</f>
        <v>0</v>
      </c>
      <c r="R824" s="7" t="str">
        <f ca="1">IF(TODAY() - DOCXX[INV DUE DATE]&lt;30, "Less than 30 days",IF(TODAY()-DOCXX[INV DUE DATE]&lt;60,"30-60 days","More than 60 days"))</f>
        <v>30-60 days</v>
      </c>
      <c r="S824" t="s">
        <v>818</v>
      </c>
      <c r="T824"/>
      <c r="U824" s="7" t="s">
        <v>3699</v>
      </c>
    </row>
    <row r="825" spans="1:21" x14ac:dyDescent="0.3">
      <c r="A825" s="14" t="s">
        <v>3730</v>
      </c>
      <c r="B825" t="s">
        <v>32</v>
      </c>
      <c r="C825" t="s">
        <v>97</v>
      </c>
      <c r="D825">
        <v>1</v>
      </c>
      <c r="E825" s="7">
        <v>112.2</v>
      </c>
      <c r="F825">
        <v>31845285</v>
      </c>
      <c r="J825" t="s">
        <v>2256</v>
      </c>
      <c r="K825" t="s">
        <v>3</v>
      </c>
      <c r="L825" s="2">
        <v>43221</v>
      </c>
      <c r="M825" s="2">
        <f>DOCXX[[#This Row],[INV DOC DATE]]+30</f>
        <v>43251</v>
      </c>
      <c r="N825" s="2">
        <v>43266</v>
      </c>
      <c r="O825" s="7">
        <v>112.2</v>
      </c>
      <c r="P825" s="2">
        <v>43278</v>
      </c>
      <c r="Q825" s="7">
        <f>$E825-$O825</f>
        <v>0</v>
      </c>
      <c r="R825" s="7" t="str">
        <f ca="1">IF(TODAY() - DOCXX[INV DUE DATE]&lt;30, "Less than 30 days",IF(TODAY()-DOCXX[INV DUE DATE]&lt;60,"30-60 days","More than 60 days"))</f>
        <v>30-60 days</v>
      </c>
      <c r="S825" t="s">
        <v>818</v>
      </c>
      <c r="T825"/>
      <c r="U825" s="7" t="s">
        <v>3699</v>
      </c>
    </row>
    <row r="826" spans="1:21" x14ac:dyDescent="0.3">
      <c r="A826" s="14" t="s">
        <v>3730</v>
      </c>
      <c r="B826" t="s">
        <v>32</v>
      </c>
      <c r="C826" t="s">
        <v>98</v>
      </c>
      <c r="D826">
        <v>1</v>
      </c>
      <c r="E826" s="7">
        <v>299.2</v>
      </c>
      <c r="F826">
        <v>31865682</v>
      </c>
      <c r="J826" t="s">
        <v>2256</v>
      </c>
      <c r="K826" t="s">
        <v>3</v>
      </c>
      <c r="L826" s="2">
        <v>43221</v>
      </c>
      <c r="M826" s="2">
        <f>DOCXX[[#This Row],[INV DOC DATE]]+30</f>
        <v>43251</v>
      </c>
      <c r="N826" s="2">
        <v>43266</v>
      </c>
      <c r="O826" s="7">
        <v>299.2</v>
      </c>
      <c r="P826" s="2">
        <v>43278</v>
      </c>
      <c r="Q826" s="7">
        <f>$E826-$O826</f>
        <v>0</v>
      </c>
      <c r="R826" s="7" t="str">
        <f ca="1">IF(TODAY() - DOCXX[INV DUE DATE]&lt;30, "Less than 30 days",IF(TODAY()-DOCXX[INV DUE DATE]&lt;60,"30-60 days","More than 60 days"))</f>
        <v>30-60 days</v>
      </c>
      <c r="S826" t="s">
        <v>818</v>
      </c>
      <c r="T826"/>
      <c r="U826" s="7" t="s">
        <v>3699</v>
      </c>
    </row>
    <row r="827" spans="1:21" x14ac:dyDescent="0.3">
      <c r="A827" s="14" t="s">
        <v>3730</v>
      </c>
      <c r="B827" t="s">
        <v>32</v>
      </c>
      <c r="C827" t="s">
        <v>99</v>
      </c>
      <c r="D827">
        <v>1</v>
      </c>
      <c r="E827" s="7">
        <v>299.2</v>
      </c>
      <c r="F827">
        <v>31866188</v>
      </c>
      <c r="J827" t="s">
        <v>2256</v>
      </c>
      <c r="K827" t="s">
        <v>3</v>
      </c>
      <c r="L827" s="2">
        <v>43221</v>
      </c>
      <c r="M827" s="2">
        <f>DOCXX[[#This Row],[INV DOC DATE]]+30</f>
        <v>43251</v>
      </c>
      <c r="N827" s="2">
        <v>43266</v>
      </c>
      <c r="O827" s="7">
        <v>299.2</v>
      </c>
      <c r="P827" s="2">
        <v>43278</v>
      </c>
      <c r="Q827" s="7">
        <f>$E827-$O827</f>
        <v>0</v>
      </c>
      <c r="R827" s="7" t="str">
        <f ca="1">IF(TODAY() - DOCXX[INV DUE DATE]&lt;30, "Less than 30 days",IF(TODAY()-DOCXX[INV DUE DATE]&lt;60,"30-60 days","More than 60 days"))</f>
        <v>30-60 days</v>
      </c>
      <c r="S827" t="s">
        <v>818</v>
      </c>
      <c r="T827"/>
      <c r="U827" s="7" t="s">
        <v>3699</v>
      </c>
    </row>
    <row r="828" spans="1:21" x14ac:dyDescent="0.3">
      <c r="A828" s="14" t="s">
        <v>3730</v>
      </c>
      <c r="B828" t="s">
        <v>32</v>
      </c>
      <c r="C828" t="s">
        <v>100</v>
      </c>
      <c r="D828">
        <v>1</v>
      </c>
      <c r="E828" s="7">
        <v>299.2</v>
      </c>
      <c r="F828">
        <v>31897935</v>
      </c>
      <c r="J828" t="s">
        <v>2256</v>
      </c>
      <c r="K828" t="s">
        <v>3</v>
      </c>
      <c r="L828" s="2">
        <v>43221</v>
      </c>
      <c r="M828" s="2">
        <f>DOCXX[[#This Row],[INV DOC DATE]]+30</f>
        <v>43251</v>
      </c>
      <c r="N828" s="2">
        <v>43266</v>
      </c>
      <c r="O828" s="7">
        <v>299.2</v>
      </c>
      <c r="P828" s="2">
        <v>43278</v>
      </c>
      <c r="Q828" s="7">
        <f>$E828-$O828</f>
        <v>0</v>
      </c>
      <c r="R828" s="7" t="str">
        <f ca="1">IF(TODAY() - DOCXX[INV DUE DATE]&lt;30, "Less than 30 days",IF(TODAY()-DOCXX[INV DUE DATE]&lt;60,"30-60 days","More than 60 days"))</f>
        <v>30-60 days</v>
      </c>
      <c r="S828" t="s">
        <v>818</v>
      </c>
      <c r="T828"/>
      <c r="U828" s="7" t="s">
        <v>3699</v>
      </c>
    </row>
    <row r="829" spans="1:21" x14ac:dyDescent="0.3">
      <c r="A829" s="14" t="s">
        <v>3730</v>
      </c>
      <c r="B829" t="s">
        <v>32</v>
      </c>
      <c r="C829" t="s">
        <v>101</v>
      </c>
      <c r="D829">
        <v>1</v>
      </c>
      <c r="E829" s="7">
        <v>102.85</v>
      </c>
      <c r="F829">
        <v>31899302</v>
      </c>
      <c r="J829" t="s">
        <v>2256</v>
      </c>
      <c r="K829" t="s">
        <v>3</v>
      </c>
      <c r="L829" s="2">
        <v>43221</v>
      </c>
      <c r="M829" s="2">
        <f>DOCXX[[#This Row],[INV DOC DATE]]+30</f>
        <v>43251</v>
      </c>
      <c r="N829" s="2">
        <v>43266</v>
      </c>
      <c r="O829" s="7">
        <v>102.85</v>
      </c>
      <c r="P829" s="2">
        <v>43278</v>
      </c>
      <c r="Q829" s="7">
        <f>$E829-$O829</f>
        <v>0</v>
      </c>
      <c r="R829" s="7" t="str">
        <f ca="1">IF(TODAY() - DOCXX[INV DUE DATE]&lt;30, "Less than 30 days",IF(TODAY()-DOCXX[INV DUE DATE]&lt;60,"30-60 days","More than 60 days"))</f>
        <v>30-60 days</v>
      </c>
      <c r="S829" t="s">
        <v>818</v>
      </c>
      <c r="T829"/>
      <c r="U829" s="7" t="s">
        <v>3699</v>
      </c>
    </row>
    <row r="830" spans="1:21" x14ac:dyDescent="0.3">
      <c r="A830" s="14" t="s">
        <v>3730</v>
      </c>
      <c r="B830" t="s">
        <v>32</v>
      </c>
      <c r="C830" t="s">
        <v>102</v>
      </c>
      <c r="D830">
        <v>1</v>
      </c>
      <c r="E830" s="7">
        <v>102.85</v>
      </c>
      <c r="F830">
        <v>31899303</v>
      </c>
      <c r="J830" t="s">
        <v>2256</v>
      </c>
      <c r="K830" t="s">
        <v>3</v>
      </c>
      <c r="L830" s="2">
        <v>43221</v>
      </c>
      <c r="M830" s="2">
        <f>DOCXX[[#This Row],[INV DOC DATE]]+30</f>
        <v>43251</v>
      </c>
      <c r="N830" s="2">
        <v>43266</v>
      </c>
      <c r="O830" s="7">
        <v>102.85</v>
      </c>
      <c r="P830" s="2">
        <v>43278</v>
      </c>
      <c r="Q830" s="7">
        <f>$E830-$O830</f>
        <v>0</v>
      </c>
      <c r="R830" s="7" t="str">
        <f ca="1">IF(TODAY() - DOCXX[INV DUE DATE]&lt;30, "Less than 30 days",IF(TODAY()-DOCXX[INV DUE DATE]&lt;60,"30-60 days","More than 60 days"))</f>
        <v>30-60 days</v>
      </c>
      <c r="S830" t="s">
        <v>818</v>
      </c>
      <c r="T830"/>
      <c r="U830" s="7" t="s">
        <v>3699</v>
      </c>
    </row>
    <row r="831" spans="1:21" x14ac:dyDescent="0.3">
      <c r="A831" s="14" t="s">
        <v>3730</v>
      </c>
      <c r="B831" t="s">
        <v>32</v>
      </c>
      <c r="C831" t="s">
        <v>103</v>
      </c>
      <c r="D831">
        <v>1</v>
      </c>
      <c r="E831" s="7">
        <v>112.2</v>
      </c>
      <c r="F831">
        <v>31899305</v>
      </c>
      <c r="J831" t="s">
        <v>2256</v>
      </c>
      <c r="K831" t="s">
        <v>3</v>
      </c>
      <c r="L831" s="2">
        <v>43221</v>
      </c>
      <c r="M831" s="2">
        <f>DOCXX[[#This Row],[INV DOC DATE]]+30</f>
        <v>43251</v>
      </c>
      <c r="N831" s="2">
        <v>43266</v>
      </c>
      <c r="O831" s="7">
        <v>112.2</v>
      </c>
      <c r="P831" s="2">
        <v>43278</v>
      </c>
      <c r="Q831" s="7">
        <f>$E831-$O831</f>
        <v>0</v>
      </c>
      <c r="R831" s="7" t="str">
        <f ca="1">IF(TODAY() - DOCXX[INV DUE DATE]&lt;30, "Less than 30 days",IF(TODAY()-DOCXX[INV DUE DATE]&lt;60,"30-60 days","More than 60 days"))</f>
        <v>30-60 days</v>
      </c>
      <c r="S831" t="s">
        <v>818</v>
      </c>
      <c r="T831"/>
      <c r="U831" s="7" t="s">
        <v>3699</v>
      </c>
    </row>
    <row r="832" spans="1:21" x14ac:dyDescent="0.3">
      <c r="A832" s="14" t="s">
        <v>3730</v>
      </c>
      <c r="B832" t="s">
        <v>32</v>
      </c>
      <c r="C832" t="s">
        <v>104</v>
      </c>
      <c r="D832">
        <v>1</v>
      </c>
      <c r="E832" s="7">
        <v>102.85</v>
      </c>
      <c r="F832">
        <v>31899306</v>
      </c>
      <c r="J832" t="s">
        <v>2256</v>
      </c>
      <c r="K832" t="s">
        <v>3</v>
      </c>
      <c r="L832" s="2">
        <v>43221</v>
      </c>
      <c r="M832" s="2">
        <f>DOCXX[[#This Row],[INV DOC DATE]]+30</f>
        <v>43251</v>
      </c>
      <c r="N832" s="2">
        <v>43266</v>
      </c>
      <c r="O832" s="7">
        <v>102.85</v>
      </c>
      <c r="P832" s="2">
        <v>43278</v>
      </c>
      <c r="Q832" s="7">
        <f>$E832-$O832</f>
        <v>0</v>
      </c>
      <c r="R832" s="7" t="str">
        <f ca="1">IF(TODAY() - DOCXX[INV DUE DATE]&lt;30, "Less than 30 days",IF(TODAY()-DOCXX[INV DUE DATE]&lt;60,"30-60 days","More than 60 days"))</f>
        <v>30-60 days</v>
      </c>
      <c r="S832" t="s">
        <v>818</v>
      </c>
      <c r="T832"/>
      <c r="U832" s="7" t="s">
        <v>3699</v>
      </c>
    </row>
    <row r="833" spans="1:21" x14ac:dyDescent="0.3">
      <c r="A833" s="14" t="s">
        <v>3730</v>
      </c>
      <c r="B833" t="s">
        <v>32</v>
      </c>
      <c r="C833" t="s">
        <v>105</v>
      </c>
      <c r="D833">
        <v>1</v>
      </c>
      <c r="E833" s="7">
        <v>102.85</v>
      </c>
      <c r="F833">
        <v>31899309</v>
      </c>
      <c r="J833" t="s">
        <v>2256</v>
      </c>
      <c r="K833" t="s">
        <v>3</v>
      </c>
      <c r="L833" s="2">
        <v>43221</v>
      </c>
      <c r="M833" s="2">
        <f>DOCXX[[#This Row],[INV DOC DATE]]+30</f>
        <v>43251</v>
      </c>
      <c r="N833" s="2">
        <v>43266</v>
      </c>
      <c r="O833" s="7">
        <v>102.85</v>
      </c>
      <c r="P833" s="2">
        <v>43278</v>
      </c>
      <c r="Q833" s="7">
        <f>$E833-$O833</f>
        <v>0</v>
      </c>
      <c r="R833" s="7" t="str">
        <f ca="1">IF(TODAY() - DOCXX[INV DUE DATE]&lt;30, "Less than 30 days",IF(TODAY()-DOCXX[INV DUE DATE]&lt;60,"30-60 days","More than 60 days"))</f>
        <v>30-60 days</v>
      </c>
      <c r="S833" t="s">
        <v>818</v>
      </c>
      <c r="T833"/>
      <c r="U833" s="7" t="s">
        <v>3699</v>
      </c>
    </row>
    <row r="834" spans="1:21" x14ac:dyDescent="0.3">
      <c r="A834" s="14" t="s">
        <v>3730</v>
      </c>
      <c r="B834" t="s">
        <v>32</v>
      </c>
      <c r="C834" t="s">
        <v>106</v>
      </c>
      <c r="D834">
        <v>1</v>
      </c>
      <c r="E834" s="7">
        <v>112.2</v>
      </c>
      <c r="F834">
        <v>31899310</v>
      </c>
      <c r="J834" t="s">
        <v>2256</v>
      </c>
      <c r="K834" t="s">
        <v>3</v>
      </c>
      <c r="L834" s="2">
        <v>43221</v>
      </c>
      <c r="M834" s="2">
        <f>DOCXX[[#This Row],[INV DOC DATE]]+30</f>
        <v>43251</v>
      </c>
      <c r="N834" s="2">
        <v>43266</v>
      </c>
      <c r="O834" s="7">
        <v>112.2</v>
      </c>
      <c r="P834" s="2">
        <v>43278</v>
      </c>
      <c r="Q834" s="7">
        <f>$E834-$O834</f>
        <v>0</v>
      </c>
      <c r="R834" s="7" t="str">
        <f ca="1">IF(TODAY() - DOCXX[INV DUE DATE]&lt;30, "Less than 30 days",IF(TODAY()-DOCXX[INV DUE DATE]&lt;60,"30-60 days","More than 60 days"))</f>
        <v>30-60 days</v>
      </c>
      <c r="S834" t="s">
        <v>818</v>
      </c>
      <c r="T834"/>
      <c r="U834" s="7" t="s">
        <v>3699</v>
      </c>
    </row>
    <row r="835" spans="1:21" x14ac:dyDescent="0.3">
      <c r="A835" s="14" t="s">
        <v>3730</v>
      </c>
      <c r="B835" t="s">
        <v>32</v>
      </c>
      <c r="C835" t="s">
        <v>107</v>
      </c>
      <c r="D835">
        <v>1</v>
      </c>
      <c r="E835" s="7">
        <v>112.2</v>
      </c>
      <c r="F835">
        <v>31899311</v>
      </c>
      <c r="J835" t="s">
        <v>2256</v>
      </c>
      <c r="K835" t="s">
        <v>3</v>
      </c>
      <c r="L835" s="2">
        <v>43221</v>
      </c>
      <c r="M835" s="2">
        <f>DOCXX[[#This Row],[INV DOC DATE]]+30</f>
        <v>43251</v>
      </c>
      <c r="N835" s="2">
        <v>43266</v>
      </c>
      <c r="O835" s="7">
        <v>112.2</v>
      </c>
      <c r="P835" s="2">
        <v>43278</v>
      </c>
      <c r="Q835" s="7">
        <f>$E835-$O835</f>
        <v>0</v>
      </c>
      <c r="R835" s="7" t="str">
        <f ca="1">IF(TODAY() - DOCXX[INV DUE DATE]&lt;30, "Less than 30 days",IF(TODAY()-DOCXX[INV DUE DATE]&lt;60,"30-60 days","More than 60 days"))</f>
        <v>30-60 days</v>
      </c>
      <c r="S835" t="s">
        <v>818</v>
      </c>
      <c r="T835"/>
      <c r="U835" s="7" t="s">
        <v>3699</v>
      </c>
    </row>
    <row r="836" spans="1:21" x14ac:dyDescent="0.3">
      <c r="A836" s="14" t="s">
        <v>3730</v>
      </c>
      <c r="B836" t="s">
        <v>32</v>
      </c>
      <c r="C836" t="s">
        <v>108</v>
      </c>
      <c r="D836">
        <v>1</v>
      </c>
      <c r="E836" s="7">
        <v>252.45</v>
      </c>
      <c r="F836">
        <v>31899312</v>
      </c>
      <c r="J836" t="s">
        <v>2256</v>
      </c>
      <c r="K836" t="s">
        <v>3</v>
      </c>
      <c r="L836" s="2">
        <v>43221</v>
      </c>
      <c r="M836" s="2">
        <f>DOCXX[[#This Row],[INV DOC DATE]]+30</f>
        <v>43251</v>
      </c>
      <c r="N836" s="2">
        <v>43266</v>
      </c>
      <c r="O836" s="7">
        <v>252.45</v>
      </c>
      <c r="P836" s="2">
        <v>43278</v>
      </c>
      <c r="Q836" s="7">
        <f>$E836-$O836</f>
        <v>0</v>
      </c>
      <c r="R836" s="7" t="str">
        <f ca="1">IF(TODAY() - DOCXX[INV DUE DATE]&lt;30, "Less than 30 days",IF(TODAY()-DOCXX[INV DUE DATE]&lt;60,"30-60 days","More than 60 days"))</f>
        <v>30-60 days</v>
      </c>
      <c r="S836" t="s">
        <v>818</v>
      </c>
      <c r="T836"/>
      <c r="U836" s="7" t="s">
        <v>3699</v>
      </c>
    </row>
    <row r="837" spans="1:21" x14ac:dyDescent="0.3">
      <c r="A837" s="14" t="s">
        <v>3730</v>
      </c>
      <c r="B837" t="s">
        <v>32</v>
      </c>
      <c r="C837" t="s">
        <v>109</v>
      </c>
      <c r="D837">
        <v>1</v>
      </c>
      <c r="E837" s="7">
        <v>243.1</v>
      </c>
      <c r="F837">
        <v>31899313</v>
      </c>
      <c r="J837" t="s">
        <v>2256</v>
      </c>
      <c r="K837" t="s">
        <v>3</v>
      </c>
      <c r="L837" s="2">
        <v>43221</v>
      </c>
      <c r="M837" s="2">
        <f>DOCXX[[#This Row],[INV DOC DATE]]+30</f>
        <v>43251</v>
      </c>
      <c r="N837" s="2">
        <v>43266</v>
      </c>
      <c r="O837" s="7">
        <v>243.1</v>
      </c>
      <c r="P837" s="2">
        <v>43278</v>
      </c>
      <c r="Q837" s="7">
        <f>$E837-$O837</f>
        <v>0</v>
      </c>
      <c r="R837" s="7" t="str">
        <f ca="1">IF(TODAY() - DOCXX[INV DUE DATE]&lt;30, "Less than 30 days",IF(TODAY()-DOCXX[INV DUE DATE]&lt;60,"30-60 days","More than 60 days"))</f>
        <v>30-60 days</v>
      </c>
      <c r="S837" t="s">
        <v>818</v>
      </c>
      <c r="T837"/>
      <c r="U837" s="7" t="s">
        <v>3699</v>
      </c>
    </row>
    <row r="838" spans="1:21" x14ac:dyDescent="0.3">
      <c r="A838" s="14" t="s">
        <v>3730</v>
      </c>
      <c r="B838" t="s">
        <v>32</v>
      </c>
      <c r="C838" t="s">
        <v>110</v>
      </c>
      <c r="D838">
        <v>1</v>
      </c>
      <c r="E838" s="7">
        <v>158.94999999999999</v>
      </c>
      <c r="F838">
        <v>31899314</v>
      </c>
      <c r="J838" t="s">
        <v>2256</v>
      </c>
      <c r="K838" t="s">
        <v>3</v>
      </c>
      <c r="L838" s="2">
        <v>43221</v>
      </c>
      <c r="M838" s="2">
        <f>DOCXX[[#This Row],[INV DOC DATE]]+30</f>
        <v>43251</v>
      </c>
      <c r="N838" s="2">
        <v>43266</v>
      </c>
      <c r="O838" s="7">
        <v>158.94999999999999</v>
      </c>
      <c r="P838" s="2">
        <v>43278</v>
      </c>
      <c r="Q838" s="7">
        <f>$E838-$O838</f>
        <v>0</v>
      </c>
      <c r="R838" s="7" t="str">
        <f ca="1">IF(TODAY() - DOCXX[INV DUE DATE]&lt;30, "Less than 30 days",IF(TODAY()-DOCXX[INV DUE DATE]&lt;60,"30-60 days","More than 60 days"))</f>
        <v>30-60 days</v>
      </c>
      <c r="S838" t="s">
        <v>818</v>
      </c>
      <c r="T838"/>
      <c r="U838" s="7" t="s">
        <v>3699</v>
      </c>
    </row>
    <row r="839" spans="1:21" x14ac:dyDescent="0.3">
      <c r="A839" s="14" t="s">
        <v>3730</v>
      </c>
      <c r="B839" t="s">
        <v>32</v>
      </c>
      <c r="C839" t="s">
        <v>111</v>
      </c>
      <c r="D839">
        <v>1</v>
      </c>
      <c r="E839" s="7">
        <v>102.85</v>
      </c>
      <c r="F839">
        <v>31899315</v>
      </c>
      <c r="J839" t="s">
        <v>2256</v>
      </c>
      <c r="K839" t="s">
        <v>3</v>
      </c>
      <c r="L839" s="2">
        <v>43221</v>
      </c>
      <c r="M839" s="2">
        <f>DOCXX[[#This Row],[INV DOC DATE]]+30</f>
        <v>43251</v>
      </c>
      <c r="N839" s="2">
        <v>43266</v>
      </c>
      <c r="O839" s="7">
        <v>102.85</v>
      </c>
      <c r="P839" s="2">
        <v>43278</v>
      </c>
      <c r="Q839" s="7">
        <f>$E839-$O839</f>
        <v>0</v>
      </c>
      <c r="R839" s="7" t="str">
        <f ca="1">IF(TODAY() - DOCXX[INV DUE DATE]&lt;30, "Less than 30 days",IF(TODAY()-DOCXX[INV DUE DATE]&lt;60,"30-60 days","More than 60 days"))</f>
        <v>30-60 days</v>
      </c>
      <c r="S839" t="s">
        <v>818</v>
      </c>
      <c r="T839"/>
      <c r="U839" s="7" t="s">
        <v>3699</v>
      </c>
    </row>
    <row r="840" spans="1:21" x14ac:dyDescent="0.3">
      <c r="A840" s="14" t="s">
        <v>3730</v>
      </c>
      <c r="B840" t="s">
        <v>32</v>
      </c>
      <c r="C840" t="s">
        <v>112</v>
      </c>
      <c r="D840">
        <v>1</v>
      </c>
      <c r="E840" s="7">
        <v>93.5</v>
      </c>
      <c r="F840">
        <v>31899316</v>
      </c>
      <c r="J840" t="s">
        <v>2256</v>
      </c>
      <c r="K840" t="s">
        <v>3</v>
      </c>
      <c r="L840" s="2">
        <v>43221</v>
      </c>
      <c r="M840" s="2">
        <f>DOCXX[[#This Row],[INV DOC DATE]]+30</f>
        <v>43251</v>
      </c>
      <c r="N840" s="2">
        <v>43266</v>
      </c>
      <c r="O840" s="7">
        <v>93.5</v>
      </c>
      <c r="P840" s="2">
        <v>43278</v>
      </c>
      <c r="Q840" s="7">
        <f>$E840-$O840</f>
        <v>0</v>
      </c>
      <c r="R840" s="7" t="str">
        <f ca="1">IF(TODAY() - DOCXX[INV DUE DATE]&lt;30, "Less than 30 days",IF(TODAY()-DOCXX[INV DUE DATE]&lt;60,"30-60 days","More than 60 days"))</f>
        <v>30-60 days</v>
      </c>
      <c r="S840" t="s">
        <v>818</v>
      </c>
      <c r="T840"/>
      <c r="U840" s="7" t="s">
        <v>3699</v>
      </c>
    </row>
    <row r="841" spans="1:21" x14ac:dyDescent="0.3">
      <c r="A841" s="14" t="s">
        <v>3730</v>
      </c>
      <c r="B841" t="s">
        <v>32</v>
      </c>
      <c r="C841" t="s">
        <v>113</v>
      </c>
      <c r="D841">
        <v>1</v>
      </c>
      <c r="E841" s="7">
        <v>196.35</v>
      </c>
      <c r="F841">
        <v>31899317</v>
      </c>
      <c r="J841" t="s">
        <v>2256</v>
      </c>
      <c r="K841" t="s">
        <v>3</v>
      </c>
      <c r="L841" s="2">
        <v>43221</v>
      </c>
      <c r="M841" s="2">
        <f>DOCXX[[#This Row],[INV DOC DATE]]+30</f>
        <v>43251</v>
      </c>
      <c r="N841" s="2">
        <v>43266</v>
      </c>
      <c r="O841" s="7">
        <v>196.35</v>
      </c>
      <c r="P841" s="2">
        <v>43278</v>
      </c>
      <c r="Q841" s="7">
        <f>$E841-$O841</f>
        <v>0</v>
      </c>
      <c r="R841" s="7" t="str">
        <f ca="1">IF(TODAY() - DOCXX[INV DUE DATE]&lt;30, "Less than 30 days",IF(TODAY()-DOCXX[INV DUE DATE]&lt;60,"30-60 days","More than 60 days"))</f>
        <v>30-60 days</v>
      </c>
      <c r="S841" t="s">
        <v>818</v>
      </c>
      <c r="T841"/>
      <c r="U841" s="7" t="s">
        <v>3699</v>
      </c>
    </row>
    <row r="842" spans="1:21" x14ac:dyDescent="0.3">
      <c r="A842" s="14" t="s">
        <v>3730</v>
      </c>
      <c r="B842" t="s">
        <v>32</v>
      </c>
      <c r="C842" t="s">
        <v>114</v>
      </c>
      <c r="D842">
        <v>1</v>
      </c>
      <c r="E842" s="7">
        <v>93.5</v>
      </c>
      <c r="F842">
        <v>31899318</v>
      </c>
      <c r="J842" t="s">
        <v>2256</v>
      </c>
      <c r="K842" t="s">
        <v>3</v>
      </c>
      <c r="L842" s="2">
        <v>43221</v>
      </c>
      <c r="M842" s="2">
        <f>DOCXX[[#This Row],[INV DOC DATE]]+30</f>
        <v>43251</v>
      </c>
      <c r="N842" s="2">
        <v>43266</v>
      </c>
      <c r="O842" s="7">
        <v>93.5</v>
      </c>
      <c r="P842" s="2">
        <v>43278</v>
      </c>
      <c r="Q842" s="7">
        <f>$E842-$O842</f>
        <v>0</v>
      </c>
      <c r="R842" s="7" t="str">
        <f ca="1">IF(TODAY() - DOCXX[INV DUE DATE]&lt;30, "Less than 30 days",IF(TODAY()-DOCXX[INV DUE DATE]&lt;60,"30-60 days","More than 60 days"))</f>
        <v>30-60 days</v>
      </c>
      <c r="S842" t="s">
        <v>818</v>
      </c>
      <c r="T842"/>
      <c r="U842" s="7" t="s">
        <v>3699</v>
      </c>
    </row>
    <row r="843" spans="1:21" x14ac:dyDescent="0.3">
      <c r="A843" s="14" t="s">
        <v>3730</v>
      </c>
      <c r="B843" t="s">
        <v>32</v>
      </c>
      <c r="C843" t="s">
        <v>115</v>
      </c>
      <c r="D843">
        <v>1</v>
      </c>
      <c r="E843" s="7">
        <v>84.15</v>
      </c>
      <c r="F843">
        <v>31899319</v>
      </c>
      <c r="J843" t="s">
        <v>2256</v>
      </c>
      <c r="K843" t="s">
        <v>3</v>
      </c>
      <c r="L843" s="2">
        <v>43221</v>
      </c>
      <c r="M843" s="2">
        <f>DOCXX[[#This Row],[INV DOC DATE]]+30</f>
        <v>43251</v>
      </c>
      <c r="N843" s="2">
        <v>43266</v>
      </c>
      <c r="O843" s="7">
        <v>84.15</v>
      </c>
      <c r="P843" s="2">
        <v>43278</v>
      </c>
      <c r="Q843" s="7">
        <f>$E843-$O843</f>
        <v>0</v>
      </c>
      <c r="R843" s="7" t="str">
        <f ca="1">IF(TODAY() - DOCXX[INV DUE DATE]&lt;30, "Less than 30 days",IF(TODAY()-DOCXX[INV DUE DATE]&lt;60,"30-60 days","More than 60 days"))</f>
        <v>30-60 days</v>
      </c>
      <c r="S843" t="s">
        <v>818</v>
      </c>
      <c r="T843"/>
      <c r="U843" s="7" t="s">
        <v>3699</v>
      </c>
    </row>
    <row r="844" spans="1:21" x14ac:dyDescent="0.3">
      <c r="A844" s="14" t="s">
        <v>3730</v>
      </c>
      <c r="B844" t="s">
        <v>32</v>
      </c>
      <c r="C844" t="s">
        <v>116</v>
      </c>
      <c r="D844">
        <v>1</v>
      </c>
      <c r="E844" s="7">
        <v>149.6</v>
      </c>
      <c r="F844">
        <v>31899320</v>
      </c>
      <c r="J844" t="s">
        <v>2256</v>
      </c>
      <c r="K844" t="s">
        <v>3</v>
      </c>
      <c r="L844" s="2">
        <v>43221</v>
      </c>
      <c r="M844" s="2">
        <f>DOCXX[[#This Row],[INV DOC DATE]]+30</f>
        <v>43251</v>
      </c>
      <c r="N844" s="2">
        <v>43266</v>
      </c>
      <c r="O844" s="7">
        <v>149.6</v>
      </c>
      <c r="P844" s="2">
        <v>43278</v>
      </c>
      <c r="Q844" s="7">
        <f>$E844-$O844</f>
        <v>0</v>
      </c>
      <c r="R844" s="7" t="str">
        <f ca="1">IF(TODAY() - DOCXX[INV DUE DATE]&lt;30, "Less than 30 days",IF(TODAY()-DOCXX[INV DUE DATE]&lt;60,"30-60 days","More than 60 days"))</f>
        <v>30-60 days</v>
      </c>
      <c r="S844" t="s">
        <v>818</v>
      </c>
      <c r="T844"/>
      <c r="U844" s="7" t="s">
        <v>3699</v>
      </c>
    </row>
    <row r="845" spans="1:21" x14ac:dyDescent="0.3">
      <c r="A845" s="14" t="s">
        <v>3730</v>
      </c>
      <c r="B845" t="s">
        <v>32</v>
      </c>
      <c r="C845" t="s">
        <v>117</v>
      </c>
      <c r="D845">
        <v>1</v>
      </c>
      <c r="E845" s="7">
        <v>102.85</v>
      </c>
      <c r="F845">
        <v>31899321</v>
      </c>
      <c r="J845" t="s">
        <v>2256</v>
      </c>
      <c r="K845" t="s">
        <v>3</v>
      </c>
      <c r="L845" s="2">
        <v>43221</v>
      </c>
      <c r="M845" s="2">
        <f>DOCXX[[#This Row],[INV DOC DATE]]+30</f>
        <v>43251</v>
      </c>
      <c r="N845" s="2">
        <v>43266</v>
      </c>
      <c r="O845" s="7">
        <v>102.85</v>
      </c>
      <c r="P845" s="2">
        <v>43278</v>
      </c>
      <c r="Q845" s="7">
        <f>$E845-$O845</f>
        <v>0</v>
      </c>
      <c r="R845" s="7" t="str">
        <f ca="1">IF(TODAY() - DOCXX[INV DUE DATE]&lt;30, "Less than 30 days",IF(TODAY()-DOCXX[INV DUE DATE]&lt;60,"30-60 days","More than 60 days"))</f>
        <v>30-60 days</v>
      </c>
      <c r="S845" t="s">
        <v>818</v>
      </c>
      <c r="T845"/>
      <c r="U845" s="7" t="s">
        <v>3699</v>
      </c>
    </row>
    <row r="846" spans="1:21" x14ac:dyDescent="0.3">
      <c r="A846" s="14" t="s">
        <v>3730</v>
      </c>
      <c r="B846" t="s">
        <v>32</v>
      </c>
      <c r="C846" t="s">
        <v>118</v>
      </c>
      <c r="D846">
        <v>1</v>
      </c>
      <c r="E846" s="7">
        <v>205.7</v>
      </c>
      <c r="F846">
        <v>31900039</v>
      </c>
      <c r="J846" t="s">
        <v>2256</v>
      </c>
      <c r="K846" t="s">
        <v>3</v>
      </c>
      <c r="L846" s="2">
        <v>43221</v>
      </c>
      <c r="M846" s="2">
        <f>DOCXX[[#This Row],[INV DOC DATE]]+30</f>
        <v>43251</v>
      </c>
      <c r="N846" s="2">
        <v>43266</v>
      </c>
      <c r="O846" s="7">
        <v>205.7</v>
      </c>
      <c r="P846" s="2">
        <v>43278</v>
      </c>
      <c r="Q846" s="7">
        <f>$E846-$O846</f>
        <v>0</v>
      </c>
      <c r="R846" s="7" t="str">
        <f ca="1">IF(TODAY() - DOCXX[INV DUE DATE]&lt;30, "Less than 30 days",IF(TODAY()-DOCXX[INV DUE DATE]&lt;60,"30-60 days","More than 60 days"))</f>
        <v>30-60 days</v>
      </c>
      <c r="S846" t="s">
        <v>818</v>
      </c>
      <c r="T846"/>
      <c r="U846" s="7" t="s">
        <v>3699</v>
      </c>
    </row>
    <row r="847" spans="1:21" x14ac:dyDescent="0.3">
      <c r="A847" s="14" t="s">
        <v>3730</v>
      </c>
      <c r="B847" t="s">
        <v>32</v>
      </c>
      <c r="C847" t="s">
        <v>119</v>
      </c>
      <c r="D847">
        <v>1</v>
      </c>
      <c r="E847" s="7">
        <v>224.4</v>
      </c>
      <c r="F847">
        <v>31900070</v>
      </c>
      <c r="J847" t="s">
        <v>2256</v>
      </c>
      <c r="K847" t="s">
        <v>3</v>
      </c>
      <c r="L847" s="2">
        <v>43221</v>
      </c>
      <c r="M847" s="2">
        <f>DOCXX[[#This Row],[INV DOC DATE]]+30</f>
        <v>43251</v>
      </c>
      <c r="N847" s="2">
        <v>43266</v>
      </c>
      <c r="O847" s="7">
        <v>224.4</v>
      </c>
      <c r="P847" s="2">
        <v>43278</v>
      </c>
      <c r="Q847" s="7">
        <f>$E847-$O847</f>
        <v>0</v>
      </c>
      <c r="R847" s="7" t="str">
        <f ca="1">IF(TODAY() - DOCXX[INV DUE DATE]&lt;30, "Less than 30 days",IF(TODAY()-DOCXX[INV DUE DATE]&lt;60,"30-60 days","More than 60 days"))</f>
        <v>30-60 days</v>
      </c>
      <c r="S847" t="s">
        <v>818</v>
      </c>
      <c r="T847"/>
      <c r="U847" s="7" t="s">
        <v>3699</v>
      </c>
    </row>
    <row r="848" spans="1:21" x14ac:dyDescent="0.3">
      <c r="A848" s="14" t="s">
        <v>3730</v>
      </c>
      <c r="B848" t="s">
        <v>32</v>
      </c>
      <c r="C848" t="s">
        <v>120</v>
      </c>
      <c r="D848">
        <v>1</v>
      </c>
      <c r="E848" s="7">
        <v>93.5</v>
      </c>
      <c r="F848">
        <v>31900071</v>
      </c>
      <c r="J848" t="s">
        <v>2256</v>
      </c>
      <c r="K848" t="s">
        <v>3</v>
      </c>
      <c r="L848" s="2">
        <v>43221</v>
      </c>
      <c r="M848" s="2">
        <f>DOCXX[[#This Row],[INV DOC DATE]]+30</f>
        <v>43251</v>
      </c>
      <c r="N848" s="2">
        <v>43266</v>
      </c>
      <c r="O848" s="7">
        <v>93.5</v>
      </c>
      <c r="P848" s="2">
        <v>43278</v>
      </c>
      <c r="Q848" s="7">
        <f>$E848-$O848</f>
        <v>0</v>
      </c>
      <c r="R848" s="7" t="str">
        <f ca="1">IF(TODAY() - DOCXX[INV DUE DATE]&lt;30, "Less than 30 days",IF(TODAY()-DOCXX[INV DUE DATE]&lt;60,"30-60 days","More than 60 days"))</f>
        <v>30-60 days</v>
      </c>
      <c r="S848" t="s">
        <v>818</v>
      </c>
      <c r="T848"/>
      <c r="U848" s="7" t="s">
        <v>3699</v>
      </c>
    </row>
    <row r="849" spans="1:21" x14ac:dyDescent="0.3">
      <c r="A849" s="14" t="s">
        <v>3730</v>
      </c>
      <c r="B849" t="s">
        <v>32</v>
      </c>
      <c r="C849" t="s">
        <v>121</v>
      </c>
      <c r="D849">
        <v>1</v>
      </c>
      <c r="E849" s="7">
        <v>215.05</v>
      </c>
      <c r="F849">
        <v>31900073</v>
      </c>
      <c r="J849" t="s">
        <v>2256</v>
      </c>
      <c r="K849" t="s">
        <v>3</v>
      </c>
      <c r="L849" s="2">
        <v>43221</v>
      </c>
      <c r="M849" s="2">
        <f>DOCXX[[#This Row],[INV DOC DATE]]+30</f>
        <v>43251</v>
      </c>
      <c r="N849" s="2">
        <v>43266</v>
      </c>
      <c r="O849" s="7">
        <v>215.05</v>
      </c>
      <c r="P849" s="2">
        <v>43278</v>
      </c>
      <c r="Q849" s="7">
        <f>$E849-$O849</f>
        <v>0</v>
      </c>
      <c r="R849" s="7" t="str">
        <f ca="1">IF(TODAY() - DOCXX[INV DUE DATE]&lt;30, "Less than 30 days",IF(TODAY()-DOCXX[INV DUE DATE]&lt;60,"30-60 days","More than 60 days"))</f>
        <v>30-60 days</v>
      </c>
      <c r="S849" t="s">
        <v>818</v>
      </c>
      <c r="T849"/>
      <c r="U849" s="7" t="s">
        <v>3699</v>
      </c>
    </row>
    <row r="850" spans="1:21" x14ac:dyDescent="0.3">
      <c r="A850" s="14" t="s">
        <v>3730</v>
      </c>
      <c r="B850" t="s">
        <v>32</v>
      </c>
      <c r="C850" t="s">
        <v>122</v>
      </c>
      <c r="D850">
        <v>1</v>
      </c>
      <c r="E850" s="7">
        <v>205.7</v>
      </c>
      <c r="F850">
        <v>31900074</v>
      </c>
      <c r="J850" t="s">
        <v>2256</v>
      </c>
      <c r="K850" t="s">
        <v>3</v>
      </c>
      <c r="L850" s="2">
        <v>43221</v>
      </c>
      <c r="M850" s="2">
        <f>DOCXX[[#This Row],[INV DOC DATE]]+30</f>
        <v>43251</v>
      </c>
      <c r="N850" s="2">
        <v>43266</v>
      </c>
      <c r="O850" s="7">
        <v>205.7</v>
      </c>
      <c r="P850" s="2">
        <v>43278</v>
      </c>
      <c r="Q850" s="7">
        <f>$E850-$O850</f>
        <v>0</v>
      </c>
      <c r="R850" s="7" t="str">
        <f ca="1">IF(TODAY() - DOCXX[INV DUE DATE]&lt;30, "Less than 30 days",IF(TODAY()-DOCXX[INV DUE DATE]&lt;60,"30-60 days","More than 60 days"))</f>
        <v>30-60 days</v>
      </c>
      <c r="S850" t="s">
        <v>818</v>
      </c>
      <c r="T850"/>
      <c r="U850" s="7" t="s">
        <v>3699</v>
      </c>
    </row>
    <row r="851" spans="1:21" x14ac:dyDescent="0.3">
      <c r="A851" s="14" t="s">
        <v>3730</v>
      </c>
      <c r="B851" t="s">
        <v>32</v>
      </c>
      <c r="C851" t="s">
        <v>123</v>
      </c>
      <c r="D851">
        <v>1</v>
      </c>
      <c r="E851" s="7">
        <v>205.7</v>
      </c>
      <c r="F851">
        <v>31900075</v>
      </c>
      <c r="J851" t="s">
        <v>2256</v>
      </c>
      <c r="K851" t="s">
        <v>3</v>
      </c>
      <c r="L851" s="2">
        <v>43221</v>
      </c>
      <c r="M851" s="2">
        <f>DOCXX[[#This Row],[INV DOC DATE]]+30</f>
        <v>43251</v>
      </c>
      <c r="N851" s="2">
        <v>43266</v>
      </c>
      <c r="O851" s="7">
        <v>205.7</v>
      </c>
      <c r="P851" s="2">
        <v>43278</v>
      </c>
      <c r="Q851" s="7">
        <f>$E851-$O851</f>
        <v>0</v>
      </c>
      <c r="R851" s="7" t="str">
        <f ca="1">IF(TODAY() - DOCXX[INV DUE DATE]&lt;30, "Less than 30 days",IF(TODAY()-DOCXX[INV DUE DATE]&lt;60,"30-60 days","More than 60 days"))</f>
        <v>30-60 days</v>
      </c>
      <c r="S851" t="s">
        <v>818</v>
      </c>
      <c r="T851"/>
      <c r="U851" s="7" t="s">
        <v>3699</v>
      </c>
    </row>
    <row r="852" spans="1:21" x14ac:dyDescent="0.3">
      <c r="A852" s="14" t="s">
        <v>3730</v>
      </c>
      <c r="B852" t="s">
        <v>32</v>
      </c>
      <c r="C852" t="s">
        <v>124</v>
      </c>
      <c r="D852">
        <v>1</v>
      </c>
      <c r="E852" s="7">
        <v>196.35</v>
      </c>
      <c r="F852">
        <v>31900076</v>
      </c>
      <c r="J852" t="s">
        <v>2256</v>
      </c>
      <c r="K852" t="s">
        <v>3</v>
      </c>
      <c r="L852" s="2">
        <v>43221</v>
      </c>
      <c r="M852" s="2">
        <f>DOCXX[[#This Row],[INV DOC DATE]]+30</f>
        <v>43251</v>
      </c>
      <c r="N852" s="2">
        <v>43266</v>
      </c>
      <c r="O852" s="7">
        <v>196.35</v>
      </c>
      <c r="P852" s="2">
        <v>43278</v>
      </c>
      <c r="Q852" s="7">
        <f>$E852-$O852</f>
        <v>0</v>
      </c>
      <c r="R852" s="7" t="str">
        <f ca="1">IF(TODAY() - DOCXX[INV DUE DATE]&lt;30, "Less than 30 days",IF(TODAY()-DOCXX[INV DUE DATE]&lt;60,"30-60 days","More than 60 days"))</f>
        <v>30-60 days</v>
      </c>
      <c r="S852" t="s">
        <v>818</v>
      </c>
      <c r="T852"/>
      <c r="U852" s="7" t="s">
        <v>3699</v>
      </c>
    </row>
    <row r="853" spans="1:21" x14ac:dyDescent="0.3">
      <c r="A853" s="14" t="s">
        <v>3730</v>
      </c>
      <c r="B853" t="s">
        <v>32</v>
      </c>
      <c r="C853" t="s">
        <v>125</v>
      </c>
      <c r="D853">
        <v>1</v>
      </c>
      <c r="E853" s="7">
        <v>196.35</v>
      </c>
      <c r="F853">
        <v>31900077</v>
      </c>
      <c r="J853" t="s">
        <v>2256</v>
      </c>
      <c r="K853" t="s">
        <v>3</v>
      </c>
      <c r="L853" s="2">
        <v>43221</v>
      </c>
      <c r="M853" s="2">
        <f>DOCXX[[#This Row],[INV DOC DATE]]+30</f>
        <v>43251</v>
      </c>
      <c r="N853" s="2">
        <v>43266</v>
      </c>
      <c r="O853" s="7">
        <v>196.35</v>
      </c>
      <c r="P853" s="2">
        <v>43278</v>
      </c>
      <c r="Q853" s="7">
        <f>$E853-$O853</f>
        <v>0</v>
      </c>
      <c r="R853" s="7" t="str">
        <f ca="1">IF(TODAY() - DOCXX[INV DUE DATE]&lt;30, "Less than 30 days",IF(TODAY()-DOCXX[INV DUE DATE]&lt;60,"30-60 days","More than 60 days"))</f>
        <v>30-60 days</v>
      </c>
      <c r="S853" t="s">
        <v>818</v>
      </c>
      <c r="T853"/>
      <c r="U853" s="7" t="s">
        <v>3699</v>
      </c>
    </row>
    <row r="854" spans="1:21" x14ac:dyDescent="0.3">
      <c r="A854" s="14" t="s">
        <v>3730</v>
      </c>
      <c r="B854" t="s">
        <v>32</v>
      </c>
      <c r="C854" t="s">
        <v>126</v>
      </c>
      <c r="D854">
        <v>1</v>
      </c>
      <c r="E854" s="7">
        <v>187</v>
      </c>
      <c r="F854">
        <v>31900078</v>
      </c>
      <c r="J854" t="s">
        <v>2256</v>
      </c>
      <c r="K854" t="s">
        <v>3</v>
      </c>
      <c r="L854" s="2">
        <v>43221</v>
      </c>
      <c r="M854" s="2">
        <f>DOCXX[[#This Row],[INV DOC DATE]]+30</f>
        <v>43251</v>
      </c>
      <c r="N854" s="2">
        <v>43266</v>
      </c>
      <c r="O854" s="7">
        <v>187</v>
      </c>
      <c r="P854" s="2">
        <v>43278</v>
      </c>
      <c r="Q854" s="7">
        <f>$E854-$O854</f>
        <v>0</v>
      </c>
      <c r="R854" s="7" t="str">
        <f ca="1">IF(TODAY() - DOCXX[INV DUE DATE]&lt;30, "Less than 30 days",IF(TODAY()-DOCXX[INV DUE DATE]&lt;60,"30-60 days","More than 60 days"))</f>
        <v>30-60 days</v>
      </c>
      <c r="S854" t="s">
        <v>818</v>
      </c>
      <c r="T854"/>
      <c r="U854" s="7" t="s">
        <v>3699</v>
      </c>
    </row>
    <row r="855" spans="1:21" x14ac:dyDescent="0.3">
      <c r="A855" s="14" t="s">
        <v>3730</v>
      </c>
      <c r="B855" t="s">
        <v>32</v>
      </c>
      <c r="C855" t="s">
        <v>127</v>
      </c>
      <c r="D855">
        <v>1</v>
      </c>
      <c r="E855" s="7">
        <v>130.9</v>
      </c>
      <c r="F855">
        <v>31900082</v>
      </c>
      <c r="J855" t="s">
        <v>2256</v>
      </c>
      <c r="K855" t="s">
        <v>3</v>
      </c>
      <c r="L855" s="2">
        <v>43221</v>
      </c>
      <c r="M855" s="2">
        <f>DOCXX[[#This Row],[INV DOC DATE]]+30</f>
        <v>43251</v>
      </c>
      <c r="N855" s="2">
        <v>43266</v>
      </c>
      <c r="O855" s="7">
        <v>130.9</v>
      </c>
      <c r="P855" s="2">
        <v>43278</v>
      </c>
      <c r="Q855" s="7">
        <f>$E855-$O855</f>
        <v>0</v>
      </c>
      <c r="R855" s="7" t="str">
        <f ca="1">IF(TODAY() - DOCXX[INV DUE DATE]&lt;30, "Less than 30 days",IF(TODAY()-DOCXX[INV DUE DATE]&lt;60,"30-60 days","More than 60 days"))</f>
        <v>30-60 days</v>
      </c>
      <c r="S855" t="s">
        <v>818</v>
      </c>
      <c r="T855"/>
      <c r="U855" s="7" t="s">
        <v>3699</v>
      </c>
    </row>
    <row r="856" spans="1:21" x14ac:dyDescent="0.3">
      <c r="A856" s="14" t="s">
        <v>3730</v>
      </c>
      <c r="B856" t="s">
        <v>32</v>
      </c>
      <c r="C856" t="s">
        <v>128</v>
      </c>
      <c r="D856">
        <v>1</v>
      </c>
      <c r="E856" s="7">
        <v>130.9</v>
      </c>
      <c r="F856">
        <v>31935711</v>
      </c>
      <c r="J856" t="s">
        <v>2256</v>
      </c>
      <c r="K856" t="s">
        <v>3</v>
      </c>
      <c r="L856" s="2">
        <v>43221</v>
      </c>
      <c r="M856" s="2">
        <f>DOCXX[[#This Row],[INV DOC DATE]]+30</f>
        <v>43251</v>
      </c>
      <c r="N856" s="2">
        <v>43266</v>
      </c>
      <c r="O856" s="7">
        <v>130.9</v>
      </c>
      <c r="P856" s="2">
        <v>43278</v>
      </c>
      <c r="Q856" s="7">
        <f>$E856-$O856</f>
        <v>0</v>
      </c>
      <c r="R856" s="7" t="str">
        <f ca="1">IF(TODAY() - DOCXX[INV DUE DATE]&lt;30, "Less than 30 days",IF(TODAY()-DOCXX[INV DUE DATE]&lt;60,"30-60 days","More than 60 days"))</f>
        <v>30-60 days</v>
      </c>
      <c r="S856" t="s">
        <v>818</v>
      </c>
      <c r="T856"/>
      <c r="U856" s="7" t="s">
        <v>3699</v>
      </c>
    </row>
    <row r="857" spans="1:21" x14ac:dyDescent="0.3">
      <c r="A857" s="14" t="s">
        <v>3730</v>
      </c>
      <c r="B857" t="s">
        <v>32</v>
      </c>
      <c r="C857" t="s">
        <v>129</v>
      </c>
      <c r="D857">
        <v>1</v>
      </c>
      <c r="E857" s="7">
        <v>233.75</v>
      </c>
      <c r="F857">
        <v>31943809</v>
      </c>
      <c r="J857" t="s">
        <v>2256</v>
      </c>
      <c r="K857" t="s">
        <v>3</v>
      </c>
      <c r="L857" s="2">
        <v>43221</v>
      </c>
      <c r="M857" s="2">
        <f>DOCXX[[#This Row],[INV DOC DATE]]+30</f>
        <v>43251</v>
      </c>
      <c r="N857" s="2">
        <v>43266</v>
      </c>
      <c r="O857" s="7">
        <v>233.75</v>
      </c>
      <c r="P857" s="2">
        <v>43278</v>
      </c>
      <c r="Q857" s="7">
        <f>$E857-$O857</f>
        <v>0</v>
      </c>
      <c r="R857" s="7" t="str">
        <f ca="1">IF(TODAY() - DOCXX[INV DUE DATE]&lt;30, "Less than 30 days",IF(TODAY()-DOCXX[INV DUE DATE]&lt;60,"30-60 days","More than 60 days"))</f>
        <v>30-60 days</v>
      </c>
      <c r="S857" t="s">
        <v>818</v>
      </c>
      <c r="T857"/>
      <c r="U857" s="7" t="s">
        <v>3699</v>
      </c>
    </row>
    <row r="858" spans="1:21" x14ac:dyDescent="0.3">
      <c r="A858" s="14" t="s">
        <v>3730</v>
      </c>
      <c r="B858" t="s">
        <v>32</v>
      </c>
      <c r="C858" t="s">
        <v>130</v>
      </c>
      <c r="D858">
        <v>1</v>
      </c>
      <c r="E858" s="7">
        <v>112.2</v>
      </c>
      <c r="F858">
        <v>31944807</v>
      </c>
      <c r="J858" t="s">
        <v>2256</v>
      </c>
      <c r="K858" t="s">
        <v>3</v>
      </c>
      <c r="L858" s="2">
        <v>43221</v>
      </c>
      <c r="M858" s="2">
        <f>DOCXX[[#This Row],[INV DOC DATE]]+30</f>
        <v>43251</v>
      </c>
      <c r="N858" s="2">
        <v>43266</v>
      </c>
      <c r="O858" s="7">
        <v>112.2</v>
      </c>
      <c r="P858" s="2">
        <v>43278</v>
      </c>
      <c r="Q858" s="7">
        <f>$E858-$O858</f>
        <v>0</v>
      </c>
      <c r="R858" s="7" t="str">
        <f ca="1">IF(TODAY() - DOCXX[INV DUE DATE]&lt;30, "Less than 30 days",IF(TODAY()-DOCXX[INV DUE DATE]&lt;60,"30-60 days","More than 60 days"))</f>
        <v>30-60 days</v>
      </c>
      <c r="S858" t="s">
        <v>818</v>
      </c>
      <c r="T858"/>
      <c r="U858" s="7" t="s">
        <v>3699</v>
      </c>
    </row>
    <row r="859" spans="1:21" x14ac:dyDescent="0.3">
      <c r="A859" s="14" t="s">
        <v>3730</v>
      </c>
      <c r="B859" t="s">
        <v>32</v>
      </c>
      <c r="C859" t="s">
        <v>131</v>
      </c>
      <c r="D859">
        <v>1</v>
      </c>
      <c r="E859" s="7">
        <v>205.7</v>
      </c>
      <c r="F859">
        <v>31952595</v>
      </c>
      <c r="J859" t="s">
        <v>2256</v>
      </c>
      <c r="K859" t="s">
        <v>3</v>
      </c>
      <c r="L859" s="2">
        <v>43221</v>
      </c>
      <c r="M859" s="2">
        <f>DOCXX[[#This Row],[INV DOC DATE]]+30</f>
        <v>43251</v>
      </c>
      <c r="N859" s="2">
        <v>43266</v>
      </c>
      <c r="O859" s="7">
        <v>205.7</v>
      </c>
      <c r="P859" s="2">
        <v>43278</v>
      </c>
      <c r="Q859" s="7">
        <f>$E859-$O859</f>
        <v>0</v>
      </c>
      <c r="R859" s="7" t="str">
        <f ca="1">IF(TODAY() - DOCXX[INV DUE DATE]&lt;30, "Less than 30 days",IF(TODAY()-DOCXX[INV DUE DATE]&lt;60,"30-60 days","More than 60 days"))</f>
        <v>30-60 days</v>
      </c>
      <c r="S859" t="s">
        <v>818</v>
      </c>
      <c r="T859"/>
      <c r="U859" s="7" t="s">
        <v>3699</v>
      </c>
    </row>
    <row r="860" spans="1:21" x14ac:dyDescent="0.3">
      <c r="A860" s="14" t="s">
        <v>3730</v>
      </c>
      <c r="B860" t="s">
        <v>32</v>
      </c>
      <c r="C860" t="s">
        <v>132</v>
      </c>
      <c r="D860">
        <v>1</v>
      </c>
      <c r="E860" s="7">
        <v>93.5</v>
      </c>
      <c r="F860">
        <v>31963082</v>
      </c>
      <c r="J860" t="s">
        <v>2256</v>
      </c>
      <c r="K860" t="s">
        <v>3</v>
      </c>
      <c r="L860" s="2">
        <v>43221</v>
      </c>
      <c r="M860" s="2">
        <f>DOCXX[[#This Row],[INV DOC DATE]]+30</f>
        <v>43251</v>
      </c>
      <c r="N860" s="2">
        <v>43266</v>
      </c>
      <c r="O860" s="7">
        <v>93.5</v>
      </c>
      <c r="P860" s="2">
        <v>43278</v>
      </c>
      <c r="Q860" s="7">
        <f>$E860-$O860</f>
        <v>0</v>
      </c>
      <c r="R860" s="7" t="str">
        <f ca="1">IF(TODAY() - DOCXX[INV DUE DATE]&lt;30, "Less than 30 days",IF(TODAY()-DOCXX[INV DUE DATE]&lt;60,"30-60 days","More than 60 days"))</f>
        <v>30-60 days</v>
      </c>
      <c r="S860" t="s">
        <v>818</v>
      </c>
      <c r="T860"/>
      <c r="U860" s="7" t="s">
        <v>3699</v>
      </c>
    </row>
    <row r="861" spans="1:21" x14ac:dyDescent="0.3">
      <c r="A861" s="14" t="s">
        <v>3730</v>
      </c>
      <c r="B861" t="s">
        <v>32</v>
      </c>
      <c r="C861" t="s">
        <v>133</v>
      </c>
      <c r="D861">
        <v>1</v>
      </c>
      <c r="E861" s="7">
        <v>261.8</v>
      </c>
      <c r="F861">
        <v>31990232</v>
      </c>
      <c r="J861" t="s">
        <v>2256</v>
      </c>
      <c r="K861" t="s">
        <v>3</v>
      </c>
      <c r="L861" s="2">
        <v>43221</v>
      </c>
      <c r="M861" s="2">
        <f>DOCXX[[#This Row],[INV DOC DATE]]+30</f>
        <v>43251</v>
      </c>
      <c r="N861" s="2">
        <v>43266</v>
      </c>
      <c r="O861" s="7">
        <v>261.8</v>
      </c>
      <c r="P861" s="2">
        <v>43278</v>
      </c>
      <c r="Q861" s="7">
        <f>$E861-$O861</f>
        <v>0</v>
      </c>
      <c r="R861" s="7" t="str">
        <f ca="1">IF(TODAY() - DOCXX[INV DUE DATE]&lt;30, "Less than 30 days",IF(TODAY()-DOCXX[INV DUE DATE]&lt;60,"30-60 days","More than 60 days"))</f>
        <v>30-60 days</v>
      </c>
      <c r="S861" t="s">
        <v>818</v>
      </c>
      <c r="T861"/>
      <c r="U861" s="7" t="s">
        <v>3699</v>
      </c>
    </row>
    <row r="862" spans="1:21" x14ac:dyDescent="0.3">
      <c r="A862" s="14" t="s">
        <v>3730</v>
      </c>
      <c r="B862" t="s">
        <v>32</v>
      </c>
      <c r="C862" t="s">
        <v>134</v>
      </c>
      <c r="D862">
        <v>1</v>
      </c>
      <c r="E862" s="7">
        <v>299.2</v>
      </c>
      <c r="F862">
        <v>31993483</v>
      </c>
      <c r="J862" t="s">
        <v>2256</v>
      </c>
      <c r="K862" t="s">
        <v>3</v>
      </c>
      <c r="L862" s="2">
        <v>43221</v>
      </c>
      <c r="M862" s="2">
        <f>DOCXX[[#This Row],[INV DOC DATE]]+30</f>
        <v>43251</v>
      </c>
      <c r="N862" s="2">
        <v>43266</v>
      </c>
      <c r="O862" s="7">
        <v>299.2</v>
      </c>
      <c r="P862" s="2">
        <v>43278</v>
      </c>
      <c r="Q862" s="7">
        <f>$E862-$O862</f>
        <v>0</v>
      </c>
      <c r="R862" s="7" t="str">
        <f ca="1">IF(TODAY() - DOCXX[INV DUE DATE]&lt;30, "Less than 30 days",IF(TODAY()-DOCXX[INV DUE DATE]&lt;60,"30-60 days","More than 60 days"))</f>
        <v>30-60 days</v>
      </c>
      <c r="S862" t="s">
        <v>818</v>
      </c>
      <c r="T862"/>
      <c r="U862" s="7" t="s">
        <v>3699</v>
      </c>
    </row>
    <row r="863" spans="1:21" x14ac:dyDescent="0.3">
      <c r="A863" s="14" t="s">
        <v>3730</v>
      </c>
      <c r="B863" t="s">
        <v>32</v>
      </c>
      <c r="C863" t="s">
        <v>135</v>
      </c>
      <c r="D863">
        <v>1</v>
      </c>
      <c r="E863" s="7">
        <v>187</v>
      </c>
      <c r="F863">
        <v>31993484</v>
      </c>
      <c r="J863" t="s">
        <v>2256</v>
      </c>
      <c r="K863" t="s">
        <v>3</v>
      </c>
      <c r="L863" s="2">
        <v>43221</v>
      </c>
      <c r="M863" s="2">
        <f>DOCXX[[#This Row],[INV DOC DATE]]+30</f>
        <v>43251</v>
      </c>
      <c r="N863" s="2">
        <v>43266</v>
      </c>
      <c r="O863" s="7">
        <v>187</v>
      </c>
      <c r="P863" s="2">
        <v>43278</v>
      </c>
      <c r="Q863" s="7">
        <f>$E863-$O863</f>
        <v>0</v>
      </c>
      <c r="R863" s="7" t="str">
        <f ca="1">IF(TODAY() - DOCXX[INV DUE DATE]&lt;30, "Less than 30 days",IF(TODAY()-DOCXX[INV DUE DATE]&lt;60,"30-60 days","More than 60 days"))</f>
        <v>30-60 days</v>
      </c>
      <c r="S863" t="s">
        <v>818</v>
      </c>
      <c r="T863"/>
      <c r="U863" s="7" t="s">
        <v>3699</v>
      </c>
    </row>
    <row r="864" spans="1:21" x14ac:dyDescent="0.3">
      <c r="A864" s="14" t="s">
        <v>3730</v>
      </c>
      <c r="B864" t="s">
        <v>32</v>
      </c>
      <c r="C864" t="s">
        <v>136</v>
      </c>
      <c r="D864">
        <v>1</v>
      </c>
      <c r="E864" s="7">
        <v>65.45</v>
      </c>
      <c r="F864">
        <v>31998971</v>
      </c>
      <c r="J864" t="s">
        <v>2256</v>
      </c>
      <c r="K864" t="s">
        <v>3</v>
      </c>
      <c r="L864" s="2">
        <v>43221</v>
      </c>
      <c r="M864" s="2">
        <f>DOCXX[[#This Row],[INV DOC DATE]]+30</f>
        <v>43251</v>
      </c>
      <c r="N864" s="2">
        <v>43266</v>
      </c>
      <c r="O864" s="7">
        <v>65.45</v>
      </c>
      <c r="P864" s="2">
        <v>43278</v>
      </c>
      <c r="Q864" s="7">
        <f>$E864-$O864</f>
        <v>0</v>
      </c>
      <c r="R864" s="7" t="str">
        <f ca="1">IF(TODAY() - DOCXX[INV DUE DATE]&lt;30, "Less than 30 days",IF(TODAY()-DOCXX[INV DUE DATE]&lt;60,"30-60 days","More than 60 days"))</f>
        <v>30-60 days</v>
      </c>
      <c r="S864" t="s">
        <v>818</v>
      </c>
      <c r="T864"/>
      <c r="U864" s="7" t="s">
        <v>3699</v>
      </c>
    </row>
    <row r="865" spans="1:21" x14ac:dyDescent="0.3">
      <c r="A865" s="14" t="s">
        <v>3730</v>
      </c>
      <c r="B865" t="s">
        <v>32</v>
      </c>
      <c r="C865" t="s">
        <v>137</v>
      </c>
      <c r="D865">
        <v>1</v>
      </c>
      <c r="E865" s="7">
        <v>121.55</v>
      </c>
      <c r="F865">
        <v>32002914</v>
      </c>
      <c r="J865" t="s">
        <v>2256</v>
      </c>
      <c r="K865" t="s">
        <v>3</v>
      </c>
      <c r="L865" s="2">
        <v>43221</v>
      </c>
      <c r="M865" s="2">
        <f>DOCXX[[#This Row],[INV DOC DATE]]+30</f>
        <v>43251</v>
      </c>
      <c r="N865" s="2">
        <v>43266</v>
      </c>
      <c r="O865" s="7">
        <v>121.55</v>
      </c>
      <c r="P865" s="2">
        <v>43278</v>
      </c>
      <c r="Q865" s="7">
        <f>$E865-$O865</f>
        <v>0</v>
      </c>
      <c r="R865" s="7" t="str">
        <f ca="1">IF(TODAY() - DOCXX[INV DUE DATE]&lt;30, "Less than 30 days",IF(TODAY()-DOCXX[INV DUE DATE]&lt;60,"30-60 days","More than 60 days"))</f>
        <v>30-60 days</v>
      </c>
      <c r="S865" t="s">
        <v>818</v>
      </c>
      <c r="T865"/>
      <c r="U865" s="7" t="s">
        <v>3699</v>
      </c>
    </row>
    <row r="866" spans="1:21" x14ac:dyDescent="0.3">
      <c r="A866" s="14" t="s">
        <v>3730</v>
      </c>
      <c r="B866" t="s">
        <v>32</v>
      </c>
      <c r="C866" t="s">
        <v>138</v>
      </c>
      <c r="D866">
        <v>1</v>
      </c>
      <c r="E866" s="7">
        <v>149.6</v>
      </c>
      <c r="F866">
        <v>32002915</v>
      </c>
      <c r="J866" t="s">
        <v>2256</v>
      </c>
      <c r="K866" t="s">
        <v>3</v>
      </c>
      <c r="L866" s="2">
        <v>43221</v>
      </c>
      <c r="M866" s="2">
        <f>DOCXX[[#This Row],[INV DOC DATE]]+30</f>
        <v>43251</v>
      </c>
      <c r="N866" s="2">
        <v>43266</v>
      </c>
      <c r="O866" s="7">
        <v>149.6</v>
      </c>
      <c r="P866" s="2">
        <v>43278</v>
      </c>
      <c r="Q866" s="7">
        <f>$E866-$O866</f>
        <v>0</v>
      </c>
      <c r="R866" s="7" t="str">
        <f ca="1">IF(TODAY() - DOCXX[INV DUE DATE]&lt;30, "Less than 30 days",IF(TODAY()-DOCXX[INV DUE DATE]&lt;60,"30-60 days","More than 60 days"))</f>
        <v>30-60 days</v>
      </c>
      <c r="S866" t="s">
        <v>818</v>
      </c>
      <c r="T866"/>
      <c r="U866" s="7" t="s">
        <v>3699</v>
      </c>
    </row>
    <row r="867" spans="1:21" x14ac:dyDescent="0.3">
      <c r="A867" s="14" t="s">
        <v>3730</v>
      </c>
      <c r="B867" t="s">
        <v>32</v>
      </c>
      <c r="C867" t="s">
        <v>139</v>
      </c>
      <c r="D867">
        <v>1</v>
      </c>
      <c r="E867" s="7">
        <v>271.14999999999998</v>
      </c>
      <c r="F867">
        <v>32003071</v>
      </c>
      <c r="J867" t="s">
        <v>2256</v>
      </c>
      <c r="K867" t="s">
        <v>3</v>
      </c>
      <c r="L867" s="2">
        <v>43221</v>
      </c>
      <c r="M867" s="2">
        <f>DOCXX[[#This Row],[INV DOC DATE]]+30</f>
        <v>43251</v>
      </c>
      <c r="N867" s="2">
        <v>43266</v>
      </c>
      <c r="O867" s="7">
        <v>271.14999999999998</v>
      </c>
      <c r="P867" s="2">
        <v>43278</v>
      </c>
      <c r="Q867" s="7">
        <f>$E867-$O867</f>
        <v>0</v>
      </c>
      <c r="R867" s="7" t="str">
        <f ca="1">IF(TODAY() - DOCXX[INV DUE DATE]&lt;30, "Less than 30 days",IF(TODAY()-DOCXX[INV DUE DATE]&lt;60,"30-60 days","More than 60 days"))</f>
        <v>30-60 days</v>
      </c>
      <c r="S867" t="s">
        <v>818</v>
      </c>
      <c r="T867"/>
      <c r="U867" s="7" t="s">
        <v>3699</v>
      </c>
    </row>
    <row r="868" spans="1:21" x14ac:dyDescent="0.3">
      <c r="A868" s="14" t="s">
        <v>3730</v>
      </c>
      <c r="B868" t="s">
        <v>32</v>
      </c>
      <c r="C868" t="s">
        <v>140</v>
      </c>
      <c r="D868">
        <v>1</v>
      </c>
      <c r="E868" s="7">
        <v>140.25</v>
      </c>
      <c r="F868">
        <v>32003072</v>
      </c>
      <c r="J868" t="s">
        <v>2256</v>
      </c>
      <c r="K868" t="s">
        <v>3</v>
      </c>
      <c r="L868" s="2">
        <v>43221</v>
      </c>
      <c r="M868" s="2">
        <f>DOCXX[[#This Row],[INV DOC DATE]]+30</f>
        <v>43251</v>
      </c>
      <c r="N868" s="2">
        <v>43266</v>
      </c>
      <c r="O868" s="7">
        <v>140.25</v>
      </c>
      <c r="P868" s="2">
        <v>43278</v>
      </c>
      <c r="Q868" s="7">
        <f>$E868-$O868</f>
        <v>0</v>
      </c>
      <c r="R868" s="7" t="str">
        <f ca="1">IF(TODAY() - DOCXX[INV DUE DATE]&lt;30, "Less than 30 days",IF(TODAY()-DOCXX[INV DUE DATE]&lt;60,"30-60 days","More than 60 days"))</f>
        <v>30-60 days</v>
      </c>
      <c r="S868" t="s">
        <v>818</v>
      </c>
      <c r="T868"/>
      <c r="U868" s="7" t="s">
        <v>3699</v>
      </c>
    </row>
    <row r="869" spans="1:21" x14ac:dyDescent="0.3">
      <c r="A869" s="14" t="s">
        <v>3730</v>
      </c>
      <c r="B869" t="s">
        <v>32</v>
      </c>
      <c r="C869" t="s">
        <v>141</v>
      </c>
      <c r="D869">
        <v>1</v>
      </c>
      <c r="E869" s="7">
        <v>280.5</v>
      </c>
      <c r="F869">
        <v>32003073</v>
      </c>
      <c r="J869" t="s">
        <v>2256</v>
      </c>
      <c r="K869" t="s">
        <v>3</v>
      </c>
      <c r="L869" s="2">
        <v>43221</v>
      </c>
      <c r="M869" s="2">
        <f>DOCXX[[#This Row],[INV DOC DATE]]+30</f>
        <v>43251</v>
      </c>
      <c r="N869" s="2">
        <v>43266</v>
      </c>
      <c r="O869" s="7">
        <v>280.5</v>
      </c>
      <c r="P869" s="2">
        <v>43278</v>
      </c>
      <c r="Q869" s="7">
        <f>$E869-$O869</f>
        <v>0</v>
      </c>
      <c r="R869" s="7" t="str">
        <f ca="1">IF(TODAY() - DOCXX[INV DUE DATE]&lt;30, "Less than 30 days",IF(TODAY()-DOCXX[INV DUE DATE]&lt;60,"30-60 days","More than 60 days"))</f>
        <v>30-60 days</v>
      </c>
      <c r="S869" t="s">
        <v>818</v>
      </c>
      <c r="T869"/>
      <c r="U869" s="7" t="s">
        <v>3699</v>
      </c>
    </row>
    <row r="870" spans="1:21" x14ac:dyDescent="0.3">
      <c r="A870" s="14" t="s">
        <v>3730</v>
      </c>
      <c r="B870" t="s">
        <v>32</v>
      </c>
      <c r="C870" t="s">
        <v>142</v>
      </c>
      <c r="D870">
        <v>1</v>
      </c>
      <c r="E870" s="7">
        <v>280.5</v>
      </c>
      <c r="F870">
        <v>32003073</v>
      </c>
      <c r="J870" t="s">
        <v>2256</v>
      </c>
      <c r="K870" t="s">
        <v>3</v>
      </c>
      <c r="L870" s="2">
        <v>43221</v>
      </c>
      <c r="M870" s="2">
        <f>DOCXX[[#This Row],[INV DOC DATE]]+30</f>
        <v>43251</v>
      </c>
      <c r="N870" s="2">
        <v>43266</v>
      </c>
      <c r="O870" s="7">
        <v>280.5</v>
      </c>
      <c r="P870" s="2">
        <v>43278</v>
      </c>
      <c r="Q870" s="7">
        <f>$E870-$O870</f>
        <v>0</v>
      </c>
      <c r="R870" s="7" t="str">
        <f ca="1">IF(TODAY() - DOCXX[INV DUE DATE]&lt;30, "Less than 30 days",IF(TODAY()-DOCXX[INV DUE DATE]&lt;60,"30-60 days","More than 60 days"))</f>
        <v>30-60 days</v>
      </c>
      <c r="S870" t="s">
        <v>818</v>
      </c>
      <c r="T870"/>
      <c r="U870" s="7" t="s">
        <v>3699</v>
      </c>
    </row>
    <row r="871" spans="1:21" x14ac:dyDescent="0.3">
      <c r="A871" s="14" t="s">
        <v>3730</v>
      </c>
      <c r="B871" t="s">
        <v>32</v>
      </c>
      <c r="C871" t="s">
        <v>143</v>
      </c>
      <c r="D871">
        <v>1</v>
      </c>
      <c r="E871" s="7">
        <v>280.5</v>
      </c>
      <c r="F871">
        <v>32003074</v>
      </c>
      <c r="J871" t="s">
        <v>2256</v>
      </c>
      <c r="K871" t="s">
        <v>3</v>
      </c>
      <c r="L871" s="2">
        <v>43221</v>
      </c>
      <c r="M871" s="2">
        <f>DOCXX[[#This Row],[INV DOC DATE]]+30</f>
        <v>43251</v>
      </c>
      <c r="N871" s="2">
        <v>43266</v>
      </c>
      <c r="O871" s="7">
        <v>280.5</v>
      </c>
      <c r="P871" s="2">
        <v>43278</v>
      </c>
      <c r="Q871" s="7">
        <f>$E871-$O871</f>
        <v>0</v>
      </c>
      <c r="R871" s="7" t="str">
        <f ca="1">IF(TODAY() - DOCXX[INV DUE DATE]&lt;30, "Less than 30 days",IF(TODAY()-DOCXX[INV DUE DATE]&lt;60,"30-60 days","More than 60 days"))</f>
        <v>30-60 days</v>
      </c>
      <c r="S871" t="s">
        <v>818</v>
      </c>
      <c r="T871"/>
      <c r="U871" s="7" t="s">
        <v>3699</v>
      </c>
    </row>
    <row r="872" spans="1:21" x14ac:dyDescent="0.3">
      <c r="A872" s="14" t="s">
        <v>3730</v>
      </c>
      <c r="B872" t="s">
        <v>32</v>
      </c>
      <c r="C872" t="s">
        <v>144</v>
      </c>
      <c r="D872">
        <v>1</v>
      </c>
      <c r="E872" s="7">
        <v>280.5</v>
      </c>
      <c r="F872">
        <v>32003074</v>
      </c>
      <c r="J872" t="s">
        <v>2256</v>
      </c>
      <c r="K872" t="s">
        <v>3</v>
      </c>
      <c r="L872" s="2">
        <v>43221</v>
      </c>
      <c r="M872" s="2">
        <f>DOCXX[[#This Row],[INV DOC DATE]]+30</f>
        <v>43251</v>
      </c>
      <c r="N872" s="2">
        <v>43266</v>
      </c>
      <c r="O872" s="7">
        <v>280.5</v>
      </c>
      <c r="P872" s="2">
        <v>43278</v>
      </c>
      <c r="Q872" s="7">
        <f>$E872-$O872</f>
        <v>0</v>
      </c>
      <c r="R872" s="7" t="str">
        <f ca="1">IF(TODAY() - DOCXX[INV DUE DATE]&lt;30, "Less than 30 days",IF(TODAY()-DOCXX[INV DUE DATE]&lt;60,"30-60 days","More than 60 days"))</f>
        <v>30-60 days</v>
      </c>
      <c r="S872" t="s">
        <v>818</v>
      </c>
      <c r="T872"/>
      <c r="U872" s="7" t="s">
        <v>3699</v>
      </c>
    </row>
    <row r="873" spans="1:21" x14ac:dyDescent="0.3">
      <c r="A873" s="14" t="s">
        <v>3730</v>
      </c>
      <c r="B873" t="s">
        <v>32</v>
      </c>
      <c r="C873" t="s">
        <v>145</v>
      </c>
      <c r="D873">
        <v>1</v>
      </c>
      <c r="E873" s="7">
        <v>280.5</v>
      </c>
      <c r="F873">
        <v>32003075</v>
      </c>
      <c r="J873" t="s">
        <v>2256</v>
      </c>
      <c r="K873" t="s">
        <v>3</v>
      </c>
      <c r="L873" s="2">
        <v>43221</v>
      </c>
      <c r="M873" s="2">
        <f>DOCXX[[#This Row],[INV DOC DATE]]+30</f>
        <v>43251</v>
      </c>
      <c r="N873" s="2">
        <v>43266</v>
      </c>
      <c r="O873" s="7">
        <v>280.5</v>
      </c>
      <c r="P873" s="2">
        <v>43278</v>
      </c>
      <c r="Q873" s="7">
        <f>$E873-$O873</f>
        <v>0</v>
      </c>
      <c r="R873" s="7" t="str">
        <f ca="1">IF(TODAY() - DOCXX[INV DUE DATE]&lt;30, "Less than 30 days",IF(TODAY()-DOCXX[INV DUE DATE]&lt;60,"30-60 days","More than 60 days"))</f>
        <v>30-60 days</v>
      </c>
      <c r="S873" t="s">
        <v>818</v>
      </c>
      <c r="T873"/>
      <c r="U873" s="7" t="s">
        <v>3699</v>
      </c>
    </row>
    <row r="874" spans="1:21" x14ac:dyDescent="0.3">
      <c r="A874" s="14" t="s">
        <v>3730</v>
      </c>
      <c r="B874" t="s">
        <v>32</v>
      </c>
      <c r="C874" t="s">
        <v>146</v>
      </c>
      <c r="D874">
        <v>1</v>
      </c>
      <c r="E874" s="7">
        <v>177.65</v>
      </c>
      <c r="F874">
        <v>32009397</v>
      </c>
      <c r="J874" t="s">
        <v>2256</v>
      </c>
      <c r="K874" t="s">
        <v>3</v>
      </c>
      <c r="L874" s="2">
        <v>43221</v>
      </c>
      <c r="M874" s="2">
        <f>DOCXX[[#This Row],[INV DOC DATE]]+30</f>
        <v>43251</v>
      </c>
      <c r="N874" s="2">
        <v>43266</v>
      </c>
      <c r="O874" s="7">
        <v>177.65</v>
      </c>
      <c r="P874" s="2">
        <v>43278</v>
      </c>
      <c r="Q874" s="7">
        <f>$E874-$O874</f>
        <v>0</v>
      </c>
      <c r="R874" s="7" t="str">
        <f ca="1">IF(TODAY() - DOCXX[INV DUE DATE]&lt;30, "Less than 30 days",IF(TODAY()-DOCXX[INV DUE DATE]&lt;60,"30-60 days","More than 60 days"))</f>
        <v>30-60 days</v>
      </c>
      <c r="S874" t="s">
        <v>818</v>
      </c>
      <c r="T874"/>
      <c r="U874" s="7" t="s">
        <v>3699</v>
      </c>
    </row>
    <row r="875" spans="1:21" x14ac:dyDescent="0.3">
      <c r="A875" s="14" t="s">
        <v>3730</v>
      </c>
      <c r="B875" t="s">
        <v>32</v>
      </c>
      <c r="C875" t="s">
        <v>147</v>
      </c>
      <c r="D875">
        <v>1</v>
      </c>
      <c r="E875" s="7">
        <v>149.6</v>
      </c>
      <c r="F875">
        <v>32018737</v>
      </c>
      <c r="J875" t="s">
        <v>2256</v>
      </c>
      <c r="K875" t="s">
        <v>3</v>
      </c>
      <c r="L875" s="2">
        <v>43221</v>
      </c>
      <c r="M875" s="2">
        <f>DOCXX[[#This Row],[INV DOC DATE]]+30</f>
        <v>43251</v>
      </c>
      <c r="N875" s="2">
        <v>43266</v>
      </c>
      <c r="O875" s="7">
        <v>149.6</v>
      </c>
      <c r="P875" s="2">
        <v>43278</v>
      </c>
      <c r="Q875" s="7">
        <f>$E875-$O875</f>
        <v>0</v>
      </c>
      <c r="R875" s="7" t="str">
        <f ca="1">IF(TODAY() - DOCXX[INV DUE DATE]&lt;30, "Less than 30 days",IF(TODAY()-DOCXX[INV DUE DATE]&lt;60,"30-60 days","More than 60 days"))</f>
        <v>30-60 days</v>
      </c>
      <c r="S875" t="s">
        <v>818</v>
      </c>
      <c r="T875"/>
      <c r="U875" s="7" t="s">
        <v>3699</v>
      </c>
    </row>
    <row r="876" spans="1:21" x14ac:dyDescent="0.3">
      <c r="A876" s="14" t="s">
        <v>3730</v>
      </c>
      <c r="B876" t="s">
        <v>32</v>
      </c>
      <c r="C876" t="s">
        <v>148</v>
      </c>
      <c r="D876">
        <v>1</v>
      </c>
      <c r="E876" s="7">
        <v>271.14999999999998</v>
      </c>
      <c r="F876">
        <v>32020318</v>
      </c>
      <c r="J876" t="s">
        <v>2256</v>
      </c>
      <c r="K876" t="s">
        <v>3</v>
      </c>
      <c r="L876" s="2">
        <v>43221</v>
      </c>
      <c r="M876" s="2">
        <f>DOCXX[[#This Row],[INV DOC DATE]]+30</f>
        <v>43251</v>
      </c>
      <c r="N876" s="2">
        <v>43266</v>
      </c>
      <c r="O876" s="7">
        <v>271.14999999999998</v>
      </c>
      <c r="P876" s="2">
        <v>43278</v>
      </c>
      <c r="Q876" s="7">
        <f>$E876-$O876</f>
        <v>0</v>
      </c>
      <c r="R876" s="7" t="str">
        <f ca="1">IF(TODAY() - DOCXX[INV DUE DATE]&lt;30, "Less than 30 days",IF(TODAY()-DOCXX[INV DUE DATE]&lt;60,"30-60 days","More than 60 days"))</f>
        <v>30-60 days</v>
      </c>
      <c r="S876" t="s">
        <v>818</v>
      </c>
      <c r="T876"/>
      <c r="U876" s="7" t="s">
        <v>3699</v>
      </c>
    </row>
    <row r="877" spans="1:21" x14ac:dyDescent="0.3">
      <c r="A877" s="14" t="s">
        <v>3730</v>
      </c>
      <c r="B877" t="s">
        <v>32</v>
      </c>
      <c r="C877" t="s">
        <v>149</v>
      </c>
      <c r="D877">
        <v>1</v>
      </c>
      <c r="E877" s="7">
        <v>252.45</v>
      </c>
      <c r="F877">
        <v>32020756</v>
      </c>
      <c r="J877" t="s">
        <v>2256</v>
      </c>
      <c r="K877" t="s">
        <v>3</v>
      </c>
      <c r="L877" s="2">
        <v>43221</v>
      </c>
      <c r="M877" s="2">
        <f>DOCXX[[#This Row],[INV DOC DATE]]+30</f>
        <v>43251</v>
      </c>
      <c r="N877" s="2">
        <v>43266</v>
      </c>
      <c r="O877" s="7">
        <v>252.45</v>
      </c>
      <c r="P877" s="2">
        <v>43278</v>
      </c>
      <c r="Q877" s="7">
        <f>$E877-$O877</f>
        <v>0</v>
      </c>
      <c r="R877" s="7" t="str">
        <f ca="1">IF(TODAY() - DOCXX[INV DUE DATE]&lt;30, "Less than 30 days",IF(TODAY()-DOCXX[INV DUE DATE]&lt;60,"30-60 days","More than 60 days"))</f>
        <v>30-60 days</v>
      </c>
      <c r="S877" t="s">
        <v>818</v>
      </c>
      <c r="T877"/>
      <c r="U877" s="7" t="s">
        <v>3699</v>
      </c>
    </row>
    <row r="878" spans="1:21" x14ac:dyDescent="0.3">
      <c r="A878" s="14" t="s">
        <v>3730</v>
      </c>
      <c r="B878" t="s">
        <v>32</v>
      </c>
      <c r="C878" t="s">
        <v>150</v>
      </c>
      <c r="D878">
        <v>1</v>
      </c>
      <c r="E878" s="7">
        <v>130.9</v>
      </c>
      <c r="F878">
        <v>32021268</v>
      </c>
      <c r="J878" t="s">
        <v>2256</v>
      </c>
      <c r="K878" t="s">
        <v>3</v>
      </c>
      <c r="L878" s="2">
        <v>43221</v>
      </c>
      <c r="M878" s="2">
        <f>DOCXX[[#This Row],[INV DOC DATE]]+30</f>
        <v>43251</v>
      </c>
      <c r="N878" s="2">
        <v>43266</v>
      </c>
      <c r="O878" s="7">
        <v>130.9</v>
      </c>
      <c r="P878" s="2">
        <v>43278</v>
      </c>
      <c r="Q878" s="7">
        <f>$E878-$O878</f>
        <v>0</v>
      </c>
      <c r="R878" s="7" t="str">
        <f ca="1">IF(TODAY() - DOCXX[INV DUE DATE]&lt;30, "Less than 30 days",IF(TODAY()-DOCXX[INV DUE DATE]&lt;60,"30-60 days","More than 60 days"))</f>
        <v>30-60 days</v>
      </c>
      <c r="S878" t="s">
        <v>818</v>
      </c>
      <c r="T878"/>
      <c r="U878" s="7" t="s">
        <v>3699</v>
      </c>
    </row>
    <row r="879" spans="1:21" x14ac:dyDescent="0.3">
      <c r="A879" s="14" t="s">
        <v>3730</v>
      </c>
      <c r="B879" t="s">
        <v>32</v>
      </c>
      <c r="C879" t="s">
        <v>151</v>
      </c>
      <c r="D879">
        <v>1</v>
      </c>
      <c r="E879" s="7">
        <v>140.25</v>
      </c>
      <c r="F879">
        <v>32021269</v>
      </c>
      <c r="J879" t="s">
        <v>2256</v>
      </c>
      <c r="K879" t="s">
        <v>3</v>
      </c>
      <c r="L879" s="2">
        <v>43221</v>
      </c>
      <c r="M879" s="2">
        <f>DOCXX[[#This Row],[INV DOC DATE]]+30</f>
        <v>43251</v>
      </c>
      <c r="N879" s="2">
        <v>43266</v>
      </c>
      <c r="O879" s="7">
        <v>140.25</v>
      </c>
      <c r="P879" s="2">
        <v>43278</v>
      </c>
      <c r="Q879" s="7">
        <f>$E879-$O879</f>
        <v>0</v>
      </c>
      <c r="R879" s="7" t="str">
        <f ca="1">IF(TODAY() - DOCXX[INV DUE DATE]&lt;30, "Less than 30 days",IF(TODAY()-DOCXX[INV DUE DATE]&lt;60,"30-60 days","More than 60 days"))</f>
        <v>30-60 days</v>
      </c>
      <c r="S879" t="s">
        <v>818</v>
      </c>
      <c r="T879"/>
      <c r="U879" s="7" t="s">
        <v>3699</v>
      </c>
    </row>
    <row r="880" spans="1:21" x14ac:dyDescent="0.3">
      <c r="A880" s="14" t="s">
        <v>3730</v>
      </c>
      <c r="B880" t="s">
        <v>32</v>
      </c>
      <c r="C880" t="s">
        <v>152</v>
      </c>
      <c r="D880">
        <v>1</v>
      </c>
      <c r="E880" s="7">
        <v>74.8</v>
      </c>
      <c r="F880">
        <v>32021721</v>
      </c>
      <c r="J880" t="s">
        <v>2256</v>
      </c>
      <c r="K880" t="s">
        <v>3</v>
      </c>
      <c r="L880" s="2">
        <v>43221</v>
      </c>
      <c r="M880" s="2">
        <f>DOCXX[[#This Row],[INV DOC DATE]]+30</f>
        <v>43251</v>
      </c>
      <c r="N880" s="2">
        <v>43266</v>
      </c>
      <c r="O880" s="7">
        <v>74.8</v>
      </c>
      <c r="P880" s="2">
        <v>43278</v>
      </c>
      <c r="Q880" s="7">
        <f>$E880-$O880</f>
        <v>0</v>
      </c>
      <c r="R880" s="7" t="str">
        <f ca="1">IF(TODAY() - DOCXX[INV DUE DATE]&lt;30, "Less than 30 days",IF(TODAY()-DOCXX[INV DUE DATE]&lt;60,"30-60 days","More than 60 days"))</f>
        <v>30-60 days</v>
      </c>
      <c r="S880" t="s">
        <v>818</v>
      </c>
      <c r="T880"/>
      <c r="U880" s="7" t="s">
        <v>3699</v>
      </c>
    </row>
    <row r="881" spans="1:21" x14ac:dyDescent="0.3">
      <c r="A881" s="14" t="s">
        <v>3730</v>
      </c>
      <c r="B881" t="s">
        <v>32</v>
      </c>
      <c r="C881" t="s">
        <v>296</v>
      </c>
      <c r="D881">
        <v>1</v>
      </c>
      <c r="E881" s="7">
        <v>130.9</v>
      </c>
      <c r="F881">
        <v>32042671</v>
      </c>
      <c r="J881" t="s">
        <v>2256</v>
      </c>
      <c r="K881" t="s">
        <v>3</v>
      </c>
      <c r="L881" s="2">
        <v>43221</v>
      </c>
      <c r="M881" s="2">
        <f>DOCXX[[#This Row],[INV DOC DATE]]+30</f>
        <v>43251</v>
      </c>
      <c r="N881" s="2">
        <v>43266</v>
      </c>
      <c r="O881" s="7">
        <v>130.9</v>
      </c>
      <c r="P881" s="2">
        <v>43278</v>
      </c>
      <c r="Q881" s="7">
        <f>$E881-$O881</f>
        <v>0</v>
      </c>
      <c r="R881" s="7" t="str">
        <f ca="1">IF(TODAY() - DOCXX[INV DUE DATE]&lt;30, "Less than 30 days",IF(TODAY()-DOCXX[INV DUE DATE]&lt;60,"30-60 days","More than 60 days"))</f>
        <v>30-60 days</v>
      </c>
      <c r="S881" t="s">
        <v>818</v>
      </c>
      <c r="T881"/>
      <c r="U881" s="7" t="s">
        <v>3699</v>
      </c>
    </row>
    <row r="882" spans="1:21" x14ac:dyDescent="0.3">
      <c r="A882" s="14" t="s">
        <v>3730</v>
      </c>
      <c r="B882" t="s">
        <v>32</v>
      </c>
      <c r="C882" t="s">
        <v>297</v>
      </c>
      <c r="D882">
        <v>1</v>
      </c>
      <c r="E882" s="7">
        <v>215.05</v>
      </c>
      <c r="F882">
        <v>32043109</v>
      </c>
      <c r="J882" t="s">
        <v>2256</v>
      </c>
      <c r="K882" t="s">
        <v>3</v>
      </c>
      <c r="L882" s="2">
        <v>43221</v>
      </c>
      <c r="M882" s="2">
        <f>DOCXX[[#This Row],[INV DOC DATE]]+30</f>
        <v>43251</v>
      </c>
      <c r="N882" s="2">
        <v>43266</v>
      </c>
      <c r="O882" s="7">
        <v>215.05</v>
      </c>
      <c r="P882" s="2">
        <v>43278</v>
      </c>
      <c r="Q882" s="7">
        <f>$E882-$O882</f>
        <v>0</v>
      </c>
      <c r="R882" s="7" t="str">
        <f ca="1">IF(TODAY() - DOCXX[INV DUE DATE]&lt;30, "Less than 30 days",IF(TODAY()-DOCXX[INV DUE DATE]&lt;60,"30-60 days","More than 60 days"))</f>
        <v>30-60 days</v>
      </c>
      <c r="S882" t="s">
        <v>818</v>
      </c>
      <c r="T882"/>
      <c r="U882" s="7" t="s">
        <v>3699</v>
      </c>
    </row>
    <row r="883" spans="1:21" x14ac:dyDescent="0.3">
      <c r="A883" s="14" t="s">
        <v>3730</v>
      </c>
      <c r="B883" t="s">
        <v>32</v>
      </c>
      <c r="C883" t="s">
        <v>298</v>
      </c>
      <c r="D883">
        <v>1</v>
      </c>
      <c r="E883" s="7">
        <v>121.55</v>
      </c>
      <c r="F883">
        <v>32055916</v>
      </c>
      <c r="J883" t="s">
        <v>2256</v>
      </c>
      <c r="K883" t="s">
        <v>3</v>
      </c>
      <c r="L883" s="2">
        <v>43221</v>
      </c>
      <c r="M883" s="2">
        <f>DOCXX[[#This Row],[INV DOC DATE]]+30</f>
        <v>43251</v>
      </c>
      <c r="N883" s="2">
        <v>43266</v>
      </c>
      <c r="O883" s="7">
        <v>121.55</v>
      </c>
      <c r="P883" s="2">
        <v>43278</v>
      </c>
      <c r="Q883" s="7">
        <f>$E883-$O883</f>
        <v>0</v>
      </c>
      <c r="R883" s="7" t="str">
        <f ca="1">IF(TODAY() - DOCXX[INV DUE DATE]&lt;30, "Less than 30 days",IF(TODAY()-DOCXX[INV DUE DATE]&lt;60,"30-60 days","More than 60 days"))</f>
        <v>30-60 days</v>
      </c>
      <c r="S883" t="s">
        <v>818</v>
      </c>
      <c r="T883"/>
      <c r="U883" s="7" t="s">
        <v>3699</v>
      </c>
    </row>
    <row r="884" spans="1:21" x14ac:dyDescent="0.3">
      <c r="A884" s="14" t="s">
        <v>3730</v>
      </c>
      <c r="B884" t="s">
        <v>32</v>
      </c>
      <c r="C884" t="s">
        <v>299</v>
      </c>
      <c r="D884">
        <v>1</v>
      </c>
      <c r="E884" s="7">
        <v>74.8</v>
      </c>
      <c r="F884">
        <v>32055917</v>
      </c>
      <c r="J884" t="s">
        <v>2256</v>
      </c>
      <c r="K884" t="s">
        <v>3</v>
      </c>
      <c r="L884" s="2">
        <v>43221</v>
      </c>
      <c r="M884" s="2">
        <f>DOCXX[[#This Row],[INV DOC DATE]]+30</f>
        <v>43251</v>
      </c>
      <c r="N884" s="2">
        <v>43266</v>
      </c>
      <c r="O884" s="7">
        <v>74.8</v>
      </c>
      <c r="P884" s="2">
        <v>43278</v>
      </c>
      <c r="Q884" s="7">
        <f>$E884-$O884</f>
        <v>0</v>
      </c>
      <c r="R884" s="7" t="str">
        <f ca="1">IF(TODAY() - DOCXX[INV DUE DATE]&lt;30, "Less than 30 days",IF(TODAY()-DOCXX[INV DUE DATE]&lt;60,"30-60 days","More than 60 days"))</f>
        <v>30-60 days</v>
      </c>
      <c r="S884" t="s">
        <v>818</v>
      </c>
      <c r="T884"/>
      <c r="U884" s="7" t="s">
        <v>3699</v>
      </c>
    </row>
    <row r="885" spans="1:21" x14ac:dyDescent="0.3">
      <c r="A885" s="14" t="s">
        <v>3730</v>
      </c>
      <c r="B885" t="s">
        <v>32</v>
      </c>
      <c r="C885" t="s">
        <v>300</v>
      </c>
      <c r="D885">
        <v>1</v>
      </c>
      <c r="E885" s="7">
        <v>187</v>
      </c>
      <c r="F885">
        <v>32055919</v>
      </c>
      <c r="J885" t="s">
        <v>2256</v>
      </c>
      <c r="K885" t="s">
        <v>3</v>
      </c>
      <c r="L885" s="2">
        <v>43221</v>
      </c>
      <c r="M885" s="2">
        <f>DOCXX[[#This Row],[INV DOC DATE]]+30</f>
        <v>43251</v>
      </c>
      <c r="N885" s="2">
        <v>43266</v>
      </c>
      <c r="O885" s="7">
        <v>187</v>
      </c>
      <c r="P885" s="2">
        <v>43278</v>
      </c>
      <c r="Q885" s="7">
        <f>$E885-$O885</f>
        <v>0</v>
      </c>
      <c r="R885" s="7" t="str">
        <f ca="1">IF(TODAY() - DOCXX[INV DUE DATE]&lt;30, "Less than 30 days",IF(TODAY()-DOCXX[INV DUE DATE]&lt;60,"30-60 days","More than 60 days"))</f>
        <v>30-60 days</v>
      </c>
      <c r="S885" t="s">
        <v>818</v>
      </c>
      <c r="T885"/>
      <c r="U885" s="7" t="s">
        <v>3699</v>
      </c>
    </row>
    <row r="886" spans="1:21" x14ac:dyDescent="0.3">
      <c r="A886" s="14" t="s">
        <v>3730</v>
      </c>
      <c r="B886" t="s">
        <v>32</v>
      </c>
      <c r="C886" t="s">
        <v>301</v>
      </c>
      <c r="D886">
        <v>1</v>
      </c>
      <c r="E886" s="7">
        <v>187</v>
      </c>
      <c r="F886">
        <v>32065660</v>
      </c>
      <c r="J886" t="s">
        <v>2256</v>
      </c>
      <c r="K886" t="s">
        <v>3</v>
      </c>
      <c r="L886" s="2">
        <v>43221</v>
      </c>
      <c r="M886" s="2">
        <f>DOCXX[[#This Row],[INV DOC DATE]]+30</f>
        <v>43251</v>
      </c>
      <c r="N886" s="2">
        <v>43266</v>
      </c>
      <c r="O886" s="7">
        <v>187</v>
      </c>
      <c r="P886" s="2">
        <v>43278</v>
      </c>
      <c r="Q886" s="7">
        <f>$E886-$O886</f>
        <v>0</v>
      </c>
      <c r="R886" s="7" t="str">
        <f ca="1">IF(TODAY() - DOCXX[INV DUE DATE]&lt;30, "Less than 30 days",IF(TODAY()-DOCXX[INV DUE DATE]&lt;60,"30-60 days","More than 60 days"))</f>
        <v>30-60 days</v>
      </c>
      <c r="S886" t="s">
        <v>818</v>
      </c>
      <c r="T886"/>
      <c r="U886" s="7" t="s">
        <v>3699</v>
      </c>
    </row>
    <row r="887" spans="1:21" x14ac:dyDescent="0.3">
      <c r="A887" s="14" t="s">
        <v>3730</v>
      </c>
      <c r="B887" t="s">
        <v>32</v>
      </c>
      <c r="C887" t="s">
        <v>302</v>
      </c>
      <c r="D887">
        <v>1</v>
      </c>
      <c r="E887" s="7">
        <v>112.2</v>
      </c>
      <c r="F887">
        <v>32065661</v>
      </c>
      <c r="J887" t="s">
        <v>2256</v>
      </c>
      <c r="K887" t="s">
        <v>3</v>
      </c>
      <c r="L887" s="2">
        <v>43221</v>
      </c>
      <c r="M887" s="2">
        <f>DOCXX[[#This Row],[INV DOC DATE]]+30</f>
        <v>43251</v>
      </c>
      <c r="N887" s="2">
        <v>43266</v>
      </c>
      <c r="O887" s="7">
        <v>112.2</v>
      </c>
      <c r="P887" s="2">
        <v>43278</v>
      </c>
      <c r="Q887" s="7">
        <f>$E887-$O887</f>
        <v>0</v>
      </c>
      <c r="R887" s="7" t="str">
        <f ca="1">IF(TODAY() - DOCXX[INV DUE DATE]&lt;30, "Less than 30 days",IF(TODAY()-DOCXX[INV DUE DATE]&lt;60,"30-60 days","More than 60 days"))</f>
        <v>30-60 days</v>
      </c>
      <c r="S887" t="s">
        <v>818</v>
      </c>
      <c r="T887"/>
      <c r="U887" s="7" t="s">
        <v>3699</v>
      </c>
    </row>
    <row r="888" spans="1:21" x14ac:dyDescent="0.3">
      <c r="A888" s="14" t="s">
        <v>3730</v>
      </c>
      <c r="B888" t="s">
        <v>32</v>
      </c>
      <c r="C888" t="s">
        <v>304</v>
      </c>
      <c r="D888">
        <v>1</v>
      </c>
      <c r="E888" s="7">
        <v>121.55</v>
      </c>
      <c r="F888">
        <v>32107698</v>
      </c>
      <c r="J888" t="s">
        <v>2256</v>
      </c>
      <c r="K888" t="s">
        <v>3</v>
      </c>
      <c r="L888" s="2">
        <v>43221</v>
      </c>
      <c r="M888" s="2">
        <f>DOCXX[[#This Row],[INV DOC DATE]]+30</f>
        <v>43251</v>
      </c>
      <c r="N888" s="2">
        <v>43266</v>
      </c>
      <c r="O888" s="7">
        <v>121.55</v>
      </c>
      <c r="P888" s="2">
        <v>43278</v>
      </c>
      <c r="Q888" s="7">
        <f>$E888-$O888</f>
        <v>0</v>
      </c>
      <c r="R888" s="7" t="str">
        <f ca="1">IF(TODAY() - DOCXX[INV DUE DATE]&lt;30, "Less than 30 days",IF(TODAY()-DOCXX[INV DUE DATE]&lt;60,"30-60 days","More than 60 days"))</f>
        <v>30-60 days</v>
      </c>
      <c r="S888" t="s">
        <v>818</v>
      </c>
      <c r="T888"/>
      <c r="U888" s="7" t="s">
        <v>3699</v>
      </c>
    </row>
    <row r="889" spans="1:21" x14ac:dyDescent="0.3">
      <c r="A889" s="14" t="s">
        <v>3730</v>
      </c>
      <c r="B889" t="s">
        <v>32</v>
      </c>
      <c r="C889" t="s">
        <v>305</v>
      </c>
      <c r="D889">
        <v>1</v>
      </c>
      <c r="E889" s="7">
        <v>121.55</v>
      </c>
      <c r="F889">
        <v>32107699</v>
      </c>
      <c r="J889" t="s">
        <v>2256</v>
      </c>
      <c r="K889" t="s">
        <v>3</v>
      </c>
      <c r="L889" s="2">
        <v>43221</v>
      </c>
      <c r="M889" s="2">
        <f>DOCXX[[#This Row],[INV DOC DATE]]+30</f>
        <v>43251</v>
      </c>
      <c r="N889" s="2">
        <v>43266</v>
      </c>
      <c r="O889" s="7">
        <v>121.55</v>
      </c>
      <c r="P889" s="2">
        <v>43278</v>
      </c>
      <c r="Q889" s="7">
        <f>$E889-$O889</f>
        <v>0</v>
      </c>
      <c r="R889" s="7" t="str">
        <f ca="1">IF(TODAY() - DOCXX[INV DUE DATE]&lt;30, "Less than 30 days",IF(TODAY()-DOCXX[INV DUE DATE]&lt;60,"30-60 days","More than 60 days"))</f>
        <v>30-60 days</v>
      </c>
      <c r="S889" t="s">
        <v>818</v>
      </c>
      <c r="T889"/>
      <c r="U889" s="7" t="s">
        <v>3699</v>
      </c>
    </row>
    <row r="890" spans="1:21" x14ac:dyDescent="0.3">
      <c r="A890" s="14" t="s">
        <v>3730</v>
      </c>
      <c r="B890" t="s">
        <v>32</v>
      </c>
      <c r="C890" t="s">
        <v>306</v>
      </c>
      <c r="D890">
        <v>1</v>
      </c>
      <c r="E890" s="7">
        <v>140.25</v>
      </c>
      <c r="F890">
        <v>32112059</v>
      </c>
      <c r="J890" t="s">
        <v>2256</v>
      </c>
      <c r="K890" t="s">
        <v>3</v>
      </c>
      <c r="L890" s="2">
        <v>43221</v>
      </c>
      <c r="M890" s="2">
        <f>DOCXX[[#This Row],[INV DOC DATE]]+30</f>
        <v>43251</v>
      </c>
      <c r="N890" s="2">
        <v>43266</v>
      </c>
      <c r="O890" s="7">
        <v>140.25</v>
      </c>
      <c r="P890" s="2">
        <v>43278</v>
      </c>
      <c r="Q890" s="7">
        <f>$E890-$O890</f>
        <v>0</v>
      </c>
      <c r="R890" s="7" t="str">
        <f ca="1">IF(TODAY() - DOCXX[INV DUE DATE]&lt;30, "Less than 30 days",IF(TODAY()-DOCXX[INV DUE DATE]&lt;60,"30-60 days","More than 60 days"))</f>
        <v>30-60 days</v>
      </c>
      <c r="S890" t="s">
        <v>818</v>
      </c>
      <c r="T890"/>
      <c r="U890" s="7" t="s">
        <v>3699</v>
      </c>
    </row>
    <row r="891" spans="1:21" x14ac:dyDescent="0.3">
      <c r="A891" s="14" t="s">
        <v>3730</v>
      </c>
      <c r="B891" t="s">
        <v>32</v>
      </c>
      <c r="C891" t="s">
        <v>307</v>
      </c>
      <c r="D891">
        <v>1</v>
      </c>
      <c r="E891" s="7">
        <v>130.9</v>
      </c>
      <c r="F891">
        <v>32112140</v>
      </c>
      <c r="J891" t="s">
        <v>2256</v>
      </c>
      <c r="K891" t="s">
        <v>3</v>
      </c>
      <c r="L891" s="2">
        <v>43221</v>
      </c>
      <c r="M891" s="2">
        <f>DOCXX[[#This Row],[INV DOC DATE]]+30</f>
        <v>43251</v>
      </c>
      <c r="N891" s="2">
        <v>43266</v>
      </c>
      <c r="O891" s="7">
        <v>130.9</v>
      </c>
      <c r="P891" s="2">
        <v>43278</v>
      </c>
      <c r="Q891" s="7">
        <f>$E891-$O891</f>
        <v>0</v>
      </c>
      <c r="R891" s="7" t="str">
        <f ca="1">IF(TODAY() - DOCXX[INV DUE DATE]&lt;30, "Less than 30 days",IF(TODAY()-DOCXX[INV DUE DATE]&lt;60,"30-60 days","More than 60 days"))</f>
        <v>30-60 days</v>
      </c>
      <c r="S891" t="s">
        <v>818</v>
      </c>
      <c r="T891"/>
      <c r="U891" s="7" t="s">
        <v>3699</v>
      </c>
    </row>
    <row r="892" spans="1:21" x14ac:dyDescent="0.3">
      <c r="A892" s="14" t="s">
        <v>3730</v>
      </c>
      <c r="B892" t="s">
        <v>32</v>
      </c>
      <c r="C892" t="s">
        <v>308</v>
      </c>
      <c r="D892">
        <v>1</v>
      </c>
      <c r="E892" s="7">
        <v>112.2</v>
      </c>
      <c r="F892">
        <v>32118265</v>
      </c>
      <c r="J892" t="s">
        <v>2256</v>
      </c>
      <c r="K892" t="s">
        <v>3</v>
      </c>
      <c r="L892" s="2">
        <v>43221</v>
      </c>
      <c r="M892" s="2">
        <f>DOCXX[[#This Row],[INV DOC DATE]]+30</f>
        <v>43251</v>
      </c>
      <c r="N892" s="2">
        <v>43266</v>
      </c>
      <c r="O892" s="7">
        <v>112.2</v>
      </c>
      <c r="P892" s="2">
        <v>43278</v>
      </c>
      <c r="Q892" s="7">
        <f>$E892-$O892</f>
        <v>0</v>
      </c>
      <c r="R892" s="7" t="str">
        <f ca="1">IF(TODAY() - DOCXX[INV DUE DATE]&lt;30, "Less than 30 days",IF(TODAY()-DOCXX[INV DUE DATE]&lt;60,"30-60 days","More than 60 days"))</f>
        <v>30-60 days</v>
      </c>
      <c r="S892" t="s">
        <v>818</v>
      </c>
      <c r="T892"/>
      <c r="U892" s="7" t="s">
        <v>3699</v>
      </c>
    </row>
    <row r="893" spans="1:21" x14ac:dyDescent="0.3">
      <c r="A893" s="14" t="s">
        <v>3730</v>
      </c>
      <c r="B893" t="s">
        <v>32</v>
      </c>
      <c r="C893" t="s">
        <v>309</v>
      </c>
      <c r="D893">
        <v>1</v>
      </c>
      <c r="E893" s="7">
        <v>74.8</v>
      </c>
      <c r="F893">
        <v>32118266</v>
      </c>
      <c r="J893" t="s">
        <v>2256</v>
      </c>
      <c r="K893" t="s">
        <v>3</v>
      </c>
      <c r="L893" s="2">
        <v>43221</v>
      </c>
      <c r="M893" s="2">
        <f>DOCXX[[#This Row],[INV DOC DATE]]+30</f>
        <v>43251</v>
      </c>
      <c r="N893" s="2">
        <v>43266</v>
      </c>
      <c r="O893" s="7">
        <v>74.8</v>
      </c>
      <c r="P893" s="2">
        <v>43278</v>
      </c>
      <c r="Q893" s="7">
        <f>$E893-$O893</f>
        <v>0</v>
      </c>
      <c r="R893" s="7" t="str">
        <f ca="1">IF(TODAY() - DOCXX[INV DUE DATE]&lt;30, "Less than 30 days",IF(TODAY()-DOCXX[INV DUE DATE]&lt;60,"30-60 days","More than 60 days"))</f>
        <v>30-60 days</v>
      </c>
      <c r="S893" t="s">
        <v>818</v>
      </c>
      <c r="T893"/>
      <c r="U893" s="7" t="s">
        <v>3699</v>
      </c>
    </row>
    <row r="894" spans="1:21" x14ac:dyDescent="0.3">
      <c r="A894" s="14" t="s">
        <v>3730</v>
      </c>
      <c r="B894" t="s">
        <v>32</v>
      </c>
      <c r="C894" t="s">
        <v>310</v>
      </c>
      <c r="D894">
        <v>1</v>
      </c>
      <c r="E894" s="7">
        <v>65.45</v>
      </c>
      <c r="F894">
        <v>32119166</v>
      </c>
      <c r="J894" t="s">
        <v>2256</v>
      </c>
      <c r="K894" t="s">
        <v>3</v>
      </c>
      <c r="L894" s="2">
        <v>43221</v>
      </c>
      <c r="M894" s="2">
        <f>DOCXX[[#This Row],[INV DOC DATE]]+30</f>
        <v>43251</v>
      </c>
      <c r="N894" s="2">
        <v>43266</v>
      </c>
      <c r="O894" s="7">
        <v>65.45</v>
      </c>
      <c r="P894" s="2">
        <v>43278</v>
      </c>
      <c r="Q894" s="7">
        <f>$E894-$O894</f>
        <v>0</v>
      </c>
      <c r="R894" s="7" t="str">
        <f ca="1">IF(TODAY() - DOCXX[INV DUE DATE]&lt;30, "Less than 30 days",IF(TODAY()-DOCXX[INV DUE DATE]&lt;60,"30-60 days","More than 60 days"))</f>
        <v>30-60 days</v>
      </c>
      <c r="S894" t="s">
        <v>818</v>
      </c>
      <c r="T894"/>
      <c r="U894" s="7" t="s">
        <v>3699</v>
      </c>
    </row>
    <row r="895" spans="1:21" x14ac:dyDescent="0.3">
      <c r="A895" s="14" t="s">
        <v>3730</v>
      </c>
      <c r="B895" t="s">
        <v>32</v>
      </c>
      <c r="C895" t="s">
        <v>311</v>
      </c>
      <c r="D895">
        <v>1</v>
      </c>
      <c r="E895" s="7">
        <v>112.2</v>
      </c>
      <c r="F895">
        <v>32153053</v>
      </c>
      <c r="J895" t="s">
        <v>2256</v>
      </c>
      <c r="K895" t="s">
        <v>3</v>
      </c>
      <c r="L895" s="2">
        <v>43221</v>
      </c>
      <c r="M895" s="2">
        <f>DOCXX[[#This Row],[INV DOC DATE]]+30</f>
        <v>43251</v>
      </c>
      <c r="N895" s="2">
        <v>43266</v>
      </c>
      <c r="O895" s="7">
        <v>112.2</v>
      </c>
      <c r="P895" s="2">
        <v>43278</v>
      </c>
      <c r="Q895" s="7">
        <f>$E895-$O895</f>
        <v>0</v>
      </c>
      <c r="R895" s="7" t="str">
        <f ca="1">IF(TODAY() - DOCXX[INV DUE DATE]&lt;30, "Less than 30 days",IF(TODAY()-DOCXX[INV DUE DATE]&lt;60,"30-60 days","More than 60 days"))</f>
        <v>30-60 days</v>
      </c>
      <c r="S895" t="s">
        <v>818</v>
      </c>
      <c r="T895"/>
      <c r="U895" s="7" t="s">
        <v>3699</v>
      </c>
    </row>
    <row r="896" spans="1:21" x14ac:dyDescent="0.3">
      <c r="A896" s="14" t="s">
        <v>3730</v>
      </c>
      <c r="B896" t="s">
        <v>32</v>
      </c>
      <c r="C896" t="s">
        <v>312</v>
      </c>
      <c r="D896">
        <v>1</v>
      </c>
      <c r="E896" s="7">
        <v>84.15</v>
      </c>
      <c r="F896">
        <v>32153054</v>
      </c>
      <c r="J896" t="s">
        <v>2256</v>
      </c>
      <c r="K896" t="s">
        <v>3</v>
      </c>
      <c r="L896" s="2">
        <v>43221</v>
      </c>
      <c r="M896" s="2">
        <f>DOCXX[[#This Row],[INV DOC DATE]]+30</f>
        <v>43251</v>
      </c>
      <c r="N896" s="2">
        <v>43266</v>
      </c>
      <c r="O896" s="7">
        <v>84.15</v>
      </c>
      <c r="P896" s="2">
        <v>43278</v>
      </c>
      <c r="Q896" s="7">
        <f>$E896-$O896</f>
        <v>0</v>
      </c>
      <c r="R896" s="7" t="str">
        <f ca="1">IF(TODAY() - DOCXX[INV DUE DATE]&lt;30, "Less than 30 days",IF(TODAY()-DOCXX[INV DUE DATE]&lt;60,"30-60 days","More than 60 days"))</f>
        <v>30-60 days</v>
      </c>
      <c r="S896" t="s">
        <v>818</v>
      </c>
      <c r="T896"/>
      <c r="U896" s="7" t="s">
        <v>3699</v>
      </c>
    </row>
    <row r="897" spans="1:21" x14ac:dyDescent="0.3">
      <c r="A897" s="14" t="s">
        <v>3730</v>
      </c>
      <c r="B897" t="s">
        <v>32</v>
      </c>
      <c r="C897" t="s">
        <v>313</v>
      </c>
      <c r="D897">
        <v>1</v>
      </c>
      <c r="E897" s="7">
        <v>56.1</v>
      </c>
      <c r="F897">
        <v>32153055</v>
      </c>
      <c r="J897" t="s">
        <v>2256</v>
      </c>
      <c r="K897" t="s">
        <v>3</v>
      </c>
      <c r="L897" s="2">
        <v>43221</v>
      </c>
      <c r="M897" s="2">
        <f>DOCXX[[#This Row],[INV DOC DATE]]+30</f>
        <v>43251</v>
      </c>
      <c r="N897" s="2">
        <v>43266</v>
      </c>
      <c r="O897" s="7">
        <v>56.1</v>
      </c>
      <c r="P897" s="2">
        <v>43278</v>
      </c>
      <c r="Q897" s="7">
        <f>$E897-$O897</f>
        <v>0</v>
      </c>
      <c r="R897" s="7" t="str">
        <f ca="1">IF(TODAY() - DOCXX[INV DUE DATE]&lt;30, "Less than 30 days",IF(TODAY()-DOCXX[INV DUE DATE]&lt;60,"30-60 days","More than 60 days"))</f>
        <v>30-60 days</v>
      </c>
      <c r="S897" t="s">
        <v>818</v>
      </c>
      <c r="T897"/>
      <c r="U897" s="7" t="s">
        <v>3699</v>
      </c>
    </row>
    <row r="898" spans="1:21" x14ac:dyDescent="0.3">
      <c r="A898" s="14" t="s">
        <v>3730</v>
      </c>
      <c r="B898" t="s">
        <v>32</v>
      </c>
      <c r="C898" t="s">
        <v>314</v>
      </c>
      <c r="D898">
        <v>1</v>
      </c>
      <c r="E898" s="7">
        <v>74.8</v>
      </c>
      <c r="F898">
        <v>32173533</v>
      </c>
      <c r="J898" t="s">
        <v>2256</v>
      </c>
      <c r="K898" t="s">
        <v>3</v>
      </c>
      <c r="L898" s="2">
        <v>43221</v>
      </c>
      <c r="M898" s="2">
        <f>DOCXX[[#This Row],[INV DOC DATE]]+30</f>
        <v>43251</v>
      </c>
      <c r="N898" s="2">
        <v>43266</v>
      </c>
      <c r="O898" s="7">
        <v>74.8</v>
      </c>
      <c r="P898" s="2">
        <v>43278</v>
      </c>
      <c r="Q898" s="7">
        <f>$E898-$O898</f>
        <v>0</v>
      </c>
      <c r="R898" s="7" t="str">
        <f ca="1">IF(TODAY() - DOCXX[INV DUE DATE]&lt;30, "Less than 30 days",IF(TODAY()-DOCXX[INV DUE DATE]&lt;60,"30-60 days","More than 60 days"))</f>
        <v>30-60 days</v>
      </c>
      <c r="S898" t="s">
        <v>818</v>
      </c>
      <c r="T898"/>
      <c r="U898" s="7" t="s">
        <v>3699</v>
      </c>
    </row>
    <row r="899" spans="1:21" x14ac:dyDescent="0.3">
      <c r="A899" s="14" t="s">
        <v>3730</v>
      </c>
      <c r="B899" t="s">
        <v>32</v>
      </c>
      <c r="C899" t="s">
        <v>315</v>
      </c>
      <c r="D899">
        <v>1</v>
      </c>
      <c r="E899" s="7">
        <v>56.1</v>
      </c>
      <c r="F899">
        <v>32173634</v>
      </c>
      <c r="J899" t="s">
        <v>2256</v>
      </c>
      <c r="K899" t="s">
        <v>3</v>
      </c>
      <c r="L899" s="2">
        <v>43221</v>
      </c>
      <c r="M899" s="2">
        <f>DOCXX[[#This Row],[INV DOC DATE]]+30</f>
        <v>43251</v>
      </c>
      <c r="N899" s="2">
        <v>43266</v>
      </c>
      <c r="O899" s="7">
        <v>56.1</v>
      </c>
      <c r="P899" s="2">
        <v>43278</v>
      </c>
      <c r="Q899" s="7">
        <f>$E899-$O899</f>
        <v>0</v>
      </c>
      <c r="R899" s="7" t="str">
        <f ca="1">IF(TODAY() - DOCXX[INV DUE DATE]&lt;30, "Less than 30 days",IF(TODAY()-DOCXX[INV DUE DATE]&lt;60,"30-60 days","More than 60 days"))</f>
        <v>30-60 days</v>
      </c>
      <c r="S899" t="s">
        <v>818</v>
      </c>
      <c r="T899"/>
      <c r="U899" s="7" t="s">
        <v>3699</v>
      </c>
    </row>
    <row r="900" spans="1:21" x14ac:dyDescent="0.3">
      <c r="A900" s="14" t="s">
        <v>3730</v>
      </c>
      <c r="B900" t="s">
        <v>32</v>
      </c>
      <c r="C900" t="s">
        <v>316</v>
      </c>
      <c r="D900">
        <v>1</v>
      </c>
      <c r="E900" s="7">
        <v>18.7</v>
      </c>
      <c r="F900">
        <v>32213731</v>
      </c>
      <c r="J900" t="s">
        <v>2256</v>
      </c>
      <c r="K900" t="s">
        <v>3</v>
      </c>
      <c r="L900" s="2">
        <v>43221</v>
      </c>
      <c r="M900" s="2">
        <f>DOCXX[[#This Row],[INV DOC DATE]]+30</f>
        <v>43251</v>
      </c>
      <c r="N900" s="2">
        <v>43266</v>
      </c>
      <c r="O900" s="7">
        <v>18.7</v>
      </c>
      <c r="P900" s="2">
        <v>43278</v>
      </c>
      <c r="Q900" s="7">
        <f>$E900-$O900</f>
        <v>0</v>
      </c>
      <c r="R900" s="7" t="str">
        <f ca="1">IF(TODAY() - DOCXX[INV DUE DATE]&lt;30, "Less than 30 days",IF(TODAY()-DOCXX[INV DUE DATE]&lt;60,"30-60 days","More than 60 days"))</f>
        <v>30-60 days</v>
      </c>
      <c r="S900" t="s">
        <v>818</v>
      </c>
      <c r="T900"/>
      <c r="U900" s="7" t="s">
        <v>3699</v>
      </c>
    </row>
    <row r="901" spans="1:21" x14ac:dyDescent="0.3">
      <c r="A901" s="14" t="s">
        <v>3730</v>
      </c>
      <c r="B901" t="s">
        <v>30</v>
      </c>
      <c r="C901" t="s">
        <v>6</v>
      </c>
      <c r="D901">
        <v>1</v>
      </c>
      <c r="E901" s="7">
        <v>13879.68</v>
      </c>
      <c r="H901">
        <v>1274</v>
      </c>
      <c r="I901" t="s">
        <v>350</v>
      </c>
      <c r="J901" t="s">
        <v>2247</v>
      </c>
      <c r="K901" t="s">
        <v>3</v>
      </c>
      <c r="L901" s="2">
        <v>43221</v>
      </c>
      <c r="M901" s="2">
        <f>DOCXX[[#This Row],[INV DOC DATE]]+30</f>
        <v>43251</v>
      </c>
      <c r="N901" s="2">
        <v>43266</v>
      </c>
      <c r="O901" s="7">
        <v>13879.68</v>
      </c>
      <c r="P901" s="2">
        <v>43278</v>
      </c>
      <c r="Q901" s="7">
        <f>$E901-$O901</f>
        <v>0</v>
      </c>
      <c r="R901" s="7" t="str">
        <f ca="1">IF(TODAY() - DOCXX[INV DUE DATE]&lt;30, "Less than 30 days",IF(TODAY()-DOCXX[INV DUE DATE]&lt;60,"30-60 days","More than 60 days"))</f>
        <v>30-60 days</v>
      </c>
      <c r="S901" t="s">
        <v>818</v>
      </c>
      <c r="T901"/>
      <c r="U901" s="7" t="s">
        <v>3699</v>
      </c>
    </row>
    <row r="902" spans="1:21" x14ac:dyDescent="0.3">
      <c r="A902" s="14" t="s">
        <v>3730</v>
      </c>
      <c r="B902" t="s">
        <v>30</v>
      </c>
      <c r="C902" t="s">
        <v>7</v>
      </c>
      <c r="D902">
        <v>1</v>
      </c>
      <c r="E902" s="7">
        <v>12250.04</v>
      </c>
      <c r="H902">
        <v>1273</v>
      </c>
      <c r="I902" t="s">
        <v>350</v>
      </c>
      <c r="J902" t="s">
        <v>2247</v>
      </c>
      <c r="K902" t="s">
        <v>3</v>
      </c>
      <c r="L902" s="2">
        <v>43221</v>
      </c>
      <c r="M902" s="2">
        <f>DOCXX[[#This Row],[INV DOC DATE]]+30</f>
        <v>43251</v>
      </c>
      <c r="N902" s="2">
        <v>43266</v>
      </c>
      <c r="O902" s="7">
        <v>12250.04</v>
      </c>
      <c r="P902" s="2">
        <v>43278</v>
      </c>
      <c r="Q902" s="7">
        <f>$E902-$O902</f>
        <v>0</v>
      </c>
      <c r="R902" s="7" t="str">
        <f ca="1">IF(TODAY() - DOCXX[INV DUE DATE]&lt;30, "Less than 30 days",IF(TODAY()-DOCXX[INV DUE DATE]&lt;60,"30-60 days","More than 60 days"))</f>
        <v>30-60 days</v>
      </c>
      <c r="S902" t="s">
        <v>818</v>
      </c>
      <c r="T902"/>
      <c r="U902" s="7" t="s">
        <v>3699</v>
      </c>
    </row>
    <row r="903" spans="1:21" x14ac:dyDescent="0.3">
      <c r="A903" s="14" t="s">
        <v>3730</v>
      </c>
      <c r="B903" t="s">
        <v>30</v>
      </c>
      <c r="C903" t="s">
        <v>8</v>
      </c>
      <c r="D903">
        <v>1</v>
      </c>
      <c r="E903" s="7">
        <v>11794.48</v>
      </c>
      <c r="H903">
        <v>58008</v>
      </c>
      <c r="I903" t="s">
        <v>355</v>
      </c>
      <c r="J903" t="s">
        <v>2247</v>
      </c>
      <c r="K903" t="s">
        <v>3</v>
      </c>
      <c r="L903" s="2">
        <v>43221</v>
      </c>
      <c r="M903" s="2">
        <f>DOCXX[[#This Row],[INV DOC DATE]]+30</f>
        <v>43251</v>
      </c>
      <c r="N903" s="2">
        <v>43266</v>
      </c>
      <c r="O903" s="7">
        <v>11794.48</v>
      </c>
      <c r="P903" s="2">
        <v>43278</v>
      </c>
      <c r="Q903" s="7">
        <f>$E903-$O903</f>
        <v>0</v>
      </c>
      <c r="R903" s="7" t="str">
        <f ca="1">IF(TODAY() - DOCXX[INV DUE DATE]&lt;30, "Less than 30 days",IF(TODAY()-DOCXX[INV DUE DATE]&lt;60,"30-60 days","More than 60 days"))</f>
        <v>30-60 days</v>
      </c>
      <c r="S903" t="s">
        <v>818</v>
      </c>
      <c r="T903"/>
      <c r="U903" s="7" t="s">
        <v>3699</v>
      </c>
    </row>
    <row r="904" spans="1:21" x14ac:dyDescent="0.3">
      <c r="A904" s="14" t="s">
        <v>3730</v>
      </c>
      <c r="B904" t="s">
        <v>30</v>
      </c>
      <c r="C904" t="s">
        <v>9</v>
      </c>
      <c r="D904">
        <v>1</v>
      </c>
      <c r="E904" s="7">
        <v>6470.56</v>
      </c>
      <c r="H904">
        <v>66660</v>
      </c>
      <c r="I904" t="s">
        <v>357</v>
      </c>
      <c r="J904" t="s">
        <v>2247</v>
      </c>
      <c r="K904" t="s">
        <v>3</v>
      </c>
      <c r="L904" s="2">
        <v>43221</v>
      </c>
      <c r="M904" s="2">
        <f>DOCXX[[#This Row],[INV DOC DATE]]+30</f>
        <v>43251</v>
      </c>
      <c r="N904" s="2">
        <v>43266</v>
      </c>
      <c r="O904" s="7">
        <v>6470.56</v>
      </c>
      <c r="P904" s="2">
        <v>43278</v>
      </c>
      <c r="Q904" s="7">
        <f>$E904-$O904</f>
        <v>0</v>
      </c>
      <c r="R904" s="7" t="str">
        <f ca="1">IF(TODAY() - DOCXX[INV DUE DATE]&lt;30, "Less than 30 days",IF(TODAY()-DOCXX[INV DUE DATE]&lt;60,"30-60 days","More than 60 days"))</f>
        <v>30-60 days</v>
      </c>
      <c r="S904" t="s">
        <v>818</v>
      </c>
      <c r="T904"/>
      <c r="U904" s="7" t="s">
        <v>3699</v>
      </c>
    </row>
    <row r="905" spans="1:21" x14ac:dyDescent="0.3">
      <c r="A905" s="14" t="s">
        <v>3730</v>
      </c>
      <c r="B905" t="s">
        <v>30</v>
      </c>
      <c r="C905" t="s">
        <v>10</v>
      </c>
      <c r="D905">
        <v>1</v>
      </c>
      <c r="E905" s="7">
        <v>5554.59</v>
      </c>
      <c r="H905">
        <v>97900</v>
      </c>
      <c r="I905" t="s">
        <v>350</v>
      </c>
      <c r="J905" t="s">
        <v>2247</v>
      </c>
      <c r="K905" t="s">
        <v>3</v>
      </c>
      <c r="L905" s="2">
        <v>43221</v>
      </c>
      <c r="M905" s="2">
        <f>DOCXX[[#This Row],[INV DOC DATE]]+30</f>
        <v>43251</v>
      </c>
      <c r="N905" s="2">
        <v>43266</v>
      </c>
      <c r="O905" s="7">
        <v>5554.59</v>
      </c>
      <c r="P905" s="2">
        <v>43278</v>
      </c>
      <c r="Q905" s="7">
        <f>$E905-$O905</f>
        <v>0</v>
      </c>
      <c r="R905" s="7" t="str">
        <f ca="1">IF(TODAY() - DOCXX[INV DUE DATE]&lt;30, "Less than 30 days",IF(TODAY()-DOCXX[INV DUE DATE]&lt;60,"30-60 days","More than 60 days"))</f>
        <v>30-60 days</v>
      </c>
      <c r="S905" t="s">
        <v>818</v>
      </c>
      <c r="T905"/>
      <c r="U905" s="7" t="s">
        <v>3699</v>
      </c>
    </row>
    <row r="906" spans="1:21" x14ac:dyDescent="0.3">
      <c r="A906" s="14" t="s">
        <v>3730</v>
      </c>
      <c r="B906" t="s">
        <v>30</v>
      </c>
      <c r="C906" t="s">
        <v>11</v>
      </c>
      <c r="D906">
        <v>1</v>
      </c>
      <c r="E906" s="7">
        <v>3731.07</v>
      </c>
      <c r="H906">
        <v>66665</v>
      </c>
      <c r="I906" t="s">
        <v>2248</v>
      </c>
      <c r="J906" t="s">
        <v>2247</v>
      </c>
      <c r="K906" t="s">
        <v>3</v>
      </c>
      <c r="L906" s="2">
        <v>43221</v>
      </c>
      <c r="M906" s="2">
        <f>DOCXX[[#This Row],[INV DOC DATE]]+30</f>
        <v>43251</v>
      </c>
      <c r="N906" s="2">
        <v>43266</v>
      </c>
      <c r="O906" s="7">
        <v>3731.07</v>
      </c>
      <c r="P906" s="2">
        <v>43278</v>
      </c>
      <c r="Q906" s="7">
        <f>$E906-$O906</f>
        <v>0</v>
      </c>
      <c r="R906" s="7" t="str">
        <f ca="1">IF(TODAY() - DOCXX[INV DUE DATE]&lt;30, "Less than 30 days",IF(TODAY()-DOCXX[INV DUE DATE]&lt;60,"30-60 days","More than 60 days"))</f>
        <v>30-60 days</v>
      </c>
      <c r="S906" t="s">
        <v>818</v>
      </c>
      <c r="T906"/>
      <c r="U906" s="7" t="s">
        <v>3699</v>
      </c>
    </row>
    <row r="907" spans="1:21" x14ac:dyDescent="0.3">
      <c r="A907" s="14" t="s">
        <v>3730</v>
      </c>
      <c r="B907" t="s">
        <v>30</v>
      </c>
      <c r="C907" t="s">
        <v>12</v>
      </c>
      <c r="D907">
        <v>1</v>
      </c>
      <c r="E907" s="7">
        <v>3722.67</v>
      </c>
      <c r="H907">
        <v>167840</v>
      </c>
      <c r="I907" t="s">
        <v>2249</v>
      </c>
      <c r="J907" t="s">
        <v>2247</v>
      </c>
      <c r="K907" t="s">
        <v>3</v>
      </c>
      <c r="L907" s="2">
        <v>43221</v>
      </c>
      <c r="M907" s="2">
        <f>DOCXX[[#This Row],[INV DOC DATE]]+30</f>
        <v>43251</v>
      </c>
      <c r="N907" s="2">
        <v>43266</v>
      </c>
      <c r="O907" s="7">
        <v>3722.67</v>
      </c>
      <c r="P907" s="2">
        <v>43278</v>
      </c>
      <c r="Q907" s="7">
        <f>$E907-$O907</f>
        <v>0</v>
      </c>
      <c r="R907" s="7" t="str">
        <f ca="1">IF(TODAY() - DOCXX[INV DUE DATE]&lt;30, "Less than 30 days",IF(TODAY()-DOCXX[INV DUE DATE]&lt;60,"30-60 days","More than 60 days"))</f>
        <v>30-60 days</v>
      </c>
      <c r="S907" t="s">
        <v>818</v>
      </c>
      <c r="T907"/>
      <c r="U907" s="7" t="s">
        <v>3699</v>
      </c>
    </row>
    <row r="908" spans="1:21" x14ac:dyDescent="0.3">
      <c r="A908" s="14" t="s">
        <v>3730</v>
      </c>
      <c r="B908" t="s">
        <v>30</v>
      </c>
      <c r="C908" t="s">
        <v>13</v>
      </c>
      <c r="D908">
        <v>1</v>
      </c>
      <c r="E908" s="7">
        <v>3201.66</v>
      </c>
      <c r="H908">
        <v>68162</v>
      </c>
      <c r="I908" t="s">
        <v>358</v>
      </c>
      <c r="J908" t="s">
        <v>2247</v>
      </c>
      <c r="K908" t="s">
        <v>3</v>
      </c>
      <c r="L908" s="2">
        <v>43221</v>
      </c>
      <c r="M908" s="2">
        <f>DOCXX[[#This Row],[INV DOC DATE]]+30</f>
        <v>43251</v>
      </c>
      <c r="N908" s="2">
        <v>43266</v>
      </c>
      <c r="O908" s="7">
        <v>3201.66</v>
      </c>
      <c r="P908" s="2">
        <v>43278</v>
      </c>
      <c r="Q908" s="7">
        <f>$E908-$O908</f>
        <v>0</v>
      </c>
      <c r="R908" s="7" t="str">
        <f ca="1">IF(TODAY() - DOCXX[INV DUE DATE]&lt;30, "Less than 30 days",IF(TODAY()-DOCXX[INV DUE DATE]&lt;60,"30-60 days","More than 60 days"))</f>
        <v>30-60 days</v>
      </c>
      <c r="S908" t="s">
        <v>818</v>
      </c>
      <c r="T908"/>
      <c r="U908" s="7" t="s">
        <v>3699</v>
      </c>
    </row>
    <row r="909" spans="1:21" x14ac:dyDescent="0.3">
      <c r="A909" s="14" t="s">
        <v>3730</v>
      </c>
      <c r="B909" t="s">
        <v>30</v>
      </c>
      <c r="C909" t="s">
        <v>14</v>
      </c>
      <c r="D909">
        <v>1</v>
      </c>
      <c r="E909" s="7">
        <v>2890.74</v>
      </c>
      <c r="H909">
        <v>55785</v>
      </c>
      <c r="I909" t="s">
        <v>354</v>
      </c>
      <c r="J909" t="s">
        <v>2247</v>
      </c>
      <c r="K909" t="s">
        <v>3</v>
      </c>
      <c r="L909" s="2">
        <v>43221</v>
      </c>
      <c r="M909" s="2">
        <f>DOCXX[[#This Row],[INV DOC DATE]]+30</f>
        <v>43251</v>
      </c>
      <c r="N909" s="2">
        <v>43266</v>
      </c>
      <c r="O909" s="7">
        <v>2890.74</v>
      </c>
      <c r="P909" s="2">
        <v>43278</v>
      </c>
      <c r="Q909" s="7">
        <f>$E909-$O909</f>
        <v>0</v>
      </c>
      <c r="R909" s="7" t="str">
        <f ca="1">IF(TODAY() - DOCXX[INV DUE DATE]&lt;30, "Less than 30 days",IF(TODAY()-DOCXX[INV DUE DATE]&lt;60,"30-60 days","More than 60 days"))</f>
        <v>30-60 days</v>
      </c>
      <c r="S909" t="s">
        <v>818</v>
      </c>
      <c r="T909"/>
      <c r="U909" s="7" t="s">
        <v>3699</v>
      </c>
    </row>
    <row r="910" spans="1:21" x14ac:dyDescent="0.3">
      <c r="A910" s="14" t="s">
        <v>3730</v>
      </c>
      <c r="B910" t="s">
        <v>30</v>
      </c>
      <c r="C910" t="s">
        <v>15</v>
      </c>
      <c r="D910">
        <v>1</v>
      </c>
      <c r="E910" s="7">
        <v>2605.0300000000002</v>
      </c>
      <c r="H910">
        <v>82624</v>
      </c>
      <c r="I910" t="s">
        <v>853</v>
      </c>
      <c r="J910" t="s">
        <v>2247</v>
      </c>
      <c r="K910" t="s">
        <v>3</v>
      </c>
      <c r="L910" s="2">
        <v>43221</v>
      </c>
      <c r="M910" s="2">
        <f>DOCXX[[#This Row],[INV DOC DATE]]+30</f>
        <v>43251</v>
      </c>
      <c r="N910" s="2">
        <v>43266</v>
      </c>
      <c r="O910" s="7">
        <v>2605.0300000000002</v>
      </c>
      <c r="P910" s="2">
        <v>43278</v>
      </c>
      <c r="Q910" s="7">
        <f>$E910-$O910</f>
        <v>0</v>
      </c>
      <c r="R910" s="7" t="str">
        <f ca="1">IF(TODAY() - DOCXX[INV DUE DATE]&lt;30, "Less than 30 days",IF(TODAY()-DOCXX[INV DUE DATE]&lt;60,"30-60 days","More than 60 days"))</f>
        <v>30-60 days</v>
      </c>
      <c r="S910" t="s">
        <v>818</v>
      </c>
      <c r="T910"/>
      <c r="U910" s="7" t="s">
        <v>3699</v>
      </c>
    </row>
    <row r="911" spans="1:21" x14ac:dyDescent="0.3">
      <c r="A911" s="14" t="s">
        <v>3730</v>
      </c>
      <c r="B911" t="s">
        <v>30</v>
      </c>
      <c r="C911" t="s">
        <v>16</v>
      </c>
      <c r="D911">
        <v>1</v>
      </c>
      <c r="E911" s="7">
        <v>2504.19</v>
      </c>
      <c r="H911">
        <v>67904</v>
      </c>
      <c r="I911" t="s">
        <v>853</v>
      </c>
      <c r="J911" t="s">
        <v>2247</v>
      </c>
      <c r="K911" t="s">
        <v>3</v>
      </c>
      <c r="L911" s="2">
        <v>43221</v>
      </c>
      <c r="M911" s="2">
        <f>DOCXX[[#This Row],[INV DOC DATE]]+30</f>
        <v>43251</v>
      </c>
      <c r="N911" s="2">
        <v>43266</v>
      </c>
      <c r="O911" s="7">
        <v>2504.19</v>
      </c>
      <c r="P911" s="2">
        <v>43278</v>
      </c>
      <c r="Q911" s="7">
        <f>$E911-$O911</f>
        <v>0</v>
      </c>
      <c r="R911" s="7" t="str">
        <f ca="1">IF(TODAY() - DOCXX[INV DUE DATE]&lt;30, "Less than 30 days",IF(TODAY()-DOCXX[INV DUE DATE]&lt;60,"30-60 days","More than 60 days"))</f>
        <v>30-60 days</v>
      </c>
      <c r="S911" t="s">
        <v>818</v>
      </c>
      <c r="T911"/>
      <c r="U911" s="7" t="s">
        <v>3699</v>
      </c>
    </row>
    <row r="912" spans="1:21" x14ac:dyDescent="0.3">
      <c r="A912" s="14" t="s">
        <v>3730</v>
      </c>
      <c r="B912" t="s">
        <v>30</v>
      </c>
      <c r="C912" t="s">
        <v>17</v>
      </c>
      <c r="D912">
        <v>1</v>
      </c>
      <c r="E912" s="7">
        <v>2294.11</v>
      </c>
      <c r="H912">
        <v>66652</v>
      </c>
      <c r="I912" t="s">
        <v>356</v>
      </c>
      <c r="J912" t="s">
        <v>2247</v>
      </c>
      <c r="K912" t="s">
        <v>3</v>
      </c>
      <c r="L912" s="2">
        <v>43221</v>
      </c>
      <c r="M912" s="2">
        <f>DOCXX[[#This Row],[INV DOC DATE]]+30</f>
        <v>43251</v>
      </c>
      <c r="N912" s="2">
        <v>43266</v>
      </c>
      <c r="O912" s="7">
        <v>2294.11</v>
      </c>
      <c r="P912" s="2">
        <v>43278</v>
      </c>
      <c r="Q912" s="7">
        <f>$E912-$O912</f>
        <v>0</v>
      </c>
      <c r="R912" s="7" t="str">
        <f ca="1">IF(TODAY() - DOCXX[INV DUE DATE]&lt;30, "Less than 30 days",IF(TODAY()-DOCXX[INV DUE DATE]&lt;60,"30-60 days","More than 60 days"))</f>
        <v>30-60 days</v>
      </c>
      <c r="S912" t="s">
        <v>818</v>
      </c>
      <c r="T912"/>
      <c r="U912" s="7" t="s">
        <v>3699</v>
      </c>
    </row>
    <row r="913" spans="1:21" x14ac:dyDescent="0.3">
      <c r="A913" s="14" t="s">
        <v>3730</v>
      </c>
      <c r="B913" t="s">
        <v>30</v>
      </c>
      <c r="C913" t="s">
        <v>18</v>
      </c>
      <c r="D913">
        <v>1</v>
      </c>
      <c r="E913" s="7">
        <v>2285.6999999999998</v>
      </c>
      <c r="H913">
        <v>1204</v>
      </c>
      <c r="I913" t="s">
        <v>2250</v>
      </c>
      <c r="J913" t="s">
        <v>2247</v>
      </c>
      <c r="K913" t="s">
        <v>3</v>
      </c>
      <c r="L913" s="2">
        <v>43221</v>
      </c>
      <c r="M913" s="2">
        <f>DOCXX[[#This Row],[INV DOC DATE]]+30</f>
        <v>43251</v>
      </c>
      <c r="N913" s="2">
        <v>43266</v>
      </c>
      <c r="O913" s="7">
        <v>2285.6999999999998</v>
      </c>
      <c r="P913" s="2">
        <v>43278</v>
      </c>
      <c r="Q913" s="7">
        <f>$E913-$O913</f>
        <v>0</v>
      </c>
      <c r="R913" s="7" t="str">
        <f ca="1">IF(TODAY() - DOCXX[INV DUE DATE]&lt;30, "Less than 30 days",IF(TODAY()-DOCXX[INV DUE DATE]&lt;60,"30-60 days","More than 60 days"))</f>
        <v>30-60 days</v>
      </c>
      <c r="S913" t="s">
        <v>818</v>
      </c>
      <c r="T913"/>
      <c r="U913" s="7" t="s">
        <v>3699</v>
      </c>
    </row>
    <row r="914" spans="1:21" x14ac:dyDescent="0.3">
      <c r="A914" s="14" t="s">
        <v>3730</v>
      </c>
      <c r="B914" t="s">
        <v>30</v>
      </c>
      <c r="C914" t="s">
        <v>19</v>
      </c>
      <c r="D914">
        <v>1</v>
      </c>
      <c r="E914" s="7">
        <v>2058.81</v>
      </c>
      <c r="H914">
        <v>75797</v>
      </c>
      <c r="I914" t="s">
        <v>859</v>
      </c>
      <c r="J914" t="s">
        <v>2247</v>
      </c>
      <c r="K914" t="s">
        <v>3</v>
      </c>
      <c r="L914" s="2">
        <v>43221</v>
      </c>
      <c r="M914" s="2">
        <f>DOCXX[[#This Row],[INV DOC DATE]]+30</f>
        <v>43251</v>
      </c>
      <c r="N914" s="2">
        <v>43266</v>
      </c>
      <c r="O914" s="7">
        <v>2058.81</v>
      </c>
      <c r="P914" s="2">
        <v>43278</v>
      </c>
      <c r="Q914" s="7">
        <f>$E914-$O914</f>
        <v>0</v>
      </c>
      <c r="R914" s="7" t="str">
        <f ca="1">IF(TODAY() - DOCXX[INV DUE DATE]&lt;30, "Less than 30 days",IF(TODAY()-DOCXX[INV DUE DATE]&lt;60,"30-60 days","More than 60 days"))</f>
        <v>30-60 days</v>
      </c>
      <c r="S914" t="s">
        <v>818</v>
      </c>
      <c r="T914"/>
      <c r="U914" s="7" t="s">
        <v>3699</v>
      </c>
    </row>
    <row r="915" spans="1:21" x14ac:dyDescent="0.3">
      <c r="A915" s="14" t="s">
        <v>3730</v>
      </c>
      <c r="B915" t="s">
        <v>30</v>
      </c>
      <c r="C915" t="s">
        <v>20</v>
      </c>
      <c r="D915">
        <v>1</v>
      </c>
      <c r="E915" s="7">
        <v>1949.57</v>
      </c>
      <c r="H915">
        <v>55609</v>
      </c>
      <c r="I915" t="s">
        <v>349</v>
      </c>
      <c r="J915" t="s">
        <v>2247</v>
      </c>
      <c r="K915" t="s">
        <v>3</v>
      </c>
      <c r="L915" s="2">
        <v>43221</v>
      </c>
      <c r="M915" s="2">
        <f>DOCXX[[#This Row],[INV DOC DATE]]+30</f>
        <v>43251</v>
      </c>
      <c r="N915" s="2">
        <v>43266</v>
      </c>
      <c r="O915" s="7">
        <v>1949.57</v>
      </c>
      <c r="P915" s="2">
        <v>43278</v>
      </c>
      <c r="Q915" s="7">
        <f>$E915-$O915</f>
        <v>0</v>
      </c>
      <c r="R915" s="7" t="str">
        <f ca="1">IF(TODAY() - DOCXX[INV DUE DATE]&lt;30, "Less than 30 days",IF(TODAY()-DOCXX[INV DUE DATE]&lt;60,"30-60 days","More than 60 days"))</f>
        <v>30-60 days</v>
      </c>
      <c r="S915" t="s">
        <v>818</v>
      </c>
      <c r="T915"/>
      <c r="U915" s="7" t="s">
        <v>3699</v>
      </c>
    </row>
    <row r="916" spans="1:21" x14ac:dyDescent="0.3">
      <c r="A916" s="14" t="s">
        <v>3730</v>
      </c>
      <c r="B916" t="s">
        <v>30</v>
      </c>
      <c r="C916" t="s">
        <v>21</v>
      </c>
      <c r="D916">
        <v>1</v>
      </c>
      <c r="E916" s="7">
        <v>1672.26</v>
      </c>
      <c r="H916">
        <v>1356</v>
      </c>
      <c r="I916" t="s">
        <v>2251</v>
      </c>
      <c r="J916" t="s">
        <v>2247</v>
      </c>
      <c r="K916" t="s">
        <v>3</v>
      </c>
      <c r="L916" s="2">
        <v>43221</v>
      </c>
      <c r="M916" s="2">
        <f>DOCXX[[#This Row],[INV DOC DATE]]+30</f>
        <v>43251</v>
      </c>
      <c r="N916" s="2">
        <v>43266</v>
      </c>
      <c r="O916" s="7">
        <v>1672.26</v>
      </c>
      <c r="P916" s="2">
        <v>43278</v>
      </c>
      <c r="Q916" s="7">
        <f>$E916-$O916</f>
        <v>0</v>
      </c>
      <c r="R916" s="7" t="str">
        <f ca="1">IF(TODAY() - DOCXX[INV DUE DATE]&lt;30, "Less than 30 days",IF(TODAY()-DOCXX[INV DUE DATE]&lt;60,"30-60 days","More than 60 days"))</f>
        <v>30-60 days</v>
      </c>
      <c r="S916" t="s">
        <v>818</v>
      </c>
      <c r="T916"/>
      <c r="U916" s="7" t="s">
        <v>3699</v>
      </c>
    </row>
    <row r="917" spans="1:21" x14ac:dyDescent="0.3">
      <c r="A917" s="14" t="s">
        <v>3730</v>
      </c>
      <c r="B917" t="s">
        <v>30</v>
      </c>
      <c r="C917" t="s">
        <v>22</v>
      </c>
      <c r="D917">
        <v>1</v>
      </c>
      <c r="E917" s="7">
        <v>1596.63</v>
      </c>
      <c r="H917">
        <v>68260</v>
      </c>
      <c r="I917" t="s">
        <v>2252</v>
      </c>
      <c r="J917" t="s">
        <v>2247</v>
      </c>
      <c r="K917" t="s">
        <v>3</v>
      </c>
      <c r="L917" s="2">
        <v>43221</v>
      </c>
      <c r="M917" s="2">
        <f>DOCXX[[#This Row],[INV DOC DATE]]+30</f>
        <v>43251</v>
      </c>
      <c r="N917" s="2">
        <v>43266</v>
      </c>
      <c r="O917" s="7">
        <v>1596.63</v>
      </c>
      <c r="P917" s="2">
        <v>43278</v>
      </c>
      <c r="Q917" s="7">
        <f>$E917-$O917</f>
        <v>0</v>
      </c>
      <c r="R917" s="7" t="str">
        <f ca="1">IF(TODAY() - DOCXX[INV DUE DATE]&lt;30, "Less than 30 days",IF(TODAY()-DOCXX[INV DUE DATE]&lt;60,"30-60 days","More than 60 days"))</f>
        <v>30-60 days</v>
      </c>
      <c r="S917" t="s">
        <v>818</v>
      </c>
      <c r="T917"/>
      <c r="U917" s="7" t="s">
        <v>3699</v>
      </c>
    </row>
    <row r="918" spans="1:21" x14ac:dyDescent="0.3">
      <c r="A918" s="14" t="s">
        <v>3730</v>
      </c>
      <c r="B918" t="s">
        <v>30</v>
      </c>
      <c r="C918" t="s">
        <v>23</v>
      </c>
      <c r="D918">
        <v>1</v>
      </c>
      <c r="E918" s="7">
        <v>1050.42</v>
      </c>
      <c r="H918">
        <v>82294</v>
      </c>
      <c r="I918" t="s">
        <v>853</v>
      </c>
      <c r="J918" t="s">
        <v>2247</v>
      </c>
      <c r="K918" t="s">
        <v>3</v>
      </c>
      <c r="L918" s="2">
        <v>43221</v>
      </c>
      <c r="M918" s="2">
        <f>DOCXX[[#This Row],[INV DOC DATE]]+30</f>
        <v>43251</v>
      </c>
      <c r="N918" s="2">
        <v>43266</v>
      </c>
      <c r="O918" s="7">
        <v>1050.42</v>
      </c>
      <c r="P918" s="2">
        <v>43278</v>
      </c>
      <c r="Q918" s="7">
        <f>$E918-$O918</f>
        <v>0</v>
      </c>
      <c r="R918" s="7" t="str">
        <f ca="1">IF(TODAY() - DOCXX[INV DUE DATE]&lt;30, "Less than 30 days",IF(TODAY()-DOCXX[INV DUE DATE]&lt;60,"30-60 days","More than 60 days"))</f>
        <v>30-60 days</v>
      </c>
      <c r="S918" t="s">
        <v>818</v>
      </c>
      <c r="T918"/>
      <c r="U918" s="7" t="s">
        <v>3699</v>
      </c>
    </row>
    <row r="919" spans="1:21" x14ac:dyDescent="0.3">
      <c r="A919" s="14" t="s">
        <v>3730</v>
      </c>
      <c r="B919" t="s">
        <v>30</v>
      </c>
      <c r="C919" t="s">
        <v>24</v>
      </c>
      <c r="D919">
        <v>1</v>
      </c>
      <c r="E919" s="7">
        <v>840.33</v>
      </c>
      <c r="H919">
        <v>68235</v>
      </c>
      <c r="I919" t="s">
        <v>2253</v>
      </c>
      <c r="J919" t="s">
        <v>2247</v>
      </c>
      <c r="K919" t="s">
        <v>3</v>
      </c>
      <c r="L919" s="2">
        <v>43221</v>
      </c>
      <c r="M919" s="2">
        <f>DOCXX[[#This Row],[INV DOC DATE]]+30</f>
        <v>43251</v>
      </c>
      <c r="N919" s="2">
        <v>43266</v>
      </c>
      <c r="O919" s="7">
        <v>840.33</v>
      </c>
      <c r="P919" s="2">
        <v>43278</v>
      </c>
      <c r="Q919" s="7">
        <f>$E919-$O919</f>
        <v>0</v>
      </c>
      <c r="R919" s="7" t="str">
        <f ca="1">IF(TODAY() - DOCXX[INV DUE DATE]&lt;30, "Less than 30 days",IF(TODAY()-DOCXX[INV DUE DATE]&lt;60,"30-60 days","More than 60 days"))</f>
        <v>30-60 days</v>
      </c>
      <c r="S919" t="s">
        <v>818</v>
      </c>
      <c r="T919"/>
      <c r="U919" s="7" t="s">
        <v>3699</v>
      </c>
    </row>
    <row r="920" spans="1:21" x14ac:dyDescent="0.3">
      <c r="A920" s="14" t="s">
        <v>3730</v>
      </c>
      <c r="B920" t="s">
        <v>30</v>
      </c>
      <c r="C920" t="s">
        <v>25</v>
      </c>
      <c r="D920">
        <v>1</v>
      </c>
      <c r="E920" s="7">
        <v>840.33</v>
      </c>
      <c r="H920">
        <v>172324</v>
      </c>
      <c r="I920" t="s">
        <v>352</v>
      </c>
      <c r="J920" t="s">
        <v>2247</v>
      </c>
      <c r="K920" t="s">
        <v>3</v>
      </c>
      <c r="L920" s="2">
        <v>43221</v>
      </c>
      <c r="M920" s="2">
        <f>DOCXX[[#This Row],[INV DOC DATE]]+30</f>
        <v>43251</v>
      </c>
      <c r="N920" s="2">
        <v>43266</v>
      </c>
      <c r="O920" s="7">
        <v>840.33</v>
      </c>
      <c r="P920" s="2">
        <v>43278</v>
      </c>
      <c r="Q920" s="7">
        <f>$E920-$O920</f>
        <v>0</v>
      </c>
      <c r="R920" s="7" t="str">
        <f ca="1">IF(TODAY() - DOCXX[INV DUE DATE]&lt;30, "Less than 30 days",IF(TODAY()-DOCXX[INV DUE DATE]&lt;60,"30-60 days","More than 60 days"))</f>
        <v>30-60 days</v>
      </c>
      <c r="S920" t="s">
        <v>818</v>
      </c>
      <c r="T920"/>
      <c r="U920" s="7" t="s">
        <v>3699</v>
      </c>
    </row>
    <row r="921" spans="1:21" x14ac:dyDescent="0.3">
      <c r="A921" s="14" t="s">
        <v>3730</v>
      </c>
      <c r="B921" t="s">
        <v>30</v>
      </c>
      <c r="C921" t="s">
        <v>26</v>
      </c>
      <c r="D921">
        <v>1</v>
      </c>
      <c r="E921" s="7">
        <v>840.33</v>
      </c>
      <c r="H921">
        <v>82330</v>
      </c>
      <c r="I921" t="s">
        <v>2254</v>
      </c>
      <c r="J921" t="s">
        <v>2247</v>
      </c>
      <c r="K921" t="s">
        <v>3</v>
      </c>
      <c r="L921" s="2">
        <v>43221</v>
      </c>
      <c r="M921" s="2">
        <f>DOCXX[[#This Row],[INV DOC DATE]]+30</f>
        <v>43251</v>
      </c>
      <c r="N921" s="2">
        <v>43266</v>
      </c>
      <c r="O921" s="7">
        <v>840.33</v>
      </c>
      <c r="P921" s="2">
        <v>43278</v>
      </c>
      <c r="Q921" s="7">
        <f>$E921-$O921</f>
        <v>0</v>
      </c>
      <c r="R921" s="7" t="str">
        <f ca="1">IF(TODAY() - DOCXX[INV DUE DATE]&lt;30, "Less than 30 days",IF(TODAY()-DOCXX[INV DUE DATE]&lt;60,"30-60 days","More than 60 days"))</f>
        <v>30-60 days</v>
      </c>
      <c r="S921" t="s">
        <v>818</v>
      </c>
      <c r="T921"/>
      <c r="U921" s="7" t="s">
        <v>3699</v>
      </c>
    </row>
    <row r="922" spans="1:21" x14ac:dyDescent="0.3">
      <c r="A922" s="14" t="s">
        <v>3730</v>
      </c>
      <c r="B922" t="s">
        <v>32</v>
      </c>
      <c r="C922" t="s">
        <v>41</v>
      </c>
      <c r="D922">
        <v>1</v>
      </c>
      <c r="E922" s="7">
        <v>299.2</v>
      </c>
      <c r="F922">
        <v>28443652</v>
      </c>
      <c r="J922" t="s">
        <v>2256</v>
      </c>
      <c r="K922" t="s">
        <v>3</v>
      </c>
      <c r="L922" s="2">
        <v>43221</v>
      </c>
      <c r="M922" s="2">
        <f>DOCXX[[#This Row],[INV DOC DATE]]+30</f>
        <v>43251</v>
      </c>
      <c r="N922" s="2">
        <v>43266</v>
      </c>
      <c r="Q922" s="7">
        <f>$E922-$O922</f>
        <v>299.2</v>
      </c>
      <c r="R922" s="7" t="str">
        <f ca="1">IF(TODAY() - DOCXX[INV DUE DATE]&lt;30, "Less than 30 days",IF(TODAY()-DOCXX[INV DUE DATE]&lt;60,"30-60 days","More than 60 days"))</f>
        <v>30-60 days</v>
      </c>
      <c r="S922" t="s">
        <v>818</v>
      </c>
      <c r="U922" s="7" t="s">
        <v>3699</v>
      </c>
    </row>
    <row r="923" spans="1:21" x14ac:dyDescent="0.3">
      <c r="A923" s="14" t="s">
        <v>3730</v>
      </c>
      <c r="B923" t="s">
        <v>32</v>
      </c>
      <c r="C923" t="s">
        <v>96</v>
      </c>
      <c r="D923">
        <v>1</v>
      </c>
      <c r="E923" s="7">
        <v>65.45</v>
      </c>
      <c r="F923">
        <v>31800079</v>
      </c>
      <c r="J923" t="s">
        <v>2256</v>
      </c>
      <c r="K923" t="s">
        <v>3</v>
      </c>
      <c r="L923" s="2">
        <v>43221</v>
      </c>
      <c r="M923" s="2">
        <f>DOCXX[[#This Row],[INV DOC DATE]]+30</f>
        <v>43251</v>
      </c>
      <c r="N923" s="2">
        <v>43266</v>
      </c>
      <c r="Q923" s="7">
        <f>$E923-$O923</f>
        <v>65.45</v>
      </c>
      <c r="R923" s="7" t="str">
        <f ca="1">IF(TODAY() - DOCXX[INV DUE DATE]&lt;30, "Less than 30 days",IF(TODAY()-DOCXX[INV DUE DATE]&lt;60,"30-60 days","More than 60 days"))</f>
        <v>30-60 days</v>
      </c>
      <c r="S923" t="s">
        <v>818</v>
      </c>
      <c r="U923" s="7" t="s">
        <v>3699</v>
      </c>
    </row>
    <row r="924" spans="1:21" x14ac:dyDescent="0.3">
      <c r="A924" s="14" t="s">
        <v>3730</v>
      </c>
      <c r="B924" t="s">
        <v>32</v>
      </c>
      <c r="C924" t="s">
        <v>303</v>
      </c>
      <c r="D924">
        <v>1</v>
      </c>
      <c r="E924" s="7">
        <v>18.7</v>
      </c>
      <c r="F924">
        <v>32073799</v>
      </c>
      <c r="J924" t="s">
        <v>2256</v>
      </c>
      <c r="K924" t="s">
        <v>3</v>
      </c>
      <c r="L924" s="2">
        <v>43221</v>
      </c>
      <c r="M924" s="2">
        <f>DOCXX[[#This Row],[INV DOC DATE]]+30</f>
        <v>43251</v>
      </c>
      <c r="N924" s="2">
        <v>43266</v>
      </c>
      <c r="Q924" s="7">
        <f>$E924-$O924</f>
        <v>18.7</v>
      </c>
      <c r="R924" s="7" t="str">
        <f ca="1">IF(TODAY() - DOCXX[INV DUE DATE]&lt;30, "Less than 30 days",IF(TODAY()-DOCXX[INV DUE DATE]&lt;60,"30-60 days","More than 60 days"))</f>
        <v>30-60 days</v>
      </c>
      <c r="S924" t="s">
        <v>818</v>
      </c>
      <c r="U924" s="7" t="s">
        <v>3699</v>
      </c>
    </row>
    <row r="925" spans="1:21" x14ac:dyDescent="0.3">
      <c r="A925" s="14" t="s">
        <v>3730</v>
      </c>
      <c r="B925" t="s">
        <v>32</v>
      </c>
      <c r="C925" t="s">
        <v>317</v>
      </c>
      <c r="D925">
        <v>1</v>
      </c>
      <c r="E925" s="7">
        <v>121.55</v>
      </c>
      <c r="F925">
        <v>42311518</v>
      </c>
      <c r="J925" t="s">
        <v>2256</v>
      </c>
      <c r="K925" t="s">
        <v>3</v>
      </c>
      <c r="L925" s="2">
        <v>43221</v>
      </c>
      <c r="M925" s="2">
        <f>DOCXX[[#This Row],[INV DOC DATE]]+30</f>
        <v>43251</v>
      </c>
      <c r="N925" s="2">
        <v>43266</v>
      </c>
      <c r="Q925" s="7">
        <f>$E925-$O925</f>
        <v>121.55</v>
      </c>
      <c r="R925" s="7" t="str">
        <f ca="1">IF(TODAY() - DOCXX[INV DUE DATE]&lt;30, "Less than 30 days",IF(TODAY()-DOCXX[INV DUE DATE]&lt;60,"30-60 days","More than 60 days"))</f>
        <v>30-60 days</v>
      </c>
      <c r="S925" t="s">
        <v>818</v>
      </c>
      <c r="U925" s="7" t="s">
        <v>3699</v>
      </c>
    </row>
    <row r="926" spans="1:21" x14ac:dyDescent="0.3">
      <c r="A926" s="14" t="s">
        <v>2683</v>
      </c>
      <c r="E926" s="7">
        <v>10972.5</v>
      </c>
      <c r="G926">
        <v>4700681102</v>
      </c>
      <c r="J926" t="s">
        <v>2671</v>
      </c>
      <c r="K926" t="s">
        <v>4</v>
      </c>
      <c r="L926" s="2">
        <v>43221</v>
      </c>
      <c r="M926" s="2">
        <f>DOCXX[[#This Row],[INV DOC DATE]]+30</f>
        <v>43251</v>
      </c>
      <c r="N926" s="2">
        <v>43251</v>
      </c>
      <c r="O926" s="7">
        <v>10972.5</v>
      </c>
      <c r="P926" s="2">
        <v>43286</v>
      </c>
      <c r="Q926" s="7">
        <f>$E926-$O926</f>
        <v>0</v>
      </c>
      <c r="R926" s="7" t="str">
        <f ca="1">IF(TODAY() - DOCXX[INV DUE DATE]&lt;30, "Less than 30 days",IF(TODAY()-DOCXX[INV DUE DATE]&lt;60,"30-60 days","More than 60 days"))</f>
        <v>30-60 days</v>
      </c>
      <c r="S926" t="s">
        <v>818</v>
      </c>
      <c r="T926" s="43" t="s">
        <v>2229</v>
      </c>
      <c r="U926" s="7" t="s">
        <v>3699</v>
      </c>
    </row>
    <row r="927" spans="1:21" x14ac:dyDescent="0.3">
      <c r="A927" s="14" t="s">
        <v>2682</v>
      </c>
      <c r="E927" s="7">
        <v>9603.5</v>
      </c>
      <c r="G927">
        <v>4700681102</v>
      </c>
      <c r="J927" t="s">
        <v>2671</v>
      </c>
      <c r="K927" t="s">
        <v>4</v>
      </c>
      <c r="L927" s="2">
        <v>43221</v>
      </c>
      <c r="M927" s="2">
        <f>DOCXX[[#This Row],[INV DOC DATE]]+30</f>
        <v>43251</v>
      </c>
      <c r="N927" s="2">
        <v>43251</v>
      </c>
      <c r="O927" s="7">
        <v>9603.5</v>
      </c>
      <c r="P927" s="2">
        <v>43286</v>
      </c>
      <c r="Q927" s="7">
        <f>$E927-$O927</f>
        <v>0</v>
      </c>
      <c r="R927" s="7" t="str">
        <f ca="1">IF(TODAY() - DOCXX[INV DUE DATE]&lt;30, "Less than 30 days",IF(TODAY()-DOCXX[INV DUE DATE]&lt;60,"30-60 days","More than 60 days"))</f>
        <v>30-60 days</v>
      </c>
      <c r="S927" t="s">
        <v>818</v>
      </c>
      <c r="T927" s="43" t="s">
        <v>2229</v>
      </c>
      <c r="U927" s="7" t="s">
        <v>3699</v>
      </c>
    </row>
    <row r="928" spans="1:21" x14ac:dyDescent="0.3">
      <c r="A928" s="14" t="s">
        <v>4134</v>
      </c>
      <c r="B928" t="s">
        <v>30</v>
      </c>
      <c r="C928" t="s">
        <v>27</v>
      </c>
      <c r="D928">
        <v>1</v>
      </c>
      <c r="E928" s="7">
        <v>9676.7900000000009</v>
      </c>
      <c r="H928">
        <v>1274</v>
      </c>
      <c r="I928" t="s">
        <v>350</v>
      </c>
      <c r="J928" t="s">
        <v>3738</v>
      </c>
      <c r="K928" t="s">
        <v>3</v>
      </c>
      <c r="L928" s="2">
        <v>43252</v>
      </c>
      <c r="M928" s="2">
        <f>DOCXX[[#This Row],[INV DOC DATE]]+30</f>
        <v>43282</v>
      </c>
      <c r="N928" s="2">
        <v>43290</v>
      </c>
      <c r="O928" s="7">
        <v>9676.7900000000009</v>
      </c>
      <c r="P928" s="2">
        <v>43299</v>
      </c>
      <c r="Q928" s="7">
        <f>$E928-$O928</f>
        <v>0</v>
      </c>
      <c r="R928" s="7" t="str">
        <f ca="1">IF(TODAY() - DOCXX[INV DUE DATE]&lt;30, "Less than 30 days",IF(TODAY()-DOCXX[INV DUE DATE]&lt;60,"30-60 days","More than 60 days"))</f>
        <v>Less than 30 days</v>
      </c>
      <c r="S928" t="s">
        <v>818</v>
      </c>
      <c r="T928" s="43" t="s">
        <v>2229</v>
      </c>
      <c r="U928" s="7" t="s">
        <v>3699</v>
      </c>
    </row>
    <row r="929" spans="1:21" x14ac:dyDescent="0.3">
      <c r="A929" s="14" t="s">
        <v>4134</v>
      </c>
      <c r="B929" t="s">
        <v>30</v>
      </c>
      <c r="C929" t="s">
        <v>28</v>
      </c>
      <c r="D929">
        <v>1</v>
      </c>
      <c r="E929" s="7">
        <v>8540.6299999999992</v>
      </c>
      <c r="H929">
        <v>1273</v>
      </c>
      <c r="I929" t="s">
        <v>350</v>
      </c>
      <c r="J929" t="s">
        <v>3738</v>
      </c>
      <c r="K929" t="s">
        <v>3</v>
      </c>
      <c r="L929" s="2">
        <v>43252</v>
      </c>
      <c r="M929" s="2">
        <f>DOCXX[[#This Row],[INV DOC DATE]]+30</f>
        <v>43282</v>
      </c>
      <c r="N929" s="2">
        <v>43290</v>
      </c>
      <c r="O929" s="7">
        <v>8540.6299999999992</v>
      </c>
      <c r="P929" s="2">
        <v>43299</v>
      </c>
      <c r="Q929" s="7">
        <f>$E929-$O929</f>
        <v>0</v>
      </c>
      <c r="R929" s="7" t="str">
        <f ca="1">IF(TODAY() - DOCXX[INV DUE DATE]&lt;30, "Less than 30 days",IF(TODAY()-DOCXX[INV DUE DATE]&lt;60,"30-60 days","More than 60 days"))</f>
        <v>Less than 30 days</v>
      </c>
      <c r="S929" t="s">
        <v>818</v>
      </c>
      <c r="T929" s="43" t="s">
        <v>2229</v>
      </c>
      <c r="U929" s="7" t="s">
        <v>3699</v>
      </c>
    </row>
    <row r="930" spans="1:21" x14ac:dyDescent="0.3">
      <c r="A930" s="14" t="s">
        <v>4134</v>
      </c>
      <c r="B930" t="s">
        <v>30</v>
      </c>
      <c r="C930" t="s">
        <v>37</v>
      </c>
      <c r="D930">
        <v>1</v>
      </c>
      <c r="E930" s="7">
        <v>8223.02</v>
      </c>
      <c r="H930">
        <v>58008</v>
      </c>
      <c r="I930" t="s">
        <v>355</v>
      </c>
      <c r="J930" t="s">
        <v>3738</v>
      </c>
      <c r="K930" t="s">
        <v>3</v>
      </c>
      <c r="L930" s="2">
        <v>43252</v>
      </c>
      <c r="M930" s="2">
        <f>DOCXX[[#This Row],[INV DOC DATE]]+30</f>
        <v>43282</v>
      </c>
      <c r="N930" s="2">
        <v>43290</v>
      </c>
      <c r="O930" s="7">
        <v>8223.02</v>
      </c>
      <c r="P930" s="2">
        <v>43299</v>
      </c>
      <c r="Q930" s="7">
        <f>$E930-$O930</f>
        <v>0</v>
      </c>
      <c r="R930" s="7" t="str">
        <f ca="1">IF(TODAY() - DOCXX[INV DUE DATE]&lt;30, "Less than 30 days",IF(TODAY()-DOCXX[INV DUE DATE]&lt;60,"30-60 days","More than 60 days"))</f>
        <v>Less than 30 days</v>
      </c>
      <c r="S930" t="s">
        <v>818</v>
      </c>
      <c r="T930" s="43" t="s">
        <v>2229</v>
      </c>
      <c r="U930" s="7" t="s">
        <v>3699</v>
      </c>
    </row>
    <row r="931" spans="1:21" x14ac:dyDescent="0.3">
      <c r="A931" s="14" t="s">
        <v>4134</v>
      </c>
      <c r="B931" t="s">
        <v>30</v>
      </c>
      <c r="C931" t="s">
        <v>38</v>
      </c>
      <c r="D931">
        <v>1</v>
      </c>
      <c r="E931" s="7">
        <v>4511.22</v>
      </c>
      <c r="H931">
        <v>66660</v>
      </c>
      <c r="I931" t="s">
        <v>357</v>
      </c>
      <c r="J931" t="s">
        <v>3738</v>
      </c>
      <c r="K931" t="s">
        <v>3</v>
      </c>
      <c r="L931" s="2">
        <v>43252</v>
      </c>
      <c r="M931" s="2">
        <f>DOCXX[[#This Row],[INV DOC DATE]]+30</f>
        <v>43282</v>
      </c>
      <c r="N931" s="2">
        <v>43290</v>
      </c>
      <c r="O931" s="7">
        <v>4511.22</v>
      </c>
      <c r="P931" s="2">
        <v>43299</v>
      </c>
      <c r="Q931" s="7">
        <f>$E931-$O931</f>
        <v>0</v>
      </c>
      <c r="R931" s="7" t="str">
        <f ca="1">IF(TODAY() - DOCXX[INV DUE DATE]&lt;30, "Less than 30 days",IF(TODAY()-DOCXX[INV DUE DATE]&lt;60,"30-60 days","More than 60 days"))</f>
        <v>Less than 30 days</v>
      </c>
      <c r="S931" t="s">
        <v>818</v>
      </c>
      <c r="T931" s="43" t="s">
        <v>2229</v>
      </c>
      <c r="U931" s="7" t="s">
        <v>3699</v>
      </c>
    </row>
    <row r="932" spans="1:21" x14ac:dyDescent="0.3">
      <c r="A932" s="14" t="s">
        <v>4134</v>
      </c>
      <c r="B932" t="s">
        <v>30</v>
      </c>
      <c r="C932" t="s">
        <v>39</v>
      </c>
      <c r="D932">
        <v>1</v>
      </c>
      <c r="E932" s="7">
        <v>3872.62</v>
      </c>
      <c r="H932">
        <v>97900</v>
      </c>
      <c r="I932" t="s">
        <v>350</v>
      </c>
      <c r="J932" t="s">
        <v>3738</v>
      </c>
      <c r="K932" t="s">
        <v>3</v>
      </c>
      <c r="L932" s="2">
        <v>43252</v>
      </c>
      <c r="M932" s="2">
        <f>DOCXX[[#This Row],[INV DOC DATE]]+30</f>
        <v>43282</v>
      </c>
      <c r="N932" s="2">
        <v>43290</v>
      </c>
      <c r="O932" s="7">
        <v>3872.62</v>
      </c>
      <c r="P932" s="2">
        <v>43299</v>
      </c>
      <c r="Q932" s="7">
        <f>$E932-$O932</f>
        <v>0</v>
      </c>
      <c r="R932" s="7" t="str">
        <f ca="1">IF(TODAY() - DOCXX[INV DUE DATE]&lt;30, "Less than 30 days",IF(TODAY()-DOCXX[INV DUE DATE]&lt;60,"30-60 days","More than 60 days"))</f>
        <v>Less than 30 days</v>
      </c>
      <c r="S932" t="s">
        <v>818</v>
      </c>
      <c r="T932" s="43" t="s">
        <v>2229</v>
      </c>
      <c r="U932" s="7" t="s">
        <v>3699</v>
      </c>
    </row>
    <row r="933" spans="1:21" x14ac:dyDescent="0.3">
      <c r="A933" s="14" t="s">
        <v>4134</v>
      </c>
      <c r="B933" t="s">
        <v>30</v>
      </c>
      <c r="C933" t="s">
        <v>40</v>
      </c>
      <c r="D933">
        <v>1</v>
      </c>
      <c r="E933" s="7">
        <v>2601.27</v>
      </c>
      <c r="H933">
        <v>66665</v>
      </c>
      <c r="I933" t="s">
        <v>2248</v>
      </c>
      <c r="J933" t="s">
        <v>3738</v>
      </c>
      <c r="K933" t="s">
        <v>3</v>
      </c>
      <c r="L933" s="2">
        <v>43252</v>
      </c>
      <c r="M933" s="2">
        <f>DOCXX[[#This Row],[INV DOC DATE]]+30</f>
        <v>43282</v>
      </c>
      <c r="N933" s="2">
        <v>43290</v>
      </c>
      <c r="O933" s="7">
        <v>2601.27</v>
      </c>
      <c r="P933" s="2">
        <v>43299</v>
      </c>
      <c r="Q933" s="7">
        <f>$E933-$O933</f>
        <v>0</v>
      </c>
      <c r="R933" s="7" t="str">
        <f ca="1">IF(TODAY() - DOCXX[INV DUE DATE]&lt;30, "Less than 30 days",IF(TODAY()-DOCXX[INV DUE DATE]&lt;60,"30-60 days","More than 60 days"))</f>
        <v>Less than 30 days</v>
      </c>
      <c r="S933" t="s">
        <v>818</v>
      </c>
      <c r="T933" s="43" t="s">
        <v>2229</v>
      </c>
      <c r="U933" s="7" t="s">
        <v>3699</v>
      </c>
    </row>
    <row r="934" spans="1:21" x14ac:dyDescent="0.3">
      <c r="A934" s="14" t="s">
        <v>4134</v>
      </c>
      <c r="B934" t="s">
        <v>30</v>
      </c>
      <c r="C934" t="s">
        <v>41</v>
      </c>
      <c r="D934">
        <v>1</v>
      </c>
      <c r="E934" s="7">
        <v>2595.42</v>
      </c>
      <c r="H934">
        <v>167840</v>
      </c>
      <c r="I934" t="s">
        <v>2249</v>
      </c>
      <c r="J934" t="s">
        <v>3738</v>
      </c>
      <c r="K934" t="s">
        <v>3</v>
      </c>
      <c r="L934" s="2">
        <v>43252</v>
      </c>
      <c r="M934" s="2">
        <f>DOCXX[[#This Row],[INV DOC DATE]]+30</f>
        <v>43282</v>
      </c>
      <c r="N934" s="2">
        <v>43290</v>
      </c>
      <c r="O934" s="7">
        <v>2595.42</v>
      </c>
      <c r="P934" s="2">
        <v>43299</v>
      </c>
      <c r="Q934" s="7">
        <f>$E934-$O934</f>
        <v>0</v>
      </c>
      <c r="R934" s="7" t="str">
        <f ca="1">IF(TODAY() - DOCXX[INV DUE DATE]&lt;30, "Less than 30 days",IF(TODAY()-DOCXX[INV DUE DATE]&lt;60,"30-60 days","More than 60 days"))</f>
        <v>Less than 30 days</v>
      </c>
      <c r="S934" t="s">
        <v>818</v>
      </c>
      <c r="T934" s="43" t="s">
        <v>2229</v>
      </c>
      <c r="U934" s="7" t="s">
        <v>3699</v>
      </c>
    </row>
    <row r="935" spans="1:21" x14ac:dyDescent="0.3">
      <c r="A935" s="14" t="s">
        <v>4134</v>
      </c>
      <c r="B935" t="s">
        <v>30</v>
      </c>
      <c r="C935" t="s">
        <v>42</v>
      </c>
      <c r="D935">
        <v>1</v>
      </c>
      <c r="E935" s="7">
        <v>2232.17</v>
      </c>
      <c r="H935">
        <v>68162</v>
      </c>
      <c r="I935" t="s">
        <v>358</v>
      </c>
      <c r="J935" t="s">
        <v>3738</v>
      </c>
      <c r="K935" t="s">
        <v>3</v>
      </c>
      <c r="L935" s="2">
        <v>43252</v>
      </c>
      <c r="M935" s="2">
        <f>DOCXX[[#This Row],[INV DOC DATE]]+30</f>
        <v>43282</v>
      </c>
      <c r="N935" s="2">
        <v>43290</v>
      </c>
      <c r="O935" s="7">
        <v>2232.17</v>
      </c>
      <c r="P935" s="2">
        <v>43299</v>
      </c>
      <c r="Q935" s="7">
        <f>$E935-$O935</f>
        <v>0</v>
      </c>
      <c r="R935" s="7" t="str">
        <f ca="1">IF(TODAY() - DOCXX[INV DUE DATE]&lt;30, "Less than 30 days",IF(TODAY()-DOCXX[INV DUE DATE]&lt;60,"30-60 days","More than 60 days"))</f>
        <v>Less than 30 days</v>
      </c>
      <c r="S935" t="s">
        <v>818</v>
      </c>
      <c r="T935" s="43" t="s">
        <v>2229</v>
      </c>
      <c r="U935" s="7" t="s">
        <v>3699</v>
      </c>
    </row>
    <row r="936" spans="1:21" x14ac:dyDescent="0.3">
      <c r="A936" s="14" t="s">
        <v>4134</v>
      </c>
      <c r="B936" t="s">
        <v>30</v>
      </c>
      <c r="C936" t="s">
        <v>43</v>
      </c>
      <c r="D936">
        <v>1</v>
      </c>
      <c r="E936" s="7">
        <v>2015.4</v>
      </c>
      <c r="H936">
        <v>55785</v>
      </c>
      <c r="I936" t="s">
        <v>354</v>
      </c>
      <c r="J936" t="s">
        <v>3738</v>
      </c>
      <c r="K936" t="s">
        <v>3</v>
      </c>
      <c r="L936" s="2">
        <v>43252</v>
      </c>
      <c r="M936" s="2">
        <f>DOCXX[[#This Row],[INV DOC DATE]]+30</f>
        <v>43282</v>
      </c>
      <c r="N936" s="2">
        <v>43290</v>
      </c>
      <c r="O936" s="7">
        <v>2015.4</v>
      </c>
      <c r="P936" s="2">
        <v>43299</v>
      </c>
      <c r="Q936" s="7">
        <f>$E936-$O936</f>
        <v>0</v>
      </c>
      <c r="R936" s="7" t="str">
        <f ca="1">IF(TODAY() - DOCXX[INV DUE DATE]&lt;30, "Less than 30 days",IF(TODAY()-DOCXX[INV DUE DATE]&lt;60,"30-60 days","More than 60 days"))</f>
        <v>Less than 30 days</v>
      </c>
      <c r="S936" t="s">
        <v>818</v>
      </c>
      <c r="T936" s="43" t="s">
        <v>2229</v>
      </c>
      <c r="U936" s="7" t="s">
        <v>3699</v>
      </c>
    </row>
    <row r="937" spans="1:21" x14ac:dyDescent="0.3">
      <c r="A937" s="14" t="s">
        <v>4134</v>
      </c>
      <c r="B937" t="s">
        <v>30</v>
      </c>
      <c r="C937" t="s">
        <v>44</v>
      </c>
      <c r="D937">
        <v>1</v>
      </c>
      <c r="E937" s="7">
        <v>1816.2</v>
      </c>
      <c r="H937">
        <v>82624</v>
      </c>
      <c r="I937" t="s">
        <v>853</v>
      </c>
      <c r="J937" t="s">
        <v>3738</v>
      </c>
      <c r="K937" t="s">
        <v>3</v>
      </c>
      <c r="L937" s="2">
        <v>43252</v>
      </c>
      <c r="M937" s="2">
        <f>DOCXX[[#This Row],[INV DOC DATE]]+30</f>
        <v>43282</v>
      </c>
      <c r="N937" s="2">
        <v>43290</v>
      </c>
      <c r="O937" s="7">
        <v>1816.2</v>
      </c>
      <c r="P937" s="2">
        <v>43299</v>
      </c>
      <c r="Q937" s="7">
        <f>$E937-$O937</f>
        <v>0</v>
      </c>
      <c r="R937" s="7" t="str">
        <f ca="1">IF(TODAY() - DOCXX[INV DUE DATE]&lt;30, "Less than 30 days",IF(TODAY()-DOCXX[INV DUE DATE]&lt;60,"30-60 days","More than 60 days"))</f>
        <v>Less than 30 days</v>
      </c>
      <c r="S937" t="s">
        <v>818</v>
      </c>
      <c r="T937" s="43" t="s">
        <v>2229</v>
      </c>
      <c r="U937" s="7" t="s">
        <v>3699</v>
      </c>
    </row>
    <row r="938" spans="1:21" x14ac:dyDescent="0.3">
      <c r="A938" s="14" t="s">
        <v>4134</v>
      </c>
      <c r="B938" t="s">
        <v>30</v>
      </c>
      <c r="C938" t="s">
        <v>45</v>
      </c>
      <c r="D938">
        <v>1</v>
      </c>
      <c r="E938" s="7">
        <v>1745.9</v>
      </c>
      <c r="H938">
        <v>67904</v>
      </c>
      <c r="I938" t="s">
        <v>853</v>
      </c>
      <c r="J938" t="s">
        <v>3738</v>
      </c>
      <c r="K938" t="s">
        <v>3</v>
      </c>
      <c r="L938" s="2">
        <v>43252</v>
      </c>
      <c r="M938" s="2">
        <f>DOCXX[[#This Row],[INV DOC DATE]]+30</f>
        <v>43282</v>
      </c>
      <c r="N938" s="2">
        <v>43290</v>
      </c>
      <c r="O938" s="7">
        <v>1745.9</v>
      </c>
      <c r="P938" s="2">
        <v>43299</v>
      </c>
      <c r="Q938" s="7">
        <f>$E938-$O938</f>
        <v>0</v>
      </c>
      <c r="R938" s="7" t="str">
        <f ca="1">IF(TODAY() - DOCXX[INV DUE DATE]&lt;30, "Less than 30 days",IF(TODAY()-DOCXX[INV DUE DATE]&lt;60,"30-60 days","More than 60 days"))</f>
        <v>Less than 30 days</v>
      </c>
      <c r="S938" t="s">
        <v>818</v>
      </c>
      <c r="T938" s="43" t="s">
        <v>2229</v>
      </c>
      <c r="U938" s="7" t="s">
        <v>3699</v>
      </c>
    </row>
    <row r="939" spans="1:21" x14ac:dyDescent="0.3">
      <c r="A939" s="14" t="s">
        <v>4134</v>
      </c>
      <c r="B939" t="s">
        <v>30</v>
      </c>
      <c r="C939" t="s">
        <v>46</v>
      </c>
      <c r="D939">
        <v>1</v>
      </c>
      <c r="E939" s="7">
        <v>1599.43</v>
      </c>
      <c r="H939">
        <v>66652</v>
      </c>
      <c r="I939" t="s">
        <v>356</v>
      </c>
      <c r="J939" t="s">
        <v>3738</v>
      </c>
      <c r="K939" t="s">
        <v>3</v>
      </c>
      <c r="L939" s="2">
        <v>43252</v>
      </c>
      <c r="M939" s="2">
        <f>DOCXX[[#This Row],[INV DOC DATE]]+30</f>
        <v>43282</v>
      </c>
      <c r="N939" s="2">
        <v>43290</v>
      </c>
      <c r="O939" s="7">
        <v>1599.43</v>
      </c>
      <c r="P939" s="2">
        <v>43299</v>
      </c>
      <c r="Q939" s="7">
        <f>$E939-$O939</f>
        <v>0</v>
      </c>
      <c r="R939" s="7" t="str">
        <f ca="1">IF(TODAY() - DOCXX[INV DUE DATE]&lt;30, "Less than 30 days",IF(TODAY()-DOCXX[INV DUE DATE]&lt;60,"30-60 days","More than 60 days"))</f>
        <v>Less than 30 days</v>
      </c>
      <c r="S939" t="s">
        <v>818</v>
      </c>
      <c r="T939" s="43" t="s">
        <v>2229</v>
      </c>
      <c r="U939" s="7" t="s">
        <v>3699</v>
      </c>
    </row>
    <row r="940" spans="1:21" x14ac:dyDescent="0.3">
      <c r="A940" s="14" t="s">
        <v>4134</v>
      </c>
      <c r="B940" t="s">
        <v>30</v>
      </c>
      <c r="C940" t="s">
        <v>47</v>
      </c>
      <c r="D940">
        <v>1</v>
      </c>
      <c r="E940" s="7">
        <v>1593.57</v>
      </c>
      <c r="H940">
        <v>1204</v>
      </c>
      <c r="I940" t="s">
        <v>2250</v>
      </c>
      <c r="J940" t="s">
        <v>3738</v>
      </c>
      <c r="K940" t="s">
        <v>3</v>
      </c>
      <c r="L940" s="2">
        <v>43252</v>
      </c>
      <c r="M940" s="2">
        <f>DOCXX[[#This Row],[INV DOC DATE]]+30</f>
        <v>43282</v>
      </c>
      <c r="N940" s="2">
        <v>43290</v>
      </c>
      <c r="O940" s="7">
        <v>1593.57</v>
      </c>
      <c r="P940" s="2">
        <v>43299</v>
      </c>
      <c r="Q940" s="7">
        <f>$E940-$O940</f>
        <v>0</v>
      </c>
      <c r="R940" s="7" t="str">
        <f ca="1">IF(TODAY() - DOCXX[INV DUE DATE]&lt;30, "Less than 30 days",IF(TODAY()-DOCXX[INV DUE DATE]&lt;60,"30-60 days","More than 60 days"))</f>
        <v>Less than 30 days</v>
      </c>
      <c r="S940" t="s">
        <v>818</v>
      </c>
      <c r="T940" s="43" t="s">
        <v>2229</v>
      </c>
      <c r="U940" s="7" t="s">
        <v>3699</v>
      </c>
    </row>
    <row r="941" spans="1:21" x14ac:dyDescent="0.3">
      <c r="A941" s="14" t="s">
        <v>4134</v>
      </c>
      <c r="B941" t="s">
        <v>30</v>
      </c>
      <c r="C941" t="s">
        <v>295</v>
      </c>
      <c r="D941">
        <v>1</v>
      </c>
      <c r="E941" s="7">
        <v>1435.39</v>
      </c>
      <c r="H941">
        <v>75797</v>
      </c>
      <c r="I941" t="s">
        <v>859</v>
      </c>
      <c r="J941" t="s">
        <v>3738</v>
      </c>
      <c r="K941" t="s">
        <v>3</v>
      </c>
      <c r="L941" s="2">
        <v>43252</v>
      </c>
      <c r="M941" s="2">
        <f>DOCXX[[#This Row],[INV DOC DATE]]+30</f>
        <v>43282</v>
      </c>
      <c r="N941" s="2">
        <v>43290</v>
      </c>
      <c r="O941" s="7">
        <v>1435.39</v>
      </c>
      <c r="P941" s="2">
        <v>43299</v>
      </c>
      <c r="Q941" s="7">
        <f>$E941-$O941</f>
        <v>0</v>
      </c>
      <c r="R941" s="7" t="str">
        <f ca="1">IF(TODAY() - DOCXX[INV DUE DATE]&lt;30, "Less than 30 days",IF(TODAY()-DOCXX[INV DUE DATE]&lt;60,"30-60 days","More than 60 days"))</f>
        <v>Less than 30 days</v>
      </c>
      <c r="S941" t="s">
        <v>818</v>
      </c>
      <c r="T941" s="43" t="s">
        <v>2229</v>
      </c>
      <c r="U941" s="7" t="s">
        <v>3699</v>
      </c>
    </row>
    <row r="942" spans="1:21" x14ac:dyDescent="0.3">
      <c r="A942" s="14" t="s">
        <v>4134</v>
      </c>
      <c r="B942" t="s">
        <v>30</v>
      </c>
      <c r="C942" t="s">
        <v>48</v>
      </c>
      <c r="D942">
        <v>1</v>
      </c>
      <c r="E942" s="7">
        <v>1359.22</v>
      </c>
      <c r="H942">
        <v>55609</v>
      </c>
      <c r="I942" t="s">
        <v>349</v>
      </c>
      <c r="J942" t="s">
        <v>3738</v>
      </c>
      <c r="K942" t="s">
        <v>3</v>
      </c>
      <c r="L942" s="2">
        <v>43252</v>
      </c>
      <c r="M942" s="2">
        <f>DOCXX[[#This Row],[INV DOC DATE]]+30</f>
        <v>43282</v>
      </c>
      <c r="N942" s="2">
        <v>43290</v>
      </c>
      <c r="O942" s="7">
        <v>1359.22</v>
      </c>
      <c r="P942" s="2">
        <v>43299</v>
      </c>
      <c r="Q942" s="7">
        <f>$E942-$O942</f>
        <v>0</v>
      </c>
      <c r="R942" s="7" t="str">
        <f ca="1">IF(TODAY() - DOCXX[INV DUE DATE]&lt;30, "Less than 30 days",IF(TODAY()-DOCXX[INV DUE DATE]&lt;60,"30-60 days","More than 60 days"))</f>
        <v>Less than 30 days</v>
      </c>
      <c r="S942" t="s">
        <v>818</v>
      </c>
      <c r="T942" s="43" t="s">
        <v>2229</v>
      </c>
      <c r="U942" s="7" t="s">
        <v>3699</v>
      </c>
    </row>
    <row r="943" spans="1:21" x14ac:dyDescent="0.3">
      <c r="A943" s="14" t="s">
        <v>4134</v>
      </c>
      <c r="B943" t="s">
        <v>30</v>
      </c>
      <c r="C943" t="s">
        <v>49</v>
      </c>
      <c r="D943">
        <v>1</v>
      </c>
      <c r="E943" s="7">
        <v>1165.8900000000001</v>
      </c>
      <c r="H943">
        <v>1356</v>
      </c>
      <c r="I943" t="s">
        <v>2251</v>
      </c>
      <c r="J943" t="s">
        <v>3738</v>
      </c>
      <c r="K943" t="s">
        <v>3</v>
      </c>
      <c r="L943" s="2">
        <v>43252</v>
      </c>
      <c r="M943" s="2">
        <f>DOCXX[[#This Row],[INV DOC DATE]]+30</f>
        <v>43282</v>
      </c>
      <c r="N943" s="2">
        <v>43290</v>
      </c>
      <c r="O943" s="7">
        <v>1165.8900000000001</v>
      </c>
      <c r="P943" s="2">
        <v>43299</v>
      </c>
      <c r="Q943" s="7">
        <f>$E943-$O943</f>
        <v>0</v>
      </c>
      <c r="R943" s="7" t="str">
        <f ca="1">IF(TODAY() - DOCXX[INV DUE DATE]&lt;30, "Less than 30 days",IF(TODAY()-DOCXX[INV DUE DATE]&lt;60,"30-60 days","More than 60 days"))</f>
        <v>Less than 30 days</v>
      </c>
      <c r="S943" t="s">
        <v>818</v>
      </c>
      <c r="T943" s="43" t="s">
        <v>2229</v>
      </c>
      <c r="U943" s="7" t="s">
        <v>3699</v>
      </c>
    </row>
    <row r="944" spans="1:21" x14ac:dyDescent="0.3">
      <c r="A944" s="14" t="s">
        <v>4134</v>
      </c>
      <c r="B944" t="s">
        <v>30</v>
      </c>
      <c r="C944" t="s">
        <v>50</v>
      </c>
      <c r="D944">
        <v>1</v>
      </c>
      <c r="E944" s="7">
        <v>1113.1600000000001</v>
      </c>
      <c r="H944">
        <v>68260</v>
      </c>
      <c r="I944" t="s">
        <v>2252</v>
      </c>
      <c r="J944" t="s">
        <v>3738</v>
      </c>
      <c r="K944" t="s">
        <v>3</v>
      </c>
      <c r="L944" s="2">
        <v>43252</v>
      </c>
      <c r="M944" s="2">
        <f>DOCXX[[#This Row],[INV DOC DATE]]+30</f>
        <v>43282</v>
      </c>
      <c r="N944" s="2">
        <v>43290</v>
      </c>
      <c r="O944" s="7">
        <v>1113.1600000000001</v>
      </c>
      <c r="P944" s="2">
        <v>43299</v>
      </c>
      <c r="Q944" s="7">
        <f>$E944-$O944</f>
        <v>0</v>
      </c>
      <c r="R944" s="7" t="str">
        <f ca="1">IF(TODAY() - DOCXX[INV DUE DATE]&lt;30, "Less than 30 days",IF(TODAY()-DOCXX[INV DUE DATE]&lt;60,"30-60 days","More than 60 days"))</f>
        <v>Less than 30 days</v>
      </c>
      <c r="S944" t="s">
        <v>818</v>
      </c>
      <c r="T944" s="43" t="s">
        <v>2229</v>
      </c>
      <c r="U944" s="7" t="s">
        <v>3699</v>
      </c>
    </row>
    <row r="945" spans="1:21" x14ac:dyDescent="0.3">
      <c r="A945" s="14" t="s">
        <v>4134</v>
      </c>
      <c r="B945" t="s">
        <v>30</v>
      </c>
      <c r="C945" t="s">
        <v>51</v>
      </c>
      <c r="D945">
        <v>1</v>
      </c>
      <c r="E945" s="7">
        <v>732.34</v>
      </c>
      <c r="H945">
        <v>82294</v>
      </c>
      <c r="I945" t="s">
        <v>853</v>
      </c>
      <c r="J945" t="s">
        <v>3738</v>
      </c>
      <c r="K945" t="s">
        <v>3</v>
      </c>
      <c r="L945" s="2">
        <v>43252</v>
      </c>
      <c r="M945" s="2">
        <f>DOCXX[[#This Row],[INV DOC DATE]]+30</f>
        <v>43282</v>
      </c>
      <c r="N945" s="2">
        <v>43290</v>
      </c>
      <c r="O945" s="7">
        <v>732.34</v>
      </c>
      <c r="P945" s="2">
        <v>43299</v>
      </c>
      <c r="Q945" s="7">
        <f>$E945-$O945</f>
        <v>0</v>
      </c>
      <c r="R945" s="7" t="str">
        <f ca="1">IF(TODAY() - DOCXX[INV DUE DATE]&lt;30, "Less than 30 days",IF(TODAY()-DOCXX[INV DUE DATE]&lt;60,"30-60 days","More than 60 days"))</f>
        <v>Less than 30 days</v>
      </c>
      <c r="S945" t="s">
        <v>818</v>
      </c>
      <c r="T945" s="43" t="s">
        <v>2229</v>
      </c>
      <c r="U945" s="7" t="s">
        <v>3699</v>
      </c>
    </row>
    <row r="946" spans="1:21" x14ac:dyDescent="0.3">
      <c r="A946" s="14" t="s">
        <v>4134</v>
      </c>
      <c r="B946" t="s">
        <v>30</v>
      </c>
      <c r="C946" t="s">
        <v>52</v>
      </c>
      <c r="D946">
        <v>1</v>
      </c>
      <c r="E946" s="7">
        <v>585.87</v>
      </c>
      <c r="H946">
        <v>68235</v>
      </c>
      <c r="I946" t="s">
        <v>2253</v>
      </c>
      <c r="J946" t="s">
        <v>3738</v>
      </c>
      <c r="K946" t="s">
        <v>3</v>
      </c>
      <c r="L946" s="2">
        <v>43252</v>
      </c>
      <c r="M946" s="2">
        <f>DOCXX[[#This Row],[INV DOC DATE]]+30</f>
        <v>43282</v>
      </c>
      <c r="N946" s="2">
        <v>43290</v>
      </c>
      <c r="O946" s="7">
        <v>585.87</v>
      </c>
      <c r="P946" s="2">
        <v>43299</v>
      </c>
      <c r="Q946" s="7">
        <f>$E946-$O946</f>
        <v>0</v>
      </c>
      <c r="R946" s="7" t="str">
        <f ca="1">IF(TODAY() - DOCXX[INV DUE DATE]&lt;30, "Less than 30 days",IF(TODAY()-DOCXX[INV DUE DATE]&lt;60,"30-60 days","More than 60 days"))</f>
        <v>Less than 30 days</v>
      </c>
      <c r="S946" t="s">
        <v>818</v>
      </c>
      <c r="T946" s="43" t="s">
        <v>2229</v>
      </c>
      <c r="U946" s="7" t="s">
        <v>3699</v>
      </c>
    </row>
    <row r="947" spans="1:21" x14ac:dyDescent="0.3">
      <c r="A947" s="14" t="s">
        <v>4134</v>
      </c>
      <c r="B947" t="s">
        <v>30</v>
      </c>
      <c r="C947" t="s">
        <v>53</v>
      </c>
      <c r="D947">
        <v>1</v>
      </c>
      <c r="E947" s="7">
        <v>585.87</v>
      </c>
      <c r="H947">
        <v>172324</v>
      </c>
      <c r="I947" t="s">
        <v>352</v>
      </c>
      <c r="J947" t="s">
        <v>3738</v>
      </c>
      <c r="K947" t="s">
        <v>3</v>
      </c>
      <c r="L947" s="2">
        <v>43252</v>
      </c>
      <c r="M947" s="2">
        <f>DOCXX[[#This Row],[INV DOC DATE]]+30</f>
        <v>43282</v>
      </c>
      <c r="N947" s="2">
        <v>43290</v>
      </c>
      <c r="O947" s="7">
        <v>585.87</v>
      </c>
      <c r="P947" s="2">
        <v>43299</v>
      </c>
      <c r="Q947" s="7">
        <f>$E947-$O947</f>
        <v>0</v>
      </c>
      <c r="R947" s="7" t="str">
        <f ca="1">IF(TODAY() - DOCXX[INV DUE DATE]&lt;30, "Less than 30 days",IF(TODAY()-DOCXX[INV DUE DATE]&lt;60,"30-60 days","More than 60 days"))</f>
        <v>Less than 30 days</v>
      </c>
      <c r="S947" t="s">
        <v>818</v>
      </c>
      <c r="T947" s="43" t="s">
        <v>2229</v>
      </c>
      <c r="U947" s="7" t="s">
        <v>3699</v>
      </c>
    </row>
    <row r="948" spans="1:21" x14ac:dyDescent="0.3">
      <c r="A948" s="14" t="s">
        <v>4134</v>
      </c>
      <c r="B948" t="s">
        <v>30</v>
      </c>
      <c r="C948" t="s">
        <v>54</v>
      </c>
      <c r="D948">
        <v>1</v>
      </c>
      <c r="E948" s="7">
        <v>585.87</v>
      </c>
      <c r="H948">
        <v>82330</v>
      </c>
      <c r="I948" t="s">
        <v>2254</v>
      </c>
      <c r="J948" t="s">
        <v>3738</v>
      </c>
      <c r="K948" t="s">
        <v>3</v>
      </c>
      <c r="L948" s="2">
        <v>43252</v>
      </c>
      <c r="M948" s="2">
        <f>DOCXX[[#This Row],[INV DOC DATE]]+30</f>
        <v>43282</v>
      </c>
      <c r="N948" s="2">
        <v>43290</v>
      </c>
      <c r="O948" s="7">
        <v>585.87</v>
      </c>
      <c r="P948" s="2">
        <v>43299</v>
      </c>
      <c r="Q948" s="7">
        <f>$E948-$O948</f>
        <v>0</v>
      </c>
      <c r="R948" s="7" t="str">
        <f ca="1">IF(TODAY() - DOCXX[INV DUE DATE]&lt;30, "Less than 30 days",IF(TODAY()-DOCXX[INV DUE DATE]&lt;60,"30-60 days","More than 60 days"))</f>
        <v>Less than 30 days</v>
      </c>
      <c r="S948" t="s">
        <v>818</v>
      </c>
      <c r="T948" s="43" t="s">
        <v>2229</v>
      </c>
      <c r="U948" s="7" t="s">
        <v>3699</v>
      </c>
    </row>
    <row r="949" spans="1:21" x14ac:dyDescent="0.3">
      <c r="A949" s="14" t="s">
        <v>4132</v>
      </c>
      <c r="B949" t="s">
        <v>118</v>
      </c>
      <c r="C949" t="s">
        <v>6</v>
      </c>
      <c r="D949">
        <v>1</v>
      </c>
      <c r="E949" s="7">
        <v>172.5</v>
      </c>
      <c r="H949">
        <v>1273</v>
      </c>
      <c r="I949" t="s">
        <v>350</v>
      </c>
      <c r="J949" t="s">
        <v>3161</v>
      </c>
      <c r="K949" t="s">
        <v>3</v>
      </c>
      <c r="L949" s="2">
        <v>43252</v>
      </c>
      <c r="M949" s="2">
        <f>DOCXX[[#This Row],[INV DOC DATE]]+30</f>
        <v>43282</v>
      </c>
      <c r="N949" s="2">
        <v>43279</v>
      </c>
      <c r="O949" s="7">
        <v>172.5</v>
      </c>
      <c r="P949" s="2">
        <v>43290</v>
      </c>
      <c r="Q949" s="7">
        <f>$E949-$O949</f>
        <v>0</v>
      </c>
      <c r="R949" s="7" t="str">
        <f ca="1">IF(TODAY() - DOCXX[INV DUE DATE]&lt;30, "Less than 30 days",IF(TODAY()-DOCXX[INV DUE DATE]&lt;60,"30-60 days","More than 60 days"))</f>
        <v>Less than 30 days</v>
      </c>
      <c r="S949" t="s">
        <v>818</v>
      </c>
      <c r="T949" s="43" t="s">
        <v>2229</v>
      </c>
      <c r="U949" s="7" t="s">
        <v>3699</v>
      </c>
    </row>
    <row r="950" spans="1:21" x14ac:dyDescent="0.3">
      <c r="A950" s="14" t="s">
        <v>4132</v>
      </c>
      <c r="B950" t="s">
        <v>118</v>
      </c>
      <c r="C950" t="s">
        <v>7</v>
      </c>
      <c r="D950">
        <v>1</v>
      </c>
      <c r="E950" s="7">
        <v>172.5</v>
      </c>
      <c r="H950">
        <v>1273</v>
      </c>
      <c r="I950" t="s">
        <v>350</v>
      </c>
      <c r="J950" t="s">
        <v>3162</v>
      </c>
      <c r="K950" t="s">
        <v>3</v>
      </c>
      <c r="L950" s="2">
        <v>43252</v>
      </c>
      <c r="M950" s="2">
        <f>DOCXX[[#This Row],[INV DOC DATE]]+30</f>
        <v>43282</v>
      </c>
      <c r="N950" s="2">
        <v>43279</v>
      </c>
      <c r="O950" s="7">
        <v>172.5</v>
      </c>
      <c r="P950" s="2">
        <v>43290</v>
      </c>
      <c r="Q950" s="7">
        <f>$E950-$O950</f>
        <v>0</v>
      </c>
      <c r="R950" s="7" t="str">
        <f ca="1">IF(TODAY() - DOCXX[INV DUE DATE]&lt;30, "Less than 30 days",IF(TODAY()-DOCXX[INV DUE DATE]&lt;60,"30-60 days","More than 60 days"))</f>
        <v>Less than 30 days</v>
      </c>
      <c r="S950" t="s">
        <v>818</v>
      </c>
      <c r="T950" s="43" t="s">
        <v>2229</v>
      </c>
      <c r="U950" s="7" t="s">
        <v>3699</v>
      </c>
    </row>
    <row r="951" spans="1:21" x14ac:dyDescent="0.3">
      <c r="A951" s="14" t="s">
        <v>4132</v>
      </c>
      <c r="B951" t="s">
        <v>118</v>
      </c>
      <c r="C951" t="s">
        <v>8</v>
      </c>
      <c r="D951">
        <v>1</v>
      </c>
      <c r="E951" s="7">
        <v>172.5</v>
      </c>
      <c r="H951">
        <v>1273</v>
      </c>
      <c r="I951" t="s">
        <v>350</v>
      </c>
      <c r="J951" t="s">
        <v>3163</v>
      </c>
      <c r="K951" t="s">
        <v>3</v>
      </c>
      <c r="L951" s="2">
        <v>43252</v>
      </c>
      <c r="M951" s="2">
        <f>DOCXX[[#This Row],[INV DOC DATE]]+30</f>
        <v>43282</v>
      </c>
      <c r="N951" s="2">
        <v>43279</v>
      </c>
      <c r="O951" s="7">
        <v>172.5</v>
      </c>
      <c r="P951" s="2">
        <v>43290</v>
      </c>
      <c r="Q951" s="7">
        <f>$E951-$O951</f>
        <v>0</v>
      </c>
      <c r="R951" s="7" t="str">
        <f ca="1">IF(TODAY() - DOCXX[INV DUE DATE]&lt;30, "Less than 30 days",IF(TODAY()-DOCXX[INV DUE DATE]&lt;60,"30-60 days","More than 60 days"))</f>
        <v>Less than 30 days</v>
      </c>
      <c r="S951" t="s">
        <v>818</v>
      </c>
      <c r="T951" s="43" t="s">
        <v>2229</v>
      </c>
      <c r="U951" s="7" t="s">
        <v>3699</v>
      </c>
    </row>
    <row r="952" spans="1:21" x14ac:dyDescent="0.3">
      <c r="A952" s="14" t="s">
        <v>4132</v>
      </c>
      <c r="B952" t="s">
        <v>118</v>
      </c>
      <c r="C952" t="s">
        <v>9</v>
      </c>
      <c r="D952">
        <v>1</v>
      </c>
      <c r="E952" s="7">
        <v>225</v>
      </c>
      <c r="H952">
        <v>1273</v>
      </c>
      <c r="I952" t="s">
        <v>350</v>
      </c>
      <c r="J952" t="s">
        <v>3164</v>
      </c>
      <c r="K952" t="s">
        <v>3</v>
      </c>
      <c r="L952" s="2">
        <v>43252</v>
      </c>
      <c r="M952" s="2">
        <f>DOCXX[[#This Row],[INV DOC DATE]]+30</f>
        <v>43282</v>
      </c>
      <c r="N952" s="2">
        <v>43279</v>
      </c>
      <c r="O952" s="7">
        <v>225</v>
      </c>
      <c r="P952" s="2">
        <v>43290</v>
      </c>
      <c r="Q952" s="7">
        <f>$E952-$O952</f>
        <v>0</v>
      </c>
      <c r="R952" s="7" t="str">
        <f ca="1">IF(TODAY() - DOCXX[INV DUE DATE]&lt;30, "Less than 30 days",IF(TODAY()-DOCXX[INV DUE DATE]&lt;60,"30-60 days","More than 60 days"))</f>
        <v>Less than 30 days</v>
      </c>
      <c r="S952" t="s">
        <v>818</v>
      </c>
      <c r="T952" s="43" t="s">
        <v>2229</v>
      </c>
      <c r="U952" s="7" t="s">
        <v>3699</v>
      </c>
    </row>
    <row r="953" spans="1:21" x14ac:dyDescent="0.3">
      <c r="A953" s="14" t="s">
        <v>4132</v>
      </c>
      <c r="B953" t="s">
        <v>118</v>
      </c>
      <c r="C953" t="s">
        <v>10</v>
      </c>
      <c r="D953">
        <v>1</v>
      </c>
      <c r="E953" s="7">
        <v>225</v>
      </c>
      <c r="H953">
        <v>1273</v>
      </c>
      <c r="I953" t="s">
        <v>350</v>
      </c>
      <c r="J953" t="s">
        <v>3165</v>
      </c>
      <c r="K953" t="s">
        <v>3</v>
      </c>
      <c r="L953" s="2">
        <v>43252</v>
      </c>
      <c r="M953" s="2">
        <f>DOCXX[[#This Row],[INV DOC DATE]]+30</f>
        <v>43282</v>
      </c>
      <c r="N953" s="2">
        <v>43279</v>
      </c>
      <c r="O953" s="7">
        <v>225</v>
      </c>
      <c r="P953" s="2">
        <v>43290</v>
      </c>
      <c r="Q953" s="7">
        <f>$E953-$O953</f>
        <v>0</v>
      </c>
      <c r="R953" s="7" t="str">
        <f ca="1">IF(TODAY() - DOCXX[INV DUE DATE]&lt;30, "Less than 30 days",IF(TODAY()-DOCXX[INV DUE DATE]&lt;60,"30-60 days","More than 60 days"))</f>
        <v>Less than 30 days</v>
      </c>
      <c r="S953" t="s">
        <v>818</v>
      </c>
      <c r="T953" s="43" t="s">
        <v>2229</v>
      </c>
      <c r="U953" s="7" t="s">
        <v>3699</v>
      </c>
    </row>
    <row r="954" spans="1:21" x14ac:dyDescent="0.3">
      <c r="A954" s="14" t="s">
        <v>4132</v>
      </c>
      <c r="B954" t="s">
        <v>118</v>
      </c>
      <c r="C954" t="s">
        <v>11</v>
      </c>
      <c r="D954">
        <v>1</v>
      </c>
      <c r="E954" s="7">
        <v>225</v>
      </c>
      <c r="H954">
        <v>1273</v>
      </c>
      <c r="I954" t="s">
        <v>350</v>
      </c>
      <c r="J954" t="s">
        <v>3166</v>
      </c>
      <c r="K954" t="s">
        <v>3</v>
      </c>
      <c r="L954" s="2">
        <v>43252</v>
      </c>
      <c r="M954" s="2">
        <f>DOCXX[[#This Row],[INV DOC DATE]]+30</f>
        <v>43282</v>
      </c>
      <c r="N954" s="2">
        <v>43279</v>
      </c>
      <c r="O954" s="7">
        <v>225</v>
      </c>
      <c r="P954" s="2">
        <v>43290</v>
      </c>
      <c r="Q954" s="7">
        <f>$E954-$O954</f>
        <v>0</v>
      </c>
      <c r="R954" s="7" t="str">
        <f ca="1">IF(TODAY() - DOCXX[INV DUE DATE]&lt;30, "Less than 30 days",IF(TODAY()-DOCXX[INV DUE DATE]&lt;60,"30-60 days","More than 60 days"))</f>
        <v>Less than 30 days</v>
      </c>
      <c r="S954" t="s">
        <v>818</v>
      </c>
      <c r="T954" s="43" t="s">
        <v>2229</v>
      </c>
      <c r="U954" s="7" t="s">
        <v>3699</v>
      </c>
    </row>
    <row r="955" spans="1:21" x14ac:dyDescent="0.3">
      <c r="A955" s="14" t="s">
        <v>4132</v>
      </c>
      <c r="B955" t="s">
        <v>118</v>
      </c>
      <c r="C955" t="s">
        <v>12</v>
      </c>
      <c r="D955">
        <v>1</v>
      </c>
      <c r="E955" s="7">
        <v>225</v>
      </c>
      <c r="H955">
        <v>1273</v>
      </c>
      <c r="I955" t="s">
        <v>350</v>
      </c>
      <c r="J955" t="s">
        <v>3167</v>
      </c>
      <c r="K955" t="s">
        <v>3</v>
      </c>
      <c r="L955" s="2">
        <v>43252</v>
      </c>
      <c r="M955" s="2">
        <f>DOCXX[[#This Row],[INV DOC DATE]]+30</f>
        <v>43282</v>
      </c>
      <c r="N955" s="2">
        <v>43279</v>
      </c>
      <c r="O955" s="7">
        <v>225</v>
      </c>
      <c r="P955" s="2">
        <v>43290</v>
      </c>
      <c r="Q955" s="7">
        <f>$E955-$O955</f>
        <v>0</v>
      </c>
      <c r="R955" s="7" t="str">
        <f ca="1">IF(TODAY() - DOCXX[INV DUE DATE]&lt;30, "Less than 30 days",IF(TODAY()-DOCXX[INV DUE DATE]&lt;60,"30-60 days","More than 60 days"))</f>
        <v>Less than 30 days</v>
      </c>
      <c r="S955" t="s">
        <v>818</v>
      </c>
      <c r="T955" s="43" t="s">
        <v>2229</v>
      </c>
      <c r="U955" s="7" t="s">
        <v>3699</v>
      </c>
    </row>
    <row r="956" spans="1:21" x14ac:dyDescent="0.3">
      <c r="A956" s="14" t="s">
        <v>4132</v>
      </c>
      <c r="B956" t="s">
        <v>118</v>
      </c>
      <c r="C956" t="s">
        <v>13</v>
      </c>
      <c r="D956">
        <v>1</v>
      </c>
      <c r="E956" s="7">
        <v>225</v>
      </c>
      <c r="H956">
        <v>1273</v>
      </c>
      <c r="I956" t="s">
        <v>350</v>
      </c>
      <c r="J956" t="s">
        <v>3168</v>
      </c>
      <c r="K956" t="s">
        <v>3</v>
      </c>
      <c r="L956" s="2">
        <v>43252</v>
      </c>
      <c r="M956" s="2">
        <f>DOCXX[[#This Row],[INV DOC DATE]]+30</f>
        <v>43282</v>
      </c>
      <c r="N956" s="2">
        <v>43279</v>
      </c>
      <c r="O956" s="7">
        <v>225</v>
      </c>
      <c r="P956" s="2">
        <v>43290</v>
      </c>
      <c r="Q956" s="7">
        <f>$E956-$O956</f>
        <v>0</v>
      </c>
      <c r="R956" s="7" t="str">
        <f ca="1">IF(TODAY() - DOCXX[INV DUE DATE]&lt;30, "Less than 30 days",IF(TODAY()-DOCXX[INV DUE DATE]&lt;60,"30-60 days","More than 60 days"))</f>
        <v>Less than 30 days</v>
      </c>
      <c r="S956" t="s">
        <v>818</v>
      </c>
      <c r="T956" s="43" t="s">
        <v>2229</v>
      </c>
      <c r="U956" s="7" t="s">
        <v>3699</v>
      </c>
    </row>
    <row r="957" spans="1:21" x14ac:dyDescent="0.3">
      <c r="A957" s="14" t="s">
        <v>4132</v>
      </c>
      <c r="B957" t="s">
        <v>118</v>
      </c>
      <c r="C957" t="s">
        <v>14</v>
      </c>
      <c r="D957">
        <v>1</v>
      </c>
      <c r="E957" s="7">
        <v>225</v>
      </c>
      <c r="H957">
        <v>1273</v>
      </c>
      <c r="I957" t="s">
        <v>350</v>
      </c>
      <c r="J957" t="s">
        <v>3169</v>
      </c>
      <c r="K957" t="s">
        <v>3</v>
      </c>
      <c r="L957" s="2">
        <v>43252</v>
      </c>
      <c r="M957" s="2">
        <f>DOCXX[[#This Row],[INV DOC DATE]]+30</f>
        <v>43282</v>
      </c>
      <c r="N957" s="2">
        <v>43279</v>
      </c>
      <c r="O957" s="7">
        <v>225</v>
      </c>
      <c r="P957" s="2">
        <v>43290</v>
      </c>
      <c r="Q957" s="7">
        <f>$E957-$O957</f>
        <v>0</v>
      </c>
      <c r="R957" s="7" t="str">
        <f ca="1">IF(TODAY() - DOCXX[INV DUE DATE]&lt;30, "Less than 30 days",IF(TODAY()-DOCXX[INV DUE DATE]&lt;60,"30-60 days","More than 60 days"))</f>
        <v>Less than 30 days</v>
      </c>
      <c r="S957" t="s">
        <v>818</v>
      </c>
      <c r="T957" s="43" t="s">
        <v>2229</v>
      </c>
      <c r="U957" s="7" t="s">
        <v>3699</v>
      </c>
    </row>
    <row r="958" spans="1:21" x14ac:dyDescent="0.3">
      <c r="A958" s="14" t="s">
        <v>4132</v>
      </c>
      <c r="B958" t="s">
        <v>118</v>
      </c>
      <c r="C958" t="s">
        <v>15</v>
      </c>
      <c r="D958">
        <v>1</v>
      </c>
      <c r="E958" s="7">
        <v>225</v>
      </c>
      <c r="H958">
        <v>1273</v>
      </c>
      <c r="I958" t="s">
        <v>350</v>
      </c>
      <c r="J958" t="s">
        <v>3170</v>
      </c>
      <c r="K958" t="s">
        <v>3</v>
      </c>
      <c r="L958" s="2">
        <v>43252</v>
      </c>
      <c r="M958" s="2">
        <f>DOCXX[[#This Row],[INV DOC DATE]]+30</f>
        <v>43282</v>
      </c>
      <c r="N958" s="2">
        <v>43279</v>
      </c>
      <c r="O958" s="7">
        <v>225</v>
      </c>
      <c r="P958" s="2">
        <v>43290</v>
      </c>
      <c r="Q958" s="7">
        <f>$E958-$O958</f>
        <v>0</v>
      </c>
      <c r="R958" s="7" t="str">
        <f ca="1">IF(TODAY() - DOCXX[INV DUE DATE]&lt;30, "Less than 30 days",IF(TODAY()-DOCXX[INV DUE DATE]&lt;60,"30-60 days","More than 60 days"))</f>
        <v>Less than 30 days</v>
      </c>
      <c r="S958" t="s">
        <v>818</v>
      </c>
      <c r="T958" s="43" t="s">
        <v>2229</v>
      </c>
      <c r="U958" s="7" t="s">
        <v>3699</v>
      </c>
    </row>
    <row r="959" spans="1:21" x14ac:dyDescent="0.3">
      <c r="A959" s="14" t="s">
        <v>4132</v>
      </c>
      <c r="B959" t="s">
        <v>118</v>
      </c>
      <c r="C959" t="s">
        <v>16</v>
      </c>
      <c r="D959">
        <v>1</v>
      </c>
      <c r="E959" s="7">
        <v>225</v>
      </c>
      <c r="H959">
        <v>1273</v>
      </c>
      <c r="I959" t="s">
        <v>350</v>
      </c>
      <c r="J959" t="s">
        <v>3171</v>
      </c>
      <c r="K959" t="s">
        <v>3</v>
      </c>
      <c r="L959" s="2">
        <v>43252</v>
      </c>
      <c r="M959" s="2">
        <f>DOCXX[[#This Row],[INV DOC DATE]]+30</f>
        <v>43282</v>
      </c>
      <c r="N959" s="2">
        <v>43279</v>
      </c>
      <c r="O959" s="7">
        <v>225</v>
      </c>
      <c r="P959" s="2">
        <v>43290</v>
      </c>
      <c r="Q959" s="7">
        <f>$E959-$O959</f>
        <v>0</v>
      </c>
      <c r="R959" s="7" t="str">
        <f ca="1">IF(TODAY() - DOCXX[INV DUE DATE]&lt;30, "Less than 30 days",IF(TODAY()-DOCXX[INV DUE DATE]&lt;60,"30-60 days","More than 60 days"))</f>
        <v>Less than 30 days</v>
      </c>
      <c r="S959" t="s">
        <v>818</v>
      </c>
      <c r="T959" s="43" t="s">
        <v>2229</v>
      </c>
      <c r="U959" s="7" t="s">
        <v>3699</v>
      </c>
    </row>
    <row r="960" spans="1:21" x14ac:dyDescent="0.3">
      <c r="A960" s="14" t="s">
        <v>4132</v>
      </c>
      <c r="B960" t="s">
        <v>118</v>
      </c>
      <c r="C960" t="s">
        <v>17</v>
      </c>
      <c r="D960">
        <v>1</v>
      </c>
      <c r="E960" s="7">
        <v>225</v>
      </c>
      <c r="H960">
        <v>1273</v>
      </c>
      <c r="I960" t="s">
        <v>350</v>
      </c>
      <c r="J960" t="s">
        <v>3172</v>
      </c>
      <c r="K960" t="s">
        <v>3</v>
      </c>
      <c r="L960" s="2">
        <v>43252</v>
      </c>
      <c r="M960" s="2">
        <f>DOCXX[[#This Row],[INV DOC DATE]]+30</f>
        <v>43282</v>
      </c>
      <c r="N960" s="2">
        <v>43279</v>
      </c>
      <c r="O960" s="7">
        <v>225</v>
      </c>
      <c r="P960" s="2">
        <v>43290</v>
      </c>
      <c r="Q960" s="7">
        <f>$E960-$O960</f>
        <v>0</v>
      </c>
      <c r="R960" s="7" t="str">
        <f ca="1">IF(TODAY() - DOCXX[INV DUE DATE]&lt;30, "Less than 30 days",IF(TODAY()-DOCXX[INV DUE DATE]&lt;60,"30-60 days","More than 60 days"))</f>
        <v>Less than 30 days</v>
      </c>
      <c r="S960" t="s">
        <v>818</v>
      </c>
      <c r="T960" s="43" t="s">
        <v>2229</v>
      </c>
      <c r="U960" s="7" t="s">
        <v>3699</v>
      </c>
    </row>
    <row r="961" spans="1:21" x14ac:dyDescent="0.3">
      <c r="A961" s="14" t="s">
        <v>4132</v>
      </c>
      <c r="B961" t="s">
        <v>118</v>
      </c>
      <c r="C961" t="s">
        <v>18</v>
      </c>
      <c r="D961">
        <v>1</v>
      </c>
      <c r="E961" s="7">
        <v>225</v>
      </c>
      <c r="H961">
        <v>1273</v>
      </c>
      <c r="I961" t="s">
        <v>350</v>
      </c>
      <c r="J961" t="s">
        <v>3173</v>
      </c>
      <c r="K961" t="s">
        <v>3</v>
      </c>
      <c r="L961" s="2">
        <v>43252</v>
      </c>
      <c r="M961" s="2">
        <f>DOCXX[[#This Row],[INV DOC DATE]]+30</f>
        <v>43282</v>
      </c>
      <c r="N961" s="2">
        <v>43279</v>
      </c>
      <c r="O961" s="7">
        <v>225</v>
      </c>
      <c r="P961" s="2">
        <v>43290</v>
      </c>
      <c r="Q961" s="7">
        <f>$E961-$O961</f>
        <v>0</v>
      </c>
      <c r="R961" s="7" t="str">
        <f ca="1">IF(TODAY() - DOCXX[INV DUE DATE]&lt;30, "Less than 30 days",IF(TODAY()-DOCXX[INV DUE DATE]&lt;60,"30-60 days","More than 60 days"))</f>
        <v>Less than 30 days</v>
      </c>
      <c r="S961" t="s">
        <v>818</v>
      </c>
      <c r="T961" s="43" t="s">
        <v>2229</v>
      </c>
      <c r="U961" s="7" t="s">
        <v>3699</v>
      </c>
    </row>
    <row r="962" spans="1:21" x14ac:dyDescent="0.3">
      <c r="A962" s="14" t="s">
        <v>4132</v>
      </c>
      <c r="B962" t="s">
        <v>118</v>
      </c>
      <c r="C962" t="s">
        <v>19</v>
      </c>
      <c r="D962">
        <v>1</v>
      </c>
      <c r="E962" s="7">
        <v>225</v>
      </c>
      <c r="H962">
        <v>1273</v>
      </c>
      <c r="I962" t="s">
        <v>350</v>
      </c>
      <c r="J962" t="s">
        <v>3174</v>
      </c>
      <c r="K962" t="s">
        <v>3</v>
      </c>
      <c r="L962" s="2">
        <v>43252</v>
      </c>
      <c r="M962" s="2">
        <f>DOCXX[[#This Row],[INV DOC DATE]]+30</f>
        <v>43282</v>
      </c>
      <c r="N962" s="2">
        <v>43279</v>
      </c>
      <c r="O962" s="7">
        <v>225</v>
      </c>
      <c r="P962" s="2">
        <v>43290</v>
      </c>
      <c r="Q962" s="7">
        <f>$E962-$O962</f>
        <v>0</v>
      </c>
      <c r="R962" s="7" t="str">
        <f ca="1">IF(TODAY() - DOCXX[INV DUE DATE]&lt;30, "Less than 30 days",IF(TODAY()-DOCXX[INV DUE DATE]&lt;60,"30-60 days","More than 60 days"))</f>
        <v>Less than 30 days</v>
      </c>
      <c r="S962" t="s">
        <v>818</v>
      </c>
      <c r="T962" s="43" t="s">
        <v>2229</v>
      </c>
      <c r="U962" s="7" t="s">
        <v>3699</v>
      </c>
    </row>
    <row r="963" spans="1:21" x14ac:dyDescent="0.3">
      <c r="A963" s="14" t="s">
        <v>4132</v>
      </c>
      <c r="B963" t="s">
        <v>118</v>
      </c>
      <c r="C963" t="s">
        <v>20</v>
      </c>
      <c r="D963">
        <v>1</v>
      </c>
      <c r="E963" s="7">
        <v>225</v>
      </c>
      <c r="H963">
        <v>1273</v>
      </c>
      <c r="I963" t="s">
        <v>350</v>
      </c>
      <c r="J963" t="s">
        <v>3175</v>
      </c>
      <c r="K963" t="s">
        <v>3</v>
      </c>
      <c r="L963" s="2">
        <v>43252</v>
      </c>
      <c r="M963" s="2">
        <f>DOCXX[[#This Row],[INV DOC DATE]]+30</f>
        <v>43282</v>
      </c>
      <c r="N963" s="2">
        <v>43279</v>
      </c>
      <c r="O963" s="7">
        <v>225</v>
      </c>
      <c r="P963" s="2">
        <v>43290</v>
      </c>
      <c r="Q963" s="7">
        <f>$E963-$O963</f>
        <v>0</v>
      </c>
      <c r="R963" s="7" t="str">
        <f ca="1">IF(TODAY() - DOCXX[INV DUE DATE]&lt;30, "Less than 30 days",IF(TODAY()-DOCXX[INV DUE DATE]&lt;60,"30-60 days","More than 60 days"))</f>
        <v>Less than 30 days</v>
      </c>
      <c r="S963" t="s">
        <v>818</v>
      </c>
      <c r="T963" s="43" t="s">
        <v>2229</v>
      </c>
      <c r="U963" s="7" t="s">
        <v>3699</v>
      </c>
    </row>
    <row r="964" spans="1:21" x14ac:dyDescent="0.3">
      <c r="A964" s="14" t="s">
        <v>4132</v>
      </c>
      <c r="B964" t="s">
        <v>118</v>
      </c>
      <c r="C964" t="s">
        <v>21</v>
      </c>
      <c r="D964">
        <v>1</v>
      </c>
      <c r="E964" s="7">
        <v>225</v>
      </c>
      <c r="H964">
        <v>1273</v>
      </c>
      <c r="I964" t="s">
        <v>350</v>
      </c>
      <c r="J964" t="s">
        <v>3176</v>
      </c>
      <c r="K964" t="s">
        <v>3</v>
      </c>
      <c r="L964" s="2">
        <v>43252</v>
      </c>
      <c r="M964" s="2">
        <f>DOCXX[[#This Row],[INV DOC DATE]]+30</f>
        <v>43282</v>
      </c>
      <c r="N964" s="2">
        <v>43279</v>
      </c>
      <c r="O964" s="7">
        <v>225</v>
      </c>
      <c r="P964" s="2">
        <v>43290</v>
      </c>
      <c r="Q964" s="7">
        <f>$E964-$O964</f>
        <v>0</v>
      </c>
      <c r="R964" s="7" t="str">
        <f ca="1">IF(TODAY() - DOCXX[INV DUE DATE]&lt;30, "Less than 30 days",IF(TODAY()-DOCXX[INV DUE DATE]&lt;60,"30-60 days","More than 60 days"))</f>
        <v>Less than 30 days</v>
      </c>
      <c r="S964" t="s">
        <v>818</v>
      </c>
      <c r="T964" s="43" t="s">
        <v>2229</v>
      </c>
      <c r="U964" s="7" t="s">
        <v>3699</v>
      </c>
    </row>
    <row r="965" spans="1:21" x14ac:dyDescent="0.3">
      <c r="A965" s="14" t="s">
        <v>4132</v>
      </c>
      <c r="B965" t="s">
        <v>118</v>
      </c>
      <c r="C965" t="s">
        <v>22</v>
      </c>
      <c r="D965">
        <v>1</v>
      </c>
      <c r="E965" s="7">
        <v>225</v>
      </c>
      <c r="H965">
        <v>1273</v>
      </c>
      <c r="I965" t="s">
        <v>350</v>
      </c>
      <c r="J965" t="s">
        <v>3177</v>
      </c>
      <c r="K965" t="s">
        <v>3</v>
      </c>
      <c r="L965" s="2">
        <v>43252</v>
      </c>
      <c r="M965" s="2">
        <f>DOCXX[[#This Row],[INV DOC DATE]]+30</f>
        <v>43282</v>
      </c>
      <c r="N965" s="2">
        <v>43279</v>
      </c>
      <c r="O965" s="7">
        <v>225</v>
      </c>
      <c r="P965" s="2">
        <v>43290</v>
      </c>
      <c r="Q965" s="7">
        <f>$E965-$O965</f>
        <v>0</v>
      </c>
      <c r="R965" s="7" t="str">
        <f ca="1">IF(TODAY() - DOCXX[INV DUE DATE]&lt;30, "Less than 30 days",IF(TODAY()-DOCXX[INV DUE DATE]&lt;60,"30-60 days","More than 60 days"))</f>
        <v>Less than 30 days</v>
      </c>
      <c r="S965" t="s">
        <v>818</v>
      </c>
      <c r="T965" s="43" t="s">
        <v>2229</v>
      </c>
      <c r="U965" s="7" t="s">
        <v>3699</v>
      </c>
    </row>
    <row r="966" spans="1:21" x14ac:dyDescent="0.3">
      <c r="A966" s="14" t="s">
        <v>4132</v>
      </c>
      <c r="B966" t="s">
        <v>118</v>
      </c>
      <c r="C966" t="s">
        <v>23</v>
      </c>
      <c r="D966">
        <v>1</v>
      </c>
      <c r="E966" s="7">
        <v>225</v>
      </c>
      <c r="H966">
        <v>1273</v>
      </c>
      <c r="I966" t="s">
        <v>350</v>
      </c>
      <c r="J966" t="s">
        <v>3178</v>
      </c>
      <c r="K966" t="s">
        <v>3</v>
      </c>
      <c r="L966" s="2">
        <v>43252</v>
      </c>
      <c r="M966" s="2">
        <f>DOCXX[[#This Row],[INV DOC DATE]]+30</f>
        <v>43282</v>
      </c>
      <c r="N966" s="2">
        <v>43279</v>
      </c>
      <c r="O966" s="7">
        <v>225</v>
      </c>
      <c r="P966" s="2">
        <v>43290</v>
      </c>
      <c r="Q966" s="7">
        <f>$E966-$O966</f>
        <v>0</v>
      </c>
      <c r="R966" s="7" t="str">
        <f ca="1">IF(TODAY() - DOCXX[INV DUE DATE]&lt;30, "Less than 30 days",IF(TODAY()-DOCXX[INV DUE DATE]&lt;60,"30-60 days","More than 60 days"))</f>
        <v>Less than 30 days</v>
      </c>
      <c r="S966" t="s">
        <v>818</v>
      </c>
      <c r="T966" s="43" t="s">
        <v>2229</v>
      </c>
      <c r="U966" s="7" t="s">
        <v>3699</v>
      </c>
    </row>
    <row r="967" spans="1:21" x14ac:dyDescent="0.3">
      <c r="A967" s="14" t="s">
        <v>4132</v>
      </c>
      <c r="B967" t="s">
        <v>118</v>
      </c>
      <c r="C967" t="s">
        <v>24</v>
      </c>
      <c r="D967">
        <v>1</v>
      </c>
      <c r="E967" s="7">
        <v>225</v>
      </c>
      <c r="H967">
        <v>1273</v>
      </c>
      <c r="I967" t="s">
        <v>350</v>
      </c>
      <c r="J967" t="s">
        <v>3179</v>
      </c>
      <c r="K967" t="s">
        <v>3</v>
      </c>
      <c r="L967" s="2">
        <v>43252</v>
      </c>
      <c r="M967" s="2">
        <f>DOCXX[[#This Row],[INV DOC DATE]]+30</f>
        <v>43282</v>
      </c>
      <c r="N967" s="2">
        <v>43279</v>
      </c>
      <c r="O967" s="7">
        <v>225</v>
      </c>
      <c r="P967" s="2">
        <v>43290</v>
      </c>
      <c r="Q967" s="7">
        <f>$E967-$O967</f>
        <v>0</v>
      </c>
      <c r="R967" s="7" t="str">
        <f ca="1">IF(TODAY() - DOCXX[INV DUE DATE]&lt;30, "Less than 30 days",IF(TODAY()-DOCXX[INV DUE DATE]&lt;60,"30-60 days","More than 60 days"))</f>
        <v>Less than 30 days</v>
      </c>
      <c r="S967" t="s">
        <v>818</v>
      </c>
      <c r="T967" s="43" t="s">
        <v>2229</v>
      </c>
      <c r="U967" s="7" t="s">
        <v>3699</v>
      </c>
    </row>
    <row r="968" spans="1:21" x14ac:dyDescent="0.3">
      <c r="A968" s="14" t="s">
        <v>4132</v>
      </c>
      <c r="B968" t="s">
        <v>118</v>
      </c>
      <c r="C968" t="s">
        <v>25</v>
      </c>
      <c r="D968">
        <v>1</v>
      </c>
      <c r="E968" s="7">
        <v>225</v>
      </c>
      <c r="H968">
        <v>1273</v>
      </c>
      <c r="I968" t="s">
        <v>350</v>
      </c>
      <c r="J968" t="s">
        <v>3180</v>
      </c>
      <c r="K968" t="s">
        <v>3</v>
      </c>
      <c r="L968" s="2">
        <v>43252</v>
      </c>
      <c r="M968" s="2">
        <f>DOCXX[[#This Row],[INV DOC DATE]]+30</f>
        <v>43282</v>
      </c>
      <c r="N968" s="2">
        <v>43279</v>
      </c>
      <c r="O968" s="7">
        <v>225</v>
      </c>
      <c r="P968" s="2">
        <v>43290</v>
      </c>
      <c r="Q968" s="7">
        <f>$E968-$O968</f>
        <v>0</v>
      </c>
      <c r="R968" s="7" t="str">
        <f ca="1">IF(TODAY() - DOCXX[INV DUE DATE]&lt;30, "Less than 30 days",IF(TODAY()-DOCXX[INV DUE DATE]&lt;60,"30-60 days","More than 60 days"))</f>
        <v>Less than 30 days</v>
      </c>
      <c r="S968" t="s">
        <v>818</v>
      </c>
      <c r="T968" s="43" t="s">
        <v>2229</v>
      </c>
      <c r="U968" s="7" t="s">
        <v>3699</v>
      </c>
    </row>
    <row r="969" spans="1:21" x14ac:dyDescent="0.3">
      <c r="A969" s="14" t="s">
        <v>4132</v>
      </c>
      <c r="B969" t="s">
        <v>118</v>
      </c>
      <c r="C969" t="s">
        <v>26</v>
      </c>
      <c r="D969">
        <v>1</v>
      </c>
      <c r="E969" s="7">
        <v>225</v>
      </c>
      <c r="H969">
        <v>1273</v>
      </c>
      <c r="I969" t="s">
        <v>350</v>
      </c>
      <c r="J969" t="s">
        <v>3181</v>
      </c>
      <c r="K969" t="s">
        <v>3</v>
      </c>
      <c r="L969" s="2">
        <v>43252</v>
      </c>
      <c r="M969" s="2">
        <f>DOCXX[[#This Row],[INV DOC DATE]]+30</f>
        <v>43282</v>
      </c>
      <c r="N969" s="2">
        <v>43279</v>
      </c>
      <c r="O969" s="7">
        <v>225</v>
      </c>
      <c r="P969" s="2">
        <v>43290</v>
      </c>
      <c r="Q969" s="7">
        <f>$E969-$O969</f>
        <v>0</v>
      </c>
      <c r="R969" s="7" t="str">
        <f ca="1">IF(TODAY() - DOCXX[INV DUE DATE]&lt;30, "Less than 30 days",IF(TODAY()-DOCXX[INV DUE DATE]&lt;60,"30-60 days","More than 60 days"))</f>
        <v>Less than 30 days</v>
      </c>
      <c r="S969" t="s">
        <v>818</v>
      </c>
      <c r="T969" s="43" t="s">
        <v>2229</v>
      </c>
      <c r="U969" s="7" t="s">
        <v>3699</v>
      </c>
    </row>
    <row r="970" spans="1:21" x14ac:dyDescent="0.3">
      <c r="A970" s="14" t="s">
        <v>4132</v>
      </c>
      <c r="B970" t="s">
        <v>118</v>
      </c>
      <c r="C970" t="s">
        <v>27</v>
      </c>
      <c r="D970">
        <v>1</v>
      </c>
      <c r="E970" s="7">
        <v>172.5</v>
      </c>
      <c r="H970">
        <v>1273</v>
      </c>
      <c r="I970" t="s">
        <v>350</v>
      </c>
      <c r="J970" t="s">
        <v>3182</v>
      </c>
      <c r="K970" t="s">
        <v>3</v>
      </c>
      <c r="L970" s="2">
        <v>43252</v>
      </c>
      <c r="M970" s="2">
        <f>DOCXX[[#This Row],[INV DOC DATE]]+30</f>
        <v>43282</v>
      </c>
      <c r="N970" s="2">
        <v>43279</v>
      </c>
      <c r="O970" s="7">
        <v>172.5</v>
      </c>
      <c r="P970" s="2">
        <v>43290</v>
      </c>
      <c r="Q970" s="7">
        <f>$E970-$O970</f>
        <v>0</v>
      </c>
      <c r="R970" s="7" t="str">
        <f ca="1">IF(TODAY() - DOCXX[INV DUE DATE]&lt;30, "Less than 30 days",IF(TODAY()-DOCXX[INV DUE DATE]&lt;60,"30-60 days","More than 60 days"))</f>
        <v>Less than 30 days</v>
      </c>
      <c r="S970" t="s">
        <v>818</v>
      </c>
      <c r="T970" s="43" t="s">
        <v>2229</v>
      </c>
      <c r="U970" s="7" t="s">
        <v>3699</v>
      </c>
    </row>
    <row r="971" spans="1:21" x14ac:dyDescent="0.3">
      <c r="A971" s="14" t="s">
        <v>4132</v>
      </c>
      <c r="B971" t="s">
        <v>118</v>
      </c>
      <c r="C971" t="s">
        <v>28</v>
      </c>
      <c r="D971">
        <v>1</v>
      </c>
      <c r="E971" s="7">
        <v>172.5</v>
      </c>
      <c r="H971">
        <v>1273</v>
      </c>
      <c r="I971" t="s">
        <v>350</v>
      </c>
      <c r="J971" t="s">
        <v>3183</v>
      </c>
      <c r="K971" t="s">
        <v>3</v>
      </c>
      <c r="L971" s="2">
        <v>43252</v>
      </c>
      <c r="M971" s="2">
        <f>DOCXX[[#This Row],[INV DOC DATE]]+30</f>
        <v>43282</v>
      </c>
      <c r="N971" s="2">
        <v>43279</v>
      </c>
      <c r="O971" s="7">
        <v>172.5</v>
      </c>
      <c r="P971" s="2">
        <v>43290</v>
      </c>
      <c r="Q971" s="7">
        <f>$E971-$O971</f>
        <v>0</v>
      </c>
      <c r="R971" s="7" t="str">
        <f ca="1">IF(TODAY() - DOCXX[INV DUE DATE]&lt;30, "Less than 30 days",IF(TODAY()-DOCXX[INV DUE DATE]&lt;60,"30-60 days","More than 60 days"))</f>
        <v>Less than 30 days</v>
      </c>
      <c r="S971" t="s">
        <v>818</v>
      </c>
      <c r="T971" s="43" t="s">
        <v>2229</v>
      </c>
      <c r="U971" s="7" t="s">
        <v>3699</v>
      </c>
    </row>
    <row r="972" spans="1:21" x14ac:dyDescent="0.3">
      <c r="A972" s="14" t="s">
        <v>4132</v>
      </c>
      <c r="B972" t="s">
        <v>118</v>
      </c>
      <c r="C972" t="s">
        <v>37</v>
      </c>
      <c r="D972">
        <v>1</v>
      </c>
      <c r="E972" s="7">
        <v>172.5</v>
      </c>
      <c r="H972">
        <v>1274</v>
      </c>
      <c r="I972" t="s">
        <v>350</v>
      </c>
      <c r="J972" t="s">
        <v>3184</v>
      </c>
      <c r="K972" t="s">
        <v>3</v>
      </c>
      <c r="L972" s="2">
        <v>43252</v>
      </c>
      <c r="M972" s="2">
        <f>DOCXX[[#This Row],[INV DOC DATE]]+30</f>
        <v>43282</v>
      </c>
      <c r="N972" s="2">
        <v>43279</v>
      </c>
      <c r="O972" s="7">
        <v>172.5</v>
      </c>
      <c r="P972" s="2">
        <v>43290</v>
      </c>
      <c r="Q972" s="7">
        <f>$E972-$O972</f>
        <v>0</v>
      </c>
      <c r="R972" s="7" t="str">
        <f ca="1">IF(TODAY() - DOCXX[INV DUE DATE]&lt;30, "Less than 30 days",IF(TODAY()-DOCXX[INV DUE DATE]&lt;60,"30-60 days","More than 60 days"))</f>
        <v>Less than 30 days</v>
      </c>
      <c r="S972" t="s">
        <v>818</v>
      </c>
      <c r="T972" s="43" t="s">
        <v>2229</v>
      </c>
      <c r="U972" s="7" t="s">
        <v>3699</v>
      </c>
    </row>
    <row r="973" spans="1:21" x14ac:dyDescent="0.3">
      <c r="A973" s="14" t="s">
        <v>4132</v>
      </c>
      <c r="B973" t="s">
        <v>118</v>
      </c>
      <c r="C973" t="s">
        <v>38</v>
      </c>
      <c r="D973">
        <v>1</v>
      </c>
      <c r="E973" s="7">
        <v>172.5</v>
      </c>
      <c r="H973">
        <v>1274</v>
      </c>
      <c r="I973" t="s">
        <v>350</v>
      </c>
      <c r="J973" t="s">
        <v>3185</v>
      </c>
      <c r="K973" t="s">
        <v>3</v>
      </c>
      <c r="L973" s="2">
        <v>43252</v>
      </c>
      <c r="M973" s="2">
        <f>DOCXX[[#This Row],[INV DOC DATE]]+30</f>
        <v>43282</v>
      </c>
      <c r="N973" s="2">
        <v>43279</v>
      </c>
      <c r="O973" s="7">
        <v>172.5</v>
      </c>
      <c r="P973" s="2">
        <v>43290</v>
      </c>
      <c r="Q973" s="7">
        <f>$E973-$O973</f>
        <v>0</v>
      </c>
      <c r="R973" s="7" t="str">
        <f ca="1">IF(TODAY() - DOCXX[INV DUE DATE]&lt;30, "Less than 30 days",IF(TODAY()-DOCXX[INV DUE DATE]&lt;60,"30-60 days","More than 60 days"))</f>
        <v>Less than 30 days</v>
      </c>
      <c r="S973" t="s">
        <v>818</v>
      </c>
      <c r="T973" s="43" t="s">
        <v>2229</v>
      </c>
      <c r="U973" s="7" t="s">
        <v>3699</v>
      </c>
    </row>
    <row r="974" spans="1:21" x14ac:dyDescent="0.3">
      <c r="A974" s="14" t="s">
        <v>4132</v>
      </c>
      <c r="B974" t="s">
        <v>118</v>
      </c>
      <c r="C974" t="s">
        <v>39</v>
      </c>
      <c r="D974">
        <v>1</v>
      </c>
      <c r="E974" s="7">
        <v>172.5</v>
      </c>
      <c r="H974">
        <v>55601</v>
      </c>
      <c r="I974" t="s">
        <v>353</v>
      </c>
      <c r="J974" t="s">
        <v>3186</v>
      </c>
      <c r="K974" t="s">
        <v>3</v>
      </c>
      <c r="L974" s="2">
        <v>43252</v>
      </c>
      <c r="M974" s="2">
        <f>DOCXX[[#This Row],[INV DOC DATE]]+30</f>
        <v>43282</v>
      </c>
      <c r="N974" s="2">
        <v>43279</v>
      </c>
      <c r="O974" s="7">
        <v>172.5</v>
      </c>
      <c r="P974" s="2">
        <v>43290</v>
      </c>
      <c r="Q974" s="7">
        <f>$E974-$O974</f>
        <v>0</v>
      </c>
      <c r="R974" s="7" t="str">
        <f ca="1">IF(TODAY() - DOCXX[INV DUE DATE]&lt;30, "Less than 30 days",IF(TODAY()-DOCXX[INV DUE DATE]&lt;60,"30-60 days","More than 60 days"))</f>
        <v>Less than 30 days</v>
      </c>
      <c r="S974" t="s">
        <v>818</v>
      </c>
      <c r="T974" s="43" t="s">
        <v>2229</v>
      </c>
      <c r="U974" s="7" t="s">
        <v>3699</v>
      </c>
    </row>
    <row r="975" spans="1:21" x14ac:dyDescent="0.3">
      <c r="A975" s="14" t="s">
        <v>4132</v>
      </c>
      <c r="B975" t="s">
        <v>118</v>
      </c>
      <c r="C975" t="s">
        <v>40</v>
      </c>
      <c r="D975">
        <v>1</v>
      </c>
      <c r="E975" s="7">
        <v>172.5</v>
      </c>
      <c r="H975">
        <v>55601</v>
      </c>
      <c r="I975" t="s">
        <v>353</v>
      </c>
      <c r="J975" t="s">
        <v>3187</v>
      </c>
      <c r="K975" t="s">
        <v>3</v>
      </c>
      <c r="L975" s="2">
        <v>43252</v>
      </c>
      <c r="M975" s="2">
        <f>DOCXX[[#This Row],[INV DOC DATE]]+30</f>
        <v>43282</v>
      </c>
      <c r="N975" s="2">
        <v>43279</v>
      </c>
      <c r="O975" s="7">
        <v>172.5</v>
      </c>
      <c r="P975" s="2">
        <v>43290</v>
      </c>
      <c r="Q975" s="7">
        <f>$E975-$O975</f>
        <v>0</v>
      </c>
      <c r="R975" s="7" t="str">
        <f ca="1">IF(TODAY() - DOCXX[INV DUE DATE]&lt;30, "Less than 30 days",IF(TODAY()-DOCXX[INV DUE DATE]&lt;60,"30-60 days","More than 60 days"))</f>
        <v>Less than 30 days</v>
      </c>
      <c r="S975" t="s">
        <v>818</v>
      </c>
      <c r="T975" s="43" t="s">
        <v>2229</v>
      </c>
      <c r="U975" s="7" t="s">
        <v>3699</v>
      </c>
    </row>
    <row r="976" spans="1:21" x14ac:dyDescent="0.3">
      <c r="A976" s="14" t="s">
        <v>4132</v>
      </c>
      <c r="B976" t="s">
        <v>118</v>
      </c>
      <c r="C976" t="s">
        <v>41</v>
      </c>
      <c r="D976">
        <v>1</v>
      </c>
      <c r="E976" s="7">
        <v>172.5</v>
      </c>
      <c r="H976">
        <v>55601</v>
      </c>
      <c r="I976" t="s">
        <v>353</v>
      </c>
      <c r="J976" t="s">
        <v>3188</v>
      </c>
      <c r="K976" t="s">
        <v>3</v>
      </c>
      <c r="L976" s="2">
        <v>43252</v>
      </c>
      <c r="M976" s="2">
        <f>DOCXX[[#This Row],[INV DOC DATE]]+30</f>
        <v>43282</v>
      </c>
      <c r="N976" s="2">
        <v>43279</v>
      </c>
      <c r="O976" s="7">
        <v>172.5</v>
      </c>
      <c r="P976" s="2">
        <v>43290</v>
      </c>
      <c r="Q976" s="7">
        <f>$E976-$O976</f>
        <v>0</v>
      </c>
      <c r="R976" s="7" t="str">
        <f ca="1">IF(TODAY() - DOCXX[INV DUE DATE]&lt;30, "Less than 30 days",IF(TODAY()-DOCXX[INV DUE DATE]&lt;60,"30-60 days","More than 60 days"))</f>
        <v>Less than 30 days</v>
      </c>
      <c r="S976" t="s">
        <v>818</v>
      </c>
      <c r="T976" s="43" t="s">
        <v>2229</v>
      </c>
      <c r="U976" s="7" t="s">
        <v>3699</v>
      </c>
    </row>
    <row r="977" spans="1:21" x14ac:dyDescent="0.3">
      <c r="A977" s="14" t="s">
        <v>4132</v>
      </c>
      <c r="B977" t="s">
        <v>118</v>
      </c>
      <c r="C977" t="s">
        <v>42</v>
      </c>
      <c r="D977">
        <v>1</v>
      </c>
      <c r="E977" s="7">
        <v>225</v>
      </c>
      <c r="H977">
        <v>55601</v>
      </c>
      <c r="I977" t="s">
        <v>353</v>
      </c>
      <c r="J977" t="s">
        <v>3189</v>
      </c>
      <c r="K977" t="s">
        <v>3</v>
      </c>
      <c r="L977" s="2">
        <v>43252</v>
      </c>
      <c r="M977" s="2">
        <f>DOCXX[[#This Row],[INV DOC DATE]]+30</f>
        <v>43282</v>
      </c>
      <c r="N977" s="2">
        <v>43279</v>
      </c>
      <c r="O977" s="7">
        <v>225</v>
      </c>
      <c r="P977" s="2">
        <v>43290</v>
      </c>
      <c r="Q977" s="7">
        <f>$E977-$O977</f>
        <v>0</v>
      </c>
      <c r="R977" s="7" t="str">
        <f ca="1">IF(TODAY() - DOCXX[INV DUE DATE]&lt;30, "Less than 30 days",IF(TODAY()-DOCXX[INV DUE DATE]&lt;60,"30-60 days","More than 60 days"))</f>
        <v>Less than 30 days</v>
      </c>
      <c r="S977" t="s">
        <v>818</v>
      </c>
      <c r="T977" s="43" t="s">
        <v>2229</v>
      </c>
      <c r="U977" s="7" t="s">
        <v>3699</v>
      </c>
    </row>
    <row r="978" spans="1:21" x14ac:dyDescent="0.3">
      <c r="A978" s="14" t="s">
        <v>4132</v>
      </c>
      <c r="B978" t="s">
        <v>118</v>
      </c>
      <c r="C978" t="s">
        <v>43</v>
      </c>
      <c r="D978">
        <v>1</v>
      </c>
      <c r="E978" s="7">
        <v>225</v>
      </c>
      <c r="H978">
        <v>55601</v>
      </c>
      <c r="I978" t="s">
        <v>353</v>
      </c>
      <c r="J978" t="s">
        <v>3190</v>
      </c>
      <c r="K978" t="s">
        <v>3</v>
      </c>
      <c r="L978" s="2">
        <v>43252</v>
      </c>
      <c r="M978" s="2">
        <f>DOCXX[[#This Row],[INV DOC DATE]]+30</f>
        <v>43282</v>
      </c>
      <c r="N978" s="2">
        <v>43279</v>
      </c>
      <c r="O978" s="7">
        <v>225</v>
      </c>
      <c r="P978" s="2">
        <v>43290</v>
      </c>
      <c r="Q978" s="7">
        <f>$E978-$O978</f>
        <v>0</v>
      </c>
      <c r="R978" s="7" t="str">
        <f ca="1">IF(TODAY() - DOCXX[INV DUE DATE]&lt;30, "Less than 30 days",IF(TODAY()-DOCXX[INV DUE DATE]&lt;60,"30-60 days","More than 60 days"))</f>
        <v>Less than 30 days</v>
      </c>
      <c r="S978" t="s">
        <v>818</v>
      </c>
      <c r="T978" s="43" t="s">
        <v>2229</v>
      </c>
      <c r="U978" s="7" t="s">
        <v>3699</v>
      </c>
    </row>
    <row r="979" spans="1:21" x14ac:dyDescent="0.3">
      <c r="A979" s="14" t="s">
        <v>4132</v>
      </c>
      <c r="B979" t="s">
        <v>118</v>
      </c>
      <c r="C979" t="s">
        <v>44</v>
      </c>
      <c r="D979">
        <v>1</v>
      </c>
      <c r="E979" s="7">
        <v>225</v>
      </c>
      <c r="H979">
        <v>55601</v>
      </c>
      <c r="I979" t="s">
        <v>353</v>
      </c>
      <c r="J979" t="s">
        <v>3191</v>
      </c>
      <c r="K979" t="s">
        <v>3</v>
      </c>
      <c r="L979" s="2">
        <v>43252</v>
      </c>
      <c r="M979" s="2">
        <f>DOCXX[[#This Row],[INV DOC DATE]]+30</f>
        <v>43282</v>
      </c>
      <c r="N979" s="2">
        <v>43279</v>
      </c>
      <c r="O979" s="7">
        <v>225</v>
      </c>
      <c r="P979" s="2">
        <v>43290</v>
      </c>
      <c r="Q979" s="7">
        <f>$E979-$O979</f>
        <v>0</v>
      </c>
      <c r="R979" s="7" t="str">
        <f ca="1">IF(TODAY() - DOCXX[INV DUE DATE]&lt;30, "Less than 30 days",IF(TODAY()-DOCXX[INV DUE DATE]&lt;60,"30-60 days","More than 60 days"))</f>
        <v>Less than 30 days</v>
      </c>
      <c r="S979" t="s">
        <v>818</v>
      </c>
      <c r="T979" s="43" t="s">
        <v>2229</v>
      </c>
      <c r="U979" s="7" t="s">
        <v>3699</v>
      </c>
    </row>
    <row r="980" spans="1:21" x14ac:dyDescent="0.3">
      <c r="A980" s="14" t="s">
        <v>4132</v>
      </c>
      <c r="B980" t="s">
        <v>118</v>
      </c>
      <c r="C980" t="s">
        <v>45</v>
      </c>
      <c r="D980">
        <v>1</v>
      </c>
      <c r="E980" s="7">
        <v>225</v>
      </c>
      <c r="H980">
        <v>55601</v>
      </c>
      <c r="I980" t="s">
        <v>353</v>
      </c>
      <c r="J980" t="s">
        <v>3192</v>
      </c>
      <c r="K980" t="s">
        <v>3</v>
      </c>
      <c r="L980" s="2">
        <v>43252</v>
      </c>
      <c r="M980" s="2">
        <f>DOCXX[[#This Row],[INV DOC DATE]]+30</f>
        <v>43282</v>
      </c>
      <c r="N980" s="2">
        <v>43279</v>
      </c>
      <c r="O980" s="7">
        <v>225</v>
      </c>
      <c r="P980" s="2">
        <v>43290</v>
      </c>
      <c r="Q980" s="7">
        <f>$E980-$O980</f>
        <v>0</v>
      </c>
      <c r="R980" s="7" t="str">
        <f ca="1">IF(TODAY() - DOCXX[INV DUE DATE]&lt;30, "Less than 30 days",IF(TODAY()-DOCXX[INV DUE DATE]&lt;60,"30-60 days","More than 60 days"))</f>
        <v>Less than 30 days</v>
      </c>
      <c r="S980" t="s">
        <v>818</v>
      </c>
      <c r="T980" s="43" t="s">
        <v>2229</v>
      </c>
      <c r="U980" s="7" t="s">
        <v>3699</v>
      </c>
    </row>
    <row r="981" spans="1:21" x14ac:dyDescent="0.3">
      <c r="A981" s="14" t="s">
        <v>4132</v>
      </c>
      <c r="B981" t="s">
        <v>118</v>
      </c>
      <c r="C981" t="s">
        <v>46</v>
      </c>
      <c r="D981">
        <v>1</v>
      </c>
      <c r="E981" s="7">
        <v>225</v>
      </c>
      <c r="H981">
        <v>55601</v>
      </c>
      <c r="I981" t="s">
        <v>353</v>
      </c>
      <c r="J981" t="s">
        <v>3193</v>
      </c>
      <c r="K981" t="s">
        <v>3</v>
      </c>
      <c r="L981" s="2">
        <v>43252</v>
      </c>
      <c r="M981" s="2">
        <f>DOCXX[[#This Row],[INV DOC DATE]]+30</f>
        <v>43282</v>
      </c>
      <c r="N981" s="2">
        <v>43279</v>
      </c>
      <c r="O981" s="7">
        <v>225</v>
      </c>
      <c r="P981" s="2">
        <v>43290</v>
      </c>
      <c r="Q981" s="7">
        <f>$E981-$O981</f>
        <v>0</v>
      </c>
      <c r="R981" s="7" t="str">
        <f ca="1">IF(TODAY() - DOCXX[INV DUE DATE]&lt;30, "Less than 30 days",IF(TODAY()-DOCXX[INV DUE DATE]&lt;60,"30-60 days","More than 60 days"))</f>
        <v>Less than 30 days</v>
      </c>
      <c r="S981" t="s">
        <v>818</v>
      </c>
      <c r="T981" s="43" t="s">
        <v>2229</v>
      </c>
      <c r="U981" s="7" t="s">
        <v>3699</v>
      </c>
    </row>
    <row r="982" spans="1:21" x14ac:dyDescent="0.3">
      <c r="A982" s="14" t="s">
        <v>4132</v>
      </c>
      <c r="B982" t="s">
        <v>118</v>
      </c>
      <c r="C982" t="s">
        <v>47</v>
      </c>
      <c r="D982">
        <v>1</v>
      </c>
      <c r="E982" s="7">
        <v>225</v>
      </c>
      <c r="H982">
        <v>55601</v>
      </c>
      <c r="I982" t="s">
        <v>353</v>
      </c>
      <c r="J982" t="s">
        <v>3194</v>
      </c>
      <c r="K982" t="s">
        <v>3</v>
      </c>
      <c r="L982" s="2">
        <v>43252</v>
      </c>
      <c r="M982" s="2">
        <f>DOCXX[[#This Row],[INV DOC DATE]]+30</f>
        <v>43282</v>
      </c>
      <c r="N982" s="2">
        <v>43279</v>
      </c>
      <c r="O982" s="7">
        <v>225</v>
      </c>
      <c r="P982" s="2">
        <v>43290</v>
      </c>
      <c r="Q982" s="7">
        <f>$E982-$O982</f>
        <v>0</v>
      </c>
      <c r="R982" s="7" t="str">
        <f ca="1">IF(TODAY() - DOCXX[INV DUE DATE]&lt;30, "Less than 30 days",IF(TODAY()-DOCXX[INV DUE DATE]&lt;60,"30-60 days","More than 60 days"))</f>
        <v>Less than 30 days</v>
      </c>
      <c r="S982" t="s">
        <v>818</v>
      </c>
      <c r="T982" s="43" t="s">
        <v>2229</v>
      </c>
      <c r="U982" s="7" t="s">
        <v>3699</v>
      </c>
    </row>
    <row r="983" spans="1:21" x14ac:dyDescent="0.3">
      <c r="A983" s="14" t="s">
        <v>4132</v>
      </c>
      <c r="B983" t="s">
        <v>118</v>
      </c>
      <c r="C983" t="s">
        <v>295</v>
      </c>
      <c r="D983">
        <v>1</v>
      </c>
      <c r="E983" s="7">
        <v>225</v>
      </c>
      <c r="H983">
        <v>55601</v>
      </c>
      <c r="I983" t="s">
        <v>353</v>
      </c>
      <c r="J983" t="s">
        <v>3195</v>
      </c>
      <c r="K983" t="s">
        <v>3</v>
      </c>
      <c r="L983" s="2">
        <v>43252</v>
      </c>
      <c r="M983" s="2">
        <f>DOCXX[[#This Row],[INV DOC DATE]]+30</f>
        <v>43282</v>
      </c>
      <c r="N983" s="2">
        <v>43279</v>
      </c>
      <c r="O983" s="7">
        <v>225</v>
      </c>
      <c r="P983" s="2">
        <v>43290</v>
      </c>
      <c r="Q983" s="7">
        <f>$E983-$O983</f>
        <v>0</v>
      </c>
      <c r="R983" s="7" t="str">
        <f ca="1">IF(TODAY() - DOCXX[INV DUE DATE]&lt;30, "Less than 30 days",IF(TODAY()-DOCXX[INV DUE DATE]&lt;60,"30-60 days","More than 60 days"))</f>
        <v>Less than 30 days</v>
      </c>
      <c r="S983" t="s">
        <v>818</v>
      </c>
      <c r="T983" s="43" t="s">
        <v>2229</v>
      </c>
      <c r="U983" s="7" t="s">
        <v>3699</v>
      </c>
    </row>
    <row r="984" spans="1:21" x14ac:dyDescent="0.3">
      <c r="A984" s="14" t="s">
        <v>4132</v>
      </c>
      <c r="B984" t="s">
        <v>118</v>
      </c>
      <c r="C984" t="s">
        <v>48</v>
      </c>
      <c r="D984">
        <v>1</v>
      </c>
      <c r="E984" s="7">
        <v>225</v>
      </c>
      <c r="H984">
        <v>55601</v>
      </c>
      <c r="I984" t="s">
        <v>353</v>
      </c>
      <c r="J984" t="s">
        <v>3196</v>
      </c>
      <c r="K984" t="s">
        <v>3</v>
      </c>
      <c r="L984" s="2">
        <v>43252</v>
      </c>
      <c r="M984" s="2">
        <f>DOCXX[[#This Row],[INV DOC DATE]]+30</f>
        <v>43282</v>
      </c>
      <c r="N984" s="2">
        <v>43279</v>
      </c>
      <c r="O984" s="7">
        <v>225</v>
      </c>
      <c r="P984" s="2">
        <v>43290</v>
      </c>
      <c r="Q984" s="7">
        <f>$E984-$O984</f>
        <v>0</v>
      </c>
      <c r="R984" s="7" t="str">
        <f ca="1">IF(TODAY() - DOCXX[INV DUE DATE]&lt;30, "Less than 30 days",IF(TODAY()-DOCXX[INV DUE DATE]&lt;60,"30-60 days","More than 60 days"))</f>
        <v>Less than 30 days</v>
      </c>
      <c r="S984" t="s">
        <v>818</v>
      </c>
      <c r="T984" s="43" t="s">
        <v>2229</v>
      </c>
      <c r="U984" s="7" t="s">
        <v>3699</v>
      </c>
    </row>
    <row r="985" spans="1:21" x14ac:dyDescent="0.3">
      <c r="A985" s="14" t="s">
        <v>4132</v>
      </c>
      <c r="B985" t="s">
        <v>118</v>
      </c>
      <c r="C985" t="s">
        <v>49</v>
      </c>
      <c r="D985">
        <v>1</v>
      </c>
      <c r="E985" s="7">
        <v>225</v>
      </c>
      <c r="H985">
        <v>55601</v>
      </c>
      <c r="I985" t="s">
        <v>353</v>
      </c>
      <c r="J985" t="s">
        <v>3197</v>
      </c>
      <c r="K985" t="s">
        <v>3</v>
      </c>
      <c r="L985" s="2">
        <v>43252</v>
      </c>
      <c r="M985" s="2">
        <f>DOCXX[[#This Row],[INV DOC DATE]]+30</f>
        <v>43282</v>
      </c>
      <c r="N985" s="2">
        <v>43279</v>
      </c>
      <c r="O985" s="7">
        <v>225</v>
      </c>
      <c r="P985" s="2">
        <v>43290</v>
      </c>
      <c r="Q985" s="7">
        <f>$E985-$O985</f>
        <v>0</v>
      </c>
      <c r="R985" s="7" t="str">
        <f ca="1">IF(TODAY() - DOCXX[INV DUE DATE]&lt;30, "Less than 30 days",IF(TODAY()-DOCXX[INV DUE DATE]&lt;60,"30-60 days","More than 60 days"))</f>
        <v>Less than 30 days</v>
      </c>
      <c r="S985" t="s">
        <v>818</v>
      </c>
      <c r="T985" s="43" t="s">
        <v>2229</v>
      </c>
      <c r="U985" s="7" t="s">
        <v>3699</v>
      </c>
    </row>
    <row r="986" spans="1:21" x14ac:dyDescent="0.3">
      <c r="A986" s="14" t="s">
        <v>4132</v>
      </c>
      <c r="B986" t="s">
        <v>118</v>
      </c>
      <c r="C986" t="s">
        <v>50</v>
      </c>
      <c r="D986">
        <v>1</v>
      </c>
      <c r="E986" s="7">
        <v>225</v>
      </c>
      <c r="H986">
        <v>55601</v>
      </c>
      <c r="I986" t="s">
        <v>353</v>
      </c>
      <c r="J986" t="s">
        <v>3198</v>
      </c>
      <c r="K986" t="s">
        <v>3</v>
      </c>
      <c r="L986" s="2">
        <v>43252</v>
      </c>
      <c r="M986" s="2">
        <f>DOCXX[[#This Row],[INV DOC DATE]]+30</f>
        <v>43282</v>
      </c>
      <c r="N986" s="2">
        <v>43279</v>
      </c>
      <c r="O986" s="7">
        <v>225</v>
      </c>
      <c r="P986" s="2">
        <v>43290</v>
      </c>
      <c r="Q986" s="7">
        <f>$E986-$O986</f>
        <v>0</v>
      </c>
      <c r="R986" s="7" t="str">
        <f ca="1">IF(TODAY() - DOCXX[INV DUE DATE]&lt;30, "Less than 30 days",IF(TODAY()-DOCXX[INV DUE DATE]&lt;60,"30-60 days","More than 60 days"))</f>
        <v>Less than 30 days</v>
      </c>
      <c r="S986" t="s">
        <v>818</v>
      </c>
      <c r="T986" s="43" t="s">
        <v>2229</v>
      </c>
      <c r="U986" s="7" t="s">
        <v>3699</v>
      </c>
    </row>
    <row r="987" spans="1:21" x14ac:dyDescent="0.3">
      <c r="A987" s="14" t="s">
        <v>4132</v>
      </c>
      <c r="B987" t="s">
        <v>118</v>
      </c>
      <c r="C987" t="s">
        <v>51</v>
      </c>
      <c r="D987">
        <v>1</v>
      </c>
      <c r="E987" s="7">
        <v>225</v>
      </c>
      <c r="H987">
        <v>55601</v>
      </c>
      <c r="I987" t="s">
        <v>353</v>
      </c>
      <c r="J987" t="s">
        <v>3199</v>
      </c>
      <c r="K987" t="s">
        <v>3</v>
      </c>
      <c r="L987" s="2">
        <v>43252</v>
      </c>
      <c r="M987" s="2">
        <f>DOCXX[[#This Row],[INV DOC DATE]]+30</f>
        <v>43282</v>
      </c>
      <c r="N987" s="2">
        <v>43279</v>
      </c>
      <c r="O987" s="7">
        <v>225</v>
      </c>
      <c r="P987" s="2">
        <v>43290</v>
      </c>
      <c r="Q987" s="7">
        <f>$E987-$O987</f>
        <v>0</v>
      </c>
      <c r="R987" s="7" t="str">
        <f ca="1">IF(TODAY() - DOCXX[INV DUE DATE]&lt;30, "Less than 30 days",IF(TODAY()-DOCXX[INV DUE DATE]&lt;60,"30-60 days","More than 60 days"))</f>
        <v>Less than 30 days</v>
      </c>
      <c r="S987" t="s">
        <v>818</v>
      </c>
      <c r="T987" s="43" t="s">
        <v>2229</v>
      </c>
      <c r="U987" s="7" t="s">
        <v>3699</v>
      </c>
    </row>
    <row r="988" spans="1:21" x14ac:dyDescent="0.3">
      <c r="A988" s="14" t="s">
        <v>4132</v>
      </c>
      <c r="B988" t="s">
        <v>118</v>
      </c>
      <c r="C988" t="s">
        <v>52</v>
      </c>
      <c r="D988">
        <v>1</v>
      </c>
      <c r="E988" s="7">
        <v>225</v>
      </c>
      <c r="H988">
        <v>55601</v>
      </c>
      <c r="I988" t="s">
        <v>353</v>
      </c>
      <c r="J988" t="s">
        <v>3200</v>
      </c>
      <c r="K988" t="s">
        <v>3</v>
      </c>
      <c r="L988" s="2">
        <v>43252</v>
      </c>
      <c r="M988" s="2">
        <f>DOCXX[[#This Row],[INV DOC DATE]]+30</f>
        <v>43282</v>
      </c>
      <c r="N988" s="2">
        <v>43279</v>
      </c>
      <c r="O988" s="7">
        <v>225</v>
      </c>
      <c r="P988" s="2">
        <v>43290</v>
      </c>
      <c r="Q988" s="7">
        <f>$E988-$O988</f>
        <v>0</v>
      </c>
      <c r="R988" s="7" t="str">
        <f ca="1">IF(TODAY() - DOCXX[INV DUE DATE]&lt;30, "Less than 30 days",IF(TODAY()-DOCXX[INV DUE DATE]&lt;60,"30-60 days","More than 60 days"))</f>
        <v>Less than 30 days</v>
      </c>
      <c r="S988" t="s">
        <v>818</v>
      </c>
      <c r="T988" s="43" t="s">
        <v>2229</v>
      </c>
      <c r="U988" s="7" t="s">
        <v>3699</v>
      </c>
    </row>
    <row r="989" spans="1:21" x14ac:dyDescent="0.3">
      <c r="A989" s="14" t="s">
        <v>4132</v>
      </c>
      <c r="B989" t="s">
        <v>118</v>
      </c>
      <c r="C989" t="s">
        <v>53</v>
      </c>
      <c r="D989">
        <v>1</v>
      </c>
      <c r="E989" s="7">
        <v>225</v>
      </c>
      <c r="H989">
        <v>55601</v>
      </c>
      <c r="I989" t="s">
        <v>353</v>
      </c>
      <c r="J989" t="s">
        <v>3201</v>
      </c>
      <c r="K989" t="s">
        <v>3</v>
      </c>
      <c r="L989" s="2">
        <v>43252</v>
      </c>
      <c r="M989" s="2">
        <f>DOCXX[[#This Row],[INV DOC DATE]]+30</f>
        <v>43282</v>
      </c>
      <c r="N989" s="2">
        <v>43279</v>
      </c>
      <c r="O989" s="7">
        <v>225</v>
      </c>
      <c r="P989" s="2">
        <v>43290</v>
      </c>
      <c r="Q989" s="7">
        <f>$E989-$O989</f>
        <v>0</v>
      </c>
      <c r="R989" s="7" t="str">
        <f ca="1">IF(TODAY() - DOCXX[INV DUE DATE]&lt;30, "Less than 30 days",IF(TODAY()-DOCXX[INV DUE DATE]&lt;60,"30-60 days","More than 60 days"))</f>
        <v>Less than 30 days</v>
      </c>
      <c r="S989" t="s">
        <v>818</v>
      </c>
      <c r="T989" s="43" t="s">
        <v>2229</v>
      </c>
      <c r="U989" s="7" t="s">
        <v>3699</v>
      </c>
    </row>
    <row r="990" spans="1:21" x14ac:dyDescent="0.3">
      <c r="A990" s="14" t="s">
        <v>4132</v>
      </c>
      <c r="B990" t="s">
        <v>118</v>
      </c>
      <c r="C990" t="s">
        <v>54</v>
      </c>
      <c r="D990">
        <v>1</v>
      </c>
      <c r="E990" s="7">
        <v>225</v>
      </c>
      <c r="H990">
        <v>55601</v>
      </c>
      <c r="I990" t="s">
        <v>353</v>
      </c>
      <c r="J990" t="s">
        <v>3202</v>
      </c>
      <c r="K990" t="s">
        <v>3</v>
      </c>
      <c r="L990" s="2">
        <v>43252</v>
      </c>
      <c r="M990" s="2">
        <f>DOCXX[[#This Row],[INV DOC DATE]]+30</f>
        <v>43282</v>
      </c>
      <c r="N990" s="2">
        <v>43279</v>
      </c>
      <c r="O990" s="7">
        <v>225</v>
      </c>
      <c r="P990" s="2">
        <v>43290</v>
      </c>
      <c r="Q990" s="7">
        <f>$E990-$O990</f>
        <v>0</v>
      </c>
      <c r="R990" s="7" t="str">
        <f ca="1">IF(TODAY() - DOCXX[INV DUE DATE]&lt;30, "Less than 30 days",IF(TODAY()-DOCXX[INV DUE DATE]&lt;60,"30-60 days","More than 60 days"))</f>
        <v>Less than 30 days</v>
      </c>
      <c r="S990" t="s">
        <v>818</v>
      </c>
      <c r="T990" s="43" t="s">
        <v>2229</v>
      </c>
      <c r="U990" s="7" t="s">
        <v>3699</v>
      </c>
    </row>
    <row r="991" spans="1:21" x14ac:dyDescent="0.3">
      <c r="A991" s="14" t="s">
        <v>4132</v>
      </c>
      <c r="B991" t="s">
        <v>118</v>
      </c>
      <c r="C991" t="s">
        <v>55</v>
      </c>
      <c r="D991">
        <v>1</v>
      </c>
      <c r="E991" s="7">
        <v>225</v>
      </c>
      <c r="H991">
        <v>55601</v>
      </c>
      <c r="I991" t="s">
        <v>353</v>
      </c>
      <c r="J991" t="s">
        <v>3203</v>
      </c>
      <c r="K991" t="s">
        <v>3</v>
      </c>
      <c r="L991" s="2">
        <v>43252</v>
      </c>
      <c r="M991" s="2">
        <f>DOCXX[[#This Row],[INV DOC DATE]]+30</f>
        <v>43282</v>
      </c>
      <c r="N991" s="2">
        <v>43279</v>
      </c>
      <c r="O991" s="7">
        <v>225</v>
      </c>
      <c r="P991" s="2">
        <v>43290</v>
      </c>
      <c r="Q991" s="7">
        <f>$E991-$O991</f>
        <v>0</v>
      </c>
      <c r="R991" s="7" t="str">
        <f ca="1">IF(TODAY() - DOCXX[INV DUE DATE]&lt;30, "Less than 30 days",IF(TODAY()-DOCXX[INV DUE DATE]&lt;60,"30-60 days","More than 60 days"))</f>
        <v>Less than 30 days</v>
      </c>
      <c r="S991" t="s">
        <v>818</v>
      </c>
      <c r="T991" s="43" t="s">
        <v>2229</v>
      </c>
      <c r="U991" s="7" t="s">
        <v>3699</v>
      </c>
    </row>
    <row r="992" spans="1:21" x14ac:dyDescent="0.3">
      <c r="A992" s="14" t="s">
        <v>4132</v>
      </c>
      <c r="B992" t="s">
        <v>118</v>
      </c>
      <c r="C992" t="s">
        <v>56</v>
      </c>
      <c r="D992">
        <v>1</v>
      </c>
      <c r="E992" s="7">
        <v>225</v>
      </c>
      <c r="H992">
        <v>55601</v>
      </c>
      <c r="I992" t="s">
        <v>353</v>
      </c>
      <c r="J992" t="s">
        <v>3204</v>
      </c>
      <c r="K992" t="s">
        <v>3</v>
      </c>
      <c r="L992" s="2">
        <v>43252</v>
      </c>
      <c r="M992" s="2">
        <f>DOCXX[[#This Row],[INV DOC DATE]]+30</f>
        <v>43282</v>
      </c>
      <c r="N992" s="2">
        <v>43279</v>
      </c>
      <c r="O992" s="7">
        <v>225</v>
      </c>
      <c r="P992" s="2">
        <v>43290</v>
      </c>
      <c r="Q992" s="7">
        <f>$E992-$O992</f>
        <v>0</v>
      </c>
      <c r="R992" s="7" t="str">
        <f ca="1">IF(TODAY() - DOCXX[INV DUE DATE]&lt;30, "Less than 30 days",IF(TODAY()-DOCXX[INV DUE DATE]&lt;60,"30-60 days","More than 60 days"))</f>
        <v>Less than 30 days</v>
      </c>
      <c r="S992" t="s">
        <v>818</v>
      </c>
      <c r="T992" s="43" t="s">
        <v>2229</v>
      </c>
      <c r="U992" s="7" t="s">
        <v>3699</v>
      </c>
    </row>
    <row r="993" spans="1:21" x14ac:dyDescent="0.3">
      <c r="A993" s="14" t="s">
        <v>4132</v>
      </c>
      <c r="B993" t="s">
        <v>118</v>
      </c>
      <c r="C993" t="s">
        <v>57</v>
      </c>
      <c r="D993">
        <v>1</v>
      </c>
      <c r="E993" s="7">
        <v>225</v>
      </c>
      <c r="H993">
        <v>55601</v>
      </c>
      <c r="I993" t="s">
        <v>353</v>
      </c>
      <c r="J993" t="s">
        <v>3205</v>
      </c>
      <c r="K993" t="s">
        <v>3</v>
      </c>
      <c r="L993" s="2">
        <v>43252</v>
      </c>
      <c r="M993" s="2">
        <f>DOCXX[[#This Row],[INV DOC DATE]]+30</f>
        <v>43282</v>
      </c>
      <c r="N993" s="2">
        <v>43279</v>
      </c>
      <c r="O993" s="7">
        <v>225</v>
      </c>
      <c r="P993" s="2">
        <v>43290</v>
      </c>
      <c r="Q993" s="7">
        <f>$E993-$O993</f>
        <v>0</v>
      </c>
      <c r="R993" s="7" t="str">
        <f ca="1">IF(TODAY() - DOCXX[INV DUE DATE]&lt;30, "Less than 30 days",IF(TODAY()-DOCXX[INV DUE DATE]&lt;60,"30-60 days","More than 60 days"))</f>
        <v>Less than 30 days</v>
      </c>
      <c r="S993" t="s">
        <v>818</v>
      </c>
      <c r="T993" s="43" t="s">
        <v>2229</v>
      </c>
      <c r="U993" s="7" t="s">
        <v>3699</v>
      </c>
    </row>
    <row r="994" spans="1:21" x14ac:dyDescent="0.3">
      <c r="A994" s="14" t="s">
        <v>4132</v>
      </c>
      <c r="B994" t="s">
        <v>118</v>
      </c>
      <c r="C994" t="s">
        <v>58</v>
      </c>
      <c r="D994">
        <v>1</v>
      </c>
      <c r="E994" s="7">
        <v>225</v>
      </c>
      <c r="H994">
        <v>55601</v>
      </c>
      <c r="I994" t="s">
        <v>353</v>
      </c>
      <c r="J994" t="s">
        <v>3206</v>
      </c>
      <c r="K994" t="s">
        <v>3</v>
      </c>
      <c r="L994" s="2">
        <v>43252</v>
      </c>
      <c r="M994" s="2">
        <f>DOCXX[[#This Row],[INV DOC DATE]]+30</f>
        <v>43282</v>
      </c>
      <c r="N994" s="2">
        <v>43279</v>
      </c>
      <c r="O994" s="7">
        <v>225</v>
      </c>
      <c r="P994" s="2">
        <v>43290</v>
      </c>
      <c r="Q994" s="7">
        <f>$E994-$O994</f>
        <v>0</v>
      </c>
      <c r="R994" s="7" t="str">
        <f ca="1">IF(TODAY() - DOCXX[INV DUE DATE]&lt;30, "Less than 30 days",IF(TODAY()-DOCXX[INV DUE DATE]&lt;60,"30-60 days","More than 60 days"))</f>
        <v>Less than 30 days</v>
      </c>
      <c r="S994" t="s">
        <v>818</v>
      </c>
      <c r="T994" s="43" t="s">
        <v>2229</v>
      </c>
      <c r="U994" s="7" t="s">
        <v>3699</v>
      </c>
    </row>
    <row r="995" spans="1:21" x14ac:dyDescent="0.3">
      <c r="A995" s="14" t="s">
        <v>4132</v>
      </c>
      <c r="B995" t="s">
        <v>118</v>
      </c>
      <c r="C995" t="s">
        <v>59</v>
      </c>
      <c r="D995">
        <v>1</v>
      </c>
      <c r="E995" s="7">
        <v>225</v>
      </c>
      <c r="H995">
        <v>55601</v>
      </c>
      <c r="I995" t="s">
        <v>353</v>
      </c>
      <c r="J995" t="s">
        <v>3207</v>
      </c>
      <c r="K995" t="s">
        <v>3</v>
      </c>
      <c r="L995" s="2">
        <v>43252</v>
      </c>
      <c r="M995" s="2">
        <f>DOCXX[[#This Row],[INV DOC DATE]]+30</f>
        <v>43282</v>
      </c>
      <c r="N995" s="2">
        <v>43279</v>
      </c>
      <c r="O995" s="7">
        <v>225</v>
      </c>
      <c r="P995" s="2">
        <v>43290</v>
      </c>
      <c r="Q995" s="7">
        <f>$E995-$O995</f>
        <v>0</v>
      </c>
      <c r="R995" s="7" t="str">
        <f ca="1">IF(TODAY() - DOCXX[INV DUE DATE]&lt;30, "Less than 30 days",IF(TODAY()-DOCXX[INV DUE DATE]&lt;60,"30-60 days","More than 60 days"))</f>
        <v>Less than 30 days</v>
      </c>
      <c r="S995" t="s">
        <v>818</v>
      </c>
      <c r="T995" s="43" t="s">
        <v>2229</v>
      </c>
      <c r="U995" s="7" t="s">
        <v>3699</v>
      </c>
    </row>
    <row r="996" spans="1:21" x14ac:dyDescent="0.3">
      <c r="A996" s="14" t="s">
        <v>4132</v>
      </c>
      <c r="B996" t="s">
        <v>118</v>
      </c>
      <c r="C996" t="s">
        <v>60</v>
      </c>
      <c r="D996">
        <v>1</v>
      </c>
      <c r="E996" s="7">
        <v>225</v>
      </c>
      <c r="H996">
        <v>55601</v>
      </c>
      <c r="I996" t="s">
        <v>353</v>
      </c>
      <c r="J996" t="s">
        <v>3208</v>
      </c>
      <c r="K996" t="s">
        <v>3</v>
      </c>
      <c r="L996" s="2">
        <v>43252</v>
      </c>
      <c r="M996" s="2">
        <f>DOCXX[[#This Row],[INV DOC DATE]]+30</f>
        <v>43282</v>
      </c>
      <c r="N996" s="2">
        <v>43279</v>
      </c>
      <c r="O996" s="7">
        <v>225</v>
      </c>
      <c r="P996" s="2">
        <v>43290</v>
      </c>
      <c r="Q996" s="7">
        <f>$E996-$O996</f>
        <v>0</v>
      </c>
      <c r="R996" s="7" t="str">
        <f ca="1">IF(TODAY() - DOCXX[INV DUE DATE]&lt;30, "Less than 30 days",IF(TODAY()-DOCXX[INV DUE DATE]&lt;60,"30-60 days","More than 60 days"))</f>
        <v>Less than 30 days</v>
      </c>
      <c r="S996" t="s">
        <v>818</v>
      </c>
      <c r="T996" s="43" t="s">
        <v>2229</v>
      </c>
      <c r="U996" s="7" t="s">
        <v>3699</v>
      </c>
    </row>
    <row r="997" spans="1:21" x14ac:dyDescent="0.3">
      <c r="A997" s="14" t="s">
        <v>4132</v>
      </c>
      <c r="B997" t="s">
        <v>118</v>
      </c>
      <c r="C997" t="s">
        <v>61</v>
      </c>
      <c r="D997">
        <v>1</v>
      </c>
      <c r="E997" s="7">
        <v>225</v>
      </c>
      <c r="H997">
        <v>55601</v>
      </c>
      <c r="I997" t="s">
        <v>353</v>
      </c>
      <c r="J997" t="s">
        <v>3209</v>
      </c>
      <c r="K997" t="s">
        <v>3</v>
      </c>
      <c r="L997" s="2">
        <v>43252</v>
      </c>
      <c r="M997" s="2">
        <f>DOCXX[[#This Row],[INV DOC DATE]]+30</f>
        <v>43282</v>
      </c>
      <c r="N997" s="2">
        <v>43279</v>
      </c>
      <c r="O997" s="7">
        <v>225</v>
      </c>
      <c r="P997" s="2">
        <v>43290</v>
      </c>
      <c r="Q997" s="7">
        <f>$E997-$O997</f>
        <v>0</v>
      </c>
      <c r="R997" s="7" t="str">
        <f ca="1">IF(TODAY() - DOCXX[INV DUE DATE]&lt;30, "Less than 30 days",IF(TODAY()-DOCXX[INV DUE DATE]&lt;60,"30-60 days","More than 60 days"))</f>
        <v>Less than 30 days</v>
      </c>
      <c r="S997" t="s">
        <v>818</v>
      </c>
      <c r="T997" s="43" t="s">
        <v>2229</v>
      </c>
      <c r="U997" s="7" t="s">
        <v>3699</v>
      </c>
    </row>
    <row r="998" spans="1:21" x14ac:dyDescent="0.3">
      <c r="A998" s="14" t="s">
        <v>4132</v>
      </c>
      <c r="B998" t="s">
        <v>118</v>
      </c>
      <c r="C998" t="s">
        <v>62</v>
      </c>
      <c r="D998">
        <v>1</v>
      </c>
      <c r="E998" s="7">
        <v>225</v>
      </c>
      <c r="H998">
        <v>55601</v>
      </c>
      <c r="I998" t="s">
        <v>353</v>
      </c>
      <c r="J998" t="s">
        <v>3210</v>
      </c>
      <c r="K998" t="s">
        <v>3</v>
      </c>
      <c r="L998" s="2">
        <v>43252</v>
      </c>
      <c r="M998" s="2">
        <f>DOCXX[[#This Row],[INV DOC DATE]]+30</f>
        <v>43282</v>
      </c>
      <c r="N998" s="2">
        <v>43279</v>
      </c>
      <c r="O998" s="7">
        <v>225</v>
      </c>
      <c r="P998" s="2">
        <v>43290</v>
      </c>
      <c r="Q998" s="7">
        <f>$E998-$O998</f>
        <v>0</v>
      </c>
      <c r="R998" s="7" t="str">
        <f ca="1">IF(TODAY() - DOCXX[INV DUE DATE]&lt;30, "Less than 30 days",IF(TODAY()-DOCXX[INV DUE DATE]&lt;60,"30-60 days","More than 60 days"))</f>
        <v>Less than 30 days</v>
      </c>
      <c r="S998" t="s">
        <v>818</v>
      </c>
      <c r="T998" s="43" t="s">
        <v>2229</v>
      </c>
      <c r="U998" s="7" t="s">
        <v>3699</v>
      </c>
    </row>
    <row r="999" spans="1:21" x14ac:dyDescent="0.3">
      <c r="A999" s="14" t="s">
        <v>4132</v>
      </c>
      <c r="B999" t="s">
        <v>118</v>
      </c>
      <c r="C999" t="s">
        <v>63</v>
      </c>
      <c r="D999">
        <v>1</v>
      </c>
      <c r="E999" s="7">
        <v>225</v>
      </c>
      <c r="H999">
        <v>55601</v>
      </c>
      <c r="I999" t="s">
        <v>353</v>
      </c>
      <c r="J999" t="s">
        <v>3211</v>
      </c>
      <c r="K999" t="s">
        <v>3</v>
      </c>
      <c r="L999" s="2">
        <v>43252</v>
      </c>
      <c r="M999" s="2">
        <f>DOCXX[[#This Row],[INV DOC DATE]]+30</f>
        <v>43282</v>
      </c>
      <c r="N999" s="2">
        <v>43279</v>
      </c>
      <c r="O999" s="7">
        <v>225</v>
      </c>
      <c r="P999" s="2">
        <v>43290</v>
      </c>
      <c r="Q999" s="7">
        <f>$E999-$O999</f>
        <v>0</v>
      </c>
      <c r="R999" s="7" t="str">
        <f ca="1">IF(TODAY() - DOCXX[INV DUE DATE]&lt;30, "Less than 30 days",IF(TODAY()-DOCXX[INV DUE DATE]&lt;60,"30-60 days","More than 60 days"))</f>
        <v>Less than 30 days</v>
      </c>
      <c r="S999" t="s">
        <v>818</v>
      </c>
      <c r="T999" s="43" t="s">
        <v>2229</v>
      </c>
      <c r="U999" s="7" t="s">
        <v>3699</v>
      </c>
    </row>
    <row r="1000" spans="1:21" x14ac:dyDescent="0.3">
      <c r="A1000" s="14" t="s">
        <v>4132</v>
      </c>
      <c r="B1000" t="s">
        <v>118</v>
      </c>
      <c r="C1000" t="s">
        <v>64</v>
      </c>
      <c r="D1000">
        <v>1</v>
      </c>
      <c r="E1000" s="7">
        <v>225</v>
      </c>
      <c r="H1000">
        <v>55601</v>
      </c>
      <c r="I1000" t="s">
        <v>353</v>
      </c>
      <c r="J1000" t="s">
        <v>3212</v>
      </c>
      <c r="K1000" t="s">
        <v>3</v>
      </c>
      <c r="L1000" s="2">
        <v>43252</v>
      </c>
      <c r="M1000" s="2">
        <f>DOCXX[[#This Row],[INV DOC DATE]]+30</f>
        <v>43282</v>
      </c>
      <c r="N1000" s="2">
        <v>43279</v>
      </c>
      <c r="O1000" s="7">
        <v>225</v>
      </c>
      <c r="P1000" s="2">
        <v>43290</v>
      </c>
      <c r="Q1000" s="7">
        <f>$E1000-$O1000</f>
        <v>0</v>
      </c>
      <c r="R1000" s="7" t="str">
        <f ca="1">IF(TODAY() - DOCXX[INV DUE DATE]&lt;30, "Less than 30 days",IF(TODAY()-DOCXX[INV DUE DATE]&lt;60,"30-60 days","More than 60 days"))</f>
        <v>Less than 30 days</v>
      </c>
      <c r="S1000" t="s">
        <v>818</v>
      </c>
      <c r="T1000" s="43" t="s">
        <v>2229</v>
      </c>
      <c r="U1000" s="7" t="s">
        <v>3699</v>
      </c>
    </row>
    <row r="1001" spans="1:21" x14ac:dyDescent="0.3">
      <c r="A1001" s="14" t="s">
        <v>4132</v>
      </c>
      <c r="B1001" t="s">
        <v>118</v>
      </c>
      <c r="C1001" t="s">
        <v>65</v>
      </c>
      <c r="D1001">
        <v>1</v>
      </c>
      <c r="E1001" s="7">
        <v>225</v>
      </c>
      <c r="H1001">
        <v>55601</v>
      </c>
      <c r="I1001" t="s">
        <v>353</v>
      </c>
      <c r="J1001" t="s">
        <v>3213</v>
      </c>
      <c r="K1001" t="s">
        <v>3</v>
      </c>
      <c r="L1001" s="2">
        <v>43252</v>
      </c>
      <c r="M1001" s="2">
        <f>DOCXX[[#This Row],[INV DOC DATE]]+30</f>
        <v>43282</v>
      </c>
      <c r="N1001" s="2">
        <v>43279</v>
      </c>
      <c r="O1001" s="7">
        <v>225</v>
      </c>
      <c r="P1001" s="2">
        <v>43290</v>
      </c>
      <c r="Q1001" s="7">
        <f>$E1001-$O1001</f>
        <v>0</v>
      </c>
      <c r="R1001" s="7" t="str">
        <f ca="1">IF(TODAY() - DOCXX[INV DUE DATE]&lt;30, "Less than 30 days",IF(TODAY()-DOCXX[INV DUE DATE]&lt;60,"30-60 days","More than 60 days"))</f>
        <v>Less than 30 days</v>
      </c>
      <c r="S1001" t="s">
        <v>818</v>
      </c>
      <c r="T1001" s="43" t="s">
        <v>2229</v>
      </c>
      <c r="U1001" s="7" t="s">
        <v>3699</v>
      </c>
    </row>
    <row r="1002" spans="1:21" x14ac:dyDescent="0.3">
      <c r="A1002" s="14" t="s">
        <v>4132</v>
      </c>
      <c r="B1002" t="s">
        <v>118</v>
      </c>
      <c r="C1002" t="s">
        <v>66</v>
      </c>
      <c r="D1002">
        <v>1</v>
      </c>
      <c r="E1002" s="7">
        <v>225</v>
      </c>
      <c r="H1002">
        <v>55601</v>
      </c>
      <c r="I1002" t="s">
        <v>353</v>
      </c>
      <c r="J1002" t="s">
        <v>3214</v>
      </c>
      <c r="K1002" t="s">
        <v>3</v>
      </c>
      <c r="L1002" s="2">
        <v>43252</v>
      </c>
      <c r="M1002" s="2">
        <f>DOCXX[[#This Row],[INV DOC DATE]]+30</f>
        <v>43282</v>
      </c>
      <c r="N1002" s="2">
        <v>43279</v>
      </c>
      <c r="O1002" s="7">
        <v>225</v>
      </c>
      <c r="P1002" s="2">
        <v>43290</v>
      </c>
      <c r="Q1002" s="7">
        <f>$E1002-$O1002</f>
        <v>0</v>
      </c>
      <c r="R1002" s="7" t="str">
        <f ca="1">IF(TODAY() - DOCXX[INV DUE DATE]&lt;30, "Less than 30 days",IF(TODAY()-DOCXX[INV DUE DATE]&lt;60,"30-60 days","More than 60 days"))</f>
        <v>Less than 30 days</v>
      </c>
      <c r="S1002" t="s">
        <v>818</v>
      </c>
      <c r="T1002" s="43" t="s">
        <v>2229</v>
      </c>
      <c r="U1002" s="7" t="s">
        <v>3699</v>
      </c>
    </row>
    <row r="1003" spans="1:21" x14ac:dyDescent="0.3">
      <c r="A1003" s="14" t="s">
        <v>4132</v>
      </c>
      <c r="B1003" t="s">
        <v>118</v>
      </c>
      <c r="C1003" t="s">
        <v>67</v>
      </c>
      <c r="D1003">
        <v>1</v>
      </c>
      <c r="E1003" s="7">
        <v>225</v>
      </c>
      <c r="H1003">
        <v>55601</v>
      </c>
      <c r="I1003" t="s">
        <v>353</v>
      </c>
      <c r="J1003" t="s">
        <v>3215</v>
      </c>
      <c r="K1003" t="s">
        <v>3</v>
      </c>
      <c r="L1003" s="2">
        <v>43252</v>
      </c>
      <c r="M1003" s="2">
        <f>DOCXX[[#This Row],[INV DOC DATE]]+30</f>
        <v>43282</v>
      </c>
      <c r="N1003" s="2">
        <v>43279</v>
      </c>
      <c r="O1003" s="7">
        <v>225</v>
      </c>
      <c r="P1003" s="2">
        <v>43290</v>
      </c>
      <c r="Q1003" s="7">
        <f>$E1003-$O1003</f>
        <v>0</v>
      </c>
      <c r="R1003" s="7" t="str">
        <f ca="1">IF(TODAY() - DOCXX[INV DUE DATE]&lt;30, "Less than 30 days",IF(TODAY()-DOCXX[INV DUE DATE]&lt;60,"30-60 days","More than 60 days"))</f>
        <v>Less than 30 days</v>
      </c>
      <c r="S1003" t="s">
        <v>818</v>
      </c>
      <c r="T1003" s="43" t="s">
        <v>2229</v>
      </c>
      <c r="U1003" s="7" t="s">
        <v>3699</v>
      </c>
    </row>
    <row r="1004" spans="1:21" x14ac:dyDescent="0.3">
      <c r="A1004" s="14" t="s">
        <v>4132</v>
      </c>
      <c r="B1004" t="s">
        <v>118</v>
      </c>
      <c r="C1004" t="s">
        <v>68</v>
      </c>
      <c r="D1004">
        <v>1</v>
      </c>
      <c r="E1004" s="7">
        <v>225</v>
      </c>
      <c r="H1004">
        <v>55601</v>
      </c>
      <c r="I1004" t="s">
        <v>353</v>
      </c>
      <c r="J1004" t="s">
        <v>3216</v>
      </c>
      <c r="K1004" t="s">
        <v>3</v>
      </c>
      <c r="L1004" s="2">
        <v>43252</v>
      </c>
      <c r="M1004" s="2">
        <f>DOCXX[[#This Row],[INV DOC DATE]]+30</f>
        <v>43282</v>
      </c>
      <c r="N1004" s="2">
        <v>43279</v>
      </c>
      <c r="O1004" s="7">
        <v>225</v>
      </c>
      <c r="P1004" s="2">
        <v>43290</v>
      </c>
      <c r="Q1004" s="7">
        <f>$E1004-$O1004</f>
        <v>0</v>
      </c>
      <c r="R1004" s="7" t="str">
        <f ca="1">IF(TODAY() - DOCXX[INV DUE DATE]&lt;30, "Less than 30 days",IF(TODAY()-DOCXX[INV DUE DATE]&lt;60,"30-60 days","More than 60 days"))</f>
        <v>Less than 30 days</v>
      </c>
      <c r="S1004" t="s">
        <v>818</v>
      </c>
      <c r="T1004" s="43" t="s">
        <v>2229</v>
      </c>
      <c r="U1004" s="7" t="s">
        <v>3699</v>
      </c>
    </row>
    <row r="1005" spans="1:21" x14ac:dyDescent="0.3">
      <c r="A1005" s="14" t="s">
        <v>4132</v>
      </c>
      <c r="B1005" t="s">
        <v>118</v>
      </c>
      <c r="C1005" t="s">
        <v>69</v>
      </c>
      <c r="D1005">
        <v>1</v>
      </c>
      <c r="E1005" s="7">
        <v>225</v>
      </c>
      <c r="H1005">
        <v>55601</v>
      </c>
      <c r="I1005" t="s">
        <v>353</v>
      </c>
      <c r="J1005" t="s">
        <v>3217</v>
      </c>
      <c r="K1005" t="s">
        <v>3</v>
      </c>
      <c r="L1005" s="2">
        <v>43252</v>
      </c>
      <c r="M1005" s="2">
        <f>DOCXX[[#This Row],[INV DOC DATE]]+30</f>
        <v>43282</v>
      </c>
      <c r="N1005" s="2">
        <v>43279</v>
      </c>
      <c r="O1005" s="7">
        <v>225</v>
      </c>
      <c r="P1005" s="2">
        <v>43290</v>
      </c>
      <c r="Q1005" s="7">
        <f>$E1005-$O1005</f>
        <v>0</v>
      </c>
      <c r="R1005" s="7" t="str">
        <f ca="1">IF(TODAY() - DOCXX[INV DUE DATE]&lt;30, "Less than 30 days",IF(TODAY()-DOCXX[INV DUE DATE]&lt;60,"30-60 days","More than 60 days"))</f>
        <v>Less than 30 days</v>
      </c>
      <c r="S1005" t="s">
        <v>818</v>
      </c>
      <c r="T1005" s="43" t="s">
        <v>2229</v>
      </c>
      <c r="U1005" s="7" t="s">
        <v>3699</v>
      </c>
    </row>
    <row r="1006" spans="1:21" x14ac:dyDescent="0.3">
      <c r="A1006" s="14" t="s">
        <v>4132</v>
      </c>
      <c r="B1006" t="s">
        <v>118</v>
      </c>
      <c r="C1006" t="s">
        <v>70</v>
      </c>
      <c r="D1006">
        <v>1</v>
      </c>
      <c r="E1006" s="7">
        <v>225</v>
      </c>
      <c r="H1006">
        <v>55601</v>
      </c>
      <c r="I1006" t="s">
        <v>353</v>
      </c>
      <c r="J1006" t="s">
        <v>3218</v>
      </c>
      <c r="K1006" t="s">
        <v>3</v>
      </c>
      <c r="L1006" s="2">
        <v>43252</v>
      </c>
      <c r="M1006" s="2">
        <f>DOCXX[[#This Row],[INV DOC DATE]]+30</f>
        <v>43282</v>
      </c>
      <c r="N1006" s="2">
        <v>43279</v>
      </c>
      <c r="O1006" s="7">
        <v>225</v>
      </c>
      <c r="P1006" s="2">
        <v>43290</v>
      </c>
      <c r="Q1006" s="7">
        <f>$E1006-$O1006</f>
        <v>0</v>
      </c>
      <c r="R1006" s="7" t="str">
        <f ca="1">IF(TODAY() - DOCXX[INV DUE DATE]&lt;30, "Less than 30 days",IF(TODAY()-DOCXX[INV DUE DATE]&lt;60,"30-60 days","More than 60 days"))</f>
        <v>Less than 30 days</v>
      </c>
      <c r="S1006" t="s">
        <v>818</v>
      </c>
      <c r="T1006" s="43" t="s">
        <v>2229</v>
      </c>
      <c r="U1006" s="7" t="s">
        <v>3699</v>
      </c>
    </row>
    <row r="1007" spans="1:21" x14ac:dyDescent="0.3">
      <c r="A1007" s="14" t="s">
        <v>4132</v>
      </c>
      <c r="B1007" t="s">
        <v>118</v>
      </c>
      <c r="C1007" t="s">
        <v>71</v>
      </c>
      <c r="D1007">
        <v>1</v>
      </c>
      <c r="E1007" s="7">
        <v>225</v>
      </c>
      <c r="H1007">
        <v>55601</v>
      </c>
      <c r="I1007" t="s">
        <v>353</v>
      </c>
      <c r="J1007" t="s">
        <v>3219</v>
      </c>
      <c r="K1007" t="s">
        <v>3</v>
      </c>
      <c r="L1007" s="2">
        <v>43252</v>
      </c>
      <c r="M1007" s="2">
        <f>DOCXX[[#This Row],[INV DOC DATE]]+30</f>
        <v>43282</v>
      </c>
      <c r="N1007" s="2">
        <v>43279</v>
      </c>
      <c r="O1007" s="7">
        <v>225</v>
      </c>
      <c r="P1007" s="2">
        <v>43290</v>
      </c>
      <c r="Q1007" s="7">
        <f>$E1007-$O1007</f>
        <v>0</v>
      </c>
      <c r="R1007" s="7" t="str">
        <f ca="1">IF(TODAY() - DOCXX[INV DUE DATE]&lt;30, "Less than 30 days",IF(TODAY()-DOCXX[INV DUE DATE]&lt;60,"30-60 days","More than 60 days"))</f>
        <v>Less than 30 days</v>
      </c>
      <c r="S1007" t="s">
        <v>818</v>
      </c>
      <c r="T1007" s="43" t="s">
        <v>2229</v>
      </c>
      <c r="U1007" s="7" t="s">
        <v>3699</v>
      </c>
    </row>
    <row r="1008" spans="1:21" x14ac:dyDescent="0.3">
      <c r="A1008" s="14" t="s">
        <v>4132</v>
      </c>
      <c r="B1008" t="s">
        <v>118</v>
      </c>
      <c r="C1008" t="s">
        <v>72</v>
      </c>
      <c r="D1008">
        <v>1</v>
      </c>
      <c r="E1008" s="7">
        <v>225</v>
      </c>
      <c r="H1008">
        <v>55601</v>
      </c>
      <c r="I1008" t="s">
        <v>353</v>
      </c>
      <c r="J1008" t="s">
        <v>3220</v>
      </c>
      <c r="K1008" t="s">
        <v>3</v>
      </c>
      <c r="L1008" s="2">
        <v>43252</v>
      </c>
      <c r="M1008" s="2">
        <f>DOCXX[[#This Row],[INV DOC DATE]]+30</f>
        <v>43282</v>
      </c>
      <c r="N1008" s="2">
        <v>43279</v>
      </c>
      <c r="O1008" s="7">
        <v>225</v>
      </c>
      <c r="P1008" s="2">
        <v>43290</v>
      </c>
      <c r="Q1008" s="7">
        <f>$E1008-$O1008</f>
        <v>0</v>
      </c>
      <c r="R1008" s="7" t="str">
        <f ca="1">IF(TODAY() - DOCXX[INV DUE DATE]&lt;30, "Less than 30 days",IF(TODAY()-DOCXX[INV DUE DATE]&lt;60,"30-60 days","More than 60 days"))</f>
        <v>Less than 30 days</v>
      </c>
      <c r="S1008" t="s">
        <v>818</v>
      </c>
      <c r="T1008" s="43" t="s">
        <v>2229</v>
      </c>
      <c r="U1008" s="7" t="s">
        <v>3699</v>
      </c>
    </row>
    <row r="1009" spans="1:21" x14ac:dyDescent="0.3">
      <c r="A1009" s="14" t="s">
        <v>4132</v>
      </c>
      <c r="B1009" t="s">
        <v>118</v>
      </c>
      <c r="C1009" t="s">
        <v>73</v>
      </c>
      <c r="D1009">
        <v>1</v>
      </c>
      <c r="E1009" s="7">
        <v>225</v>
      </c>
      <c r="H1009">
        <v>55601</v>
      </c>
      <c r="I1009" t="s">
        <v>353</v>
      </c>
      <c r="J1009" t="s">
        <v>3221</v>
      </c>
      <c r="K1009" t="s">
        <v>3</v>
      </c>
      <c r="L1009" s="2">
        <v>43252</v>
      </c>
      <c r="M1009" s="2">
        <f>DOCXX[[#This Row],[INV DOC DATE]]+30</f>
        <v>43282</v>
      </c>
      <c r="N1009" s="2">
        <v>43279</v>
      </c>
      <c r="O1009" s="7">
        <v>225</v>
      </c>
      <c r="P1009" s="2">
        <v>43290</v>
      </c>
      <c r="Q1009" s="7">
        <f>$E1009-$O1009</f>
        <v>0</v>
      </c>
      <c r="R1009" s="7" t="str">
        <f ca="1">IF(TODAY() - DOCXX[INV DUE DATE]&lt;30, "Less than 30 days",IF(TODAY()-DOCXX[INV DUE DATE]&lt;60,"30-60 days","More than 60 days"))</f>
        <v>Less than 30 days</v>
      </c>
      <c r="S1009" t="s">
        <v>818</v>
      </c>
      <c r="T1009" s="43" t="s">
        <v>2229</v>
      </c>
      <c r="U1009" s="7" t="s">
        <v>3699</v>
      </c>
    </row>
    <row r="1010" spans="1:21" x14ac:dyDescent="0.3">
      <c r="A1010" s="14" t="s">
        <v>4132</v>
      </c>
      <c r="B1010" t="s">
        <v>118</v>
      </c>
      <c r="C1010" t="s">
        <v>74</v>
      </c>
      <c r="D1010">
        <v>1</v>
      </c>
      <c r="E1010" s="7">
        <v>225</v>
      </c>
      <c r="H1010">
        <v>55601</v>
      </c>
      <c r="I1010" t="s">
        <v>353</v>
      </c>
      <c r="J1010" t="s">
        <v>3222</v>
      </c>
      <c r="K1010" t="s">
        <v>3</v>
      </c>
      <c r="L1010" s="2">
        <v>43252</v>
      </c>
      <c r="M1010" s="2">
        <f>DOCXX[[#This Row],[INV DOC DATE]]+30</f>
        <v>43282</v>
      </c>
      <c r="N1010" s="2">
        <v>43279</v>
      </c>
      <c r="O1010" s="7">
        <v>225</v>
      </c>
      <c r="P1010" s="2">
        <v>43290</v>
      </c>
      <c r="Q1010" s="7">
        <f>$E1010-$O1010</f>
        <v>0</v>
      </c>
      <c r="R1010" s="7" t="str">
        <f ca="1">IF(TODAY() - DOCXX[INV DUE DATE]&lt;30, "Less than 30 days",IF(TODAY()-DOCXX[INV DUE DATE]&lt;60,"30-60 days","More than 60 days"))</f>
        <v>Less than 30 days</v>
      </c>
      <c r="S1010" t="s">
        <v>818</v>
      </c>
      <c r="T1010" s="43" t="s">
        <v>2229</v>
      </c>
      <c r="U1010" s="7" t="s">
        <v>3699</v>
      </c>
    </row>
    <row r="1011" spans="1:21" x14ac:dyDescent="0.3">
      <c r="A1011" s="14" t="s">
        <v>4132</v>
      </c>
      <c r="B1011" t="s">
        <v>118</v>
      </c>
      <c r="C1011" t="s">
        <v>75</v>
      </c>
      <c r="D1011">
        <v>1</v>
      </c>
      <c r="E1011" s="7">
        <v>225</v>
      </c>
      <c r="H1011">
        <v>55601</v>
      </c>
      <c r="I1011" t="s">
        <v>353</v>
      </c>
      <c r="J1011" t="s">
        <v>3223</v>
      </c>
      <c r="K1011" t="s">
        <v>3</v>
      </c>
      <c r="L1011" s="2">
        <v>43252</v>
      </c>
      <c r="M1011" s="2">
        <f>DOCXX[[#This Row],[INV DOC DATE]]+30</f>
        <v>43282</v>
      </c>
      <c r="N1011" s="2">
        <v>43279</v>
      </c>
      <c r="O1011" s="7">
        <v>225</v>
      </c>
      <c r="P1011" s="2">
        <v>43290</v>
      </c>
      <c r="Q1011" s="7">
        <f>$E1011-$O1011</f>
        <v>0</v>
      </c>
      <c r="R1011" s="7" t="str">
        <f ca="1">IF(TODAY() - DOCXX[INV DUE DATE]&lt;30, "Less than 30 days",IF(TODAY()-DOCXX[INV DUE DATE]&lt;60,"30-60 days","More than 60 days"))</f>
        <v>Less than 30 days</v>
      </c>
      <c r="S1011" t="s">
        <v>818</v>
      </c>
      <c r="T1011" s="43" t="s">
        <v>2229</v>
      </c>
      <c r="U1011" s="7" t="s">
        <v>3699</v>
      </c>
    </row>
    <row r="1012" spans="1:21" x14ac:dyDescent="0.3">
      <c r="A1012" s="14" t="s">
        <v>4132</v>
      </c>
      <c r="B1012" t="s">
        <v>118</v>
      </c>
      <c r="C1012" t="s">
        <v>76</v>
      </c>
      <c r="D1012">
        <v>1</v>
      </c>
      <c r="E1012" s="7">
        <v>225</v>
      </c>
      <c r="H1012">
        <v>55601</v>
      </c>
      <c r="I1012" t="s">
        <v>353</v>
      </c>
      <c r="J1012" t="s">
        <v>3224</v>
      </c>
      <c r="K1012" t="s">
        <v>3</v>
      </c>
      <c r="L1012" s="2">
        <v>43252</v>
      </c>
      <c r="M1012" s="2">
        <f>DOCXX[[#This Row],[INV DOC DATE]]+30</f>
        <v>43282</v>
      </c>
      <c r="N1012" s="2">
        <v>43279</v>
      </c>
      <c r="O1012" s="7">
        <v>225</v>
      </c>
      <c r="P1012" s="2">
        <v>43290</v>
      </c>
      <c r="Q1012" s="7">
        <f>$E1012-$O1012</f>
        <v>0</v>
      </c>
      <c r="R1012" s="7" t="str">
        <f ca="1">IF(TODAY() - DOCXX[INV DUE DATE]&lt;30, "Less than 30 days",IF(TODAY()-DOCXX[INV DUE DATE]&lt;60,"30-60 days","More than 60 days"))</f>
        <v>Less than 30 days</v>
      </c>
      <c r="S1012" t="s">
        <v>818</v>
      </c>
      <c r="T1012" s="43" t="s">
        <v>2229</v>
      </c>
      <c r="U1012" s="7" t="s">
        <v>3699</v>
      </c>
    </row>
    <row r="1013" spans="1:21" x14ac:dyDescent="0.3">
      <c r="A1013" s="14" t="s">
        <v>4132</v>
      </c>
      <c r="B1013" t="s">
        <v>118</v>
      </c>
      <c r="C1013" t="s">
        <v>77</v>
      </c>
      <c r="D1013">
        <v>1</v>
      </c>
      <c r="E1013" s="7">
        <v>225</v>
      </c>
      <c r="H1013">
        <v>55601</v>
      </c>
      <c r="I1013" t="s">
        <v>353</v>
      </c>
      <c r="J1013" t="s">
        <v>3225</v>
      </c>
      <c r="K1013" t="s">
        <v>3</v>
      </c>
      <c r="L1013" s="2">
        <v>43252</v>
      </c>
      <c r="M1013" s="2">
        <f>DOCXX[[#This Row],[INV DOC DATE]]+30</f>
        <v>43282</v>
      </c>
      <c r="N1013" s="2">
        <v>43279</v>
      </c>
      <c r="O1013" s="7">
        <v>225</v>
      </c>
      <c r="P1013" s="2">
        <v>43290</v>
      </c>
      <c r="Q1013" s="7">
        <f>$E1013-$O1013</f>
        <v>0</v>
      </c>
      <c r="R1013" s="7" t="str">
        <f ca="1">IF(TODAY() - DOCXX[INV DUE DATE]&lt;30, "Less than 30 days",IF(TODAY()-DOCXX[INV DUE DATE]&lt;60,"30-60 days","More than 60 days"))</f>
        <v>Less than 30 days</v>
      </c>
      <c r="S1013" t="s">
        <v>818</v>
      </c>
      <c r="T1013" s="43" t="s">
        <v>2229</v>
      </c>
      <c r="U1013" s="7" t="s">
        <v>3699</v>
      </c>
    </row>
    <row r="1014" spans="1:21" x14ac:dyDescent="0.3">
      <c r="A1014" s="14" t="s">
        <v>4132</v>
      </c>
      <c r="B1014" t="s">
        <v>118</v>
      </c>
      <c r="C1014" t="s">
        <v>78</v>
      </c>
      <c r="D1014">
        <v>1</v>
      </c>
      <c r="E1014" s="7">
        <v>225</v>
      </c>
      <c r="H1014">
        <v>55601</v>
      </c>
      <c r="I1014" t="s">
        <v>353</v>
      </c>
      <c r="J1014" t="s">
        <v>3226</v>
      </c>
      <c r="K1014" t="s">
        <v>3</v>
      </c>
      <c r="L1014" s="2">
        <v>43252</v>
      </c>
      <c r="M1014" s="2">
        <f>DOCXX[[#This Row],[INV DOC DATE]]+30</f>
        <v>43282</v>
      </c>
      <c r="N1014" s="2">
        <v>43279</v>
      </c>
      <c r="O1014" s="7">
        <v>225</v>
      </c>
      <c r="P1014" s="2">
        <v>43290</v>
      </c>
      <c r="Q1014" s="7">
        <f>$E1014-$O1014</f>
        <v>0</v>
      </c>
      <c r="R1014" s="7" t="str">
        <f ca="1">IF(TODAY() - DOCXX[INV DUE DATE]&lt;30, "Less than 30 days",IF(TODAY()-DOCXX[INV DUE DATE]&lt;60,"30-60 days","More than 60 days"))</f>
        <v>Less than 30 days</v>
      </c>
      <c r="S1014" t="s">
        <v>818</v>
      </c>
      <c r="T1014" s="43" t="s">
        <v>2229</v>
      </c>
      <c r="U1014" s="7" t="s">
        <v>3699</v>
      </c>
    </row>
    <row r="1015" spans="1:21" x14ac:dyDescent="0.3">
      <c r="A1015" s="14" t="s">
        <v>4132</v>
      </c>
      <c r="B1015" t="s">
        <v>118</v>
      </c>
      <c r="C1015" t="s">
        <v>79</v>
      </c>
      <c r="D1015">
        <v>1</v>
      </c>
      <c r="E1015" s="7">
        <v>225</v>
      </c>
      <c r="H1015">
        <v>55601</v>
      </c>
      <c r="I1015" t="s">
        <v>353</v>
      </c>
      <c r="J1015" t="s">
        <v>3227</v>
      </c>
      <c r="K1015" t="s">
        <v>3</v>
      </c>
      <c r="L1015" s="2">
        <v>43252</v>
      </c>
      <c r="M1015" s="2">
        <f>DOCXX[[#This Row],[INV DOC DATE]]+30</f>
        <v>43282</v>
      </c>
      <c r="N1015" s="2">
        <v>43279</v>
      </c>
      <c r="O1015" s="7">
        <v>225</v>
      </c>
      <c r="P1015" s="2">
        <v>43290</v>
      </c>
      <c r="Q1015" s="7">
        <f>$E1015-$O1015</f>
        <v>0</v>
      </c>
      <c r="R1015" s="7" t="str">
        <f ca="1">IF(TODAY() - DOCXX[INV DUE DATE]&lt;30, "Less than 30 days",IF(TODAY()-DOCXX[INV DUE DATE]&lt;60,"30-60 days","More than 60 days"))</f>
        <v>Less than 30 days</v>
      </c>
      <c r="S1015" t="s">
        <v>818</v>
      </c>
      <c r="T1015" s="43" t="s">
        <v>2229</v>
      </c>
      <c r="U1015" s="7" t="s">
        <v>3699</v>
      </c>
    </row>
    <row r="1016" spans="1:21" x14ac:dyDescent="0.3">
      <c r="A1016" s="14" t="s">
        <v>4132</v>
      </c>
      <c r="B1016" t="s">
        <v>118</v>
      </c>
      <c r="C1016" t="s">
        <v>80</v>
      </c>
      <c r="D1016">
        <v>1</v>
      </c>
      <c r="E1016" s="7">
        <v>225</v>
      </c>
      <c r="H1016">
        <v>55601</v>
      </c>
      <c r="I1016" t="s">
        <v>353</v>
      </c>
      <c r="J1016" t="s">
        <v>3228</v>
      </c>
      <c r="K1016" t="s">
        <v>3</v>
      </c>
      <c r="L1016" s="2">
        <v>43252</v>
      </c>
      <c r="M1016" s="2">
        <f>DOCXX[[#This Row],[INV DOC DATE]]+30</f>
        <v>43282</v>
      </c>
      <c r="N1016" s="2">
        <v>43279</v>
      </c>
      <c r="O1016" s="7">
        <v>225</v>
      </c>
      <c r="P1016" s="2">
        <v>43290</v>
      </c>
      <c r="Q1016" s="7">
        <f>$E1016-$O1016</f>
        <v>0</v>
      </c>
      <c r="R1016" s="7" t="str">
        <f ca="1">IF(TODAY() - DOCXX[INV DUE DATE]&lt;30, "Less than 30 days",IF(TODAY()-DOCXX[INV DUE DATE]&lt;60,"30-60 days","More than 60 days"))</f>
        <v>Less than 30 days</v>
      </c>
      <c r="S1016" t="s">
        <v>818</v>
      </c>
      <c r="T1016" s="43" t="s">
        <v>2229</v>
      </c>
      <c r="U1016" s="7" t="s">
        <v>3699</v>
      </c>
    </row>
    <row r="1017" spans="1:21" x14ac:dyDescent="0.3">
      <c r="A1017" s="14" t="s">
        <v>4132</v>
      </c>
      <c r="B1017" t="s">
        <v>118</v>
      </c>
      <c r="C1017" t="s">
        <v>81</v>
      </c>
      <c r="D1017">
        <v>1</v>
      </c>
      <c r="E1017" s="7">
        <v>225</v>
      </c>
      <c r="H1017">
        <v>55601</v>
      </c>
      <c r="I1017" t="s">
        <v>353</v>
      </c>
      <c r="J1017" t="s">
        <v>3229</v>
      </c>
      <c r="K1017" t="s">
        <v>3</v>
      </c>
      <c r="L1017" s="2">
        <v>43252</v>
      </c>
      <c r="M1017" s="2">
        <f>DOCXX[[#This Row],[INV DOC DATE]]+30</f>
        <v>43282</v>
      </c>
      <c r="N1017" s="2">
        <v>43279</v>
      </c>
      <c r="O1017" s="7">
        <v>225</v>
      </c>
      <c r="P1017" s="2">
        <v>43290</v>
      </c>
      <c r="Q1017" s="7">
        <f>$E1017-$O1017</f>
        <v>0</v>
      </c>
      <c r="R1017" s="7" t="str">
        <f ca="1">IF(TODAY() - DOCXX[INV DUE DATE]&lt;30, "Less than 30 days",IF(TODAY()-DOCXX[INV DUE DATE]&lt;60,"30-60 days","More than 60 days"))</f>
        <v>Less than 30 days</v>
      </c>
      <c r="S1017" t="s">
        <v>818</v>
      </c>
      <c r="T1017" s="43" t="s">
        <v>2229</v>
      </c>
      <c r="U1017" s="7" t="s">
        <v>3699</v>
      </c>
    </row>
    <row r="1018" spans="1:21" x14ac:dyDescent="0.3">
      <c r="A1018" s="14" t="s">
        <v>4132</v>
      </c>
      <c r="B1018" t="s">
        <v>118</v>
      </c>
      <c r="C1018" t="s">
        <v>82</v>
      </c>
      <c r="D1018">
        <v>1</v>
      </c>
      <c r="E1018" s="7">
        <v>225</v>
      </c>
      <c r="H1018">
        <v>55601</v>
      </c>
      <c r="I1018" t="s">
        <v>353</v>
      </c>
      <c r="J1018" t="s">
        <v>3230</v>
      </c>
      <c r="K1018" t="s">
        <v>3</v>
      </c>
      <c r="L1018" s="2">
        <v>43252</v>
      </c>
      <c r="M1018" s="2">
        <f>DOCXX[[#This Row],[INV DOC DATE]]+30</f>
        <v>43282</v>
      </c>
      <c r="N1018" s="2">
        <v>43279</v>
      </c>
      <c r="O1018" s="7">
        <v>225</v>
      </c>
      <c r="P1018" s="2">
        <v>43290</v>
      </c>
      <c r="Q1018" s="7">
        <f>$E1018-$O1018</f>
        <v>0</v>
      </c>
      <c r="R1018" s="7" t="str">
        <f ca="1">IF(TODAY() - DOCXX[INV DUE DATE]&lt;30, "Less than 30 days",IF(TODAY()-DOCXX[INV DUE DATE]&lt;60,"30-60 days","More than 60 days"))</f>
        <v>Less than 30 days</v>
      </c>
      <c r="S1018" t="s">
        <v>818</v>
      </c>
      <c r="T1018" s="43" t="s">
        <v>2229</v>
      </c>
      <c r="U1018" s="7" t="s">
        <v>3699</v>
      </c>
    </row>
    <row r="1019" spans="1:21" x14ac:dyDescent="0.3">
      <c r="A1019" s="14" t="s">
        <v>4132</v>
      </c>
      <c r="B1019" t="s">
        <v>118</v>
      </c>
      <c r="C1019" t="s">
        <v>83</v>
      </c>
      <c r="D1019">
        <v>1</v>
      </c>
      <c r="E1019" s="7">
        <v>225</v>
      </c>
      <c r="H1019">
        <v>55601</v>
      </c>
      <c r="I1019" t="s">
        <v>353</v>
      </c>
      <c r="J1019" t="s">
        <v>3231</v>
      </c>
      <c r="K1019" t="s">
        <v>3</v>
      </c>
      <c r="L1019" s="2">
        <v>43252</v>
      </c>
      <c r="M1019" s="2">
        <f>DOCXX[[#This Row],[INV DOC DATE]]+30</f>
        <v>43282</v>
      </c>
      <c r="N1019" s="2">
        <v>43279</v>
      </c>
      <c r="O1019" s="7">
        <v>225</v>
      </c>
      <c r="P1019" s="2">
        <v>43290</v>
      </c>
      <c r="Q1019" s="7">
        <f>$E1019-$O1019</f>
        <v>0</v>
      </c>
      <c r="R1019" s="7" t="str">
        <f ca="1">IF(TODAY() - DOCXX[INV DUE DATE]&lt;30, "Less than 30 days",IF(TODAY()-DOCXX[INV DUE DATE]&lt;60,"30-60 days","More than 60 days"))</f>
        <v>Less than 30 days</v>
      </c>
      <c r="S1019" t="s">
        <v>818</v>
      </c>
      <c r="T1019" s="43" t="s">
        <v>2229</v>
      </c>
      <c r="U1019" s="7" t="s">
        <v>3699</v>
      </c>
    </row>
    <row r="1020" spans="1:21" x14ac:dyDescent="0.3">
      <c r="A1020" s="14" t="s">
        <v>4132</v>
      </c>
      <c r="B1020" t="s">
        <v>118</v>
      </c>
      <c r="C1020" t="s">
        <v>84</v>
      </c>
      <c r="D1020">
        <v>1</v>
      </c>
      <c r="E1020" s="7">
        <v>225</v>
      </c>
      <c r="H1020">
        <v>55601</v>
      </c>
      <c r="I1020" t="s">
        <v>353</v>
      </c>
      <c r="J1020" t="s">
        <v>3232</v>
      </c>
      <c r="K1020" t="s">
        <v>3</v>
      </c>
      <c r="L1020" s="2">
        <v>43252</v>
      </c>
      <c r="M1020" s="2">
        <f>DOCXX[[#This Row],[INV DOC DATE]]+30</f>
        <v>43282</v>
      </c>
      <c r="N1020" s="2">
        <v>43279</v>
      </c>
      <c r="O1020" s="7">
        <v>225</v>
      </c>
      <c r="P1020" s="2">
        <v>43290</v>
      </c>
      <c r="Q1020" s="7">
        <f>$E1020-$O1020</f>
        <v>0</v>
      </c>
      <c r="R1020" s="7" t="str">
        <f ca="1">IF(TODAY() - DOCXX[INV DUE DATE]&lt;30, "Less than 30 days",IF(TODAY()-DOCXX[INV DUE DATE]&lt;60,"30-60 days","More than 60 days"))</f>
        <v>Less than 30 days</v>
      </c>
      <c r="S1020" t="s">
        <v>818</v>
      </c>
      <c r="T1020" s="43" t="s">
        <v>2229</v>
      </c>
      <c r="U1020" s="7" t="s">
        <v>3699</v>
      </c>
    </row>
    <row r="1021" spans="1:21" x14ac:dyDescent="0.3">
      <c r="A1021" s="14" t="s">
        <v>4132</v>
      </c>
      <c r="B1021" t="s">
        <v>118</v>
      </c>
      <c r="C1021" t="s">
        <v>85</v>
      </c>
      <c r="D1021">
        <v>1</v>
      </c>
      <c r="E1021" s="7">
        <v>225</v>
      </c>
      <c r="H1021">
        <v>55601</v>
      </c>
      <c r="I1021" t="s">
        <v>353</v>
      </c>
      <c r="J1021" t="s">
        <v>3233</v>
      </c>
      <c r="K1021" t="s">
        <v>3</v>
      </c>
      <c r="L1021" s="2">
        <v>43252</v>
      </c>
      <c r="M1021" s="2">
        <f>DOCXX[[#This Row],[INV DOC DATE]]+30</f>
        <v>43282</v>
      </c>
      <c r="N1021" s="2">
        <v>43279</v>
      </c>
      <c r="O1021" s="7">
        <v>225</v>
      </c>
      <c r="P1021" s="2">
        <v>43290</v>
      </c>
      <c r="Q1021" s="7">
        <f>$E1021-$O1021</f>
        <v>0</v>
      </c>
      <c r="R1021" s="7" t="str">
        <f ca="1">IF(TODAY() - DOCXX[INV DUE DATE]&lt;30, "Less than 30 days",IF(TODAY()-DOCXX[INV DUE DATE]&lt;60,"30-60 days","More than 60 days"))</f>
        <v>Less than 30 days</v>
      </c>
      <c r="S1021" t="s">
        <v>818</v>
      </c>
      <c r="T1021" s="43" t="s">
        <v>2229</v>
      </c>
      <c r="U1021" s="7" t="s">
        <v>3699</v>
      </c>
    </row>
    <row r="1022" spans="1:21" x14ac:dyDescent="0.3">
      <c r="A1022" s="14" t="s">
        <v>4132</v>
      </c>
      <c r="B1022" t="s">
        <v>118</v>
      </c>
      <c r="C1022" t="s">
        <v>86</v>
      </c>
      <c r="D1022">
        <v>1</v>
      </c>
      <c r="E1022" s="7">
        <v>225</v>
      </c>
      <c r="H1022">
        <v>55601</v>
      </c>
      <c r="I1022" t="s">
        <v>353</v>
      </c>
      <c r="J1022" t="s">
        <v>3234</v>
      </c>
      <c r="K1022" t="s">
        <v>3</v>
      </c>
      <c r="L1022" s="2">
        <v>43252</v>
      </c>
      <c r="M1022" s="2">
        <f>DOCXX[[#This Row],[INV DOC DATE]]+30</f>
        <v>43282</v>
      </c>
      <c r="N1022" s="2">
        <v>43279</v>
      </c>
      <c r="O1022" s="7">
        <v>225</v>
      </c>
      <c r="P1022" s="2">
        <v>43290</v>
      </c>
      <c r="Q1022" s="7">
        <f>$E1022-$O1022</f>
        <v>0</v>
      </c>
      <c r="R1022" s="7" t="str">
        <f ca="1">IF(TODAY() - DOCXX[INV DUE DATE]&lt;30, "Less than 30 days",IF(TODAY()-DOCXX[INV DUE DATE]&lt;60,"30-60 days","More than 60 days"))</f>
        <v>Less than 30 days</v>
      </c>
      <c r="S1022" t="s">
        <v>818</v>
      </c>
      <c r="T1022" s="43" t="s">
        <v>2229</v>
      </c>
      <c r="U1022" s="7" t="s">
        <v>3699</v>
      </c>
    </row>
    <row r="1023" spans="1:21" x14ac:dyDescent="0.3">
      <c r="A1023" s="14" t="s">
        <v>4132</v>
      </c>
      <c r="B1023" t="s">
        <v>118</v>
      </c>
      <c r="C1023" t="s">
        <v>87</v>
      </c>
      <c r="D1023">
        <v>1</v>
      </c>
      <c r="E1023" s="7">
        <v>225</v>
      </c>
      <c r="H1023">
        <v>55601</v>
      </c>
      <c r="I1023" t="s">
        <v>353</v>
      </c>
      <c r="J1023" t="s">
        <v>3235</v>
      </c>
      <c r="K1023" t="s">
        <v>3</v>
      </c>
      <c r="L1023" s="2">
        <v>43252</v>
      </c>
      <c r="M1023" s="2">
        <f>DOCXX[[#This Row],[INV DOC DATE]]+30</f>
        <v>43282</v>
      </c>
      <c r="N1023" s="2">
        <v>43279</v>
      </c>
      <c r="O1023" s="7">
        <v>225</v>
      </c>
      <c r="P1023" s="2">
        <v>43290</v>
      </c>
      <c r="Q1023" s="7">
        <f>$E1023-$O1023</f>
        <v>0</v>
      </c>
      <c r="R1023" s="7" t="str">
        <f ca="1">IF(TODAY() - DOCXX[INV DUE DATE]&lt;30, "Less than 30 days",IF(TODAY()-DOCXX[INV DUE DATE]&lt;60,"30-60 days","More than 60 days"))</f>
        <v>Less than 30 days</v>
      </c>
      <c r="S1023" t="s">
        <v>818</v>
      </c>
      <c r="T1023" s="43" t="s">
        <v>2229</v>
      </c>
      <c r="U1023" s="7" t="s">
        <v>3699</v>
      </c>
    </row>
    <row r="1024" spans="1:21" x14ac:dyDescent="0.3">
      <c r="A1024" s="14" t="s">
        <v>4132</v>
      </c>
      <c r="B1024" t="s">
        <v>118</v>
      </c>
      <c r="C1024" t="s">
        <v>88</v>
      </c>
      <c r="D1024">
        <v>1</v>
      </c>
      <c r="E1024" s="7">
        <v>225</v>
      </c>
      <c r="H1024">
        <v>55601</v>
      </c>
      <c r="I1024" t="s">
        <v>353</v>
      </c>
      <c r="J1024" t="s">
        <v>3236</v>
      </c>
      <c r="K1024" t="s">
        <v>3</v>
      </c>
      <c r="L1024" s="2">
        <v>43252</v>
      </c>
      <c r="M1024" s="2">
        <f>DOCXX[[#This Row],[INV DOC DATE]]+30</f>
        <v>43282</v>
      </c>
      <c r="N1024" s="2">
        <v>43279</v>
      </c>
      <c r="O1024" s="7">
        <v>225</v>
      </c>
      <c r="P1024" s="2">
        <v>43290</v>
      </c>
      <c r="Q1024" s="7">
        <f>$E1024-$O1024</f>
        <v>0</v>
      </c>
      <c r="R1024" s="7" t="str">
        <f ca="1">IF(TODAY() - DOCXX[INV DUE DATE]&lt;30, "Less than 30 days",IF(TODAY()-DOCXX[INV DUE DATE]&lt;60,"30-60 days","More than 60 days"))</f>
        <v>Less than 30 days</v>
      </c>
      <c r="S1024" t="s">
        <v>818</v>
      </c>
      <c r="T1024" s="43" t="s">
        <v>2229</v>
      </c>
      <c r="U1024" s="7" t="s">
        <v>3699</v>
      </c>
    </row>
    <row r="1025" spans="1:21" x14ac:dyDescent="0.3">
      <c r="A1025" s="14" t="s">
        <v>4132</v>
      </c>
      <c r="B1025" t="s">
        <v>118</v>
      </c>
      <c r="C1025" t="s">
        <v>89</v>
      </c>
      <c r="D1025">
        <v>1</v>
      </c>
      <c r="E1025" s="7">
        <v>225</v>
      </c>
      <c r="H1025">
        <v>55601</v>
      </c>
      <c r="I1025" t="s">
        <v>353</v>
      </c>
      <c r="J1025" t="s">
        <v>3237</v>
      </c>
      <c r="K1025" t="s">
        <v>3</v>
      </c>
      <c r="L1025" s="2">
        <v>43252</v>
      </c>
      <c r="M1025" s="2">
        <f>DOCXX[[#This Row],[INV DOC DATE]]+30</f>
        <v>43282</v>
      </c>
      <c r="N1025" s="2">
        <v>43279</v>
      </c>
      <c r="O1025" s="7">
        <v>225</v>
      </c>
      <c r="P1025" s="2">
        <v>43290</v>
      </c>
      <c r="Q1025" s="7">
        <f>$E1025-$O1025</f>
        <v>0</v>
      </c>
      <c r="R1025" s="7" t="str">
        <f ca="1">IF(TODAY() - DOCXX[INV DUE DATE]&lt;30, "Less than 30 days",IF(TODAY()-DOCXX[INV DUE DATE]&lt;60,"30-60 days","More than 60 days"))</f>
        <v>Less than 30 days</v>
      </c>
      <c r="S1025" t="s">
        <v>818</v>
      </c>
      <c r="T1025" s="43" t="s">
        <v>2229</v>
      </c>
      <c r="U1025" s="7" t="s">
        <v>3699</v>
      </c>
    </row>
    <row r="1026" spans="1:21" x14ac:dyDescent="0.3">
      <c r="A1026" s="14" t="s">
        <v>4132</v>
      </c>
      <c r="B1026" t="s">
        <v>118</v>
      </c>
      <c r="C1026" t="s">
        <v>90</v>
      </c>
      <c r="D1026">
        <v>1</v>
      </c>
      <c r="E1026" s="7">
        <v>225</v>
      </c>
      <c r="H1026">
        <v>55601</v>
      </c>
      <c r="I1026" t="s">
        <v>353</v>
      </c>
      <c r="J1026" t="s">
        <v>3238</v>
      </c>
      <c r="K1026" t="s">
        <v>3</v>
      </c>
      <c r="L1026" s="2">
        <v>43252</v>
      </c>
      <c r="M1026" s="2">
        <f>DOCXX[[#This Row],[INV DOC DATE]]+30</f>
        <v>43282</v>
      </c>
      <c r="N1026" s="2">
        <v>43279</v>
      </c>
      <c r="O1026" s="7">
        <v>225</v>
      </c>
      <c r="P1026" s="2">
        <v>43290</v>
      </c>
      <c r="Q1026" s="7">
        <f>$E1026-$O1026</f>
        <v>0</v>
      </c>
      <c r="R1026" s="7" t="str">
        <f ca="1">IF(TODAY() - DOCXX[INV DUE DATE]&lt;30, "Less than 30 days",IF(TODAY()-DOCXX[INV DUE DATE]&lt;60,"30-60 days","More than 60 days"))</f>
        <v>Less than 30 days</v>
      </c>
      <c r="S1026" t="s">
        <v>818</v>
      </c>
      <c r="T1026" s="43" t="s">
        <v>2229</v>
      </c>
      <c r="U1026" s="7" t="s">
        <v>3699</v>
      </c>
    </row>
    <row r="1027" spans="1:21" x14ac:dyDescent="0.3">
      <c r="A1027" s="14" t="s">
        <v>4132</v>
      </c>
      <c r="B1027" t="s">
        <v>118</v>
      </c>
      <c r="C1027" t="s">
        <v>91</v>
      </c>
      <c r="D1027">
        <v>1</v>
      </c>
      <c r="E1027" s="7">
        <v>225</v>
      </c>
      <c r="H1027">
        <v>55601</v>
      </c>
      <c r="I1027" t="s">
        <v>353</v>
      </c>
      <c r="J1027" t="s">
        <v>3239</v>
      </c>
      <c r="K1027" t="s">
        <v>3</v>
      </c>
      <c r="L1027" s="2">
        <v>43252</v>
      </c>
      <c r="M1027" s="2">
        <f>DOCXX[[#This Row],[INV DOC DATE]]+30</f>
        <v>43282</v>
      </c>
      <c r="N1027" s="2">
        <v>43279</v>
      </c>
      <c r="O1027" s="7">
        <v>225</v>
      </c>
      <c r="P1027" s="2">
        <v>43290</v>
      </c>
      <c r="Q1027" s="7">
        <f>$E1027-$O1027</f>
        <v>0</v>
      </c>
      <c r="R1027" s="7" t="str">
        <f ca="1">IF(TODAY() - DOCXX[INV DUE DATE]&lt;30, "Less than 30 days",IF(TODAY()-DOCXX[INV DUE DATE]&lt;60,"30-60 days","More than 60 days"))</f>
        <v>Less than 30 days</v>
      </c>
      <c r="S1027" t="s">
        <v>818</v>
      </c>
      <c r="T1027" s="43" t="s">
        <v>2229</v>
      </c>
      <c r="U1027" s="7" t="s">
        <v>3699</v>
      </c>
    </row>
    <row r="1028" spans="1:21" x14ac:dyDescent="0.3">
      <c r="A1028" s="14" t="s">
        <v>4132</v>
      </c>
      <c r="B1028" t="s">
        <v>118</v>
      </c>
      <c r="C1028" t="s">
        <v>92</v>
      </c>
      <c r="D1028">
        <v>1</v>
      </c>
      <c r="E1028" s="7">
        <v>225</v>
      </c>
      <c r="H1028">
        <v>55601</v>
      </c>
      <c r="I1028" t="s">
        <v>353</v>
      </c>
      <c r="J1028" t="s">
        <v>3240</v>
      </c>
      <c r="K1028" t="s">
        <v>3</v>
      </c>
      <c r="L1028" s="2">
        <v>43252</v>
      </c>
      <c r="M1028" s="2">
        <f>DOCXX[[#This Row],[INV DOC DATE]]+30</f>
        <v>43282</v>
      </c>
      <c r="N1028" s="2">
        <v>43279</v>
      </c>
      <c r="O1028" s="7">
        <v>225</v>
      </c>
      <c r="P1028" s="2">
        <v>43290</v>
      </c>
      <c r="Q1028" s="7">
        <f>$E1028-$O1028</f>
        <v>0</v>
      </c>
      <c r="R1028" s="7" t="str">
        <f ca="1">IF(TODAY() - DOCXX[INV DUE DATE]&lt;30, "Less than 30 days",IF(TODAY()-DOCXX[INV DUE DATE]&lt;60,"30-60 days","More than 60 days"))</f>
        <v>Less than 30 days</v>
      </c>
      <c r="S1028" t="s">
        <v>818</v>
      </c>
      <c r="T1028" s="43" t="s">
        <v>2229</v>
      </c>
      <c r="U1028" s="7" t="s">
        <v>3699</v>
      </c>
    </row>
    <row r="1029" spans="1:21" x14ac:dyDescent="0.3">
      <c r="A1029" s="14" t="s">
        <v>4132</v>
      </c>
      <c r="B1029" t="s">
        <v>118</v>
      </c>
      <c r="C1029" t="s">
        <v>30</v>
      </c>
      <c r="D1029">
        <v>1</v>
      </c>
      <c r="E1029" s="7">
        <v>225</v>
      </c>
      <c r="H1029">
        <v>55601</v>
      </c>
      <c r="I1029" t="s">
        <v>353</v>
      </c>
      <c r="J1029" t="s">
        <v>3241</v>
      </c>
      <c r="K1029" t="s">
        <v>3</v>
      </c>
      <c r="L1029" s="2">
        <v>43252</v>
      </c>
      <c r="M1029" s="2">
        <f>DOCXX[[#This Row],[INV DOC DATE]]+30</f>
        <v>43282</v>
      </c>
      <c r="N1029" s="2">
        <v>43279</v>
      </c>
      <c r="O1029" s="7">
        <v>225</v>
      </c>
      <c r="P1029" s="2">
        <v>43290</v>
      </c>
      <c r="Q1029" s="7">
        <f>$E1029-$O1029</f>
        <v>0</v>
      </c>
      <c r="R1029" s="7" t="str">
        <f ca="1">IF(TODAY() - DOCXX[INV DUE DATE]&lt;30, "Less than 30 days",IF(TODAY()-DOCXX[INV DUE DATE]&lt;60,"30-60 days","More than 60 days"))</f>
        <v>Less than 30 days</v>
      </c>
      <c r="S1029" t="s">
        <v>818</v>
      </c>
      <c r="T1029" s="43" t="s">
        <v>2229</v>
      </c>
      <c r="U1029" s="7" t="s">
        <v>3699</v>
      </c>
    </row>
    <row r="1030" spans="1:21" x14ac:dyDescent="0.3">
      <c r="A1030" s="14" t="s">
        <v>4132</v>
      </c>
      <c r="B1030" t="s">
        <v>118</v>
      </c>
      <c r="C1030" t="s">
        <v>93</v>
      </c>
      <c r="D1030">
        <v>1</v>
      </c>
      <c r="E1030" s="7">
        <v>225</v>
      </c>
      <c r="H1030">
        <v>55601</v>
      </c>
      <c r="I1030" t="s">
        <v>353</v>
      </c>
      <c r="J1030" t="s">
        <v>3242</v>
      </c>
      <c r="K1030" t="s">
        <v>3</v>
      </c>
      <c r="L1030" s="2">
        <v>43252</v>
      </c>
      <c r="M1030" s="2">
        <f>DOCXX[[#This Row],[INV DOC DATE]]+30</f>
        <v>43282</v>
      </c>
      <c r="N1030" s="2">
        <v>43279</v>
      </c>
      <c r="O1030" s="7">
        <v>225</v>
      </c>
      <c r="P1030" s="2">
        <v>43290</v>
      </c>
      <c r="Q1030" s="7">
        <f>$E1030-$O1030</f>
        <v>0</v>
      </c>
      <c r="R1030" s="7" t="str">
        <f ca="1">IF(TODAY() - DOCXX[INV DUE DATE]&lt;30, "Less than 30 days",IF(TODAY()-DOCXX[INV DUE DATE]&lt;60,"30-60 days","More than 60 days"))</f>
        <v>Less than 30 days</v>
      </c>
      <c r="S1030" t="s">
        <v>818</v>
      </c>
      <c r="T1030" s="43" t="s">
        <v>2229</v>
      </c>
      <c r="U1030" s="7" t="s">
        <v>3699</v>
      </c>
    </row>
    <row r="1031" spans="1:21" x14ac:dyDescent="0.3">
      <c r="A1031" s="14" t="s">
        <v>4132</v>
      </c>
      <c r="B1031" t="s">
        <v>118</v>
      </c>
      <c r="C1031" t="s">
        <v>94</v>
      </c>
      <c r="D1031">
        <v>1</v>
      </c>
      <c r="E1031" s="7">
        <v>225</v>
      </c>
      <c r="H1031">
        <v>55601</v>
      </c>
      <c r="I1031" t="s">
        <v>353</v>
      </c>
      <c r="J1031" t="s">
        <v>3243</v>
      </c>
      <c r="K1031" t="s">
        <v>3</v>
      </c>
      <c r="L1031" s="2">
        <v>43252</v>
      </c>
      <c r="M1031" s="2">
        <f>DOCXX[[#This Row],[INV DOC DATE]]+30</f>
        <v>43282</v>
      </c>
      <c r="N1031" s="2">
        <v>43279</v>
      </c>
      <c r="O1031" s="7">
        <v>225</v>
      </c>
      <c r="P1031" s="2">
        <v>43290</v>
      </c>
      <c r="Q1031" s="7">
        <f>$E1031-$O1031</f>
        <v>0</v>
      </c>
      <c r="R1031" s="7" t="str">
        <f ca="1">IF(TODAY() - DOCXX[INV DUE DATE]&lt;30, "Less than 30 days",IF(TODAY()-DOCXX[INV DUE DATE]&lt;60,"30-60 days","More than 60 days"))</f>
        <v>Less than 30 days</v>
      </c>
      <c r="S1031" t="s">
        <v>818</v>
      </c>
      <c r="T1031" s="43" t="s">
        <v>2229</v>
      </c>
      <c r="U1031" s="7" t="s">
        <v>3699</v>
      </c>
    </row>
    <row r="1032" spans="1:21" x14ac:dyDescent="0.3">
      <c r="A1032" s="14" t="s">
        <v>4132</v>
      </c>
      <c r="B1032" t="s">
        <v>118</v>
      </c>
      <c r="C1032" t="s">
        <v>95</v>
      </c>
      <c r="D1032">
        <v>1</v>
      </c>
      <c r="E1032" s="7">
        <v>225</v>
      </c>
      <c r="H1032">
        <v>55601</v>
      </c>
      <c r="I1032" t="s">
        <v>353</v>
      </c>
      <c r="J1032" t="s">
        <v>3244</v>
      </c>
      <c r="K1032" t="s">
        <v>3</v>
      </c>
      <c r="L1032" s="2">
        <v>43252</v>
      </c>
      <c r="M1032" s="2">
        <f>DOCXX[[#This Row],[INV DOC DATE]]+30</f>
        <v>43282</v>
      </c>
      <c r="N1032" s="2">
        <v>43279</v>
      </c>
      <c r="O1032" s="7">
        <v>225</v>
      </c>
      <c r="P1032" s="2">
        <v>43290</v>
      </c>
      <c r="Q1032" s="7">
        <f>$E1032-$O1032</f>
        <v>0</v>
      </c>
      <c r="R1032" s="7" t="str">
        <f ca="1">IF(TODAY() - DOCXX[INV DUE DATE]&lt;30, "Less than 30 days",IF(TODAY()-DOCXX[INV DUE DATE]&lt;60,"30-60 days","More than 60 days"))</f>
        <v>Less than 30 days</v>
      </c>
      <c r="S1032" t="s">
        <v>818</v>
      </c>
      <c r="T1032" s="43" t="s">
        <v>2229</v>
      </c>
      <c r="U1032" s="7" t="s">
        <v>3699</v>
      </c>
    </row>
    <row r="1033" spans="1:21" x14ac:dyDescent="0.3">
      <c r="A1033" s="14" t="s">
        <v>4132</v>
      </c>
      <c r="B1033" t="s">
        <v>118</v>
      </c>
      <c r="C1033" t="s">
        <v>96</v>
      </c>
      <c r="D1033">
        <v>1</v>
      </c>
      <c r="E1033" s="7">
        <v>225</v>
      </c>
      <c r="H1033">
        <v>55601</v>
      </c>
      <c r="I1033" t="s">
        <v>353</v>
      </c>
      <c r="J1033" t="s">
        <v>3245</v>
      </c>
      <c r="K1033" t="s">
        <v>3</v>
      </c>
      <c r="L1033" s="2">
        <v>43252</v>
      </c>
      <c r="M1033" s="2">
        <f>DOCXX[[#This Row],[INV DOC DATE]]+30</f>
        <v>43282</v>
      </c>
      <c r="N1033" s="2">
        <v>43279</v>
      </c>
      <c r="O1033" s="7">
        <v>225</v>
      </c>
      <c r="P1033" s="2">
        <v>43290</v>
      </c>
      <c r="Q1033" s="7">
        <f>$E1033-$O1033</f>
        <v>0</v>
      </c>
      <c r="R1033" s="7" t="str">
        <f ca="1">IF(TODAY() - DOCXX[INV DUE DATE]&lt;30, "Less than 30 days",IF(TODAY()-DOCXX[INV DUE DATE]&lt;60,"30-60 days","More than 60 days"))</f>
        <v>Less than 30 days</v>
      </c>
      <c r="S1033" t="s">
        <v>818</v>
      </c>
      <c r="T1033" s="43" t="s">
        <v>2229</v>
      </c>
      <c r="U1033" s="7" t="s">
        <v>3699</v>
      </c>
    </row>
    <row r="1034" spans="1:21" x14ac:dyDescent="0.3">
      <c r="A1034" s="14" t="s">
        <v>4132</v>
      </c>
      <c r="B1034" t="s">
        <v>118</v>
      </c>
      <c r="C1034" t="s">
        <v>97</v>
      </c>
      <c r="D1034">
        <v>1</v>
      </c>
      <c r="E1034" s="7">
        <v>225</v>
      </c>
      <c r="H1034">
        <v>55601</v>
      </c>
      <c r="I1034" t="s">
        <v>353</v>
      </c>
      <c r="J1034" t="s">
        <v>3246</v>
      </c>
      <c r="K1034" t="s">
        <v>3</v>
      </c>
      <c r="L1034" s="2">
        <v>43252</v>
      </c>
      <c r="M1034" s="2">
        <f>DOCXX[[#This Row],[INV DOC DATE]]+30</f>
        <v>43282</v>
      </c>
      <c r="N1034" s="2">
        <v>43279</v>
      </c>
      <c r="O1034" s="7">
        <v>225</v>
      </c>
      <c r="P1034" s="2">
        <v>43290</v>
      </c>
      <c r="Q1034" s="7">
        <f>$E1034-$O1034</f>
        <v>0</v>
      </c>
      <c r="R1034" s="7" t="str">
        <f ca="1">IF(TODAY() - DOCXX[INV DUE DATE]&lt;30, "Less than 30 days",IF(TODAY()-DOCXX[INV DUE DATE]&lt;60,"30-60 days","More than 60 days"))</f>
        <v>Less than 30 days</v>
      </c>
      <c r="S1034" t="s">
        <v>818</v>
      </c>
      <c r="T1034" s="43" t="s">
        <v>2229</v>
      </c>
      <c r="U1034" s="7" t="s">
        <v>3699</v>
      </c>
    </row>
    <row r="1035" spans="1:21" x14ac:dyDescent="0.3">
      <c r="A1035" s="14" t="s">
        <v>4132</v>
      </c>
      <c r="B1035" t="s">
        <v>118</v>
      </c>
      <c r="C1035" t="s">
        <v>98</v>
      </c>
      <c r="D1035">
        <v>1</v>
      </c>
      <c r="E1035" s="7">
        <v>225</v>
      </c>
      <c r="H1035">
        <v>55601</v>
      </c>
      <c r="I1035" t="s">
        <v>353</v>
      </c>
      <c r="J1035" t="s">
        <v>3247</v>
      </c>
      <c r="K1035" t="s">
        <v>3</v>
      </c>
      <c r="L1035" s="2">
        <v>43252</v>
      </c>
      <c r="M1035" s="2">
        <f>DOCXX[[#This Row],[INV DOC DATE]]+30</f>
        <v>43282</v>
      </c>
      <c r="N1035" s="2">
        <v>43279</v>
      </c>
      <c r="O1035" s="7">
        <v>225</v>
      </c>
      <c r="P1035" s="2">
        <v>43290</v>
      </c>
      <c r="Q1035" s="7">
        <f>$E1035-$O1035</f>
        <v>0</v>
      </c>
      <c r="R1035" s="7" t="str">
        <f ca="1">IF(TODAY() - DOCXX[INV DUE DATE]&lt;30, "Less than 30 days",IF(TODAY()-DOCXX[INV DUE DATE]&lt;60,"30-60 days","More than 60 days"))</f>
        <v>Less than 30 days</v>
      </c>
      <c r="S1035" t="s">
        <v>818</v>
      </c>
      <c r="T1035" s="43" t="s">
        <v>2229</v>
      </c>
      <c r="U1035" s="7" t="s">
        <v>3699</v>
      </c>
    </row>
    <row r="1036" spans="1:21" x14ac:dyDescent="0.3">
      <c r="A1036" s="14" t="s">
        <v>4132</v>
      </c>
      <c r="B1036" t="s">
        <v>118</v>
      </c>
      <c r="C1036" t="s">
        <v>99</v>
      </c>
      <c r="D1036">
        <v>1</v>
      </c>
      <c r="E1036" s="7">
        <v>225</v>
      </c>
      <c r="H1036">
        <v>55601</v>
      </c>
      <c r="I1036" t="s">
        <v>353</v>
      </c>
      <c r="J1036" t="s">
        <v>3248</v>
      </c>
      <c r="K1036" t="s">
        <v>3</v>
      </c>
      <c r="L1036" s="2">
        <v>43252</v>
      </c>
      <c r="M1036" s="2">
        <f>DOCXX[[#This Row],[INV DOC DATE]]+30</f>
        <v>43282</v>
      </c>
      <c r="N1036" s="2">
        <v>43279</v>
      </c>
      <c r="O1036" s="7">
        <v>225</v>
      </c>
      <c r="P1036" s="2">
        <v>43290</v>
      </c>
      <c r="Q1036" s="7">
        <f>$E1036-$O1036</f>
        <v>0</v>
      </c>
      <c r="R1036" s="7" t="str">
        <f ca="1">IF(TODAY() - DOCXX[INV DUE DATE]&lt;30, "Less than 30 days",IF(TODAY()-DOCXX[INV DUE DATE]&lt;60,"30-60 days","More than 60 days"))</f>
        <v>Less than 30 days</v>
      </c>
      <c r="S1036" t="s">
        <v>818</v>
      </c>
      <c r="T1036" s="43" t="s">
        <v>2229</v>
      </c>
      <c r="U1036" s="7" t="s">
        <v>3699</v>
      </c>
    </row>
    <row r="1037" spans="1:21" x14ac:dyDescent="0.3">
      <c r="A1037" s="14" t="s">
        <v>4132</v>
      </c>
      <c r="B1037" t="s">
        <v>118</v>
      </c>
      <c r="C1037" t="s">
        <v>100</v>
      </c>
      <c r="D1037">
        <v>1</v>
      </c>
      <c r="E1037" s="7">
        <v>225</v>
      </c>
      <c r="H1037">
        <v>55601</v>
      </c>
      <c r="I1037" t="s">
        <v>353</v>
      </c>
      <c r="J1037" t="s">
        <v>3249</v>
      </c>
      <c r="K1037" t="s">
        <v>3</v>
      </c>
      <c r="L1037" s="2">
        <v>43252</v>
      </c>
      <c r="M1037" s="2">
        <f>DOCXX[[#This Row],[INV DOC DATE]]+30</f>
        <v>43282</v>
      </c>
      <c r="N1037" s="2">
        <v>43279</v>
      </c>
      <c r="O1037" s="7">
        <v>225</v>
      </c>
      <c r="P1037" s="2">
        <v>43290</v>
      </c>
      <c r="Q1037" s="7">
        <f>$E1037-$O1037</f>
        <v>0</v>
      </c>
      <c r="R1037" s="7" t="str">
        <f ca="1">IF(TODAY() - DOCXX[INV DUE DATE]&lt;30, "Less than 30 days",IF(TODAY()-DOCXX[INV DUE DATE]&lt;60,"30-60 days","More than 60 days"))</f>
        <v>Less than 30 days</v>
      </c>
      <c r="S1037" t="s">
        <v>818</v>
      </c>
      <c r="T1037" s="43" t="s">
        <v>2229</v>
      </c>
      <c r="U1037" s="7" t="s">
        <v>3699</v>
      </c>
    </row>
    <row r="1038" spans="1:21" x14ac:dyDescent="0.3">
      <c r="A1038" s="14" t="s">
        <v>4132</v>
      </c>
      <c r="B1038" t="s">
        <v>118</v>
      </c>
      <c r="C1038" t="s">
        <v>101</v>
      </c>
      <c r="D1038">
        <v>1</v>
      </c>
      <c r="E1038" s="7">
        <v>225</v>
      </c>
      <c r="H1038">
        <v>55601</v>
      </c>
      <c r="I1038" t="s">
        <v>353</v>
      </c>
      <c r="J1038" t="s">
        <v>3250</v>
      </c>
      <c r="K1038" t="s">
        <v>3</v>
      </c>
      <c r="L1038" s="2">
        <v>43252</v>
      </c>
      <c r="M1038" s="2">
        <f>DOCXX[[#This Row],[INV DOC DATE]]+30</f>
        <v>43282</v>
      </c>
      <c r="N1038" s="2">
        <v>43279</v>
      </c>
      <c r="O1038" s="7">
        <v>225</v>
      </c>
      <c r="P1038" s="2">
        <v>43290</v>
      </c>
      <c r="Q1038" s="7">
        <f>$E1038-$O1038</f>
        <v>0</v>
      </c>
      <c r="R1038" s="7" t="str">
        <f ca="1">IF(TODAY() - DOCXX[INV DUE DATE]&lt;30, "Less than 30 days",IF(TODAY()-DOCXX[INV DUE DATE]&lt;60,"30-60 days","More than 60 days"))</f>
        <v>Less than 30 days</v>
      </c>
      <c r="S1038" t="s">
        <v>818</v>
      </c>
      <c r="T1038" s="43" t="s">
        <v>2229</v>
      </c>
      <c r="U1038" s="7" t="s">
        <v>3699</v>
      </c>
    </row>
    <row r="1039" spans="1:21" x14ac:dyDescent="0.3">
      <c r="A1039" s="14" t="s">
        <v>4132</v>
      </c>
      <c r="B1039" t="s">
        <v>118</v>
      </c>
      <c r="C1039" t="s">
        <v>102</v>
      </c>
      <c r="D1039">
        <v>1</v>
      </c>
      <c r="E1039" s="7">
        <v>225</v>
      </c>
      <c r="H1039">
        <v>55601</v>
      </c>
      <c r="I1039" t="s">
        <v>353</v>
      </c>
      <c r="J1039" t="s">
        <v>3251</v>
      </c>
      <c r="K1039" t="s">
        <v>3</v>
      </c>
      <c r="L1039" s="2">
        <v>43252</v>
      </c>
      <c r="M1039" s="2">
        <f>DOCXX[[#This Row],[INV DOC DATE]]+30</f>
        <v>43282</v>
      </c>
      <c r="N1039" s="2">
        <v>43279</v>
      </c>
      <c r="O1039" s="7">
        <v>225</v>
      </c>
      <c r="P1039" s="2">
        <v>43290</v>
      </c>
      <c r="Q1039" s="7">
        <f>$E1039-$O1039</f>
        <v>0</v>
      </c>
      <c r="R1039" s="7" t="str">
        <f ca="1">IF(TODAY() - DOCXX[INV DUE DATE]&lt;30, "Less than 30 days",IF(TODAY()-DOCXX[INV DUE DATE]&lt;60,"30-60 days","More than 60 days"))</f>
        <v>Less than 30 days</v>
      </c>
      <c r="S1039" t="s">
        <v>818</v>
      </c>
      <c r="T1039" s="43" t="s">
        <v>2229</v>
      </c>
      <c r="U1039" s="7" t="s">
        <v>3699</v>
      </c>
    </row>
    <row r="1040" spans="1:21" x14ac:dyDescent="0.3">
      <c r="A1040" s="14" t="s">
        <v>4132</v>
      </c>
      <c r="B1040" t="s">
        <v>118</v>
      </c>
      <c r="C1040" t="s">
        <v>103</v>
      </c>
      <c r="D1040">
        <v>1</v>
      </c>
      <c r="E1040" s="7">
        <v>172.5</v>
      </c>
      <c r="H1040">
        <v>55601</v>
      </c>
      <c r="I1040" t="s">
        <v>353</v>
      </c>
      <c r="J1040" t="s">
        <v>3252</v>
      </c>
      <c r="K1040" t="s">
        <v>3</v>
      </c>
      <c r="L1040" s="2">
        <v>43252</v>
      </c>
      <c r="M1040" s="2">
        <f>DOCXX[[#This Row],[INV DOC DATE]]+30</f>
        <v>43282</v>
      </c>
      <c r="N1040" s="2">
        <v>43279</v>
      </c>
      <c r="O1040" s="7">
        <v>172.5</v>
      </c>
      <c r="P1040" s="2">
        <v>43290</v>
      </c>
      <c r="Q1040" s="7">
        <f>$E1040-$O1040</f>
        <v>0</v>
      </c>
      <c r="R1040" s="7" t="str">
        <f ca="1">IF(TODAY() - DOCXX[INV DUE DATE]&lt;30, "Less than 30 days",IF(TODAY()-DOCXX[INV DUE DATE]&lt;60,"30-60 days","More than 60 days"))</f>
        <v>Less than 30 days</v>
      </c>
      <c r="S1040" t="s">
        <v>818</v>
      </c>
      <c r="T1040" s="43" t="s">
        <v>2229</v>
      </c>
      <c r="U1040" s="7" t="s">
        <v>3699</v>
      </c>
    </row>
    <row r="1041" spans="1:21" x14ac:dyDescent="0.3">
      <c r="A1041" s="14" t="s">
        <v>4132</v>
      </c>
      <c r="B1041" t="s">
        <v>118</v>
      </c>
      <c r="C1041" t="s">
        <v>104</v>
      </c>
      <c r="D1041">
        <v>1</v>
      </c>
      <c r="E1041" s="7">
        <v>172.5</v>
      </c>
      <c r="H1041">
        <v>55609</v>
      </c>
      <c r="I1041" t="s">
        <v>349</v>
      </c>
      <c r="J1041" t="s">
        <v>3253</v>
      </c>
      <c r="K1041" t="s">
        <v>3</v>
      </c>
      <c r="L1041" s="2">
        <v>43252</v>
      </c>
      <c r="M1041" s="2">
        <f>DOCXX[[#This Row],[INV DOC DATE]]+30</f>
        <v>43282</v>
      </c>
      <c r="N1041" s="2">
        <v>43279</v>
      </c>
      <c r="O1041" s="7">
        <v>172.5</v>
      </c>
      <c r="P1041" s="2">
        <v>43290</v>
      </c>
      <c r="Q1041" s="7">
        <f>$E1041-$O1041</f>
        <v>0</v>
      </c>
      <c r="R1041" s="7" t="str">
        <f ca="1">IF(TODAY() - DOCXX[INV DUE DATE]&lt;30, "Less than 30 days",IF(TODAY()-DOCXX[INV DUE DATE]&lt;60,"30-60 days","More than 60 days"))</f>
        <v>Less than 30 days</v>
      </c>
      <c r="S1041" t="s">
        <v>818</v>
      </c>
      <c r="T1041" s="43" t="s">
        <v>2229</v>
      </c>
      <c r="U1041" s="7" t="s">
        <v>3699</v>
      </c>
    </row>
    <row r="1042" spans="1:21" x14ac:dyDescent="0.3">
      <c r="A1042" s="14" t="s">
        <v>4132</v>
      </c>
      <c r="B1042" t="s">
        <v>118</v>
      </c>
      <c r="C1042" t="s">
        <v>105</v>
      </c>
      <c r="D1042">
        <v>1</v>
      </c>
      <c r="E1042" s="7">
        <v>300</v>
      </c>
      <c r="H1042">
        <v>55644</v>
      </c>
      <c r="I1042" t="s">
        <v>348</v>
      </c>
      <c r="J1042" t="s">
        <v>3254</v>
      </c>
      <c r="K1042" t="s">
        <v>3</v>
      </c>
      <c r="L1042" s="2">
        <v>43252</v>
      </c>
      <c r="M1042" s="2">
        <f>DOCXX[[#This Row],[INV DOC DATE]]+30</f>
        <v>43282</v>
      </c>
      <c r="N1042" s="2">
        <v>43279</v>
      </c>
      <c r="O1042" s="7">
        <v>300</v>
      </c>
      <c r="P1042" s="2">
        <v>43290</v>
      </c>
      <c r="Q1042" s="7">
        <f>$E1042-$O1042</f>
        <v>0</v>
      </c>
      <c r="R1042" s="7" t="str">
        <f ca="1">IF(TODAY() - DOCXX[INV DUE DATE]&lt;30, "Less than 30 days",IF(TODAY()-DOCXX[INV DUE DATE]&lt;60,"30-60 days","More than 60 days"))</f>
        <v>Less than 30 days</v>
      </c>
      <c r="S1042" t="s">
        <v>818</v>
      </c>
      <c r="T1042" s="43" t="s">
        <v>2229</v>
      </c>
      <c r="U1042" s="7" t="s">
        <v>3699</v>
      </c>
    </row>
    <row r="1043" spans="1:21" x14ac:dyDescent="0.3">
      <c r="A1043" s="14" t="s">
        <v>4132</v>
      </c>
      <c r="B1043" t="s">
        <v>118</v>
      </c>
      <c r="C1043" t="s">
        <v>106</v>
      </c>
      <c r="D1043">
        <v>1</v>
      </c>
      <c r="E1043" s="7">
        <v>300</v>
      </c>
      <c r="H1043">
        <v>55644</v>
      </c>
      <c r="I1043" t="s">
        <v>348</v>
      </c>
      <c r="J1043" t="s">
        <v>3255</v>
      </c>
      <c r="K1043" t="s">
        <v>3</v>
      </c>
      <c r="L1043" s="2">
        <v>43252</v>
      </c>
      <c r="M1043" s="2">
        <f>DOCXX[[#This Row],[INV DOC DATE]]+30</f>
        <v>43282</v>
      </c>
      <c r="N1043" s="2">
        <v>43279</v>
      </c>
      <c r="O1043" s="7">
        <v>300</v>
      </c>
      <c r="P1043" s="2">
        <v>43290</v>
      </c>
      <c r="Q1043" s="7">
        <f>$E1043-$O1043</f>
        <v>0</v>
      </c>
      <c r="R1043" s="7" t="str">
        <f ca="1">IF(TODAY() - DOCXX[INV DUE DATE]&lt;30, "Less than 30 days",IF(TODAY()-DOCXX[INV DUE DATE]&lt;60,"30-60 days","More than 60 days"))</f>
        <v>Less than 30 days</v>
      </c>
      <c r="S1043" t="s">
        <v>818</v>
      </c>
      <c r="T1043" s="43" t="s">
        <v>2229</v>
      </c>
      <c r="U1043" s="7" t="s">
        <v>3699</v>
      </c>
    </row>
    <row r="1044" spans="1:21" x14ac:dyDescent="0.3">
      <c r="A1044" s="14" t="s">
        <v>4132</v>
      </c>
      <c r="B1044" t="s">
        <v>118</v>
      </c>
      <c r="C1044" t="s">
        <v>107</v>
      </c>
      <c r="D1044">
        <v>1</v>
      </c>
      <c r="E1044" s="7">
        <v>300</v>
      </c>
      <c r="H1044">
        <v>55644</v>
      </c>
      <c r="I1044" t="s">
        <v>348</v>
      </c>
      <c r="J1044" t="s">
        <v>3256</v>
      </c>
      <c r="K1044" t="s">
        <v>3</v>
      </c>
      <c r="L1044" s="2">
        <v>43252</v>
      </c>
      <c r="M1044" s="2">
        <f>DOCXX[[#This Row],[INV DOC DATE]]+30</f>
        <v>43282</v>
      </c>
      <c r="N1044" s="2">
        <v>43279</v>
      </c>
      <c r="O1044" s="7">
        <v>300</v>
      </c>
      <c r="P1044" s="2">
        <v>43290</v>
      </c>
      <c r="Q1044" s="7">
        <f>$E1044-$O1044</f>
        <v>0</v>
      </c>
      <c r="R1044" s="7" t="str">
        <f ca="1">IF(TODAY() - DOCXX[INV DUE DATE]&lt;30, "Less than 30 days",IF(TODAY()-DOCXX[INV DUE DATE]&lt;60,"30-60 days","More than 60 days"))</f>
        <v>Less than 30 days</v>
      </c>
      <c r="S1044" t="s">
        <v>818</v>
      </c>
      <c r="T1044" s="43" t="s">
        <v>2229</v>
      </c>
      <c r="U1044" s="7" t="s">
        <v>3699</v>
      </c>
    </row>
    <row r="1045" spans="1:21" x14ac:dyDescent="0.3">
      <c r="A1045" s="14" t="s">
        <v>4132</v>
      </c>
      <c r="B1045" t="s">
        <v>118</v>
      </c>
      <c r="C1045" t="s">
        <v>108</v>
      </c>
      <c r="D1045">
        <v>1</v>
      </c>
      <c r="E1045" s="7">
        <v>172.5</v>
      </c>
      <c r="H1045">
        <v>55785</v>
      </c>
      <c r="I1045" t="s">
        <v>354</v>
      </c>
      <c r="J1045" t="s">
        <v>3257</v>
      </c>
      <c r="K1045" t="s">
        <v>3</v>
      </c>
      <c r="L1045" s="2">
        <v>43252</v>
      </c>
      <c r="M1045" s="2">
        <f>DOCXX[[#This Row],[INV DOC DATE]]+30</f>
        <v>43282</v>
      </c>
      <c r="N1045" s="2">
        <v>43279</v>
      </c>
      <c r="O1045" s="7">
        <v>172.5</v>
      </c>
      <c r="P1045" s="2">
        <v>43290</v>
      </c>
      <c r="Q1045" s="7">
        <f>$E1045-$O1045</f>
        <v>0</v>
      </c>
      <c r="R1045" s="7" t="str">
        <f ca="1">IF(TODAY() - DOCXX[INV DUE DATE]&lt;30, "Less than 30 days",IF(TODAY()-DOCXX[INV DUE DATE]&lt;60,"30-60 days","More than 60 days"))</f>
        <v>Less than 30 days</v>
      </c>
      <c r="S1045" t="s">
        <v>818</v>
      </c>
      <c r="T1045" s="43" t="s">
        <v>2229</v>
      </c>
      <c r="U1045" s="7" t="s">
        <v>3699</v>
      </c>
    </row>
    <row r="1046" spans="1:21" x14ac:dyDescent="0.3">
      <c r="A1046" s="14" t="s">
        <v>4132</v>
      </c>
      <c r="B1046" t="s">
        <v>118</v>
      </c>
      <c r="C1046" t="s">
        <v>109</v>
      </c>
      <c r="D1046">
        <v>1</v>
      </c>
      <c r="E1046" s="7">
        <v>172.5</v>
      </c>
      <c r="H1046">
        <v>58008</v>
      </c>
      <c r="I1046" t="s">
        <v>355</v>
      </c>
      <c r="J1046" t="s">
        <v>3258</v>
      </c>
      <c r="K1046" t="s">
        <v>3</v>
      </c>
      <c r="L1046" s="2">
        <v>43252</v>
      </c>
      <c r="M1046" s="2">
        <f>DOCXX[[#This Row],[INV DOC DATE]]+30</f>
        <v>43282</v>
      </c>
      <c r="N1046" s="2">
        <v>43279</v>
      </c>
      <c r="O1046" s="7">
        <v>172.5</v>
      </c>
      <c r="P1046" s="2">
        <v>43290</v>
      </c>
      <c r="Q1046" s="7">
        <f>$E1046-$O1046</f>
        <v>0</v>
      </c>
      <c r="R1046" s="7" t="str">
        <f ca="1">IF(TODAY() - DOCXX[INV DUE DATE]&lt;30, "Less than 30 days",IF(TODAY()-DOCXX[INV DUE DATE]&lt;60,"30-60 days","More than 60 days"))</f>
        <v>Less than 30 days</v>
      </c>
      <c r="S1046" t="s">
        <v>818</v>
      </c>
      <c r="T1046" s="43" t="s">
        <v>2229</v>
      </c>
      <c r="U1046" s="7" t="s">
        <v>3699</v>
      </c>
    </row>
    <row r="1047" spans="1:21" x14ac:dyDescent="0.3">
      <c r="A1047" s="14" t="s">
        <v>4132</v>
      </c>
      <c r="B1047" t="s">
        <v>118</v>
      </c>
      <c r="C1047" t="s">
        <v>110</v>
      </c>
      <c r="D1047">
        <v>1</v>
      </c>
      <c r="E1047" s="7">
        <v>172.5</v>
      </c>
      <c r="H1047">
        <v>58008</v>
      </c>
      <c r="I1047" t="s">
        <v>355</v>
      </c>
      <c r="J1047" t="s">
        <v>3259</v>
      </c>
      <c r="K1047" t="s">
        <v>3</v>
      </c>
      <c r="L1047" s="2">
        <v>43252</v>
      </c>
      <c r="M1047" s="2">
        <f>DOCXX[[#This Row],[INV DOC DATE]]+30</f>
        <v>43282</v>
      </c>
      <c r="N1047" s="2">
        <v>43279</v>
      </c>
      <c r="O1047" s="7">
        <v>172.5</v>
      </c>
      <c r="P1047" s="2">
        <v>43290</v>
      </c>
      <c r="Q1047" s="7">
        <f>$E1047-$O1047</f>
        <v>0</v>
      </c>
      <c r="R1047" s="7" t="str">
        <f ca="1">IF(TODAY() - DOCXX[INV DUE DATE]&lt;30, "Less than 30 days",IF(TODAY()-DOCXX[INV DUE DATE]&lt;60,"30-60 days","More than 60 days"))</f>
        <v>Less than 30 days</v>
      </c>
      <c r="S1047" t="s">
        <v>818</v>
      </c>
      <c r="T1047" s="43" t="s">
        <v>2229</v>
      </c>
      <c r="U1047" s="7" t="s">
        <v>3699</v>
      </c>
    </row>
    <row r="1048" spans="1:21" x14ac:dyDescent="0.3">
      <c r="A1048" s="14" t="s">
        <v>4132</v>
      </c>
      <c r="B1048" t="s">
        <v>118</v>
      </c>
      <c r="C1048" t="s">
        <v>111</v>
      </c>
      <c r="D1048">
        <v>1</v>
      </c>
      <c r="E1048" s="7">
        <v>480</v>
      </c>
      <c r="H1048">
        <v>58008</v>
      </c>
      <c r="I1048" t="s">
        <v>355</v>
      </c>
      <c r="J1048" t="s">
        <v>3260</v>
      </c>
      <c r="K1048" t="s">
        <v>3</v>
      </c>
      <c r="L1048" s="2">
        <v>43252</v>
      </c>
      <c r="M1048" s="2">
        <f>DOCXX[[#This Row],[INV DOC DATE]]+30</f>
        <v>43282</v>
      </c>
      <c r="N1048" s="2">
        <v>43279</v>
      </c>
      <c r="O1048" s="7">
        <v>480</v>
      </c>
      <c r="P1048" s="2">
        <v>43290</v>
      </c>
      <c r="Q1048" s="7">
        <f>$E1048-$O1048</f>
        <v>0</v>
      </c>
      <c r="R1048" s="7" t="str">
        <f ca="1">IF(TODAY() - DOCXX[INV DUE DATE]&lt;30, "Less than 30 days",IF(TODAY()-DOCXX[INV DUE DATE]&lt;60,"30-60 days","More than 60 days"))</f>
        <v>Less than 30 days</v>
      </c>
      <c r="S1048" t="s">
        <v>818</v>
      </c>
      <c r="T1048" s="43" t="s">
        <v>2229</v>
      </c>
      <c r="U1048" s="7" t="s">
        <v>3699</v>
      </c>
    </row>
    <row r="1049" spans="1:21" x14ac:dyDescent="0.3">
      <c r="A1049" s="14" t="s">
        <v>4132</v>
      </c>
      <c r="B1049" t="s">
        <v>118</v>
      </c>
      <c r="C1049" t="s">
        <v>112</v>
      </c>
      <c r="D1049">
        <v>1</v>
      </c>
      <c r="E1049" s="7">
        <v>480</v>
      </c>
      <c r="H1049">
        <v>58008</v>
      </c>
      <c r="I1049" t="s">
        <v>355</v>
      </c>
      <c r="J1049" t="s">
        <v>3261</v>
      </c>
      <c r="K1049" t="s">
        <v>3</v>
      </c>
      <c r="L1049" s="2">
        <v>43252</v>
      </c>
      <c r="M1049" s="2">
        <f>DOCXX[[#This Row],[INV DOC DATE]]+30</f>
        <v>43282</v>
      </c>
      <c r="N1049" s="2">
        <v>43279</v>
      </c>
      <c r="O1049" s="7">
        <v>480</v>
      </c>
      <c r="P1049" s="2">
        <v>43290</v>
      </c>
      <c r="Q1049" s="7">
        <f>$E1049-$O1049</f>
        <v>0</v>
      </c>
      <c r="R1049" s="7" t="str">
        <f ca="1">IF(TODAY() - DOCXX[INV DUE DATE]&lt;30, "Less than 30 days",IF(TODAY()-DOCXX[INV DUE DATE]&lt;60,"30-60 days","More than 60 days"))</f>
        <v>Less than 30 days</v>
      </c>
      <c r="S1049" t="s">
        <v>818</v>
      </c>
      <c r="T1049" s="43" t="s">
        <v>2229</v>
      </c>
      <c r="U1049" s="7" t="s">
        <v>3699</v>
      </c>
    </row>
    <row r="1050" spans="1:21" x14ac:dyDescent="0.3">
      <c r="A1050" s="14" t="s">
        <v>4132</v>
      </c>
      <c r="B1050" t="s">
        <v>118</v>
      </c>
      <c r="C1050" t="s">
        <v>113</v>
      </c>
      <c r="D1050">
        <v>1</v>
      </c>
      <c r="E1050" s="7">
        <v>480</v>
      </c>
      <c r="H1050">
        <v>58008</v>
      </c>
      <c r="I1050" t="s">
        <v>355</v>
      </c>
      <c r="J1050" t="s">
        <v>3262</v>
      </c>
      <c r="K1050" t="s">
        <v>3</v>
      </c>
      <c r="L1050" s="2">
        <v>43252</v>
      </c>
      <c r="M1050" s="2">
        <f>DOCXX[[#This Row],[INV DOC DATE]]+30</f>
        <v>43282</v>
      </c>
      <c r="N1050" s="2">
        <v>43279</v>
      </c>
      <c r="O1050" s="7">
        <v>480</v>
      </c>
      <c r="P1050" s="2">
        <v>43290</v>
      </c>
      <c r="Q1050" s="7">
        <f>$E1050-$O1050</f>
        <v>0</v>
      </c>
      <c r="R1050" s="7" t="str">
        <f ca="1">IF(TODAY() - DOCXX[INV DUE DATE]&lt;30, "Less than 30 days",IF(TODAY()-DOCXX[INV DUE DATE]&lt;60,"30-60 days","More than 60 days"))</f>
        <v>Less than 30 days</v>
      </c>
      <c r="S1050" t="s">
        <v>818</v>
      </c>
      <c r="T1050" s="43" t="s">
        <v>2229</v>
      </c>
      <c r="U1050" s="7" t="s">
        <v>3699</v>
      </c>
    </row>
    <row r="1051" spans="1:21" x14ac:dyDescent="0.3">
      <c r="A1051" s="14" t="s">
        <v>4132</v>
      </c>
      <c r="B1051" t="s">
        <v>118</v>
      </c>
      <c r="C1051" t="s">
        <v>114</v>
      </c>
      <c r="D1051">
        <v>1</v>
      </c>
      <c r="E1051" s="7">
        <v>480</v>
      </c>
      <c r="H1051">
        <v>58008</v>
      </c>
      <c r="I1051" t="s">
        <v>355</v>
      </c>
      <c r="J1051" t="s">
        <v>3263</v>
      </c>
      <c r="K1051" t="s">
        <v>3</v>
      </c>
      <c r="L1051" s="2">
        <v>43252</v>
      </c>
      <c r="M1051" s="2">
        <f>DOCXX[[#This Row],[INV DOC DATE]]+30</f>
        <v>43282</v>
      </c>
      <c r="N1051" s="2">
        <v>43279</v>
      </c>
      <c r="O1051" s="7">
        <v>480</v>
      </c>
      <c r="P1051" s="2">
        <v>43290</v>
      </c>
      <c r="Q1051" s="7">
        <f>$E1051-$O1051</f>
        <v>0</v>
      </c>
      <c r="R1051" s="7" t="str">
        <f ca="1">IF(TODAY() - DOCXX[INV DUE DATE]&lt;30, "Less than 30 days",IF(TODAY()-DOCXX[INV DUE DATE]&lt;60,"30-60 days","More than 60 days"))</f>
        <v>Less than 30 days</v>
      </c>
      <c r="S1051" t="s">
        <v>818</v>
      </c>
      <c r="T1051" s="43" t="s">
        <v>2229</v>
      </c>
      <c r="U1051" s="7" t="s">
        <v>3699</v>
      </c>
    </row>
    <row r="1052" spans="1:21" x14ac:dyDescent="0.3">
      <c r="A1052" s="14" t="s">
        <v>4132</v>
      </c>
      <c r="B1052" t="s">
        <v>118</v>
      </c>
      <c r="C1052" t="s">
        <v>115</v>
      </c>
      <c r="D1052">
        <v>1</v>
      </c>
      <c r="E1052" s="7">
        <v>480</v>
      </c>
      <c r="H1052">
        <v>58008</v>
      </c>
      <c r="I1052" t="s">
        <v>355</v>
      </c>
      <c r="J1052" t="s">
        <v>3264</v>
      </c>
      <c r="K1052" t="s">
        <v>3</v>
      </c>
      <c r="L1052" s="2">
        <v>43252</v>
      </c>
      <c r="M1052" s="2">
        <f>DOCXX[[#This Row],[INV DOC DATE]]+30</f>
        <v>43282</v>
      </c>
      <c r="N1052" s="2">
        <v>43279</v>
      </c>
      <c r="O1052" s="7">
        <v>480</v>
      </c>
      <c r="P1052" s="2">
        <v>43290</v>
      </c>
      <c r="Q1052" s="7">
        <f>$E1052-$O1052</f>
        <v>0</v>
      </c>
      <c r="R1052" s="7" t="str">
        <f ca="1">IF(TODAY() - DOCXX[INV DUE DATE]&lt;30, "Less than 30 days",IF(TODAY()-DOCXX[INV DUE DATE]&lt;60,"30-60 days","More than 60 days"))</f>
        <v>Less than 30 days</v>
      </c>
      <c r="S1052" t="s">
        <v>818</v>
      </c>
      <c r="T1052" s="43" t="s">
        <v>2229</v>
      </c>
      <c r="U1052" s="7" t="s">
        <v>3699</v>
      </c>
    </row>
    <row r="1053" spans="1:21" x14ac:dyDescent="0.3">
      <c r="A1053" s="14" t="s">
        <v>4132</v>
      </c>
      <c r="B1053" t="s">
        <v>118</v>
      </c>
      <c r="C1053" t="s">
        <v>116</v>
      </c>
      <c r="D1053">
        <v>1</v>
      </c>
      <c r="E1053" s="7">
        <v>270</v>
      </c>
      <c r="H1053">
        <v>58008</v>
      </c>
      <c r="I1053" t="s">
        <v>355</v>
      </c>
      <c r="J1053" t="s">
        <v>3265</v>
      </c>
      <c r="K1053" t="s">
        <v>3</v>
      </c>
      <c r="L1053" s="2">
        <v>43252</v>
      </c>
      <c r="M1053" s="2">
        <f>DOCXX[[#This Row],[INV DOC DATE]]+30</f>
        <v>43282</v>
      </c>
      <c r="N1053" s="2">
        <v>43279</v>
      </c>
      <c r="O1053" s="7">
        <v>270</v>
      </c>
      <c r="P1053" s="2">
        <v>43290</v>
      </c>
      <c r="Q1053" s="7">
        <f>$E1053-$O1053</f>
        <v>0</v>
      </c>
      <c r="R1053" s="7" t="str">
        <f ca="1">IF(TODAY() - DOCXX[INV DUE DATE]&lt;30, "Less than 30 days",IF(TODAY()-DOCXX[INV DUE DATE]&lt;60,"30-60 days","More than 60 days"))</f>
        <v>Less than 30 days</v>
      </c>
      <c r="S1053" t="s">
        <v>818</v>
      </c>
      <c r="T1053" s="43" t="s">
        <v>2229</v>
      </c>
      <c r="U1053" s="7" t="s">
        <v>3699</v>
      </c>
    </row>
    <row r="1054" spans="1:21" x14ac:dyDescent="0.3">
      <c r="A1054" s="14" t="s">
        <v>4132</v>
      </c>
      <c r="B1054" t="s">
        <v>118</v>
      </c>
      <c r="C1054" t="s">
        <v>117</v>
      </c>
      <c r="D1054">
        <v>1</v>
      </c>
      <c r="E1054" s="7">
        <v>270</v>
      </c>
      <c r="H1054">
        <v>58008</v>
      </c>
      <c r="I1054" t="s">
        <v>355</v>
      </c>
      <c r="J1054" t="s">
        <v>3266</v>
      </c>
      <c r="K1054" t="s">
        <v>3</v>
      </c>
      <c r="L1054" s="2">
        <v>43252</v>
      </c>
      <c r="M1054" s="2">
        <f>DOCXX[[#This Row],[INV DOC DATE]]+30</f>
        <v>43282</v>
      </c>
      <c r="N1054" s="2">
        <v>43279</v>
      </c>
      <c r="O1054" s="7">
        <v>270</v>
      </c>
      <c r="P1054" s="2">
        <v>43290</v>
      </c>
      <c r="Q1054" s="7">
        <f>$E1054-$O1054</f>
        <v>0</v>
      </c>
      <c r="R1054" s="7" t="str">
        <f ca="1">IF(TODAY() - DOCXX[INV DUE DATE]&lt;30, "Less than 30 days",IF(TODAY()-DOCXX[INV DUE DATE]&lt;60,"30-60 days","More than 60 days"))</f>
        <v>Less than 30 days</v>
      </c>
      <c r="S1054" t="s">
        <v>818</v>
      </c>
      <c r="T1054" s="43" t="s">
        <v>2229</v>
      </c>
      <c r="U1054" s="7" t="s">
        <v>3699</v>
      </c>
    </row>
    <row r="1055" spans="1:21" x14ac:dyDescent="0.3">
      <c r="A1055" s="14" t="s">
        <v>4132</v>
      </c>
      <c r="B1055" t="s">
        <v>118</v>
      </c>
      <c r="C1055" t="s">
        <v>118</v>
      </c>
      <c r="D1055">
        <v>1</v>
      </c>
      <c r="E1055" s="7">
        <v>270</v>
      </c>
      <c r="H1055">
        <v>58008</v>
      </c>
      <c r="I1055" t="s">
        <v>355</v>
      </c>
      <c r="J1055" t="s">
        <v>3267</v>
      </c>
      <c r="K1055" t="s">
        <v>3</v>
      </c>
      <c r="L1055" s="2">
        <v>43252</v>
      </c>
      <c r="M1055" s="2">
        <f>DOCXX[[#This Row],[INV DOC DATE]]+30</f>
        <v>43282</v>
      </c>
      <c r="N1055" s="2">
        <v>43279</v>
      </c>
      <c r="O1055" s="7">
        <v>270</v>
      </c>
      <c r="P1055" s="2">
        <v>43290</v>
      </c>
      <c r="Q1055" s="7">
        <f>$E1055-$O1055</f>
        <v>0</v>
      </c>
      <c r="R1055" s="7" t="str">
        <f ca="1">IF(TODAY() - DOCXX[INV DUE DATE]&lt;30, "Less than 30 days",IF(TODAY()-DOCXX[INV DUE DATE]&lt;60,"30-60 days","More than 60 days"))</f>
        <v>Less than 30 days</v>
      </c>
      <c r="S1055" t="s">
        <v>818</v>
      </c>
      <c r="T1055" s="43" t="s">
        <v>2229</v>
      </c>
      <c r="U1055" s="7" t="s">
        <v>3699</v>
      </c>
    </row>
    <row r="1056" spans="1:21" x14ac:dyDescent="0.3">
      <c r="A1056" s="14" t="s">
        <v>4132</v>
      </c>
      <c r="B1056" t="s">
        <v>118</v>
      </c>
      <c r="C1056" t="s">
        <v>119</v>
      </c>
      <c r="D1056">
        <v>1</v>
      </c>
      <c r="E1056" s="7">
        <v>270</v>
      </c>
      <c r="H1056">
        <v>58008</v>
      </c>
      <c r="I1056" t="s">
        <v>355</v>
      </c>
      <c r="J1056" t="s">
        <v>3268</v>
      </c>
      <c r="K1056" t="s">
        <v>3</v>
      </c>
      <c r="L1056" s="2">
        <v>43252</v>
      </c>
      <c r="M1056" s="2">
        <f>DOCXX[[#This Row],[INV DOC DATE]]+30</f>
        <v>43282</v>
      </c>
      <c r="N1056" s="2">
        <v>43279</v>
      </c>
      <c r="O1056" s="7">
        <v>270</v>
      </c>
      <c r="P1056" s="2">
        <v>43290</v>
      </c>
      <c r="Q1056" s="7">
        <f>$E1056-$O1056</f>
        <v>0</v>
      </c>
      <c r="R1056" s="7" t="str">
        <f ca="1">IF(TODAY() - DOCXX[INV DUE DATE]&lt;30, "Less than 30 days",IF(TODAY()-DOCXX[INV DUE DATE]&lt;60,"30-60 days","More than 60 days"))</f>
        <v>Less than 30 days</v>
      </c>
      <c r="S1056" t="s">
        <v>818</v>
      </c>
      <c r="T1056" s="43" t="s">
        <v>2229</v>
      </c>
      <c r="U1056" s="7" t="s">
        <v>3699</v>
      </c>
    </row>
    <row r="1057" spans="1:21" x14ac:dyDescent="0.3">
      <c r="A1057" s="14" t="s">
        <v>4132</v>
      </c>
      <c r="B1057" t="s">
        <v>118</v>
      </c>
      <c r="C1057" t="s">
        <v>120</v>
      </c>
      <c r="D1057">
        <v>1</v>
      </c>
      <c r="E1057" s="7">
        <v>270</v>
      </c>
      <c r="H1057">
        <v>58008</v>
      </c>
      <c r="I1057" t="s">
        <v>355</v>
      </c>
      <c r="J1057" t="s">
        <v>3269</v>
      </c>
      <c r="K1057" t="s">
        <v>3</v>
      </c>
      <c r="L1057" s="2">
        <v>43252</v>
      </c>
      <c r="M1057" s="2">
        <f>DOCXX[[#This Row],[INV DOC DATE]]+30</f>
        <v>43282</v>
      </c>
      <c r="N1057" s="2">
        <v>43279</v>
      </c>
      <c r="O1057" s="7">
        <v>270</v>
      </c>
      <c r="P1057" s="2">
        <v>43290</v>
      </c>
      <c r="Q1057" s="7">
        <f>$E1057-$O1057</f>
        <v>0</v>
      </c>
      <c r="R1057" s="7" t="str">
        <f ca="1">IF(TODAY() - DOCXX[INV DUE DATE]&lt;30, "Less than 30 days",IF(TODAY()-DOCXX[INV DUE DATE]&lt;60,"30-60 days","More than 60 days"))</f>
        <v>Less than 30 days</v>
      </c>
      <c r="S1057" t="s">
        <v>818</v>
      </c>
      <c r="T1057" s="43" t="s">
        <v>2229</v>
      </c>
      <c r="U1057" s="7" t="s">
        <v>3699</v>
      </c>
    </row>
    <row r="1058" spans="1:21" x14ac:dyDescent="0.3">
      <c r="A1058" s="14" t="s">
        <v>4132</v>
      </c>
      <c r="B1058" t="s">
        <v>118</v>
      </c>
      <c r="C1058" t="s">
        <v>121</v>
      </c>
      <c r="D1058">
        <v>1</v>
      </c>
      <c r="E1058" s="7">
        <v>172.5</v>
      </c>
      <c r="H1058">
        <v>66652</v>
      </c>
      <c r="I1058" t="s">
        <v>356</v>
      </c>
      <c r="J1058" t="s">
        <v>3270</v>
      </c>
      <c r="K1058" t="s">
        <v>3</v>
      </c>
      <c r="L1058" s="2">
        <v>43252</v>
      </c>
      <c r="M1058" s="2">
        <f>DOCXX[[#This Row],[INV DOC DATE]]+30</f>
        <v>43282</v>
      </c>
      <c r="N1058" s="2">
        <v>43279</v>
      </c>
      <c r="O1058" s="7">
        <v>172.5</v>
      </c>
      <c r="P1058" s="2">
        <v>43290</v>
      </c>
      <c r="Q1058" s="7">
        <f>$E1058-$O1058</f>
        <v>0</v>
      </c>
      <c r="R1058" s="7" t="str">
        <f ca="1">IF(TODAY() - DOCXX[INV DUE DATE]&lt;30, "Less than 30 days",IF(TODAY()-DOCXX[INV DUE DATE]&lt;60,"30-60 days","More than 60 days"))</f>
        <v>Less than 30 days</v>
      </c>
      <c r="S1058" t="s">
        <v>818</v>
      </c>
      <c r="T1058" s="43" t="s">
        <v>2229</v>
      </c>
      <c r="U1058" s="7" t="s">
        <v>3699</v>
      </c>
    </row>
    <row r="1059" spans="1:21" x14ac:dyDescent="0.3">
      <c r="A1059" s="14" t="s">
        <v>4132</v>
      </c>
      <c r="B1059" t="s">
        <v>118</v>
      </c>
      <c r="C1059" t="s">
        <v>122</v>
      </c>
      <c r="D1059">
        <v>1</v>
      </c>
      <c r="E1059" s="7">
        <v>172.5</v>
      </c>
      <c r="H1059">
        <v>66660</v>
      </c>
      <c r="I1059" t="s">
        <v>357</v>
      </c>
      <c r="J1059" t="s">
        <v>3271</v>
      </c>
      <c r="K1059" t="s">
        <v>3</v>
      </c>
      <c r="L1059" s="2">
        <v>43252</v>
      </c>
      <c r="M1059" s="2">
        <f>DOCXX[[#This Row],[INV DOC DATE]]+30</f>
        <v>43282</v>
      </c>
      <c r="N1059" s="2">
        <v>43279</v>
      </c>
      <c r="O1059" s="7">
        <v>172.5</v>
      </c>
      <c r="P1059" s="2">
        <v>43290</v>
      </c>
      <c r="Q1059" s="7">
        <f>$E1059-$O1059</f>
        <v>0</v>
      </c>
      <c r="R1059" s="7" t="str">
        <f ca="1">IF(TODAY() - DOCXX[INV DUE DATE]&lt;30, "Less than 30 days",IF(TODAY()-DOCXX[INV DUE DATE]&lt;60,"30-60 days","More than 60 days"))</f>
        <v>Less than 30 days</v>
      </c>
      <c r="S1059" t="s">
        <v>818</v>
      </c>
      <c r="T1059" s="43" t="s">
        <v>2229</v>
      </c>
      <c r="U1059" s="7" t="s">
        <v>3699</v>
      </c>
    </row>
    <row r="1060" spans="1:21" x14ac:dyDescent="0.3">
      <c r="A1060" s="14" t="s">
        <v>4132</v>
      </c>
      <c r="B1060" t="s">
        <v>118</v>
      </c>
      <c r="C1060" t="s">
        <v>123</v>
      </c>
      <c r="D1060">
        <v>1</v>
      </c>
      <c r="E1060" s="7">
        <v>172.5</v>
      </c>
      <c r="H1060">
        <v>66660</v>
      </c>
      <c r="I1060" t="s">
        <v>357</v>
      </c>
      <c r="J1060" t="s">
        <v>3272</v>
      </c>
      <c r="K1060" t="s">
        <v>3</v>
      </c>
      <c r="L1060" s="2">
        <v>43252</v>
      </c>
      <c r="M1060" s="2">
        <f>DOCXX[[#This Row],[INV DOC DATE]]+30</f>
        <v>43282</v>
      </c>
      <c r="N1060" s="2">
        <v>43279</v>
      </c>
      <c r="O1060" s="7">
        <v>172.5</v>
      </c>
      <c r="P1060" s="2">
        <v>43290</v>
      </c>
      <c r="Q1060" s="7">
        <f>$E1060-$O1060</f>
        <v>0</v>
      </c>
      <c r="R1060" s="7" t="str">
        <f ca="1">IF(TODAY() - DOCXX[INV DUE DATE]&lt;30, "Less than 30 days",IF(TODAY()-DOCXX[INV DUE DATE]&lt;60,"30-60 days","More than 60 days"))</f>
        <v>Less than 30 days</v>
      </c>
      <c r="S1060" t="s">
        <v>818</v>
      </c>
      <c r="T1060" s="43" t="s">
        <v>2229</v>
      </c>
      <c r="U1060" s="7" t="s">
        <v>3699</v>
      </c>
    </row>
    <row r="1061" spans="1:21" x14ac:dyDescent="0.3">
      <c r="A1061" s="14" t="s">
        <v>4132</v>
      </c>
      <c r="B1061" t="s">
        <v>118</v>
      </c>
      <c r="C1061" t="s">
        <v>124</v>
      </c>
      <c r="D1061">
        <v>1</v>
      </c>
      <c r="E1061" s="7">
        <v>172.5</v>
      </c>
      <c r="H1061">
        <v>66660</v>
      </c>
      <c r="I1061" t="s">
        <v>357</v>
      </c>
      <c r="J1061" t="s">
        <v>3273</v>
      </c>
      <c r="K1061" t="s">
        <v>3</v>
      </c>
      <c r="L1061" s="2">
        <v>43252</v>
      </c>
      <c r="M1061" s="2">
        <f>DOCXX[[#This Row],[INV DOC DATE]]+30</f>
        <v>43282</v>
      </c>
      <c r="N1061" s="2">
        <v>43279</v>
      </c>
      <c r="O1061" s="7">
        <v>172.5</v>
      </c>
      <c r="P1061" s="2">
        <v>43290</v>
      </c>
      <c r="Q1061" s="7">
        <f>$E1061-$O1061</f>
        <v>0</v>
      </c>
      <c r="R1061" s="7" t="str">
        <f ca="1">IF(TODAY() - DOCXX[INV DUE DATE]&lt;30, "Less than 30 days",IF(TODAY()-DOCXX[INV DUE DATE]&lt;60,"30-60 days","More than 60 days"))</f>
        <v>Less than 30 days</v>
      </c>
      <c r="S1061" t="s">
        <v>818</v>
      </c>
      <c r="T1061" s="43" t="s">
        <v>2229</v>
      </c>
      <c r="U1061" s="7" t="s">
        <v>3699</v>
      </c>
    </row>
    <row r="1062" spans="1:21" x14ac:dyDescent="0.3">
      <c r="A1062" s="14" t="s">
        <v>4132</v>
      </c>
      <c r="B1062" t="s">
        <v>118</v>
      </c>
      <c r="C1062" t="s">
        <v>125</v>
      </c>
      <c r="D1062">
        <v>1</v>
      </c>
      <c r="E1062" s="7">
        <v>172.5</v>
      </c>
      <c r="H1062">
        <v>67859</v>
      </c>
      <c r="I1062" t="s">
        <v>349</v>
      </c>
      <c r="J1062" t="s">
        <v>3274</v>
      </c>
      <c r="K1062" t="s">
        <v>3</v>
      </c>
      <c r="L1062" s="2">
        <v>43252</v>
      </c>
      <c r="M1062" s="2">
        <f>DOCXX[[#This Row],[INV DOC DATE]]+30</f>
        <v>43282</v>
      </c>
      <c r="N1062" s="2">
        <v>43279</v>
      </c>
      <c r="O1062" s="7">
        <v>172.5</v>
      </c>
      <c r="P1062" s="2">
        <v>43290</v>
      </c>
      <c r="Q1062" s="7">
        <f>$E1062-$O1062</f>
        <v>0</v>
      </c>
      <c r="R1062" s="7" t="str">
        <f ca="1">IF(TODAY() - DOCXX[INV DUE DATE]&lt;30, "Less than 30 days",IF(TODAY()-DOCXX[INV DUE DATE]&lt;60,"30-60 days","More than 60 days"))</f>
        <v>Less than 30 days</v>
      </c>
      <c r="S1062" t="s">
        <v>818</v>
      </c>
      <c r="T1062" s="43" t="s">
        <v>2229</v>
      </c>
      <c r="U1062" s="7" t="s">
        <v>3699</v>
      </c>
    </row>
    <row r="1063" spans="1:21" x14ac:dyDescent="0.3">
      <c r="A1063" s="14" t="s">
        <v>4132</v>
      </c>
      <c r="B1063" t="s">
        <v>118</v>
      </c>
      <c r="C1063" t="s">
        <v>126</v>
      </c>
      <c r="D1063">
        <v>1</v>
      </c>
      <c r="E1063" s="7">
        <v>172.5</v>
      </c>
      <c r="H1063">
        <v>67859</v>
      </c>
      <c r="I1063" t="s">
        <v>349</v>
      </c>
      <c r="J1063" t="s">
        <v>3275</v>
      </c>
      <c r="K1063" t="s">
        <v>3</v>
      </c>
      <c r="L1063" s="2">
        <v>43252</v>
      </c>
      <c r="M1063" s="2">
        <f>DOCXX[[#This Row],[INV DOC DATE]]+30</f>
        <v>43282</v>
      </c>
      <c r="N1063" s="2">
        <v>43279</v>
      </c>
      <c r="O1063" s="7">
        <v>172.5</v>
      </c>
      <c r="P1063" s="2">
        <v>43290</v>
      </c>
      <c r="Q1063" s="7">
        <f>$E1063-$O1063</f>
        <v>0</v>
      </c>
      <c r="R1063" s="7" t="str">
        <f ca="1">IF(TODAY() - DOCXX[INV DUE DATE]&lt;30, "Less than 30 days",IF(TODAY()-DOCXX[INV DUE DATE]&lt;60,"30-60 days","More than 60 days"))</f>
        <v>Less than 30 days</v>
      </c>
      <c r="S1063" t="s">
        <v>818</v>
      </c>
      <c r="T1063" s="43" t="s">
        <v>2229</v>
      </c>
      <c r="U1063" s="7" t="s">
        <v>3699</v>
      </c>
    </row>
    <row r="1064" spans="1:21" x14ac:dyDescent="0.3">
      <c r="A1064" s="14" t="s">
        <v>4132</v>
      </c>
      <c r="B1064" t="s">
        <v>118</v>
      </c>
      <c r="C1064" t="s">
        <v>127</v>
      </c>
      <c r="D1064">
        <v>1</v>
      </c>
      <c r="E1064" s="7">
        <v>172.5</v>
      </c>
      <c r="H1064">
        <v>68162</v>
      </c>
      <c r="I1064" t="s">
        <v>358</v>
      </c>
      <c r="J1064" t="s">
        <v>3276</v>
      </c>
      <c r="K1064" t="s">
        <v>3</v>
      </c>
      <c r="L1064" s="2">
        <v>43252</v>
      </c>
      <c r="M1064" s="2">
        <f>DOCXX[[#This Row],[INV DOC DATE]]+30</f>
        <v>43282</v>
      </c>
      <c r="N1064" s="2">
        <v>43279</v>
      </c>
      <c r="O1064" s="7">
        <v>172.5</v>
      </c>
      <c r="P1064" s="2">
        <v>43290</v>
      </c>
      <c r="Q1064" s="7">
        <f>$E1064-$O1064</f>
        <v>0</v>
      </c>
      <c r="R1064" s="7" t="str">
        <f ca="1">IF(TODAY() - DOCXX[INV DUE DATE]&lt;30, "Less than 30 days",IF(TODAY()-DOCXX[INV DUE DATE]&lt;60,"30-60 days","More than 60 days"))</f>
        <v>Less than 30 days</v>
      </c>
      <c r="S1064" t="s">
        <v>818</v>
      </c>
      <c r="T1064" s="43" t="s">
        <v>2229</v>
      </c>
      <c r="U1064" s="7" t="s">
        <v>3699</v>
      </c>
    </row>
    <row r="1065" spans="1:21" x14ac:dyDescent="0.3">
      <c r="A1065" s="14" t="s">
        <v>4132</v>
      </c>
      <c r="B1065" t="s">
        <v>118</v>
      </c>
      <c r="C1065" t="s">
        <v>128</v>
      </c>
      <c r="D1065">
        <v>1</v>
      </c>
      <c r="E1065" s="7">
        <v>172.5</v>
      </c>
      <c r="H1065">
        <v>68162</v>
      </c>
      <c r="I1065" t="s">
        <v>358</v>
      </c>
      <c r="J1065" t="s">
        <v>3277</v>
      </c>
      <c r="K1065" t="s">
        <v>3</v>
      </c>
      <c r="L1065" s="2">
        <v>43252</v>
      </c>
      <c r="M1065" s="2">
        <f>DOCXX[[#This Row],[INV DOC DATE]]+30</f>
        <v>43282</v>
      </c>
      <c r="N1065" s="2">
        <v>43279</v>
      </c>
      <c r="O1065" s="7">
        <v>172.5</v>
      </c>
      <c r="P1065" s="2">
        <v>43290</v>
      </c>
      <c r="Q1065" s="7">
        <f>$E1065-$O1065</f>
        <v>0</v>
      </c>
      <c r="R1065" s="7" t="str">
        <f ca="1">IF(TODAY() - DOCXX[INV DUE DATE]&lt;30, "Less than 30 days",IF(TODAY()-DOCXX[INV DUE DATE]&lt;60,"30-60 days","More than 60 days"))</f>
        <v>Less than 30 days</v>
      </c>
      <c r="S1065" t="s">
        <v>818</v>
      </c>
      <c r="T1065" s="43" t="s">
        <v>2229</v>
      </c>
      <c r="U1065" s="7" t="s">
        <v>3699</v>
      </c>
    </row>
    <row r="1066" spans="1:21" x14ac:dyDescent="0.3">
      <c r="A1066" s="14" t="s">
        <v>4132</v>
      </c>
      <c r="B1066" t="s">
        <v>118</v>
      </c>
      <c r="C1066" t="s">
        <v>129</v>
      </c>
      <c r="D1066">
        <v>1</v>
      </c>
      <c r="E1066" s="7">
        <v>172.5</v>
      </c>
      <c r="H1066">
        <v>68162</v>
      </c>
      <c r="I1066" t="s">
        <v>358</v>
      </c>
      <c r="J1066" t="s">
        <v>3278</v>
      </c>
      <c r="K1066" t="s">
        <v>3</v>
      </c>
      <c r="L1066" s="2">
        <v>43252</v>
      </c>
      <c r="M1066" s="2">
        <f>DOCXX[[#This Row],[INV DOC DATE]]+30</f>
        <v>43282</v>
      </c>
      <c r="N1066" s="2">
        <v>43279</v>
      </c>
      <c r="O1066" s="7">
        <v>172.5</v>
      </c>
      <c r="P1066" s="2">
        <v>43290</v>
      </c>
      <c r="Q1066" s="7">
        <f>$E1066-$O1066</f>
        <v>0</v>
      </c>
      <c r="R1066" s="7" t="str">
        <f ca="1">IF(TODAY() - DOCXX[INV DUE DATE]&lt;30, "Less than 30 days",IF(TODAY()-DOCXX[INV DUE DATE]&lt;60,"30-60 days","More than 60 days"))</f>
        <v>Less than 30 days</v>
      </c>
      <c r="S1066" t="s">
        <v>818</v>
      </c>
      <c r="T1066" s="43" t="s">
        <v>2229</v>
      </c>
      <c r="U1066" s="7" t="s">
        <v>3699</v>
      </c>
    </row>
    <row r="1067" spans="1:21" x14ac:dyDescent="0.3">
      <c r="A1067" s="14" t="s">
        <v>4132</v>
      </c>
      <c r="B1067" t="s">
        <v>118</v>
      </c>
      <c r="C1067" t="s">
        <v>130</v>
      </c>
      <c r="D1067">
        <v>1</v>
      </c>
      <c r="E1067" s="7">
        <v>172.5</v>
      </c>
      <c r="H1067">
        <v>68162</v>
      </c>
      <c r="I1067" t="s">
        <v>358</v>
      </c>
      <c r="J1067" t="s">
        <v>3279</v>
      </c>
      <c r="K1067" t="s">
        <v>3</v>
      </c>
      <c r="L1067" s="2">
        <v>43252</v>
      </c>
      <c r="M1067" s="2">
        <f>DOCXX[[#This Row],[INV DOC DATE]]+30</f>
        <v>43282</v>
      </c>
      <c r="N1067" s="2">
        <v>43279</v>
      </c>
      <c r="O1067" s="7">
        <v>172.5</v>
      </c>
      <c r="P1067" s="2">
        <v>43290</v>
      </c>
      <c r="Q1067" s="7">
        <f>$E1067-$O1067</f>
        <v>0</v>
      </c>
      <c r="R1067" s="7" t="str">
        <f ca="1">IF(TODAY() - DOCXX[INV DUE DATE]&lt;30, "Less than 30 days",IF(TODAY()-DOCXX[INV DUE DATE]&lt;60,"30-60 days","More than 60 days"))</f>
        <v>Less than 30 days</v>
      </c>
      <c r="S1067" t="s">
        <v>818</v>
      </c>
      <c r="T1067" s="43" t="s">
        <v>2229</v>
      </c>
      <c r="U1067" s="7" t="s">
        <v>3699</v>
      </c>
    </row>
    <row r="1068" spans="1:21" x14ac:dyDescent="0.3">
      <c r="A1068" s="14" t="s">
        <v>4132</v>
      </c>
      <c r="B1068" t="s">
        <v>118</v>
      </c>
      <c r="C1068" t="s">
        <v>131</v>
      </c>
      <c r="D1068">
        <v>1</v>
      </c>
      <c r="E1068" s="7">
        <v>172.5</v>
      </c>
      <c r="H1068">
        <v>68162</v>
      </c>
      <c r="I1068" t="s">
        <v>358</v>
      </c>
      <c r="J1068" t="s">
        <v>3280</v>
      </c>
      <c r="K1068" t="s">
        <v>3</v>
      </c>
      <c r="L1068" s="2">
        <v>43252</v>
      </c>
      <c r="M1068" s="2">
        <f>DOCXX[[#This Row],[INV DOC DATE]]+30</f>
        <v>43282</v>
      </c>
      <c r="N1068" s="2">
        <v>43279</v>
      </c>
      <c r="O1068" s="7">
        <v>172.5</v>
      </c>
      <c r="P1068" s="2">
        <v>43290</v>
      </c>
      <c r="Q1068" s="7">
        <f>$E1068-$O1068</f>
        <v>0</v>
      </c>
      <c r="R1068" s="7" t="str">
        <f ca="1">IF(TODAY() - DOCXX[INV DUE DATE]&lt;30, "Less than 30 days",IF(TODAY()-DOCXX[INV DUE DATE]&lt;60,"30-60 days","More than 60 days"))</f>
        <v>Less than 30 days</v>
      </c>
      <c r="S1068" t="s">
        <v>818</v>
      </c>
      <c r="T1068" s="43" t="s">
        <v>2229</v>
      </c>
      <c r="U1068" s="7" t="s">
        <v>3699</v>
      </c>
    </row>
    <row r="1069" spans="1:21" x14ac:dyDescent="0.3">
      <c r="A1069" s="14" t="s">
        <v>4132</v>
      </c>
      <c r="B1069" t="s">
        <v>118</v>
      </c>
      <c r="C1069" t="s">
        <v>132</v>
      </c>
      <c r="D1069">
        <v>1</v>
      </c>
      <c r="E1069" s="7">
        <v>172.5</v>
      </c>
      <c r="H1069">
        <v>68162</v>
      </c>
      <c r="I1069" t="s">
        <v>358</v>
      </c>
      <c r="J1069" t="s">
        <v>3281</v>
      </c>
      <c r="K1069" t="s">
        <v>3</v>
      </c>
      <c r="L1069" s="2">
        <v>43252</v>
      </c>
      <c r="M1069" s="2">
        <f>DOCXX[[#This Row],[INV DOC DATE]]+30</f>
        <v>43282</v>
      </c>
      <c r="N1069" s="2">
        <v>43279</v>
      </c>
      <c r="O1069" s="7">
        <v>172.5</v>
      </c>
      <c r="P1069" s="2">
        <v>43290</v>
      </c>
      <c r="Q1069" s="7">
        <f>$E1069-$O1069</f>
        <v>0</v>
      </c>
      <c r="R1069" s="7" t="str">
        <f ca="1">IF(TODAY() - DOCXX[INV DUE DATE]&lt;30, "Less than 30 days",IF(TODAY()-DOCXX[INV DUE DATE]&lt;60,"30-60 days","More than 60 days"))</f>
        <v>Less than 30 days</v>
      </c>
      <c r="S1069" t="s">
        <v>818</v>
      </c>
      <c r="T1069" s="43" t="s">
        <v>2229</v>
      </c>
      <c r="U1069" s="7" t="s">
        <v>3699</v>
      </c>
    </row>
    <row r="1070" spans="1:21" x14ac:dyDescent="0.3">
      <c r="A1070" s="14" t="s">
        <v>4132</v>
      </c>
      <c r="B1070" t="s">
        <v>118</v>
      </c>
      <c r="C1070" t="s">
        <v>133</v>
      </c>
      <c r="D1070">
        <v>1</v>
      </c>
      <c r="E1070" s="7">
        <v>172.5</v>
      </c>
      <c r="H1070">
        <v>68162</v>
      </c>
      <c r="I1070" t="s">
        <v>358</v>
      </c>
      <c r="J1070" t="s">
        <v>3282</v>
      </c>
      <c r="K1070" t="s">
        <v>3</v>
      </c>
      <c r="L1070" s="2">
        <v>43252</v>
      </c>
      <c r="M1070" s="2">
        <f>DOCXX[[#This Row],[INV DOC DATE]]+30</f>
        <v>43282</v>
      </c>
      <c r="N1070" s="2">
        <v>43279</v>
      </c>
      <c r="O1070" s="7">
        <v>172.5</v>
      </c>
      <c r="P1070" s="2">
        <v>43290</v>
      </c>
      <c r="Q1070" s="7">
        <f>$E1070-$O1070</f>
        <v>0</v>
      </c>
      <c r="R1070" s="7" t="str">
        <f ca="1">IF(TODAY() - DOCXX[INV DUE DATE]&lt;30, "Less than 30 days",IF(TODAY()-DOCXX[INV DUE DATE]&lt;60,"30-60 days","More than 60 days"))</f>
        <v>Less than 30 days</v>
      </c>
      <c r="S1070" t="s">
        <v>818</v>
      </c>
      <c r="T1070" s="43" t="s">
        <v>2229</v>
      </c>
      <c r="U1070" s="7" t="s">
        <v>3699</v>
      </c>
    </row>
    <row r="1071" spans="1:21" x14ac:dyDescent="0.3">
      <c r="A1071" s="14" t="s">
        <v>4132</v>
      </c>
      <c r="B1071" t="s">
        <v>118</v>
      </c>
      <c r="C1071" t="s">
        <v>134</v>
      </c>
      <c r="D1071">
        <v>1</v>
      </c>
      <c r="E1071" s="7">
        <v>172.5</v>
      </c>
      <c r="H1071">
        <v>68162</v>
      </c>
      <c r="I1071" t="s">
        <v>358</v>
      </c>
      <c r="J1071" t="s">
        <v>3283</v>
      </c>
      <c r="K1071" t="s">
        <v>3</v>
      </c>
      <c r="L1071" s="2">
        <v>43252</v>
      </c>
      <c r="M1071" s="2">
        <f>DOCXX[[#This Row],[INV DOC DATE]]+30</f>
        <v>43282</v>
      </c>
      <c r="N1071" s="2">
        <v>43279</v>
      </c>
      <c r="O1071" s="7">
        <v>172.5</v>
      </c>
      <c r="P1071" s="2">
        <v>43290</v>
      </c>
      <c r="Q1071" s="7">
        <f>$E1071-$O1071</f>
        <v>0</v>
      </c>
      <c r="R1071" s="7" t="str">
        <f ca="1">IF(TODAY() - DOCXX[INV DUE DATE]&lt;30, "Less than 30 days",IF(TODAY()-DOCXX[INV DUE DATE]&lt;60,"30-60 days","More than 60 days"))</f>
        <v>Less than 30 days</v>
      </c>
      <c r="S1071" t="s">
        <v>818</v>
      </c>
      <c r="T1071" s="43" t="s">
        <v>2229</v>
      </c>
      <c r="U1071" s="7" t="s">
        <v>3699</v>
      </c>
    </row>
    <row r="1072" spans="1:21" x14ac:dyDescent="0.3">
      <c r="A1072" s="14" t="s">
        <v>4132</v>
      </c>
      <c r="B1072" t="s">
        <v>118</v>
      </c>
      <c r="C1072" t="s">
        <v>135</v>
      </c>
      <c r="D1072">
        <v>1</v>
      </c>
      <c r="E1072" s="7">
        <v>172.5</v>
      </c>
      <c r="H1072">
        <v>68162</v>
      </c>
      <c r="I1072" t="s">
        <v>358</v>
      </c>
      <c r="J1072" t="s">
        <v>3284</v>
      </c>
      <c r="K1072" t="s">
        <v>3</v>
      </c>
      <c r="L1072" s="2">
        <v>43252</v>
      </c>
      <c r="M1072" s="2">
        <f>DOCXX[[#This Row],[INV DOC DATE]]+30</f>
        <v>43282</v>
      </c>
      <c r="N1072" s="2">
        <v>43279</v>
      </c>
      <c r="O1072" s="7">
        <v>172.5</v>
      </c>
      <c r="P1072" s="2">
        <v>43290</v>
      </c>
      <c r="Q1072" s="7">
        <f>$E1072-$O1072</f>
        <v>0</v>
      </c>
      <c r="R1072" s="7" t="str">
        <f ca="1">IF(TODAY() - DOCXX[INV DUE DATE]&lt;30, "Less than 30 days",IF(TODAY()-DOCXX[INV DUE DATE]&lt;60,"30-60 days","More than 60 days"))</f>
        <v>Less than 30 days</v>
      </c>
      <c r="S1072" t="s">
        <v>818</v>
      </c>
      <c r="T1072" s="43" t="s">
        <v>2229</v>
      </c>
      <c r="U1072" s="7" t="s">
        <v>3699</v>
      </c>
    </row>
    <row r="1073" spans="1:21" x14ac:dyDescent="0.3">
      <c r="A1073" s="14" t="s">
        <v>4132</v>
      </c>
      <c r="B1073" t="s">
        <v>118</v>
      </c>
      <c r="C1073" t="s">
        <v>136</v>
      </c>
      <c r="D1073">
        <v>1</v>
      </c>
      <c r="E1073" s="7">
        <v>172.5</v>
      </c>
      <c r="H1073">
        <v>68162</v>
      </c>
      <c r="I1073" t="s">
        <v>358</v>
      </c>
      <c r="J1073" t="s">
        <v>3285</v>
      </c>
      <c r="K1073" t="s">
        <v>3</v>
      </c>
      <c r="L1073" s="2">
        <v>43252</v>
      </c>
      <c r="M1073" s="2">
        <f>DOCXX[[#This Row],[INV DOC DATE]]+30</f>
        <v>43282</v>
      </c>
      <c r="N1073" s="2">
        <v>43279</v>
      </c>
      <c r="O1073" s="7">
        <v>172.5</v>
      </c>
      <c r="P1073" s="2">
        <v>43290</v>
      </c>
      <c r="Q1073" s="7">
        <f>$E1073-$O1073</f>
        <v>0</v>
      </c>
      <c r="R1073" s="7" t="str">
        <f ca="1">IF(TODAY() - DOCXX[INV DUE DATE]&lt;30, "Less than 30 days",IF(TODAY()-DOCXX[INV DUE DATE]&lt;60,"30-60 days","More than 60 days"))</f>
        <v>Less than 30 days</v>
      </c>
      <c r="S1073" t="s">
        <v>818</v>
      </c>
      <c r="T1073" s="43" t="s">
        <v>2229</v>
      </c>
      <c r="U1073" s="7" t="s">
        <v>3699</v>
      </c>
    </row>
    <row r="1074" spans="1:21" x14ac:dyDescent="0.3">
      <c r="A1074" s="14" t="s">
        <v>4132</v>
      </c>
      <c r="B1074" t="s">
        <v>118</v>
      </c>
      <c r="C1074" t="s">
        <v>137</v>
      </c>
      <c r="D1074">
        <v>1</v>
      </c>
      <c r="E1074" s="7">
        <v>225</v>
      </c>
      <c r="H1074">
        <v>68162</v>
      </c>
      <c r="I1074" t="s">
        <v>358</v>
      </c>
      <c r="J1074" t="s">
        <v>3286</v>
      </c>
      <c r="K1074" t="s">
        <v>3</v>
      </c>
      <c r="L1074" s="2">
        <v>43252</v>
      </c>
      <c r="M1074" s="2">
        <f>DOCXX[[#This Row],[INV DOC DATE]]+30</f>
        <v>43282</v>
      </c>
      <c r="N1074" s="2">
        <v>43279</v>
      </c>
      <c r="O1074" s="7">
        <v>225</v>
      </c>
      <c r="P1074" s="2">
        <v>43290</v>
      </c>
      <c r="Q1074" s="7">
        <f>$E1074-$O1074</f>
        <v>0</v>
      </c>
      <c r="R1074" s="7" t="str">
        <f ca="1">IF(TODAY() - DOCXX[INV DUE DATE]&lt;30, "Less than 30 days",IF(TODAY()-DOCXX[INV DUE DATE]&lt;60,"30-60 days","More than 60 days"))</f>
        <v>Less than 30 days</v>
      </c>
      <c r="S1074" t="s">
        <v>818</v>
      </c>
      <c r="T1074" s="43" t="s">
        <v>2229</v>
      </c>
      <c r="U1074" s="7" t="s">
        <v>3699</v>
      </c>
    </row>
    <row r="1075" spans="1:21" x14ac:dyDescent="0.3">
      <c r="A1075" s="14" t="s">
        <v>4132</v>
      </c>
      <c r="B1075" t="s">
        <v>118</v>
      </c>
      <c r="C1075" t="s">
        <v>138</v>
      </c>
      <c r="D1075">
        <v>1</v>
      </c>
      <c r="E1075" s="7">
        <v>225</v>
      </c>
      <c r="H1075">
        <v>68162</v>
      </c>
      <c r="I1075" t="s">
        <v>358</v>
      </c>
      <c r="J1075" t="s">
        <v>3287</v>
      </c>
      <c r="K1075" t="s">
        <v>3</v>
      </c>
      <c r="L1075" s="2">
        <v>43252</v>
      </c>
      <c r="M1075" s="2">
        <f>DOCXX[[#This Row],[INV DOC DATE]]+30</f>
        <v>43282</v>
      </c>
      <c r="N1075" s="2">
        <v>43279</v>
      </c>
      <c r="O1075" s="7">
        <v>225</v>
      </c>
      <c r="P1075" s="2">
        <v>43290</v>
      </c>
      <c r="Q1075" s="7">
        <f>$E1075-$O1075</f>
        <v>0</v>
      </c>
      <c r="R1075" s="7" t="str">
        <f ca="1">IF(TODAY() - DOCXX[INV DUE DATE]&lt;30, "Less than 30 days",IF(TODAY()-DOCXX[INV DUE DATE]&lt;60,"30-60 days","More than 60 days"))</f>
        <v>Less than 30 days</v>
      </c>
      <c r="S1075" t="s">
        <v>818</v>
      </c>
      <c r="T1075" s="43" t="s">
        <v>2229</v>
      </c>
      <c r="U1075" s="7" t="s">
        <v>3699</v>
      </c>
    </row>
    <row r="1076" spans="1:21" x14ac:dyDescent="0.3">
      <c r="A1076" s="14" t="s">
        <v>4132</v>
      </c>
      <c r="B1076" t="s">
        <v>118</v>
      </c>
      <c r="C1076" t="s">
        <v>139</v>
      </c>
      <c r="D1076">
        <v>1</v>
      </c>
      <c r="E1076" s="7">
        <v>225</v>
      </c>
      <c r="H1076">
        <v>68162</v>
      </c>
      <c r="I1076" t="s">
        <v>358</v>
      </c>
      <c r="J1076" t="s">
        <v>3288</v>
      </c>
      <c r="K1076" t="s">
        <v>3</v>
      </c>
      <c r="L1076" s="2">
        <v>43252</v>
      </c>
      <c r="M1076" s="2">
        <f>DOCXX[[#This Row],[INV DOC DATE]]+30</f>
        <v>43282</v>
      </c>
      <c r="N1076" s="2">
        <v>43279</v>
      </c>
      <c r="O1076" s="7">
        <v>225</v>
      </c>
      <c r="P1076" s="2">
        <v>43290</v>
      </c>
      <c r="Q1076" s="7">
        <f>$E1076-$O1076</f>
        <v>0</v>
      </c>
      <c r="R1076" s="7" t="str">
        <f ca="1">IF(TODAY() - DOCXX[INV DUE DATE]&lt;30, "Less than 30 days",IF(TODAY()-DOCXX[INV DUE DATE]&lt;60,"30-60 days","More than 60 days"))</f>
        <v>Less than 30 days</v>
      </c>
      <c r="S1076" t="s">
        <v>818</v>
      </c>
      <c r="T1076" s="43" t="s">
        <v>2229</v>
      </c>
      <c r="U1076" s="7" t="s">
        <v>3699</v>
      </c>
    </row>
    <row r="1077" spans="1:21" x14ac:dyDescent="0.3">
      <c r="A1077" s="14" t="s">
        <v>4132</v>
      </c>
      <c r="B1077" t="s">
        <v>118</v>
      </c>
      <c r="C1077" t="s">
        <v>140</v>
      </c>
      <c r="D1077">
        <v>1</v>
      </c>
      <c r="E1077" s="7">
        <v>225</v>
      </c>
      <c r="H1077">
        <v>68162</v>
      </c>
      <c r="I1077" t="s">
        <v>358</v>
      </c>
      <c r="J1077" t="s">
        <v>3289</v>
      </c>
      <c r="K1077" t="s">
        <v>3</v>
      </c>
      <c r="L1077" s="2">
        <v>43252</v>
      </c>
      <c r="M1077" s="2">
        <f>DOCXX[[#This Row],[INV DOC DATE]]+30</f>
        <v>43282</v>
      </c>
      <c r="N1077" s="2">
        <v>43279</v>
      </c>
      <c r="O1077" s="7">
        <v>225</v>
      </c>
      <c r="P1077" s="2">
        <v>43290</v>
      </c>
      <c r="Q1077" s="7">
        <f>$E1077-$O1077</f>
        <v>0</v>
      </c>
      <c r="R1077" s="7" t="str">
        <f ca="1">IF(TODAY() - DOCXX[INV DUE DATE]&lt;30, "Less than 30 days",IF(TODAY()-DOCXX[INV DUE DATE]&lt;60,"30-60 days","More than 60 days"))</f>
        <v>Less than 30 days</v>
      </c>
      <c r="S1077" t="s">
        <v>818</v>
      </c>
      <c r="T1077" s="43" t="s">
        <v>2229</v>
      </c>
      <c r="U1077" s="7" t="s">
        <v>3699</v>
      </c>
    </row>
    <row r="1078" spans="1:21" x14ac:dyDescent="0.3">
      <c r="A1078" s="14" t="s">
        <v>4132</v>
      </c>
      <c r="B1078" t="s">
        <v>118</v>
      </c>
      <c r="C1078" t="s">
        <v>141</v>
      </c>
      <c r="D1078">
        <v>1</v>
      </c>
      <c r="E1078" s="7">
        <v>225</v>
      </c>
      <c r="H1078">
        <v>68162</v>
      </c>
      <c r="I1078" t="s">
        <v>358</v>
      </c>
      <c r="J1078" t="s">
        <v>3290</v>
      </c>
      <c r="K1078" t="s">
        <v>3</v>
      </c>
      <c r="L1078" s="2">
        <v>43252</v>
      </c>
      <c r="M1078" s="2">
        <f>DOCXX[[#This Row],[INV DOC DATE]]+30</f>
        <v>43282</v>
      </c>
      <c r="N1078" s="2">
        <v>43279</v>
      </c>
      <c r="O1078" s="7">
        <v>225</v>
      </c>
      <c r="P1078" s="2">
        <v>43290</v>
      </c>
      <c r="Q1078" s="7">
        <f>$E1078-$O1078</f>
        <v>0</v>
      </c>
      <c r="R1078" s="7" t="str">
        <f ca="1">IF(TODAY() - DOCXX[INV DUE DATE]&lt;30, "Less than 30 days",IF(TODAY()-DOCXX[INV DUE DATE]&lt;60,"30-60 days","More than 60 days"))</f>
        <v>Less than 30 days</v>
      </c>
      <c r="S1078" t="s">
        <v>818</v>
      </c>
      <c r="T1078" s="43" t="s">
        <v>2229</v>
      </c>
      <c r="U1078" s="7" t="s">
        <v>3699</v>
      </c>
    </row>
    <row r="1079" spans="1:21" x14ac:dyDescent="0.3">
      <c r="A1079" s="14" t="s">
        <v>4132</v>
      </c>
      <c r="B1079" t="s">
        <v>118</v>
      </c>
      <c r="C1079" t="s">
        <v>142</v>
      </c>
      <c r="D1079">
        <v>1</v>
      </c>
      <c r="E1079" s="7">
        <v>225</v>
      </c>
      <c r="H1079">
        <v>68162</v>
      </c>
      <c r="I1079" t="s">
        <v>358</v>
      </c>
      <c r="J1079" t="s">
        <v>3291</v>
      </c>
      <c r="K1079" t="s">
        <v>3</v>
      </c>
      <c r="L1079" s="2">
        <v>43252</v>
      </c>
      <c r="M1079" s="2">
        <f>DOCXX[[#This Row],[INV DOC DATE]]+30</f>
        <v>43282</v>
      </c>
      <c r="N1079" s="2">
        <v>43279</v>
      </c>
      <c r="O1079" s="7">
        <v>225</v>
      </c>
      <c r="P1079" s="2">
        <v>43290</v>
      </c>
      <c r="Q1079" s="7">
        <f>$E1079-$O1079</f>
        <v>0</v>
      </c>
      <c r="R1079" s="7" t="str">
        <f ca="1">IF(TODAY() - DOCXX[INV DUE DATE]&lt;30, "Less than 30 days",IF(TODAY()-DOCXX[INV DUE DATE]&lt;60,"30-60 days","More than 60 days"))</f>
        <v>Less than 30 days</v>
      </c>
      <c r="S1079" t="s">
        <v>818</v>
      </c>
      <c r="T1079" s="43" t="s">
        <v>2229</v>
      </c>
      <c r="U1079" s="7" t="s">
        <v>3699</v>
      </c>
    </row>
    <row r="1080" spans="1:21" x14ac:dyDescent="0.3">
      <c r="A1080" s="14" t="s">
        <v>4132</v>
      </c>
      <c r="B1080" t="s">
        <v>118</v>
      </c>
      <c r="C1080" t="s">
        <v>143</v>
      </c>
      <c r="D1080">
        <v>1</v>
      </c>
      <c r="E1080" s="7">
        <v>225</v>
      </c>
      <c r="H1080">
        <v>68162</v>
      </c>
      <c r="I1080" t="s">
        <v>358</v>
      </c>
      <c r="J1080" t="s">
        <v>3292</v>
      </c>
      <c r="K1080" t="s">
        <v>3</v>
      </c>
      <c r="L1080" s="2">
        <v>43252</v>
      </c>
      <c r="M1080" s="2">
        <f>DOCXX[[#This Row],[INV DOC DATE]]+30</f>
        <v>43282</v>
      </c>
      <c r="N1080" s="2">
        <v>43279</v>
      </c>
      <c r="O1080" s="7">
        <v>225</v>
      </c>
      <c r="P1080" s="2">
        <v>43290</v>
      </c>
      <c r="Q1080" s="7">
        <f>$E1080-$O1080</f>
        <v>0</v>
      </c>
      <c r="R1080" s="7" t="str">
        <f ca="1">IF(TODAY() - DOCXX[INV DUE DATE]&lt;30, "Less than 30 days",IF(TODAY()-DOCXX[INV DUE DATE]&lt;60,"30-60 days","More than 60 days"))</f>
        <v>Less than 30 days</v>
      </c>
      <c r="S1080" t="s">
        <v>818</v>
      </c>
      <c r="T1080" s="43" t="s">
        <v>2229</v>
      </c>
      <c r="U1080" s="7" t="s">
        <v>3699</v>
      </c>
    </row>
    <row r="1081" spans="1:21" x14ac:dyDescent="0.3">
      <c r="A1081" s="14" t="s">
        <v>4132</v>
      </c>
      <c r="B1081" t="s">
        <v>118</v>
      </c>
      <c r="C1081" t="s">
        <v>144</v>
      </c>
      <c r="D1081">
        <v>1</v>
      </c>
      <c r="E1081" s="7">
        <v>225</v>
      </c>
      <c r="H1081">
        <v>68162</v>
      </c>
      <c r="I1081" t="s">
        <v>358</v>
      </c>
      <c r="J1081" t="s">
        <v>3293</v>
      </c>
      <c r="K1081" t="s">
        <v>3</v>
      </c>
      <c r="L1081" s="2">
        <v>43252</v>
      </c>
      <c r="M1081" s="2">
        <f>DOCXX[[#This Row],[INV DOC DATE]]+30</f>
        <v>43282</v>
      </c>
      <c r="N1081" s="2">
        <v>43279</v>
      </c>
      <c r="O1081" s="7">
        <v>225</v>
      </c>
      <c r="P1081" s="2">
        <v>43290</v>
      </c>
      <c r="Q1081" s="7">
        <f>$E1081-$O1081</f>
        <v>0</v>
      </c>
      <c r="R1081" s="7" t="str">
        <f ca="1">IF(TODAY() - DOCXX[INV DUE DATE]&lt;30, "Less than 30 days",IF(TODAY()-DOCXX[INV DUE DATE]&lt;60,"30-60 days","More than 60 days"))</f>
        <v>Less than 30 days</v>
      </c>
      <c r="S1081" t="s">
        <v>818</v>
      </c>
      <c r="T1081" s="43" t="s">
        <v>2229</v>
      </c>
      <c r="U1081" s="7" t="s">
        <v>3699</v>
      </c>
    </row>
    <row r="1082" spans="1:21" x14ac:dyDescent="0.3">
      <c r="A1082" s="14" t="s">
        <v>4132</v>
      </c>
      <c r="B1082" t="s">
        <v>118</v>
      </c>
      <c r="C1082" t="s">
        <v>145</v>
      </c>
      <c r="D1082">
        <v>1</v>
      </c>
      <c r="E1082" s="7">
        <v>172.5</v>
      </c>
      <c r="H1082">
        <v>68162</v>
      </c>
      <c r="I1082" t="s">
        <v>358</v>
      </c>
      <c r="J1082" t="s">
        <v>3294</v>
      </c>
      <c r="K1082" t="s">
        <v>3</v>
      </c>
      <c r="L1082" s="2">
        <v>43252</v>
      </c>
      <c r="M1082" s="2">
        <f>DOCXX[[#This Row],[INV DOC DATE]]+30</f>
        <v>43282</v>
      </c>
      <c r="N1082" s="2">
        <v>43279</v>
      </c>
      <c r="O1082" s="7">
        <v>172.5</v>
      </c>
      <c r="P1082" s="2">
        <v>43290</v>
      </c>
      <c r="Q1082" s="7">
        <f>$E1082-$O1082</f>
        <v>0</v>
      </c>
      <c r="R1082" s="7" t="str">
        <f ca="1">IF(TODAY() - DOCXX[INV DUE DATE]&lt;30, "Less than 30 days",IF(TODAY()-DOCXX[INV DUE DATE]&lt;60,"30-60 days","More than 60 days"))</f>
        <v>Less than 30 days</v>
      </c>
      <c r="S1082" t="s">
        <v>818</v>
      </c>
      <c r="T1082" s="43" t="s">
        <v>2229</v>
      </c>
      <c r="U1082" s="7" t="s">
        <v>3699</v>
      </c>
    </row>
    <row r="1083" spans="1:21" x14ac:dyDescent="0.3">
      <c r="A1083" s="14" t="s">
        <v>4132</v>
      </c>
      <c r="B1083" t="s">
        <v>118</v>
      </c>
      <c r="C1083" t="s">
        <v>146</v>
      </c>
      <c r="D1083">
        <v>1</v>
      </c>
      <c r="E1083" s="7">
        <v>172.5</v>
      </c>
      <c r="H1083">
        <v>75797</v>
      </c>
      <c r="I1083" t="s">
        <v>359</v>
      </c>
      <c r="J1083" t="s">
        <v>3295</v>
      </c>
      <c r="K1083" t="s">
        <v>3</v>
      </c>
      <c r="L1083" s="2">
        <v>43252</v>
      </c>
      <c r="M1083" s="2">
        <f>DOCXX[[#This Row],[INV DOC DATE]]+30</f>
        <v>43282</v>
      </c>
      <c r="N1083" s="2">
        <v>43279</v>
      </c>
      <c r="O1083" s="7">
        <v>172.5</v>
      </c>
      <c r="P1083" s="2">
        <v>43290</v>
      </c>
      <c r="Q1083" s="7">
        <f>$E1083-$O1083</f>
        <v>0</v>
      </c>
      <c r="R1083" s="7" t="str">
        <f ca="1">IF(TODAY() - DOCXX[INV DUE DATE]&lt;30, "Less than 30 days",IF(TODAY()-DOCXX[INV DUE DATE]&lt;60,"30-60 days","More than 60 days"))</f>
        <v>Less than 30 days</v>
      </c>
      <c r="S1083" t="s">
        <v>818</v>
      </c>
      <c r="T1083" s="43" t="s">
        <v>2229</v>
      </c>
      <c r="U1083" s="7" t="s">
        <v>3699</v>
      </c>
    </row>
    <row r="1084" spans="1:21" x14ac:dyDescent="0.3">
      <c r="A1084" s="14" t="s">
        <v>4132</v>
      </c>
      <c r="B1084" t="s">
        <v>118</v>
      </c>
      <c r="C1084" t="s">
        <v>147</v>
      </c>
      <c r="D1084">
        <v>1</v>
      </c>
      <c r="E1084" s="7">
        <v>172.5</v>
      </c>
      <c r="H1084">
        <v>75797</v>
      </c>
      <c r="I1084" t="s">
        <v>359</v>
      </c>
      <c r="J1084" t="s">
        <v>3296</v>
      </c>
      <c r="K1084" t="s">
        <v>3</v>
      </c>
      <c r="L1084" s="2">
        <v>43252</v>
      </c>
      <c r="M1084" s="2">
        <f>DOCXX[[#This Row],[INV DOC DATE]]+30</f>
        <v>43282</v>
      </c>
      <c r="N1084" s="2">
        <v>43279</v>
      </c>
      <c r="O1084" s="7">
        <v>172.5</v>
      </c>
      <c r="P1084" s="2">
        <v>43290</v>
      </c>
      <c r="Q1084" s="7">
        <f>$E1084-$O1084</f>
        <v>0</v>
      </c>
      <c r="R1084" s="7" t="str">
        <f ca="1">IF(TODAY() - DOCXX[INV DUE DATE]&lt;30, "Less than 30 days",IF(TODAY()-DOCXX[INV DUE DATE]&lt;60,"30-60 days","More than 60 days"))</f>
        <v>Less than 30 days</v>
      </c>
      <c r="S1084" t="s">
        <v>818</v>
      </c>
      <c r="T1084" s="43" t="s">
        <v>2229</v>
      </c>
      <c r="U1084" s="7" t="s">
        <v>3699</v>
      </c>
    </row>
    <row r="1085" spans="1:21" x14ac:dyDescent="0.3">
      <c r="A1085" s="14" t="s">
        <v>4132</v>
      </c>
      <c r="B1085" t="s">
        <v>118</v>
      </c>
      <c r="C1085" t="s">
        <v>148</v>
      </c>
      <c r="D1085">
        <v>1</v>
      </c>
      <c r="E1085" s="7">
        <v>172.5</v>
      </c>
      <c r="H1085">
        <v>75797</v>
      </c>
      <c r="I1085" t="s">
        <v>359</v>
      </c>
      <c r="J1085" t="s">
        <v>3297</v>
      </c>
      <c r="K1085" t="s">
        <v>3</v>
      </c>
      <c r="L1085" s="2">
        <v>43252</v>
      </c>
      <c r="M1085" s="2">
        <f>DOCXX[[#This Row],[INV DOC DATE]]+30</f>
        <v>43282</v>
      </c>
      <c r="N1085" s="2">
        <v>43279</v>
      </c>
      <c r="O1085" s="7">
        <v>172.5</v>
      </c>
      <c r="P1085" s="2">
        <v>43290</v>
      </c>
      <c r="Q1085" s="7">
        <f>$E1085-$O1085</f>
        <v>0</v>
      </c>
      <c r="R1085" s="7" t="str">
        <f ca="1">IF(TODAY() - DOCXX[INV DUE DATE]&lt;30, "Less than 30 days",IF(TODAY()-DOCXX[INV DUE DATE]&lt;60,"30-60 days","More than 60 days"))</f>
        <v>Less than 30 days</v>
      </c>
      <c r="S1085" t="s">
        <v>818</v>
      </c>
      <c r="T1085" s="43" t="s">
        <v>2229</v>
      </c>
      <c r="U1085" s="7" t="s">
        <v>3699</v>
      </c>
    </row>
    <row r="1086" spans="1:21" x14ac:dyDescent="0.3">
      <c r="A1086" s="14" t="s">
        <v>4132</v>
      </c>
      <c r="B1086" t="s">
        <v>118</v>
      </c>
      <c r="C1086" t="s">
        <v>149</v>
      </c>
      <c r="D1086">
        <v>1</v>
      </c>
      <c r="E1086" s="7">
        <v>172.5</v>
      </c>
      <c r="H1086">
        <v>75797</v>
      </c>
      <c r="I1086" t="s">
        <v>359</v>
      </c>
      <c r="J1086" t="s">
        <v>3298</v>
      </c>
      <c r="K1086" t="s">
        <v>3</v>
      </c>
      <c r="L1086" s="2">
        <v>43252</v>
      </c>
      <c r="M1086" s="2">
        <f>DOCXX[[#This Row],[INV DOC DATE]]+30</f>
        <v>43282</v>
      </c>
      <c r="N1086" s="2">
        <v>43279</v>
      </c>
      <c r="O1086" s="7">
        <v>172.5</v>
      </c>
      <c r="P1086" s="2">
        <v>43290</v>
      </c>
      <c r="Q1086" s="7">
        <f>$E1086-$O1086</f>
        <v>0</v>
      </c>
      <c r="R1086" s="7" t="str">
        <f ca="1">IF(TODAY() - DOCXX[INV DUE DATE]&lt;30, "Less than 30 days",IF(TODAY()-DOCXX[INV DUE DATE]&lt;60,"30-60 days","More than 60 days"))</f>
        <v>Less than 30 days</v>
      </c>
      <c r="S1086" t="s">
        <v>818</v>
      </c>
      <c r="T1086" s="43" t="s">
        <v>2229</v>
      </c>
      <c r="U1086" s="7" t="s">
        <v>3699</v>
      </c>
    </row>
    <row r="1087" spans="1:21" x14ac:dyDescent="0.3">
      <c r="A1087" s="14" t="s">
        <v>4132</v>
      </c>
      <c r="B1087" t="s">
        <v>118</v>
      </c>
      <c r="C1087" t="s">
        <v>150</v>
      </c>
      <c r="D1087">
        <v>1</v>
      </c>
      <c r="E1087" s="7">
        <v>172.5</v>
      </c>
      <c r="H1087">
        <v>75797</v>
      </c>
      <c r="I1087" t="s">
        <v>359</v>
      </c>
      <c r="J1087" t="s">
        <v>3299</v>
      </c>
      <c r="K1087" t="s">
        <v>3</v>
      </c>
      <c r="L1087" s="2">
        <v>43252</v>
      </c>
      <c r="M1087" s="2">
        <f>DOCXX[[#This Row],[INV DOC DATE]]+30</f>
        <v>43282</v>
      </c>
      <c r="N1087" s="2">
        <v>43279</v>
      </c>
      <c r="O1087" s="7">
        <v>172.5</v>
      </c>
      <c r="P1087" s="2">
        <v>43290</v>
      </c>
      <c r="Q1087" s="7">
        <f>$E1087-$O1087</f>
        <v>0</v>
      </c>
      <c r="R1087" s="7" t="str">
        <f ca="1">IF(TODAY() - DOCXX[INV DUE DATE]&lt;30, "Less than 30 days",IF(TODAY()-DOCXX[INV DUE DATE]&lt;60,"30-60 days","More than 60 days"))</f>
        <v>Less than 30 days</v>
      </c>
      <c r="S1087" t="s">
        <v>818</v>
      </c>
      <c r="T1087" s="43" t="s">
        <v>2229</v>
      </c>
      <c r="U1087" s="7" t="s">
        <v>3699</v>
      </c>
    </row>
    <row r="1088" spans="1:21" x14ac:dyDescent="0.3">
      <c r="A1088" s="14" t="s">
        <v>4132</v>
      </c>
      <c r="B1088" t="s">
        <v>118</v>
      </c>
      <c r="C1088" t="s">
        <v>151</v>
      </c>
      <c r="D1088">
        <v>1</v>
      </c>
      <c r="E1088" s="7">
        <v>172.5</v>
      </c>
      <c r="H1088">
        <v>75797</v>
      </c>
      <c r="I1088" t="s">
        <v>359</v>
      </c>
      <c r="J1088" t="s">
        <v>3300</v>
      </c>
      <c r="K1088" t="s">
        <v>3</v>
      </c>
      <c r="L1088" s="2">
        <v>43252</v>
      </c>
      <c r="M1088" s="2">
        <f>DOCXX[[#This Row],[INV DOC DATE]]+30</f>
        <v>43282</v>
      </c>
      <c r="N1088" s="2">
        <v>43279</v>
      </c>
      <c r="O1088" s="7">
        <v>172.5</v>
      </c>
      <c r="P1088" s="2">
        <v>43290</v>
      </c>
      <c r="Q1088" s="7">
        <f>$E1088-$O1088</f>
        <v>0</v>
      </c>
      <c r="R1088" s="7" t="str">
        <f ca="1">IF(TODAY() - DOCXX[INV DUE DATE]&lt;30, "Less than 30 days",IF(TODAY()-DOCXX[INV DUE DATE]&lt;60,"30-60 days","More than 60 days"))</f>
        <v>Less than 30 days</v>
      </c>
      <c r="S1088" t="s">
        <v>818</v>
      </c>
      <c r="T1088" s="43" t="s">
        <v>2229</v>
      </c>
      <c r="U1088" s="7" t="s">
        <v>3699</v>
      </c>
    </row>
    <row r="1089" spans="1:21" x14ac:dyDescent="0.3">
      <c r="A1089" s="14" t="s">
        <v>4132</v>
      </c>
      <c r="B1089" t="s">
        <v>118</v>
      </c>
      <c r="C1089" t="s">
        <v>152</v>
      </c>
      <c r="D1089">
        <v>1</v>
      </c>
      <c r="E1089" s="7">
        <v>172.5</v>
      </c>
      <c r="H1089">
        <v>75797</v>
      </c>
      <c r="I1089" t="s">
        <v>359</v>
      </c>
      <c r="J1089" t="s">
        <v>3301</v>
      </c>
      <c r="K1089" t="s">
        <v>3</v>
      </c>
      <c r="L1089" s="2">
        <v>43252</v>
      </c>
      <c r="M1089" s="2">
        <f>DOCXX[[#This Row],[INV DOC DATE]]+30</f>
        <v>43282</v>
      </c>
      <c r="N1089" s="2">
        <v>43279</v>
      </c>
      <c r="O1089" s="7">
        <v>172.5</v>
      </c>
      <c r="P1089" s="2">
        <v>43290</v>
      </c>
      <c r="Q1089" s="7">
        <f>$E1089-$O1089</f>
        <v>0</v>
      </c>
      <c r="R1089" s="7" t="str">
        <f ca="1">IF(TODAY() - DOCXX[INV DUE DATE]&lt;30, "Less than 30 days",IF(TODAY()-DOCXX[INV DUE DATE]&lt;60,"30-60 days","More than 60 days"))</f>
        <v>Less than 30 days</v>
      </c>
      <c r="S1089" t="s">
        <v>818</v>
      </c>
      <c r="T1089" s="43" t="s">
        <v>2229</v>
      </c>
      <c r="U1089" s="7" t="s">
        <v>3699</v>
      </c>
    </row>
    <row r="1090" spans="1:21" x14ac:dyDescent="0.3">
      <c r="A1090" s="14" t="s">
        <v>4132</v>
      </c>
      <c r="B1090" t="s">
        <v>118</v>
      </c>
      <c r="C1090" t="s">
        <v>296</v>
      </c>
      <c r="D1090">
        <v>1</v>
      </c>
      <c r="E1090" s="7">
        <v>172.5</v>
      </c>
      <c r="H1090">
        <v>75797</v>
      </c>
      <c r="I1090" t="s">
        <v>359</v>
      </c>
      <c r="J1090" t="s">
        <v>3302</v>
      </c>
      <c r="K1090" t="s">
        <v>3</v>
      </c>
      <c r="L1090" s="2">
        <v>43252</v>
      </c>
      <c r="M1090" s="2">
        <f>DOCXX[[#This Row],[INV DOC DATE]]+30</f>
        <v>43282</v>
      </c>
      <c r="N1090" s="2">
        <v>43279</v>
      </c>
      <c r="O1090" s="7">
        <v>172.5</v>
      </c>
      <c r="P1090" s="2">
        <v>43290</v>
      </c>
      <c r="Q1090" s="7">
        <f>$E1090-$O1090</f>
        <v>0</v>
      </c>
      <c r="R1090" s="7" t="str">
        <f ca="1">IF(TODAY() - DOCXX[INV DUE DATE]&lt;30, "Less than 30 days",IF(TODAY()-DOCXX[INV DUE DATE]&lt;60,"30-60 days","More than 60 days"))</f>
        <v>Less than 30 days</v>
      </c>
      <c r="S1090" t="s">
        <v>818</v>
      </c>
      <c r="T1090" s="43" t="s">
        <v>2229</v>
      </c>
      <c r="U1090" s="7" t="s">
        <v>3699</v>
      </c>
    </row>
    <row r="1091" spans="1:21" x14ac:dyDescent="0.3">
      <c r="A1091" s="14" t="s">
        <v>4132</v>
      </c>
      <c r="B1091" t="s">
        <v>118</v>
      </c>
      <c r="C1091" t="s">
        <v>297</v>
      </c>
      <c r="D1091">
        <v>1</v>
      </c>
      <c r="E1091" s="7">
        <v>172.5</v>
      </c>
      <c r="H1091">
        <v>75797</v>
      </c>
      <c r="I1091" t="s">
        <v>359</v>
      </c>
      <c r="J1091" t="s">
        <v>3303</v>
      </c>
      <c r="K1091" t="s">
        <v>3</v>
      </c>
      <c r="L1091" s="2">
        <v>43252</v>
      </c>
      <c r="M1091" s="2">
        <f>DOCXX[[#This Row],[INV DOC DATE]]+30</f>
        <v>43282</v>
      </c>
      <c r="N1091" s="2">
        <v>43279</v>
      </c>
      <c r="O1091" s="7">
        <v>172.5</v>
      </c>
      <c r="P1091" s="2">
        <v>43290</v>
      </c>
      <c r="Q1091" s="7">
        <f>$E1091-$O1091</f>
        <v>0</v>
      </c>
      <c r="R1091" s="7" t="str">
        <f ca="1">IF(TODAY() - DOCXX[INV DUE DATE]&lt;30, "Less than 30 days",IF(TODAY()-DOCXX[INV DUE DATE]&lt;60,"30-60 days","More than 60 days"))</f>
        <v>Less than 30 days</v>
      </c>
      <c r="S1091" t="s">
        <v>818</v>
      </c>
      <c r="T1091" s="43" t="s">
        <v>2229</v>
      </c>
      <c r="U1091" s="7" t="s">
        <v>3699</v>
      </c>
    </row>
    <row r="1092" spans="1:21" x14ac:dyDescent="0.3">
      <c r="A1092" s="14" t="s">
        <v>4132</v>
      </c>
      <c r="B1092" t="s">
        <v>118</v>
      </c>
      <c r="C1092" t="s">
        <v>298</v>
      </c>
      <c r="D1092">
        <v>1</v>
      </c>
      <c r="E1092" s="7">
        <v>172.5</v>
      </c>
      <c r="H1092">
        <v>75797</v>
      </c>
      <c r="I1092" t="s">
        <v>359</v>
      </c>
      <c r="J1092" t="s">
        <v>3304</v>
      </c>
      <c r="K1092" t="s">
        <v>3</v>
      </c>
      <c r="L1092" s="2">
        <v>43252</v>
      </c>
      <c r="M1092" s="2">
        <f>DOCXX[[#This Row],[INV DOC DATE]]+30</f>
        <v>43282</v>
      </c>
      <c r="N1092" s="2">
        <v>43279</v>
      </c>
      <c r="O1092" s="7">
        <v>172.5</v>
      </c>
      <c r="P1092" s="2">
        <v>43290</v>
      </c>
      <c r="Q1092" s="7">
        <f>$E1092-$O1092</f>
        <v>0</v>
      </c>
      <c r="R1092" s="7" t="str">
        <f ca="1">IF(TODAY() - DOCXX[INV DUE DATE]&lt;30, "Less than 30 days",IF(TODAY()-DOCXX[INV DUE DATE]&lt;60,"30-60 days","More than 60 days"))</f>
        <v>Less than 30 days</v>
      </c>
      <c r="S1092" t="s">
        <v>818</v>
      </c>
      <c r="T1092" s="43" t="s">
        <v>2229</v>
      </c>
      <c r="U1092" s="7" t="s">
        <v>3699</v>
      </c>
    </row>
    <row r="1093" spans="1:21" x14ac:dyDescent="0.3">
      <c r="A1093" s="14" t="s">
        <v>4132</v>
      </c>
      <c r="B1093" t="s">
        <v>118</v>
      </c>
      <c r="C1093" t="s">
        <v>299</v>
      </c>
      <c r="D1093">
        <v>1</v>
      </c>
      <c r="E1093" s="7">
        <v>172.5</v>
      </c>
      <c r="H1093">
        <v>75797</v>
      </c>
      <c r="I1093" t="s">
        <v>359</v>
      </c>
      <c r="J1093" t="s">
        <v>3305</v>
      </c>
      <c r="K1093" t="s">
        <v>3</v>
      </c>
      <c r="L1093" s="2">
        <v>43252</v>
      </c>
      <c r="M1093" s="2">
        <f>DOCXX[[#This Row],[INV DOC DATE]]+30</f>
        <v>43282</v>
      </c>
      <c r="N1093" s="2">
        <v>43279</v>
      </c>
      <c r="O1093" s="7">
        <v>172.5</v>
      </c>
      <c r="P1093" s="2">
        <v>43290</v>
      </c>
      <c r="Q1093" s="7">
        <f>$E1093-$O1093</f>
        <v>0</v>
      </c>
      <c r="R1093" s="7" t="str">
        <f ca="1">IF(TODAY() - DOCXX[INV DUE DATE]&lt;30, "Less than 30 days",IF(TODAY()-DOCXX[INV DUE DATE]&lt;60,"30-60 days","More than 60 days"))</f>
        <v>Less than 30 days</v>
      </c>
      <c r="S1093" t="s">
        <v>818</v>
      </c>
      <c r="T1093" s="43" t="s">
        <v>2229</v>
      </c>
      <c r="U1093" s="7" t="s">
        <v>3699</v>
      </c>
    </row>
    <row r="1094" spans="1:21" x14ac:dyDescent="0.3">
      <c r="A1094" s="14" t="s">
        <v>4132</v>
      </c>
      <c r="B1094" t="s">
        <v>118</v>
      </c>
      <c r="C1094" t="s">
        <v>300</v>
      </c>
      <c r="D1094">
        <v>1</v>
      </c>
      <c r="E1094" s="7">
        <v>172.5</v>
      </c>
      <c r="H1094">
        <v>75797</v>
      </c>
      <c r="I1094" t="s">
        <v>359</v>
      </c>
      <c r="J1094" t="s">
        <v>3306</v>
      </c>
      <c r="K1094" t="s">
        <v>3</v>
      </c>
      <c r="L1094" s="2">
        <v>43252</v>
      </c>
      <c r="M1094" s="2">
        <f>DOCXX[[#This Row],[INV DOC DATE]]+30</f>
        <v>43282</v>
      </c>
      <c r="N1094" s="2">
        <v>43279</v>
      </c>
      <c r="O1094" s="7">
        <v>172.5</v>
      </c>
      <c r="P1094" s="2">
        <v>43290</v>
      </c>
      <c r="Q1094" s="7">
        <f>$E1094-$O1094</f>
        <v>0</v>
      </c>
      <c r="R1094" s="7" t="str">
        <f ca="1">IF(TODAY() - DOCXX[INV DUE DATE]&lt;30, "Less than 30 days",IF(TODAY()-DOCXX[INV DUE DATE]&lt;60,"30-60 days","More than 60 days"))</f>
        <v>Less than 30 days</v>
      </c>
      <c r="S1094" t="s">
        <v>818</v>
      </c>
      <c r="T1094" s="43" t="s">
        <v>2229</v>
      </c>
      <c r="U1094" s="7" t="s">
        <v>3699</v>
      </c>
    </row>
    <row r="1095" spans="1:21" x14ac:dyDescent="0.3">
      <c r="A1095" s="14" t="s">
        <v>4132</v>
      </c>
      <c r="B1095" t="s">
        <v>118</v>
      </c>
      <c r="C1095" t="s">
        <v>301</v>
      </c>
      <c r="D1095">
        <v>1</v>
      </c>
      <c r="E1095" s="7">
        <v>172.5</v>
      </c>
      <c r="H1095">
        <v>75797</v>
      </c>
      <c r="I1095" t="s">
        <v>359</v>
      </c>
      <c r="J1095" t="s">
        <v>3307</v>
      </c>
      <c r="K1095" t="s">
        <v>3</v>
      </c>
      <c r="L1095" s="2">
        <v>43252</v>
      </c>
      <c r="M1095" s="2">
        <f>DOCXX[[#This Row],[INV DOC DATE]]+30</f>
        <v>43282</v>
      </c>
      <c r="N1095" s="2">
        <v>43279</v>
      </c>
      <c r="O1095" s="7">
        <v>172.5</v>
      </c>
      <c r="P1095" s="2">
        <v>43290</v>
      </c>
      <c r="Q1095" s="7">
        <f>$E1095-$O1095</f>
        <v>0</v>
      </c>
      <c r="R1095" s="7" t="str">
        <f ca="1">IF(TODAY() - DOCXX[INV DUE DATE]&lt;30, "Less than 30 days",IF(TODAY()-DOCXX[INV DUE DATE]&lt;60,"30-60 days","More than 60 days"))</f>
        <v>Less than 30 days</v>
      </c>
      <c r="S1095" t="s">
        <v>818</v>
      </c>
      <c r="T1095" s="43" t="s">
        <v>2229</v>
      </c>
      <c r="U1095" s="7" t="s">
        <v>3699</v>
      </c>
    </row>
    <row r="1096" spans="1:21" x14ac:dyDescent="0.3">
      <c r="A1096" s="14" t="s">
        <v>4132</v>
      </c>
      <c r="B1096" t="s">
        <v>118</v>
      </c>
      <c r="C1096" t="s">
        <v>302</v>
      </c>
      <c r="D1096">
        <v>1</v>
      </c>
      <c r="E1096" s="7">
        <v>172.5</v>
      </c>
      <c r="H1096">
        <v>75797</v>
      </c>
      <c r="I1096" t="s">
        <v>359</v>
      </c>
      <c r="J1096" t="s">
        <v>3308</v>
      </c>
      <c r="K1096" t="s">
        <v>3</v>
      </c>
      <c r="L1096" s="2">
        <v>43252</v>
      </c>
      <c r="M1096" s="2">
        <f>DOCXX[[#This Row],[INV DOC DATE]]+30</f>
        <v>43282</v>
      </c>
      <c r="N1096" s="2">
        <v>43279</v>
      </c>
      <c r="O1096" s="7">
        <v>172.5</v>
      </c>
      <c r="P1096" s="2">
        <v>43290</v>
      </c>
      <c r="Q1096" s="7">
        <f>$E1096-$O1096</f>
        <v>0</v>
      </c>
      <c r="R1096" s="7" t="str">
        <f ca="1">IF(TODAY() - DOCXX[INV DUE DATE]&lt;30, "Less than 30 days",IF(TODAY()-DOCXX[INV DUE DATE]&lt;60,"30-60 days","More than 60 days"))</f>
        <v>Less than 30 days</v>
      </c>
      <c r="S1096" t="s">
        <v>818</v>
      </c>
      <c r="T1096" s="43" t="s">
        <v>2229</v>
      </c>
      <c r="U1096" s="7" t="s">
        <v>3699</v>
      </c>
    </row>
    <row r="1097" spans="1:21" x14ac:dyDescent="0.3">
      <c r="A1097" s="14" t="s">
        <v>4132</v>
      </c>
      <c r="B1097" t="s">
        <v>118</v>
      </c>
      <c r="C1097" t="s">
        <v>303</v>
      </c>
      <c r="D1097">
        <v>1</v>
      </c>
      <c r="E1097" s="7">
        <v>172.5</v>
      </c>
      <c r="H1097">
        <v>75797</v>
      </c>
      <c r="I1097" t="s">
        <v>359</v>
      </c>
      <c r="J1097" t="s">
        <v>3309</v>
      </c>
      <c r="K1097" t="s">
        <v>3</v>
      </c>
      <c r="L1097" s="2">
        <v>43252</v>
      </c>
      <c r="M1097" s="2">
        <f>DOCXX[[#This Row],[INV DOC DATE]]+30</f>
        <v>43282</v>
      </c>
      <c r="N1097" s="2">
        <v>43279</v>
      </c>
      <c r="O1097" s="7">
        <v>172.5</v>
      </c>
      <c r="P1097" s="2">
        <v>43290</v>
      </c>
      <c r="Q1097" s="7">
        <f>$E1097-$O1097</f>
        <v>0</v>
      </c>
      <c r="R1097" s="7" t="str">
        <f ca="1">IF(TODAY() - DOCXX[INV DUE DATE]&lt;30, "Less than 30 days",IF(TODAY()-DOCXX[INV DUE DATE]&lt;60,"30-60 days","More than 60 days"))</f>
        <v>Less than 30 days</v>
      </c>
      <c r="S1097" t="s">
        <v>818</v>
      </c>
      <c r="T1097" s="43" t="s">
        <v>2229</v>
      </c>
      <c r="U1097" s="7" t="s">
        <v>3699</v>
      </c>
    </row>
    <row r="1098" spans="1:21" x14ac:dyDescent="0.3">
      <c r="A1098" s="14" t="s">
        <v>4132</v>
      </c>
      <c r="B1098" t="s">
        <v>118</v>
      </c>
      <c r="C1098" t="s">
        <v>304</v>
      </c>
      <c r="D1098">
        <v>1</v>
      </c>
      <c r="E1098" s="7">
        <v>172.5</v>
      </c>
      <c r="H1098">
        <v>75797</v>
      </c>
      <c r="I1098" t="s">
        <v>359</v>
      </c>
      <c r="J1098" t="s">
        <v>3310</v>
      </c>
      <c r="K1098" t="s">
        <v>3</v>
      </c>
      <c r="L1098" s="2">
        <v>43252</v>
      </c>
      <c r="M1098" s="2">
        <f>DOCXX[[#This Row],[INV DOC DATE]]+30</f>
        <v>43282</v>
      </c>
      <c r="N1098" s="2">
        <v>43279</v>
      </c>
      <c r="O1098" s="7">
        <v>172.5</v>
      </c>
      <c r="P1098" s="2">
        <v>43290</v>
      </c>
      <c r="Q1098" s="7">
        <f>$E1098-$O1098</f>
        <v>0</v>
      </c>
      <c r="R1098" s="7" t="str">
        <f ca="1">IF(TODAY() - DOCXX[INV DUE DATE]&lt;30, "Less than 30 days",IF(TODAY()-DOCXX[INV DUE DATE]&lt;60,"30-60 days","More than 60 days"))</f>
        <v>Less than 30 days</v>
      </c>
      <c r="S1098" t="s">
        <v>818</v>
      </c>
      <c r="T1098" s="43" t="s">
        <v>2229</v>
      </c>
      <c r="U1098" s="7" t="s">
        <v>3699</v>
      </c>
    </row>
    <row r="1099" spans="1:21" x14ac:dyDescent="0.3">
      <c r="A1099" s="14" t="s">
        <v>4132</v>
      </c>
      <c r="B1099" t="s">
        <v>118</v>
      </c>
      <c r="C1099" t="s">
        <v>305</v>
      </c>
      <c r="D1099">
        <v>1</v>
      </c>
      <c r="E1099" s="7">
        <v>172.5</v>
      </c>
      <c r="H1099">
        <v>75797</v>
      </c>
      <c r="I1099" t="s">
        <v>359</v>
      </c>
      <c r="J1099" t="s">
        <v>3311</v>
      </c>
      <c r="K1099" t="s">
        <v>3</v>
      </c>
      <c r="L1099" s="2">
        <v>43252</v>
      </c>
      <c r="M1099" s="2">
        <f>DOCXX[[#This Row],[INV DOC DATE]]+30</f>
        <v>43282</v>
      </c>
      <c r="N1099" s="2">
        <v>43279</v>
      </c>
      <c r="O1099" s="7">
        <v>172.5</v>
      </c>
      <c r="P1099" s="2">
        <v>43290</v>
      </c>
      <c r="Q1099" s="7">
        <f>$E1099-$O1099</f>
        <v>0</v>
      </c>
      <c r="R1099" s="7" t="str">
        <f ca="1">IF(TODAY() - DOCXX[INV DUE DATE]&lt;30, "Less than 30 days",IF(TODAY()-DOCXX[INV DUE DATE]&lt;60,"30-60 days","More than 60 days"))</f>
        <v>Less than 30 days</v>
      </c>
      <c r="S1099" t="s">
        <v>818</v>
      </c>
      <c r="T1099" s="43" t="s">
        <v>2229</v>
      </c>
      <c r="U1099" s="7" t="s">
        <v>3699</v>
      </c>
    </row>
    <row r="1100" spans="1:21" x14ac:dyDescent="0.3">
      <c r="A1100" s="14" t="s">
        <v>4132</v>
      </c>
      <c r="B1100" t="s">
        <v>118</v>
      </c>
      <c r="C1100" t="s">
        <v>306</v>
      </c>
      <c r="D1100">
        <v>1</v>
      </c>
      <c r="E1100" s="7">
        <v>172.5</v>
      </c>
      <c r="H1100">
        <v>75797</v>
      </c>
      <c r="I1100" t="s">
        <v>359</v>
      </c>
      <c r="J1100" t="s">
        <v>3312</v>
      </c>
      <c r="K1100" t="s">
        <v>3</v>
      </c>
      <c r="L1100" s="2">
        <v>43252</v>
      </c>
      <c r="M1100" s="2">
        <f>DOCXX[[#This Row],[INV DOC DATE]]+30</f>
        <v>43282</v>
      </c>
      <c r="N1100" s="2">
        <v>43279</v>
      </c>
      <c r="O1100" s="7">
        <v>172.5</v>
      </c>
      <c r="P1100" s="2">
        <v>43290</v>
      </c>
      <c r="Q1100" s="7">
        <f>$E1100-$O1100</f>
        <v>0</v>
      </c>
      <c r="R1100" s="7" t="str">
        <f ca="1">IF(TODAY() - DOCXX[INV DUE DATE]&lt;30, "Less than 30 days",IF(TODAY()-DOCXX[INV DUE DATE]&lt;60,"30-60 days","More than 60 days"))</f>
        <v>Less than 30 days</v>
      </c>
      <c r="S1100" t="s">
        <v>818</v>
      </c>
      <c r="T1100" s="43" t="s">
        <v>2229</v>
      </c>
      <c r="U1100" s="7" t="s">
        <v>3699</v>
      </c>
    </row>
    <row r="1101" spans="1:21" x14ac:dyDescent="0.3">
      <c r="A1101" s="14" t="s">
        <v>4132</v>
      </c>
      <c r="B1101" t="s">
        <v>118</v>
      </c>
      <c r="C1101" t="s">
        <v>307</v>
      </c>
      <c r="D1101">
        <v>1</v>
      </c>
      <c r="E1101" s="7">
        <v>172.5</v>
      </c>
      <c r="H1101">
        <v>75797</v>
      </c>
      <c r="I1101" t="s">
        <v>359</v>
      </c>
      <c r="J1101" t="s">
        <v>3313</v>
      </c>
      <c r="K1101" t="s">
        <v>3</v>
      </c>
      <c r="L1101" s="2">
        <v>43252</v>
      </c>
      <c r="M1101" s="2">
        <f>DOCXX[[#This Row],[INV DOC DATE]]+30</f>
        <v>43282</v>
      </c>
      <c r="N1101" s="2">
        <v>43279</v>
      </c>
      <c r="O1101" s="7">
        <v>172.5</v>
      </c>
      <c r="P1101" s="2">
        <v>43290</v>
      </c>
      <c r="Q1101" s="7">
        <f>$E1101-$O1101</f>
        <v>0</v>
      </c>
      <c r="R1101" s="7" t="str">
        <f ca="1">IF(TODAY() - DOCXX[INV DUE DATE]&lt;30, "Less than 30 days",IF(TODAY()-DOCXX[INV DUE DATE]&lt;60,"30-60 days","More than 60 days"))</f>
        <v>Less than 30 days</v>
      </c>
      <c r="S1101" t="s">
        <v>818</v>
      </c>
      <c r="T1101" s="43" t="s">
        <v>2229</v>
      </c>
      <c r="U1101" s="7" t="s">
        <v>3699</v>
      </c>
    </row>
    <row r="1102" spans="1:21" x14ac:dyDescent="0.3">
      <c r="A1102" s="14" t="s">
        <v>4132</v>
      </c>
      <c r="B1102" t="s">
        <v>118</v>
      </c>
      <c r="C1102" t="s">
        <v>308</v>
      </c>
      <c r="D1102">
        <v>1</v>
      </c>
      <c r="E1102" s="7">
        <v>172.5</v>
      </c>
      <c r="H1102">
        <v>75797</v>
      </c>
      <c r="I1102" t="s">
        <v>359</v>
      </c>
      <c r="J1102" t="s">
        <v>3314</v>
      </c>
      <c r="K1102" t="s">
        <v>3</v>
      </c>
      <c r="L1102" s="2">
        <v>43252</v>
      </c>
      <c r="M1102" s="2">
        <f>DOCXX[[#This Row],[INV DOC DATE]]+30</f>
        <v>43282</v>
      </c>
      <c r="N1102" s="2">
        <v>43279</v>
      </c>
      <c r="O1102" s="7">
        <v>172.5</v>
      </c>
      <c r="P1102" s="2">
        <v>43290</v>
      </c>
      <c r="Q1102" s="7">
        <f>$E1102-$O1102</f>
        <v>0</v>
      </c>
      <c r="R1102" s="7" t="str">
        <f ca="1">IF(TODAY() - DOCXX[INV DUE DATE]&lt;30, "Less than 30 days",IF(TODAY()-DOCXX[INV DUE DATE]&lt;60,"30-60 days","More than 60 days"))</f>
        <v>Less than 30 days</v>
      </c>
      <c r="S1102" t="s">
        <v>818</v>
      </c>
      <c r="T1102" s="43" t="s">
        <v>2229</v>
      </c>
      <c r="U1102" s="7" t="s">
        <v>3699</v>
      </c>
    </row>
    <row r="1103" spans="1:21" x14ac:dyDescent="0.3">
      <c r="A1103" s="14" t="s">
        <v>4132</v>
      </c>
      <c r="B1103" t="s">
        <v>118</v>
      </c>
      <c r="C1103" t="s">
        <v>309</v>
      </c>
      <c r="D1103">
        <v>1</v>
      </c>
      <c r="E1103" s="7">
        <v>172.5</v>
      </c>
      <c r="H1103">
        <v>77559</v>
      </c>
      <c r="I1103" t="s">
        <v>349</v>
      </c>
      <c r="J1103" t="s">
        <v>3315</v>
      </c>
      <c r="K1103" t="s">
        <v>3</v>
      </c>
      <c r="L1103" s="2">
        <v>43252</v>
      </c>
      <c r="M1103" s="2">
        <f>DOCXX[[#This Row],[INV DOC DATE]]+30</f>
        <v>43282</v>
      </c>
      <c r="N1103" s="2">
        <v>43279</v>
      </c>
      <c r="O1103" s="7">
        <v>172.5</v>
      </c>
      <c r="P1103" s="2">
        <v>43290</v>
      </c>
      <c r="Q1103" s="7">
        <f>$E1103-$O1103</f>
        <v>0</v>
      </c>
      <c r="R1103" s="7" t="str">
        <f ca="1">IF(TODAY() - DOCXX[INV DUE DATE]&lt;30, "Less than 30 days",IF(TODAY()-DOCXX[INV DUE DATE]&lt;60,"30-60 days","More than 60 days"))</f>
        <v>Less than 30 days</v>
      </c>
      <c r="S1103" t="s">
        <v>818</v>
      </c>
      <c r="T1103" s="43" t="s">
        <v>2229</v>
      </c>
      <c r="U1103" s="7" t="s">
        <v>3699</v>
      </c>
    </row>
    <row r="1104" spans="1:21" x14ac:dyDescent="0.3">
      <c r="A1104" s="14" t="s">
        <v>4132</v>
      </c>
      <c r="B1104" t="s">
        <v>118</v>
      </c>
      <c r="C1104" t="s">
        <v>310</v>
      </c>
      <c r="D1104">
        <v>1</v>
      </c>
      <c r="E1104" s="7">
        <v>172.5</v>
      </c>
      <c r="H1104">
        <v>91295</v>
      </c>
      <c r="I1104" t="s">
        <v>360</v>
      </c>
      <c r="J1104" t="s">
        <v>3316</v>
      </c>
      <c r="K1104" t="s">
        <v>3</v>
      </c>
      <c r="L1104" s="2">
        <v>43252</v>
      </c>
      <c r="M1104" s="2">
        <f>DOCXX[[#This Row],[INV DOC DATE]]+30</f>
        <v>43282</v>
      </c>
      <c r="N1104" s="2">
        <v>43279</v>
      </c>
      <c r="O1104" s="7">
        <v>172.5</v>
      </c>
      <c r="P1104" s="2">
        <v>43290</v>
      </c>
      <c r="Q1104" s="7">
        <f>$E1104-$O1104</f>
        <v>0</v>
      </c>
      <c r="R1104" s="7" t="str">
        <f ca="1">IF(TODAY() - DOCXX[INV DUE DATE]&lt;30, "Less than 30 days",IF(TODAY()-DOCXX[INV DUE DATE]&lt;60,"30-60 days","More than 60 days"))</f>
        <v>Less than 30 days</v>
      </c>
      <c r="S1104" t="s">
        <v>818</v>
      </c>
      <c r="T1104" s="43" t="s">
        <v>2229</v>
      </c>
      <c r="U1104" s="7" t="s">
        <v>3699</v>
      </c>
    </row>
    <row r="1105" spans="1:21" x14ac:dyDescent="0.3">
      <c r="A1105" s="14" t="s">
        <v>4132</v>
      </c>
      <c r="B1105" t="s">
        <v>118</v>
      </c>
      <c r="C1105" t="s">
        <v>311</v>
      </c>
      <c r="D1105">
        <v>1</v>
      </c>
      <c r="E1105" s="7">
        <v>172.5</v>
      </c>
      <c r="H1105">
        <v>97900</v>
      </c>
      <c r="I1105" t="s">
        <v>350</v>
      </c>
      <c r="J1105" t="s">
        <v>3317</v>
      </c>
      <c r="K1105" t="s">
        <v>3</v>
      </c>
      <c r="L1105" s="2">
        <v>43252</v>
      </c>
      <c r="M1105" s="2">
        <f>DOCXX[[#This Row],[INV DOC DATE]]+30</f>
        <v>43282</v>
      </c>
      <c r="N1105" s="2">
        <v>43279</v>
      </c>
      <c r="O1105" s="7">
        <v>172.5</v>
      </c>
      <c r="P1105" s="2">
        <v>43290</v>
      </c>
      <c r="Q1105" s="7">
        <f>$E1105-$O1105</f>
        <v>0</v>
      </c>
      <c r="R1105" s="7" t="str">
        <f ca="1">IF(TODAY() - DOCXX[INV DUE DATE]&lt;30, "Less than 30 days",IF(TODAY()-DOCXX[INV DUE DATE]&lt;60,"30-60 days","More than 60 days"))</f>
        <v>Less than 30 days</v>
      </c>
      <c r="S1105" t="s">
        <v>818</v>
      </c>
      <c r="T1105" s="43" t="s">
        <v>2229</v>
      </c>
      <c r="U1105" s="7" t="s">
        <v>3699</v>
      </c>
    </row>
    <row r="1106" spans="1:21" x14ac:dyDescent="0.3">
      <c r="A1106" s="14" t="s">
        <v>4132</v>
      </c>
      <c r="B1106" t="s">
        <v>118</v>
      </c>
      <c r="C1106" t="s">
        <v>312</v>
      </c>
      <c r="D1106">
        <v>1</v>
      </c>
      <c r="E1106" s="7">
        <v>225</v>
      </c>
      <c r="H1106">
        <v>122967</v>
      </c>
      <c r="I1106" t="s">
        <v>349</v>
      </c>
      <c r="J1106" t="s">
        <v>3318</v>
      </c>
      <c r="K1106" t="s">
        <v>3</v>
      </c>
      <c r="L1106" s="2">
        <v>43252</v>
      </c>
      <c r="M1106" s="2">
        <f>DOCXX[[#This Row],[INV DOC DATE]]+30</f>
        <v>43282</v>
      </c>
      <c r="N1106" s="2">
        <v>43279</v>
      </c>
      <c r="O1106" s="7">
        <v>225</v>
      </c>
      <c r="P1106" s="2">
        <v>43290</v>
      </c>
      <c r="Q1106" s="7">
        <f>$E1106-$O1106</f>
        <v>0</v>
      </c>
      <c r="R1106" s="7" t="str">
        <f ca="1">IF(TODAY() - DOCXX[INV DUE DATE]&lt;30, "Less than 30 days",IF(TODAY()-DOCXX[INV DUE DATE]&lt;60,"30-60 days","More than 60 days"))</f>
        <v>Less than 30 days</v>
      </c>
      <c r="S1106" t="s">
        <v>818</v>
      </c>
      <c r="T1106" s="43" t="s">
        <v>2229</v>
      </c>
      <c r="U1106" s="7" t="s">
        <v>3699</v>
      </c>
    </row>
    <row r="1107" spans="1:21" x14ac:dyDescent="0.3">
      <c r="A1107" s="14" t="s">
        <v>4132</v>
      </c>
      <c r="B1107" t="s">
        <v>118</v>
      </c>
      <c r="C1107" t="s">
        <v>313</v>
      </c>
      <c r="D1107">
        <v>1</v>
      </c>
      <c r="E1107" s="7">
        <v>225</v>
      </c>
      <c r="H1107">
        <v>122967</v>
      </c>
      <c r="I1107" t="s">
        <v>349</v>
      </c>
      <c r="J1107" t="s">
        <v>3319</v>
      </c>
      <c r="K1107" t="s">
        <v>3</v>
      </c>
      <c r="L1107" s="2">
        <v>43252</v>
      </c>
      <c r="M1107" s="2">
        <f>DOCXX[[#This Row],[INV DOC DATE]]+30</f>
        <v>43282</v>
      </c>
      <c r="N1107" s="2">
        <v>43279</v>
      </c>
      <c r="O1107" s="7">
        <v>225</v>
      </c>
      <c r="P1107" s="2">
        <v>43290</v>
      </c>
      <c r="Q1107" s="7">
        <f>$E1107-$O1107</f>
        <v>0</v>
      </c>
      <c r="R1107" s="7" t="str">
        <f ca="1">IF(TODAY() - DOCXX[INV DUE DATE]&lt;30, "Less than 30 days",IF(TODAY()-DOCXX[INV DUE DATE]&lt;60,"30-60 days","More than 60 days"))</f>
        <v>Less than 30 days</v>
      </c>
      <c r="S1107" t="s">
        <v>818</v>
      </c>
      <c r="T1107" s="43" t="s">
        <v>2229</v>
      </c>
      <c r="U1107" s="7" t="s">
        <v>3699</v>
      </c>
    </row>
    <row r="1108" spans="1:21" x14ac:dyDescent="0.3">
      <c r="A1108" s="14" t="s">
        <v>4132</v>
      </c>
      <c r="B1108" t="s">
        <v>118</v>
      </c>
      <c r="C1108" t="s">
        <v>314</v>
      </c>
      <c r="D1108">
        <v>1</v>
      </c>
      <c r="E1108" s="7">
        <v>225</v>
      </c>
      <c r="H1108">
        <v>122967</v>
      </c>
      <c r="I1108" t="s">
        <v>349</v>
      </c>
      <c r="J1108" t="s">
        <v>3320</v>
      </c>
      <c r="K1108" t="s">
        <v>3</v>
      </c>
      <c r="L1108" s="2">
        <v>43252</v>
      </c>
      <c r="M1108" s="2">
        <f>DOCXX[[#This Row],[INV DOC DATE]]+30</f>
        <v>43282</v>
      </c>
      <c r="N1108" s="2">
        <v>43279</v>
      </c>
      <c r="O1108" s="7">
        <v>225</v>
      </c>
      <c r="P1108" s="2">
        <v>43290</v>
      </c>
      <c r="Q1108" s="7">
        <f>$E1108-$O1108</f>
        <v>0</v>
      </c>
      <c r="R1108" s="7" t="str">
        <f ca="1">IF(TODAY() - DOCXX[INV DUE DATE]&lt;30, "Less than 30 days",IF(TODAY()-DOCXX[INV DUE DATE]&lt;60,"30-60 days","More than 60 days"))</f>
        <v>Less than 30 days</v>
      </c>
      <c r="S1108" t="s">
        <v>818</v>
      </c>
      <c r="T1108" s="43" t="s">
        <v>2229</v>
      </c>
      <c r="U1108" s="7" t="s">
        <v>3699</v>
      </c>
    </row>
    <row r="1109" spans="1:21" x14ac:dyDescent="0.3">
      <c r="A1109" s="14" t="s">
        <v>4132</v>
      </c>
      <c r="B1109" t="s">
        <v>118</v>
      </c>
      <c r="C1109" t="s">
        <v>315</v>
      </c>
      <c r="D1109">
        <v>1</v>
      </c>
      <c r="E1109" s="7">
        <v>225</v>
      </c>
      <c r="H1109">
        <v>122967</v>
      </c>
      <c r="I1109" t="s">
        <v>349</v>
      </c>
      <c r="J1109" t="s">
        <v>3321</v>
      </c>
      <c r="K1109" t="s">
        <v>3</v>
      </c>
      <c r="L1109" s="2">
        <v>43252</v>
      </c>
      <c r="M1109" s="2">
        <f>DOCXX[[#This Row],[INV DOC DATE]]+30</f>
        <v>43282</v>
      </c>
      <c r="N1109" s="2">
        <v>43279</v>
      </c>
      <c r="O1109" s="7">
        <v>225</v>
      </c>
      <c r="P1109" s="2">
        <v>43290</v>
      </c>
      <c r="Q1109" s="7">
        <f>$E1109-$O1109</f>
        <v>0</v>
      </c>
      <c r="R1109" s="7" t="str">
        <f ca="1">IF(TODAY() - DOCXX[INV DUE DATE]&lt;30, "Less than 30 days",IF(TODAY()-DOCXX[INV DUE DATE]&lt;60,"30-60 days","More than 60 days"))</f>
        <v>Less than 30 days</v>
      </c>
      <c r="S1109" t="s">
        <v>818</v>
      </c>
      <c r="T1109" s="43" t="s">
        <v>2229</v>
      </c>
      <c r="U1109" s="7" t="s">
        <v>3699</v>
      </c>
    </row>
    <row r="1110" spans="1:21" x14ac:dyDescent="0.3">
      <c r="A1110" s="14" t="s">
        <v>4132</v>
      </c>
      <c r="B1110" t="s">
        <v>118</v>
      </c>
      <c r="C1110" t="s">
        <v>316</v>
      </c>
      <c r="D1110">
        <v>1</v>
      </c>
      <c r="E1110" s="7">
        <v>225</v>
      </c>
      <c r="H1110">
        <v>122967</v>
      </c>
      <c r="I1110" t="s">
        <v>349</v>
      </c>
      <c r="J1110" t="s">
        <v>3322</v>
      </c>
      <c r="K1110" t="s">
        <v>3</v>
      </c>
      <c r="L1110" s="2">
        <v>43252</v>
      </c>
      <c r="M1110" s="2">
        <f>DOCXX[[#This Row],[INV DOC DATE]]+30</f>
        <v>43282</v>
      </c>
      <c r="N1110" s="2">
        <v>43279</v>
      </c>
      <c r="O1110" s="7">
        <v>225</v>
      </c>
      <c r="P1110" s="2">
        <v>43290</v>
      </c>
      <c r="Q1110" s="7">
        <f>$E1110-$O1110</f>
        <v>0</v>
      </c>
      <c r="R1110" s="7" t="str">
        <f ca="1">IF(TODAY() - DOCXX[INV DUE DATE]&lt;30, "Less than 30 days",IF(TODAY()-DOCXX[INV DUE DATE]&lt;60,"30-60 days","More than 60 days"))</f>
        <v>Less than 30 days</v>
      </c>
      <c r="S1110" t="s">
        <v>818</v>
      </c>
      <c r="T1110" s="43" t="s">
        <v>2229</v>
      </c>
      <c r="U1110" s="7" t="s">
        <v>3699</v>
      </c>
    </row>
    <row r="1111" spans="1:21" x14ac:dyDescent="0.3">
      <c r="A1111" s="14" t="s">
        <v>4132</v>
      </c>
      <c r="B1111" t="s">
        <v>118</v>
      </c>
      <c r="C1111" t="s">
        <v>317</v>
      </c>
      <c r="D1111">
        <v>1</v>
      </c>
      <c r="E1111" s="7">
        <v>225</v>
      </c>
      <c r="H1111">
        <v>122967</v>
      </c>
      <c r="I1111" t="s">
        <v>349</v>
      </c>
      <c r="J1111" t="s">
        <v>3323</v>
      </c>
      <c r="K1111" t="s">
        <v>3</v>
      </c>
      <c r="L1111" s="2">
        <v>43252</v>
      </c>
      <c r="M1111" s="2">
        <f>DOCXX[[#This Row],[INV DOC DATE]]+30</f>
        <v>43282</v>
      </c>
      <c r="N1111" s="2">
        <v>43279</v>
      </c>
      <c r="O1111" s="7">
        <v>225</v>
      </c>
      <c r="P1111" s="2">
        <v>43290</v>
      </c>
      <c r="Q1111" s="7">
        <f>$E1111-$O1111</f>
        <v>0</v>
      </c>
      <c r="R1111" s="7" t="str">
        <f ca="1">IF(TODAY() - DOCXX[INV DUE DATE]&lt;30, "Less than 30 days",IF(TODAY()-DOCXX[INV DUE DATE]&lt;60,"30-60 days","More than 60 days"))</f>
        <v>Less than 30 days</v>
      </c>
      <c r="S1111" t="s">
        <v>818</v>
      </c>
      <c r="T1111" s="43" t="s">
        <v>2229</v>
      </c>
      <c r="U1111" s="7" t="s">
        <v>3699</v>
      </c>
    </row>
    <row r="1112" spans="1:21" x14ac:dyDescent="0.3">
      <c r="A1112" s="14" t="s">
        <v>4132</v>
      </c>
      <c r="B1112" t="s">
        <v>118</v>
      </c>
      <c r="C1112" t="s">
        <v>318</v>
      </c>
      <c r="D1112">
        <v>1</v>
      </c>
      <c r="E1112" s="7">
        <v>172.5</v>
      </c>
      <c r="H1112">
        <v>122967</v>
      </c>
      <c r="I1112" t="s">
        <v>349</v>
      </c>
      <c r="J1112" t="s">
        <v>3324</v>
      </c>
      <c r="K1112" t="s">
        <v>3</v>
      </c>
      <c r="L1112" s="2">
        <v>43252</v>
      </c>
      <c r="M1112" s="2">
        <f>DOCXX[[#This Row],[INV DOC DATE]]+30</f>
        <v>43282</v>
      </c>
      <c r="N1112" s="2">
        <v>43279</v>
      </c>
      <c r="O1112" s="7">
        <v>172.5</v>
      </c>
      <c r="P1112" s="2">
        <v>43290</v>
      </c>
      <c r="Q1112" s="7">
        <f>$E1112-$O1112</f>
        <v>0</v>
      </c>
      <c r="R1112" s="7" t="str">
        <f ca="1">IF(TODAY() - DOCXX[INV DUE DATE]&lt;30, "Less than 30 days",IF(TODAY()-DOCXX[INV DUE DATE]&lt;60,"30-60 days","More than 60 days"))</f>
        <v>Less than 30 days</v>
      </c>
      <c r="S1112" t="s">
        <v>818</v>
      </c>
      <c r="T1112" s="43" t="s">
        <v>2229</v>
      </c>
      <c r="U1112" s="7" t="s">
        <v>3699</v>
      </c>
    </row>
    <row r="1113" spans="1:21" x14ac:dyDescent="0.3">
      <c r="A1113" s="14" t="s">
        <v>4132</v>
      </c>
      <c r="B1113" t="s">
        <v>118</v>
      </c>
      <c r="C1113" t="s">
        <v>319</v>
      </c>
      <c r="D1113">
        <v>1</v>
      </c>
      <c r="E1113" s="7">
        <v>172.5</v>
      </c>
      <c r="H1113">
        <v>122967</v>
      </c>
      <c r="I1113" t="s">
        <v>349</v>
      </c>
      <c r="J1113" t="s">
        <v>3325</v>
      </c>
      <c r="K1113" t="s">
        <v>3</v>
      </c>
      <c r="L1113" s="2">
        <v>43252</v>
      </c>
      <c r="M1113" s="2">
        <f>DOCXX[[#This Row],[INV DOC DATE]]+30</f>
        <v>43282</v>
      </c>
      <c r="N1113" s="2">
        <v>43279</v>
      </c>
      <c r="O1113" s="7">
        <v>172.5</v>
      </c>
      <c r="P1113" s="2">
        <v>43290</v>
      </c>
      <c r="Q1113" s="7">
        <f>$E1113-$O1113</f>
        <v>0</v>
      </c>
      <c r="R1113" s="7" t="str">
        <f ca="1">IF(TODAY() - DOCXX[INV DUE DATE]&lt;30, "Less than 30 days",IF(TODAY()-DOCXX[INV DUE DATE]&lt;60,"30-60 days","More than 60 days"))</f>
        <v>Less than 30 days</v>
      </c>
      <c r="S1113" t="s">
        <v>818</v>
      </c>
      <c r="T1113" s="43" t="s">
        <v>2229</v>
      </c>
      <c r="U1113" s="7" t="s">
        <v>3699</v>
      </c>
    </row>
    <row r="1114" spans="1:21" x14ac:dyDescent="0.3">
      <c r="A1114" s="14" t="s">
        <v>4132</v>
      </c>
      <c r="B1114" t="s">
        <v>118</v>
      </c>
      <c r="C1114" t="s">
        <v>320</v>
      </c>
      <c r="D1114">
        <v>1</v>
      </c>
      <c r="E1114" s="7">
        <v>172.5</v>
      </c>
      <c r="H1114">
        <v>122967</v>
      </c>
      <c r="I1114" t="s">
        <v>349</v>
      </c>
      <c r="J1114" t="s">
        <v>3326</v>
      </c>
      <c r="K1114" t="s">
        <v>3</v>
      </c>
      <c r="L1114" s="2">
        <v>43252</v>
      </c>
      <c r="M1114" s="2">
        <f>DOCXX[[#This Row],[INV DOC DATE]]+30</f>
        <v>43282</v>
      </c>
      <c r="N1114" s="2">
        <v>43279</v>
      </c>
      <c r="O1114" s="7">
        <v>172.5</v>
      </c>
      <c r="P1114" s="2">
        <v>43290</v>
      </c>
      <c r="Q1114" s="7">
        <f>$E1114-$O1114</f>
        <v>0</v>
      </c>
      <c r="R1114" s="7" t="str">
        <f ca="1">IF(TODAY() - DOCXX[INV DUE DATE]&lt;30, "Less than 30 days",IF(TODAY()-DOCXX[INV DUE DATE]&lt;60,"30-60 days","More than 60 days"))</f>
        <v>Less than 30 days</v>
      </c>
      <c r="S1114" t="s">
        <v>818</v>
      </c>
      <c r="T1114" s="43" t="s">
        <v>2229</v>
      </c>
      <c r="U1114" s="7" t="s">
        <v>3699</v>
      </c>
    </row>
    <row r="1115" spans="1:21" x14ac:dyDescent="0.3">
      <c r="A1115" s="14" t="s">
        <v>4132</v>
      </c>
      <c r="B1115" t="s">
        <v>118</v>
      </c>
      <c r="C1115" t="s">
        <v>321</v>
      </c>
      <c r="D1115">
        <v>1</v>
      </c>
      <c r="E1115" s="7">
        <v>172.5</v>
      </c>
      <c r="H1115">
        <v>122967</v>
      </c>
      <c r="I1115" t="s">
        <v>349</v>
      </c>
      <c r="J1115" t="s">
        <v>3327</v>
      </c>
      <c r="K1115" t="s">
        <v>3</v>
      </c>
      <c r="L1115" s="2">
        <v>43252</v>
      </c>
      <c r="M1115" s="2">
        <f>DOCXX[[#This Row],[INV DOC DATE]]+30</f>
        <v>43282</v>
      </c>
      <c r="N1115" s="2">
        <v>43279</v>
      </c>
      <c r="O1115" s="7">
        <v>172.5</v>
      </c>
      <c r="P1115" s="2">
        <v>43290</v>
      </c>
      <c r="Q1115" s="7">
        <f>$E1115-$O1115</f>
        <v>0</v>
      </c>
      <c r="R1115" s="7" t="str">
        <f ca="1">IF(TODAY() - DOCXX[INV DUE DATE]&lt;30, "Less than 30 days",IF(TODAY()-DOCXX[INV DUE DATE]&lt;60,"30-60 days","More than 60 days"))</f>
        <v>Less than 30 days</v>
      </c>
      <c r="S1115" t="s">
        <v>818</v>
      </c>
      <c r="T1115" s="43" t="s">
        <v>2229</v>
      </c>
      <c r="U1115" s="7" t="s">
        <v>3699</v>
      </c>
    </row>
    <row r="1116" spans="1:21" x14ac:dyDescent="0.3">
      <c r="A1116" s="14" t="s">
        <v>4132</v>
      </c>
      <c r="B1116" t="s">
        <v>118</v>
      </c>
      <c r="C1116" t="s">
        <v>322</v>
      </c>
      <c r="D1116">
        <v>1</v>
      </c>
      <c r="E1116" s="7">
        <v>172.5</v>
      </c>
      <c r="H1116">
        <v>122967</v>
      </c>
      <c r="I1116" t="s">
        <v>349</v>
      </c>
      <c r="J1116" t="s">
        <v>3328</v>
      </c>
      <c r="K1116" t="s">
        <v>3</v>
      </c>
      <c r="L1116" s="2">
        <v>43252</v>
      </c>
      <c r="M1116" s="2">
        <f>DOCXX[[#This Row],[INV DOC DATE]]+30</f>
        <v>43282</v>
      </c>
      <c r="N1116" s="2">
        <v>43279</v>
      </c>
      <c r="O1116" s="7">
        <v>172.5</v>
      </c>
      <c r="P1116" s="2">
        <v>43290</v>
      </c>
      <c r="Q1116" s="7">
        <f>$E1116-$O1116</f>
        <v>0</v>
      </c>
      <c r="R1116" s="7" t="str">
        <f ca="1">IF(TODAY() - DOCXX[INV DUE DATE]&lt;30, "Less than 30 days",IF(TODAY()-DOCXX[INV DUE DATE]&lt;60,"30-60 days","More than 60 days"))</f>
        <v>Less than 30 days</v>
      </c>
      <c r="S1116" t="s">
        <v>818</v>
      </c>
      <c r="T1116" s="43" t="s">
        <v>2229</v>
      </c>
      <c r="U1116" s="7" t="s">
        <v>3699</v>
      </c>
    </row>
    <row r="1117" spans="1:21" x14ac:dyDescent="0.3">
      <c r="A1117" s="14" t="s">
        <v>4132</v>
      </c>
      <c r="B1117" t="s">
        <v>118</v>
      </c>
      <c r="C1117" t="s">
        <v>323</v>
      </c>
      <c r="D1117">
        <v>1</v>
      </c>
      <c r="E1117" s="7">
        <v>172.5</v>
      </c>
      <c r="H1117">
        <v>127678</v>
      </c>
      <c r="I1117" t="s">
        <v>349</v>
      </c>
      <c r="J1117" t="s">
        <v>3329</v>
      </c>
      <c r="K1117" t="s">
        <v>3</v>
      </c>
      <c r="L1117" s="2">
        <v>43252</v>
      </c>
      <c r="M1117" s="2">
        <f>DOCXX[[#This Row],[INV DOC DATE]]+30</f>
        <v>43282</v>
      </c>
      <c r="N1117" s="2">
        <v>43279</v>
      </c>
      <c r="O1117" s="7">
        <v>172.5</v>
      </c>
      <c r="P1117" s="2">
        <v>43290</v>
      </c>
      <c r="Q1117" s="7">
        <f>$E1117-$O1117</f>
        <v>0</v>
      </c>
      <c r="R1117" s="7" t="str">
        <f ca="1">IF(TODAY() - DOCXX[INV DUE DATE]&lt;30, "Less than 30 days",IF(TODAY()-DOCXX[INV DUE DATE]&lt;60,"30-60 days","More than 60 days"))</f>
        <v>Less than 30 days</v>
      </c>
      <c r="S1117" t="s">
        <v>818</v>
      </c>
      <c r="T1117" s="43" t="s">
        <v>2229</v>
      </c>
      <c r="U1117" s="7" t="s">
        <v>3699</v>
      </c>
    </row>
    <row r="1118" spans="1:21" x14ac:dyDescent="0.3">
      <c r="A1118" s="14" t="s">
        <v>4132</v>
      </c>
      <c r="B1118" t="s">
        <v>118</v>
      </c>
      <c r="C1118" t="s">
        <v>324</v>
      </c>
      <c r="D1118">
        <v>1</v>
      </c>
      <c r="E1118" s="7">
        <v>172.5</v>
      </c>
      <c r="H1118">
        <v>127678</v>
      </c>
      <c r="I1118" t="s">
        <v>349</v>
      </c>
      <c r="J1118" t="s">
        <v>3330</v>
      </c>
      <c r="K1118" t="s">
        <v>3</v>
      </c>
      <c r="L1118" s="2">
        <v>43252</v>
      </c>
      <c r="M1118" s="2">
        <f>DOCXX[[#This Row],[INV DOC DATE]]+30</f>
        <v>43282</v>
      </c>
      <c r="N1118" s="2">
        <v>43279</v>
      </c>
      <c r="O1118" s="7">
        <v>172.5</v>
      </c>
      <c r="P1118" s="2">
        <v>43290</v>
      </c>
      <c r="Q1118" s="7">
        <f>$E1118-$O1118</f>
        <v>0</v>
      </c>
      <c r="R1118" s="7" t="str">
        <f ca="1">IF(TODAY() - DOCXX[INV DUE DATE]&lt;30, "Less than 30 days",IF(TODAY()-DOCXX[INV DUE DATE]&lt;60,"30-60 days","More than 60 days"))</f>
        <v>Less than 30 days</v>
      </c>
      <c r="S1118" t="s">
        <v>818</v>
      </c>
      <c r="T1118" s="43" t="s">
        <v>2229</v>
      </c>
      <c r="U1118" s="7" t="s">
        <v>3699</v>
      </c>
    </row>
    <row r="1119" spans="1:21" x14ac:dyDescent="0.3">
      <c r="A1119" s="14" t="s">
        <v>4132</v>
      </c>
      <c r="B1119" t="s">
        <v>118</v>
      </c>
      <c r="C1119" t="s">
        <v>325</v>
      </c>
      <c r="D1119">
        <v>1</v>
      </c>
      <c r="E1119" s="7">
        <v>172.5</v>
      </c>
      <c r="H1119">
        <v>127678</v>
      </c>
      <c r="I1119" t="s">
        <v>349</v>
      </c>
      <c r="J1119" t="s">
        <v>3331</v>
      </c>
      <c r="K1119" t="s">
        <v>3</v>
      </c>
      <c r="L1119" s="2">
        <v>43252</v>
      </c>
      <c r="M1119" s="2">
        <f>DOCXX[[#This Row],[INV DOC DATE]]+30</f>
        <v>43282</v>
      </c>
      <c r="N1119" s="2">
        <v>43279</v>
      </c>
      <c r="O1119" s="7">
        <v>172.5</v>
      </c>
      <c r="P1119" s="2">
        <v>43290</v>
      </c>
      <c r="Q1119" s="7">
        <f>$E1119-$O1119</f>
        <v>0</v>
      </c>
      <c r="R1119" s="7" t="str">
        <f ca="1">IF(TODAY() - DOCXX[INV DUE DATE]&lt;30, "Less than 30 days",IF(TODAY()-DOCXX[INV DUE DATE]&lt;60,"30-60 days","More than 60 days"))</f>
        <v>Less than 30 days</v>
      </c>
      <c r="S1119" t="s">
        <v>818</v>
      </c>
      <c r="T1119" s="43" t="s">
        <v>2229</v>
      </c>
      <c r="U1119" s="7" t="s">
        <v>3699</v>
      </c>
    </row>
    <row r="1120" spans="1:21" x14ac:dyDescent="0.3">
      <c r="A1120" s="14" t="s">
        <v>4132</v>
      </c>
      <c r="B1120" t="s">
        <v>118</v>
      </c>
      <c r="C1120" t="s">
        <v>326</v>
      </c>
      <c r="D1120">
        <v>1</v>
      </c>
      <c r="E1120" s="7">
        <v>172.5</v>
      </c>
      <c r="H1120">
        <v>127678</v>
      </c>
      <c r="I1120" t="s">
        <v>349</v>
      </c>
      <c r="J1120" t="s">
        <v>3332</v>
      </c>
      <c r="K1120" t="s">
        <v>3</v>
      </c>
      <c r="L1120" s="2">
        <v>43252</v>
      </c>
      <c r="M1120" s="2">
        <f>DOCXX[[#This Row],[INV DOC DATE]]+30</f>
        <v>43282</v>
      </c>
      <c r="N1120" s="2">
        <v>43279</v>
      </c>
      <c r="O1120" s="7">
        <v>172.5</v>
      </c>
      <c r="P1120" s="2">
        <v>43290</v>
      </c>
      <c r="Q1120" s="7">
        <f>$E1120-$O1120</f>
        <v>0</v>
      </c>
      <c r="R1120" s="7" t="str">
        <f ca="1">IF(TODAY() - DOCXX[INV DUE DATE]&lt;30, "Less than 30 days",IF(TODAY()-DOCXX[INV DUE DATE]&lt;60,"30-60 days","More than 60 days"))</f>
        <v>Less than 30 days</v>
      </c>
      <c r="S1120" t="s">
        <v>818</v>
      </c>
      <c r="T1120" s="43" t="s">
        <v>2229</v>
      </c>
      <c r="U1120" s="7" t="s">
        <v>3699</v>
      </c>
    </row>
    <row r="1121" spans="1:21" x14ac:dyDescent="0.3">
      <c r="A1121" s="14" t="s">
        <v>4132</v>
      </c>
      <c r="B1121" t="s">
        <v>118</v>
      </c>
      <c r="C1121" t="s">
        <v>327</v>
      </c>
      <c r="D1121">
        <v>1</v>
      </c>
      <c r="E1121" s="7">
        <v>172.5</v>
      </c>
      <c r="H1121">
        <v>127678</v>
      </c>
      <c r="I1121" t="s">
        <v>349</v>
      </c>
      <c r="J1121" t="s">
        <v>3333</v>
      </c>
      <c r="K1121" t="s">
        <v>3</v>
      </c>
      <c r="L1121" s="2">
        <v>43252</v>
      </c>
      <c r="M1121" s="2">
        <f>DOCXX[[#This Row],[INV DOC DATE]]+30</f>
        <v>43282</v>
      </c>
      <c r="N1121" s="2">
        <v>43279</v>
      </c>
      <c r="O1121" s="7">
        <v>172.5</v>
      </c>
      <c r="P1121" s="2">
        <v>43290</v>
      </c>
      <c r="Q1121" s="7">
        <f>$E1121-$O1121</f>
        <v>0</v>
      </c>
      <c r="R1121" s="7" t="str">
        <f ca="1">IF(TODAY() - DOCXX[INV DUE DATE]&lt;30, "Less than 30 days",IF(TODAY()-DOCXX[INV DUE DATE]&lt;60,"30-60 days","More than 60 days"))</f>
        <v>Less than 30 days</v>
      </c>
      <c r="S1121" t="s">
        <v>818</v>
      </c>
      <c r="T1121" s="43" t="s">
        <v>2229</v>
      </c>
      <c r="U1121" s="7" t="s">
        <v>3699</v>
      </c>
    </row>
    <row r="1122" spans="1:21" x14ac:dyDescent="0.3">
      <c r="A1122" s="14" t="s">
        <v>4132</v>
      </c>
      <c r="B1122" t="s">
        <v>118</v>
      </c>
      <c r="C1122" t="s">
        <v>328</v>
      </c>
      <c r="D1122">
        <v>1</v>
      </c>
      <c r="E1122" s="7">
        <v>172.5</v>
      </c>
      <c r="H1122">
        <v>127678</v>
      </c>
      <c r="I1122" t="s">
        <v>349</v>
      </c>
      <c r="J1122" t="s">
        <v>3334</v>
      </c>
      <c r="K1122" t="s">
        <v>3</v>
      </c>
      <c r="L1122" s="2">
        <v>43252</v>
      </c>
      <c r="M1122" s="2">
        <f>DOCXX[[#This Row],[INV DOC DATE]]+30</f>
        <v>43282</v>
      </c>
      <c r="N1122" s="2">
        <v>43279</v>
      </c>
      <c r="O1122" s="7">
        <v>172.5</v>
      </c>
      <c r="P1122" s="2">
        <v>43290</v>
      </c>
      <c r="Q1122" s="7">
        <f>$E1122-$O1122</f>
        <v>0</v>
      </c>
      <c r="R1122" s="7" t="str">
        <f ca="1">IF(TODAY() - DOCXX[INV DUE DATE]&lt;30, "Less than 30 days",IF(TODAY()-DOCXX[INV DUE DATE]&lt;60,"30-60 days","More than 60 days"))</f>
        <v>Less than 30 days</v>
      </c>
      <c r="S1122" t="s">
        <v>818</v>
      </c>
      <c r="T1122" s="43" t="s">
        <v>2229</v>
      </c>
      <c r="U1122" s="7" t="s">
        <v>3699</v>
      </c>
    </row>
    <row r="1123" spans="1:21" x14ac:dyDescent="0.3">
      <c r="A1123" s="14" t="s">
        <v>4132</v>
      </c>
      <c r="B1123" t="s">
        <v>118</v>
      </c>
      <c r="C1123" t="s">
        <v>329</v>
      </c>
      <c r="D1123">
        <v>1</v>
      </c>
      <c r="E1123" s="7">
        <v>172.5</v>
      </c>
      <c r="H1123">
        <v>127678</v>
      </c>
      <c r="I1123" t="s">
        <v>349</v>
      </c>
      <c r="J1123" t="s">
        <v>3335</v>
      </c>
      <c r="K1123" t="s">
        <v>3</v>
      </c>
      <c r="L1123" s="2">
        <v>43252</v>
      </c>
      <c r="M1123" s="2">
        <f>DOCXX[[#This Row],[INV DOC DATE]]+30</f>
        <v>43282</v>
      </c>
      <c r="N1123" s="2">
        <v>43279</v>
      </c>
      <c r="O1123" s="7">
        <v>172.5</v>
      </c>
      <c r="P1123" s="2">
        <v>43290</v>
      </c>
      <c r="Q1123" s="7">
        <f>$E1123-$O1123</f>
        <v>0</v>
      </c>
      <c r="R1123" s="7" t="str">
        <f ca="1">IF(TODAY() - DOCXX[INV DUE DATE]&lt;30, "Less than 30 days",IF(TODAY()-DOCXX[INV DUE DATE]&lt;60,"30-60 days","More than 60 days"))</f>
        <v>Less than 30 days</v>
      </c>
      <c r="S1123" t="s">
        <v>818</v>
      </c>
      <c r="T1123" s="43" t="s">
        <v>2229</v>
      </c>
      <c r="U1123" s="7" t="s">
        <v>3699</v>
      </c>
    </row>
    <row r="1124" spans="1:21" x14ac:dyDescent="0.3">
      <c r="A1124" s="14" t="s">
        <v>4132</v>
      </c>
      <c r="B1124" t="s">
        <v>118</v>
      </c>
      <c r="C1124" t="s">
        <v>330</v>
      </c>
      <c r="D1124">
        <v>1</v>
      </c>
      <c r="E1124" s="7">
        <v>225</v>
      </c>
      <c r="H1124">
        <v>127678</v>
      </c>
      <c r="I1124" t="s">
        <v>349</v>
      </c>
      <c r="J1124" t="s">
        <v>3336</v>
      </c>
      <c r="K1124" t="s">
        <v>3</v>
      </c>
      <c r="L1124" s="2">
        <v>43252</v>
      </c>
      <c r="M1124" s="2">
        <f>DOCXX[[#This Row],[INV DOC DATE]]+30</f>
        <v>43282</v>
      </c>
      <c r="N1124" s="2">
        <v>43279</v>
      </c>
      <c r="O1124" s="7">
        <v>225</v>
      </c>
      <c r="P1124" s="2">
        <v>43290</v>
      </c>
      <c r="Q1124" s="7">
        <f>$E1124-$O1124</f>
        <v>0</v>
      </c>
      <c r="R1124" s="7" t="str">
        <f ca="1">IF(TODAY() - DOCXX[INV DUE DATE]&lt;30, "Less than 30 days",IF(TODAY()-DOCXX[INV DUE DATE]&lt;60,"30-60 days","More than 60 days"))</f>
        <v>Less than 30 days</v>
      </c>
      <c r="S1124" t="s">
        <v>818</v>
      </c>
      <c r="T1124" s="43" t="s">
        <v>2229</v>
      </c>
      <c r="U1124" s="7" t="s">
        <v>3699</v>
      </c>
    </row>
    <row r="1125" spans="1:21" x14ac:dyDescent="0.3">
      <c r="A1125" s="14" t="s">
        <v>4132</v>
      </c>
      <c r="B1125" t="s">
        <v>118</v>
      </c>
      <c r="C1125" t="s">
        <v>331</v>
      </c>
      <c r="D1125">
        <v>1</v>
      </c>
      <c r="E1125" s="7">
        <v>225</v>
      </c>
      <c r="H1125">
        <v>127678</v>
      </c>
      <c r="I1125" t="s">
        <v>349</v>
      </c>
      <c r="J1125" t="s">
        <v>3337</v>
      </c>
      <c r="K1125" t="s">
        <v>3</v>
      </c>
      <c r="L1125" s="2">
        <v>43252</v>
      </c>
      <c r="M1125" s="2">
        <f>DOCXX[[#This Row],[INV DOC DATE]]+30</f>
        <v>43282</v>
      </c>
      <c r="N1125" s="2">
        <v>43279</v>
      </c>
      <c r="O1125" s="7">
        <v>225</v>
      </c>
      <c r="P1125" s="2">
        <v>43290</v>
      </c>
      <c r="Q1125" s="7">
        <f>$E1125-$O1125</f>
        <v>0</v>
      </c>
      <c r="R1125" s="7" t="str">
        <f ca="1">IF(TODAY() - DOCXX[INV DUE DATE]&lt;30, "Less than 30 days",IF(TODAY()-DOCXX[INV DUE DATE]&lt;60,"30-60 days","More than 60 days"))</f>
        <v>Less than 30 days</v>
      </c>
      <c r="S1125" t="s">
        <v>818</v>
      </c>
      <c r="T1125" s="43" t="s">
        <v>2229</v>
      </c>
      <c r="U1125" s="7" t="s">
        <v>3699</v>
      </c>
    </row>
    <row r="1126" spans="1:21" x14ac:dyDescent="0.3">
      <c r="A1126" s="14" t="s">
        <v>4132</v>
      </c>
      <c r="B1126" t="s">
        <v>118</v>
      </c>
      <c r="C1126" t="s">
        <v>332</v>
      </c>
      <c r="D1126">
        <v>1</v>
      </c>
      <c r="E1126" s="7">
        <v>225</v>
      </c>
      <c r="H1126">
        <v>127678</v>
      </c>
      <c r="I1126" t="s">
        <v>349</v>
      </c>
      <c r="J1126" t="s">
        <v>3338</v>
      </c>
      <c r="K1126" t="s">
        <v>3</v>
      </c>
      <c r="L1126" s="2">
        <v>43252</v>
      </c>
      <c r="M1126" s="2">
        <f>DOCXX[[#This Row],[INV DOC DATE]]+30</f>
        <v>43282</v>
      </c>
      <c r="N1126" s="2">
        <v>43279</v>
      </c>
      <c r="O1126" s="7">
        <v>225</v>
      </c>
      <c r="P1126" s="2">
        <v>43290</v>
      </c>
      <c r="Q1126" s="7">
        <f>$E1126-$O1126</f>
        <v>0</v>
      </c>
      <c r="R1126" s="7" t="str">
        <f ca="1">IF(TODAY() - DOCXX[INV DUE DATE]&lt;30, "Less than 30 days",IF(TODAY()-DOCXX[INV DUE DATE]&lt;60,"30-60 days","More than 60 days"))</f>
        <v>Less than 30 days</v>
      </c>
      <c r="S1126" t="s">
        <v>818</v>
      </c>
      <c r="T1126" s="43" t="s">
        <v>2229</v>
      </c>
      <c r="U1126" s="7" t="s">
        <v>3699</v>
      </c>
    </row>
    <row r="1127" spans="1:21" x14ac:dyDescent="0.3">
      <c r="A1127" s="14" t="s">
        <v>4132</v>
      </c>
      <c r="B1127" t="s">
        <v>118</v>
      </c>
      <c r="C1127" t="s">
        <v>333</v>
      </c>
      <c r="D1127">
        <v>1</v>
      </c>
      <c r="E1127" s="7">
        <v>225</v>
      </c>
      <c r="H1127">
        <v>127678</v>
      </c>
      <c r="I1127" t="s">
        <v>349</v>
      </c>
      <c r="J1127" t="s">
        <v>3339</v>
      </c>
      <c r="K1127" t="s">
        <v>3</v>
      </c>
      <c r="L1127" s="2">
        <v>43252</v>
      </c>
      <c r="M1127" s="2">
        <f>DOCXX[[#This Row],[INV DOC DATE]]+30</f>
        <v>43282</v>
      </c>
      <c r="N1127" s="2">
        <v>43279</v>
      </c>
      <c r="O1127" s="7">
        <v>225</v>
      </c>
      <c r="P1127" s="2">
        <v>43290</v>
      </c>
      <c r="Q1127" s="7">
        <f>$E1127-$O1127</f>
        <v>0</v>
      </c>
      <c r="R1127" s="7" t="str">
        <f ca="1">IF(TODAY() - DOCXX[INV DUE DATE]&lt;30, "Less than 30 days",IF(TODAY()-DOCXX[INV DUE DATE]&lt;60,"30-60 days","More than 60 days"))</f>
        <v>Less than 30 days</v>
      </c>
      <c r="S1127" t="s">
        <v>818</v>
      </c>
      <c r="T1127" s="43" t="s">
        <v>2229</v>
      </c>
      <c r="U1127" s="7" t="s">
        <v>3699</v>
      </c>
    </row>
    <row r="1128" spans="1:21" x14ac:dyDescent="0.3">
      <c r="A1128" s="14" t="s">
        <v>4132</v>
      </c>
      <c r="B1128" t="s">
        <v>118</v>
      </c>
      <c r="C1128" t="s">
        <v>334</v>
      </c>
      <c r="D1128">
        <v>1</v>
      </c>
      <c r="E1128" s="7">
        <v>225</v>
      </c>
      <c r="H1128">
        <v>127678</v>
      </c>
      <c r="I1128" t="s">
        <v>349</v>
      </c>
      <c r="J1128" t="s">
        <v>3340</v>
      </c>
      <c r="K1128" t="s">
        <v>3</v>
      </c>
      <c r="L1128" s="2">
        <v>43252</v>
      </c>
      <c r="M1128" s="2">
        <f>DOCXX[[#This Row],[INV DOC DATE]]+30</f>
        <v>43282</v>
      </c>
      <c r="N1128" s="2">
        <v>43279</v>
      </c>
      <c r="O1128" s="7">
        <v>225</v>
      </c>
      <c r="P1128" s="2">
        <v>43290</v>
      </c>
      <c r="Q1128" s="7">
        <f>$E1128-$O1128</f>
        <v>0</v>
      </c>
      <c r="R1128" s="7" t="str">
        <f ca="1">IF(TODAY() - DOCXX[INV DUE DATE]&lt;30, "Less than 30 days",IF(TODAY()-DOCXX[INV DUE DATE]&lt;60,"30-60 days","More than 60 days"))</f>
        <v>Less than 30 days</v>
      </c>
      <c r="S1128" t="s">
        <v>818</v>
      </c>
      <c r="T1128" s="43" t="s">
        <v>2229</v>
      </c>
      <c r="U1128" s="7" t="s">
        <v>3699</v>
      </c>
    </row>
    <row r="1129" spans="1:21" x14ac:dyDescent="0.3">
      <c r="A1129" s="14" t="s">
        <v>4132</v>
      </c>
      <c r="B1129" t="s">
        <v>118</v>
      </c>
      <c r="C1129" t="s">
        <v>335</v>
      </c>
      <c r="D1129">
        <v>1</v>
      </c>
      <c r="E1129" s="7">
        <v>225</v>
      </c>
      <c r="H1129">
        <v>127678</v>
      </c>
      <c r="I1129" t="s">
        <v>349</v>
      </c>
      <c r="J1129" t="s">
        <v>3341</v>
      </c>
      <c r="K1129" t="s">
        <v>3</v>
      </c>
      <c r="L1129" s="2">
        <v>43252</v>
      </c>
      <c r="M1129" s="2">
        <f>DOCXX[[#This Row],[INV DOC DATE]]+30</f>
        <v>43282</v>
      </c>
      <c r="N1129" s="2">
        <v>43279</v>
      </c>
      <c r="O1129" s="7">
        <v>225</v>
      </c>
      <c r="P1129" s="2">
        <v>43290</v>
      </c>
      <c r="Q1129" s="7">
        <f>$E1129-$O1129</f>
        <v>0</v>
      </c>
      <c r="R1129" s="7" t="str">
        <f ca="1">IF(TODAY() - DOCXX[INV DUE DATE]&lt;30, "Less than 30 days",IF(TODAY()-DOCXX[INV DUE DATE]&lt;60,"30-60 days","More than 60 days"))</f>
        <v>Less than 30 days</v>
      </c>
      <c r="S1129" t="s">
        <v>818</v>
      </c>
      <c r="T1129" s="43" t="s">
        <v>2229</v>
      </c>
      <c r="U1129" s="7" t="s">
        <v>3699</v>
      </c>
    </row>
    <row r="1130" spans="1:21" x14ac:dyDescent="0.3">
      <c r="A1130" s="14" t="s">
        <v>4132</v>
      </c>
      <c r="B1130" t="s">
        <v>118</v>
      </c>
      <c r="C1130" t="s">
        <v>336</v>
      </c>
      <c r="D1130">
        <v>1</v>
      </c>
      <c r="E1130" s="7">
        <v>225</v>
      </c>
      <c r="H1130">
        <v>127678</v>
      </c>
      <c r="I1130" t="s">
        <v>349</v>
      </c>
      <c r="J1130" t="s">
        <v>3342</v>
      </c>
      <c r="K1130" t="s">
        <v>3</v>
      </c>
      <c r="L1130" s="2">
        <v>43252</v>
      </c>
      <c r="M1130" s="2">
        <f>DOCXX[[#This Row],[INV DOC DATE]]+30</f>
        <v>43282</v>
      </c>
      <c r="N1130" s="2">
        <v>43279</v>
      </c>
      <c r="O1130" s="7">
        <v>225</v>
      </c>
      <c r="P1130" s="2">
        <v>43290</v>
      </c>
      <c r="Q1130" s="7">
        <f>$E1130-$O1130</f>
        <v>0</v>
      </c>
      <c r="R1130" s="7" t="str">
        <f ca="1">IF(TODAY() - DOCXX[INV DUE DATE]&lt;30, "Less than 30 days",IF(TODAY()-DOCXX[INV DUE DATE]&lt;60,"30-60 days","More than 60 days"))</f>
        <v>Less than 30 days</v>
      </c>
      <c r="S1130" t="s">
        <v>818</v>
      </c>
      <c r="T1130" s="43" t="s">
        <v>2229</v>
      </c>
      <c r="U1130" s="7" t="s">
        <v>3699</v>
      </c>
    </row>
    <row r="1131" spans="1:21" x14ac:dyDescent="0.3">
      <c r="A1131" s="14" t="s">
        <v>4132</v>
      </c>
      <c r="B1131" t="s">
        <v>118</v>
      </c>
      <c r="C1131" t="s">
        <v>337</v>
      </c>
      <c r="D1131">
        <v>1</v>
      </c>
      <c r="E1131" s="7">
        <v>225</v>
      </c>
      <c r="H1131">
        <v>127678</v>
      </c>
      <c r="I1131" t="s">
        <v>349</v>
      </c>
      <c r="J1131" t="s">
        <v>3343</v>
      </c>
      <c r="K1131" t="s">
        <v>3</v>
      </c>
      <c r="L1131" s="2">
        <v>43252</v>
      </c>
      <c r="M1131" s="2">
        <f>DOCXX[[#This Row],[INV DOC DATE]]+30</f>
        <v>43282</v>
      </c>
      <c r="N1131" s="2">
        <v>43279</v>
      </c>
      <c r="O1131" s="7">
        <v>225</v>
      </c>
      <c r="P1131" s="2">
        <v>43290</v>
      </c>
      <c r="Q1131" s="7">
        <f>$E1131-$O1131</f>
        <v>0</v>
      </c>
      <c r="R1131" s="7" t="str">
        <f ca="1">IF(TODAY() - DOCXX[INV DUE DATE]&lt;30, "Less than 30 days",IF(TODAY()-DOCXX[INV DUE DATE]&lt;60,"30-60 days","More than 60 days"))</f>
        <v>Less than 30 days</v>
      </c>
      <c r="S1131" t="s">
        <v>818</v>
      </c>
      <c r="T1131" s="43" t="s">
        <v>2229</v>
      </c>
      <c r="U1131" s="7" t="s">
        <v>3699</v>
      </c>
    </row>
    <row r="1132" spans="1:21" x14ac:dyDescent="0.3">
      <c r="A1132" s="14" t="s">
        <v>4132</v>
      </c>
      <c r="B1132" t="s">
        <v>118</v>
      </c>
      <c r="C1132" t="s">
        <v>338</v>
      </c>
      <c r="D1132">
        <v>1</v>
      </c>
      <c r="E1132" s="7">
        <v>225</v>
      </c>
      <c r="H1132">
        <v>127678</v>
      </c>
      <c r="I1132" t="s">
        <v>349</v>
      </c>
      <c r="J1132" t="s">
        <v>3344</v>
      </c>
      <c r="K1132" t="s">
        <v>3</v>
      </c>
      <c r="L1132" s="2">
        <v>43252</v>
      </c>
      <c r="M1132" s="2">
        <f>DOCXX[[#This Row],[INV DOC DATE]]+30</f>
        <v>43282</v>
      </c>
      <c r="N1132" s="2">
        <v>43279</v>
      </c>
      <c r="O1132" s="7">
        <v>225</v>
      </c>
      <c r="P1132" s="2">
        <v>43290</v>
      </c>
      <c r="Q1132" s="7">
        <f>$E1132-$O1132</f>
        <v>0</v>
      </c>
      <c r="R1132" s="7" t="str">
        <f ca="1">IF(TODAY() - DOCXX[INV DUE DATE]&lt;30, "Less than 30 days",IF(TODAY()-DOCXX[INV DUE DATE]&lt;60,"30-60 days","More than 60 days"))</f>
        <v>Less than 30 days</v>
      </c>
      <c r="S1132" t="s">
        <v>818</v>
      </c>
      <c r="T1132" s="43" t="s">
        <v>2229</v>
      </c>
      <c r="U1132" s="7" t="s">
        <v>3699</v>
      </c>
    </row>
    <row r="1133" spans="1:21" x14ac:dyDescent="0.3">
      <c r="A1133" s="14" t="s">
        <v>4132</v>
      </c>
      <c r="B1133" t="s">
        <v>118</v>
      </c>
      <c r="C1133" t="s">
        <v>339</v>
      </c>
      <c r="D1133">
        <v>1</v>
      </c>
      <c r="E1133" s="7">
        <v>225</v>
      </c>
      <c r="H1133">
        <v>127678</v>
      </c>
      <c r="I1133" t="s">
        <v>349</v>
      </c>
      <c r="J1133" t="s">
        <v>3345</v>
      </c>
      <c r="K1133" t="s">
        <v>3</v>
      </c>
      <c r="L1133" s="2">
        <v>43252</v>
      </c>
      <c r="M1133" s="2">
        <f>DOCXX[[#This Row],[INV DOC DATE]]+30</f>
        <v>43282</v>
      </c>
      <c r="N1133" s="2">
        <v>43279</v>
      </c>
      <c r="O1133" s="7">
        <v>225</v>
      </c>
      <c r="P1133" s="2">
        <v>43290</v>
      </c>
      <c r="Q1133" s="7">
        <f>$E1133-$O1133</f>
        <v>0</v>
      </c>
      <c r="R1133" s="7" t="str">
        <f ca="1">IF(TODAY() - DOCXX[INV DUE DATE]&lt;30, "Less than 30 days",IF(TODAY()-DOCXX[INV DUE DATE]&lt;60,"30-60 days","More than 60 days"))</f>
        <v>Less than 30 days</v>
      </c>
      <c r="S1133" t="s">
        <v>818</v>
      </c>
      <c r="T1133" s="43" t="s">
        <v>2229</v>
      </c>
      <c r="U1133" s="7" t="s">
        <v>3699</v>
      </c>
    </row>
    <row r="1134" spans="1:21" x14ac:dyDescent="0.3">
      <c r="A1134" s="14" t="s">
        <v>4132</v>
      </c>
      <c r="B1134" t="s">
        <v>118</v>
      </c>
      <c r="C1134" t="s">
        <v>340</v>
      </c>
      <c r="D1134">
        <v>1</v>
      </c>
      <c r="E1134" s="7">
        <v>172.5</v>
      </c>
      <c r="H1134">
        <v>137491</v>
      </c>
      <c r="I1134" t="s">
        <v>351</v>
      </c>
      <c r="J1134" t="s">
        <v>3346</v>
      </c>
      <c r="K1134" t="s">
        <v>3</v>
      </c>
      <c r="L1134" s="2">
        <v>43252</v>
      </c>
      <c r="M1134" s="2">
        <f>DOCXX[[#This Row],[INV DOC DATE]]+30</f>
        <v>43282</v>
      </c>
      <c r="N1134" s="2">
        <v>43279</v>
      </c>
      <c r="O1134" s="7">
        <v>172.5</v>
      </c>
      <c r="P1134" s="2">
        <v>43290</v>
      </c>
      <c r="Q1134" s="7">
        <f>$E1134-$O1134</f>
        <v>0</v>
      </c>
      <c r="R1134" s="7" t="str">
        <f ca="1">IF(TODAY() - DOCXX[INV DUE DATE]&lt;30, "Less than 30 days",IF(TODAY()-DOCXX[INV DUE DATE]&lt;60,"30-60 days","More than 60 days"))</f>
        <v>Less than 30 days</v>
      </c>
      <c r="S1134" t="s">
        <v>818</v>
      </c>
      <c r="T1134" s="43" t="s">
        <v>2229</v>
      </c>
      <c r="U1134" s="7" t="s">
        <v>3699</v>
      </c>
    </row>
    <row r="1135" spans="1:21" x14ac:dyDescent="0.3">
      <c r="A1135" s="14" t="s">
        <v>4132</v>
      </c>
      <c r="B1135" t="s">
        <v>118</v>
      </c>
      <c r="C1135" t="s">
        <v>341</v>
      </c>
      <c r="D1135">
        <v>1</v>
      </c>
      <c r="E1135" s="7">
        <v>172.5</v>
      </c>
      <c r="H1135">
        <v>137491</v>
      </c>
      <c r="I1135" t="s">
        <v>351</v>
      </c>
      <c r="J1135" t="s">
        <v>3347</v>
      </c>
      <c r="K1135" t="s">
        <v>3</v>
      </c>
      <c r="L1135" s="2">
        <v>43252</v>
      </c>
      <c r="M1135" s="2">
        <f>DOCXX[[#This Row],[INV DOC DATE]]+30</f>
        <v>43282</v>
      </c>
      <c r="N1135" s="2">
        <v>43279</v>
      </c>
      <c r="O1135" s="7">
        <v>172.5</v>
      </c>
      <c r="P1135" s="2">
        <v>43290</v>
      </c>
      <c r="Q1135" s="7">
        <f>$E1135-$O1135</f>
        <v>0</v>
      </c>
      <c r="R1135" s="7" t="str">
        <f ca="1">IF(TODAY() - DOCXX[INV DUE DATE]&lt;30, "Less than 30 days",IF(TODAY()-DOCXX[INV DUE DATE]&lt;60,"30-60 days","More than 60 days"))</f>
        <v>Less than 30 days</v>
      </c>
      <c r="S1135" t="s">
        <v>818</v>
      </c>
      <c r="T1135" s="43" t="s">
        <v>2229</v>
      </c>
      <c r="U1135" s="7" t="s">
        <v>3699</v>
      </c>
    </row>
    <row r="1136" spans="1:21" x14ac:dyDescent="0.3">
      <c r="A1136" s="14" t="s">
        <v>4132</v>
      </c>
      <c r="B1136" t="s">
        <v>118</v>
      </c>
      <c r="C1136" t="s">
        <v>342</v>
      </c>
      <c r="D1136">
        <v>1</v>
      </c>
      <c r="E1136" s="7">
        <v>172.5</v>
      </c>
      <c r="H1136">
        <v>172324</v>
      </c>
      <c r="I1136" t="s">
        <v>352</v>
      </c>
      <c r="J1136" t="s">
        <v>3348</v>
      </c>
      <c r="K1136" t="s">
        <v>3</v>
      </c>
      <c r="L1136" s="2">
        <v>43252</v>
      </c>
      <c r="M1136" s="2">
        <f>DOCXX[[#This Row],[INV DOC DATE]]+30</f>
        <v>43282</v>
      </c>
      <c r="N1136" s="2">
        <v>43279</v>
      </c>
      <c r="O1136" s="7">
        <v>172.5</v>
      </c>
      <c r="P1136" s="2">
        <v>43290</v>
      </c>
      <c r="Q1136" s="7">
        <f>$E1136-$O1136</f>
        <v>0</v>
      </c>
      <c r="R1136" s="7" t="str">
        <f ca="1">IF(TODAY() - DOCXX[INV DUE DATE]&lt;30, "Less than 30 days",IF(TODAY()-DOCXX[INV DUE DATE]&lt;60,"30-60 days","More than 60 days"))</f>
        <v>Less than 30 days</v>
      </c>
      <c r="S1136" t="s">
        <v>818</v>
      </c>
      <c r="T1136" s="43" t="s">
        <v>2229</v>
      </c>
      <c r="U1136" s="7" t="s">
        <v>3699</v>
      </c>
    </row>
    <row r="1137" spans="1:21" x14ac:dyDescent="0.3">
      <c r="A1137" s="14" t="s">
        <v>4132</v>
      </c>
      <c r="B1137" t="s">
        <v>118</v>
      </c>
      <c r="C1137" t="s">
        <v>343</v>
      </c>
      <c r="D1137">
        <v>1</v>
      </c>
      <c r="E1137" s="7">
        <v>172.5</v>
      </c>
      <c r="H1137">
        <v>172324</v>
      </c>
      <c r="I1137" t="s">
        <v>352</v>
      </c>
      <c r="J1137" t="s">
        <v>3349</v>
      </c>
      <c r="K1137" t="s">
        <v>3</v>
      </c>
      <c r="L1137" s="2">
        <v>43252</v>
      </c>
      <c r="M1137" s="2">
        <f>DOCXX[[#This Row],[INV DOC DATE]]+30</f>
        <v>43282</v>
      </c>
      <c r="N1137" s="2">
        <v>43279</v>
      </c>
      <c r="O1137" s="7">
        <v>172.5</v>
      </c>
      <c r="P1137" s="2">
        <v>43290</v>
      </c>
      <c r="Q1137" s="7">
        <f>$E1137-$O1137</f>
        <v>0</v>
      </c>
      <c r="R1137" s="7" t="str">
        <f ca="1">IF(TODAY() - DOCXX[INV DUE DATE]&lt;30, "Less than 30 days",IF(TODAY()-DOCXX[INV DUE DATE]&lt;60,"30-60 days","More than 60 days"))</f>
        <v>Less than 30 days</v>
      </c>
      <c r="S1137" t="s">
        <v>818</v>
      </c>
      <c r="T1137" s="43" t="s">
        <v>2229</v>
      </c>
      <c r="U1137" s="7" t="s">
        <v>3699</v>
      </c>
    </row>
    <row r="1138" spans="1:21" x14ac:dyDescent="0.3">
      <c r="A1138" s="14" t="s">
        <v>4132</v>
      </c>
      <c r="B1138" t="s">
        <v>118</v>
      </c>
      <c r="C1138" t="s">
        <v>344</v>
      </c>
      <c r="D1138">
        <v>1</v>
      </c>
      <c r="E1138" s="7">
        <v>172.5</v>
      </c>
      <c r="H1138">
        <v>172324</v>
      </c>
      <c r="I1138" t="s">
        <v>352</v>
      </c>
      <c r="J1138" t="s">
        <v>3350</v>
      </c>
      <c r="K1138" t="s">
        <v>3</v>
      </c>
      <c r="L1138" s="2">
        <v>43252</v>
      </c>
      <c r="M1138" s="2">
        <f>DOCXX[[#This Row],[INV DOC DATE]]+30</f>
        <v>43282</v>
      </c>
      <c r="N1138" s="2">
        <v>43279</v>
      </c>
      <c r="O1138" s="7">
        <v>172.5</v>
      </c>
      <c r="P1138" s="2">
        <v>43290</v>
      </c>
      <c r="Q1138" s="7">
        <f>$E1138-$O1138</f>
        <v>0</v>
      </c>
      <c r="R1138" s="7" t="str">
        <f ca="1">IF(TODAY() - DOCXX[INV DUE DATE]&lt;30, "Less than 30 days",IF(TODAY()-DOCXX[INV DUE DATE]&lt;60,"30-60 days","More than 60 days"))</f>
        <v>Less than 30 days</v>
      </c>
      <c r="S1138" t="s">
        <v>818</v>
      </c>
      <c r="T1138" s="43" t="s">
        <v>2229</v>
      </c>
      <c r="U1138" s="7" t="s">
        <v>3699</v>
      </c>
    </row>
    <row r="1139" spans="1:21" x14ac:dyDescent="0.3">
      <c r="A1139" s="14" t="s">
        <v>4132</v>
      </c>
      <c r="B1139" t="s">
        <v>118</v>
      </c>
      <c r="C1139" t="s">
        <v>345</v>
      </c>
      <c r="D1139">
        <v>2000</v>
      </c>
      <c r="E1139" s="7">
        <v>172.5</v>
      </c>
      <c r="H1139">
        <v>11843</v>
      </c>
      <c r="I1139" t="s">
        <v>361</v>
      </c>
      <c r="J1139" t="s">
        <v>3351</v>
      </c>
      <c r="K1139" t="s">
        <v>3</v>
      </c>
      <c r="L1139" s="2">
        <v>43252</v>
      </c>
      <c r="M1139" s="2">
        <f>DOCXX[[#This Row],[INV DOC DATE]]+30</f>
        <v>43282</v>
      </c>
      <c r="N1139" s="2">
        <v>43279</v>
      </c>
      <c r="O1139" s="7">
        <v>172.5</v>
      </c>
      <c r="P1139" s="2">
        <v>43290</v>
      </c>
      <c r="Q1139" s="7">
        <f>$E1139-$O1139</f>
        <v>0</v>
      </c>
      <c r="R1139" s="7" t="str">
        <f ca="1">IF(TODAY() - DOCXX[INV DUE DATE]&lt;30, "Less than 30 days",IF(TODAY()-DOCXX[INV DUE DATE]&lt;60,"30-60 days","More than 60 days"))</f>
        <v>Less than 30 days</v>
      </c>
      <c r="S1139" t="s">
        <v>818</v>
      </c>
      <c r="T1139" s="43" t="s">
        <v>2229</v>
      </c>
      <c r="U1139" s="7" t="s">
        <v>3699</v>
      </c>
    </row>
    <row r="1140" spans="1:21" x14ac:dyDescent="0.3">
      <c r="A1140" s="14" t="s">
        <v>4132</v>
      </c>
      <c r="B1140" t="s">
        <v>118</v>
      </c>
      <c r="C1140" t="s">
        <v>346</v>
      </c>
      <c r="D1140">
        <v>2000</v>
      </c>
      <c r="E1140" s="7">
        <v>172.5</v>
      </c>
      <c r="H1140">
        <v>37912</v>
      </c>
      <c r="I1140" t="s">
        <v>362</v>
      </c>
      <c r="J1140" t="s">
        <v>3352</v>
      </c>
      <c r="K1140" t="s">
        <v>3</v>
      </c>
      <c r="L1140" s="2">
        <v>43252</v>
      </c>
      <c r="M1140" s="2">
        <f>DOCXX[[#This Row],[INV DOC DATE]]+30</f>
        <v>43282</v>
      </c>
      <c r="N1140" s="2">
        <v>43279</v>
      </c>
      <c r="O1140" s="7">
        <v>172.5</v>
      </c>
      <c r="P1140" s="2">
        <v>43290</v>
      </c>
      <c r="Q1140" s="7">
        <f>$E1140-$O1140</f>
        <v>0</v>
      </c>
      <c r="R1140" s="7" t="str">
        <f ca="1">IF(TODAY() - DOCXX[INV DUE DATE]&lt;30, "Less than 30 days",IF(TODAY()-DOCXX[INV DUE DATE]&lt;60,"30-60 days","More than 60 days"))</f>
        <v>Less than 30 days</v>
      </c>
      <c r="S1140" t="s">
        <v>818</v>
      </c>
      <c r="T1140" s="43" t="s">
        <v>2229</v>
      </c>
      <c r="U1140" s="7" t="s">
        <v>3699</v>
      </c>
    </row>
    <row r="1141" spans="1:21" x14ac:dyDescent="0.3">
      <c r="A1141" s="14" t="s">
        <v>4132</v>
      </c>
      <c r="B1141" t="s">
        <v>30</v>
      </c>
      <c r="C1141" t="s">
        <v>55</v>
      </c>
      <c r="D1141">
        <v>1</v>
      </c>
      <c r="E1141" s="7">
        <v>2601.37</v>
      </c>
      <c r="H1141">
        <v>1274</v>
      </c>
      <c r="I1141" t="s">
        <v>350</v>
      </c>
      <c r="J1141" t="s">
        <v>3739</v>
      </c>
      <c r="K1141" t="s">
        <v>3</v>
      </c>
      <c r="L1141" s="2">
        <v>43252</v>
      </c>
      <c r="M1141" s="2">
        <f>DOCXX[[#This Row],[INV DOC DATE]]+30</f>
        <v>43282</v>
      </c>
      <c r="N1141" s="2">
        <v>43290</v>
      </c>
      <c r="O1141" s="7">
        <v>2601.37</v>
      </c>
      <c r="P1141" s="2">
        <v>43299</v>
      </c>
      <c r="Q1141" s="7">
        <f>$E1141-$O1141</f>
        <v>0</v>
      </c>
      <c r="R1141" s="7" t="str">
        <f ca="1">IF(TODAY() - DOCXX[INV DUE DATE]&lt;30, "Less than 30 days",IF(TODAY()-DOCXX[INV DUE DATE]&lt;60,"30-60 days","More than 60 days"))</f>
        <v>Less than 30 days</v>
      </c>
      <c r="S1141" t="s">
        <v>818</v>
      </c>
      <c r="T1141" s="43" t="s">
        <v>2229</v>
      </c>
      <c r="U1141" s="7" t="s">
        <v>3699</v>
      </c>
    </row>
    <row r="1142" spans="1:21" x14ac:dyDescent="0.3">
      <c r="A1142" s="14" t="s">
        <v>4132</v>
      </c>
      <c r="B1142" t="s">
        <v>30</v>
      </c>
      <c r="C1142" t="s">
        <v>56</v>
      </c>
      <c r="D1142">
        <v>1</v>
      </c>
      <c r="E1142" s="7">
        <v>2295.98</v>
      </c>
      <c r="H1142">
        <v>1273</v>
      </c>
      <c r="I1142" t="s">
        <v>350</v>
      </c>
      <c r="J1142" t="s">
        <v>3739</v>
      </c>
      <c r="K1142" t="s">
        <v>3</v>
      </c>
      <c r="L1142" s="2">
        <v>43252</v>
      </c>
      <c r="M1142" s="2">
        <f>DOCXX[[#This Row],[INV DOC DATE]]+30</f>
        <v>43282</v>
      </c>
      <c r="N1142" s="2">
        <v>43290</v>
      </c>
      <c r="O1142" s="7">
        <v>2295.98</v>
      </c>
      <c r="P1142" s="2">
        <v>43299</v>
      </c>
      <c r="Q1142" s="7">
        <f>$E1142-$O1142</f>
        <v>0</v>
      </c>
      <c r="R1142" s="7" t="str">
        <f ca="1">IF(TODAY() - DOCXX[INV DUE DATE]&lt;30, "Less than 30 days",IF(TODAY()-DOCXX[INV DUE DATE]&lt;60,"30-60 days","More than 60 days"))</f>
        <v>Less than 30 days</v>
      </c>
      <c r="S1142" t="s">
        <v>818</v>
      </c>
      <c r="T1142" s="43" t="s">
        <v>2229</v>
      </c>
      <c r="U1142" s="7" t="s">
        <v>3699</v>
      </c>
    </row>
    <row r="1143" spans="1:21" x14ac:dyDescent="0.3">
      <c r="A1143" s="14" t="s">
        <v>4132</v>
      </c>
      <c r="B1143" t="s">
        <v>30</v>
      </c>
      <c r="C1143" t="s">
        <v>57</v>
      </c>
      <c r="D1143">
        <v>1</v>
      </c>
      <c r="E1143" s="7">
        <v>2210.59</v>
      </c>
      <c r="H1143">
        <v>58008</v>
      </c>
      <c r="I1143" t="s">
        <v>355</v>
      </c>
      <c r="J1143" t="s">
        <v>3739</v>
      </c>
      <c r="K1143" t="s">
        <v>3</v>
      </c>
      <c r="L1143" s="2">
        <v>43252</v>
      </c>
      <c r="M1143" s="2">
        <f>DOCXX[[#This Row],[INV DOC DATE]]+30</f>
        <v>43282</v>
      </c>
      <c r="N1143" s="2">
        <v>43290</v>
      </c>
      <c r="O1143" s="7">
        <v>2210.59</v>
      </c>
      <c r="P1143" s="2">
        <v>43299</v>
      </c>
      <c r="Q1143" s="7">
        <f>$E1143-$O1143</f>
        <v>0</v>
      </c>
      <c r="R1143" s="7" t="str">
        <f ca="1">IF(TODAY() - DOCXX[INV DUE DATE]&lt;30, "Less than 30 days",IF(TODAY()-DOCXX[INV DUE DATE]&lt;60,"30-60 days","More than 60 days"))</f>
        <v>Less than 30 days</v>
      </c>
      <c r="S1143" t="s">
        <v>818</v>
      </c>
      <c r="T1143" s="43" t="s">
        <v>2229</v>
      </c>
      <c r="U1143" s="7" t="s">
        <v>3699</v>
      </c>
    </row>
    <row r="1144" spans="1:21" x14ac:dyDescent="0.3">
      <c r="A1144" s="14" t="s">
        <v>4132</v>
      </c>
      <c r="B1144" t="s">
        <v>30</v>
      </c>
      <c r="C1144" t="s">
        <v>58</v>
      </c>
      <c r="D1144">
        <v>1</v>
      </c>
      <c r="E1144" s="7">
        <v>1212.75</v>
      </c>
      <c r="H1144">
        <v>66660</v>
      </c>
      <c r="I1144" t="s">
        <v>357</v>
      </c>
      <c r="J1144" t="s">
        <v>3739</v>
      </c>
      <c r="K1144" t="s">
        <v>3</v>
      </c>
      <c r="L1144" s="2">
        <v>43252</v>
      </c>
      <c r="M1144" s="2">
        <f>DOCXX[[#This Row],[INV DOC DATE]]+30</f>
        <v>43282</v>
      </c>
      <c r="N1144" s="2">
        <v>43290</v>
      </c>
      <c r="O1144" s="7">
        <v>1212.75</v>
      </c>
      <c r="P1144" s="2">
        <v>43299</v>
      </c>
      <c r="Q1144" s="7">
        <f>$E1144-$O1144</f>
        <v>0</v>
      </c>
      <c r="R1144" s="7" t="str">
        <f ca="1">IF(TODAY() - DOCXX[INV DUE DATE]&lt;30, "Less than 30 days",IF(TODAY()-DOCXX[INV DUE DATE]&lt;60,"30-60 days","More than 60 days"))</f>
        <v>Less than 30 days</v>
      </c>
      <c r="S1144" t="s">
        <v>818</v>
      </c>
      <c r="T1144" s="43" t="s">
        <v>2229</v>
      </c>
      <c r="U1144" s="7" t="s">
        <v>3699</v>
      </c>
    </row>
    <row r="1145" spans="1:21" x14ac:dyDescent="0.3">
      <c r="A1145" s="14" t="s">
        <v>4132</v>
      </c>
      <c r="B1145" t="s">
        <v>30</v>
      </c>
      <c r="C1145" t="s">
        <v>59</v>
      </c>
      <c r="D1145">
        <v>1</v>
      </c>
      <c r="E1145" s="7">
        <v>1041.08</v>
      </c>
      <c r="H1145">
        <v>97900</v>
      </c>
      <c r="I1145" t="s">
        <v>350</v>
      </c>
      <c r="J1145" t="s">
        <v>3739</v>
      </c>
      <c r="K1145" t="s">
        <v>3</v>
      </c>
      <c r="L1145" s="2">
        <v>43252</v>
      </c>
      <c r="M1145" s="2">
        <f>DOCXX[[#This Row],[INV DOC DATE]]+30</f>
        <v>43282</v>
      </c>
      <c r="N1145" s="2">
        <v>43290</v>
      </c>
      <c r="O1145" s="7">
        <v>1041.08</v>
      </c>
      <c r="P1145" s="2">
        <v>43299</v>
      </c>
      <c r="Q1145" s="7">
        <f>$E1145-$O1145</f>
        <v>0</v>
      </c>
      <c r="R1145" s="7" t="str">
        <f ca="1">IF(TODAY() - DOCXX[INV DUE DATE]&lt;30, "Less than 30 days",IF(TODAY()-DOCXX[INV DUE DATE]&lt;60,"30-60 days","More than 60 days"))</f>
        <v>Less than 30 days</v>
      </c>
      <c r="S1145" t="s">
        <v>818</v>
      </c>
      <c r="T1145" s="43" t="s">
        <v>2229</v>
      </c>
      <c r="U1145" s="7" t="s">
        <v>3699</v>
      </c>
    </row>
    <row r="1146" spans="1:21" x14ac:dyDescent="0.3">
      <c r="A1146" s="14" t="s">
        <v>4132</v>
      </c>
      <c r="B1146" t="s">
        <v>30</v>
      </c>
      <c r="C1146" t="s">
        <v>60</v>
      </c>
      <c r="D1146">
        <v>1</v>
      </c>
      <c r="E1146" s="7">
        <v>699.3</v>
      </c>
      <c r="H1146">
        <v>66665</v>
      </c>
      <c r="I1146" t="s">
        <v>2248</v>
      </c>
      <c r="J1146" t="s">
        <v>3739</v>
      </c>
      <c r="K1146" t="s">
        <v>3</v>
      </c>
      <c r="L1146" s="2">
        <v>43252</v>
      </c>
      <c r="M1146" s="2">
        <f>DOCXX[[#This Row],[INV DOC DATE]]+30</f>
        <v>43282</v>
      </c>
      <c r="N1146" s="2">
        <v>43290</v>
      </c>
      <c r="O1146" s="7">
        <v>699.3</v>
      </c>
      <c r="P1146" s="2">
        <v>43299</v>
      </c>
      <c r="Q1146" s="7">
        <f>$E1146-$O1146</f>
        <v>0</v>
      </c>
      <c r="R1146" s="7" t="str">
        <f ca="1">IF(TODAY() - DOCXX[INV DUE DATE]&lt;30, "Less than 30 days",IF(TODAY()-DOCXX[INV DUE DATE]&lt;60,"30-60 days","More than 60 days"))</f>
        <v>Less than 30 days</v>
      </c>
      <c r="S1146" t="s">
        <v>818</v>
      </c>
      <c r="T1146" s="43" t="s">
        <v>2229</v>
      </c>
      <c r="U1146" s="7" t="s">
        <v>3699</v>
      </c>
    </row>
    <row r="1147" spans="1:21" x14ac:dyDescent="0.3">
      <c r="A1147" s="14" t="s">
        <v>4132</v>
      </c>
      <c r="B1147" t="s">
        <v>30</v>
      </c>
      <c r="C1147" t="s">
        <v>61</v>
      </c>
      <c r="D1147">
        <v>1</v>
      </c>
      <c r="E1147" s="7">
        <v>697.73</v>
      </c>
      <c r="H1147">
        <v>167840</v>
      </c>
      <c r="I1147" t="s">
        <v>2249</v>
      </c>
      <c r="J1147" t="s">
        <v>3739</v>
      </c>
      <c r="K1147" t="s">
        <v>3</v>
      </c>
      <c r="L1147" s="2">
        <v>43252</v>
      </c>
      <c r="M1147" s="2">
        <f>DOCXX[[#This Row],[INV DOC DATE]]+30</f>
        <v>43282</v>
      </c>
      <c r="N1147" s="2">
        <v>43290</v>
      </c>
      <c r="O1147" s="7">
        <v>697.73</v>
      </c>
      <c r="P1147" s="2">
        <v>43299</v>
      </c>
      <c r="Q1147" s="7">
        <f>$E1147-$O1147</f>
        <v>0</v>
      </c>
      <c r="R1147" s="7" t="str">
        <f ca="1">IF(TODAY() - DOCXX[INV DUE DATE]&lt;30, "Less than 30 days",IF(TODAY()-DOCXX[INV DUE DATE]&lt;60,"30-60 days","More than 60 days"))</f>
        <v>Less than 30 days</v>
      </c>
      <c r="S1147" t="s">
        <v>818</v>
      </c>
      <c r="T1147" s="43" t="s">
        <v>2229</v>
      </c>
      <c r="U1147" s="7" t="s">
        <v>3699</v>
      </c>
    </row>
    <row r="1148" spans="1:21" x14ac:dyDescent="0.3">
      <c r="A1148" s="14" t="s">
        <v>4132</v>
      </c>
      <c r="B1148" t="s">
        <v>30</v>
      </c>
      <c r="C1148" t="s">
        <v>62</v>
      </c>
      <c r="D1148">
        <v>1</v>
      </c>
      <c r="E1148" s="7">
        <v>600.08000000000004</v>
      </c>
      <c r="H1148">
        <v>68162</v>
      </c>
      <c r="I1148" t="s">
        <v>358</v>
      </c>
      <c r="J1148" t="s">
        <v>3739</v>
      </c>
      <c r="K1148" t="s">
        <v>3</v>
      </c>
      <c r="L1148" s="2">
        <v>43252</v>
      </c>
      <c r="M1148" s="2">
        <f>DOCXX[[#This Row],[INV DOC DATE]]+30</f>
        <v>43282</v>
      </c>
      <c r="N1148" s="2">
        <v>43290</v>
      </c>
      <c r="O1148" s="7">
        <v>600.08000000000004</v>
      </c>
      <c r="P1148" s="2">
        <v>43299</v>
      </c>
      <c r="Q1148" s="7">
        <f>$E1148-$O1148</f>
        <v>0</v>
      </c>
      <c r="R1148" s="7" t="str">
        <f ca="1">IF(TODAY() - DOCXX[INV DUE DATE]&lt;30, "Less than 30 days",IF(TODAY()-DOCXX[INV DUE DATE]&lt;60,"30-60 days","More than 60 days"))</f>
        <v>Less than 30 days</v>
      </c>
      <c r="S1148" t="s">
        <v>818</v>
      </c>
      <c r="T1148" s="43" t="s">
        <v>2229</v>
      </c>
      <c r="U1148" s="7" t="s">
        <v>3699</v>
      </c>
    </row>
    <row r="1149" spans="1:21" x14ac:dyDescent="0.3">
      <c r="A1149" s="14" t="s">
        <v>4132</v>
      </c>
      <c r="B1149" t="s">
        <v>30</v>
      </c>
      <c r="C1149" t="s">
        <v>63</v>
      </c>
      <c r="D1149">
        <v>1</v>
      </c>
      <c r="E1149" s="7">
        <v>541.79999999999995</v>
      </c>
      <c r="H1149">
        <v>55785</v>
      </c>
      <c r="I1149" t="s">
        <v>354</v>
      </c>
      <c r="J1149" t="s">
        <v>3739</v>
      </c>
      <c r="K1149" t="s">
        <v>3</v>
      </c>
      <c r="L1149" s="2">
        <v>43252</v>
      </c>
      <c r="M1149" s="2">
        <f>DOCXX[[#This Row],[INV DOC DATE]]+30</f>
        <v>43282</v>
      </c>
      <c r="N1149" s="2">
        <v>43290</v>
      </c>
      <c r="O1149" s="7">
        <v>541.79999999999995</v>
      </c>
      <c r="P1149" s="2">
        <v>43299</v>
      </c>
      <c r="Q1149" s="7">
        <f>$E1149-$O1149</f>
        <v>0</v>
      </c>
      <c r="R1149" s="7" t="str">
        <f ca="1">IF(TODAY() - DOCXX[INV DUE DATE]&lt;30, "Less than 30 days",IF(TODAY()-DOCXX[INV DUE DATE]&lt;60,"30-60 days","More than 60 days"))</f>
        <v>Less than 30 days</v>
      </c>
      <c r="S1149" t="s">
        <v>818</v>
      </c>
      <c r="T1149" s="43" t="s">
        <v>2229</v>
      </c>
      <c r="U1149" s="7" t="s">
        <v>3699</v>
      </c>
    </row>
    <row r="1150" spans="1:21" x14ac:dyDescent="0.3">
      <c r="A1150" s="14" t="s">
        <v>4132</v>
      </c>
      <c r="B1150" t="s">
        <v>30</v>
      </c>
      <c r="C1150" t="s">
        <v>64</v>
      </c>
      <c r="D1150">
        <v>1</v>
      </c>
      <c r="E1150" s="7">
        <v>488.25</v>
      </c>
      <c r="H1150">
        <v>82624</v>
      </c>
      <c r="I1150" t="s">
        <v>853</v>
      </c>
      <c r="J1150" t="s">
        <v>3739</v>
      </c>
      <c r="K1150" t="s">
        <v>3</v>
      </c>
      <c r="L1150" s="2">
        <v>43252</v>
      </c>
      <c r="M1150" s="2">
        <f>DOCXX[[#This Row],[INV DOC DATE]]+30</f>
        <v>43282</v>
      </c>
      <c r="N1150" s="2">
        <v>43290</v>
      </c>
      <c r="O1150" s="7">
        <v>488.25</v>
      </c>
      <c r="P1150" s="2">
        <v>43299</v>
      </c>
      <c r="Q1150" s="7">
        <f>$E1150-$O1150</f>
        <v>0</v>
      </c>
      <c r="R1150" s="7" t="str">
        <f ca="1">IF(TODAY() - DOCXX[INV DUE DATE]&lt;30, "Less than 30 days",IF(TODAY()-DOCXX[INV DUE DATE]&lt;60,"30-60 days","More than 60 days"))</f>
        <v>Less than 30 days</v>
      </c>
      <c r="S1150" t="s">
        <v>818</v>
      </c>
      <c r="T1150" s="43" t="s">
        <v>2229</v>
      </c>
      <c r="U1150" s="7" t="s">
        <v>3699</v>
      </c>
    </row>
    <row r="1151" spans="1:21" x14ac:dyDescent="0.3">
      <c r="A1151" s="14" t="s">
        <v>4132</v>
      </c>
      <c r="B1151" t="s">
        <v>30</v>
      </c>
      <c r="C1151" t="s">
        <v>65</v>
      </c>
      <c r="D1151">
        <v>1</v>
      </c>
      <c r="E1151" s="7">
        <v>469.35</v>
      </c>
      <c r="H1151">
        <v>67904</v>
      </c>
      <c r="I1151" t="s">
        <v>853</v>
      </c>
      <c r="J1151" t="s">
        <v>3739</v>
      </c>
      <c r="K1151" t="s">
        <v>3</v>
      </c>
      <c r="L1151" s="2">
        <v>43252</v>
      </c>
      <c r="M1151" s="2">
        <f>DOCXX[[#This Row],[INV DOC DATE]]+30</f>
        <v>43282</v>
      </c>
      <c r="N1151" s="2">
        <v>43290</v>
      </c>
      <c r="O1151" s="7">
        <v>469.35</v>
      </c>
      <c r="P1151" s="2">
        <v>43299</v>
      </c>
      <c r="Q1151" s="7">
        <f>$E1151-$O1151</f>
        <v>0</v>
      </c>
      <c r="R1151" s="7" t="str">
        <f ca="1">IF(TODAY() - DOCXX[INV DUE DATE]&lt;30, "Less than 30 days",IF(TODAY()-DOCXX[INV DUE DATE]&lt;60,"30-60 days","More than 60 days"))</f>
        <v>Less than 30 days</v>
      </c>
      <c r="S1151" t="s">
        <v>818</v>
      </c>
      <c r="T1151" s="43" t="s">
        <v>2229</v>
      </c>
      <c r="U1151" s="7" t="s">
        <v>3699</v>
      </c>
    </row>
    <row r="1152" spans="1:21" x14ac:dyDescent="0.3">
      <c r="A1152" s="14" t="s">
        <v>4132</v>
      </c>
      <c r="B1152" t="s">
        <v>30</v>
      </c>
      <c r="C1152" t="s">
        <v>66</v>
      </c>
      <c r="D1152">
        <v>1</v>
      </c>
      <c r="E1152" s="7">
        <v>429.98</v>
      </c>
      <c r="H1152">
        <v>66652</v>
      </c>
      <c r="I1152" t="s">
        <v>356</v>
      </c>
      <c r="J1152" t="s">
        <v>3739</v>
      </c>
      <c r="K1152" t="s">
        <v>3</v>
      </c>
      <c r="L1152" s="2">
        <v>43252</v>
      </c>
      <c r="M1152" s="2">
        <f>DOCXX[[#This Row],[INV DOC DATE]]+30</f>
        <v>43282</v>
      </c>
      <c r="N1152" s="2">
        <v>43290</v>
      </c>
      <c r="O1152" s="7">
        <v>429.98</v>
      </c>
      <c r="P1152" s="2">
        <v>43299</v>
      </c>
      <c r="Q1152" s="7">
        <f>$E1152-$O1152</f>
        <v>0</v>
      </c>
      <c r="R1152" s="7" t="str">
        <f ca="1">IF(TODAY() - DOCXX[INV DUE DATE]&lt;30, "Less than 30 days",IF(TODAY()-DOCXX[INV DUE DATE]&lt;60,"30-60 days","More than 60 days"))</f>
        <v>Less than 30 days</v>
      </c>
      <c r="S1152" t="s">
        <v>818</v>
      </c>
      <c r="T1152" s="43" t="s">
        <v>2229</v>
      </c>
      <c r="U1152" s="7" t="s">
        <v>3699</v>
      </c>
    </row>
    <row r="1153" spans="1:21" x14ac:dyDescent="0.3">
      <c r="A1153" s="14" t="s">
        <v>4132</v>
      </c>
      <c r="B1153" t="s">
        <v>30</v>
      </c>
      <c r="C1153" t="s">
        <v>67</v>
      </c>
      <c r="D1153">
        <v>1</v>
      </c>
      <c r="E1153" s="7">
        <v>428.4</v>
      </c>
      <c r="H1153">
        <v>1204</v>
      </c>
      <c r="I1153" t="s">
        <v>2250</v>
      </c>
      <c r="J1153" t="s">
        <v>3739</v>
      </c>
      <c r="K1153" t="s">
        <v>3</v>
      </c>
      <c r="L1153" s="2">
        <v>43252</v>
      </c>
      <c r="M1153" s="2">
        <f>DOCXX[[#This Row],[INV DOC DATE]]+30</f>
        <v>43282</v>
      </c>
      <c r="N1153" s="2">
        <v>43290</v>
      </c>
      <c r="O1153" s="7">
        <v>428.4</v>
      </c>
      <c r="P1153" s="2">
        <v>43299</v>
      </c>
      <c r="Q1153" s="7">
        <f>$E1153-$O1153</f>
        <v>0</v>
      </c>
      <c r="R1153" s="7" t="str">
        <f ca="1">IF(TODAY() - DOCXX[INV DUE DATE]&lt;30, "Less than 30 days",IF(TODAY()-DOCXX[INV DUE DATE]&lt;60,"30-60 days","More than 60 days"))</f>
        <v>Less than 30 days</v>
      </c>
      <c r="S1153" t="s">
        <v>818</v>
      </c>
      <c r="T1153" s="43" t="s">
        <v>2229</v>
      </c>
      <c r="U1153" s="7" t="s">
        <v>3699</v>
      </c>
    </row>
    <row r="1154" spans="1:21" x14ac:dyDescent="0.3">
      <c r="A1154" s="14" t="s">
        <v>4132</v>
      </c>
      <c r="B1154" t="s">
        <v>30</v>
      </c>
      <c r="C1154" t="s">
        <v>68</v>
      </c>
      <c r="D1154">
        <v>1</v>
      </c>
      <c r="E1154" s="7">
        <v>385.88</v>
      </c>
      <c r="H1154">
        <v>75797</v>
      </c>
      <c r="I1154" t="s">
        <v>859</v>
      </c>
      <c r="J1154" t="s">
        <v>3739</v>
      </c>
      <c r="K1154" t="s">
        <v>3</v>
      </c>
      <c r="L1154" s="2">
        <v>43252</v>
      </c>
      <c r="M1154" s="2">
        <f>DOCXX[[#This Row],[INV DOC DATE]]+30</f>
        <v>43282</v>
      </c>
      <c r="N1154" s="2">
        <v>43290</v>
      </c>
      <c r="O1154" s="7">
        <v>385.88</v>
      </c>
      <c r="P1154" s="2">
        <v>43299</v>
      </c>
      <c r="Q1154" s="7">
        <f>$E1154-$O1154</f>
        <v>0</v>
      </c>
      <c r="R1154" s="7" t="str">
        <f ca="1">IF(TODAY() - DOCXX[INV DUE DATE]&lt;30, "Less than 30 days",IF(TODAY()-DOCXX[INV DUE DATE]&lt;60,"30-60 days","More than 60 days"))</f>
        <v>Less than 30 days</v>
      </c>
      <c r="S1154" t="s">
        <v>818</v>
      </c>
      <c r="T1154" s="43" t="s">
        <v>2229</v>
      </c>
      <c r="U1154" s="7" t="s">
        <v>3699</v>
      </c>
    </row>
    <row r="1155" spans="1:21" x14ac:dyDescent="0.3">
      <c r="A1155" s="14" t="s">
        <v>4132</v>
      </c>
      <c r="B1155" t="s">
        <v>30</v>
      </c>
      <c r="C1155" t="s">
        <v>69</v>
      </c>
      <c r="D1155">
        <v>1</v>
      </c>
      <c r="E1155" s="7">
        <v>365.4</v>
      </c>
      <c r="H1155">
        <v>55609</v>
      </c>
      <c r="I1155" t="s">
        <v>349</v>
      </c>
      <c r="J1155" t="s">
        <v>3739</v>
      </c>
      <c r="K1155" t="s">
        <v>3</v>
      </c>
      <c r="L1155" s="2">
        <v>43252</v>
      </c>
      <c r="M1155" s="2">
        <f>DOCXX[[#This Row],[INV DOC DATE]]+30</f>
        <v>43282</v>
      </c>
      <c r="N1155" s="2">
        <v>43290</v>
      </c>
      <c r="O1155" s="7">
        <v>365.4</v>
      </c>
      <c r="P1155" s="2">
        <v>43299</v>
      </c>
      <c r="Q1155" s="7">
        <f>$E1155-$O1155</f>
        <v>0</v>
      </c>
      <c r="R1155" s="7" t="str">
        <f ca="1">IF(TODAY() - DOCXX[INV DUE DATE]&lt;30, "Less than 30 days",IF(TODAY()-DOCXX[INV DUE DATE]&lt;60,"30-60 days","More than 60 days"))</f>
        <v>Less than 30 days</v>
      </c>
      <c r="S1155" t="s">
        <v>818</v>
      </c>
      <c r="T1155" s="43" t="s">
        <v>2229</v>
      </c>
      <c r="U1155" s="7" t="s">
        <v>3699</v>
      </c>
    </row>
    <row r="1156" spans="1:21" x14ac:dyDescent="0.3">
      <c r="A1156" s="14" t="s">
        <v>4132</v>
      </c>
      <c r="B1156" t="s">
        <v>30</v>
      </c>
      <c r="C1156" t="s">
        <v>70</v>
      </c>
      <c r="D1156">
        <v>1</v>
      </c>
      <c r="E1156" s="7">
        <v>313.43</v>
      </c>
      <c r="H1156">
        <v>1356</v>
      </c>
      <c r="I1156" t="s">
        <v>2251</v>
      </c>
      <c r="J1156" t="s">
        <v>3739</v>
      </c>
      <c r="K1156" t="s">
        <v>3</v>
      </c>
      <c r="L1156" s="2">
        <v>43252</v>
      </c>
      <c r="M1156" s="2">
        <f>DOCXX[[#This Row],[INV DOC DATE]]+30</f>
        <v>43282</v>
      </c>
      <c r="N1156" s="2">
        <v>43290</v>
      </c>
      <c r="O1156" s="7">
        <v>313.43</v>
      </c>
      <c r="P1156" s="2">
        <v>43299</v>
      </c>
      <c r="Q1156" s="7">
        <f>$E1156-$O1156</f>
        <v>0</v>
      </c>
      <c r="R1156" s="7" t="str">
        <f ca="1">IF(TODAY() - DOCXX[INV DUE DATE]&lt;30, "Less than 30 days",IF(TODAY()-DOCXX[INV DUE DATE]&lt;60,"30-60 days","More than 60 days"))</f>
        <v>Less than 30 days</v>
      </c>
      <c r="S1156" t="s">
        <v>818</v>
      </c>
      <c r="T1156" s="43" t="s">
        <v>2229</v>
      </c>
      <c r="U1156" s="7" t="s">
        <v>3699</v>
      </c>
    </row>
    <row r="1157" spans="1:21" x14ac:dyDescent="0.3">
      <c r="A1157" s="14" t="s">
        <v>4132</v>
      </c>
      <c r="B1157" t="s">
        <v>30</v>
      </c>
      <c r="C1157" t="s">
        <v>71</v>
      </c>
      <c r="D1157">
        <v>1</v>
      </c>
      <c r="E1157" s="7">
        <v>299.25</v>
      </c>
      <c r="H1157">
        <v>68260</v>
      </c>
      <c r="I1157" t="s">
        <v>2252</v>
      </c>
      <c r="J1157" t="s">
        <v>3739</v>
      </c>
      <c r="K1157" t="s">
        <v>3</v>
      </c>
      <c r="L1157" s="2">
        <v>43252</v>
      </c>
      <c r="M1157" s="2">
        <f>DOCXX[[#This Row],[INV DOC DATE]]+30</f>
        <v>43282</v>
      </c>
      <c r="N1157" s="2">
        <v>43290</v>
      </c>
      <c r="O1157" s="7">
        <v>299.25</v>
      </c>
      <c r="P1157" s="2">
        <v>43299</v>
      </c>
      <c r="Q1157" s="7">
        <f>$E1157-$O1157</f>
        <v>0</v>
      </c>
      <c r="R1157" s="7" t="str">
        <f ca="1">IF(TODAY() - DOCXX[INV DUE DATE]&lt;30, "Less than 30 days",IF(TODAY()-DOCXX[INV DUE DATE]&lt;60,"30-60 days","More than 60 days"))</f>
        <v>Less than 30 days</v>
      </c>
      <c r="S1157" t="s">
        <v>818</v>
      </c>
      <c r="T1157" s="43" t="s">
        <v>2229</v>
      </c>
      <c r="U1157" s="7" t="s">
        <v>3699</v>
      </c>
    </row>
    <row r="1158" spans="1:21" x14ac:dyDescent="0.3">
      <c r="A1158" s="14" t="s">
        <v>4132</v>
      </c>
      <c r="B1158" t="s">
        <v>30</v>
      </c>
      <c r="C1158" t="s">
        <v>72</v>
      </c>
      <c r="D1158">
        <v>1</v>
      </c>
      <c r="E1158" s="7">
        <v>196.88</v>
      </c>
      <c r="H1158">
        <v>82294</v>
      </c>
      <c r="I1158" t="s">
        <v>853</v>
      </c>
      <c r="J1158" t="s">
        <v>3739</v>
      </c>
      <c r="K1158" t="s">
        <v>3</v>
      </c>
      <c r="L1158" s="2">
        <v>43252</v>
      </c>
      <c r="M1158" s="2">
        <f>DOCXX[[#This Row],[INV DOC DATE]]+30</f>
        <v>43282</v>
      </c>
      <c r="N1158" s="2">
        <v>43290</v>
      </c>
      <c r="O1158" s="7">
        <v>196.88</v>
      </c>
      <c r="P1158" s="2">
        <v>43299</v>
      </c>
      <c r="Q1158" s="7">
        <f>$E1158-$O1158</f>
        <v>0</v>
      </c>
      <c r="R1158" s="7" t="str">
        <f ca="1">IF(TODAY() - DOCXX[INV DUE DATE]&lt;30, "Less than 30 days",IF(TODAY()-DOCXX[INV DUE DATE]&lt;60,"30-60 days","More than 60 days"))</f>
        <v>Less than 30 days</v>
      </c>
      <c r="S1158" t="s">
        <v>818</v>
      </c>
      <c r="T1158" s="43" t="s">
        <v>2229</v>
      </c>
      <c r="U1158" s="7" t="s">
        <v>3699</v>
      </c>
    </row>
    <row r="1159" spans="1:21" x14ac:dyDescent="0.3">
      <c r="A1159" s="14" t="s">
        <v>4132</v>
      </c>
      <c r="B1159" t="s">
        <v>30</v>
      </c>
      <c r="C1159" t="s">
        <v>73</v>
      </c>
      <c r="D1159">
        <v>1</v>
      </c>
      <c r="E1159" s="7">
        <v>157.5</v>
      </c>
      <c r="H1159">
        <v>68235</v>
      </c>
      <c r="I1159" t="s">
        <v>2253</v>
      </c>
      <c r="J1159" t="s">
        <v>3739</v>
      </c>
      <c r="K1159" t="s">
        <v>3</v>
      </c>
      <c r="L1159" s="2">
        <v>43252</v>
      </c>
      <c r="M1159" s="2">
        <f>DOCXX[[#This Row],[INV DOC DATE]]+30</f>
        <v>43282</v>
      </c>
      <c r="N1159" s="2">
        <v>43290</v>
      </c>
      <c r="O1159" s="7">
        <v>157.5</v>
      </c>
      <c r="P1159" s="2">
        <v>43299</v>
      </c>
      <c r="Q1159" s="7">
        <f>$E1159-$O1159</f>
        <v>0</v>
      </c>
      <c r="R1159" s="7" t="str">
        <f ca="1">IF(TODAY() - DOCXX[INV DUE DATE]&lt;30, "Less than 30 days",IF(TODAY()-DOCXX[INV DUE DATE]&lt;60,"30-60 days","More than 60 days"))</f>
        <v>Less than 30 days</v>
      </c>
      <c r="S1159" t="s">
        <v>818</v>
      </c>
      <c r="T1159" s="43" t="s">
        <v>2229</v>
      </c>
      <c r="U1159" s="7" t="s">
        <v>3699</v>
      </c>
    </row>
    <row r="1160" spans="1:21" x14ac:dyDescent="0.3">
      <c r="A1160" s="14" t="s">
        <v>4132</v>
      </c>
      <c r="B1160" t="s">
        <v>30</v>
      </c>
      <c r="C1160" t="s">
        <v>74</v>
      </c>
      <c r="D1160">
        <v>1</v>
      </c>
      <c r="E1160" s="7">
        <v>157.5</v>
      </c>
      <c r="H1160">
        <v>172324</v>
      </c>
      <c r="I1160" t="s">
        <v>352</v>
      </c>
      <c r="J1160" t="s">
        <v>3739</v>
      </c>
      <c r="K1160" t="s">
        <v>3</v>
      </c>
      <c r="L1160" s="2">
        <v>43252</v>
      </c>
      <c r="M1160" s="2">
        <f>DOCXX[[#This Row],[INV DOC DATE]]+30</f>
        <v>43282</v>
      </c>
      <c r="N1160" s="2">
        <v>43290</v>
      </c>
      <c r="O1160" s="7">
        <v>157.5</v>
      </c>
      <c r="P1160" s="2">
        <v>43299</v>
      </c>
      <c r="Q1160" s="7">
        <f>$E1160-$O1160</f>
        <v>0</v>
      </c>
      <c r="R1160" s="7" t="str">
        <f ca="1">IF(TODAY() - DOCXX[INV DUE DATE]&lt;30, "Less than 30 days",IF(TODAY()-DOCXX[INV DUE DATE]&lt;60,"30-60 days","More than 60 days"))</f>
        <v>Less than 30 days</v>
      </c>
      <c r="S1160" t="s">
        <v>818</v>
      </c>
      <c r="T1160" s="43" t="s">
        <v>2229</v>
      </c>
      <c r="U1160" s="7" t="s">
        <v>3699</v>
      </c>
    </row>
    <row r="1161" spans="1:21" x14ac:dyDescent="0.3">
      <c r="A1161" s="14" t="s">
        <v>4132</v>
      </c>
      <c r="B1161" t="s">
        <v>30</v>
      </c>
      <c r="C1161" t="s">
        <v>75</v>
      </c>
      <c r="D1161">
        <v>1</v>
      </c>
      <c r="E1161" s="7">
        <v>157.5</v>
      </c>
      <c r="H1161">
        <v>82330</v>
      </c>
      <c r="I1161" t="s">
        <v>2254</v>
      </c>
      <c r="J1161" t="s">
        <v>3739</v>
      </c>
      <c r="K1161" t="s">
        <v>3</v>
      </c>
      <c r="L1161" s="2">
        <v>43252</v>
      </c>
      <c r="M1161" s="2">
        <f>DOCXX[[#This Row],[INV DOC DATE]]+30</f>
        <v>43282</v>
      </c>
      <c r="N1161" s="2">
        <v>43290</v>
      </c>
      <c r="O1161" s="7">
        <v>157.5</v>
      </c>
      <c r="P1161" s="2">
        <v>43299</v>
      </c>
      <c r="Q1161" s="7">
        <f>$E1161-$O1161</f>
        <v>0</v>
      </c>
      <c r="R1161" s="7" t="str">
        <f ca="1">IF(TODAY() - DOCXX[INV DUE DATE]&lt;30, "Less than 30 days",IF(TODAY()-DOCXX[INV DUE DATE]&lt;60,"30-60 days","More than 60 days"))</f>
        <v>Less than 30 days</v>
      </c>
      <c r="S1161" t="s">
        <v>818</v>
      </c>
      <c r="T1161" s="43" t="s">
        <v>2229</v>
      </c>
      <c r="U1161" s="7" t="s">
        <v>3699</v>
      </c>
    </row>
    <row r="1162" spans="1:21" x14ac:dyDescent="0.3">
      <c r="A1162" s="14" t="s">
        <v>4133</v>
      </c>
      <c r="B1162" t="s">
        <v>32</v>
      </c>
      <c r="C1162" t="s">
        <v>6</v>
      </c>
      <c r="D1162">
        <v>1</v>
      </c>
      <c r="E1162" s="7">
        <v>18.7</v>
      </c>
      <c r="F1162">
        <v>31740726</v>
      </c>
      <c r="J1162" t="s">
        <v>2256</v>
      </c>
      <c r="K1162" t="s">
        <v>3</v>
      </c>
      <c r="L1162" s="2">
        <v>43252</v>
      </c>
      <c r="M1162" s="2">
        <f>DOCXX[[#This Row],[INV DOC DATE]]+30</f>
        <v>43282</v>
      </c>
      <c r="N1162" s="2">
        <v>43290</v>
      </c>
      <c r="O1162" s="7">
        <v>18.7</v>
      </c>
      <c r="P1162" s="2">
        <v>43299</v>
      </c>
      <c r="Q1162" s="7">
        <f>$E1162-$O1162</f>
        <v>0</v>
      </c>
      <c r="R1162" s="7" t="str">
        <f ca="1">IF(TODAY() - DOCXX[INV DUE DATE]&lt;30, "Less than 30 days",IF(TODAY()-DOCXX[INV DUE DATE]&lt;60,"30-60 days","More than 60 days"))</f>
        <v>Less than 30 days</v>
      </c>
      <c r="S1162" t="s">
        <v>818</v>
      </c>
      <c r="U1162" s="7" t="s">
        <v>3699</v>
      </c>
    </row>
    <row r="1163" spans="1:21" x14ac:dyDescent="0.3">
      <c r="A1163" s="14" t="s">
        <v>4133</v>
      </c>
      <c r="B1163" t="s">
        <v>32</v>
      </c>
      <c r="C1163" t="s">
        <v>7</v>
      </c>
      <c r="D1163">
        <v>1</v>
      </c>
      <c r="E1163" s="7">
        <v>289.85000000000002</v>
      </c>
      <c r="F1163">
        <v>31900080</v>
      </c>
      <c r="J1163" t="s">
        <v>2256</v>
      </c>
      <c r="K1163" t="s">
        <v>3</v>
      </c>
      <c r="L1163" s="2">
        <v>43252</v>
      </c>
      <c r="M1163" s="2">
        <f>DOCXX[[#This Row],[INV DOC DATE]]+30</f>
        <v>43282</v>
      </c>
      <c r="N1163" s="2">
        <v>43290</v>
      </c>
      <c r="O1163" s="7">
        <v>289.85000000000002</v>
      </c>
      <c r="P1163" s="2">
        <v>43299</v>
      </c>
      <c r="Q1163" s="7">
        <f>$E1163-$O1163</f>
        <v>0</v>
      </c>
      <c r="R1163" s="7" t="str">
        <f ca="1">IF(TODAY() - DOCXX[INV DUE DATE]&lt;30, "Less than 30 days",IF(TODAY()-DOCXX[INV DUE DATE]&lt;60,"30-60 days","More than 60 days"))</f>
        <v>Less than 30 days</v>
      </c>
      <c r="S1163" t="s">
        <v>818</v>
      </c>
      <c r="U1163" s="7" t="s">
        <v>3699</v>
      </c>
    </row>
    <row r="1164" spans="1:21" x14ac:dyDescent="0.3">
      <c r="A1164" s="14" t="s">
        <v>4133</v>
      </c>
      <c r="B1164" t="s">
        <v>32</v>
      </c>
      <c r="C1164" t="s">
        <v>17</v>
      </c>
      <c r="D1164">
        <v>1</v>
      </c>
      <c r="E1164" s="7">
        <v>37.4</v>
      </c>
      <c r="F1164">
        <v>32181080</v>
      </c>
      <c r="J1164" t="s">
        <v>2256</v>
      </c>
      <c r="K1164" t="s">
        <v>3</v>
      </c>
      <c r="L1164" s="2">
        <v>43252</v>
      </c>
      <c r="M1164" s="2">
        <f>DOCXX[[#This Row],[INV DOC DATE]]+30</f>
        <v>43282</v>
      </c>
      <c r="N1164" s="2">
        <v>43290</v>
      </c>
      <c r="O1164" s="7">
        <v>37.4</v>
      </c>
      <c r="P1164" s="2">
        <v>43299</v>
      </c>
      <c r="Q1164" s="7">
        <f>$E1164-$O1164</f>
        <v>0</v>
      </c>
      <c r="R1164" s="7" t="str">
        <f ca="1">IF(TODAY() - DOCXX[INV DUE DATE]&lt;30, "Less than 30 days",IF(TODAY()-DOCXX[INV DUE DATE]&lt;60,"30-60 days","More than 60 days"))</f>
        <v>Less than 30 days</v>
      </c>
      <c r="S1164" t="s">
        <v>818</v>
      </c>
      <c r="U1164" s="7" t="s">
        <v>3699</v>
      </c>
    </row>
    <row r="1165" spans="1:21" x14ac:dyDescent="0.3">
      <c r="A1165" s="14" t="s">
        <v>4133</v>
      </c>
      <c r="B1165" t="s">
        <v>32</v>
      </c>
      <c r="C1165" t="s">
        <v>62</v>
      </c>
      <c r="D1165">
        <v>1</v>
      </c>
      <c r="E1165" s="7">
        <v>18.7</v>
      </c>
      <c r="F1165">
        <v>32246880</v>
      </c>
      <c r="J1165" t="s">
        <v>2256</v>
      </c>
      <c r="K1165" t="s">
        <v>3</v>
      </c>
      <c r="L1165" s="2">
        <v>43252</v>
      </c>
      <c r="M1165" s="2">
        <f>DOCXX[[#This Row],[INV DOC DATE]]+30</f>
        <v>43282</v>
      </c>
      <c r="N1165" s="2">
        <v>43290</v>
      </c>
      <c r="O1165" s="7">
        <v>18.7</v>
      </c>
      <c r="P1165" s="2">
        <v>43299</v>
      </c>
      <c r="Q1165" s="7">
        <f>$E1165-$O1165</f>
        <v>0</v>
      </c>
      <c r="R1165" s="7" t="str">
        <f ca="1">IF(TODAY() - DOCXX[INV DUE DATE]&lt;30, "Less than 30 days",IF(TODAY()-DOCXX[INV DUE DATE]&lt;60,"30-60 days","More than 60 days"))</f>
        <v>Less than 30 days</v>
      </c>
      <c r="S1165" t="s">
        <v>818</v>
      </c>
      <c r="U1165" s="7" t="s">
        <v>3699</v>
      </c>
    </row>
    <row r="1166" spans="1:21" x14ac:dyDescent="0.3">
      <c r="A1166" s="14" t="s">
        <v>4133</v>
      </c>
      <c r="B1166" t="s">
        <v>32</v>
      </c>
      <c r="C1166" t="s">
        <v>98</v>
      </c>
      <c r="D1166">
        <v>1</v>
      </c>
      <c r="E1166" s="7">
        <v>289.85000000000002</v>
      </c>
      <c r="F1166">
        <v>28740310</v>
      </c>
      <c r="J1166" t="s">
        <v>2256</v>
      </c>
      <c r="K1166" t="s">
        <v>3</v>
      </c>
      <c r="L1166" s="2">
        <v>43252</v>
      </c>
      <c r="M1166" s="2">
        <f>DOCXX[[#This Row],[INV DOC DATE]]+30</f>
        <v>43282</v>
      </c>
      <c r="N1166" s="2">
        <v>43290</v>
      </c>
      <c r="O1166" s="7">
        <v>289.85000000000002</v>
      </c>
      <c r="P1166" s="2">
        <v>43299</v>
      </c>
      <c r="Q1166" s="7">
        <f>$E1166-$O1166</f>
        <v>0</v>
      </c>
      <c r="R1166" s="7" t="str">
        <f ca="1">IF(TODAY() - DOCXX[INV DUE DATE]&lt;30, "Less than 30 days",IF(TODAY()-DOCXX[INV DUE DATE]&lt;60,"30-60 days","More than 60 days"))</f>
        <v>Less than 30 days</v>
      </c>
      <c r="S1166" t="s">
        <v>818</v>
      </c>
      <c r="U1166" s="7" t="s">
        <v>3699</v>
      </c>
    </row>
    <row r="1167" spans="1:21" x14ac:dyDescent="0.3">
      <c r="A1167" s="14" t="s">
        <v>4133</v>
      </c>
      <c r="B1167" t="s">
        <v>32</v>
      </c>
      <c r="C1167" t="s">
        <v>99</v>
      </c>
      <c r="D1167">
        <v>1</v>
      </c>
      <c r="E1167" s="7">
        <v>289.85000000000002</v>
      </c>
      <c r="F1167">
        <v>30788780</v>
      </c>
      <c r="J1167" t="s">
        <v>2256</v>
      </c>
      <c r="K1167" t="s">
        <v>3</v>
      </c>
      <c r="L1167" s="2">
        <v>43252</v>
      </c>
      <c r="M1167" s="2">
        <f>DOCXX[[#This Row],[INV DOC DATE]]+30</f>
        <v>43282</v>
      </c>
      <c r="N1167" s="2">
        <v>43290</v>
      </c>
      <c r="O1167" s="7">
        <v>289.85000000000002</v>
      </c>
      <c r="P1167" s="2">
        <v>43299</v>
      </c>
      <c r="Q1167" s="7">
        <f>$E1167-$O1167</f>
        <v>0</v>
      </c>
      <c r="R1167" s="7" t="str">
        <f ca="1">IF(TODAY() - DOCXX[INV DUE DATE]&lt;30, "Less than 30 days",IF(TODAY()-DOCXX[INV DUE DATE]&lt;60,"30-60 days","More than 60 days"))</f>
        <v>Less than 30 days</v>
      </c>
      <c r="S1167" t="s">
        <v>818</v>
      </c>
      <c r="U1167" s="7" t="s">
        <v>3699</v>
      </c>
    </row>
    <row r="1168" spans="1:21" x14ac:dyDescent="0.3">
      <c r="A1168" s="14" t="s">
        <v>4133</v>
      </c>
      <c r="B1168" t="s">
        <v>32</v>
      </c>
      <c r="C1168" t="s">
        <v>100</v>
      </c>
      <c r="D1168">
        <v>1</v>
      </c>
      <c r="E1168" s="7">
        <v>289.85000000000002</v>
      </c>
      <c r="F1168">
        <v>31897935</v>
      </c>
      <c r="J1168" t="s">
        <v>2256</v>
      </c>
      <c r="K1168" t="s">
        <v>3</v>
      </c>
      <c r="L1168" s="2">
        <v>43252</v>
      </c>
      <c r="M1168" s="2">
        <f>DOCXX[[#This Row],[INV DOC DATE]]+30</f>
        <v>43282</v>
      </c>
      <c r="N1168" s="2">
        <v>43290</v>
      </c>
      <c r="O1168" s="7">
        <v>289.85000000000002</v>
      </c>
      <c r="P1168" s="2">
        <v>43299</v>
      </c>
      <c r="Q1168" s="7">
        <f>$E1168-$O1168</f>
        <v>0</v>
      </c>
      <c r="R1168" s="7" t="str">
        <f ca="1">IF(TODAY() - DOCXX[INV DUE DATE]&lt;30, "Less than 30 days",IF(TODAY()-DOCXX[INV DUE DATE]&lt;60,"30-60 days","More than 60 days"))</f>
        <v>Less than 30 days</v>
      </c>
      <c r="S1168" t="s">
        <v>818</v>
      </c>
      <c r="U1168" s="7" t="s">
        <v>3699</v>
      </c>
    </row>
    <row r="1169" spans="1:21" x14ac:dyDescent="0.3">
      <c r="A1169" s="14" t="s">
        <v>4133</v>
      </c>
      <c r="B1169" t="s">
        <v>32</v>
      </c>
      <c r="C1169" t="s">
        <v>101</v>
      </c>
      <c r="D1169">
        <v>1</v>
      </c>
      <c r="E1169" s="7">
        <v>289.85000000000002</v>
      </c>
      <c r="F1169">
        <v>28519379</v>
      </c>
      <c r="J1169" t="s">
        <v>2256</v>
      </c>
      <c r="K1169" t="s">
        <v>3</v>
      </c>
      <c r="L1169" s="2">
        <v>43252</v>
      </c>
      <c r="M1169" s="2">
        <f>DOCXX[[#This Row],[INV DOC DATE]]+30</f>
        <v>43282</v>
      </c>
      <c r="N1169" s="2">
        <v>43290</v>
      </c>
      <c r="O1169" s="7">
        <v>289.85000000000002</v>
      </c>
      <c r="P1169" s="2">
        <v>43299</v>
      </c>
      <c r="Q1169" s="7">
        <f>$E1169-$O1169</f>
        <v>0</v>
      </c>
      <c r="R1169" s="7" t="str">
        <f ca="1">IF(TODAY() - DOCXX[INV DUE DATE]&lt;30, "Less than 30 days",IF(TODAY()-DOCXX[INV DUE DATE]&lt;60,"30-60 days","More than 60 days"))</f>
        <v>Less than 30 days</v>
      </c>
      <c r="S1169" t="s">
        <v>818</v>
      </c>
      <c r="U1169" s="7" t="s">
        <v>3699</v>
      </c>
    </row>
    <row r="1170" spans="1:21" x14ac:dyDescent="0.3">
      <c r="A1170" s="14" t="s">
        <v>4133</v>
      </c>
      <c r="B1170" t="s">
        <v>32</v>
      </c>
      <c r="C1170" t="s">
        <v>102</v>
      </c>
      <c r="D1170">
        <v>1</v>
      </c>
      <c r="E1170" s="7">
        <v>289.85000000000002</v>
      </c>
      <c r="F1170">
        <v>31865682</v>
      </c>
      <c r="J1170" t="s">
        <v>2256</v>
      </c>
      <c r="K1170" t="s">
        <v>3</v>
      </c>
      <c r="L1170" s="2">
        <v>43252</v>
      </c>
      <c r="M1170" s="2">
        <f>DOCXX[[#This Row],[INV DOC DATE]]+30</f>
        <v>43282</v>
      </c>
      <c r="N1170" s="2">
        <v>43290</v>
      </c>
      <c r="O1170" s="7">
        <v>289.85000000000002</v>
      </c>
      <c r="P1170" s="2">
        <v>43299</v>
      </c>
      <c r="Q1170" s="7">
        <f>$E1170-$O1170</f>
        <v>0</v>
      </c>
      <c r="R1170" s="7" t="str">
        <f ca="1">IF(TODAY() - DOCXX[INV DUE DATE]&lt;30, "Less than 30 days",IF(TODAY()-DOCXX[INV DUE DATE]&lt;60,"30-60 days","More than 60 days"))</f>
        <v>Less than 30 days</v>
      </c>
      <c r="S1170" t="s">
        <v>818</v>
      </c>
      <c r="U1170" s="7" t="s">
        <v>3699</v>
      </c>
    </row>
    <row r="1171" spans="1:21" x14ac:dyDescent="0.3">
      <c r="A1171" s="14" t="s">
        <v>4133</v>
      </c>
      <c r="B1171" t="s">
        <v>32</v>
      </c>
      <c r="C1171" t="s">
        <v>103</v>
      </c>
      <c r="D1171">
        <v>1</v>
      </c>
      <c r="E1171" s="7">
        <v>289.85000000000002</v>
      </c>
      <c r="F1171">
        <v>27656369</v>
      </c>
      <c r="J1171" t="s">
        <v>2256</v>
      </c>
      <c r="K1171" t="s">
        <v>3</v>
      </c>
      <c r="L1171" s="2">
        <v>43252</v>
      </c>
      <c r="M1171" s="2">
        <f>DOCXX[[#This Row],[INV DOC DATE]]+30</f>
        <v>43282</v>
      </c>
      <c r="N1171" s="2">
        <v>43290</v>
      </c>
      <c r="O1171" s="7">
        <v>289.85000000000002</v>
      </c>
      <c r="P1171" s="2">
        <v>43299</v>
      </c>
      <c r="Q1171" s="7">
        <f>$E1171-$O1171</f>
        <v>0</v>
      </c>
      <c r="R1171" s="7" t="str">
        <f ca="1">IF(TODAY() - DOCXX[INV DUE DATE]&lt;30, "Less than 30 days",IF(TODAY()-DOCXX[INV DUE DATE]&lt;60,"30-60 days","More than 60 days"))</f>
        <v>Less than 30 days</v>
      </c>
      <c r="S1171" t="s">
        <v>818</v>
      </c>
      <c r="U1171" s="7" t="s">
        <v>3699</v>
      </c>
    </row>
    <row r="1172" spans="1:21" x14ac:dyDescent="0.3">
      <c r="A1172" s="14" t="s">
        <v>4133</v>
      </c>
      <c r="B1172" t="s">
        <v>32</v>
      </c>
      <c r="C1172" t="s">
        <v>105</v>
      </c>
      <c r="D1172">
        <v>1</v>
      </c>
      <c r="E1172" s="7">
        <v>289.85000000000002</v>
      </c>
      <c r="F1172">
        <v>27920795</v>
      </c>
      <c r="J1172" t="s">
        <v>2256</v>
      </c>
      <c r="K1172" t="s">
        <v>3</v>
      </c>
      <c r="L1172" s="2">
        <v>43252</v>
      </c>
      <c r="M1172" s="2">
        <f>DOCXX[[#This Row],[INV DOC DATE]]+30</f>
        <v>43282</v>
      </c>
      <c r="N1172" s="2">
        <v>43290</v>
      </c>
      <c r="O1172" s="7">
        <v>289.85000000000002</v>
      </c>
      <c r="P1172" s="2">
        <v>43299</v>
      </c>
      <c r="Q1172" s="7">
        <f>$E1172-$O1172</f>
        <v>0</v>
      </c>
      <c r="R1172" s="7" t="str">
        <f ca="1">IF(TODAY() - DOCXX[INV DUE DATE]&lt;30, "Less than 30 days",IF(TODAY()-DOCXX[INV DUE DATE]&lt;60,"30-60 days","More than 60 days"))</f>
        <v>Less than 30 days</v>
      </c>
      <c r="S1172" t="s">
        <v>818</v>
      </c>
      <c r="U1172" s="7" t="s">
        <v>3699</v>
      </c>
    </row>
    <row r="1173" spans="1:21" x14ac:dyDescent="0.3">
      <c r="A1173" s="14" t="s">
        <v>4133</v>
      </c>
      <c r="B1173" t="s">
        <v>32</v>
      </c>
      <c r="C1173" t="s">
        <v>106</v>
      </c>
      <c r="D1173">
        <v>1</v>
      </c>
      <c r="E1173" s="7">
        <v>289.85000000000002</v>
      </c>
      <c r="F1173">
        <v>27609137</v>
      </c>
      <c r="J1173" t="s">
        <v>2256</v>
      </c>
      <c r="K1173" t="s">
        <v>3</v>
      </c>
      <c r="L1173" s="2">
        <v>43252</v>
      </c>
      <c r="M1173" s="2">
        <f>DOCXX[[#This Row],[INV DOC DATE]]+30</f>
        <v>43282</v>
      </c>
      <c r="N1173" s="2">
        <v>43290</v>
      </c>
      <c r="O1173" s="7">
        <v>289.85000000000002</v>
      </c>
      <c r="P1173" s="2">
        <v>43299</v>
      </c>
      <c r="Q1173" s="7">
        <f>$E1173-$O1173</f>
        <v>0</v>
      </c>
      <c r="R1173" s="7" t="str">
        <f ca="1">IF(TODAY() - DOCXX[INV DUE DATE]&lt;30, "Less than 30 days",IF(TODAY()-DOCXX[INV DUE DATE]&lt;60,"30-60 days","More than 60 days"))</f>
        <v>Less than 30 days</v>
      </c>
      <c r="S1173" t="s">
        <v>818</v>
      </c>
      <c r="U1173" s="7" t="s">
        <v>3699</v>
      </c>
    </row>
    <row r="1174" spans="1:21" x14ac:dyDescent="0.3">
      <c r="A1174" s="14" t="s">
        <v>4133</v>
      </c>
      <c r="B1174" t="s">
        <v>32</v>
      </c>
      <c r="C1174" t="s">
        <v>107</v>
      </c>
      <c r="D1174">
        <v>1</v>
      </c>
      <c r="E1174" s="7">
        <v>289.85000000000002</v>
      </c>
      <c r="F1174">
        <v>29953891</v>
      </c>
      <c r="J1174" t="s">
        <v>2256</v>
      </c>
      <c r="K1174" t="s">
        <v>3</v>
      </c>
      <c r="L1174" s="2">
        <v>43252</v>
      </c>
      <c r="M1174" s="2">
        <f>DOCXX[[#This Row],[INV DOC DATE]]+30</f>
        <v>43282</v>
      </c>
      <c r="N1174" s="2">
        <v>43290</v>
      </c>
      <c r="O1174" s="7">
        <v>289.85000000000002</v>
      </c>
      <c r="P1174" s="2">
        <v>43299</v>
      </c>
      <c r="Q1174" s="7">
        <f>$E1174-$O1174</f>
        <v>0</v>
      </c>
      <c r="R1174" s="7" t="str">
        <f ca="1">IF(TODAY() - DOCXX[INV DUE DATE]&lt;30, "Less than 30 days",IF(TODAY()-DOCXX[INV DUE DATE]&lt;60,"30-60 days","More than 60 days"))</f>
        <v>Less than 30 days</v>
      </c>
      <c r="S1174" t="s">
        <v>818</v>
      </c>
      <c r="U1174" s="7" t="s">
        <v>3699</v>
      </c>
    </row>
    <row r="1175" spans="1:21" x14ac:dyDescent="0.3">
      <c r="A1175" s="14" t="s">
        <v>4133</v>
      </c>
      <c r="B1175" t="s">
        <v>32</v>
      </c>
      <c r="C1175" t="s">
        <v>108</v>
      </c>
      <c r="D1175">
        <v>1</v>
      </c>
      <c r="E1175" s="7">
        <v>289.85000000000002</v>
      </c>
      <c r="F1175">
        <v>31048611</v>
      </c>
      <c r="J1175" t="s">
        <v>2256</v>
      </c>
      <c r="K1175" t="s">
        <v>3</v>
      </c>
      <c r="L1175" s="2">
        <v>43252</v>
      </c>
      <c r="M1175" s="2">
        <f>DOCXX[[#This Row],[INV DOC DATE]]+30</f>
        <v>43282</v>
      </c>
      <c r="N1175" s="2">
        <v>43290</v>
      </c>
      <c r="O1175" s="7">
        <v>289.85000000000002</v>
      </c>
      <c r="P1175" s="2">
        <v>43299</v>
      </c>
      <c r="Q1175" s="7">
        <f>$E1175-$O1175</f>
        <v>0</v>
      </c>
      <c r="R1175" s="7" t="str">
        <f ca="1">IF(TODAY() - DOCXX[INV DUE DATE]&lt;30, "Less than 30 days",IF(TODAY()-DOCXX[INV DUE DATE]&lt;60,"30-60 days","More than 60 days"))</f>
        <v>Less than 30 days</v>
      </c>
      <c r="S1175" t="s">
        <v>818</v>
      </c>
      <c r="U1175" s="7" t="s">
        <v>3699</v>
      </c>
    </row>
    <row r="1176" spans="1:21" x14ac:dyDescent="0.3">
      <c r="A1176" s="14" t="s">
        <v>4133</v>
      </c>
      <c r="B1176" t="s">
        <v>32</v>
      </c>
      <c r="C1176" t="s">
        <v>109</v>
      </c>
      <c r="D1176">
        <v>1</v>
      </c>
      <c r="E1176" s="7">
        <v>289.85000000000002</v>
      </c>
      <c r="F1176">
        <v>31325411</v>
      </c>
      <c r="J1176" t="s">
        <v>2256</v>
      </c>
      <c r="K1176" t="s">
        <v>3</v>
      </c>
      <c r="L1176" s="2">
        <v>43252</v>
      </c>
      <c r="M1176" s="2">
        <f>DOCXX[[#This Row],[INV DOC DATE]]+30</f>
        <v>43282</v>
      </c>
      <c r="N1176" s="2">
        <v>43290</v>
      </c>
      <c r="O1176" s="7">
        <v>289.85000000000002</v>
      </c>
      <c r="P1176" s="2">
        <v>43299</v>
      </c>
      <c r="Q1176" s="7">
        <f>$E1176-$O1176</f>
        <v>0</v>
      </c>
      <c r="R1176" s="7" t="str">
        <f ca="1">IF(TODAY() - DOCXX[INV DUE DATE]&lt;30, "Less than 30 days",IF(TODAY()-DOCXX[INV DUE DATE]&lt;60,"30-60 days","More than 60 days"))</f>
        <v>Less than 30 days</v>
      </c>
      <c r="S1176" t="s">
        <v>818</v>
      </c>
      <c r="U1176" s="7" t="s">
        <v>3699</v>
      </c>
    </row>
    <row r="1177" spans="1:21" x14ac:dyDescent="0.3">
      <c r="A1177" s="14" t="s">
        <v>4133</v>
      </c>
      <c r="B1177" t="s">
        <v>32</v>
      </c>
      <c r="C1177" t="s">
        <v>110</v>
      </c>
      <c r="D1177">
        <v>1</v>
      </c>
      <c r="E1177" s="7">
        <v>289.85000000000002</v>
      </c>
      <c r="F1177">
        <v>27609136</v>
      </c>
      <c r="J1177" t="s">
        <v>2256</v>
      </c>
      <c r="K1177" t="s">
        <v>3</v>
      </c>
      <c r="L1177" s="2">
        <v>43252</v>
      </c>
      <c r="M1177" s="2">
        <f>DOCXX[[#This Row],[INV DOC DATE]]+30</f>
        <v>43282</v>
      </c>
      <c r="N1177" s="2">
        <v>43290</v>
      </c>
      <c r="O1177" s="7">
        <v>289.85000000000002</v>
      </c>
      <c r="P1177" s="2">
        <v>43299</v>
      </c>
      <c r="Q1177" s="7">
        <f>$E1177-$O1177</f>
        <v>0</v>
      </c>
      <c r="R1177" s="7" t="str">
        <f ca="1">IF(TODAY() - DOCXX[INV DUE DATE]&lt;30, "Less than 30 days",IF(TODAY()-DOCXX[INV DUE DATE]&lt;60,"30-60 days","More than 60 days"))</f>
        <v>Less than 30 days</v>
      </c>
      <c r="S1177" t="s">
        <v>818</v>
      </c>
      <c r="U1177" s="7" t="s">
        <v>3699</v>
      </c>
    </row>
    <row r="1178" spans="1:21" x14ac:dyDescent="0.3">
      <c r="A1178" s="14" t="s">
        <v>4133</v>
      </c>
      <c r="B1178" t="s">
        <v>32</v>
      </c>
      <c r="C1178" t="s">
        <v>111</v>
      </c>
      <c r="D1178">
        <v>1</v>
      </c>
      <c r="E1178" s="7">
        <v>289.85000000000002</v>
      </c>
      <c r="F1178">
        <v>31040260</v>
      </c>
      <c r="J1178" t="s">
        <v>2256</v>
      </c>
      <c r="K1178" t="s">
        <v>3</v>
      </c>
      <c r="L1178" s="2">
        <v>43252</v>
      </c>
      <c r="M1178" s="2">
        <f>DOCXX[[#This Row],[INV DOC DATE]]+30</f>
        <v>43282</v>
      </c>
      <c r="N1178" s="2">
        <v>43290</v>
      </c>
      <c r="O1178" s="7">
        <v>289.85000000000002</v>
      </c>
      <c r="P1178" s="2">
        <v>43299</v>
      </c>
      <c r="Q1178" s="7">
        <f>$E1178-$O1178</f>
        <v>0</v>
      </c>
      <c r="R1178" s="7" t="str">
        <f ca="1">IF(TODAY() - DOCXX[INV DUE DATE]&lt;30, "Less than 30 days",IF(TODAY()-DOCXX[INV DUE DATE]&lt;60,"30-60 days","More than 60 days"))</f>
        <v>Less than 30 days</v>
      </c>
      <c r="S1178" t="s">
        <v>818</v>
      </c>
      <c r="U1178" s="7" t="s">
        <v>3699</v>
      </c>
    </row>
    <row r="1179" spans="1:21" x14ac:dyDescent="0.3">
      <c r="A1179" s="14" t="s">
        <v>4133</v>
      </c>
      <c r="B1179" t="s">
        <v>32</v>
      </c>
      <c r="C1179" t="s">
        <v>112</v>
      </c>
      <c r="D1179">
        <v>1</v>
      </c>
      <c r="E1179" s="7">
        <v>289.85000000000002</v>
      </c>
      <c r="F1179">
        <v>27779877</v>
      </c>
      <c r="J1179" t="s">
        <v>2256</v>
      </c>
      <c r="K1179" t="s">
        <v>3</v>
      </c>
      <c r="L1179" s="2">
        <v>43252</v>
      </c>
      <c r="M1179" s="2">
        <f>DOCXX[[#This Row],[INV DOC DATE]]+30</f>
        <v>43282</v>
      </c>
      <c r="N1179" s="2">
        <v>43290</v>
      </c>
      <c r="O1179" s="7">
        <v>289.85000000000002</v>
      </c>
      <c r="P1179" s="2">
        <v>43299</v>
      </c>
      <c r="Q1179" s="7">
        <f>$E1179-$O1179</f>
        <v>0</v>
      </c>
      <c r="R1179" s="7" t="str">
        <f ca="1">IF(TODAY() - DOCXX[INV DUE DATE]&lt;30, "Less than 30 days",IF(TODAY()-DOCXX[INV DUE DATE]&lt;60,"30-60 days","More than 60 days"))</f>
        <v>Less than 30 days</v>
      </c>
      <c r="S1179" t="s">
        <v>818</v>
      </c>
      <c r="U1179" s="7" t="s">
        <v>3699</v>
      </c>
    </row>
    <row r="1180" spans="1:21" x14ac:dyDescent="0.3">
      <c r="A1180" s="14" t="s">
        <v>4133</v>
      </c>
      <c r="B1180" t="s">
        <v>32</v>
      </c>
      <c r="C1180" t="s">
        <v>113</v>
      </c>
      <c r="D1180">
        <v>1</v>
      </c>
      <c r="E1180" s="7">
        <v>289.85000000000002</v>
      </c>
      <c r="F1180">
        <v>26859068</v>
      </c>
      <c r="J1180" t="s">
        <v>2256</v>
      </c>
      <c r="K1180" t="s">
        <v>3</v>
      </c>
      <c r="L1180" s="2">
        <v>43252</v>
      </c>
      <c r="M1180" s="2">
        <f>DOCXX[[#This Row],[INV DOC DATE]]+30</f>
        <v>43282</v>
      </c>
      <c r="N1180" s="2">
        <v>43290</v>
      </c>
      <c r="O1180" s="7">
        <v>289.85000000000002</v>
      </c>
      <c r="P1180" s="2">
        <v>43299</v>
      </c>
      <c r="Q1180" s="7">
        <f>$E1180-$O1180</f>
        <v>0</v>
      </c>
      <c r="R1180" s="7" t="str">
        <f ca="1">IF(TODAY() - DOCXX[INV DUE DATE]&lt;30, "Less than 30 days",IF(TODAY()-DOCXX[INV DUE DATE]&lt;60,"30-60 days","More than 60 days"))</f>
        <v>Less than 30 days</v>
      </c>
      <c r="S1180" t="s">
        <v>818</v>
      </c>
      <c r="U1180" s="7" t="s">
        <v>3699</v>
      </c>
    </row>
    <row r="1181" spans="1:21" x14ac:dyDescent="0.3">
      <c r="A1181" s="14" t="s">
        <v>4133</v>
      </c>
      <c r="B1181" t="s">
        <v>32</v>
      </c>
      <c r="C1181" t="s">
        <v>114</v>
      </c>
      <c r="D1181">
        <v>1</v>
      </c>
      <c r="E1181" s="7">
        <v>289.85000000000002</v>
      </c>
      <c r="F1181">
        <v>27819027</v>
      </c>
      <c r="J1181" t="s">
        <v>2256</v>
      </c>
      <c r="K1181" t="s">
        <v>3</v>
      </c>
      <c r="L1181" s="2">
        <v>43252</v>
      </c>
      <c r="M1181" s="2">
        <f>DOCXX[[#This Row],[INV DOC DATE]]+30</f>
        <v>43282</v>
      </c>
      <c r="N1181" s="2">
        <v>43290</v>
      </c>
      <c r="O1181" s="7">
        <v>289.85000000000002</v>
      </c>
      <c r="P1181" s="2">
        <v>43299</v>
      </c>
      <c r="Q1181" s="7">
        <f>$E1181-$O1181</f>
        <v>0</v>
      </c>
      <c r="R1181" s="7" t="str">
        <f ca="1">IF(TODAY() - DOCXX[INV DUE DATE]&lt;30, "Less than 30 days",IF(TODAY()-DOCXX[INV DUE DATE]&lt;60,"30-60 days","More than 60 days"))</f>
        <v>Less than 30 days</v>
      </c>
      <c r="S1181" t="s">
        <v>818</v>
      </c>
      <c r="U1181" s="7" t="s">
        <v>3699</v>
      </c>
    </row>
    <row r="1182" spans="1:21" x14ac:dyDescent="0.3">
      <c r="A1182" s="14" t="s">
        <v>4133</v>
      </c>
      <c r="B1182" t="s">
        <v>32</v>
      </c>
      <c r="C1182" t="s">
        <v>115</v>
      </c>
      <c r="D1182">
        <v>1</v>
      </c>
      <c r="E1182" s="7">
        <v>289.85000000000002</v>
      </c>
      <c r="F1182">
        <v>27475226</v>
      </c>
      <c r="J1182" t="s">
        <v>2256</v>
      </c>
      <c r="K1182" t="s">
        <v>3</v>
      </c>
      <c r="L1182" s="2">
        <v>43252</v>
      </c>
      <c r="M1182" s="2">
        <f>DOCXX[[#This Row],[INV DOC DATE]]+30</f>
        <v>43282</v>
      </c>
      <c r="N1182" s="2">
        <v>43290</v>
      </c>
      <c r="O1182" s="7">
        <v>289.85000000000002</v>
      </c>
      <c r="P1182" s="2">
        <v>43299</v>
      </c>
      <c r="Q1182" s="7">
        <f>$E1182-$O1182</f>
        <v>0</v>
      </c>
      <c r="R1182" s="7" t="str">
        <f ca="1">IF(TODAY() - DOCXX[INV DUE DATE]&lt;30, "Less than 30 days",IF(TODAY()-DOCXX[INV DUE DATE]&lt;60,"30-60 days","More than 60 days"))</f>
        <v>Less than 30 days</v>
      </c>
      <c r="S1182" t="s">
        <v>818</v>
      </c>
      <c r="U1182" s="7" t="s">
        <v>3699</v>
      </c>
    </row>
    <row r="1183" spans="1:21" x14ac:dyDescent="0.3">
      <c r="A1183" s="14" t="s">
        <v>4133</v>
      </c>
      <c r="B1183" t="s">
        <v>32</v>
      </c>
      <c r="C1183" t="s">
        <v>116</v>
      </c>
      <c r="D1183">
        <v>1</v>
      </c>
      <c r="E1183" s="7">
        <v>289.85000000000002</v>
      </c>
      <c r="F1183">
        <v>31081488</v>
      </c>
      <c r="J1183" t="s">
        <v>2256</v>
      </c>
      <c r="K1183" t="s">
        <v>3</v>
      </c>
      <c r="L1183" s="2">
        <v>43252</v>
      </c>
      <c r="M1183" s="2">
        <f>DOCXX[[#This Row],[INV DOC DATE]]+30</f>
        <v>43282</v>
      </c>
      <c r="N1183" s="2">
        <v>43290</v>
      </c>
      <c r="O1183" s="7">
        <v>289.85000000000002</v>
      </c>
      <c r="P1183" s="2">
        <v>43299</v>
      </c>
      <c r="Q1183" s="7">
        <f>$E1183-$O1183</f>
        <v>0</v>
      </c>
      <c r="R1183" s="7" t="str">
        <f ca="1">IF(TODAY() - DOCXX[INV DUE DATE]&lt;30, "Less than 30 days",IF(TODAY()-DOCXX[INV DUE DATE]&lt;60,"30-60 days","More than 60 days"))</f>
        <v>Less than 30 days</v>
      </c>
      <c r="S1183" t="s">
        <v>818</v>
      </c>
      <c r="U1183" s="7" t="s">
        <v>3699</v>
      </c>
    </row>
    <row r="1184" spans="1:21" x14ac:dyDescent="0.3">
      <c r="A1184" s="14" t="s">
        <v>4133</v>
      </c>
      <c r="B1184" t="s">
        <v>32</v>
      </c>
      <c r="C1184" t="s">
        <v>117</v>
      </c>
      <c r="D1184">
        <v>1</v>
      </c>
      <c r="E1184" s="7">
        <v>289.85000000000002</v>
      </c>
      <c r="F1184">
        <v>31236636</v>
      </c>
      <c r="J1184" t="s">
        <v>2256</v>
      </c>
      <c r="K1184" t="s">
        <v>3</v>
      </c>
      <c r="L1184" s="2">
        <v>43252</v>
      </c>
      <c r="M1184" s="2">
        <f>DOCXX[[#This Row],[INV DOC DATE]]+30</f>
        <v>43282</v>
      </c>
      <c r="N1184" s="2">
        <v>43290</v>
      </c>
      <c r="O1184" s="7">
        <v>289.85000000000002</v>
      </c>
      <c r="P1184" s="2">
        <v>43299</v>
      </c>
      <c r="Q1184" s="7">
        <f>$E1184-$O1184</f>
        <v>0</v>
      </c>
      <c r="R1184" s="7" t="str">
        <f ca="1">IF(TODAY() - DOCXX[INV DUE DATE]&lt;30, "Less than 30 days",IF(TODAY()-DOCXX[INV DUE DATE]&lt;60,"30-60 days","More than 60 days"))</f>
        <v>Less than 30 days</v>
      </c>
      <c r="S1184" t="s">
        <v>818</v>
      </c>
      <c r="U1184" s="7" t="s">
        <v>3699</v>
      </c>
    </row>
    <row r="1185" spans="1:21" x14ac:dyDescent="0.3">
      <c r="A1185" s="14" t="s">
        <v>4133</v>
      </c>
      <c r="B1185" t="s">
        <v>32</v>
      </c>
      <c r="C1185" t="s">
        <v>118</v>
      </c>
      <c r="D1185">
        <v>1</v>
      </c>
      <c r="E1185" s="7">
        <v>289.85000000000002</v>
      </c>
      <c r="F1185">
        <v>27908992</v>
      </c>
      <c r="J1185" t="s">
        <v>2256</v>
      </c>
      <c r="K1185" t="s">
        <v>3</v>
      </c>
      <c r="L1185" s="2">
        <v>43252</v>
      </c>
      <c r="M1185" s="2">
        <f>DOCXX[[#This Row],[INV DOC DATE]]+30</f>
        <v>43282</v>
      </c>
      <c r="N1185" s="2">
        <v>43290</v>
      </c>
      <c r="O1185" s="7">
        <v>289.85000000000002</v>
      </c>
      <c r="P1185" s="2">
        <v>43299</v>
      </c>
      <c r="Q1185" s="7">
        <f>$E1185-$O1185</f>
        <v>0</v>
      </c>
      <c r="R1185" s="7" t="str">
        <f ca="1">IF(TODAY() - DOCXX[INV DUE DATE]&lt;30, "Less than 30 days",IF(TODAY()-DOCXX[INV DUE DATE]&lt;60,"30-60 days","More than 60 days"))</f>
        <v>Less than 30 days</v>
      </c>
      <c r="S1185" t="s">
        <v>818</v>
      </c>
      <c r="U1185" s="7" t="s">
        <v>3699</v>
      </c>
    </row>
    <row r="1186" spans="1:21" x14ac:dyDescent="0.3">
      <c r="A1186" s="14" t="s">
        <v>4133</v>
      </c>
      <c r="B1186" t="s">
        <v>32</v>
      </c>
      <c r="C1186" t="s">
        <v>119</v>
      </c>
      <c r="D1186">
        <v>1</v>
      </c>
      <c r="E1186" s="7">
        <v>289.85000000000002</v>
      </c>
      <c r="F1186">
        <v>31732055</v>
      </c>
      <c r="J1186" t="s">
        <v>2256</v>
      </c>
      <c r="K1186" t="s">
        <v>3</v>
      </c>
      <c r="L1186" s="2">
        <v>43252</v>
      </c>
      <c r="M1186" s="2">
        <f>DOCXX[[#This Row],[INV DOC DATE]]+30</f>
        <v>43282</v>
      </c>
      <c r="N1186" s="2">
        <v>43290</v>
      </c>
      <c r="O1186" s="7">
        <v>289.85000000000002</v>
      </c>
      <c r="P1186" s="2">
        <v>43299</v>
      </c>
      <c r="Q1186" s="7">
        <f>$E1186-$O1186</f>
        <v>0</v>
      </c>
      <c r="R1186" s="7" t="str">
        <f ca="1">IF(TODAY() - DOCXX[INV DUE DATE]&lt;30, "Less than 30 days",IF(TODAY()-DOCXX[INV DUE DATE]&lt;60,"30-60 days","More than 60 days"))</f>
        <v>Less than 30 days</v>
      </c>
      <c r="S1186" t="s">
        <v>818</v>
      </c>
      <c r="U1186" s="7" t="s">
        <v>3699</v>
      </c>
    </row>
    <row r="1187" spans="1:21" x14ac:dyDescent="0.3">
      <c r="A1187" s="14" t="s">
        <v>4133</v>
      </c>
      <c r="B1187" t="s">
        <v>32</v>
      </c>
      <c r="C1187" t="s">
        <v>120</v>
      </c>
      <c r="D1187">
        <v>1</v>
      </c>
      <c r="E1187" s="7">
        <v>289.85000000000002</v>
      </c>
      <c r="F1187">
        <v>30730038</v>
      </c>
      <c r="J1187" t="s">
        <v>2256</v>
      </c>
      <c r="K1187" t="s">
        <v>3</v>
      </c>
      <c r="L1187" s="2">
        <v>43252</v>
      </c>
      <c r="M1187" s="2">
        <f>DOCXX[[#This Row],[INV DOC DATE]]+30</f>
        <v>43282</v>
      </c>
      <c r="N1187" s="2">
        <v>43290</v>
      </c>
      <c r="O1187" s="7">
        <v>289.85000000000002</v>
      </c>
      <c r="P1187" s="2">
        <v>43299</v>
      </c>
      <c r="Q1187" s="7">
        <f>$E1187-$O1187</f>
        <v>0</v>
      </c>
      <c r="R1187" s="7" t="str">
        <f ca="1">IF(TODAY() - DOCXX[INV DUE DATE]&lt;30, "Less than 30 days",IF(TODAY()-DOCXX[INV DUE DATE]&lt;60,"30-60 days","More than 60 days"))</f>
        <v>Less than 30 days</v>
      </c>
      <c r="S1187" t="s">
        <v>818</v>
      </c>
      <c r="U1187" s="7" t="s">
        <v>3699</v>
      </c>
    </row>
    <row r="1188" spans="1:21" x14ac:dyDescent="0.3">
      <c r="A1188" s="14" t="s">
        <v>4133</v>
      </c>
      <c r="B1188" t="s">
        <v>32</v>
      </c>
      <c r="C1188" t="s">
        <v>121</v>
      </c>
      <c r="D1188">
        <v>1</v>
      </c>
      <c r="E1188" s="7">
        <v>289.85000000000002</v>
      </c>
      <c r="F1188">
        <v>28677477</v>
      </c>
      <c r="J1188" t="s">
        <v>2256</v>
      </c>
      <c r="K1188" t="s">
        <v>3</v>
      </c>
      <c r="L1188" s="2">
        <v>43252</v>
      </c>
      <c r="M1188" s="2">
        <f>DOCXX[[#This Row],[INV DOC DATE]]+30</f>
        <v>43282</v>
      </c>
      <c r="N1188" s="2">
        <v>43290</v>
      </c>
      <c r="O1188" s="7">
        <v>289.85000000000002</v>
      </c>
      <c r="P1188" s="2">
        <v>43299</v>
      </c>
      <c r="Q1188" s="7">
        <f>$E1188-$O1188</f>
        <v>0</v>
      </c>
      <c r="R1188" s="7" t="str">
        <f ca="1">IF(TODAY() - DOCXX[INV DUE DATE]&lt;30, "Less than 30 days",IF(TODAY()-DOCXX[INV DUE DATE]&lt;60,"30-60 days","More than 60 days"))</f>
        <v>Less than 30 days</v>
      </c>
      <c r="S1188" t="s">
        <v>818</v>
      </c>
      <c r="U1188" s="7" t="s">
        <v>3699</v>
      </c>
    </row>
    <row r="1189" spans="1:21" x14ac:dyDescent="0.3">
      <c r="A1189" s="14" t="s">
        <v>4133</v>
      </c>
      <c r="B1189" t="s">
        <v>32</v>
      </c>
      <c r="C1189" t="s">
        <v>122</v>
      </c>
      <c r="D1189">
        <v>1</v>
      </c>
      <c r="E1189" s="7">
        <v>289.85000000000002</v>
      </c>
      <c r="F1189">
        <v>32020318</v>
      </c>
      <c r="J1189" t="s">
        <v>2256</v>
      </c>
      <c r="K1189" t="s">
        <v>3</v>
      </c>
      <c r="L1189" s="2">
        <v>43252</v>
      </c>
      <c r="M1189" s="2">
        <f>DOCXX[[#This Row],[INV DOC DATE]]+30</f>
        <v>43282</v>
      </c>
      <c r="N1189" s="2">
        <v>43290</v>
      </c>
      <c r="O1189" s="7">
        <v>289.85000000000002</v>
      </c>
      <c r="P1189" s="2">
        <v>43299</v>
      </c>
      <c r="Q1189" s="7">
        <f>$E1189-$O1189</f>
        <v>0</v>
      </c>
      <c r="R1189" s="7" t="str">
        <f ca="1">IF(TODAY() - DOCXX[INV DUE DATE]&lt;30, "Less than 30 days",IF(TODAY()-DOCXX[INV DUE DATE]&lt;60,"30-60 days","More than 60 days"))</f>
        <v>Less than 30 days</v>
      </c>
      <c r="S1189" t="s">
        <v>818</v>
      </c>
      <c r="U1189" s="7" t="s">
        <v>3699</v>
      </c>
    </row>
    <row r="1190" spans="1:21" x14ac:dyDescent="0.3">
      <c r="A1190" s="14" t="s">
        <v>4133</v>
      </c>
      <c r="B1190" t="s">
        <v>32</v>
      </c>
      <c r="C1190" t="s">
        <v>123</v>
      </c>
      <c r="D1190">
        <v>1</v>
      </c>
      <c r="E1190" s="7">
        <v>289.85000000000002</v>
      </c>
      <c r="F1190">
        <v>27919722</v>
      </c>
      <c r="J1190" t="s">
        <v>2256</v>
      </c>
      <c r="K1190" t="s">
        <v>3</v>
      </c>
      <c r="L1190" s="2">
        <v>43252</v>
      </c>
      <c r="M1190" s="2">
        <f>DOCXX[[#This Row],[INV DOC DATE]]+30</f>
        <v>43282</v>
      </c>
      <c r="N1190" s="2">
        <v>43290</v>
      </c>
      <c r="O1190" s="7">
        <v>289.85000000000002</v>
      </c>
      <c r="P1190" s="2">
        <v>43299</v>
      </c>
      <c r="Q1190" s="7">
        <f>$E1190-$O1190</f>
        <v>0</v>
      </c>
      <c r="R1190" s="7" t="str">
        <f ca="1">IF(TODAY() - DOCXX[INV DUE DATE]&lt;30, "Less than 30 days",IF(TODAY()-DOCXX[INV DUE DATE]&lt;60,"30-60 days","More than 60 days"))</f>
        <v>Less than 30 days</v>
      </c>
      <c r="S1190" t="s">
        <v>818</v>
      </c>
      <c r="U1190" s="7" t="s">
        <v>3699</v>
      </c>
    </row>
    <row r="1191" spans="1:21" x14ac:dyDescent="0.3">
      <c r="A1191" s="14" t="s">
        <v>4133</v>
      </c>
      <c r="B1191" t="s">
        <v>32</v>
      </c>
      <c r="C1191" t="s">
        <v>124</v>
      </c>
      <c r="D1191">
        <v>1</v>
      </c>
      <c r="E1191" s="7">
        <v>65.45</v>
      </c>
      <c r="F1191">
        <v>32055919</v>
      </c>
      <c r="J1191" t="s">
        <v>2256</v>
      </c>
      <c r="K1191" t="s">
        <v>3</v>
      </c>
      <c r="L1191" s="2">
        <v>43252</v>
      </c>
      <c r="M1191" s="2">
        <f>DOCXX[[#This Row],[INV DOC DATE]]+30</f>
        <v>43282</v>
      </c>
      <c r="N1191" s="2">
        <v>43290</v>
      </c>
      <c r="O1191" s="7">
        <v>65.45</v>
      </c>
      <c r="P1191" s="2">
        <v>43299</v>
      </c>
      <c r="Q1191" s="7">
        <f>$E1191-$O1191</f>
        <v>0</v>
      </c>
      <c r="R1191" s="7" t="str">
        <f ca="1">IF(TODAY() - DOCXX[INV DUE DATE]&lt;30, "Less than 30 days",IF(TODAY()-DOCXX[INV DUE DATE]&lt;60,"30-60 days","More than 60 days"))</f>
        <v>Less than 30 days</v>
      </c>
      <c r="S1191" t="s">
        <v>818</v>
      </c>
      <c r="U1191" s="7" t="s">
        <v>3699</v>
      </c>
    </row>
    <row r="1192" spans="1:21" x14ac:dyDescent="0.3">
      <c r="A1192" s="14" t="s">
        <v>4133</v>
      </c>
      <c r="B1192" t="s">
        <v>32</v>
      </c>
      <c r="C1192" t="s">
        <v>125</v>
      </c>
      <c r="D1192">
        <v>1</v>
      </c>
      <c r="E1192" s="7">
        <v>289.85000000000002</v>
      </c>
      <c r="F1192">
        <v>28330595</v>
      </c>
      <c r="J1192" t="s">
        <v>2256</v>
      </c>
      <c r="K1192" t="s">
        <v>3</v>
      </c>
      <c r="L1192" s="2">
        <v>43252</v>
      </c>
      <c r="M1192" s="2">
        <f>DOCXX[[#This Row],[INV DOC DATE]]+30</f>
        <v>43282</v>
      </c>
      <c r="N1192" s="2">
        <v>43290</v>
      </c>
      <c r="O1192" s="7">
        <v>289.85000000000002</v>
      </c>
      <c r="P1192" s="2">
        <v>43299</v>
      </c>
      <c r="Q1192" s="7">
        <f>$E1192-$O1192</f>
        <v>0</v>
      </c>
      <c r="R1192" s="7" t="str">
        <f ca="1">IF(TODAY() - DOCXX[INV DUE DATE]&lt;30, "Less than 30 days",IF(TODAY()-DOCXX[INV DUE DATE]&lt;60,"30-60 days","More than 60 days"))</f>
        <v>Less than 30 days</v>
      </c>
      <c r="S1192" t="s">
        <v>818</v>
      </c>
      <c r="U1192" s="7" t="s">
        <v>3699</v>
      </c>
    </row>
    <row r="1193" spans="1:21" x14ac:dyDescent="0.3">
      <c r="A1193" s="14" t="s">
        <v>4133</v>
      </c>
      <c r="B1193" t="s">
        <v>32</v>
      </c>
      <c r="C1193" t="s">
        <v>126</v>
      </c>
      <c r="D1193">
        <v>1</v>
      </c>
      <c r="E1193" s="7">
        <v>289.85000000000002</v>
      </c>
      <c r="F1193">
        <v>30939990</v>
      </c>
      <c r="J1193" t="s">
        <v>2256</v>
      </c>
      <c r="K1193" t="s">
        <v>3</v>
      </c>
      <c r="L1193" s="2">
        <v>43252</v>
      </c>
      <c r="M1193" s="2">
        <f>DOCXX[[#This Row],[INV DOC DATE]]+30</f>
        <v>43282</v>
      </c>
      <c r="N1193" s="2">
        <v>43290</v>
      </c>
      <c r="O1193" s="7">
        <v>289.85000000000002</v>
      </c>
      <c r="P1193" s="2">
        <v>43299</v>
      </c>
      <c r="Q1193" s="7">
        <f>$E1193-$O1193</f>
        <v>0</v>
      </c>
      <c r="R1193" s="7" t="str">
        <f ca="1">IF(TODAY() - DOCXX[INV DUE DATE]&lt;30, "Less than 30 days",IF(TODAY()-DOCXX[INV DUE DATE]&lt;60,"30-60 days","More than 60 days"))</f>
        <v>Less than 30 days</v>
      </c>
      <c r="S1193" t="s">
        <v>818</v>
      </c>
      <c r="U1193" s="7" t="s">
        <v>3699</v>
      </c>
    </row>
    <row r="1194" spans="1:21" x14ac:dyDescent="0.3">
      <c r="A1194" s="14" t="s">
        <v>4133</v>
      </c>
      <c r="B1194" t="s">
        <v>32</v>
      </c>
      <c r="C1194" t="s">
        <v>127</v>
      </c>
      <c r="D1194">
        <v>1</v>
      </c>
      <c r="E1194" s="7">
        <v>289.85000000000002</v>
      </c>
      <c r="F1194">
        <v>30709836</v>
      </c>
      <c r="J1194" t="s">
        <v>2256</v>
      </c>
      <c r="K1194" t="s">
        <v>3</v>
      </c>
      <c r="L1194" s="2">
        <v>43252</v>
      </c>
      <c r="M1194" s="2">
        <f>DOCXX[[#This Row],[INV DOC DATE]]+30</f>
        <v>43282</v>
      </c>
      <c r="N1194" s="2">
        <v>43290</v>
      </c>
      <c r="O1194" s="7">
        <v>289.85000000000002</v>
      </c>
      <c r="P1194" s="2">
        <v>43299</v>
      </c>
      <c r="Q1194" s="7">
        <f>$E1194-$O1194</f>
        <v>0</v>
      </c>
      <c r="R1194" s="7" t="str">
        <f ca="1">IF(TODAY() - DOCXX[INV DUE DATE]&lt;30, "Less than 30 days",IF(TODAY()-DOCXX[INV DUE DATE]&lt;60,"30-60 days","More than 60 days"))</f>
        <v>Less than 30 days</v>
      </c>
      <c r="S1194" t="s">
        <v>818</v>
      </c>
      <c r="U1194" s="7" t="s">
        <v>3699</v>
      </c>
    </row>
    <row r="1195" spans="1:21" x14ac:dyDescent="0.3">
      <c r="A1195" s="14" t="s">
        <v>4133</v>
      </c>
      <c r="B1195" t="s">
        <v>32</v>
      </c>
      <c r="C1195" t="s">
        <v>128</v>
      </c>
      <c r="D1195">
        <v>1</v>
      </c>
      <c r="E1195" s="7">
        <v>289.85000000000002</v>
      </c>
      <c r="F1195">
        <v>31759383</v>
      </c>
      <c r="J1195" t="s">
        <v>2256</v>
      </c>
      <c r="K1195" t="s">
        <v>3</v>
      </c>
      <c r="L1195" s="2">
        <v>43252</v>
      </c>
      <c r="M1195" s="2">
        <f>DOCXX[[#This Row],[INV DOC DATE]]+30</f>
        <v>43282</v>
      </c>
      <c r="N1195" s="2">
        <v>43290</v>
      </c>
      <c r="O1195" s="7">
        <v>289.85000000000002</v>
      </c>
      <c r="P1195" s="2">
        <v>43299</v>
      </c>
      <c r="Q1195" s="7">
        <f>$E1195-$O1195</f>
        <v>0</v>
      </c>
      <c r="R1195" s="7" t="str">
        <f ca="1">IF(TODAY() - DOCXX[INV DUE DATE]&lt;30, "Less than 30 days",IF(TODAY()-DOCXX[INV DUE DATE]&lt;60,"30-60 days","More than 60 days"))</f>
        <v>Less than 30 days</v>
      </c>
      <c r="S1195" t="s">
        <v>818</v>
      </c>
      <c r="U1195" s="7" t="s">
        <v>3699</v>
      </c>
    </row>
    <row r="1196" spans="1:21" x14ac:dyDescent="0.3">
      <c r="A1196" s="14" t="s">
        <v>4133</v>
      </c>
      <c r="B1196" t="s">
        <v>32</v>
      </c>
      <c r="C1196" t="s">
        <v>129</v>
      </c>
      <c r="D1196">
        <v>1</v>
      </c>
      <c r="E1196" s="7">
        <v>289.85000000000002</v>
      </c>
      <c r="F1196">
        <v>30466964</v>
      </c>
      <c r="J1196" t="s">
        <v>2256</v>
      </c>
      <c r="K1196" t="s">
        <v>3</v>
      </c>
      <c r="L1196" s="2">
        <v>43252</v>
      </c>
      <c r="M1196" s="2">
        <f>DOCXX[[#This Row],[INV DOC DATE]]+30</f>
        <v>43282</v>
      </c>
      <c r="N1196" s="2">
        <v>43290</v>
      </c>
      <c r="O1196" s="7">
        <v>289.85000000000002</v>
      </c>
      <c r="P1196" s="2">
        <v>43299</v>
      </c>
      <c r="Q1196" s="7">
        <f>$E1196-$O1196</f>
        <v>0</v>
      </c>
      <c r="R1196" s="7" t="str">
        <f ca="1">IF(TODAY() - DOCXX[INV DUE DATE]&lt;30, "Less than 30 days",IF(TODAY()-DOCXX[INV DUE DATE]&lt;60,"30-60 days","More than 60 days"))</f>
        <v>Less than 30 days</v>
      </c>
      <c r="S1196" t="s">
        <v>818</v>
      </c>
      <c r="U1196" s="7" t="s">
        <v>3699</v>
      </c>
    </row>
    <row r="1197" spans="1:21" x14ac:dyDescent="0.3">
      <c r="A1197" s="14" t="s">
        <v>4133</v>
      </c>
      <c r="B1197" t="s">
        <v>32</v>
      </c>
      <c r="C1197" t="s">
        <v>130</v>
      </c>
      <c r="D1197">
        <v>1</v>
      </c>
      <c r="E1197" s="7">
        <v>289.85000000000002</v>
      </c>
      <c r="F1197">
        <v>25866744</v>
      </c>
      <c r="J1197" t="s">
        <v>2256</v>
      </c>
      <c r="K1197" t="s">
        <v>3</v>
      </c>
      <c r="L1197" s="2">
        <v>43252</v>
      </c>
      <c r="M1197" s="2">
        <f>DOCXX[[#This Row],[INV DOC DATE]]+30</f>
        <v>43282</v>
      </c>
      <c r="N1197" s="2">
        <v>43290</v>
      </c>
      <c r="O1197" s="7">
        <v>289.85000000000002</v>
      </c>
      <c r="P1197" s="2">
        <v>43299</v>
      </c>
      <c r="Q1197" s="7">
        <f>$E1197-$O1197</f>
        <v>0</v>
      </c>
      <c r="R1197" s="7" t="str">
        <f ca="1">IF(TODAY() - DOCXX[INV DUE DATE]&lt;30, "Less than 30 days",IF(TODAY()-DOCXX[INV DUE DATE]&lt;60,"30-60 days","More than 60 days"))</f>
        <v>Less than 30 days</v>
      </c>
      <c r="S1197" t="s">
        <v>818</v>
      </c>
      <c r="U1197" s="7" t="s">
        <v>3699</v>
      </c>
    </row>
    <row r="1198" spans="1:21" x14ac:dyDescent="0.3">
      <c r="A1198" s="14" t="s">
        <v>4133</v>
      </c>
      <c r="B1198" t="s">
        <v>32</v>
      </c>
      <c r="C1198" t="s">
        <v>131</v>
      </c>
      <c r="D1198">
        <v>1</v>
      </c>
      <c r="E1198" s="7">
        <v>289.85000000000002</v>
      </c>
      <c r="F1198">
        <v>24058169</v>
      </c>
      <c r="J1198" t="s">
        <v>2256</v>
      </c>
      <c r="K1198" t="s">
        <v>3</v>
      </c>
      <c r="L1198" s="2">
        <v>43252</v>
      </c>
      <c r="M1198" s="2">
        <f>DOCXX[[#This Row],[INV DOC DATE]]+30</f>
        <v>43282</v>
      </c>
      <c r="N1198" s="2">
        <v>43290</v>
      </c>
      <c r="O1198" s="7">
        <v>289.85000000000002</v>
      </c>
      <c r="P1198" s="2">
        <v>43299</v>
      </c>
      <c r="Q1198" s="7">
        <f>$E1198-$O1198</f>
        <v>0</v>
      </c>
      <c r="R1198" s="7" t="str">
        <f ca="1">IF(TODAY() - DOCXX[INV DUE DATE]&lt;30, "Less than 30 days",IF(TODAY()-DOCXX[INV DUE DATE]&lt;60,"30-60 days","More than 60 days"))</f>
        <v>Less than 30 days</v>
      </c>
      <c r="S1198" t="s">
        <v>818</v>
      </c>
      <c r="U1198" s="7" t="s">
        <v>3699</v>
      </c>
    </row>
    <row r="1199" spans="1:21" x14ac:dyDescent="0.3">
      <c r="A1199" s="14" t="s">
        <v>4133</v>
      </c>
      <c r="B1199" t="s">
        <v>32</v>
      </c>
      <c r="C1199" t="s">
        <v>132</v>
      </c>
      <c r="D1199">
        <v>1</v>
      </c>
      <c r="E1199" s="7">
        <v>289.85000000000002</v>
      </c>
      <c r="F1199">
        <v>28434103</v>
      </c>
      <c r="J1199" t="s">
        <v>2256</v>
      </c>
      <c r="K1199" t="s">
        <v>3</v>
      </c>
      <c r="L1199" s="2">
        <v>43252</v>
      </c>
      <c r="M1199" s="2">
        <f>DOCXX[[#This Row],[INV DOC DATE]]+30</f>
        <v>43282</v>
      </c>
      <c r="N1199" s="2">
        <v>43290</v>
      </c>
      <c r="O1199" s="7">
        <v>289.85000000000002</v>
      </c>
      <c r="P1199" s="2">
        <v>43299</v>
      </c>
      <c r="Q1199" s="7">
        <f>$E1199-$O1199</f>
        <v>0</v>
      </c>
      <c r="R1199" s="7" t="str">
        <f ca="1">IF(TODAY() - DOCXX[INV DUE DATE]&lt;30, "Less than 30 days",IF(TODAY()-DOCXX[INV DUE DATE]&lt;60,"30-60 days","More than 60 days"))</f>
        <v>Less than 30 days</v>
      </c>
      <c r="S1199" t="s">
        <v>818</v>
      </c>
      <c r="U1199" s="7" t="s">
        <v>3699</v>
      </c>
    </row>
    <row r="1200" spans="1:21" x14ac:dyDescent="0.3">
      <c r="A1200" s="14" t="s">
        <v>4133</v>
      </c>
      <c r="B1200" t="s">
        <v>32</v>
      </c>
      <c r="C1200" t="s">
        <v>133</v>
      </c>
      <c r="D1200">
        <v>1</v>
      </c>
      <c r="E1200" s="7">
        <v>289.85000000000002</v>
      </c>
      <c r="F1200">
        <v>30448412</v>
      </c>
      <c r="J1200" t="s">
        <v>2256</v>
      </c>
      <c r="K1200" t="s">
        <v>3</v>
      </c>
      <c r="L1200" s="2">
        <v>43252</v>
      </c>
      <c r="M1200" s="2">
        <f>DOCXX[[#This Row],[INV DOC DATE]]+30</f>
        <v>43282</v>
      </c>
      <c r="N1200" s="2">
        <v>43290</v>
      </c>
      <c r="O1200" s="7">
        <v>289.85000000000002</v>
      </c>
      <c r="P1200" s="2">
        <v>43299</v>
      </c>
      <c r="Q1200" s="7">
        <f>$E1200-$O1200</f>
        <v>0</v>
      </c>
      <c r="R1200" s="7" t="str">
        <f ca="1">IF(TODAY() - DOCXX[INV DUE DATE]&lt;30, "Less than 30 days",IF(TODAY()-DOCXX[INV DUE DATE]&lt;60,"30-60 days","More than 60 days"))</f>
        <v>Less than 30 days</v>
      </c>
      <c r="S1200" t="s">
        <v>818</v>
      </c>
      <c r="U1200" s="7" t="s">
        <v>3699</v>
      </c>
    </row>
    <row r="1201" spans="1:21" x14ac:dyDescent="0.3">
      <c r="A1201" s="14" t="s">
        <v>4133</v>
      </c>
      <c r="B1201" t="s">
        <v>32</v>
      </c>
      <c r="C1201" t="s">
        <v>134</v>
      </c>
      <c r="D1201">
        <v>1</v>
      </c>
      <c r="E1201" s="7">
        <v>289.85000000000002</v>
      </c>
      <c r="F1201">
        <v>27609261</v>
      </c>
      <c r="J1201" t="s">
        <v>2256</v>
      </c>
      <c r="K1201" t="s">
        <v>3</v>
      </c>
      <c r="L1201" s="2">
        <v>43252</v>
      </c>
      <c r="M1201" s="2">
        <f>DOCXX[[#This Row],[INV DOC DATE]]+30</f>
        <v>43282</v>
      </c>
      <c r="N1201" s="2">
        <v>43290</v>
      </c>
      <c r="O1201" s="7">
        <v>289.85000000000002</v>
      </c>
      <c r="P1201" s="2">
        <v>43299</v>
      </c>
      <c r="Q1201" s="7">
        <f>$E1201-$O1201</f>
        <v>0</v>
      </c>
      <c r="R1201" s="7" t="str">
        <f ca="1">IF(TODAY() - DOCXX[INV DUE DATE]&lt;30, "Less than 30 days",IF(TODAY()-DOCXX[INV DUE DATE]&lt;60,"30-60 days","More than 60 days"))</f>
        <v>Less than 30 days</v>
      </c>
      <c r="S1201" t="s">
        <v>818</v>
      </c>
      <c r="U1201" s="7" t="s">
        <v>3699</v>
      </c>
    </row>
    <row r="1202" spans="1:21" x14ac:dyDescent="0.3">
      <c r="A1202" s="14" t="s">
        <v>4133</v>
      </c>
      <c r="B1202" t="s">
        <v>32</v>
      </c>
      <c r="C1202" t="s">
        <v>135</v>
      </c>
      <c r="D1202">
        <v>1</v>
      </c>
      <c r="E1202" s="7">
        <v>289.85000000000002</v>
      </c>
      <c r="F1202">
        <v>30738470</v>
      </c>
      <c r="J1202" t="s">
        <v>2256</v>
      </c>
      <c r="K1202" t="s">
        <v>3</v>
      </c>
      <c r="L1202" s="2">
        <v>43252</v>
      </c>
      <c r="M1202" s="2">
        <f>DOCXX[[#This Row],[INV DOC DATE]]+30</f>
        <v>43282</v>
      </c>
      <c r="N1202" s="2">
        <v>43290</v>
      </c>
      <c r="O1202" s="7">
        <v>289.85000000000002</v>
      </c>
      <c r="P1202" s="2">
        <v>43299</v>
      </c>
      <c r="Q1202" s="7">
        <f>$E1202-$O1202</f>
        <v>0</v>
      </c>
      <c r="R1202" s="7" t="str">
        <f ca="1">IF(TODAY() - DOCXX[INV DUE DATE]&lt;30, "Less than 30 days",IF(TODAY()-DOCXX[INV DUE DATE]&lt;60,"30-60 days","More than 60 days"))</f>
        <v>Less than 30 days</v>
      </c>
      <c r="S1202" t="s">
        <v>818</v>
      </c>
      <c r="U1202" s="7" t="s">
        <v>3699</v>
      </c>
    </row>
    <row r="1203" spans="1:21" x14ac:dyDescent="0.3">
      <c r="A1203" s="14" t="s">
        <v>4133</v>
      </c>
      <c r="B1203" t="s">
        <v>32</v>
      </c>
      <c r="C1203" t="s">
        <v>136</v>
      </c>
      <c r="D1203">
        <v>1</v>
      </c>
      <c r="E1203" s="7">
        <v>289.85000000000002</v>
      </c>
      <c r="F1203">
        <v>30668263</v>
      </c>
      <c r="J1203" t="s">
        <v>2256</v>
      </c>
      <c r="K1203" t="s">
        <v>3</v>
      </c>
      <c r="L1203" s="2">
        <v>43252</v>
      </c>
      <c r="M1203" s="2">
        <f>DOCXX[[#This Row],[INV DOC DATE]]+30</f>
        <v>43282</v>
      </c>
      <c r="N1203" s="2">
        <v>43290</v>
      </c>
      <c r="O1203" s="7">
        <v>289.85000000000002</v>
      </c>
      <c r="P1203" s="2">
        <v>43299</v>
      </c>
      <c r="Q1203" s="7">
        <f>$E1203-$O1203</f>
        <v>0</v>
      </c>
      <c r="R1203" s="7" t="str">
        <f ca="1">IF(TODAY() - DOCXX[INV DUE DATE]&lt;30, "Less than 30 days",IF(TODAY()-DOCXX[INV DUE DATE]&lt;60,"30-60 days","More than 60 days"))</f>
        <v>Less than 30 days</v>
      </c>
      <c r="S1203" t="s">
        <v>818</v>
      </c>
      <c r="U1203" s="7" t="s">
        <v>3699</v>
      </c>
    </row>
    <row r="1204" spans="1:21" x14ac:dyDescent="0.3">
      <c r="A1204" s="14" t="s">
        <v>4133</v>
      </c>
      <c r="B1204" t="s">
        <v>32</v>
      </c>
      <c r="C1204" t="s">
        <v>137</v>
      </c>
      <c r="D1204">
        <v>1</v>
      </c>
      <c r="E1204" s="7">
        <v>289.85000000000002</v>
      </c>
      <c r="F1204">
        <v>27511082</v>
      </c>
      <c r="J1204" t="s">
        <v>2256</v>
      </c>
      <c r="K1204" t="s">
        <v>3</v>
      </c>
      <c r="L1204" s="2">
        <v>43252</v>
      </c>
      <c r="M1204" s="2">
        <f>DOCXX[[#This Row],[INV DOC DATE]]+30</f>
        <v>43282</v>
      </c>
      <c r="N1204" s="2">
        <v>43290</v>
      </c>
      <c r="O1204" s="7">
        <v>289.85000000000002</v>
      </c>
      <c r="P1204" s="2">
        <v>43299</v>
      </c>
      <c r="Q1204" s="7">
        <f>$E1204-$O1204</f>
        <v>0</v>
      </c>
      <c r="R1204" s="7" t="str">
        <f ca="1">IF(TODAY() - DOCXX[INV DUE DATE]&lt;30, "Less than 30 days",IF(TODAY()-DOCXX[INV DUE DATE]&lt;60,"30-60 days","More than 60 days"))</f>
        <v>Less than 30 days</v>
      </c>
      <c r="S1204" t="s">
        <v>818</v>
      </c>
      <c r="U1204" s="7" t="s">
        <v>3699</v>
      </c>
    </row>
    <row r="1205" spans="1:21" x14ac:dyDescent="0.3">
      <c r="A1205" s="14" t="s">
        <v>4133</v>
      </c>
      <c r="B1205" t="s">
        <v>32</v>
      </c>
      <c r="C1205" t="s">
        <v>138</v>
      </c>
      <c r="D1205">
        <v>1</v>
      </c>
      <c r="E1205" s="7">
        <v>289.85000000000002</v>
      </c>
      <c r="F1205">
        <v>31003082</v>
      </c>
      <c r="J1205" t="s">
        <v>2256</v>
      </c>
      <c r="K1205" t="s">
        <v>3</v>
      </c>
      <c r="L1205" s="2">
        <v>43252</v>
      </c>
      <c r="M1205" s="2">
        <f>DOCXX[[#This Row],[INV DOC DATE]]+30</f>
        <v>43282</v>
      </c>
      <c r="N1205" s="2">
        <v>43290</v>
      </c>
      <c r="O1205" s="7">
        <v>289.85000000000002</v>
      </c>
      <c r="P1205" s="2">
        <v>43299</v>
      </c>
      <c r="Q1205" s="7">
        <f>$E1205-$O1205</f>
        <v>0</v>
      </c>
      <c r="R1205" s="7" t="str">
        <f ca="1">IF(TODAY() - DOCXX[INV DUE DATE]&lt;30, "Less than 30 days",IF(TODAY()-DOCXX[INV DUE DATE]&lt;60,"30-60 days","More than 60 days"))</f>
        <v>Less than 30 days</v>
      </c>
      <c r="S1205" t="s">
        <v>818</v>
      </c>
      <c r="U1205" s="7" t="s">
        <v>3699</v>
      </c>
    </row>
    <row r="1206" spans="1:21" x14ac:dyDescent="0.3">
      <c r="A1206" s="14" t="s">
        <v>4133</v>
      </c>
      <c r="B1206" t="s">
        <v>32</v>
      </c>
      <c r="C1206" t="s">
        <v>139</v>
      </c>
      <c r="D1206">
        <v>1</v>
      </c>
      <c r="E1206" s="7">
        <v>289.85000000000002</v>
      </c>
      <c r="F1206">
        <v>30473455</v>
      </c>
      <c r="J1206" t="s">
        <v>2256</v>
      </c>
      <c r="K1206" t="s">
        <v>3</v>
      </c>
      <c r="L1206" s="2">
        <v>43252</v>
      </c>
      <c r="M1206" s="2">
        <f>DOCXX[[#This Row],[INV DOC DATE]]+30</f>
        <v>43282</v>
      </c>
      <c r="N1206" s="2">
        <v>43290</v>
      </c>
      <c r="O1206" s="7">
        <v>289.85000000000002</v>
      </c>
      <c r="P1206" s="2">
        <v>43299</v>
      </c>
      <c r="Q1206" s="7">
        <f>$E1206-$O1206</f>
        <v>0</v>
      </c>
      <c r="R1206" s="7" t="str">
        <f ca="1">IF(TODAY() - DOCXX[INV DUE DATE]&lt;30, "Less than 30 days",IF(TODAY()-DOCXX[INV DUE DATE]&lt;60,"30-60 days","More than 60 days"))</f>
        <v>Less than 30 days</v>
      </c>
      <c r="S1206" t="s">
        <v>818</v>
      </c>
      <c r="U1206" s="7" t="s">
        <v>3699</v>
      </c>
    </row>
    <row r="1207" spans="1:21" x14ac:dyDescent="0.3">
      <c r="A1207" s="14" t="s">
        <v>4133</v>
      </c>
      <c r="B1207" t="s">
        <v>32</v>
      </c>
      <c r="C1207" t="s">
        <v>141</v>
      </c>
      <c r="D1207">
        <v>1</v>
      </c>
      <c r="E1207" s="7">
        <v>289.85000000000002</v>
      </c>
      <c r="F1207">
        <v>30588006</v>
      </c>
      <c r="J1207" t="s">
        <v>2256</v>
      </c>
      <c r="K1207" t="s">
        <v>3</v>
      </c>
      <c r="L1207" s="2">
        <v>43252</v>
      </c>
      <c r="M1207" s="2">
        <f>DOCXX[[#This Row],[INV DOC DATE]]+30</f>
        <v>43282</v>
      </c>
      <c r="N1207" s="2">
        <v>43290</v>
      </c>
      <c r="O1207" s="7">
        <v>289.85000000000002</v>
      </c>
      <c r="P1207" s="2">
        <v>43299</v>
      </c>
      <c r="Q1207" s="7">
        <f>$E1207-$O1207</f>
        <v>0</v>
      </c>
      <c r="R1207" s="7" t="str">
        <f ca="1">IF(TODAY() - DOCXX[INV DUE DATE]&lt;30, "Less than 30 days",IF(TODAY()-DOCXX[INV DUE DATE]&lt;60,"30-60 days","More than 60 days"))</f>
        <v>Less than 30 days</v>
      </c>
      <c r="S1207" t="s">
        <v>818</v>
      </c>
      <c r="U1207" s="7" t="s">
        <v>3699</v>
      </c>
    </row>
    <row r="1208" spans="1:21" x14ac:dyDescent="0.3">
      <c r="A1208" s="14" t="s">
        <v>4133</v>
      </c>
      <c r="B1208" t="s">
        <v>32</v>
      </c>
      <c r="C1208" t="s">
        <v>142</v>
      </c>
      <c r="D1208">
        <v>1</v>
      </c>
      <c r="E1208" s="7">
        <v>289.85000000000002</v>
      </c>
      <c r="F1208">
        <v>27840979</v>
      </c>
      <c r="J1208" t="s">
        <v>2256</v>
      </c>
      <c r="K1208" t="s">
        <v>3</v>
      </c>
      <c r="L1208" s="2">
        <v>43252</v>
      </c>
      <c r="M1208" s="2">
        <f>DOCXX[[#This Row],[INV DOC DATE]]+30</f>
        <v>43282</v>
      </c>
      <c r="N1208" s="2">
        <v>43290</v>
      </c>
      <c r="O1208" s="7">
        <v>289.85000000000002</v>
      </c>
      <c r="P1208" s="2">
        <v>43299</v>
      </c>
      <c r="Q1208" s="7">
        <f>$E1208-$O1208</f>
        <v>0</v>
      </c>
      <c r="R1208" s="7" t="str">
        <f ca="1">IF(TODAY() - DOCXX[INV DUE DATE]&lt;30, "Less than 30 days",IF(TODAY()-DOCXX[INV DUE DATE]&lt;60,"30-60 days","More than 60 days"))</f>
        <v>Less than 30 days</v>
      </c>
      <c r="S1208" t="s">
        <v>818</v>
      </c>
      <c r="U1208" s="7" t="s">
        <v>3699</v>
      </c>
    </row>
    <row r="1209" spans="1:21" x14ac:dyDescent="0.3">
      <c r="A1209" s="14" t="s">
        <v>4133</v>
      </c>
      <c r="B1209" t="s">
        <v>32</v>
      </c>
      <c r="C1209" t="s">
        <v>143</v>
      </c>
      <c r="D1209">
        <v>1</v>
      </c>
      <c r="E1209" s="7">
        <v>289.85000000000002</v>
      </c>
      <c r="F1209">
        <v>23516020</v>
      </c>
      <c r="J1209" t="s">
        <v>2256</v>
      </c>
      <c r="K1209" t="s">
        <v>3</v>
      </c>
      <c r="L1209" s="2">
        <v>43252</v>
      </c>
      <c r="M1209" s="2">
        <f>DOCXX[[#This Row],[INV DOC DATE]]+30</f>
        <v>43282</v>
      </c>
      <c r="N1209" s="2">
        <v>43290</v>
      </c>
      <c r="O1209" s="7">
        <v>289.85000000000002</v>
      </c>
      <c r="P1209" s="2">
        <v>43299</v>
      </c>
      <c r="Q1209" s="7">
        <f>$E1209-$O1209</f>
        <v>0</v>
      </c>
      <c r="R1209" s="7" t="str">
        <f ca="1">IF(TODAY() - DOCXX[INV DUE DATE]&lt;30, "Less than 30 days",IF(TODAY()-DOCXX[INV DUE DATE]&lt;60,"30-60 days","More than 60 days"))</f>
        <v>Less than 30 days</v>
      </c>
      <c r="S1209" t="s">
        <v>818</v>
      </c>
      <c r="U1209" s="7" t="s">
        <v>3699</v>
      </c>
    </row>
    <row r="1210" spans="1:21" x14ac:dyDescent="0.3">
      <c r="A1210" s="14" t="s">
        <v>4133</v>
      </c>
      <c r="B1210" t="s">
        <v>32</v>
      </c>
      <c r="C1210" t="s">
        <v>144</v>
      </c>
      <c r="D1210">
        <v>1</v>
      </c>
      <c r="E1210" s="7">
        <v>289.85000000000002</v>
      </c>
      <c r="F1210">
        <v>30308619</v>
      </c>
      <c r="J1210" t="s">
        <v>2256</v>
      </c>
      <c r="K1210" t="s">
        <v>3</v>
      </c>
      <c r="L1210" s="2">
        <v>43252</v>
      </c>
      <c r="M1210" s="2">
        <f>DOCXX[[#This Row],[INV DOC DATE]]+30</f>
        <v>43282</v>
      </c>
      <c r="N1210" s="2">
        <v>43290</v>
      </c>
      <c r="O1210" s="7">
        <v>289.85000000000002</v>
      </c>
      <c r="P1210" s="2">
        <v>43299</v>
      </c>
      <c r="Q1210" s="7">
        <f>$E1210-$O1210</f>
        <v>0</v>
      </c>
      <c r="R1210" s="7" t="str">
        <f ca="1">IF(TODAY() - DOCXX[INV DUE DATE]&lt;30, "Less than 30 days",IF(TODAY()-DOCXX[INV DUE DATE]&lt;60,"30-60 days","More than 60 days"))</f>
        <v>Less than 30 days</v>
      </c>
      <c r="S1210" t="s">
        <v>818</v>
      </c>
      <c r="U1210" s="7" t="s">
        <v>3699</v>
      </c>
    </row>
    <row r="1211" spans="1:21" x14ac:dyDescent="0.3">
      <c r="A1211" s="14" t="s">
        <v>4133</v>
      </c>
      <c r="B1211" t="s">
        <v>32</v>
      </c>
      <c r="C1211" t="s">
        <v>145</v>
      </c>
      <c r="D1211">
        <v>1</v>
      </c>
      <c r="E1211" s="7">
        <v>289.85000000000002</v>
      </c>
      <c r="F1211">
        <v>30308619</v>
      </c>
      <c r="J1211" t="s">
        <v>2256</v>
      </c>
      <c r="K1211" t="s">
        <v>3</v>
      </c>
      <c r="L1211" s="2">
        <v>43252</v>
      </c>
      <c r="M1211" s="2">
        <f>DOCXX[[#This Row],[INV DOC DATE]]+30</f>
        <v>43282</v>
      </c>
      <c r="N1211" s="2">
        <v>43290</v>
      </c>
      <c r="O1211" s="7">
        <v>289.85000000000002</v>
      </c>
      <c r="P1211" s="2">
        <v>43299</v>
      </c>
      <c r="Q1211" s="7">
        <f>$E1211-$O1211</f>
        <v>0</v>
      </c>
      <c r="R1211" s="7" t="str">
        <f ca="1">IF(TODAY() - DOCXX[INV DUE DATE]&lt;30, "Less than 30 days",IF(TODAY()-DOCXX[INV DUE DATE]&lt;60,"30-60 days","More than 60 days"))</f>
        <v>Less than 30 days</v>
      </c>
      <c r="S1211" t="s">
        <v>818</v>
      </c>
      <c r="U1211" s="7" t="s">
        <v>3699</v>
      </c>
    </row>
    <row r="1212" spans="1:21" x14ac:dyDescent="0.3">
      <c r="A1212" s="14" t="s">
        <v>4133</v>
      </c>
      <c r="B1212" t="s">
        <v>32</v>
      </c>
      <c r="C1212" t="s">
        <v>146</v>
      </c>
      <c r="D1212">
        <v>1</v>
      </c>
      <c r="E1212" s="7">
        <v>289.85000000000002</v>
      </c>
      <c r="F1212">
        <v>27406596</v>
      </c>
      <c r="J1212" t="s">
        <v>2256</v>
      </c>
      <c r="K1212" t="s">
        <v>3</v>
      </c>
      <c r="L1212" s="2">
        <v>43252</v>
      </c>
      <c r="M1212" s="2">
        <f>DOCXX[[#This Row],[INV DOC DATE]]+30</f>
        <v>43282</v>
      </c>
      <c r="N1212" s="2">
        <v>43290</v>
      </c>
      <c r="O1212" s="7">
        <v>289.85000000000002</v>
      </c>
      <c r="P1212" s="2">
        <v>43299</v>
      </c>
      <c r="Q1212" s="7">
        <f>$E1212-$O1212</f>
        <v>0</v>
      </c>
      <c r="R1212" s="7" t="str">
        <f ca="1">IF(TODAY() - DOCXX[INV DUE DATE]&lt;30, "Less than 30 days",IF(TODAY()-DOCXX[INV DUE DATE]&lt;60,"30-60 days","More than 60 days"))</f>
        <v>Less than 30 days</v>
      </c>
      <c r="S1212" t="s">
        <v>818</v>
      </c>
      <c r="U1212" s="7" t="s">
        <v>3699</v>
      </c>
    </row>
    <row r="1213" spans="1:21" x14ac:dyDescent="0.3">
      <c r="A1213" s="14" t="s">
        <v>4133</v>
      </c>
      <c r="B1213" t="s">
        <v>32</v>
      </c>
      <c r="C1213" t="s">
        <v>147</v>
      </c>
      <c r="D1213">
        <v>1</v>
      </c>
      <c r="E1213" s="7">
        <v>289.85000000000002</v>
      </c>
      <c r="F1213">
        <v>30308618</v>
      </c>
      <c r="J1213" t="s">
        <v>2256</v>
      </c>
      <c r="K1213" t="s">
        <v>3</v>
      </c>
      <c r="L1213" s="2">
        <v>43252</v>
      </c>
      <c r="M1213" s="2">
        <f>DOCXX[[#This Row],[INV DOC DATE]]+30</f>
        <v>43282</v>
      </c>
      <c r="N1213" s="2">
        <v>43290</v>
      </c>
      <c r="O1213" s="7">
        <v>289.85000000000002</v>
      </c>
      <c r="P1213" s="2">
        <v>43299</v>
      </c>
      <c r="Q1213" s="7">
        <f>$E1213-$O1213</f>
        <v>0</v>
      </c>
      <c r="R1213" s="7" t="str">
        <f ca="1">IF(TODAY() - DOCXX[INV DUE DATE]&lt;30, "Less than 30 days",IF(TODAY()-DOCXX[INV DUE DATE]&lt;60,"30-60 days","More than 60 days"))</f>
        <v>Less than 30 days</v>
      </c>
      <c r="S1213" t="s">
        <v>818</v>
      </c>
      <c r="U1213" s="7" t="s">
        <v>3699</v>
      </c>
    </row>
    <row r="1214" spans="1:21" x14ac:dyDescent="0.3">
      <c r="A1214" s="14" t="s">
        <v>4133</v>
      </c>
      <c r="B1214" t="s">
        <v>32</v>
      </c>
      <c r="C1214" t="s">
        <v>148</v>
      </c>
      <c r="D1214">
        <v>1</v>
      </c>
      <c r="E1214" s="7">
        <v>289.85000000000002</v>
      </c>
      <c r="F1214">
        <v>27629934</v>
      </c>
      <c r="J1214" t="s">
        <v>2256</v>
      </c>
      <c r="K1214" t="s">
        <v>3</v>
      </c>
      <c r="L1214" s="2">
        <v>43252</v>
      </c>
      <c r="M1214" s="2">
        <f>DOCXX[[#This Row],[INV DOC DATE]]+30</f>
        <v>43282</v>
      </c>
      <c r="N1214" s="2">
        <v>43290</v>
      </c>
      <c r="O1214" s="7">
        <v>289.85000000000002</v>
      </c>
      <c r="P1214" s="2">
        <v>43299</v>
      </c>
      <c r="Q1214" s="7">
        <f>$E1214-$O1214</f>
        <v>0</v>
      </c>
      <c r="R1214" s="7" t="str">
        <f ca="1">IF(TODAY() - DOCXX[INV DUE DATE]&lt;30, "Less than 30 days",IF(TODAY()-DOCXX[INV DUE DATE]&lt;60,"30-60 days","More than 60 days"))</f>
        <v>Less than 30 days</v>
      </c>
      <c r="S1214" t="s">
        <v>818</v>
      </c>
      <c r="U1214" s="7" t="s">
        <v>3699</v>
      </c>
    </row>
    <row r="1215" spans="1:21" x14ac:dyDescent="0.3">
      <c r="A1215" s="14" t="s">
        <v>4133</v>
      </c>
      <c r="B1215" t="s">
        <v>32</v>
      </c>
      <c r="C1215" t="s">
        <v>149</v>
      </c>
      <c r="D1215">
        <v>1</v>
      </c>
      <c r="E1215" s="7">
        <v>289.85000000000002</v>
      </c>
      <c r="F1215">
        <v>30706598</v>
      </c>
      <c r="J1215" t="s">
        <v>2256</v>
      </c>
      <c r="K1215" t="s">
        <v>3</v>
      </c>
      <c r="L1215" s="2">
        <v>43252</v>
      </c>
      <c r="M1215" s="2">
        <f>DOCXX[[#This Row],[INV DOC DATE]]+30</f>
        <v>43282</v>
      </c>
      <c r="N1215" s="2">
        <v>43290</v>
      </c>
      <c r="O1215" s="7">
        <v>289.85000000000002</v>
      </c>
      <c r="P1215" s="2">
        <v>43299</v>
      </c>
      <c r="Q1215" s="7">
        <f>$E1215-$O1215</f>
        <v>0</v>
      </c>
      <c r="R1215" s="7" t="str">
        <f ca="1">IF(TODAY() - DOCXX[INV DUE DATE]&lt;30, "Less than 30 days",IF(TODAY()-DOCXX[INV DUE DATE]&lt;60,"30-60 days","More than 60 days"))</f>
        <v>Less than 30 days</v>
      </c>
      <c r="S1215" t="s">
        <v>818</v>
      </c>
      <c r="U1215" s="7" t="s">
        <v>3699</v>
      </c>
    </row>
    <row r="1216" spans="1:21" x14ac:dyDescent="0.3">
      <c r="A1216" s="14" t="s">
        <v>4133</v>
      </c>
      <c r="B1216" t="s">
        <v>32</v>
      </c>
      <c r="C1216" t="s">
        <v>150</v>
      </c>
      <c r="D1216">
        <v>1</v>
      </c>
      <c r="E1216" s="7">
        <v>289.85000000000002</v>
      </c>
      <c r="F1216">
        <v>30785048</v>
      </c>
      <c r="J1216" t="s">
        <v>2256</v>
      </c>
      <c r="K1216" t="s">
        <v>3</v>
      </c>
      <c r="L1216" s="2">
        <v>43252</v>
      </c>
      <c r="M1216" s="2">
        <f>DOCXX[[#This Row],[INV DOC DATE]]+30</f>
        <v>43282</v>
      </c>
      <c r="N1216" s="2">
        <v>43290</v>
      </c>
      <c r="O1216" s="7">
        <v>289.85000000000002</v>
      </c>
      <c r="P1216" s="2">
        <v>43299</v>
      </c>
      <c r="Q1216" s="7">
        <f>$E1216-$O1216</f>
        <v>0</v>
      </c>
      <c r="R1216" s="7" t="str">
        <f ca="1">IF(TODAY() - DOCXX[INV DUE DATE]&lt;30, "Less than 30 days",IF(TODAY()-DOCXX[INV DUE DATE]&lt;60,"30-60 days","More than 60 days"))</f>
        <v>Less than 30 days</v>
      </c>
      <c r="S1216" t="s">
        <v>818</v>
      </c>
      <c r="U1216" s="7" t="s">
        <v>3699</v>
      </c>
    </row>
    <row r="1217" spans="1:21" x14ac:dyDescent="0.3">
      <c r="A1217" s="14" t="s">
        <v>4133</v>
      </c>
      <c r="B1217" t="s">
        <v>32</v>
      </c>
      <c r="C1217" t="s">
        <v>151</v>
      </c>
      <c r="D1217">
        <v>1</v>
      </c>
      <c r="E1217" s="7">
        <v>289.85000000000002</v>
      </c>
      <c r="F1217">
        <v>31866188</v>
      </c>
      <c r="J1217" t="s">
        <v>2256</v>
      </c>
      <c r="K1217" t="s">
        <v>3</v>
      </c>
      <c r="L1217" s="2">
        <v>43252</v>
      </c>
      <c r="M1217" s="2">
        <f>DOCXX[[#This Row],[INV DOC DATE]]+30</f>
        <v>43282</v>
      </c>
      <c r="N1217" s="2">
        <v>43290</v>
      </c>
      <c r="O1217" s="7">
        <v>289.85000000000002</v>
      </c>
      <c r="P1217" s="2">
        <v>43299</v>
      </c>
      <c r="Q1217" s="7">
        <f>$E1217-$O1217</f>
        <v>0</v>
      </c>
      <c r="R1217" s="7" t="str">
        <f ca="1">IF(TODAY() - DOCXX[INV DUE DATE]&lt;30, "Less than 30 days",IF(TODAY()-DOCXX[INV DUE DATE]&lt;60,"30-60 days","More than 60 days"))</f>
        <v>Less than 30 days</v>
      </c>
      <c r="S1217" t="s">
        <v>818</v>
      </c>
      <c r="U1217" s="7" t="s">
        <v>3699</v>
      </c>
    </row>
    <row r="1218" spans="1:21" x14ac:dyDescent="0.3">
      <c r="A1218" s="14" t="s">
        <v>4133</v>
      </c>
      <c r="B1218" t="s">
        <v>32</v>
      </c>
      <c r="C1218" t="s">
        <v>152</v>
      </c>
      <c r="D1218">
        <v>1</v>
      </c>
      <c r="E1218" s="7">
        <v>289.85000000000002</v>
      </c>
      <c r="F1218">
        <v>32009397</v>
      </c>
      <c r="J1218" t="s">
        <v>2256</v>
      </c>
      <c r="K1218" t="s">
        <v>3</v>
      </c>
      <c r="L1218" s="2">
        <v>43252</v>
      </c>
      <c r="M1218" s="2">
        <f>DOCXX[[#This Row],[INV DOC DATE]]+30</f>
        <v>43282</v>
      </c>
      <c r="N1218" s="2">
        <v>43290</v>
      </c>
      <c r="O1218" s="7">
        <v>289.85000000000002</v>
      </c>
      <c r="P1218" s="2">
        <v>43299</v>
      </c>
      <c r="Q1218" s="7">
        <f>$E1218-$O1218</f>
        <v>0</v>
      </c>
      <c r="R1218" s="7" t="str">
        <f ca="1">IF(TODAY() - DOCXX[INV DUE DATE]&lt;30, "Less than 30 days",IF(TODAY()-DOCXX[INV DUE DATE]&lt;60,"30-60 days","More than 60 days"))</f>
        <v>Less than 30 days</v>
      </c>
      <c r="S1218" t="s">
        <v>818</v>
      </c>
      <c r="U1218" s="7" t="s">
        <v>3699</v>
      </c>
    </row>
    <row r="1219" spans="1:21" x14ac:dyDescent="0.3">
      <c r="A1219" s="14" t="s">
        <v>4133</v>
      </c>
      <c r="B1219" t="s">
        <v>32</v>
      </c>
      <c r="C1219" t="s">
        <v>296</v>
      </c>
      <c r="D1219">
        <v>1</v>
      </c>
      <c r="E1219" s="7">
        <v>289.85000000000002</v>
      </c>
      <c r="F1219">
        <v>30850395</v>
      </c>
      <c r="J1219" t="s">
        <v>2256</v>
      </c>
      <c r="K1219" t="s">
        <v>3</v>
      </c>
      <c r="L1219" s="2">
        <v>43252</v>
      </c>
      <c r="M1219" s="2">
        <f>DOCXX[[#This Row],[INV DOC DATE]]+30</f>
        <v>43282</v>
      </c>
      <c r="N1219" s="2">
        <v>43290</v>
      </c>
      <c r="O1219" s="7">
        <v>289.85000000000002</v>
      </c>
      <c r="P1219" s="2">
        <v>43299</v>
      </c>
      <c r="Q1219" s="7">
        <f>$E1219-$O1219</f>
        <v>0</v>
      </c>
      <c r="R1219" s="7" t="str">
        <f ca="1">IF(TODAY() - DOCXX[INV DUE DATE]&lt;30, "Less than 30 days",IF(TODAY()-DOCXX[INV DUE DATE]&lt;60,"30-60 days","More than 60 days"))</f>
        <v>Less than 30 days</v>
      </c>
      <c r="S1219" t="s">
        <v>818</v>
      </c>
      <c r="U1219" s="7" t="s">
        <v>3699</v>
      </c>
    </row>
    <row r="1220" spans="1:21" x14ac:dyDescent="0.3">
      <c r="A1220" s="14" t="s">
        <v>4133</v>
      </c>
      <c r="B1220" t="s">
        <v>32</v>
      </c>
      <c r="C1220" t="s">
        <v>297</v>
      </c>
      <c r="D1220">
        <v>1</v>
      </c>
      <c r="E1220" s="7">
        <v>289.85000000000002</v>
      </c>
      <c r="F1220">
        <v>28206749</v>
      </c>
      <c r="J1220" t="s">
        <v>2256</v>
      </c>
      <c r="K1220" t="s">
        <v>3</v>
      </c>
      <c r="L1220" s="2">
        <v>43252</v>
      </c>
      <c r="M1220" s="2">
        <f>DOCXX[[#This Row],[INV DOC DATE]]+30</f>
        <v>43282</v>
      </c>
      <c r="N1220" s="2">
        <v>43290</v>
      </c>
      <c r="O1220" s="7">
        <v>289.85000000000002</v>
      </c>
      <c r="P1220" s="2">
        <v>43299</v>
      </c>
      <c r="Q1220" s="7">
        <f>$E1220-$O1220</f>
        <v>0</v>
      </c>
      <c r="R1220" s="7" t="str">
        <f ca="1">IF(TODAY() - DOCXX[INV DUE DATE]&lt;30, "Less than 30 days",IF(TODAY()-DOCXX[INV DUE DATE]&lt;60,"30-60 days","More than 60 days"))</f>
        <v>Less than 30 days</v>
      </c>
      <c r="S1220" t="s">
        <v>818</v>
      </c>
      <c r="U1220" s="7" t="s">
        <v>3699</v>
      </c>
    </row>
    <row r="1221" spans="1:21" x14ac:dyDescent="0.3">
      <c r="A1221" s="14" t="s">
        <v>4133</v>
      </c>
      <c r="B1221" t="s">
        <v>32</v>
      </c>
      <c r="C1221" t="s">
        <v>298</v>
      </c>
      <c r="D1221">
        <v>1</v>
      </c>
      <c r="E1221" s="7">
        <v>289.85000000000002</v>
      </c>
      <c r="F1221">
        <v>23770957</v>
      </c>
      <c r="J1221" t="s">
        <v>2256</v>
      </c>
      <c r="K1221" t="s">
        <v>3</v>
      </c>
      <c r="L1221" s="2">
        <v>43252</v>
      </c>
      <c r="M1221" s="2">
        <f>DOCXX[[#This Row],[INV DOC DATE]]+30</f>
        <v>43282</v>
      </c>
      <c r="N1221" s="2">
        <v>43290</v>
      </c>
      <c r="O1221" s="7">
        <v>289.85000000000002</v>
      </c>
      <c r="P1221" s="2">
        <v>43299</v>
      </c>
      <c r="Q1221" s="7">
        <f>$E1221-$O1221</f>
        <v>0</v>
      </c>
      <c r="R1221" s="7" t="str">
        <f ca="1">IF(TODAY() - DOCXX[INV DUE DATE]&lt;30, "Less than 30 days",IF(TODAY()-DOCXX[INV DUE DATE]&lt;60,"30-60 days","More than 60 days"))</f>
        <v>Less than 30 days</v>
      </c>
      <c r="S1221" t="s">
        <v>818</v>
      </c>
      <c r="U1221" s="7" t="s">
        <v>3699</v>
      </c>
    </row>
    <row r="1222" spans="1:21" x14ac:dyDescent="0.3">
      <c r="A1222" s="14" t="s">
        <v>4133</v>
      </c>
      <c r="B1222" t="s">
        <v>32</v>
      </c>
      <c r="C1222" t="s">
        <v>299</v>
      </c>
      <c r="D1222">
        <v>1</v>
      </c>
      <c r="E1222" s="7">
        <v>289.85000000000002</v>
      </c>
      <c r="F1222">
        <v>30573759</v>
      </c>
      <c r="J1222" t="s">
        <v>2256</v>
      </c>
      <c r="K1222" t="s">
        <v>3</v>
      </c>
      <c r="L1222" s="2">
        <v>43252</v>
      </c>
      <c r="M1222" s="2">
        <f>DOCXX[[#This Row],[INV DOC DATE]]+30</f>
        <v>43282</v>
      </c>
      <c r="N1222" s="2">
        <v>43290</v>
      </c>
      <c r="O1222" s="7">
        <v>289.85000000000002</v>
      </c>
      <c r="P1222" s="2">
        <v>43299</v>
      </c>
      <c r="Q1222" s="7">
        <f>$E1222-$O1222</f>
        <v>0</v>
      </c>
      <c r="R1222" s="7" t="str">
        <f ca="1">IF(TODAY() - DOCXX[INV DUE DATE]&lt;30, "Less than 30 days",IF(TODAY()-DOCXX[INV DUE DATE]&lt;60,"30-60 days","More than 60 days"))</f>
        <v>Less than 30 days</v>
      </c>
      <c r="S1222" t="s">
        <v>818</v>
      </c>
      <c r="U1222" s="7" t="s">
        <v>3699</v>
      </c>
    </row>
    <row r="1223" spans="1:21" x14ac:dyDescent="0.3">
      <c r="A1223" s="14" t="s">
        <v>4133</v>
      </c>
      <c r="B1223" t="s">
        <v>32</v>
      </c>
      <c r="C1223" t="s">
        <v>300</v>
      </c>
      <c r="D1223">
        <v>1</v>
      </c>
      <c r="E1223" s="7">
        <v>289.85000000000002</v>
      </c>
      <c r="F1223">
        <v>28651205</v>
      </c>
      <c r="J1223" t="s">
        <v>2256</v>
      </c>
      <c r="K1223" t="s">
        <v>3</v>
      </c>
      <c r="L1223" s="2">
        <v>43252</v>
      </c>
      <c r="M1223" s="2">
        <f>DOCXX[[#This Row],[INV DOC DATE]]+30</f>
        <v>43282</v>
      </c>
      <c r="N1223" s="2">
        <v>43290</v>
      </c>
      <c r="O1223" s="7">
        <v>289.85000000000002</v>
      </c>
      <c r="P1223" s="2">
        <v>43299</v>
      </c>
      <c r="Q1223" s="7">
        <f>$E1223-$O1223</f>
        <v>0</v>
      </c>
      <c r="R1223" s="7" t="str">
        <f ca="1">IF(TODAY() - DOCXX[INV DUE DATE]&lt;30, "Less than 30 days",IF(TODAY()-DOCXX[INV DUE DATE]&lt;60,"30-60 days","More than 60 days"))</f>
        <v>Less than 30 days</v>
      </c>
      <c r="S1223" t="s">
        <v>818</v>
      </c>
      <c r="U1223" s="7" t="s">
        <v>3699</v>
      </c>
    </row>
    <row r="1224" spans="1:21" x14ac:dyDescent="0.3">
      <c r="A1224" s="14" t="s">
        <v>4133</v>
      </c>
      <c r="B1224" t="s">
        <v>32</v>
      </c>
      <c r="C1224" t="s">
        <v>301</v>
      </c>
      <c r="D1224">
        <v>1</v>
      </c>
      <c r="E1224" s="7">
        <v>289.85000000000002</v>
      </c>
      <c r="F1224">
        <v>31900082</v>
      </c>
      <c r="J1224" t="s">
        <v>2256</v>
      </c>
      <c r="K1224" t="s">
        <v>3</v>
      </c>
      <c r="L1224" s="2">
        <v>43252</v>
      </c>
      <c r="M1224" s="2">
        <f>DOCXX[[#This Row],[INV DOC DATE]]+30</f>
        <v>43282</v>
      </c>
      <c r="N1224" s="2">
        <v>43290</v>
      </c>
      <c r="O1224" s="7">
        <v>289.85000000000002</v>
      </c>
      <c r="P1224" s="2">
        <v>43299</v>
      </c>
      <c r="Q1224" s="7">
        <f>$E1224-$O1224</f>
        <v>0</v>
      </c>
      <c r="R1224" s="7" t="str">
        <f ca="1">IF(TODAY() - DOCXX[INV DUE DATE]&lt;30, "Less than 30 days",IF(TODAY()-DOCXX[INV DUE DATE]&lt;60,"30-60 days","More than 60 days"))</f>
        <v>Less than 30 days</v>
      </c>
      <c r="S1224" t="s">
        <v>818</v>
      </c>
      <c r="U1224" s="7" t="s">
        <v>3699</v>
      </c>
    </row>
    <row r="1225" spans="1:21" x14ac:dyDescent="0.3">
      <c r="A1225" s="14" t="s">
        <v>4133</v>
      </c>
      <c r="B1225" t="s">
        <v>32</v>
      </c>
      <c r="C1225" t="s">
        <v>302</v>
      </c>
      <c r="D1225">
        <v>1</v>
      </c>
      <c r="E1225" s="7">
        <v>289.85000000000002</v>
      </c>
      <c r="F1225">
        <v>30850396</v>
      </c>
      <c r="J1225" t="s">
        <v>2256</v>
      </c>
      <c r="K1225" t="s">
        <v>3</v>
      </c>
      <c r="L1225" s="2">
        <v>43252</v>
      </c>
      <c r="M1225" s="2">
        <f>DOCXX[[#This Row],[INV DOC DATE]]+30</f>
        <v>43282</v>
      </c>
      <c r="N1225" s="2">
        <v>43290</v>
      </c>
      <c r="O1225" s="7">
        <v>289.85000000000002</v>
      </c>
      <c r="P1225" s="2">
        <v>43299</v>
      </c>
      <c r="Q1225" s="7">
        <f>$E1225-$O1225</f>
        <v>0</v>
      </c>
      <c r="R1225" s="7" t="str">
        <f ca="1">IF(TODAY() - DOCXX[INV DUE DATE]&lt;30, "Less than 30 days",IF(TODAY()-DOCXX[INV DUE DATE]&lt;60,"30-60 days","More than 60 days"))</f>
        <v>Less than 30 days</v>
      </c>
      <c r="S1225" t="s">
        <v>818</v>
      </c>
      <c r="U1225" s="7" t="s">
        <v>3699</v>
      </c>
    </row>
    <row r="1226" spans="1:21" x14ac:dyDescent="0.3">
      <c r="A1226" s="14" t="s">
        <v>4133</v>
      </c>
      <c r="B1226" t="s">
        <v>32</v>
      </c>
      <c r="C1226" t="s">
        <v>303</v>
      </c>
      <c r="D1226">
        <v>1</v>
      </c>
      <c r="E1226" s="7">
        <v>289.85000000000002</v>
      </c>
      <c r="F1226">
        <v>27656481</v>
      </c>
      <c r="J1226" t="s">
        <v>2256</v>
      </c>
      <c r="K1226" t="s">
        <v>3</v>
      </c>
      <c r="L1226" s="2">
        <v>43252</v>
      </c>
      <c r="M1226" s="2">
        <f>DOCXX[[#This Row],[INV DOC DATE]]+30</f>
        <v>43282</v>
      </c>
      <c r="N1226" s="2">
        <v>43290</v>
      </c>
      <c r="O1226" s="7">
        <v>289.85000000000002</v>
      </c>
      <c r="P1226" s="2">
        <v>43299</v>
      </c>
      <c r="Q1226" s="7">
        <f>$E1226-$O1226</f>
        <v>0</v>
      </c>
      <c r="R1226" s="7" t="str">
        <f ca="1">IF(TODAY() - DOCXX[INV DUE DATE]&lt;30, "Less than 30 days",IF(TODAY()-DOCXX[INV DUE DATE]&lt;60,"30-60 days","More than 60 days"))</f>
        <v>Less than 30 days</v>
      </c>
      <c r="S1226" t="s">
        <v>818</v>
      </c>
      <c r="U1226" s="7" t="s">
        <v>3699</v>
      </c>
    </row>
    <row r="1227" spans="1:21" x14ac:dyDescent="0.3">
      <c r="A1227" s="14" t="s">
        <v>4133</v>
      </c>
      <c r="B1227" t="s">
        <v>32</v>
      </c>
      <c r="C1227" t="s">
        <v>304</v>
      </c>
      <c r="D1227">
        <v>1</v>
      </c>
      <c r="E1227" s="7">
        <v>289.85000000000002</v>
      </c>
      <c r="F1227">
        <v>29420620</v>
      </c>
      <c r="J1227" t="s">
        <v>2256</v>
      </c>
      <c r="K1227" t="s">
        <v>3</v>
      </c>
      <c r="L1227" s="2">
        <v>43252</v>
      </c>
      <c r="M1227" s="2">
        <f>DOCXX[[#This Row],[INV DOC DATE]]+30</f>
        <v>43282</v>
      </c>
      <c r="N1227" s="2">
        <v>43290</v>
      </c>
      <c r="O1227" s="7">
        <v>289.85000000000002</v>
      </c>
      <c r="P1227" s="2">
        <v>43299</v>
      </c>
      <c r="Q1227" s="7">
        <f>$E1227-$O1227</f>
        <v>0</v>
      </c>
      <c r="R1227" s="7" t="str">
        <f ca="1">IF(TODAY() - DOCXX[INV DUE DATE]&lt;30, "Less than 30 days",IF(TODAY()-DOCXX[INV DUE DATE]&lt;60,"30-60 days","More than 60 days"))</f>
        <v>Less than 30 days</v>
      </c>
      <c r="S1227" t="s">
        <v>818</v>
      </c>
      <c r="U1227" s="7" t="s">
        <v>3699</v>
      </c>
    </row>
    <row r="1228" spans="1:21" x14ac:dyDescent="0.3">
      <c r="A1228" s="14" t="s">
        <v>4133</v>
      </c>
      <c r="B1228" t="s">
        <v>32</v>
      </c>
      <c r="C1228" t="s">
        <v>305</v>
      </c>
      <c r="D1228">
        <v>1</v>
      </c>
      <c r="E1228" s="7">
        <v>84.15</v>
      </c>
      <c r="F1228">
        <v>29746687</v>
      </c>
      <c r="J1228" t="s">
        <v>2256</v>
      </c>
      <c r="K1228" t="s">
        <v>3</v>
      </c>
      <c r="L1228" s="2">
        <v>43252</v>
      </c>
      <c r="M1228" s="2">
        <f>DOCXX[[#This Row],[INV DOC DATE]]+30</f>
        <v>43282</v>
      </c>
      <c r="N1228" s="2">
        <v>43290</v>
      </c>
      <c r="O1228" s="7">
        <v>84.15</v>
      </c>
      <c r="P1228" s="2">
        <v>43299</v>
      </c>
      <c r="Q1228" s="7">
        <f>$E1228-$O1228</f>
        <v>0</v>
      </c>
      <c r="R1228" s="7" t="str">
        <f ca="1">IF(TODAY() - DOCXX[INV DUE DATE]&lt;30, "Less than 30 days",IF(TODAY()-DOCXX[INV DUE DATE]&lt;60,"30-60 days","More than 60 days"))</f>
        <v>Less than 30 days</v>
      </c>
      <c r="S1228" t="s">
        <v>818</v>
      </c>
      <c r="U1228" s="7" t="s">
        <v>3699</v>
      </c>
    </row>
    <row r="1229" spans="1:21" x14ac:dyDescent="0.3">
      <c r="A1229" s="14" t="s">
        <v>4133</v>
      </c>
      <c r="B1229" t="s">
        <v>32</v>
      </c>
      <c r="C1229" t="s">
        <v>306</v>
      </c>
      <c r="D1229">
        <v>1</v>
      </c>
      <c r="E1229" s="7">
        <v>289.85000000000002</v>
      </c>
      <c r="F1229">
        <v>29877676</v>
      </c>
      <c r="J1229" t="s">
        <v>2256</v>
      </c>
      <c r="K1229" t="s">
        <v>3</v>
      </c>
      <c r="L1229" s="2">
        <v>43252</v>
      </c>
      <c r="M1229" s="2">
        <f>DOCXX[[#This Row],[INV DOC DATE]]+30</f>
        <v>43282</v>
      </c>
      <c r="N1229" s="2">
        <v>43290</v>
      </c>
      <c r="O1229" s="7">
        <v>289.85000000000002</v>
      </c>
      <c r="P1229" s="2">
        <v>43299</v>
      </c>
      <c r="Q1229" s="7">
        <f>$E1229-$O1229</f>
        <v>0</v>
      </c>
      <c r="R1229" s="7" t="str">
        <f ca="1">IF(TODAY() - DOCXX[INV DUE DATE]&lt;30, "Less than 30 days",IF(TODAY()-DOCXX[INV DUE DATE]&lt;60,"30-60 days","More than 60 days"))</f>
        <v>Less than 30 days</v>
      </c>
      <c r="S1229" t="s">
        <v>818</v>
      </c>
      <c r="U1229" s="7" t="s">
        <v>3699</v>
      </c>
    </row>
    <row r="1230" spans="1:21" x14ac:dyDescent="0.3">
      <c r="A1230" s="14" t="s">
        <v>4133</v>
      </c>
      <c r="B1230" t="s">
        <v>32</v>
      </c>
      <c r="C1230" t="s">
        <v>307</v>
      </c>
      <c r="D1230">
        <v>1</v>
      </c>
      <c r="E1230" s="7">
        <v>289.85000000000002</v>
      </c>
      <c r="F1230">
        <v>29872647</v>
      </c>
      <c r="J1230" t="s">
        <v>2256</v>
      </c>
      <c r="K1230" t="s">
        <v>3</v>
      </c>
      <c r="L1230" s="2">
        <v>43252</v>
      </c>
      <c r="M1230" s="2">
        <f>DOCXX[[#This Row],[INV DOC DATE]]+30</f>
        <v>43282</v>
      </c>
      <c r="N1230" s="2">
        <v>43290</v>
      </c>
      <c r="O1230" s="7">
        <v>289.85000000000002</v>
      </c>
      <c r="P1230" s="2">
        <v>43299</v>
      </c>
      <c r="Q1230" s="7">
        <f>$E1230-$O1230</f>
        <v>0</v>
      </c>
      <c r="R1230" s="7" t="str">
        <f ca="1">IF(TODAY() - DOCXX[INV DUE DATE]&lt;30, "Less than 30 days",IF(TODAY()-DOCXX[INV DUE DATE]&lt;60,"30-60 days","More than 60 days"))</f>
        <v>Less than 30 days</v>
      </c>
      <c r="S1230" t="s">
        <v>818</v>
      </c>
      <c r="U1230" s="7" t="s">
        <v>3699</v>
      </c>
    </row>
    <row r="1231" spans="1:21" x14ac:dyDescent="0.3">
      <c r="A1231" s="14" t="s">
        <v>4133</v>
      </c>
      <c r="B1231" t="s">
        <v>32</v>
      </c>
      <c r="C1231" t="s">
        <v>308</v>
      </c>
      <c r="D1231">
        <v>1</v>
      </c>
      <c r="E1231" s="7">
        <v>289.85000000000002</v>
      </c>
      <c r="F1231">
        <v>29421038</v>
      </c>
      <c r="J1231" t="s">
        <v>2256</v>
      </c>
      <c r="K1231" t="s">
        <v>3</v>
      </c>
      <c r="L1231" s="2">
        <v>43252</v>
      </c>
      <c r="M1231" s="2">
        <f>DOCXX[[#This Row],[INV DOC DATE]]+30</f>
        <v>43282</v>
      </c>
      <c r="N1231" s="2">
        <v>43290</v>
      </c>
      <c r="O1231" s="7">
        <v>289.85000000000002</v>
      </c>
      <c r="P1231" s="2">
        <v>43299</v>
      </c>
      <c r="Q1231" s="7">
        <f>$E1231-$O1231</f>
        <v>0</v>
      </c>
      <c r="R1231" s="7" t="str">
        <f ca="1">IF(TODAY() - DOCXX[INV DUE DATE]&lt;30, "Less than 30 days",IF(TODAY()-DOCXX[INV DUE DATE]&lt;60,"30-60 days","More than 60 days"))</f>
        <v>Less than 30 days</v>
      </c>
      <c r="S1231" t="s">
        <v>818</v>
      </c>
      <c r="U1231" s="7" t="s">
        <v>3699</v>
      </c>
    </row>
    <row r="1232" spans="1:21" x14ac:dyDescent="0.3">
      <c r="A1232" s="14" t="s">
        <v>4133</v>
      </c>
      <c r="B1232" t="s">
        <v>32</v>
      </c>
      <c r="C1232" t="s">
        <v>309</v>
      </c>
      <c r="D1232">
        <v>1</v>
      </c>
      <c r="E1232" s="7">
        <v>289.85000000000002</v>
      </c>
      <c r="F1232">
        <v>28847319</v>
      </c>
      <c r="J1232" t="s">
        <v>2256</v>
      </c>
      <c r="K1232" t="s">
        <v>3</v>
      </c>
      <c r="L1232" s="2">
        <v>43252</v>
      </c>
      <c r="M1232" s="2">
        <f>DOCXX[[#This Row],[INV DOC DATE]]+30</f>
        <v>43282</v>
      </c>
      <c r="N1232" s="2">
        <v>43290</v>
      </c>
      <c r="O1232" s="7">
        <v>289.85000000000002</v>
      </c>
      <c r="P1232" s="2">
        <v>43299</v>
      </c>
      <c r="Q1232" s="7">
        <f>$E1232-$O1232</f>
        <v>0</v>
      </c>
      <c r="R1232" s="7" t="str">
        <f ca="1">IF(TODAY() - DOCXX[INV DUE DATE]&lt;30, "Less than 30 days",IF(TODAY()-DOCXX[INV DUE DATE]&lt;60,"30-60 days","More than 60 days"))</f>
        <v>Less than 30 days</v>
      </c>
      <c r="S1232" t="s">
        <v>818</v>
      </c>
      <c r="U1232" s="7" t="s">
        <v>3699</v>
      </c>
    </row>
    <row r="1233" spans="1:21" x14ac:dyDescent="0.3">
      <c r="A1233" s="14" t="s">
        <v>4133</v>
      </c>
      <c r="B1233" t="s">
        <v>32</v>
      </c>
      <c r="C1233" t="s">
        <v>310</v>
      </c>
      <c r="D1233">
        <v>1</v>
      </c>
      <c r="E1233" s="7">
        <v>289.85000000000002</v>
      </c>
      <c r="F1233">
        <v>30713970</v>
      </c>
      <c r="J1233" t="s">
        <v>2256</v>
      </c>
      <c r="K1233" t="s">
        <v>3</v>
      </c>
      <c r="L1233" s="2">
        <v>43252</v>
      </c>
      <c r="M1233" s="2">
        <f>DOCXX[[#This Row],[INV DOC DATE]]+30</f>
        <v>43282</v>
      </c>
      <c r="N1233" s="2">
        <v>43290</v>
      </c>
      <c r="O1233" s="7">
        <v>289.85000000000002</v>
      </c>
      <c r="P1233" s="2">
        <v>43299</v>
      </c>
      <c r="Q1233" s="7">
        <f>$E1233-$O1233</f>
        <v>0</v>
      </c>
      <c r="R1233" s="7" t="str">
        <f ca="1">IF(TODAY() - DOCXX[INV DUE DATE]&lt;30, "Less than 30 days",IF(TODAY()-DOCXX[INV DUE DATE]&lt;60,"30-60 days","More than 60 days"))</f>
        <v>Less than 30 days</v>
      </c>
      <c r="S1233" t="s">
        <v>818</v>
      </c>
      <c r="U1233" s="7" t="s">
        <v>3699</v>
      </c>
    </row>
    <row r="1234" spans="1:21" x14ac:dyDescent="0.3">
      <c r="A1234" s="14" t="s">
        <v>4133</v>
      </c>
      <c r="B1234" t="s">
        <v>32</v>
      </c>
      <c r="C1234" t="s">
        <v>311</v>
      </c>
      <c r="D1234">
        <v>1</v>
      </c>
      <c r="E1234" s="7">
        <v>289.85000000000002</v>
      </c>
      <c r="F1234">
        <v>25417840</v>
      </c>
      <c r="J1234" t="s">
        <v>2256</v>
      </c>
      <c r="K1234" t="s">
        <v>3</v>
      </c>
      <c r="L1234" s="2">
        <v>43252</v>
      </c>
      <c r="M1234" s="2">
        <f>DOCXX[[#This Row],[INV DOC DATE]]+30</f>
        <v>43282</v>
      </c>
      <c r="N1234" s="2">
        <v>43290</v>
      </c>
      <c r="O1234" s="7">
        <v>289.85000000000002</v>
      </c>
      <c r="P1234" s="2">
        <v>43299</v>
      </c>
      <c r="Q1234" s="7">
        <f>$E1234-$O1234</f>
        <v>0</v>
      </c>
      <c r="R1234" s="7" t="str">
        <f ca="1">IF(TODAY() - DOCXX[INV DUE DATE]&lt;30, "Less than 30 days",IF(TODAY()-DOCXX[INV DUE DATE]&lt;60,"30-60 days","More than 60 days"))</f>
        <v>Less than 30 days</v>
      </c>
      <c r="S1234" t="s">
        <v>818</v>
      </c>
      <c r="U1234" s="7" t="s">
        <v>3699</v>
      </c>
    </row>
    <row r="1235" spans="1:21" x14ac:dyDescent="0.3">
      <c r="A1235" s="14" t="s">
        <v>4133</v>
      </c>
      <c r="B1235" t="s">
        <v>32</v>
      </c>
      <c r="C1235" t="s">
        <v>312</v>
      </c>
      <c r="D1235">
        <v>1</v>
      </c>
      <c r="E1235" s="7">
        <v>289.85000000000002</v>
      </c>
      <c r="F1235">
        <v>27665486</v>
      </c>
      <c r="J1235" t="s">
        <v>2256</v>
      </c>
      <c r="K1235" t="s">
        <v>3</v>
      </c>
      <c r="L1235" s="2">
        <v>43252</v>
      </c>
      <c r="M1235" s="2">
        <f>DOCXX[[#This Row],[INV DOC DATE]]+30</f>
        <v>43282</v>
      </c>
      <c r="N1235" s="2">
        <v>43290</v>
      </c>
      <c r="O1235" s="7">
        <v>289.85000000000002</v>
      </c>
      <c r="P1235" s="2">
        <v>43299</v>
      </c>
      <c r="Q1235" s="7">
        <f>$E1235-$O1235</f>
        <v>0</v>
      </c>
      <c r="R1235" s="7" t="str">
        <f ca="1">IF(TODAY() - DOCXX[INV DUE DATE]&lt;30, "Less than 30 days",IF(TODAY()-DOCXX[INV DUE DATE]&lt;60,"30-60 days","More than 60 days"))</f>
        <v>Less than 30 days</v>
      </c>
      <c r="S1235" t="s">
        <v>818</v>
      </c>
      <c r="U1235" s="7" t="s">
        <v>3699</v>
      </c>
    </row>
    <row r="1236" spans="1:21" x14ac:dyDescent="0.3">
      <c r="A1236" s="14" t="s">
        <v>4133</v>
      </c>
      <c r="B1236" t="s">
        <v>32</v>
      </c>
      <c r="C1236" t="s">
        <v>313</v>
      </c>
      <c r="D1236">
        <v>1</v>
      </c>
      <c r="E1236" s="7">
        <v>289.85000000000002</v>
      </c>
      <c r="F1236">
        <v>30260506</v>
      </c>
      <c r="J1236" t="s">
        <v>2256</v>
      </c>
      <c r="K1236" t="s">
        <v>3</v>
      </c>
      <c r="L1236" s="2">
        <v>43252</v>
      </c>
      <c r="M1236" s="2">
        <f>DOCXX[[#This Row],[INV DOC DATE]]+30</f>
        <v>43282</v>
      </c>
      <c r="N1236" s="2">
        <v>43290</v>
      </c>
      <c r="O1236" s="7">
        <v>289.85000000000002</v>
      </c>
      <c r="P1236" s="2">
        <v>43299</v>
      </c>
      <c r="Q1236" s="7">
        <f>$E1236-$O1236</f>
        <v>0</v>
      </c>
      <c r="R1236" s="7" t="str">
        <f ca="1">IF(TODAY() - DOCXX[INV DUE DATE]&lt;30, "Less than 30 days",IF(TODAY()-DOCXX[INV DUE DATE]&lt;60,"30-60 days","More than 60 days"))</f>
        <v>Less than 30 days</v>
      </c>
      <c r="S1236" t="s">
        <v>818</v>
      </c>
      <c r="U1236" s="7" t="s">
        <v>3699</v>
      </c>
    </row>
    <row r="1237" spans="1:21" x14ac:dyDescent="0.3">
      <c r="A1237" s="14" t="s">
        <v>4133</v>
      </c>
      <c r="B1237" t="s">
        <v>32</v>
      </c>
      <c r="C1237" t="s">
        <v>314</v>
      </c>
      <c r="D1237">
        <v>1</v>
      </c>
      <c r="E1237" s="7">
        <v>289.85000000000002</v>
      </c>
      <c r="F1237">
        <v>31334214</v>
      </c>
      <c r="J1237" t="s">
        <v>2256</v>
      </c>
      <c r="K1237" t="s">
        <v>3</v>
      </c>
      <c r="L1237" s="2">
        <v>43252</v>
      </c>
      <c r="M1237" s="2">
        <f>DOCXX[[#This Row],[INV DOC DATE]]+30</f>
        <v>43282</v>
      </c>
      <c r="N1237" s="2">
        <v>43290</v>
      </c>
      <c r="O1237" s="7">
        <v>289.85000000000002</v>
      </c>
      <c r="P1237" s="2">
        <v>43299</v>
      </c>
      <c r="Q1237" s="7">
        <f>$E1237-$O1237</f>
        <v>0</v>
      </c>
      <c r="R1237" s="7" t="str">
        <f ca="1">IF(TODAY() - DOCXX[INV DUE DATE]&lt;30, "Less than 30 days",IF(TODAY()-DOCXX[INV DUE DATE]&lt;60,"30-60 days","More than 60 days"))</f>
        <v>Less than 30 days</v>
      </c>
      <c r="S1237" t="s">
        <v>818</v>
      </c>
      <c r="U1237" s="7" t="s">
        <v>3699</v>
      </c>
    </row>
    <row r="1238" spans="1:21" x14ac:dyDescent="0.3">
      <c r="A1238" s="14" t="s">
        <v>4133</v>
      </c>
      <c r="B1238" t="s">
        <v>32</v>
      </c>
      <c r="C1238" t="s">
        <v>315</v>
      </c>
      <c r="D1238">
        <v>1</v>
      </c>
      <c r="E1238" s="7">
        <v>289.85000000000002</v>
      </c>
      <c r="F1238">
        <v>30259495</v>
      </c>
      <c r="J1238" t="s">
        <v>2256</v>
      </c>
      <c r="K1238" t="s">
        <v>3</v>
      </c>
      <c r="L1238" s="2">
        <v>43252</v>
      </c>
      <c r="M1238" s="2">
        <f>DOCXX[[#This Row],[INV DOC DATE]]+30</f>
        <v>43282</v>
      </c>
      <c r="N1238" s="2">
        <v>43290</v>
      </c>
      <c r="O1238" s="7">
        <v>289.85000000000002</v>
      </c>
      <c r="P1238" s="2">
        <v>43299</v>
      </c>
      <c r="Q1238" s="7">
        <f>$E1238-$O1238</f>
        <v>0</v>
      </c>
      <c r="R1238" s="7" t="str">
        <f ca="1">IF(TODAY() - DOCXX[INV DUE DATE]&lt;30, "Less than 30 days",IF(TODAY()-DOCXX[INV DUE DATE]&lt;60,"30-60 days","More than 60 days"))</f>
        <v>Less than 30 days</v>
      </c>
      <c r="S1238" t="s">
        <v>818</v>
      </c>
      <c r="U1238" s="7" t="s">
        <v>3699</v>
      </c>
    </row>
    <row r="1239" spans="1:21" x14ac:dyDescent="0.3">
      <c r="A1239" s="14" t="s">
        <v>4133</v>
      </c>
      <c r="B1239" t="s">
        <v>32</v>
      </c>
      <c r="C1239" t="s">
        <v>316</v>
      </c>
      <c r="D1239">
        <v>1</v>
      </c>
      <c r="E1239" s="7">
        <v>289.85000000000002</v>
      </c>
      <c r="F1239">
        <v>27556956</v>
      </c>
      <c r="J1239" t="s">
        <v>2256</v>
      </c>
      <c r="K1239" t="s">
        <v>3</v>
      </c>
      <c r="L1239" s="2">
        <v>43252</v>
      </c>
      <c r="M1239" s="2">
        <f>DOCXX[[#This Row],[INV DOC DATE]]+30</f>
        <v>43282</v>
      </c>
      <c r="N1239" s="2">
        <v>43290</v>
      </c>
      <c r="O1239" s="7">
        <v>289.85000000000002</v>
      </c>
      <c r="P1239" s="2">
        <v>43299</v>
      </c>
      <c r="Q1239" s="7">
        <f>$E1239-$O1239</f>
        <v>0</v>
      </c>
      <c r="R1239" s="7" t="str">
        <f ca="1">IF(TODAY() - DOCXX[INV DUE DATE]&lt;30, "Less than 30 days",IF(TODAY()-DOCXX[INV DUE DATE]&lt;60,"30-60 days","More than 60 days"))</f>
        <v>Less than 30 days</v>
      </c>
      <c r="S1239" t="s">
        <v>818</v>
      </c>
      <c r="U1239" s="7" t="s">
        <v>3699</v>
      </c>
    </row>
    <row r="1240" spans="1:21" x14ac:dyDescent="0.3">
      <c r="A1240" s="14" t="s">
        <v>4133</v>
      </c>
      <c r="B1240" t="s">
        <v>32</v>
      </c>
      <c r="C1240" t="s">
        <v>317</v>
      </c>
      <c r="D1240">
        <v>1</v>
      </c>
      <c r="E1240" s="7">
        <v>289.85000000000002</v>
      </c>
      <c r="F1240">
        <v>30709832</v>
      </c>
      <c r="J1240" t="s">
        <v>2256</v>
      </c>
      <c r="K1240" t="s">
        <v>3</v>
      </c>
      <c r="L1240" s="2">
        <v>43252</v>
      </c>
      <c r="M1240" s="2">
        <f>DOCXX[[#This Row],[INV DOC DATE]]+30</f>
        <v>43282</v>
      </c>
      <c r="N1240" s="2">
        <v>43290</v>
      </c>
      <c r="O1240" s="7">
        <v>289.85000000000002</v>
      </c>
      <c r="P1240" s="2">
        <v>43299</v>
      </c>
      <c r="Q1240" s="7">
        <f>$E1240-$O1240</f>
        <v>0</v>
      </c>
      <c r="R1240" s="7" t="str">
        <f ca="1">IF(TODAY() - DOCXX[INV DUE DATE]&lt;30, "Less than 30 days",IF(TODAY()-DOCXX[INV DUE DATE]&lt;60,"30-60 days","More than 60 days"))</f>
        <v>Less than 30 days</v>
      </c>
      <c r="S1240" t="s">
        <v>818</v>
      </c>
      <c r="U1240" s="7" t="s">
        <v>3699</v>
      </c>
    </row>
    <row r="1241" spans="1:21" x14ac:dyDescent="0.3">
      <c r="A1241" s="14" t="s">
        <v>4133</v>
      </c>
      <c r="B1241" t="s">
        <v>32</v>
      </c>
      <c r="C1241" t="s">
        <v>318</v>
      </c>
      <c r="D1241">
        <v>1</v>
      </c>
      <c r="E1241" s="7">
        <v>289.85000000000002</v>
      </c>
      <c r="F1241">
        <v>30771122</v>
      </c>
      <c r="J1241" t="s">
        <v>2256</v>
      </c>
      <c r="K1241" t="s">
        <v>3</v>
      </c>
      <c r="L1241" s="2">
        <v>43252</v>
      </c>
      <c r="M1241" s="2">
        <f>DOCXX[[#This Row],[INV DOC DATE]]+30</f>
        <v>43282</v>
      </c>
      <c r="N1241" s="2">
        <v>43290</v>
      </c>
      <c r="O1241" s="7">
        <v>289.85000000000002</v>
      </c>
      <c r="P1241" s="2">
        <v>43299</v>
      </c>
      <c r="Q1241" s="7">
        <f>$E1241-$O1241</f>
        <v>0</v>
      </c>
      <c r="R1241" s="7" t="str">
        <f ca="1">IF(TODAY() - DOCXX[INV DUE DATE]&lt;30, "Less than 30 days",IF(TODAY()-DOCXX[INV DUE DATE]&lt;60,"30-60 days","More than 60 days"))</f>
        <v>Less than 30 days</v>
      </c>
      <c r="S1241" t="s">
        <v>818</v>
      </c>
      <c r="U1241" s="7" t="s">
        <v>3699</v>
      </c>
    </row>
    <row r="1242" spans="1:21" x14ac:dyDescent="0.3">
      <c r="A1242" s="14" t="s">
        <v>4133</v>
      </c>
      <c r="B1242" t="s">
        <v>32</v>
      </c>
      <c r="C1242" t="s">
        <v>319</v>
      </c>
      <c r="D1242">
        <v>1</v>
      </c>
      <c r="E1242" s="7">
        <v>289.85000000000002</v>
      </c>
      <c r="F1242">
        <v>30307894</v>
      </c>
      <c r="J1242" t="s">
        <v>2256</v>
      </c>
      <c r="K1242" t="s">
        <v>3</v>
      </c>
      <c r="L1242" s="2">
        <v>43252</v>
      </c>
      <c r="M1242" s="2">
        <f>DOCXX[[#This Row],[INV DOC DATE]]+30</f>
        <v>43282</v>
      </c>
      <c r="N1242" s="2">
        <v>43290</v>
      </c>
      <c r="O1242" s="7">
        <v>289.85000000000002</v>
      </c>
      <c r="P1242" s="2">
        <v>43299</v>
      </c>
      <c r="Q1242" s="7">
        <f>$E1242-$O1242</f>
        <v>0</v>
      </c>
      <c r="R1242" s="7" t="str">
        <f ca="1">IF(TODAY() - DOCXX[INV DUE DATE]&lt;30, "Less than 30 days",IF(TODAY()-DOCXX[INV DUE DATE]&lt;60,"30-60 days","More than 60 days"))</f>
        <v>Less than 30 days</v>
      </c>
      <c r="S1242" t="s">
        <v>818</v>
      </c>
      <c r="U1242" s="7" t="s">
        <v>3699</v>
      </c>
    </row>
    <row r="1243" spans="1:21" x14ac:dyDescent="0.3">
      <c r="A1243" s="14" t="s">
        <v>4133</v>
      </c>
      <c r="B1243" t="s">
        <v>32</v>
      </c>
      <c r="C1243" t="s">
        <v>320</v>
      </c>
      <c r="D1243">
        <v>1</v>
      </c>
      <c r="E1243" s="7">
        <v>289.85000000000002</v>
      </c>
      <c r="F1243">
        <v>30839527</v>
      </c>
      <c r="J1243" t="s">
        <v>2256</v>
      </c>
      <c r="K1243" t="s">
        <v>3</v>
      </c>
      <c r="L1243" s="2">
        <v>43252</v>
      </c>
      <c r="M1243" s="2">
        <f>DOCXX[[#This Row],[INV DOC DATE]]+30</f>
        <v>43282</v>
      </c>
      <c r="N1243" s="2">
        <v>43290</v>
      </c>
      <c r="O1243" s="7">
        <v>289.85000000000002</v>
      </c>
      <c r="P1243" s="2">
        <v>43299</v>
      </c>
      <c r="Q1243" s="7">
        <f>$E1243-$O1243</f>
        <v>0</v>
      </c>
      <c r="R1243" s="7" t="str">
        <f ca="1">IF(TODAY() - DOCXX[INV DUE DATE]&lt;30, "Less than 30 days",IF(TODAY()-DOCXX[INV DUE DATE]&lt;60,"30-60 days","More than 60 days"))</f>
        <v>Less than 30 days</v>
      </c>
      <c r="S1243" t="s">
        <v>818</v>
      </c>
      <c r="U1243" s="7" t="s">
        <v>3699</v>
      </c>
    </row>
    <row r="1244" spans="1:21" x14ac:dyDescent="0.3">
      <c r="A1244" s="14" t="s">
        <v>4133</v>
      </c>
      <c r="B1244" t="s">
        <v>32</v>
      </c>
      <c r="C1244" t="s">
        <v>321</v>
      </c>
      <c r="D1244">
        <v>1</v>
      </c>
      <c r="E1244" s="7">
        <v>289.85000000000002</v>
      </c>
      <c r="F1244">
        <v>30274933</v>
      </c>
      <c r="J1244" t="s">
        <v>2256</v>
      </c>
      <c r="K1244" t="s">
        <v>3</v>
      </c>
      <c r="L1244" s="2">
        <v>43252</v>
      </c>
      <c r="M1244" s="2">
        <f>DOCXX[[#This Row],[INV DOC DATE]]+30</f>
        <v>43282</v>
      </c>
      <c r="N1244" s="2">
        <v>43290</v>
      </c>
      <c r="O1244" s="7">
        <v>289.85000000000002</v>
      </c>
      <c r="P1244" s="2">
        <v>43299</v>
      </c>
      <c r="Q1244" s="7">
        <f>$E1244-$O1244</f>
        <v>0</v>
      </c>
      <c r="R1244" s="7" t="str">
        <f ca="1">IF(TODAY() - DOCXX[INV DUE DATE]&lt;30, "Less than 30 days",IF(TODAY()-DOCXX[INV DUE DATE]&lt;60,"30-60 days","More than 60 days"))</f>
        <v>Less than 30 days</v>
      </c>
      <c r="S1244" t="s">
        <v>818</v>
      </c>
      <c r="U1244" s="7" t="s">
        <v>3699</v>
      </c>
    </row>
    <row r="1245" spans="1:21" x14ac:dyDescent="0.3">
      <c r="A1245" s="14" t="s">
        <v>4133</v>
      </c>
      <c r="B1245" t="s">
        <v>32</v>
      </c>
      <c r="C1245" t="s">
        <v>322</v>
      </c>
      <c r="D1245">
        <v>1</v>
      </c>
      <c r="E1245" s="7">
        <v>289.85000000000002</v>
      </c>
      <c r="F1245">
        <v>29473856</v>
      </c>
      <c r="J1245" t="s">
        <v>2256</v>
      </c>
      <c r="K1245" t="s">
        <v>3</v>
      </c>
      <c r="L1245" s="2">
        <v>43252</v>
      </c>
      <c r="M1245" s="2">
        <f>DOCXX[[#This Row],[INV DOC DATE]]+30</f>
        <v>43282</v>
      </c>
      <c r="N1245" s="2">
        <v>43290</v>
      </c>
      <c r="O1245" s="7">
        <v>289.85000000000002</v>
      </c>
      <c r="P1245" s="2">
        <v>43299</v>
      </c>
      <c r="Q1245" s="7">
        <f>$E1245-$O1245</f>
        <v>0</v>
      </c>
      <c r="R1245" s="7" t="str">
        <f ca="1">IF(TODAY() - DOCXX[INV DUE DATE]&lt;30, "Less than 30 days",IF(TODAY()-DOCXX[INV DUE DATE]&lt;60,"30-60 days","More than 60 days"))</f>
        <v>Less than 30 days</v>
      </c>
      <c r="S1245" t="s">
        <v>818</v>
      </c>
      <c r="U1245" s="7" t="s">
        <v>3699</v>
      </c>
    </row>
    <row r="1246" spans="1:21" x14ac:dyDescent="0.3">
      <c r="A1246" s="14" t="s">
        <v>4133</v>
      </c>
      <c r="B1246" t="s">
        <v>32</v>
      </c>
      <c r="C1246" t="s">
        <v>323</v>
      </c>
      <c r="D1246">
        <v>1</v>
      </c>
      <c r="E1246" s="7">
        <v>289.85000000000002</v>
      </c>
      <c r="F1246">
        <v>24153269</v>
      </c>
      <c r="J1246" t="s">
        <v>2256</v>
      </c>
      <c r="K1246" t="s">
        <v>3</v>
      </c>
      <c r="L1246" s="2">
        <v>43252</v>
      </c>
      <c r="M1246" s="2">
        <f>DOCXX[[#This Row],[INV DOC DATE]]+30</f>
        <v>43282</v>
      </c>
      <c r="N1246" s="2">
        <v>43290</v>
      </c>
      <c r="O1246" s="7">
        <v>289.85000000000002</v>
      </c>
      <c r="P1246" s="2">
        <v>43299</v>
      </c>
      <c r="Q1246" s="7">
        <f>$E1246-$O1246</f>
        <v>0</v>
      </c>
      <c r="R1246" s="7" t="str">
        <f ca="1">IF(TODAY() - DOCXX[INV DUE DATE]&lt;30, "Less than 30 days",IF(TODAY()-DOCXX[INV DUE DATE]&lt;60,"30-60 days","More than 60 days"))</f>
        <v>Less than 30 days</v>
      </c>
      <c r="S1246" t="s">
        <v>818</v>
      </c>
      <c r="U1246" s="7" t="s">
        <v>3699</v>
      </c>
    </row>
    <row r="1247" spans="1:21" x14ac:dyDescent="0.3">
      <c r="A1247" s="14" t="s">
        <v>4133</v>
      </c>
      <c r="B1247" t="s">
        <v>32</v>
      </c>
      <c r="C1247" t="s">
        <v>324</v>
      </c>
      <c r="D1247">
        <v>1</v>
      </c>
      <c r="E1247" s="7">
        <v>289.85000000000002</v>
      </c>
      <c r="F1247">
        <v>30721205</v>
      </c>
      <c r="J1247" t="s">
        <v>2256</v>
      </c>
      <c r="K1247" t="s">
        <v>3</v>
      </c>
      <c r="L1247" s="2">
        <v>43252</v>
      </c>
      <c r="M1247" s="2">
        <f>DOCXX[[#This Row],[INV DOC DATE]]+30</f>
        <v>43282</v>
      </c>
      <c r="N1247" s="2">
        <v>43290</v>
      </c>
      <c r="O1247" s="7">
        <v>289.85000000000002</v>
      </c>
      <c r="P1247" s="2">
        <v>43299</v>
      </c>
      <c r="Q1247" s="7">
        <f>$E1247-$O1247</f>
        <v>0</v>
      </c>
      <c r="R1247" s="7" t="str">
        <f ca="1">IF(TODAY() - DOCXX[INV DUE DATE]&lt;30, "Less than 30 days",IF(TODAY()-DOCXX[INV DUE DATE]&lt;60,"30-60 days","More than 60 days"))</f>
        <v>Less than 30 days</v>
      </c>
      <c r="S1247" t="s">
        <v>818</v>
      </c>
      <c r="U1247" s="7" t="s">
        <v>3699</v>
      </c>
    </row>
    <row r="1248" spans="1:21" x14ac:dyDescent="0.3">
      <c r="A1248" s="14" t="s">
        <v>4133</v>
      </c>
      <c r="B1248" t="s">
        <v>32</v>
      </c>
      <c r="C1248" t="s">
        <v>325</v>
      </c>
      <c r="D1248">
        <v>1</v>
      </c>
      <c r="E1248" s="7">
        <v>289.85000000000002</v>
      </c>
      <c r="F1248">
        <v>30788066</v>
      </c>
      <c r="J1248" t="s">
        <v>2256</v>
      </c>
      <c r="K1248" t="s">
        <v>3</v>
      </c>
      <c r="L1248" s="2">
        <v>43252</v>
      </c>
      <c r="M1248" s="2">
        <f>DOCXX[[#This Row],[INV DOC DATE]]+30</f>
        <v>43282</v>
      </c>
      <c r="N1248" s="2">
        <v>43290</v>
      </c>
      <c r="O1248" s="7">
        <v>289.85000000000002</v>
      </c>
      <c r="P1248" s="2">
        <v>43299</v>
      </c>
      <c r="Q1248" s="7">
        <f>$E1248-$O1248</f>
        <v>0</v>
      </c>
      <c r="R1248" s="7" t="str">
        <f ca="1">IF(TODAY() - DOCXX[INV DUE DATE]&lt;30, "Less than 30 days",IF(TODAY()-DOCXX[INV DUE DATE]&lt;60,"30-60 days","More than 60 days"))</f>
        <v>Less than 30 days</v>
      </c>
      <c r="S1248" t="s">
        <v>818</v>
      </c>
      <c r="U1248" s="7" t="s">
        <v>3699</v>
      </c>
    </row>
    <row r="1249" spans="1:21" x14ac:dyDescent="0.3">
      <c r="A1249" s="14" t="s">
        <v>4133</v>
      </c>
      <c r="B1249" t="s">
        <v>32</v>
      </c>
      <c r="C1249" t="s">
        <v>326</v>
      </c>
      <c r="D1249">
        <v>1</v>
      </c>
      <c r="E1249" s="7">
        <v>168.3</v>
      </c>
      <c r="F1249">
        <v>31519882</v>
      </c>
      <c r="J1249" t="s">
        <v>2256</v>
      </c>
      <c r="K1249" t="s">
        <v>3</v>
      </c>
      <c r="L1249" s="2">
        <v>43252</v>
      </c>
      <c r="M1249" s="2">
        <f>DOCXX[[#This Row],[INV DOC DATE]]+30</f>
        <v>43282</v>
      </c>
      <c r="N1249" s="2">
        <v>43290</v>
      </c>
      <c r="O1249" s="7">
        <v>168.3</v>
      </c>
      <c r="P1249" s="2">
        <v>43299</v>
      </c>
      <c r="Q1249" s="7">
        <f>$E1249-$O1249</f>
        <v>0</v>
      </c>
      <c r="R1249" s="7" t="str">
        <f ca="1">IF(TODAY() - DOCXX[INV DUE DATE]&lt;30, "Less than 30 days",IF(TODAY()-DOCXX[INV DUE DATE]&lt;60,"30-60 days","More than 60 days"))</f>
        <v>Less than 30 days</v>
      </c>
      <c r="S1249" t="s">
        <v>818</v>
      </c>
      <c r="U1249" s="7" t="s">
        <v>3699</v>
      </c>
    </row>
    <row r="1250" spans="1:21" x14ac:dyDescent="0.3">
      <c r="A1250" s="14" t="s">
        <v>4133</v>
      </c>
      <c r="B1250" t="s">
        <v>32</v>
      </c>
      <c r="C1250" t="s">
        <v>327</v>
      </c>
      <c r="D1250">
        <v>1</v>
      </c>
      <c r="E1250" s="7">
        <v>289.85000000000002</v>
      </c>
      <c r="F1250">
        <v>31473966</v>
      </c>
      <c r="J1250" t="s">
        <v>2256</v>
      </c>
      <c r="K1250" t="s">
        <v>3</v>
      </c>
      <c r="L1250" s="2">
        <v>43252</v>
      </c>
      <c r="M1250" s="2">
        <f>DOCXX[[#This Row],[INV DOC DATE]]+30</f>
        <v>43282</v>
      </c>
      <c r="N1250" s="2">
        <v>43290</v>
      </c>
      <c r="O1250" s="7">
        <v>289.85000000000002</v>
      </c>
      <c r="P1250" s="2">
        <v>43299</v>
      </c>
      <c r="Q1250" s="7">
        <f>$E1250-$O1250</f>
        <v>0</v>
      </c>
      <c r="R1250" s="7" t="str">
        <f ca="1">IF(TODAY() - DOCXX[INV DUE DATE]&lt;30, "Less than 30 days",IF(TODAY()-DOCXX[INV DUE DATE]&lt;60,"30-60 days","More than 60 days"))</f>
        <v>Less than 30 days</v>
      </c>
      <c r="S1250" t="s">
        <v>818</v>
      </c>
      <c r="U1250" s="7" t="s">
        <v>3699</v>
      </c>
    </row>
    <row r="1251" spans="1:21" x14ac:dyDescent="0.3">
      <c r="A1251" s="14" t="s">
        <v>4133</v>
      </c>
      <c r="B1251" t="s">
        <v>30</v>
      </c>
      <c r="C1251" t="s">
        <v>6</v>
      </c>
      <c r="D1251">
        <v>1</v>
      </c>
      <c r="E1251" s="7">
        <v>13289.8</v>
      </c>
      <c r="H1251">
        <v>1274</v>
      </c>
      <c r="I1251" t="s">
        <v>350</v>
      </c>
      <c r="J1251" t="s">
        <v>2247</v>
      </c>
      <c r="K1251" t="s">
        <v>3</v>
      </c>
      <c r="L1251" s="2">
        <v>43252</v>
      </c>
      <c r="M1251" s="2">
        <f>DOCXX[[#This Row],[INV DOC DATE]]+30</f>
        <v>43282</v>
      </c>
      <c r="N1251" s="2">
        <v>43290</v>
      </c>
      <c r="O1251" s="7">
        <v>13289.8</v>
      </c>
      <c r="P1251" s="2">
        <v>43299</v>
      </c>
      <c r="Q1251" s="7">
        <f>$E1251-$O1251</f>
        <v>0</v>
      </c>
      <c r="R1251" s="7" t="str">
        <f ca="1">IF(TODAY() - DOCXX[INV DUE DATE]&lt;30, "Less than 30 days",IF(TODAY()-DOCXX[INV DUE DATE]&lt;60,"30-60 days","More than 60 days"))</f>
        <v>Less than 30 days</v>
      </c>
      <c r="S1251" t="s">
        <v>818</v>
      </c>
      <c r="U1251" s="7" t="s">
        <v>3699</v>
      </c>
    </row>
    <row r="1252" spans="1:21" x14ac:dyDescent="0.3">
      <c r="A1252" s="14" t="s">
        <v>4133</v>
      </c>
      <c r="B1252" t="s">
        <v>30</v>
      </c>
      <c r="C1252" t="s">
        <v>7</v>
      </c>
      <c r="D1252">
        <v>1</v>
      </c>
      <c r="E1252" s="7">
        <v>11729.44</v>
      </c>
      <c r="H1252">
        <v>1273</v>
      </c>
      <c r="I1252" t="s">
        <v>350</v>
      </c>
      <c r="J1252" t="s">
        <v>2247</v>
      </c>
      <c r="K1252" t="s">
        <v>3</v>
      </c>
      <c r="L1252" s="2">
        <v>43252</v>
      </c>
      <c r="M1252" s="2">
        <f>DOCXX[[#This Row],[INV DOC DATE]]+30</f>
        <v>43282</v>
      </c>
      <c r="N1252" s="2">
        <v>43290</v>
      </c>
      <c r="O1252" s="7">
        <v>11729.44</v>
      </c>
      <c r="P1252" s="2">
        <v>43299</v>
      </c>
      <c r="Q1252" s="7">
        <f>$E1252-$O1252</f>
        <v>0</v>
      </c>
      <c r="R1252" s="7" t="str">
        <f ca="1">IF(TODAY() - DOCXX[INV DUE DATE]&lt;30, "Less than 30 days",IF(TODAY()-DOCXX[INV DUE DATE]&lt;60,"30-60 days","More than 60 days"))</f>
        <v>Less than 30 days</v>
      </c>
      <c r="S1252" t="s">
        <v>818</v>
      </c>
      <c r="U1252" s="7" t="s">
        <v>3699</v>
      </c>
    </row>
    <row r="1253" spans="1:21" x14ac:dyDescent="0.3">
      <c r="A1253" s="14" t="s">
        <v>4133</v>
      </c>
      <c r="B1253" t="s">
        <v>30</v>
      </c>
      <c r="C1253" t="s">
        <v>8</v>
      </c>
      <c r="D1253">
        <v>1</v>
      </c>
      <c r="E1253" s="7">
        <v>11293.24</v>
      </c>
      <c r="H1253">
        <v>58008</v>
      </c>
      <c r="I1253" t="s">
        <v>355</v>
      </c>
      <c r="J1253" t="s">
        <v>2247</v>
      </c>
      <c r="K1253" t="s">
        <v>3</v>
      </c>
      <c r="L1253" s="2">
        <v>43252</v>
      </c>
      <c r="M1253" s="2">
        <f>DOCXX[[#This Row],[INV DOC DATE]]+30</f>
        <v>43282</v>
      </c>
      <c r="N1253" s="2">
        <v>43290</v>
      </c>
      <c r="O1253" s="7">
        <v>11293.24</v>
      </c>
      <c r="P1253" s="2">
        <v>43299</v>
      </c>
      <c r="Q1253" s="7">
        <f>$E1253-$O1253</f>
        <v>0</v>
      </c>
      <c r="R1253" s="7" t="str">
        <f ca="1">IF(TODAY() - DOCXX[INV DUE DATE]&lt;30, "Less than 30 days",IF(TODAY()-DOCXX[INV DUE DATE]&lt;60,"30-60 days","More than 60 days"))</f>
        <v>Less than 30 days</v>
      </c>
      <c r="S1253" t="s">
        <v>818</v>
      </c>
      <c r="U1253" s="7" t="s">
        <v>3699</v>
      </c>
    </row>
    <row r="1254" spans="1:21" x14ac:dyDescent="0.3">
      <c r="A1254" s="14" t="s">
        <v>4133</v>
      </c>
      <c r="B1254" t="s">
        <v>30</v>
      </c>
      <c r="C1254" t="s">
        <v>9</v>
      </c>
      <c r="D1254">
        <v>1</v>
      </c>
      <c r="E1254" s="7">
        <v>6195.57</v>
      </c>
      <c r="H1254">
        <v>66660</v>
      </c>
      <c r="I1254" t="s">
        <v>357</v>
      </c>
      <c r="J1254" t="s">
        <v>2247</v>
      </c>
      <c r="K1254" t="s">
        <v>3</v>
      </c>
      <c r="L1254" s="2">
        <v>43252</v>
      </c>
      <c r="M1254" s="2">
        <f>DOCXX[[#This Row],[INV DOC DATE]]+30</f>
        <v>43282</v>
      </c>
      <c r="N1254" s="2">
        <v>43290</v>
      </c>
      <c r="O1254" s="7">
        <v>6195.57</v>
      </c>
      <c r="P1254" s="2">
        <v>43299</v>
      </c>
      <c r="Q1254" s="7">
        <f>$E1254-$O1254</f>
        <v>0</v>
      </c>
      <c r="R1254" s="7" t="str">
        <f ca="1">IF(TODAY() - DOCXX[INV DUE DATE]&lt;30, "Less than 30 days",IF(TODAY()-DOCXX[INV DUE DATE]&lt;60,"30-60 days","More than 60 days"))</f>
        <v>Less than 30 days</v>
      </c>
      <c r="S1254" t="s">
        <v>818</v>
      </c>
      <c r="U1254" s="7" t="s">
        <v>3699</v>
      </c>
    </row>
    <row r="1255" spans="1:21" x14ac:dyDescent="0.3">
      <c r="A1255" s="14" t="s">
        <v>4133</v>
      </c>
      <c r="B1255" t="s">
        <v>30</v>
      </c>
      <c r="C1255" t="s">
        <v>10</v>
      </c>
      <c r="D1255">
        <v>1</v>
      </c>
      <c r="E1255" s="7">
        <v>5318.53</v>
      </c>
      <c r="H1255">
        <v>97900</v>
      </c>
      <c r="I1255" t="s">
        <v>350</v>
      </c>
      <c r="J1255" t="s">
        <v>2247</v>
      </c>
      <c r="K1255" t="s">
        <v>3</v>
      </c>
      <c r="L1255" s="2">
        <v>43252</v>
      </c>
      <c r="M1255" s="2">
        <f>DOCXX[[#This Row],[INV DOC DATE]]+30</f>
        <v>43282</v>
      </c>
      <c r="N1255" s="2">
        <v>43290</v>
      </c>
      <c r="O1255" s="7">
        <v>5318.53</v>
      </c>
      <c r="P1255" s="2">
        <v>43299</v>
      </c>
      <c r="Q1255" s="7">
        <f>$E1255-$O1255</f>
        <v>0</v>
      </c>
      <c r="R1255" s="7" t="str">
        <f ca="1">IF(TODAY() - DOCXX[INV DUE DATE]&lt;30, "Less than 30 days",IF(TODAY()-DOCXX[INV DUE DATE]&lt;60,"30-60 days","More than 60 days"))</f>
        <v>Less than 30 days</v>
      </c>
      <c r="S1255" t="s">
        <v>818</v>
      </c>
      <c r="U1255" s="7" t="s">
        <v>3699</v>
      </c>
    </row>
    <row r="1256" spans="1:21" x14ac:dyDescent="0.3">
      <c r="A1256" s="14" t="s">
        <v>4133</v>
      </c>
      <c r="B1256" t="s">
        <v>30</v>
      </c>
      <c r="C1256" t="s">
        <v>11</v>
      </c>
      <c r="D1256">
        <v>1</v>
      </c>
      <c r="E1256" s="7">
        <v>3572.51</v>
      </c>
      <c r="H1256">
        <v>66665</v>
      </c>
      <c r="I1256" t="s">
        <v>2248</v>
      </c>
      <c r="J1256" t="s">
        <v>2247</v>
      </c>
      <c r="K1256" t="s">
        <v>3</v>
      </c>
      <c r="L1256" s="2">
        <v>43252</v>
      </c>
      <c r="M1256" s="2">
        <f>DOCXX[[#This Row],[INV DOC DATE]]+30</f>
        <v>43282</v>
      </c>
      <c r="N1256" s="2">
        <v>43290</v>
      </c>
      <c r="O1256" s="7">
        <v>3572.51</v>
      </c>
      <c r="P1256" s="2">
        <v>43299</v>
      </c>
      <c r="Q1256" s="7">
        <f>$E1256-$O1256</f>
        <v>0</v>
      </c>
      <c r="R1256" s="7" t="str">
        <f ca="1">IF(TODAY() - DOCXX[INV DUE DATE]&lt;30, "Less than 30 days",IF(TODAY()-DOCXX[INV DUE DATE]&lt;60,"30-60 days","More than 60 days"))</f>
        <v>Less than 30 days</v>
      </c>
      <c r="S1256" t="s">
        <v>818</v>
      </c>
      <c r="U1256" s="7" t="s">
        <v>3699</v>
      </c>
    </row>
    <row r="1257" spans="1:21" x14ac:dyDescent="0.3">
      <c r="A1257" s="14" t="s">
        <v>4133</v>
      </c>
      <c r="B1257" t="s">
        <v>30</v>
      </c>
      <c r="C1257" t="s">
        <v>12</v>
      </c>
      <c r="D1257">
        <v>1</v>
      </c>
      <c r="E1257" s="7">
        <v>3564.46</v>
      </c>
      <c r="H1257">
        <v>167840</v>
      </c>
      <c r="I1257" t="s">
        <v>2249</v>
      </c>
      <c r="J1257" t="s">
        <v>2247</v>
      </c>
      <c r="K1257" t="s">
        <v>3</v>
      </c>
      <c r="L1257" s="2">
        <v>43252</v>
      </c>
      <c r="M1257" s="2">
        <f>DOCXX[[#This Row],[INV DOC DATE]]+30</f>
        <v>43282</v>
      </c>
      <c r="N1257" s="2">
        <v>43290</v>
      </c>
      <c r="O1257" s="7">
        <v>3564.46</v>
      </c>
      <c r="P1257" s="2">
        <v>43299</v>
      </c>
      <c r="Q1257" s="7">
        <f>$E1257-$O1257</f>
        <v>0</v>
      </c>
      <c r="R1257" s="7" t="str">
        <f ca="1">IF(TODAY() - DOCXX[INV DUE DATE]&lt;30, "Less than 30 days",IF(TODAY()-DOCXX[INV DUE DATE]&lt;60,"30-60 days","More than 60 days"))</f>
        <v>Less than 30 days</v>
      </c>
      <c r="S1257" t="s">
        <v>818</v>
      </c>
      <c r="U1257" s="7" t="s">
        <v>3699</v>
      </c>
    </row>
    <row r="1258" spans="1:21" x14ac:dyDescent="0.3">
      <c r="A1258" s="14" t="s">
        <v>4133</v>
      </c>
      <c r="B1258" t="s">
        <v>30</v>
      </c>
      <c r="C1258" t="s">
        <v>13</v>
      </c>
      <c r="D1258">
        <v>1</v>
      </c>
      <c r="E1258" s="7">
        <v>3065.6</v>
      </c>
      <c r="H1258">
        <v>68162</v>
      </c>
      <c r="I1258" t="s">
        <v>358</v>
      </c>
      <c r="J1258" t="s">
        <v>2247</v>
      </c>
      <c r="K1258" t="s">
        <v>3</v>
      </c>
      <c r="L1258" s="2">
        <v>43252</v>
      </c>
      <c r="M1258" s="2">
        <f>DOCXX[[#This Row],[INV DOC DATE]]+30</f>
        <v>43282</v>
      </c>
      <c r="N1258" s="2">
        <v>43290</v>
      </c>
      <c r="O1258" s="7">
        <v>3065.6</v>
      </c>
      <c r="P1258" s="2">
        <v>43299</v>
      </c>
      <c r="Q1258" s="7">
        <f>$E1258-$O1258</f>
        <v>0</v>
      </c>
      <c r="R1258" s="7" t="str">
        <f ca="1">IF(TODAY() - DOCXX[INV DUE DATE]&lt;30, "Less than 30 days",IF(TODAY()-DOCXX[INV DUE DATE]&lt;60,"30-60 days","More than 60 days"))</f>
        <v>Less than 30 days</v>
      </c>
      <c r="S1258" t="s">
        <v>818</v>
      </c>
      <c r="U1258" s="7" t="s">
        <v>3699</v>
      </c>
    </row>
    <row r="1259" spans="1:21" x14ac:dyDescent="0.3">
      <c r="A1259" s="14" t="s">
        <v>4133</v>
      </c>
      <c r="B1259" t="s">
        <v>30</v>
      </c>
      <c r="C1259" t="s">
        <v>14</v>
      </c>
      <c r="D1259">
        <v>1</v>
      </c>
      <c r="E1259" s="7">
        <v>2767.89</v>
      </c>
      <c r="H1259">
        <v>55785</v>
      </c>
      <c r="I1259" t="s">
        <v>354</v>
      </c>
      <c r="J1259" t="s">
        <v>2247</v>
      </c>
      <c r="K1259" t="s">
        <v>3</v>
      </c>
      <c r="L1259" s="2">
        <v>43252</v>
      </c>
      <c r="M1259" s="2">
        <f>DOCXX[[#This Row],[INV DOC DATE]]+30</f>
        <v>43282</v>
      </c>
      <c r="N1259" s="2">
        <v>43290</v>
      </c>
      <c r="O1259" s="7">
        <v>2767.89</v>
      </c>
      <c r="P1259" s="2">
        <v>43299</v>
      </c>
      <c r="Q1259" s="7">
        <f>$E1259-$O1259</f>
        <v>0</v>
      </c>
      <c r="R1259" s="7" t="str">
        <f ca="1">IF(TODAY() - DOCXX[INV DUE DATE]&lt;30, "Less than 30 days",IF(TODAY()-DOCXX[INV DUE DATE]&lt;60,"30-60 days","More than 60 days"))</f>
        <v>Less than 30 days</v>
      </c>
      <c r="S1259" t="s">
        <v>818</v>
      </c>
      <c r="U1259" s="7" t="s">
        <v>3699</v>
      </c>
    </row>
    <row r="1260" spans="1:21" x14ac:dyDescent="0.3">
      <c r="A1260" s="14" t="s">
        <v>4133</v>
      </c>
      <c r="B1260" t="s">
        <v>30</v>
      </c>
      <c r="C1260" t="s">
        <v>15</v>
      </c>
      <c r="D1260">
        <v>1</v>
      </c>
      <c r="E1260" s="7">
        <v>2494.3200000000002</v>
      </c>
      <c r="H1260">
        <v>82624</v>
      </c>
      <c r="I1260" t="s">
        <v>853</v>
      </c>
      <c r="J1260" t="s">
        <v>2247</v>
      </c>
      <c r="K1260" t="s">
        <v>3</v>
      </c>
      <c r="L1260" s="2">
        <v>43252</v>
      </c>
      <c r="M1260" s="2">
        <f>DOCXX[[#This Row],[INV DOC DATE]]+30</f>
        <v>43282</v>
      </c>
      <c r="N1260" s="2">
        <v>43290</v>
      </c>
      <c r="O1260" s="7">
        <v>2494.3200000000002</v>
      </c>
      <c r="P1260" s="2">
        <v>43299</v>
      </c>
      <c r="Q1260" s="7">
        <f>$E1260-$O1260</f>
        <v>0</v>
      </c>
      <c r="R1260" s="7" t="str">
        <f ca="1">IF(TODAY() - DOCXX[INV DUE DATE]&lt;30, "Less than 30 days",IF(TODAY()-DOCXX[INV DUE DATE]&lt;60,"30-60 days","More than 60 days"))</f>
        <v>Less than 30 days</v>
      </c>
      <c r="S1260" t="s">
        <v>818</v>
      </c>
      <c r="U1260" s="7" t="s">
        <v>3699</v>
      </c>
    </row>
    <row r="1261" spans="1:21" x14ac:dyDescent="0.3">
      <c r="A1261" s="14" t="s">
        <v>4133</v>
      </c>
      <c r="B1261" t="s">
        <v>30</v>
      </c>
      <c r="C1261" t="s">
        <v>16</v>
      </c>
      <c r="D1261">
        <v>1</v>
      </c>
      <c r="E1261" s="7">
        <v>2397.77</v>
      </c>
      <c r="H1261">
        <v>67904</v>
      </c>
      <c r="I1261" t="s">
        <v>853</v>
      </c>
      <c r="J1261" t="s">
        <v>2247</v>
      </c>
      <c r="K1261" t="s">
        <v>3</v>
      </c>
      <c r="L1261" s="2">
        <v>43252</v>
      </c>
      <c r="M1261" s="2">
        <f>DOCXX[[#This Row],[INV DOC DATE]]+30</f>
        <v>43282</v>
      </c>
      <c r="N1261" s="2">
        <v>43290</v>
      </c>
      <c r="O1261" s="7">
        <v>2397.77</v>
      </c>
      <c r="P1261" s="2">
        <v>43299</v>
      </c>
      <c r="Q1261" s="7">
        <f>$E1261-$O1261</f>
        <v>0</v>
      </c>
      <c r="R1261" s="7" t="str">
        <f ca="1">IF(TODAY() - DOCXX[INV DUE DATE]&lt;30, "Less than 30 days",IF(TODAY()-DOCXX[INV DUE DATE]&lt;60,"30-60 days","More than 60 days"))</f>
        <v>Less than 30 days</v>
      </c>
      <c r="S1261" t="s">
        <v>818</v>
      </c>
      <c r="U1261" s="7" t="s">
        <v>3699</v>
      </c>
    </row>
    <row r="1262" spans="1:21" x14ac:dyDescent="0.3">
      <c r="A1262" s="14" t="s">
        <v>4133</v>
      </c>
      <c r="B1262" t="s">
        <v>30</v>
      </c>
      <c r="C1262" t="s">
        <v>17</v>
      </c>
      <c r="D1262">
        <v>1</v>
      </c>
      <c r="E1262" s="7">
        <v>2196.61</v>
      </c>
      <c r="H1262">
        <v>66652</v>
      </c>
      <c r="I1262" t="s">
        <v>356</v>
      </c>
      <c r="J1262" t="s">
        <v>2247</v>
      </c>
      <c r="K1262" t="s">
        <v>3</v>
      </c>
      <c r="L1262" s="2">
        <v>43252</v>
      </c>
      <c r="M1262" s="2">
        <f>DOCXX[[#This Row],[INV DOC DATE]]+30</f>
        <v>43282</v>
      </c>
      <c r="N1262" s="2">
        <v>43290</v>
      </c>
      <c r="O1262" s="7">
        <v>2196.61</v>
      </c>
      <c r="P1262" s="2">
        <v>43299</v>
      </c>
      <c r="Q1262" s="7">
        <f>$E1262-$O1262</f>
        <v>0</v>
      </c>
      <c r="R1262" s="7" t="str">
        <f ca="1">IF(TODAY() - DOCXX[INV DUE DATE]&lt;30, "Less than 30 days",IF(TODAY()-DOCXX[INV DUE DATE]&lt;60,"30-60 days","More than 60 days"))</f>
        <v>Less than 30 days</v>
      </c>
      <c r="S1262" t="s">
        <v>818</v>
      </c>
      <c r="U1262" s="7" t="s">
        <v>3699</v>
      </c>
    </row>
    <row r="1263" spans="1:21" x14ac:dyDescent="0.3">
      <c r="A1263" s="14" t="s">
        <v>4133</v>
      </c>
      <c r="B1263" t="s">
        <v>30</v>
      </c>
      <c r="C1263" t="s">
        <v>18</v>
      </c>
      <c r="D1263">
        <v>1</v>
      </c>
      <c r="E1263" s="7">
        <v>2188.5700000000002</v>
      </c>
      <c r="H1263">
        <v>1204</v>
      </c>
      <c r="I1263" t="s">
        <v>2250</v>
      </c>
      <c r="J1263" t="s">
        <v>2247</v>
      </c>
      <c r="K1263" t="s">
        <v>3</v>
      </c>
      <c r="L1263" s="2">
        <v>43252</v>
      </c>
      <c r="M1263" s="2">
        <f>DOCXX[[#This Row],[INV DOC DATE]]+30</f>
        <v>43282</v>
      </c>
      <c r="N1263" s="2">
        <v>43290</v>
      </c>
      <c r="O1263" s="7">
        <v>2188.5700000000002</v>
      </c>
      <c r="P1263" s="2">
        <v>43299</v>
      </c>
      <c r="Q1263" s="7">
        <f>$E1263-$O1263</f>
        <v>0</v>
      </c>
      <c r="R1263" s="7" t="str">
        <f ca="1">IF(TODAY() - DOCXX[INV DUE DATE]&lt;30, "Less than 30 days",IF(TODAY()-DOCXX[INV DUE DATE]&lt;60,"30-60 days","More than 60 days"))</f>
        <v>Less than 30 days</v>
      </c>
      <c r="S1263" t="s">
        <v>818</v>
      </c>
      <c r="U1263" s="7" t="s">
        <v>3699</v>
      </c>
    </row>
    <row r="1264" spans="1:21" x14ac:dyDescent="0.3">
      <c r="A1264" s="14" t="s">
        <v>4133</v>
      </c>
      <c r="B1264" t="s">
        <v>30</v>
      </c>
      <c r="C1264" t="s">
        <v>19</v>
      </c>
      <c r="D1264">
        <v>1</v>
      </c>
      <c r="E1264" s="7">
        <v>1971.32</v>
      </c>
      <c r="H1264">
        <v>75797</v>
      </c>
      <c r="I1264" t="s">
        <v>859</v>
      </c>
      <c r="J1264" t="s">
        <v>2247</v>
      </c>
      <c r="K1264" t="s">
        <v>3</v>
      </c>
      <c r="L1264" s="2">
        <v>43252</v>
      </c>
      <c r="M1264" s="2">
        <f>DOCXX[[#This Row],[INV DOC DATE]]+30</f>
        <v>43282</v>
      </c>
      <c r="N1264" s="2">
        <v>43290</v>
      </c>
      <c r="O1264" s="7">
        <v>1971.32</v>
      </c>
      <c r="P1264" s="2">
        <v>43299</v>
      </c>
      <c r="Q1264" s="7">
        <f>$E1264-$O1264</f>
        <v>0</v>
      </c>
      <c r="R1264" s="7" t="str">
        <f ca="1">IF(TODAY() - DOCXX[INV DUE DATE]&lt;30, "Less than 30 days",IF(TODAY()-DOCXX[INV DUE DATE]&lt;60,"30-60 days","More than 60 days"))</f>
        <v>Less than 30 days</v>
      </c>
      <c r="S1264" t="s">
        <v>818</v>
      </c>
      <c r="U1264" s="7" t="s">
        <v>3699</v>
      </c>
    </row>
    <row r="1265" spans="1:21" x14ac:dyDescent="0.3">
      <c r="A1265" s="14" t="s">
        <v>4133</v>
      </c>
      <c r="B1265" t="s">
        <v>30</v>
      </c>
      <c r="C1265" t="s">
        <v>20</v>
      </c>
      <c r="D1265">
        <v>1</v>
      </c>
      <c r="E1265" s="7">
        <v>1866.72</v>
      </c>
      <c r="H1265">
        <v>55609</v>
      </c>
      <c r="I1265" t="s">
        <v>349</v>
      </c>
      <c r="J1265" t="s">
        <v>2247</v>
      </c>
      <c r="K1265" t="s">
        <v>3</v>
      </c>
      <c r="L1265" s="2">
        <v>43252</v>
      </c>
      <c r="M1265" s="2">
        <f>DOCXX[[#This Row],[INV DOC DATE]]+30</f>
        <v>43282</v>
      </c>
      <c r="N1265" s="2">
        <v>43290</v>
      </c>
      <c r="O1265" s="7">
        <v>1866.72</v>
      </c>
      <c r="P1265" s="2">
        <v>43299</v>
      </c>
      <c r="Q1265" s="7">
        <f>$E1265-$O1265</f>
        <v>0</v>
      </c>
      <c r="R1265" s="7" t="str">
        <f ca="1">IF(TODAY() - DOCXX[INV DUE DATE]&lt;30, "Less than 30 days",IF(TODAY()-DOCXX[INV DUE DATE]&lt;60,"30-60 days","More than 60 days"))</f>
        <v>Less than 30 days</v>
      </c>
      <c r="S1265" t="s">
        <v>818</v>
      </c>
      <c r="U1265" s="7" t="s">
        <v>3699</v>
      </c>
    </row>
    <row r="1266" spans="1:21" x14ac:dyDescent="0.3">
      <c r="A1266" s="14" t="s">
        <v>4133</v>
      </c>
      <c r="B1266" t="s">
        <v>30</v>
      </c>
      <c r="C1266" t="s">
        <v>21</v>
      </c>
      <c r="D1266">
        <v>1</v>
      </c>
      <c r="E1266" s="7">
        <v>1601.19</v>
      </c>
      <c r="H1266">
        <v>1356</v>
      </c>
      <c r="I1266" t="s">
        <v>2251</v>
      </c>
      <c r="J1266" t="s">
        <v>2247</v>
      </c>
      <c r="K1266" t="s">
        <v>3</v>
      </c>
      <c r="L1266" s="2">
        <v>43252</v>
      </c>
      <c r="M1266" s="2">
        <f>DOCXX[[#This Row],[INV DOC DATE]]+30</f>
        <v>43282</v>
      </c>
      <c r="N1266" s="2">
        <v>43290</v>
      </c>
      <c r="O1266" s="7">
        <v>1601.19</v>
      </c>
      <c r="P1266" s="2">
        <v>43299</v>
      </c>
      <c r="Q1266" s="7">
        <f>$E1266-$O1266</f>
        <v>0</v>
      </c>
      <c r="R1266" s="7" t="str">
        <f ca="1">IF(TODAY() - DOCXX[INV DUE DATE]&lt;30, "Less than 30 days",IF(TODAY()-DOCXX[INV DUE DATE]&lt;60,"30-60 days","More than 60 days"))</f>
        <v>Less than 30 days</v>
      </c>
      <c r="S1266" t="s">
        <v>818</v>
      </c>
      <c r="U1266" s="7" t="s">
        <v>3699</v>
      </c>
    </row>
    <row r="1267" spans="1:21" x14ac:dyDescent="0.3">
      <c r="A1267" s="14" t="s">
        <v>4133</v>
      </c>
      <c r="B1267" t="s">
        <v>30</v>
      </c>
      <c r="C1267" t="s">
        <v>22</v>
      </c>
      <c r="D1267">
        <v>1</v>
      </c>
      <c r="E1267" s="7">
        <v>1528.78</v>
      </c>
      <c r="H1267">
        <v>68260</v>
      </c>
      <c r="I1267" t="s">
        <v>2252</v>
      </c>
      <c r="J1267" t="s">
        <v>2247</v>
      </c>
      <c r="K1267" t="s">
        <v>3</v>
      </c>
      <c r="L1267" s="2">
        <v>43252</v>
      </c>
      <c r="M1267" s="2">
        <f>DOCXX[[#This Row],[INV DOC DATE]]+30</f>
        <v>43282</v>
      </c>
      <c r="N1267" s="2">
        <v>43290</v>
      </c>
      <c r="O1267" s="7">
        <v>1528.78</v>
      </c>
      <c r="P1267" s="2">
        <v>43299</v>
      </c>
      <c r="Q1267" s="7">
        <f>$E1267-$O1267</f>
        <v>0</v>
      </c>
      <c r="R1267" s="7" t="str">
        <f ca="1">IF(TODAY() - DOCXX[INV DUE DATE]&lt;30, "Less than 30 days",IF(TODAY()-DOCXX[INV DUE DATE]&lt;60,"30-60 days","More than 60 days"))</f>
        <v>Less than 30 days</v>
      </c>
      <c r="S1267" t="s">
        <v>818</v>
      </c>
      <c r="U1267" s="7" t="s">
        <v>3699</v>
      </c>
    </row>
    <row r="1268" spans="1:21" x14ac:dyDescent="0.3">
      <c r="A1268" s="14" t="s">
        <v>4133</v>
      </c>
      <c r="B1268" t="s">
        <v>30</v>
      </c>
      <c r="C1268" t="s">
        <v>23</v>
      </c>
      <c r="D1268">
        <v>1</v>
      </c>
      <c r="E1268" s="7">
        <v>1005.77</v>
      </c>
      <c r="H1268">
        <v>82294</v>
      </c>
      <c r="I1268" t="s">
        <v>853</v>
      </c>
      <c r="J1268" t="s">
        <v>2247</v>
      </c>
      <c r="K1268" t="s">
        <v>3</v>
      </c>
      <c r="L1268" s="2">
        <v>43252</v>
      </c>
      <c r="M1268" s="2">
        <f>DOCXX[[#This Row],[INV DOC DATE]]+30</f>
        <v>43282</v>
      </c>
      <c r="N1268" s="2">
        <v>43290</v>
      </c>
      <c r="O1268" s="7">
        <v>1005.77</v>
      </c>
      <c r="P1268" s="2">
        <v>43299</v>
      </c>
      <c r="Q1268" s="7">
        <f>$E1268-$O1268</f>
        <v>0</v>
      </c>
      <c r="R1268" s="7" t="str">
        <f ca="1">IF(TODAY() - DOCXX[INV DUE DATE]&lt;30, "Less than 30 days",IF(TODAY()-DOCXX[INV DUE DATE]&lt;60,"30-60 days","More than 60 days"))</f>
        <v>Less than 30 days</v>
      </c>
      <c r="S1268" t="s">
        <v>818</v>
      </c>
      <c r="U1268" s="7" t="s">
        <v>3699</v>
      </c>
    </row>
    <row r="1269" spans="1:21" x14ac:dyDescent="0.3">
      <c r="A1269" s="14" t="s">
        <v>4133</v>
      </c>
      <c r="B1269" t="s">
        <v>30</v>
      </c>
      <c r="C1269" t="s">
        <v>24</v>
      </c>
      <c r="D1269">
        <v>1</v>
      </c>
      <c r="E1269" s="7">
        <v>804.62</v>
      </c>
      <c r="H1269">
        <v>68235</v>
      </c>
      <c r="I1269" t="s">
        <v>2253</v>
      </c>
      <c r="J1269" t="s">
        <v>2247</v>
      </c>
      <c r="K1269" t="s">
        <v>3</v>
      </c>
      <c r="L1269" s="2">
        <v>43252</v>
      </c>
      <c r="M1269" s="2">
        <f>DOCXX[[#This Row],[INV DOC DATE]]+30</f>
        <v>43282</v>
      </c>
      <c r="N1269" s="2">
        <v>43290</v>
      </c>
      <c r="O1269" s="7">
        <v>804.62</v>
      </c>
      <c r="P1269" s="2">
        <v>43299</v>
      </c>
      <c r="Q1269" s="7">
        <f>$E1269-$O1269</f>
        <v>0</v>
      </c>
      <c r="R1269" s="7" t="str">
        <f ca="1">IF(TODAY() - DOCXX[INV DUE DATE]&lt;30, "Less than 30 days",IF(TODAY()-DOCXX[INV DUE DATE]&lt;60,"30-60 days","More than 60 days"))</f>
        <v>Less than 30 days</v>
      </c>
      <c r="S1269" t="s">
        <v>818</v>
      </c>
      <c r="U1269" s="7" t="s">
        <v>3699</v>
      </c>
    </row>
    <row r="1270" spans="1:21" x14ac:dyDescent="0.3">
      <c r="A1270" s="14" t="s">
        <v>4133</v>
      </c>
      <c r="B1270" t="s">
        <v>30</v>
      </c>
      <c r="C1270" t="s">
        <v>25</v>
      </c>
      <c r="D1270">
        <v>1</v>
      </c>
      <c r="E1270" s="7">
        <v>804.62</v>
      </c>
      <c r="H1270">
        <v>172324</v>
      </c>
      <c r="I1270" t="s">
        <v>352</v>
      </c>
      <c r="J1270" t="s">
        <v>2247</v>
      </c>
      <c r="K1270" t="s">
        <v>3</v>
      </c>
      <c r="L1270" s="2">
        <v>43252</v>
      </c>
      <c r="M1270" s="2">
        <f>DOCXX[[#This Row],[INV DOC DATE]]+30</f>
        <v>43282</v>
      </c>
      <c r="N1270" s="2">
        <v>43290</v>
      </c>
      <c r="O1270" s="7">
        <v>804.62</v>
      </c>
      <c r="P1270" s="2">
        <v>43299</v>
      </c>
      <c r="Q1270" s="7">
        <f>$E1270-$O1270</f>
        <v>0</v>
      </c>
      <c r="R1270" s="7" t="str">
        <f ca="1">IF(TODAY() - DOCXX[INV DUE DATE]&lt;30, "Less than 30 days",IF(TODAY()-DOCXX[INV DUE DATE]&lt;60,"30-60 days","More than 60 days"))</f>
        <v>Less than 30 days</v>
      </c>
      <c r="S1270" t="s">
        <v>818</v>
      </c>
      <c r="U1270" s="7" t="s">
        <v>3699</v>
      </c>
    </row>
    <row r="1271" spans="1:21" x14ac:dyDescent="0.3">
      <c r="A1271" s="14" t="s">
        <v>4133</v>
      </c>
      <c r="B1271" t="s">
        <v>30</v>
      </c>
      <c r="C1271" t="s">
        <v>26</v>
      </c>
      <c r="D1271">
        <v>1</v>
      </c>
      <c r="E1271" s="7">
        <v>804.62</v>
      </c>
      <c r="H1271">
        <v>82330</v>
      </c>
      <c r="I1271" t="s">
        <v>2254</v>
      </c>
      <c r="J1271" t="s">
        <v>2247</v>
      </c>
      <c r="K1271" t="s">
        <v>3</v>
      </c>
      <c r="L1271" s="2">
        <v>43252</v>
      </c>
      <c r="M1271" s="2">
        <f>DOCXX[[#This Row],[INV DOC DATE]]+30</f>
        <v>43282</v>
      </c>
      <c r="N1271" s="2">
        <v>43290</v>
      </c>
      <c r="O1271" s="7">
        <v>804.62</v>
      </c>
      <c r="P1271" s="2">
        <v>43299</v>
      </c>
      <c r="Q1271" s="7">
        <f>$E1271-$O1271</f>
        <v>0</v>
      </c>
      <c r="R1271" s="7" t="str">
        <f ca="1">IF(TODAY() - DOCXX[INV DUE DATE]&lt;30, "Less than 30 days",IF(TODAY()-DOCXX[INV DUE DATE]&lt;60,"30-60 days","More than 60 days"))</f>
        <v>Less than 30 days</v>
      </c>
      <c r="S1271" t="s">
        <v>818</v>
      </c>
      <c r="U1271" s="7" t="s">
        <v>3699</v>
      </c>
    </row>
    <row r="1272" spans="1:21" x14ac:dyDescent="0.3">
      <c r="A1272" s="14" t="s">
        <v>4133</v>
      </c>
      <c r="B1272" t="s">
        <v>32</v>
      </c>
      <c r="C1272" t="s">
        <v>8</v>
      </c>
      <c r="D1272">
        <v>1</v>
      </c>
      <c r="E1272" s="7">
        <v>149.6</v>
      </c>
      <c r="F1272">
        <v>31900081</v>
      </c>
      <c r="J1272" t="s">
        <v>2256</v>
      </c>
      <c r="K1272" t="s">
        <v>3</v>
      </c>
      <c r="L1272" s="2">
        <v>43252</v>
      </c>
      <c r="M1272" s="2">
        <f>DOCXX[[#This Row],[INV DOC DATE]]+30</f>
        <v>43282</v>
      </c>
      <c r="N1272" s="2">
        <v>43290</v>
      </c>
      <c r="O1272" s="7">
        <v>149.6</v>
      </c>
      <c r="P1272" s="2">
        <v>43304</v>
      </c>
      <c r="Q1272" s="7">
        <f>$E1272-$O1272</f>
        <v>0</v>
      </c>
      <c r="R1272" s="7" t="str">
        <f ca="1">IF(TODAY() - DOCXX[INV DUE DATE]&lt;30, "Less than 30 days",IF(TODAY()-DOCXX[INV DUE DATE]&lt;60,"30-60 days","More than 60 days"))</f>
        <v>Less than 30 days</v>
      </c>
      <c r="S1272" t="s">
        <v>818</v>
      </c>
      <c r="T1272" s="133" t="s">
        <v>5437</v>
      </c>
      <c r="U1272" s="7" t="s">
        <v>3699</v>
      </c>
    </row>
    <row r="1273" spans="1:21" x14ac:dyDescent="0.3">
      <c r="A1273" s="14" t="s">
        <v>4133</v>
      </c>
      <c r="B1273" t="s">
        <v>32</v>
      </c>
      <c r="C1273" t="s">
        <v>9</v>
      </c>
      <c r="D1273">
        <v>1</v>
      </c>
      <c r="E1273" s="7">
        <v>289.85000000000002</v>
      </c>
      <c r="F1273">
        <v>31942860</v>
      </c>
      <c r="J1273" t="s">
        <v>2256</v>
      </c>
      <c r="K1273" t="s">
        <v>3</v>
      </c>
      <c r="L1273" s="2">
        <v>43252</v>
      </c>
      <c r="M1273" s="2">
        <f>DOCXX[[#This Row],[INV DOC DATE]]+30</f>
        <v>43282</v>
      </c>
      <c r="N1273" s="2">
        <v>43290</v>
      </c>
      <c r="O1273" s="7">
        <v>289.85000000000002</v>
      </c>
      <c r="P1273" s="2">
        <v>43304</v>
      </c>
      <c r="Q1273" s="7">
        <f>$E1273-$O1273</f>
        <v>0</v>
      </c>
      <c r="R1273" s="7" t="str">
        <f ca="1">IF(TODAY() - DOCXX[INV DUE DATE]&lt;30, "Less than 30 days",IF(TODAY()-DOCXX[INV DUE DATE]&lt;60,"30-60 days","More than 60 days"))</f>
        <v>Less than 30 days</v>
      </c>
      <c r="S1273" t="s">
        <v>818</v>
      </c>
      <c r="T1273" s="133" t="s">
        <v>5437</v>
      </c>
      <c r="U1273" s="7" t="s">
        <v>3699</v>
      </c>
    </row>
    <row r="1274" spans="1:21" x14ac:dyDescent="0.3">
      <c r="A1274" s="14" t="s">
        <v>4133</v>
      </c>
      <c r="B1274" t="s">
        <v>32</v>
      </c>
      <c r="C1274" t="s">
        <v>10</v>
      </c>
      <c r="D1274">
        <v>1</v>
      </c>
      <c r="E1274" s="7">
        <v>196.35</v>
      </c>
      <c r="F1274">
        <v>31942861</v>
      </c>
      <c r="J1274" t="s">
        <v>2256</v>
      </c>
      <c r="K1274" t="s">
        <v>3</v>
      </c>
      <c r="L1274" s="2">
        <v>43252</v>
      </c>
      <c r="M1274" s="2">
        <f>DOCXX[[#This Row],[INV DOC DATE]]+30</f>
        <v>43282</v>
      </c>
      <c r="N1274" s="2">
        <v>43290</v>
      </c>
      <c r="O1274" s="7">
        <v>196.35</v>
      </c>
      <c r="P1274" s="2">
        <v>43304</v>
      </c>
      <c r="Q1274" s="7">
        <f>$E1274-$O1274</f>
        <v>0</v>
      </c>
      <c r="R1274" s="7" t="str">
        <f ca="1">IF(TODAY() - DOCXX[INV DUE DATE]&lt;30, "Less than 30 days",IF(TODAY()-DOCXX[INV DUE DATE]&lt;60,"30-60 days","More than 60 days"))</f>
        <v>Less than 30 days</v>
      </c>
      <c r="S1274" t="s">
        <v>818</v>
      </c>
      <c r="T1274" s="133" t="s">
        <v>5437</v>
      </c>
      <c r="U1274" s="7" t="s">
        <v>3699</v>
      </c>
    </row>
    <row r="1275" spans="1:21" x14ac:dyDescent="0.3">
      <c r="A1275" s="14" t="s">
        <v>4133</v>
      </c>
      <c r="B1275" t="s">
        <v>32</v>
      </c>
      <c r="C1275" t="s">
        <v>11</v>
      </c>
      <c r="D1275">
        <v>1</v>
      </c>
      <c r="E1275" s="7">
        <v>233.75</v>
      </c>
      <c r="F1275">
        <v>32055918</v>
      </c>
      <c r="J1275" t="s">
        <v>2256</v>
      </c>
      <c r="K1275" t="s">
        <v>3</v>
      </c>
      <c r="L1275" s="2">
        <v>43252</v>
      </c>
      <c r="M1275" s="2">
        <f>DOCXX[[#This Row],[INV DOC DATE]]+30</f>
        <v>43282</v>
      </c>
      <c r="N1275" s="2">
        <v>43290</v>
      </c>
      <c r="O1275" s="7">
        <v>233.75</v>
      </c>
      <c r="P1275" s="2">
        <v>43304</v>
      </c>
      <c r="Q1275" s="7">
        <f>$E1275-$O1275</f>
        <v>0</v>
      </c>
      <c r="R1275" s="7" t="str">
        <f ca="1">IF(TODAY() - DOCXX[INV DUE DATE]&lt;30, "Less than 30 days",IF(TODAY()-DOCXX[INV DUE DATE]&lt;60,"30-60 days","More than 60 days"))</f>
        <v>Less than 30 days</v>
      </c>
      <c r="S1275" t="s">
        <v>818</v>
      </c>
      <c r="T1275" s="133" t="s">
        <v>5437</v>
      </c>
      <c r="U1275" s="7" t="s">
        <v>3699</v>
      </c>
    </row>
    <row r="1276" spans="1:21" x14ac:dyDescent="0.3">
      <c r="A1276" s="14" t="s">
        <v>4133</v>
      </c>
      <c r="B1276" t="s">
        <v>32</v>
      </c>
      <c r="C1276" t="s">
        <v>12</v>
      </c>
      <c r="D1276">
        <v>1</v>
      </c>
      <c r="E1276" s="7">
        <v>289.85000000000002</v>
      </c>
      <c r="F1276">
        <v>32063480</v>
      </c>
      <c r="J1276" t="s">
        <v>2256</v>
      </c>
      <c r="K1276" t="s">
        <v>3</v>
      </c>
      <c r="L1276" s="2">
        <v>43252</v>
      </c>
      <c r="M1276" s="2">
        <f>DOCXX[[#This Row],[INV DOC DATE]]+30</f>
        <v>43282</v>
      </c>
      <c r="N1276" s="2">
        <v>43290</v>
      </c>
      <c r="O1276" s="7">
        <v>289.85000000000002</v>
      </c>
      <c r="P1276" s="2">
        <v>43304</v>
      </c>
      <c r="Q1276" s="7">
        <f>$E1276-$O1276</f>
        <v>0</v>
      </c>
      <c r="R1276" s="7" t="str">
        <f ca="1">IF(TODAY() - DOCXX[INV DUE DATE]&lt;30, "Less than 30 days",IF(TODAY()-DOCXX[INV DUE DATE]&lt;60,"30-60 days","More than 60 days"))</f>
        <v>Less than 30 days</v>
      </c>
      <c r="S1276" t="s">
        <v>818</v>
      </c>
      <c r="T1276" s="133" t="s">
        <v>5437</v>
      </c>
      <c r="U1276" s="7" t="s">
        <v>3699</v>
      </c>
    </row>
    <row r="1277" spans="1:21" x14ac:dyDescent="0.3">
      <c r="A1277" s="14" t="s">
        <v>4133</v>
      </c>
      <c r="B1277" t="s">
        <v>32</v>
      </c>
      <c r="C1277" t="s">
        <v>13</v>
      </c>
      <c r="D1277">
        <v>1</v>
      </c>
      <c r="E1277" s="7">
        <v>289.85000000000002</v>
      </c>
      <c r="F1277">
        <v>32099380</v>
      </c>
      <c r="J1277" t="s">
        <v>2256</v>
      </c>
      <c r="K1277" t="s">
        <v>3</v>
      </c>
      <c r="L1277" s="2">
        <v>43252</v>
      </c>
      <c r="M1277" s="2">
        <f>DOCXX[[#This Row],[INV DOC DATE]]+30</f>
        <v>43282</v>
      </c>
      <c r="N1277" s="2">
        <v>43290</v>
      </c>
      <c r="O1277" s="7">
        <v>289.85000000000002</v>
      </c>
      <c r="P1277" s="2">
        <v>43304</v>
      </c>
      <c r="Q1277" s="7">
        <f>$E1277-$O1277</f>
        <v>0</v>
      </c>
      <c r="R1277" s="7" t="str">
        <f ca="1">IF(TODAY() - DOCXX[INV DUE DATE]&lt;30, "Less than 30 days",IF(TODAY()-DOCXX[INV DUE DATE]&lt;60,"30-60 days","More than 60 days"))</f>
        <v>Less than 30 days</v>
      </c>
      <c r="S1277" t="s">
        <v>818</v>
      </c>
      <c r="T1277" s="133" t="s">
        <v>5437</v>
      </c>
      <c r="U1277" s="7" t="s">
        <v>3699</v>
      </c>
    </row>
    <row r="1278" spans="1:21" x14ac:dyDescent="0.3">
      <c r="A1278" s="14" t="s">
        <v>4133</v>
      </c>
      <c r="B1278" t="s">
        <v>32</v>
      </c>
      <c r="C1278" t="s">
        <v>14</v>
      </c>
      <c r="D1278">
        <v>1</v>
      </c>
      <c r="E1278" s="7">
        <v>289.85000000000002</v>
      </c>
      <c r="F1278">
        <v>32118265</v>
      </c>
      <c r="J1278" t="s">
        <v>2256</v>
      </c>
      <c r="K1278" t="s">
        <v>3</v>
      </c>
      <c r="L1278" s="2">
        <v>43252</v>
      </c>
      <c r="M1278" s="2">
        <f>DOCXX[[#This Row],[INV DOC DATE]]+30</f>
        <v>43282</v>
      </c>
      <c r="N1278" s="2">
        <v>43290</v>
      </c>
      <c r="O1278" s="7">
        <v>289.85000000000002</v>
      </c>
      <c r="P1278" s="2">
        <v>43304</v>
      </c>
      <c r="Q1278" s="7">
        <f>$E1278-$O1278</f>
        <v>0</v>
      </c>
      <c r="R1278" s="7" t="str">
        <f ca="1">IF(TODAY() - DOCXX[INV DUE DATE]&lt;30, "Less than 30 days",IF(TODAY()-DOCXX[INV DUE DATE]&lt;60,"30-60 days","More than 60 days"))</f>
        <v>Less than 30 days</v>
      </c>
      <c r="S1278" t="s">
        <v>818</v>
      </c>
      <c r="T1278" s="133" t="s">
        <v>5437</v>
      </c>
      <c r="U1278" s="7" t="s">
        <v>3699</v>
      </c>
    </row>
    <row r="1279" spans="1:21" x14ac:dyDescent="0.3">
      <c r="A1279" s="14" t="s">
        <v>4133</v>
      </c>
      <c r="B1279" t="s">
        <v>32</v>
      </c>
      <c r="C1279" t="s">
        <v>15</v>
      </c>
      <c r="D1279">
        <v>1</v>
      </c>
      <c r="E1279" s="7">
        <v>280.5</v>
      </c>
      <c r="F1279">
        <v>32118266</v>
      </c>
      <c r="J1279" t="s">
        <v>2256</v>
      </c>
      <c r="K1279" t="s">
        <v>3</v>
      </c>
      <c r="L1279" s="2">
        <v>43252</v>
      </c>
      <c r="M1279" s="2">
        <f>DOCXX[[#This Row],[INV DOC DATE]]+30</f>
        <v>43282</v>
      </c>
      <c r="N1279" s="2">
        <v>43290</v>
      </c>
      <c r="O1279" s="7">
        <v>280.5</v>
      </c>
      <c r="P1279" s="2">
        <v>43304</v>
      </c>
      <c r="Q1279" s="7">
        <f>$E1279-$O1279</f>
        <v>0</v>
      </c>
      <c r="R1279" s="7" t="str">
        <f ca="1">IF(TODAY() - DOCXX[INV DUE DATE]&lt;30, "Less than 30 days",IF(TODAY()-DOCXX[INV DUE DATE]&lt;60,"30-60 days","More than 60 days"))</f>
        <v>Less than 30 days</v>
      </c>
      <c r="S1279" t="s">
        <v>818</v>
      </c>
      <c r="T1279" s="133" t="s">
        <v>5437</v>
      </c>
      <c r="U1279" s="7" t="s">
        <v>3699</v>
      </c>
    </row>
    <row r="1280" spans="1:21" x14ac:dyDescent="0.3">
      <c r="A1280" s="14" t="s">
        <v>4133</v>
      </c>
      <c r="B1280" t="s">
        <v>32</v>
      </c>
      <c r="C1280" t="s">
        <v>16</v>
      </c>
      <c r="D1280">
        <v>1</v>
      </c>
      <c r="E1280" s="7">
        <v>289.85000000000002</v>
      </c>
      <c r="F1280">
        <v>32122029</v>
      </c>
      <c r="J1280" t="s">
        <v>2256</v>
      </c>
      <c r="K1280" t="s">
        <v>3</v>
      </c>
      <c r="L1280" s="2">
        <v>43252</v>
      </c>
      <c r="M1280" s="2">
        <f>DOCXX[[#This Row],[INV DOC DATE]]+30</f>
        <v>43282</v>
      </c>
      <c r="N1280" s="2">
        <v>43290</v>
      </c>
      <c r="O1280" s="7">
        <v>289.85000000000002</v>
      </c>
      <c r="P1280" s="2">
        <v>43304</v>
      </c>
      <c r="Q1280" s="7">
        <f>$E1280-$O1280</f>
        <v>0</v>
      </c>
      <c r="R1280" s="7" t="str">
        <f ca="1">IF(TODAY() - DOCXX[INV DUE DATE]&lt;30, "Less than 30 days",IF(TODAY()-DOCXX[INV DUE DATE]&lt;60,"30-60 days","More than 60 days"))</f>
        <v>Less than 30 days</v>
      </c>
      <c r="S1280" t="s">
        <v>818</v>
      </c>
      <c r="T1280" s="133" t="s">
        <v>5437</v>
      </c>
      <c r="U1280" s="7" t="s">
        <v>3699</v>
      </c>
    </row>
    <row r="1281" spans="1:21" x14ac:dyDescent="0.3">
      <c r="A1281" s="14" t="s">
        <v>4133</v>
      </c>
      <c r="B1281" t="s">
        <v>32</v>
      </c>
      <c r="C1281" t="s">
        <v>18</v>
      </c>
      <c r="D1281">
        <v>1</v>
      </c>
      <c r="E1281" s="7">
        <v>187</v>
      </c>
      <c r="F1281">
        <v>32184080</v>
      </c>
      <c r="J1281" t="s">
        <v>2256</v>
      </c>
      <c r="K1281" t="s">
        <v>3</v>
      </c>
      <c r="L1281" s="2">
        <v>43252</v>
      </c>
      <c r="M1281" s="2">
        <f>DOCXX[[#This Row],[INV DOC DATE]]+30</f>
        <v>43282</v>
      </c>
      <c r="N1281" s="2">
        <v>43290</v>
      </c>
      <c r="O1281" s="7">
        <v>187</v>
      </c>
      <c r="P1281" s="2">
        <v>43304</v>
      </c>
      <c r="Q1281" s="7">
        <f>$E1281-$O1281</f>
        <v>0</v>
      </c>
      <c r="R1281" s="7" t="str">
        <f ca="1">IF(TODAY() - DOCXX[INV DUE DATE]&lt;30, "Less than 30 days",IF(TODAY()-DOCXX[INV DUE DATE]&lt;60,"30-60 days","More than 60 days"))</f>
        <v>Less than 30 days</v>
      </c>
      <c r="S1281" t="s">
        <v>818</v>
      </c>
      <c r="T1281" s="133" t="s">
        <v>5437</v>
      </c>
      <c r="U1281" s="7" t="s">
        <v>3699</v>
      </c>
    </row>
    <row r="1282" spans="1:21" x14ac:dyDescent="0.3">
      <c r="A1282" s="14" t="s">
        <v>4133</v>
      </c>
      <c r="B1282" t="s">
        <v>32</v>
      </c>
      <c r="C1282" t="s">
        <v>19</v>
      </c>
      <c r="D1282">
        <v>1</v>
      </c>
      <c r="E1282" s="7">
        <v>233.75</v>
      </c>
      <c r="F1282">
        <v>32184081</v>
      </c>
      <c r="J1282" t="s">
        <v>2256</v>
      </c>
      <c r="K1282" t="s">
        <v>3</v>
      </c>
      <c r="L1282" s="2">
        <v>43252</v>
      </c>
      <c r="M1282" s="2">
        <f>DOCXX[[#This Row],[INV DOC DATE]]+30</f>
        <v>43282</v>
      </c>
      <c r="N1282" s="2">
        <v>43290</v>
      </c>
      <c r="O1282" s="7">
        <v>233.75</v>
      </c>
      <c r="P1282" s="2">
        <v>43304</v>
      </c>
      <c r="Q1282" s="7">
        <f>$E1282-$O1282</f>
        <v>0</v>
      </c>
      <c r="R1282" s="7" t="str">
        <f ca="1">IF(TODAY() - DOCXX[INV DUE DATE]&lt;30, "Less than 30 days",IF(TODAY()-DOCXX[INV DUE DATE]&lt;60,"30-60 days","More than 60 days"))</f>
        <v>Less than 30 days</v>
      </c>
      <c r="S1282" t="s">
        <v>818</v>
      </c>
      <c r="T1282" s="133" t="s">
        <v>5437</v>
      </c>
      <c r="U1282" s="7" t="s">
        <v>3699</v>
      </c>
    </row>
    <row r="1283" spans="1:21" x14ac:dyDescent="0.3">
      <c r="A1283" s="14" t="s">
        <v>4133</v>
      </c>
      <c r="B1283" t="s">
        <v>32</v>
      </c>
      <c r="C1283" t="s">
        <v>20</v>
      </c>
      <c r="D1283">
        <v>1</v>
      </c>
      <c r="E1283" s="7">
        <v>187</v>
      </c>
      <c r="F1283">
        <v>32184082</v>
      </c>
      <c r="J1283" t="s">
        <v>2256</v>
      </c>
      <c r="K1283" t="s">
        <v>3</v>
      </c>
      <c r="L1283" s="2">
        <v>43252</v>
      </c>
      <c r="M1283" s="2">
        <f>DOCXX[[#This Row],[INV DOC DATE]]+30</f>
        <v>43282</v>
      </c>
      <c r="N1283" s="2">
        <v>43290</v>
      </c>
      <c r="O1283" s="7">
        <v>187</v>
      </c>
      <c r="P1283" s="2">
        <v>43304</v>
      </c>
      <c r="Q1283" s="7">
        <f>$E1283-$O1283</f>
        <v>0</v>
      </c>
      <c r="R1283" s="7" t="str">
        <f ca="1">IF(TODAY() - DOCXX[INV DUE DATE]&lt;30, "Less than 30 days",IF(TODAY()-DOCXX[INV DUE DATE]&lt;60,"30-60 days","More than 60 days"))</f>
        <v>Less than 30 days</v>
      </c>
      <c r="S1283" t="s">
        <v>818</v>
      </c>
      <c r="T1283" s="133" t="s">
        <v>5437</v>
      </c>
      <c r="U1283" s="7" t="s">
        <v>3699</v>
      </c>
    </row>
    <row r="1284" spans="1:21" x14ac:dyDescent="0.3">
      <c r="A1284" s="14" t="s">
        <v>4133</v>
      </c>
      <c r="B1284" t="s">
        <v>32</v>
      </c>
      <c r="C1284" t="s">
        <v>21</v>
      </c>
      <c r="D1284">
        <v>1</v>
      </c>
      <c r="E1284" s="7">
        <v>289.85000000000002</v>
      </c>
      <c r="F1284">
        <v>32184083</v>
      </c>
      <c r="J1284" t="s">
        <v>2256</v>
      </c>
      <c r="K1284" t="s">
        <v>3</v>
      </c>
      <c r="L1284" s="2">
        <v>43252</v>
      </c>
      <c r="M1284" s="2">
        <f>DOCXX[[#This Row],[INV DOC DATE]]+30</f>
        <v>43282</v>
      </c>
      <c r="N1284" s="2">
        <v>43290</v>
      </c>
      <c r="O1284" s="7">
        <v>289.85000000000002</v>
      </c>
      <c r="P1284" s="2">
        <v>43304</v>
      </c>
      <c r="Q1284" s="7">
        <f>$E1284-$O1284</f>
        <v>0</v>
      </c>
      <c r="R1284" s="7" t="str">
        <f ca="1">IF(TODAY() - DOCXX[INV DUE DATE]&lt;30, "Less than 30 days",IF(TODAY()-DOCXX[INV DUE DATE]&lt;60,"30-60 days","More than 60 days"))</f>
        <v>Less than 30 days</v>
      </c>
      <c r="S1284" t="s">
        <v>818</v>
      </c>
      <c r="T1284" s="133" t="s">
        <v>5437</v>
      </c>
      <c r="U1284" s="7" t="s">
        <v>3699</v>
      </c>
    </row>
    <row r="1285" spans="1:21" x14ac:dyDescent="0.3">
      <c r="A1285" s="14" t="s">
        <v>4133</v>
      </c>
      <c r="B1285" t="s">
        <v>32</v>
      </c>
      <c r="C1285" t="s">
        <v>22</v>
      </c>
      <c r="D1285">
        <v>1</v>
      </c>
      <c r="E1285" s="7">
        <v>233.75</v>
      </c>
      <c r="F1285">
        <v>32184084</v>
      </c>
      <c r="J1285" t="s">
        <v>2256</v>
      </c>
      <c r="K1285" t="s">
        <v>3</v>
      </c>
      <c r="L1285" s="2">
        <v>43252</v>
      </c>
      <c r="M1285" s="2">
        <f>DOCXX[[#This Row],[INV DOC DATE]]+30</f>
        <v>43282</v>
      </c>
      <c r="N1285" s="2">
        <v>43290</v>
      </c>
      <c r="O1285" s="7">
        <v>233.75</v>
      </c>
      <c r="P1285" s="2">
        <v>43304</v>
      </c>
      <c r="Q1285" s="7">
        <f>$E1285-$O1285</f>
        <v>0</v>
      </c>
      <c r="R1285" s="7" t="str">
        <f ca="1">IF(TODAY() - DOCXX[INV DUE DATE]&lt;30, "Less than 30 days",IF(TODAY()-DOCXX[INV DUE DATE]&lt;60,"30-60 days","More than 60 days"))</f>
        <v>Less than 30 days</v>
      </c>
      <c r="S1285" t="s">
        <v>818</v>
      </c>
      <c r="T1285" s="133" t="s">
        <v>5437</v>
      </c>
      <c r="U1285" s="7" t="s">
        <v>3699</v>
      </c>
    </row>
    <row r="1286" spans="1:21" x14ac:dyDescent="0.3">
      <c r="A1286" s="14" t="s">
        <v>4133</v>
      </c>
      <c r="B1286" t="s">
        <v>32</v>
      </c>
      <c r="C1286" t="s">
        <v>23</v>
      </c>
      <c r="D1286">
        <v>1</v>
      </c>
      <c r="E1286" s="7">
        <v>289.85000000000002</v>
      </c>
      <c r="F1286">
        <v>32199849</v>
      </c>
      <c r="J1286" t="s">
        <v>2256</v>
      </c>
      <c r="K1286" t="s">
        <v>3</v>
      </c>
      <c r="L1286" s="2">
        <v>43252</v>
      </c>
      <c r="M1286" s="2">
        <f>DOCXX[[#This Row],[INV DOC DATE]]+30</f>
        <v>43282</v>
      </c>
      <c r="N1286" s="2">
        <v>43290</v>
      </c>
      <c r="O1286" s="7">
        <v>289.85000000000002</v>
      </c>
      <c r="P1286" s="2">
        <v>43304</v>
      </c>
      <c r="Q1286" s="7">
        <f>$E1286-$O1286</f>
        <v>0</v>
      </c>
      <c r="R1286" s="7" t="str">
        <f ca="1">IF(TODAY() - DOCXX[INV DUE DATE]&lt;30, "Less than 30 days",IF(TODAY()-DOCXX[INV DUE DATE]&lt;60,"30-60 days","More than 60 days"))</f>
        <v>Less than 30 days</v>
      </c>
      <c r="S1286" t="s">
        <v>818</v>
      </c>
      <c r="T1286" s="133" t="s">
        <v>5437</v>
      </c>
      <c r="U1286" s="7" t="s">
        <v>3699</v>
      </c>
    </row>
    <row r="1287" spans="1:21" x14ac:dyDescent="0.3">
      <c r="A1287" s="14" t="s">
        <v>4133</v>
      </c>
      <c r="B1287" t="s">
        <v>32</v>
      </c>
      <c r="C1287" t="s">
        <v>24</v>
      </c>
      <c r="D1287">
        <v>1</v>
      </c>
      <c r="E1287" s="7">
        <v>289.85000000000002</v>
      </c>
      <c r="F1287">
        <v>32209887</v>
      </c>
      <c r="J1287" t="s">
        <v>2256</v>
      </c>
      <c r="K1287" t="s">
        <v>3</v>
      </c>
      <c r="L1287" s="2">
        <v>43252</v>
      </c>
      <c r="M1287" s="2">
        <f>DOCXX[[#This Row],[INV DOC DATE]]+30</f>
        <v>43282</v>
      </c>
      <c r="N1287" s="2">
        <v>43290</v>
      </c>
      <c r="O1287" s="7">
        <v>289.85000000000002</v>
      </c>
      <c r="P1287" s="2">
        <v>43304</v>
      </c>
      <c r="Q1287" s="7">
        <f>$E1287-$O1287</f>
        <v>0</v>
      </c>
      <c r="R1287" s="7" t="str">
        <f ca="1">IF(TODAY() - DOCXX[INV DUE DATE]&lt;30, "Less than 30 days",IF(TODAY()-DOCXX[INV DUE DATE]&lt;60,"30-60 days","More than 60 days"))</f>
        <v>Less than 30 days</v>
      </c>
      <c r="S1287" t="s">
        <v>818</v>
      </c>
      <c r="T1287" s="133" t="s">
        <v>5437</v>
      </c>
      <c r="U1287" s="7" t="s">
        <v>3699</v>
      </c>
    </row>
    <row r="1288" spans="1:21" x14ac:dyDescent="0.3">
      <c r="A1288" s="14" t="s">
        <v>4133</v>
      </c>
      <c r="B1288" t="s">
        <v>32</v>
      </c>
      <c r="C1288" t="s">
        <v>25</v>
      </c>
      <c r="D1288">
        <v>1</v>
      </c>
      <c r="E1288" s="7">
        <v>289.85000000000002</v>
      </c>
      <c r="F1288">
        <v>32209888</v>
      </c>
      <c r="J1288" t="s">
        <v>2256</v>
      </c>
      <c r="K1288" t="s">
        <v>3</v>
      </c>
      <c r="L1288" s="2">
        <v>43252</v>
      </c>
      <c r="M1288" s="2">
        <f>DOCXX[[#This Row],[INV DOC DATE]]+30</f>
        <v>43282</v>
      </c>
      <c r="N1288" s="2">
        <v>43290</v>
      </c>
      <c r="O1288" s="7">
        <v>289.85000000000002</v>
      </c>
      <c r="P1288" s="2">
        <v>43304</v>
      </c>
      <c r="Q1288" s="7">
        <f>$E1288-$O1288</f>
        <v>0</v>
      </c>
      <c r="R1288" s="7" t="str">
        <f ca="1">IF(TODAY() - DOCXX[INV DUE DATE]&lt;30, "Less than 30 days",IF(TODAY()-DOCXX[INV DUE DATE]&lt;60,"30-60 days","More than 60 days"))</f>
        <v>Less than 30 days</v>
      </c>
      <c r="S1288" t="s">
        <v>818</v>
      </c>
      <c r="T1288" s="133" t="s">
        <v>5437</v>
      </c>
      <c r="U1288" s="7" t="s">
        <v>3699</v>
      </c>
    </row>
    <row r="1289" spans="1:21" x14ac:dyDescent="0.3">
      <c r="A1289" s="14" t="s">
        <v>4133</v>
      </c>
      <c r="B1289" t="s">
        <v>32</v>
      </c>
      <c r="C1289" t="s">
        <v>26</v>
      </c>
      <c r="D1289">
        <v>1</v>
      </c>
      <c r="E1289" s="7">
        <v>233.75</v>
      </c>
      <c r="F1289">
        <v>32209889</v>
      </c>
      <c r="J1289" t="s">
        <v>2256</v>
      </c>
      <c r="K1289" t="s">
        <v>3</v>
      </c>
      <c r="L1289" s="2">
        <v>43252</v>
      </c>
      <c r="M1289" s="2">
        <f>DOCXX[[#This Row],[INV DOC DATE]]+30</f>
        <v>43282</v>
      </c>
      <c r="N1289" s="2">
        <v>43290</v>
      </c>
      <c r="O1289" s="7">
        <v>233.75</v>
      </c>
      <c r="P1289" s="2">
        <v>43304</v>
      </c>
      <c r="Q1289" s="7">
        <f>$E1289-$O1289</f>
        <v>0</v>
      </c>
      <c r="R1289" s="7" t="str">
        <f ca="1">IF(TODAY() - DOCXX[INV DUE DATE]&lt;30, "Less than 30 days",IF(TODAY()-DOCXX[INV DUE DATE]&lt;60,"30-60 days","More than 60 days"))</f>
        <v>Less than 30 days</v>
      </c>
      <c r="S1289" t="s">
        <v>818</v>
      </c>
      <c r="T1289" s="133" t="s">
        <v>5437</v>
      </c>
      <c r="U1289" s="7" t="s">
        <v>3699</v>
      </c>
    </row>
    <row r="1290" spans="1:21" x14ac:dyDescent="0.3">
      <c r="A1290" s="14" t="s">
        <v>4133</v>
      </c>
      <c r="B1290" t="s">
        <v>32</v>
      </c>
      <c r="C1290" t="s">
        <v>27</v>
      </c>
      <c r="D1290">
        <v>1</v>
      </c>
      <c r="E1290" s="7">
        <v>74.8</v>
      </c>
      <c r="F1290">
        <v>32209930</v>
      </c>
      <c r="J1290" t="s">
        <v>2256</v>
      </c>
      <c r="K1290" t="s">
        <v>3</v>
      </c>
      <c r="L1290" s="2">
        <v>43252</v>
      </c>
      <c r="M1290" s="2">
        <f>DOCXX[[#This Row],[INV DOC DATE]]+30</f>
        <v>43282</v>
      </c>
      <c r="N1290" s="2">
        <v>43290</v>
      </c>
      <c r="O1290" s="7">
        <v>74.8</v>
      </c>
      <c r="P1290" s="2">
        <v>43304</v>
      </c>
      <c r="Q1290" s="7">
        <f>$E1290-$O1290</f>
        <v>0</v>
      </c>
      <c r="R1290" s="7" t="str">
        <f ca="1">IF(TODAY() - DOCXX[INV DUE DATE]&lt;30, "Less than 30 days",IF(TODAY()-DOCXX[INV DUE DATE]&lt;60,"30-60 days","More than 60 days"))</f>
        <v>Less than 30 days</v>
      </c>
      <c r="S1290" t="s">
        <v>818</v>
      </c>
      <c r="T1290" s="133" t="s">
        <v>5437</v>
      </c>
      <c r="U1290" s="7" t="s">
        <v>3699</v>
      </c>
    </row>
    <row r="1291" spans="1:21" x14ac:dyDescent="0.3">
      <c r="A1291" s="14" t="s">
        <v>4133</v>
      </c>
      <c r="B1291" t="s">
        <v>32</v>
      </c>
      <c r="C1291" t="s">
        <v>28</v>
      </c>
      <c r="D1291">
        <v>1</v>
      </c>
      <c r="E1291" s="7">
        <v>130.9</v>
      </c>
      <c r="F1291">
        <v>32213733</v>
      </c>
      <c r="J1291" t="s">
        <v>2256</v>
      </c>
      <c r="K1291" t="s">
        <v>3</v>
      </c>
      <c r="L1291" s="2">
        <v>43252</v>
      </c>
      <c r="M1291" s="2">
        <f>DOCXX[[#This Row],[INV DOC DATE]]+30</f>
        <v>43282</v>
      </c>
      <c r="N1291" s="2">
        <v>43290</v>
      </c>
      <c r="O1291" s="7">
        <v>130.9</v>
      </c>
      <c r="P1291" s="2">
        <v>43304</v>
      </c>
      <c r="Q1291" s="7">
        <f>$E1291-$O1291</f>
        <v>0</v>
      </c>
      <c r="R1291" s="7" t="str">
        <f ca="1">IF(TODAY() - DOCXX[INV DUE DATE]&lt;30, "Less than 30 days",IF(TODAY()-DOCXX[INV DUE DATE]&lt;60,"30-60 days","More than 60 days"))</f>
        <v>Less than 30 days</v>
      </c>
      <c r="S1291" t="s">
        <v>818</v>
      </c>
      <c r="T1291" s="133" t="s">
        <v>5437</v>
      </c>
      <c r="U1291" s="7" t="s">
        <v>3699</v>
      </c>
    </row>
    <row r="1292" spans="1:21" x14ac:dyDescent="0.3">
      <c r="A1292" s="14" t="s">
        <v>4133</v>
      </c>
      <c r="B1292" t="s">
        <v>32</v>
      </c>
      <c r="C1292" t="s">
        <v>37</v>
      </c>
      <c r="D1292">
        <v>1</v>
      </c>
      <c r="E1292" s="7">
        <v>74.8</v>
      </c>
      <c r="F1292">
        <v>32232208</v>
      </c>
      <c r="J1292" t="s">
        <v>2256</v>
      </c>
      <c r="K1292" t="s">
        <v>3</v>
      </c>
      <c r="L1292" s="2">
        <v>43252</v>
      </c>
      <c r="M1292" s="2">
        <f>DOCXX[[#This Row],[INV DOC DATE]]+30</f>
        <v>43282</v>
      </c>
      <c r="N1292" s="2">
        <v>43290</v>
      </c>
      <c r="O1292" s="7">
        <v>74.8</v>
      </c>
      <c r="P1292" s="2">
        <v>43304</v>
      </c>
      <c r="Q1292" s="7">
        <f>$E1292-$O1292</f>
        <v>0</v>
      </c>
      <c r="R1292" s="7" t="str">
        <f ca="1">IF(TODAY() - DOCXX[INV DUE DATE]&lt;30, "Less than 30 days",IF(TODAY()-DOCXX[INV DUE DATE]&lt;60,"30-60 days","More than 60 days"))</f>
        <v>Less than 30 days</v>
      </c>
      <c r="S1292" t="s">
        <v>818</v>
      </c>
      <c r="T1292" s="133" t="s">
        <v>5437</v>
      </c>
      <c r="U1292" s="7" t="s">
        <v>3699</v>
      </c>
    </row>
    <row r="1293" spans="1:21" x14ac:dyDescent="0.3">
      <c r="A1293" s="14" t="s">
        <v>4133</v>
      </c>
      <c r="B1293" t="s">
        <v>32</v>
      </c>
      <c r="C1293" t="s">
        <v>38</v>
      </c>
      <c r="D1293">
        <v>1</v>
      </c>
      <c r="E1293" s="7">
        <v>121.55</v>
      </c>
      <c r="F1293">
        <v>32232209</v>
      </c>
      <c r="J1293" t="s">
        <v>2256</v>
      </c>
      <c r="K1293" t="s">
        <v>3</v>
      </c>
      <c r="L1293" s="2">
        <v>43252</v>
      </c>
      <c r="M1293" s="2">
        <f>DOCXX[[#This Row],[INV DOC DATE]]+30</f>
        <v>43282</v>
      </c>
      <c r="N1293" s="2">
        <v>43290</v>
      </c>
      <c r="O1293" s="7">
        <v>121.55</v>
      </c>
      <c r="P1293" s="2">
        <v>43304</v>
      </c>
      <c r="Q1293" s="7">
        <f>$E1293-$O1293</f>
        <v>0</v>
      </c>
      <c r="R1293" s="7" t="str">
        <f ca="1">IF(TODAY() - DOCXX[INV DUE DATE]&lt;30, "Less than 30 days",IF(TODAY()-DOCXX[INV DUE DATE]&lt;60,"30-60 days","More than 60 days"))</f>
        <v>Less than 30 days</v>
      </c>
      <c r="S1293" t="s">
        <v>818</v>
      </c>
      <c r="T1293" s="133" t="s">
        <v>5437</v>
      </c>
      <c r="U1293" s="7" t="s">
        <v>3699</v>
      </c>
    </row>
    <row r="1294" spans="1:21" x14ac:dyDescent="0.3">
      <c r="A1294" s="14" t="s">
        <v>4133</v>
      </c>
      <c r="B1294" t="s">
        <v>32</v>
      </c>
      <c r="C1294" t="s">
        <v>39</v>
      </c>
      <c r="D1294">
        <v>1</v>
      </c>
      <c r="E1294" s="7">
        <v>102.85</v>
      </c>
      <c r="F1294">
        <v>32245837</v>
      </c>
      <c r="J1294" t="s">
        <v>2256</v>
      </c>
      <c r="K1294" t="s">
        <v>3</v>
      </c>
      <c r="L1294" s="2">
        <v>43252</v>
      </c>
      <c r="M1294" s="2">
        <f>DOCXX[[#This Row],[INV DOC DATE]]+30</f>
        <v>43282</v>
      </c>
      <c r="N1294" s="2">
        <v>43290</v>
      </c>
      <c r="O1294" s="7">
        <v>102.85</v>
      </c>
      <c r="P1294" s="2">
        <v>43304</v>
      </c>
      <c r="Q1294" s="7">
        <f>$E1294-$O1294</f>
        <v>0</v>
      </c>
      <c r="R1294" s="7" t="str">
        <f ca="1">IF(TODAY() - DOCXX[INV DUE DATE]&lt;30, "Less than 30 days",IF(TODAY()-DOCXX[INV DUE DATE]&lt;60,"30-60 days","More than 60 days"))</f>
        <v>Less than 30 days</v>
      </c>
      <c r="S1294" t="s">
        <v>818</v>
      </c>
      <c r="T1294" s="133" t="s">
        <v>5437</v>
      </c>
      <c r="U1294" s="7" t="s">
        <v>3699</v>
      </c>
    </row>
    <row r="1295" spans="1:21" x14ac:dyDescent="0.3">
      <c r="A1295" s="14" t="s">
        <v>4133</v>
      </c>
      <c r="B1295" t="s">
        <v>32</v>
      </c>
      <c r="C1295" t="s">
        <v>41</v>
      </c>
      <c r="D1295">
        <v>1</v>
      </c>
      <c r="E1295" s="7">
        <v>65.45</v>
      </c>
      <c r="F1295">
        <v>32245839</v>
      </c>
      <c r="J1295" t="s">
        <v>2256</v>
      </c>
      <c r="K1295" t="s">
        <v>3</v>
      </c>
      <c r="L1295" s="2">
        <v>43252</v>
      </c>
      <c r="M1295" s="2">
        <f>DOCXX[[#This Row],[INV DOC DATE]]+30</f>
        <v>43282</v>
      </c>
      <c r="N1295" s="2">
        <v>43290</v>
      </c>
      <c r="O1295" s="7">
        <v>65.45</v>
      </c>
      <c r="P1295" s="2">
        <v>43304</v>
      </c>
      <c r="Q1295" s="7">
        <f>$E1295-$O1295</f>
        <v>0</v>
      </c>
      <c r="R1295" s="7" t="str">
        <f ca="1">IF(TODAY() - DOCXX[INV DUE DATE]&lt;30, "Less than 30 days",IF(TODAY()-DOCXX[INV DUE DATE]&lt;60,"30-60 days","More than 60 days"))</f>
        <v>Less than 30 days</v>
      </c>
      <c r="S1295" t="s">
        <v>818</v>
      </c>
      <c r="T1295" s="133" t="s">
        <v>5437</v>
      </c>
      <c r="U1295" s="7" t="s">
        <v>3699</v>
      </c>
    </row>
    <row r="1296" spans="1:21" x14ac:dyDescent="0.3">
      <c r="A1296" s="14" t="s">
        <v>4133</v>
      </c>
      <c r="B1296" t="s">
        <v>32</v>
      </c>
      <c r="C1296" t="s">
        <v>42</v>
      </c>
      <c r="D1296">
        <v>1</v>
      </c>
      <c r="E1296" s="7">
        <v>74.8</v>
      </c>
      <c r="F1296">
        <v>32246570</v>
      </c>
      <c r="J1296" t="s">
        <v>2256</v>
      </c>
      <c r="K1296" t="s">
        <v>3</v>
      </c>
      <c r="L1296" s="2">
        <v>43252</v>
      </c>
      <c r="M1296" s="2">
        <f>DOCXX[[#This Row],[INV DOC DATE]]+30</f>
        <v>43282</v>
      </c>
      <c r="N1296" s="2">
        <v>43290</v>
      </c>
      <c r="O1296" s="7">
        <v>74.8</v>
      </c>
      <c r="P1296" s="2">
        <v>43304</v>
      </c>
      <c r="Q1296" s="7">
        <f>$E1296-$O1296</f>
        <v>0</v>
      </c>
      <c r="R1296" s="7" t="str">
        <f ca="1">IF(TODAY() - DOCXX[INV DUE DATE]&lt;30, "Less than 30 days",IF(TODAY()-DOCXX[INV DUE DATE]&lt;60,"30-60 days","More than 60 days"))</f>
        <v>Less than 30 days</v>
      </c>
      <c r="S1296" t="s">
        <v>818</v>
      </c>
      <c r="T1296" s="133" t="s">
        <v>5437</v>
      </c>
      <c r="U1296" s="7" t="s">
        <v>3699</v>
      </c>
    </row>
    <row r="1297" spans="1:21" x14ac:dyDescent="0.3">
      <c r="A1297" s="14" t="s">
        <v>4133</v>
      </c>
      <c r="B1297" t="s">
        <v>32</v>
      </c>
      <c r="C1297" t="s">
        <v>43</v>
      </c>
      <c r="D1297">
        <v>1</v>
      </c>
      <c r="E1297" s="7">
        <v>130.9</v>
      </c>
      <c r="F1297">
        <v>32246571</v>
      </c>
      <c r="J1297" t="s">
        <v>2256</v>
      </c>
      <c r="K1297" t="s">
        <v>3</v>
      </c>
      <c r="L1297" s="2">
        <v>43252</v>
      </c>
      <c r="M1297" s="2">
        <f>DOCXX[[#This Row],[INV DOC DATE]]+30</f>
        <v>43282</v>
      </c>
      <c r="N1297" s="2">
        <v>43290</v>
      </c>
      <c r="O1297" s="7">
        <v>130.9</v>
      </c>
      <c r="P1297" s="2">
        <v>43304</v>
      </c>
      <c r="Q1297" s="7">
        <f>$E1297-$O1297</f>
        <v>0</v>
      </c>
      <c r="R1297" s="7" t="str">
        <f ca="1">IF(TODAY() - DOCXX[INV DUE DATE]&lt;30, "Less than 30 days",IF(TODAY()-DOCXX[INV DUE DATE]&lt;60,"30-60 days","More than 60 days"))</f>
        <v>Less than 30 days</v>
      </c>
      <c r="S1297" t="s">
        <v>818</v>
      </c>
      <c r="T1297" s="133" t="s">
        <v>5437</v>
      </c>
      <c r="U1297" s="7" t="s">
        <v>3699</v>
      </c>
    </row>
    <row r="1298" spans="1:21" x14ac:dyDescent="0.3">
      <c r="A1298" s="14" t="s">
        <v>4133</v>
      </c>
      <c r="B1298" t="s">
        <v>32</v>
      </c>
      <c r="C1298" t="s">
        <v>44</v>
      </c>
      <c r="D1298">
        <v>1</v>
      </c>
      <c r="E1298" s="7">
        <v>84.15</v>
      </c>
      <c r="F1298">
        <v>32246572</v>
      </c>
      <c r="J1298" t="s">
        <v>2256</v>
      </c>
      <c r="K1298" t="s">
        <v>3</v>
      </c>
      <c r="L1298" s="2">
        <v>43252</v>
      </c>
      <c r="M1298" s="2">
        <f>DOCXX[[#This Row],[INV DOC DATE]]+30</f>
        <v>43282</v>
      </c>
      <c r="N1298" s="2">
        <v>43290</v>
      </c>
      <c r="O1298" s="7">
        <v>84.15</v>
      </c>
      <c r="P1298" s="2">
        <v>43304</v>
      </c>
      <c r="Q1298" s="7">
        <f>$E1298-$O1298</f>
        <v>0</v>
      </c>
      <c r="R1298" s="7" t="str">
        <f ca="1">IF(TODAY() - DOCXX[INV DUE DATE]&lt;30, "Less than 30 days",IF(TODAY()-DOCXX[INV DUE DATE]&lt;60,"30-60 days","More than 60 days"))</f>
        <v>Less than 30 days</v>
      </c>
      <c r="S1298" t="s">
        <v>818</v>
      </c>
      <c r="T1298" s="133" t="s">
        <v>5437</v>
      </c>
      <c r="U1298" s="7" t="s">
        <v>3699</v>
      </c>
    </row>
    <row r="1299" spans="1:21" x14ac:dyDescent="0.3">
      <c r="A1299" s="14" t="s">
        <v>4133</v>
      </c>
      <c r="B1299" t="s">
        <v>32</v>
      </c>
      <c r="C1299" t="s">
        <v>45</v>
      </c>
      <c r="D1299">
        <v>1</v>
      </c>
      <c r="E1299" s="7">
        <v>65.45</v>
      </c>
      <c r="F1299">
        <v>32246573</v>
      </c>
      <c r="J1299" t="s">
        <v>2256</v>
      </c>
      <c r="K1299" t="s">
        <v>3</v>
      </c>
      <c r="L1299" s="2">
        <v>43252</v>
      </c>
      <c r="M1299" s="2">
        <f>DOCXX[[#This Row],[INV DOC DATE]]+30</f>
        <v>43282</v>
      </c>
      <c r="N1299" s="2">
        <v>43290</v>
      </c>
      <c r="O1299" s="7">
        <v>65.45</v>
      </c>
      <c r="P1299" s="2">
        <v>43304</v>
      </c>
      <c r="Q1299" s="7">
        <f>$E1299-$O1299</f>
        <v>0</v>
      </c>
      <c r="R1299" s="7" t="str">
        <f ca="1">IF(TODAY() - DOCXX[INV DUE DATE]&lt;30, "Less than 30 days",IF(TODAY()-DOCXX[INV DUE DATE]&lt;60,"30-60 days","More than 60 days"))</f>
        <v>Less than 30 days</v>
      </c>
      <c r="S1299" t="s">
        <v>818</v>
      </c>
      <c r="T1299" s="133" t="s">
        <v>5437</v>
      </c>
      <c r="U1299" s="7" t="s">
        <v>3699</v>
      </c>
    </row>
    <row r="1300" spans="1:21" x14ac:dyDescent="0.3">
      <c r="A1300" s="14" t="s">
        <v>4133</v>
      </c>
      <c r="B1300" t="s">
        <v>32</v>
      </c>
      <c r="C1300" t="s">
        <v>46</v>
      </c>
      <c r="D1300">
        <v>1</v>
      </c>
      <c r="E1300" s="7">
        <v>93.5</v>
      </c>
      <c r="F1300">
        <v>32246574</v>
      </c>
      <c r="J1300" t="s">
        <v>2256</v>
      </c>
      <c r="K1300" t="s">
        <v>3</v>
      </c>
      <c r="L1300" s="2">
        <v>43252</v>
      </c>
      <c r="M1300" s="2">
        <f>DOCXX[[#This Row],[INV DOC DATE]]+30</f>
        <v>43282</v>
      </c>
      <c r="N1300" s="2">
        <v>43290</v>
      </c>
      <c r="O1300" s="7">
        <v>93.5</v>
      </c>
      <c r="P1300" s="2">
        <v>43304</v>
      </c>
      <c r="Q1300" s="7">
        <f>$E1300-$O1300</f>
        <v>0</v>
      </c>
      <c r="R1300" s="7" t="str">
        <f ca="1">IF(TODAY() - DOCXX[INV DUE DATE]&lt;30, "Less than 30 days",IF(TODAY()-DOCXX[INV DUE DATE]&lt;60,"30-60 days","More than 60 days"))</f>
        <v>Less than 30 days</v>
      </c>
      <c r="S1300" t="s">
        <v>818</v>
      </c>
      <c r="T1300" s="133" t="s">
        <v>5437</v>
      </c>
      <c r="U1300" s="7" t="s">
        <v>3699</v>
      </c>
    </row>
    <row r="1301" spans="1:21" x14ac:dyDescent="0.3">
      <c r="A1301" s="14" t="s">
        <v>4133</v>
      </c>
      <c r="B1301" t="s">
        <v>32</v>
      </c>
      <c r="C1301" t="s">
        <v>47</v>
      </c>
      <c r="D1301">
        <v>1</v>
      </c>
      <c r="E1301" s="7">
        <v>93.5</v>
      </c>
      <c r="F1301">
        <v>32246575</v>
      </c>
      <c r="J1301" t="s">
        <v>2256</v>
      </c>
      <c r="K1301" t="s">
        <v>3</v>
      </c>
      <c r="L1301" s="2">
        <v>43252</v>
      </c>
      <c r="M1301" s="2">
        <f>DOCXX[[#This Row],[INV DOC DATE]]+30</f>
        <v>43282</v>
      </c>
      <c r="N1301" s="2">
        <v>43290</v>
      </c>
      <c r="O1301" s="7">
        <v>93.5</v>
      </c>
      <c r="P1301" s="2">
        <v>43304</v>
      </c>
      <c r="Q1301" s="7">
        <f>$E1301-$O1301</f>
        <v>0</v>
      </c>
      <c r="R1301" s="7" t="str">
        <f ca="1">IF(TODAY() - DOCXX[INV DUE DATE]&lt;30, "Less than 30 days",IF(TODAY()-DOCXX[INV DUE DATE]&lt;60,"30-60 days","More than 60 days"))</f>
        <v>Less than 30 days</v>
      </c>
      <c r="S1301" t="s">
        <v>818</v>
      </c>
      <c r="T1301" s="133" t="s">
        <v>5437</v>
      </c>
      <c r="U1301" s="7" t="s">
        <v>3699</v>
      </c>
    </row>
    <row r="1302" spans="1:21" x14ac:dyDescent="0.3">
      <c r="A1302" s="14" t="s">
        <v>4133</v>
      </c>
      <c r="B1302" t="s">
        <v>32</v>
      </c>
      <c r="C1302" t="s">
        <v>295</v>
      </c>
      <c r="D1302">
        <v>1</v>
      </c>
      <c r="E1302" s="7">
        <v>93.5</v>
      </c>
      <c r="F1302">
        <v>32246579</v>
      </c>
      <c r="J1302" t="s">
        <v>2256</v>
      </c>
      <c r="K1302" t="s">
        <v>3</v>
      </c>
      <c r="L1302" s="2">
        <v>43252</v>
      </c>
      <c r="M1302" s="2">
        <f>DOCXX[[#This Row],[INV DOC DATE]]+30</f>
        <v>43282</v>
      </c>
      <c r="N1302" s="2">
        <v>43290</v>
      </c>
      <c r="O1302" s="7">
        <v>93.5</v>
      </c>
      <c r="P1302" s="2">
        <v>43304</v>
      </c>
      <c r="Q1302" s="7">
        <f>$E1302-$O1302</f>
        <v>0</v>
      </c>
      <c r="R1302" s="7" t="str">
        <f ca="1">IF(TODAY() - DOCXX[INV DUE DATE]&lt;30, "Less than 30 days",IF(TODAY()-DOCXX[INV DUE DATE]&lt;60,"30-60 days","More than 60 days"))</f>
        <v>Less than 30 days</v>
      </c>
      <c r="S1302" t="s">
        <v>818</v>
      </c>
      <c r="T1302" s="133" t="s">
        <v>5437</v>
      </c>
      <c r="U1302" s="7" t="s">
        <v>3699</v>
      </c>
    </row>
    <row r="1303" spans="1:21" x14ac:dyDescent="0.3">
      <c r="A1303" s="14" t="s">
        <v>4133</v>
      </c>
      <c r="B1303" t="s">
        <v>32</v>
      </c>
      <c r="C1303" t="s">
        <v>48</v>
      </c>
      <c r="D1303">
        <v>1</v>
      </c>
      <c r="E1303" s="7">
        <v>84.15</v>
      </c>
      <c r="F1303">
        <v>32246625</v>
      </c>
      <c r="J1303" t="s">
        <v>2256</v>
      </c>
      <c r="K1303" t="s">
        <v>3</v>
      </c>
      <c r="L1303" s="2">
        <v>43252</v>
      </c>
      <c r="M1303" s="2">
        <f>DOCXX[[#This Row],[INV DOC DATE]]+30</f>
        <v>43282</v>
      </c>
      <c r="N1303" s="2">
        <v>43290</v>
      </c>
      <c r="O1303" s="7">
        <v>84.15</v>
      </c>
      <c r="P1303" s="2">
        <v>43304</v>
      </c>
      <c r="Q1303" s="7">
        <f>$E1303-$O1303</f>
        <v>0</v>
      </c>
      <c r="R1303" s="7" t="str">
        <f ca="1">IF(TODAY() - DOCXX[INV DUE DATE]&lt;30, "Less than 30 days",IF(TODAY()-DOCXX[INV DUE DATE]&lt;60,"30-60 days","More than 60 days"))</f>
        <v>Less than 30 days</v>
      </c>
      <c r="S1303" t="s">
        <v>818</v>
      </c>
      <c r="T1303" s="133" t="s">
        <v>5437</v>
      </c>
      <c r="U1303" s="7" t="s">
        <v>3699</v>
      </c>
    </row>
    <row r="1304" spans="1:21" x14ac:dyDescent="0.3">
      <c r="A1304" s="14" t="s">
        <v>4133</v>
      </c>
      <c r="B1304" t="s">
        <v>32</v>
      </c>
      <c r="C1304" t="s">
        <v>49</v>
      </c>
      <c r="D1304">
        <v>1</v>
      </c>
      <c r="E1304" s="7">
        <v>196.35</v>
      </c>
      <c r="F1304">
        <v>32246627</v>
      </c>
      <c r="J1304" t="s">
        <v>2256</v>
      </c>
      <c r="K1304" t="s">
        <v>3</v>
      </c>
      <c r="L1304" s="2">
        <v>43252</v>
      </c>
      <c r="M1304" s="2">
        <f>DOCXX[[#This Row],[INV DOC DATE]]+30</f>
        <v>43282</v>
      </c>
      <c r="N1304" s="2">
        <v>43290</v>
      </c>
      <c r="O1304" s="7">
        <v>196.35</v>
      </c>
      <c r="P1304" s="2">
        <v>43304</v>
      </c>
      <c r="Q1304" s="7">
        <f>$E1304-$O1304</f>
        <v>0</v>
      </c>
      <c r="R1304" s="7" t="str">
        <f ca="1">IF(TODAY() - DOCXX[INV DUE DATE]&lt;30, "Less than 30 days",IF(TODAY()-DOCXX[INV DUE DATE]&lt;60,"30-60 days","More than 60 days"))</f>
        <v>Less than 30 days</v>
      </c>
      <c r="S1304" t="s">
        <v>818</v>
      </c>
      <c r="T1304" s="133" t="s">
        <v>5437</v>
      </c>
      <c r="U1304" s="7" t="s">
        <v>3699</v>
      </c>
    </row>
    <row r="1305" spans="1:21" x14ac:dyDescent="0.3">
      <c r="A1305" s="14" t="s">
        <v>4133</v>
      </c>
      <c r="B1305" t="s">
        <v>32</v>
      </c>
      <c r="C1305" t="s">
        <v>50</v>
      </c>
      <c r="D1305">
        <v>1</v>
      </c>
      <c r="E1305" s="7">
        <v>140.25</v>
      </c>
      <c r="F1305">
        <v>32246697</v>
      </c>
      <c r="J1305" t="s">
        <v>2256</v>
      </c>
      <c r="K1305" t="s">
        <v>3</v>
      </c>
      <c r="L1305" s="2">
        <v>43252</v>
      </c>
      <c r="M1305" s="2">
        <f>DOCXX[[#This Row],[INV DOC DATE]]+30</f>
        <v>43282</v>
      </c>
      <c r="N1305" s="2">
        <v>43290</v>
      </c>
      <c r="O1305" s="7">
        <v>140.25</v>
      </c>
      <c r="P1305" s="2">
        <v>43304</v>
      </c>
      <c r="Q1305" s="7">
        <f>$E1305-$O1305</f>
        <v>0</v>
      </c>
      <c r="R1305" s="7" t="str">
        <f ca="1">IF(TODAY() - DOCXX[INV DUE DATE]&lt;30, "Less than 30 days",IF(TODAY()-DOCXX[INV DUE DATE]&lt;60,"30-60 days","More than 60 days"))</f>
        <v>Less than 30 days</v>
      </c>
      <c r="S1305" t="s">
        <v>818</v>
      </c>
      <c r="T1305" s="133" t="s">
        <v>5437</v>
      </c>
      <c r="U1305" s="7" t="s">
        <v>3699</v>
      </c>
    </row>
    <row r="1306" spans="1:21" x14ac:dyDescent="0.3">
      <c r="A1306" s="14" t="s">
        <v>4133</v>
      </c>
      <c r="B1306" t="s">
        <v>32</v>
      </c>
      <c r="C1306" t="s">
        <v>51</v>
      </c>
      <c r="D1306">
        <v>1</v>
      </c>
      <c r="E1306" s="7">
        <v>84.15</v>
      </c>
      <c r="F1306">
        <v>32246770</v>
      </c>
      <c r="J1306" t="s">
        <v>2256</v>
      </c>
      <c r="K1306" t="s">
        <v>3</v>
      </c>
      <c r="L1306" s="2">
        <v>43252</v>
      </c>
      <c r="M1306" s="2">
        <f>DOCXX[[#This Row],[INV DOC DATE]]+30</f>
        <v>43282</v>
      </c>
      <c r="N1306" s="2">
        <v>43290</v>
      </c>
      <c r="O1306" s="7">
        <v>84.15</v>
      </c>
      <c r="P1306" s="2">
        <v>43304</v>
      </c>
      <c r="Q1306" s="7">
        <f>$E1306-$O1306</f>
        <v>0</v>
      </c>
      <c r="R1306" s="7" t="str">
        <f ca="1">IF(TODAY() - DOCXX[INV DUE DATE]&lt;30, "Less than 30 days",IF(TODAY()-DOCXX[INV DUE DATE]&lt;60,"30-60 days","More than 60 days"))</f>
        <v>Less than 30 days</v>
      </c>
      <c r="S1306" t="s">
        <v>818</v>
      </c>
      <c r="T1306" s="133" t="s">
        <v>5437</v>
      </c>
      <c r="U1306" s="7" t="s">
        <v>3699</v>
      </c>
    </row>
    <row r="1307" spans="1:21" x14ac:dyDescent="0.3">
      <c r="A1307" s="14" t="s">
        <v>4133</v>
      </c>
      <c r="B1307" t="s">
        <v>32</v>
      </c>
      <c r="C1307" t="s">
        <v>52</v>
      </c>
      <c r="D1307">
        <v>1</v>
      </c>
      <c r="E1307" s="7">
        <v>149.6</v>
      </c>
      <c r="F1307">
        <v>32246771</v>
      </c>
      <c r="J1307" t="s">
        <v>2256</v>
      </c>
      <c r="K1307" t="s">
        <v>3</v>
      </c>
      <c r="L1307" s="2">
        <v>43252</v>
      </c>
      <c r="M1307" s="2">
        <f>DOCXX[[#This Row],[INV DOC DATE]]+30</f>
        <v>43282</v>
      </c>
      <c r="N1307" s="2">
        <v>43290</v>
      </c>
      <c r="O1307" s="7">
        <v>149.6</v>
      </c>
      <c r="P1307" s="2">
        <v>43304</v>
      </c>
      <c r="Q1307" s="7">
        <f>$E1307-$O1307</f>
        <v>0</v>
      </c>
      <c r="R1307" s="7" t="str">
        <f ca="1">IF(TODAY() - DOCXX[INV DUE DATE]&lt;30, "Less than 30 days",IF(TODAY()-DOCXX[INV DUE DATE]&lt;60,"30-60 days","More than 60 days"))</f>
        <v>Less than 30 days</v>
      </c>
      <c r="S1307" t="s">
        <v>818</v>
      </c>
      <c r="T1307" s="133" t="s">
        <v>5437</v>
      </c>
      <c r="U1307" s="7" t="s">
        <v>3699</v>
      </c>
    </row>
    <row r="1308" spans="1:21" x14ac:dyDescent="0.3">
      <c r="A1308" s="14" t="s">
        <v>4133</v>
      </c>
      <c r="B1308" t="s">
        <v>32</v>
      </c>
      <c r="C1308" t="s">
        <v>53</v>
      </c>
      <c r="D1308">
        <v>1</v>
      </c>
      <c r="E1308" s="7">
        <v>93.5</v>
      </c>
      <c r="F1308">
        <v>32246772</v>
      </c>
      <c r="J1308" t="s">
        <v>2256</v>
      </c>
      <c r="K1308" t="s">
        <v>3</v>
      </c>
      <c r="L1308" s="2">
        <v>43252</v>
      </c>
      <c r="M1308" s="2">
        <f>DOCXX[[#This Row],[INV DOC DATE]]+30</f>
        <v>43282</v>
      </c>
      <c r="N1308" s="2">
        <v>43290</v>
      </c>
      <c r="O1308" s="7">
        <v>93.5</v>
      </c>
      <c r="P1308" s="2">
        <v>43304</v>
      </c>
      <c r="Q1308" s="7">
        <f>$E1308-$O1308</f>
        <v>0</v>
      </c>
      <c r="R1308" s="7" t="str">
        <f ca="1">IF(TODAY() - DOCXX[INV DUE DATE]&lt;30, "Less than 30 days",IF(TODAY()-DOCXX[INV DUE DATE]&lt;60,"30-60 days","More than 60 days"))</f>
        <v>Less than 30 days</v>
      </c>
      <c r="S1308" t="s">
        <v>818</v>
      </c>
      <c r="T1308" s="133" t="s">
        <v>5437</v>
      </c>
      <c r="U1308" s="7" t="s">
        <v>3699</v>
      </c>
    </row>
    <row r="1309" spans="1:21" x14ac:dyDescent="0.3">
      <c r="A1309" s="14" t="s">
        <v>4133</v>
      </c>
      <c r="B1309" t="s">
        <v>32</v>
      </c>
      <c r="C1309" t="s">
        <v>54</v>
      </c>
      <c r="D1309">
        <v>1</v>
      </c>
      <c r="E1309" s="7">
        <v>215.05</v>
      </c>
      <c r="F1309">
        <v>32246773</v>
      </c>
      <c r="J1309" t="s">
        <v>2256</v>
      </c>
      <c r="K1309" t="s">
        <v>3</v>
      </c>
      <c r="L1309" s="2">
        <v>43252</v>
      </c>
      <c r="M1309" s="2">
        <f>DOCXX[[#This Row],[INV DOC DATE]]+30</f>
        <v>43282</v>
      </c>
      <c r="N1309" s="2">
        <v>43290</v>
      </c>
      <c r="O1309" s="7">
        <v>215.05</v>
      </c>
      <c r="P1309" s="2">
        <v>43304</v>
      </c>
      <c r="Q1309" s="7">
        <f>$E1309-$O1309</f>
        <v>0</v>
      </c>
      <c r="R1309" s="7" t="str">
        <f ca="1">IF(TODAY() - DOCXX[INV DUE DATE]&lt;30, "Less than 30 days",IF(TODAY()-DOCXX[INV DUE DATE]&lt;60,"30-60 days","More than 60 days"))</f>
        <v>Less than 30 days</v>
      </c>
      <c r="S1309" t="s">
        <v>818</v>
      </c>
      <c r="T1309" s="133" t="s">
        <v>5437</v>
      </c>
      <c r="U1309" s="7" t="s">
        <v>3699</v>
      </c>
    </row>
    <row r="1310" spans="1:21" x14ac:dyDescent="0.3">
      <c r="A1310" s="14" t="s">
        <v>4133</v>
      </c>
      <c r="B1310" t="s">
        <v>32</v>
      </c>
      <c r="C1310" t="s">
        <v>55</v>
      </c>
      <c r="D1310">
        <v>1</v>
      </c>
      <c r="E1310" s="7">
        <v>84.15</v>
      </c>
      <c r="F1310">
        <v>32246775</v>
      </c>
      <c r="J1310" t="s">
        <v>2256</v>
      </c>
      <c r="K1310" t="s">
        <v>3</v>
      </c>
      <c r="L1310" s="2">
        <v>43252</v>
      </c>
      <c r="M1310" s="2">
        <f>DOCXX[[#This Row],[INV DOC DATE]]+30</f>
        <v>43282</v>
      </c>
      <c r="N1310" s="2">
        <v>43290</v>
      </c>
      <c r="O1310" s="7">
        <v>84.15</v>
      </c>
      <c r="P1310" s="2">
        <v>43304</v>
      </c>
      <c r="Q1310" s="7">
        <f>$E1310-$O1310</f>
        <v>0</v>
      </c>
      <c r="R1310" s="7" t="str">
        <f ca="1">IF(TODAY() - DOCXX[INV DUE DATE]&lt;30, "Less than 30 days",IF(TODAY()-DOCXX[INV DUE DATE]&lt;60,"30-60 days","More than 60 days"))</f>
        <v>Less than 30 days</v>
      </c>
      <c r="S1310" t="s">
        <v>818</v>
      </c>
      <c r="T1310" s="133" t="s">
        <v>5437</v>
      </c>
      <c r="U1310" s="7" t="s">
        <v>3699</v>
      </c>
    </row>
    <row r="1311" spans="1:21" x14ac:dyDescent="0.3">
      <c r="A1311" s="14" t="s">
        <v>4133</v>
      </c>
      <c r="B1311" t="s">
        <v>32</v>
      </c>
      <c r="C1311" t="s">
        <v>56</v>
      </c>
      <c r="D1311">
        <v>1</v>
      </c>
      <c r="E1311" s="7">
        <v>93.5</v>
      </c>
      <c r="F1311">
        <v>32246776</v>
      </c>
      <c r="J1311" t="s">
        <v>2256</v>
      </c>
      <c r="K1311" t="s">
        <v>3</v>
      </c>
      <c r="L1311" s="2">
        <v>43252</v>
      </c>
      <c r="M1311" s="2">
        <f>DOCXX[[#This Row],[INV DOC DATE]]+30</f>
        <v>43282</v>
      </c>
      <c r="N1311" s="2">
        <v>43290</v>
      </c>
      <c r="O1311" s="7">
        <v>93.5</v>
      </c>
      <c r="P1311" s="2">
        <v>43304</v>
      </c>
      <c r="Q1311" s="7">
        <f>$E1311-$O1311</f>
        <v>0</v>
      </c>
      <c r="R1311" s="7" t="str">
        <f ca="1">IF(TODAY() - DOCXX[INV DUE DATE]&lt;30, "Less than 30 days",IF(TODAY()-DOCXX[INV DUE DATE]&lt;60,"30-60 days","More than 60 days"))</f>
        <v>Less than 30 days</v>
      </c>
      <c r="S1311" t="s">
        <v>818</v>
      </c>
      <c r="T1311" s="133" t="s">
        <v>5437</v>
      </c>
      <c r="U1311" s="7" t="s">
        <v>3699</v>
      </c>
    </row>
    <row r="1312" spans="1:21" x14ac:dyDescent="0.3">
      <c r="A1312" s="14" t="s">
        <v>4133</v>
      </c>
      <c r="B1312" t="s">
        <v>32</v>
      </c>
      <c r="C1312" t="s">
        <v>57</v>
      </c>
      <c r="D1312">
        <v>1</v>
      </c>
      <c r="E1312" s="7">
        <v>37.4</v>
      </c>
      <c r="F1312">
        <v>32246777</v>
      </c>
      <c r="J1312" t="s">
        <v>2256</v>
      </c>
      <c r="K1312" t="s">
        <v>3</v>
      </c>
      <c r="L1312" s="2">
        <v>43252</v>
      </c>
      <c r="M1312" s="2">
        <f>DOCXX[[#This Row],[INV DOC DATE]]+30</f>
        <v>43282</v>
      </c>
      <c r="N1312" s="2">
        <v>43290</v>
      </c>
      <c r="O1312" s="7">
        <v>37.4</v>
      </c>
      <c r="P1312" s="2">
        <v>43304</v>
      </c>
      <c r="Q1312" s="7">
        <f>$E1312-$O1312</f>
        <v>0</v>
      </c>
      <c r="R1312" s="7" t="str">
        <f ca="1">IF(TODAY() - DOCXX[INV DUE DATE]&lt;30, "Less than 30 days",IF(TODAY()-DOCXX[INV DUE DATE]&lt;60,"30-60 days","More than 60 days"))</f>
        <v>Less than 30 days</v>
      </c>
      <c r="S1312" t="s">
        <v>818</v>
      </c>
      <c r="T1312" s="133" t="s">
        <v>5437</v>
      </c>
      <c r="U1312" s="7" t="s">
        <v>3699</v>
      </c>
    </row>
    <row r="1313" spans="1:21" x14ac:dyDescent="0.3">
      <c r="A1313" s="14" t="s">
        <v>4133</v>
      </c>
      <c r="B1313" t="s">
        <v>32</v>
      </c>
      <c r="C1313" t="s">
        <v>58</v>
      </c>
      <c r="D1313">
        <v>1</v>
      </c>
      <c r="E1313" s="7">
        <v>121.55</v>
      </c>
      <c r="F1313">
        <v>32246778</v>
      </c>
      <c r="J1313" t="s">
        <v>2256</v>
      </c>
      <c r="K1313" t="s">
        <v>3</v>
      </c>
      <c r="L1313" s="2">
        <v>43252</v>
      </c>
      <c r="M1313" s="2">
        <f>DOCXX[[#This Row],[INV DOC DATE]]+30</f>
        <v>43282</v>
      </c>
      <c r="N1313" s="2">
        <v>43290</v>
      </c>
      <c r="O1313" s="7">
        <v>121.55</v>
      </c>
      <c r="P1313" s="2">
        <v>43304</v>
      </c>
      <c r="Q1313" s="7">
        <f>$E1313-$O1313</f>
        <v>0</v>
      </c>
      <c r="R1313" s="7" t="str">
        <f ca="1">IF(TODAY() - DOCXX[INV DUE DATE]&lt;30, "Less than 30 days",IF(TODAY()-DOCXX[INV DUE DATE]&lt;60,"30-60 days","More than 60 days"))</f>
        <v>Less than 30 days</v>
      </c>
      <c r="S1313" t="s">
        <v>818</v>
      </c>
      <c r="T1313" s="133" t="s">
        <v>5437</v>
      </c>
      <c r="U1313" s="7" t="s">
        <v>3699</v>
      </c>
    </row>
    <row r="1314" spans="1:21" x14ac:dyDescent="0.3">
      <c r="A1314" s="14" t="s">
        <v>4133</v>
      </c>
      <c r="B1314" t="s">
        <v>32</v>
      </c>
      <c r="C1314" t="s">
        <v>59</v>
      </c>
      <c r="D1314">
        <v>1</v>
      </c>
      <c r="E1314" s="7">
        <v>37.4</v>
      </c>
      <c r="F1314">
        <v>32246779</v>
      </c>
      <c r="J1314" t="s">
        <v>2256</v>
      </c>
      <c r="K1314" t="s">
        <v>3</v>
      </c>
      <c r="L1314" s="2">
        <v>43252</v>
      </c>
      <c r="M1314" s="2">
        <f>DOCXX[[#This Row],[INV DOC DATE]]+30</f>
        <v>43282</v>
      </c>
      <c r="N1314" s="2">
        <v>43290</v>
      </c>
      <c r="O1314" s="7">
        <v>37.4</v>
      </c>
      <c r="P1314" s="2">
        <v>43304</v>
      </c>
      <c r="Q1314" s="7">
        <f>$E1314-$O1314</f>
        <v>0</v>
      </c>
      <c r="R1314" s="7" t="str">
        <f ca="1">IF(TODAY() - DOCXX[INV DUE DATE]&lt;30, "Less than 30 days",IF(TODAY()-DOCXX[INV DUE DATE]&lt;60,"30-60 days","More than 60 days"))</f>
        <v>Less than 30 days</v>
      </c>
      <c r="S1314" t="s">
        <v>818</v>
      </c>
      <c r="T1314" s="133" t="s">
        <v>5437</v>
      </c>
      <c r="U1314" s="7" t="s">
        <v>3699</v>
      </c>
    </row>
    <row r="1315" spans="1:21" x14ac:dyDescent="0.3">
      <c r="A1315" s="14" t="s">
        <v>4133</v>
      </c>
      <c r="B1315" t="s">
        <v>32</v>
      </c>
      <c r="C1315" t="s">
        <v>60</v>
      </c>
      <c r="D1315">
        <v>1</v>
      </c>
      <c r="E1315" s="7">
        <v>65.45</v>
      </c>
      <c r="F1315">
        <v>32246830</v>
      </c>
      <c r="J1315" t="s">
        <v>2256</v>
      </c>
      <c r="K1315" t="s">
        <v>3</v>
      </c>
      <c r="L1315" s="2">
        <v>43252</v>
      </c>
      <c r="M1315" s="2">
        <f>DOCXX[[#This Row],[INV DOC DATE]]+30</f>
        <v>43282</v>
      </c>
      <c r="N1315" s="2">
        <v>43290</v>
      </c>
      <c r="O1315" s="7">
        <v>65.45</v>
      </c>
      <c r="P1315" s="2">
        <v>43304</v>
      </c>
      <c r="Q1315" s="7">
        <f>$E1315-$O1315</f>
        <v>0</v>
      </c>
      <c r="R1315" s="7" t="str">
        <f ca="1">IF(TODAY() - DOCXX[INV DUE DATE]&lt;30, "Less than 30 days",IF(TODAY()-DOCXX[INV DUE DATE]&lt;60,"30-60 days","More than 60 days"))</f>
        <v>Less than 30 days</v>
      </c>
      <c r="S1315" t="s">
        <v>818</v>
      </c>
      <c r="T1315" s="133" t="s">
        <v>5437</v>
      </c>
      <c r="U1315" s="7" t="s">
        <v>3699</v>
      </c>
    </row>
    <row r="1316" spans="1:21" x14ac:dyDescent="0.3">
      <c r="A1316" s="14" t="s">
        <v>4133</v>
      </c>
      <c r="B1316" t="s">
        <v>32</v>
      </c>
      <c r="C1316" t="s">
        <v>61</v>
      </c>
      <c r="D1316">
        <v>1</v>
      </c>
      <c r="E1316" s="7">
        <v>130.9</v>
      </c>
      <c r="F1316">
        <v>32246861</v>
      </c>
      <c r="J1316" t="s">
        <v>2256</v>
      </c>
      <c r="K1316" t="s">
        <v>3</v>
      </c>
      <c r="L1316" s="2">
        <v>43252</v>
      </c>
      <c r="M1316" s="2">
        <f>DOCXX[[#This Row],[INV DOC DATE]]+30</f>
        <v>43282</v>
      </c>
      <c r="N1316" s="2">
        <v>43290</v>
      </c>
      <c r="O1316" s="7">
        <v>130.9</v>
      </c>
      <c r="P1316" s="2">
        <v>43304</v>
      </c>
      <c r="Q1316" s="7">
        <f>$E1316-$O1316</f>
        <v>0</v>
      </c>
      <c r="R1316" s="7" t="str">
        <f ca="1">IF(TODAY() - DOCXX[INV DUE DATE]&lt;30, "Less than 30 days",IF(TODAY()-DOCXX[INV DUE DATE]&lt;60,"30-60 days","More than 60 days"))</f>
        <v>Less than 30 days</v>
      </c>
      <c r="S1316" t="s">
        <v>818</v>
      </c>
      <c r="T1316" s="133" t="s">
        <v>5437</v>
      </c>
      <c r="U1316" s="7" t="s">
        <v>3699</v>
      </c>
    </row>
    <row r="1317" spans="1:21" x14ac:dyDescent="0.3">
      <c r="A1317" s="14" t="s">
        <v>4133</v>
      </c>
      <c r="B1317" t="s">
        <v>32</v>
      </c>
      <c r="C1317" t="s">
        <v>63</v>
      </c>
      <c r="D1317">
        <v>1</v>
      </c>
      <c r="E1317" s="7">
        <v>74.8</v>
      </c>
      <c r="F1317">
        <v>32246941</v>
      </c>
      <c r="J1317" t="s">
        <v>2256</v>
      </c>
      <c r="K1317" t="s">
        <v>3</v>
      </c>
      <c r="L1317" s="2">
        <v>43252</v>
      </c>
      <c r="M1317" s="2">
        <f>DOCXX[[#This Row],[INV DOC DATE]]+30</f>
        <v>43282</v>
      </c>
      <c r="N1317" s="2">
        <v>43290</v>
      </c>
      <c r="O1317" s="7">
        <v>74.8</v>
      </c>
      <c r="P1317" s="2">
        <v>43304</v>
      </c>
      <c r="Q1317" s="7">
        <f>$E1317-$O1317</f>
        <v>0</v>
      </c>
      <c r="R1317" s="7" t="str">
        <f ca="1">IF(TODAY() - DOCXX[INV DUE DATE]&lt;30, "Less than 30 days",IF(TODAY()-DOCXX[INV DUE DATE]&lt;60,"30-60 days","More than 60 days"))</f>
        <v>Less than 30 days</v>
      </c>
      <c r="S1317" t="s">
        <v>818</v>
      </c>
      <c r="T1317" s="133" t="s">
        <v>5437</v>
      </c>
      <c r="U1317" s="7" t="s">
        <v>3699</v>
      </c>
    </row>
    <row r="1318" spans="1:21" x14ac:dyDescent="0.3">
      <c r="A1318" s="14" t="s">
        <v>4133</v>
      </c>
      <c r="B1318" t="s">
        <v>32</v>
      </c>
      <c r="C1318" t="s">
        <v>64</v>
      </c>
      <c r="D1318">
        <v>1</v>
      </c>
      <c r="E1318" s="7">
        <v>84.15</v>
      </c>
      <c r="F1318">
        <v>32246942</v>
      </c>
      <c r="J1318" t="s">
        <v>2256</v>
      </c>
      <c r="K1318" t="s">
        <v>3</v>
      </c>
      <c r="L1318" s="2">
        <v>43252</v>
      </c>
      <c r="M1318" s="2">
        <f>DOCXX[[#This Row],[INV DOC DATE]]+30</f>
        <v>43282</v>
      </c>
      <c r="N1318" s="2">
        <v>43290</v>
      </c>
      <c r="O1318" s="7">
        <v>84.15</v>
      </c>
      <c r="P1318" s="2">
        <v>43304</v>
      </c>
      <c r="Q1318" s="7">
        <f>$E1318-$O1318</f>
        <v>0</v>
      </c>
      <c r="R1318" s="7" t="str">
        <f ca="1">IF(TODAY() - DOCXX[INV DUE DATE]&lt;30, "Less than 30 days",IF(TODAY()-DOCXX[INV DUE DATE]&lt;60,"30-60 days","More than 60 days"))</f>
        <v>Less than 30 days</v>
      </c>
      <c r="S1318" t="s">
        <v>818</v>
      </c>
      <c r="T1318" s="133" t="s">
        <v>5437</v>
      </c>
      <c r="U1318" s="7" t="s">
        <v>3699</v>
      </c>
    </row>
    <row r="1319" spans="1:21" x14ac:dyDescent="0.3">
      <c r="A1319" s="14" t="s">
        <v>4133</v>
      </c>
      <c r="B1319" t="s">
        <v>32</v>
      </c>
      <c r="C1319" t="s">
        <v>65</v>
      </c>
      <c r="D1319">
        <v>1</v>
      </c>
      <c r="E1319" s="7">
        <v>74.8</v>
      </c>
      <c r="F1319">
        <v>32246943</v>
      </c>
      <c r="J1319" t="s">
        <v>2256</v>
      </c>
      <c r="K1319" t="s">
        <v>3</v>
      </c>
      <c r="L1319" s="2">
        <v>43252</v>
      </c>
      <c r="M1319" s="2">
        <f>DOCXX[[#This Row],[INV DOC DATE]]+30</f>
        <v>43282</v>
      </c>
      <c r="N1319" s="2">
        <v>43290</v>
      </c>
      <c r="O1319" s="7">
        <v>74.8</v>
      </c>
      <c r="P1319" s="2">
        <v>43304</v>
      </c>
      <c r="Q1319" s="7">
        <f>$E1319-$O1319</f>
        <v>0</v>
      </c>
      <c r="R1319" s="7" t="str">
        <f ca="1">IF(TODAY() - DOCXX[INV DUE DATE]&lt;30, "Less than 30 days",IF(TODAY()-DOCXX[INV DUE DATE]&lt;60,"30-60 days","More than 60 days"))</f>
        <v>Less than 30 days</v>
      </c>
      <c r="S1319" t="s">
        <v>818</v>
      </c>
      <c r="T1319" s="133" t="s">
        <v>5437</v>
      </c>
      <c r="U1319" s="7" t="s">
        <v>3699</v>
      </c>
    </row>
    <row r="1320" spans="1:21" x14ac:dyDescent="0.3">
      <c r="A1320" s="14" t="s">
        <v>4133</v>
      </c>
      <c r="B1320" t="s">
        <v>32</v>
      </c>
      <c r="C1320" t="s">
        <v>66</v>
      </c>
      <c r="D1320">
        <v>1</v>
      </c>
      <c r="E1320" s="7">
        <v>121.55</v>
      </c>
      <c r="F1320">
        <v>32246946</v>
      </c>
      <c r="J1320" t="s">
        <v>2256</v>
      </c>
      <c r="K1320" t="s">
        <v>3</v>
      </c>
      <c r="L1320" s="2">
        <v>43252</v>
      </c>
      <c r="M1320" s="2">
        <f>DOCXX[[#This Row],[INV DOC DATE]]+30</f>
        <v>43282</v>
      </c>
      <c r="N1320" s="2">
        <v>43290</v>
      </c>
      <c r="O1320" s="7">
        <v>121.55</v>
      </c>
      <c r="P1320" s="2">
        <v>43304</v>
      </c>
      <c r="Q1320" s="7">
        <f>$E1320-$O1320</f>
        <v>0</v>
      </c>
      <c r="R1320" s="7" t="str">
        <f ca="1">IF(TODAY() - DOCXX[INV DUE DATE]&lt;30, "Less than 30 days",IF(TODAY()-DOCXX[INV DUE DATE]&lt;60,"30-60 days","More than 60 days"))</f>
        <v>Less than 30 days</v>
      </c>
      <c r="S1320" t="s">
        <v>818</v>
      </c>
      <c r="T1320" s="133" t="s">
        <v>5437</v>
      </c>
      <c r="U1320" s="7" t="s">
        <v>3699</v>
      </c>
    </row>
    <row r="1321" spans="1:21" x14ac:dyDescent="0.3">
      <c r="A1321" s="14" t="s">
        <v>4133</v>
      </c>
      <c r="B1321" t="s">
        <v>32</v>
      </c>
      <c r="C1321" t="s">
        <v>67</v>
      </c>
      <c r="D1321">
        <v>1</v>
      </c>
      <c r="E1321" s="7">
        <v>93.5</v>
      </c>
      <c r="F1321">
        <v>32246947</v>
      </c>
      <c r="J1321" t="s">
        <v>2256</v>
      </c>
      <c r="K1321" t="s">
        <v>3</v>
      </c>
      <c r="L1321" s="2">
        <v>43252</v>
      </c>
      <c r="M1321" s="2">
        <f>DOCXX[[#This Row],[INV DOC DATE]]+30</f>
        <v>43282</v>
      </c>
      <c r="N1321" s="2">
        <v>43290</v>
      </c>
      <c r="O1321" s="7">
        <v>93.5</v>
      </c>
      <c r="P1321" s="2">
        <v>43304</v>
      </c>
      <c r="Q1321" s="7">
        <f>$E1321-$O1321</f>
        <v>0</v>
      </c>
      <c r="R1321" s="7" t="str">
        <f ca="1">IF(TODAY() - DOCXX[INV DUE DATE]&lt;30, "Less than 30 days",IF(TODAY()-DOCXX[INV DUE DATE]&lt;60,"30-60 days","More than 60 days"))</f>
        <v>Less than 30 days</v>
      </c>
      <c r="S1321" t="s">
        <v>818</v>
      </c>
      <c r="T1321" s="133" t="s">
        <v>5437</v>
      </c>
      <c r="U1321" s="7" t="s">
        <v>3699</v>
      </c>
    </row>
    <row r="1322" spans="1:21" x14ac:dyDescent="0.3">
      <c r="A1322" s="14" t="s">
        <v>4133</v>
      </c>
      <c r="B1322" t="s">
        <v>32</v>
      </c>
      <c r="C1322" t="s">
        <v>68</v>
      </c>
      <c r="D1322">
        <v>1</v>
      </c>
      <c r="E1322" s="7">
        <v>149.6</v>
      </c>
      <c r="F1322">
        <v>32246948</v>
      </c>
      <c r="J1322" t="s">
        <v>2256</v>
      </c>
      <c r="K1322" t="s">
        <v>3</v>
      </c>
      <c r="L1322" s="2">
        <v>43252</v>
      </c>
      <c r="M1322" s="2">
        <f>DOCXX[[#This Row],[INV DOC DATE]]+30</f>
        <v>43282</v>
      </c>
      <c r="N1322" s="2">
        <v>43290</v>
      </c>
      <c r="O1322" s="7">
        <v>149.6</v>
      </c>
      <c r="P1322" s="2">
        <v>43304</v>
      </c>
      <c r="Q1322" s="7">
        <f>$E1322-$O1322</f>
        <v>0</v>
      </c>
      <c r="R1322" s="7" t="str">
        <f ca="1">IF(TODAY() - DOCXX[INV DUE DATE]&lt;30, "Less than 30 days",IF(TODAY()-DOCXX[INV DUE DATE]&lt;60,"30-60 days","More than 60 days"))</f>
        <v>Less than 30 days</v>
      </c>
      <c r="S1322" t="s">
        <v>818</v>
      </c>
      <c r="T1322" s="133" t="s">
        <v>5437</v>
      </c>
      <c r="U1322" s="7" t="s">
        <v>3699</v>
      </c>
    </row>
    <row r="1323" spans="1:21" x14ac:dyDescent="0.3">
      <c r="A1323" s="14" t="s">
        <v>4133</v>
      </c>
      <c r="B1323" t="s">
        <v>32</v>
      </c>
      <c r="C1323" t="s">
        <v>69</v>
      </c>
      <c r="D1323">
        <v>1</v>
      </c>
      <c r="E1323" s="7">
        <v>74.8</v>
      </c>
      <c r="F1323">
        <v>32247181</v>
      </c>
      <c r="J1323" t="s">
        <v>2256</v>
      </c>
      <c r="K1323" t="s">
        <v>3</v>
      </c>
      <c r="L1323" s="2">
        <v>43252</v>
      </c>
      <c r="M1323" s="2">
        <f>DOCXX[[#This Row],[INV DOC DATE]]+30</f>
        <v>43282</v>
      </c>
      <c r="N1323" s="2">
        <v>43290</v>
      </c>
      <c r="O1323" s="7">
        <v>74.8</v>
      </c>
      <c r="P1323" s="2">
        <v>43304</v>
      </c>
      <c r="Q1323" s="7">
        <f>$E1323-$O1323</f>
        <v>0</v>
      </c>
      <c r="R1323" s="7" t="str">
        <f ca="1">IF(TODAY() - DOCXX[INV DUE DATE]&lt;30, "Less than 30 days",IF(TODAY()-DOCXX[INV DUE DATE]&lt;60,"30-60 days","More than 60 days"))</f>
        <v>Less than 30 days</v>
      </c>
      <c r="S1323" t="s">
        <v>818</v>
      </c>
      <c r="T1323" s="133" t="s">
        <v>5437</v>
      </c>
      <c r="U1323" s="7" t="s">
        <v>3699</v>
      </c>
    </row>
    <row r="1324" spans="1:21" x14ac:dyDescent="0.3">
      <c r="A1324" s="14" t="s">
        <v>4133</v>
      </c>
      <c r="B1324" t="s">
        <v>32</v>
      </c>
      <c r="C1324" t="s">
        <v>70</v>
      </c>
      <c r="D1324">
        <v>1</v>
      </c>
      <c r="E1324" s="7">
        <v>140.25</v>
      </c>
      <c r="F1324">
        <v>32247182</v>
      </c>
      <c r="J1324" t="s">
        <v>2256</v>
      </c>
      <c r="K1324" t="s">
        <v>3</v>
      </c>
      <c r="L1324" s="2">
        <v>43252</v>
      </c>
      <c r="M1324" s="2">
        <f>DOCXX[[#This Row],[INV DOC DATE]]+30</f>
        <v>43282</v>
      </c>
      <c r="N1324" s="2">
        <v>43290</v>
      </c>
      <c r="O1324" s="7">
        <v>140.25</v>
      </c>
      <c r="P1324" s="2">
        <v>43304</v>
      </c>
      <c r="Q1324" s="7">
        <f>$E1324-$O1324</f>
        <v>0</v>
      </c>
      <c r="R1324" s="7" t="str">
        <f ca="1">IF(TODAY() - DOCXX[INV DUE DATE]&lt;30, "Less than 30 days",IF(TODAY()-DOCXX[INV DUE DATE]&lt;60,"30-60 days","More than 60 days"))</f>
        <v>Less than 30 days</v>
      </c>
      <c r="S1324" t="s">
        <v>818</v>
      </c>
      <c r="T1324" s="133" t="s">
        <v>5437</v>
      </c>
      <c r="U1324" s="7" t="s">
        <v>3699</v>
      </c>
    </row>
    <row r="1325" spans="1:21" x14ac:dyDescent="0.3">
      <c r="A1325" s="14" t="s">
        <v>4133</v>
      </c>
      <c r="B1325" t="s">
        <v>32</v>
      </c>
      <c r="C1325" t="s">
        <v>71</v>
      </c>
      <c r="D1325">
        <v>1</v>
      </c>
      <c r="E1325" s="7">
        <v>168.3</v>
      </c>
      <c r="F1325">
        <v>32257822</v>
      </c>
      <c r="J1325" t="s">
        <v>2256</v>
      </c>
      <c r="K1325" t="s">
        <v>3</v>
      </c>
      <c r="L1325" s="2">
        <v>43252</v>
      </c>
      <c r="M1325" s="2">
        <f>DOCXX[[#This Row],[INV DOC DATE]]+30</f>
        <v>43282</v>
      </c>
      <c r="N1325" s="2">
        <v>43290</v>
      </c>
      <c r="O1325" s="7">
        <v>168.3</v>
      </c>
      <c r="P1325" s="2">
        <v>43304</v>
      </c>
      <c r="Q1325" s="7">
        <f>$E1325-$O1325</f>
        <v>0</v>
      </c>
      <c r="R1325" s="7" t="str">
        <f ca="1">IF(TODAY() - DOCXX[INV DUE DATE]&lt;30, "Less than 30 days",IF(TODAY()-DOCXX[INV DUE DATE]&lt;60,"30-60 days","More than 60 days"))</f>
        <v>Less than 30 days</v>
      </c>
      <c r="S1325" t="s">
        <v>818</v>
      </c>
      <c r="T1325" s="133" t="s">
        <v>5437</v>
      </c>
      <c r="U1325" s="7" t="s">
        <v>3699</v>
      </c>
    </row>
    <row r="1326" spans="1:21" x14ac:dyDescent="0.3">
      <c r="A1326" s="14" t="s">
        <v>4133</v>
      </c>
      <c r="B1326" t="s">
        <v>32</v>
      </c>
      <c r="C1326" t="s">
        <v>72</v>
      </c>
      <c r="D1326">
        <v>1</v>
      </c>
      <c r="E1326" s="7">
        <v>158.94999999999999</v>
      </c>
      <c r="F1326">
        <v>32266102</v>
      </c>
      <c r="J1326" t="s">
        <v>2256</v>
      </c>
      <c r="K1326" t="s">
        <v>3</v>
      </c>
      <c r="L1326" s="2">
        <v>43252</v>
      </c>
      <c r="M1326" s="2">
        <f>DOCXX[[#This Row],[INV DOC DATE]]+30</f>
        <v>43282</v>
      </c>
      <c r="N1326" s="2">
        <v>43290</v>
      </c>
      <c r="O1326" s="7">
        <v>158.94999999999999</v>
      </c>
      <c r="P1326" s="2">
        <v>43304</v>
      </c>
      <c r="Q1326" s="7">
        <f>$E1326-$O1326</f>
        <v>0</v>
      </c>
      <c r="R1326" s="7" t="str">
        <f ca="1">IF(TODAY() - DOCXX[INV DUE DATE]&lt;30, "Less than 30 days",IF(TODAY()-DOCXX[INV DUE DATE]&lt;60,"30-60 days","More than 60 days"))</f>
        <v>Less than 30 days</v>
      </c>
      <c r="S1326" t="s">
        <v>818</v>
      </c>
      <c r="T1326" s="133" t="s">
        <v>5437</v>
      </c>
      <c r="U1326" s="7" t="s">
        <v>3699</v>
      </c>
    </row>
    <row r="1327" spans="1:21" x14ac:dyDescent="0.3">
      <c r="A1327" s="14" t="s">
        <v>4133</v>
      </c>
      <c r="B1327" t="s">
        <v>32</v>
      </c>
      <c r="C1327" t="s">
        <v>73</v>
      </c>
      <c r="D1327">
        <v>1</v>
      </c>
      <c r="E1327" s="7">
        <v>158.94999999999999</v>
      </c>
      <c r="F1327">
        <v>32266103</v>
      </c>
      <c r="J1327" t="s">
        <v>2256</v>
      </c>
      <c r="K1327" t="s">
        <v>3</v>
      </c>
      <c r="L1327" s="2">
        <v>43252</v>
      </c>
      <c r="M1327" s="2">
        <f>DOCXX[[#This Row],[INV DOC DATE]]+30</f>
        <v>43282</v>
      </c>
      <c r="N1327" s="2">
        <v>43290</v>
      </c>
      <c r="O1327" s="7">
        <v>158.94999999999999</v>
      </c>
      <c r="P1327" s="2">
        <v>43304</v>
      </c>
      <c r="Q1327" s="7">
        <f>$E1327-$O1327</f>
        <v>0</v>
      </c>
      <c r="R1327" s="7" t="str">
        <f ca="1">IF(TODAY() - DOCXX[INV DUE DATE]&lt;30, "Less than 30 days",IF(TODAY()-DOCXX[INV DUE DATE]&lt;60,"30-60 days","More than 60 days"))</f>
        <v>Less than 30 days</v>
      </c>
      <c r="S1327" t="s">
        <v>818</v>
      </c>
      <c r="T1327" s="133" t="s">
        <v>5437</v>
      </c>
      <c r="U1327" s="7" t="s">
        <v>3699</v>
      </c>
    </row>
    <row r="1328" spans="1:21" x14ac:dyDescent="0.3">
      <c r="A1328" s="14" t="s">
        <v>4133</v>
      </c>
      <c r="B1328" t="s">
        <v>32</v>
      </c>
      <c r="C1328" t="s">
        <v>74</v>
      </c>
      <c r="D1328">
        <v>1</v>
      </c>
      <c r="E1328" s="7">
        <v>158.94999999999999</v>
      </c>
      <c r="F1328">
        <v>32266104</v>
      </c>
      <c r="J1328" t="s">
        <v>2256</v>
      </c>
      <c r="K1328" t="s">
        <v>3</v>
      </c>
      <c r="L1328" s="2">
        <v>43252</v>
      </c>
      <c r="M1328" s="2">
        <f>DOCXX[[#This Row],[INV DOC DATE]]+30</f>
        <v>43282</v>
      </c>
      <c r="N1328" s="2">
        <v>43290</v>
      </c>
      <c r="O1328" s="7">
        <v>158.94999999999999</v>
      </c>
      <c r="P1328" s="2">
        <v>43304</v>
      </c>
      <c r="Q1328" s="7">
        <f>$E1328-$O1328</f>
        <v>0</v>
      </c>
      <c r="R1328" s="7" t="str">
        <f ca="1">IF(TODAY() - DOCXX[INV DUE DATE]&lt;30, "Less than 30 days",IF(TODAY()-DOCXX[INV DUE DATE]&lt;60,"30-60 days","More than 60 days"))</f>
        <v>Less than 30 days</v>
      </c>
      <c r="S1328" t="s">
        <v>818</v>
      </c>
      <c r="T1328" s="133" t="s">
        <v>5437</v>
      </c>
      <c r="U1328" s="7" t="s">
        <v>3699</v>
      </c>
    </row>
    <row r="1329" spans="1:21" x14ac:dyDescent="0.3">
      <c r="A1329" s="14" t="s">
        <v>4133</v>
      </c>
      <c r="B1329" t="s">
        <v>32</v>
      </c>
      <c r="C1329" t="s">
        <v>75</v>
      </c>
      <c r="D1329">
        <v>1</v>
      </c>
      <c r="E1329" s="7">
        <v>158.94999999999999</v>
      </c>
      <c r="F1329">
        <v>32266105</v>
      </c>
      <c r="J1329" t="s">
        <v>2256</v>
      </c>
      <c r="K1329" t="s">
        <v>3</v>
      </c>
      <c r="L1329" s="2">
        <v>43252</v>
      </c>
      <c r="M1329" s="2">
        <f>DOCXX[[#This Row],[INV DOC DATE]]+30</f>
        <v>43282</v>
      </c>
      <c r="N1329" s="2">
        <v>43290</v>
      </c>
      <c r="O1329" s="7">
        <v>158.94999999999999</v>
      </c>
      <c r="P1329" s="2">
        <v>43304</v>
      </c>
      <c r="Q1329" s="7">
        <f>$E1329-$O1329</f>
        <v>0</v>
      </c>
      <c r="R1329" s="7" t="str">
        <f ca="1">IF(TODAY() - DOCXX[INV DUE DATE]&lt;30, "Less than 30 days",IF(TODAY()-DOCXX[INV DUE DATE]&lt;60,"30-60 days","More than 60 days"))</f>
        <v>Less than 30 days</v>
      </c>
      <c r="S1329" t="s">
        <v>818</v>
      </c>
      <c r="T1329" s="133" t="s">
        <v>5437</v>
      </c>
      <c r="U1329" s="7" t="s">
        <v>3699</v>
      </c>
    </row>
    <row r="1330" spans="1:21" x14ac:dyDescent="0.3">
      <c r="A1330" s="14" t="s">
        <v>4133</v>
      </c>
      <c r="B1330" t="s">
        <v>32</v>
      </c>
      <c r="C1330" t="s">
        <v>76</v>
      </c>
      <c r="D1330">
        <v>1</v>
      </c>
      <c r="E1330" s="7">
        <v>168.3</v>
      </c>
      <c r="F1330">
        <v>32266106</v>
      </c>
      <c r="J1330" t="s">
        <v>2256</v>
      </c>
      <c r="K1330" t="s">
        <v>3</v>
      </c>
      <c r="L1330" s="2">
        <v>43252</v>
      </c>
      <c r="M1330" s="2">
        <f>DOCXX[[#This Row],[INV DOC DATE]]+30</f>
        <v>43282</v>
      </c>
      <c r="N1330" s="2">
        <v>43290</v>
      </c>
      <c r="O1330" s="7">
        <v>168.3</v>
      </c>
      <c r="P1330" s="2">
        <v>43304</v>
      </c>
      <c r="Q1330" s="7">
        <f>$E1330-$O1330</f>
        <v>0</v>
      </c>
      <c r="R1330" s="7" t="str">
        <f ca="1">IF(TODAY() - DOCXX[INV DUE DATE]&lt;30, "Less than 30 days",IF(TODAY()-DOCXX[INV DUE DATE]&lt;60,"30-60 days","More than 60 days"))</f>
        <v>Less than 30 days</v>
      </c>
      <c r="S1330" t="s">
        <v>818</v>
      </c>
      <c r="T1330" s="133" t="s">
        <v>5437</v>
      </c>
      <c r="U1330" s="7" t="s">
        <v>3699</v>
      </c>
    </row>
    <row r="1331" spans="1:21" x14ac:dyDescent="0.3">
      <c r="A1331" s="14" t="s">
        <v>4133</v>
      </c>
      <c r="B1331" t="s">
        <v>32</v>
      </c>
      <c r="C1331" t="s">
        <v>77</v>
      </c>
      <c r="D1331">
        <v>1</v>
      </c>
      <c r="E1331" s="7">
        <v>158.94999999999999</v>
      </c>
      <c r="F1331">
        <v>32266107</v>
      </c>
      <c r="J1331" t="s">
        <v>2256</v>
      </c>
      <c r="K1331" t="s">
        <v>3</v>
      </c>
      <c r="L1331" s="2">
        <v>43252</v>
      </c>
      <c r="M1331" s="2">
        <f>DOCXX[[#This Row],[INV DOC DATE]]+30</f>
        <v>43282</v>
      </c>
      <c r="N1331" s="2">
        <v>43290</v>
      </c>
      <c r="O1331" s="7">
        <v>158.94999999999999</v>
      </c>
      <c r="P1331" s="2">
        <v>43304</v>
      </c>
      <c r="Q1331" s="7">
        <f>$E1331-$O1331</f>
        <v>0</v>
      </c>
      <c r="R1331" s="7" t="str">
        <f ca="1">IF(TODAY() - DOCXX[INV DUE DATE]&lt;30, "Less than 30 days",IF(TODAY()-DOCXX[INV DUE DATE]&lt;60,"30-60 days","More than 60 days"))</f>
        <v>Less than 30 days</v>
      </c>
      <c r="S1331" t="s">
        <v>818</v>
      </c>
      <c r="T1331" s="133" t="s">
        <v>5437</v>
      </c>
      <c r="U1331" s="7" t="s">
        <v>3699</v>
      </c>
    </row>
    <row r="1332" spans="1:21" x14ac:dyDescent="0.3">
      <c r="A1332" s="14" t="s">
        <v>4133</v>
      </c>
      <c r="B1332" t="s">
        <v>32</v>
      </c>
      <c r="C1332" t="s">
        <v>78</v>
      </c>
      <c r="D1332">
        <v>1</v>
      </c>
      <c r="E1332" s="7">
        <v>140.25</v>
      </c>
      <c r="F1332">
        <v>32266803</v>
      </c>
      <c r="J1332" t="s">
        <v>2256</v>
      </c>
      <c r="K1332" t="s">
        <v>3</v>
      </c>
      <c r="L1332" s="2">
        <v>43252</v>
      </c>
      <c r="M1332" s="2">
        <f>DOCXX[[#This Row],[INV DOC DATE]]+30</f>
        <v>43282</v>
      </c>
      <c r="N1332" s="2">
        <v>43290</v>
      </c>
      <c r="O1332" s="7">
        <v>140.25</v>
      </c>
      <c r="P1332" s="2">
        <v>43304</v>
      </c>
      <c r="Q1332" s="7">
        <f>$E1332-$O1332</f>
        <v>0</v>
      </c>
      <c r="R1332" s="7" t="str">
        <f ca="1">IF(TODAY() - DOCXX[INV DUE DATE]&lt;30, "Less than 30 days",IF(TODAY()-DOCXX[INV DUE DATE]&lt;60,"30-60 days","More than 60 days"))</f>
        <v>Less than 30 days</v>
      </c>
      <c r="S1332" t="s">
        <v>818</v>
      </c>
      <c r="T1332" s="133" t="s">
        <v>5437</v>
      </c>
      <c r="U1332" s="7" t="s">
        <v>3699</v>
      </c>
    </row>
    <row r="1333" spans="1:21" x14ac:dyDescent="0.3">
      <c r="A1333" s="14" t="s">
        <v>4133</v>
      </c>
      <c r="B1333" t="s">
        <v>32</v>
      </c>
      <c r="C1333" t="s">
        <v>79</v>
      </c>
      <c r="D1333">
        <v>1</v>
      </c>
      <c r="E1333" s="7">
        <v>93.5</v>
      </c>
      <c r="F1333">
        <v>32268829</v>
      </c>
      <c r="J1333" t="s">
        <v>2256</v>
      </c>
      <c r="K1333" t="s">
        <v>3</v>
      </c>
      <c r="L1333" s="2">
        <v>43252</v>
      </c>
      <c r="M1333" s="2">
        <f>DOCXX[[#This Row],[INV DOC DATE]]+30</f>
        <v>43282</v>
      </c>
      <c r="N1333" s="2">
        <v>43290</v>
      </c>
      <c r="O1333" s="7">
        <v>93.5</v>
      </c>
      <c r="P1333" s="2">
        <v>43304</v>
      </c>
      <c r="Q1333" s="7">
        <f>$E1333-$O1333</f>
        <v>0</v>
      </c>
      <c r="R1333" s="7" t="str">
        <f ca="1">IF(TODAY() - DOCXX[INV DUE DATE]&lt;30, "Less than 30 days",IF(TODAY()-DOCXX[INV DUE DATE]&lt;60,"30-60 days","More than 60 days"))</f>
        <v>Less than 30 days</v>
      </c>
      <c r="S1333" t="s">
        <v>818</v>
      </c>
      <c r="T1333" s="133" t="s">
        <v>5437</v>
      </c>
      <c r="U1333" s="7" t="s">
        <v>3699</v>
      </c>
    </row>
    <row r="1334" spans="1:21" x14ac:dyDescent="0.3">
      <c r="A1334" s="14" t="s">
        <v>4133</v>
      </c>
      <c r="B1334" t="s">
        <v>32</v>
      </c>
      <c r="C1334" t="s">
        <v>80</v>
      </c>
      <c r="D1334">
        <v>1</v>
      </c>
      <c r="E1334" s="7">
        <v>158.94999999999999</v>
      </c>
      <c r="F1334">
        <v>32275517</v>
      </c>
      <c r="J1334" t="s">
        <v>2256</v>
      </c>
      <c r="K1334" t="s">
        <v>3</v>
      </c>
      <c r="L1334" s="2">
        <v>43252</v>
      </c>
      <c r="M1334" s="2">
        <f>DOCXX[[#This Row],[INV DOC DATE]]+30</f>
        <v>43282</v>
      </c>
      <c r="N1334" s="2">
        <v>43290</v>
      </c>
      <c r="O1334" s="7">
        <v>158.94999999999999</v>
      </c>
      <c r="P1334" s="2">
        <v>43304</v>
      </c>
      <c r="Q1334" s="7">
        <f>$E1334-$O1334</f>
        <v>0</v>
      </c>
      <c r="R1334" s="7" t="str">
        <f ca="1">IF(TODAY() - DOCXX[INV DUE DATE]&lt;30, "Less than 30 days",IF(TODAY()-DOCXX[INV DUE DATE]&lt;60,"30-60 days","More than 60 days"))</f>
        <v>Less than 30 days</v>
      </c>
      <c r="S1334" t="s">
        <v>818</v>
      </c>
      <c r="T1334" s="133" t="s">
        <v>5437</v>
      </c>
      <c r="U1334" s="7" t="s">
        <v>3699</v>
      </c>
    </row>
    <row r="1335" spans="1:21" x14ac:dyDescent="0.3">
      <c r="A1335" s="14" t="s">
        <v>4133</v>
      </c>
      <c r="B1335" t="s">
        <v>32</v>
      </c>
      <c r="C1335" t="s">
        <v>81</v>
      </c>
      <c r="D1335">
        <v>1</v>
      </c>
      <c r="E1335" s="7">
        <v>158.94999999999999</v>
      </c>
      <c r="F1335">
        <v>32286851</v>
      </c>
      <c r="J1335" t="s">
        <v>2256</v>
      </c>
      <c r="K1335" t="s">
        <v>3</v>
      </c>
      <c r="L1335" s="2">
        <v>43252</v>
      </c>
      <c r="M1335" s="2">
        <f>DOCXX[[#This Row],[INV DOC DATE]]+30</f>
        <v>43282</v>
      </c>
      <c r="N1335" s="2">
        <v>43290</v>
      </c>
      <c r="O1335" s="7">
        <v>158.94999999999999</v>
      </c>
      <c r="P1335" s="2">
        <v>43304</v>
      </c>
      <c r="Q1335" s="7">
        <f>$E1335-$O1335</f>
        <v>0</v>
      </c>
      <c r="R1335" s="7" t="str">
        <f ca="1">IF(TODAY() - DOCXX[INV DUE DATE]&lt;30, "Less than 30 days",IF(TODAY()-DOCXX[INV DUE DATE]&lt;60,"30-60 days","More than 60 days"))</f>
        <v>Less than 30 days</v>
      </c>
      <c r="S1335" t="s">
        <v>818</v>
      </c>
      <c r="T1335" s="133" t="s">
        <v>5437</v>
      </c>
      <c r="U1335" s="7" t="s">
        <v>3699</v>
      </c>
    </row>
    <row r="1336" spans="1:21" x14ac:dyDescent="0.3">
      <c r="A1336" s="14" t="s">
        <v>4133</v>
      </c>
      <c r="B1336" t="s">
        <v>32</v>
      </c>
      <c r="C1336" t="s">
        <v>82</v>
      </c>
      <c r="D1336">
        <v>1</v>
      </c>
      <c r="E1336" s="7">
        <v>158.94999999999999</v>
      </c>
      <c r="F1336">
        <v>32286852</v>
      </c>
      <c r="J1336" t="s">
        <v>2256</v>
      </c>
      <c r="K1336" t="s">
        <v>3</v>
      </c>
      <c r="L1336" s="2">
        <v>43252</v>
      </c>
      <c r="M1336" s="2">
        <f>DOCXX[[#This Row],[INV DOC DATE]]+30</f>
        <v>43282</v>
      </c>
      <c r="N1336" s="2">
        <v>43290</v>
      </c>
      <c r="O1336" s="7">
        <v>158.94999999999999</v>
      </c>
      <c r="P1336" s="2">
        <v>43304</v>
      </c>
      <c r="Q1336" s="7">
        <f>$E1336-$O1336</f>
        <v>0</v>
      </c>
      <c r="R1336" s="7" t="str">
        <f ca="1">IF(TODAY() - DOCXX[INV DUE DATE]&lt;30, "Less than 30 days",IF(TODAY()-DOCXX[INV DUE DATE]&lt;60,"30-60 days","More than 60 days"))</f>
        <v>Less than 30 days</v>
      </c>
      <c r="S1336" t="s">
        <v>818</v>
      </c>
      <c r="T1336" s="133" t="s">
        <v>5437</v>
      </c>
      <c r="U1336" s="7" t="s">
        <v>3699</v>
      </c>
    </row>
    <row r="1337" spans="1:21" x14ac:dyDescent="0.3">
      <c r="A1337" s="14" t="s">
        <v>4133</v>
      </c>
      <c r="B1337" t="s">
        <v>32</v>
      </c>
      <c r="C1337" t="s">
        <v>83</v>
      </c>
      <c r="D1337">
        <v>1</v>
      </c>
      <c r="E1337" s="7">
        <v>84.15</v>
      </c>
      <c r="F1337">
        <v>32309116</v>
      </c>
      <c r="J1337" t="s">
        <v>2256</v>
      </c>
      <c r="K1337" t="s">
        <v>3</v>
      </c>
      <c r="L1337" s="2">
        <v>43252</v>
      </c>
      <c r="M1337" s="2">
        <f>DOCXX[[#This Row],[INV DOC DATE]]+30</f>
        <v>43282</v>
      </c>
      <c r="N1337" s="2">
        <v>43290</v>
      </c>
      <c r="O1337" s="7">
        <v>84.15</v>
      </c>
      <c r="P1337" s="2">
        <v>43304</v>
      </c>
      <c r="Q1337" s="7">
        <f>$E1337-$O1337</f>
        <v>0</v>
      </c>
      <c r="R1337" s="7" t="str">
        <f ca="1">IF(TODAY() - DOCXX[INV DUE DATE]&lt;30, "Less than 30 days",IF(TODAY()-DOCXX[INV DUE DATE]&lt;60,"30-60 days","More than 60 days"))</f>
        <v>Less than 30 days</v>
      </c>
      <c r="S1337" t="s">
        <v>818</v>
      </c>
      <c r="T1337" s="133" t="s">
        <v>5437</v>
      </c>
      <c r="U1337" s="7" t="s">
        <v>3699</v>
      </c>
    </row>
    <row r="1338" spans="1:21" x14ac:dyDescent="0.3">
      <c r="A1338" s="14" t="s">
        <v>4133</v>
      </c>
      <c r="B1338" t="s">
        <v>32</v>
      </c>
      <c r="C1338" t="s">
        <v>84</v>
      </c>
      <c r="D1338">
        <v>1</v>
      </c>
      <c r="E1338" s="7">
        <v>140.25</v>
      </c>
      <c r="F1338">
        <v>32311510</v>
      </c>
      <c r="J1338" t="s">
        <v>2256</v>
      </c>
      <c r="K1338" t="s">
        <v>3</v>
      </c>
      <c r="L1338" s="2">
        <v>43252</v>
      </c>
      <c r="M1338" s="2">
        <f>DOCXX[[#This Row],[INV DOC DATE]]+30</f>
        <v>43282</v>
      </c>
      <c r="N1338" s="2">
        <v>43290</v>
      </c>
      <c r="O1338" s="7">
        <v>140.25</v>
      </c>
      <c r="P1338" s="2">
        <v>43304</v>
      </c>
      <c r="Q1338" s="7">
        <f>$E1338-$O1338</f>
        <v>0</v>
      </c>
      <c r="R1338" s="7" t="str">
        <f ca="1">IF(TODAY() - DOCXX[INV DUE DATE]&lt;30, "Less than 30 days",IF(TODAY()-DOCXX[INV DUE DATE]&lt;60,"30-60 days","More than 60 days"))</f>
        <v>Less than 30 days</v>
      </c>
      <c r="S1338" t="s">
        <v>818</v>
      </c>
      <c r="T1338" s="133" t="s">
        <v>5437</v>
      </c>
      <c r="U1338" s="7" t="s">
        <v>3699</v>
      </c>
    </row>
    <row r="1339" spans="1:21" x14ac:dyDescent="0.3">
      <c r="A1339" s="14" t="s">
        <v>4133</v>
      </c>
      <c r="B1339" t="s">
        <v>32</v>
      </c>
      <c r="C1339" t="s">
        <v>85</v>
      </c>
      <c r="D1339">
        <v>1</v>
      </c>
      <c r="E1339" s="7">
        <v>149.6</v>
      </c>
      <c r="F1339">
        <v>32321667</v>
      </c>
      <c r="J1339" t="s">
        <v>2256</v>
      </c>
      <c r="K1339" t="s">
        <v>3</v>
      </c>
      <c r="L1339" s="2">
        <v>43252</v>
      </c>
      <c r="M1339" s="2">
        <f>DOCXX[[#This Row],[INV DOC DATE]]+30</f>
        <v>43282</v>
      </c>
      <c r="N1339" s="2">
        <v>43290</v>
      </c>
      <c r="O1339" s="7">
        <v>149.6</v>
      </c>
      <c r="P1339" s="2">
        <v>43304</v>
      </c>
      <c r="Q1339" s="7">
        <f>$E1339-$O1339</f>
        <v>0</v>
      </c>
      <c r="R1339" s="7" t="str">
        <f ca="1">IF(TODAY() - DOCXX[INV DUE DATE]&lt;30, "Less than 30 days",IF(TODAY()-DOCXX[INV DUE DATE]&lt;60,"30-60 days","More than 60 days"))</f>
        <v>Less than 30 days</v>
      </c>
      <c r="S1339" t="s">
        <v>818</v>
      </c>
      <c r="T1339" s="133" t="s">
        <v>5437</v>
      </c>
      <c r="U1339" s="7" t="s">
        <v>3699</v>
      </c>
    </row>
    <row r="1340" spans="1:21" x14ac:dyDescent="0.3">
      <c r="A1340" s="14" t="s">
        <v>4133</v>
      </c>
      <c r="B1340" t="s">
        <v>32</v>
      </c>
      <c r="C1340" t="s">
        <v>86</v>
      </c>
      <c r="D1340">
        <v>1</v>
      </c>
      <c r="E1340" s="7">
        <v>149.6</v>
      </c>
      <c r="F1340">
        <v>32331900</v>
      </c>
      <c r="J1340" t="s">
        <v>2256</v>
      </c>
      <c r="K1340" t="s">
        <v>3</v>
      </c>
      <c r="L1340" s="2">
        <v>43252</v>
      </c>
      <c r="M1340" s="2">
        <f>DOCXX[[#This Row],[INV DOC DATE]]+30</f>
        <v>43282</v>
      </c>
      <c r="N1340" s="2">
        <v>43290</v>
      </c>
      <c r="O1340" s="7">
        <v>149.6</v>
      </c>
      <c r="P1340" s="2">
        <v>43304</v>
      </c>
      <c r="Q1340" s="7">
        <f>$E1340-$O1340</f>
        <v>0</v>
      </c>
      <c r="R1340" s="7" t="str">
        <f ca="1">IF(TODAY() - DOCXX[INV DUE DATE]&lt;30, "Less than 30 days",IF(TODAY()-DOCXX[INV DUE DATE]&lt;60,"30-60 days","More than 60 days"))</f>
        <v>Less than 30 days</v>
      </c>
      <c r="S1340" t="s">
        <v>818</v>
      </c>
      <c r="T1340" s="133" t="s">
        <v>5437</v>
      </c>
      <c r="U1340" s="7" t="s">
        <v>3699</v>
      </c>
    </row>
    <row r="1341" spans="1:21" x14ac:dyDescent="0.3">
      <c r="A1341" s="14" t="s">
        <v>4133</v>
      </c>
      <c r="B1341" t="s">
        <v>32</v>
      </c>
      <c r="C1341" t="s">
        <v>87</v>
      </c>
      <c r="D1341">
        <v>1</v>
      </c>
      <c r="E1341" s="7">
        <v>121.55</v>
      </c>
      <c r="F1341">
        <v>32341617</v>
      </c>
      <c r="J1341" t="s">
        <v>2256</v>
      </c>
      <c r="K1341" t="s">
        <v>3</v>
      </c>
      <c r="L1341" s="2">
        <v>43252</v>
      </c>
      <c r="M1341" s="2">
        <f>DOCXX[[#This Row],[INV DOC DATE]]+30</f>
        <v>43282</v>
      </c>
      <c r="N1341" s="2">
        <v>43290</v>
      </c>
      <c r="O1341" s="7">
        <v>121.55</v>
      </c>
      <c r="P1341" s="2">
        <v>43304</v>
      </c>
      <c r="Q1341" s="7">
        <f>$E1341-$O1341</f>
        <v>0</v>
      </c>
      <c r="R1341" s="7" t="str">
        <f ca="1">IF(TODAY() - DOCXX[INV DUE DATE]&lt;30, "Less than 30 days",IF(TODAY()-DOCXX[INV DUE DATE]&lt;60,"30-60 days","More than 60 days"))</f>
        <v>Less than 30 days</v>
      </c>
      <c r="S1341" t="s">
        <v>818</v>
      </c>
      <c r="T1341" s="133" t="s">
        <v>5437</v>
      </c>
      <c r="U1341" s="7" t="s">
        <v>3699</v>
      </c>
    </row>
    <row r="1342" spans="1:21" x14ac:dyDescent="0.3">
      <c r="A1342" s="14" t="s">
        <v>4133</v>
      </c>
      <c r="B1342" t="s">
        <v>32</v>
      </c>
      <c r="C1342" t="s">
        <v>88</v>
      </c>
      <c r="D1342">
        <v>1</v>
      </c>
      <c r="E1342" s="7">
        <v>93.5</v>
      </c>
      <c r="F1342">
        <v>32342401</v>
      </c>
      <c r="J1342" t="s">
        <v>2256</v>
      </c>
      <c r="K1342" t="s">
        <v>3</v>
      </c>
      <c r="L1342" s="2">
        <v>43252</v>
      </c>
      <c r="M1342" s="2">
        <f>DOCXX[[#This Row],[INV DOC DATE]]+30</f>
        <v>43282</v>
      </c>
      <c r="N1342" s="2">
        <v>43290</v>
      </c>
      <c r="O1342" s="7">
        <v>93.5</v>
      </c>
      <c r="P1342" s="2">
        <v>43304</v>
      </c>
      <c r="Q1342" s="7">
        <f>$E1342-$O1342</f>
        <v>0</v>
      </c>
      <c r="R1342" s="7" t="str">
        <f ca="1">IF(TODAY() - DOCXX[INV DUE DATE]&lt;30, "Less than 30 days",IF(TODAY()-DOCXX[INV DUE DATE]&lt;60,"30-60 days","More than 60 days"))</f>
        <v>Less than 30 days</v>
      </c>
      <c r="S1342" t="s">
        <v>818</v>
      </c>
      <c r="T1342" s="133" t="s">
        <v>5437</v>
      </c>
      <c r="U1342" s="7" t="s">
        <v>3699</v>
      </c>
    </row>
    <row r="1343" spans="1:21" x14ac:dyDescent="0.3">
      <c r="A1343" s="14" t="s">
        <v>4133</v>
      </c>
      <c r="B1343" t="s">
        <v>32</v>
      </c>
      <c r="C1343" t="s">
        <v>89</v>
      </c>
      <c r="D1343">
        <v>1</v>
      </c>
      <c r="E1343" s="7">
        <v>140.25</v>
      </c>
      <c r="F1343">
        <v>32352181</v>
      </c>
      <c r="J1343" t="s">
        <v>2256</v>
      </c>
      <c r="K1343" t="s">
        <v>3</v>
      </c>
      <c r="L1343" s="2">
        <v>43252</v>
      </c>
      <c r="M1343" s="2">
        <f>DOCXX[[#This Row],[INV DOC DATE]]+30</f>
        <v>43282</v>
      </c>
      <c r="N1343" s="2">
        <v>43290</v>
      </c>
      <c r="O1343" s="7">
        <v>140.25</v>
      </c>
      <c r="P1343" s="2">
        <v>43304</v>
      </c>
      <c r="Q1343" s="7">
        <f>$E1343-$O1343</f>
        <v>0</v>
      </c>
      <c r="R1343" s="7" t="str">
        <f ca="1">IF(TODAY() - DOCXX[INV DUE DATE]&lt;30, "Less than 30 days",IF(TODAY()-DOCXX[INV DUE DATE]&lt;60,"30-60 days","More than 60 days"))</f>
        <v>Less than 30 days</v>
      </c>
      <c r="S1343" t="s">
        <v>818</v>
      </c>
      <c r="T1343" s="133" t="s">
        <v>5437</v>
      </c>
      <c r="U1343" s="7" t="s">
        <v>3699</v>
      </c>
    </row>
    <row r="1344" spans="1:21" x14ac:dyDescent="0.3">
      <c r="A1344" s="14" t="s">
        <v>4133</v>
      </c>
      <c r="B1344" t="s">
        <v>32</v>
      </c>
      <c r="C1344" t="s">
        <v>90</v>
      </c>
      <c r="D1344">
        <v>1</v>
      </c>
      <c r="E1344" s="7">
        <v>102.85</v>
      </c>
      <c r="F1344">
        <v>32362571</v>
      </c>
      <c r="J1344" t="s">
        <v>2256</v>
      </c>
      <c r="K1344" t="s">
        <v>3</v>
      </c>
      <c r="L1344" s="2">
        <v>43252</v>
      </c>
      <c r="M1344" s="2">
        <f>DOCXX[[#This Row],[INV DOC DATE]]+30</f>
        <v>43282</v>
      </c>
      <c r="N1344" s="2">
        <v>43290</v>
      </c>
      <c r="O1344" s="7">
        <v>102.85</v>
      </c>
      <c r="P1344" s="2">
        <v>43304</v>
      </c>
      <c r="Q1344" s="7">
        <f>$E1344-$O1344</f>
        <v>0</v>
      </c>
      <c r="R1344" s="7" t="str">
        <f ca="1">IF(TODAY() - DOCXX[INV DUE DATE]&lt;30, "Less than 30 days",IF(TODAY()-DOCXX[INV DUE DATE]&lt;60,"30-60 days","More than 60 days"))</f>
        <v>Less than 30 days</v>
      </c>
      <c r="S1344" t="s">
        <v>818</v>
      </c>
      <c r="T1344" s="133" t="s">
        <v>5437</v>
      </c>
      <c r="U1344" s="7" t="s">
        <v>3699</v>
      </c>
    </row>
    <row r="1345" spans="1:21" x14ac:dyDescent="0.3">
      <c r="A1345" s="14" t="s">
        <v>4133</v>
      </c>
      <c r="B1345" t="s">
        <v>32</v>
      </c>
      <c r="C1345" t="s">
        <v>91</v>
      </c>
      <c r="D1345">
        <v>1</v>
      </c>
      <c r="E1345" s="7">
        <v>102.85</v>
      </c>
      <c r="F1345">
        <v>32372623</v>
      </c>
      <c r="J1345" t="s">
        <v>2256</v>
      </c>
      <c r="K1345" t="s">
        <v>3</v>
      </c>
      <c r="L1345" s="2">
        <v>43252</v>
      </c>
      <c r="M1345" s="2">
        <f>DOCXX[[#This Row],[INV DOC DATE]]+30</f>
        <v>43282</v>
      </c>
      <c r="N1345" s="2">
        <v>43290</v>
      </c>
      <c r="O1345" s="7">
        <v>102.85</v>
      </c>
      <c r="P1345" s="2">
        <v>43304</v>
      </c>
      <c r="Q1345" s="7">
        <f>$E1345-$O1345</f>
        <v>0</v>
      </c>
      <c r="R1345" s="7" t="str">
        <f ca="1">IF(TODAY() - DOCXX[INV DUE DATE]&lt;30, "Less than 30 days",IF(TODAY()-DOCXX[INV DUE DATE]&lt;60,"30-60 days","More than 60 days"))</f>
        <v>Less than 30 days</v>
      </c>
      <c r="S1345" t="s">
        <v>818</v>
      </c>
      <c r="T1345" s="133" t="s">
        <v>5437</v>
      </c>
      <c r="U1345" s="7" t="s">
        <v>3699</v>
      </c>
    </row>
    <row r="1346" spans="1:21" x14ac:dyDescent="0.3">
      <c r="A1346" s="14" t="s">
        <v>4133</v>
      </c>
      <c r="B1346" t="s">
        <v>32</v>
      </c>
      <c r="C1346" t="s">
        <v>92</v>
      </c>
      <c r="D1346">
        <v>1</v>
      </c>
      <c r="E1346" s="7">
        <v>102.85</v>
      </c>
      <c r="F1346">
        <v>32372623</v>
      </c>
      <c r="J1346" t="s">
        <v>2256</v>
      </c>
      <c r="K1346" t="s">
        <v>3</v>
      </c>
      <c r="L1346" s="2">
        <v>43252</v>
      </c>
      <c r="M1346" s="2">
        <f>DOCXX[[#This Row],[INV DOC DATE]]+30</f>
        <v>43282</v>
      </c>
      <c r="N1346" s="2">
        <v>43290</v>
      </c>
      <c r="O1346" s="7">
        <v>102.85</v>
      </c>
      <c r="P1346" s="2">
        <v>43304</v>
      </c>
      <c r="Q1346" s="7">
        <f>$E1346-$O1346</f>
        <v>0</v>
      </c>
      <c r="R1346" s="7" t="str">
        <f ca="1">IF(TODAY() - DOCXX[INV DUE DATE]&lt;30, "Less than 30 days",IF(TODAY()-DOCXX[INV DUE DATE]&lt;60,"30-60 days","More than 60 days"))</f>
        <v>Less than 30 days</v>
      </c>
      <c r="S1346" t="s">
        <v>818</v>
      </c>
      <c r="T1346" s="133" t="s">
        <v>5437</v>
      </c>
      <c r="U1346" s="7" t="s">
        <v>3699</v>
      </c>
    </row>
    <row r="1347" spans="1:21" x14ac:dyDescent="0.3">
      <c r="A1347" s="14" t="s">
        <v>4133</v>
      </c>
      <c r="B1347" t="s">
        <v>32</v>
      </c>
      <c r="C1347" t="s">
        <v>30</v>
      </c>
      <c r="D1347">
        <v>1</v>
      </c>
      <c r="E1347" s="7">
        <v>84.15</v>
      </c>
      <c r="F1347">
        <v>32383916</v>
      </c>
      <c r="J1347" t="s">
        <v>2256</v>
      </c>
      <c r="K1347" t="s">
        <v>3</v>
      </c>
      <c r="L1347" s="2">
        <v>43252</v>
      </c>
      <c r="M1347" s="2">
        <f>DOCXX[[#This Row],[INV DOC DATE]]+30</f>
        <v>43282</v>
      </c>
      <c r="N1347" s="2">
        <v>43290</v>
      </c>
      <c r="O1347" s="7">
        <v>84.15</v>
      </c>
      <c r="P1347" s="2">
        <v>43304</v>
      </c>
      <c r="Q1347" s="7">
        <f>$E1347-$O1347</f>
        <v>0</v>
      </c>
      <c r="R1347" s="7" t="str">
        <f ca="1">IF(TODAY() - DOCXX[INV DUE DATE]&lt;30, "Less than 30 days",IF(TODAY()-DOCXX[INV DUE DATE]&lt;60,"30-60 days","More than 60 days"))</f>
        <v>Less than 30 days</v>
      </c>
      <c r="S1347" t="s">
        <v>818</v>
      </c>
      <c r="T1347" s="133" t="s">
        <v>5437</v>
      </c>
      <c r="U1347" s="7" t="s">
        <v>3699</v>
      </c>
    </row>
    <row r="1348" spans="1:21" x14ac:dyDescent="0.3">
      <c r="A1348" s="14" t="s">
        <v>4133</v>
      </c>
      <c r="B1348" t="s">
        <v>32</v>
      </c>
      <c r="C1348" t="s">
        <v>93</v>
      </c>
      <c r="D1348">
        <v>1</v>
      </c>
      <c r="E1348" s="7">
        <v>37.4</v>
      </c>
      <c r="F1348">
        <v>32393562</v>
      </c>
      <c r="J1348" t="s">
        <v>2256</v>
      </c>
      <c r="K1348" t="s">
        <v>3</v>
      </c>
      <c r="L1348" s="2">
        <v>43252</v>
      </c>
      <c r="M1348" s="2">
        <f>DOCXX[[#This Row],[INV DOC DATE]]+30</f>
        <v>43282</v>
      </c>
      <c r="N1348" s="2">
        <v>43290</v>
      </c>
      <c r="O1348" s="7">
        <v>37.4</v>
      </c>
      <c r="P1348" s="2">
        <v>43304</v>
      </c>
      <c r="Q1348" s="7">
        <f>$E1348-$O1348</f>
        <v>0</v>
      </c>
      <c r="R1348" s="7" t="str">
        <f ca="1">IF(TODAY() - DOCXX[INV DUE DATE]&lt;30, "Less than 30 days",IF(TODAY()-DOCXX[INV DUE DATE]&lt;60,"30-60 days","More than 60 days"))</f>
        <v>Less than 30 days</v>
      </c>
      <c r="S1348" t="s">
        <v>818</v>
      </c>
      <c r="T1348" s="133" t="s">
        <v>5437</v>
      </c>
      <c r="U1348" s="7" t="s">
        <v>3699</v>
      </c>
    </row>
    <row r="1349" spans="1:21" x14ac:dyDescent="0.3">
      <c r="A1349" s="14" t="s">
        <v>4133</v>
      </c>
      <c r="B1349" t="s">
        <v>32</v>
      </c>
      <c r="C1349" t="s">
        <v>94</v>
      </c>
      <c r="D1349">
        <v>1</v>
      </c>
      <c r="E1349" s="7">
        <v>65.45</v>
      </c>
      <c r="F1349">
        <v>32393563</v>
      </c>
      <c r="J1349" t="s">
        <v>2256</v>
      </c>
      <c r="K1349" t="s">
        <v>3</v>
      </c>
      <c r="L1349" s="2">
        <v>43252</v>
      </c>
      <c r="M1349" s="2">
        <f>DOCXX[[#This Row],[INV DOC DATE]]+30</f>
        <v>43282</v>
      </c>
      <c r="N1349" s="2">
        <v>43290</v>
      </c>
      <c r="O1349" s="7">
        <v>65.45</v>
      </c>
      <c r="P1349" s="2">
        <v>43304</v>
      </c>
      <c r="Q1349" s="7">
        <f>$E1349-$O1349</f>
        <v>0</v>
      </c>
      <c r="R1349" s="7" t="str">
        <f ca="1">IF(TODAY() - DOCXX[INV DUE DATE]&lt;30, "Less than 30 days",IF(TODAY()-DOCXX[INV DUE DATE]&lt;60,"30-60 days","More than 60 days"))</f>
        <v>Less than 30 days</v>
      </c>
      <c r="S1349" t="s">
        <v>818</v>
      </c>
      <c r="T1349" s="133" t="s">
        <v>5437</v>
      </c>
      <c r="U1349" s="7" t="s">
        <v>3699</v>
      </c>
    </row>
    <row r="1350" spans="1:21" x14ac:dyDescent="0.3">
      <c r="A1350" s="14" t="s">
        <v>4133</v>
      </c>
      <c r="B1350" t="s">
        <v>32</v>
      </c>
      <c r="C1350" t="s">
        <v>95</v>
      </c>
      <c r="D1350">
        <v>1</v>
      </c>
      <c r="E1350" s="7">
        <v>74.8</v>
      </c>
      <c r="F1350">
        <v>32407801</v>
      </c>
      <c r="J1350" t="s">
        <v>2256</v>
      </c>
      <c r="K1350" t="s">
        <v>3</v>
      </c>
      <c r="L1350" s="2">
        <v>43252</v>
      </c>
      <c r="M1350" s="2">
        <f>DOCXX[[#This Row],[INV DOC DATE]]+30</f>
        <v>43282</v>
      </c>
      <c r="N1350" s="2">
        <v>43290</v>
      </c>
      <c r="O1350" s="7">
        <v>74.8</v>
      </c>
      <c r="P1350" s="2">
        <v>43304</v>
      </c>
      <c r="Q1350" s="7">
        <f>$E1350-$O1350</f>
        <v>0</v>
      </c>
      <c r="R1350" s="7" t="str">
        <f ca="1">IF(TODAY() - DOCXX[INV DUE DATE]&lt;30, "Less than 30 days",IF(TODAY()-DOCXX[INV DUE DATE]&lt;60,"30-60 days","More than 60 days"))</f>
        <v>Less than 30 days</v>
      </c>
      <c r="S1350" t="s">
        <v>818</v>
      </c>
      <c r="T1350" s="133" t="s">
        <v>5437</v>
      </c>
      <c r="U1350" s="7" t="s">
        <v>3699</v>
      </c>
    </row>
    <row r="1351" spans="1:21" x14ac:dyDescent="0.3">
      <c r="A1351" s="14" t="s">
        <v>4133</v>
      </c>
      <c r="B1351" t="s">
        <v>32</v>
      </c>
      <c r="C1351" t="s">
        <v>96</v>
      </c>
      <c r="D1351">
        <v>1</v>
      </c>
      <c r="E1351" s="7">
        <v>28.05</v>
      </c>
      <c r="F1351">
        <v>32418615</v>
      </c>
      <c r="J1351" t="s">
        <v>2256</v>
      </c>
      <c r="K1351" t="s">
        <v>3</v>
      </c>
      <c r="L1351" s="2">
        <v>43252</v>
      </c>
      <c r="M1351" s="2">
        <f>DOCXX[[#This Row],[INV DOC DATE]]+30</f>
        <v>43282</v>
      </c>
      <c r="N1351" s="2">
        <v>43290</v>
      </c>
      <c r="O1351" s="7">
        <v>28.05</v>
      </c>
      <c r="P1351" s="2">
        <v>43304</v>
      </c>
      <c r="Q1351" s="7">
        <f>$E1351-$O1351</f>
        <v>0</v>
      </c>
      <c r="R1351" s="7" t="str">
        <f ca="1">IF(TODAY() - DOCXX[INV DUE DATE]&lt;30, "Less than 30 days",IF(TODAY()-DOCXX[INV DUE DATE]&lt;60,"30-60 days","More than 60 days"))</f>
        <v>Less than 30 days</v>
      </c>
      <c r="S1351" t="s">
        <v>818</v>
      </c>
      <c r="T1351" s="133" t="s">
        <v>5437</v>
      </c>
      <c r="U1351" s="7" t="s">
        <v>3699</v>
      </c>
    </row>
    <row r="1352" spans="1:21" x14ac:dyDescent="0.3">
      <c r="A1352" s="14" t="s">
        <v>4133</v>
      </c>
      <c r="B1352" t="s">
        <v>32</v>
      </c>
      <c r="C1352" t="s">
        <v>97</v>
      </c>
      <c r="D1352">
        <v>1</v>
      </c>
      <c r="E1352" s="7">
        <v>37.4</v>
      </c>
      <c r="F1352">
        <v>32435059</v>
      </c>
      <c r="J1352" t="s">
        <v>2256</v>
      </c>
      <c r="K1352" t="s">
        <v>3</v>
      </c>
      <c r="L1352" s="2">
        <v>43252</v>
      </c>
      <c r="M1352" s="2">
        <f>DOCXX[[#This Row],[INV DOC DATE]]+30</f>
        <v>43282</v>
      </c>
      <c r="N1352" s="2">
        <v>43290</v>
      </c>
      <c r="O1352" s="7">
        <v>37.4</v>
      </c>
      <c r="P1352" s="2">
        <v>43304</v>
      </c>
      <c r="Q1352" s="7">
        <f>$E1352-$O1352</f>
        <v>0</v>
      </c>
      <c r="R1352" s="7" t="str">
        <f ca="1">IF(TODAY() - DOCXX[INV DUE DATE]&lt;30, "Less than 30 days",IF(TODAY()-DOCXX[INV DUE DATE]&lt;60,"30-60 days","More than 60 days"))</f>
        <v>Less than 30 days</v>
      </c>
      <c r="S1352" t="s">
        <v>818</v>
      </c>
      <c r="T1352" s="133" t="s">
        <v>5437</v>
      </c>
      <c r="U1352" s="7" t="s">
        <v>3699</v>
      </c>
    </row>
    <row r="1353" spans="1:21" x14ac:dyDescent="0.3">
      <c r="A1353" s="14" t="s">
        <v>4133</v>
      </c>
      <c r="B1353" t="s">
        <v>32</v>
      </c>
      <c r="C1353" t="s">
        <v>104</v>
      </c>
      <c r="D1353">
        <v>1</v>
      </c>
      <c r="E1353" s="7">
        <v>289.85000000000002</v>
      </c>
      <c r="F1353">
        <v>32180796</v>
      </c>
      <c r="J1353" t="s">
        <v>2256</v>
      </c>
      <c r="K1353" t="s">
        <v>3</v>
      </c>
      <c r="L1353" s="2">
        <v>43252</v>
      </c>
      <c r="M1353" s="2">
        <f>DOCXX[[#This Row],[INV DOC DATE]]+30</f>
        <v>43282</v>
      </c>
      <c r="N1353" s="2">
        <v>43290</v>
      </c>
      <c r="O1353" s="7">
        <v>289.85000000000002</v>
      </c>
      <c r="P1353" s="2">
        <v>43304</v>
      </c>
      <c r="Q1353" s="7">
        <f>$E1353-$O1353</f>
        <v>0</v>
      </c>
      <c r="R1353" s="7" t="str">
        <f ca="1">IF(TODAY() - DOCXX[INV DUE DATE]&lt;30, "Less than 30 days",IF(TODAY()-DOCXX[INV DUE DATE]&lt;60,"30-60 days","More than 60 days"))</f>
        <v>Less than 30 days</v>
      </c>
      <c r="S1353" t="s">
        <v>818</v>
      </c>
      <c r="T1353" s="133" t="s">
        <v>5437</v>
      </c>
      <c r="U1353" s="7" t="s">
        <v>3699</v>
      </c>
    </row>
    <row r="1354" spans="1:21" x14ac:dyDescent="0.3">
      <c r="A1354" s="14" t="s">
        <v>4133</v>
      </c>
      <c r="B1354" t="s">
        <v>32</v>
      </c>
      <c r="C1354" t="s">
        <v>40</v>
      </c>
      <c r="D1354">
        <v>1</v>
      </c>
      <c r="E1354" s="7">
        <v>9.35</v>
      </c>
      <c r="F1354">
        <v>32245838</v>
      </c>
      <c r="J1354" t="s">
        <v>2256</v>
      </c>
      <c r="K1354" t="s">
        <v>3</v>
      </c>
      <c r="L1354" s="2">
        <v>43252</v>
      </c>
      <c r="M1354" s="2">
        <f>DOCXX[[#This Row],[INV DOC DATE]]+30</f>
        <v>43282</v>
      </c>
      <c r="N1354" s="2">
        <v>43290</v>
      </c>
      <c r="Q1354" s="7">
        <f>$E1354-$O1354</f>
        <v>9.35</v>
      </c>
      <c r="R1354" s="7" t="str">
        <f ca="1">IF(TODAY() - DOCXX[INV DUE DATE]&lt;30, "Less than 30 days",IF(TODAY()-DOCXX[INV DUE DATE]&lt;60,"30-60 days","More than 60 days"))</f>
        <v>Less than 30 days</v>
      </c>
      <c r="S1354" t="s">
        <v>818</v>
      </c>
      <c r="U1354" s="7" t="s">
        <v>3699</v>
      </c>
    </row>
    <row r="1355" spans="1:21" x14ac:dyDescent="0.3">
      <c r="A1355" s="14" t="s">
        <v>4133</v>
      </c>
      <c r="B1355" t="s">
        <v>32</v>
      </c>
      <c r="C1355" t="s">
        <v>140</v>
      </c>
      <c r="D1355">
        <v>1</v>
      </c>
      <c r="E1355" s="7">
        <v>289.85000000000002</v>
      </c>
      <c r="F1355">
        <v>28443652</v>
      </c>
      <c r="J1355" t="s">
        <v>2256</v>
      </c>
      <c r="K1355" t="s">
        <v>3</v>
      </c>
      <c r="L1355" s="2">
        <v>43252</v>
      </c>
      <c r="M1355" s="2">
        <f>DOCXX[[#This Row],[INV DOC DATE]]+30</f>
        <v>43282</v>
      </c>
      <c r="N1355" s="2">
        <v>43290</v>
      </c>
      <c r="Q1355" s="7">
        <f>$E1355-$O1355</f>
        <v>289.85000000000002</v>
      </c>
      <c r="R1355" s="7" t="str">
        <f ca="1">IF(TODAY() - DOCXX[INV DUE DATE]&lt;30, "Less than 30 days",IF(TODAY()-DOCXX[INV DUE DATE]&lt;60,"30-60 days","More than 60 days"))</f>
        <v>Less than 30 days</v>
      </c>
      <c r="S1355" t="s">
        <v>818</v>
      </c>
      <c r="U1355" s="7" t="s">
        <v>3699</v>
      </c>
    </row>
    <row r="1356" spans="1:21" x14ac:dyDescent="0.3">
      <c r="A1356" s="14" t="s">
        <v>4170</v>
      </c>
      <c r="E1356" s="7">
        <v>8625</v>
      </c>
      <c r="L1356" s="2">
        <v>43252</v>
      </c>
      <c r="M1356" s="2">
        <f>DOCXX[[#This Row],[INV DOC DATE]]+30</f>
        <v>43282</v>
      </c>
      <c r="N1356" s="2"/>
      <c r="Q1356" s="7">
        <f>$E1356-$O1356</f>
        <v>8625</v>
      </c>
      <c r="R1356" s="7" t="str">
        <f ca="1">IF(TODAY() - DOCXX[INV DUE DATE]&lt;30, "Less than 30 days",IF(TODAY()-DOCXX[INV DUE DATE]&lt;60,"30-60 days","More than 60 days"))</f>
        <v>Less than 30 days</v>
      </c>
      <c r="S1356" t="s">
        <v>818</v>
      </c>
      <c r="U1356" s="7" t="s">
        <v>3699</v>
      </c>
    </row>
    <row r="1357" spans="1:21" x14ac:dyDescent="0.3">
      <c r="A1357" s="14" t="s">
        <v>2148</v>
      </c>
      <c r="B1357" t="s">
        <v>30</v>
      </c>
      <c r="C1357" t="s">
        <v>6</v>
      </c>
      <c r="D1357">
        <v>1</v>
      </c>
      <c r="E1357" s="7">
        <v>15966.5</v>
      </c>
      <c r="H1357">
        <v>172325</v>
      </c>
      <c r="I1357" t="s">
        <v>853</v>
      </c>
      <c r="J1357" t="s">
        <v>2242</v>
      </c>
      <c r="K1357" t="s">
        <v>2243</v>
      </c>
      <c r="L1357" s="2">
        <v>43179</v>
      </c>
      <c r="M1357" s="2">
        <f>DOCXX[[#This Row],[INV DOC DATE]]+30</f>
        <v>43209</v>
      </c>
      <c r="N1357" s="2">
        <v>43241</v>
      </c>
      <c r="O1357" s="7">
        <v>15966.5</v>
      </c>
      <c r="P1357" s="2">
        <v>43250</v>
      </c>
      <c r="Q1357" s="7">
        <f>$E1357-$O1357</f>
        <v>0</v>
      </c>
      <c r="R1357" s="7" t="str">
        <f ca="1">IF(TODAY() - DOCXX[INV DUE DATE]&lt;30, "Less than 30 days",IF(TODAY()-DOCXX[INV DUE DATE]&lt;60,"30-60 days","More than 60 days"))</f>
        <v>More than 60 days</v>
      </c>
      <c r="S1357" t="s">
        <v>818</v>
      </c>
      <c r="T1357" s="43" t="s">
        <v>2229</v>
      </c>
      <c r="U1357" s="7" t="s">
        <v>2212</v>
      </c>
    </row>
    <row r="1359" spans="1:21" x14ac:dyDescent="0.3">
      <c r="A1359"/>
      <c r="F1359" s="2"/>
      <c r="G1359" s="7"/>
      <c r="H1359" s="7"/>
      <c r="J1359" s="43"/>
      <c r="O1359"/>
      <c r="P1359"/>
      <c r="Q1359"/>
      <c r="R1359"/>
      <c r="T135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8"/>
  <sheetViews>
    <sheetView zoomScale="90" zoomScaleNormal="90" workbookViewId="0">
      <selection activeCell="R2" sqref="R2"/>
    </sheetView>
  </sheetViews>
  <sheetFormatPr defaultRowHeight="14.4" x14ac:dyDescent="0.3"/>
  <cols>
    <col min="1" max="1" width="13.6640625" customWidth="1"/>
    <col min="2" max="3" width="6.88671875" customWidth="1"/>
    <col min="4" max="4" width="13.6640625" customWidth="1"/>
    <col min="5" max="5" width="12.109375" style="7" customWidth="1"/>
    <col min="6" max="6" width="5.21875" customWidth="1"/>
    <col min="7" max="7" width="12.21875" bestFit="1" customWidth="1"/>
    <col min="8" max="8" width="5.109375" customWidth="1"/>
    <col min="9" max="9" width="7.109375" customWidth="1"/>
    <col min="10" max="10" width="15.21875" customWidth="1"/>
    <col min="11" max="11" width="8.21875" customWidth="1"/>
    <col min="12" max="12" width="11" customWidth="1"/>
    <col min="13" max="14" width="12.5546875" style="2" customWidth="1"/>
    <col min="15" max="15" width="9.5546875" style="7" customWidth="1"/>
    <col min="16" max="16" width="9.5546875" style="2" customWidth="1"/>
    <col min="17" max="17" width="14" style="7" customWidth="1"/>
    <col min="18" max="18" width="16.21875" style="7" bestFit="1" customWidth="1"/>
    <col min="19" max="19" width="10.21875" customWidth="1"/>
    <col min="20" max="20" width="8.88671875" style="43"/>
    <col min="21" max="21" width="14.33203125" bestFit="1" customWidth="1"/>
  </cols>
  <sheetData>
    <row r="1" spans="1:21" s="17" customFormat="1" ht="15" thickBot="1" x14ac:dyDescent="0.35">
      <c r="A1" s="63" t="s">
        <v>1</v>
      </c>
      <c r="B1" s="64" t="s">
        <v>33</v>
      </c>
      <c r="C1" s="64" t="s">
        <v>29</v>
      </c>
      <c r="D1" s="64" t="s">
        <v>0</v>
      </c>
      <c r="E1" s="65" t="s">
        <v>347</v>
      </c>
      <c r="F1" s="64" t="s">
        <v>32</v>
      </c>
      <c r="G1" s="64" t="s">
        <v>35</v>
      </c>
      <c r="H1" s="64" t="s">
        <v>30</v>
      </c>
      <c r="I1" s="64" t="s">
        <v>2</v>
      </c>
      <c r="J1" s="64" t="s">
        <v>819</v>
      </c>
      <c r="K1" s="64" t="s">
        <v>820</v>
      </c>
      <c r="L1" s="66" t="s">
        <v>5</v>
      </c>
      <c r="M1" s="66" t="s">
        <v>2241</v>
      </c>
      <c r="N1" s="66" t="s">
        <v>2244</v>
      </c>
      <c r="O1" s="65" t="s">
        <v>555</v>
      </c>
      <c r="P1" s="66" t="s">
        <v>2239</v>
      </c>
      <c r="Q1" s="65" t="s">
        <v>31</v>
      </c>
      <c r="R1" s="65" t="s">
        <v>2240</v>
      </c>
      <c r="S1" s="67" t="s">
        <v>2031</v>
      </c>
      <c r="T1" s="62" t="s">
        <v>2229</v>
      </c>
      <c r="U1" s="61" t="s">
        <v>3700</v>
      </c>
    </row>
    <row r="2" spans="1:21" x14ac:dyDescent="0.3">
      <c r="A2" t="s">
        <v>2032</v>
      </c>
      <c r="E2" s="7">
        <v>248</v>
      </c>
      <c r="J2" t="s">
        <v>2034</v>
      </c>
      <c r="K2" t="s">
        <v>3</v>
      </c>
      <c r="L2" s="2">
        <v>42917</v>
      </c>
      <c r="M2" s="2">
        <f>DWMXX[[#This Row],[INV DOC DATE]]+30</f>
        <v>42947</v>
      </c>
      <c r="Q2" s="7">
        <f t="shared" ref="Q2:Q7" si="0">$E2-$O2</f>
        <v>248</v>
      </c>
      <c r="R2" s="7" t="str">
        <f ca="1">IF(TODAY() - DWMXX[INV DUE DATE]&lt;30, "Less than 30 days",IF(TODAY()-DWMXX[INV DUE DATE]&lt;60,"30-60 days","More than 60 days"))</f>
        <v>More than 60 days</v>
      </c>
      <c r="S2" t="s">
        <v>2033</v>
      </c>
      <c r="U2" s="7" t="s">
        <v>3699</v>
      </c>
    </row>
    <row r="3" spans="1:21" x14ac:dyDescent="0.3">
      <c r="A3" t="s">
        <v>2035</v>
      </c>
      <c r="E3" s="7">
        <v>248</v>
      </c>
      <c r="J3" t="s">
        <v>2034</v>
      </c>
      <c r="K3" t="s">
        <v>3</v>
      </c>
      <c r="L3" s="2">
        <v>43101</v>
      </c>
      <c r="M3" s="2">
        <f>DWMXX[[#This Row],[INV DOC DATE]]+30</f>
        <v>43131</v>
      </c>
      <c r="Q3" s="7">
        <f t="shared" si="0"/>
        <v>248</v>
      </c>
      <c r="R3" s="7" t="str">
        <f ca="1">IF(TODAY() - DWMXX[INV DUE DATE]&lt;30, "Less than 30 days",IF(TODAY()-DWMXX[INV DUE DATE]&lt;60,"30-60 days","More than 60 days"))</f>
        <v>More than 60 days</v>
      </c>
      <c r="S3" t="s">
        <v>2033</v>
      </c>
      <c r="U3" s="7" t="s">
        <v>3699</v>
      </c>
    </row>
    <row r="4" spans="1:21" x14ac:dyDescent="0.3">
      <c r="A4" t="s">
        <v>2036</v>
      </c>
      <c r="E4" s="7">
        <v>224</v>
      </c>
      <c r="J4" t="s">
        <v>2034</v>
      </c>
      <c r="K4" t="s">
        <v>3</v>
      </c>
      <c r="L4" s="2">
        <v>43132</v>
      </c>
      <c r="M4" s="2">
        <f>DWMXX[[#This Row],[INV DOC DATE]]+30</f>
        <v>43162</v>
      </c>
      <c r="Q4" s="7">
        <f t="shared" si="0"/>
        <v>224</v>
      </c>
      <c r="R4" s="7" t="str">
        <f ca="1">IF(TODAY() - DWMXX[INV DUE DATE]&lt;30, "Less than 30 days",IF(TODAY()-DWMXX[INV DUE DATE]&lt;60,"30-60 days","More than 60 days"))</f>
        <v>More than 60 days</v>
      </c>
      <c r="S4" t="s">
        <v>2033</v>
      </c>
      <c r="U4" s="7" t="s">
        <v>3699</v>
      </c>
    </row>
    <row r="5" spans="1:21" x14ac:dyDescent="0.3">
      <c r="A5" t="s">
        <v>2037</v>
      </c>
      <c r="E5" s="7">
        <v>240</v>
      </c>
      <c r="J5" t="s">
        <v>2034</v>
      </c>
      <c r="K5" t="s">
        <v>3</v>
      </c>
      <c r="L5" s="2">
        <v>43160</v>
      </c>
      <c r="M5" s="2">
        <f>DWMXX[[#This Row],[INV DOC DATE]]+30</f>
        <v>43190</v>
      </c>
      <c r="Q5" s="7">
        <f t="shared" si="0"/>
        <v>240</v>
      </c>
      <c r="R5" s="7" t="str">
        <f ca="1">IF(TODAY() - DWMXX[INV DUE DATE]&lt;30, "Less than 30 days",IF(TODAY()-DWMXX[INV DUE DATE]&lt;60,"30-60 days","More than 60 days"))</f>
        <v>More than 60 days</v>
      </c>
      <c r="S5" t="s">
        <v>2033</v>
      </c>
      <c r="U5" s="7" t="s">
        <v>3699</v>
      </c>
    </row>
    <row r="6" spans="1:21" x14ac:dyDescent="0.3">
      <c r="A6" t="s">
        <v>2144</v>
      </c>
      <c r="E6" s="7">
        <v>248</v>
      </c>
      <c r="K6" t="s">
        <v>3</v>
      </c>
      <c r="L6" s="2">
        <v>43221</v>
      </c>
      <c r="M6" s="2">
        <f>DWMXX[[#This Row],[INV DOC DATE]]+30</f>
        <v>43251</v>
      </c>
      <c r="Q6" s="7">
        <f t="shared" si="0"/>
        <v>248</v>
      </c>
      <c r="R6" s="7" t="str">
        <f ca="1">IF(TODAY() - DWMXX[INV DUE DATE]&lt;30, "Less than 30 days",IF(TODAY()-DWMXX[INV DUE DATE]&lt;60,"30-60 days","More than 60 days"))</f>
        <v>30-60 days</v>
      </c>
      <c r="S6" t="s">
        <v>2033</v>
      </c>
      <c r="U6" s="7" t="s">
        <v>3699</v>
      </c>
    </row>
    <row r="7" spans="1:21" x14ac:dyDescent="0.3">
      <c r="A7" t="s">
        <v>2686</v>
      </c>
      <c r="E7" s="7">
        <v>240</v>
      </c>
      <c r="J7" t="s">
        <v>2034</v>
      </c>
      <c r="K7" t="s">
        <v>3</v>
      </c>
      <c r="L7" s="2">
        <v>43252</v>
      </c>
      <c r="M7" s="2">
        <f>DWMXX[[#This Row],[INV DOC DATE]]+30</f>
        <v>43282</v>
      </c>
      <c r="N7" s="2">
        <v>43251</v>
      </c>
      <c r="Q7" s="7">
        <f t="shared" si="0"/>
        <v>240</v>
      </c>
      <c r="R7" s="7" t="str">
        <f ca="1">IF(TODAY() - DWMXX[INV DUE DATE]&lt;30, "Less than 30 days",IF(TODAY()-DWMXX[INV DUE DATE]&lt;60,"30-60 days","More than 60 days"))</f>
        <v>Less than 30 days</v>
      </c>
      <c r="S7" t="s">
        <v>2033</v>
      </c>
      <c r="U7" s="7" t="s">
        <v>3699</v>
      </c>
    </row>
    <row r="8" spans="1:21" x14ac:dyDescent="0.3">
      <c r="A8" t="s">
        <v>4169</v>
      </c>
      <c r="E8" s="7">
        <v>248</v>
      </c>
      <c r="G8">
        <v>4506180194</v>
      </c>
      <c r="J8" t="s">
        <v>2034</v>
      </c>
      <c r="K8" t="s">
        <v>3</v>
      </c>
      <c r="L8" s="2">
        <v>43282</v>
      </c>
      <c r="M8" s="2">
        <f>DWMXX[[#This Row],[INV DOC DATE]]+30</f>
        <v>43312</v>
      </c>
      <c r="N8" s="2">
        <v>43280</v>
      </c>
      <c r="Q8" s="7">
        <f>$E8-$O8</f>
        <v>248</v>
      </c>
      <c r="R8" s="7" t="str">
        <f ca="1">IF(TODAY() - DWMXX[INV DUE DATE]&lt;30, "Less than 30 days",IF(TODAY()-DWMXX[INV DUE DATE]&lt;60,"30-60 days","More than 60 days"))</f>
        <v>Less than 30 days</v>
      </c>
      <c r="S8" t="s">
        <v>2033</v>
      </c>
      <c r="U8" s="7" t="s">
        <v>3699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3824"/>
  <sheetViews>
    <sheetView workbookViewId="0">
      <pane ySplit="1" topLeftCell="A3798" activePane="bottomLeft" state="frozen"/>
      <selection pane="bottomLeft" activeCell="G3630" sqref="G3630"/>
    </sheetView>
  </sheetViews>
  <sheetFormatPr defaultRowHeight="14.4" x14ac:dyDescent="0.3"/>
  <cols>
    <col min="1" max="1" width="13.21875" bestFit="1" customWidth="1"/>
    <col min="2" max="2" width="12.21875" bestFit="1" customWidth="1"/>
    <col min="3" max="3" width="24" bestFit="1" customWidth="1"/>
    <col min="4" max="4" width="7.44140625" bestFit="1" customWidth="1"/>
    <col min="5" max="5" width="12.77734375" bestFit="1" customWidth="1"/>
    <col min="6" max="6" width="4.44140625" bestFit="1" customWidth="1"/>
    <col min="7" max="7" width="11.6640625" style="111" bestFit="1" customWidth="1"/>
    <col min="8" max="8" width="10.5546875" style="17" bestFit="1" customWidth="1"/>
    <col min="9" max="9" width="11" bestFit="1" customWidth="1"/>
    <col min="10" max="10" width="12.21875" style="75" bestFit="1" customWidth="1"/>
    <col min="11" max="11" width="6.5546875" bestFit="1" customWidth="1"/>
  </cols>
  <sheetData>
    <row r="1" spans="1:11" s="112" customFormat="1" thickBot="1" x14ac:dyDescent="0.35">
      <c r="A1" s="22" t="s">
        <v>1551</v>
      </c>
      <c r="B1" s="25" t="s">
        <v>1552</v>
      </c>
      <c r="C1" s="23" t="s">
        <v>1553</v>
      </c>
      <c r="D1" s="24" t="s">
        <v>1554</v>
      </c>
      <c r="E1" s="22" t="s">
        <v>1555</v>
      </c>
      <c r="F1" s="22" t="s">
        <v>29</v>
      </c>
      <c r="G1" s="22" t="s">
        <v>35</v>
      </c>
      <c r="H1" s="25" t="s">
        <v>1556</v>
      </c>
      <c r="I1" s="23" t="s">
        <v>1557</v>
      </c>
      <c r="J1" s="26" t="s">
        <v>1558</v>
      </c>
      <c r="K1" s="27" t="s">
        <v>2029</v>
      </c>
    </row>
    <row r="2" spans="1:11" x14ac:dyDescent="0.3">
      <c r="A2" t="s">
        <v>1550</v>
      </c>
      <c r="B2" s="18">
        <v>43227</v>
      </c>
      <c r="C2" s="19" t="s">
        <v>1559</v>
      </c>
      <c r="D2" s="19">
        <v>2000</v>
      </c>
      <c r="E2" s="20" t="s">
        <v>1561</v>
      </c>
      <c r="F2" s="20" t="s">
        <v>1519</v>
      </c>
      <c r="G2" s="105"/>
      <c r="H2" s="18">
        <v>43221</v>
      </c>
      <c r="I2" s="19" t="s">
        <v>1566</v>
      </c>
      <c r="J2" s="21">
        <v>172.5</v>
      </c>
      <c r="K2" t="s">
        <v>2030</v>
      </c>
    </row>
    <row r="3" spans="1:11" x14ac:dyDescent="0.3">
      <c r="A3" t="s">
        <v>1550</v>
      </c>
      <c r="B3" s="18">
        <v>43227</v>
      </c>
      <c r="C3" s="19" t="s">
        <v>1559</v>
      </c>
      <c r="D3" s="19">
        <v>2000</v>
      </c>
      <c r="E3" s="20" t="s">
        <v>1561</v>
      </c>
      <c r="F3" s="20" t="s">
        <v>1515</v>
      </c>
      <c r="G3" s="105"/>
      <c r="H3" s="18">
        <v>43221</v>
      </c>
      <c r="I3" s="19" t="s">
        <v>1567</v>
      </c>
      <c r="J3" s="21">
        <v>172.5</v>
      </c>
      <c r="K3" t="s">
        <v>2030</v>
      </c>
    </row>
    <row r="4" spans="1:11" x14ac:dyDescent="0.3">
      <c r="A4" t="s">
        <v>1550</v>
      </c>
      <c r="B4" s="18">
        <v>43227</v>
      </c>
      <c r="C4" s="19" t="s">
        <v>1559</v>
      </c>
      <c r="D4" s="19">
        <v>2000</v>
      </c>
      <c r="E4" s="20" t="s">
        <v>1561</v>
      </c>
      <c r="F4" s="20" t="s">
        <v>1511</v>
      </c>
      <c r="G4" s="105"/>
      <c r="H4" s="18">
        <v>43221</v>
      </c>
      <c r="I4" s="19" t="s">
        <v>1568</v>
      </c>
      <c r="J4" s="21">
        <v>172.5</v>
      </c>
      <c r="K4" t="s">
        <v>2030</v>
      </c>
    </row>
    <row r="5" spans="1:11" x14ac:dyDescent="0.3">
      <c r="A5" t="s">
        <v>1550</v>
      </c>
      <c r="B5" s="18">
        <v>43227</v>
      </c>
      <c r="C5" s="19" t="s">
        <v>1559</v>
      </c>
      <c r="D5" s="19">
        <v>2000</v>
      </c>
      <c r="E5" s="20" t="s">
        <v>1561</v>
      </c>
      <c r="F5" s="20" t="s">
        <v>1514</v>
      </c>
      <c r="G5" s="105"/>
      <c r="H5" s="18">
        <v>43221</v>
      </c>
      <c r="I5" s="19" t="s">
        <v>1569</v>
      </c>
      <c r="J5" s="21">
        <v>172.5</v>
      </c>
      <c r="K5" t="s">
        <v>2030</v>
      </c>
    </row>
    <row r="6" spans="1:11" x14ac:dyDescent="0.3">
      <c r="A6" t="s">
        <v>1550</v>
      </c>
      <c r="B6" s="18">
        <v>43227</v>
      </c>
      <c r="C6" s="19" t="s">
        <v>1559</v>
      </c>
      <c r="D6" s="19">
        <v>2000</v>
      </c>
      <c r="E6" s="20" t="s">
        <v>1561</v>
      </c>
      <c r="F6" s="20" t="s">
        <v>1521</v>
      </c>
      <c r="G6" s="105"/>
      <c r="H6" s="18">
        <v>43221</v>
      </c>
      <c r="I6" s="19" t="s">
        <v>1570</v>
      </c>
      <c r="J6" s="21">
        <v>172.5</v>
      </c>
      <c r="K6" t="s">
        <v>2030</v>
      </c>
    </row>
    <row r="7" spans="1:11" x14ac:dyDescent="0.3">
      <c r="A7" t="s">
        <v>1550</v>
      </c>
      <c r="B7" s="18">
        <v>43227</v>
      </c>
      <c r="C7" s="19" t="s">
        <v>1559</v>
      </c>
      <c r="D7" s="19">
        <v>2000</v>
      </c>
      <c r="E7" s="20" t="s">
        <v>1561</v>
      </c>
      <c r="F7" s="20" t="s">
        <v>1526</v>
      </c>
      <c r="G7" s="105"/>
      <c r="H7" s="18">
        <v>43221</v>
      </c>
      <c r="I7" s="19" t="s">
        <v>1571</v>
      </c>
      <c r="J7" s="21">
        <v>172.5</v>
      </c>
      <c r="K7" t="s">
        <v>2030</v>
      </c>
    </row>
    <row r="8" spans="1:11" x14ac:dyDescent="0.3">
      <c r="A8" t="s">
        <v>1550</v>
      </c>
      <c r="B8" s="18">
        <v>43227</v>
      </c>
      <c r="C8" s="19" t="s">
        <v>1559</v>
      </c>
      <c r="D8" s="19">
        <v>2000</v>
      </c>
      <c r="E8" s="20" t="s">
        <v>1561</v>
      </c>
      <c r="F8" s="20" t="s">
        <v>1528</v>
      </c>
      <c r="G8" s="105"/>
      <c r="H8" s="18">
        <v>43221</v>
      </c>
      <c r="I8" s="19" t="s">
        <v>1572</v>
      </c>
      <c r="J8" s="21">
        <v>172.5</v>
      </c>
      <c r="K8" t="s">
        <v>2030</v>
      </c>
    </row>
    <row r="9" spans="1:11" x14ac:dyDescent="0.3">
      <c r="A9" t="s">
        <v>1550</v>
      </c>
      <c r="B9" s="18">
        <v>43227</v>
      </c>
      <c r="C9" s="19" t="s">
        <v>1559</v>
      </c>
      <c r="D9" s="19">
        <v>2000</v>
      </c>
      <c r="E9" s="20" t="s">
        <v>1561</v>
      </c>
      <c r="F9" s="20" t="s">
        <v>1522</v>
      </c>
      <c r="G9" s="105"/>
      <c r="H9" s="18">
        <v>43221</v>
      </c>
      <c r="I9" s="19" t="s">
        <v>1573</v>
      </c>
      <c r="J9" s="21">
        <v>172.5</v>
      </c>
      <c r="K9" t="s">
        <v>2030</v>
      </c>
    </row>
    <row r="10" spans="1:11" x14ac:dyDescent="0.3">
      <c r="A10" t="s">
        <v>1550</v>
      </c>
      <c r="B10" s="18">
        <v>43227</v>
      </c>
      <c r="C10" s="19" t="s">
        <v>1559</v>
      </c>
      <c r="D10" s="19">
        <v>2000</v>
      </c>
      <c r="E10" s="20" t="s">
        <v>1561</v>
      </c>
      <c r="F10" s="20" t="s">
        <v>1524</v>
      </c>
      <c r="G10" s="105"/>
      <c r="H10" s="18">
        <v>43221</v>
      </c>
      <c r="I10" s="19" t="s">
        <v>1574</v>
      </c>
      <c r="J10" s="21">
        <v>172.5</v>
      </c>
      <c r="K10" t="s">
        <v>2030</v>
      </c>
    </row>
    <row r="11" spans="1:11" x14ac:dyDescent="0.3">
      <c r="A11" t="s">
        <v>1550</v>
      </c>
      <c r="B11" s="18">
        <v>43227</v>
      </c>
      <c r="C11" s="19" t="s">
        <v>1559</v>
      </c>
      <c r="D11" s="19">
        <v>2000</v>
      </c>
      <c r="E11" s="20" t="s">
        <v>1561</v>
      </c>
      <c r="F11" s="20" t="s">
        <v>1529</v>
      </c>
      <c r="G11" s="105"/>
      <c r="H11" s="18">
        <v>43221</v>
      </c>
      <c r="I11" s="19" t="s">
        <v>1575</v>
      </c>
      <c r="J11" s="21">
        <v>172.5</v>
      </c>
      <c r="K11" t="s">
        <v>2030</v>
      </c>
    </row>
    <row r="12" spans="1:11" x14ac:dyDescent="0.3">
      <c r="A12" t="s">
        <v>1550</v>
      </c>
      <c r="B12" s="18">
        <v>43227</v>
      </c>
      <c r="C12" s="19" t="s">
        <v>1559</v>
      </c>
      <c r="D12" s="19">
        <v>2000</v>
      </c>
      <c r="E12" s="20" t="s">
        <v>1561</v>
      </c>
      <c r="F12" s="20" t="s">
        <v>35</v>
      </c>
      <c r="G12" s="105"/>
      <c r="H12" s="18">
        <v>43221</v>
      </c>
      <c r="I12" s="19" t="s">
        <v>1576</v>
      </c>
      <c r="J12" s="21">
        <v>172.5</v>
      </c>
      <c r="K12" t="s">
        <v>2030</v>
      </c>
    </row>
    <row r="13" spans="1:11" x14ac:dyDescent="0.3">
      <c r="A13" t="s">
        <v>1550</v>
      </c>
      <c r="B13" s="18">
        <v>43227</v>
      </c>
      <c r="C13" s="19" t="s">
        <v>1559</v>
      </c>
      <c r="D13" s="19">
        <v>2000</v>
      </c>
      <c r="E13" s="20" t="s">
        <v>1561</v>
      </c>
      <c r="F13" s="20" t="s">
        <v>1525</v>
      </c>
      <c r="G13" s="105"/>
      <c r="H13" s="18">
        <v>43221</v>
      </c>
      <c r="I13" s="19" t="s">
        <v>1577</v>
      </c>
      <c r="J13" s="21">
        <v>172.5</v>
      </c>
      <c r="K13" t="s">
        <v>2030</v>
      </c>
    </row>
    <row r="14" spans="1:11" x14ac:dyDescent="0.3">
      <c r="A14" t="s">
        <v>1550</v>
      </c>
      <c r="B14" s="18">
        <v>43227</v>
      </c>
      <c r="C14" s="19" t="s">
        <v>1559</v>
      </c>
      <c r="D14" s="19">
        <v>2000</v>
      </c>
      <c r="E14" s="20" t="s">
        <v>1561</v>
      </c>
      <c r="F14" s="20" t="s">
        <v>1523</v>
      </c>
      <c r="G14" s="105"/>
      <c r="H14" s="18">
        <v>43221</v>
      </c>
      <c r="I14" s="19" t="s">
        <v>1578</v>
      </c>
      <c r="J14" s="21">
        <v>172.5</v>
      </c>
      <c r="K14" t="s">
        <v>2030</v>
      </c>
    </row>
    <row r="15" spans="1:11" x14ac:dyDescent="0.3">
      <c r="A15" t="s">
        <v>1550</v>
      </c>
      <c r="B15" s="18">
        <v>43227</v>
      </c>
      <c r="C15" s="19" t="s">
        <v>1559</v>
      </c>
      <c r="D15" s="19">
        <v>2000</v>
      </c>
      <c r="E15" s="20" t="s">
        <v>1561</v>
      </c>
      <c r="F15" s="20" t="s">
        <v>1527</v>
      </c>
      <c r="G15" s="105"/>
      <c r="H15" s="18">
        <v>43221</v>
      </c>
      <c r="I15" s="19" t="s">
        <v>1579</v>
      </c>
      <c r="J15" s="21">
        <v>172.5</v>
      </c>
      <c r="K15" t="s">
        <v>2030</v>
      </c>
    </row>
    <row r="16" spans="1:11" x14ac:dyDescent="0.3">
      <c r="A16" t="s">
        <v>1550</v>
      </c>
      <c r="B16" s="18">
        <v>43227</v>
      </c>
      <c r="C16" s="19" t="s">
        <v>1559</v>
      </c>
      <c r="D16" s="19">
        <v>2000</v>
      </c>
      <c r="E16" s="20" t="s">
        <v>1561</v>
      </c>
      <c r="F16" s="20" t="s">
        <v>1533</v>
      </c>
      <c r="G16" s="105"/>
      <c r="H16" s="18">
        <v>43221</v>
      </c>
      <c r="I16" s="19" t="s">
        <v>1580</v>
      </c>
      <c r="J16" s="21">
        <v>172.5</v>
      </c>
      <c r="K16" t="s">
        <v>2030</v>
      </c>
    </row>
    <row r="17" spans="1:11" x14ac:dyDescent="0.3">
      <c r="A17" t="s">
        <v>1550</v>
      </c>
      <c r="B17" s="18">
        <v>43227</v>
      </c>
      <c r="C17" s="19" t="s">
        <v>1559</v>
      </c>
      <c r="D17" s="19">
        <v>2000</v>
      </c>
      <c r="E17" s="20" t="s">
        <v>1561</v>
      </c>
      <c r="F17" s="20" t="s">
        <v>1539</v>
      </c>
      <c r="G17" s="105"/>
      <c r="H17" s="18">
        <v>43221</v>
      </c>
      <c r="I17" s="19" t="s">
        <v>1581</v>
      </c>
      <c r="J17" s="21">
        <v>172.5</v>
      </c>
      <c r="K17" t="s">
        <v>2030</v>
      </c>
    </row>
    <row r="18" spans="1:11" x14ac:dyDescent="0.3">
      <c r="A18" t="s">
        <v>1550</v>
      </c>
      <c r="B18" s="18">
        <v>43227</v>
      </c>
      <c r="C18" s="19" t="s">
        <v>1559</v>
      </c>
      <c r="D18" s="19">
        <v>2000</v>
      </c>
      <c r="E18" s="20" t="s">
        <v>1561</v>
      </c>
      <c r="F18" s="20" t="s">
        <v>1537</v>
      </c>
      <c r="G18" s="105"/>
      <c r="H18" s="18">
        <v>43221</v>
      </c>
      <c r="I18" s="19" t="s">
        <v>1582</v>
      </c>
      <c r="J18" s="21">
        <v>172.5</v>
      </c>
      <c r="K18" t="s">
        <v>2030</v>
      </c>
    </row>
    <row r="19" spans="1:11" x14ac:dyDescent="0.3">
      <c r="A19" t="s">
        <v>1550</v>
      </c>
      <c r="B19" s="18">
        <v>43227</v>
      </c>
      <c r="C19" s="19" t="s">
        <v>1559</v>
      </c>
      <c r="D19" s="19">
        <v>2000</v>
      </c>
      <c r="E19" s="20" t="s">
        <v>1561</v>
      </c>
      <c r="F19" s="20" t="s">
        <v>1532</v>
      </c>
      <c r="G19" s="105"/>
      <c r="H19" s="18">
        <v>43221</v>
      </c>
      <c r="I19" s="19" t="s">
        <v>1583</v>
      </c>
      <c r="J19" s="21">
        <v>172.5</v>
      </c>
      <c r="K19" t="s">
        <v>2030</v>
      </c>
    </row>
    <row r="20" spans="1:11" x14ac:dyDescent="0.3">
      <c r="A20" t="s">
        <v>1550</v>
      </c>
      <c r="B20" s="18">
        <v>43227</v>
      </c>
      <c r="C20" s="19" t="s">
        <v>1559</v>
      </c>
      <c r="D20" s="19">
        <v>2000</v>
      </c>
      <c r="E20" s="20" t="s">
        <v>1561</v>
      </c>
      <c r="F20" s="20" t="s">
        <v>1536</v>
      </c>
      <c r="G20" s="105"/>
      <c r="H20" s="18">
        <v>43221</v>
      </c>
      <c r="I20" s="19" t="s">
        <v>1584</v>
      </c>
      <c r="J20" s="21">
        <v>172.5</v>
      </c>
      <c r="K20" t="s">
        <v>2030</v>
      </c>
    </row>
    <row r="21" spans="1:11" x14ac:dyDescent="0.3">
      <c r="A21" t="s">
        <v>1550</v>
      </c>
      <c r="B21" s="18">
        <v>43227</v>
      </c>
      <c r="C21" s="19" t="s">
        <v>1559</v>
      </c>
      <c r="D21" s="19">
        <v>2000</v>
      </c>
      <c r="E21" s="20" t="s">
        <v>1561</v>
      </c>
      <c r="F21" s="20" t="s">
        <v>1535</v>
      </c>
      <c r="G21" s="105"/>
      <c r="H21" s="18">
        <v>43221</v>
      </c>
      <c r="I21" s="19" t="s">
        <v>1585</v>
      </c>
      <c r="J21" s="21">
        <v>172.5</v>
      </c>
      <c r="K21" t="s">
        <v>2030</v>
      </c>
    </row>
    <row r="22" spans="1:11" x14ac:dyDescent="0.3">
      <c r="A22" t="s">
        <v>1550</v>
      </c>
      <c r="B22" s="18">
        <v>43227</v>
      </c>
      <c r="C22" s="19" t="s">
        <v>1559</v>
      </c>
      <c r="D22" s="19">
        <v>2000</v>
      </c>
      <c r="E22" s="20" t="s">
        <v>1561</v>
      </c>
      <c r="F22" s="20" t="s">
        <v>1540</v>
      </c>
      <c r="G22" s="105"/>
      <c r="H22" s="18">
        <v>43221</v>
      </c>
      <c r="I22" s="19" t="s">
        <v>1586</v>
      </c>
      <c r="J22" s="21">
        <v>172.5</v>
      </c>
      <c r="K22" t="s">
        <v>2030</v>
      </c>
    </row>
    <row r="23" spans="1:11" x14ac:dyDescent="0.3">
      <c r="A23" t="s">
        <v>1550</v>
      </c>
      <c r="B23" s="18">
        <v>43227</v>
      </c>
      <c r="C23" s="19" t="s">
        <v>1559</v>
      </c>
      <c r="D23" s="19">
        <v>2000</v>
      </c>
      <c r="E23" s="20" t="s">
        <v>1561</v>
      </c>
      <c r="F23" s="20" t="s">
        <v>1531</v>
      </c>
      <c r="G23" s="105"/>
      <c r="H23" s="18">
        <v>43221</v>
      </c>
      <c r="I23" s="19" t="s">
        <v>1587</v>
      </c>
      <c r="J23" s="21">
        <v>172.5</v>
      </c>
      <c r="K23" t="s">
        <v>2030</v>
      </c>
    </row>
    <row r="24" spans="1:11" x14ac:dyDescent="0.3">
      <c r="A24" t="s">
        <v>1550</v>
      </c>
      <c r="B24" s="18">
        <v>43227</v>
      </c>
      <c r="C24" s="19" t="s">
        <v>1559</v>
      </c>
      <c r="D24" s="19">
        <v>2000</v>
      </c>
      <c r="E24" s="20" t="s">
        <v>1561</v>
      </c>
      <c r="F24" s="20" t="s">
        <v>1534</v>
      </c>
      <c r="G24" s="105"/>
      <c r="H24" s="18">
        <v>43221</v>
      </c>
      <c r="I24" s="19" t="s">
        <v>1588</v>
      </c>
      <c r="J24" s="21">
        <v>172.5</v>
      </c>
      <c r="K24" t="s">
        <v>2030</v>
      </c>
    </row>
    <row r="25" spans="1:11" x14ac:dyDescent="0.3">
      <c r="A25" t="s">
        <v>1550</v>
      </c>
      <c r="B25" s="18">
        <v>43227</v>
      </c>
      <c r="C25" s="19" t="s">
        <v>1559</v>
      </c>
      <c r="D25" s="19">
        <v>2000</v>
      </c>
      <c r="E25" s="20" t="s">
        <v>1561</v>
      </c>
      <c r="F25" s="20" t="s">
        <v>1530</v>
      </c>
      <c r="G25" s="105"/>
      <c r="H25" s="18">
        <v>43221</v>
      </c>
      <c r="I25" s="19" t="s">
        <v>1589</v>
      </c>
      <c r="J25" s="21">
        <v>172.5</v>
      </c>
      <c r="K25" t="s">
        <v>2030</v>
      </c>
    </row>
    <row r="26" spans="1:11" x14ac:dyDescent="0.3">
      <c r="A26" t="s">
        <v>1550</v>
      </c>
      <c r="B26" s="18">
        <v>43227</v>
      </c>
      <c r="C26" s="19" t="s">
        <v>1559</v>
      </c>
      <c r="D26" s="19">
        <v>2000</v>
      </c>
      <c r="E26" s="20" t="s">
        <v>1561</v>
      </c>
      <c r="F26" s="20" t="s">
        <v>1541</v>
      </c>
      <c r="G26" s="105"/>
      <c r="H26" s="18">
        <v>43221</v>
      </c>
      <c r="I26" s="19" t="s">
        <v>1591</v>
      </c>
      <c r="J26" s="21">
        <v>172.5</v>
      </c>
      <c r="K26" t="s">
        <v>2030</v>
      </c>
    </row>
    <row r="27" spans="1:11" x14ac:dyDescent="0.3">
      <c r="A27" t="s">
        <v>1550</v>
      </c>
      <c r="B27" s="18">
        <v>43227</v>
      </c>
      <c r="C27" s="19" t="s">
        <v>1559</v>
      </c>
      <c r="D27" s="19">
        <v>2000</v>
      </c>
      <c r="E27" s="20" t="s">
        <v>1561</v>
      </c>
      <c r="F27" s="20" t="s">
        <v>1538</v>
      </c>
      <c r="G27" s="105"/>
      <c r="H27" s="18">
        <v>43221</v>
      </c>
      <c r="I27" s="19" t="s">
        <v>1592</v>
      </c>
      <c r="J27" s="21">
        <v>172.5</v>
      </c>
      <c r="K27" t="s">
        <v>2030</v>
      </c>
    </row>
    <row r="28" spans="1:11" x14ac:dyDescent="0.3">
      <c r="A28" t="s">
        <v>1550</v>
      </c>
      <c r="B28" s="18">
        <v>43227</v>
      </c>
      <c r="C28" s="19" t="s">
        <v>1559</v>
      </c>
      <c r="D28" s="19">
        <v>2000</v>
      </c>
      <c r="E28" s="20" t="s">
        <v>1561</v>
      </c>
      <c r="F28" s="20" t="s">
        <v>1477</v>
      </c>
      <c r="G28" s="105"/>
      <c r="H28" s="18">
        <v>43221</v>
      </c>
      <c r="I28" s="19" t="s">
        <v>1606</v>
      </c>
      <c r="J28" s="21">
        <v>172.5</v>
      </c>
      <c r="K28" t="s">
        <v>2030</v>
      </c>
    </row>
    <row r="29" spans="1:11" x14ac:dyDescent="0.3">
      <c r="A29" t="s">
        <v>1550</v>
      </c>
      <c r="B29" s="18">
        <v>43227</v>
      </c>
      <c r="C29" s="19" t="s">
        <v>1559</v>
      </c>
      <c r="D29" s="19">
        <v>2000</v>
      </c>
      <c r="E29" s="20" t="s">
        <v>1561</v>
      </c>
      <c r="F29" s="20" t="s">
        <v>1480</v>
      </c>
      <c r="G29" s="105"/>
      <c r="H29" s="18">
        <v>43221</v>
      </c>
      <c r="I29" s="19" t="s">
        <v>1607</v>
      </c>
      <c r="J29" s="21">
        <v>172.5</v>
      </c>
      <c r="K29" t="s">
        <v>2030</v>
      </c>
    </row>
    <row r="30" spans="1:11" x14ac:dyDescent="0.3">
      <c r="A30" t="s">
        <v>1550</v>
      </c>
      <c r="B30" s="18">
        <v>43227</v>
      </c>
      <c r="C30" s="19" t="s">
        <v>1559</v>
      </c>
      <c r="D30" s="19">
        <v>2000</v>
      </c>
      <c r="E30" s="20" t="s">
        <v>1561</v>
      </c>
      <c r="F30" s="20" t="s">
        <v>1478</v>
      </c>
      <c r="G30" s="105"/>
      <c r="H30" s="18">
        <v>43221</v>
      </c>
      <c r="I30" s="19" t="s">
        <v>1608</v>
      </c>
      <c r="J30" s="21">
        <v>172.5</v>
      </c>
      <c r="K30" t="s">
        <v>2030</v>
      </c>
    </row>
    <row r="31" spans="1:11" x14ac:dyDescent="0.3">
      <c r="A31" t="s">
        <v>1550</v>
      </c>
      <c r="B31" s="18">
        <v>43227</v>
      </c>
      <c r="C31" s="19" t="s">
        <v>1559</v>
      </c>
      <c r="D31" s="19">
        <v>2000</v>
      </c>
      <c r="E31" s="20" t="s">
        <v>1561</v>
      </c>
      <c r="F31" s="20" t="s">
        <v>1479</v>
      </c>
      <c r="G31" s="105"/>
      <c r="H31" s="18">
        <v>43221</v>
      </c>
      <c r="I31" s="19" t="s">
        <v>1609</v>
      </c>
      <c r="J31" s="21">
        <v>172.5</v>
      </c>
      <c r="K31" t="s">
        <v>2030</v>
      </c>
    </row>
    <row r="32" spans="1:11" x14ac:dyDescent="0.3">
      <c r="A32" t="s">
        <v>1550</v>
      </c>
      <c r="B32" s="18">
        <v>43227</v>
      </c>
      <c r="C32" s="19" t="s">
        <v>1559</v>
      </c>
      <c r="D32" s="19">
        <v>2000</v>
      </c>
      <c r="E32" s="20" t="s">
        <v>1561</v>
      </c>
      <c r="F32" s="20" t="s">
        <v>1485</v>
      </c>
      <c r="G32" s="105"/>
      <c r="H32" s="18">
        <v>43221</v>
      </c>
      <c r="I32" s="19" t="s">
        <v>1610</v>
      </c>
      <c r="J32" s="21">
        <v>172.5</v>
      </c>
      <c r="K32" t="s">
        <v>2030</v>
      </c>
    </row>
    <row r="33" spans="1:11" x14ac:dyDescent="0.3">
      <c r="A33" t="s">
        <v>1550</v>
      </c>
      <c r="B33" s="18">
        <v>43227</v>
      </c>
      <c r="C33" s="19" t="s">
        <v>1559</v>
      </c>
      <c r="D33" s="19">
        <v>2000</v>
      </c>
      <c r="E33" s="20" t="s">
        <v>1561</v>
      </c>
      <c r="F33" s="20" t="s">
        <v>1481</v>
      </c>
      <c r="G33" s="105"/>
      <c r="H33" s="18">
        <v>43221</v>
      </c>
      <c r="I33" s="19" t="s">
        <v>1611</v>
      </c>
      <c r="J33" s="21">
        <v>172.5</v>
      </c>
      <c r="K33" t="s">
        <v>2030</v>
      </c>
    </row>
    <row r="34" spans="1:11" x14ac:dyDescent="0.3">
      <c r="A34" t="s">
        <v>1550</v>
      </c>
      <c r="B34" s="18">
        <v>43227</v>
      </c>
      <c r="C34" s="19" t="s">
        <v>1559</v>
      </c>
      <c r="D34" s="19">
        <v>2000</v>
      </c>
      <c r="E34" s="20" t="s">
        <v>1561</v>
      </c>
      <c r="F34" s="20" t="s">
        <v>1483</v>
      </c>
      <c r="G34" s="105"/>
      <c r="H34" s="18">
        <v>43221</v>
      </c>
      <c r="I34" s="19" t="s">
        <v>1612</v>
      </c>
      <c r="J34" s="21">
        <v>172.5</v>
      </c>
      <c r="K34" t="s">
        <v>2030</v>
      </c>
    </row>
    <row r="35" spans="1:11" x14ac:dyDescent="0.3">
      <c r="A35" t="s">
        <v>1550</v>
      </c>
      <c r="B35" s="18">
        <v>43227</v>
      </c>
      <c r="C35" s="19" t="s">
        <v>1559</v>
      </c>
      <c r="D35" s="19">
        <v>2000</v>
      </c>
      <c r="E35" s="20" t="s">
        <v>1561</v>
      </c>
      <c r="F35" s="20" t="s">
        <v>1484</v>
      </c>
      <c r="G35" s="105"/>
      <c r="H35" s="18">
        <v>43221</v>
      </c>
      <c r="I35" s="19" t="s">
        <v>1613</v>
      </c>
      <c r="J35" s="21">
        <v>172.5</v>
      </c>
      <c r="K35" t="s">
        <v>2030</v>
      </c>
    </row>
    <row r="36" spans="1:11" x14ac:dyDescent="0.3">
      <c r="A36" t="s">
        <v>1550</v>
      </c>
      <c r="B36" s="18">
        <v>43227</v>
      </c>
      <c r="C36" s="19" t="s">
        <v>1559</v>
      </c>
      <c r="D36" s="19">
        <v>2000</v>
      </c>
      <c r="E36" s="20" t="s">
        <v>1561</v>
      </c>
      <c r="F36" s="20" t="s">
        <v>1482</v>
      </c>
      <c r="G36" s="105"/>
      <c r="H36" s="18">
        <v>43221</v>
      </c>
      <c r="I36" s="19" t="s">
        <v>1614</v>
      </c>
      <c r="J36" s="21">
        <v>172.5</v>
      </c>
      <c r="K36" t="s">
        <v>2030</v>
      </c>
    </row>
    <row r="37" spans="1:11" x14ac:dyDescent="0.3">
      <c r="A37" t="s">
        <v>1550</v>
      </c>
      <c r="B37" s="18">
        <v>43227</v>
      </c>
      <c r="C37" s="19" t="s">
        <v>1559</v>
      </c>
      <c r="D37" s="19">
        <v>2000</v>
      </c>
      <c r="E37" s="20" t="s">
        <v>1561</v>
      </c>
      <c r="F37" s="20" t="s">
        <v>1498</v>
      </c>
      <c r="G37" s="105"/>
      <c r="H37" s="18">
        <v>43221</v>
      </c>
      <c r="I37" s="19" t="s">
        <v>1615</v>
      </c>
      <c r="J37" s="21">
        <v>172.5</v>
      </c>
      <c r="K37" t="s">
        <v>2030</v>
      </c>
    </row>
    <row r="38" spans="1:11" x14ac:dyDescent="0.3">
      <c r="A38" t="s">
        <v>1550</v>
      </c>
      <c r="B38" s="18">
        <v>43227</v>
      </c>
      <c r="C38" s="19" t="s">
        <v>1559</v>
      </c>
      <c r="D38" s="19">
        <v>2000</v>
      </c>
      <c r="E38" s="20" t="s">
        <v>1561</v>
      </c>
      <c r="F38" s="20" t="s">
        <v>1493</v>
      </c>
      <c r="G38" s="105"/>
      <c r="H38" s="18">
        <v>43221</v>
      </c>
      <c r="I38" s="19" t="s">
        <v>1616</v>
      </c>
      <c r="J38" s="21">
        <v>172.5</v>
      </c>
      <c r="K38" t="s">
        <v>2030</v>
      </c>
    </row>
    <row r="39" spans="1:11" x14ac:dyDescent="0.3">
      <c r="A39" t="s">
        <v>1550</v>
      </c>
      <c r="B39" s="18">
        <v>43227</v>
      </c>
      <c r="C39" s="19" t="s">
        <v>1559</v>
      </c>
      <c r="D39" s="19">
        <v>2000</v>
      </c>
      <c r="E39" s="20" t="s">
        <v>1561</v>
      </c>
      <c r="F39" s="20" t="s">
        <v>1492</v>
      </c>
      <c r="G39" s="105"/>
      <c r="H39" s="18">
        <v>43221</v>
      </c>
      <c r="I39" s="19" t="s">
        <v>1617</v>
      </c>
      <c r="J39" s="21">
        <v>172.5</v>
      </c>
      <c r="K39" t="s">
        <v>2030</v>
      </c>
    </row>
    <row r="40" spans="1:11" x14ac:dyDescent="0.3">
      <c r="A40" t="s">
        <v>1550</v>
      </c>
      <c r="B40" s="18">
        <v>43227</v>
      </c>
      <c r="C40" s="19" t="s">
        <v>1559</v>
      </c>
      <c r="D40" s="19">
        <v>2000</v>
      </c>
      <c r="E40" s="20" t="s">
        <v>1561</v>
      </c>
      <c r="F40" s="20" t="s">
        <v>1494</v>
      </c>
      <c r="G40" s="105"/>
      <c r="H40" s="18">
        <v>43221</v>
      </c>
      <c r="I40" s="19" t="s">
        <v>1618</v>
      </c>
      <c r="J40" s="21">
        <v>172.5</v>
      </c>
      <c r="K40" t="s">
        <v>2030</v>
      </c>
    </row>
    <row r="41" spans="1:11" x14ac:dyDescent="0.3">
      <c r="A41" t="s">
        <v>1550</v>
      </c>
      <c r="B41" s="18">
        <v>43227</v>
      </c>
      <c r="C41" s="19" t="s">
        <v>1559</v>
      </c>
      <c r="D41" s="19">
        <v>2000</v>
      </c>
      <c r="E41" s="20" t="s">
        <v>1561</v>
      </c>
      <c r="F41" s="20" t="s">
        <v>1486</v>
      </c>
      <c r="G41" s="105"/>
      <c r="H41" s="18">
        <v>43221</v>
      </c>
      <c r="I41" s="19" t="s">
        <v>1619</v>
      </c>
      <c r="J41" s="21">
        <v>172.5</v>
      </c>
      <c r="K41" t="s">
        <v>2030</v>
      </c>
    </row>
    <row r="42" spans="1:11" x14ac:dyDescent="0.3">
      <c r="A42" t="s">
        <v>1550</v>
      </c>
      <c r="B42" s="18">
        <v>43227</v>
      </c>
      <c r="C42" s="19" t="s">
        <v>1559</v>
      </c>
      <c r="D42" s="19">
        <v>2000</v>
      </c>
      <c r="E42" s="20" t="s">
        <v>1561</v>
      </c>
      <c r="F42" s="20" t="s">
        <v>1488</v>
      </c>
      <c r="G42" s="105"/>
      <c r="H42" s="18">
        <v>43221</v>
      </c>
      <c r="I42" s="19" t="s">
        <v>1620</v>
      </c>
      <c r="J42" s="21">
        <v>420</v>
      </c>
      <c r="K42" t="s">
        <v>2030</v>
      </c>
    </row>
    <row r="43" spans="1:11" x14ac:dyDescent="0.3">
      <c r="A43" t="s">
        <v>1550</v>
      </c>
      <c r="B43" s="18">
        <v>43227</v>
      </c>
      <c r="C43" s="19" t="s">
        <v>1559</v>
      </c>
      <c r="D43" s="19">
        <v>2000</v>
      </c>
      <c r="E43" s="20" t="s">
        <v>1561</v>
      </c>
      <c r="F43" s="20" t="s">
        <v>1499</v>
      </c>
      <c r="G43" s="105"/>
      <c r="H43" s="18">
        <v>43221</v>
      </c>
      <c r="I43" s="19" t="s">
        <v>1621</v>
      </c>
      <c r="J43" s="21">
        <v>172.5</v>
      </c>
      <c r="K43" t="s">
        <v>2030</v>
      </c>
    </row>
    <row r="44" spans="1:11" x14ac:dyDescent="0.3">
      <c r="A44" t="s">
        <v>1550</v>
      </c>
      <c r="B44" s="18">
        <v>43227</v>
      </c>
      <c r="C44" s="19" t="s">
        <v>1559</v>
      </c>
      <c r="D44" s="19">
        <v>2000</v>
      </c>
      <c r="E44" s="20" t="s">
        <v>1561</v>
      </c>
      <c r="F44" s="20" t="s">
        <v>1490</v>
      </c>
      <c r="G44" s="105"/>
      <c r="H44" s="18">
        <v>43221</v>
      </c>
      <c r="I44" s="19" t="s">
        <v>1622</v>
      </c>
      <c r="J44" s="21">
        <v>172.5</v>
      </c>
      <c r="K44" t="s">
        <v>2030</v>
      </c>
    </row>
    <row r="45" spans="1:11" x14ac:dyDescent="0.3">
      <c r="A45" t="s">
        <v>1550</v>
      </c>
      <c r="B45" s="18">
        <v>43227</v>
      </c>
      <c r="C45" s="19" t="s">
        <v>1559</v>
      </c>
      <c r="D45" s="19">
        <v>2000</v>
      </c>
      <c r="E45" s="20" t="s">
        <v>1561</v>
      </c>
      <c r="F45" s="20" t="s">
        <v>1495</v>
      </c>
      <c r="G45" s="105"/>
      <c r="H45" s="18">
        <v>43221</v>
      </c>
      <c r="I45" s="19" t="s">
        <v>1623</v>
      </c>
      <c r="J45" s="21">
        <v>172.5</v>
      </c>
      <c r="K45" t="s">
        <v>2030</v>
      </c>
    </row>
    <row r="46" spans="1:11" x14ac:dyDescent="0.3">
      <c r="A46" t="s">
        <v>1550</v>
      </c>
      <c r="B46" s="18">
        <v>43227</v>
      </c>
      <c r="C46" s="19" t="s">
        <v>1559</v>
      </c>
      <c r="D46" s="19">
        <v>2000</v>
      </c>
      <c r="E46" s="20" t="s">
        <v>1561</v>
      </c>
      <c r="F46" s="20" t="s">
        <v>1491</v>
      </c>
      <c r="G46" s="105"/>
      <c r="H46" s="18">
        <v>43221</v>
      </c>
      <c r="I46" s="19" t="s">
        <v>1624</v>
      </c>
      <c r="J46" s="21">
        <v>172.5</v>
      </c>
      <c r="K46" t="s">
        <v>2030</v>
      </c>
    </row>
    <row r="47" spans="1:11" x14ac:dyDescent="0.3">
      <c r="A47" t="s">
        <v>1550</v>
      </c>
      <c r="B47" s="18">
        <v>43227</v>
      </c>
      <c r="C47" s="19" t="s">
        <v>1559</v>
      </c>
      <c r="D47" s="19">
        <v>2000</v>
      </c>
      <c r="E47" s="20" t="s">
        <v>1561</v>
      </c>
      <c r="F47" s="20" t="s">
        <v>1489</v>
      </c>
      <c r="G47" s="105"/>
      <c r="H47" s="18">
        <v>43221</v>
      </c>
      <c r="I47" s="19" t="s">
        <v>1625</v>
      </c>
      <c r="J47" s="21">
        <v>420</v>
      </c>
      <c r="K47" t="s">
        <v>2030</v>
      </c>
    </row>
    <row r="48" spans="1:11" x14ac:dyDescent="0.3">
      <c r="A48" t="s">
        <v>1550</v>
      </c>
      <c r="B48" s="18">
        <v>43227</v>
      </c>
      <c r="C48" s="19" t="s">
        <v>1559</v>
      </c>
      <c r="D48" s="19">
        <v>2000</v>
      </c>
      <c r="E48" s="20" t="s">
        <v>1561</v>
      </c>
      <c r="F48" s="20" t="s">
        <v>1487</v>
      </c>
      <c r="G48" s="105"/>
      <c r="H48" s="18">
        <v>43221</v>
      </c>
      <c r="I48" s="19" t="s">
        <v>1626</v>
      </c>
      <c r="J48" s="21">
        <v>420</v>
      </c>
      <c r="K48" t="s">
        <v>2030</v>
      </c>
    </row>
    <row r="49" spans="1:11" x14ac:dyDescent="0.3">
      <c r="A49" t="s">
        <v>1550</v>
      </c>
      <c r="B49" s="18">
        <v>43227</v>
      </c>
      <c r="C49" s="19" t="s">
        <v>1559</v>
      </c>
      <c r="D49" s="19">
        <v>2000</v>
      </c>
      <c r="E49" s="20" t="s">
        <v>1561</v>
      </c>
      <c r="F49" s="20" t="s">
        <v>1504</v>
      </c>
      <c r="G49" s="105"/>
      <c r="H49" s="18">
        <v>43221</v>
      </c>
      <c r="I49" s="19" t="s">
        <v>1627</v>
      </c>
      <c r="J49" s="21">
        <v>172.5</v>
      </c>
      <c r="K49" t="s">
        <v>2030</v>
      </c>
    </row>
    <row r="50" spans="1:11" x14ac:dyDescent="0.3">
      <c r="A50" t="s">
        <v>1550</v>
      </c>
      <c r="B50" s="18">
        <v>43227</v>
      </c>
      <c r="C50" s="19" t="s">
        <v>1559</v>
      </c>
      <c r="D50" s="19">
        <v>2000</v>
      </c>
      <c r="E50" s="20" t="s">
        <v>1561</v>
      </c>
      <c r="F50" s="20" t="s">
        <v>1510</v>
      </c>
      <c r="G50" s="105"/>
      <c r="H50" s="18">
        <v>43221</v>
      </c>
      <c r="I50" s="19" t="s">
        <v>1628</v>
      </c>
      <c r="J50" s="21">
        <v>172.5</v>
      </c>
      <c r="K50" t="s">
        <v>2030</v>
      </c>
    </row>
    <row r="51" spans="1:11" x14ac:dyDescent="0.3">
      <c r="A51" t="s">
        <v>1550</v>
      </c>
      <c r="B51" s="18">
        <v>43227</v>
      </c>
      <c r="C51" s="19" t="s">
        <v>1559</v>
      </c>
      <c r="D51" s="19">
        <v>2000</v>
      </c>
      <c r="E51" s="20" t="s">
        <v>1561</v>
      </c>
      <c r="F51" s="20" t="s">
        <v>1501</v>
      </c>
      <c r="G51" s="105"/>
      <c r="H51" s="18">
        <v>43221</v>
      </c>
      <c r="I51" s="19" t="s">
        <v>1629</v>
      </c>
      <c r="J51" s="21">
        <v>172.5</v>
      </c>
      <c r="K51" t="s">
        <v>2030</v>
      </c>
    </row>
    <row r="52" spans="1:11" x14ac:dyDescent="0.3">
      <c r="A52" t="s">
        <v>1550</v>
      </c>
      <c r="B52" s="18">
        <v>43227</v>
      </c>
      <c r="C52" s="19" t="s">
        <v>1559</v>
      </c>
      <c r="D52" s="19">
        <v>2000</v>
      </c>
      <c r="E52" s="20" t="s">
        <v>1561</v>
      </c>
      <c r="F52" s="20" t="s">
        <v>1509</v>
      </c>
      <c r="G52" s="105"/>
      <c r="H52" s="18">
        <v>43221</v>
      </c>
      <c r="I52" s="19" t="s">
        <v>1630</v>
      </c>
      <c r="J52" s="21">
        <v>172.5</v>
      </c>
      <c r="K52" t="s">
        <v>2030</v>
      </c>
    </row>
    <row r="53" spans="1:11" x14ac:dyDescent="0.3">
      <c r="A53" t="s">
        <v>1550</v>
      </c>
      <c r="B53" s="18">
        <v>43227</v>
      </c>
      <c r="C53" s="19" t="s">
        <v>1559</v>
      </c>
      <c r="D53" s="19">
        <v>2000</v>
      </c>
      <c r="E53" s="20" t="s">
        <v>1561</v>
      </c>
      <c r="F53" s="20" t="s">
        <v>1508</v>
      </c>
      <c r="G53" s="105"/>
      <c r="H53" s="18">
        <v>43221</v>
      </c>
      <c r="I53" s="19" t="s">
        <v>1631</v>
      </c>
      <c r="J53" s="21">
        <v>172.5</v>
      </c>
      <c r="K53" t="s">
        <v>2030</v>
      </c>
    </row>
    <row r="54" spans="1:11" x14ac:dyDescent="0.3">
      <c r="A54" t="s">
        <v>1550</v>
      </c>
      <c r="B54" s="18">
        <v>43227</v>
      </c>
      <c r="C54" s="19" t="s">
        <v>1559</v>
      </c>
      <c r="D54" s="19">
        <v>2000</v>
      </c>
      <c r="E54" s="20" t="s">
        <v>1561</v>
      </c>
      <c r="F54" s="20" t="s">
        <v>1497</v>
      </c>
      <c r="G54" s="105"/>
      <c r="H54" s="18">
        <v>43221</v>
      </c>
      <c r="I54" s="19" t="s">
        <v>1632</v>
      </c>
      <c r="J54" s="21">
        <v>172.5</v>
      </c>
      <c r="K54" t="s">
        <v>2030</v>
      </c>
    </row>
    <row r="55" spans="1:11" x14ac:dyDescent="0.3">
      <c r="A55" t="s">
        <v>1550</v>
      </c>
      <c r="B55" s="18">
        <v>43227</v>
      </c>
      <c r="C55" s="19" t="s">
        <v>1559</v>
      </c>
      <c r="D55" s="19">
        <v>2000</v>
      </c>
      <c r="E55" s="20" t="s">
        <v>1561</v>
      </c>
      <c r="F55" s="20" t="s">
        <v>1507</v>
      </c>
      <c r="G55" s="105"/>
      <c r="H55" s="18">
        <v>43221</v>
      </c>
      <c r="I55" s="19" t="s">
        <v>1633</v>
      </c>
      <c r="J55" s="21">
        <v>172.5</v>
      </c>
      <c r="K55" t="s">
        <v>2030</v>
      </c>
    </row>
    <row r="56" spans="1:11" x14ac:dyDescent="0.3">
      <c r="A56" t="s">
        <v>1550</v>
      </c>
      <c r="B56" s="18">
        <v>43227</v>
      </c>
      <c r="C56" s="19" t="s">
        <v>1559</v>
      </c>
      <c r="D56" s="19">
        <v>2000</v>
      </c>
      <c r="E56" s="20" t="s">
        <v>1561</v>
      </c>
      <c r="F56" s="20" t="s">
        <v>1506</v>
      </c>
      <c r="G56" s="105"/>
      <c r="H56" s="18">
        <v>43221</v>
      </c>
      <c r="I56" s="19" t="s">
        <v>1634</v>
      </c>
      <c r="J56" s="21">
        <v>172.5</v>
      </c>
      <c r="K56" t="s">
        <v>2030</v>
      </c>
    </row>
    <row r="57" spans="1:11" x14ac:dyDescent="0.3">
      <c r="A57" t="s">
        <v>1550</v>
      </c>
      <c r="B57" s="18">
        <v>43227</v>
      </c>
      <c r="C57" s="19" t="s">
        <v>1559</v>
      </c>
      <c r="D57" s="19">
        <v>2000</v>
      </c>
      <c r="E57" s="20" t="s">
        <v>1561</v>
      </c>
      <c r="F57" s="20" t="s">
        <v>1502</v>
      </c>
      <c r="G57" s="105"/>
      <c r="H57" s="18">
        <v>43221</v>
      </c>
      <c r="I57" s="19" t="s">
        <v>1635</v>
      </c>
      <c r="J57" s="21">
        <v>172.5</v>
      </c>
      <c r="K57" t="s">
        <v>2030</v>
      </c>
    </row>
    <row r="58" spans="1:11" x14ac:dyDescent="0.3">
      <c r="A58" t="s">
        <v>1550</v>
      </c>
      <c r="B58" s="18">
        <v>43227</v>
      </c>
      <c r="C58" s="19" t="s">
        <v>1559</v>
      </c>
      <c r="D58" s="19">
        <v>2000</v>
      </c>
      <c r="E58" s="20" t="s">
        <v>1561</v>
      </c>
      <c r="F58" s="20" t="s">
        <v>1496</v>
      </c>
      <c r="G58" s="105"/>
      <c r="H58" s="18">
        <v>43221</v>
      </c>
      <c r="I58" s="19" t="s">
        <v>1636</v>
      </c>
      <c r="J58" s="21">
        <v>172.5</v>
      </c>
      <c r="K58" t="s">
        <v>2030</v>
      </c>
    </row>
    <row r="59" spans="1:11" x14ac:dyDescent="0.3">
      <c r="A59" t="s">
        <v>1550</v>
      </c>
      <c r="B59" s="18">
        <v>43227</v>
      </c>
      <c r="C59" s="19" t="s">
        <v>1559</v>
      </c>
      <c r="D59" s="19">
        <v>2000</v>
      </c>
      <c r="E59" s="20" t="s">
        <v>1561</v>
      </c>
      <c r="F59" s="20" t="s">
        <v>1505</v>
      </c>
      <c r="G59" s="105"/>
      <c r="H59" s="18">
        <v>43221</v>
      </c>
      <c r="I59" s="19" t="s">
        <v>1637</v>
      </c>
      <c r="J59" s="21">
        <v>172.5</v>
      </c>
      <c r="K59" t="s">
        <v>2030</v>
      </c>
    </row>
    <row r="60" spans="1:11" x14ac:dyDescent="0.3">
      <c r="A60" t="s">
        <v>1550</v>
      </c>
      <c r="B60" s="18">
        <v>43227</v>
      </c>
      <c r="C60" s="19" t="s">
        <v>1559</v>
      </c>
      <c r="D60" s="19">
        <v>2000</v>
      </c>
      <c r="E60" s="20" t="s">
        <v>1561</v>
      </c>
      <c r="F60" s="20" t="s">
        <v>1500</v>
      </c>
      <c r="G60" s="105"/>
      <c r="H60" s="18">
        <v>43221</v>
      </c>
      <c r="I60" s="19" t="s">
        <v>1638</v>
      </c>
      <c r="J60" s="21">
        <v>172.5</v>
      </c>
      <c r="K60" t="s">
        <v>2030</v>
      </c>
    </row>
    <row r="61" spans="1:11" x14ac:dyDescent="0.3">
      <c r="A61" t="s">
        <v>1550</v>
      </c>
      <c r="B61" s="18">
        <v>43227</v>
      </c>
      <c r="C61" s="19" t="s">
        <v>1559</v>
      </c>
      <c r="D61" s="19">
        <v>2000</v>
      </c>
      <c r="E61" s="20" t="s">
        <v>1561</v>
      </c>
      <c r="F61" s="20" t="s">
        <v>1503</v>
      </c>
      <c r="G61" s="105"/>
      <c r="H61" s="18">
        <v>43221</v>
      </c>
      <c r="I61" s="19" t="s">
        <v>1639</v>
      </c>
      <c r="J61" s="21">
        <v>172.5</v>
      </c>
      <c r="K61" t="s">
        <v>2030</v>
      </c>
    </row>
    <row r="62" spans="1:11" x14ac:dyDescent="0.3">
      <c r="A62" t="s">
        <v>1550</v>
      </c>
      <c r="B62" s="18">
        <v>43227</v>
      </c>
      <c r="C62" s="19" t="s">
        <v>1559</v>
      </c>
      <c r="D62" s="19">
        <v>2000</v>
      </c>
      <c r="E62" s="20" t="s">
        <v>1561</v>
      </c>
      <c r="F62" s="20" t="s">
        <v>1513</v>
      </c>
      <c r="G62" s="105"/>
      <c r="H62" s="18">
        <v>43221</v>
      </c>
      <c r="I62" s="19" t="s">
        <v>1640</v>
      </c>
      <c r="J62" s="21">
        <v>172.5</v>
      </c>
      <c r="K62" t="s">
        <v>2030</v>
      </c>
    </row>
    <row r="63" spans="1:11" x14ac:dyDescent="0.3">
      <c r="A63" t="s">
        <v>1550</v>
      </c>
      <c r="B63" s="18">
        <v>43227</v>
      </c>
      <c r="C63" s="19" t="s">
        <v>1559</v>
      </c>
      <c r="D63" s="19">
        <v>2000</v>
      </c>
      <c r="E63" s="20" t="s">
        <v>1561</v>
      </c>
      <c r="F63" s="20" t="s">
        <v>1516</v>
      </c>
      <c r="G63" s="105"/>
      <c r="H63" s="18">
        <v>43221</v>
      </c>
      <c r="I63" s="19" t="s">
        <v>1641</v>
      </c>
      <c r="J63" s="21">
        <v>172.5</v>
      </c>
      <c r="K63" t="s">
        <v>2030</v>
      </c>
    </row>
    <row r="64" spans="1:11" x14ac:dyDescent="0.3">
      <c r="A64" t="s">
        <v>1550</v>
      </c>
      <c r="B64" s="18">
        <v>43227</v>
      </c>
      <c r="C64" s="19" t="s">
        <v>1559</v>
      </c>
      <c r="D64" s="19">
        <v>2000</v>
      </c>
      <c r="E64" s="20" t="s">
        <v>1561</v>
      </c>
      <c r="F64" s="20" t="s">
        <v>1512</v>
      </c>
      <c r="G64" s="105"/>
      <c r="H64" s="18">
        <v>43221</v>
      </c>
      <c r="I64" s="19" t="s">
        <v>1642</v>
      </c>
      <c r="J64" s="21">
        <v>172.5</v>
      </c>
      <c r="K64" t="s">
        <v>2030</v>
      </c>
    </row>
    <row r="65" spans="1:11" x14ac:dyDescent="0.3">
      <c r="A65" t="s">
        <v>1550</v>
      </c>
      <c r="B65" s="18">
        <v>43227</v>
      </c>
      <c r="C65" s="19" t="s">
        <v>1559</v>
      </c>
      <c r="D65" s="19">
        <v>2000</v>
      </c>
      <c r="E65" s="20" t="s">
        <v>1561</v>
      </c>
      <c r="F65" s="20" t="s">
        <v>1517</v>
      </c>
      <c r="G65" s="105"/>
      <c r="H65" s="18">
        <v>43221</v>
      </c>
      <c r="I65" s="19" t="s">
        <v>1643</v>
      </c>
      <c r="J65" s="21">
        <v>172.5</v>
      </c>
      <c r="K65" t="s">
        <v>2030</v>
      </c>
    </row>
    <row r="66" spans="1:11" x14ac:dyDescent="0.3">
      <c r="A66" t="s">
        <v>1550</v>
      </c>
      <c r="B66" s="18">
        <v>43227</v>
      </c>
      <c r="C66" s="19" t="s">
        <v>1559</v>
      </c>
      <c r="D66" s="19">
        <v>2000</v>
      </c>
      <c r="E66" s="20" t="s">
        <v>1561</v>
      </c>
      <c r="F66" s="20" t="s">
        <v>1520</v>
      </c>
      <c r="G66" s="105"/>
      <c r="H66" s="18">
        <v>43221</v>
      </c>
      <c r="I66" s="19" t="s">
        <v>1644</v>
      </c>
      <c r="J66" s="21">
        <v>172.5</v>
      </c>
      <c r="K66" t="s">
        <v>2030</v>
      </c>
    </row>
    <row r="67" spans="1:11" x14ac:dyDescent="0.3">
      <c r="A67" t="s">
        <v>1550</v>
      </c>
      <c r="B67" s="18">
        <v>43227</v>
      </c>
      <c r="C67" s="19" t="s">
        <v>1559</v>
      </c>
      <c r="D67" s="19">
        <v>2000</v>
      </c>
      <c r="E67" s="20" t="s">
        <v>1561</v>
      </c>
      <c r="F67" s="20" t="s">
        <v>1518</v>
      </c>
      <c r="G67" s="105"/>
      <c r="H67" s="18">
        <v>43221</v>
      </c>
      <c r="I67" s="19" t="s">
        <v>1645</v>
      </c>
      <c r="J67" s="21">
        <v>172.5</v>
      </c>
      <c r="K67" t="s">
        <v>2030</v>
      </c>
    </row>
    <row r="68" spans="1:11" x14ac:dyDescent="0.3">
      <c r="A68" t="s">
        <v>1550</v>
      </c>
      <c r="B68" s="18">
        <v>43227</v>
      </c>
      <c r="C68" s="19" t="s">
        <v>1560</v>
      </c>
      <c r="D68" s="19">
        <v>1</v>
      </c>
      <c r="E68" s="20" t="s">
        <v>1561</v>
      </c>
      <c r="F68" s="20" t="s">
        <v>26</v>
      </c>
      <c r="G68" s="105"/>
      <c r="H68" s="18">
        <v>43221</v>
      </c>
      <c r="I68" s="19" t="s">
        <v>1662</v>
      </c>
      <c r="J68" s="21">
        <v>172.5</v>
      </c>
      <c r="K68" t="s">
        <v>2030</v>
      </c>
    </row>
    <row r="69" spans="1:11" x14ac:dyDescent="0.3">
      <c r="A69" t="s">
        <v>1550</v>
      </c>
      <c r="B69" s="18">
        <v>43227</v>
      </c>
      <c r="C69" s="19" t="s">
        <v>1560</v>
      </c>
      <c r="D69" s="19">
        <v>1</v>
      </c>
      <c r="E69" s="20" t="s">
        <v>1561</v>
      </c>
      <c r="F69" s="20" t="s">
        <v>38</v>
      </c>
      <c r="G69" s="105"/>
      <c r="H69" s="18">
        <v>43221</v>
      </c>
      <c r="I69" s="19" t="s">
        <v>1665</v>
      </c>
      <c r="J69" s="21">
        <v>172.5</v>
      </c>
      <c r="K69" t="s">
        <v>2030</v>
      </c>
    </row>
    <row r="70" spans="1:11" x14ac:dyDescent="0.3">
      <c r="A70" t="s">
        <v>1550</v>
      </c>
      <c r="B70" s="18">
        <v>43227</v>
      </c>
      <c r="C70" s="19" t="s">
        <v>1560</v>
      </c>
      <c r="D70" s="19">
        <v>1</v>
      </c>
      <c r="E70" s="20" t="s">
        <v>1561</v>
      </c>
      <c r="F70" s="20" t="s">
        <v>27</v>
      </c>
      <c r="G70" s="105"/>
      <c r="H70" s="18">
        <v>43221</v>
      </c>
      <c r="I70" s="19" t="s">
        <v>1667</v>
      </c>
      <c r="J70" s="21">
        <v>172.5</v>
      </c>
      <c r="K70" t="s">
        <v>2030</v>
      </c>
    </row>
    <row r="71" spans="1:11" x14ac:dyDescent="0.3">
      <c r="A71" t="s">
        <v>1550</v>
      </c>
      <c r="B71" s="18">
        <v>43227</v>
      </c>
      <c r="C71" s="19" t="s">
        <v>1560</v>
      </c>
      <c r="D71" s="19">
        <v>1</v>
      </c>
      <c r="E71" s="20" t="s">
        <v>1561</v>
      </c>
      <c r="F71" s="20" t="s">
        <v>28</v>
      </c>
      <c r="G71" s="105"/>
      <c r="H71" s="18">
        <v>43221</v>
      </c>
      <c r="I71" s="19" t="s">
        <v>1693</v>
      </c>
      <c r="J71" s="21">
        <v>172.5</v>
      </c>
      <c r="K71" t="s">
        <v>2030</v>
      </c>
    </row>
    <row r="72" spans="1:11" x14ac:dyDescent="0.3">
      <c r="A72" t="s">
        <v>1550</v>
      </c>
      <c r="B72" s="18">
        <v>43227</v>
      </c>
      <c r="C72" s="19" t="s">
        <v>1560</v>
      </c>
      <c r="D72" s="19">
        <v>1</v>
      </c>
      <c r="E72" s="20" t="s">
        <v>1561</v>
      </c>
      <c r="F72" s="20" t="s">
        <v>1325</v>
      </c>
      <c r="G72" s="105"/>
      <c r="H72" s="18">
        <v>43221</v>
      </c>
      <c r="I72" s="19" t="s">
        <v>1694</v>
      </c>
      <c r="J72" s="21">
        <v>172.5</v>
      </c>
      <c r="K72" t="s">
        <v>2030</v>
      </c>
    </row>
    <row r="73" spans="1:11" x14ac:dyDescent="0.3">
      <c r="A73" t="s">
        <v>1550</v>
      </c>
      <c r="B73" s="18">
        <v>43227</v>
      </c>
      <c r="C73" s="19" t="s">
        <v>1560</v>
      </c>
      <c r="D73" s="19">
        <v>1</v>
      </c>
      <c r="E73" s="20" t="s">
        <v>1561</v>
      </c>
      <c r="F73" s="20" t="s">
        <v>1333</v>
      </c>
      <c r="G73" s="105"/>
      <c r="H73" s="18">
        <v>43221</v>
      </c>
      <c r="I73" s="19" t="s">
        <v>1695</v>
      </c>
      <c r="J73" s="21">
        <v>172.5</v>
      </c>
      <c r="K73" t="s">
        <v>2030</v>
      </c>
    </row>
    <row r="74" spans="1:11" x14ac:dyDescent="0.3">
      <c r="A74" t="s">
        <v>1550</v>
      </c>
      <c r="B74" s="18">
        <v>43227</v>
      </c>
      <c r="C74" s="19" t="s">
        <v>1560</v>
      </c>
      <c r="D74" s="19">
        <v>1</v>
      </c>
      <c r="E74" s="20" t="s">
        <v>1561</v>
      </c>
      <c r="F74" s="20" t="s">
        <v>1328</v>
      </c>
      <c r="G74" s="105"/>
      <c r="H74" s="18">
        <v>43221</v>
      </c>
      <c r="I74" s="19" t="s">
        <v>1696</v>
      </c>
      <c r="J74" s="21">
        <v>172.5</v>
      </c>
      <c r="K74" t="s">
        <v>2030</v>
      </c>
    </row>
    <row r="75" spans="1:11" x14ac:dyDescent="0.3">
      <c r="A75" t="s">
        <v>1550</v>
      </c>
      <c r="B75" s="18">
        <v>43227</v>
      </c>
      <c r="C75" s="19" t="s">
        <v>1560</v>
      </c>
      <c r="D75" s="19">
        <v>1</v>
      </c>
      <c r="E75" s="20" t="s">
        <v>1561</v>
      </c>
      <c r="F75" s="20" t="s">
        <v>1324</v>
      </c>
      <c r="G75" s="105"/>
      <c r="H75" s="18">
        <v>43221</v>
      </c>
      <c r="I75" s="19" t="s">
        <v>1697</v>
      </c>
      <c r="J75" s="21">
        <v>172.5</v>
      </c>
      <c r="K75" t="s">
        <v>2030</v>
      </c>
    </row>
    <row r="76" spans="1:11" x14ac:dyDescent="0.3">
      <c r="A76" t="s">
        <v>1550</v>
      </c>
      <c r="B76" s="18">
        <v>43227</v>
      </c>
      <c r="C76" s="19" t="s">
        <v>1560</v>
      </c>
      <c r="D76" s="19">
        <v>1</v>
      </c>
      <c r="E76" s="20" t="s">
        <v>1561</v>
      </c>
      <c r="F76" s="20" t="s">
        <v>1332</v>
      </c>
      <c r="G76" s="105"/>
      <c r="H76" s="18">
        <v>43221</v>
      </c>
      <c r="I76" s="19" t="s">
        <v>1698</v>
      </c>
      <c r="J76" s="21">
        <v>172.5</v>
      </c>
      <c r="K76" t="s">
        <v>2030</v>
      </c>
    </row>
    <row r="77" spans="1:11" x14ac:dyDescent="0.3">
      <c r="A77" t="s">
        <v>1550</v>
      </c>
      <c r="B77" s="18">
        <v>43227</v>
      </c>
      <c r="C77" s="19" t="s">
        <v>1560</v>
      </c>
      <c r="D77" s="19">
        <v>1</v>
      </c>
      <c r="E77" s="20" t="s">
        <v>1561</v>
      </c>
      <c r="F77" s="20" t="s">
        <v>1329</v>
      </c>
      <c r="G77" s="105"/>
      <c r="H77" s="18">
        <v>43221</v>
      </c>
      <c r="I77" s="19" t="s">
        <v>1699</v>
      </c>
      <c r="J77" s="21">
        <v>172.5</v>
      </c>
      <c r="K77" t="s">
        <v>2030</v>
      </c>
    </row>
    <row r="78" spans="1:11" x14ac:dyDescent="0.3">
      <c r="A78" t="s">
        <v>1550</v>
      </c>
      <c r="B78" s="18">
        <v>43227</v>
      </c>
      <c r="C78" s="19" t="s">
        <v>1560</v>
      </c>
      <c r="D78" s="19">
        <v>1</v>
      </c>
      <c r="E78" s="20" t="s">
        <v>1561</v>
      </c>
      <c r="F78" s="20" t="s">
        <v>1323</v>
      </c>
      <c r="G78" s="105"/>
      <c r="H78" s="18">
        <v>43221</v>
      </c>
      <c r="I78" s="19" t="s">
        <v>1700</v>
      </c>
      <c r="J78" s="21">
        <v>172.5</v>
      </c>
      <c r="K78" t="s">
        <v>2030</v>
      </c>
    </row>
    <row r="79" spans="1:11" x14ac:dyDescent="0.3">
      <c r="A79" t="s">
        <v>1550</v>
      </c>
      <c r="B79" s="18">
        <v>43227</v>
      </c>
      <c r="C79" s="19" t="s">
        <v>1560</v>
      </c>
      <c r="D79" s="19">
        <v>1</v>
      </c>
      <c r="E79" s="20" t="s">
        <v>1561</v>
      </c>
      <c r="F79" s="20" t="s">
        <v>14</v>
      </c>
      <c r="G79" s="105"/>
      <c r="H79" s="18">
        <v>43221</v>
      </c>
      <c r="I79" s="19" t="s">
        <v>1701</v>
      </c>
      <c r="J79" s="21">
        <v>172.5</v>
      </c>
      <c r="K79" t="s">
        <v>2030</v>
      </c>
    </row>
    <row r="80" spans="1:11" x14ac:dyDescent="0.3">
      <c r="A80" t="s">
        <v>1550</v>
      </c>
      <c r="B80" s="18">
        <v>43227</v>
      </c>
      <c r="C80" s="19" t="s">
        <v>1560</v>
      </c>
      <c r="D80" s="19">
        <v>1</v>
      </c>
      <c r="E80" s="20" t="s">
        <v>1561</v>
      </c>
      <c r="F80" s="20" t="s">
        <v>1321</v>
      </c>
      <c r="G80" s="105"/>
      <c r="H80" s="18">
        <v>43221</v>
      </c>
      <c r="I80" s="19" t="s">
        <v>1702</v>
      </c>
      <c r="J80" s="21">
        <v>172.5</v>
      </c>
      <c r="K80" t="s">
        <v>2030</v>
      </c>
    </row>
    <row r="81" spans="1:11" x14ac:dyDescent="0.3">
      <c r="A81" t="s">
        <v>1550</v>
      </c>
      <c r="B81" s="18">
        <v>43227</v>
      </c>
      <c r="C81" s="19" t="s">
        <v>1560</v>
      </c>
      <c r="D81" s="19">
        <v>1</v>
      </c>
      <c r="E81" s="20" t="s">
        <v>1561</v>
      </c>
      <c r="F81" s="20" t="s">
        <v>1327</v>
      </c>
      <c r="G81" s="105"/>
      <c r="H81" s="18">
        <v>43221</v>
      </c>
      <c r="I81" s="19" t="s">
        <v>1703</v>
      </c>
      <c r="J81" s="21">
        <v>172.5</v>
      </c>
      <c r="K81" t="s">
        <v>2030</v>
      </c>
    </row>
    <row r="82" spans="1:11" x14ac:dyDescent="0.3">
      <c r="A82" t="s">
        <v>1550</v>
      </c>
      <c r="B82" s="18">
        <v>43227</v>
      </c>
      <c r="C82" s="19" t="s">
        <v>1560</v>
      </c>
      <c r="D82" s="19">
        <v>1</v>
      </c>
      <c r="E82" s="20" t="s">
        <v>1561</v>
      </c>
      <c r="F82" s="20" t="s">
        <v>1326</v>
      </c>
      <c r="G82" s="105"/>
      <c r="H82" s="18">
        <v>43221</v>
      </c>
      <c r="I82" s="19" t="s">
        <v>1704</v>
      </c>
      <c r="J82" s="21">
        <v>172.5</v>
      </c>
      <c r="K82" t="s">
        <v>2030</v>
      </c>
    </row>
    <row r="83" spans="1:11" x14ac:dyDescent="0.3">
      <c r="A83" t="s">
        <v>1550</v>
      </c>
      <c r="B83" s="18">
        <v>43227</v>
      </c>
      <c r="C83" s="19" t="s">
        <v>1560</v>
      </c>
      <c r="D83" s="19">
        <v>1</v>
      </c>
      <c r="E83" s="20" t="s">
        <v>1561</v>
      </c>
      <c r="F83" s="20" t="s">
        <v>1322</v>
      </c>
      <c r="G83" s="105"/>
      <c r="H83" s="18">
        <v>43221</v>
      </c>
      <c r="I83" s="19" t="s">
        <v>1705</v>
      </c>
      <c r="J83" s="21">
        <v>172.5</v>
      </c>
      <c r="K83" t="s">
        <v>2030</v>
      </c>
    </row>
    <row r="84" spans="1:11" x14ac:dyDescent="0.3">
      <c r="A84" t="s">
        <v>1550</v>
      </c>
      <c r="B84" s="18">
        <v>43227</v>
      </c>
      <c r="C84" s="19" t="s">
        <v>1560</v>
      </c>
      <c r="D84" s="19">
        <v>1</v>
      </c>
      <c r="E84" s="20" t="s">
        <v>1561</v>
      </c>
      <c r="F84" s="20" t="s">
        <v>583</v>
      </c>
      <c r="G84" s="105"/>
      <c r="H84" s="18">
        <v>43221</v>
      </c>
      <c r="I84" s="19" t="s">
        <v>1706</v>
      </c>
      <c r="J84" s="21">
        <v>172.5</v>
      </c>
      <c r="K84" t="s">
        <v>2030</v>
      </c>
    </row>
    <row r="85" spans="1:11" x14ac:dyDescent="0.3">
      <c r="A85" t="s">
        <v>1550</v>
      </c>
      <c r="B85" s="18">
        <v>43227</v>
      </c>
      <c r="C85" s="19" t="s">
        <v>1560</v>
      </c>
      <c r="D85" s="19">
        <v>1</v>
      </c>
      <c r="E85" s="20" t="s">
        <v>1561</v>
      </c>
      <c r="F85" s="20" t="s">
        <v>587</v>
      </c>
      <c r="G85" s="105"/>
      <c r="H85" s="18">
        <v>43221</v>
      </c>
      <c r="I85" s="19" t="s">
        <v>1707</v>
      </c>
      <c r="J85" s="21">
        <v>172.5</v>
      </c>
      <c r="K85" t="s">
        <v>2030</v>
      </c>
    </row>
    <row r="86" spans="1:11" x14ac:dyDescent="0.3">
      <c r="A86" t="s">
        <v>1550</v>
      </c>
      <c r="B86" s="18">
        <v>43227</v>
      </c>
      <c r="C86" s="19" t="s">
        <v>1560</v>
      </c>
      <c r="D86" s="19">
        <v>1</v>
      </c>
      <c r="E86" s="20" t="s">
        <v>1561</v>
      </c>
      <c r="F86" s="20" t="s">
        <v>582</v>
      </c>
      <c r="G86" s="105"/>
      <c r="H86" s="18">
        <v>43221</v>
      </c>
      <c r="I86" s="19" t="s">
        <v>1708</v>
      </c>
      <c r="J86" s="21">
        <v>172.5</v>
      </c>
      <c r="K86" t="s">
        <v>2030</v>
      </c>
    </row>
    <row r="87" spans="1:11" x14ac:dyDescent="0.3">
      <c r="A87" t="s">
        <v>1550</v>
      </c>
      <c r="B87" s="18">
        <v>43227</v>
      </c>
      <c r="C87" s="19" t="s">
        <v>1560</v>
      </c>
      <c r="D87" s="19">
        <v>1</v>
      </c>
      <c r="E87" s="20" t="s">
        <v>1561</v>
      </c>
      <c r="F87" s="20" t="s">
        <v>585</v>
      </c>
      <c r="G87" s="105"/>
      <c r="H87" s="18">
        <v>43221</v>
      </c>
      <c r="I87" s="19" t="s">
        <v>1709</v>
      </c>
      <c r="J87" s="21">
        <v>172.5</v>
      </c>
      <c r="K87" t="s">
        <v>2030</v>
      </c>
    </row>
    <row r="88" spans="1:11" x14ac:dyDescent="0.3">
      <c r="A88" t="s">
        <v>1550</v>
      </c>
      <c r="B88" s="18">
        <v>43227</v>
      </c>
      <c r="C88" s="19" t="s">
        <v>1560</v>
      </c>
      <c r="D88" s="19">
        <v>1</v>
      </c>
      <c r="E88" s="20" t="s">
        <v>1561</v>
      </c>
      <c r="F88" s="20" t="s">
        <v>588</v>
      </c>
      <c r="G88" s="105"/>
      <c r="H88" s="18">
        <v>43221</v>
      </c>
      <c r="I88" s="19" t="s">
        <v>1710</v>
      </c>
      <c r="J88" s="21">
        <v>172.5</v>
      </c>
      <c r="K88" t="s">
        <v>2030</v>
      </c>
    </row>
    <row r="89" spans="1:11" x14ac:dyDescent="0.3">
      <c r="A89" t="s">
        <v>1550</v>
      </c>
      <c r="B89" s="18">
        <v>43227</v>
      </c>
      <c r="C89" s="19" t="s">
        <v>1560</v>
      </c>
      <c r="D89" s="19">
        <v>1</v>
      </c>
      <c r="E89" s="20" t="s">
        <v>1561</v>
      </c>
      <c r="F89" s="20" t="s">
        <v>584</v>
      </c>
      <c r="G89" s="105"/>
      <c r="H89" s="18">
        <v>43221</v>
      </c>
      <c r="I89" s="19" t="s">
        <v>1711</v>
      </c>
      <c r="J89" s="21">
        <v>172.5</v>
      </c>
      <c r="K89" t="s">
        <v>2030</v>
      </c>
    </row>
    <row r="90" spans="1:11" x14ac:dyDescent="0.3">
      <c r="A90" t="s">
        <v>1550</v>
      </c>
      <c r="B90" s="18">
        <v>43227</v>
      </c>
      <c r="C90" s="19" t="s">
        <v>1560</v>
      </c>
      <c r="D90" s="19">
        <v>1</v>
      </c>
      <c r="E90" s="20" t="s">
        <v>1561</v>
      </c>
      <c r="F90" s="20" t="s">
        <v>589</v>
      </c>
      <c r="G90" s="105"/>
      <c r="H90" s="18">
        <v>43221</v>
      </c>
      <c r="I90" s="19" t="s">
        <v>1712</v>
      </c>
      <c r="J90" s="21">
        <v>172.5</v>
      </c>
      <c r="K90" t="s">
        <v>2030</v>
      </c>
    </row>
    <row r="91" spans="1:11" x14ac:dyDescent="0.3">
      <c r="A91" t="s">
        <v>1550</v>
      </c>
      <c r="B91" s="18">
        <v>43227</v>
      </c>
      <c r="C91" s="19" t="s">
        <v>1560</v>
      </c>
      <c r="D91" s="19">
        <v>1</v>
      </c>
      <c r="E91" s="20" t="s">
        <v>1561</v>
      </c>
      <c r="F91" s="20" t="s">
        <v>586</v>
      </c>
      <c r="G91" s="105"/>
      <c r="H91" s="18">
        <v>43221</v>
      </c>
      <c r="I91" s="19" t="s">
        <v>1713</v>
      </c>
      <c r="J91" s="21">
        <v>172.5</v>
      </c>
      <c r="K91" t="s">
        <v>2030</v>
      </c>
    </row>
    <row r="92" spans="1:11" x14ac:dyDescent="0.3">
      <c r="A92" t="s">
        <v>1550</v>
      </c>
      <c r="B92" s="18">
        <v>43227</v>
      </c>
      <c r="C92" s="19" t="s">
        <v>1560</v>
      </c>
      <c r="D92" s="19">
        <v>1</v>
      </c>
      <c r="E92" s="20" t="s">
        <v>1561</v>
      </c>
      <c r="F92" s="20" t="s">
        <v>576</v>
      </c>
      <c r="G92" s="105"/>
      <c r="H92" s="18">
        <v>43221</v>
      </c>
      <c r="I92" s="19" t="s">
        <v>1714</v>
      </c>
      <c r="J92" s="21">
        <v>172.5</v>
      </c>
      <c r="K92" t="s">
        <v>2030</v>
      </c>
    </row>
    <row r="93" spans="1:11" x14ac:dyDescent="0.3">
      <c r="A93" t="s">
        <v>1550</v>
      </c>
      <c r="B93" s="18">
        <v>43227</v>
      </c>
      <c r="C93" s="19" t="s">
        <v>1560</v>
      </c>
      <c r="D93" s="19">
        <v>1</v>
      </c>
      <c r="E93" s="20" t="s">
        <v>1561</v>
      </c>
      <c r="F93" s="20" t="s">
        <v>579</v>
      </c>
      <c r="G93" s="105"/>
      <c r="H93" s="18">
        <v>43221</v>
      </c>
      <c r="I93" s="19" t="s">
        <v>1715</v>
      </c>
      <c r="J93" s="21">
        <v>172.5</v>
      </c>
      <c r="K93" t="s">
        <v>2030</v>
      </c>
    </row>
    <row r="94" spans="1:11" x14ac:dyDescent="0.3">
      <c r="A94" t="s">
        <v>1550</v>
      </c>
      <c r="B94" s="18">
        <v>43227</v>
      </c>
      <c r="C94" s="19" t="s">
        <v>1560</v>
      </c>
      <c r="D94" s="19">
        <v>1</v>
      </c>
      <c r="E94" s="20" t="s">
        <v>1561</v>
      </c>
      <c r="F94" s="20" t="s">
        <v>577</v>
      </c>
      <c r="G94" s="105"/>
      <c r="H94" s="18">
        <v>43221</v>
      </c>
      <c r="I94" s="19" t="s">
        <v>1716</v>
      </c>
      <c r="J94" s="21">
        <v>172.5</v>
      </c>
      <c r="K94" t="s">
        <v>2030</v>
      </c>
    </row>
    <row r="95" spans="1:11" x14ac:dyDescent="0.3">
      <c r="A95" t="s">
        <v>1550</v>
      </c>
      <c r="B95" s="18">
        <v>43227</v>
      </c>
      <c r="C95" s="19" t="s">
        <v>1560</v>
      </c>
      <c r="D95" s="19">
        <v>1</v>
      </c>
      <c r="E95" s="20" t="s">
        <v>1561</v>
      </c>
      <c r="F95" s="20" t="s">
        <v>1330</v>
      </c>
      <c r="G95" s="105"/>
      <c r="H95" s="18">
        <v>43221</v>
      </c>
      <c r="I95" s="19" t="s">
        <v>1717</v>
      </c>
      <c r="J95" s="21">
        <v>172.5</v>
      </c>
      <c r="K95" t="s">
        <v>2030</v>
      </c>
    </row>
    <row r="96" spans="1:11" x14ac:dyDescent="0.3">
      <c r="A96" t="s">
        <v>1550</v>
      </c>
      <c r="B96" s="18">
        <v>43227</v>
      </c>
      <c r="C96" s="19" t="s">
        <v>1560</v>
      </c>
      <c r="D96" s="19">
        <v>1</v>
      </c>
      <c r="E96" s="20" t="s">
        <v>1561</v>
      </c>
      <c r="F96" s="20" t="s">
        <v>37</v>
      </c>
      <c r="G96" s="105"/>
      <c r="H96" s="18">
        <v>43221</v>
      </c>
      <c r="I96" s="19" t="s">
        <v>1718</v>
      </c>
      <c r="J96" s="21">
        <v>172.5</v>
      </c>
      <c r="K96" t="s">
        <v>2030</v>
      </c>
    </row>
    <row r="97" spans="1:11" x14ac:dyDescent="0.3">
      <c r="A97" t="s">
        <v>1550</v>
      </c>
      <c r="B97" s="18">
        <v>43227</v>
      </c>
      <c r="C97" s="19" t="s">
        <v>1560</v>
      </c>
      <c r="D97" s="19">
        <v>1</v>
      </c>
      <c r="E97" s="20" t="s">
        <v>1561</v>
      </c>
      <c r="F97" s="20" t="s">
        <v>39</v>
      </c>
      <c r="G97" s="105"/>
      <c r="H97" s="18">
        <v>43221</v>
      </c>
      <c r="I97" s="19" t="s">
        <v>1719</v>
      </c>
      <c r="J97" s="21">
        <v>172.5</v>
      </c>
      <c r="K97" t="s">
        <v>2030</v>
      </c>
    </row>
    <row r="98" spans="1:11" x14ac:dyDescent="0.3">
      <c r="A98" t="s">
        <v>1550</v>
      </c>
      <c r="B98" s="18">
        <v>43227</v>
      </c>
      <c r="C98" s="19" t="s">
        <v>1560</v>
      </c>
      <c r="D98" s="19">
        <v>1</v>
      </c>
      <c r="E98" s="20" t="s">
        <v>1561</v>
      </c>
      <c r="F98" s="20" t="s">
        <v>22</v>
      </c>
      <c r="G98" s="105"/>
      <c r="H98" s="18">
        <v>43221</v>
      </c>
      <c r="I98" s="19" t="s">
        <v>1720</v>
      </c>
      <c r="J98" s="21">
        <v>172.5</v>
      </c>
      <c r="K98" t="s">
        <v>2030</v>
      </c>
    </row>
    <row r="99" spans="1:11" x14ac:dyDescent="0.3">
      <c r="A99" t="s">
        <v>1550</v>
      </c>
      <c r="B99" s="18">
        <v>43227</v>
      </c>
      <c r="C99" s="19" t="s">
        <v>1560</v>
      </c>
      <c r="D99" s="19">
        <v>1</v>
      </c>
      <c r="E99" s="20" t="s">
        <v>1561</v>
      </c>
      <c r="F99" s="20" t="s">
        <v>17</v>
      </c>
      <c r="G99" s="105"/>
      <c r="H99" s="18">
        <v>43221</v>
      </c>
      <c r="I99" s="19" t="s">
        <v>1721</v>
      </c>
      <c r="J99" s="21">
        <v>172.5</v>
      </c>
      <c r="K99" t="s">
        <v>2030</v>
      </c>
    </row>
    <row r="100" spans="1:11" x14ac:dyDescent="0.3">
      <c r="A100" t="s">
        <v>1550</v>
      </c>
      <c r="B100" s="18">
        <v>43227</v>
      </c>
      <c r="C100" s="19" t="s">
        <v>1560</v>
      </c>
      <c r="D100" s="19">
        <v>1</v>
      </c>
      <c r="E100" s="20" t="s">
        <v>1561</v>
      </c>
      <c r="F100" s="20" t="s">
        <v>24</v>
      </c>
      <c r="G100" s="105"/>
      <c r="H100" s="18">
        <v>43221</v>
      </c>
      <c r="I100" s="19" t="s">
        <v>1722</v>
      </c>
      <c r="J100" s="21">
        <v>172.5</v>
      </c>
      <c r="K100" t="s">
        <v>2030</v>
      </c>
    </row>
    <row r="101" spans="1:11" x14ac:dyDescent="0.3">
      <c r="A101" t="s">
        <v>1550</v>
      </c>
      <c r="B101" s="18">
        <v>43227</v>
      </c>
      <c r="C101" s="19" t="s">
        <v>1560</v>
      </c>
      <c r="D101" s="19">
        <v>1</v>
      </c>
      <c r="E101" s="20" t="s">
        <v>1561</v>
      </c>
      <c r="F101" s="20" t="s">
        <v>20</v>
      </c>
      <c r="G101" s="105"/>
      <c r="H101" s="18">
        <v>43221</v>
      </c>
      <c r="I101" s="19" t="s">
        <v>1723</v>
      </c>
      <c r="J101" s="21">
        <v>172.5</v>
      </c>
      <c r="K101" t="s">
        <v>2030</v>
      </c>
    </row>
    <row r="102" spans="1:11" x14ac:dyDescent="0.3">
      <c r="A102" t="s">
        <v>1550</v>
      </c>
      <c r="B102" s="18">
        <v>43227</v>
      </c>
      <c r="C102" s="19" t="s">
        <v>1560</v>
      </c>
      <c r="D102" s="19">
        <v>1</v>
      </c>
      <c r="E102" s="20" t="s">
        <v>1561</v>
      </c>
      <c r="F102" s="20" t="s">
        <v>21</v>
      </c>
      <c r="G102" s="105"/>
      <c r="H102" s="18">
        <v>43221</v>
      </c>
      <c r="I102" s="19" t="s">
        <v>1724</v>
      </c>
      <c r="J102" s="21">
        <v>172.5</v>
      </c>
      <c r="K102" t="s">
        <v>2030</v>
      </c>
    </row>
    <row r="103" spans="1:11" x14ac:dyDescent="0.3">
      <c r="A103" t="s">
        <v>1550</v>
      </c>
      <c r="B103" s="18">
        <v>43227</v>
      </c>
      <c r="C103" s="19" t="s">
        <v>1560</v>
      </c>
      <c r="D103" s="19">
        <v>1</v>
      </c>
      <c r="E103" s="20" t="s">
        <v>1561</v>
      </c>
      <c r="F103" s="20" t="s">
        <v>23</v>
      </c>
      <c r="G103" s="105"/>
      <c r="H103" s="18">
        <v>43221</v>
      </c>
      <c r="I103" s="19" t="s">
        <v>1725</v>
      </c>
      <c r="J103" s="21">
        <v>172.5</v>
      </c>
      <c r="K103" t="s">
        <v>2030</v>
      </c>
    </row>
    <row r="104" spans="1:11" x14ac:dyDescent="0.3">
      <c r="A104" t="s">
        <v>1550</v>
      </c>
      <c r="B104" s="18">
        <v>43227</v>
      </c>
      <c r="C104" s="19" t="s">
        <v>1560</v>
      </c>
      <c r="D104" s="19">
        <v>1</v>
      </c>
      <c r="E104" s="20" t="s">
        <v>1561</v>
      </c>
      <c r="F104" s="20" t="s">
        <v>25</v>
      </c>
      <c r="G104" s="105"/>
      <c r="H104" s="18">
        <v>43221</v>
      </c>
      <c r="I104" s="19" t="s">
        <v>1726</v>
      </c>
      <c r="J104" s="21">
        <v>172.5</v>
      </c>
      <c r="K104" t="s">
        <v>2030</v>
      </c>
    </row>
    <row r="105" spans="1:11" x14ac:dyDescent="0.3">
      <c r="A105" t="s">
        <v>1550</v>
      </c>
      <c r="B105" s="18">
        <v>43227</v>
      </c>
      <c r="C105" s="19" t="s">
        <v>1560</v>
      </c>
      <c r="D105" s="19">
        <v>1</v>
      </c>
      <c r="E105" s="20" t="s">
        <v>1561</v>
      </c>
      <c r="F105" s="20" t="s">
        <v>16</v>
      </c>
      <c r="G105" s="105"/>
      <c r="H105" s="18">
        <v>43221</v>
      </c>
      <c r="I105" s="19" t="s">
        <v>1727</v>
      </c>
      <c r="J105" s="21">
        <v>172.5</v>
      </c>
      <c r="K105" t="s">
        <v>2030</v>
      </c>
    </row>
    <row r="106" spans="1:11" x14ac:dyDescent="0.3">
      <c r="A106" t="s">
        <v>1550</v>
      </c>
      <c r="B106" s="18">
        <v>43227</v>
      </c>
      <c r="C106" s="19" t="s">
        <v>1560</v>
      </c>
      <c r="D106" s="19">
        <v>1</v>
      </c>
      <c r="E106" s="20" t="s">
        <v>1561</v>
      </c>
      <c r="F106" s="20" t="s">
        <v>18</v>
      </c>
      <c r="G106" s="105"/>
      <c r="H106" s="18">
        <v>43221</v>
      </c>
      <c r="I106" s="19" t="s">
        <v>1728</v>
      </c>
      <c r="J106" s="21">
        <v>172.5</v>
      </c>
      <c r="K106" t="s">
        <v>2030</v>
      </c>
    </row>
    <row r="107" spans="1:11" x14ac:dyDescent="0.3">
      <c r="A107" t="s">
        <v>1550</v>
      </c>
      <c r="B107" s="18">
        <v>43227</v>
      </c>
      <c r="C107" s="19" t="s">
        <v>1560</v>
      </c>
      <c r="D107" s="19">
        <v>1</v>
      </c>
      <c r="E107" s="20" t="s">
        <v>1561</v>
      </c>
      <c r="F107" s="20" t="s">
        <v>19</v>
      </c>
      <c r="G107" s="105"/>
      <c r="H107" s="18">
        <v>43221</v>
      </c>
      <c r="I107" s="19" t="s">
        <v>1729</v>
      </c>
      <c r="J107" s="21">
        <v>172.5</v>
      </c>
      <c r="K107" t="s">
        <v>2030</v>
      </c>
    </row>
    <row r="108" spans="1:11" x14ac:dyDescent="0.3">
      <c r="A108" t="s">
        <v>1550</v>
      </c>
      <c r="B108" s="18">
        <v>43227</v>
      </c>
      <c r="C108" s="19" t="s">
        <v>1560</v>
      </c>
      <c r="D108" s="19">
        <v>1</v>
      </c>
      <c r="E108" s="20" t="s">
        <v>1561</v>
      </c>
      <c r="F108" s="20" t="s">
        <v>1342</v>
      </c>
      <c r="G108" s="105"/>
      <c r="H108" s="18">
        <v>43221</v>
      </c>
      <c r="I108" s="19" t="s">
        <v>1730</v>
      </c>
      <c r="J108" s="21">
        <v>172.5</v>
      </c>
      <c r="K108" t="s">
        <v>2030</v>
      </c>
    </row>
    <row r="109" spans="1:11" x14ac:dyDescent="0.3">
      <c r="A109" t="s">
        <v>1550</v>
      </c>
      <c r="B109" s="18">
        <v>43227</v>
      </c>
      <c r="C109" s="19" t="s">
        <v>1560</v>
      </c>
      <c r="D109" s="19">
        <v>1</v>
      </c>
      <c r="E109" s="20" t="s">
        <v>1561</v>
      </c>
      <c r="F109" s="20" t="s">
        <v>1337</v>
      </c>
      <c r="G109" s="105"/>
      <c r="H109" s="18">
        <v>43221</v>
      </c>
      <c r="I109" s="19" t="s">
        <v>1731</v>
      </c>
      <c r="J109" s="21">
        <v>172.5</v>
      </c>
      <c r="K109" t="s">
        <v>2030</v>
      </c>
    </row>
    <row r="110" spans="1:11" x14ac:dyDescent="0.3">
      <c r="A110" t="s">
        <v>1550</v>
      </c>
      <c r="B110" s="18">
        <v>43227</v>
      </c>
      <c r="C110" s="19" t="s">
        <v>1560</v>
      </c>
      <c r="D110" s="19">
        <v>1</v>
      </c>
      <c r="E110" s="20" t="s">
        <v>1561</v>
      </c>
      <c r="F110" s="20" t="s">
        <v>1341</v>
      </c>
      <c r="G110" s="105"/>
      <c r="H110" s="18">
        <v>43221</v>
      </c>
      <c r="I110" s="19" t="s">
        <v>1732</v>
      </c>
      <c r="J110" s="21">
        <v>172.5</v>
      </c>
      <c r="K110" t="s">
        <v>2030</v>
      </c>
    </row>
    <row r="111" spans="1:11" x14ac:dyDescent="0.3">
      <c r="A111" t="s">
        <v>1550</v>
      </c>
      <c r="B111" s="18">
        <v>43227</v>
      </c>
      <c r="C111" s="19" t="s">
        <v>1560</v>
      </c>
      <c r="D111" s="19">
        <v>1</v>
      </c>
      <c r="E111" s="20" t="s">
        <v>1561</v>
      </c>
      <c r="F111" s="20" t="s">
        <v>1336</v>
      </c>
      <c r="G111" s="105"/>
      <c r="H111" s="18">
        <v>43221</v>
      </c>
      <c r="I111" s="19" t="s">
        <v>1733</v>
      </c>
      <c r="J111" s="21">
        <v>172.5</v>
      </c>
      <c r="K111" t="s">
        <v>2030</v>
      </c>
    </row>
    <row r="112" spans="1:11" x14ac:dyDescent="0.3">
      <c r="A112" t="s">
        <v>1550</v>
      </c>
      <c r="B112" s="18">
        <v>43227</v>
      </c>
      <c r="C112" s="19" t="s">
        <v>1560</v>
      </c>
      <c r="D112" s="19">
        <v>1</v>
      </c>
      <c r="E112" s="20" t="s">
        <v>1561</v>
      </c>
      <c r="F112" s="20" t="s">
        <v>1334</v>
      </c>
      <c r="G112" s="105"/>
      <c r="H112" s="18">
        <v>43221</v>
      </c>
      <c r="I112" s="19" t="s">
        <v>1734</v>
      </c>
      <c r="J112" s="21">
        <v>172.5</v>
      </c>
      <c r="K112" t="s">
        <v>2030</v>
      </c>
    </row>
    <row r="113" spans="1:11" x14ac:dyDescent="0.3">
      <c r="A113" t="s">
        <v>1550</v>
      </c>
      <c r="B113" s="18">
        <v>43227</v>
      </c>
      <c r="C113" s="19" t="s">
        <v>1560</v>
      </c>
      <c r="D113" s="19">
        <v>1</v>
      </c>
      <c r="E113" s="20" t="s">
        <v>1561</v>
      </c>
      <c r="F113" s="20" t="s">
        <v>15</v>
      </c>
      <c r="G113" s="105"/>
      <c r="H113" s="18">
        <v>43221</v>
      </c>
      <c r="I113" s="19" t="s">
        <v>1735</v>
      </c>
      <c r="J113" s="21">
        <v>172.5</v>
      </c>
      <c r="K113" t="s">
        <v>2030</v>
      </c>
    </row>
    <row r="114" spans="1:11" x14ac:dyDescent="0.3">
      <c r="A114" t="s">
        <v>1550</v>
      </c>
      <c r="B114" s="18">
        <v>43227</v>
      </c>
      <c r="C114" s="19" t="s">
        <v>1560</v>
      </c>
      <c r="D114" s="19">
        <v>1</v>
      </c>
      <c r="E114" s="20" t="s">
        <v>1561</v>
      </c>
      <c r="F114" s="20" t="s">
        <v>1339</v>
      </c>
      <c r="G114" s="105"/>
      <c r="H114" s="18">
        <v>43221</v>
      </c>
      <c r="I114" s="19" t="s">
        <v>1736</v>
      </c>
      <c r="J114" s="21">
        <v>172.5</v>
      </c>
      <c r="K114" t="s">
        <v>2030</v>
      </c>
    </row>
    <row r="115" spans="1:11" x14ac:dyDescent="0.3">
      <c r="A115" t="s">
        <v>1550</v>
      </c>
      <c r="B115" s="18">
        <v>43227</v>
      </c>
      <c r="C115" s="19" t="s">
        <v>1560</v>
      </c>
      <c r="D115" s="19">
        <v>1</v>
      </c>
      <c r="E115" s="20" t="s">
        <v>1561</v>
      </c>
      <c r="F115" s="20" t="s">
        <v>1338</v>
      </c>
      <c r="G115" s="105"/>
      <c r="H115" s="18">
        <v>43221</v>
      </c>
      <c r="I115" s="19" t="s">
        <v>1737</v>
      </c>
      <c r="J115" s="21">
        <v>172.5</v>
      </c>
      <c r="K115" t="s">
        <v>2030</v>
      </c>
    </row>
    <row r="116" spans="1:11" x14ac:dyDescent="0.3">
      <c r="A116" t="s">
        <v>1550</v>
      </c>
      <c r="B116" s="18">
        <v>43227</v>
      </c>
      <c r="C116" s="19" t="s">
        <v>1560</v>
      </c>
      <c r="D116" s="19">
        <v>1</v>
      </c>
      <c r="E116" s="20" t="s">
        <v>1561</v>
      </c>
      <c r="F116" s="20" t="s">
        <v>1340</v>
      </c>
      <c r="G116" s="105"/>
      <c r="H116" s="18">
        <v>43221</v>
      </c>
      <c r="I116" s="19" t="s">
        <v>1738</v>
      </c>
      <c r="J116" s="21">
        <v>172.5</v>
      </c>
      <c r="K116" t="s">
        <v>2030</v>
      </c>
    </row>
    <row r="117" spans="1:11" x14ac:dyDescent="0.3">
      <c r="A117" t="s">
        <v>1550</v>
      </c>
      <c r="B117" s="18">
        <v>43227</v>
      </c>
      <c r="C117" s="19" t="s">
        <v>1560</v>
      </c>
      <c r="D117" s="19">
        <v>1</v>
      </c>
      <c r="E117" s="20" t="s">
        <v>1561</v>
      </c>
      <c r="F117" s="20" t="s">
        <v>1335</v>
      </c>
      <c r="G117" s="105"/>
      <c r="H117" s="18">
        <v>43221</v>
      </c>
      <c r="I117" s="19" t="s">
        <v>1739</v>
      </c>
      <c r="J117" s="21">
        <v>172.5</v>
      </c>
      <c r="K117" t="s">
        <v>2030</v>
      </c>
    </row>
    <row r="118" spans="1:11" x14ac:dyDescent="0.3">
      <c r="A118" t="s">
        <v>1550</v>
      </c>
      <c r="B118" s="18">
        <v>43227</v>
      </c>
      <c r="C118" s="19" t="s">
        <v>1560</v>
      </c>
      <c r="D118" s="19">
        <v>1</v>
      </c>
      <c r="E118" s="20" t="s">
        <v>1561</v>
      </c>
      <c r="F118" s="20" t="s">
        <v>1331</v>
      </c>
      <c r="G118" s="105"/>
      <c r="H118" s="18">
        <v>43221</v>
      </c>
      <c r="I118" s="19" t="s">
        <v>1740</v>
      </c>
      <c r="J118" s="21">
        <v>172.5</v>
      </c>
      <c r="K118" t="s">
        <v>2030</v>
      </c>
    </row>
    <row r="119" spans="1:11" x14ac:dyDescent="0.3">
      <c r="A119" t="s">
        <v>1550</v>
      </c>
      <c r="B119" s="18">
        <v>43227</v>
      </c>
      <c r="C119" s="19" t="s">
        <v>1560</v>
      </c>
      <c r="D119" s="19">
        <v>1</v>
      </c>
      <c r="E119" s="20" t="s">
        <v>1561</v>
      </c>
      <c r="F119" s="20" t="s">
        <v>580</v>
      </c>
      <c r="G119" s="105"/>
      <c r="H119" s="18">
        <v>43221</v>
      </c>
      <c r="I119" s="19" t="s">
        <v>1837</v>
      </c>
      <c r="J119" s="21">
        <v>172.5</v>
      </c>
      <c r="K119" t="s">
        <v>2030</v>
      </c>
    </row>
    <row r="120" spans="1:11" x14ac:dyDescent="0.3">
      <c r="A120" t="s">
        <v>1550</v>
      </c>
      <c r="B120" s="18">
        <v>43227</v>
      </c>
      <c r="C120" s="19" t="s">
        <v>1560</v>
      </c>
      <c r="D120" s="19">
        <v>1</v>
      </c>
      <c r="E120" s="20" t="s">
        <v>1561</v>
      </c>
      <c r="F120" s="20" t="s">
        <v>108</v>
      </c>
      <c r="G120" s="105"/>
      <c r="H120" s="18">
        <v>43221</v>
      </c>
      <c r="I120" s="19" t="s">
        <v>1838</v>
      </c>
      <c r="J120" s="21">
        <v>465</v>
      </c>
      <c r="K120" t="s">
        <v>2030</v>
      </c>
    </row>
    <row r="121" spans="1:11" x14ac:dyDescent="0.3">
      <c r="A121" t="s">
        <v>1550</v>
      </c>
      <c r="B121" s="18">
        <v>43227</v>
      </c>
      <c r="C121" s="19" t="s">
        <v>1560</v>
      </c>
      <c r="D121" s="19">
        <v>1</v>
      </c>
      <c r="E121" s="20" t="s">
        <v>1561</v>
      </c>
      <c r="F121" s="20" t="s">
        <v>106</v>
      </c>
      <c r="G121" s="105"/>
      <c r="H121" s="18">
        <v>43221</v>
      </c>
      <c r="I121" s="19" t="s">
        <v>1839</v>
      </c>
      <c r="J121" s="21">
        <v>465</v>
      </c>
      <c r="K121" t="s">
        <v>2030</v>
      </c>
    </row>
    <row r="122" spans="1:11" x14ac:dyDescent="0.3">
      <c r="A122" t="s">
        <v>1550</v>
      </c>
      <c r="B122" s="18">
        <v>43227</v>
      </c>
      <c r="C122" s="19" t="s">
        <v>1560</v>
      </c>
      <c r="D122" s="19">
        <v>1</v>
      </c>
      <c r="E122" s="20" t="s">
        <v>1561</v>
      </c>
      <c r="F122" s="20" t="s">
        <v>100</v>
      </c>
      <c r="G122" s="105"/>
      <c r="H122" s="18">
        <v>43221</v>
      </c>
      <c r="I122" s="19" t="s">
        <v>1840</v>
      </c>
      <c r="J122" s="21">
        <v>172.5</v>
      </c>
      <c r="K122" t="s">
        <v>2030</v>
      </c>
    </row>
    <row r="123" spans="1:11" x14ac:dyDescent="0.3">
      <c r="A123" t="s">
        <v>1550</v>
      </c>
      <c r="B123" s="18">
        <v>43227</v>
      </c>
      <c r="C123" s="19" t="s">
        <v>1560</v>
      </c>
      <c r="D123" s="19">
        <v>1</v>
      </c>
      <c r="E123" s="20" t="s">
        <v>1561</v>
      </c>
      <c r="F123" s="20" t="s">
        <v>104</v>
      </c>
      <c r="G123" s="105"/>
      <c r="H123" s="18">
        <v>43221</v>
      </c>
      <c r="I123" s="19" t="s">
        <v>1841</v>
      </c>
      <c r="J123" s="21">
        <v>465</v>
      </c>
      <c r="K123" t="s">
        <v>2030</v>
      </c>
    </row>
    <row r="124" spans="1:11" x14ac:dyDescent="0.3">
      <c r="A124" t="s">
        <v>1550</v>
      </c>
      <c r="B124" s="18">
        <v>43227</v>
      </c>
      <c r="C124" s="19" t="s">
        <v>1560</v>
      </c>
      <c r="D124" s="19">
        <v>1</v>
      </c>
      <c r="E124" s="20" t="s">
        <v>1561</v>
      </c>
      <c r="F124" s="20" t="s">
        <v>109</v>
      </c>
      <c r="G124" s="105"/>
      <c r="H124" s="18">
        <v>43221</v>
      </c>
      <c r="I124" s="19" t="s">
        <v>1842</v>
      </c>
      <c r="J124" s="21">
        <v>465</v>
      </c>
      <c r="K124" t="s">
        <v>2030</v>
      </c>
    </row>
    <row r="125" spans="1:11" x14ac:dyDescent="0.3">
      <c r="A125" t="s">
        <v>1550</v>
      </c>
      <c r="B125" s="18">
        <v>43227</v>
      </c>
      <c r="C125" s="19" t="s">
        <v>1560</v>
      </c>
      <c r="D125" s="19">
        <v>1</v>
      </c>
      <c r="E125" s="20" t="s">
        <v>1561</v>
      </c>
      <c r="F125" s="20" t="s">
        <v>105</v>
      </c>
      <c r="G125" s="105"/>
      <c r="H125" s="18">
        <v>43221</v>
      </c>
      <c r="I125" s="19" t="s">
        <v>1843</v>
      </c>
      <c r="J125" s="21">
        <v>465</v>
      </c>
      <c r="K125" t="s">
        <v>2030</v>
      </c>
    </row>
    <row r="126" spans="1:11" x14ac:dyDescent="0.3">
      <c r="A126" t="s">
        <v>1550</v>
      </c>
      <c r="B126" s="18">
        <v>43227</v>
      </c>
      <c r="C126" s="19" t="s">
        <v>1560</v>
      </c>
      <c r="D126" s="19">
        <v>1</v>
      </c>
      <c r="E126" s="20" t="s">
        <v>1561</v>
      </c>
      <c r="F126" s="20" t="s">
        <v>103</v>
      </c>
      <c r="G126" s="105"/>
      <c r="H126" s="18">
        <v>43221</v>
      </c>
      <c r="I126" s="19" t="s">
        <v>1844</v>
      </c>
      <c r="J126" s="21">
        <v>465</v>
      </c>
      <c r="K126" t="s">
        <v>2030</v>
      </c>
    </row>
    <row r="127" spans="1:11" x14ac:dyDescent="0.3">
      <c r="A127" t="s">
        <v>1550</v>
      </c>
      <c r="B127" s="18">
        <v>43227</v>
      </c>
      <c r="C127" s="19" t="s">
        <v>1560</v>
      </c>
      <c r="D127" s="19">
        <v>1</v>
      </c>
      <c r="E127" s="20" t="s">
        <v>1561</v>
      </c>
      <c r="F127" s="20" t="s">
        <v>107</v>
      </c>
      <c r="G127" s="105"/>
      <c r="H127" s="18">
        <v>43221</v>
      </c>
      <c r="I127" s="19" t="s">
        <v>1845</v>
      </c>
      <c r="J127" s="21">
        <v>465</v>
      </c>
      <c r="K127" t="s">
        <v>2030</v>
      </c>
    </row>
    <row r="128" spans="1:11" x14ac:dyDescent="0.3">
      <c r="A128" t="s">
        <v>1550</v>
      </c>
      <c r="B128" s="18">
        <v>43227</v>
      </c>
      <c r="C128" s="19" t="s">
        <v>1560</v>
      </c>
      <c r="D128" s="19">
        <v>1</v>
      </c>
      <c r="E128" s="20" t="s">
        <v>1561</v>
      </c>
      <c r="F128" s="20" t="s">
        <v>95</v>
      </c>
      <c r="G128" s="105"/>
      <c r="H128" s="18">
        <v>43221</v>
      </c>
      <c r="I128" s="19" t="s">
        <v>1846</v>
      </c>
      <c r="J128" s="21">
        <v>420</v>
      </c>
      <c r="K128" t="s">
        <v>2030</v>
      </c>
    </row>
    <row r="129" spans="1:11" x14ac:dyDescent="0.3">
      <c r="A129" t="s">
        <v>1550</v>
      </c>
      <c r="B129" s="18">
        <v>43227</v>
      </c>
      <c r="C129" s="19" t="s">
        <v>1560</v>
      </c>
      <c r="D129" s="19">
        <v>1</v>
      </c>
      <c r="E129" s="20" t="s">
        <v>1561</v>
      </c>
      <c r="F129" s="20" t="s">
        <v>93</v>
      </c>
      <c r="G129" s="105"/>
      <c r="H129" s="18">
        <v>43221</v>
      </c>
      <c r="I129" s="19" t="s">
        <v>1847</v>
      </c>
      <c r="J129" s="21">
        <v>420</v>
      </c>
      <c r="K129" t="s">
        <v>2030</v>
      </c>
    </row>
    <row r="130" spans="1:11" x14ac:dyDescent="0.3">
      <c r="A130" t="s">
        <v>1550</v>
      </c>
      <c r="B130" s="18">
        <v>43227</v>
      </c>
      <c r="C130" s="19" t="s">
        <v>1560</v>
      </c>
      <c r="D130" s="19">
        <v>1</v>
      </c>
      <c r="E130" s="20" t="s">
        <v>1561</v>
      </c>
      <c r="F130" s="20" t="s">
        <v>92</v>
      </c>
      <c r="G130" s="105"/>
      <c r="H130" s="18">
        <v>43221</v>
      </c>
      <c r="I130" s="19" t="s">
        <v>1848</v>
      </c>
      <c r="J130" s="21">
        <v>172.5</v>
      </c>
      <c r="K130" t="s">
        <v>2030</v>
      </c>
    </row>
    <row r="131" spans="1:11" x14ac:dyDescent="0.3">
      <c r="A131" t="s">
        <v>1550</v>
      </c>
      <c r="B131" s="18">
        <v>43227</v>
      </c>
      <c r="C131" s="19" t="s">
        <v>1560</v>
      </c>
      <c r="D131" s="19">
        <v>1</v>
      </c>
      <c r="E131" s="20" t="s">
        <v>1561</v>
      </c>
      <c r="F131" s="20" t="s">
        <v>98</v>
      </c>
      <c r="G131" s="105"/>
      <c r="H131" s="18">
        <v>43221</v>
      </c>
      <c r="I131" s="19" t="s">
        <v>1849</v>
      </c>
      <c r="J131" s="21">
        <v>172.5</v>
      </c>
      <c r="K131" t="s">
        <v>2030</v>
      </c>
    </row>
    <row r="132" spans="1:11" x14ac:dyDescent="0.3">
      <c r="A132" t="s">
        <v>1550</v>
      </c>
      <c r="B132" s="18">
        <v>43227</v>
      </c>
      <c r="C132" s="19" t="s">
        <v>1560</v>
      </c>
      <c r="D132" s="19">
        <v>1</v>
      </c>
      <c r="E132" s="20" t="s">
        <v>1561</v>
      </c>
      <c r="F132" s="20" t="s">
        <v>30</v>
      </c>
      <c r="G132" s="105"/>
      <c r="H132" s="18">
        <v>43221</v>
      </c>
      <c r="I132" s="19" t="s">
        <v>1850</v>
      </c>
      <c r="J132" s="21">
        <v>172.5</v>
      </c>
      <c r="K132" t="s">
        <v>2030</v>
      </c>
    </row>
    <row r="133" spans="1:11" x14ac:dyDescent="0.3">
      <c r="A133" t="s">
        <v>1550</v>
      </c>
      <c r="B133" s="18">
        <v>43227</v>
      </c>
      <c r="C133" s="19" t="s">
        <v>1560</v>
      </c>
      <c r="D133" s="19">
        <v>1</v>
      </c>
      <c r="E133" s="20" t="s">
        <v>1561</v>
      </c>
      <c r="F133" s="20" t="s">
        <v>90</v>
      </c>
      <c r="G133" s="105"/>
      <c r="H133" s="18">
        <v>43221</v>
      </c>
      <c r="I133" s="19" t="s">
        <v>1851</v>
      </c>
      <c r="J133" s="21">
        <v>172.5</v>
      </c>
      <c r="K133" t="s">
        <v>2030</v>
      </c>
    </row>
    <row r="134" spans="1:11" x14ac:dyDescent="0.3">
      <c r="A134" t="s">
        <v>1550</v>
      </c>
      <c r="B134" s="18">
        <v>43227</v>
      </c>
      <c r="C134" s="19" t="s">
        <v>1560</v>
      </c>
      <c r="D134" s="19">
        <v>1</v>
      </c>
      <c r="E134" s="20" t="s">
        <v>1561</v>
      </c>
      <c r="F134" s="20" t="s">
        <v>97</v>
      </c>
      <c r="G134" s="105"/>
      <c r="H134" s="18">
        <v>43221</v>
      </c>
      <c r="I134" s="19" t="s">
        <v>1852</v>
      </c>
      <c r="J134" s="21">
        <v>172.5</v>
      </c>
      <c r="K134" t="s">
        <v>2030</v>
      </c>
    </row>
    <row r="135" spans="1:11" x14ac:dyDescent="0.3">
      <c r="A135" t="s">
        <v>1550</v>
      </c>
      <c r="B135" s="18">
        <v>43227</v>
      </c>
      <c r="C135" s="19" t="s">
        <v>1560</v>
      </c>
      <c r="D135" s="19">
        <v>1</v>
      </c>
      <c r="E135" s="20" t="s">
        <v>1561</v>
      </c>
      <c r="F135" s="20" t="s">
        <v>99</v>
      </c>
      <c r="G135" s="105"/>
      <c r="H135" s="18">
        <v>43221</v>
      </c>
      <c r="I135" s="19" t="s">
        <v>1853</v>
      </c>
      <c r="J135" s="21">
        <v>172.5</v>
      </c>
      <c r="K135" t="s">
        <v>2030</v>
      </c>
    </row>
    <row r="136" spans="1:11" x14ac:dyDescent="0.3">
      <c r="A136" t="s">
        <v>1550</v>
      </c>
      <c r="B136" s="18">
        <v>43227</v>
      </c>
      <c r="C136" s="19" t="s">
        <v>1560</v>
      </c>
      <c r="D136" s="19">
        <v>1</v>
      </c>
      <c r="E136" s="20" t="s">
        <v>1561</v>
      </c>
      <c r="F136" s="20" t="s">
        <v>91</v>
      </c>
      <c r="G136" s="105"/>
      <c r="H136" s="18">
        <v>43221</v>
      </c>
      <c r="I136" s="19" t="s">
        <v>1854</v>
      </c>
      <c r="J136" s="21">
        <v>172.5</v>
      </c>
      <c r="K136" t="s">
        <v>2030</v>
      </c>
    </row>
    <row r="137" spans="1:11" x14ac:dyDescent="0.3">
      <c r="A137" t="s">
        <v>1550</v>
      </c>
      <c r="B137" s="18">
        <v>43227</v>
      </c>
      <c r="C137" s="19" t="s">
        <v>1560</v>
      </c>
      <c r="D137" s="19">
        <v>1</v>
      </c>
      <c r="E137" s="20" t="s">
        <v>1561</v>
      </c>
      <c r="F137" s="20" t="s">
        <v>94</v>
      </c>
      <c r="G137" s="105"/>
      <c r="H137" s="18">
        <v>43221</v>
      </c>
      <c r="I137" s="19" t="s">
        <v>1855</v>
      </c>
      <c r="J137" s="21">
        <v>420</v>
      </c>
      <c r="K137" t="s">
        <v>2030</v>
      </c>
    </row>
    <row r="138" spans="1:11" x14ac:dyDescent="0.3">
      <c r="A138" t="s">
        <v>1550</v>
      </c>
      <c r="B138" s="18">
        <v>43227</v>
      </c>
      <c r="C138" s="19" t="s">
        <v>1560</v>
      </c>
      <c r="D138" s="19">
        <v>1</v>
      </c>
      <c r="E138" s="20" t="s">
        <v>1561</v>
      </c>
      <c r="F138" s="20" t="s">
        <v>96</v>
      </c>
      <c r="G138" s="105"/>
      <c r="H138" s="18">
        <v>43221</v>
      </c>
      <c r="I138" s="19" t="s">
        <v>1856</v>
      </c>
      <c r="J138" s="21">
        <v>172.5</v>
      </c>
      <c r="K138" t="s">
        <v>2030</v>
      </c>
    </row>
    <row r="139" spans="1:11" x14ac:dyDescent="0.3">
      <c r="A139" t="s">
        <v>1550</v>
      </c>
      <c r="B139" s="18">
        <v>43227</v>
      </c>
      <c r="C139" s="19" t="s">
        <v>1560</v>
      </c>
      <c r="D139" s="19">
        <v>1</v>
      </c>
      <c r="E139" s="20" t="s">
        <v>1561</v>
      </c>
      <c r="F139" s="20" t="s">
        <v>8</v>
      </c>
      <c r="G139" s="105"/>
      <c r="H139" s="18">
        <v>43221</v>
      </c>
      <c r="I139" s="19" t="s">
        <v>1857</v>
      </c>
      <c r="J139" s="21">
        <v>172.5</v>
      </c>
      <c r="K139" t="s">
        <v>2030</v>
      </c>
    </row>
    <row r="140" spans="1:11" x14ac:dyDescent="0.3">
      <c r="A140" t="s">
        <v>1550</v>
      </c>
      <c r="B140" s="18">
        <v>43227</v>
      </c>
      <c r="C140" s="19" t="s">
        <v>1560</v>
      </c>
      <c r="D140" s="19">
        <v>1</v>
      </c>
      <c r="E140" s="20" t="s">
        <v>1561</v>
      </c>
      <c r="F140" s="20" t="s">
        <v>89</v>
      </c>
      <c r="G140" s="105"/>
      <c r="H140" s="18">
        <v>43221</v>
      </c>
      <c r="I140" s="19" t="s">
        <v>1858</v>
      </c>
      <c r="J140" s="21">
        <v>172.5</v>
      </c>
      <c r="K140" t="s">
        <v>2030</v>
      </c>
    </row>
    <row r="141" spans="1:11" x14ac:dyDescent="0.3">
      <c r="A141" t="s">
        <v>1550</v>
      </c>
      <c r="B141" s="18">
        <v>43227</v>
      </c>
      <c r="C141" s="19" t="s">
        <v>1560</v>
      </c>
      <c r="D141" s="19">
        <v>1</v>
      </c>
      <c r="E141" s="20" t="s">
        <v>1561</v>
      </c>
      <c r="F141" s="20" t="s">
        <v>88</v>
      </c>
      <c r="G141" s="105"/>
      <c r="H141" s="18">
        <v>43221</v>
      </c>
      <c r="I141" s="19" t="s">
        <v>1859</v>
      </c>
      <c r="J141" s="21">
        <v>172.5</v>
      </c>
      <c r="K141" t="s">
        <v>2030</v>
      </c>
    </row>
    <row r="142" spans="1:11" x14ac:dyDescent="0.3">
      <c r="A142" t="s">
        <v>1550</v>
      </c>
      <c r="B142" s="18">
        <v>43227</v>
      </c>
      <c r="C142" s="19" t="s">
        <v>1560</v>
      </c>
      <c r="D142" s="19">
        <v>1</v>
      </c>
      <c r="E142" s="20" t="s">
        <v>1561</v>
      </c>
      <c r="F142" s="20" t="s">
        <v>87</v>
      </c>
      <c r="G142" s="105"/>
      <c r="H142" s="18">
        <v>43221</v>
      </c>
      <c r="I142" s="19" t="s">
        <v>1860</v>
      </c>
      <c r="J142" s="21">
        <v>172.5</v>
      </c>
      <c r="K142" t="s">
        <v>2030</v>
      </c>
    </row>
    <row r="143" spans="1:11" x14ac:dyDescent="0.3">
      <c r="A143" t="s">
        <v>1550</v>
      </c>
      <c r="B143" s="18">
        <v>43227</v>
      </c>
      <c r="C143" s="19" t="s">
        <v>1560</v>
      </c>
      <c r="D143" s="19">
        <v>1</v>
      </c>
      <c r="E143" s="20" t="s">
        <v>1561</v>
      </c>
      <c r="F143" s="20" t="s">
        <v>101</v>
      </c>
      <c r="G143" s="105"/>
      <c r="H143" s="18">
        <v>43221</v>
      </c>
      <c r="I143" s="19" t="s">
        <v>1861</v>
      </c>
      <c r="J143" s="21">
        <v>172.5</v>
      </c>
      <c r="K143" t="s">
        <v>2030</v>
      </c>
    </row>
    <row r="144" spans="1:11" x14ac:dyDescent="0.3">
      <c r="A144" t="s">
        <v>1550</v>
      </c>
      <c r="B144" s="18">
        <v>43227</v>
      </c>
      <c r="C144" s="19" t="s">
        <v>1560</v>
      </c>
      <c r="D144" s="19">
        <v>1</v>
      </c>
      <c r="E144" s="20" t="s">
        <v>1561</v>
      </c>
      <c r="F144" s="20" t="s">
        <v>128</v>
      </c>
      <c r="G144" s="105"/>
      <c r="H144" s="18">
        <v>43221</v>
      </c>
      <c r="I144" s="19" t="s">
        <v>1862</v>
      </c>
      <c r="J144" s="21">
        <v>577.5</v>
      </c>
      <c r="K144" t="s">
        <v>2030</v>
      </c>
    </row>
    <row r="145" spans="1:11" x14ac:dyDescent="0.3">
      <c r="A145" t="s">
        <v>1550</v>
      </c>
      <c r="B145" s="18">
        <v>43227</v>
      </c>
      <c r="C145" s="19" t="s">
        <v>1560</v>
      </c>
      <c r="D145" s="19">
        <v>1</v>
      </c>
      <c r="E145" s="20" t="s">
        <v>1561</v>
      </c>
      <c r="F145" s="20" t="s">
        <v>132</v>
      </c>
      <c r="G145" s="105"/>
      <c r="H145" s="18">
        <v>43221</v>
      </c>
      <c r="I145" s="19" t="s">
        <v>1863</v>
      </c>
      <c r="J145" s="21">
        <v>465</v>
      </c>
      <c r="K145" t="s">
        <v>2030</v>
      </c>
    </row>
    <row r="146" spans="1:11" x14ac:dyDescent="0.3">
      <c r="A146" t="s">
        <v>1550</v>
      </c>
      <c r="B146" s="18">
        <v>43227</v>
      </c>
      <c r="C146" s="19" t="s">
        <v>1560</v>
      </c>
      <c r="D146" s="19">
        <v>1</v>
      </c>
      <c r="E146" s="20" t="s">
        <v>1561</v>
      </c>
      <c r="F146" s="20" t="s">
        <v>130</v>
      </c>
      <c r="G146" s="105"/>
      <c r="H146" s="18">
        <v>43221</v>
      </c>
      <c r="I146" s="19" t="s">
        <v>1864</v>
      </c>
      <c r="J146" s="21">
        <v>577.5</v>
      </c>
      <c r="K146" t="s">
        <v>2030</v>
      </c>
    </row>
    <row r="147" spans="1:11" x14ac:dyDescent="0.3">
      <c r="A147" t="s">
        <v>1550</v>
      </c>
      <c r="B147" s="18">
        <v>43227</v>
      </c>
      <c r="C147" s="19" t="s">
        <v>1560</v>
      </c>
      <c r="D147" s="19">
        <v>1</v>
      </c>
      <c r="E147" s="20" t="s">
        <v>1561</v>
      </c>
      <c r="F147" s="20" t="s">
        <v>124</v>
      </c>
      <c r="G147" s="105"/>
      <c r="H147" s="18">
        <v>43221</v>
      </c>
      <c r="I147" s="19" t="s">
        <v>1865</v>
      </c>
      <c r="J147" s="21">
        <v>465</v>
      </c>
      <c r="K147" t="s">
        <v>2030</v>
      </c>
    </row>
    <row r="148" spans="1:11" x14ac:dyDescent="0.3">
      <c r="A148" t="s">
        <v>1550</v>
      </c>
      <c r="B148" s="18">
        <v>43227</v>
      </c>
      <c r="C148" s="19" t="s">
        <v>1560</v>
      </c>
      <c r="D148" s="19">
        <v>1</v>
      </c>
      <c r="E148" s="20" t="s">
        <v>1561</v>
      </c>
      <c r="F148" s="20" t="s">
        <v>123</v>
      </c>
      <c r="G148" s="105"/>
      <c r="H148" s="18">
        <v>43221</v>
      </c>
      <c r="I148" s="19" t="s">
        <v>1866</v>
      </c>
      <c r="J148" s="21">
        <v>465</v>
      </c>
      <c r="K148" t="s">
        <v>2030</v>
      </c>
    </row>
    <row r="149" spans="1:11" x14ac:dyDescent="0.3">
      <c r="A149" t="s">
        <v>1550</v>
      </c>
      <c r="B149" s="18">
        <v>43227</v>
      </c>
      <c r="C149" s="19" t="s">
        <v>1560</v>
      </c>
      <c r="D149" s="19">
        <v>1</v>
      </c>
      <c r="E149" s="20" t="s">
        <v>1561</v>
      </c>
      <c r="F149" s="20" t="s">
        <v>129</v>
      </c>
      <c r="G149" s="105"/>
      <c r="H149" s="18">
        <v>43221</v>
      </c>
      <c r="I149" s="19" t="s">
        <v>1867</v>
      </c>
      <c r="J149" s="21">
        <v>577.5</v>
      </c>
      <c r="K149" t="s">
        <v>2030</v>
      </c>
    </row>
    <row r="150" spans="1:11" x14ac:dyDescent="0.3">
      <c r="A150" t="s">
        <v>1550</v>
      </c>
      <c r="B150" s="18">
        <v>43227</v>
      </c>
      <c r="C150" s="19" t="s">
        <v>1560</v>
      </c>
      <c r="D150" s="19">
        <v>1</v>
      </c>
      <c r="E150" s="20" t="s">
        <v>1561</v>
      </c>
      <c r="F150" s="20" t="s">
        <v>125</v>
      </c>
      <c r="G150" s="105"/>
      <c r="H150" s="18">
        <v>43221</v>
      </c>
      <c r="I150" s="19" t="s">
        <v>1868</v>
      </c>
      <c r="J150" s="21">
        <v>465</v>
      </c>
      <c r="K150" t="s">
        <v>2030</v>
      </c>
    </row>
    <row r="151" spans="1:11" x14ac:dyDescent="0.3">
      <c r="A151" t="s">
        <v>1550</v>
      </c>
      <c r="B151" s="18">
        <v>43227</v>
      </c>
      <c r="C151" s="19" t="s">
        <v>1560</v>
      </c>
      <c r="D151" s="19">
        <v>1</v>
      </c>
      <c r="E151" s="20" t="s">
        <v>1561</v>
      </c>
      <c r="F151" s="20" t="s">
        <v>121</v>
      </c>
      <c r="G151" s="105"/>
      <c r="H151" s="18">
        <v>43221</v>
      </c>
      <c r="I151" s="19" t="s">
        <v>1869</v>
      </c>
      <c r="J151" s="21">
        <v>465</v>
      </c>
      <c r="K151" t="s">
        <v>2030</v>
      </c>
    </row>
    <row r="152" spans="1:11" x14ac:dyDescent="0.3">
      <c r="A152" t="s">
        <v>1550</v>
      </c>
      <c r="B152" s="18">
        <v>43227</v>
      </c>
      <c r="C152" s="19" t="s">
        <v>1560</v>
      </c>
      <c r="D152" s="19">
        <v>1</v>
      </c>
      <c r="E152" s="20" t="s">
        <v>1561</v>
      </c>
      <c r="F152" s="20" t="s">
        <v>122</v>
      </c>
      <c r="G152" s="105"/>
      <c r="H152" s="18">
        <v>43221</v>
      </c>
      <c r="I152" s="19" t="s">
        <v>1870</v>
      </c>
      <c r="J152" s="21">
        <v>465</v>
      </c>
      <c r="K152" t="s">
        <v>2030</v>
      </c>
    </row>
    <row r="153" spans="1:11" x14ac:dyDescent="0.3">
      <c r="A153" t="s">
        <v>1550</v>
      </c>
      <c r="B153" s="18">
        <v>43227</v>
      </c>
      <c r="C153" s="19" t="s">
        <v>1560</v>
      </c>
      <c r="D153" s="19">
        <v>1</v>
      </c>
      <c r="E153" s="20" t="s">
        <v>1561</v>
      </c>
      <c r="F153" s="20" t="s">
        <v>127</v>
      </c>
      <c r="G153" s="105"/>
      <c r="H153" s="18">
        <v>43221</v>
      </c>
      <c r="I153" s="19" t="s">
        <v>1871</v>
      </c>
      <c r="J153" s="21">
        <v>465</v>
      </c>
      <c r="K153" t="s">
        <v>2030</v>
      </c>
    </row>
    <row r="154" spans="1:11" x14ac:dyDescent="0.3">
      <c r="A154" t="s">
        <v>1550</v>
      </c>
      <c r="B154" s="18">
        <v>43227</v>
      </c>
      <c r="C154" s="19" t="s">
        <v>1560</v>
      </c>
      <c r="D154" s="19">
        <v>1</v>
      </c>
      <c r="E154" s="20" t="s">
        <v>1561</v>
      </c>
      <c r="F154" s="20" t="s">
        <v>119</v>
      </c>
      <c r="G154" s="105"/>
      <c r="H154" s="18">
        <v>43221</v>
      </c>
      <c r="I154" s="19" t="s">
        <v>1872</v>
      </c>
      <c r="J154" s="21">
        <v>465</v>
      </c>
      <c r="K154" t="s">
        <v>2030</v>
      </c>
    </row>
    <row r="155" spans="1:11" x14ac:dyDescent="0.3">
      <c r="A155" t="s">
        <v>1550</v>
      </c>
      <c r="B155" s="18">
        <v>43227</v>
      </c>
      <c r="C155" s="19" t="s">
        <v>1560</v>
      </c>
      <c r="D155" s="19">
        <v>1</v>
      </c>
      <c r="E155" s="20" t="s">
        <v>1561</v>
      </c>
      <c r="F155" s="20" t="s">
        <v>114</v>
      </c>
      <c r="G155" s="105"/>
      <c r="H155" s="18">
        <v>43221</v>
      </c>
      <c r="I155" s="19" t="s">
        <v>1873</v>
      </c>
      <c r="J155" s="21">
        <v>465</v>
      </c>
      <c r="K155" t="s">
        <v>2030</v>
      </c>
    </row>
    <row r="156" spans="1:11" x14ac:dyDescent="0.3">
      <c r="A156" t="s">
        <v>1550</v>
      </c>
      <c r="B156" s="18">
        <v>43227</v>
      </c>
      <c r="C156" s="19" t="s">
        <v>1560</v>
      </c>
      <c r="D156" s="19">
        <v>1</v>
      </c>
      <c r="E156" s="20" t="s">
        <v>1561</v>
      </c>
      <c r="F156" s="20" t="s">
        <v>110</v>
      </c>
      <c r="G156" s="105"/>
      <c r="H156" s="18">
        <v>43221</v>
      </c>
      <c r="I156" s="19" t="s">
        <v>1874</v>
      </c>
      <c r="J156" s="21">
        <v>465</v>
      </c>
      <c r="K156" t="s">
        <v>2030</v>
      </c>
    </row>
    <row r="157" spans="1:11" x14ac:dyDescent="0.3">
      <c r="A157" t="s">
        <v>1550</v>
      </c>
      <c r="B157" s="18">
        <v>43227</v>
      </c>
      <c r="C157" s="19" t="s">
        <v>1560</v>
      </c>
      <c r="D157" s="19">
        <v>1</v>
      </c>
      <c r="E157" s="20" t="s">
        <v>1561</v>
      </c>
      <c r="F157" s="20" t="s">
        <v>9</v>
      </c>
      <c r="G157" s="105"/>
      <c r="H157" s="18">
        <v>43221</v>
      </c>
      <c r="I157" s="19" t="s">
        <v>1875</v>
      </c>
      <c r="J157" s="21">
        <v>172.5</v>
      </c>
      <c r="K157" t="s">
        <v>2030</v>
      </c>
    </row>
    <row r="158" spans="1:11" x14ac:dyDescent="0.3">
      <c r="A158" t="s">
        <v>1550</v>
      </c>
      <c r="B158" s="18">
        <v>43227</v>
      </c>
      <c r="C158" s="19" t="s">
        <v>1560</v>
      </c>
      <c r="D158" s="19">
        <v>1</v>
      </c>
      <c r="E158" s="20" t="s">
        <v>1561</v>
      </c>
      <c r="F158" s="20" t="s">
        <v>115</v>
      </c>
      <c r="G158" s="105"/>
      <c r="H158" s="18">
        <v>43221</v>
      </c>
      <c r="I158" s="19" t="s">
        <v>1876</v>
      </c>
      <c r="J158" s="21">
        <v>465</v>
      </c>
      <c r="K158" t="s">
        <v>2030</v>
      </c>
    </row>
    <row r="159" spans="1:11" x14ac:dyDescent="0.3">
      <c r="A159" t="s">
        <v>1550</v>
      </c>
      <c r="B159" s="18">
        <v>43227</v>
      </c>
      <c r="C159" s="19" t="s">
        <v>1560</v>
      </c>
      <c r="D159" s="19">
        <v>1</v>
      </c>
      <c r="E159" s="20" t="s">
        <v>1561</v>
      </c>
      <c r="F159" s="20" t="s">
        <v>112</v>
      </c>
      <c r="G159" s="105"/>
      <c r="H159" s="18">
        <v>43221</v>
      </c>
      <c r="I159" s="19" t="s">
        <v>1877</v>
      </c>
      <c r="J159" s="21">
        <v>465</v>
      </c>
      <c r="K159" t="s">
        <v>2030</v>
      </c>
    </row>
    <row r="160" spans="1:11" x14ac:dyDescent="0.3">
      <c r="A160" t="s">
        <v>1550</v>
      </c>
      <c r="B160" s="18">
        <v>43227</v>
      </c>
      <c r="C160" s="19" t="s">
        <v>1560</v>
      </c>
      <c r="D160" s="19">
        <v>1</v>
      </c>
      <c r="E160" s="20" t="s">
        <v>1561</v>
      </c>
      <c r="F160" s="20" t="s">
        <v>116</v>
      </c>
      <c r="G160" s="105"/>
      <c r="H160" s="18">
        <v>43221</v>
      </c>
      <c r="I160" s="19" t="s">
        <v>1878</v>
      </c>
      <c r="J160" s="21">
        <v>465</v>
      </c>
      <c r="K160" t="s">
        <v>2030</v>
      </c>
    </row>
    <row r="161" spans="1:11" x14ac:dyDescent="0.3">
      <c r="A161" t="s">
        <v>1550</v>
      </c>
      <c r="B161" s="18">
        <v>43227</v>
      </c>
      <c r="C161" s="19" t="s">
        <v>1560</v>
      </c>
      <c r="D161" s="19">
        <v>1</v>
      </c>
      <c r="E161" s="20" t="s">
        <v>1561</v>
      </c>
      <c r="F161" s="20" t="s">
        <v>113</v>
      </c>
      <c r="G161" s="105"/>
      <c r="H161" s="18">
        <v>43221</v>
      </c>
      <c r="I161" s="19" t="s">
        <v>1879</v>
      </c>
      <c r="J161" s="21">
        <v>465</v>
      </c>
      <c r="K161" t="s">
        <v>2030</v>
      </c>
    </row>
    <row r="162" spans="1:11" x14ac:dyDescent="0.3">
      <c r="A162" t="s">
        <v>1550</v>
      </c>
      <c r="B162" s="18">
        <v>43227</v>
      </c>
      <c r="C162" s="19" t="s">
        <v>1560</v>
      </c>
      <c r="D162" s="19">
        <v>1</v>
      </c>
      <c r="E162" s="20" t="s">
        <v>1561</v>
      </c>
      <c r="F162" s="20" t="s">
        <v>120</v>
      </c>
      <c r="G162" s="105"/>
      <c r="H162" s="18">
        <v>43221</v>
      </c>
      <c r="I162" s="19" t="s">
        <v>1880</v>
      </c>
      <c r="J162" s="21">
        <v>465</v>
      </c>
      <c r="K162" t="s">
        <v>2030</v>
      </c>
    </row>
    <row r="163" spans="1:11" x14ac:dyDescent="0.3">
      <c r="A163" t="s">
        <v>1550</v>
      </c>
      <c r="B163" s="18">
        <v>43227</v>
      </c>
      <c r="C163" s="19" t="s">
        <v>1560</v>
      </c>
      <c r="D163" s="19">
        <v>1</v>
      </c>
      <c r="E163" s="20" t="s">
        <v>1561</v>
      </c>
      <c r="F163" s="20" t="s">
        <v>117</v>
      </c>
      <c r="G163" s="105"/>
      <c r="H163" s="18">
        <v>43221</v>
      </c>
      <c r="I163" s="19" t="s">
        <v>1881</v>
      </c>
      <c r="J163" s="21">
        <v>465</v>
      </c>
      <c r="K163" t="s">
        <v>2030</v>
      </c>
    </row>
    <row r="164" spans="1:11" x14ac:dyDescent="0.3">
      <c r="A164" t="s">
        <v>1550</v>
      </c>
      <c r="B164" s="18">
        <v>43227</v>
      </c>
      <c r="C164" s="19" t="s">
        <v>1560</v>
      </c>
      <c r="D164" s="19">
        <v>1</v>
      </c>
      <c r="E164" s="20" t="s">
        <v>1561</v>
      </c>
      <c r="F164" s="20" t="s">
        <v>111</v>
      </c>
      <c r="G164" s="105"/>
      <c r="H164" s="18">
        <v>43221</v>
      </c>
      <c r="I164" s="19" t="s">
        <v>1882</v>
      </c>
      <c r="J164" s="21">
        <v>465</v>
      </c>
      <c r="K164" t="s">
        <v>2030</v>
      </c>
    </row>
    <row r="165" spans="1:11" x14ac:dyDescent="0.3">
      <c r="A165" t="s">
        <v>1550</v>
      </c>
      <c r="B165" s="18">
        <v>43227</v>
      </c>
      <c r="C165" s="19" t="s">
        <v>1560</v>
      </c>
      <c r="D165" s="19">
        <v>1</v>
      </c>
      <c r="E165" s="20" t="s">
        <v>1561</v>
      </c>
      <c r="F165" s="20" t="s">
        <v>118</v>
      </c>
      <c r="G165" s="105"/>
      <c r="H165" s="18">
        <v>43221</v>
      </c>
      <c r="I165" s="19" t="s">
        <v>1883</v>
      </c>
      <c r="J165" s="21">
        <v>465</v>
      </c>
      <c r="K165" t="s">
        <v>2030</v>
      </c>
    </row>
    <row r="166" spans="1:11" x14ac:dyDescent="0.3">
      <c r="A166" t="s">
        <v>1550</v>
      </c>
      <c r="B166" s="18">
        <v>43227</v>
      </c>
      <c r="C166" s="19" t="s">
        <v>1560</v>
      </c>
      <c r="D166" s="19">
        <v>1</v>
      </c>
      <c r="E166" s="20" t="s">
        <v>1561</v>
      </c>
      <c r="F166" s="20" t="s">
        <v>102</v>
      </c>
      <c r="G166" s="105"/>
      <c r="H166" s="18">
        <v>43221</v>
      </c>
      <c r="I166" s="19" t="s">
        <v>1884</v>
      </c>
      <c r="J166" s="21">
        <v>172.5</v>
      </c>
      <c r="K166" t="s">
        <v>2030</v>
      </c>
    </row>
    <row r="167" spans="1:11" x14ac:dyDescent="0.3">
      <c r="A167" t="s">
        <v>1550</v>
      </c>
      <c r="B167" s="18">
        <v>43227</v>
      </c>
      <c r="C167" s="19" t="s">
        <v>1560</v>
      </c>
      <c r="D167" s="19">
        <v>1</v>
      </c>
      <c r="E167" s="20" t="s">
        <v>1561</v>
      </c>
      <c r="F167" s="20" t="s">
        <v>82</v>
      </c>
      <c r="G167" s="105"/>
      <c r="H167" s="18">
        <v>43221</v>
      </c>
      <c r="I167" s="19" t="s">
        <v>1885</v>
      </c>
      <c r="J167" s="21">
        <v>172.5</v>
      </c>
      <c r="K167" t="s">
        <v>2030</v>
      </c>
    </row>
    <row r="168" spans="1:11" x14ac:dyDescent="0.3">
      <c r="A168" t="s">
        <v>1550</v>
      </c>
      <c r="B168" s="18">
        <v>43227</v>
      </c>
      <c r="C168" s="19" t="s">
        <v>1560</v>
      </c>
      <c r="D168" s="19">
        <v>1</v>
      </c>
      <c r="E168" s="20" t="s">
        <v>1561</v>
      </c>
      <c r="F168" s="20" t="s">
        <v>56</v>
      </c>
      <c r="G168" s="105"/>
      <c r="H168" s="18">
        <v>43221</v>
      </c>
      <c r="I168" s="19" t="s">
        <v>1886</v>
      </c>
      <c r="J168" s="21">
        <v>172.5</v>
      </c>
      <c r="K168" t="s">
        <v>2030</v>
      </c>
    </row>
    <row r="169" spans="1:11" x14ac:dyDescent="0.3">
      <c r="A169" t="s">
        <v>1550</v>
      </c>
      <c r="B169" s="18">
        <v>43227</v>
      </c>
      <c r="C169" s="19" t="s">
        <v>1560</v>
      </c>
      <c r="D169" s="19">
        <v>1</v>
      </c>
      <c r="E169" s="20" t="s">
        <v>1561</v>
      </c>
      <c r="F169" s="20" t="s">
        <v>64</v>
      </c>
      <c r="G169" s="105"/>
      <c r="H169" s="18">
        <v>43221</v>
      </c>
      <c r="I169" s="19" t="s">
        <v>1887</v>
      </c>
      <c r="J169" s="21">
        <v>172.5</v>
      </c>
      <c r="K169" t="s">
        <v>2030</v>
      </c>
    </row>
    <row r="170" spans="1:11" x14ac:dyDescent="0.3">
      <c r="A170" t="s">
        <v>1550</v>
      </c>
      <c r="B170" s="18">
        <v>43227</v>
      </c>
      <c r="C170" s="19" t="s">
        <v>1560</v>
      </c>
      <c r="D170" s="19">
        <v>1</v>
      </c>
      <c r="E170" s="20" t="s">
        <v>1561</v>
      </c>
      <c r="F170" s="20" t="s">
        <v>55</v>
      </c>
      <c r="G170" s="105"/>
      <c r="H170" s="18">
        <v>43221</v>
      </c>
      <c r="I170" s="19" t="s">
        <v>1888</v>
      </c>
      <c r="J170" s="21">
        <v>172.5</v>
      </c>
      <c r="K170" t="s">
        <v>2030</v>
      </c>
    </row>
    <row r="171" spans="1:11" x14ac:dyDescent="0.3">
      <c r="A171" t="s">
        <v>1550</v>
      </c>
      <c r="B171" s="18">
        <v>43227</v>
      </c>
      <c r="C171" s="19" t="s">
        <v>1560</v>
      </c>
      <c r="D171" s="19">
        <v>1</v>
      </c>
      <c r="E171" s="20" t="s">
        <v>1561</v>
      </c>
      <c r="F171" s="20" t="s">
        <v>57</v>
      </c>
      <c r="G171" s="105"/>
      <c r="H171" s="18">
        <v>43221</v>
      </c>
      <c r="I171" s="19" t="s">
        <v>1889</v>
      </c>
      <c r="J171" s="21">
        <v>172.5</v>
      </c>
      <c r="K171" t="s">
        <v>2030</v>
      </c>
    </row>
    <row r="172" spans="1:11" x14ac:dyDescent="0.3">
      <c r="A172" t="s">
        <v>1550</v>
      </c>
      <c r="B172" s="18">
        <v>43227</v>
      </c>
      <c r="C172" s="19" t="s">
        <v>1560</v>
      </c>
      <c r="D172" s="19">
        <v>1</v>
      </c>
      <c r="E172" s="20" t="s">
        <v>1561</v>
      </c>
      <c r="F172" s="20" t="s">
        <v>54</v>
      </c>
      <c r="G172" s="105"/>
      <c r="H172" s="18">
        <v>43221</v>
      </c>
      <c r="I172" s="19" t="s">
        <v>1890</v>
      </c>
      <c r="J172" s="21">
        <v>172.5</v>
      </c>
      <c r="K172" t="s">
        <v>2030</v>
      </c>
    </row>
    <row r="173" spans="1:11" x14ac:dyDescent="0.3">
      <c r="A173" t="s">
        <v>1550</v>
      </c>
      <c r="B173" s="18">
        <v>43227</v>
      </c>
      <c r="C173" s="19" t="s">
        <v>1560</v>
      </c>
      <c r="D173" s="19">
        <v>1</v>
      </c>
      <c r="E173" s="20" t="s">
        <v>1561</v>
      </c>
      <c r="F173" s="20" t="s">
        <v>44</v>
      </c>
      <c r="G173" s="105"/>
      <c r="H173" s="18">
        <v>43221</v>
      </c>
      <c r="I173" s="19" t="s">
        <v>1891</v>
      </c>
      <c r="J173" s="21">
        <v>172.5</v>
      </c>
      <c r="K173" t="s">
        <v>2030</v>
      </c>
    </row>
    <row r="174" spans="1:11" x14ac:dyDescent="0.3">
      <c r="A174" t="s">
        <v>1550</v>
      </c>
      <c r="B174" s="18">
        <v>43227</v>
      </c>
      <c r="C174" s="19" t="s">
        <v>1560</v>
      </c>
      <c r="D174" s="19">
        <v>1</v>
      </c>
      <c r="E174" s="20" t="s">
        <v>1561</v>
      </c>
      <c r="F174" s="20" t="s">
        <v>52</v>
      </c>
      <c r="G174" s="105"/>
      <c r="H174" s="18">
        <v>43221</v>
      </c>
      <c r="I174" s="19" t="s">
        <v>1892</v>
      </c>
      <c r="J174" s="21">
        <v>172.5</v>
      </c>
      <c r="K174" t="s">
        <v>2030</v>
      </c>
    </row>
    <row r="175" spans="1:11" x14ac:dyDescent="0.3">
      <c r="A175" t="s">
        <v>1550</v>
      </c>
      <c r="B175" s="18">
        <v>43227</v>
      </c>
      <c r="C175" s="19" t="s">
        <v>1560</v>
      </c>
      <c r="D175" s="19">
        <v>1</v>
      </c>
      <c r="E175" s="20" t="s">
        <v>1561</v>
      </c>
      <c r="F175" s="20" t="s">
        <v>295</v>
      </c>
      <c r="G175" s="105"/>
      <c r="H175" s="18">
        <v>43221</v>
      </c>
      <c r="I175" s="19" t="s">
        <v>1893</v>
      </c>
      <c r="J175" s="21">
        <v>172.5</v>
      </c>
      <c r="K175" t="s">
        <v>2030</v>
      </c>
    </row>
    <row r="176" spans="1:11" x14ac:dyDescent="0.3">
      <c r="A176" t="s">
        <v>1550</v>
      </c>
      <c r="B176" s="18">
        <v>43227</v>
      </c>
      <c r="C176" s="19" t="s">
        <v>1560</v>
      </c>
      <c r="D176" s="19">
        <v>1</v>
      </c>
      <c r="E176" s="20" t="s">
        <v>1561</v>
      </c>
      <c r="F176" s="20" t="s">
        <v>53</v>
      </c>
      <c r="G176" s="105"/>
      <c r="H176" s="18">
        <v>43221</v>
      </c>
      <c r="I176" s="19" t="s">
        <v>1894</v>
      </c>
      <c r="J176" s="21">
        <v>465</v>
      </c>
      <c r="K176" t="s">
        <v>2030</v>
      </c>
    </row>
    <row r="177" spans="1:11" x14ac:dyDescent="0.3">
      <c r="A177" t="s">
        <v>1550</v>
      </c>
      <c r="B177" s="18">
        <v>43227</v>
      </c>
      <c r="C177" s="19" t="s">
        <v>1560</v>
      </c>
      <c r="D177" s="19">
        <v>1</v>
      </c>
      <c r="E177" s="20" t="s">
        <v>1561</v>
      </c>
      <c r="F177" s="20" t="s">
        <v>47</v>
      </c>
      <c r="G177" s="105"/>
      <c r="H177" s="18">
        <v>43221</v>
      </c>
      <c r="I177" s="19" t="s">
        <v>1895</v>
      </c>
      <c r="J177" s="21">
        <v>172.5</v>
      </c>
      <c r="K177" t="s">
        <v>2030</v>
      </c>
    </row>
    <row r="178" spans="1:11" x14ac:dyDescent="0.3">
      <c r="A178" t="s">
        <v>1550</v>
      </c>
      <c r="B178" s="18">
        <v>43227</v>
      </c>
      <c r="C178" s="19" t="s">
        <v>1560</v>
      </c>
      <c r="D178" s="19">
        <v>1</v>
      </c>
      <c r="E178" s="20" t="s">
        <v>1561</v>
      </c>
      <c r="F178" s="20" t="s">
        <v>46</v>
      </c>
      <c r="G178" s="105"/>
      <c r="H178" s="18">
        <v>43221</v>
      </c>
      <c r="I178" s="19" t="s">
        <v>1896</v>
      </c>
      <c r="J178" s="21">
        <v>172.5</v>
      </c>
      <c r="K178" t="s">
        <v>2030</v>
      </c>
    </row>
    <row r="179" spans="1:11" x14ac:dyDescent="0.3">
      <c r="A179" t="s">
        <v>1550</v>
      </c>
      <c r="B179" s="18">
        <v>43227</v>
      </c>
      <c r="C179" s="19" t="s">
        <v>1560</v>
      </c>
      <c r="D179" s="19">
        <v>1</v>
      </c>
      <c r="E179" s="20" t="s">
        <v>1561</v>
      </c>
      <c r="F179" s="20" t="s">
        <v>45</v>
      </c>
      <c r="G179" s="105"/>
      <c r="H179" s="18">
        <v>43221</v>
      </c>
      <c r="I179" s="19" t="s">
        <v>1897</v>
      </c>
      <c r="J179" s="21">
        <v>172.5</v>
      </c>
      <c r="K179" t="s">
        <v>2030</v>
      </c>
    </row>
    <row r="180" spans="1:11" x14ac:dyDescent="0.3">
      <c r="A180" t="s">
        <v>1550</v>
      </c>
      <c r="B180" s="18">
        <v>43227</v>
      </c>
      <c r="C180" s="19" t="s">
        <v>1560</v>
      </c>
      <c r="D180" s="19">
        <v>1</v>
      </c>
      <c r="E180" s="20" t="s">
        <v>1561</v>
      </c>
      <c r="F180" s="20" t="s">
        <v>42</v>
      </c>
      <c r="G180" s="105"/>
      <c r="H180" s="18">
        <v>43221</v>
      </c>
      <c r="I180" s="19" t="s">
        <v>1898</v>
      </c>
      <c r="J180" s="21">
        <v>172.5</v>
      </c>
      <c r="K180" t="s">
        <v>2030</v>
      </c>
    </row>
    <row r="181" spans="1:11" x14ac:dyDescent="0.3">
      <c r="A181" t="s">
        <v>1550</v>
      </c>
      <c r="B181" s="18">
        <v>43227</v>
      </c>
      <c r="C181" s="19" t="s">
        <v>1560</v>
      </c>
      <c r="D181" s="19">
        <v>1</v>
      </c>
      <c r="E181" s="20" t="s">
        <v>1561</v>
      </c>
      <c r="F181" s="20" t="s">
        <v>43</v>
      </c>
      <c r="G181" s="105"/>
      <c r="H181" s="18">
        <v>43221</v>
      </c>
      <c r="I181" s="19" t="s">
        <v>1899</v>
      </c>
      <c r="J181" s="21">
        <v>172.5</v>
      </c>
      <c r="K181" t="s">
        <v>2030</v>
      </c>
    </row>
    <row r="182" spans="1:11" x14ac:dyDescent="0.3">
      <c r="A182" t="s">
        <v>1550</v>
      </c>
      <c r="B182" s="18">
        <v>43227</v>
      </c>
      <c r="C182" s="19" t="s">
        <v>1560</v>
      </c>
      <c r="D182" s="19">
        <v>1</v>
      </c>
      <c r="E182" s="20" t="s">
        <v>1561</v>
      </c>
      <c r="F182" s="20" t="s">
        <v>40</v>
      </c>
      <c r="G182" s="105"/>
      <c r="H182" s="18">
        <v>43221</v>
      </c>
      <c r="I182" s="19" t="s">
        <v>1900</v>
      </c>
      <c r="J182" s="21">
        <v>172.5</v>
      </c>
      <c r="K182" t="s">
        <v>2030</v>
      </c>
    </row>
    <row r="183" spans="1:11" x14ac:dyDescent="0.3">
      <c r="A183" t="s">
        <v>1550</v>
      </c>
      <c r="B183" s="18">
        <v>43227</v>
      </c>
      <c r="C183" s="19" t="s">
        <v>1560</v>
      </c>
      <c r="D183" s="19">
        <v>1</v>
      </c>
      <c r="E183" s="20" t="s">
        <v>1561</v>
      </c>
      <c r="F183" s="20" t="s">
        <v>6</v>
      </c>
      <c r="G183" s="105"/>
      <c r="H183" s="18">
        <v>43221</v>
      </c>
      <c r="I183" s="19" t="s">
        <v>1901</v>
      </c>
      <c r="J183" s="21">
        <v>172.5</v>
      </c>
      <c r="K183" t="s">
        <v>2030</v>
      </c>
    </row>
    <row r="184" spans="1:11" x14ac:dyDescent="0.3">
      <c r="A184" t="s">
        <v>1550</v>
      </c>
      <c r="B184" s="18">
        <v>43227</v>
      </c>
      <c r="C184" s="19" t="s">
        <v>1560</v>
      </c>
      <c r="D184" s="19">
        <v>1</v>
      </c>
      <c r="E184" s="20" t="s">
        <v>1561</v>
      </c>
      <c r="F184" s="20" t="s">
        <v>41</v>
      </c>
      <c r="G184" s="105"/>
      <c r="H184" s="18">
        <v>43221</v>
      </c>
      <c r="I184" s="19" t="s">
        <v>1902</v>
      </c>
      <c r="J184" s="21">
        <v>172.5</v>
      </c>
      <c r="K184" t="s">
        <v>2030</v>
      </c>
    </row>
    <row r="185" spans="1:11" x14ac:dyDescent="0.3">
      <c r="A185" t="s">
        <v>1550</v>
      </c>
      <c r="B185" s="18">
        <v>43227</v>
      </c>
      <c r="C185" s="19" t="s">
        <v>1560</v>
      </c>
      <c r="D185" s="19">
        <v>1</v>
      </c>
      <c r="E185" s="20" t="s">
        <v>1561</v>
      </c>
      <c r="F185" s="20" t="s">
        <v>60</v>
      </c>
      <c r="G185" s="105"/>
      <c r="H185" s="18">
        <v>43221</v>
      </c>
      <c r="I185" s="19" t="s">
        <v>1909</v>
      </c>
      <c r="J185" s="21">
        <v>172.5</v>
      </c>
      <c r="K185" t="s">
        <v>2030</v>
      </c>
    </row>
    <row r="186" spans="1:11" x14ac:dyDescent="0.3">
      <c r="A186" t="s">
        <v>1550</v>
      </c>
      <c r="B186" s="18">
        <v>43227</v>
      </c>
      <c r="C186" s="19" t="s">
        <v>1560</v>
      </c>
      <c r="D186" s="19">
        <v>1</v>
      </c>
      <c r="E186" s="20" t="s">
        <v>1561</v>
      </c>
      <c r="F186" s="20" t="s">
        <v>81</v>
      </c>
      <c r="G186" s="105"/>
      <c r="H186" s="18">
        <v>43221</v>
      </c>
      <c r="I186" s="19" t="s">
        <v>1910</v>
      </c>
      <c r="J186" s="21">
        <v>172.5</v>
      </c>
      <c r="K186" t="s">
        <v>2030</v>
      </c>
    </row>
    <row r="187" spans="1:11" x14ac:dyDescent="0.3">
      <c r="A187" t="s">
        <v>1550</v>
      </c>
      <c r="B187" s="18">
        <v>43227</v>
      </c>
      <c r="C187" s="19" t="s">
        <v>1560</v>
      </c>
      <c r="D187" s="19">
        <v>1</v>
      </c>
      <c r="E187" s="20" t="s">
        <v>1561</v>
      </c>
      <c r="F187" s="20" t="s">
        <v>84</v>
      </c>
      <c r="G187" s="105"/>
      <c r="H187" s="18">
        <v>43221</v>
      </c>
      <c r="I187" s="19" t="s">
        <v>1911</v>
      </c>
      <c r="J187" s="21">
        <v>172.5</v>
      </c>
      <c r="K187" t="s">
        <v>2030</v>
      </c>
    </row>
    <row r="188" spans="1:11" x14ac:dyDescent="0.3">
      <c r="A188" t="s">
        <v>1550</v>
      </c>
      <c r="B188" s="18">
        <v>43227</v>
      </c>
      <c r="C188" s="19" t="s">
        <v>1560</v>
      </c>
      <c r="D188" s="19">
        <v>1</v>
      </c>
      <c r="E188" s="20" t="s">
        <v>1561</v>
      </c>
      <c r="F188" s="20" t="s">
        <v>83</v>
      </c>
      <c r="G188" s="105"/>
      <c r="H188" s="18">
        <v>43221</v>
      </c>
      <c r="I188" s="19" t="s">
        <v>1912</v>
      </c>
      <c r="J188" s="21">
        <v>172.5</v>
      </c>
      <c r="K188" t="s">
        <v>2030</v>
      </c>
    </row>
    <row r="189" spans="1:11" x14ac:dyDescent="0.3">
      <c r="A189" t="s">
        <v>1550</v>
      </c>
      <c r="B189" s="18">
        <v>43227</v>
      </c>
      <c r="C189" s="19" t="s">
        <v>1560</v>
      </c>
      <c r="D189" s="19">
        <v>1</v>
      </c>
      <c r="E189" s="20" t="s">
        <v>1561</v>
      </c>
      <c r="F189" s="20" t="s">
        <v>85</v>
      </c>
      <c r="G189" s="105"/>
      <c r="H189" s="18">
        <v>43221</v>
      </c>
      <c r="I189" s="19" t="s">
        <v>1913</v>
      </c>
      <c r="J189" s="21">
        <v>172.5</v>
      </c>
      <c r="K189" t="s">
        <v>2030</v>
      </c>
    </row>
    <row r="190" spans="1:11" x14ac:dyDescent="0.3">
      <c r="A190" t="s">
        <v>1550</v>
      </c>
      <c r="B190" s="18">
        <v>43227</v>
      </c>
      <c r="C190" s="19" t="s">
        <v>1560</v>
      </c>
      <c r="D190" s="19">
        <v>1</v>
      </c>
      <c r="E190" s="20" t="s">
        <v>1561</v>
      </c>
      <c r="F190" s="20" t="s">
        <v>86</v>
      </c>
      <c r="G190" s="105"/>
      <c r="H190" s="18">
        <v>43221</v>
      </c>
      <c r="I190" s="19" t="s">
        <v>1914</v>
      </c>
      <c r="J190" s="21">
        <v>172.5</v>
      </c>
      <c r="K190" t="s">
        <v>2030</v>
      </c>
    </row>
    <row r="191" spans="1:11" x14ac:dyDescent="0.3">
      <c r="A191" t="s">
        <v>1550</v>
      </c>
      <c r="B191" s="18">
        <v>43227</v>
      </c>
      <c r="C191" s="19" t="s">
        <v>1560</v>
      </c>
      <c r="D191" s="19">
        <v>1</v>
      </c>
      <c r="E191" s="20" t="s">
        <v>1561</v>
      </c>
      <c r="F191" s="20" t="s">
        <v>77</v>
      </c>
      <c r="G191" s="105"/>
      <c r="H191" s="18">
        <v>43221</v>
      </c>
      <c r="I191" s="19" t="s">
        <v>1915</v>
      </c>
      <c r="J191" s="21">
        <v>172.5</v>
      </c>
      <c r="K191" t="s">
        <v>2030</v>
      </c>
    </row>
    <row r="192" spans="1:11" x14ac:dyDescent="0.3">
      <c r="A192" t="s">
        <v>1550</v>
      </c>
      <c r="B192" s="18">
        <v>43227</v>
      </c>
      <c r="C192" s="19" t="s">
        <v>1560</v>
      </c>
      <c r="D192" s="19">
        <v>1</v>
      </c>
      <c r="E192" s="20" t="s">
        <v>1561</v>
      </c>
      <c r="F192" s="20" t="s">
        <v>80</v>
      </c>
      <c r="G192" s="105"/>
      <c r="H192" s="18">
        <v>43221</v>
      </c>
      <c r="I192" s="19" t="s">
        <v>1916</v>
      </c>
      <c r="J192" s="21">
        <v>172.5</v>
      </c>
      <c r="K192" t="s">
        <v>2030</v>
      </c>
    </row>
    <row r="193" spans="1:11" x14ac:dyDescent="0.3">
      <c r="A193" t="s">
        <v>1550</v>
      </c>
      <c r="B193" s="18">
        <v>43227</v>
      </c>
      <c r="C193" s="19" t="s">
        <v>1560</v>
      </c>
      <c r="D193" s="19">
        <v>1</v>
      </c>
      <c r="E193" s="20" t="s">
        <v>1561</v>
      </c>
      <c r="F193" s="20" t="s">
        <v>70</v>
      </c>
      <c r="G193" s="105"/>
      <c r="H193" s="18">
        <v>43221</v>
      </c>
      <c r="I193" s="19" t="s">
        <v>1917</v>
      </c>
      <c r="J193" s="21">
        <v>172.5</v>
      </c>
      <c r="K193" t="s">
        <v>2030</v>
      </c>
    </row>
    <row r="194" spans="1:11" x14ac:dyDescent="0.3">
      <c r="A194" t="s">
        <v>1550</v>
      </c>
      <c r="B194" s="18">
        <v>43227</v>
      </c>
      <c r="C194" s="19" t="s">
        <v>1560</v>
      </c>
      <c r="D194" s="19">
        <v>1</v>
      </c>
      <c r="E194" s="20" t="s">
        <v>1561</v>
      </c>
      <c r="F194" s="20" t="s">
        <v>78</v>
      </c>
      <c r="G194" s="105"/>
      <c r="H194" s="18">
        <v>43221</v>
      </c>
      <c r="I194" s="19" t="s">
        <v>1918</v>
      </c>
      <c r="J194" s="21">
        <v>172.5</v>
      </c>
      <c r="K194" t="s">
        <v>2030</v>
      </c>
    </row>
    <row r="195" spans="1:11" x14ac:dyDescent="0.3">
      <c r="A195" t="s">
        <v>1550</v>
      </c>
      <c r="B195" s="18">
        <v>43227</v>
      </c>
      <c r="C195" s="19" t="s">
        <v>1560</v>
      </c>
      <c r="D195" s="19">
        <v>1</v>
      </c>
      <c r="E195" s="20" t="s">
        <v>1561</v>
      </c>
      <c r="F195" s="20" t="s">
        <v>79</v>
      </c>
      <c r="G195" s="105"/>
      <c r="H195" s="18">
        <v>43221</v>
      </c>
      <c r="I195" s="19" t="s">
        <v>1919</v>
      </c>
      <c r="J195" s="21">
        <v>172.5</v>
      </c>
      <c r="K195" t="s">
        <v>2030</v>
      </c>
    </row>
    <row r="196" spans="1:11" x14ac:dyDescent="0.3">
      <c r="A196" t="s">
        <v>1550</v>
      </c>
      <c r="B196" s="18">
        <v>43227</v>
      </c>
      <c r="C196" s="19" t="s">
        <v>1560</v>
      </c>
      <c r="D196" s="19">
        <v>1</v>
      </c>
      <c r="E196" s="20" t="s">
        <v>1561</v>
      </c>
      <c r="F196" s="20" t="s">
        <v>67</v>
      </c>
      <c r="G196" s="105"/>
      <c r="H196" s="18">
        <v>43221</v>
      </c>
      <c r="I196" s="19" t="s">
        <v>1920</v>
      </c>
      <c r="J196" s="21">
        <v>172.5</v>
      </c>
      <c r="K196" t="s">
        <v>2030</v>
      </c>
    </row>
    <row r="197" spans="1:11" x14ac:dyDescent="0.3">
      <c r="A197" t="s">
        <v>1550</v>
      </c>
      <c r="B197" s="18">
        <v>43227</v>
      </c>
      <c r="C197" s="19" t="s">
        <v>1560</v>
      </c>
      <c r="D197" s="19">
        <v>1</v>
      </c>
      <c r="E197" s="20" t="s">
        <v>1561</v>
      </c>
      <c r="F197" s="20" t="s">
        <v>76</v>
      </c>
      <c r="G197" s="105"/>
      <c r="H197" s="18">
        <v>43221</v>
      </c>
      <c r="I197" s="19" t="s">
        <v>1921</v>
      </c>
      <c r="J197" s="21">
        <v>172.5</v>
      </c>
      <c r="K197" t="s">
        <v>2030</v>
      </c>
    </row>
    <row r="198" spans="1:11" x14ac:dyDescent="0.3">
      <c r="A198" t="s">
        <v>1550</v>
      </c>
      <c r="B198" s="18">
        <v>43227</v>
      </c>
      <c r="C198" s="19" t="s">
        <v>1560</v>
      </c>
      <c r="D198" s="19">
        <v>1</v>
      </c>
      <c r="E198" s="20" t="s">
        <v>1561</v>
      </c>
      <c r="F198" s="20" t="s">
        <v>61</v>
      </c>
      <c r="G198" s="105"/>
      <c r="H198" s="18">
        <v>43221</v>
      </c>
      <c r="I198" s="19" t="s">
        <v>1922</v>
      </c>
      <c r="J198" s="21">
        <v>172.5</v>
      </c>
      <c r="K198" t="s">
        <v>2030</v>
      </c>
    </row>
    <row r="199" spans="1:11" x14ac:dyDescent="0.3">
      <c r="A199" t="s">
        <v>1550</v>
      </c>
      <c r="B199" s="18">
        <v>43227</v>
      </c>
      <c r="C199" s="19" t="s">
        <v>1560</v>
      </c>
      <c r="D199" s="19">
        <v>1</v>
      </c>
      <c r="E199" s="20" t="s">
        <v>1561</v>
      </c>
      <c r="F199" s="20" t="s">
        <v>65</v>
      </c>
      <c r="G199" s="105"/>
      <c r="H199" s="18">
        <v>43221</v>
      </c>
      <c r="I199" s="19" t="s">
        <v>1923</v>
      </c>
      <c r="J199" s="21">
        <v>172.5</v>
      </c>
      <c r="K199" t="s">
        <v>2030</v>
      </c>
    </row>
    <row r="200" spans="1:11" x14ac:dyDescent="0.3">
      <c r="A200" t="s">
        <v>1550</v>
      </c>
      <c r="B200" s="18">
        <v>43227</v>
      </c>
      <c r="C200" s="19" t="s">
        <v>1560</v>
      </c>
      <c r="D200" s="19">
        <v>1</v>
      </c>
      <c r="E200" s="20" t="s">
        <v>1561</v>
      </c>
      <c r="F200" s="20" t="s">
        <v>69</v>
      </c>
      <c r="G200" s="105"/>
      <c r="H200" s="18">
        <v>43221</v>
      </c>
      <c r="I200" s="19" t="s">
        <v>1924</v>
      </c>
      <c r="J200" s="21">
        <v>172.5</v>
      </c>
      <c r="K200" t="s">
        <v>2030</v>
      </c>
    </row>
    <row r="201" spans="1:11" x14ac:dyDescent="0.3">
      <c r="A201" t="s">
        <v>1550</v>
      </c>
      <c r="B201" s="18">
        <v>43227</v>
      </c>
      <c r="C201" s="19" t="s">
        <v>1560</v>
      </c>
      <c r="D201" s="19">
        <v>1</v>
      </c>
      <c r="E201" s="20" t="s">
        <v>1561</v>
      </c>
      <c r="F201" s="20" t="s">
        <v>68</v>
      </c>
      <c r="G201" s="105"/>
      <c r="H201" s="18">
        <v>43221</v>
      </c>
      <c r="I201" s="19" t="s">
        <v>1925</v>
      </c>
      <c r="J201" s="21">
        <v>172.5</v>
      </c>
      <c r="K201" t="s">
        <v>2030</v>
      </c>
    </row>
    <row r="202" spans="1:11" x14ac:dyDescent="0.3">
      <c r="A202" t="s">
        <v>1550</v>
      </c>
      <c r="B202" s="18">
        <v>43227</v>
      </c>
      <c r="C202" s="19" t="s">
        <v>1560</v>
      </c>
      <c r="D202" s="19">
        <v>1</v>
      </c>
      <c r="E202" s="20" t="s">
        <v>1561</v>
      </c>
      <c r="F202" s="20" t="s">
        <v>66</v>
      </c>
      <c r="G202" s="105"/>
      <c r="H202" s="18">
        <v>43221</v>
      </c>
      <c r="I202" s="19" t="s">
        <v>1926</v>
      </c>
      <c r="J202" s="21">
        <v>172.5</v>
      </c>
      <c r="K202" t="s">
        <v>2030</v>
      </c>
    </row>
    <row r="203" spans="1:11" x14ac:dyDescent="0.3">
      <c r="A203" t="s">
        <v>1550</v>
      </c>
      <c r="B203" s="18">
        <v>43227</v>
      </c>
      <c r="C203" s="19" t="s">
        <v>1560</v>
      </c>
      <c r="D203" s="19">
        <v>1</v>
      </c>
      <c r="E203" s="20" t="s">
        <v>1561</v>
      </c>
      <c r="F203" s="20" t="s">
        <v>63</v>
      </c>
      <c r="G203" s="105"/>
      <c r="H203" s="18">
        <v>43221</v>
      </c>
      <c r="I203" s="19" t="s">
        <v>1927</v>
      </c>
      <c r="J203" s="21">
        <v>172.5</v>
      </c>
      <c r="K203" t="s">
        <v>2030</v>
      </c>
    </row>
    <row r="204" spans="1:11" x14ac:dyDescent="0.3">
      <c r="A204" t="s">
        <v>1550</v>
      </c>
      <c r="B204" s="18">
        <v>43227</v>
      </c>
      <c r="C204" s="19" t="s">
        <v>1560</v>
      </c>
      <c r="D204" s="19">
        <v>1</v>
      </c>
      <c r="E204" s="20" t="s">
        <v>1561</v>
      </c>
      <c r="F204" s="20" t="s">
        <v>58</v>
      </c>
      <c r="G204" s="105"/>
      <c r="H204" s="18">
        <v>43221</v>
      </c>
      <c r="I204" s="19" t="s">
        <v>1928</v>
      </c>
      <c r="J204" s="21">
        <v>172.5</v>
      </c>
      <c r="K204" t="s">
        <v>2030</v>
      </c>
    </row>
    <row r="205" spans="1:11" x14ac:dyDescent="0.3">
      <c r="A205" t="s">
        <v>1550</v>
      </c>
      <c r="B205" s="18">
        <v>43227</v>
      </c>
      <c r="C205" s="19" t="s">
        <v>1560</v>
      </c>
      <c r="D205" s="19">
        <v>1</v>
      </c>
      <c r="E205" s="20" t="s">
        <v>1561</v>
      </c>
      <c r="F205" s="20" t="s">
        <v>7</v>
      </c>
      <c r="G205" s="105"/>
      <c r="H205" s="18">
        <v>43221</v>
      </c>
      <c r="I205" s="19" t="s">
        <v>1929</v>
      </c>
      <c r="J205" s="21">
        <v>172.5</v>
      </c>
      <c r="K205" t="s">
        <v>2030</v>
      </c>
    </row>
    <row r="206" spans="1:11" x14ac:dyDescent="0.3">
      <c r="A206" t="s">
        <v>1550</v>
      </c>
      <c r="B206" s="18">
        <v>43227</v>
      </c>
      <c r="C206" s="19" t="s">
        <v>1560</v>
      </c>
      <c r="D206" s="19">
        <v>1</v>
      </c>
      <c r="E206" s="20" t="s">
        <v>1561</v>
      </c>
      <c r="F206" s="20" t="s">
        <v>62</v>
      </c>
      <c r="G206" s="105"/>
      <c r="H206" s="18">
        <v>43221</v>
      </c>
      <c r="I206" s="19" t="s">
        <v>1930</v>
      </c>
      <c r="J206" s="21">
        <v>172.5</v>
      </c>
      <c r="K206" t="s">
        <v>2030</v>
      </c>
    </row>
    <row r="207" spans="1:11" x14ac:dyDescent="0.3">
      <c r="A207" t="s">
        <v>1550</v>
      </c>
      <c r="B207" s="18">
        <v>43227</v>
      </c>
      <c r="C207" s="19" t="s">
        <v>1560</v>
      </c>
      <c r="D207" s="19">
        <v>1</v>
      </c>
      <c r="E207" s="20" t="s">
        <v>1561</v>
      </c>
      <c r="F207" s="20" t="s">
        <v>59</v>
      </c>
      <c r="G207" s="105"/>
      <c r="H207" s="18">
        <v>43221</v>
      </c>
      <c r="I207" s="19" t="s">
        <v>1931</v>
      </c>
      <c r="J207" s="21">
        <v>172.5</v>
      </c>
      <c r="K207" t="s">
        <v>2030</v>
      </c>
    </row>
    <row r="208" spans="1:11" x14ac:dyDescent="0.3">
      <c r="A208" t="s">
        <v>1550</v>
      </c>
      <c r="B208" s="18">
        <v>43227</v>
      </c>
      <c r="C208" s="19" t="s">
        <v>1560</v>
      </c>
      <c r="D208" s="19">
        <v>1</v>
      </c>
      <c r="E208" s="20" t="s">
        <v>1561</v>
      </c>
      <c r="F208" s="20" t="s">
        <v>51</v>
      </c>
      <c r="G208" s="105"/>
      <c r="H208" s="18">
        <v>43221</v>
      </c>
      <c r="I208" s="19" t="s">
        <v>1932</v>
      </c>
      <c r="J208" s="21">
        <v>172.5</v>
      </c>
      <c r="K208" t="s">
        <v>2030</v>
      </c>
    </row>
    <row r="209" spans="1:11" x14ac:dyDescent="0.3">
      <c r="A209" t="s">
        <v>1550</v>
      </c>
      <c r="B209" s="18">
        <v>43227</v>
      </c>
      <c r="C209" s="19" t="s">
        <v>1560</v>
      </c>
      <c r="D209" s="19">
        <v>1</v>
      </c>
      <c r="E209" s="20" t="s">
        <v>1561</v>
      </c>
      <c r="F209" s="20" t="s">
        <v>133</v>
      </c>
      <c r="G209" s="105"/>
      <c r="H209" s="18">
        <v>43221</v>
      </c>
      <c r="I209" s="19" t="s">
        <v>1933</v>
      </c>
      <c r="J209" s="21">
        <v>465</v>
      </c>
      <c r="K209" t="s">
        <v>2030</v>
      </c>
    </row>
    <row r="210" spans="1:11" x14ac:dyDescent="0.3">
      <c r="A210" t="s">
        <v>1550</v>
      </c>
      <c r="B210" s="18">
        <v>43227</v>
      </c>
      <c r="C210" s="19" t="s">
        <v>1560</v>
      </c>
      <c r="D210" s="19">
        <v>1</v>
      </c>
      <c r="E210" s="20" t="s">
        <v>1561</v>
      </c>
      <c r="F210" s="20" t="s">
        <v>343</v>
      </c>
      <c r="G210" s="105"/>
      <c r="H210" s="18">
        <v>43221</v>
      </c>
      <c r="I210" s="19" t="s">
        <v>1934</v>
      </c>
      <c r="J210" s="21">
        <v>172.5</v>
      </c>
      <c r="K210" t="s">
        <v>2030</v>
      </c>
    </row>
    <row r="211" spans="1:11" x14ac:dyDescent="0.3">
      <c r="A211" t="s">
        <v>1550</v>
      </c>
      <c r="B211" s="18">
        <v>43227</v>
      </c>
      <c r="C211" s="19" t="s">
        <v>1560</v>
      </c>
      <c r="D211" s="19">
        <v>1</v>
      </c>
      <c r="E211" s="20" t="s">
        <v>1561</v>
      </c>
      <c r="F211" s="20" t="s">
        <v>345</v>
      </c>
      <c r="G211" s="105"/>
      <c r="H211" s="18">
        <v>43221</v>
      </c>
      <c r="I211" s="19" t="s">
        <v>1935</v>
      </c>
      <c r="J211" s="21">
        <v>172.5</v>
      </c>
      <c r="K211" t="s">
        <v>2030</v>
      </c>
    </row>
    <row r="212" spans="1:11" x14ac:dyDescent="0.3">
      <c r="A212" t="s">
        <v>1550</v>
      </c>
      <c r="B212" s="18">
        <v>43227</v>
      </c>
      <c r="C212" s="19" t="s">
        <v>1560</v>
      </c>
      <c r="D212" s="19">
        <v>1</v>
      </c>
      <c r="E212" s="20" t="s">
        <v>1561</v>
      </c>
      <c r="F212" s="20" t="s">
        <v>341</v>
      </c>
      <c r="G212" s="105"/>
      <c r="H212" s="18">
        <v>43221</v>
      </c>
      <c r="I212" s="19" t="s">
        <v>1936</v>
      </c>
      <c r="J212" s="21">
        <v>465</v>
      </c>
      <c r="K212" t="s">
        <v>2030</v>
      </c>
    </row>
    <row r="213" spans="1:11" x14ac:dyDescent="0.3">
      <c r="A213" t="s">
        <v>1550</v>
      </c>
      <c r="B213" s="18">
        <v>43227</v>
      </c>
      <c r="C213" s="19" t="s">
        <v>1560</v>
      </c>
      <c r="D213" s="19">
        <v>1</v>
      </c>
      <c r="E213" s="20" t="s">
        <v>1561</v>
      </c>
      <c r="F213" s="20" t="s">
        <v>339</v>
      </c>
      <c r="G213" s="105"/>
      <c r="H213" s="18">
        <v>43221</v>
      </c>
      <c r="I213" s="19" t="s">
        <v>1937</v>
      </c>
      <c r="J213" s="21">
        <v>172.5</v>
      </c>
      <c r="K213" t="s">
        <v>2030</v>
      </c>
    </row>
    <row r="214" spans="1:11" x14ac:dyDescent="0.3">
      <c r="A214" t="s">
        <v>1550</v>
      </c>
      <c r="B214" s="18">
        <v>43227</v>
      </c>
      <c r="C214" s="19" t="s">
        <v>1560</v>
      </c>
      <c r="D214" s="19">
        <v>1</v>
      </c>
      <c r="E214" s="20" t="s">
        <v>1561</v>
      </c>
      <c r="F214" s="20" t="s">
        <v>337</v>
      </c>
      <c r="G214" s="105"/>
      <c r="H214" s="18">
        <v>43221</v>
      </c>
      <c r="I214" s="19" t="s">
        <v>1938</v>
      </c>
      <c r="J214" s="21">
        <v>172.5</v>
      </c>
      <c r="K214" t="s">
        <v>2030</v>
      </c>
    </row>
    <row r="215" spans="1:11" x14ac:dyDescent="0.3">
      <c r="A215" t="s">
        <v>1550</v>
      </c>
      <c r="B215" s="18">
        <v>43227</v>
      </c>
      <c r="C215" s="19" t="s">
        <v>1560</v>
      </c>
      <c r="D215" s="19">
        <v>1</v>
      </c>
      <c r="E215" s="20" t="s">
        <v>1561</v>
      </c>
      <c r="F215" s="20" t="s">
        <v>338</v>
      </c>
      <c r="G215" s="105"/>
      <c r="H215" s="18">
        <v>43221</v>
      </c>
      <c r="I215" s="19" t="s">
        <v>1939</v>
      </c>
      <c r="J215" s="21">
        <v>172.5</v>
      </c>
      <c r="K215" t="s">
        <v>2030</v>
      </c>
    </row>
    <row r="216" spans="1:11" x14ac:dyDescent="0.3">
      <c r="A216" t="s">
        <v>1550</v>
      </c>
      <c r="B216" s="18">
        <v>43227</v>
      </c>
      <c r="C216" s="19" t="s">
        <v>1560</v>
      </c>
      <c r="D216" s="19">
        <v>1</v>
      </c>
      <c r="E216" s="20" t="s">
        <v>1561</v>
      </c>
      <c r="F216" s="20" t="s">
        <v>336</v>
      </c>
      <c r="G216" s="105"/>
      <c r="H216" s="18">
        <v>43221</v>
      </c>
      <c r="I216" s="19" t="s">
        <v>1940</v>
      </c>
      <c r="J216" s="21">
        <v>172.5</v>
      </c>
      <c r="K216" t="s">
        <v>2030</v>
      </c>
    </row>
    <row r="217" spans="1:11" x14ac:dyDescent="0.3">
      <c r="A217" t="s">
        <v>1550</v>
      </c>
      <c r="B217" s="18">
        <v>43227</v>
      </c>
      <c r="C217" s="19" t="s">
        <v>1560</v>
      </c>
      <c r="D217" s="19">
        <v>1</v>
      </c>
      <c r="E217" s="20" t="s">
        <v>1561</v>
      </c>
      <c r="F217" s="20" t="s">
        <v>340</v>
      </c>
      <c r="G217" s="105"/>
      <c r="H217" s="18">
        <v>43221</v>
      </c>
      <c r="I217" s="19" t="s">
        <v>1941</v>
      </c>
      <c r="J217" s="21">
        <v>465</v>
      </c>
      <c r="K217" t="s">
        <v>2030</v>
      </c>
    </row>
    <row r="218" spans="1:11" x14ac:dyDescent="0.3">
      <c r="A218" t="s">
        <v>1550</v>
      </c>
      <c r="B218" s="18">
        <v>43227</v>
      </c>
      <c r="C218" s="19" t="s">
        <v>1560</v>
      </c>
      <c r="D218" s="19">
        <v>1</v>
      </c>
      <c r="E218" s="20" t="s">
        <v>1561</v>
      </c>
      <c r="F218" s="20" t="s">
        <v>335</v>
      </c>
      <c r="G218" s="105"/>
      <c r="H218" s="18">
        <v>43221</v>
      </c>
      <c r="I218" s="19" t="s">
        <v>1942</v>
      </c>
      <c r="J218" s="21">
        <v>172.5</v>
      </c>
      <c r="K218" t="s">
        <v>2030</v>
      </c>
    </row>
    <row r="219" spans="1:11" x14ac:dyDescent="0.3">
      <c r="A219" t="s">
        <v>1550</v>
      </c>
      <c r="B219" s="18">
        <v>43227</v>
      </c>
      <c r="C219" s="19" t="s">
        <v>1560</v>
      </c>
      <c r="D219" s="19">
        <v>1</v>
      </c>
      <c r="E219" s="20" t="s">
        <v>1561</v>
      </c>
      <c r="F219" s="20" t="s">
        <v>342</v>
      </c>
      <c r="G219" s="105"/>
      <c r="H219" s="18">
        <v>43221</v>
      </c>
      <c r="I219" s="19" t="s">
        <v>1943</v>
      </c>
      <c r="J219" s="21">
        <v>465</v>
      </c>
      <c r="K219" t="s">
        <v>2030</v>
      </c>
    </row>
    <row r="220" spans="1:11" x14ac:dyDescent="0.3">
      <c r="A220" t="s">
        <v>1550</v>
      </c>
      <c r="B220" s="18">
        <v>43227</v>
      </c>
      <c r="C220" s="19" t="s">
        <v>1560</v>
      </c>
      <c r="D220" s="19">
        <v>1</v>
      </c>
      <c r="E220" s="20" t="s">
        <v>1561</v>
      </c>
      <c r="F220" s="20" t="s">
        <v>333</v>
      </c>
      <c r="G220" s="105"/>
      <c r="H220" s="18">
        <v>43221</v>
      </c>
      <c r="I220" s="19" t="s">
        <v>1944</v>
      </c>
      <c r="J220" s="21">
        <v>172.5</v>
      </c>
      <c r="K220" t="s">
        <v>2030</v>
      </c>
    </row>
    <row r="221" spans="1:11" x14ac:dyDescent="0.3">
      <c r="A221" t="s">
        <v>1550</v>
      </c>
      <c r="B221" s="18">
        <v>43227</v>
      </c>
      <c r="C221" s="19" t="s">
        <v>1560</v>
      </c>
      <c r="D221" s="19">
        <v>1</v>
      </c>
      <c r="E221" s="20" t="s">
        <v>1561</v>
      </c>
      <c r="F221" s="20" t="s">
        <v>323</v>
      </c>
      <c r="G221" s="105"/>
      <c r="H221" s="18">
        <v>43221</v>
      </c>
      <c r="I221" s="19" t="s">
        <v>1945</v>
      </c>
      <c r="J221" s="21">
        <v>172.5</v>
      </c>
      <c r="K221" t="s">
        <v>2030</v>
      </c>
    </row>
    <row r="222" spans="1:11" x14ac:dyDescent="0.3">
      <c r="A222" t="s">
        <v>1550</v>
      </c>
      <c r="B222" s="18">
        <v>43227</v>
      </c>
      <c r="C222" s="19" t="s">
        <v>1560</v>
      </c>
      <c r="D222" s="19">
        <v>1</v>
      </c>
      <c r="E222" s="20" t="s">
        <v>1561</v>
      </c>
      <c r="F222" s="20" t="s">
        <v>332</v>
      </c>
      <c r="G222" s="105"/>
      <c r="H222" s="18">
        <v>43221</v>
      </c>
      <c r="I222" s="19" t="s">
        <v>1946</v>
      </c>
      <c r="J222" s="21">
        <v>172.5</v>
      </c>
      <c r="K222" t="s">
        <v>2030</v>
      </c>
    </row>
    <row r="223" spans="1:11" x14ac:dyDescent="0.3">
      <c r="A223" t="s">
        <v>1550</v>
      </c>
      <c r="B223" s="18">
        <v>43227</v>
      </c>
      <c r="C223" s="19" t="s">
        <v>1560</v>
      </c>
      <c r="D223" s="19">
        <v>1</v>
      </c>
      <c r="E223" s="20" t="s">
        <v>1561</v>
      </c>
      <c r="F223" s="20" t="s">
        <v>328</v>
      </c>
      <c r="G223" s="105"/>
      <c r="H223" s="18">
        <v>43221</v>
      </c>
      <c r="I223" s="19" t="s">
        <v>1947</v>
      </c>
      <c r="J223" s="21">
        <v>172.5</v>
      </c>
      <c r="K223" t="s">
        <v>2030</v>
      </c>
    </row>
    <row r="224" spans="1:11" x14ac:dyDescent="0.3">
      <c r="A224" t="s">
        <v>1550</v>
      </c>
      <c r="B224" s="18">
        <v>43227</v>
      </c>
      <c r="C224" s="19" t="s">
        <v>1560</v>
      </c>
      <c r="D224" s="19">
        <v>1</v>
      </c>
      <c r="E224" s="20" t="s">
        <v>1561</v>
      </c>
      <c r="F224" s="20" t="s">
        <v>330</v>
      </c>
      <c r="G224" s="105"/>
      <c r="H224" s="18">
        <v>43221</v>
      </c>
      <c r="I224" s="19" t="s">
        <v>1948</v>
      </c>
      <c r="J224" s="21">
        <v>172.5</v>
      </c>
      <c r="K224" t="s">
        <v>2030</v>
      </c>
    </row>
    <row r="225" spans="1:11" x14ac:dyDescent="0.3">
      <c r="A225" t="s">
        <v>1550</v>
      </c>
      <c r="B225" s="18">
        <v>43227</v>
      </c>
      <c r="C225" s="19" t="s">
        <v>1560</v>
      </c>
      <c r="D225" s="19">
        <v>1</v>
      </c>
      <c r="E225" s="20" t="s">
        <v>1561</v>
      </c>
      <c r="F225" s="20" t="s">
        <v>329</v>
      </c>
      <c r="G225" s="105"/>
      <c r="H225" s="18">
        <v>43221</v>
      </c>
      <c r="I225" s="19" t="s">
        <v>1949</v>
      </c>
      <c r="J225" s="21">
        <v>172.5</v>
      </c>
      <c r="K225" t="s">
        <v>2030</v>
      </c>
    </row>
    <row r="226" spans="1:11" x14ac:dyDescent="0.3">
      <c r="A226" t="s">
        <v>1550</v>
      </c>
      <c r="B226" s="18">
        <v>43227</v>
      </c>
      <c r="C226" s="19" t="s">
        <v>1560</v>
      </c>
      <c r="D226" s="19">
        <v>1</v>
      </c>
      <c r="E226" s="20" t="s">
        <v>1561</v>
      </c>
      <c r="F226" s="20" t="s">
        <v>326</v>
      </c>
      <c r="G226" s="105"/>
      <c r="H226" s="18">
        <v>43221</v>
      </c>
      <c r="I226" s="19" t="s">
        <v>1950</v>
      </c>
      <c r="J226" s="21">
        <v>172.5</v>
      </c>
      <c r="K226" t="s">
        <v>2030</v>
      </c>
    </row>
    <row r="227" spans="1:11" x14ac:dyDescent="0.3">
      <c r="A227" t="s">
        <v>1550</v>
      </c>
      <c r="B227" s="18">
        <v>43227</v>
      </c>
      <c r="C227" s="19" t="s">
        <v>1560</v>
      </c>
      <c r="D227" s="19">
        <v>1</v>
      </c>
      <c r="E227" s="20" t="s">
        <v>1561</v>
      </c>
      <c r="F227" s="20" t="s">
        <v>322</v>
      </c>
      <c r="G227" s="105"/>
      <c r="H227" s="18">
        <v>43221</v>
      </c>
      <c r="I227" s="19" t="s">
        <v>1951</v>
      </c>
      <c r="J227" s="21">
        <v>172.5</v>
      </c>
      <c r="K227" t="s">
        <v>2030</v>
      </c>
    </row>
    <row r="228" spans="1:11" x14ac:dyDescent="0.3">
      <c r="A228" t="s">
        <v>1550</v>
      </c>
      <c r="B228" s="18">
        <v>43227</v>
      </c>
      <c r="C228" s="19" t="s">
        <v>1560</v>
      </c>
      <c r="D228" s="19">
        <v>1</v>
      </c>
      <c r="E228" s="20" t="s">
        <v>1561</v>
      </c>
      <c r="F228" s="20" t="s">
        <v>325</v>
      </c>
      <c r="G228" s="105"/>
      <c r="H228" s="18">
        <v>43221</v>
      </c>
      <c r="I228" s="19" t="s">
        <v>1952</v>
      </c>
      <c r="J228" s="21">
        <v>172.5</v>
      </c>
      <c r="K228" t="s">
        <v>2030</v>
      </c>
    </row>
    <row r="229" spans="1:11" x14ac:dyDescent="0.3">
      <c r="A229" t="s">
        <v>1550</v>
      </c>
      <c r="B229" s="18">
        <v>43227</v>
      </c>
      <c r="C229" s="19" t="s">
        <v>1560</v>
      </c>
      <c r="D229" s="19">
        <v>1</v>
      </c>
      <c r="E229" s="20" t="s">
        <v>1561</v>
      </c>
      <c r="F229" s="20" t="s">
        <v>327</v>
      </c>
      <c r="G229" s="105"/>
      <c r="H229" s="18">
        <v>43221</v>
      </c>
      <c r="I229" s="19" t="s">
        <v>1953</v>
      </c>
      <c r="J229" s="21">
        <v>172.5</v>
      </c>
      <c r="K229" t="s">
        <v>2030</v>
      </c>
    </row>
    <row r="230" spans="1:11" x14ac:dyDescent="0.3">
      <c r="A230" t="s">
        <v>1550</v>
      </c>
      <c r="B230" s="18">
        <v>43227</v>
      </c>
      <c r="C230" s="19" t="s">
        <v>1560</v>
      </c>
      <c r="D230" s="19">
        <v>1</v>
      </c>
      <c r="E230" s="20" t="s">
        <v>1561</v>
      </c>
      <c r="F230" s="20" t="s">
        <v>324</v>
      </c>
      <c r="G230" s="105"/>
      <c r="H230" s="18">
        <v>43221</v>
      </c>
      <c r="I230" s="19" t="s">
        <v>1954</v>
      </c>
      <c r="J230" s="21">
        <v>172.5</v>
      </c>
      <c r="K230" t="s">
        <v>2030</v>
      </c>
    </row>
    <row r="231" spans="1:11" x14ac:dyDescent="0.3">
      <c r="A231" t="s">
        <v>1550</v>
      </c>
      <c r="B231" s="18">
        <v>43227</v>
      </c>
      <c r="C231" s="19" t="s">
        <v>1560</v>
      </c>
      <c r="D231" s="19">
        <v>1</v>
      </c>
      <c r="E231" s="20" t="s">
        <v>1561</v>
      </c>
      <c r="F231" s="20" t="s">
        <v>331</v>
      </c>
      <c r="G231" s="105"/>
      <c r="H231" s="18">
        <v>43221</v>
      </c>
      <c r="I231" s="19" t="s">
        <v>1955</v>
      </c>
      <c r="J231" s="21">
        <v>172.5</v>
      </c>
      <c r="K231" t="s">
        <v>2030</v>
      </c>
    </row>
    <row r="232" spans="1:11" x14ac:dyDescent="0.3">
      <c r="A232" t="s">
        <v>1550</v>
      </c>
      <c r="B232" s="18">
        <v>43227</v>
      </c>
      <c r="C232" s="19" t="s">
        <v>1560</v>
      </c>
      <c r="D232" s="19">
        <v>1</v>
      </c>
      <c r="E232" s="20" t="s">
        <v>1561</v>
      </c>
      <c r="F232" s="20" t="s">
        <v>321</v>
      </c>
      <c r="G232" s="105"/>
      <c r="H232" s="18">
        <v>43221</v>
      </c>
      <c r="I232" s="19" t="s">
        <v>1956</v>
      </c>
      <c r="J232" s="21">
        <v>172.5</v>
      </c>
      <c r="K232" t="s">
        <v>2030</v>
      </c>
    </row>
    <row r="233" spans="1:11" x14ac:dyDescent="0.3">
      <c r="A233" t="s">
        <v>1550</v>
      </c>
      <c r="B233" s="18">
        <v>43227</v>
      </c>
      <c r="C233" s="19" t="s">
        <v>1560</v>
      </c>
      <c r="D233" s="19">
        <v>1</v>
      </c>
      <c r="E233" s="20" t="s">
        <v>1561</v>
      </c>
      <c r="F233" s="20" t="s">
        <v>334</v>
      </c>
      <c r="G233" s="105"/>
      <c r="H233" s="18">
        <v>43221</v>
      </c>
      <c r="I233" s="19" t="s">
        <v>1957</v>
      </c>
      <c r="J233" s="21">
        <v>172.5</v>
      </c>
      <c r="K233" t="s">
        <v>2030</v>
      </c>
    </row>
    <row r="234" spans="1:11" x14ac:dyDescent="0.3">
      <c r="A234" t="s">
        <v>1550</v>
      </c>
      <c r="B234" s="18">
        <v>43227</v>
      </c>
      <c r="C234" s="19" t="s">
        <v>1560</v>
      </c>
      <c r="D234" s="19">
        <v>1</v>
      </c>
      <c r="E234" s="20" t="s">
        <v>1561</v>
      </c>
      <c r="F234" s="20" t="s">
        <v>13</v>
      </c>
      <c r="G234" s="105"/>
      <c r="H234" s="18">
        <v>43221</v>
      </c>
      <c r="I234" s="19" t="s">
        <v>1958</v>
      </c>
      <c r="J234" s="21">
        <v>172.5</v>
      </c>
      <c r="K234" t="s">
        <v>2030</v>
      </c>
    </row>
    <row r="235" spans="1:11" x14ac:dyDescent="0.3">
      <c r="A235" t="s">
        <v>1550</v>
      </c>
      <c r="B235" s="18">
        <v>43227</v>
      </c>
      <c r="C235" s="19" t="s">
        <v>1560</v>
      </c>
      <c r="D235" s="19">
        <v>1</v>
      </c>
      <c r="E235" s="20" t="s">
        <v>1561</v>
      </c>
      <c r="F235" s="20" t="s">
        <v>573</v>
      </c>
      <c r="G235" s="105"/>
      <c r="H235" s="18">
        <v>43221</v>
      </c>
      <c r="I235" s="19" t="s">
        <v>1959</v>
      </c>
      <c r="J235" s="21">
        <v>172.5</v>
      </c>
      <c r="K235" t="s">
        <v>2030</v>
      </c>
    </row>
    <row r="236" spans="1:11" x14ac:dyDescent="0.3">
      <c r="A236" t="s">
        <v>1550</v>
      </c>
      <c r="B236" s="18">
        <v>43227</v>
      </c>
      <c r="C236" s="19" t="s">
        <v>1560</v>
      </c>
      <c r="D236" s="19">
        <v>1</v>
      </c>
      <c r="E236" s="20" t="s">
        <v>1561</v>
      </c>
      <c r="F236" s="20" t="s">
        <v>581</v>
      </c>
      <c r="G236" s="105"/>
      <c r="H236" s="18">
        <v>43221</v>
      </c>
      <c r="I236" s="19" t="s">
        <v>1960</v>
      </c>
      <c r="J236" s="21">
        <v>172.5</v>
      </c>
      <c r="K236" t="s">
        <v>2030</v>
      </c>
    </row>
    <row r="237" spans="1:11" x14ac:dyDescent="0.3">
      <c r="A237" t="s">
        <v>1550</v>
      </c>
      <c r="B237" s="18">
        <v>43227</v>
      </c>
      <c r="C237" s="19" t="s">
        <v>1560</v>
      </c>
      <c r="D237" s="19">
        <v>1</v>
      </c>
      <c r="E237" s="20" t="s">
        <v>1561</v>
      </c>
      <c r="F237" s="20" t="s">
        <v>574</v>
      </c>
      <c r="G237" s="105"/>
      <c r="H237" s="18">
        <v>43221</v>
      </c>
      <c r="I237" s="19" t="s">
        <v>1961</v>
      </c>
      <c r="J237" s="21">
        <v>172.5</v>
      </c>
      <c r="K237" t="s">
        <v>2030</v>
      </c>
    </row>
    <row r="238" spans="1:11" x14ac:dyDescent="0.3">
      <c r="A238" t="s">
        <v>1550</v>
      </c>
      <c r="B238" s="18">
        <v>43227</v>
      </c>
      <c r="C238" s="19" t="s">
        <v>1560</v>
      </c>
      <c r="D238" s="19">
        <v>1</v>
      </c>
      <c r="E238" s="20" t="s">
        <v>1561</v>
      </c>
      <c r="F238" s="20" t="s">
        <v>578</v>
      </c>
      <c r="G238" s="105"/>
      <c r="H238" s="18">
        <v>43221</v>
      </c>
      <c r="I238" s="19" t="s">
        <v>1962</v>
      </c>
      <c r="J238" s="21">
        <v>172.5</v>
      </c>
      <c r="K238" t="s">
        <v>2030</v>
      </c>
    </row>
    <row r="239" spans="1:11" x14ac:dyDescent="0.3">
      <c r="A239" t="s">
        <v>1550</v>
      </c>
      <c r="B239" s="18">
        <v>43227</v>
      </c>
      <c r="C239" s="19" t="s">
        <v>1560</v>
      </c>
      <c r="D239" s="19">
        <v>1</v>
      </c>
      <c r="E239" s="20" t="s">
        <v>1561</v>
      </c>
      <c r="F239" s="20" t="s">
        <v>575</v>
      </c>
      <c r="G239" s="105"/>
      <c r="H239" s="18">
        <v>43221</v>
      </c>
      <c r="I239" s="19" t="s">
        <v>1963</v>
      </c>
      <c r="J239" s="21">
        <v>172.5</v>
      </c>
      <c r="K239" t="s">
        <v>2030</v>
      </c>
    </row>
    <row r="240" spans="1:11" x14ac:dyDescent="0.3">
      <c r="A240" t="s">
        <v>1550</v>
      </c>
      <c r="B240" s="18">
        <v>43227</v>
      </c>
      <c r="C240" s="19" t="s">
        <v>1560</v>
      </c>
      <c r="D240" s="19">
        <v>1</v>
      </c>
      <c r="E240" s="20" t="s">
        <v>1561</v>
      </c>
      <c r="F240" s="20" t="s">
        <v>569</v>
      </c>
      <c r="G240" s="105"/>
      <c r="H240" s="18">
        <v>43221</v>
      </c>
      <c r="I240" s="19" t="s">
        <v>1964</v>
      </c>
      <c r="J240" s="21">
        <v>172.5</v>
      </c>
      <c r="K240" t="s">
        <v>2030</v>
      </c>
    </row>
    <row r="241" spans="1:11" x14ac:dyDescent="0.3">
      <c r="A241" t="s">
        <v>1550</v>
      </c>
      <c r="B241" s="18">
        <v>43227</v>
      </c>
      <c r="C241" s="19" t="s">
        <v>1560</v>
      </c>
      <c r="D241" s="19">
        <v>1</v>
      </c>
      <c r="E241" s="20" t="s">
        <v>1561</v>
      </c>
      <c r="F241" s="20" t="s">
        <v>564</v>
      </c>
      <c r="G241" s="105"/>
      <c r="H241" s="18">
        <v>43221</v>
      </c>
      <c r="I241" s="19" t="s">
        <v>1965</v>
      </c>
      <c r="J241" s="21">
        <v>172.5</v>
      </c>
      <c r="K241" t="s">
        <v>2030</v>
      </c>
    </row>
    <row r="242" spans="1:11" x14ac:dyDescent="0.3">
      <c r="A242" t="s">
        <v>1550</v>
      </c>
      <c r="B242" s="18">
        <v>43227</v>
      </c>
      <c r="C242" s="19" t="s">
        <v>1560</v>
      </c>
      <c r="D242" s="19">
        <v>1</v>
      </c>
      <c r="E242" s="20" t="s">
        <v>1561</v>
      </c>
      <c r="F242" s="20" t="s">
        <v>571</v>
      </c>
      <c r="G242" s="105"/>
      <c r="H242" s="18">
        <v>43221</v>
      </c>
      <c r="I242" s="19" t="s">
        <v>1966</v>
      </c>
      <c r="J242" s="21">
        <v>172.5</v>
      </c>
      <c r="K242" t="s">
        <v>2030</v>
      </c>
    </row>
    <row r="243" spans="1:11" x14ac:dyDescent="0.3">
      <c r="A243" t="s">
        <v>1550</v>
      </c>
      <c r="B243" s="18">
        <v>43227</v>
      </c>
      <c r="C243" s="19" t="s">
        <v>1560</v>
      </c>
      <c r="D243" s="19">
        <v>1</v>
      </c>
      <c r="E243" s="20" t="s">
        <v>1561</v>
      </c>
      <c r="F243" s="20" t="s">
        <v>567</v>
      </c>
      <c r="G243" s="105"/>
      <c r="H243" s="18">
        <v>43221</v>
      </c>
      <c r="I243" s="19" t="s">
        <v>1967</v>
      </c>
      <c r="J243" s="21">
        <v>172.5</v>
      </c>
      <c r="K243" t="s">
        <v>2030</v>
      </c>
    </row>
    <row r="244" spans="1:11" x14ac:dyDescent="0.3">
      <c r="A244" t="s">
        <v>1550</v>
      </c>
      <c r="B244" s="18">
        <v>43227</v>
      </c>
      <c r="C244" s="19" t="s">
        <v>1560</v>
      </c>
      <c r="D244" s="19">
        <v>1</v>
      </c>
      <c r="E244" s="20" t="s">
        <v>1561</v>
      </c>
      <c r="F244" s="20" t="s">
        <v>565</v>
      </c>
      <c r="G244" s="105"/>
      <c r="H244" s="18">
        <v>43221</v>
      </c>
      <c r="I244" s="19" t="s">
        <v>1968</v>
      </c>
      <c r="J244" s="21">
        <v>172.5</v>
      </c>
      <c r="K244" t="s">
        <v>2030</v>
      </c>
    </row>
    <row r="245" spans="1:11" x14ac:dyDescent="0.3">
      <c r="A245" t="s">
        <v>1550</v>
      </c>
      <c r="B245" s="18">
        <v>43227</v>
      </c>
      <c r="C245" s="19" t="s">
        <v>1560</v>
      </c>
      <c r="D245" s="19">
        <v>1</v>
      </c>
      <c r="E245" s="20" t="s">
        <v>1561</v>
      </c>
      <c r="F245" s="20" t="s">
        <v>566</v>
      </c>
      <c r="G245" s="105"/>
      <c r="H245" s="18">
        <v>43221</v>
      </c>
      <c r="I245" s="19" t="s">
        <v>1969</v>
      </c>
      <c r="J245" s="21">
        <v>172.5</v>
      </c>
      <c r="K245" t="s">
        <v>2030</v>
      </c>
    </row>
    <row r="246" spans="1:11" x14ac:dyDescent="0.3">
      <c r="A246" t="s">
        <v>1550</v>
      </c>
      <c r="B246" s="18">
        <v>43227</v>
      </c>
      <c r="C246" s="19" t="s">
        <v>1560</v>
      </c>
      <c r="D246" s="19">
        <v>1</v>
      </c>
      <c r="E246" s="20" t="s">
        <v>1561</v>
      </c>
      <c r="F246" s="20" t="s">
        <v>570</v>
      </c>
      <c r="G246" s="105"/>
      <c r="H246" s="18">
        <v>43221</v>
      </c>
      <c r="I246" s="19" t="s">
        <v>1970</v>
      </c>
      <c r="J246" s="21">
        <v>172.5</v>
      </c>
      <c r="K246" t="s">
        <v>2030</v>
      </c>
    </row>
    <row r="247" spans="1:11" x14ac:dyDescent="0.3">
      <c r="A247" t="s">
        <v>1550</v>
      </c>
      <c r="B247" s="18">
        <v>43227</v>
      </c>
      <c r="C247" s="19" t="s">
        <v>1560</v>
      </c>
      <c r="D247" s="19">
        <v>1</v>
      </c>
      <c r="E247" s="20" t="s">
        <v>1561</v>
      </c>
      <c r="F247" s="20" t="s">
        <v>568</v>
      </c>
      <c r="G247" s="105"/>
      <c r="H247" s="18">
        <v>43221</v>
      </c>
      <c r="I247" s="19" t="s">
        <v>1971</v>
      </c>
      <c r="J247" s="21">
        <v>172.5</v>
      </c>
      <c r="K247" t="s">
        <v>2030</v>
      </c>
    </row>
    <row r="248" spans="1:11" x14ac:dyDescent="0.3">
      <c r="A248" t="s">
        <v>1550</v>
      </c>
      <c r="B248" s="18">
        <v>43227</v>
      </c>
      <c r="C248" s="19" t="s">
        <v>1560</v>
      </c>
      <c r="D248" s="19">
        <v>1</v>
      </c>
      <c r="E248" s="20" t="s">
        <v>1561</v>
      </c>
      <c r="F248" s="20" t="s">
        <v>572</v>
      </c>
      <c r="G248" s="105"/>
      <c r="H248" s="18">
        <v>43221</v>
      </c>
      <c r="I248" s="19" t="s">
        <v>1972</v>
      </c>
      <c r="J248" s="21">
        <v>172.5</v>
      </c>
      <c r="K248" t="s">
        <v>2030</v>
      </c>
    </row>
    <row r="249" spans="1:11" x14ac:dyDescent="0.3">
      <c r="A249" t="s">
        <v>1550</v>
      </c>
      <c r="B249" s="18">
        <v>43227</v>
      </c>
      <c r="C249" s="19" t="s">
        <v>1560</v>
      </c>
      <c r="D249" s="19">
        <v>1</v>
      </c>
      <c r="E249" s="20" t="s">
        <v>1561</v>
      </c>
      <c r="F249" s="20" t="s">
        <v>561</v>
      </c>
      <c r="G249" s="105"/>
      <c r="H249" s="18">
        <v>43221</v>
      </c>
      <c r="I249" s="19" t="s">
        <v>1973</v>
      </c>
      <c r="J249" s="21">
        <v>172.5</v>
      </c>
      <c r="K249" t="s">
        <v>2030</v>
      </c>
    </row>
    <row r="250" spans="1:11" x14ac:dyDescent="0.3">
      <c r="A250" t="s">
        <v>1550</v>
      </c>
      <c r="B250" s="18">
        <v>43227</v>
      </c>
      <c r="C250" s="19" t="s">
        <v>1560</v>
      </c>
      <c r="D250" s="19">
        <v>1</v>
      </c>
      <c r="E250" s="20" t="s">
        <v>1561</v>
      </c>
      <c r="F250" s="20" t="s">
        <v>560</v>
      </c>
      <c r="G250" s="105"/>
      <c r="H250" s="18">
        <v>43221</v>
      </c>
      <c r="I250" s="19" t="s">
        <v>1974</v>
      </c>
      <c r="J250" s="21">
        <v>172.5</v>
      </c>
      <c r="K250" t="s">
        <v>2030</v>
      </c>
    </row>
    <row r="251" spans="1:11" x14ac:dyDescent="0.3">
      <c r="A251" t="s">
        <v>1550</v>
      </c>
      <c r="B251" s="18">
        <v>43227</v>
      </c>
      <c r="C251" s="19" t="s">
        <v>1560</v>
      </c>
      <c r="D251" s="19">
        <v>1</v>
      </c>
      <c r="E251" s="20" t="s">
        <v>1561</v>
      </c>
      <c r="F251" s="20" t="s">
        <v>557</v>
      </c>
      <c r="G251" s="105"/>
      <c r="H251" s="18">
        <v>43221</v>
      </c>
      <c r="I251" s="19" t="s">
        <v>1975</v>
      </c>
      <c r="J251" s="21">
        <v>172.5</v>
      </c>
      <c r="K251" t="s">
        <v>2030</v>
      </c>
    </row>
    <row r="252" spans="1:11" x14ac:dyDescent="0.3">
      <c r="A252" t="s">
        <v>1550</v>
      </c>
      <c r="B252" s="18">
        <v>43227</v>
      </c>
      <c r="C252" s="19" t="s">
        <v>1560</v>
      </c>
      <c r="D252" s="19">
        <v>1</v>
      </c>
      <c r="E252" s="20" t="s">
        <v>1561</v>
      </c>
      <c r="F252" s="20" t="s">
        <v>558</v>
      </c>
      <c r="G252" s="105"/>
      <c r="H252" s="18">
        <v>43221</v>
      </c>
      <c r="I252" s="19" t="s">
        <v>1976</v>
      </c>
      <c r="J252" s="21">
        <v>172.5</v>
      </c>
      <c r="K252" t="s">
        <v>2030</v>
      </c>
    </row>
    <row r="253" spans="1:11" x14ac:dyDescent="0.3">
      <c r="A253" t="s">
        <v>1550</v>
      </c>
      <c r="B253" s="18">
        <v>43227</v>
      </c>
      <c r="C253" s="19" t="s">
        <v>1560</v>
      </c>
      <c r="D253" s="19">
        <v>1</v>
      </c>
      <c r="E253" s="20" t="s">
        <v>1561</v>
      </c>
      <c r="F253" s="20" t="s">
        <v>562</v>
      </c>
      <c r="G253" s="105"/>
      <c r="H253" s="18">
        <v>43221</v>
      </c>
      <c r="I253" s="19" t="s">
        <v>1977</v>
      </c>
      <c r="J253" s="21">
        <v>172.5</v>
      </c>
      <c r="K253" t="s">
        <v>2030</v>
      </c>
    </row>
    <row r="254" spans="1:11" x14ac:dyDescent="0.3">
      <c r="A254" t="s">
        <v>1550</v>
      </c>
      <c r="B254" s="18">
        <v>43227</v>
      </c>
      <c r="C254" s="19" t="s">
        <v>1560</v>
      </c>
      <c r="D254" s="19">
        <v>1</v>
      </c>
      <c r="E254" s="20" t="s">
        <v>1561</v>
      </c>
      <c r="F254" s="20" t="s">
        <v>559</v>
      </c>
      <c r="G254" s="105"/>
      <c r="H254" s="18">
        <v>43221</v>
      </c>
      <c r="I254" s="19" t="s">
        <v>1978</v>
      </c>
      <c r="J254" s="21">
        <v>172.5</v>
      </c>
      <c r="K254" t="s">
        <v>2030</v>
      </c>
    </row>
    <row r="255" spans="1:11" x14ac:dyDescent="0.3">
      <c r="A255" t="s">
        <v>1550</v>
      </c>
      <c r="B255" s="18">
        <v>43227</v>
      </c>
      <c r="C255" s="19" t="s">
        <v>1560</v>
      </c>
      <c r="D255" s="19">
        <v>1</v>
      </c>
      <c r="E255" s="20" t="s">
        <v>1561</v>
      </c>
      <c r="F255" s="20" t="s">
        <v>346</v>
      </c>
      <c r="G255" s="105"/>
      <c r="H255" s="18">
        <v>43221</v>
      </c>
      <c r="I255" s="19" t="s">
        <v>1979</v>
      </c>
      <c r="J255" s="21">
        <v>172.5</v>
      </c>
      <c r="K255" t="s">
        <v>2030</v>
      </c>
    </row>
    <row r="256" spans="1:11" x14ac:dyDescent="0.3">
      <c r="A256" t="s">
        <v>1550</v>
      </c>
      <c r="B256" s="18">
        <v>43227</v>
      </c>
      <c r="C256" s="19" t="s">
        <v>1560</v>
      </c>
      <c r="D256" s="19">
        <v>1</v>
      </c>
      <c r="E256" s="20" t="s">
        <v>1561</v>
      </c>
      <c r="F256" s="20" t="s">
        <v>344</v>
      </c>
      <c r="G256" s="105"/>
      <c r="H256" s="18">
        <v>43221</v>
      </c>
      <c r="I256" s="19" t="s">
        <v>1980</v>
      </c>
      <c r="J256" s="21">
        <v>172.5</v>
      </c>
      <c r="K256" t="s">
        <v>2030</v>
      </c>
    </row>
    <row r="257" spans="1:11" x14ac:dyDescent="0.3">
      <c r="A257" t="s">
        <v>1550</v>
      </c>
      <c r="B257" s="18">
        <v>43227</v>
      </c>
      <c r="C257" s="19" t="s">
        <v>1560</v>
      </c>
      <c r="D257" s="19">
        <v>1</v>
      </c>
      <c r="E257" s="20" t="s">
        <v>1561</v>
      </c>
      <c r="F257" s="20" t="s">
        <v>317</v>
      </c>
      <c r="G257" s="105"/>
      <c r="H257" s="18">
        <v>43221</v>
      </c>
      <c r="I257" s="19" t="s">
        <v>1981</v>
      </c>
      <c r="J257" s="21">
        <v>172.5</v>
      </c>
      <c r="K257" t="s">
        <v>2030</v>
      </c>
    </row>
    <row r="258" spans="1:11" x14ac:dyDescent="0.3">
      <c r="A258" t="s">
        <v>1550</v>
      </c>
      <c r="B258" s="18">
        <v>43227</v>
      </c>
      <c r="C258" s="19" t="s">
        <v>1560</v>
      </c>
      <c r="D258" s="19">
        <v>1</v>
      </c>
      <c r="E258" s="20" t="s">
        <v>1561</v>
      </c>
      <c r="F258" s="20" t="s">
        <v>301</v>
      </c>
      <c r="G258" s="105"/>
      <c r="H258" s="18">
        <v>43221</v>
      </c>
      <c r="I258" s="19" t="s">
        <v>1982</v>
      </c>
      <c r="J258" s="21">
        <v>172.5</v>
      </c>
      <c r="K258" t="s">
        <v>2030</v>
      </c>
    </row>
    <row r="259" spans="1:11" x14ac:dyDescent="0.3">
      <c r="A259" t="s">
        <v>1550</v>
      </c>
      <c r="B259" s="18">
        <v>43227</v>
      </c>
      <c r="C259" s="19" t="s">
        <v>1560</v>
      </c>
      <c r="D259" s="19">
        <v>1</v>
      </c>
      <c r="E259" s="20" t="s">
        <v>1561</v>
      </c>
      <c r="F259" s="20" t="s">
        <v>146</v>
      </c>
      <c r="G259" s="105"/>
      <c r="H259" s="18">
        <v>43221</v>
      </c>
      <c r="I259" s="19" t="s">
        <v>1983</v>
      </c>
      <c r="J259" s="21">
        <v>172.5</v>
      </c>
      <c r="K259" t="s">
        <v>2030</v>
      </c>
    </row>
    <row r="260" spans="1:11" x14ac:dyDescent="0.3">
      <c r="A260" t="s">
        <v>1550</v>
      </c>
      <c r="B260" s="18">
        <v>43227</v>
      </c>
      <c r="C260" s="19" t="s">
        <v>1560</v>
      </c>
      <c r="D260" s="19">
        <v>1</v>
      </c>
      <c r="E260" s="20" t="s">
        <v>1561</v>
      </c>
      <c r="F260" s="20" t="s">
        <v>150</v>
      </c>
      <c r="G260" s="105"/>
      <c r="H260" s="18">
        <v>43221</v>
      </c>
      <c r="I260" s="19" t="s">
        <v>1984</v>
      </c>
      <c r="J260" s="21">
        <v>172.5</v>
      </c>
      <c r="K260" t="s">
        <v>2030</v>
      </c>
    </row>
    <row r="261" spans="1:11" x14ac:dyDescent="0.3">
      <c r="A261" t="s">
        <v>1550</v>
      </c>
      <c r="B261" s="18">
        <v>43227</v>
      </c>
      <c r="C261" s="19" t="s">
        <v>1560</v>
      </c>
      <c r="D261" s="19">
        <v>1</v>
      </c>
      <c r="E261" s="20" t="s">
        <v>1561</v>
      </c>
      <c r="F261" s="20" t="s">
        <v>299</v>
      </c>
      <c r="G261" s="105"/>
      <c r="H261" s="18">
        <v>43221</v>
      </c>
      <c r="I261" s="19" t="s">
        <v>1985</v>
      </c>
      <c r="J261" s="21">
        <v>172.5</v>
      </c>
      <c r="K261" t="s">
        <v>2030</v>
      </c>
    </row>
    <row r="262" spans="1:11" x14ac:dyDescent="0.3">
      <c r="A262" t="s">
        <v>1550</v>
      </c>
      <c r="B262" s="18">
        <v>43227</v>
      </c>
      <c r="C262" s="19" t="s">
        <v>1560</v>
      </c>
      <c r="D262" s="19">
        <v>1</v>
      </c>
      <c r="E262" s="20" t="s">
        <v>1561</v>
      </c>
      <c r="F262" s="20" t="s">
        <v>297</v>
      </c>
      <c r="G262" s="105"/>
      <c r="H262" s="18">
        <v>43221</v>
      </c>
      <c r="I262" s="19" t="s">
        <v>1986</v>
      </c>
      <c r="J262" s="21">
        <v>172.5</v>
      </c>
      <c r="K262" t="s">
        <v>2030</v>
      </c>
    </row>
    <row r="263" spans="1:11" x14ac:dyDescent="0.3">
      <c r="A263" t="s">
        <v>1550</v>
      </c>
      <c r="B263" s="18">
        <v>43227</v>
      </c>
      <c r="C263" s="19" t="s">
        <v>1560</v>
      </c>
      <c r="D263" s="19">
        <v>1</v>
      </c>
      <c r="E263" s="20" t="s">
        <v>1561</v>
      </c>
      <c r="F263" s="20" t="s">
        <v>152</v>
      </c>
      <c r="G263" s="105"/>
      <c r="H263" s="18">
        <v>43221</v>
      </c>
      <c r="I263" s="19" t="s">
        <v>1987</v>
      </c>
      <c r="J263" s="21">
        <v>172.5</v>
      </c>
      <c r="K263" t="s">
        <v>2030</v>
      </c>
    </row>
    <row r="264" spans="1:11" x14ac:dyDescent="0.3">
      <c r="A264" t="s">
        <v>1550</v>
      </c>
      <c r="B264" s="18">
        <v>43227</v>
      </c>
      <c r="C264" s="19" t="s">
        <v>1560</v>
      </c>
      <c r="D264" s="19">
        <v>1</v>
      </c>
      <c r="E264" s="20" t="s">
        <v>1561</v>
      </c>
      <c r="F264" s="20" t="s">
        <v>151</v>
      </c>
      <c r="G264" s="105"/>
      <c r="H264" s="18">
        <v>43221</v>
      </c>
      <c r="I264" s="19" t="s">
        <v>1988</v>
      </c>
      <c r="J264" s="21">
        <v>172.5</v>
      </c>
      <c r="K264" t="s">
        <v>2030</v>
      </c>
    </row>
    <row r="265" spans="1:11" x14ac:dyDescent="0.3">
      <c r="A265" t="s">
        <v>1550</v>
      </c>
      <c r="B265" s="18">
        <v>43227</v>
      </c>
      <c r="C265" s="19" t="s">
        <v>1560</v>
      </c>
      <c r="D265" s="19">
        <v>1</v>
      </c>
      <c r="E265" s="20" t="s">
        <v>1561</v>
      </c>
      <c r="F265" s="20" t="s">
        <v>300</v>
      </c>
      <c r="G265" s="105"/>
      <c r="H265" s="18">
        <v>43221</v>
      </c>
      <c r="I265" s="19" t="s">
        <v>1989</v>
      </c>
      <c r="J265" s="21">
        <v>172.5</v>
      </c>
      <c r="K265" t="s">
        <v>2030</v>
      </c>
    </row>
    <row r="266" spans="1:11" x14ac:dyDescent="0.3">
      <c r="A266" t="s">
        <v>1550</v>
      </c>
      <c r="B266" s="18">
        <v>43227</v>
      </c>
      <c r="C266" s="19" t="s">
        <v>1560</v>
      </c>
      <c r="D266" s="19">
        <v>1</v>
      </c>
      <c r="E266" s="20" t="s">
        <v>1561</v>
      </c>
      <c r="F266" s="20" t="s">
        <v>298</v>
      </c>
      <c r="G266" s="105"/>
      <c r="H266" s="18">
        <v>43221</v>
      </c>
      <c r="I266" s="19" t="s">
        <v>1990</v>
      </c>
      <c r="J266" s="21">
        <v>172.5</v>
      </c>
      <c r="K266" t="s">
        <v>2030</v>
      </c>
    </row>
    <row r="267" spans="1:11" x14ac:dyDescent="0.3">
      <c r="A267" t="s">
        <v>1550</v>
      </c>
      <c r="B267" s="18">
        <v>43227</v>
      </c>
      <c r="C267" s="19" t="s">
        <v>1560</v>
      </c>
      <c r="D267" s="19">
        <v>1</v>
      </c>
      <c r="E267" s="20" t="s">
        <v>1561</v>
      </c>
      <c r="F267" s="20" t="s">
        <v>147</v>
      </c>
      <c r="G267" s="105"/>
      <c r="H267" s="18">
        <v>43221</v>
      </c>
      <c r="I267" s="19" t="s">
        <v>1991</v>
      </c>
      <c r="J267" s="21">
        <v>172.5</v>
      </c>
      <c r="K267" t="s">
        <v>2030</v>
      </c>
    </row>
    <row r="268" spans="1:11" x14ac:dyDescent="0.3">
      <c r="A268" t="s">
        <v>1550</v>
      </c>
      <c r="B268" s="18">
        <v>43227</v>
      </c>
      <c r="C268" s="19" t="s">
        <v>1560</v>
      </c>
      <c r="D268" s="19">
        <v>1</v>
      </c>
      <c r="E268" s="20" t="s">
        <v>1561</v>
      </c>
      <c r="F268" s="20" t="s">
        <v>143</v>
      </c>
      <c r="G268" s="105"/>
      <c r="H268" s="18">
        <v>43221</v>
      </c>
      <c r="I268" s="19" t="s">
        <v>1992</v>
      </c>
      <c r="J268" s="21">
        <v>172.5</v>
      </c>
      <c r="K268" t="s">
        <v>2030</v>
      </c>
    </row>
    <row r="269" spans="1:11" x14ac:dyDescent="0.3">
      <c r="A269" t="s">
        <v>1550</v>
      </c>
      <c r="B269" s="18">
        <v>43227</v>
      </c>
      <c r="C269" s="19" t="s">
        <v>1560</v>
      </c>
      <c r="D269" s="19">
        <v>1</v>
      </c>
      <c r="E269" s="20" t="s">
        <v>1561</v>
      </c>
      <c r="F269" s="20" t="s">
        <v>148</v>
      </c>
      <c r="G269" s="105"/>
      <c r="H269" s="18">
        <v>43221</v>
      </c>
      <c r="I269" s="19" t="s">
        <v>1993</v>
      </c>
      <c r="J269" s="21">
        <v>172.5</v>
      </c>
      <c r="K269" t="s">
        <v>2030</v>
      </c>
    </row>
    <row r="270" spans="1:11" x14ac:dyDescent="0.3">
      <c r="A270" t="s">
        <v>1550</v>
      </c>
      <c r="B270" s="18">
        <v>43227</v>
      </c>
      <c r="C270" s="19" t="s">
        <v>1560</v>
      </c>
      <c r="D270" s="19">
        <v>1</v>
      </c>
      <c r="E270" s="20" t="s">
        <v>1561</v>
      </c>
      <c r="F270" s="20" t="s">
        <v>145</v>
      </c>
      <c r="G270" s="105"/>
      <c r="H270" s="18">
        <v>43221</v>
      </c>
      <c r="I270" s="19" t="s">
        <v>1994</v>
      </c>
      <c r="J270" s="21">
        <v>172.5</v>
      </c>
      <c r="K270" t="s">
        <v>2030</v>
      </c>
    </row>
    <row r="271" spans="1:11" x14ac:dyDescent="0.3">
      <c r="A271" t="s">
        <v>1550</v>
      </c>
      <c r="B271" s="18">
        <v>43227</v>
      </c>
      <c r="C271" s="19" t="s">
        <v>1560</v>
      </c>
      <c r="D271" s="19">
        <v>1</v>
      </c>
      <c r="E271" s="20" t="s">
        <v>1561</v>
      </c>
      <c r="F271" s="20" t="s">
        <v>563</v>
      </c>
      <c r="G271" s="105"/>
      <c r="H271" s="18">
        <v>43221</v>
      </c>
      <c r="I271" s="19" t="s">
        <v>1995</v>
      </c>
      <c r="J271" s="21">
        <v>172.5</v>
      </c>
      <c r="K271" t="s">
        <v>2030</v>
      </c>
    </row>
    <row r="272" spans="1:11" x14ac:dyDescent="0.3">
      <c r="A272" t="s">
        <v>1550</v>
      </c>
      <c r="B272" s="18">
        <v>43227</v>
      </c>
      <c r="C272" s="19" t="s">
        <v>1560</v>
      </c>
      <c r="D272" s="19">
        <v>1</v>
      </c>
      <c r="E272" s="20" t="s">
        <v>1561</v>
      </c>
      <c r="F272" s="20" t="s">
        <v>141</v>
      </c>
      <c r="G272" s="105"/>
      <c r="H272" s="18">
        <v>43221</v>
      </c>
      <c r="I272" s="19" t="s">
        <v>1996</v>
      </c>
      <c r="J272" s="21">
        <v>172.5</v>
      </c>
      <c r="K272" t="s">
        <v>2030</v>
      </c>
    </row>
    <row r="273" spans="1:11" x14ac:dyDescent="0.3">
      <c r="A273" t="s">
        <v>1550</v>
      </c>
      <c r="B273" s="18">
        <v>43227</v>
      </c>
      <c r="C273" s="19" t="s">
        <v>1560</v>
      </c>
      <c r="D273" s="19">
        <v>1</v>
      </c>
      <c r="E273" s="20" t="s">
        <v>1561</v>
      </c>
      <c r="F273" s="20" t="s">
        <v>137</v>
      </c>
      <c r="G273" s="105"/>
      <c r="H273" s="18">
        <v>43221</v>
      </c>
      <c r="I273" s="19" t="s">
        <v>1997</v>
      </c>
      <c r="J273" s="21">
        <v>172.5</v>
      </c>
      <c r="K273" t="s">
        <v>2030</v>
      </c>
    </row>
    <row r="274" spans="1:11" x14ac:dyDescent="0.3">
      <c r="A274" t="s">
        <v>1550</v>
      </c>
      <c r="B274" s="18">
        <v>43227</v>
      </c>
      <c r="C274" s="19" t="s">
        <v>1560</v>
      </c>
      <c r="D274" s="19">
        <v>1</v>
      </c>
      <c r="E274" s="20" t="s">
        <v>1561</v>
      </c>
      <c r="F274" s="20" t="s">
        <v>139</v>
      </c>
      <c r="G274" s="105"/>
      <c r="H274" s="18">
        <v>43221</v>
      </c>
      <c r="I274" s="19" t="s">
        <v>1998</v>
      </c>
      <c r="J274" s="21">
        <v>172.5</v>
      </c>
      <c r="K274" t="s">
        <v>2030</v>
      </c>
    </row>
    <row r="275" spans="1:11" x14ac:dyDescent="0.3">
      <c r="A275" t="s">
        <v>1550</v>
      </c>
      <c r="B275" s="18">
        <v>43227</v>
      </c>
      <c r="C275" s="19" t="s">
        <v>1560</v>
      </c>
      <c r="D275" s="19">
        <v>1</v>
      </c>
      <c r="E275" s="20" t="s">
        <v>1561</v>
      </c>
      <c r="F275" s="20" t="s">
        <v>140</v>
      </c>
      <c r="G275" s="105"/>
      <c r="H275" s="18">
        <v>43221</v>
      </c>
      <c r="I275" s="19" t="s">
        <v>1999</v>
      </c>
      <c r="J275" s="21">
        <v>172.5</v>
      </c>
      <c r="K275" t="s">
        <v>2030</v>
      </c>
    </row>
    <row r="276" spans="1:11" x14ac:dyDescent="0.3">
      <c r="A276" t="s">
        <v>1550</v>
      </c>
      <c r="B276" s="18">
        <v>43227</v>
      </c>
      <c r="C276" s="19" t="s">
        <v>1560</v>
      </c>
      <c r="D276" s="19">
        <v>1</v>
      </c>
      <c r="E276" s="20" t="s">
        <v>1561</v>
      </c>
      <c r="F276" s="20" t="s">
        <v>142</v>
      </c>
      <c r="G276" s="105"/>
      <c r="H276" s="18">
        <v>43221</v>
      </c>
      <c r="I276" s="19" t="s">
        <v>2000</v>
      </c>
      <c r="J276" s="21">
        <v>172.5</v>
      </c>
      <c r="K276" t="s">
        <v>2030</v>
      </c>
    </row>
    <row r="277" spans="1:11" x14ac:dyDescent="0.3">
      <c r="A277" t="s">
        <v>1550</v>
      </c>
      <c r="B277" s="18">
        <v>43227</v>
      </c>
      <c r="C277" s="19" t="s">
        <v>1560</v>
      </c>
      <c r="D277" s="19">
        <v>1</v>
      </c>
      <c r="E277" s="20" t="s">
        <v>1561</v>
      </c>
      <c r="F277" s="20" t="s">
        <v>134</v>
      </c>
      <c r="G277" s="105"/>
      <c r="H277" s="18">
        <v>43221</v>
      </c>
      <c r="I277" s="19" t="s">
        <v>2001</v>
      </c>
      <c r="J277" s="21">
        <v>465</v>
      </c>
      <c r="K277" t="s">
        <v>2030</v>
      </c>
    </row>
    <row r="278" spans="1:11" x14ac:dyDescent="0.3">
      <c r="A278" t="s">
        <v>1550</v>
      </c>
      <c r="B278" s="18">
        <v>43227</v>
      </c>
      <c r="C278" s="19" t="s">
        <v>1560</v>
      </c>
      <c r="D278" s="19">
        <v>1</v>
      </c>
      <c r="E278" s="20" t="s">
        <v>1561</v>
      </c>
      <c r="F278" s="20" t="s">
        <v>138</v>
      </c>
      <c r="G278" s="105"/>
      <c r="H278" s="18">
        <v>43221</v>
      </c>
      <c r="I278" s="19" t="s">
        <v>2002</v>
      </c>
      <c r="J278" s="21">
        <v>172.5</v>
      </c>
      <c r="K278" t="s">
        <v>2030</v>
      </c>
    </row>
    <row r="279" spans="1:11" x14ac:dyDescent="0.3">
      <c r="A279" t="s">
        <v>1550</v>
      </c>
      <c r="B279" s="18">
        <v>43227</v>
      </c>
      <c r="C279" s="19" t="s">
        <v>1560</v>
      </c>
      <c r="D279" s="19">
        <v>1</v>
      </c>
      <c r="E279" s="20" t="s">
        <v>1561</v>
      </c>
      <c r="F279" s="20" t="s">
        <v>126</v>
      </c>
      <c r="G279" s="105"/>
      <c r="H279" s="18">
        <v>43221</v>
      </c>
      <c r="I279" s="19" t="s">
        <v>2003</v>
      </c>
      <c r="J279" s="21">
        <v>465</v>
      </c>
      <c r="K279" t="s">
        <v>2030</v>
      </c>
    </row>
    <row r="280" spans="1:11" x14ac:dyDescent="0.3">
      <c r="A280" t="s">
        <v>1550</v>
      </c>
      <c r="B280" s="18">
        <v>43227</v>
      </c>
      <c r="C280" s="19" t="s">
        <v>1560</v>
      </c>
      <c r="D280" s="19">
        <v>1</v>
      </c>
      <c r="E280" s="20" t="s">
        <v>1561</v>
      </c>
      <c r="F280" s="20" t="s">
        <v>131</v>
      </c>
      <c r="G280" s="105"/>
      <c r="H280" s="18">
        <v>43221</v>
      </c>
      <c r="I280" s="19" t="s">
        <v>2004</v>
      </c>
      <c r="J280" s="21">
        <v>577.5</v>
      </c>
      <c r="K280" t="s">
        <v>2030</v>
      </c>
    </row>
    <row r="281" spans="1:11" x14ac:dyDescent="0.3">
      <c r="A281" t="s">
        <v>1550</v>
      </c>
      <c r="B281" s="18">
        <v>43227</v>
      </c>
      <c r="C281" s="19" t="s">
        <v>1560</v>
      </c>
      <c r="D281" s="19">
        <v>1</v>
      </c>
      <c r="E281" s="20" t="s">
        <v>1561</v>
      </c>
      <c r="F281" s="20" t="s">
        <v>149</v>
      </c>
      <c r="G281" s="105"/>
      <c r="H281" s="18">
        <v>43221</v>
      </c>
      <c r="I281" s="19" t="s">
        <v>2005</v>
      </c>
      <c r="J281" s="21">
        <v>172.5</v>
      </c>
      <c r="K281" t="s">
        <v>2030</v>
      </c>
    </row>
    <row r="282" spans="1:11" x14ac:dyDescent="0.3">
      <c r="A282" t="s">
        <v>1550</v>
      </c>
      <c r="B282" s="18">
        <v>43227</v>
      </c>
      <c r="C282" s="19" t="s">
        <v>1560</v>
      </c>
      <c r="D282" s="19">
        <v>1</v>
      </c>
      <c r="E282" s="20" t="s">
        <v>1561</v>
      </c>
      <c r="F282" s="20" t="s">
        <v>318</v>
      </c>
      <c r="G282" s="105"/>
      <c r="H282" s="18">
        <v>43221</v>
      </c>
      <c r="I282" s="19" t="s">
        <v>2006</v>
      </c>
      <c r="J282" s="21">
        <v>172.5</v>
      </c>
      <c r="K282" t="s">
        <v>2030</v>
      </c>
    </row>
    <row r="283" spans="1:11" x14ac:dyDescent="0.3">
      <c r="A283" t="s">
        <v>1550</v>
      </c>
      <c r="B283" s="18">
        <v>43227</v>
      </c>
      <c r="C283" s="19" t="s">
        <v>1560</v>
      </c>
      <c r="D283" s="19">
        <v>1</v>
      </c>
      <c r="E283" s="20" t="s">
        <v>1561</v>
      </c>
      <c r="F283" s="20" t="s">
        <v>12</v>
      </c>
      <c r="G283" s="105"/>
      <c r="H283" s="18">
        <v>43221</v>
      </c>
      <c r="I283" s="19" t="s">
        <v>2007</v>
      </c>
      <c r="J283" s="21">
        <v>172.5</v>
      </c>
      <c r="K283" t="s">
        <v>2030</v>
      </c>
    </row>
    <row r="284" spans="1:11" x14ac:dyDescent="0.3">
      <c r="A284" t="s">
        <v>1550</v>
      </c>
      <c r="B284" s="18">
        <v>43227</v>
      </c>
      <c r="C284" s="19" t="s">
        <v>1560</v>
      </c>
      <c r="D284" s="19">
        <v>1</v>
      </c>
      <c r="E284" s="20" t="s">
        <v>1561</v>
      </c>
      <c r="F284" s="20" t="s">
        <v>312</v>
      </c>
      <c r="G284" s="105"/>
      <c r="H284" s="18">
        <v>43221</v>
      </c>
      <c r="I284" s="19" t="s">
        <v>2008</v>
      </c>
      <c r="J284" s="21">
        <v>172.5</v>
      </c>
      <c r="K284" t="s">
        <v>2030</v>
      </c>
    </row>
    <row r="285" spans="1:11" x14ac:dyDescent="0.3">
      <c r="A285" t="s">
        <v>1550</v>
      </c>
      <c r="B285" s="18">
        <v>43227</v>
      </c>
      <c r="C285" s="19" t="s">
        <v>1560</v>
      </c>
      <c r="D285" s="19">
        <v>1</v>
      </c>
      <c r="E285" s="20" t="s">
        <v>1561</v>
      </c>
      <c r="F285" s="20" t="s">
        <v>313</v>
      </c>
      <c r="G285" s="105"/>
      <c r="H285" s="18">
        <v>43221</v>
      </c>
      <c r="I285" s="19" t="s">
        <v>2009</v>
      </c>
      <c r="J285" s="21">
        <v>172.5</v>
      </c>
      <c r="K285" t="s">
        <v>2030</v>
      </c>
    </row>
    <row r="286" spans="1:11" x14ac:dyDescent="0.3">
      <c r="A286" t="s">
        <v>1550</v>
      </c>
      <c r="B286" s="18">
        <v>43227</v>
      </c>
      <c r="C286" s="19" t="s">
        <v>1560</v>
      </c>
      <c r="D286" s="19">
        <v>1</v>
      </c>
      <c r="E286" s="20" t="s">
        <v>1561</v>
      </c>
      <c r="F286" s="20" t="s">
        <v>314</v>
      </c>
      <c r="G286" s="105"/>
      <c r="H286" s="18">
        <v>43221</v>
      </c>
      <c r="I286" s="19" t="s">
        <v>2010</v>
      </c>
      <c r="J286" s="21">
        <v>172.5</v>
      </c>
      <c r="K286" t="s">
        <v>2030</v>
      </c>
    </row>
    <row r="287" spans="1:11" x14ac:dyDescent="0.3">
      <c r="A287" t="s">
        <v>1550</v>
      </c>
      <c r="B287" s="18">
        <v>43227</v>
      </c>
      <c r="C287" s="19" t="s">
        <v>1560</v>
      </c>
      <c r="D287" s="19">
        <v>1</v>
      </c>
      <c r="E287" s="20" t="s">
        <v>1561</v>
      </c>
      <c r="F287" s="20" t="s">
        <v>320</v>
      </c>
      <c r="G287" s="105"/>
      <c r="H287" s="18">
        <v>43221</v>
      </c>
      <c r="I287" s="19" t="s">
        <v>2011</v>
      </c>
      <c r="J287" s="21">
        <v>172.5</v>
      </c>
      <c r="K287" t="s">
        <v>2030</v>
      </c>
    </row>
    <row r="288" spans="1:11" x14ac:dyDescent="0.3">
      <c r="A288" t="s">
        <v>1550</v>
      </c>
      <c r="B288" s="18">
        <v>43227</v>
      </c>
      <c r="C288" s="19" t="s">
        <v>1560</v>
      </c>
      <c r="D288" s="19">
        <v>1</v>
      </c>
      <c r="E288" s="20" t="s">
        <v>1561</v>
      </c>
      <c r="F288" s="20" t="s">
        <v>319</v>
      </c>
      <c r="G288" s="105"/>
      <c r="H288" s="18">
        <v>43221</v>
      </c>
      <c r="I288" s="19" t="s">
        <v>2012</v>
      </c>
      <c r="J288" s="21">
        <v>172.5</v>
      </c>
      <c r="K288" t="s">
        <v>2030</v>
      </c>
    </row>
    <row r="289" spans="1:11" x14ac:dyDescent="0.3">
      <c r="A289" t="s">
        <v>1550</v>
      </c>
      <c r="B289" s="18">
        <v>43227</v>
      </c>
      <c r="C289" s="19" t="s">
        <v>1560</v>
      </c>
      <c r="D289" s="19">
        <v>1</v>
      </c>
      <c r="E289" s="20" t="s">
        <v>1561</v>
      </c>
      <c r="F289" s="20" t="s">
        <v>316</v>
      </c>
      <c r="G289" s="105"/>
      <c r="H289" s="18">
        <v>43221</v>
      </c>
      <c r="I289" s="19" t="s">
        <v>2013</v>
      </c>
      <c r="J289" s="21">
        <v>172.5</v>
      </c>
      <c r="K289" t="s">
        <v>2030</v>
      </c>
    </row>
    <row r="290" spans="1:11" x14ac:dyDescent="0.3">
      <c r="A290" t="s">
        <v>1550</v>
      </c>
      <c r="B290" s="18">
        <v>43227</v>
      </c>
      <c r="C290" s="19" t="s">
        <v>1560</v>
      </c>
      <c r="D290" s="19">
        <v>1</v>
      </c>
      <c r="E290" s="20" t="s">
        <v>1561</v>
      </c>
      <c r="F290" s="20" t="s">
        <v>315</v>
      </c>
      <c r="G290" s="105"/>
      <c r="H290" s="18">
        <v>43221</v>
      </c>
      <c r="I290" s="19" t="s">
        <v>2014</v>
      </c>
      <c r="J290" s="21">
        <v>172.5</v>
      </c>
      <c r="K290" t="s">
        <v>2030</v>
      </c>
    </row>
    <row r="291" spans="1:11" x14ac:dyDescent="0.3">
      <c r="A291" t="s">
        <v>1550</v>
      </c>
      <c r="B291" s="18">
        <v>43227</v>
      </c>
      <c r="C291" s="19" t="s">
        <v>1560</v>
      </c>
      <c r="D291" s="19">
        <v>1</v>
      </c>
      <c r="E291" s="20" t="s">
        <v>1561</v>
      </c>
      <c r="F291" s="20" t="s">
        <v>303</v>
      </c>
      <c r="G291" s="105"/>
      <c r="H291" s="18">
        <v>43221</v>
      </c>
      <c r="I291" s="19" t="s">
        <v>2015</v>
      </c>
      <c r="J291" s="21">
        <v>172.5</v>
      </c>
      <c r="K291" t="s">
        <v>2030</v>
      </c>
    </row>
    <row r="292" spans="1:11" x14ac:dyDescent="0.3">
      <c r="A292" t="s">
        <v>1550</v>
      </c>
      <c r="B292" s="18">
        <v>43227</v>
      </c>
      <c r="C292" s="19" t="s">
        <v>1560</v>
      </c>
      <c r="D292" s="19">
        <v>1</v>
      </c>
      <c r="E292" s="20" t="s">
        <v>1561</v>
      </c>
      <c r="F292" s="20" t="s">
        <v>311</v>
      </c>
      <c r="G292" s="105"/>
      <c r="H292" s="18">
        <v>43221</v>
      </c>
      <c r="I292" s="19" t="s">
        <v>2016</v>
      </c>
      <c r="J292" s="21">
        <v>172.5</v>
      </c>
      <c r="K292" t="s">
        <v>2030</v>
      </c>
    </row>
    <row r="293" spans="1:11" x14ac:dyDescent="0.3">
      <c r="A293" t="s">
        <v>1550</v>
      </c>
      <c r="B293" s="18">
        <v>43227</v>
      </c>
      <c r="C293" s="19" t="s">
        <v>1560</v>
      </c>
      <c r="D293" s="19">
        <v>1</v>
      </c>
      <c r="E293" s="20" t="s">
        <v>1561</v>
      </c>
      <c r="F293" s="20" t="s">
        <v>309</v>
      </c>
      <c r="G293" s="105"/>
      <c r="H293" s="18">
        <v>43221</v>
      </c>
      <c r="I293" s="19" t="s">
        <v>2017</v>
      </c>
      <c r="J293" s="21">
        <v>172.5</v>
      </c>
      <c r="K293" t="s">
        <v>2030</v>
      </c>
    </row>
    <row r="294" spans="1:11" x14ac:dyDescent="0.3">
      <c r="A294" t="s">
        <v>1550</v>
      </c>
      <c r="B294" s="18">
        <v>43227</v>
      </c>
      <c r="C294" s="19" t="s">
        <v>1560</v>
      </c>
      <c r="D294" s="19">
        <v>1</v>
      </c>
      <c r="E294" s="20" t="s">
        <v>1561</v>
      </c>
      <c r="F294" s="20" t="s">
        <v>307</v>
      </c>
      <c r="G294" s="105"/>
      <c r="H294" s="18">
        <v>43221</v>
      </c>
      <c r="I294" s="19" t="s">
        <v>2018</v>
      </c>
      <c r="J294" s="21">
        <v>172.5</v>
      </c>
      <c r="K294" t="s">
        <v>2030</v>
      </c>
    </row>
    <row r="295" spans="1:11" x14ac:dyDescent="0.3">
      <c r="A295" t="s">
        <v>1550</v>
      </c>
      <c r="B295" s="18">
        <v>43227</v>
      </c>
      <c r="C295" s="19" t="s">
        <v>1560</v>
      </c>
      <c r="D295" s="19">
        <v>1</v>
      </c>
      <c r="E295" s="20" t="s">
        <v>1561</v>
      </c>
      <c r="F295" s="20" t="s">
        <v>302</v>
      </c>
      <c r="G295" s="105"/>
      <c r="H295" s="18">
        <v>43221</v>
      </c>
      <c r="I295" s="19" t="s">
        <v>2019</v>
      </c>
      <c r="J295" s="21">
        <v>172.5</v>
      </c>
      <c r="K295" t="s">
        <v>2030</v>
      </c>
    </row>
    <row r="296" spans="1:11" x14ac:dyDescent="0.3">
      <c r="A296" t="s">
        <v>1550</v>
      </c>
      <c r="B296" s="18">
        <v>43227</v>
      </c>
      <c r="C296" s="19" t="s">
        <v>1560</v>
      </c>
      <c r="D296" s="19">
        <v>1</v>
      </c>
      <c r="E296" s="20" t="s">
        <v>1561</v>
      </c>
      <c r="F296" s="20" t="s">
        <v>306</v>
      </c>
      <c r="G296" s="105"/>
      <c r="H296" s="18">
        <v>43221</v>
      </c>
      <c r="I296" s="19" t="s">
        <v>2020</v>
      </c>
      <c r="J296" s="21">
        <v>172.5</v>
      </c>
      <c r="K296" t="s">
        <v>2030</v>
      </c>
    </row>
    <row r="297" spans="1:11" x14ac:dyDescent="0.3">
      <c r="A297" t="s">
        <v>1550</v>
      </c>
      <c r="B297" s="18">
        <v>43227</v>
      </c>
      <c r="C297" s="19" t="s">
        <v>1560</v>
      </c>
      <c r="D297" s="19">
        <v>1</v>
      </c>
      <c r="E297" s="20" t="s">
        <v>1561</v>
      </c>
      <c r="F297" s="20" t="s">
        <v>11</v>
      </c>
      <c r="G297" s="105"/>
      <c r="H297" s="18">
        <v>43221</v>
      </c>
      <c r="I297" s="19" t="s">
        <v>2021</v>
      </c>
      <c r="J297" s="21">
        <v>172.5</v>
      </c>
      <c r="K297" t="s">
        <v>2030</v>
      </c>
    </row>
    <row r="298" spans="1:11" x14ac:dyDescent="0.3">
      <c r="A298" t="s">
        <v>1550</v>
      </c>
      <c r="B298" s="18">
        <v>43227</v>
      </c>
      <c r="C298" s="19" t="s">
        <v>1560</v>
      </c>
      <c r="D298" s="19">
        <v>1</v>
      </c>
      <c r="E298" s="20" t="s">
        <v>1561</v>
      </c>
      <c r="F298" s="20" t="s">
        <v>305</v>
      </c>
      <c r="G298" s="105"/>
      <c r="H298" s="18">
        <v>43221</v>
      </c>
      <c r="I298" s="19" t="s">
        <v>2022</v>
      </c>
      <c r="J298" s="21">
        <v>172.5</v>
      </c>
      <c r="K298" t="s">
        <v>2030</v>
      </c>
    </row>
    <row r="299" spans="1:11" x14ac:dyDescent="0.3">
      <c r="A299" t="s">
        <v>1550</v>
      </c>
      <c r="B299" s="18">
        <v>43227</v>
      </c>
      <c r="C299" s="19" t="s">
        <v>1560</v>
      </c>
      <c r="D299" s="19">
        <v>1</v>
      </c>
      <c r="E299" s="20" t="s">
        <v>1561</v>
      </c>
      <c r="F299" s="20" t="s">
        <v>308</v>
      </c>
      <c r="G299" s="105"/>
      <c r="H299" s="18">
        <v>43221</v>
      </c>
      <c r="I299" s="19" t="s">
        <v>2023</v>
      </c>
      <c r="J299" s="21">
        <v>172.5</v>
      </c>
      <c r="K299" t="s">
        <v>2030</v>
      </c>
    </row>
    <row r="300" spans="1:11" x14ac:dyDescent="0.3">
      <c r="A300" t="s">
        <v>1550</v>
      </c>
      <c r="B300" s="18">
        <v>43227</v>
      </c>
      <c r="C300" s="19" t="s">
        <v>1560</v>
      </c>
      <c r="D300" s="19">
        <v>1</v>
      </c>
      <c r="E300" s="20" t="s">
        <v>1561</v>
      </c>
      <c r="F300" s="20" t="s">
        <v>310</v>
      </c>
      <c r="G300" s="105"/>
      <c r="H300" s="18">
        <v>43221</v>
      </c>
      <c r="I300" s="19" t="s">
        <v>2024</v>
      </c>
      <c r="J300" s="21">
        <v>172.5</v>
      </c>
      <c r="K300" t="s">
        <v>2030</v>
      </c>
    </row>
    <row r="301" spans="1:11" x14ac:dyDescent="0.3">
      <c r="A301" t="s">
        <v>1550</v>
      </c>
      <c r="B301" s="18">
        <v>43227</v>
      </c>
      <c r="C301" s="19" t="s">
        <v>1560</v>
      </c>
      <c r="D301" s="19">
        <v>1</v>
      </c>
      <c r="E301" s="20" t="s">
        <v>1561</v>
      </c>
      <c r="F301" s="20" t="s">
        <v>304</v>
      </c>
      <c r="G301" s="105"/>
      <c r="H301" s="18">
        <v>43221</v>
      </c>
      <c r="I301" s="19" t="s">
        <v>2025</v>
      </c>
      <c r="J301" s="21">
        <v>172.5</v>
      </c>
      <c r="K301" t="s">
        <v>2030</v>
      </c>
    </row>
    <row r="302" spans="1:11" x14ac:dyDescent="0.3">
      <c r="A302" t="s">
        <v>1550</v>
      </c>
      <c r="B302" s="18">
        <v>43227</v>
      </c>
      <c r="C302" s="19" t="s">
        <v>1560</v>
      </c>
      <c r="D302" s="19">
        <v>1</v>
      </c>
      <c r="E302" s="20" t="s">
        <v>1561</v>
      </c>
      <c r="F302" s="20" t="s">
        <v>296</v>
      </c>
      <c r="G302" s="105"/>
      <c r="H302" s="18">
        <v>43221</v>
      </c>
      <c r="I302" s="19" t="s">
        <v>2026</v>
      </c>
      <c r="J302" s="21">
        <v>172.5</v>
      </c>
      <c r="K302" t="s">
        <v>2030</v>
      </c>
    </row>
    <row r="303" spans="1:11" x14ac:dyDescent="0.3">
      <c r="A303" t="s">
        <v>1550</v>
      </c>
      <c r="B303" s="18">
        <v>43227</v>
      </c>
      <c r="C303" s="19" t="s">
        <v>1560</v>
      </c>
      <c r="D303" s="19">
        <v>1</v>
      </c>
      <c r="E303" s="20" t="s">
        <v>1561</v>
      </c>
      <c r="F303" s="20" t="s">
        <v>10</v>
      </c>
      <c r="G303" s="105"/>
      <c r="H303" s="18">
        <v>43221</v>
      </c>
      <c r="I303" s="19" t="s">
        <v>2027</v>
      </c>
      <c r="J303" s="21">
        <v>172.5</v>
      </c>
      <c r="K303" t="s">
        <v>2030</v>
      </c>
    </row>
    <row r="304" spans="1:11" x14ac:dyDescent="0.3">
      <c r="A304" t="s">
        <v>1550</v>
      </c>
      <c r="B304" s="18">
        <v>43227</v>
      </c>
      <c r="C304" s="19" t="s">
        <v>1560</v>
      </c>
      <c r="D304" s="19">
        <v>1</v>
      </c>
      <c r="E304" s="20" t="s">
        <v>1561</v>
      </c>
      <c r="F304" s="20" t="s">
        <v>144</v>
      </c>
      <c r="G304" s="105"/>
      <c r="H304" s="18">
        <v>43221</v>
      </c>
      <c r="I304" s="19" t="s">
        <v>2028</v>
      </c>
      <c r="J304" s="21">
        <v>172.5</v>
      </c>
      <c r="K304" t="s">
        <v>2030</v>
      </c>
    </row>
    <row r="305" spans="1:11" x14ac:dyDescent="0.3">
      <c r="A305" t="s">
        <v>1550</v>
      </c>
      <c r="B305" s="18">
        <v>43227</v>
      </c>
      <c r="C305" s="19" t="s">
        <v>1560</v>
      </c>
      <c r="D305" s="19">
        <v>1</v>
      </c>
      <c r="E305" s="20" t="s">
        <v>1564</v>
      </c>
      <c r="F305" s="20" t="s">
        <v>1358</v>
      </c>
      <c r="G305" s="105"/>
      <c r="H305" s="18">
        <v>43221</v>
      </c>
      <c r="I305" s="19" t="s">
        <v>1646</v>
      </c>
      <c r="J305" s="21">
        <v>172.5</v>
      </c>
      <c r="K305" t="s">
        <v>2030</v>
      </c>
    </row>
    <row r="306" spans="1:11" x14ac:dyDescent="0.3">
      <c r="A306" t="s">
        <v>1550</v>
      </c>
      <c r="B306" s="18">
        <v>43227</v>
      </c>
      <c r="C306" s="19" t="s">
        <v>1560</v>
      </c>
      <c r="D306" s="19">
        <v>1</v>
      </c>
      <c r="E306" s="20" t="s">
        <v>1564</v>
      </c>
      <c r="F306" s="20" t="s">
        <v>1353</v>
      </c>
      <c r="G306" s="105"/>
      <c r="H306" s="18">
        <v>43221</v>
      </c>
      <c r="I306" s="19" t="s">
        <v>1647</v>
      </c>
      <c r="J306" s="21">
        <v>225</v>
      </c>
      <c r="K306" t="s">
        <v>2030</v>
      </c>
    </row>
    <row r="307" spans="1:11" x14ac:dyDescent="0.3">
      <c r="A307" t="s">
        <v>1550</v>
      </c>
      <c r="B307" s="18">
        <v>43227</v>
      </c>
      <c r="C307" s="19" t="s">
        <v>1560</v>
      </c>
      <c r="D307" s="19">
        <v>1</v>
      </c>
      <c r="E307" s="20" t="s">
        <v>1564</v>
      </c>
      <c r="F307" s="20" t="s">
        <v>1351</v>
      </c>
      <c r="G307" s="105"/>
      <c r="H307" s="18">
        <v>43221</v>
      </c>
      <c r="I307" s="19" t="s">
        <v>1648</v>
      </c>
      <c r="J307" s="21">
        <v>225</v>
      </c>
      <c r="K307" t="s">
        <v>2030</v>
      </c>
    </row>
    <row r="308" spans="1:11" x14ac:dyDescent="0.3">
      <c r="A308" t="s">
        <v>1550</v>
      </c>
      <c r="B308" s="18">
        <v>43227</v>
      </c>
      <c r="C308" s="19" t="s">
        <v>1560</v>
      </c>
      <c r="D308" s="19">
        <v>1</v>
      </c>
      <c r="E308" s="20" t="s">
        <v>1564</v>
      </c>
      <c r="F308" s="20" t="s">
        <v>1349</v>
      </c>
      <c r="G308" s="105"/>
      <c r="H308" s="18">
        <v>43221</v>
      </c>
      <c r="I308" s="19" t="s">
        <v>1649</v>
      </c>
      <c r="J308" s="21">
        <v>225</v>
      </c>
      <c r="K308" t="s">
        <v>2030</v>
      </c>
    </row>
    <row r="309" spans="1:11" x14ac:dyDescent="0.3">
      <c r="A309" t="s">
        <v>1550</v>
      </c>
      <c r="B309" s="18">
        <v>43227</v>
      </c>
      <c r="C309" s="19" t="s">
        <v>1560</v>
      </c>
      <c r="D309" s="19">
        <v>1</v>
      </c>
      <c r="E309" s="20" t="s">
        <v>1564</v>
      </c>
      <c r="F309" s="20" t="s">
        <v>1347</v>
      </c>
      <c r="G309" s="105"/>
      <c r="H309" s="18">
        <v>43221</v>
      </c>
      <c r="I309" s="19" t="s">
        <v>1650</v>
      </c>
      <c r="J309" s="21">
        <v>172.5</v>
      </c>
      <c r="K309" t="s">
        <v>2030</v>
      </c>
    </row>
    <row r="310" spans="1:11" x14ac:dyDescent="0.3">
      <c r="A310" t="s">
        <v>1550</v>
      </c>
      <c r="B310" s="18">
        <v>43227</v>
      </c>
      <c r="C310" s="19" t="s">
        <v>1560</v>
      </c>
      <c r="D310" s="19">
        <v>1</v>
      </c>
      <c r="E310" s="20" t="s">
        <v>1564</v>
      </c>
      <c r="F310" s="20" t="s">
        <v>1356</v>
      </c>
      <c r="G310" s="105"/>
      <c r="H310" s="18">
        <v>43221</v>
      </c>
      <c r="I310" s="19" t="s">
        <v>1651</v>
      </c>
      <c r="J310" s="21">
        <v>172.5</v>
      </c>
      <c r="K310" t="s">
        <v>2030</v>
      </c>
    </row>
    <row r="311" spans="1:11" x14ac:dyDescent="0.3">
      <c r="A311" t="s">
        <v>1550</v>
      </c>
      <c r="B311" s="18">
        <v>43227</v>
      </c>
      <c r="C311" s="19" t="s">
        <v>1560</v>
      </c>
      <c r="D311" s="19">
        <v>1</v>
      </c>
      <c r="E311" s="20" t="s">
        <v>1564</v>
      </c>
      <c r="F311" s="20" t="s">
        <v>1354</v>
      </c>
      <c r="G311" s="105"/>
      <c r="H311" s="18">
        <v>43221</v>
      </c>
      <c r="I311" s="19" t="s">
        <v>1652</v>
      </c>
      <c r="J311" s="21">
        <v>225</v>
      </c>
      <c r="K311" t="s">
        <v>2030</v>
      </c>
    </row>
    <row r="312" spans="1:11" x14ac:dyDescent="0.3">
      <c r="A312" t="s">
        <v>1550</v>
      </c>
      <c r="B312" s="18">
        <v>43227</v>
      </c>
      <c r="C312" s="19" t="s">
        <v>1560</v>
      </c>
      <c r="D312" s="19">
        <v>1</v>
      </c>
      <c r="E312" s="20" t="s">
        <v>1564</v>
      </c>
      <c r="F312" s="20" t="s">
        <v>1361</v>
      </c>
      <c r="G312" s="105"/>
      <c r="H312" s="18">
        <v>43221</v>
      </c>
      <c r="I312" s="19" t="s">
        <v>1653</v>
      </c>
      <c r="J312" s="21">
        <v>172.5</v>
      </c>
      <c r="K312" t="s">
        <v>2030</v>
      </c>
    </row>
    <row r="313" spans="1:11" x14ac:dyDescent="0.3">
      <c r="A313" t="s">
        <v>1550</v>
      </c>
      <c r="B313" s="18">
        <v>43227</v>
      </c>
      <c r="C313" s="19" t="s">
        <v>1560</v>
      </c>
      <c r="D313" s="19">
        <v>1</v>
      </c>
      <c r="E313" s="20" t="s">
        <v>1564</v>
      </c>
      <c r="F313" s="20" t="s">
        <v>1363</v>
      </c>
      <c r="G313" s="105"/>
      <c r="H313" s="18">
        <v>43221</v>
      </c>
      <c r="I313" s="19" t="s">
        <v>1655</v>
      </c>
      <c r="J313" s="21">
        <v>300</v>
      </c>
      <c r="K313" t="s">
        <v>2030</v>
      </c>
    </row>
    <row r="314" spans="1:11" x14ac:dyDescent="0.3">
      <c r="A314" t="s">
        <v>1550</v>
      </c>
      <c r="B314" s="18">
        <v>43227</v>
      </c>
      <c r="C314" s="19" t="s">
        <v>1560</v>
      </c>
      <c r="D314" s="19">
        <v>1</v>
      </c>
      <c r="E314" s="20" t="s">
        <v>1564</v>
      </c>
      <c r="F314" s="20" t="s">
        <v>1352</v>
      </c>
      <c r="G314" s="105"/>
      <c r="H314" s="18">
        <v>43221</v>
      </c>
      <c r="I314" s="19" t="s">
        <v>1657</v>
      </c>
      <c r="J314" s="21">
        <v>172.5</v>
      </c>
      <c r="K314" t="s">
        <v>2030</v>
      </c>
    </row>
    <row r="315" spans="1:11" x14ac:dyDescent="0.3">
      <c r="A315" t="s">
        <v>1550</v>
      </c>
      <c r="B315" s="18">
        <v>43227</v>
      </c>
      <c r="C315" s="19" t="s">
        <v>1560</v>
      </c>
      <c r="D315" s="19">
        <v>1</v>
      </c>
      <c r="E315" s="20" t="s">
        <v>1564</v>
      </c>
      <c r="F315" s="20" t="s">
        <v>1357</v>
      </c>
      <c r="G315" s="105"/>
      <c r="H315" s="18">
        <v>43221</v>
      </c>
      <c r="I315" s="19" t="s">
        <v>1658</v>
      </c>
      <c r="J315" s="21">
        <v>172.5</v>
      </c>
      <c r="K315" t="s">
        <v>2030</v>
      </c>
    </row>
    <row r="316" spans="1:11" x14ac:dyDescent="0.3">
      <c r="A316" t="s">
        <v>1550</v>
      </c>
      <c r="B316" s="18">
        <v>43227</v>
      </c>
      <c r="C316" s="19" t="s">
        <v>1560</v>
      </c>
      <c r="D316" s="19">
        <v>1</v>
      </c>
      <c r="E316" s="20" t="s">
        <v>1564</v>
      </c>
      <c r="F316" s="20" t="s">
        <v>1355</v>
      </c>
      <c r="G316" s="105"/>
      <c r="H316" s="18">
        <v>43221</v>
      </c>
      <c r="I316" s="19" t="s">
        <v>1659</v>
      </c>
      <c r="J316" s="21">
        <v>225</v>
      </c>
      <c r="K316" t="s">
        <v>2030</v>
      </c>
    </row>
    <row r="317" spans="1:11" x14ac:dyDescent="0.3">
      <c r="A317" t="s">
        <v>1550</v>
      </c>
      <c r="B317" s="18">
        <v>43227</v>
      </c>
      <c r="C317" s="19" t="s">
        <v>1560</v>
      </c>
      <c r="D317" s="19">
        <v>1</v>
      </c>
      <c r="E317" s="20" t="s">
        <v>1564</v>
      </c>
      <c r="F317" s="20" t="s">
        <v>1348</v>
      </c>
      <c r="G317" s="105"/>
      <c r="H317" s="18">
        <v>43221</v>
      </c>
      <c r="I317" s="19" t="s">
        <v>1660</v>
      </c>
      <c r="J317" s="21">
        <v>172.5</v>
      </c>
      <c r="K317" t="s">
        <v>2030</v>
      </c>
    </row>
    <row r="318" spans="1:11" x14ac:dyDescent="0.3">
      <c r="A318" t="s">
        <v>1550</v>
      </c>
      <c r="B318" s="18">
        <v>43227</v>
      </c>
      <c r="C318" s="19" t="s">
        <v>1560</v>
      </c>
      <c r="D318" s="19">
        <v>1</v>
      </c>
      <c r="E318" s="20" t="s">
        <v>1564</v>
      </c>
      <c r="F318" s="20" t="s">
        <v>1350</v>
      </c>
      <c r="G318" s="105"/>
      <c r="H318" s="18">
        <v>43221</v>
      </c>
      <c r="I318" s="19" t="s">
        <v>1661</v>
      </c>
      <c r="J318" s="21">
        <v>225</v>
      </c>
      <c r="K318" t="s">
        <v>2030</v>
      </c>
    </row>
    <row r="319" spans="1:11" x14ac:dyDescent="0.3">
      <c r="A319" t="s">
        <v>1550</v>
      </c>
      <c r="B319" s="18">
        <v>43227</v>
      </c>
      <c r="C319" s="19" t="s">
        <v>1560</v>
      </c>
      <c r="D319" s="19">
        <v>1</v>
      </c>
      <c r="E319" s="20" t="s">
        <v>1564</v>
      </c>
      <c r="F319" s="20" t="s">
        <v>1345</v>
      </c>
      <c r="G319" s="105"/>
      <c r="H319" s="18">
        <v>43221</v>
      </c>
      <c r="I319" s="19" t="s">
        <v>1663</v>
      </c>
      <c r="J319" s="21">
        <v>225</v>
      </c>
      <c r="K319" t="s">
        <v>2030</v>
      </c>
    </row>
    <row r="320" spans="1:11" x14ac:dyDescent="0.3">
      <c r="A320" t="s">
        <v>1550</v>
      </c>
      <c r="B320" s="18">
        <v>43227</v>
      </c>
      <c r="C320" s="19" t="s">
        <v>1560</v>
      </c>
      <c r="D320" s="19">
        <v>1</v>
      </c>
      <c r="E320" s="20" t="s">
        <v>1564</v>
      </c>
      <c r="F320" s="20" t="s">
        <v>1343</v>
      </c>
      <c r="G320" s="105"/>
      <c r="H320" s="18">
        <v>43221</v>
      </c>
      <c r="I320" s="19" t="s">
        <v>1664</v>
      </c>
      <c r="J320" s="21">
        <v>172.5</v>
      </c>
      <c r="K320" t="s">
        <v>2030</v>
      </c>
    </row>
    <row r="321" spans="1:11" x14ac:dyDescent="0.3">
      <c r="A321" t="s">
        <v>1550</v>
      </c>
      <c r="B321" s="18">
        <v>43227</v>
      </c>
      <c r="C321" s="19" t="s">
        <v>1560</v>
      </c>
      <c r="D321" s="19">
        <v>1</v>
      </c>
      <c r="E321" s="20" t="s">
        <v>1564</v>
      </c>
      <c r="F321" s="20" t="s">
        <v>1344</v>
      </c>
      <c r="G321" s="105"/>
      <c r="H321" s="18">
        <v>43221</v>
      </c>
      <c r="I321" s="19" t="s">
        <v>1666</v>
      </c>
      <c r="J321" s="21">
        <v>225</v>
      </c>
      <c r="K321" t="s">
        <v>2030</v>
      </c>
    </row>
    <row r="322" spans="1:11" x14ac:dyDescent="0.3">
      <c r="A322" t="s">
        <v>1550</v>
      </c>
      <c r="B322" s="18">
        <v>43227</v>
      </c>
      <c r="C322" s="19" t="s">
        <v>1560</v>
      </c>
      <c r="D322" s="19">
        <v>1</v>
      </c>
      <c r="E322" s="20" t="s">
        <v>1564</v>
      </c>
      <c r="F322" s="20" t="s">
        <v>1346</v>
      </c>
      <c r="G322" s="105"/>
      <c r="H322" s="18">
        <v>43221</v>
      </c>
      <c r="I322" s="19" t="s">
        <v>1668</v>
      </c>
      <c r="J322" s="21">
        <v>225</v>
      </c>
      <c r="K322" t="s">
        <v>2030</v>
      </c>
    </row>
    <row r="323" spans="1:11" x14ac:dyDescent="0.3">
      <c r="A323" t="s">
        <v>1550</v>
      </c>
      <c r="B323" s="18">
        <v>43227</v>
      </c>
      <c r="C323" s="19" t="s">
        <v>1560</v>
      </c>
      <c r="D323" s="19">
        <v>1</v>
      </c>
      <c r="E323" s="20" t="s">
        <v>1564</v>
      </c>
      <c r="F323" s="20" t="s">
        <v>1364</v>
      </c>
      <c r="G323" s="105"/>
      <c r="H323" s="18">
        <v>43221</v>
      </c>
      <c r="I323" s="19" t="s">
        <v>1669</v>
      </c>
      <c r="J323" s="21">
        <v>172.5</v>
      </c>
      <c r="K323" t="s">
        <v>2030</v>
      </c>
    </row>
    <row r="324" spans="1:11" x14ac:dyDescent="0.3">
      <c r="A324" t="s">
        <v>1550</v>
      </c>
      <c r="B324" s="18">
        <v>43227</v>
      </c>
      <c r="C324" s="19" t="s">
        <v>1560</v>
      </c>
      <c r="D324" s="19">
        <v>1</v>
      </c>
      <c r="E324" s="20" t="s">
        <v>1564</v>
      </c>
      <c r="F324" s="20" t="s">
        <v>1360</v>
      </c>
      <c r="G324" s="105"/>
      <c r="H324" s="18">
        <v>43221</v>
      </c>
      <c r="I324" s="19" t="s">
        <v>1690</v>
      </c>
      <c r="J324" s="21">
        <v>172.5</v>
      </c>
      <c r="K324" t="s">
        <v>2030</v>
      </c>
    </row>
    <row r="325" spans="1:11" x14ac:dyDescent="0.3">
      <c r="A325" t="s">
        <v>1550</v>
      </c>
      <c r="B325" s="18">
        <v>43227</v>
      </c>
      <c r="C325" s="19" t="s">
        <v>1560</v>
      </c>
      <c r="D325" s="19">
        <v>1</v>
      </c>
      <c r="E325" s="20" t="s">
        <v>1564</v>
      </c>
      <c r="F325" s="20" t="s">
        <v>1359</v>
      </c>
      <c r="G325" s="105"/>
      <c r="H325" s="18">
        <v>43221</v>
      </c>
      <c r="I325" s="19" t="s">
        <v>1691</v>
      </c>
      <c r="J325" s="21">
        <v>172.5</v>
      </c>
      <c r="K325" t="s">
        <v>2030</v>
      </c>
    </row>
    <row r="326" spans="1:11" x14ac:dyDescent="0.3">
      <c r="A326" t="s">
        <v>1550</v>
      </c>
      <c r="B326" s="18">
        <v>43227</v>
      </c>
      <c r="C326" s="19" t="s">
        <v>1560</v>
      </c>
      <c r="D326" s="19">
        <v>1</v>
      </c>
      <c r="E326" s="20" t="s">
        <v>1564</v>
      </c>
      <c r="F326" s="20" t="s">
        <v>1362</v>
      </c>
      <c r="G326" s="105"/>
      <c r="H326" s="18">
        <v>43221</v>
      </c>
      <c r="I326" s="19" t="s">
        <v>1692</v>
      </c>
      <c r="J326" s="21">
        <v>172.5</v>
      </c>
      <c r="K326" t="s">
        <v>2030</v>
      </c>
    </row>
    <row r="327" spans="1:11" x14ac:dyDescent="0.3">
      <c r="A327" t="s">
        <v>1550</v>
      </c>
      <c r="B327" s="18">
        <v>43227</v>
      </c>
      <c r="C327" s="19" t="s">
        <v>1560</v>
      </c>
      <c r="D327" s="19">
        <v>1</v>
      </c>
      <c r="E327" s="20" t="s">
        <v>1565</v>
      </c>
      <c r="F327" s="20" t="s">
        <v>6</v>
      </c>
      <c r="G327" s="105">
        <v>4506950327</v>
      </c>
      <c r="H327" s="18">
        <v>43191</v>
      </c>
      <c r="I327" s="19" t="s">
        <v>1903</v>
      </c>
      <c r="J327" s="21">
        <v>172.5</v>
      </c>
      <c r="K327" t="s">
        <v>2030</v>
      </c>
    </row>
    <row r="328" spans="1:11" x14ac:dyDescent="0.3">
      <c r="A328" t="s">
        <v>1550</v>
      </c>
      <c r="B328" s="18">
        <v>43227</v>
      </c>
      <c r="C328" s="19" t="s">
        <v>1560</v>
      </c>
      <c r="D328" s="19">
        <v>1</v>
      </c>
      <c r="E328" s="20" t="s">
        <v>1565</v>
      </c>
      <c r="F328" s="20" t="s">
        <v>8</v>
      </c>
      <c r="G328" s="105">
        <v>4506936039</v>
      </c>
      <c r="H328" s="18">
        <v>43191</v>
      </c>
      <c r="I328" s="19" t="s">
        <v>1904</v>
      </c>
      <c r="J328" s="21">
        <v>172.5</v>
      </c>
      <c r="K328" t="s">
        <v>2030</v>
      </c>
    </row>
    <row r="329" spans="1:11" x14ac:dyDescent="0.3">
      <c r="A329" t="s">
        <v>1550</v>
      </c>
      <c r="B329" s="18">
        <v>43227</v>
      </c>
      <c r="C329" s="19" t="s">
        <v>1560</v>
      </c>
      <c r="D329" s="19">
        <v>1</v>
      </c>
      <c r="E329" s="20" t="s">
        <v>1565</v>
      </c>
      <c r="F329" s="20" t="s">
        <v>7</v>
      </c>
      <c r="G329" s="105">
        <v>4506950327</v>
      </c>
      <c r="H329" s="18">
        <v>43191</v>
      </c>
      <c r="I329" s="19" t="s">
        <v>1905</v>
      </c>
      <c r="J329" s="21">
        <v>172.5</v>
      </c>
      <c r="K329" t="s">
        <v>2030</v>
      </c>
    </row>
    <row r="330" spans="1:11" x14ac:dyDescent="0.3">
      <c r="A330" t="s">
        <v>1550</v>
      </c>
      <c r="B330" s="18">
        <v>43227</v>
      </c>
      <c r="C330" s="19" t="s">
        <v>1560</v>
      </c>
      <c r="D330" s="19">
        <v>1</v>
      </c>
      <c r="E330" s="20" t="s">
        <v>1565</v>
      </c>
      <c r="F330" s="20" t="s">
        <v>11</v>
      </c>
      <c r="G330" s="105">
        <v>4506936039</v>
      </c>
      <c r="H330" s="18">
        <v>43191</v>
      </c>
      <c r="I330" s="19" t="s">
        <v>1906</v>
      </c>
      <c r="J330" s="21">
        <v>172.5</v>
      </c>
      <c r="K330" t="s">
        <v>2030</v>
      </c>
    </row>
    <row r="331" spans="1:11" x14ac:dyDescent="0.3">
      <c r="A331" t="s">
        <v>1550</v>
      </c>
      <c r="B331" s="18">
        <v>43227</v>
      </c>
      <c r="C331" s="19" t="s">
        <v>1560</v>
      </c>
      <c r="D331" s="19">
        <v>1</v>
      </c>
      <c r="E331" s="20" t="s">
        <v>1565</v>
      </c>
      <c r="F331" s="20" t="s">
        <v>9</v>
      </c>
      <c r="G331" s="105">
        <v>4506958429</v>
      </c>
      <c r="H331" s="18">
        <v>43191</v>
      </c>
      <c r="I331" s="19" t="s">
        <v>1907</v>
      </c>
      <c r="J331" s="21">
        <v>172.5</v>
      </c>
      <c r="K331" t="s">
        <v>2030</v>
      </c>
    </row>
    <row r="332" spans="1:11" x14ac:dyDescent="0.3">
      <c r="A332" t="s">
        <v>1550</v>
      </c>
      <c r="B332" s="18">
        <v>43227</v>
      </c>
      <c r="C332" s="19" t="s">
        <v>1560</v>
      </c>
      <c r="D332" s="19">
        <v>1</v>
      </c>
      <c r="E332" s="20" t="s">
        <v>1565</v>
      </c>
      <c r="F332" s="20" t="s">
        <v>10</v>
      </c>
      <c r="G332" s="105">
        <v>4506958429</v>
      </c>
      <c r="H332" s="18">
        <v>43191</v>
      </c>
      <c r="I332" s="19" t="s">
        <v>1908</v>
      </c>
      <c r="J332" s="21">
        <v>172.5</v>
      </c>
      <c r="K332" t="s">
        <v>2030</v>
      </c>
    </row>
    <row r="333" spans="1:11" x14ac:dyDescent="0.3">
      <c r="A333" t="s">
        <v>1550</v>
      </c>
      <c r="B333" s="18">
        <v>43227</v>
      </c>
      <c r="C333" s="19" t="s">
        <v>1559</v>
      </c>
      <c r="D333" s="19">
        <v>2000</v>
      </c>
      <c r="E333" s="20" t="s">
        <v>1563</v>
      </c>
      <c r="F333" s="20" t="s">
        <v>61</v>
      </c>
      <c r="G333" s="105"/>
      <c r="H333" s="18">
        <v>43221</v>
      </c>
      <c r="I333" s="19" t="s">
        <v>1596</v>
      </c>
      <c r="J333" s="21">
        <v>619.44000000000005</v>
      </c>
      <c r="K333" t="s">
        <v>2030</v>
      </c>
    </row>
    <row r="334" spans="1:11" x14ac:dyDescent="0.3">
      <c r="A334" t="s">
        <v>1550</v>
      </c>
      <c r="B334" s="18">
        <v>43227</v>
      </c>
      <c r="C334" s="19" t="s">
        <v>1559</v>
      </c>
      <c r="D334" s="19">
        <v>2000</v>
      </c>
      <c r="E334" s="20" t="s">
        <v>1563</v>
      </c>
      <c r="F334" s="20" t="s">
        <v>63</v>
      </c>
      <c r="G334" s="105"/>
      <c r="H334" s="18">
        <v>43221</v>
      </c>
      <c r="I334" s="19" t="s">
        <v>1597</v>
      </c>
      <c r="J334" s="21">
        <v>2064.8000000000002</v>
      </c>
      <c r="K334" t="s">
        <v>2030</v>
      </c>
    </row>
    <row r="335" spans="1:11" x14ac:dyDescent="0.3">
      <c r="A335" t="s">
        <v>1550</v>
      </c>
      <c r="B335" s="18">
        <v>43227</v>
      </c>
      <c r="C335" s="19" t="s">
        <v>1559</v>
      </c>
      <c r="D335" s="19">
        <v>2000</v>
      </c>
      <c r="E335" s="20" t="s">
        <v>1563</v>
      </c>
      <c r="F335" s="20" t="s">
        <v>70</v>
      </c>
      <c r="G335" s="105"/>
      <c r="H335" s="18">
        <v>43221</v>
      </c>
      <c r="I335" s="19" t="s">
        <v>1598</v>
      </c>
      <c r="J335" s="21">
        <v>2064.8000000000002</v>
      </c>
      <c r="K335" t="s">
        <v>2030</v>
      </c>
    </row>
    <row r="336" spans="1:11" x14ac:dyDescent="0.3">
      <c r="A336" t="s">
        <v>1550</v>
      </c>
      <c r="B336" s="18">
        <v>43227</v>
      </c>
      <c r="C336" s="19" t="s">
        <v>1559</v>
      </c>
      <c r="D336" s="19">
        <v>2000</v>
      </c>
      <c r="E336" s="20" t="s">
        <v>1563</v>
      </c>
      <c r="F336" s="20" t="s">
        <v>65</v>
      </c>
      <c r="G336" s="105"/>
      <c r="H336" s="18">
        <v>43221</v>
      </c>
      <c r="I336" s="19" t="s">
        <v>1599</v>
      </c>
      <c r="J336" s="21">
        <v>2064.8000000000002</v>
      </c>
      <c r="K336" t="s">
        <v>2030</v>
      </c>
    </row>
    <row r="337" spans="1:11" x14ac:dyDescent="0.3">
      <c r="A337" t="s">
        <v>1550</v>
      </c>
      <c r="B337" s="18">
        <v>43227</v>
      </c>
      <c r="C337" s="19" t="s">
        <v>1559</v>
      </c>
      <c r="D337" s="19">
        <v>2000</v>
      </c>
      <c r="E337" s="20" t="s">
        <v>1563</v>
      </c>
      <c r="F337" s="20" t="s">
        <v>62</v>
      </c>
      <c r="G337" s="105"/>
      <c r="H337" s="18">
        <v>43221</v>
      </c>
      <c r="I337" s="19" t="s">
        <v>1600</v>
      </c>
      <c r="J337" s="21">
        <v>412.96</v>
      </c>
      <c r="K337" t="s">
        <v>2030</v>
      </c>
    </row>
    <row r="338" spans="1:11" x14ac:dyDescent="0.3">
      <c r="A338" t="s">
        <v>1550</v>
      </c>
      <c r="B338" s="18">
        <v>43227</v>
      </c>
      <c r="C338" s="19" t="s">
        <v>1559</v>
      </c>
      <c r="D338" s="19">
        <v>2000</v>
      </c>
      <c r="E338" s="20" t="s">
        <v>1563</v>
      </c>
      <c r="F338" s="20" t="s">
        <v>68</v>
      </c>
      <c r="G338" s="105"/>
      <c r="H338" s="18">
        <v>43221</v>
      </c>
      <c r="I338" s="19" t="s">
        <v>1601</v>
      </c>
      <c r="J338" s="21">
        <v>206.48</v>
      </c>
      <c r="K338" t="s">
        <v>2030</v>
      </c>
    </row>
    <row r="339" spans="1:11" x14ac:dyDescent="0.3">
      <c r="A339" t="s">
        <v>1550</v>
      </c>
      <c r="B339" s="18">
        <v>43227</v>
      </c>
      <c r="C339" s="19" t="s">
        <v>1559</v>
      </c>
      <c r="D339" s="19">
        <v>2000</v>
      </c>
      <c r="E339" s="20" t="s">
        <v>1563</v>
      </c>
      <c r="F339" s="20" t="s">
        <v>64</v>
      </c>
      <c r="G339" s="105"/>
      <c r="H339" s="18">
        <v>43221</v>
      </c>
      <c r="I339" s="19" t="s">
        <v>1602</v>
      </c>
      <c r="J339" s="21">
        <v>2890.71</v>
      </c>
      <c r="K339" t="s">
        <v>2030</v>
      </c>
    </row>
    <row r="340" spans="1:11" x14ac:dyDescent="0.3">
      <c r="A340" t="s">
        <v>1550</v>
      </c>
      <c r="B340" s="18">
        <v>43227</v>
      </c>
      <c r="C340" s="19" t="s">
        <v>1559</v>
      </c>
      <c r="D340" s="19">
        <v>2000</v>
      </c>
      <c r="E340" s="20" t="s">
        <v>1563</v>
      </c>
      <c r="F340" s="20" t="s">
        <v>66</v>
      </c>
      <c r="G340" s="105"/>
      <c r="H340" s="18">
        <v>43221</v>
      </c>
      <c r="I340" s="19" t="s">
        <v>1603</v>
      </c>
      <c r="J340" s="21">
        <v>2271.2800000000002</v>
      </c>
      <c r="K340" t="s">
        <v>2030</v>
      </c>
    </row>
    <row r="341" spans="1:11" x14ac:dyDescent="0.3">
      <c r="A341" t="s">
        <v>1550</v>
      </c>
      <c r="B341" s="18">
        <v>43227</v>
      </c>
      <c r="C341" s="19" t="s">
        <v>1559</v>
      </c>
      <c r="D341" s="19">
        <v>2000</v>
      </c>
      <c r="E341" s="20" t="s">
        <v>1563</v>
      </c>
      <c r="F341" s="20" t="s">
        <v>67</v>
      </c>
      <c r="G341" s="105"/>
      <c r="H341" s="18">
        <v>43221</v>
      </c>
      <c r="I341" s="19" t="s">
        <v>1604</v>
      </c>
      <c r="J341" s="21">
        <v>1032.4000000000001</v>
      </c>
      <c r="K341" t="s">
        <v>2030</v>
      </c>
    </row>
    <row r="342" spans="1:11" x14ac:dyDescent="0.3">
      <c r="A342" t="s">
        <v>1550</v>
      </c>
      <c r="B342" s="18">
        <v>43227</v>
      </c>
      <c r="C342" s="19" t="s">
        <v>1559</v>
      </c>
      <c r="D342" s="19">
        <v>2000</v>
      </c>
      <c r="E342" s="20" t="s">
        <v>1563</v>
      </c>
      <c r="F342" s="20" t="s">
        <v>69</v>
      </c>
      <c r="G342" s="105"/>
      <c r="H342" s="18">
        <v>43221</v>
      </c>
      <c r="I342" s="19" t="s">
        <v>1605</v>
      </c>
      <c r="J342" s="21">
        <v>619.44000000000005</v>
      </c>
      <c r="K342" t="s">
        <v>2030</v>
      </c>
    </row>
    <row r="343" spans="1:11" x14ac:dyDescent="0.3">
      <c r="A343" t="s">
        <v>1550</v>
      </c>
      <c r="B343" s="18">
        <v>43227</v>
      </c>
      <c r="C343" s="19" t="s">
        <v>1560</v>
      </c>
      <c r="D343" s="19">
        <v>1</v>
      </c>
      <c r="E343" s="20" t="s">
        <v>1563</v>
      </c>
      <c r="F343" s="20" t="s">
        <v>7</v>
      </c>
      <c r="G343" s="105"/>
      <c r="H343" s="18">
        <v>43221</v>
      </c>
      <c r="I343" s="19" t="s">
        <v>1742</v>
      </c>
      <c r="J343" s="21">
        <v>206.48</v>
      </c>
      <c r="K343" t="s">
        <v>2030</v>
      </c>
    </row>
    <row r="344" spans="1:11" x14ac:dyDescent="0.3">
      <c r="A344" t="s">
        <v>1550</v>
      </c>
      <c r="B344" s="18">
        <v>43227</v>
      </c>
      <c r="C344" s="19" t="s">
        <v>1560</v>
      </c>
      <c r="D344" s="19">
        <v>1</v>
      </c>
      <c r="E344" s="20" t="s">
        <v>1563</v>
      </c>
      <c r="F344" s="20" t="s">
        <v>295</v>
      </c>
      <c r="G344" s="105"/>
      <c r="H344" s="18">
        <v>43221</v>
      </c>
      <c r="I344" s="19" t="s">
        <v>1743</v>
      </c>
      <c r="J344" s="21">
        <v>1238.8800000000001</v>
      </c>
      <c r="K344" t="s">
        <v>2030</v>
      </c>
    </row>
    <row r="345" spans="1:11" x14ac:dyDescent="0.3">
      <c r="A345" t="s">
        <v>1550</v>
      </c>
      <c r="B345" s="18">
        <v>43227</v>
      </c>
      <c r="C345" s="19" t="s">
        <v>1560</v>
      </c>
      <c r="D345" s="19">
        <v>1</v>
      </c>
      <c r="E345" s="20" t="s">
        <v>1563</v>
      </c>
      <c r="F345" s="20" t="s">
        <v>12</v>
      </c>
      <c r="G345" s="105"/>
      <c r="H345" s="18">
        <v>43221</v>
      </c>
      <c r="I345" s="19" t="s">
        <v>1744</v>
      </c>
      <c r="J345" s="21">
        <v>206.48</v>
      </c>
      <c r="K345" t="s">
        <v>2030</v>
      </c>
    </row>
    <row r="346" spans="1:11" x14ac:dyDescent="0.3">
      <c r="A346" t="s">
        <v>1550</v>
      </c>
      <c r="B346" s="18">
        <v>43227</v>
      </c>
      <c r="C346" s="19" t="s">
        <v>1560</v>
      </c>
      <c r="D346" s="19">
        <v>1</v>
      </c>
      <c r="E346" s="20" t="s">
        <v>1563</v>
      </c>
      <c r="F346" s="20" t="s">
        <v>11</v>
      </c>
      <c r="G346" s="105"/>
      <c r="H346" s="18">
        <v>43221</v>
      </c>
      <c r="I346" s="19" t="s">
        <v>1745</v>
      </c>
      <c r="J346" s="21">
        <v>412.96</v>
      </c>
      <c r="K346" t="s">
        <v>2030</v>
      </c>
    </row>
    <row r="347" spans="1:11" x14ac:dyDescent="0.3">
      <c r="A347" t="s">
        <v>1550</v>
      </c>
      <c r="B347" s="18">
        <v>43227</v>
      </c>
      <c r="C347" s="19" t="s">
        <v>1560</v>
      </c>
      <c r="D347" s="19">
        <v>1</v>
      </c>
      <c r="E347" s="20" t="s">
        <v>1563</v>
      </c>
      <c r="F347" s="20" t="s">
        <v>49</v>
      </c>
      <c r="G347" s="105"/>
      <c r="H347" s="18">
        <v>43221</v>
      </c>
      <c r="I347" s="19" t="s">
        <v>1746</v>
      </c>
      <c r="J347" s="21">
        <v>206.48</v>
      </c>
      <c r="K347" t="s">
        <v>2030</v>
      </c>
    </row>
    <row r="348" spans="1:11" x14ac:dyDescent="0.3">
      <c r="A348" t="s">
        <v>1550</v>
      </c>
      <c r="B348" s="18">
        <v>43227</v>
      </c>
      <c r="C348" s="19" t="s">
        <v>1560</v>
      </c>
      <c r="D348" s="19">
        <v>1</v>
      </c>
      <c r="E348" s="20" t="s">
        <v>1563</v>
      </c>
      <c r="F348" s="20" t="s">
        <v>47</v>
      </c>
      <c r="G348" s="105"/>
      <c r="H348" s="18">
        <v>43221</v>
      </c>
      <c r="I348" s="19" t="s">
        <v>1747</v>
      </c>
      <c r="J348" s="21">
        <v>206.48</v>
      </c>
      <c r="K348" t="s">
        <v>2030</v>
      </c>
    </row>
    <row r="349" spans="1:11" x14ac:dyDescent="0.3">
      <c r="A349" t="s">
        <v>1550</v>
      </c>
      <c r="B349" s="18">
        <v>43227</v>
      </c>
      <c r="C349" s="19" t="s">
        <v>1560</v>
      </c>
      <c r="D349" s="19">
        <v>1</v>
      </c>
      <c r="E349" s="20" t="s">
        <v>1563</v>
      </c>
      <c r="F349" s="20" t="s">
        <v>43</v>
      </c>
      <c r="G349" s="105"/>
      <c r="H349" s="18">
        <v>43221</v>
      </c>
      <c r="I349" s="19" t="s">
        <v>1748</v>
      </c>
      <c r="J349" s="21">
        <v>206.48</v>
      </c>
      <c r="K349" t="s">
        <v>2030</v>
      </c>
    </row>
    <row r="350" spans="1:11" x14ac:dyDescent="0.3">
      <c r="A350" t="s">
        <v>1550</v>
      </c>
      <c r="B350" s="18">
        <v>43227</v>
      </c>
      <c r="C350" s="19" t="s">
        <v>1560</v>
      </c>
      <c r="D350" s="19">
        <v>1</v>
      </c>
      <c r="E350" s="20" t="s">
        <v>1563</v>
      </c>
      <c r="F350" s="20" t="s">
        <v>46</v>
      </c>
      <c r="G350" s="105"/>
      <c r="H350" s="18">
        <v>43221</v>
      </c>
      <c r="I350" s="19" t="s">
        <v>1749</v>
      </c>
      <c r="J350" s="21">
        <v>412.96</v>
      </c>
      <c r="K350" t="s">
        <v>2030</v>
      </c>
    </row>
    <row r="351" spans="1:11" x14ac:dyDescent="0.3">
      <c r="A351" t="s">
        <v>1550</v>
      </c>
      <c r="B351" s="18">
        <v>43227</v>
      </c>
      <c r="C351" s="19" t="s">
        <v>1560</v>
      </c>
      <c r="D351" s="19">
        <v>1</v>
      </c>
      <c r="E351" s="20" t="s">
        <v>1563</v>
      </c>
      <c r="F351" s="20" t="s">
        <v>44</v>
      </c>
      <c r="G351" s="105"/>
      <c r="H351" s="18">
        <v>43221</v>
      </c>
      <c r="I351" s="19" t="s">
        <v>1750</v>
      </c>
      <c r="J351" s="21">
        <v>206.48</v>
      </c>
      <c r="K351" t="s">
        <v>2030</v>
      </c>
    </row>
    <row r="352" spans="1:11" x14ac:dyDescent="0.3">
      <c r="A352" t="s">
        <v>1550</v>
      </c>
      <c r="B352" s="18">
        <v>43227</v>
      </c>
      <c r="C352" s="19" t="s">
        <v>1560</v>
      </c>
      <c r="D352" s="19">
        <v>1</v>
      </c>
      <c r="E352" s="20" t="s">
        <v>1563</v>
      </c>
      <c r="F352" s="20" t="s">
        <v>40</v>
      </c>
      <c r="G352" s="105"/>
      <c r="H352" s="18">
        <v>43221</v>
      </c>
      <c r="I352" s="19" t="s">
        <v>1751</v>
      </c>
      <c r="J352" s="21">
        <v>619.44000000000005</v>
      </c>
      <c r="K352" t="s">
        <v>2030</v>
      </c>
    </row>
    <row r="353" spans="1:11" x14ac:dyDescent="0.3">
      <c r="A353" t="s">
        <v>1550</v>
      </c>
      <c r="B353" s="18">
        <v>43227</v>
      </c>
      <c r="C353" s="19" t="s">
        <v>1560</v>
      </c>
      <c r="D353" s="19">
        <v>1</v>
      </c>
      <c r="E353" s="20" t="s">
        <v>1563</v>
      </c>
      <c r="F353" s="20" t="s">
        <v>42</v>
      </c>
      <c r="G353" s="105"/>
      <c r="H353" s="18">
        <v>43221</v>
      </c>
      <c r="I353" s="19" t="s">
        <v>1752</v>
      </c>
      <c r="J353" s="21">
        <v>10736.94</v>
      </c>
      <c r="K353" t="s">
        <v>2030</v>
      </c>
    </row>
    <row r="354" spans="1:11" x14ac:dyDescent="0.3">
      <c r="A354" t="s">
        <v>1550</v>
      </c>
      <c r="B354" s="18">
        <v>43227</v>
      </c>
      <c r="C354" s="19" t="s">
        <v>1560</v>
      </c>
      <c r="D354" s="19">
        <v>1</v>
      </c>
      <c r="E354" s="20" t="s">
        <v>1563</v>
      </c>
      <c r="F354" s="20" t="s">
        <v>6</v>
      </c>
      <c r="G354" s="105"/>
      <c r="H354" s="18">
        <v>43221</v>
      </c>
      <c r="I354" s="19" t="s">
        <v>1753</v>
      </c>
      <c r="J354" s="21">
        <v>6813.83</v>
      </c>
      <c r="K354" t="s">
        <v>2030</v>
      </c>
    </row>
    <row r="355" spans="1:11" x14ac:dyDescent="0.3">
      <c r="A355" t="s">
        <v>1550</v>
      </c>
      <c r="B355" s="18">
        <v>43227</v>
      </c>
      <c r="C355" s="19" t="s">
        <v>1560</v>
      </c>
      <c r="D355" s="19">
        <v>1</v>
      </c>
      <c r="E355" s="20" t="s">
        <v>1563</v>
      </c>
      <c r="F355" s="20" t="s">
        <v>41</v>
      </c>
      <c r="G355" s="105"/>
      <c r="H355" s="18">
        <v>43221</v>
      </c>
      <c r="I355" s="19" t="s">
        <v>1754</v>
      </c>
      <c r="J355" s="21">
        <v>11769.27</v>
      </c>
      <c r="K355" t="s">
        <v>2030</v>
      </c>
    </row>
    <row r="356" spans="1:11" x14ac:dyDescent="0.3">
      <c r="A356" t="s">
        <v>1550</v>
      </c>
      <c r="B356" s="18">
        <v>43227</v>
      </c>
      <c r="C356" s="19" t="s">
        <v>1560</v>
      </c>
      <c r="D356" s="19">
        <v>1</v>
      </c>
      <c r="E356" s="20" t="s">
        <v>1563</v>
      </c>
      <c r="F356" s="20" t="s">
        <v>48</v>
      </c>
      <c r="G356" s="105"/>
      <c r="H356" s="18">
        <v>43221</v>
      </c>
      <c r="I356" s="19" t="s">
        <v>1765</v>
      </c>
      <c r="J356" s="21">
        <v>206.48</v>
      </c>
      <c r="K356" t="s">
        <v>2030</v>
      </c>
    </row>
    <row r="357" spans="1:11" x14ac:dyDescent="0.3">
      <c r="A357" t="s">
        <v>1550</v>
      </c>
      <c r="B357" s="18">
        <v>43227</v>
      </c>
      <c r="C357" s="19" t="s">
        <v>1560</v>
      </c>
      <c r="D357" s="19">
        <v>1</v>
      </c>
      <c r="E357" s="20" t="s">
        <v>1563</v>
      </c>
      <c r="F357" s="20" t="s">
        <v>28</v>
      </c>
      <c r="G357" s="105"/>
      <c r="H357" s="18">
        <v>43221</v>
      </c>
      <c r="I357" s="19" t="s">
        <v>1766</v>
      </c>
      <c r="J357" s="21">
        <v>412.96</v>
      </c>
      <c r="K357" t="s">
        <v>2030</v>
      </c>
    </row>
    <row r="358" spans="1:11" x14ac:dyDescent="0.3">
      <c r="A358" t="s">
        <v>1550</v>
      </c>
      <c r="B358" s="18">
        <v>43227</v>
      </c>
      <c r="C358" s="19" t="s">
        <v>1560</v>
      </c>
      <c r="D358" s="19">
        <v>1</v>
      </c>
      <c r="E358" s="20" t="s">
        <v>1563</v>
      </c>
      <c r="F358" s="20" t="s">
        <v>13</v>
      </c>
      <c r="G358" s="105"/>
      <c r="H358" s="18">
        <v>43221</v>
      </c>
      <c r="I358" s="19" t="s">
        <v>1767</v>
      </c>
      <c r="J358" s="21">
        <v>619.44000000000005</v>
      </c>
      <c r="K358" t="s">
        <v>2030</v>
      </c>
    </row>
    <row r="359" spans="1:11" x14ac:dyDescent="0.3">
      <c r="A359" t="s">
        <v>1550</v>
      </c>
      <c r="B359" s="18">
        <v>43227</v>
      </c>
      <c r="C359" s="19" t="s">
        <v>1560</v>
      </c>
      <c r="D359" s="19">
        <v>1</v>
      </c>
      <c r="E359" s="20" t="s">
        <v>1563</v>
      </c>
      <c r="F359" s="20" t="s">
        <v>10</v>
      </c>
      <c r="G359" s="105"/>
      <c r="H359" s="18">
        <v>43221</v>
      </c>
      <c r="I359" s="19" t="s">
        <v>1768</v>
      </c>
      <c r="J359" s="21">
        <v>619.44000000000005</v>
      </c>
      <c r="K359" t="s">
        <v>2030</v>
      </c>
    </row>
    <row r="360" spans="1:11" x14ac:dyDescent="0.3">
      <c r="A360" t="s">
        <v>1550</v>
      </c>
      <c r="B360" s="18">
        <v>43227</v>
      </c>
      <c r="C360" s="19" t="s">
        <v>1560</v>
      </c>
      <c r="D360" s="19">
        <v>1</v>
      </c>
      <c r="E360" s="20" t="s">
        <v>1563</v>
      </c>
      <c r="F360" s="20" t="s">
        <v>14</v>
      </c>
      <c r="G360" s="105"/>
      <c r="H360" s="18">
        <v>43221</v>
      </c>
      <c r="I360" s="19" t="s">
        <v>1769</v>
      </c>
      <c r="J360" s="21">
        <v>412.96</v>
      </c>
      <c r="K360" t="s">
        <v>2030</v>
      </c>
    </row>
    <row r="361" spans="1:11" x14ac:dyDescent="0.3">
      <c r="A361" t="s">
        <v>1550</v>
      </c>
      <c r="B361" s="18">
        <v>43227</v>
      </c>
      <c r="C361" s="19" t="s">
        <v>1560</v>
      </c>
      <c r="D361" s="19">
        <v>1</v>
      </c>
      <c r="E361" s="20" t="s">
        <v>1563</v>
      </c>
      <c r="F361" s="20" t="s">
        <v>38</v>
      </c>
      <c r="G361" s="105"/>
      <c r="H361" s="18">
        <v>43221</v>
      </c>
      <c r="I361" s="19" t="s">
        <v>1770</v>
      </c>
      <c r="J361" s="21">
        <v>1032.4000000000001</v>
      </c>
      <c r="K361" t="s">
        <v>2030</v>
      </c>
    </row>
    <row r="362" spans="1:11" x14ac:dyDescent="0.3">
      <c r="A362" t="s">
        <v>1550</v>
      </c>
      <c r="B362" s="18">
        <v>43227</v>
      </c>
      <c r="C362" s="19" t="s">
        <v>1560</v>
      </c>
      <c r="D362" s="19">
        <v>1</v>
      </c>
      <c r="E362" s="20" t="s">
        <v>1563</v>
      </c>
      <c r="F362" s="20" t="s">
        <v>26</v>
      </c>
      <c r="G362" s="105"/>
      <c r="H362" s="18">
        <v>43221</v>
      </c>
      <c r="I362" s="19" t="s">
        <v>1771</v>
      </c>
      <c r="J362" s="21">
        <v>206.48</v>
      </c>
      <c r="K362" t="s">
        <v>2030</v>
      </c>
    </row>
    <row r="363" spans="1:11" x14ac:dyDescent="0.3">
      <c r="A363" t="s">
        <v>1550</v>
      </c>
      <c r="B363" s="18">
        <v>43227</v>
      </c>
      <c r="C363" s="19" t="s">
        <v>1560</v>
      </c>
      <c r="D363" s="19">
        <v>1</v>
      </c>
      <c r="E363" s="20" t="s">
        <v>1563</v>
      </c>
      <c r="F363" s="20" t="s">
        <v>24</v>
      </c>
      <c r="G363" s="105"/>
      <c r="H363" s="18">
        <v>43221</v>
      </c>
      <c r="I363" s="19" t="s">
        <v>1772</v>
      </c>
      <c r="J363" s="21">
        <v>412.96</v>
      </c>
      <c r="K363" t="s">
        <v>2030</v>
      </c>
    </row>
    <row r="364" spans="1:11" x14ac:dyDescent="0.3">
      <c r="A364" t="s">
        <v>1550</v>
      </c>
      <c r="B364" s="18">
        <v>43227</v>
      </c>
      <c r="C364" s="19" t="s">
        <v>1560</v>
      </c>
      <c r="D364" s="19">
        <v>1</v>
      </c>
      <c r="E364" s="20" t="s">
        <v>1563</v>
      </c>
      <c r="F364" s="20" t="s">
        <v>22</v>
      </c>
      <c r="G364" s="105"/>
      <c r="H364" s="18">
        <v>43221</v>
      </c>
      <c r="I364" s="19" t="s">
        <v>1773</v>
      </c>
      <c r="J364" s="21">
        <v>206.48</v>
      </c>
      <c r="K364" t="s">
        <v>2030</v>
      </c>
    </row>
    <row r="365" spans="1:11" x14ac:dyDescent="0.3">
      <c r="A365" t="s">
        <v>1550</v>
      </c>
      <c r="B365" s="18">
        <v>43227</v>
      </c>
      <c r="C365" s="19" t="s">
        <v>1560</v>
      </c>
      <c r="D365" s="19">
        <v>1</v>
      </c>
      <c r="E365" s="20" t="s">
        <v>1563</v>
      </c>
      <c r="F365" s="20" t="s">
        <v>21</v>
      </c>
      <c r="G365" s="105"/>
      <c r="H365" s="18">
        <v>43221</v>
      </c>
      <c r="I365" s="19" t="s">
        <v>1774</v>
      </c>
      <c r="J365" s="21">
        <v>206.48</v>
      </c>
      <c r="K365" t="s">
        <v>2030</v>
      </c>
    </row>
    <row r="366" spans="1:11" x14ac:dyDescent="0.3">
      <c r="A366" t="s">
        <v>1550</v>
      </c>
      <c r="B366" s="18">
        <v>43227</v>
      </c>
      <c r="C366" s="19" t="s">
        <v>1560</v>
      </c>
      <c r="D366" s="19">
        <v>1</v>
      </c>
      <c r="E366" s="20" t="s">
        <v>1563</v>
      </c>
      <c r="F366" s="20" t="s">
        <v>23</v>
      </c>
      <c r="G366" s="105"/>
      <c r="H366" s="18">
        <v>43221</v>
      </c>
      <c r="I366" s="19" t="s">
        <v>1775</v>
      </c>
      <c r="J366" s="21">
        <v>206.48</v>
      </c>
      <c r="K366" t="s">
        <v>2030</v>
      </c>
    </row>
    <row r="367" spans="1:11" x14ac:dyDescent="0.3">
      <c r="A367" t="s">
        <v>1550</v>
      </c>
      <c r="B367" s="18">
        <v>43227</v>
      </c>
      <c r="C367" s="19" t="s">
        <v>1560</v>
      </c>
      <c r="D367" s="19">
        <v>1</v>
      </c>
      <c r="E367" s="20" t="s">
        <v>1563</v>
      </c>
      <c r="F367" s="20" t="s">
        <v>39</v>
      </c>
      <c r="G367" s="105"/>
      <c r="H367" s="18">
        <v>43221</v>
      </c>
      <c r="I367" s="19" t="s">
        <v>1776</v>
      </c>
      <c r="J367" s="21">
        <v>206.48</v>
      </c>
      <c r="K367" t="s">
        <v>2030</v>
      </c>
    </row>
    <row r="368" spans="1:11" x14ac:dyDescent="0.3">
      <c r="A368" t="s">
        <v>1550</v>
      </c>
      <c r="B368" s="18">
        <v>43227</v>
      </c>
      <c r="C368" s="19" t="s">
        <v>1560</v>
      </c>
      <c r="D368" s="19">
        <v>1</v>
      </c>
      <c r="E368" s="20" t="s">
        <v>1563</v>
      </c>
      <c r="F368" s="20" t="s">
        <v>37</v>
      </c>
      <c r="G368" s="105"/>
      <c r="H368" s="18">
        <v>43221</v>
      </c>
      <c r="I368" s="19" t="s">
        <v>1777</v>
      </c>
      <c r="J368" s="21">
        <v>412.96</v>
      </c>
      <c r="K368" t="s">
        <v>2030</v>
      </c>
    </row>
    <row r="369" spans="1:11" x14ac:dyDescent="0.3">
      <c r="A369" t="s">
        <v>1550</v>
      </c>
      <c r="B369" s="18">
        <v>43227</v>
      </c>
      <c r="C369" s="19" t="s">
        <v>1560</v>
      </c>
      <c r="D369" s="19">
        <v>1</v>
      </c>
      <c r="E369" s="20" t="s">
        <v>1563</v>
      </c>
      <c r="F369" s="20" t="s">
        <v>27</v>
      </c>
      <c r="G369" s="105"/>
      <c r="H369" s="18">
        <v>43221</v>
      </c>
      <c r="I369" s="19" t="s">
        <v>1778</v>
      </c>
      <c r="J369" s="21">
        <v>6607.35</v>
      </c>
      <c r="K369" t="s">
        <v>2030</v>
      </c>
    </row>
    <row r="370" spans="1:11" x14ac:dyDescent="0.3">
      <c r="A370" t="s">
        <v>1550</v>
      </c>
      <c r="B370" s="18">
        <v>43227</v>
      </c>
      <c r="C370" s="19" t="s">
        <v>1560</v>
      </c>
      <c r="D370" s="19">
        <v>1</v>
      </c>
      <c r="E370" s="20" t="s">
        <v>1563</v>
      </c>
      <c r="F370" s="20" t="s">
        <v>25</v>
      </c>
      <c r="G370" s="105"/>
      <c r="H370" s="18">
        <v>43221</v>
      </c>
      <c r="I370" s="19" t="s">
        <v>1779</v>
      </c>
      <c r="J370" s="21">
        <v>206.48</v>
      </c>
      <c r="K370" t="s">
        <v>2030</v>
      </c>
    </row>
    <row r="371" spans="1:11" x14ac:dyDescent="0.3">
      <c r="A371" t="s">
        <v>1550</v>
      </c>
      <c r="B371" s="18">
        <v>43227</v>
      </c>
      <c r="C371" s="19" t="s">
        <v>1560</v>
      </c>
      <c r="D371" s="19">
        <v>1</v>
      </c>
      <c r="E371" s="20" t="s">
        <v>1563</v>
      </c>
      <c r="F371" s="20" t="s">
        <v>16</v>
      </c>
      <c r="G371" s="105"/>
      <c r="H371" s="18">
        <v>43221</v>
      </c>
      <c r="I371" s="19" t="s">
        <v>1780</v>
      </c>
      <c r="J371" s="21">
        <v>206.48</v>
      </c>
      <c r="K371" t="s">
        <v>2030</v>
      </c>
    </row>
    <row r="372" spans="1:11" x14ac:dyDescent="0.3">
      <c r="A372" t="s">
        <v>1550</v>
      </c>
      <c r="B372" s="18">
        <v>43227</v>
      </c>
      <c r="C372" s="19" t="s">
        <v>1560</v>
      </c>
      <c r="D372" s="19">
        <v>1</v>
      </c>
      <c r="E372" s="20" t="s">
        <v>1563</v>
      </c>
      <c r="F372" s="20" t="s">
        <v>19</v>
      </c>
      <c r="G372" s="105"/>
      <c r="H372" s="18">
        <v>43221</v>
      </c>
      <c r="I372" s="19" t="s">
        <v>1781</v>
      </c>
      <c r="J372" s="21">
        <v>619.44000000000005</v>
      </c>
      <c r="K372" t="s">
        <v>2030</v>
      </c>
    </row>
    <row r="373" spans="1:11" x14ac:dyDescent="0.3">
      <c r="A373" t="s">
        <v>1550</v>
      </c>
      <c r="B373" s="18">
        <v>43227</v>
      </c>
      <c r="C373" s="19" t="s">
        <v>1560</v>
      </c>
      <c r="D373" s="19">
        <v>1</v>
      </c>
      <c r="E373" s="20" t="s">
        <v>1563</v>
      </c>
      <c r="F373" s="20" t="s">
        <v>20</v>
      </c>
      <c r="G373" s="105"/>
      <c r="H373" s="18">
        <v>43221</v>
      </c>
      <c r="I373" s="19" t="s">
        <v>1782</v>
      </c>
      <c r="J373" s="21">
        <v>825.92</v>
      </c>
      <c r="K373" t="s">
        <v>2030</v>
      </c>
    </row>
    <row r="374" spans="1:11" x14ac:dyDescent="0.3">
      <c r="A374" t="s">
        <v>1550</v>
      </c>
      <c r="B374" s="18">
        <v>43227</v>
      </c>
      <c r="C374" s="19" t="s">
        <v>1560</v>
      </c>
      <c r="D374" s="19">
        <v>1</v>
      </c>
      <c r="E374" s="20" t="s">
        <v>1563</v>
      </c>
      <c r="F374" s="20" t="s">
        <v>17</v>
      </c>
      <c r="G374" s="105"/>
      <c r="H374" s="18">
        <v>43221</v>
      </c>
      <c r="I374" s="19" t="s">
        <v>1783</v>
      </c>
      <c r="J374" s="21">
        <v>619.44000000000005</v>
      </c>
      <c r="K374" t="s">
        <v>2030</v>
      </c>
    </row>
    <row r="375" spans="1:11" x14ac:dyDescent="0.3">
      <c r="A375" t="s">
        <v>1550</v>
      </c>
      <c r="B375" s="18">
        <v>43227</v>
      </c>
      <c r="C375" s="19" t="s">
        <v>1560</v>
      </c>
      <c r="D375" s="19">
        <v>1</v>
      </c>
      <c r="E375" s="20" t="s">
        <v>1563</v>
      </c>
      <c r="F375" s="20" t="s">
        <v>18</v>
      </c>
      <c r="G375" s="105"/>
      <c r="H375" s="18">
        <v>43221</v>
      </c>
      <c r="I375" s="19" t="s">
        <v>1784</v>
      </c>
      <c r="J375" s="21">
        <v>206.48</v>
      </c>
      <c r="K375" t="s">
        <v>2030</v>
      </c>
    </row>
    <row r="376" spans="1:11" x14ac:dyDescent="0.3">
      <c r="A376" t="s">
        <v>1550</v>
      </c>
      <c r="B376" s="18">
        <v>43227</v>
      </c>
      <c r="C376" s="19" t="s">
        <v>1560</v>
      </c>
      <c r="D376" s="19">
        <v>1</v>
      </c>
      <c r="E376" s="20" t="s">
        <v>1563</v>
      </c>
      <c r="F376" s="20" t="s">
        <v>15</v>
      </c>
      <c r="G376" s="105"/>
      <c r="H376" s="18">
        <v>43221</v>
      </c>
      <c r="I376" s="19" t="s">
        <v>1785</v>
      </c>
      <c r="J376" s="21">
        <v>1858.32</v>
      </c>
      <c r="K376" t="s">
        <v>2030</v>
      </c>
    </row>
    <row r="377" spans="1:11" x14ac:dyDescent="0.3">
      <c r="A377" t="s">
        <v>1550</v>
      </c>
      <c r="B377" s="18">
        <v>43227</v>
      </c>
      <c r="C377" s="19" t="s">
        <v>1560</v>
      </c>
      <c r="D377" s="19">
        <v>1</v>
      </c>
      <c r="E377" s="20" t="s">
        <v>1563</v>
      </c>
      <c r="F377" s="20" t="s">
        <v>45</v>
      </c>
      <c r="G377" s="105"/>
      <c r="H377" s="18">
        <v>43221</v>
      </c>
      <c r="I377" s="19" t="s">
        <v>1786</v>
      </c>
      <c r="J377" s="21">
        <v>206.48</v>
      </c>
      <c r="K377" t="s">
        <v>2030</v>
      </c>
    </row>
    <row r="378" spans="1:11" x14ac:dyDescent="0.3">
      <c r="A378" t="s">
        <v>1550</v>
      </c>
      <c r="B378" s="18">
        <v>43227</v>
      </c>
      <c r="C378" s="19" t="s">
        <v>1560</v>
      </c>
      <c r="D378" s="19">
        <v>1</v>
      </c>
      <c r="E378" s="20" t="s">
        <v>1563</v>
      </c>
      <c r="F378" s="20" t="s">
        <v>9</v>
      </c>
      <c r="G378" s="105"/>
      <c r="H378" s="18">
        <v>43221</v>
      </c>
      <c r="I378" s="19" t="s">
        <v>1787</v>
      </c>
      <c r="J378" s="21">
        <v>206.48</v>
      </c>
      <c r="K378" t="s">
        <v>2030</v>
      </c>
    </row>
    <row r="379" spans="1:11" x14ac:dyDescent="0.3">
      <c r="A379" t="s">
        <v>1550</v>
      </c>
      <c r="B379" s="18">
        <v>43227</v>
      </c>
      <c r="C379" s="19" t="s">
        <v>1560</v>
      </c>
      <c r="D379" s="19">
        <v>1</v>
      </c>
      <c r="E379" s="20" t="s">
        <v>1563</v>
      </c>
      <c r="F379" s="20" t="s">
        <v>8</v>
      </c>
      <c r="G379" s="105"/>
      <c r="H379" s="18">
        <v>43221</v>
      </c>
      <c r="I379" s="19" t="s">
        <v>1788</v>
      </c>
      <c r="J379" s="21">
        <v>1032.4000000000001</v>
      </c>
      <c r="K379" t="s">
        <v>2030</v>
      </c>
    </row>
    <row r="380" spans="1:11" x14ac:dyDescent="0.3">
      <c r="A380" t="s">
        <v>1550</v>
      </c>
      <c r="B380" s="18">
        <v>43227</v>
      </c>
      <c r="C380" s="19" t="s">
        <v>1559</v>
      </c>
      <c r="D380" s="19">
        <v>2000</v>
      </c>
      <c r="E380" s="20" t="s">
        <v>1562</v>
      </c>
      <c r="F380" s="20" t="s">
        <v>1544</v>
      </c>
      <c r="G380" s="105"/>
      <c r="H380" s="18">
        <v>43221</v>
      </c>
      <c r="I380" s="19" t="s">
        <v>1590</v>
      </c>
      <c r="J380" s="21">
        <v>172.5</v>
      </c>
      <c r="K380" t="s">
        <v>2030</v>
      </c>
    </row>
    <row r="381" spans="1:11" x14ac:dyDescent="0.3">
      <c r="A381" t="s">
        <v>1550</v>
      </c>
      <c r="B381" s="18">
        <v>43227</v>
      </c>
      <c r="C381" s="19" t="s">
        <v>1559</v>
      </c>
      <c r="D381" s="19">
        <v>2000</v>
      </c>
      <c r="E381" s="20" t="s">
        <v>1562</v>
      </c>
      <c r="F381" s="20" t="s">
        <v>1545</v>
      </c>
      <c r="G381" s="105"/>
      <c r="H381" s="18">
        <v>43221</v>
      </c>
      <c r="I381" s="19" t="s">
        <v>1593</v>
      </c>
      <c r="J381" s="21">
        <v>172.5</v>
      </c>
      <c r="K381" t="s">
        <v>2030</v>
      </c>
    </row>
    <row r="382" spans="1:11" x14ac:dyDescent="0.3">
      <c r="A382" t="s">
        <v>1550</v>
      </c>
      <c r="B382" s="18">
        <v>43227</v>
      </c>
      <c r="C382" s="19" t="s">
        <v>1559</v>
      </c>
      <c r="D382" s="19">
        <v>2000</v>
      </c>
      <c r="E382" s="20" t="s">
        <v>1562</v>
      </c>
      <c r="F382" s="20" t="s">
        <v>1546</v>
      </c>
      <c r="G382" s="105"/>
      <c r="H382" s="18">
        <v>43221</v>
      </c>
      <c r="I382" s="19" t="s">
        <v>1594</v>
      </c>
      <c r="J382" s="21">
        <v>172.5</v>
      </c>
      <c r="K382" t="s">
        <v>2030</v>
      </c>
    </row>
    <row r="383" spans="1:11" x14ac:dyDescent="0.3">
      <c r="A383" t="s">
        <v>1550</v>
      </c>
      <c r="B383" s="18">
        <v>43227</v>
      </c>
      <c r="C383" s="19" t="s">
        <v>1559</v>
      </c>
      <c r="D383" s="19">
        <v>2000</v>
      </c>
      <c r="E383" s="20" t="s">
        <v>1562</v>
      </c>
      <c r="F383" s="20" t="s">
        <v>1547</v>
      </c>
      <c r="G383" s="105"/>
      <c r="H383" s="18">
        <v>43221</v>
      </c>
      <c r="I383" s="19" t="s">
        <v>1595</v>
      </c>
      <c r="J383" s="21">
        <v>172.5</v>
      </c>
      <c r="K383" t="s">
        <v>2030</v>
      </c>
    </row>
    <row r="384" spans="1:11" x14ac:dyDescent="0.3">
      <c r="A384" t="s">
        <v>1550</v>
      </c>
      <c r="B384" s="18">
        <v>43227</v>
      </c>
      <c r="C384" s="19" t="s">
        <v>1560</v>
      </c>
      <c r="D384" s="19">
        <v>1</v>
      </c>
      <c r="E384" s="20" t="s">
        <v>1562</v>
      </c>
      <c r="F384" s="20" t="s">
        <v>1366</v>
      </c>
      <c r="G384" s="105"/>
      <c r="H384" s="18">
        <v>43221</v>
      </c>
      <c r="I384" s="19" t="s">
        <v>1654</v>
      </c>
      <c r="J384" s="21">
        <v>270</v>
      </c>
      <c r="K384" t="s">
        <v>2030</v>
      </c>
    </row>
    <row r="385" spans="1:11" x14ac:dyDescent="0.3">
      <c r="A385" t="s">
        <v>1550</v>
      </c>
      <c r="B385" s="18">
        <v>43227</v>
      </c>
      <c r="C385" s="19" t="s">
        <v>1560</v>
      </c>
      <c r="D385" s="19">
        <v>1</v>
      </c>
      <c r="E385" s="20" t="s">
        <v>1562</v>
      </c>
      <c r="F385" s="20" t="s">
        <v>1365</v>
      </c>
      <c r="G385" s="105"/>
      <c r="H385" s="18">
        <v>43221</v>
      </c>
      <c r="I385" s="19" t="s">
        <v>1656</v>
      </c>
      <c r="J385" s="21">
        <v>480</v>
      </c>
      <c r="K385" t="s">
        <v>2030</v>
      </c>
    </row>
    <row r="386" spans="1:11" x14ac:dyDescent="0.3">
      <c r="A386" t="s">
        <v>1550</v>
      </c>
      <c r="B386" s="18">
        <v>43227</v>
      </c>
      <c r="C386" s="19" t="s">
        <v>1560</v>
      </c>
      <c r="D386" s="19">
        <v>1</v>
      </c>
      <c r="E386" s="20" t="s">
        <v>1562</v>
      </c>
      <c r="F386" s="20" t="s">
        <v>1384</v>
      </c>
      <c r="G386" s="105"/>
      <c r="H386" s="18">
        <v>43221</v>
      </c>
      <c r="I386" s="19" t="s">
        <v>1670</v>
      </c>
      <c r="J386" s="21">
        <v>172.5</v>
      </c>
      <c r="K386" t="s">
        <v>2030</v>
      </c>
    </row>
    <row r="387" spans="1:11" x14ac:dyDescent="0.3">
      <c r="A387" t="s">
        <v>1550</v>
      </c>
      <c r="B387" s="18">
        <v>43227</v>
      </c>
      <c r="C387" s="19" t="s">
        <v>1560</v>
      </c>
      <c r="D387" s="19">
        <v>1</v>
      </c>
      <c r="E387" s="20" t="s">
        <v>1562</v>
      </c>
      <c r="F387" s="20" t="s">
        <v>1385</v>
      </c>
      <c r="G387" s="105"/>
      <c r="H387" s="18">
        <v>43221</v>
      </c>
      <c r="I387" s="19" t="s">
        <v>1671</v>
      </c>
      <c r="J387" s="21">
        <v>172.5</v>
      </c>
      <c r="K387" t="s">
        <v>2030</v>
      </c>
    </row>
    <row r="388" spans="1:11" x14ac:dyDescent="0.3">
      <c r="A388" t="s">
        <v>1550</v>
      </c>
      <c r="B388" s="18">
        <v>43227</v>
      </c>
      <c r="C388" s="19" t="s">
        <v>1560</v>
      </c>
      <c r="D388" s="19">
        <v>1</v>
      </c>
      <c r="E388" s="20" t="s">
        <v>1562</v>
      </c>
      <c r="F388" s="20" t="s">
        <v>1387</v>
      </c>
      <c r="G388" s="105"/>
      <c r="H388" s="18">
        <v>43221</v>
      </c>
      <c r="I388" s="19" t="s">
        <v>1672</v>
      </c>
      <c r="J388" s="21">
        <v>172.5</v>
      </c>
      <c r="K388" t="s">
        <v>2030</v>
      </c>
    </row>
    <row r="389" spans="1:11" x14ac:dyDescent="0.3">
      <c r="A389" t="s">
        <v>1550</v>
      </c>
      <c r="B389" s="18">
        <v>43227</v>
      </c>
      <c r="C389" s="19" t="s">
        <v>1560</v>
      </c>
      <c r="D389" s="19">
        <v>1</v>
      </c>
      <c r="E389" s="20" t="s">
        <v>1562</v>
      </c>
      <c r="F389" s="20" t="s">
        <v>1380</v>
      </c>
      <c r="G389" s="105"/>
      <c r="H389" s="18">
        <v>43221</v>
      </c>
      <c r="I389" s="19" t="s">
        <v>1673</v>
      </c>
      <c r="J389" s="21">
        <v>225</v>
      </c>
      <c r="K389" t="s">
        <v>2030</v>
      </c>
    </row>
    <row r="390" spans="1:11" x14ac:dyDescent="0.3">
      <c r="A390" t="s">
        <v>1550</v>
      </c>
      <c r="B390" s="18">
        <v>43227</v>
      </c>
      <c r="C390" s="19" t="s">
        <v>1560</v>
      </c>
      <c r="D390" s="19">
        <v>1</v>
      </c>
      <c r="E390" s="20" t="s">
        <v>1562</v>
      </c>
      <c r="F390" s="20" t="s">
        <v>1390</v>
      </c>
      <c r="G390" s="105"/>
      <c r="H390" s="18">
        <v>43221</v>
      </c>
      <c r="I390" s="19" t="s">
        <v>1674</v>
      </c>
      <c r="J390" s="21">
        <v>225</v>
      </c>
      <c r="K390" t="s">
        <v>2030</v>
      </c>
    </row>
    <row r="391" spans="1:11" x14ac:dyDescent="0.3">
      <c r="A391" t="s">
        <v>1550</v>
      </c>
      <c r="B391" s="18">
        <v>43227</v>
      </c>
      <c r="C391" s="19" t="s">
        <v>1560</v>
      </c>
      <c r="D391" s="19">
        <v>1</v>
      </c>
      <c r="E391" s="20" t="s">
        <v>1562</v>
      </c>
      <c r="F391" s="20" t="s">
        <v>1383</v>
      </c>
      <c r="G391" s="105"/>
      <c r="H391" s="18">
        <v>43221</v>
      </c>
      <c r="I391" s="19" t="s">
        <v>1675</v>
      </c>
      <c r="J391" s="21">
        <v>465</v>
      </c>
      <c r="K391" t="s">
        <v>2030</v>
      </c>
    </row>
    <row r="392" spans="1:11" x14ac:dyDescent="0.3">
      <c r="A392" t="s">
        <v>1550</v>
      </c>
      <c r="B392" s="18">
        <v>43227</v>
      </c>
      <c r="C392" s="19" t="s">
        <v>1560</v>
      </c>
      <c r="D392" s="19">
        <v>1</v>
      </c>
      <c r="E392" s="20" t="s">
        <v>1562</v>
      </c>
      <c r="F392" s="20" t="s">
        <v>1379</v>
      </c>
      <c r="G392" s="105"/>
      <c r="H392" s="18">
        <v>43221</v>
      </c>
      <c r="I392" s="19" t="s">
        <v>1676</v>
      </c>
      <c r="J392" s="21">
        <v>270</v>
      </c>
      <c r="K392" t="s">
        <v>2030</v>
      </c>
    </row>
    <row r="393" spans="1:11" x14ac:dyDescent="0.3">
      <c r="A393" t="s">
        <v>1550</v>
      </c>
      <c r="B393" s="18">
        <v>43227</v>
      </c>
      <c r="C393" s="19" t="s">
        <v>1560</v>
      </c>
      <c r="D393" s="19">
        <v>1</v>
      </c>
      <c r="E393" s="20" t="s">
        <v>1562</v>
      </c>
      <c r="F393" s="20" t="s">
        <v>1386</v>
      </c>
      <c r="G393" s="105"/>
      <c r="H393" s="18">
        <v>43221</v>
      </c>
      <c r="I393" s="19" t="s">
        <v>1677</v>
      </c>
      <c r="J393" s="21">
        <v>172.5</v>
      </c>
      <c r="K393" t="s">
        <v>2030</v>
      </c>
    </row>
    <row r="394" spans="1:11" x14ac:dyDescent="0.3">
      <c r="A394" t="s">
        <v>1550</v>
      </c>
      <c r="B394" s="18">
        <v>43227</v>
      </c>
      <c r="C394" s="19" t="s">
        <v>1560</v>
      </c>
      <c r="D394" s="19">
        <v>1</v>
      </c>
      <c r="E394" s="20" t="s">
        <v>1562</v>
      </c>
      <c r="F394" s="20" t="s">
        <v>1382</v>
      </c>
      <c r="G394" s="105"/>
      <c r="H394" s="18">
        <v>43221</v>
      </c>
      <c r="I394" s="19" t="s">
        <v>1678</v>
      </c>
      <c r="J394" s="21">
        <v>540</v>
      </c>
      <c r="K394" t="s">
        <v>2030</v>
      </c>
    </row>
    <row r="395" spans="1:11" x14ac:dyDescent="0.3">
      <c r="A395" t="s">
        <v>1550</v>
      </c>
      <c r="B395" s="18">
        <v>43227</v>
      </c>
      <c r="C395" s="19" t="s">
        <v>1560</v>
      </c>
      <c r="D395" s="19">
        <v>1</v>
      </c>
      <c r="E395" s="20" t="s">
        <v>1562</v>
      </c>
      <c r="F395" s="20" t="s">
        <v>1372</v>
      </c>
      <c r="G395" s="105"/>
      <c r="H395" s="18">
        <v>43221</v>
      </c>
      <c r="I395" s="19" t="s">
        <v>1679</v>
      </c>
      <c r="J395" s="21">
        <v>480</v>
      </c>
      <c r="K395" t="s">
        <v>2030</v>
      </c>
    </row>
    <row r="396" spans="1:11" x14ac:dyDescent="0.3">
      <c r="A396" t="s">
        <v>1550</v>
      </c>
      <c r="B396" s="18">
        <v>43227</v>
      </c>
      <c r="C396" s="19" t="s">
        <v>1560</v>
      </c>
      <c r="D396" s="19">
        <v>1</v>
      </c>
      <c r="E396" s="20" t="s">
        <v>1562</v>
      </c>
      <c r="F396" s="20" t="s">
        <v>1373</v>
      </c>
      <c r="G396" s="105"/>
      <c r="H396" s="18">
        <v>43221</v>
      </c>
      <c r="I396" s="19" t="s">
        <v>1680</v>
      </c>
      <c r="J396" s="21">
        <v>480</v>
      </c>
      <c r="K396" t="s">
        <v>2030</v>
      </c>
    </row>
    <row r="397" spans="1:11" x14ac:dyDescent="0.3">
      <c r="A397" t="s">
        <v>1550</v>
      </c>
      <c r="B397" s="18">
        <v>43227</v>
      </c>
      <c r="C397" s="19" t="s">
        <v>1560</v>
      </c>
      <c r="D397" s="19">
        <v>1</v>
      </c>
      <c r="E397" s="20" t="s">
        <v>1562</v>
      </c>
      <c r="F397" s="20" t="s">
        <v>1377</v>
      </c>
      <c r="G397" s="105"/>
      <c r="H397" s="18">
        <v>43221</v>
      </c>
      <c r="I397" s="19" t="s">
        <v>1681</v>
      </c>
      <c r="J397" s="21">
        <v>270</v>
      </c>
      <c r="K397" t="s">
        <v>2030</v>
      </c>
    </row>
    <row r="398" spans="1:11" x14ac:dyDescent="0.3">
      <c r="A398" t="s">
        <v>1550</v>
      </c>
      <c r="B398" s="18">
        <v>43227</v>
      </c>
      <c r="C398" s="19" t="s">
        <v>1560</v>
      </c>
      <c r="D398" s="19">
        <v>1</v>
      </c>
      <c r="E398" s="20" t="s">
        <v>1562</v>
      </c>
      <c r="F398" s="20" t="s">
        <v>1375</v>
      </c>
      <c r="G398" s="105"/>
      <c r="H398" s="18">
        <v>43221</v>
      </c>
      <c r="I398" s="19" t="s">
        <v>1682</v>
      </c>
      <c r="J398" s="21">
        <v>270</v>
      </c>
      <c r="K398" t="s">
        <v>2030</v>
      </c>
    </row>
    <row r="399" spans="1:11" x14ac:dyDescent="0.3">
      <c r="A399" t="s">
        <v>1550</v>
      </c>
      <c r="B399" s="18">
        <v>43227</v>
      </c>
      <c r="C399" s="19" t="s">
        <v>1560</v>
      </c>
      <c r="D399" s="19">
        <v>1</v>
      </c>
      <c r="E399" s="20" t="s">
        <v>1562</v>
      </c>
      <c r="F399" s="20" t="s">
        <v>1378</v>
      </c>
      <c r="G399" s="105"/>
      <c r="H399" s="18">
        <v>43221</v>
      </c>
      <c r="I399" s="19" t="s">
        <v>1683</v>
      </c>
      <c r="J399" s="21">
        <v>270</v>
      </c>
      <c r="K399" t="s">
        <v>2030</v>
      </c>
    </row>
    <row r="400" spans="1:11" x14ac:dyDescent="0.3">
      <c r="A400" t="s">
        <v>1550</v>
      </c>
      <c r="B400" s="18">
        <v>43227</v>
      </c>
      <c r="C400" s="19" t="s">
        <v>1560</v>
      </c>
      <c r="D400" s="19">
        <v>1</v>
      </c>
      <c r="E400" s="20" t="s">
        <v>1562</v>
      </c>
      <c r="F400" s="20" t="s">
        <v>1376</v>
      </c>
      <c r="G400" s="105"/>
      <c r="H400" s="18">
        <v>43221</v>
      </c>
      <c r="I400" s="19" t="s">
        <v>1684</v>
      </c>
      <c r="J400" s="21">
        <v>270</v>
      </c>
      <c r="K400" t="s">
        <v>2030</v>
      </c>
    </row>
    <row r="401" spans="1:11" x14ac:dyDescent="0.3">
      <c r="A401" t="s">
        <v>1550</v>
      </c>
      <c r="B401" s="18">
        <v>43227</v>
      </c>
      <c r="C401" s="19" t="s">
        <v>1560</v>
      </c>
      <c r="D401" s="19">
        <v>1</v>
      </c>
      <c r="E401" s="20" t="s">
        <v>1562</v>
      </c>
      <c r="F401" s="20" t="s">
        <v>1369</v>
      </c>
      <c r="G401" s="105"/>
      <c r="H401" s="18">
        <v>43221</v>
      </c>
      <c r="I401" s="19" t="s">
        <v>1685</v>
      </c>
      <c r="J401" s="21">
        <v>480</v>
      </c>
      <c r="K401" t="s">
        <v>2030</v>
      </c>
    </row>
    <row r="402" spans="1:11" x14ac:dyDescent="0.3">
      <c r="A402" t="s">
        <v>1550</v>
      </c>
      <c r="B402" s="18">
        <v>43227</v>
      </c>
      <c r="C402" s="19" t="s">
        <v>1560</v>
      </c>
      <c r="D402" s="19">
        <v>1</v>
      </c>
      <c r="E402" s="20" t="s">
        <v>1562</v>
      </c>
      <c r="F402" s="20" t="s">
        <v>1374</v>
      </c>
      <c r="G402" s="105"/>
      <c r="H402" s="18">
        <v>43221</v>
      </c>
      <c r="I402" s="19" t="s">
        <v>1686</v>
      </c>
      <c r="J402" s="21">
        <v>270</v>
      </c>
      <c r="K402" t="s">
        <v>2030</v>
      </c>
    </row>
    <row r="403" spans="1:11" x14ac:dyDescent="0.3">
      <c r="A403" t="s">
        <v>1550</v>
      </c>
      <c r="B403" s="18">
        <v>43227</v>
      </c>
      <c r="C403" s="19" t="s">
        <v>1560</v>
      </c>
      <c r="D403" s="19">
        <v>1</v>
      </c>
      <c r="E403" s="20" t="s">
        <v>1562</v>
      </c>
      <c r="F403" s="20" t="s">
        <v>1370</v>
      </c>
      <c r="G403" s="105"/>
      <c r="H403" s="18">
        <v>43221</v>
      </c>
      <c r="I403" s="19" t="s">
        <v>1687</v>
      </c>
      <c r="J403" s="21">
        <v>480</v>
      </c>
      <c r="K403" t="s">
        <v>2030</v>
      </c>
    </row>
    <row r="404" spans="1:11" x14ac:dyDescent="0.3">
      <c r="A404" t="s">
        <v>1550</v>
      </c>
      <c r="B404" s="18">
        <v>43227</v>
      </c>
      <c r="C404" s="19" t="s">
        <v>1560</v>
      </c>
      <c r="D404" s="19">
        <v>1</v>
      </c>
      <c r="E404" s="20" t="s">
        <v>1562</v>
      </c>
      <c r="F404" s="20" t="s">
        <v>1371</v>
      </c>
      <c r="G404" s="105"/>
      <c r="H404" s="18">
        <v>43221</v>
      </c>
      <c r="I404" s="19" t="s">
        <v>1688</v>
      </c>
      <c r="J404" s="21">
        <v>480</v>
      </c>
      <c r="K404" t="s">
        <v>2030</v>
      </c>
    </row>
    <row r="405" spans="1:11" x14ac:dyDescent="0.3">
      <c r="A405" t="s">
        <v>1550</v>
      </c>
      <c r="B405" s="18">
        <v>43227</v>
      </c>
      <c r="C405" s="19" t="s">
        <v>1560</v>
      </c>
      <c r="D405" s="19">
        <v>1</v>
      </c>
      <c r="E405" s="20" t="s">
        <v>1562</v>
      </c>
      <c r="F405" s="20" t="s">
        <v>1367</v>
      </c>
      <c r="G405" s="105"/>
      <c r="H405" s="18">
        <v>43221</v>
      </c>
      <c r="I405" s="19" t="s">
        <v>1689</v>
      </c>
      <c r="J405" s="21">
        <v>270</v>
      </c>
      <c r="K405" t="s">
        <v>2030</v>
      </c>
    </row>
    <row r="406" spans="1:11" x14ac:dyDescent="0.3">
      <c r="A406" t="s">
        <v>1550</v>
      </c>
      <c r="B406" s="18">
        <v>43227</v>
      </c>
      <c r="C406" s="19" t="s">
        <v>1560</v>
      </c>
      <c r="D406" s="19">
        <v>1</v>
      </c>
      <c r="E406" s="20" t="s">
        <v>1562</v>
      </c>
      <c r="F406" s="20" t="s">
        <v>1381</v>
      </c>
      <c r="G406" s="105"/>
      <c r="H406" s="18">
        <v>43221</v>
      </c>
      <c r="I406" s="19" t="s">
        <v>1741</v>
      </c>
      <c r="J406" s="21">
        <v>232.5</v>
      </c>
      <c r="K406" t="s">
        <v>2030</v>
      </c>
    </row>
    <row r="407" spans="1:11" x14ac:dyDescent="0.3">
      <c r="A407" t="s">
        <v>1550</v>
      </c>
      <c r="B407" s="18">
        <v>43227</v>
      </c>
      <c r="C407" s="19" t="s">
        <v>1560</v>
      </c>
      <c r="D407" s="19">
        <v>1</v>
      </c>
      <c r="E407" s="20" t="s">
        <v>1562</v>
      </c>
      <c r="F407" s="20" t="s">
        <v>1446</v>
      </c>
      <c r="G407" s="105"/>
      <c r="H407" s="18">
        <v>43221</v>
      </c>
      <c r="I407" s="19" t="s">
        <v>1755</v>
      </c>
      <c r="J407" s="21">
        <v>556.79999999999995</v>
      </c>
      <c r="K407" t="s">
        <v>2030</v>
      </c>
    </row>
    <row r="408" spans="1:11" x14ac:dyDescent="0.3">
      <c r="A408" t="s">
        <v>1550</v>
      </c>
      <c r="B408" s="18">
        <v>43227</v>
      </c>
      <c r="C408" s="19" t="s">
        <v>1560</v>
      </c>
      <c r="D408" s="19">
        <v>1</v>
      </c>
      <c r="E408" s="20" t="s">
        <v>1562</v>
      </c>
      <c r="F408" s="20" t="s">
        <v>1438</v>
      </c>
      <c r="G408" s="105"/>
      <c r="H408" s="18">
        <v>43221</v>
      </c>
      <c r="I408" s="19" t="s">
        <v>1756</v>
      </c>
      <c r="J408" s="21">
        <v>232.5</v>
      </c>
      <c r="K408" t="s">
        <v>2030</v>
      </c>
    </row>
    <row r="409" spans="1:11" x14ac:dyDescent="0.3">
      <c r="A409" t="s">
        <v>1550</v>
      </c>
      <c r="B409" s="18">
        <v>43227</v>
      </c>
      <c r="C409" s="19" t="s">
        <v>1560</v>
      </c>
      <c r="D409" s="19">
        <v>1</v>
      </c>
      <c r="E409" s="20" t="s">
        <v>1562</v>
      </c>
      <c r="F409" s="20" t="s">
        <v>1440</v>
      </c>
      <c r="G409" s="105"/>
      <c r="H409" s="18">
        <v>43221</v>
      </c>
      <c r="I409" s="19" t="s">
        <v>1757</v>
      </c>
      <c r="J409" s="21">
        <v>232.5</v>
      </c>
      <c r="K409" t="s">
        <v>2030</v>
      </c>
    </row>
    <row r="410" spans="1:11" x14ac:dyDescent="0.3">
      <c r="A410" t="s">
        <v>1550</v>
      </c>
      <c r="B410" s="18">
        <v>43227</v>
      </c>
      <c r="C410" s="19" t="s">
        <v>1560</v>
      </c>
      <c r="D410" s="19">
        <v>1</v>
      </c>
      <c r="E410" s="20" t="s">
        <v>1562</v>
      </c>
      <c r="F410" s="20" t="s">
        <v>1443</v>
      </c>
      <c r="G410" s="105"/>
      <c r="H410" s="18">
        <v>43221</v>
      </c>
      <c r="I410" s="19" t="s">
        <v>1758</v>
      </c>
      <c r="J410" s="21">
        <v>556.79999999999995</v>
      </c>
      <c r="K410" t="s">
        <v>2030</v>
      </c>
    </row>
    <row r="411" spans="1:11" x14ac:dyDescent="0.3">
      <c r="A411" t="s">
        <v>1550</v>
      </c>
      <c r="B411" s="18">
        <v>43227</v>
      </c>
      <c r="C411" s="19" t="s">
        <v>1560</v>
      </c>
      <c r="D411" s="19">
        <v>1</v>
      </c>
      <c r="E411" s="20" t="s">
        <v>1562</v>
      </c>
      <c r="F411" s="20" t="s">
        <v>1441</v>
      </c>
      <c r="G411" s="105"/>
      <c r="H411" s="18">
        <v>43221</v>
      </c>
      <c r="I411" s="19" t="s">
        <v>1759</v>
      </c>
      <c r="J411" s="21">
        <v>556.79999999999995</v>
      </c>
      <c r="K411" t="s">
        <v>2030</v>
      </c>
    </row>
    <row r="412" spans="1:11" x14ac:dyDescent="0.3">
      <c r="A412" t="s">
        <v>1550</v>
      </c>
      <c r="B412" s="18">
        <v>43227</v>
      </c>
      <c r="C412" s="19" t="s">
        <v>1560</v>
      </c>
      <c r="D412" s="19">
        <v>1</v>
      </c>
      <c r="E412" s="20" t="s">
        <v>1562</v>
      </c>
      <c r="F412" s="20" t="s">
        <v>1444</v>
      </c>
      <c r="G412" s="105"/>
      <c r="H412" s="18">
        <v>43221</v>
      </c>
      <c r="I412" s="19" t="s">
        <v>1760</v>
      </c>
      <c r="J412" s="21">
        <v>556.79999999999995</v>
      </c>
      <c r="K412" t="s">
        <v>2030</v>
      </c>
    </row>
    <row r="413" spans="1:11" x14ac:dyDescent="0.3">
      <c r="A413" t="s">
        <v>1550</v>
      </c>
      <c r="B413" s="18">
        <v>43227</v>
      </c>
      <c r="C413" s="19" t="s">
        <v>1560</v>
      </c>
      <c r="D413" s="19">
        <v>1</v>
      </c>
      <c r="E413" s="20" t="s">
        <v>1562</v>
      </c>
      <c r="F413" s="20" t="s">
        <v>1442</v>
      </c>
      <c r="G413" s="105"/>
      <c r="H413" s="18">
        <v>43221</v>
      </c>
      <c r="I413" s="19" t="s">
        <v>1761</v>
      </c>
      <c r="J413" s="21">
        <v>556.79999999999995</v>
      </c>
      <c r="K413" t="s">
        <v>2030</v>
      </c>
    </row>
    <row r="414" spans="1:11" x14ac:dyDescent="0.3">
      <c r="A414" t="s">
        <v>1550</v>
      </c>
      <c r="B414" s="18">
        <v>43227</v>
      </c>
      <c r="C414" s="19" t="s">
        <v>1560</v>
      </c>
      <c r="D414" s="19">
        <v>1</v>
      </c>
      <c r="E414" s="20" t="s">
        <v>1562</v>
      </c>
      <c r="F414" s="20" t="s">
        <v>1445</v>
      </c>
      <c r="G414" s="105"/>
      <c r="H414" s="18">
        <v>43221</v>
      </c>
      <c r="I414" s="19" t="s">
        <v>1762</v>
      </c>
      <c r="J414" s="21">
        <v>556.79999999999995</v>
      </c>
      <c r="K414" t="s">
        <v>2030</v>
      </c>
    </row>
    <row r="415" spans="1:11" x14ac:dyDescent="0.3">
      <c r="A415" t="s">
        <v>1550</v>
      </c>
      <c r="B415" s="18">
        <v>43227</v>
      </c>
      <c r="C415" s="19" t="s">
        <v>1560</v>
      </c>
      <c r="D415" s="19">
        <v>1</v>
      </c>
      <c r="E415" s="20" t="s">
        <v>1562</v>
      </c>
      <c r="F415" s="20" t="s">
        <v>1439</v>
      </c>
      <c r="G415" s="105"/>
      <c r="H415" s="18">
        <v>43221</v>
      </c>
      <c r="I415" s="19" t="s">
        <v>1763</v>
      </c>
      <c r="J415" s="21">
        <v>232.5</v>
      </c>
      <c r="K415" t="s">
        <v>2030</v>
      </c>
    </row>
    <row r="416" spans="1:11" x14ac:dyDescent="0.3">
      <c r="A416" t="s">
        <v>1550</v>
      </c>
      <c r="B416" s="18">
        <v>43227</v>
      </c>
      <c r="C416" s="19" t="s">
        <v>1560</v>
      </c>
      <c r="D416" s="19">
        <v>1</v>
      </c>
      <c r="E416" s="20" t="s">
        <v>1562</v>
      </c>
      <c r="F416" s="20" t="s">
        <v>1424</v>
      </c>
      <c r="G416" s="105"/>
      <c r="H416" s="18">
        <v>43221</v>
      </c>
      <c r="I416" s="19" t="s">
        <v>1764</v>
      </c>
      <c r="J416" s="21">
        <v>480</v>
      </c>
      <c r="K416" t="s">
        <v>2030</v>
      </c>
    </row>
    <row r="417" spans="1:11" x14ac:dyDescent="0.3">
      <c r="A417" t="s">
        <v>1550</v>
      </c>
      <c r="B417" s="18">
        <v>43227</v>
      </c>
      <c r="C417" s="19" t="s">
        <v>1560</v>
      </c>
      <c r="D417" s="19">
        <v>1</v>
      </c>
      <c r="E417" s="20" t="s">
        <v>1562</v>
      </c>
      <c r="F417" s="20" t="s">
        <v>1429</v>
      </c>
      <c r="G417" s="105"/>
      <c r="H417" s="18">
        <v>43221</v>
      </c>
      <c r="I417" s="19" t="s">
        <v>1789</v>
      </c>
      <c r="J417" s="21">
        <v>270</v>
      </c>
      <c r="K417" t="s">
        <v>2030</v>
      </c>
    </row>
    <row r="418" spans="1:11" x14ac:dyDescent="0.3">
      <c r="A418" t="s">
        <v>1550</v>
      </c>
      <c r="B418" s="18">
        <v>43227</v>
      </c>
      <c r="C418" s="19" t="s">
        <v>1560</v>
      </c>
      <c r="D418" s="19">
        <v>1</v>
      </c>
      <c r="E418" s="20" t="s">
        <v>1562</v>
      </c>
      <c r="F418" s="20" t="s">
        <v>1415</v>
      </c>
      <c r="G418" s="105"/>
      <c r="H418" s="18">
        <v>43221</v>
      </c>
      <c r="I418" s="19" t="s">
        <v>1790</v>
      </c>
      <c r="J418" s="21">
        <v>225</v>
      </c>
      <c r="K418" t="s">
        <v>2030</v>
      </c>
    </row>
    <row r="419" spans="1:11" x14ac:dyDescent="0.3">
      <c r="A419" t="s">
        <v>1550</v>
      </c>
      <c r="B419" s="18">
        <v>43227</v>
      </c>
      <c r="C419" s="19" t="s">
        <v>1560</v>
      </c>
      <c r="D419" s="19">
        <v>1</v>
      </c>
      <c r="E419" s="20" t="s">
        <v>1562</v>
      </c>
      <c r="F419" s="20" t="s">
        <v>1403</v>
      </c>
      <c r="G419" s="105"/>
      <c r="H419" s="18">
        <v>43221</v>
      </c>
      <c r="I419" s="19" t="s">
        <v>1791</v>
      </c>
      <c r="J419" s="21">
        <v>172.5</v>
      </c>
      <c r="K419" t="s">
        <v>2030</v>
      </c>
    </row>
    <row r="420" spans="1:11" x14ac:dyDescent="0.3">
      <c r="A420" t="s">
        <v>1550</v>
      </c>
      <c r="B420" s="18">
        <v>43227</v>
      </c>
      <c r="C420" s="19" t="s">
        <v>1560</v>
      </c>
      <c r="D420" s="19">
        <v>1</v>
      </c>
      <c r="E420" s="20" t="s">
        <v>1562</v>
      </c>
      <c r="F420" s="20" t="s">
        <v>1406</v>
      </c>
      <c r="G420" s="105"/>
      <c r="H420" s="18">
        <v>43221</v>
      </c>
      <c r="I420" s="19" t="s">
        <v>1792</v>
      </c>
      <c r="J420" s="21">
        <v>172.5</v>
      </c>
      <c r="K420" t="s">
        <v>2030</v>
      </c>
    </row>
    <row r="421" spans="1:11" x14ac:dyDescent="0.3">
      <c r="A421" t="s">
        <v>1550</v>
      </c>
      <c r="B421" s="18">
        <v>43227</v>
      </c>
      <c r="C421" s="19" t="s">
        <v>1560</v>
      </c>
      <c r="D421" s="19">
        <v>1</v>
      </c>
      <c r="E421" s="20" t="s">
        <v>1562</v>
      </c>
      <c r="F421" s="20" t="s">
        <v>1411</v>
      </c>
      <c r="G421" s="105"/>
      <c r="H421" s="18">
        <v>43221</v>
      </c>
      <c r="I421" s="19" t="s">
        <v>1793</v>
      </c>
      <c r="J421" s="21">
        <v>172.5</v>
      </c>
      <c r="K421" t="s">
        <v>2030</v>
      </c>
    </row>
    <row r="422" spans="1:11" x14ac:dyDescent="0.3">
      <c r="A422" t="s">
        <v>1550</v>
      </c>
      <c r="B422" s="18">
        <v>43227</v>
      </c>
      <c r="C422" s="19" t="s">
        <v>1560</v>
      </c>
      <c r="D422" s="19">
        <v>1</v>
      </c>
      <c r="E422" s="20" t="s">
        <v>1562</v>
      </c>
      <c r="F422" s="20" t="s">
        <v>1400</v>
      </c>
      <c r="G422" s="105"/>
      <c r="H422" s="18">
        <v>43221</v>
      </c>
      <c r="I422" s="19" t="s">
        <v>1794</v>
      </c>
      <c r="J422" s="21">
        <v>225</v>
      </c>
      <c r="K422" t="s">
        <v>2030</v>
      </c>
    </row>
    <row r="423" spans="1:11" x14ac:dyDescent="0.3">
      <c r="A423" t="s">
        <v>1550</v>
      </c>
      <c r="B423" s="18">
        <v>43227</v>
      </c>
      <c r="C423" s="19" t="s">
        <v>1560</v>
      </c>
      <c r="D423" s="19">
        <v>1</v>
      </c>
      <c r="E423" s="20" t="s">
        <v>1562</v>
      </c>
      <c r="F423" s="20" t="s">
        <v>1407</v>
      </c>
      <c r="G423" s="105"/>
      <c r="H423" s="18">
        <v>43221</v>
      </c>
      <c r="I423" s="19" t="s">
        <v>1795</v>
      </c>
      <c r="J423" s="21">
        <v>172.5</v>
      </c>
      <c r="K423" t="s">
        <v>2030</v>
      </c>
    </row>
    <row r="424" spans="1:11" x14ac:dyDescent="0.3">
      <c r="A424" t="s">
        <v>1550</v>
      </c>
      <c r="B424" s="18">
        <v>43227</v>
      </c>
      <c r="C424" s="19" t="s">
        <v>1560</v>
      </c>
      <c r="D424" s="19">
        <v>1</v>
      </c>
      <c r="E424" s="20" t="s">
        <v>1562</v>
      </c>
      <c r="F424" s="20" t="s">
        <v>1404</v>
      </c>
      <c r="G424" s="105"/>
      <c r="H424" s="18">
        <v>43221</v>
      </c>
      <c r="I424" s="19" t="s">
        <v>1796</v>
      </c>
      <c r="J424" s="21">
        <v>172.5</v>
      </c>
      <c r="K424" t="s">
        <v>2030</v>
      </c>
    </row>
    <row r="425" spans="1:11" x14ac:dyDescent="0.3">
      <c r="A425" t="s">
        <v>1550</v>
      </c>
      <c r="B425" s="18">
        <v>43227</v>
      </c>
      <c r="C425" s="19" t="s">
        <v>1560</v>
      </c>
      <c r="D425" s="19">
        <v>1</v>
      </c>
      <c r="E425" s="20" t="s">
        <v>1562</v>
      </c>
      <c r="F425" s="20" t="s">
        <v>1405</v>
      </c>
      <c r="G425" s="105"/>
      <c r="H425" s="18">
        <v>43221</v>
      </c>
      <c r="I425" s="19" t="s">
        <v>1797</v>
      </c>
      <c r="J425" s="21">
        <v>172.5</v>
      </c>
      <c r="K425" t="s">
        <v>2030</v>
      </c>
    </row>
    <row r="426" spans="1:11" x14ac:dyDescent="0.3">
      <c r="A426" t="s">
        <v>1550</v>
      </c>
      <c r="B426" s="18">
        <v>43227</v>
      </c>
      <c r="C426" s="19" t="s">
        <v>1560</v>
      </c>
      <c r="D426" s="19">
        <v>1</v>
      </c>
      <c r="E426" s="20" t="s">
        <v>1562</v>
      </c>
      <c r="F426" s="20" t="s">
        <v>1409</v>
      </c>
      <c r="G426" s="105"/>
      <c r="H426" s="18">
        <v>43221</v>
      </c>
      <c r="I426" s="19" t="s">
        <v>1798</v>
      </c>
      <c r="J426" s="21">
        <v>172.5</v>
      </c>
      <c r="K426" t="s">
        <v>2030</v>
      </c>
    </row>
    <row r="427" spans="1:11" x14ac:dyDescent="0.3">
      <c r="A427" t="s">
        <v>1550</v>
      </c>
      <c r="B427" s="18">
        <v>43227</v>
      </c>
      <c r="C427" s="19" t="s">
        <v>1560</v>
      </c>
      <c r="D427" s="19">
        <v>1</v>
      </c>
      <c r="E427" s="20" t="s">
        <v>1562</v>
      </c>
      <c r="F427" s="20" t="s">
        <v>1408</v>
      </c>
      <c r="G427" s="105"/>
      <c r="H427" s="18">
        <v>43221</v>
      </c>
      <c r="I427" s="19" t="s">
        <v>1799</v>
      </c>
      <c r="J427" s="21">
        <v>172.5</v>
      </c>
      <c r="K427" t="s">
        <v>2030</v>
      </c>
    </row>
    <row r="428" spans="1:11" x14ac:dyDescent="0.3">
      <c r="A428" t="s">
        <v>1550</v>
      </c>
      <c r="B428" s="18">
        <v>43227</v>
      </c>
      <c r="C428" s="19" t="s">
        <v>1560</v>
      </c>
      <c r="D428" s="19">
        <v>1</v>
      </c>
      <c r="E428" s="20" t="s">
        <v>1562</v>
      </c>
      <c r="F428" s="20" t="s">
        <v>1395</v>
      </c>
      <c r="G428" s="105"/>
      <c r="H428" s="18">
        <v>43221</v>
      </c>
      <c r="I428" s="19" t="s">
        <v>1800</v>
      </c>
      <c r="J428" s="21">
        <v>225</v>
      </c>
      <c r="K428" t="s">
        <v>2030</v>
      </c>
    </row>
    <row r="429" spans="1:11" x14ac:dyDescent="0.3">
      <c r="A429" t="s">
        <v>1550</v>
      </c>
      <c r="B429" s="18">
        <v>43227</v>
      </c>
      <c r="C429" s="19" t="s">
        <v>1560</v>
      </c>
      <c r="D429" s="19">
        <v>1</v>
      </c>
      <c r="E429" s="20" t="s">
        <v>1562</v>
      </c>
      <c r="F429" s="20" t="s">
        <v>1398</v>
      </c>
      <c r="G429" s="105"/>
      <c r="H429" s="18">
        <v>43221</v>
      </c>
      <c r="I429" s="19" t="s">
        <v>1801</v>
      </c>
      <c r="J429" s="21">
        <v>225</v>
      </c>
      <c r="K429" t="s">
        <v>2030</v>
      </c>
    </row>
    <row r="430" spans="1:11" x14ac:dyDescent="0.3">
      <c r="A430" t="s">
        <v>1550</v>
      </c>
      <c r="B430" s="18">
        <v>43227</v>
      </c>
      <c r="C430" s="19" t="s">
        <v>1560</v>
      </c>
      <c r="D430" s="19">
        <v>1</v>
      </c>
      <c r="E430" s="20" t="s">
        <v>1562</v>
      </c>
      <c r="F430" s="20" t="s">
        <v>1396</v>
      </c>
      <c r="G430" s="105"/>
      <c r="H430" s="18">
        <v>43221</v>
      </c>
      <c r="I430" s="19" t="s">
        <v>1802</v>
      </c>
      <c r="J430" s="21">
        <v>225</v>
      </c>
      <c r="K430" t="s">
        <v>2030</v>
      </c>
    </row>
    <row r="431" spans="1:11" x14ac:dyDescent="0.3">
      <c r="A431" t="s">
        <v>1550</v>
      </c>
      <c r="B431" s="18">
        <v>43227</v>
      </c>
      <c r="C431" s="19" t="s">
        <v>1560</v>
      </c>
      <c r="D431" s="19">
        <v>1</v>
      </c>
      <c r="E431" s="20" t="s">
        <v>1562</v>
      </c>
      <c r="F431" s="20" t="s">
        <v>1393</v>
      </c>
      <c r="G431" s="105"/>
      <c r="H431" s="18">
        <v>43221</v>
      </c>
      <c r="I431" s="19" t="s">
        <v>1803</v>
      </c>
      <c r="J431" s="21">
        <v>225</v>
      </c>
      <c r="K431" t="s">
        <v>2030</v>
      </c>
    </row>
    <row r="432" spans="1:11" x14ac:dyDescent="0.3">
      <c r="A432" t="s">
        <v>1550</v>
      </c>
      <c r="B432" s="18">
        <v>43227</v>
      </c>
      <c r="C432" s="19" t="s">
        <v>1560</v>
      </c>
      <c r="D432" s="19">
        <v>1</v>
      </c>
      <c r="E432" s="20" t="s">
        <v>1562</v>
      </c>
      <c r="F432" s="20" t="s">
        <v>1402</v>
      </c>
      <c r="G432" s="105"/>
      <c r="H432" s="18">
        <v>43221</v>
      </c>
      <c r="I432" s="19" t="s">
        <v>1804</v>
      </c>
      <c r="J432" s="21">
        <v>172.5</v>
      </c>
      <c r="K432" t="s">
        <v>2030</v>
      </c>
    </row>
    <row r="433" spans="1:11" x14ac:dyDescent="0.3">
      <c r="A433" t="s">
        <v>1550</v>
      </c>
      <c r="B433" s="18">
        <v>43227</v>
      </c>
      <c r="C433" s="19" t="s">
        <v>1560</v>
      </c>
      <c r="D433" s="19">
        <v>1</v>
      </c>
      <c r="E433" s="20" t="s">
        <v>1562</v>
      </c>
      <c r="F433" s="20" t="s">
        <v>1401</v>
      </c>
      <c r="G433" s="105"/>
      <c r="H433" s="18">
        <v>43221</v>
      </c>
      <c r="I433" s="19" t="s">
        <v>1805</v>
      </c>
      <c r="J433" s="21">
        <v>225</v>
      </c>
      <c r="K433" t="s">
        <v>2030</v>
      </c>
    </row>
    <row r="434" spans="1:11" x14ac:dyDescent="0.3">
      <c r="A434" t="s">
        <v>1550</v>
      </c>
      <c r="B434" s="18">
        <v>43227</v>
      </c>
      <c r="C434" s="19" t="s">
        <v>1560</v>
      </c>
      <c r="D434" s="19">
        <v>1</v>
      </c>
      <c r="E434" s="20" t="s">
        <v>1562</v>
      </c>
      <c r="F434" s="20" t="s">
        <v>1392</v>
      </c>
      <c r="G434" s="105"/>
      <c r="H434" s="18">
        <v>43221</v>
      </c>
      <c r="I434" s="19" t="s">
        <v>1806</v>
      </c>
      <c r="J434" s="21">
        <v>225</v>
      </c>
      <c r="K434" t="s">
        <v>2030</v>
      </c>
    </row>
    <row r="435" spans="1:11" x14ac:dyDescent="0.3">
      <c r="A435" t="s">
        <v>1550</v>
      </c>
      <c r="B435" s="18">
        <v>43227</v>
      </c>
      <c r="C435" s="19" t="s">
        <v>1560</v>
      </c>
      <c r="D435" s="19">
        <v>1</v>
      </c>
      <c r="E435" s="20" t="s">
        <v>1562</v>
      </c>
      <c r="F435" s="20" t="s">
        <v>1397</v>
      </c>
      <c r="G435" s="105"/>
      <c r="H435" s="18">
        <v>43221</v>
      </c>
      <c r="I435" s="19" t="s">
        <v>1807</v>
      </c>
      <c r="J435" s="21">
        <v>225</v>
      </c>
      <c r="K435" t="s">
        <v>2030</v>
      </c>
    </row>
    <row r="436" spans="1:11" x14ac:dyDescent="0.3">
      <c r="A436" t="s">
        <v>1550</v>
      </c>
      <c r="B436" s="18">
        <v>43227</v>
      </c>
      <c r="C436" s="19" t="s">
        <v>1560</v>
      </c>
      <c r="D436" s="19">
        <v>1</v>
      </c>
      <c r="E436" s="20" t="s">
        <v>1562</v>
      </c>
      <c r="F436" s="20" t="s">
        <v>1394</v>
      </c>
      <c r="G436" s="105"/>
      <c r="H436" s="18">
        <v>43221</v>
      </c>
      <c r="I436" s="19" t="s">
        <v>1808</v>
      </c>
      <c r="J436" s="21">
        <v>225</v>
      </c>
      <c r="K436" t="s">
        <v>2030</v>
      </c>
    </row>
    <row r="437" spans="1:11" x14ac:dyDescent="0.3">
      <c r="A437" t="s">
        <v>1550</v>
      </c>
      <c r="B437" s="18">
        <v>43227</v>
      </c>
      <c r="C437" s="19" t="s">
        <v>1560</v>
      </c>
      <c r="D437" s="19">
        <v>1</v>
      </c>
      <c r="E437" s="20" t="s">
        <v>1562</v>
      </c>
      <c r="F437" s="20" t="s">
        <v>1399</v>
      </c>
      <c r="G437" s="105"/>
      <c r="H437" s="18">
        <v>43221</v>
      </c>
      <c r="I437" s="19" t="s">
        <v>1809</v>
      </c>
      <c r="J437" s="21">
        <v>225</v>
      </c>
      <c r="K437" t="s">
        <v>2030</v>
      </c>
    </row>
    <row r="438" spans="1:11" x14ac:dyDescent="0.3">
      <c r="A438" t="s">
        <v>1550</v>
      </c>
      <c r="B438" s="18">
        <v>43227</v>
      </c>
      <c r="C438" s="19" t="s">
        <v>1560</v>
      </c>
      <c r="D438" s="19">
        <v>1</v>
      </c>
      <c r="E438" s="20" t="s">
        <v>1562</v>
      </c>
      <c r="F438" s="20" t="s">
        <v>1391</v>
      </c>
      <c r="G438" s="105"/>
      <c r="H438" s="18">
        <v>43221</v>
      </c>
      <c r="I438" s="19" t="s">
        <v>1810</v>
      </c>
      <c r="J438" s="21">
        <v>225</v>
      </c>
      <c r="K438" t="s">
        <v>2030</v>
      </c>
    </row>
    <row r="439" spans="1:11" x14ac:dyDescent="0.3">
      <c r="A439" t="s">
        <v>1550</v>
      </c>
      <c r="B439" s="18">
        <v>43227</v>
      </c>
      <c r="C439" s="19" t="s">
        <v>1560</v>
      </c>
      <c r="D439" s="19">
        <v>1</v>
      </c>
      <c r="E439" s="20" t="s">
        <v>1562</v>
      </c>
      <c r="F439" s="20" t="s">
        <v>1388</v>
      </c>
      <c r="G439" s="105"/>
      <c r="H439" s="18">
        <v>43221</v>
      </c>
      <c r="I439" s="19" t="s">
        <v>1811</v>
      </c>
      <c r="J439" s="21">
        <v>172.5</v>
      </c>
      <c r="K439" t="s">
        <v>2030</v>
      </c>
    </row>
    <row r="440" spans="1:11" x14ac:dyDescent="0.3">
      <c r="A440" t="s">
        <v>1550</v>
      </c>
      <c r="B440" s="18">
        <v>43227</v>
      </c>
      <c r="C440" s="19" t="s">
        <v>1560</v>
      </c>
      <c r="D440" s="19">
        <v>1</v>
      </c>
      <c r="E440" s="20" t="s">
        <v>1562</v>
      </c>
      <c r="F440" s="20" t="s">
        <v>1389</v>
      </c>
      <c r="G440" s="105"/>
      <c r="H440" s="18">
        <v>43221</v>
      </c>
      <c r="I440" s="19" t="s">
        <v>1812</v>
      </c>
      <c r="J440" s="21">
        <v>172.5</v>
      </c>
      <c r="K440" t="s">
        <v>2030</v>
      </c>
    </row>
    <row r="441" spans="1:11" x14ac:dyDescent="0.3">
      <c r="A441" t="s">
        <v>1550</v>
      </c>
      <c r="B441" s="18">
        <v>43227</v>
      </c>
      <c r="C441" s="19" t="s">
        <v>1560</v>
      </c>
      <c r="D441" s="19">
        <v>1</v>
      </c>
      <c r="E441" s="20" t="s">
        <v>1562</v>
      </c>
      <c r="F441" s="20" t="s">
        <v>1410</v>
      </c>
      <c r="G441" s="105"/>
      <c r="H441" s="18">
        <v>43221</v>
      </c>
      <c r="I441" s="19" t="s">
        <v>1813</v>
      </c>
      <c r="J441" s="21">
        <v>172.5</v>
      </c>
      <c r="K441" t="s">
        <v>2030</v>
      </c>
    </row>
    <row r="442" spans="1:11" x14ac:dyDescent="0.3">
      <c r="A442" t="s">
        <v>1550</v>
      </c>
      <c r="B442" s="18">
        <v>43227</v>
      </c>
      <c r="C442" s="19" t="s">
        <v>1560</v>
      </c>
      <c r="D442" s="19">
        <v>1</v>
      </c>
      <c r="E442" s="20" t="s">
        <v>1562</v>
      </c>
      <c r="F442" s="20" t="s">
        <v>1436</v>
      </c>
      <c r="G442" s="105"/>
      <c r="H442" s="18">
        <v>43221</v>
      </c>
      <c r="I442" s="19" t="s">
        <v>1814</v>
      </c>
      <c r="J442" s="21">
        <v>232.5</v>
      </c>
      <c r="K442" t="s">
        <v>2030</v>
      </c>
    </row>
    <row r="443" spans="1:11" x14ac:dyDescent="0.3">
      <c r="A443" t="s">
        <v>1550</v>
      </c>
      <c r="B443" s="18">
        <v>43227</v>
      </c>
      <c r="C443" s="19" t="s">
        <v>1560</v>
      </c>
      <c r="D443" s="19">
        <v>1</v>
      </c>
      <c r="E443" s="20" t="s">
        <v>1562</v>
      </c>
      <c r="F443" s="20" t="s">
        <v>1431</v>
      </c>
      <c r="G443" s="105"/>
      <c r="H443" s="18">
        <v>43221</v>
      </c>
      <c r="I443" s="19" t="s">
        <v>1815</v>
      </c>
      <c r="J443" s="21">
        <v>480</v>
      </c>
      <c r="K443" t="s">
        <v>2030</v>
      </c>
    </row>
    <row r="444" spans="1:11" x14ac:dyDescent="0.3">
      <c r="A444" t="s">
        <v>1550</v>
      </c>
      <c r="B444" s="18">
        <v>43227</v>
      </c>
      <c r="C444" s="19" t="s">
        <v>1560</v>
      </c>
      <c r="D444" s="19">
        <v>1</v>
      </c>
      <c r="E444" s="20" t="s">
        <v>1562</v>
      </c>
      <c r="F444" s="20" t="s">
        <v>1430</v>
      </c>
      <c r="G444" s="105"/>
      <c r="H444" s="18">
        <v>43221</v>
      </c>
      <c r="I444" s="19" t="s">
        <v>1816</v>
      </c>
      <c r="J444" s="21">
        <v>270</v>
      </c>
      <c r="K444" t="s">
        <v>2030</v>
      </c>
    </row>
    <row r="445" spans="1:11" x14ac:dyDescent="0.3">
      <c r="A445" t="s">
        <v>1550</v>
      </c>
      <c r="B445" s="18">
        <v>43227</v>
      </c>
      <c r="C445" s="19" t="s">
        <v>1560</v>
      </c>
      <c r="D445" s="19">
        <v>1</v>
      </c>
      <c r="E445" s="20" t="s">
        <v>1562</v>
      </c>
      <c r="F445" s="20" t="s">
        <v>1426</v>
      </c>
      <c r="G445" s="105"/>
      <c r="H445" s="18">
        <v>43221</v>
      </c>
      <c r="I445" s="19" t="s">
        <v>1817</v>
      </c>
      <c r="J445" s="21">
        <v>172.5</v>
      </c>
      <c r="K445" t="s">
        <v>2030</v>
      </c>
    </row>
    <row r="446" spans="1:11" x14ac:dyDescent="0.3">
      <c r="A446" t="s">
        <v>1550</v>
      </c>
      <c r="B446" s="18">
        <v>43227</v>
      </c>
      <c r="C446" s="19" t="s">
        <v>1560</v>
      </c>
      <c r="D446" s="19">
        <v>1</v>
      </c>
      <c r="E446" s="20" t="s">
        <v>1562</v>
      </c>
      <c r="F446" s="20" t="s">
        <v>1434</v>
      </c>
      <c r="G446" s="105"/>
      <c r="H446" s="18">
        <v>43221</v>
      </c>
      <c r="I446" s="19" t="s">
        <v>1818</v>
      </c>
      <c r="J446" s="21">
        <v>480</v>
      </c>
      <c r="K446" t="s">
        <v>2030</v>
      </c>
    </row>
    <row r="447" spans="1:11" x14ac:dyDescent="0.3">
      <c r="A447" t="s">
        <v>1550</v>
      </c>
      <c r="B447" s="18">
        <v>43227</v>
      </c>
      <c r="C447" s="19" t="s">
        <v>1560</v>
      </c>
      <c r="D447" s="19">
        <v>1</v>
      </c>
      <c r="E447" s="20" t="s">
        <v>1562</v>
      </c>
      <c r="F447" s="20" t="s">
        <v>1428</v>
      </c>
      <c r="G447" s="105"/>
      <c r="H447" s="18">
        <v>43221</v>
      </c>
      <c r="I447" s="19" t="s">
        <v>1819</v>
      </c>
      <c r="J447" s="21">
        <v>270</v>
      </c>
      <c r="K447" t="s">
        <v>2030</v>
      </c>
    </row>
    <row r="448" spans="1:11" x14ac:dyDescent="0.3">
      <c r="A448" t="s">
        <v>1550</v>
      </c>
      <c r="B448" s="18">
        <v>43227</v>
      </c>
      <c r="C448" s="19" t="s">
        <v>1560</v>
      </c>
      <c r="D448" s="19">
        <v>1</v>
      </c>
      <c r="E448" s="20" t="s">
        <v>1562</v>
      </c>
      <c r="F448" s="20" t="s">
        <v>1437</v>
      </c>
      <c r="G448" s="105"/>
      <c r="H448" s="18">
        <v>43221</v>
      </c>
      <c r="I448" s="19" t="s">
        <v>1820</v>
      </c>
      <c r="J448" s="21">
        <v>232.5</v>
      </c>
      <c r="K448" t="s">
        <v>2030</v>
      </c>
    </row>
    <row r="449" spans="1:11" x14ac:dyDescent="0.3">
      <c r="A449" t="s">
        <v>1550</v>
      </c>
      <c r="B449" s="18">
        <v>43227</v>
      </c>
      <c r="C449" s="19" t="s">
        <v>1560</v>
      </c>
      <c r="D449" s="19">
        <v>1</v>
      </c>
      <c r="E449" s="20" t="s">
        <v>1562</v>
      </c>
      <c r="F449" s="20" t="s">
        <v>1435</v>
      </c>
      <c r="G449" s="105"/>
      <c r="H449" s="18">
        <v>43221</v>
      </c>
      <c r="I449" s="19" t="s">
        <v>1821</v>
      </c>
      <c r="J449" s="21">
        <v>232.5</v>
      </c>
      <c r="K449" t="s">
        <v>2030</v>
      </c>
    </row>
    <row r="450" spans="1:11" x14ac:dyDescent="0.3">
      <c r="A450" t="s">
        <v>1550</v>
      </c>
      <c r="B450" s="18">
        <v>43227</v>
      </c>
      <c r="C450" s="19" t="s">
        <v>1560</v>
      </c>
      <c r="D450" s="19">
        <v>1</v>
      </c>
      <c r="E450" s="20" t="s">
        <v>1562</v>
      </c>
      <c r="F450" s="20" t="s">
        <v>1432</v>
      </c>
      <c r="G450" s="105"/>
      <c r="H450" s="18">
        <v>43221</v>
      </c>
      <c r="I450" s="19" t="s">
        <v>1822</v>
      </c>
      <c r="J450" s="21">
        <v>480</v>
      </c>
      <c r="K450" t="s">
        <v>2030</v>
      </c>
    </row>
    <row r="451" spans="1:11" x14ac:dyDescent="0.3">
      <c r="A451" t="s">
        <v>1550</v>
      </c>
      <c r="B451" s="18">
        <v>43227</v>
      </c>
      <c r="C451" s="19" t="s">
        <v>1560</v>
      </c>
      <c r="D451" s="19">
        <v>1</v>
      </c>
      <c r="E451" s="20" t="s">
        <v>1562</v>
      </c>
      <c r="F451" s="20" t="s">
        <v>1425</v>
      </c>
      <c r="G451" s="105"/>
      <c r="H451" s="18">
        <v>43221</v>
      </c>
      <c r="I451" s="19" t="s">
        <v>1823</v>
      </c>
      <c r="J451" s="21">
        <v>480</v>
      </c>
      <c r="K451" t="s">
        <v>2030</v>
      </c>
    </row>
    <row r="452" spans="1:11" x14ac:dyDescent="0.3">
      <c r="A452" t="s">
        <v>1550</v>
      </c>
      <c r="B452" s="18">
        <v>43227</v>
      </c>
      <c r="C452" s="19" t="s">
        <v>1560</v>
      </c>
      <c r="D452" s="19">
        <v>1</v>
      </c>
      <c r="E452" s="20" t="s">
        <v>1562</v>
      </c>
      <c r="F452" s="20" t="s">
        <v>1427</v>
      </c>
      <c r="G452" s="105"/>
      <c r="H452" s="18">
        <v>43221</v>
      </c>
      <c r="I452" s="19" t="s">
        <v>1824</v>
      </c>
      <c r="J452" s="21">
        <v>172.5</v>
      </c>
      <c r="K452" t="s">
        <v>2030</v>
      </c>
    </row>
    <row r="453" spans="1:11" x14ac:dyDescent="0.3">
      <c r="A453" t="s">
        <v>1550</v>
      </c>
      <c r="B453" s="18">
        <v>43227</v>
      </c>
      <c r="C453" s="19" t="s">
        <v>1560</v>
      </c>
      <c r="D453" s="19">
        <v>1</v>
      </c>
      <c r="E453" s="20" t="s">
        <v>1562</v>
      </c>
      <c r="F453" s="20" t="s">
        <v>1433</v>
      </c>
      <c r="G453" s="105"/>
      <c r="H453" s="18">
        <v>43221</v>
      </c>
      <c r="I453" s="19" t="s">
        <v>1825</v>
      </c>
      <c r="J453" s="21">
        <v>480</v>
      </c>
      <c r="K453" t="s">
        <v>2030</v>
      </c>
    </row>
    <row r="454" spans="1:11" x14ac:dyDescent="0.3">
      <c r="A454" t="s">
        <v>1550</v>
      </c>
      <c r="B454" s="18">
        <v>43227</v>
      </c>
      <c r="C454" s="19" t="s">
        <v>1560</v>
      </c>
      <c r="D454" s="19">
        <v>1</v>
      </c>
      <c r="E454" s="20" t="s">
        <v>1562</v>
      </c>
      <c r="F454" s="20" t="s">
        <v>1421</v>
      </c>
      <c r="G454" s="105"/>
      <c r="H454" s="18">
        <v>43221</v>
      </c>
      <c r="I454" s="19" t="s">
        <v>1826</v>
      </c>
      <c r="J454" s="21">
        <v>270</v>
      </c>
      <c r="K454" t="s">
        <v>2030</v>
      </c>
    </row>
    <row r="455" spans="1:11" x14ac:dyDescent="0.3">
      <c r="A455" t="s">
        <v>1550</v>
      </c>
      <c r="B455" s="18">
        <v>43227</v>
      </c>
      <c r="C455" s="19" t="s">
        <v>1560</v>
      </c>
      <c r="D455" s="19">
        <v>1</v>
      </c>
      <c r="E455" s="20" t="s">
        <v>1562</v>
      </c>
      <c r="F455" s="20" t="s">
        <v>1416</v>
      </c>
      <c r="G455" s="105"/>
      <c r="H455" s="18">
        <v>43221</v>
      </c>
      <c r="I455" s="19" t="s">
        <v>1827</v>
      </c>
      <c r="J455" s="21">
        <v>225</v>
      </c>
      <c r="K455" t="s">
        <v>2030</v>
      </c>
    </row>
    <row r="456" spans="1:11" x14ac:dyDescent="0.3">
      <c r="A456" t="s">
        <v>1550</v>
      </c>
      <c r="B456" s="18">
        <v>43227</v>
      </c>
      <c r="C456" s="19" t="s">
        <v>1560</v>
      </c>
      <c r="D456" s="19">
        <v>1</v>
      </c>
      <c r="E456" s="20" t="s">
        <v>1562</v>
      </c>
      <c r="F456" s="20" t="s">
        <v>1420</v>
      </c>
      <c r="G456" s="105"/>
      <c r="H456" s="18">
        <v>43221</v>
      </c>
      <c r="I456" s="19" t="s">
        <v>1828</v>
      </c>
      <c r="J456" s="21">
        <v>270</v>
      </c>
      <c r="K456" t="s">
        <v>2030</v>
      </c>
    </row>
    <row r="457" spans="1:11" x14ac:dyDescent="0.3">
      <c r="A457" t="s">
        <v>1550</v>
      </c>
      <c r="B457" s="18">
        <v>43227</v>
      </c>
      <c r="C457" s="19" t="s">
        <v>1560</v>
      </c>
      <c r="D457" s="19">
        <v>1</v>
      </c>
      <c r="E457" s="20" t="s">
        <v>1562</v>
      </c>
      <c r="F457" s="20" t="s">
        <v>1418</v>
      </c>
      <c r="G457" s="105"/>
      <c r="H457" s="18">
        <v>43221</v>
      </c>
      <c r="I457" s="19" t="s">
        <v>1829</v>
      </c>
      <c r="J457" s="21">
        <v>270</v>
      </c>
      <c r="K457" t="s">
        <v>2030</v>
      </c>
    </row>
    <row r="458" spans="1:11" x14ac:dyDescent="0.3">
      <c r="A458" t="s">
        <v>1550</v>
      </c>
      <c r="B458" s="18">
        <v>43227</v>
      </c>
      <c r="C458" s="19" t="s">
        <v>1560</v>
      </c>
      <c r="D458" s="19">
        <v>1</v>
      </c>
      <c r="E458" s="20" t="s">
        <v>1562</v>
      </c>
      <c r="F458" s="20" t="s">
        <v>1412</v>
      </c>
      <c r="G458" s="105"/>
      <c r="H458" s="18">
        <v>43221</v>
      </c>
      <c r="I458" s="19" t="s">
        <v>1830</v>
      </c>
      <c r="J458" s="21">
        <v>172.5</v>
      </c>
      <c r="K458" t="s">
        <v>2030</v>
      </c>
    </row>
    <row r="459" spans="1:11" x14ac:dyDescent="0.3">
      <c r="A459" t="s">
        <v>1550</v>
      </c>
      <c r="B459" s="18">
        <v>43227</v>
      </c>
      <c r="C459" s="19" t="s">
        <v>1560</v>
      </c>
      <c r="D459" s="19">
        <v>1</v>
      </c>
      <c r="E459" s="20" t="s">
        <v>1562</v>
      </c>
      <c r="F459" s="20" t="s">
        <v>1423</v>
      </c>
      <c r="G459" s="105"/>
      <c r="H459" s="18">
        <v>43221</v>
      </c>
      <c r="I459" s="19" t="s">
        <v>1831</v>
      </c>
      <c r="J459" s="21">
        <v>480</v>
      </c>
      <c r="K459" t="s">
        <v>2030</v>
      </c>
    </row>
    <row r="460" spans="1:11" x14ac:dyDescent="0.3">
      <c r="A460" t="s">
        <v>1550</v>
      </c>
      <c r="B460" s="18">
        <v>43227</v>
      </c>
      <c r="C460" s="19" t="s">
        <v>1560</v>
      </c>
      <c r="D460" s="19">
        <v>1</v>
      </c>
      <c r="E460" s="20" t="s">
        <v>1562</v>
      </c>
      <c r="F460" s="20" t="s">
        <v>1419</v>
      </c>
      <c r="G460" s="105"/>
      <c r="H460" s="18">
        <v>43221</v>
      </c>
      <c r="I460" s="19" t="s">
        <v>1832</v>
      </c>
      <c r="J460" s="21">
        <v>270</v>
      </c>
      <c r="K460" t="s">
        <v>2030</v>
      </c>
    </row>
    <row r="461" spans="1:11" x14ac:dyDescent="0.3">
      <c r="A461" t="s">
        <v>1550</v>
      </c>
      <c r="B461" s="18">
        <v>43227</v>
      </c>
      <c r="C461" s="19" t="s">
        <v>1560</v>
      </c>
      <c r="D461" s="19">
        <v>1</v>
      </c>
      <c r="E461" s="20" t="s">
        <v>1562</v>
      </c>
      <c r="F461" s="20" t="s">
        <v>1414</v>
      </c>
      <c r="G461" s="105"/>
      <c r="H461" s="18">
        <v>43221</v>
      </c>
      <c r="I461" s="19" t="s">
        <v>1833</v>
      </c>
      <c r="J461" s="21">
        <v>225</v>
      </c>
      <c r="K461" t="s">
        <v>2030</v>
      </c>
    </row>
    <row r="462" spans="1:11" x14ac:dyDescent="0.3">
      <c r="A462" t="s">
        <v>1550</v>
      </c>
      <c r="B462" s="18">
        <v>43227</v>
      </c>
      <c r="C462" s="19" t="s">
        <v>1560</v>
      </c>
      <c r="D462" s="19">
        <v>1</v>
      </c>
      <c r="E462" s="20" t="s">
        <v>1562</v>
      </c>
      <c r="F462" s="20" t="s">
        <v>1422</v>
      </c>
      <c r="G462" s="105"/>
      <c r="H462" s="18">
        <v>43221</v>
      </c>
      <c r="I462" s="19" t="s">
        <v>1834</v>
      </c>
      <c r="J462" s="21">
        <v>480</v>
      </c>
      <c r="K462" t="s">
        <v>2030</v>
      </c>
    </row>
    <row r="463" spans="1:11" x14ac:dyDescent="0.3">
      <c r="A463" t="s">
        <v>1550</v>
      </c>
      <c r="B463" s="18">
        <v>43227</v>
      </c>
      <c r="C463" s="19" t="s">
        <v>1560</v>
      </c>
      <c r="D463" s="19">
        <v>1</v>
      </c>
      <c r="E463" s="20" t="s">
        <v>1562</v>
      </c>
      <c r="F463" s="20" t="s">
        <v>1413</v>
      </c>
      <c r="G463" s="105"/>
      <c r="H463" s="18">
        <v>43221</v>
      </c>
      <c r="I463" s="19" t="s">
        <v>1835</v>
      </c>
      <c r="J463" s="21">
        <v>225</v>
      </c>
      <c r="K463" t="s">
        <v>2030</v>
      </c>
    </row>
    <row r="464" spans="1:11" x14ac:dyDescent="0.3">
      <c r="A464" t="s">
        <v>1550</v>
      </c>
      <c r="B464" s="18">
        <v>43227</v>
      </c>
      <c r="C464" s="19" t="s">
        <v>1560</v>
      </c>
      <c r="D464" s="19">
        <v>1</v>
      </c>
      <c r="E464" s="20" t="s">
        <v>1562</v>
      </c>
      <c r="F464" s="20" t="s">
        <v>1417</v>
      </c>
      <c r="G464" s="105"/>
      <c r="H464" s="18">
        <v>43221</v>
      </c>
      <c r="I464" s="19" t="s">
        <v>1836</v>
      </c>
      <c r="J464" s="21">
        <v>225</v>
      </c>
      <c r="K464" t="s">
        <v>2030</v>
      </c>
    </row>
    <row r="465" spans="1:11" x14ac:dyDescent="0.3">
      <c r="A465" s="20" t="s">
        <v>1550</v>
      </c>
      <c r="B465" s="18">
        <v>43229</v>
      </c>
      <c r="C465" s="19" t="s">
        <v>2055</v>
      </c>
      <c r="D465" s="19">
        <v>16</v>
      </c>
      <c r="E465" s="20" t="s">
        <v>1561</v>
      </c>
      <c r="F465" s="20" t="s">
        <v>1459</v>
      </c>
      <c r="G465" s="105"/>
      <c r="H465" s="18">
        <v>43221</v>
      </c>
      <c r="I465" s="19" t="s">
        <v>2056</v>
      </c>
      <c r="J465" s="21">
        <v>172.5</v>
      </c>
      <c r="K465" t="s">
        <v>2030</v>
      </c>
    </row>
    <row r="466" spans="1:11" x14ac:dyDescent="0.3">
      <c r="A466" s="20" t="s">
        <v>1550</v>
      </c>
      <c r="B466" s="18">
        <v>43229</v>
      </c>
      <c r="C466" s="19" t="s">
        <v>2055</v>
      </c>
      <c r="D466" s="19">
        <v>16</v>
      </c>
      <c r="E466" s="20" t="s">
        <v>1561</v>
      </c>
      <c r="F466" s="20" t="s">
        <v>1471</v>
      </c>
      <c r="G466" s="105"/>
      <c r="H466" s="18">
        <v>43221</v>
      </c>
      <c r="I466" s="19" t="s">
        <v>2057</v>
      </c>
      <c r="J466" s="21">
        <v>172.5</v>
      </c>
      <c r="K466" t="s">
        <v>2030</v>
      </c>
    </row>
    <row r="467" spans="1:11" x14ac:dyDescent="0.3">
      <c r="A467" s="20" t="s">
        <v>1550</v>
      </c>
      <c r="B467" s="18">
        <v>43229</v>
      </c>
      <c r="C467" s="19" t="s">
        <v>2055</v>
      </c>
      <c r="D467" s="19">
        <v>16</v>
      </c>
      <c r="E467" s="20" t="s">
        <v>1561</v>
      </c>
      <c r="F467" s="20" t="s">
        <v>1472</v>
      </c>
      <c r="G467" s="105"/>
      <c r="H467" s="18">
        <v>43221</v>
      </c>
      <c r="I467" s="19" t="s">
        <v>2058</v>
      </c>
      <c r="J467" s="21">
        <v>172.5</v>
      </c>
      <c r="K467" t="s">
        <v>2030</v>
      </c>
    </row>
    <row r="468" spans="1:11" x14ac:dyDescent="0.3">
      <c r="A468" s="20" t="s">
        <v>1550</v>
      </c>
      <c r="B468" s="18">
        <v>43229</v>
      </c>
      <c r="C468" s="19" t="s">
        <v>2055</v>
      </c>
      <c r="D468" s="19">
        <v>16</v>
      </c>
      <c r="E468" s="20" t="s">
        <v>1561</v>
      </c>
      <c r="F468" s="20" t="s">
        <v>1473</v>
      </c>
      <c r="G468" s="105"/>
      <c r="H468" s="18">
        <v>43221</v>
      </c>
      <c r="I468" s="19" t="s">
        <v>2059</v>
      </c>
      <c r="J468" s="21">
        <v>172.5</v>
      </c>
      <c r="K468" t="s">
        <v>2030</v>
      </c>
    </row>
    <row r="469" spans="1:11" x14ac:dyDescent="0.3">
      <c r="A469" s="20" t="s">
        <v>1550</v>
      </c>
      <c r="B469" s="18">
        <v>43229</v>
      </c>
      <c r="C469" s="19" t="s">
        <v>2055</v>
      </c>
      <c r="D469" s="19">
        <v>16</v>
      </c>
      <c r="E469" s="20" t="s">
        <v>1561</v>
      </c>
      <c r="F469" s="20" t="s">
        <v>1466</v>
      </c>
      <c r="G469" s="105"/>
      <c r="H469" s="18">
        <v>43221</v>
      </c>
      <c r="I469" s="19" t="s">
        <v>2071</v>
      </c>
      <c r="J469" s="21">
        <v>172.5</v>
      </c>
      <c r="K469" t="s">
        <v>2030</v>
      </c>
    </row>
    <row r="470" spans="1:11" x14ac:dyDescent="0.3">
      <c r="A470" s="20" t="s">
        <v>1550</v>
      </c>
      <c r="B470" s="18">
        <v>43229</v>
      </c>
      <c r="C470" s="19" t="s">
        <v>2055</v>
      </c>
      <c r="D470" s="19">
        <v>16</v>
      </c>
      <c r="E470" s="20" t="s">
        <v>1561</v>
      </c>
      <c r="F470" s="20" t="s">
        <v>1464</v>
      </c>
      <c r="G470" s="105"/>
      <c r="H470" s="18">
        <v>43221</v>
      </c>
      <c r="I470" s="19" t="s">
        <v>2072</v>
      </c>
      <c r="J470" s="21">
        <v>172.5</v>
      </c>
      <c r="K470" t="s">
        <v>2030</v>
      </c>
    </row>
    <row r="471" spans="1:11" x14ac:dyDescent="0.3">
      <c r="A471" s="20" t="s">
        <v>1550</v>
      </c>
      <c r="B471" s="18">
        <v>43229</v>
      </c>
      <c r="C471" s="19" t="s">
        <v>2055</v>
      </c>
      <c r="D471" s="19">
        <v>16</v>
      </c>
      <c r="E471" s="20" t="s">
        <v>1561</v>
      </c>
      <c r="F471" s="20" t="s">
        <v>1470</v>
      </c>
      <c r="G471" s="105"/>
      <c r="H471" s="18">
        <v>43221</v>
      </c>
      <c r="I471" s="19" t="s">
        <v>2073</v>
      </c>
      <c r="J471" s="21">
        <v>172.5</v>
      </c>
      <c r="K471" t="s">
        <v>2030</v>
      </c>
    </row>
    <row r="472" spans="1:11" x14ac:dyDescent="0.3">
      <c r="A472" s="20" t="s">
        <v>1550</v>
      </c>
      <c r="B472" s="18">
        <v>43229</v>
      </c>
      <c r="C472" s="19" t="s">
        <v>2055</v>
      </c>
      <c r="D472" s="19">
        <v>16</v>
      </c>
      <c r="E472" s="20" t="s">
        <v>1561</v>
      </c>
      <c r="F472" s="20" t="s">
        <v>1468</v>
      </c>
      <c r="G472" s="105"/>
      <c r="H472" s="18">
        <v>43221</v>
      </c>
      <c r="I472" s="19" t="s">
        <v>2074</v>
      </c>
      <c r="J472" s="21">
        <v>172.5</v>
      </c>
      <c r="K472" t="s">
        <v>2030</v>
      </c>
    </row>
    <row r="473" spans="1:11" x14ac:dyDescent="0.3">
      <c r="A473" s="20" t="s">
        <v>1550</v>
      </c>
      <c r="B473" s="18">
        <v>43229</v>
      </c>
      <c r="C473" s="19" t="s">
        <v>2055</v>
      </c>
      <c r="D473" s="19">
        <v>16</v>
      </c>
      <c r="E473" s="20" t="s">
        <v>1561</v>
      </c>
      <c r="F473" s="20" t="s">
        <v>1465</v>
      </c>
      <c r="G473" s="105"/>
      <c r="H473" s="18">
        <v>43221</v>
      </c>
      <c r="I473" s="19" t="s">
        <v>2075</v>
      </c>
      <c r="J473" s="21">
        <v>172.5</v>
      </c>
      <c r="K473" t="s">
        <v>2030</v>
      </c>
    </row>
    <row r="474" spans="1:11" x14ac:dyDescent="0.3">
      <c r="A474" s="20" t="s">
        <v>1550</v>
      </c>
      <c r="B474" s="18">
        <v>43229</v>
      </c>
      <c r="C474" s="19" t="s">
        <v>2055</v>
      </c>
      <c r="D474" s="19">
        <v>16</v>
      </c>
      <c r="E474" s="20" t="s">
        <v>1561</v>
      </c>
      <c r="F474" s="20" t="s">
        <v>1469</v>
      </c>
      <c r="G474" s="105"/>
      <c r="H474" s="18">
        <v>43221</v>
      </c>
      <c r="I474" s="19" t="s">
        <v>2076</v>
      </c>
      <c r="J474" s="21">
        <v>172.5</v>
      </c>
      <c r="K474" t="s">
        <v>2030</v>
      </c>
    </row>
    <row r="475" spans="1:11" x14ac:dyDescent="0.3">
      <c r="A475" s="20" t="s">
        <v>1550</v>
      </c>
      <c r="B475" s="18">
        <v>43229</v>
      </c>
      <c r="C475" s="19" t="s">
        <v>2055</v>
      </c>
      <c r="D475" s="19">
        <v>16</v>
      </c>
      <c r="E475" s="20" t="s">
        <v>1561</v>
      </c>
      <c r="F475" s="20" t="s">
        <v>1467</v>
      </c>
      <c r="G475" s="105"/>
      <c r="H475" s="18">
        <v>43221</v>
      </c>
      <c r="I475" s="19" t="s">
        <v>2077</v>
      </c>
      <c r="J475" s="21">
        <v>172.5</v>
      </c>
      <c r="K475" t="s">
        <v>2030</v>
      </c>
    </row>
    <row r="476" spans="1:11" x14ac:dyDescent="0.3">
      <c r="A476" s="20" t="s">
        <v>1550</v>
      </c>
      <c r="B476" s="18">
        <v>43229</v>
      </c>
      <c r="C476" s="19" t="s">
        <v>2055</v>
      </c>
      <c r="D476" s="19">
        <v>16</v>
      </c>
      <c r="E476" s="20" t="s">
        <v>1561</v>
      </c>
      <c r="F476" s="20" t="s">
        <v>1463</v>
      </c>
      <c r="G476" s="105"/>
      <c r="H476" s="18">
        <v>43221</v>
      </c>
      <c r="I476" s="19" t="s">
        <v>2078</v>
      </c>
      <c r="J476" s="21">
        <v>172.5</v>
      </c>
      <c r="K476" t="s">
        <v>2030</v>
      </c>
    </row>
    <row r="477" spans="1:11" x14ac:dyDescent="0.3">
      <c r="A477" s="20" t="s">
        <v>1550</v>
      </c>
      <c r="B477" s="18">
        <v>43229</v>
      </c>
      <c r="C477" s="19" t="s">
        <v>2055</v>
      </c>
      <c r="D477" s="19">
        <v>16</v>
      </c>
      <c r="E477" s="20" t="s">
        <v>1561</v>
      </c>
      <c r="F477" s="20" t="s">
        <v>1462</v>
      </c>
      <c r="G477" s="105"/>
      <c r="H477" s="18">
        <v>43221</v>
      </c>
      <c r="I477" s="19" t="s">
        <v>2079</v>
      </c>
      <c r="J477" s="21">
        <v>172.5</v>
      </c>
      <c r="K477" t="s">
        <v>2030</v>
      </c>
    </row>
    <row r="478" spans="1:11" x14ac:dyDescent="0.3">
      <c r="A478" s="20" t="s">
        <v>1550</v>
      </c>
      <c r="B478" s="18">
        <v>43229</v>
      </c>
      <c r="C478" s="19" t="s">
        <v>2055</v>
      </c>
      <c r="D478" s="19">
        <v>16</v>
      </c>
      <c r="E478" s="20" t="s">
        <v>1561</v>
      </c>
      <c r="F478" s="20" t="s">
        <v>1460</v>
      </c>
      <c r="G478" s="105"/>
      <c r="H478" s="18">
        <v>43221</v>
      </c>
      <c r="I478" s="19" t="s">
        <v>2080</v>
      </c>
      <c r="J478" s="21">
        <v>172.5</v>
      </c>
      <c r="K478" t="s">
        <v>2030</v>
      </c>
    </row>
    <row r="479" spans="1:11" x14ac:dyDescent="0.3">
      <c r="A479" s="20" t="s">
        <v>1550</v>
      </c>
      <c r="B479" s="18">
        <v>43229</v>
      </c>
      <c r="C479" s="19" t="s">
        <v>2055</v>
      </c>
      <c r="D479" s="19">
        <v>16</v>
      </c>
      <c r="E479" s="20" t="s">
        <v>1561</v>
      </c>
      <c r="F479" s="20" t="s">
        <v>1458</v>
      </c>
      <c r="G479" s="105"/>
      <c r="H479" s="18">
        <v>43221</v>
      </c>
      <c r="I479" s="19" t="s">
        <v>2081</v>
      </c>
      <c r="J479" s="21">
        <v>172.5</v>
      </c>
      <c r="K479" t="s">
        <v>2030</v>
      </c>
    </row>
    <row r="480" spans="1:11" x14ac:dyDescent="0.3">
      <c r="A480" s="20" t="s">
        <v>1550</v>
      </c>
      <c r="B480" s="18">
        <v>43229</v>
      </c>
      <c r="C480" s="19" t="s">
        <v>2055</v>
      </c>
      <c r="D480" s="19">
        <v>16</v>
      </c>
      <c r="E480" s="20" t="s">
        <v>1561</v>
      </c>
      <c r="F480" s="20" t="s">
        <v>1461</v>
      </c>
      <c r="G480" s="105"/>
      <c r="H480" s="18">
        <v>43221</v>
      </c>
      <c r="I480" s="19" t="s">
        <v>2082</v>
      </c>
      <c r="J480" s="21">
        <v>172.5</v>
      </c>
      <c r="K480" t="s">
        <v>2030</v>
      </c>
    </row>
    <row r="481" spans="1:11" x14ac:dyDescent="0.3">
      <c r="A481" s="20" t="s">
        <v>1550</v>
      </c>
      <c r="B481" s="18">
        <v>43229</v>
      </c>
      <c r="C481" s="19" t="s">
        <v>2055</v>
      </c>
      <c r="D481" s="19">
        <v>16</v>
      </c>
      <c r="E481" s="20" t="s">
        <v>1561</v>
      </c>
      <c r="F481" s="20" t="s">
        <v>1457</v>
      </c>
      <c r="G481" s="105"/>
      <c r="H481" s="18">
        <v>43221</v>
      </c>
      <c r="I481" s="19" t="s">
        <v>2083</v>
      </c>
      <c r="J481" s="21">
        <v>172.5</v>
      </c>
      <c r="K481" t="s">
        <v>2030</v>
      </c>
    </row>
    <row r="482" spans="1:11" x14ac:dyDescent="0.3">
      <c r="A482" s="20" t="s">
        <v>1550</v>
      </c>
      <c r="B482" s="18">
        <v>43229</v>
      </c>
      <c r="C482" s="19" t="s">
        <v>2055</v>
      </c>
      <c r="D482" s="19">
        <v>16</v>
      </c>
      <c r="E482" s="20" t="s">
        <v>1561</v>
      </c>
      <c r="F482" s="20" t="s">
        <v>1456</v>
      </c>
      <c r="G482" s="105"/>
      <c r="H482" s="18">
        <v>43221</v>
      </c>
      <c r="I482" s="19" t="s">
        <v>2084</v>
      </c>
      <c r="J482" s="21">
        <v>172.5</v>
      </c>
      <c r="K482" t="s">
        <v>2030</v>
      </c>
    </row>
    <row r="483" spans="1:11" x14ac:dyDescent="0.3">
      <c r="A483" s="20" t="s">
        <v>1550</v>
      </c>
      <c r="B483" s="18">
        <v>43229</v>
      </c>
      <c r="C483" s="19" t="s">
        <v>2055</v>
      </c>
      <c r="D483" s="19">
        <v>16</v>
      </c>
      <c r="E483" s="20" t="s">
        <v>1561</v>
      </c>
      <c r="F483" s="20" t="s">
        <v>1453</v>
      </c>
      <c r="G483" s="105"/>
      <c r="H483" s="18">
        <v>43221</v>
      </c>
      <c r="I483" s="19" t="s">
        <v>2085</v>
      </c>
      <c r="J483" s="21">
        <v>172.5</v>
      </c>
      <c r="K483" t="s">
        <v>2030</v>
      </c>
    </row>
    <row r="484" spans="1:11" x14ac:dyDescent="0.3">
      <c r="A484" s="20" t="s">
        <v>1550</v>
      </c>
      <c r="B484" s="18">
        <v>43229</v>
      </c>
      <c r="C484" s="19" t="s">
        <v>2055</v>
      </c>
      <c r="D484" s="19">
        <v>16</v>
      </c>
      <c r="E484" s="20" t="s">
        <v>1561</v>
      </c>
      <c r="F484" s="20" t="s">
        <v>1450</v>
      </c>
      <c r="G484" s="105"/>
      <c r="H484" s="18">
        <v>43221</v>
      </c>
      <c r="I484" s="19" t="s">
        <v>2086</v>
      </c>
      <c r="J484" s="21">
        <v>172.5</v>
      </c>
      <c r="K484" t="s">
        <v>2030</v>
      </c>
    </row>
    <row r="485" spans="1:11" x14ac:dyDescent="0.3">
      <c r="A485" s="20" t="s">
        <v>1550</v>
      </c>
      <c r="B485" s="18">
        <v>43229</v>
      </c>
      <c r="C485" s="19" t="s">
        <v>2055</v>
      </c>
      <c r="D485" s="19">
        <v>16</v>
      </c>
      <c r="E485" s="20" t="s">
        <v>1561</v>
      </c>
      <c r="F485" s="20" t="s">
        <v>1455</v>
      </c>
      <c r="G485" s="105"/>
      <c r="H485" s="18">
        <v>43221</v>
      </c>
      <c r="I485" s="19" t="s">
        <v>2087</v>
      </c>
      <c r="J485" s="21">
        <v>172.5</v>
      </c>
      <c r="K485" t="s">
        <v>2030</v>
      </c>
    </row>
    <row r="486" spans="1:11" x14ac:dyDescent="0.3">
      <c r="A486" s="20" t="s">
        <v>1550</v>
      </c>
      <c r="B486" s="18">
        <v>43229</v>
      </c>
      <c r="C486" s="19" t="s">
        <v>2055</v>
      </c>
      <c r="D486" s="19">
        <v>16</v>
      </c>
      <c r="E486" s="20" t="s">
        <v>1561</v>
      </c>
      <c r="F486" s="20" t="s">
        <v>1454</v>
      </c>
      <c r="G486" s="105"/>
      <c r="H486" s="18">
        <v>43221</v>
      </c>
      <c r="I486" s="19" t="s">
        <v>2088</v>
      </c>
      <c r="J486" s="21">
        <v>172.5</v>
      </c>
      <c r="K486" t="s">
        <v>2030</v>
      </c>
    </row>
    <row r="487" spans="1:11" x14ac:dyDescent="0.3">
      <c r="A487" s="20" t="s">
        <v>1550</v>
      </c>
      <c r="B487" s="18">
        <v>43229</v>
      </c>
      <c r="C487" s="19" t="s">
        <v>2055</v>
      </c>
      <c r="D487" s="19">
        <v>16</v>
      </c>
      <c r="E487" s="20" t="s">
        <v>1561</v>
      </c>
      <c r="F487" s="20" t="s">
        <v>1452</v>
      </c>
      <c r="G487" s="105"/>
      <c r="H487" s="18">
        <v>43221</v>
      </c>
      <c r="I487" s="19" t="s">
        <v>2089</v>
      </c>
      <c r="J487" s="21">
        <v>172.5</v>
      </c>
      <c r="K487" t="s">
        <v>2030</v>
      </c>
    </row>
    <row r="488" spans="1:11" x14ac:dyDescent="0.3">
      <c r="A488" s="20" t="s">
        <v>1550</v>
      </c>
      <c r="B488" s="18">
        <v>43229</v>
      </c>
      <c r="C488" s="19" t="s">
        <v>2055</v>
      </c>
      <c r="D488" s="19">
        <v>16</v>
      </c>
      <c r="E488" s="20" t="s">
        <v>1561</v>
      </c>
      <c r="F488" s="20" t="s">
        <v>1449</v>
      </c>
      <c r="G488" s="105"/>
      <c r="H488" s="18">
        <v>43221</v>
      </c>
      <c r="I488" s="19" t="s">
        <v>2090</v>
      </c>
      <c r="J488" s="21">
        <v>172.5</v>
      </c>
      <c r="K488" t="s">
        <v>2030</v>
      </c>
    </row>
    <row r="489" spans="1:11" x14ac:dyDescent="0.3">
      <c r="A489" s="20" t="s">
        <v>1550</v>
      </c>
      <c r="B489" s="18">
        <v>43229</v>
      </c>
      <c r="C489" s="19" t="s">
        <v>2055</v>
      </c>
      <c r="D489" s="19">
        <v>16</v>
      </c>
      <c r="E489" s="20" t="s">
        <v>1561</v>
      </c>
      <c r="F489" s="20" t="s">
        <v>1448</v>
      </c>
      <c r="G489" s="105"/>
      <c r="H489" s="18">
        <v>43221</v>
      </c>
      <c r="I489" s="19" t="s">
        <v>2091</v>
      </c>
      <c r="J489" s="21">
        <v>172.5</v>
      </c>
      <c r="K489" t="s">
        <v>2030</v>
      </c>
    </row>
    <row r="490" spans="1:11" x14ac:dyDescent="0.3">
      <c r="A490" s="20" t="s">
        <v>1550</v>
      </c>
      <c r="B490" s="18">
        <v>43229</v>
      </c>
      <c r="C490" s="19" t="s">
        <v>2055</v>
      </c>
      <c r="D490" s="19">
        <v>16</v>
      </c>
      <c r="E490" s="20" t="s">
        <v>1561</v>
      </c>
      <c r="F490" s="20" t="s">
        <v>1451</v>
      </c>
      <c r="G490" s="105"/>
      <c r="H490" s="18">
        <v>43221</v>
      </c>
      <c r="I490" s="19" t="s">
        <v>2092</v>
      </c>
      <c r="J490" s="21">
        <v>172.5</v>
      </c>
      <c r="K490" t="s">
        <v>2030</v>
      </c>
    </row>
    <row r="491" spans="1:11" x14ac:dyDescent="0.3">
      <c r="A491" s="20" t="s">
        <v>1550</v>
      </c>
      <c r="B491" s="18">
        <v>43229</v>
      </c>
      <c r="C491" s="19" t="s">
        <v>2055</v>
      </c>
      <c r="D491" s="19">
        <v>16</v>
      </c>
      <c r="E491" s="20" t="s">
        <v>1561</v>
      </c>
      <c r="F491" s="20" t="s">
        <v>1447</v>
      </c>
      <c r="G491" s="105"/>
      <c r="H491" s="18">
        <v>43221</v>
      </c>
      <c r="I491" s="19" t="s">
        <v>2093</v>
      </c>
      <c r="J491" s="21">
        <v>172.5</v>
      </c>
      <c r="K491" t="s">
        <v>2030</v>
      </c>
    </row>
    <row r="492" spans="1:11" x14ac:dyDescent="0.3">
      <c r="A492" s="20" t="s">
        <v>1550</v>
      </c>
      <c r="B492" s="18">
        <v>43229</v>
      </c>
      <c r="C492" s="19" t="s">
        <v>2094</v>
      </c>
      <c r="D492" s="19">
        <v>2000</v>
      </c>
      <c r="E492" s="20" t="s">
        <v>1561</v>
      </c>
      <c r="F492" s="20" t="s">
        <v>1474</v>
      </c>
      <c r="G492" s="105"/>
      <c r="H492" s="18">
        <v>43221</v>
      </c>
      <c r="I492" s="19" t="s">
        <v>2096</v>
      </c>
      <c r="J492" s="21">
        <v>172.5</v>
      </c>
      <c r="K492" t="s">
        <v>2030</v>
      </c>
    </row>
    <row r="493" spans="1:11" x14ac:dyDescent="0.3">
      <c r="A493" s="20" t="s">
        <v>1550</v>
      </c>
      <c r="B493" s="18">
        <v>43229</v>
      </c>
      <c r="C493" s="19" t="s">
        <v>2094</v>
      </c>
      <c r="D493" s="19">
        <v>2000</v>
      </c>
      <c r="E493" s="20" t="s">
        <v>1561</v>
      </c>
      <c r="F493" s="20" t="s">
        <v>1475</v>
      </c>
      <c r="G493" s="105"/>
      <c r="H493" s="18">
        <v>43221</v>
      </c>
      <c r="I493" s="19" t="s">
        <v>2098</v>
      </c>
      <c r="J493" s="21">
        <v>172.5</v>
      </c>
      <c r="K493" t="s">
        <v>2030</v>
      </c>
    </row>
    <row r="494" spans="1:11" x14ac:dyDescent="0.3">
      <c r="A494" s="20" t="s">
        <v>1550</v>
      </c>
      <c r="B494" s="18">
        <v>43229</v>
      </c>
      <c r="C494" s="19" t="s">
        <v>2094</v>
      </c>
      <c r="D494" s="19">
        <v>2000</v>
      </c>
      <c r="E494" s="20" t="s">
        <v>1561</v>
      </c>
      <c r="F494" s="20" t="s">
        <v>1476</v>
      </c>
      <c r="G494" s="105"/>
      <c r="H494" s="18">
        <v>43221</v>
      </c>
      <c r="I494" s="19" t="s">
        <v>2099</v>
      </c>
      <c r="J494" s="21">
        <v>172.5</v>
      </c>
      <c r="K494" t="s">
        <v>2030</v>
      </c>
    </row>
    <row r="495" spans="1:11" x14ac:dyDescent="0.3">
      <c r="A495" s="20" t="s">
        <v>1550</v>
      </c>
      <c r="B495" s="18">
        <v>43229</v>
      </c>
      <c r="C495" s="19" t="s">
        <v>2100</v>
      </c>
      <c r="D495" s="19">
        <v>1</v>
      </c>
      <c r="E495" s="20" t="s">
        <v>1561</v>
      </c>
      <c r="F495" s="20" t="s">
        <v>136</v>
      </c>
      <c r="G495" s="105"/>
      <c r="H495" s="18">
        <v>43221</v>
      </c>
      <c r="I495" s="19" t="s">
        <v>2102</v>
      </c>
      <c r="J495" s="21">
        <v>172.5</v>
      </c>
      <c r="K495" t="s">
        <v>2030</v>
      </c>
    </row>
    <row r="496" spans="1:11" x14ac:dyDescent="0.3">
      <c r="A496" s="20" t="s">
        <v>1550</v>
      </c>
      <c r="B496" s="18">
        <v>43229</v>
      </c>
      <c r="C496" s="19" t="s">
        <v>2100</v>
      </c>
      <c r="D496" s="19">
        <v>1</v>
      </c>
      <c r="E496" s="20" t="s">
        <v>1561</v>
      </c>
      <c r="F496" s="20" t="s">
        <v>135</v>
      </c>
      <c r="G496" s="105"/>
      <c r="H496" s="18">
        <v>43221</v>
      </c>
      <c r="I496" s="19" t="s">
        <v>2103</v>
      </c>
      <c r="J496" s="21">
        <v>172.5</v>
      </c>
      <c r="K496" t="s">
        <v>2030</v>
      </c>
    </row>
    <row r="497" spans="1:11" x14ac:dyDescent="0.3">
      <c r="A497" s="20" t="s">
        <v>1550</v>
      </c>
      <c r="B497" s="18">
        <v>43229</v>
      </c>
      <c r="C497" s="19" t="s">
        <v>2100</v>
      </c>
      <c r="D497" s="19">
        <v>1</v>
      </c>
      <c r="E497" s="20" t="s">
        <v>1561</v>
      </c>
      <c r="F497" s="20" t="s">
        <v>75</v>
      </c>
      <c r="G497" s="105"/>
      <c r="H497" s="18">
        <v>43221</v>
      </c>
      <c r="I497" s="19" t="s">
        <v>2104</v>
      </c>
      <c r="J497" s="21">
        <v>172.5</v>
      </c>
      <c r="K497" t="s">
        <v>2030</v>
      </c>
    </row>
    <row r="498" spans="1:11" x14ac:dyDescent="0.3">
      <c r="A498" s="20" t="s">
        <v>1550</v>
      </c>
      <c r="B498" s="18">
        <v>43229</v>
      </c>
      <c r="C498" s="19" t="s">
        <v>2100</v>
      </c>
      <c r="D498" s="19">
        <v>1</v>
      </c>
      <c r="E498" s="20" t="s">
        <v>1561</v>
      </c>
      <c r="F498" s="20" t="s">
        <v>73</v>
      </c>
      <c r="G498" s="105"/>
      <c r="H498" s="18">
        <v>43221</v>
      </c>
      <c r="I498" s="19" t="s">
        <v>2105</v>
      </c>
      <c r="J498" s="21">
        <v>172.5</v>
      </c>
      <c r="K498" t="s">
        <v>2030</v>
      </c>
    </row>
    <row r="499" spans="1:11" x14ac:dyDescent="0.3">
      <c r="A499" s="20" t="s">
        <v>1550</v>
      </c>
      <c r="B499" s="18">
        <v>43229</v>
      </c>
      <c r="C499" s="19" t="s">
        <v>2100</v>
      </c>
      <c r="D499" s="19">
        <v>1</v>
      </c>
      <c r="E499" s="20" t="s">
        <v>1561</v>
      </c>
      <c r="F499" s="20" t="s">
        <v>74</v>
      </c>
      <c r="G499" s="105"/>
      <c r="H499" s="18">
        <v>43221</v>
      </c>
      <c r="I499" s="19" t="s">
        <v>2106</v>
      </c>
      <c r="J499" s="21">
        <v>172.5</v>
      </c>
      <c r="K499" t="s">
        <v>2030</v>
      </c>
    </row>
    <row r="500" spans="1:11" x14ac:dyDescent="0.3">
      <c r="A500" s="20" t="s">
        <v>1550</v>
      </c>
      <c r="B500" s="18">
        <v>43229</v>
      </c>
      <c r="C500" s="19" t="s">
        <v>2100</v>
      </c>
      <c r="D500" s="19">
        <v>1</v>
      </c>
      <c r="E500" s="20" t="s">
        <v>1561</v>
      </c>
      <c r="F500" s="20" t="s">
        <v>50</v>
      </c>
      <c r="G500" s="105"/>
      <c r="H500" s="18">
        <v>43221</v>
      </c>
      <c r="I500" s="19" t="s">
        <v>2107</v>
      </c>
      <c r="J500" s="21">
        <v>172.5</v>
      </c>
      <c r="K500" t="s">
        <v>2030</v>
      </c>
    </row>
    <row r="501" spans="1:11" x14ac:dyDescent="0.3">
      <c r="A501" s="20" t="s">
        <v>1550</v>
      </c>
      <c r="B501" s="18">
        <v>43229</v>
      </c>
      <c r="C501" s="19" t="s">
        <v>2100</v>
      </c>
      <c r="D501" s="19">
        <v>1</v>
      </c>
      <c r="E501" s="20" t="s">
        <v>1561</v>
      </c>
      <c r="F501" s="20" t="s">
        <v>49</v>
      </c>
      <c r="G501" s="105"/>
      <c r="H501" s="18">
        <v>43221</v>
      </c>
      <c r="I501" s="19" t="s">
        <v>2108</v>
      </c>
      <c r="J501" s="21">
        <v>172.5</v>
      </c>
      <c r="K501" t="s">
        <v>2030</v>
      </c>
    </row>
    <row r="502" spans="1:11" x14ac:dyDescent="0.3">
      <c r="A502" s="20" t="s">
        <v>1550</v>
      </c>
      <c r="B502" s="18">
        <v>43229</v>
      </c>
      <c r="C502" s="19" t="s">
        <v>2100</v>
      </c>
      <c r="D502" s="19">
        <v>1</v>
      </c>
      <c r="E502" s="20" t="s">
        <v>1561</v>
      </c>
      <c r="F502" s="20" t="s">
        <v>72</v>
      </c>
      <c r="G502" s="105"/>
      <c r="H502" s="18">
        <v>43221</v>
      </c>
      <c r="I502" s="19" t="s">
        <v>2109</v>
      </c>
      <c r="J502" s="21">
        <v>172.5</v>
      </c>
      <c r="K502" t="s">
        <v>2030</v>
      </c>
    </row>
    <row r="503" spans="1:11" x14ac:dyDescent="0.3">
      <c r="A503" s="20" t="s">
        <v>1550</v>
      </c>
      <c r="B503" s="18">
        <v>43229</v>
      </c>
      <c r="C503" s="19" t="s">
        <v>2100</v>
      </c>
      <c r="D503" s="19">
        <v>1</v>
      </c>
      <c r="E503" s="20" t="s">
        <v>1561</v>
      </c>
      <c r="F503" s="20" t="s">
        <v>48</v>
      </c>
      <c r="G503" s="105"/>
      <c r="H503" s="18">
        <v>43221</v>
      </c>
      <c r="I503" s="19" t="s">
        <v>2110</v>
      </c>
      <c r="J503" s="21">
        <v>172.5</v>
      </c>
      <c r="K503" t="s">
        <v>2030</v>
      </c>
    </row>
    <row r="504" spans="1:11" x14ac:dyDescent="0.3">
      <c r="A504" s="20" t="s">
        <v>1550</v>
      </c>
      <c r="B504" s="18">
        <v>43229</v>
      </c>
      <c r="C504" s="19" t="s">
        <v>2100</v>
      </c>
      <c r="D504" s="19">
        <v>1</v>
      </c>
      <c r="E504" s="20" t="s">
        <v>1561</v>
      </c>
      <c r="F504" s="20" t="s">
        <v>71</v>
      </c>
      <c r="G504" s="105"/>
      <c r="H504" s="18">
        <v>43221</v>
      </c>
      <c r="I504" s="19" t="s">
        <v>2111</v>
      </c>
      <c r="J504" s="21">
        <v>172.5</v>
      </c>
      <c r="K504" t="s">
        <v>2030</v>
      </c>
    </row>
    <row r="505" spans="1:11" x14ac:dyDescent="0.3">
      <c r="A505" t="s">
        <v>1550</v>
      </c>
      <c r="B505" s="33">
        <v>43229</v>
      </c>
      <c r="C505" s="34" t="s">
        <v>2112</v>
      </c>
      <c r="D505" s="34">
        <v>4007</v>
      </c>
      <c r="E505" s="35" t="s">
        <v>2113</v>
      </c>
      <c r="F505" s="35" t="s">
        <v>6</v>
      </c>
      <c r="G505" s="106"/>
      <c r="H505" s="33">
        <v>43221</v>
      </c>
      <c r="I505" s="34" t="s">
        <v>2114</v>
      </c>
      <c r="J505" s="36">
        <v>172.5</v>
      </c>
      <c r="K505" t="s">
        <v>2030</v>
      </c>
    </row>
    <row r="506" spans="1:11" x14ac:dyDescent="0.3">
      <c r="A506" s="20" t="s">
        <v>1550</v>
      </c>
      <c r="B506" s="18">
        <v>43229</v>
      </c>
      <c r="C506" s="19" t="s">
        <v>2055</v>
      </c>
      <c r="D506" s="19">
        <v>16</v>
      </c>
      <c r="E506" s="20" t="s">
        <v>1563</v>
      </c>
      <c r="F506" s="20" t="s">
        <v>59</v>
      </c>
      <c r="G506" s="105"/>
      <c r="H506" s="18">
        <v>43221</v>
      </c>
      <c r="I506" s="19" t="s">
        <v>2060</v>
      </c>
      <c r="J506" s="21">
        <v>412.96</v>
      </c>
      <c r="K506" t="s">
        <v>2030</v>
      </c>
    </row>
    <row r="507" spans="1:11" x14ac:dyDescent="0.3">
      <c r="A507" s="20" t="s">
        <v>1550</v>
      </c>
      <c r="B507" s="18">
        <v>43229</v>
      </c>
      <c r="C507" s="19" t="s">
        <v>2055</v>
      </c>
      <c r="D507" s="19">
        <v>16</v>
      </c>
      <c r="E507" s="20" t="s">
        <v>1563</v>
      </c>
      <c r="F507" s="20" t="s">
        <v>58</v>
      </c>
      <c r="G507" s="105"/>
      <c r="H507" s="18">
        <v>43221</v>
      </c>
      <c r="I507" s="19" t="s">
        <v>2061</v>
      </c>
      <c r="J507" s="21">
        <v>206.48</v>
      </c>
      <c r="K507" t="s">
        <v>2030</v>
      </c>
    </row>
    <row r="508" spans="1:11" x14ac:dyDescent="0.3">
      <c r="A508" s="20" t="s">
        <v>1550</v>
      </c>
      <c r="B508" s="18">
        <v>43229</v>
      </c>
      <c r="C508" s="19" t="s">
        <v>2055</v>
      </c>
      <c r="D508" s="19">
        <v>16</v>
      </c>
      <c r="E508" s="20" t="s">
        <v>1563</v>
      </c>
      <c r="F508" s="20" t="s">
        <v>52</v>
      </c>
      <c r="G508" s="105"/>
      <c r="H508" s="18">
        <v>43221</v>
      </c>
      <c r="I508" s="19" t="s">
        <v>2062</v>
      </c>
      <c r="J508" s="21">
        <v>206.48</v>
      </c>
      <c r="K508" t="s">
        <v>2030</v>
      </c>
    </row>
    <row r="509" spans="1:11" x14ac:dyDescent="0.3">
      <c r="A509" s="20" t="s">
        <v>1550</v>
      </c>
      <c r="B509" s="18">
        <v>43229</v>
      </c>
      <c r="C509" s="19" t="s">
        <v>2055</v>
      </c>
      <c r="D509" s="19">
        <v>16</v>
      </c>
      <c r="E509" s="20" t="s">
        <v>1563</v>
      </c>
      <c r="F509" s="20" t="s">
        <v>60</v>
      </c>
      <c r="G509" s="105"/>
      <c r="H509" s="18">
        <v>43221</v>
      </c>
      <c r="I509" s="19" t="s">
        <v>2063</v>
      </c>
      <c r="J509" s="21">
        <v>619.44000000000005</v>
      </c>
      <c r="K509" t="s">
        <v>2030</v>
      </c>
    </row>
    <row r="510" spans="1:11" x14ac:dyDescent="0.3">
      <c r="A510" s="20" t="s">
        <v>1550</v>
      </c>
      <c r="B510" s="18">
        <v>43229</v>
      </c>
      <c r="C510" s="19" t="s">
        <v>2055</v>
      </c>
      <c r="D510" s="19">
        <v>16</v>
      </c>
      <c r="E510" s="20" t="s">
        <v>1563</v>
      </c>
      <c r="F510" s="20" t="s">
        <v>56</v>
      </c>
      <c r="G510" s="105"/>
      <c r="H510" s="18">
        <v>43221</v>
      </c>
      <c r="I510" s="19" t="s">
        <v>2064</v>
      </c>
      <c r="J510" s="21">
        <v>412.96</v>
      </c>
      <c r="K510" t="s">
        <v>2030</v>
      </c>
    </row>
    <row r="511" spans="1:11" x14ac:dyDescent="0.3">
      <c r="A511" s="20" t="s">
        <v>1550</v>
      </c>
      <c r="B511" s="18">
        <v>43229</v>
      </c>
      <c r="C511" s="19" t="s">
        <v>2055</v>
      </c>
      <c r="D511" s="19">
        <v>16</v>
      </c>
      <c r="E511" s="20" t="s">
        <v>1563</v>
      </c>
      <c r="F511" s="20" t="s">
        <v>57</v>
      </c>
      <c r="G511" s="105"/>
      <c r="H511" s="18">
        <v>43221</v>
      </c>
      <c r="I511" s="19" t="s">
        <v>2065</v>
      </c>
      <c r="J511" s="21">
        <v>206.48</v>
      </c>
      <c r="K511" t="s">
        <v>2030</v>
      </c>
    </row>
    <row r="512" spans="1:11" x14ac:dyDescent="0.3">
      <c r="A512" s="20" t="s">
        <v>1550</v>
      </c>
      <c r="B512" s="18">
        <v>43229</v>
      </c>
      <c r="C512" s="19" t="s">
        <v>2055</v>
      </c>
      <c r="D512" s="19">
        <v>16</v>
      </c>
      <c r="E512" s="20" t="s">
        <v>1563</v>
      </c>
      <c r="F512" s="20" t="s">
        <v>55</v>
      </c>
      <c r="G512" s="105"/>
      <c r="H512" s="18">
        <v>43221</v>
      </c>
      <c r="I512" s="19" t="s">
        <v>2066</v>
      </c>
      <c r="J512" s="21">
        <v>619.44000000000005</v>
      </c>
      <c r="K512" t="s">
        <v>2030</v>
      </c>
    </row>
    <row r="513" spans="1:11" x14ac:dyDescent="0.3">
      <c r="A513" s="20" t="s">
        <v>1550</v>
      </c>
      <c r="B513" s="18">
        <v>43229</v>
      </c>
      <c r="C513" s="19" t="s">
        <v>2055</v>
      </c>
      <c r="D513" s="19">
        <v>16</v>
      </c>
      <c r="E513" s="20" t="s">
        <v>1563</v>
      </c>
      <c r="F513" s="20" t="s">
        <v>53</v>
      </c>
      <c r="G513" s="105"/>
      <c r="H513" s="18">
        <v>43221</v>
      </c>
      <c r="I513" s="19" t="s">
        <v>2067</v>
      </c>
      <c r="J513" s="21">
        <v>206.48</v>
      </c>
      <c r="K513" t="s">
        <v>2030</v>
      </c>
    </row>
    <row r="514" spans="1:11" x14ac:dyDescent="0.3">
      <c r="A514" s="20" t="s">
        <v>1550</v>
      </c>
      <c r="B514" s="18">
        <v>43229</v>
      </c>
      <c r="C514" s="19" t="s">
        <v>2055</v>
      </c>
      <c r="D514" s="19">
        <v>16</v>
      </c>
      <c r="E514" s="20" t="s">
        <v>1563</v>
      </c>
      <c r="F514" s="20" t="s">
        <v>54</v>
      </c>
      <c r="G514" s="105"/>
      <c r="H514" s="18">
        <v>43221</v>
      </c>
      <c r="I514" s="19" t="s">
        <v>2068</v>
      </c>
      <c r="J514" s="21">
        <v>825.92</v>
      </c>
      <c r="K514" t="s">
        <v>2030</v>
      </c>
    </row>
    <row r="515" spans="1:11" x14ac:dyDescent="0.3">
      <c r="A515" s="20" t="s">
        <v>1550</v>
      </c>
      <c r="B515" s="18">
        <v>43229</v>
      </c>
      <c r="C515" s="19" t="s">
        <v>2055</v>
      </c>
      <c r="D515" s="19">
        <v>16</v>
      </c>
      <c r="E515" s="20" t="s">
        <v>1563</v>
      </c>
      <c r="F515" s="20" t="s">
        <v>50</v>
      </c>
      <c r="G515" s="105"/>
      <c r="H515" s="18">
        <v>43221</v>
      </c>
      <c r="I515" s="19" t="s">
        <v>2069</v>
      </c>
      <c r="J515" s="21">
        <v>619.44000000000005</v>
      </c>
      <c r="K515" t="s">
        <v>2030</v>
      </c>
    </row>
    <row r="516" spans="1:11" x14ac:dyDescent="0.3">
      <c r="A516" s="20" t="s">
        <v>1550</v>
      </c>
      <c r="B516" s="18">
        <v>43229</v>
      </c>
      <c r="C516" s="19" t="s">
        <v>2055</v>
      </c>
      <c r="D516" s="19">
        <v>16</v>
      </c>
      <c r="E516" s="20" t="s">
        <v>1563</v>
      </c>
      <c r="F516" s="20" t="s">
        <v>51</v>
      </c>
      <c r="G516" s="105"/>
      <c r="H516" s="18">
        <v>43221</v>
      </c>
      <c r="I516" s="19" t="s">
        <v>2070</v>
      </c>
      <c r="J516" s="21">
        <v>1238.8800000000001</v>
      </c>
      <c r="K516" t="s">
        <v>2030</v>
      </c>
    </row>
    <row r="517" spans="1:11" x14ac:dyDescent="0.3">
      <c r="A517" s="20" t="s">
        <v>1550</v>
      </c>
      <c r="B517" s="18">
        <v>43229</v>
      </c>
      <c r="C517" s="19" t="s">
        <v>2094</v>
      </c>
      <c r="D517" s="19">
        <v>2000</v>
      </c>
      <c r="E517" s="20" t="s">
        <v>1562</v>
      </c>
      <c r="F517" s="20" t="s">
        <v>1543</v>
      </c>
      <c r="G517" s="105"/>
      <c r="H517" s="18">
        <v>43221</v>
      </c>
      <c r="I517" s="19" t="s">
        <v>2095</v>
      </c>
      <c r="J517" s="21">
        <v>270</v>
      </c>
      <c r="K517" t="s">
        <v>2030</v>
      </c>
    </row>
    <row r="518" spans="1:11" x14ac:dyDescent="0.3">
      <c r="A518" s="20" t="s">
        <v>1550</v>
      </c>
      <c r="B518" s="18">
        <v>43229</v>
      </c>
      <c r="C518" s="19" t="s">
        <v>2094</v>
      </c>
      <c r="D518" s="19">
        <v>2000</v>
      </c>
      <c r="E518" s="20" t="s">
        <v>1562</v>
      </c>
      <c r="F518" s="20" t="s">
        <v>1542</v>
      </c>
      <c r="G518" s="105"/>
      <c r="H518" s="18">
        <v>43221</v>
      </c>
      <c r="I518" s="19" t="s">
        <v>2097</v>
      </c>
      <c r="J518" s="21">
        <v>480</v>
      </c>
      <c r="K518" t="s">
        <v>2030</v>
      </c>
    </row>
    <row r="519" spans="1:11" x14ac:dyDescent="0.3">
      <c r="A519" s="20" t="s">
        <v>1550</v>
      </c>
      <c r="B519" s="18">
        <v>43229</v>
      </c>
      <c r="C519" s="19" t="s">
        <v>2100</v>
      </c>
      <c r="D519" s="19">
        <v>1</v>
      </c>
      <c r="E519" s="20" t="s">
        <v>1562</v>
      </c>
      <c r="F519" s="20" t="s">
        <v>1368</v>
      </c>
      <c r="G519" s="105"/>
      <c r="H519" s="18">
        <v>43221</v>
      </c>
      <c r="I519" s="19" t="s">
        <v>2101</v>
      </c>
      <c r="J519" s="21">
        <v>480</v>
      </c>
      <c r="K519" t="s">
        <v>2030</v>
      </c>
    </row>
    <row r="520" spans="1:11" x14ac:dyDescent="0.3">
      <c r="A520" t="s">
        <v>1550</v>
      </c>
      <c r="B520" s="33">
        <v>43231</v>
      </c>
      <c r="C520" s="34" t="s">
        <v>2221</v>
      </c>
      <c r="D520" s="34">
        <v>5001</v>
      </c>
      <c r="E520" s="35" t="s">
        <v>2222</v>
      </c>
      <c r="F520" s="35" t="s">
        <v>6</v>
      </c>
      <c r="G520" s="106"/>
      <c r="H520" s="33">
        <v>43221</v>
      </c>
      <c r="I520" s="34" t="s">
        <v>2114</v>
      </c>
      <c r="J520" s="36">
        <v>270</v>
      </c>
      <c r="K520" t="s">
        <v>2030</v>
      </c>
    </row>
    <row r="521" spans="1:11" x14ac:dyDescent="0.3">
      <c r="A521" t="s">
        <v>1550</v>
      </c>
      <c r="B521" s="33">
        <v>43231</v>
      </c>
      <c r="C521" s="34" t="s">
        <v>2221</v>
      </c>
      <c r="D521" s="34">
        <v>5001</v>
      </c>
      <c r="E521" s="35" t="s">
        <v>2222</v>
      </c>
      <c r="F521" s="35" t="s">
        <v>7</v>
      </c>
      <c r="G521" s="106"/>
      <c r="H521" s="33">
        <v>43221</v>
      </c>
      <c r="I521" s="34" t="s">
        <v>2114</v>
      </c>
      <c r="J521" s="36">
        <v>270</v>
      </c>
      <c r="K521" t="s">
        <v>2030</v>
      </c>
    </row>
    <row r="522" spans="1:11" x14ac:dyDescent="0.3">
      <c r="A522" t="s">
        <v>1550</v>
      </c>
      <c r="B522" s="33">
        <v>43231</v>
      </c>
      <c r="C522" s="34" t="s">
        <v>2221</v>
      </c>
      <c r="D522" s="34">
        <v>5001</v>
      </c>
      <c r="E522" s="35" t="s">
        <v>2222</v>
      </c>
      <c r="F522" s="35" t="s">
        <v>8</v>
      </c>
      <c r="G522" s="106"/>
      <c r="H522" s="33">
        <v>43221</v>
      </c>
      <c r="I522" s="34" t="s">
        <v>2114</v>
      </c>
      <c r="J522" s="36">
        <v>480</v>
      </c>
      <c r="K522" t="s">
        <v>2030</v>
      </c>
    </row>
    <row r="523" spans="1:11" x14ac:dyDescent="0.3">
      <c r="A523" t="s">
        <v>1550</v>
      </c>
      <c r="B523" s="33">
        <v>43231</v>
      </c>
      <c r="C523" s="34" t="s">
        <v>2221</v>
      </c>
      <c r="D523" s="34">
        <v>5001</v>
      </c>
      <c r="E523" s="35" t="s">
        <v>2222</v>
      </c>
      <c r="F523" s="35" t="s">
        <v>9</v>
      </c>
      <c r="G523" s="106"/>
      <c r="H523" s="33">
        <v>43221</v>
      </c>
      <c r="I523" s="34" t="s">
        <v>2114</v>
      </c>
      <c r="J523" s="36">
        <v>480</v>
      </c>
      <c r="K523" t="s">
        <v>2030</v>
      </c>
    </row>
    <row r="524" spans="1:11" x14ac:dyDescent="0.3">
      <c r="A524" s="38" t="s">
        <v>812</v>
      </c>
      <c r="B524" s="45">
        <v>43234</v>
      </c>
      <c r="C524" s="46" t="s">
        <v>2237</v>
      </c>
      <c r="D524" s="46">
        <v>5405</v>
      </c>
      <c r="E524" s="47" t="s">
        <v>2143</v>
      </c>
      <c r="F524" s="47"/>
      <c r="G524" s="107"/>
      <c r="H524" s="45">
        <v>43101</v>
      </c>
      <c r="I524" s="46"/>
      <c r="J524" s="48">
        <v>37181.089999999997</v>
      </c>
      <c r="K524" t="s">
        <v>2030</v>
      </c>
    </row>
    <row r="525" spans="1:11" x14ac:dyDescent="0.3">
      <c r="A525" s="38" t="s">
        <v>812</v>
      </c>
      <c r="B525" s="45">
        <v>43234</v>
      </c>
      <c r="C525" s="46" t="s">
        <v>2237</v>
      </c>
      <c r="D525" s="46">
        <v>5405</v>
      </c>
      <c r="E525" s="47" t="s">
        <v>2213</v>
      </c>
      <c r="F525" s="47"/>
      <c r="G525" s="107"/>
      <c r="H525" s="45">
        <v>43101</v>
      </c>
      <c r="I525" s="46"/>
      <c r="J525" s="48">
        <v>4309</v>
      </c>
      <c r="K525" t="s">
        <v>2030</v>
      </c>
    </row>
    <row r="526" spans="1:11" x14ac:dyDescent="0.3">
      <c r="A526" s="38" t="s">
        <v>812</v>
      </c>
      <c r="B526" s="45">
        <v>43234</v>
      </c>
      <c r="C526" s="46" t="s">
        <v>2237</v>
      </c>
      <c r="D526" s="46">
        <v>5405</v>
      </c>
      <c r="E526" s="47" t="s">
        <v>2214</v>
      </c>
      <c r="F526" s="47"/>
      <c r="G526" s="107"/>
      <c r="H526" s="45">
        <v>43101</v>
      </c>
      <c r="I526" s="46"/>
      <c r="J526" s="48">
        <v>2883</v>
      </c>
      <c r="K526" t="s">
        <v>2030</v>
      </c>
    </row>
    <row r="527" spans="1:11" x14ac:dyDescent="0.3">
      <c r="A527" s="38" t="s">
        <v>812</v>
      </c>
      <c r="B527" s="45">
        <v>43234</v>
      </c>
      <c r="C527" s="46" t="s">
        <v>2237</v>
      </c>
      <c r="D527" s="46">
        <v>5405</v>
      </c>
      <c r="E527" s="47" t="s">
        <v>2215</v>
      </c>
      <c r="F527" s="47"/>
      <c r="G527" s="107"/>
      <c r="H527" s="45">
        <v>43101</v>
      </c>
      <c r="I527" s="46"/>
      <c r="J527" s="48">
        <v>511.5</v>
      </c>
      <c r="K527" t="s">
        <v>2030</v>
      </c>
    </row>
    <row r="528" spans="1:11" x14ac:dyDescent="0.3">
      <c r="A528" s="38" t="s">
        <v>812</v>
      </c>
      <c r="B528" s="45">
        <v>43234</v>
      </c>
      <c r="C528" s="46" t="s">
        <v>2237</v>
      </c>
      <c r="D528" s="46">
        <v>5405</v>
      </c>
      <c r="E528" s="47" t="s">
        <v>2219</v>
      </c>
      <c r="F528" s="47"/>
      <c r="G528" s="107"/>
      <c r="H528" s="45">
        <v>43132</v>
      </c>
      <c r="I528" s="46"/>
      <c r="J528" s="48">
        <v>49398.92</v>
      </c>
      <c r="K528" t="s">
        <v>2030</v>
      </c>
    </row>
    <row r="529" spans="1:11" x14ac:dyDescent="0.3">
      <c r="A529" t="s">
        <v>813</v>
      </c>
      <c r="B529" s="33">
        <v>43234</v>
      </c>
      <c r="C529" s="34" t="s">
        <v>2115</v>
      </c>
      <c r="D529" s="34">
        <v>16</v>
      </c>
      <c r="E529" s="35" t="s">
        <v>2116</v>
      </c>
      <c r="F529" s="35" t="s">
        <v>6</v>
      </c>
      <c r="G529" s="106">
        <v>4380323209</v>
      </c>
      <c r="H529" s="33">
        <v>43191</v>
      </c>
      <c r="I529" s="34" t="s">
        <v>2117</v>
      </c>
      <c r="J529" s="36">
        <v>21068.7</v>
      </c>
      <c r="K529" t="s">
        <v>2030</v>
      </c>
    </row>
    <row r="530" spans="1:11" x14ac:dyDescent="0.3">
      <c r="A530" t="s">
        <v>813</v>
      </c>
      <c r="B530" s="33">
        <v>43234</v>
      </c>
      <c r="C530" s="34" t="s">
        <v>2115</v>
      </c>
      <c r="D530" s="34">
        <v>16</v>
      </c>
      <c r="E530" s="35" t="s">
        <v>2116</v>
      </c>
      <c r="F530" s="35" t="s">
        <v>7</v>
      </c>
      <c r="G530" s="106">
        <v>4380323210</v>
      </c>
      <c r="H530" s="33">
        <v>43191</v>
      </c>
      <c r="I530" s="34" t="s">
        <v>2118</v>
      </c>
      <c r="J530" s="36">
        <v>24563.1</v>
      </c>
      <c r="K530" t="s">
        <v>2030</v>
      </c>
    </row>
    <row r="531" spans="1:11" x14ac:dyDescent="0.3">
      <c r="A531" t="s">
        <v>813</v>
      </c>
      <c r="B531" s="33">
        <v>43234</v>
      </c>
      <c r="C531" s="34" t="s">
        <v>2115</v>
      </c>
      <c r="D531" s="34">
        <v>16</v>
      </c>
      <c r="E531" s="35" t="s">
        <v>2116</v>
      </c>
      <c r="F531" s="35" t="s">
        <v>8</v>
      </c>
      <c r="G531" s="106">
        <v>4380323842</v>
      </c>
      <c r="H531" s="33">
        <v>43191</v>
      </c>
      <c r="I531" s="34" t="s">
        <v>2119</v>
      </c>
      <c r="J531" s="36">
        <v>172.5</v>
      </c>
      <c r="K531" t="s">
        <v>2030</v>
      </c>
    </row>
    <row r="532" spans="1:11" x14ac:dyDescent="0.3">
      <c r="A532" t="s">
        <v>813</v>
      </c>
      <c r="B532" s="33">
        <v>43234</v>
      </c>
      <c r="C532" s="34" t="s">
        <v>2115</v>
      </c>
      <c r="D532" s="34">
        <v>16</v>
      </c>
      <c r="E532" s="35" t="s">
        <v>2116</v>
      </c>
      <c r="F532" s="35" t="s">
        <v>9</v>
      </c>
      <c r="G532" s="106">
        <v>4380323852</v>
      </c>
      <c r="H532" s="33">
        <v>43191</v>
      </c>
      <c r="I532" s="34" t="s">
        <v>2120</v>
      </c>
      <c r="J532" s="36">
        <v>11597.7</v>
      </c>
      <c r="K532" t="s">
        <v>2030</v>
      </c>
    </row>
    <row r="533" spans="1:11" x14ac:dyDescent="0.3">
      <c r="A533" t="s">
        <v>813</v>
      </c>
      <c r="B533" s="33">
        <v>43234</v>
      </c>
      <c r="C533" s="34" t="s">
        <v>2115</v>
      </c>
      <c r="D533" s="34">
        <v>16</v>
      </c>
      <c r="E533" s="35" t="s">
        <v>2116</v>
      </c>
      <c r="F533" s="35" t="s">
        <v>10</v>
      </c>
      <c r="G533" s="106">
        <v>4380323855</v>
      </c>
      <c r="H533" s="33">
        <v>43191</v>
      </c>
      <c r="I533" s="34" t="s">
        <v>2121</v>
      </c>
      <c r="J533" s="36">
        <v>1140</v>
      </c>
      <c r="K533" t="s">
        <v>2030</v>
      </c>
    </row>
    <row r="534" spans="1:11" x14ac:dyDescent="0.3">
      <c r="A534" t="s">
        <v>813</v>
      </c>
      <c r="B534" s="33">
        <v>43234</v>
      </c>
      <c r="C534" s="34" t="s">
        <v>2115</v>
      </c>
      <c r="D534" s="34">
        <v>16</v>
      </c>
      <c r="E534" s="35" t="s">
        <v>2116</v>
      </c>
      <c r="F534" s="35" t="s">
        <v>11</v>
      </c>
      <c r="G534" s="106">
        <v>4380323858</v>
      </c>
      <c r="H534" s="33">
        <v>43191</v>
      </c>
      <c r="I534" s="34" t="s">
        <v>2122</v>
      </c>
      <c r="J534" s="36">
        <v>6900</v>
      </c>
      <c r="K534" t="s">
        <v>2030</v>
      </c>
    </row>
    <row r="535" spans="1:11" x14ac:dyDescent="0.3">
      <c r="A535" t="s">
        <v>813</v>
      </c>
      <c r="B535" s="33">
        <v>43234</v>
      </c>
      <c r="C535" s="34" t="s">
        <v>2115</v>
      </c>
      <c r="D535" s="34">
        <v>16</v>
      </c>
      <c r="E535" s="35" t="s">
        <v>2116</v>
      </c>
      <c r="F535" s="35" t="s">
        <v>12</v>
      </c>
      <c r="G535" s="106">
        <v>4380323859</v>
      </c>
      <c r="H535" s="33">
        <v>43191</v>
      </c>
      <c r="I535" s="34" t="s">
        <v>2123</v>
      </c>
      <c r="J535" s="36">
        <v>517.5</v>
      </c>
      <c r="K535" t="s">
        <v>2030</v>
      </c>
    </row>
    <row r="536" spans="1:11" x14ac:dyDescent="0.3">
      <c r="A536" t="s">
        <v>813</v>
      </c>
      <c r="B536" s="33">
        <v>43234</v>
      </c>
      <c r="C536" s="34" t="s">
        <v>2115</v>
      </c>
      <c r="D536" s="34">
        <v>16</v>
      </c>
      <c r="E536" s="35" t="s">
        <v>2116</v>
      </c>
      <c r="F536" s="35" t="s">
        <v>13</v>
      </c>
      <c r="G536" s="106">
        <v>4380323860</v>
      </c>
      <c r="H536" s="33">
        <v>43191</v>
      </c>
      <c r="I536" s="34" t="s">
        <v>2124</v>
      </c>
      <c r="J536" s="36">
        <v>1935</v>
      </c>
      <c r="K536" t="s">
        <v>2030</v>
      </c>
    </row>
    <row r="537" spans="1:11" x14ac:dyDescent="0.3">
      <c r="A537" t="s">
        <v>813</v>
      </c>
      <c r="B537" s="33">
        <v>43234</v>
      </c>
      <c r="C537" s="34" t="s">
        <v>2115</v>
      </c>
      <c r="D537" s="34">
        <v>16</v>
      </c>
      <c r="E537" s="35" t="s">
        <v>2116</v>
      </c>
      <c r="F537" s="35" t="s">
        <v>15</v>
      </c>
      <c r="G537" s="106">
        <v>4380323862</v>
      </c>
      <c r="H537" s="33">
        <v>43191</v>
      </c>
      <c r="I537" s="34" t="s">
        <v>2125</v>
      </c>
      <c r="J537" s="36">
        <v>8580</v>
      </c>
      <c r="K537" t="s">
        <v>2030</v>
      </c>
    </row>
    <row r="538" spans="1:11" x14ac:dyDescent="0.3">
      <c r="A538" t="s">
        <v>813</v>
      </c>
      <c r="B538" s="33">
        <v>43234</v>
      </c>
      <c r="C538" s="34" t="s">
        <v>2115</v>
      </c>
      <c r="D538" s="34">
        <v>16</v>
      </c>
      <c r="E538" s="35" t="s">
        <v>2116</v>
      </c>
      <c r="F538" s="35" t="s">
        <v>14</v>
      </c>
      <c r="G538" s="106">
        <v>4380323861</v>
      </c>
      <c r="H538" s="33">
        <v>43191</v>
      </c>
      <c r="I538" s="34" t="s">
        <v>2126</v>
      </c>
      <c r="J538" s="36">
        <v>18160.8</v>
      </c>
      <c r="K538" t="s">
        <v>2030</v>
      </c>
    </row>
    <row r="539" spans="1:11" x14ac:dyDescent="0.3">
      <c r="A539" t="s">
        <v>813</v>
      </c>
      <c r="B539" s="33">
        <v>43234</v>
      </c>
      <c r="C539" s="34" t="s">
        <v>2115</v>
      </c>
      <c r="D539" s="34">
        <v>16</v>
      </c>
      <c r="E539" s="35" t="s">
        <v>2116</v>
      </c>
      <c r="F539" s="35" t="s">
        <v>16</v>
      </c>
      <c r="G539" s="106">
        <v>4380323863</v>
      </c>
      <c r="H539" s="33">
        <v>43191</v>
      </c>
      <c r="I539" s="34" t="s">
        <v>2127</v>
      </c>
      <c r="J539" s="36">
        <v>8122.5</v>
      </c>
      <c r="K539" t="s">
        <v>2030</v>
      </c>
    </row>
    <row r="540" spans="1:11" x14ac:dyDescent="0.3">
      <c r="A540" t="s">
        <v>813</v>
      </c>
      <c r="B540" s="33">
        <v>43234</v>
      </c>
      <c r="C540" s="34" t="s">
        <v>2115</v>
      </c>
      <c r="D540" s="34">
        <v>16</v>
      </c>
      <c r="E540" s="35" t="s">
        <v>2116</v>
      </c>
      <c r="F540" s="35" t="s">
        <v>17</v>
      </c>
      <c r="G540" s="106">
        <v>4380323864</v>
      </c>
      <c r="H540" s="33">
        <v>43191</v>
      </c>
      <c r="I540" s="34" t="s">
        <v>2128</v>
      </c>
      <c r="J540" s="36">
        <v>3000</v>
      </c>
      <c r="K540" t="s">
        <v>2030</v>
      </c>
    </row>
    <row r="541" spans="1:11" x14ac:dyDescent="0.3">
      <c r="A541" t="s">
        <v>813</v>
      </c>
      <c r="B541" s="33">
        <v>43234</v>
      </c>
      <c r="C541" s="34" t="s">
        <v>2115</v>
      </c>
      <c r="D541" s="34">
        <v>16</v>
      </c>
      <c r="E541" s="35" t="s">
        <v>2116</v>
      </c>
      <c r="F541" s="35" t="s">
        <v>18</v>
      </c>
      <c r="G541" s="106">
        <v>4380323865</v>
      </c>
      <c r="H541" s="33">
        <v>43191</v>
      </c>
      <c r="I541" s="34" t="s">
        <v>2129</v>
      </c>
      <c r="J541" s="36">
        <v>862.5</v>
      </c>
      <c r="K541" t="s">
        <v>2030</v>
      </c>
    </row>
    <row r="542" spans="1:11" x14ac:dyDescent="0.3">
      <c r="A542" t="s">
        <v>813</v>
      </c>
      <c r="B542" s="33">
        <v>43234</v>
      </c>
      <c r="C542" s="34" t="s">
        <v>2115</v>
      </c>
      <c r="D542" s="34">
        <v>16</v>
      </c>
      <c r="E542" s="35" t="s">
        <v>2116</v>
      </c>
      <c r="F542" s="35" t="s">
        <v>19</v>
      </c>
      <c r="G542" s="106">
        <v>4380323867</v>
      </c>
      <c r="H542" s="33">
        <v>43191</v>
      </c>
      <c r="I542" s="34" t="s">
        <v>2130</v>
      </c>
      <c r="J542" s="36">
        <v>7245</v>
      </c>
      <c r="K542" t="s">
        <v>2030</v>
      </c>
    </row>
    <row r="543" spans="1:11" x14ac:dyDescent="0.3">
      <c r="A543" t="s">
        <v>813</v>
      </c>
      <c r="B543" s="33">
        <v>43234</v>
      </c>
      <c r="C543" s="34" t="s">
        <v>2115</v>
      </c>
      <c r="D543" s="34">
        <v>16</v>
      </c>
      <c r="E543" s="35" t="s">
        <v>2116</v>
      </c>
      <c r="F543" s="35" t="s">
        <v>20</v>
      </c>
      <c r="G543" s="106">
        <v>4380323875</v>
      </c>
      <c r="H543" s="33">
        <v>43191</v>
      </c>
      <c r="I543" s="34" t="s">
        <v>2131</v>
      </c>
      <c r="J543" s="36">
        <v>21823.5</v>
      </c>
      <c r="K543" t="s">
        <v>2030</v>
      </c>
    </row>
    <row r="544" spans="1:11" x14ac:dyDescent="0.3">
      <c r="A544" t="s">
        <v>813</v>
      </c>
      <c r="B544" s="33">
        <v>43234</v>
      </c>
      <c r="C544" s="34" t="s">
        <v>2115</v>
      </c>
      <c r="D544" s="34">
        <v>16</v>
      </c>
      <c r="E544" s="35" t="s">
        <v>2116</v>
      </c>
      <c r="F544" s="35" t="s">
        <v>21</v>
      </c>
      <c r="G544" s="106">
        <v>4380323881</v>
      </c>
      <c r="H544" s="33">
        <v>43191</v>
      </c>
      <c r="I544" s="34" t="s">
        <v>2132</v>
      </c>
      <c r="J544" s="36">
        <v>870</v>
      </c>
      <c r="K544" t="s">
        <v>2030</v>
      </c>
    </row>
    <row r="545" spans="1:11" x14ac:dyDescent="0.3">
      <c r="A545" t="s">
        <v>813</v>
      </c>
      <c r="B545" s="33">
        <v>43234</v>
      </c>
      <c r="C545" s="34" t="s">
        <v>2115</v>
      </c>
      <c r="D545" s="34">
        <v>16</v>
      </c>
      <c r="E545" s="35" t="s">
        <v>2116</v>
      </c>
      <c r="F545" s="35" t="s">
        <v>22</v>
      </c>
      <c r="G545" s="106">
        <v>4380323887</v>
      </c>
      <c r="H545" s="33">
        <v>43191</v>
      </c>
      <c r="I545" s="34" t="s">
        <v>2133</v>
      </c>
      <c r="J545" s="36">
        <v>2037</v>
      </c>
      <c r="K545" t="s">
        <v>2030</v>
      </c>
    </row>
    <row r="546" spans="1:11" x14ac:dyDescent="0.3">
      <c r="A546" t="s">
        <v>813</v>
      </c>
      <c r="B546" s="33">
        <v>43234</v>
      </c>
      <c r="C546" s="34" t="s">
        <v>2115</v>
      </c>
      <c r="D546" s="34">
        <v>16</v>
      </c>
      <c r="E546" s="35" t="s">
        <v>2116</v>
      </c>
      <c r="F546" s="35" t="s">
        <v>24</v>
      </c>
      <c r="G546" s="106">
        <v>4380326353</v>
      </c>
      <c r="H546" s="33">
        <v>43191</v>
      </c>
      <c r="I546" s="34" t="s">
        <v>2134</v>
      </c>
      <c r="J546" s="36">
        <v>24563.1</v>
      </c>
      <c r="K546" t="s">
        <v>2030</v>
      </c>
    </row>
    <row r="547" spans="1:11" x14ac:dyDescent="0.3">
      <c r="A547" t="s">
        <v>813</v>
      </c>
      <c r="B547" s="33">
        <v>43234</v>
      </c>
      <c r="C547" s="34" t="s">
        <v>2115</v>
      </c>
      <c r="D547" s="34">
        <v>16</v>
      </c>
      <c r="E547" s="35" t="s">
        <v>2116</v>
      </c>
      <c r="F547" s="35" t="s">
        <v>23</v>
      </c>
      <c r="G547" s="106">
        <v>4380326207</v>
      </c>
      <c r="H547" s="33">
        <v>43191</v>
      </c>
      <c r="I547" s="34" t="s">
        <v>2135</v>
      </c>
      <c r="J547" s="36">
        <v>23964</v>
      </c>
      <c r="K547" t="s">
        <v>2030</v>
      </c>
    </row>
    <row r="548" spans="1:11" x14ac:dyDescent="0.3">
      <c r="A548" t="s">
        <v>813</v>
      </c>
      <c r="B548" s="33">
        <v>43234</v>
      </c>
      <c r="C548" s="34" t="s">
        <v>2115</v>
      </c>
      <c r="D548" s="34">
        <v>16</v>
      </c>
      <c r="E548" s="35" t="s">
        <v>2116</v>
      </c>
      <c r="F548" s="35" t="s">
        <v>25</v>
      </c>
      <c r="G548" s="106">
        <v>4380326354</v>
      </c>
      <c r="H548" s="33">
        <v>43191</v>
      </c>
      <c r="I548" s="34" t="s">
        <v>2136</v>
      </c>
      <c r="J548" s="36">
        <v>3072</v>
      </c>
      <c r="K548" t="s">
        <v>2030</v>
      </c>
    </row>
    <row r="549" spans="1:11" x14ac:dyDescent="0.3">
      <c r="A549" t="s">
        <v>813</v>
      </c>
      <c r="B549" s="33">
        <v>43234</v>
      </c>
      <c r="C549" s="34" t="s">
        <v>2115</v>
      </c>
      <c r="D549" s="34">
        <v>16</v>
      </c>
      <c r="E549" s="35" t="s">
        <v>2116</v>
      </c>
      <c r="F549" s="35" t="s">
        <v>26</v>
      </c>
      <c r="G549" s="106">
        <v>4380326359</v>
      </c>
      <c r="H549" s="33">
        <v>43191</v>
      </c>
      <c r="I549" s="34" t="s">
        <v>2137</v>
      </c>
      <c r="J549" s="36">
        <v>4457.3999999999996</v>
      </c>
      <c r="K549" t="s">
        <v>2030</v>
      </c>
    </row>
    <row r="550" spans="1:11" x14ac:dyDescent="0.3">
      <c r="A550" t="s">
        <v>813</v>
      </c>
      <c r="B550" s="33">
        <v>43234</v>
      </c>
      <c r="C550" s="34" t="s">
        <v>2115</v>
      </c>
      <c r="D550" s="34">
        <v>16</v>
      </c>
      <c r="E550" s="35" t="s">
        <v>2116</v>
      </c>
      <c r="F550" s="35" t="s">
        <v>28</v>
      </c>
      <c r="G550" s="106">
        <v>4380326616</v>
      </c>
      <c r="H550" s="33">
        <v>43191</v>
      </c>
      <c r="I550" s="34" t="s">
        <v>2138</v>
      </c>
      <c r="J550" s="36">
        <v>27000</v>
      </c>
      <c r="K550" t="s">
        <v>2030</v>
      </c>
    </row>
    <row r="551" spans="1:11" x14ac:dyDescent="0.3">
      <c r="A551" s="38" t="s">
        <v>812</v>
      </c>
      <c r="B551" s="45">
        <v>43234</v>
      </c>
      <c r="C551" s="46" t="s">
        <v>2237</v>
      </c>
      <c r="D551" s="46">
        <v>5405</v>
      </c>
      <c r="E551" s="47" t="s">
        <v>2238</v>
      </c>
      <c r="F551" s="47" t="s">
        <v>6</v>
      </c>
      <c r="G551" s="107">
        <v>4300021652</v>
      </c>
      <c r="H551" s="45">
        <v>43191</v>
      </c>
      <c r="I551" s="46"/>
      <c r="J551" s="48">
        <v>240</v>
      </c>
      <c r="K551" t="s">
        <v>2030</v>
      </c>
    </row>
    <row r="552" spans="1:11" x14ac:dyDescent="0.3">
      <c r="A552" s="38" t="s">
        <v>812</v>
      </c>
      <c r="B552" s="45">
        <v>43234</v>
      </c>
      <c r="C552" s="46" t="s">
        <v>2237</v>
      </c>
      <c r="D552" s="46">
        <v>5405</v>
      </c>
      <c r="E552" s="47" t="s">
        <v>2238</v>
      </c>
      <c r="F552" s="47" t="s">
        <v>7</v>
      </c>
      <c r="G552" s="107">
        <v>4300021652</v>
      </c>
      <c r="H552" s="45">
        <v>43191</v>
      </c>
      <c r="I552" s="46"/>
      <c r="J552" s="48">
        <v>240</v>
      </c>
      <c r="K552" t="s">
        <v>2030</v>
      </c>
    </row>
    <row r="553" spans="1:11" x14ac:dyDescent="0.3">
      <c r="A553" s="38" t="s">
        <v>812</v>
      </c>
      <c r="B553" s="45">
        <v>43234</v>
      </c>
      <c r="C553" s="46" t="s">
        <v>2237</v>
      </c>
      <c r="D553" s="46">
        <v>5405</v>
      </c>
      <c r="E553" s="47" t="s">
        <v>2238</v>
      </c>
      <c r="F553" s="47" t="s">
        <v>8</v>
      </c>
      <c r="G553" s="107">
        <v>4300021652</v>
      </c>
      <c r="H553" s="45">
        <v>43191</v>
      </c>
      <c r="I553" s="46"/>
      <c r="J553" s="48">
        <v>240</v>
      </c>
      <c r="K553" t="s">
        <v>2030</v>
      </c>
    </row>
    <row r="554" spans="1:11" x14ac:dyDescent="0.3">
      <c r="A554" s="38" t="s">
        <v>812</v>
      </c>
      <c r="B554" s="45">
        <v>43234</v>
      </c>
      <c r="C554" s="46" t="s">
        <v>2237</v>
      </c>
      <c r="D554" s="46">
        <v>5405</v>
      </c>
      <c r="E554" s="47" t="s">
        <v>2238</v>
      </c>
      <c r="F554" s="47" t="s">
        <v>9</v>
      </c>
      <c r="G554" s="107">
        <v>4300021652</v>
      </c>
      <c r="H554" s="45">
        <v>43191</v>
      </c>
      <c r="I554" s="46"/>
      <c r="J554" s="48">
        <v>240</v>
      </c>
      <c r="K554" t="s">
        <v>2030</v>
      </c>
    </row>
    <row r="555" spans="1:11" x14ac:dyDescent="0.3">
      <c r="A555" s="38" t="s">
        <v>812</v>
      </c>
      <c r="B555" s="45">
        <v>43234</v>
      </c>
      <c r="C555" s="46" t="s">
        <v>2237</v>
      </c>
      <c r="D555" s="46">
        <v>5405</v>
      </c>
      <c r="E555" s="47" t="s">
        <v>2238</v>
      </c>
      <c r="F555" s="47" t="s">
        <v>10</v>
      </c>
      <c r="G555" s="107">
        <v>4300021652</v>
      </c>
      <c r="H555" s="45">
        <v>43191</v>
      </c>
      <c r="I555" s="46"/>
      <c r="J555" s="48">
        <v>240</v>
      </c>
      <c r="K555" t="s">
        <v>2030</v>
      </c>
    </row>
    <row r="556" spans="1:11" x14ac:dyDescent="0.3">
      <c r="A556" s="38" t="s">
        <v>812</v>
      </c>
      <c r="B556" s="45">
        <v>43234</v>
      </c>
      <c r="C556" s="46" t="s">
        <v>2237</v>
      </c>
      <c r="D556" s="46">
        <v>5405</v>
      </c>
      <c r="E556" s="47" t="s">
        <v>2238</v>
      </c>
      <c r="F556" s="47" t="s">
        <v>11</v>
      </c>
      <c r="G556" s="107">
        <v>4300021652</v>
      </c>
      <c r="H556" s="45">
        <v>43191</v>
      </c>
      <c r="I556" s="46"/>
      <c r="J556" s="48">
        <v>240</v>
      </c>
      <c r="K556" t="s">
        <v>2030</v>
      </c>
    </row>
    <row r="557" spans="1:11" x14ac:dyDescent="0.3">
      <c r="A557" s="38" t="s">
        <v>812</v>
      </c>
      <c r="B557" s="45">
        <v>43234</v>
      </c>
      <c r="C557" s="46" t="s">
        <v>2237</v>
      </c>
      <c r="D557" s="46">
        <v>5405</v>
      </c>
      <c r="E557" s="47" t="s">
        <v>2238</v>
      </c>
      <c r="F557" s="47" t="s">
        <v>12</v>
      </c>
      <c r="G557" s="107">
        <v>4300021652</v>
      </c>
      <c r="H557" s="45">
        <v>43191</v>
      </c>
      <c r="I557" s="46"/>
      <c r="J557" s="48">
        <v>240</v>
      </c>
      <c r="K557" t="s">
        <v>2030</v>
      </c>
    </row>
    <row r="558" spans="1:11" x14ac:dyDescent="0.3">
      <c r="A558" s="38" t="s">
        <v>812</v>
      </c>
      <c r="B558" s="45">
        <v>43234</v>
      </c>
      <c r="C558" s="46" t="s">
        <v>2237</v>
      </c>
      <c r="D558" s="46">
        <v>5405</v>
      </c>
      <c r="E558" s="47" t="s">
        <v>2238</v>
      </c>
      <c r="F558" s="47" t="s">
        <v>13</v>
      </c>
      <c r="G558" s="107">
        <v>4300021652</v>
      </c>
      <c r="H558" s="45">
        <v>43191</v>
      </c>
      <c r="I558" s="46"/>
      <c r="J558" s="48">
        <v>240</v>
      </c>
      <c r="K558" t="s">
        <v>2030</v>
      </c>
    </row>
    <row r="559" spans="1:11" x14ac:dyDescent="0.3">
      <c r="A559" s="38" t="s">
        <v>812</v>
      </c>
      <c r="B559" s="45">
        <v>43234</v>
      </c>
      <c r="C559" s="46" t="s">
        <v>2237</v>
      </c>
      <c r="D559" s="46">
        <v>5405</v>
      </c>
      <c r="E559" s="47" t="s">
        <v>2238</v>
      </c>
      <c r="F559" s="47" t="s">
        <v>14</v>
      </c>
      <c r="G559" s="107">
        <v>4300021652</v>
      </c>
      <c r="H559" s="45">
        <v>43191</v>
      </c>
      <c r="I559" s="46"/>
      <c r="J559" s="48">
        <v>240</v>
      </c>
      <c r="K559" t="s">
        <v>2030</v>
      </c>
    </row>
    <row r="560" spans="1:11" x14ac:dyDescent="0.3">
      <c r="A560" s="38" t="s">
        <v>812</v>
      </c>
      <c r="B560" s="45">
        <v>43234</v>
      </c>
      <c r="C560" s="46" t="s">
        <v>2237</v>
      </c>
      <c r="D560" s="46">
        <v>5405</v>
      </c>
      <c r="E560" s="47" t="s">
        <v>2238</v>
      </c>
      <c r="F560" s="47" t="s">
        <v>15</v>
      </c>
      <c r="G560" s="107">
        <v>4300021652</v>
      </c>
      <c r="H560" s="45">
        <v>43191</v>
      </c>
      <c r="I560" s="46"/>
      <c r="J560" s="48">
        <v>240</v>
      </c>
      <c r="K560" t="s">
        <v>2030</v>
      </c>
    </row>
    <row r="561" spans="1:11" x14ac:dyDescent="0.3">
      <c r="A561" s="38" t="s">
        <v>812</v>
      </c>
      <c r="B561" s="45">
        <v>43234</v>
      </c>
      <c r="C561" s="46" t="s">
        <v>2237</v>
      </c>
      <c r="D561" s="46">
        <v>5405</v>
      </c>
      <c r="E561" s="47" t="s">
        <v>2238</v>
      </c>
      <c r="F561" s="47" t="s">
        <v>16</v>
      </c>
      <c r="G561" s="107">
        <v>4300021652</v>
      </c>
      <c r="H561" s="45">
        <v>43191</v>
      </c>
      <c r="I561" s="46"/>
      <c r="J561" s="48">
        <v>240</v>
      </c>
      <c r="K561" t="s">
        <v>2030</v>
      </c>
    </row>
    <row r="562" spans="1:11" x14ac:dyDescent="0.3">
      <c r="A562" s="38" t="s">
        <v>812</v>
      </c>
      <c r="B562" s="45">
        <v>43234</v>
      </c>
      <c r="C562" s="46" t="s">
        <v>2237</v>
      </c>
      <c r="D562" s="46">
        <v>5405</v>
      </c>
      <c r="E562" s="47" t="s">
        <v>2238</v>
      </c>
      <c r="F562" s="47" t="s">
        <v>17</v>
      </c>
      <c r="G562" s="107">
        <v>4300021652</v>
      </c>
      <c r="H562" s="45">
        <v>43191</v>
      </c>
      <c r="I562" s="46"/>
      <c r="J562" s="48">
        <v>240</v>
      </c>
      <c r="K562" t="s">
        <v>2030</v>
      </c>
    </row>
    <row r="563" spans="1:11" x14ac:dyDescent="0.3">
      <c r="A563" s="38" t="s">
        <v>812</v>
      </c>
      <c r="B563" s="45">
        <v>43234</v>
      </c>
      <c r="C563" s="46" t="s">
        <v>2237</v>
      </c>
      <c r="D563" s="46">
        <v>5405</v>
      </c>
      <c r="E563" s="47" t="s">
        <v>2238</v>
      </c>
      <c r="F563" s="47" t="s">
        <v>18</v>
      </c>
      <c r="G563" s="107">
        <v>4300021652</v>
      </c>
      <c r="H563" s="45">
        <v>43191</v>
      </c>
      <c r="I563" s="46"/>
      <c r="J563" s="48">
        <v>240</v>
      </c>
      <c r="K563" t="s">
        <v>2030</v>
      </c>
    </row>
    <row r="564" spans="1:11" x14ac:dyDescent="0.3">
      <c r="A564" s="38" t="s">
        <v>812</v>
      </c>
      <c r="B564" s="45">
        <v>43234</v>
      </c>
      <c r="C564" s="46" t="s">
        <v>2237</v>
      </c>
      <c r="D564" s="46">
        <v>5405</v>
      </c>
      <c r="E564" s="47" t="s">
        <v>2238</v>
      </c>
      <c r="F564" s="47" t="s">
        <v>19</v>
      </c>
      <c r="G564" s="107">
        <v>4300021652</v>
      </c>
      <c r="H564" s="45">
        <v>43191</v>
      </c>
      <c r="I564" s="46"/>
      <c r="J564" s="48">
        <v>262.2</v>
      </c>
      <c r="K564" t="s">
        <v>2030</v>
      </c>
    </row>
    <row r="565" spans="1:11" x14ac:dyDescent="0.3">
      <c r="A565" s="38" t="s">
        <v>812</v>
      </c>
      <c r="B565" s="45">
        <v>43234</v>
      </c>
      <c r="C565" s="46" t="s">
        <v>2237</v>
      </c>
      <c r="D565" s="46">
        <v>5405</v>
      </c>
      <c r="E565" s="47" t="s">
        <v>2238</v>
      </c>
      <c r="F565" s="47" t="s">
        <v>20</v>
      </c>
      <c r="G565" s="107">
        <v>4300021652</v>
      </c>
      <c r="H565" s="45">
        <v>43191</v>
      </c>
      <c r="I565" s="46"/>
      <c r="J565" s="48">
        <v>240</v>
      </c>
      <c r="K565" t="s">
        <v>2030</v>
      </c>
    </row>
    <row r="566" spans="1:11" x14ac:dyDescent="0.3">
      <c r="A566" s="38" t="s">
        <v>812</v>
      </c>
      <c r="B566" s="45">
        <v>43234</v>
      </c>
      <c r="C566" s="46" t="s">
        <v>2237</v>
      </c>
      <c r="D566" s="46">
        <v>5405</v>
      </c>
      <c r="E566" s="47" t="s">
        <v>2238</v>
      </c>
      <c r="F566" s="47" t="s">
        <v>21</v>
      </c>
      <c r="G566" s="107">
        <v>4300021652</v>
      </c>
      <c r="H566" s="45">
        <v>43191</v>
      </c>
      <c r="I566" s="46"/>
      <c r="J566" s="48">
        <v>240</v>
      </c>
      <c r="K566" t="s">
        <v>2030</v>
      </c>
    </row>
    <row r="567" spans="1:11" x14ac:dyDescent="0.3">
      <c r="A567" s="38" t="s">
        <v>812</v>
      </c>
      <c r="B567" s="45">
        <v>43234</v>
      </c>
      <c r="C567" s="46" t="s">
        <v>2237</v>
      </c>
      <c r="D567" s="46">
        <v>5405</v>
      </c>
      <c r="E567" s="47" t="s">
        <v>2238</v>
      </c>
      <c r="F567" s="47" t="s">
        <v>22</v>
      </c>
      <c r="G567" s="107">
        <v>4300021652</v>
      </c>
      <c r="H567" s="45">
        <v>43191</v>
      </c>
      <c r="I567" s="46"/>
      <c r="J567" s="48">
        <v>240</v>
      </c>
      <c r="K567" t="s">
        <v>2030</v>
      </c>
    </row>
    <row r="568" spans="1:11" x14ac:dyDescent="0.3">
      <c r="A568" s="38" t="s">
        <v>812</v>
      </c>
      <c r="B568" s="45">
        <v>43234</v>
      </c>
      <c r="C568" s="46" t="s">
        <v>2237</v>
      </c>
      <c r="D568" s="46">
        <v>5405</v>
      </c>
      <c r="E568" s="47" t="s">
        <v>2238</v>
      </c>
      <c r="F568" s="47" t="s">
        <v>23</v>
      </c>
      <c r="G568" s="107">
        <v>4300021652</v>
      </c>
      <c r="H568" s="45">
        <v>43191</v>
      </c>
      <c r="I568" s="46"/>
      <c r="J568" s="48">
        <v>240</v>
      </c>
      <c r="K568" t="s">
        <v>2030</v>
      </c>
    </row>
    <row r="569" spans="1:11" x14ac:dyDescent="0.3">
      <c r="A569" s="38" t="s">
        <v>812</v>
      </c>
      <c r="B569" s="45">
        <v>43234</v>
      </c>
      <c r="C569" s="46" t="s">
        <v>2237</v>
      </c>
      <c r="D569" s="46">
        <v>5405</v>
      </c>
      <c r="E569" s="47" t="s">
        <v>2238</v>
      </c>
      <c r="F569" s="47" t="s">
        <v>24</v>
      </c>
      <c r="G569" s="107">
        <v>4300021652</v>
      </c>
      <c r="H569" s="45">
        <v>43191</v>
      </c>
      <c r="I569" s="46"/>
      <c r="J569" s="48">
        <v>240</v>
      </c>
      <c r="K569" t="s">
        <v>2030</v>
      </c>
    </row>
    <row r="570" spans="1:11" x14ac:dyDescent="0.3">
      <c r="A570" s="38" t="s">
        <v>812</v>
      </c>
      <c r="B570" s="45">
        <v>43234</v>
      </c>
      <c r="C570" s="46" t="s">
        <v>2237</v>
      </c>
      <c r="D570" s="46">
        <v>5405</v>
      </c>
      <c r="E570" s="47" t="s">
        <v>2238</v>
      </c>
      <c r="F570" s="47" t="s">
        <v>25</v>
      </c>
      <c r="G570" s="107">
        <v>4300021652</v>
      </c>
      <c r="H570" s="45">
        <v>43191</v>
      </c>
      <c r="I570" s="46"/>
      <c r="J570" s="48">
        <v>240</v>
      </c>
      <c r="K570" t="s">
        <v>2030</v>
      </c>
    </row>
    <row r="571" spans="1:11" x14ac:dyDescent="0.3">
      <c r="A571" s="38" t="s">
        <v>812</v>
      </c>
      <c r="B571" s="45">
        <v>43234</v>
      </c>
      <c r="C571" s="46" t="s">
        <v>2237</v>
      </c>
      <c r="D571" s="46">
        <v>5405</v>
      </c>
      <c r="E571" s="47" t="s">
        <v>2238</v>
      </c>
      <c r="F571" s="47" t="s">
        <v>26</v>
      </c>
      <c r="G571" s="107">
        <v>4300021652</v>
      </c>
      <c r="H571" s="45">
        <v>43191</v>
      </c>
      <c r="I571" s="46"/>
      <c r="J571" s="48">
        <v>240</v>
      </c>
      <c r="K571" t="s">
        <v>2030</v>
      </c>
    </row>
    <row r="572" spans="1:11" x14ac:dyDescent="0.3">
      <c r="A572" s="38" t="s">
        <v>812</v>
      </c>
      <c r="B572" s="45">
        <v>43234</v>
      </c>
      <c r="C572" s="46" t="s">
        <v>2237</v>
      </c>
      <c r="D572" s="46">
        <v>5405</v>
      </c>
      <c r="E572" s="47" t="s">
        <v>2238</v>
      </c>
      <c r="F572" s="47" t="s">
        <v>27</v>
      </c>
      <c r="G572" s="107">
        <v>4300021652</v>
      </c>
      <c r="H572" s="45">
        <v>43191</v>
      </c>
      <c r="I572" s="46"/>
      <c r="J572" s="48">
        <v>240</v>
      </c>
      <c r="K572" t="s">
        <v>2030</v>
      </c>
    </row>
    <row r="573" spans="1:11" x14ac:dyDescent="0.3">
      <c r="A573" s="38" t="s">
        <v>812</v>
      </c>
      <c r="B573" s="45">
        <v>43234</v>
      </c>
      <c r="C573" s="46" t="s">
        <v>2237</v>
      </c>
      <c r="D573" s="46">
        <v>5405</v>
      </c>
      <c r="E573" s="47" t="s">
        <v>2238</v>
      </c>
      <c r="F573" s="47" t="s">
        <v>28</v>
      </c>
      <c r="G573" s="107">
        <v>4300021652</v>
      </c>
      <c r="H573" s="45">
        <v>43191</v>
      </c>
      <c r="I573" s="46"/>
      <c r="J573" s="48">
        <v>240</v>
      </c>
      <c r="K573" t="s">
        <v>2030</v>
      </c>
    </row>
    <row r="574" spans="1:11" x14ac:dyDescent="0.3">
      <c r="A574" s="38" t="s">
        <v>812</v>
      </c>
      <c r="B574" s="45">
        <v>43234</v>
      </c>
      <c r="C574" s="46" t="s">
        <v>2237</v>
      </c>
      <c r="D574" s="46">
        <v>5405</v>
      </c>
      <c r="E574" s="47" t="s">
        <v>2238</v>
      </c>
      <c r="F574" s="47" t="s">
        <v>37</v>
      </c>
      <c r="G574" s="107">
        <v>4300021652</v>
      </c>
      <c r="H574" s="45">
        <v>43191</v>
      </c>
      <c r="I574" s="46"/>
      <c r="J574" s="48">
        <v>240</v>
      </c>
      <c r="K574" t="s">
        <v>2030</v>
      </c>
    </row>
    <row r="575" spans="1:11" x14ac:dyDescent="0.3">
      <c r="A575" s="38" t="s">
        <v>812</v>
      </c>
      <c r="B575" s="45">
        <v>43234</v>
      </c>
      <c r="C575" s="46" t="s">
        <v>2237</v>
      </c>
      <c r="D575" s="46">
        <v>5405</v>
      </c>
      <c r="E575" s="47" t="s">
        <v>2238</v>
      </c>
      <c r="F575" s="47" t="s">
        <v>38</v>
      </c>
      <c r="G575" s="107">
        <v>4300021652</v>
      </c>
      <c r="H575" s="45">
        <v>43191</v>
      </c>
      <c r="I575" s="46"/>
      <c r="J575" s="48">
        <v>240</v>
      </c>
      <c r="K575" t="s">
        <v>2030</v>
      </c>
    </row>
    <row r="576" spans="1:11" x14ac:dyDescent="0.3">
      <c r="A576" s="38" t="s">
        <v>812</v>
      </c>
      <c r="B576" s="45">
        <v>43234</v>
      </c>
      <c r="C576" s="46" t="s">
        <v>2237</v>
      </c>
      <c r="D576" s="46">
        <v>5405</v>
      </c>
      <c r="E576" s="47" t="s">
        <v>2238</v>
      </c>
      <c r="F576" s="47" t="s">
        <v>39</v>
      </c>
      <c r="G576" s="107">
        <v>4300021652</v>
      </c>
      <c r="H576" s="45">
        <v>43191</v>
      </c>
      <c r="I576" s="46"/>
      <c r="J576" s="48">
        <v>240</v>
      </c>
      <c r="K576" t="s">
        <v>2030</v>
      </c>
    </row>
    <row r="577" spans="1:11" x14ac:dyDescent="0.3">
      <c r="A577" s="38" t="s">
        <v>812</v>
      </c>
      <c r="B577" s="45">
        <v>43234</v>
      </c>
      <c r="C577" s="46" t="s">
        <v>2237</v>
      </c>
      <c r="D577" s="46">
        <v>5405</v>
      </c>
      <c r="E577" s="47" t="s">
        <v>2238</v>
      </c>
      <c r="F577" s="47" t="s">
        <v>40</v>
      </c>
      <c r="G577" s="107">
        <v>4300021652</v>
      </c>
      <c r="H577" s="45">
        <v>43191</v>
      </c>
      <c r="I577" s="46"/>
      <c r="J577" s="48">
        <v>240</v>
      </c>
      <c r="K577" t="s">
        <v>2030</v>
      </c>
    </row>
    <row r="578" spans="1:11" x14ac:dyDescent="0.3">
      <c r="A578" s="38" t="s">
        <v>812</v>
      </c>
      <c r="B578" s="45">
        <v>43234</v>
      </c>
      <c r="C578" s="46" t="s">
        <v>2237</v>
      </c>
      <c r="D578" s="46">
        <v>5405</v>
      </c>
      <c r="E578" s="47" t="s">
        <v>2238</v>
      </c>
      <c r="F578" s="47" t="s">
        <v>41</v>
      </c>
      <c r="G578" s="107">
        <v>4300021652</v>
      </c>
      <c r="H578" s="45">
        <v>43191</v>
      </c>
      <c r="I578" s="46"/>
      <c r="J578" s="48">
        <v>240</v>
      </c>
      <c r="K578" t="s">
        <v>2030</v>
      </c>
    </row>
    <row r="579" spans="1:11" x14ac:dyDescent="0.3">
      <c r="A579" s="38" t="s">
        <v>812</v>
      </c>
      <c r="B579" s="45">
        <v>43234</v>
      </c>
      <c r="C579" s="46" t="s">
        <v>2237</v>
      </c>
      <c r="D579" s="46">
        <v>5405</v>
      </c>
      <c r="E579" s="47" t="s">
        <v>2238</v>
      </c>
      <c r="F579" s="47" t="s">
        <v>42</v>
      </c>
      <c r="G579" s="107">
        <v>4300021652</v>
      </c>
      <c r="H579" s="45">
        <v>43191</v>
      </c>
      <c r="I579" s="46"/>
      <c r="J579" s="48">
        <v>240</v>
      </c>
      <c r="K579" t="s">
        <v>2030</v>
      </c>
    </row>
    <row r="580" spans="1:11" x14ac:dyDescent="0.3">
      <c r="A580" s="38" t="s">
        <v>812</v>
      </c>
      <c r="B580" s="45">
        <v>43234</v>
      </c>
      <c r="C580" s="46" t="s">
        <v>2237</v>
      </c>
      <c r="D580" s="46">
        <v>5405</v>
      </c>
      <c r="E580" s="47" t="s">
        <v>2238</v>
      </c>
      <c r="F580" s="47" t="s">
        <v>43</v>
      </c>
      <c r="G580" s="107">
        <v>4300021652</v>
      </c>
      <c r="H580" s="45">
        <v>43191</v>
      </c>
      <c r="I580" s="46"/>
      <c r="J580" s="48">
        <v>240</v>
      </c>
      <c r="K580" t="s">
        <v>2030</v>
      </c>
    </row>
    <row r="581" spans="1:11" x14ac:dyDescent="0.3">
      <c r="A581" s="38" t="s">
        <v>812</v>
      </c>
      <c r="B581" s="45">
        <v>43234</v>
      </c>
      <c r="C581" s="46" t="s">
        <v>2237</v>
      </c>
      <c r="D581" s="46">
        <v>5405</v>
      </c>
      <c r="E581" s="47" t="s">
        <v>2238</v>
      </c>
      <c r="F581" s="47" t="s">
        <v>44</v>
      </c>
      <c r="G581" s="107">
        <v>4300021652</v>
      </c>
      <c r="H581" s="45">
        <v>43191</v>
      </c>
      <c r="I581" s="46"/>
      <c r="J581" s="48">
        <v>240</v>
      </c>
      <c r="K581" t="s">
        <v>2030</v>
      </c>
    </row>
    <row r="582" spans="1:11" x14ac:dyDescent="0.3">
      <c r="A582" s="38" t="s">
        <v>812</v>
      </c>
      <c r="B582" s="45">
        <v>43234</v>
      </c>
      <c r="C582" s="46" t="s">
        <v>2237</v>
      </c>
      <c r="D582" s="46">
        <v>5405</v>
      </c>
      <c r="E582" s="47" t="s">
        <v>2238</v>
      </c>
      <c r="F582" s="47" t="s">
        <v>45</v>
      </c>
      <c r="G582" s="107">
        <v>4300021652</v>
      </c>
      <c r="H582" s="45">
        <v>43191</v>
      </c>
      <c r="I582" s="46"/>
      <c r="J582" s="48">
        <v>240</v>
      </c>
      <c r="K582" t="s">
        <v>2030</v>
      </c>
    </row>
    <row r="583" spans="1:11" x14ac:dyDescent="0.3">
      <c r="A583" s="38" t="s">
        <v>812</v>
      </c>
      <c r="B583" s="45">
        <v>43234</v>
      </c>
      <c r="C583" s="46" t="s">
        <v>2237</v>
      </c>
      <c r="D583" s="46">
        <v>5405</v>
      </c>
      <c r="E583" s="47" t="s">
        <v>2238</v>
      </c>
      <c r="F583" s="47" t="s">
        <v>46</v>
      </c>
      <c r="G583" s="107">
        <v>4300021652</v>
      </c>
      <c r="H583" s="45">
        <v>43191</v>
      </c>
      <c r="I583" s="46"/>
      <c r="J583" s="48">
        <v>540</v>
      </c>
      <c r="K583" t="s">
        <v>2030</v>
      </c>
    </row>
    <row r="584" spans="1:11" x14ac:dyDescent="0.3">
      <c r="A584" s="38" t="s">
        <v>812</v>
      </c>
      <c r="B584" s="45">
        <v>43234</v>
      </c>
      <c r="C584" s="46" t="s">
        <v>2237</v>
      </c>
      <c r="D584" s="46">
        <v>5405</v>
      </c>
      <c r="E584" s="47" t="s">
        <v>2238</v>
      </c>
      <c r="F584" s="47" t="s">
        <v>47</v>
      </c>
      <c r="G584" s="107">
        <v>4300021652</v>
      </c>
      <c r="H584" s="45">
        <v>43191</v>
      </c>
      <c r="I584" s="46"/>
      <c r="J584" s="48">
        <v>540</v>
      </c>
      <c r="K584" t="s">
        <v>2030</v>
      </c>
    </row>
    <row r="585" spans="1:11" x14ac:dyDescent="0.3">
      <c r="A585" s="38" t="s">
        <v>812</v>
      </c>
      <c r="B585" s="45">
        <v>43234</v>
      </c>
      <c r="C585" s="46" t="s">
        <v>2237</v>
      </c>
      <c r="D585" s="46">
        <v>5405</v>
      </c>
      <c r="E585" s="47" t="s">
        <v>2238</v>
      </c>
      <c r="F585" s="47" t="s">
        <v>295</v>
      </c>
      <c r="G585" s="107">
        <v>4300021652</v>
      </c>
      <c r="H585" s="45">
        <v>43191</v>
      </c>
      <c r="I585" s="46"/>
      <c r="J585" s="48">
        <v>540</v>
      </c>
      <c r="K585" t="s">
        <v>2030</v>
      </c>
    </row>
    <row r="586" spans="1:11" x14ac:dyDescent="0.3">
      <c r="A586" s="38" t="s">
        <v>812</v>
      </c>
      <c r="B586" s="45">
        <v>43234</v>
      </c>
      <c r="C586" s="46" t="s">
        <v>2237</v>
      </c>
      <c r="D586" s="46">
        <v>5405</v>
      </c>
      <c r="E586" s="47" t="s">
        <v>2238</v>
      </c>
      <c r="F586" s="47" t="s">
        <v>48</v>
      </c>
      <c r="G586" s="107">
        <v>4300021652</v>
      </c>
      <c r="H586" s="45">
        <v>43191</v>
      </c>
      <c r="I586" s="46"/>
      <c r="J586" s="48">
        <v>540</v>
      </c>
      <c r="K586" t="s">
        <v>2030</v>
      </c>
    </row>
    <row r="587" spans="1:11" x14ac:dyDescent="0.3">
      <c r="A587" s="38" t="s">
        <v>812</v>
      </c>
      <c r="B587" s="45">
        <v>43234</v>
      </c>
      <c r="C587" s="46" t="s">
        <v>2237</v>
      </c>
      <c r="D587" s="46">
        <v>5405</v>
      </c>
      <c r="E587" s="47" t="s">
        <v>2238</v>
      </c>
      <c r="F587" s="47" t="s">
        <v>49</v>
      </c>
      <c r="G587" s="107">
        <v>4300021652</v>
      </c>
      <c r="H587" s="45">
        <v>43191</v>
      </c>
      <c r="I587" s="46"/>
      <c r="J587" s="48">
        <v>540</v>
      </c>
      <c r="K587" t="s">
        <v>2030</v>
      </c>
    </row>
    <row r="588" spans="1:11" x14ac:dyDescent="0.3">
      <c r="A588" s="38" t="s">
        <v>812</v>
      </c>
      <c r="B588" s="45">
        <v>43234</v>
      </c>
      <c r="C588" s="46" t="s">
        <v>2237</v>
      </c>
      <c r="D588" s="46">
        <v>5405</v>
      </c>
      <c r="E588" s="47" t="s">
        <v>2238</v>
      </c>
      <c r="F588" s="47" t="s">
        <v>50</v>
      </c>
      <c r="G588" s="107">
        <v>4300021652</v>
      </c>
      <c r="H588" s="45">
        <v>43191</v>
      </c>
      <c r="I588" s="46"/>
      <c r="J588" s="48">
        <v>540</v>
      </c>
      <c r="K588" t="s">
        <v>2030</v>
      </c>
    </row>
    <row r="589" spans="1:11" x14ac:dyDescent="0.3">
      <c r="A589" s="38" t="s">
        <v>812</v>
      </c>
      <c r="B589" s="45">
        <v>43234</v>
      </c>
      <c r="C589" s="46" t="s">
        <v>2237</v>
      </c>
      <c r="D589" s="46">
        <v>5405</v>
      </c>
      <c r="E589" s="47" t="s">
        <v>2238</v>
      </c>
      <c r="F589" s="47" t="s">
        <v>51</v>
      </c>
      <c r="G589" s="107">
        <v>4300021652</v>
      </c>
      <c r="H589" s="45">
        <v>43191</v>
      </c>
      <c r="I589" s="46"/>
      <c r="J589" s="48">
        <v>262.5</v>
      </c>
      <c r="K589" t="s">
        <v>2030</v>
      </c>
    </row>
    <row r="590" spans="1:11" x14ac:dyDescent="0.3">
      <c r="A590" s="38" t="s">
        <v>812</v>
      </c>
      <c r="B590" s="45">
        <v>43234</v>
      </c>
      <c r="C590" s="46" t="s">
        <v>2237</v>
      </c>
      <c r="D590" s="46">
        <v>5405</v>
      </c>
      <c r="E590" s="47" t="s">
        <v>2238</v>
      </c>
      <c r="F590" s="47" t="s">
        <v>52</v>
      </c>
      <c r="G590" s="107">
        <v>4300021652</v>
      </c>
      <c r="H590" s="45">
        <v>43191</v>
      </c>
      <c r="I590" s="46"/>
      <c r="J590" s="48">
        <v>262.5</v>
      </c>
      <c r="K590" t="s">
        <v>2030</v>
      </c>
    </row>
    <row r="591" spans="1:11" x14ac:dyDescent="0.3">
      <c r="A591" s="38" t="s">
        <v>812</v>
      </c>
      <c r="B591" s="45">
        <v>43234</v>
      </c>
      <c r="C591" s="46" t="s">
        <v>2237</v>
      </c>
      <c r="D591" s="46">
        <v>5405</v>
      </c>
      <c r="E591" s="47" t="s">
        <v>2238</v>
      </c>
      <c r="F591" s="47" t="s">
        <v>53</v>
      </c>
      <c r="G591" s="107">
        <v>4300021652</v>
      </c>
      <c r="H591" s="45">
        <v>43191</v>
      </c>
      <c r="I591" s="46"/>
      <c r="J591" s="48">
        <v>146.88</v>
      </c>
      <c r="K591" t="s">
        <v>2030</v>
      </c>
    </row>
    <row r="592" spans="1:11" x14ac:dyDescent="0.3">
      <c r="A592" s="38" t="s">
        <v>812</v>
      </c>
      <c r="B592" s="45">
        <v>43234</v>
      </c>
      <c r="C592" s="46" t="s">
        <v>2237</v>
      </c>
      <c r="D592" s="46">
        <v>5405</v>
      </c>
      <c r="E592" s="47" t="s">
        <v>2238</v>
      </c>
      <c r="F592" s="47" t="s">
        <v>54</v>
      </c>
      <c r="G592" s="107">
        <v>4300021652</v>
      </c>
      <c r="H592" s="45">
        <v>43191</v>
      </c>
      <c r="I592" s="46"/>
      <c r="J592" s="48">
        <v>90</v>
      </c>
      <c r="K592" t="s">
        <v>2030</v>
      </c>
    </row>
    <row r="593" spans="1:11" x14ac:dyDescent="0.3">
      <c r="A593" s="38" t="s">
        <v>812</v>
      </c>
      <c r="B593" s="45">
        <v>43234</v>
      </c>
      <c r="C593" s="46" t="s">
        <v>2237</v>
      </c>
      <c r="D593" s="46">
        <v>5405</v>
      </c>
      <c r="E593" s="47" t="s">
        <v>2238</v>
      </c>
      <c r="F593" s="47" t="s">
        <v>55</v>
      </c>
      <c r="G593" s="107">
        <v>4300021652</v>
      </c>
      <c r="H593" s="45">
        <v>43191</v>
      </c>
      <c r="I593" s="46"/>
      <c r="J593" s="48">
        <v>159.12</v>
      </c>
      <c r="K593" t="s">
        <v>2030</v>
      </c>
    </row>
    <row r="594" spans="1:11" x14ac:dyDescent="0.3">
      <c r="A594" s="38" t="s">
        <v>812</v>
      </c>
      <c r="B594" s="45">
        <v>43234</v>
      </c>
      <c r="C594" s="46" t="s">
        <v>2237</v>
      </c>
      <c r="D594" s="46">
        <v>5405</v>
      </c>
      <c r="E594" s="47" t="s">
        <v>2238</v>
      </c>
      <c r="F594" s="47" t="s">
        <v>56</v>
      </c>
      <c r="G594" s="107">
        <v>4300021652</v>
      </c>
      <c r="H594" s="45">
        <v>43191</v>
      </c>
      <c r="I594" s="46"/>
      <c r="J594" s="48">
        <v>90</v>
      </c>
      <c r="K594" t="s">
        <v>2030</v>
      </c>
    </row>
    <row r="595" spans="1:11" x14ac:dyDescent="0.3">
      <c r="A595" s="38" t="s">
        <v>812</v>
      </c>
      <c r="B595" s="45">
        <v>43234</v>
      </c>
      <c r="C595" s="46" t="s">
        <v>2237</v>
      </c>
      <c r="D595" s="46">
        <v>5405</v>
      </c>
      <c r="E595" s="47" t="s">
        <v>2238</v>
      </c>
      <c r="F595" s="47" t="s">
        <v>57</v>
      </c>
      <c r="G595" s="107">
        <v>4300021652</v>
      </c>
      <c r="H595" s="45">
        <v>43191</v>
      </c>
      <c r="I595" s="46"/>
      <c r="J595" s="48">
        <v>240</v>
      </c>
      <c r="K595" t="s">
        <v>2030</v>
      </c>
    </row>
    <row r="596" spans="1:11" x14ac:dyDescent="0.3">
      <c r="A596" s="38" t="s">
        <v>812</v>
      </c>
      <c r="B596" s="45">
        <v>43234</v>
      </c>
      <c r="C596" s="46" t="s">
        <v>2237</v>
      </c>
      <c r="D596" s="46">
        <v>5405</v>
      </c>
      <c r="E596" s="47" t="s">
        <v>2238</v>
      </c>
      <c r="F596" s="47" t="s">
        <v>58</v>
      </c>
      <c r="G596" s="107">
        <v>4300021652</v>
      </c>
      <c r="H596" s="45">
        <v>43191</v>
      </c>
      <c r="I596" s="46"/>
      <c r="J596" s="48">
        <v>240</v>
      </c>
      <c r="K596" t="s">
        <v>2030</v>
      </c>
    </row>
    <row r="597" spans="1:11" x14ac:dyDescent="0.3">
      <c r="A597" s="38" t="s">
        <v>812</v>
      </c>
      <c r="B597" s="45">
        <v>43234</v>
      </c>
      <c r="C597" s="46" t="s">
        <v>2237</v>
      </c>
      <c r="D597" s="46">
        <v>5405</v>
      </c>
      <c r="E597" s="47" t="s">
        <v>2238</v>
      </c>
      <c r="F597" s="47" t="s">
        <v>59</v>
      </c>
      <c r="G597" s="107">
        <v>4300021652</v>
      </c>
      <c r="H597" s="45">
        <v>43191</v>
      </c>
      <c r="I597" s="46"/>
      <c r="J597" s="48">
        <v>240</v>
      </c>
      <c r="K597" t="s">
        <v>2030</v>
      </c>
    </row>
    <row r="598" spans="1:11" x14ac:dyDescent="0.3">
      <c r="A598" s="38" t="s">
        <v>812</v>
      </c>
      <c r="B598" s="45">
        <v>43234</v>
      </c>
      <c r="C598" s="46" t="s">
        <v>2237</v>
      </c>
      <c r="D598" s="46">
        <v>5405</v>
      </c>
      <c r="E598" s="47" t="s">
        <v>2238</v>
      </c>
      <c r="F598" s="47" t="s">
        <v>60</v>
      </c>
      <c r="G598" s="107">
        <v>4300021652</v>
      </c>
      <c r="H598" s="45">
        <v>43191</v>
      </c>
      <c r="I598" s="46"/>
      <c r="J598" s="48">
        <v>240</v>
      </c>
      <c r="K598" t="s">
        <v>2030</v>
      </c>
    </row>
    <row r="599" spans="1:11" x14ac:dyDescent="0.3">
      <c r="A599" s="38" t="s">
        <v>812</v>
      </c>
      <c r="B599" s="45">
        <v>43234</v>
      </c>
      <c r="C599" s="46" t="s">
        <v>2237</v>
      </c>
      <c r="D599" s="46">
        <v>5405</v>
      </c>
      <c r="E599" s="47" t="s">
        <v>2238</v>
      </c>
      <c r="F599" s="47" t="s">
        <v>61</v>
      </c>
      <c r="G599" s="107">
        <v>4300021652</v>
      </c>
      <c r="H599" s="45">
        <v>43191</v>
      </c>
      <c r="I599" s="46"/>
      <c r="J599" s="48">
        <v>240</v>
      </c>
      <c r="K599" t="s">
        <v>2030</v>
      </c>
    </row>
    <row r="600" spans="1:11" x14ac:dyDescent="0.3">
      <c r="A600" s="38" t="s">
        <v>812</v>
      </c>
      <c r="B600" s="45">
        <v>43234</v>
      </c>
      <c r="C600" s="46" t="s">
        <v>2237</v>
      </c>
      <c r="D600" s="46">
        <v>5405</v>
      </c>
      <c r="E600" s="47" t="s">
        <v>2238</v>
      </c>
      <c r="F600" s="47" t="s">
        <v>62</v>
      </c>
      <c r="G600" s="107">
        <v>4300021652</v>
      </c>
      <c r="H600" s="45">
        <v>43191</v>
      </c>
      <c r="I600" s="46"/>
      <c r="J600" s="48">
        <v>240</v>
      </c>
      <c r="K600" t="s">
        <v>2030</v>
      </c>
    </row>
    <row r="601" spans="1:11" x14ac:dyDescent="0.3">
      <c r="A601" s="38" t="s">
        <v>812</v>
      </c>
      <c r="B601" s="45">
        <v>43234</v>
      </c>
      <c r="C601" s="46" t="s">
        <v>2237</v>
      </c>
      <c r="D601" s="46">
        <v>5405</v>
      </c>
      <c r="E601" s="47" t="s">
        <v>2238</v>
      </c>
      <c r="F601" s="47" t="s">
        <v>63</v>
      </c>
      <c r="G601" s="107">
        <v>4300021652</v>
      </c>
      <c r="H601" s="45">
        <v>43191</v>
      </c>
      <c r="I601" s="46"/>
      <c r="J601" s="48">
        <v>240</v>
      </c>
      <c r="K601" t="s">
        <v>2030</v>
      </c>
    </row>
    <row r="602" spans="1:11" x14ac:dyDescent="0.3">
      <c r="A602" s="38" t="s">
        <v>812</v>
      </c>
      <c r="B602" s="45">
        <v>43234</v>
      </c>
      <c r="C602" s="46" t="s">
        <v>2237</v>
      </c>
      <c r="D602" s="46">
        <v>5405</v>
      </c>
      <c r="E602" s="47" t="s">
        <v>2238</v>
      </c>
      <c r="F602" s="47" t="s">
        <v>64</v>
      </c>
      <c r="G602" s="107">
        <v>4300021652</v>
      </c>
      <c r="H602" s="45">
        <v>43191</v>
      </c>
      <c r="I602" s="46"/>
      <c r="J602" s="48">
        <v>240</v>
      </c>
      <c r="K602" t="s">
        <v>2030</v>
      </c>
    </row>
    <row r="603" spans="1:11" x14ac:dyDescent="0.3">
      <c r="A603" s="38" t="s">
        <v>812</v>
      </c>
      <c r="B603" s="45">
        <v>43234</v>
      </c>
      <c r="C603" s="46" t="s">
        <v>2237</v>
      </c>
      <c r="D603" s="46">
        <v>5405</v>
      </c>
      <c r="E603" s="47" t="s">
        <v>2238</v>
      </c>
      <c r="F603" s="47" t="s">
        <v>65</v>
      </c>
      <c r="G603" s="107">
        <v>4300021652</v>
      </c>
      <c r="H603" s="45">
        <v>43191</v>
      </c>
      <c r="I603" s="46"/>
      <c r="J603" s="48">
        <v>240</v>
      </c>
      <c r="K603" t="s">
        <v>2030</v>
      </c>
    </row>
    <row r="604" spans="1:11" x14ac:dyDescent="0.3">
      <c r="A604" s="38" t="s">
        <v>812</v>
      </c>
      <c r="B604" s="45">
        <v>43234</v>
      </c>
      <c r="C604" s="46" t="s">
        <v>2237</v>
      </c>
      <c r="D604" s="46">
        <v>5405</v>
      </c>
      <c r="E604" s="47" t="s">
        <v>2238</v>
      </c>
      <c r="F604" s="47" t="s">
        <v>66</v>
      </c>
      <c r="G604" s="107">
        <v>4300021652</v>
      </c>
      <c r="H604" s="45">
        <v>43191</v>
      </c>
      <c r="I604" s="46"/>
      <c r="J604" s="48">
        <v>240</v>
      </c>
      <c r="K604" t="s">
        <v>2030</v>
      </c>
    </row>
    <row r="605" spans="1:11" x14ac:dyDescent="0.3">
      <c r="A605" s="38" t="s">
        <v>812</v>
      </c>
      <c r="B605" s="45">
        <v>43234</v>
      </c>
      <c r="C605" s="46" t="s">
        <v>2237</v>
      </c>
      <c r="D605" s="46">
        <v>5405</v>
      </c>
      <c r="E605" s="47" t="s">
        <v>2238</v>
      </c>
      <c r="F605" s="47" t="s">
        <v>67</v>
      </c>
      <c r="G605" s="107">
        <v>4300021652</v>
      </c>
      <c r="H605" s="45">
        <v>43191</v>
      </c>
      <c r="I605" s="46"/>
      <c r="J605" s="48">
        <v>240</v>
      </c>
      <c r="K605" t="s">
        <v>2030</v>
      </c>
    </row>
    <row r="606" spans="1:11" x14ac:dyDescent="0.3">
      <c r="A606" s="38" t="s">
        <v>812</v>
      </c>
      <c r="B606" s="45">
        <v>43234</v>
      </c>
      <c r="C606" s="46" t="s">
        <v>2237</v>
      </c>
      <c r="D606" s="46">
        <v>5405</v>
      </c>
      <c r="E606" s="47" t="s">
        <v>2238</v>
      </c>
      <c r="F606" s="47" t="s">
        <v>68</v>
      </c>
      <c r="G606" s="107">
        <v>4300021652</v>
      </c>
      <c r="H606" s="45">
        <v>43191</v>
      </c>
      <c r="I606" s="46"/>
      <c r="J606" s="48">
        <v>240</v>
      </c>
      <c r="K606" t="s">
        <v>2030</v>
      </c>
    </row>
    <row r="607" spans="1:11" x14ac:dyDescent="0.3">
      <c r="A607" s="38" t="s">
        <v>812</v>
      </c>
      <c r="B607" s="45">
        <v>43234</v>
      </c>
      <c r="C607" s="46" t="s">
        <v>2237</v>
      </c>
      <c r="D607" s="46">
        <v>5405</v>
      </c>
      <c r="E607" s="47" t="s">
        <v>2238</v>
      </c>
      <c r="F607" s="47" t="s">
        <v>69</v>
      </c>
      <c r="G607" s="107">
        <v>4300021652</v>
      </c>
      <c r="H607" s="45">
        <v>43191</v>
      </c>
      <c r="I607" s="46"/>
      <c r="J607" s="48">
        <v>240</v>
      </c>
      <c r="K607" t="s">
        <v>2030</v>
      </c>
    </row>
    <row r="608" spans="1:11" x14ac:dyDescent="0.3">
      <c r="A608" s="38" t="s">
        <v>812</v>
      </c>
      <c r="B608" s="45">
        <v>43234</v>
      </c>
      <c r="C608" s="46" t="s">
        <v>2237</v>
      </c>
      <c r="D608" s="46">
        <v>5405</v>
      </c>
      <c r="E608" s="47" t="s">
        <v>2238</v>
      </c>
      <c r="F608" s="47" t="s">
        <v>70</v>
      </c>
      <c r="G608" s="107">
        <v>4300021652</v>
      </c>
      <c r="H608" s="45">
        <v>43191</v>
      </c>
      <c r="I608" s="46"/>
      <c r="J608" s="48">
        <v>240</v>
      </c>
      <c r="K608" t="s">
        <v>2030</v>
      </c>
    </row>
    <row r="609" spans="1:11" x14ac:dyDescent="0.3">
      <c r="A609" s="38" t="s">
        <v>812</v>
      </c>
      <c r="B609" s="45">
        <v>43234</v>
      </c>
      <c r="C609" s="46" t="s">
        <v>2237</v>
      </c>
      <c r="D609" s="46">
        <v>5405</v>
      </c>
      <c r="E609" s="47" t="s">
        <v>2238</v>
      </c>
      <c r="F609" s="47" t="s">
        <v>71</v>
      </c>
      <c r="G609" s="107">
        <v>4300021652</v>
      </c>
      <c r="H609" s="45">
        <v>43191</v>
      </c>
      <c r="I609" s="46"/>
      <c r="J609" s="48">
        <v>240</v>
      </c>
      <c r="K609" t="s">
        <v>2030</v>
      </c>
    </row>
    <row r="610" spans="1:11" x14ac:dyDescent="0.3">
      <c r="A610" s="38" t="s">
        <v>812</v>
      </c>
      <c r="B610" s="45">
        <v>43234</v>
      </c>
      <c r="C610" s="46" t="s">
        <v>2237</v>
      </c>
      <c r="D610" s="46">
        <v>5405</v>
      </c>
      <c r="E610" s="47" t="s">
        <v>2238</v>
      </c>
      <c r="F610" s="47" t="s">
        <v>72</v>
      </c>
      <c r="G610" s="107">
        <v>4300021652</v>
      </c>
      <c r="H610" s="45">
        <v>43191</v>
      </c>
      <c r="I610" s="46"/>
      <c r="J610" s="48">
        <v>240</v>
      </c>
      <c r="K610" t="s">
        <v>2030</v>
      </c>
    </row>
    <row r="611" spans="1:11" x14ac:dyDescent="0.3">
      <c r="A611" s="38" t="s">
        <v>812</v>
      </c>
      <c r="B611" s="45">
        <v>43234</v>
      </c>
      <c r="C611" s="46" t="s">
        <v>2237</v>
      </c>
      <c r="D611" s="46">
        <v>5405</v>
      </c>
      <c r="E611" s="47" t="s">
        <v>2238</v>
      </c>
      <c r="F611" s="47" t="s">
        <v>73</v>
      </c>
      <c r="G611" s="107">
        <v>4300021652</v>
      </c>
      <c r="H611" s="45">
        <v>43191</v>
      </c>
      <c r="I611" s="46"/>
      <c r="J611" s="48">
        <v>240</v>
      </c>
      <c r="K611" t="s">
        <v>2030</v>
      </c>
    </row>
    <row r="612" spans="1:11" x14ac:dyDescent="0.3">
      <c r="A612" s="38" t="s">
        <v>812</v>
      </c>
      <c r="B612" s="45">
        <v>43234</v>
      </c>
      <c r="C612" s="46" t="s">
        <v>2237</v>
      </c>
      <c r="D612" s="46">
        <v>5405</v>
      </c>
      <c r="E612" s="47" t="s">
        <v>2238</v>
      </c>
      <c r="F612" s="47" t="s">
        <v>74</v>
      </c>
      <c r="G612" s="107">
        <v>4300021652</v>
      </c>
      <c r="H612" s="45">
        <v>43191</v>
      </c>
      <c r="I612" s="46"/>
      <c r="J612" s="48">
        <v>240</v>
      </c>
      <c r="K612" t="s">
        <v>2030</v>
      </c>
    </row>
    <row r="613" spans="1:11" x14ac:dyDescent="0.3">
      <c r="A613" s="38" t="s">
        <v>812</v>
      </c>
      <c r="B613" s="45">
        <v>43234</v>
      </c>
      <c r="C613" s="46" t="s">
        <v>2237</v>
      </c>
      <c r="D613" s="46">
        <v>5405</v>
      </c>
      <c r="E613" s="47" t="s">
        <v>2238</v>
      </c>
      <c r="F613" s="47" t="s">
        <v>75</v>
      </c>
      <c r="G613" s="107">
        <v>4300021652</v>
      </c>
      <c r="H613" s="45">
        <v>43191</v>
      </c>
      <c r="I613" s="46"/>
      <c r="J613" s="48">
        <v>240</v>
      </c>
      <c r="K613" t="s">
        <v>2030</v>
      </c>
    </row>
    <row r="614" spans="1:11" x14ac:dyDescent="0.3">
      <c r="A614" s="38" t="s">
        <v>812</v>
      </c>
      <c r="B614" s="45">
        <v>43234</v>
      </c>
      <c r="C614" s="46" t="s">
        <v>2237</v>
      </c>
      <c r="D614" s="46">
        <v>5405</v>
      </c>
      <c r="E614" s="47" t="s">
        <v>2238</v>
      </c>
      <c r="F614" s="47" t="s">
        <v>76</v>
      </c>
      <c r="G614" s="107">
        <v>4300021652</v>
      </c>
      <c r="H614" s="45">
        <v>43191</v>
      </c>
      <c r="I614" s="46"/>
      <c r="J614" s="48">
        <v>240</v>
      </c>
      <c r="K614" t="s">
        <v>2030</v>
      </c>
    </row>
    <row r="615" spans="1:11" x14ac:dyDescent="0.3">
      <c r="A615" s="38" t="s">
        <v>812</v>
      </c>
      <c r="B615" s="45">
        <v>43234</v>
      </c>
      <c r="C615" s="46" t="s">
        <v>2237</v>
      </c>
      <c r="D615" s="46">
        <v>5405</v>
      </c>
      <c r="E615" s="47" t="s">
        <v>2238</v>
      </c>
      <c r="F615" s="47" t="s">
        <v>77</v>
      </c>
      <c r="G615" s="107">
        <v>4300021652</v>
      </c>
      <c r="H615" s="45">
        <v>43191</v>
      </c>
      <c r="I615" s="46"/>
      <c r="J615" s="48">
        <v>240</v>
      </c>
      <c r="K615" t="s">
        <v>2030</v>
      </c>
    </row>
    <row r="616" spans="1:11" x14ac:dyDescent="0.3">
      <c r="A616" s="38" t="s">
        <v>812</v>
      </c>
      <c r="B616" s="45">
        <v>43234</v>
      </c>
      <c r="C616" s="46" t="s">
        <v>2237</v>
      </c>
      <c r="D616" s="46">
        <v>5405</v>
      </c>
      <c r="E616" s="47" t="s">
        <v>2238</v>
      </c>
      <c r="F616" s="47" t="s">
        <v>78</v>
      </c>
      <c r="G616" s="107">
        <v>4300021652</v>
      </c>
      <c r="H616" s="45">
        <v>43191</v>
      </c>
      <c r="I616" s="46"/>
      <c r="J616" s="48">
        <v>240</v>
      </c>
      <c r="K616" t="s">
        <v>2030</v>
      </c>
    </row>
    <row r="617" spans="1:11" x14ac:dyDescent="0.3">
      <c r="A617" s="38" t="s">
        <v>812</v>
      </c>
      <c r="B617" s="45">
        <v>43234</v>
      </c>
      <c r="C617" s="46" t="s">
        <v>2237</v>
      </c>
      <c r="D617" s="46">
        <v>5405</v>
      </c>
      <c r="E617" s="47" t="s">
        <v>2238</v>
      </c>
      <c r="F617" s="47" t="s">
        <v>79</v>
      </c>
      <c r="G617" s="107">
        <v>4300021652</v>
      </c>
      <c r="H617" s="45">
        <v>43191</v>
      </c>
      <c r="I617" s="46"/>
      <c r="J617" s="48">
        <v>240</v>
      </c>
      <c r="K617" t="s">
        <v>2030</v>
      </c>
    </row>
    <row r="618" spans="1:11" x14ac:dyDescent="0.3">
      <c r="A618" s="38" t="s">
        <v>812</v>
      </c>
      <c r="B618" s="45">
        <v>43234</v>
      </c>
      <c r="C618" s="46" t="s">
        <v>2237</v>
      </c>
      <c r="D618" s="46">
        <v>5405</v>
      </c>
      <c r="E618" s="47" t="s">
        <v>2238</v>
      </c>
      <c r="F618" s="47" t="s">
        <v>80</v>
      </c>
      <c r="G618" s="107">
        <v>4300021652</v>
      </c>
      <c r="H618" s="45">
        <v>43191</v>
      </c>
      <c r="I618" s="46"/>
      <c r="J618" s="48">
        <v>240</v>
      </c>
      <c r="K618" t="s">
        <v>2030</v>
      </c>
    </row>
    <row r="619" spans="1:11" x14ac:dyDescent="0.3">
      <c r="A619" s="38" t="s">
        <v>812</v>
      </c>
      <c r="B619" s="45">
        <v>43234</v>
      </c>
      <c r="C619" s="46" t="s">
        <v>2237</v>
      </c>
      <c r="D619" s="46">
        <v>5405</v>
      </c>
      <c r="E619" s="47" t="s">
        <v>2238</v>
      </c>
      <c r="F619" s="47" t="s">
        <v>81</v>
      </c>
      <c r="G619" s="107">
        <v>4300021652</v>
      </c>
      <c r="H619" s="45">
        <v>43191</v>
      </c>
      <c r="I619" s="46"/>
      <c r="J619" s="48">
        <v>240</v>
      </c>
      <c r="K619" t="s">
        <v>2030</v>
      </c>
    </row>
    <row r="620" spans="1:11" x14ac:dyDescent="0.3">
      <c r="A620" s="38" t="s">
        <v>812</v>
      </c>
      <c r="B620" s="45">
        <v>43234</v>
      </c>
      <c r="C620" s="46" t="s">
        <v>2237</v>
      </c>
      <c r="D620" s="46">
        <v>5405</v>
      </c>
      <c r="E620" s="47" t="s">
        <v>2238</v>
      </c>
      <c r="F620" s="47" t="s">
        <v>82</v>
      </c>
      <c r="G620" s="107">
        <v>4300021652</v>
      </c>
      <c r="H620" s="45">
        <v>43191</v>
      </c>
      <c r="I620" s="46"/>
      <c r="J620" s="48">
        <v>240</v>
      </c>
      <c r="K620" t="s">
        <v>2030</v>
      </c>
    </row>
    <row r="621" spans="1:11" x14ac:dyDescent="0.3">
      <c r="A621" s="38" t="s">
        <v>812</v>
      </c>
      <c r="B621" s="45">
        <v>43234</v>
      </c>
      <c r="C621" s="46" t="s">
        <v>2237</v>
      </c>
      <c r="D621" s="46">
        <v>5405</v>
      </c>
      <c r="E621" s="47" t="s">
        <v>2238</v>
      </c>
      <c r="F621" s="47" t="s">
        <v>83</v>
      </c>
      <c r="G621" s="107">
        <v>4300021652</v>
      </c>
      <c r="H621" s="45">
        <v>43191</v>
      </c>
      <c r="I621" s="46"/>
      <c r="J621" s="48">
        <v>240</v>
      </c>
      <c r="K621" t="s">
        <v>2030</v>
      </c>
    </row>
    <row r="622" spans="1:11" x14ac:dyDescent="0.3">
      <c r="A622" s="38" t="s">
        <v>812</v>
      </c>
      <c r="B622" s="45">
        <v>43234</v>
      </c>
      <c r="C622" s="46" t="s">
        <v>2237</v>
      </c>
      <c r="D622" s="46">
        <v>5405</v>
      </c>
      <c r="E622" s="47" t="s">
        <v>2238</v>
      </c>
      <c r="F622" s="47" t="s">
        <v>84</v>
      </c>
      <c r="G622" s="107">
        <v>4300021652</v>
      </c>
      <c r="H622" s="45">
        <v>43191</v>
      </c>
      <c r="I622" s="46"/>
      <c r="J622" s="48">
        <v>240</v>
      </c>
      <c r="K622" t="s">
        <v>2030</v>
      </c>
    </row>
    <row r="623" spans="1:11" x14ac:dyDescent="0.3">
      <c r="A623" s="38" t="s">
        <v>812</v>
      </c>
      <c r="B623" s="45">
        <v>43234</v>
      </c>
      <c r="C623" s="46" t="s">
        <v>2237</v>
      </c>
      <c r="D623" s="46">
        <v>5405</v>
      </c>
      <c r="E623" s="47" t="s">
        <v>2238</v>
      </c>
      <c r="F623" s="47" t="s">
        <v>85</v>
      </c>
      <c r="G623" s="107">
        <v>4300021652</v>
      </c>
      <c r="H623" s="45">
        <v>43191</v>
      </c>
      <c r="I623" s="46"/>
      <c r="J623" s="48">
        <v>240</v>
      </c>
      <c r="K623" t="s">
        <v>2030</v>
      </c>
    </row>
    <row r="624" spans="1:11" x14ac:dyDescent="0.3">
      <c r="A624" s="38" t="s">
        <v>812</v>
      </c>
      <c r="B624" s="45">
        <v>43234</v>
      </c>
      <c r="C624" s="46" t="s">
        <v>2237</v>
      </c>
      <c r="D624" s="46">
        <v>5405</v>
      </c>
      <c r="E624" s="47" t="s">
        <v>2238</v>
      </c>
      <c r="F624" s="47" t="s">
        <v>86</v>
      </c>
      <c r="G624" s="107">
        <v>4300021652</v>
      </c>
      <c r="H624" s="45">
        <v>43191</v>
      </c>
      <c r="I624" s="46"/>
      <c r="J624" s="48">
        <v>240</v>
      </c>
      <c r="K624" t="s">
        <v>2030</v>
      </c>
    </row>
    <row r="625" spans="1:11" x14ac:dyDescent="0.3">
      <c r="A625" s="38" t="s">
        <v>812</v>
      </c>
      <c r="B625" s="45">
        <v>43234</v>
      </c>
      <c r="C625" s="46" t="s">
        <v>2237</v>
      </c>
      <c r="D625" s="46">
        <v>5405</v>
      </c>
      <c r="E625" s="47" t="s">
        <v>2238</v>
      </c>
      <c r="F625" s="47" t="s">
        <v>87</v>
      </c>
      <c r="G625" s="107">
        <v>4300021652</v>
      </c>
      <c r="H625" s="45">
        <v>43191</v>
      </c>
      <c r="I625" s="46"/>
      <c r="J625" s="48">
        <v>240</v>
      </c>
      <c r="K625" t="s">
        <v>2030</v>
      </c>
    </row>
    <row r="626" spans="1:11" x14ac:dyDescent="0.3">
      <c r="A626" s="38" t="s">
        <v>812</v>
      </c>
      <c r="B626" s="45">
        <v>43234</v>
      </c>
      <c r="C626" s="46" t="s">
        <v>2237</v>
      </c>
      <c r="D626" s="46">
        <v>5405</v>
      </c>
      <c r="E626" s="47" t="s">
        <v>2238</v>
      </c>
      <c r="F626" s="47" t="s">
        <v>88</v>
      </c>
      <c r="G626" s="107">
        <v>4300021652</v>
      </c>
      <c r="H626" s="45">
        <v>43191</v>
      </c>
      <c r="I626" s="46"/>
      <c r="J626" s="48">
        <v>240</v>
      </c>
      <c r="K626" t="s">
        <v>2030</v>
      </c>
    </row>
    <row r="627" spans="1:11" x14ac:dyDescent="0.3">
      <c r="A627" s="38" t="s">
        <v>812</v>
      </c>
      <c r="B627" s="45">
        <v>43234</v>
      </c>
      <c r="C627" s="46" t="s">
        <v>2237</v>
      </c>
      <c r="D627" s="46">
        <v>5405</v>
      </c>
      <c r="E627" s="47" t="s">
        <v>2238</v>
      </c>
      <c r="F627" s="47" t="s">
        <v>89</v>
      </c>
      <c r="G627" s="107">
        <v>4300021652</v>
      </c>
      <c r="H627" s="45">
        <v>43191</v>
      </c>
      <c r="I627" s="46"/>
      <c r="J627" s="48">
        <v>240</v>
      </c>
      <c r="K627" t="s">
        <v>2030</v>
      </c>
    </row>
    <row r="628" spans="1:11" x14ac:dyDescent="0.3">
      <c r="A628" s="38" t="s">
        <v>812</v>
      </c>
      <c r="B628" s="45">
        <v>43234</v>
      </c>
      <c r="C628" s="46" t="s">
        <v>2237</v>
      </c>
      <c r="D628" s="46">
        <v>5405</v>
      </c>
      <c r="E628" s="47" t="s">
        <v>2238</v>
      </c>
      <c r="F628" s="47" t="s">
        <v>90</v>
      </c>
      <c r="G628" s="107">
        <v>4300021652</v>
      </c>
      <c r="H628" s="45">
        <v>43191</v>
      </c>
      <c r="I628" s="46"/>
      <c r="J628" s="48">
        <v>240</v>
      </c>
      <c r="K628" t="s">
        <v>2030</v>
      </c>
    </row>
    <row r="629" spans="1:11" x14ac:dyDescent="0.3">
      <c r="A629" s="38" t="s">
        <v>812</v>
      </c>
      <c r="B629" s="45">
        <v>43234</v>
      </c>
      <c r="C629" s="46" t="s">
        <v>2237</v>
      </c>
      <c r="D629" s="46">
        <v>5405</v>
      </c>
      <c r="E629" s="47" t="s">
        <v>2238</v>
      </c>
      <c r="F629" s="47" t="s">
        <v>91</v>
      </c>
      <c r="G629" s="107">
        <v>4300021652</v>
      </c>
      <c r="H629" s="45">
        <v>43191</v>
      </c>
      <c r="I629" s="46"/>
      <c r="J629" s="48">
        <v>195</v>
      </c>
      <c r="K629" t="s">
        <v>2030</v>
      </c>
    </row>
    <row r="630" spans="1:11" x14ac:dyDescent="0.3">
      <c r="A630" s="38" t="s">
        <v>812</v>
      </c>
      <c r="B630" s="45">
        <v>43234</v>
      </c>
      <c r="C630" s="46" t="s">
        <v>2237</v>
      </c>
      <c r="D630" s="46">
        <v>5405</v>
      </c>
      <c r="E630" s="47" t="s">
        <v>2238</v>
      </c>
      <c r="F630" s="47" t="s">
        <v>92</v>
      </c>
      <c r="G630" s="107">
        <v>4300021652</v>
      </c>
      <c r="H630" s="45">
        <v>43191</v>
      </c>
      <c r="I630" s="46"/>
      <c r="J630" s="48">
        <v>240</v>
      </c>
      <c r="K630" t="s">
        <v>2030</v>
      </c>
    </row>
    <row r="631" spans="1:11" x14ac:dyDescent="0.3">
      <c r="A631" s="38" t="s">
        <v>812</v>
      </c>
      <c r="B631" s="45">
        <v>43234</v>
      </c>
      <c r="C631" s="46" t="s">
        <v>2237</v>
      </c>
      <c r="D631" s="46">
        <v>5405</v>
      </c>
      <c r="E631" s="47" t="s">
        <v>2238</v>
      </c>
      <c r="F631" s="47" t="s">
        <v>30</v>
      </c>
      <c r="G631" s="107">
        <v>4300021652</v>
      </c>
      <c r="H631" s="45">
        <v>43191</v>
      </c>
      <c r="I631" s="46"/>
      <c r="J631" s="48">
        <v>240</v>
      </c>
      <c r="K631" t="s">
        <v>2030</v>
      </c>
    </row>
    <row r="632" spans="1:11" x14ac:dyDescent="0.3">
      <c r="A632" s="38" t="s">
        <v>812</v>
      </c>
      <c r="B632" s="45">
        <v>43234</v>
      </c>
      <c r="C632" s="46" t="s">
        <v>2237</v>
      </c>
      <c r="D632" s="46">
        <v>5405</v>
      </c>
      <c r="E632" s="47" t="s">
        <v>2238</v>
      </c>
      <c r="F632" s="47" t="s">
        <v>93</v>
      </c>
      <c r="G632" s="107">
        <v>4300021652</v>
      </c>
      <c r="H632" s="45">
        <v>43191</v>
      </c>
      <c r="I632" s="46"/>
      <c r="J632" s="48">
        <v>240</v>
      </c>
      <c r="K632" t="s">
        <v>2030</v>
      </c>
    </row>
    <row r="633" spans="1:11" x14ac:dyDescent="0.3">
      <c r="A633" s="38" t="s">
        <v>812</v>
      </c>
      <c r="B633" s="45">
        <v>43234</v>
      </c>
      <c r="C633" s="46" t="s">
        <v>2237</v>
      </c>
      <c r="D633" s="46">
        <v>5405</v>
      </c>
      <c r="E633" s="47" t="s">
        <v>2238</v>
      </c>
      <c r="F633" s="47" t="s">
        <v>94</v>
      </c>
      <c r="G633" s="107">
        <v>4300021652</v>
      </c>
      <c r="H633" s="45">
        <v>43191</v>
      </c>
      <c r="I633" s="46"/>
      <c r="J633" s="48">
        <v>240</v>
      </c>
      <c r="K633" t="s">
        <v>2030</v>
      </c>
    </row>
    <row r="634" spans="1:11" x14ac:dyDescent="0.3">
      <c r="A634" s="38" t="s">
        <v>812</v>
      </c>
      <c r="B634" s="45">
        <v>43234</v>
      </c>
      <c r="C634" s="46" t="s">
        <v>2237</v>
      </c>
      <c r="D634" s="46">
        <v>5405</v>
      </c>
      <c r="E634" s="47" t="s">
        <v>2238</v>
      </c>
      <c r="F634" s="47" t="s">
        <v>95</v>
      </c>
      <c r="G634" s="107">
        <v>4300021652</v>
      </c>
      <c r="H634" s="45">
        <v>43191</v>
      </c>
      <c r="I634" s="46"/>
      <c r="J634" s="48">
        <v>240</v>
      </c>
      <c r="K634" t="s">
        <v>2030</v>
      </c>
    </row>
    <row r="635" spans="1:11" x14ac:dyDescent="0.3">
      <c r="A635" s="38" t="s">
        <v>812</v>
      </c>
      <c r="B635" s="45">
        <v>43234</v>
      </c>
      <c r="C635" s="46" t="s">
        <v>2237</v>
      </c>
      <c r="D635" s="46">
        <v>5405</v>
      </c>
      <c r="E635" s="47" t="s">
        <v>2238</v>
      </c>
      <c r="F635" s="47" t="s">
        <v>96</v>
      </c>
      <c r="G635" s="107">
        <v>4300021652</v>
      </c>
      <c r="H635" s="45">
        <v>43191</v>
      </c>
      <c r="I635" s="46"/>
      <c r="J635" s="48">
        <v>240</v>
      </c>
      <c r="K635" t="s">
        <v>2030</v>
      </c>
    </row>
    <row r="636" spans="1:11" x14ac:dyDescent="0.3">
      <c r="A636" s="38" t="s">
        <v>812</v>
      </c>
      <c r="B636" s="45">
        <v>43234</v>
      </c>
      <c r="C636" s="46" t="s">
        <v>2237</v>
      </c>
      <c r="D636" s="46">
        <v>5405</v>
      </c>
      <c r="E636" s="47" t="s">
        <v>2238</v>
      </c>
      <c r="F636" s="47" t="s">
        <v>97</v>
      </c>
      <c r="G636" s="107">
        <v>4300021652</v>
      </c>
      <c r="H636" s="45">
        <v>43191</v>
      </c>
      <c r="I636" s="46"/>
      <c r="J636" s="48">
        <v>240</v>
      </c>
      <c r="K636" t="s">
        <v>2030</v>
      </c>
    </row>
    <row r="637" spans="1:11" x14ac:dyDescent="0.3">
      <c r="A637" s="38" t="s">
        <v>812</v>
      </c>
      <c r="B637" s="45">
        <v>43234</v>
      </c>
      <c r="C637" s="46" t="s">
        <v>2237</v>
      </c>
      <c r="D637" s="46">
        <v>5405</v>
      </c>
      <c r="E637" s="47" t="s">
        <v>2238</v>
      </c>
      <c r="F637" s="47" t="s">
        <v>98</v>
      </c>
      <c r="G637" s="107">
        <v>4300021652</v>
      </c>
      <c r="H637" s="45">
        <v>43191</v>
      </c>
      <c r="I637" s="46"/>
      <c r="J637" s="48">
        <v>240</v>
      </c>
      <c r="K637" t="s">
        <v>2030</v>
      </c>
    </row>
    <row r="638" spans="1:11" x14ac:dyDescent="0.3">
      <c r="A638" s="38" t="s">
        <v>812</v>
      </c>
      <c r="B638" s="45">
        <v>43234</v>
      </c>
      <c r="C638" s="46" t="s">
        <v>2237</v>
      </c>
      <c r="D638" s="46">
        <v>5405</v>
      </c>
      <c r="E638" s="47" t="s">
        <v>2238</v>
      </c>
      <c r="F638" s="47" t="s">
        <v>99</v>
      </c>
      <c r="G638" s="107">
        <v>4300021652</v>
      </c>
      <c r="H638" s="45">
        <v>43191</v>
      </c>
      <c r="I638" s="46"/>
      <c r="J638" s="48">
        <v>240</v>
      </c>
      <c r="K638" t="s">
        <v>2030</v>
      </c>
    </row>
    <row r="639" spans="1:11" x14ac:dyDescent="0.3">
      <c r="A639" s="38" t="s">
        <v>812</v>
      </c>
      <c r="B639" s="45">
        <v>43234</v>
      </c>
      <c r="C639" s="46" t="s">
        <v>2237</v>
      </c>
      <c r="D639" s="46">
        <v>5405</v>
      </c>
      <c r="E639" s="47" t="s">
        <v>2238</v>
      </c>
      <c r="F639" s="47" t="s">
        <v>100</v>
      </c>
      <c r="G639" s="107">
        <v>4300021652</v>
      </c>
      <c r="H639" s="45">
        <v>43191</v>
      </c>
      <c r="I639" s="46"/>
      <c r="J639" s="48">
        <v>240</v>
      </c>
      <c r="K639" t="s">
        <v>2030</v>
      </c>
    </row>
    <row r="640" spans="1:11" x14ac:dyDescent="0.3">
      <c r="A640" s="38" t="s">
        <v>812</v>
      </c>
      <c r="B640" s="45">
        <v>43234</v>
      </c>
      <c r="C640" s="46" t="s">
        <v>2237</v>
      </c>
      <c r="D640" s="46">
        <v>5405</v>
      </c>
      <c r="E640" s="47" t="s">
        <v>2238</v>
      </c>
      <c r="F640" s="47" t="s">
        <v>101</v>
      </c>
      <c r="G640" s="107">
        <v>4300021652</v>
      </c>
      <c r="H640" s="45">
        <v>43191</v>
      </c>
      <c r="I640" s="46"/>
      <c r="J640" s="48">
        <v>240</v>
      </c>
      <c r="K640" t="s">
        <v>2030</v>
      </c>
    </row>
    <row r="641" spans="1:11" x14ac:dyDescent="0.3">
      <c r="A641" s="38" t="s">
        <v>812</v>
      </c>
      <c r="B641" s="45">
        <v>43234</v>
      </c>
      <c r="C641" s="46" t="s">
        <v>2237</v>
      </c>
      <c r="D641" s="46">
        <v>5405</v>
      </c>
      <c r="E641" s="47" t="s">
        <v>2238</v>
      </c>
      <c r="F641" s="47" t="s">
        <v>102</v>
      </c>
      <c r="G641" s="107">
        <v>4300021652</v>
      </c>
      <c r="H641" s="45">
        <v>43191</v>
      </c>
      <c r="I641" s="46"/>
      <c r="J641" s="48">
        <v>240</v>
      </c>
      <c r="K641" t="s">
        <v>2030</v>
      </c>
    </row>
    <row r="642" spans="1:11" x14ac:dyDescent="0.3">
      <c r="A642" s="38" t="s">
        <v>812</v>
      </c>
      <c r="B642" s="45">
        <v>43234</v>
      </c>
      <c r="C642" s="46" t="s">
        <v>2237</v>
      </c>
      <c r="D642" s="46">
        <v>5405</v>
      </c>
      <c r="E642" s="47" t="s">
        <v>2238</v>
      </c>
      <c r="F642" s="47" t="s">
        <v>103</v>
      </c>
      <c r="G642" s="107">
        <v>4300021652</v>
      </c>
      <c r="H642" s="45">
        <v>43191</v>
      </c>
      <c r="I642" s="46"/>
      <c r="J642" s="48">
        <v>240</v>
      </c>
      <c r="K642" t="s">
        <v>2030</v>
      </c>
    </row>
    <row r="643" spans="1:11" x14ac:dyDescent="0.3">
      <c r="A643" s="38" t="s">
        <v>812</v>
      </c>
      <c r="B643" s="45">
        <v>43234</v>
      </c>
      <c r="C643" s="46" t="s">
        <v>2237</v>
      </c>
      <c r="D643" s="46">
        <v>5405</v>
      </c>
      <c r="E643" s="47" t="s">
        <v>2238</v>
      </c>
      <c r="F643" s="47" t="s">
        <v>104</v>
      </c>
      <c r="G643" s="107">
        <v>4300021652</v>
      </c>
      <c r="H643" s="45">
        <v>43191</v>
      </c>
      <c r="I643" s="46"/>
      <c r="J643" s="48">
        <v>240</v>
      </c>
      <c r="K643" t="s">
        <v>2030</v>
      </c>
    </row>
    <row r="644" spans="1:11" x14ac:dyDescent="0.3">
      <c r="A644" s="38" t="s">
        <v>812</v>
      </c>
      <c r="B644" s="45">
        <v>43234</v>
      </c>
      <c r="C644" s="46" t="s">
        <v>2237</v>
      </c>
      <c r="D644" s="46">
        <v>5405</v>
      </c>
      <c r="E644" s="47" t="s">
        <v>2238</v>
      </c>
      <c r="F644" s="47" t="s">
        <v>105</v>
      </c>
      <c r="G644" s="107">
        <v>4300021652</v>
      </c>
      <c r="H644" s="45">
        <v>43191</v>
      </c>
      <c r="I644" s="46"/>
      <c r="J644" s="48">
        <v>240</v>
      </c>
      <c r="K644" t="s">
        <v>2030</v>
      </c>
    </row>
    <row r="645" spans="1:11" x14ac:dyDescent="0.3">
      <c r="A645" s="38" t="s">
        <v>812</v>
      </c>
      <c r="B645" s="45">
        <v>43234</v>
      </c>
      <c r="C645" s="46" t="s">
        <v>2237</v>
      </c>
      <c r="D645" s="46">
        <v>5405</v>
      </c>
      <c r="E645" s="47" t="s">
        <v>2238</v>
      </c>
      <c r="F645" s="47" t="s">
        <v>106</v>
      </c>
      <c r="G645" s="107">
        <v>4300021652</v>
      </c>
      <c r="H645" s="45">
        <v>43191</v>
      </c>
      <c r="I645" s="46"/>
      <c r="J645" s="48">
        <v>240</v>
      </c>
      <c r="K645" t="s">
        <v>2030</v>
      </c>
    </row>
    <row r="646" spans="1:11" x14ac:dyDescent="0.3">
      <c r="A646" s="38" t="s">
        <v>812</v>
      </c>
      <c r="B646" s="45">
        <v>43234</v>
      </c>
      <c r="C646" s="46" t="s">
        <v>2237</v>
      </c>
      <c r="D646" s="46">
        <v>5405</v>
      </c>
      <c r="E646" s="47" t="s">
        <v>2238</v>
      </c>
      <c r="F646" s="47" t="s">
        <v>107</v>
      </c>
      <c r="G646" s="107">
        <v>4300021652</v>
      </c>
      <c r="H646" s="45">
        <v>43191</v>
      </c>
      <c r="I646" s="46"/>
      <c r="J646" s="48">
        <v>577.5</v>
      </c>
      <c r="K646" t="s">
        <v>2030</v>
      </c>
    </row>
    <row r="647" spans="1:11" x14ac:dyDescent="0.3">
      <c r="A647" s="38" t="s">
        <v>812</v>
      </c>
      <c r="B647" s="45">
        <v>43234</v>
      </c>
      <c r="C647" s="46" t="s">
        <v>2237</v>
      </c>
      <c r="D647" s="46">
        <v>5405</v>
      </c>
      <c r="E647" s="47" t="s">
        <v>2238</v>
      </c>
      <c r="F647" s="47" t="s">
        <v>108</v>
      </c>
      <c r="G647" s="107">
        <v>4300021652</v>
      </c>
      <c r="H647" s="45">
        <v>43191</v>
      </c>
      <c r="I647" s="46"/>
      <c r="J647" s="48">
        <v>577.5</v>
      </c>
      <c r="K647" t="s">
        <v>2030</v>
      </c>
    </row>
    <row r="648" spans="1:11" x14ac:dyDescent="0.3">
      <c r="A648" s="38" t="s">
        <v>812</v>
      </c>
      <c r="B648" s="45">
        <v>43234</v>
      </c>
      <c r="C648" s="46" t="s">
        <v>2237</v>
      </c>
      <c r="D648" s="46">
        <v>5405</v>
      </c>
      <c r="E648" s="47" t="s">
        <v>2238</v>
      </c>
      <c r="F648" s="47" t="s">
        <v>109</v>
      </c>
      <c r="G648" s="107">
        <v>4300021652</v>
      </c>
      <c r="H648" s="45">
        <v>43191</v>
      </c>
      <c r="I648" s="46"/>
      <c r="J648" s="48">
        <v>660</v>
      </c>
      <c r="K648" t="s">
        <v>2030</v>
      </c>
    </row>
    <row r="649" spans="1:11" x14ac:dyDescent="0.3">
      <c r="A649" s="38" t="s">
        <v>812</v>
      </c>
      <c r="B649" s="45">
        <v>43234</v>
      </c>
      <c r="C649" s="46" t="s">
        <v>2237</v>
      </c>
      <c r="D649" s="46">
        <v>5405</v>
      </c>
      <c r="E649" s="47" t="s">
        <v>2238</v>
      </c>
      <c r="F649" s="47" t="s">
        <v>110</v>
      </c>
      <c r="G649" s="107">
        <v>4300021652</v>
      </c>
      <c r="H649" s="45">
        <v>43191</v>
      </c>
      <c r="I649" s="46"/>
      <c r="J649" s="48">
        <v>660</v>
      </c>
      <c r="K649" t="s">
        <v>2030</v>
      </c>
    </row>
    <row r="650" spans="1:11" x14ac:dyDescent="0.3">
      <c r="A650" s="38" t="s">
        <v>812</v>
      </c>
      <c r="B650" s="45">
        <v>43234</v>
      </c>
      <c r="C650" s="46" t="s">
        <v>2237</v>
      </c>
      <c r="D650" s="46">
        <v>5405</v>
      </c>
      <c r="E650" s="47" t="s">
        <v>2238</v>
      </c>
      <c r="F650" s="47" t="s">
        <v>111</v>
      </c>
      <c r="G650" s="107">
        <v>4300021652</v>
      </c>
      <c r="H650" s="45">
        <v>43191</v>
      </c>
      <c r="I650" s="46"/>
      <c r="J650" s="48">
        <v>660</v>
      </c>
      <c r="K650" t="s">
        <v>2030</v>
      </c>
    </row>
    <row r="651" spans="1:11" x14ac:dyDescent="0.3">
      <c r="A651" s="38" t="s">
        <v>812</v>
      </c>
      <c r="B651" s="45">
        <v>43234</v>
      </c>
      <c r="C651" s="46" t="s">
        <v>2237</v>
      </c>
      <c r="D651" s="46">
        <v>5405</v>
      </c>
      <c r="E651" s="47" t="s">
        <v>2238</v>
      </c>
      <c r="F651" s="47" t="s">
        <v>112</v>
      </c>
      <c r="G651" s="107">
        <v>4300021652</v>
      </c>
      <c r="H651" s="45">
        <v>43191</v>
      </c>
      <c r="I651" s="46"/>
      <c r="J651" s="48">
        <v>255</v>
      </c>
      <c r="K651" t="s">
        <v>2030</v>
      </c>
    </row>
    <row r="652" spans="1:11" x14ac:dyDescent="0.3">
      <c r="A652" s="38" t="s">
        <v>812</v>
      </c>
      <c r="B652" s="45">
        <v>43234</v>
      </c>
      <c r="C652" s="46" t="s">
        <v>2237</v>
      </c>
      <c r="D652" s="46">
        <v>5405</v>
      </c>
      <c r="E652" s="47" t="s">
        <v>2238</v>
      </c>
      <c r="F652" s="47" t="s">
        <v>113</v>
      </c>
      <c r="G652" s="107">
        <v>4300021652</v>
      </c>
      <c r="H652" s="45">
        <v>43191</v>
      </c>
      <c r="I652" s="46"/>
      <c r="J652" s="48">
        <v>255</v>
      </c>
      <c r="K652" t="s">
        <v>2030</v>
      </c>
    </row>
    <row r="653" spans="1:11" x14ac:dyDescent="0.3">
      <c r="A653" s="38" t="s">
        <v>812</v>
      </c>
      <c r="B653" s="45">
        <v>43234</v>
      </c>
      <c r="C653" s="46" t="s">
        <v>2237</v>
      </c>
      <c r="D653" s="46">
        <v>5405</v>
      </c>
      <c r="E653" s="47" t="s">
        <v>2238</v>
      </c>
      <c r="F653" s="47" t="s">
        <v>114</v>
      </c>
      <c r="G653" s="107">
        <v>4300021652</v>
      </c>
      <c r="H653" s="45">
        <v>43191</v>
      </c>
      <c r="I653" s="46"/>
      <c r="J653" s="48">
        <v>255</v>
      </c>
      <c r="K653" t="s">
        <v>2030</v>
      </c>
    </row>
    <row r="654" spans="1:11" x14ac:dyDescent="0.3">
      <c r="A654" s="38" t="s">
        <v>812</v>
      </c>
      <c r="B654" s="45">
        <v>43234</v>
      </c>
      <c r="C654" s="46" t="s">
        <v>2237</v>
      </c>
      <c r="D654" s="46">
        <v>5405</v>
      </c>
      <c r="E654" s="47" t="s">
        <v>2238</v>
      </c>
      <c r="F654" s="47" t="s">
        <v>115</v>
      </c>
      <c r="G654" s="107">
        <v>4300021652</v>
      </c>
      <c r="H654" s="45">
        <v>43191</v>
      </c>
      <c r="I654" s="46"/>
      <c r="J654" s="48">
        <v>247.5</v>
      </c>
      <c r="K654" t="s">
        <v>2030</v>
      </c>
    </row>
    <row r="655" spans="1:11" x14ac:dyDescent="0.3">
      <c r="A655" s="38" t="s">
        <v>812</v>
      </c>
      <c r="B655" s="45">
        <v>43234</v>
      </c>
      <c r="C655" s="46" t="s">
        <v>2237</v>
      </c>
      <c r="D655" s="46">
        <v>5405</v>
      </c>
      <c r="E655" s="47" t="s">
        <v>2238</v>
      </c>
      <c r="F655" s="47" t="s">
        <v>116</v>
      </c>
      <c r="G655" s="107">
        <v>4300021652</v>
      </c>
      <c r="H655" s="45">
        <v>43191</v>
      </c>
      <c r="I655" s="46"/>
      <c r="J655" s="48">
        <v>247.5</v>
      </c>
      <c r="K655" t="s">
        <v>2030</v>
      </c>
    </row>
    <row r="656" spans="1:11" x14ac:dyDescent="0.3">
      <c r="A656" s="38" t="s">
        <v>812</v>
      </c>
      <c r="B656" s="45">
        <v>43234</v>
      </c>
      <c r="C656" s="46" t="s">
        <v>2237</v>
      </c>
      <c r="D656" s="46">
        <v>5405</v>
      </c>
      <c r="E656" s="47" t="s">
        <v>2238</v>
      </c>
      <c r="F656" s="47" t="s">
        <v>117</v>
      </c>
      <c r="G656" s="107">
        <v>4300021652</v>
      </c>
      <c r="H656" s="45">
        <v>43191</v>
      </c>
      <c r="I656" s="46"/>
      <c r="J656" s="48">
        <v>247.5</v>
      </c>
      <c r="K656" t="s">
        <v>2030</v>
      </c>
    </row>
    <row r="657" spans="1:11" x14ac:dyDescent="0.3">
      <c r="A657" s="38" t="s">
        <v>812</v>
      </c>
      <c r="B657" s="45">
        <v>43234</v>
      </c>
      <c r="C657" s="46" t="s">
        <v>2237</v>
      </c>
      <c r="D657" s="46">
        <v>5405</v>
      </c>
      <c r="E657" s="47" t="s">
        <v>2238</v>
      </c>
      <c r="F657" s="47" t="s">
        <v>118</v>
      </c>
      <c r="G657" s="107">
        <v>4300021652</v>
      </c>
      <c r="H657" s="45">
        <v>43191</v>
      </c>
      <c r="I657" s="46"/>
      <c r="J657" s="48">
        <v>247.5</v>
      </c>
      <c r="K657" t="s">
        <v>2030</v>
      </c>
    </row>
    <row r="658" spans="1:11" x14ac:dyDescent="0.3">
      <c r="A658" s="38" t="s">
        <v>812</v>
      </c>
      <c r="B658" s="45">
        <v>43234</v>
      </c>
      <c r="C658" s="46" t="s">
        <v>2237</v>
      </c>
      <c r="D658" s="46">
        <v>5405</v>
      </c>
      <c r="E658" s="47" t="s">
        <v>2238</v>
      </c>
      <c r="F658" s="47" t="s">
        <v>119</v>
      </c>
      <c r="G658" s="107">
        <v>4300021652</v>
      </c>
      <c r="H658" s="45">
        <v>43191</v>
      </c>
      <c r="I658" s="46"/>
      <c r="J658" s="48">
        <v>247.5</v>
      </c>
      <c r="K658" t="s">
        <v>2030</v>
      </c>
    </row>
    <row r="659" spans="1:11" x14ac:dyDescent="0.3">
      <c r="A659" s="38" t="s">
        <v>812</v>
      </c>
      <c r="B659" s="45">
        <v>43234</v>
      </c>
      <c r="C659" s="46" t="s">
        <v>2237</v>
      </c>
      <c r="D659" s="46">
        <v>5405</v>
      </c>
      <c r="E659" s="47" t="s">
        <v>2238</v>
      </c>
      <c r="F659" s="47" t="s">
        <v>120</v>
      </c>
      <c r="G659" s="107">
        <v>4300021652</v>
      </c>
      <c r="H659" s="45">
        <v>43191</v>
      </c>
      <c r="I659" s="46"/>
      <c r="J659" s="48">
        <v>247.5</v>
      </c>
      <c r="K659" t="s">
        <v>2030</v>
      </c>
    </row>
    <row r="660" spans="1:11" x14ac:dyDescent="0.3">
      <c r="A660" s="38" t="s">
        <v>812</v>
      </c>
      <c r="B660" s="45">
        <v>43234</v>
      </c>
      <c r="C660" s="46" t="s">
        <v>2237</v>
      </c>
      <c r="D660" s="46">
        <v>5405</v>
      </c>
      <c r="E660" s="47" t="s">
        <v>2238</v>
      </c>
      <c r="F660" s="47" t="s">
        <v>121</v>
      </c>
      <c r="G660" s="107">
        <v>4300021652</v>
      </c>
      <c r="H660" s="45">
        <v>43191</v>
      </c>
      <c r="I660" s="46"/>
      <c r="J660" s="48">
        <v>255</v>
      </c>
      <c r="K660" t="s">
        <v>2030</v>
      </c>
    </row>
    <row r="661" spans="1:11" x14ac:dyDescent="0.3">
      <c r="A661" s="38" t="s">
        <v>812</v>
      </c>
      <c r="B661" s="45">
        <v>43234</v>
      </c>
      <c r="C661" s="46" t="s">
        <v>2237</v>
      </c>
      <c r="D661" s="46">
        <v>5405</v>
      </c>
      <c r="E661" s="47" t="s">
        <v>2238</v>
      </c>
      <c r="F661" s="47" t="s">
        <v>122</v>
      </c>
      <c r="G661" s="107">
        <v>4300021652</v>
      </c>
      <c r="H661" s="45">
        <v>43191</v>
      </c>
      <c r="I661" s="46"/>
      <c r="J661" s="48">
        <v>255</v>
      </c>
      <c r="K661" t="s">
        <v>2030</v>
      </c>
    </row>
    <row r="662" spans="1:11" x14ac:dyDescent="0.3">
      <c r="A662" s="38" t="s">
        <v>812</v>
      </c>
      <c r="B662" s="45">
        <v>43234</v>
      </c>
      <c r="C662" s="46" t="s">
        <v>2237</v>
      </c>
      <c r="D662" s="46">
        <v>5405</v>
      </c>
      <c r="E662" s="47" t="s">
        <v>2238</v>
      </c>
      <c r="F662" s="47" t="s">
        <v>123</v>
      </c>
      <c r="G662" s="107">
        <v>4300021652</v>
      </c>
      <c r="H662" s="45">
        <v>43191</v>
      </c>
      <c r="I662" s="46"/>
      <c r="J662" s="48">
        <v>255</v>
      </c>
      <c r="K662" t="s">
        <v>2030</v>
      </c>
    </row>
    <row r="663" spans="1:11" x14ac:dyDescent="0.3">
      <c r="A663" s="38" t="s">
        <v>812</v>
      </c>
      <c r="B663" s="45">
        <v>43234</v>
      </c>
      <c r="C663" s="46" t="s">
        <v>2237</v>
      </c>
      <c r="D663" s="46">
        <v>5405</v>
      </c>
      <c r="E663" s="47" t="s">
        <v>2238</v>
      </c>
      <c r="F663" s="47" t="s">
        <v>124</v>
      </c>
      <c r="G663" s="107">
        <v>4300021652</v>
      </c>
      <c r="H663" s="45">
        <v>43191</v>
      </c>
      <c r="I663" s="46"/>
      <c r="J663" s="48">
        <v>270</v>
      </c>
      <c r="K663" t="s">
        <v>2030</v>
      </c>
    </row>
    <row r="664" spans="1:11" x14ac:dyDescent="0.3">
      <c r="A664" s="38" t="s">
        <v>812</v>
      </c>
      <c r="B664" s="45">
        <v>43234</v>
      </c>
      <c r="C664" s="46" t="s">
        <v>2237</v>
      </c>
      <c r="D664" s="46">
        <v>5405</v>
      </c>
      <c r="E664" s="47" t="s">
        <v>2238</v>
      </c>
      <c r="F664" s="47" t="s">
        <v>125</v>
      </c>
      <c r="G664" s="107">
        <v>4300021652</v>
      </c>
      <c r="H664" s="45">
        <v>43191</v>
      </c>
      <c r="I664" s="46"/>
      <c r="J664" s="48">
        <v>270</v>
      </c>
      <c r="K664" t="s">
        <v>2030</v>
      </c>
    </row>
    <row r="665" spans="1:11" x14ac:dyDescent="0.3">
      <c r="A665" s="38" t="s">
        <v>812</v>
      </c>
      <c r="B665" s="45">
        <v>43234</v>
      </c>
      <c r="C665" s="46" t="s">
        <v>2237</v>
      </c>
      <c r="D665" s="46">
        <v>5405</v>
      </c>
      <c r="E665" s="47" t="s">
        <v>2238</v>
      </c>
      <c r="F665" s="47" t="s">
        <v>126</v>
      </c>
      <c r="G665" s="107">
        <v>4300021652</v>
      </c>
      <c r="H665" s="45">
        <v>43191</v>
      </c>
      <c r="I665" s="46"/>
      <c r="J665" s="48">
        <v>270</v>
      </c>
      <c r="K665" t="s">
        <v>2030</v>
      </c>
    </row>
    <row r="666" spans="1:11" x14ac:dyDescent="0.3">
      <c r="A666" s="38" t="s">
        <v>812</v>
      </c>
      <c r="B666" s="45">
        <v>43234</v>
      </c>
      <c r="C666" s="46" t="s">
        <v>2237</v>
      </c>
      <c r="D666" s="46">
        <v>5405</v>
      </c>
      <c r="E666" s="47" t="s">
        <v>2238</v>
      </c>
      <c r="F666" s="47" t="s">
        <v>127</v>
      </c>
      <c r="G666" s="107">
        <v>4300021652</v>
      </c>
      <c r="H666" s="45">
        <v>43191</v>
      </c>
      <c r="I666" s="46"/>
      <c r="J666" s="48">
        <v>270</v>
      </c>
      <c r="K666" t="s">
        <v>2030</v>
      </c>
    </row>
    <row r="667" spans="1:11" x14ac:dyDescent="0.3">
      <c r="A667" s="38" t="s">
        <v>812</v>
      </c>
      <c r="B667" s="45">
        <v>43234</v>
      </c>
      <c r="C667" s="46" t="s">
        <v>2237</v>
      </c>
      <c r="D667" s="46">
        <v>5405</v>
      </c>
      <c r="E667" s="47" t="s">
        <v>2238</v>
      </c>
      <c r="F667" s="47" t="s">
        <v>128</v>
      </c>
      <c r="G667" s="107">
        <v>4300021652</v>
      </c>
      <c r="H667" s="45">
        <v>43191</v>
      </c>
      <c r="I667" s="46"/>
      <c r="J667" s="48">
        <v>270</v>
      </c>
      <c r="K667" t="s">
        <v>2030</v>
      </c>
    </row>
    <row r="668" spans="1:11" x14ac:dyDescent="0.3">
      <c r="A668" s="38" t="s">
        <v>812</v>
      </c>
      <c r="B668" s="45">
        <v>43234</v>
      </c>
      <c r="C668" s="46" t="s">
        <v>2237</v>
      </c>
      <c r="D668" s="46">
        <v>5405</v>
      </c>
      <c r="E668" s="47" t="s">
        <v>2238</v>
      </c>
      <c r="F668" s="47" t="s">
        <v>129</v>
      </c>
      <c r="G668" s="107">
        <v>4300021652</v>
      </c>
      <c r="H668" s="45">
        <v>43191</v>
      </c>
      <c r="I668" s="46"/>
      <c r="J668" s="48">
        <v>270</v>
      </c>
      <c r="K668" t="s">
        <v>2030</v>
      </c>
    </row>
    <row r="669" spans="1:11" x14ac:dyDescent="0.3">
      <c r="A669" s="38" t="s">
        <v>812</v>
      </c>
      <c r="B669" s="45">
        <v>43234</v>
      </c>
      <c r="C669" s="46" t="s">
        <v>2237</v>
      </c>
      <c r="D669" s="46">
        <v>5405</v>
      </c>
      <c r="E669" s="47" t="s">
        <v>2238</v>
      </c>
      <c r="F669" s="47" t="s">
        <v>130</v>
      </c>
      <c r="G669" s="107">
        <v>4300021652</v>
      </c>
      <c r="H669" s="45">
        <v>43191</v>
      </c>
      <c r="I669" s="46"/>
      <c r="J669" s="48">
        <v>247.5</v>
      </c>
      <c r="K669" t="s">
        <v>2030</v>
      </c>
    </row>
    <row r="670" spans="1:11" x14ac:dyDescent="0.3">
      <c r="A670" s="38" t="s">
        <v>812</v>
      </c>
      <c r="B670" s="45">
        <v>43234</v>
      </c>
      <c r="C670" s="46" t="s">
        <v>2237</v>
      </c>
      <c r="D670" s="46">
        <v>5405</v>
      </c>
      <c r="E670" s="47" t="s">
        <v>2238</v>
      </c>
      <c r="F670" s="47" t="s">
        <v>131</v>
      </c>
      <c r="G670" s="107">
        <v>4300021652</v>
      </c>
      <c r="H670" s="45">
        <v>43191</v>
      </c>
      <c r="I670" s="46"/>
      <c r="J670" s="48">
        <v>360</v>
      </c>
      <c r="K670" t="s">
        <v>2030</v>
      </c>
    </row>
    <row r="671" spans="1:11" x14ac:dyDescent="0.3">
      <c r="A671" s="38" t="s">
        <v>812</v>
      </c>
      <c r="B671" s="45">
        <v>43234</v>
      </c>
      <c r="C671" s="46" t="s">
        <v>2237</v>
      </c>
      <c r="D671" s="46">
        <v>5405</v>
      </c>
      <c r="E671" s="47" t="s">
        <v>2238</v>
      </c>
      <c r="F671" s="47" t="s">
        <v>132</v>
      </c>
      <c r="G671" s="107">
        <v>4300021652</v>
      </c>
      <c r="H671" s="45">
        <v>43191</v>
      </c>
      <c r="I671" s="46"/>
      <c r="J671" s="48">
        <v>360</v>
      </c>
      <c r="K671" t="s">
        <v>2030</v>
      </c>
    </row>
    <row r="672" spans="1:11" x14ac:dyDescent="0.3">
      <c r="A672" s="38" t="s">
        <v>812</v>
      </c>
      <c r="B672" s="45">
        <v>43234</v>
      </c>
      <c r="C672" s="46" t="s">
        <v>2237</v>
      </c>
      <c r="D672" s="46">
        <v>5405</v>
      </c>
      <c r="E672" s="47" t="s">
        <v>2238</v>
      </c>
      <c r="F672" s="47" t="s">
        <v>133</v>
      </c>
      <c r="G672" s="107">
        <v>4300021652</v>
      </c>
      <c r="H672" s="45">
        <v>43191</v>
      </c>
      <c r="I672" s="46"/>
      <c r="J672" s="48">
        <v>360</v>
      </c>
      <c r="K672" t="s">
        <v>2030</v>
      </c>
    </row>
    <row r="673" spans="1:11" x14ac:dyDescent="0.3">
      <c r="A673" s="38" t="s">
        <v>812</v>
      </c>
      <c r="B673" s="45">
        <v>43234</v>
      </c>
      <c r="C673" s="46" t="s">
        <v>2237</v>
      </c>
      <c r="D673" s="46">
        <v>5405</v>
      </c>
      <c r="E673" s="47" t="s">
        <v>2238</v>
      </c>
      <c r="F673" s="47" t="s">
        <v>134</v>
      </c>
      <c r="G673" s="107">
        <v>4300021652</v>
      </c>
      <c r="H673" s="45">
        <v>43191</v>
      </c>
      <c r="I673" s="46"/>
      <c r="J673" s="48">
        <v>255</v>
      </c>
      <c r="K673" t="s">
        <v>2030</v>
      </c>
    </row>
    <row r="674" spans="1:11" x14ac:dyDescent="0.3">
      <c r="A674" s="38" t="s">
        <v>812</v>
      </c>
      <c r="B674" s="45">
        <v>43234</v>
      </c>
      <c r="C674" s="46" t="s">
        <v>2237</v>
      </c>
      <c r="D674" s="46">
        <v>5405</v>
      </c>
      <c r="E674" s="47" t="s">
        <v>2238</v>
      </c>
      <c r="F674" s="47" t="s">
        <v>135</v>
      </c>
      <c r="G674" s="107">
        <v>4300021652</v>
      </c>
      <c r="H674" s="45">
        <v>43191</v>
      </c>
      <c r="I674" s="46"/>
      <c r="J674" s="48">
        <v>255</v>
      </c>
      <c r="K674" t="s">
        <v>2030</v>
      </c>
    </row>
    <row r="675" spans="1:11" x14ac:dyDescent="0.3">
      <c r="A675" s="38" t="s">
        <v>812</v>
      </c>
      <c r="B675" s="45">
        <v>43234</v>
      </c>
      <c r="C675" s="46" t="s">
        <v>2237</v>
      </c>
      <c r="D675" s="46">
        <v>5405</v>
      </c>
      <c r="E675" s="47" t="s">
        <v>2238</v>
      </c>
      <c r="F675" s="47" t="s">
        <v>136</v>
      </c>
      <c r="G675" s="107">
        <v>4300021652</v>
      </c>
      <c r="H675" s="45">
        <v>43191</v>
      </c>
      <c r="I675" s="46"/>
      <c r="J675" s="48">
        <v>255</v>
      </c>
      <c r="K675" t="s">
        <v>2030</v>
      </c>
    </row>
    <row r="676" spans="1:11" x14ac:dyDescent="0.3">
      <c r="A676" s="38" t="s">
        <v>812</v>
      </c>
      <c r="B676" s="45">
        <v>43234</v>
      </c>
      <c r="C676" s="46" t="s">
        <v>2237</v>
      </c>
      <c r="D676" s="46">
        <v>5405</v>
      </c>
      <c r="E676" s="47" t="s">
        <v>2238</v>
      </c>
      <c r="F676" s="47" t="s">
        <v>137</v>
      </c>
      <c r="G676" s="107">
        <v>4300021652</v>
      </c>
      <c r="H676" s="45">
        <v>43191</v>
      </c>
      <c r="I676" s="46"/>
      <c r="J676" s="48">
        <v>255</v>
      </c>
      <c r="K676" t="s">
        <v>2030</v>
      </c>
    </row>
    <row r="677" spans="1:11" x14ac:dyDescent="0.3">
      <c r="A677" s="38" t="s">
        <v>812</v>
      </c>
      <c r="B677" s="45">
        <v>43234</v>
      </c>
      <c r="C677" s="46" t="s">
        <v>2237</v>
      </c>
      <c r="D677" s="46">
        <v>5405</v>
      </c>
      <c r="E677" s="47" t="s">
        <v>2238</v>
      </c>
      <c r="F677" s="47" t="s">
        <v>138</v>
      </c>
      <c r="G677" s="107">
        <v>4300021652</v>
      </c>
      <c r="H677" s="45">
        <v>43191</v>
      </c>
      <c r="I677" s="46"/>
      <c r="J677" s="48">
        <v>255</v>
      </c>
      <c r="K677" t="s">
        <v>2030</v>
      </c>
    </row>
    <row r="678" spans="1:11" x14ac:dyDescent="0.3">
      <c r="A678" s="38" t="s">
        <v>812</v>
      </c>
      <c r="B678" s="45">
        <v>43234</v>
      </c>
      <c r="C678" s="46" t="s">
        <v>2237</v>
      </c>
      <c r="D678" s="46">
        <v>5405</v>
      </c>
      <c r="E678" s="47" t="s">
        <v>2238</v>
      </c>
      <c r="F678" s="47" t="s">
        <v>139</v>
      </c>
      <c r="G678" s="107">
        <v>4300021652</v>
      </c>
      <c r="H678" s="45">
        <v>43191</v>
      </c>
      <c r="I678" s="46"/>
      <c r="J678" s="48">
        <v>255</v>
      </c>
      <c r="K678" t="s">
        <v>2030</v>
      </c>
    </row>
    <row r="679" spans="1:11" x14ac:dyDescent="0.3">
      <c r="A679" s="38" t="s">
        <v>812</v>
      </c>
      <c r="B679" s="45">
        <v>43234</v>
      </c>
      <c r="C679" s="46" t="s">
        <v>2237</v>
      </c>
      <c r="D679" s="46">
        <v>5405</v>
      </c>
      <c r="E679" s="47" t="s">
        <v>2238</v>
      </c>
      <c r="F679" s="47" t="s">
        <v>140</v>
      </c>
      <c r="G679" s="107">
        <v>4300021652</v>
      </c>
      <c r="H679" s="45">
        <v>43191</v>
      </c>
      <c r="I679" s="46"/>
      <c r="J679" s="48">
        <v>255</v>
      </c>
      <c r="K679" t="s">
        <v>2030</v>
      </c>
    </row>
    <row r="680" spans="1:11" x14ac:dyDescent="0.3">
      <c r="A680" s="38" t="s">
        <v>812</v>
      </c>
      <c r="B680" s="45">
        <v>43234</v>
      </c>
      <c r="C680" s="46" t="s">
        <v>2237</v>
      </c>
      <c r="D680" s="46">
        <v>5405</v>
      </c>
      <c r="E680" s="47" t="s">
        <v>2238</v>
      </c>
      <c r="F680" s="47" t="s">
        <v>141</v>
      </c>
      <c r="G680" s="107">
        <v>4300021652</v>
      </c>
      <c r="H680" s="45">
        <v>43191</v>
      </c>
      <c r="I680" s="46"/>
      <c r="J680" s="48">
        <v>255</v>
      </c>
      <c r="K680" t="s">
        <v>2030</v>
      </c>
    </row>
    <row r="681" spans="1:11" x14ac:dyDescent="0.3">
      <c r="A681" s="38" t="s">
        <v>812</v>
      </c>
      <c r="B681" s="45">
        <v>43234</v>
      </c>
      <c r="C681" s="46" t="s">
        <v>2237</v>
      </c>
      <c r="D681" s="46">
        <v>5405</v>
      </c>
      <c r="E681" s="47" t="s">
        <v>2238</v>
      </c>
      <c r="F681" s="47" t="s">
        <v>142</v>
      </c>
      <c r="G681" s="107">
        <v>4300021652</v>
      </c>
      <c r="H681" s="45">
        <v>43191</v>
      </c>
      <c r="I681" s="46"/>
      <c r="J681" s="48">
        <v>255</v>
      </c>
      <c r="K681" t="s">
        <v>2030</v>
      </c>
    </row>
    <row r="682" spans="1:11" x14ac:dyDescent="0.3">
      <c r="A682" s="38" t="s">
        <v>812</v>
      </c>
      <c r="B682" s="45">
        <v>43234</v>
      </c>
      <c r="C682" s="46" t="s">
        <v>2237</v>
      </c>
      <c r="D682" s="46">
        <v>5405</v>
      </c>
      <c r="E682" s="47" t="s">
        <v>2238</v>
      </c>
      <c r="F682" s="47" t="s">
        <v>143</v>
      </c>
      <c r="G682" s="107">
        <v>4300021652</v>
      </c>
      <c r="H682" s="45">
        <v>43191</v>
      </c>
      <c r="I682" s="46"/>
      <c r="J682" s="48">
        <v>255</v>
      </c>
      <c r="K682" t="s">
        <v>2030</v>
      </c>
    </row>
    <row r="683" spans="1:11" x14ac:dyDescent="0.3">
      <c r="A683" s="38" t="s">
        <v>812</v>
      </c>
      <c r="B683" s="45">
        <v>43234</v>
      </c>
      <c r="C683" s="46" t="s">
        <v>2237</v>
      </c>
      <c r="D683" s="46">
        <v>5405</v>
      </c>
      <c r="E683" s="47" t="s">
        <v>2238</v>
      </c>
      <c r="F683" s="47" t="s">
        <v>144</v>
      </c>
      <c r="G683" s="107">
        <v>4300021652</v>
      </c>
      <c r="H683" s="45">
        <v>43191</v>
      </c>
      <c r="I683" s="46"/>
      <c r="J683" s="48">
        <v>270</v>
      </c>
      <c r="K683" t="s">
        <v>2030</v>
      </c>
    </row>
    <row r="684" spans="1:11" x14ac:dyDescent="0.3">
      <c r="A684" s="38" t="s">
        <v>812</v>
      </c>
      <c r="B684" s="45">
        <v>43234</v>
      </c>
      <c r="C684" s="46" t="s">
        <v>2237</v>
      </c>
      <c r="D684" s="46">
        <v>5405</v>
      </c>
      <c r="E684" s="47" t="s">
        <v>2238</v>
      </c>
      <c r="F684" s="47" t="s">
        <v>145</v>
      </c>
      <c r="G684" s="107">
        <v>4300021652</v>
      </c>
      <c r="H684" s="45">
        <v>43191</v>
      </c>
      <c r="I684" s="46"/>
      <c r="J684" s="48">
        <v>255</v>
      </c>
      <c r="K684" t="s">
        <v>2030</v>
      </c>
    </row>
    <row r="685" spans="1:11" x14ac:dyDescent="0.3">
      <c r="A685" s="38" t="s">
        <v>812</v>
      </c>
      <c r="B685" s="45">
        <v>43234</v>
      </c>
      <c r="C685" s="46" t="s">
        <v>2237</v>
      </c>
      <c r="D685" s="46">
        <v>5405</v>
      </c>
      <c r="E685" s="47" t="s">
        <v>2238</v>
      </c>
      <c r="F685" s="47" t="s">
        <v>146</v>
      </c>
      <c r="G685" s="107">
        <v>4300021652</v>
      </c>
      <c r="H685" s="45">
        <v>43191</v>
      </c>
      <c r="I685" s="46"/>
      <c r="J685" s="48">
        <v>255</v>
      </c>
      <c r="K685" t="s">
        <v>2030</v>
      </c>
    </row>
    <row r="686" spans="1:11" x14ac:dyDescent="0.3">
      <c r="A686" s="38" t="s">
        <v>812</v>
      </c>
      <c r="B686" s="45">
        <v>43234</v>
      </c>
      <c r="C686" s="46" t="s">
        <v>2237</v>
      </c>
      <c r="D686" s="46">
        <v>5405</v>
      </c>
      <c r="E686" s="47" t="s">
        <v>2238</v>
      </c>
      <c r="F686" s="47" t="s">
        <v>147</v>
      </c>
      <c r="G686" s="107">
        <v>4300021652</v>
      </c>
      <c r="H686" s="45">
        <v>43191</v>
      </c>
      <c r="I686" s="46"/>
      <c r="J686" s="48">
        <v>255</v>
      </c>
      <c r="K686" t="s">
        <v>2030</v>
      </c>
    </row>
    <row r="687" spans="1:11" x14ac:dyDescent="0.3">
      <c r="A687" s="38" t="s">
        <v>812</v>
      </c>
      <c r="B687" s="45">
        <v>43234</v>
      </c>
      <c r="C687" s="46" t="s">
        <v>2237</v>
      </c>
      <c r="D687" s="46">
        <v>5405</v>
      </c>
      <c r="E687" s="47" t="s">
        <v>2238</v>
      </c>
      <c r="F687" s="47" t="s">
        <v>148</v>
      </c>
      <c r="G687" s="107">
        <v>4300021652</v>
      </c>
      <c r="H687" s="45">
        <v>43191</v>
      </c>
      <c r="I687" s="46"/>
      <c r="J687" s="48">
        <v>255</v>
      </c>
      <c r="K687" t="s">
        <v>2030</v>
      </c>
    </row>
    <row r="688" spans="1:11" x14ac:dyDescent="0.3">
      <c r="A688" s="38" t="s">
        <v>812</v>
      </c>
      <c r="B688" s="45">
        <v>43234</v>
      </c>
      <c r="C688" s="46" t="s">
        <v>2237</v>
      </c>
      <c r="D688" s="46">
        <v>5405</v>
      </c>
      <c r="E688" s="47" t="s">
        <v>2238</v>
      </c>
      <c r="F688" s="47" t="s">
        <v>149</v>
      </c>
      <c r="G688" s="107">
        <v>4300021652</v>
      </c>
      <c r="H688" s="45">
        <v>43191</v>
      </c>
      <c r="I688" s="46"/>
      <c r="J688" s="48">
        <v>255</v>
      </c>
      <c r="K688" t="s">
        <v>2030</v>
      </c>
    </row>
    <row r="689" spans="1:11" x14ac:dyDescent="0.3">
      <c r="A689" s="38" t="s">
        <v>812</v>
      </c>
      <c r="B689" s="45">
        <v>43234</v>
      </c>
      <c r="C689" s="46" t="s">
        <v>2237</v>
      </c>
      <c r="D689" s="46">
        <v>5405</v>
      </c>
      <c r="E689" s="47" t="s">
        <v>2238</v>
      </c>
      <c r="F689" s="47" t="s">
        <v>150</v>
      </c>
      <c r="G689" s="107">
        <v>4300021652</v>
      </c>
      <c r="H689" s="45">
        <v>43191</v>
      </c>
      <c r="I689" s="46"/>
      <c r="J689" s="48">
        <v>255</v>
      </c>
      <c r="K689" t="s">
        <v>2030</v>
      </c>
    </row>
    <row r="690" spans="1:11" x14ac:dyDescent="0.3">
      <c r="A690" s="38" t="s">
        <v>812</v>
      </c>
      <c r="B690" s="45">
        <v>43234</v>
      </c>
      <c r="C690" s="46" t="s">
        <v>2237</v>
      </c>
      <c r="D690" s="46">
        <v>5405</v>
      </c>
      <c r="E690" s="47" t="s">
        <v>2238</v>
      </c>
      <c r="F690" s="47" t="s">
        <v>151</v>
      </c>
      <c r="G690" s="107">
        <v>4300021652</v>
      </c>
      <c r="H690" s="45">
        <v>43191</v>
      </c>
      <c r="I690" s="46"/>
      <c r="J690" s="48">
        <v>360</v>
      </c>
      <c r="K690" t="s">
        <v>2030</v>
      </c>
    </row>
    <row r="691" spans="1:11" x14ac:dyDescent="0.3">
      <c r="A691" s="38" t="s">
        <v>812</v>
      </c>
      <c r="B691" s="45">
        <v>43234</v>
      </c>
      <c r="C691" s="46" t="s">
        <v>2237</v>
      </c>
      <c r="D691" s="46">
        <v>5405</v>
      </c>
      <c r="E691" s="47" t="s">
        <v>2238</v>
      </c>
      <c r="F691" s="47" t="s">
        <v>152</v>
      </c>
      <c r="G691" s="107">
        <v>4300021652</v>
      </c>
      <c r="H691" s="45">
        <v>43191</v>
      </c>
      <c r="I691" s="46"/>
      <c r="J691" s="48">
        <v>360</v>
      </c>
      <c r="K691" t="s">
        <v>2030</v>
      </c>
    </row>
    <row r="692" spans="1:11" x14ac:dyDescent="0.3">
      <c r="A692" s="38" t="s">
        <v>812</v>
      </c>
      <c r="B692" s="45">
        <v>43234</v>
      </c>
      <c r="C692" s="46" t="s">
        <v>2237</v>
      </c>
      <c r="D692" s="46">
        <v>5405</v>
      </c>
      <c r="E692" s="47" t="s">
        <v>2238</v>
      </c>
      <c r="F692" s="47" t="s">
        <v>296</v>
      </c>
      <c r="G692" s="107">
        <v>4300021652</v>
      </c>
      <c r="H692" s="45">
        <v>43191</v>
      </c>
      <c r="I692" s="46"/>
      <c r="J692" s="48">
        <v>360</v>
      </c>
      <c r="K692" t="s">
        <v>2030</v>
      </c>
    </row>
    <row r="693" spans="1:11" x14ac:dyDescent="0.3">
      <c r="A693" s="38" t="s">
        <v>812</v>
      </c>
      <c r="B693" s="45">
        <v>43234</v>
      </c>
      <c r="C693" s="46" t="s">
        <v>2237</v>
      </c>
      <c r="D693" s="46">
        <v>5405</v>
      </c>
      <c r="E693" s="47" t="s">
        <v>2238</v>
      </c>
      <c r="F693" s="47" t="s">
        <v>297</v>
      </c>
      <c r="G693" s="107">
        <v>4300021652</v>
      </c>
      <c r="H693" s="45">
        <v>43191</v>
      </c>
      <c r="I693" s="46"/>
      <c r="J693" s="48">
        <v>247.5</v>
      </c>
      <c r="K693" t="s">
        <v>2030</v>
      </c>
    </row>
    <row r="694" spans="1:11" x14ac:dyDescent="0.3">
      <c r="A694" s="38" t="s">
        <v>812</v>
      </c>
      <c r="B694" s="45">
        <v>43234</v>
      </c>
      <c r="C694" s="46" t="s">
        <v>2237</v>
      </c>
      <c r="D694" s="46">
        <v>5405</v>
      </c>
      <c r="E694" s="47" t="s">
        <v>2238</v>
      </c>
      <c r="F694" s="47" t="s">
        <v>298</v>
      </c>
      <c r="G694" s="107">
        <v>4300021652</v>
      </c>
      <c r="H694" s="45">
        <v>43191</v>
      </c>
      <c r="I694" s="46"/>
      <c r="J694" s="48">
        <v>247.5</v>
      </c>
      <c r="K694" t="s">
        <v>2030</v>
      </c>
    </row>
    <row r="695" spans="1:11" x14ac:dyDescent="0.3">
      <c r="A695" s="38" t="s">
        <v>812</v>
      </c>
      <c r="B695" s="45">
        <v>43234</v>
      </c>
      <c r="C695" s="46" t="s">
        <v>2237</v>
      </c>
      <c r="D695" s="46">
        <v>5405</v>
      </c>
      <c r="E695" s="47" t="s">
        <v>2238</v>
      </c>
      <c r="F695" s="47" t="s">
        <v>299</v>
      </c>
      <c r="G695" s="107">
        <v>4300021652</v>
      </c>
      <c r="H695" s="45">
        <v>43191</v>
      </c>
      <c r="I695" s="46"/>
      <c r="J695" s="48">
        <v>247.5</v>
      </c>
      <c r="K695" t="s">
        <v>2030</v>
      </c>
    </row>
    <row r="696" spans="1:11" x14ac:dyDescent="0.3">
      <c r="A696" s="38" t="s">
        <v>812</v>
      </c>
      <c r="B696" s="45">
        <v>43234</v>
      </c>
      <c r="C696" s="46" t="s">
        <v>2237</v>
      </c>
      <c r="D696" s="46">
        <v>5405</v>
      </c>
      <c r="E696" s="47" t="s">
        <v>2238</v>
      </c>
      <c r="F696" s="47" t="s">
        <v>300</v>
      </c>
      <c r="G696" s="107">
        <v>4300021652</v>
      </c>
      <c r="H696" s="45">
        <v>43191</v>
      </c>
      <c r="I696" s="46"/>
      <c r="J696" s="48">
        <v>247.5</v>
      </c>
      <c r="K696" t="s">
        <v>2030</v>
      </c>
    </row>
    <row r="697" spans="1:11" x14ac:dyDescent="0.3">
      <c r="A697" s="38" t="s">
        <v>812</v>
      </c>
      <c r="B697" s="45">
        <v>43234</v>
      </c>
      <c r="C697" s="46" t="s">
        <v>2237</v>
      </c>
      <c r="D697" s="46">
        <v>5405</v>
      </c>
      <c r="E697" s="47" t="s">
        <v>2238</v>
      </c>
      <c r="F697" s="47" t="s">
        <v>301</v>
      </c>
      <c r="G697" s="107">
        <v>4300021652</v>
      </c>
      <c r="H697" s="45">
        <v>43191</v>
      </c>
      <c r="I697" s="46"/>
      <c r="J697" s="48">
        <v>247.5</v>
      </c>
      <c r="K697" t="s">
        <v>2030</v>
      </c>
    </row>
    <row r="698" spans="1:11" x14ac:dyDescent="0.3">
      <c r="A698" s="38" t="s">
        <v>812</v>
      </c>
      <c r="B698" s="45">
        <v>43234</v>
      </c>
      <c r="C698" s="46" t="s">
        <v>2237</v>
      </c>
      <c r="D698" s="46">
        <v>5405</v>
      </c>
      <c r="E698" s="47" t="s">
        <v>2238</v>
      </c>
      <c r="F698" s="47" t="s">
        <v>302</v>
      </c>
      <c r="G698" s="107">
        <v>4300021652</v>
      </c>
      <c r="H698" s="45">
        <v>43191</v>
      </c>
      <c r="I698" s="46"/>
      <c r="J698" s="48">
        <v>232.5</v>
      </c>
      <c r="K698" t="s">
        <v>2030</v>
      </c>
    </row>
    <row r="699" spans="1:11" x14ac:dyDescent="0.3">
      <c r="A699" s="38" t="s">
        <v>812</v>
      </c>
      <c r="B699" s="45">
        <v>43234</v>
      </c>
      <c r="C699" s="46" t="s">
        <v>2237</v>
      </c>
      <c r="D699" s="46">
        <v>5405</v>
      </c>
      <c r="E699" s="47" t="s">
        <v>2238</v>
      </c>
      <c r="F699" s="47" t="s">
        <v>303</v>
      </c>
      <c r="G699" s="107">
        <v>4300021652</v>
      </c>
      <c r="H699" s="45">
        <v>43191</v>
      </c>
      <c r="I699" s="46"/>
      <c r="J699" s="48">
        <v>270</v>
      </c>
      <c r="K699" t="s">
        <v>2030</v>
      </c>
    </row>
    <row r="700" spans="1:11" x14ac:dyDescent="0.3">
      <c r="A700" s="38" t="s">
        <v>812</v>
      </c>
      <c r="B700" s="45">
        <v>43234</v>
      </c>
      <c r="C700" s="46" t="s">
        <v>2237</v>
      </c>
      <c r="D700" s="46">
        <v>5405</v>
      </c>
      <c r="E700" s="47" t="s">
        <v>2238</v>
      </c>
      <c r="F700" s="47" t="s">
        <v>304</v>
      </c>
      <c r="G700" s="107">
        <v>4300021652</v>
      </c>
      <c r="H700" s="45">
        <v>43191</v>
      </c>
      <c r="I700" s="46"/>
      <c r="J700" s="48">
        <v>270</v>
      </c>
      <c r="K700" t="s">
        <v>2030</v>
      </c>
    </row>
    <row r="701" spans="1:11" x14ac:dyDescent="0.3">
      <c r="A701" s="38" t="s">
        <v>812</v>
      </c>
      <c r="B701" s="45">
        <v>43234</v>
      </c>
      <c r="C701" s="46" t="s">
        <v>2237</v>
      </c>
      <c r="D701" s="46">
        <v>5405</v>
      </c>
      <c r="E701" s="47" t="s">
        <v>2238</v>
      </c>
      <c r="F701" s="47" t="s">
        <v>305</v>
      </c>
      <c r="G701" s="107">
        <v>4300021652</v>
      </c>
      <c r="H701" s="45">
        <v>43191</v>
      </c>
      <c r="I701" s="46"/>
      <c r="J701" s="48">
        <v>270</v>
      </c>
      <c r="K701" t="s">
        <v>2030</v>
      </c>
    </row>
    <row r="702" spans="1:11" x14ac:dyDescent="0.3">
      <c r="A702" s="38" t="s">
        <v>812</v>
      </c>
      <c r="B702" s="45">
        <v>43234</v>
      </c>
      <c r="C702" s="46" t="s">
        <v>2237</v>
      </c>
      <c r="D702" s="46">
        <v>5405</v>
      </c>
      <c r="E702" s="47" t="s">
        <v>2238</v>
      </c>
      <c r="F702" s="47" t="s">
        <v>306</v>
      </c>
      <c r="G702" s="107">
        <v>4300021652</v>
      </c>
      <c r="H702" s="45">
        <v>43191</v>
      </c>
      <c r="I702" s="46"/>
      <c r="J702" s="48">
        <v>270</v>
      </c>
      <c r="K702" t="s">
        <v>2030</v>
      </c>
    </row>
    <row r="703" spans="1:11" x14ac:dyDescent="0.3">
      <c r="A703" s="38" t="s">
        <v>812</v>
      </c>
      <c r="B703" s="45">
        <v>43234</v>
      </c>
      <c r="C703" s="46" t="s">
        <v>2237</v>
      </c>
      <c r="D703" s="46">
        <v>5405</v>
      </c>
      <c r="E703" s="47" t="s">
        <v>2238</v>
      </c>
      <c r="F703" s="47" t="s">
        <v>307</v>
      </c>
      <c r="G703" s="107">
        <v>4300021652</v>
      </c>
      <c r="H703" s="45">
        <v>43191</v>
      </c>
      <c r="I703" s="46"/>
      <c r="J703" s="48">
        <v>270</v>
      </c>
      <c r="K703" t="s">
        <v>2030</v>
      </c>
    </row>
    <row r="704" spans="1:11" x14ac:dyDescent="0.3">
      <c r="A704" s="38" t="s">
        <v>812</v>
      </c>
      <c r="B704" s="45">
        <v>43234</v>
      </c>
      <c r="C704" s="46" t="s">
        <v>2237</v>
      </c>
      <c r="D704" s="46">
        <v>5405</v>
      </c>
      <c r="E704" s="47" t="s">
        <v>2238</v>
      </c>
      <c r="F704" s="47" t="s">
        <v>308</v>
      </c>
      <c r="G704" s="107">
        <v>4300021652</v>
      </c>
      <c r="H704" s="45">
        <v>43191</v>
      </c>
      <c r="I704" s="46"/>
      <c r="J704" s="48">
        <v>270</v>
      </c>
      <c r="K704" t="s">
        <v>2030</v>
      </c>
    </row>
    <row r="705" spans="1:11" x14ac:dyDescent="0.3">
      <c r="A705" s="38" t="s">
        <v>812</v>
      </c>
      <c r="B705" s="45">
        <v>43234</v>
      </c>
      <c r="C705" s="46" t="s">
        <v>2237</v>
      </c>
      <c r="D705" s="46">
        <v>5405</v>
      </c>
      <c r="E705" s="47" t="s">
        <v>2238</v>
      </c>
      <c r="F705" s="47" t="s">
        <v>309</v>
      </c>
      <c r="G705" s="107">
        <v>4300021652</v>
      </c>
      <c r="H705" s="45">
        <v>43191</v>
      </c>
      <c r="I705" s="46"/>
      <c r="J705" s="48">
        <v>232.5</v>
      </c>
      <c r="K705" t="s">
        <v>2030</v>
      </c>
    </row>
    <row r="706" spans="1:11" x14ac:dyDescent="0.3">
      <c r="A706" s="38" t="s">
        <v>812</v>
      </c>
      <c r="B706" s="45">
        <v>43234</v>
      </c>
      <c r="C706" s="46" t="s">
        <v>2237</v>
      </c>
      <c r="D706" s="46">
        <v>5405</v>
      </c>
      <c r="E706" s="47" t="s">
        <v>2238</v>
      </c>
      <c r="F706" s="47" t="s">
        <v>310</v>
      </c>
      <c r="G706" s="107">
        <v>4300021652</v>
      </c>
      <c r="H706" s="45">
        <v>43191</v>
      </c>
      <c r="I706" s="46"/>
      <c r="J706" s="48">
        <v>270</v>
      </c>
      <c r="K706" t="s">
        <v>2030</v>
      </c>
    </row>
    <row r="707" spans="1:11" x14ac:dyDescent="0.3">
      <c r="A707" s="38" t="s">
        <v>812</v>
      </c>
      <c r="B707" s="45">
        <v>43234</v>
      </c>
      <c r="C707" s="46" t="s">
        <v>2237</v>
      </c>
      <c r="D707" s="46">
        <v>5405</v>
      </c>
      <c r="E707" s="47" t="s">
        <v>2238</v>
      </c>
      <c r="F707" s="47" t="s">
        <v>311</v>
      </c>
      <c r="G707" s="107">
        <v>4300021652</v>
      </c>
      <c r="H707" s="45">
        <v>43191</v>
      </c>
      <c r="I707" s="46"/>
      <c r="J707" s="48">
        <v>270</v>
      </c>
      <c r="K707" t="s">
        <v>2030</v>
      </c>
    </row>
    <row r="708" spans="1:11" x14ac:dyDescent="0.3">
      <c r="A708" s="38" t="s">
        <v>812</v>
      </c>
      <c r="B708" s="45">
        <v>43234</v>
      </c>
      <c r="C708" s="46" t="s">
        <v>2237</v>
      </c>
      <c r="D708" s="46">
        <v>5405</v>
      </c>
      <c r="E708" s="47" t="s">
        <v>2238</v>
      </c>
      <c r="F708" s="47" t="s">
        <v>312</v>
      </c>
      <c r="G708" s="107">
        <v>4300021652</v>
      </c>
      <c r="H708" s="45">
        <v>43191</v>
      </c>
      <c r="I708" s="46"/>
      <c r="J708" s="48">
        <v>270</v>
      </c>
      <c r="K708" t="s">
        <v>2030</v>
      </c>
    </row>
    <row r="709" spans="1:11" x14ac:dyDescent="0.3">
      <c r="A709" s="38" t="s">
        <v>812</v>
      </c>
      <c r="B709" s="45">
        <v>43234</v>
      </c>
      <c r="C709" s="46" t="s">
        <v>2237</v>
      </c>
      <c r="D709" s="46">
        <v>5405</v>
      </c>
      <c r="E709" s="47" t="s">
        <v>2238</v>
      </c>
      <c r="F709" s="47" t="s">
        <v>313</v>
      </c>
      <c r="G709" s="107">
        <v>4300021652</v>
      </c>
      <c r="H709" s="45">
        <v>43191</v>
      </c>
      <c r="I709" s="46"/>
      <c r="J709" s="48">
        <v>270</v>
      </c>
      <c r="K709" t="s">
        <v>2030</v>
      </c>
    </row>
    <row r="710" spans="1:11" x14ac:dyDescent="0.3">
      <c r="A710" s="38" t="s">
        <v>812</v>
      </c>
      <c r="B710" s="45">
        <v>43234</v>
      </c>
      <c r="C710" s="46" t="s">
        <v>2237</v>
      </c>
      <c r="D710" s="46">
        <v>5405</v>
      </c>
      <c r="E710" s="47" t="s">
        <v>2238</v>
      </c>
      <c r="F710" s="47" t="s">
        <v>314</v>
      </c>
      <c r="G710" s="107">
        <v>4300021652</v>
      </c>
      <c r="H710" s="45">
        <v>43191</v>
      </c>
      <c r="I710" s="46"/>
      <c r="J710" s="48">
        <v>270</v>
      </c>
      <c r="K710" t="s">
        <v>2030</v>
      </c>
    </row>
    <row r="711" spans="1:11" x14ac:dyDescent="0.3">
      <c r="A711" s="38" t="s">
        <v>812</v>
      </c>
      <c r="B711" s="45">
        <v>43234</v>
      </c>
      <c r="C711" s="46" t="s">
        <v>2237</v>
      </c>
      <c r="D711" s="46">
        <v>5405</v>
      </c>
      <c r="E711" s="47" t="s">
        <v>2238</v>
      </c>
      <c r="F711" s="47" t="s">
        <v>315</v>
      </c>
      <c r="G711" s="107">
        <v>4300021652</v>
      </c>
      <c r="H711" s="45">
        <v>43191</v>
      </c>
      <c r="I711" s="46"/>
      <c r="J711" s="48">
        <v>270</v>
      </c>
      <c r="K711" t="s">
        <v>2030</v>
      </c>
    </row>
    <row r="712" spans="1:11" x14ac:dyDescent="0.3">
      <c r="A712" s="38" t="s">
        <v>812</v>
      </c>
      <c r="B712" s="45">
        <v>43234</v>
      </c>
      <c r="C712" s="46" t="s">
        <v>2237</v>
      </c>
      <c r="D712" s="46">
        <v>5405</v>
      </c>
      <c r="E712" s="47" t="s">
        <v>2238</v>
      </c>
      <c r="F712" s="47" t="s">
        <v>316</v>
      </c>
      <c r="G712" s="107">
        <v>4300021652</v>
      </c>
      <c r="H712" s="45">
        <v>43191</v>
      </c>
      <c r="I712" s="46"/>
      <c r="J712" s="48">
        <v>270</v>
      </c>
      <c r="K712" t="s">
        <v>2030</v>
      </c>
    </row>
    <row r="713" spans="1:11" x14ac:dyDescent="0.3">
      <c r="A713" s="38" t="s">
        <v>812</v>
      </c>
      <c r="B713" s="45">
        <v>43234</v>
      </c>
      <c r="C713" s="46" t="s">
        <v>2237</v>
      </c>
      <c r="D713" s="46">
        <v>5405</v>
      </c>
      <c r="E713" s="47" t="s">
        <v>2238</v>
      </c>
      <c r="F713" s="47" t="s">
        <v>317</v>
      </c>
      <c r="G713" s="107">
        <v>4300021652</v>
      </c>
      <c r="H713" s="45">
        <v>43191</v>
      </c>
      <c r="I713" s="46"/>
      <c r="J713" s="48">
        <v>270</v>
      </c>
      <c r="K713" t="s">
        <v>2030</v>
      </c>
    </row>
    <row r="714" spans="1:11" x14ac:dyDescent="0.3">
      <c r="A714" s="38" t="s">
        <v>812</v>
      </c>
      <c r="B714" s="45">
        <v>43234</v>
      </c>
      <c r="C714" s="46" t="s">
        <v>2237</v>
      </c>
      <c r="D714" s="46">
        <v>5405</v>
      </c>
      <c r="E714" s="47" t="s">
        <v>2238</v>
      </c>
      <c r="F714" s="47" t="s">
        <v>318</v>
      </c>
      <c r="G714" s="107">
        <v>4300021652</v>
      </c>
      <c r="H714" s="45">
        <v>43191</v>
      </c>
      <c r="I714" s="46"/>
      <c r="J714" s="48">
        <v>270</v>
      </c>
      <c r="K714" t="s">
        <v>2030</v>
      </c>
    </row>
    <row r="715" spans="1:11" x14ac:dyDescent="0.3">
      <c r="A715" s="38" t="s">
        <v>812</v>
      </c>
      <c r="B715" s="45">
        <v>43234</v>
      </c>
      <c r="C715" s="46" t="s">
        <v>2237</v>
      </c>
      <c r="D715" s="46">
        <v>5405</v>
      </c>
      <c r="E715" s="47" t="s">
        <v>2238</v>
      </c>
      <c r="F715" s="47" t="s">
        <v>319</v>
      </c>
      <c r="G715" s="107">
        <v>4300021652</v>
      </c>
      <c r="H715" s="45">
        <v>43191</v>
      </c>
      <c r="I715" s="46"/>
      <c r="J715" s="48">
        <v>270</v>
      </c>
      <c r="K715" t="s">
        <v>2030</v>
      </c>
    </row>
    <row r="716" spans="1:11" x14ac:dyDescent="0.3">
      <c r="A716" s="38" t="s">
        <v>812</v>
      </c>
      <c r="B716" s="45">
        <v>43234</v>
      </c>
      <c r="C716" s="46" t="s">
        <v>2237</v>
      </c>
      <c r="D716" s="46">
        <v>5405</v>
      </c>
      <c r="E716" s="47" t="s">
        <v>2238</v>
      </c>
      <c r="F716" s="47" t="s">
        <v>320</v>
      </c>
      <c r="G716" s="107">
        <v>4300021652</v>
      </c>
      <c r="H716" s="45">
        <v>43191</v>
      </c>
      <c r="I716" s="46"/>
      <c r="J716" s="48">
        <v>270</v>
      </c>
      <c r="K716" t="s">
        <v>2030</v>
      </c>
    </row>
    <row r="717" spans="1:11" x14ac:dyDescent="0.3">
      <c r="A717" s="38" t="s">
        <v>812</v>
      </c>
      <c r="B717" s="45">
        <v>43234</v>
      </c>
      <c r="C717" s="46" t="s">
        <v>2237</v>
      </c>
      <c r="D717" s="46">
        <v>5405</v>
      </c>
      <c r="E717" s="47" t="s">
        <v>2238</v>
      </c>
      <c r="F717" s="47" t="s">
        <v>321</v>
      </c>
      <c r="G717" s="107">
        <v>4300021652</v>
      </c>
      <c r="H717" s="45">
        <v>43191</v>
      </c>
      <c r="I717" s="46"/>
      <c r="J717" s="48">
        <v>270</v>
      </c>
      <c r="K717" t="s">
        <v>2030</v>
      </c>
    </row>
    <row r="718" spans="1:11" x14ac:dyDescent="0.3">
      <c r="A718" s="38" t="s">
        <v>812</v>
      </c>
      <c r="B718" s="45">
        <v>43234</v>
      </c>
      <c r="C718" s="46" t="s">
        <v>2237</v>
      </c>
      <c r="D718" s="46">
        <v>5405</v>
      </c>
      <c r="E718" s="47" t="s">
        <v>2238</v>
      </c>
      <c r="F718" s="47" t="s">
        <v>322</v>
      </c>
      <c r="G718" s="107">
        <v>4300021652</v>
      </c>
      <c r="H718" s="45">
        <v>43191</v>
      </c>
      <c r="I718" s="46"/>
      <c r="J718" s="48">
        <v>270</v>
      </c>
      <c r="K718" t="s">
        <v>2030</v>
      </c>
    </row>
    <row r="719" spans="1:11" x14ac:dyDescent="0.3">
      <c r="A719" s="38" t="s">
        <v>812</v>
      </c>
      <c r="B719" s="45">
        <v>43234</v>
      </c>
      <c r="C719" s="46" t="s">
        <v>2237</v>
      </c>
      <c r="D719" s="46">
        <v>5405</v>
      </c>
      <c r="E719" s="47" t="s">
        <v>2238</v>
      </c>
      <c r="F719" s="47" t="s">
        <v>323</v>
      </c>
      <c r="G719" s="107">
        <v>4300021652</v>
      </c>
      <c r="H719" s="45">
        <v>43191</v>
      </c>
      <c r="I719" s="46"/>
      <c r="J719" s="48">
        <v>270</v>
      </c>
      <c r="K719" t="s">
        <v>2030</v>
      </c>
    </row>
    <row r="720" spans="1:11" x14ac:dyDescent="0.3">
      <c r="A720" s="38" t="s">
        <v>812</v>
      </c>
      <c r="B720" s="45">
        <v>43234</v>
      </c>
      <c r="C720" s="46" t="s">
        <v>2237</v>
      </c>
      <c r="D720" s="46">
        <v>5405</v>
      </c>
      <c r="E720" s="47" t="s">
        <v>2238</v>
      </c>
      <c r="F720" s="47" t="s">
        <v>324</v>
      </c>
      <c r="G720" s="107">
        <v>4300021652</v>
      </c>
      <c r="H720" s="45">
        <v>43191</v>
      </c>
      <c r="I720" s="46"/>
      <c r="J720" s="48">
        <v>270</v>
      </c>
      <c r="K720" t="s">
        <v>2030</v>
      </c>
    </row>
    <row r="721" spans="1:11" x14ac:dyDescent="0.3">
      <c r="A721" s="38" t="s">
        <v>812</v>
      </c>
      <c r="B721" s="45">
        <v>43234</v>
      </c>
      <c r="C721" s="46" t="s">
        <v>2237</v>
      </c>
      <c r="D721" s="46">
        <v>5405</v>
      </c>
      <c r="E721" s="47" t="s">
        <v>2238</v>
      </c>
      <c r="F721" s="47" t="s">
        <v>325</v>
      </c>
      <c r="G721" s="107">
        <v>4300021652</v>
      </c>
      <c r="H721" s="45">
        <v>43191</v>
      </c>
      <c r="I721" s="46"/>
      <c r="J721" s="48">
        <v>270</v>
      </c>
      <c r="K721" t="s">
        <v>2030</v>
      </c>
    </row>
    <row r="722" spans="1:11" x14ac:dyDescent="0.3">
      <c r="A722" s="38" t="s">
        <v>812</v>
      </c>
      <c r="B722" s="45">
        <v>43234</v>
      </c>
      <c r="C722" s="46" t="s">
        <v>2237</v>
      </c>
      <c r="D722" s="46">
        <v>5405</v>
      </c>
      <c r="E722" s="47" t="s">
        <v>2238</v>
      </c>
      <c r="F722" s="47" t="s">
        <v>326</v>
      </c>
      <c r="G722" s="107">
        <v>4300021652</v>
      </c>
      <c r="H722" s="45">
        <v>43191</v>
      </c>
      <c r="I722" s="46"/>
      <c r="J722" s="48">
        <v>270</v>
      </c>
      <c r="K722" t="s">
        <v>2030</v>
      </c>
    </row>
    <row r="723" spans="1:11" x14ac:dyDescent="0.3">
      <c r="A723" s="38" t="s">
        <v>812</v>
      </c>
      <c r="B723" s="45">
        <v>43234</v>
      </c>
      <c r="C723" s="46" t="s">
        <v>2237</v>
      </c>
      <c r="D723" s="46">
        <v>5405</v>
      </c>
      <c r="E723" s="47" t="s">
        <v>2238</v>
      </c>
      <c r="F723" s="47" t="s">
        <v>327</v>
      </c>
      <c r="G723" s="107">
        <v>4300021652</v>
      </c>
      <c r="H723" s="45">
        <v>43191</v>
      </c>
      <c r="I723" s="46"/>
      <c r="J723" s="48">
        <v>93</v>
      </c>
      <c r="K723" t="s">
        <v>2030</v>
      </c>
    </row>
    <row r="724" spans="1:11" x14ac:dyDescent="0.3">
      <c r="A724" s="38" t="s">
        <v>812</v>
      </c>
      <c r="B724" s="45">
        <v>43234</v>
      </c>
      <c r="C724" s="46" t="s">
        <v>2237</v>
      </c>
      <c r="D724" s="46">
        <v>5405</v>
      </c>
      <c r="E724" s="47" t="s">
        <v>2238</v>
      </c>
      <c r="F724" s="47" t="s">
        <v>328</v>
      </c>
      <c r="G724" s="107">
        <v>4300021652</v>
      </c>
      <c r="H724" s="45">
        <v>43191</v>
      </c>
      <c r="I724" s="46"/>
      <c r="J724" s="48">
        <v>90</v>
      </c>
      <c r="K724" t="s">
        <v>2030</v>
      </c>
    </row>
    <row r="725" spans="1:11" x14ac:dyDescent="0.3">
      <c r="A725" s="38" t="s">
        <v>812</v>
      </c>
      <c r="B725" s="45">
        <v>43234</v>
      </c>
      <c r="C725" s="46" t="s">
        <v>2237</v>
      </c>
      <c r="D725" s="46">
        <v>5405</v>
      </c>
      <c r="E725" s="47" t="s">
        <v>2238</v>
      </c>
      <c r="F725" s="47" t="s">
        <v>329</v>
      </c>
      <c r="G725" s="107">
        <v>4300021652</v>
      </c>
      <c r="H725" s="45">
        <v>43191</v>
      </c>
      <c r="I725" s="46"/>
      <c r="J725" s="48">
        <v>85.25</v>
      </c>
      <c r="K725" t="s">
        <v>2030</v>
      </c>
    </row>
    <row r="726" spans="1:11" x14ac:dyDescent="0.3">
      <c r="A726" s="38" t="s">
        <v>812</v>
      </c>
      <c r="B726" s="45">
        <v>43234</v>
      </c>
      <c r="C726" s="46" t="s">
        <v>2237</v>
      </c>
      <c r="D726" s="46">
        <v>5405</v>
      </c>
      <c r="E726" s="47" t="s">
        <v>2238</v>
      </c>
      <c r="F726" s="47" t="s">
        <v>330</v>
      </c>
      <c r="G726" s="107">
        <v>4300021652</v>
      </c>
      <c r="H726" s="45">
        <v>43191</v>
      </c>
      <c r="I726" s="46"/>
      <c r="J726" s="48">
        <v>90</v>
      </c>
      <c r="K726" t="s">
        <v>2030</v>
      </c>
    </row>
    <row r="727" spans="1:11" x14ac:dyDescent="0.3">
      <c r="A727" s="38" t="s">
        <v>812</v>
      </c>
      <c r="B727" s="45">
        <v>43234</v>
      </c>
      <c r="C727" s="46" t="s">
        <v>2237</v>
      </c>
      <c r="D727" s="46">
        <v>5405</v>
      </c>
      <c r="E727" s="47" t="s">
        <v>2238</v>
      </c>
      <c r="F727" s="47" t="s">
        <v>331</v>
      </c>
      <c r="G727" s="107">
        <v>4300021652</v>
      </c>
      <c r="H727" s="45">
        <v>43191</v>
      </c>
      <c r="I727" s="46"/>
      <c r="J727" s="48">
        <v>100.75</v>
      </c>
      <c r="K727" t="s">
        <v>2030</v>
      </c>
    </row>
    <row r="728" spans="1:11" x14ac:dyDescent="0.3">
      <c r="A728" s="38" t="s">
        <v>812</v>
      </c>
      <c r="B728" s="45">
        <v>43234</v>
      </c>
      <c r="C728" s="46" t="s">
        <v>2237</v>
      </c>
      <c r="D728" s="46">
        <v>5405</v>
      </c>
      <c r="E728" s="47" t="s">
        <v>2238</v>
      </c>
      <c r="F728" s="47" t="s">
        <v>332</v>
      </c>
      <c r="G728" s="107">
        <v>4300021652</v>
      </c>
      <c r="H728" s="45">
        <v>43191</v>
      </c>
      <c r="I728" s="46"/>
      <c r="J728" s="48">
        <v>90</v>
      </c>
      <c r="K728" t="s">
        <v>2030</v>
      </c>
    </row>
    <row r="729" spans="1:11" x14ac:dyDescent="0.3">
      <c r="A729" s="38" t="s">
        <v>812</v>
      </c>
      <c r="B729" s="45">
        <v>43234</v>
      </c>
      <c r="C729" s="46" t="s">
        <v>2237</v>
      </c>
      <c r="D729" s="46">
        <v>5405</v>
      </c>
      <c r="E729" s="47" t="s">
        <v>2238</v>
      </c>
      <c r="F729" s="47" t="s">
        <v>333</v>
      </c>
      <c r="G729" s="107">
        <v>4300021652</v>
      </c>
      <c r="H729" s="45">
        <v>43191</v>
      </c>
      <c r="I729" s="46"/>
      <c r="J729" s="48">
        <v>240</v>
      </c>
      <c r="K729" t="s">
        <v>2030</v>
      </c>
    </row>
    <row r="730" spans="1:11" x14ac:dyDescent="0.3">
      <c r="A730" s="38" t="s">
        <v>812</v>
      </c>
      <c r="B730" s="45">
        <v>43234</v>
      </c>
      <c r="C730" s="46" t="s">
        <v>2237</v>
      </c>
      <c r="D730" s="46">
        <v>5405</v>
      </c>
      <c r="E730" s="47" t="s">
        <v>2238</v>
      </c>
      <c r="F730" s="47" t="s">
        <v>334</v>
      </c>
      <c r="G730" s="107">
        <v>4300021652</v>
      </c>
      <c r="H730" s="45">
        <v>43191</v>
      </c>
      <c r="I730" s="46"/>
      <c r="J730" s="48">
        <v>240</v>
      </c>
      <c r="K730" t="s">
        <v>2030</v>
      </c>
    </row>
    <row r="731" spans="1:11" x14ac:dyDescent="0.3">
      <c r="A731" s="38" t="s">
        <v>812</v>
      </c>
      <c r="B731" s="45">
        <v>43234</v>
      </c>
      <c r="C731" s="46" t="s">
        <v>2237</v>
      </c>
      <c r="D731" s="46">
        <v>5405</v>
      </c>
      <c r="E731" s="47" t="s">
        <v>2238</v>
      </c>
      <c r="F731" s="47" t="s">
        <v>335</v>
      </c>
      <c r="G731" s="107">
        <v>4300021652</v>
      </c>
      <c r="H731" s="45">
        <v>43191</v>
      </c>
      <c r="I731" s="46"/>
      <c r="J731" s="48">
        <v>240</v>
      </c>
      <c r="K731" t="s">
        <v>2030</v>
      </c>
    </row>
    <row r="732" spans="1:11" x14ac:dyDescent="0.3">
      <c r="A732" s="38" t="s">
        <v>812</v>
      </c>
      <c r="B732" s="45">
        <v>43234</v>
      </c>
      <c r="C732" s="46" t="s">
        <v>2237</v>
      </c>
      <c r="D732" s="46">
        <v>5405</v>
      </c>
      <c r="E732" s="47" t="s">
        <v>2238</v>
      </c>
      <c r="F732" s="47" t="s">
        <v>336</v>
      </c>
      <c r="G732" s="107">
        <v>4300021652</v>
      </c>
      <c r="H732" s="45">
        <v>43191</v>
      </c>
      <c r="I732" s="46"/>
      <c r="J732" s="48">
        <v>240</v>
      </c>
      <c r="K732" t="s">
        <v>2030</v>
      </c>
    </row>
    <row r="733" spans="1:11" x14ac:dyDescent="0.3">
      <c r="A733" s="38" t="s">
        <v>812</v>
      </c>
      <c r="B733" s="45">
        <v>43234</v>
      </c>
      <c r="C733" s="46" t="s">
        <v>2237</v>
      </c>
      <c r="D733" s="46">
        <v>5405</v>
      </c>
      <c r="E733" s="47" t="s">
        <v>2238</v>
      </c>
      <c r="F733" s="47" t="s">
        <v>337</v>
      </c>
      <c r="G733" s="107">
        <v>4300021652</v>
      </c>
      <c r="H733" s="45">
        <v>43191</v>
      </c>
      <c r="I733" s="46"/>
      <c r="J733" s="48">
        <v>240</v>
      </c>
      <c r="K733" t="s">
        <v>2030</v>
      </c>
    </row>
    <row r="734" spans="1:11" x14ac:dyDescent="0.3">
      <c r="A734" s="38" t="s">
        <v>812</v>
      </c>
      <c r="B734" s="45">
        <v>43234</v>
      </c>
      <c r="C734" s="46" t="s">
        <v>2237</v>
      </c>
      <c r="D734" s="46">
        <v>5405</v>
      </c>
      <c r="E734" s="47" t="s">
        <v>2238</v>
      </c>
      <c r="F734" s="47" t="s">
        <v>338</v>
      </c>
      <c r="G734" s="107">
        <v>4300021652</v>
      </c>
      <c r="H734" s="45">
        <v>43191</v>
      </c>
      <c r="I734" s="46"/>
      <c r="J734" s="48">
        <v>240</v>
      </c>
      <c r="K734" t="s">
        <v>2030</v>
      </c>
    </row>
    <row r="735" spans="1:11" x14ac:dyDescent="0.3">
      <c r="A735" s="38" t="s">
        <v>812</v>
      </c>
      <c r="B735" s="45">
        <v>43234</v>
      </c>
      <c r="C735" s="46" t="s">
        <v>2237</v>
      </c>
      <c r="D735" s="46">
        <v>5405</v>
      </c>
      <c r="E735" s="47" t="s">
        <v>2238</v>
      </c>
      <c r="F735" s="47" t="s">
        <v>339</v>
      </c>
      <c r="G735" s="107">
        <v>4300021652</v>
      </c>
      <c r="H735" s="45">
        <v>43191</v>
      </c>
      <c r="I735" s="46"/>
      <c r="J735" s="48">
        <v>240</v>
      </c>
      <c r="K735" t="s">
        <v>2030</v>
      </c>
    </row>
    <row r="736" spans="1:11" x14ac:dyDescent="0.3">
      <c r="A736" s="38" t="s">
        <v>812</v>
      </c>
      <c r="B736" s="45">
        <v>43234</v>
      </c>
      <c r="C736" s="46" t="s">
        <v>2237</v>
      </c>
      <c r="D736" s="46">
        <v>5405</v>
      </c>
      <c r="E736" s="47" t="s">
        <v>2238</v>
      </c>
      <c r="F736" s="47" t="s">
        <v>340</v>
      </c>
      <c r="G736" s="107">
        <v>4300021652</v>
      </c>
      <c r="H736" s="45">
        <v>43191</v>
      </c>
      <c r="I736" s="46"/>
      <c r="J736" s="48">
        <v>240</v>
      </c>
      <c r="K736" t="s">
        <v>2030</v>
      </c>
    </row>
    <row r="737" spans="1:11" x14ac:dyDescent="0.3">
      <c r="A737" s="38" t="s">
        <v>812</v>
      </c>
      <c r="B737" s="45">
        <v>43234</v>
      </c>
      <c r="C737" s="46" t="s">
        <v>2237</v>
      </c>
      <c r="D737" s="46">
        <v>5405</v>
      </c>
      <c r="E737" s="47" t="s">
        <v>2238</v>
      </c>
      <c r="F737" s="47" t="s">
        <v>341</v>
      </c>
      <c r="G737" s="107">
        <v>4300021652</v>
      </c>
      <c r="H737" s="45">
        <v>43191</v>
      </c>
      <c r="I737" s="46"/>
      <c r="J737" s="48">
        <v>240</v>
      </c>
      <c r="K737" t="s">
        <v>2030</v>
      </c>
    </row>
    <row r="738" spans="1:11" x14ac:dyDescent="0.3">
      <c r="A738" s="38" t="s">
        <v>812</v>
      </c>
      <c r="B738" s="45">
        <v>43234</v>
      </c>
      <c r="C738" s="46" t="s">
        <v>2237</v>
      </c>
      <c r="D738" s="46">
        <v>5405</v>
      </c>
      <c r="E738" s="47" t="s">
        <v>2238</v>
      </c>
      <c r="F738" s="47" t="s">
        <v>342</v>
      </c>
      <c r="G738" s="107">
        <v>4300021652</v>
      </c>
      <c r="H738" s="45">
        <v>43191</v>
      </c>
      <c r="I738" s="46"/>
      <c r="J738" s="48">
        <v>240</v>
      </c>
      <c r="K738" t="s">
        <v>2030</v>
      </c>
    </row>
    <row r="739" spans="1:11" x14ac:dyDescent="0.3">
      <c r="A739" s="38" t="s">
        <v>812</v>
      </c>
      <c r="B739" s="45">
        <v>43234</v>
      </c>
      <c r="C739" s="46" t="s">
        <v>2237</v>
      </c>
      <c r="D739" s="46">
        <v>5405</v>
      </c>
      <c r="E739" s="47" t="s">
        <v>2238</v>
      </c>
      <c r="F739" s="47" t="s">
        <v>343</v>
      </c>
      <c r="G739" s="107">
        <v>4300021652</v>
      </c>
      <c r="H739" s="45">
        <v>43191</v>
      </c>
      <c r="I739" s="46"/>
      <c r="J739" s="48">
        <v>240</v>
      </c>
      <c r="K739" t="s">
        <v>2030</v>
      </c>
    </row>
    <row r="740" spans="1:11" x14ac:dyDescent="0.3">
      <c r="A740" s="38" t="s">
        <v>812</v>
      </c>
      <c r="B740" s="45">
        <v>43234</v>
      </c>
      <c r="C740" s="46" t="s">
        <v>2237</v>
      </c>
      <c r="D740" s="46">
        <v>5405</v>
      </c>
      <c r="E740" s="47" t="s">
        <v>2238</v>
      </c>
      <c r="F740" s="47" t="s">
        <v>344</v>
      </c>
      <c r="G740" s="107">
        <v>4300021652</v>
      </c>
      <c r="H740" s="45">
        <v>43191</v>
      </c>
      <c r="I740" s="46"/>
      <c r="J740" s="48">
        <v>240</v>
      </c>
      <c r="K740" t="s">
        <v>2030</v>
      </c>
    </row>
    <row r="741" spans="1:11" x14ac:dyDescent="0.3">
      <c r="A741" s="38" t="s">
        <v>812</v>
      </c>
      <c r="B741" s="45">
        <v>43234</v>
      </c>
      <c r="C741" s="46" t="s">
        <v>2237</v>
      </c>
      <c r="D741" s="46">
        <v>5405</v>
      </c>
      <c r="E741" s="47" t="s">
        <v>2238</v>
      </c>
      <c r="F741" s="47" t="s">
        <v>345</v>
      </c>
      <c r="G741" s="107">
        <v>4300021652</v>
      </c>
      <c r="H741" s="45">
        <v>43191</v>
      </c>
      <c r="I741" s="46"/>
      <c r="J741" s="48">
        <v>240</v>
      </c>
      <c r="K741" t="s">
        <v>2030</v>
      </c>
    </row>
    <row r="742" spans="1:11" x14ac:dyDescent="0.3">
      <c r="A742" s="38" t="s">
        <v>812</v>
      </c>
      <c r="B742" s="45">
        <v>43234</v>
      </c>
      <c r="C742" s="46" t="s">
        <v>2237</v>
      </c>
      <c r="D742" s="46">
        <v>5405</v>
      </c>
      <c r="E742" s="47" t="s">
        <v>2238</v>
      </c>
      <c r="F742" s="47" t="s">
        <v>346</v>
      </c>
      <c r="G742" s="107">
        <v>4300021652</v>
      </c>
      <c r="H742" s="45">
        <v>43191</v>
      </c>
      <c r="I742" s="46"/>
      <c r="J742" s="48">
        <v>240</v>
      </c>
      <c r="K742" t="s">
        <v>2030</v>
      </c>
    </row>
    <row r="743" spans="1:11" x14ac:dyDescent="0.3">
      <c r="A743" s="38" t="s">
        <v>812</v>
      </c>
      <c r="B743" s="45">
        <v>43234</v>
      </c>
      <c r="C743" s="46" t="s">
        <v>2237</v>
      </c>
      <c r="D743" s="46">
        <v>5405</v>
      </c>
      <c r="E743" s="47" t="s">
        <v>2238</v>
      </c>
      <c r="F743" s="47" t="s">
        <v>557</v>
      </c>
      <c r="G743" s="107">
        <v>4300021652</v>
      </c>
      <c r="H743" s="45">
        <v>43191</v>
      </c>
      <c r="I743" s="46"/>
      <c r="J743" s="48">
        <v>240</v>
      </c>
      <c r="K743" t="s">
        <v>2030</v>
      </c>
    </row>
    <row r="744" spans="1:11" x14ac:dyDescent="0.3">
      <c r="A744" s="38" t="s">
        <v>812</v>
      </c>
      <c r="B744" s="45">
        <v>43234</v>
      </c>
      <c r="C744" s="46" t="s">
        <v>2237</v>
      </c>
      <c r="D744" s="46">
        <v>5405</v>
      </c>
      <c r="E744" s="47" t="s">
        <v>2238</v>
      </c>
      <c r="F744" s="47" t="s">
        <v>558</v>
      </c>
      <c r="G744" s="107">
        <v>4300021652</v>
      </c>
      <c r="H744" s="45">
        <v>43191</v>
      </c>
      <c r="I744" s="46"/>
      <c r="J744" s="48">
        <v>240</v>
      </c>
      <c r="K744" t="s">
        <v>2030</v>
      </c>
    </row>
    <row r="745" spans="1:11" x14ac:dyDescent="0.3">
      <c r="A745" s="38" t="s">
        <v>812</v>
      </c>
      <c r="B745" s="45">
        <v>43234</v>
      </c>
      <c r="C745" s="46" t="s">
        <v>2237</v>
      </c>
      <c r="D745" s="46">
        <v>5405</v>
      </c>
      <c r="E745" s="47" t="s">
        <v>2238</v>
      </c>
      <c r="F745" s="47" t="s">
        <v>559</v>
      </c>
      <c r="G745" s="107">
        <v>4300021652</v>
      </c>
      <c r="H745" s="45">
        <v>43191</v>
      </c>
      <c r="I745" s="46"/>
      <c r="J745" s="48">
        <v>240</v>
      </c>
      <c r="K745" t="s">
        <v>2030</v>
      </c>
    </row>
    <row r="746" spans="1:11" x14ac:dyDescent="0.3">
      <c r="A746" s="38" t="s">
        <v>812</v>
      </c>
      <c r="B746" s="45">
        <v>43234</v>
      </c>
      <c r="C746" s="46" t="s">
        <v>2237</v>
      </c>
      <c r="D746" s="46">
        <v>5405</v>
      </c>
      <c r="E746" s="47" t="s">
        <v>2238</v>
      </c>
      <c r="F746" s="47" t="s">
        <v>560</v>
      </c>
      <c r="G746" s="107">
        <v>4300021652</v>
      </c>
      <c r="H746" s="45">
        <v>43191</v>
      </c>
      <c r="I746" s="46"/>
      <c r="J746" s="48">
        <v>240</v>
      </c>
      <c r="K746" t="s">
        <v>2030</v>
      </c>
    </row>
    <row r="747" spans="1:11" x14ac:dyDescent="0.3">
      <c r="A747" s="38" t="s">
        <v>812</v>
      </c>
      <c r="B747" s="45">
        <v>43234</v>
      </c>
      <c r="C747" s="46" t="s">
        <v>2237</v>
      </c>
      <c r="D747" s="46">
        <v>5405</v>
      </c>
      <c r="E747" s="47" t="s">
        <v>2238</v>
      </c>
      <c r="F747" s="47" t="s">
        <v>561</v>
      </c>
      <c r="G747" s="107">
        <v>4300021652</v>
      </c>
      <c r="H747" s="45">
        <v>43191</v>
      </c>
      <c r="I747" s="46"/>
      <c r="J747" s="48">
        <v>240</v>
      </c>
      <c r="K747" t="s">
        <v>2030</v>
      </c>
    </row>
    <row r="748" spans="1:11" x14ac:dyDescent="0.3">
      <c r="A748" s="38" t="s">
        <v>812</v>
      </c>
      <c r="B748" s="45">
        <v>43234</v>
      </c>
      <c r="C748" s="46" t="s">
        <v>2237</v>
      </c>
      <c r="D748" s="46">
        <v>5405</v>
      </c>
      <c r="E748" s="47" t="s">
        <v>2238</v>
      </c>
      <c r="F748" s="47" t="s">
        <v>562</v>
      </c>
      <c r="G748" s="107">
        <v>4300021652</v>
      </c>
      <c r="H748" s="45">
        <v>43191</v>
      </c>
      <c r="I748" s="46"/>
      <c r="J748" s="48">
        <v>240</v>
      </c>
      <c r="K748" t="s">
        <v>2030</v>
      </c>
    </row>
    <row r="749" spans="1:11" x14ac:dyDescent="0.3">
      <c r="A749" s="38" t="s">
        <v>812</v>
      </c>
      <c r="B749" s="45">
        <v>43234</v>
      </c>
      <c r="C749" s="46" t="s">
        <v>2237</v>
      </c>
      <c r="D749" s="46">
        <v>5405</v>
      </c>
      <c r="E749" s="47" t="s">
        <v>2238</v>
      </c>
      <c r="F749" s="47" t="s">
        <v>563</v>
      </c>
      <c r="G749" s="107">
        <v>4300021652</v>
      </c>
      <c r="H749" s="45">
        <v>43191</v>
      </c>
      <c r="I749" s="46"/>
      <c r="J749" s="48">
        <v>240</v>
      </c>
      <c r="K749" t="s">
        <v>2030</v>
      </c>
    </row>
    <row r="750" spans="1:11" x14ac:dyDescent="0.3">
      <c r="A750" s="38" t="s">
        <v>812</v>
      </c>
      <c r="B750" s="45">
        <v>43234</v>
      </c>
      <c r="C750" s="46" t="s">
        <v>2237</v>
      </c>
      <c r="D750" s="46">
        <v>5405</v>
      </c>
      <c r="E750" s="47" t="s">
        <v>2238</v>
      </c>
      <c r="F750" s="47" t="s">
        <v>564</v>
      </c>
      <c r="G750" s="107">
        <v>4300021652</v>
      </c>
      <c r="H750" s="45">
        <v>43191</v>
      </c>
      <c r="I750" s="46"/>
      <c r="J750" s="48">
        <v>240</v>
      </c>
      <c r="K750" t="s">
        <v>2030</v>
      </c>
    </row>
    <row r="751" spans="1:11" x14ac:dyDescent="0.3">
      <c r="A751" s="38" t="s">
        <v>812</v>
      </c>
      <c r="B751" s="45">
        <v>43234</v>
      </c>
      <c r="C751" s="46" t="s">
        <v>2237</v>
      </c>
      <c r="D751" s="46">
        <v>5405</v>
      </c>
      <c r="E751" s="47" t="s">
        <v>2238</v>
      </c>
      <c r="F751" s="47" t="s">
        <v>565</v>
      </c>
      <c r="G751" s="107">
        <v>4300021652</v>
      </c>
      <c r="H751" s="45">
        <v>43191</v>
      </c>
      <c r="I751" s="46"/>
      <c r="J751" s="48">
        <v>240</v>
      </c>
      <c r="K751" t="s">
        <v>2030</v>
      </c>
    </row>
    <row r="752" spans="1:11" x14ac:dyDescent="0.3">
      <c r="A752" s="38" t="s">
        <v>812</v>
      </c>
      <c r="B752" s="45">
        <v>43234</v>
      </c>
      <c r="C752" s="46" t="s">
        <v>2237</v>
      </c>
      <c r="D752" s="46">
        <v>5405</v>
      </c>
      <c r="E752" s="47" t="s">
        <v>2238</v>
      </c>
      <c r="F752" s="47" t="s">
        <v>566</v>
      </c>
      <c r="G752" s="107">
        <v>4300021652</v>
      </c>
      <c r="H752" s="45">
        <v>43191</v>
      </c>
      <c r="I752" s="46"/>
      <c r="J752" s="48">
        <v>240</v>
      </c>
      <c r="K752" t="s">
        <v>2030</v>
      </c>
    </row>
    <row r="753" spans="1:11" x14ac:dyDescent="0.3">
      <c r="A753" s="38" t="s">
        <v>812</v>
      </c>
      <c r="B753" s="45">
        <v>43234</v>
      </c>
      <c r="C753" s="46" t="s">
        <v>2237</v>
      </c>
      <c r="D753" s="46">
        <v>5405</v>
      </c>
      <c r="E753" s="47" t="s">
        <v>2238</v>
      </c>
      <c r="F753" s="47" t="s">
        <v>567</v>
      </c>
      <c r="G753" s="107">
        <v>4300021652</v>
      </c>
      <c r="H753" s="45">
        <v>43191</v>
      </c>
      <c r="I753" s="46"/>
      <c r="J753" s="48">
        <v>240</v>
      </c>
      <c r="K753" t="s">
        <v>2030</v>
      </c>
    </row>
    <row r="754" spans="1:11" x14ac:dyDescent="0.3">
      <c r="A754" s="38" t="s">
        <v>812</v>
      </c>
      <c r="B754" s="45">
        <v>43234</v>
      </c>
      <c r="C754" s="46" t="s">
        <v>2237</v>
      </c>
      <c r="D754" s="46">
        <v>5405</v>
      </c>
      <c r="E754" s="47" t="s">
        <v>2238</v>
      </c>
      <c r="F754" s="47" t="s">
        <v>568</v>
      </c>
      <c r="G754" s="107">
        <v>4300021652</v>
      </c>
      <c r="H754" s="45">
        <v>43191</v>
      </c>
      <c r="I754" s="46"/>
      <c r="J754" s="48">
        <v>240</v>
      </c>
      <c r="K754" t="s">
        <v>2030</v>
      </c>
    </row>
    <row r="755" spans="1:11" x14ac:dyDescent="0.3">
      <c r="A755" s="38" t="s">
        <v>812</v>
      </c>
      <c r="B755" s="45">
        <v>43234</v>
      </c>
      <c r="C755" s="46" t="s">
        <v>2237</v>
      </c>
      <c r="D755" s="46">
        <v>5405</v>
      </c>
      <c r="E755" s="47" t="s">
        <v>2238</v>
      </c>
      <c r="F755" s="47" t="s">
        <v>569</v>
      </c>
      <c r="G755" s="107">
        <v>4300021652</v>
      </c>
      <c r="H755" s="45">
        <v>43191</v>
      </c>
      <c r="I755" s="46"/>
      <c r="J755" s="48">
        <v>240</v>
      </c>
      <c r="K755" t="s">
        <v>2030</v>
      </c>
    </row>
    <row r="756" spans="1:11" x14ac:dyDescent="0.3">
      <c r="A756" s="38" t="s">
        <v>812</v>
      </c>
      <c r="B756" s="45">
        <v>43234</v>
      </c>
      <c r="C756" s="46" t="s">
        <v>2237</v>
      </c>
      <c r="D756" s="46">
        <v>5405</v>
      </c>
      <c r="E756" s="47" t="s">
        <v>2238</v>
      </c>
      <c r="F756" s="47" t="s">
        <v>570</v>
      </c>
      <c r="G756" s="107">
        <v>4300021652</v>
      </c>
      <c r="H756" s="45">
        <v>43191</v>
      </c>
      <c r="I756" s="46"/>
      <c r="J756" s="48">
        <v>240</v>
      </c>
      <c r="K756" t="s">
        <v>2030</v>
      </c>
    </row>
    <row r="757" spans="1:11" x14ac:dyDescent="0.3">
      <c r="A757" s="38" t="s">
        <v>812</v>
      </c>
      <c r="B757" s="45">
        <v>43234</v>
      </c>
      <c r="C757" s="46" t="s">
        <v>2237</v>
      </c>
      <c r="D757" s="46">
        <v>5405</v>
      </c>
      <c r="E757" s="47" t="s">
        <v>2238</v>
      </c>
      <c r="F757" s="47" t="s">
        <v>571</v>
      </c>
      <c r="G757" s="107">
        <v>4300021652</v>
      </c>
      <c r="H757" s="45">
        <v>43191</v>
      </c>
      <c r="I757" s="46"/>
      <c r="J757" s="48">
        <v>240</v>
      </c>
      <c r="K757" t="s">
        <v>2030</v>
      </c>
    </row>
    <row r="758" spans="1:11" x14ac:dyDescent="0.3">
      <c r="A758" s="38" t="s">
        <v>812</v>
      </c>
      <c r="B758" s="45">
        <v>43234</v>
      </c>
      <c r="C758" s="46" t="s">
        <v>2237</v>
      </c>
      <c r="D758" s="46">
        <v>5405</v>
      </c>
      <c r="E758" s="47" t="s">
        <v>2238</v>
      </c>
      <c r="F758" s="47" t="s">
        <v>572</v>
      </c>
      <c r="G758" s="107">
        <v>4300021652</v>
      </c>
      <c r="H758" s="45">
        <v>43191</v>
      </c>
      <c r="I758" s="46"/>
      <c r="J758" s="48">
        <v>240</v>
      </c>
      <c r="K758" t="s">
        <v>2030</v>
      </c>
    </row>
    <row r="759" spans="1:11" x14ac:dyDescent="0.3">
      <c r="A759" s="38" t="s">
        <v>812</v>
      </c>
      <c r="B759" s="45">
        <v>43234</v>
      </c>
      <c r="C759" s="46" t="s">
        <v>2237</v>
      </c>
      <c r="D759" s="46">
        <v>5405</v>
      </c>
      <c r="E759" s="47" t="s">
        <v>2238</v>
      </c>
      <c r="F759" s="47" t="s">
        <v>573</v>
      </c>
      <c r="G759" s="107">
        <v>4300021652</v>
      </c>
      <c r="H759" s="45">
        <v>43191</v>
      </c>
      <c r="I759" s="46"/>
      <c r="J759" s="48">
        <v>240</v>
      </c>
      <c r="K759" t="s">
        <v>2030</v>
      </c>
    </row>
    <row r="760" spans="1:11" x14ac:dyDescent="0.3">
      <c r="A760" s="38" t="s">
        <v>812</v>
      </c>
      <c r="B760" s="45">
        <v>43234</v>
      </c>
      <c r="C760" s="46" t="s">
        <v>2237</v>
      </c>
      <c r="D760" s="46">
        <v>5405</v>
      </c>
      <c r="E760" s="47" t="s">
        <v>2238</v>
      </c>
      <c r="F760" s="47" t="s">
        <v>574</v>
      </c>
      <c r="G760" s="107">
        <v>4300021652</v>
      </c>
      <c r="H760" s="45">
        <v>43191</v>
      </c>
      <c r="I760" s="46"/>
      <c r="J760" s="48">
        <v>240</v>
      </c>
      <c r="K760" t="s">
        <v>2030</v>
      </c>
    </row>
    <row r="761" spans="1:11" x14ac:dyDescent="0.3">
      <c r="A761" s="38" t="s">
        <v>812</v>
      </c>
      <c r="B761" s="45">
        <v>43234</v>
      </c>
      <c r="C761" s="46" t="s">
        <v>2237</v>
      </c>
      <c r="D761" s="46">
        <v>5405</v>
      </c>
      <c r="E761" s="47" t="s">
        <v>2238</v>
      </c>
      <c r="F761" s="47" t="s">
        <v>575</v>
      </c>
      <c r="G761" s="107">
        <v>4300021652</v>
      </c>
      <c r="H761" s="45">
        <v>43191</v>
      </c>
      <c r="I761" s="46"/>
      <c r="J761" s="48">
        <v>240</v>
      </c>
      <c r="K761" t="s">
        <v>2030</v>
      </c>
    </row>
    <row r="762" spans="1:11" x14ac:dyDescent="0.3">
      <c r="A762" s="38" t="s">
        <v>812</v>
      </c>
      <c r="B762" s="45">
        <v>43234</v>
      </c>
      <c r="C762" s="46" t="s">
        <v>2237</v>
      </c>
      <c r="D762" s="46">
        <v>5405</v>
      </c>
      <c r="E762" s="47" t="s">
        <v>2238</v>
      </c>
      <c r="F762" s="47" t="s">
        <v>576</v>
      </c>
      <c r="G762" s="107">
        <v>4300021652</v>
      </c>
      <c r="H762" s="45">
        <v>43191</v>
      </c>
      <c r="I762" s="46"/>
      <c r="J762" s="48">
        <v>486</v>
      </c>
      <c r="K762" t="s">
        <v>2030</v>
      </c>
    </row>
    <row r="763" spans="1:11" x14ac:dyDescent="0.3">
      <c r="A763" s="38" t="s">
        <v>812</v>
      </c>
      <c r="B763" s="45">
        <v>43234</v>
      </c>
      <c r="C763" s="46" t="s">
        <v>2237</v>
      </c>
      <c r="D763" s="46">
        <v>5405</v>
      </c>
      <c r="E763" s="47" t="s">
        <v>2238</v>
      </c>
      <c r="F763" s="47" t="s">
        <v>577</v>
      </c>
      <c r="G763" s="107">
        <v>4300021652</v>
      </c>
      <c r="H763" s="45">
        <v>43191</v>
      </c>
      <c r="I763" s="46"/>
      <c r="J763" s="48">
        <v>486</v>
      </c>
      <c r="K763" t="s">
        <v>2030</v>
      </c>
    </row>
    <row r="764" spans="1:11" x14ac:dyDescent="0.3">
      <c r="A764" s="38" t="s">
        <v>812</v>
      </c>
      <c r="B764" s="45">
        <v>43234</v>
      </c>
      <c r="C764" s="46" t="s">
        <v>2237</v>
      </c>
      <c r="D764" s="46">
        <v>5405</v>
      </c>
      <c r="E764" s="47" t="s">
        <v>2238</v>
      </c>
      <c r="F764" s="47" t="s">
        <v>578</v>
      </c>
      <c r="G764" s="107">
        <v>4300021652</v>
      </c>
      <c r="H764" s="45">
        <v>43191</v>
      </c>
      <c r="I764" s="46"/>
      <c r="J764" s="48">
        <v>240</v>
      </c>
      <c r="K764" t="s">
        <v>2030</v>
      </c>
    </row>
    <row r="765" spans="1:11" x14ac:dyDescent="0.3">
      <c r="A765" s="38" t="s">
        <v>812</v>
      </c>
      <c r="B765" s="45">
        <v>43234</v>
      </c>
      <c r="C765" s="46" t="s">
        <v>2237</v>
      </c>
      <c r="D765" s="46">
        <v>5405</v>
      </c>
      <c r="E765" s="47" t="s">
        <v>2238</v>
      </c>
      <c r="F765" s="47" t="s">
        <v>579</v>
      </c>
      <c r="G765" s="107">
        <v>4300021652</v>
      </c>
      <c r="H765" s="45">
        <v>43191</v>
      </c>
      <c r="I765" s="46"/>
      <c r="J765" s="48">
        <v>240</v>
      </c>
      <c r="K765" t="s">
        <v>2030</v>
      </c>
    </row>
    <row r="766" spans="1:11" x14ac:dyDescent="0.3">
      <c r="A766" s="38" t="s">
        <v>812</v>
      </c>
      <c r="B766" s="45">
        <v>43234</v>
      </c>
      <c r="C766" s="46" t="s">
        <v>2237</v>
      </c>
      <c r="D766" s="46">
        <v>5405</v>
      </c>
      <c r="E766" s="47" t="s">
        <v>2238</v>
      </c>
      <c r="F766" s="47" t="s">
        <v>580</v>
      </c>
      <c r="G766" s="107">
        <v>4300021652</v>
      </c>
      <c r="H766" s="45">
        <v>43191</v>
      </c>
      <c r="I766" s="46"/>
      <c r="J766" s="48">
        <v>240</v>
      </c>
      <c r="K766" t="s">
        <v>2030</v>
      </c>
    </row>
    <row r="767" spans="1:11" x14ac:dyDescent="0.3">
      <c r="A767" s="38" t="s">
        <v>812</v>
      </c>
      <c r="B767" s="45">
        <v>43234</v>
      </c>
      <c r="C767" s="46" t="s">
        <v>2237</v>
      </c>
      <c r="D767" s="46">
        <v>5405</v>
      </c>
      <c r="E767" s="47" t="s">
        <v>2238</v>
      </c>
      <c r="F767" s="47" t="s">
        <v>581</v>
      </c>
      <c r="G767" s="107">
        <v>4300021652</v>
      </c>
      <c r="H767" s="45">
        <v>43191</v>
      </c>
      <c r="I767" s="46"/>
      <c r="J767" s="48">
        <v>240</v>
      </c>
      <c r="K767" t="s">
        <v>2030</v>
      </c>
    </row>
    <row r="768" spans="1:11" x14ac:dyDescent="0.3">
      <c r="A768" s="38" t="s">
        <v>812</v>
      </c>
      <c r="B768" s="45">
        <v>43234</v>
      </c>
      <c r="C768" s="46" t="s">
        <v>2237</v>
      </c>
      <c r="D768" s="46">
        <v>5405</v>
      </c>
      <c r="E768" s="47" t="s">
        <v>2238</v>
      </c>
      <c r="F768" s="47" t="s">
        <v>582</v>
      </c>
      <c r="G768" s="107">
        <v>4300021652</v>
      </c>
      <c r="H768" s="45">
        <v>43191</v>
      </c>
      <c r="I768" s="46"/>
      <c r="J768" s="48">
        <v>240</v>
      </c>
      <c r="K768" t="s">
        <v>2030</v>
      </c>
    </row>
    <row r="769" spans="1:11" x14ac:dyDescent="0.3">
      <c r="A769" s="38" t="s">
        <v>812</v>
      </c>
      <c r="B769" s="45">
        <v>43234</v>
      </c>
      <c r="C769" s="46" t="s">
        <v>2237</v>
      </c>
      <c r="D769" s="46">
        <v>5405</v>
      </c>
      <c r="E769" s="47" t="s">
        <v>2238</v>
      </c>
      <c r="F769" s="47" t="s">
        <v>583</v>
      </c>
      <c r="G769" s="107">
        <v>4300021652</v>
      </c>
      <c r="H769" s="45">
        <v>43191</v>
      </c>
      <c r="I769" s="46"/>
      <c r="J769" s="48">
        <v>240</v>
      </c>
      <c r="K769" t="s">
        <v>2030</v>
      </c>
    </row>
    <row r="770" spans="1:11" x14ac:dyDescent="0.3">
      <c r="A770" s="38" t="s">
        <v>812</v>
      </c>
      <c r="B770" s="45">
        <v>43234</v>
      </c>
      <c r="C770" s="46" t="s">
        <v>2237</v>
      </c>
      <c r="D770" s="46">
        <v>5405</v>
      </c>
      <c r="E770" s="47" t="s">
        <v>2238</v>
      </c>
      <c r="F770" s="47" t="s">
        <v>584</v>
      </c>
      <c r="G770" s="107">
        <v>4300021652</v>
      </c>
      <c r="H770" s="45">
        <v>43191</v>
      </c>
      <c r="I770" s="46"/>
      <c r="J770" s="48">
        <v>240</v>
      </c>
      <c r="K770" t="s">
        <v>2030</v>
      </c>
    </row>
    <row r="771" spans="1:11" x14ac:dyDescent="0.3">
      <c r="A771" s="38" t="s">
        <v>812</v>
      </c>
      <c r="B771" s="45">
        <v>43234</v>
      </c>
      <c r="C771" s="46" t="s">
        <v>2237</v>
      </c>
      <c r="D771" s="46">
        <v>5405</v>
      </c>
      <c r="E771" s="47" t="s">
        <v>2238</v>
      </c>
      <c r="F771" s="47" t="s">
        <v>585</v>
      </c>
      <c r="G771" s="107">
        <v>4300021652</v>
      </c>
      <c r="H771" s="45">
        <v>43191</v>
      </c>
      <c r="I771" s="46"/>
      <c r="J771" s="48">
        <v>240</v>
      </c>
      <c r="K771" t="s">
        <v>2030</v>
      </c>
    </row>
    <row r="772" spans="1:11" x14ac:dyDescent="0.3">
      <c r="A772" s="38" t="s">
        <v>812</v>
      </c>
      <c r="B772" s="45">
        <v>43234</v>
      </c>
      <c r="C772" s="46" t="s">
        <v>2237</v>
      </c>
      <c r="D772" s="46">
        <v>5405</v>
      </c>
      <c r="E772" s="47" t="s">
        <v>2238</v>
      </c>
      <c r="F772" s="47" t="s">
        <v>586</v>
      </c>
      <c r="G772" s="107">
        <v>4300021652</v>
      </c>
      <c r="H772" s="45">
        <v>43191</v>
      </c>
      <c r="I772" s="46"/>
      <c r="J772" s="48">
        <v>240</v>
      </c>
      <c r="K772" t="s">
        <v>2030</v>
      </c>
    </row>
    <row r="773" spans="1:11" x14ac:dyDescent="0.3">
      <c r="A773" s="38" t="s">
        <v>812</v>
      </c>
      <c r="B773" s="45">
        <v>43234</v>
      </c>
      <c r="C773" s="46" t="s">
        <v>2237</v>
      </c>
      <c r="D773" s="46">
        <v>5405</v>
      </c>
      <c r="E773" s="47" t="s">
        <v>2238</v>
      </c>
      <c r="F773" s="47" t="s">
        <v>587</v>
      </c>
      <c r="G773" s="107">
        <v>4300021652</v>
      </c>
      <c r="H773" s="45">
        <v>43191</v>
      </c>
      <c r="I773" s="46"/>
      <c r="J773" s="48">
        <v>240</v>
      </c>
      <c r="K773" t="s">
        <v>2030</v>
      </c>
    </row>
    <row r="774" spans="1:11" x14ac:dyDescent="0.3">
      <c r="A774" s="38" t="s">
        <v>812</v>
      </c>
      <c r="B774" s="45">
        <v>43234</v>
      </c>
      <c r="C774" s="46" t="s">
        <v>2237</v>
      </c>
      <c r="D774" s="46">
        <v>5405</v>
      </c>
      <c r="E774" s="47" t="s">
        <v>2238</v>
      </c>
      <c r="F774" s="47" t="s">
        <v>588</v>
      </c>
      <c r="G774" s="107">
        <v>4300021652</v>
      </c>
      <c r="H774" s="45">
        <v>43191</v>
      </c>
      <c r="I774" s="46"/>
      <c r="J774" s="48">
        <v>240</v>
      </c>
      <c r="K774" t="s">
        <v>2030</v>
      </c>
    </row>
    <row r="775" spans="1:11" x14ac:dyDescent="0.3">
      <c r="A775" s="38" t="s">
        <v>812</v>
      </c>
      <c r="B775" s="45">
        <v>43234</v>
      </c>
      <c r="C775" s="46" t="s">
        <v>2237</v>
      </c>
      <c r="D775" s="46">
        <v>5405</v>
      </c>
      <c r="E775" s="47" t="s">
        <v>2238</v>
      </c>
      <c r="F775" s="47" t="s">
        <v>589</v>
      </c>
      <c r="G775" s="107">
        <v>4300021652</v>
      </c>
      <c r="H775" s="45">
        <v>43191</v>
      </c>
      <c r="I775" s="46"/>
      <c r="J775" s="48">
        <v>240</v>
      </c>
      <c r="K775" t="s">
        <v>2030</v>
      </c>
    </row>
    <row r="776" spans="1:11" x14ac:dyDescent="0.3">
      <c r="A776" s="41" t="s">
        <v>813</v>
      </c>
      <c r="B776" s="18">
        <v>43234</v>
      </c>
      <c r="C776" s="19" t="s">
        <v>2115</v>
      </c>
      <c r="D776" s="19">
        <v>16</v>
      </c>
      <c r="E776" s="20" t="s">
        <v>2210</v>
      </c>
      <c r="F776" s="20" t="s">
        <v>49</v>
      </c>
      <c r="G776" s="105">
        <v>4380391198</v>
      </c>
      <c r="H776" s="18">
        <v>43200</v>
      </c>
      <c r="I776" s="19" t="s">
        <v>2211</v>
      </c>
      <c r="J776" s="21">
        <v>16464.810000000001</v>
      </c>
      <c r="K776" t="s">
        <v>2030</v>
      </c>
    </row>
    <row r="777" spans="1:11" x14ac:dyDescent="0.3">
      <c r="A777" t="s">
        <v>1550</v>
      </c>
      <c r="B777" s="33">
        <v>43236</v>
      </c>
      <c r="C777" s="34" t="s">
        <v>2223</v>
      </c>
      <c r="D777" s="34">
        <v>1</v>
      </c>
      <c r="E777" s="35" t="s">
        <v>2224</v>
      </c>
      <c r="F777" s="35" t="s">
        <v>37</v>
      </c>
      <c r="G777" s="106"/>
      <c r="H777" s="33">
        <v>42912</v>
      </c>
      <c r="I777" s="34" t="s">
        <v>2225</v>
      </c>
      <c r="J777" s="36">
        <v>481.19</v>
      </c>
      <c r="K777" t="s">
        <v>2030</v>
      </c>
    </row>
    <row r="778" spans="1:11" x14ac:dyDescent="0.3">
      <c r="A778" t="s">
        <v>1550</v>
      </c>
      <c r="B778" s="33">
        <v>43236</v>
      </c>
      <c r="C778" s="34" t="s">
        <v>2223</v>
      </c>
      <c r="D778" s="34">
        <v>1</v>
      </c>
      <c r="E778" s="35" t="s">
        <v>2224</v>
      </c>
      <c r="F778" s="35" t="s">
        <v>41</v>
      </c>
      <c r="G778" s="106"/>
      <c r="H778" s="33">
        <v>42912</v>
      </c>
      <c r="I778" s="34" t="s">
        <v>2226</v>
      </c>
      <c r="J778" s="36">
        <v>1684.16</v>
      </c>
      <c r="K778" t="s">
        <v>2030</v>
      </c>
    </row>
    <row r="779" spans="1:11" x14ac:dyDescent="0.3">
      <c r="A779" t="s">
        <v>1550</v>
      </c>
      <c r="B779" s="33">
        <v>43236</v>
      </c>
      <c r="C779" s="34" t="s">
        <v>2223</v>
      </c>
      <c r="D779" s="34">
        <v>1</v>
      </c>
      <c r="E779" s="35" t="s">
        <v>2227</v>
      </c>
      <c r="F779" s="35" t="s">
        <v>38</v>
      </c>
      <c r="G779" s="106"/>
      <c r="H779" s="33">
        <v>42926</v>
      </c>
      <c r="I779" s="34" t="s">
        <v>2228</v>
      </c>
      <c r="J779" s="36">
        <v>460.12</v>
      </c>
      <c r="K779" t="s">
        <v>2030</v>
      </c>
    </row>
    <row r="780" spans="1:11" x14ac:dyDescent="0.3">
      <c r="A780" t="s">
        <v>813</v>
      </c>
      <c r="B780" s="33">
        <v>43237</v>
      </c>
      <c r="C780" s="34"/>
      <c r="D780" s="54">
        <v>16</v>
      </c>
      <c r="E780" s="35" t="s">
        <v>2116</v>
      </c>
      <c r="F780" s="35" t="s">
        <v>27</v>
      </c>
      <c r="G780" s="50">
        <v>4380326608</v>
      </c>
      <c r="H780" s="33">
        <v>43191</v>
      </c>
      <c r="I780" s="34" t="s">
        <v>2114</v>
      </c>
      <c r="J780" s="36">
        <v>6360</v>
      </c>
      <c r="K780" t="s">
        <v>2030</v>
      </c>
    </row>
    <row r="781" spans="1:11" x14ac:dyDescent="0.3">
      <c r="A781" t="s">
        <v>813</v>
      </c>
      <c r="B781" s="33">
        <v>43241</v>
      </c>
      <c r="C781" s="34"/>
      <c r="D781" s="34">
        <v>16</v>
      </c>
      <c r="E781" s="39" t="s">
        <v>2245</v>
      </c>
      <c r="F781" s="35"/>
      <c r="G781" s="49" t="s">
        <v>2231</v>
      </c>
      <c r="H781" s="33">
        <v>43090</v>
      </c>
      <c r="I781" s="34" t="s">
        <v>2114</v>
      </c>
      <c r="J781" s="36">
        <v>14000</v>
      </c>
      <c r="K781" t="s">
        <v>2030</v>
      </c>
    </row>
    <row r="782" spans="1:11" x14ac:dyDescent="0.3">
      <c r="A782" t="s">
        <v>813</v>
      </c>
      <c r="B782" s="33">
        <v>43245</v>
      </c>
      <c r="C782" s="34"/>
      <c r="D782" s="34">
        <v>16</v>
      </c>
      <c r="E782" s="35" t="s">
        <v>2207</v>
      </c>
      <c r="F782" s="35"/>
      <c r="G782" s="106"/>
      <c r="H782" s="33">
        <v>43040</v>
      </c>
      <c r="I782" s="34" t="s">
        <v>2114</v>
      </c>
      <c r="J782" s="36">
        <v>112438.39999999999</v>
      </c>
      <c r="K782" t="s">
        <v>2030</v>
      </c>
    </row>
    <row r="783" spans="1:11" x14ac:dyDescent="0.3">
      <c r="A783" t="s">
        <v>813</v>
      </c>
      <c r="B783" s="33">
        <v>43245</v>
      </c>
      <c r="C783" s="34"/>
      <c r="D783" s="34">
        <v>16</v>
      </c>
      <c r="E783" s="35" t="s">
        <v>2169</v>
      </c>
      <c r="F783" s="35"/>
      <c r="G783" s="106"/>
      <c r="H783" s="33">
        <v>43191</v>
      </c>
      <c r="I783" s="34" t="s">
        <v>2114</v>
      </c>
      <c r="J783" s="36">
        <v>1725</v>
      </c>
      <c r="K783" t="s">
        <v>2030</v>
      </c>
    </row>
    <row r="784" spans="1:11" x14ac:dyDescent="0.3">
      <c r="A784" t="s">
        <v>813</v>
      </c>
      <c r="B784" s="33">
        <v>43249</v>
      </c>
      <c r="C784" s="34" t="s">
        <v>2258</v>
      </c>
      <c r="D784" s="34">
        <v>16</v>
      </c>
      <c r="E784" s="35" t="s">
        <v>2259</v>
      </c>
      <c r="F784" s="35" t="s">
        <v>7</v>
      </c>
      <c r="G784" s="106">
        <v>4380304642</v>
      </c>
      <c r="H784" s="33">
        <v>43160</v>
      </c>
      <c r="I784" s="34" t="s">
        <v>2260</v>
      </c>
      <c r="J784" s="36">
        <v>16002.97</v>
      </c>
      <c r="K784" t="s">
        <v>2030</v>
      </c>
    </row>
    <row r="785" spans="1:11" x14ac:dyDescent="0.3">
      <c r="A785" t="s">
        <v>813</v>
      </c>
      <c r="B785" s="33">
        <v>43249</v>
      </c>
      <c r="C785" s="34" t="s">
        <v>2258</v>
      </c>
      <c r="D785" s="34">
        <v>16</v>
      </c>
      <c r="E785" s="35" t="s">
        <v>2263</v>
      </c>
      <c r="F785" s="35" t="s">
        <v>8</v>
      </c>
      <c r="G785" s="106">
        <v>4380304642</v>
      </c>
      <c r="H785" s="33">
        <v>43160</v>
      </c>
      <c r="I785" s="34" t="s">
        <v>2264</v>
      </c>
      <c r="J785" s="36">
        <v>15805</v>
      </c>
      <c r="K785" t="s">
        <v>2030</v>
      </c>
    </row>
    <row r="786" spans="1:11" x14ac:dyDescent="0.3">
      <c r="A786" t="s">
        <v>813</v>
      </c>
      <c r="B786" s="33">
        <v>43249</v>
      </c>
      <c r="C786" s="34" t="s">
        <v>2258</v>
      </c>
      <c r="D786" s="34">
        <v>16</v>
      </c>
      <c r="E786" s="35" t="s">
        <v>2281</v>
      </c>
      <c r="F786" s="35" t="s">
        <v>9</v>
      </c>
      <c r="G786" s="106">
        <v>4380304642</v>
      </c>
      <c r="H786" s="33">
        <v>43160</v>
      </c>
      <c r="I786" s="34" t="s">
        <v>2282</v>
      </c>
      <c r="J786" s="36">
        <v>16078.5</v>
      </c>
      <c r="K786" t="s">
        <v>2030</v>
      </c>
    </row>
    <row r="787" spans="1:11" x14ac:dyDescent="0.3">
      <c r="A787" t="s">
        <v>813</v>
      </c>
      <c r="B787" s="33">
        <v>43249</v>
      </c>
      <c r="C787" s="34" t="s">
        <v>2258</v>
      </c>
      <c r="D787" s="34">
        <v>16</v>
      </c>
      <c r="E787" s="35" t="s">
        <v>2261</v>
      </c>
      <c r="F787" s="35" t="s">
        <v>10</v>
      </c>
      <c r="G787" s="106">
        <v>4380304642</v>
      </c>
      <c r="H787" s="33">
        <v>43160</v>
      </c>
      <c r="I787" s="34" t="s">
        <v>2262</v>
      </c>
      <c r="J787" s="36">
        <v>15778.97</v>
      </c>
      <c r="K787" t="s">
        <v>2030</v>
      </c>
    </row>
    <row r="788" spans="1:11" x14ac:dyDescent="0.3">
      <c r="A788" t="s">
        <v>813</v>
      </c>
      <c r="B788" s="33">
        <v>43249</v>
      </c>
      <c r="C788" s="34" t="s">
        <v>2258</v>
      </c>
      <c r="D788" s="34">
        <v>16</v>
      </c>
      <c r="E788" s="35" t="s">
        <v>2267</v>
      </c>
      <c r="F788" s="35" t="s">
        <v>12</v>
      </c>
      <c r="G788" s="106">
        <v>4380304642</v>
      </c>
      <c r="H788" s="33">
        <v>43160</v>
      </c>
      <c r="I788" s="34" t="s">
        <v>2268</v>
      </c>
      <c r="J788" s="36">
        <v>16136</v>
      </c>
      <c r="K788" t="s">
        <v>2030</v>
      </c>
    </row>
    <row r="789" spans="1:11" x14ac:dyDescent="0.3">
      <c r="A789" t="s">
        <v>813</v>
      </c>
      <c r="B789" s="33">
        <v>43249</v>
      </c>
      <c r="C789" s="34" t="s">
        <v>2258</v>
      </c>
      <c r="D789" s="34">
        <v>16</v>
      </c>
      <c r="E789" s="35" t="s">
        <v>2265</v>
      </c>
      <c r="F789" s="35" t="s">
        <v>13</v>
      </c>
      <c r="G789" s="106">
        <v>4380304642</v>
      </c>
      <c r="H789" s="33">
        <v>43160</v>
      </c>
      <c r="I789" s="34" t="s">
        <v>2266</v>
      </c>
      <c r="J789" s="36">
        <v>16103</v>
      </c>
      <c r="K789" t="s">
        <v>2030</v>
      </c>
    </row>
    <row r="790" spans="1:11" x14ac:dyDescent="0.3">
      <c r="A790" t="s">
        <v>813</v>
      </c>
      <c r="B790" s="33">
        <v>43249</v>
      </c>
      <c r="C790" s="34" t="s">
        <v>2258</v>
      </c>
      <c r="D790" s="34">
        <v>16</v>
      </c>
      <c r="E790" s="35" t="s">
        <v>2269</v>
      </c>
      <c r="F790" s="35" t="s">
        <v>15</v>
      </c>
      <c r="G790" s="106">
        <v>4380304642</v>
      </c>
      <c r="H790" s="33">
        <v>43160</v>
      </c>
      <c r="I790" s="34" t="s">
        <v>2270</v>
      </c>
      <c r="J790" s="36">
        <v>16081.8</v>
      </c>
      <c r="K790" t="s">
        <v>2030</v>
      </c>
    </row>
    <row r="791" spans="1:11" x14ac:dyDescent="0.3">
      <c r="A791" t="s">
        <v>813</v>
      </c>
      <c r="B791" s="33">
        <v>43249</v>
      </c>
      <c r="C791" s="34" t="s">
        <v>2258</v>
      </c>
      <c r="D791" s="34">
        <v>16</v>
      </c>
      <c r="E791" s="35" t="s">
        <v>2271</v>
      </c>
      <c r="F791" s="35" t="s">
        <v>46</v>
      </c>
      <c r="G791" s="106">
        <v>4380369086</v>
      </c>
      <c r="H791" s="33">
        <v>43194</v>
      </c>
      <c r="I791" s="34" t="s">
        <v>2272</v>
      </c>
      <c r="J791" s="36">
        <v>15717.16</v>
      </c>
      <c r="K791" t="s">
        <v>2030</v>
      </c>
    </row>
    <row r="792" spans="1:11" x14ac:dyDescent="0.3">
      <c r="A792" t="s">
        <v>813</v>
      </c>
      <c r="B792" s="33">
        <v>43249</v>
      </c>
      <c r="C792" s="34" t="s">
        <v>2258</v>
      </c>
      <c r="D792" s="34">
        <v>16</v>
      </c>
      <c r="E792" s="35" t="s">
        <v>2273</v>
      </c>
      <c r="F792" s="35" t="s">
        <v>47</v>
      </c>
      <c r="G792" s="106">
        <v>4380369086</v>
      </c>
      <c r="H792" s="33">
        <v>43194</v>
      </c>
      <c r="I792" s="34" t="s">
        <v>2274</v>
      </c>
      <c r="J792" s="36">
        <v>16022</v>
      </c>
      <c r="K792" t="s">
        <v>2030</v>
      </c>
    </row>
    <row r="793" spans="1:11" x14ac:dyDescent="0.3">
      <c r="A793" t="s">
        <v>813</v>
      </c>
      <c r="B793" s="33">
        <v>43249</v>
      </c>
      <c r="C793" s="34" t="s">
        <v>2258</v>
      </c>
      <c r="D793" s="34">
        <v>16</v>
      </c>
      <c r="E793" s="35" t="s">
        <v>2275</v>
      </c>
      <c r="F793" s="35" t="s">
        <v>295</v>
      </c>
      <c r="G793" s="106">
        <v>4380369086</v>
      </c>
      <c r="H793" s="33">
        <v>43194</v>
      </c>
      <c r="I793" s="34" t="s">
        <v>2276</v>
      </c>
      <c r="J793" s="36">
        <v>17750</v>
      </c>
      <c r="K793" t="s">
        <v>2030</v>
      </c>
    </row>
    <row r="794" spans="1:11" x14ac:dyDescent="0.3">
      <c r="A794" t="s">
        <v>813</v>
      </c>
      <c r="B794" s="33">
        <v>43249</v>
      </c>
      <c r="C794" s="34" t="s">
        <v>2258</v>
      </c>
      <c r="D794" s="34">
        <v>16</v>
      </c>
      <c r="E794" s="35" t="s">
        <v>2277</v>
      </c>
      <c r="F794" s="35" t="s">
        <v>48</v>
      </c>
      <c r="G794" s="106">
        <v>4380369086</v>
      </c>
      <c r="H794" s="33">
        <v>43194</v>
      </c>
      <c r="I794" s="34" t="s">
        <v>2278</v>
      </c>
      <c r="J794" s="36">
        <v>16037</v>
      </c>
      <c r="K794" t="s">
        <v>2030</v>
      </c>
    </row>
    <row r="795" spans="1:11" x14ac:dyDescent="0.3">
      <c r="A795" t="s">
        <v>813</v>
      </c>
      <c r="B795" s="33">
        <v>43249</v>
      </c>
      <c r="C795" s="34" t="s">
        <v>2258</v>
      </c>
      <c r="D795" s="34">
        <v>16</v>
      </c>
      <c r="E795" s="35" t="s">
        <v>2279</v>
      </c>
      <c r="F795" s="35" t="s">
        <v>50</v>
      </c>
      <c r="G795" s="106">
        <v>4380391198</v>
      </c>
      <c r="H795" s="33">
        <v>43201</v>
      </c>
      <c r="I795" s="34" t="s">
        <v>2280</v>
      </c>
      <c r="J795" s="36">
        <v>16282.03</v>
      </c>
      <c r="K795" t="s">
        <v>2030</v>
      </c>
    </row>
    <row r="796" spans="1:11" x14ac:dyDescent="0.3">
      <c r="A796" t="s">
        <v>818</v>
      </c>
      <c r="B796" s="33">
        <v>43250</v>
      </c>
      <c r="C796" s="34" t="s">
        <v>2432</v>
      </c>
      <c r="D796" s="34">
        <v>1</v>
      </c>
      <c r="E796" s="35" t="s">
        <v>2433</v>
      </c>
      <c r="F796" s="35" t="s">
        <v>54</v>
      </c>
      <c r="G796" s="106"/>
      <c r="H796" s="33">
        <v>43191</v>
      </c>
      <c r="I796" s="34" t="s">
        <v>2434</v>
      </c>
      <c r="J796" s="36">
        <v>643.5</v>
      </c>
      <c r="K796" t="s">
        <v>2030</v>
      </c>
    </row>
    <row r="797" spans="1:11" x14ac:dyDescent="0.3">
      <c r="A797" t="s">
        <v>818</v>
      </c>
      <c r="B797" s="33">
        <v>43250</v>
      </c>
      <c r="C797" s="34" t="s">
        <v>2432</v>
      </c>
      <c r="D797" s="34">
        <v>1</v>
      </c>
      <c r="E797" s="35" t="s">
        <v>2433</v>
      </c>
      <c r="F797" s="35" t="s">
        <v>49</v>
      </c>
      <c r="G797" s="106"/>
      <c r="H797" s="33">
        <v>43191</v>
      </c>
      <c r="I797" s="34" t="s">
        <v>2435</v>
      </c>
      <c r="J797" s="36">
        <v>1280.57</v>
      </c>
      <c r="K797" t="s">
        <v>2030</v>
      </c>
    </row>
    <row r="798" spans="1:11" x14ac:dyDescent="0.3">
      <c r="A798" t="s">
        <v>818</v>
      </c>
      <c r="B798" s="33">
        <v>43250</v>
      </c>
      <c r="C798" s="34" t="s">
        <v>2432</v>
      </c>
      <c r="D798" s="34">
        <v>1</v>
      </c>
      <c r="E798" s="35" t="s">
        <v>2433</v>
      </c>
      <c r="F798" s="35" t="s">
        <v>37</v>
      </c>
      <c r="G798" s="106"/>
      <c r="H798" s="33">
        <v>43191</v>
      </c>
      <c r="I798" s="34" t="s">
        <v>2436</v>
      </c>
      <c r="J798" s="36">
        <v>9031.85</v>
      </c>
      <c r="K798" t="s">
        <v>2030</v>
      </c>
    </row>
    <row r="799" spans="1:11" x14ac:dyDescent="0.3">
      <c r="A799" t="s">
        <v>818</v>
      </c>
      <c r="B799" s="33">
        <v>43250</v>
      </c>
      <c r="C799" s="34" t="s">
        <v>2432</v>
      </c>
      <c r="D799" s="34">
        <v>1</v>
      </c>
      <c r="E799" s="35" t="s">
        <v>2433</v>
      </c>
      <c r="F799" s="35" t="s">
        <v>38</v>
      </c>
      <c r="G799" s="106"/>
      <c r="H799" s="33">
        <v>43191</v>
      </c>
      <c r="I799" s="34" t="s">
        <v>2437</v>
      </c>
      <c r="J799" s="36">
        <v>4954.95</v>
      </c>
      <c r="K799" t="s">
        <v>2030</v>
      </c>
    </row>
    <row r="800" spans="1:11" x14ac:dyDescent="0.3">
      <c r="A800" t="s">
        <v>818</v>
      </c>
      <c r="B800" s="33">
        <v>43250</v>
      </c>
      <c r="C800" s="34" t="s">
        <v>2432</v>
      </c>
      <c r="D800" s="34">
        <v>1</v>
      </c>
      <c r="E800" s="35" t="s">
        <v>2433</v>
      </c>
      <c r="F800" s="35" t="s">
        <v>51</v>
      </c>
      <c r="G800" s="106"/>
      <c r="H800" s="33">
        <v>43191</v>
      </c>
      <c r="I800" s="34" t="s">
        <v>2438</v>
      </c>
      <c r="J800" s="36">
        <v>804.38</v>
      </c>
      <c r="K800" t="s">
        <v>2030</v>
      </c>
    </row>
    <row r="801" spans="1:11" x14ac:dyDescent="0.3">
      <c r="A801" t="s">
        <v>818</v>
      </c>
      <c r="B801" s="33">
        <v>43250</v>
      </c>
      <c r="C801" s="34" t="s">
        <v>2432</v>
      </c>
      <c r="D801" s="34">
        <v>1</v>
      </c>
      <c r="E801" s="35" t="s">
        <v>2433</v>
      </c>
      <c r="F801" s="35" t="s">
        <v>53</v>
      </c>
      <c r="G801" s="106"/>
      <c r="H801" s="33">
        <v>43191</v>
      </c>
      <c r="I801" s="34" t="s">
        <v>2439</v>
      </c>
      <c r="J801" s="36">
        <v>643.5</v>
      </c>
      <c r="K801" t="s">
        <v>2030</v>
      </c>
    </row>
    <row r="802" spans="1:11" x14ac:dyDescent="0.3">
      <c r="A802" t="s">
        <v>818</v>
      </c>
      <c r="B802" s="33">
        <v>43250</v>
      </c>
      <c r="C802" s="34" t="s">
        <v>2432</v>
      </c>
      <c r="D802" s="34">
        <v>1</v>
      </c>
      <c r="E802" s="35" t="s">
        <v>2433</v>
      </c>
      <c r="F802" s="35" t="s">
        <v>27</v>
      </c>
      <c r="G802" s="106"/>
      <c r="H802" s="33">
        <v>43191</v>
      </c>
      <c r="I802" s="34" t="s">
        <v>2440</v>
      </c>
      <c r="J802" s="36">
        <v>10628.57</v>
      </c>
      <c r="K802" t="s">
        <v>2030</v>
      </c>
    </row>
    <row r="803" spans="1:11" x14ac:dyDescent="0.3">
      <c r="A803" t="s">
        <v>818</v>
      </c>
      <c r="B803" s="33">
        <v>43250</v>
      </c>
      <c r="C803" s="34" t="s">
        <v>2432</v>
      </c>
      <c r="D803" s="34">
        <v>1</v>
      </c>
      <c r="E803" s="35" t="s">
        <v>2433</v>
      </c>
      <c r="F803" s="35" t="s">
        <v>39</v>
      </c>
      <c r="G803" s="106"/>
      <c r="H803" s="33">
        <v>43191</v>
      </c>
      <c r="I803" s="34" t="s">
        <v>2441</v>
      </c>
      <c r="J803" s="36">
        <v>4253.54</v>
      </c>
      <c r="K803" t="s">
        <v>2030</v>
      </c>
    </row>
    <row r="804" spans="1:11" x14ac:dyDescent="0.3">
      <c r="A804" t="s">
        <v>818</v>
      </c>
      <c r="B804" s="33">
        <v>43250</v>
      </c>
      <c r="C804" s="34" t="s">
        <v>2432</v>
      </c>
      <c r="D804" s="34">
        <v>1</v>
      </c>
      <c r="E804" s="35" t="s">
        <v>2433</v>
      </c>
      <c r="F804" s="35" t="s">
        <v>28</v>
      </c>
      <c r="G804" s="106"/>
      <c r="H804" s="33">
        <v>43191</v>
      </c>
      <c r="I804" s="34" t="s">
        <v>2442</v>
      </c>
      <c r="J804" s="36">
        <v>9380.7000000000007</v>
      </c>
      <c r="K804" t="s">
        <v>2030</v>
      </c>
    </row>
    <row r="805" spans="1:11" x14ac:dyDescent="0.3">
      <c r="A805" t="s">
        <v>818</v>
      </c>
      <c r="B805" s="33">
        <v>43250</v>
      </c>
      <c r="C805" s="34" t="s">
        <v>2432</v>
      </c>
      <c r="D805" s="34">
        <v>1</v>
      </c>
      <c r="E805" s="35" t="s">
        <v>2433</v>
      </c>
      <c r="F805" s="35" t="s">
        <v>43</v>
      </c>
      <c r="G805" s="106"/>
      <c r="H805" s="33">
        <v>43191</v>
      </c>
      <c r="I805" s="34" t="s">
        <v>2443</v>
      </c>
      <c r="J805" s="36">
        <v>2213.64</v>
      </c>
      <c r="K805" t="s">
        <v>2030</v>
      </c>
    </row>
    <row r="806" spans="1:11" x14ac:dyDescent="0.3">
      <c r="A806" t="s">
        <v>818</v>
      </c>
      <c r="B806" s="33">
        <v>43250</v>
      </c>
      <c r="C806" s="34" t="s">
        <v>2432</v>
      </c>
      <c r="D806" s="34">
        <v>1</v>
      </c>
      <c r="E806" s="35" t="s">
        <v>2433</v>
      </c>
      <c r="F806" s="35" t="s">
        <v>41</v>
      </c>
      <c r="G806" s="106"/>
      <c r="H806" s="33">
        <v>43191</v>
      </c>
      <c r="I806" s="34" t="s">
        <v>2444</v>
      </c>
      <c r="J806" s="36">
        <v>2850.71</v>
      </c>
      <c r="K806" t="s">
        <v>2030</v>
      </c>
    </row>
    <row r="807" spans="1:11" x14ac:dyDescent="0.3">
      <c r="A807" t="s">
        <v>818</v>
      </c>
      <c r="B807" s="33">
        <v>43250</v>
      </c>
      <c r="C807" s="34" t="s">
        <v>2432</v>
      </c>
      <c r="D807" s="34">
        <v>1</v>
      </c>
      <c r="E807" s="35" t="s">
        <v>2433</v>
      </c>
      <c r="F807" s="35" t="s">
        <v>40</v>
      </c>
      <c r="G807" s="106"/>
      <c r="H807" s="33">
        <v>43191</v>
      </c>
      <c r="I807" s="34" t="s">
        <v>2445</v>
      </c>
      <c r="J807" s="36">
        <v>2857.14</v>
      </c>
      <c r="K807" t="s">
        <v>2030</v>
      </c>
    </row>
    <row r="808" spans="1:11" x14ac:dyDescent="0.3">
      <c r="A808" t="s">
        <v>818</v>
      </c>
      <c r="B808" s="33">
        <v>43250</v>
      </c>
      <c r="C808" s="34" t="s">
        <v>2432</v>
      </c>
      <c r="D808" s="34">
        <v>1</v>
      </c>
      <c r="E808" s="35" t="s">
        <v>2433</v>
      </c>
      <c r="F808" s="35" t="s">
        <v>42</v>
      </c>
      <c r="G808" s="106"/>
      <c r="H808" s="33">
        <v>43191</v>
      </c>
      <c r="I808" s="34" t="s">
        <v>2446</v>
      </c>
      <c r="J808" s="36">
        <v>2451.7399999999998</v>
      </c>
      <c r="K808" t="s">
        <v>2030</v>
      </c>
    </row>
    <row r="809" spans="1:11" x14ac:dyDescent="0.3">
      <c r="A809" t="s">
        <v>818</v>
      </c>
      <c r="B809" s="33">
        <v>43250</v>
      </c>
      <c r="C809" s="34" t="s">
        <v>2432</v>
      </c>
      <c r="D809" s="34">
        <v>1</v>
      </c>
      <c r="E809" s="35" t="s">
        <v>2433</v>
      </c>
      <c r="F809" s="35" t="s">
        <v>46</v>
      </c>
      <c r="G809" s="106"/>
      <c r="H809" s="33">
        <v>43191</v>
      </c>
      <c r="I809" s="34" t="s">
        <v>2447</v>
      </c>
      <c r="J809" s="36">
        <v>1756.76</v>
      </c>
      <c r="K809" t="s">
        <v>2030</v>
      </c>
    </row>
    <row r="810" spans="1:11" x14ac:dyDescent="0.3">
      <c r="A810" t="s">
        <v>818</v>
      </c>
      <c r="B810" s="33">
        <v>43250</v>
      </c>
      <c r="C810" s="34" t="s">
        <v>2432</v>
      </c>
      <c r="D810" s="34">
        <v>1</v>
      </c>
      <c r="E810" s="35" t="s">
        <v>2433</v>
      </c>
      <c r="F810" s="35" t="s">
        <v>45</v>
      </c>
      <c r="G810" s="106"/>
      <c r="H810" s="33">
        <v>43191</v>
      </c>
      <c r="I810" s="34" t="s">
        <v>2448</v>
      </c>
      <c r="J810" s="36">
        <v>1917.63</v>
      </c>
      <c r="K810" t="s">
        <v>2030</v>
      </c>
    </row>
    <row r="811" spans="1:11" x14ac:dyDescent="0.3">
      <c r="A811" t="s">
        <v>818</v>
      </c>
      <c r="B811" s="33">
        <v>43250</v>
      </c>
      <c r="C811" s="34" t="s">
        <v>2432</v>
      </c>
      <c r="D811" s="34">
        <v>1</v>
      </c>
      <c r="E811" s="35" t="s">
        <v>2433</v>
      </c>
      <c r="F811" s="35" t="s">
        <v>44</v>
      </c>
      <c r="G811" s="106"/>
      <c r="H811" s="33">
        <v>43191</v>
      </c>
      <c r="I811" s="34" t="s">
        <v>2449</v>
      </c>
      <c r="J811" s="36">
        <v>1994.85</v>
      </c>
      <c r="K811" t="s">
        <v>2030</v>
      </c>
    </row>
    <row r="812" spans="1:11" x14ac:dyDescent="0.3">
      <c r="A812" t="s">
        <v>818</v>
      </c>
      <c r="B812" s="33">
        <v>43250</v>
      </c>
      <c r="C812" s="34" t="s">
        <v>2432</v>
      </c>
      <c r="D812" s="34">
        <v>1</v>
      </c>
      <c r="E812" s="35" t="s">
        <v>2433</v>
      </c>
      <c r="F812" s="35" t="s">
        <v>47</v>
      </c>
      <c r="G812" s="106"/>
      <c r="H812" s="33">
        <v>43191</v>
      </c>
      <c r="I812" s="34" t="s">
        <v>2450</v>
      </c>
      <c r="J812" s="36">
        <v>1750.32</v>
      </c>
      <c r="K812" t="s">
        <v>2030</v>
      </c>
    </row>
    <row r="813" spans="1:11" x14ac:dyDescent="0.3">
      <c r="A813" t="s">
        <v>818</v>
      </c>
      <c r="B813" s="33">
        <v>43250</v>
      </c>
      <c r="C813" s="34" t="s">
        <v>2432</v>
      </c>
      <c r="D813" s="34">
        <v>1</v>
      </c>
      <c r="E813" s="35" t="s">
        <v>2433</v>
      </c>
      <c r="F813" s="35" t="s">
        <v>48</v>
      </c>
      <c r="G813" s="106"/>
      <c r="H813" s="33">
        <v>43191</v>
      </c>
      <c r="I813" s="34" t="s">
        <v>2451</v>
      </c>
      <c r="J813" s="36">
        <v>1492.92</v>
      </c>
      <c r="K813" t="s">
        <v>2030</v>
      </c>
    </row>
    <row r="814" spans="1:11" x14ac:dyDescent="0.3">
      <c r="A814" t="s">
        <v>818</v>
      </c>
      <c r="B814" s="33">
        <v>43250</v>
      </c>
      <c r="C814" s="34" t="s">
        <v>2432</v>
      </c>
      <c r="D814" s="34">
        <v>1</v>
      </c>
      <c r="E814" s="35" t="s">
        <v>2433</v>
      </c>
      <c r="F814" s="35" t="s">
        <v>295</v>
      </c>
      <c r="G814" s="106"/>
      <c r="H814" s="33">
        <v>43191</v>
      </c>
      <c r="I814" s="34" t="s">
        <v>2452</v>
      </c>
      <c r="J814" s="36">
        <v>1576.58</v>
      </c>
      <c r="K814" t="s">
        <v>2030</v>
      </c>
    </row>
    <row r="815" spans="1:11" x14ac:dyDescent="0.3">
      <c r="A815" t="s">
        <v>818</v>
      </c>
      <c r="B815" s="33">
        <v>43250</v>
      </c>
      <c r="C815" s="34" t="s">
        <v>2432</v>
      </c>
      <c r="D815" s="34">
        <v>1</v>
      </c>
      <c r="E815" s="35" t="s">
        <v>2433</v>
      </c>
      <c r="F815" s="35" t="s">
        <v>52</v>
      </c>
      <c r="G815" s="106"/>
      <c r="H815" s="33">
        <v>43191</v>
      </c>
      <c r="I815" s="34" t="s">
        <v>2453</v>
      </c>
      <c r="J815" s="36">
        <v>643.5</v>
      </c>
      <c r="K815" t="s">
        <v>2030</v>
      </c>
    </row>
    <row r="816" spans="1:11" x14ac:dyDescent="0.3">
      <c r="A816" t="s">
        <v>818</v>
      </c>
      <c r="B816" s="33">
        <v>43250</v>
      </c>
      <c r="C816" s="34" t="s">
        <v>2432</v>
      </c>
      <c r="D816" s="34">
        <v>1</v>
      </c>
      <c r="E816" s="35" t="s">
        <v>2433</v>
      </c>
      <c r="F816" s="35" t="s">
        <v>50</v>
      </c>
      <c r="G816" s="106"/>
      <c r="H816" s="33">
        <v>43191</v>
      </c>
      <c r="I816" s="34" t="s">
        <v>2454</v>
      </c>
      <c r="J816" s="36">
        <v>1222.6500000000001</v>
      </c>
      <c r="K816" t="s">
        <v>2030</v>
      </c>
    </row>
    <row r="817" spans="1:11" x14ac:dyDescent="0.3">
      <c r="A817" t="s">
        <v>818</v>
      </c>
      <c r="B817" s="33">
        <v>43250</v>
      </c>
      <c r="C817" s="34" t="s">
        <v>2432</v>
      </c>
      <c r="D817" s="34">
        <v>1</v>
      </c>
      <c r="E817" s="35" t="s">
        <v>2455</v>
      </c>
      <c r="F817" s="35" t="s">
        <v>320</v>
      </c>
      <c r="G817" s="106"/>
      <c r="H817" s="33">
        <v>43220</v>
      </c>
      <c r="I817" s="34" t="s">
        <v>2456</v>
      </c>
      <c r="J817" s="36">
        <v>172.5</v>
      </c>
      <c r="K817" t="s">
        <v>2030</v>
      </c>
    </row>
    <row r="818" spans="1:11" x14ac:dyDescent="0.3">
      <c r="A818" t="s">
        <v>818</v>
      </c>
      <c r="B818" s="33">
        <v>43250</v>
      </c>
      <c r="C818" s="34" t="s">
        <v>2432</v>
      </c>
      <c r="D818" s="34">
        <v>1</v>
      </c>
      <c r="E818" s="35" t="s">
        <v>2455</v>
      </c>
      <c r="F818" s="35" t="s">
        <v>324</v>
      </c>
      <c r="G818" s="106"/>
      <c r="H818" s="33">
        <v>43220</v>
      </c>
      <c r="I818" s="34" t="s">
        <v>2457</v>
      </c>
      <c r="J818" s="36">
        <v>172.5</v>
      </c>
      <c r="K818" t="s">
        <v>2030</v>
      </c>
    </row>
    <row r="819" spans="1:11" x14ac:dyDescent="0.3">
      <c r="A819" t="s">
        <v>818</v>
      </c>
      <c r="B819" s="33">
        <v>43250</v>
      </c>
      <c r="C819" s="34" t="s">
        <v>2432</v>
      </c>
      <c r="D819" s="34">
        <v>1</v>
      </c>
      <c r="E819" s="35" t="s">
        <v>2455</v>
      </c>
      <c r="F819" s="35" t="s">
        <v>319</v>
      </c>
      <c r="G819" s="106"/>
      <c r="H819" s="33">
        <v>43220</v>
      </c>
      <c r="I819" s="34" t="s">
        <v>2458</v>
      </c>
      <c r="J819" s="36">
        <v>172.5</v>
      </c>
      <c r="K819" t="s">
        <v>2030</v>
      </c>
    </row>
    <row r="820" spans="1:11" x14ac:dyDescent="0.3">
      <c r="A820" t="s">
        <v>818</v>
      </c>
      <c r="B820" s="33">
        <v>43250</v>
      </c>
      <c r="C820" s="34" t="s">
        <v>2432</v>
      </c>
      <c r="D820" s="34">
        <v>1</v>
      </c>
      <c r="E820" s="35" t="s">
        <v>2455</v>
      </c>
      <c r="F820" s="35" t="s">
        <v>321</v>
      </c>
      <c r="G820" s="106"/>
      <c r="H820" s="33">
        <v>43220</v>
      </c>
      <c r="I820" s="34" t="s">
        <v>2459</v>
      </c>
      <c r="J820" s="36">
        <v>172.5</v>
      </c>
      <c r="K820" t="s">
        <v>2030</v>
      </c>
    </row>
    <row r="821" spans="1:11" x14ac:dyDescent="0.3">
      <c r="A821" t="s">
        <v>818</v>
      </c>
      <c r="B821" s="33">
        <v>43250</v>
      </c>
      <c r="C821" s="34" t="s">
        <v>2432</v>
      </c>
      <c r="D821" s="34">
        <v>1</v>
      </c>
      <c r="E821" s="35" t="s">
        <v>2455</v>
      </c>
      <c r="F821" s="35" t="s">
        <v>327</v>
      </c>
      <c r="G821" s="106"/>
      <c r="H821" s="33">
        <v>43220</v>
      </c>
      <c r="I821" s="34" t="s">
        <v>2460</v>
      </c>
      <c r="J821" s="36">
        <v>172.5</v>
      </c>
      <c r="K821" t="s">
        <v>2030</v>
      </c>
    </row>
    <row r="822" spans="1:11" x14ac:dyDescent="0.3">
      <c r="A822" t="s">
        <v>818</v>
      </c>
      <c r="B822" s="33">
        <v>43250</v>
      </c>
      <c r="C822" s="34" t="s">
        <v>2432</v>
      </c>
      <c r="D822" s="34">
        <v>1</v>
      </c>
      <c r="E822" s="35" t="s">
        <v>2455</v>
      </c>
      <c r="F822" s="35" t="s">
        <v>330</v>
      </c>
      <c r="G822" s="106"/>
      <c r="H822" s="33">
        <v>43220</v>
      </c>
      <c r="I822" s="34" t="s">
        <v>2461</v>
      </c>
      <c r="J822" s="36">
        <v>172.5</v>
      </c>
      <c r="K822" t="s">
        <v>2030</v>
      </c>
    </row>
    <row r="823" spans="1:11" x14ac:dyDescent="0.3">
      <c r="A823" t="s">
        <v>818</v>
      </c>
      <c r="B823" s="33">
        <v>43250</v>
      </c>
      <c r="C823" s="34" t="s">
        <v>2432</v>
      </c>
      <c r="D823" s="34">
        <v>1</v>
      </c>
      <c r="E823" s="35" t="s">
        <v>2455</v>
      </c>
      <c r="F823" s="35" t="s">
        <v>328</v>
      </c>
      <c r="G823" s="106"/>
      <c r="H823" s="33">
        <v>43220</v>
      </c>
      <c r="I823" s="34" t="s">
        <v>2462</v>
      </c>
      <c r="J823" s="36">
        <v>172.5</v>
      </c>
      <c r="K823" t="s">
        <v>2030</v>
      </c>
    </row>
    <row r="824" spans="1:11" x14ac:dyDescent="0.3">
      <c r="A824" t="s">
        <v>818</v>
      </c>
      <c r="B824" s="33">
        <v>43250</v>
      </c>
      <c r="C824" s="34" t="s">
        <v>2432</v>
      </c>
      <c r="D824" s="34">
        <v>1</v>
      </c>
      <c r="E824" s="35" t="s">
        <v>2455</v>
      </c>
      <c r="F824" s="35" t="s">
        <v>329</v>
      </c>
      <c r="G824" s="106"/>
      <c r="H824" s="33">
        <v>43220</v>
      </c>
      <c r="I824" s="34" t="s">
        <v>2463</v>
      </c>
      <c r="J824" s="36">
        <v>172.5</v>
      </c>
      <c r="K824" t="s">
        <v>2030</v>
      </c>
    </row>
    <row r="825" spans="1:11" x14ac:dyDescent="0.3">
      <c r="A825" t="s">
        <v>818</v>
      </c>
      <c r="B825" s="33">
        <v>43250</v>
      </c>
      <c r="C825" s="34" t="s">
        <v>2432</v>
      </c>
      <c r="D825" s="34">
        <v>1</v>
      </c>
      <c r="E825" s="35" t="s">
        <v>2455</v>
      </c>
      <c r="F825" s="35" t="s">
        <v>325</v>
      </c>
      <c r="G825" s="106"/>
      <c r="H825" s="33">
        <v>43220</v>
      </c>
      <c r="I825" s="34" t="s">
        <v>2464</v>
      </c>
      <c r="J825" s="36">
        <v>172.5</v>
      </c>
      <c r="K825" t="s">
        <v>2030</v>
      </c>
    </row>
    <row r="826" spans="1:11" x14ac:dyDescent="0.3">
      <c r="A826" t="s">
        <v>818</v>
      </c>
      <c r="B826" s="33">
        <v>43250</v>
      </c>
      <c r="C826" s="34" t="s">
        <v>2432</v>
      </c>
      <c r="D826" s="34">
        <v>1</v>
      </c>
      <c r="E826" s="35" t="s">
        <v>2455</v>
      </c>
      <c r="F826" s="35" t="s">
        <v>332</v>
      </c>
      <c r="G826" s="106"/>
      <c r="H826" s="33">
        <v>43220</v>
      </c>
      <c r="I826" s="34" t="s">
        <v>2465</v>
      </c>
      <c r="J826" s="36">
        <v>172.5</v>
      </c>
      <c r="K826" t="s">
        <v>2030</v>
      </c>
    </row>
    <row r="827" spans="1:11" x14ac:dyDescent="0.3">
      <c r="A827" t="s">
        <v>818</v>
      </c>
      <c r="B827" s="33">
        <v>43250</v>
      </c>
      <c r="C827" s="34" t="s">
        <v>2432</v>
      </c>
      <c r="D827" s="34">
        <v>1</v>
      </c>
      <c r="E827" s="35" t="s">
        <v>2455</v>
      </c>
      <c r="F827" s="35" t="s">
        <v>333</v>
      </c>
      <c r="G827" s="106"/>
      <c r="H827" s="33">
        <v>43220</v>
      </c>
      <c r="I827" s="34" t="s">
        <v>2466</v>
      </c>
      <c r="J827" s="36">
        <v>172.5</v>
      </c>
      <c r="K827" t="s">
        <v>2030</v>
      </c>
    </row>
    <row r="828" spans="1:11" x14ac:dyDescent="0.3">
      <c r="A828" t="s">
        <v>818</v>
      </c>
      <c r="B828" s="33">
        <v>43250</v>
      </c>
      <c r="C828" s="34" t="s">
        <v>2432</v>
      </c>
      <c r="D828" s="34">
        <v>1</v>
      </c>
      <c r="E828" s="35" t="s">
        <v>2455</v>
      </c>
      <c r="F828" s="35" t="s">
        <v>322</v>
      </c>
      <c r="G828" s="106"/>
      <c r="H828" s="33">
        <v>43220</v>
      </c>
      <c r="I828" s="34" t="s">
        <v>2467</v>
      </c>
      <c r="J828" s="36">
        <v>172.5</v>
      </c>
      <c r="K828" t="s">
        <v>2030</v>
      </c>
    </row>
    <row r="829" spans="1:11" x14ac:dyDescent="0.3">
      <c r="A829" t="s">
        <v>818</v>
      </c>
      <c r="B829" s="33">
        <v>43250</v>
      </c>
      <c r="C829" s="34" t="s">
        <v>2432</v>
      </c>
      <c r="D829" s="34">
        <v>1</v>
      </c>
      <c r="E829" s="35" t="s">
        <v>2455</v>
      </c>
      <c r="F829" s="35" t="s">
        <v>323</v>
      </c>
      <c r="G829" s="106"/>
      <c r="H829" s="33">
        <v>43220</v>
      </c>
      <c r="I829" s="34" t="s">
        <v>2468</v>
      </c>
      <c r="J829" s="36">
        <v>172.5</v>
      </c>
      <c r="K829" t="s">
        <v>2030</v>
      </c>
    </row>
    <row r="830" spans="1:11" x14ac:dyDescent="0.3">
      <c r="A830" t="s">
        <v>818</v>
      </c>
      <c r="B830" s="33">
        <v>43250</v>
      </c>
      <c r="C830" s="34" t="s">
        <v>2432</v>
      </c>
      <c r="D830" s="34">
        <v>1</v>
      </c>
      <c r="E830" s="35" t="s">
        <v>2455</v>
      </c>
      <c r="F830" s="35" t="s">
        <v>339</v>
      </c>
      <c r="G830" s="106"/>
      <c r="H830" s="33">
        <v>43220</v>
      </c>
      <c r="I830" s="34" t="s">
        <v>2469</v>
      </c>
      <c r="J830" s="36">
        <v>172.5</v>
      </c>
      <c r="K830" t="s">
        <v>2030</v>
      </c>
    </row>
    <row r="831" spans="1:11" x14ac:dyDescent="0.3">
      <c r="A831" t="s">
        <v>818</v>
      </c>
      <c r="B831" s="33">
        <v>43250</v>
      </c>
      <c r="C831" s="34" t="s">
        <v>2432</v>
      </c>
      <c r="D831" s="34">
        <v>1</v>
      </c>
      <c r="E831" s="35" t="s">
        <v>2455</v>
      </c>
      <c r="F831" s="35" t="s">
        <v>340</v>
      </c>
      <c r="G831" s="106"/>
      <c r="H831" s="33">
        <v>43220</v>
      </c>
      <c r="I831" s="34" t="s">
        <v>2470</v>
      </c>
      <c r="J831" s="36">
        <v>172.5</v>
      </c>
      <c r="K831" t="s">
        <v>2030</v>
      </c>
    </row>
    <row r="832" spans="1:11" x14ac:dyDescent="0.3">
      <c r="A832" t="s">
        <v>818</v>
      </c>
      <c r="B832" s="33">
        <v>43250</v>
      </c>
      <c r="C832" s="34" t="s">
        <v>2432</v>
      </c>
      <c r="D832" s="34">
        <v>1</v>
      </c>
      <c r="E832" s="35" t="s">
        <v>2455</v>
      </c>
      <c r="F832" s="35" t="s">
        <v>12</v>
      </c>
      <c r="G832" s="106"/>
      <c r="H832" s="33">
        <v>43220</v>
      </c>
      <c r="I832" s="34" t="s">
        <v>2471</v>
      </c>
      <c r="J832" s="36">
        <v>225</v>
      </c>
      <c r="K832" t="s">
        <v>2030</v>
      </c>
    </row>
    <row r="833" spans="1:11" x14ac:dyDescent="0.3">
      <c r="A833" t="s">
        <v>818</v>
      </c>
      <c r="B833" s="33">
        <v>43250</v>
      </c>
      <c r="C833" s="34" t="s">
        <v>2432</v>
      </c>
      <c r="D833" s="34">
        <v>1</v>
      </c>
      <c r="E833" s="35" t="s">
        <v>2455</v>
      </c>
      <c r="F833" s="35" t="s">
        <v>334</v>
      </c>
      <c r="G833" s="106"/>
      <c r="H833" s="33">
        <v>43220</v>
      </c>
      <c r="I833" s="34" t="s">
        <v>2472</v>
      </c>
      <c r="J833" s="36">
        <v>172.5</v>
      </c>
      <c r="K833" t="s">
        <v>2030</v>
      </c>
    </row>
    <row r="834" spans="1:11" x14ac:dyDescent="0.3">
      <c r="A834" t="s">
        <v>818</v>
      </c>
      <c r="B834" s="33">
        <v>43250</v>
      </c>
      <c r="C834" s="34" t="s">
        <v>2432</v>
      </c>
      <c r="D834" s="34">
        <v>1</v>
      </c>
      <c r="E834" s="35" t="s">
        <v>2455</v>
      </c>
      <c r="F834" s="35" t="s">
        <v>335</v>
      </c>
      <c r="G834" s="106"/>
      <c r="H834" s="33">
        <v>43220</v>
      </c>
      <c r="I834" s="34" t="s">
        <v>2473</v>
      </c>
      <c r="J834" s="36">
        <v>172.5</v>
      </c>
      <c r="K834" t="s">
        <v>2030</v>
      </c>
    </row>
    <row r="835" spans="1:11" x14ac:dyDescent="0.3">
      <c r="A835" t="s">
        <v>818</v>
      </c>
      <c r="B835" s="33">
        <v>43250</v>
      </c>
      <c r="C835" s="34" t="s">
        <v>2432</v>
      </c>
      <c r="D835" s="34">
        <v>1</v>
      </c>
      <c r="E835" s="35" t="s">
        <v>2455</v>
      </c>
      <c r="F835" s="35" t="s">
        <v>337</v>
      </c>
      <c r="G835" s="106"/>
      <c r="H835" s="33">
        <v>43220</v>
      </c>
      <c r="I835" s="34" t="s">
        <v>2474</v>
      </c>
      <c r="J835" s="36">
        <v>172.5</v>
      </c>
      <c r="K835" t="s">
        <v>2030</v>
      </c>
    </row>
    <row r="836" spans="1:11" x14ac:dyDescent="0.3">
      <c r="A836" t="s">
        <v>818</v>
      </c>
      <c r="B836" s="33">
        <v>43250</v>
      </c>
      <c r="C836" s="34" t="s">
        <v>2432</v>
      </c>
      <c r="D836" s="34">
        <v>1</v>
      </c>
      <c r="E836" s="35" t="s">
        <v>2455</v>
      </c>
      <c r="F836" s="35" t="s">
        <v>336</v>
      </c>
      <c r="G836" s="106"/>
      <c r="H836" s="33">
        <v>43220</v>
      </c>
      <c r="I836" s="34" t="s">
        <v>2475</v>
      </c>
      <c r="J836" s="36">
        <v>172.5</v>
      </c>
      <c r="K836" t="s">
        <v>2030</v>
      </c>
    </row>
    <row r="837" spans="1:11" x14ac:dyDescent="0.3">
      <c r="A837" t="s">
        <v>818</v>
      </c>
      <c r="B837" s="33">
        <v>43250</v>
      </c>
      <c r="C837" s="34" t="s">
        <v>2432</v>
      </c>
      <c r="D837" s="34">
        <v>1</v>
      </c>
      <c r="E837" s="35" t="s">
        <v>2455</v>
      </c>
      <c r="F837" s="35" t="s">
        <v>331</v>
      </c>
      <c r="G837" s="106"/>
      <c r="H837" s="33">
        <v>43220</v>
      </c>
      <c r="I837" s="34" t="s">
        <v>2476</v>
      </c>
      <c r="J837" s="36">
        <v>172.5</v>
      </c>
      <c r="K837" t="s">
        <v>2030</v>
      </c>
    </row>
    <row r="838" spans="1:11" x14ac:dyDescent="0.3">
      <c r="A838" t="s">
        <v>818</v>
      </c>
      <c r="B838" s="33">
        <v>43250</v>
      </c>
      <c r="C838" s="34" t="s">
        <v>2432</v>
      </c>
      <c r="D838" s="34">
        <v>1</v>
      </c>
      <c r="E838" s="35" t="s">
        <v>2455</v>
      </c>
      <c r="F838" s="35" t="s">
        <v>341</v>
      </c>
      <c r="G838" s="106"/>
      <c r="H838" s="33">
        <v>43220</v>
      </c>
      <c r="I838" s="34" t="s">
        <v>2477</v>
      </c>
      <c r="J838" s="36">
        <v>172.5</v>
      </c>
      <c r="K838" t="s">
        <v>2030</v>
      </c>
    </row>
    <row r="839" spans="1:11" x14ac:dyDescent="0.3">
      <c r="A839" t="s">
        <v>818</v>
      </c>
      <c r="B839" s="33">
        <v>43250</v>
      </c>
      <c r="C839" s="34" t="s">
        <v>2432</v>
      </c>
      <c r="D839" s="34">
        <v>1</v>
      </c>
      <c r="E839" s="35" t="s">
        <v>2455</v>
      </c>
      <c r="F839" s="35" t="s">
        <v>342</v>
      </c>
      <c r="G839" s="106"/>
      <c r="H839" s="33">
        <v>43220</v>
      </c>
      <c r="I839" s="34" t="s">
        <v>2478</v>
      </c>
      <c r="J839" s="36">
        <v>172.5</v>
      </c>
      <c r="K839" t="s">
        <v>2030</v>
      </c>
    </row>
    <row r="840" spans="1:11" x14ac:dyDescent="0.3">
      <c r="A840" t="s">
        <v>818</v>
      </c>
      <c r="B840" s="33">
        <v>43250</v>
      </c>
      <c r="C840" s="34" t="s">
        <v>2432</v>
      </c>
      <c r="D840" s="34">
        <v>1</v>
      </c>
      <c r="E840" s="35" t="s">
        <v>2455</v>
      </c>
      <c r="F840" s="35" t="s">
        <v>338</v>
      </c>
      <c r="G840" s="106"/>
      <c r="H840" s="33">
        <v>43220</v>
      </c>
      <c r="I840" s="34" t="s">
        <v>2479</v>
      </c>
      <c r="J840" s="36">
        <v>172.5</v>
      </c>
      <c r="K840" t="s">
        <v>2030</v>
      </c>
    </row>
    <row r="841" spans="1:11" x14ac:dyDescent="0.3">
      <c r="A841" t="s">
        <v>818</v>
      </c>
      <c r="B841" s="33">
        <v>43250</v>
      </c>
      <c r="C841" s="34" t="s">
        <v>2432</v>
      </c>
      <c r="D841" s="34">
        <v>1</v>
      </c>
      <c r="E841" s="35" t="s">
        <v>2455</v>
      </c>
      <c r="F841" s="35" t="s">
        <v>18</v>
      </c>
      <c r="G841" s="106"/>
      <c r="H841" s="33">
        <v>43220</v>
      </c>
      <c r="I841" s="34" t="s">
        <v>2480</v>
      </c>
      <c r="J841" s="36">
        <v>172.5</v>
      </c>
      <c r="K841" t="s">
        <v>2030</v>
      </c>
    </row>
    <row r="842" spans="1:11" x14ac:dyDescent="0.3">
      <c r="A842" t="s">
        <v>818</v>
      </c>
      <c r="B842" s="33">
        <v>43250</v>
      </c>
      <c r="C842" s="34" t="s">
        <v>2432</v>
      </c>
      <c r="D842" s="34">
        <v>1</v>
      </c>
      <c r="E842" s="35" t="s">
        <v>2455</v>
      </c>
      <c r="F842" s="35" t="s">
        <v>16</v>
      </c>
      <c r="G842" s="106"/>
      <c r="H842" s="33">
        <v>43220</v>
      </c>
      <c r="I842" s="34" t="s">
        <v>2481</v>
      </c>
      <c r="J842" s="36">
        <v>172.5</v>
      </c>
      <c r="K842" t="s">
        <v>2030</v>
      </c>
    </row>
    <row r="843" spans="1:11" x14ac:dyDescent="0.3">
      <c r="A843" t="s">
        <v>818</v>
      </c>
      <c r="B843" s="33">
        <v>43250</v>
      </c>
      <c r="C843" s="34" t="s">
        <v>2432</v>
      </c>
      <c r="D843" s="34">
        <v>1</v>
      </c>
      <c r="E843" s="35" t="s">
        <v>2455</v>
      </c>
      <c r="F843" s="35" t="s">
        <v>14</v>
      </c>
      <c r="G843" s="106"/>
      <c r="H843" s="33">
        <v>43220</v>
      </c>
      <c r="I843" s="34" t="s">
        <v>2482</v>
      </c>
      <c r="J843" s="36">
        <v>225</v>
      </c>
      <c r="K843" t="s">
        <v>2030</v>
      </c>
    </row>
    <row r="844" spans="1:11" x14ac:dyDescent="0.3">
      <c r="A844" t="s">
        <v>818</v>
      </c>
      <c r="B844" s="33">
        <v>43250</v>
      </c>
      <c r="C844" s="34" t="s">
        <v>2432</v>
      </c>
      <c r="D844" s="34">
        <v>1</v>
      </c>
      <c r="E844" s="35" t="s">
        <v>2455</v>
      </c>
      <c r="F844" s="35" t="s">
        <v>344</v>
      </c>
      <c r="G844" s="106"/>
      <c r="H844" s="33">
        <v>43220</v>
      </c>
      <c r="I844" s="34" t="s">
        <v>2483</v>
      </c>
      <c r="J844" s="36">
        <v>172.5</v>
      </c>
      <c r="K844" t="s">
        <v>2030</v>
      </c>
    </row>
    <row r="845" spans="1:11" x14ac:dyDescent="0.3">
      <c r="A845" t="s">
        <v>818</v>
      </c>
      <c r="B845" s="33">
        <v>43250</v>
      </c>
      <c r="C845" s="34" t="s">
        <v>2432</v>
      </c>
      <c r="D845" s="34">
        <v>1</v>
      </c>
      <c r="E845" s="35" t="s">
        <v>2455</v>
      </c>
      <c r="F845" s="35" t="s">
        <v>20</v>
      </c>
      <c r="G845" s="106"/>
      <c r="H845" s="33">
        <v>43220</v>
      </c>
      <c r="I845" s="34" t="s">
        <v>2484</v>
      </c>
      <c r="J845" s="36">
        <v>172.5</v>
      </c>
      <c r="K845" t="s">
        <v>2030</v>
      </c>
    </row>
    <row r="846" spans="1:11" x14ac:dyDescent="0.3">
      <c r="A846" t="s">
        <v>818</v>
      </c>
      <c r="B846" s="33">
        <v>43250</v>
      </c>
      <c r="C846" s="34" t="s">
        <v>2432</v>
      </c>
      <c r="D846" s="34">
        <v>1</v>
      </c>
      <c r="E846" s="35" t="s">
        <v>2455</v>
      </c>
      <c r="F846" s="35" t="s">
        <v>17</v>
      </c>
      <c r="G846" s="106"/>
      <c r="H846" s="33">
        <v>43220</v>
      </c>
      <c r="I846" s="34" t="s">
        <v>2485</v>
      </c>
      <c r="J846" s="36">
        <v>172.5</v>
      </c>
      <c r="K846" t="s">
        <v>2030</v>
      </c>
    </row>
    <row r="847" spans="1:11" x14ac:dyDescent="0.3">
      <c r="A847" t="s">
        <v>818</v>
      </c>
      <c r="B847" s="33">
        <v>43250</v>
      </c>
      <c r="C847" s="34" t="s">
        <v>2432</v>
      </c>
      <c r="D847" s="34">
        <v>1</v>
      </c>
      <c r="E847" s="35" t="s">
        <v>2455</v>
      </c>
      <c r="F847" s="35" t="s">
        <v>141</v>
      </c>
      <c r="G847" s="106"/>
      <c r="H847" s="33">
        <v>43220</v>
      </c>
      <c r="I847" s="34" t="s">
        <v>2486</v>
      </c>
      <c r="J847" s="36">
        <v>172.5</v>
      </c>
      <c r="K847" t="s">
        <v>2030</v>
      </c>
    </row>
    <row r="848" spans="1:11" x14ac:dyDescent="0.3">
      <c r="A848" t="s">
        <v>818</v>
      </c>
      <c r="B848" s="33">
        <v>43250</v>
      </c>
      <c r="C848" s="34" t="s">
        <v>2432</v>
      </c>
      <c r="D848" s="34">
        <v>1</v>
      </c>
      <c r="E848" s="35" t="s">
        <v>2455</v>
      </c>
      <c r="F848" s="35" t="s">
        <v>142</v>
      </c>
      <c r="G848" s="106"/>
      <c r="H848" s="33">
        <v>43220</v>
      </c>
      <c r="I848" s="34" t="s">
        <v>2487</v>
      </c>
      <c r="J848" s="36">
        <v>270</v>
      </c>
      <c r="K848" t="s">
        <v>2030</v>
      </c>
    </row>
    <row r="849" spans="1:11" x14ac:dyDescent="0.3">
      <c r="A849" t="s">
        <v>818</v>
      </c>
      <c r="B849" s="33">
        <v>43250</v>
      </c>
      <c r="C849" s="34" t="s">
        <v>2432</v>
      </c>
      <c r="D849" s="34">
        <v>1</v>
      </c>
      <c r="E849" s="35" t="s">
        <v>2455</v>
      </c>
      <c r="F849" s="35" t="s">
        <v>148</v>
      </c>
      <c r="G849" s="106"/>
      <c r="H849" s="33">
        <v>43220</v>
      </c>
      <c r="I849" s="34" t="s">
        <v>2488</v>
      </c>
      <c r="J849" s="36">
        <v>172.5</v>
      </c>
      <c r="K849" t="s">
        <v>2030</v>
      </c>
    </row>
    <row r="850" spans="1:11" x14ac:dyDescent="0.3">
      <c r="A850" t="s">
        <v>818</v>
      </c>
      <c r="B850" s="33">
        <v>43250</v>
      </c>
      <c r="C850" s="34" t="s">
        <v>2432</v>
      </c>
      <c r="D850" s="34">
        <v>1</v>
      </c>
      <c r="E850" s="35" t="s">
        <v>2455</v>
      </c>
      <c r="F850" s="35" t="s">
        <v>145</v>
      </c>
      <c r="G850" s="106"/>
      <c r="H850" s="33">
        <v>43220</v>
      </c>
      <c r="I850" s="34" t="s">
        <v>2489</v>
      </c>
      <c r="J850" s="36">
        <v>270</v>
      </c>
      <c r="K850" t="s">
        <v>2030</v>
      </c>
    </row>
    <row r="851" spans="1:11" x14ac:dyDescent="0.3">
      <c r="A851" t="s">
        <v>818</v>
      </c>
      <c r="B851" s="33">
        <v>43250</v>
      </c>
      <c r="C851" s="34" t="s">
        <v>2432</v>
      </c>
      <c r="D851" s="34">
        <v>1</v>
      </c>
      <c r="E851" s="35" t="s">
        <v>2455</v>
      </c>
      <c r="F851" s="35" t="s">
        <v>151</v>
      </c>
      <c r="G851" s="106"/>
      <c r="H851" s="33">
        <v>43220</v>
      </c>
      <c r="I851" s="34" t="s">
        <v>2490</v>
      </c>
      <c r="J851" s="36">
        <v>480</v>
      </c>
      <c r="K851" t="s">
        <v>2030</v>
      </c>
    </row>
    <row r="852" spans="1:11" x14ac:dyDescent="0.3">
      <c r="A852" t="s">
        <v>818</v>
      </c>
      <c r="B852" s="33">
        <v>43250</v>
      </c>
      <c r="C852" s="34" t="s">
        <v>2432</v>
      </c>
      <c r="D852" s="34">
        <v>1</v>
      </c>
      <c r="E852" s="35" t="s">
        <v>2455</v>
      </c>
      <c r="F852" s="35" t="s">
        <v>150</v>
      </c>
      <c r="G852" s="106"/>
      <c r="H852" s="33">
        <v>43220</v>
      </c>
      <c r="I852" s="34" t="s">
        <v>2491</v>
      </c>
      <c r="J852" s="36">
        <v>480</v>
      </c>
      <c r="K852" t="s">
        <v>2030</v>
      </c>
    </row>
    <row r="853" spans="1:11" x14ac:dyDescent="0.3">
      <c r="A853" t="s">
        <v>818</v>
      </c>
      <c r="B853" s="33">
        <v>43250</v>
      </c>
      <c r="C853" s="34" t="s">
        <v>2432</v>
      </c>
      <c r="D853" s="34">
        <v>1</v>
      </c>
      <c r="E853" s="35" t="s">
        <v>2455</v>
      </c>
      <c r="F853" s="35" t="s">
        <v>152</v>
      </c>
      <c r="G853" s="106"/>
      <c r="H853" s="33">
        <v>43220</v>
      </c>
      <c r="I853" s="34" t="s">
        <v>2492</v>
      </c>
      <c r="J853" s="36">
        <v>480</v>
      </c>
      <c r="K853" t="s">
        <v>2030</v>
      </c>
    </row>
    <row r="854" spans="1:11" x14ac:dyDescent="0.3">
      <c r="A854" t="s">
        <v>818</v>
      </c>
      <c r="B854" s="33">
        <v>43250</v>
      </c>
      <c r="C854" s="34" t="s">
        <v>2432</v>
      </c>
      <c r="D854" s="34">
        <v>1</v>
      </c>
      <c r="E854" s="35" t="s">
        <v>2455</v>
      </c>
      <c r="F854" s="35" t="s">
        <v>305</v>
      </c>
      <c r="G854" s="106"/>
      <c r="H854" s="33">
        <v>43220</v>
      </c>
      <c r="I854" s="34" t="s">
        <v>2493</v>
      </c>
      <c r="J854" s="36">
        <v>225</v>
      </c>
      <c r="K854" t="s">
        <v>2030</v>
      </c>
    </row>
    <row r="855" spans="1:11" x14ac:dyDescent="0.3">
      <c r="A855" t="s">
        <v>818</v>
      </c>
      <c r="B855" s="33">
        <v>43250</v>
      </c>
      <c r="C855" s="34" t="s">
        <v>2432</v>
      </c>
      <c r="D855" s="34">
        <v>1</v>
      </c>
      <c r="E855" s="35" t="s">
        <v>2455</v>
      </c>
      <c r="F855" s="35" t="s">
        <v>298</v>
      </c>
      <c r="G855" s="106"/>
      <c r="H855" s="33">
        <v>43220</v>
      </c>
      <c r="I855" s="34" t="s">
        <v>2494</v>
      </c>
      <c r="J855" s="36">
        <v>172.5</v>
      </c>
      <c r="K855" t="s">
        <v>2030</v>
      </c>
    </row>
    <row r="856" spans="1:11" x14ac:dyDescent="0.3">
      <c r="A856" t="s">
        <v>818</v>
      </c>
      <c r="B856" s="33">
        <v>43250</v>
      </c>
      <c r="C856" s="34" t="s">
        <v>2432</v>
      </c>
      <c r="D856" s="34">
        <v>1</v>
      </c>
      <c r="E856" s="35" t="s">
        <v>2455</v>
      </c>
      <c r="F856" s="35" t="s">
        <v>307</v>
      </c>
      <c r="G856" s="106"/>
      <c r="H856" s="33">
        <v>43220</v>
      </c>
      <c r="I856" s="34" t="s">
        <v>2495</v>
      </c>
      <c r="J856" s="36">
        <v>225</v>
      </c>
      <c r="K856" t="s">
        <v>2030</v>
      </c>
    </row>
    <row r="857" spans="1:11" x14ac:dyDescent="0.3">
      <c r="A857" t="s">
        <v>818</v>
      </c>
      <c r="B857" s="33">
        <v>43250</v>
      </c>
      <c r="C857" s="34" t="s">
        <v>2432</v>
      </c>
      <c r="D857" s="34">
        <v>1</v>
      </c>
      <c r="E857" s="35" t="s">
        <v>2455</v>
      </c>
      <c r="F857" s="35" t="s">
        <v>300</v>
      </c>
      <c r="G857" s="106"/>
      <c r="H857" s="33">
        <v>43220</v>
      </c>
      <c r="I857" s="34" t="s">
        <v>2496</v>
      </c>
      <c r="J857" s="36">
        <v>172.5</v>
      </c>
      <c r="K857" t="s">
        <v>2030</v>
      </c>
    </row>
    <row r="858" spans="1:11" x14ac:dyDescent="0.3">
      <c r="A858" t="s">
        <v>818</v>
      </c>
      <c r="B858" s="33">
        <v>43250</v>
      </c>
      <c r="C858" s="34" t="s">
        <v>2432</v>
      </c>
      <c r="D858" s="34">
        <v>1</v>
      </c>
      <c r="E858" s="35" t="s">
        <v>2455</v>
      </c>
      <c r="F858" s="35" t="s">
        <v>304</v>
      </c>
      <c r="G858" s="106"/>
      <c r="H858" s="33">
        <v>43220</v>
      </c>
      <c r="I858" s="34" t="s">
        <v>2497</v>
      </c>
      <c r="J858" s="36">
        <v>225</v>
      </c>
      <c r="K858" t="s">
        <v>2030</v>
      </c>
    </row>
    <row r="859" spans="1:11" x14ac:dyDescent="0.3">
      <c r="A859" t="s">
        <v>818</v>
      </c>
      <c r="B859" s="33">
        <v>43250</v>
      </c>
      <c r="C859" s="34" t="s">
        <v>2432</v>
      </c>
      <c r="D859" s="34">
        <v>1</v>
      </c>
      <c r="E859" s="35" t="s">
        <v>2455</v>
      </c>
      <c r="F859" s="35" t="s">
        <v>303</v>
      </c>
      <c r="G859" s="106"/>
      <c r="H859" s="33">
        <v>43220</v>
      </c>
      <c r="I859" s="34" t="s">
        <v>2498</v>
      </c>
      <c r="J859" s="36">
        <v>172.5</v>
      </c>
      <c r="K859" t="s">
        <v>2030</v>
      </c>
    </row>
    <row r="860" spans="1:11" x14ac:dyDescent="0.3">
      <c r="A860" t="s">
        <v>818</v>
      </c>
      <c r="B860" s="33">
        <v>43250</v>
      </c>
      <c r="C860" s="34" t="s">
        <v>2432</v>
      </c>
      <c r="D860" s="34">
        <v>1</v>
      </c>
      <c r="E860" s="35" t="s">
        <v>2455</v>
      </c>
      <c r="F860" s="35" t="s">
        <v>306</v>
      </c>
      <c r="G860" s="106"/>
      <c r="H860" s="33">
        <v>43220</v>
      </c>
      <c r="I860" s="34" t="s">
        <v>2499</v>
      </c>
      <c r="J860" s="36">
        <v>225</v>
      </c>
      <c r="K860" t="s">
        <v>2030</v>
      </c>
    </row>
    <row r="861" spans="1:11" x14ac:dyDescent="0.3">
      <c r="A861" t="s">
        <v>818</v>
      </c>
      <c r="B861" s="33">
        <v>43250</v>
      </c>
      <c r="C861" s="34" t="s">
        <v>2432</v>
      </c>
      <c r="D861" s="34">
        <v>1</v>
      </c>
      <c r="E861" s="35" t="s">
        <v>2455</v>
      </c>
      <c r="F861" s="35" t="s">
        <v>309</v>
      </c>
      <c r="G861" s="106"/>
      <c r="H861" s="33">
        <v>43220</v>
      </c>
      <c r="I861" s="34" t="s">
        <v>2500</v>
      </c>
      <c r="J861" s="36">
        <v>225</v>
      </c>
      <c r="K861" t="s">
        <v>2030</v>
      </c>
    </row>
    <row r="862" spans="1:11" x14ac:dyDescent="0.3">
      <c r="A862" t="s">
        <v>818</v>
      </c>
      <c r="B862" s="33">
        <v>43250</v>
      </c>
      <c r="C862" s="34" t="s">
        <v>2432</v>
      </c>
      <c r="D862" s="34">
        <v>1</v>
      </c>
      <c r="E862" s="35" t="s">
        <v>2455</v>
      </c>
      <c r="F862" s="35" t="s">
        <v>296</v>
      </c>
      <c r="G862" s="106"/>
      <c r="H862" s="33">
        <v>43220</v>
      </c>
      <c r="I862" s="34" t="s">
        <v>2501</v>
      </c>
      <c r="J862" s="36">
        <v>480</v>
      </c>
      <c r="K862" t="s">
        <v>2030</v>
      </c>
    </row>
    <row r="863" spans="1:11" x14ac:dyDescent="0.3">
      <c r="A863" t="s">
        <v>818</v>
      </c>
      <c r="B863" s="33">
        <v>43250</v>
      </c>
      <c r="C863" s="34" t="s">
        <v>2432</v>
      </c>
      <c r="D863" s="34">
        <v>1</v>
      </c>
      <c r="E863" s="35" t="s">
        <v>2455</v>
      </c>
      <c r="F863" s="35" t="s">
        <v>297</v>
      </c>
      <c r="G863" s="106"/>
      <c r="H863" s="33">
        <v>43220</v>
      </c>
      <c r="I863" s="34" t="s">
        <v>2502</v>
      </c>
      <c r="J863" s="36">
        <v>172.5</v>
      </c>
      <c r="K863" t="s">
        <v>2030</v>
      </c>
    </row>
    <row r="864" spans="1:11" x14ac:dyDescent="0.3">
      <c r="A864" t="s">
        <v>818</v>
      </c>
      <c r="B864" s="33">
        <v>43250</v>
      </c>
      <c r="C864" s="34" t="s">
        <v>2432</v>
      </c>
      <c r="D864" s="34">
        <v>1</v>
      </c>
      <c r="E864" s="35" t="s">
        <v>2455</v>
      </c>
      <c r="F864" s="35" t="s">
        <v>299</v>
      </c>
      <c r="G864" s="106"/>
      <c r="H864" s="33">
        <v>43220</v>
      </c>
      <c r="I864" s="34" t="s">
        <v>2503</v>
      </c>
      <c r="J864" s="36">
        <v>172.5</v>
      </c>
      <c r="K864" t="s">
        <v>2030</v>
      </c>
    </row>
    <row r="865" spans="1:11" x14ac:dyDescent="0.3">
      <c r="A865" t="s">
        <v>818</v>
      </c>
      <c r="B865" s="33">
        <v>43250</v>
      </c>
      <c r="C865" s="34" t="s">
        <v>2432</v>
      </c>
      <c r="D865" s="34">
        <v>1</v>
      </c>
      <c r="E865" s="35" t="s">
        <v>2455</v>
      </c>
      <c r="F865" s="35" t="s">
        <v>308</v>
      </c>
      <c r="G865" s="106"/>
      <c r="H865" s="33">
        <v>43220</v>
      </c>
      <c r="I865" s="34" t="s">
        <v>2504</v>
      </c>
      <c r="J865" s="36">
        <v>225</v>
      </c>
      <c r="K865" t="s">
        <v>2030</v>
      </c>
    </row>
    <row r="866" spans="1:11" x14ac:dyDescent="0.3">
      <c r="A866" t="s">
        <v>818</v>
      </c>
      <c r="B866" s="33">
        <v>43250</v>
      </c>
      <c r="C866" s="34" t="s">
        <v>2432</v>
      </c>
      <c r="D866" s="34">
        <v>1</v>
      </c>
      <c r="E866" s="35" t="s">
        <v>2455</v>
      </c>
      <c r="F866" s="35" t="s">
        <v>310</v>
      </c>
      <c r="G866" s="106"/>
      <c r="H866" s="33">
        <v>43220</v>
      </c>
      <c r="I866" s="34" t="s">
        <v>2505</v>
      </c>
      <c r="J866" s="36">
        <v>225</v>
      </c>
      <c r="K866" t="s">
        <v>2030</v>
      </c>
    </row>
    <row r="867" spans="1:11" x14ac:dyDescent="0.3">
      <c r="A867" t="s">
        <v>818</v>
      </c>
      <c r="B867" s="33">
        <v>43250</v>
      </c>
      <c r="C867" s="34" t="s">
        <v>2432</v>
      </c>
      <c r="D867" s="34">
        <v>1</v>
      </c>
      <c r="E867" s="35" t="s">
        <v>2455</v>
      </c>
      <c r="F867" s="35" t="s">
        <v>312</v>
      </c>
      <c r="G867" s="106"/>
      <c r="H867" s="33">
        <v>43220</v>
      </c>
      <c r="I867" s="34" t="s">
        <v>2506</v>
      </c>
      <c r="J867" s="36">
        <v>172.5</v>
      </c>
      <c r="K867" t="s">
        <v>2030</v>
      </c>
    </row>
    <row r="868" spans="1:11" x14ac:dyDescent="0.3">
      <c r="A868" t="s">
        <v>818</v>
      </c>
      <c r="B868" s="33">
        <v>43250</v>
      </c>
      <c r="C868" s="34" t="s">
        <v>2432</v>
      </c>
      <c r="D868" s="34">
        <v>1</v>
      </c>
      <c r="E868" s="35" t="s">
        <v>2455</v>
      </c>
      <c r="F868" s="35" t="s">
        <v>313</v>
      </c>
      <c r="G868" s="106"/>
      <c r="H868" s="33">
        <v>43220</v>
      </c>
      <c r="I868" s="34" t="s">
        <v>2507</v>
      </c>
      <c r="J868" s="36">
        <v>172.5</v>
      </c>
      <c r="K868" t="s">
        <v>2030</v>
      </c>
    </row>
    <row r="869" spans="1:11" x14ac:dyDescent="0.3">
      <c r="A869" t="s">
        <v>818</v>
      </c>
      <c r="B869" s="33">
        <v>43250</v>
      </c>
      <c r="C869" s="34" t="s">
        <v>2432</v>
      </c>
      <c r="D869" s="34">
        <v>1</v>
      </c>
      <c r="E869" s="35" t="s">
        <v>2455</v>
      </c>
      <c r="F869" s="35" t="s">
        <v>314</v>
      </c>
      <c r="G869" s="106"/>
      <c r="H869" s="33">
        <v>43220</v>
      </c>
      <c r="I869" s="34" t="s">
        <v>2508</v>
      </c>
      <c r="J869" s="36">
        <v>172.5</v>
      </c>
      <c r="K869" t="s">
        <v>2030</v>
      </c>
    </row>
    <row r="870" spans="1:11" x14ac:dyDescent="0.3">
      <c r="A870" t="s">
        <v>818</v>
      </c>
      <c r="B870" s="33">
        <v>43250</v>
      </c>
      <c r="C870" s="34" t="s">
        <v>2432</v>
      </c>
      <c r="D870" s="34">
        <v>1</v>
      </c>
      <c r="E870" s="35" t="s">
        <v>2455</v>
      </c>
      <c r="F870" s="35" t="s">
        <v>11</v>
      </c>
      <c r="G870" s="106"/>
      <c r="H870" s="33">
        <v>43220</v>
      </c>
      <c r="I870" s="34" t="s">
        <v>2509</v>
      </c>
      <c r="J870" s="36">
        <v>225</v>
      </c>
      <c r="K870" t="s">
        <v>2030</v>
      </c>
    </row>
    <row r="871" spans="1:11" x14ac:dyDescent="0.3">
      <c r="A871" t="s">
        <v>818</v>
      </c>
      <c r="B871" s="33">
        <v>43250</v>
      </c>
      <c r="C871" s="34" t="s">
        <v>2432</v>
      </c>
      <c r="D871" s="34">
        <v>1</v>
      </c>
      <c r="E871" s="35" t="s">
        <v>2455</v>
      </c>
      <c r="F871" s="35" t="s">
        <v>311</v>
      </c>
      <c r="G871" s="106"/>
      <c r="H871" s="33">
        <v>43220</v>
      </c>
      <c r="I871" s="34" t="s">
        <v>2510</v>
      </c>
      <c r="J871" s="36">
        <v>225</v>
      </c>
      <c r="K871" t="s">
        <v>2030</v>
      </c>
    </row>
    <row r="872" spans="1:11" x14ac:dyDescent="0.3">
      <c r="A872" t="s">
        <v>818</v>
      </c>
      <c r="B872" s="33">
        <v>43250</v>
      </c>
      <c r="C872" s="34" t="s">
        <v>2432</v>
      </c>
      <c r="D872" s="34">
        <v>1</v>
      </c>
      <c r="E872" s="35" t="s">
        <v>2455</v>
      </c>
      <c r="F872" s="35" t="s">
        <v>315</v>
      </c>
      <c r="G872" s="106"/>
      <c r="H872" s="33">
        <v>43220</v>
      </c>
      <c r="I872" s="34" t="s">
        <v>2511</v>
      </c>
      <c r="J872" s="36">
        <v>172.5</v>
      </c>
      <c r="K872" t="s">
        <v>2030</v>
      </c>
    </row>
    <row r="873" spans="1:11" x14ac:dyDescent="0.3">
      <c r="A873" t="s">
        <v>818</v>
      </c>
      <c r="B873" s="33">
        <v>43250</v>
      </c>
      <c r="C873" s="34" t="s">
        <v>2432</v>
      </c>
      <c r="D873" s="34">
        <v>1</v>
      </c>
      <c r="E873" s="35" t="s">
        <v>2455</v>
      </c>
      <c r="F873" s="35" t="s">
        <v>316</v>
      </c>
      <c r="G873" s="106"/>
      <c r="H873" s="33">
        <v>43220</v>
      </c>
      <c r="I873" s="34" t="s">
        <v>2512</v>
      </c>
      <c r="J873" s="36">
        <v>172.5</v>
      </c>
      <c r="K873" t="s">
        <v>2030</v>
      </c>
    </row>
    <row r="874" spans="1:11" x14ac:dyDescent="0.3">
      <c r="A874" t="s">
        <v>818</v>
      </c>
      <c r="B874" s="33">
        <v>43250</v>
      </c>
      <c r="C874" s="34" t="s">
        <v>2432</v>
      </c>
      <c r="D874" s="34">
        <v>1</v>
      </c>
      <c r="E874" s="35" t="s">
        <v>2455</v>
      </c>
      <c r="F874" s="35" t="s">
        <v>318</v>
      </c>
      <c r="G874" s="106"/>
      <c r="H874" s="33">
        <v>43220</v>
      </c>
      <c r="I874" s="34" t="s">
        <v>2513</v>
      </c>
      <c r="J874" s="36">
        <v>172.5</v>
      </c>
      <c r="K874" t="s">
        <v>2030</v>
      </c>
    </row>
    <row r="875" spans="1:11" x14ac:dyDescent="0.3">
      <c r="A875" t="s">
        <v>818</v>
      </c>
      <c r="B875" s="33">
        <v>43250</v>
      </c>
      <c r="C875" s="34" t="s">
        <v>2432</v>
      </c>
      <c r="D875" s="34">
        <v>1</v>
      </c>
      <c r="E875" s="35" t="s">
        <v>2455</v>
      </c>
      <c r="F875" s="35" t="s">
        <v>317</v>
      </c>
      <c r="G875" s="106"/>
      <c r="H875" s="33">
        <v>43220</v>
      </c>
      <c r="I875" s="34" t="s">
        <v>2514</v>
      </c>
      <c r="J875" s="36">
        <v>172.5</v>
      </c>
      <c r="K875" t="s">
        <v>2030</v>
      </c>
    </row>
    <row r="876" spans="1:11" x14ac:dyDescent="0.3">
      <c r="A876" t="s">
        <v>818</v>
      </c>
      <c r="B876" s="33">
        <v>43250</v>
      </c>
      <c r="C876" s="34" t="s">
        <v>2432</v>
      </c>
      <c r="D876" s="34">
        <v>1</v>
      </c>
      <c r="E876" s="35" t="s">
        <v>2455</v>
      </c>
      <c r="F876" s="35" t="s">
        <v>326</v>
      </c>
      <c r="G876" s="106"/>
      <c r="H876" s="33">
        <v>43220</v>
      </c>
      <c r="I876" s="34" t="s">
        <v>2515</v>
      </c>
      <c r="J876" s="36">
        <v>172.5</v>
      </c>
      <c r="K876" t="s">
        <v>2030</v>
      </c>
    </row>
    <row r="877" spans="1:11" x14ac:dyDescent="0.3">
      <c r="A877" t="s">
        <v>818</v>
      </c>
      <c r="B877" s="33">
        <v>43250</v>
      </c>
      <c r="C877" s="34" t="s">
        <v>2432</v>
      </c>
      <c r="D877" s="34">
        <v>1</v>
      </c>
      <c r="E877" s="35" t="s">
        <v>2455</v>
      </c>
      <c r="F877" s="35" t="s">
        <v>15</v>
      </c>
      <c r="G877" s="106"/>
      <c r="H877" s="33">
        <v>43220</v>
      </c>
      <c r="I877" s="34" t="s">
        <v>2516</v>
      </c>
      <c r="J877" s="36">
        <v>172.5</v>
      </c>
      <c r="K877" t="s">
        <v>2030</v>
      </c>
    </row>
    <row r="878" spans="1:11" x14ac:dyDescent="0.3">
      <c r="A878" t="s">
        <v>818</v>
      </c>
      <c r="B878" s="33">
        <v>43250</v>
      </c>
      <c r="C878" s="34" t="s">
        <v>2432</v>
      </c>
      <c r="D878" s="34">
        <v>1</v>
      </c>
      <c r="E878" s="35" t="s">
        <v>2455</v>
      </c>
      <c r="F878" s="35" t="s">
        <v>343</v>
      </c>
      <c r="G878" s="106"/>
      <c r="H878" s="33">
        <v>43220</v>
      </c>
      <c r="I878" s="34" t="s">
        <v>2517</v>
      </c>
      <c r="J878" s="36">
        <v>172.5</v>
      </c>
      <c r="K878" t="s">
        <v>2030</v>
      </c>
    </row>
    <row r="879" spans="1:11" x14ac:dyDescent="0.3">
      <c r="A879" t="s">
        <v>818</v>
      </c>
      <c r="B879" s="33">
        <v>43250</v>
      </c>
      <c r="C879" s="34" t="s">
        <v>2432</v>
      </c>
      <c r="D879" s="34">
        <v>1</v>
      </c>
      <c r="E879" s="35" t="s">
        <v>2455</v>
      </c>
      <c r="F879" s="35" t="s">
        <v>19</v>
      </c>
      <c r="G879" s="106"/>
      <c r="H879" s="33">
        <v>43220</v>
      </c>
      <c r="I879" s="34" t="s">
        <v>2518</v>
      </c>
      <c r="J879" s="36">
        <v>172.5</v>
      </c>
      <c r="K879" t="s">
        <v>2030</v>
      </c>
    </row>
    <row r="880" spans="1:11" x14ac:dyDescent="0.3">
      <c r="A880" t="s">
        <v>818</v>
      </c>
      <c r="B880" s="33">
        <v>43250</v>
      </c>
      <c r="C880" s="34" t="s">
        <v>2432</v>
      </c>
      <c r="D880" s="34">
        <v>1</v>
      </c>
      <c r="E880" s="35" t="s">
        <v>2455</v>
      </c>
      <c r="F880" s="35" t="s">
        <v>13</v>
      </c>
      <c r="G880" s="106"/>
      <c r="H880" s="33">
        <v>43220</v>
      </c>
      <c r="I880" s="34" t="s">
        <v>2519</v>
      </c>
      <c r="J880" s="36">
        <v>225</v>
      </c>
      <c r="K880" t="s">
        <v>2030</v>
      </c>
    </row>
    <row r="881" spans="1:11" x14ac:dyDescent="0.3">
      <c r="A881" t="s">
        <v>818</v>
      </c>
      <c r="B881" s="33">
        <v>43250</v>
      </c>
      <c r="C881" s="34" t="s">
        <v>2432</v>
      </c>
      <c r="D881" s="34">
        <v>1</v>
      </c>
      <c r="E881" s="35" t="s">
        <v>2455</v>
      </c>
      <c r="F881" s="35" t="s">
        <v>24</v>
      </c>
      <c r="G881" s="106"/>
      <c r="H881" s="33">
        <v>43220</v>
      </c>
      <c r="I881" s="34" t="s">
        <v>2520</v>
      </c>
      <c r="J881" s="36">
        <v>225</v>
      </c>
      <c r="K881" t="s">
        <v>2030</v>
      </c>
    </row>
    <row r="882" spans="1:11" x14ac:dyDescent="0.3">
      <c r="A882" t="s">
        <v>818</v>
      </c>
      <c r="B882" s="33">
        <v>43250</v>
      </c>
      <c r="C882" s="34" t="s">
        <v>2432</v>
      </c>
      <c r="D882" s="34">
        <v>1</v>
      </c>
      <c r="E882" s="35" t="s">
        <v>2455</v>
      </c>
      <c r="F882" s="35" t="s">
        <v>21</v>
      </c>
      <c r="G882" s="106"/>
      <c r="H882" s="33">
        <v>43220</v>
      </c>
      <c r="I882" s="34" t="s">
        <v>2521</v>
      </c>
      <c r="J882" s="36">
        <v>172.5</v>
      </c>
      <c r="K882" t="s">
        <v>2030</v>
      </c>
    </row>
    <row r="883" spans="1:11" x14ac:dyDescent="0.3">
      <c r="A883" t="s">
        <v>818</v>
      </c>
      <c r="B883" s="33">
        <v>43250</v>
      </c>
      <c r="C883" s="34" t="s">
        <v>2432</v>
      </c>
      <c r="D883" s="34">
        <v>1</v>
      </c>
      <c r="E883" s="35" t="s">
        <v>2455</v>
      </c>
      <c r="F883" s="35" t="s">
        <v>26</v>
      </c>
      <c r="G883" s="106"/>
      <c r="H883" s="33">
        <v>43220</v>
      </c>
      <c r="I883" s="34" t="s">
        <v>2522</v>
      </c>
      <c r="J883" s="36">
        <v>225</v>
      </c>
      <c r="K883" t="s">
        <v>2030</v>
      </c>
    </row>
    <row r="884" spans="1:11" x14ac:dyDescent="0.3">
      <c r="A884" t="s">
        <v>818</v>
      </c>
      <c r="B884" s="33">
        <v>43250</v>
      </c>
      <c r="C884" s="34" t="s">
        <v>2432</v>
      </c>
      <c r="D884" s="34">
        <v>1</v>
      </c>
      <c r="E884" s="35" t="s">
        <v>2455</v>
      </c>
      <c r="F884" s="35" t="s">
        <v>38</v>
      </c>
      <c r="G884" s="106"/>
      <c r="H884" s="33">
        <v>43220</v>
      </c>
      <c r="I884" s="34" t="s">
        <v>2523</v>
      </c>
      <c r="J884" s="36">
        <v>225</v>
      </c>
      <c r="K884" t="s">
        <v>2030</v>
      </c>
    </row>
    <row r="885" spans="1:11" x14ac:dyDescent="0.3">
      <c r="A885" t="s">
        <v>818</v>
      </c>
      <c r="B885" s="33">
        <v>43250</v>
      </c>
      <c r="C885" s="34" t="s">
        <v>2432</v>
      </c>
      <c r="D885" s="34">
        <v>1</v>
      </c>
      <c r="E885" s="35" t="s">
        <v>2455</v>
      </c>
      <c r="F885" s="35" t="s">
        <v>22</v>
      </c>
      <c r="G885" s="106"/>
      <c r="H885" s="33">
        <v>43220</v>
      </c>
      <c r="I885" s="34" t="s">
        <v>2524</v>
      </c>
      <c r="J885" s="36">
        <v>225</v>
      </c>
      <c r="K885" t="s">
        <v>2030</v>
      </c>
    </row>
    <row r="886" spans="1:11" x14ac:dyDescent="0.3">
      <c r="A886" t="s">
        <v>818</v>
      </c>
      <c r="B886" s="33">
        <v>43250</v>
      </c>
      <c r="C886" s="34" t="s">
        <v>2432</v>
      </c>
      <c r="D886" s="34">
        <v>1</v>
      </c>
      <c r="E886" s="35" t="s">
        <v>2455</v>
      </c>
      <c r="F886" s="35" t="s">
        <v>28</v>
      </c>
      <c r="G886" s="106"/>
      <c r="H886" s="33">
        <v>43220</v>
      </c>
      <c r="I886" s="34" t="s">
        <v>2525</v>
      </c>
      <c r="J886" s="36">
        <v>225</v>
      </c>
      <c r="K886" t="s">
        <v>2030</v>
      </c>
    </row>
    <row r="887" spans="1:11" x14ac:dyDescent="0.3">
      <c r="A887" t="s">
        <v>818</v>
      </c>
      <c r="B887" s="33">
        <v>43250</v>
      </c>
      <c r="C887" s="34" t="s">
        <v>2432</v>
      </c>
      <c r="D887" s="34">
        <v>1</v>
      </c>
      <c r="E887" s="35" t="s">
        <v>2455</v>
      </c>
      <c r="F887" s="35" t="s">
        <v>23</v>
      </c>
      <c r="G887" s="106"/>
      <c r="H887" s="33">
        <v>43220</v>
      </c>
      <c r="I887" s="34" t="s">
        <v>2526</v>
      </c>
      <c r="J887" s="36">
        <v>225</v>
      </c>
      <c r="K887" t="s">
        <v>2030</v>
      </c>
    </row>
    <row r="888" spans="1:11" x14ac:dyDescent="0.3">
      <c r="A888" t="s">
        <v>818</v>
      </c>
      <c r="B888" s="33">
        <v>43250</v>
      </c>
      <c r="C888" s="34" t="s">
        <v>2432</v>
      </c>
      <c r="D888" s="34">
        <v>1</v>
      </c>
      <c r="E888" s="35" t="s">
        <v>2455</v>
      </c>
      <c r="F888" s="35" t="s">
        <v>27</v>
      </c>
      <c r="G888" s="106"/>
      <c r="H888" s="33">
        <v>43220</v>
      </c>
      <c r="I888" s="34" t="s">
        <v>2527</v>
      </c>
      <c r="J888" s="36">
        <v>225</v>
      </c>
      <c r="K888" t="s">
        <v>2030</v>
      </c>
    </row>
    <row r="889" spans="1:11" x14ac:dyDescent="0.3">
      <c r="A889" t="s">
        <v>818</v>
      </c>
      <c r="B889" s="33">
        <v>43250</v>
      </c>
      <c r="C889" s="34" t="s">
        <v>2432</v>
      </c>
      <c r="D889" s="34">
        <v>1</v>
      </c>
      <c r="E889" s="35" t="s">
        <v>2455</v>
      </c>
      <c r="F889" s="35" t="s">
        <v>37</v>
      </c>
      <c r="G889" s="106"/>
      <c r="H889" s="33">
        <v>43220</v>
      </c>
      <c r="I889" s="34" t="s">
        <v>2528</v>
      </c>
      <c r="J889" s="36">
        <v>225</v>
      </c>
      <c r="K889" t="s">
        <v>2030</v>
      </c>
    </row>
    <row r="890" spans="1:11" x14ac:dyDescent="0.3">
      <c r="A890" t="s">
        <v>818</v>
      </c>
      <c r="B890" s="33">
        <v>43250</v>
      </c>
      <c r="C890" s="34" t="s">
        <v>2432</v>
      </c>
      <c r="D890" s="34">
        <v>1</v>
      </c>
      <c r="E890" s="35" t="s">
        <v>2455</v>
      </c>
      <c r="F890" s="35" t="s">
        <v>25</v>
      </c>
      <c r="G890" s="106"/>
      <c r="H890" s="33">
        <v>43220</v>
      </c>
      <c r="I890" s="34" t="s">
        <v>2529</v>
      </c>
      <c r="J890" s="36">
        <v>225</v>
      </c>
      <c r="K890" t="s">
        <v>2030</v>
      </c>
    </row>
    <row r="891" spans="1:11" x14ac:dyDescent="0.3">
      <c r="A891" t="s">
        <v>818</v>
      </c>
      <c r="B891" s="33">
        <v>43250</v>
      </c>
      <c r="C891" s="34" t="s">
        <v>2432</v>
      </c>
      <c r="D891" s="34">
        <v>1</v>
      </c>
      <c r="E891" s="35" t="s">
        <v>2455</v>
      </c>
      <c r="F891" s="35" t="s">
        <v>39</v>
      </c>
      <c r="G891" s="106"/>
      <c r="H891" s="33">
        <v>43220</v>
      </c>
      <c r="I891" s="34" t="s">
        <v>2530</v>
      </c>
      <c r="J891" s="36">
        <v>225</v>
      </c>
      <c r="K891" t="s">
        <v>2030</v>
      </c>
    </row>
    <row r="892" spans="1:11" x14ac:dyDescent="0.3">
      <c r="A892" t="s">
        <v>818</v>
      </c>
      <c r="B892" s="33">
        <v>43250</v>
      </c>
      <c r="C892" s="34" t="s">
        <v>2432</v>
      </c>
      <c r="D892" s="34">
        <v>1</v>
      </c>
      <c r="E892" s="35" t="s">
        <v>2455</v>
      </c>
      <c r="F892" s="35" t="s">
        <v>302</v>
      </c>
      <c r="G892" s="106"/>
      <c r="H892" s="33">
        <v>43220</v>
      </c>
      <c r="I892" s="34" t="s">
        <v>2531</v>
      </c>
      <c r="J892" s="36">
        <v>172.5</v>
      </c>
      <c r="K892" t="s">
        <v>2030</v>
      </c>
    </row>
    <row r="893" spans="1:11" x14ac:dyDescent="0.3">
      <c r="A893" t="s">
        <v>818</v>
      </c>
      <c r="B893" s="33">
        <v>43250</v>
      </c>
      <c r="C893" s="34" t="s">
        <v>2432</v>
      </c>
      <c r="D893" s="34">
        <v>1</v>
      </c>
      <c r="E893" s="35" t="s">
        <v>2455</v>
      </c>
      <c r="F893" s="35" t="s">
        <v>301</v>
      </c>
      <c r="G893" s="106"/>
      <c r="H893" s="33">
        <v>43220</v>
      </c>
      <c r="I893" s="34" t="s">
        <v>2532</v>
      </c>
      <c r="J893" s="36">
        <v>172.5</v>
      </c>
      <c r="K893" t="s">
        <v>2030</v>
      </c>
    </row>
    <row r="894" spans="1:11" x14ac:dyDescent="0.3">
      <c r="A894" t="s">
        <v>818</v>
      </c>
      <c r="B894" s="33">
        <v>43250</v>
      </c>
      <c r="C894" s="34" t="s">
        <v>2432</v>
      </c>
      <c r="D894" s="34">
        <v>1</v>
      </c>
      <c r="E894" s="35" t="s">
        <v>2455</v>
      </c>
      <c r="F894" s="35" t="s">
        <v>58</v>
      </c>
      <c r="G894" s="106"/>
      <c r="H894" s="33">
        <v>43220</v>
      </c>
      <c r="I894" s="34" t="s">
        <v>2533</v>
      </c>
      <c r="J894" s="36">
        <v>172.5</v>
      </c>
      <c r="K894" t="s">
        <v>2030</v>
      </c>
    </row>
    <row r="895" spans="1:11" x14ac:dyDescent="0.3">
      <c r="A895" t="s">
        <v>818</v>
      </c>
      <c r="B895" s="33">
        <v>43250</v>
      </c>
      <c r="C895" s="34" t="s">
        <v>2432</v>
      </c>
      <c r="D895" s="34">
        <v>1</v>
      </c>
      <c r="E895" s="35" t="s">
        <v>2455</v>
      </c>
      <c r="F895" s="35" t="s">
        <v>61</v>
      </c>
      <c r="G895" s="106"/>
      <c r="H895" s="33">
        <v>43220</v>
      </c>
      <c r="I895" s="34" t="s">
        <v>2534</v>
      </c>
      <c r="J895" s="36">
        <v>225</v>
      </c>
      <c r="K895" t="s">
        <v>2030</v>
      </c>
    </row>
    <row r="896" spans="1:11" x14ac:dyDescent="0.3">
      <c r="A896" t="s">
        <v>818</v>
      </c>
      <c r="B896" s="33">
        <v>43250</v>
      </c>
      <c r="C896" s="34" t="s">
        <v>2432</v>
      </c>
      <c r="D896" s="34">
        <v>1</v>
      </c>
      <c r="E896" s="35" t="s">
        <v>2455</v>
      </c>
      <c r="F896" s="35" t="s">
        <v>60</v>
      </c>
      <c r="G896" s="106"/>
      <c r="H896" s="33">
        <v>43220</v>
      </c>
      <c r="I896" s="34" t="s">
        <v>2535</v>
      </c>
      <c r="J896" s="36">
        <v>225</v>
      </c>
      <c r="K896" t="s">
        <v>2030</v>
      </c>
    </row>
    <row r="897" spans="1:11" x14ac:dyDescent="0.3">
      <c r="A897" t="s">
        <v>818</v>
      </c>
      <c r="B897" s="33">
        <v>43250</v>
      </c>
      <c r="C897" s="34" t="s">
        <v>2432</v>
      </c>
      <c r="D897" s="34">
        <v>1</v>
      </c>
      <c r="E897" s="35" t="s">
        <v>2455</v>
      </c>
      <c r="F897" s="35" t="s">
        <v>64</v>
      </c>
      <c r="G897" s="106"/>
      <c r="H897" s="33">
        <v>43220</v>
      </c>
      <c r="I897" s="34" t="s">
        <v>2536</v>
      </c>
      <c r="J897" s="36">
        <v>225</v>
      </c>
      <c r="K897" t="s">
        <v>2030</v>
      </c>
    </row>
    <row r="898" spans="1:11" x14ac:dyDescent="0.3">
      <c r="A898" t="s">
        <v>818</v>
      </c>
      <c r="B898" s="33">
        <v>43250</v>
      </c>
      <c r="C898" s="34" t="s">
        <v>2432</v>
      </c>
      <c r="D898" s="34">
        <v>1</v>
      </c>
      <c r="E898" s="35" t="s">
        <v>2455</v>
      </c>
      <c r="F898" s="35" t="s">
        <v>62</v>
      </c>
      <c r="G898" s="106"/>
      <c r="H898" s="33">
        <v>43220</v>
      </c>
      <c r="I898" s="34" t="s">
        <v>2537</v>
      </c>
      <c r="J898" s="36">
        <v>225</v>
      </c>
      <c r="K898" t="s">
        <v>2030</v>
      </c>
    </row>
    <row r="899" spans="1:11" x14ac:dyDescent="0.3">
      <c r="A899" t="s">
        <v>818</v>
      </c>
      <c r="B899" s="33">
        <v>43250</v>
      </c>
      <c r="C899" s="34" t="s">
        <v>2432</v>
      </c>
      <c r="D899" s="34">
        <v>1</v>
      </c>
      <c r="E899" s="35" t="s">
        <v>2455</v>
      </c>
      <c r="F899" s="35" t="s">
        <v>59</v>
      </c>
      <c r="G899" s="106"/>
      <c r="H899" s="33">
        <v>43220</v>
      </c>
      <c r="I899" s="34" t="s">
        <v>2538</v>
      </c>
      <c r="J899" s="36">
        <v>225</v>
      </c>
      <c r="K899" t="s">
        <v>2030</v>
      </c>
    </row>
    <row r="900" spans="1:11" x14ac:dyDescent="0.3">
      <c r="A900" t="s">
        <v>818</v>
      </c>
      <c r="B900" s="33">
        <v>43250</v>
      </c>
      <c r="C900" s="34" t="s">
        <v>2432</v>
      </c>
      <c r="D900" s="34">
        <v>1</v>
      </c>
      <c r="E900" s="35" t="s">
        <v>2455</v>
      </c>
      <c r="F900" s="35" t="s">
        <v>68</v>
      </c>
      <c r="G900" s="106"/>
      <c r="H900" s="33">
        <v>43220</v>
      </c>
      <c r="I900" s="34" t="s">
        <v>2539</v>
      </c>
      <c r="J900" s="36">
        <v>225</v>
      </c>
      <c r="K900" t="s">
        <v>2030</v>
      </c>
    </row>
    <row r="901" spans="1:11" x14ac:dyDescent="0.3">
      <c r="A901" t="s">
        <v>818</v>
      </c>
      <c r="B901" s="33">
        <v>43250</v>
      </c>
      <c r="C901" s="34" t="s">
        <v>2432</v>
      </c>
      <c r="D901" s="34">
        <v>1</v>
      </c>
      <c r="E901" s="35" t="s">
        <v>2455</v>
      </c>
      <c r="F901" s="35" t="s">
        <v>76</v>
      </c>
      <c r="G901" s="106"/>
      <c r="H901" s="33">
        <v>43220</v>
      </c>
      <c r="I901" s="34" t="s">
        <v>2540</v>
      </c>
      <c r="J901" s="36">
        <v>172.5</v>
      </c>
      <c r="K901" t="s">
        <v>2030</v>
      </c>
    </row>
    <row r="902" spans="1:11" x14ac:dyDescent="0.3">
      <c r="A902" t="s">
        <v>818</v>
      </c>
      <c r="B902" s="33">
        <v>43250</v>
      </c>
      <c r="C902" s="34" t="s">
        <v>2432</v>
      </c>
      <c r="D902" s="34">
        <v>1</v>
      </c>
      <c r="E902" s="35" t="s">
        <v>2455</v>
      </c>
      <c r="F902" s="35" t="s">
        <v>67</v>
      </c>
      <c r="G902" s="106"/>
      <c r="H902" s="33">
        <v>43220</v>
      </c>
      <c r="I902" s="34" t="s">
        <v>2541</v>
      </c>
      <c r="J902" s="36">
        <v>225</v>
      </c>
      <c r="K902" t="s">
        <v>2030</v>
      </c>
    </row>
    <row r="903" spans="1:11" x14ac:dyDescent="0.3">
      <c r="A903" t="s">
        <v>818</v>
      </c>
      <c r="B903" s="33">
        <v>43250</v>
      </c>
      <c r="C903" s="34" t="s">
        <v>2432</v>
      </c>
      <c r="D903" s="34">
        <v>1</v>
      </c>
      <c r="E903" s="35" t="s">
        <v>2455</v>
      </c>
      <c r="F903" s="35" t="s">
        <v>69</v>
      </c>
      <c r="G903" s="106"/>
      <c r="H903" s="33">
        <v>43220</v>
      </c>
      <c r="I903" s="34" t="s">
        <v>2542</v>
      </c>
      <c r="J903" s="36">
        <v>172.5</v>
      </c>
      <c r="K903" t="s">
        <v>2030</v>
      </c>
    </row>
    <row r="904" spans="1:11" x14ac:dyDescent="0.3">
      <c r="A904" t="s">
        <v>818</v>
      </c>
      <c r="B904" s="33">
        <v>43250</v>
      </c>
      <c r="C904" s="34" t="s">
        <v>2432</v>
      </c>
      <c r="D904" s="34">
        <v>1</v>
      </c>
      <c r="E904" s="35" t="s">
        <v>2455</v>
      </c>
      <c r="F904" s="35" t="s">
        <v>75</v>
      </c>
      <c r="G904" s="106"/>
      <c r="H904" s="33">
        <v>43220</v>
      </c>
      <c r="I904" s="34" t="s">
        <v>2543</v>
      </c>
      <c r="J904" s="36">
        <v>172.5</v>
      </c>
      <c r="K904" t="s">
        <v>2030</v>
      </c>
    </row>
    <row r="905" spans="1:11" x14ac:dyDescent="0.3">
      <c r="A905" t="s">
        <v>818</v>
      </c>
      <c r="B905" s="33">
        <v>43250</v>
      </c>
      <c r="C905" s="34" t="s">
        <v>2432</v>
      </c>
      <c r="D905" s="34">
        <v>1</v>
      </c>
      <c r="E905" s="35" t="s">
        <v>2455</v>
      </c>
      <c r="F905" s="35" t="s">
        <v>71</v>
      </c>
      <c r="G905" s="106"/>
      <c r="H905" s="33">
        <v>43220</v>
      </c>
      <c r="I905" s="34" t="s">
        <v>2544</v>
      </c>
      <c r="J905" s="36">
        <v>172.5</v>
      </c>
      <c r="K905" t="s">
        <v>2030</v>
      </c>
    </row>
    <row r="906" spans="1:11" x14ac:dyDescent="0.3">
      <c r="A906" t="s">
        <v>818</v>
      </c>
      <c r="B906" s="33">
        <v>43250</v>
      </c>
      <c r="C906" s="34" t="s">
        <v>2432</v>
      </c>
      <c r="D906" s="34">
        <v>1</v>
      </c>
      <c r="E906" s="35" t="s">
        <v>2455</v>
      </c>
      <c r="F906" s="35" t="s">
        <v>72</v>
      </c>
      <c r="G906" s="106"/>
      <c r="H906" s="33">
        <v>43220</v>
      </c>
      <c r="I906" s="34" t="s">
        <v>2545</v>
      </c>
      <c r="J906" s="36">
        <v>172.5</v>
      </c>
      <c r="K906" t="s">
        <v>2030</v>
      </c>
    </row>
    <row r="907" spans="1:11" x14ac:dyDescent="0.3">
      <c r="A907" t="s">
        <v>818</v>
      </c>
      <c r="B907" s="33">
        <v>43250</v>
      </c>
      <c r="C907" s="34" t="s">
        <v>2432</v>
      </c>
      <c r="D907" s="34">
        <v>1</v>
      </c>
      <c r="E907" s="35" t="s">
        <v>2455</v>
      </c>
      <c r="F907" s="35" t="s">
        <v>7</v>
      </c>
      <c r="G907" s="106"/>
      <c r="H907" s="33">
        <v>43220</v>
      </c>
      <c r="I907" s="34" t="s">
        <v>2546</v>
      </c>
      <c r="J907" s="36">
        <v>300</v>
      </c>
      <c r="K907" t="s">
        <v>2030</v>
      </c>
    </row>
    <row r="908" spans="1:11" x14ac:dyDescent="0.3">
      <c r="A908" t="s">
        <v>818</v>
      </c>
      <c r="B908" s="33">
        <v>43250</v>
      </c>
      <c r="C908" s="34" t="s">
        <v>2432</v>
      </c>
      <c r="D908" s="34">
        <v>1</v>
      </c>
      <c r="E908" s="35" t="s">
        <v>2455</v>
      </c>
      <c r="F908" s="35" t="s">
        <v>73</v>
      </c>
      <c r="G908" s="106"/>
      <c r="H908" s="33">
        <v>43220</v>
      </c>
      <c r="I908" s="34" t="s">
        <v>2547</v>
      </c>
      <c r="J908" s="36">
        <v>172.5</v>
      </c>
      <c r="K908" t="s">
        <v>2030</v>
      </c>
    </row>
    <row r="909" spans="1:11" x14ac:dyDescent="0.3">
      <c r="A909" t="s">
        <v>818</v>
      </c>
      <c r="B909" s="33">
        <v>43250</v>
      </c>
      <c r="C909" s="34" t="s">
        <v>2432</v>
      </c>
      <c r="D909" s="34">
        <v>1</v>
      </c>
      <c r="E909" s="35" t="s">
        <v>2455</v>
      </c>
      <c r="F909" s="35" t="s">
        <v>70</v>
      </c>
      <c r="G909" s="106"/>
      <c r="H909" s="33">
        <v>43220</v>
      </c>
      <c r="I909" s="34" t="s">
        <v>2548</v>
      </c>
      <c r="J909" s="36">
        <v>172.5</v>
      </c>
      <c r="K909" t="s">
        <v>2030</v>
      </c>
    </row>
    <row r="910" spans="1:11" x14ac:dyDescent="0.3">
      <c r="A910" t="s">
        <v>818</v>
      </c>
      <c r="B910" s="33">
        <v>43250</v>
      </c>
      <c r="C910" s="34" t="s">
        <v>2432</v>
      </c>
      <c r="D910" s="34">
        <v>1</v>
      </c>
      <c r="E910" s="35" t="s">
        <v>2455</v>
      </c>
      <c r="F910" s="35" t="s">
        <v>77</v>
      </c>
      <c r="G910" s="106"/>
      <c r="H910" s="33">
        <v>43220</v>
      </c>
      <c r="I910" s="34" t="s">
        <v>2549</v>
      </c>
      <c r="J910" s="36">
        <v>225</v>
      </c>
      <c r="K910" t="s">
        <v>2030</v>
      </c>
    </row>
    <row r="911" spans="1:11" x14ac:dyDescent="0.3">
      <c r="A911" t="s">
        <v>818</v>
      </c>
      <c r="B911" s="33">
        <v>43250</v>
      </c>
      <c r="C911" s="34" t="s">
        <v>2432</v>
      </c>
      <c r="D911" s="34">
        <v>1</v>
      </c>
      <c r="E911" s="35" t="s">
        <v>2455</v>
      </c>
      <c r="F911" s="35" t="s">
        <v>74</v>
      </c>
      <c r="G911" s="106"/>
      <c r="H911" s="33">
        <v>43220</v>
      </c>
      <c r="I911" s="34" t="s">
        <v>2550</v>
      </c>
      <c r="J911" s="36">
        <v>172.5</v>
      </c>
      <c r="K911" t="s">
        <v>2030</v>
      </c>
    </row>
    <row r="912" spans="1:11" x14ac:dyDescent="0.3">
      <c r="A912" t="s">
        <v>818</v>
      </c>
      <c r="B912" s="33">
        <v>43250</v>
      </c>
      <c r="C912" s="34" t="s">
        <v>2432</v>
      </c>
      <c r="D912" s="34">
        <v>1</v>
      </c>
      <c r="E912" s="35" t="s">
        <v>2455</v>
      </c>
      <c r="F912" s="35" t="s">
        <v>88</v>
      </c>
      <c r="G912" s="106"/>
      <c r="H912" s="33">
        <v>43220</v>
      </c>
      <c r="I912" s="34" t="s">
        <v>2551</v>
      </c>
      <c r="J912" s="36">
        <v>225</v>
      </c>
      <c r="K912" t="s">
        <v>2030</v>
      </c>
    </row>
    <row r="913" spans="1:11" x14ac:dyDescent="0.3">
      <c r="A913" t="s">
        <v>818</v>
      </c>
      <c r="B913" s="33">
        <v>43250</v>
      </c>
      <c r="C913" s="34" t="s">
        <v>2432</v>
      </c>
      <c r="D913" s="34">
        <v>1</v>
      </c>
      <c r="E913" s="35" t="s">
        <v>2455</v>
      </c>
      <c r="F913" s="35" t="s">
        <v>81</v>
      </c>
      <c r="G913" s="106"/>
      <c r="H913" s="33">
        <v>43220</v>
      </c>
      <c r="I913" s="34" t="s">
        <v>2552</v>
      </c>
      <c r="J913" s="36">
        <v>225</v>
      </c>
      <c r="K913" t="s">
        <v>2030</v>
      </c>
    </row>
    <row r="914" spans="1:11" x14ac:dyDescent="0.3">
      <c r="A914" t="s">
        <v>818</v>
      </c>
      <c r="B914" s="33">
        <v>43250</v>
      </c>
      <c r="C914" s="34" t="s">
        <v>2432</v>
      </c>
      <c r="D914" s="34">
        <v>1</v>
      </c>
      <c r="E914" s="35" t="s">
        <v>2455</v>
      </c>
      <c r="F914" s="35" t="s">
        <v>83</v>
      </c>
      <c r="G914" s="106"/>
      <c r="H914" s="33">
        <v>43220</v>
      </c>
      <c r="I914" s="34" t="s">
        <v>2553</v>
      </c>
      <c r="J914" s="36">
        <v>225</v>
      </c>
      <c r="K914" t="s">
        <v>2030</v>
      </c>
    </row>
    <row r="915" spans="1:11" x14ac:dyDescent="0.3">
      <c r="A915" t="s">
        <v>818</v>
      </c>
      <c r="B915" s="33">
        <v>43250</v>
      </c>
      <c r="C915" s="34" t="s">
        <v>2432</v>
      </c>
      <c r="D915" s="34">
        <v>1</v>
      </c>
      <c r="E915" s="35" t="s">
        <v>2455</v>
      </c>
      <c r="F915" s="35" t="s">
        <v>89</v>
      </c>
      <c r="G915" s="106"/>
      <c r="H915" s="33">
        <v>43220</v>
      </c>
      <c r="I915" s="34" t="s">
        <v>2554</v>
      </c>
      <c r="J915" s="36">
        <v>225</v>
      </c>
      <c r="K915" t="s">
        <v>2030</v>
      </c>
    </row>
    <row r="916" spans="1:11" x14ac:dyDescent="0.3">
      <c r="A916" t="s">
        <v>818</v>
      </c>
      <c r="B916" s="33">
        <v>43250</v>
      </c>
      <c r="C916" s="34" t="s">
        <v>2432</v>
      </c>
      <c r="D916" s="34">
        <v>1</v>
      </c>
      <c r="E916" s="35" t="s">
        <v>2455</v>
      </c>
      <c r="F916" s="35" t="s">
        <v>85</v>
      </c>
      <c r="G916" s="106"/>
      <c r="H916" s="33">
        <v>43220</v>
      </c>
      <c r="I916" s="34" t="s">
        <v>2555</v>
      </c>
      <c r="J916" s="36">
        <v>225</v>
      </c>
      <c r="K916" t="s">
        <v>2030</v>
      </c>
    </row>
    <row r="917" spans="1:11" x14ac:dyDescent="0.3">
      <c r="A917" t="s">
        <v>818</v>
      </c>
      <c r="B917" s="33">
        <v>43250</v>
      </c>
      <c r="C917" s="34" t="s">
        <v>2432</v>
      </c>
      <c r="D917" s="34">
        <v>1</v>
      </c>
      <c r="E917" s="35" t="s">
        <v>2455</v>
      </c>
      <c r="F917" s="35" t="s">
        <v>86</v>
      </c>
      <c r="G917" s="106"/>
      <c r="H917" s="33">
        <v>43220</v>
      </c>
      <c r="I917" s="34" t="s">
        <v>2556</v>
      </c>
      <c r="J917" s="36">
        <v>225</v>
      </c>
      <c r="K917" t="s">
        <v>2030</v>
      </c>
    </row>
    <row r="918" spans="1:11" x14ac:dyDescent="0.3">
      <c r="A918" t="s">
        <v>818</v>
      </c>
      <c r="B918" s="33">
        <v>43250</v>
      </c>
      <c r="C918" s="34" t="s">
        <v>2432</v>
      </c>
      <c r="D918" s="34">
        <v>1</v>
      </c>
      <c r="E918" s="35" t="s">
        <v>2455</v>
      </c>
      <c r="F918" s="35" t="s">
        <v>80</v>
      </c>
      <c r="G918" s="106"/>
      <c r="H918" s="33">
        <v>43220</v>
      </c>
      <c r="I918" s="34" t="s">
        <v>2557</v>
      </c>
      <c r="J918" s="36">
        <v>225</v>
      </c>
      <c r="K918" t="s">
        <v>2030</v>
      </c>
    </row>
    <row r="919" spans="1:11" x14ac:dyDescent="0.3">
      <c r="A919" t="s">
        <v>818</v>
      </c>
      <c r="B919" s="33">
        <v>43250</v>
      </c>
      <c r="C919" s="34" t="s">
        <v>2432</v>
      </c>
      <c r="D919" s="34">
        <v>1</v>
      </c>
      <c r="E919" s="35" t="s">
        <v>2455</v>
      </c>
      <c r="F919" s="35" t="s">
        <v>84</v>
      </c>
      <c r="G919" s="106"/>
      <c r="H919" s="33">
        <v>43220</v>
      </c>
      <c r="I919" s="34" t="s">
        <v>2558</v>
      </c>
      <c r="J919" s="36">
        <v>225</v>
      </c>
      <c r="K919" t="s">
        <v>2030</v>
      </c>
    </row>
    <row r="920" spans="1:11" x14ac:dyDescent="0.3">
      <c r="A920" t="s">
        <v>818</v>
      </c>
      <c r="B920" s="33">
        <v>43250</v>
      </c>
      <c r="C920" s="34" t="s">
        <v>2432</v>
      </c>
      <c r="D920" s="34">
        <v>1</v>
      </c>
      <c r="E920" s="35" t="s">
        <v>2455</v>
      </c>
      <c r="F920" s="35" t="s">
        <v>87</v>
      </c>
      <c r="G920" s="106"/>
      <c r="H920" s="33">
        <v>43220</v>
      </c>
      <c r="I920" s="34" t="s">
        <v>2559</v>
      </c>
      <c r="J920" s="36">
        <v>225</v>
      </c>
      <c r="K920" t="s">
        <v>2030</v>
      </c>
    </row>
    <row r="921" spans="1:11" x14ac:dyDescent="0.3">
      <c r="A921" t="s">
        <v>818</v>
      </c>
      <c r="B921" s="33">
        <v>43250</v>
      </c>
      <c r="C921" s="34" t="s">
        <v>2432</v>
      </c>
      <c r="D921" s="34">
        <v>1</v>
      </c>
      <c r="E921" s="35" t="s">
        <v>2455</v>
      </c>
      <c r="F921" s="35" t="s">
        <v>90</v>
      </c>
      <c r="G921" s="106"/>
      <c r="H921" s="33">
        <v>43220</v>
      </c>
      <c r="I921" s="34" t="s">
        <v>2560</v>
      </c>
      <c r="J921" s="36">
        <v>225</v>
      </c>
      <c r="K921" t="s">
        <v>2030</v>
      </c>
    </row>
    <row r="922" spans="1:11" x14ac:dyDescent="0.3">
      <c r="A922" t="s">
        <v>818</v>
      </c>
      <c r="B922" s="33">
        <v>43250</v>
      </c>
      <c r="C922" s="34" t="s">
        <v>2432</v>
      </c>
      <c r="D922" s="34">
        <v>1</v>
      </c>
      <c r="E922" s="35" t="s">
        <v>2455</v>
      </c>
      <c r="F922" s="35" t="s">
        <v>78</v>
      </c>
      <c r="G922" s="106"/>
      <c r="H922" s="33">
        <v>43220</v>
      </c>
      <c r="I922" s="34" t="s">
        <v>2561</v>
      </c>
      <c r="J922" s="36">
        <v>225</v>
      </c>
      <c r="K922" t="s">
        <v>2030</v>
      </c>
    </row>
    <row r="923" spans="1:11" x14ac:dyDescent="0.3">
      <c r="A923" t="s">
        <v>818</v>
      </c>
      <c r="B923" s="33">
        <v>43250</v>
      </c>
      <c r="C923" s="34" t="s">
        <v>2432</v>
      </c>
      <c r="D923" s="34">
        <v>1</v>
      </c>
      <c r="E923" s="35" t="s">
        <v>2455</v>
      </c>
      <c r="F923" s="35" t="s">
        <v>82</v>
      </c>
      <c r="G923" s="106"/>
      <c r="H923" s="33">
        <v>43220</v>
      </c>
      <c r="I923" s="34" t="s">
        <v>2562</v>
      </c>
      <c r="J923" s="36">
        <v>225</v>
      </c>
      <c r="K923" t="s">
        <v>2030</v>
      </c>
    </row>
    <row r="924" spans="1:11" x14ac:dyDescent="0.3">
      <c r="A924" t="s">
        <v>818</v>
      </c>
      <c r="B924" s="33">
        <v>43250</v>
      </c>
      <c r="C924" s="34" t="s">
        <v>2432</v>
      </c>
      <c r="D924" s="34">
        <v>1</v>
      </c>
      <c r="E924" s="35" t="s">
        <v>2455</v>
      </c>
      <c r="F924" s="35" t="s">
        <v>43</v>
      </c>
      <c r="G924" s="106"/>
      <c r="H924" s="33">
        <v>43220</v>
      </c>
      <c r="I924" s="34" t="s">
        <v>2563</v>
      </c>
      <c r="J924" s="36">
        <v>225</v>
      </c>
      <c r="K924" t="s">
        <v>2030</v>
      </c>
    </row>
    <row r="925" spans="1:11" x14ac:dyDescent="0.3">
      <c r="A925" t="s">
        <v>818</v>
      </c>
      <c r="B925" s="33">
        <v>43250</v>
      </c>
      <c r="C925" s="34" t="s">
        <v>2432</v>
      </c>
      <c r="D925" s="34">
        <v>1</v>
      </c>
      <c r="E925" s="35" t="s">
        <v>2455</v>
      </c>
      <c r="F925" s="35" t="s">
        <v>42</v>
      </c>
      <c r="G925" s="106"/>
      <c r="H925" s="33">
        <v>43220</v>
      </c>
      <c r="I925" s="34" t="s">
        <v>2564</v>
      </c>
      <c r="J925" s="36">
        <v>225</v>
      </c>
      <c r="K925" t="s">
        <v>2030</v>
      </c>
    </row>
    <row r="926" spans="1:11" x14ac:dyDescent="0.3">
      <c r="A926" t="s">
        <v>818</v>
      </c>
      <c r="B926" s="33">
        <v>43250</v>
      </c>
      <c r="C926" s="34" t="s">
        <v>2432</v>
      </c>
      <c r="D926" s="34">
        <v>1</v>
      </c>
      <c r="E926" s="35" t="s">
        <v>2455</v>
      </c>
      <c r="F926" s="35" t="s">
        <v>41</v>
      </c>
      <c r="G926" s="106"/>
      <c r="H926" s="33">
        <v>43220</v>
      </c>
      <c r="I926" s="34" t="s">
        <v>2565</v>
      </c>
      <c r="J926" s="36">
        <v>225</v>
      </c>
      <c r="K926" t="s">
        <v>2030</v>
      </c>
    </row>
    <row r="927" spans="1:11" x14ac:dyDescent="0.3">
      <c r="A927" t="s">
        <v>818</v>
      </c>
      <c r="B927" s="33">
        <v>43250</v>
      </c>
      <c r="C927" s="34" t="s">
        <v>2432</v>
      </c>
      <c r="D927" s="34">
        <v>1</v>
      </c>
      <c r="E927" s="35" t="s">
        <v>2455</v>
      </c>
      <c r="F927" s="35" t="s">
        <v>40</v>
      </c>
      <c r="G927" s="106"/>
      <c r="H927" s="33">
        <v>43220</v>
      </c>
      <c r="I927" s="34" t="s">
        <v>2566</v>
      </c>
      <c r="J927" s="36">
        <v>225</v>
      </c>
      <c r="K927" t="s">
        <v>2030</v>
      </c>
    </row>
    <row r="928" spans="1:11" x14ac:dyDescent="0.3">
      <c r="A928" t="s">
        <v>818</v>
      </c>
      <c r="B928" s="33">
        <v>43250</v>
      </c>
      <c r="C928" s="34" t="s">
        <v>2432</v>
      </c>
      <c r="D928" s="34">
        <v>1</v>
      </c>
      <c r="E928" s="35" t="s">
        <v>2455</v>
      </c>
      <c r="F928" s="35" t="s">
        <v>6</v>
      </c>
      <c r="G928" s="106"/>
      <c r="H928" s="33">
        <v>43220</v>
      </c>
      <c r="I928" s="34" t="s">
        <v>2567</v>
      </c>
      <c r="J928" s="36">
        <v>300</v>
      </c>
      <c r="K928" t="s">
        <v>2030</v>
      </c>
    </row>
    <row r="929" spans="1:11" x14ac:dyDescent="0.3">
      <c r="A929" t="s">
        <v>818</v>
      </c>
      <c r="B929" s="33">
        <v>43250</v>
      </c>
      <c r="C929" s="34" t="s">
        <v>2432</v>
      </c>
      <c r="D929" s="34">
        <v>1</v>
      </c>
      <c r="E929" s="35" t="s">
        <v>2455</v>
      </c>
      <c r="F929" s="35" t="s">
        <v>45</v>
      </c>
      <c r="G929" s="106"/>
      <c r="H929" s="33">
        <v>43220</v>
      </c>
      <c r="I929" s="34" t="s">
        <v>2568</v>
      </c>
      <c r="J929" s="36">
        <v>225</v>
      </c>
      <c r="K929" t="s">
        <v>2030</v>
      </c>
    </row>
    <row r="930" spans="1:11" x14ac:dyDescent="0.3">
      <c r="A930" t="s">
        <v>818</v>
      </c>
      <c r="B930" s="33">
        <v>43250</v>
      </c>
      <c r="C930" s="34" t="s">
        <v>2432</v>
      </c>
      <c r="D930" s="34">
        <v>1</v>
      </c>
      <c r="E930" s="35" t="s">
        <v>2455</v>
      </c>
      <c r="F930" s="35" t="s">
        <v>49</v>
      </c>
      <c r="G930" s="106"/>
      <c r="H930" s="33">
        <v>43220</v>
      </c>
      <c r="I930" s="34" t="s">
        <v>2569</v>
      </c>
      <c r="J930" s="36">
        <v>172.5</v>
      </c>
      <c r="K930" t="s">
        <v>2030</v>
      </c>
    </row>
    <row r="931" spans="1:11" x14ac:dyDescent="0.3">
      <c r="A931" t="s">
        <v>818</v>
      </c>
      <c r="B931" s="33">
        <v>43250</v>
      </c>
      <c r="C931" s="34" t="s">
        <v>2432</v>
      </c>
      <c r="D931" s="34">
        <v>1</v>
      </c>
      <c r="E931" s="35" t="s">
        <v>2455</v>
      </c>
      <c r="F931" s="35" t="s">
        <v>44</v>
      </c>
      <c r="G931" s="106"/>
      <c r="H931" s="33">
        <v>43220</v>
      </c>
      <c r="I931" s="34" t="s">
        <v>2570</v>
      </c>
      <c r="J931" s="36">
        <v>225</v>
      </c>
      <c r="K931" t="s">
        <v>2030</v>
      </c>
    </row>
    <row r="932" spans="1:11" x14ac:dyDescent="0.3">
      <c r="A932" t="s">
        <v>818</v>
      </c>
      <c r="B932" s="33">
        <v>43250</v>
      </c>
      <c r="C932" s="34" t="s">
        <v>2432</v>
      </c>
      <c r="D932" s="34">
        <v>1</v>
      </c>
      <c r="E932" s="35" t="s">
        <v>2455</v>
      </c>
      <c r="F932" s="35" t="s">
        <v>295</v>
      </c>
      <c r="G932" s="106"/>
      <c r="H932" s="33">
        <v>43220</v>
      </c>
      <c r="I932" s="34" t="s">
        <v>2571</v>
      </c>
      <c r="J932" s="36">
        <v>172.5</v>
      </c>
      <c r="K932" t="s">
        <v>2030</v>
      </c>
    </row>
    <row r="933" spans="1:11" x14ac:dyDescent="0.3">
      <c r="A933" t="s">
        <v>818</v>
      </c>
      <c r="B933" s="33">
        <v>43250</v>
      </c>
      <c r="C933" s="34" t="s">
        <v>2432</v>
      </c>
      <c r="D933" s="34">
        <v>1</v>
      </c>
      <c r="E933" s="35" t="s">
        <v>2455</v>
      </c>
      <c r="F933" s="35" t="s">
        <v>52</v>
      </c>
      <c r="G933" s="106"/>
      <c r="H933" s="33">
        <v>43220</v>
      </c>
      <c r="I933" s="34" t="s">
        <v>2572</v>
      </c>
      <c r="J933" s="36">
        <v>172.5</v>
      </c>
      <c r="K933" t="s">
        <v>2030</v>
      </c>
    </row>
    <row r="934" spans="1:11" x14ac:dyDescent="0.3">
      <c r="A934" t="s">
        <v>818</v>
      </c>
      <c r="B934" s="33">
        <v>43250</v>
      </c>
      <c r="C934" s="34" t="s">
        <v>2432</v>
      </c>
      <c r="D934" s="34">
        <v>1</v>
      </c>
      <c r="E934" s="35" t="s">
        <v>2455</v>
      </c>
      <c r="F934" s="35" t="s">
        <v>54</v>
      </c>
      <c r="G934" s="106"/>
      <c r="H934" s="33">
        <v>43220</v>
      </c>
      <c r="I934" s="34" t="s">
        <v>2573</v>
      </c>
      <c r="J934" s="36">
        <v>172.5</v>
      </c>
      <c r="K934" t="s">
        <v>2030</v>
      </c>
    </row>
    <row r="935" spans="1:11" x14ac:dyDescent="0.3">
      <c r="A935" t="s">
        <v>818</v>
      </c>
      <c r="B935" s="33">
        <v>43250</v>
      </c>
      <c r="C935" s="34" t="s">
        <v>2432</v>
      </c>
      <c r="D935" s="34">
        <v>1</v>
      </c>
      <c r="E935" s="35" t="s">
        <v>2455</v>
      </c>
      <c r="F935" s="35" t="s">
        <v>55</v>
      </c>
      <c r="G935" s="106"/>
      <c r="H935" s="33">
        <v>43220</v>
      </c>
      <c r="I935" s="34" t="s">
        <v>2574</v>
      </c>
      <c r="J935" s="36">
        <v>172.5</v>
      </c>
      <c r="K935" t="s">
        <v>2030</v>
      </c>
    </row>
    <row r="936" spans="1:11" x14ac:dyDescent="0.3">
      <c r="A936" t="s">
        <v>818</v>
      </c>
      <c r="B936" s="33">
        <v>43250</v>
      </c>
      <c r="C936" s="34" t="s">
        <v>2432</v>
      </c>
      <c r="D936" s="34">
        <v>1</v>
      </c>
      <c r="E936" s="35" t="s">
        <v>2455</v>
      </c>
      <c r="F936" s="35" t="s">
        <v>48</v>
      </c>
      <c r="G936" s="106"/>
      <c r="H936" s="33">
        <v>43220</v>
      </c>
      <c r="I936" s="34" t="s">
        <v>2575</v>
      </c>
      <c r="J936" s="36">
        <v>172.5</v>
      </c>
      <c r="K936" t="s">
        <v>2030</v>
      </c>
    </row>
    <row r="937" spans="1:11" x14ac:dyDescent="0.3">
      <c r="A937" t="s">
        <v>818</v>
      </c>
      <c r="B937" s="33">
        <v>43250</v>
      </c>
      <c r="C937" s="34" t="s">
        <v>2432</v>
      </c>
      <c r="D937" s="34">
        <v>1</v>
      </c>
      <c r="E937" s="35" t="s">
        <v>2455</v>
      </c>
      <c r="F937" s="35" t="s">
        <v>53</v>
      </c>
      <c r="G937" s="106"/>
      <c r="H937" s="33">
        <v>43220</v>
      </c>
      <c r="I937" s="34" t="s">
        <v>2576</v>
      </c>
      <c r="J937" s="36">
        <v>172.5</v>
      </c>
      <c r="K937" t="s">
        <v>2030</v>
      </c>
    </row>
    <row r="938" spans="1:11" x14ac:dyDescent="0.3">
      <c r="A938" t="s">
        <v>818</v>
      </c>
      <c r="B938" s="33">
        <v>43250</v>
      </c>
      <c r="C938" s="34" t="s">
        <v>2432</v>
      </c>
      <c r="D938" s="34">
        <v>1</v>
      </c>
      <c r="E938" s="35" t="s">
        <v>2455</v>
      </c>
      <c r="F938" s="35" t="s">
        <v>47</v>
      </c>
      <c r="G938" s="106"/>
      <c r="H938" s="33">
        <v>43220</v>
      </c>
      <c r="I938" s="34" t="s">
        <v>2577</v>
      </c>
      <c r="J938" s="36">
        <v>225</v>
      </c>
      <c r="K938" t="s">
        <v>2030</v>
      </c>
    </row>
    <row r="939" spans="1:11" x14ac:dyDescent="0.3">
      <c r="A939" t="s">
        <v>818</v>
      </c>
      <c r="B939" s="33">
        <v>43250</v>
      </c>
      <c r="C939" s="34" t="s">
        <v>2432</v>
      </c>
      <c r="D939" s="34">
        <v>1</v>
      </c>
      <c r="E939" s="35" t="s">
        <v>2455</v>
      </c>
      <c r="F939" s="35" t="s">
        <v>46</v>
      </c>
      <c r="G939" s="106"/>
      <c r="H939" s="33">
        <v>43220</v>
      </c>
      <c r="I939" s="34" t="s">
        <v>2578</v>
      </c>
      <c r="J939" s="36">
        <v>225</v>
      </c>
      <c r="K939" t="s">
        <v>2030</v>
      </c>
    </row>
    <row r="940" spans="1:11" x14ac:dyDescent="0.3">
      <c r="A940" t="s">
        <v>818</v>
      </c>
      <c r="B940" s="33">
        <v>43250</v>
      </c>
      <c r="C940" s="34" t="s">
        <v>2432</v>
      </c>
      <c r="D940" s="34">
        <v>1</v>
      </c>
      <c r="E940" s="35" t="s">
        <v>2455</v>
      </c>
      <c r="F940" s="35" t="s">
        <v>56</v>
      </c>
      <c r="G940" s="106"/>
      <c r="H940" s="33">
        <v>43220</v>
      </c>
      <c r="I940" s="34" t="s">
        <v>2579</v>
      </c>
      <c r="J940" s="36">
        <v>172.5</v>
      </c>
      <c r="K940" t="s">
        <v>2030</v>
      </c>
    </row>
    <row r="941" spans="1:11" x14ac:dyDescent="0.3">
      <c r="A941" t="s">
        <v>818</v>
      </c>
      <c r="B941" s="33">
        <v>43250</v>
      </c>
      <c r="C941" s="34" t="s">
        <v>2432</v>
      </c>
      <c r="D941" s="34">
        <v>1</v>
      </c>
      <c r="E941" s="35" t="s">
        <v>2455</v>
      </c>
      <c r="F941" s="35" t="s">
        <v>50</v>
      </c>
      <c r="G941" s="106"/>
      <c r="H941" s="33">
        <v>43220</v>
      </c>
      <c r="I941" s="34" t="s">
        <v>2580</v>
      </c>
      <c r="J941" s="36">
        <v>172.5</v>
      </c>
      <c r="K941" t="s">
        <v>2030</v>
      </c>
    </row>
    <row r="942" spans="1:11" x14ac:dyDescent="0.3">
      <c r="A942" t="s">
        <v>818</v>
      </c>
      <c r="B942" s="33">
        <v>43250</v>
      </c>
      <c r="C942" s="34" t="s">
        <v>2432</v>
      </c>
      <c r="D942" s="34">
        <v>1</v>
      </c>
      <c r="E942" s="35" t="s">
        <v>2455</v>
      </c>
      <c r="F942" s="35" t="s">
        <v>51</v>
      </c>
      <c r="G942" s="106"/>
      <c r="H942" s="33">
        <v>43220</v>
      </c>
      <c r="I942" s="34" t="s">
        <v>2581</v>
      </c>
      <c r="J942" s="36">
        <v>172.5</v>
      </c>
      <c r="K942" t="s">
        <v>2030</v>
      </c>
    </row>
    <row r="943" spans="1:11" x14ac:dyDescent="0.3">
      <c r="A943" t="s">
        <v>818</v>
      </c>
      <c r="B943" s="33">
        <v>43250</v>
      </c>
      <c r="C943" s="34" t="s">
        <v>2432</v>
      </c>
      <c r="D943" s="34">
        <v>1</v>
      </c>
      <c r="E943" s="35" t="s">
        <v>2455</v>
      </c>
      <c r="F943" s="35" t="s">
        <v>57</v>
      </c>
      <c r="G943" s="106"/>
      <c r="H943" s="33">
        <v>43220</v>
      </c>
      <c r="I943" s="34" t="s">
        <v>2582</v>
      </c>
      <c r="J943" s="36">
        <v>172.5</v>
      </c>
      <c r="K943" t="s">
        <v>2030</v>
      </c>
    </row>
    <row r="944" spans="1:11" x14ac:dyDescent="0.3">
      <c r="A944" t="s">
        <v>818</v>
      </c>
      <c r="B944" s="33">
        <v>43250</v>
      </c>
      <c r="C944" s="34" t="s">
        <v>2432</v>
      </c>
      <c r="D944" s="34">
        <v>1</v>
      </c>
      <c r="E944" s="35" t="s">
        <v>2455</v>
      </c>
      <c r="F944" s="35" t="s">
        <v>66</v>
      </c>
      <c r="G944" s="106"/>
      <c r="H944" s="33">
        <v>43220</v>
      </c>
      <c r="I944" s="34" t="s">
        <v>2583</v>
      </c>
      <c r="J944" s="36">
        <v>225</v>
      </c>
      <c r="K944" t="s">
        <v>2030</v>
      </c>
    </row>
    <row r="945" spans="1:11" x14ac:dyDescent="0.3">
      <c r="A945" t="s">
        <v>818</v>
      </c>
      <c r="B945" s="33">
        <v>43250</v>
      </c>
      <c r="C945" s="34" t="s">
        <v>2432</v>
      </c>
      <c r="D945" s="34">
        <v>1</v>
      </c>
      <c r="E945" s="35" t="s">
        <v>2455</v>
      </c>
      <c r="F945" s="35" t="s">
        <v>63</v>
      </c>
      <c r="G945" s="106"/>
      <c r="H945" s="33">
        <v>43220</v>
      </c>
      <c r="I945" s="34" t="s">
        <v>2584</v>
      </c>
      <c r="J945" s="36">
        <v>225</v>
      </c>
      <c r="K945" t="s">
        <v>2030</v>
      </c>
    </row>
    <row r="946" spans="1:11" x14ac:dyDescent="0.3">
      <c r="A946" t="s">
        <v>818</v>
      </c>
      <c r="B946" s="33">
        <v>43250</v>
      </c>
      <c r="C946" s="34" t="s">
        <v>2432</v>
      </c>
      <c r="D946" s="34">
        <v>1</v>
      </c>
      <c r="E946" s="35" t="s">
        <v>2455</v>
      </c>
      <c r="F946" s="35" t="s">
        <v>65</v>
      </c>
      <c r="G946" s="106"/>
      <c r="H946" s="33">
        <v>43220</v>
      </c>
      <c r="I946" s="34" t="s">
        <v>2585</v>
      </c>
      <c r="J946" s="36">
        <v>225</v>
      </c>
      <c r="K946" t="s">
        <v>2030</v>
      </c>
    </row>
    <row r="947" spans="1:11" x14ac:dyDescent="0.3">
      <c r="A947" t="s">
        <v>818</v>
      </c>
      <c r="B947" s="33">
        <v>43250</v>
      </c>
      <c r="C947" s="34" t="s">
        <v>2432</v>
      </c>
      <c r="D947" s="34">
        <v>1</v>
      </c>
      <c r="E947" s="35" t="s">
        <v>2455</v>
      </c>
      <c r="F947" s="35" t="s">
        <v>116</v>
      </c>
      <c r="G947" s="106"/>
      <c r="H947" s="33">
        <v>43220</v>
      </c>
      <c r="I947" s="34" t="s">
        <v>2586</v>
      </c>
      <c r="J947" s="36">
        <v>225</v>
      </c>
      <c r="K947" t="s">
        <v>2030</v>
      </c>
    </row>
    <row r="948" spans="1:11" x14ac:dyDescent="0.3">
      <c r="A948" t="s">
        <v>818</v>
      </c>
      <c r="B948" s="33">
        <v>43250</v>
      </c>
      <c r="C948" s="34" t="s">
        <v>2432</v>
      </c>
      <c r="D948" s="34">
        <v>1</v>
      </c>
      <c r="E948" s="35" t="s">
        <v>2455</v>
      </c>
      <c r="F948" s="35" t="s">
        <v>117</v>
      </c>
      <c r="G948" s="106"/>
      <c r="H948" s="33">
        <v>43220</v>
      </c>
      <c r="I948" s="34" t="s">
        <v>2587</v>
      </c>
      <c r="J948" s="36">
        <v>225</v>
      </c>
      <c r="K948" t="s">
        <v>2030</v>
      </c>
    </row>
    <row r="949" spans="1:11" x14ac:dyDescent="0.3">
      <c r="A949" t="s">
        <v>818</v>
      </c>
      <c r="B949" s="33">
        <v>43250</v>
      </c>
      <c r="C949" s="34" t="s">
        <v>2432</v>
      </c>
      <c r="D949" s="34">
        <v>1</v>
      </c>
      <c r="E949" s="35" t="s">
        <v>2455</v>
      </c>
      <c r="F949" s="35" t="s">
        <v>120</v>
      </c>
      <c r="G949" s="106"/>
      <c r="H949" s="33">
        <v>43220</v>
      </c>
      <c r="I949" s="34" t="s">
        <v>2588</v>
      </c>
      <c r="J949" s="36">
        <v>225</v>
      </c>
      <c r="K949" t="s">
        <v>2030</v>
      </c>
    </row>
    <row r="950" spans="1:11" x14ac:dyDescent="0.3">
      <c r="A950" t="s">
        <v>818</v>
      </c>
      <c r="B950" s="33">
        <v>43250</v>
      </c>
      <c r="C950" s="34" t="s">
        <v>2432</v>
      </c>
      <c r="D950" s="34">
        <v>1</v>
      </c>
      <c r="E950" s="35" t="s">
        <v>2455</v>
      </c>
      <c r="F950" s="35" t="s">
        <v>121</v>
      </c>
      <c r="G950" s="106"/>
      <c r="H950" s="33">
        <v>43220</v>
      </c>
      <c r="I950" s="34" t="s">
        <v>2589</v>
      </c>
      <c r="J950" s="36">
        <v>225</v>
      </c>
      <c r="K950" t="s">
        <v>2030</v>
      </c>
    </row>
    <row r="951" spans="1:11" x14ac:dyDescent="0.3">
      <c r="A951" t="s">
        <v>818</v>
      </c>
      <c r="B951" s="33">
        <v>43250</v>
      </c>
      <c r="C951" s="34" t="s">
        <v>2432</v>
      </c>
      <c r="D951" s="34">
        <v>1</v>
      </c>
      <c r="E951" s="35" t="s">
        <v>2455</v>
      </c>
      <c r="F951" s="35" t="s">
        <v>9</v>
      </c>
      <c r="G951" s="106"/>
      <c r="H951" s="33">
        <v>43220</v>
      </c>
      <c r="I951" s="34" t="s">
        <v>2590</v>
      </c>
      <c r="J951" s="36">
        <v>225</v>
      </c>
      <c r="K951" t="s">
        <v>2030</v>
      </c>
    </row>
    <row r="952" spans="1:11" x14ac:dyDescent="0.3">
      <c r="A952" t="s">
        <v>818</v>
      </c>
      <c r="B952" s="33">
        <v>43250</v>
      </c>
      <c r="C952" s="34" t="s">
        <v>2432</v>
      </c>
      <c r="D952" s="34">
        <v>1</v>
      </c>
      <c r="E952" s="35" t="s">
        <v>2455</v>
      </c>
      <c r="F952" s="35" t="s">
        <v>122</v>
      </c>
      <c r="G952" s="106"/>
      <c r="H952" s="33">
        <v>43220</v>
      </c>
      <c r="I952" s="34" t="s">
        <v>2591</v>
      </c>
      <c r="J952" s="36">
        <v>225</v>
      </c>
      <c r="K952" t="s">
        <v>2030</v>
      </c>
    </row>
    <row r="953" spans="1:11" x14ac:dyDescent="0.3">
      <c r="A953" t="s">
        <v>818</v>
      </c>
      <c r="B953" s="33">
        <v>43250</v>
      </c>
      <c r="C953" s="34" t="s">
        <v>2432</v>
      </c>
      <c r="D953" s="34">
        <v>1</v>
      </c>
      <c r="E953" s="35" t="s">
        <v>2455</v>
      </c>
      <c r="F953" s="35" t="s">
        <v>130</v>
      </c>
      <c r="G953" s="106"/>
      <c r="H953" s="33">
        <v>43220</v>
      </c>
      <c r="I953" s="34" t="s">
        <v>2592</v>
      </c>
      <c r="J953" s="36">
        <v>225</v>
      </c>
      <c r="K953" t="s">
        <v>2030</v>
      </c>
    </row>
    <row r="954" spans="1:11" x14ac:dyDescent="0.3">
      <c r="A954" t="s">
        <v>818</v>
      </c>
      <c r="B954" s="33">
        <v>43250</v>
      </c>
      <c r="C954" s="34" t="s">
        <v>2432</v>
      </c>
      <c r="D954" s="34">
        <v>1</v>
      </c>
      <c r="E954" s="35" t="s">
        <v>2455</v>
      </c>
      <c r="F954" s="35" t="s">
        <v>123</v>
      </c>
      <c r="G954" s="106"/>
      <c r="H954" s="33">
        <v>43220</v>
      </c>
      <c r="I954" s="34" t="s">
        <v>2593</v>
      </c>
      <c r="J954" s="36">
        <v>225</v>
      </c>
      <c r="K954" t="s">
        <v>2030</v>
      </c>
    </row>
    <row r="955" spans="1:11" x14ac:dyDescent="0.3">
      <c r="A955" t="s">
        <v>818</v>
      </c>
      <c r="B955" s="33">
        <v>43250</v>
      </c>
      <c r="C955" s="34" t="s">
        <v>2432</v>
      </c>
      <c r="D955" s="34">
        <v>1</v>
      </c>
      <c r="E955" s="35" t="s">
        <v>2455</v>
      </c>
      <c r="F955" s="35" t="s">
        <v>127</v>
      </c>
      <c r="G955" s="106"/>
      <c r="H955" s="33">
        <v>43220</v>
      </c>
      <c r="I955" s="34" t="s">
        <v>2594</v>
      </c>
      <c r="J955" s="36">
        <v>225</v>
      </c>
      <c r="K955" t="s">
        <v>2030</v>
      </c>
    </row>
    <row r="956" spans="1:11" x14ac:dyDescent="0.3">
      <c r="A956" t="s">
        <v>818</v>
      </c>
      <c r="B956" s="33">
        <v>43250</v>
      </c>
      <c r="C956" s="34" t="s">
        <v>2432</v>
      </c>
      <c r="D956" s="34">
        <v>1</v>
      </c>
      <c r="E956" s="35" t="s">
        <v>2455</v>
      </c>
      <c r="F956" s="35" t="s">
        <v>132</v>
      </c>
      <c r="G956" s="106"/>
      <c r="H956" s="33">
        <v>43220</v>
      </c>
      <c r="I956" s="34" t="s">
        <v>2595</v>
      </c>
      <c r="J956" s="36">
        <v>225</v>
      </c>
      <c r="K956" t="s">
        <v>2030</v>
      </c>
    </row>
    <row r="957" spans="1:11" x14ac:dyDescent="0.3">
      <c r="A957" t="s">
        <v>818</v>
      </c>
      <c r="B957" s="33">
        <v>43250</v>
      </c>
      <c r="C957" s="34" t="s">
        <v>2432</v>
      </c>
      <c r="D957" s="34">
        <v>1</v>
      </c>
      <c r="E957" s="35" t="s">
        <v>2455</v>
      </c>
      <c r="F957" s="35" t="s">
        <v>131</v>
      </c>
      <c r="G957" s="106"/>
      <c r="H957" s="33">
        <v>43220</v>
      </c>
      <c r="I957" s="34" t="s">
        <v>2596</v>
      </c>
      <c r="J957" s="36">
        <v>225</v>
      </c>
      <c r="K957" t="s">
        <v>2030</v>
      </c>
    </row>
    <row r="958" spans="1:11" x14ac:dyDescent="0.3">
      <c r="A958" t="s">
        <v>818</v>
      </c>
      <c r="B958" s="33">
        <v>43250</v>
      </c>
      <c r="C958" s="34" t="s">
        <v>2432</v>
      </c>
      <c r="D958" s="34">
        <v>1</v>
      </c>
      <c r="E958" s="35" t="s">
        <v>2455</v>
      </c>
      <c r="F958" s="35" t="s">
        <v>126</v>
      </c>
      <c r="G958" s="106"/>
      <c r="H958" s="33">
        <v>43220</v>
      </c>
      <c r="I958" s="34" t="s">
        <v>2597</v>
      </c>
      <c r="J958" s="36">
        <v>225</v>
      </c>
      <c r="K958" t="s">
        <v>2030</v>
      </c>
    </row>
    <row r="959" spans="1:11" x14ac:dyDescent="0.3">
      <c r="A959" t="s">
        <v>818</v>
      </c>
      <c r="B959" s="33">
        <v>43250</v>
      </c>
      <c r="C959" s="34" t="s">
        <v>2432</v>
      </c>
      <c r="D959" s="34">
        <v>1</v>
      </c>
      <c r="E959" s="35" t="s">
        <v>2455</v>
      </c>
      <c r="F959" s="35" t="s">
        <v>136</v>
      </c>
      <c r="G959" s="106"/>
      <c r="H959" s="33">
        <v>43220</v>
      </c>
      <c r="I959" s="34" t="s">
        <v>2598</v>
      </c>
      <c r="J959" s="36">
        <v>225</v>
      </c>
      <c r="K959" t="s">
        <v>2030</v>
      </c>
    </row>
    <row r="960" spans="1:11" x14ac:dyDescent="0.3">
      <c r="A960" t="s">
        <v>818</v>
      </c>
      <c r="B960" s="33">
        <v>43250</v>
      </c>
      <c r="C960" s="34" t="s">
        <v>2432</v>
      </c>
      <c r="D960" s="34">
        <v>1</v>
      </c>
      <c r="E960" s="35" t="s">
        <v>2455</v>
      </c>
      <c r="F960" s="35" t="s">
        <v>137</v>
      </c>
      <c r="G960" s="106"/>
      <c r="H960" s="33">
        <v>43220</v>
      </c>
      <c r="I960" s="34" t="s">
        <v>2599</v>
      </c>
      <c r="J960" s="36">
        <v>225</v>
      </c>
      <c r="K960" t="s">
        <v>2030</v>
      </c>
    </row>
    <row r="961" spans="1:11" x14ac:dyDescent="0.3">
      <c r="A961" t="s">
        <v>818</v>
      </c>
      <c r="B961" s="33">
        <v>43250</v>
      </c>
      <c r="C961" s="34" t="s">
        <v>2432</v>
      </c>
      <c r="D961" s="34">
        <v>1</v>
      </c>
      <c r="E961" s="35" t="s">
        <v>2455</v>
      </c>
      <c r="F961" s="35" t="s">
        <v>138</v>
      </c>
      <c r="G961" s="106"/>
      <c r="H961" s="33">
        <v>43220</v>
      </c>
      <c r="I961" s="34" t="s">
        <v>2600</v>
      </c>
      <c r="J961" s="36">
        <v>225</v>
      </c>
      <c r="K961" t="s">
        <v>2030</v>
      </c>
    </row>
    <row r="962" spans="1:11" x14ac:dyDescent="0.3">
      <c r="A962" t="s">
        <v>818</v>
      </c>
      <c r="B962" s="33">
        <v>43250</v>
      </c>
      <c r="C962" s="34" t="s">
        <v>2432</v>
      </c>
      <c r="D962" s="34">
        <v>1</v>
      </c>
      <c r="E962" s="35" t="s">
        <v>2455</v>
      </c>
      <c r="F962" s="35" t="s">
        <v>133</v>
      </c>
      <c r="G962" s="106"/>
      <c r="H962" s="33">
        <v>43220</v>
      </c>
      <c r="I962" s="34" t="s">
        <v>2601</v>
      </c>
      <c r="J962" s="36">
        <v>225</v>
      </c>
      <c r="K962" t="s">
        <v>2030</v>
      </c>
    </row>
    <row r="963" spans="1:11" x14ac:dyDescent="0.3">
      <c r="A963" t="s">
        <v>818</v>
      </c>
      <c r="B963" s="33">
        <v>43250</v>
      </c>
      <c r="C963" s="34" t="s">
        <v>2432</v>
      </c>
      <c r="D963" s="34">
        <v>1</v>
      </c>
      <c r="E963" s="35" t="s">
        <v>2455</v>
      </c>
      <c r="F963" s="35" t="s">
        <v>129</v>
      </c>
      <c r="G963" s="106"/>
      <c r="H963" s="33">
        <v>43220</v>
      </c>
      <c r="I963" s="34" t="s">
        <v>2602</v>
      </c>
      <c r="J963" s="36">
        <v>225</v>
      </c>
      <c r="K963" t="s">
        <v>2030</v>
      </c>
    </row>
    <row r="964" spans="1:11" x14ac:dyDescent="0.3">
      <c r="A964" t="s">
        <v>818</v>
      </c>
      <c r="B964" s="33">
        <v>43250</v>
      </c>
      <c r="C964" s="34" t="s">
        <v>2432</v>
      </c>
      <c r="D964" s="34">
        <v>1</v>
      </c>
      <c r="E964" s="35" t="s">
        <v>2455</v>
      </c>
      <c r="F964" s="35" t="s">
        <v>125</v>
      </c>
      <c r="G964" s="106"/>
      <c r="H964" s="33">
        <v>43220</v>
      </c>
      <c r="I964" s="34" t="s">
        <v>2603</v>
      </c>
      <c r="J964" s="36">
        <v>225</v>
      </c>
      <c r="K964" t="s">
        <v>2030</v>
      </c>
    </row>
    <row r="965" spans="1:11" x14ac:dyDescent="0.3">
      <c r="A965" t="s">
        <v>818</v>
      </c>
      <c r="B965" s="33">
        <v>43250</v>
      </c>
      <c r="C965" s="34" t="s">
        <v>2432</v>
      </c>
      <c r="D965" s="34">
        <v>1</v>
      </c>
      <c r="E965" s="35" t="s">
        <v>2455</v>
      </c>
      <c r="F965" s="35" t="s">
        <v>134</v>
      </c>
      <c r="G965" s="106"/>
      <c r="H965" s="33">
        <v>43220</v>
      </c>
      <c r="I965" s="34" t="s">
        <v>2604</v>
      </c>
      <c r="J965" s="36">
        <v>225</v>
      </c>
      <c r="K965" t="s">
        <v>2030</v>
      </c>
    </row>
    <row r="966" spans="1:11" x14ac:dyDescent="0.3">
      <c r="A966" t="s">
        <v>818</v>
      </c>
      <c r="B966" s="33">
        <v>43250</v>
      </c>
      <c r="C966" s="34" t="s">
        <v>2432</v>
      </c>
      <c r="D966" s="34">
        <v>1</v>
      </c>
      <c r="E966" s="35" t="s">
        <v>2455</v>
      </c>
      <c r="F966" s="35" t="s">
        <v>128</v>
      </c>
      <c r="G966" s="106"/>
      <c r="H966" s="33">
        <v>43220</v>
      </c>
      <c r="I966" s="34" t="s">
        <v>2605</v>
      </c>
      <c r="J966" s="36">
        <v>225</v>
      </c>
      <c r="K966" t="s">
        <v>2030</v>
      </c>
    </row>
    <row r="967" spans="1:11" x14ac:dyDescent="0.3">
      <c r="A967" t="s">
        <v>818</v>
      </c>
      <c r="B967" s="33">
        <v>43250</v>
      </c>
      <c r="C967" s="34" t="s">
        <v>2432</v>
      </c>
      <c r="D967" s="34">
        <v>1</v>
      </c>
      <c r="E967" s="35" t="s">
        <v>2455</v>
      </c>
      <c r="F967" s="35" t="s">
        <v>139</v>
      </c>
      <c r="G967" s="106"/>
      <c r="H967" s="33">
        <v>43220</v>
      </c>
      <c r="I967" s="34" t="s">
        <v>2606</v>
      </c>
      <c r="J967" s="36">
        <v>172.5</v>
      </c>
      <c r="K967" t="s">
        <v>2030</v>
      </c>
    </row>
    <row r="968" spans="1:11" x14ac:dyDescent="0.3">
      <c r="A968" t="s">
        <v>818</v>
      </c>
      <c r="B968" s="33">
        <v>43250</v>
      </c>
      <c r="C968" s="34" t="s">
        <v>2432</v>
      </c>
      <c r="D968" s="34">
        <v>1</v>
      </c>
      <c r="E968" s="35" t="s">
        <v>2455</v>
      </c>
      <c r="F968" s="35" t="s">
        <v>124</v>
      </c>
      <c r="G968" s="106"/>
      <c r="H968" s="33">
        <v>43220</v>
      </c>
      <c r="I968" s="34" t="s">
        <v>2607</v>
      </c>
      <c r="J968" s="36">
        <v>225</v>
      </c>
      <c r="K968" t="s">
        <v>2030</v>
      </c>
    </row>
    <row r="969" spans="1:11" x14ac:dyDescent="0.3">
      <c r="A969" t="s">
        <v>818</v>
      </c>
      <c r="B969" s="33">
        <v>43250</v>
      </c>
      <c r="C969" s="34" t="s">
        <v>2432</v>
      </c>
      <c r="D969" s="34">
        <v>1</v>
      </c>
      <c r="E969" s="35" t="s">
        <v>2455</v>
      </c>
      <c r="F969" s="35" t="s">
        <v>135</v>
      </c>
      <c r="G969" s="106"/>
      <c r="H969" s="33">
        <v>43220</v>
      </c>
      <c r="I969" s="34" t="s">
        <v>2608</v>
      </c>
      <c r="J969" s="36">
        <v>225</v>
      </c>
      <c r="K969" t="s">
        <v>2030</v>
      </c>
    </row>
    <row r="970" spans="1:11" x14ac:dyDescent="0.3">
      <c r="A970" t="s">
        <v>818</v>
      </c>
      <c r="B970" s="33">
        <v>43250</v>
      </c>
      <c r="C970" s="34" t="s">
        <v>2432</v>
      </c>
      <c r="D970" s="34">
        <v>1</v>
      </c>
      <c r="E970" s="35" t="s">
        <v>2455</v>
      </c>
      <c r="F970" s="35" t="s">
        <v>140</v>
      </c>
      <c r="G970" s="106"/>
      <c r="H970" s="33">
        <v>43220</v>
      </c>
      <c r="I970" s="34" t="s">
        <v>2609</v>
      </c>
      <c r="J970" s="36">
        <v>172.5</v>
      </c>
      <c r="K970" t="s">
        <v>2030</v>
      </c>
    </row>
    <row r="971" spans="1:11" x14ac:dyDescent="0.3">
      <c r="A971" t="s">
        <v>818</v>
      </c>
      <c r="B971" s="33">
        <v>43250</v>
      </c>
      <c r="C971" s="34" t="s">
        <v>2432</v>
      </c>
      <c r="D971" s="34">
        <v>1</v>
      </c>
      <c r="E971" s="35" t="s">
        <v>2455</v>
      </c>
      <c r="F971" s="35" t="s">
        <v>144</v>
      </c>
      <c r="G971" s="106"/>
      <c r="H971" s="33">
        <v>43220</v>
      </c>
      <c r="I971" s="34" t="s">
        <v>2610</v>
      </c>
      <c r="J971" s="36">
        <v>270</v>
      </c>
      <c r="K971" t="s">
        <v>2030</v>
      </c>
    </row>
    <row r="972" spans="1:11" x14ac:dyDescent="0.3">
      <c r="A972" t="s">
        <v>818</v>
      </c>
      <c r="B972" s="33">
        <v>43250</v>
      </c>
      <c r="C972" s="34" t="s">
        <v>2432</v>
      </c>
      <c r="D972" s="34">
        <v>1</v>
      </c>
      <c r="E972" s="35" t="s">
        <v>2455</v>
      </c>
      <c r="F972" s="35" t="s">
        <v>10</v>
      </c>
      <c r="G972" s="106"/>
      <c r="H972" s="33">
        <v>43220</v>
      </c>
      <c r="I972" s="34" t="s">
        <v>2611</v>
      </c>
      <c r="J972" s="36">
        <v>225</v>
      </c>
      <c r="K972" t="s">
        <v>2030</v>
      </c>
    </row>
    <row r="973" spans="1:11" x14ac:dyDescent="0.3">
      <c r="A973" t="s">
        <v>818</v>
      </c>
      <c r="B973" s="33">
        <v>43250</v>
      </c>
      <c r="C973" s="34" t="s">
        <v>2432</v>
      </c>
      <c r="D973" s="34">
        <v>1</v>
      </c>
      <c r="E973" s="35" t="s">
        <v>2455</v>
      </c>
      <c r="F973" s="35" t="s">
        <v>149</v>
      </c>
      <c r="G973" s="106"/>
      <c r="H973" s="33">
        <v>43220</v>
      </c>
      <c r="I973" s="34" t="s">
        <v>2612</v>
      </c>
      <c r="J973" s="36">
        <v>480</v>
      </c>
      <c r="K973" t="s">
        <v>2030</v>
      </c>
    </row>
    <row r="974" spans="1:11" x14ac:dyDescent="0.3">
      <c r="A974" t="s">
        <v>818</v>
      </c>
      <c r="B974" s="33">
        <v>43250</v>
      </c>
      <c r="C974" s="34" t="s">
        <v>2432</v>
      </c>
      <c r="D974" s="34">
        <v>1</v>
      </c>
      <c r="E974" s="35" t="s">
        <v>2455</v>
      </c>
      <c r="F974" s="35" t="s">
        <v>146</v>
      </c>
      <c r="G974" s="106"/>
      <c r="H974" s="33">
        <v>43220</v>
      </c>
      <c r="I974" s="34" t="s">
        <v>2613</v>
      </c>
      <c r="J974" s="36">
        <v>270</v>
      </c>
      <c r="K974" t="s">
        <v>2030</v>
      </c>
    </row>
    <row r="975" spans="1:11" x14ac:dyDescent="0.3">
      <c r="A975" t="s">
        <v>818</v>
      </c>
      <c r="B975" s="33">
        <v>43250</v>
      </c>
      <c r="C975" s="34" t="s">
        <v>2432</v>
      </c>
      <c r="D975" s="34">
        <v>1</v>
      </c>
      <c r="E975" s="35" t="s">
        <v>2455</v>
      </c>
      <c r="F975" s="35" t="s">
        <v>147</v>
      </c>
      <c r="G975" s="106"/>
      <c r="H975" s="33">
        <v>43220</v>
      </c>
      <c r="I975" s="34" t="s">
        <v>2614</v>
      </c>
      <c r="J975" s="36">
        <v>172.5</v>
      </c>
      <c r="K975" t="s">
        <v>2030</v>
      </c>
    </row>
    <row r="976" spans="1:11" x14ac:dyDescent="0.3">
      <c r="A976" t="s">
        <v>818</v>
      </c>
      <c r="B976" s="33">
        <v>43250</v>
      </c>
      <c r="C976" s="34" t="s">
        <v>2432</v>
      </c>
      <c r="D976" s="34">
        <v>1</v>
      </c>
      <c r="E976" s="35" t="s">
        <v>2455</v>
      </c>
      <c r="F976" s="35" t="s">
        <v>143</v>
      </c>
      <c r="G976" s="106"/>
      <c r="H976" s="33">
        <v>43220</v>
      </c>
      <c r="I976" s="34" t="s">
        <v>2615</v>
      </c>
      <c r="J976" s="36">
        <v>270</v>
      </c>
      <c r="K976" t="s">
        <v>2030</v>
      </c>
    </row>
    <row r="977" spans="1:11" x14ac:dyDescent="0.3">
      <c r="A977" t="s">
        <v>818</v>
      </c>
      <c r="B977" s="33">
        <v>43250</v>
      </c>
      <c r="C977" s="34" t="s">
        <v>2432</v>
      </c>
      <c r="D977" s="34">
        <v>1</v>
      </c>
      <c r="E977" s="35" t="s">
        <v>2455</v>
      </c>
      <c r="F977" s="35" t="s">
        <v>79</v>
      </c>
      <c r="G977" s="106"/>
      <c r="H977" s="33">
        <v>43220</v>
      </c>
      <c r="I977" s="34" t="s">
        <v>2616</v>
      </c>
      <c r="J977" s="36">
        <v>225</v>
      </c>
      <c r="K977" t="s">
        <v>2030</v>
      </c>
    </row>
    <row r="978" spans="1:11" x14ac:dyDescent="0.3">
      <c r="A978" t="s">
        <v>818</v>
      </c>
      <c r="B978" s="33">
        <v>43250</v>
      </c>
      <c r="C978" s="34" t="s">
        <v>2432</v>
      </c>
      <c r="D978" s="34">
        <v>1</v>
      </c>
      <c r="E978" s="35" t="s">
        <v>2455</v>
      </c>
      <c r="F978" s="35" t="s">
        <v>8</v>
      </c>
      <c r="G978" s="106"/>
      <c r="H978" s="33">
        <v>43220</v>
      </c>
      <c r="I978" s="34" t="s">
        <v>2617</v>
      </c>
      <c r="J978" s="36">
        <v>300</v>
      </c>
      <c r="K978" t="s">
        <v>2030</v>
      </c>
    </row>
    <row r="979" spans="1:11" x14ac:dyDescent="0.3">
      <c r="A979" t="s">
        <v>818</v>
      </c>
      <c r="B979" s="33">
        <v>43250</v>
      </c>
      <c r="C979" s="34" t="s">
        <v>2432</v>
      </c>
      <c r="D979" s="34">
        <v>1</v>
      </c>
      <c r="E979" s="35" t="s">
        <v>2455</v>
      </c>
      <c r="F979" s="35" t="s">
        <v>98</v>
      </c>
      <c r="G979" s="106"/>
      <c r="H979" s="33">
        <v>43220</v>
      </c>
      <c r="I979" s="34" t="s">
        <v>2618</v>
      </c>
      <c r="J979" s="36">
        <v>225</v>
      </c>
      <c r="K979" t="s">
        <v>2030</v>
      </c>
    </row>
    <row r="980" spans="1:11" x14ac:dyDescent="0.3">
      <c r="A980" t="s">
        <v>818</v>
      </c>
      <c r="B980" s="33">
        <v>43250</v>
      </c>
      <c r="C980" s="34" t="s">
        <v>2432</v>
      </c>
      <c r="D980" s="34">
        <v>1</v>
      </c>
      <c r="E980" s="35" t="s">
        <v>2455</v>
      </c>
      <c r="F980" s="35" t="s">
        <v>97</v>
      </c>
      <c r="G980" s="106"/>
      <c r="H980" s="33">
        <v>43220</v>
      </c>
      <c r="I980" s="34" t="s">
        <v>2619</v>
      </c>
      <c r="J980" s="36">
        <v>225</v>
      </c>
      <c r="K980" t="s">
        <v>2030</v>
      </c>
    </row>
    <row r="981" spans="1:11" x14ac:dyDescent="0.3">
      <c r="A981" t="s">
        <v>818</v>
      </c>
      <c r="B981" s="33">
        <v>43250</v>
      </c>
      <c r="C981" s="34" t="s">
        <v>2432</v>
      </c>
      <c r="D981" s="34">
        <v>1</v>
      </c>
      <c r="E981" s="35" t="s">
        <v>2455</v>
      </c>
      <c r="F981" s="35" t="s">
        <v>30</v>
      </c>
      <c r="G981" s="106"/>
      <c r="H981" s="33">
        <v>43220</v>
      </c>
      <c r="I981" s="34" t="s">
        <v>2620</v>
      </c>
      <c r="J981" s="36">
        <v>225</v>
      </c>
      <c r="K981" t="s">
        <v>2030</v>
      </c>
    </row>
    <row r="982" spans="1:11" x14ac:dyDescent="0.3">
      <c r="A982" t="s">
        <v>818</v>
      </c>
      <c r="B982" s="33">
        <v>43250</v>
      </c>
      <c r="C982" s="34" t="s">
        <v>2432</v>
      </c>
      <c r="D982" s="34">
        <v>1</v>
      </c>
      <c r="E982" s="35" t="s">
        <v>2455</v>
      </c>
      <c r="F982" s="35" t="s">
        <v>94</v>
      </c>
      <c r="G982" s="106"/>
      <c r="H982" s="33">
        <v>43220</v>
      </c>
      <c r="I982" s="34" t="s">
        <v>2621</v>
      </c>
      <c r="J982" s="36">
        <v>225</v>
      </c>
      <c r="K982" t="s">
        <v>2030</v>
      </c>
    </row>
    <row r="983" spans="1:11" x14ac:dyDescent="0.3">
      <c r="A983" t="s">
        <v>818</v>
      </c>
      <c r="B983" s="33">
        <v>43250</v>
      </c>
      <c r="C983" s="34" t="s">
        <v>2432</v>
      </c>
      <c r="D983" s="34">
        <v>1</v>
      </c>
      <c r="E983" s="35" t="s">
        <v>2455</v>
      </c>
      <c r="F983" s="35" t="s">
        <v>92</v>
      </c>
      <c r="G983" s="106"/>
      <c r="H983" s="33">
        <v>43220</v>
      </c>
      <c r="I983" s="34" t="s">
        <v>2622</v>
      </c>
      <c r="J983" s="36">
        <v>225</v>
      </c>
      <c r="K983" t="s">
        <v>2030</v>
      </c>
    </row>
    <row r="984" spans="1:11" x14ac:dyDescent="0.3">
      <c r="A984" t="s">
        <v>818</v>
      </c>
      <c r="B984" s="33">
        <v>43250</v>
      </c>
      <c r="C984" s="34" t="s">
        <v>2432</v>
      </c>
      <c r="D984" s="34">
        <v>1</v>
      </c>
      <c r="E984" s="35" t="s">
        <v>2455</v>
      </c>
      <c r="F984" s="35" t="s">
        <v>93</v>
      </c>
      <c r="G984" s="106"/>
      <c r="H984" s="33">
        <v>43220</v>
      </c>
      <c r="I984" s="34" t="s">
        <v>2623</v>
      </c>
      <c r="J984" s="36">
        <v>225</v>
      </c>
      <c r="K984" t="s">
        <v>2030</v>
      </c>
    </row>
    <row r="985" spans="1:11" x14ac:dyDescent="0.3">
      <c r="A985" t="s">
        <v>818</v>
      </c>
      <c r="B985" s="33">
        <v>43250</v>
      </c>
      <c r="C985" s="34" t="s">
        <v>2432</v>
      </c>
      <c r="D985" s="34">
        <v>1</v>
      </c>
      <c r="E985" s="35" t="s">
        <v>2455</v>
      </c>
      <c r="F985" s="35" t="s">
        <v>96</v>
      </c>
      <c r="G985" s="106"/>
      <c r="H985" s="33">
        <v>43220</v>
      </c>
      <c r="I985" s="34" t="s">
        <v>2624</v>
      </c>
      <c r="J985" s="36">
        <v>225</v>
      </c>
      <c r="K985" t="s">
        <v>2030</v>
      </c>
    </row>
    <row r="986" spans="1:11" x14ac:dyDescent="0.3">
      <c r="A986" t="s">
        <v>818</v>
      </c>
      <c r="B986" s="33">
        <v>43250</v>
      </c>
      <c r="C986" s="34" t="s">
        <v>2432</v>
      </c>
      <c r="D986" s="34">
        <v>1</v>
      </c>
      <c r="E986" s="35" t="s">
        <v>2455</v>
      </c>
      <c r="F986" s="35" t="s">
        <v>95</v>
      </c>
      <c r="G986" s="106"/>
      <c r="H986" s="33">
        <v>43220</v>
      </c>
      <c r="I986" s="34" t="s">
        <v>2625</v>
      </c>
      <c r="J986" s="36">
        <v>225</v>
      </c>
      <c r="K986" t="s">
        <v>2030</v>
      </c>
    </row>
    <row r="987" spans="1:11" x14ac:dyDescent="0.3">
      <c r="A987" t="s">
        <v>818</v>
      </c>
      <c r="B987" s="33">
        <v>43250</v>
      </c>
      <c r="C987" s="34" t="s">
        <v>2432</v>
      </c>
      <c r="D987" s="34">
        <v>1</v>
      </c>
      <c r="E987" s="35" t="s">
        <v>2455</v>
      </c>
      <c r="F987" s="35" t="s">
        <v>91</v>
      </c>
      <c r="G987" s="106"/>
      <c r="H987" s="33">
        <v>43220</v>
      </c>
      <c r="I987" s="34" t="s">
        <v>2626</v>
      </c>
      <c r="J987" s="36">
        <v>225</v>
      </c>
      <c r="K987" t="s">
        <v>2030</v>
      </c>
    </row>
    <row r="988" spans="1:11" x14ac:dyDescent="0.3">
      <c r="A988" t="s">
        <v>818</v>
      </c>
      <c r="B988" s="33">
        <v>43250</v>
      </c>
      <c r="C988" s="34" t="s">
        <v>2432</v>
      </c>
      <c r="D988" s="34">
        <v>1</v>
      </c>
      <c r="E988" s="35" t="s">
        <v>2455</v>
      </c>
      <c r="F988" s="35" t="s">
        <v>100</v>
      </c>
      <c r="G988" s="106"/>
      <c r="H988" s="33">
        <v>43220</v>
      </c>
      <c r="I988" s="34" t="s">
        <v>2627</v>
      </c>
      <c r="J988" s="36">
        <v>225</v>
      </c>
      <c r="K988" t="s">
        <v>2030</v>
      </c>
    </row>
    <row r="989" spans="1:11" x14ac:dyDescent="0.3">
      <c r="A989" t="s">
        <v>818</v>
      </c>
      <c r="B989" s="33">
        <v>43250</v>
      </c>
      <c r="C989" s="34" t="s">
        <v>2432</v>
      </c>
      <c r="D989" s="34">
        <v>1</v>
      </c>
      <c r="E989" s="35" t="s">
        <v>2455</v>
      </c>
      <c r="F989" s="35" t="s">
        <v>105</v>
      </c>
      <c r="G989" s="106"/>
      <c r="H989" s="33">
        <v>43220</v>
      </c>
      <c r="I989" s="34" t="s">
        <v>2628</v>
      </c>
      <c r="J989" s="36">
        <v>225</v>
      </c>
      <c r="K989" t="s">
        <v>2030</v>
      </c>
    </row>
    <row r="990" spans="1:11" x14ac:dyDescent="0.3">
      <c r="A990" t="s">
        <v>818</v>
      </c>
      <c r="B990" s="33">
        <v>43250</v>
      </c>
      <c r="C990" s="34" t="s">
        <v>2432</v>
      </c>
      <c r="D990" s="34">
        <v>1</v>
      </c>
      <c r="E990" s="35" t="s">
        <v>2455</v>
      </c>
      <c r="F990" s="35" t="s">
        <v>99</v>
      </c>
      <c r="G990" s="106"/>
      <c r="H990" s="33">
        <v>43220</v>
      </c>
      <c r="I990" s="34" t="s">
        <v>2629</v>
      </c>
      <c r="J990" s="36">
        <v>225</v>
      </c>
      <c r="K990" t="s">
        <v>2030</v>
      </c>
    </row>
    <row r="991" spans="1:11" x14ac:dyDescent="0.3">
      <c r="A991" t="s">
        <v>818</v>
      </c>
      <c r="B991" s="33">
        <v>43250</v>
      </c>
      <c r="C991" s="34" t="s">
        <v>2432</v>
      </c>
      <c r="D991" s="34">
        <v>1</v>
      </c>
      <c r="E991" s="35" t="s">
        <v>2455</v>
      </c>
      <c r="F991" s="35" t="s">
        <v>106</v>
      </c>
      <c r="G991" s="106"/>
      <c r="H991" s="33">
        <v>43220</v>
      </c>
      <c r="I991" s="34" t="s">
        <v>2630</v>
      </c>
      <c r="J991" s="36">
        <v>225</v>
      </c>
      <c r="K991" t="s">
        <v>2030</v>
      </c>
    </row>
    <row r="992" spans="1:11" x14ac:dyDescent="0.3">
      <c r="A992" t="s">
        <v>818</v>
      </c>
      <c r="B992" s="33">
        <v>43250</v>
      </c>
      <c r="C992" s="34" t="s">
        <v>2432</v>
      </c>
      <c r="D992" s="34">
        <v>1</v>
      </c>
      <c r="E992" s="35" t="s">
        <v>2455</v>
      </c>
      <c r="F992" s="35" t="s">
        <v>113</v>
      </c>
      <c r="G992" s="106"/>
      <c r="H992" s="33">
        <v>43220</v>
      </c>
      <c r="I992" s="34" t="s">
        <v>2631</v>
      </c>
      <c r="J992" s="36">
        <v>225</v>
      </c>
      <c r="K992" t="s">
        <v>2030</v>
      </c>
    </row>
    <row r="993" spans="1:11" x14ac:dyDescent="0.3">
      <c r="A993" t="s">
        <v>818</v>
      </c>
      <c r="B993" s="33">
        <v>43250</v>
      </c>
      <c r="C993" s="34" t="s">
        <v>2432</v>
      </c>
      <c r="D993" s="34">
        <v>1</v>
      </c>
      <c r="E993" s="35" t="s">
        <v>2455</v>
      </c>
      <c r="F993" s="35" t="s">
        <v>108</v>
      </c>
      <c r="G993" s="106"/>
      <c r="H993" s="33">
        <v>43220</v>
      </c>
      <c r="I993" s="34" t="s">
        <v>2632</v>
      </c>
      <c r="J993" s="36">
        <v>225</v>
      </c>
      <c r="K993" t="s">
        <v>2030</v>
      </c>
    </row>
    <row r="994" spans="1:11" x14ac:dyDescent="0.3">
      <c r="A994" t="s">
        <v>818</v>
      </c>
      <c r="B994" s="33">
        <v>43250</v>
      </c>
      <c r="C994" s="34" t="s">
        <v>2432</v>
      </c>
      <c r="D994" s="34">
        <v>1</v>
      </c>
      <c r="E994" s="35" t="s">
        <v>2455</v>
      </c>
      <c r="F994" s="35" t="s">
        <v>102</v>
      </c>
      <c r="G994" s="106"/>
      <c r="H994" s="33">
        <v>43220</v>
      </c>
      <c r="I994" s="34" t="s">
        <v>2633</v>
      </c>
      <c r="J994" s="36">
        <v>225</v>
      </c>
      <c r="K994" t="s">
        <v>2030</v>
      </c>
    </row>
    <row r="995" spans="1:11" x14ac:dyDescent="0.3">
      <c r="A995" t="s">
        <v>818</v>
      </c>
      <c r="B995" s="33">
        <v>43250</v>
      </c>
      <c r="C995" s="34" t="s">
        <v>2432</v>
      </c>
      <c r="D995" s="34">
        <v>1</v>
      </c>
      <c r="E995" s="35" t="s">
        <v>2455</v>
      </c>
      <c r="F995" s="35" t="s">
        <v>111</v>
      </c>
      <c r="G995" s="106"/>
      <c r="H995" s="33">
        <v>43220</v>
      </c>
      <c r="I995" s="34" t="s">
        <v>2634</v>
      </c>
      <c r="J995" s="36">
        <v>225</v>
      </c>
      <c r="K995" t="s">
        <v>2030</v>
      </c>
    </row>
    <row r="996" spans="1:11" x14ac:dyDescent="0.3">
      <c r="A996" t="s">
        <v>818</v>
      </c>
      <c r="B996" s="33">
        <v>43250</v>
      </c>
      <c r="C996" s="34" t="s">
        <v>2432</v>
      </c>
      <c r="D996" s="34">
        <v>1</v>
      </c>
      <c r="E996" s="35" t="s">
        <v>2455</v>
      </c>
      <c r="F996" s="35" t="s">
        <v>110</v>
      </c>
      <c r="G996" s="106"/>
      <c r="H996" s="33">
        <v>43220</v>
      </c>
      <c r="I996" s="34" t="s">
        <v>2635</v>
      </c>
      <c r="J996" s="36">
        <v>225</v>
      </c>
      <c r="K996" t="s">
        <v>2030</v>
      </c>
    </row>
    <row r="997" spans="1:11" x14ac:dyDescent="0.3">
      <c r="A997" t="s">
        <v>818</v>
      </c>
      <c r="B997" s="33">
        <v>43250</v>
      </c>
      <c r="C997" s="34" t="s">
        <v>2432</v>
      </c>
      <c r="D997" s="34">
        <v>1</v>
      </c>
      <c r="E997" s="35" t="s">
        <v>2455</v>
      </c>
      <c r="F997" s="35" t="s">
        <v>104</v>
      </c>
      <c r="G997" s="106"/>
      <c r="H997" s="33">
        <v>43220</v>
      </c>
      <c r="I997" s="34" t="s">
        <v>2636</v>
      </c>
      <c r="J997" s="36">
        <v>225</v>
      </c>
      <c r="K997" t="s">
        <v>2030</v>
      </c>
    </row>
    <row r="998" spans="1:11" x14ac:dyDescent="0.3">
      <c r="A998" t="s">
        <v>818</v>
      </c>
      <c r="B998" s="33">
        <v>43250</v>
      </c>
      <c r="C998" s="34" t="s">
        <v>2432</v>
      </c>
      <c r="D998" s="34">
        <v>1</v>
      </c>
      <c r="E998" s="35" t="s">
        <v>2455</v>
      </c>
      <c r="F998" s="35" t="s">
        <v>103</v>
      </c>
      <c r="G998" s="106"/>
      <c r="H998" s="33">
        <v>43220</v>
      </c>
      <c r="I998" s="34" t="s">
        <v>2637</v>
      </c>
      <c r="J998" s="36">
        <v>225</v>
      </c>
      <c r="K998" t="s">
        <v>2030</v>
      </c>
    </row>
    <row r="999" spans="1:11" x14ac:dyDescent="0.3">
      <c r="A999" t="s">
        <v>818</v>
      </c>
      <c r="B999" s="33">
        <v>43250</v>
      </c>
      <c r="C999" s="34" t="s">
        <v>2432</v>
      </c>
      <c r="D999" s="34">
        <v>1</v>
      </c>
      <c r="E999" s="35" t="s">
        <v>2455</v>
      </c>
      <c r="F999" s="35" t="s">
        <v>109</v>
      </c>
      <c r="G999" s="106"/>
      <c r="H999" s="33">
        <v>43220</v>
      </c>
      <c r="I999" s="34" t="s">
        <v>2638</v>
      </c>
      <c r="J999" s="36">
        <v>225</v>
      </c>
      <c r="K999" t="s">
        <v>2030</v>
      </c>
    </row>
    <row r="1000" spans="1:11" x14ac:dyDescent="0.3">
      <c r="A1000" t="s">
        <v>818</v>
      </c>
      <c r="B1000" s="33">
        <v>43250</v>
      </c>
      <c r="C1000" s="34" t="s">
        <v>2432</v>
      </c>
      <c r="D1000" s="34">
        <v>1</v>
      </c>
      <c r="E1000" s="35" t="s">
        <v>2455</v>
      </c>
      <c r="F1000" s="35" t="s">
        <v>101</v>
      </c>
      <c r="G1000" s="106"/>
      <c r="H1000" s="33">
        <v>43220</v>
      </c>
      <c r="I1000" s="34" t="s">
        <v>2639</v>
      </c>
      <c r="J1000" s="36">
        <v>225</v>
      </c>
      <c r="K1000" t="s">
        <v>2030</v>
      </c>
    </row>
    <row r="1001" spans="1:11" x14ac:dyDescent="0.3">
      <c r="A1001" t="s">
        <v>818</v>
      </c>
      <c r="B1001" s="33">
        <v>43250</v>
      </c>
      <c r="C1001" s="34" t="s">
        <v>2432</v>
      </c>
      <c r="D1001" s="34">
        <v>1</v>
      </c>
      <c r="E1001" s="35" t="s">
        <v>2455</v>
      </c>
      <c r="F1001" s="35" t="s">
        <v>107</v>
      </c>
      <c r="G1001" s="106"/>
      <c r="H1001" s="33">
        <v>43220</v>
      </c>
      <c r="I1001" s="34" t="s">
        <v>2640</v>
      </c>
      <c r="J1001" s="36">
        <v>225</v>
      </c>
      <c r="K1001" t="s">
        <v>2030</v>
      </c>
    </row>
    <row r="1002" spans="1:11" x14ac:dyDescent="0.3">
      <c r="A1002" t="s">
        <v>818</v>
      </c>
      <c r="B1002" s="33">
        <v>43250</v>
      </c>
      <c r="C1002" s="34" t="s">
        <v>2432</v>
      </c>
      <c r="D1002" s="34">
        <v>1</v>
      </c>
      <c r="E1002" s="35" t="s">
        <v>2455</v>
      </c>
      <c r="F1002" s="35" t="s">
        <v>112</v>
      </c>
      <c r="G1002" s="106"/>
      <c r="H1002" s="33">
        <v>43220</v>
      </c>
      <c r="I1002" s="34" t="s">
        <v>2641</v>
      </c>
      <c r="J1002" s="36">
        <v>225</v>
      </c>
      <c r="K1002" t="s">
        <v>2030</v>
      </c>
    </row>
    <row r="1003" spans="1:11" x14ac:dyDescent="0.3">
      <c r="A1003" t="s">
        <v>818</v>
      </c>
      <c r="B1003" s="33">
        <v>43250</v>
      </c>
      <c r="C1003" s="34" t="s">
        <v>2432</v>
      </c>
      <c r="D1003" s="34">
        <v>1</v>
      </c>
      <c r="E1003" s="35" t="s">
        <v>2455</v>
      </c>
      <c r="F1003" s="35" t="s">
        <v>118</v>
      </c>
      <c r="G1003" s="106"/>
      <c r="H1003" s="33">
        <v>43220</v>
      </c>
      <c r="I1003" s="34" t="s">
        <v>2642</v>
      </c>
      <c r="J1003" s="36">
        <v>225</v>
      </c>
      <c r="K1003" t="s">
        <v>2030</v>
      </c>
    </row>
    <row r="1004" spans="1:11" x14ac:dyDescent="0.3">
      <c r="A1004" t="s">
        <v>818</v>
      </c>
      <c r="B1004" s="33">
        <v>43250</v>
      </c>
      <c r="C1004" s="34" t="s">
        <v>2432</v>
      </c>
      <c r="D1004" s="34">
        <v>1</v>
      </c>
      <c r="E1004" s="35" t="s">
        <v>2455</v>
      </c>
      <c r="F1004" s="35" t="s">
        <v>115</v>
      </c>
      <c r="G1004" s="106"/>
      <c r="H1004" s="33">
        <v>43220</v>
      </c>
      <c r="I1004" s="34" t="s">
        <v>2643</v>
      </c>
      <c r="J1004" s="36">
        <v>225</v>
      </c>
      <c r="K1004" t="s">
        <v>2030</v>
      </c>
    </row>
    <row r="1005" spans="1:11" x14ac:dyDescent="0.3">
      <c r="A1005" t="s">
        <v>818</v>
      </c>
      <c r="B1005" s="33">
        <v>43250</v>
      </c>
      <c r="C1005" s="34" t="s">
        <v>2432</v>
      </c>
      <c r="D1005" s="34">
        <v>1</v>
      </c>
      <c r="E1005" s="35" t="s">
        <v>2455</v>
      </c>
      <c r="F1005" s="35" t="s">
        <v>114</v>
      </c>
      <c r="G1005" s="106"/>
      <c r="H1005" s="33">
        <v>43220</v>
      </c>
      <c r="I1005" s="34" t="s">
        <v>2644</v>
      </c>
      <c r="J1005" s="36">
        <v>225</v>
      </c>
      <c r="K1005" t="s">
        <v>2030</v>
      </c>
    </row>
    <row r="1006" spans="1:11" x14ac:dyDescent="0.3">
      <c r="A1006" t="s">
        <v>818</v>
      </c>
      <c r="B1006" s="33">
        <v>43250</v>
      </c>
      <c r="C1006" s="34" t="s">
        <v>2432</v>
      </c>
      <c r="D1006" s="34">
        <v>1</v>
      </c>
      <c r="E1006" s="35" t="s">
        <v>2455</v>
      </c>
      <c r="F1006" s="35" t="s">
        <v>119</v>
      </c>
      <c r="G1006" s="106"/>
      <c r="H1006" s="33">
        <v>43220</v>
      </c>
      <c r="I1006" s="34" t="s">
        <v>2645</v>
      </c>
      <c r="J1006" s="36">
        <v>225</v>
      </c>
      <c r="K1006" t="s">
        <v>2030</v>
      </c>
    </row>
    <row r="1007" spans="1:11" x14ac:dyDescent="0.3">
      <c r="A1007" t="s">
        <v>818</v>
      </c>
      <c r="B1007" s="33">
        <v>43250</v>
      </c>
      <c r="C1007" s="34" t="s">
        <v>2687</v>
      </c>
      <c r="D1007" s="34">
        <v>2000</v>
      </c>
      <c r="E1007" t="s">
        <v>2455</v>
      </c>
      <c r="F1007" s="35" t="s">
        <v>346</v>
      </c>
      <c r="G1007" s="106"/>
      <c r="H1007" s="33">
        <v>43250</v>
      </c>
      <c r="I1007" s="34" t="s">
        <v>2114</v>
      </c>
      <c r="J1007" s="55">
        <v>172.5</v>
      </c>
      <c r="K1007" t="s">
        <v>2030</v>
      </c>
    </row>
    <row r="1008" spans="1:11" x14ac:dyDescent="0.3">
      <c r="A1008" t="s">
        <v>818</v>
      </c>
      <c r="B1008" s="33">
        <v>43250</v>
      </c>
      <c r="C1008" s="34" t="s">
        <v>2687</v>
      </c>
      <c r="D1008" s="34">
        <v>2000</v>
      </c>
      <c r="E1008" s="35" t="s">
        <v>2455</v>
      </c>
      <c r="F1008" s="35" t="s">
        <v>345</v>
      </c>
      <c r="G1008" s="106"/>
      <c r="H1008" s="33">
        <v>43250</v>
      </c>
      <c r="I1008" s="34" t="s">
        <v>2114</v>
      </c>
      <c r="J1008" s="55">
        <v>172.5</v>
      </c>
      <c r="K1008" t="s">
        <v>2030</v>
      </c>
    </row>
    <row r="1009" spans="1:11" x14ac:dyDescent="0.3">
      <c r="A1009" t="s">
        <v>818</v>
      </c>
      <c r="B1009" s="33">
        <v>43250</v>
      </c>
      <c r="C1009" s="34" t="s">
        <v>2432</v>
      </c>
      <c r="D1009" s="34">
        <v>1</v>
      </c>
      <c r="E1009" s="35" t="s">
        <v>2646</v>
      </c>
      <c r="F1009" s="35" t="s">
        <v>7</v>
      </c>
      <c r="G1009" s="106"/>
      <c r="H1009" s="33">
        <v>43191</v>
      </c>
      <c r="I1009" s="34" t="s">
        <v>2647</v>
      </c>
      <c r="J1009" s="36">
        <v>11212.86</v>
      </c>
      <c r="K1009" t="s">
        <v>2030</v>
      </c>
    </row>
    <row r="1010" spans="1:11" x14ac:dyDescent="0.3">
      <c r="A1010" t="s">
        <v>818</v>
      </c>
      <c r="B1010" s="33">
        <v>43250</v>
      </c>
      <c r="C1010" s="34" t="s">
        <v>2432</v>
      </c>
      <c r="D1010" s="34">
        <v>1</v>
      </c>
      <c r="E1010" s="35" t="s">
        <v>2646</v>
      </c>
      <c r="F1010" s="35" t="s">
        <v>15</v>
      </c>
      <c r="G1010" s="106"/>
      <c r="H1010" s="33">
        <v>43191</v>
      </c>
      <c r="I1010" s="34" t="s">
        <v>2648</v>
      </c>
      <c r="J1010" s="36">
        <v>2384.4699999999998</v>
      </c>
      <c r="K1010" t="s">
        <v>2030</v>
      </c>
    </row>
    <row r="1011" spans="1:11" x14ac:dyDescent="0.3">
      <c r="A1011" t="s">
        <v>818</v>
      </c>
      <c r="B1011" s="33">
        <v>43250</v>
      </c>
      <c r="C1011" s="34" t="s">
        <v>2432</v>
      </c>
      <c r="D1011" s="34">
        <v>1</v>
      </c>
      <c r="E1011" s="35" t="s">
        <v>2646</v>
      </c>
      <c r="F1011" s="35" t="s">
        <v>13</v>
      </c>
      <c r="G1011" s="106"/>
      <c r="H1011" s="33">
        <v>43191</v>
      </c>
      <c r="I1011" s="34" t="s">
        <v>2649</v>
      </c>
      <c r="J1011" s="36">
        <v>2930.59</v>
      </c>
      <c r="K1011" t="s">
        <v>2030</v>
      </c>
    </row>
    <row r="1012" spans="1:11" x14ac:dyDescent="0.3">
      <c r="A1012" t="s">
        <v>818</v>
      </c>
      <c r="B1012" s="33">
        <v>43250</v>
      </c>
      <c r="C1012" s="34" t="s">
        <v>2432</v>
      </c>
      <c r="D1012" s="34">
        <v>1</v>
      </c>
      <c r="E1012" s="35" t="s">
        <v>2646</v>
      </c>
      <c r="F1012" s="35" t="s">
        <v>10</v>
      </c>
      <c r="G1012" s="106"/>
      <c r="H1012" s="33">
        <v>43191</v>
      </c>
      <c r="I1012" s="34" t="s">
        <v>2650</v>
      </c>
      <c r="J1012" s="36">
        <v>5084.3</v>
      </c>
      <c r="K1012" t="s">
        <v>2030</v>
      </c>
    </row>
    <row r="1013" spans="1:11" x14ac:dyDescent="0.3">
      <c r="A1013" t="s">
        <v>818</v>
      </c>
      <c r="B1013" s="33">
        <v>43250</v>
      </c>
      <c r="C1013" s="34" t="s">
        <v>2432</v>
      </c>
      <c r="D1013" s="34">
        <v>1</v>
      </c>
      <c r="E1013" s="35" t="s">
        <v>2646</v>
      </c>
      <c r="F1013" s="35" t="s">
        <v>11</v>
      </c>
      <c r="G1013" s="106"/>
      <c r="H1013" s="33">
        <v>43191</v>
      </c>
      <c r="I1013" s="34" t="s">
        <v>2651</v>
      </c>
      <c r="J1013" s="36">
        <v>3415.17</v>
      </c>
      <c r="K1013" t="s">
        <v>2030</v>
      </c>
    </row>
    <row r="1014" spans="1:11" x14ac:dyDescent="0.3">
      <c r="A1014" t="s">
        <v>818</v>
      </c>
      <c r="B1014" s="33">
        <v>43250</v>
      </c>
      <c r="C1014" s="34" t="s">
        <v>2432</v>
      </c>
      <c r="D1014" s="34">
        <v>1</v>
      </c>
      <c r="E1014" s="35" t="s">
        <v>2646</v>
      </c>
      <c r="F1014" s="35" t="s">
        <v>8</v>
      </c>
      <c r="G1014" s="106"/>
      <c r="H1014" s="33">
        <v>43191</v>
      </c>
      <c r="I1014" s="34" t="s">
        <v>2652</v>
      </c>
      <c r="J1014" s="36">
        <v>10795.87</v>
      </c>
      <c r="K1014" t="s">
        <v>2030</v>
      </c>
    </row>
    <row r="1015" spans="1:11" x14ac:dyDescent="0.3">
      <c r="A1015" t="s">
        <v>818</v>
      </c>
      <c r="B1015" s="33">
        <v>43250</v>
      </c>
      <c r="C1015" s="34" t="s">
        <v>2432</v>
      </c>
      <c r="D1015" s="34">
        <v>1</v>
      </c>
      <c r="E1015" s="35" t="s">
        <v>2646</v>
      </c>
      <c r="F1015" s="35" t="s">
        <v>16</v>
      </c>
      <c r="G1015" s="106"/>
      <c r="H1015" s="33">
        <v>43191</v>
      </c>
      <c r="I1015" s="34" t="s">
        <v>2653</v>
      </c>
      <c r="J1015" s="36">
        <v>2292.17</v>
      </c>
      <c r="K1015" t="s">
        <v>2030</v>
      </c>
    </row>
    <row r="1016" spans="1:11" x14ac:dyDescent="0.3">
      <c r="A1016" t="s">
        <v>818</v>
      </c>
      <c r="B1016" s="33">
        <v>43250</v>
      </c>
      <c r="C1016" s="34" t="s">
        <v>2432</v>
      </c>
      <c r="D1016" s="34">
        <v>1</v>
      </c>
      <c r="E1016" s="35" t="s">
        <v>2646</v>
      </c>
      <c r="F1016" s="35" t="s">
        <v>6</v>
      </c>
      <c r="G1016" s="106"/>
      <c r="H1016" s="33">
        <v>43191</v>
      </c>
      <c r="I1016" s="34" t="s">
        <v>2654</v>
      </c>
      <c r="J1016" s="36">
        <v>12704.5</v>
      </c>
      <c r="K1016" t="s">
        <v>2030</v>
      </c>
    </row>
    <row r="1017" spans="1:11" x14ac:dyDescent="0.3">
      <c r="A1017" t="s">
        <v>818</v>
      </c>
      <c r="B1017" s="33">
        <v>43250</v>
      </c>
      <c r="C1017" s="34" t="s">
        <v>2432</v>
      </c>
      <c r="D1017" s="34">
        <v>1</v>
      </c>
      <c r="E1017" s="35" t="s">
        <v>2646</v>
      </c>
      <c r="F1017" s="35" t="s">
        <v>9</v>
      </c>
      <c r="G1017" s="106"/>
      <c r="H1017" s="33">
        <v>43191</v>
      </c>
      <c r="I1017" s="34" t="s">
        <v>2655</v>
      </c>
      <c r="J1017" s="36">
        <v>5922.71</v>
      </c>
      <c r="K1017" t="s">
        <v>2030</v>
      </c>
    </row>
    <row r="1018" spans="1:11" x14ac:dyDescent="0.3">
      <c r="A1018" t="s">
        <v>818</v>
      </c>
      <c r="B1018" s="33">
        <v>43250</v>
      </c>
      <c r="C1018" s="34" t="s">
        <v>2432</v>
      </c>
      <c r="D1018" s="34">
        <v>1</v>
      </c>
      <c r="E1018" s="35" t="s">
        <v>2646</v>
      </c>
      <c r="F1018" s="35" t="s">
        <v>12</v>
      </c>
      <c r="G1018" s="106"/>
      <c r="H1018" s="33">
        <v>43191</v>
      </c>
      <c r="I1018" s="34" t="s">
        <v>2656</v>
      </c>
      <c r="J1018" s="36">
        <v>3407.48</v>
      </c>
      <c r="K1018" t="s">
        <v>2030</v>
      </c>
    </row>
    <row r="1019" spans="1:11" x14ac:dyDescent="0.3">
      <c r="A1019" t="s">
        <v>818</v>
      </c>
      <c r="B1019" s="33">
        <v>43250</v>
      </c>
      <c r="C1019" s="34" t="s">
        <v>2432</v>
      </c>
      <c r="D1019" s="34">
        <v>1</v>
      </c>
      <c r="E1019" s="35" t="s">
        <v>2646</v>
      </c>
      <c r="F1019" s="35" t="s">
        <v>22</v>
      </c>
      <c r="G1019" s="106"/>
      <c r="H1019" s="33">
        <v>43191</v>
      </c>
      <c r="I1019" s="34" t="s">
        <v>2657</v>
      </c>
      <c r="J1019" s="36">
        <v>1461.45</v>
      </c>
      <c r="K1019" t="s">
        <v>2030</v>
      </c>
    </row>
    <row r="1020" spans="1:11" x14ac:dyDescent="0.3">
      <c r="A1020" t="s">
        <v>818</v>
      </c>
      <c r="B1020" s="33">
        <v>43250</v>
      </c>
      <c r="C1020" s="34" t="s">
        <v>2432</v>
      </c>
      <c r="D1020" s="34">
        <v>1</v>
      </c>
      <c r="E1020" s="35" t="s">
        <v>2646</v>
      </c>
      <c r="F1020" s="35" t="s">
        <v>14</v>
      </c>
      <c r="G1020" s="106"/>
      <c r="H1020" s="33">
        <v>43191</v>
      </c>
      <c r="I1020" s="34" t="s">
        <v>2658</v>
      </c>
      <c r="J1020" s="36">
        <v>2645.99</v>
      </c>
      <c r="K1020" t="s">
        <v>2030</v>
      </c>
    </row>
    <row r="1021" spans="1:11" x14ac:dyDescent="0.3">
      <c r="A1021" t="s">
        <v>818</v>
      </c>
      <c r="B1021" s="33">
        <v>43250</v>
      </c>
      <c r="C1021" s="34" t="s">
        <v>2432</v>
      </c>
      <c r="D1021" s="34">
        <v>1</v>
      </c>
      <c r="E1021" s="35" t="s">
        <v>2646</v>
      </c>
      <c r="F1021" s="35" t="s">
        <v>20</v>
      </c>
      <c r="G1021" s="106"/>
      <c r="H1021" s="33">
        <v>43191</v>
      </c>
      <c r="I1021" s="34" t="s">
        <v>2659</v>
      </c>
      <c r="J1021" s="36">
        <v>1784.5</v>
      </c>
      <c r="K1021" t="s">
        <v>2030</v>
      </c>
    </row>
    <row r="1022" spans="1:11" x14ac:dyDescent="0.3">
      <c r="A1022" t="s">
        <v>818</v>
      </c>
      <c r="B1022" s="33">
        <v>43250</v>
      </c>
      <c r="C1022" s="34" t="s">
        <v>2432</v>
      </c>
      <c r="D1022" s="34">
        <v>1</v>
      </c>
      <c r="E1022" s="35" t="s">
        <v>2646</v>
      </c>
      <c r="F1022" s="35" t="s">
        <v>18</v>
      </c>
      <c r="G1022" s="106"/>
      <c r="H1022" s="33">
        <v>43191</v>
      </c>
      <c r="I1022" s="34" t="s">
        <v>2660</v>
      </c>
      <c r="J1022" s="36">
        <v>2092.1799999999998</v>
      </c>
      <c r="K1022" t="s">
        <v>2030</v>
      </c>
    </row>
    <row r="1023" spans="1:11" x14ac:dyDescent="0.3">
      <c r="A1023" t="s">
        <v>818</v>
      </c>
      <c r="B1023" s="33">
        <v>43250</v>
      </c>
      <c r="C1023" s="34" t="s">
        <v>2432</v>
      </c>
      <c r="D1023" s="34">
        <v>1</v>
      </c>
      <c r="E1023" s="35" t="s">
        <v>2646</v>
      </c>
      <c r="F1023" s="35" t="s">
        <v>23</v>
      </c>
      <c r="G1023" s="106"/>
      <c r="H1023" s="33">
        <v>43191</v>
      </c>
      <c r="I1023" s="34" t="s">
        <v>2661</v>
      </c>
      <c r="J1023" s="36">
        <v>961.48</v>
      </c>
      <c r="K1023" t="s">
        <v>2030</v>
      </c>
    </row>
    <row r="1024" spans="1:11" x14ac:dyDescent="0.3">
      <c r="A1024" t="s">
        <v>818</v>
      </c>
      <c r="B1024" s="33">
        <v>43250</v>
      </c>
      <c r="C1024" s="34" t="s">
        <v>2432</v>
      </c>
      <c r="D1024" s="34">
        <v>1</v>
      </c>
      <c r="E1024" s="35" t="s">
        <v>2646</v>
      </c>
      <c r="F1024" s="35" t="s">
        <v>25</v>
      </c>
      <c r="G1024" s="106"/>
      <c r="H1024" s="33">
        <v>43191</v>
      </c>
      <c r="I1024" s="34" t="s">
        <v>2662</v>
      </c>
      <c r="J1024" s="36">
        <v>769.18</v>
      </c>
      <c r="K1024" t="s">
        <v>2030</v>
      </c>
    </row>
    <row r="1025" spans="1:11" x14ac:dyDescent="0.3">
      <c r="A1025" t="s">
        <v>818</v>
      </c>
      <c r="B1025" s="33">
        <v>43250</v>
      </c>
      <c r="C1025" s="34" t="s">
        <v>2432</v>
      </c>
      <c r="D1025" s="34">
        <v>1</v>
      </c>
      <c r="E1025" s="35" t="s">
        <v>2646</v>
      </c>
      <c r="F1025" s="35" t="s">
        <v>17</v>
      </c>
      <c r="G1025" s="106"/>
      <c r="H1025" s="33">
        <v>43191</v>
      </c>
      <c r="I1025" s="34" t="s">
        <v>2663</v>
      </c>
      <c r="J1025" s="36">
        <v>2099.87</v>
      </c>
      <c r="K1025" t="s">
        <v>2030</v>
      </c>
    </row>
    <row r="1026" spans="1:11" x14ac:dyDescent="0.3">
      <c r="A1026" t="s">
        <v>818</v>
      </c>
      <c r="B1026" s="33">
        <v>43250</v>
      </c>
      <c r="C1026" s="34" t="s">
        <v>2432</v>
      </c>
      <c r="D1026" s="34">
        <v>1</v>
      </c>
      <c r="E1026" s="35" t="s">
        <v>2646</v>
      </c>
      <c r="F1026" s="35" t="s">
        <v>21</v>
      </c>
      <c r="G1026" s="106"/>
      <c r="H1026" s="33">
        <v>43191</v>
      </c>
      <c r="I1026" s="34" t="s">
        <v>2664</v>
      </c>
      <c r="J1026" s="36">
        <v>1530.67</v>
      </c>
      <c r="K1026" t="s">
        <v>2030</v>
      </c>
    </row>
    <row r="1027" spans="1:11" x14ac:dyDescent="0.3">
      <c r="A1027" t="s">
        <v>818</v>
      </c>
      <c r="B1027" s="33">
        <v>43250</v>
      </c>
      <c r="C1027" s="34" t="s">
        <v>2432</v>
      </c>
      <c r="D1027" s="34">
        <v>1</v>
      </c>
      <c r="E1027" s="35" t="s">
        <v>2646</v>
      </c>
      <c r="F1027" s="35" t="s">
        <v>26</v>
      </c>
      <c r="G1027" s="106"/>
      <c r="H1027" s="33">
        <v>43191</v>
      </c>
      <c r="I1027" s="34" t="s">
        <v>2665</v>
      </c>
      <c r="J1027" s="36">
        <v>769.18</v>
      </c>
      <c r="K1027" t="s">
        <v>2030</v>
      </c>
    </row>
    <row r="1028" spans="1:11" x14ac:dyDescent="0.3">
      <c r="A1028" t="s">
        <v>818</v>
      </c>
      <c r="B1028" s="33">
        <v>43250</v>
      </c>
      <c r="C1028" s="34" t="s">
        <v>2432</v>
      </c>
      <c r="D1028" s="34">
        <v>1</v>
      </c>
      <c r="E1028" s="35" t="s">
        <v>2646</v>
      </c>
      <c r="F1028" s="35" t="s">
        <v>19</v>
      </c>
      <c r="G1028" s="106"/>
      <c r="H1028" s="33">
        <v>43191</v>
      </c>
      <c r="I1028" s="34" t="s">
        <v>2666</v>
      </c>
      <c r="J1028" s="36">
        <v>1884.5</v>
      </c>
      <c r="K1028" t="s">
        <v>2030</v>
      </c>
    </row>
    <row r="1029" spans="1:11" x14ac:dyDescent="0.3">
      <c r="A1029" t="s">
        <v>818</v>
      </c>
      <c r="B1029" s="33">
        <v>43250</v>
      </c>
      <c r="C1029" s="34" t="s">
        <v>2432</v>
      </c>
      <c r="D1029" s="34">
        <v>1</v>
      </c>
      <c r="E1029" s="35" t="s">
        <v>2646</v>
      </c>
      <c r="F1029" s="35" t="s">
        <v>24</v>
      </c>
      <c r="G1029" s="106"/>
      <c r="H1029" s="33">
        <v>43191</v>
      </c>
      <c r="I1029" s="34" t="s">
        <v>2667</v>
      </c>
      <c r="J1029" s="36">
        <v>769.18</v>
      </c>
      <c r="K1029" t="s">
        <v>2030</v>
      </c>
    </row>
    <row r="1030" spans="1:11" x14ac:dyDescent="0.3">
      <c r="A1030" t="s">
        <v>818</v>
      </c>
      <c r="B1030" s="33">
        <v>43250</v>
      </c>
      <c r="C1030" s="34" t="s">
        <v>2432</v>
      </c>
      <c r="D1030" s="34">
        <v>1</v>
      </c>
      <c r="E1030" s="35" t="s">
        <v>2668</v>
      </c>
      <c r="F1030" s="35" t="s">
        <v>6</v>
      </c>
      <c r="G1030" s="106"/>
      <c r="H1030" s="33">
        <v>43179</v>
      </c>
      <c r="I1030" s="34" t="s">
        <v>2669</v>
      </c>
      <c r="J1030" s="36">
        <v>15966.5</v>
      </c>
      <c r="K1030" t="s">
        <v>2030</v>
      </c>
    </row>
    <row r="1031" spans="1:11" x14ac:dyDescent="0.3">
      <c r="A1031" t="s">
        <v>817</v>
      </c>
      <c r="B1031" s="33">
        <v>43251</v>
      </c>
      <c r="C1031" s="34" t="s">
        <v>3159</v>
      </c>
      <c r="D1031" s="34"/>
      <c r="E1031" s="35" t="s">
        <v>2160</v>
      </c>
      <c r="F1031" s="35"/>
      <c r="G1031" s="106"/>
      <c r="H1031" s="33"/>
      <c r="I1031" s="34"/>
      <c r="J1031" s="36">
        <v>2790</v>
      </c>
      <c r="K1031" t="s">
        <v>2030</v>
      </c>
    </row>
    <row r="1032" spans="1:11" x14ac:dyDescent="0.3">
      <c r="A1032" t="s">
        <v>817</v>
      </c>
      <c r="B1032" s="33">
        <v>43255</v>
      </c>
      <c r="C1032" s="34" t="s">
        <v>3353</v>
      </c>
      <c r="D1032" s="34">
        <v>4301</v>
      </c>
      <c r="E1032" s="35" t="s">
        <v>3354</v>
      </c>
      <c r="F1032" s="35" t="s">
        <v>133</v>
      </c>
      <c r="G1032" s="106"/>
      <c r="H1032" s="33">
        <v>43221</v>
      </c>
      <c r="I1032" s="34" t="s">
        <v>3355</v>
      </c>
      <c r="J1032" s="36">
        <v>434</v>
      </c>
      <c r="K1032" t="s">
        <v>2030</v>
      </c>
    </row>
    <row r="1033" spans="1:11" x14ac:dyDescent="0.3">
      <c r="A1033" t="s">
        <v>817</v>
      </c>
      <c r="B1033" s="33">
        <v>43255</v>
      </c>
      <c r="C1033" s="34" t="s">
        <v>3353</v>
      </c>
      <c r="D1033" s="34">
        <v>4301</v>
      </c>
      <c r="E1033" s="35" t="s">
        <v>3354</v>
      </c>
      <c r="F1033" s="35" t="s">
        <v>138</v>
      </c>
      <c r="G1033" s="106"/>
      <c r="H1033" s="33">
        <v>43221</v>
      </c>
      <c r="I1033" s="34" t="s">
        <v>3356</v>
      </c>
      <c r="J1033" s="36">
        <v>434</v>
      </c>
      <c r="K1033" t="s">
        <v>2030</v>
      </c>
    </row>
    <row r="1034" spans="1:11" x14ac:dyDescent="0.3">
      <c r="A1034" t="s">
        <v>817</v>
      </c>
      <c r="B1034" s="33">
        <v>43255</v>
      </c>
      <c r="C1034" s="34" t="s">
        <v>3353</v>
      </c>
      <c r="D1034" s="34">
        <v>4301</v>
      </c>
      <c r="E1034" s="35" t="s">
        <v>3354</v>
      </c>
      <c r="F1034" s="35" t="s">
        <v>137</v>
      </c>
      <c r="G1034" s="106"/>
      <c r="H1034" s="33">
        <v>43221</v>
      </c>
      <c r="I1034" s="34" t="s">
        <v>3357</v>
      </c>
      <c r="J1034" s="36">
        <v>434</v>
      </c>
      <c r="K1034" t="s">
        <v>2030</v>
      </c>
    </row>
    <row r="1035" spans="1:11" x14ac:dyDescent="0.3">
      <c r="A1035" t="s">
        <v>817</v>
      </c>
      <c r="B1035" s="33">
        <v>43255</v>
      </c>
      <c r="C1035" s="34" t="s">
        <v>3353</v>
      </c>
      <c r="D1035" s="34">
        <v>4301</v>
      </c>
      <c r="E1035" s="35" t="s">
        <v>3354</v>
      </c>
      <c r="F1035" s="35" t="s">
        <v>136</v>
      </c>
      <c r="G1035" s="106"/>
      <c r="H1035" s="33">
        <v>43221</v>
      </c>
      <c r="I1035" s="34" t="s">
        <v>3358</v>
      </c>
      <c r="J1035" s="36">
        <v>434</v>
      </c>
      <c r="K1035" t="s">
        <v>2030</v>
      </c>
    </row>
    <row r="1036" spans="1:11" x14ac:dyDescent="0.3">
      <c r="A1036" t="s">
        <v>817</v>
      </c>
      <c r="B1036" s="33">
        <v>43255</v>
      </c>
      <c r="C1036" s="34" t="s">
        <v>3353</v>
      </c>
      <c r="D1036" s="34">
        <v>4301</v>
      </c>
      <c r="E1036" s="35" t="s">
        <v>3354</v>
      </c>
      <c r="F1036" s="35" t="s">
        <v>139</v>
      </c>
      <c r="G1036" s="106"/>
      <c r="H1036" s="33">
        <v>43221</v>
      </c>
      <c r="I1036" s="34" t="s">
        <v>3359</v>
      </c>
      <c r="J1036" s="36">
        <v>434</v>
      </c>
      <c r="K1036" t="s">
        <v>2030</v>
      </c>
    </row>
    <row r="1037" spans="1:11" x14ac:dyDescent="0.3">
      <c r="A1037" t="s">
        <v>817</v>
      </c>
      <c r="B1037" s="33">
        <v>43255</v>
      </c>
      <c r="C1037" s="34" t="s">
        <v>3353</v>
      </c>
      <c r="D1037" s="34">
        <v>4301</v>
      </c>
      <c r="E1037" s="35" t="s">
        <v>3354</v>
      </c>
      <c r="F1037" s="35" t="s">
        <v>135</v>
      </c>
      <c r="G1037" s="106"/>
      <c r="H1037" s="33">
        <v>43221</v>
      </c>
      <c r="I1037" s="34" t="s">
        <v>3360</v>
      </c>
      <c r="J1037" s="36">
        <v>434</v>
      </c>
      <c r="K1037" t="s">
        <v>2030</v>
      </c>
    </row>
    <row r="1038" spans="1:11" x14ac:dyDescent="0.3">
      <c r="A1038" t="s">
        <v>817</v>
      </c>
      <c r="B1038" s="33">
        <v>43255</v>
      </c>
      <c r="C1038" s="34" t="s">
        <v>3353</v>
      </c>
      <c r="D1038" s="34">
        <v>4301</v>
      </c>
      <c r="E1038" s="35" t="s">
        <v>3354</v>
      </c>
      <c r="F1038" s="35" t="s">
        <v>134</v>
      </c>
      <c r="G1038" s="106"/>
      <c r="H1038" s="33">
        <v>43221</v>
      </c>
      <c r="I1038" s="34" t="s">
        <v>3361</v>
      </c>
      <c r="J1038" s="36">
        <v>434</v>
      </c>
      <c r="K1038" t="s">
        <v>2030</v>
      </c>
    </row>
    <row r="1039" spans="1:11" x14ac:dyDescent="0.3">
      <c r="A1039" t="s">
        <v>817</v>
      </c>
      <c r="B1039" s="33">
        <v>43255</v>
      </c>
      <c r="C1039" s="34" t="s">
        <v>3353</v>
      </c>
      <c r="D1039" s="34">
        <v>4301</v>
      </c>
      <c r="E1039" s="35" t="s">
        <v>3354</v>
      </c>
      <c r="F1039" s="35" t="s">
        <v>131</v>
      </c>
      <c r="G1039" s="106"/>
      <c r="H1039" s="33">
        <v>43221</v>
      </c>
      <c r="I1039" s="34" t="s">
        <v>3362</v>
      </c>
      <c r="J1039" s="36">
        <v>434</v>
      </c>
      <c r="K1039" t="s">
        <v>2030</v>
      </c>
    </row>
    <row r="1040" spans="1:11" x14ac:dyDescent="0.3">
      <c r="A1040" t="s">
        <v>817</v>
      </c>
      <c r="B1040" s="33">
        <v>43255</v>
      </c>
      <c r="C1040" s="34" t="s">
        <v>3353</v>
      </c>
      <c r="D1040" s="34">
        <v>4301</v>
      </c>
      <c r="E1040" s="35" t="s">
        <v>3354</v>
      </c>
      <c r="F1040" s="35" t="s">
        <v>132</v>
      </c>
      <c r="G1040" s="106"/>
      <c r="H1040" s="33">
        <v>43221</v>
      </c>
      <c r="I1040" s="34" t="s">
        <v>3363</v>
      </c>
      <c r="J1040" s="36">
        <v>434</v>
      </c>
      <c r="K1040" t="s">
        <v>2030</v>
      </c>
    </row>
    <row r="1041" spans="1:11" x14ac:dyDescent="0.3">
      <c r="A1041" t="s">
        <v>817</v>
      </c>
      <c r="B1041" s="33">
        <v>43255</v>
      </c>
      <c r="C1041" s="34" t="s">
        <v>3353</v>
      </c>
      <c r="D1041" s="34">
        <v>4301</v>
      </c>
      <c r="E1041" s="35" t="s">
        <v>3354</v>
      </c>
      <c r="F1041" s="35" t="s">
        <v>130</v>
      </c>
      <c r="G1041" s="106"/>
      <c r="H1041" s="33">
        <v>43221</v>
      </c>
      <c r="I1041" s="34" t="s">
        <v>3364</v>
      </c>
      <c r="J1041" s="36">
        <v>434</v>
      </c>
      <c r="K1041" t="s">
        <v>2030</v>
      </c>
    </row>
    <row r="1042" spans="1:11" x14ac:dyDescent="0.3">
      <c r="A1042" t="s">
        <v>817</v>
      </c>
      <c r="B1042" s="33">
        <v>43255</v>
      </c>
      <c r="C1042" s="34" t="s">
        <v>3353</v>
      </c>
      <c r="D1042" s="34">
        <v>4301</v>
      </c>
      <c r="E1042" s="35" t="s">
        <v>3354</v>
      </c>
      <c r="F1042" s="35" t="s">
        <v>129</v>
      </c>
      <c r="G1042" s="106"/>
      <c r="H1042" s="33">
        <v>43221</v>
      </c>
      <c r="I1042" s="34" t="s">
        <v>3365</v>
      </c>
      <c r="J1042" s="36">
        <v>434</v>
      </c>
      <c r="K1042" t="s">
        <v>2030</v>
      </c>
    </row>
    <row r="1043" spans="1:11" x14ac:dyDescent="0.3">
      <c r="A1043" t="s">
        <v>817</v>
      </c>
      <c r="B1043" s="33">
        <v>43255</v>
      </c>
      <c r="C1043" s="34" t="s">
        <v>3353</v>
      </c>
      <c r="D1043" s="34">
        <v>4301</v>
      </c>
      <c r="E1043" s="35" t="s">
        <v>3354</v>
      </c>
      <c r="F1043" s="35" t="s">
        <v>128</v>
      </c>
      <c r="G1043" s="106"/>
      <c r="H1043" s="33">
        <v>43221</v>
      </c>
      <c r="I1043" s="34" t="s">
        <v>3366</v>
      </c>
      <c r="J1043" s="36">
        <v>434</v>
      </c>
      <c r="K1043" t="s">
        <v>2030</v>
      </c>
    </row>
    <row r="1044" spans="1:11" x14ac:dyDescent="0.3">
      <c r="A1044" t="s">
        <v>817</v>
      </c>
      <c r="B1044" s="33">
        <v>43255</v>
      </c>
      <c r="C1044" s="34" t="s">
        <v>3353</v>
      </c>
      <c r="D1044" s="34">
        <v>4301</v>
      </c>
      <c r="E1044" s="35" t="s">
        <v>3354</v>
      </c>
      <c r="F1044" s="35" t="s">
        <v>127</v>
      </c>
      <c r="G1044" s="106"/>
      <c r="H1044" s="33">
        <v>43221</v>
      </c>
      <c r="I1044" s="34" t="s">
        <v>3367</v>
      </c>
      <c r="J1044" s="36">
        <v>434</v>
      </c>
      <c r="K1044" t="s">
        <v>2030</v>
      </c>
    </row>
    <row r="1045" spans="1:11" x14ac:dyDescent="0.3">
      <c r="A1045" t="s">
        <v>817</v>
      </c>
      <c r="B1045" s="33">
        <v>43255</v>
      </c>
      <c r="C1045" s="34" t="s">
        <v>3353</v>
      </c>
      <c r="D1045" s="34">
        <v>4301</v>
      </c>
      <c r="E1045" s="35" t="s">
        <v>3354</v>
      </c>
      <c r="F1045" s="35" t="s">
        <v>125</v>
      </c>
      <c r="G1045" s="106"/>
      <c r="H1045" s="33">
        <v>43221</v>
      </c>
      <c r="I1045" s="34" t="s">
        <v>3368</v>
      </c>
      <c r="J1045" s="36">
        <v>434</v>
      </c>
      <c r="K1045" t="s">
        <v>2030</v>
      </c>
    </row>
    <row r="1046" spans="1:11" x14ac:dyDescent="0.3">
      <c r="A1046" t="s">
        <v>817</v>
      </c>
      <c r="B1046" s="33">
        <v>43255</v>
      </c>
      <c r="C1046" s="34" t="s">
        <v>3353</v>
      </c>
      <c r="D1046" s="34">
        <v>4301</v>
      </c>
      <c r="E1046" s="35" t="s">
        <v>3354</v>
      </c>
      <c r="F1046" s="35" t="s">
        <v>126</v>
      </c>
      <c r="G1046" s="106"/>
      <c r="H1046" s="33">
        <v>43221</v>
      </c>
      <c r="I1046" s="34" t="s">
        <v>3369</v>
      </c>
      <c r="J1046" s="36">
        <v>434</v>
      </c>
      <c r="K1046" t="s">
        <v>2030</v>
      </c>
    </row>
    <row r="1047" spans="1:11" x14ac:dyDescent="0.3">
      <c r="A1047" t="s">
        <v>817</v>
      </c>
      <c r="B1047" s="33">
        <v>43255</v>
      </c>
      <c r="C1047" s="34" t="s">
        <v>3353</v>
      </c>
      <c r="D1047" s="34">
        <v>4301</v>
      </c>
      <c r="E1047" s="35" t="s">
        <v>3354</v>
      </c>
      <c r="F1047" s="35" t="s">
        <v>119</v>
      </c>
      <c r="G1047" s="106"/>
      <c r="H1047" s="33">
        <v>43221</v>
      </c>
      <c r="I1047" s="34" t="s">
        <v>3370</v>
      </c>
      <c r="J1047" s="36">
        <v>434</v>
      </c>
      <c r="K1047" t="s">
        <v>2030</v>
      </c>
    </row>
    <row r="1048" spans="1:11" x14ac:dyDescent="0.3">
      <c r="A1048" t="s">
        <v>817</v>
      </c>
      <c r="B1048" s="33">
        <v>43255</v>
      </c>
      <c r="C1048" s="34" t="s">
        <v>3353</v>
      </c>
      <c r="D1048" s="34">
        <v>4301</v>
      </c>
      <c r="E1048" s="35" t="s">
        <v>3354</v>
      </c>
      <c r="F1048" s="35" t="s">
        <v>120</v>
      </c>
      <c r="G1048" s="106"/>
      <c r="H1048" s="33">
        <v>43221</v>
      </c>
      <c r="I1048" s="34" t="s">
        <v>3371</v>
      </c>
      <c r="J1048" s="36">
        <v>434</v>
      </c>
      <c r="K1048" t="s">
        <v>2030</v>
      </c>
    </row>
    <row r="1049" spans="1:11" x14ac:dyDescent="0.3">
      <c r="A1049" t="s">
        <v>817</v>
      </c>
      <c r="B1049" s="33">
        <v>43255</v>
      </c>
      <c r="C1049" s="34" t="s">
        <v>3353</v>
      </c>
      <c r="D1049" s="34">
        <v>4301</v>
      </c>
      <c r="E1049" s="35" t="s">
        <v>3354</v>
      </c>
      <c r="F1049" s="35" t="s">
        <v>122</v>
      </c>
      <c r="G1049" s="106"/>
      <c r="H1049" s="33">
        <v>43221</v>
      </c>
      <c r="I1049" s="34" t="s">
        <v>3372</v>
      </c>
      <c r="J1049" s="36">
        <v>434</v>
      </c>
      <c r="K1049" t="s">
        <v>2030</v>
      </c>
    </row>
    <row r="1050" spans="1:11" x14ac:dyDescent="0.3">
      <c r="A1050" t="s">
        <v>817</v>
      </c>
      <c r="B1050" s="33">
        <v>43255</v>
      </c>
      <c r="C1050" s="34" t="s">
        <v>3353</v>
      </c>
      <c r="D1050" s="34">
        <v>4301</v>
      </c>
      <c r="E1050" s="35" t="s">
        <v>3354</v>
      </c>
      <c r="F1050" s="35" t="s">
        <v>124</v>
      </c>
      <c r="G1050" s="106"/>
      <c r="H1050" s="33">
        <v>43221</v>
      </c>
      <c r="I1050" s="34" t="s">
        <v>3373</v>
      </c>
      <c r="J1050" s="36">
        <v>434</v>
      </c>
      <c r="K1050" t="s">
        <v>2030</v>
      </c>
    </row>
    <row r="1051" spans="1:11" x14ac:dyDescent="0.3">
      <c r="A1051" t="s">
        <v>817</v>
      </c>
      <c r="B1051" s="33">
        <v>43255</v>
      </c>
      <c r="C1051" s="34" t="s">
        <v>3353</v>
      </c>
      <c r="D1051" s="34">
        <v>4301</v>
      </c>
      <c r="E1051" s="35" t="s">
        <v>3354</v>
      </c>
      <c r="F1051" s="35" t="s">
        <v>123</v>
      </c>
      <c r="G1051" s="106"/>
      <c r="H1051" s="33">
        <v>43221</v>
      </c>
      <c r="I1051" s="34" t="s">
        <v>3374</v>
      </c>
      <c r="J1051" s="36">
        <v>434</v>
      </c>
      <c r="K1051" t="s">
        <v>2030</v>
      </c>
    </row>
    <row r="1052" spans="1:11" x14ac:dyDescent="0.3">
      <c r="A1052" t="s">
        <v>817</v>
      </c>
      <c r="B1052" s="33">
        <v>43255</v>
      </c>
      <c r="C1052" s="34" t="s">
        <v>3353</v>
      </c>
      <c r="D1052" s="34">
        <v>4301</v>
      </c>
      <c r="E1052" s="35" t="s">
        <v>3354</v>
      </c>
      <c r="F1052" s="35" t="s">
        <v>121</v>
      </c>
      <c r="G1052" s="106"/>
      <c r="H1052" s="33">
        <v>43221</v>
      </c>
      <c r="I1052" s="34" t="s">
        <v>3375</v>
      </c>
      <c r="J1052" s="36">
        <v>434</v>
      </c>
      <c r="K1052" t="s">
        <v>2030</v>
      </c>
    </row>
    <row r="1053" spans="1:11" x14ac:dyDescent="0.3">
      <c r="A1053" t="s">
        <v>817</v>
      </c>
      <c r="B1053" s="33">
        <v>43255</v>
      </c>
      <c r="C1053" s="34" t="s">
        <v>3353</v>
      </c>
      <c r="D1053" s="34">
        <v>4301</v>
      </c>
      <c r="E1053" s="35" t="s">
        <v>3354</v>
      </c>
      <c r="F1053" s="35" t="s">
        <v>118</v>
      </c>
      <c r="G1053" s="106"/>
      <c r="H1053" s="33">
        <v>43221</v>
      </c>
      <c r="I1053" s="34" t="s">
        <v>3376</v>
      </c>
      <c r="J1053" s="36">
        <v>434</v>
      </c>
      <c r="K1053" t="s">
        <v>2030</v>
      </c>
    </row>
    <row r="1054" spans="1:11" x14ac:dyDescent="0.3">
      <c r="A1054" t="s">
        <v>817</v>
      </c>
      <c r="B1054" s="33">
        <v>43255</v>
      </c>
      <c r="C1054" s="34" t="s">
        <v>3353</v>
      </c>
      <c r="D1054" s="34">
        <v>4301</v>
      </c>
      <c r="E1054" s="35" t="s">
        <v>3354</v>
      </c>
      <c r="F1054" s="35" t="s">
        <v>110</v>
      </c>
      <c r="G1054" s="106"/>
      <c r="H1054" s="33">
        <v>43221</v>
      </c>
      <c r="I1054" s="34" t="s">
        <v>3377</v>
      </c>
      <c r="J1054" s="36">
        <v>434</v>
      </c>
      <c r="K1054" t="s">
        <v>2030</v>
      </c>
    </row>
    <row r="1055" spans="1:11" x14ac:dyDescent="0.3">
      <c r="A1055" t="s">
        <v>817</v>
      </c>
      <c r="B1055" s="33">
        <v>43255</v>
      </c>
      <c r="C1055" s="34" t="s">
        <v>3353</v>
      </c>
      <c r="D1055" s="34">
        <v>4301</v>
      </c>
      <c r="E1055" s="35" t="s">
        <v>3354</v>
      </c>
      <c r="F1055" s="35" t="s">
        <v>9</v>
      </c>
      <c r="G1055" s="106"/>
      <c r="H1055" s="33">
        <v>43221</v>
      </c>
      <c r="I1055" s="34" t="s">
        <v>3378</v>
      </c>
      <c r="J1055" s="36">
        <v>232.5</v>
      </c>
      <c r="K1055" t="s">
        <v>2030</v>
      </c>
    </row>
    <row r="1056" spans="1:11" x14ac:dyDescent="0.3">
      <c r="A1056" t="s">
        <v>817</v>
      </c>
      <c r="B1056" s="33">
        <v>43255</v>
      </c>
      <c r="C1056" s="34" t="s">
        <v>3353</v>
      </c>
      <c r="D1056" s="34">
        <v>4301</v>
      </c>
      <c r="E1056" s="35" t="s">
        <v>3354</v>
      </c>
      <c r="F1056" s="35" t="s">
        <v>111</v>
      </c>
      <c r="G1056" s="106"/>
      <c r="H1056" s="33">
        <v>43221</v>
      </c>
      <c r="I1056" s="34" t="s">
        <v>3379</v>
      </c>
      <c r="J1056" s="36">
        <v>434</v>
      </c>
      <c r="K1056" t="s">
        <v>2030</v>
      </c>
    </row>
    <row r="1057" spans="1:11" x14ac:dyDescent="0.3">
      <c r="A1057" t="s">
        <v>817</v>
      </c>
      <c r="B1057" s="33">
        <v>43255</v>
      </c>
      <c r="C1057" s="34" t="s">
        <v>3353</v>
      </c>
      <c r="D1057" s="34">
        <v>4301</v>
      </c>
      <c r="E1057" s="35" t="s">
        <v>3354</v>
      </c>
      <c r="F1057" s="35" t="s">
        <v>113</v>
      </c>
      <c r="G1057" s="106"/>
      <c r="H1057" s="33">
        <v>43221</v>
      </c>
      <c r="I1057" s="34" t="s">
        <v>3380</v>
      </c>
      <c r="J1057" s="36">
        <v>434</v>
      </c>
      <c r="K1057" t="s">
        <v>2030</v>
      </c>
    </row>
    <row r="1058" spans="1:11" x14ac:dyDescent="0.3">
      <c r="A1058" t="s">
        <v>817</v>
      </c>
      <c r="B1058" s="33">
        <v>43255</v>
      </c>
      <c r="C1058" s="34" t="s">
        <v>3353</v>
      </c>
      <c r="D1058" s="34">
        <v>4301</v>
      </c>
      <c r="E1058" s="35" t="s">
        <v>3354</v>
      </c>
      <c r="F1058" s="35" t="s">
        <v>117</v>
      </c>
      <c r="G1058" s="106"/>
      <c r="H1058" s="33">
        <v>43221</v>
      </c>
      <c r="I1058" s="34" t="s">
        <v>3381</v>
      </c>
      <c r="J1058" s="36">
        <v>434</v>
      </c>
      <c r="K1058" t="s">
        <v>2030</v>
      </c>
    </row>
    <row r="1059" spans="1:11" x14ac:dyDescent="0.3">
      <c r="A1059" t="s">
        <v>817</v>
      </c>
      <c r="B1059" s="33">
        <v>43255</v>
      </c>
      <c r="C1059" s="34" t="s">
        <v>3353</v>
      </c>
      <c r="D1059" s="34">
        <v>4301</v>
      </c>
      <c r="E1059" s="35" t="s">
        <v>3354</v>
      </c>
      <c r="F1059" s="35" t="s">
        <v>112</v>
      </c>
      <c r="G1059" s="106"/>
      <c r="H1059" s="33">
        <v>43221</v>
      </c>
      <c r="I1059" s="34" t="s">
        <v>3382</v>
      </c>
      <c r="J1059" s="36">
        <v>434</v>
      </c>
      <c r="K1059" t="s">
        <v>2030</v>
      </c>
    </row>
    <row r="1060" spans="1:11" x14ac:dyDescent="0.3">
      <c r="A1060" t="s">
        <v>817</v>
      </c>
      <c r="B1060" s="33">
        <v>43255</v>
      </c>
      <c r="C1060" s="34" t="s">
        <v>3353</v>
      </c>
      <c r="D1060" s="34">
        <v>4301</v>
      </c>
      <c r="E1060" s="35" t="s">
        <v>3354</v>
      </c>
      <c r="F1060" s="35" t="s">
        <v>115</v>
      </c>
      <c r="G1060" s="106"/>
      <c r="H1060" s="33">
        <v>43221</v>
      </c>
      <c r="I1060" s="34" t="s">
        <v>3383</v>
      </c>
      <c r="J1060" s="36">
        <v>434</v>
      </c>
      <c r="K1060" t="s">
        <v>2030</v>
      </c>
    </row>
    <row r="1061" spans="1:11" x14ac:dyDescent="0.3">
      <c r="A1061" t="s">
        <v>817</v>
      </c>
      <c r="B1061" s="33">
        <v>43255</v>
      </c>
      <c r="C1061" s="34" t="s">
        <v>3353</v>
      </c>
      <c r="D1061" s="34">
        <v>4301</v>
      </c>
      <c r="E1061" s="35" t="s">
        <v>3354</v>
      </c>
      <c r="F1061" s="35" t="s">
        <v>116</v>
      </c>
      <c r="G1061" s="106"/>
      <c r="H1061" s="33">
        <v>43221</v>
      </c>
      <c r="I1061" s="34" t="s">
        <v>3384</v>
      </c>
      <c r="J1061" s="36">
        <v>434</v>
      </c>
      <c r="K1061" t="s">
        <v>2030</v>
      </c>
    </row>
    <row r="1062" spans="1:11" x14ac:dyDescent="0.3">
      <c r="A1062" t="s">
        <v>817</v>
      </c>
      <c r="B1062" s="33">
        <v>43255</v>
      </c>
      <c r="C1062" s="34" t="s">
        <v>3353</v>
      </c>
      <c r="D1062" s="34">
        <v>4301</v>
      </c>
      <c r="E1062" s="35" t="s">
        <v>3354</v>
      </c>
      <c r="F1062" s="35" t="s">
        <v>114</v>
      </c>
      <c r="G1062" s="106"/>
      <c r="H1062" s="33">
        <v>43221</v>
      </c>
      <c r="I1062" s="34" t="s">
        <v>3385</v>
      </c>
      <c r="J1062" s="36">
        <v>434</v>
      </c>
      <c r="K1062" t="s">
        <v>2030</v>
      </c>
    </row>
    <row r="1063" spans="1:11" x14ac:dyDescent="0.3">
      <c r="A1063" t="s">
        <v>817</v>
      </c>
      <c r="B1063" s="33">
        <v>43255</v>
      </c>
      <c r="C1063" s="34" t="s">
        <v>3353</v>
      </c>
      <c r="D1063" s="34">
        <v>4301</v>
      </c>
      <c r="E1063" s="35" t="s">
        <v>3354</v>
      </c>
      <c r="F1063" s="35" t="s">
        <v>109</v>
      </c>
      <c r="G1063" s="106"/>
      <c r="H1063" s="33">
        <v>43221</v>
      </c>
      <c r="I1063" s="34" t="s">
        <v>3386</v>
      </c>
      <c r="J1063" s="36">
        <v>434</v>
      </c>
      <c r="K1063" t="s">
        <v>2030</v>
      </c>
    </row>
    <row r="1064" spans="1:11" x14ac:dyDescent="0.3">
      <c r="A1064" t="s">
        <v>817</v>
      </c>
      <c r="B1064" s="33">
        <v>43255</v>
      </c>
      <c r="C1064" s="34" t="s">
        <v>3353</v>
      </c>
      <c r="D1064" s="34">
        <v>4301</v>
      </c>
      <c r="E1064" s="35" t="s">
        <v>3354</v>
      </c>
      <c r="F1064" s="35" t="s">
        <v>107</v>
      </c>
      <c r="G1064" s="106"/>
      <c r="H1064" s="33">
        <v>43221</v>
      </c>
      <c r="I1064" s="34" t="s">
        <v>3387</v>
      </c>
      <c r="J1064" s="36">
        <v>434</v>
      </c>
      <c r="K1064" t="s">
        <v>2030</v>
      </c>
    </row>
    <row r="1065" spans="1:11" x14ac:dyDescent="0.3">
      <c r="A1065" t="s">
        <v>817</v>
      </c>
      <c r="B1065" s="33">
        <v>43255</v>
      </c>
      <c r="C1065" s="34" t="s">
        <v>3353</v>
      </c>
      <c r="D1065" s="34">
        <v>4301</v>
      </c>
      <c r="E1065" s="35" t="s">
        <v>3354</v>
      </c>
      <c r="F1065" s="35" t="s">
        <v>105</v>
      </c>
      <c r="G1065" s="106"/>
      <c r="H1065" s="33">
        <v>43221</v>
      </c>
      <c r="I1065" s="34" t="s">
        <v>3388</v>
      </c>
      <c r="J1065" s="36">
        <v>434</v>
      </c>
      <c r="K1065" t="s">
        <v>2030</v>
      </c>
    </row>
    <row r="1066" spans="1:11" x14ac:dyDescent="0.3">
      <c r="A1066" t="s">
        <v>817</v>
      </c>
      <c r="B1066" s="33">
        <v>43255</v>
      </c>
      <c r="C1066" s="34" t="s">
        <v>3353</v>
      </c>
      <c r="D1066" s="34">
        <v>4301</v>
      </c>
      <c r="E1066" s="35" t="s">
        <v>3354</v>
      </c>
      <c r="F1066" s="35" t="s">
        <v>108</v>
      </c>
      <c r="G1066" s="106"/>
      <c r="H1066" s="33">
        <v>43221</v>
      </c>
      <c r="I1066" s="34" t="s">
        <v>3389</v>
      </c>
      <c r="J1066" s="36">
        <v>434</v>
      </c>
      <c r="K1066" t="s">
        <v>2030</v>
      </c>
    </row>
    <row r="1067" spans="1:11" x14ac:dyDescent="0.3">
      <c r="A1067" t="s">
        <v>817</v>
      </c>
      <c r="B1067" s="33">
        <v>43255</v>
      </c>
      <c r="C1067" s="34" t="s">
        <v>3353</v>
      </c>
      <c r="D1067" s="34">
        <v>4301</v>
      </c>
      <c r="E1067" s="35" t="s">
        <v>3354</v>
      </c>
      <c r="F1067" s="35" t="s">
        <v>38</v>
      </c>
      <c r="G1067" s="106"/>
      <c r="H1067" s="33">
        <v>43221</v>
      </c>
      <c r="I1067" s="34" t="s">
        <v>3390</v>
      </c>
      <c r="J1067" s="36">
        <v>232.5</v>
      </c>
      <c r="K1067" t="s">
        <v>2030</v>
      </c>
    </row>
    <row r="1068" spans="1:11" x14ac:dyDescent="0.3">
      <c r="A1068" t="s">
        <v>817</v>
      </c>
      <c r="B1068" s="33">
        <v>43255</v>
      </c>
      <c r="C1068" s="34" t="s">
        <v>3353</v>
      </c>
      <c r="D1068" s="34">
        <v>4301</v>
      </c>
      <c r="E1068" s="35" t="s">
        <v>3354</v>
      </c>
      <c r="F1068" s="35" t="s">
        <v>39</v>
      </c>
      <c r="G1068" s="106"/>
      <c r="H1068" s="33">
        <v>43221</v>
      </c>
      <c r="I1068" s="34" t="s">
        <v>3391</v>
      </c>
      <c r="J1068" s="36">
        <v>232.5</v>
      </c>
      <c r="K1068" t="s">
        <v>2030</v>
      </c>
    </row>
    <row r="1069" spans="1:11" x14ac:dyDescent="0.3">
      <c r="A1069" t="s">
        <v>817</v>
      </c>
      <c r="B1069" s="33">
        <v>43255</v>
      </c>
      <c r="C1069" s="34" t="s">
        <v>3353</v>
      </c>
      <c r="D1069" s="34">
        <v>4301</v>
      </c>
      <c r="E1069" s="35" t="s">
        <v>3354</v>
      </c>
      <c r="F1069" s="35" t="s">
        <v>20</v>
      </c>
      <c r="G1069" s="106"/>
      <c r="H1069" s="33">
        <v>43221</v>
      </c>
      <c r="I1069" s="34" t="s">
        <v>3392</v>
      </c>
      <c r="J1069" s="36">
        <v>434</v>
      </c>
      <c r="K1069" t="s">
        <v>2030</v>
      </c>
    </row>
    <row r="1070" spans="1:11" x14ac:dyDescent="0.3">
      <c r="A1070" t="s">
        <v>817</v>
      </c>
      <c r="B1070" s="33">
        <v>43255</v>
      </c>
      <c r="C1070" s="34" t="s">
        <v>3353</v>
      </c>
      <c r="D1070" s="34">
        <v>4301</v>
      </c>
      <c r="E1070" s="35" t="s">
        <v>3354</v>
      </c>
      <c r="F1070" s="35" t="s">
        <v>28</v>
      </c>
      <c r="G1070" s="106"/>
      <c r="H1070" s="33">
        <v>43221</v>
      </c>
      <c r="I1070" s="34" t="s">
        <v>3393</v>
      </c>
      <c r="J1070" s="36">
        <v>232.5</v>
      </c>
      <c r="K1070" t="s">
        <v>2030</v>
      </c>
    </row>
    <row r="1071" spans="1:11" x14ac:dyDescent="0.3">
      <c r="A1071" t="s">
        <v>817</v>
      </c>
      <c r="B1071" s="33">
        <v>43255</v>
      </c>
      <c r="C1071" s="34" t="s">
        <v>3353</v>
      </c>
      <c r="D1071" s="34">
        <v>4301</v>
      </c>
      <c r="E1071" s="35" t="s">
        <v>3354</v>
      </c>
      <c r="F1071" s="35" t="s">
        <v>24</v>
      </c>
      <c r="G1071" s="106"/>
      <c r="H1071" s="33">
        <v>43221</v>
      </c>
      <c r="I1071" s="34" t="s">
        <v>3394</v>
      </c>
      <c r="J1071" s="36">
        <v>232.5</v>
      </c>
      <c r="K1071" t="s">
        <v>2030</v>
      </c>
    </row>
    <row r="1072" spans="1:11" x14ac:dyDescent="0.3">
      <c r="A1072" t="s">
        <v>817</v>
      </c>
      <c r="B1072" s="33">
        <v>43255</v>
      </c>
      <c r="C1072" s="34" t="s">
        <v>3353</v>
      </c>
      <c r="D1072" s="34">
        <v>4301</v>
      </c>
      <c r="E1072" s="35" t="s">
        <v>3354</v>
      </c>
      <c r="F1072" s="35" t="s">
        <v>37</v>
      </c>
      <c r="G1072" s="106"/>
      <c r="H1072" s="33">
        <v>43221</v>
      </c>
      <c r="I1072" s="34" t="s">
        <v>3395</v>
      </c>
      <c r="J1072" s="36">
        <v>232.5</v>
      </c>
      <c r="K1072" t="s">
        <v>2030</v>
      </c>
    </row>
    <row r="1073" spans="1:11" x14ac:dyDescent="0.3">
      <c r="A1073" t="s">
        <v>817</v>
      </c>
      <c r="B1073" s="33">
        <v>43255</v>
      </c>
      <c r="C1073" s="34" t="s">
        <v>3353</v>
      </c>
      <c r="D1073" s="34">
        <v>4301</v>
      </c>
      <c r="E1073" s="35" t="s">
        <v>3354</v>
      </c>
      <c r="F1073" s="35" t="s">
        <v>25</v>
      </c>
      <c r="G1073" s="106"/>
      <c r="H1073" s="33">
        <v>43221</v>
      </c>
      <c r="I1073" s="34" t="s">
        <v>3396</v>
      </c>
      <c r="J1073" s="36">
        <v>232.5</v>
      </c>
      <c r="K1073" t="s">
        <v>2030</v>
      </c>
    </row>
    <row r="1074" spans="1:11" x14ac:dyDescent="0.3">
      <c r="A1074" t="s">
        <v>817</v>
      </c>
      <c r="B1074" s="33">
        <v>43255</v>
      </c>
      <c r="C1074" s="34" t="s">
        <v>3353</v>
      </c>
      <c r="D1074" s="34">
        <v>4301</v>
      </c>
      <c r="E1074" s="35" t="s">
        <v>3354</v>
      </c>
      <c r="F1074" s="35" t="s">
        <v>22</v>
      </c>
      <c r="G1074" s="106"/>
      <c r="H1074" s="33">
        <v>43221</v>
      </c>
      <c r="I1074" s="34" t="s">
        <v>3397</v>
      </c>
      <c r="J1074" s="36">
        <v>434</v>
      </c>
      <c r="K1074" t="s">
        <v>2030</v>
      </c>
    </row>
    <row r="1075" spans="1:11" x14ac:dyDescent="0.3">
      <c r="A1075" t="s">
        <v>817</v>
      </c>
      <c r="B1075" s="33">
        <v>43255</v>
      </c>
      <c r="C1075" s="34" t="s">
        <v>3353</v>
      </c>
      <c r="D1075" s="34">
        <v>4301</v>
      </c>
      <c r="E1075" s="35" t="s">
        <v>3354</v>
      </c>
      <c r="F1075" s="35" t="s">
        <v>23</v>
      </c>
      <c r="G1075" s="106"/>
      <c r="H1075" s="33">
        <v>43221</v>
      </c>
      <c r="I1075" s="34" t="s">
        <v>3398</v>
      </c>
      <c r="J1075" s="36">
        <v>434</v>
      </c>
      <c r="K1075" t="s">
        <v>2030</v>
      </c>
    </row>
    <row r="1076" spans="1:11" x14ac:dyDescent="0.3">
      <c r="A1076" t="s">
        <v>817</v>
      </c>
      <c r="B1076" s="33">
        <v>43255</v>
      </c>
      <c r="C1076" s="34" t="s">
        <v>3353</v>
      </c>
      <c r="D1076" s="34">
        <v>4301</v>
      </c>
      <c r="E1076" s="35" t="s">
        <v>3354</v>
      </c>
      <c r="F1076" s="35" t="s">
        <v>27</v>
      </c>
      <c r="G1076" s="106"/>
      <c r="H1076" s="33">
        <v>43221</v>
      </c>
      <c r="I1076" s="34" t="s">
        <v>3399</v>
      </c>
      <c r="J1076" s="36">
        <v>232.5</v>
      </c>
      <c r="K1076" t="s">
        <v>2030</v>
      </c>
    </row>
    <row r="1077" spans="1:11" x14ac:dyDescent="0.3">
      <c r="A1077" t="s">
        <v>817</v>
      </c>
      <c r="B1077" s="33">
        <v>43255</v>
      </c>
      <c r="C1077" s="34" t="s">
        <v>3353</v>
      </c>
      <c r="D1077" s="34">
        <v>4301</v>
      </c>
      <c r="E1077" s="35" t="s">
        <v>3354</v>
      </c>
      <c r="F1077" s="35" t="s">
        <v>26</v>
      </c>
      <c r="G1077" s="106"/>
      <c r="H1077" s="33">
        <v>43221</v>
      </c>
      <c r="I1077" s="34" t="s">
        <v>3400</v>
      </c>
      <c r="J1077" s="36">
        <v>232.5</v>
      </c>
      <c r="K1077" t="s">
        <v>2030</v>
      </c>
    </row>
    <row r="1078" spans="1:11" x14ac:dyDescent="0.3">
      <c r="A1078" t="s">
        <v>817</v>
      </c>
      <c r="B1078" s="33">
        <v>43255</v>
      </c>
      <c r="C1078" s="34" t="s">
        <v>3353</v>
      </c>
      <c r="D1078" s="34">
        <v>4301</v>
      </c>
      <c r="E1078" s="35" t="s">
        <v>3354</v>
      </c>
      <c r="F1078" s="35" t="s">
        <v>19</v>
      </c>
      <c r="G1078" s="106"/>
      <c r="H1078" s="33">
        <v>43221</v>
      </c>
      <c r="I1078" s="34" t="s">
        <v>3401</v>
      </c>
      <c r="J1078" s="36">
        <v>434</v>
      </c>
      <c r="K1078" t="s">
        <v>2030</v>
      </c>
    </row>
    <row r="1079" spans="1:11" x14ac:dyDescent="0.3">
      <c r="A1079" t="s">
        <v>817</v>
      </c>
      <c r="B1079" s="33">
        <v>43255</v>
      </c>
      <c r="C1079" s="34" t="s">
        <v>3353</v>
      </c>
      <c r="D1079" s="34">
        <v>4301</v>
      </c>
      <c r="E1079" s="35" t="s">
        <v>3354</v>
      </c>
      <c r="F1079" s="35" t="s">
        <v>21</v>
      </c>
      <c r="G1079" s="106"/>
      <c r="H1079" s="33">
        <v>43221</v>
      </c>
      <c r="I1079" s="34" t="s">
        <v>3402</v>
      </c>
      <c r="J1079" s="36">
        <v>434</v>
      </c>
      <c r="K1079" t="s">
        <v>2030</v>
      </c>
    </row>
    <row r="1080" spans="1:11" x14ac:dyDescent="0.3">
      <c r="A1080" t="s">
        <v>817</v>
      </c>
      <c r="B1080" s="33">
        <v>43255</v>
      </c>
      <c r="C1080" s="34" t="s">
        <v>3353</v>
      </c>
      <c r="D1080" s="34">
        <v>4301</v>
      </c>
      <c r="E1080" s="35" t="s">
        <v>3354</v>
      </c>
      <c r="F1080" s="35" t="s">
        <v>18</v>
      </c>
      <c r="G1080" s="106"/>
      <c r="H1080" s="33">
        <v>43221</v>
      </c>
      <c r="I1080" s="34" t="s">
        <v>3403</v>
      </c>
      <c r="J1080" s="36">
        <v>232.5</v>
      </c>
      <c r="K1080" t="s">
        <v>2030</v>
      </c>
    </row>
    <row r="1081" spans="1:11" x14ac:dyDescent="0.3">
      <c r="A1081" t="s">
        <v>817</v>
      </c>
      <c r="B1081" s="33">
        <v>43255</v>
      </c>
      <c r="C1081" s="34" t="s">
        <v>3353</v>
      </c>
      <c r="D1081" s="34">
        <v>4301</v>
      </c>
      <c r="E1081" s="35" t="s">
        <v>3354</v>
      </c>
      <c r="F1081" s="35" t="s">
        <v>14</v>
      </c>
      <c r="G1081" s="106"/>
      <c r="H1081" s="33">
        <v>43221</v>
      </c>
      <c r="I1081" s="34" t="s">
        <v>3404</v>
      </c>
      <c r="J1081" s="36">
        <v>434</v>
      </c>
      <c r="K1081" t="s">
        <v>2030</v>
      </c>
    </row>
    <row r="1082" spans="1:11" x14ac:dyDescent="0.3">
      <c r="A1082" t="s">
        <v>817</v>
      </c>
      <c r="B1082" s="33">
        <v>43255</v>
      </c>
      <c r="C1082" s="34" t="s">
        <v>3353</v>
      </c>
      <c r="D1082" s="34">
        <v>4301</v>
      </c>
      <c r="E1082" s="35" t="s">
        <v>3354</v>
      </c>
      <c r="F1082" s="35" t="s">
        <v>17</v>
      </c>
      <c r="G1082" s="106"/>
      <c r="H1082" s="33">
        <v>43221</v>
      </c>
      <c r="I1082" s="34" t="s">
        <v>3405</v>
      </c>
      <c r="J1082" s="36">
        <v>232.5</v>
      </c>
      <c r="K1082" t="s">
        <v>2030</v>
      </c>
    </row>
    <row r="1083" spans="1:11" x14ac:dyDescent="0.3">
      <c r="A1083" t="s">
        <v>817</v>
      </c>
      <c r="B1083" s="33">
        <v>43255</v>
      </c>
      <c r="C1083" s="34" t="s">
        <v>3353</v>
      </c>
      <c r="D1083" s="34">
        <v>4301</v>
      </c>
      <c r="E1083" s="35" t="s">
        <v>3354</v>
      </c>
      <c r="F1083" s="35" t="s">
        <v>15</v>
      </c>
      <c r="G1083" s="106"/>
      <c r="H1083" s="33">
        <v>43221</v>
      </c>
      <c r="I1083" s="34" t="s">
        <v>3406</v>
      </c>
      <c r="J1083" s="36">
        <v>434</v>
      </c>
      <c r="K1083" t="s">
        <v>2030</v>
      </c>
    </row>
    <row r="1084" spans="1:11" x14ac:dyDescent="0.3">
      <c r="A1084" t="s">
        <v>817</v>
      </c>
      <c r="B1084" s="33">
        <v>43255</v>
      </c>
      <c r="C1084" s="34" t="s">
        <v>3353</v>
      </c>
      <c r="D1084" s="34">
        <v>4301</v>
      </c>
      <c r="E1084" s="35" t="s">
        <v>3354</v>
      </c>
      <c r="F1084" s="35" t="s">
        <v>152</v>
      </c>
      <c r="G1084" s="106"/>
      <c r="H1084" s="33">
        <v>43221</v>
      </c>
      <c r="I1084" s="34" t="s">
        <v>3407</v>
      </c>
      <c r="J1084" s="36">
        <v>232.5</v>
      </c>
      <c r="K1084" t="s">
        <v>2030</v>
      </c>
    </row>
    <row r="1085" spans="1:11" x14ac:dyDescent="0.3">
      <c r="A1085" t="s">
        <v>817</v>
      </c>
      <c r="B1085" s="33">
        <v>43255</v>
      </c>
      <c r="C1085" s="34" t="s">
        <v>3353</v>
      </c>
      <c r="D1085" s="34">
        <v>4301</v>
      </c>
      <c r="E1085" s="35" t="s">
        <v>3354</v>
      </c>
      <c r="F1085" s="35" t="s">
        <v>16</v>
      </c>
      <c r="G1085" s="106"/>
      <c r="H1085" s="33">
        <v>43221</v>
      </c>
      <c r="I1085" s="34" t="s">
        <v>3408</v>
      </c>
      <c r="J1085" s="36">
        <v>232.5</v>
      </c>
      <c r="K1085" t="s">
        <v>2030</v>
      </c>
    </row>
    <row r="1086" spans="1:11" x14ac:dyDescent="0.3">
      <c r="A1086" t="s">
        <v>817</v>
      </c>
      <c r="B1086" s="33">
        <v>43255</v>
      </c>
      <c r="C1086" s="34" t="s">
        <v>3353</v>
      </c>
      <c r="D1086" s="34">
        <v>4301</v>
      </c>
      <c r="E1086" s="35" t="s">
        <v>3354</v>
      </c>
      <c r="F1086" s="35" t="s">
        <v>12</v>
      </c>
      <c r="G1086" s="106"/>
      <c r="H1086" s="33">
        <v>43221</v>
      </c>
      <c r="I1086" s="34" t="s">
        <v>3409</v>
      </c>
      <c r="J1086" s="36">
        <v>434</v>
      </c>
      <c r="K1086" t="s">
        <v>2030</v>
      </c>
    </row>
    <row r="1087" spans="1:11" x14ac:dyDescent="0.3">
      <c r="A1087" t="s">
        <v>817</v>
      </c>
      <c r="B1087" s="33">
        <v>43255</v>
      </c>
      <c r="C1087" s="34" t="s">
        <v>3353</v>
      </c>
      <c r="D1087" s="34">
        <v>4301</v>
      </c>
      <c r="E1087" s="35" t="s">
        <v>3354</v>
      </c>
      <c r="F1087" s="35" t="s">
        <v>151</v>
      </c>
      <c r="G1087" s="106"/>
      <c r="H1087" s="33">
        <v>43221</v>
      </c>
      <c r="I1087" s="34" t="s">
        <v>3410</v>
      </c>
      <c r="J1087" s="36">
        <v>232.5</v>
      </c>
      <c r="K1087" t="s">
        <v>2030</v>
      </c>
    </row>
    <row r="1088" spans="1:11" x14ac:dyDescent="0.3">
      <c r="A1088" t="s">
        <v>817</v>
      </c>
      <c r="B1088" s="33">
        <v>43255</v>
      </c>
      <c r="C1088" s="34" t="s">
        <v>3353</v>
      </c>
      <c r="D1088" s="34">
        <v>4301</v>
      </c>
      <c r="E1088" s="35" t="s">
        <v>3354</v>
      </c>
      <c r="F1088" s="35" t="s">
        <v>11</v>
      </c>
      <c r="G1088" s="106"/>
      <c r="H1088" s="33">
        <v>43221</v>
      </c>
      <c r="I1088" s="34" t="s">
        <v>3411</v>
      </c>
      <c r="J1088" s="36">
        <v>232.5</v>
      </c>
      <c r="K1088" t="s">
        <v>2030</v>
      </c>
    </row>
    <row r="1089" spans="1:11" x14ac:dyDescent="0.3">
      <c r="A1089" t="s">
        <v>817</v>
      </c>
      <c r="B1089" s="33">
        <v>43255</v>
      </c>
      <c r="C1089" s="34" t="s">
        <v>3353</v>
      </c>
      <c r="D1089" s="34">
        <v>4301</v>
      </c>
      <c r="E1089" s="35" t="s">
        <v>3354</v>
      </c>
      <c r="F1089" s="35" t="s">
        <v>13</v>
      </c>
      <c r="G1089" s="106"/>
      <c r="H1089" s="33">
        <v>43221</v>
      </c>
      <c r="I1089" s="34" t="s">
        <v>3412</v>
      </c>
      <c r="J1089" s="36">
        <v>434</v>
      </c>
      <c r="K1089" t="s">
        <v>2030</v>
      </c>
    </row>
    <row r="1090" spans="1:11" x14ac:dyDescent="0.3">
      <c r="A1090" t="s">
        <v>817</v>
      </c>
      <c r="B1090" s="33">
        <v>43255</v>
      </c>
      <c r="C1090" s="34" t="s">
        <v>3353</v>
      </c>
      <c r="D1090" s="34">
        <v>4301</v>
      </c>
      <c r="E1090" s="35" t="s">
        <v>3354</v>
      </c>
      <c r="F1090" s="35" t="s">
        <v>147</v>
      </c>
      <c r="G1090" s="106"/>
      <c r="H1090" s="33">
        <v>43221</v>
      </c>
      <c r="I1090" s="34" t="s">
        <v>3413</v>
      </c>
      <c r="J1090" s="36">
        <v>232.5</v>
      </c>
      <c r="K1090" t="s">
        <v>2030</v>
      </c>
    </row>
    <row r="1091" spans="1:11" x14ac:dyDescent="0.3">
      <c r="A1091" t="s">
        <v>817</v>
      </c>
      <c r="B1091" s="33">
        <v>43255</v>
      </c>
      <c r="C1091" s="34" t="s">
        <v>3353</v>
      </c>
      <c r="D1091" s="34">
        <v>4301</v>
      </c>
      <c r="E1091" s="35" t="s">
        <v>3354</v>
      </c>
      <c r="F1091" s="35" t="s">
        <v>145</v>
      </c>
      <c r="G1091" s="106"/>
      <c r="H1091" s="33">
        <v>43221</v>
      </c>
      <c r="I1091" s="34" t="s">
        <v>3414</v>
      </c>
      <c r="J1091" s="36">
        <v>232.5</v>
      </c>
      <c r="K1091" t="s">
        <v>2030</v>
      </c>
    </row>
    <row r="1092" spans="1:11" x14ac:dyDescent="0.3">
      <c r="A1092" t="s">
        <v>817</v>
      </c>
      <c r="B1092" s="33">
        <v>43255</v>
      </c>
      <c r="C1092" s="34" t="s">
        <v>3353</v>
      </c>
      <c r="D1092" s="34">
        <v>4301</v>
      </c>
      <c r="E1092" s="35" t="s">
        <v>3354</v>
      </c>
      <c r="F1092" s="35" t="s">
        <v>150</v>
      </c>
      <c r="G1092" s="106"/>
      <c r="H1092" s="33">
        <v>43221</v>
      </c>
      <c r="I1092" s="34" t="s">
        <v>3415</v>
      </c>
      <c r="J1092" s="36">
        <v>232.5</v>
      </c>
      <c r="K1092" t="s">
        <v>2030</v>
      </c>
    </row>
    <row r="1093" spans="1:11" x14ac:dyDescent="0.3">
      <c r="A1093" t="s">
        <v>817</v>
      </c>
      <c r="B1093" s="33">
        <v>43255</v>
      </c>
      <c r="C1093" s="34" t="s">
        <v>3353</v>
      </c>
      <c r="D1093" s="34">
        <v>4301</v>
      </c>
      <c r="E1093" s="35" t="s">
        <v>3354</v>
      </c>
      <c r="F1093" s="35" t="s">
        <v>142</v>
      </c>
      <c r="G1093" s="106"/>
      <c r="H1093" s="33">
        <v>43221</v>
      </c>
      <c r="I1093" s="34" t="s">
        <v>3416</v>
      </c>
      <c r="J1093" s="36">
        <v>232.5</v>
      </c>
      <c r="K1093" t="s">
        <v>2030</v>
      </c>
    </row>
    <row r="1094" spans="1:11" x14ac:dyDescent="0.3">
      <c r="A1094" t="s">
        <v>817</v>
      </c>
      <c r="B1094" s="33">
        <v>43255</v>
      </c>
      <c r="C1094" s="34" t="s">
        <v>3353</v>
      </c>
      <c r="D1094" s="34">
        <v>4301</v>
      </c>
      <c r="E1094" s="35" t="s">
        <v>3354</v>
      </c>
      <c r="F1094" s="35" t="s">
        <v>143</v>
      </c>
      <c r="G1094" s="106"/>
      <c r="H1094" s="33">
        <v>43221</v>
      </c>
      <c r="I1094" s="34" t="s">
        <v>3417</v>
      </c>
      <c r="J1094" s="36">
        <v>232.5</v>
      </c>
      <c r="K1094" t="s">
        <v>2030</v>
      </c>
    </row>
    <row r="1095" spans="1:11" x14ac:dyDescent="0.3">
      <c r="A1095" t="s">
        <v>817</v>
      </c>
      <c r="B1095" s="33">
        <v>43255</v>
      </c>
      <c r="C1095" s="34" t="s">
        <v>3353</v>
      </c>
      <c r="D1095" s="34">
        <v>4301</v>
      </c>
      <c r="E1095" s="35" t="s">
        <v>3354</v>
      </c>
      <c r="F1095" s="35" t="s">
        <v>146</v>
      </c>
      <c r="G1095" s="106"/>
      <c r="H1095" s="33">
        <v>43221</v>
      </c>
      <c r="I1095" s="34" t="s">
        <v>3418</v>
      </c>
      <c r="J1095" s="36">
        <v>232.5</v>
      </c>
      <c r="K1095" t="s">
        <v>2030</v>
      </c>
    </row>
    <row r="1096" spans="1:11" x14ac:dyDescent="0.3">
      <c r="A1096" t="s">
        <v>817</v>
      </c>
      <c r="B1096" s="33">
        <v>43255</v>
      </c>
      <c r="C1096" s="34" t="s">
        <v>3353</v>
      </c>
      <c r="D1096" s="34">
        <v>4301</v>
      </c>
      <c r="E1096" s="35" t="s">
        <v>3354</v>
      </c>
      <c r="F1096" s="35" t="s">
        <v>144</v>
      </c>
      <c r="G1096" s="106"/>
      <c r="H1096" s="33">
        <v>43221</v>
      </c>
      <c r="I1096" s="34" t="s">
        <v>3419</v>
      </c>
      <c r="J1096" s="36">
        <v>232.5</v>
      </c>
      <c r="K1096" t="s">
        <v>2030</v>
      </c>
    </row>
    <row r="1097" spans="1:11" x14ac:dyDescent="0.3">
      <c r="A1097" t="s">
        <v>817</v>
      </c>
      <c r="B1097" s="33">
        <v>43255</v>
      </c>
      <c r="C1097" s="34" t="s">
        <v>3353</v>
      </c>
      <c r="D1097" s="34">
        <v>4301</v>
      </c>
      <c r="E1097" s="35" t="s">
        <v>3354</v>
      </c>
      <c r="F1097" s="35" t="s">
        <v>148</v>
      </c>
      <c r="G1097" s="106"/>
      <c r="H1097" s="33">
        <v>43221</v>
      </c>
      <c r="I1097" s="34" t="s">
        <v>3420</v>
      </c>
      <c r="J1097" s="36">
        <v>232.5</v>
      </c>
      <c r="K1097" t="s">
        <v>2030</v>
      </c>
    </row>
    <row r="1098" spans="1:11" x14ac:dyDescent="0.3">
      <c r="A1098" t="s">
        <v>817</v>
      </c>
      <c r="B1098" s="33">
        <v>43255</v>
      </c>
      <c r="C1098" s="34" t="s">
        <v>3353</v>
      </c>
      <c r="D1098" s="34">
        <v>4301</v>
      </c>
      <c r="E1098" s="35" t="s">
        <v>3354</v>
      </c>
      <c r="F1098" s="35" t="s">
        <v>149</v>
      </c>
      <c r="G1098" s="106"/>
      <c r="H1098" s="33">
        <v>43221</v>
      </c>
      <c r="I1098" s="34" t="s">
        <v>3421</v>
      </c>
      <c r="J1098" s="36">
        <v>232.5</v>
      </c>
      <c r="K1098" t="s">
        <v>2030</v>
      </c>
    </row>
    <row r="1099" spans="1:11" x14ac:dyDescent="0.3">
      <c r="A1099" t="s">
        <v>817</v>
      </c>
      <c r="B1099" s="33">
        <v>43255</v>
      </c>
      <c r="C1099" s="34" t="s">
        <v>3353</v>
      </c>
      <c r="D1099" s="34">
        <v>4301</v>
      </c>
      <c r="E1099" s="35" t="s">
        <v>3354</v>
      </c>
      <c r="F1099" s="35" t="s">
        <v>141</v>
      </c>
      <c r="G1099" s="106"/>
      <c r="H1099" s="33">
        <v>43221</v>
      </c>
      <c r="I1099" s="34" t="s">
        <v>3422</v>
      </c>
      <c r="J1099" s="36">
        <v>232.5</v>
      </c>
      <c r="K1099" t="s">
        <v>2030</v>
      </c>
    </row>
    <row r="1100" spans="1:11" x14ac:dyDescent="0.3">
      <c r="A1100" t="s">
        <v>817</v>
      </c>
      <c r="B1100" s="33">
        <v>43255</v>
      </c>
      <c r="C1100" s="34" t="s">
        <v>3353</v>
      </c>
      <c r="D1100" s="34">
        <v>4301</v>
      </c>
      <c r="E1100" s="35" t="s">
        <v>3354</v>
      </c>
      <c r="F1100" s="35" t="s">
        <v>10</v>
      </c>
      <c r="G1100" s="106"/>
      <c r="H1100" s="33">
        <v>43221</v>
      </c>
      <c r="I1100" s="34" t="s">
        <v>3423</v>
      </c>
      <c r="J1100" s="36">
        <v>232.5</v>
      </c>
      <c r="K1100" t="s">
        <v>2030</v>
      </c>
    </row>
    <row r="1101" spans="1:11" x14ac:dyDescent="0.3">
      <c r="A1101" t="s">
        <v>817</v>
      </c>
      <c r="B1101" s="33">
        <v>43255</v>
      </c>
      <c r="C1101" s="34" t="s">
        <v>3353</v>
      </c>
      <c r="D1101" s="34">
        <v>4301</v>
      </c>
      <c r="E1101" s="35" t="s">
        <v>3354</v>
      </c>
      <c r="F1101" s="35" t="s">
        <v>140</v>
      </c>
      <c r="G1101" s="106"/>
      <c r="H1101" s="33">
        <v>43221</v>
      </c>
      <c r="I1101" s="34" t="s">
        <v>3424</v>
      </c>
      <c r="J1101" s="36">
        <v>310</v>
      </c>
      <c r="K1101" t="s">
        <v>2030</v>
      </c>
    </row>
    <row r="1102" spans="1:11" x14ac:dyDescent="0.3">
      <c r="A1102" t="s">
        <v>817</v>
      </c>
      <c r="B1102" s="33">
        <v>43255</v>
      </c>
      <c r="C1102" s="34" t="s">
        <v>3353</v>
      </c>
      <c r="D1102" s="34">
        <v>4301</v>
      </c>
      <c r="E1102" s="35" t="s">
        <v>3354</v>
      </c>
      <c r="F1102" s="35" t="s">
        <v>72</v>
      </c>
      <c r="G1102" s="106"/>
      <c r="H1102" s="33">
        <v>43221</v>
      </c>
      <c r="I1102" s="34" t="s">
        <v>3425</v>
      </c>
      <c r="J1102" s="36">
        <v>232.5</v>
      </c>
      <c r="K1102" t="s">
        <v>2030</v>
      </c>
    </row>
    <row r="1103" spans="1:11" x14ac:dyDescent="0.3">
      <c r="A1103" t="s">
        <v>817</v>
      </c>
      <c r="B1103" s="33">
        <v>43255</v>
      </c>
      <c r="C1103" s="34" t="s">
        <v>3353</v>
      </c>
      <c r="D1103" s="34">
        <v>4301</v>
      </c>
      <c r="E1103" s="35" t="s">
        <v>3354</v>
      </c>
      <c r="F1103" s="35" t="s">
        <v>78</v>
      </c>
      <c r="G1103" s="106"/>
      <c r="H1103" s="33">
        <v>43221</v>
      </c>
      <c r="I1103" s="34" t="s">
        <v>3426</v>
      </c>
      <c r="J1103" s="36">
        <v>178.25</v>
      </c>
      <c r="K1103" t="s">
        <v>2030</v>
      </c>
    </row>
    <row r="1104" spans="1:11" x14ac:dyDescent="0.3">
      <c r="A1104" t="s">
        <v>817</v>
      </c>
      <c r="B1104" s="33">
        <v>43255</v>
      </c>
      <c r="C1104" s="34" t="s">
        <v>3353</v>
      </c>
      <c r="D1104" s="34">
        <v>4301</v>
      </c>
      <c r="E1104" s="35" t="s">
        <v>3354</v>
      </c>
      <c r="F1104" s="35" t="s">
        <v>71</v>
      </c>
      <c r="G1104" s="106"/>
      <c r="H1104" s="33">
        <v>43221</v>
      </c>
      <c r="I1104" s="34" t="s">
        <v>3427</v>
      </c>
      <c r="J1104" s="36">
        <v>232.5</v>
      </c>
      <c r="K1104" t="s">
        <v>2030</v>
      </c>
    </row>
    <row r="1105" spans="1:11" x14ac:dyDescent="0.3">
      <c r="A1105" t="s">
        <v>817</v>
      </c>
      <c r="B1105" s="33">
        <v>43255</v>
      </c>
      <c r="C1105" s="34" t="s">
        <v>3353</v>
      </c>
      <c r="D1105" s="34">
        <v>4301</v>
      </c>
      <c r="E1105" s="35" t="s">
        <v>3354</v>
      </c>
      <c r="F1105" s="35" t="s">
        <v>73</v>
      </c>
      <c r="G1105" s="106"/>
      <c r="H1105" s="33">
        <v>43221</v>
      </c>
      <c r="I1105" s="34" t="s">
        <v>3428</v>
      </c>
      <c r="J1105" s="36">
        <v>232.5</v>
      </c>
      <c r="K1105" t="s">
        <v>2030</v>
      </c>
    </row>
    <row r="1106" spans="1:11" x14ac:dyDescent="0.3">
      <c r="A1106" t="s">
        <v>817</v>
      </c>
      <c r="B1106" s="33">
        <v>43255</v>
      </c>
      <c r="C1106" s="34" t="s">
        <v>3353</v>
      </c>
      <c r="D1106" s="34">
        <v>4301</v>
      </c>
      <c r="E1106" s="35" t="s">
        <v>3354</v>
      </c>
      <c r="F1106" s="35" t="s">
        <v>70</v>
      </c>
      <c r="G1106" s="106"/>
      <c r="H1106" s="33">
        <v>43221</v>
      </c>
      <c r="I1106" s="34" t="s">
        <v>3429</v>
      </c>
      <c r="J1106" s="36">
        <v>232.5</v>
      </c>
      <c r="K1106" t="s">
        <v>2030</v>
      </c>
    </row>
    <row r="1107" spans="1:11" x14ac:dyDescent="0.3">
      <c r="A1107" t="s">
        <v>817</v>
      </c>
      <c r="B1107" s="33">
        <v>43255</v>
      </c>
      <c r="C1107" s="34" t="s">
        <v>3353</v>
      </c>
      <c r="D1107" s="34">
        <v>4301</v>
      </c>
      <c r="E1107" s="35" t="s">
        <v>3354</v>
      </c>
      <c r="F1107" s="35" t="s">
        <v>64</v>
      </c>
      <c r="G1107" s="106"/>
      <c r="H1107" s="33">
        <v>43221</v>
      </c>
      <c r="I1107" s="34" t="s">
        <v>3430</v>
      </c>
      <c r="J1107" s="36">
        <v>232.5</v>
      </c>
      <c r="K1107" t="s">
        <v>2030</v>
      </c>
    </row>
    <row r="1108" spans="1:11" x14ac:dyDescent="0.3">
      <c r="A1108" t="s">
        <v>817</v>
      </c>
      <c r="B1108" s="33">
        <v>43255</v>
      </c>
      <c r="C1108" s="34" t="s">
        <v>3353</v>
      </c>
      <c r="D1108" s="34">
        <v>4301</v>
      </c>
      <c r="E1108" s="35" t="s">
        <v>3354</v>
      </c>
      <c r="F1108" s="35" t="s">
        <v>65</v>
      </c>
      <c r="G1108" s="106"/>
      <c r="H1108" s="33">
        <v>43221</v>
      </c>
      <c r="I1108" s="34" t="s">
        <v>3431</v>
      </c>
      <c r="J1108" s="36">
        <v>232.5</v>
      </c>
      <c r="K1108" t="s">
        <v>2030</v>
      </c>
    </row>
    <row r="1109" spans="1:11" x14ac:dyDescent="0.3">
      <c r="A1109" t="s">
        <v>817</v>
      </c>
      <c r="B1109" s="33">
        <v>43255</v>
      </c>
      <c r="C1109" s="34" t="s">
        <v>3353</v>
      </c>
      <c r="D1109" s="34">
        <v>4301</v>
      </c>
      <c r="E1109" s="35" t="s">
        <v>3354</v>
      </c>
      <c r="F1109" s="35" t="s">
        <v>7</v>
      </c>
      <c r="G1109" s="106"/>
      <c r="H1109" s="33">
        <v>43221</v>
      </c>
      <c r="I1109" s="34" t="s">
        <v>3432</v>
      </c>
      <c r="J1109" s="36">
        <v>232.5</v>
      </c>
      <c r="K1109" t="s">
        <v>2030</v>
      </c>
    </row>
    <row r="1110" spans="1:11" x14ac:dyDescent="0.3">
      <c r="A1110" t="s">
        <v>817</v>
      </c>
      <c r="B1110" s="33">
        <v>43255</v>
      </c>
      <c r="C1110" s="34" t="s">
        <v>3353</v>
      </c>
      <c r="D1110" s="34">
        <v>4301</v>
      </c>
      <c r="E1110" s="35" t="s">
        <v>3354</v>
      </c>
      <c r="F1110" s="35" t="s">
        <v>60</v>
      </c>
      <c r="G1110" s="106"/>
      <c r="H1110" s="33">
        <v>43221</v>
      </c>
      <c r="I1110" s="34" t="s">
        <v>3433</v>
      </c>
      <c r="J1110" s="36">
        <v>434</v>
      </c>
      <c r="K1110" t="s">
        <v>2030</v>
      </c>
    </row>
    <row r="1111" spans="1:11" x14ac:dyDescent="0.3">
      <c r="A1111" t="s">
        <v>817</v>
      </c>
      <c r="B1111" s="33">
        <v>43255</v>
      </c>
      <c r="C1111" s="34" t="s">
        <v>3353</v>
      </c>
      <c r="D1111" s="34">
        <v>4301</v>
      </c>
      <c r="E1111" s="35" t="s">
        <v>3354</v>
      </c>
      <c r="F1111" s="35" t="s">
        <v>66</v>
      </c>
      <c r="G1111" s="106"/>
      <c r="H1111" s="33">
        <v>43221</v>
      </c>
      <c r="I1111" s="34" t="s">
        <v>3434</v>
      </c>
      <c r="J1111" s="36">
        <v>232.5</v>
      </c>
      <c r="K1111" t="s">
        <v>2030</v>
      </c>
    </row>
    <row r="1112" spans="1:11" x14ac:dyDescent="0.3">
      <c r="A1112" t="s">
        <v>817</v>
      </c>
      <c r="B1112" s="33">
        <v>43255</v>
      </c>
      <c r="C1112" s="34" t="s">
        <v>3353</v>
      </c>
      <c r="D1112" s="34">
        <v>4301</v>
      </c>
      <c r="E1112" s="35" t="s">
        <v>3354</v>
      </c>
      <c r="F1112" s="35" t="s">
        <v>68</v>
      </c>
      <c r="G1112" s="106"/>
      <c r="H1112" s="33">
        <v>43221</v>
      </c>
      <c r="I1112" s="34" t="s">
        <v>3435</v>
      </c>
      <c r="J1112" s="36">
        <v>434</v>
      </c>
      <c r="K1112" t="s">
        <v>2030</v>
      </c>
    </row>
    <row r="1113" spans="1:11" x14ac:dyDescent="0.3">
      <c r="A1113" t="s">
        <v>817</v>
      </c>
      <c r="B1113" s="33">
        <v>43255</v>
      </c>
      <c r="C1113" s="34" t="s">
        <v>3353</v>
      </c>
      <c r="D1113" s="34">
        <v>4301</v>
      </c>
      <c r="E1113" s="35" t="s">
        <v>3354</v>
      </c>
      <c r="F1113" s="35" t="s">
        <v>63</v>
      </c>
      <c r="G1113" s="106"/>
      <c r="H1113" s="33">
        <v>43221</v>
      </c>
      <c r="I1113" s="34" t="s">
        <v>3436</v>
      </c>
      <c r="J1113" s="36">
        <v>232.5</v>
      </c>
      <c r="K1113" t="s">
        <v>2030</v>
      </c>
    </row>
    <row r="1114" spans="1:11" x14ac:dyDescent="0.3">
      <c r="A1114" t="s">
        <v>817</v>
      </c>
      <c r="B1114" s="33">
        <v>43255</v>
      </c>
      <c r="C1114" s="34" t="s">
        <v>3353</v>
      </c>
      <c r="D1114" s="34">
        <v>4301</v>
      </c>
      <c r="E1114" s="35" t="s">
        <v>3354</v>
      </c>
      <c r="F1114" s="35" t="s">
        <v>62</v>
      </c>
      <c r="G1114" s="106"/>
      <c r="H1114" s="33">
        <v>43221</v>
      </c>
      <c r="I1114" s="34" t="s">
        <v>3437</v>
      </c>
      <c r="J1114" s="36">
        <v>434</v>
      </c>
      <c r="K1114" t="s">
        <v>2030</v>
      </c>
    </row>
    <row r="1115" spans="1:11" x14ac:dyDescent="0.3">
      <c r="A1115" t="s">
        <v>817</v>
      </c>
      <c r="B1115" s="33">
        <v>43255</v>
      </c>
      <c r="C1115" s="34" t="s">
        <v>3353</v>
      </c>
      <c r="D1115" s="34">
        <v>4301</v>
      </c>
      <c r="E1115" s="35" t="s">
        <v>3354</v>
      </c>
      <c r="F1115" s="35" t="s">
        <v>61</v>
      </c>
      <c r="G1115" s="106"/>
      <c r="H1115" s="33">
        <v>43221</v>
      </c>
      <c r="I1115" s="34" t="s">
        <v>3438</v>
      </c>
      <c r="J1115" s="36">
        <v>434</v>
      </c>
      <c r="K1115" t="s">
        <v>2030</v>
      </c>
    </row>
    <row r="1116" spans="1:11" x14ac:dyDescent="0.3">
      <c r="A1116" t="s">
        <v>817</v>
      </c>
      <c r="B1116" s="33">
        <v>43255</v>
      </c>
      <c r="C1116" s="34" t="s">
        <v>3353</v>
      </c>
      <c r="D1116" s="34">
        <v>4301</v>
      </c>
      <c r="E1116" s="35" t="s">
        <v>3354</v>
      </c>
      <c r="F1116" s="35" t="s">
        <v>51</v>
      </c>
      <c r="G1116" s="106"/>
      <c r="H1116" s="33">
        <v>43221</v>
      </c>
      <c r="I1116" s="34" t="s">
        <v>3439</v>
      </c>
      <c r="J1116" s="36">
        <v>178.25</v>
      </c>
      <c r="K1116" t="s">
        <v>2030</v>
      </c>
    </row>
    <row r="1117" spans="1:11" x14ac:dyDescent="0.3">
      <c r="A1117" t="s">
        <v>817</v>
      </c>
      <c r="B1117" s="33">
        <v>43255</v>
      </c>
      <c r="C1117" s="34" t="s">
        <v>3353</v>
      </c>
      <c r="D1117" s="34">
        <v>4301</v>
      </c>
      <c r="E1117" s="35" t="s">
        <v>3354</v>
      </c>
      <c r="F1117" s="35" t="s">
        <v>52</v>
      </c>
      <c r="G1117" s="106"/>
      <c r="H1117" s="33">
        <v>43221</v>
      </c>
      <c r="I1117" s="34" t="s">
        <v>3440</v>
      </c>
      <c r="J1117" s="36">
        <v>178.25</v>
      </c>
      <c r="K1117" t="s">
        <v>2030</v>
      </c>
    </row>
    <row r="1118" spans="1:11" x14ac:dyDescent="0.3">
      <c r="A1118" t="s">
        <v>817</v>
      </c>
      <c r="B1118" s="33">
        <v>43255</v>
      </c>
      <c r="C1118" s="34" t="s">
        <v>3353</v>
      </c>
      <c r="D1118" s="34">
        <v>4301</v>
      </c>
      <c r="E1118" s="35" t="s">
        <v>3354</v>
      </c>
      <c r="F1118" s="35" t="s">
        <v>54</v>
      </c>
      <c r="G1118" s="106"/>
      <c r="H1118" s="33">
        <v>43221</v>
      </c>
      <c r="I1118" s="34" t="s">
        <v>3441</v>
      </c>
      <c r="J1118" s="36">
        <v>178.25</v>
      </c>
      <c r="K1118" t="s">
        <v>2030</v>
      </c>
    </row>
    <row r="1119" spans="1:11" x14ac:dyDescent="0.3">
      <c r="A1119" t="s">
        <v>817</v>
      </c>
      <c r="B1119" s="33">
        <v>43255</v>
      </c>
      <c r="C1119" s="34" t="s">
        <v>3353</v>
      </c>
      <c r="D1119" s="34">
        <v>4301</v>
      </c>
      <c r="E1119" s="35" t="s">
        <v>3354</v>
      </c>
      <c r="F1119" s="35" t="s">
        <v>53</v>
      </c>
      <c r="G1119" s="106"/>
      <c r="H1119" s="33">
        <v>43221</v>
      </c>
      <c r="I1119" s="34" t="s">
        <v>3442</v>
      </c>
      <c r="J1119" s="36">
        <v>178.25</v>
      </c>
      <c r="K1119" t="s">
        <v>2030</v>
      </c>
    </row>
    <row r="1120" spans="1:11" x14ac:dyDescent="0.3">
      <c r="A1120" t="s">
        <v>817</v>
      </c>
      <c r="B1120" s="33">
        <v>43255</v>
      </c>
      <c r="C1120" s="34" t="s">
        <v>3353</v>
      </c>
      <c r="D1120" s="34">
        <v>4301</v>
      </c>
      <c r="E1120" s="35" t="s">
        <v>3354</v>
      </c>
      <c r="F1120" s="35" t="s">
        <v>55</v>
      </c>
      <c r="G1120" s="106"/>
      <c r="H1120" s="33">
        <v>43221</v>
      </c>
      <c r="I1120" s="34" t="s">
        <v>3443</v>
      </c>
      <c r="J1120" s="36">
        <v>178.25</v>
      </c>
      <c r="K1120" t="s">
        <v>2030</v>
      </c>
    </row>
    <row r="1121" spans="1:11" x14ac:dyDescent="0.3">
      <c r="A1121" t="s">
        <v>817</v>
      </c>
      <c r="B1121" s="33">
        <v>43255</v>
      </c>
      <c r="C1121" s="34" t="s">
        <v>3353</v>
      </c>
      <c r="D1121" s="34">
        <v>4301</v>
      </c>
      <c r="E1121" s="35" t="s">
        <v>3354</v>
      </c>
      <c r="F1121" s="35" t="s">
        <v>56</v>
      </c>
      <c r="G1121" s="106"/>
      <c r="H1121" s="33">
        <v>43221</v>
      </c>
      <c r="I1121" s="34" t="s">
        <v>3444</v>
      </c>
      <c r="J1121" s="36">
        <v>178.25</v>
      </c>
      <c r="K1121" t="s">
        <v>2030</v>
      </c>
    </row>
    <row r="1122" spans="1:11" x14ac:dyDescent="0.3">
      <c r="A1122" t="s">
        <v>817</v>
      </c>
      <c r="B1122" s="33">
        <v>43255</v>
      </c>
      <c r="C1122" s="34" t="s">
        <v>3353</v>
      </c>
      <c r="D1122" s="34">
        <v>4301</v>
      </c>
      <c r="E1122" s="35" t="s">
        <v>3354</v>
      </c>
      <c r="F1122" s="35" t="s">
        <v>49</v>
      </c>
      <c r="G1122" s="106"/>
      <c r="H1122" s="33">
        <v>43221</v>
      </c>
      <c r="I1122" s="34" t="s">
        <v>3445</v>
      </c>
      <c r="J1122" s="36">
        <v>178.25</v>
      </c>
      <c r="K1122" t="s">
        <v>2030</v>
      </c>
    </row>
    <row r="1123" spans="1:11" x14ac:dyDescent="0.3">
      <c r="A1123" t="s">
        <v>817</v>
      </c>
      <c r="B1123" s="33">
        <v>43255</v>
      </c>
      <c r="C1123" s="34" t="s">
        <v>3353</v>
      </c>
      <c r="D1123" s="34">
        <v>4301</v>
      </c>
      <c r="E1123" s="35" t="s">
        <v>3354</v>
      </c>
      <c r="F1123" s="35" t="s">
        <v>57</v>
      </c>
      <c r="G1123" s="106"/>
      <c r="H1123" s="33">
        <v>43221</v>
      </c>
      <c r="I1123" s="34" t="s">
        <v>3446</v>
      </c>
      <c r="J1123" s="36">
        <v>178.25</v>
      </c>
      <c r="K1123" t="s">
        <v>2030</v>
      </c>
    </row>
    <row r="1124" spans="1:11" x14ac:dyDescent="0.3">
      <c r="A1124" t="s">
        <v>817</v>
      </c>
      <c r="B1124" s="33">
        <v>43255</v>
      </c>
      <c r="C1124" s="34" t="s">
        <v>3353</v>
      </c>
      <c r="D1124" s="34">
        <v>4301</v>
      </c>
      <c r="E1124" s="35" t="s">
        <v>3354</v>
      </c>
      <c r="F1124" s="35" t="s">
        <v>58</v>
      </c>
      <c r="G1124" s="106"/>
      <c r="H1124" s="33">
        <v>43221</v>
      </c>
      <c r="I1124" s="34" t="s">
        <v>3447</v>
      </c>
      <c r="J1124" s="36">
        <v>434</v>
      </c>
      <c r="K1124" t="s">
        <v>2030</v>
      </c>
    </row>
    <row r="1125" spans="1:11" x14ac:dyDescent="0.3">
      <c r="A1125" t="s">
        <v>817</v>
      </c>
      <c r="B1125" s="33">
        <v>43255</v>
      </c>
      <c r="C1125" s="34" t="s">
        <v>3353</v>
      </c>
      <c r="D1125" s="34">
        <v>4301</v>
      </c>
      <c r="E1125" s="35" t="s">
        <v>3354</v>
      </c>
      <c r="F1125" s="35" t="s">
        <v>59</v>
      </c>
      <c r="G1125" s="106"/>
      <c r="H1125" s="33">
        <v>43221</v>
      </c>
      <c r="I1125" s="34" t="s">
        <v>3448</v>
      </c>
      <c r="J1125" s="36">
        <v>434</v>
      </c>
      <c r="K1125" t="s">
        <v>2030</v>
      </c>
    </row>
    <row r="1126" spans="1:11" x14ac:dyDescent="0.3">
      <c r="A1126" t="s">
        <v>817</v>
      </c>
      <c r="B1126" s="33">
        <v>43255</v>
      </c>
      <c r="C1126" s="34" t="s">
        <v>3353</v>
      </c>
      <c r="D1126" s="34">
        <v>4301</v>
      </c>
      <c r="E1126" s="35" t="s">
        <v>3354</v>
      </c>
      <c r="F1126" s="35" t="s">
        <v>44</v>
      </c>
      <c r="G1126" s="106"/>
      <c r="H1126" s="33">
        <v>43221</v>
      </c>
      <c r="I1126" s="34" t="s">
        <v>3449</v>
      </c>
      <c r="J1126" s="36">
        <v>178.25</v>
      </c>
      <c r="K1126" t="s">
        <v>2030</v>
      </c>
    </row>
    <row r="1127" spans="1:11" x14ac:dyDescent="0.3">
      <c r="A1127" t="s">
        <v>817</v>
      </c>
      <c r="B1127" s="33">
        <v>43255</v>
      </c>
      <c r="C1127" s="34" t="s">
        <v>3353</v>
      </c>
      <c r="D1127" s="34">
        <v>4301</v>
      </c>
      <c r="E1127" s="35" t="s">
        <v>3354</v>
      </c>
      <c r="F1127" s="35" t="s">
        <v>50</v>
      </c>
      <c r="G1127" s="106"/>
      <c r="H1127" s="33">
        <v>43221</v>
      </c>
      <c r="I1127" s="34" t="s">
        <v>3450</v>
      </c>
      <c r="J1127" s="36">
        <v>178.25</v>
      </c>
      <c r="K1127" t="s">
        <v>2030</v>
      </c>
    </row>
    <row r="1128" spans="1:11" x14ac:dyDescent="0.3">
      <c r="A1128" t="s">
        <v>817</v>
      </c>
      <c r="B1128" s="33">
        <v>43255</v>
      </c>
      <c r="C1128" s="34" t="s">
        <v>3353</v>
      </c>
      <c r="D1128" s="34">
        <v>4301</v>
      </c>
      <c r="E1128" s="35" t="s">
        <v>3354</v>
      </c>
      <c r="F1128" s="35" t="s">
        <v>46</v>
      </c>
      <c r="G1128" s="106"/>
      <c r="H1128" s="33">
        <v>43221</v>
      </c>
      <c r="I1128" s="34" t="s">
        <v>3451</v>
      </c>
      <c r="J1128" s="36">
        <v>178.25</v>
      </c>
      <c r="K1128" t="s">
        <v>2030</v>
      </c>
    </row>
    <row r="1129" spans="1:11" x14ac:dyDescent="0.3">
      <c r="A1129" t="s">
        <v>817</v>
      </c>
      <c r="B1129" s="33">
        <v>43255</v>
      </c>
      <c r="C1129" s="34" t="s">
        <v>3353</v>
      </c>
      <c r="D1129" s="34">
        <v>4301</v>
      </c>
      <c r="E1129" s="35" t="s">
        <v>3354</v>
      </c>
      <c r="F1129" s="35" t="s">
        <v>47</v>
      </c>
      <c r="G1129" s="106"/>
      <c r="H1129" s="33">
        <v>43221</v>
      </c>
      <c r="I1129" s="34" t="s">
        <v>3452</v>
      </c>
      <c r="J1129" s="36">
        <v>178.25</v>
      </c>
      <c r="K1129" t="s">
        <v>2030</v>
      </c>
    </row>
    <row r="1130" spans="1:11" x14ac:dyDescent="0.3">
      <c r="A1130" t="s">
        <v>817</v>
      </c>
      <c r="B1130" s="33">
        <v>43255</v>
      </c>
      <c r="C1130" s="34" t="s">
        <v>3353</v>
      </c>
      <c r="D1130" s="34">
        <v>4301</v>
      </c>
      <c r="E1130" s="35" t="s">
        <v>3354</v>
      </c>
      <c r="F1130" s="35" t="s">
        <v>48</v>
      </c>
      <c r="G1130" s="106"/>
      <c r="H1130" s="33">
        <v>43221</v>
      </c>
      <c r="I1130" s="34" t="s">
        <v>3453</v>
      </c>
      <c r="J1130" s="36">
        <v>178.25</v>
      </c>
      <c r="K1130" t="s">
        <v>2030</v>
      </c>
    </row>
    <row r="1131" spans="1:11" x14ac:dyDescent="0.3">
      <c r="A1131" t="s">
        <v>817</v>
      </c>
      <c r="B1131" s="33">
        <v>43255</v>
      </c>
      <c r="C1131" s="34" t="s">
        <v>3353</v>
      </c>
      <c r="D1131" s="34">
        <v>4301</v>
      </c>
      <c r="E1131" s="35" t="s">
        <v>3354</v>
      </c>
      <c r="F1131" s="35" t="s">
        <v>45</v>
      </c>
      <c r="G1131" s="106"/>
      <c r="H1131" s="33">
        <v>43221</v>
      </c>
      <c r="I1131" s="34" t="s">
        <v>3454</v>
      </c>
      <c r="J1131" s="36">
        <v>178.25</v>
      </c>
      <c r="K1131" t="s">
        <v>2030</v>
      </c>
    </row>
    <row r="1132" spans="1:11" x14ac:dyDescent="0.3">
      <c r="A1132" t="s">
        <v>817</v>
      </c>
      <c r="B1132" s="33">
        <v>43255</v>
      </c>
      <c r="C1132" s="34" t="s">
        <v>3353</v>
      </c>
      <c r="D1132" s="34">
        <v>4301</v>
      </c>
      <c r="E1132" s="35" t="s">
        <v>3354</v>
      </c>
      <c r="F1132" s="35" t="s">
        <v>42</v>
      </c>
      <c r="G1132" s="106"/>
      <c r="H1132" s="33">
        <v>43221</v>
      </c>
      <c r="I1132" s="34" t="s">
        <v>3455</v>
      </c>
      <c r="J1132" s="36">
        <v>232.5</v>
      </c>
      <c r="K1132" t="s">
        <v>2030</v>
      </c>
    </row>
    <row r="1133" spans="1:11" x14ac:dyDescent="0.3">
      <c r="A1133" t="s">
        <v>817</v>
      </c>
      <c r="B1133" s="33">
        <v>43255</v>
      </c>
      <c r="C1133" s="34" t="s">
        <v>3353</v>
      </c>
      <c r="D1133" s="34">
        <v>4301</v>
      </c>
      <c r="E1133" s="35" t="s">
        <v>3354</v>
      </c>
      <c r="F1133" s="35" t="s">
        <v>40</v>
      </c>
      <c r="G1133" s="106"/>
      <c r="H1133" s="33">
        <v>43221</v>
      </c>
      <c r="I1133" s="34" t="s">
        <v>3456</v>
      </c>
      <c r="J1133" s="36">
        <v>232.5</v>
      </c>
      <c r="K1133" t="s">
        <v>2030</v>
      </c>
    </row>
    <row r="1134" spans="1:11" x14ac:dyDescent="0.3">
      <c r="A1134" t="s">
        <v>817</v>
      </c>
      <c r="B1134" s="33">
        <v>43255</v>
      </c>
      <c r="C1134" s="34" t="s">
        <v>3353</v>
      </c>
      <c r="D1134" s="34">
        <v>4301</v>
      </c>
      <c r="E1134" s="35" t="s">
        <v>3354</v>
      </c>
      <c r="F1134" s="35" t="s">
        <v>43</v>
      </c>
      <c r="G1134" s="106"/>
      <c r="H1134" s="33">
        <v>43221</v>
      </c>
      <c r="I1134" s="34" t="s">
        <v>3457</v>
      </c>
      <c r="J1134" s="36">
        <v>232.5</v>
      </c>
      <c r="K1134" t="s">
        <v>2030</v>
      </c>
    </row>
    <row r="1135" spans="1:11" x14ac:dyDescent="0.3">
      <c r="A1135" t="s">
        <v>817</v>
      </c>
      <c r="B1135" s="33">
        <v>43255</v>
      </c>
      <c r="C1135" s="34" t="s">
        <v>3353</v>
      </c>
      <c r="D1135" s="34">
        <v>4301</v>
      </c>
      <c r="E1135" s="35" t="s">
        <v>3354</v>
      </c>
      <c r="F1135" s="35" t="s">
        <v>6</v>
      </c>
      <c r="G1135" s="106"/>
      <c r="H1135" s="33">
        <v>43221</v>
      </c>
      <c r="I1135" s="34" t="s">
        <v>3458</v>
      </c>
      <c r="J1135" s="36">
        <v>232.5</v>
      </c>
      <c r="K1135" t="s">
        <v>2030</v>
      </c>
    </row>
    <row r="1136" spans="1:11" x14ac:dyDescent="0.3">
      <c r="A1136" t="s">
        <v>817</v>
      </c>
      <c r="B1136" s="33">
        <v>43255</v>
      </c>
      <c r="C1136" s="34" t="s">
        <v>3353</v>
      </c>
      <c r="D1136" s="34">
        <v>4301</v>
      </c>
      <c r="E1136" s="35" t="s">
        <v>3354</v>
      </c>
      <c r="F1136" s="35" t="s">
        <v>41</v>
      </c>
      <c r="G1136" s="106"/>
      <c r="H1136" s="33">
        <v>43221</v>
      </c>
      <c r="I1136" s="34" t="s">
        <v>3459</v>
      </c>
      <c r="J1136" s="36">
        <v>232.5</v>
      </c>
      <c r="K1136" t="s">
        <v>2030</v>
      </c>
    </row>
    <row r="1137" spans="1:11" x14ac:dyDescent="0.3">
      <c r="A1137" t="s">
        <v>817</v>
      </c>
      <c r="B1137" s="33">
        <v>43255</v>
      </c>
      <c r="C1137" s="34" t="s">
        <v>3353</v>
      </c>
      <c r="D1137" s="34">
        <v>4301</v>
      </c>
      <c r="E1137" s="35" t="s">
        <v>3354</v>
      </c>
      <c r="F1137" s="35" t="s">
        <v>104</v>
      </c>
      <c r="G1137" s="106"/>
      <c r="H1137" s="33">
        <v>43221</v>
      </c>
      <c r="I1137" s="34" t="s">
        <v>3460</v>
      </c>
      <c r="J1137" s="36">
        <v>434</v>
      </c>
      <c r="K1137" t="s">
        <v>2030</v>
      </c>
    </row>
    <row r="1138" spans="1:11" x14ac:dyDescent="0.3">
      <c r="A1138" t="s">
        <v>817</v>
      </c>
      <c r="B1138" s="33">
        <v>43255</v>
      </c>
      <c r="C1138" s="34" t="s">
        <v>3353</v>
      </c>
      <c r="D1138" s="34">
        <v>4301</v>
      </c>
      <c r="E1138" s="35" t="s">
        <v>3354</v>
      </c>
      <c r="F1138" s="35" t="s">
        <v>106</v>
      </c>
      <c r="G1138" s="106"/>
      <c r="H1138" s="33">
        <v>43221</v>
      </c>
      <c r="I1138" s="34" t="s">
        <v>3461</v>
      </c>
      <c r="J1138" s="36">
        <v>434</v>
      </c>
      <c r="K1138" t="s">
        <v>2030</v>
      </c>
    </row>
    <row r="1139" spans="1:11" x14ac:dyDescent="0.3">
      <c r="A1139" t="s">
        <v>817</v>
      </c>
      <c r="B1139" s="33">
        <v>43255</v>
      </c>
      <c r="C1139" s="34" t="s">
        <v>3353</v>
      </c>
      <c r="D1139" s="34">
        <v>4301</v>
      </c>
      <c r="E1139" s="35" t="s">
        <v>3354</v>
      </c>
      <c r="F1139" s="35" t="s">
        <v>99</v>
      </c>
      <c r="G1139" s="106"/>
      <c r="H1139" s="33">
        <v>43221</v>
      </c>
      <c r="I1139" s="34" t="s">
        <v>3462</v>
      </c>
      <c r="J1139" s="36">
        <v>434</v>
      </c>
      <c r="K1139" t="s">
        <v>2030</v>
      </c>
    </row>
    <row r="1140" spans="1:11" x14ac:dyDescent="0.3">
      <c r="A1140" t="s">
        <v>817</v>
      </c>
      <c r="B1140" s="33">
        <v>43255</v>
      </c>
      <c r="C1140" s="34" t="s">
        <v>3353</v>
      </c>
      <c r="D1140" s="34">
        <v>4301</v>
      </c>
      <c r="E1140" s="35" t="s">
        <v>3354</v>
      </c>
      <c r="F1140" s="35" t="s">
        <v>97</v>
      </c>
      <c r="G1140" s="106"/>
      <c r="H1140" s="33">
        <v>43221</v>
      </c>
      <c r="I1140" s="34" t="s">
        <v>3463</v>
      </c>
      <c r="J1140" s="36">
        <v>232.5</v>
      </c>
      <c r="K1140" t="s">
        <v>2030</v>
      </c>
    </row>
    <row r="1141" spans="1:11" x14ac:dyDescent="0.3">
      <c r="A1141" t="s">
        <v>817</v>
      </c>
      <c r="B1141" s="33">
        <v>43255</v>
      </c>
      <c r="C1141" s="34" t="s">
        <v>3353</v>
      </c>
      <c r="D1141" s="34">
        <v>4301</v>
      </c>
      <c r="E1141" s="35" t="s">
        <v>3354</v>
      </c>
      <c r="F1141" s="35" t="s">
        <v>95</v>
      </c>
      <c r="G1141" s="106"/>
      <c r="H1141" s="33">
        <v>43221</v>
      </c>
      <c r="I1141" s="34" t="s">
        <v>3464</v>
      </c>
      <c r="J1141" s="36">
        <v>178.25</v>
      </c>
      <c r="K1141" t="s">
        <v>2030</v>
      </c>
    </row>
    <row r="1142" spans="1:11" x14ac:dyDescent="0.3">
      <c r="A1142" t="s">
        <v>817</v>
      </c>
      <c r="B1142" s="33">
        <v>43255</v>
      </c>
      <c r="C1142" s="34" t="s">
        <v>3353</v>
      </c>
      <c r="D1142" s="34">
        <v>4301</v>
      </c>
      <c r="E1142" s="35" t="s">
        <v>3354</v>
      </c>
      <c r="F1142" s="35" t="s">
        <v>101</v>
      </c>
      <c r="G1142" s="106"/>
      <c r="H1142" s="33">
        <v>43221</v>
      </c>
      <c r="I1142" s="34" t="s">
        <v>3465</v>
      </c>
      <c r="J1142" s="36">
        <v>434</v>
      </c>
      <c r="K1142" t="s">
        <v>2030</v>
      </c>
    </row>
    <row r="1143" spans="1:11" x14ac:dyDescent="0.3">
      <c r="A1143" t="s">
        <v>817</v>
      </c>
      <c r="B1143" s="33">
        <v>43255</v>
      </c>
      <c r="C1143" s="34" t="s">
        <v>3353</v>
      </c>
      <c r="D1143" s="34">
        <v>4301</v>
      </c>
      <c r="E1143" s="35" t="s">
        <v>3354</v>
      </c>
      <c r="F1143" s="35" t="s">
        <v>103</v>
      </c>
      <c r="G1143" s="106"/>
      <c r="H1143" s="33">
        <v>43221</v>
      </c>
      <c r="I1143" s="34" t="s">
        <v>3466</v>
      </c>
      <c r="J1143" s="36">
        <v>434</v>
      </c>
      <c r="K1143" t="s">
        <v>2030</v>
      </c>
    </row>
    <row r="1144" spans="1:11" x14ac:dyDescent="0.3">
      <c r="A1144" t="s">
        <v>817</v>
      </c>
      <c r="B1144" s="33">
        <v>43255</v>
      </c>
      <c r="C1144" s="34" t="s">
        <v>3353</v>
      </c>
      <c r="D1144" s="34">
        <v>4301</v>
      </c>
      <c r="E1144" s="35" t="s">
        <v>3354</v>
      </c>
      <c r="F1144" s="35" t="s">
        <v>100</v>
      </c>
      <c r="G1144" s="106"/>
      <c r="H1144" s="33">
        <v>43221</v>
      </c>
      <c r="I1144" s="34" t="s">
        <v>3467</v>
      </c>
      <c r="J1144" s="36">
        <v>434</v>
      </c>
      <c r="K1144" t="s">
        <v>2030</v>
      </c>
    </row>
    <row r="1145" spans="1:11" x14ac:dyDescent="0.3">
      <c r="A1145" t="s">
        <v>817</v>
      </c>
      <c r="B1145" s="33">
        <v>43255</v>
      </c>
      <c r="C1145" s="34" t="s">
        <v>3353</v>
      </c>
      <c r="D1145" s="34">
        <v>4301</v>
      </c>
      <c r="E1145" s="35" t="s">
        <v>3354</v>
      </c>
      <c r="F1145" s="35" t="s">
        <v>102</v>
      </c>
      <c r="G1145" s="106"/>
      <c r="H1145" s="33">
        <v>43221</v>
      </c>
      <c r="I1145" s="34" t="s">
        <v>3468</v>
      </c>
      <c r="J1145" s="36">
        <v>434</v>
      </c>
      <c r="K1145" t="s">
        <v>2030</v>
      </c>
    </row>
    <row r="1146" spans="1:11" x14ac:dyDescent="0.3">
      <c r="A1146" t="s">
        <v>817</v>
      </c>
      <c r="B1146" s="33">
        <v>43255</v>
      </c>
      <c r="C1146" s="34" t="s">
        <v>3353</v>
      </c>
      <c r="D1146" s="34">
        <v>4301</v>
      </c>
      <c r="E1146" s="35" t="s">
        <v>3354</v>
      </c>
      <c r="F1146" s="35" t="s">
        <v>98</v>
      </c>
      <c r="G1146" s="106"/>
      <c r="H1146" s="33">
        <v>43221</v>
      </c>
      <c r="I1146" s="34" t="s">
        <v>3469</v>
      </c>
      <c r="J1146" s="36">
        <v>434</v>
      </c>
      <c r="K1146" t="s">
        <v>2030</v>
      </c>
    </row>
    <row r="1147" spans="1:11" x14ac:dyDescent="0.3">
      <c r="A1147" t="s">
        <v>817</v>
      </c>
      <c r="B1147" s="33">
        <v>43255</v>
      </c>
      <c r="C1147" s="34" t="s">
        <v>3353</v>
      </c>
      <c r="D1147" s="34">
        <v>4301</v>
      </c>
      <c r="E1147" s="35" t="s">
        <v>3354</v>
      </c>
      <c r="F1147" s="35" t="s">
        <v>96</v>
      </c>
      <c r="G1147" s="106"/>
      <c r="H1147" s="33">
        <v>43221</v>
      </c>
      <c r="I1147" s="34" t="s">
        <v>3470</v>
      </c>
      <c r="J1147" s="36">
        <v>232.5</v>
      </c>
      <c r="K1147" t="s">
        <v>2030</v>
      </c>
    </row>
    <row r="1148" spans="1:11" x14ac:dyDescent="0.3">
      <c r="A1148" t="s">
        <v>817</v>
      </c>
      <c r="B1148" s="33">
        <v>43255</v>
      </c>
      <c r="C1148" s="34" t="s">
        <v>3353</v>
      </c>
      <c r="D1148" s="34">
        <v>4301</v>
      </c>
      <c r="E1148" s="35" t="s">
        <v>3354</v>
      </c>
      <c r="F1148" s="35" t="s">
        <v>91</v>
      </c>
      <c r="G1148" s="106"/>
      <c r="H1148" s="33">
        <v>43221</v>
      </c>
      <c r="I1148" s="34" t="s">
        <v>3471</v>
      </c>
      <c r="J1148" s="36">
        <v>232.5</v>
      </c>
      <c r="K1148" t="s">
        <v>2030</v>
      </c>
    </row>
    <row r="1149" spans="1:11" x14ac:dyDescent="0.3">
      <c r="A1149" t="s">
        <v>817</v>
      </c>
      <c r="B1149" s="33">
        <v>43255</v>
      </c>
      <c r="C1149" s="34" t="s">
        <v>3353</v>
      </c>
      <c r="D1149" s="34">
        <v>4301</v>
      </c>
      <c r="E1149" s="35" t="s">
        <v>3354</v>
      </c>
      <c r="F1149" s="35" t="s">
        <v>87</v>
      </c>
      <c r="G1149" s="106"/>
      <c r="H1149" s="33">
        <v>43221</v>
      </c>
      <c r="I1149" s="34" t="s">
        <v>3472</v>
      </c>
      <c r="J1149" s="36">
        <v>232.5</v>
      </c>
      <c r="K1149" t="s">
        <v>2030</v>
      </c>
    </row>
    <row r="1150" spans="1:11" x14ac:dyDescent="0.3">
      <c r="A1150" t="s">
        <v>817</v>
      </c>
      <c r="B1150" s="33">
        <v>43255</v>
      </c>
      <c r="C1150" s="34" t="s">
        <v>3353</v>
      </c>
      <c r="D1150" s="34">
        <v>4301</v>
      </c>
      <c r="E1150" s="35" t="s">
        <v>3354</v>
      </c>
      <c r="F1150" s="35" t="s">
        <v>93</v>
      </c>
      <c r="G1150" s="106"/>
      <c r="H1150" s="33">
        <v>43221</v>
      </c>
      <c r="I1150" s="34" t="s">
        <v>3473</v>
      </c>
      <c r="J1150" s="36">
        <v>178.25</v>
      </c>
      <c r="K1150" t="s">
        <v>2030</v>
      </c>
    </row>
    <row r="1151" spans="1:11" x14ac:dyDescent="0.3">
      <c r="A1151" t="s">
        <v>817</v>
      </c>
      <c r="B1151" s="33">
        <v>43255</v>
      </c>
      <c r="C1151" s="34" t="s">
        <v>3353</v>
      </c>
      <c r="D1151" s="34">
        <v>4301</v>
      </c>
      <c r="E1151" s="35" t="s">
        <v>3354</v>
      </c>
      <c r="F1151" s="35" t="s">
        <v>92</v>
      </c>
      <c r="G1151" s="106"/>
      <c r="H1151" s="33">
        <v>43221</v>
      </c>
      <c r="I1151" s="34" t="s">
        <v>3474</v>
      </c>
      <c r="J1151" s="36">
        <v>232.5</v>
      </c>
      <c r="K1151" t="s">
        <v>2030</v>
      </c>
    </row>
    <row r="1152" spans="1:11" x14ac:dyDescent="0.3">
      <c r="A1152" t="s">
        <v>817</v>
      </c>
      <c r="B1152" s="33">
        <v>43255</v>
      </c>
      <c r="C1152" s="34" t="s">
        <v>3353</v>
      </c>
      <c r="D1152" s="34">
        <v>4301</v>
      </c>
      <c r="E1152" s="35" t="s">
        <v>3354</v>
      </c>
      <c r="F1152" s="35" t="s">
        <v>8</v>
      </c>
      <c r="G1152" s="106"/>
      <c r="H1152" s="33">
        <v>43221</v>
      </c>
      <c r="I1152" s="34" t="s">
        <v>3475</v>
      </c>
      <c r="J1152" s="36">
        <v>232.5</v>
      </c>
      <c r="K1152" t="s">
        <v>2030</v>
      </c>
    </row>
    <row r="1153" spans="1:11" x14ac:dyDescent="0.3">
      <c r="A1153" t="s">
        <v>817</v>
      </c>
      <c r="B1153" s="33">
        <v>43255</v>
      </c>
      <c r="C1153" s="34" t="s">
        <v>3353</v>
      </c>
      <c r="D1153" s="34">
        <v>4301</v>
      </c>
      <c r="E1153" s="35" t="s">
        <v>3354</v>
      </c>
      <c r="F1153" s="35" t="s">
        <v>30</v>
      </c>
      <c r="G1153" s="106"/>
      <c r="H1153" s="33">
        <v>43221</v>
      </c>
      <c r="I1153" s="34" t="s">
        <v>3476</v>
      </c>
      <c r="J1153" s="36">
        <v>232.5</v>
      </c>
      <c r="K1153" t="s">
        <v>2030</v>
      </c>
    </row>
    <row r="1154" spans="1:11" x14ac:dyDescent="0.3">
      <c r="A1154" t="s">
        <v>817</v>
      </c>
      <c r="B1154" s="33">
        <v>43255</v>
      </c>
      <c r="C1154" s="34" t="s">
        <v>3353</v>
      </c>
      <c r="D1154" s="34">
        <v>4301</v>
      </c>
      <c r="E1154" s="35" t="s">
        <v>3354</v>
      </c>
      <c r="F1154" s="35" t="s">
        <v>94</v>
      </c>
      <c r="G1154" s="106"/>
      <c r="H1154" s="33">
        <v>43221</v>
      </c>
      <c r="I1154" s="34" t="s">
        <v>3477</v>
      </c>
      <c r="J1154" s="36">
        <v>178.25</v>
      </c>
      <c r="K1154" t="s">
        <v>2030</v>
      </c>
    </row>
    <row r="1155" spans="1:11" x14ac:dyDescent="0.3">
      <c r="A1155" t="s">
        <v>817</v>
      </c>
      <c r="B1155" s="33">
        <v>43255</v>
      </c>
      <c r="C1155" s="34" t="s">
        <v>3353</v>
      </c>
      <c r="D1155" s="34">
        <v>4301</v>
      </c>
      <c r="E1155" s="35" t="s">
        <v>3354</v>
      </c>
      <c r="F1155" s="35" t="s">
        <v>89</v>
      </c>
      <c r="G1155" s="106"/>
      <c r="H1155" s="33">
        <v>43221</v>
      </c>
      <c r="I1155" s="34" t="s">
        <v>3478</v>
      </c>
      <c r="J1155" s="36">
        <v>232.5</v>
      </c>
      <c r="K1155" t="s">
        <v>2030</v>
      </c>
    </row>
    <row r="1156" spans="1:11" x14ac:dyDescent="0.3">
      <c r="A1156" t="s">
        <v>817</v>
      </c>
      <c r="B1156" s="33">
        <v>43255</v>
      </c>
      <c r="C1156" s="34" t="s">
        <v>3353</v>
      </c>
      <c r="D1156" s="34">
        <v>4301</v>
      </c>
      <c r="E1156" s="35" t="s">
        <v>3354</v>
      </c>
      <c r="F1156" s="35" t="s">
        <v>90</v>
      </c>
      <c r="G1156" s="106"/>
      <c r="H1156" s="33">
        <v>43221</v>
      </c>
      <c r="I1156" s="34" t="s">
        <v>3479</v>
      </c>
      <c r="J1156" s="36">
        <v>232.5</v>
      </c>
      <c r="K1156" t="s">
        <v>2030</v>
      </c>
    </row>
    <row r="1157" spans="1:11" x14ac:dyDescent="0.3">
      <c r="A1157" t="s">
        <v>817</v>
      </c>
      <c r="B1157" s="33">
        <v>43255</v>
      </c>
      <c r="C1157" s="34" t="s">
        <v>3353</v>
      </c>
      <c r="D1157" s="34">
        <v>4301</v>
      </c>
      <c r="E1157" s="35" t="s">
        <v>3354</v>
      </c>
      <c r="F1157" s="35" t="s">
        <v>88</v>
      </c>
      <c r="G1157" s="106"/>
      <c r="H1157" s="33">
        <v>43221</v>
      </c>
      <c r="I1157" s="34" t="s">
        <v>3480</v>
      </c>
      <c r="J1157" s="36">
        <v>434</v>
      </c>
      <c r="K1157" t="s">
        <v>2030</v>
      </c>
    </row>
    <row r="1158" spans="1:11" x14ac:dyDescent="0.3">
      <c r="A1158" t="s">
        <v>817</v>
      </c>
      <c r="B1158" s="33">
        <v>43255</v>
      </c>
      <c r="C1158" s="34" t="s">
        <v>3353</v>
      </c>
      <c r="D1158" s="34">
        <v>4301</v>
      </c>
      <c r="E1158" s="35" t="s">
        <v>3354</v>
      </c>
      <c r="F1158" s="35" t="s">
        <v>85</v>
      </c>
      <c r="G1158" s="106"/>
      <c r="H1158" s="33">
        <v>43221</v>
      </c>
      <c r="I1158" s="34" t="s">
        <v>3481</v>
      </c>
      <c r="J1158" s="36">
        <v>232.5</v>
      </c>
      <c r="K1158" t="s">
        <v>2030</v>
      </c>
    </row>
    <row r="1159" spans="1:11" x14ac:dyDescent="0.3">
      <c r="A1159" t="s">
        <v>817</v>
      </c>
      <c r="B1159" s="33">
        <v>43255</v>
      </c>
      <c r="C1159" s="34" t="s">
        <v>3353</v>
      </c>
      <c r="D1159" s="34">
        <v>4301</v>
      </c>
      <c r="E1159" s="35" t="s">
        <v>3354</v>
      </c>
      <c r="F1159" s="35" t="s">
        <v>82</v>
      </c>
      <c r="G1159" s="106"/>
      <c r="H1159" s="33">
        <v>43221</v>
      </c>
      <c r="I1159" s="34" t="s">
        <v>3482</v>
      </c>
      <c r="J1159" s="36">
        <v>232.5</v>
      </c>
      <c r="K1159" t="s">
        <v>2030</v>
      </c>
    </row>
    <row r="1160" spans="1:11" x14ac:dyDescent="0.3">
      <c r="A1160" t="s">
        <v>817</v>
      </c>
      <c r="B1160" s="33">
        <v>43255</v>
      </c>
      <c r="C1160" s="34" t="s">
        <v>3353</v>
      </c>
      <c r="D1160" s="34">
        <v>4301</v>
      </c>
      <c r="E1160" s="35" t="s">
        <v>3354</v>
      </c>
      <c r="F1160" s="35" t="s">
        <v>79</v>
      </c>
      <c r="G1160" s="106"/>
      <c r="H1160" s="33">
        <v>43221</v>
      </c>
      <c r="I1160" s="34" t="s">
        <v>3483</v>
      </c>
      <c r="J1160" s="36">
        <v>178.25</v>
      </c>
      <c r="K1160" t="s">
        <v>2030</v>
      </c>
    </row>
    <row r="1161" spans="1:11" x14ac:dyDescent="0.3">
      <c r="A1161" t="s">
        <v>817</v>
      </c>
      <c r="B1161" s="33">
        <v>43255</v>
      </c>
      <c r="C1161" s="34" t="s">
        <v>3353</v>
      </c>
      <c r="D1161" s="34">
        <v>4301</v>
      </c>
      <c r="E1161" s="35" t="s">
        <v>3354</v>
      </c>
      <c r="F1161" s="35" t="s">
        <v>80</v>
      </c>
      <c r="G1161" s="106"/>
      <c r="H1161" s="33">
        <v>43221</v>
      </c>
      <c r="I1161" s="34" t="s">
        <v>3484</v>
      </c>
      <c r="J1161" s="36">
        <v>178.25</v>
      </c>
      <c r="K1161" t="s">
        <v>2030</v>
      </c>
    </row>
    <row r="1162" spans="1:11" x14ac:dyDescent="0.3">
      <c r="A1162" t="s">
        <v>817</v>
      </c>
      <c r="B1162" s="33">
        <v>43255</v>
      </c>
      <c r="C1162" s="34" t="s">
        <v>3353</v>
      </c>
      <c r="D1162" s="34">
        <v>4301</v>
      </c>
      <c r="E1162" s="35" t="s">
        <v>3354</v>
      </c>
      <c r="F1162" s="35" t="s">
        <v>83</v>
      </c>
      <c r="G1162" s="106"/>
      <c r="H1162" s="33">
        <v>43221</v>
      </c>
      <c r="I1162" s="34" t="s">
        <v>3485</v>
      </c>
      <c r="J1162" s="36">
        <v>232.5</v>
      </c>
      <c r="K1162" t="s">
        <v>2030</v>
      </c>
    </row>
    <row r="1163" spans="1:11" x14ac:dyDescent="0.3">
      <c r="A1163" t="s">
        <v>817</v>
      </c>
      <c r="B1163" s="33">
        <v>43255</v>
      </c>
      <c r="C1163" s="34" t="s">
        <v>3353</v>
      </c>
      <c r="D1163" s="34">
        <v>4301</v>
      </c>
      <c r="E1163" s="35" t="s">
        <v>3354</v>
      </c>
      <c r="F1163" s="35" t="s">
        <v>81</v>
      </c>
      <c r="G1163" s="106"/>
      <c r="H1163" s="33">
        <v>43221</v>
      </c>
      <c r="I1163" s="34" t="s">
        <v>3486</v>
      </c>
      <c r="J1163" s="36">
        <v>178.25</v>
      </c>
      <c r="K1163" t="s">
        <v>2030</v>
      </c>
    </row>
    <row r="1164" spans="1:11" x14ac:dyDescent="0.3">
      <c r="A1164" t="s">
        <v>817</v>
      </c>
      <c r="B1164" s="33">
        <v>43255</v>
      </c>
      <c r="C1164" s="34" t="s">
        <v>3353</v>
      </c>
      <c r="D1164" s="34">
        <v>4301</v>
      </c>
      <c r="E1164" s="35" t="s">
        <v>3354</v>
      </c>
      <c r="F1164" s="35" t="s">
        <v>86</v>
      </c>
      <c r="G1164" s="106"/>
      <c r="H1164" s="33">
        <v>43221</v>
      </c>
      <c r="I1164" s="34" t="s">
        <v>3487</v>
      </c>
      <c r="J1164" s="36">
        <v>232.5</v>
      </c>
      <c r="K1164" t="s">
        <v>2030</v>
      </c>
    </row>
    <row r="1165" spans="1:11" x14ac:dyDescent="0.3">
      <c r="A1165" t="s">
        <v>817</v>
      </c>
      <c r="B1165" s="33">
        <v>43255</v>
      </c>
      <c r="C1165" s="34" t="s">
        <v>3353</v>
      </c>
      <c r="D1165" s="34">
        <v>4301</v>
      </c>
      <c r="E1165" s="35" t="s">
        <v>3354</v>
      </c>
      <c r="F1165" s="35" t="s">
        <v>84</v>
      </c>
      <c r="G1165" s="106"/>
      <c r="H1165" s="33">
        <v>43221</v>
      </c>
      <c r="I1165" s="34" t="s">
        <v>3488</v>
      </c>
      <c r="J1165" s="36">
        <v>232.5</v>
      </c>
      <c r="K1165" t="s">
        <v>2030</v>
      </c>
    </row>
    <row r="1166" spans="1:11" x14ac:dyDescent="0.3">
      <c r="A1166" t="s">
        <v>817</v>
      </c>
      <c r="B1166" s="33">
        <v>43255</v>
      </c>
      <c r="C1166" s="34" t="s">
        <v>3353</v>
      </c>
      <c r="D1166" s="34">
        <v>4301</v>
      </c>
      <c r="E1166" s="35" t="s">
        <v>3354</v>
      </c>
      <c r="F1166" s="35" t="s">
        <v>67</v>
      </c>
      <c r="G1166" s="106"/>
      <c r="H1166" s="33">
        <v>43221</v>
      </c>
      <c r="I1166" s="34" t="s">
        <v>3489</v>
      </c>
      <c r="J1166" s="36">
        <v>232.5</v>
      </c>
      <c r="K1166" t="s">
        <v>2030</v>
      </c>
    </row>
    <row r="1167" spans="1:11" x14ac:dyDescent="0.3">
      <c r="A1167" t="s">
        <v>817</v>
      </c>
      <c r="B1167" s="33">
        <v>43255</v>
      </c>
      <c r="C1167" s="34" t="s">
        <v>3353</v>
      </c>
      <c r="D1167" s="34">
        <v>4301</v>
      </c>
      <c r="E1167" s="35" t="s">
        <v>3354</v>
      </c>
      <c r="F1167" s="35" t="s">
        <v>69</v>
      </c>
      <c r="G1167" s="106"/>
      <c r="H1167" s="33">
        <v>43221</v>
      </c>
      <c r="I1167" s="34" t="s">
        <v>3490</v>
      </c>
      <c r="J1167" s="36">
        <v>434</v>
      </c>
      <c r="K1167" t="s">
        <v>2030</v>
      </c>
    </row>
    <row r="1168" spans="1:11" x14ac:dyDescent="0.3">
      <c r="A1168" t="s">
        <v>817</v>
      </c>
      <c r="B1168" s="33">
        <v>43255</v>
      </c>
      <c r="C1168" s="34" t="s">
        <v>3353</v>
      </c>
      <c r="D1168" s="34">
        <v>4301</v>
      </c>
      <c r="E1168" s="35" t="s">
        <v>3354</v>
      </c>
      <c r="F1168" s="35" t="s">
        <v>77</v>
      </c>
      <c r="G1168" s="106"/>
      <c r="H1168" s="33">
        <v>43221</v>
      </c>
      <c r="I1168" s="34" t="s">
        <v>3491</v>
      </c>
      <c r="J1168" s="36">
        <v>178.25</v>
      </c>
      <c r="K1168" t="s">
        <v>2030</v>
      </c>
    </row>
    <row r="1169" spans="1:11" x14ac:dyDescent="0.3">
      <c r="A1169" t="s">
        <v>817</v>
      </c>
      <c r="B1169" s="33">
        <v>43255</v>
      </c>
      <c r="C1169" s="34" t="s">
        <v>3353</v>
      </c>
      <c r="D1169" s="34">
        <v>4301</v>
      </c>
      <c r="E1169" s="35" t="s">
        <v>3354</v>
      </c>
      <c r="F1169" s="35" t="s">
        <v>74</v>
      </c>
      <c r="G1169" s="106"/>
      <c r="H1169" s="33">
        <v>43221</v>
      </c>
      <c r="I1169" s="34" t="s">
        <v>3492</v>
      </c>
      <c r="J1169" s="36">
        <v>232.5</v>
      </c>
      <c r="K1169" t="s">
        <v>2030</v>
      </c>
    </row>
    <row r="1170" spans="1:11" x14ac:dyDescent="0.3">
      <c r="A1170" t="s">
        <v>817</v>
      </c>
      <c r="B1170" s="33">
        <v>43255</v>
      </c>
      <c r="C1170" s="34" t="s">
        <v>3353</v>
      </c>
      <c r="D1170" s="34">
        <v>4301</v>
      </c>
      <c r="E1170" s="35" t="s">
        <v>3354</v>
      </c>
      <c r="F1170" s="35" t="s">
        <v>76</v>
      </c>
      <c r="G1170" s="106"/>
      <c r="H1170" s="33">
        <v>43221</v>
      </c>
      <c r="I1170" s="34" t="s">
        <v>3493</v>
      </c>
      <c r="J1170" s="36">
        <v>178.25</v>
      </c>
      <c r="K1170" t="s">
        <v>2030</v>
      </c>
    </row>
    <row r="1171" spans="1:11" x14ac:dyDescent="0.3">
      <c r="A1171" t="s">
        <v>817</v>
      </c>
      <c r="B1171" s="33">
        <v>43255</v>
      </c>
      <c r="C1171" s="34" t="s">
        <v>3353</v>
      </c>
      <c r="D1171" s="34">
        <v>4301</v>
      </c>
      <c r="E1171" s="35" t="s">
        <v>3354</v>
      </c>
      <c r="F1171" s="35" t="s">
        <v>75</v>
      </c>
      <c r="G1171" s="106"/>
      <c r="H1171" s="33">
        <v>43221</v>
      </c>
      <c r="I1171" s="34" t="s">
        <v>3494</v>
      </c>
      <c r="J1171" s="36">
        <v>232.5</v>
      </c>
      <c r="K1171" t="s">
        <v>2030</v>
      </c>
    </row>
    <row r="1172" spans="1:11" x14ac:dyDescent="0.3">
      <c r="A1172" t="s">
        <v>812</v>
      </c>
      <c r="B1172" s="33">
        <v>43255</v>
      </c>
      <c r="C1172" s="34"/>
      <c r="D1172" s="34"/>
      <c r="E1172" s="35" t="s">
        <v>3496</v>
      </c>
      <c r="F1172" s="35" t="s">
        <v>14</v>
      </c>
      <c r="G1172" s="106"/>
      <c r="H1172" s="33"/>
      <c r="I1172" s="34" t="s">
        <v>2114</v>
      </c>
      <c r="J1172" s="36">
        <v>240</v>
      </c>
      <c r="K1172" t="s">
        <v>2030</v>
      </c>
    </row>
    <row r="1173" spans="1:11" x14ac:dyDescent="0.3">
      <c r="A1173" t="s">
        <v>812</v>
      </c>
      <c r="B1173" s="33">
        <v>43255</v>
      </c>
      <c r="C1173" s="34"/>
      <c r="D1173" s="34"/>
      <c r="E1173" s="35" t="s">
        <v>3496</v>
      </c>
      <c r="F1173" s="35" t="s">
        <v>10</v>
      </c>
      <c r="G1173" s="106"/>
      <c r="H1173" s="33"/>
      <c r="I1173" s="34" t="s">
        <v>2114</v>
      </c>
      <c r="J1173" s="36">
        <v>240</v>
      </c>
      <c r="K1173" t="s">
        <v>2030</v>
      </c>
    </row>
    <row r="1174" spans="1:11" x14ac:dyDescent="0.3">
      <c r="A1174" t="s">
        <v>812</v>
      </c>
      <c r="B1174" s="33">
        <v>43255</v>
      </c>
      <c r="C1174" s="34"/>
      <c r="D1174" s="34"/>
      <c r="E1174" s="35" t="s">
        <v>3496</v>
      </c>
      <c r="F1174" s="35" t="s">
        <v>13</v>
      </c>
      <c r="G1174" s="106"/>
      <c r="H1174" s="33"/>
      <c r="I1174" s="34" t="s">
        <v>2114</v>
      </c>
      <c r="J1174" s="36">
        <v>240</v>
      </c>
      <c r="K1174" t="s">
        <v>2030</v>
      </c>
    </row>
    <row r="1175" spans="1:11" x14ac:dyDescent="0.3">
      <c r="A1175" t="s">
        <v>812</v>
      </c>
      <c r="B1175" s="33">
        <v>43255</v>
      </c>
      <c r="C1175" s="34"/>
      <c r="D1175" s="34"/>
      <c r="E1175" s="35" t="s">
        <v>3496</v>
      </c>
      <c r="F1175" s="35" t="s">
        <v>9</v>
      </c>
      <c r="G1175" s="106"/>
      <c r="H1175" s="33"/>
      <c r="I1175" s="34" t="s">
        <v>2114</v>
      </c>
      <c r="J1175" s="36">
        <v>240</v>
      </c>
      <c r="K1175" t="s">
        <v>2030</v>
      </c>
    </row>
    <row r="1176" spans="1:11" x14ac:dyDescent="0.3">
      <c r="A1176" t="s">
        <v>812</v>
      </c>
      <c r="B1176" s="33">
        <v>43255</v>
      </c>
      <c r="C1176" s="34"/>
      <c r="D1176" s="34"/>
      <c r="E1176" s="35" t="s">
        <v>3496</v>
      </c>
      <c r="F1176" s="35" t="s">
        <v>8</v>
      </c>
      <c r="G1176" s="106"/>
      <c r="H1176" s="33"/>
      <c r="I1176" s="34" t="s">
        <v>2114</v>
      </c>
      <c r="J1176" s="36">
        <v>577.5</v>
      </c>
      <c r="K1176" t="s">
        <v>2030</v>
      </c>
    </row>
    <row r="1177" spans="1:11" x14ac:dyDescent="0.3">
      <c r="A1177" t="s">
        <v>812</v>
      </c>
      <c r="B1177" s="33">
        <v>43255</v>
      </c>
      <c r="C1177" s="34"/>
      <c r="D1177" s="34"/>
      <c r="E1177" s="35" t="s">
        <v>3496</v>
      </c>
      <c r="F1177" s="35" t="s">
        <v>12</v>
      </c>
      <c r="G1177" s="106"/>
      <c r="H1177" s="33"/>
      <c r="I1177" s="34" t="s">
        <v>2114</v>
      </c>
      <c r="J1177" s="36">
        <v>240</v>
      </c>
      <c r="K1177" t="s">
        <v>2030</v>
      </c>
    </row>
    <row r="1178" spans="1:11" x14ac:dyDescent="0.3">
      <c r="A1178" t="s">
        <v>812</v>
      </c>
      <c r="B1178" s="33">
        <v>43255</v>
      </c>
      <c r="C1178" s="34"/>
      <c r="D1178" s="34"/>
      <c r="E1178" s="35" t="s">
        <v>3496</v>
      </c>
      <c r="F1178" s="35" t="s">
        <v>11</v>
      </c>
      <c r="G1178" s="106"/>
      <c r="H1178" s="33"/>
      <c r="I1178" s="34" t="s">
        <v>2114</v>
      </c>
      <c r="J1178" s="36">
        <v>240</v>
      </c>
      <c r="K1178" t="s">
        <v>2030</v>
      </c>
    </row>
    <row r="1179" spans="1:11" x14ac:dyDescent="0.3">
      <c r="A1179" t="s">
        <v>818</v>
      </c>
      <c r="B1179" s="33">
        <v>43255</v>
      </c>
      <c r="C1179" s="34"/>
      <c r="D1179" s="34"/>
      <c r="E1179" s="35" t="s">
        <v>3495</v>
      </c>
      <c r="F1179" s="35" t="s">
        <v>338</v>
      </c>
      <c r="G1179" s="106"/>
      <c r="H1179" s="33"/>
      <c r="I1179" s="34" t="s">
        <v>2114</v>
      </c>
      <c r="J1179" s="36">
        <v>271.14999999999998</v>
      </c>
      <c r="K1179" t="s">
        <v>2030</v>
      </c>
    </row>
    <row r="1180" spans="1:11" x14ac:dyDescent="0.3">
      <c r="A1180" t="s">
        <v>818</v>
      </c>
      <c r="B1180" s="33">
        <v>43255</v>
      </c>
      <c r="C1180" s="34" t="s">
        <v>3497</v>
      </c>
      <c r="D1180" s="34">
        <v>2000</v>
      </c>
      <c r="E1180" s="35" t="s">
        <v>3498</v>
      </c>
      <c r="F1180" s="35" t="s">
        <v>119</v>
      </c>
      <c r="G1180" s="106">
        <v>4506793056</v>
      </c>
      <c r="H1180" s="33">
        <v>43191</v>
      </c>
      <c r="I1180" s="34" t="s">
        <v>3499</v>
      </c>
      <c r="J1180" s="36">
        <v>289.85000000000002</v>
      </c>
      <c r="K1180" t="s">
        <v>2030</v>
      </c>
    </row>
    <row r="1181" spans="1:11" x14ac:dyDescent="0.3">
      <c r="A1181" t="s">
        <v>818</v>
      </c>
      <c r="B1181" s="33">
        <v>43255</v>
      </c>
      <c r="C1181" s="34" t="s">
        <v>3497</v>
      </c>
      <c r="D1181" s="34">
        <v>2000</v>
      </c>
      <c r="E1181" s="35" t="s">
        <v>3498</v>
      </c>
      <c r="F1181" s="35" t="s">
        <v>75</v>
      </c>
      <c r="G1181" s="106">
        <v>4507015626</v>
      </c>
      <c r="H1181" s="33">
        <v>43191</v>
      </c>
      <c r="I1181" s="34" t="s">
        <v>3500</v>
      </c>
      <c r="J1181" s="36">
        <v>215.05</v>
      </c>
      <c r="K1181" t="s">
        <v>2030</v>
      </c>
    </row>
    <row r="1182" spans="1:11" x14ac:dyDescent="0.3">
      <c r="A1182" t="s">
        <v>818</v>
      </c>
      <c r="B1182" s="33">
        <v>43255</v>
      </c>
      <c r="C1182" s="34" t="s">
        <v>3497</v>
      </c>
      <c r="D1182" s="34">
        <v>2000</v>
      </c>
      <c r="E1182" s="35" t="s">
        <v>3498</v>
      </c>
      <c r="F1182" s="35" t="s">
        <v>76</v>
      </c>
      <c r="G1182" s="106">
        <v>4507015626</v>
      </c>
      <c r="H1182" s="33">
        <v>43191</v>
      </c>
      <c r="I1182" s="34" t="s">
        <v>3501</v>
      </c>
      <c r="J1182" s="36">
        <v>215.05</v>
      </c>
      <c r="K1182" t="s">
        <v>2030</v>
      </c>
    </row>
    <row r="1183" spans="1:11" x14ac:dyDescent="0.3">
      <c r="A1183" t="s">
        <v>818</v>
      </c>
      <c r="B1183" s="33">
        <v>43255</v>
      </c>
      <c r="C1183" s="34" t="s">
        <v>3497</v>
      </c>
      <c r="D1183" s="34">
        <v>2000</v>
      </c>
      <c r="E1183" s="35" t="s">
        <v>3498</v>
      </c>
      <c r="F1183" s="35" t="s">
        <v>8</v>
      </c>
      <c r="G1183" s="106">
        <v>4506793056</v>
      </c>
      <c r="H1183" s="33">
        <v>43191</v>
      </c>
      <c r="I1183" s="34" t="s">
        <v>3502</v>
      </c>
      <c r="J1183" s="36">
        <v>289.85000000000002</v>
      </c>
      <c r="K1183" t="s">
        <v>2030</v>
      </c>
    </row>
    <row r="1184" spans="1:11" x14ac:dyDescent="0.3">
      <c r="A1184" t="s">
        <v>818</v>
      </c>
      <c r="B1184" s="33">
        <v>43255</v>
      </c>
      <c r="C1184" s="34" t="s">
        <v>3497</v>
      </c>
      <c r="D1184" s="34">
        <v>2000</v>
      </c>
      <c r="E1184" s="35" t="s">
        <v>3498</v>
      </c>
      <c r="F1184" s="35" t="s">
        <v>149</v>
      </c>
      <c r="G1184" s="106">
        <v>4504263364</v>
      </c>
      <c r="H1184" s="33">
        <v>43191</v>
      </c>
      <c r="I1184" s="34" t="s">
        <v>3503</v>
      </c>
      <c r="J1184" s="36">
        <v>289.85000000000002</v>
      </c>
      <c r="K1184" t="s">
        <v>2030</v>
      </c>
    </row>
    <row r="1185" spans="1:11" x14ac:dyDescent="0.3">
      <c r="A1185" t="s">
        <v>818</v>
      </c>
      <c r="B1185" s="33">
        <v>43255</v>
      </c>
      <c r="C1185" s="34" t="s">
        <v>3497</v>
      </c>
      <c r="D1185" s="34">
        <v>2000</v>
      </c>
      <c r="E1185" s="35" t="s">
        <v>3498</v>
      </c>
      <c r="F1185" s="35" t="s">
        <v>335</v>
      </c>
      <c r="G1185" s="106">
        <v>4506399539</v>
      </c>
      <c r="H1185" s="33">
        <v>43191</v>
      </c>
      <c r="I1185" s="34" t="s">
        <v>3504</v>
      </c>
      <c r="J1185" s="36">
        <v>289.85000000000002</v>
      </c>
      <c r="K1185" t="s">
        <v>2030</v>
      </c>
    </row>
    <row r="1186" spans="1:11" x14ac:dyDescent="0.3">
      <c r="A1186" t="s">
        <v>818</v>
      </c>
      <c r="B1186" s="33">
        <v>43255</v>
      </c>
      <c r="C1186" s="34" t="s">
        <v>3497</v>
      </c>
      <c r="D1186" s="34">
        <v>2000</v>
      </c>
      <c r="E1186" s="35" t="s">
        <v>3498</v>
      </c>
      <c r="F1186" s="35" t="s">
        <v>327</v>
      </c>
      <c r="G1186" s="106">
        <v>4504311405</v>
      </c>
      <c r="H1186" s="33">
        <v>43191</v>
      </c>
      <c r="I1186" s="34" t="s">
        <v>3505</v>
      </c>
      <c r="J1186" s="36">
        <v>289.85000000000002</v>
      </c>
      <c r="K1186" t="s">
        <v>2030</v>
      </c>
    </row>
    <row r="1187" spans="1:11" x14ac:dyDescent="0.3">
      <c r="A1187" t="s">
        <v>818</v>
      </c>
      <c r="B1187" s="33">
        <v>43255</v>
      </c>
      <c r="C1187" s="34" t="s">
        <v>3497</v>
      </c>
      <c r="D1187" s="34">
        <v>2000</v>
      </c>
      <c r="E1187" s="35" t="s">
        <v>3498</v>
      </c>
      <c r="F1187" s="35" t="s">
        <v>336</v>
      </c>
      <c r="G1187" s="106">
        <v>4506035122</v>
      </c>
      <c r="H1187" s="33">
        <v>43191</v>
      </c>
      <c r="I1187" s="34" t="s">
        <v>3506</v>
      </c>
      <c r="J1187" s="36">
        <v>289.85000000000002</v>
      </c>
      <c r="K1187" t="s">
        <v>2030</v>
      </c>
    </row>
    <row r="1188" spans="1:11" x14ac:dyDescent="0.3">
      <c r="A1188" t="s">
        <v>818</v>
      </c>
      <c r="B1188" s="33">
        <v>43255</v>
      </c>
      <c r="C1188" s="34" t="s">
        <v>3497</v>
      </c>
      <c r="D1188" s="34">
        <v>2000</v>
      </c>
      <c r="E1188" s="35" t="s">
        <v>3498</v>
      </c>
      <c r="F1188" s="35" t="s">
        <v>322</v>
      </c>
      <c r="G1188" s="106">
        <v>4505345878</v>
      </c>
      <c r="H1188" s="33">
        <v>43191</v>
      </c>
      <c r="I1188" s="34" t="s">
        <v>3507</v>
      </c>
      <c r="J1188" s="36">
        <v>289.85000000000002</v>
      </c>
      <c r="K1188" t="s">
        <v>2030</v>
      </c>
    </row>
    <row r="1189" spans="1:11" x14ac:dyDescent="0.3">
      <c r="A1189" t="s">
        <v>818</v>
      </c>
      <c r="B1189" s="33">
        <v>43255</v>
      </c>
      <c r="C1189" s="34" t="s">
        <v>3497</v>
      </c>
      <c r="D1189" s="34">
        <v>2000</v>
      </c>
      <c r="E1189" s="35" t="s">
        <v>3498</v>
      </c>
      <c r="F1189" s="35" t="s">
        <v>318</v>
      </c>
      <c r="G1189" s="106">
        <v>4505521202</v>
      </c>
      <c r="H1189" s="33">
        <v>43191</v>
      </c>
      <c r="I1189" s="34" t="s">
        <v>3508</v>
      </c>
      <c r="J1189" s="36">
        <v>289.85000000000002</v>
      </c>
      <c r="K1189" t="s">
        <v>2030</v>
      </c>
    </row>
    <row r="1190" spans="1:11" x14ac:dyDescent="0.3">
      <c r="A1190" t="s">
        <v>818</v>
      </c>
      <c r="B1190" s="33">
        <v>43255</v>
      </c>
      <c r="C1190" s="34" t="s">
        <v>3497</v>
      </c>
      <c r="D1190" s="34">
        <v>2000</v>
      </c>
      <c r="E1190" s="35" t="s">
        <v>3498</v>
      </c>
      <c r="F1190" s="35" t="s">
        <v>321</v>
      </c>
      <c r="G1190" s="106">
        <v>4505538729</v>
      </c>
      <c r="H1190" s="33">
        <v>43191</v>
      </c>
      <c r="I1190" s="34" t="s">
        <v>3509</v>
      </c>
      <c r="J1190" s="36">
        <v>289.85000000000002</v>
      </c>
      <c r="K1190" t="s">
        <v>2030</v>
      </c>
    </row>
    <row r="1191" spans="1:11" x14ac:dyDescent="0.3">
      <c r="A1191" t="s">
        <v>818</v>
      </c>
      <c r="B1191" s="33">
        <v>43255</v>
      </c>
      <c r="C1191" s="34" t="s">
        <v>3497</v>
      </c>
      <c r="D1191" s="34">
        <v>2000</v>
      </c>
      <c r="E1191" s="35" t="s">
        <v>3498</v>
      </c>
      <c r="F1191" s="35" t="s">
        <v>319</v>
      </c>
      <c r="G1191" s="106">
        <v>4505825910</v>
      </c>
      <c r="H1191" s="33">
        <v>43191</v>
      </c>
      <c r="I1191" s="34" t="s">
        <v>3510</v>
      </c>
      <c r="J1191" s="36">
        <v>289.85000000000002</v>
      </c>
      <c r="K1191" t="s">
        <v>2030</v>
      </c>
    </row>
    <row r="1192" spans="1:11" x14ac:dyDescent="0.3">
      <c r="A1192" t="s">
        <v>818</v>
      </c>
      <c r="B1192" s="33">
        <v>43255</v>
      </c>
      <c r="C1192" s="34" t="s">
        <v>3497</v>
      </c>
      <c r="D1192" s="34">
        <v>2000</v>
      </c>
      <c r="E1192" s="35" t="s">
        <v>3498</v>
      </c>
      <c r="F1192" s="35" t="s">
        <v>334</v>
      </c>
      <c r="G1192" s="106">
        <v>4506065616</v>
      </c>
      <c r="H1192" s="33">
        <v>43191</v>
      </c>
      <c r="I1192" s="34" t="s">
        <v>3511</v>
      </c>
      <c r="J1192" s="36">
        <v>289.85000000000002</v>
      </c>
      <c r="K1192" t="s">
        <v>2030</v>
      </c>
    </row>
    <row r="1193" spans="1:11" x14ac:dyDescent="0.3">
      <c r="A1193" t="s">
        <v>818</v>
      </c>
      <c r="B1193" s="33">
        <v>43255</v>
      </c>
      <c r="C1193" s="34" t="s">
        <v>3497</v>
      </c>
      <c r="D1193" s="34">
        <v>2000</v>
      </c>
      <c r="E1193" s="35" t="s">
        <v>3498</v>
      </c>
      <c r="F1193" s="35" t="s">
        <v>301</v>
      </c>
      <c r="G1193" s="106">
        <v>4506232061</v>
      </c>
      <c r="H1193" s="33">
        <v>43191</v>
      </c>
      <c r="I1193" s="34" t="s">
        <v>3512</v>
      </c>
      <c r="J1193" s="36">
        <v>289.85000000000002</v>
      </c>
      <c r="K1193" t="s">
        <v>2030</v>
      </c>
    </row>
    <row r="1194" spans="1:11" x14ac:dyDescent="0.3">
      <c r="A1194" t="s">
        <v>818</v>
      </c>
      <c r="B1194" s="33">
        <v>43255</v>
      </c>
      <c r="C1194" s="34" t="s">
        <v>3497</v>
      </c>
      <c r="D1194" s="34">
        <v>2000</v>
      </c>
      <c r="E1194" s="35" t="s">
        <v>3498</v>
      </c>
      <c r="F1194" s="35" t="s">
        <v>302</v>
      </c>
      <c r="G1194" s="106">
        <v>4504410736</v>
      </c>
      <c r="H1194" s="33">
        <v>43191</v>
      </c>
      <c r="I1194" s="34" t="s">
        <v>3513</v>
      </c>
      <c r="J1194" s="36">
        <v>289.85000000000002</v>
      </c>
      <c r="K1194" t="s">
        <v>2030</v>
      </c>
    </row>
    <row r="1195" spans="1:11" x14ac:dyDescent="0.3">
      <c r="A1195" t="s">
        <v>818</v>
      </c>
      <c r="B1195" s="33">
        <v>43255</v>
      </c>
      <c r="C1195" s="34" t="s">
        <v>3497</v>
      </c>
      <c r="D1195" s="34">
        <v>2000</v>
      </c>
      <c r="E1195" s="35" t="s">
        <v>3498</v>
      </c>
      <c r="F1195" s="35" t="s">
        <v>297</v>
      </c>
      <c r="G1195" s="106">
        <v>4506149686</v>
      </c>
      <c r="H1195" s="33">
        <v>43191</v>
      </c>
      <c r="I1195" s="34" t="s">
        <v>3514</v>
      </c>
      <c r="J1195" s="36">
        <v>289.85000000000002</v>
      </c>
      <c r="K1195" t="s">
        <v>2030</v>
      </c>
    </row>
    <row r="1196" spans="1:11" x14ac:dyDescent="0.3">
      <c r="A1196" t="s">
        <v>818</v>
      </c>
      <c r="B1196" s="33">
        <v>43255</v>
      </c>
      <c r="C1196" s="34" t="s">
        <v>3497</v>
      </c>
      <c r="D1196" s="34">
        <v>2000</v>
      </c>
      <c r="E1196" s="35" t="s">
        <v>3498</v>
      </c>
      <c r="F1196" s="35" t="s">
        <v>317</v>
      </c>
      <c r="G1196" s="106">
        <v>4504299225</v>
      </c>
      <c r="H1196" s="33">
        <v>43191</v>
      </c>
      <c r="I1196" s="34" t="s">
        <v>3515</v>
      </c>
      <c r="J1196" s="36">
        <v>289.85000000000002</v>
      </c>
      <c r="K1196" t="s">
        <v>2030</v>
      </c>
    </row>
    <row r="1197" spans="1:11" x14ac:dyDescent="0.3">
      <c r="A1197" t="s">
        <v>818</v>
      </c>
      <c r="B1197" s="33">
        <v>43255</v>
      </c>
      <c r="C1197" s="34" t="s">
        <v>3497</v>
      </c>
      <c r="D1197" s="34">
        <v>2000</v>
      </c>
      <c r="E1197" s="35" t="s">
        <v>3498</v>
      </c>
      <c r="F1197" s="35" t="s">
        <v>152</v>
      </c>
      <c r="G1197" s="106">
        <v>4504183568</v>
      </c>
      <c r="H1197" s="33">
        <v>43191</v>
      </c>
      <c r="I1197" s="34" t="s">
        <v>3516</v>
      </c>
      <c r="J1197" s="36">
        <v>289.85000000000002</v>
      </c>
      <c r="K1197" t="s">
        <v>2030</v>
      </c>
    </row>
    <row r="1198" spans="1:11" x14ac:dyDescent="0.3">
      <c r="A1198" t="s">
        <v>818</v>
      </c>
      <c r="B1198" s="33">
        <v>43255</v>
      </c>
      <c r="C1198" s="34" t="s">
        <v>3497</v>
      </c>
      <c r="D1198" s="34">
        <v>2000</v>
      </c>
      <c r="E1198" s="35" t="s">
        <v>3498</v>
      </c>
      <c r="F1198" s="35" t="s">
        <v>296</v>
      </c>
      <c r="G1198" s="106">
        <v>4506483520</v>
      </c>
      <c r="H1198" s="33">
        <v>43191</v>
      </c>
      <c r="I1198" s="34" t="s">
        <v>3517</v>
      </c>
      <c r="J1198" s="36">
        <v>289.85000000000002</v>
      </c>
      <c r="K1198" t="s">
        <v>2030</v>
      </c>
    </row>
    <row r="1199" spans="1:11" x14ac:dyDescent="0.3">
      <c r="A1199" t="s">
        <v>818</v>
      </c>
      <c r="B1199" s="33">
        <v>43255</v>
      </c>
      <c r="C1199" s="34" t="s">
        <v>3497</v>
      </c>
      <c r="D1199" s="34">
        <v>2000</v>
      </c>
      <c r="E1199" s="35" t="s">
        <v>3498</v>
      </c>
      <c r="F1199" s="35" t="s">
        <v>148</v>
      </c>
      <c r="G1199" s="106">
        <v>4506149686</v>
      </c>
      <c r="H1199" s="33">
        <v>43191</v>
      </c>
      <c r="I1199" s="34" t="s">
        <v>3518</v>
      </c>
      <c r="J1199" s="36">
        <v>289.85000000000002</v>
      </c>
      <c r="K1199" t="s">
        <v>2030</v>
      </c>
    </row>
    <row r="1200" spans="1:11" x14ac:dyDescent="0.3">
      <c r="A1200" t="s">
        <v>818</v>
      </c>
      <c r="B1200" s="33">
        <v>43255</v>
      </c>
      <c r="C1200" s="34" t="s">
        <v>3497</v>
      </c>
      <c r="D1200" s="34">
        <v>2000</v>
      </c>
      <c r="E1200" s="35" t="s">
        <v>3498</v>
      </c>
      <c r="F1200" s="35" t="s">
        <v>132</v>
      </c>
      <c r="G1200" s="106">
        <v>4506536591</v>
      </c>
      <c r="H1200" s="33">
        <v>43191</v>
      </c>
      <c r="I1200" s="34" t="s">
        <v>3519</v>
      </c>
      <c r="J1200" s="36">
        <v>289.85000000000002</v>
      </c>
      <c r="K1200" t="s">
        <v>2030</v>
      </c>
    </row>
    <row r="1201" spans="1:11" x14ac:dyDescent="0.3">
      <c r="A1201" t="s">
        <v>818</v>
      </c>
      <c r="B1201" s="33">
        <v>43255</v>
      </c>
      <c r="C1201" s="34" t="s">
        <v>3497</v>
      </c>
      <c r="D1201" s="34">
        <v>2000</v>
      </c>
      <c r="E1201" s="35" t="s">
        <v>3498</v>
      </c>
      <c r="F1201" s="35" t="s">
        <v>134</v>
      </c>
      <c r="G1201" s="106">
        <v>4504473046</v>
      </c>
      <c r="H1201" s="33">
        <v>43191</v>
      </c>
      <c r="I1201" s="34" t="s">
        <v>3520</v>
      </c>
      <c r="J1201" s="36">
        <v>289.85000000000002</v>
      </c>
      <c r="K1201" t="s">
        <v>2030</v>
      </c>
    </row>
    <row r="1202" spans="1:11" x14ac:dyDescent="0.3">
      <c r="A1202" t="s">
        <v>818</v>
      </c>
      <c r="B1202" s="33">
        <v>43255</v>
      </c>
      <c r="C1202" s="34" t="s">
        <v>3497</v>
      </c>
      <c r="D1202" s="34">
        <v>2000</v>
      </c>
      <c r="E1202" s="35" t="s">
        <v>3498</v>
      </c>
      <c r="F1202" s="35" t="s">
        <v>122</v>
      </c>
      <c r="G1202" s="106">
        <v>4504263364</v>
      </c>
      <c r="H1202" s="33">
        <v>43191</v>
      </c>
      <c r="I1202" s="34" t="s">
        <v>3521</v>
      </c>
      <c r="J1202" s="36">
        <v>289.85000000000002</v>
      </c>
      <c r="K1202" t="s">
        <v>2030</v>
      </c>
    </row>
    <row r="1203" spans="1:11" x14ac:dyDescent="0.3">
      <c r="A1203" t="s">
        <v>818</v>
      </c>
      <c r="B1203" s="33">
        <v>43255</v>
      </c>
      <c r="C1203" s="34" t="s">
        <v>3497</v>
      </c>
      <c r="D1203" s="34">
        <v>2000</v>
      </c>
      <c r="E1203" s="35" t="s">
        <v>3498</v>
      </c>
      <c r="F1203" s="35" t="s">
        <v>131</v>
      </c>
      <c r="G1203" s="106">
        <v>4504176042</v>
      </c>
      <c r="H1203" s="33">
        <v>43191</v>
      </c>
      <c r="I1203" s="34" t="s">
        <v>3522</v>
      </c>
      <c r="J1203" s="36">
        <v>289.85000000000002</v>
      </c>
      <c r="K1203" t="s">
        <v>2030</v>
      </c>
    </row>
    <row r="1204" spans="1:11" x14ac:dyDescent="0.3">
      <c r="A1204" t="s">
        <v>818</v>
      </c>
      <c r="B1204" s="33">
        <v>43255</v>
      </c>
      <c r="C1204" s="34" t="s">
        <v>3497</v>
      </c>
      <c r="D1204" s="34">
        <v>2000</v>
      </c>
      <c r="E1204" s="35" t="s">
        <v>3498</v>
      </c>
      <c r="F1204" s="35" t="s">
        <v>126</v>
      </c>
      <c r="G1204" s="106">
        <v>4504258309</v>
      </c>
      <c r="H1204" s="33">
        <v>43191</v>
      </c>
      <c r="I1204" s="34" t="s">
        <v>3523</v>
      </c>
      <c r="J1204" s="36">
        <v>289.85000000000002</v>
      </c>
      <c r="K1204" t="s">
        <v>2030</v>
      </c>
    </row>
    <row r="1205" spans="1:11" x14ac:dyDescent="0.3">
      <c r="A1205" t="s">
        <v>818</v>
      </c>
      <c r="B1205" s="33">
        <v>43255</v>
      </c>
      <c r="C1205" s="34" t="s">
        <v>3497</v>
      </c>
      <c r="D1205" s="34">
        <v>2000</v>
      </c>
      <c r="E1205" s="35" t="s">
        <v>3498</v>
      </c>
      <c r="F1205" s="35" t="s">
        <v>115</v>
      </c>
      <c r="G1205" s="106">
        <v>4505126510</v>
      </c>
      <c r="H1205" s="33">
        <v>43191</v>
      </c>
      <c r="I1205" s="34" t="s">
        <v>3524</v>
      </c>
      <c r="J1205" s="36">
        <v>289.85000000000002</v>
      </c>
      <c r="K1205" t="s">
        <v>2030</v>
      </c>
    </row>
    <row r="1206" spans="1:11" x14ac:dyDescent="0.3">
      <c r="A1206" t="s">
        <v>818</v>
      </c>
      <c r="B1206" s="33">
        <v>43255</v>
      </c>
      <c r="C1206" s="34" t="s">
        <v>3497</v>
      </c>
      <c r="D1206" s="34">
        <v>2000</v>
      </c>
      <c r="E1206" s="35" t="s">
        <v>3498</v>
      </c>
      <c r="F1206" s="35" t="s">
        <v>120</v>
      </c>
      <c r="G1206" s="106">
        <v>4504299225</v>
      </c>
      <c r="H1206" s="33">
        <v>43191</v>
      </c>
      <c r="I1206" s="34" t="s">
        <v>3525</v>
      </c>
      <c r="J1206" s="36">
        <v>289.85000000000002</v>
      </c>
      <c r="K1206" t="s">
        <v>2030</v>
      </c>
    </row>
    <row r="1207" spans="1:11" x14ac:dyDescent="0.3">
      <c r="A1207" t="s">
        <v>818</v>
      </c>
      <c r="B1207" s="33">
        <v>43255</v>
      </c>
      <c r="C1207" s="34" t="s">
        <v>3497</v>
      </c>
      <c r="D1207" s="34">
        <v>2000</v>
      </c>
      <c r="E1207" s="35" t="s">
        <v>3498</v>
      </c>
      <c r="F1207" s="35" t="s">
        <v>6</v>
      </c>
      <c r="G1207" s="106">
        <v>4503902687</v>
      </c>
      <c r="H1207" s="33">
        <v>43191</v>
      </c>
      <c r="I1207" s="34" t="s">
        <v>3526</v>
      </c>
      <c r="J1207" s="36">
        <v>196.35</v>
      </c>
      <c r="K1207" t="s">
        <v>2030</v>
      </c>
    </row>
    <row r="1208" spans="1:11" x14ac:dyDescent="0.3">
      <c r="A1208" t="s">
        <v>818</v>
      </c>
      <c r="B1208" s="33">
        <v>43255</v>
      </c>
      <c r="C1208" s="34" t="s">
        <v>3527</v>
      </c>
      <c r="D1208" s="34">
        <v>1</v>
      </c>
      <c r="E1208" s="35" t="s">
        <v>3498</v>
      </c>
      <c r="F1208" s="35" t="s">
        <v>73</v>
      </c>
      <c r="G1208" s="106">
        <v>4507053437</v>
      </c>
      <c r="H1208" s="33">
        <v>43191</v>
      </c>
      <c r="I1208" s="34" t="s">
        <v>3528</v>
      </c>
      <c r="J1208" s="36">
        <v>37.4</v>
      </c>
      <c r="K1208" t="s">
        <v>2030</v>
      </c>
    </row>
    <row r="1209" spans="1:11" x14ac:dyDescent="0.3">
      <c r="A1209" t="s">
        <v>818</v>
      </c>
      <c r="B1209" s="33">
        <v>43255</v>
      </c>
      <c r="C1209" s="34" t="s">
        <v>3527</v>
      </c>
      <c r="D1209" s="34">
        <v>1</v>
      </c>
      <c r="E1209" s="35" t="s">
        <v>3498</v>
      </c>
      <c r="F1209" s="35" t="s">
        <v>72</v>
      </c>
      <c r="G1209" s="106">
        <v>4507038182</v>
      </c>
      <c r="H1209" s="33">
        <v>43191</v>
      </c>
      <c r="I1209" s="34" t="s">
        <v>3529</v>
      </c>
      <c r="J1209" s="36">
        <v>243.1</v>
      </c>
      <c r="K1209" t="s">
        <v>2030</v>
      </c>
    </row>
    <row r="1210" spans="1:11" x14ac:dyDescent="0.3">
      <c r="A1210" t="s">
        <v>818</v>
      </c>
      <c r="B1210" s="33">
        <v>43255</v>
      </c>
      <c r="C1210" s="34" t="s">
        <v>3527</v>
      </c>
      <c r="D1210" s="34">
        <v>1</v>
      </c>
      <c r="E1210" s="35" t="s">
        <v>3498</v>
      </c>
      <c r="F1210" s="35" t="s">
        <v>71</v>
      </c>
      <c r="G1210" s="106">
        <v>4507038182</v>
      </c>
      <c r="H1210" s="33">
        <v>43191</v>
      </c>
      <c r="I1210" s="34" t="s">
        <v>3530</v>
      </c>
      <c r="J1210" s="36">
        <v>74.8</v>
      </c>
      <c r="K1210" t="s">
        <v>2030</v>
      </c>
    </row>
    <row r="1211" spans="1:11" x14ac:dyDescent="0.3">
      <c r="A1211" t="s">
        <v>818</v>
      </c>
      <c r="B1211" s="33">
        <v>43255</v>
      </c>
      <c r="C1211" s="34" t="s">
        <v>3527</v>
      </c>
      <c r="D1211" s="34">
        <v>1</v>
      </c>
      <c r="E1211" s="35" t="s">
        <v>3498</v>
      </c>
      <c r="F1211" s="35" t="s">
        <v>69</v>
      </c>
      <c r="G1211" s="106">
        <v>4507038182</v>
      </c>
      <c r="H1211" s="33">
        <v>43191</v>
      </c>
      <c r="I1211" s="34" t="s">
        <v>3531</v>
      </c>
      <c r="J1211" s="36">
        <v>93.5</v>
      </c>
      <c r="K1211" t="s">
        <v>2030</v>
      </c>
    </row>
    <row r="1212" spans="1:11" x14ac:dyDescent="0.3">
      <c r="A1212" t="s">
        <v>818</v>
      </c>
      <c r="B1212" s="33">
        <v>43255</v>
      </c>
      <c r="C1212" s="34" t="s">
        <v>3527</v>
      </c>
      <c r="D1212" s="34">
        <v>1</v>
      </c>
      <c r="E1212" s="35" t="s">
        <v>3498</v>
      </c>
      <c r="F1212" s="35" t="s">
        <v>68</v>
      </c>
      <c r="G1212" s="106">
        <v>4507015541</v>
      </c>
      <c r="H1212" s="33">
        <v>43191</v>
      </c>
      <c r="I1212" s="34" t="s">
        <v>3532</v>
      </c>
      <c r="J1212" s="36">
        <v>187</v>
      </c>
      <c r="K1212" t="s">
        <v>2030</v>
      </c>
    </row>
    <row r="1213" spans="1:11" x14ac:dyDescent="0.3">
      <c r="A1213" t="s">
        <v>818</v>
      </c>
      <c r="B1213" s="33">
        <v>43255</v>
      </c>
      <c r="C1213" s="34" t="s">
        <v>3527</v>
      </c>
      <c r="D1213" s="34">
        <v>1</v>
      </c>
      <c r="E1213" s="35" t="s">
        <v>3498</v>
      </c>
      <c r="F1213" s="35" t="s">
        <v>103</v>
      </c>
      <c r="G1213" s="106">
        <v>4507080605</v>
      </c>
      <c r="H1213" s="33">
        <v>43191</v>
      </c>
      <c r="I1213" s="34" t="s">
        <v>3533</v>
      </c>
      <c r="J1213" s="36">
        <v>112.2</v>
      </c>
      <c r="K1213" t="s">
        <v>2030</v>
      </c>
    </row>
    <row r="1214" spans="1:11" x14ac:dyDescent="0.3">
      <c r="A1214" t="s">
        <v>818</v>
      </c>
      <c r="B1214" s="33">
        <v>43255</v>
      </c>
      <c r="C1214" s="34" t="s">
        <v>3527</v>
      </c>
      <c r="D1214" s="34">
        <v>1</v>
      </c>
      <c r="E1214" s="35" t="s">
        <v>3498</v>
      </c>
      <c r="F1214" s="35" t="s">
        <v>95</v>
      </c>
      <c r="G1214" s="106">
        <v>4507033432</v>
      </c>
      <c r="H1214" s="33">
        <v>43191</v>
      </c>
      <c r="I1214" s="34" t="s">
        <v>3534</v>
      </c>
      <c r="J1214" s="36">
        <v>158.94999999999999</v>
      </c>
      <c r="K1214" t="s">
        <v>2030</v>
      </c>
    </row>
    <row r="1215" spans="1:11" x14ac:dyDescent="0.3">
      <c r="A1215" t="s">
        <v>818</v>
      </c>
      <c r="B1215" s="33">
        <v>43255</v>
      </c>
      <c r="C1215" s="34" t="s">
        <v>3527</v>
      </c>
      <c r="D1215" s="34">
        <v>1</v>
      </c>
      <c r="E1215" s="35" t="s">
        <v>3498</v>
      </c>
      <c r="F1215" s="35" t="s">
        <v>91</v>
      </c>
      <c r="G1215" s="106">
        <v>4507053365</v>
      </c>
      <c r="H1215" s="33">
        <v>43191</v>
      </c>
      <c r="I1215" s="34" t="s">
        <v>3535</v>
      </c>
      <c r="J1215" s="36">
        <v>65.45</v>
      </c>
      <c r="K1215" t="s">
        <v>2030</v>
      </c>
    </row>
    <row r="1216" spans="1:11" x14ac:dyDescent="0.3">
      <c r="A1216" t="s">
        <v>818</v>
      </c>
      <c r="B1216" s="33">
        <v>43255</v>
      </c>
      <c r="C1216" s="34" t="s">
        <v>3527</v>
      </c>
      <c r="D1216" s="34">
        <v>1</v>
      </c>
      <c r="E1216" s="35" t="s">
        <v>3498</v>
      </c>
      <c r="F1216" s="35" t="s">
        <v>93</v>
      </c>
      <c r="G1216" s="106">
        <v>4507053365</v>
      </c>
      <c r="H1216" s="33">
        <v>43191</v>
      </c>
      <c r="I1216" s="34" t="s">
        <v>3536</v>
      </c>
      <c r="J1216" s="36">
        <v>121.55</v>
      </c>
      <c r="K1216" t="s">
        <v>2030</v>
      </c>
    </row>
    <row r="1217" spans="1:11" x14ac:dyDescent="0.3">
      <c r="A1217" t="s">
        <v>818</v>
      </c>
      <c r="B1217" s="33">
        <v>43255</v>
      </c>
      <c r="C1217" s="34" t="s">
        <v>3527</v>
      </c>
      <c r="D1217" s="34">
        <v>1</v>
      </c>
      <c r="E1217" s="35" t="s">
        <v>3498</v>
      </c>
      <c r="F1217" s="35" t="s">
        <v>84</v>
      </c>
      <c r="G1217" s="106">
        <v>4507021219</v>
      </c>
      <c r="H1217" s="33">
        <v>43191</v>
      </c>
      <c r="I1217" s="34" t="s">
        <v>3537</v>
      </c>
      <c r="J1217" s="36">
        <v>149.6</v>
      </c>
      <c r="K1217" t="s">
        <v>2030</v>
      </c>
    </row>
    <row r="1218" spans="1:11" x14ac:dyDescent="0.3">
      <c r="A1218" t="s">
        <v>818</v>
      </c>
      <c r="B1218" s="33">
        <v>43255</v>
      </c>
      <c r="C1218" s="34" t="s">
        <v>3527</v>
      </c>
      <c r="D1218" s="34">
        <v>1</v>
      </c>
      <c r="E1218" s="35" t="s">
        <v>3498</v>
      </c>
      <c r="F1218" s="35" t="s">
        <v>74</v>
      </c>
      <c r="G1218" s="106">
        <v>4507038182</v>
      </c>
      <c r="H1218" s="33">
        <v>43191</v>
      </c>
      <c r="I1218" s="34" t="s">
        <v>3538</v>
      </c>
      <c r="J1218" s="36">
        <v>215.05</v>
      </c>
      <c r="K1218" t="s">
        <v>2030</v>
      </c>
    </row>
    <row r="1219" spans="1:11" x14ac:dyDescent="0.3">
      <c r="A1219" t="s">
        <v>818</v>
      </c>
      <c r="B1219" s="33">
        <v>43255</v>
      </c>
      <c r="C1219" s="34" t="s">
        <v>3527</v>
      </c>
      <c r="D1219" s="34">
        <v>1</v>
      </c>
      <c r="E1219" s="35" t="s">
        <v>3498</v>
      </c>
      <c r="F1219" s="35" t="s">
        <v>70</v>
      </c>
      <c r="G1219" s="106">
        <v>4507038182</v>
      </c>
      <c r="H1219" s="33">
        <v>43191</v>
      </c>
      <c r="I1219" s="34" t="s">
        <v>3539</v>
      </c>
      <c r="J1219" s="36">
        <v>65.45</v>
      </c>
      <c r="K1219" t="s">
        <v>2030</v>
      </c>
    </row>
    <row r="1220" spans="1:11" x14ac:dyDescent="0.3">
      <c r="A1220" t="s">
        <v>818</v>
      </c>
      <c r="B1220" s="33">
        <v>43255</v>
      </c>
      <c r="C1220" s="34" t="s">
        <v>3527</v>
      </c>
      <c r="D1220" s="34">
        <v>1</v>
      </c>
      <c r="E1220" s="35" t="s">
        <v>3498</v>
      </c>
      <c r="F1220" s="35" t="s">
        <v>65</v>
      </c>
      <c r="G1220" s="106">
        <v>4507015541</v>
      </c>
      <c r="H1220" s="33">
        <v>43191</v>
      </c>
      <c r="I1220" s="34" t="s">
        <v>3540</v>
      </c>
      <c r="J1220" s="36">
        <v>215.05</v>
      </c>
      <c r="K1220" t="s">
        <v>2030</v>
      </c>
    </row>
    <row r="1221" spans="1:11" x14ac:dyDescent="0.3">
      <c r="A1221" t="s">
        <v>818</v>
      </c>
      <c r="B1221" s="33">
        <v>43255</v>
      </c>
      <c r="C1221" s="34" t="s">
        <v>3527</v>
      </c>
      <c r="D1221" s="34">
        <v>1</v>
      </c>
      <c r="E1221" s="35" t="s">
        <v>3498</v>
      </c>
      <c r="F1221" s="35" t="s">
        <v>60</v>
      </c>
      <c r="G1221" s="106">
        <v>4507022787</v>
      </c>
      <c r="H1221" s="33">
        <v>43191</v>
      </c>
      <c r="I1221" s="34" t="s">
        <v>3541</v>
      </c>
      <c r="J1221" s="36">
        <v>140.25</v>
      </c>
      <c r="K1221" t="s">
        <v>2030</v>
      </c>
    </row>
    <row r="1222" spans="1:11" x14ac:dyDescent="0.3">
      <c r="A1222" t="s">
        <v>818</v>
      </c>
      <c r="B1222" s="33">
        <v>43255</v>
      </c>
      <c r="C1222" s="34" t="s">
        <v>3527</v>
      </c>
      <c r="D1222" s="34">
        <v>1</v>
      </c>
      <c r="E1222" s="35" t="s">
        <v>3498</v>
      </c>
      <c r="F1222" s="35" t="s">
        <v>108</v>
      </c>
      <c r="G1222" s="106">
        <v>4507081363</v>
      </c>
      <c r="H1222" s="33">
        <v>43191</v>
      </c>
      <c r="I1222" s="34" t="s">
        <v>3542</v>
      </c>
      <c r="J1222" s="36">
        <v>112.2</v>
      </c>
      <c r="K1222" t="s">
        <v>2030</v>
      </c>
    </row>
    <row r="1223" spans="1:11" x14ac:dyDescent="0.3">
      <c r="A1223" t="s">
        <v>818</v>
      </c>
      <c r="B1223" s="33">
        <v>43255</v>
      </c>
      <c r="C1223" s="34" t="s">
        <v>3527</v>
      </c>
      <c r="D1223" s="34">
        <v>1</v>
      </c>
      <c r="E1223" s="35" t="s">
        <v>3498</v>
      </c>
      <c r="F1223" s="35" t="s">
        <v>106</v>
      </c>
      <c r="G1223" s="106">
        <v>4507060824</v>
      </c>
      <c r="H1223" s="33">
        <v>43191</v>
      </c>
      <c r="I1223" s="34" t="s">
        <v>3543</v>
      </c>
      <c r="J1223" s="36">
        <v>121.55</v>
      </c>
      <c r="K1223" t="s">
        <v>2030</v>
      </c>
    </row>
    <row r="1224" spans="1:11" x14ac:dyDescent="0.3">
      <c r="A1224" t="s">
        <v>818</v>
      </c>
      <c r="B1224" s="33">
        <v>43255</v>
      </c>
      <c r="C1224" s="34" t="s">
        <v>3527</v>
      </c>
      <c r="D1224" s="34">
        <v>1</v>
      </c>
      <c r="E1224" s="35" t="s">
        <v>3498</v>
      </c>
      <c r="F1224" s="35" t="s">
        <v>105</v>
      </c>
      <c r="G1224" s="106">
        <v>4507081868</v>
      </c>
      <c r="H1224" s="33">
        <v>43191</v>
      </c>
      <c r="I1224" s="34" t="s">
        <v>3544</v>
      </c>
      <c r="J1224" s="36">
        <v>65.45</v>
      </c>
      <c r="K1224" t="s">
        <v>2030</v>
      </c>
    </row>
    <row r="1225" spans="1:11" x14ac:dyDescent="0.3">
      <c r="A1225" t="s">
        <v>818</v>
      </c>
      <c r="B1225" s="33">
        <v>43255</v>
      </c>
      <c r="C1225" s="34" t="s">
        <v>3527</v>
      </c>
      <c r="D1225" s="34">
        <v>1</v>
      </c>
      <c r="E1225" s="35" t="s">
        <v>3498</v>
      </c>
      <c r="F1225" s="35" t="s">
        <v>99</v>
      </c>
      <c r="G1225" s="106">
        <v>4507060824</v>
      </c>
      <c r="H1225" s="33">
        <v>43191</v>
      </c>
      <c r="I1225" s="34" t="s">
        <v>3545</v>
      </c>
      <c r="J1225" s="36">
        <v>140.25</v>
      </c>
      <c r="K1225" t="s">
        <v>2030</v>
      </c>
    </row>
    <row r="1226" spans="1:11" x14ac:dyDescent="0.3">
      <c r="A1226" t="s">
        <v>818</v>
      </c>
      <c r="B1226" s="33">
        <v>43255</v>
      </c>
      <c r="C1226" s="34" t="s">
        <v>3527</v>
      </c>
      <c r="D1226" s="34">
        <v>1</v>
      </c>
      <c r="E1226" s="35" t="s">
        <v>3498</v>
      </c>
      <c r="F1226" s="35" t="s">
        <v>97</v>
      </c>
      <c r="G1226" s="106">
        <v>4507082357</v>
      </c>
      <c r="H1226" s="33">
        <v>43191</v>
      </c>
      <c r="I1226" s="34" t="s">
        <v>3546</v>
      </c>
      <c r="J1226" s="36">
        <v>130.9</v>
      </c>
      <c r="K1226" t="s">
        <v>2030</v>
      </c>
    </row>
    <row r="1227" spans="1:11" x14ac:dyDescent="0.3">
      <c r="A1227" t="s">
        <v>818</v>
      </c>
      <c r="B1227" s="33">
        <v>43255</v>
      </c>
      <c r="C1227" s="34" t="s">
        <v>3527</v>
      </c>
      <c r="D1227" s="34">
        <v>1</v>
      </c>
      <c r="E1227" s="35" t="s">
        <v>3498</v>
      </c>
      <c r="F1227" s="35" t="s">
        <v>92</v>
      </c>
      <c r="G1227" s="106">
        <v>4507033573</v>
      </c>
      <c r="H1227" s="33">
        <v>43191</v>
      </c>
      <c r="I1227" s="34" t="s">
        <v>3547</v>
      </c>
      <c r="J1227" s="36">
        <v>149.6</v>
      </c>
      <c r="K1227" t="s">
        <v>2030</v>
      </c>
    </row>
    <row r="1228" spans="1:11" x14ac:dyDescent="0.3">
      <c r="A1228" t="s">
        <v>818</v>
      </c>
      <c r="B1228" s="33">
        <v>43255</v>
      </c>
      <c r="C1228" s="34" t="s">
        <v>3527</v>
      </c>
      <c r="D1228" s="34">
        <v>1</v>
      </c>
      <c r="E1228" s="35" t="s">
        <v>3498</v>
      </c>
      <c r="F1228" s="35" t="s">
        <v>87</v>
      </c>
      <c r="G1228" s="106">
        <v>4507052425</v>
      </c>
      <c r="H1228" s="33">
        <v>43191</v>
      </c>
      <c r="I1228" s="34" t="s">
        <v>3548</v>
      </c>
      <c r="J1228" s="36">
        <v>196.35</v>
      </c>
      <c r="K1228" t="s">
        <v>2030</v>
      </c>
    </row>
    <row r="1229" spans="1:11" x14ac:dyDescent="0.3">
      <c r="A1229" t="s">
        <v>818</v>
      </c>
      <c r="B1229" s="33">
        <v>43255</v>
      </c>
      <c r="C1229" s="34" t="s">
        <v>3527</v>
      </c>
      <c r="D1229" s="34">
        <v>1</v>
      </c>
      <c r="E1229" s="35" t="s">
        <v>3498</v>
      </c>
      <c r="F1229" s="35" t="s">
        <v>82</v>
      </c>
      <c r="G1229" s="106">
        <v>4507082357</v>
      </c>
      <c r="H1229" s="33">
        <v>43191</v>
      </c>
      <c r="I1229" s="34" t="s">
        <v>3549</v>
      </c>
      <c r="J1229" s="36">
        <v>140.25</v>
      </c>
      <c r="K1229" t="s">
        <v>2030</v>
      </c>
    </row>
    <row r="1230" spans="1:11" x14ac:dyDescent="0.3">
      <c r="A1230" t="s">
        <v>818</v>
      </c>
      <c r="B1230" s="33">
        <v>43255</v>
      </c>
      <c r="C1230" s="34" t="s">
        <v>3527</v>
      </c>
      <c r="D1230" s="34">
        <v>1</v>
      </c>
      <c r="E1230" s="35" t="s">
        <v>3498</v>
      </c>
      <c r="F1230" s="35" t="s">
        <v>81</v>
      </c>
      <c r="G1230" s="106">
        <v>4507021219</v>
      </c>
      <c r="H1230" s="33">
        <v>43191</v>
      </c>
      <c r="I1230" s="34" t="s">
        <v>3550</v>
      </c>
      <c r="J1230" s="36">
        <v>177.65</v>
      </c>
      <c r="K1230" t="s">
        <v>2030</v>
      </c>
    </row>
    <row r="1231" spans="1:11" x14ac:dyDescent="0.3">
      <c r="A1231" t="s">
        <v>818</v>
      </c>
      <c r="B1231" s="33">
        <v>43255</v>
      </c>
      <c r="C1231" s="34" t="s">
        <v>3527</v>
      </c>
      <c r="D1231" s="34">
        <v>1</v>
      </c>
      <c r="E1231" s="35" t="s">
        <v>3498</v>
      </c>
      <c r="F1231" s="35" t="s">
        <v>49</v>
      </c>
      <c r="G1231" s="106">
        <v>4506956697</v>
      </c>
      <c r="H1231" s="33">
        <v>43191</v>
      </c>
      <c r="I1231" s="34" t="s">
        <v>3551</v>
      </c>
      <c r="J1231" s="36">
        <v>46.75</v>
      </c>
      <c r="K1231" t="s">
        <v>2030</v>
      </c>
    </row>
    <row r="1232" spans="1:11" x14ac:dyDescent="0.3">
      <c r="A1232" t="s">
        <v>818</v>
      </c>
      <c r="B1232" s="33">
        <v>43255</v>
      </c>
      <c r="C1232" s="34" t="s">
        <v>3527</v>
      </c>
      <c r="D1232" s="34">
        <v>1</v>
      </c>
      <c r="E1232" s="35" t="s">
        <v>3498</v>
      </c>
      <c r="F1232" s="35" t="s">
        <v>94</v>
      </c>
      <c r="G1232" s="106">
        <v>4507033432</v>
      </c>
      <c r="H1232" s="33">
        <v>43191</v>
      </c>
      <c r="I1232" s="34" t="s">
        <v>3552</v>
      </c>
      <c r="J1232" s="36">
        <v>112.2</v>
      </c>
      <c r="K1232" t="s">
        <v>2030</v>
      </c>
    </row>
    <row r="1233" spans="1:11" x14ac:dyDescent="0.3">
      <c r="A1233" t="s">
        <v>818</v>
      </c>
      <c r="B1233" s="33">
        <v>43255</v>
      </c>
      <c r="C1233" s="34" t="s">
        <v>3527</v>
      </c>
      <c r="D1233" s="34">
        <v>1</v>
      </c>
      <c r="E1233" s="35" t="s">
        <v>3498</v>
      </c>
      <c r="F1233" s="35" t="s">
        <v>90</v>
      </c>
      <c r="G1233" s="106">
        <v>4507022400</v>
      </c>
      <c r="H1233" s="33">
        <v>43191</v>
      </c>
      <c r="I1233" s="34" t="s">
        <v>3553</v>
      </c>
      <c r="J1233" s="36">
        <v>187</v>
      </c>
      <c r="K1233" t="s">
        <v>2030</v>
      </c>
    </row>
    <row r="1234" spans="1:11" x14ac:dyDescent="0.3">
      <c r="A1234" t="s">
        <v>818</v>
      </c>
      <c r="B1234" s="33">
        <v>43255</v>
      </c>
      <c r="C1234" s="34" t="s">
        <v>3527</v>
      </c>
      <c r="D1234" s="34">
        <v>1</v>
      </c>
      <c r="E1234" s="35" t="s">
        <v>3498</v>
      </c>
      <c r="F1234" s="35" t="s">
        <v>80</v>
      </c>
      <c r="G1234" s="106">
        <v>4507021219</v>
      </c>
      <c r="H1234" s="33">
        <v>43191</v>
      </c>
      <c r="I1234" s="34" t="s">
        <v>3554</v>
      </c>
      <c r="J1234" s="36">
        <v>177.65</v>
      </c>
      <c r="K1234" t="s">
        <v>2030</v>
      </c>
    </row>
    <row r="1235" spans="1:11" x14ac:dyDescent="0.3">
      <c r="A1235" t="s">
        <v>818</v>
      </c>
      <c r="B1235" s="33">
        <v>43255</v>
      </c>
      <c r="C1235" s="34" t="s">
        <v>3527</v>
      </c>
      <c r="D1235" s="34">
        <v>1</v>
      </c>
      <c r="E1235" s="35" t="s">
        <v>3498</v>
      </c>
      <c r="F1235" s="35" t="s">
        <v>78</v>
      </c>
      <c r="G1235" s="106">
        <v>4507021219</v>
      </c>
      <c r="H1235" s="33">
        <v>43191</v>
      </c>
      <c r="I1235" s="34" t="s">
        <v>3555</v>
      </c>
      <c r="J1235" s="36">
        <v>93.5</v>
      </c>
      <c r="K1235" t="s">
        <v>2030</v>
      </c>
    </row>
    <row r="1236" spans="1:11" x14ac:dyDescent="0.3">
      <c r="A1236" t="s">
        <v>818</v>
      </c>
      <c r="B1236" s="33">
        <v>43255</v>
      </c>
      <c r="C1236" s="34" t="s">
        <v>3527</v>
      </c>
      <c r="D1236" s="34">
        <v>1</v>
      </c>
      <c r="E1236" s="35" t="s">
        <v>3498</v>
      </c>
      <c r="F1236" s="35" t="s">
        <v>66</v>
      </c>
      <c r="G1236" s="106">
        <v>4507038182</v>
      </c>
      <c r="H1236" s="33">
        <v>43191</v>
      </c>
      <c r="I1236" s="34" t="s">
        <v>3556</v>
      </c>
      <c r="J1236" s="36">
        <v>261.8</v>
      </c>
      <c r="K1236" t="s">
        <v>2030</v>
      </c>
    </row>
    <row r="1237" spans="1:11" x14ac:dyDescent="0.3">
      <c r="A1237" t="s">
        <v>818</v>
      </c>
      <c r="B1237" s="33">
        <v>43255</v>
      </c>
      <c r="C1237" s="34" t="s">
        <v>3527</v>
      </c>
      <c r="D1237" s="34">
        <v>1</v>
      </c>
      <c r="E1237" s="35" t="s">
        <v>3498</v>
      </c>
      <c r="F1237" s="35" t="s">
        <v>54</v>
      </c>
      <c r="G1237" s="106">
        <v>4506999964</v>
      </c>
      <c r="H1237" s="33">
        <v>43191</v>
      </c>
      <c r="I1237" s="34" t="s">
        <v>3557</v>
      </c>
      <c r="J1237" s="36">
        <v>130.9</v>
      </c>
      <c r="K1237" t="s">
        <v>2030</v>
      </c>
    </row>
    <row r="1238" spans="1:11" x14ac:dyDescent="0.3">
      <c r="A1238" t="s">
        <v>818</v>
      </c>
      <c r="B1238" s="33">
        <v>43255</v>
      </c>
      <c r="C1238" s="34" t="s">
        <v>3527</v>
      </c>
      <c r="D1238" s="34">
        <v>1</v>
      </c>
      <c r="E1238" s="35" t="s">
        <v>3498</v>
      </c>
      <c r="F1238" s="35" t="s">
        <v>53</v>
      </c>
      <c r="G1238" s="106">
        <v>4506989025</v>
      </c>
      <c r="H1238" s="33">
        <v>43191</v>
      </c>
      <c r="I1238" s="34" t="s">
        <v>3558</v>
      </c>
      <c r="J1238" s="36">
        <v>112.2</v>
      </c>
      <c r="K1238" t="s">
        <v>2030</v>
      </c>
    </row>
    <row r="1239" spans="1:11" x14ac:dyDescent="0.3">
      <c r="A1239" t="s">
        <v>818</v>
      </c>
      <c r="B1239" s="33">
        <v>43255</v>
      </c>
      <c r="C1239" s="34" t="s">
        <v>3527</v>
      </c>
      <c r="D1239" s="34">
        <v>1</v>
      </c>
      <c r="E1239" s="35" t="s">
        <v>3498</v>
      </c>
      <c r="F1239" s="35" t="s">
        <v>47</v>
      </c>
      <c r="G1239" s="106">
        <v>4506994903</v>
      </c>
      <c r="H1239" s="33">
        <v>43191</v>
      </c>
      <c r="I1239" s="34" t="s">
        <v>3559</v>
      </c>
      <c r="J1239" s="36">
        <v>84.15</v>
      </c>
      <c r="K1239" t="s">
        <v>2030</v>
      </c>
    </row>
    <row r="1240" spans="1:11" x14ac:dyDescent="0.3">
      <c r="A1240" t="s">
        <v>818</v>
      </c>
      <c r="B1240" s="33">
        <v>43255</v>
      </c>
      <c r="C1240" s="34" t="s">
        <v>3527</v>
      </c>
      <c r="D1240" s="34">
        <v>1</v>
      </c>
      <c r="E1240" s="35" t="s">
        <v>3498</v>
      </c>
      <c r="F1240" s="35" t="s">
        <v>42</v>
      </c>
      <c r="G1240" s="106">
        <v>4507021219</v>
      </c>
      <c r="H1240" s="33">
        <v>43191</v>
      </c>
      <c r="I1240" s="34" t="s">
        <v>3560</v>
      </c>
      <c r="J1240" s="36">
        <v>252.45</v>
      </c>
      <c r="K1240" t="s">
        <v>2030</v>
      </c>
    </row>
    <row r="1241" spans="1:11" x14ac:dyDescent="0.3">
      <c r="A1241" t="s">
        <v>818</v>
      </c>
      <c r="B1241" s="33">
        <v>43255</v>
      </c>
      <c r="C1241" s="34" t="s">
        <v>3527</v>
      </c>
      <c r="D1241" s="34">
        <v>1</v>
      </c>
      <c r="E1241" s="35" t="s">
        <v>3498</v>
      </c>
      <c r="F1241" s="35" t="s">
        <v>41</v>
      </c>
      <c r="G1241" s="106">
        <v>4507021219</v>
      </c>
      <c r="H1241" s="33">
        <v>43191</v>
      </c>
      <c r="I1241" s="34" t="s">
        <v>3561</v>
      </c>
      <c r="J1241" s="36">
        <v>205.7</v>
      </c>
      <c r="K1241" t="s">
        <v>2030</v>
      </c>
    </row>
    <row r="1242" spans="1:11" x14ac:dyDescent="0.3">
      <c r="A1242" t="s">
        <v>818</v>
      </c>
      <c r="B1242" s="33">
        <v>43255</v>
      </c>
      <c r="C1242" s="34" t="s">
        <v>3527</v>
      </c>
      <c r="D1242" s="34">
        <v>1</v>
      </c>
      <c r="E1242" s="35" t="s">
        <v>3498</v>
      </c>
      <c r="F1242" s="35" t="s">
        <v>79</v>
      </c>
      <c r="G1242" s="106">
        <v>4507021219</v>
      </c>
      <c r="H1242" s="33">
        <v>43191</v>
      </c>
      <c r="I1242" s="34" t="s">
        <v>3562</v>
      </c>
      <c r="J1242" s="36">
        <v>93.5</v>
      </c>
      <c r="K1242" t="s">
        <v>2030</v>
      </c>
    </row>
    <row r="1243" spans="1:11" x14ac:dyDescent="0.3">
      <c r="A1243" t="s">
        <v>818</v>
      </c>
      <c r="B1243" s="33">
        <v>43255</v>
      </c>
      <c r="C1243" s="34" t="s">
        <v>3527</v>
      </c>
      <c r="D1243" s="34">
        <v>1</v>
      </c>
      <c r="E1243" s="35" t="s">
        <v>3498</v>
      </c>
      <c r="F1243" s="35" t="s">
        <v>64</v>
      </c>
      <c r="G1243" s="106">
        <v>4507022249</v>
      </c>
      <c r="H1243" s="33">
        <v>43191</v>
      </c>
      <c r="I1243" s="34" t="s">
        <v>3563</v>
      </c>
      <c r="J1243" s="36">
        <v>93.5</v>
      </c>
      <c r="K1243" t="s">
        <v>2030</v>
      </c>
    </row>
    <row r="1244" spans="1:11" x14ac:dyDescent="0.3">
      <c r="A1244" t="s">
        <v>818</v>
      </c>
      <c r="B1244" s="33">
        <v>43255</v>
      </c>
      <c r="C1244" s="34" t="s">
        <v>3527</v>
      </c>
      <c r="D1244" s="34">
        <v>1</v>
      </c>
      <c r="E1244" s="35" t="s">
        <v>3498</v>
      </c>
      <c r="F1244" s="35" t="s">
        <v>63</v>
      </c>
      <c r="G1244" s="106">
        <v>4507004842</v>
      </c>
      <c r="H1244" s="33">
        <v>43191</v>
      </c>
      <c r="I1244" s="34" t="s">
        <v>3564</v>
      </c>
      <c r="J1244" s="36">
        <v>140.25</v>
      </c>
      <c r="K1244" t="s">
        <v>2030</v>
      </c>
    </row>
    <row r="1245" spans="1:11" x14ac:dyDescent="0.3">
      <c r="A1245" t="s">
        <v>818</v>
      </c>
      <c r="B1245" s="33">
        <v>43255</v>
      </c>
      <c r="C1245" s="34" t="s">
        <v>3527</v>
      </c>
      <c r="D1245" s="34">
        <v>1</v>
      </c>
      <c r="E1245" s="35" t="s">
        <v>3498</v>
      </c>
      <c r="F1245" s="35" t="s">
        <v>61</v>
      </c>
      <c r="G1245" s="106">
        <v>4506989025</v>
      </c>
      <c r="H1245" s="33">
        <v>43191</v>
      </c>
      <c r="I1245" s="34" t="s">
        <v>3565</v>
      </c>
      <c r="J1245" s="36">
        <v>177.65</v>
      </c>
      <c r="K1245" t="s">
        <v>2030</v>
      </c>
    </row>
    <row r="1246" spans="1:11" x14ac:dyDescent="0.3">
      <c r="A1246" t="s">
        <v>818</v>
      </c>
      <c r="B1246" s="33">
        <v>43255</v>
      </c>
      <c r="C1246" s="34" t="s">
        <v>3527</v>
      </c>
      <c r="D1246" s="34">
        <v>1</v>
      </c>
      <c r="E1246" s="35" t="s">
        <v>3498</v>
      </c>
      <c r="F1246" s="35" t="s">
        <v>101</v>
      </c>
      <c r="G1246" s="106">
        <v>4507021219</v>
      </c>
      <c r="H1246" s="33">
        <v>43191</v>
      </c>
      <c r="I1246" s="34" t="s">
        <v>3566</v>
      </c>
      <c r="J1246" s="36">
        <v>187</v>
      </c>
      <c r="K1246" t="s">
        <v>2030</v>
      </c>
    </row>
    <row r="1247" spans="1:11" x14ac:dyDescent="0.3">
      <c r="A1247" t="s">
        <v>818</v>
      </c>
      <c r="B1247" s="33">
        <v>43255</v>
      </c>
      <c r="C1247" s="34" t="s">
        <v>3527</v>
      </c>
      <c r="D1247" s="34">
        <v>1</v>
      </c>
      <c r="E1247" s="35" t="s">
        <v>3498</v>
      </c>
      <c r="F1247" s="35" t="s">
        <v>118</v>
      </c>
      <c r="G1247" s="106">
        <v>4505156542</v>
      </c>
      <c r="H1247" s="33">
        <v>43191</v>
      </c>
      <c r="I1247" s="34" t="s">
        <v>3567</v>
      </c>
      <c r="J1247" s="36">
        <v>289.85000000000002</v>
      </c>
      <c r="K1247" t="s">
        <v>2030</v>
      </c>
    </row>
    <row r="1248" spans="1:11" x14ac:dyDescent="0.3">
      <c r="A1248" t="s">
        <v>818</v>
      </c>
      <c r="B1248" s="33">
        <v>43255</v>
      </c>
      <c r="C1248" s="34" t="s">
        <v>3527</v>
      </c>
      <c r="D1248" s="34">
        <v>1</v>
      </c>
      <c r="E1248" s="35" t="s">
        <v>3498</v>
      </c>
      <c r="F1248" s="35" t="s">
        <v>16</v>
      </c>
      <c r="G1248" s="106">
        <v>4506968370</v>
      </c>
      <c r="H1248" s="33">
        <v>43191</v>
      </c>
      <c r="I1248" s="34" t="s">
        <v>3568</v>
      </c>
      <c r="J1248" s="36">
        <v>289.85000000000002</v>
      </c>
      <c r="K1248" t="s">
        <v>2030</v>
      </c>
    </row>
    <row r="1249" spans="1:11" x14ac:dyDescent="0.3">
      <c r="A1249" t="s">
        <v>818</v>
      </c>
      <c r="B1249" s="33">
        <v>43255</v>
      </c>
      <c r="C1249" s="34" t="s">
        <v>3527</v>
      </c>
      <c r="D1249" s="34">
        <v>1</v>
      </c>
      <c r="E1249" s="35" t="s">
        <v>3498</v>
      </c>
      <c r="F1249" s="35" t="s">
        <v>18</v>
      </c>
      <c r="G1249" s="106">
        <v>4506994903</v>
      </c>
      <c r="H1249" s="33">
        <v>43191</v>
      </c>
      <c r="I1249" s="34" t="s">
        <v>3569</v>
      </c>
      <c r="J1249" s="36">
        <v>56.1</v>
      </c>
      <c r="K1249" t="s">
        <v>2030</v>
      </c>
    </row>
    <row r="1250" spans="1:11" x14ac:dyDescent="0.3">
      <c r="A1250" t="s">
        <v>818</v>
      </c>
      <c r="B1250" s="33">
        <v>43255</v>
      </c>
      <c r="C1250" s="34" t="s">
        <v>3527</v>
      </c>
      <c r="D1250" s="34">
        <v>1</v>
      </c>
      <c r="E1250" s="35" t="s">
        <v>3498</v>
      </c>
      <c r="F1250" s="35" t="s">
        <v>13</v>
      </c>
      <c r="G1250" s="106">
        <v>4506804102</v>
      </c>
      <c r="H1250" s="33">
        <v>43191</v>
      </c>
      <c r="I1250" s="34" t="s">
        <v>3570</v>
      </c>
      <c r="J1250" s="36">
        <v>289.85000000000002</v>
      </c>
      <c r="K1250" t="s">
        <v>2030</v>
      </c>
    </row>
    <row r="1251" spans="1:11" x14ac:dyDescent="0.3">
      <c r="A1251" t="s">
        <v>818</v>
      </c>
      <c r="B1251" s="33">
        <v>43255</v>
      </c>
      <c r="C1251" s="34" t="s">
        <v>3527</v>
      </c>
      <c r="D1251" s="34">
        <v>1</v>
      </c>
      <c r="E1251" s="35" t="s">
        <v>3498</v>
      </c>
      <c r="F1251" s="35" t="s">
        <v>14</v>
      </c>
      <c r="G1251" s="106">
        <v>4506944408</v>
      </c>
      <c r="H1251" s="33">
        <v>43191</v>
      </c>
      <c r="I1251" s="34" t="s">
        <v>3571</v>
      </c>
      <c r="J1251" s="36">
        <v>289.85000000000002</v>
      </c>
      <c r="K1251" t="s">
        <v>2030</v>
      </c>
    </row>
    <row r="1252" spans="1:11" x14ac:dyDescent="0.3">
      <c r="A1252" t="s">
        <v>818</v>
      </c>
      <c r="B1252" s="33">
        <v>43255</v>
      </c>
      <c r="C1252" s="34" t="s">
        <v>3527</v>
      </c>
      <c r="D1252" s="34">
        <v>1</v>
      </c>
      <c r="E1252" s="35" t="s">
        <v>3498</v>
      </c>
      <c r="F1252" s="35" t="s">
        <v>24</v>
      </c>
      <c r="G1252" s="106">
        <v>4506994903</v>
      </c>
      <c r="H1252" s="33">
        <v>43191</v>
      </c>
      <c r="I1252" s="34" t="s">
        <v>3572</v>
      </c>
      <c r="J1252" s="36">
        <v>140.25</v>
      </c>
      <c r="K1252" t="s">
        <v>2030</v>
      </c>
    </row>
    <row r="1253" spans="1:11" x14ac:dyDescent="0.3">
      <c r="A1253" t="s">
        <v>818</v>
      </c>
      <c r="B1253" s="33">
        <v>43255</v>
      </c>
      <c r="C1253" s="34" t="s">
        <v>3527</v>
      </c>
      <c r="D1253" s="34">
        <v>1</v>
      </c>
      <c r="E1253" s="35" t="s">
        <v>3498</v>
      </c>
      <c r="F1253" s="35" t="s">
        <v>26</v>
      </c>
      <c r="G1253" s="106">
        <v>4506994903</v>
      </c>
      <c r="H1253" s="33">
        <v>43191</v>
      </c>
      <c r="I1253" s="34" t="s">
        <v>3573</v>
      </c>
      <c r="J1253" s="36">
        <v>205.7</v>
      </c>
      <c r="K1253" t="s">
        <v>2030</v>
      </c>
    </row>
    <row r="1254" spans="1:11" x14ac:dyDescent="0.3">
      <c r="A1254" t="s">
        <v>818</v>
      </c>
      <c r="B1254" s="33">
        <v>43255</v>
      </c>
      <c r="C1254" s="34" t="s">
        <v>3527</v>
      </c>
      <c r="D1254" s="34">
        <v>1</v>
      </c>
      <c r="E1254" s="35" t="s">
        <v>3498</v>
      </c>
      <c r="F1254" s="35" t="s">
        <v>28</v>
      </c>
      <c r="G1254" s="106">
        <v>4506994903</v>
      </c>
      <c r="H1254" s="33">
        <v>43191</v>
      </c>
      <c r="I1254" s="34" t="s">
        <v>3574</v>
      </c>
      <c r="J1254" s="36">
        <v>215.05</v>
      </c>
      <c r="K1254" t="s">
        <v>2030</v>
      </c>
    </row>
    <row r="1255" spans="1:11" x14ac:dyDescent="0.3">
      <c r="A1255" t="s">
        <v>818</v>
      </c>
      <c r="B1255" s="33">
        <v>43255</v>
      </c>
      <c r="C1255" s="34" t="s">
        <v>3527</v>
      </c>
      <c r="D1255" s="34">
        <v>1</v>
      </c>
      <c r="E1255" s="35" t="s">
        <v>3498</v>
      </c>
      <c r="F1255" s="35" t="s">
        <v>21</v>
      </c>
      <c r="G1255" s="106">
        <v>4506994903</v>
      </c>
      <c r="H1255" s="33">
        <v>43191</v>
      </c>
      <c r="I1255" s="34" t="s">
        <v>3575</v>
      </c>
      <c r="J1255" s="36">
        <v>46.75</v>
      </c>
      <c r="K1255" t="s">
        <v>2030</v>
      </c>
    </row>
    <row r="1256" spans="1:11" x14ac:dyDescent="0.3">
      <c r="A1256" t="s">
        <v>818</v>
      </c>
      <c r="B1256" s="33">
        <v>43255</v>
      </c>
      <c r="C1256" s="34" t="s">
        <v>3527</v>
      </c>
      <c r="D1256" s="34">
        <v>1</v>
      </c>
      <c r="E1256" s="35" t="s">
        <v>3498</v>
      </c>
      <c r="F1256" s="35" t="s">
        <v>23</v>
      </c>
      <c r="G1256" s="106">
        <v>4506994903</v>
      </c>
      <c r="H1256" s="33">
        <v>43191</v>
      </c>
      <c r="I1256" s="34" t="s">
        <v>3576</v>
      </c>
      <c r="J1256" s="36">
        <v>84.15</v>
      </c>
      <c r="K1256" t="s">
        <v>2030</v>
      </c>
    </row>
    <row r="1257" spans="1:11" x14ac:dyDescent="0.3">
      <c r="A1257" t="s">
        <v>818</v>
      </c>
      <c r="B1257" s="33">
        <v>43255</v>
      </c>
      <c r="C1257" s="34" t="s">
        <v>3527</v>
      </c>
      <c r="D1257" s="34">
        <v>1</v>
      </c>
      <c r="E1257" s="35" t="s">
        <v>3498</v>
      </c>
      <c r="F1257" s="35" t="s">
        <v>20</v>
      </c>
      <c r="G1257" s="106">
        <v>4506994903</v>
      </c>
      <c r="H1257" s="33">
        <v>43191</v>
      </c>
      <c r="I1257" s="34" t="s">
        <v>3577</v>
      </c>
      <c r="J1257" s="36">
        <v>93.5</v>
      </c>
      <c r="K1257" t="s">
        <v>2030</v>
      </c>
    </row>
    <row r="1258" spans="1:11" x14ac:dyDescent="0.3">
      <c r="A1258" t="s">
        <v>818</v>
      </c>
      <c r="B1258" s="33">
        <v>43255</v>
      </c>
      <c r="C1258" s="34" t="s">
        <v>3527</v>
      </c>
      <c r="D1258" s="34">
        <v>1</v>
      </c>
      <c r="E1258" s="35" t="s">
        <v>3498</v>
      </c>
      <c r="F1258" s="35" t="s">
        <v>323</v>
      </c>
      <c r="G1258" s="106">
        <v>4506957838</v>
      </c>
      <c r="H1258" s="33">
        <v>43191</v>
      </c>
      <c r="I1258" s="34" t="s">
        <v>3578</v>
      </c>
      <c r="J1258" s="36">
        <v>289.85000000000002</v>
      </c>
      <c r="K1258" t="s">
        <v>2030</v>
      </c>
    </row>
    <row r="1259" spans="1:11" x14ac:dyDescent="0.3">
      <c r="A1259" t="s">
        <v>818</v>
      </c>
      <c r="B1259" s="33">
        <v>43255</v>
      </c>
      <c r="C1259" s="34" t="s">
        <v>3527</v>
      </c>
      <c r="D1259" s="34">
        <v>1</v>
      </c>
      <c r="E1259" s="35" t="s">
        <v>3498</v>
      </c>
      <c r="F1259" s="35" t="s">
        <v>22</v>
      </c>
      <c r="G1259" s="106">
        <v>4506994903</v>
      </c>
      <c r="H1259" s="33">
        <v>43191</v>
      </c>
      <c r="I1259" s="34" t="s">
        <v>3579</v>
      </c>
      <c r="J1259" s="36">
        <v>271.14999999999998</v>
      </c>
      <c r="K1259" t="s">
        <v>2030</v>
      </c>
    </row>
    <row r="1260" spans="1:11" x14ac:dyDescent="0.3">
      <c r="A1260" t="s">
        <v>818</v>
      </c>
      <c r="B1260" s="33">
        <v>43255</v>
      </c>
      <c r="C1260" s="34" t="s">
        <v>3527</v>
      </c>
      <c r="D1260" s="34">
        <v>1</v>
      </c>
      <c r="E1260" s="35" t="s">
        <v>3498</v>
      </c>
      <c r="F1260" s="35" t="s">
        <v>17</v>
      </c>
      <c r="G1260" s="106">
        <v>4506998744</v>
      </c>
      <c r="H1260" s="33">
        <v>43191</v>
      </c>
      <c r="I1260" s="34" t="s">
        <v>3580</v>
      </c>
      <c r="J1260" s="36">
        <v>140.25</v>
      </c>
      <c r="K1260" t="s">
        <v>2030</v>
      </c>
    </row>
    <row r="1261" spans="1:11" x14ac:dyDescent="0.3">
      <c r="A1261" t="s">
        <v>818</v>
      </c>
      <c r="B1261" s="33">
        <v>43255</v>
      </c>
      <c r="C1261" s="34" t="s">
        <v>3527</v>
      </c>
      <c r="D1261" s="34">
        <v>1</v>
      </c>
      <c r="E1261" s="35" t="s">
        <v>3498</v>
      </c>
      <c r="F1261" s="35" t="s">
        <v>19</v>
      </c>
      <c r="G1261" s="106">
        <v>4506994903</v>
      </c>
      <c r="H1261" s="33">
        <v>43191</v>
      </c>
      <c r="I1261" s="34" t="s">
        <v>3581</v>
      </c>
      <c r="J1261" s="36">
        <v>56.1</v>
      </c>
      <c r="K1261" t="s">
        <v>2030</v>
      </c>
    </row>
    <row r="1262" spans="1:11" x14ac:dyDescent="0.3">
      <c r="A1262" t="s">
        <v>818</v>
      </c>
      <c r="B1262" s="33">
        <v>43255</v>
      </c>
      <c r="C1262" s="34" t="s">
        <v>3527</v>
      </c>
      <c r="D1262" s="34">
        <v>1</v>
      </c>
      <c r="E1262" s="35" t="s">
        <v>3498</v>
      </c>
      <c r="F1262" s="35" t="s">
        <v>39</v>
      </c>
      <c r="G1262" s="106">
        <v>4507021219</v>
      </c>
      <c r="H1262" s="33">
        <v>43191</v>
      </c>
      <c r="I1262" s="34" t="s">
        <v>3582</v>
      </c>
      <c r="J1262" s="36">
        <v>252.45</v>
      </c>
      <c r="K1262" t="s">
        <v>2030</v>
      </c>
    </row>
    <row r="1263" spans="1:11" x14ac:dyDescent="0.3">
      <c r="A1263" t="s">
        <v>818</v>
      </c>
      <c r="B1263" s="33">
        <v>43255</v>
      </c>
      <c r="C1263" s="34" t="s">
        <v>3527</v>
      </c>
      <c r="D1263" s="34">
        <v>1</v>
      </c>
      <c r="E1263" s="35" t="s">
        <v>3498</v>
      </c>
      <c r="F1263" s="35" t="s">
        <v>25</v>
      </c>
      <c r="G1263" s="106">
        <v>4506994903</v>
      </c>
      <c r="H1263" s="33">
        <v>43191</v>
      </c>
      <c r="I1263" s="34" t="s">
        <v>3583</v>
      </c>
      <c r="J1263" s="36">
        <v>121.55</v>
      </c>
      <c r="K1263" t="s">
        <v>2030</v>
      </c>
    </row>
    <row r="1264" spans="1:11" x14ac:dyDescent="0.3">
      <c r="A1264" t="s">
        <v>818</v>
      </c>
      <c r="B1264" s="33">
        <v>43255</v>
      </c>
      <c r="C1264" s="34" t="s">
        <v>3527</v>
      </c>
      <c r="D1264" s="34">
        <v>1</v>
      </c>
      <c r="E1264" s="35" t="s">
        <v>3498</v>
      </c>
      <c r="F1264" s="35" t="s">
        <v>37</v>
      </c>
      <c r="G1264" s="106">
        <v>4506994903</v>
      </c>
      <c r="H1264" s="33">
        <v>43191</v>
      </c>
      <c r="I1264" s="34" t="s">
        <v>3584</v>
      </c>
      <c r="J1264" s="36">
        <v>215.05</v>
      </c>
      <c r="K1264" t="s">
        <v>2030</v>
      </c>
    </row>
    <row r="1265" spans="1:11" x14ac:dyDescent="0.3">
      <c r="A1265" t="s">
        <v>818</v>
      </c>
      <c r="B1265" s="33">
        <v>43255</v>
      </c>
      <c r="C1265" s="34" t="s">
        <v>3527</v>
      </c>
      <c r="D1265" s="34">
        <v>1</v>
      </c>
      <c r="E1265" s="35" t="s">
        <v>3498</v>
      </c>
      <c r="F1265" s="35" t="s">
        <v>27</v>
      </c>
      <c r="G1265" s="106">
        <v>4506994903</v>
      </c>
      <c r="H1265" s="33">
        <v>43191</v>
      </c>
      <c r="I1265" s="34" t="s">
        <v>3585</v>
      </c>
      <c r="J1265" s="36">
        <v>65.45</v>
      </c>
      <c r="K1265" t="s">
        <v>2030</v>
      </c>
    </row>
    <row r="1266" spans="1:11" x14ac:dyDescent="0.3">
      <c r="A1266" t="s">
        <v>818</v>
      </c>
      <c r="B1266" s="33">
        <v>43255</v>
      </c>
      <c r="C1266" s="34" t="s">
        <v>3527</v>
      </c>
      <c r="D1266" s="34">
        <v>1</v>
      </c>
      <c r="E1266" s="35" t="s">
        <v>3498</v>
      </c>
      <c r="F1266" s="35" t="s">
        <v>38</v>
      </c>
      <c r="G1266" s="106">
        <v>4507021219</v>
      </c>
      <c r="H1266" s="33">
        <v>43191</v>
      </c>
      <c r="I1266" s="34" t="s">
        <v>3586</v>
      </c>
      <c r="J1266" s="36">
        <v>9.35</v>
      </c>
      <c r="K1266" t="s">
        <v>2030</v>
      </c>
    </row>
    <row r="1267" spans="1:11" x14ac:dyDescent="0.3">
      <c r="A1267" t="s">
        <v>818</v>
      </c>
      <c r="B1267" s="33">
        <v>43255</v>
      </c>
      <c r="C1267" s="34" t="s">
        <v>3527</v>
      </c>
      <c r="D1267" s="34">
        <v>1</v>
      </c>
      <c r="E1267" s="35" t="s">
        <v>3498</v>
      </c>
      <c r="F1267" s="35" t="s">
        <v>304</v>
      </c>
      <c r="G1267" s="106">
        <v>4506075970</v>
      </c>
      <c r="H1267" s="33">
        <v>43191</v>
      </c>
      <c r="I1267" s="34" t="s">
        <v>3587</v>
      </c>
      <c r="J1267" s="36">
        <v>289.85000000000002</v>
      </c>
      <c r="K1267" t="s">
        <v>2030</v>
      </c>
    </row>
    <row r="1268" spans="1:11" x14ac:dyDescent="0.3">
      <c r="A1268" t="s">
        <v>818</v>
      </c>
      <c r="B1268" s="33">
        <v>43255</v>
      </c>
      <c r="C1268" s="34" t="s">
        <v>3527</v>
      </c>
      <c r="D1268" s="34">
        <v>1</v>
      </c>
      <c r="E1268" s="35" t="s">
        <v>3498</v>
      </c>
      <c r="F1268" s="35" t="s">
        <v>112</v>
      </c>
      <c r="G1268" s="106">
        <v>4507080570</v>
      </c>
      <c r="H1268" s="33">
        <v>43191</v>
      </c>
      <c r="I1268" s="34" t="s">
        <v>3588</v>
      </c>
      <c r="J1268" s="36">
        <v>18.7</v>
      </c>
      <c r="K1268" t="s">
        <v>2030</v>
      </c>
    </row>
    <row r="1269" spans="1:11" x14ac:dyDescent="0.3">
      <c r="A1269" t="s">
        <v>818</v>
      </c>
      <c r="B1269" s="33">
        <v>43255</v>
      </c>
      <c r="C1269" s="34" t="s">
        <v>3527</v>
      </c>
      <c r="D1269" s="34">
        <v>1</v>
      </c>
      <c r="E1269" s="35" t="s">
        <v>3498</v>
      </c>
      <c r="F1269" s="35" t="s">
        <v>10</v>
      </c>
      <c r="G1269" s="106">
        <v>4506794686</v>
      </c>
      <c r="H1269" s="33">
        <v>43191</v>
      </c>
      <c r="I1269" s="34" t="s">
        <v>3589</v>
      </c>
      <c r="J1269" s="36">
        <v>177.65</v>
      </c>
      <c r="K1269" t="s">
        <v>2030</v>
      </c>
    </row>
    <row r="1270" spans="1:11" x14ac:dyDescent="0.3">
      <c r="A1270" t="s">
        <v>818</v>
      </c>
      <c r="B1270" s="33">
        <v>43255</v>
      </c>
      <c r="C1270" s="34" t="s">
        <v>3527</v>
      </c>
      <c r="D1270" s="34">
        <v>1</v>
      </c>
      <c r="E1270" s="35" t="s">
        <v>3498</v>
      </c>
      <c r="F1270" s="35" t="s">
        <v>111</v>
      </c>
      <c r="G1270" s="106">
        <v>4507081868</v>
      </c>
      <c r="H1270" s="33">
        <v>43191</v>
      </c>
      <c r="I1270" s="34" t="s">
        <v>3590</v>
      </c>
      <c r="J1270" s="36">
        <v>74.8</v>
      </c>
      <c r="K1270" t="s">
        <v>2030</v>
      </c>
    </row>
    <row r="1271" spans="1:11" x14ac:dyDescent="0.3">
      <c r="A1271" t="s">
        <v>818</v>
      </c>
      <c r="B1271" s="33">
        <v>43255</v>
      </c>
      <c r="C1271" s="34" t="s">
        <v>3527</v>
      </c>
      <c r="D1271" s="34">
        <v>1</v>
      </c>
      <c r="E1271" s="35" t="s">
        <v>3498</v>
      </c>
      <c r="F1271" s="35" t="s">
        <v>110</v>
      </c>
      <c r="G1271" s="106">
        <v>4507082357</v>
      </c>
      <c r="H1271" s="33">
        <v>43191</v>
      </c>
      <c r="I1271" s="34" t="s">
        <v>3591</v>
      </c>
      <c r="J1271" s="36">
        <v>18.7</v>
      </c>
      <c r="K1271" t="s">
        <v>2030</v>
      </c>
    </row>
    <row r="1272" spans="1:11" x14ac:dyDescent="0.3">
      <c r="A1272" t="s">
        <v>818</v>
      </c>
      <c r="B1272" s="33">
        <v>43255</v>
      </c>
      <c r="C1272" s="34" t="s">
        <v>3527</v>
      </c>
      <c r="D1272" s="34">
        <v>1</v>
      </c>
      <c r="E1272" s="35" t="s">
        <v>3498</v>
      </c>
      <c r="F1272" s="35" t="s">
        <v>104</v>
      </c>
      <c r="G1272" s="106">
        <v>4507052394</v>
      </c>
      <c r="H1272" s="33">
        <v>43191</v>
      </c>
      <c r="I1272" s="34" t="s">
        <v>3592</v>
      </c>
      <c r="J1272" s="36">
        <v>140.25</v>
      </c>
      <c r="K1272" t="s">
        <v>2030</v>
      </c>
    </row>
    <row r="1273" spans="1:11" x14ac:dyDescent="0.3">
      <c r="A1273" t="s">
        <v>818</v>
      </c>
      <c r="B1273" s="33">
        <v>43255</v>
      </c>
      <c r="C1273" s="34" t="s">
        <v>3527</v>
      </c>
      <c r="D1273" s="34">
        <v>1</v>
      </c>
      <c r="E1273" s="35" t="s">
        <v>3498</v>
      </c>
      <c r="F1273" s="35" t="s">
        <v>113</v>
      </c>
      <c r="G1273" s="106">
        <v>4507115252</v>
      </c>
      <c r="H1273" s="33">
        <v>43191</v>
      </c>
      <c r="I1273" s="34" t="s">
        <v>3593</v>
      </c>
      <c r="J1273" s="36">
        <v>18.7</v>
      </c>
      <c r="K1273" t="s">
        <v>2030</v>
      </c>
    </row>
    <row r="1274" spans="1:11" x14ac:dyDescent="0.3">
      <c r="A1274" t="s">
        <v>818</v>
      </c>
      <c r="B1274" s="33">
        <v>43255</v>
      </c>
      <c r="C1274" s="34" t="s">
        <v>3527</v>
      </c>
      <c r="D1274" s="34">
        <v>1</v>
      </c>
      <c r="E1274" s="35" t="s">
        <v>3498</v>
      </c>
      <c r="F1274" s="35" t="s">
        <v>109</v>
      </c>
      <c r="G1274" s="106">
        <v>4507119280</v>
      </c>
      <c r="H1274" s="33">
        <v>43191</v>
      </c>
      <c r="I1274" s="34" t="s">
        <v>3594</v>
      </c>
      <c r="J1274" s="36">
        <v>46.75</v>
      </c>
      <c r="K1274" t="s">
        <v>2030</v>
      </c>
    </row>
    <row r="1275" spans="1:11" x14ac:dyDescent="0.3">
      <c r="A1275" t="s">
        <v>818</v>
      </c>
      <c r="B1275" s="33">
        <v>43255</v>
      </c>
      <c r="C1275" s="34" t="s">
        <v>3527</v>
      </c>
      <c r="D1275" s="34">
        <v>1</v>
      </c>
      <c r="E1275" s="35" t="s">
        <v>3498</v>
      </c>
      <c r="F1275" s="35" t="s">
        <v>100</v>
      </c>
      <c r="G1275" s="106">
        <v>4507021219</v>
      </c>
      <c r="H1275" s="33">
        <v>43191</v>
      </c>
      <c r="I1275" s="34" t="s">
        <v>3595</v>
      </c>
      <c r="J1275" s="36">
        <v>149.6</v>
      </c>
      <c r="K1275" t="s">
        <v>2030</v>
      </c>
    </row>
    <row r="1276" spans="1:11" x14ac:dyDescent="0.3">
      <c r="A1276" t="s">
        <v>818</v>
      </c>
      <c r="B1276" s="33">
        <v>43255</v>
      </c>
      <c r="C1276" s="34" t="s">
        <v>3527</v>
      </c>
      <c r="D1276" s="34">
        <v>1</v>
      </c>
      <c r="E1276" s="35" t="s">
        <v>3498</v>
      </c>
      <c r="F1276" s="35" t="s">
        <v>98</v>
      </c>
      <c r="G1276" s="106">
        <v>4507060824</v>
      </c>
      <c r="H1276" s="33">
        <v>43191</v>
      </c>
      <c r="I1276" s="34" t="s">
        <v>3596</v>
      </c>
      <c r="J1276" s="36">
        <v>140.25</v>
      </c>
      <c r="K1276" t="s">
        <v>2030</v>
      </c>
    </row>
    <row r="1277" spans="1:11" x14ac:dyDescent="0.3">
      <c r="A1277" t="s">
        <v>818</v>
      </c>
      <c r="B1277" s="33">
        <v>43255</v>
      </c>
      <c r="C1277" s="34" t="s">
        <v>3527</v>
      </c>
      <c r="D1277" s="34">
        <v>1</v>
      </c>
      <c r="E1277" s="35" t="s">
        <v>3498</v>
      </c>
      <c r="F1277" s="35" t="s">
        <v>96</v>
      </c>
      <c r="G1277" s="106">
        <v>4507060824</v>
      </c>
      <c r="H1277" s="33">
        <v>43191</v>
      </c>
      <c r="I1277" s="34" t="s">
        <v>3597</v>
      </c>
      <c r="J1277" s="36">
        <v>149.6</v>
      </c>
      <c r="K1277" t="s">
        <v>2030</v>
      </c>
    </row>
    <row r="1278" spans="1:11" x14ac:dyDescent="0.3">
      <c r="A1278" t="s">
        <v>818</v>
      </c>
      <c r="B1278" s="33">
        <v>43255</v>
      </c>
      <c r="C1278" s="34" t="s">
        <v>3527</v>
      </c>
      <c r="D1278" s="34">
        <v>1</v>
      </c>
      <c r="E1278" s="35" t="s">
        <v>3498</v>
      </c>
      <c r="F1278" s="35" t="s">
        <v>135</v>
      </c>
      <c r="G1278" s="106">
        <v>4506956697</v>
      </c>
      <c r="H1278" s="33">
        <v>43191</v>
      </c>
      <c r="I1278" s="34" t="s">
        <v>3598</v>
      </c>
      <c r="J1278" s="36">
        <v>289.85000000000002</v>
      </c>
      <c r="K1278" t="s">
        <v>2030</v>
      </c>
    </row>
    <row r="1279" spans="1:11" x14ac:dyDescent="0.3">
      <c r="A1279" t="s">
        <v>818</v>
      </c>
      <c r="B1279" s="33">
        <v>43255</v>
      </c>
      <c r="C1279" s="34" t="s">
        <v>3527</v>
      </c>
      <c r="D1279" s="34">
        <v>1</v>
      </c>
      <c r="E1279" s="35" t="s">
        <v>3498</v>
      </c>
      <c r="F1279" s="35" t="s">
        <v>116</v>
      </c>
      <c r="G1279" s="106">
        <v>4506957838</v>
      </c>
      <c r="H1279" s="33">
        <v>43191</v>
      </c>
      <c r="I1279" s="34" t="s">
        <v>3599</v>
      </c>
      <c r="J1279" s="36">
        <v>289.85000000000002</v>
      </c>
      <c r="K1279" t="s">
        <v>2030</v>
      </c>
    </row>
    <row r="1280" spans="1:11" x14ac:dyDescent="0.3">
      <c r="A1280" t="s">
        <v>818</v>
      </c>
      <c r="B1280" s="33">
        <v>43255</v>
      </c>
      <c r="C1280" s="34" t="s">
        <v>3527</v>
      </c>
      <c r="D1280" s="34">
        <v>1</v>
      </c>
      <c r="E1280" s="35" t="s">
        <v>3498</v>
      </c>
      <c r="F1280" s="35" t="s">
        <v>9</v>
      </c>
      <c r="G1280" s="106">
        <v>4506794686</v>
      </c>
      <c r="H1280" s="33">
        <v>43191</v>
      </c>
      <c r="I1280" s="34" t="s">
        <v>3600</v>
      </c>
      <c r="J1280" s="36">
        <v>168.3</v>
      </c>
      <c r="K1280" t="s">
        <v>2030</v>
      </c>
    </row>
    <row r="1281" spans="1:11" x14ac:dyDescent="0.3">
      <c r="A1281" t="s">
        <v>818</v>
      </c>
      <c r="B1281" s="33">
        <v>43255</v>
      </c>
      <c r="C1281" s="34" t="s">
        <v>3527</v>
      </c>
      <c r="D1281" s="34">
        <v>1</v>
      </c>
      <c r="E1281" s="35" t="s">
        <v>3498</v>
      </c>
      <c r="F1281" s="35" t="s">
        <v>107</v>
      </c>
      <c r="G1281" s="106">
        <v>4507065943</v>
      </c>
      <c r="H1281" s="33">
        <v>43191</v>
      </c>
      <c r="I1281" s="34" t="s">
        <v>3601</v>
      </c>
      <c r="J1281" s="36">
        <v>130.9</v>
      </c>
      <c r="K1281" t="s">
        <v>2030</v>
      </c>
    </row>
    <row r="1282" spans="1:11" x14ac:dyDescent="0.3">
      <c r="A1282" t="s">
        <v>818</v>
      </c>
      <c r="B1282" s="33">
        <v>43255</v>
      </c>
      <c r="C1282" s="34" t="s">
        <v>3527</v>
      </c>
      <c r="D1282" s="34">
        <v>1</v>
      </c>
      <c r="E1282" s="35" t="s">
        <v>3498</v>
      </c>
      <c r="F1282" s="35" t="s">
        <v>86</v>
      </c>
      <c r="G1282" s="106">
        <v>4507022400</v>
      </c>
      <c r="H1282" s="33">
        <v>43191</v>
      </c>
      <c r="I1282" s="34" t="s">
        <v>3602</v>
      </c>
      <c r="J1282" s="36">
        <v>215.05</v>
      </c>
      <c r="K1282" t="s">
        <v>2030</v>
      </c>
    </row>
    <row r="1283" spans="1:11" x14ac:dyDescent="0.3">
      <c r="A1283" t="s">
        <v>818</v>
      </c>
      <c r="B1283" s="33">
        <v>43255</v>
      </c>
      <c r="C1283" s="34" t="s">
        <v>3527</v>
      </c>
      <c r="D1283" s="34">
        <v>1</v>
      </c>
      <c r="E1283" s="35" t="s">
        <v>3498</v>
      </c>
      <c r="F1283" s="35" t="s">
        <v>83</v>
      </c>
      <c r="G1283" s="106">
        <v>4507082357</v>
      </c>
      <c r="H1283" s="33">
        <v>43191</v>
      </c>
      <c r="I1283" s="34" t="s">
        <v>3603</v>
      </c>
      <c r="J1283" s="36">
        <v>140.25</v>
      </c>
      <c r="K1283" t="s">
        <v>2030</v>
      </c>
    </row>
    <row r="1284" spans="1:11" x14ac:dyDescent="0.3">
      <c r="A1284" t="s">
        <v>818</v>
      </c>
      <c r="B1284" s="33">
        <v>43255</v>
      </c>
      <c r="C1284" s="34" t="s">
        <v>3527</v>
      </c>
      <c r="D1284" s="34">
        <v>1</v>
      </c>
      <c r="E1284" s="35" t="s">
        <v>3498</v>
      </c>
      <c r="F1284" s="35" t="s">
        <v>102</v>
      </c>
      <c r="G1284" s="106">
        <v>4507052425</v>
      </c>
      <c r="H1284" s="33">
        <v>43191</v>
      </c>
      <c r="I1284" s="34" t="s">
        <v>3604</v>
      </c>
      <c r="J1284" s="36">
        <v>130.9</v>
      </c>
      <c r="K1284" t="s">
        <v>2030</v>
      </c>
    </row>
    <row r="1285" spans="1:11" x14ac:dyDescent="0.3">
      <c r="A1285" t="s">
        <v>818</v>
      </c>
      <c r="B1285" s="33">
        <v>43255</v>
      </c>
      <c r="C1285" s="34" t="s">
        <v>3527</v>
      </c>
      <c r="D1285" s="34">
        <v>1</v>
      </c>
      <c r="E1285" s="35" t="s">
        <v>3498</v>
      </c>
      <c r="F1285" s="35" t="s">
        <v>52</v>
      </c>
      <c r="G1285" s="106">
        <v>4507126527</v>
      </c>
      <c r="H1285" s="33">
        <v>43191</v>
      </c>
      <c r="I1285" s="34" t="s">
        <v>3605</v>
      </c>
      <c r="J1285" s="36">
        <v>56.1</v>
      </c>
      <c r="K1285" t="s">
        <v>2030</v>
      </c>
    </row>
    <row r="1286" spans="1:11" x14ac:dyDescent="0.3">
      <c r="A1286" t="s">
        <v>818</v>
      </c>
      <c r="B1286" s="33">
        <v>43255</v>
      </c>
      <c r="C1286" s="34" t="s">
        <v>3527</v>
      </c>
      <c r="D1286" s="34">
        <v>1</v>
      </c>
      <c r="E1286" s="35" t="s">
        <v>3498</v>
      </c>
      <c r="F1286" s="35" t="s">
        <v>315</v>
      </c>
      <c r="G1286" s="106">
        <v>4505048375</v>
      </c>
      <c r="H1286" s="33">
        <v>43191</v>
      </c>
      <c r="I1286" s="34" t="s">
        <v>3606</v>
      </c>
      <c r="J1286" s="36">
        <v>289.85000000000002</v>
      </c>
      <c r="K1286" t="s">
        <v>2030</v>
      </c>
    </row>
    <row r="1287" spans="1:11" x14ac:dyDescent="0.3">
      <c r="A1287" t="s">
        <v>818</v>
      </c>
      <c r="B1287" s="33">
        <v>43255</v>
      </c>
      <c r="C1287" s="34" t="s">
        <v>3527</v>
      </c>
      <c r="D1287" s="34">
        <v>1</v>
      </c>
      <c r="E1287" s="35" t="s">
        <v>3498</v>
      </c>
      <c r="F1287" s="35" t="s">
        <v>314</v>
      </c>
      <c r="G1287" s="106">
        <v>4506282451</v>
      </c>
      <c r="H1287" s="33">
        <v>43191</v>
      </c>
      <c r="I1287" s="34" t="s">
        <v>3607</v>
      </c>
      <c r="J1287" s="36">
        <v>289.85000000000002</v>
      </c>
      <c r="K1287" t="s">
        <v>2030</v>
      </c>
    </row>
    <row r="1288" spans="1:11" x14ac:dyDescent="0.3">
      <c r="A1288" t="s">
        <v>818</v>
      </c>
      <c r="B1288" s="33">
        <v>43255</v>
      </c>
      <c r="C1288" s="34" t="s">
        <v>3527</v>
      </c>
      <c r="D1288" s="34">
        <v>1</v>
      </c>
      <c r="E1288" s="35" t="s">
        <v>3498</v>
      </c>
      <c r="F1288" s="35" t="s">
        <v>313</v>
      </c>
      <c r="G1288" s="106">
        <v>4501775543</v>
      </c>
      <c r="H1288" s="33">
        <v>43191</v>
      </c>
      <c r="I1288" s="34" t="s">
        <v>3608</v>
      </c>
      <c r="J1288" s="36">
        <v>289.85000000000002</v>
      </c>
      <c r="K1288" t="s">
        <v>2030</v>
      </c>
    </row>
    <row r="1289" spans="1:11" x14ac:dyDescent="0.3">
      <c r="A1289" t="s">
        <v>818</v>
      </c>
      <c r="B1289" s="33">
        <v>43255</v>
      </c>
      <c r="C1289" s="34" t="s">
        <v>3527</v>
      </c>
      <c r="D1289" s="34">
        <v>1</v>
      </c>
      <c r="E1289" s="35" t="s">
        <v>3498</v>
      </c>
      <c r="F1289" s="35" t="s">
        <v>312</v>
      </c>
      <c r="G1289" s="106">
        <v>4504751447</v>
      </c>
      <c r="H1289" s="33">
        <v>43191</v>
      </c>
      <c r="I1289" s="34" t="s">
        <v>3609</v>
      </c>
      <c r="J1289" s="36">
        <v>289.85000000000002</v>
      </c>
      <c r="K1289" t="s">
        <v>2030</v>
      </c>
    </row>
    <row r="1290" spans="1:11" x14ac:dyDescent="0.3">
      <c r="A1290" t="s">
        <v>818</v>
      </c>
      <c r="B1290" s="33">
        <v>43255</v>
      </c>
      <c r="C1290" s="34" t="s">
        <v>3527</v>
      </c>
      <c r="D1290" s="34">
        <v>1</v>
      </c>
      <c r="E1290" s="35" t="s">
        <v>3498</v>
      </c>
      <c r="F1290" s="35" t="s">
        <v>310</v>
      </c>
      <c r="G1290" s="106">
        <v>4506387437</v>
      </c>
      <c r="H1290" s="33">
        <v>43191</v>
      </c>
      <c r="I1290" s="34" t="s">
        <v>3610</v>
      </c>
      <c r="J1290" s="36">
        <v>289.85000000000002</v>
      </c>
      <c r="K1290" t="s">
        <v>2030</v>
      </c>
    </row>
    <row r="1291" spans="1:11" x14ac:dyDescent="0.3">
      <c r="A1291" t="s">
        <v>818</v>
      </c>
      <c r="B1291" s="33">
        <v>43255</v>
      </c>
      <c r="C1291" s="34" t="s">
        <v>3527</v>
      </c>
      <c r="D1291" s="34">
        <v>1</v>
      </c>
      <c r="E1291" s="35" t="s">
        <v>3498</v>
      </c>
      <c r="F1291" s="35" t="s">
        <v>306</v>
      </c>
      <c r="G1291" s="106">
        <v>4504142070</v>
      </c>
      <c r="H1291" s="33">
        <v>43191</v>
      </c>
      <c r="I1291" s="34" t="s">
        <v>3611</v>
      </c>
      <c r="J1291" s="36">
        <v>289.85000000000002</v>
      </c>
      <c r="K1291" t="s">
        <v>2030</v>
      </c>
    </row>
    <row r="1292" spans="1:11" x14ac:dyDescent="0.3">
      <c r="A1292" t="s">
        <v>818</v>
      </c>
      <c r="B1292" s="33">
        <v>43255</v>
      </c>
      <c r="C1292" s="34" t="s">
        <v>3527</v>
      </c>
      <c r="D1292" s="34">
        <v>1</v>
      </c>
      <c r="E1292" s="35" t="s">
        <v>3498</v>
      </c>
      <c r="F1292" s="35" t="s">
        <v>308</v>
      </c>
      <c r="G1292" s="106">
        <v>4504538347</v>
      </c>
      <c r="H1292" s="33">
        <v>43191</v>
      </c>
      <c r="I1292" s="34" t="s">
        <v>3612</v>
      </c>
      <c r="J1292" s="36">
        <v>289.85000000000002</v>
      </c>
      <c r="K1292" t="s">
        <v>2030</v>
      </c>
    </row>
    <row r="1293" spans="1:11" x14ac:dyDescent="0.3">
      <c r="A1293" t="s">
        <v>818</v>
      </c>
      <c r="B1293" s="33">
        <v>43255</v>
      </c>
      <c r="C1293" s="34" t="s">
        <v>3527</v>
      </c>
      <c r="D1293" s="34">
        <v>1</v>
      </c>
      <c r="E1293" s="35" t="s">
        <v>3498</v>
      </c>
      <c r="F1293" s="35" t="s">
        <v>11</v>
      </c>
      <c r="G1293" s="106">
        <v>4506794686</v>
      </c>
      <c r="H1293" s="33">
        <v>43191</v>
      </c>
      <c r="I1293" s="34" t="s">
        <v>3613</v>
      </c>
      <c r="J1293" s="36">
        <v>289.85000000000002</v>
      </c>
      <c r="K1293" t="s">
        <v>2030</v>
      </c>
    </row>
    <row r="1294" spans="1:11" x14ac:dyDescent="0.3">
      <c r="A1294" t="s">
        <v>818</v>
      </c>
      <c r="B1294" s="33">
        <v>43255</v>
      </c>
      <c r="C1294" s="34" t="s">
        <v>3527</v>
      </c>
      <c r="D1294" s="34">
        <v>1</v>
      </c>
      <c r="E1294" s="35" t="s">
        <v>3498</v>
      </c>
      <c r="F1294" s="35" t="s">
        <v>309</v>
      </c>
      <c r="G1294" s="106">
        <v>4506387437</v>
      </c>
      <c r="H1294" s="33">
        <v>43191</v>
      </c>
      <c r="I1294" s="34" t="s">
        <v>3614</v>
      </c>
      <c r="J1294" s="36">
        <v>289.85000000000002</v>
      </c>
      <c r="K1294" t="s">
        <v>2030</v>
      </c>
    </row>
    <row r="1295" spans="1:11" x14ac:dyDescent="0.3">
      <c r="A1295" t="s">
        <v>818</v>
      </c>
      <c r="B1295" s="33">
        <v>43255</v>
      </c>
      <c r="C1295" s="34" t="s">
        <v>3527</v>
      </c>
      <c r="D1295" s="34">
        <v>1</v>
      </c>
      <c r="E1295" s="35" t="s">
        <v>3498</v>
      </c>
      <c r="F1295" s="35" t="s">
        <v>303</v>
      </c>
      <c r="G1295" s="106">
        <v>4501644232</v>
      </c>
      <c r="H1295" s="33">
        <v>43191</v>
      </c>
      <c r="I1295" s="34" t="s">
        <v>3615</v>
      </c>
      <c r="J1295" s="36">
        <v>289.85000000000002</v>
      </c>
      <c r="K1295" t="s">
        <v>2030</v>
      </c>
    </row>
    <row r="1296" spans="1:11" x14ac:dyDescent="0.3">
      <c r="A1296" t="s">
        <v>818</v>
      </c>
      <c r="B1296" s="33">
        <v>43255</v>
      </c>
      <c r="C1296" s="34" t="s">
        <v>3527</v>
      </c>
      <c r="D1296" s="34">
        <v>1</v>
      </c>
      <c r="E1296" s="35" t="s">
        <v>3498</v>
      </c>
      <c r="F1296" s="35" t="s">
        <v>307</v>
      </c>
      <c r="G1296" s="106">
        <v>4506075970</v>
      </c>
      <c r="H1296" s="33">
        <v>43191</v>
      </c>
      <c r="I1296" s="34" t="s">
        <v>3616</v>
      </c>
      <c r="J1296" s="36">
        <v>289.85000000000002</v>
      </c>
      <c r="K1296" t="s">
        <v>2030</v>
      </c>
    </row>
    <row r="1297" spans="1:11" x14ac:dyDescent="0.3">
      <c r="A1297" t="s">
        <v>818</v>
      </c>
      <c r="B1297" s="33">
        <v>43255</v>
      </c>
      <c r="C1297" s="34" t="s">
        <v>3527</v>
      </c>
      <c r="D1297" s="34">
        <v>1</v>
      </c>
      <c r="E1297" s="35" t="s">
        <v>3498</v>
      </c>
      <c r="F1297" s="35" t="s">
        <v>300</v>
      </c>
      <c r="G1297" s="106">
        <v>4506572489</v>
      </c>
      <c r="H1297" s="33">
        <v>43191</v>
      </c>
      <c r="I1297" s="34" t="s">
        <v>3617</v>
      </c>
      <c r="J1297" s="36">
        <v>289.85000000000002</v>
      </c>
      <c r="K1297" t="s">
        <v>2030</v>
      </c>
    </row>
    <row r="1298" spans="1:11" x14ac:dyDescent="0.3">
      <c r="A1298" t="s">
        <v>818</v>
      </c>
      <c r="B1298" s="33">
        <v>43255</v>
      </c>
      <c r="C1298" s="34" t="s">
        <v>3527</v>
      </c>
      <c r="D1298" s="34">
        <v>1</v>
      </c>
      <c r="E1298" s="35" t="s">
        <v>3498</v>
      </c>
      <c r="F1298" s="35" t="s">
        <v>146</v>
      </c>
      <c r="G1298" s="106">
        <v>4501896060</v>
      </c>
      <c r="H1298" s="33">
        <v>43191</v>
      </c>
      <c r="I1298" s="34" t="s">
        <v>3618</v>
      </c>
      <c r="J1298" s="36">
        <v>289.85000000000002</v>
      </c>
      <c r="K1298" t="s">
        <v>2030</v>
      </c>
    </row>
    <row r="1299" spans="1:11" x14ac:dyDescent="0.3">
      <c r="A1299" t="s">
        <v>818</v>
      </c>
      <c r="B1299" s="33">
        <v>43255</v>
      </c>
      <c r="C1299" s="34" t="s">
        <v>3527</v>
      </c>
      <c r="D1299" s="34">
        <v>1</v>
      </c>
      <c r="E1299" s="35" t="s">
        <v>3498</v>
      </c>
      <c r="F1299" s="35" t="s">
        <v>151</v>
      </c>
      <c r="G1299" s="106">
        <v>4506382057</v>
      </c>
      <c r="H1299" s="33">
        <v>43191</v>
      </c>
      <c r="I1299" s="34" t="s">
        <v>3619</v>
      </c>
      <c r="J1299" s="36">
        <v>289.85000000000002</v>
      </c>
      <c r="K1299" t="s">
        <v>2030</v>
      </c>
    </row>
    <row r="1300" spans="1:11" x14ac:dyDescent="0.3">
      <c r="A1300" t="s">
        <v>818</v>
      </c>
      <c r="B1300" s="33">
        <v>43255</v>
      </c>
      <c r="C1300" s="34" t="s">
        <v>3527</v>
      </c>
      <c r="D1300" s="34">
        <v>1</v>
      </c>
      <c r="E1300" s="35" t="s">
        <v>3498</v>
      </c>
      <c r="F1300" s="35" t="s">
        <v>299</v>
      </c>
      <c r="G1300" s="106">
        <v>4506733686</v>
      </c>
      <c r="H1300" s="33">
        <v>43191</v>
      </c>
      <c r="I1300" s="34" t="s">
        <v>3620</v>
      </c>
      <c r="J1300" s="36">
        <v>289.85000000000002</v>
      </c>
      <c r="K1300" t="s">
        <v>2030</v>
      </c>
    </row>
    <row r="1301" spans="1:11" x14ac:dyDescent="0.3">
      <c r="A1301" t="s">
        <v>818</v>
      </c>
      <c r="B1301" s="33">
        <v>43255</v>
      </c>
      <c r="C1301" s="34" t="s">
        <v>3527</v>
      </c>
      <c r="D1301" s="34">
        <v>1</v>
      </c>
      <c r="E1301" s="35" t="s">
        <v>3498</v>
      </c>
      <c r="F1301" s="35" t="s">
        <v>147</v>
      </c>
      <c r="G1301" s="106">
        <v>4504862662</v>
      </c>
      <c r="H1301" s="33">
        <v>43191</v>
      </c>
      <c r="I1301" s="34" t="s">
        <v>3621</v>
      </c>
      <c r="J1301" s="36">
        <v>289.85000000000002</v>
      </c>
      <c r="K1301" t="s">
        <v>2030</v>
      </c>
    </row>
    <row r="1302" spans="1:11" x14ac:dyDescent="0.3">
      <c r="A1302" t="s">
        <v>818</v>
      </c>
      <c r="B1302" s="33">
        <v>43255</v>
      </c>
      <c r="C1302" s="34" t="s">
        <v>3527</v>
      </c>
      <c r="D1302" s="34">
        <v>1</v>
      </c>
      <c r="E1302" s="35" t="s">
        <v>3498</v>
      </c>
      <c r="F1302" s="35" t="s">
        <v>145</v>
      </c>
      <c r="G1302" s="106">
        <v>4503213547</v>
      </c>
      <c r="H1302" s="33">
        <v>43191</v>
      </c>
      <c r="I1302" s="34" t="s">
        <v>3622</v>
      </c>
      <c r="J1302" s="36">
        <v>289.85000000000002</v>
      </c>
      <c r="K1302" t="s">
        <v>2030</v>
      </c>
    </row>
    <row r="1303" spans="1:11" x14ac:dyDescent="0.3">
      <c r="A1303" t="s">
        <v>818</v>
      </c>
      <c r="B1303" s="33">
        <v>43255</v>
      </c>
      <c r="C1303" s="34" t="s">
        <v>3527</v>
      </c>
      <c r="D1303" s="34">
        <v>1</v>
      </c>
      <c r="E1303" s="35" t="s">
        <v>3498</v>
      </c>
      <c r="F1303" s="35" t="s">
        <v>143</v>
      </c>
      <c r="G1303" s="106">
        <v>4506382427</v>
      </c>
      <c r="H1303" s="33">
        <v>43191</v>
      </c>
      <c r="I1303" s="34" t="s">
        <v>3623</v>
      </c>
      <c r="J1303" s="36">
        <v>289.85000000000002</v>
      </c>
      <c r="K1303" t="s">
        <v>2030</v>
      </c>
    </row>
    <row r="1304" spans="1:11" x14ac:dyDescent="0.3">
      <c r="A1304" t="s">
        <v>818</v>
      </c>
      <c r="B1304" s="33">
        <v>43255</v>
      </c>
      <c r="C1304" s="34" t="s">
        <v>3527</v>
      </c>
      <c r="D1304" s="34">
        <v>1</v>
      </c>
      <c r="E1304" s="35" t="s">
        <v>3498</v>
      </c>
      <c r="F1304" s="35" t="s">
        <v>150</v>
      </c>
      <c r="G1304" s="106">
        <v>4506346893</v>
      </c>
      <c r="H1304" s="33">
        <v>43191</v>
      </c>
      <c r="I1304" s="34" t="s">
        <v>3624</v>
      </c>
      <c r="J1304" s="36">
        <v>289.85000000000002</v>
      </c>
      <c r="K1304" t="s">
        <v>2030</v>
      </c>
    </row>
    <row r="1305" spans="1:11" x14ac:dyDescent="0.3">
      <c r="A1305" t="s">
        <v>818</v>
      </c>
      <c r="B1305" s="33">
        <v>43255</v>
      </c>
      <c r="C1305" s="34" t="s">
        <v>3527</v>
      </c>
      <c r="D1305" s="34">
        <v>1</v>
      </c>
      <c r="E1305" s="35" t="s">
        <v>3498</v>
      </c>
      <c r="F1305" s="35" t="s">
        <v>144</v>
      </c>
      <c r="G1305" s="106">
        <v>4506244401</v>
      </c>
      <c r="H1305" s="33">
        <v>43191</v>
      </c>
      <c r="I1305" s="34" t="s">
        <v>3625</v>
      </c>
      <c r="J1305" s="36">
        <v>289.85000000000002</v>
      </c>
      <c r="K1305" t="s">
        <v>2030</v>
      </c>
    </row>
    <row r="1306" spans="1:11" x14ac:dyDescent="0.3">
      <c r="A1306" t="s">
        <v>818</v>
      </c>
      <c r="B1306" s="33">
        <v>43255</v>
      </c>
      <c r="C1306" s="34" t="s">
        <v>3527</v>
      </c>
      <c r="D1306" s="34">
        <v>1</v>
      </c>
      <c r="E1306" s="35" t="s">
        <v>3498</v>
      </c>
      <c r="F1306" s="35" t="s">
        <v>142</v>
      </c>
      <c r="G1306" s="106">
        <v>4506427068</v>
      </c>
      <c r="H1306" s="33">
        <v>43191</v>
      </c>
      <c r="I1306" s="34" t="s">
        <v>3626</v>
      </c>
      <c r="J1306" s="36">
        <v>289.85000000000002</v>
      </c>
      <c r="K1306" t="s">
        <v>2030</v>
      </c>
    </row>
    <row r="1307" spans="1:11" x14ac:dyDescent="0.3">
      <c r="A1307" t="s">
        <v>818</v>
      </c>
      <c r="B1307" s="33">
        <v>43255</v>
      </c>
      <c r="C1307" s="34" t="s">
        <v>3527</v>
      </c>
      <c r="D1307" s="34">
        <v>1</v>
      </c>
      <c r="E1307" s="35" t="s">
        <v>3498</v>
      </c>
      <c r="F1307" s="35" t="s">
        <v>140</v>
      </c>
      <c r="G1307" s="106">
        <v>4504780705</v>
      </c>
      <c r="H1307" s="33">
        <v>43191</v>
      </c>
      <c r="I1307" s="34" t="s">
        <v>3627</v>
      </c>
      <c r="J1307" s="36">
        <v>289.85000000000002</v>
      </c>
      <c r="K1307" t="s">
        <v>2030</v>
      </c>
    </row>
    <row r="1308" spans="1:11" x14ac:dyDescent="0.3">
      <c r="A1308" t="s">
        <v>818</v>
      </c>
      <c r="B1308" s="33">
        <v>43255</v>
      </c>
      <c r="C1308" s="34" t="s">
        <v>3527</v>
      </c>
      <c r="D1308" s="34">
        <v>1</v>
      </c>
      <c r="E1308" s="35" t="s">
        <v>3498</v>
      </c>
      <c r="F1308" s="35" t="s">
        <v>136</v>
      </c>
      <c r="G1308" s="106">
        <v>4506562339</v>
      </c>
      <c r="H1308" s="33">
        <v>43191</v>
      </c>
      <c r="I1308" s="34" t="s">
        <v>3628</v>
      </c>
      <c r="J1308" s="36">
        <v>289.85000000000002</v>
      </c>
      <c r="K1308" t="s">
        <v>2030</v>
      </c>
    </row>
    <row r="1309" spans="1:11" x14ac:dyDescent="0.3">
      <c r="A1309" t="s">
        <v>818</v>
      </c>
      <c r="B1309" s="33">
        <v>43255</v>
      </c>
      <c r="C1309" s="34" t="s">
        <v>3527</v>
      </c>
      <c r="D1309" s="34">
        <v>1</v>
      </c>
      <c r="E1309" s="35" t="s">
        <v>3498</v>
      </c>
      <c r="F1309" s="35" t="s">
        <v>138</v>
      </c>
      <c r="G1309" s="106">
        <v>4506600208</v>
      </c>
      <c r="H1309" s="33">
        <v>43191</v>
      </c>
      <c r="I1309" s="34" t="s">
        <v>3629</v>
      </c>
      <c r="J1309" s="36">
        <v>289.85000000000002</v>
      </c>
      <c r="K1309" t="s">
        <v>2030</v>
      </c>
    </row>
    <row r="1310" spans="1:11" x14ac:dyDescent="0.3">
      <c r="A1310" t="s">
        <v>818</v>
      </c>
      <c r="B1310" s="33">
        <v>43255</v>
      </c>
      <c r="C1310" s="34" t="s">
        <v>3527</v>
      </c>
      <c r="D1310" s="34">
        <v>1</v>
      </c>
      <c r="E1310" s="35" t="s">
        <v>3498</v>
      </c>
      <c r="F1310" s="35" t="s">
        <v>137</v>
      </c>
      <c r="G1310" s="106">
        <v>4505005902</v>
      </c>
      <c r="H1310" s="33">
        <v>43191</v>
      </c>
      <c r="I1310" s="34" t="s">
        <v>3630</v>
      </c>
      <c r="J1310" s="36">
        <v>289.85000000000002</v>
      </c>
      <c r="K1310" t="s">
        <v>2030</v>
      </c>
    </row>
    <row r="1311" spans="1:11" x14ac:dyDescent="0.3">
      <c r="A1311" t="s">
        <v>818</v>
      </c>
      <c r="B1311" s="33">
        <v>43255</v>
      </c>
      <c r="C1311" s="34" t="s">
        <v>3527</v>
      </c>
      <c r="D1311" s="34">
        <v>1</v>
      </c>
      <c r="E1311" s="35" t="s">
        <v>3498</v>
      </c>
      <c r="F1311" s="35" t="s">
        <v>139</v>
      </c>
      <c r="G1311" s="106">
        <v>4504478148</v>
      </c>
      <c r="H1311" s="33">
        <v>43191</v>
      </c>
      <c r="I1311" s="34" t="s">
        <v>3631</v>
      </c>
      <c r="J1311" s="36">
        <v>289.85000000000002</v>
      </c>
      <c r="K1311" t="s">
        <v>2030</v>
      </c>
    </row>
    <row r="1312" spans="1:11" x14ac:dyDescent="0.3">
      <c r="A1312" t="s">
        <v>818</v>
      </c>
      <c r="B1312" s="33">
        <v>43255</v>
      </c>
      <c r="C1312" s="34" t="s">
        <v>3527</v>
      </c>
      <c r="D1312" s="34">
        <v>1</v>
      </c>
      <c r="E1312" s="35" t="s">
        <v>3498</v>
      </c>
      <c r="F1312" s="35" t="s">
        <v>141</v>
      </c>
      <c r="G1312" s="106">
        <v>4506868177</v>
      </c>
      <c r="H1312" s="33">
        <v>43191</v>
      </c>
      <c r="I1312" s="34" t="s">
        <v>3632</v>
      </c>
      <c r="J1312" s="36">
        <v>289.85000000000002</v>
      </c>
      <c r="K1312" t="s">
        <v>2030</v>
      </c>
    </row>
    <row r="1313" spans="1:11" x14ac:dyDescent="0.3">
      <c r="A1313" t="s">
        <v>818</v>
      </c>
      <c r="B1313" s="33">
        <v>43255</v>
      </c>
      <c r="C1313" s="34" t="s">
        <v>3527</v>
      </c>
      <c r="D1313" s="34">
        <v>1</v>
      </c>
      <c r="E1313" s="35" t="s">
        <v>3498</v>
      </c>
      <c r="F1313" s="35" t="s">
        <v>128</v>
      </c>
      <c r="G1313" s="106">
        <v>4504370086</v>
      </c>
      <c r="H1313" s="33">
        <v>43191</v>
      </c>
      <c r="I1313" s="34" t="s">
        <v>3633</v>
      </c>
      <c r="J1313" s="36">
        <v>289.85000000000002</v>
      </c>
      <c r="K1313" t="s">
        <v>2030</v>
      </c>
    </row>
    <row r="1314" spans="1:11" x14ac:dyDescent="0.3">
      <c r="A1314" t="s">
        <v>818</v>
      </c>
      <c r="B1314" s="33">
        <v>43255</v>
      </c>
      <c r="C1314" s="34" t="s">
        <v>3527</v>
      </c>
      <c r="D1314" s="34">
        <v>1</v>
      </c>
      <c r="E1314" s="35" t="s">
        <v>3498</v>
      </c>
      <c r="F1314" s="35" t="s">
        <v>129</v>
      </c>
      <c r="G1314" s="106">
        <v>4503704006</v>
      </c>
      <c r="H1314" s="33">
        <v>43191</v>
      </c>
      <c r="I1314" s="34" t="s">
        <v>3634</v>
      </c>
      <c r="J1314" s="36">
        <v>289.85000000000002</v>
      </c>
      <c r="K1314" t="s">
        <v>2030</v>
      </c>
    </row>
    <row r="1315" spans="1:11" x14ac:dyDescent="0.3">
      <c r="A1315" t="s">
        <v>818</v>
      </c>
      <c r="B1315" s="33">
        <v>43255</v>
      </c>
      <c r="C1315" s="34" t="s">
        <v>3527</v>
      </c>
      <c r="D1315" s="34">
        <v>1</v>
      </c>
      <c r="E1315" s="35" t="s">
        <v>3498</v>
      </c>
      <c r="F1315" s="35" t="s">
        <v>125</v>
      </c>
      <c r="G1315" s="106">
        <v>4506705797</v>
      </c>
      <c r="H1315" s="33">
        <v>43191</v>
      </c>
      <c r="I1315" s="34" t="s">
        <v>3635</v>
      </c>
      <c r="J1315" s="36">
        <v>289.85000000000002</v>
      </c>
      <c r="K1315" t="s">
        <v>2030</v>
      </c>
    </row>
    <row r="1316" spans="1:11" x14ac:dyDescent="0.3">
      <c r="A1316" t="s">
        <v>818</v>
      </c>
      <c r="B1316" s="33">
        <v>43255</v>
      </c>
      <c r="C1316" s="34" t="s">
        <v>3527</v>
      </c>
      <c r="D1316" s="34">
        <v>1</v>
      </c>
      <c r="E1316" s="35" t="s">
        <v>3498</v>
      </c>
      <c r="F1316" s="35" t="s">
        <v>130</v>
      </c>
      <c r="G1316" s="106">
        <v>4504406863</v>
      </c>
      <c r="H1316" s="33">
        <v>43191</v>
      </c>
      <c r="I1316" s="34" t="s">
        <v>3636</v>
      </c>
      <c r="J1316" s="36">
        <v>289.85000000000002</v>
      </c>
      <c r="K1316" t="s">
        <v>2030</v>
      </c>
    </row>
    <row r="1317" spans="1:11" x14ac:dyDescent="0.3">
      <c r="A1317" t="s">
        <v>818</v>
      </c>
      <c r="B1317" s="33">
        <v>43255</v>
      </c>
      <c r="C1317" s="34" t="s">
        <v>3527</v>
      </c>
      <c r="D1317" s="34">
        <v>1</v>
      </c>
      <c r="E1317" s="35" t="s">
        <v>3498</v>
      </c>
      <c r="F1317" s="35" t="s">
        <v>133</v>
      </c>
      <c r="G1317" s="106">
        <v>4506625667</v>
      </c>
      <c r="H1317" s="33">
        <v>43191</v>
      </c>
      <c r="I1317" s="34" t="s">
        <v>3637</v>
      </c>
      <c r="J1317" s="36">
        <v>289.85000000000002</v>
      </c>
      <c r="K1317" t="s">
        <v>2030</v>
      </c>
    </row>
    <row r="1318" spans="1:11" x14ac:dyDescent="0.3">
      <c r="A1318" t="s">
        <v>818</v>
      </c>
      <c r="B1318" s="33">
        <v>43255</v>
      </c>
      <c r="C1318" s="34" t="s">
        <v>3527</v>
      </c>
      <c r="D1318" s="34">
        <v>1</v>
      </c>
      <c r="E1318" s="35" t="s">
        <v>3498</v>
      </c>
      <c r="F1318" s="35" t="s">
        <v>121</v>
      </c>
      <c r="G1318" s="106">
        <v>4504478148</v>
      </c>
      <c r="H1318" s="33">
        <v>43191</v>
      </c>
      <c r="I1318" s="34" t="s">
        <v>3638</v>
      </c>
      <c r="J1318" s="36">
        <v>289.85000000000002</v>
      </c>
      <c r="K1318" t="s">
        <v>2030</v>
      </c>
    </row>
    <row r="1319" spans="1:11" x14ac:dyDescent="0.3">
      <c r="A1319" t="s">
        <v>818</v>
      </c>
      <c r="B1319" s="33">
        <v>43255</v>
      </c>
      <c r="C1319" s="34" t="s">
        <v>3527</v>
      </c>
      <c r="D1319" s="34">
        <v>1</v>
      </c>
      <c r="E1319" s="35" t="s">
        <v>3498</v>
      </c>
      <c r="F1319" s="35" t="s">
        <v>123</v>
      </c>
      <c r="G1319" s="106">
        <v>4505856490</v>
      </c>
      <c r="H1319" s="33">
        <v>43191</v>
      </c>
      <c r="I1319" s="34" t="s">
        <v>3639</v>
      </c>
      <c r="J1319" s="36">
        <v>289.85000000000002</v>
      </c>
      <c r="K1319" t="s">
        <v>2030</v>
      </c>
    </row>
    <row r="1320" spans="1:11" x14ac:dyDescent="0.3">
      <c r="A1320" t="s">
        <v>818</v>
      </c>
      <c r="B1320" s="33">
        <v>43255</v>
      </c>
      <c r="C1320" s="34" t="s">
        <v>3527</v>
      </c>
      <c r="D1320" s="34">
        <v>1</v>
      </c>
      <c r="E1320" s="35" t="s">
        <v>3498</v>
      </c>
      <c r="F1320" s="35" t="s">
        <v>117</v>
      </c>
      <c r="G1320" s="106">
        <v>4506371433</v>
      </c>
      <c r="H1320" s="33">
        <v>43191</v>
      </c>
      <c r="I1320" s="34" t="s">
        <v>3640</v>
      </c>
      <c r="J1320" s="36">
        <v>289.85000000000002</v>
      </c>
      <c r="K1320" t="s">
        <v>2030</v>
      </c>
    </row>
    <row r="1321" spans="1:11" x14ac:dyDescent="0.3">
      <c r="A1321" t="s">
        <v>818</v>
      </c>
      <c r="B1321" s="33">
        <v>43255</v>
      </c>
      <c r="C1321" s="34" t="s">
        <v>3527</v>
      </c>
      <c r="D1321" s="34">
        <v>1</v>
      </c>
      <c r="E1321" s="35" t="s">
        <v>3498</v>
      </c>
      <c r="F1321" s="35" t="s">
        <v>127</v>
      </c>
      <c r="G1321" s="106">
        <v>4506484734</v>
      </c>
      <c r="H1321" s="33">
        <v>43191</v>
      </c>
      <c r="I1321" s="34" t="s">
        <v>3641</v>
      </c>
      <c r="J1321" s="36">
        <v>289.85000000000002</v>
      </c>
      <c r="K1321" t="s">
        <v>2030</v>
      </c>
    </row>
    <row r="1322" spans="1:11" x14ac:dyDescent="0.3">
      <c r="A1322" t="s">
        <v>818</v>
      </c>
      <c r="B1322" s="33">
        <v>43255</v>
      </c>
      <c r="C1322" s="34" t="s">
        <v>3527</v>
      </c>
      <c r="D1322" s="34">
        <v>1</v>
      </c>
      <c r="E1322" s="35" t="s">
        <v>3498</v>
      </c>
      <c r="F1322" s="35" t="s">
        <v>124</v>
      </c>
      <c r="G1322" s="106">
        <v>4506515526</v>
      </c>
      <c r="H1322" s="33">
        <v>43191</v>
      </c>
      <c r="I1322" s="34" t="s">
        <v>3642</v>
      </c>
      <c r="J1322" s="36">
        <v>289.85000000000002</v>
      </c>
      <c r="K1322" t="s">
        <v>2030</v>
      </c>
    </row>
    <row r="1323" spans="1:11" x14ac:dyDescent="0.3">
      <c r="A1323" t="s">
        <v>818</v>
      </c>
      <c r="B1323" s="33">
        <v>43255</v>
      </c>
      <c r="C1323" s="34" t="s">
        <v>3527</v>
      </c>
      <c r="D1323" s="34">
        <v>1</v>
      </c>
      <c r="E1323" s="35" t="s">
        <v>3498</v>
      </c>
      <c r="F1323" s="35" t="s">
        <v>7</v>
      </c>
      <c r="G1323" s="106">
        <v>4506732795</v>
      </c>
      <c r="H1323" s="33">
        <v>43191</v>
      </c>
      <c r="I1323" s="34" t="s">
        <v>3643</v>
      </c>
      <c r="J1323" s="36">
        <v>243.1</v>
      </c>
      <c r="K1323" t="s">
        <v>2030</v>
      </c>
    </row>
    <row r="1324" spans="1:11" x14ac:dyDescent="0.3">
      <c r="A1324" t="s">
        <v>818</v>
      </c>
      <c r="B1324" s="33">
        <v>43255</v>
      </c>
      <c r="C1324" s="34" t="s">
        <v>3527</v>
      </c>
      <c r="D1324" s="34">
        <v>1</v>
      </c>
      <c r="E1324" s="35" t="s">
        <v>3498</v>
      </c>
      <c r="F1324" s="35" t="s">
        <v>311</v>
      </c>
      <c r="G1324" s="106">
        <v>4506789649</v>
      </c>
      <c r="H1324" s="33">
        <v>43191</v>
      </c>
      <c r="I1324" s="34" t="s">
        <v>3644</v>
      </c>
      <c r="J1324" s="36">
        <v>289.85000000000002</v>
      </c>
      <c r="K1324" t="s">
        <v>2030</v>
      </c>
    </row>
    <row r="1325" spans="1:11" x14ac:dyDescent="0.3">
      <c r="A1325" t="s">
        <v>818</v>
      </c>
      <c r="B1325" s="33">
        <v>43255</v>
      </c>
      <c r="C1325" s="34" t="s">
        <v>3527</v>
      </c>
      <c r="D1325" s="34">
        <v>1</v>
      </c>
      <c r="E1325" s="35" t="s">
        <v>3498</v>
      </c>
      <c r="F1325" s="35" t="s">
        <v>48</v>
      </c>
      <c r="G1325" s="106">
        <v>4506994903</v>
      </c>
      <c r="H1325" s="33">
        <v>43191</v>
      </c>
      <c r="I1325" s="34" t="s">
        <v>3645</v>
      </c>
      <c r="J1325" s="36">
        <v>102.85</v>
      </c>
      <c r="K1325" t="s">
        <v>2030</v>
      </c>
    </row>
    <row r="1326" spans="1:11" x14ac:dyDescent="0.3">
      <c r="A1326" t="s">
        <v>818</v>
      </c>
      <c r="B1326" s="33">
        <v>43255</v>
      </c>
      <c r="C1326" s="34" t="s">
        <v>3527</v>
      </c>
      <c r="D1326" s="34">
        <v>1</v>
      </c>
      <c r="E1326" s="35" t="s">
        <v>3498</v>
      </c>
      <c r="F1326" s="35" t="s">
        <v>30</v>
      </c>
      <c r="G1326" s="106">
        <v>4507059404</v>
      </c>
      <c r="H1326" s="33">
        <v>43191</v>
      </c>
      <c r="I1326" s="34" t="s">
        <v>3646</v>
      </c>
      <c r="J1326" s="36">
        <v>149.6</v>
      </c>
      <c r="K1326" t="s">
        <v>2030</v>
      </c>
    </row>
    <row r="1327" spans="1:11" x14ac:dyDescent="0.3">
      <c r="A1327" t="s">
        <v>818</v>
      </c>
      <c r="B1327" s="33">
        <v>43255</v>
      </c>
      <c r="C1327" s="34" t="s">
        <v>3527</v>
      </c>
      <c r="D1327" s="34">
        <v>1</v>
      </c>
      <c r="E1327" s="35" t="s">
        <v>3498</v>
      </c>
      <c r="F1327" s="35" t="s">
        <v>88</v>
      </c>
      <c r="G1327" s="106">
        <v>4506994903</v>
      </c>
      <c r="H1327" s="33">
        <v>43191</v>
      </c>
      <c r="I1327" s="34" t="s">
        <v>3647</v>
      </c>
      <c r="J1327" s="36">
        <v>243.1</v>
      </c>
      <c r="K1327" t="s">
        <v>2030</v>
      </c>
    </row>
    <row r="1328" spans="1:11" x14ac:dyDescent="0.3">
      <c r="A1328" t="s">
        <v>818</v>
      </c>
      <c r="B1328" s="33">
        <v>43255</v>
      </c>
      <c r="C1328" s="34" t="s">
        <v>3527</v>
      </c>
      <c r="D1328" s="34">
        <v>1</v>
      </c>
      <c r="E1328" s="35" t="s">
        <v>3498</v>
      </c>
      <c r="F1328" s="35" t="s">
        <v>89</v>
      </c>
      <c r="G1328" s="106">
        <v>4506994903</v>
      </c>
      <c r="H1328" s="33">
        <v>43191</v>
      </c>
      <c r="I1328" s="34" t="s">
        <v>3648</v>
      </c>
      <c r="J1328" s="36">
        <v>243.1</v>
      </c>
      <c r="K1328" t="s">
        <v>2030</v>
      </c>
    </row>
    <row r="1329" spans="1:11" x14ac:dyDescent="0.3">
      <c r="A1329" t="s">
        <v>818</v>
      </c>
      <c r="B1329" s="33">
        <v>43255</v>
      </c>
      <c r="C1329" s="34" t="s">
        <v>3527</v>
      </c>
      <c r="D1329" s="34">
        <v>1</v>
      </c>
      <c r="E1329" s="35" t="s">
        <v>3498</v>
      </c>
      <c r="F1329" s="35" t="s">
        <v>85</v>
      </c>
      <c r="G1329" s="106">
        <v>4507022249</v>
      </c>
      <c r="H1329" s="33">
        <v>43191</v>
      </c>
      <c r="I1329" s="34" t="s">
        <v>3649</v>
      </c>
      <c r="J1329" s="36">
        <v>84.15</v>
      </c>
      <c r="K1329" t="s">
        <v>2030</v>
      </c>
    </row>
    <row r="1330" spans="1:11" x14ac:dyDescent="0.3">
      <c r="A1330" t="s">
        <v>818</v>
      </c>
      <c r="B1330" s="33">
        <v>43255</v>
      </c>
      <c r="C1330" s="34" t="s">
        <v>3527</v>
      </c>
      <c r="D1330" s="34">
        <v>1</v>
      </c>
      <c r="E1330" s="35" t="s">
        <v>3498</v>
      </c>
      <c r="F1330" s="35" t="s">
        <v>77</v>
      </c>
      <c r="G1330" s="106">
        <v>4507022787</v>
      </c>
      <c r="H1330" s="33">
        <v>43191</v>
      </c>
      <c r="I1330" s="34" t="s">
        <v>3650</v>
      </c>
      <c r="J1330" s="36">
        <v>205.7</v>
      </c>
      <c r="K1330" t="s">
        <v>2030</v>
      </c>
    </row>
    <row r="1331" spans="1:11" x14ac:dyDescent="0.3">
      <c r="A1331" t="s">
        <v>818</v>
      </c>
      <c r="B1331" s="33">
        <v>43255</v>
      </c>
      <c r="C1331" s="34" t="s">
        <v>3527</v>
      </c>
      <c r="D1331" s="34">
        <v>1</v>
      </c>
      <c r="E1331" s="35" t="s">
        <v>3498</v>
      </c>
      <c r="F1331" s="35" t="s">
        <v>51</v>
      </c>
      <c r="G1331" s="106">
        <v>4507021219</v>
      </c>
      <c r="H1331" s="33">
        <v>43191</v>
      </c>
      <c r="I1331" s="34" t="s">
        <v>3651</v>
      </c>
      <c r="J1331" s="36">
        <v>130.9</v>
      </c>
      <c r="K1331" t="s">
        <v>2030</v>
      </c>
    </row>
    <row r="1332" spans="1:11" x14ac:dyDescent="0.3">
      <c r="A1332" t="s">
        <v>818</v>
      </c>
      <c r="B1332" s="33">
        <v>43255</v>
      </c>
      <c r="C1332" s="34" t="s">
        <v>3527</v>
      </c>
      <c r="D1332" s="34">
        <v>1</v>
      </c>
      <c r="E1332" s="35" t="s">
        <v>3498</v>
      </c>
      <c r="F1332" s="35" t="s">
        <v>44</v>
      </c>
      <c r="G1332" s="106">
        <v>4507021219</v>
      </c>
      <c r="H1332" s="33">
        <v>43191</v>
      </c>
      <c r="I1332" s="34" t="s">
        <v>3652</v>
      </c>
      <c r="J1332" s="36">
        <v>243.1</v>
      </c>
      <c r="K1332" t="s">
        <v>2030</v>
      </c>
    </row>
    <row r="1333" spans="1:11" x14ac:dyDescent="0.3">
      <c r="A1333" t="s">
        <v>818</v>
      </c>
      <c r="B1333" s="33">
        <v>43255</v>
      </c>
      <c r="C1333" s="34" t="s">
        <v>3527</v>
      </c>
      <c r="D1333" s="34">
        <v>1</v>
      </c>
      <c r="E1333" s="35" t="s">
        <v>3498</v>
      </c>
      <c r="F1333" s="35" t="s">
        <v>40</v>
      </c>
      <c r="G1333" s="106">
        <v>4506994903</v>
      </c>
      <c r="H1333" s="33">
        <v>43191</v>
      </c>
      <c r="I1333" s="34" t="s">
        <v>3653</v>
      </c>
      <c r="J1333" s="36">
        <v>224.4</v>
      </c>
      <c r="K1333" t="s">
        <v>2030</v>
      </c>
    </row>
    <row r="1334" spans="1:11" x14ac:dyDescent="0.3">
      <c r="A1334" t="s">
        <v>818</v>
      </c>
      <c r="B1334" s="33">
        <v>43255</v>
      </c>
      <c r="C1334" s="34" t="s">
        <v>3527</v>
      </c>
      <c r="D1334" s="34">
        <v>1</v>
      </c>
      <c r="E1334" s="35" t="s">
        <v>3498</v>
      </c>
      <c r="F1334" s="35" t="s">
        <v>46</v>
      </c>
      <c r="G1334" s="106">
        <v>4506956697</v>
      </c>
      <c r="H1334" s="33">
        <v>43191</v>
      </c>
      <c r="I1334" s="34" t="s">
        <v>3654</v>
      </c>
      <c r="J1334" s="36">
        <v>93.5</v>
      </c>
      <c r="K1334" t="s">
        <v>2030</v>
      </c>
    </row>
    <row r="1335" spans="1:11" x14ac:dyDescent="0.3">
      <c r="A1335" t="s">
        <v>818</v>
      </c>
      <c r="B1335" s="33">
        <v>43255</v>
      </c>
      <c r="C1335" s="34" t="s">
        <v>3527</v>
      </c>
      <c r="D1335" s="34">
        <v>1</v>
      </c>
      <c r="E1335" s="35" t="s">
        <v>3498</v>
      </c>
      <c r="F1335" s="35" t="s">
        <v>295</v>
      </c>
      <c r="G1335" s="106">
        <v>4506999964</v>
      </c>
      <c r="H1335" s="33">
        <v>43191</v>
      </c>
      <c r="I1335" s="34" t="s">
        <v>3655</v>
      </c>
      <c r="J1335" s="36">
        <v>130.9</v>
      </c>
      <c r="K1335" t="s">
        <v>2030</v>
      </c>
    </row>
    <row r="1336" spans="1:11" x14ac:dyDescent="0.3">
      <c r="A1336" t="s">
        <v>818</v>
      </c>
      <c r="B1336" s="33">
        <v>43255</v>
      </c>
      <c r="C1336" s="34" t="s">
        <v>3527</v>
      </c>
      <c r="D1336" s="34">
        <v>1</v>
      </c>
      <c r="E1336" s="35" t="s">
        <v>3498</v>
      </c>
      <c r="F1336" s="35" t="s">
        <v>45</v>
      </c>
      <c r="G1336" s="106">
        <v>4507021219</v>
      </c>
      <c r="H1336" s="33">
        <v>43191</v>
      </c>
      <c r="I1336" s="34" t="s">
        <v>3656</v>
      </c>
      <c r="J1336" s="36">
        <v>215.05</v>
      </c>
      <c r="K1336" t="s">
        <v>2030</v>
      </c>
    </row>
    <row r="1337" spans="1:11" x14ac:dyDescent="0.3">
      <c r="A1337" t="s">
        <v>818</v>
      </c>
      <c r="B1337" s="33">
        <v>43255</v>
      </c>
      <c r="C1337" s="34" t="s">
        <v>3527</v>
      </c>
      <c r="D1337" s="34">
        <v>1</v>
      </c>
      <c r="E1337" s="35" t="s">
        <v>3498</v>
      </c>
      <c r="F1337" s="35" t="s">
        <v>67</v>
      </c>
      <c r="G1337" s="106">
        <v>4507015541</v>
      </c>
      <c r="H1337" s="33">
        <v>43191</v>
      </c>
      <c r="I1337" s="34" t="s">
        <v>3657</v>
      </c>
      <c r="J1337" s="36">
        <v>271.14999999999998</v>
      </c>
      <c r="K1337" t="s">
        <v>2030</v>
      </c>
    </row>
    <row r="1338" spans="1:11" x14ac:dyDescent="0.3">
      <c r="A1338" t="s">
        <v>818</v>
      </c>
      <c r="B1338" s="33">
        <v>43255</v>
      </c>
      <c r="C1338" s="34" t="s">
        <v>3527</v>
      </c>
      <c r="D1338" s="34">
        <v>1</v>
      </c>
      <c r="E1338" s="35" t="s">
        <v>3498</v>
      </c>
      <c r="F1338" s="35" t="s">
        <v>62</v>
      </c>
      <c r="G1338" s="106">
        <v>4506989025</v>
      </c>
      <c r="H1338" s="33">
        <v>43191</v>
      </c>
      <c r="I1338" s="34" t="s">
        <v>3658</v>
      </c>
      <c r="J1338" s="36">
        <v>93.5</v>
      </c>
      <c r="K1338" t="s">
        <v>2030</v>
      </c>
    </row>
    <row r="1339" spans="1:11" x14ac:dyDescent="0.3">
      <c r="A1339" t="s">
        <v>818</v>
      </c>
      <c r="B1339" s="33">
        <v>43255</v>
      </c>
      <c r="C1339" s="34" t="s">
        <v>3527</v>
      </c>
      <c r="D1339" s="34">
        <v>1</v>
      </c>
      <c r="E1339" s="35" t="s">
        <v>3498</v>
      </c>
      <c r="F1339" s="35" t="s">
        <v>58</v>
      </c>
      <c r="G1339" s="106">
        <v>4506989816</v>
      </c>
      <c r="H1339" s="33">
        <v>43191</v>
      </c>
      <c r="I1339" s="34" t="s">
        <v>3659</v>
      </c>
      <c r="J1339" s="36">
        <v>149.6</v>
      </c>
      <c r="K1339" t="s">
        <v>2030</v>
      </c>
    </row>
    <row r="1340" spans="1:11" x14ac:dyDescent="0.3">
      <c r="A1340" t="s">
        <v>818</v>
      </c>
      <c r="B1340" s="33">
        <v>43255</v>
      </c>
      <c r="C1340" s="34" t="s">
        <v>3527</v>
      </c>
      <c r="D1340" s="34">
        <v>1</v>
      </c>
      <c r="E1340" s="35" t="s">
        <v>3498</v>
      </c>
      <c r="F1340" s="35" t="s">
        <v>59</v>
      </c>
      <c r="G1340" s="106">
        <v>4507064183</v>
      </c>
      <c r="H1340" s="33">
        <v>43191</v>
      </c>
      <c r="I1340" s="34" t="s">
        <v>3660</v>
      </c>
      <c r="J1340" s="36">
        <v>130.9</v>
      </c>
      <c r="K1340" t="s">
        <v>2030</v>
      </c>
    </row>
    <row r="1341" spans="1:11" x14ac:dyDescent="0.3">
      <c r="A1341" t="s">
        <v>818</v>
      </c>
      <c r="B1341" s="33">
        <v>43255</v>
      </c>
      <c r="C1341" s="34" t="s">
        <v>3527</v>
      </c>
      <c r="D1341" s="34">
        <v>1</v>
      </c>
      <c r="E1341" s="35" t="s">
        <v>3498</v>
      </c>
      <c r="F1341" s="35" t="s">
        <v>50</v>
      </c>
      <c r="G1341" s="106">
        <v>4506994903</v>
      </c>
      <c r="H1341" s="33">
        <v>43191</v>
      </c>
      <c r="I1341" s="34" t="s">
        <v>3661</v>
      </c>
      <c r="J1341" s="36">
        <v>140.25</v>
      </c>
      <c r="K1341" t="s">
        <v>2030</v>
      </c>
    </row>
    <row r="1342" spans="1:11" x14ac:dyDescent="0.3">
      <c r="A1342" t="s">
        <v>818</v>
      </c>
      <c r="B1342" s="33">
        <v>43255</v>
      </c>
      <c r="C1342" s="34" t="s">
        <v>3527</v>
      </c>
      <c r="D1342" s="34">
        <v>1</v>
      </c>
      <c r="E1342" s="35" t="s">
        <v>3498</v>
      </c>
      <c r="F1342" s="35" t="s">
        <v>43</v>
      </c>
      <c r="G1342" s="106">
        <v>4506994903</v>
      </c>
      <c r="H1342" s="33">
        <v>43191</v>
      </c>
      <c r="I1342" s="34" t="s">
        <v>3662</v>
      </c>
      <c r="J1342" s="36">
        <v>196.35</v>
      </c>
      <c r="K1342" t="s">
        <v>2030</v>
      </c>
    </row>
    <row r="1343" spans="1:11" x14ac:dyDescent="0.3">
      <c r="A1343" t="s">
        <v>818</v>
      </c>
      <c r="B1343" s="33">
        <v>43255</v>
      </c>
      <c r="C1343" s="34" t="s">
        <v>3527</v>
      </c>
      <c r="D1343" s="34">
        <v>1</v>
      </c>
      <c r="E1343" s="35" t="s">
        <v>3498</v>
      </c>
      <c r="F1343" s="35" t="s">
        <v>305</v>
      </c>
      <c r="G1343" s="106">
        <v>4506075970</v>
      </c>
      <c r="H1343" s="33">
        <v>43191</v>
      </c>
      <c r="I1343" s="34" t="s">
        <v>3663</v>
      </c>
      <c r="J1343" s="36">
        <v>289.85000000000002</v>
      </c>
      <c r="K1343" t="s">
        <v>2030</v>
      </c>
    </row>
    <row r="1344" spans="1:11" x14ac:dyDescent="0.3">
      <c r="A1344" t="s">
        <v>818</v>
      </c>
      <c r="B1344" s="33">
        <v>43255</v>
      </c>
      <c r="C1344" s="34" t="s">
        <v>3527</v>
      </c>
      <c r="D1344" s="34">
        <v>1</v>
      </c>
      <c r="E1344" s="35" t="s">
        <v>3498</v>
      </c>
      <c r="F1344" s="35" t="s">
        <v>341</v>
      </c>
      <c r="G1344" s="106">
        <v>4506412575</v>
      </c>
      <c r="H1344" s="33">
        <v>43191</v>
      </c>
      <c r="I1344" s="34" t="s">
        <v>3664</v>
      </c>
      <c r="J1344" s="36">
        <v>289.85000000000002</v>
      </c>
      <c r="K1344" t="s">
        <v>2030</v>
      </c>
    </row>
    <row r="1345" spans="1:11" x14ac:dyDescent="0.3">
      <c r="A1345" t="s">
        <v>818</v>
      </c>
      <c r="B1345" s="33">
        <v>43255</v>
      </c>
      <c r="C1345" s="34" t="s">
        <v>3527</v>
      </c>
      <c r="D1345" s="34">
        <v>1</v>
      </c>
      <c r="E1345" s="35" t="s">
        <v>3498</v>
      </c>
      <c r="F1345" s="35" t="s">
        <v>15</v>
      </c>
      <c r="G1345" s="106">
        <v>4506898317</v>
      </c>
      <c r="H1345" s="33">
        <v>43191</v>
      </c>
      <c r="I1345" s="34" t="s">
        <v>3665</v>
      </c>
      <c r="J1345" s="36">
        <v>158.94999999999999</v>
      </c>
      <c r="K1345" t="s">
        <v>2030</v>
      </c>
    </row>
    <row r="1346" spans="1:11" x14ac:dyDescent="0.3">
      <c r="A1346" t="s">
        <v>818</v>
      </c>
      <c r="B1346" s="33">
        <v>43255</v>
      </c>
      <c r="C1346" s="34" t="s">
        <v>3527</v>
      </c>
      <c r="D1346" s="34">
        <v>1</v>
      </c>
      <c r="E1346" s="35" t="s">
        <v>3498</v>
      </c>
      <c r="F1346" s="35" t="s">
        <v>338</v>
      </c>
      <c r="G1346" s="106">
        <v>4502015297</v>
      </c>
      <c r="H1346" s="33">
        <v>43191</v>
      </c>
      <c r="I1346" s="34" t="s">
        <v>3666</v>
      </c>
      <c r="J1346" s="36">
        <v>289.85000000000002</v>
      </c>
      <c r="K1346" t="s">
        <v>2030</v>
      </c>
    </row>
    <row r="1347" spans="1:11" x14ac:dyDescent="0.3">
      <c r="A1347" t="s">
        <v>818</v>
      </c>
      <c r="B1347" s="33">
        <v>43255</v>
      </c>
      <c r="C1347" s="34" t="s">
        <v>3527</v>
      </c>
      <c r="D1347" s="34">
        <v>1</v>
      </c>
      <c r="E1347" s="35" t="s">
        <v>3498</v>
      </c>
      <c r="F1347" s="35" t="s">
        <v>340</v>
      </c>
      <c r="G1347" s="106">
        <v>4506319483</v>
      </c>
      <c r="H1347" s="33">
        <v>43191</v>
      </c>
      <c r="I1347" s="34" t="s">
        <v>3667</v>
      </c>
      <c r="J1347" s="36">
        <v>289.85000000000002</v>
      </c>
      <c r="K1347" t="s">
        <v>2030</v>
      </c>
    </row>
    <row r="1348" spans="1:11" x14ac:dyDescent="0.3">
      <c r="A1348" t="s">
        <v>818</v>
      </c>
      <c r="B1348" s="33">
        <v>43255</v>
      </c>
      <c r="C1348" s="34" t="s">
        <v>3527</v>
      </c>
      <c r="D1348" s="34">
        <v>1</v>
      </c>
      <c r="E1348" s="35" t="s">
        <v>3498</v>
      </c>
      <c r="F1348" s="35" t="s">
        <v>337</v>
      </c>
      <c r="G1348" s="106">
        <v>4505631563</v>
      </c>
      <c r="H1348" s="33">
        <v>43191</v>
      </c>
      <c r="I1348" s="34" t="s">
        <v>3668</v>
      </c>
      <c r="J1348" s="36">
        <v>289.85000000000002</v>
      </c>
      <c r="K1348" t="s">
        <v>2030</v>
      </c>
    </row>
    <row r="1349" spans="1:11" x14ac:dyDescent="0.3">
      <c r="A1349" t="s">
        <v>818</v>
      </c>
      <c r="B1349" s="33">
        <v>43255</v>
      </c>
      <c r="C1349" s="34" t="s">
        <v>3527</v>
      </c>
      <c r="D1349" s="34">
        <v>1</v>
      </c>
      <c r="E1349" s="35" t="s">
        <v>3498</v>
      </c>
      <c r="F1349" s="35" t="s">
        <v>331</v>
      </c>
      <c r="G1349" s="106">
        <v>4504221674</v>
      </c>
      <c r="H1349" s="33">
        <v>43191</v>
      </c>
      <c r="I1349" s="34" t="s">
        <v>3669</v>
      </c>
      <c r="J1349" s="36">
        <v>289.85000000000002</v>
      </c>
      <c r="K1349" t="s">
        <v>2030</v>
      </c>
    </row>
    <row r="1350" spans="1:11" x14ac:dyDescent="0.3">
      <c r="A1350" t="s">
        <v>818</v>
      </c>
      <c r="B1350" s="33">
        <v>43255</v>
      </c>
      <c r="C1350" s="34" t="s">
        <v>3527</v>
      </c>
      <c r="D1350" s="34">
        <v>1</v>
      </c>
      <c r="E1350" s="35" t="s">
        <v>3498</v>
      </c>
      <c r="F1350" s="35" t="s">
        <v>339</v>
      </c>
      <c r="G1350" s="106">
        <v>4506905565</v>
      </c>
      <c r="H1350" s="33">
        <v>43191</v>
      </c>
      <c r="I1350" s="34" t="s">
        <v>3670</v>
      </c>
      <c r="J1350" s="36">
        <v>289.85000000000002</v>
      </c>
      <c r="K1350" t="s">
        <v>2030</v>
      </c>
    </row>
    <row r="1351" spans="1:11" x14ac:dyDescent="0.3">
      <c r="A1351" t="s">
        <v>818</v>
      </c>
      <c r="B1351" s="33">
        <v>43255</v>
      </c>
      <c r="C1351" s="34" t="s">
        <v>3527</v>
      </c>
      <c r="D1351" s="34">
        <v>1</v>
      </c>
      <c r="E1351" s="35" t="s">
        <v>3498</v>
      </c>
      <c r="F1351" s="35" t="s">
        <v>342</v>
      </c>
      <c r="G1351" s="106">
        <v>4506792943</v>
      </c>
      <c r="H1351" s="33">
        <v>43191</v>
      </c>
      <c r="I1351" s="34" t="s">
        <v>3671</v>
      </c>
      <c r="J1351" s="36">
        <v>289.85000000000002</v>
      </c>
      <c r="K1351" t="s">
        <v>2030</v>
      </c>
    </row>
    <row r="1352" spans="1:11" x14ac:dyDescent="0.3">
      <c r="A1352" t="s">
        <v>818</v>
      </c>
      <c r="B1352" s="33">
        <v>43255</v>
      </c>
      <c r="C1352" s="34" t="s">
        <v>3527</v>
      </c>
      <c r="D1352" s="34">
        <v>1</v>
      </c>
      <c r="E1352" s="35" t="s">
        <v>3498</v>
      </c>
      <c r="F1352" s="35" t="s">
        <v>12</v>
      </c>
      <c r="G1352" s="106">
        <v>4506794686</v>
      </c>
      <c r="H1352" s="33">
        <v>43191</v>
      </c>
      <c r="I1352" s="34" t="s">
        <v>3672</v>
      </c>
      <c r="J1352" s="36">
        <v>177.65</v>
      </c>
      <c r="K1352" t="s">
        <v>2030</v>
      </c>
    </row>
    <row r="1353" spans="1:11" x14ac:dyDescent="0.3">
      <c r="A1353" t="s">
        <v>818</v>
      </c>
      <c r="B1353" s="33">
        <v>43255</v>
      </c>
      <c r="C1353" s="34" t="s">
        <v>3527</v>
      </c>
      <c r="D1353" s="34">
        <v>1</v>
      </c>
      <c r="E1353" s="35" t="s">
        <v>3498</v>
      </c>
      <c r="F1353" s="35" t="s">
        <v>325</v>
      </c>
      <c r="G1353" s="106">
        <v>4502751617</v>
      </c>
      <c r="H1353" s="33">
        <v>43191</v>
      </c>
      <c r="I1353" s="34" t="s">
        <v>3673</v>
      </c>
      <c r="J1353" s="36">
        <v>289.85000000000002</v>
      </c>
      <c r="K1353" t="s">
        <v>2030</v>
      </c>
    </row>
    <row r="1354" spans="1:11" x14ac:dyDescent="0.3">
      <c r="A1354" t="s">
        <v>818</v>
      </c>
      <c r="B1354" s="33">
        <v>43255</v>
      </c>
      <c r="C1354" s="34" t="s">
        <v>3527</v>
      </c>
      <c r="D1354" s="34">
        <v>1</v>
      </c>
      <c r="E1354" s="35" t="s">
        <v>3498</v>
      </c>
      <c r="F1354" s="35" t="s">
        <v>333</v>
      </c>
      <c r="G1354" s="106">
        <v>4506319483</v>
      </c>
      <c r="H1354" s="33">
        <v>43191</v>
      </c>
      <c r="I1354" s="34" t="s">
        <v>3674</v>
      </c>
      <c r="J1354" s="36">
        <v>289.85000000000002</v>
      </c>
      <c r="K1354" t="s">
        <v>2030</v>
      </c>
    </row>
    <row r="1355" spans="1:11" x14ac:dyDescent="0.3">
      <c r="A1355" t="s">
        <v>818</v>
      </c>
      <c r="B1355" s="33">
        <v>43255</v>
      </c>
      <c r="C1355" s="34" t="s">
        <v>3527</v>
      </c>
      <c r="D1355" s="34">
        <v>1</v>
      </c>
      <c r="E1355" s="35" t="s">
        <v>3498</v>
      </c>
      <c r="F1355" s="35" t="s">
        <v>332</v>
      </c>
      <c r="G1355" s="106">
        <v>4506347678</v>
      </c>
      <c r="H1355" s="33">
        <v>43191</v>
      </c>
      <c r="I1355" s="34" t="s">
        <v>3675</v>
      </c>
      <c r="J1355" s="36">
        <v>289.85000000000002</v>
      </c>
      <c r="K1355" t="s">
        <v>2030</v>
      </c>
    </row>
    <row r="1356" spans="1:11" x14ac:dyDescent="0.3">
      <c r="A1356" t="s">
        <v>818</v>
      </c>
      <c r="B1356" s="33">
        <v>43255</v>
      </c>
      <c r="C1356" s="34" t="s">
        <v>3527</v>
      </c>
      <c r="D1356" s="34">
        <v>1</v>
      </c>
      <c r="E1356" s="35" t="s">
        <v>3498</v>
      </c>
      <c r="F1356" s="35" t="s">
        <v>330</v>
      </c>
      <c r="G1356" s="106">
        <v>4506118805</v>
      </c>
      <c r="H1356" s="33">
        <v>43191</v>
      </c>
      <c r="I1356" s="34" t="s">
        <v>3676</v>
      </c>
      <c r="J1356" s="36">
        <v>289.85000000000002</v>
      </c>
      <c r="K1356" t="s">
        <v>2030</v>
      </c>
    </row>
    <row r="1357" spans="1:11" x14ac:dyDescent="0.3">
      <c r="A1357" t="s">
        <v>818</v>
      </c>
      <c r="B1357" s="33">
        <v>43255</v>
      </c>
      <c r="C1357" s="34" t="s">
        <v>3527</v>
      </c>
      <c r="D1357" s="34">
        <v>1</v>
      </c>
      <c r="E1357" s="35" t="s">
        <v>3498</v>
      </c>
      <c r="F1357" s="35" t="s">
        <v>328</v>
      </c>
      <c r="G1357" s="106">
        <v>4506050532</v>
      </c>
      <c r="H1357" s="33">
        <v>43191</v>
      </c>
      <c r="I1357" s="34" t="s">
        <v>3677</v>
      </c>
      <c r="J1357" s="36">
        <v>289.85000000000002</v>
      </c>
      <c r="K1357" t="s">
        <v>2030</v>
      </c>
    </row>
    <row r="1358" spans="1:11" x14ac:dyDescent="0.3">
      <c r="A1358" t="s">
        <v>818</v>
      </c>
      <c r="B1358" s="33">
        <v>43255</v>
      </c>
      <c r="C1358" s="34" t="s">
        <v>3527</v>
      </c>
      <c r="D1358" s="34">
        <v>1</v>
      </c>
      <c r="E1358" s="35" t="s">
        <v>3498</v>
      </c>
      <c r="F1358" s="35" t="s">
        <v>329</v>
      </c>
      <c r="G1358" s="106">
        <v>4506739186</v>
      </c>
      <c r="H1358" s="33">
        <v>43191</v>
      </c>
      <c r="I1358" s="34" t="s">
        <v>3678</v>
      </c>
      <c r="J1358" s="36">
        <v>289.85000000000002</v>
      </c>
      <c r="K1358" t="s">
        <v>2030</v>
      </c>
    </row>
    <row r="1359" spans="1:11" x14ac:dyDescent="0.3">
      <c r="A1359" t="s">
        <v>818</v>
      </c>
      <c r="B1359" s="33">
        <v>43255</v>
      </c>
      <c r="C1359" s="34" t="s">
        <v>3527</v>
      </c>
      <c r="D1359" s="34">
        <v>1</v>
      </c>
      <c r="E1359" s="35" t="s">
        <v>3498</v>
      </c>
      <c r="F1359" s="35" t="s">
        <v>326</v>
      </c>
      <c r="G1359" s="106">
        <v>4506289169</v>
      </c>
      <c r="H1359" s="33">
        <v>43191</v>
      </c>
      <c r="I1359" s="34" t="s">
        <v>3679</v>
      </c>
      <c r="J1359" s="36">
        <v>289.85000000000002</v>
      </c>
      <c r="K1359" t="s">
        <v>2030</v>
      </c>
    </row>
    <row r="1360" spans="1:11" x14ac:dyDescent="0.3">
      <c r="A1360" t="s">
        <v>818</v>
      </c>
      <c r="B1360" s="33">
        <v>43255</v>
      </c>
      <c r="C1360" s="34" t="s">
        <v>3527</v>
      </c>
      <c r="D1360" s="34">
        <v>1</v>
      </c>
      <c r="E1360" s="35" t="s">
        <v>3498</v>
      </c>
      <c r="F1360" s="35" t="s">
        <v>324</v>
      </c>
      <c r="G1360" s="106">
        <v>4506319483</v>
      </c>
      <c r="H1360" s="33">
        <v>43191</v>
      </c>
      <c r="I1360" s="34" t="s">
        <v>3680</v>
      </c>
      <c r="J1360" s="36">
        <v>289.85000000000002</v>
      </c>
      <c r="K1360" t="s">
        <v>2030</v>
      </c>
    </row>
    <row r="1361" spans="1:11" x14ac:dyDescent="0.3">
      <c r="A1361" t="s">
        <v>818</v>
      </c>
      <c r="B1361" s="33">
        <v>43255</v>
      </c>
      <c r="C1361" s="34" t="s">
        <v>3527</v>
      </c>
      <c r="D1361" s="34">
        <v>1</v>
      </c>
      <c r="E1361" s="35" t="s">
        <v>3498</v>
      </c>
      <c r="F1361" s="35" t="s">
        <v>316</v>
      </c>
      <c r="G1361" s="106">
        <v>4506502300</v>
      </c>
      <c r="H1361" s="33">
        <v>43191</v>
      </c>
      <c r="I1361" s="34" t="s">
        <v>3681</v>
      </c>
      <c r="J1361" s="36">
        <v>289.85000000000002</v>
      </c>
      <c r="K1361" t="s">
        <v>2030</v>
      </c>
    </row>
    <row r="1362" spans="1:11" x14ac:dyDescent="0.3">
      <c r="A1362" t="s">
        <v>818</v>
      </c>
      <c r="B1362" s="33">
        <v>43255</v>
      </c>
      <c r="C1362" s="34" t="s">
        <v>3527</v>
      </c>
      <c r="D1362" s="34">
        <v>1</v>
      </c>
      <c r="E1362" s="35" t="s">
        <v>3498</v>
      </c>
      <c r="F1362" s="35" t="s">
        <v>320</v>
      </c>
      <c r="G1362" s="106">
        <v>4505846531</v>
      </c>
      <c r="H1362" s="33">
        <v>43191</v>
      </c>
      <c r="I1362" s="34" t="s">
        <v>3682</v>
      </c>
      <c r="J1362" s="36">
        <v>289.85000000000002</v>
      </c>
      <c r="K1362" t="s">
        <v>2030</v>
      </c>
    </row>
    <row r="1363" spans="1:11" x14ac:dyDescent="0.3">
      <c r="A1363" t="s">
        <v>1550</v>
      </c>
      <c r="B1363" s="33">
        <v>43257</v>
      </c>
      <c r="C1363" s="34" t="s">
        <v>3683</v>
      </c>
      <c r="D1363" s="34">
        <v>1</v>
      </c>
      <c r="E1363" s="35" t="s">
        <v>3684</v>
      </c>
      <c r="F1363" s="35" t="s">
        <v>12</v>
      </c>
      <c r="G1363" s="106">
        <v>4507176653</v>
      </c>
      <c r="H1363" s="33">
        <v>43221</v>
      </c>
      <c r="I1363" s="34" t="s">
        <v>3685</v>
      </c>
      <c r="J1363" s="36">
        <v>178.25</v>
      </c>
      <c r="K1363" t="s">
        <v>2030</v>
      </c>
    </row>
    <row r="1364" spans="1:11" x14ac:dyDescent="0.3">
      <c r="A1364" t="s">
        <v>1550</v>
      </c>
      <c r="B1364" s="33">
        <v>43257</v>
      </c>
      <c r="C1364" s="34" t="s">
        <v>3683</v>
      </c>
      <c r="D1364" s="34">
        <v>1</v>
      </c>
      <c r="E1364" s="35" t="s">
        <v>3684</v>
      </c>
      <c r="F1364" s="35" t="s">
        <v>6</v>
      </c>
      <c r="G1364" s="106">
        <v>4507086124</v>
      </c>
      <c r="H1364" s="33">
        <v>43221</v>
      </c>
      <c r="I1364" s="34" t="s">
        <v>3686</v>
      </c>
      <c r="J1364" s="36">
        <v>178.25</v>
      </c>
      <c r="K1364" t="s">
        <v>2030</v>
      </c>
    </row>
    <row r="1365" spans="1:11" x14ac:dyDescent="0.3">
      <c r="A1365" t="s">
        <v>1550</v>
      </c>
      <c r="B1365" s="33">
        <v>43257</v>
      </c>
      <c r="C1365" s="34" t="s">
        <v>3683</v>
      </c>
      <c r="D1365" s="34">
        <v>1</v>
      </c>
      <c r="E1365" s="35" t="s">
        <v>3684</v>
      </c>
      <c r="F1365" s="35" t="s">
        <v>10</v>
      </c>
      <c r="G1365" s="106">
        <v>4507153319</v>
      </c>
      <c r="H1365" s="33">
        <v>43221</v>
      </c>
      <c r="I1365" s="34" t="s">
        <v>3687</v>
      </c>
      <c r="J1365" s="36">
        <v>178.25</v>
      </c>
      <c r="K1365" t="s">
        <v>2030</v>
      </c>
    </row>
    <row r="1366" spans="1:11" x14ac:dyDescent="0.3">
      <c r="A1366" t="s">
        <v>1550</v>
      </c>
      <c r="B1366" s="33">
        <v>43257</v>
      </c>
      <c r="C1366" s="34" t="s">
        <v>3683</v>
      </c>
      <c r="D1366" s="34">
        <v>1</v>
      </c>
      <c r="E1366" s="35" t="s">
        <v>3684</v>
      </c>
      <c r="F1366" s="35" t="s">
        <v>13</v>
      </c>
      <c r="G1366" s="106">
        <v>4507176653</v>
      </c>
      <c r="H1366" s="33">
        <v>43221</v>
      </c>
      <c r="I1366" s="34" t="s">
        <v>3688</v>
      </c>
      <c r="J1366" s="36">
        <v>178.25</v>
      </c>
      <c r="K1366" t="s">
        <v>2030</v>
      </c>
    </row>
    <row r="1367" spans="1:11" x14ac:dyDescent="0.3">
      <c r="A1367" t="s">
        <v>1550</v>
      </c>
      <c r="B1367" s="33">
        <v>43257</v>
      </c>
      <c r="C1367" s="34" t="s">
        <v>3683</v>
      </c>
      <c r="D1367" s="34">
        <v>1</v>
      </c>
      <c r="E1367" s="35" t="s">
        <v>3684</v>
      </c>
      <c r="F1367" s="35" t="s">
        <v>9</v>
      </c>
      <c r="G1367" s="106">
        <v>4507173981</v>
      </c>
      <c r="H1367" s="33">
        <v>43221</v>
      </c>
      <c r="I1367" s="34" t="s">
        <v>3689</v>
      </c>
      <c r="J1367" s="36">
        <v>178.25</v>
      </c>
      <c r="K1367" t="s">
        <v>2030</v>
      </c>
    </row>
    <row r="1368" spans="1:11" x14ac:dyDescent="0.3">
      <c r="A1368" t="s">
        <v>1550</v>
      </c>
      <c r="B1368" s="33">
        <v>43257</v>
      </c>
      <c r="C1368" s="34" t="s">
        <v>3683</v>
      </c>
      <c r="D1368" s="34">
        <v>1</v>
      </c>
      <c r="E1368" s="35" t="s">
        <v>3684</v>
      </c>
      <c r="F1368" s="35" t="s">
        <v>11</v>
      </c>
      <c r="G1368" s="106">
        <v>4507153319</v>
      </c>
      <c r="H1368" s="33">
        <v>43221</v>
      </c>
      <c r="I1368" s="34" t="s">
        <v>3690</v>
      </c>
      <c r="J1368" s="36">
        <v>178.25</v>
      </c>
      <c r="K1368" t="s">
        <v>2030</v>
      </c>
    </row>
    <row r="1369" spans="1:11" x14ac:dyDescent="0.3">
      <c r="A1369" t="s">
        <v>1550</v>
      </c>
      <c r="B1369" s="33">
        <v>43257</v>
      </c>
      <c r="C1369" s="34" t="s">
        <v>3683</v>
      </c>
      <c r="D1369" s="34">
        <v>1</v>
      </c>
      <c r="E1369" s="35" t="s">
        <v>3684</v>
      </c>
      <c r="F1369" s="35" t="s">
        <v>7</v>
      </c>
      <c r="G1369" s="106">
        <v>4507078882</v>
      </c>
      <c r="H1369" s="33">
        <v>43221</v>
      </c>
      <c r="I1369" s="34" t="s">
        <v>3691</v>
      </c>
      <c r="J1369" s="36">
        <v>178.25</v>
      </c>
      <c r="K1369" t="s">
        <v>2030</v>
      </c>
    </row>
    <row r="1370" spans="1:11" x14ac:dyDescent="0.3">
      <c r="A1370" t="s">
        <v>1550</v>
      </c>
      <c r="B1370" s="33">
        <v>43257</v>
      </c>
      <c r="C1370" s="34" t="s">
        <v>3683</v>
      </c>
      <c r="D1370" s="34">
        <v>1</v>
      </c>
      <c r="E1370" s="35" t="s">
        <v>3684</v>
      </c>
      <c r="F1370" s="35" t="s">
        <v>8</v>
      </c>
      <c r="G1370" s="106">
        <v>4507173981</v>
      </c>
      <c r="H1370" s="33">
        <v>43221</v>
      </c>
      <c r="I1370" s="34" t="s">
        <v>3692</v>
      </c>
      <c r="J1370" s="36">
        <v>232.5</v>
      </c>
      <c r="K1370" t="s">
        <v>2030</v>
      </c>
    </row>
    <row r="1371" spans="1:11" x14ac:dyDescent="0.3">
      <c r="A1371" t="s">
        <v>818</v>
      </c>
      <c r="B1371" s="33">
        <v>43262</v>
      </c>
      <c r="C1371" s="76">
        <v>13808000597071</v>
      </c>
      <c r="D1371" s="34">
        <v>2000</v>
      </c>
      <c r="E1371" s="35" t="s">
        <v>3706</v>
      </c>
      <c r="F1371" s="35" t="s">
        <v>148</v>
      </c>
      <c r="G1371" s="106">
        <v>4506743066</v>
      </c>
      <c r="H1371" s="33">
        <v>43132</v>
      </c>
      <c r="I1371" s="34">
        <v>1700128051</v>
      </c>
      <c r="J1371" s="36">
        <v>130.9</v>
      </c>
      <c r="K1371" t="s">
        <v>2030</v>
      </c>
    </row>
    <row r="1372" spans="1:11" x14ac:dyDescent="0.3">
      <c r="A1372" t="s">
        <v>818</v>
      </c>
      <c r="B1372" s="33">
        <v>43262</v>
      </c>
      <c r="C1372" s="76">
        <v>13808000597071</v>
      </c>
      <c r="D1372" s="34">
        <v>2000</v>
      </c>
      <c r="E1372" s="35" t="s">
        <v>3706</v>
      </c>
      <c r="F1372" s="35" t="s">
        <v>328</v>
      </c>
      <c r="G1372" s="106">
        <v>4506793056</v>
      </c>
      <c r="H1372" s="33">
        <v>43132</v>
      </c>
      <c r="I1372" s="34">
        <v>1700128050</v>
      </c>
      <c r="J1372" s="36">
        <v>65.45</v>
      </c>
      <c r="K1372" t="s">
        <v>2030</v>
      </c>
    </row>
    <row r="1373" spans="1:11" x14ac:dyDescent="0.3">
      <c r="A1373" t="s">
        <v>818</v>
      </c>
      <c r="B1373" s="33">
        <v>43262</v>
      </c>
      <c r="C1373" s="76">
        <v>13808000597071</v>
      </c>
      <c r="D1373" s="34">
        <v>2000</v>
      </c>
      <c r="E1373" s="35" t="s">
        <v>3706</v>
      </c>
      <c r="F1373" s="35" t="s">
        <v>307</v>
      </c>
      <c r="G1373" s="106">
        <v>4506771958</v>
      </c>
      <c r="H1373" s="33">
        <v>43132</v>
      </c>
      <c r="I1373" s="34">
        <v>1700128049</v>
      </c>
      <c r="J1373" s="36">
        <v>140.25</v>
      </c>
      <c r="K1373" t="s">
        <v>2030</v>
      </c>
    </row>
    <row r="1374" spans="1:11" x14ac:dyDescent="0.3">
      <c r="A1374" t="s">
        <v>818</v>
      </c>
      <c r="B1374" s="33">
        <v>43262</v>
      </c>
      <c r="C1374" s="76">
        <v>13808000597071</v>
      </c>
      <c r="D1374" s="34">
        <v>2000</v>
      </c>
      <c r="E1374" s="35" t="s">
        <v>3706</v>
      </c>
      <c r="F1374" s="35" t="s">
        <v>297</v>
      </c>
      <c r="G1374" s="106">
        <v>4506743066</v>
      </c>
      <c r="H1374" s="33">
        <v>43132</v>
      </c>
      <c r="I1374" s="34">
        <v>1700128048</v>
      </c>
      <c r="J1374" s="36">
        <v>149.6</v>
      </c>
      <c r="K1374" t="s">
        <v>2030</v>
      </c>
    </row>
    <row r="1375" spans="1:11" x14ac:dyDescent="0.3">
      <c r="A1375" t="s">
        <v>818</v>
      </c>
      <c r="B1375" s="33">
        <v>43262</v>
      </c>
      <c r="C1375" s="76">
        <v>13808000597071</v>
      </c>
      <c r="D1375" s="34">
        <v>2000</v>
      </c>
      <c r="E1375" s="35" t="s">
        <v>3706</v>
      </c>
      <c r="F1375" s="35" t="s">
        <v>329</v>
      </c>
      <c r="G1375" s="106">
        <v>4506793056</v>
      </c>
      <c r="H1375" s="33">
        <v>43132</v>
      </c>
      <c r="I1375" s="34">
        <v>1700128047</v>
      </c>
      <c r="J1375" s="36">
        <v>65.45</v>
      </c>
      <c r="K1375" t="s">
        <v>2030</v>
      </c>
    </row>
    <row r="1376" spans="1:11" x14ac:dyDescent="0.3">
      <c r="A1376" t="s">
        <v>818</v>
      </c>
      <c r="B1376" s="33">
        <v>43262</v>
      </c>
      <c r="C1376" s="76">
        <v>13808000597073</v>
      </c>
      <c r="D1376" s="34">
        <v>1</v>
      </c>
      <c r="E1376" s="35" t="s">
        <v>3706</v>
      </c>
      <c r="F1376" s="35" t="s">
        <v>333</v>
      </c>
      <c r="G1376" s="106">
        <v>4506792943</v>
      </c>
      <c r="H1376" s="33">
        <v>43132</v>
      </c>
      <c r="I1376" s="34">
        <v>1700585098</v>
      </c>
      <c r="J1376" s="36">
        <v>102.85</v>
      </c>
      <c r="K1376" t="s">
        <v>2030</v>
      </c>
    </row>
    <row r="1377" spans="1:11" x14ac:dyDescent="0.3">
      <c r="A1377" t="s">
        <v>818</v>
      </c>
      <c r="B1377" s="33">
        <v>43262</v>
      </c>
      <c r="C1377" s="76">
        <v>13808000597073</v>
      </c>
      <c r="D1377" s="34">
        <v>1</v>
      </c>
      <c r="E1377" s="35" t="s">
        <v>3706</v>
      </c>
      <c r="F1377" s="35" t="s">
        <v>325</v>
      </c>
      <c r="G1377" s="106">
        <v>4506772510</v>
      </c>
      <c r="H1377" s="33">
        <v>43132</v>
      </c>
      <c r="I1377" s="34">
        <v>1700585095</v>
      </c>
      <c r="J1377" s="36">
        <v>140.25</v>
      </c>
      <c r="K1377" t="s">
        <v>2030</v>
      </c>
    </row>
    <row r="1378" spans="1:11" x14ac:dyDescent="0.3">
      <c r="A1378" t="s">
        <v>818</v>
      </c>
      <c r="B1378" s="33">
        <v>43262</v>
      </c>
      <c r="C1378" s="76">
        <v>13808000597073</v>
      </c>
      <c r="D1378" s="34">
        <v>1</v>
      </c>
      <c r="E1378" s="35" t="s">
        <v>3706</v>
      </c>
      <c r="F1378" s="35" t="s">
        <v>334</v>
      </c>
      <c r="G1378" s="106">
        <v>4506838369</v>
      </c>
      <c r="H1378" s="33">
        <v>43132</v>
      </c>
      <c r="I1378" s="34">
        <v>1700585101</v>
      </c>
      <c r="J1378" s="36">
        <v>93.5</v>
      </c>
      <c r="K1378" t="s">
        <v>2030</v>
      </c>
    </row>
    <row r="1379" spans="1:11" x14ac:dyDescent="0.3">
      <c r="A1379" t="s">
        <v>818</v>
      </c>
      <c r="B1379" s="33">
        <v>43262</v>
      </c>
      <c r="C1379" s="76">
        <v>13808000597073</v>
      </c>
      <c r="D1379" s="34">
        <v>1</v>
      </c>
      <c r="E1379" s="35" t="s">
        <v>3706</v>
      </c>
      <c r="F1379" s="35" t="s">
        <v>335</v>
      </c>
      <c r="G1379" s="106">
        <v>4506793083</v>
      </c>
      <c r="H1379" s="33">
        <v>43132</v>
      </c>
      <c r="I1379" s="34">
        <v>1700585103</v>
      </c>
      <c r="J1379" s="36">
        <v>102.85</v>
      </c>
      <c r="K1379" t="s">
        <v>2030</v>
      </c>
    </row>
    <row r="1380" spans="1:11" x14ac:dyDescent="0.3">
      <c r="A1380" t="s">
        <v>818</v>
      </c>
      <c r="B1380" s="33">
        <v>43262</v>
      </c>
      <c r="C1380" s="76">
        <v>13808000597073</v>
      </c>
      <c r="D1380" s="34">
        <v>1</v>
      </c>
      <c r="E1380" s="35" t="s">
        <v>3706</v>
      </c>
      <c r="F1380" s="35" t="s">
        <v>330</v>
      </c>
      <c r="G1380" s="106">
        <v>4506804081</v>
      </c>
      <c r="H1380" s="33">
        <v>43132</v>
      </c>
      <c r="I1380" s="34">
        <v>1700585105</v>
      </c>
      <c r="J1380" s="36">
        <v>102.85</v>
      </c>
      <c r="K1380" t="s">
        <v>2030</v>
      </c>
    </row>
    <row r="1381" spans="1:11" x14ac:dyDescent="0.3">
      <c r="A1381" t="s">
        <v>818</v>
      </c>
      <c r="B1381" s="33">
        <v>43262</v>
      </c>
      <c r="C1381" s="76">
        <v>13808000597073</v>
      </c>
      <c r="D1381" s="34">
        <v>1</v>
      </c>
      <c r="E1381" s="35" t="s">
        <v>3706</v>
      </c>
      <c r="F1381" s="35" t="s">
        <v>321</v>
      </c>
      <c r="G1381" s="106">
        <v>4506766772</v>
      </c>
      <c r="H1381" s="33">
        <v>43132</v>
      </c>
      <c r="I1381" s="34">
        <v>1700585094</v>
      </c>
      <c r="J1381" s="36">
        <v>158.94999999999999</v>
      </c>
      <c r="K1381" t="s">
        <v>2030</v>
      </c>
    </row>
    <row r="1382" spans="1:11" x14ac:dyDescent="0.3">
      <c r="A1382" t="s">
        <v>818</v>
      </c>
      <c r="B1382" s="33">
        <v>43262</v>
      </c>
      <c r="C1382" s="76">
        <v>13808000597073</v>
      </c>
      <c r="D1382" s="34">
        <v>1</v>
      </c>
      <c r="E1382" s="35" t="s">
        <v>3706</v>
      </c>
      <c r="F1382" s="35" t="s">
        <v>324</v>
      </c>
      <c r="G1382" s="106">
        <v>4506793083</v>
      </c>
      <c r="H1382" s="33">
        <v>43132</v>
      </c>
      <c r="I1382" s="34">
        <v>1700585093</v>
      </c>
      <c r="J1382" s="36">
        <v>65.45</v>
      </c>
      <c r="K1382" t="s">
        <v>2030</v>
      </c>
    </row>
    <row r="1383" spans="1:11" x14ac:dyDescent="0.3">
      <c r="A1383" t="s">
        <v>818</v>
      </c>
      <c r="B1383" s="33">
        <v>43262</v>
      </c>
      <c r="C1383" s="76">
        <v>13808000597073</v>
      </c>
      <c r="D1383" s="34">
        <v>1</v>
      </c>
      <c r="E1383" s="35" t="s">
        <v>3706</v>
      </c>
      <c r="F1383" s="35" t="s">
        <v>318</v>
      </c>
      <c r="G1383" s="106">
        <v>4506792943</v>
      </c>
      <c r="H1383" s="33">
        <v>43132</v>
      </c>
      <c r="I1383" s="34">
        <v>1700585092</v>
      </c>
      <c r="J1383" s="36">
        <v>102.85</v>
      </c>
      <c r="K1383" t="s">
        <v>2030</v>
      </c>
    </row>
    <row r="1384" spans="1:11" x14ac:dyDescent="0.3">
      <c r="A1384" t="s">
        <v>818</v>
      </c>
      <c r="B1384" s="33">
        <v>43262</v>
      </c>
      <c r="C1384" s="76">
        <v>13808000597073</v>
      </c>
      <c r="D1384" s="34">
        <v>1</v>
      </c>
      <c r="E1384" s="35" t="s">
        <v>3706</v>
      </c>
      <c r="F1384" s="35" t="s">
        <v>150</v>
      </c>
      <c r="G1384" s="106">
        <v>4506733686</v>
      </c>
      <c r="H1384" s="33">
        <v>43132</v>
      </c>
      <c r="I1384" s="34">
        <v>1700585090</v>
      </c>
      <c r="J1384" s="36">
        <v>130.9</v>
      </c>
      <c r="K1384" t="s">
        <v>2030</v>
      </c>
    </row>
    <row r="1385" spans="1:11" x14ac:dyDescent="0.3">
      <c r="A1385" t="s">
        <v>818</v>
      </c>
      <c r="B1385" s="33">
        <v>43262</v>
      </c>
      <c r="C1385" s="76">
        <v>13808000597073</v>
      </c>
      <c r="D1385" s="34">
        <v>1</v>
      </c>
      <c r="E1385" s="35" t="s">
        <v>3706</v>
      </c>
      <c r="F1385" s="35" t="s">
        <v>322</v>
      </c>
      <c r="G1385" s="106">
        <v>4506772510</v>
      </c>
      <c r="H1385" s="33">
        <v>43132</v>
      </c>
      <c r="I1385" s="34">
        <v>1700585089</v>
      </c>
      <c r="J1385" s="36">
        <v>168.3</v>
      </c>
      <c r="K1385" t="s">
        <v>2030</v>
      </c>
    </row>
    <row r="1386" spans="1:11" x14ac:dyDescent="0.3">
      <c r="A1386" t="s">
        <v>818</v>
      </c>
      <c r="B1386" s="33">
        <v>43262</v>
      </c>
      <c r="C1386" s="76">
        <v>13808000597073</v>
      </c>
      <c r="D1386" s="34">
        <v>1</v>
      </c>
      <c r="E1386" s="35" t="s">
        <v>3706</v>
      </c>
      <c r="F1386" s="35" t="s">
        <v>337</v>
      </c>
      <c r="G1386" s="106">
        <v>4506804102</v>
      </c>
      <c r="H1386" s="33">
        <v>43132</v>
      </c>
      <c r="I1386" s="34">
        <v>1700585106</v>
      </c>
      <c r="J1386" s="36">
        <v>84.15</v>
      </c>
      <c r="K1386" t="s">
        <v>2030</v>
      </c>
    </row>
    <row r="1387" spans="1:11" x14ac:dyDescent="0.3">
      <c r="A1387" t="s">
        <v>818</v>
      </c>
      <c r="B1387" s="33">
        <v>43262</v>
      </c>
      <c r="C1387" s="76">
        <v>13808000597073</v>
      </c>
      <c r="D1387" s="34">
        <v>1</v>
      </c>
      <c r="E1387" s="35" t="s">
        <v>3706</v>
      </c>
      <c r="F1387" s="35" t="s">
        <v>331</v>
      </c>
      <c r="G1387" s="106">
        <v>4506792943</v>
      </c>
      <c r="H1387" s="33">
        <v>43132</v>
      </c>
      <c r="I1387" s="34">
        <v>1700585107</v>
      </c>
      <c r="J1387" s="36">
        <v>102.85</v>
      </c>
      <c r="K1387" t="s">
        <v>2030</v>
      </c>
    </row>
    <row r="1388" spans="1:11" x14ac:dyDescent="0.3">
      <c r="A1388" t="s">
        <v>818</v>
      </c>
      <c r="B1388" s="33">
        <v>43262</v>
      </c>
      <c r="C1388" s="76">
        <v>13808000597073</v>
      </c>
      <c r="D1388" s="34">
        <v>1</v>
      </c>
      <c r="E1388" s="35" t="s">
        <v>3706</v>
      </c>
      <c r="F1388" s="35" t="s">
        <v>300</v>
      </c>
      <c r="G1388" s="106">
        <v>4506739377</v>
      </c>
      <c r="H1388" s="33">
        <v>43132</v>
      </c>
      <c r="I1388" s="34">
        <v>1700585115</v>
      </c>
      <c r="J1388" s="36">
        <v>196.35</v>
      </c>
      <c r="K1388" t="s">
        <v>2030</v>
      </c>
    </row>
    <row r="1389" spans="1:11" x14ac:dyDescent="0.3">
      <c r="A1389" t="s">
        <v>818</v>
      </c>
      <c r="B1389" s="33">
        <v>43262</v>
      </c>
      <c r="C1389" s="76">
        <v>13808000597073</v>
      </c>
      <c r="D1389" s="34">
        <v>1</v>
      </c>
      <c r="E1389" s="35" t="s">
        <v>3706</v>
      </c>
      <c r="F1389" s="35" t="s">
        <v>304</v>
      </c>
      <c r="G1389" s="106">
        <v>4506764367</v>
      </c>
      <c r="H1389" s="33">
        <v>43132</v>
      </c>
      <c r="I1389" s="34">
        <v>1700585120</v>
      </c>
      <c r="J1389" s="36">
        <v>168.3</v>
      </c>
      <c r="K1389" t="s">
        <v>2030</v>
      </c>
    </row>
    <row r="1390" spans="1:11" x14ac:dyDescent="0.3">
      <c r="A1390" t="s">
        <v>818</v>
      </c>
      <c r="B1390" s="33">
        <v>43262</v>
      </c>
      <c r="C1390" s="76">
        <v>13808000597073</v>
      </c>
      <c r="D1390" s="34">
        <v>1</v>
      </c>
      <c r="E1390" s="35" t="s">
        <v>3706</v>
      </c>
      <c r="F1390" s="35" t="s">
        <v>309</v>
      </c>
      <c r="G1390" s="106">
        <v>4506764367</v>
      </c>
      <c r="H1390" s="33">
        <v>43132</v>
      </c>
      <c r="I1390" s="34">
        <v>1700585126</v>
      </c>
      <c r="J1390" s="36">
        <v>121.55</v>
      </c>
      <c r="K1390" t="s">
        <v>2030</v>
      </c>
    </row>
    <row r="1391" spans="1:11" x14ac:dyDescent="0.3">
      <c r="A1391" t="s">
        <v>818</v>
      </c>
      <c r="B1391" s="33">
        <v>43262</v>
      </c>
      <c r="C1391" s="76">
        <v>13808000597073</v>
      </c>
      <c r="D1391" s="34">
        <v>1</v>
      </c>
      <c r="E1391" s="35" t="s">
        <v>3706</v>
      </c>
      <c r="F1391" s="35" t="s">
        <v>315</v>
      </c>
      <c r="G1391" s="106">
        <v>4506766589</v>
      </c>
      <c r="H1391" s="33">
        <v>43132</v>
      </c>
      <c r="I1391" s="34">
        <v>1700585128</v>
      </c>
      <c r="J1391" s="36">
        <v>130.9</v>
      </c>
      <c r="K1391" t="s">
        <v>2030</v>
      </c>
    </row>
    <row r="1392" spans="1:11" x14ac:dyDescent="0.3">
      <c r="A1392" t="s">
        <v>818</v>
      </c>
      <c r="B1392" s="33">
        <v>43262</v>
      </c>
      <c r="C1392" s="76">
        <v>13808000597073</v>
      </c>
      <c r="D1392" s="34">
        <v>1</v>
      </c>
      <c r="E1392" s="35" t="s">
        <v>3706</v>
      </c>
      <c r="F1392" s="35" t="s">
        <v>317</v>
      </c>
      <c r="G1392" s="106">
        <v>4506792943</v>
      </c>
      <c r="H1392" s="33">
        <v>43132</v>
      </c>
      <c r="I1392" s="34">
        <v>1700585129</v>
      </c>
      <c r="J1392" s="36">
        <v>102.85</v>
      </c>
      <c r="K1392" t="s">
        <v>2030</v>
      </c>
    </row>
    <row r="1393" spans="1:11" x14ac:dyDescent="0.3">
      <c r="A1393" t="s">
        <v>818</v>
      </c>
      <c r="B1393" s="33">
        <v>43262</v>
      </c>
      <c r="C1393" s="76">
        <v>13808000597073</v>
      </c>
      <c r="D1393" s="34">
        <v>1</v>
      </c>
      <c r="E1393" s="35" t="s">
        <v>3706</v>
      </c>
      <c r="F1393" s="35" t="s">
        <v>319</v>
      </c>
      <c r="G1393" s="106">
        <v>4506794686</v>
      </c>
      <c r="H1393" s="33">
        <v>43132</v>
      </c>
      <c r="I1393" s="34">
        <v>1700585131</v>
      </c>
      <c r="J1393" s="36">
        <v>140.25</v>
      </c>
      <c r="K1393" t="s">
        <v>2030</v>
      </c>
    </row>
    <row r="1394" spans="1:11" x14ac:dyDescent="0.3">
      <c r="A1394" t="s">
        <v>818</v>
      </c>
      <c r="B1394" s="33">
        <v>43262</v>
      </c>
      <c r="C1394" s="76">
        <v>13808000597073</v>
      </c>
      <c r="D1394" s="34">
        <v>1</v>
      </c>
      <c r="E1394" s="35" t="s">
        <v>3706</v>
      </c>
      <c r="F1394" s="35" t="s">
        <v>323</v>
      </c>
      <c r="G1394" s="106">
        <v>4506793083</v>
      </c>
      <c r="H1394" s="33">
        <v>43132</v>
      </c>
      <c r="I1394" s="34">
        <v>1700585135</v>
      </c>
      <c r="J1394" s="36">
        <v>65.45</v>
      </c>
      <c r="K1394" t="s">
        <v>2030</v>
      </c>
    </row>
    <row r="1395" spans="1:11" x14ac:dyDescent="0.3">
      <c r="A1395" t="s">
        <v>818</v>
      </c>
      <c r="B1395" s="33">
        <v>43262</v>
      </c>
      <c r="C1395" s="76">
        <v>13808000597073</v>
      </c>
      <c r="D1395" s="34">
        <v>1</v>
      </c>
      <c r="E1395" s="35" t="s">
        <v>3706</v>
      </c>
      <c r="F1395" s="35" t="s">
        <v>326</v>
      </c>
      <c r="G1395" s="106">
        <v>4506772510</v>
      </c>
      <c r="H1395" s="33">
        <v>43132</v>
      </c>
      <c r="I1395" s="34">
        <v>1700585136</v>
      </c>
      <c r="J1395" s="36">
        <v>158.94999999999999</v>
      </c>
      <c r="K1395" t="s">
        <v>2030</v>
      </c>
    </row>
    <row r="1396" spans="1:11" x14ac:dyDescent="0.3">
      <c r="A1396" t="s">
        <v>818</v>
      </c>
      <c r="B1396" s="33">
        <v>43262</v>
      </c>
      <c r="C1396" s="76">
        <v>13808000597073</v>
      </c>
      <c r="D1396" s="34">
        <v>1</v>
      </c>
      <c r="E1396" s="35" t="s">
        <v>3706</v>
      </c>
      <c r="F1396" s="35" t="s">
        <v>320</v>
      </c>
      <c r="G1396" s="106">
        <v>4506764129</v>
      </c>
      <c r="H1396" s="33">
        <v>43132</v>
      </c>
      <c r="I1396" s="34">
        <v>1700585087</v>
      </c>
      <c r="J1396" s="36">
        <v>149.6</v>
      </c>
      <c r="K1396" t="s">
        <v>2030</v>
      </c>
    </row>
    <row r="1397" spans="1:11" x14ac:dyDescent="0.3">
      <c r="A1397" t="s">
        <v>818</v>
      </c>
      <c r="B1397" s="33">
        <v>43262</v>
      </c>
      <c r="C1397" s="76">
        <v>13808000597073</v>
      </c>
      <c r="D1397" s="34">
        <v>1</v>
      </c>
      <c r="E1397" s="35" t="s">
        <v>3706</v>
      </c>
      <c r="F1397" s="35" t="s">
        <v>308</v>
      </c>
      <c r="G1397" s="106">
        <v>4506794686</v>
      </c>
      <c r="H1397" s="33">
        <v>43132</v>
      </c>
      <c r="I1397" s="34">
        <v>1700585085</v>
      </c>
      <c r="J1397" s="36">
        <v>158.94999999999999</v>
      </c>
      <c r="K1397" t="s">
        <v>2030</v>
      </c>
    </row>
    <row r="1398" spans="1:11" x14ac:dyDescent="0.3">
      <c r="A1398" t="s">
        <v>818</v>
      </c>
      <c r="B1398" s="33">
        <v>43262</v>
      </c>
      <c r="C1398" s="76">
        <v>13808000597073</v>
      </c>
      <c r="D1398" s="34">
        <v>1</v>
      </c>
      <c r="E1398" s="35" t="s">
        <v>3706</v>
      </c>
      <c r="F1398" s="35" t="s">
        <v>316</v>
      </c>
      <c r="G1398" s="106">
        <v>4506792943</v>
      </c>
      <c r="H1398" s="33">
        <v>43132</v>
      </c>
      <c r="I1398" s="34">
        <v>1700585084</v>
      </c>
      <c r="J1398" s="36">
        <v>102.85</v>
      </c>
      <c r="K1398" t="s">
        <v>2030</v>
      </c>
    </row>
    <row r="1399" spans="1:11" x14ac:dyDescent="0.3">
      <c r="A1399" t="s">
        <v>818</v>
      </c>
      <c r="B1399" s="33">
        <v>43262</v>
      </c>
      <c r="C1399" s="76">
        <v>13808000597073</v>
      </c>
      <c r="D1399" s="34">
        <v>1</v>
      </c>
      <c r="E1399" s="35" t="s">
        <v>3706</v>
      </c>
      <c r="F1399" s="35" t="s">
        <v>143</v>
      </c>
      <c r="G1399" s="106">
        <v>4506742839</v>
      </c>
      <c r="H1399" s="33">
        <v>43132</v>
      </c>
      <c r="I1399" s="34">
        <v>1700585083</v>
      </c>
      <c r="J1399" s="36">
        <v>196.35</v>
      </c>
      <c r="K1399" t="s">
        <v>2030</v>
      </c>
    </row>
    <row r="1400" spans="1:11" x14ac:dyDescent="0.3">
      <c r="A1400" t="s">
        <v>818</v>
      </c>
      <c r="B1400" s="33">
        <v>43262</v>
      </c>
      <c r="C1400" s="76">
        <v>13808000597073</v>
      </c>
      <c r="D1400" s="34">
        <v>1</v>
      </c>
      <c r="E1400" s="35" t="s">
        <v>3706</v>
      </c>
      <c r="F1400" s="35" t="s">
        <v>313</v>
      </c>
      <c r="G1400" s="106">
        <v>4506766589</v>
      </c>
      <c r="H1400" s="33">
        <v>43132</v>
      </c>
      <c r="I1400" s="34">
        <v>1700585082</v>
      </c>
      <c r="J1400" s="36">
        <v>149.6</v>
      </c>
      <c r="K1400" t="s">
        <v>2030</v>
      </c>
    </row>
    <row r="1401" spans="1:11" x14ac:dyDescent="0.3">
      <c r="A1401" t="s">
        <v>818</v>
      </c>
      <c r="B1401" s="33">
        <v>43262</v>
      </c>
      <c r="C1401" s="76">
        <v>13808000597073</v>
      </c>
      <c r="D1401" s="34">
        <v>1</v>
      </c>
      <c r="E1401" s="35" t="s">
        <v>3706</v>
      </c>
      <c r="F1401" s="35" t="s">
        <v>311</v>
      </c>
      <c r="G1401" s="106">
        <v>4506767050</v>
      </c>
      <c r="H1401" s="33">
        <v>43132</v>
      </c>
      <c r="I1401" s="34">
        <v>1700585080</v>
      </c>
      <c r="J1401" s="36">
        <v>158.94999999999999</v>
      </c>
      <c r="K1401" t="s">
        <v>2030</v>
      </c>
    </row>
    <row r="1402" spans="1:11" x14ac:dyDescent="0.3">
      <c r="A1402" t="s">
        <v>818</v>
      </c>
      <c r="B1402" s="33">
        <v>43262</v>
      </c>
      <c r="C1402" s="76">
        <v>13808000597073</v>
      </c>
      <c r="D1402" s="34">
        <v>1</v>
      </c>
      <c r="E1402" s="35" t="s">
        <v>3706</v>
      </c>
      <c r="F1402" s="35" t="s">
        <v>312</v>
      </c>
      <c r="G1402" s="106">
        <v>4506766589</v>
      </c>
      <c r="H1402" s="33">
        <v>43132</v>
      </c>
      <c r="I1402" s="34">
        <v>1700585078</v>
      </c>
      <c r="J1402" s="36">
        <v>149.6</v>
      </c>
      <c r="K1402" t="s">
        <v>2030</v>
      </c>
    </row>
    <row r="1403" spans="1:11" x14ac:dyDescent="0.3">
      <c r="A1403" t="s">
        <v>818</v>
      </c>
      <c r="B1403" s="33">
        <v>43262</v>
      </c>
      <c r="C1403" s="76">
        <v>13808000597073</v>
      </c>
      <c r="D1403" s="34">
        <v>1</v>
      </c>
      <c r="E1403" s="35" t="s">
        <v>3706</v>
      </c>
      <c r="F1403" s="35" t="s">
        <v>310</v>
      </c>
      <c r="G1403" s="106">
        <v>4506764367</v>
      </c>
      <c r="H1403" s="33">
        <v>43132</v>
      </c>
      <c r="I1403" s="34">
        <v>1700585077</v>
      </c>
      <c r="J1403" s="36">
        <v>149.6</v>
      </c>
      <c r="K1403" t="s">
        <v>2030</v>
      </c>
    </row>
    <row r="1404" spans="1:11" x14ac:dyDescent="0.3">
      <c r="A1404" t="s">
        <v>818</v>
      </c>
      <c r="B1404" s="33">
        <v>43262</v>
      </c>
      <c r="C1404" s="76">
        <v>13808000597073</v>
      </c>
      <c r="D1404" s="34">
        <v>1</v>
      </c>
      <c r="E1404" s="35" t="s">
        <v>3706</v>
      </c>
      <c r="F1404" s="35" t="s">
        <v>135</v>
      </c>
      <c r="G1404" s="106">
        <v>4506705797</v>
      </c>
      <c r="H1404" s="33">
        <v>43132</v>
      </c>
      <c r="I1404" s="34">
        <v>1700585076</v>
      </c>
      <c r="J1404" s="36">
        <v>271.14999999999998</v>
      </c>
      <c r="K1404" t="s">
        <v>2030</v>
      </c>
    </row>
    <row r="1405" spans="1:11" x14ac:dyDescent="0.3">
      <c r="A1405" t="s">
        <v>818</v>
      </c>
      <c r="B1405" s="33">
        <v>43262</v>
      </c>
      <c r="C1405" s="76">
        <v>13808000597073</v>
      </c>
      <c r="D1405" s="34">
        <v>1</v>
      </c>
      <c r="E1405" s="35" t="s">
        <v>3706</v>
      </c>
      <c r="F1405" s="35" t="s">
        <v>302</v>
      </c>
      <c r="G1405" s="106">
        <v>4506764129</v>
      </c>
      <c r="H1405" s="33">
        <v>43132</v>
      </c>
      <c r="I1405" s="34">
        <v>1700585075</v>
      </c>
      <c r="J1405" s="36">
        <v>158.94999999999999</v>
      </c>
      <c r="K1405" t="s">
        <v>2030</v>
      </c>
    </row>
    <row r="1406" spans="1:11" x14ac:dyDescent="0.3">
      <c r="A1406" t="s">
        <v>818</v>
      </c>
      <c r="B1406" s="33">
        <v>43262</v>
      </c>
      <c r="C1406" s="76">
        <v>13808000597073</v>
      </c>
      <c r="D1406" s="34">
        <v>1</v>
      </c>
      <c r="E1406" s="35" t="s">
        <v>3706</v>
      </c>
      <c r="F1406" s="35" t="s">
        <v>303</v>
      </c>
      <c r="G1406" s="106">
        <v>4506766589</v>
      </c>
      <c r="H1406" s="33">
        <v>43132</v>
      </c>
      <c r="I1406" s="34">
        <v>1700585072</v>
      </c>
      <c r="J1406" s="36">
        <v>149.6</v>
      </c>
      <c r="K1406" t="s">
        <v>2030</v>
      </c>
    </row>
    <row r="1407" spans="1:11" x14ac:dyDescent="0.3">
      <c r="A1407" t="s">
        <v>818</v>
      </c>
      <c r="B1407" s="33">
        <v>43262</v>
      </c>
      <c r="C1407" s="76">
        <v>13808000597073</v>
      </c>
      <c r="D1407" s="34">
        <v>1</v>
      </c>
      <c r="E1407" s="35" t="s">
        <v>3706</v>
      </c>
      <c r="F1407" s="35" t="s">
        <v>127</v>
      </c>
      <c r="G1407" s="106">
        <v>4506705613</v>
      </c>
      <c r="H1407" s="33">
        <v>43132</v>
      </c>
      <c r="I1407" s="34">
        <v>1700585071</v>
      </c>
      <c r="J1407" s="36">
        <v>196.35</v>
      </c>
      <c r="K1407" t="s">
        <v>2030</v>
      </c>
    </row>
    <row r="1408" spans="1:11" x14ac:dyDescent="0.3">
      <c r="A1408" t="s">
        <v>818</v>
      </c>
      <c r="B1408" s="33">
        <v>43262</v>
      </c>
      <c r="C1408" s="76">
        <v>13808000597073</v>
      </c>
      <c r="D1408" s="34">
        <v>1</v>
      </c>
      <c r="E1408" s="35" t="s">
        <v>3706</v>
      </c>
      <c r="F1408" s="35" t="s">
        <v>305</v>
      </c>
      <c r="G1408" s="106">
        <v>4506764367</v>
      </c>
      <c r="H1408" s="33">
        <v>43132</v>
      </c>
      <c r="I1408" s="34">
        <v>1700585070</v>
      </c>
      <c r="J1408" s="36">
        <v>158.94999999999999</v>
      </c>
      <c r="K1408" t="s">
        <v>2030</v>
      </c>
    </row>
    <row r="1409" spans="1:11" x14ac:dyDescent="0.3">
      <c r="A1409" t="s">
        <v>818</v>
      </c>
      <c r="B1409" s="33">
        <v>43262</v>
      </c>
      <c r="C1409" s="76">
        <v>13808000597073</v>
      </c>
      <c r="D1409" s="34">
        <v>1</v>
      </c>
      <c r="E1409" s="35" t="s">
        <v>3706</v>
      </c>
      <c r="F1409" s="35" t="s">
        <v>296</v>
      </c>
      <c r="G1409" s="106">
        <v>4506764129</v>
      </c>
      <c r="H1409" s="33">
        <v>43132</v>
      </c>
      <c r="I1409" s="34">
        <v>1700585066</v>
      </c>
      <c r="J1409" s="36">
        <v>196.35</v>
      </c>
      <c r="K1409" t="s">
        <v>2030</v>
      </c>
    </row>
    <row r="1410" spans="1:11" x14ac:dyDescent="0.3">
      <c r="A1410" t="s">
        <v>818</v>
      </c>
      <c r="B1410" s="33">
        <v>43262</v>
      </c>
      <c r="C1410" s="76">
        <v>13808000597073</v>
      </c>
      <c r="D1410" s="34">
        <v>1</v>
      </c>
      <c r="E1410" s="35" t="s">
        <v>3706</v>
      </c>
      <c r="F1410" s="35" t="s">
        <v>298</v>
      </c>
      <c r="G1410" s="106">
        <v>4506775482</v>
      </c>
      <c r="H1410" s="33">
        <v>43132</v>
      </c>
      <c r="I1410" s="34">
        <v>1700585065</v>
      </c>
      <c r="J1410" s="36">
        <v>149.6</v>
      </c>
      <c r="K1410" t="s">
        <v>2030</v>
      </c>
    </row>
    <row r="1411" spans="1:11" x14ac:dyDescent="0.3">
      <c r="A1411" t="s">
        <v>818</v>
      </c>
      <c r="B1411" s="33">
        <v>43262</v>
      </c>
      <c r="C1411" s="76">
        <v>13808000597073</v>
      </c>
      <c r="D1411" s="34">
        <v>1</v>
      </c>
      <c r="E1411" s="35" t="s">
        <v>3706</v>
      </c>
      <c r="F1411" s="35" t="s">
        <v>299</v>
      </c>
      <c r="G1411" s="106">
        <v>4506739377</v>
      </c>
      <c r="H1411" s="33">
        <v>43132</v>
      </c>
      <c r="I1411" s="34">
        <v>1700585064</v>
      </c>
      <c r="J1411" s="36">
        <v>37.4</v>
      </c>
      <c r="K1411" t="s">
        <v>2030</v>
      </c>
    </row>
    <row r="1412" spans="1:11" x14ac:dyDescent="0.3">
      <c r="A1412" t="s">
        <v>818</v>
      </c>
      <c r="B1412" s="33">
        <v>43262</v>
      </c>
      <c r="C1412" s="76">
        <v>13808000597073</v>
      </c>
      <c r="D1412" s="34">
        <v>1</v>
      </c>
      <c r="E1412" s="35" t="s">
        <v>3706</v>
      </c>
      <c r="F1412" s="35" t="s">
        <v>151</v>
      </c>
      <c r="G1412" s="106">
        <v>4506739183</v>
      </c>
      <c r="H1412" s="33">
        <v>43132</v>
      </c>
      <c r="I1412" s="34">
        <v>1700585057</v>
      </c>
      <c r="J1412" s="36">
        <v>187</v>
      </c>
      <c r="K1412" t="s">
        <v>2030</v>
      </c>
    </row>
    <row r="1413" spans="1:11" x14ac:dyDescent="0.3">
      <c r="A1413" t="s">
        <v>818</v>
      </c>
      <c r="B1413" s="33">
        <v>43262</v>
      </c>
      <c r="C1413" s="76">
        <v>13808000597073</v>
      </c>
      <c r="D1413" s="34">
        <v>1</v>
      </c>
      <c r="E1413" s="35" t="s">
        <v>3706</v>
      </c>
      <c r="F1413" s="35" t="s">
        <v>152</v>
      </c>
      <c r="G1413" s="106">
        <v>4506739377</v>
      </c>
      <c r="H1413" s="33">
        <v>43132</v>
      </c>
      <c r="I1413" s="34">
        <v>1700585055</v>
      </c>
      <c r="J1413" s="36">
        <v>46.75</v>
      </c>
      <c r="K1413" t="s">
        <v>2030</v>
      </c>
    </row>
    <row r="1414" spans="1:11" x14ac:dyDescent="0.3">
      <c r="A1414" t="s">
        <v>818</v>
      </c>
      <c r="B1414" s="33">
        <v>43262</v>
      </c>
      <c r="C1414" s="76">
        <v>13808000597073</v>
      </c>
      <c r="D1414" s="34">
        <v>1</v>
      </c>
      <c r="E1414" s="35" t="s">
        <v>3706</v>
      </c>
      <c r="F1414" s="35" t="s">
        <v>146</v>
      </c>
      <c r="G1414" s="106">
        <v>4506747608</v>
      </c>
      <c r="H1414" s="33">
        <v>43132</v>
      </c>
      <c r="I1414" s="34">
        <v>1700585053</v>
      </c>
      <c r="J1414" s="36">
        <v>121.55</v>
      </c>
      <c r="K1414" t="s">
        <v>2030</v>
      </c>
    </row>
    <row r="1415" spans="1:11" x14ac:dyDescent="0.3">
      <c r="A1415" t="s">
        <v>818</v>
      </c>
      <c r="B1415" s="33">
        <v>43262</v>
      </c>
      <c r="C1415" s="76">
        <v>13808000597073</v>
      </c>
      <c r="D1415" s="34">
        <v>1</v>
      </c>
      <c r="E1415" s="35" t="s">
        <v>3706</v>
      </c>
      <c r="F1415" s="35" t="s">
        <v>145</v>
      </c>
      <c r="G1415" s="106">
        <v>4506733686</v>
      </c>
      <c r="H1415" s="33">
        <v>43132</v>
      </c>
      <c r="I1415" s="34">
        <v>1700585052</v>
      </c>
      <c r="J1415" s="36">
        <v>93.5</v>
      </c>
      <c r="K1415" t="s">
        <v>2030</v>
      </c>
    </row>
    <row r="1416" spans="1:11" x14ac:dyDescent="0.3">
      <c r="A1416" t="s">
        <v>818</v>
      </c>
      <c r="B1416" s="33">
        <v>43262</v>
      </c>
      <c r="C1416" s="76">
        <v>13808000597073</v>
      </c>
      <c r="D1416" s="34">
        <v>1</v>
      </c>
      <c r="E1416" s="35" t="s">
        <v>3706</v>
      </c>
      <c r="F1416" s="35" t="s">
        <v>301</v>
      </c>
      <c r="G1416" s="106">
        <v>4506739377</v>
      </c>
      <c r="H1416" s="33">
        <v>43132</v>
      </c>
      <c r="I1416" s="34">
        <v>1700585320</v>
      </c>
      <c r="J1416" s="36">
        <v>168.3</v>
      </c>
      <c r="K1416" t="s">
        <v>2030</v>
      </c>
    </row>
    <row r="1417" spans="1:11" x14ac:dyDescent="0.3">
      <c r="A1417" t="s">
        <v>818</v>
      </c>
      <c r="B1417" s="33">
        <v>43262</v>
      </c>
      <c r="C1417" s="76">
        <v>13808000597073</v>
      </c>
      <c r="D1417" s="34">
        <v>1</v>
      </c>
      <c r="E1417" s="35" t="s">
        <v>3706</v>
      </c>
      <c r="F1417" s="35" t="s">
        <v>314</v>
      </c>
      <c r="G1417" s="106">
        <v>4506766589</v>
      </c>
      <c r="H1417" s="33">
        <v>43132</v>
      </c>
      <c r="I1417" s="34">
        <v>1700585317</v>
      </c>
      <c r="J1417" s="36">
        <v>130.9</v>
      </c>
      <c r="K1417" t="s">
        <v>2030</v>
      </c>
    </row>
    <row r="1418" spans="1:11" x14ac:dyDescent="0.3">
      <c r="A1418" t="s">
        <v>818</v>
      </c>
      <c r="B1418" s="33">
        <v>43262</v>
      </c>
      <c r="C1418" s="76">
        <v>13808000597073</v>
      </c>
      <c r="D1418" s="34">
        <v>1</v>
      </c>
      <c r="E1418" s="35" t="s">
        <v>3706</v>
      </c>
      <c r="F1418" s="35" t="s">
        <v>130</v>
      </c>
      <c r="G1418" s="106">
        <v>4506705613</v>
      </c>
      <c r="H1418" s="33">
        <v>43132</v>
      </c>
      <c r="I1418" s="34">
        <v>1700585313</v>
      </c>
      <c r="J1418" s="36">
        <v>271.14999999999998</v>
      </c>
      <c r="K1418" t="s">
        <v>2030</v>
      </c>
    </row>
    <row r="1419" spans="1:11" x14ac:dyDescent="0.3">
      <c r="A1419" t="s">
        <v>818</v>
      </c>
      <c r="B1419" s="33">
        <v>43262</v>
      </c>
      <c r="C1419" s="76">
        <v>13808000597073</v>
      </c>
      <c r="D1419" s="34">
        <v>1</v>
      </c>
      <c r="E1419" s="35" t="s">
        <v>3706</v>
      </c>
      <c r="F1419" s="35" t="s">
        <v>131</v>
      </c>
      <c r="G1419" s="106">
        <v>4506705613</v>
      </c>
      <c r="H1419" s="33">
        <v>43132</v>
      </c>
      <c r="I1419" s="34">
        <v>1700585307</v>
      </c>
      <c r="J1419" s="36">
        <v>271.14999999999998</v>
      </c>
      <c r="K1419" t="s">
        <v>2030</v>
      </c>
    </row>
    <row r="1420" spans="1:11" x14ac:dyDescent="0.3">
      <c r="A1420" t="s">
        <v>818</v>
      </c>
      <c r="B1420" s="33">
        <v>43262</v>
      </c>
      <c r="C1420" s="76">
        <v>13808000597073</v>
      </c>
      <c r="D1420" s="34">
        <v>1</v>
      </c>
      <c r="E1420" s="35" t="s">
        <v>3706</v>
      </c>
      <c r="F1420" s="35" t="s">
        <v>129</v>
      </c>
      <c r="G1420" s="106">
        <v>4506705613</v>
      </c>
      <c r="H1420" s="33">
        <v>43132</v>
      </c>
      <c r="I1420" s="34">
        <v>1700585301</v>
      </c>
      <c r="J1420" s="36">
        <v>177.65</v>
      </c>
      <c r="K1420" t="s">
        <v>2030</v>
      </c>
    </row>
    <row r="1421" spans="1:11" x14ac:dyDescent="0.3">
      <c r="A1421" t="s">
        <v>818</v>
      </c>
      <c r="B1421" s="33">
        <v>43262</v>
      </c>
      <c r="C1421" s="76">
        <v>13808000597073</v>
      </c>
      <c r="D1421" s="34">
        <v>1</v>
      </c>
      <c r="E1421" s="35" t="s">
        <v>3706</v>
      </c>
      <c r="F1421" s="35" t="s">
        <v>132</v>
      </c>
      <c r="G1421" s="106">
        <v>4506705613</v>
      </c>
      <c r="H1421" s="33">
        <v>43132</v>
      </c>
      <c r="I1421" s="34">
        <v>1700585295</v>
      </c>
      <c r="J1421" s="36">
        <v>187</v>
      </c>
      <c r="K1421" t="s">
        <v>2030</v>
      </c>
    </row>
    <row r="1422" spans="1:11" x14ac:dyDescent="0.3">
      <c r="A1422" t="s">
        <v>818</v>
      </c>
      <c r="B1422" s="33">
        <v>43262</v>
      </c>
      <c r="C1422" s="76">
        <v>13808000597073</v>
      </c>
      <c r="D1422" s="34">
        <v>1</v>
      </c>
      <c r="E1422" s="35" t="s">
        <v>3706</v>
      </c>
      <c r="F1422" s="35" t="s">
        <v>306</v>
      </c>
      <c r="G1422" s="106">
        <v>4506764367</v>
      </c>
      <c r="H1422" s="33">
        <v>43132</v>
      </c>
      <c r="I1422" s="34">
        <v>1700585278</v>
      </c>
      <c r="J1422" s="36">
        <v>168.3</v>
      </c>
      <c r="K1422" t="s">
        <v>2030</v>
      </c>
    </row>
    <row r="1423" spans="1:11" x14ac:dyDescent="0.3">
      <c r="A1423" t="s">
        <v>818</v>
      </c>
      <c r="B1423" s="33">
        <v>43262</v>
      </c>
      <c r="C1423" s="76">
        <v>13808000597073</v>
      </c>
      <c r="D1423" s="34">
        <v>1</v>
      </c>
      <c r="E1423" s="35" t="s">
        <v>3706</v>
      </c>
      <c r="F1423" s="35" t="s">
        <v>336</v>
      </c>
      <c r="G1423" s="106">
        <v>4506838369</v>
      </c>
      <c r="H1423" s="33">
        <v>43132</v>
      </c>
      <c r="I1423" s="34">
        <v>1700585263</v>
      </c>
      <c r="J1423" s="36">
        <v>93.5</v>
      </c>
      <c r="K1423" t="s">
        <v>2030</v>
      </c>
    </row>
    <row r="1424" spans="1:11" x14ac:dyDescent="0.3">
      <c r="A1424" t="s">
        <v>818</v>
      </c>
      <c r="B1424" s="33">
        <v>43262</v>
      </c>
      <c r="C1424" s="76">
        <v>13808000597073</v>
      </c>
      <c r="D1424" s="34">
        <v>1</v>
      </c>
      <c r="E1424" s="35" t="s">
        <v>3706</v>
      </c>
      <c r="F1424" s="35" t="s">
        <v>332</v>
      </c>
      <c r="G1424" s="106">
        <v>4506792943</v>
      </c>
      <c r="H1424" s="33">
        <v>43132</v>
      </c>
      <c r="I1424" s="34">
        <v>1700585255</v>
      </c>
      <c r="J1424" s="36">
        <v>102.85</v>
      </c>
      <c r="K1424" t="s">
        <v>2030</v>
      </c>
    </row>
    <row r="1425" spans="1:11" x14ac:dyDescent="0.3">
      <c r="A1425" t="s">
        <v>818</v>
      </c>
      <c r="B1425" s="33">
        <v>43262</v>
      </c>
      <c r="C1425" s="76">
        <v>13808000597073</v>
      </c>
      <c r="D1425" s="34">
        <v>1</v>
      </c>
      <c r="E1425" s="35" t="s">
        <v>3706</v>
      </c>
      <c r="F1425" s="35" t="s">
        <v>327</v>
      </c>
      <c r="G1425" s="106">
        <v>4506792943</v>
      </c>
      <c r="H1425" s="33">
        <v>43132</v>
      </c>
      <c r="I1425" s="34">
        <v>1700585138</v>
      </c>
      <c r="J1425" s="36">
        <v>93.5</v>
      </c>
      <c r="K1425" t="s">
        <v>2030</v>
      </c>
    </row>
    <row r="1426" spans="1:11" x14ac:dyDescent="0.3">
      <c r="A1426" t="s">
        <v>818</v>
      </c>
      <c r="B1426" s="33">
        <v>43262</v>
      </c>
      <c r="C1426" s="76">
        <v>13808000597073</v>
      </c>
      <c r="D1426" s="34">
        <v>1</v>
      </c>
      <c r="E1426" s="35" t="s">
        <v>3706</v>
      </c>
      <c r="F1426" s="35" t="s">
        <v>149</v>
      </c>
      <c r="G1426" s="106">
        <v>4506734905</v>
      </c>
      <c r="H1426" s="33">
        <v>43132</v>
      </c>
      <c r="I1426" s="34">
        <v>1700585051</v>
      </c>
      <c r="J1426" s="36">
        <v>205.7</v>
      </c>
      <c r="K1426" t="s">
        <v>2030</v>
      </c>
    </row>
    <row r="1427" spans="1:11" x14ac:dyDescent="0.3">
      <c r="A1427" t="s">
        <v>818</v>
      </c>
      <c r="B1427" s="33">
        <v>43262</v>
      </c>
      <c r="C1427" s="76">
        <v>13808000597073</v>
      </c>
      <c r="D1427" s="34">
        <v>1</v>
      </c>
      <c r="E1427" s="35" t="s">
        <v>3706</v>
      </c>
      <c r="F1427" s="35" t="s">
        <v>147</v>
      </c>
      <c r="G1427" s="106">
        <v>4506766772</v>
      </c>
      <c r="H1427" s="33">
        <v>43132</v>
      </c>
      <c r="I1427" s="34">
        <v>1700585050</v>
      </c>
      <c r="J1427" s="36">
        <v>102.85</v>
      </c>
      <c r="K1427" t="s">
        <v>2030</v>
      </c>
    </row>
    <row r="1428" spans="1:11" x14ac:dyDescent="0.3">
      <c r="A1428" t="s">
        <v>818</v>
      </c>
      <c r="B1428" s="33">
        <v>43262</v>
      </c>
      <c r="C1428" s="76">
        <v>13808000597073</v>
      </c>
      <c r="D1428" s="34">
        <v>1</v>
      </c>
      <c r="E1428" s="35" t="s">
        <v>3706</v>
      </c>
      <c r="F1428" s="35" t="s">
        <v>140</v>
      </c>
      <c r="G1428" s="106">
        <v>4506717828</v>
      </c>
      <c r="H1428" s="33">
        <v>43132</v>
      </c>
      <c r="I1428" s="34">
        <v>1700585049</v>
      </c>
      <c r="J1428" s="36">
        <v>271.14999999999998</v>
      </c>
      <c r="K1428" t="s">
        <v>2030</v>
      </c>
    </row>
    <row r="1429" spans="1:11" x14ac:dyDescent="0.3">
      <c r="A1429" t="s">
        <v>818</v>
      </c>
      <c r="B1429" s="33">
        <v>43262</v>
      </c>
      <c r="C1429" s="76">
        <v>13808000597073</v>
      </c>
      <c r="D1429" s="34">
        <v>1</v>
      </c>
      <c r="E1429" s="35" t="s">
        <v>3706</v>
      </c>
      <c r="F1429" s="35" t="s">
        <v>141</v>
      </c>
      <c r="G1429" s="106">
        <v>4506739186</v>
      </c>
      <c r="H1429" s="33">
        <v>43132</v>
      </c>
      <c r="I1429" s="34">
        <v>1700585048</v>
      </c>
      <c r="J1429" s="36">
        <v>233.75</v>
      </c>
      <c r="K1429" t="s">
        <v>2030</v>
      </c>
    </row>
    <row r="1430" spans="1:11" x14ac:dyDescent="0.3">
      <c r="A1430" t="s">
        <v>818</v>
      </c>
      <c r="B1430" s="33">
        <v>43262</v>
      </c>
      <c r="C1430" s="76">
        <v>13808000597073</v>
      </c>
      <c r="D1430" s="34">
        <v>1</v>
      </c>
      <c r="E1430" s="35" t="s">
        <v>3706</v>
      </c>
      <c r="F1430" s="35" t="s">
        <v>142</v>
      </c>
      <c r="G1430" s="106">
        <v>4506764367</v>
      </c>
      <c r="H1430" s="33">
        <v>43132</v>
      </c>
      <c r="I1430" s="34">
        <v>1700585047</v>
      </c>
      <c r="J1430" s="36">
        <v>205.7</v>
      </c>
      <c r="K1430" t="s">
        <v>2030</v>
      </c>
    </row>
    <row r="1431" spans="1:11" x14ac:dyDescent="0.3">
      <c r="A1431" t="s">
        <v>818</v>
      </c>
      <c r="B1431" s="33">
        <v>43262</v>
      </c>
      <c r="C1431" s="76">
        <v>13808000597073</v>
      </c>
      <c r="D1431" s="34">
        <v>1</v>
      </c>
      <c r="E1431" s="35" t="s">
        <v>3706</v>
      </c>
      <c r="F1431" s="35" t="s">
        <v>144</v>
      </c>
      <c r="G1431" s="106">
        <v>4506733686</v>
      </c>
      <c r="H1431" s="33">
        <v>43132</v>
      </c>
      <c r="I1431" s="34">
        <v>1700585046</v>
      </c>
      <c r="J1431" s="36">
        <v>233.75</v>
      </c>
      <c r="K1431" t="s">
        <v>2030</v>
      </c>
    </row>
    <row r="1432" spans="1:11" x14ac:dyDescent="0.3">
      <c r="A1432" t="s">
        <v>818</v>
      </c>
      <c r="B1432" s="33">
        <v>43262</v>
      </c>
      <c r="C1432" s="76">
        <v>13808000597073</v>
      </c>
      <c r="D1432" s="34">
        <v>1</v>
      </c>
      <c r="E1432" s="35" t="s">
        <v>3706</v>
      </c>
      <c r="F1432" s="35" t="s">
        <v>138</v>
      </c>
      <c r="G1432" s="106">
        <v>4506699083</v>
      </c>
      <c r="H1432" s="33">
        <v>43132</v>
      </c>
      <c r="I1432" s="34">
        <v>1700585045</v>
      </c>
      <c r="J1432" s="36">
        <v>271.14999999999998</v>
      </c>
      <c r="K1432" t="s">
        <v>2030</v>
      </c>
    </row>
    <row r="1433" spans="1:11" x14ac:dyDescent="0.3">
      <c r="A1433" t="s">
        <v>818</v>
      </c>
      <c r="B1433" s="33">
        <v>43262</v>
      </c>
      <c r="C1433" s="76">
        <v>13808000597073</v>
      </c>
      <c r="D1433" s="34">
        <v>1</v>
      </c>
      <c r="E1433" s="35" t="s">
        <v>3706</v>
      </c>
      <c r="F1433" s="35" t="s">
        <v>139</v>
      </c>
      <c r="G1433" s="106">
        <v>4506723379</v>
      </c>
      <c r="H1433" s="33">
        <v>43132</v>
      </c>
      <c r="I1433" s="34">
        <v>1700585044</v>
      </c>
      <c r="J1433" s="36">
        <v>112.2</v>
      </c>
      <c r="K1433" t="s">
        <v>2030</v>
      </c>
    </row>
    <row r="1434" spans="1:11" x14ac:dyDescent="0.3">
      <c r="A1434" t="s">
        <v>818</v>
      </c>
      <c r="B1434" s="33">
        <v>43262</v>
      </c>
      <c r="C1434" s="76">
        <v>13808000597073</v>
      </c>
      <c r="D1434" s="34">
        <v>1</v>
      </c>
      <c r="E1434" s="35" t="s">
        <v>3706</v>
      </c>
      <c r="F1434" s="35" t="s">
        <v>136</v>
      </c>
      <c r="G1434" s="106">
        <v>4506742839</v>
      </c>
      <c r="H1434" s="33">
        <v>43132</v>
      </c>
      <c r="I1434" s="34">
        <v>1700585043</v>
      </c>
      <c r="J1434" s="36">
        <v>224.4</v>
      </c>
      <c r="K1434" t="s">
        <v>2030</v>
      </c>
    </row>
    <row r="1435" spans="1:11" x14ac:dyDescent="0.3">
      <c r="A1435" t="s">
        <v>818</v>
      </c>
      <c r="B1435" s="33">
        <v>43262</v>
      </c>
      <c r="C1435" s="76">
        <v>13808000597073</v>
      </c>
      <c r="D1435" s="34">
        <v>1</v>
      </c>
      <c r="E1435" s="35" t="s">
        <v>3706</v>
      </c>
      <c r="F1435" s="35" t="s">
        <v>137</v>
      </c>
      <c r="G1435" s="106">
        <v>4506697699</v>
      </c>
      <c r="H1435" s="33">
        <v>43132</v>
      </c>
      <c r="I1435" s="34">
        <v>1700585042</v>
      </c>
      <c r="J1435" s="36">
        <v>84.15</v>
      </c>
      <c r="K1435" t="s">
        <v>2030</v>
      </c>
    </row>
    <row r="1436" spans="1:11" x14ac:dyDescent="0.3">
      <c r="A1436" t="s">
        <v>818</v>
      </c>
      <c r="B1436" s="33">
        <v>43262</v>
      </c>
      <c r="C1436" s="76">
        <v>13808000597073</v>
      </c>
      <c r="D1436" s="34">
        <v>1</v>
      </c>
      <c r="E1436" s="35" t="s">
        <v>3706</v>
      </c>
      <c r="F1436" s="35" t="s">
        <v>134</v>
      </c>
      <c r="G1436" s="106">
        <v>4506705797</v>
      </c>
      <c r="H1436" s="33">
        <v>43132</v>
      </c>
      <c r="I1436" s="34">
        <v>1700585040</v>
      </c>
      <c r="J1436" s="36">
        <v>271.14999999999998</v>
      </c>
      <c r="K1436" t="s">
        <v>2030</v>
      </c>
    </row>
    <row r="1437" spans="1:11" x14ac:dyDescent="0.3">
      <c r="A1437" t="s">
        <v>818</v>
      </c>
      <c r="B1437" s="33">
        <v>43262</v>
      </c>
      <c r="C1437" s="76">
        <v>13808000597073</v>
      </c>
      <c r="D1437" s="34">
        <v>1</v>
      </c>
      <c r="E1437" s="35" t="s">
        <v>3706</v>
      </c>
      <c r="F1437" s="35" t="s">
        <v>133</v>
      </c>
      <c r="G1437" s="106">
        <v>4506665241</v>
      </c>
      <c r="H1437" s="33">
        <v>43132</v>
      </c>
      <c r="I1437" s="34">
        <v>1700585039</v>
      </c>
      <c r="J1437" s="36">
        <v>46.75</v>
      </c>
      <c r="K1437" t="s">
        <v>2030</v>
      </c>
    </row>
    <row r="1438" spans="1:11" x14ac:dyDescent="0.3">
      <c r="A1438" t="s">
        <v>818</v>
      </c>
      <c r="B1438" s="33">
        <v>43262</v>
      </c>
      <c r="C1438" s="76">
        <v>13808000597073</v>
      </c>
      <c r="D1438" s="34">
        <v>1</v>
      </c>
      <c r="E1438" s="35" t="s">
        <v>3706</v>
      </c>
      <c r="F1438" s="35" t="s">
        <v>125</v>
      </c>
      <c r="G1438" s="106">
        <v>4506651523</v>
      </c>
      <c r="H1438" s="33">
        <v>43132</v>
      </c>
      <c r="I1438" s="34">
        <v>1700585038</v>
      </c>
      <c r="J1438" s="36">
        <v>196.35</v>
      </c>
      <c r="K1438" t="s">
        <v>2030</v>
      </c>
    </row>
    <row r="1439" spans="1:11" x14ac:dyDescent="0.3">
      <c r="A1439" t="s">
        <v>818</v>
      </c>
      <c r="B1439" s="33">
        <v>43262</v>
      </c>
      <c r="C1439" s="76">
        <v>13808000597073</v>
      </c>
      <c r="D1439" s="34">
        <v>1</v>
      </c>
      <c r="E1439" s="35" t="s">
        <v>3706</v>
      </c>
      <c r="F1439" s="35" t="s">
        <v>126</v>
      </c>
      <c r="G1439" s="106">
        <v>4506709520</v>
      </c>
      <c r="H1439" s="33">
        <v>43132</v>
      </c>
      <c r="I1439" s="34">
        <v>1700585036</v>
      </c>
      <c r="J1439" s="36">
        <v>261.8</v>
      </c>
      <c r="K1439" t="s">
        <v>2030</v>
      </c>
    </row>
    <row r="1440" spans="1:11" x14ac:dyDescent="0.3">
      <c r="A1440" t="s">
        <v>818</v>
      </c>
      <c r="B1440" s="33">
        <v>43262</v>
      </c>
      <c r="C1440" s="76">
        <v>13808000597073</v>
      </c>
      <c r="D1440" s="34">
        <v>1</v>
      </c>
      <c r="E1440" s="35" t="s">
        <v>3706</v>
      </c>
      <c r="F1440" s="35" t="s">
        <v>128</v>
      </c>
      <c r="G1440" s="106">
        <v>4506705613</v>
      </c>
      <c r="H1440" s="33">
        <v>43132</v>
      </c>
      <c r="I1440" s="34">
        <v>1700585035</v>
      </c>
      <c r="J1440" s="36">
        <v>196.35</v>
      </c>
      <c r="K1440" t="s">
        <v>2030</v>
      </c>
    </row>
    <row r="1441" spans="1:11" x14ac:dyDescent="0.3">
      <c r="A1441" t="s">
        <v>813</v>
      </c>
      <c r="B1441" s="33">
        <v>43262</v>
      </c>
      <c r="C1441" s="34" t="s">
        <v>3708</v>
      </c>
      <c r="D1441" s="34">
        <v>16</v>
      </c>
      <c r="E1441" s="35" t="s">
        <v>2680</v>
      </c>
      <c r="F1441" s="35"/>
      <c r="G1441" s="106">
        <v>4380326341</v>
      </c>
      <c r="H1441" s="33">
        <v>43221</v>
      </c>
      <c r="I1441" s="34">
        <v>1700113567</v>
      </c>
      <c r="J1441" s="36">
        <v>2170</v>
      </c>
      <c r="K1441" t="s">
        <v>2030</v>
      </c>
    </row>
    <row r="1442" spans="1:11" x14ac:dyDescent="0.3">
      <c r="A1442" t="s">
        <v>813</v>
      </c>
      <c r="B1442" s="33">
        <v>43262</v>
      </c>
      <c r="C1442" s="34" t="s">
        <v>3708</v>
      </c>
      <c r="D1442" s="34">
        <v>16</v>
      </c>
      <c r="E1442" s="35" t="s">
        <v>3702</v>
      </c>
      <c r="F1442" s="35" t="s">
        <v>6</v>
      </c>
      <c r="G1442" s="106">
        <v>4380323209</v>
      </c>
      <c r="H1442" s="33">
        <v>43221</v>
      </c>
      <c r="I1442" s="34">
        <v>1700114168</v>
      </c>
      <c r="J1442" s="36">
        <v>21770.99</v>
      </c>
      <c r="K1442" t="s">
        <v>2030</v>
      </c>
    </row>
    <row r="1443" spans="1:11" x14ac:dyDescent="0.3">
      <c r="A1443" t="s">
        <v>813</v>
      </c>
      <c r="B1443" s="33">
        <v>43262</v>
      </c>
      <c r="C1443" s="34" t="s">
        <v>3708</v>
      </c>
      <c r="D1443" s="34">
        <v>16</v>
      </c>
      <c r="E1443" s="35" t="s">
        <v>3702</v>
      </c>
      <c r="F1443" s="35" t="s">
        <v>7</v>
      </c>
      <c r="G1443" s="106">
        <v>4380323210</v>
      </c>
      <c r="H1443" s="33">
        <v>43221</v>
      </c>
      <c r="I1443" s="34">
        <v>1700114169</v>
      </c>
      <c r="J1443" s="36">
        <v>25381.87</v>
      </c>
      <c r="K1443" t="s">
        <v>2030</v>
      </c>
    </row>
    <row r="1444" spans="1:11" x14ac:dyDescent="0.3">
      <c r="A1444" t="s">
        <v>813</v>
      </c>
      <c r="B1444" s="33">
        <v>43262</v>
      </c>
      <c r="C1444" s="34" t="s">
        <v>3708</v>
      </c>
      <c r="D1444" s="34">
        <v>16</v>
      </c>
      <c r="E1444" s="35" t="s">
        <v>3702</v>
      </c>
      <c r="F1444" s="35" t="s">
        <v>10</v>
      </c>
      <c r="G1444" s="106">
        <v>4380323855</v>
      </c>
      <c r="H1444" s="33">
        <v>43221</v>
      </c>
      <c r="I1444" s="34">
        <v>1700114170</v>
      </c>
      <c r="J1444" s="36">
        <v>1178</v>
      </c>
      <c r="K1444" t="s">
        <v>2030</v>
      </c>
    </row>
    <row r="1445" spans="1:11" x14ac:dyDescent="0.3">
      <c r="A1445" t="s">
        <v>813</v>
      </c>
      <c r="B1445" s="33">
        <v>43262</v>
      </c>
      <c r="C1445" s="34" t="s">
        <v>3708</v>
      </c>
      <c r="D1445" s="34">
        <v>16</v>
      </c>
      <c r="E1445" s="35" t="s">
        <v>3702</v>
      </c>
      <c r="F1445" s="35" t="s">
        <v>8</v>
      </c>
      <c r="G1445" s="106">
        <v>4380323842</v>
      </c>
      <c r="H1445" s="33">
        <v>43221</v>
      </c>
      <c r="I1445" s="34">
        <v>1700114171</v>
      </c>
      <c r="J1445" s="36">
        <v>178.25</v>
      </c>
      <c r="K1445" t="s">
        <v>2030</v>
      </c>
    </row>
    <row r="1446" spans="1:11" x14ac:dyDescent="0.3">
      <c r="A1446" t="s">
        <v>813</v>
      </c>
      <c r="B1446" s="33">
        <v>43262</v>
      </c>
      <c r="C1446" s="76">
        <v>13808000597070</v>
      </c>
      <c r="D1446" s="34">
        <v>16</v>
      </c>
      <c r="E1446" s="35" t="s">
        <v>3702</v>
      </c>
      <c r="F1446" s="35" t="s">
        <v>9</v>
      </c>
      <c r="G1446" s="106">
        <v>4380323852</v>
      </c>
      <c r="H1446" s="33">
        <v>43221</v>
      </c>
      <c r="I1446" s="34">
        <v>1700114172</v>
      </c>
      <c r="J1446" s="36">
        <v>11984.29</v>
      </c>
      <c r="K1446" t="s">
        <v>2030</v>
      </c>
    </row>
    <row r="1447" spans="1:11" x14ac:dyDescent="0.3">
      <c r="A1447" t="s">
        <v>813</v>
      </c>
      <c r="B1447" s="33">
        <v>43262</v>
      </c>
      <c r="C1447" s="76">
        <v>13808000597070</v>
      </c>
      <c r="D1447" s="34">
        <v>16</v>
      </c>
      <c r="E1447" s="35" t="s">
        <v>3702</v>
      </c>
      <c r="F1447" s="35" t="s">
        <v>11</v>
      </c>
      <c r="G1447" s="106">
        <v>4380323858</v>
      </c>
      <c r="H1447" s="33">
        <v>43221</v>
      </c>
      <c r="I1447" s="34">
        <v>1700114173</v>
      </c>
      <c r="J1447" s="36">
        <v>7130</v>
      </c>
      <c r="K1447" t="s">
        <v>2030</v>
      </c>
    </row>
    <row r="1448" spans="1:11" x14ac:dyDescent="0.3">
      <c r="A1448" t="s">
        <v>813</v>
      </c>
      <c r="B1448" s="33">
        <v>43262</v>
      </c>
      <c r="C1448" s="76">
        <v>13808000597070</v>
      </c>
      <c r="D1448" s="34">
        <v>16</v>
      </c>
      <c r="E1448" s="35" t="s">
        <v>3702</v>
      </c>
      <c r="F1448" s="35" t="s">
        <v>12</v>
      </c>
      <c r="G1448" s="106">
        <v>4380323859</v>
      </c>
      <c r="H1448" s="33">
        <v>43221</v>
      </c>
      <c r="I1448" s="34">
        <v>1700114174</v>
      </c>
      <c r="J1448" s="36">
        <v>534.75</v>
      </c>
      <c r="K1448" t="s">
        <v>2030</v>
      </c>
    </row>
    <row r="1449" spans="1:11" x14ac:dyDescent="0.3">
      <c r="A1449" t="s">
        <v>813</v>
      </c>
      <c r="B1449" s="33">
        <v>43262</v>
      </c>
      <c r="C1449" s="76">
        <v>13808000597070</v>
      </c>
      <c r="D1449" s="34">
        <v>16</v>
      </c>
      <c r="E1449" s="35" t="s">
        <v>3702</v>
      </c>
      <c r="F1449" s="35" t="s">
        <v>14</v>
      </c>
      <c r="G1449" s="106">
        <v>4380323861</v>
      </c>
      <c r="H1449" s="33">
        <v>43221</v>
      </c>
      <c r="I1449" s="34">
        <v>1700114175</v>
      </c>
      <c r="J1449" s="36">
        <v>18766.16</v>
      </c>
      <c r="K1449" t="s">
        <v>2030</v>
      </c>
    </row>
    <row r="1450" spans="1:11" x14ac:dyDescent="0.3">
      <c r="A1450" t="s">
        <v>813</v>
      </c>
      <c r="B1450" s="33">
        <v>43262</v>
      </c>
      <c r="C1450" s="76">
        <v>13808000597070</v>
      </c>
      <c r="D1450" s="34">
        <v>16</v>
      </c>
      <c r="E1450" s="35" t="s">
        <v>3702</v>
      </c>
      <c r="F1450" s="35" t="s">
        <v>16</v>
      </c>
      <c r="G1450" s="106">
        <v>4380323863</v>
      </c>
      <c r="H1450" s="33">
        <v>43221</v>
      </c>
      <c r="I1450" s="34">
        <v>1700114176</v>
      </c>
      <c r="J1450" s="36">
        <v>8393.25</v>
      </c>
      <c r="K1450" t="s">
        <v>2030</v>
      </c>
    </row>
    <row r="1451" spans="1:11" x14ac:dyDescent="0.3">
      <c r="A1451" t="s">
        <v>813</v>
      </c>
      <c r="B1451" s="33">
        <v>43262</v>
      </c>
      <c r="C1451" s="76">
        <v>13808000597070</v>
      </c>
      <c r="D1451" s="34">
        <v>16</v>
      </c>
      <c r="E1451" s="35" t="s">
        <v>3702</v>
      </c>
      <c r="F1451" s="35" t="s">
        <v>13</v>
      </c>
      <c r="G1451" s="106">
        <v>4380323860</v>
      </c>
      <c r="H1451" s="33">
        <v>43221</v>
      </c>
      <c r="I1451" s="34">
        <v>1700114177</v>
      </c>
      <c r="J1451" s="36">
        <v>1999.5</v>
      </c>
      <c r="K1451" t="s">
        <v>2030</v>
      </c>
    </row>
    <row r="1452" spans="1:11" x14ac:dyDescent="0.3">
      <c r="A1452" t="s">
        <v>813</v>
      </c>
      <c r="B1452" s="33">
        <v>43262</v>
      </c>
      <c r="C1452" s="76">
        <v>13808000597070</v>
      </c>
      <c r="D1452" s="34">
        <v>16</v>
      </c>
      <c r="E1452" s="35" t="s">
        <v>3702</v>
      </c>
      <c r="F1452" s="35" t="s">
        <v>15</v>
      </c>
      <c r="G1452" s="106">
        <v>4380323862</v>
      </c>
      <c r="H1452" s="33">
        <v>43221</v>
      </c>
      <c r="I1452" s="34">
        <v>1700114178</v>
      </c>
      <c r="J1452" s="36">
        <v>8866</v>
      </c>
      <c r="K1452" t="s">
        <v>2030</v>
      </c>
    </row>
    <row r="1453" spans="1:11" x14ac:dyDescent="0.3">
      <c r="A1453" t="s">
        <v>813</v>
      </c>
      <c r="B1453" s="33">
        <v>43262</v>
      </c>
      <c r="C1453" s="76">
        <v>13808000597070</v>
      </c>
      <c r="D1453" s="34">
        <v>16</v>
      </c>
      <c r="E1453" s="35" t="s">
        <v>3702</v>
      </c>
      <c r="F1453" s="35" t="s">
        <v>17</v>
      </c>
      <c r="G1453" s="106">
        <v>4380323864</v>
      </c>
      <c r="H1453" s="33">
        <v>43221</v>
      </c>
      <c r="I1453" s="34">
        <v>1700114179</v>
      </c>
      <c r="J1453" s="36">
        <v>3100</v>
      </c>
      <c r="K1453" t="s">
        <v>2030</v>
      </c>
    </row>
    <row r="1454" spans="1:11" x14ac:dyDescent="0.3">
      <c r="A1454" t="s">
        <v>813</v>
      </c>
      <c r="B1454" s="33">
        <v>43262</v>
      </c>
      <c r="C1454" s="76">
        <v>13808000597070</v>
      </c>
      <c r="D1454" s="34">
        <v>16</v>
      </c>
      <c r="E1454" s="35" t="s">
        <v>3702</v>
      </c>
      <c r="F1454" s="35" t="s">
        <v>18</v>
      </c>
      <c r="G1454" s="106">
        <v>4380323865</v>
      </c>
      <c r="H1454" s="33">
        <v>43221</v>
      </c>
      <c r="I1454" s="34">
        <v>1700114180</v>
      </c>
      <c r="J1454" s="36">
        <v>891.25</v>
      </c>
      <c r="K1454" t="s">
        <v>2030</v>
      </c>
    </row>
    <row r="1455" spans="1:11" x14ac:dyDescent="0.3">
      <c r="A1455" t="s">
        <v>813</v>
      </c>
      <c r="B1455" s="33">
        <v>43262</v>
      </c>
      <c r="C1455" s="76">
        <v>13808000597070</v>
      </c>
      <c r="D1455" s="34">
        <v>16</v>
      </c>
      <c r="E1455" s="35" t="s">
        <v>3702</v>
      </c>
      <c r="F1455" s="35" t="s">
        <v>23</v>
      </c>
      <c r="G1455" s="106">
        <v>4380326207</v>
      </c>
      <c r="H1455" s="33">
        <v>43221</v>
      </c>
      <c r="I1455" s="34">
        <v>1700114181</v>
      </c>
      <c r="J1455" s="36">
        <v>24762.799999999999</v>
      </c>
      <c r="K1455" t="s">
        <v>2030</v>
      </c>
    </row>
    <row r="1456" spans="1:11" x14ac:dyDescent="0.3">
      <c r="A1456" t="s">
        <v>813</v>
      </c>
      <c r="B1456" s="33">
        <v>43262</v>
      </c>
      <c r="C1456" s="76">
        <v>13808000597070</v>
      </c>
      <c r="D1456" s="34">
        <v>16</v>
      </c>
      <c r="E1456" s="35" t="s">
        <v>3702</v>
      </c>
      <c r="F1456" s="35" t="s">
        <v>20</v>
      </c>
      <c r="G1456" s="106">
        <v>4380323875</v>
      </c>
      <c r="H1456" s="33">
        <v>43221</v>
      </c>
      <c r="I1456" s="34">
        <v>1700114182</v>
      </c>
      <c r="J1456" s="36">
        <v>22550.95</v>
      </c>
      <c r="K1456" t="s">
        <v>2030</v>
      </c>
    </row>
    <row r="1457" spans="1:11" x14ac:dyDescent="0.3">
      <c r="A1457" t="s">
        <v>813</v>
      </c>
      <c r="B1457" s="33">
        <v>43262</v>
      </c>
      <c r="C1457" s="76">
        <v>13808000597070</v>
      </c>
      <c r="D1457" s="34">
        <v>16</v>
      </c>
      <c r="E1457" s="35" t="s">
        <v>3702</v>
      </c>
      <c r="F1457" s="35" t="s">
        <v>24</v>
      </c>
      <c r="G1457" s="106">
        <v>4380326353</v>
      </c>
      <c r="H1457" s="33">
        <v>43221</v>
      </c>
      <c r="I1457" s="34">
        <v>1700114183</v>
      </c>
      <c r="J1457" s="36">
        <v>25381.87</v>
      </c>
      <c r="K1457" t="s">
        <v>2030</v>
      </c>
    </row>
    <row r="1458" spans="1:11" x14ac:dyDescent="0.3">
      <c r="A1458" t="s">
        <v>813</v>
      </c>
      <c r="B1458" s="33">
        <v>43262</v>
      </c>
      <c r="C1458" s="76">
        <v>13808000597070</v>
      </c>
      <c r="D1458" s="34">
        <v>16</v>
      </c>
      <c r="E1458" s="35" t="s">
        <v>3702</v>
      </c>
      <c r="F1458" s="35" t="s">
        <v>21</v>
      </c>
      <c r="G1458" s="106">
        <v>4380323881</v>
      </c>
      <c r="H1458" s="33">
        <v>43221</v>
      </c>
      <c r="I1458" s="34">
        <v>1700114184</v>
      </c>
      <c r="J1458" s="36">
        <v>899</v>
      </c>
      <c r="K1458" t="s">
        <v>2030</v>
      </c>
    </row>
    <row r="1459" spans="1:11" x14ac:dyDescent="0.3">
      <c r="A1459" t="s">
        <v>813</v>
      </c>
      <c r="B1459" s="33">
        <v>43262</v>
      </c>
      <c r="C1459" s="76">
        <v>13808000597070</v>
      </c>
      <c r="D1459" s="34">
        <v>16</v>
      </c>
      <c r="E1459" s="35" t="s">
        <v>3702</v>
      </c>
      <c r="F1459" s="35" t="s">
        <v>22</v>
      </c>
      <c r="G1459" s="106">
        <v>4380323887</v>
      </c>
      <c r="H1459" s="33">
        <v>43221</v>
      </c>
      <c r="I1459" s="34">
        <v>1700114185</v>
      </c>
      <c r="J1459" s="36">
        <v>2104.9</v>
      </c>
      <c r="K1459" t="s">
        <v>2030</v>
      </c>
    </row>
    <row r="1460" spans="1:11" x14ac:dyDescent="0.3">
      <c r="A1460" t="s">
        <v>813</v>
      </c>
      <c r="B1460" s="33">
        <v>43262</v>
      </c>
      <c r="C1460" s="76">
        <v>13808000597070</v>
      </c>
      <c r="D1460" s="34">
        <v>16</v>
      </c>
      <c r="E1460" s="35" t="s">
        <v>3702</v>
      </c>
      <c r="F1460" s="35" t="s">
        <v>19</v>
      </c>
      <c r="G1460" s="106">
        <v>4380323867</v>
      </c>
      <c r="H1460" s="33">
        <v>43221</v>
      </c>
      <c r="I1460" s="34">
        <v>1700114186</v>
      </c>
      <c r="J1460" s="36">
        <v>7486.5</v>
      </c>
      <c r="K1460" t="s">
        <v>2030</v>
      </c>
    </row>
    <row r="1461" spans="1:11" x14ac:dyDescent="0.3">
      <c r="A1461" t="s">
        <v>813</v>
      </c>
      <c r="B1461" s="33">
        <v>43262</v>
      </c>
      <c r="C1461" s="76">
        <v>13808000597070</v>
      </c>
      <c r="D1461" s="34">
        <v>16</v>
      </c>
      <c r="E1461" s="35" t="s">
        <v>3702</v>
      </c>
      <c r="F1461" s="35" t="s">
        <v>26</v>
      </c>
      <c r="G1461" s="106">
        <v>4380326359</v>
      </c>
      <c r="H1461" s="33">
        <v>43221</v>
      </c>
      <c r="I1461" s="34">
        <v>1700114187</v>
      </c>
      <c r="J1461" s="36">
        <v>4605.9799999999996</v>
      </c>
      <c r="K1461" t="s">
        <v>2030</v>
      </c>
    </row>
    <row r="1462" spans="1:11" x14ac:dyDescent="0.3">
      <c r="A1462" t="s">
        <v>813</v>
      </c>
      <c r="B1462" s="33">
        <v>43262</v>
      </c>
      <c r="C1462" s="76">
        <v>13808000597070</v>
      </c>
      <c r="D1462" s="34">
        <v>16</v>
      </c>
      <c r="E1462" s="35" t="s">
        <v>3702</v>
      </c>
      <c r="F1462" s="35" t="s">
        <v>25</v>
      </c>
      <c r="G1462" s="106">
        <v>4380326354</v>
      </c>
      <c r="H1462" s="33">
        <v>43221</v>
      </c>
      <c r="I1462" s="34">
        <v>1700114188</v>
      </c>
      <c r="J1462" s="36">
        <v>3174.4</v>
      </c>
      <c r="K1462" t="s">
        <v>2030</v>
      </c>
    </row>
    <row r="1463" spans="1:11" x14ac:dyDescent="0.3">
      <c r="A1463" t="s">
        <v>813</v>
      </c>
      <c r="B1463" s="33">
        <v>43262</v>
      </c>
      <c r="C1463" s="76">
        <v>13808000597070</v>
      </c>
      <c r="D1463" s="34">
        <v>16</v>
      </c>
      <c r="E1463" s="35" t="s">
        <v>3702</v>
      </c>
      <c r="F1463" s="35" t="s">
        <v>28</v>
      </c>
      <c r="G1463" s="106">
        <v>4380326616</v>
      </c>
      <c r="H1463" s="33">
        <v>43221</v>
      </c>
      <c r="I1463" s="34">
        <v>1700114189</v>
      </c>
      <c r="J1463" s="36">
        <v>27900</v>
      </c>
      <c r="K1463" t="s">
        <v>2030</v>
      </c>
    </row>
    <row r="1464" spans="1:11" x14ac:dyDescent="0.3">
      <c r="A1464" t="s">
        <v>1550</v>
      </c>
      <c r="B1464" s="33">
        <v>43262</v>
      </c>
      <c r="C1464" s="34" t="s">
        <v>3708</v>
      </c>
      <c r="D1464" s="34">
        <v>16</v>
      </c>
      <c r="E1464" s="35" t="s">
        <v>3701</v>
      </c>
      <c r="F1464" s="35" t="s">
        <v>1465</v>
      </c>
      <c r="G1464" s="106"/>
      <c r="H1464" s="33">
        <v>43221</v>
      </c>
      <c r="I1464" s="34">
        <v>1700113381</v>
      </c>
      <c r="J1464" s="36">
        <v>178.25</v>
      </c>
      <c r="K1464" t="s">
        <v>2030</v>
      </c>
    </row>
    <row r="1465" spans="1:11" x14ac:dyDescent="0.3">
      <c r="A1465" t="s">
        <v>1550</v>
      </c>
      <c r="B1465" s="33">
        <v>43262</v>
      </c>
      <c r="C1465" s="34" t="s">
        <v>3708</v>
      </c>
      <c r="D1465" s="34">
        <v>16</v>
      </c>
      <c r="E1465" s="35" t="s">
        <v>3701</v>
      </c>
      <c r="F1465" s="35" t="s">
        <v>1469</v>
      </c>
      <c r="G1465" s="106"/>
      <c r="H1465" s="33">
        <v>43221</v>
      </c>
      <c r="I1465" s="34">
        <v>1700113382</v>
      </c>
      <c r="J1465" s="36">
        <v>178.25</v>
      </c>
      <c r="K1465" t="s">
        <v>2030</v>
      </c>
    </row>
    <row r="1466" spans="1:11" x14ac:dyDescent="0.3">
      <c r="A1466" t="s">
        <v>1550</v>
      </c>
      <c r="B1466" s="33">
        <v>43262</v>
      </c>
      <c r="C1466" s="34" t="s">
        <v>3708</v>
      </c>
      <c r="D1466" s="34">
        <v>16</v>
      </c>
      <c r="E1466" s="35" t="s">
        <v>3701</v>
      </c>
      <c r="F1466" s="35" t="s">
        <v>1470</v>
      </c>
      <c r="G1466" s="106"/>
      <c r="H1466" s="33">
        <v>43221</v>
      </c>
      <c r="I1466" s="34">
        <v>1700113383</v>
      </c>
      <c r="J1466" s="36">
        <v>178.25</v>
      </c>
      <c r="K1466" t="s">
        <v>2030</v>
      </c>
    </row>
    <row r="1467" spans="1:11" x14ac:dyDescent="0.3">
      <c r="A1467" t="s">
        <v>1550</v>
      </c>
      <c r="B1467" s="33">
        <v>43262</v>
      </c>
      <c r="C1467" s="34" t="s">
        <v>3708</v>
      </c>
      <c r="D1467" s="34">
        <v>16</v>
      </c>
      <c r="E1467" s="35" t="s">
        <v>3701</v>
      </c>
      <c r="F1467" s="35" t="s">
        <v>1471</v>
      </c>
      <c r="G1467" s="106"/>
      <c r="H1467" s="33">
        <v>43221</v>
      </c>
      <c r="I1467" s="34">
        <v>1700113384</v>
      </c>
      <c r="J1467" s="36">
        <v>178.25</v>
      </c>
      <c r="K1467" t="s">
        <v>2030</v>
      </c>
    </row>
    <row r="1468" spans="1:11" x14ac:dyDescent="0.3">
      <c r="A1468" t="s">
        <v>1550</v>
      </c>
      <c r="B1468" s="33">
        <v>43262</v>
      </c>
      <c r="C1468" s="34" t="s">
        <v>3708</v>
      </c>
      <c r="D1468" s="34">
        <v>16</v>
      </c>
      <c r="E1468" s="35" t="s">
        <v>3701</v>
      </c>
      <c r="F1468" s="35" t="s">
        <v>1468</v>
      </c>
      <c r="G1468" s="106"/>
      <c r="H1468" s="33">
        <v>43221</v>
      </c>
      <c r="I1468" s="34">
        <v>1700113391</v>
      </c>
      <c r="J1468" s="36">
        <v>178.25</v>
      </c>
      <c r="K1468" t="s">
        <v>2030</v>
      </c>
    </row>
    <row r="1469" spans="1:11" x14ac:dyDescent="0.3">
      <c r="A1469" t="s">
        <v>1550</v>
      </c>
      <c r="B1469" s="33">
        <v>43262</v>
      </c>
      <c r="C1469" s="34" t="s">
        <v>3708</v>
      </c>
      <c r="D1469" s="34">
        <v>16</v>
      </c>
      <c r="E1469" s="35" t="s">
        <v>3701</v>
      </c>
      <c r="F1469" s="35" t="s">
        <v>1467</v>
      </c>
      <c r="G1469" s="106"/>
      <c r="H1469" s="33">
        <v>43221</v>
      </c>
      <c r="I1469" s="34">
        <v>1700113392</v>
      </c>
      <c r="J1469" s="36">
        <v>178.25</v>
      </c>
      <c r="K1469" t="s">
        <v>2030</v>
      </c>
    </row>
    <row r="1470" spans="1:11" x14ac:dyDescent="0.3">
      <c r="A1470" t="s">
        <v>1550</v>
      </c>
      <c r="B1470" s="33">
        <v>43262</v>
      </c>
      <c r="C1470" s="34" t="s">
        <v>3708</v>
      </c>
      <c r="D1470" s="34">
        <v>16</v>
      </c>
      <c r="E1470" s="35" t="s">
        <v>3701</v>
      </c>
      <c r="F1470" s="35" t="s">
        <v>1466</v>
      </c>
      <c r="G1470" s="106"/>
      <c r="H1470" s="33">
        <v>43221</v>
      </c>
      <c r="I1470" s="34">
        <v>1700113393</v>
      </c>
      <c r="J1470" s="36">
        <v>178.25</v>
      </c>
      <c r="K1470" t="s">
        <v>2030</v>
      </c>
    </row>
    <row r="1471" spans="1:11" x14ac:dyDescent="0.3">
      <c r="A1471" t="s">
        <v>1550</v>
      </c>
      <c r="B1471" s="33">
        <v>43262</v>
      </c>
      <c r="C1471" s="76">
        <v>13808000597070</v>
      </c>
      <c r="D1471" s="34">
        <v>16</v>
      </c>
      <c r="E1471" s="35" t="s">
        <v>3701</v>
      </c>
      <c r="F1471" s="35" t="s">
        <v>1463</v>
      </c>
      <c r="G1471" s="106"/>
      <c r="H1471" s="33">
        <v>43221</v>
      </c>
      <c r="I1471" s="34">
        <v>1700113380</v>
      </c>
      <c r="J1471" s="36">
        <v>178.25</v>
      </c>
      <c r="K1471" t="s">
        <v>2030</v>
      </c>
    </row>
    <row r="1472" spans="1:11" x14ac:dyDescent="0.3">
      <c r="A1472" t="s">
        <v>1550</v>
      </c>
      <c r="B1472" s="33">
        <v>43262</v>
      </c>
      <c r="C1472" s="76">
        <v>13808000597070</v>
      </c>
      <c r="D1472" s="34">
        <v>16</v>
      </c>
      <c r="E1472" s="35" t="s">
        <v>3701</v>
      </c>
      <c r="F1472" s="35" t="s">
        <v>1445</v>
      </c>
      <c r="G1472" s="106"/>
      <c r="H1472" s="33">
        <v>43221</v>
      </c>
      <c r="I1472" s="34">
        <v>1700113361</v>
      </c>
      <c r="J1472" s="36">
        <v>178.25</v>
      </c>
      <c r="K1472" t="s">
        <v>2030</v>
      </c>
    </row>
    <row r="1473" spans="1:11" x14ac:dyDescent="0.3">
      <c r="A1473" t="s">
        <v>1550</v>
      </c>
      <c r="B1473" s="33">
        <v>43262</v>
      </c>
      <c r="C1473" s="76">
        <v>13808000597070</v>
      </c>
      <c r="D1473" s="34">
        <v>16</v>
      </c>
      <c r="E1473" s="35" t="s">
        <v>3701</v>
      </c>
      <c r="F1473" s="35" t="s">
        <v>1447</v>
      </c>
      <c r="G1473" s="106"/>
      <c r="H1473" s="33">
        <v>43221</v>
      </c>
      <c r="I1473" s="34">
        <v>1700113362</v>
      </c>
      <c r="J1473" s="36">
        <v>178.25</v>
      </c>
      <c r="K1473" t="s">
        <v>2030</v>
      </c>
    </row>
    <row r="1474" spans="1:11" x14ac:dyDescent="0.3">
      <c r="A1474" t="s">
        <v>1550</v>
      </c>
      <c r="B1474" s="33">
        <v>43262</v>
      </c>
      <c r="C1474" s="76">
        <v>13808000597070</v>
      </c>
      <c r="D1474" s="34">
        <v>16</v>
      </c>
      <c r="E1474" s="35" t="s">
        <v>3701</v>
      </c>
      <c r="F1474" s="35" t="s">
        <v>1449</v>
      </c>
      <c r="G1474" s="106"/>
      <c r="H1474" s="33">
        <v>43221</v>
      </c>
      <c r="I1474" s="34">
        <v>1700113363</v>
      </c>
      <c r="J1474" s="36">
        <v>178.25</v>
      </c>
      <c r="K1474" t="s">
        <v>2030</v>
      </c>
    </row>
    <row r="1475" spans="1:11" x14ac:dyDescent="0.3">
      <c r="A1475" t="s">
        <v>1550</v>
      </c>
      <c r="B1475" s="33">
        <v>43262</v>
      </c>
      <c r="C1475" s="76">
        <v>13808000597070</v>
      </c>
      <c r="D1475" s="34">
        <v>16</v>
      </c>
      <c r="E1475" s="35" t="s">
        <v>3701</v>
      </c>
      <c r="F1475" s="35" t="s">
        <v>1446</v>
      </c>
      <c r="G1475" s="106"/>
      <c r="H1475" s="33">
        <v>43221</v>
      </c>
      <c r="I1475" s="34">
        <v>1700113364</v>
      </c>
      <c r="J1475" s="36">
        <v>178.25</v>
      </c>
      <c r="K1475" t="s">
        <v>2030</v>
      </c>
    </row>
    <row r="1476" spans="1:11" x14ac:dyDescent="0.3">
      <c r="A1476" t="s">
        <v>1550</v>
      </c>
      <c r="B1476" s="33">
        <v>43262</v>
      </c>
      <c r="C1476" s="76">
        <v>13808000597070</v>
      </c>
      <c r="D1476" s="34">
        <v>16</v>
      </c>
      <c r="E1476" s="35" t="s">
        <v>3701</v>
      </c>
      <c r="F1476" s="35" t="s">
        <v>1448</v>
      </c>
      <c r="G1476" s="106"/>
      <c r="H1476" s="33">
        <v>43221</v>
      </c>
      <c r="I1476" s="34">
        <v>1700113365</v>
      </c>
      <c r="J1476" s="36">
        <v>178.25</v>
      </c>
      <c r="K1476" t="s">
        <v>2030</v>
      </c>
    </row>
    <row r="1477" spans="1:11" x14ac:dyDescent="0.3">
      <c r="A1477" t="s">
        <v>1550</v>
      </c>
      <c r="B1477" s="33">
        <v>43262</v>
      </c>
      <c r="C1477" s="76">
        <v>13808000597070</v>
      </c>
      <c r="D1477" s="34">
        <v>16</v>
      </c>
      <c r="E1477" s="35" t="s">
        <v>3701</v>
      </c>
      <c r="F1477" s="35" t="s">
        <v>1450</v>
      </c>
      <c r="G1477" s="106"/>
      <c r="H1477" s="33">
        <v>43221</v>
      </c>
      <c r="I1477" s="34">
        <v>1700113366</v>
      </c>
      <c r="J1477" s="36">
        <v>178.25</v>
      </c>
      <c r="K1477" t="s">
        <v>2030</v>
      </c>
    </row>
    <row r="1478" spans="1:11" x14ac:dyDescent="0.3">
      <c r="A1478" t="s">
        <v>1550</v>
      </c>
      <c r="B1478" s="33">
        <v>43262</v>
      </c>
      <c r="C1478" s="76">
        <v>13808000597070</v>
      </c>
      <c r="D1478" s="34">
        <v>16</v>
      </c>
      <c r="E1478" s="35" t="s">
        <v>3701</v>
      </c>
      <c r="F1478" s="35" t="s">
        <v>1451</v>
      </c>
      <c r="G1478" s="106"/>
      <c r="H1478" s="33">
        <v>43221</v>
      </c>
      <c r="I1478" s="34">
        <v>1700113367</v>
      </c>
      <c r="J1478" s="36">
        <v>178.25</v>
      </c>
      <c r="K1478" t="s">
        <v>2030</v>
      </c>
    </row>
    <row r="1479" spans="1:11" x14ac:dyDescent="0.3">
      <c r="A1479" t="s">
        <v>1550</v>
      </c>
      <c r="B1479" s="33">
        <v>43262</v>
      </c>
      <c r="C1479" s="76">
        <v>13808000597070</v>
      </c>
      <c r="D1479" s="34">
        <v>16</v>
      </c>
      <c r="E1479" s="35" t="s">
        <v>3701</v>
      </c>
      <c r="F1479" s="35" t="s">
        <v>1452</v>
      </c>
      <c r="G1479" s="106"/>
      <c r="H1479" s="33">
        <v>43221</v>
      </c>
      <c r="I1479" s="34">
        <v>1700113368</v>
      </c>
      <c r="J1479" s="36">
        <v>178.25</v>
      </c>
      <c r="K1479" t="s">
        <v>2030</v>
      </c>
    </row>
    <row r="1480" spans="1:11" x14ac:dyDescent="0.3">
      <c r="A1480" t="s">
        <v>1550</v>
      </c>
      <c r="B1480" s="33">
        <v>43262</v>
      </c>
      <c r="C1480" s="76">
        <v>13808000597070</v>
      </c>
      <c r="D1480" s="34">
        <v>16</v>
      </c>
      <c r="E1480" s="35" t="s">
        <v>3701</v>
      </c>
      <c r="F1480" s="35" t="s">
        <v>1453</v>
      </c>
      <c r="G1480" s="106"/>
      <c r="H1480" s="33">
        <v>43221</v>
      </c>
      <c r="I1480" s="34">
        <v>1700113369</v>
      </c>
      <c r="J1480" s="36">
        <v>178.25</v>
      </c>
      <c r="K1480" t="s">
        <v>2030</v>
      </c>
    </row>
    <row r="1481" spans="1:11" x14ac:dyDescent="0.3">
      <c r="A1481" t="s">
        <v>1550</v>
      </c>
      <c r="B1481" s="33">
        <v>43262</v>
      </c>
      <c r="C1481" s="76">
        <v>13808000597070</v>
      </c>
      <c r="D1481" s="34">
        <v>16</v>
      </c>
      <c r="E1481" s="35" t="s">
        <v>3701</v>
      </c>
      <c r="F1481" s="35" t="s">
        <v>1455</v>
      </c>
      <c r="G1481" s="106"/>
      <c r="H1481" s="33">
        <v>43221</v>
      </c>
      <c r="I1481" s="34">
        <v>1700113370</v>
      </c>
      <c r="J1481" s="36">
        <v>178.25</v>
      </c>
      <c r="K1481" t="s">
        <v>2030</v>
      </c>
    </row>
    <row r="1482" spans="1:11" x14ac:dyDescent="0.3">
      <c r="A1482" t="s">
        <v>1550</v>
      </c>
      <c r="B1482" s="33">
        <v>43262</v>
      </c>
      <c r="C1482" s="76">
        <v>13808000597070</v>
      </c>
      <c r="D1482" s="34">
        <v>16</v>
      </c>
      <c r="E1482" s="35" t="s">
        <v>3701</v>
      </c>
      <c r="F1482" s="35" t="s">
        <v>1454</v>
      </c>
      <c r="G1482" s="106"/>
      <c r="H1482" s="33">
        <v>43221</v>
      </c>
      <c r="I1482" s="34">
        <v>1700113371</v>
      </c>
      <c r="J1482" s="36">
        <v>178.25</v>
      </c>
      <c r="K1482" t="s">
        <v>2030</v>
      </c>
    </row>
    <row r="1483" spans="1:11" x14ac:dyDescent="0.3">
      <c r="A1483" t="s">
        <v>1550</v>
      </c>
      <c r="B1483" s="33">
        <v>43262</v>
      </c>
      <c r="C1483" s="76">
        <v>13808000597070</v>
      </c>
      <c r="D1483" s="34">
        <v>16</v>
      </c>
      <c r="E1483" s="35" t="s">
        <v>3701</v>
      </c>
      <c r="F1483" s="35" t="s">
        <v>1456</v>
      </c>
      <c r="G1483" s="106"/>
      <c r="H1483" s="33">
        <v>43221</v>
      </c>
      <c r="I1483" s="34">
        <v>1700113372</v>
      </c>
      <c r="J1483" s="36">
        <v>178.25</v>
      </c>
      <c r="K1483" t="s">
        <v>2030</v>
      </c>
    </row>
    <row r="1484" spans="1:11" x14ac:dyDescent="0.3">
      <c r="A1484" t="s">
        <v>1550</v>
      </c>
      <c r="B1484" s="33">
        <v>43262</v>
      </c>
      <c r="C1484" s="76">
        <v>13808000597070</v>
      </c>
      <c r="D1484" s="34">
        <v>16</v>
      </c>
      <c r="E1484" s="35" t="s">
        <v>3701</v>
      </c>
      <c r="F1484" s="35" t="s">
        <v>1457</v>
      </c>
      <c r="G1484" s="106"/>
      <c r="H1484" s="33">
        <v>43221</v>
      </c>
      <c r="I1484" s="34">
        <v>1700113373</v>
      </c>
      <c r="J1484" s="36">
        <v>178.25</v>
      </c>
      <c r="K1484" t="s">
        <v>2030</v>
      </c>
    </row>
    <row r="1485" spans="1:11" x14ac:dyDescent="0.3">
      <c r="A1485" t="s">
        <v>1550</v>
      </c>
      <c r="B1485" s="33">
        <v>43262</v>
      </c>
      <c r="C1485" s="76">
        <v>13808000597070</v>
      </c>
      <c r="D1485" s="34">
        <v>16</v>
      </c>
      <c r="E1485" s="35" t="s">
        <v>3701</v>
      </c>
      <c r="F1485" s="35" t="s">
        <v>1461</v>
      </c>
      <c r="G1485" s="106"/>
      <c r="H1485" s="33">
        <v>43221</v>
      </c>
      <c r="I1485" s="34">
        <v>1700113374</v>
      </c>
      <c r="J1485" s="36">
        <v>178.25</v>
      </c>
      <c r="K1485" t="s">
        <v>2030</v>
      </c>
    </row>
    <row r="1486" spans="1:11" x14ac:dyDescent="0.3">
      <c r="A1486" t="s">
        <v>1550</v>
      </c>
      <c r="B1486" s="33">
        <v>43262</v>
      </c>
      <c r="C1486" s="76">
        <v>13808000597070</v>
      </c>
      <c r="D1486" s="34">
        <v>16</v>
      </c>
      <c r="E1486" s="35" t="s">
        <v>3701</v>
      </c>
      <c r="F1486" s="35" t="s">
        <v>1460</v>
      </c>
      <c r="G1486" s="106"/>
      <c r="H1486" s="33">
        <v>43221</v>
      </c>
      <c r="I1486" s="34">
        <v>1700113375</v>
      </c>
      <c r="J1486" s="36">
        <v>178.25</v>
      </c>
      <c r="K1486" t="s">
        <v>2030</v>
      </c>
    </row>
    <row r="1487" spans="1:11" x14ac:dyDescent="0.3">
      <c r="A1487" t="s">
        <v>1550</v>
      </c>
      <c r="B1487" s="33">
        <v>43262</v>
      </c>
      <c r="C1487" s="76">
        <v>13808000597070</v>
      </c>
      <c r="D1487" s="34">
        <v>16</v>
      </c>
      <c r="E1487" s="35" t="s">
        <v>3701</v>
      </c>
      <c r="F1487" s="35" t="s">
        <v>1459</v>
      </c>
      <c r="G1487" s="106"/>
      <c r="H1487" s="33">
        <v>43221</v>
      </c>
      <c r="I1487" s="34">
        <v>1700113376</v>
      </c>
      <c r="J1487" s="36">
        <v>178.25</v>
      </c>
      <c r="K1487" t="s">
        <v>2030</v>
      </c>
    </row>
    <row r="1488" spans="1:11" x14ac:dyDescent="0.3">
      <c r="A1488" t="s">
        <v>1550</v>
      </c>
      <c r="B1488" s="33">
        <v>43262</v>
      </c>
      <c r="C1488" s="76">
        <v>13808000597070</v>
      </c>
      <c r="D1488" s="34">
        <v>16</v>
      </c>
      <c r="E1488" s="35" t="s">
        <v>3701</v>
      </c>
      <c r="F1488" s="35" t="s">
        <v>1458</v>
      </c>
      <c r="G1488" s="106"/>
      <c r="H1488" s="33">
        <v>43221</v>
      </c>
      <c r="I1488" s="34">
        <v>1700113377</v>
      </c>
      <c r="J1488" s="36">
        <v>178.25</v>
      </c>
      <c r="K1488" t="s">
        <v>2030</v>
      </c>
    </row>
    <row r="1489" spans="1:11" x14ac:dyDescent="0.3">
      <c r="A1489" t="s">
        <v>1550</v>
      </c>
      <c r="B1489" s="33">
        <v>43262</v>
      </c>
      <c r="C1489" s="76">
        <v>13808000597070</v>
      </c>
      <c r="D1489" s="34">
        <v>16</v>
      </c>
      <c r="E1489" s="35" t="s">
        <v>3701</v>
      </c>
      <c r="F1489" s="35" t="s">
        <v>1462</v>
      </c>
      <c r="G1489" s="106"/>
      <c r="H1489" s="33">
        <v>43221</v>
      </c>
      <c r="I1489" s="34">
        <v>1700113378</v>
      </c>
      <c r="J1489" s="36">
        <v>178.25</v>
      </c>
      <c r="K1489" t="s">
        <v>2030</v>
      </c>
    </row>
    <row r="1490" spans="1:11" x14ac:dyDescent="0.3">
      <c r="A1490" t="s">
        <v>1550</v>
      </c>
      <c r="B1490" s="33">
        <v>43262</v>
      </c>
      <c r="C1490" s="76">
        <v>13808000597070</v>
      </c>
      <c r="D1490" s="34">
        <v>16</v>
      </c>
      <c r="E1490" s="35" t="s">
        <v>3701</v>
      </c>
      <c r="F1490" s="35" t="s">
        <v>1464</v>
      </c>
      <c r="G1490" s="106"/>
      <c r="H1490" s="33">
        <v>43221</v>
      </c>
      <c r="I1490" s="34">
        <v>1700113379</v>
      </c>
      <c r="J1490" s="36">
        <v>178.25</v>
      </c>
      <c r="K1490" t="s">
        <v>2030</v>
      </c>
    </row>
    <row r="1491" spans="1:11" x14ac:dyDescent="0.3">
      <c r="A1491" t="s">
        <v>1550</v>
      </c>
      <c r="B1491" s="33">
        <v>43262</v>
      </c>
      <c r="C1491" s="76">
        <v>13808000597071</v>
      </c>
      <c r="D1491" s="34">
        <v>2000</v>
      </c>
      <c r="E1491" s="35" t="s">
        <v>3701</v>
      </c>
      <c r="F1491" s="35" t="s">
        <v>1537</v>
      </c>
      <c r="G1491" s="106"/>
      <c r="H1491" s="33">
        <v>43221</v>
      </c>
      <c r="I1491" s="34">
        <v>1700127441</v>
      </c>
      <c r="J1491" s="36">
        <v>178.25</v>
      </c>
      <c r="K1491" t="s">
        <v>2030</v>
      </c>
    </row>
    <row r="1492" spans="1:11" x14ac:dyDescent="0.3">
      <c r="A1492" t="s">
        <v>1550</v>
      </c>
      <c r="B1492" s="33">
        <v>43262</v>
      </c>
      <c r="C1492" s="76">
        <v>13808000597071</v>
      </c>
      <c r="D1492" s="34">
        <v>2000</v>
      </c>
      <c r="E1492" s="35" t="s">
        <v>3701</v>
      </c>
      <c r="F1492" s="35" t="s">
        <v>1496</v>
      </c>
      <c r="G1492" s="106"/>
      <c r="H1492" s="33">
        <v>43221</v>
      </c>
      <c r="I1492" s="34">
        <v>1700127440</v>
      </c>
      <c r="J1492" s="36">
        <v>178.25</v>
      </c>
      <c r="K1492" t="s">
        <v>2030</v>
      </c>
    </row>
    <row r="1493" spans="1:11" x14ac:dyDescent="0.3">
      <c r="A1493" t="s">
        <v>1550</v>
      </c>
      <c r="B1493" s="33">
        <v>43262</v>
      </c>
      <c r="C1493" s="76">
        <v>13808000597071</v>
      </c>
      <c r="D1493" s="34">
        <v>2000</v>
      </c>
      <c r="E1493" s="35" t="s">
        <v>3701</v>
      </c>
      <c r="F1493" s="35" t="s">
        <v>1539</v>
      </c>
      <c r="G1493" s="106"/>
      <c r="H1493" s="33">
        <v>43221</v>
      </c>
      <c r="I1493" s="34">
        <v>1700127438</v>
      </c>
      <c r="J1493" s="36">
        <v>178.25</v>
      </c>
      <c r="K1493" t="s">
        <v>2030</v>
      </c>
    </row>
    <row r="1494" spans="1:11" x14ac:dyDescent="0.3">
      <c r="A1494" t="s">
        <v>1550</v>
      </c>
      <c r="B1494" s="33">
        <v>43262</v>
      </c>
      <c r="C1494" s="76">
        <v>13808000597071</v>
      </c>
      <c r="D1494" s="34">
        <v>2000</v>
      </c>
      <c r="E1494" s="35" t="s">
        <v>3701</v>
      </c>
      <c r="F1494" s="35" t="s">
        <v>1492</v>
      </c>
      <c r="G1494" s="106"/>
      <c r="H1494" s="33">
        <v>43221</v>
      </c>
      <c r="I1494" s="34">
        <v>1700127437</v>
      </c>
      <c r="J1494" s="36">
        <v>178.25</v>
      </c>
      <c r="K1494" t="s">
        <v>2030</v>
      </c>
    </row>
    <row r="1495" spans="1:11" x14ac:dyDescent="0.3">
      <c r="A1495" t="s">
        <v>1550</v>
      </c>
      <c r="B1495" s="33">
        <v>43262</v>
      </c>
      <c r="C1495" s="76">
        <v>13808000597071</v>
      </c>
      <c r="D1495" s="34">
        <v>2000</v>
      </c>
      <c r="E1495" s="35" t="s">
        <v>3701</v>
      </c>
      <c r="F1495" s="35" t="s">
        <v>1491</v>
      </c>
      <c r="G1495" s="106"/>
      <c r="H1495" s="33">
        <v>43221</v>
      </c>
      <c r="I1495" s="34">
        <v>1700127435</v>
      </c>
      <c r="J1495" s="36">
        <v>178.25</v>
      </c>
      <c r="K1495" t="s">
        <v>2030</v>
      </c>
    </row>
    <row r="1496" spans="1:11" x14ac:dyDescent="0.3">
      <c r="A1496" t="s">
        <v>1550</v>
      </c>
      <c r="B1496" s="33">
        <v>43262</v>
      </c>
      <c r="C1496" s="76">
        <v>13808000597071</v>
      </c>
      <c r="D1496" s="34">
        <v>2000</v>
      </c>
      <c r="E1496" s="35" t="s">
        <v>3701</v>
      </c>
      <c r="F1496" s="35" t="s">
        <v>1498</v>
      </c>
      <c r="G1496" s="106"/>
      <c r="H1496" s="33">
        <v>43221</v>
      </c>
      <c r="I1496" s="34">
        <v>1700127434</v>
      </c>
      <c r="J1496" s="36">
        <v>178.25</v>
      </c>
      <c r="K1496" t="s">
        <v>2030</v>
      </c>
    </row>
    <row r="1497" spans="1:11" x14ac:dyDescent="0.3">
      <c r="A1497" t="s">
        <v>1550</v>
      </c>
      <c r="B1497" s="33">
        <v>43262</v>
      </c>
      <c r="C1497" s="76">
        <v>13808000597071</v>
      </c>
      <c r="D1497" s="34">
        <v>2000</v>
      </c>
      <c r="E1497" s="35" t="s">
        <v>3701</v>
      </c>
      <c r="F1497" s="35" t="s">
        <v>1494</v>
      </c>
      <c r="G1497" s="106"/>
      <c r="H1497" s="33">
        <v>43221</v>
      </c>
      <c r="I1497" s="34">
        <v>1700127433</v>
      </c>
      <c r="J1497" s="36">
        <v>178.25</v>
      </c>
      <c r="K1497" t="s">
        <v>2030</v>
      </c>
    </row>
    <row r="1498" spans="1:11" x14ac:dyDescent="0.3">
      <c r="A1498" t="s">
        <v>1550</v>
      </c>
      <c r="B1498" s="33">
        <v>43262</v>
      </c>
      <c r="C1498" s="76">
        <v>13808000597071</v>
      </c>
      <c r="D1498" s="34">
        <v>2000</v>
      </c>
      <c r="E1498" s="35" t="s">
        <v>3701</v>
      </c>
      <c r="F1498" s="35" t="s">
        <v>1495</v>
      </c>
      <c r="G1498" s="106"/>
      <c r="H1498" s="33">
        <v>43221</v>
      </c>
      <c r="I1498" s="34">
        <v>1700127431</v>
      </c>
      <c r="J1498" s="36">
        <v>178.25</v>
      </c>
      <c r="K1498" t="s">
        <v>2030</v>
      </c>
    </row>
    <row r="1499" spans="1:11" x14ac:dyDescent="0.3">
      <c r="A1499" t="s">
        <v>1550</v>
      </c>
      <c r="B1499" s="33">
        <v>43262</v>
      </c>
      <c r="C1499" s="76">
        <v>13808000597071</v>
      </c>
      <c r="D1499" s="34">
        <v>2000</v>
      </c>
      <c r="E1499" s="35" t="s">
        <v>3701</v>
      </c>
      <c r="F1499" s="35" t="s">
        <v>1497</v>
      </c>
      <c r="G1499" s="106"/>
      <c r="H1499" s="33">
        <v>43221</v>
      </c>
      <c r="I1499" s="34">
        <v>1700127430</v>
      </c>
      <c r="J1499" s="36">
        <v>178.25</v>
      </c>
      <c r="K1499" t="s">
        <v>2030</v>
      </c>
    </row>
    <row r="1500" spans="1:11" x14ac:dyDescent="0.3">
      <c r="A1500" t="s">
        <v>1550</v>
      </c>
      <c r="B1500" s="33">
        <v>43262</v>
      </c>
      <c r="C1500" s="76">
        <v>13808000597071</v>
      </c>
      <c r="D1500" s="34">
        <v>2000</v>
      </c>
      <c r="E1500" s="35" t="s">
        <v>3701</v>
      </c>
      <c r="F1500" s="35" t="s">
        <v>1483</v>
      </c>
      <c r="G1500" s="106"/>
      <c r="H1500" s="33">
        <v>43221</v>
      </c>
      <c r="I1500" s="34">
        <v>1700127429</v>
      </c>
      <c r="J1500" s="36">
        <v>178.25</v>
      </c>
      <c r="K1500" t="s">
        <v>2030</v>
      </c>
    </row>
    <row r="1501" spans="1:11" x14ac:dyDescent="0.3">
      <c r="A1501" t="s">
        <v>1550</v>
      </c>
      <c r="B1501" s="33">
        <v>43262</v>
      </c>
      <c r="C1501" s="76">
        <v>13808000597071</v>
      </c>
      <c r="D1501" s="34">
        <v>2000</v>
      </c>
      <c r="E1501" s="35" t="s">
        <v>3701</v>
      </c>
      <c r="F1501" s="35" t="s">
        <v>1486</v>
      </c>
      <c r="G1501" s="106"/>
      <c r="H1501" s="33">
        <v>43221</v>
      </c>
      <c r="I1501" s="34">
        <v>1700127428</v>
      </c>
      <c r="J1501" s="36">
        <v>178.25</v>
      </c>
      <c r="K1501" t="s">
        <v>2030</v>
      </c>
    </row>
    <row r="1502" spans="1:11" x14ac:dyDescent="0.3">
      <c r="A1502" t="s">
        <v>1550</v>
      </c>
      <c r="B1502" s="33">
        <v>43262</v>
      </c>
      <c r="C1502" s="76">
        <v>13808000597071</v>
      </c>
      <c r="D1502" s="34">
        <v>2000</v>
      </c>
      <c r="E1502" s="35" t="s">
        <v>3701</v>
      </c>
      <c r="F1502" s="35" t="s">
        <v>1531</v>
      </c>
      <c r="G1502" s="106"/>
      <c r="H1502" s="33">
        <v>43221</v>
      </c>
      <c r="I1502" s="34">
        <v>1700127427</v>
      </c>
      <c r="J1502" s="36">
        <v>178.25</v>
      </c>
      <c r="K1502" t="s">
        <v>2030</v>
      </c>
    </row>
    <row r="1503" spans="1:11" x14ac:dyDescent="0.3">
      <c r="A1503" t="s">
        <v>1550</v>
      </c>
      <c r="B1503" s="33">
        <v>43262</v>
      </c>
      <c r="C1503" s="76">
        <v>13808000597071</v>
      </c>
      <c r="D1503" s="34">
        <v>2000</v>
      </c>
      <c r="E1503" s="35" t="s">
        <v>3701</v>
      </c>
      <c r="F1503" s="35" t="s">
        <v>1488</v>
      </c>
      <c r="G1503" s="106"/>
      <c r="H1503" s="33">
        <v>43221</v>
      </c>
      <c r="I1503" s="34">
        <v>1700127426</v>
      </c>
      <c r="J1503" s="36">
        <v>178.25</v>
      </c>
      <c r="K1503" t="s">
        <v>2030</v>
      </c>
    </row>
    <row r="1504" spans="1:11" x14ac:dyDescent="0.3">
      <c r="A1504" t="s">
        <v>1550</v>
      </c>
      <c r="B1504" s="33">
        <v>43262</v>
      </c>
      <c r="C1504" s="76">
        <v>13808000597071</v>
      </c>
      <c r="D1504" s="34">
        <v>2000</v>
      </c>
      <c r="E1504" s="35" t="s">
        <v>3701</v>
      </c>
      <c r="F1504" s="35" t="s">
        <v>1534</v>
      </c>
      <c r="G1504" s="106"/>
      <c r="H1504" s="33">
        <v>43221</v>
      </c>
      <c r="I1504" s="34">
        <v>1700127425</v>
      </c>
      <c r="J1504" s="36">
        <v>178.25</v>
      </c>
      <c r="K1504" t="s">
        <v>2030</v>
      </c>
    </row>
    <row r="1505" spans="1:11" x14ac:dyDescent="0.3">
      <c r="A1505" t="s">
        <v>1550</v>
      </c>
      <c r="B1505" s="33">
        <v>43262</v>
      </c>
      <c r="C1505" s="76">
        <v>13808000597071</v>
      </c>
      <c r="D1505" s="34">
        <v>2000</v>
      </c>
      <c r="E1505" s="35" t="s">
        <v>3701</v>
      </c>
      <c r="F1505" s="35" t="s">
        <v>1538</v>
      </c>
      <c r="G1505" s="106"/>
      <c r="H1505" s="33">
        <v>43221</v>
      </c>
      <c r="I1505" s="34">
        <v>1700127424</v>
      </c>
      <c r="J1505" s="36">
        <v>178.25</v>
      </c>
      <c r="K1505" t="s">
        <v>2030</v>
      </c>
    </row>
    <row r="1506" spans="1:11" x14ac:dyDescent="0.3">
      <c r="A1506" t="s">
        <v>1550</v>
      </c>
      <c r="B1506" s="33">
        <v>43262</v>
      </c>
      <c r="C1506" s="76">
        <v>13808000597071</v>
      </c>
      <c r="D1506" s="34">
        <v>2000</v>
      </c>
      <c r="E1506" s="35" t="s">
        <v>3701</v>
      </c>
      <c r="F1506" s="35" t="s">
        <v>1484</v>
      </c>
      <c r="G1506" s="106"/>
      <c r="H1506" s="33">
        <v>43221</v>
      </c>
      <c r="I1506" s="34">
        <v>1700127423</v>
      </c>
      <c r="J1506" s="36">
        <v>178.25</v>
      </c>
      <c r="K1506" t="s">
        <v>2030</v>
      </c>
    </row>
    <row r="1507" spans="1:11" x14ac:dyDescent="0.3">
      <c r="A1507" t="s">
        <v>1550</v>
      </c>
      <c r="B1507" s="33">
        <v>43262</v>
      </c>
      <c r="C1507" s="76">
        <v>13808000597071</v>
      </c>
      <c r="D1507" s="34">
        <v>2000</v>
      </c>
      <c r="E1507" s="35" t="s">
        <v>3701</v>
      </c>
      <c r="F1507" s="35" t="s">
        <v>1485</v>
      </c>
      <c r="G1507" s="106"/>
      <c r="H1507" s="33">
        <v>43221</v>
      </c>
      <c r="I1507" s="34">
        <v>1700127422</v>
      </c>
      <c r="J1507" s="36">
        <v>178.25</v>
      </c>
      <c r="K1507" t="s">
        <v>2030</v>
      </c>
    </row>
    <row r="1508" spans="1:11" x14ac:dyDescent="0.3">
      <c r="A1508" t="s">
        <v>1550</v>
      </c>
      <c r="B1508" s="33">
        <v>43262</v>
      </c>
      <c r="C1508" s="76">
        <v>13808000597071</v>
      </c>
      <c r="D1508" s="34">
        <v>2000</v>
      </c>
      <c r="E1508" s="35" t="s">
        <v>3701</v>
      </c>
      <c r="F1508" s="35" t="s">
        <v>1535</v>
      </c>
      <c r="G1508" s="106"/>
      <c r="H1508" s="33">
        <v>43221</v>
      </c>
      <c r="I1508" s="34">
        <v>1700127421</v>
      </c>
      <c r="J1508" s="36">
        <v>178.25</v>
      </c>
      <c r="K1508" t="s">
        <v>2030</v>
      </c>
    </row>
    <row r="1509" spans="1:11" x14ac:dyDescent="0.3">
      <c r="A1509" t="s">
        <v>1550</v>
      </c>
      <c r="B1509" s="33">
        <v>43262</v>
      </c>
      <c r="C1509" s="76">
        <v>13808000597071</v>
      </c>
      <c r="D1509" s="34">
        <v>2000</v>
      </c>
      <c r="E1509" s="35" t="s">
        <v>3701</v>
      </c>
      <c r="F1509" s="35" t="s">
        <v>1533</v>
      </c>
      <c r="G1509" s="106"/>
      <c r="H1509" s="33">
        <v>43221</v>
      </c>
      <c r="I1509" s="34">
        <v>1700127420</v>
      </c>
      <c r="J1509" s="36">
        <v>178.25</v>
      </c>
      <c r="K1509" t="s">
        <v>2030</v>
      </c>
    </row>
    <row r="1510" spans="1:11" x14ac:dyDescent="0.3">
      <c r="A1510" t="s">
        <v>1550</v>
      </c>
      <c r="B1510" s="33">
        <v>43262</v>
      </c>
      <c r="C1510" s="76">
        <v>13808000597071</v>
      </c>
      <c r="D1510" s="34">
        <v>2000</v>
      </c>
      <c r="E1510" s="35" t="s">
        <v>3701</v>
      </c>
      <c r="F1510" s="35" t="s">
        <v>1530</v>
      </c>
      <c r="G1510" s="106"/>
      <c r="H1510" s="33">
        <v>43221</v>
      </c>
      <c r="I1510" s="34">
        <v>1700127419</v>
      </c>
      <c r="J1510" s="36">
        <v>178.25</v>
      </c>
      <c r="K1510" t="s">
        <v>2030</v>
      </c>
    </row>
    <row r="1511" spans="1:11" x14ac:dyDescent="0.3">
      <c r="A1511" t="s">
        <v>1550</v>
      </c>
      <c r="B1511" s="33">
        <v>43262</v>
      </c>
      <c r="C1511" s="76">
        <v>13808000597071</v>
      </c>
      <c r="D1511" s="34">
        <v>2000</v>
      </c>
      <c r="E1511" s="35" t="s">
        <v>3701</v>
      </c>
      <c r="F1511" s="35" t="s">
        <v>1528</v>
      </c>
      <c r="G1511" s="106"/>
      <c r="H1511" s="33">
        <v>43221</v>
      </c>
      <c r="I1511" s="34">
        <v>1700127464</v>
      </c>
      <c r="J1511" s="36">
        <v>178.25</v>
      </c>
      <c r="K1511" t="s">
        <v>2030</v>
      </c>
    </row>
    <row r="1512" spans="1:11" x14ac:dyDescent="0.3">
      <c r="A1512" t="s">
        <v>1550</v>
      </c>
      <c r="B1512" s="33">
        <v>43262</v>
      </c>
      <c r="C1512" s="76">
        <v>13808000597071</v>
      </c>
      <c r="D1512" s="34">
        <v>2000</v>
      </c>
      <c r="E1512" s="35" t="s">
        <v>3701</v>
      </c>
      <c r="F1512" s="35" t="s">
        <v>1529</v>
      </c>
      <c r="G1512" s="106"/>
      <c r="H1512" s="33">
        <v>43221</v>
      </c>
      <c r="I1512" s="34">
        <v>1700127463</v>
      </c>
      <c r="J1512" s="36">
        <v>178.25</v>
      </c>
      <c r="K1512" t="s">
        <v>2030</v>
      </c>
    </row>
    <row r="1513" spans="1:11" x14ac:dyDescent="0.3">
      <c r="A1513" t="s">
        <v>1550</v>
      </c>
      <c r="B1513" s="33">
        <v>43262</v>
      </c>
      <c r="C1513" s="76">
        <v>13808000597071</v>
      </c>
      <c r="D1513" s="34">
        <v>2000</v>
      </c>
      <c r="E1513" s="35" t="s">
        <v>3701</v>
      </c>
      <c r="F1513" s="35" t="s">
        <v>1527</v>
      </c>
      <c r="G1513" s="106"/>
      <c r="H1513" s="33">
        <v>43221</v>
      </c>
      <c r="I1513" s="34">
        <v>1700127462</v>
      </c>
      <c r="J1513" s="36">
        <v>178.25</v>
      </c>
      <c r="K1513" t="s">
        <v>2030</v>
      </c>
    </row>
    <row r="1514" spans="1:11" x14ac:dyDescent="0.3">
      <c r="A1514" t="s">
        <v>1550</v>
      </c>
      <c r="B1514" s="33">
        <v>43262</v>
      </c>
      <c r="C1514" s="76">
        <v>13808000597071</v>
      </c>
      <c r="D1514" s="34">
        <v>2000</v>
      </c>
      <c r="E1514" s="35" t="s">
        <v>3701</v>
      </c>
      <c r="F1514" s="35" t="s">
        <v>1503</v>
      </c>
      <c r="G1514" s="106"/>
      <c r="H1514" s="33">
        <v>43221</v>
      </c>
      <c r="I1514" s="34">
        <v>1700127452</v>
      </c>
      <c r="J1514" s="36">
        <v>178.25</v>
      </c>
      <c r="K1514" t="s">
        <v>2030</v>
      </c>
    </row>
    <row r="1515" spans="1:11" x14ac:dyDescent="0.3">
      <c r="A1515" t="s">
        <v>1550</v>
      </c>
      <c r="B1515" s="33">
        <v>43262</v>
      </c>
      <c r="C1515" s="76">
        <v>13808000597071</v>
      </c>
      <c r="D1515" s="34">
        <v>2000</v>
      </c>
      <c r="E1515" s="35" t="s">
        <v>3701</v>
      </c>
      <c r="F1515" s="35" t="s">
        <v>1500</v>
      </c>
      <c r="G1515" s="106"/>
      <c r="H1515" s="33">
        <v>43221</v>
      </c>
      <c r="I1515" s="34">
        <v>1700127451</v>
      </c>
      <c r="J1515" s="36">
        <v>178.25</v>
      </c>
      <c r="K1515" t="s">
        <v>2030</v>
      </c>
    </row>
    <row r="1516" spans="1:11" x14ac:dyDescent="0.3">
      <c r="A1516" t="s">
        <v>1550</v>
      </c>
      <c r="B1516" s="33">
        <v>43262</v>
      </c>
      <c r="C1516" s="76">
        <v>13808000597071</v>
      </c>
      <c r="D1516" s="34">
        <v>2000</v>
      </c>
      <c r="E1516" s="35" t="s">
        <v>3701</v>
      </c>
      <c r="F1516" s="35" t="s">
        <v>1504</v>
      </c>
      <c r="G1516" s="106"/>
      <c r="H1516" s="33">
        <v>43221</v>
      </c>
      <c r="I1516" s="34">
        <v>1700127450</v>
      </c>
      <c r="J1516" s="36">
        <v>178.25</v>
      </c>
      <c r="K1516" t="s">
        <v>2030</v>
      </c>
    </row>
    <row r="1517" spans="1:11" x14ac:dyDescent="0.3">
      <c r="A1517" t="s">
        <v>1550</v>
      </c>
      <c r="B1517" s="33">
        <v>43262</v>
      </c>
      <c r="C1517" s="76">
        <v>13808000597071</v>
      </c>
      <c r="D1517" s="34">
        <v>2000</v>
      </c>
      <c r="E1517" s="35" t="s">
        <v>3701</v>
      </c>
      <c r="F1517" s="35" t="s">
        <v>1505</v>
      </c>
      <c r="G1517" s="106"/>
      <c r="H1517" s="33">
        <v>43221</v>
      </c>
      <c r="I1517" s="34">
        <v>1700127449</v>
      </c>
      <c r="J1517" s="36">
        <v>178.25</v>
      </c>
      <c r="K1517" t="s">
        <v>2030</v>
      </c>
    </row>
    <row r="1518" spans="1:11" x14ac:dyDescent="0.3">
      <c r="A1518" t="s">
        <v>1550</v>
      </c>
      <c r="B1518" s="33">
        <v>43262</v>
      </c>
      <c r="C1518" s="76">
        <v>13808000597071</v>
      </c>
      <c r="D1518" s="34">
        <v>2000</v>
      </c>
      <c r="E1518" s="35" t="s">
        <v>3701</v>
      </c>
      <c r="F1518" s="35" t="s">
        <v>1502</v>
      </c>
      <c r="G1518" s="106"/>
      <c r="H1518" s="33">
        <v>43221</v>
      </c>
      <c r="I1518" s="34">
        <v>1700127448</v>
      </c>
      <c r="J1518" s="36">
        <v>178.25</v>
      </c>
      <c r="K1518" t="s">
        <v>2030</v>
      </c>
    </row>
    <row r="1519" spans="1:11" x14ac:dyDescent="0.3">
      <c r="A1519" t="s">
        <v>1550</v>
      </c>
      <c r="B1519" s="33">
        <v>43262</v>
      </c>
      <c r="C1519" s="76">
        <v>13808000597071</v>
      </c>
      <c r="D1519" s="34">
        <v>2000</v>
      </c>
      <c r="E1519" s="35" t="s">
        <v>3701</v>
      </c>
      <c r="F1519" s="35" t="s">
        <v>1501</v>
      </c>
      <c r="G1519" s="106"/>
      <c r="H1519" s="33">
        <v>43221</v>
      </c>
      <c r="I1519" s="34">
        <v>1700127447</v>
      </c>
      <c r="J1519" s="36">
        <v>178.25</v>
      </c>
      <c r="K1519" t="s">
        <v>2030</v>
      </c>
    </row>
    <row r="1520" spans="1:11" x14ac:dyDescent="0.3">
      <c r="A1520" t="s">
        <v>1550</v>
      </c>
      <c r="B1520" s="33">
        <v>43262</v>
      </c>
      <c r="C1520" s="76">
        <v>13808000597071</v>
      </c>
      <c r="D1520" s="34">
        <v>2000</v>
      </c>
      <c r="E1520" s="35" t="s">
        <v>3701</v>
      </c>
      <c r="F1520" s="35" t="s">
        <v>1499</v>
      </c>
      <c r="G1520" s="106"/>
      <c r="H1520" s="33">
        <v>43221</v>
      </c>
      <c r="I1520" s="34">
        <v>1700127446</v>
      </c>
      <c r="J1520" s="36">
        <v>178.25</v>
      </c>
      <c r="K1520" t="s">
        <v>2030</v>
      </c>
    </row>
    <row r="1521" spans="1:11" x14ac:dyDescent="0.3">
      <c r="A1521" t="s">
        <v>1550</v>
      </c>
      <c r="B1521" s="33">
        <v>43262</v>
      </c>
      <c r="C1521" s="76">
        <v>13808000597071</v>
      </c>
      <c r="D1521" s="34">
        <v>2000</v>
      </c>
      <c r="E1521" s="35" t="s">
        <v>3701</v>
      </c>
      <c r="F1521" s="35" t="s">
        <v>1489</v>
      </c>
      <c r="G1521" s="106"/>
      <c r="H1521" s="33">
        <v>43221</v>
      </c>
      <c r="I1521" s="34">
        <v>1700127444</v>
      </c>
      <c r="J1521" s="36">
        <v>178.25</v>
      </c>
      <c r="K1521" t="s">
        <v>2030</v>
      </c>
    </row>
    <row r="1522" spans="1:11" x14ac:dyDescent="0.3">
      <c r="A1522" t="s">
        <v>1550</v>
      </c>
      <c r="B1522" s="33">
        <v>43262</v>
      </c>
      <c r="C1522" s="76">
        <v>13808000597071</v>
      </c>
      <c r="D1522" s="34">
        <v>2000</v>
      </c>
      <c r="E1522" s="35" t="s">
        <v>3701</v>
      </c>
      <c r="F1522" s="35" t="s">
        <v>1493</v>
      </c>
      <c r="G1522" s="106"/>
      <c r="H1522" s="33">
        <v>43221</v>
      </c>
      <c r="I1522" s="34">
        <v>1700127443</v>
      </c>
      <c r="J1522" s="36">
        <v>178.25</v>
      </c>
      <c r="K1522" t="s">
        <v>2030</v>
      </c>
    </row>
    <row r="1523" spans="1:11" x14ac:dyDescent="0.3">
      <c r="A1523" t="s">
        <v>1550</v>
      </c>
      <c r="B1523" s="33">
        <v>43262</v>
      </c>
      <c r="C1523" s="76">
        <v>13808000597071</v>
      </c>
      <c r="D1523" s="34">
        <v>2000</v>
      </c>
      <c r="E1523" s="35" t="s">
        <v>3701</v>
      </c>
      <c r="F1523" s="35" t="s">
        <v>1490</v>
      </c>
      <c r="G1523" s="106"/>
      <c r="H1523" s="33">
        <v>43221</v>
      </c>
      <c r="I1523" s="34">
        <v>1700127442</v>
      </c>
      <c r="J1523" s="36">
        <v>178.25</v>
      </c>
      <c r="K1523" t="s">
        <v>2030</v>
      </c>
    </row>
    <row r="1524" spans="1:11" x14ac:dyDescent="0.3">
      <c r="A1524" t="s">
        <v>1550</v>
      </c>
      <c r="B1524" s="33">
        <v>43262</v>
      </c>
      <c r="C1524" s="76">
        <v>13808000597071</v>
      </c>
      <c r="D1524" s="34">
        <v>2000</v>
      </c>
      <c r="E1524" s="35" t="s">
        <v>3701</v>
      </c>
      <c r="F1524" s="35" t="s">
        <v>1519</v>
      </c>
      <c r="G1524" s="106"/>
      <c r="H1524" s="33">
        <v>43221</v>
      </c>
      <c r="I1524" s="34">
        <v>1700127395</v>
      </c>
      <c r="J1524" s="36">
        <v>178.25</v>
      </c>
      <c r="K1524" t="s">
        <v>2030</v>
      </c>
    </row>
    <row r="1525" spans="1:11" x14ac:dyDescent="0.3">
      <c r="A1525" t="s">
        <v>1550</v>
      </c>
      <c r="B1525" s="33">
        <v>43262</v>
      </c>
      <c r="C1525" s="76">
        <v>13808000597071</v>
      </c>
      <c r="D1525" s="34">
        <v>2000</v>
      </c>
      <c r="E1525" s="35" t="s">
        <v>3701</v>
      </c>
      <c r="F1525" s="35" t="s">
        <v>1516</v>
      </c>
      <c r="G1525" s="106"/>
      <c r="H1525" s="33">
        <v>43221</v>
      </c>
      <c r="I1525" s="34">
        <v>1700127394</v>
      </c>
      <c r="J1525" s="36">
        <v>178.25</v>
      </c>
      <c r="K1525" t="s">
        <v>2030</v>
      </c>
    </row>
    <row r="1526" spans="1:11" x14ac:dyDescent="0.3">
      <c r="A1526" t="s">
        <v>1550</v>
      </c>
      <c r="B1526" s="33">
        <v>43262</v>
      </c>
      <c r="C1526" s="76">
        <v>13808000597071</v>
      </c>
      <c r="D1526" s="34">
        <v>2000</v>
      </c>
      <c r="E1526" s="35" t="s">
        <v>3701</v>
      </c>
      <c r="F1526" s="35" t="s">
        <v>1515</v>
      </c>
      <c r="G1526" s="106"/>
      <c r="H1526" s="33">
        <v>43221</v>
      </c>
      <c r="I1526" s="34">
        <v>1700127393</v>
      </c>
      <c r="J1526" s="36">
        <v>178.25</v>
      </c>
      <c r="K1526" t="s">
        <v>2030</v>
      </c>
    </row>
    <row r="1527" spans="1:11" x14ac:dyDescent="0.3">
      <c r="A1527" t="s">
        <v>1550</v>
      </c>
      <c r="B1527" s="33">
        <v>43262</v>
      </c>
      <c r="C1527" s="76">
        <v>13808000597071</v>
      </c>
      <c r="D1527" s="34">
        <v>2000</v>
      </c>
      <c r="E1527" s="35" t="s">
        <v>3701</v>
      </c>
      <c r="F1527" s="35" t="s">
        <v>1517</v>
      </c>
      <c r="G1527" s="106"/>
      <c r="H1527" s="33">
        <v>43221</v>
      </c>
      <c r="I1527" s="34">
        <v>1700127392</v>
      </c>
      <c r="J1527" s="36">
        <v>178.25</v>
      </c>
      <c r="K1527" t="s">
        <v>2030</v>
      </c>
    </row>
    <row r="1528" spans="1:11" x14ac:dyDescent="0.3">
      <c r="A1528" t="s">
        <v>1550</v>
      </c>
      <c r="B1528" s="33">
        <v>43262</v>
      </c>
      <c r="C1528" s="76">
        <v>13808000597071</v>
      </c>
      <c r="D1528" s="34">
        <v>2000</v>
      </c>
      <c r="E1528" s="35" t="s">
        <v>3701</v>
      </c>
      <c r="F1528" s="35" t="s">
        <v>1518</v>
      </c>
      <c r="G1528" s="106"/>
      <c r="H1528" s="33">
        <v>43221</v>
      </c>
      <c r="I1528" s="34">
        <v>1700127391</v>
      </c>
      <c r="J1528" s="36">
        <v>178.25</v>
      </c>
      <c r="K1528" t="s">
        <v>2030</v>
      </c>
    </row>
    <row r="1529" spans="1:11" x14ac:dyDescent="0.3">
      <c r="A1529" t="s">
        <v>1550</v>
      </c>
      <c r="B1529" s="33">
        <v>43262</v>
      </c>
      <c r="C1529" s="76">
        <v>13808000597071</v>
      </c>
      <c r="D1529" s="34">
        <v>2000</v>
      </c>
      <c r="E1529" s="35" t="s">
        <v>3701</v>
      </c>
      <c r="F1529" s="35" t="s">
        <v>1513</v>
      </c>
      <c r="G1529" s="106"/>
      <c r="H1529" s="33">
        <v>43221</v>
      </c>
      <c r="I1529" s="34">
        <v>1700127390</v>
      </c>
      <c r="J1529" s="36">
        <v>178.25</v>
      </c>
      <c r="K1529" t="s">
        <v>2030</v>
      </c>
    </row>
    <row r="1530" spans="1:11" x14ac:dyDescent="0.3">
      <c r="A1530" t="s">
        <v>1550</v>
      </c>
      <c r="B1530" s="33">
        <v>43262</v>
      </c>
      <c r="C1530" s="76">
        <v>13808000597071</v>
      </c>
      <c r="D1530" s="34">
        <v>2000</v>
      </c>
      <c r="E1530" s="35" t="s">
        <v>3701</v>
      </c>
      <c r="F1530" s="35" t="s">
        <v>1512</v>
      </c>
      <c r="G1530" s="106"/>
      <c r="H1530" s="33">
        <v>43221</v>
      </c>
      <c r="I1530" s="34">
        <v>1700127389</v>
      </c>
      <c r="J1530" s="36">
        <v>178.25</v>
      </c>
      <c r="K1530" t="s">
        <v>2030</v>
      </c>
    </row>
    <row r="1531" spans="1:11" x14ac:dyDescent="0.3">
      <c r="A1531" t="s">
        <v>1550</v>
      </c>
      <c r="B1531" s="33">
        <v>43262</v>
      </c>
      <c r="C1531" s="76">
        <v>13808000597071</v>
      </c>
      <c r="D1531" s="34">
        <v>2000</v>
      </c>
      <c r="E1531" s="35" t="s">
        <v>3701</v>
      </c>
      <c r="F1531" s="35" t="s">
        <v>1510</v>
      </c>
      <c r="G1531" s="106"/>
      <c r="H1531" s="33">
        <v>43221</v>
      </c>
      <c r="I1531" s="34">
        <v>1700127388</v>
      </c>
      <c r="J1531" s="36">
        <v>178.25</v>
      </c>
      <c r="K1531" t="s">
        <v>2030</v>
      </c>
    </row>
    <row r="1532" spans="1:11" x14ac:dyDescent="0.3">
      <c r="A1532" t="s">
        <v>1550</v>
      </c>
      <c r="B1532" s="33">
        <v>43262</v>
      </c>
      <c r="C1532" s="76">
        <v>13808000597071</v>
      </c>
      <c r="D1532" s="34">
        <v>2000</v>
      </c>
      <c r="E1532" s="35" t="s">
        <v>3701</v>
      </c>
      <c r="F1532" s="35" t="s">
        <v>1511</v>
      </c>
      <c r="G1532" s="106"/>
      <c r="H1532" s="33">
        <v>43221</v>
      </c>
      <c r="I1532" s="34">
        <v>1700127387</v>
      </c>
      <c r="J1532" s="36">
        <v>178.25</v>
      </c>
      <c r="K1532" t="s">
        <v>2030</v>
      </c>
    </row>
    <row r="1533" spans="1:11" x14ac:dyDescent="0.3">
      <c r="A1533" t="s">
        <v>1550</v>
      </c>
      <c r="B1533" s="33">
        <v>43262</v>
      </c>
      <c r="C1533" s="76">
        <v>13808000597071</v>
      </c>
      <c r="D1533" s="34">
        <v>2000</v>
      </c>
      <c r="E1533" s="35" t="s">
        <v>3701</v>
      </c>
      <c r="F1533" s="35" t="s">
        <v>1507</v>
      </c>
      <c r="G1533" s="106"/>
      <c r="H1533" s="33">
        <v>43221</v>
      </c>
      <c r="I1533" s="34">
        <v>1700127386</v>
      </c>
      <c r="J1533" s="36">
        <v>178.25</v>
      </c>
      <c r="K1533" t="s">
        <v>2030</v>
      </c>
    </row>
    <row r="1534" spans="1:11" x14ac:dyDescent="0.3">
      <c r="A1534" t="s">
        <v>1550</v>
      </c>
      <c r="B1534" s="33">
        <v>43262</v>
      </c>
      <c r="C1534" s="76">
        <v>13808000597071</v>
      </c>
      <c r="D1534" s="34">
        <v>2000</v>
      </c>
      <c r="E1534" s="35" t="s">
        <v>3701</v>
      </c>
      <c r="F1534" s="35" t="s">
        <v>1506</v>
      </c>
      <c r="G1534" s="106"/>
      <c r="H1534" s="33">
        <v>43221</v>
      </c>
      <c r="I1534" s="34">
        <v>1700127385</v>
      </c>
      <c r="J1534" s="36">
        <v>178.25</v>
      </c>
      <c r="K1534" t="s">
        <v>2030</v>
      </c>
    </row>
    <row r="1535" spans="1:11" x14ac:dyDescent="0.3">
      <c r="A1535" t="s">
        <v>1550</v>
      </c>
      <c r="B1535" s="33">
        <v>43262</v>
      </c>
      <c r="C1535" s="76">
        <v>13808000597071</v>
      </c>
      <c r="D1535" s="34">
        <v>2000</v>
      </c>
      <c r="E1535" s="35" t="s">
        <v>3701</v>
      </c>
      <c r="F1535" s="35" t="s">
        <v>1509</v>
      </c>
      <c r="G1535" s="106"/>
      <c r="H1535" s="33">
        <v>43221</v>
      </c>
      <c r="I1535" s="34">
        <v>1700127384</v>
      </c>
      <c r="J1535" s="36">
        <v>178.25</v>
      </c>
      <c r="K1535" t="s">
        <v>2030</v>
      </c>
    </row>
    <row r="1536" spans="1:11" x14ac:dyDescent="0.3">
      <c r="A1536" t="s">
        <v>1550</v>
      </c>
      <c r="B1536" s="33">
        <v>43262</v>
      </c>
      <c r="C1536" s="76">
        <v>13808000597071</v>
      </c>
      <c r="D1536" s="34">
        <v>2000</v>
      </c>
      <c r="E1536" s="35" t="s">
        <v>3701</v>
      </c>
      <c r="F1536" s="35" t="s">
        <v>1508</v>
      </c>
      <c r="G1536" s="106"/>
      <c r="H1536" s="33">
        <v>43221</v>
      </c>
      <c r="I1536" s="34">
        <v>1700127383</v>
      </c>
      <c r="J1536" s="36">
        <v>178.25</v>
      </c>
      <c r="K1536" t="s">
        <v>2030</v>
      </c>
    </row>
    <row r="1537" spans="1:11" x14ac:dyDescent="0.3">
      <c r="A1537" t="s">
        <v>1550</v>
      </c>
      <c r="B1537" s="33">
        <v>43262</v>
      </c>
      <c r="C1537" s="76">
        <v>13808000597071</v>
      </c>
      <c r="D1537" s="34">
        <v>2000</v>
      </c>
      <c r="E1537" s="35" t="s">
        <v>3701</v>
      </c>
      <c r="F1537" s="35" t="s">
        <v>1532</v>
      </c>
      <c r="G1537" s="106"/>
      <c r="H1537" s="33">
        <v>43221</v>
      </c>
      <c r="I1537" s="34">
        <v>1700127418</v>
      </c>
      <c r="J1537" s="36">
        <v>178.25</v>
      </c>
      <c r="K1537" t="s">
        <v>2030</v>
      </c>
    </row>
    <row r="1538" spans="1:11" x14ac:dyDescent="0.3">
      <c r="A1538" t="s">
        <v>1550</v>
      </c>
      <c r="B1538" s="33">
        <v>43262</v>
      </c>
      <c r="C1538" s="76">
        <v>13808000597071</v>
      </c>
      <c r="D1538" s="34">
        <v>2000</v>
      </c>
      <c r="E1538" s="35" t="s">
        <v>3701</v>
      </c>
      <c r="F1538" s="35" t="s">
        <v>1481</v>
      </c>
      <c r="G1538" s="106"/>
      <c r="H1538" s="33">
        <v>43221</v>
      </c>
      <c r="I1538" s="34">
        <v>1700127417</v>
      </c>
      <c r="J1538" s="36">
        <v>178.25</v>
      </c>
      <c r="K1538" t="s">
        <v>2030</v>
      </c>
    </row>
    <row r="1539" spans="1:11" x14ac:dyDescent="0.3">
      <c r="A1539" t="s">
        <v>1550</v>
      </c>
      <c r="B1539" s="33">
        <v>43262</v>
      </c>
      <c r="C1539" s="76">
        <v>13808000597071</v>
      </c>
      <c r="D1539" s="34">
        <v>2000</v>
      </c>
      <c r="E1539" s="35" t="s">
        <v>3701</v>
      </c>
      <c r="F1539" s="35" t="s">
        <v>1479</v>
      </c>
      <c r="G1539" s="106"/>
      <c r="H1539" s="33">
        <v>43221</v>
      </c>
      <c r="I1539" s="34">
        <v>1700127416</v>
      </c>
      <c r="J1539" s="36">
        <v>178.25</v>
      </c>
      <c r="K1539" t="s">
        <v>2030</v>
      </c>
    </row>
    <row r="1540" spans="1:11" x14ac:dyDescent="0.3">
      <c r="A1540" t="s">
        <v>1550</v>
      </c>
      <c r="B1540" s="33">
        <v>43262</v>
      </c>
      <c r="C1540" s="76">
        <v>13808000597071</v>
      </c>
      <c r="D1540" s="34">
        <v>2000</v>
      </c>
      <c r="E1540" s="35" t="s">
        <v>3701</v>
      </c>
      <c r="F1540" s="35" t="s">
        <v>1536</v>
      </c>
      <c r="G1540" s="106"/>
      <c r="H1540" s="33">
        <v>43221</v>
      </c>
      <c r="I1540" s="34">
        <v>1700127415</v>
      </c>
      <c r="J1540" s="36">
        <v>178.25</v>
      </c>
      <c r="K1540" t="s">
        <v>2030</v>
      </c>
    </row>
    <row r="1541" spans="1:11" x14ac:dyDescent="0.3">
      <c r="A1541" t="s">
        <v>1550</v>
      </c>
      <c r="B1541" s="33">
        <v>43262</v>
      </c>
      <c r="C1541" s="76">
        <v>13808000597071</v>
      </c>
      <c r="D1541" s="34">
        <v>2000</v>
      </c>
      <c r="E1541" s="35" t="s">
        <v>3701</v>
      </c>
      <c r="F1541" s="35" t="s">
        <v>1480</v>
      </c>
      <c r="G1541" s="106"/>
      <c r="H1541" s="33">
        <v>43221</v>
      </c>
      <c r="I1541" s="34">
        <v>1700127414</v>
      </c>
      <c r="J1541" s="36">
        <v>178.25</v>
      </c>
      <c r="K1541" t="s">
        <v>2030</v>
      </c>
    </row>
    <row r="1542" spans="1:11" x14ac:dyDescent="0.3">
      <c r="A1542" t="s">
        <v>1550</v>
      </c>
      <c r="B1542" s="33">
        <v>43262</v>
      </c>
      <c r="C1542" s="76">
        <v>13808000597071</v>
      </c>
      <c r="D1542" s="34">
        <v>2000</v>
      </c>
      <c r="E1542" s="35" t="s">
        <v>3701</v>
      </c>
      <c r="F1542" s="35" t="s">
        <v>1487</v>
      </c>
      <c r="G1542" s="106"/>
      <c r="H1542" s="33">
        <v>43221</v>
      </c>
      <c r="I1542" s="34">
        <v>1700127413</v>
      </c>
      <c r="J1542" s="36">
        <v>178.25</v>
      </c>
      <c r="K1542" t="s">
        <v>2030</v>
      </c>
    </row>
    <row r="1543" spans="1:11" x14ac:dyDescent="0.3">
      <c r="A1543" t="s">
        <v>1550</v>
      </c>
      <c r="B1543" s="33">
        <v>43262</v>
      </c>
      <c r="C1543" s="76">
        <v>13808000597071</v>
      </c>
      <c r="D1543" s="34">
        <v>2000</v>
      </c>
      <c r="E1543" s="35" t="s">
        <v>3701</v>
      </c>
      <c r="F1543" s="35" t="s">
        <v>1482</v>
      </c>
      <c r="G1543" s="106"/>
      <c r="H1543" s="33">
        <v>43221</v>
      </c>
      <c r="I1543" s="34">
        <v>1700127412</v>
      </c>
      <c r="J1543" s="36">
        <v>178.25</v>
      </c>
      <c r="K1543" t="s">
        <v>2030</v>
      </c>
    </row>
    <row r="1544" spans="1:11" x14ac:dyDescent="0.3">
      <c r="A1544" t="s">
        <v>1550</v>
      </c>
      <c r="B1544" s="33">
        <v>43262</v>
      </c>
      <c r="C1544" s="76">
        <v>13808000597071</v>
      </c>
      <c r="D1544" s="34">
        <v>2000</v>
      </c>
      <c r="E1544" s="35" t="s">
        <v>3701</v>
      </c>
      <c r="F1544" s="35" t="s">
        <v>1477</v>
      </c>
      <c r="G1544" s="106"/>
      <c r="H1544" s="33">
        <v>43221</v>
      </c>
      <c r="I1544" s="34">
        <v>1700127411</v>
      </c>
      <c r="J1544" s="36">
        <v>178.25</v>
      </c>
      <c r="K1544" t="s">
        <v>2030</v>
      </c>
    </row>
    <row r="1545" spans="1:11" x14ac:dyDescent="0.3">
      <c r="A1545" t="s">
        <v>1550</v>
      </c>
      <c r="B1545" s="33">
        <v>43262</v>
      </c>
      <c r="C1545" s="76">
        <v>13808000597071</v>
      </c>
      <c r="D1545" s="34">
        <v>2000</v>
      </c>
      <c r="E1545" s="35" t="s">
        <v>3701</v>
      </c>
      <c r="F1545" s="35" t="s">
        <v>1476</v>
      </c>
      <c r="G1545" s="106"/>
      <c r="H1545" s="33">
        <v>43221</v>
      </c>
      <c r="I1545" s="34">
        <v>1700127410</v>
      </c>
      <c r="J1545" s="36">
        <v>178.25</v>
      </c>
      <c r="K1545" t="s">
        <v>2030</v>
      </c>
    </row>
    <row r="1546" spans="1:11" x14ac:dyDescent="0.3">
      <c r="A1546" t="s">
        <v>1550</v>
      </c>
      <c r="B1546" s="33">
        <v>43262</v>
      </c>
      <c r="C1546" s="76">
        <v>13808000597071</v>
      </c>
      <c r="D1546" s="34">
        <v>2000</v>
      </c>
      <c r="E1546" s="35" t="s">
        <v>3701</v>
      </c>
      <c r="F1546" s="35" t="s">
        <v>1523</v>
      </c>
      <c r="G1546" s="106"/>
      <c r="H1546" s="33">
        <v>43221</v>
      </c>
      <c r="I1546" s="34">
        <v>1700127409</v>
      </c>
      <c r="J1546" s="36">
        <v>178.25</v>
      </c>
      <c r="K1546" t="s">
        <v>2030</v>
      </c>
    </row>
    <row r="1547" spans="1:11" x14ac:dyDescent="0.3">
      <c r="A1547" t="s">
        <v>1550</v>
      </c>
      <c r="B1547" s="33">
        <v>43262</v>
      </c>
      <c r="C1547" s="76">
        <v>13808000597071</v>
      </c>
      <c r="D1547" s="34">
        <v>2000</v>
      </c>
      <c r="E1547" s="35" t="s">
        <v>3701</v>
      </c>
      <c r="F1547" s="35" t="s">
        <v>1526</v>
      </c>
      <c r="G1547" s="106"/>
      <c r="H1547" s="33">
        <v>43221</v>
      </c>
      <c r="I1547" s="34">
        <v>1700127408</v>
      </c>
      <c r="J1547" s="36">
        <v>178.25</v>
      </c>
      <c r="K1547" t="s">
        <v>2030</v>
      </c>
    </row>
    <row r="1548" spans="1:11" x14ac:dyDescent="0.3">
      <c r="A1548" t="s">
        <v>1550</v>
      </c>
      <c r="B1548" s="33">
        <v>43262</v>
      </c>
      <c r="C1548" s="76">
        <v>13808000597071</v>
      </c>
      <c r="D1548" s="34">
        <v>2000</v>
      </c>
      <c r="E1548" s="35" t="s">
        <v>3701</v>
      </c>
      <c r="F1548" s="35" t="s">
        <v>1478</v>
      </c>
      <c r="G1548" s="106"/>
      <c r="H1548" s="33">
        <v>43221</v>
      </c>
      <c r="I1548" s="34">
        <v>1700127407</v>
      </c>
      <c r="J1548" s="36">
        <v>178.25</v>
      </c>
      <c r="K1548" t="s">
        <v>2030</v>
      </c>
    </row>
    <row r="1549" spans="1:11" x14ac:dyDescent="0.3">
      <c r="A1549" t="s">
        <v>1550</v>
      </c>
      <c r="B1549" s="33">
        <v>43262</v>
      </c>
      <c r="C1549" s="76">
        <v>13808000597071</v>
      </c>
      <c r="D1549" s="34">
        <v>2000</v>
      </c>
      <c r="E1549" s="35" t="s">
        <v>3701</v>
      </c>
      <c r="F1549" s="35" t="s">
        <v>1475</v>
      </c>
      <c r="G1549" s="106"/>
      <c r="H1549" s="33">
        <v>43221</v>
      </c>
      <c r="I1549" s="34">
        <v>1700127406</v>
      </c>
      <c r="J1549" s="36">
        <v>178.25</v>
      </c>
      <c r="K1549" t="s">
        <v>2030</v>
      </c>
    </row>
    <row r="1550" spans="1:11" x14ac:dyDescent="0.3">
      <c r="A1550" t="s">
        <v>1550</v>
      </c>
      <c r="B1550" s="33">
        <v>43262</v>
      </c>
      <c r="C1550" s="76">
        <v>13808000597071</v>
      </c>
      <c r="D1550" s="34">
        <v>2000</v>
      </c>
      <c r="E1550" s="35" t="s">
        <v>3701</v>
      </c>
      <c r="F1550" s="35" t="s">
        <v>1524</v>
      </c>
      <c r="G1550" s="106"/>
      <c r="H1550" s="33">
        <v>43221</v>
      </c>
      <c r="I1550" s="34">
        <v>1700127405</v>
      </c>
      <c r="J1550" s="36">
        <v>178.25</v>
      </c>
      <c r="K1550" t="s">
        <v>2030</v>
      </c>
    </row>
    <row r="1551" spans="1:11" x14ac:dyDescent="0.3">
      <c r="A1551" t="s">
        <v>1550</v>
      </c>
      <c r="B1551" s="33">
        <v>43262</v>
      </c>
      <c r="C1551" s="76">
        <v>13808000597071</v>
      </c>
      <c r="D1551" s="34">
        <v>2000</v>
      </c>
      <c r="E1551" s="35" t="s">
        <v>3701</v>
      </c>
      <c r="F1551" s="35" t="s">
        <v>35</v>
      </c>
      <c r="G1551" s="106"/>
      <c r="H1551" s="33">
        <v>43221</v>
      </c>
      <c r="I1551" s="34">
        <v>1700127404</v>
      </c>
      <c r="J1551" s="36">
        <v>178.25</v>
      </c>
      <c r="K1551" t="s">
        <v>2030</v>
      </c>
    </row>
    <row r="1552" spans="1:11" x14ac:dyDescent="0.3">
      <c r="A1552" t="s">
        <v>1550</v>
      </c>
      <c r="B1552" s="33">
        <v>43262</v>
      </c>
      <c r="C1552" s="76">
        <v>13808000597071</v>
      </c>
      <c r="D1552" s="34">
        <v>2000</v>
      </c>
      <c r="E1552" s="35" t="s">
        <v>3701</v>
      </c>
      <c r="F1552" s="35" t="s">
        <v>1474</v>
      </c>
      <c r="G1552" s="106"/>
      <c r="H1552" s="33">
        <v>43221</v>
      </c>
      <c r="I1552" s="34">
        <v>1700127403</v>
      </c>
      <c r="J1552" s="36">
        <v>434</v>
      </c>
      <c r="K1552" t="s">
        <v>2030</v>
      </c>
    </row>
    <row r="1553" spans="1:11" x14ac:dyDescent="0.3">
      <c r="A1553" t="s">
        <v>1550</v>
      </c>
      <c r="B1553" s="33">
        <v>43262</v>
      </c>
      <c r="C1553" s="76">
        <v>13808000597071</v>
      </c>
      <c r="D1553" s="34">
        <v>2000</v>
      </c>
      <c r="E1553" s="35" t="s">
        <v>3701</v>
      </c>
      <c r="F1553" s="35" t="s">
        <v>1473</v>
      </c>
      <c r="G1553" s="106"/>
      <c r="H1553" s="33">
        <v>43221</v>
      </c>
      <c r="I1553" s="34">
        <v>1700127402</v>
      </c>
      <c r="J1553" s="36">
        <v>434</v>
      </c>
      <c r="K1553" t="s">
        <v>2030</v>
      </c>
    </row>
    <row r="1554" spans="1:11" x14ac:dyDescent="0.3">
      <c r="A1554" t="s">
        <v>1550</v>
      </c>
      <c r="B1554" s="33">
        <v>43262</v>
      </c>
      <c r="C1554" s="76">
        <v>13808000597071</v>
      </c>
      <c r="D1554" s="34">
        <v>2000</v>
      </c>
      <c r="E1554" s="35" t="s">
        <v>3701</v>
      </c>
      <c r="F1554" s="35" t="s">
        <v>1522</v>
      </c>
      <c r="G1554" s="106"/>
      <c r="H1554" s="33">
        <v>43221</v>
      </c>
      <c r="I1554" s="34">
        <v>1700127401</v>
      </c>
      <c r="J1554" s="36">
        <v>178.25</v>
      </c>
      <c r="K1554" t="s">
        <v>2030</v>
      </c>
    </row>
    <row r="1555" spans="1:11" x14ac:dyDescent="0.3">
      <c r="A1555" t="s">
        <v>1550</v>
      </c>
      <c r="B1555" s="33">
        <v>43262</v>
      </c>
      <c r="C1555" s="76">
        <v>13808000597071</v>
      </c>
      <c r="D1555" s="34">
        <v>2000</v>
      </c>
      <c r="E1555" s="35" t="s">
        <v>3701</v>
      </c>
      <c r="F1555" s="35" t="s">
        <v>1525</v>
      </c>
      <c r="G1555" s="106"/>
      <c r="H1555" s="33">
        <v>43221</v>
      </c>
      <c r="I1555" s="34">
        <v>1700127400</v>
      </c>
      <c r="J1555" s="36">
        <v>178.25</v>
      </c>
      <c r="K1555" t="s">
        <v>2030</v>
      </c>
    </row>
    <row r="1556" spans="1:11" x14ac:dyDescent="0.3">
      <c r="A1556" t="s">
        <v>1550</v>
      </c>
      <c r="B1556" s="33">
        <v>43262</v>
      </c>
      <c r="C1556" s="76">
        <v>13808000597071</v>
      </c>
      <c r="D1556" s="34">
        <v>2000</v>
      </c>
      <c r="E1556" s="35" t="s">
        <v>3701</v>
      </c>
      <c r="F1556" s="35" t="s">
        <v>1472</v>
      </c>
      <c r="G1556" s="106"/>
      <c r="H1556" s="33">
        <v>43221</v>
      </c>
      <c r="I1556" s="34">
        <v>1700127399</v>
      </c>
      <c r="J1556" s="36">
        <v>434</v>
      </c>
      <c r="K1556" t="s">
        <v>2030</v>
      </c>
    </row>
    <row r="1557" spans="1:11" x14ac:dyDescent="0.3">
      <c r="A1557" t="s">
        <v>1550</v>
      </c>
      <c r="B1557" s="33">
        <v>43262</v>
      </c>
      <c r="C1557" s="76">
        <v>13808000597071</v>
      </c>
      <c r="D1557" s="34">
        <v>2000</v>
      </c>
      <c r="E1557" s="35" t="s">
        <v>3701</v>
      </c>
      <c r="F1557" s="35" t="s">
        <v>1521</v>
      </c>
      <c r="G1557" s="106"/>
      <c r="H1557" s="33">
        <v>43221</v>
      </c>
      <c r="I1557" s="34">
        <v>1700127398</v>
      </c>
      <c r="J1557" s="36">
        <v>178.25</v>
      </c>
      <c r="K1557" t="s">
        <v>2030</v>
      </c>
    </row>
    <row r="1558" spans="1:11" x14ac:dyDescent="0.3">
      <c r="A1558" t="s">
        <v>1550</v>
      </c>
      <c r="B1558" s="33">
        <v>43262</v>
      </c>
      <c r="C1558" s="76">
        <v>13808000597071</v>
      </c>
      <c r="D1558" s="34">
        <v>2000</v>
      </c>
      <c r="E1558" s="35" t="s">
        <v>3701</v>
      </c>
      <c r="F1558" s="35" t="s">
        <v>1520</v>
      </c>
      <c r="G1558" s="106"/>
      <c r="H1558" s="33">
        <v>43221</v>
      </c>
      <c r="I1558" s="34">
        <v>1700127397</v>
      </c>
      <c r="J1558" s="36">
        <v>178.25</v>
      </c>
      <c r="K1558" t="s">
        <v>2030</v>
      </c>
    </row>
    <row r="1559" spans="1:11" x14ac:dyDescent="0.3">
      <c r="A1559" t="s">
        <v>1550</v>
      </c>
      <c r="B1559" s="33">
        <v>43262</v>
      </c>
      <c r="C1559" s="76">
        <v>13808000597071</v>
      </c>
      <c r="D1559" s="34">
        <v>2000</v>
      </c>
      <c r="E1559" s="35" t="s">
        <v>3701</v>
      </c>
      <c r="F1559" s="35" t="s">
        <v>1514</v>
      </c>
      <c r="G1559" s="106"/>
      <c r="H1559" s="33">
        <v>43221</v>
      </c>
      <c r="I1559" s="34">
        <v>1700127396</v>
      </c>
      <c r="J1559" s="36">
        <v>178.25</v>
      </c>
      <c r="K1559" t="s">
        <v>2030</v>
      </c>
    </row>
    <row r="1560" spans="1:11" x14ac:dyDescent="0.3">
      <c r="A1560" t="s">
        <v>1550</v>
      </c>
      <c r="B1560" s="33">
        <v>43262</v>
      </c>
      <c r="C1560" s="76">
        <v>13808000597073</v>
      </c>
      <c r="D1560" s="34">
        <v>1</v>
      </c>
      <c r="E1560" s="35" t="s">
        <v>3701</v>
      </c>
      <c r="F1560" s="35" t="s">
        <v>53</v>
      </c>
      <c r="G1560" s="106"/>
      <c r="H1560" s="33">
        <v>43221</v>
      </c>
      <c r="I1560" s="34">
        <v>1700582296</v>
      </c>
      <c r="J1560" s="36">
        <v>178.25</v>
      </c>
      <c r="K1560" t="s">
        <v>2030</v>
      </c>
    </row>
    <row r="1561" spans="1:11" x14ac:dyDescent="0.3">
      <c r="A1561" t="s">
        <v>1550</v>
      </c>
      <c r="B1561" s="33">
        <v>43262</v>
      </c>
      <c r="C1561" s="76">
        <v>13808000597073</v>
      </c>
      <c r="D1561" s="34">
        <v>1</v>
      </c>
      <c r="E1561" s="35" t="s">
        <v>3701</v>
      </c>
      <c r="F1561" s="35" t="s">
        <v>59</v>
      </c>
      <c r="G1561" s="106"/>
      <c r="H1561" s="33">
        <v>43221</v>
      </c>
      <c r="I1561" s="34">
        <v>1700582292</v>
      </c>
      <c r="J1561" s="36">
        <v>178.25</v>
      </c>
      <c r="K1561" t="s">
        <v>2030</v>
      </c>
    </row>
    <row r="1562" spans="1:11" x14ac:dyDescent="0.3">
      <c r="A1562" t="s">
        <v>1550</v>
      </c>
      <c r="B1562" s="33">
        <v>43262</v>
      </c>
      <c r="C1562" s="76">
        <v>13808000597073</v>
      </c>
      <c r="D1562" s="34">
        <v>1</v>
      </c>
      <c r="E1562" s="35" t="s">
        <v>3701</v>
      </c>
      <c r="F1562" s="35" t="s">
        <v>54</v>
      </c>
      <c r="G1562" s="106"/>
      <c r="H1562" s="33">
        <v>43221</v>
      </c>
      <c r="I1562" s="34">
        <v>1700582290</v>
      </c>
      <c r="J1562" s="36">
        <v>178.25</v>
      </c>
      <c r="K1562" t="s">
        <v>2030</v>
      </c>
    </row>
    <row r="1563" spans="1:11" x14ac:dyDescent="0.3">
      <c r="A1563" t="s">
        <v>1550</v>
      </c>
      <c r="B1563" s="33">
        <v>43262</v>
      </c>
      <c r="C1563" s="76">
        <v>13808000597073</v>
      </c>
      <c r="D1563" s="34">
        <v>1</v>
      </c>
      <c r="E1563" s="35" t="s">
        <v>3701</v>
      </c>
      <c r="F1563" s="35" t="s">
        <v>58</v>
      </c>
      <c r="G1563" s="106"/>
      <c r="H1563" s="33">
        <v>43221</v>
      </c>
      <c r="I1563" s="34">
        <v>1700582289</v>
      </c>
      <c r="J1563" s="36">
        <v>178.25</v>
      </c>
      <c r="K1563" t="s">
        <v>2030</v>
      </c>
    </row>
    <row r="1564" spans="1:11" x14ac:dyDescent="0.3">
      <c r="A1564" t="s">
        <v>1550</v>
      </c>
      <c r="B1564" s="33">
        <v>43262</v>
      </c>
      <c r="C1564" s="76">
        <v>13808000597073</v>
      </c>
      <c r="D1564" s="34">
        <v>1</v>
      </c>
      <c r="E1564" s="35" t="s">
        <v>3701</v>
      </c>
      <c r="F1564" s="35" t="s">
        <v>60</v>
      </c>
      <c r="G1564" s="106"/>
      <c r="H1564" s="33">
        <v>43221</v>
      </c>
      <c r="I1564" s="34">
        <v>1700582288</v>
      </c>
      <c r="J1564" s="36">
        <v>178.25</v>
      </c>
      <c r="K1564" t="s">
        <v>2030</v>
      </c>
    </row>
    <row r="1565" spans="1:11" x14ac:dyDescent="0.3">
      <c r="A1565" t="s">
        <v>1550</v>
      </c>
      <c r="B1565" s="33">
        <v>43262</v>
      </c>
      <c r="C1565" s="76">
        <v>13808000597073</v>
      </c>
      <c r="D1565" s="34">
        <v>1</v>
      </c>
      <c r="E1565" s="35" t="s">
        <v>3701</v>
      </c>
      <c r="F1565" s="35" t="s">
        <v>55</v>
      </c>
      <c r="G1565" s="106"/>
      <c r="H1565" s="33">
        <v>43221</v>
      </c>
      <c r="I1565" s="34">
        <v>1700582286</v>
      </c>
      <c r="J1565" s="36">
        <v>178.25</v>
      </c>
      <c r="K1565" t="s">
        <v>2030</v>
      </c>
    </row>
    <row r="1566" spans="1:11" x14ac:dyDescent="0.3">
      <c r="A1566" t="s">
        <v>1550</v>
      </c>
      <c r="B1566" s="33">
        <v>43262</v>
      </c>
      <c r="C1566" s="76">
        <v>13808000597073</v>
      </c>
      <c r="D1566" s="34">
        <v>1</v>
      </c>
      <c r="E1566" s="35" t="s">
        <v>3701</v>
      </c>
      <c r="F1566" s="35" t="s">
        <v>61</v>
      </c>
      <c r="G1566" s="106"/>
      <c r="H1566" s="33">
        <v>43221</v>
      </c>
      <c r="I1566" s="34">
        <v>1700582284</v>
      </c>
      <c r="J1566" s="36">
        <v>178.25</v>
      </c>
      <c r="K1566" t="s">
        <v>2030</v>
      </c>
    </row>
    <row r="1567" spans="1:11" x14ac:dyDescent="0.3">
      <c r="A1567" t="s">
        <v>1550</v>
      </c>
      <c r="B1567" s="33">
        <v>43262</v>
      </c>
      <c r="C1567" s="76">
        <v>13808000597073</v>
      </c>
      <c r="D1567" s="34">
        <v>1</v>
      </c>
      <c r="E1567" s="35" t="s">
        <v>3701</v>
      </c>
      <c r="F1567" s="35" t="s">
        <v>63</v>
      </c>
      <c r="G1567" s="106"/>
      <c r="H1567" s="33">
        <v>43221</v>
      </c>
      <c r="I1567" s="34">
        <v>1700582282</v>
      </c>
      <c r="J1567" s="36">
        <v>178.25</v>
      </c>
      <c r="K1567" t="s">
        <v>2030</v>
      </c>
    </row>
    <row r="1568" spans="1:11" x14ac:dyDescent="0.3">
      <c r="A1568" t="s">
        <v>1550</v>
      </c>
      <c r="B1568" s="33">
        <v>43262</v>
      </c>
      <c r="C1568" s="76">
        <v>13808000597073</v>
      </c>
      <c r="D1568" s="34">
        <v>1</v>
      </c>
      <c r="E1568" s="35" t="s">
        <v>3701</v>
      </c>
      <c r="F1568" s="35" t="s">
        <v>62</v>
      </c>
      <c r="G1568" s="106"/>
      <c r="H1568" s="33">
        <v>43221</v>
      </c>
      <c r="I1568" s="34">
        <v>1700582281</v>
      </c>
      <c r="J1568" s="36">
        <v>178.25</v>
      </c>
      <c r="K1568" t="s">
        <v>2030</v>
      </c>
    </row>
    <row r="1569" spans="1:11" x14ac:dyDescent="0.3">
      <c r="A1569" t="s">
        <v>1550</v>
      </c>
      <c r="B1569" s="33">
        <v>43262</v>
      </c>
      <c r="C1569" s="76">
        <v>13808000597073</v>
      </c>
      <c r="D1569" s="34">
        <v>1</v>
      </c>
      <c r="E1569" s="35" t="s">
        <v>3701</v>
      </c>
      <c r="F1569" s="35" t="s">
        <v>123</v>
      </c>
      <c r="G1569" s="106"/>
      <c r="H1569" s="33">
        <v>43221</v>
      </c>
      <c r="I1569" s="34">
        <v>1700582279</v>
      </c>
      <c r="J1569" s="36">
        <v>178.25</v>
      </c>
      <c r="K1569" t="s">
        <v>2030</v>
      </c>
    </row>
    <row r="1570" spans="1:11" x14ac:dyDescent="0.3">
      <c r="A1570" t="s">
        <v>1550</v>
      </c>
      <c r="B1570" s="33">
        <v>43262</v>
      </c>
      <c r="C1570" s="76">
        <v>13808000597073</v>
      </c>
      <c r="D1570" s="34">
        <v>1</v>
      </c>
      <c r="E1570" s="35" t="s">
        <v>3701</v>
      </c>
      <c r="F1570" s="35" t="s">
        <v>122</v>
      </c>
      <c r="G1570" s="106"/>
      <c r="H1570" s="33">
        <v>43221</v>
      </c>
      <c r="I1570" s="34">
        <v>1700582277</v>
      </c>
      <c r="J1570" s="36">
        <v>178.25</v>
      </c>
      <c r="K1570" t="s">
        <v>2030</v>
      </c>
    </row>
    <row r="1571" spans="1:11" x14ac:dyDescent="0.3">
      <c r="A1571" t="s">
        <v>1550</v>
      </c>
      <c r="B1571" s="33">
        <v>43262</v>
      </c>
      <c r="C1571" s="76">
        <v>13808000597073</v>
      </c>
      <c r="D1571" s="34">
        <v>1</v>
      </c>
      <c r="E1571" s="35" t="s">
        <v>3701</v>
      </c>
      <c r="F1571" s="35" t="s">
        <v>114</v>
      </c>
      <c r="G1571" s="106"/>
      <c r="H1571" s="33">
        <v>43221</v>
      </c>
      <c r="I1571" s="34">
        <v>1700581897</v>
      </c>
      <c r="J1571" s="36">
        <v>480.5</v>
      </c>
      <c r="K1571" t="s">
        <v>2030</v>
      </c>
    </row>
    <row r="1572" spans="1:11" x14ac:dyDescent="0.3">
      <c r="A1572" t="s">
        <v>1550</v>
      </c>
      <c r="B1572" s="33">
        <v>43262</v>
      </c>
      <c r="C1572" s="76">
        <v>13808000597073</v>
      </c>
      <c r="D1572" s="34">
        <v>1</v>
      </c>
      <c r="E1572" s="35" t="s">
        <v>3701</v>
      </c>
      <c r="F1572" s="35" t="s">
        <v>117</v>
      </c>
      <c r="G1572" s="106"/>
      <c r="H1572" s="33">
        <v>43221</v>
      </c>
      <c r="I1572" s="34">
        <v>1700581896</v>
      </c>
      <c r="J1572" s="36">
        <v>480.5</v>
      </c>
      <c r="K1572" t="s">
        <v>2030</v>
      </c>
    </row>
    <row r="1573" spans="1:11" x14ac:dyDescent="0.3">
      <c r="A1573" t="s">
        <v>1550</v>
      </c>
      <c r="B1573" s="33">
        <v>43262</v>
      </c>
      <c r="C1573" s="76">
        <v>13808000597073</v>
      </c>
      <c r="D1573" s="34">
        <v>1</v>
      </c>
      <c r="E1573" s="35" t="s">
        <v>3701</v>
      </c>
      <c r="F1573" s="35" t="s">
        <v>115</v>
      </c>
      <c r="G1573" s="106"/>
      <c r="H1573" s="33">
        <v>43221</v>
      </c>
      <c r="I1573" s="34">
        <v>1700581898</v>
      </c>
      <c r="J1573" s="36">
        <v>480.5</v>
      </c>
      <c r="K1573" t="s">
        <v>2030</v>
      </c>
    </row>
    <row r="1574" spans="1:11" x14ac:dyDescent="0.3">
      <c r="A1574" t="s">
        <v>1550</v>
      </c>
      <c r="B1574" s="33">
        <v>43262</v>
      </c>
      <c r="C1574" s="76">
        <v>13808000597073</v>
      </c>
      <c r="D1574" s="34">
        <v>1</v>
      </c>
      <c r="E1574" s="35" t="s">
        <v>3701</v>
      </c>
      <c r="F1574" s="35" t="s">
        <v>9</v>
      </c>
      <c r="G1574" s="106"/>
      <c r="H1574" s="33">
        <v>43221</v>
      </c>
      <c r="I1574" s="34">
        <v>1700581899</v>
      </c>
      <c r="J1574" s="36">
        <v>178.25</v>
      </c>
      <c r="K1574" t="s">
        <v>2030</v>
      </c>
    </row>
    <row r="1575" spans="1:11" x14ac:dyDescent="0.3">
      <c r="A1575" t="s">
        <v>1550</v>
      </c>
      <c r="B1575" s="33">
        <v>43262</v>
      </c>
      <c r="C1575" s="76">
        <v>13808000597073</v>
      </c>
      <c r="D1575" s="34">
        <v>1</v>
      </c>
      <c r="E1575" s="35" t="s">
        <v>3701</v>
      </c>
      <c r="F1575" s="35" t="s">
        <v>113</v>
      </c>
      <c r="G1575" s="106"/>
      <c r="H1575" s="33">
        <v>43221</v>
      </c>
      <c r="I1575" s="34">
        <v>1700581900</v>
      </c>
      <c r="J1575" s="36">
        <v>480.5</v>
      </c>
      <c r="K1575" t="s">
        <v>2030</v>
      </c>
    </row>
    <row r="1576" spans="1:11" x14ac:dyDescent="0.3">
      <c r="A1576" t="s">
        <v>1550</v>
      </c>
      <c r="B1576" s="33">
        <v>43262</v>
      </c>
      <c r="C1576" s="76">
        <v>13808000597073</v>
      </c>
      <c r="D1576" s="34">
        <v>1</v>
      </c>
      <c r="E1576" s="35" t="s">
        <v>3701</v>
      </c>
      <c r="F1576" s="35" t="s">
        <v>116</v>
      </c>
      <c r="G1576" s="106"/>
      <c r="H1576" s="33">
        <v>43221</v>
      </c>
      <c r="I1576" s="34">
        <v>1700581895</v>
      </c>
      <c r="J1576" s="36">
        <v>480.5</v>
      </c>
      <c r="K1576" t="s">
        <v>2030</v>
      </c>
    </row>
    <row r="1577" spans="1:11" x14ac:dyDescent="0.3">
      <c r="A1577" t="s">
        <v>1550</v>
      </c>
      <c r="B1577" s="33">
        <v>43262</v>
      </c>
      <c r="C1577" s="76">
        <v>13808000597073</v>
      </c>
      <c r="D1577" s="34">
        <v>1</v>
      </c>
      <c r="E1577" s="35" t="s">
        <v>3701</v>
      </c>
      <c r="F1577" s="35" t="s">
        <v>111</v>
      </c>
      <c r="G1577" s="106"/>
      <c r="H1577" s="33">
        <v>43221</v>
      </c>
      <c r="I1577" s="34">
        <v>1700581894</v>
      </c>
      <c r="J1577" s="36">
        <v>480.5</v>
      </c>
      <c r="K1577" t="s">
        <v>2030</v>
      </c>
    </row>
    <row r="1578" spans="1:11" x14ac:dyDescent="0.3">
      <c r="A1578" t="s">
        <v>1550</v>
      </c>
      <c r="B1578" s="33">
        <v>43262</v>
      </c>
      <c r="C1578" s="76">
        <v>13808000597073</v>
      </c>
      <c r="D1578" s="34">
        <v>1</v>
      </c>
      <c r="E1578" s="35" t="s">
        <v>3701</v>
      </c>
      <c r="F1578" s="35" t="s">
        <v>110</v>
      </c>
      <c r="G1578" s="106"/>
      <c r="H1578" s="33">
        <v>43221</v>
      </c>
      <c r="I1578" s="34">
        <v>1700581893</v>
      </c>
      <c r="J1578" s="36">
        <v>480.5</v>
      </c>
      <c r="K1578" t="s">
        <v>2030</v>
      </c>
    </row>
    <row r="1579" spans="1:11" x14ac:dyDescent="0.3">
      <c r="A1579" t="s">
        <v>1550</v>
      </c>
      <c r="B1579" s="33">
        <v>43262</v>
      </c>
      <c r="C1579" s="76">
        <v>13808000597073</v>
      </c>
      <c r="D1579" s="34">
        <v>1</v>
      </c>
      <c r="E1579" s="35" t="s">
        <v>3701</v>
      </c>
      <c r="F1579" s="35" t="s">
        <v>106</v>
      </c>
      <c r="G1579" s="106"/>
      <c r="H1579" s="33">
        <v>43221</v>
      </c>
      <c r="I1579" s="34">
        <v>1700581892</v>
      </c>
      <c r="J1579" s="36">
        <v>480.5</v>
      </c>
      <c r="K1579" t="s">
        <v>2030</v>
      </c>
    </row>
    <row r="1580" spans="1:11" x14ac:dyDescent="0.3">
      <c r="A1580" t="s">
        <v>1550</v>
      </c>
      <c r="B1580" s="33">
        <v>43262</v>
      </c>
      <c r="C1580" s="76">
        <v>13808000597073</v>
      </c>
      <c r="D1580" s="34">
        <v>1</v>
      </c>
      <c r="E1580" s="35" t="s">
        <v>3701</v>
      </c>
      <c r="F1580" s="35" t="s">
        <v>108</v>
      </c>
      <c r="G1580" s="106"/>
      <c r="H1580" s="33">
        <v>43221</v>
      </c>
      <c r="I1580" s="34">
        <v>1700581891</v>
      </c>
      <c r="J1580" s="36">
        <v>480.5</v>
      </c>
      <c r="K1580" t="s">
        <v>2030</v>
      </c>
    </row>
    <row r="1581" spans="1:11" x14ac:dyDescent="0.3">
      <c r="A1581" t="s">
        <v>1550</v>
      </c>
      <c r="B1581" s="33">
        <v>43262</v>
      </c>
      <c r="C1581" s="76">
        <v>13808000597073</v>
      </c>
      <c r="D1581" s="34">
        <v>1</v>
      </c>
      <c r="E1581" s="35" t="s">
        <v>3701</v>
      </c>
      <c r="F1581" s="35" t="s">
        <v>120</v>
      </c>
      <c r="G1581" s="106"/>
      <c r="H1581" s="33">
        <v>43221</v>
      </c>
      <c r="I1581" s="34">
        <v>1700581901</v>
      </c>
      <c r="J1581" s="36">
        <v>480.5</v>
      </c>
      <c r="K1581" t="s">
        <v>2030</v>
      </c>
    </row>
    <row r="1582" spans="1:11" x14ac:dyDescent="0.3">
      <c r="A1582" t="s">
        <v>1550</v>
      </c>
      <c r="B1582" s="33">
        <v>43262</v>
      </c>
      <c r="C1582" s="76">
        <v>13808000597073</v>
      </c>
      <c r="D1582" s="34">
        <v>1</v>
      </c>
      <c r="E1582" s="35" t="s">
        <v>3701</v>
      </c>
      <c r="F1582" s="35" t="s">
        <v>118</v>
      </c>
      <c r="G1582" s="106"/>
      <c r="H1582" s="33">
        <v>43221</v>
      </c>
      <c r="I1582" s="34">
        <v>1700581902</v>
      </c>
      <c r="J1582" s="36">
        <v>480.5</v>
      </c>
      <c r="K1582" t="s">
        <v>2030</v>
      </c>
    </row>
    <row r="1583" spans="1:11" x14ac:dyDescent="0.3">
      <c r="A1583" t="s">
        <v>1550</v>
      </c>
      <c r="B1583" s="33">
        <v>43262</v>
      </c>
      <c r="C1583" s="76">
        <v>13808000597073</v>
      </c>
      <c r="D1583" s="34">
        <v>1</v>
      </c>
      <c r="E1583" s="35" t="s">
        <v>3701</v>
      </c>
      <c r="F1583" s="35" t="s">
        <v>126</v>
      </c>
      <c r="G1583" s="106"/>
      <c r="H1583" s="33">
        <v>43221</v>
      </c>
      <c r="I1583" s="34">
        <v>1700581903</v>
      </c>
      <c r="J1583" s="36">
        <v>178.25</v>
      </c>
      <c r="K1583" t="s">
        <v>2030</v>
      </c>
    </row>
    <row r="1584" spans="1:11" x14ac:dyDescent="0.3">
      <c r="A1584" t="s">
        <v>1550</v>
      </c>
      <c r="B1584" s="33">
        <v>43262</v>
      </c>
      <c r="C1584" s="76">
        <v>13808000597073</v>
      </c>
      <c r="D1584" s="34">
        <v>1</v>
      </c>
      <c r="E1584" s="35" t="s">
        <v>3701</v>
      </c>
      <c r="F1584" s="35" t="s">
        <v>124</v>
      </c>
      <c r="G1584" s="106"/>
      <c r="H1584" s="33">
        <v>43221</v>
      </c>
      <c r="I1584" s="34">
        <v>1700581904</v>
      </c>
      <c r="J1584" s="36">
        <v>178.25</v>
      </c>
      <c r="K1584" t="s">
        <v>2030</v>
      </c>
    </row>
    <row r="1585" spans="1:11" x14ac:dyDescent="0.3">
      <c r="A1585" t="s">
        <v>1550</v>
      </c>
      <c r="B1585" s="33">
        <v>43262</v>
      </c>
      <c r="C1585" s="76">
        <v>13808000597073</v>
      </c>
      <c r="D1585" s="34">
        <v>1</v>
      </c>
      <c r="E1585" s="35" t="s">
        <v>3701</v>
      </c>
      <c r="F1585" s="35" t="s">
        <v>109</v>
      </c>
      <c r="G1585" s="106"/>
      <c r="H1585" s="33">
        <v>43221</v>
      </c>
      <c r="I1585" s="34">
        <v>1700581905</v>
      </c>
      <c r="J1585" s="36">
        <v>480.5</v>
      </c>
      <c r="K1585" t="s">
        <v>2030</v>
      </c>
    </row>
    <row r="1586" spans="1:11" x14ac:dyDescent="0.3">
      <c r="A1586" t="s">
        <v>1550</v>
      </c>
      <c r="B1586" s="33">
        <v>43262</v>
      </c>
      <c r="C1586" s="76">
        <v>13808000597073</v>
      </c>
      <c r="D1586" s="34">
        <v>1</v>
      </c>
      <c r="E1586" s="35" t="s">
        <v>3701</v>
      </c>
      <c r="F1586" s="35" t="s">
        <v>121</v>
      </c>
      <c r="G1586" s="106"/>
      <c r="H1586" s="33">
        <v>43221</v>
      </c>
      <c r="I1586" s="34">
        <v>1700581906</v>
      </c>
      <c r="J1586" s="36">
        <v>480.5</v>
      </c>
      <c r="K1586" t="s">
        <v>2030</v>
      </c>
    </row>
    <row r="1587" spans="1:11" x14ac:dyDescent="0.3">
      <c r="A1587" t="s">
        <v>1550</v>
      </c>
      <c r="B1587" s="33">
        <v>43262</v>
      </c>
      <c r="C1587" s="76">
        <v>13808000597073</v>
      </c>
      <c r="D1587" s="34">
        <v>1</v>
      </c>
      <c r="E1587" s="35" t="s">
        <v>3701</v>
      </c>
      <c r="F1587" s="35" t="s">
        <v>119</v>
      </c>
      <c r="G1587" s="106"/>
      <c r="H1587" s="33">
        <v>43221</v>
      </c>
      <c r="I1587" s="34">
        <v>1700581907</v>
      </c>
      <c r="J1587" s="36">
        <v>480.5</v>
      </c>
      <c r="K1587" t="s">
        <v>2030</v>
      </c>
    </row>
    <row r="1588" spans="1:11" x14ac:dyDescent="0.3">
      <c r="A1588" t="s">
        <v>1550</v>
      </c>
      <c r="B1588" s="33">
        <v>43262</v>
      </c>
      <c r="C1588" s="76">
        <v>13808000597073</v>
      </c>
      <c r="D1588" s="34">
        <v>1</v>
      </c>
      <c r="E1588" s="35" t="s">
        <v>3701</v>
      </c>
      <c r="F1588" s="35" t="s">
        <v>129</v>
      </c>
      <c r="G1588" s="106"/>
      <c r="H1588" s="33">
        <v>43221</v>
      </c>
      <c r="I1588" s="34">
        <v>1700581908</v>
      </c>
      <c r="J1588" s="36">
        <v>178.25</v>
      </c>
      <c r="K1588" t="s">
        <v>2030</v>
      </c>
    </row>
    <row r="1589" spans="1:11" x14ac:dyDescent="0.3">
      <c r="A1589" t="s">
        <v>1550</v>
      </c>
      <c r="B1589" s="33">
        <v>43262</v>
      </c>
      <c r="C1589" s="76">
        <v>13808000597073</v>
      </c>
      <c r="D1589" s="34">
        <v>1</v>
      </c>
      <c r="E1589" s="35" t="s">
        <v>3701</v>
      </c>
      <c r="F1589" s="35" t="s">
        <v>127</v>
      </c>
      <c r="G1589" s="106"/>
      <c r="H1589" s="33">
        <v>43221</v>
      </c>
      <c r="I1589" s="34">
        <v>1700581909</v>
      </c>
      <c r="J1589" s="36">
        <v>178.25</v>
      </c>
      <c r="K1589" t="s">
        <v>2030</v>
      </c>
    </row>
    <row r="1590" spans="1:11" x14ac:dyDescent="0.3">
      <c r="A1590" t="s">
        <v>1550</v>
      </c>
      <c r="B1590" s="33">
        <v>43262</v>
      </c>
      <c r="C1590" s="76">
        <v>13808000597073</v>
      </c>
      <c r="D1590" s="34">
        <v>1</v>
      </c>
      <c r="E1590" s="35" t="s">
        <v>3701</v>
      </c>
      <c r="F1590" s="35" t="s">
        <v>128</v>
      </c>
      <c r="G1590" s="106"/>
      <c r="H1590" s="33">
        <v>43221</v>
      </c>
      <c r="I1590" s="34">
        <v>1700581910</v>
      </c>
      <c r="J1590" s="36">
        <v>178.25</v>
      </c>
      <c r="K1590" t="s">
        <v>2030</v>
      </c>
    </row>
    <row r="1591" spans="1:11" x14ac:dyDescent="0.3">
      <c r="A1591" t="s">
        <v>1550</v>
      </c>
      <c r="B1591" s="33">
        <v>43262</v>
      </c>
      <c r="C1591" s="76">
        <v>13808000597073</v>
      </c>
      <c r="D1591" s="34">
        <v>1</v>
      </c>
      <c r="E1591" s="35" t="s">
        <v>3701</v>
      </c>
      <c r="F1591" s="35" t="s">
        <v>104</v>
      </c>
      <c r="G1591" s="106"/>
      <c r="H1591" s="33">
        <v>43221</v>
      </c>
      <c r="I1591" s="34">
        <v>1700581890</v>
      </c>
      <c r="J1591" s="36">
        <v>480.5</v>
      </c>
      <c r="K1591" t="s">
        <v>2030</v>
      </c>
    </row>
    <row r="1592" spans="1:11" x14ac:dyDescent="0.3">
      <c r="A1592" t="s">
        <v>1550</v>
      </c>
      <c r="B1592" s="33">
        <v>43262</v>
      </c>
      <c r="C1592" s="76">
        <v>13808000597073</v>
      </c>
      <c r="D1592" s="34">
        <v>1</v>
      </c>
      <c r="E1592" s="35" t="s">
        <v>3701</v>
      </c>
      <c r="F1592" s="35" t="s">
        <v>107</v>
      </c>
      <c r="G1592" s="106"/>
      <c r="H1592" s="33">
        <v>43221</v>
      </c>
      <c r="I1592" s="34">
        <v>1700581889</v>
      </c>
      <c r="J1592" s="36">
        <v>480.5</v>
      </c>
      <c r="K1592" t="s">
        <v>2030</v>
      </c>
    </row>
    <row r="1593" spans="1:11" x14ac:dyDescent="0.3">
      <c r="A1593" t="s">
        <v>1550</v>
      </c>
      <c r="B1593" s="33">
        <v>43262</v>
      </c>
      <c r="C1593" s="76">
        <v>13808000597073</v>
      </c>
      <c r="D1593" s="34">
        <v>1</v>
      </c>
      <c r="E1593" s="35" t="s">
        <v>3701</v>
      </c>
      <c r="F1593" s="35" t="s">
        <v>112</v>
      </c>
      <c r="G1593" s="106"/>
      <c r="H1593" s="33">
        <v>43221</v>
      </c>
      <c r="I1593" s="34">
        <v>1700581888</v>
      </c>
      <c r="J1593" s="36">
        <v>480.5</v>
      </c>
      <c r="K1593" t="s">
        <v>2030</v>
      </c>
    </row>
    <row r="1594" spans="1:11" x14ac:dyDescent="0.3">
      <c r="A1594" t="s">
        <v>1550</v>
      </c>
      <c r="B1594" s="33">
        <v>43262</v>
      </c>
      <c r="C1594" s="76">
        <v>13808000597073</v>
      </c>
      <c r="D1594" s="34">
        <v>1</v>
      </c>
      <c r="E1594" s="35" t="s">
        <v>3701</v>
      </c>
      <c r="F1594" s="35" t="s">
        <v>84</v>
      </c>
      <c r="G1594" s="106"/>
      <c r="H1594" s="33">
        <v>43221</v>
      </c>
      <c r="I1594" s="34">
        <v>1700581887</v>
      </c>
      <c r="J1594" s="36">
        <v>434</v>
      </c>
      <c r="K1594" t="s">
        <v>2030</v>
      </c>
    </row>
    <row r="1595" spans="1:11" x14ac:dyDescent="0.3">
      <c r="A1595" t="s">
        <v>1550</v>
      </c>
      <c r="B1595" s="33">
        <v>43262</v>
      </c>
      <c r="C1595" s="76">
        <v>13808000597073</v>
      </c>
      <c r="D1595" s="34">
        <v>1</v>
      </c>
      <c r="E1595" s="35" t="s">
        <v>3701</v>
      </c>
      <c r="F1595" s="35" t="s">
        <v>105</v>
      </c>
      <c r="G1595" s="106"/>
      <c r="H1595" s="33">
        <v>43221</v>
      </c>
      <c r="I1595" s="34">
        <v>1700581886</v>
      </c>
      <c r="J1595" s="36">
        <v>480.5</v>
      </c>
      <c r="K1595" t="s">
        <v>2030</v>
      </c>
    </row>
    <row r="1596" spans="1:11" x14ac:dyDescent="0.3">
      <c r="A1596" t="s">
        <v>1550</v>
      </c>
      <c r="B1596" s="33">
        <v>43262</v>
      </c>
      <c r="C1596" s="76">
        <v>13808000597073</v>
      </c>
      <c r="D1596" s="34">
        <v>1</v>
      </c>
      <c r="E1596" s="35" t="s">
        <v>3701</v>
      </c>
      <c r="F1596" s="35" t="s">
        <v>103</v>
      </c>
      <c r="G1596" s="106"/>
      <c r="H1596" s="33">
        <v>43221</v>
      </c>
      <c r="I1596" s="34">
        <v>1700581885</v>
      </c>
      <c r="J1596" s="36">
        <v>480.5</v>
      </c>
      <c r="K1596" t="s">
        <v>2030</v>
      </c>
    </row>
    <row r="1597" spans="1:11" x14ac:dyDescent="0.3">
      <c r="A1597" t="s">
        <v>1550</v>
      </c>
      <c r="B1597" s="33">
        <v>43262</v>
      </c>
      <c r="C1597" s="76">
        <v>13808000597073</v>
      </c>
      <c r="D1597" s="34">
        <v>1</v>
      </c>
      <c r="E1597" s="35" t="s">
        <v>3701</v>
      </c>
      <c r="F1597" s="35" t="s">
        <v>102</v>
      </c>
      <c r="G1597" s="106"/>
      <c r="H1597" s="33">
        <v>43221</v>
      </c>
      <c r="I1597" s="34">
        <v>1700581884</v>
      </c>
      <c r="J1597" s="36">
        <v>480.5</v>
      </c>
      <c r="K1597" t="s">
        <v>2030</v>
      </c>
    </row>
    <row r="1598" spans="1:11" x14ac:dyDescent="0.3">
      <c r="A1598" t="s">
        <v>1550</v>
      </c>
      <c r="B1598" s="33">
        <v>43262</v>
      </c>
      <c r="C1598" s="76">
        <v>13808000597073</v>
      </c>
      <c r="D1598" s="34">
        <v>1</v>
      </c>
      <c r="E1598" s="35" t="s">
        <v>3701</v>
      </c>
      <c r="F1598" s="35" t="s">
        <v>97</v>
      </c>
      <c r="G1598" s="106"/>
      <c r="H1598" s="33">
        <v>43221</v>
      </c>
      <c r="I1598" s="34">
        <v>1700581883</v>
      </c>
      <c r="J1598" s="36">
        <v>596.75</v>
      </c>
      <c r="K1598" t="s">
        <v>2030</v>
      </c>
    </row>
    <row r="1599" spans="1:11" x14ac:dyDescent="0.3">
      <c r="A1599" t="s">
        <v>1550</v>
      </c>
      <c r="B1599" s="33">
        <v>43262</v>
      </c>
      <c r="C1599" s="76">
        <v>13808000597073</v>
      </c>
      <c r="D1599" s="34">
        <v>1</v>
      </c>
      <c r="E1599" s="35" t="s">
        <v>3701</v>
      </c>
      <c r="F1599" s="35" t="s">
        <v>98</v>
      </c>
      <c r="G1599" s="106"/>
      <c r="H1599" s="33">
        <v>43221</v>
      </c>
      <c r="I1599" s="34">
        <v>1700581882</v>
      </c>
      <c r="J1599" s="36">
        <v>596.75</v>
      </c>
      <c r="K1599" t="s">
        <v>2030</v>
      </c>
    </row>
    <row r="1600" spans="1:11" x14ac:dyDescent="0.3">
      <c r="A1600" t="s">
        <v>1550</v>
      </c>
      <c r="B1600" s="33">
        <v>43262</v>
      </c>
      <c r="C1600" s="76">
        <v>13808000597073</v>
      </c>
      <c r="D1600" s="34">
        <v>1</v>
      </c>
      <c r="E1600" s="35" t="s">
        <v>3701</v>
      </c>
      <c r="F1600" s="35" t="s">
        <v>101</v>
      </c>
      <c r="G1600" s="106"/>
      <c r="H1600" s="33">
        <v>43221</v>
      </c>
      <c r="I1600" s="34">
        <v>1700581881</v>
      </c>
      <c r="J1600" s="36">
        <v>480.5</v>
      </c>
      <c r="K1600" t="s">
        <v>2030</v>
      </c>
    </row>
    <row r="1601" spans="1:11" x14ac:dyDescent="0.3">
      <c r="A1601" t="s">
        <v>1550</v>
      </c>
      <c r="B1601" s="33">
        <v>43262</v>
      </c>
      <c r="C1601" s="76">
        <v>13808000597073</v>
      </c>
      <c r="D1601" s="34">
        <v>1</v>
      </c>
      <c r="E1601" s="35" t="s">
        <v>3701</v>
      </c>
      <c r="F1601" s="35" t="s">
        <v>100</v>
      </c>
      <c r="G1601" s="106"/>
      <c r="H1601" s="33">
        <v>43221</v>
      </c>
      <c r="I1601" s="34">
        <v>1700581880</v>
      </c>
      <c r="J1601" s="36">
        <v>480.5</v>
      </c>
      <c r="K1601" t="s">
        <v>2030</v>
      </c>
    </row>
    <row r="1602" spans="1:11" x14ac:dyDescent="0.3">
      <c r="A1602" t="s">
        <v>1550</v>
      </c>
      <c r="B1602" s="33">
        <v>43262</v>
      </c>
      <c r="C1602" s="76">
        <v>13808000597073</v>
      </c>
      <c r="D1602" s="34">
        <v>1</v>
      </c>
      <c r="E1602" s="35" t="s">
        <v>3701</v>
      </c>
      <c r="F1602" s="35" t="s">
        <v>8</v>
      </c>
      <c r="G1602" s="106"/>
      <c r="H1602" s="33">
        <v>43221</v>
      </c>
      <c r="I1602" s="34">
        <v>1700581879</v>
      </c>
      <c r="J1602" s="36">
        <v>178.25</v>
      </c>
      <c r="K1602" t="s">
        <v>2030</v>
      </c>
    </row>
    <row r="1603" spans="1:11" x14ac:dyDescent="0.3">
      <c r="A1603" t="s">
        <v>1550</v>
      </c>
      <c r="B1603" s="33">
        <v>43262</v>
      </c>
      <c r="C1603" s="76">
        <v>13808000597073</v>
      </c>
      <c r="D1603" s="34">
        <v>1</v>
      </c>
      <c r="E1603" s="35" t="s">
        <v>3701</v>
      </c>
      <c r="F1603" s="35" t="s">
        <v>95</v>
      </c>
      <c r="G1603" s="106"/>
      <c r="H1603" s="33">
        <v>43221</v>
      </c>
      <c r="I1603" s="34">
        <v>1700581878</v>
      </c>
      <c r="J1603" s="36">
        <v>480.5</v>
      </c>
      <c r="K1603" t="s">
        <v>2030</v>
      </c>
    </row>
    <row r="1604" spans="1:11" x14ac:dyDescent="0.3">
      <c r="A1604" t="s">
        <v>1550</v>
      </c>
      <c r="B1604" s="33">
        <v>43262</v>
      </c>
      <c r="C1604" s="76">
        <v>13808000597073</v>
      </c>
      <c r="D1604" s="34">
        <v>1</v>
      </c>
      <c r="E1604" s="35" t="s">
        <v>3701</v>
      </c>
      <c r="F1604" s="35" t="s">
        <v>94</v>
      </c>
      <c r="G1604" s="106"/>
      <c r="H1604" s="33">
        <v>43221</v>
      </c>
      <c r="I1604" s="34">
        <v>1700581877</v>
      </c>
      <c r="J1604" s="36">
        <v>480.5</v>
      </c>
      <c r="K1604" t="s">
        <v>2030</v>
      </c>
    </row>
    <row r="1605" spans="1:11" x14ac:dyDescent="0.3">
      <c r="A1605" t="s">
        <v>1550</v>
      </c>
      <c r="B1605" s="33">
        <v>43262</v>
      </c>
      <c r="C1605" s="76">
        <v>13808000597073</v>
      </c>
      <c r="D1605" s="34">
        <v>1</v>
      </c>
      <c r="E1605" s="35" t="s">
        <v>3701</v>
      </c>
      <c r="F1605" s="35" t="s">
        <v>93</v>
      </c>
      <c r="G1605" s="106"/>
      <c r="H1605" s="33">
        <v>43221</v>
      </c>
      <c r="I1605" s="34">
        <v>1700581876</v>
      </c>
      <c r="J1605" s="36">
        <v>480.5</v>
      </c>
      <c r="K1605" t="s">
        <v>2030</v>
      </c>
    </row>
    <row r="1606" spans="1:11" x14ac:dyDescent="0.3">
      <c r="A1606" t="s">
        <v>1550</v>
      </c>
      <c r="B1606" s="33">
        <v>43262</v>
      </c>
      <c r="C1606" s="76">
        <v>13808000597073</v>
      </c>
      <c r="D1606" s="34">
        <v>1</v>
      </c>
      <c r="E1606" s="35" t="s">
        <v>3701</v>
      </c>
      <c r="F1606" s="35" t="s">
        <v>92</v>
      </c>
      <c r="G1606" s="106"/>
      <c r="H1606" s="33">
        <v>43221</v>
      </c>
      <c r="I1606" s="34">
        <v>1700581875</v>
      </c>
      <c r="J1606" s="36">
        <v>480.5</v>
      </c>
      <c r="K1606" t="s">
        <v>2030</v>
      </c>
    </row>
    <row r="1607" spans="1:11" x14ac:dyDescent="0.3">
      <c r="A1607" t="s">
        <v>1550</v>
      </c>
      <c r="B1607" s="33">
        <v>43262</v>
      </c>
      <c r="C1607" s="76">
        <v>13808000597073</v>
      </c>
      <c r="D1607" s="34">
        <v>1</v>
      </c>
      <c r="E1607" s="35" t="s">
        <v>3701</v>
      </c>
      <c r="F1607" s="35" t="s">
        <v>91</v>
      </c>
      <c r="G1607" s="106"/>
      <c r="H1607" s="33">
        <v>43221</v>
      </c>
      <c r="I1607" s="34">
        <v>1700581874</v>
      </c>
      <c r="J1607" s="36">
        <v>480.5</v>
      </c>
      <c r="K1607" t="s">
        <v>2030</v>
      </c>
    </row>
    <row r="1608" spans="1:11" x14ac:dyDescent="0.3">
      <c r="A1608" t="s">
        <v>1550</v>
      </c>
      <c r="B1608" s="33">
        <v>43262</v>
      </c>
      <c r="C1608" s="76">
        <v>13808000597073</v>
      </c>
      <c r="D1608" s="34">
        <v>1</v>
      </c>
      <c r="E1608" s="35" t="s">
        <v>3701</v>
      </c>
      <c r="F1608" s="35" t="s">
        <v>96</v>
      </c>
      <c r="G1608" s="106"/>
      <c r="H1608" s="33">
        <v>43221</v>
      </c>
      <c r="I1608" s="34">
        <v>1700581873</v>
      </c>
      <c r="J1608" s="36">
        <v>596.75</v>
      </c>
      <c r="K1608" t="s">
        <v>2030</v>
      </c>
    </row>
    <row r="1609" spans="1:11" x14ac:dyDescent="0.3">
      <c r="A1609" t="s">
        <v>1550</v>
      </c>
      <c r="B1609" s="33">
        <v>43262</v>
      </c>
      <c r="C1609" s="76">
        <v>13808000597073</v>
      </c>
      <c r="D1609" s="34">
        <v>1</v>
      </c>
      <c r="E1609" s="35" t="s">
        <v>3701</v>
      </c>
      <c r="F1609" s="35" t="s">
        <v>30</v>
      </c>
      <c r="G1609" s="106"/>
      <c r="H1609" s="33">
        <v>43221</v>
      </c>
      <c r="I1609" s="34">
        <v>1700581872</v>
      </c>
      <c r="J1609" s="36">
        <v>480.5</v>
      </c>
      <c r="K1609" t="s">
        <v>2030</v>
      </c>
    </row>
    <row r="1610" spans="1:11" x14ac:dyDescent="0.3">
      <c r="A1610" t="s">
        <v>1550</v>
      </c>
      <c r="B1610" s="33">
        <v>43262</v>
      </c>
      <c r="C1610" s="76">
        <v>13808000597073</v>
      </c>
      <c r="D1610" s="34">
        <v>1</v>
      </c>
      <c r="E1610" s="35" t="s">
        <v>3701</v>
      </c>
      <c r="F1610" s="35" t="s">
        <v>99</v>
      </c>
      <c r="G1610" s="106"/>
      <c r="H1610" s="33">
        <v>43221</v>
      </c>
      <c r="I1610" s="34">
        <v>1700581871</v>
      </c>
      <c r="J1610" s="36">
        <v>596.75</v>
      </c>
      <c r="K1610" t="s">
        <v>2030</v>
      </c>
    </row>
    <row r="1611" spans="1:11" x14ac:dyDescent="0.3">
      <c r="A1611" t="s">
        <v>1550</v>
      </c>
      <c r="B1611" s="33">
        <v>43262</v>
      </c>
      <c r="C1611" s="76">
        <v>13808000597073</v>
      </c>
      <c r="D1611" s="34">
        <v>1</v>
      </c>
      <c r="E1611" s="35" t="s">
        <v>3701</v>
      </c>
      <c r="F1611" s="35" t="s">
        <v>314</v>
      </c>
      <c r="G1611" s="106"/>
      <c r="H1611" s="33">
        <v>43221</v>
      </c>
      <c r="I1611" s="34">
        <v>1700581950</v>
      </c>
      <c r="J1611" s="36">
        <v>178.25</v>
      </c>
      <c r="K1611" t="s">
        <v>2030</v>
      </c>
    </row>
    <row r="1612" spans="1:11" x14ac:dyDescent="0.3">
      <c r="A1612" t="s">
        <v>1550</v>
      </c>
      <c r="B1612" s="33">
        <v>43262</v>
      </c>
      <c r="C1612" s="76">
        <v>13808000597073</v>
      </c>
      <c r="D1612" s="34">
        <v>1</v>
      </c>
      <c r="E1612" s="35" t="s">
        <v>3701</v>
      </c>
      <c r="F1612" s="35" t="s">
        <v>313</v>
      </c>
      <c r="G1612" s="106"/>
      <c r="H1612" s="33">
        <v>43221</v>
      </c>
      <c r="I1612" s="34">
        <v>1700581949</v>
      </c>
      <c r="J1612" s="36">
        <v>178.25</v>
      </c>
      <c r="K1612" t="s">
        <v>2030</v>
      </c>
    </row>
    <row r="1613" spans="1:11" x14ac:dyDescent="0.3">
      <c r="A1613" t="s">
        <v>1550</v>
      </c>
      <c r="B1613" s="33">
        <v>43262</v>
      </c>
      <c r="C1613" s="76">
        <v>13808000597073</v>
      </c>
      <c r="D1613" s="34">
        <v>1</v>
      </c>
      <c r="E1613" s="35" t="s">
        <v>3701</v>
      </c>
      <c r="F1613" s="35" t="s">
        <v>308</v>
      </c>
      <c r="G1613" s="106"/>
      <c r="H1613" s="33">
        <v>43221</v>
      </c>
      <c r="I1613" s="34">
        <v>1700581948</v>
      </c>
      <c r="J1613" s="36">
        <v>178.25</v>
      </c>
      <c r="K1613" t="s">
        <v>2030</v>
      </c>
    </row>
    <row r="1614" spans="1:11" x14ac:dyDescent="0.3">
      <c r="A1614" t="s">
        <v>1550</v>
      </c>
      <c r="B1614" s="33">
        <v>43262</v>
      </c>
      <c r="C1614" s="76">
        <v>13808000597073</v>
      </c>
      <c r="D1614" s="34">
        <v>1</v>
      </c>
      <c r="E1614" s="35" t="s">
        <v>3701</v>
      </c>
      <c r="F1614" s="35" t="s">
        <v>307</v>
      </c>
      <c r="G1614" s="106"/>
      <c r="H1614" s="33">
        <v>43221</v>
      </c>
      <c r="I1614" s="34">
        <v>1700581947</v>
      </c>
      <c r="J1614" s="36">
        <v>178.25</v>
      </c>
      <c r="K1614" t="s">
        <v>2030</v>
      </c>
    </row>
    <row r="1615" spans="1:11" x14ac:dyDescent="0.3">
      <c r="A1615" t="s">
        <v>1550</v>
      </c>
      <c r="B1615" s="33">
        <v>43262</v>
      </c>
      <c r="C1615" s="76">
        <v>13808000597073</v>
      </c>
      <c r="D1615" s="34">
        <v>1</v>
      </c>
      <c r="E1615" s="35" t="s">
        <v>3701</v>
      </c>
      <c r="F1615" s="35" t="s">
        <v>310</v>
      </c>
      <c r="G1615" s="106"/>
      <c r="H1615" s="33">
        <v>43221</v>
      </c>
      <c r="I1615" s="34">
        <v>1700581946</v>
      </c>
      <c r="J1615" s="36">
        <v>178.25</v>
      </c>
      <c r="K1615" t="s">
        <v>2030</v>
      </c>
    </row>
    <row r="1616" spans="1:11" x14ac:dyDescent="0.3">
      <c r="A1616" t="s">
        <v>1550</v>
      </c>
      <c r="B1616" s="33">
        <v>43262</v>
      </c>
      <c r="C1616" s="76">
        <v>13808000597073</v>
      </c>
      <c r="D1616" s="34">
        <v>1</v>
      </c>
      <c r="E1616" s="35" t="s">
        <v>3701</v>
      </c>
      <c r="F1616" s="35" t="s">
        <v>147</v>
      </c>
      <c r="G1616" s="106"/>
      <c r="H1616" s="33">
        <v>43221</v>
      </c>
      <c r="I1616" s="34">
        <v>1700581945</v>
      </c>
      <c r="J1616" s="36">
        <v>178.25</v>
      </c>
      <c r="K1616" t="s">
        <v>2030</v>
      </c>
    </row>
    <row r="1617" spans="1:11" x14ac:dyDescent="0.3">
      <c r="A1617" t="s">
        <v>1550</v>
      </c>
      <c r="B1617" s="33">
        <v>43262</v>
      </c>
      <c r="C1617" s="76">
        <v>13808000597073</v>
      </c>
      <c r="D1617" s="34">
        <v>1</v>
      </c>
      <c r="E1617" s="35" t="s">
        <v>3701</v>
      </c>
      <c r="F1617" s="35" t="s">
        <v>305</v>
      </c>
      <c r="G1617" s="106"/>
      <c r="H1617" s="33">
        <v>43221</v>
      </c>
      <c r="I1617" s="34">
        <v>1700581944</v>
      </c>
      <c r="J1617" s="36">
        <v>178.25</v>
      </c>
      <c r="K1617" t="s">
        <v>2030</v>
      </c>
    </row>
    <row r="1618" spans="1:11" x14ac:dyDescent="0.3">
      <c r="A1618" t="s">
        <v>1550</v>
      </c>
      <c r="B1618" s="33">
        <v>43262</v>
      </c>
      <c r="C1618" s="76">
        <v>13808000597073</v>
      </c>
      <c r="D1618" s="34">
        <v>1</v>
      </c>
      <c r="E1618" s="35" t="s">
        <v>3701</v>
      </c>
      <c r="F1618" s="35" t="s">
        <v>303</v>
      </c>
      <c r="G1618" s="106"/>
      <c r="H1618" s="33">
        <v>43221</v>
      </c>
      <c r="I1618" s="34">
        <v>1700581943</v>
      </c>
      <c r="J1618" s="36">
        <v>178.25</v>
      </c>
      <c r="K1618" t="s">
        <v>2030</v>
      </c>
    </row>
    <row r="1619" spans="1:11" x14ac:dyDescent="0.3">
      <c r="A1619" t="s">
        <v>1550</v>
      </c>
      <c r="B1619" s="33">
        <v>43262</v>
      </c>
      <c r="C1619" s="76">
        <v>13808000597073</v>
      </c>
      <c r="D1619" s="34">
        <v>1</v>
      </c>
      <c r="E1619" s="35" t="s">
        <v>3701</v>
      </c>
      <c r="F1619" s="35" t="s">
        <v>306</v>
      </c>
      <c r="G1619" s="106"/>
      <c r="H1619" s="33">
        <v>43221</v>
      </c>
      <c r="I1619" s="34">
        <v>1700581942</v>
      </c>
      <c r="J1619" s="36">
        <v>178.25</v>
      </c>
      <c r="K1619" t="s">
        <v>2030</v>
      </c>
    </row>
    <row r="1620" spans="1:11" x14ac:dyDescent="0.3">
      <c r="A1620" t="s">
        <v>1550</v>
      </c>
      <c r="B1620" s="33">
        <v>43262</v>
      </c>
      <c r="C1620" s="76">
        <v>13808000597073</v>
      </c>
      <c r="D1620" s="34">
        <v>1</v>
      </c>
      <c r="E1620" s="35" t="s">
        <v>3701</v>
      </c>
      <c r="F1620" s="35" t="s">
        <v>296</v>
      </c>
      <c r="G1620" s="106"/>
      <c r="H1620" s="33">
        <v>43221</v>
      </c>
      <c r="I1620" s="34">
        <v>1700581941</v>
      </c>
      <c r="J1620" s="36">
        <v>178.25</v>
      </c>
      <c r="K1620" t="s">
        <v>2030</v>
      </c>
    </row>
    <row r="1621" spans="1:11" x14ac:dyDescent="0.3">
      <c r="A1621" t="s">
        <v>1550</v>
      </c>
      <c r="B1621" s="33">
        <v>43262</v>
      </c>
      <c r="C1621" s="76">
        <v>13808000597073</v>
      </c>
      <c r="D1621" s="34">
        <v>1</v>
      </c>
      <c r="E1621" s="35" t="s">
        <v>3701</v>
      </c>
      <c r="F1621" s="35" t="s">
        <v>299</v>
      </c>
      <c r="G1621" s="106"/>
      <c r="H1621" s="33">
        <v>43221</v>
      </c>
      <c r="I1621" s="34">
        <v>1700581940</v>
      </c>
      <c r="J1621" s="36">
        <v>178.25</v>
      </c>
      <c r="K1621" t="s">
        <v>2030</v>
      </c>
    </row>
    <row r="1622" spans="1:11" x14ac:dyDescent="0.3">
      <c r="A1622" t="s">
        <v>1550</v>
      </c>
      <c r="B1622" s="33">
        <v>43262</v>
      </c>
      <c r="C1622" s="76">
        <v>13808000597073</v>
      </c>
      <c r="D1622" s="34">
        <v>1</v>
      </c>
      <c r="E1622" s="35" t="s">
        <v>3701</v>
      </c>
      <c r="F1622" s="35" t="s">
        <v>297</v>
      </c>
      <c r="G1622" s="106"/>
      <c r="H1622" s="33">
        <v>43221</v>
      </c>
      <c r="I1622" s="34">
        <v>1700581939</v>
      </c>
      <c r="J1622" s="36">
        <v>178.25</v>
      </c>
      <c r="K1622" t="s">
        <v>2030</v>
      </c>
    </row>
    <row r="1623" spans="1:11" x14ac:dyDescent="0.3">
      <c r="A1623" t="s">
        <v>1550</v>
      </c>
      <c r="B1623" s="33">
        <v>43262</v>
      </c>
      <c r="C1623" s="76">
        <v>13808000597073</v>
      </c>
      <c r="D1623" s="34">
        <v>1</v>
      </c>
      <c r="E1623" s="35" t="s">
        <v>3701</v>
      </c>
      <c r="F1623" s="35" t="s">
        <v>149</v>
      </c>
      <c r="G1623" s="106"/>
      <c r="H1623" s="33">
        <v>43221</v>
      </c>
      <c r="I1623" s="34">
        <v>1700581938</v>
      </c>
      <c r="J1623" s="36">
        <v>178.25</v>
      </c>
      <c r="K1623" t="s">
        <v>2030</v>
      </c>
    </row>
    <row r="1624" spans="1:11" x14ac:dyDescent="0.3">
      <c r="A1624" t="s">
        <v>1550</v>
      </c>
      <c r="B1624" s="33">
        <v>43262</v>
      </c>
      <c r="C1624" s="76">
        <v>13808000597073</v>
      </c>
      <c r="D1624" s="34">
        <v>1</v>
      </c>
      <c r="E1624" s="35" t="s">
        <v>3701</v>
      </c>
      <c r="F1624" s="35" t="s">
        <v>302</v>
      </c>
      <c r="G1624" s="106"/>
      <c r="H1624" s="33">
        <v>43221</v>
      </c>
      <c r="I1624" s="34">
        <v>1700581937</v>
      </c>
      <c r="J1624" s="36">
        <v>178.25</v>
      </c>
      <c r="K1624" t="s">
        <v>2030</v>
      </c>
    </row>
    <row r="1625" spans="1:11" x14ac:dyDescent="0.3">
      <c r="A1625" t="s">
        <v>1550</v>
      </c>
      <c r="B1625" s="33">
        <v>43262</v>
      </c>
      <c r="C1625" s="76">
        <v>13808000597073</v>
      </c>
      <c r="D1625" s="34">
        <v>1</v>
      </c>
      <c r="E1625" s="35" t="s">
        <v>3701</v>
      </c>
      <c r="F1625" s="35" t="s">
        <v>301</v>
      </c>
      <c r="G1625" s="106"/>
      <c r="H1625" s="33">
        <v>43221</v>
      </c>
      <c r="I1625" s="34">
        <v>1700581936</v>
      </c>
      <c r="J1625" s="36">
        <v>178.25</v>
      </c>
      <c r="K1625" t="s">
        <v>2030</v>
      </c>
    </row>
    <row r="1626" spans="1:11" x14ac:dyDescent="0.3">
      <c r="A1626" t="s">
        <v>1550</v>
      </c>
      <c r="B1626" s="33">
        <v>43262</v>
      </c>
      <c r="C1626" s="76">
        <v>13808000597073</v>
      </c>
      <c r="D1626" s="34">
        <v>1</v>
      </c>
      <c r="E1626" s="35" t="s">
        <v>3701</v>
      </c>
      <c r="F1626" s="35" t="s">
        <v>300</v>
      </c>
      <c r="G1626" s="106"/>
      <c r="H1626" s="33">
        <v>43221</v>
      </c>
      <c r="I1626" s="34">
        <v>1700581935</v>
      </c>
      <c r="J1626" s="36">
        <v>178.25</v>
      </c>
      <c r="K1626" t="s">
        <v>2030</v>
      </c>
    </row>
    <row r="1627" spans="1:11" x14ac:dyDescent="0.3">
      <c r="A1627" t="s">
        <v>1550</v>
      </c>
      <c r="B1627" s="33">
        <v>43262</v>
      </c>
      <c r="C1627" s="76">
        <v>13808000597073</v>
      </c>
      <c r="D1627" s="34">
        <v>1</v>
      </c>
      <c r="E1627" s="35" t="s">
        <v>3701</v>
      </c>
      <c r="F1627" s="35" t="s">
        <v>298</v>
      </c>
      <c r="G1627" s="106"/>
      <c r="H1627" s="33">
        <v>43221</v>
      </c>
      <c r="I1627" s="34">
        <v>1700581934</v>
      </c>
      <c r="J1627" s="36">
        <v>178.25</v>
      </c>
      <c r="K1627" t="s">
        <v>2030</v>
      </c>
    </row>
    <row r="1628" spans="1:11" x14ac:dyDescent="0.3">
      <c r="A1628" t="s">
        <v>1550</v>
      </c>
      <c r="B1628" s="33">
        <v>43262</v>
      </c>
      <c r="C1628" s="76">
        <v>13808000597073</v>
      </c>
      <c r="D1628" s="34">
        <v>1</v>
      </c>
      <c r="E1628" s="35" t="s">
        <v>3701</v>
      </c>
      <c r="F1628" s="35" t="s">
        <v>151</v>
      </c>
      <c r="G1628" s="106"/>
      <c r="H1628" s="33">
        <v>43221</v>
      </c>
      <c r="I1628" s="34">
        <v>1700581933</v>
      </c>
      <c r="J1628" s="36">
        <v>178.25</v>
      </c>
      <c r="K1628" t="s">
        <v>2030</v>
      </c>
    </row>
    <row r="1629" spans="1:11" x14ac:dyDescent="0.3">
      <c r="A1629" t="s">
        <v>1550</v>
      </c>
      <c r="B1629" s="33">
        <v>43262</v>
      </c>
      <c r="C1629" s="76">
        <v>13808000597073</v>
      </c>
      <c r="D1629" s="34">
        <v>1</v>
      </c>
      <c r="E1629" s="35" t="s">
        <v>3701</v>
      </c>
      <c r="F1629" s="35" t="s">
        <v>150</v>
      </c>
      <c r="G1629" s="106"/>
      <c r="H1629" s="33">
        <v>43221</v>
      </c>
      <c r="I1629" s="34">
        <v>1700581932</v>
      </c>
      <c r="J1629" s="36">
        <v>178.25</v>
      </c>
      <c r="K1629" t="s">
        <v>2030</v>
      </c>
    </row>
    <row r="1630" spans="1:11" x14ac:dyDescent="0.3">
      <c r="A1630" t="s">
        <v>1550</v>
      </c>
      <c r="B1630" s="33">
        <v>43262</v>
      </c>
      <c r="C1630" s="76">
        <v>13808000597073</v>
      </c>
      <c r="D1630" s="34">
        <v>1</v>
      </c>
      <c r="E1630" s="35" t="s">
        <v>3701</v>
      </c>
      <c r="F1630" s="35" t="s">
        <v>145</v>
      </c>
      <c r="G1630" s="106"/>
      <c r="H1630" s="33">
        <v>43221</v>
      </c>
      <c r="I1630" s="34">
        <v>1700581931</v>
      </c>
      <c r="J1630" s="36">
        <v>178.25</v>
      </c>
      <c r="K1630" t="s">
        <v>2030</v>
      </c>
    </row>
    <row r="1631" spans="1:11" x14ac:dyDescent="0.3">
      <c r="A1631" t="s">
        <v>1550</v>
      </c>
      <c r="B1631" s="33">
        <v>43262</v>
      </c>
      <c r="C1631" s="76">
        <v>13808000597073</v>
      </c>
      <c r="D1631" s="34">
        <v>1</v>
      </c>
      <c r="E1631" s="35" t="s">
        <v>3701</v>
      </c>
      <c r="F1631" s="35" t="s">
        <v>148</v>
      </c>
      <c r="G1631" s="106"/>
      <c r="H1631" s="33">
        <v>43221</v>
      </c>
      <c r="I1631" s="34">
        <v>1700581930</v>
      </c>
      <c r="J1631" s="36">
        <v>178.25</v>
      </c>
      <c r="K1631" t="s">
        <v>2030</v>
      </c>
    </row>
    <row r="1632" spans="1:11" x14ac:dyDescent="0.3">
      <c r="A1632" t="s">
        <v>1550</v>
      </c>
      <c r="B1632" s="33">
        <v>43262</v>
      </c>
      <c r="C1632" s="76">
        <v>13808000597073</v>
      </c>
      <c r="D1632" s="34">
        <v>1</v>
      </c>
      <c r="E1632" s="35" t="s">
        <v>3701</v>
      </c>
      <c r="F1632" s="35" t="s">
        <v>10</v>
      </c>
      <c r="G1632" s="106"/>
      <c r="H1632" s="33">
        <v>43221</v>
      </c>
      <c r="I1632" s="34">
        <v>1700581929</v>
      </c>
      <c r="J1632" s="36">
        <v>178.25</v>
      </c>
      <c r="K1632" t="s">
        <v>2030</v>
      </c>
    </row>
    <row r="1633" spans="1:11" x14ac:dyDescent="0.3">
      <c r="A1633" t="s">
        <v>1550</v>
      </c>
      <c r="B1633" s="33">
        <v>43262</v>
      </c>
      <c r="C1633" s="76">
        <v>13808000597073</v>
      </c>
      <c r="D1633" s="34">
        <v>1</v>
      </c>
      <c r="E1633" s="35" t="s">
        <v>3701</v>
      </c>
      <c r="F1633" s="35" t="s">
        <v>152</v>
      </c>
      <c r="G1633" s="106"/>
      <c r="H1633" s="33">
        <v>43221</v>
      </c>
      <c r="I1633" s="34">
        <v>1700581928</v>
      </c>
      <c r="J1633" s="36">
        <v>178.25</v>
      </c>
      <c r="K1633" t="s">
        <v>2030</v>
      </c>
    </row>
    <row r="1634" spans="1:11" x14ac:dyDescent="0.3">
      <c r="A1634" t="s">
        <v>1550</v>
      </c>
      <c r="B1634" s="33">
        <v>43262</v>
      </c>
      <c r="C1634" s="76">
        <v>13808000597073</v>
      </c>
      <c r="D1634" s="34">
        <v>1</v>
      </c>
      <c r="E1634" s="35" t="s">
        <v>3701</v>
      </c>
      <c r="F1634" s="35" t="s">
        <v>146</v>
      </c>
      <c r="G1634" s="106"/>
      <c r="H1634" s="33">
        <v>43221</v>
      </c>
      <c r="I1634" s="34">
        <v>1700581927</v>
      </c>
      <c r="J1634" s="36">
        <v>178.25</v>
      </c>
      <c r="K1634" t="s">
        <v>2030</v>
      </c>
    </row>
    <row r="1635" spans="1:11" x14ac:dyDescent="0.3">
      <c r="A1635" t="s">
        <v>1550</v>
      </c>
      <c r="B1635" s="33">
        <v>43262</v>
      </c>
      <c r="C1635" s="76">
        <v>13808000597073</v>
      </c>
      <c r="D1635" s="34">
        <v>1</v>
      </c>
      <c r="E1635" s="35" t="s">
        <v>3701</v>
      </c>
      <c r="F1635" s="35" t="s">
        <v>144</v>
      </c>
      <c r="G1635" s="106"/>
      <c r="H1635" s="33">
        <v>43221</v>
      </c>
      <c r="I1635" s="34">
        <v>1700581926</v>
      </c>
      <c r="J1635" s="36">
        <v>178.25</v>
      </c>
      <c r="K1635" t="s">
        <v>2030</v>
      </c>
    </row>
    <row r="1636" spans="1:11" x14ac:dyDescent="0.3">
      <c r="A1636" t="s">
        <v>1550</v>
      </c>
      <c r="B1636" s="33">
        <v>43262</v>
      </c>
      <c r="C1636" s="76">
        <v>13808000597073</v>
      </c>
      <c r="D1636" s="34">
        <v>1</v>
      </c>
      <c r="E1636" s="35" t="s">
        <v>3701</v>
      </c>
      <c r="F1636" s="35" t="s">
        <v>142</v>
      </c>
      <c r="G1636" s="106"/>
      <c r="H1636" s="33">
        <v>43221</v>
      </c>
      <c r="I1636" s="34">
        <v>1700581925</v>
      </c>
      <c r="J1636" s="36">
        <v>178.25</v>
      </c>
      <c r="K1636" t="s">
        <v>2030</v>
      </c>
    </row>
    <row r="1637" spans="1:11" x14ac:dyDescent="0.3">
      <c r="A1637" t="s">
        <v>1550</v>
      </c>
      <c r="B1637" s="33">
        <v>43262</v>
      </c>
      <c r="C1637" s="76">
        <v>13808000597073</v>
      </c>
      <c r="D1637" s="34">
        <v>1</v>
      </c>
      <c r="E1637" s="35" t="s">
        <v>3701</v>
      </c>
      <c r="F1637" s="35" t="s">
        <v>134</v>
      </c>
      <c r="G1637" s="106"/>
      <c r="H1637" s="33">
        <v>43221</v>
      </c>
      <c r="I1637" s="34">
        <v>1700581924</v>
      </c>
      <c r="J1637" s="36">
        <v>178.25</v>
      </c>
      <c r="K1637" t="s">
        <v>2030</v>
      </c>
    </row>
    <row r="1638" spans="1:11" x14ac:dyDescent="0.3">
      <c r="A1638" t="s">
        <v>1550</v>
      </c>
      <c r="B1638" s="33">
        <v>43262</v>
      </c>
      <c r="C1638" s="76">
        <v>13808000597073</v>
      </c>
      <c r="D1638" s="34">
        <v>1</v>
      </c>
      <c r="E1638" s="35" t="s">
        <v>3701</v>
      </c>
      <c r="F1638" s="35" t="s">
        <v>143</v>
      </c>
      <c r="G1638" s="106"/>
      <c r="H1638" s="33">
        <v>43221</v>
      </c>
      <c r="I1638" s="34">
        <v>1700581923</v>
      </c>
      <c r="J1638" s="36">
        <v>178.25</v>
      </c>
      <c r="K1638" t="s">
        <v>2030</v>
      </c>
    </row>
    <row r="1639" spans="1:11" x14ac:dyDescent="0.3">
      <c r="A1639" t="s">
        <v>1550</v>
      </c>
      <c r="B1639" s="33">
        <v>43262</v>
      </c>
      <c r="C1639" s="76">
        <v>13808000597073</v>
      </c>
      <c r="D1639" s="34">
        <v>1</v>
      </c>
      <c r="E1639" s="35" t="s">
        <v>3701</v>
      </c>
      <c r="F1639" s="35" t="s">
        <v>141</v>
      </c>
      <c r="G1639" s="106"/>
      <c r="H1639" s="33">
        <v>43221</v>
      </c>
      <c r="I1639" s="34">
        <v>1700581922</v>
      </c>
      <c r="J1639" s="36">
        <v>178.25</v>
      </c>
      <c r="K1639" t="s">
        <v>2030</v>
      </c>
    </row>
    <row r="1640" spans="1:11" x14ac:dyDescent="0.3">
      <c r="A1640" t="s">
        <v>1550</v>
      </c>
      <c r="B1640" s="33">
        <v>43262</v>
      </c>
      <c r="C1640" s="76">
        <v>13808000597073</v>
      </c>
      <c r="D1640" s="34">
        <v>1</v>
      </c>
      <c r="E1640" s="35" t="s">
        <v>3701</v>
      </c>
      <c r="F1640" s="35" t="s">
        <v>140</v>
      </c>
      <c r="G1640" s="106"/>
      <c r="H1640" s="33">
        <v>43221</v>
      </c>
      <c r="I1640" s="34">
        <v>1700581921</v>
      </c>
      <c r="J1640" s="36">
        <v>178.25</v>
      </c>
      <c r="K1640" t="s">
        <v>2030</v>
      </c>
    </row>
    <row r="1641" spans="1:11" x14ac:dyDescent="0.3">
      <c r="A1641" t="s">
        <v>1550</v>
      </c>
      <c r="B1641" s="33">
        <v>43262</v>
      </c>
      <c r="C1641" s="76">
        <v>13808000597073</v>
      </c>
      <c r="D1641" s="34">
        <v>1</v>
      </c>
      <c r="E1641" s="35" t="s">
        <v>3701</v>
      </c>
      <c r="F1641" s="35" t="s">
        <v>137</v>
      </c>
      <c r="G1641" s="106"/>
      <c r="H1641" s="33">
        <v>43221</v>
      </c>
      <c r="I1641" s="34">
        <v>1700581920</v>
      </c>
      <c r="J1641" s="36">
        <v>178.25</v>
      </c>
      <c r="K1641" t="s">
        <v>2030</v>
      </c>
    </row>
    <row r="1642" spans="1:11" x14ac:dyDescent="0.3">
      <c r="A1642" t="s">
        <v>1550</v>
      </c>
      <c r="B1642" s="33">
        <v>43262</v>
      </c>
      <c r="C1642" s="76">
        <v>13808000597073</v>
      </c>
      <c r="D1642" s="34">
        <v>1</v>
      </c>
      <c r="E1642" s="35" t="s">
        <v>3701</v>
      </c>
      <c r="F1642" s="35" t="s">
        <v>138</v>
      </c>
      <c r="G1642" s="106"/>
      <c r="H1642" s="33">
        <v>43221</v>
      </c>
      <c r="I1642" s="34">
        <v>1700581919</v>
      </c>
      <c r="J1642" s="36">
        <v>178.25</v>
      </c>
      <c r="K1642" t="s">
        <v>2030</v>
      </c>
    </row>
    <row r="1643" spans="1:11" x14ac:dyDescent="0.3">
      <c r="A1643" t="s">
        <v>1550</v>
      </c>
      <c r="B1643" s="33">
        <v>43262</v>
      </c>
      <c r="C1643" s="76">
        <v>13808000597073</v>
      </c>
      <c r="D1643" s="34">
        <v>1</v>
      </c>
      <c r="E1643" s="35" t="s">
        <v>3701</v>
      </c>
      <c r="F1643" s="35" t="s">
        <v>139</v>
      </c>
      <c r="G1643" s="106"/>
      <c r="H1643" s="33">
        <v>43221</v>
      </c>
      <c r="I1643" s="34">
        <v>1700581918</v>
      </c>
      <c r="J1643" s="36">
        <v>178.25</v>
      </c>
      <c r="K1643" t="s">
        <v>2030</v>
      </c>
    </row>
    <row r="1644" spans="1:11" x14ac:dyDescent="0.3">
      <c r="A1644" t="s">
        <v>1550</v>
      </c>
      <c r="B1644" s="33">
        <v>43262</v>
      </c>
      <c r="C1644" s="76">
        <v>13808000597073</v>
      </c>
      <c r="D1644" s="34">
        <v>1</v>
      </c>
      <c r="E1644" s="35" t="s">
        <v>3701</v>
      </c>
      <c r="F1644" s="35" t="s">
        <v>136</v>
      </c>
      <c r="G1644" s="106"/>
      <c r="H1644" s="33">
        <v>43221</v>
      </c>
      <c r="I1644" s="34">
        <v>1700581917</v>
      </c>
      <c r="J1644" s="36">
        <v>178.25</v>
      </c>
      <c r="K1644" t="s">
        <v>2030</v>
      </c>
    </row>
    <row r="1645" spans="1:11" x14ac:dyDescent="0.3">
      <c r="A1645" t="s">
        <v>1550</v>
      </c>
      <c r="B1645" s="33">
        <v>43262</v>
      </c>
      <c r="C1645" s="76">
        <v>13808000597073</v>
      </c>
      <c r="D1645" s="34">
        <v>1</v>
      </c>
      <c r="E1645" s="35" t="s">
        <v>3701</v>
      </c>
      <c r="F1645" s="35" t="s">
        <v>130</v>
      </c>
      <c r="G1645" s="106"/>
      <c r="H1645" s="33">
        <v>43221</v>
      </c>
      <c r="I1645" s="34">
        <v>1700581916</v>
      </c>
      <c r="J1645" s="36">
        <v>178.25</v>
      </c>
      <c r="K1645" t="s">
        <v>2030</v>
      </c>
    </row>
    <row r="1646" spans="1:11" x14ac:dyDescent="0.3">
      <c r="A1646" t="s">
        <v>1550</v>
      </c>
      <c r="B1646" s="33">
        <v>43262</v>
      </c>
      <c r="C1646" s="76">
        <v>13808000597073</v>
      </c>
      <c r="D1646" s="34">
        <v>1</v>
      </c>
      <c r="E1646" s="35" t="s">
        <v>3701</v>
      </c>
      <c r="F1646" s="35" t="s">
        <v>131</v>
      </c>
      <c r="G1646" s="106"/>
      <c r="H1646" s="33">
        <v>43221</v>
      </c>
      <c r="I1646" s="34">
        <v>1700581915</v>
      </c>
      <c r="J1646" s="36">
        <v>178.25</v>
      </c>
      <c r="K1646" t="s">
        <v>2030</v>
      </c>
    </row>
    <row r="1647" spans="1:11" x14ac:dyDescent="0.3">
      <c r="A1647" t="s">
        <v>1550</v>
      </c>
      <c r="B1647" s="33">
        <v>43262</v>
      </c>
      <c r="C1647" s="76">
        <v>13808000597073</v>
      </c>
      <c r="D1647" s="34">
        <v>1</v>
      </c>
      <c r="E1647" s="35" t="s">
        <v>3701</v>
      </c>
      <c r="F1647" s="35" t="s">
        <v>125</v>
      </c>
      <c r="G1647" s="106"/>
      <c r="H1647" s="33">
        <v>43221</v>
      </c>
      <c r="I1647" s="34">
        <v>1700581914</v>
      </c>
      <c r="J1647" s="36">
        <v>178.25</v>
      </c>
      <c r="K1647" t="s">
        <v>2030</v>
      </c>
    </row>
    <row r="1648" spans="1:11" x14ac:dyDescent="0.3">
      <c r="A1648" t="s">
        <v>1550</v>
      </c>
      <c r="B1648" s="33">
        <v>43262</v>
      </c>
      <c r="C1648" s="76">
        <v>13808000597073</v>
      </c>
      <c r="D1648" s="34">
        <v>1</v>
      </c>
      <c r="E1648" s="35" t="s">
        <v>3701</v>
      </c>
      <c r="F1648" s="35" t="s">
        <v>132</v>
      </c>
      <c r="G1648" s="106"/>
      <c r="H1648" s="33">
        <v>43221</v>
      </c>
      <c r="I1648" s="34">
        <v>1700581913</v>
      </c>
      <c r="J1648" s="36">
        <v>178.25</v>
      </c>
      <c r="K1648" t="s">
        <v>2030</v>
      </c>
    </row>
    <row r="1649" spans="1:11" x14ac:dyDescent="0.3">
      <c r="A1649" t="s">
        <v>1550</v>
      </c>
      <c r="B1649" s="33">
        <v>43262</v>
      </c>
      <c r="C1649" s="76">
        <v>13808000597073</v>
      </c>
      <c r="D1649" s="34">
        <v>1</v>
      </c>
      <c r="E1649" s="35" t="s">
        <v>3701</v>
      </c>
      <c r="F1649" s="35" t="s">
        <v>135</v>
      </c>
      <c r="G1649" s="106"/>
      <c r="H1649" s="33">
        <v>43221</v>
      </c>
      <c r="I1649" s="34">
        <v>1700581912</v>
      </c>
      <c r="J1649" s="36">
        <v>178.25</v>
      </c>
      <c r="K1649" t="s">
        <v>2030</v>
      </c>
    </row>
    <row r="1650" spans="1:11" x14ac:dyDescent="0.3">
      <c r="A1650" t="s">
        <v>1550</v>
      </c>
      <c r="B1650" s="33">
        <v>43262</v>
      </c>
      <c r="C1650" s="76">
        <v>13808000597073</v>
      </c>
      <c r="D1650" s="34">
        <v>1</v>
      </c>
      <c r="E1650" s="35" t="s">
        <v>3701</v>
      </c>
      <c r="F1650" s="35" t="s">
        <v>133</v>
      </c>
      <c r="G1650" s="106"/>
      <c r="H1650" s="33">
        <v>43221</v>
      </c>
      <c r="I1650" s="34">
        <v>1700581911</v>
      </c>
      <c r="J1650" s="36">
        <v>178.25</v>
      </c>
      <c r="K1650" t="s">
        <v>2030</v>
      </c>
    </row>
    <row r="1651" spans="1:11" x14ac:dyDescent="0.3">
      <c r="A1651" t="s">
        <v>1550</v>
      </c>
      <c r="B1651" s="33">
        <v>43262</v>
      </c>
      <c r="C1651" s="76">
        <v>13808000597073</v>
      </c>
      <c r="D1651" s="34">
        <v>1</v>
      </c>
      <c r="E1651" s="35" t="s">
        <v>3701</v>
      </c>
      <c r="F1651" s="35" t="s">
        <v>41</v>
      </c>
      <c r="G1651" s="106"/>
      <c r="H1651" s="33">
        <v>43221</v>
      </c>
      <c r="I1651" s="34">
        <v>1700581829</v>
      </c>
      <c r="J1651" s="36">
        <v>178.25</v>
      </c>
      <c r="K1651" t="s">
        <v>2030</v>
      </c>
    </row>
    <row r="1652" spans="1:11" x14ac:dyDescent="0.3">
      <c r="A1652" t="s">
        <v>1550</v>
      </c>
      <c r="B1652" s="33">
        <v>43262</v>
      </c>
      <c r="C1652" s="76">
        <v>13808000597073</v>
      </c>
      <c r="D1652" s="34">
        <v>1</v>
      </c>
      <c r="E1652" s="35" t="s">
        <v>3701</v>
      </c>
      <c r="F1652" s="35" t="s">
        <v>43</v>
      </c>
      <c r="G1652" s="106"/>
      <c r="H1652" s="33">
        <v>43221</v>
      </c>
      <c r="I1652" s="34">
        <v>1700581828</v>
      </c>
      <c r="J1652" s="36">
        <v>178.25</v>
      </c>
      <c r="K1652" t="s">
        <v>2030</v>
      </c>
    </row>
    <row r="1653" spans="1:11" x14ac:dyDescent="0.3">
      <c r="A1653" t="s">
        <v>1550</v>
      </c>
      <c r="B1653" s="33">
        <v>43262</v>
      </c>
      <c r="C1653" s="76">
        <v>13808000597073</v>
      </c>
      <c r="D1653" s="34">
        <v>1</v>
      </c>
      <c r="E1653" s="35" t="s">
        <v>3701</v>
      </c>
      <c r="F1653" s="35" t="s">
        <v>40</v>
      </c>
      <c r="G1653" s="106"/>
      <c r="H1653" s="33">
        <v>43221</v>
      </c>
      <c r="I1653" s="34">
        <v>1700581827</v>
      </c>
      <c r="J1653" s="36">
        <v>178.25</v>
      </c>
      <c r="K1653" t="s">
        <v>2030</v>
      </c>
    </row>
    <row r="1654" spans="1:11" x14ac:dyDescent="0.3">
      <c r="A1654" t="s">
        <v>1550</v>
      </c>
      <c r="B1654" s="33">
        <v>43262</v>
      </c>
      <c r="C1654" s="76">
        <v>13808000597073</v>
      </c>
      <c r="D1654" s="34">
        <v>1</v>
      </c>
      <c r="E1654" s="35" t="s">
        <v>3701</v>
      </c>
      <c r="F1654" s="35" t="s">
        <v>6</v>
      </c>
      <c r="G1654" s="106"/>
      <c r="H1654" s="33">
        <v>43221</v>
      </c>
      <c r="I1654" s="34">
        <v>1700581826</v>
      </c>
      <c r="J1654" s="36">
        <v>178.25</v>
      </c>
      <c r="K1654" t="s">
        <v>2030</v>
      </c>
    </row>
    <row r="1655" spans="1:11" x14ac:dyDescent="0.3">
      <c r="A1655" t="s">
        <v>1550</v>
      </c>
      <c r="B1655" s="33">
        <v>43262</v>
      </c>
      <c r="C1655" s="76">
        <v>13808000597073</v>
      </c>
      <c r="D1655" s="34">
        <v>1</v>
      </c>
      <c r="E1655" s="35" t="s">
        <v>3701</v>
      </c>
      <c r="F1655" s="35" t="s">
        <v>86</v>
      </c>
      <c r="G1655" s="106"/>
      <c r="H1655" s="33">
        <v>43221</v>
      </c>
      <c r="I1655" s="34">
        <v>1700581870</v>
      </c>
      <c r="J1655" s="36">
        <v>178.25</v>
      </c>
      <c r="K1655" t="s">
        <v>2030</v>
      </c>
    </row>
    <row r="1656" spans="1:11" x14ac:dyDescent="0.3">
      <c r="A1656" t="s">
        <v>1550</v>
      </c>
      <c r="B1656" s="33">
        <v>43262</v>
      </c>
      <c r="C1656" s="76">
        <v>13808000597073</v>
      </c>
      <c r="D1656" s="34">
        <v>1</v>
      </c>
      <c r="E1656" s="35" t="s">
        <v>3701</v>
      </c>
      <c r="F1656" s="35" t="s">
        <v>85</v>
      </c>
      <c r="G1656" s="106"/>
      <c r="H1656" s="33">
        <v>43221</v>
      </c>
      <c r="I1656" s="34">
        <v>1700581869</v>
      </c>
      <c r="J1656" s="36">
        <v>178.25</v>
      </c>
      <c r="K1656" t="s">
        <v>2030</v>
      </c>
    </row>
    <row r="1657" spans="1:11" x14ac:dyDescent="0.3">
      <c r="A1657" t="s">
        <v>1550</v>
      </c>
      <c r="B1657" s="33">
        <v>43262</v>
      </c>
      <c r="C1657" s="76">
        <v>13808000597073</v>
      </c>
      <c r="D1657" s="34">
        <v>1</v>
      </c>
      <c r="E1657" s="35" t="s">
        <v>3701</v>
      </c>
      <c r="F1657" s="35" t="s">
        <v>88</v>
      </c>
      <c r="G1657" s="106"/>
      <c r="H1657" s="33">
        <v>43221</v>
      </c>
      <c r="I1657" s="34">
        <v>1700581868</v>
      </c>
      <c r="J1657" s="36">
        <v>178.25</v>
      </c>
      <c r="K1657" t="s">
        <v>2030</v>
      </c>
    </row>
    <row r="1658" spans="1:11" x14ac:dyDescent="0.3">
      <c r="A1658" t="s">
        <v>1550</v>
      </c>
      <c r="B1658" s="33">
        <v>43262</v>
      </c>
      <c r="C1658" s="76">
        <v>13808000597073</v>
      </c>
      <c r="D1658" s="34">
        <v>1</v>
      </c>
      <c r="E1658" s="35" t="s">
        <v>3701</v>
      </c>
      <c r="F1658" s="35" t="s">
        <v>90</v>
      </c>
      <c r="G1658" s="106"/>
      <c r="H1658" s="33">
        <v>43221</v>
      </c>
      <c r="I1658" s="34">
        <v>1700581867</v>
      </c>
      <c r="J1658" s="36">
        <v>178.25</v>
      </c>
      <c r="K1658" t="s">
        <v>2030</v>
      </c>
    </row>
    <row r="1659" spans="1:11" x14ac:dyDescent="0.3">
      <c r="A1659" t="s">
        <v>1550</v>
      </c>
      <c r="B1659" s="33">
        <v>43262</v>
      </c>
      <c r="C1659" s="76">
        <v>13808000597073</v>
      </c>
      <c r="D1659" s="34">
        <v>1</v>
      </c>
      <c r="E1659" s="35" t="s">
        <v>3701</v>
      </c>
      <c r="F1659" s="35" t="s">
        <v>87</v>
      </c>
      <c r="G1659" s="106"/>
      <c r="H1659" s="33">
        <v>43221</v>
      </c>
      <c r="I1659" s="34">
        <v>1700581866</v>
      </c>
      <c r="J1659" s="36">
        <v>178.25</v>
      </c>
      <c r="K1659" t="s">
        <v>2030</v>
      </c>
    </row>
    <row r="1660" spans="1:11" x14ac:dyDescent="0.3">
      <c r="A1660" t="s">
        <v>1550</v>
      </c>
      <c r="B1660" s="33">
        <v>43262</v>
      </c>
      <c r="C1660" s="76">
        <v>13808000597073</v>
      </c>
      <c r="D1660" s="34">
        <v>1</v>
      </c>
      <c r="E1660" s="35" t="s">
        <v>3701</v>
      </c>
      <c r="F1660" s="35" t="s">
        <v>89</v>
      </c>
      <c r="G1660" s="106"/>
      <c r="H1660" s="33">
        <v>43221</v>
      </c>
      <c r="I1660" s="34">
        <v>1700581865</v>
      </c>
      <c r="J1660" s="36">
        <v>178.25</v>
      </c>
      <c r="K1660" t="s">
        <v>2030</v>
      </c>
    </row>
    <row r="1661" spans="1:11" x14ac:dyDescent="0.3">
      <c r="A1661" t="s">
        <v>1550</v>
      </c>
      <c r="B1661" s="33">
        <v>43262</v>
      </c>
      <c r="C1661" s="76">
        <v>13808000597073</v>
      </c>
      <c r="D1661" s="34">
        <v>1</v>
      </c>
      <c r="E1661" s="35" t="s">
        <v>3701</v>
      </c>
      <c r="F1661" s="35" t="s">
        <v>83</v>
      </c>
      <c r="G1661" s="106"/>
      <c r="H1661" s="33">
        <v>43221</v>
      </c>
      <c r="I1661" s="34">
        <v>1700581864</v>
      </c>
      <c r="J1661" s="36">
        <v>434</v>
      </c>
      <c r="K1661" t="s">
        <v>2030</v>
      </c>
    </row>
    <row r="1662" spans="1:11" x14ac:dyDescent="0.3">
      <c r="A1662" t="s">
        <v>1550</v>
      </c>
      <c r="B1662" s="33">
        <v>43262</v>
      </c>
      <c r="C1662" s="76">
        <v>13808000597073</v>
      </c>
      <c r="D1662" s="34">
        <v>1</v>
      </c>
      <c r="E1662" s="35" t="s">
        <v>3701</v>
      </c>
      <c r="F1662" s="35" t="s">
        <v>82</v>
      </c>
      <c r="G1662" s="106"/>
      <c r="H1662" s="33">
        <v>43221</v>
      </c>
      <c r="I1662" s="34">
        <v>1700581863</v>
      </c>
      <c r="J1662" s="36">
        <v>434</v>
      </c>
      <c r="K1662" t="s">
        <v>2030</v>
      </c>
    </row>
    <row r="1663" spans="1:11" x14ac:dyDescent="0.3">
      <c r="A1663" t="s">
        <v>1550</v>
      </c>
      <c r="B1663" s="33">
        <v>43262</v>
      </c>
      <c r="C1663" s="76">
        <v>13808000597073</v>
      </c>
      <c r="D1663" s="34">
        <v>1</v>
      </c>
      <c r="E1663" s="35" t="s">
        <v>3701</v>
      </c>
      <c r="F1663" s="35" t="s">
        <v>81</v>
      </c>
      <c r="G1663" s="106"/>
      <c r="H1663" s="33">
        <v>43221</v>
      </c>
      <c r="I1663" s="34">
        <v>1700581862</v>
      </c>
      <c r="J1663" s="36">
        <v>178.25</v>
      </c>
      <c r="K1663" t="s">
        <v>2030</v>
      </c>
    </row>
    <row r="1664" spans="1:11" x14ac:dyDescent="0.3">
      <c r="A1664" t="s">
        <v>1550</v>
      </c>
      <c r="B1664" s="33">
        <v>43262</v>
      </c>
      <c r="C1664" s="76">
        <v>13808000597073</v>
      </c>
      <c r="D1664" s="34">
        <v>1</v>
      </c>
      <c r="E1664" s="35" t="s">
        <v>3701</v>
      </c>
      <c r="F1664" s="35" t="s">
        <v>79</v>
      </c>
      <c r="G1664" s="106"/>
      <c r="H1664" s="33">
        <v>43221</v>
      </c>
      <c r="I1664" s="34">
        <v>1700581861</v>
      </c>
      <c r="J1664" s="36">
        <v>178.25</v>
      </c>
      <c r="K1664" t="s">
        <v>2030</v>
      </c>
    </row>
    <row r="1665" spans="1:11" x14ac:dyDescent="0.3">
      <c r="A1665" t="s">
        <v>1550</v>
      </c>
      <c r="B1665" s="33">
        <v>43262</v>
      </c>
      <c r="C1665" s="76">
        <v>13808000597073</v>
      </c>
      <c r="D1665" s="34">
        <v>1</v>
      </c>
      <c r="E1665" s="35" t="s">
        <v>3701</v>
      </c>
      <c r="F1665" s="35" t="s">
        <v>77</v>
      </c>
      <c r="G1665" s="106"/>
      <c r="H1665" s="33">
        <v>43221</v>
      </c>
      <c r="I1665" s="34">
        <v>1700581860</v>
      </c>
      <c r="J1665" s="36">
        <v>178.25</v>
      </c>
      <c r="K1665" t="s">
        <v>2030</v>
      </c>
    </row>
    <row r="1666" spans="1:11" x14ac:dyDescent="0.3">
      <c r="A1666" t="s">
        <v>1550</v>
      </c>
      <c r="B1666" s="33">
        <v>43262</v>
      </c>
      <c r="C1666" s="76">
        <v>13808000597073</v>
      </c>
      <c r="D1666" s="34">
        <v>1</v>
      </c>
      <c r="E1666" s="35" t="s">
        <v>3701</v>
      </c>
      <c r="F1666" s="35" t="s">
        <v>80</v>
      </c>
      <c r="G1666" s="106"/>
      <c r="H1666" s="33">
        <v>43221</v>
      </c>
      <c r="I1666" s="34">
        <v>1700581859</v>
      </c>
      <c r="J1666" s="36">
        <v>178.25</v>
      </c>
      <c r="K1666" t="s">
        <v>2030</v>
      </c>
    </row>
    <row r="1667" spans="1:11" x14ac:dyDescent="0.3">
      <c r="A1667" t="s">
        <v>1550</v>
      </c>
      <c r="B1667" s="33">
        <v>43262</v>
      </c>
      <c r="C1667" s="76">
        <v>13808000597073</v>
      </c>
      <c r="D1667" s="34">
        <v>1</v>
      </c>
      <c r="E1667" s="35" t="s">
        <v>3701</v>
      </c>
      <c r="F1667" s="35" t="s">
        <v>76</v>
      </c>
      <c r="G1667" s="106"/>
      <c r="H1667" s="33">
        <v>43221</v>
      </c>
      <c r="I1667" s="34">
        <v>1700581858</v>
      </c>
      <c r="J1667" s="36">
        <v>178.25</v>
      </c>
      <c r="K1667" t="s">
        <v>2030</v>
      </c>
    </row>
    <row r="1668" spans="1:11" x14ac:dyDescent="0.3">
      <c r="A1668" t="s">
        <v>1550</v>
      </c>
      <c r="B1668" s="33">
        <v>43262</v>
      </c>
      <c r="C1668" s="76">
        <v>13808000597073</v>
      </c>
      <c r="D1668" s="34">
        <v>1</v>
      </c>
      <c r="E1668" s="35" t="s">
        <v>3701</v>
      </c>
      <c r="F1668" s="35" t="s">
        <v>74</v>
      </c>
      <c r="G1668" s="106"/>
      <c r="H1668" s="33">
        <v>43221</v>
      </c>
      <c r="I1668" s="34">
        <v>1700581857</v>
      </c>
      <c r="J1668" s="36">
        <v>178.25</v>
      </c>
      <c r="K1668" t="s">
        <v>2030</v>
      </c>
    </row>
    <row r="1669" spans="1:11" x14ac:dyDescent="0.3">
      <c r="A1669" t="s">
        <v>1550</v>
      </c>
      <c r="B1669" s="33">
        <v>43262</v>
      </c>
      <c r="C1669" s="76">
        <v>13808000597073</v>
      </c>
      <c r="D1669" s="34">
        <v>1</v>
      </c>
      <c r="E1669" s="35" t="s">
        <v>3701</v>
      </c>
      <c r="F1669" s="35" t="s">
        <v>72</v>
      </c>
      <c r="G1669" s="106"/>
      <c r="H1669" s="33">
        <v>43221</v>
      </c>
      <c r="I1669" s="34">
        <v>1700581856</v>
      </c>
      <c r="J1669" s="36">
        <v>178.25</v>
      </c>
      <c r="K1669" t="s">
        <v>2030</v>
      </c>
    </row>
    <row r="1670" spans="1:11" x14ac:dyDescent="0.3">
      <c r="A1670" t="s">
        <v>1550</v>
      </c>
      <c r="B1670" s="33">
        <v>43262</v>
      </c>
      <c r="C1670" s="76">
        <v>13808000597073</v>
      </c>
      <c r="D1670" s="34">
        <v>1</v>
      </c>
      <c r="E1670" s="35" t="s">
        <v>3701</v>
      </c>
      <c r="F1670" s="35" t="s">
        <v>78</v>
      </c>
      <c r="G1670" s="106"/>
      <c r="H1670" s="33">
        <v>43221</v>
      </c>
      <c r="I1670" s="34">
        <v>1700581855</v>
      </c>
      <c r="J1670" s="36">
        <v>178.25</v>
      </c>
      <c r="K1670" t="s">
        <v>2030</v>
      </c>
    </row>
    <row r="1671" spans="1:11" x14ac:dyDescent="0.3">
      <c r="A1671" t="s">
        <v>1550</v>
      </c>
      <c r="B1671" s="33">
        <v>43262</v>
      </c>
      <c r="C1671" s="76">
        <v>13808000597073</v>
      </c>
      <c r="D1671" s="34">
        <v>1</v>
      </c>
      <c r="E1671" s="35" t="s">
        <v>3701</v>
      </c>
      <c r="F1671" s="35" t="s">
        <v>73</v>
      </c>
      <c r="G1671" s="106"/>
      <c r="H1671" s="33">
        <v>43221</v>
      </c>
      <c r="I1671" s="34">
        <v>1700581854</v>
      </c>
      <c r="J1671" s="36">
        <v>178.25</v>
      </c>
      <c r="K1671" t="s">
        <v>2030</v>
      </c>
    </row>
    <row r="1672" spans="1:11" x14ac:dyDescent="0.3">
      <c r="A1672" t="s">
        <v>1550</v>
      </c>
      <c r="B1672" s="33">
        <v>43262</v>
      </c>
      <c r="C1672" s="76">
        <v>13808000597073</v>
      </c>
      <c r="D1672" s="34">
        <v>1</v>
      </c>
      <c r="E1672" s="35" t="s">
        <v>3701</v>
      </c>
      <c r="F1672" s="35" t="s">
        <v>66</v>
      </c>
      <c r="G1672" s="106"/>
      <c r="H1672" s="33">
        <v>43221</v>
      </c>
      <c r="I1672" s="34">
        <v>1700581853</v>
      </c>
      <c r="J1672" s="36">
        <v>178.25</v>
      </c>
      <c r="K1672" t="s">
        <v>2030</v>
      </c>
    </row>
    <row r="1673" spans="1:11" x14ac:dyDescent="0.3">
      <c r="A1673" t="s">
        <v>1550</v>
      </c>
      <c r="B1673" s="33">
        <v>43262</v>
      </c>
      <c r="C1673" s="76">
        <v>13808000597073</v>
      </c>
      <c r="D1673" s="34">
        <v>1</v>
      </c>
      <c r="E1673" s="35" t="s">
        <v>3701</v>
      </c>
      <c r="F1673" s="35" t="s">
        <v>75</v>
      </c>
      <c r="G1673" s="106"/>
      <c r="H1673" s="33">
        <v>43221</v>
      </c>
      <c r="I1673" s="34">
        <v>1700581852</v>
      </c>
      <c r="J1673" s="36">
        <v>178.25</v>
      </c>
      <c r="K1673" t="s">
        <v>2030</v>
      </c>
    </row>
    <row r="1674" spans="1:11" x14ac:dyDescent="0.3">
      <c r="A1674" t="s">
        <v>1550</v>
      </c>
      <c r="B1674" s="33">
        <v>43262</v>
      </c>
      <c r="C1674" s="76">
        <v>13808000597073</v>
      </c>
      <c r="D1674" s="34">
        <v>1</v>
      </c>
      <c r="E1674" s="35" t="s">
        <v>3701</v>
      </c>
      <c r="F1674" s="35" t="s">
        <v>70</v>
      </c>
      <c r="G1674" s="106"/>
      <c r="H1674" s="33">
        <v>43221</v>
      </c>
      <c r="I1674" s="34">
        <v>1700581850</v>
      </c>
      <c r="J1674" s="36">
        <v>178.25</v>
      </c>
      <c r="K1674" t="s">
        <v>2030</v>
      </c>
    </row>
    <row r="1675" spans="1:11" x14ac:dyDescent="0.3">
      <c r="A1675" t="s">
        <v>1550</v>
      </c>
      <c r="B1675" s="33">
        <v>43262</v>
      </c>
      <c r="C1675" s="76">
        <v>13808000597073</v>
      </c>
      <c r="D1675" s="34">
        <v>1</v>
      </c>
      <c r="E1675" s="35" t="s">
        <v>3701</v>
      </c>
      <c r="F1675" s="35" t="s">
        <v>65</v>
      </c>
      <c r="G1675" s="106"/>
      <c r="H1675" s="33">
        <v>43221</v>
      </c>
      <c r="I1675" s="34">
        <v>1700581849</v>
      </c>
      <c r="J1675" s="36">
        <v>178.25</v>
      </c>
      <c r="K1675" t="s">
        <v>2030</v>
      </c>
    </row>
    <row r="1676" spans="1:11" x14ac:dyDescent="0.3">
      <c r="A1676" t="s">
        <v>1550</v>
      </c>
      <c r="B1676" s="33">
        <v>43262</v>
      </c>
      <c r="C1676" s="76">
        <v>13808000597073</v>
      </c>
      <c r="D1676" s="34">
        <v>1</v>
      </c>
      <c r="E1676" s="35" t="s">
        <v>3701</v>
      </c>
      <c r="F1676" s="35" t="s">
        <v>68</v>
      </c>
      <c r="G1676" s="106"/>
      <c r="H1676" s="33">
        <v>43221</v>
      </c>
      <c r="I1676" s="34">
        <v>1700581848</v>
      </c>
      <c r="J1676" s="36">
        <v>178.25</v>
      </c>
      <c r="K1676" t="s">
        <v>2030</v>
      </c>
    </row>
    <row r="1677" spans="1:11" x14ac:dyDescent="0.3">
      <c r="A1677" t="s">
        <v>1550</v>
      </c>
      <c r="B1677" s="33">
        <v>43262</v>
      </c>
      <c r="C1677" s="76">
        <v>13808000597073</v>
      </c>
      <c r="D1677" s="34">
        <v>1</v>
      </c>
      <c r="E1677" s="35" t="s">
        <v>3701</v>
      </c>
      <c r="F1677" s="35" t="s">
        <v>7</v>
      </c>
      <c r="G1677" s="106"/>
      <c r="H1677" s="33">
        <v>43221</v>
      </c>
      <c r="I1677" s="34">
        <v>1700581847</v>
      </c>
      <c r="J1677" s="36">
        <v>178.25</v>
      </c>
      <c r="K1677" t="s">
        <v>2030</v>
      </c>
    </row>
    <row r="1678" spans="1:11" x14ac:dyDescent="0.3">
      <c r="A1678" t="s">
        <v>1550</v>
      </c>
      <c r="B1678" s="33">
        <v>43262</v>
      </c>
      <c r="C1678" s="76">
        <v>13808000597073</v>
      </c>
      <c r="D1678" s="34">
        <v>1</v>
      </c>
      <c r="E1678" s="35" t="s">
        <v>3701</v>
      </c>
      <c r="F1678" s="35" t="s">
        <v>69</v>
      </c>
      <c r="G1678" s="106"/>
      <c r="H1678" s="33">
        <v>43221</v>
      </c>
      <c r="I1678" s="34">
        <v>1700581846</v>
      </c>
      <c r="J1678" s="36">
        <v>178.25</v>
      </c>
      <c r="K1678" t="s">
        <v>2030</v>
      </c>
    </row>
    <row r="1679" spans="1:11" x14ac:dyDescent="0.3">
      <c r="A1679" t="s">
        <v>1550</v>
      </c>
      <c r="B1679" s="33">
        <v>43262</v>
      </c>
      <c r="C1679" s="76">
        <v>13808000597073</v>
      </c>
      <c r="D1679" s="34">
        <v>1</v>
      </c>
      <c r="E1679" s="35" t="s">
        <v>3701</v>
      </c>
      <c r="F1679" s="35" t="s">
        <v>67</v>
      </c>
      <c r="G1679" s="106"/>
      <c r="H1679" s="33">
        <v>43221</v>
      </c>
      <c r="I1679" s="34">
        <v>1700581845</v>
      </c>
      <c r="J1679" s="36">
        <v>178.25</v>
      </c>
      <c r="K1679" t="s">
        <v>2030</v>
      </c>
    </row>
    <row r="1680" spans="1:11" x14ac:dyDescent="0.3">
      <c r="A1680" t="s">
        <v>1550</v>
      </c>
      <c r="B1680" s="33">
        <v>43262</v>
      </c>
      <c r="C1680" s="76">
        <v>13808000597073</v>
      </c>
      <c r="D1680" s="34">
        <v>1</v>
      </c>
      <c r="E1680" s="35" t="s">
        <v>3701</v>
      </c>
      <c r="F1680" s="35" t="s">
        <v>71</v>
      </c>
      <c r="G1680" s="106"/>
      <c r="H1680" s="33">
        <v>43221</v>
      </c>
      <c r="I1680" s="34">
        <v>1700581844</v>
      </c>
      <c r="J1680" s="36">
        <v>178.25</v>
      </c>
      <c r="K1680" t="s">
        <v>2030</v>
      </c>
    </row>
    <row r="1681" spans="1:11" x14ac:dyDescent="0.3">
      <c r="A1681" t="s">
        <v>1550</v>
      </c>
      <c r="B1681" s="33">
        <v>43262</v>
      </c>
      <c r="C1681" s="76">
        <v>13808000597073</v>
      </c>
      <c r="D1681" s="34">
        <v>1</v>
      </c>
      <c r="E1681" s="35" t="s">
        <v>3701</v>
      </c>
      <c r="F1681" s="35" t="s">
        <v>57</v>
      </c>
      <c r="G1681" s="106"/>
      <c r="H1681" s="33">
        <v>43221</v>
      </c>
      <c r="I1681" s="34">
        <v>1700581843</v>
      </c>
      <c r="J1681" s="36">
        <v>178.25</v>
      </c>
      <c r="K1681" t="s">
        <v>2030</v>
      </c>
    </row>
    <row r="1682" spans="1:11" x14ac:dyDescent="0.3">
      <c r="A1682" t="s">
        <v>1550</v>
      </c>
      <c r="B1682" s="33">
        <v>43262</v>
      </c>
      <c r="C1682" s="76">
        <v>13808000597073</v>
      </c>
      <c r="D1682" s="34">
        <v>1</v>
      </c>
      <c r="E1682" s="35" t="s">
        <v>3701</v>
      </c>
      <c r="F1682" s="35" t="s">
        <v>64</v>
      </c>
      <c r="G1682" s="106"/>
      <c r="H1682" s="33">
        <v>43221</v>
      </c>
      <c r="I1682" s="34">
        <v>1700581842</v>
      </c>
      <c r="J1682" s="36">
        <v>178.25</v>
      </c>
      <c r="K1682" t="s">
        <v>2030</v>
      </c>
    </row>
    <row r="1683" spans="1:11" x14ac:dyDescent="0.3">
      <c r="A1683" t="s">
        <v>1550</v>
      </c>
      <c r="B1683" s="33">
        <v>43262</v>
      </c>
      <c r="C1683" s="76">
        <v>13808000597073</v>
      </c>
      <c r="D1683" s="34">
        <v>1</v>
      </c>
      <c r="E1683" s="35" t="s">
        <v>3701</v>
      </c>
      <c r="F1683" s="35" t="s">
        <v>47</v>
      </c>
      <c r="G1683" s="106"/>
      <c r="H1683" s="33">
        <v>43221</v>
      </c>
      <c r="I1683" s="34">
        <v>1700581841</v>
      </c>
      <c r="J1683" s="36">
        <v>178.25</v>
      </c>
      <c r="K1683" t="s">
        <v>2030</v>
      </c>
    </row>
    <row r="1684" spans="1:11" x14ac:dyDescent="0.3">
      <c r="A1684" t="s">
        <v>1550</v>
      </c>
      <c r="B1684" s="33">
        <v>43262</v>
      </c>
      <c r="C1684" s="76">
        <v>13808000597073</v>
      </c>
      <c r="D1684" s="34">
        <v>1</v>
      </c>
      <c r="E1684" s="35" t="s">
        <v>3701</v>
      </c>
      <c r="F1684" s="35" t="s">
        <v>50</v>
      </c>
      <c r="G1684" s="106"/>
      <c r="H1684" s="33">
        <v>43221</v>
      </c>
      <c r="I1684" s="34">
        <v>1700581840</v>
      </c>
      <c r="J1684" s="36">
        <v>178.25</v>
      </c>
      <c r="K1684" t="s">
        <v>2030</v>
      </c>
    </row>
    <row r="1685" spans="1:11" x14ac:dyDescent="0.3">
      <c r="A1685" t="s">
        <v>1550</v>
      </c>
      <c r="B1685" s="33">
        <v>43262</v>
      </c>
      <c r="C1685" s="76">
        <v>13808000597073</v>
      </c>
      <c r="D1685" s="34">
        <v>1</v>
      </c>
      <c r="E1685" s="35" t="s">
        <v>3701</v>
      </c>
      <c r="F1685" s="35" t="s">
        <v>56</v>
      </c>
      <c r="G1685" s="106"/>
      <c r="H1685" s="33">
        <v>43221</v>
      </c>
      <c r="I1685" s="34">
        <v>1700581839</v>
      </c>
      <c r="J1685" s="36">
        <v>178.25</v>
      </c>
      <c r="K1685" t="s">
        <v>2030</v>
      </c>
    </row>
    <row r="1686" spans="1:11" x14ac:dyDescent="0.3">
      <c r="A1686" t="s">
        <v>1550</v>
      </c>
      <c r="B1686" s="33">
        <v>43262</v>
      </c>
      <c r="C1686" s="76">
        <v>13808000597073</v>
      </c>
      <c r="D1686" s="34">
        <v>1</v>
      </c>
      <c r="E1686" s="35" t="s">
        <v>3701</v>
      </c>
      <c r="F1686" s="35" t="s">
        <v>51</v>
      </c>
      <c r="G1686" s="106"/>
      <c r="H1686" s="33">
        <v>43221</v>
      </c>
      <c r="I1686" s="34">
        <v>1700581838</v>
      </c>
      <c r="J1686" s="36">
        <v>178.25</v>
      </c>
      <c r="K1686" t="s">
        <v>2030</v>
      </c>
    </row>
    <row r="1687" spans="1:11" x14ac:dyDescent="0.3">
      <c r="A1687" t="s">
        <v>1550</v>
      </c>
      <c r="B1687" s="33">
        <v>43262</v>
      </c>
      <c r="C1687" s="76">
        <v>13808000597073</v>
      </c>
      <c r="D1687" s="34">
        <v>1</v>
      </c>
      <c r="E1687" s="35" t="s">
        <v>3701</v>
      </c>
      <c r="F1687" s="35" t="s">
        <v>48</v>
      </c>
      <c r="G1687" s="106"/>
      <c r="H1687" s="33">
        <v>43221</v>
      </c>
      <c r="I1687" s="34">
        <v>1700581837</v>
      </c>
      <c r="J1687" s="36">
        <v>178.25</v>
      </c>
      <c r="K1687" t="s">
        <v>2030</v>
      </c>
    </row>
    <row r="1688" spans="1:11" x14ac:dyDescent="0.3">
      <c r="A1688" t="s">
        <v>1550</v>
      </c>
      <c r="B1688" s="33">
        <v>43262</v>
      </c>
      <c r="C1688" s="76">
        <v>13808000597073</v>
      </c>
      <c r="D1688" s="34">
        <v>1</v>
      </c>
      <c r="E1688" s="35" t="s">
        <v>3701</v>
      </c>
      <c r="F1688" s="35" t="s">
        <v>295</v>
      </c>
      <c r="G1688" s="106"/>
      <c r="H1688" s="33">
        <v>43221</v>
      </c>
      <c r="I1688" s="34">
        <v>1700581836</v>
      </c>
      <c r="J1688" s="36">
        <v>178.25</v>
      </c>
      <c r="K1688" t="s">
        <v>2030</v>
      </c>
    </row>
    <row r="1689" spans="1:11" x14ac:dyDescent="0.3">
      <c r="A1689" t="s">
        <v>1550</v>
      </c>
      <c r="B1689" s="33">
        <v>43262</v>
      </c>
      <c r="C1689" s="76">
        <v>13808000597073</v>
      </c>
      <c r="D1689" s="34">
        <v>1</v>
      </c>
      <c r="E1689" s="35" t="s">
        <v>3701</v>
      </c>
      <c r="F1689" s="35" t="s">
        <v>52</v>
      </c>
      <c r="G1689" s="106"/>
      <c r="H1689" s="33">
        <v>43221</v>
      </c>
      <c r="I1689" s="34">
        <v>1700581835</v>
      </c>
      <c r="J1689" s="36">
        <v>178.25</v>
      </c>
      <c r="K1689" t="s">
        <v>2030</v>
      </c>
    </row>
    <row r="1690" spans="1:11" x14ac:dyDescent="0.3">
      <c r="A1690" t="s">
        <v>1550</v>
      </c>
      <c r="B1690" s="33">
        <v>43262</v>
      </c>
      <c r="C1690" s="76">
        <v>13808000597073</v>
      </c>
      <c r="D1690" s="34">
        <v>1</v>
      </c>
      <c r="E1690" s="35" t="s">
        <v>3701</v>
      </c>
      <c r="F1690" s="35" t="s">
        <v>42</v>
      </c>
      <c r="G1690" s="106"/>
      <c r="H1690" s="33">
        <v>43221</v>
      </c>
      <c r="I1690" s="34">
        <v>1700581834</v>
      </c>
      <c r="J1690" s="36">
        <v>178.25</v>
      </c>
      <c r="K1690" t="s">
        <v>2030</v>
      </c>
    </row>
    <row r="1691" spans="1:11" x14ac:dyDescent="0.3">
      <c r="A1691" t="s">
        <v>1550</v>
      </c>
      <c r="B1691" s="33">
        <v>43262</v>
      </c>
      <c r="C1691" s="76">
        <v>13808000597073</v>
      </c>
      <c r="D1691" s="34">
        <v>1</v>
      </c>
      <c r="E1691" s="35" t="s">
        <v>3701</v>
      </c>
      <c r="F1691" s="35" t="s">
        <v>44</v>
      </c>
      <c r="G1691" s="106"/>
      <c r="H1691" s="33">
        <v>43221</v>
      </c>
      <c r="I1691" s="34">
        <v>1700581833</v>
      </c>
      <c r="J1691" s="36">
        <v>178.25</v>
      </c>
      <c r="K1691" t="s">
        <v>2030</v>
      </c>
    </row>
    <row r="1692" spans="1:11" x14ac:dyDescent="0.3">
      <c r="A1692" t="s">
        <v>1550</v>
      </c>
      <c r="B1692" s="33">
        <v>43262</v>
      </c>
      <c r="C1692" s="76">
        <v>13808000597073</v>
      </c>
      <c r="D1692" s="34">
        <v>1</v>
      </c>
      <c r="E1692" s="35" t="s">
        <v>3701</v>
      </c>
      <c r="F1692" s="35" t="s">
        <v>49</v>
      </c>
      <c r="G1692" s="106"/>
      <c r="H1692" s="33">
        <v>43221</v>
      </c>
      <c r="I1692" s="34">
        <v>1700581832</v>
      </c>
      <c r="J1692" s="36">
        <v>178.25</v>
      </c>
      <c r="K1692" t="s">
        <v>2030</v>
      </c>
    </row>
    <row r="1693" spans="1:11" x14ac:dyDescent="0.3">
      <c r="A1693" t="s">
        <v>1550</v>
      </c>
      <c r="B1693" s="33">
        <v>43262</v>
      </c>
      <c r="C1693" s="76">
        <v>13808000597073</v>
      </c>
      <c r="D1693" s="34">
        <v>1</v>
      </c>
      <c r="E1693" s="35" t="s">
        <v>3701</v>
      </c>
      <c r="F1693" s="35" t="s">
        <v>45</v>
      </c>
      <c r="G1693" s="106"/>
      <c r="H1693" s="33">
        <v>43221</v>
      </c>
      <c r="I1693" s="34">
        <v>1700581831</v>
      </c>
      <c r="J1693" s="36">
        <v>178.25</v>
      </c>
      <c r="K1693" t="s">
        <v>2030</v>
      </c>
    </row>
    <row r="1694" spans="1:11" x14ac:dyDescent="0.3">
      <c r="A1694" t="s">
        <v>1550</v>
      </c>
      <c r="B1694" s="33">
        <v>43262</v>
      </c>
      <c r="C1694" s="76">
        <v>13808000597073</v>
      </c>
      <c r="D1694" s="34">
        <v>1</v>
      </c>
      <c r="E1694" s="35" t="s">
        <v>3701</v>
      </c>
      <c r="F1694" s="35" t="s">
        <v>46</v>
      </c>
      <c r="G1694" s="106"/>
      <c r="H1694" s="33">
        <v>43221</v>
      </c>
      <c r="I1694" s="34">
        <v>1700581830</v>
      </c>
      <c r="J1694" s="36">
        <v>178.25</v>
      </c>
      <c r="K1694" t="s">
        <v>2030</v>
      </c>
    </row>
    <row r="1695" spans="1:11" x14ac:dyDescent="0.3">
      <c r="A1695" t="s">
        <v>1550</v>
      </c>
      <c r="B1695" s="33">
        <v>43262</v>
      </c>
      <c r="C1695" s="76">
        <v>13808000597073</v>
      </c>
      <c r="D1695" s="34">
        <v>1</v>
      </c>
      <c r="E1695" s="35" t="s">
        <v>3701</v>
      </c>
      <c r="F1695" s="35" t="s">
        <v>39</v>
      </c>
      <c r="G1695" s="106"/>
      <c r="H1695" s="33">
        <v>43221</v>
      </c>
      <c r="I1695" s="34">
        <v>1700582062</v>
      </c>
      <c r="J1695" s="36">
        <v>178.25</v>
      </c>
      <c r="K1695" t="s">
        <v>2030</v>
      </c>
    </row>
    <row r="1696" spans="1:11" x14ac:dyDescent="0.3">
      <c r="A1696" t="s">
        <v>1550</v>
      </c>
      <c r="B1696" s="33">
        <v>43262</v>
      </c>
      <c r="C1696" s="76">
        <v>13808000597073</v>
      </c>
      <c r="D1696" s="34">
        <v>1</v>
      </c>
      <c r="E1696" s="35" t="s">
        <v>3701</v>
      </c>
      <c r="F1696" s="35" t="s">
        <v>28</v>
      </c>
      <c r="G1696" s="106"/>
      <c r="H1696" s="33">
        <v>43221</v>
      </c>
      <c r="I1696" s="34">
        <v>1700582061</v>
      </c>
      <c r="J1696" s="36">
        <v>178.25</v>
      </c>
      <c r="K1696" t="s">
        <v>2030</v>
      </c>
    </row>
    <row r="1697" spans="1:11" x14ac:dyDescent="0.3">
      <c r="A1697" t="s">
        <v>1550</v>
      </c>
      <c r="B1697" s="33">
        <v>43262</v>
      </c>
      <c r="C1697" s="76">
        <v>13808000597073</v>
      </c>
      <c r="D1697" s="34">
        <v>1</v>
      </c>
      <c r="E1697" s="35" t="s">
        <v>3701</v>
      </c>
      <c r="F1697" s="35" t="s">
        <v>38</v>
      </c>
      <c r="G1697" s="106"/>
      <c r="H1697" s="33">
        <v>43221</v>
      </c>
      <c r="I1697" s="34">
        <v>1700582060</v>
      </c>
      <c r="J1697" s="36">
        <v>178.25</v>
      </c>
      <c r="K1697" t="s">
        <v>2030</v>
      </c>
    </row>
    <row r="1698" spans="1:11" x14ac:dyDescent="0.3">
      <c r="A1698" t="s">
        <v>1550</v>
      </c>
      <c r="B1698" s="33">
        <v>43262</v>
      </c>
      <c r="C1698" s="76">
        <v>13808000597073</v>
      </c>
      <c r="D1698" s="34">
        <v>1</v>
      </c>
      <c r="E1698" s="35" t="s">
        <v>3701</v>
      </c>
      <c r="F1698" s="35" t="s">
        <v>37</v>
      </c>
      <c r="G1698" s="106"/>
      <c r="H1698" s="33">
        <v>43221</v>
      </c>
      <c r="I1698" s="34">
        <v>1700582059</v>
      </c>
      <c r="J1698" s="36">
        <v>178.25</v>
      </c>
      <c r="K1698" t="s">
        <v>2030</v>
      </c>
    </row>
    <row r="1699" spans="1:11" x14ac:dyDescent="0.3">
      <c r="A1699" t="s">
        <v>1550</v>
      </c>
      <c r="B1699" s="33">
        <v>43262</v>
      </c>
      <c r="C1699" s="76">
        <v>13808000597073</v>
      </c>
      <c r="D1699" s="34">
        <v>1</v>
      </c>
      <c r="E1699" s="35" t="s">
        <v>3701</v>
      </c>
      <c r="F1699" s="35" t="s">
        <v>23</v>
      </c>
      <c r="G1699" s="106"/>
      <c r="H1699" s="33">
        <v>43221</v>
      </c>
      <c r="I1699" s="34">
        <v>1700582058</v>
      </c>
      <c r="J1699" s="36">
        <v>178.25</v>
      </c>
      <c r="K1699" t="s">
        <v>2030</v>
      </c>
    </row>
    <row r="1700" spans="1:11" x14ac:dyDescent="0.3">
      <c r="A1700" t="s">
        <v>1550</v>
      </c>
      <c r="B1700" s="33">
        <v>43262</v>
      </c>
      <c r="C1700" s="76">
        <v>13808000597073</v>
      </c>
      <c r="D1700" s="34">
        <v>1</v>
      </c>
      <c r="E1700" s="35" t="s">
        <v>3701</v>
      </c>
      <c r="F1700" s="35" t="s">
        <v>26</v>
      </c>
      <c r="G1700" s="106"/>
      <c r="H1700" s="33">
        <v>43221</v>
      </c>
      <c r="I1700" s="34">
        <v>1700582057</v>
      </c>
      <c r="J1700" s="36">
        <v>178.25</v>
      </c>
      <c r="K1700" t="s">
        <v>2030</v>
      </c>
    </row>
    <row r="1701" spans="1:11" x14ac:dyDescent="0.3">
      <c r="A1701" t="s">
        <v>1550</v>
      </c>
      <c r="B1701" s="33">
        <v>43262</v>
      </c>
      <c r="C1701" s="76">
        <v>13808000597073</v>
      </c>
      <c r="D1701" s="34">
        <v>1</v>
      </c>
      <c r="E1701" s="35" t="s">
        <v>3701</v>
      </c>
      <c r="F1701" s="35" t="s">
        <v>27</v>
      </c>
      <c r="G1701" s="106"/>
      <c r="H1701" s="33">
        <v>43221</v>
      </c>
      <c r="I1701" s="34">
        <v>1700582056</v>
      </c>
      <c r="J1701" s="36">
        <v>178.25</v>
      </c>
      <c r="K1701" t="s">
        <v>2030</v>
      </c>
    </row>
    <row r="1702" spans="1:11" x14ac:dyDescent="0.3">
      <c r="A1702" t="s">
        <v>1550</v>
      </c>
      <c r="B1702" s="33">
        <v>43262</v>
      </c>
      <c r="C1702" s="76">
        <v>13808000597073</v>
      </c>
      <c r="D1702" s="34">
        <v>1</v>
      </c>
      <c r="E1702" s="35" t="s">
        <v>3701</v>
      </c>
      <c r="F1702" s="35" t="s">
        <v>24</v>
      </c>
      <c r="G1702" s="106"/>
      <c r="H1702" s="33">
        <v>43221</v>
      </c>
      <c r="I1702" s="34">
        <v>1700582054</v>
      </c>
      <c r="J1702" s="36">
        <v>178.25</v>
      </c>
      <c r="K1702" t="s">
        <v>2030</v>
      </c>
    </row>
    <row r="1703" spans="1:11" x14ac:dyDescent="0.3">
      <c r="A1703" t="s">
        <v>1550</v>
      </c>
      <c r="B1703" s="33">
        <v>43262</v>
      </c>
      <c r="C1703" s="76">
        <v>13808000597073</v>
      </c>
      <c r="D1703" s="34">
        <v>1</v>
      </c>
      <c r="E1703" s="35" t="s">
        <v>3701</v>
      </c>
      <c r="F1703" s="35" t="s">
        <v>19</v>
      </c>
      <c r="G1703" s="106"/>
      <c r="H1703" s="33">
        <v>43221</v>
      </c>
      <c r="I1703" s="34">
        <v>1700582053</v>
      </c>
      <c r="J1703" s="36">
        <v>178.25</v>
      </c>
      <c r="K1703" t="s">
        <v>2030</v>
      </c>
    </row>
    <row r="1704" spans="1:11" x14ac:dyDescent="0.3">
      <c r="A1704" t="s">
        <v>1550</v>
      </c>
      <c r="B1704" s="33">
        <v>43262</v>
      </c>
      <c r="C1704" s="76">
        <v>13808000597073</v>
      </c>
      <c r="D1704" s="34">
        <v>1</v>
      </c>
      <c r="E1704" s="35" t="s">
        <v>3701</v>
      </c>
      <c r="F1704" s="35" t="s">
        <v>21</v>
      </c>
      <c r="G1704" s="106"/>
      <c r="H1704" s="33">
        <v>43221</v>
      </c>
      <c r="I1704" s="34">
        <v>1700582052</v>
      </c>
      <c r="J1704" s="36">
        <v>178.25</v>
      </c>
      <c r="K1704" t="s">
        <v>2030</v>
      </c>
    </row>
    <row r="1705" spans="1:11" x14ac:dyDescent="0.3">
      <c r="A1705" t="s">
        <v>1550</v>
      </c>
      <c r="B1705" s="33">
        <v>43262</v>
      </c>
      <c r="C1705" s="76">
        <v>13808000597073</v>
      </c>
      <c r="D1705" s="34">
        <v>1</v>
      </c>
      <c r="E1705" s="35" t="s">
        <v>3701</v>
      </c>
      <c r="F1705" s="35" t="s">
        <v>25</v>
      </c>
      <c r="G1705" s="106"/>
      <c r="H1705" s="33">
        <v>43221</v>
      </c>
      <c r="I1705" s="34">
        <v>1700582051</v>
      </c>
      <c r="J1705" s="36">
        <v>178.25</v>
      </c>
      <c r="K1705" t="s">
        <v>2030</v>
      </c>
    </row>
    <row r="1706" spans="1:11" x14ac:dyDescent="0.3">
      <c r="A1706" t="s">
        <v>1550</v>
      </c>
      <c r="B1706" s="33">
        <v>43262</v>
      </c>
      <c r="C1706" s="76">
        <v>13808000597073</v>
      </c>
      <c r="D1706" s="34">
        <v>1</v>
      </c>
      <c r="E1706" s="35" t="s">
        <v>3701</v>
      </c>
      <c r="F1706" s="35" t="s">
        <v>22</v>
      </c>
      <c r="G1706" s="106"/>
      <c r="H1706" s="33">
        <v>43221</v>
      </c>
      <c r="I1706" s="34">
        <v>1700582050</v>
      </c>
      <c r="J1706" s="36">
        <v>178.25</v>
      </c>
      <c r="K1706" t="s">
        <v>2030</v>
      </c>
    </row>
    <row r="1707" spans="1:11" x14ac:dyDescent="0.3">
      <c r="A1707" t="s">
        <v>1550</v>
      </c>
      <c r="B1707" s="33">
        <v>43262</v>
      </c>
      <c r="C1707" s="76">
        <v>13808000597073</v>
      </c>
      <c r="D1707" s="34">
        <v>1</v>
      </c>
      <c r="E1707" s="35" t="s">
        <v>3701</v>
      </c>
      <c r="F1707" s="35" t="s">
        <v>20</v>
      </c>
      <c r="G1707" s="106"/>
      <c r="H1707" s="33">
        <v>43221</v>
      </c>
      <c r="I1707" s="34">
        <v>1700582049</v>
      </c>
      <c r="J1707" s="36">
        <v>178.25</v>
      </c>
      <c r="K1707" t="s">
        <v>2030</v>
      </c>
    </row>
    <row r="1708" spans="1:11" x14ac:dyDescent="0.3">
      <c r="A1708" t="s">
        <v>1550</v>
      </c>
      <c r="B1708" s="33">
        <v>43262</v>
      </c>
      <c r="C1708" s="76">
        <v>13808000597073</v>
      </c>
      <c r="D1708" s="34">
        <v>1</v>
      </c>
      <c r="E1708" s="35" t="s">
        <v>3701</v>
      </c>
      <c r="F1708" s="35" t="s">
        <v>18</v>
      </c>
      <c r="G1708" s="106"/>
      <c r="H1708" s="33">
        <v>43221</v>
      </c>
      <c r="I1708" s="34">
        <v>1700582048</v>
      </c>
      <c r="J1708" s="36">
        <v>178.25</v>
      </c>
      <c r="K1708" t="s">
        <v>2030</v>
      </c>
    </row>
    <row r="1709" spans="1:11" x14ac:dyDescent="0.3">
      <c r="A1709" t="s">
        <v>1550</v>
      </c>
      <c r="B1709" s="33">
        <v>43262</v>
      </c>
      <c r="C1709" s="76">
        <v>13808000597073</v>
      </c>
      <c r="D1709" s="34">
        <v>1</v>
      </c>
      <c r="E1709" s="35" t="s">
        <v>3701</v>
      </c>
      <c r="F1709" s="35" t="s">
        <v>1339</v>
      </c>
      <c r="G1709" s="106"/>
      <c r="H1709" s="33">
        <v>43221</v>
      </c>
      <c r="I1709" s="34">
        <v>1700582047</v>
      </c>
      <c r="J1709" s="36">
        <v>178.25</v>
      </c>
      <c r="K1709" t="s">
        <v>2030</v>
      </c>
    </row>
    <row r="1710" spans="1:11" x14ac:dyDescent="0.3">
      <c r="A1710" t="s">
        <v>1550</v>
      </c>
      <c r="B1710" s="33">
        <v>43262</v>
      </c>
      <c r="C1710" s="76">
        <v>13808000597073</v>
      </c>
      <c r="D1710" s="34">
        <v>1</v>
      </c>
      <c r="E1710" s="35" t="s">
        <v>3701</v>
      </c>
      <c r="F1710" s="35" t="s">
        <v>1340</v>
      </c>
      <c r="G1710" s="106"/>
      <c r="H1710" s="33">
        <v>43221</v>
      </c>
      <c r="I1710" s="34">
        <v>1700582046</v>
      </c>
      <c r="J1710" s="36">
        <v>178.25</v>
      </c>
      <c r="K1710" t="s">
        <v>2030</v>
      </c>
    </row>
    <row r="1711" spans="1:11" x14ac:dyDescent="0.3">
      <c r="A1711" t="s">
        <v>1550</v>
      </c>
      <c r="B1711" s="33">
        <v>43262</v>
      </c>
      <c r="C1711" s="76">
        <v>13808000597073</v>
      </c>
      <c r="D1711" s="34">
        <v>1</v>
      </c>
      <c r="E1711" s="35" t="s">
        <v>3701</v>
      </c>
      <c r="F1711" s="35" t="s">
        <v>1338</v>
      </c>
      <c r="G1711" s="106"/>
      <c r="H1711" s="33">
        <v>43221</v>
      </c>
      <c r="I1711" s="34">
        <v>1700582045</v>
      </c>
      <c r="J1711" s="36">
        <v>178.25</v>
      </c>
      <c r="K1711" t="s">
        <v>2030</v>
      </c>
    </row>
    <row r="1712" spans="1:11" x14ac:dyDescent="0.3">
      <c r="A1712" t="s">
        <v>1550</v>
      </c>
      <c r="B1712" s="33">
        <v>43262</v>
      </c>
      <c r="C1712" s="76">
        <v>13808000597073</v>
      </c>
      <c r="D1712" s="34">
        <v>1</v>
      </c>
      <c r="E1712" s="35" t="s">
        <v>3701</v>
      </c>
      <c r="F1712" s="35" t="s">
        <v>17</v>
      </c>
      <c r="G1712" s="106"/>
      <c r="H1712" s="33">
        <v>43221</v>
      </c>
      <c r="I1712" s="34">
        <v>1700582044</v>
      </c>
      <c r="J1712" s="36">
        <v>178.25</v>
      </c>
      <c r="K1712" t="s">
        <v>2030</v>
      </c>
    </row>
    <row r="1713" spans="1:11" x14ac:dyDescent="0.3">
      <c r="A1713" t="s">
        <v>1550</v>
      </c>
      <c r="B1713" s="33">
        <v>43262</v>
      </c>
      <c r="C1713" s="76">
        <v>13808000597073</v>
      </c>
      <c r="D1713" s="34">
        <v>1</v>
      </c>
      <c r="E1713" s="35" t="s">
        <v>3701</v>
      </c>
      <c r="F1713" s="35" t="s">
        <v>15</v>
      </c>
      <c r="G1713" s="106"/>
      <c r="H1713" s="33">
        <v>43221</v>
      </c>
      <c r="I1713" s="34">
        <v>1700582043</v>
      </c>
      <c r="J1713" s="36">
        <v>178.25</v>
      </c>
      <c r="K1713" t="s">
        <v>2030</v>
      </c>
    </row>
    <row r="1714" spans="1:11" x14ac:dyDescent="0.3">
      <c r="A1714" t="s">
        <v>1550</v>
      </c>
      <c r="B1714" s="33">
        <v>43262</v>
      </c>
      <c r="C1714" s="76">
        <v>13808000597073</v>
      </c>
      <c r="D1714" s="34">
        <v>1</v>
      </c>
      <c r="E1714" s="35" t="s">
        <v>3701</v>
      </c>
      <c r="F1714" s="35" t="s">
        <v>16</v>
      </c>
      <c r="G1714" s="106"/>
      <c r="H1714" s="33">
        <v>43221</v>
      </c>
      <c r="I1714" s="34">
        <v>1700582042</v>
      </c>
      <c r="J1714" s="36">
        <v>178.25</v>
      </c>
      <c r="K1714" t="s">
        <v>2030</v>
      </c>
    </row>
    <row r="1715" spans="1:11" x14ac:dyDescent="0.3">
      <c r="A1715" t="s">
        <v>1550</v>
      </c>
      <c r="B1715" s="33">
        <v>43262</v>
      </c>
      <c r="C1715" s="76">
        <v>13808000597073</v>
      </c>
      <c r="D1715" s="34">
        <v>1</v>
      </c>
      <c r="E1715" s="35" t="s">
        <v>3701</v>
      </c>
      <c r="F1715" s="35" t="s">
        <v>1341</v>
      </c>
      <c r="G1715" s="106"/>
      <c r="H1715" s="33">
        <v>43221</v>
      </c>
      <c r="I1715" s="34">
        <v>1700582041</v>
      </c>
      <c r="J1715" s="36">
        <v>178.25</v>
      </c>
      <c r="K1715" t="s">
        <v>2030</v>
      </c>
    </row>
    <row r="1716" spans="1:11" x14ac:dyDescent="0.3">
      <c r="A1716" t="s">
        <v>1550</v>
      </c>
      <c r="B1716" s="33">
        <v>43262</v>
      </c>
      <c r="C1716" s="76">
        <v>13808000597073</v>
      </c>
      <c r="D1716" s="34">
        <v>1</v>
      </c>
      <c r="E1716" s="35" t="s">
        <v>3701</v>
      </c>
      <c r="F1716" s="35" t="s">
        <v>1337</v>
      </c>
      <c r="G1716" s="106"/>
      <c r="H1716" s="33">
        <v>43221</v>
      </c>
      <c r="I1716" s="34">
        <v>1700582040</v>
      </c>
      <c r="J1716" s="36">
        <v>178.25</v>
      </c>
      <c r="K1716" t="s">
        <v>2030</v>
      </c>
    </row>
    <row r="1717" spans="1:11" x14ac:dyDescent="0.3">
      <c r="A1717" t="s">
        <v>1550</v>
      </c>
      <c r="B1717" s="33">
        <v>43262</v>
      </c>
      <c r="C1717" s="76">
        <v>13808000597073</v>
      </c>
      <c r="D1717" s="34">
        <v>1</v>
      </c>
      <c r="E1717" s="35" t="s">
        <v>3701</v>
      </c>
      <c r="F1717" s="35" t="s">
        <v>1332</v>
      </c>
      <c r="G1717" s="106"/>
      <c r="H1717" s="33">
        <v>43221</v>
      </c>
      <c r="I1717" s="34">
        <v>1700582039</v>
      </c>
      <c r="J1717" s="36">
        <v>178.25</v>
      </c>
      <c r="K1717" t="s">
        <v>2030</v>
      </c>
    </row>
    <row r="1718" spans="1:11" x14ac:dyDescent="0.3">
      <c r="A1718" t="s">
        <v>1550</v>
      </c>
      <c r="B1718" s="33">
        <v>43262</v>
      </c>
      <c r="C1718" s="76">
        <v>13808000597073</v>
      </c>
      <c r="D1718" s="34">
        <v>1</v>
      </c>
      <c r="E1718" s="35" t="s">
        <v>3701</v>
      </c>
      <c r="F1718" s="35" t="s">
        <v>1336</v>
      </c>
      <c r="G1718" s="106"/>
      <c r="H1718" s="33">
        <v>43221</v>
      </c>
      <c r="I1718" s="34">
        <v>1700582038</v>
      </c>
      <c r="J1718" s="36">
        <v>178.25</v>
      </c>
      <c r="K1718" t="s">
        <v>2030</v>
      </c>
    </row>
    <row r="1719" spans="1:11" x14ac:dyDescent="0.3">
      <c r="A1719" t="s">
        <v>1550</v>
      </c>
      <c r="B1719" s="33">
        <v>43262</v>
      </c>
      <c r="C1719" s="76">
        <v>13808000597073</v>
      </c>
      <c r="D1719" s="34">
        <v>1</v>
      </c>
      <c r="E1719" s="35" t="s">
        <v>3701</v>
      </c>
      <c r="F1719" s="35" t="s">
        <v>1331</v>
      </c>
      <c r="G1719" s="106"/>
      <c r="H1719" s="33">
        <v>43221</v>
      </c>
      <c r="I1719" s="34">
        <v>1700582037</v>
      </c>
      <c r="J1719" s="36">
        <v>178.25</v>
      </c>
      <c r="K1719" t="s">
        <v>2030</v>
      </c>
    </row>
    <row r="1720" spans="1:11" x14ac:dyDescent="0.3">
      <c r="A1720" t="s">
        <v>1550</v>
      </c>
      <c r="B1720" s="33">
        <v>43262</v>
      </c>
      <c r="C1720" s="76">
        <v>13808000597073</v>
      </c>
      <c r="D1720" s="34">
        <v>1</v>
      </c>
      <c r="E1720" s="35" t="s">
        <v>3701</v>
      </c>
      <c r="F1720" s="35" t="s">
        <v>1335</v>
      </c>
      <c r="G1720" s="106"/>
      <c r="H1720" s="33">
        <v>43221</v>
      </c>
      <c r="I1720" s="34">
        <v>1700582036</v>
      </c>
      <c r="J1720" s="36">
        <v>178.25</v>
      </c>
      <c r="K1720" t="s">
        <v>2030</v>
      </c>
    </row>
    <row r="1721" spans="1:11" x14ac:dyDescent="0.3">
      <c r="A1721" t="s">
        <v>1550</v>
      </c>
      <c r="B1721" s="33">
        <v>43262</v>
      </c>
      <c r="C1721" s="76">
        <v>13808000597073</v>
      </c>
      <c r="D1721" s="34">
        <v>1</v>
      </c>
      <c r="E1721" s="35" t="s">
        <v>3701</v>
      </c>
      <c r="F1721" s="35" t="s">
        <v>1333</v>
      </c>
      <c r="G1721" s="106"/>
      <c r="H1721" s="33">
        <v>43221</v>
      </c>
      <c r="I1721" s="34">
        <v>1700582035</v>
      </c>
      <c r="J1721" s="36">
        <v>480.5</v>
      </c>
      <c r="K1721" t="s">
        <v>2030</v>
      </c>
    </row>
    <row r="1722" spans="1:11" x14ac:dyDescent="0.3">
      <c r="A1722" t="s">
        <v>1550</v>
      </c>
      <c r="B1722" s="33">
        <v>43262</v>
      </c>
      <c r="C1722" s="76">
        <v>13808000597073</v>
      </c>
      <c r="D1722" s="34">
        <v>1</v>
      </c>
      <c r="E1722" s="35" t="s">
        <v>3701</v>
      </c>
      <c r="F1722" s="35" t="s">
        <v>1334</v>
      </c>
      <c r="G1722" s="106"/>
      <c r="H1722" s="33">
        <v>43221</v>
      </c>
      <c r="I1722" s="34">
        <v>1700582034</v>
      </c>
      <c r="J1722" s="36">
        <v>178.25</v>
      </c>
      <c r="K1722" t="s">
        <v>2030</v>
      </c>
    </row>
    <row r="1723" spans="1:11" x14ac:dyDescent="0.3">
      <c r="A1723" t="s">
        <v>1550</v>
      </c>
      <c r="B1723" s="33">
        <v>43262</v>
      </c>
      <c r="C1723" s="76">
        <v>13808000597073</v>
      </c>
      <c r="D1723" s="34">
        <v>1</v>
      </c>
      <c r="E1723" s="35" t="s">
        <v>3701</v>
      </c>
      <c r="F1723" s="35" t="s">
        <v>1329</v>
      </c>
      <c r="G1723" s="106"/>
      <c r="H1723" s="33">
        <v>43221</v>
      </c>
      <c r="I1723" s="34">
        <v>1700582033</v>
      </c>
      <c r="J1723" s="36">
        <v>178.25</v>
      </c>
      <c r="K1723" t="s">
        <v>2030</v>
      </c>
    </row>
    <row r="1724" spans="1:11" x14ac:dyDescent="0.3">
      <c r="A1724" t="s">
        <v>1550</v>
      </c>
      <c r="B1724" s="33">
        <v>43262</v>
      </c>
      <c r="C1724" s="76">
        <v>13808000597073</v>
      </c>
      <c r="D1724" s="34">
        <v>1</v>
      </c>
      <c r="E1724" s="35" t="s">
        <v>3701</v>
      </c>
      <c r="F1724" s="35" t="s">
        <v>1327</v>
      </c>
      <c r="G1724" s="106"/>
      <c r="H1724" s="33">
        <v>43221</v>
      </c>
      <c r="I1724" s="34">
        <v>1700582032</v>
      </c>
      <c r="J1724" s="36">
        <v>178.25</v>
      </c>
      <c r="K1724" t="s">
        <v>2030</v>
      </c>
    </row>
    <row r="1725" spans="1:11" x14ac:dyDescent="0.3">
      <c r="A1725" t="s">
        <v>1550</v>
      </c>
      <c r="B1725" s="33">
        <v>43262</v>
      </c>
      <c r="C1725" s="76">
        <v>13808000597073</v>
      </c>
      <c r="D1725" s="34">
        <v>1</v>
      </c>
      <c r="E1725" s="35" t="s">
        <v>3701</v>
      </c>
      <c r="F1725" s="35" t="s">
        <v>14</v>
      </c>
      <c r="G1725" s="106"/>
      <c r="H1725" s="33">
        <v>43221</v>
      </c>
      <c r="I1725" s="34">
        <v>1700582031</v>
      </c>
      <c r="J1725" s="36">
        <v>178.25</v>
      </c>
      <c r="K1725" t="s">
        <v>2030</v>
      </c>
    </row>
    <row r="1726" spans="1:11" x14ac:dyDescent="0.3">
      <c r="A1726" t="s">
        <v>1550</v>
      </c>
      <c r="B1726" s="33">
        <v>43262</v>
      </c>
      <c r="C1726" s="76">
        <v>13808000597073</v>
      </c>
      <c r="D1726" s="34">
        <v>1</v>
      </c>
      <c r="E1726" s="35" t="s">
        <v>3701</v>
      </c>
      <c r="F1726" s="35" t="s">
        <v>559</v>
      </c>
      <c r="G1726" s="106"/>
      <c r="H1726" s="33">
        <v>43221</v>
      </c>
      <c r="I1726" s="34">
        <v>1700581990</v>
      </c>
      <c r="J1726" s="36">
        <v>178.25</v>
      </c>
      <c r="K1726" t="s">
        <v>2030</v>
      </c>
    </row>
    <row r="1727" spans="1:11" x14ac:dyDescent="0.3">
      <c r="A1727" t="s">
        <v>1550</v>
      </c>
      <c r="B1727" s="33">
        <v>43262</v>
      </c>
      <c r="C1727" s="76">
        <v>13808000597073</v>
      </c>
      <c r="D1727" s="34">
        <v>1</v>
      </c>
      <c r="E1727" s="35" t="s">
        <v>3701</v>
      </c>
      <c r="F1727" s="35" t="s">
        <v>558</v>
      </c>
      <c r="G1727" s="106"/>
      <c r="H1727" s="33">
        <v>43221</v>
      </c>
      <c r="I1727" s="34">
        <v>1700581989</v>
      </c>
      <c r="J1727" s="36">
        <v>178.25</v>
      </c>
      <c r="K1727" t="s">
        <v>2030</v>
      </c>
    </row>
    <row r="1728" spans="1:11" x14ac:dyDescent="0.3">
      <c r="A1728" t="s">
        <v>1550</v>
      </c>
      <c r="B1728" s="33">
        <v>43262</v>
      </c>
      <c r="C1728" s="76">
        <v>13808000597073</v>
      </c>
      <c r="D1728" s="34">
        <v>1</v>
      </c>
      <c r="E1728" s="35" t="s">
        <v>3701</v>
      </c>
      <c r="F1728" s="35" t="s">
        <v>557</v>
      </c>
      <c r="G1728" s="106"/>
      <c r="H1728" s="33">
        <v>43221</v>
      </c>
      <c r="I1728" s="34">
        <v>1700581988</v>
      </c>
      <c r="J1728" s="36">
        <v>178.25</v>
      </c>
      <c r="K1728" t="s">
        <v>2030</v>
      </c>
    </row>
    <row r="1729" spans="1:11" x14ac:dyDescent="0.3">
      <c r="A1729" t="s">
        <v>1550</v>
      </c>
      <c r="B1729" s="33">
        <v>43262</v>
      </c>
      <c r="C1729" s="76">
        <v>13808000597073</v>
      </c>
      <c r="D1729" s="34">
        <v>1</v>
      </c>
      <c r="E1729" s="35" t="s">
        <v>3701</v>
      </c>
      <c r="F1729" s="35" t="s">
        <v>345</v>
      </c>
      <c r="G1729" s="106"/>
      <c r="H1729" s="33">
        <v>43221</v>
      </c>
      <c r="I1729" s="34">
        <v>1700581987</v>
      </c>
      <c r="J1729" s="36">
        <v>178.25</v>
      </c>
      <c r="K1729" t="s">
        <v>2030</v>
      </c>
    </row>
    <row r="1730" spans="1:11" x14ac:dyDescent="0.3">
      <c r="A1730" t="s">
        <v>1550</v>
      </c>
      <c r="B1730" s="33">
        <v>43262</v>
      </c>
      <c r="C1730" s="76">
        <v>13808000597073</v>
      </c>
      <c r="D1730" s="34">
        <v>1</v>
      </c>
      <c r="E1730" s="35" t="s">
        <v>3701</v>
      </c>
      <c r="F1730" s="35" t="s">
        <v>344</v>
      </c>
      <c r="G1730" s="106"/>
      <c r="H1730" s="33">
        <v>43221</v>
      </c>
      <c r="I1730" s="34">
        <v>1700581986</v>
      </c>
      <c r="J1730" s="36">
        <v>178.25</v>
      </c>
      <c r="K1730" t="s">
        <v>2030</v>
      </c>
    </row>
    <row r="1731" spans="1:11" x14ac:dyDescent="0.3">
      <c r="A1731" t="s">
        <v>1550</v>
      </c>
      <c r="B1731" s="33">
        <v>43262</v>
      </c>
      <c r="C1731" s="76">
        <v>13808000597073</v>
      </c>
      <c r="D1731" s="34">
        <v>1</v>
      </c>
      <c r="E1731" s="35" t="s">
        <v>3701</v>
      </c>
      <c r="F1731" s="35" t="s">
        <v>342</v>
      </c>
      <c r="G1731" s="106"/>
      <c r="H1731" s="33">
        <v>43221</v>
      </c>
      <c r="I1731" s="34">
        <v>1700581985</v>
      </c>
      <c r="J1731" s="36">
        <v>178.25</v>
      </c>
      <c r="K1731" t="s">
        <v>2030</v>
      </c>
    </row>
    <row r="1732" spans="1:11" x14ac:dyDescent="0.3">
      <c r="A1732" t="s">
        <v>1550</v>
      </c>
      <c r="B1732" s="33">
        <v>43262</v>
      </c>
      <c r="C1732" s="76">
        <v>13808000597073</v>
      </c>
      <c r="D1732" s="34">
        <v>1</v>
      </c>
      <c r="E1732" s="35" t="s">
        <v>3701</v>
      </c>
      <c r="F1732" s="35" t="s">
        <v>341</v>
      </c>
      <c r="G1732" s="106"/>
      <c r="H1732" s="33">
        <v>43221</v>
      </c>
      <c r="I1732" s="34">
        <v>1700581984</v>
      </c>
      <c r="J1732" s="36">
        <v>178.25</v>
      </c>
      <c r="K1732" t="s">
        <v>2030</v>
      </c>
    </row>
    <row r="1733" spans="1:11" x14ac:dyDescent="0.3">
      <c r="A1733" t="s">
        <v>1550</v>
      </c>
      <c r="B1733" s="33">
        <v>43262</v>
      </c>
      <c r="C1733" s="76">
        <v>13808000597073</v>
      </c>
      <c r="D1733" s="34">
        <v>1</v>
      </c>
      <c r="E1733" s="35" t="s">
        <v>3701</v>
      </c>
      <c r="F1733" s="35" t="s">
        <v>346</v>
      </c>
      <c r="G1733" s="106"/>
      <c r="H1733" s="33">
        <v>43221</v>
      </c>
      <c r="I1733" s="34">
        <v>1700581983</v>
      </c>
      <c r="J1733" s="36">
        <v>178.25</v>
      </c>
      <c r="K1733" t="s">
        <v>2030</v>
      </c>
    </row>
    <row r="1734" spans="1:11" x14ac:dyDescent="0.3">
      <c r="A1734" t="s">
        <v>1550</v>
      </c>
      <c r="B1734" s="33">
        <v>43262</v>
      </c>
      <c r="C1734" s="76">
        <v>13808000597073</v>
      </c>
      <c r="D1734" s="34">
        <v>1</v>
      </c>
      <c r="E1734" s="35" t="s">
        <v>3701</v>
      </c>
      <c r="F1734" s="35" t="s">
        <v>339</v>
      </c>
      <c r="G1734" s="106"/>
      <c r="H1734" s="33">
        <v>43221</v>
      </c>
      <c r="I1734" s="34">
        <v>1700581982</v>
      </c>
      <c r="J1734" s="36">
        <v>178.25</v>
      </c>
      <c r="K1734" t="s">
        <v>2030</v>
      </c>
    </row>
    <row r="1735" spans="1:11" x14ac:dyDescent="0.3">
      <c r="A1735" t="s">
        <v>1550</v>
      </c>
      <c r="B1735" s="33">
        <v>43262</v>
      </c>
      <c r="C1735" s="76">
        <v>13808000597073</v>
      </c>
      <c r="D1735" s="34">
        <v>1</v>
      </c>
      <c r="E1735" s="35" t="s">
        <v>3701</v>
      </c>
      <c r="F1735" s="35" t="s">
        <v>340</v>
      </c>
      <c r="G1735" s="106"/>
      <c r="H1735" s="33">
        <v>43221</v>
      </c>
      <c r="I1735" s="34">
        <v>1700581981</v>
      </c>
      <c r="J1735" s="36">
        <v>178.25</v>
      </c>
      <c r="K1735" t="s">
        <v>2030</v>
      </c>
    </row>
    <row r="1736" spans="1:11" x14ac:dyDescent="0.3">
      <c r="A1736" t="s">
        <v>1550</v>
      </c>
      <c r="B1736" s="33">
        <v>43262</v>
      </c>
      <c r="C1736" s="76">
        <v>13808000597073</v>
      </c>
      <c r="D1736" s="34">
        <v>1</v>
      </c>
      <c r="E1736" s="35" t="s">
        <v>3701</v>
      </c>
      <c r="F1736" s="35" t="s">
        <v>338</v>
      </c>
      <c r="G1736" s="106"/>
      <c r="H1736" s="33">
        <v>43221</v>
      </c>
      <c r="I1736" s="34">
        <v>1700581980</v>
      </c>
      <c r="J1736" s="36">
        <v>178.25</v>
      </c>
      <c r="K1736" t="s">
        <v>2030</v>
      </c>
    </row>
    <row r="1737" spans="1:11" x14ac:dyDescent="0.3">
      <c r="A1737" t="s">
        <v>1550</v>
      </c>
      <c r="B1737" s="33">
        <v>43262</v>
      </c>
      <c r="C1737" s="76">
        <v>13808000597073</v>
      </c>
      <c r="D1737" s="34">
        <v>1</v>
      </c>
      <c r="E1737" s="35" t="s">
        <v>3701</v>
      </c>
      <c r="F1737" s="35" t="s">
        <v>337</v>
      </c>
      <c r="G1737" s="106"/>
      <c r="H1737" s="33">
        <v>43221</v>
      </c>
      <c r="I1737" s="34">
        <v>1700581979</v>
      </c>
      <c r="J1737" s="36">
        <v>178.25</v>
      </c>
      <c r="K1737" t="s">
        <v>2030</v>
      </c>
    </row>
    <row r="1738" spans="1:11" x14ac:dyDescent="0.3">
      <c r="A1738" t="s">
        <v>1550</v>
      </c>
      <c r="B1738" s="33">
        <v>43262</v>
      </c>
      <c r="C1738" s="76">
        <v>13808000597073</v>
      </c>
      <c r="D1738" s="34">
        <v>1</v>
      </c>
      <c r="E1738" s="35" t="s">
        <v>3701</v>
      </c>
      <c r="F1738" s="35" t="s">
        <v>12</v>
      </c>
      <c r="G1738" s="106"/>
      <c r="H1738" s="33">
        <v>43221</v>
      </c>
      <c r="I1738" s="34">
        <v>1700581978</v>
      </c>
      <c r="J1738" s="36">
        <v>178.25</v>
      </c>
      <c r="K1738" t="s">
        <v>2030</v>
      </c>
    </row>
    <row r="1739" spans="1:11" x14ac:dyDescent="0.3">
      <c r="A1739" t="s">
        <v>1550</v>
      </c>
      <c r="B1739" s="33">
        <v>43262</v>
      </c>
      <c r="C1739" s="76">
        <v>13808000597073</v>
      </c>
      <c r="D1739" s="34">
        <v>1</v>
      </c>
      <c r="E1739" s="35" t="s">
        <v>3701</v>
      </c>
      <c r="F1739" s="35" t="s">
        <v>334</v>
      </c>
      <c r="G1739" s="106"/>
      <c r="H1739" s="33">
        <v>43221</v>
      </c>
      <c r="I1739" s="34">
        <v>1700581977</v>
      </c>
      <c r="J1739" s="36">
        <v>178.25</v>
      </c>
      <c r="K1739" t="s">
        <v>2030</v>
      </c>
    </row>
    <row r="1740" spans="1:11" x14ac:dyDescent="0.3">
      <c r="A1740" t="s">
        <v>1550</v>
      </c>
      <c r="B1740" s="33">
        <v>43262</v>
      </c>
      <c r="C1740" s="76">
        <v>13808000597073</v>
      </c>
      <c r="D1740" s="34">
        <v>1</v>
      </c>
      <c r="E1740" s="35" t="s">
        <v>3701</v>
      </c>
      <c r="F1740" s="35" t="s">
        <v>336</v>
      </c>
      <c r="G1740" s="106"/>
      <c r="H1740" s="33">
        <v>43221</v>
      </c>
      <c r="I1740" s="34">
        <v>1700581976</v>
      </c>
      <c r="J1740" s="36">
        <v>178.25</v>
      </c>
      <c r="K1740" t="s">
        <v>2030</v>
      </c>
    </row>
    <row r="1741" spans="1:11" x14ac:dyDescent="0.3">
      <c r="A1741" t="s">
        <v>1550</v>
      </c>
      <c r="B1741" s="33">
        <v>43262</v>
      </c>
      <c r="C1741" s="76">
        <v>13808000597073</v>
      </c>
      <c r="D1741" s="34">
        <v>1</v>
      </c>
      <c r="E1741" s="35" t="s">
        <v>3701</v>
      </c>
      <c r="F1741" s="35" t="s">
        <v>335</v>
      </c>
      <c r="G1741" s="106"/>
      <c r="H1741" s="33">
        <v>43221</v>
      </c>
      <c r="I1741" s="34">
        <v>1700581975</v>
      </c>
      <c r="J1741" s="36">
        <v>178.25</v>
      </c>
      <c r="K1741" t="s">
        <v>2030</v>
      </c>
    </row>
    <row r="1742" spans="1:11" x14ac:dyDescent="0.3">
      <c r="A1742" t="s">
        <v>1550</v>
      </c>
      <c r="B1742" s="33">
        <v>43262</v>
      </c>
      <c r="C1742" s="76">
        <v>13808000597073</v>
      </c>
      <c r="D1742" s="34">
        <v>1</v>
      </c>
      <c r="E1742" s="35" t="s">
        <v>3701</v>
      </c>
      <c r="F1742" s="35" t="s">
        <v>330</v>
      </c>
      <c r="G1742" s="106"/>
      <c r="H1742" s="33">
        <v>43221</v>
      </c>
      <c r="I1742" s="34">
        <v>1700581974</v>
      </c>
      <c r="J1742" s="36">
        <v>178.25</v>
      </c>
      <c r="K1742" t="s">
        <v>2030</v>
      </c>
    </row>
    <row r="1743" spans="1:11" x14ac:dyDescent="0.3">
      <c r="A1743" t="s">
        <v>1550</v>
      </c>
      <c r="B1743" s="33">
        <v>43262</v>
      </c>
      <c r="C1743" s="76">
        <v>13808000597073</v>
      </c>
      <c r="D1743" s="34">
        <v>1</v>
      </c>
      <c r="E1743" s="35" t="s">
        <v>3701</v>
      </c>
      <c r="F1743" s="35" t="s">
        <v>328</v>
      </c>
      <c r="G1743" s="106"/>
      <c r="H1743" s="33">
        <v>43221</v>
      </c>
      <c r="I1743" s="34">
        <v>1700581973</v>
      </c>
      <c r="J1743" s="36">
        <v>480.5</v>
      </c>
      <c r="K1743" t="s">
        <v>2030</v>
      </c>
    </row>
    <row r="1744" spans="1:11" x14ac:dyDescent="0.3">
      <c r="A1744" t="s">
        <v>1550</v>
      </c>
      <c r="B1744" s="33">
        <v>43262</v>
      </c>
      <c r="C1744" s="76">
        <v>13808000597073</v>
      </c>
      <c r="D1744" s="34">
        <v>1</v>
      </c>
      <c r="E1744" s="35" t="s">
        <v>3701</v>
      </c>
      <c r="F1744" s="35" t="s">
        <v>333</v>
      </c>
      <c r="G1744" s="106"/>
      <c r="H1744" s="33">
        <v>43221</v>
      </c>
      <c r="I1744" s="34">
        <v>1700581972</v>
      </c>
      <c r="J1744" s="36">
        <v>178.25</v>
      </c>
      <c r="K1744" t="s">
        <v>2030</v>
      </c>
    </row>
    <row r="1745" spans="1:11" x14ac:dyDescent="0.3">
      <c r="A1745" t="s">
        <v>1550</v>
      </c>
      <c r="B1745" s="33">
        <v>43262</v>
      </c>
      <c r="C1745" s="76">
        <v>13808000597073</v>
      </c>
      <c r="D1745" s="34">
        <v>1</v>
      </c>
      <c r="E1745" s="35" t="s">
        <v>3701</v>
      </c>
      <c r="F1745" s="35" t="s">
        <v>332</v>
      </c>
      <c r="G1745" s="106"/>
      <c r="H1745" s="33">
        <v>43221</v>
      </c>
      <c r="I1745" s="34">
        <v>1700581971</v>
      </c>
      <c r="J1745" s="36">
        <v>178.25</v>
      </c>
      <c r="K1745" t="s">
        <v>2030</v>
      </c>
    </row>
    <row r="1746" spans="1:11" x14ac:dyDescent="0.3">
      <c r="A1746" t="s">
        <v>1550</v>
      </c>
      <c r="B1746" s="33">
        <v>43262</v>
      </c>
      <c r="C1746" s="76">
        <v>13808000597073</v>
      </c>
      <c r="D1746" s="34">
        <v>1</v>
      </c>
      <c r="E1746" s="35" t="s">
        <v>3701</v>
      </c>
      <c r="F1746" s="35" t="s">
        <v>321</v>
      </c>
      <c r="G1746" s="106"/>
      <c r="H1746" s="33">
        <v>43221</v>
      </c>
      <c r="I1746" s="34">
        <v>1700581970</v>
      </c>
      <c r="J1746" s="36">
        <v>178.25</v>
      </c>
      <c r="K1746" t="s">
        <v>2030</v>
      </c>
    </row>
    <row r="1747" spans="1:11" x14ac:dyDescent="0.3">
      <c r="A1747" t="s">
        <v>1550</v>
      </c>
      <c r="B1747" s="33">
        <v>43262</v>
      </c>
      <c r="C1747" s="76">
        <v>13808000597073</v>
      </c>
      <c r="D1747" s="34">
        <v>1</v>
      </c>
      <c r="E1747" s="35" t="s">
        <v>3701</v>
      </c>
      <c r="F1747" s="35" t="s">
        <v>327</v>
      </c>
      <c r="G1747" s="106"/>
      <c r="H1747" s="33">
        <v>43221</v>
      </c>
      <c r="I1747" s="34">
        <v>1700581969</v>
      </c>
      <c r="J1747" s="36">
        <v>480.5</v>
      </c>
      <c r="K1747" t="s">
        <v>2030</v>
      </c>
    </row>
    <row r="1748" spans="1:11" x14ac:dyDescent="0.3">
      <c r="A1748" t="s">
        <v>1550</v>
      </c>
      <c r="B1748" s="33">
        <v>43262</v>
      </c>
      <c r="C1748" s="76">
        <v>13808000597073</v>
      </c>
      <c r="D1748" s="34">
        <v>1</v>
      </c>
      <c r="E1748" s="35" t="s">
        <v>3701</v>
      </c>
      <c r="F1748" s="35" t="s">
        <v>323</v>
      </c>
      <c r="G1748" s="106"/>
      <c r="H1748" s="33">
        <v>43221</v>
      </c>
      <c r="I1748" s="34">
        <v>1700581968</v>
      </c>
      <c r="J1748" s="36">
        <v>178.25</v>
      </c>
      <c r="K1748" t="s">
        <v>2030</v>
      </c>
    </row>
    <row r="1749" spans="1:11" x14ac:dyDescent="0.3">
      <c r="A1749" t="s">
        <v>1550</v>
      </c>
      <c r="B1749" s="33">
        <v>43262</v>
      </c>
      <c r="C1749" s="76">
        <v>13808000597073</v>
      </c>
      <c r="D1749" s="34">
        <v>1</v>
      </c>
      <c r="E1749" s="35" t="s">
        <v>3701</v>
      </c>
      <c r="F1749" s="35" t="s">
        <v>320</v>
      </c>
      <c r="G1749" s="106"/>
      <c r="H1749" s="33">
        <v>43221</v>
      </c>
      <c r="I1749" s="34">
        <v>1700581967</v>
      </c>
      <c r="J1749" s="36">
        <v>178.25</v>
      </c>
      <c r="K1749" t="s">
        <v>2030</v>
      </c>
    </row>
    <row r="1750" spans="1:11" x14ac:dyDescent="0.3">
      <c r="A1750" t="s">
        <v>1550</v>
      </c>
      <c r="B1750" s="33">
        <v>43262</v>
      </c>
      <c r="C1750" s="76">
        <v>13808000597073</v>
      </c>
      <c r="D1750" s="34">
        <v>1</v>
      </c>
      <c r="E1750" s="35" t="s">
        <v>3701</v>
      </c>
      <c r="F1750" s="35" t="s">
        <v>329</v>
      </c>
      <c r="G1750" s="106"/>
      <c r="H1750" s="33">
        <v>43221</v>
      </c>
      <c r="I1750" s="34">
        <v>1700581966</v>
      </c>
      <c r="J1750" s="36">
        <v>178.25</v>
      </c>
      <c r="K1750" t="s">
        <v>2030</v>
      </c>
    </row>
    <row r="1751" spans="1:11" x14ac:dyDescent="0.3">
      <c r="A1751" t="s">
        <v>1550</v>
      </c>
      <c r="B1751" s="33">
        <v>43262</v>
      </c>
      <c r="C1751" s="76">
        <v>13808000597073</v>
      </c>
      <c r="D1751" s="34">
        <v>1</v>
      </c>
      <c r="E1751" s="35" t="s">
        <v>3701</v>
      </c>
      <c r="F1751" s="35" t="s">
        <v>322</v>
      </c>
      <c r="G1751" s="106"/>
      <c r="H1751" s="33">
        <v>43221</v>
      </c>
      <c r="I1751" s="34">
        <v>1700581965</v>
      </c>
      <c r="J1751" s="36">
        <v>178.25</v>
      </c>
      <c r="K1751" t="s">
        <v>2030</v>
      </c>
    </row>
    <row r="1752" spans="1:11" x14ac:dyDescent="0.3">
      <c r="A1752" t="s">
        <v>1550</v>
      </c>
      <c r="B1752" s="33">
        <v>43262</v>
      </c>
      <c r="C1752" s="76">
        <v>13808000597073</v>
      </c>
      <c r="D1752" s="34">
        <v>1</v>
      </c>
      <c r="E1752" s="35" t="s">
        <v>3701</v>
      </c>
      <c r="F1752" s="35" t="s">
        <v>325</v>
      </c>
      <c r="G1752" s="106"/>
      <c r="H1752" s="33">
        <v>43221</v>
      </c>
      <c r="I1752" s="34">
        <v>1700581964</v>
      </c>
      <c r="J1752" s="36">
        <v>178.25</v>
      </c>
      <c r="K1752" t="s">
        <v>2030</v>
      </c>
    </row>
    <row r="1753" spans="1:11" x14ac:dyDescent="0.3">
      <c r="A1753" t="s">
        <v>1550</v>
      </c>
      <c r="B1753" s="33">
        <v>43262</v>
      </c>
      <c r="C1753" s="76">
        <v>13808000597073</v>
      </c>
      <c r="D1753" s="34">
        <v>1</v>
      </c>
      <c r="E1753" s="35" t="s">
        <v>3701</v>
      </c>
      <c r="F1753" s="35" t="s">
        <v>326</v>
      </c>
      <c r="G1753" s="106"/>
      <c r="H1753" s="33">
        <v>43221</v>
      </c>
      <c r="I1753" s="34">
        <v>1700581963</v>
      </c>
      <c r="J1753" s="36">
        <v>480.5</v>
      </c>
      <c r="K1753" t="s">
        <v>2030</v>
      </c>
    </row>
    <row r="1754" spans="1:11" x14ac:dyDescent="0.3">
      <c r="A1754" t="s">
        <v>1550</v>
      </c>
      <c r="B1754" s="33">
        <v>43262</v>
      </c>
      <c r="C1754" s="76">
        <v>13808000597073</v>
      </c>
      <c r="D1754" s="34">
        <v>1</v>
      </c>
      <c r="E1754" s="35" t="s">
        <v>3701</v>
      </c>
      <c r="F1754" s="35" t="s">
        <v>324</v>
      </c>
      <c r="G1754" s="106"/>
      <c r="H1754" s="33">
        <v>43221</v>
      </c>
      <c r="I1754" s="34">
        <v>1700581962</v>
      </c>
      <c r="J1754" s="36">
        <v>178.25</v>
      </c>
      <c r="K1754" t="s">
        <v>2030</v>
      </c>
    </row>
    <row r="1755" spans="1:11" x14ac:dyDescent="0.3">
      <c r="A1755" t="s">
        <v>1550</v>
      </c>
      <c r="B1755" s="33">
        <v>43262</v>
      </c>
      <c r="C1755" s="76">
        <v>13808000597073</v>
      </c>
      <c r="D1755" s="34">
        <v>1</v>
      </c>
      <c r="E1755" s="35" t="s">
        <v>3701</v>
      </c>
      <c r="F1755" s="35" t="s">
        <v>331</v>
      </c>
      <c r="G1755" s="106"/>
      <c r="H1755" s="33">
        <v>43221</v>
      </c>
      <c r="I1755" s="34">
        <v>1700581961</v>
      </c>
      <c r="J1755" s="36">
        <v>178.25</v>
      </c>
      <c r="K1755" t="s">
        <v>2030</v>
      </c>
    </row>
    <row r="1756" spans="1:11" x14ac:dyDescent="0.3">
      <c r="A1756" t="s">
        <v>1550</v>
      </c>
      <c r="B1756" s="33">
        <v>43262</v>
      </c>
      <c r="C1756" s="76">
        <v>13808000597073</v>
      </c>
      <c r="D1756" s="34">
        <v>1</v>
      </c>
      <c r="E1756" s="35" t="s">
        <v>3701</v>
      </c>
      <c r="F1756" s="35" t="s">
        <v>315</v>
      </c>
      <c r="G1756" s="106"/>
      <c r="H1756" s="33">
        <v>43221</v>
      </c>
      <c r="I1756" s="34">
        <v>1700581960</v>
      </c>
      <c r="J1756" s="36">
        <v>178.25</v>
      </c>
      <c r="K1756" t="s">
        <v>2030</v>
      </c>
    </row>
    <row r="1757" spans="1:11" x14ac:dyDescent="0.3">
      <c r="A1757" t="s">
        <v>1550</v>
      </c>
      <c r="B1757" s="33">
        <v>43262</v>
      </c>
      <c r="C1757" s="76">
        <v>13808000597073</v>
      </c>
      <c r="D1757" s="34">
        <v>1</v>
      </c>
      <c r="E1757" s="35" t="s">
        <v>3701</v>
      </c>
      <c r="F1757" s="35" t="s">
        <v>312</v>
      </c>
      <c r="G1757" s="106"/>
      <c r="H1757" s="33">
        <v>43221</v>
      </c>
      <c r="I1757" s="34">
        <v>1700581959</v>
      </c>
      <c r="J1757" s="36">
        <v>178.25</v>
      </c>
      <c r="K1757" t="s">
        <v>2030</v>
      </c>
    </row>
    <row r="1758" spans="1:11" x14ac:dyDescent="0.3">
      <c r="A1758" t="s">
        <v>1550</v>
      </c>
      <c r="B1758" s="33">
        <v>43262</v>
      </c>
      <c r="C1758" s="76">
        <v>13808000597073</v>
      </c>
      <c r="D1758" s="34">
        <v>1</v>
      </c>
      <c r="E1758" s="35" t="s">
        <v>3701</v>
      </c>
      <c r="F1758" s="35" t="s">
        <v>318</v>
      </c>
      <c r="G1758" s="106"/>
      <c r="H1758" s="33">
        <v>43221</v>
      </c>
      <c r="I1758" s="34">
        <v>1700581958</v>
      </c>
      <c r="J1758" s="36">
        <v>178.25</v>
      </c>
      <c r="K1758" t="s">
        <v>2030</v>
      </c>
    </row>
    <row r="1759" spans="1:11" x14ac:dyDescent="0.3">
      <c r="A1759" t="s">
        <v>1550</v>
      </c>
      <c r="B1759" s="33">
        <v>43262</v>
      </c>
      <c r="C1759" s="76">
        <v>13808000597073</v>
      </c>
      <c r="D1759" s="34">
        <v>1</v>
      </c>
      <c r="E1759" s="35" t="s">
        <v>3701</v>
      </c>
      <c r="F1759" s="35" t="s">
        <v>319</v>
      </c>
      <c r="G1759" s="106"/>
      <c r="H1759" s="33">
        <v>43221</v>
      </c>
      <c r="I1759" s="34">
        <v>1700581957</v>
      </c>
      <c r="J1759" s="36">
        <v>178.25</v>
      </c>
      <c r="K1759" t="s">
        <v>2030</v>
      </c>
    </row>
    <row r="1760" spans="1:11" x14ac:dyDescent="0.3">
      <c r="A1760" t="s">
        <v>1550</v>
      </c>
      <c r="B1760" s="33">
        <v>43262</v>
      </c>
      <c r="C1760" s="76">
        <v>13808000597073</v>
      </c>
      <c r="D1760" s="34">
        <v>1</v>
      </c>
      <c r="E1760" s="35" t="s">
        <v>3701</v>
      </c>
      <c r="F1760" s="35" t="s">
        <v>317</v>
      </c>
      <c r="G1760" s="106"/>
      <c r="H1760" s="33">
        <v>43221</v>
      </c>
      <c r="I1760" s="34">
        <v>1700581956</v>
      </c>
      <c r="J1760" s="36">
        <v>178.25</v>
      </c>
      <c r="K1760" t="s">
        <v>2030</v>
      </c>
    </row>
    <row r="1761" spans="1:11" x14ac:dyDescent="0.3">
      <c r="A1761" t="s">
        <v>1550</v>
      </c>
      <c r="B1761" s="33">
        <v>43262</v>
      </c>
      <c r="C1761" s="76">
        <v>13808000597073</v>
      </c>
      <c r="D1761" s="34">
        <v>1</v>
      </c>
      <c r="E1761" s="35" t="s">
        <v>3701</v>
      </c>
      <c r="F1761" s="35" t="s">
        <v>304</v>
      </c>
      <c r="G1761" s="106"/>
      <c r="H1761" s="33">
        <v>43221</v>
      </c>
      <c r="I1761" s="34">
        <v>1700581955</v>
      </c>
      <c r="J1761" s="36">
        <v>178.25</v>
      </c>
      <c r="K1761" t="s">
        <v>2030</v>
      </c>
    </row>
    <row r="1762" spans="1:11" x14ac:dyDescent="0.3">
      <c r="A1762" t="s">
        <v>1550</v>
      </c>
      <c r="B1762" s="33">
        <v>43262</v>
      </c>
      <c r="C1762" s="76">
        <v>13808000597073</v>
      </c>
      <c r="D1762" s="34">
        <v>1</v>
      </c>
      <c r="E1762" s="35" t="s">
        <v>3701</v>
      </c>
      <c r="F1762" s="35" t="s">
        <v>309</v>
      </c>
      <c r="G1762" s="106"/>
      <c r="H1762" s="33">
        <v>43221</v>
      </c>
      <c r="I1762" s="34">
        <v>1700581954</v>
      </c>
      <c r="J1762" s="36">
        <v>178.25</v>
      </c>
      <c r="K1762" t="s">
        <v>2030</v>
      </c>
    </row>
    <row r="1763" spans="1:11" x14ac:dyDescent="0.3">
      <c r="A1763" t="s">
        <v>1550</v>
      </c>
      <c r="B1763" s="33">
        <v>43262</v>
      </c>
      <c r="C1763" s="76">
        <v>13808000597073</v>
      </c>
      <c r="D1763" s="34">
        <v>1</v>
      </c>
      <c r="E1763" s="35" t="s">
        <v>3701</v>
      </c>
      <c r="F1763" s="35" t="s">
        <v>11</v>
      </c>
      <c r="G1763" s="106"/>
      <c r="H1763" s="33">
        <v>43221</v>
      </c>
      <c r="I1763" s="34">
        <v>1700581953</v>
      </c>
      <c r="J1763" s="36">
        <v>178.25</v>
      </c>
      <c r="K1763" t="s">
        <v>2030</v>
      </c>
    </row>
    <row r="1764" spans="1:11" x14ac:dyDescent="0.3">
      <c r="A1764" t="s">
        <v>1550</v>
      </c>
      <c r="B1764" s="33">
        <v>43262</v>
      </c>
      <c r="C1764" s="76">
        <v>13808000597073</v>
      </c>
      <c r="D1764" s="34">
        <v>1</v>
      </c>
      <c r="E1764" s="35" t="s">
        <v>3701</v>
      </c>
      <c r="F1764" s="35" t="s">
        <v>311</v>
      </c>
      <c r="G1764" s="106"/>
      <c r="H1764" s="33">
        <v>43221</v>
      </c>
      <c r="I1764" s="34">
        <v>1700581952</v>
      </c>
      <c r="J1764" s="36">
        <v>178.25</v>
      </c>
      <c r="K1764" t="s">
        <v>2030</v>
      </c>
    </row>
    <row r="1765" spans="1:11" x14ac:dyDescent="0.3">
      <c r="A1765" t="s">
        <v>1550</v>
      </c>
      <c r="B1765" s="33">
        <v>43262</v>
      </c>
      <c r="C1765" s="76">
        <v>13808000597073</v>
      </c>
      <c r="D1765" s="34">
        <v>1</v>
      </c>
      <c r="E1765" s="35" t="s">
        <v>3701</v>
      </c>
      <c r="F1765" s="35" t="s">
        <v>316</v>
      </c>
      <c r="G1765" s="106"/>
      <c r="H1765" s="33">
        <v>43221</v>
      </c>
      <c r="I1765" s="34">
        <v>1700581951</v>
      </c>
      <c r="J1765" s="36">
        <v>178.25</v>
      </c>
      <c r="K1765" t="s">
        <v>2030</v>
      </c>
    </row>
    <row r="1766" spans="1:11" x14ac:dyDescent="0.3">
      <c r="A1766" t="s">
        <v>1550</v>
      </c>
      <c r="B1766" s="33">
        <v>43262</v>
      </c>
      <c r="C1766" s="76">
        <v>13808000597073</v>
      </c>
      <c r="D1766" s="34">
        <v>1</v>
      </c>
      <c r="E1766" s="35" t="s">
        <v>3701</v>
      </c>
      <c r="F1766" s="35" t="s">
        <v>1324</v>
      </c>
      <c r="G1766" s="106"/>
      <c r="H1766" s="33">
        <v>43221</v>
      </c>
      <c r="I1766" s="34">
        <v>1700582030</v>
      </c>
      <c r="J1766" s="36">
        <v>178.25</v>
      </c>
      <c r="K1766" t="s">
        <v>2030</v>
      </c>
    </row>
    <row r="1767" spans="1:11" x14ac:dyDescent="0.3">
      <c r="A1767" t="s">
        <v>1550</v>
      </c>
      <c r="B1767" s="33">
        <v>43262</v>
      </c>
      <c r="C1767" s="76">
        <v>13808000597073</v>
      </c>
      <c r="D1767" s="34">
        <v>1</v>
      </c>
      <c r="E1767" s="35" t="s">
        <v>3701</v>
      </c>
      <c r="F1767" s="35" t="s">
        <v>589</v>
      </c>
      <c r="G1767" s="106"/>
      <c r="H1767" s="33">
        <v>43221</v>
      </c>
      <c r="I1767" s="34">
        <v>1700582029</v>
      </c>
      <c r="J1767" s="36">
        <v>178.25</v>
      </c>
      <c r="K1767" t="s">
        <v>2030</v>
      </c>
    </row>
    <row r="1768" spans="1:11" x14ac:dyDescent="0.3">
      <c r="A1768" t="s">
        <v>1550</v>
      </c>
      <c r="B1768" s="33">
        <v>43262</v>
      </c>
      <c r="C1768" s="76">
        <v>13808000597073</v>
      </c>
      <c r="D1768" s="34">
        <v>1</v>
      </c>
      <c r="E1768" s="35" t="s">
        <v>3701</v>
      </c>
      <c r="F1768" s="35" t="s">
        <v>1323</v>
      </c>
      <c r="G1768" s="106"/>
      <c r="H1768" s="33">
        <v>43221</v>
      </c>
      <c r="I1768" s="34">
        <v>1700582028</v>
      </c>
      <c r="J1768" s="36">
        <v>178.25</v>
      </c>
      <c r="K1768" t="s">
        <v>2030</v>
      </c>
    </row>
    <row r="1769" spans="1:11" x14ac:dyDescent="0.3">
      <c r="A1769" t="s">
        <v>1550</v>
      </c>
      <c r="B1769" s="33">
        <v>43262</v>
      </c>
      <c r="C1769" s="76">
        <v>13808000597073</v>
      </c>
      <c r="D1769" s="34">
        <v>1</v>
      </c>
      <c r="E1769" s="35" t="s">
        <v>3701</v>
      </c>
      <c r="F1769" s="35" t="s">
        <v>587</v>
      </c>
      <c r="G1769" s="106"/>
      <c r="H1769" s="33">
        <v>43221</v>
      </c>
      <c r="I1769" s="34">
        <v>1700582027</v>
      </c>
      <c r="J1769" s="36">
        <v>178.25</v>
      </c>
      <c r="K1769" t="s">
        <v>2030</v>
      </c>
    </row>
    <row r="1770" spans="1:11" x14ac:dyDescent="0.3">
      <c r="A1770" t="s">
        <v>1550</v>
      </c>
      <c r="B1770" s="33">
        <v>43262</v>
      </c>
      <c r="C1770" s="76">
        <v>13808000597073</v>
      </c>
      <c r="D1770" s="34">
        <v>1</v>
      </c>
      <c r="E1770" s="35" t="s">
        <v>3701</v>
      </c>
      <c r="F1770" s="35" t="s">
        <v>1322</v>
      </c>
      <c r="G1770" s="106"/>
      <c r="H1770" s="33">
        <v>43221</v>
      </c>
      <c r="I1770" s="34">
        <v>1700582026</v>
      </c>
      <c r="J1770" s="36">
        <v>178.25</v>
      </c>
      <c r="K1770" t="s">
        <v>2030</v>
      </c>
    </row>
    <row r="1771" spans="1:11" x14ac:dyDescent="0.3">
      <c r="A1771" t="s">
        <v>1550</v>
      </c>
      <c r="B1771" s="33">
        <v>43262</v>
      </c>
      <c r="C1771" s="76">
        <v>13808000597073</v>
      </c>
      <c r="D1771" s="34">
        <v>1</v>
      </c>
      <c r="E1771" s="35" t="s">
        <v>3701</v>
      </c>
      <c r="F1771" s="35" t="s">
        <v>1325</v>
      </c>
      <c r="G1771" s="106"/>
      <c r="H1771" s="33">
        <v>43221</v>
      </c>
      <c r="I1771" s="34">
        <v>1700582025</v>
      </c>
      <c r="J1771" s="36">
        <v>178.25</v>
      </c>
      <c r="K1771" t="s">
        <v>2030</v>
      </c>
    </row>
    <row r="1772" spans="1:11" x14ac:dyDescent="0.3">
      <c r="A1772" t="s">
        <v>1550</v>
      </c>
      <c r="B1772" s="33">
        <v>43262</v>
      </c>
      <c r="C1772" s="76">
        <v>13808000597073</v>
      </c>
      <c r="D1772" s="34">
        <v>1</v>
      </c>
      <c r="E1772" s="35" t="s">
        <v>3701</v>
      </c>
      <c r="F1772" s="35" t="s">
        <v>1321</v>
      </c>
      <c r="G1772" s="106"/>
      <c r="H1772" s="33">
        <v>43221</v>
      </c>
      <c r="I1772" s="34">
        <v>1700582024</v>
      </c>
      <c r="J1772" s="36">
        <v>178.25</v>
      </c>
      <c r="K1772" t="s">
        <v>2030</v>
      </c>
    </row>
    <row r="1773" spans="1:11" x14ac:dyDescent="0.3">
      <c r="A1773" t="s">
        <v>1550</v>
      </c>
      <c r="B1773" s="33">
        <v>43262</v>
      </c>
      <c r="C1773" s="76">
        <v>13808000597073</v>
      </c>
      <c r="D1773" s="34">
        <v>1</v>
      </c>
      <c r="E1773" s="35" t="s">
        <v>3701</v>
      </c>
      <c r="F1773" s="35" t="s">
        <v>1328</v>
      </c>
      <c r="G1773" s="106"/>
      <c r="H1773" s="33">
        <v>43221</v>
      </c>
      <c r="I1773" s="34">
        <v>1700582023</v>
      </c>
      <c r="J1773" s="36">
        <v>178.25</v>
      </c>
      <c r="K1773" t="s">
        <v>2030</v>
      </c>
    </row>
    <row r="1774" spans="1:11" x14ac:dyDescent="0.3">
      <c r="A1774" t="s">
        <v>1550</v>
      </c>
      <c r="B1774" s="33">
        <v>43262</v>
      </c>
      <c r="C1774" s="76">
        <v>13808000597073</v>
      </c>
      <c r="D1774" s="34">
        <v>1</v>
      </c>
      <c r="E1774" s="35" t="s">
        <v>3701</v>
      </c>
      <c r="F1774" s="35" t="s">
        <v>583</v>
      </c>
      <c r="G1774" s="106"/>
      <c r="H1774" s="33">
        <v>43221</v>
      </c>
      <c r="I1774" s="34">
        <v>1700582022</v>
      </c>
      <c r="J1774" s="36">
        <v>178.25</v>
      </c>
      <c r="K1774" t="s">
        <v>2030</v>
      </c>
    </row>
    <row r="1775" spans="1:11" x14ac:dyDescent="0.3">
      <c r="A1775" t="s">
        <v>1550</v>
      </c>
      <c r="B1775" s="33">
        <v>43262</v>
      </c>
      <c r="C1775" s="76">
        <v>13808000597073</v>
      </c>
      <c r="D1775" s="34">
        <v>1</v>
      </c>
      <c r="E1775" s="35" t="s">
        <v>3701</v>
      </c>
      <c r="F1775" s="35" t="s">
        <v>1326</v>
      </c>
      <c r="G1775" s="106"/>
      <c r="H1775" s="33">
        <v>43221</v>
      </c>
      <c r="I1775" s="34">
        <v>1700582021</v>
      </c>
      <c r="J1775" s="36">
        <v>178.25</v>
      </c>
      <c r="K1775" t="s">
        <v>2030</v>
      </c>
    </row>
    <row r="1776" spans="1:11" x14ac:dyDescent="0.3">
      <c r="A1776" t="s">
        <v>1550</v>
      </c>
      <c r="B1776" s="33">
        <v>43262</v>
      </c>
      <c r="C1776" s="76">
        <v>13808000597073</v>
      </c>
      <c r="D1776" s="34">
        <v>1</v>
      </c>
      <c r="E1776" s="35" t="s">
        <v>3701</v>
      </c>
      <c r="F1776" s="35" t="s">
        <v>580</v>
      </c>
      <c r="G1776" s="106"/>
      <c r="H1776" s="33">
        <v>43221</v>
      </c>
      <c r="I1776" s="34">
        <v>1700582020</v>
      </c>
      <c r="J1776" s="36">
        <v>178.25</v>
      </c>
      <c r="K1776" t="s">
        <v>2030</v>
      </c>
    </row>
    <row r="1777" spans="1:11" x14ac:dyDescent="0.3">
      <c r="A1777" t="s">
        <v>1550</v>
      </c>
      <c r="B1777" s="33">
        <v>43262</v>
      </c>
      <c r="C1777" s="76">
        <v>13808000597073</v>
      </c>
      <c r="D1777" s="34">
        <v>1</v>
      </c>
      <c r="E1777" s="35" t="s">
        <v>3701</v>
      </c>
      <c r="F1777" s="35" t="s">
        <v>588</v>
      </c>
      <c r="G1777" s="106"/>
      <c r="H1777" s="33">
        <v>43221</v>
      </c>
      <c r="I1777" s="34">
        <v>1700582019</v>
      </c>
      <c r="J1777" s="36">
        <v>178.25</v>
      </c>
      <c r="K1777" t="s">
        <v>2030</v>
      </c>
    </row>
    <row r="1778" spans="1:11" x14ac:dyDescent="0.3">
      <c r="A1778" t="s">
        <v>1550</v>
      </c>
      <c r="B1778" s="33">
        <v>43262</v>
      </c>
      <c r="C1778" s="76">
        <v>13808000597073</v>
      </c>
      <c r="D1778" s="34">
        <v>1</v>
      </c>
      <c r="E1778" s="35" t="s">
        <v>3701</v>
      </c>
      <c r="F1778" s="35" t="s">
        <v>586</v>
      </c>
      <c r="G1778" s="106"/>
      <c r="H1778" s="33">
        <v>43221</v>
      </c>
      <c r="I1778" s="34">
        <v>1700582018</v>
      </c>
      <c r="J1778" s="36">
        <v>178.25</v>
      </c>
      <c r="K1778" t="s">
        <v>2030</v>
      </c>
    </row>
    <row r="1779" spans="1:11" x14ac:dyDescent="0.3">
      <c r="A1779" t="s">
        <v>1550</v>
      </c>
      <c r="B1779" s="33">
        <v>43262</v>
      </c>
      <c r="C1779" s="76">
        <v>13808000597073</v>
      </c>
      <c r="D1779" s="34">
        <v>1</v>
      </c>
      <c r="E1779" s="35" t="s">
        <v>3701</v>
      </c>
      <c r="F1779" s="35" t="s">
        <v>585</v>
      </c>
      <c r="G1779" s="106"/>
      <c r="H1779" s="33">
        <v>43221</v>
      </c>
      <c r="I1779" s="34">
        <v>1700582017</v>
      </c>
      <c r="J1779" s="36">
        <v>178.25</v>
      </c>
      <c r="K1779" t="s">
        <v>2030</v>
      </c>
    </row>
    <row r="1780" spans="1:11" x14ac:dyDescent="0.3">
      <c r="A1780" t="s">
        <v>1550</v>
      </c>
      <c r="B1780" s="33">
        <v>43262</v>
      </c>
      <c r="C1780" s="76">
        <v>13808000597073</v>
      </c>
      <c r="D1780" s="34">
        <v>1</v>
      </c>
      <c r="E1780" s="35" t="s">
        <v>3701</v>
      </c>
      <c r="F1780" s="35" t="s">
        <v>576</v>
      </c>
      <c r="G1780" s="106"/>
      <c r="H1780" s="33">
        <v>43221</v>
      </c>
      <c r="I1780" s="34">
        <v>1700582016</v>
      </c>
      <c r="J1780" s="36">
        <v>178.25</v>
      </c>
      <c r="K1780" t="s">
        <v>2030</v>
      </c>
    </row>
    <row r="1781" spans="1:11" x14ac:dyDescent="0.3">
      <c r="A1781" t="s">
        <v>1550</v>
      </c>
      <c r="B1781" s="33">
        <v>43262</v>
      </c>
      <c r="C1781" s="76">
        <v>13808000597073</v>
      </c>
      <c r="D1781" s="34">
        <v>1</v>
      </c>
      <c r="E1781" s="35" t="s">
        <v>3701</v>
      </c>
      <c r="F1781" s="35" t="s">
        <v>582</v>
      </c>
      <c r="G1781" s="106"/>
      <c r="H1781" s="33">
        <v>43221</v>
      </c>
      <c r="I1781" s="34">
        <v>1700582015</v>
      </c>
      <c r="J1781" s="36">
        <v>178.25</v>
      </c>
      <c r="K1781" t="s">
        <v>2030</v>
      </c>
    </row>
    <row r="1782" spans="1:11" x14ac:dyDescent="0.3">
      <c r="A1782" t="s">
        <v>1550</v>
      </c>
      <c r="B1782" s="33">
        <v>43262</v>
      </c>
      <c r="C1782" s="76">
        <v>13808000597073</v>
      </c>
      <c r="D1782" s="34">
        <v>1</v>
      </c>
      <c r="E1782" s="35" t="s">
        <v>3701</v>
      </c>
      <c r="F1782" s="35" t="s">
        <v>584</v>
      </c>
      <c r="G1782" s="106"/>
      <c r="H1782" s="33">
        <v>43221</v>
      </c>
      <c r="I1782" s="34">
        <v>1700582014</v>
      </c>
      <c r="J1782" s="36">
        <v>178.25</v>
      </c>
      <c r="K1782" t="s">
        <v>2030</v>
      </c>
    </row>
    <row r="1783" spans="1:11" x14ac:dyDescent="0.3">
      <c r="A1783" t="s">
        <v>1550</v>
      </c>
      <c r="B1783" s="33">
        <v>43262</v>
      </c>
      <c r="C1783" s="76">
        <v>13808000597073</v>
      </c>
      <c r="D1783" s="34">
        <v>1</v>
      </c>
      <c r="E1783" s="35" t="s">
        <v>3701</v>
      </c>
      <c r="F1783" s="35" t="s">
        <v>581</v>
      </c>
      <c r="G1783" s="106"/>
      <c r="H1783" s="33">
        <v>43221</v>
      </c>
      <c r="I1783" s="34">
        <v>1700582013</v>
      </c>
      <c r="J1783" s="36">
        <v>178.25</v>
      </c>
      <c r="K1783" t="s">
        <v>2030</v>
      </c>
    </row>
    <row r="1784" spans="1:11" x14ac:dyDescent="0.3">
      <c r="A1784" t="s">
        <v>1550</v>
      </c>
      <c r="B1784" s="33">
        <v>43262</v>
      </c>
      <c r="C1784" s="76">
        <v>13808000597073</v>
      </c>
      <c r="D1784" s="34">
        <v>1</v>
      </c>
      <c r="E1784" s="35" t="s">
        <v>3701</v>
      </c>
      <c r="F1784" s="35" t="s">
        <v>1330</v>
      </c>
      <c r="G1784" s="106"/>
      <c r="H1784" s="33">
        <v>43221</v>
      </c>
      <c r="I1784" s="34">
        <v>1700582012</v>
      </c>
      <c r="J1784" s="36">
        <v>178.25</v>
      </c>
      <c r="K1784" t="s">
        <v>2030</v>
      </c>
    </row>
    <row r="1785" spans="1:11" x14ac:dyDescent="0.3">
      <c r="A1785" t="s">
        <v>1550</v>
      </c>
      <c r="B1785" s="33">
        <v>43262</v>
      </c>
      <c r="C1785" s="76">
        <v>13808000597073</v>
      </c>
      <c r="D1785" s="34">
        <v>1</v>
      </c>
      <c r="E1785" s="35" t="s">
        <v>3701</v>
      </c>
      <c r="F1785" s="35" t="s">
        <v>568</v>
      </c>
      <c r="G1785" s="106"/>
      <c r="H1785" s="33">
        <v>43221</v>
      </c>
      <c r="I1785" s="34">
        <v>1700582011</v>
      </c>
      <c r="J1785" s="36">
        <v>178.25</v>
      </c>
      <c r="K1785" t="s">
        <v>2030</v>
      </c>
    </row>
    <row r="1786" spans="1:11" x14ac:dyDescent="0.3">
      <c r="A1786" t="s">
        <v>1550</v>
      </c>
      <c r="B1786" s="33">
        <v>43262</v>
      </c>
      <c r="C1786" s="76">
        <v>13808000597073</v>
      </c>
      <c r="D1786" s="34">
        <v>1</v>
      </c>
      <c r="E1786" s="35" t="s">
        <v>3701</v>
      </c>
      <c r="F1786" s="35" t="s">
        <v>574</v>
      </c>
      <c r="G1786" s="106"/>
      <c r="H1786" s="33">
        <v>43221</v>
      </c>
      <c r="I1786" s="34">
        <v>1700582010</v>
      </c>
      <c r="J1786" s="36">
        <v>178.25</v>
      </c>
      <c r="K1786" t="s">
        <v>2030</v>
      </c>
    </row>
    <row r="1787" spans="1:11" x14ac:dyDescent="0.3">
      <c r="A1787" t="s">
        <v>1550</v>
      </c>
      <c r="B1787" s="33">
        <v>43262</v>
      </c>
      <c r="C1787" s="76">
        <v>13808000597073</v>
      </c>
      <c r="D1787" s="34">
        <v>1</v>
      </c>
      <c r="E1787" s="35" t="s">
        <v>3701</v>
      </c>
      <c r="F1787" s="35" t="s">
        <v>575</v>
      </c>
      <c r="G1787" s="106"/>
      <c r="H1787" s="33">
        <v>43221</v>
      </c>
      <c r="I1787" s="34">
        <v>1700582009</v>
      </c>
      <c r="J1787" s="36">
        <v>178.25</v>
      </c>
      <c r="K1787" t="s">
        <v>2030</v>
      </c>
    </row>
    <row r="1788" spans="1:11" x14ac:dyDescent="0.3">
      <c r="A1788" t="s">
        <v>1550</v>
      </c>
      <c r="B1788" s="33">
        <v>43262</v>
      </c>
      <c r="C1788" s="76">
        <v>13808000597073</v>
      </c>
      <c r="D1788" s="34">
        <v>1</v>
      </c>
      <c r="E1788" s="35" t="s">
        <v>3701</v>
      </c>
      <c r="F1788" s="35" t="s">
        <v>579</v>
      </c>
      <c r="G1788" s="106"/>
      <c r="H1788" s="33">
        <v>43221</v>
      </c>
      <c r="I1788" s="34">
        <v>1700582008</v>
      </c>
      <c r="J1788" s="36">
        <v>178.25</v>
      </c>
      <c r="K1788" t="s">
        <v>2030</v>
      </c>
    </row>
    <row r="1789" spans="1:11" x14ac:dyDescent="0.3">
      <c r="A1789" t="s">
        <v>1550</v>
      </c>
      <c r="B1789" s="33">
        <v>43262</v>
      </c>
      <c r="C1789" s="76">
        <v>13808000597073</v>
      </c>
      <c r="D1789" s="34">
        <v>1</v>
      </c>
      <c r="E1789" s="35" t="s">
        <v>3701</v>
      </c>
      <c r="F1789" s="35" t="s">
        <v>578</v>
      </c>
      <c r="G1789" s="106"/>
      <c r="H1789" s="33">
        <v>43221</v>
      </c>
      <c r="I1789" s="34">
        <v>1700582007</v>
      </c>
      <c r="J1789" s="36">
        <v>178.25</v>
      </c>
      <c r="K1789" t="s">
        <v>2030</v>
      </c>
    </row>
    <row r="1790" spans="1:11" x14ac:dyDescent="0.3">
      <c r="A1790" t="s">
        <v>1550</v>
      </c>
      <c r="B1790" s="33">
        <v>43262</v>
      </c>
      <c r="C1790" s="76">
        <v>13808000597073</v>
      </c>
      <c r="D1790" s="34">
        <v>1</v>
      </c>
      <c r="E1790" s="35" t="s">
        <v>3701</v>
      </c>
      <c r="F1790" s="35" t="s">
        <v>577</v>
      </c>
      <c r="G1790" s="106"/>
      <c r="H1790" s="33">
        <v>43221</v>
      </c>
      <c r="I1790" s="34">
        <v>1700582006</v>
      </c>
      <c r="J1790" s="36">
        <v>178.25</v>
      </c>
      <c r="K1790" t="s">
        <v>2030</v>
      </c>
    </row>
    <row r="1791" spans="1:11" x14ac:dyDescent="0.3">
      <c r="A1791" t="s">
        <v>1550</v>
      </c>
      <c r="B1791" s="33">
        <v>43262</v>
      </c>
      <c r="C1791" s="76">
        <v>13808000597073</v>
      </c>
      <c r="D1791" s="34">
        <v>1</v>
      </c>
      <c r="E1791" s="35" t="s">
        <v>3701</v>
      </c>
      <c r="F1791" s="35" t="s">
        <v>560</v>
      </c>
      <c r="G1791" s="106"/>
      <c r="H1791" s="33">
        <v>43221</v>
      </c>
      <c r="I1791" s="34">
        <v>1700582005</v>
      </c>
      <c r="J1791" s="36">
        <v>178.25</v>
      </c>
      <c r="K1791" t="s">
        <v>2030</v>
      </c>
    </row>
    <row r="1792" spans="1:11" x14ac:dyDescent="0.3">
      <c r="A1792" t="s">
        <v>1550</v>
      </c>
      <c r="B1792" s="33">
        <v>43262</v>
      </c>
      <c r="C1792" s="76">
        <v>13808000597073</v>
      </c>
      <c r="D1792" s="34">
        <v>1</v>
      </c>
      <c r="E1792" s="35" t="s">
        <v>3701</v>
      </c>
      <c r="F1792" s="35" t="s">
        <v>569</v>
      </c>
      <c r="G1792" s="106"/>
      <c r="H1792" s="33">
        <v>43221</v>
      </c>
      <c r="I1792" s="34">
        <v>1700582004</v>
      </c>
      <c r="J1792" s="36">
        <v>178.25</v>
      </c>
      <c r="K1792" t="s">
        <v>2030</v>
      </c>
    </row>
    <row r="1793" spans="1:11" x14ac:dyDescent="0.3">
      <c r="A1793" t="s">
        <v>1550</v>
      </c>
      <c r="B1793" s="33">
        <v>43262</v>
      </c>
      <c r="C1793" s="76">
        <v>13808000597073</v>
      </c>
      <c r="D1793" s="34">
        <v>1</v>
      </c>
      <c r="E1793" s="35" t="s">
        <v>3701</v>
      </c>
      <c r="F1793" s="35" t="s">
        <v>571</v>
      </c>
      <c r="G1793" s="106"/>
      <c r="H1793" s="33">
        <v>43221</v>
      </c>
      <c r="I1793" s="34">
        <v>1700582003</v>
      </c>
      <c r="J1793" s="36">
        <v>178.25</v>
      </c>
      <c r="K1793" t="s">
        <v>2030</v>
      </c>
    </row>
    <row r="1794" spans="1:11" x14ac:dyDescent="0.3">
      <c r="A1794" t="s">
        <v>1550</v>
      </c>
      <c r="B1794" s="33">
        <v>43262</v>
      </c>
      <c r="C1794" s="76">
        <v>13808000597073</v>
      </c>
      <c r="D1794" s="34">
        <v>1</v>
      </c>
      <c r="E1794" s="35" t="s">
        <v>3701</v>
      </c>
      <c r="F1794" s="35" t="s">
        <v>13</v>
      </c>
      <c r="G1794" s="106"/>
      <c r="H1794" s="33">
        <v>43221</v>
      </c>
      <c r="I1794" s="34">
        <v>1700582002</v>
      </c>
      <c r="J1794" s="36">
        <v>178.25</v>
      </c>
      <c r="K1794" t="s">
        <v>2030</v>
      </c>
    </row>
    <row r="1795" spans="1:11" x14ac:dyDescent="0.3">
      <c r="A1795" t="s">
        <v>1550</v>
      </c>
      <c r="B1795" s="33">
        <v>43262</v>
      </c>
      <c r="C1795" s="76">
        <v>13808000597073</v>
      </c>
      <c r="D1795" s="34">
        <v>1</v>
      </c>
      <c r="E1795" s="35" t="s">
        <v>3701</v>
      </c>
      <c r="F1795" s="35" t="s">
        <v>565</v>
      </c>
      <c r="G1795" s="106"/>
      <c r="H1795" s="33">
        <v>43221</v>
      </c>
      <c r="I1795" s="34">
        <v>1700582001</v>
      </c>
      <c r="J1795" s="36">
        <v>178.25</v>
      </c>
      <c r="K1795" t="s">
        <v>2030</v>
      </c>
    </row>
    <row r="1796" spans="1:11" x14ac:dyDescent="0.3">
      <c r="A1796" t="s">
        <v>1550</v>
      </c>
      <c r="B1796" s="33">
        <v>43262</v>
      </c>
      <c r="C1796" s="76">
        <v>13808000597073</v>
      </c>
      <c r="D1796" s="34">
        <v>1</v>
      </c>
      <c r="E1796" s="35" t="s">
        <v>3701</v>
      </c>
      <c r="F1796" s="35" t="s">
        <v>570</v>
      </c>
      <c r="G1796" s="106"/>
      <c r="H1796" s="33">
        <v>43221</v>
      </c>
      <c r="I1796" s="34">
        <v>1700582000</v>
      </c>
      <c r="J1796" s="36">
        <v>178.25</v>
      </c>
      <c r="K1796" t="s">
        <v>2030</v>
      </c>
    </row>
    <row r="1797" spans="1:11" x14ac:dyDescent="0.3">
      <c r="A1797" t="s">
        <v>1550</v>
      </c>
      <c r="B1797" s="33">
        <v>43262</v>
      </c>
      <c r="C1797" s="76">
        <v>13808000597073</v>
      </c>
      <c r="D1797" s="34">
        <v>1</v>
      </c>
      <c r="E1797" s="35" t="s">
        <v>3701</v>
      </c>
      <c r="F1797" s="35" t="s">
        <v>566</v>
      </c>
      <c r="G1797" s="106"/>
      <c r="H1797" s="33">
        <v>43221</v>
      </c>
      <c r="I1797" s="34">
        <v>1700581999</v>
      </c>
      <c r="J1797" s="36">
        <v>178.25</v>
      </c>
      <c r="K1797" t="s">
        <v>2030</v>
      </c>
    </row>
    <row r="1798" spans="1:11" x14ac:dyDescent="0.3">
      <c r="A1798" t="s">
        <v>1550</v>
      </c>
      <c r="B1798" s="33">
        <v>43262</v>
      </c>
      <c r="C1798" s="76">
        <v>13808000597073</v>
      </c>
      <c r="D1798" s="34">
        <v>1</v>
      </c>
      <c r="E1798" s="35" t="s">
        <v>3701</v>
      </c>
      <c r="F1798" s="35" t="s">
        <v>567</v>
      </c>
      <c r="G1798" s="106"/>
      <c r="H1798" s="33">
        <v>43221</v>
      </c>
      <c r="I1798" s="34">
        <v>1700581998</v>
      </c>
      <c r="J1798" s="36">
        <v>178.25</v>
      </c>
      <c r="K1798" t="s">
        <v>2030</v>
      </c>
    </row>
    <row r="1799" spans="1:11" x14ac:dyDescent="0.3">
      <c r="A1799" t="s">
        <v>1550</v>
      </c>
      <c r="B1799" s="33">
        <v>43262</v>
      </c>
      <c r="C1799" s="76">
        <v>13808000597073</v>
      </c>
      <c r="D1799" s="34">
        <v>1</v>
      </c>
      <c r="E1799" s="35" t="s">
        <v>3701</v>
      </c>
      <c r="F1799" s="35" t="s">
        <v>572</v>
      </c>
      <c r="G1799" s="106"/>
      <c r="H1799" s="33">
        <v>43221</v>
      </c>
      <c r="I1799" s="34">
        <v>1700581997</v>
      </c>
      <c r="J1799" s="36">
        <v>178.25</v>
      </c>
      <c r="K1799" t="s">
        <v>2030</v>
      </c>
    </row>
    <row r="1800" spans="1:11" x14ac:dyDescent="0.3">
      <c r="A1800" t="s">
        <v>1550</v>
      </c>
      <c r="B1800" s="33">
        <v>43262</v>
      </c>
      <c r="C1800" s="76">
        <v>13808000597073</v>
      </c>
      <c r="D1800" s="34">
        <v>1</v>
      </c>
      <c r="E1800" s="35" t="s">
        <v>3701</v>
      </c>
      <c r="F1800" s="35" t="s">
        <v>573</v>
      </c>
      <c r="G1800" s="106"/>
      <c r="H1800" s="33">
        <v>43221</v>
      </c>
      <c r="I1800" s="34">
        <v>1700581996</v>
      </c>
      <c r="J1800" s="36">
        <v>178.25</v>
      </c>
      <c r="K1800" t="s">
        <v>2030</v>
      </c>
    </row>
    <row r="1801" spans="1:11" x14ac:dyDescent="0.3">
      <c r="A1801" t="s">
        <v>1550</v>
      </c>
      <c r="B1801" s="33">
        <v>43262</v>
      </c>
      <c r="C1801" s="76">
        <v>13808000597073</v>
      </c>
      <c r="D1801" s="34">
        <v>1</v>
      </c>
      <c r="E1801" s="35" t="s">
        <v>3701</v>
      </c>
      <c r="F1801" s="35" t="s">
        <v>564</v>
      </c>
      <c r="G1801" s="106"/>
      <c r="H1801" s="33">
        <v>43221</v>
      </c>
      <c r="I1801" s="34">
        <v>1700581995</v>
      </c>
      <c r="J1801" s="36">
        <v>178.25</v>
      </c>
      <c r="K1801" t="s">
        <v>2030</v>
      </c>
    </row>
    <row r="1802" spans="1:11" x14ac:dyDescent="0.3">
      <c r="A1802" t="s">
        <v>1550</v>
      </c>
      <c r="B1802" s="33">
        <v>43262</v>
      </c>
      <c r="C1802" s="76">
        <v>13808000597073</v>
      </c>
      <c r="D1802" s="34">
        <v>1</v>
      </c>
      <c r="E1802" s="35" t="s">
        <v>3701</v>
      </c>
      <c r="F1802" s="35" t="s">
        <v>561</v>
      </c>
      <c r="G1802" s="106"/>
      <c r="H1802" s="33">
        <v>43221</v>
      </c>
      <c r="I1802" s="34">
        <v>1700581994</v>
      </c>
      <c r="J1802" s="36">
        <v>178.25</v>
      </c>
      <c r="K1802" t="s">
        <v>2030</v>
      </c>
    </row>
    <row r="1803" spans="1:11" x14ac:dyDescent="0.3">
      <c r="A1803" t="s">
        <v>1550</v>
      </c>
      <c r="B1803" s="33">
        <v>43262</v>
      </c>
      <c r="C1803" s="76">
        <v>13808000597073</v>
      </c>
      <c r="D1803" s="34">
        <v>1</v>
      </c>
      <c r="E1803" s="35" t="s">
        <v>3701</v>
      </c>
      <c r="F1803" s="35" t="s">
        <v>562</v>
      </c>
      <c r="G1803" s="106"/>
      <c r="H1803" s="33">
        <v>43221</v>
      </c>
      <c r="I1803" s="34">
        <v>1700581993</v>
      </c>
      <c r="J1803" s="36">
        <v>178.25</v>
      </c>
      <c r="K1803" t="s">
        <v>2030</v>
      </c>
    </row>
    <row r="1804" spans="1:11" x14ac:dyDescent="0.3">
      <c r="A1804" t="s">
        <v>1550</v>
      </c>
      <c r="B1804" s="33">
        <v>43262</v>
      </c>
      <c r="C1804" s="76">
        <v>13808000597073</v>
      </c>
      <c r="D1804" s="34">
        <v>1</v>
      </c>
      <c r="E1804" s="35" t="s">
        <v>3701</v>
      </c>
      <c r="F1804" s="35" t="s">
        <v>563</v>
      </c>
      <c r="G1804" s="106"/>
      <c r="H1804" s="33">
        <v>43221</v>
      </c>
      <c r="I1804" s="34">
        <v>1700581992</v>
      </c>
      <c r="J1804" s="36">
        <v>178.25</v>
      </c>
      <c r="K1804" t="s">
        <v>2030</v>
      </c>
    </row>
    <row r="1805" spans="1:11" x14ac:dyDescent="0.3">
      <c r="A1805" t="s">
        <v>1550</v>
      </c>
      <c r="B1805" s="33">
        <v>43262</v>
      </c>
      <c r="C1805" s="76">
        <v>13808000597073</v>
      </c>
      <c r="D1805" s="34">
        <v>1</v>
      </c>
      <c r="E1805" s="35" t="s">
        <v>3701</v>
      </c>
      <c r="F1805" s="35" t="s">
        <v>343</v>
      </c>
      <c r="G1805" s="106"/>
      <c r="H1805" s="33">
        <v>43221</v>
      </c>
      <c r="I1805" s="34">
        <v>1700581991</v>
      </c>
      <c r="J1805" s="36">
        <v>178.25</v>
      </c>
      <c r="K1805" t="s">
        <v>2030</v>
      </c>
    </row>
    <row r="1806" spans="1:11" x14ac:dyDescent="0.3">
      <c r="A1806" t="s">
        <v>1550</v>
      </c>
      <c r="B1806" s="33">
        <v>43262</v>
      </c>
      <c r="C1806" s="76">
        <v>13808000597073</v>
      </c>
      <c r="D1806" s="34">
        <v>1</v>
      </c>
      <c r="E1806" s="35" t="s">
        <v>3707</v>
      </c>
      <c r="F1806" s="35" t="s">
        <v>1356</v>
      </c>
      <c r="G1806" s="106"/>
      <c r="H1806" s="33">
        <v>43221</v>
      </c>
      <c r="I1806" s="34">
        <v>1700582071</v>
      </c>
      <c r="J1806" s="36">
        <v>232.5</v>
      </c>
      <c r="K1806" t="s">
        <v>2030</v>
      </c>
    </row>
    <row r="1807" spans="1:11" x14ac:dyDescent="0.3">
      <c r="A1807" t="s">
        <v>1550</v>
      </c>
      <c r="B1807" s="33">
        <v>43262</v>
      </c>
      <c r="C1807" s="76">
        <v>13808000597073</v>
      </c>
      <c r="D1807" s="34">
        <v>1</v>
      </c>
      <c r="E1807" s="35" t="s">
        <v>3707</v>
      </c>
      <c r="F1807" s="35" t="s">
        <v>1351</v>
      </c>
      <c r="G1807" s="106"/>
      <c r="H1807" s="33">
        <v>43221</v>
      </c>
      <c r="I1807" s="34">
        <v>1700582070</v>
      </c>
      <c r="J1807" s="36">
        <v>310</v>
      </c>
      <c r="K1807" t="s">
        <v>2030</v>
      </c>
    </row>
    <row r="1808" spans="1:11" x14ac:dyDescent="0.3">
      <c r="A1808" t="s">
        <v>1550</v>
      </c>
      <c r="B1808" s="33">
        <v>43262</v>
      </c>
      <c r="C1808" s="76">
        <v>13808000597073</v>
      </c>
      <c r="D1808" s="34">
        <v>1</v>
      </c>
      <c r="E1808" s="35" t="s">
        <v>3707</v>
      </c>
      <c r="F1808" s="35" t="s">
        <v>1353</v>
      </c>
      <c r="G1808" s="106"/>
      <c r="H1808" s="33">
        <v>43221</v>
      </c>
      <c r="I1808" s="34">
        <v>1700582069</v>
      </c>
      <c r="J1808" s="36">
        <v>232.5</v>
      </c>
      <c r="K1808" t="s">
        <v>2030</v>
      </c>
    </row>
    <row r="1809" spans="1:11" x14ac:dyDescent="0.3">
      <c r="A1809" t="s">
        <v>1550</v>
      </c>
      <c r="B1809" s="33">
        <v>43262</v>
      </c>
      <c r="C1809" s="76">
        <v>13808000597073</v>
      </c>
      <c r="D1809" s="34">
        <v>1</v>
      </c>
      <c r="E1809" s="35" t="s">
        <v>3707</v>
      </c>
      <c r="F1809" s="35" t="s">
        <v>1355</v>
      </c>
      <c r="G1809" s="106"/>
      <c r="H1809" s="33">
        <v>43221</v>
      </c>
      <c r="I1809" s="34">
        <v>1700582068</v>
      </c>
      <c r="J1809" s="36">
        <v>178.25</v>
      </c>
      <c r="K1809" t="s">
        <v>2030</v>
      </c>
    </row>
    <row r="1810" spans="1:11" x14ac:dyDescent="0.3">
      <c r="A1810" t="s">
        <v>1550</v>
      </c>
      <c r="B1810" s="33">
        <v>43262</v>
      </c>
      <c r="C1810" s="76">
        <v>13808000597073</v>
      </c>
      <c r="D1810" s="34">
        <v>1</v>
      </c>
      <c r="E1810" s="35" t="s">
        <v>3707</v>
      </c>
      <c r="F1810" s="35" t="s">
        <v>1346</v>
      </c>
      <c r="G1810" s="106"/>
      <c r="H1810" s="33">
        <v>43221</v>
      </c>
      <c r="I1810" s="34">
        <v>1700582067</v>
      </c>
      <c r="J1810" s="36">
        <v>232.5</v>
      </c>
      <c r="K1810" t="s">
        <v>2030</v>
      </c>
    </row>
    <row r="1811" spans="1:11" x14ac:dyDescent="0.3">
      <c r="A1811" t="s">
        <v>1550</v>
      </c>
      <c r="B1811" s="33">
        <v>43262</v>
      </c>
      <c r="C1811" s="76">
        <v>13808000597073</v>
      </c>
      <c r="D1811" s="34">
        <v>1</v>
      </c>
      <c r="E1811" s="35" t="s">
        <v>3707</v>
      </c>
      <c r="F1811" s="35" t="s">
        <v>1347</v>
      </c>
      <c r="G1811" s="106"/>
      <c r="H1811" s="33">
        <v>43221</v>
      </c>
      <c r="I1811" s="34">
        <v>1700582066</v>
      </c>
      <c r="J1811" s="36">
        <v>232.5</v>
      </c>
      <c r="K1811" t="s">
        <v>2030</v>
      </c>
    </row>
    <row r="1812" spans="1:11" x14ac:dyDescent="0.3">
      <c r="A1812" t="s">
        <v>1550</v>
      </c>
      <c r="B1812" s="33">
        <v>43262</v>
      </c>
      <c r="C1812" s="76">
        <v>13808000597073</v>
      </c>
      <c r="D1812" s="34">
        <v>1</v>
      </c>
      <c r="E1812" s="35" t="s">
        <v>3707</v>
      </c>
      <c r="F1812" s="35" t="s">
        <v>1343</v>
      </c>
      <c r="G1812" s="106"/>
      <c r="H1812" s="33">
        <v>43221</v>
      </c>
      <c r="I1812" s="34">
        <v>1700582065</v>
      </c>
      <c r="J1812" s="36">
        <v>178.25</v>
      </c>
      <c r="K1812" t="s">
        <v>2030</v>
      </c>
    </row>
    <row r="1813" spans="1:11" x14ac:dyDescent="0.3">
      <c r="A1813" t="s">
        <v>1550</v>
      </c>
      <c r="B1813" s="33">
        <v>43262</v>
      </c>
      <c r="C1813" s="76">
        <v>13808000597073</v>
      </c>
      <c r="D1813" s="34">
        <v>1</v>
      </c>
      <c r="E1813" s="35" t="s">
        <v>3707</v>
      </c>
      <c r="F1813" s="35" t="s">
        <v>1342</v>
      </c>
      <c r="G1813" s="106"/>
      <c r="H1813" s="33">
        <v>43221</v>
      </c>
      <c r="I1813" s="34">
        <v>1700582064</v>
      </c>
      <c r="J1813" s="36">
        <v>178.25</v>
      </c>
      <c r="K1813" t="s">
        <v>2030</v>
      </c>
    </row>
    <row r="1814" spans="1:11" x14ac:dyDescent="0.3">
      <c r="A1814" t="s">
        <v>1550</v>
      </c>
      <c r="B1814" s="33">
        <v>43262</v>
      </c>
      <c r="C1814" s="76">
        <v>13808000597073</v>
      </c>
      <c r="D1814" s="34">
        <v>1</v>
      </c>
      <c r="E1814" s="35" t="s">
        <v>3707</v>
      </c>
      <c r="F1814" s="35" t="s">
        <v>1344</v>
      </c>
      <c r="G1814" s="106"/>
      <c r="H1814" s="33">
        <v>43221</v>
      </c>
      <c r="I1814" s="34">
        <v>1700582063</v>
      </c>
      <c r="J1814" s="36">
        <v>178.25</v>
      </c>
      <c r="K1814" t="s">
        <v>2030</v>
      </c>
    </row>
    <row r="1815" spans="1:11" x14ac:dyDescent="0.3">
      <c r="A1815" t="s">
        <v>1550</v>
      </c>
      <c r="B1815" s="33">
        <v>43262</v>
      </c>
      <c r="C1815" s="76">
        <v>13808000597073</v>
      </c>
      <c r="D1815" s="34">
        <v>1</v>
      </c>
      <c r="E1815" s="35" t="s">
        <v>3707</v>
      </c>
      <c r="F1815" s="35" t="s">
        <v>1362</v>
      </c>
      <c r="G1815" s="106"/>
      <c r="H1815" s="33">
        <v>43221</v>
      </c>
      <c r="I1815" s="34">
        <v>1700582091</v>
      </c>
      <c r="J1815" s="36">
        <v>178.25</v>
      </c>
      <c r="K1815" t="s">
        <v>2030</v>
      </c>
    </row>
    <row r="1816" spans="1:11" x14ac:dyDescent="0.3">
      <c r="A1816" t="s">
        <v>1550</v>
      </c>
      <c r="B1816" s="33">
        <v>43262</v>
      </c>
      <c r="C1816" s="76">
        <v>13808000597073</v>
      </c>
      <c r="D1816" s="34">
        <v>1</v>
      </c>
      <c r="E1816" s="35" t="s">
        <v>3707</v>
      </c>
      <c r="F1816" s="35" t="s">
        <v>1358</v>
      </c>
      <c r="G1816" s="106"/>
      <c r="H1816" s="33">
        <v>43221</v>
      </c>
      <c r="I1816" s="34">
        <v>1700582085</v>
      </c>
      <c r="J1816" s="36">
        <v>178.25</v>
      </c>
      <c r="K1816" t="s">
        <v>2030</v>
      </c>
    </row>
    <row r="1817" spans="1:11" x14ac:dyDescent="0.3">
      <c r="A1817" t="s">
        <v>1550</v>
      </c>
      <c r="B1817" s="33">
        <v>43262</v>
      </c>
      <c r="C1817" s="76">
        <v>13808000597073</v>
      </c>
      <c r="D1817" s="34">
        <v>1</v>
      </c>
      <c r="E1817" s="35" t="s">
        <v>3707</v>
      </c>
      <c r="F1817" s="35" t="s">
        <v>1359</v>
      </c>
      <c r="G1817" s="106"/>
      <c r="H1817" s="33">
        <v>43221</v>
      </c>
      <c r="I1817" s="34">
        <v>1700582083</v>
      </c>
      <c r="J1817" s="36">
        <v>178.25</v>
      </c>
      <c r="K1817" t="s">
        <v>2030</v>
      </c>
    </row>
    <row r="1818" spans="1:11" x14ac:dyDescent="0.3">
      <c r="A1818" t="s">
        <v>1550</v>
      </c>
      <c r="B1818" s="33">
        <v>43262</v>
      </c>
      <c r="C1818" s="76">
        <v>13808000597073</v>
      </c>
      <c r="D1818" s="34">
        <v>1</v>
      </c>
      <c r="E1818" s="35" t="s">
        <v>3707</v>
      </c>
      <c r="F1818" s="35" t="s">
        <v>1361</v>
      </c>
      <c r="G1818" s="106"/>
      <c r="H1818" s="33">
        <v>43221</v>
      </c>
      <c r="I1818" s="34">
        <v>1700582082</v>
      </c>
      <c r="J1818" s="36">
        <v>178.25</v>
      </c>
      <c r="K1818" t="s">
        <v>2030</v>
      </c>
    </row>
    <row r="1819" spans="1:11" x14ac:dyDescent="0.3">
      <c r="A1819" t="s">
        <v>1550</v>
      </c>
      <c r="B1819" s="33">
        <v>43262</v>
      </c>
      <c r="C1819" s="76">
        <v>13808000597073</v>
      </c>
      <c r="D1819" s="34">
        <v>1</v>
      </c>
      <c r="E1819" s="35" t="s">
        <v>3707</v>
      </c>
      <c r="F1819" s="35" t="s">
        <v>1360</v>
      </c>
      <c r="G1819" s="106"/>
      <c r="H1819" s="33">
        <v>43221</v>
      </c>
      <c r="I1819" s="34">
        <v>1700582081</v>
      </c>
      <c r="J1819" s="36">
        <v>178.25</v>
      </c>
      <c r="K1819" t="s">
        <v>2030</v>
      </c>
    </row>
    <row r="1820" spans="1:11" x14ac:dyDescent="0.3">
      <c r="A1820" t="s">
        <v>1550</v>
      </c>
      <c r="B1820" s="33">
        <v>43262</v>
      </c>
      <c r="C1820" s="76">
        <v>13808000597073</v>
      </c>
      <c r="D1820" s="34">
        <v>1</v>
      </c>
      <c r="E1820" s="35" t="s">
        <v>3707</v>
      </c>
      <c r="F1820" s="35" t="s">
        <v>1357</v>
      </c>
      <c r="G1820" s="106"/>
      <c r="H1820" s="33">
        <v>43221</v>
      </c>
      <c r="I1820" s="34">
        <v>1700582080</v>
      </c>
      <c r="J1820" s="36">
        <v>178.25</v>
      </c>
      <c r="K1820" t="s">
        <v>2030</v>
      </c>
    </row>
    <row r="1821" spans="1:11" x14ac:dyDescent="0.3">
      <c r="A1821" t="s">
        <v>1550</v>
      </c>
      <c r="B1821" s="33">
        <v>43262</v>
      </c>
      <c r="C1821" s="76">
        <v>13808000597073</v>
      </c>
      <c r="D1821" s="34">
        <v>1</v>
      </c>
      <c r="E1821" s="35" t="s">
        <v>3707</v>
      </c>
      <c r="F1821" s="35" t="s">
        <v>1354</v>
      </c>
      <c r="G1821" s="106"/>
      <c r="H1821" s="33">
        <v>43221</v>
      </c>
      <c r="I1821" s="34">
        <v>1700582077</v>
      </c>
      <c r="J1821" s="36">
        <v>232.5</v>
      </c>
      <c r="K1821" t="s">
        <v>2030</v>
      </c>
    </row>
    <row r="1822" spans="1:11" x14ac:dyDescent="0.3">
      <c r="A1822" t="s">
        <v>1550</v>
      </c>
      <c r="B1822" s="33">
        <v>43262</v>
      </c>
      <c r="C1822" s="76">
        <v>13808000597073</v>
      </c>
      <c r="D1822" s="34">
        <v>1</v>
      </c>
      <c r="E1822" s="35" t="s">
        <v>3707</v>
      </c>
      <c r="F1822" s="35" t="s">
        <v>1349</v>
      </c>
      <c r="G1822" s="106"/>
      <c r="H1822" s="33">
        <v>43221</v>
      </c>
      <c r="I1822" s="34">
        <v>1700582076</v>
      </c>
      <c r="J1822" s="36">
        <v>178.25</v>
      </c>
      <c r="K1822" t="s">
        <v>2030</v>
      </c>
    </row>
    <row r="1823" spans="1:11" x14ac:dyDescent="0.3">
      <c r="A1823" t="s">
        <v>1550</v>
      </c>
      <c r="B1823" s="33">
        <v>43262</v>
      </c>
      <c r="C1823" s="76">
        <v>13808000597073</v>
      </c>
      <c r="D1823" s="34">
        <v>1</v>
      </c>
      <c r="E1823" s="35" t="s">
        <v>3707</v>
      </c>
      <c r="F1823" s="35" t="s">
        <v>1345</v>
      </c>
      <c r="G1823" s="106"/>
      <c r="H1823" s="33">
        <v>43221</v>
      </c>
      <c r="I1823" s="34">
        <v>1700582075</v>
      </c>
      <c r="J1823" s="36">
        <v>232.5</v>
      </c>
      <c r="K1823" t="s">
        <v>2030</v>
      </c>
    </row>
    <row r="1824" spans="1:11" x14ac:dyDescent="0.3">
      <c r="A1824" t="s">
        <v>1550</v>
      </c>
      <c r="B1824" s="33">
        <v>43262</v>
      </c>
      <c r="C1824" s="76">
        <v>13808000597073</v>
      </c>
      <c r="D1824" s="34">
        <v>1</v>
      </c>
      <c r="E1824" s="35" t="s">
        <v>3707</v>
      </c>
      <c r="F1824" s="35" t="s">
        <v>1352</v>
      </c>
      <c r="G1824" s="106"/>
      <c r="H1824" s="33">
        <v>43221</v>
      </c>
      <c r="I1824" s="34">
        <v>1700582074</v>
      </c>
      <c r="J1824" s="36">
        <v>232.5</v>
      </c>
      <c r="K1824" t="s">
        <v>2030</v>
      </c>
    </row>
    <row r="1825" spans="1:11" x14ac:dyDescent="0.3">
      <c r="A1825" t="s">
        <v>1550</v>
      </c>
      <c r="B1825" s="33">
        <v>43262</v>
      </c>
      <c r="C1825" s="76">
        <v>13808000597073</v>
      </c>
      <c r="D1825" s="34">
        <v>1</v>
      </c>
      <c r="E1825" s="35" t="s">
        <v>3707</v>
      </c>
      <c r="F1825" s="35" t="s">
        <v>1350</v>
      </c>
      <c r="G1825" s="106"/>
      <c r="H1825" s="33">
        <v>43221</v>
      </c>
      <c r="I1825" s="34">
        <v>1700582073</v>
      </c>
      <c r="J1825" s="36">
        <v>178.25</v>
      </c>
      <c r="K1825" t="s">
        <v>2030</v>
      </c>
    </row>
    <row r="1826" spans="1:11" x14ac:dyDescent="0.3">
      <c r="A1826" t="s">
        <v>1550</v>
      </c>
      <c r="B1826" s="33">
        <v>43262</v>
      </c>
      <c r="C1826" s="76">
        <v>13808000597073</v>
      </c>
      <c r="D1826" s="34">
        <v>1</v>
      </c>
      <c r="E1826" s="35" t="s">
        <v>3707</v>
      </c>
      <c r="F1826" s="35" t="s">
        <v>1348</v>
      </c>
      <c r="G1826" s="106"/>
      <c r="H1826" s="33">
        <v>43221</v>
      </c>
      <c r="I1826" s="34">
        <v>1700582072</v>
      </c>
      <c r="J1826" s="36">
        <v>232.5</v>
      </c>
      <c r="K1826" t="s">
        <v>2030</v>
      </c>
    </row>
    <row r="1827" spans="1:11" x14ac:dyDescent="0.3">
      <c r="A1827" t="s">
        <v>1550</v>
      </c>
      <c r="B1827" s="33">
        <v>43262</v>
      </c>
      <c r="C1827" s="76">
        <v>13808000597070</v>
      </c>
      <c r="D1827" s="34">
        <v>16</v>
      </c>
      <c r="E1827" s="35" t="s">
        <v>3703</v>
      </c>
      <c r="F1827" s="35" t="s">
        <v>49</v>
      </c>
      <c r="G1827" s="106"/>
      <c r="H1827" s="33">
        <v>43221</v>
      </c>
      <c r="I1827" s="34">
        <v>1700113337</v>
      </c>
      <c r="J1827" s="36">
        <v>641.96</v>
      </c>
      <c r="K1827" t="s">
        <v>2030</v>
      </c>
    </row>
    <row r="1828" spans="1:11" x14ac:dyDescent="0.3">
      <c r="A1828" t="s">
        <v>1550</v>
      </c>
      <c r="B1828" s="33">
        <v>43262</v>
      </c>
      <c r="C1828" s="76">
        <v>13808000597070</v>
      </c>
      <c r="D1828" s="34">
        <v>16</v>
      </c>
      <c r="E1828" s="35" t="s">
        <v>3703</v>
      </c>
      <c r="F1828" s="35" t="s">
        <v>52</v>
      </c>
      <c r="G1828" s="106"/>
      <c r="H1828" s="33">
        <v>43221</v>
      </c>
      <c r="I1828" s="34">
        <v>1700113338</v>
      </c>
      <c r="J1828" s="36">
        <v>213.99</v>
      </c>
      <c r="K1828" t="s">
        <v>2030</v>
      </c>
    </row>
    <row r="1829" spans="1:11" x14ac:dyDescent="0.3">
      <c r="A1829" t="s">
        <v>1550</v>
      </c>
      <c r="B1829" s="33">
        <v>43262</v>
      </c>
      <c r="C1829" s="76">
        <v>13808000597070</v>
      </c>
      <c r="D1829" s="34">
        <v>16</v>
      </c>
      <c r="E1829" s="35" t="s">
        <v>3703</v>
      </c>
      <c r="F1829" s="35" t="s">
        <v>53</v>
      </c>
      <c r="G1829" s="106"/>
      <c r="H1829" s="33">
        <v>43221</v>
      </c>
      <c r="I1829" s="34">
        <v>1700113339</v>
      </c>
      <c r="J1829" s="36">
        <v>855.94</v>
      </c>
      <c r="K1829" t="s">
        <v>2030</v>
      </c>
    </row>
    <row r="1830" spans="1:11" x14ac:dyDescent="0.3">
      <c r="A1830" t="s">
        <v>1550</v>
      </c>
      <c r="B1830" s="33">
        <v>43262</v>
      </c>
      <c r="C1830" s="76">
        <v>13808000597070</v>
      </c>
      <c r="D1830" s="34">
        <v>16</v>
      </c>
      <c r="E1830" s="35" t="s">
        <v>3703</v>
      </c>
      <c r="F1830" s="35" t="s">
        <v>54</v>
      </c>
      <c r="G1830" s="106"/>
      <c r="H1830" s="33">
        <v>43221</v>
      </c>
      <c r="I1830" s="34">
        <v>1700113340</v>
      </c>
      <c r="J1830" s="36">
        <v>641.96</v>
      </c>
      <c r="K1830" t="s">
        <v>2030</v>
      </c>
    </row>
    <row r="1831" spans="1:11" x14ac:dyDescent="0.3">
      <c r="A1831" t="s">
        <v>1550</v>
      </c>
      <c r="B1831" s="33">
        <v>43262</v>
      </c>
      <c r="C1831" s="76">
        <v>13808000597070</v>
      </c>
      <c r="D1831" s="34">
        <v>16</v>
      </c>
      <c r="E1831" s="35" t="s">
        <v>3703</v>
      </c>
      <c r="F1831" s="35" t="s">
        <v>50</v>
      </c>
      <c r="G1831" s="106"/>
      <c r="H1831" s="33">
        <v>43221</v>
      </c>
      <c r="I1831" s="34">
        <v>1700113341</v>
      </c>
      <c r="J1831" s="36">
        <v>1283.92</v>
      </c>
      <c r="K1831" t="s">
        <v>2030</v>
      </c>
    </row>
    <row r="1832" spans="1:11" x14ac:dyDescent="0.3">
      <c r="A1832" t="s">
        <v>1550</v>
      </c>
      <c r="B1832" s="33">
        <v>43262</v>
      </c>
      <c r="C1832" s="76">
        <v>13808000597070</v>
      </c>
      <c r="D1832" s="34">
        <v>16</v>
      </c>
      <c r="E1832" s="35" t="s">
        <v>3703</v>
      </c>
      <c r="F1832" s="35" t="s">
        <v>56</v>
      </c>
      <c r="G1832" s="106"/>
      <c r="H1832" s="33">
        <v>43221</v>
      </c>
      <c r="I1832" s="34">
        <v>1700113342</v>
      </c>
      <c r="J1832" s="36">
        <v>213.99</v>
      </c>
      <c r="K1832" t="s">
        <v>2030</v>
      </c>
    </row>
    <row r="1833" spans="1:11" x14ac:dyDescent="0.3">
      <c r="A1833" t="s">
        <v>1550</v>
      </c>
      <c r="B1833" s="33">
        <v>43262</v>
      </c>
      <c r="C1833" s="76">
        <v>13808000597070</v>
      </c>
      <c r="D1833" s="34">
        <v>16</v>
      </c>
      <c r="E1833" s="35" t="s">
        <v>3703</v>
      </c>
      <c r="F1833" s="35" t="s">
        <v>55</v>
      </c>
      <c r="G1833" s="106"/>
      <c r="H1833" s="33">
        <v>43221</v>
      </c>
      <c r="I1833" s="34">
        <v>1700113343</v>
      </c>
      <c r="J1833" s="36">
        <v>427.97</v>
      </c>
      <c r="K1833" t="s">
        <v>2030</v>
      </c>
    </row>
    <row r="1834" spans="1:11" x14ac:dyDescent="0.3">
      <c r="A1834" t="s">
        <v>1550</v>
      </c>
      <c r="B1834" s="33">
        <v>43262</v>
      </c>
      <c r="C1834" s="76">
        <v>13808000597070</v>
      </c>
      <c r="D1834" s="34">
        <v>16</v>
      </c>
      <c r="E1834" s="35" t="s">
        <v>3703</v>
      </c>
      <c r="F1834" s="35" t="s">
        <v>59</v>
      </c>
      <c r="G1834" s="106"/>
      <c r="H1834" s="33">
        <v>43221</v>
      </c>
      <c r="I1834" s="34">
        <v>1700113344</v>
      </c>
      <c r="J1834" s="36">
        <v>641.96</v>
      </c>
      <c r="K1834" t="s">
        <v>2030</v>
      </c>
    </row>
    <row r="1835" spans="1:11" x14ac:dyDescent="0.3">
      <c r="A1835" t="s">
        <v>1550</v>
      </c>
      <c r="B1835" s="33">
        <v>43262</v>
      </c>
      <c r="C1835" s="76">
        <v>13808000597070</v>
      </c>
      <c r="D1835" s="34">
        <v>16</v>
      </c>
      <c r="E1835" s="35" t="s">
        <v>3703</v>
      </c>
      <c r="F1835" s="35" t="s">
        <v>58</v>
      </c>
      <c r="G1835" s="106"/>
      <c r="H1835" s="33">
        <v>43221</v>
      </c>
      <c r="I1835" s="34">
        <v>1700113352</v>
      </c>
      <c r="J1835" s="36">
        <v>427.97</v>
      </c>
      <c r="K1835" t="s">
        <v>2030</v>
      </c>
    </row>
    <row r="1836" spans="1:11" x14ac:dyDescent="0.3">
      <c r="A1836" t="s">
        <v>1550</v>
      </c>
      <c r="B1836" s="33">
        <v>43262</v>
      </c>
      <c r="C1836" s="76">
        <v>13808000597070</v>
      </c>
      <c r="D1836" s="34">
        <v>16</v>
      </c>
      <c r="E1836" s="35" t="s">
        <v>3703</v>
      </c>
      <c r="F1836" s="35" t="s">
        <v>57</v>
      </c>
      <c r="G1836" s="106"/>
      <c r="H1836" s="33">
        <v>43221</v>
      </c>
      <c r="I1836" s="34">
        <v>1700113353</v>
      </c>
      <c r="J1836" s="36">
        <v>213.99</v>
      </c>
      <c r="K1836" t="s">
        <v>2030</v>
      </c>
    </row>
    <row r="1837" spans="1:11" x14ac:dyDescent="0.3">
      <c r="A1837" t="s">
        <v>1550</v>
      </c>
      <c r="B1837" s="33">
        <v>43262</v>
      </c>
      <c r="C1837" s="76">
        <v>13808000597070</v>
      </c>
      <c r="D1837" s="34">
        <v>16</v>
      </c>
      <c r="E1837" s="35" t="s">
        <v>3703</v>
      </c>
      <c r="F1837" s="35" t="s">
        <v>51</v>
      </c>
      <c r="G1837" s="106"/>
      <c r="H1837" s="33">
        <v>43221</v>
      </c>
      <c r="I1837" s="34">
        <v>1700113354</v>
      </c>
      <c r="J1837" s="36">
        <v>213.99</v>
      </c>
      <c r="K1837" t="s">
        <v>2030</v>
      </c>
    </row>
    <row r="1838" spans="1:11" x14ac:dyDescent="0.3">
      <c r="A1838" t="s">
        <v>1550</v>
      </c>
      <c r="B1838" s="33">
        <v>43262</v>
      </c>
      <c r="C1838" s="76">
        <v>13808000597071</v>
      </c>
      <c r="D1838" s="34">
        <v>2000</v>
      </c>
      <c r="E1838" s="35" t="s">
        <v>3703</v>
      </c>
      <c r="F1838" s="35" t="s">
        <v>68</v>
      </c>
      <c r="G1838" s="106"/>
      <c r="H1838" s="33">
        <v>43221</v>
      </c>
      <c r="I1838" s="34">
        <v>1700127369</v>
      </c>
      <c r="J1838" s="36">
        <v>641.96</v>
      </c>
      <c r="K1838" t="s">
        <v>2030</v>
      </c>
    </row>
    <row r="1839" spans="1:11" x14ac:dyDescent="0.3">
      <c r="A1839" t="s">
        <v>1550</v>
      </c>
      <c r="B1839" s="33">
        <v>43262</v>
      </c>
      <c r="C1839" s="76">
        <v>13808000597071</v>
      </c>
      <c r="D1839" s="34">
        <v>2000</v>
      </c>
      <c r="E1839" s="35" t="s">
        <v>3703</v>
      </c>
      <c r="F1839" s="35" t="s">
        <v>65</v>
      </c>
      <c r="G1839" s="106"/>
      <c r="H1839" s="33">
        <v>43221</v>
      </c>
      <c r="I1839" s="34">
        <v>1700127353</v>
      </c>
      <c r="J1839" s="36">
        <v>2353.85</v>
      </c>
      <c r="K1839" t="s">
        <v>2030</v>
      </c>
    </row>
    <row r="1840" spans="1:11" x14ac:dyDescent="0.3">
      <c r="A1840" t="s">
        <v>1550</v>
      </c>
      <c r="B1840" s="33">
        <v>43262</v>
      </c>
      <c r="C1840" s="76">
        <v>13808000597071</v>
      </c>
      <c r="D1840" s="34">
        <v>2000</v>
      </c>
      <c r="E1840" s="35" t="s">
        <v>3703</v>
      </c>
      <c r="F1840" s="35" t="s">
        <v>69</v>
      </c>
      <c r="G1840" s="106"/>
      <c r="H1840" s="33">
        <v>43221</v>
      </c>
      <c r="I1840" s="34">
        <v>1700127352</v>
      </c>
      <c r="J1840" s="36">
        <v>2139.86</v>
      </c>
      <c r="K1840" t="s">
        <v>2030</v>
      </c>
    </row>
    <row r="1841" spans="1:11" x14ac:dyDescent="0.3">
      <c r="A1841" t="s">
        <v>1550</v>
      </c>
      <c r="B1841" s="33">
        <v>43262</v>
      </c>
      <c r="C1841" s="76">
        <v>13808000597071</v>
      </c>
      <c r="D1841" s="34">
        <v>2000</v>
      </c>
      <c r="E1841" s="35" t="s">
        <v>3703</v>
      </c>
      <c r="F1841" s="35" t="s">
        <v>67</v>
      </c>
      <c r="G1841" s="106"/>
      <c r="H1841" s="33">
        <v>43221</v>
      </c>
      <c r="I1841" s="34">
        <v>1700127351</v>
      </c>
      <c r="J1841" s="36">
        <v>213.99</v>
      </c>
      <c r="K1841" t="s">
        <v>2030</v>
      </c>
    </row>
    <row r="1842" spans="1:11" x14ac:dyDescent="0.3">
      <c r="A1842" t="s">
        <v>1550</v>
      </c>
      <c r="B1842" s="33">
        <v>43262</v>
      </c>
      <c r="C1842" s="76">
        <v>13808000597071</v>
      </c>
      <c r="D1842" s="34">
        <v>2000</v>
      </c>
      <c r="E1842" s="35" t="s">
        <v>3703</v>
      </c>
      <c r="F1842" s="35" t="s">
        <v>64</v>
      </c>
      <c r="G1842" s="106"/>
      <c r="H1842" s="33">
        <v>43221</v>
      </c>
      <c r="I1842" s="34">
        <v>1700127350</v>
      </c>
      <c r="J1842" s="36">
        <v>2139.86</v>
      </c>
      <c r="K1842" t="s">
        <v>2030</v>
      </c>
    </row>
    <row r="1843" spans="1:11" x14ac:dyDescent="0.3">
      <c r="A1843" t="s">
        <v>1550</v>
      </c>
      <c r="B1843" s="33">
        <v>43262</v>
      </c>
      <c r="C1843" s="76">
        <v>13808000597071</v>
      </c>
      <c r="D1843" s="34">
        <v>2000</v>
      </c>
      <c r="E1843" s="35" t="s">
        <v>3703</v>
      </c>
      <c r="F1843" s="35" t="s">
        <v>66</v>
      </c>
      <c r="G1843" s="106"/>
      <c r="H1843" s="33">
        <v>43221</v>
      </c>
      <c r="I1843" s="34">
        <v>1700127349</v>
      </c>
      <c r="J1843" s="36">
        <v>1069.93</v>
      </c>
      <c r="K1843" t="s">
        <v>2030</v>
      </c>
    </row>
    <row r="1844" spans="1:11" x14ac:dyDescent="0.3">
      <c r="A1844" t="s">
        <v>1550</v>
      </c>
      <c r="B1844" s="33">
        <v>43262</v>
      </c>
      <c r="C1844" s="76">
        <v>13808000597071</v>
      </c>
      <c r="D1844" s="34">
        <v>2000</v>
      </c>
      <c r="E1844" s="35" t="s">
        <v>3703</v>
      </c>
      <c r="F1844" s="35" t="s">
        <v>60</v>
      </c>
      <c r="G1844" s="106"/>
      <c r="H1844" s="33">
        <v>43221</v>
      </c>
      <c r="I1844" s="34">
        <v>1700127348</v>
      </c>
      <c r="J1844" s="36">
        <v>641.96</v>
      </c>
      <c r="K1844" t="s">
        <v>2030</v>
      </c>
    </row>
    <row r="1845" spans="1:11" x14ac:dyDescent="0.3">
      <c r="A1845" t="s">
        <v>1550</v>
      </c>
      <c r="B1845" s="33">
        <v>43262</v>
      </c>
      <c r="C1845" s="76">
        <v>13808000597071</v>
      </c>
      <c r="D1845" s="34">
        <v>2000</v>
      </c>
      <c r="E1845" s="35" t="s">
        <v>3703</v>
      </c>
      <c r="F1845" s="35" t="s">
        <v>61</v>
      </c>
      <c r="G1845" s="106"/>
      <c r="H1845" s="33">
        <v>43221</v>
      </c>
      <c r="I1845" s="34">
        <v>1700127347</v>
      </c>
      <c r="J1845" s="36">
        <v>427.97</v>
      </c>
      <c r="K1845" t="s">
        <v>2030</v>
      </c>
    </row>
    <row r="1846" spans="1:11" x14ac:dyDescent="0.3">
      <c r="A1846" t="s">
        <v>1550</v>
      </c>
      <c r="B1846" s="33">
        <v>43262</v>
      </c>
      <c r="C1846" s="76">
        <v>13808000597071</v>
      </c>
      <c r="D1846" s="34">
        <v>2000</v>
      </c>
      <c r="E1846" s="35" t="s">
        <v>3703</v>
      </c>
      <c r="F1846" s="35" t="s">
        <v>62</v>
      </c>
      <c r="G1846" s="106"/>
      <c r="H1846" s="33">
        <v>43221</v>
      </c>
      <c r="I1846" s="34">
        <v>1700127346</v>
      </c>
      <c r="J1846" s="36">
        <v>2139.86</v>
      </c>
      <c r="K1846" t="s">
        <v>2030</v>
      </c>
    </row>
    <row r="1847" spans="1:11" x14ac:dyDescent="0.3">
      <c r="A1847" t="s">
        <v>1550</v>
      </c>
      <c r="B1847" s="33">
        <v>43262</v>
      </c>
      <c r="C1847" s="76">
        <v>13808000597071</v>
      </c>
      <c r="D1847" s="34">
        <v>2000</v>
      </c>
      <c r="E1847" s="35" t="s">
        <v>3703</v>
      </c>
      <c r="F1847" s="35" t="s">
        <v>63</v>
      </c>
      <c r="G1847" s="106"/>
      <c r="H1847" s="33">
        <v>43221</v>
      </c>
      <c r="I1847" s="34">
        <v>1700127345</v>
      </c>
      <c r="J1847" s="36">
        <v>2995.81</v>
      </c>
      <c r="K1847" t="s">
        <v>2030</v>
      </c>
    </row>
    <row r="1848" spans="1:11" x14ac:dyDescent="0.3">
      <c r="A1848" t="s">
        <v>1550</v>
      </c>
      <c r="B1848" s="33">
        <v>43262</v>
      </c>
      <c r="C1848" s="76">
        <v>13808000597073</v>
      </c>
      <c r="D1848" s="34">
        <v>1</v>
      </c>
      <c r="E1848" s="35" t="s">
        <v>3703</v>
      </c>
      <c r="F1848" s="35" t="s">
        <v>13</v>
      </c>
      <c r="G1848" s="106"/>
      <c r="H1848" s="33">
        <v>43221</v>
      </c>
      <c r="I1848" s="34">
        <v>1700581803</v>
      </c>
      <c r="J1848" s="36">
        <v>641.96</v>
      </c>
      <c r="K1848" t="s">
        <v>2030</v>
      </c>
    </row>
    <row r="1849" spans="1:11" x14ac:dyDescent="0.3">
      <c r="A1849" t="s">
        <v>1550</v>
      </c>
      <c r="B1849" s="33">
        <v>43262</v>
      </c>
      <c r="C1849" s="76">
        <v>13808000597073</v>
      </c>
      <c r="D1849" s="34">
        <v>1</v>
      </c>
      <c r="E1849" s="35" t="s">
        <v>3703</v>
      </c>
      <c r="F1849" s="35" t="s">
        <v>12</v>
      </c>
      <c r="G1849" s="106"/>
      <c r="H1849" s="33">
        <v>43221</v>
      </c>
      <c r="I1849" s="34">
        <v>1700581802</v>
      </c>
      <c r="J1849" s="36">
        <v>213.99</v>
      </c>
      <c r="K1849" t="s">
        <v>2030</v>
      </c>
    </row>
    <row r="1850" spans="1:11" x14ac:dyDescent="0.3">
      <c r="A1850" t="s">
        <v>1550</v>
      </c>
      <c r="B1850" s="33">
        <v>43262</v>
      </c>
      <c r="C1850" s="76">
        <v>13808000597073</v>
      </c>
      <c r="D1850" s="34">
        <v>1</v>
      </c>
      <c r="E1850" s="35" t="s">
        <v>3703</v>
      </c>
      <c r="F1850" s="35" t="s">
        <v>14</v>
      </c>
      <c r="G1850" s="106"/>
      <c r="H1850" s="33">
        <v>43221</v>
      </c>
      <c r="I1850" s="34">
        <v>1700581801</v>
      </c>
      <c r="J1850" s="36">
        <v>427.97</v>
      </c>
      <c r="K1850" t="s">
        <v>2030</v>
      </c>
    </row>
    <row r="1851" spans="1:11" x14ac:dyDescent="0.3">
      <c r="A1851" t="s">
        <v>1550</v>
      </c>
      <c r="B1851" s="33">
        <v>43262</v>
      </c>
      <c r="C1851" s="76">
        <v>13808000597073</v>
      </c>
      <c r="D1851" s="34">
        <v>1</v>
      </c>
      <c r="E1851" s="35" t="s">
        <v>3703</v>
      </c>
      <c r="F1851" s="35" t="s">
        <v>27</v>
      </c>
      <c r="G1851" s="106"/>
      <c r="H1851" s="33">
        <v>43221</v>
      </c>
      <c r="I1851" s="34">
        <v>1700581800</v>
      </c>
      <c r="J1851" s="36">
        <v>427.97</v>
      </c>
      <c r="K1851" t="s">
        <v>2030</v>
      </c>
    </row>
    <row r="1852" spans="1:11" x14ac:dyDescent="0.3">
      <c r="A1852" t="s">
        <v>1550</v>
      </c>
      <c r="B1852" s="33">
        <v>43262</v>
      </c>
      <c r="C1852" s="76">
        <v>13808000597073</v>
      </c>
      <c r="D1852" s="34">
        <v>1</v>
      </c>
      <c r="E1852" s="35" t="s">
        <v>3703</v>
      </c>
      <c r="F1852" s="35" t="s">
        <v>10</v>
      </c>
      <c r="G1852" s="106"/>
      <c r="H1852" s="33">
        <v>43221</v>
      </c>
      <c r="I1852" s="34">
        <v>1700581798</v>
      </c>
      <c r="J1852" s="36">
        <v>641.96</v>
      </c>
      <c r="K1852" t="s">
        <v>2030</v>
      </c>
    </row>
    <row r="1853" spans="1:11" x14ac:dyDescent="0.3">
      <c r="A1853" t="s">
        <v>1550</v>
      </c>
      <c r="B1853" s="33">
        <v>43262</v>
      </c>
      <c r="C1853" s="76">
        <v>13808000597073</v>
      </c>
      <c r="D1853" s="34">
        <v>1</v>
      </c>
      <c r="E1853" s="35" t="s">
        <v>3703</v>
      </c>
      <c r="F1853" s="35" t="s">
        <v>37</v>
      </c>
      <c r="G1853" s="106"/>
      <c r="H1853" s="33">
        <v>43221</v>
      </c>
      <c r="I1853" s="34">
        <v>1700581780</v>
      </c>
      <c r="J1853" s="36">
        <v>1069.93</v>
      </c>
      <c r="K1853" t="s">
        <v>2030</v>
      </c>
    </row>
    <row r="1854" spans="1:11" x14ac:dyDescent="0.3">
      <c r="A1854" t="s">
        <v>1550</v>
      </c>
      <c r="B1854" s="33">
        <v>43262</v>
      </c>
      <c r="C1854" s="76">
        <v>13808000597073</v>
      </c>
      <c r="D1854" s="34">
        <v>1</v>
      </c>
      <c r="E1854" s="35" t="s">
        <v>3703</v>
      </c>
      <c r="F1854" s="35" t="s">
        <v>38</v>
      </c>
      <c r="G1854" s="106"/>
      <c r="H1854" s="33">
        <v>43221</v>
      </c>
      <c r="I1854" s="34">
        <v>1700581779</v>
      </c>
      <c r="J1854" s="36">
        <v>213.99</v>
      </c>
      <c r="K1854" t="s">
        <v>2030</v>
      </c>
    </row>
    <row r="1855" spans="1:11" x14ac:dyDescent="0.3">
      <c r="A1855" t="s">
        <v>1550</v>
      </c>
      <c r="B1855" s="33">
        <v>43262</v>
      </c>
      <c r="C1855" s="76">
        <v>13808000597073</v>
      </c>
      <c r="D1855" s="34">
        <v>1</v>
      </c>
      <c r="E1855" s="35" t="s">
        <v>3703</v>
      </c>
      <c r="F1855" s="35" t="s">
        <v>28</v>
      </c>
      <c r="G1855" s="106"/>
      <c r="H1855" s="33">
        <v>43221</v>
      </c>
      <c r="I1855" s="34">
        <v>1700581778</v>
      </c>
      <c r="J1855" s="36">
        <v>427.97</v>
      </c>
      <c r="K1855" t="s">
        <v>2030</v>
      </c>
    </row>
    <row r="1856" spans="1:11" x14ac:dyDescent="0.3">
      <c r="A1856" t="s">
        <v>1550</v>
      </c>
      <c r="B1856" s="33">
        <v>43262</v>
      </c>
      <c r="C1856" s="76">
        <v>13808000597073</v>
      </c>
      <c r="D1856" s="34">
        <v>1</v>
      </c>
      <c r="E1856" s="35" t="s">
        <v>3703</v>
      </c>
      <c r="F1856" s="35" t="s">
        <v>22</v>
      </c>
      <c r="G1856" s="106"/>
      <c r="H1856" s="33">
        <v>43221</v>
      </c>
      <c r="I1856" s="34">
        <v>1700581777</v>
      </c>
      <c r="J1856" s="36">
        <v>213.99</v>
      </c>
      <c r="K1856" t="s">
        <v>2030</v>
      </c>
    </row>
    <row r="1857" spans="1:11" x14ac:dyDescent="0.3">
      <c r="A1857" t="s">
        <v>1550</v>
      </c>
      <c r="B1857" s="33">
        <v>43262</v>
      </c>
      <c r="C1857" s="76">
        <v>13808000597073</v>
      </c>
      <c r="D1857" s="34">
        <v>1</v>
      </c>
      <c r="E1857" s="35" t="s">
        <v>3703</v>
      </c>
      <c r="F1857" s="35" t="s">
        <v>39</v>
      </c>
      <c r="G1857" s="106"/>
      <c r="H1857" s="33">
        <v>43221</v>
      </c>
      <c r="I1857" s="34">
        <v>1700581776</v>
      </c>
      <c r="J1857" s="36">
        <v>641.96</v>
      </c>
      <c r="K1857" t="s">
        <v>2030</v>
      </c>
    </row>
    <row r="1858" spans="1:11" x14ac:dyDescent="0.3">
      <c r="A1858" t="s">
        <v>1550</v>
      </c>
      <c r="B1858" s="33">
        <v>43262</v>
      </c>
      <c r="C1858" s="76">
        <v>13808000597073</v>
      </c>
      <c r="D1858" s="34">
        <v>1</v>
      </c>
      <c r="E1858" s="35" t="s">
        <v>3703</v>
      </c>
      <c r="F1858" s="35" t="s">
        <v>26</v>
      </c>
      <c r="G1858" s="106"/>
      <c r="H1858" s="33">
        <v>43221</v>
      </c>
      <c r="I1858" s="34">
        <v>1700581775</v>
      </c>
      <c r="J1858" s="36">
        <v>6847.56</v>
      </c>
      <c r="K1858" t="s">
        <v>2030</v>
      </c>
    </row>
    <row r="1859" spans="1:11" x14ac:dyDescent="0.3">
      <c r="A1859" t="s">
        <v>1550</v>
      </c>
      <c r="B1859" s="33">
        <v>43262</v>
      </c>
      <c r="C1859" s="76">
        <v>13808000597073</v>
      </c>
      <c r="D1859" s="34">
        <v>1</v>
      </c>
      <c r="E1859" s="35" t="s">
        <v>3703</v>
      </c>
      <c r="F1859" s="35" t="s">
        <v>20</v>
      </c>
      <c r="G1859" s="106"/>
      <c r="H1859" s="33">
        <v>43221</v>
      </c>
      <c r="I1859" s="34">
        <v>1700581774</v>
      </c>
      <c r="J1859" s="36">
        <v>855.94</v>
      </c>
      <c r="K1859" t="s">
        <v>2030</v>
      </c>
    </row>
    <row r="1860" spans="1:11" x14ac:dyDescent="0.3">
      <c r="A1860" t="s">
        <v>1550</v>
      </c>
      <c r="B1860" s="33">
        <v>43262</v>
      </c>
      <c r="C1860" s="76">
        <v>13808000597073</v>
      </c>
      <c r="D1860" s="34">
        <v>1</v>
      </c>
      <c r="E1860" s="35" t="s">
        <v>3703</v>
      </c>
      <c r="F1860" s="35" t="s">
        <v>21</v>
      </c>
      <c r="G1860" s="106"/>
      <c r="H1860" s="33">
        <v>43221</v>
      </c>
      <c r="I1860" s="34">
        <v>1700581773</v>
      </c>
      <c r="J1860" s="36">
        <v>213.99</v>
      </c>
      <c r="K1860" t="s">
        <v>2030</v>
      </c>
    </row>
    <row r="1861" spans="1:11" x14ac:dyDescent="0.3">
      <c r="A1861" t="s">
        <v>1550</v>
      </c>
      <c r="B1861" s="33">
        <v>43262</v>
      </c>
      <c r="C1861" s="76">
        <v>13808000597073</v>
      </c>
      <c r="D1861" s="34">
        <v>1</v>
      </c>
      <c r="E1861" s="35" t="s">
        <v>3703</v>
      </c>
      <c r="F1861" s="35" t="s">
        <v>24</v>
      </c>
      <c r="G1861" s="106"/>
      <c r="H1861" s="33">
        <v>43221</v>
      </c>
      <c r="I1861" s="34">
        <v>1700581772</v>
      </c>
      <c r="J1861" s="36">
        <v>213.99</v>
      </c>
      <c r="K1861" t="s">
        <v>2030</v>
      </c>
    </row>
    <row r="1862" spans="1:11" x14ac:dyDescent="0.3">
      <c r="A1862" t="s">
        <v>1550</v>
      </c>
      <c r="B1862" s="33">
        <v>43262</v>
      </c>
      <c r="C1862" s="76">
        <v>13808000597073</v>
      </c>
      <c r="D1862" s="34">
        <v>1</v>
      </c>
      <c r="E1862" s="35" t="s">
        <v>3703</v>
      </c>
      <c r="F1862" s="35" t="s">
        <v>25</v>
      </c>
      <c r="G1862" s="106"/>
      <c r="H1862" s="33">
        <v>43221</v>
      </c>
      <c r="I1862" s="34">
        <v>1700581771</v>
      </c>
      <c r="J1862" s="36">
        <v>213.99</v>
      </c>
      <c r="K1862" t="s">
        <v>2030</v>
      </c>
    </row>
    <row r="1863" spans="1:11" x14ac:dyDescent="0.3">
      <c r="A1863" t="s">
        <v>1550</v>
      </c>
      <c r="B1863" s="33">
        <v>43262</v>
      </c>
      <c r="C1863" s="76">
        <v>13808000597073</v>
      </c>
      <c r="D1863" s="34">
        <v>1</v>
      </c>
      <c r="E1863" s="35" t="s">
        <v>3703</v>
      </c>
      <c r="F1863" s="35" t="s">
        <v>15</v>
      </c>
      <c r="G1863" s="106"/>
      <c r="H1863" s="33">
        <v>43221</v>
      </c>
      <c r="I1863" s="34">
        <v>1700581770</v>
      </c>
      <c r="J1863" s="36">
        <v>1925.88</v>
      </c>
      <c r="K1863" t="s">
        <v>2030</v>
      </c>
    </row>
    <row r="1864" spans="1:11" x14ac:dyDescent="0.3">
      <c r="A1864" t="s">
        <v>1550</v>
      </c>
      <c r="B1864" s="33">
        <v>43262</v>
      </c>
      <c r="C1864" s="76">
        <v>13808000597073</v>
      </c>
      <c r="D1864" s="34">
        <v>1</v>
      </c>
      <c r="E1864" s="35" t="s">
        <v>3703</v>
      </c>
      <c r="F1864" s="35" t="s">
        <v>17</v>
      </c>
      <c r="G1864" s="106"/>
      <c r="H1864" s="33">
        <v>43221</v>
      </c>
      <c r="I1864" s="34">
        <v>1700581769</v>
      </c>
      <c r="J1864" s="36">
        <v>641.96</v>
      </c>
      <c r="K1864" t="s">
        <v>2030</v>
      </c>
    </row>
    <row r="1865" spans="1:11" x14ac:dyDescent="0.3">
      <c r="A1865" t="s">
        <v>1550</v>
      </c>
      <c r="B1865" s="33">
        <v>43262</v>
      </c>
      <c r="C1865" s="76">
        <v>13808000597073</v>
      </c>
      <c r="D1865" s="34">
        <v>1</v>
      </c>
      <c r="E1865" s="35" t="s">
        <v>3703</v>
      </c>
      <c r="F1865" s="35" t="s">
        <v>18</v>
      </c>
      <c r="G1865" s="106"/>
      <c r="H1865" s="33">
        <v>43221</v>
      </c>
      <c r="I1865" s="34">
        <v>1700581768</v>
      </c>
      <c r="J1865" s="36">
        <v>213.99</v>
      </c>
      <c r="K1865" t="s">
        <v>2030</v>
      </c>
    </row>
    <row r="1866" spans="1:11" x14ac:dyDescent="0.3">
      <c r="A1866" t="s">
        <v>1550</v>
      </c>
      <c r="B1866" s="33">
        <v>43262</v>
      </c>
      <c r="C1866" s="76">
        <v>13808000597073</v>
      </c>
      <c r="D1866" s="34">
        <v>1</v>
      </c>
      <c r="E1866" s="35" t="s">
        <v>3703</v>
      </c>
      <c r="F1866" s="35" t="s">
        <v>23</v>
      </c>
      <c r="G1866" s="106"/>
      <c r="H1866" s="33">
        <v>43221</v>
      </c>
      <c r="I1866" s="34">
        <v>1700581767</v>
      </c>
      <c r="J1866" s="36">
        <v>427.97</v>
      </c>
      <c r="K1866" t="s">
        <v>2030</v>
      </c>
    </row>
    <row r="1867" spans="1:11" x14ac:dyDescent="0.3">
      <c r="A1867" t="s">
        <v>1550</v>
      </c>
      <c r="B1867" s="33">
        <v>43262</v>
      </c>
      <c r="C1867" s="76">
        <v>13808000597073</v>
      </c>
      <c r="D1867" s="34">
        <v>1</v>
      </c>
      <c r="E1867" s="35" t="s">
        <v>3703</v>
      </c>
      <c r="F1867" s="35" t="s">
        <v>19</v>
      </c>
      <c r="G1867" s="106"/>
      <c r="H1867" s="33">
        <v>43221</v>
      </c>
      <c r="I1867" s="34">
        <v>1700581766</v>
      </c>
      <c r="J1867" s="36">
        <v>641.96</v>
      </c>
      <c r="K1867" t="s">
        <v>2030</v>
      </c>
    </row>
    <row r="1868" spans="1:11" x14ac:dyDescent="0.3">
      <c r="A1868" t="s">
        <v>1550</v>
      </c>
      <c r="B1868" s="33">
        <v>43262</v>
      </c>
      <c r="C1868" s="76">
        <v>13808000597073</v>
      </c>
      <c r="D1868" s="34">
        <v>1</v>
      </c>
      <c r="E1868" s="35" t="s">
        <v>3703</v>
      </c>
      <c r="F1868" s="35" t="s">
        <v>16</v>
      </c>
      <c r="G1868" s="106"/>
      <c r="H1868" s="33">
        <v>43221</v>
      </c>
      <c r="I1868" s="34">
        <v>1700581765</v>
      </c>
      <c r="J1868" s="36">
        <v>213.99</v>
      </c>
      <c r="K1868" t="s">
        <v>2030</v>
      </c>
    </row>
    <row r="1869" spans="1:11" x14ac:dyDescent="0.3">
      <c r="A1869" t="s">
        <v>1550</v>
      </c>
      <c r="B1869" s="33">
        <v>43262</v>
      </c>
      <c r="C1869" s="76">
        <v>13808000597073</v>
      </c>
      <c r="D1869" s="34">
        <v>1</v>
      </c>
      <c r="E1869" s="35" t="s">
        <v>3703</v>
      </c>
      <c r="F1869" s="35" t="s">
        <v>295</v>
      </c>
      <c r="G1869" s="106"/>
      <c r="H1869" s="33">
        <v>43221</v>
      </c>
      <c r="I1869" s="34">
        <v>1700581764</v>
      </c>
      <c r="J1869" s="36">
        <v>213.99</v>
      </c>
      <c r="K1869" t="s">
        <v>2030</v>
      </c>
    </row>
    <row r="1870" spans="1:11" x14ac:dyDescent="0.3">
      <c r="A1870" t="s">
        <v>1550</v>
      </c>
      <c r="B1870" s="33">
        <v>43262</v>
      </c>
      <c r="C1870" s="76">
        <v>13808000597073</v>
      </c>
      <c r="D1870" s="34">
        <v>1</v>
      </c>
      <c r="E1870" s="35" t="s">
        <v>3703</v>
      </c>
      <c r="F1870" s="35" t="s">
        <v>8</v>
      </c>
      <c r="G1870" s="106"/>
      <c r="H1870" s="33">
        <v>43221</v>
      </c>
      <c r="I1870" s="34">
        <v>1700581763</v>
      </c>
      <c r="J1870" s="36">
        <v>1069.93</v>
      </c>
      <c r="K1870" t="s">
        <v>2030</v>
      </c>
    </row>
    <row r="1871" spans="1:11" x14ac:dyDescent="0.3">
      <c r="A1871" t="s">
        <v>1550</v>
      </c>
      <c r="B1871" s="33">
        <v>43262</v>
      </c>
      <c r="C1871" s="76">
        <v>13808000597073</v>
      </c>
      <c r="D1871" s="34">
        <v>1</v>
      </c>
      <c r="E1871" s="35" t="s">
        <v>3703</v>
      </c>
      <c r="F1871" s="35" t="s">
        <v>11</v>
      </c>
      <c r="G1871" s="106"/>
      <c r="H1871" s="33">
        <v>43221</v>
      </c>
      <c r="I1871" s="34">
        <v>1700581762</v>
      </c>
      <c r="J1871" s="36">
        <v>427.97</v>
      </c>
      <c r="K1871" t="s">
        <v>2030</v>
      </c>
    </row>
    <row r="1872" spans="1:11" x14ac:dyDescent="0.3">
      <c r="A1872" t="s">
        <v>1550</v>
      </c>
      <c r="B1872" s="33">
        <v>43262</v>
      </c>
      <c r="C1872" s="76">
        <v>13808000597073</v>
      </c>
      <c r="D1872" s="34">
        <v>1</v>
      </c>
      <c r="E1872" s="35" t="s">
        <v>3703</v>
      </c>
      <c r="F1872" s="35" t="s">
        <v>9</v>
      </c>
      <c r="G1872" s="106"/>
      <c r="H1872" s="33">
        <v>43221</v>
      </c>
      <c r="I1872" s="34">
        <v>1700581761</v>
      </c>
      <c r="J1872" s="36">
        <v>213.99</v>
      </c>
      <c r="K1872" t="s">
        <v>2030</v>
      </c>
    </row>
    <row r="1873" spans="1:11" x14ac:dyDescent="0.3">
      <c r="A1873" t="s">
        <v>1550</v>
      </c>
      <c r="B1873" s="33">
        <v>43262</v>
      </c>
      <c r="C1873" s="76">
        <v>13808000597073</v>
      </c>
      <c r="D1873" s="34">
        <v>1</v>
      </c>
      <c r="E1873" s="35" t="s">
        <v>3703</v>
      </c>
      <c r="F1873" s="35" t="s">
        <v>41</v>
      </c>
      <c r="G1873" s="106"/>
      <c r="H1873" s="33">
        <v>43221</v>
      </c>
      <c r="I1873" s="34">
        <v>1700581760</v>
      </c>
      <c r="J1873" s="36">
        <v>11127.28</v>
      </c>
      <c r="K1873" t="s">
        <v>2030</v>
      </c>
    </row>
    <row r="1874" spans="1:11" x14ac:dyDescent="0.3">
      <c r="A1874" t="s">
        <v>1550</v>
      </c>
      <c r="B1874" s="33">
        <v>43262</v>
      </c>
      <c r="C1874" s="76">
        <v>13808000597073</v>
      </c>
      <c r="D1874" s="34">
        <v>1</v>
      </c>
      <c r="E1874" s="35" t="s">
        <v>3703</v>
      </c>
      <c r="F1874" s="35" t="s">
        <v>45</v>
      </c>
      <c r="G1874" s="106"/>
      <c r="H1874" s="33">
        <v>43221</v>
      </c>
      <c r="I1874" s="34">
        <v>1700581759</v>
      </c>
      <c r="J1874" s="36">
        <v>427.97</v>
      </c>
      <c r="K1874" t="s">
        <v>2030</v>
      </c>
    </row>
    <row r="1875" spans="1:11" x14ac:dyDescent="0.3">
      <c r="A1875" t="s">
        <v>1550</v>
      </c>
      <c r="B1875" s="33">
        <v>43262</v>
      </c>
      <c r="C1875" s="76">
        <v>13808000597073</v>
      </c>
      <c r="D1875" s="34">
        <v>1</v>
      </c>
      <c r="E1875" s="35" t="s">
        <v>3703</v>
      </c>
      <c r="F1875" s="35" t="s">
        <v>7</v>
      </c>
      <c r="G1875" s="106"/>
      <c r="H1875" s="33">
        <v>43221</v>
      </c>
      <c r="I1875" s="34">
        <v>1700581758</v>
      </c>
      <c r="J1875" s="36">
        <v>213.99</v>
      </c>
      <c r="K1875" t="s">
        <v>2030</v>
      </c>
    </row>
    <row r="1876" spans="1:11" x14ac:dyDescent="0.3">
      <c r="A1876" t="s">
        <v>1550</v>
      </c>
      <c r="B1876" s="33">
        <v>43262</v>
      </c>
      <c r="C1876" s="76">
        <v>13808000597073</v>
      </c>
      <c r="D1876" s="34">
        <v>1</v>
      </c>
      <c r="E1876" s="35" t="s">
        <v>3703</v>
      </c>
      <c r="F1876" s="35" t="s">
        <v>46</v>
      </c>
      <c r="G1876" s="106"/>
      <c r="H1876" s="33">
        <v>43221</v>
      </c>
      <c r="I1876" s="34">
        <v>1700581757</v>
      </c>
      <c r="J1876" s="36">
        <v>213.99</v>
      </c>
      <c r="K1876" t="s">
        <v>2030</v>
      </c>
    </row>
    <row r="1877" spans="1:11" x14ac:dyDescent="0.3">
      <c r="A1877" t="s">
        <v>1550</v>
      </c>
      <c r="B1877" s="33">
        <v>43262</v>
      </c>
      <c r="C1877" s="76">
        <v>13808000597073</v>
      </c>
      <c r="D1877" s="34">
        <v>1</v>
      </c>
      <c r="E1877" s="35" t="s">
        <v>3703</v>
      </c>
      <c r="F1877" s="35" t="s">
        <v>44</v>
      </c>
      <c r="G1877" s="106"/>
      <c r="H1877" s="33">
        <v>43221</v>
      </c>
      <c r="I1877" s="34">
        <v>1700581756</v>
      </c>
      <c r="J1877" s="36">
        <v>213.99</v>
      </c>
      <c r="K1877" t="s">
        <v>2030</v>
      </c>
    </row>
    <row r="1878" spans="1:11" x14ac:dyDescent="0.3">
      <c r="A1878" t="s">
        <v>1550</v>
      </c>
      <c r="B1878" s="33">
        <v>43262</v>
      </c>
      <c r="C1878" s="76">
        <v>13808000597073</v>
      </c>
      <c r="D1878" s="34">
        <v>1</v>
      </c>
      <c r="E1878" s="35" t="s">
        <v>3703</v>
      </c>
      <c r="F1878" s="35" t="s">
        <v>48</v>
      </c>
      <c r="G1878" s="106"/>
      <c r="H1878" s="33">
        <v>43221</v>
      </c>
      <c r="I1878" s="34">
        <v>1700581755</v>
      </c>
      <c r="J1878" s="36">
        <v>213.99</v>
      </c>
      <c r="K1878" t="s">
        <v>2030</v>
      </c>
    </row>
    <row r="1879" spans="1:11" x14ac:dyDescent="0.3">
      <c r="A1879" t="s">
        <v>1550</v>
      </c>
      <c r="B1879" s="33">
        <v>43262</v>
      </c>
      <c r="C1879" s="76">
        <v>13808000597073</v>
      </c>
      <c r="D1879" s="34">
        <v>1</v>
      </c>
      <c r="E1879" s="35" t="s">
        <v>3703</v>
      </c>
      <c r="F1879" s="35" t="s">
        <v>47</v>
      </c>
      <c r="G1879" s="106"/>
      <c r="H1879" s="33">
        <v>43221</v>
      </c>
      <c r="I1879" s="34">
        <v>1700581754</v>
      </c>
      <c r="J1879" s="36">
        <v>1283.92</v>
      </c>
      <c r="K1879" t="s">
        <v>2030</v>
      </c>
    </row>
    <row r="1880" spans="1:11" x14ac:dyDescent="0.3">
      <c r="A1880" t="s">
        <v>1550</v>
      </c>
      <c r="B1880" s="33">
        <v>43262</v>
      </c>
      <c r="C1880" s="76">
        <v>13808000597073</v>
      </c>
      <c r="D1880" s="34">
        <v>1</v>
      </c>
      <c r="E1880" s="35" t="s">
        <v>3703</v>
      </c>
      <c r="F1880" s="35" t="s">
        <v>6</v>
      </c>
      <c r="G1880" s="106"/>
      <c r="H1880" s="33">
        <v>43221</v>
      </c>
      <c r="I1880" s="34">
        <v>1700581753</v>
      </c>
      <c r="J1880" s="36">
        <v>7061.54</v>
      </c>
      <c r="K1880" t="s">
        <v>2030</v>
      </c>
    </row>
    <row r="1881" spans="1:11" x14ac:dyDescent="0.3">
      <c r="A1881" t="s">
        <v>1550</v>
      </c>
      <c r="B1881" s="33">
        <v>43262</v>
      </c>
      <c r="C1881" s="76">
        <v>13808000597073</v>
      </c>
      <c r="D1881" s="34">
        <v>1</v>
      </c>
      <c r="E1881" s="35" t="s">
        <v>3703</v>
      </c>
      <c r="F1881" s="35" t="s">
        <v>42</v>
      </c>
      <c r="G1881" s="106"/>
      <c r="H1881" s="33">
        <v>43221</v>
      </c>
      <c r="I1881" s="34">
        <v>1700581752</v>
      </c>
      <c r="J1881" s="36">
        <v>213.99</v>
      </c>
      <c r="K1881" t="s">
        <v>2030</v>
      </c>
    </row>
    <row r="1882" spans="1:11" x14ac:dyDescent="0.3">
      <c r="A1882" t="s">
        <v>1550</v>
      </c>
      <c r="B1882" s="33">
        <v>43262</v>
      </c>
      <c r="C1882" s="76">
        <v>13808000597073</v>
      </c>
      <c r="D1882" s="34">
        <v>1</v>
      </c>
      <c r="E1882" s="35" t="s">
        <v>3703</v>
      </c>
      <c r="F1882" s="35" t="s">
        <v>40</v>
      </c>
      <c r="G1882" s="106"/>
      <c r="H1882" s="33">
        <v>43221</v>
      </c>
      <c r="I1882" s="34">
        <v>1700581751</v>
      </c>
      <c r="J1882" s="36">
        <v>12197.12</v>
      </c>
      <c r="K1882" t="s">
        <v>2030</v>
      </c>
    </row>
    <row r="1883" spans="1:11" x14ac:dyDescent="0.3">
      <c r="A1883" t="s">
        <v>1550</v>
      </c>
      <c r="B1883" s="33">
        <v>43262</v>
      </c>
      <c r="C1883" s="76">
        <v>13808000597073</v>
      </c>
      <c r="D1883" s="34">
        <v>1</v>
      </c>
      <c r="E1883" s="35" t="s">
        <v>3703</v>
      </c>
      <c r="F1883" s="35" t="s">
        <v>43</v>
      </c>
      <c r="G1883" s="106"/>
      <c r="H1883" s="33">
        <v>43221</v>
      </c>
      <c r="I1883" s="34">
        <v>1700581750</v>
      </c>
      <c r="J1883" s="36">
        <v>213.99</v>
      </c>
      <c r="K1883" t="s">
        <v>2030</v>
      </c>
    </row>
    <row r="1884" spans="1:11" x14ac:dyDescent="0.3">
      <c r="A1884" t="s">
        <v>818</v>
      </c>
      <c r="B1884" s="33">
        <v>43262</v>
      </c>
      <c r="C1884" s="76">
        <v>13808000597071</v>
      </c>
      <c r="D1884" s="34">
        <v>2000</v>
      </c>
      <c r="E1884" s="35" t="s">
        <v>3705</v>
      </c>
      <c r="F1884" s="35" t="s">
        <v>345</v>
      </c>
      <c r="G1884" s="106"/>
      <c r="H1884" s="33">
        <v>43221</v>
      </c>
      <c r="I1884" s="34">
        <v>1700128910</v>
      </c>
      <c r="J1884" s="36">
        <v>178.25</v>
      </c>
      <c r="K1884" t="s">
        <v>2030</v>
      </c>
    </row>
    <row r="1885" spans="1:11" x14ac:dyDescent="0.3">
      <c r="A1885" t="s">
        <v>818</v>
      </c>
      <c r="B1885" s="33">
        <v>43262</v>
      </c>
      <c r="C1885" s="76">
        <v>13808000597071</v>
      </c>
      <c r="D1885" s="34">
        <v>2000</v>
      </c>
      <c r="E1885" s="35" t="s">
        <v>3705</v>
      </c>
      <c r="F1885" s="35" t="s">
        <v>346</v>
      </c>
      <c r="G1885" s="106"/>
      <c r="H1885" s="33">
        <v>43221</v>
      </c>
      <c r="I1885" s="34">
        <v>1700128909</v>
      </c>
      <c r="J1885" s="36">
        <v>178.25</v>
      </c>
      <c r="K1885" t="s">
        <v>2030</v>
      </c>
    </row>
    <row r="1886" spans="1:11" x14ac:dyDescent="0.3">
      <c r="A1886" t="s">
        <v>818</v>
      </c>
      <c r="B1886" s="33">
        <v>43262</v>
      </c>
      <c r="C1886" s="76">
        <v>13808000597073</v>
      </c>
      <c r="D1886" s="34">
        <v>1</v>
      </c>
      <c r="E1886" s="35" t="s">
        <v>3705</v>
      </c>
      <c r="F1886" s="35" t="s">
        <v>62</v>
      </c>
      <c r="G1886" s="106"/>
      <c r="H1886" s="33">
        <v>43221</v>
      </c>
      <c r="I1886" s="34">
        <v>1700588886</v>
      </c>
      <c r="J1886" s="36">
        <v>232.5</v>
      </c>
      <c r="K1886" t="s">
        <v>2030</v>
      </c>
    </row>
    <row r="1887" spans="1:11" x14ac:dyDescent="0.3">
      <c r="A1887" t="s">
        <v>818</v>
      </c>
      <c r="B1887" s="33">
        <v>43262</v>
      </c>
      <c r="C1887" s="76">
        <v>13808000597073</v>
      </c>
      <c r="D1887" s="34">
        <v>1</v>
      </c>
      <c r="E1887" s="35" t="s">
        <v>3705</v>
      </c>
      <c r="F1887" s="35" t="s">
        <v>67</v>
      </c>
      <c r="G1887" s="106"/>
      <c r="H1887" s="33">
        <v>43221</v>
      </c>
      <c r="I1887" s="34">
        <v>1700588885</v>
      </c>
      <c r="J1887" s="36">
        <v>232.5</v>
      </c>
      <c r="K1887" t="s">
        <v>2030</v>
      </c>
    </row>
    <row r="1888" spans="1:11" x14ac:dyDescent="0.3">
      <c r="A1888" t="s">
        <v>818</v>
      </c>
      <c r="B1888" s="33">
        <v>43262</v>
      </c>
      <c r="C1888" s="76">
        <v>13808000597073</v>
      </c>
      <c r="D1888" s="34">
        <v>1</v>
      </c>
      <c r="E1888" s="35" t="s">
        <v>3705</v>
      </c>
      <c r="F1888" s="35" t="s">
        <v>64</v>
      </c>
      <c r="G1888" s="106"/>
      <c r="H1888" s="33">
        <v>43221</v>
      </c>
      <c r="I1888" s="34">
        <v>1700588884</v>
      </c>
      <c r="J1888" s="36">
        <v>232.5</v>
      </c>
      <c r="K1888" t="s">
        <v>2030</v>
      </c>
    </row>
    <row r="1889" spans="1:11" x14ac:dyDescent="0.3">
      <c r="A1889" t="s">
        <v>818</v>
      </c>
      <c r="B1889" s="33">
        <v>43262</v>
      </c>
      <c r="C1889" s="76">
        <v>13808000597073</v>
      </c>
      <c r="D1889" s="34">
        <v>1</v>
      </c>
      <c r="E1889" s="35" t="s">
        <v>3705</v>
      </c>
      <c r="F1889" s="35" t="s">
        <v>65</v>
      </c>
      <c r="G1889" s="106"/>
      <c r="H1889" s="33">
        <v>43221</v>
      </c>
      <c r="I1889" s="34">
        <v>1700588883</v>
      </c>
      <c r="J1889" s="36">
        <v>232.5</v>
      </c>
      <c r="K1889" t="s">
        <v>2030</v>
      </c>
    </row>
    <row r="1890" spans="1:11" x14ac:dyDescent="0.3">
      <c r="A1890" t="s">
        <v>818</v>
      </c>
      <c r="B1890" s="33">
        <v>43262</v>
      </c>
      <c r="C1890" s="76">
        <v>13808000597073</v>
      </c>
      <c r="D1890" s="34">
        <v>1</v>
      </c>
      <c r="E1890" s="35" t="s">
        <v>3705</v>
      </c>
      <c r="F1890" s="35" t="s">
        <v>7</v>
      </c>
      <c r="G1890" s="106"/>
      <c r="H1890" s="33">
        <v>43221</v>
      </c>
      <c r="I1890" s="34">
        <v>1700588882</v>
      </c>
      <c r="J1890" s="36">
        <v>178.25</v>
      </c>
      <c r="K1890" t="s">
        <v>2030</v>
      </c>
    </row>
    <row r="1891" spans="1:11" x14ac:dyDescent="0.3">
      <c r="A1891" t="s">
        <v>818</v>
      </c>
      <c r="B1891" s="33">
        <v>43262</v>
      </c>
      <c r="C1891" s="76">
        <v>13808000597073</v>
      </c>
      <c r="D1891" s="34">
        <v>1</v>
      </c>
      <c r="E1891" s="35" t="s">
        <v>3705</v>
      </c>
      <c r="F1891" s="35" t="s">
        <v>63</v>
      </c>
      <c r="G1891" s="106"/>
      <c r="H1891" s="33">
        <v>43221</v>
      </c>
      <c r="I1891" s="34">
        <v>1700588881</v>
      </c>
      <c r="J1891" s="36">
        <v>232.5</v>
      </c>
      <c r="K1891" t="s">
        <v>2030</v>
      </c>
    </row>
    <row r="1892" spans="1:11" x14ac:dyDescent="0.3">
      <c r="A1892" t="s">
        <v>818</v>
      </c>
      <c r="B1892" s="33">
        <v>43262</v>
      </c>
      <c r="C1892" s="76">
        <v>13808000597073</v>
      </c>
      <c r="D1892" s="34">
        <v>1</v>
      </c>
      <c r="E1892" s="35" t="s">
        <v>3705</v>
      </c>
      <c r="F1892" s="35" t="s">
        <v>58</v>
      </c>
      <c r="G1892" s="106"/>
      <c r="H1892" s="33">
        <v>43221</v>
      </c>
      <c r="I1892" s="34">
        <v>1700588880</v>
      </c>
      <c r="J1892" s="36">
        <v>232.5</v>
      </c>
      <c r="K1892" t="s">
        <v>2030</v>
      </c>
    </row>
    <row r="1893" spans="1:11" x14ac:dyDescent="0.3">
      <c r="A1893" t="s">
        <v>818</v>
      </c>
      <c r="B1893" s="33">
        <v>43262</v>
      </c>
      <c r="C1893" s="76">
        <v>13808000597073</v>
      </c>
      <c r="D1893" s="34">
        <v>1</v>
      </c>
      <c r="E1893" s="35" t="s">
        <v>3705</v>
      </c>
      <c r="F1893" s="35" t="s">
        <v>61</v>
      </c>
      <c r="G1893" s="106"/>
      <c r="H1893" s="33">
        <v>43221</v>
      </c>
      <c r="I1893" s="34">
        <v>1700588879</v>
      </c>
      <c r="J1893" s="36">
        <v>232.5</v>
      </c>
      <c r="K1893" t="s">
        <v>2030</v>
      </c>
    </row>
    <row r="1894" spans="1:11" x14ac:dyDescent="0.3">
      <c r="A1894" t="s">
        <v>818</v>
      </c>
      <c r="B1894" s="33">
        <v>43262</v>
      </c>
      <c r="C1894" s="76">
        <v>13808000597073</v>
      </c>
      <c r="D1894" s="34">
        <v>1</v>
      </c>
      <c r="E1894" s="35" t="s">
        <v>3705</v>
      </c>
      <c r="F1894" s="35" t="s">
        <v>59</v>
      </c>
      <c r="G1894" s="106"/>
      <c r="H1894" s="33">
        <v>43221</v>
      </c>
      <c r="I1894" s="34">
        <v>1700588878</v>
      </c>
      <c r="J1894" s="36">
        <v>232.5</v>
      </c>
      <c r="K1894" t="s">
        <v>2030</v>
      </c>
    </row>
    <row r="1895" spans="1:11" x14ac:dyDescent="0.3">
      <c r="A1895" t="s">
        <v>818</v>
      </c>
      <c r="B1895" s="33">
        <v>43262</v>
      </c>
      <c r="C1895" s="76">
        <v>13808000597073</v>
      </c>
      <c r="D1895" s="34">
        <v>1</v>
      </c>
      <c r="E1895" s="35" t="s">
        <v>3705</v>
      </c>
      <c r="F1895" s="35" t="s">
        <v>51</v>
      </c>
      <c r="G1895" s="106"/>
      <c r="H1895" s="33">
        <v>43221</v>
      </c>
      <c r="I1895" s="34">
        <v>1700588877</v>
      </c>
      <c r="J1895" s="36">
        <v>232.5</v>
      </c>
      <c r="K1895" t="s">
        <v>2030</v>
      </c>
    </row>
    <row r="1896" spans="1:11" x14ac:dyDescent="0.3">
      <c r="A1896" t="s">
        <v>818</v>
      </c>
      <c r="B1896" s="33">
        <v>43262</v>
      </c>
      <c r="C1896" s="76">
        <v>13808000597073</v>
      </c>
      <c r="D1896" s="34">
        <v>1</v>
      </c>
      <c r="E1896" s="35" t="s">
        <v>3705</v>
      </c>
      <c r="F1896" s="35" t="s">
        <v>60</v>
      </c>
      <c r="G1896" s="106"/>
      <c r="H1896" s="33">
        <v>43221</v>
      </c>
      <c r="I1896" s="34">
        <v>1700588876</v>
      </c>
      <c r="J1896" s="36">
        <v>232.5</v>
      </c>
      <c r="K1896" t="s">
        <v>2030</v>
      </c>
    </row>
    <row r="1897" spans="1:11" x14ac:dyDescent="0.3">
      <c r="A1897" t="s">
        <v>818</v>
      </c>
      <c r="B1897" s="33">
        <v>43262</v>
      </c>
      <c r="C1897" s="76">
        <v>13808000597073</v>
      </c>
      <c r="D1897" s="34">
        <v>1</v>
      </c>
      <c r="E1897" s="35" t="s">
        <v>3705</v>
      </c>
      <c r="F1897" s="35" t="s">
        <v>56</v>
      </c>
      <c r="G1897" s="106"/>
      <c r="H1897" s="33">
        <v>43221</v>
      </c>
      <c r="I1897" s="34">
        <v>1700588875</v>
      </c>
      <c r="J1897" s="36">
        <v>232.5</v>
      </c>
      <c r="K1897" t="s">
        <v>2030</v>
      </c>
    </row>
    <row r="1898" spans="1:11" x14ac:dyDescent="0.3">
      <c r="A1898" t="s">
        <v>818</v>
      </c>
      <c r="B1898" s="33">
        <v>43262</v>
      </c>
      <c r="C1898" s="76">
        <v>13808000597073</v>
      </c>
      <c r="D1898" s="34">
        <v>1</v>
      </c>
      <c r="E1898" s="35" t="s">
        <v>3705</v>
      </c>
      <c r="F1898" s="35" t="s">
        <v>54</v>
      </c>
      <c r="G1898" s="106"/>
      <c r="H1898" s="33">
        <v>43221</v>
      </c>
      <c r="I1898" s="34">
        <v>1700588874</v>
      </c>
      <c r="J1898" s="36">
        <v>232.5</v>
      </c>
      <c r="K1898" t="s">
        <v>2030</v>
      </c>
    </row>
    <row r="1899" spans="1:11" x14ac:dyDescent="0.3">
      <c r="A1899" t="s">
        <v>818</v>
      </c>
      <c r="B1899" s="33">
        <v>43262</v>
      </c>
      <c r="C1899" s="76">
        <v>13808000597073</v>
      </c>
      <c r="D1899" s="34">
        <v>1</v>
      </c>
      <c r="E1899" s="35" t="s">
        <v>3705</v>
      </c>
      <c r="F1899" s="35" t="s">
        <v>50</v>
      </c>
      <c r="G1899" s="106"/>
      <c r="H1899" s="33">
        <v>43221</v>
      </c>
      <c r="I1899" s="34">
        <v>1700588873</v>
      </c>
      <c r="J1899" s="36">
        <v>232.5</v>
      </c>
      <c r="K1899" t="s">
        <v>2030</v>
      </c>
    </row>
    <row r="1900" spans="1:11" x14ac:dyDescent="0.3">
      <c r="A1900" t="s">
        <v>818</v>
      </c>
      <c r="B1900" s="33">
        <v>43262</v>
      </c>
      <c r="C1900" s="76">
        <v>13808000597073</v>
      </c>
      <c r="D1900" s="34">
        <v>1</v>
      </c>
      <c r="E1900" s="35" t="s">
        <v>3705</v>
      </c>
      <c r="F1900" s="35" t="s">
        <v>55</v>
      </c>
      <c r="G1900" s="106"/>
      <c r="H1900" s="33">
        <v>43221</v>
      </c>
      <c r="I1900" s="34">
        <v>1700588872</v>
      </c>
      <c r="J1900" s="36">
        <v>232.5</v>
      </c>
      <c r="K1900" t="s">
        <v>2030</v>
      </c>
    </row>
    <row r="1901" spans="1:11" x14ac:dyDescent="0.3">
      <c r="A1901" t="s">
        <v>818</v>
      </c>
      <c r="B1901" s="33">
        <v>43262</v>
      </c>
      <c r="C1901" s="76">
        <v>13808000597073</v>
      </c>
      <c r="D1901" s="34">
        <v>1</v>
      </c>
      <c r="E1901" s="35" t="s">
        <v>3705</v>
      </c>
      <c r="F1901" s="35" t="s">
        <v>57</v>
      </c>
      <c r="G1901" s="106"/>
      <c r="H1901" s="33">
        <v>43221</v>
      </c>
      <c r="I1901" s="34">
        <v>1700588871</v>
      </c>
      <c r="J1901" s="36">
        <v>232.5</v>
      </c>
      <c r="K1901" t="s">
        <v>2030</v>
      </c>
    </row>
    <row r="1902" spans="1:11" x14ac:dyDescent="0.3">
      <c r="A1902" t="s">
        <v>818</v>
      </c>
      <c r="B1902" s="33">
        <v>43262</v>
      </c>
      <c r="C1902" s="76">
        <v>13808000597073</v>
      </c>
      <c r="D1902" s="34">
        <v>1</v>
      </c>
      <c r="E1902" s="35" t="s">
        <v>3705</v>
      </c>
      <c r="F1902" s="35" t="s">
        <v>53</v>
      </c>
      <c r="G1902" s="106"/>
      <c r="H1902" s="33">
        <v>43221</v>
      </c>
      <c r="I1902" s="34">
        <v>1700588870</v>
      </c>
      <c r="J1902" s="36">
        <v>232.5</v>
      </c>
      <c r="K1902" t="s">
        <v>2030</v>
      </c>
    </row>
    <row r="1903" spans="1:11" x14ac:dyDescent="0.3">
      <c r="A1903" t="s">
        <v>818</v>
      </c>
      <c r="B1903" s="33">
        <v>43262</v>
      </c>
      <c r="C1903" s="76">
        <v>13808000597073</v>
      </c>
      <c r="D1903" s="34">
        <v>1</v>
      </c>
      <c r="E1903" s="35" t="s">
        <v>3705</v>
      </c>
      <c r="F1903" s="35" t="s">
        <v>44</v>
      </c>
      <c r="G1903" s="106"/>
      <c r="H1903" s="33">
        <v>43221</v>
      </c>
      <c r="I1903" s="34">
        <v>1700588869</v>
      </c>
      <c r="J1903" s="36">
        <v>232.5</v>
      </c>
      <c r="K1903" t="s">
        <v>2030</v>
      </c>
    </row>
    <row r="1904" spans="1:11" x14ac:dyDescent="0.3">
      <c r="A1904" t="s">
        <v>818</v>
      </c>
      <c r="B1904" s="33">
        <v>43262</v>
      </c>
      <c r="C1904" s="76">
        <v>13808000597073</v>
      </c>
      <c r="D1904" s="34">
        <v>1</v>
      </c>
      <c r="E1904" s="35" t="s">
        <v>3705</v>
      </c>
      <c r="F1904" s="35" t="s">
        <v>47</v>
      </c>
      <c r="G1904" s="106"/>
      <c r="H1904" s="33">
        <v>43221</v>
      </c>
      <c r="I1904" s="34">
        <v>1700588868</v>
      </c>
      <c r="J1904" s="36">
        <v>232.5</v>
      </c>
      <c r="K1904" t="s">
        <v>2030</v>
      </c>
    </row>
    <row r="1905" spans="1:11" x14ac:dyDescent="0.3">
      <c r="A1905" t="s">
        <v>818</v>
      </c>
      <c r="B1905" s="33">
        <v>43262</v>
      </c>
      <c r="C1905" s="76">
        <v>13808000597073</v>
      </c>
      <c r="D1905" s="34">
        <v>1</v>
      </c>
      <c r="E1905" s="35" t="s">
        <v>3705</v>
      </c>
      <c r="F1905" s="35" t="s">
        <v>295</v>
      </c>
      <c r="G1905" s="106"/>
      <c r="H1905" s="33">
        <v>43221</v>
      </c>
      <c r="I1905" s="34">
        <v>1700588867</v>
      </c>
      <c r="J1905" s="36">
        <v>232.5</v>
      </c>
      <c r="K1905" t="s">
        <v>2030</v>
      </c>
    </row>
    <row r="1906" spans="1:11" x14ac:dyDescent="0.3">
      <c r="A1906" t="s">
        <v>818</v>
      </c>
      <c r="B1906" s="33">
        <v>43262</v>
      </c>
      <c r="C1906" s="76">
        <v>13808000597073</v>
      </c>
      <c r="D1906" s="34">
        <v>1</v>
      </c>
      <c r="E1906" s="35" t="s">
        <v>3705</v>
      </c>
      <c r="F1906" s="35" t="s">
        <v>46</v>
      </c>
      <c r="G1906" s="106"/>
      <c r="H1906" s="33">
        <v>43221</v>
      </c>
      <c r="I1906" s="34">
        <v>1700588866</v>
      </c>
      <c r="J1906" s="36">
        <v>232.5</v>
      </c>
      <c r="K1906" t="s">
        <v>2030</v>
      </c>
    </row>
    <row r="1907" spans="1:11" x14ac:dyDescent="0.3">
      <c r="A1907" t="s">
        <v>818</v>
      </c>
      <c r="B1907" s="33">
        <v>43262</v>
      </c>
      <c r="C1907" s="76">
        <v>13808000597073</v>
      </c>
      <c r="D1907" s="34">
        <v>1</v>
      </c>
      <c r="E1907" s="35" t="s">
        <v>3705</v>
      </c>
      <c r="F1907" s="35" t="s">
        <v>48</v>
      </c>
      <c r="G1907" s="106"/>
      <c r="H1907" s="33">
        <v>43221</v>
      </c>
      <c r="I1907" s="34">
        <v>1700588865</v>
      </c>
      <c r="J1907" s="36">
        <v>232.5</v>
      </c>
      <c r="K1907" t="s">
        <v>2030</v>
      </c>
    </row>
    <row r="1908" spans="1:11" x14ac:dyDescent="0.3">
      <c r="A1908" t="s">
        <v>818</v>
      </c>
      <c r="B1908" s="33">
        <v>43262</v>
      </c>
      <c r="C1908" s="76">
        <v>13808000597073</v>
      </c>
      <c r="D1908" s="34">
        <v>1</v>
      </c>
      <c r="E1908" s="35" t="s">
        <v>3705</v>
      </c>
      <c r="F1908" s="35" t="s">
        <v>45</v>
      </c>
      <c r="G1908" s="106"/>
      <c r="H1908" s="33">
        <v>43221</v>
      </c>
      <c r="I1908" s="34">
        <v>1700588864</v>
      </c>
      <c r="J1908" s="36">
        <v>232.5</v>
      </c>
      <c r="K1908" t="s">
        <v>2030</v>
      </c>
    </row>
    <row r="1909" spans="1:11" x14ac:dyDescent="0.3">
      <c r="A1909" t="s">
        <v>818</v>
      </c>
      <c r="B1909" s="33">
        <v>43262</v>
      </c>
      <c r="C1909" s="76">
        <v>13808000597073</v>
      </c>
      <c r="D1909" s="34">
        <v>1</v>
      </c>
      <c r="E1909" s="35" t="s">
        <v>3705</v>
      </c>
      <c r="F1909" s="35" t="s">
        <v>49</v>
      </c>
      <c r="G1909" s="106"/>
      <c r="H1909" s="33">
        <v>43221</v>
      </c>
      <c r="I1909" s="34">
        <v>1700588863</v>
      </c>
      <c r="J1909" s="36">
        <v>232.5</v>
      </c>
      <c r="K1909" t="s">
        <v>2030</v>
      </c>
    </row>
    <row r="1910" spans="1:11" x14ac:dyDescent="0.3">
      <c r="A1910" t="s">
        <v>818</v>
      </c>
      <c r="B1910" s="33">
        <v>43262</v>
      </c>
      <c r="C1910" s="76">
        <v>13808000597073</v>
      </c>
      <c r="D1910" s="34">
        <v>1</v>
      </c>
      <c r="E1910" s="35" t="s">
        <v>3705</v>
      </c>
      <c r="F1910" s="35" t="s">
        <v>52</v>
      </c>
      <c r="G1910" s="106"/>
      <c r="H1910" s="33">
        <v>43221</v>
      </c>
      <c r="I1910" s="34">
        <v>1700588862</v>
      </c>
      <c r="J1910" s="36">
        <v>232.5</v>
      </c>
      <c r="K1910" t="s">
        <v>2030</v>
      </c>
    </row>
    <row r="1911" spans="1:11" x14ac:dyDescent="0.3">
      <c r="A1911" t="s">
        <v>818</v>
      </c>
      <c r="B1911" s="33">
        <v>43262</v>
      </c>
      <c r="C1911" s="76">
        <v>13808000597073</v>
      </c>
      <c r="D1911" s="34">
        <v>1</v>
      </c>
      <c r="E1911" s="35" t="s">
        <v>3705</v>
      </c>
      <c r="F1911" s="35" t="s">
        <v>41</v>
      </c>
      <c r="G1911" s="106"/>
      <c r="H1911" s="33">
        <v>43221</v>
      </c>
      <c r="I1911" s="34">
        <v>1700588861</v>
      </c>
      <c r="J1911" s="36">
        <v>178.25</v>
      </c>
      <c r="K1911" t="s">
        <v>2030</v>
      </c>
    </row>
    <row r="1912" spans="1:11" x14ac:dyDescent="0.3">
      <c r="A1912" t="s">
        <v>818</v>
      </c>
      <c r="B1912" s="33">
        <v>43262</v>
      </c>
      <c r="C1912" s="76">
        <v>13808000597073</v>
      </c>
      <c r="D1912" s="34">
        <v>1</v>
      </c>
      <c r="E1912" s="35" t="s">
        <v>3705</v>
      </c>
      <c r="F1912" s="35" t="s">
        <v>42</v>
      </c>
      <c r="G1912" s="106"/>
      <c r="H1912" s="33">
        <v>43221</v>
      </c>
      <c r="I1912" s="34">
        <v>1700588860</v>
      </c>
      <c r="J1912" s="36">
        <v>232.5</v>
      </c>
      <c r="K1912" t="s">
        <v>2030</v>
      </c>
    </row>
    <row r="1913" spans="1:11" x14ac:dyDescent="0.3">
      <c r="A1913" t="s">
        <v>818</v>
      </c>
      <c r="B1913" s="33">
        <v>43262</v>
      </c>
      <c r="C1913" s="76">
        <v>13808000597073</v>
      </c>
      <c r="D1913" s="34">
        <v>1</v>
      </c>
      <c r="E1913" s="35" t="s">
        <v>3705</v>
      </c>
      <c r="F1913" s="35" t="s">
        <v>43</v>
      </c>
      <c r="G1913" s="106"/>
      <c r="H1913" s="33">
        <v>43221</v>
      </c>
      <c r="I1913" s="34">
        <v>1700588859</v>
      </c>
      <c r="J1913" s="36">
        <v>232.5</v>
      </c>
      <c r="K1913" t="s">
        <v>2030</v>
      </c>
    </row>
    <row r="1914" spans="1:11" x14ac:dyDescent="0.3">
      <c r="A1914" t="s">
        <v>818</v>
      </c>
      <c r="B1914" s="33">
        <v>43262</v>
      </c>
      <c r="C1914" s="76">
        <v>13808000597073</v>
      </c>
      <c r="D1914" s="34">
        <v>1</v>
      </c>
      <c r="E1914" s="35" t="s">
        <v>3705</v>
      </c>
      <c r="F1914" s="35" t="s">
        <v>40</v>
      </c>
      <c r="G1914" s="106"/>
      <c r="H1914" s="33">
        <v>43221</v>
      </c>
      <c r="I1914" s="34">
        <v>1700588858</v>
      </c>
      <c r="J1914" s="36">
        <v>178.25</v>
      </c>
      <c r="K1914" t="s">
        <v>2030</v>
      </c>
    </row>
    <row r="1915" spans="1:11" x14ac:dyDescent="0.3">
      <c r="A1915" t="s">
        <v>818</v>
      </c>
      <c r="B1915" s="33">
        <v>43262</v>
      </c>
      <c r="C1915" s="76">
        <v>13808000597073</v>
      </c>
      <c r="D1915" s="34">
        <v>1</v>
      </c>
      <c r="E1915" s="35" t="s">
        <v>3705</v>
      </c>
      <c r="F1915" s="35" t="s">
        <v>6</v>
      </c>
      <c r="G1915" s="106"/>
      <c r="H1915" s="33">
        <v>43221</v>
      </c>
      <c r="I1915" s="34">
        <v>1700588857</v>
      </c>
      <c r="J1915" s="36">
        <v>178.25</v>
      </c>
      <c r="K1915" t="s">
        <v>2030</v>
      </c>
    </row>
    <row r="1916" spans="1:11" x14ac:dyDescent="0.3">
      <c r="A1916" t="s">
        <v>818</v>
      </c>
      <c r="B1916" s="33">
        <v>43262</v>
      </c>
      <c r="C1916" s="76">
        <v>13808000597073</v>
      </c>
      <c r="D1916" s="34">
        <v>1</v>
      </c>
      <c r="E1916" s="35" t="s">
        <v>3705</v>
      </c>
      <c r="F1916" s="35" t="s">
        <v>327</v>
      </c>
      <c r="G1916" s="106"/>
      <c r="H1916" s="33">
        <v>43221</v>
      </c>
      <c r="I1916" s="34">
        <v>1700589006</v>
      </c>
      <c r="J1916" s="36">
        <v>178.25</v>
      </c>
      <c r="K1916" t="s">
        <v>2030</v>
      </c>
    </row>
    <row r="1917" spans="1:11" x14ac:dyDescent="0.3">
      <c r="A1917" t="s">
        <v>818</v>
      </c>
      <c r="B1917" s="33">
        <v>43262</v>
      </c>
      <c r="C1917" s="76">
        <v>13808000597073</v>
      </c>
      <c r="D1917" s="34">
        <v>1</v>
      </c>
      <c r="E1917" s="35" t="s">
        <v>3705</v>
      </c>
      <c r="F1917" s="35" t="s">
        <v>324</v>
      </c>
      <c r="G1917" s="106"/>
      <c r="H1917" s="33">
        <v>43221</v>
      </c>
      <c r="I1917" s="34">
        <v>1700589005</v>
      </c>
      <c r="J1917" s="36">
        <v>178.25</v>
      </c>
      <c r="K1917" t="s">
        <v>2030</v>
      </c>
    </row>
    <row r="1918" spans="1:11" x14ac:dyDescent="0.3">
      <c r="A1918" t="s">
        <v>818</v>
      </c>
      <c r="B1918" s="33">
        <v>43262</v>
      </c>
      <c r="C1918" s="76">
        <v>13808000597073</v>
      </c>
      <c r="D1918" s="34">
        <v>1</v>
      </c>
      <c r="E1918" s="35" t="s">
        <v>3705</v>
      </c>
      <c r="F1918" s="35" t="s">
        <v>329</v>
      </c>
      <c r="G1918" s="106"/>
      <c r="H1918" s="33">
        <v>43221</v>
      </c>
      <c r="I1918" s="34">
        <v>1700589004</v>
      </c>
      <c r="J1918" s="36">
        <v>178.25</v>
      </c>
      <c r="K1918" t="s">
        <v>2030</v>
      </c>
    </row>
    <row r="1919" spans="1:11" x14ac:dyDescent="0.3">
      <c r="A1919" t="s">
        <v>818</v>
      </c>
      <c r="B1919" s="33">
        <v>43262</v>
      </c>
      <c r="C1919" s="76">
        <v>13808000597073</v>
      </c>
      <c r="D1919" s="34">
        <v>1</v>
      </c>
      <c r="E1919" s="35" t="s">
        <v>3705</v>
      </c>
      <c r="F1919" s="35" t="s">
        <v>323</v>
      </c>
      <c r="G1919" s="106"/>
      <c r="H1919" s="33">
        <v>43221</v>
      </c>
      <c r="I1919" s="34">
        <v>1700589003</v>
      </c>
      <c r="J1919" s="36">
        <v>178.25</v>
      </c>
      <c r="K1919" t="s">
        <v>2030</v>
      </c>
    </row>
    <row r="1920" spans="1:11" x14ac:dyDescent="0.3">
      <c r="A1920" t="s">
        <v>818</v>
      </c>
      <c r="B1920" s="33">
        <v>43262</v>
      </c>
      <c r="C1920" s="76">
        <v>13808000597073</v>
      </c>
      <c r="D1920" s="34">
        <v>1</v>
      </c>
      <c r="E1920" s="35" t="s">
        <v>3705</v>
      </c>
      <c r="F1920" s="35" t="s">
        <v>326</v>
      </c>
      <c r="G1920" s="106"/>
      <c r="H1920" s="33">
        <v>43221</v>
      </c>
      <c r="I1920" s="34">
        <v>1700589002</v>
      </c>
      <c r="J1920" s="36">
        <v>178.25</v>
      </c>
      <c r="K1920" t="s">
        <v>2030</v>
      </c>
    </row>
    <row r="1921" spans="1:11" x14ac:dyDescent="0.3">
      <c r="A1921" t="s">
        <v>818</v>
      </c>
      <c r="B1921" s="33">
        <v>43262</v>
      </c>
      <c r="C1921" s="76">
        <v>13808000597073</v>
      </c>
      <c r="D1921" s="34">
        <v>1</v>
      </c>
      <c r="E1921" s="35" t="s">
        <v>3705</v>
      </c>
      <c r="F1921" s="35" t="s">
        <v>311</v>
      </c>
      <c r="G1921" s="106"/>
      <c r="H1921" s="33">
        <v>43221</v>
      </c>
      <c r="I1921" s="34">
        <v>1700589001</v>
      </c>
      <c r="J1921" s="36">
        <v>178.25</v>
      </c>
      <c r="K1921" t="s">
        <v>2030</v>
      </c>
    </row>
    <row r="1922" spans="1:11" x14ac:dyDescent="0.3">
      <c r="A1922" t="s">
        <v>818</v>
      </c>
      <c r="B1922" s="33">
        <v>43262</v>
      </c>
      <c r="C1922" s="76">
        <v>13808000597073</v>
      </c>
      <c r="D1922" s="34">
        <v>1</v>
      </c>
      <c r="E1922" s="35" t="s">
        <v>3705</v>
      </c>
      <c r="F1922" s="35" t="s">
        <v>317</v>
      </c>
      <c r="G1922" s="106"/>
      <c r="H1922" s="33">
        <v>43221</v>
      </c>
      <c r="I1922" s="34">
        <v>1700589000</v>
      </c>
      <c r="J1922" s="36">
        <v>232.5</v>
      </c>
      <c r="K1922" t="s">
        <v>2030</v>
      </c>
    </row>
    <row r="1923" spans="1:11" x14ac:dyDescent="0.3">
      <c r="A1923" t="s">
        <v>818</v>
      </c>
      <c r="B1923" s="33">
        <v>43262</v>
      </c>
      <c r="C1923" s="76">
        <v>13808000597073</v>
      </c>
      <c r="D1923" s="34">
        <v>1</v>
      </c>
      <c r="E1923" s="35" t="s">
        <v>3705</v>
      </c>
      <c r="F1923" s="35" t="s">
        <v>319</v>
      </c>
      <c r="G1923" s="106"/>
      <c r="H1923" s="33">
        <v>43221</v>
      </c>
      <c r="I1923" s="34">
        <v>1700588999</v>
      </c>
      <c r="J1923" s="36">
        <v>178.25</v>
      </c>
      <c r="K1923" t="s">
        <v>2030</v>
      </c>
    </row>
    <row r="1924" spans="1:11" x14ac:dyDescent="0.3">
      <c r="A1924" t="s">
        <v>818</v>
      </c>
      <c r="B1924" s="33">
        <v>43262</v>
      </c>
      <c r="C1924" s="76">
        <v>13808000597073</v>
      </c>
      <c r="D1924" s="34">
        <v>1</v>
      </c>
      <c r="E1924" s="35" t="s">
        <v>3705</v>
      </c>
      <c r="F1924" s="35" t="s">
        <v>321</v>
      </c>
      <c r="G1924" s="106"/>
      <c r="H1924" s="33">
        <v>43221</v>
      </c>
      <c r="I1924" s="34">
        <v>1700588998</v>
      </c>
      <c r="J1924" s="36">
        <v>178.25</v>
      </c>
      <c r="K1924" t="s">
        <v>2030</v>
      </c>
    </row>
    <row r="1925" spans="1:11" x14ac:dyDescent="0.3">
      <c r="A1925" t="s">
        <v>818</v>
      </c>
      <c r="B1925" s="33">
        <v>43262</v>
      </c>
      <c r="C1925" s="76">
        <v>13808000597073</v>
      </c>
      <c r="D1925" s="34">
        <v>1</v>
      </c>
      <c r="E1925" s="35" t="s">
        <v>3705</v>
      </c>
      <c r="F1925" s="35" t="s">
        <v>313</v>
      </c>
      <c r="G1925" s="106"/>
      <c r="H1925" s="33">
        <v>43221</v>
      </c>
      <c r="I1925" s="34">
        <v>1700588997</v>
      </c>
      <c r="J1925" s="36">
        <v>232.5</v>
      </c>
      <c r="K1925" t="s">
        <v>2030</v>
      </c>
    </row>
    <row r="1926" spans="1:11" x14ac:dyDescent="0.3">
      <c r="A1926" t="s">
        <v>818</v>
      </c>
      <c r="B1926" s="33">
        <v>43262</v>
      </c>
      <c r="C1926" s="76">
        <v>13808000597073</v>
      </c>
      <c r="D1926" s="34">
        <v>1</v>
      </c>
      <c r="E1926" s="35" t="s">
        <v>3705</v>
      </c>
      <c r="F1926" s="35" t="s">
        <v>320</v>
      </c>
      <c r="G1926" s="106"/>
      <c r="H1926" s="33">
        <v>43221</v>
      </c>
      <c r="I1926" s="34">
        <v>1700588996</v>
      </c>
      <c r="J1926" s="36">
        <v>178.25</v>
      </c>
      <c r="K1926" t="s">
        <v>2030</v>
      </c>
    </row>
    <row r="1927" spans="1:11" x14ac:dyDescent="0.3">
      <c r="A1927" t="s">
        <v>818</v>
      </c>
      <c r="B1927" s="33">
        <v>43262</v>
      </c>
      <c r="C1927" s="76">
        <v>13808000597073</v>
      </c>
      <c r="D1927" s="34">
        <v>1</v>
      </c>
      <c r="E1927" s="35" t="s">
        <v>3705</v>
      </c>
      <c r="F1927" s="35" t="s">
        <v>305</v>
      </c>
      <c r="G1927" s="106"/>
      <c r="H1927" s="33">
        <v>43221</v>
      </c>
      <c r="I1927" s="34">
        <v>1700588995</v>
      </c>
      <c r="J1927" s="36">
        <v>178.25</v>
      </c>
      <c r="K1927" t="s">
        <v>2030</v>
      </c>
    </row>
    <row r="1928" spans="1:11" x14ac:dyDescent="0.3">
      <c r="A1928" t="s">
        <v>818</v>
      </c>
      <c r="B1928" s="33">
        <v>43262</v>
      </c>
      <c r="C1928" s="76">
        <v>13808000597073</v>
      </c>
      <c r="D1928" s="34">
        <v>1</v>
      </c>
      <c r="E1928" s="35" t="s">
        <v>3705</v>
      </c>
      <c r="F1928" s="35" t="s">
        <v>318</v>
      </c>
      <c r="G1928" s="106"/>
      <c r="H1928" s="33">
        <v>43221</v>
      </c>
      <c r="I1928" s="34">
        <v>1700588994</v>
      </c>
      <c r="J1928" s="36">
        <v>178.25</v>
      </c>
      <c r="K1928" t="s">
        <v>2030</v>
      </c>
    </row>
    <row r="1929" spans="1:11" x14ac:dyDescent="0.3">
      <c r="A1929" t="s">
        <v>818</v>
      </c>
      <c r="B1929" s="33">
        <v>43262</v>
      </c>
      <c r="C1929" s="76">
        <v>13808000597073</v>
      </c>
      <c r="D1929" s="34">
        <v>1</v>
      </c>
      <c r="E1929" s="35" t="s">
        <v>3705</v>
      </c>
      <c r="F1929" s="35" t="s">
        <v>322</v>
      </c>
      <c r="G1929" s="106"/>
      <c r="H1929" s="33">
        <v>43221</v>
      </c>
      <c r="I1929" s="34">
        <v>1700588993</v>
      </c>
      <c r="J1929" s="36">
        <v>178.25</v>
      </c>
      <c r="K1929" t="s">
        <v>2030</v>
      </c>
    </row>
    <row r="1930" spans="1:11" x14ac:dyDescent="0.3">
      <c r="A1930" t="s">
        <v>818</v>
      </c>
      <c r="B1930" s="33">
        <v>43262</v>
      </c>
      <c r="C1930" s="76">
        <v>13808000597073</v>
      </c>
      <c r="D1930" s="34">
        <v>1</v>
      </c>
      <c r="E1930" s="35" t="s">
        <v>3705</v>
      </c>
      <c r="F1930" s="35" t="s">
        <v>302</v>
      </c>
      <c r="G1930" s="106"/>
      <c r="H1930" s="33">
        <v>43221</v>
      </c>
      <c r="I1930" s="34">
        <v>1700588992</v>
      </c>
      <c r="J1930" s="36">
        <v>178.25</v>
      </c>
      <c r="K1930" t="s">
        <v>2030</v>
      </c>
    </row>
    <row r="1931" spans="1:11" x14ac:dyDescent="0.3">
      <c r="A1931" t="s">
        <v>818</v>
      </c>
      <c r="B1931" s="33">
        <v>43262</v>
      </c>
      <c r="C1931" s="76">
        <v>13808000597073</v>
      </c>
      <c r="D1931" s="34">
        <v>1</v>
      </c>
      <c r="E1931" s="35" t="s">
        <v>3705</v>
      </c>
      <c r="F1931" s="35" t="s">
        <v>316</v>
      </c>
      <c r="G1931" s="106"/>
      <c r="H1931" s="33">
        <v>43221</v>
      </c>
      <c r="I1931" s="34">
        <v>1700588991</v>
      </c>
      <c r="J1931" s="36">
        <v>232.5</v>
      </c>
      <c r="K1931" t="s">
        <v>2030</v>
      </c>
    </row>
    <row r="1932" spans="1:11" x14ac:dyDescent="0.3">
      <c r="A1932" t="s">
        <v>818</v>
      </c>
      <c r="B1932" s="33">
        <v>43262</v>
      </c>
      <c r="C1932" s="76">
        <v>13808000597073</v>
      </c>
      <c r="D1932" s="34">
        <v>1</v>
      </c>
      <c r="E1932" s="35" t="s">
        <v>3705</v>
      </c>
      <c r="F1932" s="35" t="s">
        <v>312</v>
      </c>
      <c r="G1932" s="106"/>
      <c r="H1932" s="33">
        <v>43221</v>
      </c>
      <c r="I1932" s="34">
        <v>1700588990</v>
      </c>
      <c r="J1932" s="36">
        <v>232.5</v>
      </c>
      <c r="K1932" t="s">
        <v>2030</v>
      </c>
    </row>
    <row r="1933" spans="1:11" x14ac:dyDescent="0.3">
      <c r="A1933" t="s">
        <v>818</v>
      </c>
      <c r="B1933" s="33">
        <v>43262</v>
      </c>
      <c r="C1933" s="76">
        <v>13808000597073</v>
      </c>
      <c r="D1933" s="34">
        <v>1</v>
      </c>
      <c r="E1933" s="35" t="s">
        <v>3705</v>
      </c>
      <c r="F1933" s="35" t="s">
        <v>310</v>
      </c>
      <c r="G1933" s="106"/>
      <c r="H1933" s="33">
        <v>43221</v>
      </c>
      <c r="I1933" s="34">
        <v>1700588989</v>
      </c>
      <c r="J1933" s="36">
        <v>178.25</v>
      </c>
      <c r="K1933" t="s">
        <v>2030</v>
      </c>
    </row>
    <row r="1934" spans="1:11" x14ac:dyDescent="0.3">
      <c r="A1934" t="s">
        <v>818</v>
      </c>
      <c r="B1934" s="33">
        <v>43262</v>
      </c>
      <c r="C1934" s="76">
        <v>13808000597073</v>
      </c>
      <c r="D1934" s="34">
        <v>1</v>
      </c>
      <c r="E1934" s="35" t="s">
        <v>3705</v>
      </c>
      <c r="F1934" s="35" t="s">
        <v>11</v>
      </c>
      <c r="G1934" s="106"/>
      <c r="H1934" s="33">
        <v>43221</v>
      </c>
      <c r="I1934" s="34">
        <v>1700588988</v>
      </c>
      <c r="J1934" s="36">
        <v>232.5</v>
      </c>
      <c r="K1934" t="s">
        <v>2030</v>
      </c>
    </row>
    <row r="1935" spans="1:11" x14ac:dyDescent="0.3">
      <c r="A1935" t="s">
        <v>818</v>
      </c>
      <c r="B1935" s="33">
        <v>43262</v>
      </c>
      <c r="C1935" s="76">
        <v>13808000597073</v>
      </c>
      <c r="D1935" s="34">
        <v>1</v>
      </c>
      <c r="E1935" s="35" t="s">
        <v>3705</v>
      </c>
      <c r="F1935" s="35" t="s">
        <v>315</v>
      </c>
      <c r="G1935" s="106"/>
      <c r="H1935" s="33">
        <v>43221</v>
      </c>
      <c r="I1935" s="34">
        <v>1700588987</v>
      </c>
      <c r="J1935" s="36">
        <v>232.5</v>
      </c>
      <c r="K1935" t="s">
        <v>2030</v>
      </c>
    </row>
    <row r="1936" spans="1:11" x14ac:dyDescent="0.3">
      <c r="A1936" t="s">
        <v>818</v>
      </c>
      <c r="B1936" s="33">
        <v>43262</v>
      </c>
      <c r="C1936" s="76">
        <v>13808000597073</v>
      </c>
      <c r="D1936" s="34">
        <v>1</v>
      </c>
      <c r="E1936" s="35" t="s">
        <v>3705</v>
      </c>
      <c r="F1936" s="35" t="s">
        <v>301</v>
      </c>
      <c r="G1936" s="106"/>
      <c r="H1936" s="33">
        <v>43221</v>
      </c>
      <c r="I1936" s="34">
        <v>1700588986</v>
      </c>
      <c r="J1936" s="36">
        <v>178.25</v>
      </c>
      <c r="K1936" t="s">
        <v>2030</v>
      </c>
    </row>
    <row r="1937" spans="1:11" x14ac:dyDescent="0.3">
      <c r="A1937" t="s">
        <v>818</v>
      </c>
      <c r="B1937" s="33">
        <v>43262</v>
      </c>
      <c r="C1937" s="76">
        <v>13808000597073</v>
      </c>
      <c r="D1937" s="34">
        <v>1</v>
      </c>
      <c r="E1937" s="35" t="s">
        <v>3705</v>
      </c>
      <c r="F1937" s="35" t="s">
        <v>306</v>
      </c>
      <c r="G1937" s="106"/>
      <c r="H1937" s="33">
        <v>43221</v>
      </c>
      <c r="I1937" s="34">
        <v>1700588985</v>
      </c>
      <c r="J1937" s="36">
        <v>178.25</v>
      </c>
      <c r="K1937" t="s">
        <v>2030</v>
      </c>
    </row>
    <row r="1938" spans="1:11" x14ac:dyDescent="0.3">
      <c r="A1938" t="s">
        <v>818</v>
      </c>
      <c r="B1938" s="33">
        <v>43262</v>
      </c>
      <c r="C1938" s="76">
        <v>13808000597073</v>
      </c>
      <c r="D1938" s="34">
        <v>1</v>
      </c>
      <c r="E1938" s="35" t="s">
        <v>3705</v>
      </c>
      <c r="F1938" s="35" t="s">
        <v>307</v>
      </c>
      <c r="G1938" s="106"/>
      <c r="H1938" s="33">
        <v>43221</v>
      </c>
      <c r="I1938" s="34">
        <v>1700588984</v>
      </c>
      <c r="J1938" s="36">
        <v>178.25</v>
      </c>
      <c r="K1938" t="s">
        <v>2030</v>
      </c>
    </row>
    <row r="1939" spans="1:11" x14ac:dyDescent="0.3">
      <c r="A1939" t="s">
        <v>818</v>
      </c>
      <c r="B1939" s="33">
        <v>43262</v>
      </c>
      <c r="C1939" s="76">
        <v>13808000597073</v>
      </c>
      <c r="D1939" s="34">
        <v>1</v>
      </c>
      <c r="E1939" s="35" t="s">
        <v>3705</v>
      </c>
      <c r="F1939" s="35" t="s">
        <v>300</v>
      </c>
      <c r="G1939" s="106"/>
      <c r="H1939" s="33">
        <v>43221</v>
      </c>
      <c r="I1939" s="34">
        <v>1700588983</v>
      </c>
      <c r="J1939" s="36">
        <v>178.25</v>
      </c>
      <c r="K1939" t="s">
        <v>2030</v>
      </c>
    </row>
    <row r="1940" spans="1:11" x14ac:dyDescent="0.3">
      <c r="A1940" t="s">
        <v>818</v>
      </c>
      <c r="B1940" s="33">
        <v>43262</v>
      </c>
      <c r="C1940" s="76">
        <v>13808000597073</v>
      </c>
      <c r="D1940" s="34">
        <v>1</v>
      </c>
      <c r="E1940" s="35" t="s">
        <v>3705</v>
      </c>
      <c r="F1940" s="35" t="s">
        <v>304</v>
      </c>
      <c r="G1940" s="106"/>
      <c r="H1940" s="33">
        <v>43221</v>
      </c>
      <c r="I1940" s="34">
        <v>1700588982</v>
      </c>
      <c r="J1940" s="36">
        <v>178.25</v>
      </c>
      <c r="K1940" t="s">
        <v>2030</v>
      </c>
    </row>
    <row r="1941" spans="1:11" x14ac:dyDescent="0.3">
      <c r="A1941" t="s">
        <v>818</v>
      </c>
      <c r="B1941" s="33">
        <v>43262</v>
      </c>
      <c r="C1941" s="76">
        <v>13808000597073</v>
      </c>
      <c r="D1941" s="34">
        <v>1</v>
      </c>
      <c r="E1941" s="35" t="s">
        <v>3705</v>
      </c>
      <c r="F1941" s="35" t="s">
        <v>303</v>
      </c>
      <c r="G1941" s="106"/>
      <c r="H1941" s="33">
        <v>43221</v>
      </c>
      <c r="I1941" s="34">
        <v>1700588981</v>
      </c>
      <c r="J1941" s="36">
        <v>178.25</v>
      </c>
      <c r="K1941" t="s">
        <v>2030</v>
      </c>
    </row>
    <row r="1942" spans="1:11" x14ac:dyDescent="0.3">
      <c r="A1942" t="s">
        <v>818</v>
      </c>
      <c r="B1942" s="33">
        <v>43262</v>
      </c>
      <c r="C1942" s="76">
        <v>13808000597073</v>
      </c>
      <c r="D1942" s="34">
        <v>1</v>
      </c>
      <c r="E1942" s="35" t="s">
        <v>3705</v>
      </c>
      <c r="F1942" s="35" t="s">
        <v>309</v>
      </c>
      <c r="G1942" s="106"/>
      <c r="H1942" s="33">
        <v>43221</v>
      </c>
      <c r="I1942" s="34">
        <v>1700588980</v>
      </c>
      <c r="J1942" s="36">
        <v>178.25</v>
      </c>
      <c r="K1942" t="s">
        <v>2030</v>
      </c>
    </row>
    <row r="1943" spans="1:11" x14ac:dyDescent="0.3">
      <c r="A1943" t="s">
        <v>818</v>
      </c>
      <c r="B1943" s="33">
        <v>43262</v>
      </c>
      <c r="C1943" s="76">
        <v>13808000597073</v>
      </c>
      <c r="D1943" s="34">
        <v>1</v>
      </c>
      <c r="E1943" s="35" t="s">
        <v>3705</v>
      </c>
      <c r="F1943" s="35" t="s">
        <v>308</v>
      </c>
      <c r="G1943" s="106"/>
      <c r="H1943" s="33">
        <v>43221</v>
      </c>
      <c r="I1943" s="34">
        <v>1700588979</v>
      </c>
      <c r="J1943" s="36">
        <v>178.25</v>
      </c>
      <c r="K1943" t="s">
        <v>2030</v>
      </c>
    </row>
    <row r="1944" spans="1:11" x14ac:dyDescent="0.3">
      <c r="A1944" t="s">
        <v>818</v>
      </c>
      <c r="B1944" s="33">
        <v>43262</v>
      </c>
      <c r="C1944" s="76">
        <v>13808000597073</v>
      </c>
      <c r="D1944" s="19">
        <v>1</v>
      </c>
      <c r="E1944" s="20" t="s">
        <v>3705</v>
      </c>
      <c r="F1944" s="20" t="s">
        <v>299</v>
      </c>
      <c r="G1944" s="105"/>
      <c r="H1944" s="33">
        <v>43221</v>
      </c>
      <c r="I1944" s="34">
        <v>1700588978</v>
      </c>
      <c r="J1944" s="21">
        <v>178.25</v>
      </c>
      <c r="K1944" t="s">
        <v>2030</v>
      </c>
    </row>
    <row r="1945" spans="1:11" x14ac:dyDescent="0.3">
      <c r="A1945" t="s">
        <v>818</v>
      </c>
      <c r="B1945" s="33">
        <v>43262</v>
      </c>
      <c r="C1945" s="76">
        <v>13808000597073</v>
      </c>
      <c r="D1945" s="19">
        <v>1</v>
      </c>
      <c r="E1945" s="20" t="s">
        <v>3705</v>
      </c>
      <c r="F1945" s="20" t="s">
        <v>149</v>
      </c>
      <c r="G1945" s="105"/>
      <c r="H1945" s="33">
        <v>43221</v>
      </c>
      <c r="I1945" s="34">
        <v>1700588977</v>
      </c>
      <c r="J1945" s="21">
        <v>178.25</v>
      </c>
      <c r="K1945" t="s">
        <v>2030</v>
      </c>
    </row>
    <row r="1946" spans="1:11" x14ac:dyDescent="0.3">
      <c r="A1946" t="s">
        <v>818</v>
      </c>
      <c r="B1946" s="33">
        <v>43262</v>
      </c>
      <c r="C1946" s="76">
        <v>13808000597073</v>
      </c>
      <c r="D1946" s="19">
        <v>1</v>
      </c>
      <c r="E1946" s="20" t="s">
        <v>3705</v>
      </c>
      <c r="F1946" s="20" t="s">
        <v>152</v>
      </c>
      <c r="G1946" s="105"/>
      <c r="H1946" s="33">
        <v>43221</v>
      </c>
      <c r="I1946" s="34">
        <v>1700588976</v>
      </c>
      <c r="J1946" s="21">
        <v>178.25</v>
      </c>
      <c r="K1946" t="s">
        <v>2030</v>
      </c>
    </row>
    <row r="1947" spans="1:11" x14ac:dyDescent="0.3">
      <c r="A1947" t="s">
        <v>818</v>
      </c>
      <c r="B1947" s="33">
        <v>43262</v>
      </c>
      <c r="C1947" s="76">
        <v>13808000597073</v>
      </c>
      <c r="D1947" s="19">
        <v>1</v>
      </c>
      <c r="E1947" s="20" t="s">
        <v>3705</v>
      </c>
      <c r="F1947" s="20" t="s">
        <v>296</v>
      </c>
      <c r="G1947" s="105"/>
      <c r="H1947" s="33">
        <v>43221</v>
      </c>
      <c r="I1947" s="34">
        <v>1700588975</v>
      </c>
      <c r="J1947" s="21">
        <v>178.25</v>
      </c>
      <c r="K1947" t="s">
        <v>2030</v>
      </c>
    </row>
    <row r="1948" spans="1:11" x14ac:dyDescent="0.3">
      <c r="A1948" t="s">
        <v>818</v>
      </c>
      <c r="B1948" s="33">
        <v>43262</v>
      </c>
      <c r="C1948" s="76">
        <v>13808000597073</v>
      </c>
      <c r="D1948" s="19">
        <v>1</v>
      </c>
      <c r="E1948" s="20" t="s">
        <v>3705</v>
      </c>
      <c r="F1948" s="20" t="s">
        <v>150</v>
      </c>
      <c r="G1948" s="105"/>
      <c r="H1948" s="33">
        <v>43221</v>
      </c>
      <c r="I1948" s="34">
        <v>1700588974</v>
      </c>
      <c r="J1948" s="21">
        <v>178.25</v>
      </c>
      <c r="K1948" t="s">
        <v>2030</v>
      </c>
    </row>
    <row r="1949" spans="1:11" x14ac:dyDescent="0.3">
      <c r="A1949" t="s">
        <v>818</v>
      </c>
      <c r="B1949" s="33">
        <v>43262</v>
      </c>
      <c r="C1949" s="76">
        <v>13808000597073</v>
      </c>
      <c r="D1949" s="19">
        <v>1</v>
      </c>
      <c r="E1949" s="20" t="s">
        <v>3705</v>
      </c>
      <c r="F1949" s="20" t="s">
        <v>148</v>
      </c>
      <c r="G1949" s="105"/>
      <c r="H1949" s="33">
        <v>43221</v>
      </c>
      <c r="I1949" s="34">
        <v>1700588973</v>
      </c>
      <c r="J1949" s="21">
        <v>178.25</v>
      </c>
      <c r="K1949" t="s">
        <v>2030</v>
      </c>
    </row>
    <row r="1950" spans="1:11" x14ac:dyDescent="0.3">
      <c r="A1950" t="s">
        <v>818</v>
      </c>
      <c r="B1950" s="33">
        <v>43262</v>
      </c>
      <c r="C1950" s="76">
        <v>13808000597073</v>
      </c>
      <c r="D1950" s="19">
        <v>1</v>
      </c>
      <c r="E1950" s="20" t="s">
        <v>3705</v>
      </c>
      <c r="F1950" s="20" t="s">
        <v>298</v>
      </c>
      <c r="G1950" s="105"/>
      <c r="H1950" s="33">
        <v>43221</v>
      </c>
      <c r="I1950" s="34">
        <v>1700588972</v>
      </c>
      <c r="J1950" s="21">
        <v>178.25</v>
      </c>
      <c r="K1950" t="s">
        <v>2030</v>
      </c>
    </row>
    <row r="1951" spans="1:11" x14ac:dyDescent="0.3">
      <c r="A1951" t="s">
        <v>818</v>
      </c>
      <c r="B1951" s="33">
        <v>43262</v>
      </c>
      <c r="C1951" s="76">
        <v>13808000597073</v>
      </c>
      <c r="D1951" s="19">
        <v>1</v>
      </c>
      <c r="E1951" s="20" t="s">
        <v>3705</v>
      </c>
      <c r="F1951" s="20" t="s">
        <v>151</v>
      </c>
      <c r="G1951" s="105"/>
      <c r="H1951" s="33">
        <v>43221</v>
      </c>
      <c r="I1951" s="34">
        <v>1700588971</v>
      </c>
      <c r="J1951" s="21">
        <v>178.25</v>
      </c>
      <c r="K1951" t="s">
        <v>2030</v>
      </c>
    </row>
    <row r="1952" spans="1:11" x14ac:dyDescent="0.3">
      <c r="A1952" t="s">
        <v>818</v>
      </c>
      <c r="B1952" s="33">
        <v>43262</v>
      </c>
      <c r="C1952" s="76">
        <v>13808000597073</v>
      </c>
      <c r="D1952" s="19">
        <v>1</v>
      </c>
      <c r="E1952" s="20" t="s">
        <v>3705</v>
      </c>
      <c r="F1952" s="20" t="s">
        <v>297</v>
      </c>
      <c r="G1952" s="105"/>
      <c r="H1952" s="33">
        <v>43221</v>
      </c>
      <c r="I1952" s="34">
        <v>1700588970</v>
      </c>
      <c r="J1952" s="21">
        <v>178.25</v>
      </c>
      <c r="K1952" t="s">
        <v>2030</v>
      </c>
    </row>
    <row r="1953" spans="1:11" x14ac:dyDescent="0.3">
      <c r="A1953" t="s">
        <v>818</v>
      </c>
      <c r="B1953" s="33">
        <v>43262</v>
      </c>
      <c r="C1953" s="76">
        <v>13808000597073</v>
      </c>
      <c r="D1953" s="19">
        <v>1</v>
      </c>
      <c r="E1953" s="20" t="s">
        <v>3705</v>
      </c>
      <c r="F1953" s="20" t="s">
        <v>146</v>
      </c>
      <c r="G1953" s="105"/>
      <c r="H1953" s="33">
        <v>43221</v>
      </c>
      <c r="I1953" s="34">
        <v>1700588969</v>
      </c>
      <c r="J1953" s="21">
        <v>178.25</v>
      </c>
      <c r="K1953" t="s">
        <v>2030</v>
      </c>
    </row>
    <row r="1954" spans="1:11" x14ac:dyDescent="0.3">
      <c r="A1954" t="s">
        <v>818</v>
      </c>
      <c r="B1954" s="33">
        <v>43262</v>
      </c>
      <c r="C1954" s="76">
        <v>13808000597073</v>
      </c>
      <c r="D1954" s="19">
        <v>1</v>
      </c>
      <c r="E1954" s="20" t="s">
        <v>3705</v>
      </c>
      <c r="F1954" s="20" t="s">
        <v>147</v>
      </c>
      <c r="G1954" s="105"/>
      <c r="H1954" s="33">
        <v>43221</v>
      </c>
      <c r="I1954" s="34">
        <v>1700588968</v>
      </c>
      <c r="J1954" s="21">
        <v>178.25</v>
      </c>
      <c r="K1954" t="s">
        <v>2030</v>
      </c>
    </row>
    <row r="1955" spans="1:11" x14ac:dyDescent="0.3">
      <c r="A1955" t="s">
        <v>818</v>
      </c>
      <c r="B1955" s="33">
        <v>43262</v>
      </c>
      <c r="C1955" s="76">
        <v>13808000597073</v>
      </c>
      <c r="D1955" s="19">
        <v>1</v>
      </c>
      <c r="E1955" s="20" t="s">
        <v>3705</v>
      </c>
      <c r="F1955" s="20" t="s">
        <v>139</v>
      </c>
      <c r="G1955" s="105"/>
      <c r="H1955" s="33">
        <v>43221</v>
      </c>
      <c r="I1955" s="34">
        <v>1700588967</v>
      </c>
      <c r="J1955" s="21">
        <v>232.5</v>
      </c>
      <c r="K1955" t="s">
        <v>2030</v>
      </c>
    </row>
    <row r="1956" spans="1:11" x14ac:dyDescent="0.3">
      <c r="A1956" t="s">
        <v>818</v>
      </c>
      <c r="B1956" s="33">
        <v>43262</v>
      </c>
      <c r="C1956" s="76">
        <v>13808000597073</v>
      </c>
      <c r="D1956" s="19">
        <v>1</v>
      </c>
      <c r="E1956" s="20" t="s">
        <v>3705</v>
      </c>
      <c r="F1956" s="20" t="s">
        <v>125</v>
      </c>
      <c r="G1956" s="105"/>
      <c r="H1956" s="33">
        <v>43221</v>
      </c>
      <c r="I1956" s="34">
        <v>1700593711</v>
      </c>
      <c r="J1956" s="21">
        <v>178.25</v>
      </c>
      <c r="K1956" t="s">
        <v>2030</v>
      </c>
    </row>
    <row r="1957" spans="1:11" x14ac:dyDescent="0.3">
      <c r="A1957" t="s">
        <v>818</v>
      </c>
      <c r="B1957" s="33">
        <v>43262</v>
      </c>
      <c r="C1957" s="76">
        <v>13808000597073</v>
      </c>
      <c r="D1957" s="19">
        <v>1</v>
      </c>
      <c r="E1957" s="20" t="s">
        <v>3705</v>
      </c>
      <c r="F1957" s="20" t="s">
        <v>126</v>
      </c>
      <c r="G1957" s="105"/>
      <c r="H1957" s="33">
        <v>43221</v>
      </c>
      <c r="I1957" s="34">
        <v>1700593710</v>
      </c>
      <c r="J1957" s="21">
        <v>178.25</v>
      </c>
      <c r="K1957" t="s">
        <v>2030</v>
      </c>
    </row>
    <row r="1958" spans="1:11" x14ac:dyDescent="0.3">
      <c r="A1958" t="s">
        <v>818</v>
      </c>
      <c r="B1958" s="33">
        <v>43262</v>
      </c>
      <c r="C1958" s="76">
        <v>13808000597073</v>
      </c>
      <c r="D1958" s="19">
        <v>1</v>
      </c>
      <c r="E1958" s="20" t="s">
        <v>3705</v>
      </c>
      <c r="F1958" s="20" t="s">
        <v>39</v>
      </c>
      <c r="G1958" s="105"/>
      <c r="H1958" s="33">
        <v>43221</v>
      </c>
      <c r="I1958" s="34">
        <v>1700589045</v>
      </c>
      <c r="J1958" s="21">
        <v>178.25</v>
      </c>
      <c r="K1958" t="s">
        <v>2030</v>
      </c>
    </row>
    <row r="1959" spans="1:11" x14ac:dyDescent="0.3">
      <c r="A1959" t="s">
        <v>818</v>
      </c>
      <c r="B1959" s="33">
        <v>43262</v>
      </c>
      <c r="C1959" s="76">
        <v>13808000597073</v>
      </c>
      <c r="D1959" s="19">
        <v>1</v>
      </c>
      <c r="E1959" s="20" t="s">
        <v>3705</v>
      </c>
      <c r="F1959" s="20" t="s">
        <v>27</v>
      </c>
      <c r="G1959" s="105"/>
      <c r="H1959" s="33">
        <v>43221</v>
      </c>
      <c r="I1959" s="34">
        <v>1700589044</v>
      </c>
      <c r="J1959" s="21">
        <v>178.25</v>
      </c>
      <c r="K1959" t="s">
        <v>2030</v>
      </c>
    </row>
    <row r="1960" spans="1:11" x14ac:dyDescent="0.3">
      <c r="A1960" t="s">
        <v>818</v>
      </c>
      <c r="B1960" s="33">
        <v>43262</v>
      </c>
      <c r="C1960" s="76">
        <v>13808000597073</v>
      </c>
      <c r="D1960" s="19">
        <v>1</v>
      </c>
      <c r="E1960" s="20" t="s">
        <v>3705</v>
      </c>
      <c r="F1960" s="20" t="s">
        <v>16</v>
      </c>
      <c r="G1960" s="105"/>
      <c r="H1960" s="33">
        <v>43221</v>
      </c>
      <c r="I1960" s="34">
        <v>1700589043</v>
      </c>
      <c r="J1960" s="21">
        <v>232.5</v>
      </c>
      <c r="K1960" t="s">
        <v>2030</v>
      </c>
    </row>
    <row r="1961" spans="1:11" x14ac:dyDescent="0.3">
      <c r="A1961" t="s">
        <v>818</v>
      </c>
      <c r="B1961" s="33">
        <v>43262</v>
      </c>
      <c r="C1961" s="76">
        <v>13808000597073</v>
      </c>
      <c r="D1961" s="19">
        <v>1</v>
      </c>
      <c r="E1961" s="20" t="s">
        <v>3705</v>
      </c>
      <c r="F1961" s="20" t="s">
        <v>37</v>
      </c>
      <c r="G1961" s="105"/>
      <c r="H1961" s="33">
        <v>43221</v>
      </c>
      <c r="I1961" s="34">
        <v>1700589042</v>
      </c>
      <c r="J1961" s="21">
        <v>178.25</v>
      </c>
      <c r="K1961" t="s">
        <v>2030</v>
      </c>
    </row>
    <row r="1962" spans="1:11" x14ac:dyDescent="0.3">
      <c r="A1962" t="s">
        <v>818</v>
      </c>
      <c r="B1962" s="33">
        <v>43262</v>
      </c>
      <c r="C1962" s="76">
        <v>13808000597073</v>
      </c>
      <c r="D1962" s="19">
        <v>1</v>
      </c>
      <c r="E1962" s="20" t="s">
        <v>3705</v>
      </c>
      <c r="F1962" s="20" t="s">
        <v>20</v>
      </c>
      <c r="G1962" s="105"/>
      <c r="H1962" s="33">
        <v>43221</v>
      </c>
      <c r="I1962" s="34">
        <v>1700589041</v>
      </c>
      <c r="J1962" s="21">
        <v>232.5</v>
      </c>
      <c r="K1962" t="s">
        <v>2030</v>
      </c>
    </row>
    <row r="1963" spans="1:11" x14ac:dyDescent="0.3">
      <c r="A1963" t="s">
        <v>818</v>
      </c>
      <c r="B1963" s="33">
        <v>43262</v>
      </c>
      <c r="C1963" s="76">
        <v>13808000597073</v>
      </c>
      <c r="D1963" s="19">
        <v>1</v>
      </c>
      <c r="E1963" s="20" t="s">
        <v>3705</v>
      </c>
      <c r="F1963" s="20" t="s">
        <v>19</v>
      </c>
      <c r="G1963" s="105"/>
      <c r="H1963" s="33">
        <v>43221</v>
      </c>
      <c r="I1963" s="34">
        <v>1700589040</v>
      </c>
      <c r="J1963" s="21">
        <v>232.5</v>
      </c>
      <c r="K1963" t="s">
        <v>2030</v>
      </c>
    </row>
    <row r="1964" spans="1:11" x14ac:dyDescent="0.3">
      <c r="A1964" t="s">
        <v>818</v>
      </c>
      <c r="B1964" s="33">
        <v>43262</v>
      </c>
      <c r="C1964" s="76">
        <v>13808000597073</v>
      </c>
      <c r="D1964" s="19">
        <v>1</v>
      </c>
      <c r="E1964" s="20" t="s">
        <v>3705</v>
      </c>
      <c r="F1964" s="20" t="s">
        <v>28</v>
      </c>
      <c r="G1964" s="105"/>
      <c r="H1964" s="33">
        <v>43221</v>
      </c>
      <c r="I1964" s="34">
        <v>1700589039</v>
      </c>
      <c r="J1964" s="21">
        <v>178.25</v>
      </c>
      <c r="K1964" t="s">
        <v>2030</v>
      </c>
    </row>
    <row r="1965" spans="1:11" x14ac:dyDescent="0.3">
      <c r="A1965" t="s">
        <v>818</v>
      </c>
      <c r="B1965" s="33">
        <v>43262</v>
      </c>
      <c r="C1965" s="76">
        <v>13808000597073</v>
      </c>
      <c r="D1965" s="19">
        <v>1</v>
      </c>
      <c r="E1965" s="20" t="s">
        <v>3705</v>
      </c>
      <c r="F1965" s="20" t="s">
        <v>25</v>
      </c>
      <c r="G1965" s="105"/>
      <c r="H1965" s="33">
        <v>43221</v>
      </c>
      <c r="I1965" s="34">
        <v>1700589038</v>
      </c>
      <c r="J1965" s="21">
        <v>232.5</v>
      </c>
      <c r="K1965" t="s">
        <v>2030</v>
      </c>
    </row>
    <row r="1966" spans="1:11" x14ac:dyDescent="0.3">
      <c r="A1966" t="s">
        <v>818</v>
      </c>
      <c r="B1966" s="33">
        <v>43262</v>
      </c>
      <c r="C1966" s="76">
        <v>13808000597073</v>
      </c>
      <c r="D1966" s="19">
        <v>1</v>
      </c>
      <c r="E1966" s="20" t="s">
        <v>3705</v>
      </c>
      <c r="F1966" s="20" t="s">
        <v>24</v>
      </c>
      <c r="G1966" s="105"/>
      <c r="H1966" s="33">
        <v>43221</v>
      </c>
      <c r="I1966" s="34">
        <v>1700589037</v>
      </c>
      <c r="J1966" s="21">
        <v>232.5</v>
      </c>
      <c r="K1966" t="s">
        <v>2030</v>
      </c>
    </row>
    <row r="1967" spans="1:11" x14ac:dyDescent="0.3">
      <c r="A1967" t="s">
        <v>818</v>
      </c>
      <c r="B1967" s="33">
        <v>43262</v>
      </c>
      <c r="C1967" s="76">
        <v>13808000597073</v>
      </c>
      <c r="D1967" s="19">
        <v>1</v>
      </c>
      <c r="E1967" s="20" t="s">
        <v>3705</v>
      </c>
      <c r="F1967" s="20" t="s">
        <v>38</v>
      </c>
      <c r="G1967" s="105"/>
      <c r="H1967" s="33">
        <v>43221</v>
      </c>
      <c r="I1967" s="34">
        <v>1700589036</v>
      </c>
      <c r="J1967" s="21">
        <v>178.25</v>
      </c>
      <c r="K1967" t="s">
        <v>2030</v>
      </c>
    </row>
    <row r="1968" spans="1:11" x14ac:dyDescent="0.3">
      <c r="A1968" t="s">
        <v>818</v>
      </c>
      <c r="B1968" s="33">
        <v>43262</v>
      </c>
      <c r="C1968" s="76">
        <v>13808000597073</v>
      </c>
      <c r="D1968" s="19">
        <v>1</v>
      </c>
      <c r="E1968" s="20" t="s">
        <v>3705</v>
      </c>
      <c r="F1968" s="20" t="s">
        <v>26</v>
      </c>
      <c r="G1968" s="105"/>
      <c r="H1968" s="33">
        <v>43221</v>
      </c>
      <c r="I1968" s="34">
        <v>1700589035</v>
      </c>
      <c r="J1968" s="21">
        <v>232.5</v>
      </c>
      <c r="K1968" t="s">
        <v>2030</v>
      </c>
    </row>
    <row r="1969" spans="1:11" x14ac:dyDescent="0.3">
      <c r="A1969" t="s">
        <v>818</v>
      </c>
      <c r="B1969" s="33">
        <v>43262</v>
      </c>
      <c r="C1969" s="76">
        <v>13808000597073</v>
      </c>
      <c r="D1969" s="19">
        <v>1</v>
      </c>
      <c r="E1969" s="20" t="s">
        <v>3705</v>
      </c>
      <c r="F1969" s="20" t="s">
        <v>13</v>
      </c>
      <c r="G1969" s="105"/>
      <c r="H1969" s="33">
        <v>43221</v>
      </c>
      <c r="I1969" s="34">
        <v>1700589034</v>
      </c>
      <c r="J1969" s="21">
        <v>232.5</v>
      </c>
      <c r="K1969" t="s">
        <v>2030</v>
      </c>
    </row>
    <row r="1970" spans="1:11" x14ac:dyDescent="0.3">
      <c r="A1970" t="s">
        <v>818</v>
      </c>
      <c r="B1970" s="33">
        <v>43262</v>
      </c>
      <c r="C1970" s="76">
        <v>13808000597073</v>
      </c>
      <c r="D1970" s="19">
        <v>1</v>
      </c>
      <c r="E1970" s="20" t="s">
        <v>3705</v>
      </c>
      <c r="F1970" s="20" t="s">
        <v>343</v>
      </c>
      <c r="G1970" s="105"/>
      <c r="H1970" s="33">
        <v>43221</v>
      </c>
      <c r="I1970" s="34">
        <v>1700589033</v>
      </c>
      <c r="J1970" s="21">
        <v>178.25</v>
      </c>
      <c r="K1970" t="s">
        <v>2030</v>
      </c>
    </row>
    <row r="1971" spans="1:11" x14ac:dyDescent="0.3">
      <c r="A1971" t="s">
        <v>818</v>
      </c>
      <c r="B1971" s="33">
        <v>43262</v>
      </c>
      <c r="C1971" s="76">
        <v>13808000597073</v>
      </c>
      <c r="D1971" s="19">
        <v>1</v>
      </c>
      <c r="E1971" s="20" t="s">
        <v>3705</v>
      </c>
      <c r="F1971" s="20" t="s">
        <v>21</v>
      </c>
      <c r="G1971" s="105"/>
      <c r="H1971" s="33">
        <v>43221</v>
      </c>
      <c r="I1971" s="34">
        <v>1700589032</v>
      </c>
      <c r="J1971" s="21">
        <v>232.5</v>
      </c>
      <c r="K1971" t="s">
        <v>2030</v>
      </c>
    </row>
    <row r="1972" spans="1:11" x14ac:dyDescent="0.3">
      <c r="A1972" t="s">
        <v>818</v>
      </c>
      <c r="B1972" s="33">
        <v>43262</v>
      </c>
      <c r="C1972" s="76">
        <v>13808000597073</v>
      </c>
      <c r="D1972" s="19">
        <v>1</v>
      </c>
      <c r="E1972" s="20" t="s">
        <v>3705</v>
      </c>
      <c r="F1972" s="20" t="s">
        <v>18</v>
      </c>
      <c r="G1972" s="105"/>
      <c r="H1972" s="33">
        <v>43221</v>
      </c>
      <c r="I1972" s="34">
        <v>1700589031</v>
      </c>
      <c r="J1972" s="21">
        <v>232.5</v>
      </c>
      <c r="K1972" t="s">
        <v>2030</v>
      </c>
    </row>
    <row r="1973" spans="1:11" x14ac:dyDescent="0.3">
      <c r="A1973" t="s">
        <v>818</v>
      </c>
      <c r="B1973" s="33">
        <v>43262</v>
      </c>
      <c r="C1973" s="76">
        <v>13808000597073</v>
      </c>
      <c r="D1973" s="19">
        <v>1</v>
      </c>
      <c r="E1973" s="20" t="s">
        <v>3705</v>
      </c>
      <c r="F1973" s="20" t="s">
        <v>23</v>
      </c>
      <c r="G1973" s="105"/>
      <c r="H1973" s="33">
        <v>43221</v>
      </c>
      <c r="I1973" s="34">
        <v>1700589030</v>
      </c>
      <c r="J1973" s="21">
        <v>232.5</v>
      </c>
      <c r="K1973" t="s">
        <v>2030</v>
      </c>
    </row>
    <row r="1974" spans="1:11" x14ac:dyDescent="0.3">
      <c r="A1974" t="s">
        <v>818</v>
      </c>
      <c r="B1974" s="33">
        <v>43262</v>
      </c>
      <c r="C1974" s="76">
        <v>13808000597073</v>
      </c>
      <c r="D1974" s="19">
        <v>1</v>
      </c>
      <c r="E1974" s="20" t="s">
        <v>3705</v>
      </c>
      <c r="F1974" s="20" t="s">
        <v>22</v>
      </c>
      <c r="G1974" s="105"/>
      <c r="H1974" s="33">
        <v>43221</v>
      </c>
      <c r="I1974" s="34">
        <v>1700589029</v>
      </c>
      <c r="J1974" s="21">
        <v>232.5</v>
      </c>
      <c r="K1974" t="s">
        <v>2030</v>
      </c>
    </row>
    <row r="1975" spans="1:11" x14ac:dyDescent="0.3">
      <c r="A1975" t="s">
        <v>818</v>
      </c>
      <c r="B1975" s="33">
        <v>43262</v>
      </c>
      <c r="C1975" s="76">
        <v>13808000597073</v>
      </c>
      <c r="D1975" s="19">
        <v>1</v>
      </c>
      <c r="E1975" s="20" t="s">
        <v>3705</v>
      </c>
      <c r="F1975" s="20" t="s">
        <v>15</v>
      </c>
      <c r="G1975" s="105"/>
      <c r="H1975" s="33">
        <v>43221</v>
      </c>
      <c r="I1975" s="34">
        <v>1700589028</v>
      </c>
      <c r="J1975" s="21">
        <v>232.5</v>
      </c>
      <c r="K1975" t="s">
        <v>2030</v>
      </c>
    </row>
    <row r="1976" spans="1:11" x14ac:dyDescent="0.3">
      <c r="A1976" t="s">
        <v>818</v>
      </c>
      <c r="B1976" s="33">
        <v>43262</v>
      </c>
      <c r="C1976" s="76">
        <v>13808000597073</v>
      </c>
      <c r="D1976" s="19">
        <v>1</v>
      </c>
      <c r="E1976" s="20" t="s">
        <v>3705</v>
      </c>
      <c r="F1976" s="20" t="s">
        <v>344</v>
      </c>
      <c r="G1976" s="105"/>
      <c r="H1976" s="33">
        <v>43221</v>
      </c>
      <c r="I1976" s="34">
        <v>1700589027</v>
      </c>
      <c r="J1976" s="21">
        <v>178.25</v>
      </c>
      <c r="K1976" t="s">
        <v>2030</v>
      </c>
    </row>
    <row r="1977" spans="1:11" x14ac:dyDescent="0.3">
      <c r="A1977" t="s">
        <v>818</v>
      </c>
      <c r="B1977" s="33">
        <v>43262</v>
      </c>
      <c r="C1977" s="76">
        <v>13808000597073</v>
      </c>
      <c r="D1977" s="19">
        <v>1</v>
      </c>
      <c r="E1977" s="20" t="s">
        <v>3705</v>
      </c>
      <c r="F1977" s="20" t="s">
        <v>14</v>
      </c>
      <c r="G1977" s="105"/>
      <c r="H1977" s="33">
        <v>43221</v>
      </c>
      <c r="I1977" s="34">
        <v>1700589026</v>
      </c>
      <c r="J1977" s="21">
        <v>232.5</v>
      </c>
      <c r="K1977" t="s">
        <v>2030</v>
      </c>
    </row>
    <row r="1978" spans="1:11" x14ac:dyDescent="0.3">
      <c r="A1978" t="s">
        <v>818</v>
      </c>
      <c r="B1978" s="33">
        <v>43262</v>
      </c>
      <c r="C1978" s="76">
        <v>13808000597073</v>
      </c>
      <c r="D1978" s="19">
        <v>1</v>
      </c>
      <c r="E1978" s="20" t="s">
        <v>3705</v>
      </c>
      <c r="F1978" s="20" t="s">
        <v>17</v>
      </c>
      <c r="G1978" s="105"/>
      <c r="H1978" s="33">
        <v>43221</v>
      </c>
      <c r="I1978" s="34">
        <v>1700589025</v>
      </c>
      <c r="J1978" s="21">
        <v>232.5</v>
      </c>
      <c r="K1978" t="s">
        <v>2030</v>
      </c>
    </row>
    <row r="1979" spans="1:11" x14ac:dyDescent="0.3">
      <c r="A1979" t="s">
        <v>818</v>
      </c>
      <c r="B1979" s="33">
        <v>43262</v>
      </c>
      <c r="C1979" s="76">
        <v>13808000597073</v>
      </c>
      <c r="D1979" s="19">
        <v>1</v>
      </c>
      <c r="E1979" s="20" t="s">
        <v>3705</v>
      </c>
      <c r="F1979" s="20" t="s">
        <v>342</v>
      </c>
      <c r="G1979" s="105"/>
      <c r="H1979" s="33">
        <v>43221</v>
      </c>
      <c r="I1979" s="34">
        <v>1700589024</v>
      </c>
      <c r="J1979" s="21">
        <v>178.25</v>
      </c>
      <c r="K1979" t="s">
        <v>2030</v>
      </c>
    </row>
    <row r="1980" spans="1:11" x14ac:dyDescent="0.3">
      <c r="A1980" t="s">
        <v>818</v>
      </c>
      <c r="B1980" s="33">
        <v>43262</v>
      </c>
      <c r="C1980" s="76">
        <v>13808000597073</v>
      </c>
      <c r="D1980" s="19">
        <v>1</v>
      </c>
      <c r="E1980" s="20" t="s">
        <v>3705</v>
      </c>
      <c r="F1980" s="20" t="s">
        <v>340</v>
      </c>
      <c r="G1980" s="105"/>
      <c r="H1980" s="33">
        <v>43221</v>
      </c>
      <c r="I1980" s="34">
        <v>1700589023</v>
      </c>
      <c r="J1980" s="21">
        <v>178.25</v>
      </c>
      <c r="K1980" t="s">
        <v>2030</v>
      </c>
    </row>
    <row r="1981" spans="1:11" x14ac:dyDescent="0.3">
      <c r="A1981" t="s">
        <v>818</v>
      </c>
      <c r="B1981" s="33">
        <v>43262</v>
      </c>
      <c r="C1981" s="76">
        <v>13808000597073</v>
      </c>
      <c r="D1981" s="19">
        <v>1</v>
      </c>
      <c r="E1981" s="20" t="s">
        <v>3705</v>
      </c>
      <c r="F1981" s="20" t="s">
        <v>339</v>
      </c>
      <c r="G1981" s="105"/>
      <c r="H1981" s="33">
        <v>43221</v>
      </c>
      <c r="I1981" s="34">
        <v>1700589022</v>
      </c>
      <c r="J1981" s="21">
        <v>232.5</v>
      </c>
      <c r="K1981" t="s">
        <v>2030</v>
      </c>
    </row>
    <row r="1982" spans="1:11" x14ac:dyDescent="0.3">
      <c r="A1982" t="s">
        <v>818</v>
      </c>
      <c r="B1982" s="33">
        <v>43262</v>
      </c>
      <c r="C1982" s="76">
        <v>13808000597073</v>
      </c>
      <c r="D1982" s="19">
        <v>1</v>
      </c>
      <c r="E1982" s="20" t="s">
        <v>3705</v>
      </c>
      <c r="F1982" s="20" t="s">
        <v>341</v>
      </c>
      <c r="G1982" s="105"/>
      <c r="H1982" s="33">
        <v>43221</v>
      </c>
      <c r="I1982" s="34">
        <v>1700589021</v>
      </c>
      <c r="J1982" s="21">
        <v>178.25</v>
      </c>
      <c r="K1982" t="s">
        <v>2030</v>
      </c>
    </row>
    <row r="1983" spans="1:11" x14ac:dyDescent="0.3">
      <c r="A1983" t="s">
        <v>818</v>
      </c>
      <c r="B1983" s="33">
        <v>43262</v>
      </c>
      <c r="C1983" s="76">
        <v>13808000597073</v>
      </c>
      <c r="D1983" s="19">
        <v>1</v>
      </c>
      <c r="E1983" s="20" t="s">
        <v>3705</v>
      </c>
      <c r="F1983" s="20" t="s">
        <v>333</v>
      </c>
      <c r="G1983" s="105"/>
      <c r="H1983" s="33">
        <v>43221</v>
      </c>
      <c r="I1983" s="34">
        <v>1700589020</v>
      </c>
      <c r="J1983" s="21">
        <v>232.5</v>
      </c>
      <c r="K1983" t="s">
        <v>2030</v>
      </c>
    </row>
    <row r="1984" spans="1:11" x14ac:dyDescent="0.3">
      <c r="A1984" t="s">
        <v>818</v>
      </c>
      <c r="B1984" s="33">
        <v>43262</v>
      </c>
      <c r="C1984" s="76">
        <v>13808000597073</v>
      </c>
      <c r="D1984" s="19">
        <v>1</v>
      </c>
      <c r="E1984" s="20" t="s">
        <v>3705</v>
      </c>
      <c r="F1984" s="20" t="s">
        <v>336</v>
      </c>
      <c r="G1984" s="105"/>
      <c r="H1984" s="33">
        <v>43221</v>
      </c>
      <c r="I1984" s="34">
        <v>1700589019</v>
      </c>
      <c r="J1984" s="21">
        <v>232.5</v>
      </c>
      <c r="K1984" t="s">
        <v>2030</v>
      </c>
    </row>
    <row r="1985" spans="1:11" x14ac:dyDescent="0.3">
      <c r="A1985" t="s">
        <v>818</v>
      </c>
      <c r="B1985" s="33">
        <v>43262</v>
      </c>
      <c r="C1985" s="76">
        <v>13808000597073</v>
      </c>
      <c r="D1985" s="19">
        <v>1</v>
      </c>
      <c r="E1985" s="20" t="s">
        <v>3705</v>
      </c>
      <c r="F1985" s="20" t="s">
        <v>331</v>
      </c>
      <c r="G1985" s="105"/>
      <c r="H1985" s="33">
        <v>43221</v>
      </c>
      <c r="I1985" s="34">
        <v>1700589018</v>
      </c>
      <c r="J1985" s="21">
        <v>232.5</v>
      </c>
      <c r="K1985" t="s">
        <v>2030</v>
      </c>
    </row>
    <row r="1986" spans="1:11" x14ac:dyDescent="0.3">
      <c r="A1986" t="s">
        <v>818</v>
      </c>
      <c r="B1986" s="33">
        <v>43262</v>
      </c>
      <c r="C1986" s="76">
        <v>13808000597073</v>
      </c>
      <c r="D1986" s="19">
        <v>1</v>
      </c>
      <c r="E1986" s="20" t="s">
        <v>3705</v>
      </c>
      <c r="F1986" s="20" t="s">
        <v>337</v>
      </c>
      <c r="G1986" s="105"/>
      <c r="H1986" s="33">
        <v>43221</v>
      </c>
      <c r="I1986" s="34">
        <v>1700589017</v>
      </c>
      <c r="J1986" s="21">
        <v>232.5</v>
      </c>
      <c r="K1986" t="s">
        <v>2030</v>
      </c>
    </row>
    <row r="1987" spans="1:11" x14ac:dyDescent="0.3">
      <c r="A1987" t="s">
        <v>818</v>
      </c>
      <c r="B1987" s="33">
        <v>43262</v>
      </c>
      <c r="C1987" s="76">
        <v>13808000597073</v>
      </c>
      <c r="D1987" s="19">
        <v>1</v>
      </c>
      <c r="E1987" s="20" t="s">
        <v>3705</v>
      </c>
      <c r="F1987" s="20" t="s">
        <v>338</v>
      </c>
      <c r="G1987" s="105"/>
      <c r="H1987" s="33">
        <v>43221</v>
      </c>
      <c r="I1987" s="34">
        <v>1700589016</v>
      </c>
      <c r="J1987" s="21">
        <v>232.5</v>
      </c>
      <c r="K1987" t="s">
        <v>2030</v>
      </c>
    </row>
    <row r="1988" spans="1:11" x14ac:dyDescent="0.3">
      <c r="A1988" t="s">
        <v>818</v>
      </c>
      <c r="B1988" s="33">
        <v>43262</v>
      </c>
      <c r="C1988" s="76">
        <v>13808000597073</v>
      </c>
      <c r="D1988" s="19">
        <v>1</v>
      </c>
      <c r="E1988" s="20" t="s">
        <v>3705</v>
      </c>
      <c r="F1988" s="20" t="s">
        <v>335</v>
      </c>
      <c r="G1988" s="105"/>
      <c r="H1988" s="33">
        <v>43221</v>
      </c>
      <c r="I1988" s="34">
        <v>1700589015</v>
      </c>
      <c r="J1988" s="21">
        <v>232.5</v>
      </c>
      <c r="K1988" t="s">
        <v>2030</v>
      </c>
    </row>
    <row r="1989" spans="1:11" x14ac:dyDescent="0.3">
      <c r="A1989" t="s">
        <v>818</v>
      </c>
      <c r="B1989" s="33">
        <v>43262</v>
      </c>
      <c r="C1989" s="76">
        <v>13808000597073</v>
      </c>
      <c r="D1989" s="19">
        <v>1</v>
      </c>
      <c r="E1989" s="20" t="s">
        <v>3705</v>
      </c>
      <c r="F1989" s="20" t="s">
        <v>332</v>
      </c>
      <c r="G1989" s="105"/>
      <c r="H1989" s="33">
        <v>43221</v>
      </c>
      <c r="I1989" s="34">
        <v>1700589014</v>
      </c>
      <c r="J1989" s="21">
        <v>232.5</v>
      </c>
      <c r="K1989" t="s">
        <v>2030</v>
      </c>
    </row>
    <row r="1990" spans="1:11" x14ac:dyDescent="0.3">
      <c r="A1990" t="s">
        <v>818</v>
      </c>
      <c r="B1990" s="33">
        <v>43262</v>
      </c>
      <c r="C1990" s="76">
        <v>13808000597073</v>
      </c>
      <c r="D1990" s="19">
        <v>1</v>
      </c>
      <c r="E1990" s="20" t="s">
        <v>3705</v>
      </c>
      <c r="F1990" s="20" t="s">
        <v>330</v>
      </c>
      <c r="G1990" s="105"/>
      <c r="H1990" s="33">
        <v>43221</v>
      </c>
      <c r="I1990" s="34">
        <v>1700589013</v>
      </c>
      <c r="J1990" s="21">
        <v>232.5</v>
      </c>
      <c r="K1990" t="s">
        <v>2030</v>
      </c>
    </row>
    <row r="1991" spans="1:11" x14ac:dyDescent="0.3">
      <c r="A1991" t="s">
        <v>818</v>
      </c>
      <c r="B1991" s="33">
        <v>43262</v>
      </c>
      <c r="C1991" s="76">
        <v>13808000597073</v>
      </c>
      <c r="D1991" s="19">
        <v>1</v>
      </c>
      <c r="E1991" s="20" t="s">
        <v>3705</v>
      </c>
      <c r="F1991" s="20" t="s">
        <v>334</v>
      </c>
      <c r="G1991" s="105"/>
      <c r="H1991" s="33">
        <v>43221</v>
      </c>
      <c r="I1991" s="34">
        <v>1700589012</v>
      </c>
      <c r="J1991" s="21">
        <v>232.5</v>
      </c>
      <c r="K1991" t="s">
        <v>2030</v>
      </c>
    </row>
    <row r="1992" spans="1:11" x14ac:dyDescent="0.3">
      <c r="A1992" t="s">
        <v>818</v>
      </c>
      <c r="B1992" s="33">
        <v>43262</v>
      </c>
      <c r="C1992" s="76">
        <v>13808000597073</v>
      </c>
      <c r="D1992" s="19">
        <v>1</v>
      </c>
      <c r="E1992" s="20" t="s">
        <v>3705</v>
      </c>
      <c r="F1992" s="20" t="s">
        <v>12</v>
      </c>
      <c r="G1992" s="105"/>
      <c r="H1992" s="33">
        <v>43221</v>
      </c>
      <c r="I1992" s="34">
        <v>1700589011</v>
      </c>
      <c r="J1992" s="21">
        <v>232.5</v>
      </c>
      <c r="K1992" t="s">
        <v>2030</v>
      </c>
    </row>
    <row r="1993" spans="1:11" x14ac:dyDescent="0.3">
      <c r="A1993" t="s">
        <v>818</v>
      </c>
      <c r="B1993" s="33">
        <v>43262</v>
      </c>
      <c r="C1993" s="76">
        <v>13808000597073</v>
      </c>
      <c r="D1993" s="19">
        <v>1</v>
      </c>
      <c r="E1993" s="20" t="s">
        <v>3705</v>
      </c>
      <c r="F1993" s="20" t="s">
        <v>328</v>
      </c>
      <c r="G1993" s="105"/>
      <c r="H1993" s="33">
        <v>43221</v>
      </c>
      <c r="I1993" s="34">
        <v>1700589010</v>
      </c>
      <c r="J1993" s="21">
        <v>178.25</v>
      </c>
      <c r="K1993" t="s">
        <v>2030</v>
      </c>
    </row>
    <row r="1994" spans="1:11" x14ac:dyDescent="0.3">
      <c r="A1994" t="s">
        <v>818</v>
      </c>
      <c r="B1994" s="33">
        <v>43262</v>
      </c>
      <c r="C1994" s="76">
        <v>13808000597073</v>
      </c>
      <c r="D1994" s="19">
        <v>1</v>
      </c>
      <c r="E1994" s="20" t="s">
        <v>3705</v>
      </c>
      <c r="F1994" s="20" t="s">
        <v>314</v>
      </c>
      <c r="G1994" s="105"/>
      <c r="H1994" s="33">
        <v>43221</v>
      </c>
      <c r="I1994" s="34">
        <v>1700589009</v>
      </c>
      <c r="J1994" s="21">
        <v>232.5</v>
      </c>
      <c r="K1994" t="s">
        <v>2030</v>
      </c>
    </row>
    <row r="1995" spans="1:11" x14ac:dyDescent="0.3">
      <c r="A1995" t="s">
        <v>818</v>
      </c>
      <c r="B1995" s="33">
        <v>43262</v>
      </c>
      <c r="C1995" s="76">
        <v>13808000597073</v>
      </c>
      <c r="D1995" s="19">
        <v>1</v>
      </c>
      <c r="E1995" s="20" t="s">
        <v>3705</v>
      </c>
      <c r="F1995" s="20" t="s">
        <v>325</v>
      </c>
      <c r="G1995" s="105"/>
      <c r="H1995" s="33">
        <v>43221</v>
      </c>
      <c r="I1995" s="34">
        <v>1700589007</v>
      </c>
      <c r="J1995" s="21">
        <v>178.25</v>
      </c>
      <c r="K1995" t="s">
        <v>2030</v>
      </c>
    </row>
    <row r="1996" spans="1:11" x14ac:dyDescent="0.3">
      <c r="A1996" t="s">
        <v>818</v>
      </c>
      <c r="B1996" s="33">
        <v>43262</v>
      </c>
      <c r="C1996" s="76">
        <v>13808000597073</v>
      </c>
      <c r="D1996" s="19">
        <v>1</v>
      </c>
      <c r="E1996" s="20" t="s">
        <v>3705</v>
      </c>
      <c r="F1996" s="20" t="s">
        <v>106</v>
      </c>
      <c r="G1996" s="105"/>
      <c r="H1996" s="33">
        <v>43221</v>
      </c>
      <c r="I1996" s="34">
        <v>1700588926</v>
      </c>
      <c r="J1996" s="21">
        <v>310</v>
      </c>
      <c r="K1996" t="s">
        <v>2030</v>
      </c>
    </row>
    <row r="1997" spans="1:11" x14ac:dyDescent="0.3">
      <c r="A1997" t="s">
        <v>818</v>
      </c>
      <c r="B1997" s="33">
        <v>43262</v>
      </c>
      <c r="C1997" s="76">
        <v>13808000597073</v>
      </c>
      <c r="D1997" s="19">
        <v>1</v>
      </c>
      <c r="E1997" s="20" t="s">
        <v>3705</v>
      </c>
      <c r="F1997" s="20" t="s">
        <v>105</v>
      </c>
      <c r="G1997" s="105"/>
      <c r="H1997" s="33">
        <v>43221</v>
      </c>
      <c r="I1997" s="34">
        <v>1700588925</v>
      </c>
      <c r="J1997" s="21">
        <v>310</v>
      </c>
      <c r="K1997" t="s">
        <v>2030</v>
      </c>
    </row>
    <row r="1998" spans="1:11" x14ac:dyDescent="0.3">
      <c r="A1998" t="s">
        <v>818</v>
      </c>
      <c r="B1998" s="33">
        <v>43262</v>
      </c>
      <c r="C1998" s="76">
        <v>13808000597073</v>
      </c>
      <c r="D1998" s="19">
        <v>1</v>
      </c>
      <c r="E1998" s="20" t="s">
        <v>3705</v>
      </c>
      <c r="F1998" s="20" t="s">
        <v>97</v>
      </c>
      <c r="G1998" s="105"/>
      <c r="H1998" s="33">
        <v>43221</v>
      </c>
      <c r="I1998" s="34">
        <v>1700588924</v>
      </c>
      <c r="J1998" s="21">
        <v>232.5</v>
      </c>
      <c r="K1998" t="s">
        <v>2030</v>
      </c>
    </row>
    <row r="1999" spans="1:11" x14ac:dyDescent="0.3">
      <c r="A1999" t="s">
        <v>818</v>
      </c>
      <c r="B1999" s="33">
        <v>43262</v>
      </c>
      <c r="C1999" s="76">
        <v>13808000597073</v>
      </c>
      <c r="D1999" s="19">
        <v>1</v>
      </c>
      <c r="E1999" s="20" t="s">
        <v>3705</v>
      </c>
      <c r="F1999" s="20" t="s">
        <v>101</v>
      </c>
      <c r="G1999" s="105"/>
      <c r="H1999" s="33">
        <v>43221</v>
      </c>
      <c r="I1999" s="34">
        <v>1700588923</v>
      </c>
      <c r="J1999" s="21">
        <v>232.5</v>
      </c>
      <c r="K1999" t="s">
        <v>2030</v>
      </c>
    </row>
    <row r="2000" spans="1:11" x14ac:dyDescent="0.3">
      <c r="A2000" t="s">
        <v>818</v>
      </c>
      <c r="B2000" s="33">
        <v>43262</v>
      </c>
      <c r="C2000" s="76">
        <v>13808000597073</v>
      </c>
      <c r="D2000" s="19">
        <v>1</v>
      </c>
      <c r="E2000" s="20" t="s">
        <v>3705</v>
      </c>
      <c r="F2000" s="20" t="s">
        <v>103</v>
      </c>
      <c r="G2000" s="105"/>
      <c r="H2000" s="33">
        <v>43221</v>
      </c>
      <c r="I2000" s="34">
        <v>1700588922</v>
      </c>
      <c r="J2000" s="21">
        <v>178.25</v>
      </c>
      <c r="K2000" t="s">
        <v>2030</v>
      </c>
    </row>
    <row r="2001" spans="1:11" x14ac:dyDescent="0.3">
      <c r="A2001" t="s">
        <v>818</v>
      </c>
      <c r="B2001" s="33">
        <v>43262</v>
      </c>
      <c r="C2001" s="76">
        <v>13808000597073</v>
      </c>
      <c r="D2001" s="19">
        <v>1</v>
      </c>
      <c r="E2001" s="20" t="s">
        <v>3705</v>
      </c>
      <c r="F2001" s="20" t="s">
        <v>100</v>
      </c>
      <c r="G2001" s="105"/>
      <c r="H2001" s="33">
        <v>43221</v>
      </c>
      <c r="I2001" s="34">
        <v>1700588921</v>
      </c>
      <c r="J2001" s="21">
        <v>232.5</v>
      </c>
      <c r="K2001" t="s">
        <v>2030</v>
      </c>
    </row>
    <row r="2002" spans="1:11" x14ac:dyDescent="0.3">
      <c r="A2002" t="s">
        <v>818</v>
      </c>
      <c r="B2002" s="33">
        <v>43262</v>
      </c>
      <c r="C2002" s="76">
        <v>13808000597073</v>
      </c>
      <c r="D2002" s="19">
        <v>1</v>
      </c>
      <c r="E2002" s="20" t="s">
        <v>3705</v>
      </c>
      <c r="F2002" s="20" t="s">
        <v>102</v>
      </c>
      <c r="G2002" s="105"/>
      <c r="H2002" s="33">
        <v>43221</v>
      </c>
      <c r="I2002" s="34">
        <v>1700588920</v>
      </c>
      <c r="J2002" s="21">
        <v>232.5</v>
      </c>
      <c r="K2002" t="s">
        <v>2030</v>
      </c>
    </row>
    <row r="2003" spans="1:11" x14ac:dyDescent="0.3">
      <c r="A2003" t="s">
        <v>818</v>
      </c>
      <c r="B2003" s="33">
        <v>43262</v>
      </c>
      <c r="C2003" s="76">
        <v>13808000597073</v>
      </c>
      <c r="D2003" s="19">
        <v>1</v>
      </c>
      <c r="E2003" s="20" t="s">
        <v>3705</v>
      </c>
      <c r="F2003" s="20" t="s">
        <v>30</v>
      </c>
      <c r="G2003" s="105"/>
      <c r="H2003" s="33">
        <v>43221</v>
      </c>
      <c r="I2003" s="34">
        <v>1700588919</v>
      </c>
      <c r="J2003" s="21">
        <v>232.5</v>
      </c>
      <c r="K2003" t="s">
        <v>2030</v>
      </c>
    </row>
    <row r="2004" spans="1:11" x14ac:dyDescent="0.3">
      <c r="A2004" t="s">
        <v>818</v>
      </c>
      <c r="B2004" s="33">
        <v>43262</v>
      </c>
      <c r="C2004" s="76">
        <v>13808000597073</v>
      </c>
      <c r="D2004" s="19">
        <v>1</v>
      </c>
      <c r="E2004" s="20" t="s">
        <v>3705</v>
      </c>
      <c r="F2004" s="20" t="s">
        <v>88</v>
      </c>
      <c r="G2004" s="105"/>
      <c r="H2004" s="33">
        <v>43221</v>
      </c>
      <c r="I2004" s="34">
        <v>1700588918</v>
      </c>
      <c r="J2004" s="21">
        <v>232.5</v>
      </c>
      <c r="K2004" t="s">
        <v>2030</v>
      </c>
    </row>
    <row r="2005" spans="1:11" x14ac:dyDescent="0.3">
      <c r="A2005" t="s">
        <v>818</v>
      </c>
      <c r="B2005" s="33">
        <v>43262</v>
      </c>
      <c r="C2005" s="76">
        <v>13808000597073</v>
      </c>
      <c r="D2005" s="19">
        <v>1</v>
      </c>
      <c r="E2005" s="20" t="s">
        <v>3705</v>
      </c>
      <c r="F2005" s="20" t="s">
        <v>96</v>
      </c>
      <c r="G2005" s="105"/>
      <c r="H2005" s="33">
        <v>43221</v>
      </c>
      <c r="I2005" s="34">
        <v>1700588917</v>
      </c>
      <c r="J2005" s="21">
        <v>232.5</v>
      </c>
      <c r="K2005" t="s">
        <v>2030</v>
      </c>
    </row>
    <row r="2006" spans="1:11" x14ac:dyDescent="0.3">
      <c r="A2006" t="s">
        <v>818</v>
      </c>
      <c r="B2006" s="33">
        <v>43262</v>
      </c>
      <c r="C2006" s="76">
        <v>13808000597073</v>
      </c>
      <c r="D2006" s="19">
        <v>1</v>
      </c>
      <c r="E2006" s="20" t="s">
        <v>3705</v>
      </c>
      <c r="F2006" s="20" t="s">
        <v>95</v>
      </c>
      <c r="G2006" s="105"/>
      <c r="H2006" s="33">
        <v>43221</v>
      </c>
      <c r="I2006" s="34">
        <v>1700588916</v>
      </c>
      <c r="J2006" s="21">
        <v>232.5</v>
      </c>
      <c r="K2006" t="s">
        <v>2030</v>
      </c>
    </row>
    <row r="2007" spans="1:11" x14ac:dyDescent="0.3">
      <c r="A2007" t="s">
        <v>818</v>
      </c>
      <c r="B2007" s="33">
        <v>43262</v>
      </c>
      <c r="C2007" s="76">
        <v>13808000597073</v>
      </c>
      <c r="D2007" s="19">
        <v>1</v>
      </c>
      <c r="E2007" s="20" t="s">
        <v>3705</v>
      </c>
      <c r="F2007" s="20" t="s">
        <v>94</v>
      </c>
      <c r="G2007" s="105"/>
      <c r="H2007" s="33">
        <v>43221</v>
      </c>
      <c r="I2007" s="34">
        <v>1700588915</v>
      </c>
      <c r="J2007" s="21">
        <v>232.5</v>
      </c>
      <c r="K2007" t="s">
        <v>2030</v>
      </c>
    </row>
    <row r="2008" spans="1:11" x14ac:dyDescent="0.3">
      <c r="A2008" t="s">
        <v>818</v>
      </c>
      <c r="B2008" s="33">
        <v>43262</v>
      </c>
      <c r="C2008" s="76">
        <v>13808000597073</v>
      </c>
      <c r="D2008" s="19">
        <v>1</v>
      </c>
      <c r="E2008" s="20" t="s">
        <v>3705</v>
      </c>
      <c r="F2008" s="20" t="s">
        <v>92</v>
      </c>
      <c r="G2008" s="105"/>
      <c r="H2008" s="33">
        <v>43221</v>
      </c>
      <c r="I2008" s="34">
        <v>1700588914</v>
      </c>
      <c r="J2008" s="21">
        <v>232.5</v>
      </c>
      <c r="K2008" t="s">
        <v>2030</v>
      </c>
    </row>
    <row r="2009" spans="1:11" x14ac:dyDescent="0.3">
      <c r="A2009" t="s">
        <v>818</v>
      </c>
      <c r="B2009" s="33">
        <v>43262</v>
      </c>
      <c r="C2009" s="76">
        <v>13808000597073</v>
      </c>
      <c r="D2009" s="19">
        <v>1</v>
      </c>
      <c r="E2009" s="20" t="s">
        <v>3705</v>
      </c>
      <c r="F2009" s="20" t="s">
        <v>91</v>
      </c>
      <c r="G2009" s="105"/>
      <c r="H2009" s="33">
        <v>43221</v>
      </c>
      <c r="I2009" s="34">
        <v>1700588913</v>
      </c>
      <c r="J2009" s="21">
        <v>232.5</v>
      </c>
      <c r="K2009" t="s">
        <v>2030</v>
      </c>
    </row>
    <row r="2010" spans="1:11" x14ac:dyDescent="0.3">
      <c r="A2010" t="s">
        <v>818</v>
      </c>
      <c r="B2010" s="33">
        <v>43262</v>
      </c>
      <c r="C2010" s="76">
        <v>13808000597073</v>
      </c>
      <c r="D2010" s="19">
        <v>1</v>
      </c>
      <c r="E2010" s="20" t="s">
        <v>3705</v>
      </c>
      <c r="F2010" s="20" t="s">
        <v>8</v>
      </c>
      <c r="G2010" s="105"/>
      <c r="H2010" s="33">
        <v>43221</v>
      </c>
      <c r="I2010" s="34">
        <v>1700588912</v>
      </c>
      <c r="J2010" s="21">
        <v>178.25</v>
      </c>
      <c r="K2010" t="s">
        <v>2030</v>
      </c>
    </row>
    <row r="2011" spans="1:11" x14ac:dyDescent="0.3">
      <c r="A2011" t="s">
        <v>818</v>
      </c>
      <c r="B2011" s="33">
        <v>43262</v>
      </c>
      <c r="C2011" s="76">
        <v>13808000597073</v>
      </c>
      <c r="D2011" s="19">
        <v>1</v>
      </c>
      <c r="E2011" s="20" t="s">
        <v>3705</v>
      </c>
      <c r="F2011" s="20" t="s">
        <v>98</v>
      </c>
      <c r="G2011" s="105"/>
      <c r="H2011" s="33">
        <v>43221</v>
      </c>
      <c r="I2011" s="34">
        <v>1700588911</v>
      </c>
      <c r="J2011" s="21">
        <v>232.5</v>
      </c>
      <c r="K2011" t="s">
        <v>2030</v>
      </c>
    </row>
    <row r="2012" spans="1:11" x14ac:dyDescent="0.3">
      <c r="A2012" t="s">
        <v>818</v>
      </c>
      <c r="B2012" s="33">
        <v>43262</v>
      </c>
      <c r="C2012" s="76">
        <v>13808000597073</v>
      </c>
      <c r="D2012" s="19">
        <v>1</v>
      </c>
      <c r="E2012" s="20" t="s">
        <v>3705</v>
      </c>
      <c r="F2012" s="20" t="s">
        <v>93</v>
      </c>
      <c r="G2012" s="105"/>
      <c r="H2012" s="33">
        <v>43221</v>
      </c>
      <c r="I2012" s="34">
        <v>1700588910</v>
      </c>
      <c r="J2012" s="21">
        <v>232.5</v>
      </c>
      <c r="K2012" t="s">
        <v>2030</v>
      </c>
    </row>
    <row r="2013" spans="1:11" x14ac:dyDescent="0.3">
      <c r="A2013" t="s">
        <v>818</v>
      </c>
      <c r="B2013" s="33">
        <v>43262</v>
      </c>
      <c r="C2013" s="76">
        <v>13808000597073</v>
      </c>
      <c r="D2013" s="19">
        <v>1</v>
      </c>
      <c r="E2013" s="20" t="s">
        <v>3705</v>
      </c>
      <c r="F2013" s="20" t="s">
        <v>82</v>
      </c>
      <c r="G2013" s="105"/>
      <c r="H2013" s="33">
        <v>43221</v>
      </c>
      <c r="I2013" s="34">
        <v>1700588909</v>
      </c>
      <c r="J2013" s="21">
        <v>232.5</v>
      </c>
      <c r="K2013" t="s">
        <v>2030</v>
      </c>
    </row>
    <row r="2014" spans="1:11" x14ac:dyDescent="0.3">
      <c r="A2014" t="s">
        <v>818</v>
      </c>
      <c r="B2014" s="33">
        <v>43262</v>
      </c>
      <c r="C2014" s="76">
        <v>13808000597073</v>
      </c>
      <c r="D2014" s="19">
        <v>1</v>
      </c>
      <c r="E2014" s="20" t="s">
        <v>3705</v>
      </c>
      <c r="F2014" s="20" t="s">
        <v>83</v>
      </c>
      <c r="G2014" s="105"/>
      <c r="H2014" s="33">
        <v>43221</v>
      </c>
      <c r="I2014" s="34">
        <v>1700588908</v>
      </c>
      <c r="J2014" s="21">
        <v>232.5</v>
      </c>
      <c r="K2014" t="s">
        <v>2030</v>
      </c>
    </row>
    <row r="2015" spans="1:11" x14ac:dyDescent="0.3">
      <c r="A2015" t="s">
        <v>818</v>
      </c>
      <c r="B2015" s="33">
        <v>43262</v>
      </c>
      <c r="C2015" s="76">
        <v>13808000597073</v>
      </c>
      <c r="D2015" s="19">
        <v>1</v>
      </c>
      <c r="E2015" s="20" t="s">
        <v>3705</v>
      </c>
      <c r="F2015" s="20" t="s">
        <v>90</v>
      </c>
      <c r="G2015" s="105"/>
      <c r="H2015" s="33">
        <v>43221</v>
      </c>
      <c r="I2015" s="34">
        <v>1700588907</v>
      </c>
      <c r="J2015" s="21">
        <v>232.5</v>
      </c>
      <c r="K2015" t="s">
        <v>2030</v>
      </c>
    </row>
    <row r="2016" spans="1:11" x14ac:dyDescent="0.3">
      <c r="A2016" t="s">
        <v>818</v>
      </c>
      <c r="B2016" s="33">
        <v>43262</v>
      </c>
      <c r="C2016" s="76">
        <v>13808000597073</v>
      </c>
      <c r="D2016" s="19">
        <v>1</v>
      </c>
      <c r="E2016" s="20" t="s">
        <v>3705</v>
      </c>
      <c r="F2016" s="20" t="s">
        <v>85</v>
      </c>
      <c r="G2016" s="105"/>
      <c r="H2016" s="33">
        <v>43221</v>
      </c>
      <c r="I2016" s="34">
        <v>1700588906</v>
      </c>
      <c r="J2016" s="21">
        <v>232.5</v>
      </c>
      <c r="K2016" t="s">
        <v>2030</v>
      </c>
    </row>
    <row r="2017" spans="1:11" x14ac:dyDescent="0.3">
      <c r="A2017" t="s">
        <v>818</v>
      </c>
      <c r="B2017" s="33">
        <v>43262</v>
      </c>
      <c r="C2017" s="76">
        <v>13808000597073</v>
      </c>
      <c r="D2017" s="19">
        <v>1</v>
      </c>
      <c r="E2017" s="20" t="s">
        <v>3705</v>
      </c>
      <c r="F2017" s="20" t="s">
        <v>87</v>
      </c>
      <c r="G2017" s="105"/>
      <c r="H2017" s="33">
        <v>43221</v>
      </c>
      <c r="I2017" s="34">
        <v>1700588905</v>
      </c>
      <c r="J2017" s="21">
        <v>232.5</v>
      </c>
      <c r="K2017" t="s">
        <v>2030</v>
      </c>
    </row>
    <row r="2018" spans="1:11" x14ac:dyDescent="0.3">
      <c r="A2018" t="s">
        <v>818</v>
      </c>
      <c r="B2018" s="33">
        <v>43262</v>
      </c>
      <c r="C2018" s="76">
        <v>13808000597073</v>
      </c>
      <c r="D2018" s="19">
        <v>1</v>
      </c>
      <c r="E2018" s="20" t="s">
        <v>3705</v>
      </c>
      <c r="F2018" s="20" t="s">
        <v>86</v>
      </c>
      <c r="G2018" s="105"/>
      <c r="H2018" s="33">
        <v>43221</v>
      </c>
      <c r="I2018" s="34">
        <v>1700588904</v>
      </c>
      <c r="J2018" s="21">
        <v>232.5</v>
      </c>
      <c r="K2018" t="s">
        <v>2030</v>
      </c>
    </row>
    <row r="2019" spans="1:11" x14ac:dyDescent="0.3">
      <c r="A2019" t="s">
        <v>818</v>
      </c>
      <c r="B2019" s="33">
        <v>43262</v>
      </c>
      <c r="C2019" s="76">
        <v>13808000597073</v>
      </c>
      <c r="D2019" s="19">
        <v>1</v>
      </c>
      <c r="E2019" s="20" t="s">
        <v>3705</v>
      </c>
      <c r="F2019" s="20" t="s">
        <v>84</v>
      </c>
      <c r="G2019" s="105"/>
      <c r="H2019" s="33">
        <v>43221</v>
      </c>
      <c r="I2019" s="34">
        <v>1700588903</v>
      </c>
      <c r="J2019" s="21">
        <v>232.5</v>
      </c>
      <c r="K2019" t="s">
        <v>2030</v>
      </c>
    </row>
    <row r="2020" spans="1:11" x14ac:dyDescent="0.3">
      <c r="A2020" t="s">
        <v>818</v>
      </c>
      <c r="B2020" s="33">
        <v>43262</v>
      </c>
      <c r="C2020" s="76">
        <v>13808000597073</v>
      </c>
      <c r="D2020" s="19">
        <v>1</v>
      </c>
      <c r="E2020" s="20" t="s">
        <v>3705</v>
      </c>
      <c r="F2020" s="20" t="s">
        <v>81</v>
      </c>
      <c r="G2020" s="105"/>
      <c r="H2020" s="33">
        <v>43221</v>
      </c>
      <c r="I2020" s="34">
        <v>1700588902</v>
      </c>
      <c r="J2020" s="21">
        <v>232.5</v>
      </c>
      <c r="K2020" t="s">
        <v>2030</v>
      </c>
    </row>
    <row r="2021" spans="1:11" x14ac:dyDescent="0.3">
      <c r="A2021" t="s">
        <v>818</v>
      </c>
      <c r="B2021" s="33">
        <v>43262</v>
      </c>
      <c r="C2021" s="76">
        <v>13808000597073</v>
      </c>
      <c r="D2021" s="19">
        <v>1</v>
      </c>
      <c r="E2021" s="20" t="s">
        <v>3705</v>
      </c>
      <c r="F2021" s="20" t="s">
        <v>89</v>
      </c>
      <c r="G2021" s="105"/>
      <c r="H2021" s="33">
        <v>43221</v>
      </c>
      <c r="I2021" s="34">
        <v>1700588901</v>
      </c>
      <c r="J2021" s="21">
        <v>232.5</v>
      </c>
      <c r="K2021" t="s">
        <v>2030</v>
      </c>
    </row>
    <row r="2022" spans="1:11" x14ac:dyDescent="0.3">
      <c r="A2022" t="s">
        <v>818</v>
      </c>
      <c r="B2022" s="33">
        <v>43262</v>
      </c>
      <c r="C2022" s="76">
        <v>13808000597073</v>
      </c>
      <c r="D2022" s="19">
        <v>1</v>
      </c>
      <c r="E2022" s="20" t="s">
        <v>3705</v>
      </c>
      <c r="F2022" s="20" t="s">
        <v>76</v>
      </c>
      <c r="G2022" s="105"/>
      <c r="H2022" s="33">
        <v>43221</v>
      </c>
      <c r="I2022" s="34">
        <v>1700588900</v>
      </c>
      <c r="J2022" s="21">
        <v>232.5</v>
      </c>
      <c r="K2022" t="s">
        <v>2030</v>
      </c>
    </row>
    <row r="2023" spans="1:11" x14ac:dyDescent="0.3">
      <c r="A2023" t="s">
        <v>818</v>
      </c>
      <c r="B2023" s="33">
        <v>43262</v>
      </c>
      <c r="C2023" s="76">
        <v>13808000597073</v>
      </c>
      <c r="D2023" s="19">
        <v>1</v>
      </c>
      <c r="E2023" s="20" t="s">
        <v>3705</v>
      </c>
      <c r="F2023" s="20" t="s">
        <v>79</v>
      </c>
      <c r="G2023" s="105"/>
      <c r="H2023" s="33">
        <v>43221</v>
      </c>
      <c r="I2023" s="34">
        <v>1700588899</v>
      </c>
      <c r="J2023" s="21">
        <v>232.5</v>
      </c>
      <c r="K2023" t="s">
        <v>2030</v>
      </c>
    </row>
    <row r="2024" spans="1:11" x14ac:dyDescent="0.3">
      <c r="A2024" t="s">
        <v>818</v>
      </c>
      <c r="B2024" s="33">
        <v>43262</v>
      </c>
      <c r="C2024" s="76">
        <v>13808000597073</v>
      </c>
      <c r="D2024" s="19">
        <v>1</v>
      </c>
      <c r="E2024" s="20" t="s">
        <v>3705</v>
      </c>
      <c r="F2024" s="20" t="s">
        <v>75</v>
      </c>
      <c r="G2024" s="105"/>
      <c r="H2024" s="33">
        <v>43221</v>
      </c>
      <c r="I2024" s="34">
        <v>1700588898</v>
      </c>
      <c r="J2024" s="21">
        <v>232.5</v>
      </c>
      <c r="K2024" t="s">
        <v>2030</v>
      </c>
    </row>
    <row r="2025" spans="1:11" x14ac:dyDescent="0.3">
      <c r="A2025" t="s">
        <v>818</v>
      </c>
      <c r="B2025" s="33">
        <v>43262</v>
      </c>
      <c r="C2025" s="76">
        <v>13808000597073</v>
      </c>
      <c r="D2025" s="19">
        <v>1</v>
      </c>
      <c r="E2025" s="20" t="s">
        <v>3705</v>
      </c>
      <c r="F2025" s="20" t="s">
        <v>73</v>
      </c>
      <c r="G2025" s="105"/>
      <c r="H2025" s="33">
        <v>43221</v>
      </c>
      <c r="I2025" s="34">
        <v>1700588897</v>
      </c>
      <c r="J2025" s="21">
        <v>232.5</v>
      </c>
      <c r="K2025" t="s">
        <v>2030</v>
      </c>
    </row>
    <row r="2026" spans="1:11" x14ac:dyDescent="0.3">
      <c r="A2026" t="s">
        <v>818</v>
      </c>
      <c r="B2026" s="33">
        <v>43262</v>
      </c>
      <c r="C2026" s="76">
        <v>13808000597073</v>
      </c>
      <c r="D2026" s="19">
        <v>1</v>
      </c>
      <c r="E2026" s="20" t="s">
        <v>3705</v>
      </c>
      <c r="F2026" s="20" t="s">
        <v>80</v>
      </c>
      <c r="G2026" s="105"/>
      <c r="H2026" s="33">
        <v>43221</v>
      </c>
      <c r="I2026" s="34">
        <v>1700588896</v>
      </c>
      <c r="J2026" s="21">
        <v>232.5</v>
      </c>
      <c r="K2026" t="s">
        <v>2030</v>
      </c>
    </row>
    <row r="2027" spans="1:11" x14ac:dyDescent="0.3">
      <c r="A2027" t="s">
        <v>818</v>
      </c>
      <c r="B2027" s="33">
        <v>43262</v>
      </c>
      <c r="C2027" s="76">
        <v>13808000597073</v>
      </c>
      <c r="D2027" s="19">
        <v>1</v>
      </c>
      <c r="E2027" s="20" t="s">
        <v>3705</v>
      </c>
      <c r="F2027" s="20" t="s">
        <v>78</v>
      </c>
      <c r="G2027" s="105"/>
      <c r="H2027" s="33">
        <v>43221</v>
      </c>
      <c r="I2027" s="34">
        <v>1700588895</v>
      </c>
      <c r="J2027" s="21">
        <v>232.5</v>
      </c>
      <c r="K2027" t="s">
        <v>2030</v>
      </c>
    </row>
    <row r="2028" spans="1:11" x14ac:dyDescent="0.3">
      <c r="A2028" t="s">
        <v>818</v>
      </c>
      <c r="B2028" s="33">
        <v>43262</v>
      </c>
      <c r="C2028" s="76">
        <v>13808000597073</v>
      </c>
      <c r="D2028" s="19">
        <v>1</v>
      </c>
      <c r="E2028" s="20" t="s">
        <v>3705</v>
      </c>
      <c r="F2028" s="20" t="s">
        <v>77</v>
      </c>
      <c r="G2028" s="105"/>
      <c r="H2028" s="33">
        <v>43221</v>
      </c>
      <c r="I2028" s="34">
        <v>1700588894</v>
      </c>
      <c r="J2028" s="21">
        <v>232.5</v>
      </c>
      <c r="K2028" t="s">
        <v>2030</v>
      </c>
    </row>
    <row r="2029" spans="1:11" x14ac:dyDescent="0.3">
      <c r="A2029" t="s">
        <v>818</v>
      </c>
      <c r="B2029" s="33">
        <v>43262</v>
      </c>
      <c r="C2029" s="76">
        <v>13808000597073</v>
      </c>
      <c r="D2029" s="19">
        <v>1</v>
      </c>
      <c r="E2029" s="20" t="s">
        <v>3705</v>
      </c>
      <c r="F2029" s="20" t="s">
        <v>74</v>
      </c>
      <c r="G2029" s="105"/>
      <c r="H2029" s="33">
        <v>43221</v>
      </c>
      <c r="I2029" s="34">
        <v>1700588893</v>
      </c>
      <c r="J2029" s="21">
        <v>232.5</v>
      </c>
      <c r="K2029" t="s">
        <v>2030</v>
      </c>
    </row>
    <row r="2030" spans="1:11" x14ac:dyDescent="0.3">
      <c r="A2030" t="s">
        <v>818</v>
      </c>
      <c r="B2030" s="33">
        <v>43262</v>
      </c>
      <c r="C2030" s="76">
        <v>13808000597073</v>
      </c>
      <c r="D2030" s="19">
        <v>1</v>
      </c>
      <c r="E2030" s="20" t="s">
        <v>3705</v>
      </c>
      <c r="F2030" s="20" t="s">
        <v>72</v>
      </c>
      <c r="G2030" s="105"/>
      <c r="H2030" s="33">
        <v>43221</v>
      </c>
      <c r="I2030" s="34">
        <v>1700588892</v>
      </c>
      <c r="J2030" s="21">
        <v>232.5</v>
      </c>
      <c r="K2030" t="s">
        <v>2030</v>
      </c>
    </row>
    <row r="2031" spans="1:11" x14ac:dyDescent="0.3">
      <c r="A2031" t="s">
        <v>818</v>
      </c>
      <c r="B2031" s="33">
        <v>43262</v>
      </c>
      <c r="C2031" s="76">
        <v>13808000597073</v>
      </c>
      <c r="D2031" s="19">
        <v>1</v>
      </c>
      <c r="E2031" s="20" t="s">
        <v>3705</v>
      </c>
      <c r="F2031" s="20" t="s">
        <v>70</v>
      </c>
      <c r="G2031" s="105"/>
      <c r="H2031" s="33">
        <v>43221</v>
      </c>
      <c r="I2031" s="34">
        <v>1700588891</v>
      </c>
      <c r="J2031" s="21">
        <v>232.5</v>
      </c>
      <c r="K2031" t="s">
        <v>2030</v>
      </c>
    </row>
    <row r="2032" spans="1:11" x14ac:dyDescent="0.3">
      <c r="A2032" t="s">
        <v>818</v>
      </c>
      <c r="B2032" s="33">
        <v>43262</v>
      </c>
      <c r="C2032" s="76">
        <v>13808000597073</v>
      </c>
      <c r="D2032" s="19">
        <v>1</v>
      </c>
      <c r="E2032" s="20" t="s">
        <v>3705</v>
      </c>
      <c r="F2032" s="20" t="s">
        <v>69</v>
      </c>
      <c r="G2032" s="105"/>
      <c r="H2032" s="33">
        <v>43221</v>
      </c>
      <c r="I2032" s="34">
        <v>1700588890</v>
      </c>
      <c r="J2032" s="21">
        <v>232.5</v>
      </c>
      <c r="K2032" t="s">
        <v>2030</v>
      </c>
    </row>
    <row r="2033" spans="1:11" x14ac:dyDescent="0.3">
      <c r="A2033" t="s">
        <v>818</v>
      </c>
      <c r="B2033" s="33">
        <v>43262</v>
      </c>
      <c r="C2033" s="76">
        <v>13808000597073</v>
      </c>
      <c r="D2033" s="19">
        <v>1</v>
      </c>
      <c r="E2033" s="20" t="s">
        <v>3705</v>
      </c>
      <c r="F2033" s="20" t="s">
        <v>68</v>
      </c>
      <c r="G2033" s="105"/>
      <c r="H2033" s="33">
        <v>43221</v>
      </c>
      <c r="I2033" s="34">
        <v>1700588889</v>
      </c>
      <c r="J2033" s="21">
        <v>232.5</v>
      </c>
      <c r="K2033" t="s">
        <v>2030</v>
      </c>
    </row>
    <row r="2034" spans="1:11" x14ac:dyDescent="0.3">
      <c r="A2034" t="s">
        <v>818</v>
      </c>
      <c r="B2034" s="33">
        <v>43262</v>
      </c>
      <c r="C2034" s="76">
        <v>13808000597073</v>
      </c>
      <c r="D2034" s="19">
        <v>1</v>
      </c>
      <c r="E2034" s="20" t="s">
        <v>3705</v>
      </c>
      <c r="F2034" s="20" t="s">
        <v>71</v>
      </c>
      <c r="G2034" s="105"/>
      <c r="H2034" s="33">
        <v>43221</v>
      </c>
      <c r="I2034" s="34">
        <v>1700588888</v>
      </c>
      <c r="J2034" s="21">
        <v>232.5</v>
      </c>
      <c r="K2034" t="s">
        <v>2030</v>
      </c>
    </row>
    <row r="2035" spans="1:11" x14ac:dyDescent="0.3">
      <c r="A2035" t="s">
        <v>818</v>
      </c>
      <c r="B2035" s="33">
        <v>43262</v>
      </c>
      <c r="C2035" s="76">
        <v>13808000597073</v>
      </c>
      <c r="D2035" s="19">
        <v>1</v>
      </c>
      <c r="E2035" s="20" t="s">
        <v>3705</v>
      </c>
      <c r="F2035" s="20" t="s">
        <v>66</v>
      </c>
      <c r="G2035" s="105"/>
      <c r="H2035" s="33">
        <v>43221</v>
      </c>
      <c r="I2035" s="34">
        <v>1700588887</v>
      </c>
      <c r="J2035" s="21">
        <v>232.5</v>
      </c>
      <c r="K2035" t="s">
        <v>2030</v>
      </c>
    </row>
    <row r="2036" spans="1:11" x14ac:dyDescent="0.3">
      <c r="A2036" t="s">
        <v>818</v>
      </c>
      <c r="B2036" s="33">
        <v>43262</v>
      </c>
      <c r="C2036" s="76">
        <v>13808000597073</v>
      </c>
      <c r="D2036" s="19">
        <v>1</v>
      </c>
      <c r="E2036" s="20" t="s">
        <v>3705</v>
      </c>
      <c r="F2036" s="20" t="s">
        <v>141</v>
      </c>
      <c r="G2036" s="105"/>
      <c r="H2036" s="33">
        <v>43221</v>
      </c>
      <c r="I2036" s="34">
        <v>1700588966</v>
      </c>
      <c r="J2036" s="21">
        <v>232.5</v>
      </c>
      <c r="K2036" t="s">
        <v>2030</v>
      </c>
    </row>
    <row r="2037" spans="1:11" x14ac:dyDescent="0.3">
      <c r="A2037" t="s">
        <v>818</v>
      </c>
      <c r="B2037" s="33">
        <v>43262</v>
      </c>
      <c r="C2037" s="76">
        <v>13808000597073</v>
      </c>
      <c r="D2037" s="19">
        <v>1</v>
      </c>
      <c r="E2037" s="20" t="s">
        <v>3705</v>
      </c>
      <c r="F2037" s="20" t="s">
        <v>145</v>
      </c>
      <c r="G2037" s="105"/>
      <c r="H2037" s="33">
        <v>43221</v>
      </c>
      <c r="I2037" s="34">
        <v>1700588965</v>
      </c>
      <c r="J2037" s="21">
        <v>178.25</v>
      </c>
      <c r="K2037" t="s">
        <v>2030</v>
      </c>
    </row>
    <row r="2038" spans="1:11" x14ac:dyDescent="0.3">
      <c r="A2038" t="s">
        <v>818</v>
      </c>
      <c r="B2038" s="33">
        <v>43262</v>
      </c>
      <c r="C2038" s="76">
        <v>13808000597073</v>
      </c>
      <c r="D2038" s="19">
        <v>1</v>
      </c>
      <c r="E2038" s="20" t="s">
        <v>3705</v>
      </c>
      <c r="F2038" s="20" t="s">
        <v>10</v>
      </c>
      <c r="G2038" s="105"/>
      <c r="H2038" s="33">
        <v>43221</v>
      </c>
      <c r="I2038" s="34">
        <v>1700588964</v>
      </c>
      <c r="J2038" s="21">
        <v>232.5</v>
      </c>
      <c r="K2038" t="s">
        <v>2030</v>
      </c>
    </row>
    <row r="2039" spans="1:11" x14ac:dyDescent="0.3">
      <c r="A2039" t="s">
        <v>818</v>
      </c>
      <c r="B2039" s="33">
        <v>43262</v>
      </c>
      <c r="C2039" s="76">
        <v>13808000597073</v>
      </c>
      <c r="D2039" s="19">
        <v>1</v>
      </c>
      <c r="E2039" s="20" t="s">
        <v>3705</v>
      </c>
      <c r="F2039" s="20" t="s">
        <v>140</v>
      </c>
      <c r="G2039" s="105"/>
      <c r="H2039" s="33">
        <v>43221</v>
      </c>
      <c r="I2039" s="34">
        <v>1700588963</v>
      </c>
      <c r="J2039" s="21">
        <v>232.5</v>
      </c>
      <c r="K2039" t="s">
        <v>2030</v>
      </c>
    </row>
    <row r="2040" spans="1:11" x14ac:dyDescent="0.3">
      <c r="A2040" t="s">
        <v>818</v>
      </c>
      <c r="B2040" s="33">
        <v>43262</v>
      </c>
      <c r="C2040" s="76">
        <v>13808000597073</v>
      </c>
      <c r="D2040" s="19">
        <v>1</v>
      </c>
      <c r="E2040" s="20" t="s">
        <v>3705</v>
      </c>
      <c r="F2040" s="20" t="s">
        <v>144</v>
      </c>
      <c r="G2040" s="105"/>
      <c r="H2040" s="33">
        <v>43221</v>
      </c>
      <c r="I2040" s="34">
        <v>1700588962</v>
      </c>
      <c r="J2040" s="21">
        <v>232.5</v>
      </c>
      <c r="K2040" t="s">
        <v>2030</v>
      </c>
    </row>
    <row r="2041" spans="1:11" x14ac:dyDescent="0.3">
      <c r="A2041" t="s">
        <v>818</v>
      </c>
      <c r="B2041" s="33">
        <v>43262</v>
      </c>
      <c r="C2041" s="76">
        <v>13808000597073</v>
      </c>
      <c r="D2041" s="19">
        <v>1</v>
      </c>
      <c r="E2041" s="20" t="s">
        <v>3705</v>
      </c>
      <c r="F2041" s="20" t="s">
        <v>142</v>
      </c>
      <c r="G2041" s="105"/>
      <c r="H2041" s="33">
        <v>43221</v>
      </c>
      <c r="I2041" s="34">
        <v>1700588961</v>
      </c>
      <c r="J2041" s="21">
        <v>232.5</v>
      </c>
      <c r="K2041" t="s">
        <v>2030</v>
      </c>
    </row>
    <row r="2042" spans="1:11" x14ac:dyDescent="0.3">
      <c r="A2042" t="s">
        <v>818</v>
      </c>
      <c r="B2042" s="33">
        <v>43262</v>
      </c>
      <c r="C2042" s="76">
        <v>13808000597073</v>
      </c>
      <c r="D2042" s="19">
        <v>1</v>
      </c>
      <c r="E2042" s="20" t="s">
        <v>3705</v>
      </c>
      <c r="F2042" s="20" t="s">
        <v>143</v>
      </c>
      <c r="G2042" s="105"/>
      <c r="H2042" s="33">
        <v>43221</v>
      </c>
      <c r="I2042" s="34">
        <v>1700588960</v>
      </c>
      <c r="J2042" s="21">
        <v>232.5</v>
      </c>
      <c r="K2042" t="s">
        <v>2030</v>
      </c>
    </row>
    <row r="2043" spans="1:11" x14ac:dyDescent="0.3">
      <c r="A2043" t="s">
        <v>818</v>
      </c>
      <c r="B2043" s="33">
        <v>43262</v>
      </c>
      <c r="C2043" s="76">
        <v>13808000597073</v>
      </c>
      <c r="D2043" s="19">
        <v>1</v>
      </c>
      <c r="E2043" s="20" t="s">
        <v>3705</v>
      </c>
      <c r="F2043" s="20" t="s">
        <v>122</v>
      </c>
      <c r="G2043" s="105"/>
      <c r="H2043" s="33">
        <v>43221</v>
      </c>
      <c r="I2043" s="34">
        <v>1700588959</v>
      </c>
      <c r="J2043" s="21">
        <v>178.25</v>
      </c>
      <c r="K2043" t="s">
        <v>2030</v>
      </c>
    </row>
    <row r="2044" spans="1:11" x14ac:dyDescent="0.3">
      <c r="A2044" t="s">
        <v>818</v>
      </c>
      <c r="B2044" s="33">
        <v>43262</v>
      </c>
      <c r="C2044" s="76">
        <v>13808000597073</v>
      </c>
      <c r="D2044" s="19">
        <v>1</v>
      </c>
      <c r="E2044" s="20" t="s">
        <v>3705</v>
      </c>
      <c r="F2044" s="20" t="s">
        <v>137</v>
      </c>
      <c r="G2044" s="105"/>
      <c r="H2044" s="33">
        <v>43221</v>
      </c>
      <c r="I2044" s="34">
        <v>1700588958</v>
      </c>
      <c r="J2044" s="21">
        <v>232.5</v>
      </c>
      <c r="K2044" t="s">
        <v>2030</v>
      </c>
    </row>
    <row r="2045" spans="1:11" x14ac:dyDescent="0.3">
      <c r="A2045" t="s">
        <v>818</v>
      </c>
      <c r="B2045" s="33">
        <v>43262</v>
      </c>
      <c r="C2045" s="76">
        <v>13808000597073</v>
      </c>
      <c r="D2045" s="19">
        <v>1</v>
      </c>
      <c r="E2045" s="20" t="s">
        <v>3705</v>
      </c>
      <c r="F2045" s="20" t="s">
        <v>134</v>
      </c>
      <c r="G2045" s="105"/>
      <c r="H2045" s="33">
        <v>43221</v>
      </c>
      <c r="I2045" s="34">
        <v>1700588957</v>
      </c>
      <c r="J2045" s="21">
        <v>178.25</v>
      </c>
      <c r="K2045" t="s">
        <v>2030</v>
      </c>
    </row>
    <row r="2046" spans="1:11" x14ac:dyDescent="0.3">
      <c r="A2046" t="s">
        <v>818</v>
      </c>
      <c r="B2046" s="33">
        <v>43262</v>
      </c>
      <c r="C2046" s="76">
        <v>13808000597073</v>
      </c>
      <c r="D2046" s="19">
        <v>1</v>
      </c>
      <c r="E2046" s="20" t="s">
        <v>3705</v>
      </c>
      <c r="F2046" s="20" t="s">
        <v>138</v>
      </c>
      <c r="G2046" s="105"/>
      <c r="H2046" s="33">
        <v>43221</v>
      </c>
      <c r="I2046" s="34">
        <v>1700588956</v>
      </c>
      <c r="J2046" s="21">
        <v>232.5</v>
      </c>
      <c r="K2046" t="s">
        <v>2030</v>
      </c>
    </row>
    <row r="2047" spans="1:11" x14ac:dyDescent="0.3">
      <c r="A2047" t="s">
        <v>818</v>
      </c>
      <c r="B2047" s="33">
        <v>43262</v>
      </c>
      <c r="C2047" s="76">
        <v>13808000597073</v>
      </c>
      <c r="D2047" s="19">
        <v>1</v>
      </c>
      <c r="E2047" s="20" t="s">
        <v>3705</v>
      </c>
      <c r="F2047" s="20" t="s">
        <v>136</v>
      </c>
      <c r="G2047" s="105"/>
      <c r="H2047" s="33">
        <v>43221</v>
      </c>
      <c r="I2047" s="34">
        <v>1700588955</v>
      </c>
      <c r="J2047" s="21">
        <v>178.25</v>
      </c>
      <c r="K2047" t="s">
        <v>2030</v>
      </c>
    </row>
    <row r="2048" spans="1:11" x14ac:dyDescent="0.3">
      <c r="A2048" t="s">
        <v>818</v>
      </c>
      <c r="B2048" s="33">
        <v>43262</v>
      </c>
      <c r="C2048" s="76">
        <v>13808000597073</v>
      </c>
      <c r="D2048" s="19">
        <v>1</v>
      </c>
      <c r="E2048" s="20" t="s">
        <v>3705</v>
      </c>
      <c r="F2048" s="20" t="s">
        <v>135</v>
      </c>
      <c r="G2048" s="105"/>
      <c r="H2048" s="33">
        <v>43221</v>
      </c>
      <c r="I2048" s="34">
        <v>1700588954</v>
      </c>
      <c r="J2048" s="21">
        <v>178.25</v>
      </c>
      <c r="K2048" t="s">
        <v>2030</v>
      </c>
    </row>
    <row r="2049" spans="1:11" x14ac:dyDescent="0.3">
      <c r="A2049" t="s">
        <v>818</v>
      </c>
      <c r="B2049" s="33">
        <v>43262</v>
      </c>
      <c r="C2049" s="76">
        <v>13808000597073</v>
      </c>
      <c r="D2049" s="19">
        <v>1</v>
      </c>
      <c r="E2049" s="20" t="s">
        <v>3705</v>
      </c>
      <c r="F2049" s="20" t="s">
        <v>127</v>
      </c>
      <c r="G2049" s="105"/>
      <c r="H2049" s="33">
        <v>43221</v>
      </c>
      <c r="I2049" s="34">
        <v>1700588953</v>
      </c>
      <c r="J2049" s="21">
        <v>178.25</v>
      </c>
      <c r="K2049" t="s">
        <v>2030</v>
      </c>
    </row>
    <row r="2050" spans="1:11" x14ac:dyDescent="0.3">
      <c r="A2050" t="s">
        <v>818</v>
      </c>
      <c r="B2050" s="33">
        <v>43262</v>
      </c>
      <c r="C2050" s="76">
        <v>13808000597073</v>
      </c>
      <c r="D2050" s="19">
        <v>1</v>
      </c>
      <c r="E2050" s="20" t="s">
        <v>3705</v>
      </c>
      <c r="F2050" s="20" t="s">
        <v>130</v>
      </c>
      <c r="G2050" s="105"/>
      <c r="H2050" s="33">
        <v>43221</v>
      </c>
      <c r="I2050" s="34">
        <v>1700588952</v>
      </c>
      <c r="J2050" s="21">
        <v>178.25</v>
      </c>
      <c r="K2050" t="s">
        <v>2030</v>
      </c>
    </row>
    <row r="2051" spans="1:11" x14ac:dyDescent="0.3">
      <c r="A2051" t="s">
        <v>818</v>
      </c>
      <c r="B2051" s="33">
        <v>43262</v>
      </c>
      <c r="C2051" s="76">
        <v>13808000597073</v>
      </c>
      <c r="D2051" s="19">
        <v>1</v>
      </c>
      <c r="E2051" s="20" t="s">
        <v>3705</v>
      </c>
      <c r="F2051" s="20" t="s">
        <v>133</v>
      </c>
      <c r="G2051" s="105"/>
      <c r="H2051" s="33">
        <v>43221</v>
      </c>
      <c r="I2051" s="34">
        <v>1700588951</v>
      </c>
      <c r="J2051" s="21">
        <v>178.25</v>
      </c>
      <c r="K2051" t="s">
        <v>2030</v>
      </c>
    </row>
    <row r="2052" spans="1:11" x14ac:dyDescent="0.3">
      <c r="A2052" t="s">
        <v>818</v>
      </c>
      <c r="B2052" s="33">
        <v>43262</v>
      </c>
      <c r="C2052" s="76">
        <v>13808000597073</v>
      </c>
      <c r="D2052" s="19">
        <v>1</v>
      </c>
      <c r="E2052" s="20" t="s">
        <v>3705</v>
      </c>
      <c r="F2052" s="20" t="s">
        <v>132</v>
      </c>
      <c r="G2052" s="105"/>
      <c r="H2052" s="33">
        <v>43221</v>
      </c>
      <c r="I2052" s="34">
        <v>1700588950</v>
      </c>
      <c r="J2052" s="21">
        <v>178.25</v>
      </c>
      <c r="K2052" t="s">
        <v>2030</v>
      </c>
    </row>
    <row r="2053" spans="1:11" x14ac:dyDescent="0.3">
      <c r="A2053" t="s">
        <v>818</v>
      </c>
      <c r="B2053" s="33">
        <v>43262</v>
      </c>
      <c r="C2053" s="76">
        <v>13808000597073</v>
      </c>
      <c r="D2053" s="19">
        <v>1</v>
      </c>
      <c r="E2053" s="20" t="s">
        <v>3705</v>
      </c>
      <c r="F2053" s="20" t="s">
        <v>123</v>
      </c>
      <c r="G2053" s="105"/>
      <c r="H2053" s="33">
        <v>43221</v>
      </c>
      <c r="I2053" s="34">
        <v>1700588949</v>
      </c>
      <c r="J2053" s="21">
        <v>178.25</v>
      </c>
      <c r="K2053" t="s">
        <v>2030</v>
      </c>
    </row>
    <row r="2054" spans="1:11" x14ac:dyDescent="0.3">
      <c r="A2054" t="s">
        <v>818</v>
      </c>
      <c r="B2054" s="33">
        <v>43262</v>
      </c>
      <c r="C2054" s="76">
        <v>13808000597073</v>
      </c>
      <c r="D2054" s="19">
        <v>1</v>
      </c>
      <c r="E2054" s="20" t="s">
        <v>3705</v>
      </c>
      <c r="F2054" s="20" t="s">
        <v>131</v>
      </c>
      <c r="G2054" s="105"/>
      <c r="H2054" s="33">
        <v>43221</v>
      </c>
      <c r="I2054" s="34">
        <v>1700588948</v>
      </c>
      <c r="J2054" s="21">
        <v>178.25</v>
      </c>
      <c r="K2054" t="s">
        <v>2030</v>
      </c>
    </row>
    <row r="2055" spans="1:11" x14ac:dyDescent="0.3">
      <c r="A2055" t="s">
        <v>818</v>
      </c>
      <c r="B2055" s="33">
        <v>43262</v>
      </c>
      <c r="C2055" s="76">
        <v>13808000597073</v>
      </c>
      <c r="D2055" s="19">
        <v>1</v>
      </c>
      <c r="E2055" s="20" t="s">
        <v>3705</v>
      </c>
      <c r="F2055" s="20" t="s">
        <v>128</v>
      </c>
      <c r="G2055" s="105"/>
      <c r="H2055" s="33">
        <v>43221</v>
      </c>
      <c r="I2055" s="34">
        <v>1700588947</v>
      </c>
      <c r="J2055" s="21">
        <v>178.25</v>
      </c>
      <c r="K2055" t="s">
        <v>2030</v>
      </c>
    </row>
    <row r="2056" spans="1:11" x14ac:dyDescent="0.3">
      <c r="A2056" t="s">
        <v>818</v>
      </c>
      <c r="B2056" s="33">
        <v>43262</v>
      </c>
      <c r="C2056" s="76">
        <v>13808000597073</v>
      </c>
      <c r="D2056" s="19">
        <v>1</v>
      </c>
      <c r="E2056" s="20" t="s">
        <v>3705</v>
      </c>
      <c r="F2056" s="20" t="s">
        <v>124</v>
      </c>
      <c r="G2056" s="105"/>
      <c r="H2056" s="33">
        <v>43221</v>
      </c>
      <c r="I2056" s="34">
        <v>1700588946</v>
      </c>
      <c r="J2056" s="21">
        <v>178.25</v>
      </c>
      <c r="K2056" t="s">
        <v>2030</v>
      </c>
    </row>
    <row r="2057" spans="1:11" x14ac:dyDescent="0.3">
      <c r="A2057" t="s">
        <v>818</v>
      </c>
      <c r="B2057" s="33">
        <v>43262</v>
      </c>
      <c r="C2057" s="76">
        <v>13808000597073</v>
      </c>
      <c r="D2057" s="19">
        <v>1</v>
      </c>
      <c r="E2057" s="20" t="s">
        <v>3705</v>
      </c>
      <c r="F2057" s="20" t="s">
        <v>129</v>
      </c>
      <c r="G2057" s="105"/>
      <c r="H2057" s="33">
        <v>43221</v>
      </c>
      <c r="I2057" s="34">
        <v>1700588945</v>
      </c>
      <c r="J2057" s="21">
        <v>178.25</v>
      </c>
      <c r="K2057" t="s">
        <v>2030</v>
      </c>
    </row>
    <row r="2058" spans="1:11" x14ac:dyDescent="0.3">
      <c r="A2058" t="s">
        <v>818</v>
      </c>
      <c r="B2058" s="33">
        <v>43262</v>
      </c>
      <c r="C2058" s="76">
        <v>13808000597073</v>
      </c>
      <c r="D2058" s="19">
        <v>1</v>
      </c>
      <c r="E2058" s="20" t="s">
        <v>3705</v>
      </c>
      <c r="F2058" s="20" t="s">
        <v>120</v>
      </c>
      <c r="G2058" s="105"/>
      <c r="H2058" s="33">
        <v>43221</v>
      </c>
      <c r="I2058" s="34">
        <v>1700588944</v>
      </c>
      <c r="J2058" s="21">
        <v>279</v>
      </c>
      <c r="K2058" t="s">
        <v>2030</v>
      </c>
    </row>
    <row r="2059" spans="1:11" x14ac:dyDescent="0.3">
      <c r="A2059" t="s">
        <v>818</v>
      </c>
      <c r="B2059" s="33">
        <v>43262</v>
      </c>
      <c r="C2059" s="76">
        <v>13808000597073</v>
      </c>
      <c r="D2059" s="19">
        <v>1</v>
      </c>
      <c r="E2059" s="20" t="s">
        <v>3705</v>
      </c>
      <c r="F2059" s="20" t="s">
        <v>117</v>
      </c>
      <c r="G2059" s="105"/>
      <c r="H2059" s="33">
        <v>43221</v>
      </c>
      <c r="I2059" s="34">
        <v>1700588943</v>
      </c>
      <c r="J2059" s="21">
        <v>279</v>
      </c>
      <c r="K2059" t="s">
        <v>2030</v>
      </c>
    </row>
    <row r="2060" spans="1:11" x14ac:dyDescent="0.3">
      <c r="A2060" t="s">
        <v>818</v>
      </c>
      <c r="B2060" s="33">
        <v>43262</v>
      </c>
      <c r="C2060" s="76">
        <v>13808000597073</v>
      </c>
      <c r="D2060" s="19">
        <v>1</v>
      </c>
      <c r="E2060" s="20" t="s">
        <v>3705</v>
      </c>
      <c r="F2060" s="20" t="s">
        <v>115</v>
      </c>
      <c r="G2060" s="105"/>
      <c r="H2060" s="33">
        <v>43221</v>
      </c>
      <c r="I2060" s="34">
        <v>1700588942</v>
      </c>
      <c r="J2060" s="21">
        <v>496</v>
      </c>
      <c r="K2060" t="s">
        <v>2030</v>
      </c>
    </row>
    <row r="2061" spans="1:11" x14ac:dyDescent="0.3">
      <c r="A2061" t="s">
        <v>818</v>
      </c>
      <c r="B2061" s="33">
        <v>43262</v>
      </c>
      <c r="C2061" s="76">
        <v>13808000597073</v>
      </c>
      <c r="D2061" s="19">
        <v>1</v>
      </c>
      <c r="E2061" s="20" t="s">
        <v>3705</v>
      </c>
      <c r="F2061" s="20" t="s">
        <v>119</v>
      </c>
      <c r="G2061" s="105"/>
      <c r="H2061" s="33">
        <v>43221</v>
      </c>
      <c r="I2061" s="34">
        <v>1700588941</v>
      </c>
      <c r="J2061" s="21">
        <v>279</v>
      </c>
      <c r="K2061" t="s">
        <v>2030</v>
      </c>
    </row>
    <row r="2062" spans="1:11" x14ac:dyDescent="0.3">
      <c r="A2062" t="s">
        <v>818</v>
      </c>
      <c r="B2062" s="33">
        <v>43262</v>
      </c>
      <c r="C2062" s="76">
        <v>13808000597073</v>
      </c>
      <c r="D2062" s="19">
        <v>1</v>
      </c>
      <c r="E2062" s="20" t="s">
        <v>3705</v>
      </c>
      <c r="F2062" s="20" t="s">
        <v>116</v>
      </c>
      <c r="G2062" s="105"/>
      <c r="H2062" s="33">
        <v>43221</v>
      </c>
      <c r="I2062" s="34">
        <v>1700588940</v>
      </c>
      <c r="J2062" s="21">
        <v>279</v>
      </c>
      <c r="K2062" t="s">
        <v>2030</v>
      </c>
    </row>
    <row r="2063" spans="1:11" x14ac:dyDescent="0.3">
      <c r="A2063" t="s">
        <v>818</v>
      </c>
      <c r="B2063" s="33">
        <v>43262</v>
      </c>
      <c r="C2063" s="76">
        <v>13808000597073</v>
      </c>
      <c r="D2063" s="19">
        <v>1</v>
      </c>
      <c r="E2063" s="20" t="s">
        <v>3705</v>
      </c>
      <c r="F2063" s="20" t="s">
        <v>118</v>
      </c>
      <c r="G2063" s="105"/>
      <c r="H2063" s="33">
        <v>43221</v>
      </c>
      <c r="I2063" s="34">
        <v>1700588939</v>
      </c>
      <c r="J2063" s="21">
        <v>279</v>
      </c>
      <c r="K2063" t="s">
        <v>2030</v>
      </c>
    </row>
    <row r="2064" spans="1:11" x14ac:dyDescent="0.3">
      <c r="A2064" t="s">
        <v>818</v>
      </c>
      <c r="B2064" s="33">
        <v>43262</v>
      </c>
      <c r="C2064" s="76">
        <v>13808000597073</v>
      </c>
      <c r="D2064" s="19">
        <v>1</v>
      </c>
      <c r="E2064" s="20" t="s">
        <v>3705</v>
      </c>
      <c r="F2064" s="20" t="s">
        <v>121</v>
      </c>
      <c r="G2064" s="105"/>
      <c r="H2064" s="33">
        <v>43221</v>
      </c>
      <c r="I2064" s="34">
        <v>1700588938</v>
      </c>
      <c r="J2064" s="21">
        <v>178.25</v>
      </c>
      <c r="K2064" t="s">
        <v>2030</v>
      </c>
    </row>
    <row r="2065" spans="1:11" x14ac:dyDescent="0.3">
      <c r="A2065" t="s">
        <v>818</v>
      </c>
      <c r="B2065" s="33">
        <v>43262</v>
      </c>
      <c r="C2065" s="76">
        <v>13808000597073</v>
      </c>
      <c r="D2065" s="19">
        <v>1</v>
      </c>
      <c r="E2065" s="20" t="s">
        <v>3705</v>
      </c>
      <c r="F2065" s="20" t="s">
        <v>9</v>
      </c>
      <c r="G2065" s="105"/>
      <c r="H2065" s="33">
        <v>43221</v>
      </c>
      <c r="I2065" s="34">
        <v>1700588937</v>
      </c>
      <c r="J2065" s="21">
        <v>232.5</v>
      </c>
      <c r="K2065" t="s">
        <v>2030</v>
      </c>
    </row>
    <row r="2066" spans="1:11" x14ac:dyDescent="0.3">
      <c r="A2066" t="s">
        <v>818</v>
      </c>
      <c r="B2066" s="33">
        <v>43262</v>
      </c>
      <c r="C2066" s="76">
        <v>13808000597073</v>
      </c>
      <c r="D2066" s="19">
        <v>1</v>
      </c>
      <c r="E2066" s="20" t="s">
        <v>3705</v>
      </c>
      <c r="F2066" s="20" t="s">
        <v>99</v>
      </c>
      <c r="G2066" s="105"/>
      <c r="H2066" s="33">
        <v>43221</v>
      </c>
      <c r="I2066" s="34">
        <v>1700588936</v>
      </c>
      <c r="J2066" s="21">
        <v>232.5</v>
      </c>
      <c r="K2066" t="s">
        <v>2030</v>
      </c>
    </row>
    <row r="2067" spans="1:11" x14ac:dyDescent="0.3">
      <c r="A2067" t="s">
        <v>818</v>
      </c>
      <c r="B2067" s="33">
        <v>43262</v>
      </c>
      <c r="C2067" s="76">
        <v>13808000597073</v>
      </c>
      <c r="D2067" s="19">
        <v>1</v>
      </c>
      <c r="E2067" s="20" t="s">
        <v>3705</v>
      </c>
      <c r="F2067" s="20" t="s">
        <v>112</v>
      </c>
      <c r="G2067" s="105"/>
      <c r="H2067" s="33">
        <v>43221</v>
      </c>
      <c r="I2067" s="34">
        <v>1700588935</v>
      </c>
      <c r="J2067" s="21">
        <v>496</v>
      </c>
      <c r="K2067" t="s">
        <v>2030</v>
      </c>
    </row>
    <row r="2068" spans="1:11" x14ac:dyDescent="0.3">
      <c r="A2068" t="s">
        <v>818</v>
      </c>
      <c r="B2068" s="33">
        <v>43262</v>
      </c>
      <c r="C2068" s="76">
        <v>13808000597073</v>
      </c>
      <c r="D2068" s="19">
        <v>1</v>
      </c>
      <c r="E2068" s="20" t="s">
        <v>3705</v>
      </c>
      <c r="F2068" s="20" t="s">
        <v>110</v>
      </c>
      <c r="G2068" s="105"/>
      <c r="H2068" s="33">
        <v>43221</v>
      </c>
      <c r="I2068" s="34">
        <v>1700588934</v>
      </c>
      <c r="J2068" s="21">
        <v>178.25</v>
      </c>
      <c r="K2068" t="s">
        <v>2030</v>
      </c>
    </row>
    <row r="2069" spans="1:11" x14ac:dyDescent="0.3">
      <c r="A2069" t="s">
        <v>818</v>
      </c>
      <c r="B2069" s="33">
        <v>43262</v>
      </c>
      <c r="C2069" s="76">
        <v>13808000597073</v>
      </c>
      <c r="D2069" s="19">
        <v>1</v>
      </c>
      <c r="E2069" s="20" t="s">
        <v>3705</v>
      </c>
      <c r="F2069" s="20" t="s">
        <v>108</v>
      </c>
      <c r="G2069" s="105"/>
      <c r="H2069" s="33">
        <v>43221</v>
      </c>
      <c r="I2069" s="34">
        <v>1700588933</v>
      </c>
      <c r="J2069" s="21">
        <v>178.25</v>
      </c>
      <c r="K2069" t="s">
        <v>2030</v>
      </c>
    </row>
    <row r="2070" spans="1:11" x14ac:dyDescent="0.3">
      <c r="A2070" t="s">
        <v>818</v>
      </c>
      <c r="B2070" s="33">
        <v>43262</v>
      </c>
      <c r="C2070" s="76">
        <v>13808000597073</v>
      </c>
      <c r="D2070" s="19">
        <v>1</v>
      </c>
      <c r="E2070" s="20" t="s">
        <v>3705</v>
      </c>
      <c r="F2070" s="20" t="s">
        <v>109</v>
      </c>
      <c r="G2070" s="105"/>
      <c r="H2070" s="33">
        <v>43221</v>
      </c>
      <c r="I2070" s="34">
        <v>1700588932</v>
      </c>
      <c r="J2070" s="21">
        <v>178.25</v>
      </c>
      <c r="K2070" t="s">
        <v>2030</v>
      </c>
    </row>
    <row r="2071" spans="1:11" x14ac:dyDescent="0.3">
      <c r="A2071" t="s">
        <v>818</v>
      </c>
      <c r="B2071" s="33">
        <v>43262</v>
      </c>
      <c r="C2071" s="76">
        <v>13808000597073</v>
      </c>
      <c r="D2071" s="19">
        <v>1</v>
      </c>
      <c r="E2071" s="20" t="s">
        <v>3705</v>
      </c>
      <c r="F2071" s="20" t="s">
        <v>113</v>
      </c>
      <c r="G2071" s="105"/>
      <c r="H2071" s="33">
        <v>43221</v>
      </c>
      <c r="I2071" s="34">
        <v>1700588931</v>
      </c>
      <c r="J2071" s="21">
        <v>496</v>
      </c>
      <c r="K2071" t="s">
        <v>2030</v>
      </c>
    </row>
    <row r="2072" spans="1:11" x14ac:dyDescent="0.3">
      <c r="A2072" t="s">
        <v>818</v>
      </c>
      <c r="B2072" s="33">
        <v>43262</v>
      </c>
      <c r="C2072" s="76">
        <v>13808000597073</v>
      </c>
      <c r="D2072" s="19">
        <v>1</v>
      </c>
      <c r="E2072" s="20" t="s">
        <v>3705</v>
      </c>
      <c r="F2072" s="20" t="s">
        <v>104</v>
      </c>
      <c r="G2072" s="105"/>
      <c r="H2072" s="33">
        <v>43221</v>
      </c>
      <c r="I2072" s="34">
        <v>1700588930</v>
      </c>
      <c r="J2072" s="21">
        <v>178.25</v>
      </c>
      <c r="K2072" t="s">
        <v>2030</v>
      </c>
    </row>
    <row r="2073" spans="1:11" x14ac:dyDescent="0.3">
      <c r="A2073" t="s">
        <v>818</v>
      </c>
      <c r="B2073" s="33">
        <v>43262</v>
      </c>
      <c r="C2073" s="76">
        <v>13808000597073</v>
      </c>
      <c r="D2073" s="19">
        <v>1</v>
      </c>
      <c r="E2073" s="20" t="s">
        <v>3705</v>
      </c>
      <c r="F2073" s="20" t="s">
        <v>114</v>
      </c>
      <c r="G2073" s="105"/>
      <c r="H2073" s="33">
        <v>43221</v>
      </c>
      <c r="I2073" s="34">
        <v>1700588929</v>
      </c>
      <c r="J2073" s="21">
        <v>496</v>
      </c>
      <c r="K2073" t="s">
        <v>2030</v>
      </c>
    </row>
    <row r="2074" spans="1:11" x14ac:dyDescent="0.3">
      <c r="A2074" t="s">
        <v>818</v>
      </c>
      <c r="B2074" s="33">
        <v>43262</v>
      </c>
      <c r="C2074" s="76">
        <v>13808000597073</v>
      </c>
      <c r="D2074" s="19">
        <v>1</v>
      </c>
      <c r="E2074" s="20" t="s">
        <v>3705</v>
      </c>
      <c r="F2074" s="20" t="s">
        <v>107</v>
      </c>
      <c r="G2074" s="105"/>
      <c r="H2074" s="33">
        <v>43221</v>
      </c>
      <c r="I2074" s="34">
        <v>1700588928</v>
      </c>
      <c r="J2074" s="21">
        <v>310</v>
      </c>
      <c r="K2074" t="s">
        <v>2030</v>
      </c>
    </row>
    <row r="2075" spans="1:11" x14ac:dyDescent="0.3">
      <c r="A2075" t="s">
        <v>818</v>
      </c>
      <c r="B2075" s="33">
        <v>43262</v>
      </c>
      <c r="C2075" s="76">
        <v>13808000597073</v>
      </c>
      <c r="D2075" s="19">
        <v>1</v>
      </c>
      <c r="E2075" s="20" t="s">
        <v>3705</v>
      </c>
      <c r="F2075" s="20" t="s">
        <v>111</v>
      </c>
      <c r="G2075" s="105"/>
      <c r="H2075" s="33">
        <v>43221</v>
      </c>
      <c r="I2075" s="34">
        <v>1700588927</v>
      </c>
      <c r="J2075" s="21">
        <v>496</v>
      </c>
      <c r="K2075" t="s">
        <v>2030</v>
      </c>
    </row>
    <row r="2076" spans="1:11" x14ac:dyDescent="0.3">
      <c r="A2076" t="s">
        <v>812</v>
      </c>
      <c r="B2076" s="33">
        <v>43262</v>
      </c>
      <c r="C2076" s="34" t="s">
        <v>2237</v>
      </c>
      <c r="D2076" s="134">
        <v>5405</v>
      </c>
      <c r="E2076" s="47" t="s">
        <v>3709</v>
      </c>
      <c r="F2076" s="47" t="s">
        <v>6</v>
      </c>
      <c r="G2076" s="138">
        <v>4300021652</v>
      </c>
      <c r="H2076" s="70">
        <v>43221</v>
      </c>
      <c r="I2076" s="34" t="s">
        <v>2114</v>
      </c>
      <c r="J2076" s="141">
        <v>248</v>
      </c>
      <c r="K2076" t="s">
        <v>2030</v>
      </c>
    </row>
    <row r="2077" spans="1:11" x14ac:dyDescent="0.3">
      <c r="A2077" t="s">
        <v>812</v>
      </c>
      <c r="B2077" s="33">
        <v>43262</v>
      </c>
      <c r="C2077" s="34" t="s">
        <v>2237</v>
      </c>
      <c r="D2077" s="136">
        <v>5405</v>
      </c>
      <c r="E2077" s="47" t="s">
        <v>3709</v>
      </c>
      <c r="F2077" s="47" t="s">
        <v>7</v>
      </c>
      <c r="G2077" s="140">
        <v>4300021652</v>
      </c>
      <c r="H2077" s="70">
        <v>43221</v>
      </c>
      <c r="I2077" s="34" t="s">
        <v>2114</v>
      </c>
      <c r="J2077" s="143">
        <v>248</v>
      </c>
      <c r="K2077" t="s">
        <v>2030</v>
      </c>
    </row>
    <row r="2078" spans="1:11" x14ac:dyDescent="0.3">
      <c r="A2078" t="s">
        <v>812</v>
      </c>
      <c r="B2078" s="33">
        <v>43262</v>
      </c>
      <c r="C2078" s="34" t="s">
        <v>2237</v>
      </c>
      <c r="D2078" s="134">
        <v>5405</v>
      </c>
      <c r="E2078" s="47" t="s">
        <v>3709</v>
      </c>
      <c r="F2078" s="47" t="s">
        <v>8</v>
      </c>
      <c r="G2078" s="138">
        <v>4300021652</v>
      </c>
      <c r="H2078" s="70">
        <v>43221</v>
      </c>
      <c r="I2078" s="34" t="s">
        <v>2114</v>
      </c>
      <c r="J2078" s="141">
        <v>248</v>
      </c>
      <c r="K2078" t="s">
        <v>2030</v>
      </c>
    </row>
    <row r="2079" spans="1:11" x14ac:dyDescent="0.3">
      <c r="A2079" t="s">
        <v>812</v>
      </c>
      <c r="B2079" s="33">
        <v>43262</v>
      </c>
      <c r="C2079" s="34" t="s">
        <v>2237</v>
      </c>
      <c r="D2079" s="136">
        <v>5405</v>
      </c>
      <c r="E2079" s="47" t="s">
        <v>3709</v>
      </c>
      <c r="F2079" s="47" t="s">
        <v>9</v>
      </c>
      <c r="G2079" s="140">
        <v>4300021652</v>
      </c>
      <c r="H2079" s="70">
        <v>43221</v>
      </c>
      <c r="I2079" s="34" t="s">
        <v>2114</v>
      </c>
      <c r="J2079" s="143">
        <v>248</v>
      </c>
      <c r="K2079" t="s">
        <v>2030</v>
      </c>
    </row>
    <row r="2080" spans="1:11" x14ac:dyDescent="0.3">
      <c r="A2080" t="s">
        <v>812</v>
      </c>
      <c r="B2080" s="33">
        <v>43262</v>
      </c>
      <c r="C2080" s="34" t="s">
        <v>2237</v>
      </c>
      <c r="D2080" s="134">
        <v>5405</v>
      </c>
      <c r="E2080" s="47" t="s">
        <v>3709</v>
      </c>
      <c r="F2080" s="47" t="s">
        <v>10</v>
      </c>
      <c r="G2080" s="138">
        <v>4300021652</v>
      </c>
      <c r="H2080" s="70">
        <v>43221</v>
      </c>
      <c r="I2080" s="34" t="s">
        <v>2114</v>
      </c>
      <c r="J2080" s="141">
        <v>248</v>
      </c>
      <c r="K2080" t="s">
        <v>2030</v>
      </c>
    </row>
    <row r="2081" spans="1:11" x14ac:dyDescent="0.3">
      <c r="A2081" t="s">
        <v>812</v>
      </c>
      <c r="B2081" s="33">
        <v>43262</v>
      </c>
      <c r="C2081" s="34" t="s">
        <v>2237</v>
      </c>
      <c r="D2081" s="136">
        <v>5405</v>
      </c>
      <c r="E2081" s="47" t="s">
        <v>3709</v>
      </c>
      <c r="F2081" s="47" t="s">
        <v>11</v>
      </c>
      <c r="G2081" s="140">
        <v>4300021652</v>
      </c>
      <c r="H2081" s="70">
        <v>43221</v>
      </c>
      <c r="I2081" s="34" t="s">
        <v>2114</v>
      </c>
      <c r="J2081" s="143">
        <v>248</v>
      </c>
      <c r="K2081" t="s">
        <v>2030</v>
      </c>
    </row>
    <row r="2082" spans="1:11" x14ac:dyDescent="0.3">
      <c r="A2082" t="s">
        <v>812</v>
      </c>
      <c r="B2082" s="33">
        <v>43262</v>
      </c>
      <c r="C2082" s="34" t="s">
        <v>2237</v>
      </c>
      <c r="D2082" s="134">
        <v>5405</v>
      </c>
      <c r="E2082" s="47" t="s">
        <v>3709</v>
      </c>
      <c r="F2082" s="47" t="s">
        <v>12</v>
      </c>
      <c r="G2082" s="138">
        <v>4300021652</v>
      </c>
      <c r="H2082" s="70">
        <v>43221</v>
      </c>
      <c r="I2082" s="34" t="s">
        <v>2114</v>
      </c>
      <c r="J2082" s="141">
        <v>248</v>
      </c>
      <c r="K2082" t="s">
        <v>2030</v>
      </c>
    </row>
    <row r="2083" spans="1:11" x14ac:dyDescent="0.3">
      <c r="A2083" t="s">
        <v>812</v>
      </c>
      <c r="B2083" s="33">
        <v>43262</v>
      </c>
      <c r="C2083" s="34" t="s">
        <v>2237</v>
      </c>
      <c r="D2083" s="136">
        <v>5405</v>
      </c>
      <c r="E2083" s="47" t="s">
        <v>3709</v>
      </c>
      <c r="F2083" s="47" t="s">
        <v>13</v>
      </c>
      <c r="G2083" s="140">
        <v>4300021652</v>
      </c>
      <c r="H2083" s="70">
        <v>43221</v>
      </c>
      <c r="I2083" s="34" t="s">
        <v>2114</v>
      </c>
      <c r="J2083" s="143">
        <v>248</v>
      </c>
      <c r="K2083" t="s">
        <v>2030</v>
      </c>
    </row>
    <row r="2084" spans="1:11" x14ac:dyDescent="0.3">
      <c r="A2084" t="s">
        <v>812</v>
      </c>
      <c r="B2084" s="33">
        <v>43262</v>
      </c>
      <c r="C2084" s="34" t="s">
        <v>2237</v>
      </c>
      <c r="D2084" s="134">
        <v>5405</v>
      </c>
      <c r="E2084" s="47" t="s">
        <v>3709</v>
      </c>
      <c r="F2084" s="47" t="s">
        <v>14</v>
      </c>
      <c r="G2084" s="138">
        <v>4300021652</v>
      </c>
      <c r="H2084" s="70">
        <v>43221</v>
      </c>
      <c r="I2084" s="34" t="s">
        <v>2114</v>
      </c>
      <c r="J2084" s="141">
        <v>248</v>
      </c>
      <c r="K2084" t="s">
        <v>2030</v>
      </c>
    </row>
    <row r="2085" spans="1:11" x14ac:dyDescent="0.3">
      <c r="A2085" t="s">
        <v>812</v>
      </c>
      <c r="B2085" s="33">
        <v>43262</v>
      </c>
      <c r="C2085" s="34" t="s">
        <v>2237</v>
      </c>
      <c r="D2085" s="136">
        <v>5405</v>
      </c>
      <c r="E2085" s="47" t="s">
        <v>3709</v>
      </c>
      <c r="F2085" s="47" t="s">
        <v>15</v>
      </c>
      <c r="G2085" s="140">
        <v>4300021652</v>
      </c>
      <c r="H2085" s="70">
        <v>43221</v>
      </c>
      <c r="I2085" s="34" t="s">
        <v>2114</v>
      </c>
      <c r="J2085" s="143">
        <v>248</v>
      </c>
      <c r="K2085" t="s">
        <v>2030</v>
      </c>
    </row>
    <row r="2086" spans="1:11" x14ac:dyDescent="0.3">
      <c r="A2086" t="s">
        <v>812</v>
      </c>
      <c r="B2086" s="33">
        <v>43262</v>
      </c>
      <c r="C2086" s="34" t="s">
        <v>2237</v>
      </c>
      <c r="D2086" s="134">
        <v>5405</v>
      </c>
      <c r="E2086" s="47" t="s">
        <v>3709</v>
      </c>
      <c r="F2086" s="47" t="s">
        <v>16</v>
      </c>
      <c r="G2086" s="138">
        <v>4300021652</v>
      </c>
      <c r="H2086" s="70">
        <v>43221</v>
      </c>
      <c r="I2086" s="34" t="s">
        <v>2114</v>
      </c>
      <c r="J2086" s="141">
        <v>248</v>
      </c>
      <c r="K2086" t="s">
        <v>2030</v>
      </c>
    </row>
    <row r="2087" spans="1:11" x14ac:dyDescent="0.3">
      <c r="A2087" t="s">
        <v>812</v>
      </c>
      <c r="B2087" s="33">
        <v>43262</v>
      </c>
      <c r="C2087" s="34" t="s">
        <v>2237</v>
      </c>
      <c r="D2087" s="136">
        <v>5405</v>
      </c>
      <c r="E2087" s="47" t="s">
        <v>3709</v>
      </c>
      <c r="F2087" s="47" t="s">
        <v>17</v>
      </c>
      <c r="G2087" s="140">
        <v>4300021652</v>
      </c>
      <c r="H2087" s="70">
        <v>43221</v>
      </c>
      <c r="I2087" s="34" t="s">
        <v>2114</v>
      </c>
      <c r="J2087" s="143">
        <v>248</v>
      </c>
      <c r="K2087" t="s">
        <v>2030</v>
      </c>
    </row>
    <row r="2088" spans="1:11" x14ac:dyDescent="0.3">
      <c r="A2088" t="s">
        <v>812</v>
      </c>
      <c r="B2088" s="33">
        <v>43262</v>
      </c>
      <c r="C2088" s="34" t="s">
        <v>2237</v>
      </c>
      <c r="D2088" s="134">
        <v>5405</v>
      </c>
      <c r="E2088" s="47" t="s">
        <v>3709</v>
      </c>
      <c r="F2088" s="47" t="s">
        <v>18</v>
      </c>
      <c r="G2088" s="138">
        <v>4300021652</v>
      </c>
      <c r="H2088" s="70">
        <v>43221</v>
      </c>
      <c r="I2088" s="34" t="s">
        <v>2114</v>
      </c>
      <c r="J2088" s="141">
        <v>248</v>
      </c>
      <c r="K2088" t="s">
        <v>2030</v>
      </c>
    </row>
    <row r="2089" spans="1:11" x14ac:dyDescent="0.3">
      <c r="A2089" t="s">
        <v>812</v>
      </c>
      <c r="B2089" s="33">
        <v>43262</v>
      </c>
      <c r="C2089" s="34" t="s">
        <v>2237</v>
      </c>
      <c r="D2089" s="136">
        <v>5405</v>
      </c>
      <c r="E2089" s="47" t="s">
        <v>3709</v>
      </c>
      <c r="F2089" s="47" t="s">
        <v>19</v>
      </c>
      <c r="G2089" s="140">
        <v>4300021652</v>
      </c>
      <c r="H2089" s="70">
        <v>43221</v>
      </c>
      <c r="I2089" s="34" t="s">
        <v>2114</v>
      </c>
      <c r="J2089" s="143">
        <v>270.94</v>
      </c>
      <c r="K2089" t="s">
        <v>2030</v>
      </c>
    </row>
    <row r="2090" spans="1:11" x14ac:dyDescent="0.3">
      <c r="A2090" t="s">
        <v>812</v>
      </c>
      <c r="B2090" s="33">
        <v>43262</v>
      </c>
      <c r="C2090" s="34" t="s">
        <v>2237</v>
      </c>
      <c r="D2090" s="134">
        <v>5405</v>
      </c>
      <c r="E2090" s="47" t="s">
        <v>3709</v>
      </c>
      <c r="F2090" s="47" t="s">
        <v>20</v>
      </c>
      <c r="G2090" s="138">
        <v>4300021652</v>
      </c>
      <c r="H2090" s="70">
        <v>43221</v>
      </c>
      <c r="I2090" s="34" t="s">
        <v>2114</v>
      </c>
      <c r="J2090" s="141">
        <v>248</v>
      </c>
      <c r="K2090" t="s">
        <v>2030</v>
      </c>
    </row>
    <row r="2091" spans="1:11" x14ac:dyDescent="0.3">
      <c r="A2091" t="s">
        <v>812</v>
      </c>
      <c r="B2091" s="33">
        <v>43262</v>
      </c>
      <c r="C2091" s="34" t="s">
        <v>2237</v>
      </c>
      <c r="D2091" s="136">
        <v>5405</v>
      </c>
      <c r="E2091" s="47" t="s">
        <v>3709</v>
      </c>
      <c r="F2091" s="47" t="s">
        <v>21</v>
      </c>
      <c r="G2091" s="140">
        <v>4300021652</v>
      </c>
      <c r="H2091" s="70">
        <v>43221</v>
      </c>
      <c r="I2091" s="34" t="s">
        <v>2114</v>
      </c>
      <c r="J2091" s="143">
        <v>248</v>
      </c>
      <c r="K2091" t="s">
        <v>2030</v>
      </c>
    </row>
    <row r="2092" spans="1:11" x14ac:dyDescent="0.3">
      <c r="A2092" t="s">
        <v>812</v>
      </c>
      <c r="B2092" s="33">
        <v>43262</v>
      </c>
      <c r="C2092" s="34" t="s">
        <v>2237</v>
      </c>
      <c r="D2092" s="134">
        <v>5405</v>
      </c>
      <c r="E2092" s="47" t="s">
        <v>3709</v>
      </c>
      <c r="F2092" s="47" t="s">
        <v>22</v>
      </c>
      <c r="G2092" s="138">
        <v>4300021652</v>
      </c>
      <c r="H2092" s="70">
        <v>43221</v>
      </c>
      <c r="I2092" s="34" t="s">
        <v>2114</v>
      </c>
      <c r="J2092" s="141">
        <v>248</v>
      </c>
      <c r="K2092" t="s">
        <v>2030</v>
      </c>
    </row>
    <row r="2093" spans="1:11" x14ac:dyDescent="0.3">
      <c r="A2093" t="s">
        <v>812</v>
      </c>
      <c r="B2093" s="33">
        <v>43262</v>
      </c>
      <c r="C2093" s="34" t="s">
        <v>2237</v>
      </c>
      <c r="D2093" s="136">
        <v>5405</v>
      </c>
      <c r="E2093" s="47" t="s">
        <v>3709</v>
      </c>
      <c r="F2093" s="47" t="s">
        <v>23</v>
      </c>
      <c r="G2093" s="140">
        <v>4300021652</v>
      </c>
      <c r="H2093" s="70">
        <v>43221</v>
      </c>
      <c r="I2093" s="34" t="s">
        <v>2114</v>
      </c>
      <c r="J2093" s="143">
        <v>248</v>
      </c>
      <c r="K2093" t="s">
        <v>2030</v>
      </c>
    </row>
    <row r="2094" spans="1:11" x14ac:dyDescent="0.3">
      <c r="A2094" t="s">
        <v>812</v>
      </c>
      <c r="B2094" s="33">
        <v>43262</v>
      </c>
      <c r="C2094" s="34" t="s">
        <v>2237</v>
      </c>
      <c r="D2094" s="134">
        <v>5405</v>
      </c>
      <c r="E2094" s="47" t="s">
        <v>3709</v>
      </c>
      <c r="F2094" s="47" t="s">
        <v>24</v>
      </c>
      <c r="G2094" s="138">
        <v>4300021652</v>
      </c>
      <c r="H2094" s="70">
        <v>43221</v>
      </c>
      <c r="I2094" s="34" t="s">
        <v>2114</v>
      </c>
      <c r="J2094" s="141">
        <v>248</v>
      </c>
      <c r="K2094" t="s">
        <v>2030</v>
      </c>
    </row>
    <row r="2095" spans="1:11" x14ac:dyDescent="0.3">
      <c r="A2095" t="s">
        <v>812</v>
      </c>
      <c r="B2095" s="33">
        <v>43262</v>
      </c>
      <c r="C2095" s="34" t="s">
        <v>2237</v>
      </c>
      <c r="D2095" s="136">
        <v>5405</v>
      </c>
      <c r="E2095" s="47" t="s">
        <v>3709</v>
      </c>
      <c r="F2095" s="47" t="s">
        <v>25</v>
      </c>
      <c r="G2095" s="140">
        <v>4300021652</v>
      </c>
      <c r="H2095" s="70">
        <v>43221</v>
      </c>
      <c r="I2095" s="34" t="s">
        <v>2114</v>
      </c>
      <c r="J2095" s="143">
        <v>248</v>
      </c>
      <c r="K2095" t="s">
        <v>2030</v>
      </c>
    </row>
    <row r="2096" spans="1:11" x14ac:dyDescent="0.3">
      <c r="A2096" t="s">
        <v>812</v>
      </c>
      <c r="B2096" s="33">
        <v>43262</v>
      </c>
      <c r="C2096" s="34" t="s">
        <v>2237</v>
      </c>
      <c r="D2096" s="134">
        <v>5405</v>
      </c>
      <c r="E2096" s="47" t="s">
        <v>3709</v>
      </c>
      <c r="F2096" s="47" t="s">
        <v>26</v>
      </c>
      <c r="G2096" s="138">
        <v>4300021652</v>
      </c>
      <c r="H2096" s="70">
        <v>43221</v>
      </c>
      <c r="I2096" s="34" t="s">
        <v>2114</v>
      </c>
      <c r="J2096" s="141">
        <v>248</v>
      </c>
      <c r="K2096" t="s">
        <v>2030</v>
      </c>
    </row>
    <row r="2097" spans="1:11" x14ac:dyDescent="0.3">
      <c r="A2097" t="s">
        <v>812</v>
      </c>
      <c r="B2097" s="33">
        <v>43262</v>
      </c>
      <c r="C2097" s="34" t="s">
        <v>2237</v>
      </c>
      <c r="D2097" s="136">
        <v>5405</v>
      </c>
      <c r="E2097" s="47" t="s">
        <v>3709</v>
      </c>
      <c r="F2097" s="47" t="s">
        <v>27</v>
      </c>
      <c r="G2097" s="140">
        <v>4300021652</v>
      </c>
      <c r="H2097" s="70">
        <v>43221</v>
      </c>
      <c r="I2097" s="34" t="s">
        <v>2114</v>
      </c>
      <c r="J2097" s="143">
        <v>248</v>
      </c>
      <c r="K2097" t="s">
        <v>2030</v>
      </c>
    </row>
    <row r="2098" spans="1:11" x14ac:dyDescent="0.3">
      <c r="A2098" t="s">
        <v>812</v>
      </c>
      <c r="B2098" s="33">
        <v>43262</v>
      </c>
      <c r="C2098" s="34" t="s">
        <v>2237</v>
      </c>
      <c r="D2098" s="134">
        <v>5405</v>
      </c>
      <c r="E2098" s="47" t="s">
        <v>3709</v>
      </c>
      <c r="F2098" s="47" t="s">
        <v>28</v>
      </c>
      <c r="G2098" s="138">
        <v>4300021652</v>
      </c>
      <c r="H2098" s="70">
        <v>43221</v>
      </c>
      <c r="I2098" s="34" t="s">
        <v>2114</v>
      </c>
      <c r="J2098" s="141">
        <v>248</v>
      </c>
      <c r="K2098" t="s">
        <v>2030</v>
      </c>
    </row>
    <row r="2099" spans="1:11" x14ac:dyDescent="0.3">
      <c r="A2099" t="s">
        <v>812</v>
      </c>
      <c r="B2099" s="33">
        <v>43262</v>
      </c>
      <c r="C2099" s="34" t="s">
        <v>2237</v>
      </c>
      <c r="D2099" s="136">
        <v>5405</v>
      </c>
      <c r="E2099" s="47" t="s">
        <v>3709</v>
      </c>
      <c r="F2099" s="47" t="s">
        <v>37</v>
      </c>
      <c r="G2099" s="140">
        <v>4300021652</v>
      </c>
      <c r="H2099" s="70">
        <v>43221</v>
      </c>
      <c r="I2099" s="34" t="s">
        <v>2114</v>
      </c>
      <c r="J2099" s="143">
        <v>248</v>
      </c>
      <c r="K2099" t="s">
        <v>2030</v>
      </c>
    </row>
    <row r="2100" spans="1:11" x14ac:dyDescent="0.3">
      <c r="A2100" t="s">
        <v>812</v>
      </c>
      <c r="B2100" s="33">
        <v>43262</v>
      </c>
      <c r="C2100" s="34" t="s">
        <v>2237</v>
      </c>
      <c r="D2100" s="134">
        <v>5405</v>
      </c>
      <c r="E2100" s="47" t="s">
        <v>3709</v>
      </c>
      <c r="F2100" s="47" t="s">
        <v>38</v>
      </c>
      <c r="G2100" s="138">
        <v>4300021652</v>
      </c>
      <c r="H2100" s="70">
        <v>43221</v>
      </c>
      <c r="I2100" s="34" t="s">
        <v>2114</v>
      </c>
      <c r="J2100" s="141">
        <v>248</v>
      </c>
      <c r="K2100" t="s">
        <v>2030</v>
      </c>
    </row>
    <row r="2101" spans="1:11" x14ac:dyDescent="0.3">
      <c r="A2101" t="s">
        <v>812</v>
      </c>
      <c r="B2101" s="33">
        <v>43262</v>
      </c>
      <c r="C2101" s="34" t="s">
        <v>2237</v>
      </c>
      <c r="D2101" s="136">
        <v>5405</v>
      </c>
      <c r="E2101" s="47" t="s">
        <v>3709</v>
      </c>
      <c r="F2101" s="47" t="s">
        <v>39</v>
      </c>
      <c r="G2101" s="140">
        <v>4300021652</v>
      </c>
      <c r="H2101" s="70">
        <v>43221</v>
      </c>
      <c r="I2101" s="34" t="s">
        <v>2114</v>
      </c>
      <c r="J2101" s="143">
        <v>248</v>
      </c>
      <c r="K2101" t="s">
        <v>2030</v>
      </c>
    </row>
    <row r="2102" spans="1:11" x14ac:dyDescent="0.3">
      <c r="A2102" t="s">
        <v>812</v>
      </c>
      <c r="B2102" s="33">
        <v>43262</v>
      </c>
      <c r="C2102" s="34" t="s">
        <v>2237</v>
      </c>
      <c r="D2102" s="134">
        <v>5405</v>
      </c>
      <c r="E2102" s="47" t="s">
        <v>3709</v>
      </c>
      <c r="F2102" s="47" t="s">
        <v>40</v>
      </c>
      <c r="G2102" s="138">
        <v>4300021652</v>
      </c>
      <c r="H2102" s="70">
        <v>43221</v>
      </c>
      <c r="I2102" s="34" t="s">
        <v>2114</v>
      </c>
      <c r="J2102" s="141">
        <v>248</v>
      </c>
      <c r="K2102" t="s">
        <v>2030</v>
      </c>
    </row>
    <row r="2103" spans="1:11" x14ac:dyDescent="0.3">
      <c r="A2103" t="s">
        <v>812</v>
      </c>
      <c r="B2103" s="33">
        <v>43262</v>
      </c>
      <c r="C2103" s="34" t="s">
        <v>2237</v>
      </c>
      <c r="D2103" s="136">
        <v>5405</v>
      </c>
      <c r="E2103" s="47" t="s">
        <v>3709</v>
      </c>
      <c r="F2103" s="47" t="s">
        <v>41</v>
      </c>
      <c r="G2103" s="140">
        <v>4300021652</v>
      </c>
      <c r="H2103" s="70">
        <v>43221</v>
      </c>
      <c r="I2103" s="34" t="s">
        <v>2114</v>
      </c>
      <c r="J2103" s="143">
        <v>248</v>
      </c>
      <c r="K2103" t="s">
        <v>2030</v>
      </c>
    </row>
    <row r="2104" spans="1:11" x14ac:dyDescent="0.3">
      <c r="A2104" t="s">
        <v>812</v>
      </c>
      <c r="B2104" s="33">
        <v>43262</v>
      </c>
      <c r="C2104" s="34" t="s">
        <v>2237</v>
      </c>
      <c r="D2104" s="134">
        <v>5405</v>
      </c>
      <c r="E2104" s="47" t="s">
        <v>3709</v>
      </c>
      <c r="F2104" s="47" t="s">
        <v>42</v>
      </c>
      <c r="G2104" s="138">
        <v>4300021652</v>
      </c>
      <c r="H2104" s="70">
        <v>43221</v>
      </c>
      <c r="I2104" s="34" t="s">
        <v>2114</v>
      </c>
      <c r="J2104" s="141">
        <v>248</v>
      </c>
      <c r="K2104" t="s">
        <v>2030</v>
      </c>
    </row>
    <row r="2105" spans="1:11" x14ac:dyDescent="0.3">
      <c r="A2105" t="s">
        <v>812</v>
      </c>
      <c r="B2105" s="33">
        <v>43262</v>
      </c>
      <c r="C2105" s="34" t="s">
        <v>2237</v>
      </c>
      <c r="D2105" s="136">
        <v>5405</v>
      </c>
      <c r="E2105" s="47" t="s">
        <v>3709</v>
      </c>
      <c r="F2105" s="47" t="s">
        <v>43</v>
      </c>
      <c r="G2105" s="140">
        <v>4300021652</v>
      </c>
      <c r="H2105" s="70">
        <v>43221</v>
      </c>
      <c r="I2105" s="34" t="s">
        <v>2114</v>
      </c>
      <c r="J2105" s="143">
        <v>248</v>
      </c>
      <c r="K2105" t="s">
        <v>2030</v>
      </c>
    </row>
    <row r="2106" spans="1:11" x14ac:dyDescent="0.3">
      <c r="A2106" t="s">
        <v>812</v>
      </c>
      <c r="B2106" s="33">
        <v>43262</v>
      </c>
      <c r="C2106" s="34" t="s">
        <v>2237</v>
      </c>
      <c r="D2106" s="134">
        <v>5405</v>
      </c>
      <c r="E2106" s="47" t="s">
        <v>3709</v>
      </c>
      <c r="F2106" s="47" t="s">
        <v>44</v>
      </c>
      <c r="G2106" s="138">
        <v>4300021652</v>
      </c>
      <c r="H2106" s="70">
        <v>43221</v>
      </c>
      <c r="I2106" s="34" t="s">
        <v>2114</v>
      </c>
      <c r="J2106" s="141">
        <v>248</v>
      </c>
      <c r="K2106" t="s">
        <v>2030</v>
      </c>
    </row>
    <row r="2107" spans="1:11" x14ac:dyDescent="0.3">
      <c r="A2107" t="s">
        <v>812</v>
      </c>
      <c r="B2107" s="33">
        <v>43262</v>
      </c>
      <c r="C2107" s="34" t="s">
        <v>2237</v>
      </c>
      <c r="D2107" s="136">
        <v>5405</v>
      </c>
      <c r="E2107" s="47" t="s">
        <v>3709</v>
      </c>
      <c r="F2107" s="47" t="s">
        <v>45</v>
      </c>
      <c r="G2107" s="140">
        <v>4300021652</v>
      </c>
      <c r="H2107" s="70">
        <v>43221</v>
      </c>
      <c r="I2107" s="34" t="s">
        <v>2114</v>
      </c>
      <c r="J2107" s="143">
        <v>248</v>
      </c>
      <c r="K2107" t="s">
        <v>2030</v>
      </c>
    </row>
    <row r="2108" spans="1:11" x14ac:dyDescent="0.3">
      <c r="A2108" t="s">
        <v>812</v>
      </c>
      <c r="B2108" s="33">
        <v>43262</v>
      </c>
      <c r="C2108" s="34" t="s">
        <v>2237</v>
      </c>
      <c r="D2108" s="134">
        <v>5405</v>
      </c>
      <c r="E2108" s="47" t="s">
        <v>3709</v>
      </c>
      <c r="F2108" s="47" t="s">
        <v>46</v>
      </c>
      <c r="G2108" s="138">
        <v>4300021652</v>
      </c>
      <c r="H2108" s="70">
        <v>43221</v>
      </c>
      <c r="I2108" s="34" t="s">
        <v>2114</v>
      </c>
      <c r="J2108" s="141">
        <v>558</v>
      </c>
      <c r="K2108" t="s">
        <v>2030</v>
      </c>
    </row>
    <row r="2109" spans="1:11" x14ac:dyDescent="0.3">
      <c r="A2109" t="s">
        <v>812</v>
      </c>
      <c r="B2109" s="33">
        <v>43262</v>
      </c>
      <c r="C2109" s="34" t="s">
        <v>2237</v>
      </c>
      <c r="D2109" s="136">
        <v>5405</v>
      </c>
      <c r="E2109" s="47" t="s">
        <v>3709</v>
      </c>
      <c r="F2109" s="47" t="s">
        <v>47</v>
      </c>
      <c r="G2109" s="140">
        <v>4300021652</v>
      </c>
      <c r="H2109" s="70">
        <v>43221</v>
      </c>
      <c r="I2109" s="34" t="s">
        <v>2114</v>
      </c>
      <c r="J2109" s="143">
        <v>558</v>
      </c>
      <c r="K2109" t="s">
        <v>2030</v>
      </c>
    </row>
    <row r="2110" spans="1:11" x14ac:dyDescent="0.3">
      <c r="A2110" t="s">
        <v>812</v>
      </c>
      <c r="B2110" s="33">
        <v>43262</v>
      </c>
      <c r="C2110" s="34" t="s">
        <v>2237</v>
      </c>
      <c r="D2110" s="134">
        <v>5405</v>
      </c>
      <c r="E2110" s="47" t="s">
        <v>3709</v>
      </c>
      <c r="F2110" s="47" t="s">
        <v>295</v>
      </c>
      <c r="G2110" s="138">
        <v>4300021652</v>
      </c>
      <c r="H2110" s="70">
        <v>43221</v>
      </c>
      <c r="I2110" s="34" t="s">
        <v>2114</v>
      </c>
      <c r="J2110" s="141">
        <v>558</v>
      </c>
      <c r="K2110" t="s">
        <v>2030</v>
      </c>
    </row>
    <row r="2111" spans="1:11" x14ac:dyDescent="0.3">
      <c r="A2111" t="s">
        <v>812</v>
      </c>
      <c r="B2111" s="33">
        <v>43262</v>
      </c>
      <c r="C2111" s="34" t="s">
        <v>2237</v>
      </c>
      <c r="D2111" s="136">
        <v>5405</v>
      </c>
      <c r="E2111" s="47" t="s">
        <v>3709</v>
      </c>
      <c r="F2111" s="47" t="s">
        <v>48</v>
      </c>
      <c r="G2111" s="140">
        <v>4300021652</v>
      </c>
      <c r="H2111" s="70">
        <v>43221</v>
      </c>
      <c r="I2111" s="34" t="s">
        <v>2114</v>
      </c>
      <c r="J2111" s="143">
        <v>558</v>
      </c>
      <c r="K2111" t="s">
        <v>2030</v>
      </c>
    </row>
    <row r="2112" spans="1:11" x14ac:dyDescent="0.3">
      <c r="A2112" t="s">
        <v>812</v>
      </c>
      <c r="B2112" s="33">
        <v>43262</v>
      </c>
      <c r="C2112" s="34" t="s">
        <v>2237</v>
      </c>
      <c r="D2112" s="134">
        <v>5405</v>
      </c>
      <c r="E2112" s="47" t="s">
        <v>3709</v>
      </c>
      <c r="F2112" s="47" t="s">
        <v>49</v>
      </c>
      <c r="G2112" s="138">
        <v>4300021652</v>
      </c>
      <c r="H2112" s="70">
        <v>43221</v>
      </c>
      <c r="I2112" s="34" t="s">
        <v>2114</v>
      </c>
      <c r="J2112" s="141">
        <v>558</v>
      </c>
      <c r="K2112" t="s">
        <v>2030</v>
      </c>
    </row>
    <row r="2113" spans="1:11" x14ac:dyDescent="0.3">
      <c r="A2113" t="s">
        <v>812</v>
      </c>
      <c r="B2113" s="33">
        <v>43262</v>
      </c>
      <c r="C2113" s="34" t="s">
        <v>2237</v>
      </c>
      <c r="D2113" s="136">
        <v>5405</v>
      </c>
      <c r="E2113" s="47" t="s">
        <v>3709</v>
      </c>
      <c r="F2113" s="47" t="s">
        <v>50</v>
      </c>
      <c r="G2113" s="140">
        <v>4300021652</v>
      </c>
      <c r="H2113" s="70">
        <v>43221</v>
      </c>
      <c r="I2113" s="34" t="s">
        <v>2114</v>
      </c>
      <c r="J2113" s="143">
        <v>558</v>
      </c>
      <c r="K2113" t="s">
        <v>2030</v>
      </c>
    </row>
    <row r="2114" spans="1:11" x14ac:dyDescent="0.3">
      <c r="A2114" t="s">
        <v>812</v>
      </c>
      <c r="B2114" s="33">
        <v>43262</v>
      </c>
      <c r="C2114" s="34" t="s">
        <v>2237</v>
      </c>
      <c r="D2114" s="134">
        <v>5405</v>
      </c>
      <c r="E2114" s="47" t="s">
        <v>3709</v>
      </c>
      <c r="F2114" s="47" t="s">
        <v>51</v>
      </c>
      <c r="G2114" s="138">
        <v>4300021652</v>
      </c>
      <c r="H2114" s="70">
        <v>43221</v>
      </c>
      <c r="I2114" s="34" t="s">
        <v>2114</v>
      </c>
      <c r="J2114" s="141">
        <v>271.25</v>
      </c>
      <c r="K2114" t="s">
        <v>2030</v>
      </c>
    </row>
    <row r="2115" spans="1:11" x14ac:dyDescent="0.3">
      <c r="A2115" t="s">
        <v>812</v>
      </c>
      <c r="B2115" s="33">
        <v>43262</v>
      </c>
      <c r="C2115" s="34" t="s">
        <v>2237</v>
      </c>
      <c r="D2115" s="136">
        <v>5405</v>
      </c>
      <c r="E2115" s="47" t="s">
        <v>3709</v>
      </c>
      <c r="F2115" s="47" t="s">
        <v>52</v>
      </c>
      <c r="G2115" s="140">
        <v>4300021652</v>
      </c>
      <c r="H2115" s="70">
        <v>43221</v>
      </c>
      <c r="I2115" s="34" t="s">
        <v>2114</v>
      </c>
      <c r="J2115" s="143">
        <v>271.25</v>
      </c>
      <c r="K2115" t="s">
        <v>2030</v>
      </c>
    </row>
    <row r="2116" spans="1:11" x14ac:dyDescent="0.3">
      <c r="A2116" t="s">
        <v>812</v>
      </c>
      <c r="B2116" s="33">
        <v>43262</v>
      </c>
      <c r="C2116" s="34" t="s">
        <v>2237</v>
      </c>
      <c r="D2116" s="134">
        <v>5405</v>
      </c>
      <c r="E2116" s="47" t="s">
        <v>3709</v>
      </c>
      <c r="F2116" s="47" t="s">
        <v>53</v>
      </c>
      <c r="G2116" s="138">
        <v>4300021652</v>
      </c>
      <c r="H2116" s="70">
        <v>43221</v>
      </c>
      <c r="I2116" s="34" t="s">
        <v>2114</v>
      </c>
      <c r="J2116" s="141">
        <v>379.44</v>
      </c>
      <c r="K2116" t="s">
        <v>2030</v>
      </c>
    </row>
    <row r="2117" spans="1:11" x14ac:dyDescent="0.3">
      <c r="A2117" t="s">
        <v>812</v>
      </c>
      <c r="B2117" s="33">
        <v>43262</v>
      </c>
      <c r="C2117" s="34" t="s">
        <v>2237</v>
      </c>
      <c r="D2117" s="136">
        <v>5405</v>
      </c>
      <c r="E2117" s="47" t="s">
        <v>3709</v>
      </c>
      <c r="F2117" s="47" t="s">
        <v>54</v>
      </c>
      <c r="G2117" s="140">
        <v>4300021652</v>
      </c>
      <c r="H2117" s="70">
        <v>43221</v>
      </c>
      <c r="I2117" s="34" t="s">
        <v>2114</v>
      </c>
      <c r="J2117" s="143">
        <v>379.44</v>
      </c>
      <c r="K2117" t="s">
        <v>2030</v>
      </c>
    </row>
    <row r="2118" spans="1:11" x14ac:dyDescent="0.3">
      <c r="A2118" t="s">
        <v>812</v>
      </c>
      <c r="B2118" s="33">
        <v>43262</v>
      </c>
      <c r="C2118" s="34" t="s">
        <v>2237</v>
      </c>
      <c r="D2118" s="134">
        <v>5405</v>
      </c>
      <c r="E2118" s="47" t="s">
        <v>3709</v>
      </c>
      <c r="F2118" s="47" t="s">
        <v>55</v>
      </c>
      <c r="G2118" s="138">
        <v>4300021652</v>
      </c>
      <c r="H2118" s="70">
        <v>43221</v>
      </c>
      <c r="I2118" s="34" t="s">
        <v>2114</v>
      </c>
      <c r="J2118" s="141">
        <v>342.72</v>
      </c>
      <c r="K2118" t="s">
        <v>2030</v>
      </c>
    </row>
    <row r="2119" spans="1:11" x14ac:dyDescent="0.3">
      <c r="A2119" t="s">
        <v>812</v>
      </c>
      <c r="B2119" s="33">
        <v>43262</v>
      </c>
      <c r="C2119" s="34" t="s">
        <v>2237</v>
      </c>
      <c r="D2119" s="136">
        <v>5405</v>
      </c>
      <c r="E2119" s="47" t="s">
        <v>3709</v>
      </c>
      <c r="F2119" s="47" t="s">
        <v>56</v>
      </c>
      <c r="G2119" s="140">
        <v>4300021652</v>
      </c>
      <c r="H2119" s="70">
        <v>43221</v>
      </c>
      <c r="I2119" s="34" t="s">
        <v>2114</v>
      </c>
      <c r="J2119" s="143">
        <v>90</v>
      </c>
      <c r="K2119" t="s">
        <v>2030</v>
      </c>
    </row>
    <row r="2120" spans="1:11" x14ac:dyDescent="0.3">
      <c r="A2120" t="s">
        <v>812</v>
      </c>
      <c r="B2120" s="33">
        <v>43262</v>
      </c>
      <c r="C2120" s="34" t="s">
        <v>2237</v>
      </c>
      <c r="D2120" s="134">
        <v>5405</v>
      </c>
      <c r="E2120" s="47" t="s">
        <v>3709</v>
      </c>
      <c r="F2120" s="47" t="s">
        <v>57</v>
      </c>
      <c r="G2120" s="138">
        <v>4300021652</v>
      </c>
      <c r="H2120" s="70">
        <v>43221</v>
      </c>
      <c r="I2120" s="34" t="s">
        <v>2114</v>
      </c>
      <c r="J2120" s="141">
        <v>248</v>
      </c>
      <c r="K2120" t="s">
        <v>2030</v>
      </c>
    </row>
    <row r="2121" spans="1:11" x14ac:dyDescent="0.3">
      <c r="A2121" t="s">
        <v>812</v>
      </c>
      <c r="B2121" s="33">
        <v>43262</v>
      </c>
      <c r="C2121" s="34" t="s">
        <v>2237</v>
      </c>
      <c r="D2121" s="136">
        <v>5405</v>
      </c>
      <c r="E2121" s="47" t="s">
        <v>3709</v>
      </c>
      <c r="F2121" s="47" t="s">
        <v>58</v>
      </c>
      <c r="G2121" s="140">
        <v>4300021652</v>
      </c>
      <c r="H2121" s="70">
        <v>43221</v>
      </c>
      <c r="I2121" s="34" t="s">
        <v>2114</v>
      </c>
      <c r="J2121" s="143">
        <v>248</v>
      </c>
      <c r="K2121" t="s">
        <v>2030</v>
      </c>
    </row>
    <row r="2122" spans="1:11" x14ac:dyDescent="0.3">
      <c r="A2122" t="s">
        <v>812</v>
      </c>
      <c r="B2122" s="33">
        <v>43262</v>
      </c>
      <c r="C2122" s="34" t="s">
        <v>2237</v>
      </c>
      <c r="D2122" s="134">
        <v>5405</v>
      </c>
      <c r="E2122" s="47" t="s">
        <v>3709</v>
      </c>
      <c r="F2122" s="47" t="s">
        <v>59</v>
      </c>
      <c r="G2122" s="138">
        <v>4300021652</v>
      </c>
      <c r="H2122" s="70">
        <v>43221</v>
      </c>
      <c r="I2122" s="34" t="s">
        <v>2114</v>
      </c>
      <c r="J2122" s="141">
        <v>248</v>
      </c>
      <c r="K2122" t="s">
        <v>2030</v>
      </c>
    </row>
    <row r="2123" spans="1:11" x14ac:dyDescent="0.3">
      <c r="A2123" t="s">
        <v>812</v>
      </c>
      <c r="B2123" s="33">
        <v>43262</v>
      </c>
      <c r="C2123" s="34" t="s">
        <v>2237</v>
      </c>
      <c r="D2123" s="136">
        <v>5405</v>
      </c>
      <c r="E2123" s="47" t="s">
        <v>3709</v>
      </c>
      <c r="F2123" s="47" t="s">
        <v>60</v>
      </c>
      <c r="G2123" s="140">
        <v>4300021652</v>
      </c>
      <c r="H2123" s="70">
        <v>43221</v>
      </c>
      <c r="I2123" s="34" t="s">
        <v>2114</v>
      </c>
      <c r="J2123" s="143">
        <v>248</v>
      </c>
      <c r="K2123" t="s">
        <v>2030</v>
      </c>
    </row>
    <row r="2124" spans="1:11" x14ac:dyDescent="0.3">
      <c r="A2124" t="s">
        <v>812</v>
      </c>
      <c r="B2124" s="33">
        <v>43262</v>
      </c>
      <c r="C2124" s="34" t="s">
        <v>2237</v>
      </c>
      <c r="D2124" s="134">
        <v>5405</v>
      </c>
      <c r="E2124" s="47" t="s">
        <v>3709</v>
      </c>
      <c r="F2124" s="47" t="s">
        <v>61</v>
      </c>
      <c r="G2124" s="138">
        <v>4300021652</v>
      </c>
      <c r="H2124" s="70">
        <v>43221</v>
      </c>
      <c r="I2124" s="34" t="s">
        <v>2114</v>
      </c>
      <c r="J2124" s="141">
        <v>248</v>
      </c>
      <c r="K2124" t="s">
        <v>2030</v>
      </c>
    </row>
    <row r="2125" spans="1:11" x14ac:dyDescent="0.3">
      <c r="A2125" t="s">
        <v>812</v>
      </c>
      <c r="B2125" s="33">
        <v>43262</v>
      </c>
      <c r="C2125" s="34" t="s">
        <v>2237</v>
      </c>
      <c r="D2125" s="136">
        <v>5405</v>
      </c>
      <c r="E2125" s="47" t="s">
        <v>3709</v>
      </c>
      <c r="F2125" s="47" t="s">
        <v>62</v>
      </c>
      <c r="G2125" s="140">
        <v>4300021652</v>
      </c>
      <c r="H2125" s="70">
        <v>43221</v>
      </c>
      <c r="I2125" s="34" t="s">
        <v>2114</v>
      </c>
      <c r="J2125" s="143">
        <v>248</v>
      </c>
      <c r="K2125" t="s">
        <v>2030</v>
      </c>
    </row>
    <row r="2126" spans="1:11" x14ac:dyDescent="0.3">
      <c r="A2126" t="s">
        <v>812</v>
      </c>
      <c r="B2126" s="33">
        <v>43262</v>
      </c>
      <c r="C2126" s="34" t="s">
        <v>2237</v>
      </c>
      <c r="D2126" s="134">
        <v>5405</v>
      </c>
      <c r="E2126" s="47" t="s">
        <v>3709</v>
      </c>
      <c r="F2126" s="47" t="s">
        <v>63</v>
      </c>
      <c r="G2126" s="138">
        <v>4300021652</v>
      </c>
      <c r="H2126" s="70">
        <v>43221</v>
      </c>
      <c r="I2126" s="34" t="s">
        <v>2114</v>
      </c>
      <c r="J2126" s="141">
        <v>248</v>
      </c>
      <c r="K2126" t="s">
        <v>2030</v>
      </c>
    </row>
    <row r="2127" spans="1:11" x14ac:dyDescent="0.3">
      <c r="A2127" t="s">
        <v>812</v>
      </c>
      <c r="B2127" s="33">
        <v>43262</v>
      </c>
      <c r="C2127" s="34" t="s">
        <v>2237</v>
      </c>
      <c r="D2127" s="136">
        <v>5405</v>
      </c>
      <c r="E2127" s="47" t="s">
        <v>3709</v>
      </c>
      <c r="F2127" s="47" t="s">
        <v>64</v>
      </c>
      <c r="G2127" s="140">
        <v>4300021652</v>
      </c>
      <c r="H2127" s="70">
        <v>43221</v>
      </c>
      <c r="I2127" s="34" t="s">
        <v>2114</v>
      </c>
      <c r="J2127" s="143">
        <v>248</v>
      </c>
      <c r="K2127" t="s">
        <v>2030</v>
      </c>
    </row>
    <row r="2128" spans="1:11" x14ac:dyDescent="0.3">
      <c r="A2128" t="s">
        <v>812</v>
      </c>
      <c r="B2128" s="33">
        <v>43262</v>
      </c>
      <c r="C2128" s="34" t="s">
        <v>2237</v>
      </c>
      <c r="D2128" s="134">
        <v>5405</v>
      </c>
      <c r="E2128" s="47" t="s">
        <v>3709</v>
      </c>
      <c r="F2128" s="47" t="s">
        <v>65</v>
      </c>
      <c r="G2128" s="138">
        <v>4300021652</v>
      </c>
      <c r="H2128" s="70">
        <v>43221</v>
      </c>
      <c r="I2128" s="34" t="s">
        <v>2114</v>
      </c>
      <c r="J2128" s="141">
        <v>248</v>
      </c>
      <c r="K2128" t="s">
        <v>2030</v>
      </c>
    </row>
    <row r="2129" spans="1:11" x14ac:dyDescent="0.3">
      <c r="A2129" t="s">
        <v>812</v>
      </c>
      <c r="B2129" s="33">
        <v>43262</v>
      </c>
      <c r="C2129" s="34" t="s">
        <v>2237</v>
      </c>
      <c r="D2129" s="136">
        <v>5405</v>
      </c>
      <c r="E2129" s="47" t="s">
        <v>3709</v>
      </c>
      <c r="F2129" s="47" t="s">
        <v>66</v>
      </c>
      <c r="G2129" s="140">
        <v>4300021652</v>
      </c>
      <c r="H2129" s="70">
        <v>43221</v>
      </c>
      <c r="I2129" s="34" t="s">
        <v>2114</v>
      </c>
      <c r="J2129" s="143">
        <v>248</v>
      </c>
      <c r="K2129" t="s">
        <v>2030</v>
      </c>
    </row>
    <row r="2130" spans="1:11" x14ac:dyDescent="0.3">
      <c r="A2130" t="s">
        <v>812</v>
      </c>
      <c r="B2130" s="33">
        <v>43262</v>
      </c>
      <c r="C2130" s="34" t="s">
        <v>2237</v>
      </c>
      <c r="D2130" s="134">
        <v>5405</v>
      </c>
      <c r="E2130" s="47" t="s">
        <v>3709</v>
      </c>
      <c r="F2130" s="47" t="s">
        <v>67</v>
      </c>
      <c r="G2130" s="138">
        <v>4300021652</v>
      </c>
      <c r="H2130" s="70">
        <v>43221</v>
      </c>
      <c r="I2130" s="34" t="s">
        <v>2114</v>
      </c>
      <c r="J2130" s="141">
        <v>248</v>
      </c>
      <c r="K2130" t="s">
        <v>2030</v>
      </c>
    </row>
    <row r="2131" spans="1:11" x14ac:dyDescent="0.3">
      <c r="A2131" t="s">
        <v>812</v>
      </c>
      <c r="B2131" s="33">
        <v>43262</v>
      </c>
      <c r="C2131" s="34" t="s">
        <v>2237</v>
      </c>
      <c r="D2131" s="136">
        <v>5405</v>
      </c>
      <c r="E2131" s="47" t="s">
        <v>3709</v>
      </c>
      <c r="F2131" s="47" t="s">
        <v>68</v>
      </c>
      <c r="G2131" s="140">
        <v>4300021652</v>
      </c>
      <c r="H2131" s="70">
        <v>43221</v>
      </c>
      <c r="I2131" s="34" t="s">
        <v>2114</v>
      </c>
      <c r="J2131" s="143">
        <v>248</v>
      </c>
      <c r="K2131" t="s">
        <v>2030</v>
      </c>
    </row>
    <row r="2132" spans="1:11" x14ac:dyDescent="0.3">
      <c r="A2132" t="s">
        <v>812</v>
      </c>
      <c r="B2132" s="33">
        <v>43262</v>
      </c>
      <c r="C2132" s="34" t="s">
        <v>2237</v>
      </c>
      <c r="D2132" s="134">
        <v>5405</v>
      </c>
      <c r="E2132" s="47" t="s">
        <v>3709</v>
      </c>
      <c r="F2132" s="47" t="s">
        <v>69</v>
      </c>
      <c r="G2132" s="138">
        <v>4300021652</v>
      </c>
      <c r="H2132" s="70">
        <v>43221</v>
      </c>
      <c r="I2132" s="34" t="s">
        <v>2114</v>
      </c>
      <c r="J2132" s="141">
        <v>248</v>
      </c>
      <c r="K2132" t="s">
        <v>2030</v>
      </c>
    </row>
    <row r="2133" spans="1:11" x14ac:dyDescent="0.3">
      <c r="A2133" t="s">
        <v>812</v>
      </c>
      <c r="B2133" s="33">
        <v>43262</v>
      </c>
      <c r="C2133" s="34" t="s">
        <v>2237</v>
      </c>
      <c r="D2133" s="136">
        <v>5405</v>
      </c>
      <c r="E2133" s="47" t="s">
        <v>3709</v>
      </c>
      <c r="F2133" s="47" t="s">
        <v>70</v>
      </c>
      <c r="G2133" s="140">
        <v>4300021652</v>
      </c>
      <c r="H2133" s="70">
        <v>43221</v>
      </c>
      <c r="I2133" s="34" t="s">
        <v>2114</v>
      </c>
      <c r="J2133" s="143">
        <v>248</v>
      </c>
      <c r="K2133" t="s">
        <v>2030</v>
      </c>
    </row>
    <row r="2134" spans="1:11" x14ac:dyDescent="0.3">
      <c r="A2134" t="s">
        <v>812</v>
      </c>
      <c r="B2134" s="33">
        <v>43262</v>
      </c>
      <c r="C2134" s="34" t="s">
        <v>2237</v>
      </c>
      <c r="D2134" s="134">
        <v>5405</v>
      </c>
      <c r="E2134" s="47" t="s">
        <v>3709</v>
      </c>
      <c r="F2134" s="47" t="s">
        <v>71</v>
      </c>
      <c r="G2134" s="138">
        <v>4300021652</v>
      </c>
      <c r="H2134" s="70">
        <v>43221</v>
      </c>
      <c r="I2134" s="34" t="s">
        <v>2114</v>
      </c>
      <c r="J2134" s="141">
        <v>248</v>
      </c>
      <c r="K2134" t="s">
        <v>2030</v>
      </c>
    </row>
    <row r="2135" spans="1:11" x14ac:dyDescent="0.3">
      <c r="A2135" t="s">
        <v>812</v>
      </c>
      <c r="B2135" s="33">
        <v>43262</v>
      </c>
      <c r="C2135" s="34" t="s">
        <v>2237</v>
      </c>
      <c r="D2135" s="136">
        <v>5405</v>
      </c>
      <c r="E2135" s="47" t="s">
        <v>3709</v>
      </c>
      <c r="F2135" s="47" t="s">
        <v>72</v>
      </c>
      <c r="G2135" s="140">
        <v>4300021652</v>
      </c>
      <c r="H2135" s="70">
        <v>43221</v>
      </c>
      <c r="I2135" s="34" t="s">
        <v>2114</v>
      </c>
      <c r="J2135" s="143">
        <v>248</v>
      </c>
      <c r="K2135" t="s">
        <v>2030</v>
      </c>
    </row>
    <row r="2136" spans="1:11" x14ac:dyDescent="0.3">
      <c r="A2136" t="s">
        <v>812</v>
      </c>
      <c r="B2136" s="33">
        <v>43262</v>
      </c>
      <c r="C2136" s="34" t="s">
        <v>2237</v>
      </c>
      <c r="D2136" s="134">
        <v>5405</v>
      </c>
      <c r="E2136" s="47" t="s">
        <v>3709</v>
      </c>
      <c r="F2136" s="47" t="s">
        <v>73</v>
      </c>
      <c r="G2136" s="138">
        <v>4300021652</v>
      </c>
      <c r="H2136" s="70">
        <v>43221</v>
      </c>
      <c r="I2136" s="34" t="s">
        <v>2114</v>
      </c>
      <c r="J2136" s="141">
        <v>248</v>
      </c>
      <c r="K2136" t="s">
        <v>2030</v>
      </c>
    </row>
    <row r="2137" spans="1:11" x14ac:dyDescent="0.3">
      <c r="A2137" t="s">
        <v>812</v>
      </c>
      <c r="B2137" s="33">
        <v>43262</v>
      </c>
      <c r="C2137" s="34" t="s">
        <v>2237</v>
      </c>
      <c r="D2137" s="136">
        <v>5405</v>
      </c>
      <c r="E2137" s="47" t="s">
        <v>3709</v>
      </c>
      <c r="F2137" s="47" t="s">
        <v>74</v>
      </c>
      <c r="G2137" s="140">
        <v>4300021652</v>
      </c>
      <c r="H2137" s="70">
        <v>43221</v>
      </c>
      <c r="I2137" s="34" t="s">
        <v>2114</v>
      </c>
      <c r="J2137" s="143">
        <v>248</v>
      </c>
      <c r="K2137" t="s">
        <v>2030</v>
      </c>
    </row>
    <row r="2138" spans="1:11" x14ac:dyDescent="0.3">
      <c r="A2138" t="s">
        <v>812</v>
      </c>
      <c r="B2138" s="33">
        <v>43262</v>
      </c>
      <c r="C2138" s="34" t="s">
        <v>2237</v>
      </c>
      <c r="D2138" s="134">
        <v>5405</v>
      </c>
      <c r="E2138" s="47" t="s">
        <v>3709</v>
      </c>
      <c r="F2138" s="47" t="s">
        <v>75</v>
      </c>
      <c r="G2138" s="138">
        <v>4300021652</v>
      </c>
      <c r="H2138" s="70">
        <v>43221</v>
      </c>
      <c r="I2138" s="34" t="s">
        <v>2114</v>
      </c>
      <c r="J2138" s="141">
        <v>248</v>
      </c>
      <c r="K2138" t="s">
        <v>2030</v>
      </c>
    </row>
    <row r="2139" spans="1:11" x14ac:dyDescent="0.3">
      <c r="A2139" t="s">
        <v>812</v>
      </c>
      <c r="B2139" s="33">
        <v>43262</v>
      </c>
      <c r="C2139" s="34" t="s">
        <v>2237</v>
      </c>
      <c r="D2139" s="136">
        <v>5405</v>
      </c>
      <c r="E2139" s="47" t="s">
        <v>3709</v>
      </c>
      <c r="F2139" s="47" t="s">
        <v>76</v>
      </c>
      <c r="G2139" s="140">
        <v>4300021652</v>
      </c>
      <c r="H2139" s="70">
        <v>43221</v>
      </c>
      <c r="I2139" s="34" t="s">
        <v>2114</v>
      </c>
      <c r="J2139" s="143">
        <v>248</v>
      </c>
      <c r="K2139" t="s">
        <v>2030</v>
      </c>
    </row>
    <row r="2140" spans="1:11" x14ac:dyDescent="0.3">
      <c r="A2140" t="s">
        <v>812</v>
      </c>
      <c r="B2140" s="33">
        <v>43262</v>
      </c>
      <c r="C2140" s="34" t="s">
        <v>2237</v>
      </c>
      <c r="D2140" s="134">
        <v>5405</v>
      </c>
      <c r="E2140" s="47" t="s">
        <v>3709</v>
      </c>
      <c r="F2140" s="47" t="s">
        <v>77</v>
      </c>
      <c r="G2140" s="138">
        <v>4300021652</v>
      </c>
      <c r="H2140" s="70">
        <v>43221</v>
      </c>
      <c r="I2140" s="34" t="s">
        <v>2114</v>
      </c>
      <c r="J2140" s="141">
        <v>248</v>
      </c>
      <c r="K2140" t="s">
        <v>2030</v>
      </c>
    </row>
    <row r="2141" spans="1:11" x14ac:dyDescent="0.3">
      <c r="A2141" t="s">
        <v>812</v>
      </c>
      <c r="B2141" s="33">
        <v>43262</v>
      </c>
      <c r="C2141" s="34" t="s">
        <v>2237</v>
      </c>
      <c r="D2141" s="136">
        <v>5405</v>
      </c>
      <c r="E2141" s="47" t="s">
        <v>3709</v>
      </c>
      <c r="F2141" s="47" t="s">
        <v>78</v>
      </c>
      <c r="G2141" s="140">
        <v>4300021652</v>
      </c>
      <c r="H2141" s="70">
        <v>43221</v>
      </c>
      <c r="I2141" s="34" t="s">
        <v>2114</v>
      </c>
      <c r="J2141" s="143">
        <v>248</v>
      </c>
      <c r="K2141" t="s">
        <v>2030</v>
      </c>
    </row>
    <row r="2142" spans="1:11" x14ac:dyDescent="0.3">
      <c r="A2142" t="s">
        <v>812</v>
      </c>
      <c r="B2142" s="33">
        <v>43262</v>
      </c>
      <c r="C2142" s="34" t="s">
        <v>2237</v>
      </c>
      <c r="D2142" s="134">
        <v>5405</v>
      </c>
      <c r="E2142" s="47" t="s">
        <v>3709</v>
      </c>
      <c r="F2142" s="47" t="s">
        <v>79</v>
      </c>
      <c r="G2142" s="138">
        <v>4300021652</v>
      </c>
      <c r="H2142" s="70">
        <v>43221</v>
      </c>
      <c r="I2142" s="34" t="s">
        <v>2114</v>
      </c>
      <c r="J2142" s="141">
        <v>248</v>
      </c>
      <c r="K2142" t="s">
        <v>2030</v>
      </c>
    </row>
    <row r="2143" spans="1:11" x14ac:dyDescent="0.3">
      <c r="A2143" t="s">
        <v>812</v>
      </c>
      <c r="B2143" s="33">
        <v>43262</v>
      </c>
      <c r="C2143" s="34" t="s">
        <v>2237</v>
      </c>
      <c r="D2143" s="136">
        <v>5405</v>
      </c>
      <c r="E2143" s="47" t="s">
        <v>3709</v>
      </c>
      <c r="F2143" s="47" t="s">
        <v>80</v>
      </c>
      <c r="G2143" s="140">
        <v>4300021652</v>
      </c>
      <c r="H2143" s="70">
        <v>43221</v>
      </c>
      <c r="I2143" s="34" t="s">
        <v>2114</v>
      </c>
      <c r="J2143" s="143">
        <v>248</v>
      </c>
      <c r="K2143" t="s">
        <v>2030</v>
      </c>
    </row>
    <row r="2144" spans="1:11" x14ac:dyDescent="0.3">
      <c r="A2144" t="s">
        <v>812</v>
      </c>
      <c r="B2144" s="33">
        <v>43262</v>
      </c>
      <c r="C2144" s="34" t="s">
        <v>2237</v>
      </c>
      <c r="D2144" s="134">
        <v>5405</v>
      </c>
      <c r="E2144" s="47" t="s">
        <v>3709</v>
      </c>
      <c r="F2144" s="47" t="s">
        <v>81</v>
      </c>
      <c r="G2144" s="138">
        <v>4300021652</v>
      </c>
      <c r="H2144" s="70">
        <v>43221</v>
      </c>
      <c r="I2144" s="34" t="s">
        <v>2114</v>
      </c>
      <c r="J2144" s="141">
        <v>248</v>
      </c>
      <c r="K2144" t="s">
        <v>2030</v>
      </c>
    </row>
    <row r="2145" spans="1:11" x14ac:dyDescent="0.3">
      <c r="A2145" t="s">
        <v>812</v>
      </c>
      <c r="B2145" s="33">
        <v>43262</v>
      </c>
      <c r="C2145" s="34" t="s">
        <v>2237</v>
      </c>
      <c r="D2145" s="136">
        <v>5405</v>
      </c>
      <c r="E2145" s="47" t="s">
        <v>3709</v>
      </c>
      <c r="F2145" s="47" t="s">
        <v>82</v>
      </c>
      <c r="G2145" s="140">
        <v>4300021652</v>
      </c>
      <c r="H2145" s="70">
        <v>43221</v>
      </c>
      <c r="I2145" s="34" t="s">
        <v>2114</v>
      </c>
      <c r="J2145" s="143">
        <v>248</v>
      </c>
      <c r="K2145" t="s">
        <v>2030</v>
      </c>
    </row>
    <row r="2146" spans="1:11" x14ac:dyDescent="0.3">
      <c r="A2146" t="s">
        <v>812</v>
      </c>
      <c r="B2146" s="33">
        <v>43262</v>
      </c>
      <c r="C2146" s="34" t="s">
        <v>2237</v>
      </c>
      <c r="D2146" s="134">
        <v>5405</v>
      </c>
      <c r="E2146" s="47" t="s">
        <v>3709</v>
      </c>
      <c r="F2146" s="47" t="s">
        <v>83</v>
      </c>
      <c r="G2146" s="138">
        <v>4300021652</v>
      </c>
      <c r="H2146" s="70">
        <v>43221</v>
      </c>
      <c r="I2146" s="34" t="s">
        <v>2114</v>
      </c>
      <c r="J2146" s="141">
        <v>248</v>
      </c>
      <c r="K2146" t="s">
        <v>2030</v>
      </c>
    </row>
    <row r="2147" spans="1:11" x14ac:dyDescent="0.3">
      <c r="A2147" t="s">
        <v>812</v>
      </c>
      <c r="B2147" s="33">
        <v>43262</v>
      </c>
      <c r="C2147" s="34" t="s">
        <v>2237</v>
      </c>
      <c r="D2147" s="136">
        <v>5405</v>
      </c>
      <c r="E2147" s="47" t="s">
        <v>3709</v>
      </c>
      <c r="F2147" s="47" t="s">
        <v>84</v>
      </c>
      <c r="G2147" s="140">
        <v>4300021652</v>
      </c>
      <c r="H2147" s="70">
        <v>43221</v>
      </c>
      <c r="I2147" s="34" t="s">
        <v>2114</v>
      </c>
      <c r="J2147" s="143">
        <v>248</v>
      </c>
      <c r="K2147" t="s">
        <v>2030</v>
      </c>
    </row>
    <row r="2148" spans="1:11" x14ac:dyDescent="0.3">
      <c r="A2148" t="s">
        <v>812</v>
      </c>
      <c r="B2148" s="33">
        <v>43262</v>
      </c>
      <c r="C2148" s="34" t="s">
        <v>2237</v>
      </c>
      <c r="D2148" s="134">
        <v>5405</v>
      </c>
      <c r="E2148" s="47" t="s">
        <v>3709</v>
      </c>
      <c r="F2148" s="47" t="s">
        <v>85</v>
      </c>
      <c r="G2148" s="138">
        <v>4300021652</v>
      </c>
      <c r="H2148" s="70">
        <v>43221</v>
      </c>
      <c r="I2148" s="34" t="s">
        <v>2114</v>
      </c>
      <c r="J2148" s="141">
        <v>248</v>
      </c>
      <c r="K2148" t="s">
        <v>2030</v>
      </c>
    </row>
    <row r="2149" spans="1:11" x14ac:dyDescent="0.3">
      <c r="A2149" t="s">
        <v>812</v>
      </c>
      <c r="B2149" s="33">
        <v>43262</v>
      </c>
      <c r="C2149" s="34" t="s">
        <v>2237</v>
      </c>
      <c r="D2149" s="136">
        <v>5405</v>
      </c>
      <c r="E2149" s="47" t="s">
        <v>3709</v>
      </c>
      <c r="F2149" s="47" t="s">
        <v>86</v>
      </c>
      <c r="G2149" s="140">
        <v>4300021652</v>
      </c>
      <c r="H2149" s="70">
        <v>43221</v>
      </c>
      <c r="I2149" s="34" t="s">
        <v>2114</v>
      </c>
      <c r="J2149" s="143">
        <v>248</v>
      </c>
      <c r="K2149" t="s">
        <v>2030</v>
      </c>
    </row>
    <row r="2150" spans="1:11" x14ac:dyDescent="0.3">
      <c r="A2150" t="s">
        <v>812</v>
      </c>
      <c r="B2150" s="33">
        <v>43262</v>
      </c>
      <c r="C2150" s="34" t="s">
        <v>2237</v>
      </c>
      <c r="D2150" s="134">
        <v>5405</v>
      </c>
      <c r="E2150" s="47" t="s">
        <v>3709</v>
      </c>
      <c r="F2150" s="47" t="s">
        <v>87</v>
      </c>
      <c r="G2150" s="138">
        <v>4300021652</v>
      </c>
      <c r="H2150" s="70">
        <v>43221</v>
      </c>
      <c r="I2150" s="34" t="s">
        <v>2114</v>
      </c>
      <c r="J2150" s="141">
        <v>248</v>
      </c>
      <c r="K2150" t="s">
        <v>2030</v>
      </c>
    </row>
    <row r="2151" spans="1:11" x14ac:dyDescent="0.3">
      <c r="A2151" t="s">
        <v>812</v>
      </c>
      <c r="B2151" s="33">
        <v>43262</v>
      </c>
      <c r="C2151" s="34" t="s">
        <v>2237</v>
      </c>
      <c r="D2151" s="136">
        <v>5405</v>
      </c>
      <c r="E2151" s="47" t="s">
        <v>3709</v>
      </c>
      <c r="F2151" s="47" t="s">
        <v>88</v>
      </c>
      <c r="G2151" s="140">
        <v>4300021652</v>
      </c>
      <c r="H2151" s="70">
        <v>43221</v>
      </c>
      <c r="I2151" s="34" t="s">
        <v>2114</v>
      </c>
      <c r="J2151" s="143">
        <v>248</v>
      </c>
      <c r="K2151" t="s">
        <v>2030</v>
      </c>
    </row>
    <row r="2152" spans="1:11" x14ac:dyDescent="0.3">
      <c r="A2152" t="s">
        <v>812</v>
      </c>
      <c r="B2152" s="33">
        <v>43262</v>
      </c>
      <c r="C2152" s="34" t="s">
        <v>2237</v>
      </c>
      <c r="D2152" s="134">
        <v>5405</v>
      </c>
      <c r="E2152" s="47" t="s">
        <v>3709</v>
      </c>
      <c r="F2152" s="47" t="s">
        <v>89</v>
      </c>
      <c r="G2152" s="138">
        <v>4300021652</v>
      </c>
      <c r="H2152" s="70">
        <v>43221</v>
      </c>
      <c r="I2152" s="34" t="s">
        <v>2114</v>
      </c>
      <c r="J2152" s="141">
        <v>248</v>
      </c>
      <c r="K2152" t="s">
        <v>2030</v>
      </c>
    </row>
    <row r="2153" spans="1:11" x14ac:dyDescent="0.3">
      <c r="A2153" t="s">
        <v>812</v>
      </c>
      <c r="B2153" s="33">
        <v>43262</v>
      </c>
      <c r="C2153" s="34" t="s">
        <v>2237</v>
      </c>
      <c r="D2153" s="136">
        <v>5405</v>
      </c>
      <c r="E2153" s="47" t="s">
        <v>3709</v>
      </c>
      <c r="F2153" s="47" t="s">
        <v>90</v>
      </c>
      <c r="G2153" s="140">
        <v>4300021652</v>
      </c>
      <c r="H2153" s="70">
        <v>43221</v>
      </c>
      <c r="I2153" s="34" t="s">
        <v>2114</v>
      </c>
      <c r="J2153" s="143">
        <v>248</v>
      </c>
      <c r="K2153" t="s">
        <v>2030</v>
      </c>
    </row>
    <row r="2154" spans="1:11" x14ac:dyDescent="0.3">
      <c r="A2154" t="s">
        <v>812</v>
      </c>
      <c r="B2154" s="33">
        <v>43262</v>
      </c>
      <c r="C2154" s="34" t="s">
        <v>2237</v>
      </c>
      <c r="D2154" s="134">
        <v>5405</v>
      </c>
      <c r="E2154" s="47" t="s">
        <v>3709</v>
      </c>
      <c r="F2154" s="47" t="s">
        <v>91</v>
      </c>
      <c r="G2154" s="138">
        <v>4300021652</v>
      </c>
      <c r="H2154" s="70">
        <v>43221</v>
      </c>
      <c r="I2154" s="34" t="s">
        <v>2114</v>
      </c>
      <c r="J2154" s="141">
        <v>201.5</v>
      </c>
      <c r="K2154" t="s">
        <v>2030</v>
      </c>
    </row>
    <row r="2155" spans="1:11" x14ac:dyDescent="0.3">
      <c r="A2155" t="s">
        <v>812</v>
      </c>
      <c r="B2155" s="33">
        <v>43262</v>
      </c>
      <c r="C2155" s="34" t="s">
        <v>2237</v>
      </c>
      <c r="D2155" s="136">
        <v>5405</v>
      </c>
      <c r="E2155" s="47" t="s">
        <v>3709</v>
      </c>
      <c r="F2155" s="47" t="s">
        <v>92</v>
      </c>
      <c r="G2155" s="140">
        <v>4300021652</v>
      </c>
      <c r="H2155" s="70">
        <v>43221</v>
      </c>
      <c r="I2155" s="34" t="s">
        <v>2114</v>
      </c>
      <c r="J2155" s="143">
        <v>248</v>
      </c>
      <c r="K2155" t="s">
        <v>2030</v>
      </c>
    </row>
    <row r="2156" spans="1:11" x14ac:dyDescent="0.3">
      <c r="A2156" t="s">
        <v>812</v>
      </c>
      <c r="B2156" s="33">
        <v>43262</v>
      </c>
      <c r="C2156" s="34" t="s">
        <v>2237</v>
      </c>
      <c r="D2156" s="134">
        <v>5405</v>
      </c>
      <c r="E2156" s="47" t="s">
        <v>3709</v>
      </c>
      <c r="F2156" s="47" t="s">
        <v>30</v>
      </c>
      <c r="G2156" s="138">
        <v>4300021652</v>
      </c>
      <c r="H2156" s="70">
        <v>43221</v>
      </c>
      <c r="I2156" s="34" t="s">
        <v>2114</v>
      </c>
      <c r="J2156" s="141">
        <v>248</v>
      </c>
      <c r="K2156" t="s">
        <v>2030</v>
      </c>
    </row>
    <row r="2157" spans="1:11" x14ac:dyDescent="0.3">
      <c r="A2157" t="s">
        <v>812</v>
      </c>
      <c r="B2157" s="33">
        <v>43262</v>
      </c>
      <c r="C2157" s="34" t="s">
        <v>2237</v>
      </c>
      <c r="D2157" s="136">
        <v>5405</v>
      </c>
      <c r="E2157" s="47" t="s">
        <v>3709</v>
      </c>
      <c r="F2157" s="47" t="s">
        <v>93</v>
      </c>
      <c r="G2157" s="140">
        <v>4300021652</v>
      </c>
      <c r="H2157" s="70">
        <v>43221</v>
      </c>
      <c r="I2157" s="34" t="s">
        <v>2114</v>
      </c>
      <c r="J2157" s="143">
        <v>248</v>
      </c>
      <c r="K2157" t="s">
        <v>2030</v>
      </c>
    </row>
    <row r="2158" spans="1:11" x14ac:dyDescent="0.3">
      <c r="A2158" t="s">
        <v>812</v>
      </c>
      <c r="B2158" s="33">
        <v>43262</v>
      </c>
      <c r="C2158" s="34" t="s">
        <v>2237</v>
      </c>
      <c r="D2158" s="134">
        <v>5405</v>
      </c>
      <c r="E2158" s="47" t="s">
        <v>3709</v>
      </c>
      <c r="F2158" s="47" t="s">
        <v>94</v>
      </c>
      <c r="G2158" s="138">
        <v>4300021652</v>
      </c>
      <c r="H2158" s="70">
        <v>43221</v>
      </c>
      <c r="I2158" s="34" t="s">
        <v>2114</v>
      </c>
      <c r="J2158" s="141">
        <v>56</v>
      </c>
      <c r="K2158" t="s">
        <v>2030</v>
      </c>
    </row>
    <row r="2159" spans="1:11" x14ac:dyDescent="0.3">
      <c r="A2159" t="s">
        <v>812</v>
      </c>
      <c r="B2159" s="33">
        <v>43262</v>
      </c>
      <c r="C2159" s="34" t="s">
        <v>2237</v>
      </c>
      <c r="D2159" s="136">
        <v>5405</v>
      </c>
      <c r="E2159" s="47" t="s">
        <v>3709</v>
      </c>
      <c r="F2159" s="47" t="s">
        <v>95</v>
      </c>
      <c r="G2159" s="140">
        <v>4300021652</v>
      </c>
      <c r="H2159" s="70">
        <v>43221</v>
      </c>
      <c r="I2159" s="34" t="s">
        <v>2114</v>
      </c>
      <c r="J2159" s="143">
        <v>90</v>
      </c>
      <c r="K2159" t="s">
        <v>2030</v>
      </c>
    </row>
    <row r="2160" spans="1:11" x14ac:dyDescent="0.3">
      <c r="A2160" t="s">
        <v>812</v>
      </c>
      <c r="B2160" s="33">
        <v>43262</v>
      </c>
      <c r="C2160" s="34" t="s">
        <v>2237</v>
      </c>
      <c r="D2160" s="134">
        <v>5405</v>
      </c>
      <c r="E2160" s="47" t="s">
        <v>3709</v>
      </c>
      <c r="F2160" s="47" t="s">
        <v>96</v>
      </c>
      <c r="G2160" s="138">
        <v>4300021652</v>
      </c>
      <c r="H2160" s="70">
        <v>43221</v>
      </c>
      <c r="I2160" s="34" t="s">
        <v>2114</v>
      </c>
      <c r="J2160" s="141">
        <v>120</v>
      </c>
      <c r="K2160" t="s">
        <v>2030</v>
      </c>
    </row>
    <row r="2161" spans="1:11" x14ac:dyDescent="0.3">
      <c r="A2161" t="s">
        <v>812</v>
      </c>
      <c r="B2161" s="33">
        <v>43262</v>
      </c>
      <c r="C2161" s="34" t="s">
        <v>2237</v>
      </c>
      <c r="D2161" s="136">
        <v>5405</v>
      </c>
      <c r="E2161" s="47" t="s">
        <v>3709</v>
      </c>
      <c r="F2161" s="47" t="s">
        <v>97</v>
      </c>
      <c r="G2161" s="140">
        <v>4300021652</v>
      </c>
      <c r="H2161" s="70">
        <v>43221</v>
      </c>
      <c r="I2161" s="34" t="s">
        <v>2114</v>
      </c>
      <c r="J2161" s="143">
        <v>56</v>
      </c>
      <c r="K2161" t="s">
        <v>2030</v>
      </c>
    </row>
    <row r="2162" spans="1:11" x14ac:dyDescent="0.3">
      <c r="A2162" t="s">
        <v>812</v>
      </c>
      <c r="B2162" s="33">
        <v>43262</v>
      </c>
      <c r="C2162" s="34" t="s">
        <v>2237</v>
      </c>
      <c r="D2162" s="134">
        <v>5405</v>
      </c>
      <c r="E2162" s="47" t="s">
        <v>3709</v>
      </c>
      <c r="F2162" s="47" t="s">
        <v>98</v>
      </c>
      <c r="G2162" s="138">
        <v>4300021652</v>
      </c>
      <c r="H2162" s="70">
        <v>43221</v>
      </c>
      <c r="I2162" s="34" t="s">
        <v>2114</v>
      </c>
      <c r="J2162" s="141">
        <v>90</v>
      </c>
      <c r="K2162" t="s">
        <v>2030</v>
      </c>
    </row>
    <row r="2163" spans="1:11" x14ac:dyDescent="0.3">
      <c r="A2163" t="s">
        <v>812</v>
      </c>
      <c r="B2163" s="33">
        <v>43262</v>
      </c>
      <c r="C2163" s="34" t="s">
        <v>2237</v>
      </c>
      <c r="D2163" s="136">
        <v>5405</v>
      </c>
      <c r="E2163" s="47" t="s">
        <v>3709</v>
      </c>
      <c r="F2163" s="47" t="s">
        <v>99</v>
      </c>
      <c r="G2163" s="140">
        <v>4300021652</v>
      </c>
      <c r="H2163" s="70">
        <v>43221</v>
      </c>
      <c r="I2163" s="34" t="s">
        <v>2114</v>
      </c>
      <c r="J2163" s="143">
        <v>120</v>
      </c>
      <c r="K2163" t="s">
        <v>2030</v>
      </c>
    </row>
    <row r="2164" spans="1:11" x14ac:dyDescent="0.3">
      <c r="A2164" t="s">
        <v>812</v>
      </c>
      <c r="B2164" s="33">
        <v>43262</v>
      </c>
      <c r="C2164" s="34" t="s">
        <v>2237</v>
      </c>
      <c r="D2164" s="71">
        <v>5405</v>
      </c>
      <c r="E2164" s="68" t="s">
        <v>3709</v>
      </c>
      <c r="F2164" s="68" t="s">
        <v>100</v>
      </c>
      <c r="G2164" s="108">
        <v>4300021652</v>
      </c>
      <c r="H2164" s="70">
        <v>43221</v>
      </c>
      <c r="I2164" s="34" t="s">
        <v>2114</v>
      </c>
      <c r="J2164" s="73">
        <v>248</v>
      </c>
      <c r="K2164" t="s">
        <v>2030</v>
      </c>
    </row>
    <row r="2165" spans="1:11" x14ac:dyDescent="0.3">
      <c r="A2165" t="s">
        <v>812</v>
      </c>
      <c r="B2165" s="33">
        <v>43262</v>
      </c>
      <c r="C2165" s="34" t="s">
        <v>2237</v>
      </c>
      <c r="D2165" s="72">
        <v>5405</v>
      </c>
      <c r="E2165" s="68" t="s">
        <v>3709</v>
      </c>
      <c r="F2165" s="68" t="s">
        <v>101</v>
      </c>
      <c r="G2165" s="109">
        <v>4300021652</v>
      </c>
      <c r="H2165" s="70">
        <v>43221</v>
      </c>
      <c r="I2165" s="34" t="s">
        <v>2114</v>
      </c>
      <c r="J2165" s="74">
        <v>248</v>
      </c>
      <c r="K2165" t="s">
        <v>2030</v>
      </c>
    </row>
    <row r="2166" spans="1:11" x14ac:dyDescent="0.3">
      <c r="A2166" t="s">
        <v>812</v>
      </c>
      <c r="B2166" s="33">
        <v>43262</v>
      </c>
      <c r="C2166" s="34" t="s">
        <v>2237</v>
      </c>
      <c r="D2166" s="71">
        <v>5405</v>
      </c>
      <c r="E2166" s="68" t="s">
        <v>3709</v>
      </c>
      <c r="F2166" s="68" t="s">
        <v>102</v>
      </c>
      <c r="G2166" s="108">
        <v>4300021652</v>
      </c>
      <c r="H2166" s="70">
        <v>43221</v>
      </c>
      <c r="I2166" s="34" t="s">
        <v>2114</v>
      </c>
      <c r="J2166" s="73">
        <v>248</v>
      </c>
      <c r="K2166" t="s">
        <v>2030</v>
      </c>
    </row>
    <row r="2167" spans="1:11" x14ac:dyDescent="0.3">
      <c r="A2167" t="s">
        <v>812</v>
      </c>
      <c r="B2167" s="33">
        <v>43262</v>
      </c>
      <c r="C2167" s="34" t="s">
        <v>2237</v>
      </c>
      <c r="D2167" s="72">
        <v>5405</v>
      </c>
      <c r="E2167" s="68" t="s">
        <v>3709</v>
      </c>
      <c r="F2167" s="68" t="s">
        <v>103</v>
      </c>
      <c r="G2167" s="109">
        <v>4300021652</v>
      </c>
      <c r="H2167" s="70">
        <v>43221</v>
      </c>
      <c r="I2167" s="34" t="s">
        <v>2114</v>
      </c>
      <c r="J2167" s="74">
        <v>248</v>
      </c>
      <c r="K2167" t="s">
        <v>2030</v>
      </c>
    </row>
    <row r="2168" spans="1:11" x14ac:dyDescent="0.3">
      <c r="A2168" t="s">
        <v>812</v>
      </c>
      <c r="B2168" s="33">
        <v>43262</v>
      </c>
      <c r="C2168" s="34" t="s">
        <v>2237</v>
      </c>
      <c r="D2168" s="71">
        <v>5405</v>
      </c>
      <c r="E2168" s="68" t="s">
        <v>3709</v>
      </c>
      <c r="F2168" s="68" t="s">
        <v>104</v>
      </c>
      <c r="G2168" s="108">
        <v>4300021652</v>
      </c>
      <c r="H2168" s="70">
        <v>43221</v>
      </c>
      <c r="I2168" s="34" t="s">
        <v>2114</v>
      </c>
      <c r="J2168" s="73">
        <v>248</v>
      </c>
      <c r="K2168" t="s">
        <v>2030</v>
      </c>
    </row>
    <row r="2169" spans="1:11" x14ac:dyDescent="0.3">
      <c r="A2169" t="s">
        <v>812</v>
      </c>
      <c r="B2169" s="33">
        <v>43262</v>
      </c>
      <c r="C2169" s="34" t="s">
        <v>2237</v>
      </c>
      <c r="D2169" s="72">
        <v>5405</v>
      </c>
      <c r="E2169" s="68" t="s">
        <v>3709</v>
      </c>
      <c r="F2169" s="68" t="s">
        <v>105</v>
      </c>
      <c r="G2169" s="109">
        <v>4300021652</v>
      </c>
      <c r="H2169" s="70">
        <v>43221</v>
      </c>
      <c r="I2169" s="34" t="s">
        <v>2114</v>
      </c>
      <c r="J2169" s="74">
        <v>248</v>
      </c>
      <c r="K2169" t="s">
        <v>2030</v>
      </c>
    </row>
    <row r="2170" spans="1:11" x14ac:dyDescent="0.3">
      <c r="A2170" t="s">
        <v>812</v>
      </c>
      <c r="B2170" s="33">
        <v>43262</v>
      </c>
      <c r="C2170" s="34" t="s">
        <v>2237</v>
      </c>
      <c r="D2170" s="71">
        <v>5405</v>
      </c>
      <c r="E2170" s="68" t="s">
        <v>3709</v>
      </c>
      <c r="F2170" s="68" t="s">
        <v>106</v>
      </c>
      <c r="G2170" s="108">
        <v>4300021652</v>
      </c>
      <c r="H2170" s="70">
        <v>43221</v>
      </c>
      <c r="I2170" s="34" t="s">
        <v>2114</v>
      </c>
      <c r="J2170" s="73">
        <v>248</v>
      </c>
      <c r="K2170" t="s">
        <v>2030</v>
      </c>
    </row>
    <row r="2171" spans="1:11" x14ac:dyDescent="0.3">
      <c r="A2171" t="s">
        <v>812</v>
      </c>
      <c r="B2171" s="33">
        <v>43262</v>
      </c>
      <c r="C2171" s="34" t="s">
        <v>2237</v>
      </c>
      <c r="D2171" s="72">
        <v>5405</v>
      </c>
      <c r="E2171" s="68" t="s">
        <v>3709</v>
      </c>
      <c r="F2171" s="68" t="s">
        <v>107</v>
      </c>
      <c r="G2171" s="109">
        <v>4300021652</v>
      </c>
      <c r="H2171" s="70">
        <v>43221</v>
      </c>
      <c r="I2171" s="34" t="s">
        <v>2114</v>
      </c>
      <c r="J2171" s="74">
        <v>248</v>
      </c>
      <c r="K2171" t="s">
        <v>2030</v>
      </c>
    </row>
    <row r="2172" spans="1:11" x14ac:dyDescent="0.3">
      <c r="A2172" t="s">
        <v>812</v>
      </c>
      <c r="B2172" s="33">
        <v>43262</v>
      </c>
      <c r="C2172" s="34" t="s">
        <v>2237</v>
      </c>
      <c r="D2172" s="71">
        <v>5405</v>
      </c>
      <c r="E2172" s="68" t="s">
        <v>3709</v>
      </c>
      <c r="F2172" s="68" t="s">
        <v>108</v>
      </c>
      <c r="G2172" s="108">
        <v>4300021652</v>
      </c>
      <c r="H2172" s="70">
        <v>43221</v>
      </c>
      <c r="I2172" s="34" t="s">
        <v>2114</v>
      </c>
      <c r="J2172" s="73">
        <v>248</v>
      </c>
      <c r="K2172" t="s">
        <v>2030</v>
      </c>
    </row>
    <row r="2173" spans="1:11" x14ac:dyDescent="0.3">
      <c r="A2173" t="s">
        <v>812</v>
      </c>
      <c r="B2173" s="33">
        <v>43262</v>
      </c>
      <c r="C2173" s="34" t="s">
        <v>2237</v>
      </c>
      <c r="D2173" s="72">
        <v>5405</v>
      </c>
      <c r="E2173" s="68" t="s">
        <v>3709</v>
      </c>
      <c r="F2173" s="68" t="s">
        <v>109</v>
      </c>
      <c r="G2173" s="109">
        <v>4300021652</v>
      </c>
      <c r="H2173" s="70">
        <v>43221</v>
      </c>
      <c r="I2173" s="34" t="s">
        <v>2114</v>
      </c>
      <c r="J2173" s="74">
        <v>596.75</v>
      </c>
      <c r="K2173" t="s">
        <v>2030</v>
      </c>
    </row>
    <row r="2174" spans="1:11" x14ac:dyDescent="0.3">
      <c r="A2174" t="s">
        <v>812</v>
      </c>
      <c r="B2174" s="33">
        <v>43262</v>
      </c>
      <c r="C2174" s="34" t="s">
        <v>2237</v>
      </c>
      <c r="D2174" s="71">
        <v>5405</v>
      </c>
      <c r="E2174" s="68" t="s">
        <v>3709</v>
      </c>
      <c r="F2174" s="68" t="s">
        <v>110</v>
      </c>
      <c r="G2174" s="108">
        <v>4300021652</v>
      </c>
      <c r="H2174" s="70">
        <v>43221</v>
      </c>
      <c r="I2174" s="34" t="s">
        <v>2114</v>
      </c>
      <c r="J2174" s="73">
        <v>596.75</v>
      </c>
      <c r="K2174" t="s">
        <v>2030</v>
      </c>
    </row>
    <row r="2175" spans="1:11" x14ac:dyDescent="0.3">
      <c r="A2175" t="s">
        <v>812</v>
      </c>
      <c r="B2175" s="33">
        <v>43262</v>
      </c>
      <c r="C2175" s="34" t="s">
        <v>2237</v>
      </c>
      <c r="D2175" s="72">
        <v>5405</v>
      </c>
      <c r="E2175" s="68" t="s">
        <v>3709</v>
      </c>
      <c r="F2175" s="68" t="s">
        <v>111</v>
      </c>
      <c r="G2175" s="109">
        <v>4300021652</v>
      </c>
      <c r="H2175" s="70">
        <v>43221</v>
      </c>
      <c r="I2175" s="34" t="s">
        <v>2114</v>
      </c>
      <c r="J2175" s="74">
        <v>682</v>
      </c>
      <c r="K2175" t="s">
        <v>2030</v>
      </c>
    </row>
    <row r="2176" spans="1:11" x14ac:dyDescent="0.3">
      <c r="A2176" t="s">
        <v>812</v>
      </c>
      <c r="B2176" s="33">
        <v>43262</v>
      </c>
      <c r="C2176" s="34" t="s">
        <v>2237</v>
      </c>
      <c r="D2176" s="71">
        <v>5405</v>
      </c>
      <c r="E2176" s="68" t="s">
        <v>3709</v>
      </c>
      <c r="F2176" s="68" t="s">
        <v>112</v>
      </c>
      <c r="G2176" s="108">
        <v>4300021652</v>
      </c>
      <c r="H2176" s="70">
        <v>43221</v>
      </c>
      <c r="I2176" s="34" t="s">
        <v>2114</v>
      </c>
      <c r="J2176" s="73">
        <v>484</v>
      </c>
      <c r="K2176" t="s">
        <v>2030</v>
      </c>
    </row>
    <row r="2177" spans="1:11" x14ac:dyDescent="0.3">
      <c r="A2177" t="s">
        <v>812</v>
      </c>
      <c r="B2177" s="33">
        <v>43262</v>
      </c>
      <c r="C2177" s="34" t="s">
        <v>2237</v>
      </c>
      <c r="D2177" s="72">
        <v>5405</v>
      </c>
      <c r="E2177" s="68" t="s">
        <v>3709</v>
      </c>
      <c r="F2177" s="68" t="s">
        <v>113</v>
      </c>
      <c r="G2177" s="109">
        <v>4300021652</v>
      </c>
      <c r="H2177" s="70">
        <v>43221</v>
      </c>
      <c r="I2177" s="34" t="s">
        <v>2114</v>
      </c>
      <c r="J2177" s="74">
        <v>90</v>
      </c>
      <c r="K2177" t="s">
        <v>2030</v>
      </c>
    </row>
    <row r="2178" spans="1:11" x14ac:dyDescent="0.3">
      <c r="A2178" t="s">
        <v>812</v>
      </c>
      <c r="B2178" s="33">
        <v>43262</v>
      </c>
      <c r="C2178" s="34" t="s">
        <v>2237</v>
      </c>
      <c r="D2178" s="71">
        <v>5405</v>
      </c>
      <c r="E2178" s="68" t="s">
        <v>3709</v>
      </c>
      <c r="F2178" s="68" t="s">
        <v>114</v>
      </c>
      <c r="G2178" s="108">
        <v>4300021652</v>
      </c>
      <c r="H2178" s="70">
        <v>43221</v>
      </c>
      <c r="I2178" s="34" t="s">
        <v>2114</v>
      </c>
      <c r="J2178" s="73">
        <v>330</v>
      </c>
      <c r="K2178" t="s">
        <v>2030</v>
      </c>
    </row>
    <row r="2179" spans="1:11" x14ac:dyDescent="0.3">
      <c r="A2179" t="s">
        <v>812</v>
      </c>
      <c r="B2179" s="33">
        <v>43262</v>
      </c>
      <c r="C2179" s="34" t="s">
        <v>2237</v>
      </c>
      <c r="D2179" s="72">
        <v>5405</v>
      </c>
      <c r="E2179" s="68" t="s">
        <v>3709</v>
      </c>
      <c r="F2179" s="68" t="s">
        <v>115</v>
      </c>
      <c r="G2179" s="109">
        <v>4300021652</v>
      </c>
      <c r="H2179" s="70">
        <v>43221</v>
      </c>
      <c r="I2179" s="34" t="s">
        <v>2114</v>
      </c>
      <c r="J2179" s="74">
        <v>682</v>
      </c>
      <c r="K2179" t="s">
        <v>2030</v>
      </c>
    </row>
    <row r="2180" spans="1:11" x14ac:dyDescent="0.3">
      <c r="A2180" t="s">
        <v>812</v>
      </c>
      <c r="B2180" s="33">
        <v>43262</v>
      </c>
      <c r="C2180" s="34" t="s">
        <v>2237</v>
      </c>
      <c r="D2180" s="71">
        <v>5405</v>
      </c>
      <c r="E2180" s="68" t="s">
        <v>3709</v>
      </c>
      <c r="F2180" s="68" t="s">
        <v>116</v>
      </c>
      <c r="G2180" s="108">
        <v>4300021652</v>
      </c>
      <c r="H2180" s="70">
        <v>43221</v>
      </c>
      <c r="I2180" s="34" t="s">
        <v>2114</v>
      </c>
      <c r="J2180" s="73">
        <v>263.5</v>
      </c>
      <c r="K2180" t="s">
        <v>2030</v>
      </c>
    </row>
    <row r="2181" spans="1:11" x14ac:dyDescent="0.3">
      <c r="A2181" t="s">
        <v>812</v>
      </c>
      <c r="B2181" s="33">
        <v>43262</v>
      </c>
      <c r="C2181" s="34" t="s">
        <v>2237</v>
      </c>
      <c r="D2181" s="72">
        <v>5405</v>
      </c>
      <c r="E2181" s="68" t="s">
        <v>3709</v>
      </c>
      <c r="F2181" s="68" t="s">
        <v>117</v>
      </c>
      <c r="G2181" s="109">
        <v>4300021652</v>
      </c>
      <c r="H2181" s="70">
        <v>43221</v>
      </c>
      <c r="I2181" s="34" t="s">
        <v>2114</v>
      </c>
      <c r="J2181" s="74">
        <v>263.5</v>
      </c>
      <c r="K2181" t="s">
        <v>2030</v>
      </c>
    </row>
    <row r="2182" spans="1:11" x14ac:dyDescent="0.3">
      <c r="A2182" t="s">
        <v>812</v>
      </c>
      <c r="B2182" s="33">
        <v>43262</v>
      </c>
      <c r="C2182" s="34" t="s">
        <v>2237</v>
      </c>
      <c r="D2182" s="71">
        <v>5405</v>
      </c>
      <c r="E2182" s="68" t="s">
        <v>3709</v>
      </c>
      <c r="F2182" s="68" t="s">
        <v>118</v>
      </c>
      <c r="G2182" s="108">
        <v>4300021652</v>
      </c>
      <c r="H2182" s="70">
        <v>43221</v>
      </c>
      <c r="I2182" s="34" t="s">
        <v>2114</v>
      </c>
      <c r="J2182" s="73">
        <v>263.5</v>
      </c>
      <c r="K2182" t="s">
        <v>2030</v>
      </c>
    </row>
    <row r="2183" spans="1:11" x14ac:dyDescent="0.3">
      <c r="A2183" t="s">
        <v>812</v>
      </c>
      <c r="B2183" s="33">
        <v>43262</v>
      </c>
      <c r="C2183" s="34" t="s">
        <v>2237</v>
      </c>
      <c r="D2183" s="72">
        <v>5405</v>
      </c>
      <c r="E2183" s="68" t="s">
        <v>3709</v>
      </c>
      <c r="F2183" s="68" t="s">
        <v>119</v>
      </c>
      <c r="G2183" s="109">
        <v>4300021652</v>
      </c>
      <c r="H2183" s="70">
        <v>43221</v>
      </c>
      <c r="I2183" s="34" t="s">
        <v>2114</v>
      </c>
      <c r="J2183" s="74">
        <v>255.75</v>
      </c>
      <c r="K2183" t="s">
        <v>2030</v>
      </c>
    </row>
    <row r="2184" spans="1:11" x14ac:dyDescent="0.3">
      <c r="A2184" t="s">
        <v>812</v>
      </c>
      <c r="B2184" s="33">
        <v>43262</v>
      </c>
      <c r="C2184" s="34" t="s">
        <v>2237</v>
      </c>
      <c r="D2184" s="71">
        <v>5405</v>
      </c>
      <c r="E2184" s="68" t="s">
        <v>3709</v>
      </c>
      <c r="F2184" s="68" t="s">
        <v>120</v>
      </c>
      <c r="G2184" s="108">
        <v>4300021652</v>
      </c>
      <c r="H2184" s="70">
        <v>43221</v>
      </c>
      <c r="I2184" s="34" t="s">
        <v>2114</v>
      </c>
      <c r="J2184" s="73">
        <v>255.75</v>
      </c>
      <c r="K2184" t="s">
        <v>2030</v>
      </c>
    </row>
    <row r="2185" spans="1:11" x14ac:dyDescent="0.3">
      <c r="A2185" t="s">
        <v>812</v>
      </c>
      <c r="B2185" s="33">
        <v>43262</v>
      </c>
      <c r="C2185" s="34" t="s">
        <v>2237</v>
      </c>
      <c r="D2185" s="72">
        <v>5405</v>
      </c>
      <c r="E2185" s="68" t="s">
        <v>3709</v>
      </c>
      <c r="F2185" s="68" t="s">
        <v>121</v>
      </c>
      <c r="G2185" s="109">
        <v>4300021652</v>
      </c>
      <c r="H2185" s="70">
        <v>43221</v>
      </c>
      <c r="I2185" s="34" t="s">
        <v>2114</v>
      </c>
      <c r="J2185" s="74">
        <v>255.75</v>
      </c>
      <c r="K2185" t="s">
        <v>2030</v>
      </c>
    </row>
    <row r="2186" spans="1:11" x14ac:dyDescent="0.3">
      <c r="A2186" t="s">
        <v>812</v>
      </c>
      <c r="B2186" s="33">
        <v>43262</v>
      </c>
      <c r="C2186" s="34" t="s">
        <v>2237</v>
      </c>
      <c r="D2186" s="71">
        <v>5405</v>
      </c>
      <c r="E2186" s="68" t="s">
        <v>3709</v>
      </c>
      <c r="F2186" s="68" t="s">
        <v>122</v>
      </c>
      <c r="G2186" s="108">
        <v>4300021652</v>
      </c>
      <c r="H2186" s="70">
        <v>43221</v>
      </c>
      <c r="I2186" s="34" t="s">
        <v>2114</v>
      </c>
      <c r="J2186" s="73">
        <v>255.75</v>
      </c>
      <c r="K2186" t="s">
        <v>2030</v>
      </c>
    </row>
    <row r="2187" spans="1:11" x14ac:dyDescent="0.3">
      <c r="A2187" t="s">
        <v>812</v>
      </c>
      <c r="B2187" s="33">
        <v>43262</v>
      </c>
      <c r="C2187" s="34" t="s">
        <v>2237</v>
      </c>
      <c r="D2187" s="72">
        <v>5405</v>
      </c>
      <c r="E2187" s="68" t="s">
        <v>3709</v>
      </c>
      <c r="F2187" s="68" t="s">
        <v>123</v>
      </c>
      <c r="G2187" s="109">
        <v>4300021652</v>
      </c>
      <c r="H2187" s="70">
        <v>43221</v>
      </c>
      <c r="I2187" s="34" t="s">
        <v>2114</v>
      </c>
      <c r="J2187" s="74">
        <v>255.75</v>
      </c>
      <c r="K2187" t="s">
        <v>2030</v>
      </c>
    </row>
    <row r="2188" spans="1:11" x14ac:dyDescent="0.3">
      <c r="A2188" t="s">
        <v>812</v>
      </c>
      <c r="B2188" s="33">
        <v>43262</v>
      </c>
      <c r="C2188" s="34" t="s">
        <v>2237</v>
      </c>
      <c r="D2188" s="71">
        <v>5405</v>
      </c>
      <c r="E2188" s="68" t="s">
        <v>3709</v>
      </c>
      <c r="F2188" s="68" t="s">
        <v>124</v>
      </c>
      <c r="G2188" s="108">
        <v>4300021652</v>
      </c>
      <c r="H2188" s="70">
        <v>43221</v>
      </c>
      <c r="I2188" s="34" t="s">
        <v>2114</v>
      </c>
      <c r="J2188" s="73">
        <v>255.75</v>
      </c>
      <c r="K2188" t="s">
        <v>2030</v>
      </c>
    </row>
    <row r="2189" spans="1:11" x14ac:dyDescent="0.3">
      <c r="A2189" t="s">
        <v>812</v>
      </c>
      <c r="B2189" s="33">
        <v>43262</v>
      </c>
      <c r="C2189" s="34" t="s">
        <v>2237</v>
      </c>
      <c r="D2189" s="72">
        <v>5405</v>
      </c>
      <c r="E2189" s="68" t="s">
        <v>3709</v>
      </c>
      <c r="F2189" s="68" t="s">
        <v>125</v>
      </c>
      <c r="G2189" s="109">
        <v>4300021652</v>
      </c>
      <c r="H2189" s="70">
        <v>43221</v>
      </c>
      <c r="I2189" s="34" t="s">
        <v>2114</v>
      </c>
      <c r="J2189" s="74">
        <v>263.5</v>
      </c>
      <c r="K2189" t="s">
        <v>2030</v>
      </c>
    </row>
    <row r="2190" spans="1:11" x14ac:dyDescent="0.3">
      <c r="A2190" t="s">
        <v>812</v>
      </c>
      <c r="B2190" s="33">
        <v>43262</v>
      </c>
      <c r="C2190" s="34" t="s">
        <v>2237</v>
      </c>
      <c r="D2190" s="71">
        <v>5405</v>
      </c>
      <c r="E2190" s="68" t="s">
        <v>3709</v>
      </c>
      <c r="F2190" s="68" t="s">
        <v>126</v>
      </c>
      <c r="G2190" s="108">
        <v>4300021652</v>
      </c>
      <c r="H2190" s="70">
        <v>43221</v>
      </c>
      <c r="I2190" s="34" t="s">
        <v>2114</v>
      </c>
      <c r="J2190" s="73">
        <v>263.5</v>
      </c>
      <c r="K2190" t="s">
        <v>2030</v>
      </c>
    </row>
    <row r="2191" spans="1:11" x14ac:dyDescent="0.3">
      <c r="A2191" t="s">
        <v>812</v>
      </c>
      <c r="B2191" s="33">
        <v>43262</v>
      </c>
      <c r="C2191" s="34" t="s">
        <v>2237</v>
      </c>
      <c r="D2191" s="72">
        <v>5405</v>
      </c>
      <c r="E2191" s="68" t="s">
        <v>3709</v>
      </c>
      <c r="F2191" s="68" t="s">
        <v>127</v>
      </c>
      <c r="G2191" s="109">
        <v>4300021652</v>
      </c>
      <c r="H2191" s="70">
        <v>43221</v>
      </c>
      <c r="I2191" s="34" t="s">
        <v>2114</v>
      </c>
      <c r="J2191" s="74">
        <v>263.5</v>
      </c>
      <c r="K2191" t="s">
        <v>2030</v>
      </c>
    </row>
    <row r="2192" spans="1:11" x14ac:dyDescent="0.3">
      <c r="A2192" t="s">
        <v>812</v>
      </c>
      <c r="B2192" s="33">
        <v>43262</v>
      </c>
      <c r="C2192" s="34" t="s">
        <v>2237</v>
      </c>
      <c r="D2192" s="71">
        <v>5405</v>
      </c>
      <c r="E2192" s="68" t="s">
        <v>3709</v>
      </c>
      <c r="F2192" s="68" t="s">
        <v>128</v>
      </c>
      <c r="G2192" s="108">
        <v>4300021652</v>
      </c>
      <c r="H2192" s="70">
        <v>43221</v>
      </c>
      <c r="I2192" s="34" t="s">
        <v>2114</v>
      </c>
      <c r="J2192" s="73">
        <v>279</v>
      </c>
      <c r="K2192" t="s">
        <v>2030</v>
      </c>
    </row>
    <row r="2193" spans="1:11" x14ac:dyDescent="0.3">
      <c r="A2193" t="s">
        <v>812</v>
      </c>
      <c r="B2193" s="33">
        <v>43262</v>
      </c>
      <c r="C2193" s="34" t="s">
        <v>2237</v>
      </c>
      <c r="D2193" s="72">
        <v>5405</v>
      </c>
      <c r="E2193" s="68" t="s">
        <v>3709</v>
      </c>
      <c r="F2193" s="68" t="s">
        <v>129</v>
      </c>
      <c r="G2193" s="109">
        <v>4300021652</v>
      </c>
      <c r="H2193" s="70">
        <v>43221</v>
      </c>
      <c r="I2193" s="34" t="s">
        <v>2114</v>
      </c>
      <c r="J2193" s="74">
        <v>279</v>
      </c>
      <c r="K2193" t="s">
        <v>2030</v>
      </c>
    </row>
    <row r="2194" spans="1:11" x14ac:dyDescent="0.3">
      <c r="A2194" t="s">
        <v>812</v>
      </c>
      <c r="B2194" s="33">
        <v>43262</v>
      </c>
      <c r="C2194" s="34" t="s">
        <v>2237</v>
      </c>
      <c r="D2194" s="71">
        <v>5405</v>
      </c>
      <c r="E2194" s="68" t="s">
        <v>3709</v>
      </c>
      <c r="F2194" s="68" t="s">
        <v>130</v>
      </c>
      <c r="G2194" s="108">
        <v>4300021652</v>
      </c>
      <c r="H2194" s="70">
        <v>43221</v>
      </c>
      <c r="I2194" s="34" t="s">
        <v>2114</v>
      </c>
      <c r="J2194" s="73">
        <v>279</v>
      </c>
      <c r="K2194" t="s">
        <v>2030</v>
      </c>
    </row>
    <row r="2195" spans="1:11" x14ac:dyDescent="0.3">
      <c r="A2195" t="s">
        <v>812</v>
      </c>
      <c r="B2195" s="33">
        <v>43262</v>
      </c>
      <c r="C2195" s="34" t="s">
        <v>2237</v>
      </c>
      <c r="D2195" s="72">
        <v>5405</v>
      </c>
      <c r="E2195" s="68" t="s">
        <v>3709</v>
      </c>
      <c r="F2195" s="68" t="s">
        <v>131</v>
      </c>
      <c r="G2195" s="109">
        <v>4300021652</v>
      </c>
      <c r="H2195" s="70">
        <v>43221</v>
      </c>
      <c r="I2195" s="34" t="s">
        <v>2114</v>
      </c>
      <c r="J2195" s="74">
        <v>279</v>
      </c>
      <c r="K2195" t="s">
        <v>2030</v>
      </c>
    </row>
    <row r="2196" spans="1:11" x14ac:dyDescent="0.3">
      <c r="A2196" t="s">
        <v>812</v>
      </c>
      <c r="B2196" s="33">
        <v>43262</v>
      </c>
      <c r="C2196" s="34" t="s">
        <v>2237</v>
      </c>
      <c r="D2196" s="71">
        <v>5405</v>
      </c>
      <c r="E2196" s="68" t="s">
        <v>3709</v>
      </c>
      <c r="F2196" s="68" t="s">
        <v>132</v>
      </c>
      <c r="G2196" s="108">
        <v>4300021652</v>
      </c>
      <c r="H2196" s="70">
        <v>43221</v>
      </c>
      <c r="I2196" s="34" t="s">
        <v>2114</v>
      </c>
      <c r="J2196" s="73">
        <v>279</v>
      </c>
      <c r="K2196" t="s">
        <v>2030</v>
      </c>
    </row>
    <row r="2197" spans="1:11" x14ac:dyDescent="0.3">
      <c r="A2197" t="s">
        <v>812</v>
      </c>
      <c r="B2197" s="33">
        <v>43262</v>
      </c>
      <c r="C2197" s="34" t="s">
        <v>2237</v>
      </c>
      <c r="D2197" s="72">
        <v>5405</v>
      </c>
      <c r="E2197" s="68" t="s">
        <v>3709</v>
      </c>
      <c r="F2197" s="68" t="s">
        <v>133</v>
      </c>
      <c r="G2197" s="109">
        <v>4300021652</v>
      </c>
      <c r="H2197" s="70">
        <v>43221</v>
      </c>
      <c r="I2197" s="34" t="s">
        <v>2114</v>
      </c>
      <c r="J2197" s="74">
        <v>279</v>
      </c>
      <c r="K2197" t="s">
        <v>2030</v>
      </c>
    </row>
    <row r="2198" spans="1:11" x14ac:dyDescent="0.3">
      <c r="A2198" t="s">
        <v>812</v>
      </c>
      <c r="B2198" s="33">
        <v>43262</v>
      </c>
      <c r="C2198" s="34" t="s">
        <v>2237</v>
      </c>
      <c r="D2198" s="71">
        <v>5405</v>
      </c>
      <c r="E2198" s="68" t="s">
        <v>3709</v>
      </c>
      <c r="F2198" s="68" t="s">
        <v>134</v>
      </c>
      <c r="G2198" s="108">
        <v>4300021652</v>
      </c>
      <c r="H2198" s="70">
        <v>43221</v>
      </c>
      <c r="I2198" s="34" t="s">
        <v>2114</v>
      </c>
      <c r="J2198" s="73">
        <v>255.75</v>
      </c>
      <c r="K2198" t="s">
        <v>2030</v>
      </c>
    </row>
    <row r="2199" spans="1:11" x14ac:dyDescent="0.3">
      <c r="A2199" t="s">
        <v>812</v>
      </c>
      <c r="B2199" s="33">
        <v>43262</v>
      </c>
      <c r="C2199" s="34" t="s">
        <v>2237</v>
      </c>
      <c r="D2199" s="72">
        <v>5405</v>
      </c>
      <c r="E2199" s="68" t="s">
        <v>3709</v>
      </c>
      <c r="F2199" s="68" t="s">
        <v>135</v>
      </c>
      <c r="G2199" s="109">
        <v>4300021652</v>
      </c>
      <c r="H2199" s="70">
        <v>43221</v>
      </c>
      <c r="I2199" s="34" t="s">
        <v>2114</v>
      </c>
      <c r="J2199" s="74">
        <v>372</v>
      </c>
      <c r="K2199" t="s">
        <v>2030</v>
      </c>
    </row>
    <row r="2200" spans="1:11" x14ac:dyDescent="0.3">
      <c r="A2200" t="s">
        <v>812</v>
      </c>
      <c r="B2200" s="33">
        <v>43262</v>
      </c>
      <c r="C2200" s="34" t="s">
        <v>2237</v>
      </c>
      <c r="D2200" s="71">
        <v>5405</v>
      </c>
      <c r="E2200" s="68" t="s">
        <v>3709</v>
      </c>
      <c r="F2200" s="68" t="s">
        <v>136</v>
      </c>
      <c r="G2200" s="108">
        <v>4300021652</v>
      </c>
      <c r="H2200" s="70">
        <v>43221</v>
      </c>
      <c r="I2200" s="34" t="s">
        <v>2114</v>
      </c>
      <c r="J2200" s="73">
        <v>372</v>
      </c>
      <c r="K2200" t="s">
        <v>2030</v>
      </c>
    </row>
    <row r="2201" spans="1:11" x14ac:dyDescent="0.3">
      <c r="A2201" t="s">
        <v>812</v>
      </c>
      <c r="B2201" s="33">
        <v>43262</v>
      </c>
      <c r="C2201" s="34" t="s">
        <v>2237</v>
      </c>
      <c r="D2201" s="72">
        <v>5405</v>
      </c>
      <c r="E2201" s="68" t="s">
        <v>3709</v>
      </c>
      <c r="F2201" s="68" t="s">
        <v>137</v>
      </c>
      <c r="G2201" s="109">
        <v>4300021652</v>
      </c>
      <c r="H2201" s="70">
        <v>43221</v>
      </c>
      <c r="I2201" s="34" t="s">
        <v>2114</v>
      </c>
      <c r="J2201" s="74">
        <v>372</v>
      </c>
      <c r="K2201" t="s">
        <v>2030</v>
      </c>
    </row>
    <row r="2202" spans="1:11" x14ac:dyDescent="0.3">
      <c r="A2202" t="s">
        <v>812</v>
      </c>
      <c r="B2202" s="33">
        <v>43262</v>
      </c>
      <c r="C2202" s="34" t="s">
        <v>2237</v>
      </c>
      <c r="D2202" s="71">
        <v>5405</v>
      </c>
      <c r="E2202" s="68" t="s">
        <v>3709</v>
      </c>
      <c r="F2202" s="68" t="s">
        <v>138</v>
      </c>
      <c r="G2202" s="108">
        <v>4300021652</v>
      </c>
      <c r="H2202" s="70">
        <v>43221</v>
      </c>
      <c r="I2202" s="34" t="s">
        <v>2114</v>
      </c>
      <c r="J2202" s="73">
        <v>263.5</v>
      </c>
      <c r="K2202" t="s">
        <v>2030</v>
      </c>
    </row>
    <row r="2203" spans="1:11" x14ac:dyDescent="0.3">
      <c r="A2203" t="s">
        <v>812</v>
      </c>
      <c r="B2203" s="33">
        <v>43262</v>
      </c>
      <c r="C2203" s="34" t="s">
        <v>2237</v>
      </c>
      <c r="D2203" s="72">
        <v>5405</v>
      </c>
      <c r="E2203" s="68" t="s">
        <v>3709</v>
      </c>
      <c r="F2203" s="68" t="s">
        <v>139</v>
      </c>
      <c r="G2203" s="109">
        <v>4300021652</v>
      </c>
      <c r="H2203" s="70">
        <v>43221</v>
      </c>
      <c r="I2203" s="34" t="s">
        <v>2114</v>
      </c>
      <c r="J2203" s="74">
        <v>263.5</v>
      </c>
      <c r="K2203" t="s">
        <v>2030</v>
      </c>
    </row>
    <row r="2204" spans="1:11" x14ac:dyDescent="0.3">
      <c r="A2204" t="s">
        <v>812</v>
      </c>
      <c r="B2204" s="33">
        <v>43262</v>
      </c>
      <c r="C2204" s="34" t="s">
        <v>2237</v>
      </c>
      <c r="D2204" s="71">
        <v>5405</v>
      </c>
      <c r="E2204" s="68" t="s">
        <v>3709</v>
      </c>
      <c r="F2204" s="68" t="s">
        <v>140</v>
      </c>
      <c r="G2204" s="108">
        <v>4300021652</v>
      </c>
      <c r="H2204" s="70">
        <v>43221</v>
      </c>
      <c r="I2204" s="34" t="s">
        <v>2114</v>
      </c>
      <c r="J2204" s="73">
        <v>263.5</v>
      </c>
      <c r="K2204" t="s">
        <v>2030</v>
      </c>
    </row>
    <row r="2205" spans="1:11" x14ac:dyDescent="0.3">
      <c r="A2205" t="s">
        <v>812</v>
      </c>
      <c r="B2205" s="33">
        <v>43262</v>
      </c>
      <c r="C2205" s="34" t="s">
        <v>2237</v>
      </c>
      <c r="D2205" s="72">
        <v>5405</v>
      </c>
      <c r="E2205" s="68" t="s">
        <v>3709</v>
      </c>
      <c r="F2205" s="68" t="s">
        <v>141</v>
      </c>
      <c r="G2205" s="109">
        <v>4300021652</v>
      </c>
      <c r="H2205" s="70">
        <v>43221</v>
      </c>
      <c r="I2205" s="34" t="s">
        <v>2114</v>
      </c>
      <c r="J2205" s="74">
        <v>263.5</v>
      </c>
      <c r="K2205" t="s">
        <v>2030</v>
      </c>
    </row>
    <row r="2206" spans="1:11" x14ac:dyDescent="0.3">
      <c r="A2206" t="s">
        <v>812</v>
      </c>
      <c r="B2206" s="33">
        <v>43262</v>
      </c>
      <c r="C2206" s="34" t="s">
        <v>2237</v>
      </c>
      <c r="D2206" s="71">
        <v>5405</v>
      </c>
      <c r="E2206" s="68" t="s">
        <v>3709</v>
      </c>
      <c r="F2206" s="68" t="s">
        <v>142</v>
      </c>
      <c r="G2206" s="108">
        <v>4300021652</v>
      </c>
      <c r="H2206" s="70">
        <v>43221</v>
      </c>
      <c r="I2206" s="34" t="s">
        <v>2114</v>
      </c>
      <c r="J2206" s="73">
        <v>263.5</v>
      </c>
      <c r="K2206" t="s">
        <v>2030</v>
      </c>
    </row>
    <row r="2207" spans="1:11" x14ac:dyDescent="0.3">
      <c r="A2207" t="s">
        <v>812</v>
      </c>
      <c r="B2207" s="33">
        <v>43262</v>
      </c>
      <c r="C2207" s="34" t="s">
        <v>2237</v>
      </c>
      <c r="D2207" s="72">
        <v>5405</v>
      </c>
      <c r="E2207" s="68" t="s">
        <v>3709</v>
      </c>
      <c r="F2207" s="68" t="s">
        <v>143</v>
      </c>
      <c r="G2207" s="109">
        <v>4300021652</v>
      </c>
      <c r="H2207" s="70">
        <v>43221</v>
      </c>
      <c r="I2207" s="34" t="s">
        <v>2114</v>
      </c>
      <c r="J2207" s="74">
        <v>263.5</v>
      </c>
      <c r="K2207" t="s">
        <v>2030</v>
      </c>
    </row>
    <row r="2208" spans="1:11" x14ac:dyDescent="0.3">
      <c r="A2208" t="s">
        <v>812</v>
      </c>
      <c r="B2208" s="33">
        <v>43262</v>
      </c>
      <c r="C2208" s="34" t="s">
        <v>2237</v>
      </c>
      <c r="D2208" s="71">
        <v>5405</v>
      </c>
      <c r="E2208" s="68" t="s">
        <v>3709</v>
      </c>
      <c r="F2208" s="68" t="s">
        <v>144</v>
      </c>
      <c r="G2208" s="108">
        <v>4300021652</v>
      </c>
      <c r="H2208" s="70">
        <v>43221</v>
      </c>
      <c r="I2208" s="34" t="s">
        <v>2114</v>
      </c>
      <c r="J2208" s="73">
        <v>263.5</v>
      </c>
      <c r="K2208" t="s">
        <v>2030</v>
      </c>
    </row>
    <row r="2209" spans="1:11" x14ac:dyDescent="0.3">
      <c r="A2209" t="s">
        <v>812</v>
      </c>
      <c r="B2209" s="33">
        <v>43262</v>
      </c>
      <c r="C2209" s="34" t="s">
        <v>2237</v>
      </c>
      <c r="D2209" s="72">
        <v>5405</v>
      </c>
      <c r="E2209" s="68" t="s">
        <v>3709</v>
      </c>
      <c r="F2209" s="68" t="s">
        <v>145</v>
      </c>
      <c r="G2209" s="109">
        <v>4300021652</v>
      </c>
      <c r="H2209" s="70">
        <v>43221</v>
      </c>
      <c r="I2209" s="34" t="s">
        <v>2114</v>
      </c>
      <c r="J2209" s="74">
        <v>263.5</v>
      </c>
      <c r="K2209" t="s">
        <v>2030</v>
      </c>
    </row>
    <row r="2210" spans="1:11" x14ac:dyDescent="0.3">
      <c r="A2210" t="s">
        <v>812</v>
      </c>
      <c r="B2210" s="33">
        <v>43262</v>
      </c>
      <c r="C2210" s="34" t="s">
        <v>2237</v>
      </c>
      <c r="D2210" s="71">
        <v>5405</v>
      </c>
      <c r="E2210" s="68" t="s">
        <v>3709</v>
      </c>
      <c r="F2210" s="68" t="s">
        <v>146</v>
      </c>
      <c r="G2210" s="108">
        <v>4300021652</v>
      </c>
      <c r="H2210" s="70">
        <v>43221</v>
      </c>
      <c r="I2210" s="34" t="s">
        <v>2114</v>
      </c>
      <c r="J2210" s="73">
        <v>263.5</v>
      </c>
      <c r="K2210" t="s">
        <v>2030</v>
      </c>
    </row>
    <row r="2211" spans="1:11" x14ac:dyDescent="0.3">
      <c r="A2211" t="s">
        <v>812</v>
      </c>
      <c r="B2211" s="33">
        <v>43262</v>
      </c>
      <c r="C2211" s="34" t="s">
        <v>2237</v>
      </c>
      <c r="D2211" s="72">
        <v>5405</v>
      </c>
      <c r="E2211" s="68" t="s">
        <v>3709</v>
      </c>
      <c r="F2211" s="68" t="s">
        <v>147</v>
      </c>
      <c r="G2211" s="109">
        <v>4300021652</v>
      </c>
      <c r="H2211" s="70">
        <v>43221</v>
      </c>
      <c r="I2211" s="34" t="s">
        <v>2114</v>
      </c>
      <c r="J2211" s="74">
        <v>263.5</v>
      </c>
      <c r="K2211" t="s">
        <v>2030</v>
      </c>
    </row>
    <row r="2212" spans="1:11" x14ac:dyDescent="0.3">
      <c r="A2212" t="s">
        <v>812</v>
      </c>
      <c r="B2212" s="33">
        <v>43262</v>
      </c>
      <c r="C2212" s="34" t="s">
        <v>2237</v>
      </c>
      <c r="D2212" s="71">
        <v>5405</v>
      </c>
      <c r="E2212" s="68" t="s">
        <v>3709</v>
      </c>
      <c r="F2212" s="68" t="s">
        <v>148</v>
      </c>
      <c r="G2212" s="108">
        <v>4300021652</v>
      </c>
      <c r="H2212" s="70">
        <v>43221</v>
      </c>
      <c r="I2212" s="34" t="s">
        <v>2114</v>
      </c>
      <c r="J2212" s="73">
        <v>279</v>
      </c>
      <c r="K2212" t="s">
        <v>2030</v>
      </c>
    </row>
    <row r="2213" spans="1:11" x14ac:dyDescent="0.3">
      <c r="A2213" t="s">
        <v>812</v>
      </c>
      <c r="B2213" s="33">
        <v>43262</v>
      </c>
      <c r="C2213" s="34" t="s">
        <v>2237</v>
      </c>
      <c r="D2213" s="72">
        <v>5405</v>
      </c>
      <c r="E2213" s="68" t="s">
        <v>3709</v>
      </c>
      <c r="F2213" s="68" t="s">
        <v>149</v>
      </c>
      <c r="G2213" s="109">
        <v>4300021652</v>
      </c>
      <c r="H2213" s="70">
        <v>43221</v>
      </c>
      <c r="I2213" s="34" t="s">
        <v>2114</v>
      </c>
      <c r="J2213" s="74">
        <v>263.5</v>
      </c>
      <c r="K2213" t="s">
        <v>2030</v>
      </c>
    </row>
    <row r="2214" spans="1:11" x14ac:dyDescent="0.3">
      <c r="A2214" t="s">
        <v>812</v>
      </c>
      <c r="B2214" s="33">
        <v>43262</v>
      </c>
      <c r="C2214" s="34" t="s">
        <v>2237</v>
      </c>
      <c r="D2214" s="71">
        <v>5405</v>
      </c>
      <c r="E2214" s="68" t="s">
        <v>3709</v>
      </c>
      <c r="F2214" s="68" t="s">
        <v>150</v>
      </c>
      <c r="G2214" s="108">
        <v>4300021652</v>
      </c>
      <c r="H2214" s="70">
        <v>43221</v>
      </c>
      <c r="I2214" s="34" t="s">
        <v>2114</v>
      </c>
      <c r="J2214" s="73">
        <v>263.5</v>
      </c>
      <c r="K2214" t="s">
        <v>2030</v>
      </c>
    </row>
    <row r="2215" spans="1:11" x14ac:dyDescent="0.3">
      <c r="A2215" t="s">
        <v>812</v>
      </c>
      <c r="B2215" s="33">
        <v>43262</v>
      </c>
      <c r="C2215" s="34" t="s">
        <v>2237</v>
      </c>
      <c r="D2215" s="72">
        <v>5405</v>
      </c>
      <c r="E2215" s="68" t="s">
        <v>3709</v>
      </c>
      <c r="F2215" s="68" t="s">
        <v>151</v>
      </c>
      <c r="G2215" s="109">
        <v>4300021652</v>
      </c>
      <c r="H2215" s="70">
        <v>43221</v>
      </c>
      <c r="I2215" s="34" t="s">
        <v>2114</v>
      </c>
      <c r="J2215" s="74">
        <v>263.5</v>
      </c>
      <c r="K2215" t="s">
        <v>2030</v>
      </c>
    </row>
    <row r="2216" spans="1:11" x14ac:dyDescent="0.3">
      <c r="A2216" t="s">
        <v>812</v>
      </c>
      <c r="B2216" s="33">
        <v>43262</v>
      </c>
      <c r="C2216" s="34" t="s">
        <v>2237</v>
      </c>
      <c r="D2216" s="71">
        <v>5405</v>
      </c>
      <c r="E2216" s="68" t="s">
        <v>3709</v>
      </c>
      <c r="F2216" s="68" t="s">
        <v>152</v>
      </c>
      <c r="G2216" s="108">
        <v>4300021652</v>
      </c>
      <c r="H2216" s="70">
        <v>43221</v>
      </c>
      <c r="I2216" s="34" t="s">
        <v>2114</v>
      </c>
      <c r="J2216" s="73">
        <v>263.5</v>
      </c>
      <c r="K2216" t="s">
        <v>2030</v>
      </c>
    </row>
    <row r="2217" spans="1:11" x14ac:dyDescent="0.3">
      <c r="A2217" t="s">
        <v>812</v>
      </c>
      <c r="B2217" s="33">
        <v>43262</v>
      </c>
      <c r="C2217" s="34" t="s">
        <v>2237</v>
      </c>
      <c r="D2217" s="72">
        <v>5405</v>
      </c>
      <c r="E2217" s="68" t="s">
        <v>3709</v>
      </c>
      <c r="F2217" s="68" t="s">
        <v>296</v>
      </c>
      <c r="G2217" s="109">
        <v>4300021652</v>
      </c>
      <c r="H2217" s="70">
        <v>43221</v>
      </c>
      <c r="I2217" s="34" t="s">
        <v>2114</v>
      </c>
      <c r="J2217" s="74">
        <v>263.5</v>
      </c>
      <c r="K2217" t="s">
        <v>2030</v>
      </c>
    </row>
    <row r="2218" spans="1:11" x14ac:dyDescent="0.3">
      <c r="A2218" t="s">
        <v>812</v>
      </c>
      <c r="B2218" s="33">
        <v>43262</v>
      </c>
      <c r="C2218" s="34" t="s">
        <v>2237</v>
      </c>
      <c r="D2218" s="71">
        <v>5405</v>
      </c>
      <c r="E2218" s="68" t="s">
        <v>3709</v>
      </c>
      <c r="F2218" s="68" t="s">
        <v>297</v>
      </c>
      <c r="G2218" s="108">
        <v>4300021652</v>
      </c>
      <c r="H2218" s="70">
        <v>43221</v>
      </c>
      <c r="I2218" s="34" t="s">
        <v>2114</v>
      </c>
      <c r="J2218" s="73">
        <v>263.5</v>
      </c>
      <c r="K2218" t="s">
        <v>2030</v>
      </c>
    </row>
    <row r="2219" spans="1:11" x14ac:dyDescent="0.3">
      <c r="A2219" t="s">
        <v>812</v>
      </c>
      <c r="B2219" s="33">
        <v>43262</v>
      </c>
      <c r="C2219" s="34" t="s">
        <v>2237</v>
      </c>
      <c r="D2219" s="72">
        <v>5405</v>
      </c>
      <c r="E2219" s="68" t="s">
        <v>3709</v>
      </c>
      <c r="F2219" s="68" t="s">
        <v>298</v>
      </c>
      <c r="G2219" s="109">
        <v>4300021652</v>
      </c>
      <c r="H2219" s="70">
        <v>43221</v>
      </c>
      <c r="I2219" s="34" t="s">
        <v>2114</v>
      </c>
      <c r="J2219" s="74">
        <v>372</v>
      </c>
      <c r="K2219" t="s">
        <v>2030</v>
      </c>
    </row>
    <row r="2220" spans="1:11" x14ac:dyDescent="0.3">
      <c r="A2220" t="s">
        <v>812</v>
      </c>
      <c r="B2220" s="33">
        <v>43262</v>
      </c>
      <c r="C2220" s="34" t="s">
        <v>2237</v>
      </c>
      <c r="D2220" s="71">
        <v>5405</v>
      </c>
      <c r="E2220" s="68" t="s">
        <v>3709</v>
      </c>
      <c r="F2220" s="68" t="s">
        <v>299</v>
      </c>
      <c r="G2220" s="108">
        <v>4300021652</v>
      </c>
      <c r="H2220" s="70">
        <v>43221</v>
      </c>
      <c r="I2220" s="34" t="s">
        <v>2114</v>
      </c>
      <c r="J2220" s="73">
        <v>372</v>
      </c>
      <c r="K2220" t="s">
        <v>2030</v>
      </c>
    </row>
    <row r="2221" spans="1:11" x14ac:dyDescent="0.3">
      <c r="A2221" t="s">
        <v>812</v>
      </c>
      <c r="B2221" s="33">
        <v>43262</v>
      </c>
      <c r="C2221" s="34" t="s">
        <v>2237</v>
      </c>
      <c r="D2221" s="72">
        <v>5405</v>
      </c>
      <c r="E2221" s="68" t="s">
        <v>3709</v>
      </c>
      <c r="F2221" s="68" t="s">
        <v>300</v>
      </c>
      <c r="G2221" s="109">
        <v>4300021652</v>
      </c>
      <c r="H2221" s="70">
        <v>43221</v>
      </c>
      <c r="I2221" s="34" t="s">
        <v>2114</v>
      </c>
      <c r="J2221" s="74">
        <v>372</v>
      </c>
      <c r="K2221" t="s">
        <v>2030</v>
      </c>
    </row>
    <row r="2222" spans="1:11" x14ac:dyDescent="0.3">
      <c r="A2222" t="s">
        <v>812</v>
      </c>
      <c r="B2222" s="33">
        <v>43262</v>
      </c>
      <c r="C2222" s="34" t="s">
        <v>2237</v>
      </c>
      <c r="D2222" s="71">
        <v>5405</v>
      </c>
      <c r="E2222" s="68" t="s">
        <v>3709</v>
      </c>
      <c r="F2222" s="68" t="s">
        <v>301</v>
      </c>
      <c r="G2222" s="108">
        <v>4300021652</v>
      </c>
      <c r="H2222" s="70">
        <v>43221</v>
      </c>
      <c r="I2222" s="34" t="s">
        <v>2114</v>
      </c>
      <c r="J2222" s="73">
        <v>255.75</v>
      </c>
      <c r="K2222" t="s">
        <v>2030</v>
      </c>
    </row>
    <row r="2223" spans="1:11" x14ac:dyDescent="0.3">
      <c r="A2223" t="s">
        <v>812</v>
      </c>
      <c r="B2223" s="33">
        <v>43262</v>
      </c>
      <c r="C2223" s="34" t="s">
        <v>2237</v>
      </c>
      <c r="D2223" s="72">
        <v>5405</v>
      </c>
      <c r="E2223" s="68" t="s">
        <v>3709</v>
      </c>
      <c r="F2223" s="68" t="s">
        <v>302</v>
      </c>
      <c r="G2223" s="109">
        <v>4300021652</v>
      </c>
      <c r="H2223" s="70">
        <v>43221</v>
      </c>
      <c r="I2223" s="34" t="s">
        <v>2114</v>
      </c>
      <c r="J2223" s="74">
        <v>255.75</v>
      </c>
      <c r="K2223" t="s">
        <v>2030</v>
      </c>
    </row>
    <row r="2224" spans="1:11" x14ac:dyDescent="0.3">
      <c r="A2224" t="s">
        <v>812</v>
      </c>
      <c r="B2224" s="33">
        <v>43262</v>
      </c>
      <c r="C2224" s="34" t="s">
        <v>2237</v>
      </c>
      <c r="D2224" s="71">
        <v>5405</v>
      </c>
      <c r="E2224" s="68" t="s">
        <v>3709</v>
      </c>
      <c r="F2224" s="68" t="s">
        <v>303</v>
      </c>
      <c r="G2224" s="108">
        <v>4300021652</v>
      </c>
      <c r="H2224" s="70">
        <v>43221</v>
      </c>
      <c r="I2224" s="34" t="s">
        <v>2114</v>
      </c>
      <c r="J2224" s="73">
        <v>255.75</v>
      </c>
      <c r="K2224" t="s">
        <v>2030</v>
      </c>
    </row>
    <row r="2225" spans="1:11" x14ac:dyDescent="0.3">
      <c r="A2225" t="s">
        <v>812</v>
      </c>
      <c r="B2225" s="33">
        <v>43262</v>
      </c>
      <c r="C2225" s="34" t="s">
        <v>2237</v>
      </c>
      <c r="D2225" s="72">
        <v>5405</v>
      </c>
      <c r="E2225" s="68" t="s">
        <v>3709</v>
      </c>
      <c r="F2225" s="68" t="s">
        <v>304</v>
      </c>
      <c r="G2225" s="109">
        <v>4300021652</v>
      </c>
      <c r="H2225" s="70">
        <v>43221</v>
      </c>
      <c r="I2225" s="34" t="s">
        <v>2114</v>
      </c>
      <c r="J2225" s="74">
        <v>255.75</v>
      </c>
      <c r="K2225" t="s">
        <v>2030</v>
      </c>
    </row>
    <row r="2226" spans="1:11" x14ac:dyDescent="0.3">
      <c r="A2226" t="s">
        <v>812</v>
      </c>
      <c r="B2226" s="33">
        <v>43262</v>
      </c>
      <c r="C2226" s="34" t="s">
        <v>2237</v>
      </c>
      <c r="D2226" s="71">
        <v>5405</v>
      </c>
      <c r="E2226" s="68" t="s">
        <v>3709</v>
      </c>
      <c r="F2226" s="68" t="s">
        <v>305</v>
      </c>
      <c r="G2226" s="108">
        <v>4300021652</v>
      </c>
      <c r="H2226" s="70">
        <v>43221</v>
      </c>
      <c r="I2226" s="34" t="s">
        <v>2114</v>
      </c>
      <c r="J2226" s="73">
        <v>255.75</v>
      </c>
      <c r="K2226" t="s">
        <v>2030</v>
      </c>
    </row>
    <row r="2227" spans="1:11" x14ac:dyDescent="0.3">
      <c r="A2227" t="s">
        <v>812</v>
      </c>
      <c r="B2227" s="33">
        <v>43262</v>
      </c>
      <c r="C2227" s="34" t="s">
        <v>2237</v>
      </c>
      <c r="D2227" s="72">
        <v>5405</v>
      </c>
      <c r="E2227" s="68" t="s">
        <v>3709</v>
      </c>
      <c r="F2227" s="68" t="s">
        <v>306</v>
      </c>
      <c r="G2227" s="109">
        <v>4300021652</v>
      </c>
      <c r="H2227" s="70">
        <v>43221</v>
      </c>
      <c r="I2227" s="34" t="s">
        <v>2114</v>
      </c>
      <c r="J2227" s="74">
        <v>240.25</v>
      </c>
      <c r="K2227" t="s">
        <v>2030</v>
      </c>
    </row>
    <row r="2228" spans="1:11" x14ac:dyDescent="0.3">
      <c r="A2228" t="s">
        <v>812</v>
      </c>
      <c r="B2228" s="33">
        <v>43262</v>
      </c>
      <c r="C2228" s="34" t="s">
        <v>2237</v>
      </c>
      <c r="D2228" s="71">
        <v>5405</v>
      </c>
      <c r="E2228" s="68" t="s">
        <v>3709</v>
      </c>
      <c r="F2228" s="68" t="s">
        <v>307</v>
      </c>
      <c r="G2228" s="108">
        <v>4300021652</v>
      </c>
      <c r="H2228" s="70">
        <v>43221</v>
      </c>
      <c r="I2228" s="34" t="s">
        <v>2114</v>
      </c>
      <c r="J2228" s="73">
        <v>279</v>
      </c>
      <c r="K2228" t="s">
        <v>2030</v>
      </c>
    </row>
    <row r="2229" spans="1:11" x14ac:dyDescent="0.3">
      <c r="A2229" t="s">
        <v>812</v>
      </c>
      <c r="B2229" s="33">
        <v>43262</v>
      </c>
      <c r="C2229" s="34" t="s">
        <v>2237</v>
      </c>
      <c r="D2229" s="72">
        <v>5405</v>
      </c>
      <c r="E2229" s="68" t="s">
        <v>3709</v>
      </c>
      <c r="F2229" s="68" t="s">
        <v>308</v>
      </c>
      <c r="G2229" s="109">
        <v>4300021652</v>
      </c>
      <c r="H2229" s="70">
        <v>43221</v>
      </c>
      <c r="I2229" s="34" t="s">
        <v>2114</v>
      </c>
      <c r="J2229" s="74">
        <v>279</v>
      </c>
      <c r="K2229" t="s">
        <v>2030</v>
      </c>
    </row>
    <row r="2230" spans="1:11" x14ac:dyDescent="0.3">
      <c r="A2230" t="s">
        <v>812</v>
      </c>
      <c r="B2230" s="33">
        <v>43262</v>
      </c>
      <c r="C2230" s="34" t="s">
        <v>2237</v>
      </c>
      <c r="D2230" s="71">
        <v>5405</v>
      </c>
      <c r="E2230" s="68" t="s">
        <v>3709</v>
      </c>
      <c r="F2230" s="68" t="s">
        <v>309</v>
      </c>
      <c r="G2230" s="108">
        <v>4300021652</v>
      </c>
      <c r="H2230" s="70">
        <v>43221</v>
      </c>
      <c r="I2230" s="34" t="s">
        <v>2114</v>
      </c>
      <c r="J2230" s="73">
        <v>279</v>
      </c>
      <c r="K2230" t="s">
        <v>2030</v>
      </c>
    </row>
    <row r="2231" spans="1:11" x14ac:dyDescent="0.3">
      <c r="A2231" t="s">
        <v>812</v>
      </c>
      <c r="B2231" s="33">
        <v>43262</v>
      </c>
      <c r="C2231" s="34" t="s">
        <v>2237</v>
      </c>
      <c r="D2231" s="72">
        <v>5405</v>
      </c>
      <c r="E2231" s="68" t="s">
        <v>3709</v>
      </c>
      <c r="F2231" s="68" t="s">
        <v>310</v>
      </c>
      <c r="G2231" s="109">
        <v>4300021652</v>
      </c>
      <c r="H2231" s="70">
        <v>43221</v>
      </c>
      <c r="I2231" s="34" t="s">
        <v>2114</v>
      </c>
      <c r="J2231" s="74">
        <v>198</v>
      </c>
      <c r="K2231" t="s">
        <v>2030</v>
      </c>
    </row>
    <row r="2232" spans="1:11" x14ac:dyDescent="0.3">
      <c r="A2232" t="s">
        <v>812</v>
      </c>
      <c r="B2232" s="33">
        <v>43262</v>
      </c>
      <c r="C2232" s="34" t="s">
        <v>2237</v>
      </c>
      <c r="D2232" s="71">
        <v>5405</v>
      </c>
      <c r="E2232" s="68" t="s">
        <v>3709</v>
      </c>
      <c r="F2232" s="68" t="s">
        <v>311</v>
      </c>
      <c r="G2232" s="108">
        <v>4300021652</v>
      </c>
      <c r="H2232" s="70">
        <v>43221</v>
      </c>
      <c r="I2232" s="34" t="s">
        <v>2114</v>
      </c>
      <c r="J2232" s="73">
        <v>90</v>
      </c>
      <c r="K2232" t="s">
        <v>2030</v>
      </c>
    </row>
    <row r="2233" spans="1:11" x14ac:dyDescent="0.3">
      <c r="A2233" t="s">
        <v>812</v>
      </c>
      <c r="B2233" s="33">
        <v>43262</v>
      </c>
      <c r="C2233" s="34" t="s">
        <v>2237</v>
      </c>
      <c r="D2233" s="72">
        <v>5405</v>
      </c>
      <c r="E2233" s="68" t="s">
        <v>3709</v>
      </c>
      <c r="F2233" s="68" t="s">
        <v>312</v>
      </c>
      <c r="G2233" s="109">
        <v>4300021652</v>
      </c>
      <c r="H2233" s="70">
        <v>43221</v>
      </c>
      <c r="I2233" s="34" t="s">
        <v>2114</v>
      </c>
      <c r="J2233" s="74">
        <v>135</v>
      </c>
      <c r="K2233" t="s">
        <v>2030</v>
      </c>
    </row>
    <row r="2234" spans="1:11" x14ac:dyDescent="0.3">
      <c r="A2234" t="s">
        <v>812</v>
      </c>
      <c r="B2234" s="33">
        <v>43262</v>
      </c>
      <c r="C2234" s="34" t="s">
        <v>2237</v>
      </c>
      <c r="D2234" s="71">
        <v>5405</v>
      </c>
      <c r="E2234" s="68" t="s">
        <v>3709</v>
      </c>
      <c r="F2234" s="68" t="s">
        <v>313</v>
      </c>
      <c r="G2234" s="108">
        <v>4300021652</v>
      </c>
      <c r="H2234" s="70">
        <v>43221</v>
      </c>
      <c r="I2234" s="34" t="s">
        <v>2114</v>
      </c>
      <c r="J2234" s="73">
        <v>279</v>
      </c>
      <c r="K2234" t="s">
        <v>2030</v>
      </c>
    </row>
    <row r="2235" spans="1:11" x14ac:dyDescent="0.3">
      <c r="A2235" t="s">
        <v>812</v>
      </c>
      <c r="B2235" s="33">
        <v>43262</v>
      </c>
      <c r="C2235" s="34" t="s">
        <v>2237</v>
      </c>
      <c r="D2235" s="72">
        <v>5405</v>
      </c>
      <c r="E2235" s="68" t="s">
        <v>3709</v>
      </c>
      <c r="F2235" s="68" t="s">
        <v>314</v>
      </c>
      <c r="G2235" s="109">
        <v>4300021652</v>
      </c>
      <c r="H2235" s="70">
        <v>43221</v>
      </c>
      <c r="I2235" s="34" t="s">
        <v>2114</v>
      </c>
      <c r="J2235" s="74">
        <v>279</v>
      </c>
      <c r="K2235" t="s">
        <v>2030</v>
      </c>
    </row>
    <row r="2236" spans="1:11" x14ac:dyDescent="0.3">
      <c r="A2236" t="s">
        <v>812</v>
      </c>
      <c r="B2236" s="33">
        <v>43262</v>
      </c>
      <c r="C2236" s="34" t="s">
        <v>2237</v>
      </c>
      <c r="D2236" s="71">
        <v>5405</v>
      </c>
      <c r="E2236" s="68" t="s">
        <v>3709</v>
      </c>
      <c r="F2236" s="68" t="s">
        <v>315</v>
      </c>
      <c r="G2236" s="108">
        <v>4300021652</v>
      </c>
      <c r="H2236" s="70">
        <v>43221</v>
      </c>
      <c r="I2236" s="34" t="s">
        <v>2114</v>
      </c>
      <c r="J2236" s="73">
        <v>240.25</v>
      </c>
      <c r="K2236" t="s">
        <v>2030</v>
      </c>
    </row>
    <row r="2237" spans="1:11" x14ac:dyDescent="0.3">
      <c r="A2237" t="s">
        <v>812</v>
      </c>
      <c r="B2237" s="33">
        <v>43262</v>
      </c>
      <c r="C2237" s="34" t="s">
        <v>2237</v>
      </c>
      <c r="D2237" s="72">
        <v>5405</v>
      </c>
      <c r="E2237" s="68" t="s">
        <v>3709</v>
      </c>
      <c r="F2237" s="68" t="s">
        <v>316</v>
      </c>
      <c r="G2237" s="109">
        <v>4300021652</v>
      </c>
      <c r="H2237" s="70">
        <v>43221</v>
      </c>
      <c r="I2237" s="34" t="s">
        <v>2114</v>
      </c>
      <c r="J2237" s="74">
        <v>279</v>
      </c>
      <c r="K2237" t="s">
        <v>2030</v>
      </c>
    </row>
    <row r="2238" spans="1:11" x14ac:dyDescent="0.3">
      <c r="A2238" t="s">
        <v>812</v>
      </c>
      <c r="B2238" s="33">
        <v>43262</v>
      </c>
      <c r="C2238" s="34" t="s">
        <v>2237</v>
      </c>
      <c r="D2238" s="71">
        <v>5405</v>
      </c>
      <c r="E2238" s="68" t="s">
        <v>3709</v>
      </c>
      <c r="F2238" s="68" t="s">
        <v>317</v>
      </c>
      <c r="G2238" s="108">
        <v>4300021652</v>
      </c>
      <c r="H2238" s="70">
        <v>43221</v>
      </c>
      <c r="I2238" s="34" t="s">
        <v>2114</v>
      </c>
      <c r="J2238" s="73">
        <v>279</v>
      </c>
      <c r="K2238" t="s">
        <v>2030</v>
      </c>
    </row>
    <row r="2239" spans="1:11" x14ac:dyDescent="0.3">
      <c r="A2239" t="s">
        <v>812</v>
      </c>
      <c r="B2239" s="33">
        <v>43262</v>
      </c>
      <c r="C2239" s="34" t="s">
        <v>2237</v>
      </c>
      <c r="D2239" s="72">
        <v>5405</v>
      </c>
      <c r="E2239" s="68" t="s">
        <v>3709</v>
      </c>
      <c r="F2239" s="68" t="s">
        <v>318</v>
      </c>
      <c r="G2239" s="109">
        <v>4300021652</v>
      </c>
      <c r="H2239" s="70">
        <v>43221</v>
      </c>
      <c r="I2239" s="34" t="s">
        <v>2114</v>
      </c>
      <c r="J2239" s="74">
        <v>279</v>
      </c>
      <c r="K2239" t="s">
        <v>2030</v>
      </c>
    </row>
    <row r="2240" spans="1:11" x14ac:dyDescent="0.3">
      <c r="A2240" t="s">
        <v>812</v>
      </c>
      <c r="B2240" s="33">
        <v>43262</v>
      </c>
      <c r="C2240" s="34" t="s">
        <v>2237</v>
      </c>
      <c r="D2240" s="71">
        <v>5405</v>
      </c>
      <c r="E2240" s="68" t="s">
        <v>3709</v>
      </c>
      <c r="F2240" s="68" t="s">
        <v>319</v>
      </c>
      <c r="G2240" s="108">
        <v>4300021652</v>
      </c>
      <c r="H2240" s="70">
        <v>43221</v>
      </c>
      <c r="I2240" s="34" t="s">
        <v>2114</v>
      </c>
      <c r="J2240" s="73">
        <v>279</v>
      </c>
      <c r="K2240" t="s">
        <v>2030</v>
      </c>
    </row>
    <row r="2241" spans="1:11" x14ac:dyDescent="0.3">
      <c r="A2241" t="s">
        <v>812</v>
      </c>
      <c r="B2241" s="33">
        <v>43262</v>
      </c>
      <c r="C2241" s="34" t="s">
        <v>2237</v>
      </c>
      <c r="D2241" s="72">
        <v>5405</v>
      </c>
      <c r="E2241" s="68" t="s">
        <v>3709</v>
      </c>
      <c r="F2241" s="68" t="s">
        <v>320</v>
      </c>
      <c r="G2241" s="109">
        <v>4300021652</v>
      </c>
      <c r="H2241" s="70">
        <v>43221</v>
      </c>
      <c r="I2241" s="34" t="s">
        <v>2114</v>
      </c>
      <c r="J2241" s="74">
        <v>279</v>
      </c>
      <c r="K2241" t="s">
        <v>2030</v>
      </c>
    </row>
    <row r="2242" spans="1:11" x14ac:dyDescent="0.3">
      <c r="A2242" t="s">
        <v>812</v>
      </c>
      <c r="B2242" s="33">
        <v>43262</v>
      </c>
      <c r="C2242" s="34" t="s">
        <v>2237</v>
      </c>
      <c r="D2242" s="71">
        <v>5405</v>
      </c>
      <c r="E2242" s="68" t="s">
        <v>3709</v>
      </c>
      <c r="F2242" s="68" t="s">
        <v>321</v>
      </c>
      <c r="G2242" s="108">
        <v>4300021652</v>
      </c>
      <c r="H2242" s="70">
        <v>43221</v>
      </c>
      <c r="I2242" s="34" t="s">
        <v>2114</v>
      </c>
      <c r="J2242" s="73">
        <v>279</v>
      </c>
      <c r="K2242" t="s">
        <v>2030</v>
      </c>
    </row>
    <row r="2243" spans="1:11" x14ac:dyDescent="0.3">
      <c r="A2243" t="s">
        <v>812</v>
      </c>
      <c r="B2243" s="33">
        <v>43262</v>
      </c>
      <c r="C2243" s="34" t="s">
        <v>2237</v>
      </c>
      <c r="D2243" s="72">
        <v>5405</v>
      </c>
      <c r="E2243" s="68" t="s">
        <v>3709</v>
      </c>
      <c r="F2243" s="68" t="s">
        <v>322</v>
      </c>
      <c r="G2243" s="109">
        <v>4300021652</v>
      </c>
      <c r="H2243" s="70">
        <v>43221</v>
      </c>
      <c r="I2243" s="34" t="s">
        <v>2114</v>
      </c>
      <c r="J2243" s="74">
        <v>279</v>
      </c>
      <c r="K2243" t="s">
        <v>2030</v>
      </c>
    </row>
    <row r="2244" spans="1:11" x14ac:dyDescent="0.3">
      <c r="A2244" t="s">
        <v>812</v>
      </c>
      <c r="B2244" s="33">
        <v>43262</v>
      </c>
      <c r="C2244" s="34" t="s">
        <v>2237</v>
      </c>
      <c r="D2244" s="71">
        <v>5405</v>
      </c>
      <c r="E2244" s="68" t="s">
        <v>3709</v>
      </c>
      <c r="F2244" s="68" t="s">
        <v>323</v>
      </c>
      <c r="G2244" s="108">
        <v>4300021652</v>
      </c>
      <c r="H2244" s="70">
        <v>43221</v>
      </c>
      <c r="I2244" s="34" t="s">
        <v>2114</v>
      </c>
      <c r="J2244" s="73">
        <v>279</v>
      </c>
      <c r="K2244" t="s">
        <v>2030</v>
      </c>
    </row>
    <row r="2245" spans="1:11" x14ac:dyDescent="0.3">
      <c r="A2245" t="s">
        <v>812</v>
      </c>
      <c r="B2245" s="33">
        <v>43262</v>
      </c>
      <c r="C2245" s="34" t="s">
        <v>2237</v>
      </c>
      <c r="D2245" s="72">
        <v>5405</v>
      </c>
      <c r="E2245" s="68" t="s">
        <v>3709</v>
      </c>
      <c r="F2245" s="68" t="s">
        <v>324</v>
      </c>
      <c r="G2245" s="109">
        <v>4300021652</v>
      </c>
      <c r="H2245" s="70">
        <v>43221</v>
      </c>
      <c r="I2245" s="34" t="s">
        <v>2114</v>
      </c>
      <c r="J2245" s="74">
        <v>279</v>
      </c>
      <c r="K2245" t="s">
        <v>2030</v>
      </c>
    </row>
    <row r="2246" spans="1:11" x14ac:dyDescent="0.3">
      <c r="A2246" t="s">
        <v>812</v>
      </c>
      <c r="B2246" s="33">
        <v>43262</v>
      </c>
      <c r="C2246" s="34" t="s">
        <v>2237</v>
      </c>
      <c r="D2246" s="71">
        <v>5405</v>
      </c>
      <c r="E2246" s="68" t="s">
        <v>3709</v>
      </c>
      <c r="F2246" s="68" t="s">
        <v>325</v>
      </c>
      <c r="G2246" s="108">
        <v>4300021652</v>
      </c>
      <c r="H2246" s="70">
        <v>43221</v>
      </c>
      <c r="I2246" s="34" t="s">
        <v>2114</v>
      </c>
      <c r="J2246" s="73">
        <v>279</v>
      </c>
      <c r="K2246" t="s">
        <v>2030</v>
      </c>
    </row>
    <row r="2247" spans="1:11" x14ac:dyDescent="0.3">
      <c r="A2247" t="s">
        <v>812</v>
      </c>
      <c r="B2247" s="33">
        <v>43262</v>
      </c>
      <c r="C2247" s="34" t="s">
        <v>2237</v>
      </c>
      <c r="D2247" s="72">
        <v>5405</v>
      </c>
      <c r="E2247" s="68" t="s">
        <v>3709</v>
      </c>
      <c r="F2247" s="68" t="s">
        <v>326</v>
      </c>
      <c r="G2247" s="109">
        <v>4300021652</v>
      </c>
      <c r="H2247" s="70">
        <v>43221</v>
      </c>
      <c r="I2247" s="34" t="s">
        <v>2114</v>
      </c>
      <c r="J2247" s="74">
        <v>279</v>
      </c>
      <c r="K2247" t="s">
        <v>2030</v>
      </c>
    </row>
    <row r="2248" spans="1:11" x14ac:dyDescent="0.3">
      <c r="A2248" t="s">
        <v>812</v>
      </c>
      <c r="B2248" s="33">
        <v>43262</v>
      </c>
      <c r="C2248" s="34" t="s">
        <v>2237</v>
      </c>
      <c r="D2248" s="71">
        <v>5405</v>
      </c>
      <c r="E2248" s="68" t="s">
        <v>3709</v>
      </c>
      <c r="F2248" s="68" t="s">
        <v>327</v>
      </c>
      <c r="G2248" s="108">
        <v>4300021652</v>
      </c>
      <c r="H2248" s="70">
        <v>43221</v>
      </c>
      <c r="I2248" s="34" t="s">
        <v>2114</v>
      </c>
      <c r="J2248" s="73">
        <v>279</v>
      </c>
      <c r="K2248" t="s">
        <v>2030</v>
      </c>
    </row>
    <row r="2249" spans="1:11" x14ac:dyDescent="0.3">
      <c r="A2249" t="s">
        <v>812</v>
      </c>
      <c r="B2249" s="33">
        <v>43262</v>
      </c>
      <c r="C2249" s="34" t="s">
        <v>2237</v>
      </c>
      <c r="D2249" s="72">
        <v>5405</v>
      </c>
      <c r="E2249" s="68" t="s">
        <v>3709</v>
      </c>
      <c r="F2249" s="68" t="s">
        <v>328</v>
      </c>
      <c r="G2249" s="109">
        <v>4300021652</v>
      </c>
      <c r="H2249" s="70">
        <v>43221</v>
      </c>
      <c r="I2249" s="34" t="s">
        <v>2114</v>
      </c>
      <c r="J2249" s="74">
        <v>279</v>
      </c>
      <c r="K2249" t="s">
        <v>2030</v>
      </c>
    </row>
    <row r="2250" spans="1:11" x14ac:dyDescent="0.3">
      <c r="A2250" t="s">
        <v>812</v>
      </c>
      <c r="B2250" s="33">
        <v>43262</v>
      </c>
      <c r="C2250" s="34" t="s">
        <v>2237</v>
      </c>
      <c r="D2250" s="71">
        <v>5405</v>
      </c>
      <c r="E2250" s="68" t="s">
        <v>3709</v>
      </c>
      <c r="F2250" s="68" t="s">
        <v>329</v>
      </c>
      <c r="G2250" s="108">
        <v>4300021652</v>
      </c>
      <c r="H2250" s="70">
        <v>43221</v>
      </c>
      <c r="I2250" s="34" t="s">
        <v>2114</v>
      </c>
      <c r="J2250" s="73">
        <v>279</v>
      </c>
      <c r="K2250" t="s">
        <v>2030</v>
      </c>
    </row>
    <row r="2251" spans="1:11" x14ac:dyDescent="0.3">
      <c r="A2251" t="s">
        <v>812</v>
      </c>
      <c r="B2251" s="33">
        <v>43262</v>
      </c>
      <c r="C2251" s="34" t="s">
        <v>2237</v>
      </c>
      <c r="D2251" s="72">
        <v>5405</v>
      </c>
      <c r="E2251" s="68" t="s">
        <v>3709</v>
      </c>
      <c r="F2251" s="68" t="s">
        <v>330</v>
      </c>
      <c r="G2251" s="109">
        <v>4300021652</v>
      </c>
      <c r="H2251" s="70">
        <v>43221</v>
      </c>
      <c r="I2251" s="34" t="s">
        <v>2114</v>
      </c>
      <c r="J2251" s="74">
        <v>279</v>
      </c>
      <c r="K2251" t="s">
        <v>2030</v>
      </c>
    </row>
    <row r="2252" spans="1:11" x14ac:dyDescent="0.3">
      <c r="A2252" t="s">
        <v>812</v>
      </c>
      <c r="B2252" s="33">
        <v>43262</v>
      </c>
      <c r="C2252" s="34" t="s">
        <v>2237</v>
      </c>
      <c r="D2252" s="71">
        <v>5405</v>
      </c>
      <c r="E2252" s="68" t="s">
        <v>3709</v>
      </c>
      <c r="F2252" s="68" t="s">
        <v>331</v>
      </c>
      <c r="G2252" s="108">
        <v>4300021652</v>
      </c>
      <c r="H2252" s="70">
        <v>43221</v>
      </c>
      <c r="I2252" s="34" t="s">
        <v>2114</v>
      </c>
      <c r="J2252" s="73">
        <v>279</v>
      </c>
      <c r="K2252" t="s">
        <v>2030</v>
      </c>
    </row>
    <row r="2253" spans="1:11" x14ac:dyDescent="0.3">
      <c r="A2253" t="s">
        <v>812</v>
      </c>
      <c r="B2253" s="33">
        <v>43262</v>
      </c>
      <c r="C2253" s="34" t="s">
        <v>2237</v>
      </c>
      <c r="D2253" s="72">
        <v>5405</v>
      </c>
      <c r="E2253" s="68" t="s">
        <v>3709</v>
      </c>
      <c r="F2253" s="68" t="s">
        <v>332</v>
      </c>
      <c r="G2253" s="109">
        <v>4300021652</v>
      </c>
      <c r="H2253" s="70">
        <v>43221</v>
      </c>
      <c r="I2253" s="34" t="s">
        <v>2114</v>
      </c>
      <c r="J2253" s="74">
        <v>279</v>
      </c>
      <c r="K2253" t="s">
        <v>2030</v>
      </c>
    </row>
    <row r="2254" spans="1:11" x14ac:dyDescent="0.3">
      <c r="A2254" t="s">
        <v>812</v>
      </c>
      <c r="B2254" s="33">
        <v>43262</v>
      </c>
      <c r="C2254" s="34" t="s">
        <v>2237</v>
      </c>
      <c r="D2254" s="71">
        <v>5405</v>
      </c>
      <c r="E2254" s="68" t="s">
        <v>3709</v>
      </c>
      <c r="F2254" s="68" t="s">
        <v>333</v>
      </c>
      <c r="G2254" s="108">
        <v>4300021652</v>
      </c>
      <c r="H2254" s="70">
        <v>43221</v>
      </c>
      <c r="I2254" s="34" t="s">
        <v>2114</v>
      </c>
      <c r="J2254" s="73">
        <v>240.25</v>
      </c>
      <c r="K2254" t="s">
        <v>2030</v>
      </c>
    </row>
    <row r="2255" spans="1:11" x14ac:dyDescent="0.3">
      <c r="A2255" t="s">
        <v>812</v>
      </c>
      <c r="B2255" s="33">
        <v>43262</v>
      </c>
      <c r="C2255" s="34" t="s">
        <v>2237</v>
      </c>
      <c r="D2255" s="72">
        <v>5405</v>
      </c>
      <c r="E2255" s="68" t="s">
        <v>3709</v>
      </c>
      <c r="F2255" s="68" t="s">
        <v>334</v>
      </c>
      <c r="G2255" s="109">
        <v>4300021652</v>
      </c>
      <c r="H2255" s="70">
        <v>43221</v>
      </c>
      <c r="I2255" s="34" t="s">
        <v>2114</v>
      </c>
      <c r="J2255" s="74">
        <v>240.25</v>
      </c>
      <c r="K2255" t="s">
        <v>2030</v>
      </c>
    </row>
    <row r="2256" spans="1:11" x14ac:dyDescent="0.3">
      <c r="A2256" t="s">
        <v>812</v>
      </c>
      <c r="B2256" s="33">
        <v>43262</v>
      </c>
      <c r="C2256" s="34" t="s">
        <v>2237</v>
      </c>
      <c r="D2256" s="71">
        <v>5405</v>
      </c>
      <c r="E2256" s="68" t="s">
        <v>3709</v>
      </c>
      <c r="F2256" s="68" t="s">
        <v>335</v>
      </c>
      <c r="G2256" s="108">
        <v>4300021652</v>
      </c>
      <c r="H2256" s="70">
        <v>43221</v>
      </c>
      <c r="I2256" s="34" t="s">
        <v>2114</v>
      </c>
      <c r="J2256" s="73">
        <v>240.25</v>
      </c>
      <c r="K2256" t="s">
        <v>2030</v>
      </c>
    </row>
    <row r="2257" spans="1:11" x14ac:dyDescent="0.3">
      <c r="A2257" t="s">
        <v>812</v>
      </c>
      <c r="B2257" s="33">
        <v>43262</v>
      </c>
      <c r="C2257" s="34" t="s">
        <v>2237</v>
      </c>
      <c r="D2257" s="72">
        <v>5405</v>
      </c>
      <c r="E2257" s="68" t="s">
        <v>3709</v>
      </c>
      <c r="F2257" s="68" t="s">
        <v>336</v>
      </c>
      <c r="G2257" s="109">
        <v>4300021652</v>
      </c>
      <c r="H2257" s="70">
        <v>43221</v>
      </c>
      <c r="I2257" s="34" t="s">
        <v>2114</v>
      </c>
      <c r="J2257" s="74">
        <v>248</v>
      </c>
      <c r="K2257" t="s">
        <v>2030</v>
      </c>
    </row>
    <row r="2258" spans="1:11" x14ac:dyDescent="0.3">
      <c r="A2258" t="s">
        <v>812</v>
      </c>
      <c r="B2258" s="33">
        <v>43262</v>
      </c>
      <c r="C2258" s="34" t="s">
        <v>2237</v>
      </c>
      <c r="D2258" s="71">
        <v>5405</v>
      </c>
      <c r="E2258" s="68" t="s">
        <v>3709</v>
      </c>
      <c r="F2258" s="68" t="s">
        <v>337</v>
      </c>
      <c r="G2258" s="108">
        <v>4300021652</v>
      </c>
      <c r="H2258" s="70">
        <v>43221</v>
      </c>
      <c r="I2258" s="34" t="s">
        <v>2114</v>
      </c>
      <c r="J2258" s="73">
        <v>248</v>
      </c>
      <c r="K2258" t="s">
        <v>2030</v>
      </c>
    </row>
    <row r="2259" spans="1:11" x14ac:dyDescent="0.3">
      <c r="A2259" t="s">
        <v>812</v>
      </c>
      <c r="B2259" s="33">
        <v>43262</v>
      </c>
      <c r="C2259" s="34" t="s">
        <v>2237</v>
      </c>
      <c r="D2259" s="72">
        <v>5405</v>
      </c>
      <c r="E2259" s="68" t="s">
        <v>3709</v>
      </c>
      <c r="F2259" s="68" t="s">
        <v>338</v>
      </c>
      <c r="G2259" s="109">
        <v>4300021652</v>
      </c>
      <c r="H2259" s="70">
        <v>43221</v>
      </c>
      <c r="I2259" s="34" t="s">
        <v>2114</v>
      </c>
      <c r="J2259" s="74">
        <v>248</v>
      </c>
      <c r="K2259" t="s">
        <v>2030</v>
      </c>
    </row>
    <row r="2260" spans="1:11" x14ac:dyDescent="0.3">
      <c r="A2260" t="s">
        <v>812</v>
      </c>
      <c r="B2260" s="33">
        <v>43262</v>
      </c>
      <c r="C2260" s="34" t="s">
        <v>2237</v>
      </c>
      <c r="D2260" s="71">
        <v>5405</v>
      </c>
      <c r="E2260" s="68" t="s">
        <v>3709</v>
      </c>
      <c r="F2260" s="68" t="s">
        <v>339</v>
      </c>
      <c r="G2260" s="108">
        <v>4300021652</v>
      </c>
      <c r="H2260" s="70">
        <v>43221</v>
      </c>
      <c r="I2260" s="34" t="s">
        <v>2114</v>
      </c>
      <c r="J2260" s="73">
        <v>248</v>
      </c>
      <c r="K2260" t="s">
        <v>2030</v>
      </c>
    </row>
    <row r="2261" spans="1:11" x14ac:dyDescent="0.3">
      <c r="A2261" t="s">
        <v>812</v>
      </c>
      <c r="B2261" s="33">
        <v>43262</v>
      </c>
      <c r="C2261" s="34" t="s">
        <v>2237</v>
      </c>
      <c r="D2261" s="72">
        <v>5405</v>
      </c>
      <c r="E2261" s="68" t="s">
        <v>3709</v>
      </c>
      <c r="F2261" s="68" t="s">
        <v>340</v>
      </c>
      <c r="G2261" s="109">
        <v>4300021652</v>
      </c>
      <c r="H2261" s="70">
        <v>43221</v>
      </c>
      <c r="I2261" s="34" t="s">
        <v>2114</v>
      </c>
      <c r="J2261" s="74">
        <v>248</v>
      </c>
      <c r="K2261" t="s">
        <v>2030</v>
      </c>
    </row>
    <row r="2262" spans="1:11" x14ac:dyDescent="0.3">
      <c r="A2262" t="s">
        <v>812</v>
      </c>
      <c r="B2262" s="33">
        <v>43262</v>
      </c>
      <c r="C2262" s="34" t="s">
        <v>2237</v>
      </c>
      <c r="D2262" s="71">
        <v>5405</v>
      </c>
      <c r="E2262" s="68" t="s">
        <v>3709</v>
      </c>
      <c r="F2262" s="68" t="s">
        <v>341</v>
      </c>
      <c r="G2262" s="108">
        <v>4300021652</v>
      </c>
      <c r="H2262" s="70">
        <v>43221</v>
      </c>
      <c r="I2262" s="34" t="s">
        <v>2114</v>
      </c>
      <c r="J2262" s="73">
        <v>248</v>
      </c>
      <c r="K2262" t="s">
        <v>2030</v>
      </c>
    </row>
    <row r="2263" spans="1:11" x14ac:dyDescent="0.3">
      <c r="A2263" t="s">
        <v>812</v>
      </c>
      <c r="B2263" s="33">
        <v>43262</v>
      </c>
      <c r="C2263" s="34" t="s">
        <v>2237</v>
      </c>
      <c r="D2263" s="72">
        <v>5405</v>
      </c>
      <c r="E2263" s="68" t="s">
        <v>3709</v>
      </c>
      <c r="F2263" s="68" t="s">
        <v>342</v>
      </c>
      <c r="G2263" s="109">
        <v>4300021652</v>
      </c>
      <c r="H2263" s="70">
        <v>43221</v>
      </c>
      <c r="I2263" s="34" t="s">
        <v>2114</v>
      </c>
      <c r="J2263" s="74">
        <v>248</v>
      </c>
      <c r="K2263" t="s">
        <v>2030</v>
      </c>
    </row>
    <row r="2264" spans="1:11" x14ac:dyDescent="0.3">
      <c r="A2264" t="s">
        <v>812</v>
      </c>
      <c r="B2264" s="33">
        <v>43262</v>
      </c>
      <c r="C2264" s="34" t="s">
        <v>2237</v>
      </c>
      <c r="D2264" s="71">
        <v>5405</v>
      </c>
      <c r="E2264" s="68" t="s">
        <v>3709</v>
      </c>
      <c r="F2264" s="68" t="s">
        <v>343</v>
      </c>
      <c r="G2264" s="108">
        <v>4300021652</v>
      </c>
      <c r="H2264" s="70">
        <v>43221</v>
      </c>
      <c r="I2264" s="34" t="s">
        <v>2114</v>
      </c>
      <c r="J2264" s="73">
        <v>248</v>
      </c>
      <c r="K2264" t="s">
        <v>2030</v>
      </c>
    </row>
    <row r="2265" spans="1:11" x14ac:dyDescent="0.3">
      <c r="A2265" t="s">
        <v>812</v>
      </c>
      <c r="B2265" s="33">
        <v>43262</v>
      </c>
      <c r="C2265" s="34" t="s">
        <v>2237</v>
      </c>
      <c r="D2265" s="72">
        <v>5405</v>
      </c>
      <c r="E2265" s="68" t="s">
        <v>3709</v>
      </c>
      <c r="F2265" s="68" t="s">
        <v>344</v>
      </c>
      <c r="G2265" s="109">
        <v>4300021652</v>
      </c>
      <c r="H2265" s="70">
        <v>43221</v>
      </c>
      <c r="I2265" s="34" t="s">
        <v>2114</v>
      </c>
      <c r="J2265" s="74">
        <v>248</v>
      </c>
      <c r="K2265" t="s">
        <v>2030</v>
      </c>
    </row>
    <row r="2266" spans="1:11" x14ac:dyDescent="0.3">
      <c r="A2266" t="s">
        <v>812</v>
      </c>
      <c r="B2266" s="33">
        <v>43262</v>
      </c>
      <c r="C2266" s="34" t="s">
        <v>2237</v>
      </c>
      <c r="D2266" s="71">
        <v>5405</v>
      </c>
      <c r="E2266" s="68" t="s">
        <v>3709</v>
      </c>
      <c r="F2266" s="68" t="s">
        <v>345</v>
      </c>
      <c r="G2266" s="108">
        <v>4300021652</v>
      </c>
      <c r="H2266" s="70">
        <v>43221</v>
      </c>
      <c r="I2266" s="34" t="s">
        <v>2114</v>
      </c>
      <c r="J2266" s="73">
        <v>248</v>
      </c>
      <c r="K2266" t="s">
        <v>2030</v>
      </c>
    </row>
    <row r="2267" spans="1:11" x14ac:dyDescent="0.3">
      <c r="A2267" t="s">
        <v>812</v>
      </c>
      <c r="B2267" s="33">
        <v>43262</v>
      </c>
      <c r="C2267" s="34" t="s">
        <v>2237</v>
      </c>
      <c r="D2267" s="72">
        <v>5405</v>
      </c>
      <c r="E2267" s="68" t="s">
        <v>3709</v>
      </c>
      <c r="F2267" s="68" t="s">
        <v>346</v>
      </c>
      <c r="G2267" s="109">
        <v>4300021652</v>
      </c>
      <c r="H2267" s="70">
        <v>43221</v>
      </c>
      <c r="I2267" s="34" t="s">
        <v>2114</v>
      </c>
      <c r="J2267" s="74">
        <v>248</v>
      </c>
      <c r="K2267" t="s">
        <v>2030</v>
      </c>
    </row>
    <row r="2268" spans="1:11" x14ac:dyDescent="0.3">
      <c r="A2268" t="s">
        <v>812</v>
      </c>
      <c r="B2268" s="33">
        <v>43262</v>
      </c>
      <c r="C2268" s="34" t="s">
        <v>2237</v>
      </c>
      <c r="D2268" s="71">
        <v>5405</v>
      </c>
      <c r="E2268" s="68" t="s">
        <v>3709</v>
      </c>
      <c r="F2268" s="68" t="s">
        <v>557</v>
      </c>
      <c r="G2268" s="108">
        <v>4300021652</v>
      </c>
      <c r="H2268" s="70">
        <v>43221</v>
      </c>
      <c r="I2268" s="34" t="s">
        <v>2114</v>
      </c>
      <c r="J2268" s="73">
        <v>248</v>
      </c>
      <c r="K2268" t="s">
        <v>2030</v>
      </c>
    </row>
    <row r="2269" spans="1:11" x14ac:dyDescent="0.3">
      <c r="A2269" t="s">
        <v>812</v>
      </c>
      <c r="B2269" s="33">
        <v>43262</v>
      </c>
      <c r="C2269" s="34" t="s">
        <v>2237</v>
      </c>
      <c r="D2269" s="72">
        <v>5405</v>
      </c>
      <c r="E2269" s="68" t="s">
        <v>3709</v>
      </c>
      <c r="F2269" s="68" t="s">
        <v>558</v>
      </c>
      <c r="G2269" s="109">
        <v>4300021652</v>
      </c>
      <c r="H2269" s="70">
        <v>43221</v>
      </c>
      <c r="I2269" s="34" t="s">
        <v>2114</v>
      </c>
      <c r="J2269" s="74">
        <v>248</v>
      </c>
      <c r="K2269" t="s">
        <v>2030</v>
      </c>
    </row>
    <row r="2270" spans="1:11" x14ac:dyDescent="0.3">
      <c r="A2270" t="s">
        <v>812</v>
      </c>
      <c r="B2270" s="33">
        <v>43262</v>
      </c>
      <c r="C2270" s="34" t="s">
        <v>2237</v>
      </c>
      <c r="D2270" s="71">
        <v>5405</v>
      </c>
      <c r="E2270" s="68" t="s">
        <v>3709</v>
      </c>
      <c r="F2270" s="68" t="s">
        <v>559</v>
      </c>
      <c r="G2270" s="108">
        <v>4300021652</v>
      </c>
      <c r="H2270" s="70">
        <v>43221</v>
      </c>
      <c r="I2270" s="34" t="s">
        <v>2114</v>
      </c>
      <c r="J2270" s="73">
        <v>248</v>
      </c>
      <c r="K2270" t="s">
        <v>2030</v>
      </c>
    </row>
    <row r="2271" spans="1:11" x14ac:dyDescent="0.3">
      <c r="A2271" t="s">
        <v>812</v>
      </c>
      <c r="B2271" s="33">
        <v>43262</v>
      </c>
      <c r="C2271" s="34" t="s">
        <v>2237</v>
      </c>
      <c r="D2271" s="72">
        <v>5405</v>
      </c>
      <c r="E2271" s="68" t="s">
        <v>3709</v>
      </c>
      <c r="F2271" s="68" t="s">
        <v>560</v>
      </c>
      <c r="G2271" s="109">
        <v>4300021652</v>
      </c>
      <c r="H2271" s="70">
        <v>43221</v>
      </c>
      <c r="I2271" s="34" t="s">
        <v>2114</v>
      </c>
      <c r="J2271" s="74">
        <v>248</v>
      </c>
      <c r="K2271" t="s">
        <v>2030</v>
      </c>
    </row>
    <row r="2272" spans="1:11" x14ac:dyDescent="0.3">
      <c r="A2272" t="s">
        <v>812</v>
      </c>
      <c r="B2272" s="33">
        <v>43262</v>
      </c>
      <c r="C2272" s="34" t="s">
        <v>2237</v>
      </c>
      <c r="D2272" s="71">
        <v>5405</v>
      </c>
      <c r="E2272" s="68" t="s">
        <v>3709</v>
      </c>
      <c r="F2272" s="68" t="s">
        <v>561</v>
      </c>
      <c r="G2272" s="108">
        <v>4300021652</v>
      </c>
      <c r="H2272" s="70">
        <v>43221</v>
      </c>
      <c r="I2272" s="34" t="s">
        <v>2114</v>
      </c>
      <c r="J2272" s="73">
        <v>248</v>
      </c>
      <c r="K2272" t="s">
        <v>2030</v>
      </c>
    </row>
    <row r="2273" spans="1:11" x14ac:dyDescent="0.3">
      <c r="A2273" t="s">
        <v>812</v>
      </c>
      <c r="B2273" s="33">
        <v>43262</v>
      </c>
      <c r="C2273" s="34" t="s">
        <v>2237</v>
      </c>
      <c r="D2273" s="72">
        <v>5405</v>
      </c>
      <c r="E2273" s="68" t="s">
        <v>3709</v>
      </c>
      <c r="F2273" s="68" t="s">
        <v>562</v>
      </c>
      <c r="G2273" s="109">
        <v>4300021652</v>
      </c>
      <c r="H2273" s="70">
        <v>43221</v>
      </c>
      <c r="I2273" s="34" t="s">
        <v>2114</v>
      </c>
      <c r="J2273" s="74">
        <v>248</v>
      </c>
      <c r="K2273" t="s">
        <v>2030</v>
      </c>
    </row>
    <row r="2274" spans="1:11" x14ac:dyDescent="0.3">
      <c r="A2274" t="s">
        <v>812</v>
      </c>
      <c r="B2274" s="33">
        <v>43262</v>
      </c>
      <c r="C2274" s="34" t="s">
        <v>2237</v>
      </c>
      <c r="D2274" s="71">
        <v>5405</v>
      </c>
      <c r="E2274" s="68" t="s">
        <v>3709</v>
      </c>
      <c r="F2274" s="68" t="s">
        <v>563</v>
      </c>
      <c r="G2274" s="108">
        <v>4300021652</v>
      </c>
      <c r="H2274" s="70">
        <v>43221</v>
      </c>
      <c r="I2274" s="34" t="s">
        <v>2114</v>
      </c>
      <c r="J2274" s="73">
        <v>248</v>
      </c>
      <c r="K2274" t="s">
        <v>2030</v>
      </c>
    </row>
    <row r="2275" spans="1:11" x14ac:dyDescent="0.3">
      <c r="A2275" t="s">
        <v>812</v>
      </c>
      <c r="B2275" s="33">
        <v>43262</v>
      </c>
      <c r="C2275" s="34" t="s">
        <v>2237</v>
      </c>
      <c r="D2275" s="72">
        <v>5405</v>
      </c>
      <c r="E2275" s="68" t="s">
        <v>3709</v>
      </c>
      <c r="F2275" s="68" t="s">
        <v>564</v>
      </c>
      <c r="G2275" s="109">
        <v>4300021652</v>
      </c>
      <c r="H2275" s="70">
        <v>43221</v>
      </c>
      <c r="I2275" s="34" t="s">
        <v>2114</v>
      </c>
      <c r="J2275" s="74">
        <v>248</v>
      </c>
      <c r="K2275" t="s">
        <v>2030</v>
      </c>
    </row>
    <row r="2276" spans="1:11" x14ac:dyDescent="0.3">
      <c r="A2276" t="s">
        <v>812</v>
      </c>
      <c r="B2276" s="33">
        <v>43262</v>
      </c>
      <c r="C2276" s="34" t="s">
        <v>2237</v>
      </c>
      <c r="D2276" s="71">
        <v>5405</v>
      </c>
      <c r="E2276" s="68" t="s">
        <v>3709</v>
      </c>
      <c r="F2276" s="68" t="s">
        <v>565</v>
      </c>
      <c r="G2276" s="108">
        <v>4300021652</v>
      </c>
      <c r="H2276" s="70">
        <v>43221</v>
      </c>
      <c r="I2276" s="34" t="s">
        <v>2114</v>
      </c>
      <c r="J2276" s="73">
        <v>248</v>
      </c>
      <c r="K2276" t="s">
        <v>2030</v>
      </c>
    </row>
    <row r="2277" spans="1:11" x14ac:dyDescent="0.3">
      <c r="A2277" t="s">
        <v>812</v>
      </c>
      <c r="B2277" s="33">
        <v>43262</v>
      </c>
      <c r="C2277" s="34" t="s">
        <v>2237</v>
      </c>
      <c r="D2277" s="72">
        <v>5405</v>
      </c>
      <c r="E2277" s="68" t="s">
        <v>3709</v>
      </c>
      <c r="F2277" s="68" t="s">
        <v>566</v>
      </c>
      <c r="G2277" s="109">
        <v>4300021652</v>
      </c>
      <c r="H2277" s="70">
        <v>43221</v>
      </c>
      <c r="I2277" s="34" t="s">
        <v>2114</v>
      </c>
      <c r="J2277" s="74">
        <v>248</v>
      </c>
      <c r="K2277" t="s">
        <v>2030</v>
      </c>
    </row>
    <row r="2278" spans="1:11" x14ac:dyDescent="0.3">
      <c r="A2278" t="s">
        <v>812</v>
      </c>
      <c r="B2278" s="33">
        <v>43262</v>
      </c>
      <c r="C2278" s="34" t="s">
        <v>2237</v>
      </c>
      <c r="D2278" s="71">
        <v>5405</v>
      </c>
      <c r="E2278" s="68" t="s">
        <v>3709</v>
      </c>
      <c r="F2278" s="68" t="s">
        <v>567</v>
      </c>
      <c r="G2278" s="108">
        <v>4300021652</v>
      </c>
      <c r="H2278" s="70">
        <v>43221</v>
      </c>
      <c r="I2278" s="34" t="s">
        <v>2114</v>
      </c>
      <c r="J2278" s="73">
        <v>248</v>
      </c>
      <c r="K2278" t="s">
        <v>2030</v>
      </c>
    </row>
    <row r="2279" spans="1:11" x14ac:dyDescent="0.3">
      <c r="A2279" t="s">
        <v>812</v>
      </c>
      <c r="B2279" s="33">
        <v>43262</v>
      </c>
      <c r="C2279" s="34" t="s">
        <v>2237</v>
      </c>
      <c r="D2279" s="72">
        <v>5405</v>
      </c>
      <c r="E2279" s="68" t="s">
        <v>3709</v>
      </c>
      <c r="F2279" s="68" t="s">
        <v>568</v>
      </c>
      <c r="G2279" s="109">
        <v>4300021652</v>
      </c>
      <c r="H2279" s="70">
        <v>43221</v>
      </c>
      <c r="I2279" s="34" t="s">
        <v>2114</v>
      </c>
      <c r="J2279" s="74">
        <v>248</v>
      </c>
      <c r="K2279" t="s">
        <v>2030</v>
      </c>
    </row>
    <row r="2280" spans="1:11" x14ac:dyDescent="0.3">
      <c r="A2280" t="s">
        <v>812</v>
      </c>
      <c r="B2280" s="33">
        <v>43262</v>
      </c>
      <c r="C2280" s="34" t="s">
        <v>2237</v>
      </c>
      <c r="D2280" s="71">
        <v>5405</v>
      </c>
      <c r="E2280" s="68" t="s">
        <v>3709</v>
      </c>
      <c r="F2280" s="68" t="s">
        <v>569</v>
      </c>
      <c r="G2280" s="108">
        <v>4300021652</v>
      </c>
      <c r="H2280" s="70">
        <v>43221</v>
      </c>
      <c r="I2280" s="34" t="s">
        <v>2114</v>
      </c>
      <c r="J2280" s="73">
        <v>248</v>
      </c>
      <c r="K2280" t="s">
        <v>2030</v>
      </c>
    </row>
    <row r="2281" spans="1:11" x14ac:dyDescent="0.3">
      <c r="A2281" t="s">
        <v>812</v>
      </c>
      <c r="B2281" s="33">
        <v>43262</v>
      </c>
      <c r="C2281" s="34" t="s">
        <v>2237</v>
      </c>
      <c r="D2281" s="72">
        <v>5405</v>
      </c>
      <c r="E2281" s="68" t="s">
        <v>3709</v>
      </c>
      <c r="F2281" s="68" t="s">
        <v>570</v>
      </c>
      <c r="G2281" s="109">
        <v>4300021652</v>
      </c>
      <c r="H2281" s="70">
        <v>43221</v>
      </c>
      <c r="I2281" s="34" t="s">
        <v>2114</v>
      </c>
      <c r="J2281" s="74">
        <v>248</v>
      </c>
      <c r="K2281" t="s">
        <v>2030</v>
      </c>
    </row>
    <row r="2282" spans="1:11" x14ac:dyDescent="0.3">
      <c r="A2282" t="s">
        <v>812</v>
      </c>
      <c r="B2282" s="33">
        <v>43262</v>
      </c>
      <c r="C2282" s="34" t="s">
        <v>2237</v>
      </c>
      <c r="D2282" s="71">
        <v>5405</v>
      </c>
      <c r="E2282" s="68" t="s">
        <v>3709</v>
      </c>
      <c r="F2282" s="68" t="s">
        <v>571</v>
      </c>
      <c r="G2282" s="108">
        <v>4300021652</v>
      </c>
      <c r="H2282" s="70">
        <v>43221</v>
      </c>
      <c r="I2282" s="34" t="s">
        <v>2114</v>
      </c>
      <c r="J2282" s="73">
        <v>248</v>
      </c>
      <c r="K2282" t="s">
        <v>2030</v>
      </c>
    </row>
    <row r="2283" spans="1:11" x14ac:dyDescent="0.3">
      <c r="A2283" t="s">
        <v>812</v>
      </c>
      <c r="B2283" s="33">
        <v>43262</v>
      </c>
      <c r="C2283" s="34" t="s">
        <v>2237</v>
      </c>
      <c r="D2283" s="72">
        <v>5405</v>
      </c>
      <c r="E2283" s="68" t="s">
        <v>3709</v>
      </c>
      <c r="F2283" s="68" t="s">
        <v>572</v>
      </c>
      <c r="G2283" s="109">
        <v>4300021652</v>
      </c>
      <c r="H2283" s="70">
        <v>43221</v>
      </c>
      <c r="I2283" s="34" t="s">
        <v>2114</v>
      </c>
      <c r="J2283" s="74">
        <v>248</v>
      </c>
      <c r="K2283" t="s">
        <v>2030</v>
      </c>
    </row>
    <row r="2284" spans="1:11" x14ac:dyDescent="0.3">
      <c r="A2284" t="s">
        <v>812</v>
      </c>
      <c r="B2284" s="33">
        <v>43262</v>
      </c>
      <c r="C2284" s="34" t="s">
        <v>2237</v>
      </c>
      <c r="D2284" s="71">
        <v>5405</v>
      </c>
      <c r="E2284" s="68" t="s">
        <v>3709</v>
      </c>
      <c r="F2284" s="68" t="s">
        <v>573</v>
      </c>
      <c r="G2284" s="108">
        <v>4300021652</v>
      </c>
      <c r="H2284" s="70">
        <v>43221</v>
      </c>
      <c r="I2284" s="34" t="s">
        <v>2114</v>
      </c>
      <c r="J2284" s="73">
        <v>248</v>
      </c>
      <c r="K2284" t="s">
        <v>2030</v>
      </c>
    </row>
    <row r="2285" spans="1:11" x14ac:dyDescent="0.3">
      <c r="A2285" t="s">
        <v>812</v>
      </c>
      <c r="B2285" s="33">
        <v>43262</v>
      </c>
      <c r="C2285" s="34" t="s">
        <v>2237</v>
      </c>
      <c r="D2285" s="72">
        <v>5405</v>
      </c>
      <c r="E2285" s="68" t="s">
        <v>3709</v>
      </c>
      <c r="F2285" s="68" t="s">
        <v>574</v>
      </c>
      <c r="G2285" s="109">
        <v>4300021652</v>
      </c>
      <c r="H2285" s="70">
        <v>43221</v>
      </c>
      <c r="I2285" s="34" t="s">
        <v>2114</v>
      </c>
      <c r="J2285" s="74">
        <v>248</v>
      </c>
      <c r="K2285" t="s">
        <v>2030</v>
      </c>
    </row>
    <row r="2286" spans="1:11" x14ac:dyDescent="0.3">
      <c r="A2286" t="s">
        <v>812</v>
      </c>
      <c r="B2286" s="33">
        <v>43262</v>
      </c>
      <c r="C2286" s="34" t="s">
        <v>2237</v>
      </c>
      <c r="D2286" s="71">
        <v>5405</v>
      </c>
      <c r="E2286" s="68" t="s">
        <v>3709</v>
      </c>
      <c r="F2286" s="68" t="s">
        <v>575</v>
      </c>
      <c r="G2286" s="108">
        <v>4300021652</v>
      </c>
      <c r="H2286" s="70">
        <v>43221</v>
      </c>
      <c r="I2286" s="34" t="s">
        <v>2114</v>
      </c>
      <c r="J2286" s="73">
        <v>248</v>
      </c>
      <c r="K2286" t="s">
        <v>2030</v>
      </c>
    </row>
    <row r="2287" spans="1:11" x14ac:dyDescent="0.3">
      <c r="A2287" t="s">
        <v>812</v>
      </c>
      <c r="B2287" s="33">
        <v>43262</v>
      </c>
      <c r="C2287" s="34" t="s">
        <v>2237</v>
      </c>
      <c r="D2287" s="72">
        <v>5405</v>
      </c>
      <c r="E2287" s="68" t="s">
        <v>3709</v>
      </c>
      <c r="F2287" s="68" t="s">
        <v>576</v>
      </c>
      <c r="G2287" s="109">
        <v>4300021652</v>
      </c>
      <c r="H2287" s="70">
        <v>43221</v>
      </c>
      <c r="I2287" s="34" t="s">
        <v>2114</v>
      </c>
      <c r="J2287" s="74">
        <v>248</v>
      </c>
      <c r="K2287" t="s">
        <v>2030</v>
      </c>
    </row>
    <row r="2288" spans="1:11" x14ac:dyDescent="0.3">
      <c r="A2288" t="s">
        <v>812</v>
      </c>
      <c r="B2288" s="33">
        <v>43262</v>
      </c>
      <c r="C2288" s="34" t="s">
        <v>2237</v>
      </c>
      <c r="D2288" s="71">
        <v>5405</v>
      </c>
      <c r="E2288" s="68" t="s">
        <v>3709</v>
      </c>
      <c r="F2288" s="68" t="s">
        <v>577</v>
      </c>
      <c r="G2288" s="108">
        <v>4300021652</v>
      </c>
      <c r="H2288" s="70">
        <v>43221</v>
      </c>
      <c r="I2288" s="34" t="s">
        <v>2114</v>
      </c>
      <c r="J2288" s="73">
        <v>248</v>
      </c>
      <c r="K2288" t="s">
        <v>2030</v>
      </c>
    </row>
    <row r="2289" spans="1:11" x14ac:dyDescent="0.3">
      <c r="A2289" t="s">
        <v>812</v>
      </c>
      <c r="B2289" s="33">
        <v>43262</v>
      </c>
      <c r="C2289" s="34" t="s">
        <v>2237</v>
      </c>
      <c r="D2289" s="72">
        <v>5405</v>
      </c>
      <c r="E2289" s="68" t="s">
        <v>3709</v>
      </c>
      <c r="F2289" s="68" t="s">
        <v>578</v>
      </c>
      <c r="G2289" s="109">
        <v>4300021652</v>
      </c>
      <c r="H2289" s="70">
        <v>43221</v>
      </c>
      <c r="I2289" s="34" t="s">
        <v>2114</v>
      </c>
      <c r="J2289" s="74">
        <v>248</v>
      </c>
      <c r="K2289" t="s">
        <v>2030</v>
      </c>
    </row>
    <row r="2290" spans="1:11" x14ac:dyDescent="0.3">
      <c r="A2290" t="s">
        <v>812</v>
      </c>
      <c r="B2290" s="33">
        <v>43262</v>
      </c>
      <c r="C2290" s="34" t="s">
        <v>2237</v>
      </c>
      <c r="D2290" s="71">
        <v>5405</v>
      </c>
      <c r="E2290" s="68" t="s">
        <v>3709</v>
      </c>
      <c r="F2290" s="68" t="s">
        <v>579</v>
      </c>
      <c r="G2290" s="108">
        <v>4300021652</v>
      </c>
      <c r="H2290" s="70">
        <v>43221</v>
      </c>
      <c r="I2290" s="34" t="s">
        <v>2114</v>
      </c>
      <c r="J2290" s="73">
        <v>502.2</v>
      </c>
      <c r="K2290" t="s">
        <v>2030</v>
      </c>
    </row>
    <row r="2291" spans="1:11" x14ac:dyDescent="0.3">
      <c r="A2291" t="s">
        <v>812</v>
      </c>
      <c r="B2291" s="33">
        <v>43262</v>
      </c>
      <c r="C2291" s="34" t="s">
        <v>2237</v>
      </c>
      <c r="D2291" s="72">
        <v>5405</v>
      </c>
      <c r="E2291" s="68" t="s">
        <v>3709</v>
      </c>
      <c r="F2291" s="68" t="s">
        <v>580</v>
      </c>
      <c r="G2291" s="109">
        <v>4300021652</v>
      </c>
      <c r="H2291" s="70">
        <v>43221</v>
      </c>
      <c r="I2291" s="34" t="s">
        <v>2114</v>
      </c>
      <c r="J2291" s="74">
        <v>372.6</v>
      </c>
      <c r="K2291" t="s">
        <v>2030</v>
      </c>
    </row>
    <row r="2292" spans="1:11" x14ac:dyDescent="0.3">
      <c r="A2292" t="s">
        <v>812</v>
      </c>
      <c r="B2292" s="33">
        <v>43262</v>
      </c>
      <c r="C2292" s="34" t="s">
        <v>2237</v>
      </c>
      <c r="D2292" s="71">
        <v>5405</v>
      </c>
      <c r="E2292" s="68" t="s">
        <v>3709</v>
      </c>
      <c r="F2292" s="68" t="s">
        <v>581</v>
      </c>
      <c r="G2292" s="108">
        <v>4300021652</v>
      </c>
      <c r="H2292" s="70">
        <v>43221</v>
      </c>
      <c r="I2292" s="34" t="s">
        <v>2114</v>
      </c>
      <c r="J2292" s="73">
        <v>90</v>
      </c>
      <c r="K2292" t="s">
        <v>2030</v>
      </c>
    </row>
    <row r="2293" spans="1:11" x14ac:dyDescent="0.3">
      <c r="A2293" t="s">
        <v>812</v>
      </c>
      <c r="B2293" s="33">
        <v>43262</v>
      </c>
      <c r="C2293" s="34" t="s">
        <v>2237</v>
      </c>
      <c r="D2293" s="72">
        <v>5405</v>
      </c>
      <c r="E2293" s="68" t="s">
        <v>3709</v>
      </c>
      <c r="F2293" s="68" t="s">
        <v>582</v>
      </c>
      <c r="G2293" s="109">
        <v>4300021652</v>
      </c>
      <c r="H2293" s="70">
        <v>43221</v>
      </c>
      <c r="I2293" s="34" t="s">
        <v>2114</v>
      </c>
      <c r="J2293" s="74">
        <v>243</v>
      </c>
      <c r="K2293" t="s">
        <v>2030</v>
      </c>
    </row>
    <row r="2294" spans="1:11" x14ac:dyDescent="0.3">
      <c r="A2294" t="s">
        <v>812</v>
      </c>
      <c r="B2294" s="33">
        <v>43262</v>
      </c>
      <c r="C2294" s="34" t="s">
        <v>2237</v>
      </c>
      <c r="D2294" s="71">
        <v>5405</v>
      </c>
      <c r="E2294" s="68" t="s">
        <v>3709</v>
      </c>
      <c r="F2294" s="68" t="s">
        <v>583</v>
      </c>
      <c r="G2294" s="108">
        <v>4300021652</v>
      </c>
      <c r="H2294" s="70">
        <v>43221</v>
      </c>
      <c r="I2294" s="34" t="s">
        <v>2114</v>
      </c>
      <c r="J2294" s="73">
        <v>248</v>
      </c>
      <c r="K2294" t="s">
        <v>2030</v>
      </c>
    </row>
    <row r="2295" spans="1:11" x14ac:dyDescent="0.3">
      <c r="A2295" t="s">
        <v>812</v>
      </c>
      <c r="B2295" s="33">
        <v>43262</v>
      </c>
      <c r="C2295" s="34" t="s">
        <v>2237</v>
      </c>
      <c r="D2295" s="72">
        <v>5405</v>
      </c>
      <c r="E2295" s="68" t="s">
        <v>3709</v>
      </c>
      <c r="F2295" s="68" t="s">
        <v>584</v>
      </c>
      <c r="G2295" s="109">
        <v>4300021652</v>
      </c>
      <c r="H2295" s="70">
        <v>43221</v>
      </c>
      <c r="I2295" s="34" t="s">
        <v>2114</v>
      </c>
      <c r="J2295" s="74">
        <v>248</v>
      </c>
      <c r="K2295" t="s">
        <v>2030</v>
      </c>
    </row>
    <row r="2296" spans="1:11" x14ac:dyDescent="0.3">
      <c r="A2296" t="s">
        <v>812</v>
      </c>
      <c r="B2296" s="33">
        <v>43262</v>
      </c>
      <c r="C2296" s="34" t="s">
        <v>2237</v>
      </c>
      <c r="D2296" s="71">
        <v>5405</v>
      </c>
      <c r="E2296" s="68" t="s">
        <v>3709</v>
      </c>
      <c r="F2296" s="68" t="s">
        <v>585</v>
      </c>
      <c r="G2296" s="108">
        <v>4300021652</v>
      </c>
      <c r="H2296" s="70">
        <v>43221</v>
      </c>
      <c r="I2296" s="34" t="s">
        <v>2114</v>
      </c>
      <c r="J2296" s="73">
        <v>248</v>
      </c>
      <c r="K2296" t="s">
        <v>2030</v>
      </c>
    </row>
    <row r="2297" spans="1:11" x14ac:dyDescent="0.3">
      <c r="A2297" t="s">
        <v>812</v>
      </c>
      <c r="B2297" s="33">
        <v>43262</v>
      </c>
      <c r="C2297" s="34" t="s">
        <v>2237</v>
      </c>
      <c r="D2297" s="72">
        <v>5405</v>
      </c>
      <c r="E2297" s="68" t="s">
        <v>3709</v>
      </c>
      <c r="F2297" s="68" t="s">
        <v>586</v>
      </c>
      <c r="G2297" s="109">
        <v>4300021652</v>
      </c>
      <c r="H2297" s="70">
        <v>43221</v>
      </c>
      <c r="I2297" s="34" t="s">
        <v>2114</v>
      </c>
      <c r="J2297" s="74">
        <v>248</v>
      </c>
      <c r="K2297" t="s">
        <v>2030</v>
      </c>
    </row>
    <row r="2298" spans="1:11" x14ac:dyDescent="0.3">
      <c r="A2298" t="s">
        <v>812</v>
      </c>
      <c r="B2298" s="33">
        <v>43262</v>
      </c>
      <c r="C2298" s="34" t="s">
        <v>2237</v>
      </c>
      <c r="D2298" s="71">
        <v>5405</v>
      </c>
      <c r="E2298" s="68" t="s">
        <v>3709</v>
      </c>
      <c r="F2298" s="68" t="s">
        <v>587</v>
      </c>
      <c r="G2298" s="108">
        <v>4300021652</v>
      </c>
      <c r="H2298" s="70">
        <v>43221</v>
      </c>
      <c r="I2298" s="34" t="s">
        <v>2114</v>
      </c>
      <c r="J2298" s="73">
        <v>248</v>
      </c>
      <c r="K2298" t="s">
        <v>2030</v>
      </c>
    </row>
    <row r="2299" spans="1:11" x14ac:dyDescent="0.3">
      <c r="A2299" t="s">
        <v>812</v>
      </c>
      <c r="B2299" s="33">
        <v>43262</v>
      </c>
      <c r="C2299" s="34" t="s">
        <v>2237</v>
      </c>
      <c r="D2299" s="72">
        <v>5405</v>
      </c>
      <c r="E2299" s="68" t="s">
        <v>3709</v>
      </c>
      <c r="F2299" s="68" t="s">
        <v>588</v>
      </c>
      <c r="G2299" s="109">
        <v>4300021652</v>
      </c>
      <c r="H2299" s="70">
        <v>43221</v>
      </c>
      <c r="I2299" s="34" t="s">
        <v>2114</v>
      </c>
      <c r="J2299" s="74">
        <v>248</v>
      </c>
      <c r="K2299" t="s">
        <v>2030</v>
      </c>
    </row>
    <row r="2300" spans="1:11" x14ac:dyDescent="0.3">
      <c r="A2300" t="s">
        <v>812</v>
      </c>
      <c r="B2300" s="33">
        <v>43262</v>
      </c>
      <c r="C2300" s="34" t="s">
        <v>2237</v>
      </c>
      <c r="D2300" s="71">
        <v>5405</v>
      </c>
      <c r="E2300" s="68" t="s">
        <v>3709</v>
      </c>
      <c r="F2300" s="68" t="s">
        <v>589</v>
      </c>
      <c r="G2300" s="108">
        <v>4300021652</v>
      </c>
      <c r="H2300" s="70">
        <v>43221</v>
      </c>
      <c r="I2300" s="34" t="s">
        <v>2114</v>
      </c>
      <c r="J2300" s="73">
        <v>248</v>
      </c>
      <c r="K2300" t="s">
        <v>2030</v>
      </c>
    </row>
    <row r="2301" spans="1:11" x14ac:dyDescent="0.3">
      <c r="A2301" t="s">
        <v>812</v>
      </c>
      <c r="B2301" s="33">
        <v>43262</v>
      </c>
      <c r="C2301" s="34" t="s">
        <v>2237</v>
      </c>
      <c r="D2301" s="72">
        <v>5405</v>
      </c>
      <c r="E2301" s="68" t="s">
        <v>3709</v>
      </c>
      <c r="F2301" s="68" t="s">
        <v>1321</v>
      </c>
      <c r="G2301" s="109">
        <v>4300021652</v>
      </c>
      <c r="H2301" s="70">
        <v>43221</v>
      </c>
      <c r="I2301" s="34" t="s">
        <v>2114</v>
      </c>
      <c r="J2301" s="74">
        <v>248</v>
      </c>
      <c r="K2301" t="s">
        <v>2030</v>
      </c>
    </row>
    <row r="2302" spans="1:11" x14ac:dyDescent="0.3">
      <c r="A2302" t="s">
        <v>812</v>
      </c>
      <c r="B2302" s="33">
        <v>43262</v>
      </c>
      <c r="C2302" s="34" t="s">
        <v>2237</v>
      </c>
      <c r="D2302" s="71">
        <v>5405</v>
      </c>
      <c r="E2302" s="68" t="s">
        <v>3709</v>
      </c>
      <c r="F2302" s="68" t="s">
        <v>1322</v>
      </c>
      <c r="G2302" s="108">
        <v>4300021652</v>
      </c>
      <c r="H2302" s="70">
        <v>43221</v>
      </c>
      <c r="I2302" s="34" t="s">
        <v>2114</v>
      </c>
      <c r="J2302" s="73">
        <v>248</v>
      </c>
      <c r="K2302" t="s">
        <v>2030</v>
      </c>
    </row>
    <row r="2303" spans="1:11" x14ac:dyDescent="0.3">
      <c r="A2303" t="s">
        <v>812</v>
      </c>
      <c r="B2303" s="33">
        <v>43262</v>
      </c>
      <c r="C2303" s="34" t="s">
        <v>2237</v>
      </c>
      <c r="D2303" s="72">
        <v>5405</v>
      </c>
      <c r="E2303" s="68" t="s">
        <v>3709</v>
      </c>
      <c r="F2303" s="68" t="s">
        <v>1323</v>
      </c>
      <c r="G2303" s="109">
        <v>4300021652</v>
      </c>
      <c r="H2303" s="70">
        <v>43221</v>
      </c>
      <c r="I2303" s="34" t="s">
        <v>2114</v>
      </c>
      <c r="J2303" s="74">
        <v>248</v>
      </c>
      <c r="K2303" t="s">
        <v>2030</v>
      </c>
    </row>
    <row r="2304" spans="1:11" x14ac:dyDescent="0.3">
      <c r="A2304" t="s">
        <v>812</v>
      </c>
      <c r="B2304" s="33">
        <v>43262</v>
      </c>
      <c r="C2304" s="34" t="s">
        <v>2237</v>
      </c>
      <c r="D2304" s="71">
        <v>5405</v>
      </c>
      <c r="E2304" s="68" t="s">
        <v>3709</v>
      </c>
      <c r="F2304" s="68" t="s">
        <v>1324</v>
      </c>
      <c r="G2304" s="108">
        <v>4300021652</v>
      </c>
      <c r="H2304" s="70">
        <v>43221</v>
      </c>
      <c r="I2304" s="34" t="s">
        <v>2114</v>
      </c>
      <c r="J2304" s="73">
        <v>248</v>
      </c>
      <c r="K2304" t="s">
        <v>2030</v>
      </c>
    </row>
    <row r="2305" spans="1:11" x14ac:dyDescent="0.3">
      <c r="A2305" t="s">
        <v>812</v>
      </c>
      <c r="B2305" s="33">
        <v>43262</v>
      </c>
      <c r="C2305" s="34" t="s">
        <v>2237</v>
      </c>
      <c r="D2305" s="72">
        <v>5405</v>
      </c>
      <c r="E2305" s="68" t="s">
        <v>3709</v>
      </c>
      <c r="F2305" s="68" t="s">
        <v>1325</v>
      </c>
      <c r="G2305" s="109">
        <v>4300021652</v>
      </c>
      <c r="H2305" s="70">
        <v>43221</v>
      </c>
      <c r="I2305" s="34" t="s">
        <v>2114</v>
      </c>
      <c r="J2305" s="74">
        <v>248</v>
      </c>
      <c r="K2305" t="s">
        <v>2030</v>
      </c>
    </row>
    <row r="2306" spans="1:11" x14ac:dyDescent="0.3">
      <c r="A2306" t="s">
        <v>1550</v>
      </c>
      <c r="B2306" s="33">
        <v>43262</v>
      </c>
      <c r="C2306" s="76">
        <v>13808000597071</v>
      </c>
      <c r="D2306" s="135">
        <v>2000</v>
      </c>
      <c r="E2306" s="137" t="s">
        <v>3704</v>
      </c>
      <c r="F2306" s="137" t="s">
        <v>1542</v>
      </c>
      <c r="G2306" s="139"/>
      <c r="H2306" s="33">
        <v>43221</v>
      </c>
      <c r="I2306" s="34">
        <v>1700127439</v>
      </c>
      <c r="J2306" s="142">
        <v>178.25</v>
      </c>
      <c r="K2306" t="s">
        <v>2030</v>
      </c>
    </row>
    <row r="2307" spans="1:11" x14ac:dyDescent="0.3">
      <c r="A2307" t="s">
        <v>1550</v>
      </c>
      <c r="B2307" s="33">
        <v>43262</v>
      </c>
      <c r="C2307" s="76">
        <v>13808000597071</v>
      </c>
      <c r="D2307" s="135">
        <v>2000</v>
      </c>
      <c r="E2307" s="137" t="s">
        <v>3704</v>
      </c>
      <c r="F2307" s="137" t="s">
        <v>1543</v>
      </c>
      <c r="G2307" s="139"/>
      <c r="H2307" s="33">
        <v>43221</v>
      </c>
      <c r="I2307" s="34">
        <v>1700127436</v>
      </c>
      <c r="J2307" s="142">
        <v>178.25</v>
      </c>
      <c r="K2307" t="s">
        <v>2030</v>
      </c>
    </row>
    <row r="2308" spans="1:11" x14ac:dyDescent="0.3">
      <c r="A2308" t="s">
        <v>1550</v>
      </c>
      <c r="B2308" s="33">
        <v>43262</v>
      </c>
      <c r="C2308" s="76">
        <v>13808000597071</v>
      </c>
      <c r="D2308" s="135">
        <v>2000</v>
      </c>
      <c r="E2308" s="137" t="s">
        <v>3704</v>
      </c>
      <c r="F2308" s="137" t="s">
        <v>1541</v>
      </c>
      <c r="G2308" s="139"/>
      <c r="H2308" s="33">
        <v>43221</v>
      </c>
      <c r="I2308" s="34">
        <v>1700127432</v>
      </c>
      <c r="J2308" s="142">
        <v>178.25</v>
      </c>
      <c r="K2308" t="s">
        <v>2030</v>
      </c>
    </row>
    <row r="2309" spans="1:11" x14ac:dyDescent="0.3">
      <c r="A2309" t="s">
        <v>1550</v>
      </c>
      <c r="B2309" s="33">
        <v>43262</v>
      </c>
      <c r="C2309" s="76">
        <v>13808000597071</v>
      </c>
      <c r="D2309" s="135">
        <v>2000</v>
      </c>
      <c r="E2309" s="137" t="s">
        <v>3704</v>
      </c>
      <c r="F2309" s="137" t="s">
        <v>1544</v>
      </c>
      <c r="G2309" s="139"/>
      <c r="H2309" s="33">
        <v>43221</v>
      </c>
      <c r="I2309" s="34">
        <v>1700127460</v>
      </c>
      <c r="J2309" s="142">
        <v>279</v>
      </c>
      <c r="K2309" t="s">
        <v>2030</v>
      </c>
    </row>
    <row r="2310" spans="1:11" x14ac:dyDescent="0.3">
      <c r="A2310" t="s">
        <v>1550</v>
      </c>
      <c r="B2310" s="33">
        <v>43262</v>
      </c>
      <c r="C2310" s="76">
        <v>13808000597071</v>
      </c>
      <c r="D2310" s="135">
        <v>2000</v>
      </c>
      <c r="E2310" s="137" t="s">
        <v>3704</v>
      </c>
      <c r="F2310" s="137" t="s">
        <v>1545</v>
      </c>
      <c r="G2310" s="139"/>
      <c r="H2310" s="33">
        <v>43221</v>
      </c>
      <c r="I2310" s="34">
        <v>1700127458</v>
      </c>
      <c r="J2310" s="142">
        <v>496</v>
      </c>
      <c r="K2310" t="s">
        <v>2030</v>
      </c>
    </row>
    <row r="2311" spans="1:11" x14ac:dyDescent="0.3">
      <c r="A2311" t="s">
        <v>1550</v>
      </c>
      <c r="B2311" s="33">
        <v>43262</v>
      </c>
      <c r="C2311" s="76">
        <v>13808000597071</v>
      </c>
      <c r="D2311" s="135">
        <v>2000</v>
      </c>
      <c r="E2311" s="137" t="s">
        <v>3704</v>
      </c>
      <c r="F2311" s="137" t="s">
        <v>1540</v>
      </c>
      <c r="G2311" s="139"/>
      <c r="H2311" s="33">
        <v>43221</v>
      </c>
      <c r="I2311" s="34">
        <v>1700127445</v>
      </c>
      <c r="J2311" s="142">
        <v>178.25</v>
      </c>
      <c r="K2311" t="s">
        <v>2030</v>
      </c>
    </row>
    <row r="2312" spans="1:11" x14ac:dyDescent="0.3">
      <c r="A2312" t="s">
        <v>1550</v>
      </c>
      <c r="B2312" s="33">
        <v>43262</v>
      </c>
      <c r="C2312" s="76">
        <v>13808000597073</v>
      </c>
      <c r="D2312" s="135">
        <v>1</v>
      </c>
      <c r="E2312" s="137" t="s">
        <v>3704</v>
      </c>
      <c r="F2312" s="137" t="s">
        <v>1430</v>
      </c>
      <c r="G2312" s="139"/>
      <c r="H2312" s="33">
        <v>43221</v>
      </c>
      <c r="I2312" s="34">
        <v>1700582151</v>
      </c>
      <c r="J2312" s="142">
        <v>232.5</v>
      </c>
      <c r="K2312" t="s">
        <v>2030</v>
      </c>
    </row>
    <row r="2313" spans="1:11" x14ac:dyDescent="0.3">
      <c r="A2313" t="s">
        <v>1550</v>
      </c>
      <c r="B2313" s="33">
        <v>43262</v>
      </c>
      <c r="C2313" s="76">
        <v>13808000597073</v>
      </c>
      <c r="D2313" s="135">
        <v>1</v>
      </c>
      <c r="E2313" s="137" t="s">
        <v>3704</v>
      </c>
      <c r="F2313" s="137" t="s">
        <v>1427</v>
      </c>
      <c r="G2313" s="139"/>
      <c r="H2313" s="33">
        <v>43221</v>
      </c>
      <c r="I2313" s="34">
        <v>1700582150</v>
      </c>
      <c r="J2313" s="142">
        <v>232.5</v>
      </c>
      <c r="K2313" t="s">
        <v>2030</v>
      </c>
    </row>
    <row r="2314" spans="1:11" x14ac:dyDescent="0.3">
      <c r="A2314" t="s">
        <v>1550</v>
      </c>
      <c r="B2314" s="33">
        <v>43262</v>
      </c>
      <c r="C2314" s="76">
        <v>13808000597073</v>
      </c>
      <c r="D2314" s="135">
        <v>1</v>
      </c>
      <c r="E2314" s="137" t="s">
        <v>3704</v>
      </c>
      <c r="F2314" s="137" t="s">
        <v>1428</v>
      </c>
      <c r="G2314" s="139"/>
      <c r="H2314" s="33">
        <v>43221</v>
      </c>
      <c r="I2314" s="34">
        <v>1700582149</v>
      </c>
      <c r="J2314" s="142">
        <v>232.5</v>
      </c>
      <c r="K2314" t="s">
        <v>2030</v>
      </c>
    </row>
    <row r="2315" spans="1:11" x14ac:dyDescent="0.3">
      <c r="A2315" t="s">
        <v>1550</v>
      </c>
      <c r="B2315" s="33">
        <v>43262</v>
      </c>
      <c r="C2315" s="76">
        <v>13808000597073</v>
      </c>
      <c r="D2315" s="135">
        <v>1</v>
      </c>
      <c r="E2315" s="137" t="s">
        <v>3704</v>
      </c>
      <c r="F2315" s="137" t="s">
        <v>1426</v>
      </c>
      <c r="G2315" s="139"/>
      <c r="H2315" s="33">
        <v>43221</v>
      </c>
      <c r="I2315" s="34">
        <v>1700582148</v>
      </c>
      <c r="J2315" s="142">
        <v>232.5</v>
      </c>
      <c r="K2315" t="s">
        <v>2030</v>
      </c>
    </row>
    <row r="2316" spans="1:11" x14ac:dyDescent="0.3">
      <c r="A2316" t="s">
        <v>1550</v>
      </c>
      <c r="B2316" s="33">
        <v>43262</v>
      </c>
      <c r="C2316" s="76">
        <v>13808000597073</v>
      </c>
      <c r="D2316" s="135">
        <v>1</v>
      </c>
      <c r="E2316" s="137" t="s">
        <v>3704</v>
      </c>
      <c r="F2316" s="137" t="s">
        <v>1433</v>
      </c>
      <c r="G2316" s="139"/>
      <c r="H2316" s="33">
        <v>43221</v>
      </c>
      <c r="I2316" s="34">
        <v>1700582147</v>
      </c>
      <c r="J2316" s="142">
        <v>178.25</v>
      </c>
      <c r="K2316" t="s">
        <v>2030</v>
      </c>
    </row>
    <row r="2317" spans="1:11" x14ac:dyDescent="0.3">
      <c r="A2317" t="s">
        <v>1550</v>
      </c>
      <c r="B2317" s="33">
        <v>43262</v>
      </c>
      <c r="C2317" s="76">
        <v>13808000597073</v>
      </c>
      <c r="D2317" s="135">
        <v>1</v>
      </c>
      <c r="E2317" s="137" t="s">
        <v>3704</v>
      </c>
      <c r="F2317" s="137" t="s">
        <v>1431</v>
      </c>
      <c r="G2317" s="139"/>
      <c r="H2317" s="33">
        <v>43221</v>
      </c>
      <c r="I2317" s="34">
        <v>1700582146</v>
      </c>
      <c r="J2317" s="142">
        <v>232.5</v>
      </c>
      <c r="K2317" t="s">
        <v>2030</v>
      </c>
    </row>
    <row r="2318" spans="1:11" x14ac:dyDescent="0.3">
      <c r="A2318" t="s">
        <v>1550</v>
      </c>
      <c r="B2318" s="33">
        <v>43262</v>
      </c>
      <c r="C2318" s="76">
        <v>13808000597073</v>
      </c>
      <c r="D2318" s="135">
        <v>1</v>
      </c>
      <c r="E2318" s="137" t="s">
        <v>3704</v>
      </c>
      <c r="F2318" s="137" t="s">
        <v>1422</v>
      </c>
      <c r="G2318" s="139"/>
      <c r="H2318" s="33">
        <v>43221</v>
      </c>
      <c r="I2318" s="34">
        <v>1700582145</v>
      </c>
      <c r="J2318" s="142">
        <v>232.5</v>
      </c>
      <c r="K2318" t="s">
        <v>2030</v>
      </c>
    </row>
    <row r="2319" spans="1:11" x14ac:dyDescent="0.3">
      <c r="A2319" t="s">
        <v>1550</v>
      </c>
      <c r="B2319" s="33">
        <v>43262</v>
      </c>
      <c r="C2319" s="76">
        <v>13808000597073</v>
      </c>
      <c r="D2319" s="135">
        <v>1</v>
      </c>
      <c r="E2319" s="137" t="s">
        <v>3704</v>
      </c>
      <c r="F2319" s="137" t="s">
        <v>1421</v>
      </c>
      <c r="G2319" s="139"/>
      <c r="H2319" s="33">
        <v>43221</v>
      </c>
      <c r="I2319" s="34">
        <v>1700582144</v>
      </c>
      <c r="J2319" s="142">
        <v>232.5</v>
      </c>
      <c r="K2319" t="s">
        <v>2030</v>
      </c>
    </row>
    <row r="2320" spans="1:11" x14ac:dyDescent="0.3">
      <c r="A2320" t="s">
        <v>1550</v>
      </c>
      <c r="B2320" s="33">
        <v>43262</v>
      </c>
      <c r="C2320" s="76">
        <v>13808000597073</v>
      </c>
      <c r="D2320" s="135">
        <v>1</v>
      </c>
      <c r="E2320" s="137" t="s">
        <v>3704</v>
      </c>
      <c r="F2320" s="137" t="s">
        <v>1424</v>
      </c>
      <c r="G2320" s="139"/>
      <c r="H2320" s="33">
        <v>43221</v>
      </c>
      <c r="I2320" s="34">
        <v>1700582143</v>
      </c>
      <c r="J2320" s="142">
        <v>232.5</v>
      </c>
      <c r="K2320" t="s">
        <v>2030</v>
      </c>
    </row>
    <row r="2321" spans="1:11" x14ac:dyDescent="0.3">
      <c r="A2321" t="s">
        <v>1550</v>
      </c>
      <c r="B2321" s="33">
        <v>43262</v>
      </c>
      <c r="C2321" s="76">
        <v>13808000597073</v>
      </c>
      <c r="D2321" s="135">
        <v>1</v>
      </c>
      <c r="E2321" s="137" t="s">
        <v>3704</v>
      </c>
      <c r="F2321" s="137" t="s">
        <v>1425</v>
      </c>
      <c r="G2321" s="139"/>
      <c r="H2321" s="33">
        <v>43221</v>
      </c>
      <c r="I2321" s="34">
        <v>1700582142</v>
      </c>
      <c r="J2321" s="142">
        <v>232.5</v>
      </c>
      <c r="K2321" t="s">
        <v>2030</v>
      </c>
    </row>
    <row r="2322" spans="1:11" x14ac:dyDescent="0.3">
      <c r="A2322" t="s">
        <v>1550</v>
      </c>
      <c r="B2322" s="33">
        <v>43262</v>
      </c>
      <c r="C2322" s="76">
        <v>13808000597073</v>
      </c>
      <c r="D2322" s="135">
        <v>1</v>
      </c>
      <c r="E2322" s="137" t="s">
        <v>3704</v>
      </c>
      <c r="F2322" s="137" t="s">
        <v>1416</v>
      </c>
      <c r="G2322" s="139"/>
      <c r="H2322" s="33">
        <v>43221</v>
      </c>
      <c r="I2322" s="34">
        <v>1700582141</v>
      </c>
      <c r="J2322" s="142">
        <v>496</v>
      </c>
      <c r="K2322" t="s">
        <v>2030</v>
      </c>
    </row>
    <row r="2323" spans="1:11" x14ac:dyDescent="0.3">
      <c r="A2323" t="s">
        <v>1550</v>
      </c>
      <c r="B2323" s="33">
        <v>43262</v>
      </c>
      <c r="C2323" s="76">
        <v>13808000597073</v>
      </c>
      <c r="D2323" s="135">
        <v>1</v>
      </c>
      <c r="E2323" s="137" t="s">
        <v>3704</v>
      </c>
      <c r="F2323" s="137" t="s">
        <v>1419</v>
      </c>
      <c r="G2323" s="139"/>
      <c r="H2323" s="33">
        <v>43221</v>
      </c>
      <c r="I2323" s="34">
        <v>1700582140</v>
      </c>
      <c r="J2323" s="142">
        <v>240.25</v>
      </c>
      <c r="K2323" t="s">
        <v>2030</v>
      </c>
    </row>
    <row r="2324" spans="1:11" x14ac:dyDescent="0.3">
      <c r="A2324" t="s">
        <v>1550</v>
      </c>
      <c r="B2324" s="33">
        <v>43262</v>
      </c>
      <c r="C2324" s="76">
        <v>13808000597073</v>
      </c>
      <c r="D2324" s="135">
        <v>1</v>
      </c>
      <c r="E2324" s="137" t="s">
        <v>3704</v>
      </c>
      <c r="F2324" s="137" t="s">
        <v>1423</v>
      </c>
      <c r="G2324" s="139"/>
      <c r="H2324" s="33">
        <v>43221</v>
      </c>
      <c r="I2324" s="34">
        <v>1700582139</v>
      </c>
      <c r="J2324" s="142">
        <v>232.5</v>
      </c>
      <c r="K2324" t="s">
        <v>2030</v>
      </c>
    </row>
    <row r="2325" spans="1:11" x14ac:dyDescent="0.3">
      <c r="A2325" t="s">
        <v>1550</v>
      </c>
      <c r="B2325" s="33">
        <v>43262</v>
      </c>
      <c r="C2325" s="76">
        <v>13808000597073</v>
      </c>
      <c r="D2325" s="135">
        <v>1</v>
      </c>
      <c r="E2325" s="137" t="s">
        <v>3704</v>
      </c>
      <c r="F2325" s="137" t="s">
        <v>1410</v>
      </c>
      <c r="G2325" s="139"/>
      <c r="H2325" s="33">
        <v>43221</v>
      </c>
      <c r="I2325" s="34">
        <v>1700582138</v>
      </c>
      <c r="J2325" s="142">
        <v>279</v>
      </c>
      <c r="K2325" t="s">
        <v>2030</v>
      </c>
    </row>
    <row r="2326" spans="1:11" x14ac:dyDescent="0.3">
      <c r="A2326" t="s">
        <v>1550</v>
      </c>
      <c r="B2326" s="33">
        <v>43262</v>
      </c>
      <c r="C2326" s="76">
        <v>13808000597073</v>
      </c>
      <c r="D2326" s="135">
        <v>1</v>
      </c>
      <c r="E2326" s="137" t="s">
        <v>3704</v>
      </c>
      <c r="F2326" s="137" t="s">
        <v>1409</v>
      </c>
      <c r="G2326" s="139"/>
      <c r="H2326" s="33">
        <v>43221</v>
      </c>
      <c r="I2326" s="34">
        <v>1700582137</v>
      </c>
      <c r="J2326" s="142">
        <v>279</v>
      </c>
      <c r="K2326" t="s">
        <v>2030</v>
      </c>
    </row>
    <row r="2327" spans="1:11" x14ac:dyDescent="0.3">
      <c r="A2327" t="s">
        <v>1550</v>
      </c>
      <c r="B2327" s="33">
        <v>43262</v>
      </c>
      <c r="C2327" s="76">
        <v>13808000597073</v>
      </c>
      <c r="D2327" s="135">
        <v>1</v>
      </c>
      <c r="E2327" s="137" t="s">
        <v>3704</v>
      </c>
      <c r="F2327" s="137" t="s">
        <v>1411</v>
      </c>
      <c r="G2327" s="139"/>
      <c r="H2327" s="33">
        <v>43221</v>
      </c>
      <c r="I2327" s="34">
        <v>1700582136</v>
      </c>
      <c r="J2327" s="142">
        <v>279</v>
      </c>
      <c r="K2327" t="s">
        <v>2030</v>
      </c>
    </row>
    <row r="2328" spans="1:11" x14ac:dyDescent="0.3">
      <c r="A2328" t="s">
        <v>1550</v>
      </c>
      <c r="B2328" s="33">
        <v>43262</v>
      </c>
      <c r="C2328" s="76">
        <v>13808000597073</v>
      </c>
      <c r="D2328" s="135">
        <v>1</v>
      </c>
      <c r="E2328" s="137" t="s">
        <v>3704</v>
      </c>
      <c r="F2328" s="137" t="s">
        <v>1417</v>
      </c>
      <c r="G2328" s="139"/>
      <c r="H2328" s="33">
        <v>43221</v>
      </c>
      <c r="I2328" s="34">
        <v>1700582135</v>
      </c>
      <c r="J2328" s="142">
        <v>480.5</v>
      </c>
      <c r="K2328" t="s">
        <v>2030</v>
      </c>
    </row>
    <row r="2329" spans="1:11" x14ac:dyDescent="0.3">
      <c r="A2329" t="s">
        <v>1550</v>
      </c>
      <c r="B2329" s="33">
        <v>43262</v>
      </c>
      <c r="C2329" s="76">
        <v>13808000597073</v>
      </c>
      <c r="D2329" s="135">
        <v>1</v>
      </c>
      <c r="E2329" s="137" t="s">
        <v>3704</v>
      </c>
      <c r="F2329" s="137" t="s">
        <v>1415</v>
      </c>
      <c r="G2329" s="139"/>
      <c r="H2329" s="33">
        <v>43221</v>
      </c>
      <c r="I2329" s="34">
        <v>1700582134</v>
      </c>
      <c r="J2329" s="142">
        <v>496</v>
      </c>
      <c r="K2329" t="s">
        <v>2030</v>
      </c>
    </row>
    <row r="2330" spans="1:11" x14ac:dyDescent="0.3">
      <c r="A2330" t="s">
        <v>1550</v>
      </c>
      <c r="B2330" s="33">
        <v>43262</v>
      </c>
      <c r="C2330" s="76">
        <v>13808000597073</v>
      </c>
      <c r="D2330" s="135">
        <v>1</v>
      </c>
      <c r="E2330" s="137" t="s">
        <v>3704</v>
      </c>
      <c r="F2330" s="137" t="s">
        <v>1413</v>
      </c>
      <c r="G2330" s="139"/>
      <c r="H2330" s="33">
        <v>43221</v>
      </c>
      <c r="I2330" s="34">
        <v>1700582133</v>
      </c>
      <c r="J2330" s="142">
        <v>496</v>
      </c>
      <c r="K2330" t="s">
        <v>2030</v>
      </c>
    </row>
    <row r="2331" spans="1:11" x14ac:dyDescent="0.3">
      <c r="A2331" t="s">
        <v>1550</v>
      </c>
      <c r="B2331" s="33">
        <v>43262</v>
      </c>
      <c r="C2331" s="76">
        <v>13808000597073</v>
      </c>
      <c r="D2331" s="135">
        <v>1</v>
      </c>
      <c r="E2331" s="137" t="s">
        <v>3704</v>
      </c>
      <c r="F2331" s="137" t="s">
        <v>1412</v>
      </c>
      <c r="G2331" s="139"/>
      <c r="H2331" s="33">
        <v>43221</v>
      </c>
      <c r="I2331" s="34">
        <v>1700582132</v>
      </c>
      <c r="J2331" s="142">
        <v>496</v>
      </c>
      <c r="K2331" t="s">
        <v>2030</v>
      </c>
    </row>
    <row r="2332" spans="1:11" x14ac:dyDescent="0.3">
      <c r="A2332" t="s">
        <v>1550</v>
      </c>
      <c r="B2332" s="33">
        <v>43262</v>
      </c>
      <c r="C2332" s="76">
        <v>13808000597073</v>
      </c>
      <c r="D2332" s="135">
        <v>1</v>
      </c>
      <c r="E2332" s="137" t="s">
        <v>3704</v>
      </c>
      <c r="F2332" s="137" t="s">
        <v>1420</v>
      </c>
      <c r="G2332" s="139"/>
      <c r="H2332" s="33">
        <v>43221</v>
      </c>
      <c r="I2332" s="34">
        <v>1700582131</v>
      </c>
      <c r="J2332" s="142">
        <v>232.5</v>
      </c>
      <c r="K2332" t="s">
        <v>2030</v>
      </c>
    </row>
    <row r="2333" spans="1:11" x14ac:dyDescent="0.3">
      <c r="A2333" t="s">
        <v>1550</v>
      </c>
      <c r="B2333" s="33">
        <v>43262</v>
      </c>
      <c r="C2333" s="76">
        <v>13808000597073</v>
      </c>
      <c r="D2333" s="135">
        <v>1</v>
      </c>
      <c r="E2333" s="137" t="s">
        <v>3704</v>
      </c>
      <c r="F2333" s="137" t="s">
        <v>1418</v>
      </c>
      <c r="G2333" s="139"/>
      <c r="H2333" s="33">
        <v>43221</v>
      </c>
      <c r="I2333" s="34">
        <v>1700582130</v>
      </c>
      <c r="J2333" s="142">
        <v>558</v>
      </c>
      <c r="K2333" t="s">
        <v>2030</v>
      </c>
    </row>
    <row r="2334" spans="1:11" x14ac:dyDescent="0.3">
      <c r="A2334" t="s">
        <v>1550</v>
      </c>
      <c r="B2334" s="33">
        <v>43262</v>
      </c>
      <c r="C2334" s="76">
        <v>13808000597073</v>
      </c>
      <c r="D2334" s="135">
        <v>1</v>
      </c>
      <c r="E2334" s="137" t="s">
        <v>3704</v>
      </c>
      <c r="F2334" s="137" t="s">
        <v>1414</v>
      </c>
      <c r="G2334" s="139"/>
      <c r="H2334" s="33">
        <v>43221</v>
      </c>
      <c r="I2334" s="34">
        <v>1700582129</v>
      </c>
      <c r="J2334" s="142">
        <v>496</v>
      </c>
      <c r="K2334" t="s">
        <v>2030</v>
      </c>
    </row>
    <row r="2335" spans="1:11" x14ac:dyDescent="0.3">
      <c r="A2335" t="s">
        <v>1550</v>
      </c>
      <c r="B2335" s="33">
        <v>43262</v>
      </c>
      <c r="C2335" s="76">
        <v>13808000597073</v>
      </c>
      <c r="D2335" s="135">
        <v>1</v>
      </c>
      <c r="E2335" s="137" t="s">
        <v>3704</v>
      </c>
      <c r="F2335" s="137" t="s">
        <v>1402</v>
      </c>
      <c r="G2335" s="139"/>
      <c r="H2335" s="33">
        <v>43221</v>
      </c>
      <c r="I2335" s="34">
        <v>1700582128</v>
      </c>
      <c r="J2335" s="142">
        <v>575.36</v>
      </c>
      <c r="K2335" t="s">
        <v>2030</v>
      </c>
    </row>
    <row r="2336" spans="1:11" x14ac:dyDescent="0.3">
      <c r="A2336" t="s">
        <v>1550</v>
      </c>
      <c r="B2336" s="33">
        <v>43262</v>
      </c>
      <c r="C2336" s="76">
        <v>13808000597073</v>
      </c>
      <c r="D2336" s="135">
        <v>1</v>
      </c>
      <c r="E2336" s="137" t="s">
        <v>3704</v>
      </c>
      <c r="F2336" s="137" t="s">
        <v>1403</v>
      </c>
      <c r="G2336" s="139"/>
      <c r="H2336" s="33">
        <v>43221</v>
      </c>
      <c r="I2336" s="34">
        <v>1700582127</v>
      </c>
      <c r="J2336" s="142">
        <v>575.36</v>
      </c>
      <c r="K2336" t="s">
        <v>2030</v>
      </c>
    </row>
    <row r="2337" spans="1:11" x14ac:dyDescent="0.3">
      <c r="A2337" t="s">
        <v>1550</v>
      </c>
      <c r="B2337" s="33">
        <v>43262</v>
      </c>
      <c r="C2337" s="76">
        <v>13808000597073</v>
      </c>
      <c r="D2337" s="135">
        <v>1</v>
      </c>
      <c r="E2337" s="137" t="s">
        <v>3704</v>
      </c>
      <c r="F2337" s="137" t="s">
        <v>1401</v>
      </c>
      <c r="G2337" s="139"/>
      <c r="H2337" s="33">
        <v>43221</v>
      </c>
      <c r="I2337" s="34">
        <v>1700582126</v>
      </c>
      <c r="J2337" s="142">
        <v>575.36</v>
      </c>
      <c r="K2337" t="s">
        <v>2030</v>
      </c>
    </row>
    <row r="2338" spans="1:11" x14ac:dyDescent="0.3">
      <c r="A2338" t="s">
        <v>1550</v>
      </c>
      <c r="B2338" s="33">
        <v>43262</v>
      </c>
      <c r="C2338" s="76">
        <v>13808000597073</v>
      </c>
      <c r="D2338" s="135">
        <v>1</v>
      </c>
      <c r="E2338" s="137" t="s">
        <v>3704</v>
      </c>
      <c r="F2338" s="137" t="s">
        <v>1399</v>
      </c>
      <c r="G2338" s="139"/>
      <c r="H2338" s="33">
        <v>43221</v>
      </c>
      <c r="I2338" s="34">
        <v>1700582125</v>
      </c>
      <c r="J2338" s="142">
        <v>575.36</v>
      </c>
      <c r="K2338" t="s">
        <v>2030</v>
      </c>
    </row>
    <row r="2339" spans="1:11" x14ac:dyDescent="0.3">
      <c r="A2339" t="s">
        <v>1550</v>
      </c>
      <c r="B2339" s="33">
        <v>43262</v>
      </c>
      <c r="C2339" s="76">
        <v>13808000597073</v>
      </c>
      <c r="D2339" s="135">
        <v>1</v>
      </c>
      <c r="E2339" s="137" t="s">
        <v>3704</v>
      </c>
      <c r="F2339" s="137" t="s">
        <v>1408</v>
      </c>
      <c r="G2339" s="139"/>
      <c r="H2339" s="33">
        <v>43221</v>
      </c>
      <c r="I2339" s="34">
        <v>1700582124</v>
      </c>
      <c r="J2339" s="142">
        <v>279</v>
      </c>
      <c r="K2339" t="s">
        <v>2030</v>
      </c>
    </row>
    <row r="2340" spans="1:11" x14ac:dyDescent="0.3">
      <c r="A2340" t="s">
        <v>1550</v>
      </c>
      <c r="B2340" s="33">
        <v>43262</v>
      </c>
      <c r="C2340" s="76">
        <v>13808000597073</v>
      </c>
      <c r="D2340" s="135">
        <v>1</v>
      </c>
      <c r="E2340" s="137" t="s">
        <v>3704</v>
      </c>
      <c r="F2340" s="137" t="s">
        <v>1406</v>
      </c>
      <c r="G2340" s="139"/>
      <c r="H2340" s="33">
        <v>43221</v>
      </c>
      <c r="I2340" s="34">
        <v>1700582123</v>
      </c>
      <c r="J2340" s="142">
        <v>279</v>
      </c>
      <c r="K2340" t="s">
        <v>2030</v>
      </c>
    </row>
    <row r="2341" spans="1:11" x14ac:dyDescent="0.3">
      <c r="A2341" t="s">
        <v>1550</v>
      </c>
      <c r="B2341" s="33">
        <v>43262</v>
      </c>
      <c r="C2341" s="76">
        <v>13808000597073</v>
      </c>
      <c r="D2341" s="135">
        <v>1</v>
      </c>
      <c r="E2341" s="137" t="s">
        <v>3704</v>
      </c>
      <c r="F2341" s="137" t="s">
        <v>1407</v>
      </c>
      <c r="G2341" s="139"/>
      <c r="H2341" s="33">
        <v>43221</v>
      </c>
      <c r="I2341" s="34">
        <v>1700582122</v>
      </c>
      <c r="J2341" s="142">
        <v>279</v>
      </c>
      <c r="K2341" t="s">
        <v>2030</v>
      </c>
    </row>
    <row r="2342" spans="1:11" x14ac:dyDescent="0.3">
      <c r="A2342" t="s">
        <v>1550</v>
      </c>
      <c r="B2342" s="33">
        <v>43262</v>
      </c>
      <c r="C2342" s="76">
        <v>13808000597073</v>
      </c>
      <c r="D2342" s="135">
        <v>1</v>
      </c>
      <c r="E2342" s="137" t="s">
        <v>3704</v>
      </c>
      <c r="F2342" s="137" t="s">
        <v>1404</v>
      </c>
      <c r="G2342" s="139"/>
      <c r="H2342" s="33">
        <v>43221</v>
      </c>
      <c r="I2342" s="34">
        <v>1700582121</v>
      </c>
      <c r="J2342" s="142">
        <v>575.36</v>
      </c>
      <c r="K2342" t="s">
        <v>2030</v>
      </c>
    </row>
    <row r="2343" spans="1:11" x14ac:dyDescent="0.3">
      <c r="A2343" t="s">
        <v>1550</v>
      </c>
      <c r="B2343" s="33">
        <v>43262</v>
      </c>
      <c r="C2343" s="76">
        <v>13808000597073</v>
      </c>
      <c r="D2343" s="135">
        <v>1</v>
      </c>
      <c r="E2343" s="137" t="s">
        <v>3704</v>
      </c>
      <c r="F2343" s="137" t="s">
        <v>1400</v>
      </c>
      <c r="G2343" s="139"/>
      <c r="H2343" s="33">
        <v>43221</v>
      </c>
      <c r="I2343" s="34">
        <v>1700582120</v>
      </c>
      <c r="J2343" s="142">
        <v>575.36</v>
      </c>
      <c r="K2343" t="s">
        <v>2030</v>
      </c>
    </row>
    <row r="2344" spans="1:11" x14ac:dyDescent="0.3">
      <c r="A2344" t="s">
        <v>1550</v>
      </c>
      <c r="B2344" s="33">
        <v>43262</v>
      </c>
      <c r="C2344" s="76">
        <v>13808000597073</v>
      </c>
      <c r="D2344" s="135">
        <v>1</v>
      </c>
      <c r="E2344" s="137" t="s">
        <v>3704</v>
      </c>
      <c r="F2344" s="137" t="s">
        <v>1397</v>
      </c>
      <c r="G2344" s="139"/>
      <c r="H2344" s="33">
        <v>43221</v>
      </c>
      <c r="I2344" s="34">
        <v>1700582119</v>
      </c>
      <c r="J2344" s="142">
        <v>240.25</v>
      </c>
      <c r="K2344" t="s">
        <v>2030</v>
      </c>
    </row>
    <row r="2345" spans="1:11" x14ac:dyDescent="0.3">
      <c r="A2345" t="s">
        <v>1550</v>
      </c>
      <c r="B2345" s="33">
        <v>43262</v>
      </c>
      <c r="C2345" s="76">
        <v>13808000597073</v>
      </c>
      <c r="D2345" s="135">
        <v>1</v>
      </c>
      <c r="E2345" s="137" t="s">
        <v>3704</v>
      </c>
      <c r="F2345" s="137" t="s">
        <v>1396</v>
      </c>
      <c r="G2345" s="139"/>
      <c r="H2345" s="33">
        <v>43221</v>
      </c>
      <c r="I2345" s="34">
        <v>1700582118</v>
      </c>
      <c r="J2345" s="142">
        <v>240.25</v>
      </c>
      <c r="K2345" t="s">
        <v>2030</v>
      </c>
    </row>
    <row r="2346" spans="1:11" x14ac:dyDescent="0.3">
      <c r="A2346" t="s">
        <v>1550</v>
      </c>
      <c r="B2346" s="33">
        <v>43262</v>
      </c>
      <c r="C2346" s="76">
        <v>13808000597073</v>
      </c>
      <c r="D2346" s="135">
        <v>1</v>
      </c>
      <c r="E2346" s="137" t="s">
        <v>3704</v>
      </c>
      <c r="F2346" s="137" t="s">
        <v>1390</v>
      </c>
      <c r="G2346" s="139"/>
      <c r="H2346" s="33">
        <v>43221</v>
      </c>
      <c r="I2346" s="34">
        <v>1700582117</v>
      </c>
      <c r="J2346" s="142">
        <v>496</v>
      </c>
      <c r="K2346" t="s">
        <v>2030</v>
      </c>
    </row>
    <row r="2347" spans="1:11" x14ac:dyDescent="0.3">
      <c r="A2347" t="s">
        <v>1550</v>
      </c>
      <c r="B2347" s="33">
        <v>43262</v>
      </c>
      <c r="C2347" s="76">
        <v>13808000597073</v>
      </c>
      <c r="D2347" s="135">
        <v>1</v>
      </c>
      <c r="E2347" s="137" t="s">
        <v>3704</v>
      </c>
      <c r="F2347" s="137" t="s">
        <v>1392</v>
      </c>
      <c r="G2347" s="139"/>
      <c r="H2347" s="33">
        <v>43221</v>
      </c>
      <c r="I2347" s="34">
        <v>1700582116</v>
      </c>
      <c r="J2347" s="142">
        <v>496</v>
      </c>
      <c r="K2347" t="s">
        <v>2030</v>
      </c>
    </row>
    <row r="2348" spans="1:11" x14ac:dyDescent="0.3">
      <c r="A2348" t="s">
        <v>1550</v>
      </c>
      <c r="B2348" s="33">
        <v>43262</v>
      </c>
      <c r="C2348" s="76">
        <v>13808000597073</v>
      </c>
      <c r="D2348" s="135">
        <v>1</v>
      </c>
      <c r="E2348" s="137" t="s">
        <v>3704</v>
      </c>
      <c r="F2348" s="137" t="s">
        <v>1398</v>
      </c>
      <c r="G2348" s="139"/>
      <c r="H2348" s="33">
        <v>43221</v>
      </c>
      <c r="I2348" s="34">
        <v>1700582115</v>
      </c>
      <c r="J2348" s="142">
        <v>240.25</v>
      </c>
      <c r="K2348" t="s">
        <v>2030</v>
      </c>
    </row>
    <row r="2349" spans="1:11" x14ac:dyDescent="0.3">
      <c r="A2349" t="s">
        <v>1550</v>
      </c>
      <c r="B2349" s="33">
        <v>43262</v>
      </c>
      <c r="C2349" s="76">
        <v>13808000597073</v>
      </c>
      <c r="D2349" s="135">
        <v>1</v>
      </c>
      <c r="E2349" s="137" t="s">
        <v>3704</v>
      </c>
      <c r="F2349" s="137" t="s">
        <v>1391</v>
      </c>
      <c r="G2349" s="139"/>
      <c r="H2349" s="33">
        <v>43221</v>
      </c>
      <c r="I2349" s="34">
        <v>1700582114</v>
      </c>
      <c r="J2349" s="142">
        <v>496</v>
      </c>
      <c r="K2349" t="s">
        <v>2030</v>
      </c>
    </row>
    <row r="2350" spans="1:11" x14ac:dyDescent="0.3">
      <c r="A2350" t="s">
        <v>1550</v>
      </c>
      <c r="B2350" s="33">
        <v>43262</v>
      </c>
      <c r="C2350" s="76">
        <v>13808000597073</v>
      </c>
      <c r="D2350" s="135">
        <v>1</v>
      </c>
      <c r="E2350" s="137" t="s">
        <v>3704</v>
      </c>
      <c r="F2350" s="137" t="s">
        <v>1394</v>
      </c>
      <c r="G2350" s="139"/>
      <c r="H2350" s="33">
        <v>43221</v>
      </c>
      <c r="I2350" s="34">
        <v>1700582113</v>
      </c>
      <c r="J2350" s="142">
        <v>240.25</v>
      </c>
      <c r="K2350" t="s">
        <v>2030</v>
      </c>
    </row>
    <row r="2351" spans="1:11" x14ac:dyDescent="0.3">
      <c r="A2351" t="s">
        <v>1550</v>
      </c>
      <c r="B2351" s="33">
        <v>43262</v>
      </c>
      <c r="C2351" s="76">
        <v>13808000597073</v>
      </c>
      <c r="D2351" s="135">
        <v>1</v>
      </c>
      <c r="E2351" s="137" t="s">
        <v>3704</v>
      </c>
      <c r="F2351" s="137" t="s">
        <v>1395</v>
      </c>
      <c r="G2351" s="139"/>
      <c r="H2351" s="33">
        <v>43221</v>
      </c>
      <c r="I2351" s="34">
        <v>1700582112</v>
      </c>
      <c r="J2351" s="142">
        <v>240.25</v>
      </c>
      <c r="K2351" t="s">
        <v>2030</v>
      </c>
    </row>
    <row r="2352" spans="1:11" x14ac:dyDescent="0.3">
      <c r="A2352" t="s">
        <v>1550</v>
      </c>
      <c r="B2352" s="33">
        <v>43262</v>
      </c>
      <c r="C2352" s="76">
        <v>13808000597073</v>
      </c>
      <c r="D2352" s="135">
        <v>1</v>
      </c>
      <c r="E2352" s="137" t="s">
        <v>3704</v>
      </c>
      <c r="F2352" s="137" t="s">
        <v>1405</v>
      </c>
      <c r="G2352" s="139"/>
      <c r="H2352" s="33">
        <v>43221</v>
      </c>
      <c r="I2352" s="34">
        <v>1700582275</v>
      </c>
      <c r="J2352" s="142">
        <v>496</v>
      </c>
      <c r="K2352" t="s">
        <v>2030</v>
      </c>
    </row>
    <row r="2353" spans="1:11" x14ac:dyDescent="0.3">
      <c r="A2353" t="s">
        <v>1550</v>
      </c>
      <c r="B2353" s="33">
        <v>43262</v>
      </c>
      <c r="C2353" s="76">
        <v>13808000597073</v>
      </c>
      <c r="D2353" s="135">
        <v>1</v>
      </c>
      <c r="E2353" s="137" t="s">
        <v>3704</v>
      </c>
      <c r="F2353" s="137" t="s">
        <v>1444</v>
      </c>
      <c r="G2353" s="139"/>
      <c r="H2353" s="33">
        <v>43221</v>
      </c>
      <c r="I2353" s="34">
        <v>1700582164</v>
      </c>
      <c r="J2353" s="142">
        <v>178.25</v>
      </c>
      <c r="K2353" t="s">
        <v>2030</v>
      </c>
    </row>
    <row r="2354" spans="1:11" x14ac:dyDescent="0.3">
      <c r="A2354" t="s">
        <v>1550</v>
      </c>
      <c r="B2354" s="33">
        <v>43262</v>
      </c>
      <c r="C2354" s="76">
        <v>13808000597073</v>
      </c>
      <c r="D2354" s="135">
        <v>1</v>
      </c>
      <c r="E2354" s="137" t="s">
        <v>3704</v>
      </c>
      <c r="F2354" s="137" t="s">
        <v>1443</v>
      </c>
      <c r="G2354" s="139"/>
      <c r="H2354" s="33">
        <v>43221</v>
      </c>
      <c r="I2354" s="34">
        <v>1700582163</v>
      </c>
      <c r="J2354" s="142">
        <v>178.25</v>
      </c>
      <c r="K2354" t="s">
        <v>2030</v>
      </c>
    </row>
    <row r="2355" spans="1:11" x14ac:dyDescent="0.3">
      <c r="A2355" t="s">
        <v>1550</v>
      </c>
      <c r="B2355" s="33">
        <v>43262</v>
      </c>
      <c r="C2355" s="76">
        <v>13808000597073</v>
      </c>
      <c r="D2355" s="135">
        <v>1</v>
      </c>
      <c r="E2355" s="137" t="s">
        <v>3704</v>
      </c>
      <c r="F2355" s="137" t="s">
        <v>1437</v>
      </c>
      <c r="G2355" s="139"/>
      <c r="H2355" s="33">
        <v>43221</v>
      </c>
      <c r="I2355" s="34">
        <v>1700582162</v>
      </c>
      <c r="J2355" s="142">
        <v>178.25</v>
      </c>
      <c r="K2355" t="s">
        <v>2030</v>
      </c>
    </row>
    <row r="2356" spans="1:11" x14ac:dyDescent="0.3">
      <c r="A2356" t="s">
        <v>1550</v>
      </c>
      <c r="B2356" s="33">
        <v>43262</v>
      </c>
      <c r="C2356" s="76">
        <v>13808000597073</v>
      </c>
      <c r="D2356" s="135">
        <v>1</v>
      </c>
      <c r="E2356" s="137" t="s">
        <v>3704</v>
      </c>
      <c r="F2356" s="137" t="s">
        <v>1432</v>
      </c>
      <c r="G2356" s="139"/>
      <c r="H2356" s="33">
        <v>43221</v>
      </c>
      <c r="I2356" s="34">
        <v>1700582161</v>
      </c>
      <c r="J2356" s="142">
        <v>232.5</v>
      </c>
      <c r="K2356" t="s">
        <v>2030</v>
      </c>
    </row>
    <row r="2357" spans="1:11" x14ac:dyDescent="0.3">
      <c r="A2357" t="s">
        <v>1550</v>
      </c>
      <c r="B2357" s="33">
        <v>43262</v>
      </c>
      <c r="C2357" s="76">
        <v>13808000597073</v>
      </c>
      <c r="D2357" s="135">
        <v>1</v>
      </c>
      <c r="E2357" s="137" t="s">
        <v>3704</v>
      </c>
      <c r="F2357" s="137" t="s">
        <v>1439</v>
      </c>
      <c r="G2357" s="139"/>
      <c r="H2357" s="33">
        <v>43221</v>
      </c>
      <c r="I2357" s="34">
        <v>1700582160</v>
      </c>
      <c r="J2357" s="142">
        <v>178.25</v>
      </c>
      <c r="K2357" t="s">
        <v>2030</v>
      </c>
    </row>
    <row r="2358" spans="1:11" x14ac:dyDescent="0.3">
      <c r="A2358" t="s">
        <v>1550</v>
      </c>
      <c r="B2358" s="33">
        <v>43262</v>
      </c>
      <c r="C2358" s="76">
        <v>13808000597073</v>
      </c>
      <c r="D2358" s="135">
        <v>1</v>
      </c>
      <c r="E2358" s="137" t="s">
        <v>3704</v>
      </c>
      <c r="F2358" s="137" t="s">
        <v>1438</v>
      </c>
      <c r="G2358" s="139"/>
      <c r="H2358" s="33">
        <v>43221</v>
      </c>
      <c r="I2358" s="34">
        <v>1700582159</v>
      </c>
      <c r="J2358" s="142">
        <v>178.25</v>
      </c>
      <c r="K2358" t="s">
        <v>2030</v>
      </c>
    </row>
    <row r="2359" spans="1:11" x14ac:dyDescent="0.3">
      <c r="A2359" t="s">
        <v>1550</v>
      </c>
      <c r="B2359" s="33">
        <v>43262</v>
      </c>
      <c r="C2359" s="76">
        <v>13808000597073</v>
      </c>
      <c r="D2359" s="135">
        <v>1</v>
      </c>
      <c r="E2359" s="137" t="s">
        <v>3704</v>
      </c>
      <c r="F2359" s="137" t="s">
        <v>1435</v>
      </c>
      <c r="G2359" s="139"/>
      <c r="H2359" s="33">
        <v>43221</v>
      </c>
      <c r="I2359" s="34">
        <v>1700582158</v>
      </c>
      <c r="J2359" s="142">
        <v>178.25</v>
      </c>
      <c r="K2359" t="s">
        <v>2030</v>
      </c>
    </row>
    <row r="2360" spans="1:11" x14ac:dyDescent="0.3">
      <c r="A2360" t="s">
        <v>1550</v>
      </c>
      <c r="B2360" s="33">
        <v>43262</v>
      </c>
      <c r="C2360" s="76">
        <v>13808000597073</v>
      </c>
      <c r="D2360" s="135">
        <v>1</v>
      </c>
      <c r="E2360" s="137" t="s">
        <v>3704</v>
      </c>
      <c r="F2360" s="137" t="s">
        <v>1442</v>
      </c>
      <c r="G2360" s="139"/>
      <c r="H2360" s="33">
        <v>43221</v>
      </c>
      <c r="I2360" s="34">
        <v>1700582157</v>
      </c>
      <c r="J2360" s="142">
        <v>178.25</v>
      </c>
      <c r="K2360" t="s">
        <v>2030</v>
      </c>
    </row>
    <row r="2361" spans="1:11" x14ac:dyDescent="0.3">
      <c r="A2361" t="s">
        <v>1550</v>
      </c>
      <c r="B2361" s="33">
        <v>43262</v>
      </c>
      <c r="C2361" s="76">
        <v>13808000597073</v>
      </c>
      <c r="D2361" s="135">
        <v>1</v>
      </c>
      <c r="E2361" s="137" t="s">
        <v>3704</v>
      </c>
      <c r="F2361" s="137" t="s">
        <v>1440</v>
      </c>
      <c r="G2361" s="139"/>
      <c r="H2361" s="33">
        <v>43221</v>
      </c>
      <c r="I2361" s="34">
        <v>1700582156</v>
      </c>
      <c r="J2361" s="142">
        <v>178.25</v>
      </c>
      <c r="K2361" t="s">
        <v>2030</v>
      </c>
    </row>
    <row r="2362" spans="1:11" x14ac:dyDescent="0.3">
      <c r="A2362" t="s">
        <v>1550</v>
      </c>
      <c r="B2362" s="33">
        <v>43262</v>
      </c>
      <c r="C2362" s="76">
        <v>13808000597073</v>
      </c>
      <c r="D2362" s="135">
        <v>1</v>
      </c>
      <c r="E2362" s="137" t="s">
        <v>3704</v>
      </c>
      <c r="F2362" s="137" t="s">
        <v>1441</v>
      </c>
      <c r="G2362" s="139"/>
      <c r="H2362" s="33">
        <v>43221</v>
      </c>
      <c r="I2362" s="34">
        <v>1700582155</v>
      </c>
      <c r="J2362" s="142">
        <v>178.25</v>
      </c>
      <c r="K2362" t="s">
        <v>2030</v>
      </c>
    </row>
    <row r="2363" spans="1:11" x14ac:dyDescent="0.3">
      <c r="A2363" t="s">
        <v>1550</v>
      </c>
      <c r="B2363" s="33">
        <v>43262</v>
      </c>
      <c r="C2363" s="76">
        <v>13808000597073</v>
      </c>
      <c r="D2363" s="135">
        <v>1</v>
      </c>
      <c r="E2363" s="137" t="s">
        <v>3704</v>
      </c>
      <c r="F2363" s="137" t="s">
        <v>1436</v>
      </c>
      <c r="G2363" s="139"/>
      <c r="H2363" s="33">
        <v>43221</v>
      </c>
      <c r="I2363" s="34">
        <v>1700582154</v>
      </c>
      <c r="J2363" s="142">
        <v>178.25</v>
      </c>
      <c r="K2363" t="s">
        <v>2030</v>
      </c>
    </row>
    <row r="2364" spans="1:11" x14ac:dyDescent="0.3">
      <c r="A2364" t="s">
        <v>1550</v>
      </c>
      <c r="B2364" s="33">
        <v>43262</v>
      </c>
      <c r="C2364" s="76">
        <v>13808000597073</v>
      </c>
      <c r="D2364" s="135">
        <v>1</v>
      </c>
      <c r="E2364" s="137" t="s">
        <v>3704</v>
      </c>
      <c r="F2364" s="137" t="s">
        <v>1434</v>
      </c>
      <c r="G2364" s="139"/>
      <c r="H2364" s="33">
        <v>43221</v>
      </c>
      <c r="I2364" s="34">
        <v>1700582153</v>
      </c>
      <c r="J2364" s="142">
        <v>178.25</v>
      </c>
      <c r="K2364" t="s">
        <v>2030</v>
      </c>
    </row>
    <row r="2365" spans="1:11" x14ac:dyDescent="0.3">
      <c r="A2365" t="s">
        <v>1550</v>
      </c>
      <c r="B2365" s="33">
        <v>43262</v>
      </c>
      <c r="C2365" s="76">
        <v>13808000597073</v>
      </c>
      <c r="D2365" s="135">
        <v>1</v>
      </c>
      <c r="E2365" s="137" t="s">
        <v>3704</v>
      </c>
      <c r="F2365" s="137" t="s">
        <v>1429</v>
      </c>
      <c r="G2365" s="139"/>
      <c r="H2365" s="33">
        <v>43221</v>
      </c>
      <c r="I2365" s="34">
        <v>1700582152</v>
      </c>
      <c r="J2365" s="142">
        <v>232.5</v>
      </c>
      <c r="K2365" t="s">
        <v>2030</v>
      </c>
    </row>
    <row r="2366" spans="1:11" x14ac:dyDescent="0.3">
      <c r="A2366" t="s">
        <v>1550</v>
      </c>
      <c r="B2366" s="33">
        <v>43262</v>
      </c>
      <c r="C2366" s="76">
        <v>13808000597073</v>
      </c>
      <c r="D2366" s="135">
        <v>1</v>
      </c>
      <c r="E2366" s="137" t="s">
        <v>3704</v>
      </c>
      <c r="F2366" s="137" t="s">
        <v>1393</v>
      </c>
      <c r="G2366" s="139"/>
      <c r="H2366" s="33">
        <v>43221</v>
      </c>
      <c r="I2366" s="34">
        <v>1700582111</v>
      </c>
      <c r="J2366" s="142">
        <v>240.25</v>
      </c>
      <c r="K2366" t="s">
        <v>2030</v>
      </c>
    </row>
    <row r="2367" spans="1:11" x14ac:dyDescent="0.3">
      <c r="A2367" t="s">
        <v>1550</v>
      </c>
      <c r="B2367" s="33">
        <v>43262</v>
      </c>
      <c r="C2367" s="76">
        <v>13808000597073</v>
      </c>
      <c r="D2367" s="135">
        <v>1</v>
      </c>
      <c r="E2367" s="137" t="s">
        <v>3704</v>
      </c>
      <c r="F2367" s="137" t="s">
        <v>1377</v>
      </c>
      <c r="G2367" s="139"/>
      <c r="H2367" s="33">
        <v>43221</v>
      </c>
      <c r="I2367" s="34">
        <v>1700582110</v>
      </c>
      <c r="J2367" s="142">
        <v>279</v>
      </c>
      <c r="K2367" t="s">
        <v>2030</v>
      </c>
    </row>
    <row r="2368" spans="1:11" x14ac:dyDescent="0.3">
      <c r="A2368" t="s">
        <v>1550</v>
      </c>
      <c r="B2368" s="33">
        <v>43262</v>
      </c>
      <c r="C2368" s="76">
        <v>13808000597073</v>
      </c>
      <c r="D2368" s="135">
        <v>1</v>
      </c>
      <c r="E2368" s="137" t="s">
        <v>3704</v>
      </c>
      <c r="F2368" s="137" t="s">
        <v>1382</v>
      </c>
      <c r="G2368" s="139"/>
      <c r="H2368" s="33">
        <v>43221</v>
      </c>
      <c r="I2368" s="34">
        <v>1700582109</v>
      </c>
      <c r="J2368" s="142">
        <v>496</v>
      </c>
      <c r="K2368" t="s">
        <v>2030</v>
      </c>
    </row>
    <row r="2369" spans="1:11" x14ac:dyDescent="0.3">
      <c r="A2369" t="s">
        <v>1550</v>
      </c>
      <c r="B2369" s="33">
        <v>43262</v>
      </c>
      <c r="C2369" s="76">
        <v>13808000597073</v>
      </c>
      <c r="D2369" s="135">
        <v>1</v>
      </c>
      <c r="E2369" s="137" t="s">
        <v>3704</v>
      </c>
      <c r="F2369" s="137" t="s">
        <v>1385</v>
      </c>
      <c r="G2369" s="139"/>
      <c r="H2369" s="33">
        <v>43221</v>
      </c>
      <c r="I2369" s="34">
        <v>1700582108</v>
      </c>
      <c r="J2369" s="142">
        <v>496</v>
      </c>
      <c r="K2369" t="s">
        <v>2030</v>
      </c>
    </row>
    <row r="2370" spans="1:11" x14ac:dyDescent="0.3">
      <c r="A2370" t="s">
        <v>1550</v>
      </c>
      <c r="B2370" s="33">
        <v>43262</v>
      </c>
      <c r="C2370" s="76">
        <v>13808000597073</v>
      </c>
      <c r="D2370" s="135">
        <v>1</v>
      </c>
      <c r="E2370" s="137" t="s">
        <v>3704</v>
      </c>
      <c r="F2370" s="137" t="s">
        <v>1388</v>
      </c>
      <c r="G2370" s="139"/>
      <c r="H2370" s="33">
        <v>43221</v>
      </c>
      <c r="I2370" s="34">
        <v>1700582107</v>
      </c>
      <c r="J2370" s="142">
        <v>279</v>
      </c>
      <c r="K2370" t="s">
        <v>2030</v>
      </c>
    </row>
    <row r="2371" spans="1:11" x14ac:dyDescent="0.3">
      <c r="A2371" t="s">
        <v>1550</v>
      </c>
      <c r="B2371" s="33">
        <v>43262</v>
      </c>
      <c r="C2371" s="76">
        <v>13808000597073</v>
      </c>
      <c r="D2371" s="135">
        <v>1</v>
      </c>
      <c r="E2371" s="137" t="s">
        <v>3704</v>
      </c>
      <c r="F2371" s="137" t="s">
        <v>1384</v>
      </c>
      <c r="G2371" s="139"/>
      <c r="H2371" s="33">
        <v>43221</v>
      </c>
      <c r="I2371" s="34">
        <v>1700582106</v>
      </c>
      <c r="J2371" s="142">
        <v>279</v>
      </c>
      <c r="K2371" t="s">
        <v>2030</v>
      </c>
    </row>
    <row r="2372" spans="1:11" x14ac:dyDescent="0.3">
      <c r="A2372" t="s">
        <v>1550</v>
      </c>
      <c r="B2372" s="33">
        <v>43262</v>
      </c>
      <c r="C2372" s="76">
        <v>13808000597073</v>
      </c>
      <c r="D2372" s="135">
        <v>1</v>
      </c>
      <c r="E2372" s="137" t="s">
        <v>3704</v>
      </c>
      <c r="F2372" s="137" t="s">
        <v>1381</v>
      </c>
      <c r="G2372" s="139"/>
      <c r="H2372" s="33">
        <v>43221</v>
      </c>
      <c r="I2372" s="34">
        <v>1700582105</v>
      </c>
      <c r="J2372" s="142">
        <v>496</v>
      </c>
      <c r="K2372" t="s">
        <v>2030</v>
      </c>
    </row>
    <row r="2373" spans="1:11" x14ac:dyDescent="0.3">
      <c r="A2373" t="s">
        <v>1550</v>
      </c>
      <c r="B2373" s="33">
        <v>43262</v>
      </c>
      <c r="C2373" s="76">
        <v>13808000597073</v>
      </c>
      <c r="D2373" s="135">
        <v>1</v>
      </c>
      <c r="E2373" s="137" t="s">
        <v>3704</v>
      </c>
      <c r="F2373" s="137" t="s">
        <v>1383</v>
      </c>
      <c r="G2373" s="139"/>
      <c r="H2373" s="33">
        <v>43221</v>
      </c>
      <c r="I2373" s="34">
        <v>1700582104</v>
      </c>
      <c r="J2373" s="142">
        <v>279</v>
      </c>
      <c r="K2373" t="s">
        <v>2030</v>
      </c>
    </row>
    <row r="2374" spans="1:11" x14ac:dyDescent="0.3">
      <c r="A2374" t="s">
        <v>1550</v>
      </c>
      <c r="B2374" s="33">
        <v>43262</v>
      </c>
      <c r="C2374" s="76">
        <v>13808000597073</v>
      </c>
      <c r="D2374" s="135">
        <v>1</v>
      </c>
      <c r="E2374" s="137" t="s">
        <v>3704</v>
      </c>
      <c r="F2374" s="137" t="s">
        <v>1386</v>
      </c>
      <c r="G2374" s="139"/>
      <c r="H2374" s="33">
        <v>43221</v>
      </c>
      <c r="I2374" s="34">
        <v>1700582103</v>
      </c>
      <c r="J2374" s="142">
        <v>279</v>
      </c>
      <c r="K2374" t="s">
        <v>2030</v>
      </c>
    </row>
    <row r="2375" spans="1:11" x14ac:dyDescent="0.3">
      <c r="A2375" t="s">
        <v>1550</v>
      </c>
      <c r="B2375" s="33">
        <v>43262</v>
      </c>
      <c r="C2375" s="76">
        <v>13808000597073</v>
      </c>
      <c r="D2375" s="135">
        <v>1</v>
      </c>
      <c r="E2375" s="137" t="s">
        <v>3704</v>
      </c>
      <c r="F2375" s="137" t="s">
        <v>1389</v>
      </c>
      <c r="G2375" s="139"/>
      <c r="H2375" s="33">
        <v>43221</v>
      </c>
      <c r="I2375" s="34">
        <v>1700582102</v>
      </c>
      <c r="J2375" s="142">
        <v>496</v>
      </c>
      <c r="K2375" t="s">
        <v>2030</v>
      </c>
    </row>
    <row r="2376" spans="1:11" x14ac:dyDescent="0.3">
      <c r="A2376" t="s">
        <v>1550</v>
      </c>
      <c r="B2376" s="33">
        <v>43262</v>
      </c>
      <c r="C2376" s="76">
        <v>13808000597073</v>
      </c>
      <c r="D2376" s="135">
        <v>1</v>
      </c>
      <c r="E2376" s="137" t="s">
        <v>3704</v>
      </c>
      <c r="F2376" s="137" t="s">
        <v>1387</v>
      </c>
      <c r="G2376" s="139"/>
      <c r="H2376" s="33">
        <v>43221</v>
      </c>
      <c r="I2376" s="34">
        <v>1700582101</v>
      </c>
      <c r="J2376" s="142">
        <v>279</v>
      </c>
      <c r="K2376" t="s">
        <v>2030</v>
      </c>
    </row>
    <row r="2377" spans="1:11" x14ac:dyDescent="0.3">
      <c r="A2377" t="s">
        <v>1550</v>
      </c>
      <c r="B2377" s="33">
        <v>43262</v>
      </c>
      <c r="C2377" s="76">
        <v>13808000597073</v>
      </c>
      <c r="D2377" s="135">
        <v>1</v>
      </c>
      <c r="E2377" s="137" t="s">
        <v>3704</v>
      </c>
      <c r="F2377" s="137" t="s">
        <v>1378</v>
      </c>
      <c r="G2377" s="139"/>
      <c r="H2377" s="33">
        <v>43221</v>
      </c>
      <c r="I2377" s="34">
        <v>1700582100</v>
      </c>
      <c r="J2377" s="142">
        <v>279</v>
      </c>
      <c r="K2377" t="s">
        <v>2030</v>
      </c>
    </row>
    <row r="2378" spans="1:11" x14ac:dyDescent="0.3">
      <c r="A2378" t="s">
        <v>1550</v>
      </c>
      <c r="B2378" s="33">
        <v>43262</v>
      </c>
      <c r="C2378" s="76">
        <v>13808000597073</v>
      </c>
      <c r="D2378" s="135">
        <v>1</v>
      </c>
      <c r="E2378" s="137" t="s">
        <v>3704</v>
      </c>
      <c r="F2378" s="137" t="s">
        <v>1380</v>
      </c>
      <c r="G2378" s="139"/>
      <c r="H2378" s="33">
        <v>43221</v>
      </c>
      <c r="I2378" s="34">
        <v>1700582099</v>
      </c>
      <c r="J2378" s="142">
        <v>496</v>
      </c>
      <c r="K2378" t="s">
        <v>2030</v>
      </c>
    </row>
    <row r="2379" spans="1:11" x14ac:dyDescent="0.3">
      <c r="A2379" t="s">
        <v>1550</v>
      </c>
      <c r="B2379" s="33">
        <v>43262</v>
      </c>
      <c r="C2379" s="76">
        <v>13808000597073</v>
      </c>
      <c r="D2379" s="135">
        <v>1</v>
      </c>
      <c r="E2379" s="137" t="s">
        <v>3704</v>
      </c>
      <c r="F2379" s="137" t="s">
        <v>1379</v>
      </c>
      <c r="G2379" s="139"/>
      <c r="H2379" s="33">
        <v>43221</v>
      </c>
      <c r="I2379" s="34">
        <v>1700582098</v>
      </c>
      <c r="J2379" s="142">
        <v>496</v>
      </c>
      <c r="K2379" t="s">
        <v>2030</v>
      </c>
    </row>
    <row r="2380" spans="1:11" x14ac:dyDescent="0.3">
      <c r="A2380" t="s">
        <v>1550</v>
      </c>
      <c r="B2380" s="33">
        <v>43262</v>
      </c>
      <c r="C2380" s="76">
        <v>13808000597073</v>
      </c>
      <c r="D2380" s="135">
        <v>1</v>
      </c>
      <c r="E2380" s="137" t="s">
        <v>3704</v>
      </c>
      <c r="F2380" s="137" t="s">
        <v>1371</v>
      </c>
      <c r="G2380" s="139"/>
      <c r="H2380" s="33">
        <v>43221</v>
      </c>
      <c r="I2380" s="34">
        <v>1700582097</v>
      </c>
      <c r="J2380" s="142">
        <v>178.25</v>
      </c>
      <c r="K2380" t="s">
        <v>2030</v>
      </c>
    </row>
    <row r="2381" spans="1:11" x14ac:dyDescent="0.3">
      <c r="A2381" t="s">
        <v>1550</v>
      </c>
      <c r="B2381" s="33">
        <v>43262</v>
      </c>
      <c r="C2381" s="76">
        <v>13808000597073</v>
      </c>
      <c r="D2381" s="135">
        <v>1</v>
      </c>
      <c r="E2381" s="137" t="s">
        <v>3704</v>
      </c>
      <c r="F2381" s="137" t="s">
        <v>1374</v>
      </c>
      <c r="G2381" s="139"/>
      <c r="H2381" s="33">
        <v>43221</v>
      </c>
      <c r="I2381" s="34">
        <v>1700582096</v>
      </c>
      <c r="J2381" s="142">
        <v>178.25</v>
      </c>
      <c r="K2381" t="s">
        <v>2030</v>
      </c>
    </row>
    <row r="2382" spans="1:11" x14ac:dyDescent="0.3">
      <c r="A2382" t="s">
        <v>1550</v>
      </c>
      <c r="B2382" s="33">
        <v>43262</v>
      </c>
      <c r="C2382" s="76">
        <v>13808000597073</v>
      </c>
      <c r="D2382" s="135">
        <v>1</v>
      </c>
      <c r="E2382" s="137" t="s">
        <v>3704</v>
      </c>
      <c r="F2382" s="137" t="s">
        <v>1372</v>
      </c>
      <c r="G2382" s="139"/>
      <c r="H2382" s="33">
        <v>43221</v>
      </c>
      <c r="I2382" s="34">
        <v>1700582095</v>
      </c>
      <c r="J2382" s="142">
        <v>178.25</v>
      </c>
      <c r="K2382" t="s">
        <v>2030</v>
      </c>
    </row>
    <row r="2383" spans="1:11" x14ac:dyDescent="0.3">
      <c r="A2383" t="s">
        <v>1550</v>
      </c>
      <c r="B2383" s="33">
        <v>43262</v>
      </c>
      <c r="C2383" s="76">
        <v>13808000597073</v>
      </c>
      <c r="D2383" s="135">
        <v>1</v>
      </c>
      <c r="E2383" s="137" t="s">
        <v>3704</v>
      </c>
      <c r="F2383" s="137" t="s">
        <v>1376</v>
      </c>
      <c r="G2383" s="139"/>
      <c r="H2383" s="33">
        <v>43221</v>
      </c>
      <c r="I2383" s="34">
        <v>1700582094</v>
      </c>
      <c r="J2383" s="142">
        <v>279</v>
      </c>
      <c r="K2383" t="s">
        <v>2030</v>
      </c>
    </row>
    <row r="2384" spans="1:11" x14ac:dyDescent="0.3">
      <c r="A2384" t="s">
        <v>1550</v>
      </c>
      <c r="B2384" s="33">
        <v>43262</v>
      </c>
      <c r="C2384" s="76">
        <v>13808000597073</v>
      </c>
      <c r="D2384" s="135">
        <v>1</v>
      </c>
      <c r="E2384" s="137" t="s">
        <v>3704</v>
      </c>
      <c r="F2384" s="137" t="s">
        <v>1375</v>
      </c>
      <c r="G2384" s="139"/>
      <c r="H2384" s="33">
        <v>43221</v>
      </c>
      <c r="I2384" s="34">
        <v>1700582093</v>
      </c>
      <c r="J2384" s="142">
        <v>279</v>
      </c>
      <c r="K2384" t="s">
        <v>2030</v>
      </c>
    </row>
    <row r="2385" spans="1:11" x14ac:dyDescent="0.3">
      <c r="A2385" t="s">
        <v>1550</v>
      </c>
      <c r="B2385" s="33">
        <v>43262</v>
      </c>
      <c r="C2385" s="76">
        <v>13808000597073</v>
      </c>
      <c r="D2385" s="135">
        <v>1</v>
      </c>
      <c r="E2385" s="137" t="s">
        <v>3704</v>
      </c>
      <c r="F2385" s="137" t="s">
        <v>1370</v>
      </c>
      <c r="G2385" s="139"/>
      <c r="H2385" s="33">
        <v>43221</v>
      </c>
      <c r="I2385" s="34">
        <v>1700582092</v>
      </c>
      <c r="J2385" s="142">
        <v>178.25</v>
      </c>
      <c r="K2385" t="s">
        <v>2030</v>
      </c>
    </row>
    <row r="2386" spans="1:11" x14ac:dyDescent="0.3">
      <c r="A2386" t="s">
        <v>1550</v>
      </c>
      <c r="B2386" s="33">
        <v>43262</v>
      </c>
      <c r="C2386" s="76">
        <v>13808000597073</v>
      </c>
      <c r="D2386" s="135">
        <v>1</v>
      </c>
      <c r="E2386" s="137" t="s">
        <v>3704</v>
      </c>
      <c r="F2386" s="137" t="s">
        <v>1368</v>
      </c>
      <c r="G2386" s="139"/>
      <c r="H2386" s="33">
        <v>43221</v>
      </c>
      <c r="I2386" s="34">
        <v>1700582090</v>
      </c>
      <c r="J2386" s="142">
        <v>232.5</v>
      </c>
      <c r="K2386" t="s">
        <v>2030</v>
      </c>
    </row>
    <row r="2387" spans="1:11" x14ac:dyDescent="0.3">
      <c r="A2387" t="s">
        <v>1550</v>
      </c>
      <c r="B2387" s="33">
        <v>43262</v>
      </c>
      <c r="C2387" s="76">
        <v>13808000597073</v>
      </c>
      <c r="D2387" s="135">
        <v>1</v>
      </c>
      <c r="E2387" s="137" t="s">
        <v>3704</v>
      </c>
      <c r="F2387" s="137" t="s">
        <v>1373</v>
      </c>
      <c r="G2387" s="139"/>
      <c r="H2387" s="33">
        <v>43221</v>
      </c>
      <c r="I2387" s="34">
        <v>1700582089</v>
      </c>
      <c r="J2387" s="142">
        <v>178.25</v>
      </c>
      <c r="K2387" t="s">
        <v>2030</v>
      </c>
    </row>
    <row r="2388" spans="1:11" x14ac:dyDescent="0.3">
      <c r="A2388" t="s">
        <v>1550</v>
      </c>
      <c r="B2388" s="33">
        <v>43262</v>
      </c>
      <c r="C2388" s="76">
        <v>13808000597073</v>
      </c>
      <c r="D2388" s="135">
        <v>1</v>
      </c>
      <c r="E2388" s="137" t="s">
        <v>3704</v>
      </c>
      <c r="F2388" s="137" t="s">
        <v>1366</v>
      </c>
      <c r="G2388" s="139"/>
      <c r="H2388" s="33">
        <v>43221</v>
      </c>
      <c r="I2388" s="34">
        <v>1700582088</v>
      </c>
      <c r="J2388" s="142">
        <v>232.5</v>
      </c>
      <c r="K2388" t="s">
        <v>2030</v>
      </c>
    </row>
    <row r="2389" spans="1:11" x14ac:dyDescent="0.3">
      <c r="A2389" t="s">
        <v>1550</v>
      </c>
      <c r="B2389" s="33">
        <v>43262</v>
      </c>
      <c r="C2389" s="76">
        <v>13808000597073</v>
      </c>
      <c r="D2389" s="135">
        <v>1</v>
      </c>
      <c r="E2389" s="137" t="s">
        <v>3704</v>
      </c>
      <c r="F2389" s="137" t="s">
        <v>1369</v>
      </c>
      <c r="G2389" s="139"/>
      <c r="H2389" s="33">
        <v>43221</v>
      </c>
      <c r="I2389" s="34">
        <v>1700582087</v>
      </c>
      <c r="J2389" s="142">
        <v>232.5</v>
      </c>
      <c r="K2389" t="s">
        <v>2030</v>
      </c>
    </row>
    <row r="2390" spans="1:11" x14ac:dyDescent="0.3">
      <c r="A2390" t="s">
        <v>1550</v>
      </c>
      <c r="B2390" s="33">
        <v>43262</v>
      </c>
      <c r="C2390" s="76">
        <v>13808000597073</v>
      </c>
      <c r="D2390" s="135">
        <v>1</v>
      </c>
      <c r="E2390" s="137" t="s">
        <v>3704</v>
      </c>
      <c r="F2390" s="137" t="s">
        <v>1367</v>
      </c>
      <c r="G2390" s="139"/>
      <c r="H2390" s="33">
        <v>43221</v>
      </c>
      <c r="I2390" s="34">
        <v>1700582086</v>
      </c>
      <c r="J2390" s="142">
        <v>232.5</v>
      </c>
      <c r="K2390" t="s">
        <v>2030</v>
      </c>
    </row>
    <row r="2391" spans="1:11" x14ac:dyDescent="0.3">
      <c r="A2391" t="s">
        <v>1550</v>
      </c>
      <c r="B2391" s="33">
        <v>43262</v>
      </c>
      <c r="C2391" s="76">
        <v>13808000597073</v>
      </c>
      <c r="D2391" s="135">
        <v>1</v>
      </c>
      <c r="E2391" s="137" t="s">
        <v>3704</v>
      </c>
      <c r="F2391" s="137" t="s">
        <v>1364</v>
      </c>
      <c r="G2391" s="139"/>
      <c r="H2391" s="33">
        <v>43221</v>
      </c>
      <c r="I2391" s="34">
        <v>1700582084</v>
      </c>
      <c r="J2391" s="142">
        <v>178.25</v>
      </c>
      <c r="K2391" t="s">
        <v>2030</v>
      </c>
    </row>
    <row r="2392" spans="1:11" x14ac:dyDescent="0.3">
      <c r="A2392" t="s">
        <v>1550</v>
      </c>
      <c r="B2392" s="33">
        <v>43262</v>
      </c>
      <c r="C2392" s="76">
        <v>13808000597073</v>
      </c>
      <c r="D2392" s="135">
        <v>1</v>
      </c>
      <c r="E2392" s="137" t="s">
        <v>3704</v>
      </c>
      <c r="F2392" s="137" t="s">
        <v>1363</v>
      </c>
      <c r="G2392" s="139"/>
      <c r="H2392" s="33">
        <v>43221</v>
      </c>
      <c r="I2392" s="34">
        <v>1700582079</v>
      </c>
      <c r="J2392" s="142">
        <v>178.25</v>
      </c>
      <c r="K2392" t="s">
        <v>2030</v>
      </c>
    </row>
    <row r="2393" spans="1:11" x14ac:dyDescent="0.3">
      <c r="A2393" t="s">
        <v>1550</v>
      </c>
      <c r="B2393" s="33">
        <v>43262</v>
      </c>
      <c r="C2393" s="76">
        <v>13808000597073</v>
      </c>
      <c r="D2393" s="135">
        <v>1</v>
      </c>
      <c r="E2393" s="137" t="s">
        <v>3704</v>
      </c>
      <c r="F2393" s="137" t="s">
        <v>1365</v>
      </c>
      <c r="G2393" s="139"/>
      <c r="H2393" s="33">
        <v>43221</v>
      </c>
      <c r="I2393" s="34">
        <v>1700582078</v>
      </c>
      <c r="J2393" s="142">
        <v>232.5</v>
      </c>
      <c r="K2393" t="s">
        <v>2030</v>
      </c>
    </row>
    <row r="2394" spans="1:11" x14ac:dyDescent="0.3">
      <c r="A2394" t="s">
        <v>1550</v>
      </c>
      <c r="B2394" s="33">
        <v>43262</v>
      </c>
      <c r="C2394" s="34" t="s">
        <v>2112</v>
      </c>
      <c r="D2394" s="135"/>
      <c r="E2394" s="137" t="s">
        <v>3711</v>
      </c>
      <c r="F2394" s="137" t="s">
        <v>6</v>
      </c>
      <c r="G2394" s="139"/>
      <c r="H2394" s="33"/>
      <c r="I2394" s="34" t="s">
        <v>2114</v>
      </c>
      <c r="J2394" s="142">
        <v>178.25</v>
      </c>
      <c r="K2394" t="s">
        <v>2030</v>
      </c>
    </row>
    <row r="2395" spans="1:11" x14ac:dyDescent="0.3">
      <c r="A2395" t="s">
        <v>812</v>
      </c>
      <c r="B2395" s="33">
        <v>43262</v>
      </c>
      <c r="C2395" s="34" t="s">
        <v>2237</v>
      </c>
      <c r="D2395" s="71">
        <v>5405</v>
      </c>
      <c r="E2395" s="68" t="s">
        <v>3710</v>
      </c>
      <c r="F2395" s="68" t="s">
        <v>1326</v>
      </c>
      <c r="G2395" s="108">
        <v>4300021652</v>
      </c>
      <c r="H2395" s="70">
        <v>43221</v>
      </c>
      <c r="I2395" s="34" t="s">
        <v>2114</v>
      </c>
      <c r="J2395" s="73">
        <v>90</v>
      </c>
      <c r="K2395" t="s">
        <v>2030</v>
      </c>
    </row>
    <row r="2396" spans="1:11" x14ac:dyDescent="0.3">
      <c r="A2396" t="s">
        <v>812</v>
      </c>
      <c r="B2396" s="33">
        <v>43262</v>
      </c>
      <c r="C2396" s="34" t="s">
        <v>2237</v>
      </c>
      <c r="D2396" s="72">
        <v>5405</v>
      </c>
      <c r="E2396" s="68" t="s">
        <v>3710</v>
      </c>
      <c r="F2396" s="68" t="s">
        <v>1327</v>
      </c>
      <c r="G2396" s="109">
        <v>4300021652</v>
      </c>
      <c r="H2396" s="70">
        <v>43221</v>
      </c>
      <c r="I2396" s="34" t="s">
        <v>2114</v>
      </c>
      <c r="J2396" s="74">
        <v>120</v>
      </c>
      <c r="K2396" t="s">
        <v>2030</v>
      </c>
    </row>
    <row r="2397" spans="1:11" x14ac:dyDescent="0.3">
      <c r="A2397" t="s">
        <v>812</v>
      </c>
      <c r="B2397" s="33">
        <v>43262</v>
      </c>
      <c r="C2397" s="34" t="s">
        <v>2237</v>
      </c>
      <c r="D2397" s="71">
        <v>5405</v>
      </c>
      <c r="E2397" s="69" t="s">
        <v>3710</v>
      </c>
      <c r="F2397" s="69" t="s">
        <v>1328</v>
      </c>
      <c r="G2397" s="108">
        <v>4300021652</v>
      </c>
      <c r="H2397" s="70">
        <v>43221</v>
      </c>
      <c r="I2397" s="34" t="s">
        <v>2114</v>
      </c>
      <c r="J2397" s="73">
        <v>90</v>
      </c>
      <c r="K2397" t="s">
        <v>2030</v>
      </c>
    </row>
    <row r="2398" spans="1:11" x14ac:dyDescent="0.3">
      <c r="A2398" t="s">
        <v>812</v>
      </c>
      <c r="B2398" s="33">
        <v>43262</v>
      </c>
      <c r="C2398" s="34" t="s">
        <v>2237</v>
      </c>
      <c r="D2398" s="136">
        <v>5405</v>
      </c>
      <c r="E2398" s="47" t="s">
        <v>3710</v>
      </c>
      <c r="F2398" s="47" t="s">
        <v>1329</v>
      </c>
      <c r="G2398" s="140">
        <v>4300021652</v>
      </c>
      <c r="H2398" s="70">
        <v>43221</v>
      </c>
      <c r="I2398" s="34" t="s">
        <v>2114</v>
      </c>
      <c r="J2398" s="143">
        <v>120</v>
      </c>
      <c r="K2398" s="6" t="s">
        <v>2030</v>
      </c>
    </row>
    <row r="2399" spans="1:11" x14ac:dyDescent="0.3">
      <c r="A2399" t="s">
        <v>818</v>
      </c>
      <c r="B2399" s="33">
        <v>43264</v>
      </c>
      <c r="C2399" s="34" t="s">
        <v>2112</v>
      </c>
      <c r="D2399" s="34"/>
      <c r="E2399" s="35" t="s">
        <v>3706</v>
      </c>
      <c r="F2399" s="35" t="s">
        <v>42</v>
      </c>
      <c r="G2399" s="106"/>
      <c r="H2399" s="33"/>
      <c r="I2399" s="34" t="s">
        <v>2114</v>
      </c>
      <c r="J2399" s="36">
        <v>271.14999999999998</v>
      </c>
      <c r="K2399" t="s">
        <v>2030</v>
      </c>
    </row>
    <row r="2400" spans="1:11" x14ac:dyDescent="0.3">
      <c r="A2400" t="s">
        <v>818</v>
      </c>
      <c r="B2400" s="33">
        <v>43264</v>
      </c>
      <c r="C2400" s="34" t="s">
        <v>3713</v>
      </c>
      <c r="D2400" s="34"/>
      <c r="E2400" s="35" t="s">
        <v>3706</v>
      </c>
      <c r="F2400" s="35" t="s">
        <v>124</v>
      </c>
      <c r="G2400" s="106"/>
      <c r="H2400" s="33"/>
      <c r="I2400" s="34" t="s">
        <v>2114</v>
      </c>
      <c r="J2400" s="36">
        <v>84.15</v>
      </c>
      <c r="K2400" t="s">
        <v>2030</v>
      </c>
    </row>
    <row r="2401" spans="1:11" x14ac:dyDescent="0.3">
      <c r="A2401" t="s">
        <v>1550</v>
      </c>
      <c r="B2401" s="33">
        <v>43264</v>
      </c>
      <c r="C2401" s="34" t="s">
        <v>2221</v>
      </c>
      <c r="D2401" s="34">
        <v>5001</v>
      </c>
      <c r="E2401" s="35" t="s">
        <v>3712</v>
      </c>
      <c r="F2401" s="35" t="s">
        <v>9</v>
      </c>
      <c r="G2401" s="106"/>
      <c r="H2401" s="33">
        <v>43221</v>
      </c>
      <c r="I2401" s="34" t="s">
        <v>2114</v>
      </c>
      <c r="J2401" s="55">
        <v>496</v>
      </c>
      <c r="K2401" t="s">
        <v>2030</v>
      </c>
    </row>
    <row r="2402" spans="1:11" x14ac:dyDescent="0.3">
      <c r="A2402" t="s">
        <v>1550</v>
      </c>
      <c r="B2402" s="33">
        <v>43264</v>
      </c>
      <c r="C2402" s="34" t="s">
        <v>2221</v>
      </c>
      <c r="D2402" s="34">
        <v>5001</v>
      </c>
      <c r="E2402" s="35" t="s">
        <v>3712</v>
      </c>
      <c r="F2402" s="35" t="s">
        <v>8</v>
      </c>
      <c r="G2402" s="106"/>
      <c r="H2402" s="33">
        <v>43221</v>
      </c>
      <c r="I2402" s="34" t="s">
        <v>2114</v>
      </c>
      <c r="J2402" s="55">
        <v>496</v>
      </c>
      <c r="K2402" t="s">
        <v>2030</v>
      </c>
    </row>
    <row r="2403" spans="1:11" x14ac:dyDescent="0.3">
      <c r="A2403" t="s">
        <v>1550</v>
      </c>
      <c r="B2403" s="33">
        <v>43264</v>
      </c>
      <c r="C2403" s="34" t="s">
        <v>2221</v>
      </c>
      <c r="D2403" s="34">
        <v>5001</v>
      </c>
      <c r="E2403" s="35" t="s">
        <v>3712</v>
      </c>
      <c r="F2403" s="35" t="s">
        <v>7</v>
      </c>
      <c r="G2403" s="106"/>
      <c r="H2403" s="33">
        <v>43221</v>
      </c>
      <c r="I2403" s="34" t="s">
        <v>2114</v>
      </c>
      <c r="J2403" s="55">
        <v>279</v>
      </c>
      <c r="K2403" t="s">
        <v>2030</v>
      </c>
    </row>
    <row r="2404" spans="1:11" x14ac:dyDescent="0.3">
      <c r="A2404" t="s">
        <v>1550</v>
      </c>
      <c r="B2404" s="33">
        <v>43264</v>
      </c>
      <c r="C2404" s="34" t="s">
        <v>2221</v>
      </c>
      <c r="D2404" s="34">
        <v>5001</v>
      </c>
      <c r="E2404" s="35" t="s">
        <v>3712</v>
      </c>
      <c r="F2404" s="35" t="s">
        <v>6</v>
      </c>
      <c r="G2404" s="106"/>
      <c r="H2404" s="33">
        <v>43221</v>
      </c>
      <c r="I2404" s="34" t="s">
        <v>2114</v>
      </c>
      <c r="J2404" s="55">
        <v>279</v>
      </c>
      <c r="K2404" t="s">
        <v>2030</v>
      </c>
    </row>
    <row r="2405" spans="1:11" x14ac:dyDescent="0.3">
      <c r="A2405" t="s">
        <v>813</v>
      </c>
      <c r="B2405" s="33">
        <v>43265</v>
      </c>
      <c r="C2405" s="34" t="s">
        <v>3713</v>
      </c>
      <c r="D2405" s="34">
        <v>16</v>
      </c>
      <c r="E2405" s="35" t="s">
        <v>3702</v>
      </c>
      <c r="F2405" s="35" t="s">
        <v>27</v>
      </c>
      <c r="G2405" s="106">
        <v>4380326608</v>
      </c>
      <c r="H2405" s="33">
        <v>43221</v>
      </c>
      <c r="I2405" s="34" t="s">
        <v>2114</v>
      </c>
      <c r="J2405" s="36">
        <v>6572</v>
      </c>
      <c r="K2405" t="s">
        <v>2030</v>
      </c>
    </row>
    <row r="2406" spans="1:11" x14ac:dyDescent="0.3">
      <c r="A2406" t="s">
        <v>812</v>
      </c>
      <c r="B2406" s="33">
        <v>43266</v>
      </c>
      <c r="C2406" s="34" t="s">
        <v>3754</v>
      </c>
      <c r="D2406" s="34">
        <v>5405</v>
      </c>
      <c r="E2406" s="35" t="s">
        <v>2216</v>
      </c>
      <c r="F2406" s="35"/>
      <c r="G2406" s="110">
        <v>4320150392</v>
      </c>
      <c r="H2406" s="33">
        <v>43132</v>
      </c>
      <c r="I2406" s="34" t="s">
        <v>2114</v>
      </c>
      <c r="J2406" s="36">
        <v>1086.4000000000001</v>
      </c>
      <c r="K2406" t="s">
        <v>2030</v>
      </c>
    </row>
    <row r="2407" spans="1:11" x14ac:dyDescent="0.3">
      <c r="A2407" t="s">
        <v>813</v>
      </c>
      <c r="B2407" s="33">
        <v>43276</v>
      </c>
      <c r="C2407" s="34" t="s">
        <v>3755</v>
      </c>
      <c r="D2407" s="34">
        <v>16</v>
      </c>
      <c r="E2407" s="35" t="s">
        <v>2170</v>
      </c>
      <c r="F2407" s="35"/>
      <c r="G2407" s="106">
        <v>4380303767</v>
      </c>
      <c r="H2407" s="33">
        <v>43089</v>
      </c>
      <c r="I2407" s="34" t="s">
        <v>3756</v>
      </c>
      <c r="J2407" s="36">
        <v>16225</v>
      </c>
      <c r="K2407" t="s">
        <v>2030</v>
      </c>
    </row>
    <row r="2408" spans="1:11" x14ac:dyDescent="0.3">
      <c r="A2408" t="s">
        <v>813</v>
      </c>
      <c r="B2408" s="33">
        <v>43276</v>
      </c>
      <c r="C2408" s="34" t="s">
        <v>3755</v>
      </c>
      <c r="D2408" s="34">
        <v>16</v>
      </c>
      <c r="E2408" s="35" t="s">
        <v>2171</v>
      </c>
      <c r="F2408" s="35"/>
      <c r="G2408" s="106">
        <v>4380303767</v>
      </c>
      <c r="H2408" s="33">
        <v>43089</v>
      </c>
      <c r="I2408" s="34" t="s">
        <v>3757</v>
      </c>
      <c r="J2408" s="36">
        <v>17750</v>
      </c>
      <c r="K2408" t="s">
        <v>2030</v>
      </c>
    </row>
    <row r="2409" spans="1:11" x14ac:dyDescent="0.3">
      <c r="A2409" t="s">
        <v>813</v>
      </c>
      <c r="B2409" s="33">
        <v>43276</v>
      </c>
      <c r="C2409" s="34" t="s">
        <v>3755</v>
      </c>
      <c r="D2409" s="34">
        <v>16</v>
      </c>
      <c r="E2409" s="35" t="s">
        <v>2172</v>
      </c>
      <c r="F2409" s="35"/>
      <c r="G2409" s="106">
        <v>4380303767</v>
      </c>
      <c r="H2409" s="33">
        <v>43089</v>
      </c>
      <c r="I2409" s="34" t="s">
        <v>3758</v>
      </c>
      <c r="J2409" s="36">
        <v>17750</v>
      </c>
      <c r="K2409" t="s">
        <v>2030</v>
      </c>
    </row>
    <row r="2410" spans="1:11" x14ac:dyDescent="0.3">
      <c r="A2410" t="s">
        <v>813</v>
      </c>
      <c r="B2410" s="33">
        <v>43276</v>
      </c>
      <c r="C2410" s="34" t="s">
        <v>3755</v>
      </c>
      <c r="D2410" s="34">
        <v>16</v>
      </c>
      <c r="E2410" s="35" t="s">
        <v>3759</v>
      </c>
      <c r="F2410" s="35" t="s">
        <v>16</v>
      </c>
      <c r="G2410" s="106">
        <v>4380380275</v>
      </c>
      <c r="H2410" s="33">
        <v>43193</v>
      </c>
      <c r="I2410" s="34" t="s">
        <v>3760</v>
      </c>
      <c r="J2410" s="36">
        <v>16019</v>
      </c>
      <c r="K2410" t="s">
        <v>2030</v>
      </c>
    </row>
    <row r="2411" spans="1:11" x14ac:dyDescent="0.3">
      <c r="A2411" t="s">
        <v>813</v>
      </c>
      <c r="B2411" s="33">
        <v>43276</v>
      </c>
      <c r="C2411" s="34" t="s">
        <v>3755</v>
      </c>
      <c r="D2411" s="34">
        <v>16</v>
      </c>
      <c r="E2411" s="35" t="s">
        <v>3761</v>
      </c>
      <c r="F2411" s="35" t="s">
        <v>17</v>
      </c>
      <c r="G2411" s="106">
        <v>4380380275</v>
      </c>
      <c r="H2411" s="33">
        <v>43193</v>
      </c>
      <c r="I2411" s="34" t="s">
        <v>3762</v>
      </c>
      <c r="J2411" s="36">
        <v>16001</v>
      </c>
      <c r="K2411" t="s">
        <v>2030</v>
      </c>
    </row>
    <row r="2412" spans="1:11" x14ac:dyDescent="0.3">
      <c r="A2412" t="s">
        <v>813</v>
      </c>
      <c r="B2412" s="33">
        <v>43276</v>
      </c>
      <c r="C2412" s="34" t="s">
        <v>3755</v>
      </c>
      <c r="D2412" s="34">
        <v>16</v>
      </c>
      <c r="E2412" s="35" t="s">
        <v>3763</v>
      </c>
      <c r="F2412" s="35" t="s">
        <v>18</v>
      </c>
      <c r="G2412" s="106">
        <v>4380380275</v>
      </c>
      <c r="H2412" s="33">
        <v>43193</v>
      </c>
      <c r="I2412" s="34" t="s">
        <v>3764</v>
      </c>
      <c r="J2412" s="36">
        <v>15834.97</v>
      </c>
      <c r="K2412" t="s">
        <v>2030</v>
      </c>
    </row>
    <row r="2413" spans="1:11" x14ac:dyDescent="0.3">
      <c r="A2413" t="s">
        <v>813</v>
      </c>
      <c r="B2413" s="33">
        <v>43276</v>
      </c>
      <c r="C2413" s="34" t="s">
        <v>3755</v>
      </c>
      <c r="D2413" s="34">
        <v>16</v>
      </c>
      <c r="E2413" s="35" t="s">
        <v>3765</v>
      </c>
      <c r="F2413" s="35" t="s">
        <v>19</v>
      </c>
      <c r="G2413" s="106">
        <v>4380380275</v>
      </c>
      <c r="H2413" s="33">
        <v>43193</v>
      </c>
      <c r="I2413" s="34" t="s">
        <v>3766</v>
      </c>
      <c r="J2413" s="36">
        <v>16141</v>
      </c>
      <c r="K2413" t="s">
        <v>2030</v>
      </c>
    </row>
    <row r="2414" spans="1:11" x14ac:dyDescent="0.3">
      <c r="A2414" t="s">
        <v>813</v>
      </c>
      <c r="B2414" s="33">
        <v>43276</v>
      </c>
      <c r="C2414" s="34" t="s">
        <v>3755</v>
      </c>
      <c r="D2414" s="34">
        <v>16</v>
      </c>
      <c r="E2414" s="35" t="s">
        <v>3767</v>
      </c>
      <c r="F2414" s="35" t="s">
        <v>20</v>
      </c>
      <c r="G2414" s="106">
        <v>4380380275</v>
      </c>
      <c r="H2414" s="33">
        <v>43193</v>
      </c>
      <c r="I2414" s="34" t="s">
        <v>3768</v>
      </c>
      <c r="J2414" s="36">
        <v>15805</v>
      </c>
      <c r="K2414" t="s">
        <v>2030</v>
      </c>
    </row>
    <row r="2415" spans="1:11" x14ac:dyDescent="0.3">
      <c r="A2415" t="s">
        <v>813</v>
      </c>
      <c r="B2415" s="33">
        <v>43276</v>
      </c>
      <c r="C2415" s="34" t="s">
        <v>3755</v>
      </c>
      <c r="D2415" s="34">
        <v>16</v>
      </c>
      <c r="E2415" s="35" t="s">
        <v>3769</v>
      </c>
      <c r="F2415" s="35" t="s">
        <v>21</v>
      </c>
      <c r="G2415" s="106">
        <v>4380380275</v>
      </c>
      <c r="H2415" s="33">
        <v>43193</v>
      </c>
      <c r="I2415" s="34" t="s">
        <v>3770</v>
      </c>
      <c r="J2415" s="36">
        <v>15805</v>
      </c>
      <c r="K2415" t="s">
        <v>2030</v>
      </c>
    </row>
    <row r="2416" spans="1:11" x14ac:dyDescent="0.3">
      <c r="A2416" t="s">
        <v>813</v>
      </c>
      <c r="B2416" s="33">
        <v>43276</v>
      </c>
      <c r="C2416" s="34" t="s">
        <v>3755</v>
      </c>
      <c r="D2416" s="34">
        <v>16</v>
      </c>
      <c r="E2416" s="35" t="s">
        <v>3771</v>
      </c>
      <c r="F2416" s="35" t="s">
        <v>22</v>
      </c>
      <c r="G2416" s="106">
        <v>4380380275</v>
      </c>
      <c r="H2416" s="33">
        <v>43193</v>
      </c>
      <c r="I2416" s="34" t="s">
        <v>3772</v>
      </c>
      <c r="J2416" s="36">
        <v>16389.16</v>
      </c>
      <c r="K2416" t="s">
        <v>2030</v>
      </c>
    </row>
    <row r="2417" spans="1:11" x14ac:dyDescent="0.3">
      <c r="A2417" t="s">
        <v>813</v>
      </c>
      <c r="B2417" s="33">
        <v>43276</v>
      </c>
      <c r="C2417" s="34" t="s">
        <v>3755</v>
      </c>
      <c r="D2417" s="34">
        <v>16</v>
      </c>
      <c r="E2417" s="35" t="s">
        <v>3773</v>
      </c>
      <c r="F2417" s="35" t="s">
        <v>23</v>
      </c>
      <c r="G2417" s="106">
        <v>4380380275</v>
      </c>
      <c r="H2417" s="33">
        <v>43193</v>
      </c>
      <c r="I2417" s="34" t="s">
        <v>3774</v>
      </c>
      <c r="J2417" s="36">
        <v>16094.63</v>
      </c>
      <c r="K2417" t="s">
        <v>2030</v>
      </c>
    </row>
    <row r="2418" spans="1:11" x14ac:dyDescent="0.3">
      <c r="A2418" t="s">
        <v>813</v>
      </c>
      <c r="B2418" s="33">
        <v>43276</v>
      </c>
      <c r="C2418" s="34" t="s">
        <v>3755</v>
      </c>
      <c r="D2418" s="34">
        <v>16</v>
      </c>
      <c r="E2418" s="35" t="s">
        <v>3775</v>
      </c>
      <c r="F2418" s="35" t="s">
        <v>24</v>
      </c>
      <c r="G2418" s="106">
        <v>4380380275</v>
      </c>
      <c r="H2418" s="33">
        <v>43193</v>
      </c>
      <c r="I2418" s="34" t="s">
        <v>3776</v>
      </c>
      <c r="J2418" s="36">
        <v>15945</v>
      </c>
      <c r="K2418" t="s">
        <v>2030</v>
      </c>
    </row>
    <row r="2419" spans="1:11" x14ac:dyDescent="0.3">
      <c r="A2419" t="s">
        <v>813</v>
      </c>
      <c r="B2419" s="33">
        <v>43276</v>
      </c>
      <c r="C2419" s="34" t="s">
        <v>3755</v>
      </c>
      <c r="D2419" s="34">
        <v>16</v>
      </c>
      <c r="E2419" s="35" t="s">
        <v>3777</v>
      </c>
      <c r="F2419" s="35" t="s">
        <v>25</v>
      </c>
      <c r="G2419" s="106">
        <v>4380380275</v>
      </c>
      <c r="H2419" s="33">
        <v>43193</v>
      </c>
      <c r="I2419" s="34" t="s">
        <v>3778</v>
      </c>
      <c r="J2419" s="36">
        <v>16308</v>
      </c>
      <c r="K2419" t="s">
        <v>2030</v>
      </c>
    </row>
    <row r="2420" spans="1:11" x14ac:dyDescent="0.3">
      <c r="A2420" t="s">
        <v>813</v>
      </c>
      <c r="B2420" s="33">
        <v>43276</v>
      </c>
      <c r="C2420" s="34" t="s">
        <v>3755</v>
      </c>
      <c r="D2420" s="34">
        <v>16</v>
      </c>
      <c r="E2420" s="35" t="s">
        <v>3779</v>
      </c>
      <c r="F2420" s="35" t="s">
        <v>26</v>
      </c>
      <c r="G2420" s="106">
        <v>4380380275</v>
      </c>
      <c r="H2420" s="33">
        <v>43193</v>
      </c>
      <c r="I2420" s="34" t="s">
        <v>3780</v>
      </c>
      <c r="J2420" s="36">
        <v>16119.16</v>
      </c>
      <c r="K2420" t="s">
        <v>2030</v>
      </c>
    </row>
    <row r="2421" spans="1:11" x14ac:dyDescent="0.3">
      <c r="A2421" t="s">
        <v>813</v>
      </c>
      <c r="B2421" s="33">
        <v>43276</v>
      </c>
      <c r="C2421" s="34" t="s">
        <v>3755</v>
      </c>
      <c r="D2421" s="34">
        <v>16</v>
      </c>
      <c r="E2421" s="35" t="s">
        <v>3781</v>
      </c>
      <c r="F2421" s="35" t="s">
        <v>27</v>
      </c>
      <c r="G2421" s="106">
        <v>4380380275</v>
      </c>
      <c r="H2421" s="33">
        <v>43193</v>
      </c>
      <c r="I2421" s="34" t="s">
        <v>3782</v>
      </c>
      <c r="J2421" s="36">
        <v>15839.16</v>
      </c>
      <c r="K2421" t="s">
        <v>2030</v>
      </c>
    </row>
    <row r="2422" spans="1:11" x14ac:dyDescent="0.3">
      <c r="A2422" t="s">
        <v>813</v>
      </c>
      <c r="B2422" s="33">
        <v>43276</v>
      </c>
      <c r="C2422" s="34" t="s">
        <v>3755</v>
      </c>
      <c r="D2422" s="34">
        <v>16</v>
      </c>
      <c r="E2422" s="35" t="s">
        <v>3783</v>
      </c>
      <c r="F2422" s="35" t="s">
        <v>28</v>
      </c>
      <c r="G2422" s="106">
        <v>4380380275</v>
      </c>
      <c r="H2422" s="33">
        <v>43193</v>
      </c>
      <c r="I2422" s="34" t="s">
        <v>3784</v>
      </c>
      <c r="J2422" s="36">
        <v>16001</v>
      </c>
      <c r="K2422" t="s">
        <v>2030</v>
      </c>
    </row>
    <row r="2423" spans="1:11" x14ac:dyDescent="0.3">
      <c r="A2423" t="s">
        <v>813</v>
      </c>
      <c r="B2423" s="33">
        <v>43276</v>
      </c>
      <c r="C2423" s="34" t="s">
        <v>3755</v>
      </c>
      <c r="D2423" s="34">
        <v>16</v>
      </c>
      <c r="E2423" s="35" t="s">
        <v>3785</v>
      </c>
      <c r="F2423" s="35" t="s">
        <v>37</v>
      </c>
      <c r="G2423" s="106">
        <v>4380380275</v>
      </c>
      <c r="H2423" s="33">
        <v>43193</v>
      </c>
      <c r="I2423" s="34" t="s">
        <v>3786</v>
      </c>
      <c r="J2423" s="36">
        <v>16067.66</v>
      </c>
      <c r="K2423" t="s">
        <v>2030</v>
      </c>
    </row>
    <row r="2424" spans="1:11" x14ac:dyDescent="0.3">
      <c r="A2424" t="s">
        <v>813</v>
      </c>
      <c r="B2424" s="33">
        <v>43276</v>
      </c>
      <c r="C2424" s="34" t="s">
        <v>3755</v>
      </c>
      <c r="D2424" s="34">
        <v>16</v>
      </c>
      <c r="E2424" s="35" t="s">
        <v>3787</v>
      </c>
      <c r="F2424" s="35" t="s">
        <v>38</v>
      </c>
      <c r="G2424" s="106">
        <v>4380380275</v>
      </c>
      <c r="H2424" s="33">
        <v>43193</v>
      </c>
      <c r="I2424" s="34" t="s">
        <v>3788</v>
      </c>
      <c r="J2424" s="36">
        <v>15892.13</v>
      </c>
      <c r="K2424" t="s">
        <v>2030</v>
      </c>
    </row>
    <row r="2425" spans="1:11" x14ac:dyDescent="0.3">
      <c r="A2425" t="s">
        <v>813</v>
      </c>
      <c r="B2425" s="33">
        <v>43276</v>
      </c>
      <c r="C2425" s="34" t="s">
        <v>3755</v>
      </c>
      <c r="D2425" s="34">
        <v>16</v>
      </c>
      <c r="E2425" s="35" t="s">
        <v>3789</v>
      </c>
      <c r="F2425" s="35" t="s">
        <v>39</v>
      </c>
      <c r="G2425" s="106">
        <v>4380380275</v>
      </c>
      <c r="H2425" s="33">
        <v>43193</v>
      </c>
      <c r="I2425" s="34" t="s">
        <v>3790</v>
      </c>
      <c r="J2425" s="36">
        <v>16481.16</v>
      </c>
      <c r="K2425" t="s">
        <v>2030</v>
      </c>
    </row>
    <row r="2426" spans="1:11" x14ac:dyDescent="0.3">
      <c r="A2426" t="s">
        <v>813</v>
      </c>
      <c r="B2426" s="33">
        <v>43276</v>
      </c>
      <c r="C2426" s="34" t="s">
        <v>3755</v>
      </c>
      <c r="D2426" s="34">
        <v>16</v>
      </c>
      <c r="E2426" s="35" t="s">
        <v>3791</v>
      </c>
      <c r="F2426" s="35" t="s">
        <v>40</v>
      </c>
      <c r="G2426" s="106">
        <v>4380380275</v>
      </c>
      <c r="H2426" s="33">
        <v>43193</v>
      </c>
      <c r="I2426" s="34" t="s">
        <v>3792</v>
      </c>
      <c r="J2426" s="36">
        <v>16867</v>
      </c>
      <c r="K2426" t="s">
        <v>2030</v>
      </c>
    </row>
    <row r="2427" spans="1:11" x14ac:dyDescent="0.3">
      <c r="A2427" t="s">
        <v>813</v>
      </c>
      <c r="B2427" s="33">
        <v>43276</v>
      </c>
      <c r="C2427" s="34" t="s">
        <v>3755</v>
      </c>
      <c r="D2427" s="34">
        <v>16</v>
      </c>
      <c r="E2427" s="35" t="s">
        <v>3793</v>
      </c>
      <c r="F2427" s="35" t="s">
        <v>41</v>
      </c>
      <c r="G2427" s="106">
        <v>4380380275</v>
      </c>
      <c r="H2427" s="33">
        <v>43193</v>
      </c>
      <c r="I2427" s="34" t="s">
        <v>3794</v>
      </c>
      <c r="J2427" s="36">
        <v>15818</v>
      </c>
      <c r="K2427" t="s">
        <v>2030</v>
      </c>
    </row>
    <row r="2428" spans="1:11" x14ac:dyDescent="0.3">
      <c r="A2428" t="s">
        <v>813</v>
      </c>
      <c r="B2428" s="33">
        <v>43276</v>
      </c>
      <c r="C2428" s="34" t="s">
        <v>3755</v>
      </c>
      <c r="D2428" s="34">
        <v>16</v>
      </c>
      <c r="E2428" s="35" t="s">
        <v>3795</v>
      </c>
      <c r="F2428" s="35" t="s">
        <v>42</v>
      </c>
      <c r="G2428" s="106">
        <v>4380380275</v>
      </c>
      <c r="H2428" s="33">
        <v>43193</v>
      </c>
      <c r="I2428" s="34" t="s">
        <v>3796</v>
      </c>
      <c r="J2428" s="36">
        <v>16553.66</v>
      </c>
      <c r="K2428" t="s">
        <v>2030</v>
      </c>
    </row>
    <row r="2429" spans="1:11" x14ac:dyDescent="0.3">
      <c r="A2429" t="s">
        <v>818</v>
      </c>
      <c r="B2429" s="33">
        <v>43278</v>
      </c>
      <c r="C2429" s="34" t="s">
        <v>3850</v>
      </c>
      <c r="D2429" s="34">
        <v>1</v>
      </c>
      <c r="E2429" s="35" t="s">
        <v>4066</v>
      </c>
      <c r="F2429" s="35" t="s">
        <v>50</v>
      </c>
      <c r="G2429" s="106" t="s">
        <v>3852</v>
      </c>
      <c r="H2429" s="33">
        <v>43221</v>
      </c>
      <c r="I2429" s="34" t="s">
        <v>4067</v>
      </c>
      <c r="J2429" s="36">
        <v>954.18</v>
      </c>
      <c r="K2429" t="s">
        <v>2030</v>
      </c>
    </row>
    <row r="2430" spans="1:11" x14ac:dyDescent="0.3">
      <c r="A2430" t="s">
        <v>818</v>
      </c>
      <c r="B2430" s="33">
        <v>43278</v>
      </c>
      <c r="C2430" s="34" t="s">
        <v>3850</v>
      </c>
      <c r="D2430" s="34">
        <v>1</v>
      </c>
      <c r="E2430" s="35" t="s">
        <v>4066</v>
      </c>
      <c r="F2430" s="35" t="s">
        <v>51</v>
      </c>
      <c r="G2430" s="106" t="s">
        <v>3852</v>
      </c>
      <c r="H2430" s="33">
        <v>43221</v>
      </c>
      <c r="I2430" s="34" t="s">
        <v>4068</v>
      </c>
      <c r="J2430" s="36">
        <v>627.75</v>
      </c>
      <c r="K2430" t="s">
        <v>2030</v>
      </c>
    </row>
    <row r="2431" spans="1:11" x14ac:dyDescent="0.3">
      <c r="A2431" t="s">
        <v>818</v>
      </c>
      <c r="B2431" s="33">
        <v>43278</v>
      </c>
      <c r="C2431" s="34" t="s">
        <v>3850</v>
      </c>
      <c r="D2431" s="34">
        <v>1</v>
      </c>
      <c r="E2431" s="35" t="s">
        <v>4066</v>
      </c>
      <c r="F2431" s="35" t="s">
        <v>48</v>
      </c>
      <c r="G2431" s="106" t="s">
        <v>3852</v>
      </c>
      <c r="H2431" s="33">
        <v>43221</v>
      </c>
      <c r="I2431" s="34" t="s">
        <v>4069</v>
      </c>
      <c r="J2431" s="36">
        <v>1165.0999999999999</v>
      </c>
      <c r="K2431" t="s">
        <v>2030</v>
      </c>
    </row>
    <row r="2432" spans="1:11" x14ac:dyDescent="0.3">
      <c r="A2432" t="s">
        <v>818</v>
      </c>
      <c r="B2432" s="33">
        <v>43278</v>
      </c>
      <c r="C2432" s="34" t="s">
        <v>3850</v>
      </c>
      <c r="D2432" s="34">
        <v>1</v>
      </c>
      <c r="E2432" s="35" t="s">
        <v>4066</v>
      </c>
      <c r="F2432" s="35" t="s">
        <v>53</v>
      </c>
      <c r="G2432" s="106" t="s">
        <v>3852</v>
      </c>
      <c r="H2432" s="33">
        <v>43221</v>
      </c>
      <c r="I2432" s="34" t="s">
        <v>4070</v>
      </c>
      <c r="J2432" s="36">
        <v>502.2</v>
      </c>
      <c r="K2432" t="s">
        <v>2030</v>
      </c>
    </row>
    <row r="2433" spans="1:11" x14ac:dyDescent="0.3">
      <c r="A2433" t="s">
        <v>818</v>
      </c>
      <c r="B2433" s="33">
        <v>43278</v>
      </c>
      <c r="C2433" s="34" t="s">
        <v>3850</v>
      </c>
      <c r="D2433" s="34">
        <v>1</v>
      </c>
      <c r="E2433" s="35" t="s">
        <v>4066</v>
      </c>
      <c r="F2433" s="35" t="s">
        <v>38</v>
      </c>
      <c r="G2433" s="106" t="s">
        <v>3852</v>
      </c>
      <c r="H2433" s="33">
        <v>43221</v>
      </c>
      <c r="I2433" s="34" t="s">
        <v>4073</v>
      </c>
      <c r="J2433" s="36">
        <v>3866.94</v>
      </c>
      <c r="K2433" t="s">
        <v>2030</v>
      </c>
    </row>
    <row r="2434" spans="1:11" x14ac:dyDescent="0.3">
      <c r="A2434" t="s">
        <v>818</v>
      </c>
      <c r="B2434" s="33">
        <v>43278</v>
      </c>
      <c r="C2434" s="34" t="s">
        <v>3850</v>
      </c>
      <c r="D2434" s="34">
        <v>1</v>
      </c>
      <c r="E2434" s="35" t="s">
        <v>4066</v>
      </c>
      <c r="F2434" s="35" t="s">
        <v>28</v>
      </c>
      <c r="G2434" s="106" t="s">
        <v>3852</v>
      </c>
      <c r="H2434" s="33">
        <v>43221</v>
      </c>
      <c r="I2434" s="34" t="s">
        <v>4075</v>
      </c>
      <c r="J2434" s="36">
        <v>7320.88</v>
      </c>
      <c r="K2434" t="s">
        <v>2030</v>
      </c>
    </row>
    <row r="2435" spans="1:11" x14ac:dyDescent="0.3">
      <c r="A2435" t="s">
        <v>818</v>
      </c>
      <c r="B2435" s="33">
        <v>43278</v>
      </c>
      <c r="C2435" s="34" t="s">
        <v>3850</v>
      </c>
      <c r="D2435" s="34">
        <v>1</v>
      </c>
      <c r="E2435" s="35" t="s">
        <v>4066</v>
      </c>
      <c r="F2435" s="35" t="s">
        <v>54</v>
      </c>
      <c r="G2435" s="106" t="s">
        <v>3852</v>
      </c>
      <c r="H2435" s="33">
        <v>43221</v>
      </c>
      <c r="I2435" s="34" t="s">
        <v>4077</v>
      </c>
      <c r="J2435" s="36">
        <v>502.2</v>
      </c>
      <c r="K2435" t="s">
        <v>2030</v>
      </c>
    </row>
    <row r="2436" spans="1:11" x14ac:dyDescent="0.3">
      <c r="A2436" t="s">
        <v>818</v>
      </c>
      <c r="B2436" s="33">
        <v>43278</v>
      </c>
      <c r="C2436" s="34" t="s">
        <v>3850</v>
      </c>
      <c r="D2436" s="34">
        <v>1</v>
      </c>
      <c r="E2436" s="35" t="s">
        <v>4066</v>
      </c>
      <c r="F2436" s="35" t="s">
        <v>39</v>
      </c>
      <c r="G2436" s="106" t="s">
        <v>3852</v>
      </c>
      <c r="H2436" s="33">
        <v>43221</v>
      </c>
      <c r="I2436" s="34" t="s">
        <v>4079</v>
      </c>
      <c r="J2436" s="36">
        <v>3319.54</v>
      </c>
      <c r="K2436" t="s">
        <v>2030</v>
      </c>
    </row>
    <row r="2437" spans="1:11" x14ac:dyDescent="0.3">
      <c r="A2437" t="s">
        <v>818</v>
      </c>
      <c r="B2437" s="33">
        <v>43278</v>
      </c>
      <c r="C2437" s="34" t="s">
        <v>3850</v>
      </c>
      <c r="D2437" s="34">
        <v>1</v>
      </c>
      <c r="E2437" s="35" t="s">
        <v>4066</v>
      </c>
      <c r="F2437" s="35" t="s">
        <v>37</v>
      </c>
      <c r="G2437" s="106" t="s">
        <v>3852</v>
      </c>
      <c r="H2437" s="33">
        <v>43221</v>
      </c>
      <c r="I2437" s="34" t="s">
        <v>4080</v>
      </c>
      <c r="J2437" s="36">
        <v>7048.63</v>
      </c>
      <c r="K2437" t="s">
        <v>2030</v>
      </c>
    </row>
    <row r="2438" spans="1:11" x14ac:dyDescent="0.3">
      <c r="A2438" t="s">
        <v>818</v>
      </c>
      <c r="B2438" s="33">
        <v>43278</v>
      </c>
      <c r="C2438" s="34" t="s">
        <v>3850</v>
      </c>
      <c r="D2438" s="34">
        <v>1</v>
      </c>
      <c r="E2438" s="35" t="s">
        <v>4066</v>
      </c>
      <c r="F2438" s="35" t="s">
        <v>27</v>
      </c>
      <c r="G2438" s="106" t="s">
        <v>3852</v>
      </c>
      <c r="H2438" s="33">
        <v>43221</v>
      </c>
      <c r="I2438" s="34" t="s">
        <v>4083</v>
      </c>
      <c r="J2438" s="36">
        <v>8294.77</v>
      </c>
      <c r="K2438" t="s">
        <v>2030</v>
      </c>
    </row>
    <row r="2439" spans="1:11" x14ac:dyDescent="0.3">
      <c r="A2439" t="s">
        <v>818</v>
      </c>
      <c r="B2439" s="33">
        <v>43278</v>
      </c>
      <c r="C2439" s="34" t="s">
        <v>3850</v>
      </c>
      <c r="D2439" s="34">
        <v>1</v>
      </c>
      <c r="E2439" s="35" t="s">
        <v>4066</v>
      </c>
      <c r="F2439" s="35" t="s">
        <v>44</v>
      </c>
      <c r="G2439" s="106" t="s">
        <v>3852</v>
      </c>
      <c r="H2439" s="33">
        <v>43221</v>
      </c>
      <c r="I2439" s="34" t="s">
        <v>4115</v>
      </c>
      <c r="J2439" s="36">
        <v>1556.82</v>
      </c>
      <c r="K2439" t="s">
        <v>2030</v>
      </c>
    </row>
    <row r="2440" spans="1:11" x14ac:dyDescent="0.3">
      <c r="A2440" t="s">
        <v>818</v>
      </c>
      <c r="B2440" s="33">
        <v>43278</v>
      </c>
      <c r="C2440" s="34" t="s">
        <v>3850</v>
      </c>
      <c r="D2440" s="34">
        <v>1</v>
      </c>
      <c r="E2440" s="35" t="s">
        <v>4066</v>
      </c>
      <c r="F2440" s="35" t="s">
        <v>43</v>
      </c>
      <c r="G2440" s="106" t="s">
        <v>3852</v>
      </c>
      <c r="H2440" s="33">
        <v>43221</v>
      </c>
      <c r="I2440" s="34" t="s">
        <v>4116</v>
      </c>
      <c r="J2440" s="36">
        <v>1727.57</v>
      </c>
      <c r="K2440" t="s">
        <v>2030</v>
      </c>
    </row>
    <row r="2441" spans="1:11" x14ac:dyDescent="0.3">
      <c r="A2441" t="s">
        <v>818</v>
      </c>
      <c r="B2441" s="33">
        <v>43278</v>
      </c>
      <c r="C2441" s="34" t="s">
        <v>3850</v>
      </c>
      <c r="D2441" s="34">
        <v>1</v>
      </c>
      <c r="E2441" s="35" t="s">
        <v>4066</v>
      </c>
      <c r="F2441" s="35" t="s">
        <v>40</v>
      </c>
      <c r="G2441" s="106" t="s">
        <v>3852</v>
      </c>
      <c r="H2441" s="33">
        <v>43221</v>
      </c>
      <c r="I2441" s="34" t="s">
        <v>4117</v>
      </c>
      <c r="J2441" s="36">
        <v>2229.77</v>
      </c>
      <c r="K2441" t="s">
        <v>2030</v>
      </c>
    </row>
    <row r="2442" spans="1:11" x14ac:dyDescent="0.3">
      <c r="A2442" t="s">
        <v>818</v>
      </c>
      <c r="B2442" s="33">
        <v>43278</v>
      </c>
      <c r="C2442" s="34" t="s">
        <v>3850</v>
      </c>
      <c r="D2442" s="34">
        <v>1</v>
      </c>
      <c r="E2442" s="35" t="s">
        <v>4066</v>
      </c>
      <c r="F2442" s="35" t="s">
        <v>42</v>
      </c>
      <c r="G2442" s="106" t="s">
        <v>3852</v>
      </c>
      <c r="H2442" s="33">
        <v>43221</v>
      </c>
      <c r="I2442" s="34" t="s">
        <v>4118</v>
      </c>
      <c r="J2442" s="36">
        <v>1913.38</v>
      </c>
      <c r="K2442" t="s">
        <v>2030</v>
      </c>
    </row>
    <row r="2443" spans="1:11" x14ac:dyDescent="0.3">
      <c r="A2443" t="s">
        <v>818</v>
      </c>
      <c r="B2443" s="33">
        <v>43278</v>
      </c>
      <c r="C2443" s="34" t="s">
        <v>3850</v>
      </c>
      <c r="D2443" s="34">
        <v>1</v>
      </c>
      <c r="E2443" s="35" t="s">
        <v>4066</v>
      </c>
      <c r="F2443" s="35" t="s">
        <v>41</v>
      </c>
      <c r="G2443" s="106" t="s">
        <v>3852</v>
      </c>
      <c r="H2443" s="33">
        <v>43221</v>
      </c>
      <c r="I2443" s="34" t="s">
        <v>4119</v>
      </c>
      <c r="J2443" s="36">
        <v>2224.75</v>
      </c>
      <c r="K2443" t="s">
        <v>2030</v>
      </c>
    </row>
    <row r="2444" spans="1:11" x14ac:dyDescent="0.3">
      <c r="A2444" t="s">
        <v>818</v>
      </c>
      <c r="B2444" s="33">
        <v>43278</v>
      </c>
      <c r="C2444" s="34" t="s">
        <v>3850</v>
      </c>
      <c r="D2444" s="34">
        <v>1</v>
      </c>
      <c r="E2444" s="35" t="s">
        <v>4066</v>
      </c>
      <c r="F2444" s="35" t="s">
        <v>295</v>
      </c>
      <c r="G2444" s="106" t="s">
        <v>3852</v>
      </c>
      <c r="H2444" s="33">
        <v>43221</v>
      </c>
      <c r="I2444" s="34" t="s">
        <v>4120</v>
      </c>
      <c r="J2444" s="36">
        <v>1230.3900000000001</v>
      </c>
      <c r="K2444" t="s">
        <v>2030</v>
      </c>
    </row>
    <row r="2445" spans="1:11" x14ac:dyDescent="0.3">
      <c r="A2445" t="s">
        <v>818</v>
      </c>
      <c r="B2445" s="33">
        <v>43278</v>
      </c>
      <c r="C2445" s="34" t="s">
        <v>3850</v>
      </c>
      <c r="D2445" s="34">
        <v>1</v>
      </c>
      <c r="E2445" s="35" t="s">
        <v>4066</v>
      </c>
      <c r="F2445" s="35" t="s">
        <v>49</v>
      </c>
      <c r="G2445" s="106" t="s">
        <v>3852</v>
      </c>
      <c r="H2445" s="33">
        <v>43221</v>
      </c>
      <c r="I2445" s="34" t="s">
        <v>4121</v>
      </c>
      <c r="J2445" s="36">
        <v>999.38</v>
      </c>
      <c r="K2445" t="s">
        <v>2030</v>
      </c>
    </row>
    <row r="2446" spans="1:11" x14ac:dyDescent="0.3">
      <c r="A2446" t="s">
        <v>818</v>
      </c>
      <c r="B2446" s="33">
        <v>43278</v>
      </c>
      <c r="C2446" s="34" t="s">
        <v>3850</v>
      </c>
      <c r="D2446" s="34">
        <v>1</v>
      </c>
      <c r="E2446" s="35" t="s">
        <v>4066</v>
      </c>
      <c r="F2446" s="35" t="s">
        <v>46</v>
      </c>
      <c r="G2446" s="106" t="s">
        <v>3852</v>
      </c>
      <c r="H2446" s="33">
        <v>43221</v>
      </c>
      <c r="I2446" s="34" t="s">
        <v>4122</v>
      </c>
      <c r="J2446" s="36">
        <v>1371.01</v>
      </c>
      <c r="K2446" t="s">
        <v>2030</v>
      </c>
    </row>
    <row r="2447" spans="1:11" x14ac:dyDescent="0.3">
      <c r="A2447" t="s">
        <v>818</v>
      </c>
      <c r="B2447" s="33">
        <v>43278</v>
      </c>
      <c r="C2447" s="34" t="s">
        <v>3850</v>
      </c>
      <c r="D2447" s="34">
        <v>1</v>
      </c>
      <c r="E2447" s="35" t="s">
        <v>4066</v>
      </c>
      <c r="F2447" s="35" t="s">
        <v>47</v>
      </c>
      <c r="G2447" s="106" t="s">
        <v>3852</v>
      </c>
      <c r="H2447" s="33">
        <v>43221</v>
      </c>
      <c r="I2447" s="34" t="s">
        <v>4123</v>
      </c>
      <c r="J2447" s="36">
        <v>1365.98</v>
      </c>
      <c r="K2447" t="s">
        <v>2030</v>
      </c>
    </row>
    <row r="2448" spans="1:11" x14ac:dyDescent="0.3">
      <c r="A2448" t="s">
        <v>818</v>
      </c>
      <c r="B2448" s="33">
        <v>43278</v>
      </c>
      <c r="C2448" s="34" t="s">
        <v>3850</v>
      </c>
      <c r="D2448" s="34">
        <v>1</v>
      </c>
      <c r="E2448" s="35" t="s">
        <v>4066</v>
      </c>
      <c r="F2448" s="35" t="s">
        <v>52</v>
      </c>
      <c r="G2448" s="106" t="s">
        <v>3852</v>
      </c>
      <c r="H2448" s="33">
        <v>43221</v>
      </c>
      <c r="I2448" s="34" t="s">
        <v>4124</v>
      </c>
      <c r="J2448" s="36">
        <v>502.2</v>
      </c>
      <c r="K2448" t="s">
        <v>2030</v>
      </c>
    </row>
    <row r="2449" spans="1:11" x14ac:dyDescent="0.3">
      <c r="A2449" t="s">
        <v>818</v>
      </c>
      <c r="B2449" s="33">
        <v>43278</v>
      </c>
      <c r="C2449" s="34" t="s">
        <v>3850</v>
      </c>
      <c r="D2449" s="34">
        <v>1</v>
      </c>
      <c r="E2449" s="35" t="s">
        <v>4066</v>
      </c>
      <c r="F2449" s="35" t="s">
        <v>45</v>
      </c>
      <c r="G2449" s="106" t="s">
        <v>3852</v>
      </c>
      <c r="H2449" s="33">
        <v>43221</v>
      </c>
      <c r="I2449" s="34" t="s">
        <v>4125</v>
      </c>
      <c r="J2449" s="36">
        <v>1496.56</v>
      </c>
      <c r="K2449" t="s">
        <v>2030</v>
      </c>
    </row>
    <row r="2450" spans="1:11" x14ac:dyDescent="0.3">
      <c r="A2450" t="s">
        <v>818</v>
      </c>
      <c r="B2450" s="33">
        <v>43278</v>
      </c>
      <c r="C2450" s="34" t="s">
        <v>3850</v>
      </c>
      <c r="D2450" s="34">
        <v>1</v>
      </c>
      <c r="E2450" s="35" t="s">
        <v>3886</v>
      </c>
      <c r="F2450" s="35" t="s">
        <v>65</v>
      </c>
      <c r="G2450" s="106" t="s">
        <v>3852</v>
      </c>
      <c r="H2450" s="33">
        <v>43221</v>
      </c>
      <c r="I2450" s="34" t="s">
        <v>3887</v>
      </c>
      <c r="J2450" s="36">
        <v>485</v>
      </c>
      <c r="K2450" t="s">
        <v>2030</v>
      </c>
    </row>
    <row r="2451" spans="1:11" x14ac:dyDescent="0.3">
      <c r="A2451" t="s">
        <v>818</v>
      </c>
      <c r="B2451" s="33">
        <v>43278</v>
      </c>
      <c r="C2451" s="34" t="s">
        <v>3850</v>
      </c>
      <c r="D2451" s="34">
        <v>1</v>
      </c>
      <c r="E2451" s="35" t="s">
        <v>3886</v>
      </c>
      <c r="F2451" s="35" t="s">
        <v>64</v>
      </c>
      <c r="G2451" s="106" t="s">
        <v>3852</v>
      </c>
      <c r="H2451" s="33">
        <v>43221</v>
      </c>
      <c r="I2451" s="34" t="s">
        <v>3888</v>
      </c>
      <c r="J2451" s="36">
        <v>504.53</v>
      </c>
      <c r="K2451" t="s">
        <v>2030</v>
      </c>
    </row>
    <row r="2452" spans="1:11" x14ac:dyDescent="0.3">
      <c r="A2452" t="s">
        <v>818</v>
      </c>
      <c r="B2452" s="33">
        <v>43278</v>
      </c>
      <c r="C2452" s="34" t="s">
        <v>3850</v>
      </c>
      <c r="D2452" s="34">
        <v>1</v>
      </c>
      <c r="E2452" s="35" t="s">
        <v>3886</v>
      </c>
      <c r="F2452" s="35" t="s">
        <v>71</v>
      </c>
      <c r="G2452" s="106" t="s">
        <v>3852</v>
      </c>
      <c r="H2452" s="33">
        <v>43221</v>
      </c>
      <c r="I2452" s="34" t="s">
        <v>3889</v>
      </c>
      <c r="J2452" s="36">
        <v>309.23</v>
      </c>
      <c r="K2452" t="s">
        <v>2030</v>
      </c>
    </row>
    <row r="2453" spans="1:11" x14ac:dyDescent="0.3">
      <c r="A2453" t="s">
        <v>818</v>
      </c>
      <c r="B2453" s="33">
        <v>43278</v>
      </c>
      <c r="C2453" s="34" t="s">
        <v>3850</v>
      </c>
      <c r="D2453" s="34">
        <v>1</v>
      </c>
      <c r="E2453" s="35" t="s">
        <v>3886</v>
      </c>
      <c r="F2453" s="35" t="s">
        <v>75</v>
      </c>
      <c r="G2453" s="106" t="s">
        <v>3852</v>
      </c>
      <c r="H2453" s="33">
        <v>43221</v>
      </c>
      <c r="I2453" s="34" t="s">
        <v>3890</v>
      </c>
      <c r="J2453" s="36">
        <v>162.75</v>
      </c>
      <c r="K2453" t="s">
        <v>2030</v>
      </c>
    </row>
    <row r="2454" spans="1:11" x14ac:dyDescent="0.3">
      <c r="A2454" t="s">
        <v>818</v>
      </c>
      <c r="B2454" s="33">
        <v>43278</v>
      </c>
      <c r="C2454" s="34" t="s">
        <v>3850</v>
      </c>
      <c r="D2454" s="34">
        <v>1</v>
      </c>
      <c r="E2454" s="35" t="s">
        <v>3886</v>
      </c>
      <c r="F2454" s="35" t="s">
        <v>74</v>
      </c>
      <c r="G2454" s="106" t="s">
        <v>3852</v>
      </c>
      <c r="H2454" s="33">
        <v>43221</v>
      </c>
      <c r="I2454" s="34" t="s">
        <v>3891</v>
      </c>
      <c r="J2454" s="36">
        <v>162.75</v>
      </c>
      <c r="K2454" t="s">
        <v>2030</v>
      </c>
    </row>
    <row r="2455" spans="1:11" x14ac:dyDescent="0.3">
      <c r="A2455" t="s">
        <v>818</v>
      </c>
      <c r="B2455" s="33">
        <v>43278</v>
      </c>
      <c r="C2455" s="34" t="s">
        <v>3850</v>
      </c>
      <c r="D2455" s="34">
        <v>1</v>
      </c>
      <c r="E2455" s="35" t="s">
        <v>3886</v>
      </c>
      <c r="F2455" s="35" t="s">
        <v>73</v>
      </c>
      <c r="G2455" s="106" t="s">
        <v>3852</v>
      </c>
      <c r="H2455" s="33">
        <v>43221</v>
      </c>
      <c r="I2455" s="34" t="s">
        <v>3901</v>
      </c>
      <c r="J2455" s="36">
        <v>162.75</v>
      </c>
      <c r="K2455" t="s">
        <v>2030</v>
      </c>
    </row>
    <row r="2456" spans="1:11" x14ac:dyDescent="0.3">
      <c r="A2456" t="s">
        <v>818</v>
      </c>
      <c r="B2456" s="33">
        <v>43278</v>
      </c>
      <c r="C2456" s="34" t="s">
        <v>3850</v>
      </c>
      <c r="D2456" s="34">
        <v>1</v>
      </c>
      <c r="E2456" s="35" t="s">
        <v>3886</v>
      </c>
      <c r="F2456" s="35" t="s">
        <v>66</v>
      </c>
      <c r="G2456" s="106" t="s">
        <v>3852</v>
      </c>
      <c r="H2456" s="33">
        <v>43221</v>
      </c>
      <c r="I2456" s="34" t="s">
        <v>3975</v>
      </c>
      <c r="J2456" s="36">
        <v>444.31</v>
      </c>
      <c r="K2456" t="s">
        <v>2030</v>
      </c>
    </row>
    <row r="2457" spans="1:11" x14ac:dyDescent="0.3">
      <c r="A2457" t="s">
        <v>818</v>
      </c>
      <c r="B2457" s="33">
        <v>43278</v>
      </c>
      <c r="C2457" s="34" t="s">
        <v>3850</v>
      </c>
      <c r="D2457" s="34">
        <v>1</v>
      </c>
      <c r="E2457" s="35" t="s">
        <v>3886</v>
      </c>
      <c r="F2457" s="35" t="s">
        <v>58</v>
      </c>
      <c r="G2457" s="106" t="s">
        <v>3852</v>
      </c>
      <c r="H2457" s="33">
        <v>43221</v>
      </c>
      <c r="I2457" s="34" t="s">
        <v>4071</v>
      </c>
      <c r="J2457" s="36">
        <v>1253.18</v>
      </c>
      <c r="K2457" t="s">
        <v>2030</v>
      </c>
    </row>
    <row r="2458" spans="1:11" x14ac:dyDescent="0.3">
      <c r="A2458" t="s">
        <v>818</v>
      </c>
      <c r="B2458" s="33">
        <v>43278</v>
      </c>
      <c r="C2458" s="34" t="s">
        <v>3850</v>
      </c>
      <c r="D2458" s="34">
        <v>1</v>
      </c>
      <c r="E2458" s="35" t="s">
        <v>3886</v>
      </c>
      <c r="F2458" s="35" t="s">
        <v>55</v>
      </c>
      <c r="G2458" s="106" t="s">
        <v>3852</v>
      </c>
      <c r="H2458" s="33">
        <v>43221</v>
      </c>
      <c r="I2458" s="34" t="s">
        <v>4072</v>
      </c>
      <c r="J2458" s="36">
        <v>2688.09</v>
      </c>
      <c r="K2458" t="s">
        <v>2030</v>
      </c>
    </row>
    <row r="2459" spans="1:11" x14ac:dyDescent="0.3">
      <c r="A2459" t="s">
        <v>818</v>
      </c>
      <c r="B2459" s="33">
        <v>43278</v>
      </c>
      <c r="C2459" s="34" t="s">
        <v>3850</v>
      </c>
      <c r="D2459" s="34">
        <v>1</v>
      </c>
      <c r="E2459" s="35" t="s">
        <v>3886</v>
      </c>
      <c r="F2459" s="35" t="s">
        <v>59</v>
      </c>
      <c r="G2459" s="106" t="s">
        <v>3852</v>
      </c>
      <c r="H2459" s="33">
        <v>43221</v>
      </c>
      <c r="I2459" s="34" t="s">
        <v>4074</v>
      </c>
      <c r="J2459" s="36">
        <v>1075.78</v>
      </c>
      <c r="K2459" t="s">
        <v>2030</v>
      </c>
    </row>
    <row r="2460" spans="1:11" x14ac:dyDescent="0.3">
      <c r="A2460" t="s">
        <v>818</v>
      </c>
      <c r="B2460" s="33">
        <v>43278</v>
      </c>
      <c r="C2460" s="34" t="s">
        <v>3850</v>
      </c>
      <c r="D2460" s="34">
        <v>1</v>
      </c>
      <c r="E2460" s="35" t="s">
        <v>3886</v>
      </c>
      <c r="F2460" s="35" t="s">
        <v>61</v>
      </c>
      <c r="G2460" s="106" t="s">
        <v>3852</v>
      </c>
      <c r="H2460" s="33">
        <v>43221</v>
      </c>
      <c r="I2460" s="34" t="s">
        <v>4076</v>
      </c>
      <c r="J2460" s="36">
        <v>720.98</v>
      </c>
      <c r="K2460" t="s">
        <v>2030</v>
      </c>
    </row>
    <row r="2461" spans="1:11" x14ac:dyDescent="0.3">
      <c r="A2461" t="s">
        <v>818</v>
      </c>
      <c r="B2461" s="33">
        <v>43278</v>
      </c>
      <c r="C2461" s="34" t="s">
        <v>3850</v>
      </c>
      <c r="D2461" s="34">
        <v>1</v>
      </c>
      <c r="E2461" s="35" t="s">
        <v>3886</v>
      </c>
      <c r="F2461" s="35" t="s">
        <v>56</v>
      </c>
      <c r="G2461" s="106" t="s">
        <v>3852</v>
      </c>
      <c r="H2461" s="33">
        <v>43221</v>
      </c>
      <c r="I2461" s="34" t="s">
        <v>4078</v>
      </c>
      <c r="J2461" s="36">
        <v>2372.5100000000002</v>
      </c>
      <c r="K2461" t="s">
        <v>2030</v>
      </c>
    </row>
    <row r="2462" spans="1:11" x14ac:dyDescent="0.3">
      <c r="A2462" t="s">
        <v>818</v>
      </c>
      <c r="B2462" s="33">
        <v>43278</v>
      </c>
      <c r="C2462" s="34" t="s">
        <v>3850</v>
      </c>
      <c r="D2462" s="34">
        <v>1</v>
      </c>
      <c r="E2462" s="35" t="s">
        <v>3886</v>
      </c>
      <c r="F2462" s="35" t="s">
        <v>60</v>
      </c>
      <c r="G2462" s="106" t="s">
        <v>3852</v>
      </c>
      <c r="H2462" s="33">
        <v>43221</v>
      </c>
      <c r="I2462" s="34" t="s">
        <v>4081</v>
      </c>
      <c r="J2462" s="36">
        <v>722.61</v>
      </c>
      <c r="K2462" t="s">
        <v>2030</v>
      </c>
    </row>
    <row r="2463" spans="1:11" x14ac:dyDescent="0.3">
      <c r="A2463" t="s">
        <v>818</v>
      </c>
      <c r="B2463" s="33">
        <v>43278</v>
      </c>
      <c r="C2463" s="34" t="s">
        <v>3850</v>
      </c>
      <c r="D2463" s="34">
        <v>1</v>
      </c>
      <c r="E2463" s="35" t="s">
        <v>3886</v>
      </c>
      <c r="F2463" s="35" t="s">
        <v>57</v>
      </c>
      <c r="G2463" s="106" t="s">
        <v>3852</v>
      </c>
      <c r="H2463" s="33">
        <v>43221</v>
      </c>
      <c r="I2463" s="34" t="s">
        <v>4082</v>
      </c>
      <c r="J2463" s="36">
        <v>2284.2800000000002</v>
      </c>
      <c r="K2463" t="s">
        <v>2030</v>
      </c>
    </row>
    <row r="2464" spans="1:11" x14ac:dyDescent="0.3">
      <c r="A2464" t="s">
        <v>818</v>
      </c>
      <c r="B2464" s="33">
        <v>43278</v>
      </c>
      <c r="C2464" s="34" t="s">
        <v>3850</v>
      </c>
      <c r="D2464" s="34">
        <v>1</v>
      </c>
      <c r="E2464" s="35" t="s">
        <v>3886</v>
      </c>
      <c r="F2464" s="35" t="s">
        <v>62</v>
      </c>
      <c r="G2464" s="106" t="s">
        <v>3852</v>
      </c>
      <c r="H2464" s="33">
        <v>43221</v>
      </c>
      <c r="I2464" s="34" t="s">
        <v>4084</v>
      </c>
      <c r="J2464" s="36">
        <v>620.08000000000004</v>
      </c>
      <c r="K2464" t="s">
        <v>2030</v>
      </c>
    </row>
    <row r="2465" spans="1:11" x14ac:dyDescent="0.3">
      <c r="A2465" t="s">
        <v>818</v>
      </c>
      <c r="B2465" s="33">
        <v>43278</v>
      </c>
      <c r="C2465" s="34" t="s">
        <v>3850</v>
      </c>
      <c r="D2465" s="34">
        <v>1</v>
      </c>
      <c r="E2465" s="35" t="s">
        <v>3886</v>
      </c>
      <c r="F2465" s="35" t="s">
        <v>63</v>
      </c>
      <c r="G2465" s="106" t="s">
        <v>3852</v>
      </c>
      <c r="H2465" s="33">
        <v>43221</v>
      </c>
      <c r="I2465" s="34" t="s">
        <v>4085</v>
      </c>
      <c r="J2465" s="36">
        <v>559.86</v>
      </c>
      <c r="K2465" t="s">
        <v>2030</v>
      </c>
    </row>
    <row r="2466" spans="1:11" x14ac:dyDescent="0.3">
      <c r="A2466" t="s">
        <v>818</v>
      </c>
      <c r="B2466" s="33">
        <v>43278</v>
      </c>
      <c r="C2466" s="34" t="s">
        <v>3850</v>
      </c>
      <c r="D2466" s="34">
        <v>1</v>
      </c>
      <c r="E2466" s="35" t="s">
        <v>3886</v>
      </c>
      <c r="F2466" s="35" t="s">
        <v>67</v>
      </c>
      <c r="G2466" s="106" t="s">
        <v>3852</v>
      </c>
      <c r="H2466" s="33">
        <v>43221</v>
      </c>
      <c r="I2466" s="34" t="s">
        <v>4086</v>
      </c>
      <c r="J2466" s="36">
        <v>442.68</v>
      </c>
      <c r="K2466" t="s">
        <v>2030</v>
      </c>
    </row>
    <row r="2467" spans="1:11" x14ac:dyDescent="0.3">
      <c r="A2467" t="s">
        <v>818</v>
      </c>
      <c r="B2467" s="33">
        <v>43278</v>
      </c>
      <c r="C2467" s="34" t="s">
        <v>3850</v>
      </c>
      <c r="D2467" s="34">
        <v>1</v>
      </c>
      <c r="E2467" s="35" t="s">
        <v>3886</v>
      </c>
      <c r="F2467" s="35" t="s">
        <v>72</v>
      </c>
      <c r="G2467" s="106" t="s">
        <v>3852</v>
      </c>
      <c r="H2467" s="33">
        <v>43221</v>
      </c>
      <c r="I2467" s="34" t="s">
        <v>4087</v>
      </c>
      <c r="J2467" s="36">
        <v>203.44</v>
      </c>
      <c r="K2467" t="s">
        <v>2030</v>
      </c>
    </row>
    <row r="2468" spans="1:11" x14ac:dyDescent="0.3">
      <c r="A2468" t="s">
        <v>818</v>
      </c>
      <c r="B2468" s="33">
        <v>43278</v>
      </c>
      <c r="C2468" s="34" t="s">
        <v>3850</v>
      </c>
      <c r="D2468" s="34">
        <v>1</v>
      </c>
      <c r="E2468" s="35" t="s">
        <v>3886</v>
      </c>
      <c r="F2468" s="35" t="s">
        <v>68</v>
      </c>
      <c r="G2468" s="106" t="s">
        <v>3852</v>
      </c>
      <c r="H2468" s="33">
        <v>43221</v>
      </c>
      <c r="I2468" s="34" t="s">
        <v>4088</v>
      </c>
      <c r="J2468" s="36">
        <v>398.74</v>
      </c>
      <c r="K2468" t="s">
        <v>2030</v>
      </c>
    </row>
    <row r="2469" spans="1:11" x14ac:dyDescent="0.3">
      <c r="A2469" t="s">
        <v>818</v>
      </c>
      <c r="B2469" s="33">
        <v>43278</v>
      </c>
      <c r="C2469" s="34" t="s">
        <v>3850</v>
      </c>
      <c r="D2469" s="34">
        <v>1</v>
      </c>
      <c r="E2469" s="35" t="s">
        <v>3886</v>
      </c>
      <c r="F2469" s="35" t="s">
        <v>70</v>
      </c>
      <c r="G2469" s="106" t="s">
        <v>3852</v>
      </c>
      <c r="H2469" s="33">
        <v>43221</v>
      </c>
      <c r="I2469" s="34" t="s">
        <v>4089</v>
      </c>
      <c r="J2469" s="36">
        <v>323.87</v>
      </c>
      <c r="K2469" t="s">
        <v>2030</v>
      </c>
    </row>
    <row r="2470" spans="1:11" x14ac:dyDescent="0.3">
      <c r="A2470" t="s">
        <v>818</v>
      </c>
      <c r="B2470" s="33">
        <v>43278</v>
      </c>
      <c r="C2470" s="34" t="s">
        <v>3850</v>
      </c>
      <c r="D2470" s="34">
        <v>1</v>
      </c>
      <c r="E2470" s="35" t="s">
        <v>3886</v>
      </c>
      <c r="F2470" s="35" t="s">
        <v>69</v>
      </c>
      <c r="G2470" s="106" t="s">
        <v>3852</v>
      </c>
      <c r="H2470" s="33">
        <v>43221</v>
      </c>
      <c r="I2470" s="34" t="s">
        <v>4090</v>
      </c>
      <c r="J2470" s="36">
        <v>377.58</v>
      </c>
      <c r="K2470" t="s">
        <v>2030</v>
      </c>
    </row>
    <row r="2471" spans="1:11" x14ac:dyDescent="0.3">
      <c r="A2471" t="s">
        <v>818</v>
      </c>
      <c r="B2471" s="33">
        <v>43278</v>
      </c>
      <c r="C2471" s="34" t="s">
        <v>3850</v>
      </c>
      <c r="D2471" s="19">
        <v>1</v>
      </c>
      <c r="E2471" s="20" t="s">
        <v>3851</v>
      </c>
      <c r="F2471" s="20" t="s">
        <v>19</v>
      </c>
      <c r="G2471" s="105" t="s">
        <v>3852</v>
      </c>
      <c r="H2471" s="33">
        <v>43221</v>
      </c>
      <c r="I2471" s="34" t="s">
        <v>3853</v>
      </c>
      <c r="J2471" s="21">
        <v>2058.81</v>
      </c>
      <c r="K2471" t="s">
        <v>2030</v>
      </c>
    </row>
    <row r="2472" spans="1:11" x14ac:dyDescent="0.3">
      <c r="A2472" t="s">
        <v>818</v>
      </c>
      <c r="B2472" s="33">
        <v>43278</v>
      </c>
      <c r="C2472" s="34" t="s">
        <v>3850</v>
      </c>
      <c r="D2472" s="19">
        <v>1</v>
      </c>
      <c r="E2472" s="20" t="s">
        <v>3851</v>
      </c>
      <c r="F2472" s="20" t="s">
        <v>18</v>
      </c>
      <c r="G2472" s="105" t="s">
        <v>3852</v>
      </c>
      <c r="H2472" s="33">
        <v>43221</v>
      </c>
      <c r="I2472" s="34" t="s">
        <v>3854</v>
      </c>
      <c r="J2472" s="21">
        <v>2285.6999999999998</v>
      </c>
      <c r="K2472" t="s">
        <v>2030</v>
      </c>
    </row>
    <row r="2473" spans="1:11" x14ac:dyDescent="0.3">
      <c r="A2473" t="s">
        <v>818</v>
      </c>
      <c r="B2473" s="33">
        <v>43278</v>
      </c>
      <c r="C2473" s="34" t="s">
        <v>3850</v>
      </c>
      <c r="D2473" s="19">
        <v>1</v>
      </c>
      <c r="E2473" s="20" t="s">
        <v>3851</v>
      </c>
      <c r="F2473" s="20" t="s">
        <v>20</v>
      </c>
      <c r="G2473" s="105" t="s">
        <v>3852</v>
      </c>
      <c r="H2473" s="33">
        <v>43221</v>
      </c>
      <c r="I2473" s="34" t="s">
        <v>3855</v>
      </c>
      <c r="J2473" s="21">
        <v>1949.57</v>
      </c>
      <c r="K2473" t="s">
        <v>2030</v>
      </c>
    </row>
    <row r="2474" spans="1:11" x14ac:dyDescent="0.3">
      <c r="A2474" t="s">
        <v>818</v>
      </c>
      <c r="B2474" s="33">
        <v>43278</v>
      </c>
      <c r="C2474" s="34" t="s">
        <v>3850</v>
      </c>
      <c r="D2474" s="19">
        <v>1</v>
      </c>
      <c r="E2474" s="20" t="s">
        <v>3851</v>
      </c>
      <c r="F2474" s="20" t="s">
        <v>8</v>
      </c>
      <c r="G2474" s="105" t="s">
        <v>3852</v>
      </c>
      <c r="H2474" s="33">
        <v>43221</v>
      </c>
      <c r="I2474" s="34" t="s">
        <v>3892</v>
      </c>
      <c r="J2474" s="21">
        <v>11794.48</v>
      </c>
      <c r="K2474" t="s">
        <v>2030</v>
      </c>
    </row>
    <row r="2475" spans="1:11" x14ac:dyDescent="0.3">
      <c r="A2475" t="s">
        <v>818</v>
      </c>
      <c r="B2475" s="33">
        <v>43278</v>
      </c>
      <c r="C2475" s="34" t="s">
        <v>3850</v>
      </c>
      <c r="D2475" s="19">
        <v>1</v>
      </c>
      <c r="E2475" s="20" t="s">
        <v>3851</v>
      </c>
      <c r="F2475" s="20" t="s">
        <v>13</v>
      </c>
      <c r="G2475" s="105" t="s">
        <v>3852</v>
      </c>
      <c r="H2475" s="33">
        <v>43221</v>
      </c>
      <c r="I2475" s="34" t="s">
        <v>3893</v>
      </c>
      <c r="J2475" s="21">
        <v>3201.66</v>
      </c>
      <c r="K2475" t="s">
        <v>2030</v>
      </c>
    </row>
    <row r="2476" spans="1:11" x14ac:dyDescent="0.3">
      <c r="A2476" t="s">
        <v>818</v>
      </c>
      <c r="B2476" s="33">
        <v>43278</v>
      </c>
      <c r="C2476" s="34" t="s">
        <v>3850</v>
      </c>
      <c r="D2476" s="19">
        <v>1</v>
      </c>
      <c r="E2476" s="20" t="s">
        <v>3851</v>
      </c>
      <c r="F2476" s="20" t="s">
        <v>6</v>
      </c>
      <c r="G2476" s="105" t="s">
        <v>3852</v>
      </c>
      <c r="H2476" s="33">
        <v>43221</v>
      </c>
      <c r="I2476" s="34" t="s">
        <v>3894</v>
      </c>
      <c r="J2476" s="21">
        <v>13879.68</v>
      </c>
      <c r="K2476" t="s">
        <v>2030</v>
      </c>
    </row>
    <row r="2477" spans="1:11" x14ac:dyDescent="0.3">
      <c r="A2477" t="s">
        <v>818</v>
      </c>
      <c r="B2477" s="33">
        <v>43278</v>
      </c>
      <c r="C2477" s="34" t="s">
        <v>3850</v>
      </c>
      <c r="D2477" s="19">
        <v>1</v>
      </c>
      <c r="E2477" s="20" t="s">
        <v>3851</v>
      </c>
      <c r="F2477" s="20" t="s">
        <v>7</v>
      </c>
      <c r="G2477" s="105" t="s">
        <v>3852</v>
      </c>
      <c r="H2477" s="33">
        <v>43221</v>
      </c>
      <c r="I2477" s="34" t="s">
        <v>3895</v>
      </c>
      <c r="J2477" s="21">
        <v>12250.04</v>
      </c>
      <c r="K2477" t="s">
        <v>2030</v>
      </c>
    </row>
    <row r="2478" spans="1:11" x14ac:dyDescent="0.3">
      <c r="A2478" t="s">
        <v>818</v>
      </c>
      <c r="B2478" s="33">
        <v>43278</v>
      </c>
      <c r="C2478" s="34" t="s">
        <v>3850</v>
      </c>
      <c r="D2478" s="19">
        <v>1</v>
      </c>
      <c r="E2478" s="20" t="s">
        <v>3851</v>
      </c>
      <c r="F2478" s="20" t="s">
        <v>9</v>
      </c>
      <c r="G2478" s="105" t="s">
        <v>3852</v>
      </c>
      <c r="H2478" s="33">
        <v>43221</v>
      </c>
      <c r="I2478" s="34" t="s">
        <v>3896</v>
      </c>
      <c r="J2478" s="21">
        <v>6470.56</v>
      </c>
      <c r="K2478" t="s">
        <v>2030</v>
      </c>
    </row>
    <row r="2479" spans="1:11" x14ac:dyDescent="0.3">
      <c r="A2479" t="s">
        <v>818</v>
      </c>
      <c r="B2479" s="33">
        <v>43278</v>
      </c>
      <c r="C2479" s="34" t="s">
        <v>3850</v>
      </c>
      <c r="D2479" s="19">
        <v>1</v>
      </c>
      <c r="E2479" s="20" t="s">
        <v>3851</v>
      </c>
      <c r="F2479" s="20" t="s">
        <v>10</v>
      </c>
      <c r="G2479" s="105" t="s">
        <v>3852</v>
      </c>
      <c r="H2479" s="33">
        <v>43221</v>
      </c>
      <c r="I2479" s="34" t="s">
        <v>3897</v>
      </c>
      <c r="J2479" s="21">
        <v>5554.59</v>
      </c>
      <c r="K2479" t="s">
        <v>2030</v>
      </c>
    </row>
    <row r="2480" spans="1:11" x14ac:dyDescent="0.3">
      <c r="A2480" t="s">
        <v>818</v>
      </c>
      <c r="B2480" s="33">
        <v>43278</v>
      </c>
      <c r="C2480" s="34" t="s">
        <v>3850</v>
      </c>
      <c r="D2480" s="19">
        <v>1</v>
      </c>
      <c r="E2480" s="20" t="s">
        <v>3851</v>
      </c>
      <c r="F2480" s="20" t="s">
        <v>16</v>
      </c>
      <c r="G2480" s="105" t="s">
        <v>3852</v>
      </c>
      <c r="H2480" s="33">
        <v>43221</v>
      </c>
      <c r="I2480" s="34" t="s">
        <v>3898</v>
      </c>
      <c r="J2480" s="21">
        <v>2504.19</v>
      </c>
      <c r="K2480" t="s">
        <v>2030</v>
      </c>
    </row>
    <row r="2481" spans="1:11" x14ac:dyDescent="0.3">
      <c r="A2481" t="s">
        <v>818</v>
      </c>
      <c r="B2481" s="33">
        <v>43278</v>
      </c>
      <c r="C2481" s="34" t="s">
        <v>3850</v>
      </c>
      <c r="D2481" s="19">
        <v>1</v>
      </c>
      <c r="E2481" s="20" t="s">
        <v>3851</v>
      </c>
      <c r="F2481" s="20" t="s">
        <v>11</v>
      </c>
      <c r="G2481" s="105" t="s">
        <v>3852</v>
      </c>
      <c r="H2481" s="33">
        <v>43221</v>
      </c>
      <c r="I2481" s="34" t="s">
        <v>3899</v>
      </c>
      <c r="J2481" s="21">
        <v>3731.07</v>
      </c>
      <c r="K2481" t="s">
        <v>2030</v>
      </c>
    </row>
    <row r="2482" spans="1:11" x14ac:dyDescent="0.3">
      <c r="A2482" t="s">
        <v>818</v>
      </c>
      <c r="B2482" s="33">
        <v>43278</v>
      </c>
      <c r="C2482" s="34" t="s">
        <v>3850</v>
      </c>
      <c r="D2482" s="19">
        <v>1</v>
      </c>
      <c r="E2482" s="20" t="s">
        <v>3851</v>
      </c>
      <c r="F2482" s="20" t="s">
        <v>15</v>
      </c>
      <c r="G2482" s="105" t="s">
        <v>3852</v>
      </c>
      <c r="H2482" s="33">
        <v>43221</v>
      </c>
      <c r="I2482" s="34" t="s">
        <v>3900</v>
      </c>
      <c r="J2482" s="21">
        <v>2605.0300000000002</v>
      </c>
      <c r="K2482" t="s">
        <v>2030</v>
      </c>
    </row>
    <row r="2483" spans="1:11" x14ac:dyDescent="0.3">
      <c r="A2483" t="s">
        <v>818</v>
      </c>
      <c r="B2483" s="33">
        <v>43278</v>
      </c>
      <c r="C2483" s="34" t="s">
        <v>3850</v>
      </c>
      <c r="D2483" s="19">
        <v>1</v>
      </c>
      <c r="E2483" s="20" t="s">
        <v>3851</v>
      </c>
      <c r="F2483" s="20" t="s">
        <v>12</v>
      </c>
      <c r="G2483" s="105" t="s">
        <v>3852</v>
      </c>
      <c r="H2483" s="33">
        <v>43221</v>
      </c>
      <c r="I2483" s="34" t="s">
        <v>3902</v>
      </c>
      <c r="J2483" s="21">
        <v>3722.67</v>
      </c>
      <c r="K2483" t="s">
        <v>2030</v>
      </c>
    </row>
    <row r="2484" spans="1:11" x14ac:dyDescent="0.3">
      <c r="A2484" t="s">
        <v>818</v>
      </c>
      <c r="B2484" s="33">
        <v>43278</v>
      </c>
      <c r="C2484" s="34" t="s">
        <v>3850</v>
      </c>
      <c r="D2484" s="19">
        <v>1</v>
      </c>
      <c r="E2484" s="20" t="s">
        <v>3851</v>
      </c>
      <c r="F2484" s="20" t="s">
        <v>14</v>
      </c>
      <c r="G2484" s="105" t="s">
        <v>3852</v>
      </c>
      <c r="H2484" s="33">
        <v>43221</v>
      </c>
      <c r="I2484" s="34" t="s">
        <v>3903</v>
      </c>
      <c r="J2484" s="21">
        <v>2890.74</v>
      </c>
      <c r="K2484" t="s">
        <v>2030</v>
      </c>
    </row>
    <row r="2485" spans="1:11" x14ac:dyDescent="0.3">
      <c r="A2485" t="s">
        <v>818</v>
      </c>
      <c r="B2485" s="33">
        <v>43278</v>
      </c>
      <c r="C2485" s="34" t="s">
        <v>3850</v>
      </c>
      <c r="D2485" s="19">
        <v>1</v>
      </c>
      <c r="E2485" s="20" t="s">
        <v>3851</v>
      </c>
      <c r="F2485" s="20" t="s">
        <v>23</v>
      </c>
      <c r="G2485" s="105" t="s">
        <v>3852</v>
      </c>
      <c r="H2485" s="33">
        <v>43221</v>
      </c>
      <c r="I2485" s="34" t="s">
        <v>3904</v>
      </c>
      <c r="J2485" s="21">
        <v>1050.42</v>
      </c>
      <c r="K2485" t="s">
        <v>2030</v>
      </c>
    </row>
    <row r="2486" spans="1:11" x14ac:dyDescent="0.3">
      <c r="A2486" t="s">
        <v>818</v>
      </c>
      <c r="B2486" s="33">
        <v>43278</v>
      </c>
      <c r="C2486" s="34" t="s">
        <v>3850</v>
      </c>
      <c r="D2486" s="19">
        <v>1</v>
      </c>
      <c r="E2486" s="20" t="s">
        <v>3851</v>
      </c>
      <c r="F2486" s="20" t="s">
        <v>24</v>
      </c>
      <c r="G2486" s="105" t="s">
        <v>3852</v>
      </c>
      <c r="H2486" s="33">
        <v>43221</v>
      </c>
      <c r="I2486" s="34" t="s">
        <v>3905</v>
      </c>
      <c r="J2486" s="21">
        <v>840.33</v>
      </c>
      <c r="K2486" t="s">
        <v>2030</v>
      </c>
    </row>
    <row r="2487" spans="1:11" x14ac:dyDescent="0.3">
      <c r="A2487" t="s">
        <v>818</v>
      </c>
      <c r="B2487" s="33">
        <v>43278</v>
      </c>
      <c r="C2487" s="34" t="s">
        <v>3850</v>
      </c>
      <c r="D2487" s="19">
        <v>1</v>
      </c>
      <c r="E2487" s="20" t="s">
        <v>3851</v>
      </c>
      <c r="F2487" s="20" t="s">
        <v>22</v>
      </c>
      <c r="G2487" s="105" t="s">
        <v>3852</v>
      </c>
      <c r="H2487" s="33">
        <v>43221</v>
      </c>
      <c r="I2487" s="34" t="s">
        <v>3906</v>
      </c>
      <c r="J2487" s="21">
        <v>1596.63</v>
      </c>
      <c r="K2487" t="s">
        <v>2030</v>
      </c>
    </row>
    <row r="2488" spans="1:11" x14ac:dyDescent="0.3">
      <c r="A2488" t="s">
        <v>818</v>
      </c>
      <c r="B2488" s="33">
        <v>43278</v>
      </c>
      <c r="C2488" s="34" t="s">
        <v>3850</v>
      </c>
      <c r="D2488" s="19">
        <v>1</v>
      </c>
      <c r="E2488" s="20" t="s">
        <v>3851</v>
      </c>
      <c r="F2488" s="20" t="s">
        <v>25</v>
      </c>
      <c r="G2488" s="105" t="s">
        <v>3852</v>
      </c>
      <c r="H2488" s="33">
        <v>43221</v>
      </c>
      <c r="I2488" s="34" t="s">
        <v>3907</v>
      </c>
      <c r="J2488" s="21">
        <v>840.33</v>
      </c>
      <c r="K2488" t="s">
        <v>2030</v>
      </c>
    </row>
    <row r="2489" spans="1:11" x14ac:dyDescent="0.3">
      <c r="A2489" t="s">
        <v>818</v>
      </c>
      <c r="B2489" s="33">
        <v>43278</v>
      </c>
      <c r="C2489" s="34" t="s">
        <v>3850</v>
      </c>
      <c r="D2489" s="19">
        <v>1</v>
      </c>
      <c r="E2489" s="20" t="s">
        <v>3851</v>
      </c>
      <c r="F2489" s="20" t="s">
        <v>17</v>
      </c>
      <c r="G2489" s="105" t="s">
        <v>3852</v>
      </c>
      <c r="H2489" s="33">
        <v>43221</v>
      </c>
      <c r="I2489" s="34" t="s">
        <v>3908</v>
      </c>
      <c r="J2489" s="21">
        <v>2294.11</v>
      </c>
      <c r="K2489" t="s">
        <v>2030</v>
      </c>
    </row>
    <row r="2490" spans="1:11" x14ac:dyDescent="0.3">
      <c r="A2490" t="s">
        <v>818</v>
      </c>
      <c r="B2490" s="33">
        <v>43278</v>
      </c>
      <c r="C2490" s="34" t="s">
        <v>3850</v>
      </c>
      <c r="D2490" s="19">
        <v>1</v>
      </c>
      <c r="E2490" s="20" t="s">
        <v>3851</v>
      </c>
      <c r="F2490" s="20" t="s">
        <v>21</v>
      </c>
      <c r="G2490" s="105" t="s">
        <v>3852</v>
      </c>
      <c r="H2490" s="33">
        <v>43221</v>
      </c>
      <c r="I2490" s="34" t="s">
        <v>3909</v>
      </c>
      <c r="J2490" s="21">
        <v>1672.26</v>
      </c>
      <c r="K2490" t="s">
        <v>2030</v>
      </c>
    </row>
    <row r="2491" spans="1:11" x14ac:dyDescent="0.3">
      <c r="A2491" t="s">
        <v>818</v>
      </c>
      <c r="B2491" s="33">
        <v>43278</v>
      </c>
      <c r="C2491" s="34" t="s">
        <v>3850</v>
      </c>
      <c r="D2491" s="19">
        <v>1</v>
      </c>
      <c r="E2491" s="20" t="s">
        <v>3851</v>
      </c>
      <c r="F2491" s="20" t="s">
        <v>26</v>
      </c>
      <c r="G2491" s="105" t="s">
        <v>3852</v>
      </c>
      <c r="H2491" s="33">
        <v>43221</v>
      </c>
      <c r="I2491" s="34" t="s">
        <v>3910</v>
      </c>
      <c r="J2491" s="21">
        <v>840.33</v>
      </c>
      <c r="K2491" t="s">
        <v>2030</v>
      </c>
    </row>
    <row r="2492" spans="1:11" x14ac:dyDescent="0.3">
      <c r="A2492" t="s">
        <v>818</v>
      </c>
      <c r="B2492" s="33">
        <v>43278</v>
      </c>
      <c r="C2492" s="34" t="s">
        <v>3797</v>
      </c>
      <c r="D2492" s="19">
        <v>2000</v>
      </c>
      <c r="E2492" s="20" t="s">
        <v>3798</v>
      </c>
      <c r="F2492" s="20" t="s">
        <v>133</v>
      </c>
      <c r="G2492" s="105" t="s">
        <v>3799</v>
      </c>
      <c r="H2492" s="33">
        <v>43221</v>
      </c>
      <c r="I2492" s="34" t="s">
        <v>3800</v>
      </c>
      <c r="J2492" s="21">
        <v>261.8</v>
      </c>
      <c r="K2492" t="s">
        <v>2030</v>
      </c>
    </row>
    <row r="2493" spans="1:11" x14ac:dyDescent="0.3">
      <c r="A2493" t="s">
        <v>818</v>
      </c>
      <c r="B2493" s="33">
        <v>43278</v>
      </c>
      <c r="C2493" s="34" t="s">
        <v>3797</v>
      </c>
      <c r="D2493" s="19">
        <v>2000</v>
      </c>
      <c r="E2493" s="20" t="s">
        <v>3798</v>
      </c>
      <c r="F2493" s="20" t="s">
        <v>305</v>
      </c>
      <c r="G2493" s="105" t="s">
        <v>3801</v>
      </c>
      <c r="H2493" s="33">
        <v>43221</v>
      </c>
      <c r="I2493" s="34" t="s">
        <v>3802</v>
      </c>
      <c r="J2493" s="21">
        <v>121.55</v>
      </c>
      <c r="K2493" t="s">
        <v>2030</v>
      </c>
    </row>
    <row r="2494" spans="1:11" x14ac:dyDescent="0.3">
      <c r="A2494" t="s">
        <v>818</v>
      </c>
      <c r="B2494" s="33">
        <v>43278</v>
      </c>
      <c r="C2494" s="34" t="s">
        <v>3797</v>
      </c>
      <c r="D2494" s="19">
        <v>2000</v>
      </c>
      <c r="E2494" s="20" t="s">
        <v>3798</v>
      </c>
      <c r="F2494" s="20" t="s">
        <v>308</v>
      </c>
      <c r="G2494" s="105" t="s">
        <v>3801</v>
      </c>
      <c r="H2494" s="33">
        <v>43221</v>
      </c>
      <c r="I2494" s="34" t="s">
        <v>3803</v>
      </c>
      <c r="J2494" s="21">
        <v>112.2</v>
      </c>
      <c r="K2494" t="s">
        <v>2030</v>
      </c>
    </row>
    <row r="2495" spans="1:11" x14ac:dyDescent="0.3">
      <c r="A2495" t="s">
        <v>818</v>
      </c>
      <c r="B2495" s="33">
        <v>43278</v>
      </c>
      <c r="C2495" s="34" t="s">
        <v>3797</v>
      </c>
      <c r="D2495" s="19">
        <v>2000</v>
      </c>
      <c r="E2495" s="20" t="s">
        <v>3798</v>
      </c>
      <c r="F2495" s="20" t="s">
        <v>136</v>
      </c>
      <c r="G2495" s="105" t="s">
        <v>3799</v>
      </c>
      <c r="H2495" s="33">
        <v>43221</v>
      </c>
      <c r="I2495" s="34" t="s">
        <v>3804</v>
      </c>
      <c r="J2495" s="21">
        <v>65.45</v>
      </c>
      <c r="K2495" t="s">
        <v>2030</v>
      </c>
    </row>
    <row r="2496" spans="1:11" x14ac:dyDescent="0.3">
      <c r="A2496" t="s">
        <v>818</v>
      </c>
      <c r="B2496" s="33">
        <v>43278</v>
      </c>
      <c r="C2496" s="34" t="s">
        <v>3797</v>
      </c>
      <c r="D2496" s="19">
        <v>2000</v>
      </c>
      <c r="E2496" s="20" t="s">
        <v>3798</v>
      </c>
      <c r="F2496" s="20" t="s">
        <v>309</v>
      </c>
      <c r="G2496" s="105" t="s">
        <v>3801</v>
      </c>
      <c r="H2496" s="33">
        <v>43221</v>
      </c>
      <c r="I2496" s="34" t="s">
        <v>3805</v>
      </c>
      <c r="J2496" s="21">
        <v>74.8</v>
      </c>
      <c r="K2496" t="s">
        <v>2030</v>
      </c>
    </row>
    <row r="2497" spans="1:11" x14ac:dyDescent="0.3">
      <c r="A2497" t="s">
        <v>818</v>
      </c>
      <c r="B2497" s="33">
        <v>43278</v>
      </c>
      <c r="C2497" s="34" t="s">
        <v>3797</v>
      </c>
      <c r="D2497" s="19">
        <v>2000</v>
      </c>
      <c r="E2497" s="20" t="s">
        <v>3798</v>
      </c>
      <c r="F2497" s="20" t="s">
        <v>304</v>
      </c>
      <c r="G2497" s="105" t="s">
        <v>3801</v>
      </c>
      <c r="H2497" s="33">
        <v>43221</v>
      </c>
      <c r="I2497" s="34" t="s">
        <v>3806</v>
      </c>
      <c r="J2497" s="21">
        <v>121.55</v>
      </c>
      <c r="K2497" t="s">
        <v>2030</v>
      </c>
    </row>
    <row r="2498" spans="1:11" x14ac:dyDescent="0.3">
      <c r="A2498" t="s">
        <v>818</v>
      </c>
      <c r="B2498" s="33">
        <v>43278</v>
      </c>
      <c r="C2498" s="34" t="s">
        <v>3797</v>
      </c>
      <c r="D2498" s="19">
        <v>2000</v>
      </c>
      <c r="E2498" s="20" t="s">
        <v>3798</v>
      </c>
      <c r="F2498" s="20" t="s">
        <v>21</v>
      </c>
      <c r="G2498" s="105" t="s">
        <v>3807</v>
      </c>
      <c r="H2498" s="33">
        <v>43221</v>
      </c>
      <c r="I2498" s="34" t="s">
        <v>3808</v>
      </c>
      <c r="J2498" s="21">
        <v>299.2</v>
      </c>
      <c r="K2498" t="s">
        <v>2030</v>
      </c>
    </row>
    <row r="2499" spans="1:11" x14ac:dyDescent="0.3">
      <c r="A2499" t="s">
        <v>818</v>
      </c>
      <c r="B2499" s="33">
        <v>43278</v>
      </c>
      <c r="C2499" s="34" t="s">
        <v>3797</v>
      </c>
      <c r="D2499" s="19">
        <v>2000</v>
      </c>
      <c r="E2499" s="20" t="s">
        <v>3798</v>
      </c>
      <c r="F2499" s="20" t="s">
        <v>19</v>
      </c>
      <c r="G2499" s="105" t="s">
        <v>3809</v>
      </c>
      <c r="H2499" s="33">
        <v>43221</v>
      </c>
      <c r="I2499" s="34" t="s">
        <v>3810</v>
      </c>
      <c r="J2499" s="21">
        <v>299.2</v>
      </c>
      <c r="K2499" t="s">
        <v>2030</v>
      </c>
    </row>
    <row r="2500" spans="1:11" x14ac:dyDescent="0.3">
      <c r="A2500" t="s">
        <v>818</v>
      </c>
      <c r="B2500" s="33">
        <v>43278</v>
      </c>
      <c r="C2500" s="34" t="s">
        <v>3797</v>
      </c>
      <c r="D2500" s="19">
        <v>2000</v>
      </c>
      <c r="E2500" s="20" t="s">
        <v>3798</v>
      </c>
      <c r="F2500" s="20" t="s">
        <v>26</v>
      </c>
      <c r="G2500" s="105" t="s">
        <v>3811</v>
      </c>
      <c r="H2500" s="33">
        <v>43221</v>
      </c>
      <c r="I2500" s="34" t="s">
        <v>3812</v>
      </c>
      <c r="J2500" s="21">
        <v>299.2</v>
      </c>
      <c r="K2500" t="s">
        <v>2030</v>
      </c>
    </row>
    <row r="2501" spans="1:11" x14ac:dyDescent="0.3">
      <c r="A2501" t="s">
        <v>818</v>
      </c>
      <c r="B2501" s="33">
        <v>43278</v>
      </c>
      <c r="C2501" s="34" t="s">
        <v>3797</v>
      </c>
      <c r="D2501" s="19">
        <v>2000</v>
      </c>
      <c r="E2501" s="20" t="s">
        <v>3798</v>
      </c>
      <c r="F2501" s="20" t="s">
        <v>27</v>
      </c>
      <c r="G2501" s="105" t="s">
        <v>3813</v>
      </c>
      <c r="H2501" s="33">
        <v>43221</v>
      </c>
      <c r="I2501" s="34" t="s">
        <v>3814</v>
      </c>
      <c r="J2501" s="21">
        <v>299.2</v>
      </c>
      <c r="K2501" t="s">
        <v>2030</v>
      </c>
    </row>
    <row r="2502" spans="1:11" x14ac:dyDescent="0.3">
      <c r="A2502" t="s">
        <v>818</v>
      </c>
      <c r="B2502" s="33">
        <v>43278</v>
      </c>
      <c r="C2502" s="34" t="s">
        <v>3797</v>
      </c>
      <c r="D2502" s="19">
        <v>2000</v>
      </c>
      <c r="E2502" s="20" t="s">
        <v>3798</v>
      </c>
      <c r="F2502" s="20" t="s">
        <v>22</v>
      </c>
      <c r="G2502" s="105" t="s">
        <v>3807</v>
      </c>
      <c r="H2502" s="33">
        <v>43221</v>
      </c>
      <c r="I2502" s="34" t="s">
        <v>3815</v>
      </c>
      <c r="J2502" s="21">
        <v>299.2</v>
      </c>
      <c r="K2502" t="s">
        <v>2030</v>
      </c>
    </row>
    <row r="2503" spans="1:11" x14ac:dyDescent="0.3">
      <c r="A2503" t="s">
        <v>818</v>
      </c>
      <c r="B2503" s="33">
        <v>43278</v>
      </c>
      <c r="C2503" s="34" t="s">
        <v>3797</v>
      </c>
      <c r="D2503" s="19">
        <v>2000</v>
      </c>
      <c r="E2503" s="20" t="s">
        <v>3798</v>
      </c>
      <c r="F2503" s="20" t="s">
        <v>18</v>
      </c>
      <c r="G2503" s="105" t="s">
        <v>3809</v>
      </c>
      <c r="H2503" s="33">
        <v>43221</v>
      </c>
      <c r="I2503" s="34" t="s">
        <v>3816</v>
      </c>
      <c r="J2503" s="21">
        <v>299.2</v>
      </c>
      <c r="K2503" t="s">
        <v>2030</v>
      </c>
    </row>
    <row r="2504" spans="1:11" x14ac:dyDescent="0.3">
      <c r="A2504" t="s">
        <v>818</v>
      </c>
      <c r="B2504" s="33">
        <v>43278</v>
      </c>
      <c r="C2504" s="34" t="s">
        <v>3797</v>
      </c>
      <c r="D2504" s="19">
        <v>2000</v>
      </c>
      <c r="E2504" s="20" t="s">
        <v>3798</v>
      </c>
      <c r="F2504" s="20" t="s">
        <v>23</v>
      </c>
      <c r="G2504" s="105" t="s">
        <v>3817</v>
      </c>
      <c r="H2504" s="33">
        <v>43221</v>
      </c>
      <c r="I2504" s="34" t="s">
        <v>3818</v>
      </c>
      <c r="J2504" s="21">
        <v>299.2</v>
      </c>
      <c r="K2504" t="s">
        <v>2030</v>
      </c>
    </row>
    <row r="2505" spans="1:11" x14ac:dyDescent="0.3">
      <c r="A2505" t="s">
        <v>818</v>
      </c>
      <c r="B2505" s="33">
        <v>43278</v>
      </c>
      <c r="C2505" s="34" t="s">
        <v>3797</v>
      </c>
      <c r="D2505" s="19">
        <v>2000</v>
      </c>
      <c r="E2505" s="20" t="s">
        <v>3798</v>
      </c>
      <c r="F2505" s="20" t="s">
        <v>17</v>
      </c>
      <c r="G2505" s="105" t="s">
        <v>3819</v>
      </c>
      <c r="H2505" s="33">
        <v>43221</v>
      </c>
      <c r="I2505" s="34" t="s">
        <v>3820</v>
      </c>
      <c r="J2505" s="21">
        <v>299.2</v>
      </c>
      <c r="K2505" t="s">
        <v>2030</v>
      </c>
    </row>
    <row r="2506" spans="1:11" x14ac:dyDescent="0.3">
      <c r="A2506" t="s">
        <v>818</v>
      </c>
      <c r="B2506" s="33">
        <v>43278</v>
      </c>
      <c r="C2506" s="34" t="s">
        <v>3797</v>
      </c>
      <c r="D2506" s="19">
        <v>2000</v>
      </c>
      <c r="E2506" s="20" t="s">
        <v>3798</v>
      </c>
      <c r="F2506" s="20" t="s">
        <v>14</v>
      </c>
      <c r="G2506" s="105" t="s">
        <v>3821</v>
      </c>
      <c r="H2506" s="33">
        <v>43221</v>
      </c>
      <c r="I2506" s="34" t="s">
        <v>3822</v>
      </c>
      <c r="J2506" s="21">
        <v>299.2</v>
      </c>
      <c r="K2506" t="s">
        <v>2030</v>
      </c>
    </row>
    <row r="2507" spans="1:11" x14ac:dyDescent="0.3">
      <c r="A2507" t="s">
        <v>818</v>
      </c>
      <c r="B2507" s="33">
        <v>43278</v>
      </c>
      <c r="C2507" s="34" t="s">
        <v>3797</v>
      </c>
      <c r="D2507" s="19">
        <v>2000</v>
      </c>
      <c r="E2507" s="20" t="s">
        <v>3798</v>
      </c>
      <c r="F2507" s="20" t="s">
        <v>15</v>
      </c>
      <c r="G2507" s="105" t="s">
        <v>3823</v>
      </c>
      <c r="H2507" s="33">
        <v>43221</v>
      </c>
      <c r="I2507" s="34" t="s">
        <v>3824</v>
      </c>
      <c r="J2507" s="21">
        <v>299.2</v>
      </c>
      <c r="K2507" t="s">
        <v>2030</v>
      </c>
    </row>
    <row r="2508" spans="1:11" x14ac:dyDescent="0.3">
      <c r="A2508" t="s">
        <v>818</v>
      </c>
      <c r="B2508" s="33">
        <v>43278</v>
      </c>
      <c r="C2508" s="34" t="s">
        <v>3797</v>
      </c>
      <c r="D2508" s="19">
        <v>2000</v>
      </c>
      <c r="E2508" s="20" t="s">
        <v>3798</v>
      </c>
      <c r="F2508" s="20" t="s">
        <v>79</v>
      </c>
      <c r="G2508" s="105" t="s">
        <v>3825</v>
      </c>
      <c r="H2508" s="33">
        <v>43221</v>
      </c>
      <c r="I2508" s="34" t="s">
        <v>3826</v>
      </c>
      <c r="J2508" s="21">
        <v>299.2</v>
      </c>
      <c r="K2508" t="s">
        <v>2030</v>
      </c>
    </row>
    <row r="2509" spans="1:11" x14ac:dyDescent="0.3">
      <c r="A2509" t="s">
        <v>818</v>
      </c>
      <c r="B2509" s="33">
        <v>43278</v>
      </c>
      <c r="C2509" s="34" t="s">
        <v>3797</v>
      </c>
      <c r="D2509" s="19">
        <v>2000</v>
      </c>
      <c r="E2509" s="20" t="s">
        <v>3798</v>
      </c>
      <c r="F2509" s="20" t="s">
        <v>86</v>
      </c>
      <c r="G2509" s="105" t="s">
        <v>3827</v>
      </c>
      <c r="H2509" s="33">
        <v>43221</v>
      </c>
      <c r="I2509" s="34" t="s">
        <v>3828</v>
      </c>
      <c r="J2509" s="21">
        <v>299.2</v>
      </c>
      <c r="K2509" t="s">
        <v>2030</v>
      </c>
    </row>
    <row r="2510" spans="1:11" x14ac:dyDescent="0.3">
      <c r="A2510" t="s">
        <v>818</v>
      </c>
      <c r="B2510" s="33">
        <v>43278</v>
      </c>
      <c r="C2510" s="34" t="s">
        <v>3797</v>
      </c>
      <c r="D2510" s="19">
        <v>2000</v>
      </c>
      <c r="E2510" s="20" t="s">
        <v>3798</v>
      </c>
      <c r="F2510" s="20" t="s">
        <v>83</v>
      </c>
      <c r="G2510" s="105" t="s">
        <v>3829</v>
      </c>
      <c r="H2510" s="33">
        <v>43221</v>
      </c>
      <c r="I2510" s="34" t="s">
        <v>3830</v>
      </c>
      <c r="J2510" s="21">
        <v>299.2</v>
      </c>
      <c r="K2510" t="s">
        <v>2030</v>
      </c>
    </row>
    <row r="2511" spans="1:11" x14ac:dyDescent="0.3">
      <c r="A2511" t="s">
        <v>818</v>
      </c>
      <c r="B2511" s="33">
        <v>43278</v>
      </c>
      <c r="C2511" s="34" t="s">
        <v>3797</v>
      </c>
      <c r="D2511" s="19">
        <v>2000</v>
      </c>
      <c r="E2511" s="20" t="s">
        <v>3798</v>
      </c>
      <c r="F2511" s="20" t="s">
        <v>61</v>
      </c>
      <c r="G2511" s="105" t="s">
        <v>3831</v>
      </c>
      <c r="H2511" s="33">
        <v>43221</v>
      </c>
      <c r="I2511" s="34" t="s">
        <v>3832</v>
      </c>
      <c r="J2511" s="21">
        <v>299.2</v>
      </c>
      <c r="K2511" t="s">
        <v>2030</v>
      </c>
    </row>
    <row r="2512" spans="1:11" x14ac:dyDescent="0.3">
      <c r="A2512" t="s">
        <v>818</v>
      </c>
      <c r="B2512" s="33">
        <v>43278</v>
      </c>
      <c r="C2512" s="34" t="s">
        <v>3797</v>
      </c>
      <c r="D2512" s="19">
        <v>2000</v>
      </c>
      <c r="E2512" s="20" t="s">
        <v>3798</v>
      </c>
      <c r="F2512" s="20" t="s">
        <v>45</v>
      </c>
      <c r="G2512" s="105" t="s">
        <v>3833</v>
      </c>
      <c r="H2512" s="33">
        <v>43221</v>
      </c>
      <c r="I2512" s="34" t="s">
        <v>3834</v>
      </c>
      <c r="J2512" s="21">
        <v>299.2</v>
      </c>
      <c r="K2512" t="s">
        <v>2030</v>
      </c>
    </row>
    <row r="2513" spans="1:11" x14ac:dyDescent="0.3">
      <c r="A2513" t="s">
        <v>818</v>
      </c>
      <c r="B2513" s="33">
        <v>43278</v>
      </c>
      <c r="C2513" s="34" t="s">
        <v>3797</v>
      </c>
      <c r="D2513" s="19">
        <v>2000</v>
      </c>
      <c r="E2513" s="20" t="s">
        <v>3798</v>
      </c>
      <c r="F2513" s="20" t="s">
        <v>52</v>
      </c>
      <c r="G2513" s="105" t="s">
        <v>3835</v>
      </c>
      <c r="H2513" s="33">
        <v>43221</v>
      </c>
      <c r="I2513" s="34" t="s">
        <v>3836</v>
      </c>
      <c r="J2513" s="21">
        <v>299.2</v>
      </c>
      <c r="K2513" t="s">
        <v>2030</v>
      </c>
    </row>
    <row r="2514" spans="1:11" x14ac:dyDescent="0.3">
      <c r="A2514" t="s">
        <v>818</v>
      </c>
      <c r="B2514" s="33">
        <v>43278</v>
      </c>
      <c r="C2514" s="34" t="s">
        <v>3797</v>
      </c>
      <c r="D2514" s="19">
        <v>2000</v>
      </c>
      <c r="E2514" s="20" t="s">
        <v>3798</v>
      </c>
      <c r="F2514" s="20" t="s">
        <v>57</v>
      </c>
      <c r="G2514" s="105" t="s">
        <v>3837</v>
      </c>
      <c r="H2514" s="33">
        <v>43221</v>
      </c>
      <c r="I2514" s="34" t="s">
        <v>3838</v>
      </c>
      <c r="J2514" s="21">
        <v>299.2</v>
      </c>
      <c r="K2514" t="s">
        <v>2030</v>
      </c>
    </row>
    <row r="2515" spans="1:11" x14ac:dyDescent="0.3">
      <c r="A2515" t="s">
        <v>818</v>
      </c>
      <c r="B2515" s="33">
        <v>43278</v>
      </c>
      <c r="C2515" s="34" t="s">
        <v>3797</v>
      </c>
      <c r="D2515" s="19">
        <v>2000</v>
      </c>
      <c r="E2515" s="20" t="s">
        <v>3798</v>
      </c>
      <c r="F2515" s="20" t="s">
        <v>65</v>
      </c>
      <c r="G2515" s="105" t="s">
        <v>3839</v>
      </c>
      <c r="H2515" s="33">
        <v>43221</v>
      </c>
      <c r="I2515" s="34" t="s">
        <v>3840</v>
      </c>
      <c r="J2515" s="21">
        <v>299.2</v>
      </c>
      <c r="K2515" t="s">
        <v>2030</v>
      </c>
    </row>
    <row r="2516" spans="1:11" x14ac:dyDescent="0.3">
      <c r="A2516" t="s">
        <v>818</v>
      </c>
      <c r="B2516" s="33">
        <v>43278</v>
      </c>
      <c r="C2516" s="34" t="s">
        <v>3797</v>
      </c>
      <c r="D2516" s="19">
        <v>2000</v>
      </c>
      <c r="E2516" s="20" t="s">
        <v>3798</v>
      </c>
      <c r="F2516" s="20" t="s">
        <v>295</v>
      </c>
      <c r="G2516" s="105" t="s">
        <v>3841</v>
      </c>
      <c r="H2516" s="33">
        <v>43221</v>
      </c>
      <c r="I2516" s="34" t="s">
        <v>3842</v>
      </c>
      <c r="J2516" s="21">
        <v>299.2</v>
      </c>
      <c r="K2516" t="s">
        <v>2030</v>
      </c>
    </row>
    <row r="2517" spans="1:11" x14ac:dyDescent="0.3">
      <c r="A2517" t="s">
        <v>818</v>
      </c>
      <c r="B2517" s="33">
        <v>43278</v>
      </c>
      <c r="C2517" s="34" t="s">
        <v>3797</v>
      </c>
      <c r="D2517" s="19">
        <v>2000</v>
      </c>
      <c r="E2517" s="20" t="s">
        <v>3798</v>
      </c>
      <c r="F2517" s="20" t="s">
        <v>56</v>
      </c>
      <c r="G2517" s="105" t="s">
        <v>3843</v>
      </c>
      <c r="H2517" s="33">
        <v>43221</v>
      </c>
      <c r="I2517" s="34" t="s">
        <v>3844</v>
      </c>
      <c r="J2517" s="21">
        <v>299.2</v>
      </c>
      <c r="K2517" t="s">
        <v>2030</v>
      </c>
    </row>
    <row r="2518" spans="1:11" x14ac:dyDescent="0.3">
      <c r="A2518" t="s">
        <v>818</v>
      </c>
      <c r="B2518" s="33">
        <v>43278</v>
      </c>
      <c r="C2518" s="34" t="s">
        <v>3797</v>
      </c>
      <c r="D2518" s="19">
        <v>2000</v>
      </c>
      <c r="E2518" s="20" t="s">
        <v>3798</v>
      </c>
      <c r="F2518" s="20" t="s">
        <v>63</v>
      </c>
      <c r="G2518" s="105" t="s">
        <v>3831</v>
      </c>
      <c r="H2518" s="33">
        <v>43221</v>
      </c>
      <c r="I2518" s="34" t="s">
        <v>3845</v>
      </c>
      <c r="J2518" s="21">
        <v>299.2</v>
      </c>
      <c r="K2518" t="s">
        <v>2030</v>
      </c>
    </row>
    <row r="2519" spans="1:11" x14ac:dyDescent="0.3">
      <c r="A2519" t="s">
        <v>818</v>
      </c>
      <c r="B2519" s="33">
        <v>43278</v>
      </c>
      <c r="C2519" s="34" t="s">
        <v>3797</v>
      </c>
      <c r="D2519" s="19">
        <v>2000</v>
      </c>
      <c r="E2519" s="20" t="s">
        <v>3798</v>
      </c>
      <c r="F2519" s="20" t="s">
        <v>46</v>
      </c>
      <c r="G2519" s="105" t="s">
        <v>3846</v>
      </c>
      <c r="H2519" s="33">
        <v>43221</v>
      </c>
      <c r="I2519" s="34" t="s">
        <v>3847</v>
      </c>
      <c r="J2519" s="21">
        <v>299.2</v>
      </c>
      <c r="K2519" t="s">
        <v>2030</v>
      </c>
    </row>
    <row r="2520" spans="1:11" x14ac:dyDescent="0.3">
      <c r="A2520" t="s">
        <v>818</v>
      </c>
      <c r="B2520" s="33">
        <v>43278</v>
      </c>
      <c r="C2520" s="34" t="s">
        <v>3797</v>
      </c>
      <c r="D2520" s="19">
        <v>2000</v>
      </c>
      <c r="E2520" s="20" t="s">
        <v>3798</v>
      </c>
      <c r="F2520" s="20" t="s">
        <v>47</v>
      </c>
      <c r="G2520" s="105" t="s">
        <v>3848</v>
      </c>
      <c r="H2520" s="33">
        <v>43221</v>
      </c>
      <c r="I2520" s="34" t="s">
        <v>3849</v>
      </c>
      <c r="J2520" s="21">
        <v>299.2</v>
      </c>
      <c r="K2520" t="s">
        <v>2030</v>
      </c>
    </row>
    <row r="2521" spans="1:11" x14ac:dyDescent="0.3">
      <c r="A2521" t="s">
        <v>818</v>
      </c>
      <c r="B2521" s="33">
        <v>43278</v>
      </c>
      <c r="C2521" s="34" t="s">
        <v>3850</v>
      </c>
      <c r="D2521" s="19">
        <v>1</v>
      </c>
      <c r="E2521" s="20" t="s">
        <v>3798</v>
      </c>
      <c r="F2521" s="20" t="s">
        <v>139</v>
      </c>
      <c r="G2521" s="105" t="s">
        <v>3856</v>
      </c>
      <c r="H2521" s="33">
        <v>43221</v>
      </c>
      <c r="I2521" s="34" t="s">
        <v>3857</v>
      </c>
      <c r="J2521" s="21">
        <v>271.14999999999998</v>
      </c>
      <c r="K2521" t="s">
        <v>2030</v>
      </c>
    </row>
    <row r="2522" spans="1:11" x14ac:dyDescent="0.3">
      <c r="A2522" t="s">
        <v>818</v>
      </c>
      <c r="B2522" s="33">
        <v>43278</v>
      </c>
      <c r="C2522" s="34" t="s">
        <v>3850</v>
      </c>
      <c r="D2522" s="19">
        <v>1</v>
      </c>
      <c r="E2522" s="20" t="s">
        <v>3798</v>
      </c>
      <c r="F2522" s="20" t="s">
        <v>135</v>
      </c>
      <c r="G2522" s="105" t="s">
        <v>3858</v>
      </c>
      <c r="H2522" s="33">
        <v>43221</v>
      </c>
      <c r="I2522" s="34" t="s">
        <v>3859</v>
      </c>
      <c r="J2522" s="21">
        <v>187</v>
      </c>
      <c r="K2522" t="s">
        <v>2030</v>
      </c>
    </row>
    <row r="2523" spans="1:11" x14ac:dyDescent="0.3">
      <c r="A2523" t="s">
        <v>818</v>
      </c>
      <c r="B2523" s="33">
        <v>43278</v>
      </c>
      <c r="C2523" s="34" t="s">
        <v>3850</v>
      </c>
      <c r="D2523" s="19">
        <v>1</v>
      </c>
      <c r="E2523" s="20" t="s">
        <v>3798</v>
      </c>
      <c r="F2523" s="20" t="s">
        <v>130</v>
      </c>
      <c r="G2523" s="105" t="s">
        <v>3860</v>
      </c>
      <c r="H2523" s="33">
        <v>43221</v>
      </c>
      <c r="I2523" s="34" t="s">
        <v>3861</v>
      </c>
      <c r="J2523" s="21">
        <v>112.2</v>
      </c>
      <c r="K2523" t="s">
        <v>2030</v>
      </c>
    </row>
    <row r="2524" spans="1:11" x14ac:dyDescent="0.3">
      <c r="A2524" t="s">
        <v>818</v>
      </c>
      <c r="B2524" s="33">
        <v>43278</v>
      </c>
      <c r="C2524" s="34" t="s">
        <v>3850</v>
      </c>
      <c r="D2524" s="19">
        <v>1</v>
      </c>
      <c r="E2524" s="20" t="s">
        <v>3798</v>
      </c>
      <c r="F2524" s="20" t="s">
        <v>118</v>
      </c>
      <c r="G2524" s="105" t="s">
        <v>3862</v>
      </c>
      <c r="H2524" s="33">
        <v>43221</v>
      </c>
      <c r="I2524" s="34" t="s">
        <v>3863</v>
      </c>
      <c r="J2524" s="21">
        <v>205.7</v>
      </c>
      <c r="K2524" t="s">
        <v>2030</v>
      </c>
    </row>
    <row r="2525" spans="1:11" x14ac:dyDescent="0.3">
      <c r="A2525" t="s">
        <v>818</v>
      </c>
      <c r="B2525" s="33">
        <v>43278</v>
      </c>
      <c r="C2525" s="34" t="s">
        <v>3850</v>
      </c>
      <c r="D2525" s="19">
        <v>1</v>
      </c>
      <c r="E2525" s="20" t="s">
        <v>3798</v>
      </c>
      <c r="F2525" s="20" t="s">
        <v>112</v>
      </c>
      <c r="G2525" s="105" t="s">
        <v>3856</v>
      </c>
      <c r="H2525" s="33">
        <v>43221</v>
      </c>
      <c r="I2525" s="34" t="s">
        <v>3864</v>
      </c>
      <c r="J2525" s="21">
        <v>93.5</v>
      </c>
      <c r="K2525" t="s">
        <v>2030</v>
      </c>
    </row>
    <row r="2526" spans="1:11" x14ac:dyDescent="0.3">
      <c r="A2526" t="s">
        <v>818</v>
      </c>
      <c r="B2526" s="33">
        <v>43278</v>
      </c>
      <c r="C2526" s="34" t="s">
        <v>3850</v>
      </c>
      <c r="D2526" s="19">
        <v>1</v>
      </c>
      <c r="E2526" s="20" t="s">
        <v>3798</v>
      </c>
      <c r="F2526" s="20" t="s">
        <v>126</v>
      </c>
      <c r="G2526" s="105" t="s">
        <v>3865</v>
      </c>
      <c r="H2526" s="33">
        <v>43221</v>
      </c>
      <c r="I2526" s="34" t="s">
        <v>3866</v>
      </c>
      <c r="J2526" s="21">
        <v>187</v>
      </c>
      <c r="K2526" t="s">
        <v>2030</v>
      </c>
    </row>
    <row r="2527" spans="1:11" x14ac:dyDescent="0.3">
      <c r="A2527" t="s">
        <v>818</v>
      </c>
      <c r="B2527" s="33">
        <v>43278</v>
      </c>
      <c r="C2527" s="34" t="s">
        <v>3850</v>
      </c>
      <c r="D2527" s="19">
        <v>1</v>
      </c>
      <c r="E2527" s="20" t="s">
        <v>3798</v>
      </c>
      <c r="F2527" s="20" t="s">
        <v>122</v>
      </c>
      <c r="G2527" s="105" t="s">
        <v>3862</v>
      </c>
      <c r="H2527" s="33">
        <v>43221</v>
      </c>
      <c r="I2527" s="34" t="s">
        <v>3867</v>
      </c>
      <c r="J2527" s="21">
        <v>205.7</v>
      </c>
      <c r="K2527" t="s">
        <v>2030</v>
      </c>
    </row>
    <row r="2528" spans="1:11" x14ac:dyDescent="0.3">
      <c r="A2528" t="s">
        <v>818</v>
      </c>
      <c r="B2528" s="33">
        <v>43278</v>
      </c>
      <c r="C2528" s="34" t="s">
        <v>3850</v>
      </c>
      <c r="D2528" s="19">
        <v>1</v>
      </c>
      <c r="E2528" s="20" t="s">
        <v>3798</v>
      </c>
      <c r="F2528" s="20" t="s">
        <v>120</v>
      </c>
      <c r="G2528" s="105" t="s">
        <v>3862</v>
      </c>
      <c r="H2528" s="33">
        <v>43221</v>
      </c>
      <c r="I2528" s="34" t="s">
        <v>3868</v>
      </c>
      <c r="J2528" s="21">
        <v>93.5</v>
      </c>
      <c r="K2528" t="s">
        <v>2030</v>
      </c>
    </row>
    <row r="2529" spans="1:11" x14ac:dyDescent="0.3">
      <c r="A2529" t="s">
        <v>818</v>
      </c>
      <c r="B2529" s="33">
        <v>43278</v>
      </c>
      <c r="C2529" s="34" t="s">
        <v>3850</v>
      </c>
      <c r="D2529" s="19">
        <v>1</v>
      </c>
      <c r="E2529" s="20" t="s">
        <v>3798</v>
      </c>
      <c r="F2529" s="20" t="s">
        <v>119</v>
      </c>
      <c r="G2529" s="105" t="s">
        <v>3862</v>
      </c>
      <c r="H2529" s="33">
        <v>43221</v>
      </c>
      <c r="I2529" s="34" t="s">
        <v>3869</v>
      </c>
      <c r="J2529" s="21">
        <v>224.4</v>
      </c>
      <c r="K2529" t="s">
        <v>2030</v>
      </c>
    </row>
    <row r="2530" spans="1:11" x14ac:dyDescent="0.3">
      <c r="A2530" t="s">
        <v>818</v>
      </c>
      <c r="B2530" s="33">
        <v>43278</v>
      </c>
      <c r="C2530" s="34" t="s">
        <v>3850</v>
      </c>
      <c r="D2530" s="19">
        <v>1</v>
      </c>
      <c r="E2530" s="20" t="s">
        <v>3798</v>
      </c>
      <c r="F2530" s="20" t="s">
        <v>104</v>
      </c>
      <c r="G2530" s="105" t="s">
        <v>3856</v>
      </c>
      <c r="H2530" s="33">
        <v>43221</v>
      </c>
      <c r="I2530" s="34" t="s">
        <v>3870</v>
      </c>
      <c r="J2530" s="21">
        <v>102.85</v>
      </c>
      <c r="K2530" t="s">
        <v>2030</v>
      </c>
    </row>
    <row r="2531" spans="1:11" x14ac:dyDescent="0.3">
      <c r="A2531" t="s">
        <v>818</v>
      </c>
      <c r="B2531" s="33">
        <v>43278</v>
      </c>
      <c r="C2531" s="34" t="s">
        <v>3850</v>
      </c>
      <c r="D2531" s="19">
        <v>1</v>
      </c>
      <c r="E2531" s="20" t="s">
        <v>3798</v>
      </c>
      <c r="F2531" s="20" t="s">
        <v>94</v>
      </c>
      <c r="G2531" s="105" t="s">
        <v>3871</v>
      </c>
      <c r="H2531" s="33">
        <v>43221</v>
      </c>
      <c r="I2531" s="34" t="s">
        <v>3872</v>
      </c>
      <c r="J2531" s="21">
        <v>299.2</v>
      </c>
      <c r="K2531" t="s">
        <v>2030</v>
      </c>
    </row>
    <row r="2532" spans="1:11" x14ac:dyDescent="0.3">
      <c r="A2532" t="s">
        <v>818</v>
      </c>
      <c r="B2532" s="33">
        <v>43278</v>
      </c>
      <c r="C2532" s="34" t="s">
        <v>3850</v>
      </c>
      <c r="D2532" s="19">
        <v>1</v>
      </c>
      <c r="E2532" s="20" t="s">
        <v>3798</v>
      </c>
      <c r="F2532" s="20" t="s">
        <v>148</v>
      </c>
      <c r="G2532" s="105" t="s">
        <v>3873</v>
      </c>
      <c r="H2532" s="33">
        <v>43221</v>
      </c>
      <c r="I2532" s="34" t="s">
        <v>3874</v>
      </c>
      <c r="J2532" s="21">
        <v>271.14999999999998</v>
      </c>
      <c r="K2532" t="s">
        <v>2030</v>
      </c>
    </row>
    <row r="2533" spans="1:11" x14ac:dyDescent="0.3">
      <c r="A2533" t="s">
        <v>818</v>
      </c>
      <c r="B2533" s="33">
        <v>43278</v>
      </c>
      <c r="C2533" s="34" t="s">
        <v>3850</v>
      </c>
      <c r="D2533" s="19">
        <v>1</v>
      </c>
      <c r="E2533" s="20" t="s">
        <v>3798</v>
      </c>
      <c r="F2533" s="20" t="s">
        <v>142</v>
      </c>
      <c r="G2533" s="105" t="s">
        <v>3860</v>
      </c>
      <c r="H2533" s="33">
        <v>43221</v>
      </c>
      <c r="I2533" s="34" t="s">
        <v>3875</v>
      </c>
      <c r="J2533" s="21">
        <v>280.5</v>
      </c>
      <c r="K2533" t="s">
        <v>2030</v>
      </c>
    </row>
    <row r="2534" spans="1:11" x14ac:dyDescent="0.3">
      <c r="A2534" t="s">
        <v>818</v>
      </c>
      <c r="B2534" s="33">
        <v>43278</v>
      </c>
      <c r="C2534" s="34" t="s">
        <v>3850</v>
      </c>
      <c r="D2534" s="19">
        <v>1</v>
      </c>
      <c r="E2534" s="20" t="s">
        <v>3798</v>
      </c>
      <c r="F2534" s="20" t="s">
        <v>138</v>
      </c>
      <c r="G2534" s="105" t="s">
        <v>3876</v>
      </c>
      <c r="H2534" s="33">
        <v>43221</v>
      </c>
      <c r="I2534" s="34" t="s">
        <v>3877</v>
      </c>
      <c r="J2534" s="21">
        <v>149.6</v>
      </c>
      <c r="K2534" t="s">
        <v>2030</v>
      </c>
    </row>
    <row r="2535" spans="1:11" x14ac:dyDescent="0.3">
      <c r="A2535" t="s">
        <v>818</v>
      </c>
      <c r="B2535" s="33">
        <v>43278</v>
      </c>
      <c r="C2535" s="34" t="s">
        <v>3850</v>
      </c>
      <c r="D2535" s="19">
        <v>1</v>
      </c>
      <c r="E2535" s="20" t="s">
        <v>3798</v>
      </c>
      <c r="F2535" s="20" t="s">
        <v>137</v>
      </c>
      <c r="G2535" s="105" t="s">
        <v>3876</v>
      </c>
      <c r="H2535" s="33">
        <v>43221</v>
      </c>
      <c r="I2535" s="34" t="s">
        <v>3878</v>
      </c>
      <c r="J2535" s="21">
        <v>121.55</v>
      </c>
      <c r="K2535" t="s">
        <v>2030</v>
      </c>
    </row>
    <row r="2536" spans="1:11" x14ac:dyDescent="0.3">
      <c r="A2536" t="s">
        <v>818</v>
      </c>
      <c r="B2536" s="33">
        <v>43278</v>
      </c>
      <c r="C2536" s="34" t="s">
        <v>3850</v>
      </c>
      <c r="D2536" s="19">
        <v>1</v>
      </c>
      <c r="E2536" s="20" t="s">
        <v>3798</v>
      </c>
      <c r="F2536" s="20" t="s">
        <v>114</v>
      </c>
      <c r="G2536" s="105" t="s">
        <v>3856</v>
      </c>
      <c r="H2536" s="33">
        <v>43221</v>
      </c>
      <c r="I2536" s="34" t="s">
        <v>3879</v>
      </c>
      <c r="J2536" s="21">
        <v>93.5</v>
      </c>
      <c r="K2536" t="s">
        <v>2030</v>
      </c>
    </row>
    <row r="2537" spans="1:11" x14ac:dyDescent="0.3">
      <c r="A2537" t="s">
        <v>818</v>
      </c>
      <c r="B2537" s="33">
        <v>43278</v>
      </c>
      <c r="C2537" s="34" t="s">
        <v>3850</v>
      </c>
      <c r="D2537" s="19">
        <v>1</v>
      </c>
      <c r="E2537" s="20" t="s">
        <v>3798</v>
      </c>
      <c r="F2537" s="20" t="s">
        <v>117</v>
      </c>
      <c r="G2537" s="105" t="s">
        <v>3862</v>
      </c>
      <c r="H2537" s="33">
        <v>43221</v>
      </c>
      <c r="I2537" s="34" t="s">
        <v>3880</v>
      </c>
      <c r="J2537" s="21">
        <v>102.85</v>
      </c>
      <c r="K2537" t="s">
        <v>2030</v>
      </c>
    </row>
    <row r="2538" spans="1:11" x14ac:dyDescent="0.3">
      <c r="A2538" t="s">
        <v>818</v>
      </c>
      <c r="B2538" s="33">
        <v>43278</v>
      </c>
      <c r="C2538" s="34" t="s">
        <v>3850</v>
      </c>
      <c r="D2538" s="19">
        <v>1</v>
      </c>
      <c r="E2538" s="20" t="s">
        <v>3798</v>
      </c>
      <c r="F2538" s="20" t="s">
        <v>115</v>
      </c>
      <c r="G2538" s="105" t="s">
        <v>3856</v>
      </c>
      <c r="H2538" s="33">
        <v>43221</v>
      </c>
      <c r="I2538" s="34" t="s">
        <v>3881</v>
      </c>
      <c r="J2538" s="21">
        <v>84.15</v>
      </c>
      <c r="K2538" t="s">
        <v>2030</v>
      </c>
    </row>
    <row r="2539" spans="1:11" x14ac:dyDescent="0.3">
      <c r="A2539" t="s">
        <v>818</v>
      </c>
      <c r="B2539" s="33">
        <v>43278</v>
      </c>
      <c r="C2539" s="34" t="s">
        <v>3850</v>
      </c>
      <c r="D2539" s="19">
        <v>1</v>
      </c>
      <c r="E2539" s="20" t="s">
        <v>3798</v>
      </c>
      <c r="F2539" s="20" t="s">
        <v>108</v>
      </c>
      <c r="G2539" s="105" t="s">
        <v>3862</v>
      </c>
      <c r="H2539" s="33">
        <v>43221</v>
      </c>
      <c r="I2539" s="34" t="s">
        <v>3882</v>
      </c>
      <c r="J2539" s="21">
        <v>252.45</v>
      </c>
      <c r="K2539" t="s">
        <v>2030</v>
      </c>
    </row>
    <row r="2540" spans="1:11" x14ac:dyDescent="0.3">
      <c r="A2540" t="s">
        <v>818</v>
      </c>
      <c r="B2540" s="33">
        <v>43278</v>
      </c>
      <c r="C2540" s="34" t="s">
        <v>3850</v>
      </c>
      <c r="D2540" s="19">
        <v>1</v>
      </c>
      <c r="E2540" s="20" t="s">
        <v>3798</v>
      </c>
      <c r="F2540" s="20" t="s">
        <v>127</v>
      </c>
      <c r="G2540" s="105" t="s">
        <v>3883</v>
      </c>
      <c r="H2540" s="33">
        <v>43221</v>
      </c>
      <c r="I2540" s="34" t="s">
        <v>3884</v>
      </c>
      <c r="J2540" s="21">
        <v>130.9</v>
      </c>
      <c r="K2540" t="s">
        <v>2030</v>
      </c>
    </row>
    <row r="2541" spans="1:11" x14ac:dyDescent="0.3">
      <c r="A2541" t="s">
        <v>818</v>
      </c>
      <c r="B2541" s="33">
        <v>43278</v>
      </c>
      <c r="C2541" s="34" t="s">
        <v>3850</v>
      </c>
      <c r="D2541" s="19">
        <v>1</v>
      </c>
      <c r="E2541" s="20" t="s">
        <v>3798</v>
      </c>
      <c r="F2541" s="20" t="s">
        <v>123</v>
      </c>
      <c r="G2541" s="105" t="s">
        <v>3862</v>
      </c>
      <c r="H2541" s="33">
        <v>43221</v>
      </c>
      <c r="I2541" s="34" t="s">
        <v>3885</v>
      </c>
      <c r="J2541" s="21">
        <v>205.7</v>
      </c>
      <c r="K2541" t="s">
        <v>2030</v>
      </c>
    </row>
    <row r="2542" spans="1:11" x14ac:dyDescent="0.3">
      <c r="A2542" t="s">
        <v>818</v>
      </c>
      <c r="B2542" s="33">
        <v>43278</v>
      </c>
      <c r="C2542" s="34" t="s">
        <v>3850</v>
      </c>
      <c r="D2542" s="19">
        <v>1</v>
      </c>
      <c r="E2542" s="20" t="s">
        <v>3798</v>
      </c>
      <c r="F2542" s="20" t="s">
        <v>146</v>
      </c>
      <c r="G2542" s="105" t="s">
        <v>3871</v>
      </c>
      <c r="H2542" s="33">
        <v>43221</v>
      </c>
      <c r="I2542" s="34" t="s">
        <v>3911</v>
      </c>
      <c r="J2542" s="21">
        <v>177.65</v>
      </c>
      <c r="K2542" t="s">
        <v>2030</v>
      </c>
    </row>
    <row r="2543" spans="1:11" x14ac:dyDescent="0.3">
      <c r="A2543" t="s">
        <v>818</v>
      </c>
      <c r="B2543" s="33">
        <v>43278</v>
      </c>
      <c r="C2543" s="34" t="s">
        <v>3850</v>
      </c>
      <c r="D2543" s="19">
        <v>1</v>
      </c>
      <c r="E2543" s="20" t="s">
        <v>3798</v>
      </c>
      <c r="F2543" s="20" t="s">
        <v>141</v>
      </c>
      <c r="G2543" s="105" t="s">
        <v>3860</v>
      </c>
      <c r="H2543" s="33">
        <v>43221</v>
      </c>
      <c r="I2543" s="34" t="s">
        <v>3912</v>
      </c>
      <c r="J2543" s="21">
        <v>280.5</v>
      </c>
      <c r="K2543" t="s">
        <v>2030</v>
      </c>
    </row>
    <row r="2544" spans="1:11" x14ac:dyDescent="0.3">
      <c r="A2544" t="s">
        <v>818</v>
      </c>
      <c r="B2544" s="33">
        <v>43278</v>
      </c>
      <c r="C2544" s="34" t="s">
        <v>3850</v>
      </c>
      <c r="D2544" s="19">
        <v>1</v>
      </c>
      <c r="E2544" s="20" t="s">
        <v>3798</v>
      </c>
      <c r="F2544" s="20" t="s">
        <v>132</v>
      </c>
      <c r="G2544" s="105" t="s">
        <v>3913</v>
      </c>
      <c r="H2544" s="33">
        <v>43221</v>
      </c>
      <c r="I2544" s="34" t="s">
        <v>3914</v>
      </c>
      <c r="J2544" s="21">
        <v>93.5</v>
      </c>
      <c r="K2544" t="s">
        <v>2030</v>
      </c>
    </row>
    <row r="2545" spans="1:11" x14ac:dyDescent="0.3">
      <c r="A2545" t="s">
        <v>818</v>
      </c>
      <c r="B2545" s="33">
        <v>43278</v>
      </c>
      <c r="C2545" s="34" t="s">
        <v>3850</v>
      </c>
      <c r="D2545" s="19">
        <v>1</v>
      </c>
      <c r="E2545" s="20" t="s">
        <v>3798</v>
      </c>
      <c r="F2545" s="20" t="s">
        <v>310</v>
      </c>
      <c r="G2545" s="105" t="s">
        <v>3915</v>
      </c>
      <c r="H2545" s="33">
        <v>43221</v>
      </c>
      <c r="I2545" s="34" t="s">
        <v>3916</v>
      </c>
      <c r="J2545" s="21">
        <v>65.45</v>
      </c>
      <c r="K2545" t="s">
        <v>2030</v>
      </c>
    </row>
    <row r="2546" spans="1:11" x14ac:dyDescent="0.3">
      <c r="A2546" t="s">
        <v>818</v>
      </c>
      <c r="B2546" s="33">
        <v>43278</v>
      </c>
      <c r="C2546" s="34" t="s">
        <v>3850</v>
      </c>
      <c r="D2546" s="19">
        <v>1</v>
      </c>
      <c r="E2546" s="20" t="s">
        <v>3798</v>
      </c>
      <c r="F2546" s="20" t="s">
        <v>297</v>
      </c>
      <c r="G2546" s="105" t="s">
        <v>3856</v>
      </c>
      <c r="H2546" s="33">
        <v>43221</v>
      </c>
      <c r="I2546" s="34" t="s">
        <v>3917</v>
      </c>
      <c r="J2546" s="21">
        <v>215.05</v>
      </c>
      <c r="K2546" t="s">
        <v>2030</v>
      </c>
    </row>
    <row r="2547" spans="1:11" x14ac:dyDescent="0.3">
      <c r="A2547" t="s">
        <v>818</v>
      </c>
      <c r="B2547" s="33">
        <v>43278</v>
      </c>
      <c r="C2547" s="34" t="s">
        <v>3850</v>
      </c>
      <c r="D2547" s="19">
        <v>1</v>
      </c>
      <c r="E2547" s="20" t="s">
        <v>3798</v>
      </c>
      <c r="F2547" s="20" t="s">
        <v>152</v>
      </c>
      <c r="G2547" s="105" t="s">
        <v>3918</v>
      </c>
      <c r="H2547" s="33">
        <v>43221</v>
      </c>
      <c r="I2547" s="34" t="s">
        <v>3919</v>
      </c>
      <c r="J2547" s="21">
        <v>74.8</v>
      </c>
      <c r="K2547" t="s">
        <v>2030</v>
      </c>
    </row>
    <row r="2548" spans="1:11" x14ac:dyDescent="0.3">
      <c r="A2548" t="s">
        <v>818</v>
      </c>
      <c r="B2548" s="33">
        <v>43278</v>
      </c>
      <c r="C2548" s="34" t="s">
        <v>3850</v>
      </c>
      <c r="D2548" s="19">
        <v>1</v>
      </c>
      <c r="E2548" s="20" t="s">
        <v>3798</v>
      </c>
      <c r="F2548" s="20" t="s">
        <v>150</v>
      </c>
      <c r="G2548" s="105" t="s">
        <v>3920</v>
      </c>
      <c r="H2548" s="33">
        <v>43221</v>
      </c>
      <c r="I2548" s="34" t="s">
        <v>3921</v>
      </c>
      <c r="J2548" s="21">
        <v>130.9</v>
      </c>
      <c r="K2548" t="s">
        <v>2030</v>
      </c>
    </row>
    <row r="2549" spans="1:11" x14ac:dyDescent="0.3">
      <c r="A2549" t="s">
        <v>818</v>
      </c>
      <c r="B2549" s="33">
        <v>43278</v>
      </c>
      <c r="C2549" s="34" t="s">
        <v>3850</v>
      </c>
      <c r="D2549" s="19">
        <v>1</v>
      </c>
      <c r="E2549" s="20" t="s">
        <v>3798</v>
      </c>
      <c r="F2549" s="20" t="s">
        <v>151</v>
      </c>
      <c r="G2549" s="105" t="s">
        <v>3922</v>
      </c>
      <c r="H2549" s="33">
        <v>43221</v>
      </c>
      <c r="I2549" s="34" t="s">
        <v>3923</v>
      </c>
      <c r="J2549" s="21">
        <v>140.25</v>
      </c>
      <c r="K2549" t="s">
        <v>2030</v>
      </c>
    </row>
    <row r="2550" spans="1:11" x14ac:dyDescent="0.3">
      <c r="A2550" t="s">
        <v>818</v>
      </c>
      <c r="B2550" s="33">
        <v>43278</v>
      </c>
      <c r="C2550" s="34" t="s">
        <v>3850</v>
      </c>
      <c r="D2550" s="19">
        <v>1</v>
      </c>
      <c r="E2550" s="20" t="s">
        <v>3798</v>
      </c>
      <c r="F2550" s="20" t="s">
        <v>131</v>
      </c>
      <c r="G2550" s="105" t="s">
        <v>3873</v>
      </c>
      <c r="H2550" s="33">
        <v>43221</v>
      </c>
      <c r="I2550" s="34" t="s">
        <v>3924</v>
      </c>
      <c r="J2550" s="21">
        <v>205.7</v>
      </c>
      <c r="K2550" t="s">
        <v>2030</v>
      </c>
    </row>
    <row r="2551" spans="1:11" x14ac:dyDescent="0.3">
      <c r="A2551" t="s">
        <v>818</v>
      </c>
      <c r="B2551" s="33">
        <v>43278</v>
      </c>
      <c r="C2551" s="34" t="s">
        <v>3850</v>
      </c>
      <c r="D2551" s="19">
        <v>1</v>
      </c>
      <c r="E2551" s="20" t="s">
        <v>3798</v>
      </c>
      <c r="F2551" s="20" t="s">
        <v>315</v>
      </c>
      <c r="G2551" s="105" t="s">
        <v>3925</v>
      </c>
      <c r="H2551" s="33">
        <v>43221</v>
      </c>
      <c r="I2551" s="34" t="s">
        <v>3926</v>
      </c>
      <c r="J2551" s="21">
        <v>56.1</v>
      </c>
      <c r="K2551" t="s">
        <v>2030</v>
      </c>
    </row>
    <row r="2552" spans="1:11" x14ac:dyDescent="0.3">
      <c r="A2552" t="s">
        <v>818</v>
      </c>
      <c r="B2552" s="33">
        <v>43278</v>
      </c>
      <c r="C2552" s="34" t="s">
        <v>3850</v>
      </c>
      <c r="D2552" s="19">
        <v>1</v>
      </c>
      <c r="E2552" s="20" t="s">
        <v>3798</v>
      </c>
      <c r="F2552" s="20" t="s">
        <v>314</v>
      </c>
      <c r="G2552" s="105" t="s">
        <v>3925</v>
      </c>
      <c r="H2552" s="33">
        <v>43221</v>
      </c>
      <c r="I2552" s="34" t="s">
        <v>3927</v>
      </c>
      <c r="J2552" s="21">
        <v>74.8</v>
      </c>
      <c r="K2552" t="s">
        <v>2030</v>
      </c>
    </row>
    <row r="2553" spans="1:11" x14ac:dyDescent="0.3">
      <c r="A2553" t="s">
        <v>818</v>
      </c>
      <c r="B2553" s="33">
        <v>43278</v>
      </c>
      <c r="C2553" s="34" t="s">
        <v>3850</v>
      </c>
      <c r="D2553" s="19">
        <v>1</v>
      </c>
      <c r="E2553" s="20" t="s">
        <v>3798</v>
      </c>
      <c r="F2553" s="20" t="s">
        <v>301</v>
      </c>
      <c r="G2553" s="105" t="s">
        <v>3928</v>
      </c>
      <c r="H2553" s="33">
        <v>43221</v>
      </c>
      <c r="I2553" s="34" t="s">
        <v>3929</v>
      </c>
      <c r="J2553" s="21">
        <v>187</v>
      </c>
      <c r="K2553" t="s">
        <v>2030</v>
      </c>
    </row>
    <row r="2554" spans="1:11" x14ac:dyDescent="0.3">
      <c r="A2554" t="s">
        <v>818</v>
      </c>
      <c r="B2554" s="33">
        <v>43278</v>
      </c>
      <c r="C2554" s="34" t="s">
        <v>3850</v>
      </c>
      <c r="D2554" s="19">
        <v>1</v>
      </c>
      <c r="E2554" s="20" t="s">
        <v>3798</v>
      </c>
      <c r="F2554" s="20" t="s">
        <v>299</v>
      </c>
      <c r="G2554" s="105" t="s">
        <v>3930</v>
      </c>
      <c r="H2554" s="33">
        <v>43221</v>
      </c>
      <c r="I2554" s="34" t="s">
        <v>3931</v>
      </c>
      <c r="J2554" s="21">
        <v>74.8</v>
      </c>
      <c r="K2554" t="s">
        <v>2030</v>
      </c>
    </row>
    <row r="2555" spans="1:11" x14ac:dyDescent="0.3">
      <c r="A2555" t="s">
        <v>818</v>
      </c>
      <c r="B2555" s="33">
        <v>43278</v>
      </c>
      <c r="C2555" s="34" t="s">
        <v>3850</v>
      </c>
      <c r="D2555" s="19">
        <v>1</v>
      </c>
      <c r="E2555" s="20" t="s">
        <v>3798</v>
      </c>
      <c r="F2555" s="20" t="s">
        <v>145</v>
      </c>
      <c r="G2555" s="105" t="s">
        <v>3860</v>
      </c>
      <c r="H2555" s="33">
        <v>43221</v>
      </c>
      <c r="I2555" s="34" t="s">
        <v>3932</v>
      </c>
      <c r="J2555" s="21">
        <v>280.5</v>
      </c>
      <c r="K2555" t="s">
        <v>2030</v>
      </c>
    </row>
    <row r="2556" spans="1:11" x14ac:dyDescent="0.3">
      <c r="A2556" t="s">
        <v>818</v>
      </c>
      <c r="B2556" s="33">
        <v>43278</v>
      </c>
      <c r="C2556" s="34" t="s">
        <v>3850</v>
      </c>
      <c r="D2556" s="19">
        <v>1</v>
      </c>
      <c r="E2556" s="20" t="s">
        <v>3798</v>
      </c>
      <c r="F2556" s="20" t="s">
        <v>134</v>
      </c>
      <c r="G2556" s="105" t="s">
        <v>3858</v>
      </c>
      <c r="H2556" s="33">
        <v>43221</v>
      </c>
      <c r="I2556" s="34" t="s">
        <v>3933</v>
      </c>
      <c r="J2556" s="21">
        <v>299.2</v>
      </c>
      <c r="K2556" t="s">
        <v>2030</v>
      </c>
    </row>
    <row r="2557" spans="1:11" x14ac:dyDescent="0.3">
      <c r="A2557" t="s">
        <v>818</v>
      </c>
      <c r="B2557" s="33">
        <v>43278</v>
      </c>
      <c r="C2557" s="34" t="s">
        <v>3850</v>
      </c>
      <c r="D2557" s="19">
        <v>1</v>
      </c>
      <c r="E2557" s="20" t="s">
        <v>3798</v>
      </c>
      <c r="F2557" s="20" t="s">
        <v>128</v>
      </c>
      <c r="G2557" s="105" t="s">
        <v>3922</v>
      </c>
      <c r="H2557" s="33">
        <v>43221</v>
      </c>
      <c r="I2557" s="34" t="s">
        <v>3934</v>
      </c>
      <c r="J2557" s="21">
        <v>130.9</v>
      </c>
      <c r="K2557" t="s">
        <v>2030</v>
      </c>
    </row>
    <row r="2558" spans="1:11" x14ac:dyDescent="0.3">
      <c r="A2558" t="s">
        <v>818</v>
      </c>
      <c r="B2558" s="33">
        <v>43278</v>
      </c>
      <c r="C2558" s="34" t="s">
        <v>3850</v>
      </c>
      <c r="D2558" s="19">
        <v>1</v>
      </c>
      <c r="E2558" s="20" t="s">
        <v>3798</v>
      </c>
      <c r="F2558" s="20" t="s">
        <v>307</v>
      </c>
      <c r="G2558" s="105" t="s">
        <v>3915</v>
      </c>
      <c r="H2558" s="33">
        <v>43221</v>
      </c>
      <c r="I2558" s="34" t="s">
        <v>3935</v>
      </c>
      <c r="J2558" s="21">
        <v>130.9</v>
      </c>
      <c r="K2558" t="s">
        <v>2030</v>
      </c>
    </row>
    <row r="2559" spans="1:11" x14ac:dyDescent="0.3">
      <c r="A2559" t="s">
        <v>818</v>
      </c>
      <c r="B2559" s="33">
        <v>43278</v>
      </c>
      <c r="C2559" s="34" t="s">
        <v>3850</v>
      </c>
      <c r="D2559" s="19">
        <v>1</v>
      </c>
      <c r="E2559" s="20" t="s">
        <v>3798</v>
      </c>
      <c r="F2559" s="20" t="s">
        <v>296</v>
      </c>
      <c r="G2559" s="105" t="s">
        <v>3936</v>
      </c>
      <c r="H2559" s="33">
        <v>43221</v>
      </c>
      <c r="I2559" s="34" t="s">
        <v>3937</v>
      </c>
      <c r="J2559" s="21">
        <v>130.9</v>
      </c>
      <c r="K2559" t="s">
        <v>2030</v>
      </c>
    </row>
    <row r="2560" spans="1:11" x14ac:dyDescent="0.3">
      <c r="A2560" t="s">
        <v>818</v>
      </c>
      <c r="B2560" s="33">
        <v>43278</v>
      </c>
      <c r="C2560" s="34" t="s">
        <v>3850</v>
      </c>
      <c r="D2560" s="19">
        <v>1</v>
      </c>
      <c r="E2560" s="20" t="s">
        <v>3798</v>
      </c>
      <c r="F2560" s="20" t="s">
        <v>143</v>
      </c>
      <c r="G2560" s="105" t="s">
        <v>3856</v>
      </c>
      <c r="H2560" s="33">
        <v>43221</v>
      </c>
      <c r="I2560" s="34" t="s">
        <v>3938</v>
      </c>
      <c r="J2560" s="21">
        <v>280.5</v>
      </c>
      <c r="K2560" t="s">
        <v>2030</v>
      </c>
    </row>
    <row r="2561" spans="1:11" x14ac:dyDescent="0.3">
      <c r="A2561" t="s">
        <v>818</v>
      </c>
      <c r="B2561" s="33">
        <v>43278</v>
      </c>
      <c r="C2561" s="34" t="s">
        <v>3850</v>
      </c>
      <c r="D2561" s="19">
        <v>1</v>
      </c>
      <c r="E2561" s="20" t="s">
        <v>3798</v>
      </c>
      <c r="F2561" s="20" t="s">
        <v>140</v>
      </c>
      <c r="G2561" s="105" t="s">
        <v>3856</v>
      </c>
      <c r="H2561" s="33">
        <v>43221</v>
      </c>
      <c r="I2561" s="34" t="s">
        <v>3939</v>
      </c>
      <c r="J2561" s="21">
        <v>140.25</v>
      </c>
      <c r="K2561" t="s">
        <v>2030</v>
      </c>
    </row>
    <row r="2562" spans="1:11" x14ac:dyDescent="0.3">
      <c r="A2562" t="s">
        <v>818</v>
      </c>
      <c r="B2562" s="33">
        <v>43278</v>
      </c>
      <c r="C2562" s="34" t="s">
        <v>3850</v>
      </c>
      <c r="D2562" s="19">
        <v>1</v>
      </c>
      <c r="E2562" s="20" t="s">
        <v>3798</v>
      </c>
      <c r="F2562" s="20" t="s">
        <v>124</v>
      </c>
      <c r="G2562" s="105" t="s">
        <v>3862</v>
      </c>
      <c r="H2562" s="33">
        <v>43221</v>
      </c>
      <c r="I2562" s="34" t="s">
        <v>3940</v>
      </c>
      <c r="J2562" s="21">
        <v>196.35</v>
      </c>
      <c r="K2562" t="s">
        <v>2030</v>
      </c>
    </row>
    <row r="2563" spans="1:11" x14ac:dyDescent="0.3">
      <c r="A2563" t="s">
        <v>818</v>
      </c>
      <c r="B2563" s="33">
        <v>43278</v>
      </c>
      <c r="C2563" s="34" t="s">
        <v>3850</v>
      </c>
      <c r="D2563" s="19">
        <v>1</v>
      </c>
      <c r="E2563" s="20" t="s">
        <v>3798</v>
      </c>
      <c r="F2563" s="20" t="s">
        <v>300</v>
      </c>
      <c r="G2563" s="105" t="s">
        <v>3941</v>
      </c>
      <c r="H2563" s="33">
        <v>43221</v>
      </c>
      <c r="I2563" s="34" t="s">
        <v>3942</v>
      </c>
      <c r="J2563" s="21">
        <v>187</v>
      </c>
      <c r="K2563" t="s">
        <v>2030</v>
      </c>
    </row>
    <row r="2564" spans="1:11" x14ac:dyDescent="0.3">
      <c r="A2564" t="s">
        <v>818</v>
      </c>
      <c r="B2564" s="33">
        <v>43278</v>
      </c>
      <c r="C2564" s="34" t="s">
        <v>3850</v>
      </c>
      <c r="D2564" s="19">
        <v>1</v>
      </c>
      <c r="E2564" s="20" t="s">
        <v>3798</v>
      </c>
      <c r="F2564" s="20" t="s">
        <v>149</v>
      </c>
      <c r="G2564" s="105" t="s">
        <v>3941</v>
      </c>
      <c r="H2564" s="33">
        <v>43221</v>
      </c>
      <c r="I2564" s="34" t="s">
        <v>3943</v>
      </c>
      <c r="J2564" s="21">
        <v>252.45</v>
      </c>
      <c r="K2564" t="s">
        <v>2030</v>
      </c>
    </row>
    <row r="2565" spans="1:11" x14ac:dyDescent="0.3">
      <c r="A2565" t="s">
        <v>818</v>
      </c>
      <c r="B2565" s="33">
        <v>43278</v>
      </c>
      <c r="C2565" s="34" t="s">
        <v>3850</v>
      </c>
      <c r="D2565" s="19">
        <v>1</v>
      </c>
      <c r="E2565" s="20" t="s">
        <v>3798</v>
      </c>
      <c r="F2565" s="20" t="s">
        <v>147</v>
      </c>
      <c r="G2565" s="105" t="s">
        <v>3936</v>
      </c>
      <c r="H2565" s="33">
        <v>43221</v>
      </c>
      <c r="I2565" s="34" t="s">
        <v>3944</v>
      </c>
      <c r="J2565" s="21">
        <v>149.6</v>
      </c>
      <c r="K2565" t="s">
        <v>2030</v>
      </c>
    </row>
    <row r="2566" spans="1:11" x14ac:dyDescent="0.3">
      <c r="A2566" t="s">
        <v>818</v>
      </c>
      <c r="B2566" s="33">
        <v>43278</v>
      </c>
      <c r="C2566" s="34" t="s">
        <v>3850</v>
      </c>
      <c r="D2566" s="19">
        <v>1</v>
      </c>
      <c r="E2566" s="20" t="s">
        <v>3798</v>
      </c>
      <c r="F2566" s="20" t="s">
        <v>110</v>
      </c>
      <c r="G2566" s="105" t="s">
        <v>3856</v>
      </c>
      <c r="H2566" s="33">
        <v>43221</v>
      </c>
      <c r="I2566" s="34" t="s">
        <v>3945</v>
      </c>
      <c r="J2566" s="21">
        <v>158.94999999999999</v>
      </c>
      <c r="K2566" t="s">
        <v>2030</v>
      </c>
    </row>
    <row r="2567" spans="1:11" x14ac:dyDescent="0.3">
      <c r="A2567" t="s">
        <v>818</v>
      </c>
      <c r="B2567" s="33">
        <v>43278</v>
      </c>
      <c r="C2567" s="34" t="s">
        <v>3850</v>
      </c>
      <c r="D2567" s="19">
        <v>1</v>
      </c>
      <c r="E2567" s="20" t="s">
        <v>3798</v>
      </c>
      <c r="F2567" s="20" t="s">
        <v>105</v>
      </c>
      <c r="G2567" s="105" t="s">
        <v>3856</v>
      </c>
      <c r="H2567" s="33">
        <v>43221</v>
      </c>
      <c r="I2567" s="34" t="s">
        <v>3946</v>
      </c>
      <c r="J2567" s="21">
        <v>102.85</v>
      </c>
      <c r="K2567" t="s">
        <v>2030</v>
      </c>
    </row>
    <row r="2568" spans="1:11" x14ac:dyDescent="0.3">
      <c r="A2568" t="s">
        <v>818</v>
      </c>
      <c r="B2568" s="33">
        <v>43278</v>
      </c>
      <c r="C2568" s="34" t="s">
        <v>3850</v>
      </c>
      <c r="D2568" s="19">
        <v>1</v>
      </c>
      <c r="E2568" s="20" t="s">
        <v>3798</v>
      </c>
      <c r="F2568" s="20" t="s">
        <v>103</v>
      </c>
      <c r="G2568" s="105" t="s">
        <v>3856</v>
      </c>
      <c r="H2568" s="33">
        <v>43221</v>
      </c>
      <c r="I2568" s="34" t="s">
        <v>3947</v>
      </c>
      <c r="J2568" s="21">
        <v>112.2</v>
      </c>
      <c r="K2568" t="s">
        <v>2030</v>
      </c>
    </row>
    <row r="2569" spans="1:11" x14ac:dyDescent="0.3">
      <c r="A2569" t="s">
        <v>818</v>
      </c>
      <c r="B2569" s="33">
        <v>43278</v>
      </c>
      <c r="C2569" s="34" t="s">
        <v>3850</v>
      </c>
      <c r="D2569" s="19">
        <v>1</v>
      </c>
      <c r="E2569" s="20" t="s">
        <v>3798</v>
      </c>
      <c r="F2569" s="20" t="s">
        <v>101</v>
      </c>
      <c r="G2569" s="105" t="s">
        <v>3860</v>
      </c>
      <c r="H2569" s="33">
        <v>43221</v>
      </c>
      <c r="I2569" s="34" t="s">
        <v>3948</v>
      </c>
      <c r="J2569" s="21">
        <v>102.85</v>
      </c>
      <c r="K2569" t="s">
        <v>2030</v>
      </c>
    </row>
    <row r="2570" spans="1:11" x14ac:dyDescent="0.3">
      <c r="A2570" t="s">
        <v>818</v>
      </c>
      <c r="B2570" s="33">
        <v>43278</v>
      </c>
      <c r="C2570" s="34" t="s">
        <v>3850</v>
      </c>
      <c r="D2570" s="19">
        <v>1</v>
      </c>
      <c r="E2570" s="20" t="s">
        <v>3798</v>
      </c>
      <c r="F2570" s="20" t="s">
        <v>125</v>
      </c>
      <c r="G2570" s="105" t="s">
        <v>3862</v>
      </c>
      <c r="H2570" s="33">
        <v>43221</v>
      </c>
      <c r="I2570" s="34" t="s">
        <v>3949</v>
      </c>
      <c r="J2570" s="21">
        <v>196.35</v>
      </c>
      <c r="K2570" t="s">
        <v>2030</v>
      </c>
    </row>
    <row r="2571" spans="1:11" x14ac:dyDescent="0.3">
      <c r="A2571" t="s">
        <v>818</v>
      </c>
      <c r="B2571" s="33">
        <v>43278</v>
      </c>
      <c r="C2571" s="34" t="s">
        <v>3850</v>
      </c>
      <c r="D2571" s="19">
        <v>1</v>
      </c>
      <c r="E2571" s="20" t="s">
        <v>3798</v>
      </c>
      <c r="F2571" s="20" t="s">
        <v>116</v>
      </c>
      <c r="G2571" s="105" t="s">
        <v>3856</v>
      </c>
      <c r="H2571" s="33">
        <v>43221</v>
      </c>
      <c r="I2571" s="34" t="s">
        <v>3950</v>
      </c>
      <c r="J2571" s="21">
        <v>149.6</v>
      </c>
      <c r="K2571" t="s">
        <v>2030</v>
      </c>
    </row>
    <row r="2572" spans="1:11" x14ac:dyDescent="0.3">
      <c r="A2572" t="s">
        <v>818</v>
      </c>
      <c r="B2572" s="33">
        <v>43278</v>
      </c>
      <c r="C2572" s="34" t="s">
        <v>3850</v>
      </c>
      <c r="D2572" s="19">
        <v>1</v>
      </c>
      <c r="E2572" s="20" t="s">
        <v>3798</v>
      </c>
      <c r="F2572" s="20" t="s">
        <v>121</v>
      </c>
      <c r="G2572" s="105" t="s">
        <v>3862</v>
      </c>
      <c r="H2572" s="33">
        <v>43221</v>
      </c>
      <c r="I2572" s="34" t="s">
        <v>3951</v>
      </c>
      <c r="J2572" s="21">
        <v>215.05</v>
      </c>
      <c r="K2572" t="s">
        <v>2030</v>
      </c>
    </row>
    <row r="2573" spans="1:11" x14ac:dyDescent="0.3">
      <c r="A2573" t="s">
        <v>818</v>
      </c>
      <c r="B2573" s="33">
        <v>43278</v>
      </c>
      <c r="C2573" s="34" t="s">
        <v>3850</v>
      </c>
      <c r="D2573" s="34">
        <v>1</v>
      </c>
      <c r="E2573" s="35" t="s">
        <v>3798</v>
      </c>
      <c r="F2573" s="35" t="s">
        <v>111</v>
      </c>
      <c r="G2573" s="106" t="s">
        <v>3856</v>
      </c>
      <c r="H2573" s="33">
        <v>43221</v>
      </c>
      <c r="I2573" s="34" t="s">
        <v>3952</v>
      </c>
      <c r="J2573" s="36">
        <v>102.85</v>
      </c>
      <c r="K2573" t="s">
        <v>2030</v>
      </c>
    </row>
    <row r="2574" spans="1:11" x14ac:dyDescent="0.3">
      <c r="A2574" t="s">
        <v>818</v>
      </c>
      <c r="B2574" s="33">
        <v>43278</v>
      </c>
      <c r="C2574" s="34" t="s">
        <v>3850</v>
      </c>
      <c r="D2574" s="34">
        <v>1</v>
      </c>
      <c r="E2574" s="35" t="s">
        <v>3798</v>
      </c>
      <c r="F2574" s="35" t="s">
        <v>109</v>
      </c>
      <c r="G2574" s="106" t="s">
        <v>3862</v>
      </c>
      <c r="H2574" s="33">
        <v>43221</v>
      </c>
      <c r="I2574" s="34" t="s">
        <v>3953</v>
      </c>
      <c r="J2574" s="36">
        <v>243.1</v>
      </c>
      <c r="K2574" t="s">
        <v>2030</v>
      </c>
    </row>
    <row r="2575" spans="1:11" x14ac:dyDescent="0.3">
      <c r="A2575" t="s">
        <v>818</v>
      </c>
      <c r="B2575" s="33">
        <v>43278</v>
      </c>
      <c r="C2575" s="34" t="s">
        <v>3850</v>
      </c>
      <c r="D2575" s="34">
        <v>1</v>
      </c>
      <c r="E2575" s="35" t="s">
        <v>3798</v>
      </c>
      <c r="F2575" s="35" t="s">
        <v>100</v>
      </c>
      <c r="G2575" s="106" t="s">
        <v>3954</v>
      </c>
      <c r="H2575" s="33">
        <v>43221</v>
      </c>
      <c r="I2575" s="34" t="s">
        <v>3955</v>
      </c>
      <c r="J2575" s="36">
        <v>299.2</v>
      </c>
      <c r="K2575" t="s">
        <v>2030</v>
      </c>
    </row>
    <row r="2576" spans="1:11" x14ac:dyDescent="0.3">
      <c r="A2576" t="s">
        <v>818</v>
      </c>
      <c r="B2576" s="33">
        <v>43278</v>
      </c>
      <c r="C2576" s="34" t="s">
        <v>3850</v>
      </c>
      <c r="D2576" s="34">
        <v>1</v>
      </c>
      <c r="E2576" s="35" t="s">
        <v>3798</v>
      </c>
      <c r="F2576" s="35" t="s">
        <v>71</v>
      </c>
      <c r="G2576" s="106" t="s">
        <v>3956</v>
      </c>
      <c r="H2576" s="33">
        <v>43221</v>
      </c>
      <c r="I2576" s="34" t="s">
        <v>3957</v>
      </c>
      <c r="J2576" s="36">
        <v>299.2</v>
      </c>
      <c r="K2576" t="s">
        <v>2030</v>
      </c>
    </row>
    <row r="2577" spans="1:11" x14ac:dyDescent="0.3">
      <c r="A2577" t="s">
        <v>818</v>
      </c>
      <c r="B2577" s="33">
        <v>43278</v>
      </c>
      <c r="C2577" s="34" t="s">
        <v>3850</v>
      </c>
      <c r="D2577" s="34">
        <v>1</v>
      </c>
      <c r="E2577" s="35" t="s">
        <v>3798</v>
      </c>
      <c r="F2577" s="35" t="s">
        <v>113</v>
      </c>
      <c r="G2577" s="106" t="s">
        <v>3862</v>
      </c>
      <c r="H2577" s="33">
        <v>43221</v>
      </c>
      <c r="I2577" s="34" t="s">
        <v>3958</v>
      </c>
      <c r="J2577" s="36">
        <v>196.35</v>
      </c>
      <c r="K2577" t="s">
        <v>2030</v>
      </c>
    </row>
    <row r="2578" spans="1:11" x14ac:dyDescent="0.3">
      <c r="A2578" t="s">
        <v>818</v>
      </c>
      <c r="B2578" s="33">
        <v>43278</v>
      </c>
      <c r="C2578" s="34" t="s">
        <v>3850</v>
      </c>
      <c r="D2578" s="34">
        <v>1</v>
      </c>
      <c r="E2578" s="35" t="s">
        <v>3798</v>
      </c>
      <c r="F2578" s="35" t="s">
        <v>107</v>
      </c>
      <c r="G2578" s="106" t="s">
        <v>3860</v>
      </c>
      <c r="H2578" s="33">
        <v>43221</v>
      </c>
      <c r="I2578" s="34" t="s">
        <v>3959</v>
      </c>
      <c r="J2578" s="36">
        <v>112.2</v>
      </c>
      <c r="K2578" t="s">
        <v>2030</v>
      </c>
    </row>
    <row r="2579" spans="1:11" x14ac:dyDescent="0.3">
      <c r="A2579" t="s">
        <v>818</v>
      </c>
      <c r="B2579" s="33">
        <v>43278</v>
      </c>
      <c r="C2579" s="34" t="s">
        <v>3850</v>
      </c>
      <c r="D2579" s="34">
        <v>1</v>
      </c>
      <c r="E2579" s="35" t="s">
        <v>3798</v>
      </c>
      <c r="F2579" s="35" t="s">
        <v>106</v>
      </c>
      <c r="G2579" s="106" t="s">
        <v>3860</v>
      </c>
      <c r="H2579" s="33">
        <v>43221</v>
      </c>
      <c r="I2579" s="34" t="s">
        <v>3960</v>
      </c>
      <c r="J2579" s="36">
        <v>112.2</v>
      </c>
      <c r="K2579" t="s">
        <v>2030</v>
      </c>
    </row>
    <row r="2580" spans="1:11" x14ac:dyDescent="0.3">
      <c r="A2580" t="s">
        <v>818</v>
      </c>
      <c r="B2580" s="33">
        <v>43278</v>
      </c>
      <c r="C2580" s="34" t="s">
        <v>3850</v>
      </c>
      <c r="D2580" s="34">
        <v>1</v>
      </c>
      <c r="E2580" s="35" t="s">
        <v>3798</v>
      </c>
      <c r="F2580" s="35" t="s">
        <v>59</v>
      </c>
      <c r="G2580" s="106" t="s">
        <v>3961</v>
      </c>
      <c r="H2580" s="33">
        <v>43221</v>
      </c>
      <c r="I2580" s="34" t="s">
        <v>3962</v>
      </c>
      <c r="J2580" s="36">
        <v>299.2</v>
      </c>
      <c r="K2580" t="s">
        <v>2030</v>
      </c>
    </row>
    <row r="2581" spans="1:11" x14ac:dyDescent="0.3">
      <c r="A2581" t="s">
        <v>818</v>
      </c>
      <c r="B2581" s="33">
        <v>43278</v>
      </c>
      <c r="C2581" s="34" t="s">
        <v>3850</v>
      </c>
      <c r="D2581" s="34">
        <v>1</v>
      </c>
      <c r="E2581" s="35" t="s">
        <v>3798</v>
      </c>
      <c r="F2581" s="35" t="s">
        <v>42</v>
      </c>
      <c r="G2581" s="106" t="s">
        <v>3963</v>
      </c>
      <c r="H2581" s="33">
        <v>43221</v>
      </c>
      <c r="I2581" s="34" t="s">
        <v>3964</v>
      </c>
      <c r="J2581" s="36">
        <v>299.2</v>
      </c>
      <c r="K2581" t="s">
        <v>2030</v>
      </c>
    </row>
    <row r="2582" spans="1:11" x14ac:dyDescent="0.3">
      <c r="A2582" t="s">
        <v>818</v>
      </c>
      <c r="B2582" s="33">
        <v>43278</v>
      </c>
      <c r="C2582" s="34" t="s">
        <v>3850</v>
      </c>
      <c r="D2582" s="34">
        <v>1</v>
      </c>
      <c r="E2582" s="35" t="s">
        <v>3798</v>
      </c>
      <c r="F2582" s="35" t="s">
        <v>144</v>
      </c>
      <c r="G2582" s="106" t="s">
        <v>3856</v>
      </c>
      <c r="H2582" s="33">
        <v>43221</v>
      </c>
      <c r="I2582" s="34" t="s">
        <v>3965</v>
      </c>
      <c r="J2582" s="36">
        <v>280.5</v>
      </c>
      <c r="K2582" t="s">
        <v>2030</v>
      </c>
    </row>
    <row r="2583" spans="1:11" x14ac:dyDescent="0.3">
      <c r="A2583" t="s">
        <v>818</v>
      </c>
      <c r="B2583" s="33">
        <v>43278</v>
      </c>
      <c r="C2583" s="34" t="s">
        <v>3850</v>
      </c>
      <c r="D2583" s="34">
        <v>1</v>
      </c>
      <c r="E2583" s="35" t="s">
        <v>3798</v>
      </c>
      <c r="F2583" s="35" t="s">
        <v>316</v>
      </c>
      <c r="G2583" s="106" t="s">
        <v>3966</v>
      </c>
      <c r="H2583" s="33">
        <v>43221</v>
      </c>
      <c r="I2583" s="34" t="s">
        <v>3967</v>
      </c>
      <c r="J2583" s="36">
        <v>18.7</v>
      </c>
      <c r="K2583" t="s">
        <v>2030</v>
      </c>
    </row>
    <row r="2584" spans="1:11" x14ac:dyDescent="0.3">
      <c r="A2584" t="s">
        <v>818</v>
      </c>
      <c r="B2584" s="33">
        <v>43278</v>
      </c>
      <c r="C2584" s="34" t="s">
        <v>3850</v>
      </c>
      <c r="D2584" s="34">
        <v>1</v>
      </c>
      <c r="E2584" s="35" t="s">
        <v>3798</v>
      </c>
      <c r="F2584" s="35" t="s">
        <v>311</v>
      </c>
      <c r="G2584" s="106" t="s">
        <v>3918</v>
      </c>
      <c r="H2584" s="33">
        <v>43221</v>
      </c>
      <c r="I2584" s="34" t="s">
        <v>3968</v>
      </c>
      <c r="J2584" s="36">
        <v>112.2</v>
      </c>
      <c r="K2584" t="s">
        <v>2030</v>
      </c>
    </row>
    <row r="2585" spans="1:11" x14ac:dyDescent="0.3">
      <c r="A2585" t="s">
        <v>818</v>
      </c>
      <c r="B2585" s="33">
        <v>43278</v>
      </c>
      <c r="C2585" s="34" t="s">
        <v>3850</v>
      </c>
      <c r="D2585" s="34">
        <v>1</v>
      </c>
      <c r="E2585" s="35" t="s">
        <v>3798</v>
      </c>
      <c r="F2585" s="35" t="s">
        <v>306</v>
      </c>
      <c r="G2585" s="106" t="s">
        <v>3915</v>
      </c>
      <c r="H2585" s="33">
        <v>43221</v>
      </c>
      <c r="I2585" s="34" t="s">
        <v>3969</v>
      </c>
      <c r="J2585" s="36">
        <v>140.25</v>
      </c>
      <c r="K2585" t="s">
        <v>2030</v>
      </c>
    </row>
    <row r="2586" spans="1:11" x14ac:dyDescent="0.3">
      <c r="A2586" t="s">
        <v>818</v>
      </c>
      <c r="B2586" s="33">
        <v>43278</v>
      </c>
      <c r="C2586" s="34" t="s">
        <v>3850</v>
      </c>
      <c r="D2586" s="34">
        <v>1</v>
      </c>
      <c r="E2586" s="35" t="s">
        <v>3798</v>
      </c>
      <c r="F2586" s="35" t="s">
        <v>302</v>
      </c>
      <c r="G2586" s="106" t="s">
        <v>3928</v>
      </c>
      <c r="H2586" s="33">
        <v>43221</v>
      </c>
      <c r="I2586" s="34" t="s">
        <v>3970</v>
      </c>
      <c r="J2586" s="36">
        <v>112.2</v>
      </c>
      <c r="K2586" t="s">
        <v>2030</v>
      </c>
    </row>
    <row r="2587" spans="1:11" x14ac:dyDescent="0.3">
      <c r="A2587" t="s">
        <v>818</v>
      </c>
      <c r="B2587" s="33">
        <v>43278</v>
      </c>
      <c r="C2587" s="34" t="s">
        <v>3850</v>
      </c>
      <c r="D2587" s="34">
        <v>1</v>
      </c>
      <c r="E2587" s="35" t="s">
        <v>3798</v>
      </c>
      <c r="F2587" s="35" t="s">
        <v>298</v>
      </c>
      <c r="G2587" s="106" t="s">
        <v>3941</v>
      </c>
      <c r="H2587" s="33">
        <v>43221</v>
      </c>
      <c r="I2587" s="34" t="s">
        <v>3971</v>
      </c>
      <c r="J2587" s="36">
        <v>121.55</v>
      </c>
      <c r="K2587" t="s">
        <v>2030</v>
      </c>
    </row>
    <row r="2588" spans="1:11" x14ac:dyDescent="0.3">
      <c r="A2588" t="s">
        <v>818</v>
      </c>
      <c r="B2588" s="33">
        <v>43278</v>
      </c>
      <c r="C2588" s="34" t="s">
        <v>3850</v>
      </c>
      <c r="D2588" s="34">
        <v>1</v>
      </c>
      <c r="E2588" s="35" t="s">
        <v>3798</v>
      </c>
      <c r="F2588" s="35" t="s">
        <v>312</v>
      </c>
      <c r="G2588" s="106" t="s">
        <v>3972</v>
      </c>
      <c r="H2588" s="33">
        <v>43221</v>
      </c>
      <c r="I2588" s="34" t="s">
        <v>3973</v>
      </c>
      <c r="J2588" s="36">
        <v>84.15</v>
      </c>
      <c r="K2588" t="s">
        <v>2030</v>
      </c>
    </row>
    <row r="2589" spans="1:11" x14ac:dyDescent="0.3">
      <c r="A2589" t="s">
        <v>818</v>
      </c>
      <c r="B2589" s="33">
        <v>43278</v>
      </c>
      <c r="C2589" s="34" t="s">
        <v>3850</v>
      </c>
      <c r="D2589" s="34">
        <v>1</v>
      </c>
      <c r="E2589" s="35" t="s">
        <v>3798</v>
      </c>
      <c r="F2589" s="35" t="s">
        <v>313</v>
      </c>
      <c r="G2589" s="106" t="s">
        <v>3972</v>
      </c>
      <c r="H2589" s="33">
        <v>43221</v>
      </c>
      <c r="I2589" s="34" t="s">
        <v>3974</v>
      </c>
      <c r="J2589" s="36">
        <v>56.1</v>
      </c>
      <c r="K2589" t="s">
        <v>2030</v>
      </c>
    </row>
    <row r="2590" spans="1:11" x14ac:dyDescent="0.3">
      <c r="A2590" t="s">
        <v>818</v>
      </c>
      <c r="B2590" s="33">
        <v>43278</v>
      </c>
      <c r="C2590" s="34" t="s">
        <v>3850</v>
      </c>
      <c r="D2590" s="34">
        <v>1</v>
      </c>
      <c r="E2590" s="35" t="s">
        <v>3798</v>
      </c>
      <c r="F2590" s="35" t="s">
        <v>80</v>
      </c>
      <c r="G2590" s="106" t="s">
        <v>3976</v>
      </c>
      <c r="H2590" s="33">
        <v>43221</v>
      </c>
      <c r="I2590" s="34" t="s">
        <v>3977</v>
      </c>
      <c r="J2590" s="36">
        <v>299.2</v>
      </c>
      <c r="K2590" t="s">
        <v>2030</v>
      </c>
    </row>
    <row r="2591" spans="1:11" x14ac:dyDescent="0.3">
      <c r="A2591" t="s">
        <v>818</v>
      </c>
      <c r="B2591" s="33">
        <v>43278</v>
      </c>
      <c r="C2591" s="34" t="s">
        <v>3850</v>
      </c>
      <c r="D2591" s="34">
        <v>1</v>
      </c>
      <c r="E2591" s="35" t="s">
        <v>3798</v>
      </c>
      <c r="F2591" s="35" t="s">
        <v>81</v>
      </c>
      <c r="G2591" s="106" t="s">
        <v>3978</v>
      </c>
      <c r="H2591" s="33">
        <v>43221</v>
      </c>
      <c r="I2591" s="34" t="s">
        <v>3979</v>
      </c>
      <c r="J2591" s="36">
        <v>299.2</v>
      </c>
      <c r="K2591" t="s">
        <v>2030</v>
      </c>
    </row>
    <row r="2592" spans="1:11" x14ac:dyDescent="0.3">
      <c r="A2592" t="s">
        <v>818</v>
      </c>
      <c r="B2592" s="33">
        <v>43278</v>
      </c>
      <c r="C2592" s="34" t="s">
        <v>3850</v>
      </c>
      <c r="D2592" s="34">
        <v>1</v>
      </c>
      <c r="E2592" s="35" t="s">
        <v>3798</v>
      </c>
      <c r="F2592" s="35" t="s">
        <v>78</v>
      </c>
      <c r="G2592" s="106" t="s">
        <v>3980</v>
      </c>
      <c r="H2592" s="33">
        <v>43221</v>
      </c>
      <c r="I2592" s="34" t="s">
        <v>3981</v>
      </c>
      <c r="J2592" s="36">
        <v>299.2</v>
      </c>
      <c r="K2592" t="s">
        <v>2030</v>
      </c>
    </row>
    <row r="2593" spans="1:11" x14ac:dyDescent="0.3">
      <c r="A2593" t="s">
        <v>818</v>
      </c>
      <c r="B2593" s="33">
        <v>43278</v>
      </c>
      <c r="C2593" s="34" t="s">
        <v>3850</v>
      </c>
      <c r="D2593" s="34">
        <v>1</v>
      </c>
      <c r="E2593" s="35" t="s">
        <v>3798</v>
      </c>
      <c r="F2593" s="35" t="s">
        <v>74</v>
      </c>
      <c r="G2593" s="106" t="s">
        <v>3982</v>
      </c>
      <c r="H2593" s="33">
        <v>43221</v>
      </c>
      <c r="I2593" s="34" t="s">
        <v>3983</v>
      </c>
      <c r="J2593" s="36">
        <v>299.2</v>
      </c>
      <c r="K2593" t="s">
        <v>2030</v>
      </c>
    </row>
    <row r="2594" spans="1:11" x14ac:dyDescent="0.3">
      <c r="A2594" t="s">
        <v>818</v>
      </c>
      <c r="B2594" s="33">
        <v>43278</v>
      </c>
      <c r="C2594" s="34" t="s">
        <v>3850</v>
      </c>
      <c r="D2594" s="34">
        <v>1</v>
      </c>
      <c r="E2594" s="35" t="s">
        <v>3798</v>
      </c>
      <c r="F2594" s="35" t="s">
        <v>84</v>
      </c>
      <c r="G2594" s="106" t="s">
        <v>3984</v>
      </c>
      <c r="H2594" s="33">
        <v>43221</v>
      </c>
      <c r="I2594" s="34" t="s">
        <v>3985</v>
      </c>
      <c r="J2594" s="36">
        <v>299.2</v>
      </c>
      <c r="K2594" t="s">
        <v>2030</v>
      </c>
    </row>
    <row r="2595" spans="1:11" x14ac:dyDescent="0.3">
      <c r="A2595" t="s">
        <v>818</v>
      </c>
      <c r="B2595" s="33">
        <v>43278</v>
      </c>
      <c r="C2595" s="34" t="s">
        <v>3850</v>
      </c>
      <c r="D2595" s="34">
        <v>1</v>
      </c>
      <c r="E2595" s="35" t="s">
        <v>3798</v>
      </c>
      <c r="F2595" s="35" t="s">
        <v>85</v>
      </c>
      <c r="G2595" s="106" t="s">
        <v>3986</v>
      </c>
      <c r="H2595" s="33">
        <v>43221</v>
      </c>
      <c r="I2595" s="34" t="s">
        <v>3987</v>
      </c>
      <c r="J2595" s="36">
        <v>299.2</v>
      </c>
      <c r="K2595" t="s">
        <v>2030</v>
      </c>
    </row>
    <row r="2596" spans="1:11" x14ac:dyDescent="0.3">
      <c r="A2596" t="s">
        <v>818</v>
      </c>
      <c r="B2596" s="33">
        <v>43278</v>
      </c>
      <c r="C2596" s="34" t="s">
        <v>3850</v>
      </c>
      <c r="D2596" s="34">
        <v>1</v>
      </c>
      <c r="E2596" s="35" t="s">
        <v>3798</v>
      </c>
      <c r="F2596" s="35" t="s">
        <v>77</v>
      </c>
      <c r="G2596" s="106" t="s">
        <v>3988</v>
      </c>
      <c r="H2596" s="33">
        <v>43221</v>
      </c>
      <c r="I2596" s="34" t="s">
        <v>3989</v>
      </c>
      <c r="J2596" s="36">
        <v>299.2</v>
      </c>
      <c r="K2596" t="s">
        <v>2030</v>
      </c>
    </row>
    <row r="2597" spans="1:11" x14ac:dyDescent="0.3">
      <c r="A2597" t="s">
        <v>818</v>
      </c>
      <c r="B2597" s="33">
        <v>43278</v>
      </c>
      <c r="C2597" s="34" t="s">
        <v>3850</v>
      </c>
      <c r="D2597" s="34">
        <v>1</v>
      </c>
      <c r="E2597" s="35" t="s">
        <v>3798</v>
      </c>
      <c r="F2597" s="35" t="s">
        <v>89</v>
      </c>
      <c r="G2597" s="106" t="s">
        <v>3990</v>
      </c>
      <c r="H2597" s="33">
        <v>43221</v>
      </c>
      <c r="I2597" s="34" t="s">
        <v>3991</v>
      </c>
      <c r="J2597" s="36">
        <v>299.2</v>
      </c>
      <c r="K2597" t="s">
        <v>2030</v>
      </c>
    </row>
    <row r="2598" spans="1:11" x14ac:dyDescent="0.3">
      <c r="A2598" t="s">
        <v>818</v>
      </c>
      <c r="B2598" s="33">
        <v>43278</v>
      </c>
      <c r="C2598" s="34" t="s">
        <v>3850</v>
      </c>
      <c r="D2598" s="34">
        <v>1</v>
      </c>
      <c r="E2598" s="35" t="s">
        <v>3798</v>
      </c>
      <c r="F2598" s="35" t="s">
        <v>8</v>
      </c>
      <c r="G2598" s="106" t="s">
        <v>3992</v>
      </c>
      <c r="H2598" s="33">
        <v>43221</v>
      </c>
      <c r="I2598" s="34" t="s">
        <v>3993</v>
      </c>
      <c r="J2598" s="36">
        <v>299.2</v>
      </c>
      <c r="K2598" t="s">
        <v>2030</v>
      </c>
    </row>
    <row r="2599" spans="1:11" x14ac:dyDescent="0.3">
      <c r="A2599" t="s">
        <v>818</v>
      </c>
      <c r="B2599" s="33">
        <v>43278</v>
      </c>
      <c r="C2599" s="34" t="s">
        <v>3850</v>
      </c>
      <c r="D2599" s="34">
        <v>1</v>
      </c>
      <c r="E2599" s="35" t="s">
        <v>3798</v>
      </c>
      <c r="F2599" s="35" t="s">
        <v>92</v>
      </c>
      <c r="G2599" s="106" t="s">
        <v>3994</v>
      </c>
      <c r="H2599" s="33">
        <v>43221</v>
      </c>
      <c r="I2599" s="34" t="s">
        <v>3995</v>
      </c>
      <c r="J2599" s="36">
        <v>299.2</v>
      </c>
      <c r="K2599" t="s">
        <v>2030</v>
      </c>
    </row>
    <row r="2600" spans="1:11" x14ac:dyDescent="0.3">
      <c r="A2600" t="s">
        <v>818</v>
      </c>
      <c r="B2600" s="33">
        <v>43278</v>
      </c>
      <c r="C2600" s="34" t="s">
        <v>3850</v>
      </c>
      <c r="D2600" s="34">
        <v>1</v>
      </c>
      <c r="E2600" s="35" t="s">
        <v>3798</v>
      </c>
      <c r="F2600" s="35" t="s">
        <v>87</v>
      </c>
      <c r="G2600" s="106" t="s">
        <v>3996</v>
      </c>
      <c r="H2600" s="33">
        <v>43221</v>
      </c>
      <c r="I2600" s="34" t="s">
        <v>3997</v>
      </c>
      <c r="J2600" s="36">
        <v>299.2</v>
      </c>
      <c r="K2600" t="s">
        <v>2030</v>
      </c>
    </row>
    <row r="2601" spans="1:11" x14ac:dyDescent="0.3">
      <c r="A2601" t="s">
        <v>818</v>
      </c>
      <c r="B2601" s="33">
        <v>43278</v>
      </c>
      <c r="C2601" s="34" t="s">
        <v>3850</v>
      </c>
      <c r="D2601" s="34">
        <v>1</v>
      </c>
      <c r="E2601" s="35" t="s">
        <v>3798</v>
      </c>
      <c r="F2601" s="35" t="s">
        <v>90</v>
      </c>
      <c r="G2601" s="106" t="s">
        <v>3998</v>
      </c>
      <c r="H2601" s="33">
        <v>43221</v>
      </c>
      <c r="I2601" s="34" t="s">
        <v>3999</v>
      </c>
      <c r="J2601" s="36">
        <v>299.2</v>
      </c>
      <c r="K2601" t="s">
        <v>2030</v>
      </c>
    </row>
    <row r="2602" spans="1:11" x14ac:dyDescent="0.3">
      <c r="A2602" t="s">
        <v>818</v>
      </c>
      <c r="B2602" s="33">
        <v>43278</v>
      </c>
      <c r="C2602" s="34" t="s">
        <v>3850</v>
      </c>
      <c r="D2602" s="34">
        <v>1</v>
      </c>
      <c r="E2602" s="35" t="s">
        <v>3798</v>
      </c>
      <c r="F2602" s="35" t="s">
        <v>91</v>
      </c>
      <c r="G2602" s="106" t="s">
        <v>4000</v>
      </c>
      <c r="H2602" s="33">
        <v>43221</v>
      </c>
      <c r="I2602" s="34" t="s">
        <v>4001</v>
      </c>
      <c r="J2602" s="36">
        <v>56.1</v>
      </c>
      <c r="K2602" t="s">
        <v>2030</v>
      </c>
    </row>
    <row r="2603" spans="1:11" x14ac:dyDescent="0.3">
      <c r="A2603" t="s">
        <v>818</v>
      </c>
      <c r="B2603" s="33">
        <v>43278</v>
      </c>
      <c r="C2603" s="34" t="s">
        <v>3850</v>
      </c>
      <c r="D2603" s="34">
        <v>1</v>
      </c>
      <c r="E2603" s="35" t="s">
        <v>3798</v>
      </c>
      <c r="F2603" s="35" t="s">
        <v>82</v>
      </c>
      <c r="G2603" s="106" t="s">
        <v>4002</v>
      </c>
      <c r="H2603" s="33">
        <v>43221</v>
      </c>
      <c r="I2603" s="34" t="s">
        <v>4003</v>
      </c>
      <c r="J2603" s="36">
        <v>299.2</v>
      </c>
      <c r="K2603" t="s">
        <v>2030</v>
      </c>
    </row>
    <row r="2604" spans="1:11" x14ac:dyDescent="0.3">
      <c r="A2604" t="s">
        <v>818</v>
      </c>
      <c r="B2604" s="33">
        <v>43278</v>
      </c>
      <c r="C2604" s="34" t="s">
        <v>3850</v>
      </c>
      <c r="D2604" s="34">
        <v>1</v>
      </c>
      <c r="E2604" s="35" t="s">
        <v>3798</v>
      </c>
      <c r="F2604" s="35" t="s">
        <v>88</v>
      </c>
      <c r="G2604" s="106" t="s">
        <v>4004</v>
      </c>
      <c r="H2604" s="33">
        <v>43221</v>
      </c>
      <c r="I2604" s="34" t="s">
        <v>4005</v>
      </c>
      <c r="J2604" s="36">
        <v>299.2</v>
      </c>
      <c r="K2604" t="s">
        <v>2030</v>
      </c>
    </row>
    <row r="2605" spans="1:11" x14ac:dyDescent="0.3">
      <c r="A2605" t="s">
        <v>818</v>
      </c>
      <c r="B2605" s="33">
        <v>43278</v>
      </c>
      <c r="C2605" s="34" t="s">
        <v>3850</v>
      </c>
      <c r="D2605" s="34">
        <v>1</v>
      </c>
      <c r="E2605" s="35" t="s">
        <v>3798</v>
      </c>
      <c r="F2605" s="35" t="s">
        <v>30</v>
      </c>
      <c r="G2605" s="106" t="s">
        <v>4006</v>
      </c>
      <c r="H2605" s="33">
        <v>43221</v>
      </c>
      <c r="I2605" s="34" t="s">
        <v>4007</v>
      </c>
      <c r="J2605" s="36">
        <v>299.2</v>
      </c>
      <c r="K2605" t="s">
        <v>2030</v>
      </c>
    </row>
    <row r="2606" spans="1:11" x14ac:dyDescent="0.3">
      <c r="A2606" t="s">
        <v>818</v>
      </c>
      <c r="B2606" s="33">
        <v>43278</v>
      </c>
      <c r="C2606" s="34" t="s">
        <v>3850</v>
      </c>
      <c r="D2606" s="34">
        <v>1</v>
      </c>
      <c r="E2606" s="35" t="s">
        <v>3798</v>
      </c>
      <c r="F2606" s="35" t="s">
        <v>95</v>
      </c>
      <c r="G2606" s="106" t="s">
        <v>4008</v>
      </c>
      <c r="H2606" s="33">
        <v>43221</v>
      </c>
      <c r="I2606" s="34" t="s">
        <v>4009</v>
      </c>
      <c r="J2606" s="36">
        <v>252.45</v>
      </c>
      <c r="K2606" t="s">
        <v>2030</v>
      </c>
    </row>
    <row r="2607" spans="1:11" x14ac:dyDescent="0.3">
      <c r="A2607" t="s">
        <v>818</v>
      </c>
      <c r="B2607" s="33">
        <v>43278</v>
      </c>
      <c r="C2607" s="34" t="s">
        <v>3850</v>
      </c>
      <c r="D2607" s="34">
        <v>1</v>
      </c>
      <c r="E2607" s="35" t="s">
        <v>3798</v>
      </c>
      <c r="F2607" s="35" t="s">
        <v>99</v>
      </c>
      <c r="G2607" s="106" t="s">
        <v>4010</v>
      </c>
      <c r="H2607" s="33">
        <v>43221</v>
      </c>
      <c r="I2607" s="34" t="s">
        <v>4011</v>
      </c>
      <c r="J2607" s="36">
        <v>299.2</v>
      </c>
      <c r="K2607" t="s">
        <v>2030</v>
      </c>
    </row>
    <row r="2608" spans="1:11" x14ac:dyDescent="0.3">
      <c r="A2608" t="s">
        <v>818</v>
      </c>
      <c r="B2608" s="33">
        <v>43278</v>
      </c>
      <c r="C2608" s="34" t="s">
        <v>3850</v>
      </c>
      <c r="D2608" s="34">
        <v>1</v>
      </c>
      <c r="E2608" s="35" t="s">
        <v>3798</v>
      </c>
      <c r="F2608" s="35" t="s">
        <v>93</v>
      </c>
      <c r="G2608" s="106" t="s">
        <v>4012</v>
      </c>
      <c r="H2608" s="33">
        <v>43221</v>
      </c>
      <c r="I2608" s="34" t="s">
        <v>4013</v>
      </c>
      <c r="J2608" s="36">
        <v>299.2</v>
      </c>
      <c r="K2608" t="s">
        <v>2030</v>
      </c>
    </row>
    <row r="2609" spans="1:11" x14ac:dyDescent="0.3">
      <c r="A2609" t="s">
        <v>818</v>
      </c>
      <c r="B2609" s="33">
        <v>43278</v>
      </c>
      <c r="C2609" s="34" t="s">
        <v>3850</v>
      </c>
      <c r="D2609" s="34">
        <v>1</v>
      </c>
      <c r="E2609" s="35" t="s">
        <v>3798</v>
      </c>
      <c r="F2609" s="35" t="s">
        <v>97</v>
      </c>
      <c r="G2609" s="106" t="s">
        <v>4014</v>
      </c>
      <c r="H2609" s="33">
        <v>43221</v>
      </c>
      <c r="I2609" s="34" t="s">
        <v>4015</v>
      </c>
      <c r="J2609" s="36">
        <v>112.2</v>
      </c>
      <c r="K2609" t="s">
        <v>2030</v>
      </c>
    </row>
    <row r="2610" spans="1:11" x14ac:dyDescent="0.3">
      <c r="A2610" t="s">
        <v>818</v>
      </c>
      <c r="B2610" s="33">
        <v>43278</v>
      </c>
      <c r="C2610" s="34" t="s">
        <v>3850</v>
      </c>
      <c r="D2610" s="34">
        <v>1</v>
      </c>
      <c r="E2610" s="35" t="s">
        <v>3798</v>
      </c>
      <c r="F2610" s="35" t="s">
        <v>98</v>
      </c>
      <c r="G2610" s="106" t="s">
        <v>4016</v>
      </c>
      <c r="H2610" s="33">
        <v>43221</v>
      </c>
      <c r="I2610" s="34" t="s">
        <v>4017</v>
      </c>
      <c r="J2610" s="36">
        <v>299.2</v>
      </c>
      <c r="K2610" t="s">
        <v>2030</v>
      </c>
    </row>
    <row r="2611" spans="1:11" x14ac:dyDescent="0.3">
      <c r="A2611" t="s">
        <v>818</v>
      </c>
      <c r="B2611" s="33">
        <v>43278</v>
      </c>
      <c r="C2611" s="34" t="s">
        <v>3850</v>
      </c>
      <c r="D2611" s="34">
        <v>1</v>
      </c>
      <c r="E2611" s="35" t="s">
        <v>3798</v>
      </c>
      <c r="F2611" s="35" t="s">
        <v>102</v>
      </c>
      <c r="G2611" s="106" t="s">
        <v>4018</v>
      </c>
      <c r="H2611" s="33">
        <v>43221</v>
      </c>
      <c r="I2611" s="34" t="s">
        <v>4019</v>
      </c>
      <c r="J2611" s="36">
        <v>102.85</v>
      </c>
      <c r="K2611" t="s">
        <v>2030</v>
      </c>
    </row>
    <row r="2612" spans="1:11" x14ac:dyDescent="0.3">
      <c r="A2612" t="s">
        <v>818</v>
      </c>
      <c r="B2612" s="33">
        <v>43278</v>
      </c>
      <c r="C2612" s="34" t="s">
        <v>3850</v>
      </c>
      <c r="D2612" s="34">
        <v>1</v>
      </c>
      <c r="E2612" s="35" t="s">
        <v>3798</v>
      </c>
      <c r="F2612" s="35" t="s">
        <v>9</v>
      </c>
      <c r="G2612" s="106" t="s">
        <v>4020</v>
      </c>
      <c r="H2612" s="33">
        <v>43221</v>
      </c>
      <c r="I2612" s="34" t="s">
        <v>4021</v>
      </c>
      <c r="J2612" s="36">
        <v>299.2</v>
      </c>
      <c r="K2612" t="s">
        <v>2030</v>
      </c>
    </row>
    <row r="2613" spans="1:11" x14ac:dyDescent="0.3">
      <c r="A2613" t="s">
        <v>818</v>
      </c>
      <c r="B2613" s="33">
        <v>43278</v>
      </c>
      <c r="C2613" s="34" t="s">
        <v>3850</v>
      </c>
      <c r="D2613" s="34">
        <v>1</v>
      </c>
      <c r="E2613" s="35" t="s">
        <v>3798</v>
      </c>
      <c r="F2613" s="35" t="s">
        <v>75</v>
      </c>
      <c r="G2613" s="106" t="s">
        <v>3956</v>
      </c>
      <c r="H2613" s="33">
        <v>43221</v>
      </c>
      <c r="I2613" s="34" t="s">
        <v>4022</v>
      </c>
      <c r="J2613" s="36">
        <v>299.2</v>
      </c>
      <c r="K2613" t="s">
        <v>2030</v>
      </c>
    </row>
    <row r="2614" spans="1:11" x14ac:dyDescent="0.3">
      <c r="A2614" t="s">
        <v>818</v>
      </c>
      <c r="B2614" s="33">
        <v>43278</v>
      </c>
      <c r="C2614" s="34" t="s">
        <v>3850</v>
      </c>
      <c r="D2614" s="34">
        <v>1</v>
      </c>
      <c r="E2614" s="35" t="s">
        <v>3798</v>
      </c>
      <c r="F2614" s="35" t="s">
        <v>43</v>
      </c>
      <c r="G2614" s="106" t="s">
        <v>4023</v>
      </c>
      <c r="H2614" s="33">
        <v>43221</v>
      </c>
      <c r="I2614" s="34" t="s">
        <v>4024</v>
      </c>
      <c r="J2614" s="36">
        <v>299.2</v>
      </c>
      <c r="K2614" t="s">
        <v>2030</v>
      </c>
    </row>
    <row r="2615" spans="1:11" x14ac:dyDescent="0.3">
      <c r="A2615" t="s">
        <v>818</v>
      </c>
      <c r="B2615" s="33">
        <v>43278</v>
      </c>
      <c r="C2615" s="34" t="s">
        <v>3850</v>
      </c>
      <c r="D2615" s="34">
        <v>1</v>
      </c>
      <c r="E2615" s="35" t="s">
        <v>3798</v>
      </c>
      <c r="F2615" s="35" t="s">
        <v>40</v>
      </c>
      <c r="G2615" s="106" t="s">
        <v>4025</v>
      </c>
      <c r="H2615" s="33">
        <v>43221</v>
      </c>
      <c r="I2615" s="34" t="s">
        <v>4026</v>
      </c>
      <c r="J2615" s="36">
        <v>299.2</v>
      </c>
      <c r="K2615" t="s">
        <v>2030</v>
      </c>
    </row>
    <row r="2616" spans="1:11" x14ac:dyDescent="0.3">
      <c r="A2616" t="s">
        <v>818</v>
      </c>
      <c r="B2616" s="33">
        <v>43278</v>
      </c>
      <c r="C2616" s="34" t="s">
        <v>3850</v>
      </c>
      <c r="D2616" s="34">
        <v>1</v>
      </c>
      <c r="E2616" s="35" t="s">
        <v>3798</v>
      </c>
      <c r="F2616" s="35" t="s">
        <v>50</v>
      </c>
      <c r="G2616" s="106" t="s">
        <v>4027</v>
      </c>
      <c r="H2616" s="33">
        <v>43221</v>
      </c>
      <c r="I2616" s="34" t="s">
        <v>4028</v>
      </c>
      <c r="J2616" s="36">
        <v>121.55</v>
      </c>
      <c r="K2616" t="s">
        <v>2030</v>
      </c>
    </row>
    <row r="2617" spans="1:11" x14ac:dyDescent="0.3">
      <c r="A2617" t="s">
        <v>818</v>
      </c>
      <c r="B2617" s="33">
        <v>43278</v>
      </c>
      <c r="C2617" s="34" t="s">
        <v>3850</v>
      </c>
      <c r="D2617" s="34">
        <v>1</v>
      </c>
      <c r="E2617" s="35" t="s">
        <v>3798</v>
      </c>
      <c r="F2617" s="35" t="s">
        <v>53</v>
      </c>
      <c r="G2617" s="106" t="s">
        <v>4029</v>
      </c>
      <c r="H2617" s="33">
        <v>43221</v>
      </c>
      <c r="I2617" s="34" t="s">
        <v>4030</v>
      </c>
      <c r="J2617" s="36">
        <v>299.2</v>
      </c>
      <c r="K2617" t="s">
        <v>2030</v>
      </c>
    </row>
    <row r="2618" spans="1:11" x14ac:dyDescent="0.3">
      <c r="A2618" t="s">
        <v>818</v>
      </c>
      <c r="B2618" s="33">
        <v>43278</v>
      </c>
      <c r="C2618" s="34" t="s">
        <v>3850</v>
      </c>
      <c r="D2618" s="34">
        <v>1</v>
      </c>
      <c r="E2618" s="35" t="s">
        <v>3798</v>
      </c>
      <c r="F2618" s="35" t="s">
        <v>44</v>
      </c>
      <c r="G2618" s="106" t="s">
        <v>4031</v>
      </c>
      <c r="H2618" s="33">
        <v>43221</v>
      </c>
      <c r="I2618" s="34" t="s">
        <v>4032</v>
      </c>
      <c r="J2618" s="36">
        <v>299.2</v>
      </c>
      <c r="K2618" t="s">
        <v>2030</v>
      </c>
    </row>
    <row r="2619" spans="1:11" x14ac:dyDescent="0.3">
      <c r="A2619" t="s">
        <v>818</v>
      </c>
      <c r="B2619" s="33">
        <v>43278</v>
      </c>
      <c r="C2619" s="34" t="s">
        <v>3850</v>
      </c>
      <c r="D2619" s="34">
        <v>1</v>
      </c>
      <c r="E2619" s="35" t="s">
        <v>3798</v>
      </c>
      <c r="F2619" s="35" t="s">
        <v>6</v>
      </c>
      <c r="G2619" s="106" t="s">
        <v>4033</v>
      </c>
      <c r="H2619" s="33">
        <v>43221</v>
      </c>
      <c r="I2619" s="34" t="s">
        <v>4034</v>
      </c>
      <c r="J2619" s="36">
        <v>299.2</v>
      </c>
      <c r="K2619" t="s">
        <v>2030</v>
      </c>
    </row>
    <row r="2620" spans="1:11" x14ac:dyDescent="0.3">
      <c r="A2620" t="s">
        <v>818</v>
      </c>
      <c r="B2620" s="33">
        <v>43278</v>
      </c>
      <c r="C2620" s="34" t="s">
        <v>3850</v>
      </c>
      <c r="D2620" s="34">
        <v>1</v>
      </c>
      <c r="E2620" s="35" t="s">
        <v>3798</v>
      </c>
      <c r="F2620" s="35" t="s">
        <v>48</v>
      </c>
      <c r="G2620" s="106" t="s">
        <v>4035</v>
      </c>
      <c r="H2620" s="33">
        <v>43221</v>
      </c>
      <c r="I2620" s="34" t="s">
        <v>4036</v>
      </c>
      <c r="J2620" s="36">
        <v>299.2</v>
      </c>
      <c r="K2620" t="s">
        <v>2030</v>
      </c>
    </row>
    <row r="2621" spans="1:11" x14ac:dyDescent="0.3">
      <c r="A2621" t="s">
        <v>818</v>
      </c>
      <c r="B2621" s="33">
        <v>43278</v>
      </c>
      <c r="C2621" s="34" t="s">
        <v>3850</v>
      </c>
      <c r="D2621" s="34">
        <v>1</v>
      </c>
      <c r="E2621" s="35" t="s">
        <v>3798</v>
      </c>
      <c r="F2621" s="35" t="s">
        <v>51</v>
      </c>
      <c r="G2621" s="106" t="s">
        <v>4037</v>
      </c>
      <c r="H2621" s="33">
        <v>43221</v>
      </c>
      <c r="I2621" s="34" t="s">
        <v>4038</v>
      </c>
      <c r="J2621" s="36">
        <v>299.2</v>
      </c>
      <c r="K2621" t="s">
        <v>2030</v>
      </c>
    </row>
    <row r="2622" spans="1:11" x14ac:dyDescent="0.3">
      <c r="A2622" t="s">
        <v>818</v>
      </c>
      <c r="B2622" s="33">
        <v>43278</v>
      </c>
      <c r="C2622" s="34" t="s">
        <v>3850</v>
      </c>
      <c r="D2622" s="34">
        <v>1</v>
      </c>
      <c r="E2622" s="35" t="s">
        <v>3798</v>
      </c>
      <c r="F2622" s="35" t="s">
        <v>58</v>
      </c>
      <c r="G2622" s="106" t="s">
        <v>3961</v>
      </c>
      <c r="H2622" s="33">
        <v>43221</v>
      </c>
      <c r="I2622" s="34" t="s">
        <v>4039</v>
      </c>
      <c r="J2622" s="36">
        <v>299.2</v>
      </c>
      <c r="K2622" t="s">
        <v>2030</v>
      </c>
    </row>
    <row r="2623" spans="1:11" x14ac:dyDescent="0.3">
      <c r="A2623" t="s">
        <v>818</v>
      </c>
      <c r="B2623" s="33">
        <v>43278</v>
      </c>
      <c r="C2623" s="34" t="s">
        <v>3850</v>
      </c>
      <c r="D2623" s="34">
        <v>1</v>
      </c>
      <c r="E2623" s="35" t="s">
        <v>3798</v>
      </c>
      <c r="F2623" s="35" t="s">
        <v>55</v>
      </c>
      <c r="G2623" s="106" t="s">
        <v>4040</v>
      </c>
      <c r="H2623" s="33">
        <v>43221</v>
      </c>
      <c r="I2623" s="34" t="s">
        <v>4041</v>
      </c>
      <c r="J2623" s="36">
        <v>299.2</v>
      </c>
      <c r="K2623" t="s">
        <v>2030</v>
      </c>
    </row>
    <row r="2624" spans="1:11" x14ac:dyDescent="0.3">
      <c r="A2624" t="s">
        <v>818</v>
      </c>
      <c r="B2624" s="33">
        <v>43278</v>
      </c>
      <c r="C2624" s="34" t="s">
        <v>3850</v>
      </c>
      <c r="D2624" s="34">
        <v>1</v>
      </c>
      <c r="E2624" s="35" t="s">
        <v>3798</v>
      </c>
      <c r="F2624" s="35" t="s">
        <v>62</v>
      </c>
      <c r="G2624" s="106" t="s">
        <v>4042</v>
      </c>
      <c r="H2624" s="33">
        <v>43221</v>
      </c>
      <c r="I2624" s="34" t="s">
        <v>4043</v>
      </c>
      <c r="J2624" s="36">
        <v>299.2</v>
      </c>
      <c r="K2624" t="s">
        <v>2030</v>
      </c>
    </row>
    <row r="2625" spans="1:11" x14ac:dyDescent="0.3">
      <c r="A2625" t="s">
        <v>818</v>
      </c>
      <c r="B2625" s="33">
        <v>43278</v>
      </c>
      <c r="C2625" s="34" t="s">
        <v>3850</v>
      </c>
      <c r="D2625" s="34">
        <v>1</v>
      </c>
      <c r="E2625" s="35" t="s">
        <v>3798</v>
      </c>
      <c r="F2625" s="35" t="s">
        <v>54</v>
      </c>
      <c r="G2625" s="106" t="s">
        <v>4044</v>
      </c>
      <c r="H2625" s="33">
        <v>43221</v>
      </c>
      <c r="I2625" s="34" t="s">
        <v>4045</v>
      </c>
      <c r="J2625" s="36">
        <v>299.2</v>
      </c>
      <c r="K2625" t="s">
        <v>2030</v>
      </c>
    </row>
    <row r="2626" spans="1:11" x14ac:dyDescent="0.3">
      <c r="A2626" t="s">
        <v>818</v>
      </c>
      <c r="B2626" s="33">
        <v>43278</v>
      </c>
      <c r="C2626" s="34" t="s">
        <v>3850</v>
      </c>
      <c r="D2626" s="34">
        <v>1</v>
      </c>
      <c r="E2626" s="35" t="s">
        <v>3798</v>
      </c>
      <c r="F2626" s="35" t="s">
        <v>64</v>
      </c>
      <c r="G2626" s="106" t="s">
        <v>4046</v>
      </c>
      <c r="H2626" s="33">
        <v>43221</v>
      </c>
      <c r="I2626" s="34" t="s">
        <v>4047</v>
      </c>
      <c r="J2626" s="36">
        <v>299.2</v>
      </c>
      <c r="K2626" t="s">
        <v>2030</v>
      </c>
    </row>
    <row r="2627" spans="1:11" x14ac:dyDescent="0.3">
      <c r="A2627" t="s">
        <v>818</v>
      </c>
      <c r="B2627" s="33">
        <v>43278</v>
      </c>
      <c r="C2627" s="34" t="s">
        <v>3850</v>
      </c>
      <c r="D2627" s="34">
        <v>1</v>
      </c>
      <c r="E2627" s="35" t="s">
        <v>3798</v>
      </c>
      <c r="F2627" s="35" t="s">
        <v>49</v>
      </c>
      <c r="G2627" s="106" t="s">
        <v>4027</v>
      </c>
      <c r="H2627" s="33">
        <v>43221</v>
      </c>
      <c r="I2627" s="34" t="s">
        <v>4048</v>
      </c>
      <c r="J2627" s="36">
        <v>121.55</v>
      </c>
      <c r="K2627" t="s">
        <v>2030</v>
      </c>
    </row>
    <row r="2628" spans="1:11" x14ac:dyDescent="0.3">
      <c r="A2628" t="s">
        <v>818</v>
      </c>
      <c r="B2628" s="33">
        <v>43278</v>
      </c>
      <c r="C2628" s="34" t="s">
        <v>3850</v>
      </c>
      <c r="D2628" s="34">
        <v>1</v>
      </c>
      <c r="E2628" s="35" t="s">
        <v>3798</v>
      </c>
      <c r="F2628" s="35" t="s">
        <v>60</v>
      </c>
      <c r="G2628" s="106" t="s">
        <v>3961</v>
      </c>
      <c r="H2628" s="33">
        <v>43221</v>
      </c>
      <c r="I2628" s="34" t="s">
        <v>4049</v>
      </c>
      <c r="J2628" s="36">
        <v>299.2</v>
      </c>
      <c r="K2628" t="s">
        <v>2030</v>
      </c>
    </row>
    <row r="2629" spans="1:11" x14ac:dyDescent="0.3">
      <c r="A2629" t="s">
        <v>818</v>
      </c>
      <c r="B2629" s="33">
        <v>43278</v>
      </c>
      <c r="C2629" s="34" t="s">
        <v>3850</v>
      </c>
      <c r="D2629" s="34">
        <v>1</v>
      </c>
      <c r="E2629" s="35" t="s">
        <v>3798</v>
      </c>
      <c r="F2629" s="35" t="s">
        <v>67</v>
      </c>
      <c r="G2629" s="106" t="s">
        <v>4050</v>
      </c>
      <c r="H2629" s="33">
        <v>43221</v>
      </c>
      <c r="I2629" s="34" t="s">
        <v>4051</v>
      </c>
      <c r="J2629" s="36">
        <v>261.8</v>
      </c>
      <c r="K2629" t="s">
        <v>2030</v>
      </c>
    </row>
    <row r="2630" spans="1:11" x14ac:dyDescent="0.3">
      <c r="A2630" t="s">
        <v>818</v>
      </c>
      <c r="B2630" s="33">
        <v>43278</v>
      </c>
      <c r="C2630" s="34" t="s">
        <v>3850</v>
      </c>
      <c r="D2630" s="34">
        <v>1</v>
      </c>
      <c r="E2630" s="35" t="s">
        <v>3798</v>
      </c>
      <c r="F2630" s="35" t="s">
        <v>68</v>
      </c>
      <c r="G2630" s="106" t="s">
        <v>4052</v>
      </c>
      <c r="H2630" s="33">
        <v>43221</v>
      </c>
      <c r="I2630" s="34" t="s">
        <v>4053</v>
      </c>
      <c r="J2630" s="36">
        <v>299.2</v>
      </c>
      <c r="K2630" t="s">
        <v>2030</v>
      </c>
    </row>
    <row r="2631" spans="1:11" x14ac:dyDescent="0.3">
      <c r="A2631" t="s">
        <v>818</v>
      </c>
      <c r="B2631" s="33">
        <v>43278</v>
      </c>
      <c r="C2631" s="34" t="s">
        <v>3850</v>
      </c>
      <c r="D2631" s="34">
        <v>1</v>
      </c>
      <c r="E2631" s="35" t="s">
        <v>3798</v>
      </c>
      <c r="F2631" s="35" t="s">
        <v>70</v>
      </c>
      <c r="G2631" s="106" t="s">
        <v>4054</v>
      </c>
      <c r="H2631" s="33">
        <v>43221</v>
      </c>
      <c r="I2631" s="34" t="s">
        <v>4055</v>
      </c>
      <c r="J2631" s="36">
        <v>299.2</v>
      </c>
      <c r="K2631" t="s">
        <v>2030</v>
      </c>
    </row>
    <row r="2632" spans="1:11" x14ac:dyDescent="0.3">
      <c r="A2632" t="s">
        <v>818</v>
      </c>
      <c r="B2632" s="33">
        <v>43278</v>
      </c>
      <c r="C2632" s="34" t="s">
        <v>3850</v>
      </c>
      <c r="D2632" s="34">
        <v>1</v>
      </c>
      <c r="E2632" s="35" t="s">
        <v>3798</v>
      </c>
      <c r="F2632" s="35" t="s">
        <v>69</v>
      </c>
      <c r="G2632" s="106" t="s">
        <v>4056</v>
      </c>
      <c r="H2632" s="33">
        <v>43221</v>
      </c>
      <c r="I2632" s="34" t="s">
        <v>4057</v>
      </c>
      <c r="J2632" s="36">
        <v>299.2</v>
      </c>
      <c r="K2632" t="s">
        <v>2030</v>
      </c>
    </row>
    <row r="2633" spans="1:11" x14ac:dyDescent="0.3">
      <c r="A2633" t="s">
        <v>818</v>
      </c>
      <c r="B2633" s="33">
        <v>43278</v>
      </c>
      <c r="C2633" s="34" t="s">
        <v>3850</v>
      </c>
      <c r="D2633" s="34">
        <v>1</v>
      </c>
      <c r="E2633" s="35" t="s">
        <v>3798</v>
      </c>
      <c r="F2633" s="35" t="s">
        <v>7</v>
      </c>
      <c r="G2633" s="106" t="s">
        <v>4058</v>
      </c>
      <c r="H2633" s="33">
        <v>43221</v>
      </c>
      <c r="I2633" s="34" t="s">
        <v>4059</v>
      </c>
      <c r="J2633" s="36">
        <v>299.2</v>
      </c>
      <c r="K2633" t="s">
        <v>2030</v>
      </c>
    </row>
    <row r="2634" spans="1:11" x14ac:dyDescent="0.3">
      <c r="A2634" t="s">
        <v>818</v>
      </c>
      <c r="B2634" s="33">
        <v>43278</v>
      </c>
      <c r="C2634" s="34" t="s">
        <v>3850</v>
      </c>
      <c r="D2634" s="34">
        <v>1</v>
      </c>
      <c r="E2634" s="35" t="s">
        <v>3798</v>
      </c>
      <c r="F2634" s="35" t="s">
        <v>72</v>
      </c>
      <c r="G2634" s="106" t="s">
        <v>3956</v>
      </c>
      <c r="H2634" s="33">
        <v>43221</v>
      </c>
      <c r="I2634" s="34" t="s">
        <v>4060</v>
      </c>
      <c r="J2634" s="36">
        <v>299.2</v>
      </c>
      <c r="K2634" t="s">
        <v>2030</v>
      </c>
    </row>
    <row r="2635" spans="1:11" x14ac:dyDescent="0.3">
      <c r="A2635" t="s">
        <v>818</v>
      </c>
      <c r="B2635" s="33">
        <v>43278</v>
      </c>
      <c r="C2635" s="34" t="s">
        <v>3850</v>
      </c>
      <c r="D2635" s="34">
        <v>1</v>
      </c>
      <c r="E2635" s="35" t="s">
        <v>3798</v>
      </c>
      <c r="F2635" s="35" t="s">
        <v>66</v>
      </c>
      <c r="G2635" s="106" t="s">
        <v>4061</v>
      </c>
      <c r="H2635" s="33">
        <v>43221</v>
      </c>
      <c r="I2635" s="34" t="s">
        <v>4062</v>
      </c>
      <c r="J2635" s="36">
        <v>299.2</v>
      </c>
      <c r="K2635" t="s">
        <v>2030</v>
      </c>
    </row>
    <row r="2636" spans="1:11" x14ac:dyDescent="0.3">
      <c r="A2636" t="s">
        <v>818</v>
      </c>
      <c r="B2636" s="33">
        <v>43278</v>
      </c>
      <c r="C2636" s="34" t="s">
        <v>3850</v>
      </c>
      <c r="D2636" s="34">
        <v>1</v>
      </c>
      <c r="E2636" s="35" t="s">
        <v>3798</v>
      </c>
      <c r="F2636" s="35" t="s">
        <v>73</v>
      </c>
      <c r="G2636" s="106" t="s">
        <v>4063</v>
      </c>
      <c r="H2636" s="33">
        <v>43221</v>
      </c>
      <c r="I2636" s="34" t="s">
        <v>4064</v>
      </c>
      <c r="J2636" s="36">
        <v>299.2</v>
      </c>
      <c r="K2636" t="s">
        <v>2030</v>
      </c>
    </row>
    <row r="2637" spans="1:11" x14ac:dyDescent="0.3">
      <c r="A2637" t="s">
        <v>818</v>
      </c>
      <c r="B2637" s="33">
        <v>43278</v>
      </c>
      <c r="C2637" s="34" t="s">
        <v>3850</v>
      </c>
      <c r="D2637" s="34">
        <v>1</v>
      </c>
      <c r="E2637" s="35" t="s">
        <v>3798</v>
      </c>
      <c r="F2637" s="35" t="s">
        <v>76</v>
      </c>
      <c r="G2637" s="106" t="s">
        <v>4052</v>
      </c>
      <c r="H2637" s="33">
        <v>43221</v>
      </c>
      <c r="I2637" s="34" t="s">
        <v>4065</v>
      </c>
      <c r="J2637" s="36">
        <v>299.2</v>
      </c>
      <c r="K2637" t="s">
        <v>2030</v>
      </c>
    </row>
    <row r="2638" spans="1:11" x14ac:dyDescent="0.3">
      <c r="A2638" t="s">
        <v>818</v>
      </c>
      <c r="B2638" s="33">
        <v>43278</v>
      </c>
      <c r="C2638" s="34" t="s">
        <v>3850</v>
      </c>
      <c r="D2638" s="34">
        <v>1</v>
      </c>
      <c r="E2638" s="35" t="s">
        <v>3798</v>
      </c>
      <c r="F2638" s="35" t="s">
        <v>10</v>
      </c>
      <c r="G2638" s="106" t="s">
        <v>4091</v>
      </c>
      <c r="H2638" s="33">
        <v>43221</v>
      </c>
      <c r="I2638" s="34" t="s">
        <v>4092</v>
      </c>
      <c r="J2638" s="36">
        <v>299.2</v>
      </c>
      <c r="K2638" t="s">
        <v>2030</v>
      </c>
    </row>
    <row r="2639" spans="1:11" x14ac:dyDescent="0.3">
      <c r="A2639" t="s">
        <v>818</v>
      </c>
      <c r="B2639" s="33">
        <v>43278</v>
      </c>
      <c r="C2639" s="34" t="s">
        <v>3850</v>
      </c>
      <c r="D2639" s="34">
        <v>1</v>
      </c>
      <c r="E2639" s="35" t="s">
        <v>3798</v>
      </c>
      <c r="F2639" s="35" t="s">
        <v>12</v>
      </c>
      <c r="G2639" s="106" t="s">
        <v>4093</v>
      </c>
      <c r="H2639" s="33">
        <v>43221</v>
      </c>
      <c r="I2639" s="34" t="s">
        <v>4094</v>
      </c>
      <c r="J2639" s="36">
        <v>299.2</v>
      </c>
      <c r="K2639" t="s">
        <v>2030</v>
      </c>
    </row>
    <row r="2640" spans="1:11" x14ac:dyDescent="0.3">
      <c r="A2640" t="s">
        <v>818</v>
      </c>
      <c r="B2640" s="33">
        <v>43278</v>
      </c>
      <c r="C2640" s="34" t="s">
        <v>3850</v>
      </c>
      <c r="D2640" s="34">
        <v>1</v>
      </c>
      <c r="E2640" s="35" t="s">
        <v>3798</v>
      </c>
      <c r="F2640" s="35" t="s">
        <v>20</v>
      </c>
      <c r="G2640" s="106" t="s">
        <v>4095</v>
      </c>
      <c r="H2640" s="33">
        <v>43221</v>
      </c>
      <c r="I2640" s="34" t="s">
        <v>4096</v>
      </c>
      <c r="J2640" s="36">
        <v>299.2</v>
      </c>
      <c r="K2640" t="s">
        <v>2030</v>
      </c>
    </row>
    <row r="2641" spans="1:11" x14ac:dyDescent="0.3">
      <c r="A2641" t="s">
        <v>818</v>
      </c>
      <c r="B2641" s="33">
        <v>43278</v>
      </c>
      <c r="C2641" s="34" t="s">
        <v>3850</v>
      </c>
      <c r="D2641" s="34">
        <v>1</v>
      </c>
      <c r="E2641" s="35" t="s">
        <v>3798</v>
      </c>
      <c r="F2641" s="35" t="s">
        <v>11</v>
      </c>
      <c r="G2641" s="106" t="s">
        <v>4097</v>
      </c>
      <c r="H2641" s="33">
        <v>43221</v>
      </c>
      <c r="I2641" s="34" t="s">
        <v>4098</v>
      </c>
      <c r="J2641" s="36">
        <v>299.2</v>
      </c>
      <c r="K2641" t="s">
        <v>2030</v>
      </c>
    </row>
    <row r="2642" spans="1:11" x14ac:dyDescent="0.3">
      <c r="A2642" t="s">
        <v>818</v>
      </c>
      <c r="B2642" s="33">
        <v>43278</v>
      </c>
      <c r="C2642" s="34" t="s">
        <v>3850</v>
      </c>
      <c r="D2642" s="34">
        <v>1</v>
      </c>
      <c r="E2642" s="35" t="s">
        <v>3798</v>
      </c>
      <c r="F2642" s="35" t="s">
        <v>13</v>
      </c>
      <c r="G2642" s="106" t="s">
        <v>4099</v>
      </c>
      <c r="H2642" s="33">
        <v>43221</v>
      </c>
      <c r="I2642" s="34" t="s">
        <v>4100</v>
      </c>
      <c r="J2642" s="36">
        <v>299.2</v>
      </c>
      <c r="K2642" t="s">
        <v>2030</v>
      </c>
    </row>
    <row r="2643" spans="1:11" x14ac:dyDescent="0.3">
      <c r="A2643" t="s">
        <v>818</v>
      </c>
      <c r="B2643" s="33">
        <v>43278</v>
      </c>
      <c r="C2643" s="34" t="s">
        <v>3850</v>
      </c>
      <c r="D2643" s="34">
        <v>1</v>
      </c>
      <c r="E2643" s="35" t="s">
        <v>3798</v>
      </c>
      <c r="F2643" s="35" t="s">
        <v>16</v>
      </c>
      <c r="G2643" s="106" t="s">
        <v>4101</v>
      </c>
      <c r="H2643" s="33">
        <v>43221</v>
      </c>
      <c r="I2643" s="34" t="s">
        <v>4102</v>
      </c>
      <c r="J2643" s="36">
        <v>299.2</v>
      </c>
      <c r="K2643" t="s">
        <v>2030</v>
      </c>
    </row>
    <row r="2644" spans="1:11" x14ac:dyDescent="0.3">
      <c r="A2644" t="s">
        <v>818</v>
      </c>
      <c r="B2644" s="33">
        <v>43278</v>
      </c>
      <c r="C2644" s="34" t="s">
        <v>3850</v>
      </c>
      <c r="D2644" s="34">
        <v>1</v>
      </c>
      <c r="E2644" s="35" t="s">
        <v>3798</v>
      </c>
      <c r="F2644" s="35" t="s">
        <v>37</v>
      </c>
      <c r="G2644" s="106" t="s">
        <v>4103</v>
      </c>
      <c r="H2644" s="33">
        <v>43221</v>
      </c>
      <c r="I2644" s="34" t="s">
        <v>4104</v>
      </c>
      <c r="J2644" s="36">
        <v>299.2</v>
      </c>
      <c r="K2644" t="s">
        <v>2030</v>
      </c>
    </row>
    <row r="2645" spans="1:11" x14ac:dyDescent="0.3">
      <c r="A2645" t="s">
        <v>818</v>
      </c>
      <c r="B2645" s="33">
        <v>43278</v>
      </c>
      <c r="C2645" s="34" t="s">
        <v>3850</v>
      </c>
      <c r="D2645" s="34">
        <v>1</v>
      </c>
      <c r="E2645" s="35" t="s">
        <v>3798</v>
      </c>
      <c r="F2645" s="35" t="s">
        <v>25</v>
      </c>
      <c r="G2645" s="106" t="s">
        <v>4105</v>
      </c>
      <c r="H2645" s="33">
        <v>43221</v>
      </c>
      <c r="I2645" s="34" t="s">
        <v>4106</v>
      </c>
      <c r="J2645" s="36">
        <v>299.2</v>
      </c>
      <c r="K2645" t="s">
        <v>2030</v>
      </c>
    </row>
    <row r="2646" spans="1:11" x14ac:dyDescent="0.3">
      <c r="A2646" t="s">
        <v>818</v>
      </c>
      <c r="B2646" s="33">
        <v>43278</v>
      </c>
      <c r="C2646" s="34" t="s">
        <v>3850</v>
      </c>
      <c r="D2646" s="34">
        <v>1</v>
      </c>
      <c r="E2646" s="35" t="s">
        <v>3798</v>
      </c>
      <c r="F2646" s="35" t="s">
        <v>24</v>
      </c>
      <c r="G2646" s="106" t="s">
        <v>4107</v>
      </c>
      <c r="H2646" s="33">
        <v>43221</v>
      </c>
      <c r="I2646" s="34" t="s">
        <v>4108</v>
      </c>
      <c r="J2646" s="36">
        <v>299.2</v>
      </c>
      <c r="K2646" t="s">
        <v>2030</v>
      </c>
    </row>
    <row r="2647" spans="1:11" x14ac:dyDescent="0.3">
      <c r="A2647" t="s">
        <v>818</v>
      </c>
      <c r="B2647" s="33">
        <v>43278</v>
      </c>
      <c r="C2647" s="34" t="s">
        <v>3850</v>
      </c>
      <c r="D2647" s="34">
        <v>1</v>
      </c>
      <c r="E2647" s="35" t="s">
        <v>3798</v>
      </c>
      <c r="F2647" s="35" t="s">
        <v>39</v>
      </c>
      <c r="G2647" s="106" t="s">
        <v>4109</v>
      </c>
      <c r="H2647" s="33">
        <v>43221</v>
      </c>
      <c r="I2647" s="34" t="s">
        <v>4110</v>
      </c>
      <c r="J2647" s="36">
        <v>299.2</v>
      </c>
      <c r="K2647" t="s">
        <v>2030</v>
      </c>
    </row>
    <row r="2648" spans="1:11" x14ac:dyDescent="0.3">
      <c r="A2648" t="s">
        <v>818</v>
      </c>
      <c r="B2648" s="33">
        <v>43278</v>
      </c>
      <c r="C2648" s="34" t="s">
        <v>3850</v>
      </c>
      <c r="D2648" s="34">
        <v>1</v>
      </c>
      <c r="E2648" s="35" t="s">
        <v>3798</v>
      </c>
      <c r="F2648" s="35" t="s">
        <v>38</v>
      </c>
      <c r="G2648" s="106" t="s">
        <v>4111</v>
      </c>
      <c r="H2648" s="33">
        <v>43221</v>
      </c>
      <c r="I2648" s="34" t="s">
        <v>4112</v>
      </c>
      <c r="J2648" s="36">
        <v>299.2</v>
      </c>
      <c r="K2648" t="s">
        <v>2030</v>
      </c>
    </row>
    <row r="2649" spans="1:11" x14ac:dyDescent="0.3">
      <c r="A2649" t="s">
        <v>818</v>
      </c>
      <c r="B2649" s="33">
        <v>43278</v>
      </c>
      <c r="C2649" s="34" t="s">
        <v>3850</v>
      </c>
      <c r="D2649" s="34">
        <v>1</v>
      </c>
      <c r="E2649" s="35" t="s">
        <v>3798</v>
      </c>
      <c r="F2649" s="35" t="s">
        <v>28</v>
      </c>
      <c r="G2649" s="106" t="s">
        <v>4103</v>
      </c>
      <c r="H2649" s="33">
        <v>43221</v>
      </c>
      <c r="I2649" s="34" t="s">
        <v>4113</v>
      </c>
      <c r="J2649" s="36">
        <v>299.2</v>
      </c>
      <c r="K2649" t="s">
        <v>2030</v>
      </c>
    </row>
    <row r="2650" spans="1:11" x14ac:dyDescent="0.3">
      <c r="A2650" t="s">
        <v>818</v>
      </c>
      <c r="B2650" s="33">
        <v>43278</v>
      </c>
      <c r="C2650" s="34" t="s">
        <v>3850</v>
      </c>
      <c r="D2650" s="34">
        <v>1</v>
      </c>
      <c r="E2650" s="35" t="s">
        <v>3798</v>
      </c>
      <c r="F2650" s="35" t="s">
        <v>129</v>
      </c>
      <c r="G2650" s="106" t="s">
        <v>3852</v>
      </c>
      <c r="H2650" s="33">
        <v>43221</v>
      </c>
      <c r="I2650" s="34" t="s">
        <v>4114</v>
      </c>
      <c r="J2650" s="36">
        <v>233.75</v>
      </c>
      <c r="K2650" t="s">
        <v>2030</v>
      </c>
    </row>
    <row r="2651" spans="1:11" x14ac:dyDescent="0.3">
      <c r="A2651" t="s">
        <v>818</v>
      </c>
      <c r="B2651" s="33">
        <v>43279</v>
      </c>
      <c r="C2651" s="34"/>
      <c r="D2651" s="34"/>
      <c r="E2651" s="35" t="s">
        <v>2147</v>
      </c>
      <c r="F2651" s="35"/>
      <c r="G2651" s="106"/>
      <c r="H2651" s="33">
        <v>43191</v>
      </c>
      <c r="I2651" s="34" t="s">
        <v>2114</v>
      </c>
      <c r="J2651" s="36">
        <v>13838</v>
      </c>
      <c r="K2651" t="s">
        <v>2030</v>
      </c>
    </row>
    <row r="2652" spans="1:11" x14ac:dyDescent="0.3">
      <c r="A2652" t="s">
        <v>817</v>
      </c>
      <c r="B2652" s="33">
        <v>43284</v>
      </c>
      <c r="C2652" s="34" t="s">
        <v>4174</v>
      </c>
      <c r="D2652" s="34">
        <v>4301</v>
      </c>
      <c r="E2652" s="35" t="s">
        <v>4175</v>
      </c>
      <c r="F2652" s="35" t="s">
        <v>143</v>
      </c>
      <c r="G2652" s="106" t="s">
        <v>3852</v>
      </c>
      <c r="H2652" s="33">
        <v>43252</v>
      </c>
      <c r="I2652" s="34" t="s">
        <v>4176</v>
      </c>
      <c r="J2652" s="36">
        <v>172.5</v>
      </c>
      <c r="K2652" t="s">
        <v>2030</v>
      </c>
    </row>
    <row r="2653" spans="1:11" x14ac:dyDescent="0.3">
      <c r="A2653" t="s">
        <v>817</v>
      </c>
      <c r="B2653" s="33">
        <v>43284</v>
      </c>
      <c r="C2653" s="34" t="s">
        <v>4174</v>
      </c>
      <c r="D2653" s="34">
        <v>4301</v>
      </c>
      <c r="E2653" s="35" t="s">
        <v>4175</v>
      </c>
      <c r="F2653" s="35" t="s">
        <v>10</v>
      </c>
      <c r="G2653" s="106" t="s">
        <v>3852</v>
      </c>
      <c r="H2653" s="33">
        <v>43252</v>
      </c>
      <c r="I2653" s="34" t="s">
        <v>4177</v>
      </c>
      <c r="J2653" s="36">
        <v>420</v>
      </c>
      <c r="K2653" t="s">
        <v>2030</v>
      </c>
    </row>
    <row r="2654" spans="1:11" x14ac:dyDescent="0.3">
      <c r="A2654" t="s">
        <v>817</v>
      </c>
      <c r="B2654" s="33">
        <v>43284</v>
      </c>
      <c r="C2654" s="34" t="s">
        <v>4174</v>
      </c>
      <c r="D2654" s="34">
        <v>4301</v>
      </c>
      <c r="E2654" s="35" t="s">
        <v>4175</v>
      </c>
      <c r="F2654" s="35" t="s">
        <v>137</v>
      </c>
      <c r="G2654" s="106" t="s">
        <v>3852</v>
      </c>
      <c r="H2654" s="33">
        <v>43252</v>
      </c>
      <c r="I2654" s="34" t="s">
        <v>4178</v>
      </c>
      <c r="J2654" s="36">
        <v>172.5</v>
      </c>
      <c r="K2654" t="s">
        <v>2030</v>
      </c>
    </row>
    <row r="2655" spans="1:11" x14ac:dyDescent="0.3">
      <c r="A2655" t="s">
        <v>817</v>
      </c>
      <c r="B2655" s="33">
        <v>43284</v>
      </c>
      <c r="C2655" s="34" t="s">
        <v>4174</v>
      </c>
      <c r="D2655" s="34">
        <v>4301</v>
      </c>
      <c r="E2655" s="35" t="s">
        <v>4175</v>
      </c>
      <c r="F2655" s="35" t="s">
        <v>136</v>
      </c>
      <c r="G2655" s="106" t="s">
        <v>3852</v>
      </c>
      <c r="H2655" s="33">
        <v>43252</v>
      </c>
      <c r="I2655" s="34" t="s">
        <v>4179</v>
      </c>
      <c r="J2655" s="36">
        <v>172.5</v>
      </c>
      <c r="K2655" t="s">
        <v>2030</v>
      </c>
    </row>
    <row r="2656" spans="1:11" x14ac:dyDescent="0.3">
      <c r="A2656" t="s">
        <v>817</v>
      </c>
      <c r="B2656" s="33">
        <v>43284</v>
      </c>
      <c r="C2656" s="34" t="s">
        <v>4174</v>
      </c>
      <c r="D2656" s="34">
        <v>4301</v>
      </c>
      <c r="E2656" s="35" t="s">
        <v>4175</v>
      </c>
      <c r="F2656" s="35" t="s">
        <v>134</v>
      </c>
      <c r="G2656" s="106" t="s">
        <v>3852</v>
      </c>
      <c r="H2656" s="33">
        <v>43252</v>
      </c>
      <c r="I2656" s="34" t="s">
        <v>4180</v>
      </c>
      <c r="J2656" s="36">
        <v>172.5</v>
      </c>
      <c r="K2656" t="s">
        <v>2030</v>
      </c>
    </row>
    <row r="2657" spans="1:11" x14ac:dyDescent="0.3">
      <c r="A2657" t="s">
        <v>817</v>
      </c>
      <c r="B2657" s="33">
        <v>43284</v>
      </c>
      <c r="C2657" s="34" t="s">
        <v>4174</v>
      </c>
      <c r="D2657" s="34">
        <v>4301</v>
      </c>
      <c r="E2657" s="35" t="s">
        <v>4175</v>
      </c>
      <c r="F2657" s="35" t="s">
        <v>133</v>
      </c>
      <c r="G2657" s="106" t="s">
        <v>3852</v>
      </c>
      <c r="H2657" s="33">
        <v>43252</v>
      </c>
      <c r="I2657" s="34" t="s">
        <v>4181</v>
      </c>
      <c r="J2657" s="36">
        <v>172.5</v>
      </c>
      <c r="K2657" t="s">
        <v>2030</v>
      </c>
    </row>
    <row r="2658" spans="1:11" x14ac:dyDescent="0.3">
      <c r="A2658" t="s">
        <v>817</v>
      </c>
      <c r="B2658" s="33">
        <v>43284</v>
      </c>
      <c r="C2658" s="34" t="s">
        <v>4174</v>
      </c>
      <c r="D2658" s="34">
        <v>4301</v>
      </c>
      <c r="E2658" s="35" t="s">
        <v>4175</v>
      </c>
      <c r="F2658" s="35" t="s">
        <v>135</v>
      </c>
      <c r="G2658" s="106" t="s">
        <v>3852</v>
      </c>
      <c r="H2658" s="33">
        <v>43252</v>
      </c>
      <c r="I2658" s="34" t="s">
        <v>4182</v>
      </c>
      <c r="J2658" s="36">
        <v>172.5</v>
      </c>
      <c r="K2658" t="s">
        <v>2030</v>
      </c>
    </row>
    <row r="2659" spans="1:11" x14ac:dyDescent="0.3">
      <c r="A2659" t="s">
        <v>817</v>
      </c>
      <c r="B2659" s="33">
        <v>43284</v>
      </c>
      <c r="C2659" s="34" t="s">
        <v>4174</v>
      </c>
      <c r="D2659" s="34">
        <v>4301</v>
      </c>
      <c r="E2659" s="35" t="s">
        <v>4175</v>
      </c>
      <c r="F2659" s="35" t="s">
        <v>132</v>
      </c>
      <c r="G2659" s="106" t="s">
        <v>3852</v>
      </c>
      <c r="H2659" s="33">
        <v>43252</v>
      </c>
      <c r="I2659" s="34" t="s">
        <v>4183</v>
      </c>
      <c r="J2659" s="36">
        <v>172.5</v>
      </c>
      <c r="K2659" t="s">
        <v>2030</v>
      </c>
    </row>
    <row r="2660" spans="1:11" x14ac:dyDescent="0.3">
      <c r="A2660" t="s">
        <v>817</v>
      </c>
      <c r="B2660" s="33">
        <v>43284</v>
      </c>
      <c r="C2660" s="34" t="s">
        <v>4174</v>
      </c>
      <c r="D2660" s="34">
        <v>4301</v>
      </c>
      <c r="E2660" s="35" t="s">
        <v>4175</v>
      </c>
      <c r="F2660" s="35" t="s">
        <v>131</v>
      </c>
      <c r="G2660" s="106" t="s">
        <v>3852</v>
      </c>
      <c r="H2660" s="33">
        <v>43252</v>
      </c>
      <c r="I2660" s="34" t="s">
        <v>4184</v>
      </c>
      <c r="J2660" s="36">
        <v>295.5</v>
      </c>
      <c r="K2660" t="s">
        <v>2030</v>
      </c>
    </row>
    <row r="2661" spans="1:11" x14ac:dyDescent="0.3">
      <c r="A2661" t="s">
        <v>817</v>
      </c>
      <c r="B2661" s="33">
        <v>43284</v>
      </c>
      <c r="C2661" s="34" t="s">
        <v>4174</v>
      </c>
      <c r="D2661" s="34">
        <v>4301</v>
      </c>
      <c r="E2661" s="35" t="s">
        <v>4175</v>
      </c>
      <c r="F2661" s="35" t="s">
        <v>126</v>
      </c>
      <c r="G2661" s="106" t="s">
        <v>3852</v>
      </c>
      <c r="H2661" s="33">
        <v>43252</v>
      </c>
      <c r="I2661" s="34" t="s">
        <v>4185</v>
      </c>
      <c r="J2661" s="36">
        <v>295.5</v>
      </c>
      <c r="K2661" t="s">
        <v>2030</v>
      </c>
    </row>
    <row r="2662" spans="1:11" x14ac:dyDescent="0.3">
      <c r="A2662" t="s">
        <v>817</v>
      </c>
      <c r="B2662" s="33">
        <v>43284</v>
      </c>
      <c r="C2662" s="34" t="s">
        <v>4174</v>
      </c>
      <c r="D2662" s="34">
        <v>4301</v>
      </c>
      <c r="E2662" s="35" t="s">
        <v>4175</v>
      </c>
      <c r="F2662" s="35" t="s">
        <v>124</v>
      </c>
      <c r="G2662" s="106" t="s">
        <v>3852</v>
      </c>
      <c r="H2662" s="33">
        <v>43252</v>
      </c>
      <c r="I2662" s="34" t="s">
        <v>4186</v>
      </c>
      <c r="J2662" s="36">
        <v>225</v>
      </c>
      <c r="K2662" t="s">
        <v>2030</v>
      </c>
    </row>
    <row r="2663" spans="1:11" x14ac:dyDescent="0.3">
      <c r="A2663" t="s">
        <v>817</v>
      </c>
      <c r="B2663" s="33">
        <v>43284</v>
      </c>
      <c r="C2663" s="34" t="s">
        <v>4174</v>
      </c>
      <c r="D2663" s="34">
        <v>4301</v>
      </c>
      <c r="E2663" s="35" t="s">
        <v>4175</v>
      </c>
      <c r="F2663" s="35" t="s">
        <v>130</v>
      </c>
      <c r="G2663" s="106" t="s">
        <v>3852</v>
      </c>
      <c r="H2663" s="33">
        <v>43252</v>
      </c>
      <c r="I2663" s="34" t="s">
        <v>4187</v>
      </c>
      <c r="J2663" s="36">
        <v>295.5</v>
      </c>
      <c r="K2663" t="s">
        <v>2030</v>
      </c>
    </row>
    <row r="2664" spans="1:11" x14ac:dyDescent="0.3">
      <c r="A2664" t="s">
        <v>817</v>
      </c>
      <c r="B2664" s="33">
        <v>43284</v>
      </c>
      <c r="C2664" s="34" t="s">
        <v>4174</v>
      </c>
      <c r="D2664" s="34">
        <v>4301</v>
      </c>
      <c r="E2664" s="35" t="s">
        <v>4175</v>
      </c>
      <c r="F2664" s="35" t="s">
        <v>125</v>
      </c>
      <c r="G2664" s="106" t="s">
        <v>3852</v>
      </c>
      <c r="H2664" s="33">
        <v>43252</v>
      </c>
      <c r="I2664" s="34" t="s">
        <v>4188</v>
      </c>
      <c r="J2664" s="36">
        <v>225</v>
      </c>
      <c r="K2664" t="s">
        <v>2030</v>
      </c>
    </row>
    <row r="2665" spans="1:11" x14ac:dyDescent="0.3">
      <c r="A2665" t="s">
        <v>817</v>
      </c>
      <c r="B2665" s="33">
        <v>43284</v>
      </c>
      <c r="C2665" s="34" t="s">
        <v>4174</v>
      </c>
      <c r="D2665" s="34">
        <v>4301</v>
      </c>
      <c r="E2665" s="35" t="s">
        <v>4175</v>
      </c>
      <c r="F2665" s="35" t="s">
        <v>128</v>
      </c>
      <c r="G2665" s="106" t="s">
        <v>3852</v>
      </c>
      <c r="H2665" s="33">
        <v>43252</v>
      </c>
      <c r="I2665" s="34" t="s">
        <v>4189</v>
      </c>
      <c r="J2665" s="36">
        <v>295.5</v>
      </c>
      <c r="K2665" t="s">
        <v>2030</v>
      </c>
    </row>
    <row r="2666" spans="1:11" x14ac:dyDescent="0.3">
      <c r="A2666" t="s">
        <v>817</v>
      </c>
      <c r="B2666" s="33">
        <v>43284</v>
      </c>
      <c r="C2666" s="34" t="s">
        <v>4174</v>
      </c>
      <c r="D2666" s="34">
        <v>4301</v>
      </c>
      <c r="E2666" s="35" t="s">
        <v>4175</v>
      </c>
      <c r="F2666" s="35" t="s">
        <v>129</v>
      </c>
      <c r="G2666" s="106" t="s">
        <v>3852</v>
      </c>
      <c r="H2666" s="33">
        <v>43252</v>
      </c>
      <c r="I2666" s="34" t="s">
        <v>4190</v>
      </c>
      <c r="J2666" s="36">
        <v>295.5</v>
      </c>
      <c r="K2666" t="s">
        <v>2030</v>
      </c>
    </row>
    <row r="2667" spans="1:11" x14ac:dyDescent="0.3">
      <c r="A2667" t="s">
        <v>817</v>
      </c>
      <c r="B2667" s="33">
        <v>43284</v>
      </c>
      <c r="C2667" s="34" t="s">
        <v>4174</v>
      </c>
      <c r="D2667" s="34">
        <v>4301</v>
      </c>
      <c r="E2667" s="35" t="s">
        <v>4175</v>
      </c>
      <c r="F2667" s="35" t="s">
        <v>122</v>
      </c>
      <c r="G2667" s="106" t="s">
        <v>3852</v>
      </c>
      <c r="H2667" s="33">
        <v>43252</v>
      </c>
      <c r="I2667" s="34" t="s">
        <v>4191</v>
      </c>
      <c r="J2667" s="36">
        <v>225</v>
      </c>
      <c r="K2667" t="s">
        <v>2030</v>
      </c>
    </row>
    <row r="2668" spans="1:11" x14ac:dyDescent="0.3">
      <c r="A2668" t="s">
        <v>817</v>
      </c>
      <c r="B2668" s="33">
        <v>43284</v>
      </c>
      <c r="C2668" s="34" t="s">
        <v>4174</v>
      </c>
      <c r="D2668" s="34">
        <v>4301</v>
      </c>
      <c r="E2668" s="35" t="s">
        <v>4175</v>
      </c>
      <c r="F2668" s="35" t="s">
        <v>127</v>
      </c>
      <c r="G2668" s="106" t="s">
        <v>3852</v>
      </c>
      <c r="H2668" s="33">
        <v>43252</v>
      </c>
      <c r="I2668" s="34" t="s">
        <v>4192</v>
      </c>
      <c r="J2668" s="36">
        <v>295.5</v>
      </c>
      <c r="K2668" t="s">
        <v>2030</v>
      </c>
    </row>
    <row r="2669" spans="1:11" x14ac:dyDescent="0.3">
      <c r="A2669" t="s">
        <v>817</v>
      </c>
      <c r="B2669" s="33">
        <v>43284</v>
      </c>
      <c r="C2669" s="34" t="s">
        <v>4174</v>
      </c>
      <c r="D2669" s="34">
        <v>4301</v>
      </c>
      <c r="E2669" s="35" t="s">
        <v>4175</v>
      </c>
      <c r="F2669" s="35" t="s">
        <v>115</v>
      </c>
      <c r="G2669" s="106" t="s">
        <v>3852</v>
      </c>
      <c r="H2669" s="33">
        <v>43252</v>
      </c>
      <c r="I2669" s="34" t="s">
        <v>4193</v>
      </c>
      <c r="J2669" s="36">
        <v>225</v>
      </c>
      <c r="K2669" t="s">
        <v>2030</v>
      </c>
    </row>
    <row r="2670" spans="1:11" x14ac:dyDescent="0.3">
      <c r="A2670" t="s">
        <v>817</v>
      </c>
      <c r="B2670" s="33">
        <v>43284</v>
      </c>
      <c r="C2670" s="34" t="s">
        <v>4174</v>
      </c>
      <c r="D2670" s="34">
        <v>4301</v>
      </c>
      <c r="E2670" s="35" t="s">
        <v>4175</v>
      </c>
      <c r="F2670" s="35" t="s">
        <v>116</v>
      </c>
      <c r="G2670" s="106" t="s">
        <v>3852</v>
      </c>
      <c r="H2670" s="33">
        <v>43252</v>
      </c>
      <c r="I2670" s="34" t="s">
        <v>4194</v>
      </c>
      <c r="J2670" s="36">
        <v>225</v>
      </c>
      <c r="K2670" t="s">
        <v>2030</v>
      </c>
    </row>
    <row r="2671" spans="1:11" x14ac:dyDescent="0.3">
      <c r="A2671" t="s">
        <v>817</v>
      </c>
      <c r="B2671" s="33">
        <v>43284</v>
      </c>
      <c r="C2671" s="34" t="s">
        <v>4174</v>
      </c>
      <c r="D2671" s="34">
        <v>4301</v>
      </c>
      <c r="E2671" s="35" t="s">
        <v>4175</v>
      </c>
      <c r="F2671" s="35" t="s">
        <v>9</v>
      </c>
      <c r="G2671" s="106" t="s">
        <v>3852</v>
      </c>
      <c r="H2671" s="33">
        <v>43252</v>
      </c>
      <c r="I2671" s="34" t="s">
        <v>4195</v>
      </c>
      <c r="J2671" s="36">
        <v>420</v>
      </c>
      <c r="K2671" t="s">
        <v>2030</v>
      </c>
    </row>
    <row r="2672" spans="1:11" x14ac:dyDescent="0.3">
      <c r="A2672" t="s">
        <v>817</v>
      </c>
      <c r="B2672" s="33">
        <v>43284</v>
      </c>
      <c r="C2672" s="34" t="s">
        <v>4174</v>
      </c>
      <c r="D2672" s="34">
        <v>4301</v>
      </c>
      <c r="E2672" s="35" t="s">
        <v>4175</v>
      </c>
      <c r="F2672" s="35" t="s">
        <v>120</v>
      </c>
      <c r="G2672" s="106" t="s">
        <v>3852</v>
      </c>
      <c r="H2672" s="33">
        <v>43252</v>
      </c>
      <c r="I2672" s="34" t="s">
        <v>4196</v>
      </c>
      <c r="J2672" s="36">
        <v>420</v>
      </c>
      <c r="K2672" t="s">
        <v>2030</v>
      </c>
    </row>
    <row r="2673" spans="1:11" x14ac:dyDescent="0.3">
      <c r="A2673" t="s">
        <v>817</v>
      </c>
      <c r="B2673" s="33">
        <v>43284</v>
      </c>
      <c r="C2673" s="34" t="s">
        <v>4174</v>
      </c>
      <c r="D2673" s="34">
        <v>4301</v>
      </c>
      <c r="E2673" s="35" t="s">
        <v>4175</v>
      </c>
      <c r="F2673" s="35" t="s">
        <v>123</v>
      </c>
      <c r="G2673" s="106" t="s">
        <v>3852</v>
      </c>
      <c r="H2673" s="33">
        <v>43252</v>
      </c>
      <c r="I2673" s="34" t="s">
        <v>4197</v>
      </c>
      <c r="J2673" s="36">
        <v>225</v>
      </c>
      <c r="K2673" t="s">
        <v>2030</v>
      </c>
    </row>
    <row r="2674" spans="1:11" x14ac:dyDescent="0.3">
      <c r="A2674" t="s">
        <v>817</v>
      </c>
      <c r="B2674" s="33">
        <v>43284</v>
      </c>
      <c r="C2674" s="34" t="s">
        <v>4174</v>
      </c>
      <c r="D2674" s="34">
        <v>4301</v>
      </c>
      <c r="E2674" s="35" t="s">
        <v>4175</v>
      </c>
      <c r="F2674" s="35" t="s">
        <v>117</v>
      </c>
      <c r="G2674" s="106" t="s">
        <v>3852</v>
      </c>
      <c r="H2674" s="33">
        <v>43252</v>
      </c>
      <c r="I2674" s="34" t="s">
        <v>4198</v>
      </c>
      <c r="J2674" s="36">
        <v>420</v>
      </c>
      <c r="K2674" t="s">
        <v>2030</v>
      </c>
    </row>
    <row r="2675" spans="1:11" x14ac:dyDescent="0.3">
      <c r="A2675" t="s">
        <v>817</v>
      </c>
      <c r="B2675" s="33">
        <v>43284</v>
      </c>
      <c r="C2675" s="34" t="s">
        <v>4174</v>
      </c>
      <c r="D2675" s="34">
        <v>4301</v>
      </c>
      <c r="E2675" s="35" t="s">
        <v>4175</v>
      </c>
      <c r="F2675" s="35" t="s">
        <v>113</v>
      </c>
      <c r="G2675" s="106" t="s">
        <v>3852</v>
      </c>
      <c r="H2675" s="33">
        <v>43252</v>
      </c>
      <c r="I2675" s="34" t="s">
        <v>4199</v>
      </c>
      <c r="J2675" s="36">
        <v>420</v>
      </c>
      <c r="K2675" t="s">
        <v>2030</v>
      </c>
    </row>
    <row r="2676" spans="1:11" x14ac:dyDescent="0.3">
      <c r="A2676" t="s">
        <v>817</v>
      </c>
      <c r="B2676" s="33">
        <v>43284</v>
      </c>
      <c r="C2676" s="34" t="s">
        <v>4174</v>
      </c>
      <c r="D2676" s="34">
        <v>4301</v>
      </c>
      <c r="E2676" s="35" t="s">
        <v>4175</v>
      </c>
      <c r="F2676" s="35" t="s">
        <v>114</v>
      </c>
      <c r="G2676" s="106" t="s">
        <v>3852</v>
      </c>
      <c r="H2676" s="33">
        <v>43252</v>
      </c>
      <c r="I2676" s="34" t="s">
        <v>4200</v>
      </c>
      <c r="J2676" s="36">
        <v>225</v>
      </c>
      <c r="K2676" t="s">
        <v>2030</v>
      </c>
    </row>
    <row r="2677" spans="1:11" x14ac:dyDescent="0.3">
      <c r="A2677" t="s">
        <v>817</v>
      </c>
      <c r="B2677" s="33">
        <v>43284</v>
      </c>
      <c r="C2677" s="34" t="s">
        <v>4174</v>
      </c>
      <c r="D2677" s="34">
        <v>4301</v>
      </c>
      <c r="E2677" s="35" t="s">
        <v>4175</v>
      </c>
      <c r="F2677" s="35" t="s">
        <v>118</v>
      </c>
      <c r="G2677" s="106" t="s">
        <v>3852</v>
      </c>
      <c r="H2677" s="33">
        <v>43252</v>
      </c>
      <c r="I2677" s="34" t="s">
        <v>4201</v>
      </c>
      <c r="J2677" s="36">
        <v>420</v>
      </c>
      <c r="K2677" t="s">
        <v>2030</v>
      </c>
    </row>
    <row r="2678" spans="1:11" x14ac:dyDescent="0.3">
      <c r="A2678" t="s">
        <v>817</v>
      </c>
      <c r="B2678" s="33">
        <v>43284</v>
      </c>
      <c r="C2678" s="34" t="s">
        <v>4174</v>
      </c>
      <c r="D2678" s="34">
        <v>4301</v>
      </c>
      <c r="E2678" s="35" t="s">
        <v>4175</v>
      </c>
      <c r="F2678" s="35" t="s">
        <v>121</v>
      </c>
      <c r="G2678" s="106" t="s">
        <v>3852</v>
      </c>
      <c r="H2678" s="33">
        <v>43252</v>
      </c>
      <c r="I2678" s="34" t="s">
        <v>4202</v>
      </c>
      <c r="J2678" s="36">
        <v>420</v>
      </c>
      <c r="K2678" t="s">
        <v>2030</v>
      </c>
    </row>
    <row r="2679" spans="1:11" x14ac:dyDescent="0.3">
      <c r="A2679" t="s">
        <v>817</v>
      </c>
      <c r="B2679" s="33">
        <v>43284</v>
      </c>
      <c r="C2679" s="34" t="s">
        <v>4174</v>
      </c>
      <c r="D2679" s="34">
        <v>4301</v>
      </c>
      <c r="E2679" s="35" t="s">
        <v>4175</v>
      </c>
      <c r="F2679" s="35" t="s">
        <v>119</v>
      </c>
      <c r="G2679" s="106" t="s">
        <v>3852</v>
      </c>
      <c r="H2679" s="33">
        <v>43252</v>
      </c>
      <c r="I2679" s="34" t="s">
        <v>4203</v>
      </c>
      <c r="J2679" s="36">
        <v>420</v>
      </c>
      <c r="K2679" t="s">
        <v>2030</v>
      </c>
    </row>
    <row r="2680" spans="1:11" x14ac:dyDescent="0.3">
      <c r="A2680" t="s">
        <v>817</v>
      </c>
      <c r="B2680" s="33">
        <v>43284</v>
      </c>
      <c r="C2680" s="34" t="s">
        <v>4174</v>
      </c>
      <c r="D2680" s="34">
        <v>4301</v>
      </c>
      <c r="E2680" s="35" t="s">
        <v>4175</v>
      </c>
      <c r="F2680" s="35" t="s">
        <v>112</v>
      </c>
      <c r="G2680" s="106" t="s">
        <v>3852</v>
      </c>
      <c r="H2680" s="33">
        <v>43252</v>
      </c>
      <c r="I2680" s="34" t="s">
        <v>4204</v>
      </c>
      <c r="J2680" s="36">
        <v>420</v>
      </c>
      <c r="K2680" t="s">
        <v>2030</v>
      </c>
    </row>
    <row r="2681" spans="1:11" x14ac:dyDescent="0.3">
      <c r="A2681" t="s">
        <v>817</v>
      </c>
      <c r="B2681" s="33">
        <v>43284</v>
      </c>
      <c r="C2681" s="34" t="s">
        <v>4174</v>
      </c>
      <c r="D2681" s="34">
        <v>4301</v>
      </c>
      <c r="E2681" s="35" t="s">
        <v>4175</v>
      </c>
      <c r="F2681" s="35" t="s">
        <v>111</v>
      </c>
      <c r="G2681" s="106" t="s">
        <v>3852</v>
      </c>
      <c r="H2681" s="33">
        <v>43252</v>
      </c>
      <c r="I2681" s="34" t="s">
        <v>4205</v>
      </c>
      <c r="J2681" s="36">
        <v>420</v>
      </c>
      <c r="K2681" t="s">
        <v>2030</v>
      </c>
    </row>
    <row r="2682" spans="1:11" x14ac:dyDescent="0.3">
      <c r="A2682" t="s">
        <v>817</v>
      </c>
      <c r="B2682" s="33">
        <v>43284</v>
      </c>
      <c r="C2682" s="34" t="s">
        <v>4174</v>
      </c>
      <c r="D2682" s="34">
        <v>4301</v>
      </c>
      <c r="E2682" s="35" t="s">
        <v>4175</v>
      </c>
      <c r="F2682" s="35" t="s">
        <v>105</v>
      </c>
      <c r="G2682" s="106" t="s">
        <v>3852</v>
      </c>
      <c r="H2682" s="33">
        <v>43252</v>
      </c>
      <c r="I2682" s="34" t="s">
        <v>4206</v>
      </c>
      <c r="J2682" s="36">
        <v>225</v>
      </c>
      <c r="K2682" t="s">
        <v>2030</v>
      </c>
    </row>
    <row r="2683" spans="1:11" x14ac:dyDescent="0.3">
      <c r="A2683" t="s">
        <v>817</v>
      </c>
      <c r="B2683" s="33">
        <v>43284</v>
      </c>
      <c r="C2683" s="34" t="s">
        <v>4174</v>
      </c>
      <c r="D2683" s="34">
        <v>4301</v>
      </c>
      <c r="E2683" s="35" t="s">
        <v>4175</v>
      </c>
      <c r="F2683" s="35" t="s">
        <v>109</v>
      </c>
      <c r="G2683" s="106" t="s">
        <v>3852</v>
      </c>
      <c r="H2683" s="33">
        <v>43252</v>
      </c>
      <c r="I2683" s="34" t="s">
        <v>4207</v>
      </c>
      <c r="J2683" s="36">
        <v>225</v>
      </c>
      <c r="K2683" t="s">
        <v>2030</v>
      </c>
    </row>
    <row r="2684" spans="1:11" x14ac:dyDescent="0.3">
      <c r="A2684" t="s">
        <v>817</v>
      </c>
      <c r="B2684" s="33">
        <v>43284</v>
      </c>
      <c r="C2684" s="34" t="s">
        <v>4174</v>
      </c>
      <c r="D2684" s="34">
        <v>4301</v>
      </c>
      <c r="E2684" s="35" t="s">
        <v>4175</v>
      </c>
      <c r="F2684" s="35" t="s">
        <v>103</v>
      </c>
      <c r="G2684" s="106" t="s">
        <v>3852</v>
      </c>
      <c r="H2684" s="33">
        <v>43252</v>
      </c>
      <c r="I2684" s="34" t="s">
        <v>4208</v>
      </c>
      <c r="J2684" s="36">
        <v>225</v>
      </c>
      <c r="K2684" t="s">
        <v>2030</v>
      </c>
    </row>
    <row r="2685" spans="1:11" x14ac:dyDescent="0.3">
      <c r="A2685" t="s">
        <v>817</v>
      </c>
      <c r="B2685" s="33">
        <v>43284</v>
      </c>
      <c r="C2685" s="34" t="s">
        <v>4174</v>
      </c>
      <c r="D2685" s="34">
        <v>4301</v>
      </c>
      <c r="E2685" s="35" t="s">
        <v>4175</v>
      </c>
      <c r="F2685" s="35" t="s">
        <v>106</v>
      </c>
      <c r="G2685" s="106" t="s">
        <v>3852</v>
      </c>
      <c r="H2685" s="33">
        <v>43252</v>
      </c>
      <c r="I2685" s="34" t="s">
        <v>4209</v>
      </c>
      <c r="J2685" s="36">
        <v>225</v>
      </c>
      <c r="K2685" t="s">
        <v>2030</v>
      </c>
    </row>
    <row r="2686" spans="1:11" x14ac:dyDescent="0.3">
      <c r="A2686" t="s">
        <v>817</v>
      </c>
      <c r="B2686" s="33">
        <v>43284</v>
      </c>
      <c r="C2686" s="34" t="s">
        <v>4174</v>
      </c>
      <c r="D2686" s="34">
        <v>4301</v>
      </c>
      <c r="E2686" s="35" t="s">
        <v>4175</v>
      </c>
      <c r="F2686" s="35" t="s">
        <v>108</v>
      </c>
      <c r="G2686" s="106" t="s">
        <v>3852</v>
      </c>
      <c r="H2686" s="33">
        <v>43252</v>
      </c>
      <c r="I2686" s="34" t="s">
        <v>4210</v>
      </c>
      <c r="J2686" s="36">
        <v>225</v>
      </c>
      <c r="K2686" t="s">
        <v>2030</v>
      </c>
    </row>
    <row r="2687" spans="1:11" x14ac:dyDescent="0.3">
      <c r="A2687" t="s">
        <v>817</v>
      </c>
      <c r="B2687" s="33">
        <v>43284</v>
      </c>
      <c r="C2687" s="34" t="s">
        <v>4174</v>
      </c>
      <c r="D2687" s="34">
        <v>4301</v>
      </c>
      <c r="E2687" s="35" t="s">
        <v>4175</v>
      </c>
      <c r="F2687" s="35" t="s">
        <v>110</v>
      </c>
      <c r="G2687" s="106" t="s">
        <v>3852</v>
      </c>
      <c r="H2687" s="33">
        <v>43252</v>
      </c>
      <c r="I2687" s="34" t="s">
        <v>4211</v>
      </c>
      <c r="J2687" s="36">
        <v>420</v>
      </c>
      <c r="K2687" t="s">
        <v>2030</v>
      </c>
    </row>
    <row r="2688" spans="1:11" x14ac:dyDescent="0.3">
      <c r="A2688" t="s">
        <v>817</v>
      </c>
      <c r="B2688" s="33">
        <v>43284</v>
      </c>
      <c r="C2688" s="34" t="s">
        <v>4174</v>
      </c>
      <c r="D2688" s="34">
        <v>4301</v>
      </c>
      <c r="E2688" s="35" t="s">
        <v>4175</v>
      </c>
      <c r="F2688" s="35" t="s">
        <v>107</v>
      </c>
      <c r="G2688" s="106" t="s">
        <v>3852</v>
      </c>
      <c r="H2688" s="33">
        <v>43252</v>
      </c>
      <c r="I2688" s="34" t="s">
        <v>4212</v>
      </c>
      <c r="J2688" s="36">
        <v>225</v>
      </c>
      <c r="K2688" t="s">
        <v>2030</v>
      </c>
    </row>
    <row r="2689" spans="1:11" x14ac:dyDescent="0.3">
      <c r="A2689" t="s">
        <v>817</v>
      </c>
      <c r="B2689" s="33">
        <v>43284</v>
      </c>
      <c r="C2689" s="34" t="s">
        <v>4174</v>
      </c>
      <c r="D2689" s="34">
        <v>4301</v>
      </c>
      <c r="E2689" s="35" t="s">
        <v>4175</v>
      </c>
      <c r="F2689" s="35" t="s">
        <v>30</v>
      </c>
      <c r="G2689" s="106" t="s">
        <v>3852</v>
      </c>
      <c r="H2689" s="33">
        <v>43252</v>
      </c>
      <c r="I2689" s="34" t="s">
        <v>4213</v>
      </c>
      <c r="J2689" s="36">
        <v>225</v>
      </c>
      <c r="K2689" t="s">
        <v>2030</v>
      </c>
    </row>
    <row r="2690" spans="1:11" x14ac:dyDescent="0.3">
      <c r="A2690" t="s">
        <v>817</v>
      </c>
      <c r="B2690" s="33">
        <v>43284</v>
      </c>
      <c r="C2690" s="34" t="s">
        <v>4174</v>
      </c>
      <c r="D2690" s="34">
        <v>4301</v>
      </c>
      <c r="E2690" s="35" t="s">
        <v>4175</v>
      </c>
      <c r="F2690" s="35" t="s">
        <v>93</v>
      </c>
      <c r="G2690" s="106" t="s">
        <v>3852</v>
      </c>
      <c r="H2690" s="33">
        <v>43252</v>
      </c>
      <c r="I2690" s="34" t="s">
        <v>4214</v>
      </c>
      <c r="J2690" s="36">
        <v>225</v>
      </c>
      <c r="K2690" t="s">
        <v>2030</v>
      </c>
    </row>
    <row r="2691" spans="1:11" x14ac:dyDescent="0.3">
      <c r="A2691" t="s">
        <v>817</v>
      </c>
      <c r="B2691" s="33">
        <v>43284</v>
      </c>
      <c r="C2691" s="34" t="s">
        <v>4174</v>
      </c>
      <c r="D2691" s="34">
        <v>4301</v>
      </c>
      <c r="E2691" s="35" t="s">
        <v>4175</v>
      </c>
      <c r="F2691" s="35" t="s">
        <v>104</v>
      </c>
      <c r="G2691" s="106" t="s">
        <v>3852</v>
      </c>
      <c r="H2691" s="33">
        <v>43252</v>
      </c>
      <c r="I2691" s="34" t="s">
        <v>4215</v>
      </c>
      <c r="J2691" s="36">
        <v>225</v>
      </c>
      <c r="K2691" t="s">
        <v>2030</v>
      </c>
    </row>
    <row r="2692" spans="1:11" x14ac:dyDescent="0.3">
      <c r="A2692" t="s">
        <v>817</v>
      </c>
      <c r="B2692" s="33">
        <v>43284</v>
      </c>
      <c r="C2692" s="34" t="s">
        <v>4174</v>
      </c>
      <c r="D2692" s="34">
        <v>4301</v>
      </c>
      <c r="E2692" s="35" t="s">
        <v>4175</v>
      </c>
      <c r="F2692" s="35" t="s">
        <v>98</v>
      </c>
      <c r="G2692" s="106" t="s">
        <v>3852</v>
      </c>
      <c r="H2692" s="33">
        <v>43252</v>
      </c>
      <c r="I2692" s="34" t="s">
        <v>4216</v>
      </c>
      <c r="J2692" s="36">
        <v>225</v>
      </c>
      <c r="K2692" t="s">
        <v>2030</v>
      </c>
    </row>
    <row r="2693" spans="1:11" x14ac:dyDescent="0.3">
      <c r="A2693" t="s">
        <v>817</v>
      </c>
      <c r="B2693" s="33">
        <v>43284</v>
      </c>
      <c r="C2693" s="34" t="s">
        <v>4174</v>
      </c>
      <c r="D2693" s="34">
        <v>4301</v>
      </c>
      <c r="E2693" s="35" t="s">
        <v>4175</v>
      </c>
      <c r="F2693" s="35" t="s">
        <v>83</v>
      </c>
      <c r="G2693" s="106" t="s">
        <v>3852</v>
      </c>
      <c r="H2693" s="33">
        <v>43252</v>
      </c>
      <c r="I2693" s="34" t="s">
        <v>4217</v>
      </c>
      <c r="J2693" s="36">
        <v>225</v>
      </c>
      <c r="K2693" t="s">
        <v>2030</v>
      </c>
    </row>
    <row r="2694" spans="1:11" x14ac:dyDescent="0.3">
      <c r="A2694" t="s">
        <v>817</v>
      </c>
      <c r="B2694" s="33">
        <v>43284</v>
      </c>
      <c r="C2694" s="34" t="s">
        <v>4174</v>
      </c>
      <c r="D2694" s="34">
        <v>4301</v>
      </c>
      <c r="E2694" s="35" t="s">
        <v>4175</v>
      </c>
      <c r="F2694" s="35" t="s">
        <v>24</v>
      </c>
      <c r="G2694" s="106" t="s">
        <v>3852</v>
      </c>
      <c r="H2694" s="33">
        <v>43252</v>
      </c>
      <c r="I2694" s="34" t="s">
        <v>4218</v>
      </c>
      <c r="J2694" s="36">
        <v>420</v>
      </c>
      <c r="K2694" t="s">
        <v>2030</v>
      </c>
    </row>
    <row r="2695" spans="1:11" x14ac:dyDescent="0.3">
      <c r="A2695" t="s">
        <v>817</v>
      </c>
      <c r="B2695" s="33">
        <v>43284</v>
      </c>
      <c r="C2695" s="34" t="s">
        <v>4174</v>
      </c>
      <c r="D2695" s="34">
        <v>4301</v>
      </c>
      <c r="E2695" s="35" t="s">
        <v>4175</v>
      </c>
      <c r="F2695" s="35" t="s">
        <v>25</v>
      </c>
      <c r="G2695" s="106" t="s">
        <v>3852</v>
      </c>
      <c r="H2695" s="33">
        <v>43252</v>
      </c>
      <c r="I2695" s="34" t="s">
        <v>4219</v>
      </c>
      <c r="J2695" s="36">
        <v>420</v>
      </c>
      <c r="K2695" t="s">
        <v>2030</v>
      </c>
    </row>
    <row r="2696" spans="1:11" x14ac:dyDescent="0.3">
      <c r="A2696" t="s">
        <v>817</v>
      </c>
      <c r="B2696" s="33">
        <v>43284</v>
      </c>
      <c r="C2696" s="34" t="s">
        <v>4174</v>
      </c>
      <c r="D2696" s="34">
        <v>4301</v>
      </c>
      <c r="E2696" s="35" t="s">
        <v>4175</v>
      </c>
      <c r="F2696" s="35" t="s">
        <v>26</v>
      </c>
      <c r="G2696" s="106" t="s">
        <v>3852</v>
      </c>
      <c r="H2696" s="33">
        <v>43252</v>
      </c>
      <c r="I2696" s="34" t="s">
        <v>4220</v>
      </c>
      <c r="J2696" s="36">
        <v>420</v>
      </c>
      <c r="K2696" t="s">
        <v>2030</v>
      </c>
    </row>
    <row r="2697" spans="1:11" x14ac:dyDescent="0.3">
      <c r="A2697" t="s">
        <v>817</v>
      </c>
      <c r="B2697" s="33">
        <v>43284</v>
      </c>
      <c r="C2697" s="34" t="s">
        <v>4174</v>
      </c>
      <c r="D2697" s="34">
        <v>4301</v>
      </c>
      <c r="E2697" s="35" t="s">
        <v>4175</v>
      </c>
      <c r="F2697" s="35" t="s">
        <v>27</v>
      </c>
      <c r="G2697" s="106" t="s">
        <v>3852</v>
      </c>
      <c r="H2697" s="33">
        <v>43252</v>
      </c>
      <c r="I2697" s="34" t="s">
        <v>4221</v>
      </c>
      <c r="J2697" s="36">
        <v>420</v>
      </c>
      <c r="K2697" t="s">
        <v>2030</v>
      </c>
    </row>
    <row r="2698" spans="1:11" x14ac:dyDescent="0.3">
      <c r="A2698" t="s">
        <v>817</v>
      </c>
      <c r="B2698" s="33">
        <v>43284</v>
      </c>
      <c r="C2698" s="34" t="s">
        <v>4174</v>
      </c>
      <c r="D2698" s="34">
        <v>4301</v>
      </c>
      <c r="E2698" s="35" t="s">
        <v>4175</v>
      </c>
      <c r="F2698" s="35" t="s">
        <v>22</v>
      </c>
      <c r="G2698" s="106" t="s">
        <v>3852</v>
      </c>
      <c r="H2698" s="33">
        <v>43252</v>
      </c>
      <c r="I2698" s="34" t="s">
        <v>4222</v>
      </c>
      <c r="J2698" s="36">
        <v>420</v>
      </c>
      <c r="K2698" t="s">
        <v>2030</v>
      </c>
    </row>
    <row r="2699" spans="1:11" x14ac:dyDescent="0.3">
      <c r="A2699" t="s">
        <v>817</v>
      </c>
      <c r="B2699" s="33">
        <v>43284</v>
      </c>
      <c r="C2699" s="34" t="s">
        <v>4174</v>
      </c>
      <c r="D2699" s="34">
        <v>4301</v>
      </c>
      <c r="E2699" s="35" t="s">
        <v>4175</v>
      </c>
      <c r="F2699" s="35" t="s">
        <v>38</v>
      </c>
      <c r="G2699" s="106" t="s">
        <v>3852</v>
      </c>
      <c r="H2699" s="33">
        <v>43252</v>
      </c>
      <c r="I2699" s="34" t="s">
        <v>4223</v>
      </c>
      <c r="J2699" s="36">
        <v>420</v>
      </c>
      <c r="K2699" t="s">
        <v>2030</v>
      </c>
    </row>
    <row r="2700" spans="1:11" x14ac:dyDescent="0.3">
      <c r="A2700" t="s">
        <v>817</v>
      </c>
      <c r="B2700" s="33">
        <v>43284</v>
      </c>
      <c r="C2700" s="34" t="s">
        <v>4174</v>
      </c>
      <c r="D2700" s="34">
        <v>4301</v>
      </c>
      <c r="E2700" s="35" t="s">
        <v>4175</v>
      </c>
      <c r="F2700" s="35" t="s">
        <v>39</v>
      </c>
      <c r="G2700" s="106" t="s">
        <v>3852</v>
      </c>
      <c r="H2700" s="33">
        <v>43252</v>
      </c>
      <c r="I2700" s="34" t="s">
        <v>4224</v>
      </c>
      <c r="J2700" s="36">
        <v>420</v>
      </c>
      <c r="K2700" t="s">
        <v>2030</v>
      </c>
    </row>
    <row r="2701" spans="1:11" x14ac:dyDescent="0.3">
      <c r="A2701" t="s">
        <v>817</v>
      </c>
      <c r="B2701" s="33">
        <v>43284</v>
      </c>
      <c r="C2701" s="34" t="s">
        <v>4174</v>
      </c>
      <c r="D2701" s="34">
        <v>4301</v>
      </c>
      <c r="E2701" s="35" t="s">
        <v>4175</v>
      </c>
      <c r="F2701" s="35" t="s">
        <v>20</v>
      </c>
      <c r="G2701" s="106" t="s">
        <v>3852</v>
      </c>
      <c r="H2701" s="33">
        <v>43252</v>
      </c>
      <c r="I2701" s="34" t="s">
        <v>4225</v>
      </c>
      <c r="J2701" s="36">
        <v>420</v>
      </c>
      <c r="K2701" t="s">
        <v>2030</v>
      </c>
    </row>
    <row r="2702" spans="1:11" x14ac:dyDescent="0.3">
      <c r="A2702" t="s">
        <v>817</v>
      </c>
      <c r="B2702" s="33">
        <v>43284</v>
      </c>
      <c r="C2702" s="34" t="s">
        <v>4174</v>
      </c>
      <c r="D2702" s="34">
        <v>4301</v>
      </c>
      <c r="E2702" s="35" t="s">
        <v>4175</v>
      </c>
      <c r="F2702" s="35" t="s">
        <v>37</v>
      </c>
      <c r="G2702" s="106" t="s">
        <v>3852</v>
      </c>
      <c r="H2702" s="33">
        <v>43252</v>
      </c>
      <c r="I2702" s="34" t="s">
        <v>4226</v>
      </c>
      <c r="J2702" s="36">
        <v>420</v>
      </c>
      <c r="K2702" t="s">
        <v>2030</v>
      </c>
    </row>
    <row r="2703" spans="1:11" x14ac:dyDescent="0.3">
      <c r="A2703" t="s">
        <v>817</v>
      </c>
      <c r="B2703" s="33">
        <v>43284</v>
      </c>
      <c r="C2703" s="34" t="s">
        <v>4174</v>
      </c>
      <c r="D2703" s="34">
        <v>4301</v>
      </c>
      <c r="E2703" s="35" t="s">
        <v>4175</v>
      </c>
      <c r="F2703" s="35" t="s">
        <v>28</v>
      </c>
      <c r="G2703" s="106" t="s">
        <v>3852</v>
      </c>
      <c r="H2703" s="33">
        <v>43252</v>
      </c>
      <c r="I2703" s="34" t="s">
        <v>4227</v>
      </c>
      <c r="J2703" s="36">
        <v>420</v>
      </c>
      <c r="K2703" t="s">
        <v>2030</v>
      </c>
    </row>
    <row r="2704" spans="1:11" x14ac:dyDescent="0.3">
      <c r="A2704" t="s">
        <v>817</v>
      </c>
      <c r="B2704" s="33">
        <v>43284</v>
      </c>
      <c r="C2704" s="34" t="s">
        <v>4174</v>
      </c>
      <c r="D2704" s="34">
        <v>4301</v>
      </c>
      <c r="E2704" s="35" t="s">
        <v>4175</v>
      </c>
      <c r="F2704" s="35" t="s">
        <v>23</v>
      </c>
      <c r="G2704" s="106" t="s">
        <v>3852</v>
      </c>
      <c r="H2704" s="33">
        <v>43252</v>
      </c>
      <c r="I2704" s="34" t="s">
        <v>4228</v>
      </c>
      <c r="J2704" s="36">
        <v>420</v>
      </c>
      <c r="K2704" t="s">
        <v>2030</v>
      </c>
    </row>
    <row r="2705" spans="1:11" x14ac:dyDescent="0.3">
      <c r="A2705" t="s">
        <v>817</v>
      </c>
      <c r="B2705" s="33">
        <v>43284</v>
      </c>
      <c r="C2705" s="34" t="s">
        <v>4174</v>
      </c>
      <c r="D2705" s="34">
        <v>4301</v>
      </c>
      <c r="E2705" s="35" t="s">
        <v>4175</v>
      </c>
      <c r="F2705" s="35" t="s">
        <v>19</v>
      </c>
      <c r="G2705" s="106" t="s">
        <v>3852</v>
      </c>
      <c r="H2705" s="33">
        <v>43252</v>
      </c>
      <c r="I2705" s="34" t="s">
        <v>4229</v>
      </c>
      <c r="J2705" s="36">
        <v>420</v>
      </c>
      <c r="K2705" t="s">
        <v>2030</v>
      </c>
    </row>
    <row r="2706" spans="1:11" x14ac:dyDescent="0.3">
      <c r="A2706" t="s">
        <v>817</v>
      </c>
      <c r="B2706" s="33">
        <v>43284</v>
      </c>
      <c r="C2706" s="34" t="s">
        <v>4174</v>
      </c>
      <c r="D2706" s="34">
        <v>4301</v>
      </c>
      <c r="E2706" s="35" t="s">
        <v>4175</v>
      </c>
      <c r="F2706" s="35" t="s">
        <v>12</v>
      </c>
      <c r="G2706" s="106" t="s">
        <v>3852</v>
      </c>
      <c r="H2706" s="33">
        <v>43252</v>
      </c>
      <c r="I2706" s="34" t="s">
        <v>4230</v>
      </c>
      <c r="J2706" s="36">
        <v>420</v>
      </c>
      <c r="K2706" t="s">
        <v>2030</v>
      </c>
    </row>
    <row r="2707" spans="1:11" x14ac:dyDescent="0.3">
      <c r="A2707" t="s">
        <v>817</v>
      </c>
      <c r="B2707" s="33">
        <v>43284</v>
      </c>
      <c r="C2707" s="34" t="s">
        <v>4174</v>
      </c>
      <c r="D2707" s="34">
        <v>4301</v>
      </c>
      <c r="E2707" s="35" t="s">
        <v>4175</v>
      </c>
      <c r="F2707" s="35" t="s">
        <v>13</v>
      </c>
      <c r="G2707" s="106" t="s">
        <v>3852</v>
      </c>
      <c r="H2707" s="33">
        <v>43252</v>
      </c>
      <c r="I2707" s="34" t="s">
        <v>4231</v>
      </c>
      <c r="J2707" s="36">
        <v>420</v>
      </c>
      <c r="K2707" t="s">
        <v>2030</v>
      </c>
    </row>
    <row r="2708" spans="1:11" x14ac:dyDescent="0.3">
      <c r="A2708" t="s">
        <v>817</v>
      </c>
      <c r="B2708" s="33">
        <v>43284</v>
      </c>
      <c r="C2708" s="34" t="s">
        <v>4174</v>
      </c>
      <c r="D2708" s="34">
        <v>4301</v>
      </c>
      <c r="E2708" s="35" t="s">
        <v>4175</v>
      </c>
      <c r="F2708" s="35" t="s">
        <v>16</v>
      </c>
      <c r="G2708" s="106" t="s">
        <v>3852</v>
      </c>
      <c r="H2708" s="33">
        <v>43252</v>
      </c>
      <c r="I2708" s="34" t="s">
        <v>4232</v>
      </c>
      <c r="J2708" s="36">
        <v>420</v>
      </c>
      <c r="K2708" t="s">
        <v>2030</v>
      </c>
    </row>
    <row r="2709" spans="1:11" x14ac:dyDescent="0.3">
      <c r="A2709" t="s">
        <v>817</v>
      </c>
      <c r="B2709" s="33">
        <v>43284</v>
      </c>
      <c r="C2709" s="34" t="s">
        <v>4174</v>
      </c>
      <c r="D2709" s="34">
        <v>4301</v>
      </c>
      <c r="E2709" s="35" t="s">
        <v>4175</v>
      </c>
      <c r="F2709" s="35" t="s">
        <v>17</v>
      </c>
      <c r="G2709" s="106" t="s">
        <v>3852</v>
      </c>
      <c r="H2709" s="33">
        <v>43252</v>
      </c>
      <c r="I2709" s="34" t="s">
        <v>4233</v>
      </c>
      <c r="J2709" s="36">
        <v>420</v>
      </c>
      <c r="K2709" t="s">
        <v>2030</v>
      </c>
    </row>
    <row r="2710" spans="1:11" x14ac:dyDescent="0.3">
      <c r="A2710" t="s">
        <v>817</v>
      </c>
      <c r="B2710" s="33">
        <v>43284</v>
      </c>
      <c r="C2710" s="34" t="s">
        <v>4174</v>
      </c>
      <c r="D2710" s="34">
        <v>4301</v>
      </c>
      <c r="E2710" s="35" t="s">
        <v>4175</v>
      </c>
      <c r="F2710" s="35" t="s">
        <v>21</v>
      </c>
      <c r="G2710" s="106" t="s">
        <v>3852</v>
      </c>
      <c r="H2710" s="33">
        <v>43252</v>
      </c>
      <c r="I2710" s="34" t="s">
        <v>4234</v>
      </c>
      <c r="J2710" s="36">
        <v>420</v>
      </c>
      <c r="K2710" t="s">
        <v>2030</v>
      </c>
    </row>
    <row r="2711" spans="1:11" x14ac:dyDescent="0.3">
      <c r="A2711" t="s">
        <v>817</v>
      </c>
      <c r="B2711" s="33">
        <v>43284</v>
      </c>
      <c r="C2711" s="34" t="s">
        <v>4174</v>
      </c>
      <c r="D2711" s="34">
        <v>4301</v>
      </c>
      <c r="E2711" s="35" t="s">
        <v>4175</v>
      </c>
      <c r="F2711" s="35" t="s">
        <v>18</v>
      </c>
      <c r="G2711" s="106" t="s">
        <v>3852</v>
      </c>
      <c r="H2711" s="33">
        <v>43252</v>
      </c>
      <c r="I2711" s="34" t="s">
        <v>4235</v>
      </c>
      <c r="J2711" s="36">
        <v>420</v>
      </c>
      <c r="K2711" t="s">
        <v>2030</v>
      </c>
    </row>
    <row r="2712" spans="1:11" x14ac:dyDescent="0.3">
      <c r="A2712" t="s">
        <v>817</v>
      </c>
      <c r="B2712" s="33">
        <v>43284</v>
      </c>
      <c r="C2712" s="34" t="s">
        <v>4174</v>
      </c>
      <c r="D2712" s="34">
        <v>4301</v>
      </c>
      <c r="E2712" s="35" t="s">
        <v>4175</v>
      </c>
      <c r="F2712" s="35" t="s">
        <v>15</v>
      </c>
      <c r="G2712" s="106" t="s">
        <v>3852</v>
      </c>
      <c r="H2712" s="33">
        <v>43252</v>
      </c>
      <c r="I2712" s="34" t="s">
        <v>4236</v>
      </c>
      <c r="J2712" s="36">
        <v>420</v>
      </c>
      <c r="K2712" t="s">
        <v>2030</v>
      </c>
    </row>
    <row r="2713" spans="1:11" x14ac:dyDescent="0.3">
      <c r="A2713" t="s">
        <v>817</v>
      </c>
      <c r="B2713" s="33">
        <v>43284</v>
      </c>
      <c r="C2713" s="34" t="s">
        <v>4174</v>
      </c>
      <c r="D2713" s="34">
        <v>4301</v>
      </c>
      <c r="E2713" s="35" t="s">
        <v>4175</v>
      </c>
      <c r="F2713" s="35" t="s">
        <v>14</v>
      </c>
      <c r="G2713" s="106" t="s">
        <v>3852</v>
      </c>
      <c r="H2713" s="33">
        <v>43252</v>
      </c>
      <c r="I2713" s="34" t="s">
        <v>4237</v>
      </c>
      <c r="J2713" s="36">
        <v>420</v>
      </c>
      <c r="K2713" t="s">
        <v>2030</v>
      </c>
    </row>
    <row r="2714" spans="1:11" x14ac:dyDescent="0.3">
      <c r="A2714" t="s">
        <v>817</v>
      </c>
      <c r="B2714" s="33">
        <v>43284</v>
      </c>
      <c r="C2714" s="34" t="s">
        <v>4174</v>
      </c>
      <c r="D2714" s="34">
        <v>4301</v>
      </c>
      <c r="E2714" s="35" t="s">
        <v>4175</v>
      </c>
      <c r="F2714" s="35" t="s">
        <v>11</v>
      </c>
      <c r="G2714" s="106" t="s">
        <v>3852</v>
      </c>
      <c r="H2714" s="33">
        <v>43252</v>
      </c>
      <c r="I2714" s="34" t="s">
        <v>4238</v>
      </c>
      <c r="J2714" s="36">
        <v>420</v>
      </c>
      <c r="K2714" t="s">
        <v>2030</v>
      </c>
    </row>
    <row r="2715" spans="1:11" x14ac:dyDescent="0.3">
      <c r="A2715" t="s">
        <v>817</v>
      </c>
      <c r="B2715" s="33">
        <v>43284</v>
      </c>
      <c r="C2715" s="34" t="s">
        <v>4174</v>
      </c>
      <c r="D2715" s="34">
        <v>4301</v>
      </c>
      <c r="E2715" s="35" t="s">
        <v>4175</v>
      </c>
      <c r="F2715" s="35" t="s">
        <v>297</v>
      </c>
      <c r="G2715" s="106" t="s">
        <v>3852</v>
      </c>
      <c r="H2715" s="33">
        <v>43252</v>
      </c>
      <c r="I2715" s="34" t="s">
        <v>4239</v>
      </c>
      <c r="J2715" s="36">
        <v>225</v>
      </c>
      <c r="K2715" t="s">
        <v>2030</v>
      </c>
    </row>
    <row r="2716" spans="1:11" x14ac:dyDescent="0.3">
      <c r="A2716" t="s">
        <v>817</v>
      </c>
      <c r="B2716" s="33">
        <v>43284</v>
      </c>
      <c r="C2716" s="34" t="s">
        <v>4174</v>
      </c>
      <c r="D2716" s="34">
        <v>4301</v>
      </c>
      <c r="E2716" s="35" t="s">
        <v>4175</v>
      </c>
      <c r="F2716" s="35" t="s">
        <v>300</v>
      </c>
      <c r="G2716" s="106" t="s">
        <v>3852</v>
      </c>
      <c r="H2716" s="33">
        <v>43252</v>
      </c>
      <c r="I2716" s="34" t="s">
        <v>4240</v>
      </c>
      <c r="J2716" s="36">
        <v>225</v>
      </c>
      <c r="K2716" t="s">
        <v>2030</v>
      </c>
    </row>
    <row r="2717" spans="1:11" x14ac:dyDescent="0.3">
      <c r="A2717" t="s">
        <v>817</v>
      </c>
      <c r="B2717" s="33">
        <v>43284</v>
      </c>
      <c r="C2717" s="34" t="s">
        <v>4174</v>
      </c>
      <c r="D2717" s="34">
        <v>4301</v>
      </c>
      <c r="E2717" s="35" t="s">
        <v>4175</v>
      </c>
      <c r="F2717" s="35" t="s">
        <v>298</v>
      </c>
      <c r="G2717" s="106" t="s">
        <v>3852</v>
      </c>
      <c r="H2717" s="33">
        <v>43252</v>
      </c>
      <c r="I2717" s="34" t="s">
        <v>4241</v>
      </c>
      <c r="J2717" s="36">
        <v>225</v>
      </c>
      <c r="K2717" t="s">
        <v>2030</v>
      </c>
    </row>
    <row r="2718" spans="1:11" x14ac:dyDescent="0.3">
      <c r="A2718" t="s">
        <v>817</v>
      </c>
      <c r="B2718" s="33">
        <v>43284</v>
      </c>
      <c r="C2718" s="34" t="s">
        <v>4174</v>
      </c>
      <c r="D2718" s="34">
        <v>4301</v>
      </c>
      <c r="E2718" s="35" t="s">
        <v>4175</v>
      </c>
      <c r="F2718" s="35" t="s">
        <v>147</v>
      </c>
      <c r="G2718" s="106" t="s">
        <v>3852</v>
      </c>
      <c r="H2718" s="33">
        <v>43252</v>
      </c>
      <c r="I2718" s="34" t="s">
        <v>4242</v>
      </c>
      <c r="J2718" s="36">
        <v>172.5</v>
      </c>
      <c r="K2718" t="s">
        <v>2030</v>
      </c>
    </row>
    <row r="2719" spans="1:11" x14ac:dyDescent="0.3">
      <c r="A2719" t="s">
        <v>817</v>
      </c>
      <c r="B2719" s="33">
        <v>43284</v>
      </c>
      <c r="C2719" s="34" t="s">
        <v>4174</v>
      </c>
      <c r="D2719" s="34">
        <v>4301</v>
      </c>
      <c r="E2719" s="35" t="s">
        <v>4175</v>
      </c>
      <c r="F2719" s="35" t="s">
        <v>299</v>
      </c>
      <c r="G2719" s="106" t="s">
        <v>3852</v>
      </c>
      <c r="H2719" s="33">
        <v>43252</v>
      </c>
      <c r="I2719" s="34" t="s">
        <v>4243</v>
      </c>
      <c r="J2719" s="36">
        <v>225</v>
      </c>
      <c r="K2719" t="s">
        <v>2030</v>
      </c>
    </row>
    <row r="2720" spans="1:11" x14ac:dyDescent="0.3">
      <c r="A2720" t="s">
        <v>817</v>
      </c>
      <c r="B2720" s="33">
        <v>43284</v>
      </c>
      <c r="C2720" s="34" t="s">
        <v>4174</v>
      </c>
      <c r="D2720" s="34">
        <v>4301</v>
      </c>
      <c r="E2720" s="35" t="s">
        <v>4175</v>
      </c>
      <c r="F2720" s="35" t="s">
        <v>150</v>
      </c>
      <c r="G2720" s="106" t="s">
        <v>3852</v>
      </c>
      <c r="H2720" s="33">
        <v>43252</v>
      </c>
      <c r="I2720" s="34" t="s">
        <v>4244</v>
      </c>
      <c r="J2720" s="36">
        <v>172.5</v>
      </c>
      <c r="K2720" t="s">
        <v>2030</v>
      </c>
    </row>
    <row r="2721" spans="1:11" x14ac:dyDescent="0.3">
      <c r="A2721" t="s">
        <v>817</v>
      </c>
      <c r="B2721" s="33">
        <v>43284</v>
      </c>
      <c r="C2721" s="34" t="s">
        <v>4174</v>
      </c>
      <c r="D2721" s="34">
        <v>4301</v>
      </c>
      <c r="E2721" s="35" t="s">
        <v>4175</v>
      </c>
      <c r="F2721" s="35" t="s">
        <v>296</v>
      </c>
      <c r="G2721" s="106" t="s">
        <v>3852</v>
      </c>
      <c r="H2721" s="33">
        <v>43252</v>
      </c>
      <c r="I2721" s="34" t="s">
        <v>4245</v>
      </c>
      <c r="J2721" s="36">
        <v>225</v>
      </c>
      <c r="K2721" t="s">
        <v>2030</v>
      </c>
    </row>
    <row r="2722" spans="1:11" x14ac:dyDescent="0.3">
      <c r="A2722" t="s">
        <v>817</v>
      </c>
      <c r="B2722" s="33">
        <v>43284</v>
      </c>
      <c r="C2722" s="34" t="s">
        <v>4174</v>
      </c>
      <c r="D2722" s="34">
        <v>4301</v>
      </c>
      <c r="E2722" s="35" t="s">
        <v>4175</v>
      </c>
      <c r="F2722" s="35" t="s">
        <v>151</v>
      </c>
      <c r="G2722" s="106" t="s">
        <v>3852</v>
      </c>
      <c r="H2722" s="33">
        <v>43252</v>
      </c>
      <c r="I2722" s="34" t="s">
        <v>4246</v>
      </c>
      <c r="J2722" s="36">
        <v>172.5</v>
      </c>
      <c r="K2722" t="s">
        <v>2030</v>
      </c>
    </row>
    <row r="2723" spans="1:11" x14ac:dyDescent="0.3">
      <c r="A2723" t="s">
        <v>817</v>
      </c>
      <c r="B2723" s="33">
        <v>43284</v>
      </c>
      <c r="C2723" s="34" t="s">
        <v>4174</v>
      </c>
      <c r="D2723" s="34">
        <v>4301</v>
      </c>
      <c r="E2723" s="35" t="s">
        <v>4175</v>
      </c>
      <c r="F2723" s="35" t="s">
        <v>152</v>
      </c>
      <c r="G2723" s="106" t="s">
        <v>3852</v>
      </c>
      <c r="H2723" s="33">
        <v>43252</v>
      </c>
      <c r="I2723" s="34" t="s">
        <v>4247</v>
      </c>
      <c r="J2723" s="36">
        <v>225</v>
      </c>
      <c r="K2723" t="s">
        <v>2030</v>
      </c>
    </row>
    <row r="2724" spans="1:11" x14ac:dyDescent="0.3">
      <c r="A2724" t="s">
        <v>817</v>
      </c>
      <c r="B2724" s="33">
        <v>43284</v>
      </c>
      <c r="C2724" s="34" t="s">
        <v>4174</v>
      </c>
      <c r="D2724" s="34">
        <v>4301</v>
      </c>
      <c r="E2724" s="35" t="s">
        <v>4175</v>
      </c>
      <c r="F2724" s="35" t="s">
        <v>149</v>
      </c>
      <c r="G2724" s="106" t="s">
        <v>3852</v>
      </c>
      <c r="H2724" s="33">
        <v>43252</v>
      </c>
      <c r="I2724" s="34" t="s">
        <v>4248</v>
      </c>
      <c r="J2724" s="36">
        <v>172.5</v>
      </c>
      <c r="K2724" t="s">
        <v>2030</v>
      </c>
    </row>
    <row r="2725" spans="1:11" x14ac:dyDescent="0.3">
      <c r="A2725" t="s">
        <v>817</v>
      </c>
      <c r="B2725" s="33">
        <v>43284</v>
      </c>
      <c r="C2725" s="34" t="s">
        <v>4174</v>
      </c>
      <c r="D2725" s="34">
        <v>4301</v>
      </c>
      <c r="E2725" s="35" t="s">
        <v>4175</v>
      </c>
      <c r="F2725" s="35" t="s">
        <v>148</v>
      </c>
      <c r="G2725" s="106" t="s">
        <v>3852</v>
      </c>
      <c r="H2725" s="33">
        <v>43252</v>
      </c>
      <c r="I2725" s="34" t="s">
        <v>4249</v>
      </c>
      <c r="J2725" s="36">
        <v>172.5</v>
      </c>
      <c r="K2725" t="s">
        <v>2030</v>
      </c>
    </row>
    <row r="2726" spans="1:11" x14ac:dyDescent="0.3">
      <c r="A2726" t="s">
        <v>817</v>
      </c>
      <c r="B2726" s="33">
        <v>43284</v>
      </c>
      <c r="C2726" s="34" t="s">
        <v>4174</v>
      </c>
      <c r="D2726" s="34">
        <v>4301</v>
      </c>
      <c r="E2726" s="35" t="s">
        <v>4175</v>
      </c>
      <c r="F2726" s="35" t="s">
        <v>146</v>
      </c>
      <c r="G2726" s="106" t="s">
        <v>3852</v>
      </c>
      <c r="H2726" s="33">
        <v>43252</v>
      </c>
      <c r="I2726" s="34" t="s">
        <v>4250</v>
      </c>
      <c r="J2726" s="36">
        <v>172.5</v>
      </c>
      <c r="K2726" t="s">
        <v>2030</v>
      </c>
    </row>
    <row r="2727" spans="1:11" x14ac:dyDescent="0.3">
      <c r="A2727" t="s">
        <v>817</v>
      </c>
      <c r="B2727" s="33">
        <v>43284</v>
      </c>
      <c r="C2727" s="34" t="s">
        <v>4174</v>
      </c>
      <c r="D2727" s="34">
        <v>4301</v>
      </c>
      <c r="E2727" s="35" t="s">
        <v>4175</v>
      </c>
      <c r="F2727" s="35" t="s">
        <v>145</v>
      </c>
      <c r="G2727" s="106" t="s">
        <v>3852</v>
      </c>
      <c r="H2727" s="33">
        <v>43252</v>
      </c>
      <c r="I2727" s="34" t="s">
        <v>4251</v>
      </c>
      <c r="J2727" s="36">
        <v>172.5</v>
      </c>
      <c r="K2727" t="s">
        <v>2030</v>
      </c>
    </row>
    <row r="2728" spans="1:11" x14ac:dyDescent="0.3">
      <c r="A2728" t="s">
        <v>817</v>
      </c>
      <c r="B2728" s="33">
        <v>43284</v>
      </c>
      <c r="C2728" s="34" t="s">
        <v>4174</v>
      </c>
      <c r="D2728" s="34">
        <v>4301</v>
      </c>
      <c r="E2728" s="35" t="s">
        <v>4175</v>
      </c>
      <c r="F2728" s="35" t="s">
        <v>140</v>
      </c>
      <c r="G2728" s="106" t="s">
        <v>3852</v>
      </c>
      <c r="H2728" s="33">
        <v>43252</v>
      </c>
      <c r="I2728" s="34" t="s">
        <v>4252</v>
      </c>
      <c r="J2728" s="36">
        <v>172.5</v>
      </c>
      <c r="K2728" t="s">
        <v>2030</v>
      </c>
    </row>
    <row r="2729" spans="1:11" x14ac:dyDescent="0.3">
      <c r="A2729" t="s">
        <v>817</v>
      </c>
      <c r="B2729" s="33">
        <v>43284</v>
      </c>
      <c r="C2729" s="34" t="s">
        <v>4174</v>
      </c>
      <c r="D2729" s="34">
        <v>4301</v>
      </c>
      <c r="E2729" s="35" t="s">
        <v>4175</v>
      </c>
      <c r="F2729" s="35" t="s">
        <v>141</v>
      </c>
      <c r="G2729" s="106" t="s">
        <v>3852</v>
      </c>
      <c r="H2729" s="33">
        <v>43252</v>
      </c>
      <c r="I2729" s="34" t="s">
        <v>4253</v>
      </c>
      <c r="J2729" s="36">
        <v>172.5</v>
      </c>
      <c r="K2729" t="s">
        <v>2030</v>
      </c>
    </row>
    <row r="2730" spans="1:11" x14ac:dyDescent="0.3">
      <c r="A2730" t="s">
        <v>817</v>
      </c>
      <c r="B2730" s="33">
        <v>43284</v>
      </c>
      <c r="C2730" s="34" t="s">
        <v>4174</v>
      </c>
      <c r="D2730" s="34">
        <v>4301</v>
      </c>
      <c r="E2730" s="35" t="s">
        <v>4175</v>
      </c>
      <c r="F2730" s="35" t="s">
        <v>138</v>
      </c>
      <c r="G2730" s="106" t="s">
        <v>3852</v>
      </c>
      <c r="H2730" s="33">
        <v>43252</v>
      </c>
      <c r="I2730" s="34" t="s">
        <v>4254</v>
      </c>
      <c r="J2730" s="36">
        <v>172.5</v>
      </c>
      <c r="K2730" t="s">
        <v>2030</v>
      </c>
    </row>
    <row r="2731" spans="1:11" x14ac:dyDescent="0.3">
      <c r="A2731" t="s">
        <v>817</v>
      </c>
      <c r="B2731" s="33">
        <v>43284</v>
      </c>
      <c r="C2731" s="34" t="s">
        <v>4174</v>
      </c>
      <c r="D2731" s="34">
        <v>4301</v>
      </c>
      <c r="E2731" s="35" t="s">
        <v>4175</v>
      </c>
      <c r="F2731" s="35" t="s">
        <v>139</v>
      </c>
      <c r="G2731" s="106" t="s">
        <v>3852</v>
      </c>
      <c r="H2731" s="33">
        <v>43252</v>
      </c>
      <c r="I2731" s="34" t="s">
        <v>4255</v>
      </c>
      <c r="J2731" s="36">
        <v>172.5</v>
      </c>
      <c r="K2731" t="s">
        <v>2030</v>
      </c>
    </row>
    <row r="2732" spans="1:11" x14ac:dyDescent="0.3">
      <c r="A2732" t="s">
        <v>817</v>
      </c>
      <c r="B2732" s="33">
        <v>43284</v>
      </c>
      <c r="C2732" s="34" t="s">
        <v>4174</v>
      </c>
      <c r="D2732" s="34">
        <v>4301</v>
      </c>
      <c r="E2732" s="35" t="s">
        <v>4175</v>
      </c>
      <c r="F2732" s="35" t="s">
        <v>144</v>
      </c>
      <c r="G2732" s="106" t="s">
        <v>3852</v>
      </c>
      <c r="H2732" s="33">
        <v>43252</v>
      </c>
      <c r="I2732" s="34" t="s">
        <v>4256</v>
      </c>
      <c r="J2732" s="36">
        <v>172.5</v>
      </c>
      <c r="K2732" t="s">
        <v>2030</v>
      </c>
    </row>
    <row r="2733" spans="1:11" x14ac:dyDescent="0.3">
      <c r="A2733" t="s">
        <v>817</v>
      </c>
      <c r="B2733" s="33">
        <v>43284</v>
      </c>
      <c r="C2733" s="34" t="s">
        <v>4174</v>
      </c>
      <c r="D2733" s="34">
        <v>4301</v>
      </c>
      <c r="E2733" s="35" t="s">
        <v>4175</v>
      </c>
      <c r="F2733" s="35" t="s">
        <v>142</v>
      </c>
      <c r="G2733" s="106" t="s">
        <v>3852</v>
      </c>
      <c r="H2733" s="33">
        <v>43252</v>
      </c>
      <c r="I2733" s="34" t="s">
        <v>4257</v>
      </c>
      <c r="J2733" s="36">
        <v>172.5</v>
      </c>
      <c r="K2733" t="s">
        <v>2030</v>
      </c>
    </row>
    <row r="2734" spans="1:11" x14ac:dyDescent="0.3">
      <c r="A2734" t="s">
        <v>817</v>
      </c>
      <c r="B2734" s="33">
        <v>43284</v>
      </c>
      <c r="C2734" s="34" t="s">
        <v>4174</v>
      </c>
      <c r="D2734" s="34">
        <v>4301</v>
      </c>
      <c r="E2734" s="35" t="s">
        <v>4175</v>
      </c>
      <c r="F2734" s="35" t="s">
        <v>59</v>
      </c>
      <c r="G2734" s="106" t="s">
        <v>3852</v>
      </c>
      <c r="H2734" s="33">
        <v>43252</v>
      </c>
      <c r="I2734" s="34" t="s">
        <v>4258</v>
      </c>
      <c r="J2734" s="36">
        <v>225</v>
      </c>
      <c r="K2734" t="s">
        <v>2030</v>
      </c>
    </row>
    <row r="2735" spans="1:11" x14ac:dyDescent="0.3">
      <c r="A2735" t="s">
        <v>817</v>
      </c>
      <c r="B2735" s="33">
        <v>43284</v>
      </c>
      <c r="C2735" s="34" t="s">
        <v>4174</v>
      </c>
      <c r="D2735" s="34">
        <v>4301</v>
      </c>
      <c r="E2735" s="35" t="s">
        <v>4175</v>
      </c>
      <c r="F2735" s="35" t="s">
        <v>57</v>
      </c>
      <c r="G2735" s="106" t="s">
        <v>3852</v>
      </c>
      <c r="H2735" s="33">
        <v>43252</v>
      </c>
      <c r="I2735" s="34" t="s">
        <v>4259</v>
      </c>
      <c r="J2735" s="36">
        <v>300</v>
      </c>
      <c r="K2735" t="s">
        <v>2030</v>
      </c>
    </row>
    <row r="2736" spans="1:11" x14ac:dyDescent="0.3">
      <c r="A2736" t="s">
        <v>817</v>
      </c>
      <c r="B2736" s="33">
        <v>43284</v>
      </c>
      <c r="C2736" s="34" t="s">
        <v>4174</v>
      </c>
      <c r="D2736" s="34">
        <v>4301</v>
      </c>
      <c r="E2736" s="35" t="s">
        <v>4175</v>
      </c>
      <c r="F2736" s="35" t="s">
        <v>55</v>
      </c>
      <c r="G2736" s="106" t="s">
        <v>3852</v>
      </c>
      <c r="H2736" s="33">
        <v>43252</v>
      </c>
      <c r="I2736" s="34" t="s">
        <v>4260</v>
      </c>
      <c r="J2736" s="36">
        <v>420</v>
      </c>
      <c r="K2736" t="s">
        <v>2030</v>
      </c>
    </row>
    <row r="2737" spans="1:11" x14ac:dyDescent="0.3">
      <c r="A2737" t="s">
        <v>817</v>
      </c>
      <c r="B2737" s="33">
        <v>43284</v>
      </c>
      <c r="C2737" s="34" t="s">
        <v>4174</v>
      </c>
      <c r="D2737" s="34">
        <v>4301</v>
      </c>
      <c r="E2737" s="35" t="s">
        <v>4175</v>
      </c>
      <c r="F2737" s="35" t="s">
        <v>60</v>
      </c>
      <c r="G2737" s="106" t="s">
        <v>3852</v>
      </c>
      <c r="H2737" s="33">
        <v>43252</v>
      </c>
      <c r="I2737" s="34" t="s">
        <v>4261</v>
      </c>
      <c r="J2737" s="36">
        <v>225</v>
      </c>
      <c r="K2737" t="s">
        <v>2030</v>
      </c>
    </row>
    <row r="2738" spans="1:11" x14ac:dyDescent="0.3">
      <c r="A2738" t="s">
        <v>817</v>
      </c>
      <c r="B2738" s="33">
        <v>43284</v>
      </c>
      <c r="C2738" s="34" t="s">
        <v>4174</v>
      </c>
      <c r="D2738" s="34">
        <v>4301</v>
      </c>
      <c r="E2738" s="35" t="s">
        <v>4175</v>
      </c>
      <c r="F2738" s="35" t="s">
        <v>56</v>
      </c>
      <c r="G2738" s="106" t="s">
        <v>3852</v>
      </c>
      <c r="H2738" s="33">
        <v>43252</v>
      </c>
      <c r="I2738" s="34" t="s">
        <v>4262</v>
      </c>
      <c r="J2738" s="36">
        <v>420</v>
      </c>
      <c r="K2738" t="s">
        <v>2030</v>
      </c>
    </row>
    <row r="2739" spans="1:11" x14ac:dyDescent="0.3">
      <c r="A2739" t="s">
        <v>817</v>
      </c>
      <c r="B2739" s="33">
        <v>43284</v>
      </c>
      <c r="C2739" s="34" t="s">
        <v>4174</v>
      </c>
      <c r="D2739" s="34">
        <v>4301</v>
      </c>
      <c r="E2739" s="35" t="s">
        <v>4175</v>
      </c>
      <c r="F2739" s="35" t="s">
        <v>58</v>
      </c>
      <c r="G2739" s="106" t="s">
        <v>3852</v>
      </c>
      <c r="H2739" s="33">
        <v>43252</v>
      </c>
      <c r="I2739" s="34" t="s">
        <v>4263</v>
      </c>
      <c r="J2739" s="36">
        <v>225</v>
      </c>
      <c r="K2739" t="s">
        <v>2030</v>
      </c>
    </row>
    <row r="2740" spans="1:11" x14ac:dyDescent="0.3">
      <c r="A2740" t="s">
        <v>817</v>
      </c>
      <c r="B2740" s="33">
        <v>43284</v>
      </c>
      <c r="C2740" s="34" t="s">
        <v>4174</v>
      </c>
      <c r="D2740" s="34">
        <v>4301</v>
      </c>
      <c r="E2740" s="35" t="s">
        <v>4175</v>
      </c>
      <c r="F2740" s="35" t="s">
        <v>295</v>
      </c>
      <c r="G2740" s="106" t="s">
        <v>3852</v>
      </c>
      <c r="H2740" s="33">
        <v>43252</v>
      </c>
      <c r="I2740" s="34" t="s">
        <v>4264</v>
      </c>
      <c r="J2740" s="36">
        <v>420</v>
      </c>
      <c r="K2740" t="s">
        <v>2030</v>
      </c>
    </row>
    <row r="2741" spans="1:11" x14ac:dyDescent="0.3">
      <c r="A2741" t="s">
        <v>817</v>
      </c>
      <c r="B2741" s="33">
        <v>43284</v>
      </c>
      <c r="C2741" s="34" t="s">
        <v>4174</v>
      </c>
      <c r="D2741" s="34">
        <v>4301</v>
      </c>
      <c r="E2741" s="35" t="s">
        <v>4175</v>
      </c>
      <c r="F2741" s="35" t="s">
        <v>49</v>
      </c>
      <c r="G2741" s="106" t="s">
        <v>3852</v>
      </c>
      <c r="H2741" s="33">
        <v>43252</v>
      </c>
      <c r="I2741" s="34" t="s">
        <v>4265</v>
      </c>
      <c r="J2741" s="36">
        <v>420</v>
      </c>
      <c r="K2741" t="s">
        <v>2030</v>
      </c>
    </row>
    <row r="2742" spans="1:11" x14ac:dyDescent="0.3">
      <c r="A2742" t="s">
        <v>817</v>
      </c>
      <c r="B2742" s="33">
        <v>43284</v>
      </c>
      <c r="C2742" s="34" t="s">
        <v>4174</v>
      </c>
      <c r="D2742" s="34">
        <v>4301</v>
      </c>
      <c r="E2742" s="35" t="s">
        <v>4175</v>
      </c>
      <c r="F2742" s="35" t="s">
        <v>54</v>
      </c>
      <c r="G2742" s="106" t="s">
        <v>3852</v>
      </c>
      <c r="H2742" s="33">
        <v>43252</v>
      </c>
      <c r="I2742" s="34" t="s">
        <v>4266</v>
      </c>
      <c r="J2742" s="36">
        <v>420</v>
      </c>
      <c r="K2742" t="s">
        <v>2030</v>
      </c>
    </row>
    <row r="2743" spans="1:11" x14ac:dyDescent="0.3">
      <c r="A2743" t="s">
        <v>817</v>
      </c>
      <c r="B2743" s="33">
        <v>43284</v>
      </c>
      <c r="C2743" s="34" t="s">
        <v>4174</v>
      </c>
      <c r="D2743" s="34">
        <v>4301</v>
      </c>
      <c r="E2743" s="35" t="s">
        <v>4175</v>
      </c>
      <c r="F2743" s="35" t="s">
        <v>45</v>
      </c>
      <c r="G2743" s="106" t="s">
        <v>3852</v>
      </c>
      <c r="H2743" s="33">
        <v>43252</v>
      </c>
      <c r="I2743" s="34" t="s">
        <v>4267</v>
      </c>
      <c r="J2743" s="36">
        <v>420</v>
      </c>
      <c r="K2743" t="s">
        <v>2030</v>
      </c>
    </row>
    <row r="2744" spans="1:11" x14ac:dyDescent="0.3">
      <c r="A2744" t="s">
        <v>817</v>
      </c>
      <c r="B2744" s="33">
        <v>43284</v>
      </c>
      <c r="C2744" s="34" t="s">
        <v>4174</v>
      </c>
      <c r="D2744" s="34">
        <v>4301</v>
      </c>
      <c r="E2744" s="35" t="s">
        <v>4175</v>
      </c>
      <c r="F2744" s="35" t="s">
        <v>51</v>
      </c>
      <c r="G2744" s="106" t="s">
        <v>3852</v>
      </c>
      <c r="H2744" s="33">
        <v>43252</v>
      </c>
      <c r="I2744" s="34" t="s">
        <v>4268</v>
      </c>
      <c r="J2744" s="36">
        <v>420</v>
      </c>
      <c r="K2744" t="s">
        <v>2030</v>
      </c>
    </row>
    <row r="2745" spans="1:11" x14ac:dyDescent="0.3">
      <c r="A2745" t="s">
        <v>817</v>
      </c>
      <c r="B2745" s="33">
        <v>43284</v>
      </c>
      <c r="C2745" s="34" t="s">
        <v>4174</v>
      </c>
      <c r="D2745" s="34">
        <v>4301</v>
      </c>
      <c r="E2745" s="35" t="s">
        <v>4175</v>
      </c>
      <c r="F2745" s="35" t="s">
        <v>46</v>
      </c>
      <c r="G2745" s="106" t="s">
        <v>3852</v>
      </c>
      <c r="H2745" s="33">
        <v>43252</v>
      </c>
      <c r="I2745" s="34" t="s">
        <v>4269</v>
      </c>
      <c r="J2745" s="36">
        <v>420</v>
      </c>
      <c r="K2745" t="s">
        <v>2030</v>
      </c>
    </row>
    <row r="2746" spans="1:11" x14ac:dyDescent="0.3">
      <c r="A2746" t="s">
        <v>817</v>
      </c>
      <c r="B2746" s="33">
        <v>43284</v>
      </c>
      <c r="C2746" s="34" t="s">
        <v>4174</v>
      </c>
      <c r="D2746" s="34">
        <v>4301</v>
      </c>
      <c r="E2746" s="35" t="s">
        <v>4175</v>
      </c>
      <c r="F2746" s="35" t="s">
        <v>48</v>
      </c>
      <c r="G2746" s="106" t="s">
        <v>3852</v>
      </c>
      <c r="H2746" s="33">
        <v>43252</v>
      </c>
      <c r="I2746" s="34" t="s">
        <v>4270</v>
      </c>
      <c r="J2746" s="36">
        <v>420</v>
      </c>
      <c r="K2746" t="s">
        <v>2030</v>
      </c>
    </row>
    <row r="2747" spans="1:11" x14ac:dyDescent="0.3">
      <c r="A2747" t="s">
        <v>817</v>
      </c>
      <c r="B2747" s="33">
        <v>43284</v>
      </c>
      <c r="C2747" s="34" t="s">
        <v>4174</v>
      </c>
      <c r="D2747" s="34">
        <v>4301</v>
      </c>
      <c r="E2747" s="35" t="s">
        <v>4175</v>
      </c>
      <c r="F2747" s="35" t="s">
        <v>47</v>
      </c>
      <c r="G2747" s="106" t="s">
        <v>3852</v>
      </c>
      <c r="H2747" s="33">
        <v>43252</v>
      </c>
      <c r="I2747" s="34" t="s">
        <v>4271</v>
      </c>
      <c r="J2747" s="36">
        <v>420</v>
      </c>
      <c r="K2747" t="s">
        <v>2030</v>
      </c>
    </row>
    <row r="2748" spans="1:11" x14ac:dyDescent="0.3">
      <c r="A2748" t="s">
        <v>817</v>
      </c>
      <c r="B2748" s="33">
        <v>43284</v>
      </c>
      <c r="C2748" s="34" t="s">
        <v>4174</v>
      </c>
      <c r="D2748" s="34">
        <v>4301</v>
      </c>
      <c r="E2748" s="35" t="s">
        <v>4175</v>
      </c>
      <c r="F2748" s="35" t="s">
        <v>52</v>
      </c>
      <c r="G2748" s="106" t="s">
        <v>3852</v>
      </c>
      <c r="H2748" s="33">
        <v>43252</v>
      </c>
      <c r="I2748" s="34" t="s">
        <v>4272</v>
      </c>
      <c r="J2748" s="36">
        <v>420</v>
      </c>
      <c r="K2748" t="s">
        <v>2030</v>
      </c>
    </row>
    <row r="2749" spans="1:11" x14ac:dyDescent="0.3">
      <c r="A2749" t="s">
        <v>817</v>
      </c>
      <c r="B2749" s="33">
        <v>43284</v>
      </c>
      <c r="C2749" s="34" t="s">
        <v>4174</v>
      </c>
      <c r="D2749" s="34">
        <v>4301</v>
      </c>
      <c r="E2749" s="35" t="s">
        <v>4175</v>
      </c>
      <c r="F2749" s="35" t="s">
        <v>53</v>
      </c>
      <c r="G2749" s="106" t="s">
        <v>3852</v>
      </c>
      <c r="H2749" s="33">
        <v>43252</v>
      </c>
      <c r="I2749" s="34" t="s">
        <v>4273</v>
      </c>
      <c r="J2749" s="36">
        <v>420</v>
      </c>
      <c r="K2749" t="s">
        <v>2030</v>
      </c>
    </row>
    <row r="2750" spans="1:11" x14ac:dyDescent="0.3">
      <c r="A2750" t="s">
        <v>817</v>
      </c>
      <c r="B2750" s="33">
        <v>43284</v>
      </c>
      <c r="C2750" s="34" t="s">
        <v>4174</v>
      </c>
      <c r="D2750" s="34">
        <v>4301</v>
      </c>
      <c r="E2750" s="35" t="s">
        <v>4175</v>
      </c>
      <c r="F2750" s="35" t="s">
        <v>50</v>
      </c>
      <c r="G2750" s="106" t="s">
        <v>3852</v>
      </c>
      <c r="H2750" s="33">
        <v>43252</v>
      </c>
      <c r="I2750" s="34" t="s">
        <v>4274</v>
      </c>
      <c r="J2750" s="36">
        <v>420</v>
      </c>
      <c r="K2750" t="s">
        <v>2030</v>
      </c>
    </row>
    <row r="2751" spans="1:11" x14ac:dyDescent="0.3">
      <c r="A2751" t="s">
        <v>817</v>
      </c>
      <c r="B2751" s="33">
        <v>43284</v>
      </c>
      <c r="C2751" s="34" t="s">
        <v>4174</v>
      </c>
      <c r="D2751" s="34">
        <v>4301</v>
      </c>
      <c r="E2751" s="35" t="s">
        <v>4175</v>
      </c>
      <c r="F2751" s="35" t="s">
        <v>41</v>
      </c>
      <c r="G2751" s="106" t="s">
        <v>3852</v>
      </c>
      <c r="H2751" s="33">
        <v>43252</v>
      </c>
      <c r="I2751" s="34" t="s">
        <v>4275</v>
      </c>
      <c r="J2751" s="36">
        <v>420</v>
      </c>
      <c r="K2751" t="s">
        <v>2030</v>
      </c>
    </row>
    <row r="2752" spans="1:11" x14ac:dyDescent="0.3">
      <c r="A2752" t="s">
        <v>817</v>
      </c>
      <c r="B2752" s="33">
        <v>43284</v>
      </c>
      <c r="C2752" s="34" t="s">
        <v>4174</v>
      </c>
      <c r="D2752" s="34">
        <v>4301</v>
      </c>
      <c r="E2752" s="35" t="s">
        <v>4175</v>
      </c>
      <c r="F2752" s="35" t="s">
        <v>40</v>
      </c>
      <c r="G2752" s="106" t="s">
        <v>3852</v>
      </c>
      <c r="H2752" s="33">
        <v>43252</v>
      </c>
      <c r="I2752" s="34" t="s">
        <v>4276</v>
      </c>
      <c r="J2752" s="36">
        <v>420</v>
      </c>
      <c r="K2752" t="s">
        <v>2030</v>
      </c>
    </row>
    <row r="2753" spans="1:11" x14ac:dyDescent="0.3">
      <c r="A2753" t="s">
        <v>817</v>
      </c>
      <c r="B2753" s="33">
        <v>43284</v>
      </c>
      <c r="C2753" s="34" t="s">
        <v>4174</v>
      </c>
      <c r="D2753" s="34">
        <v>4301</v>
      </c>
      <c r="E2753" s="35" t="s">
        <v>4175</v>
      </c>
      <c r="F2753" s="35" t="s">
        <v>42</v>
      </c>
      <c r="G2753" s="106" t="s">
        <v>3852</v>
      </c>
      <c r="H2753" s="33">
        <v>43252</v>
      </c>
      <c r="I2753" s="34" t="s">
        <v>4277</v>
      </c>
      <c r="J2753" s="36">
        <v>420</v>
      </c>
      <c r="K2753" t="s">
        <v>2030</v>
      </c>
    </row>
    <row r="2754" spans="1:11" x14ac:dyDescent="0.3">
      <c r="A2754" t="s">
        <v>817</v>
      </c>
      <c r="B2754" s="33">
        <v>43284</v>
      </c>
      <c r="C2754" s="34" t="s">
        <v>4174</v>
      </c>
      <c r="D2754" s="34">
        <v>4301</v>
      </c>
      <c r="E2754" s="35" t="s">
        <v>4175</v>
      </c>
      <c r="F2754" s="35" t="s">
        <v>6</v>
      </c>
      <c r="G2754" s="106" t="s">
        <v>3852</v>
      </c>
      <c r="H2754" s="33">
        <v>43252</v>
      </c>
      <c r="I2754" s="34" t="s">
        <v>4278</v>
      </c>
      <c r="J2754" s="36">
        <v>172.5</v>
      </c>
      <c r="K2754" t="s">
        <v>2030</v>
      </c>
    </row>
    <row r="2755" spans="1:11" x14ac:dyDescent="0.3">
      <c r="A2755" t="s">
        <v>817</v>
      </c>
      <c r="B2755" s="33">
        <v>43284</v>
      </c>
      <c r="C2755" s="34" t="s">
        <v>4174</v>
      </c>
      <c r="D2755" s="34">
        <v>4301</v>
      </c>
      <c r="E2755" s="35" t="s">
        <v>4175</v>
      </c>
      <c r="F2755" s="35" t="s">
        <v>44</v>
      </c>
      <c r="G2755" s="106" t="s">
        <v>3852</v>
      </c>
      <c r="H2755" s="33">
        <v>43252</v>
      </c>
      <c r="I2755" s="34" t="s">
        <v>4279</v>
      </c>
      <c r="J2755" s="36">
        <v>420</v>
      </c>
      <c r="K2755" t="s">
        <v>2030</v>
      </c>
    </row>
    <row r="2756" spans="1:11" x14ac:dyDescent="0.3">
      <c r="A2756" t="s">
        <v>817</v>
      </c>
      <c r="B2756" s="33">
        <v>43284</v>
      </c>
      <c r="C2756" s="34" t="s">
        <v>4174</v>
      </c>
      <c r="D2756" s="34">
        <v>4301</v>
      </c>
      <c r="E2756" s="35" t="s">
        <v>4175</v>
      </c>
      <c r="F2756" s="35" t="s">
        <v>43</v>
      </c>
      <c r="G2756" s="106" t="s">
        <v>3852</v>
      </c>
      <c r="H2756" s="33">
        <v>43252</v>
      </c>
      <c r="I2756" s="34" t="s">
        <v>4280</v>
      </c>
      <c r="J2756" s="36">
        <v>420</v>
      </c>
      <c r="K2756" t="s">
        <v>2030</v>
      </c>
    </row>
    <row r="2757" spans="1:11" x14ac:dyDescent="0.3">
      <c r="A2757" t="s">
        <v>817</v>
      </c>
      <c r="B2757" s="33">
        <v>43284</v>
      </c>
      <c r="C2757" s="34" t="s">
        <v>4174</v>
      </c>
      <c r="D2757" s="34">
        <v>4301</v>
      </c>
      <c r="E2757" s="35" t="s">
        <v>4175</v>
      </c>
      <c r="F2757" s="35" t="s">
        <v>95</v>
      </c>
      <c r="G2757" s="106" t="s">
        <v>3852</v>
      </c>
      <c r="H2757" s="33">
        <v>43252</v>
      </c>
      <c r="I2757" s="34" t="s">
        <v>4300</v>
      </c>
      <c r="J2757" s="36">
        <v>225</v>
      </c>
      <c r="K2757" t="s">
        <v>2030</v>
      </c>
    </row>
    <row r="2758" spans="1:11" x14ac:dyDescent="0.3">
      <c r="A2758" t="s">
        <v>817</v>
      </c>
      <c r="B2758" s="33">
        <v>43284</v>
      </c>
      <c r="C2758" s="34" t="s">
        <v>4174</v>
      </c>
      <c r="D2758" s="34">
        <v>4301</v>
      </c>
      <c r="E2758" s="35" t="s">
        <v>4175</v>
      </c>
      <c r="F2758" s="35" t="s">
        <v>102</v>
      </c>
      <c r="G2758" s="106" t="s">
        <v>3852</v>
      </c>
      <c r="H2758" s="33">
        <v>43252</v>
      </c>
      <c r="I2758" s="34" t="s">
        <v>4301</v>
      </c>
      <c r="J2758" s="36">
        <v>225</v>
      </c>
      <c r="K2758" t="s">
        <v>2030</v>
      </c>
    </row>
    <row r="2759" spans="1:11" x14ac:dyDescent="0.3">
      <c r="A2759" t="s">
        <v>817</v>
      </c>
      <c r="B2759" s="33">
        <v>43284</v>
      </c>
      <c r="C2759" s="34" t="s">
        <v>4174</v>
      </c>
      <c r="D2759" s="34">
        <v>4301</v>
      </c>
      <c r="E2759" s="35" t="s">
        <v>4175</v>
      </c>
      <c r="F2759" s="35" t="s">
        <v>99</v>
      </c>
      <c r="G2759" s="106" t="s">
        <v>3852</v>
      </c>
      <c r="H2759" s="33">
        <v>43252</v>
      </c>
      <c r="I2759" s="34" t="s">
        <v>4302</v>
      </c>
      <c r="J2759" s="36">
        <v>225</v>
      </c>
      <c r="K2759" t="s">
        <v>2030</v>
      </c>
    </row>
    <row r="2760" spans="1:11" x14ac:dyDescent="0.3">
      <c r="A2760" t="s">
        <v>817</v>
      </c>
      <c r="B2760" s="33">
        <v>43284</v>
      </c>
      <c r="C2760" s="34" t="s">
        <v>4174</v>
      </c>
      <c r="D2760" s="34">
        <v>4301</v>
      </c>
      <c r="E2760" s="35" t="s">
        <v>4175</v>
      </c>
      <c r="F2760" s="35" t="s">
        <v>101</v>
      </c>
      <c r="G2760" s="106" t="s">
        <v>3852</v>
      </c>
      <c r="H2760" s="33">
        <v>43252</v>
      </c>
      <c r="I2760" s="34" t="s">
        <v>4303</v>
      </c>
      <c r="J2760" s="36">
        <v>225</v>
      </c>
      <c r="K2760" t="s">
        <v>2030</v>
      </c>
    </row>
    <row r="2761" spans="1:11" x14ac:dyDescent="0.3">
      <c r="A2761" t="s">
        <v>817</v>
      </c>
      <c r="B2761" s="33">
        <v>43284</v>
      </c>
      <c r="C2761" s="34" t="s">
        <v>4174</v>
      </c>
      <c r="D2761" s="34">
        <v>4301</v>
      </c>
      <c r="E2761" s="35" t="s">
        <v>4175</v>
      </c>
      <c r="F2761" s="35" t="s">
        <v>97</v>
      </c>
      <c r="G2761" s="106" t="s">
        <v>3852</v>
      </c>
      <c r="H2761" s="33">
        <v>43252</v>
      </c>
      <c r="I2761" s="34" t="s">
        <v>4304</v>
      </c>
      <c r="J2761" s="36">
        <v>225</v>
      </c>
      <c r="K2761" t="s">
        <v>2030</v>
      </c>
    </row>
    <row r="2762" spans="1:11" x14ac:dyDescent="0.3">
      <c r="A2762" t="s">
        <v>817</v>
      </c>
      <c r="B2762" s="33">
        <v>43284</v>
      </c>
      <c r="C2762" s="34" t="s">
        <v>4174</v>
      </c>
      <c r="D2762" s="34">
        <v>4301</v>
      </c>
      <c r="E2762" s="35" t="s">
        <v>4175</v>
      </c>
      <c r="F2762" s="35" t="s">
        <v>96</v>
      </c>
      <c r="G2762" s="106" t="s">
        <v>3852</v>
      </c>
      <c r="H2762" s="33">
        <v>43252</v>
      </c>
      <c r="I2762" s="34" t="s">
        <v>4305</v>
      </c>
      <c r="J2762" s="36">
        <v>225</v>
      </c>
      <c r="K2762" t="s">
        <v>2030</v>
      </c>
    </row>
    <row r="2763" spans="1:11" x14ac:dyDescent="0.3">
      <c r="A2763" t="s">
        <v>817</v>
      </c>
      <c r="B2763" s="33">
        <v>43284</v>
      </c>
      <c r="C2763" s="34" t="s">
        <v>4174</v>
      </c>
      <c r="D2763" s="34">
        <v>4301</v>
      </c>
      <c r="E2763" s="35" t="s">
        <v>4175</v>
      </c>
      <c r="F2763" s="35" t="s">
        <v>100</v>
      </c>
      <c r="G2763" s="106" t="s">
        <v>3852</v>
      </c>
      <c r="H2763" s="33">
        <v>43252</v>
      </c>
      <c r="I2763" s="34" t="s">
        <v>4306</v>
      </c>
      <c r="J2763" s="36">
        <v>225</v>
      </c>
      <c r="K2763" t="s">
        <v>2030</v>
      </c>
    </row>
    <row r="2764" spans="1:11" x14ac:dyDescent="0.3">
      <c r="A2764" t="s">
        <v>817</v>
      </c>
      <c r="B2764" s="33">
        <v>43284</v>
      </c>
      <c r="C2764" s="34" t="s">
        <v>4174</v>
      </c>
      <c r="D2764" s="34">
        <v>4301</v>
      </c>
      <c r="E2764" s="35" t="s">
        <v>4175</v>
      </c>
      <c r="F2764" s="35" t="s">
        <v>90</v>
      </c>
      <c r="G2764" s="106" t="s">
        <v>3852</v>
      </c>
      <c r="H2764" s="33">
        <v>43252</v>
      </c>
      <c r="I2764" s="34" t="s">
        <v>4307</v>
      </c>
      <c r="J2764" s="36">
        <v>225</v>
      </c>
      <c r="K2764" t="s">
        <v>2030</v>
      </c>
    </row>
    <row r="2765" spans="1:11" x14ac:dyDescent="0.3">
      <c r="A2765" t="s">
        <v>817</v>
      </c>
      <c r="B2765" s="33">
        <v>43284</v>
      </c>
      <c r="C2765" s="34" t="s">
        <v>4174</v>
      </c>
      <c r="D2765" s="34">
        <v>4301</v>
      </c>
      <c r="E2765" s="35" t="s">
        <v>4175</v>
      </c>
      <c r="F2765" s="35" t="s">
        <v>94</v>
      </c>
      <c r="G2765" s="106" t="s">
        <v>3852</v>
      </c>
      <c r="H2765" s="33">
        <v>43252</v>
      </c>
      <c r="I2765" s="34" t="s">
        <v>4308</v>
      </c>
      <c r="J2765" s="36">
        <v>225</v>
      </c>
      <c r="K2765" t="s">
        <v>2030</v>
      </c>
    </row>
    <row r="2766" spans="1:11" x14ac:dyDescent="0.3">
      <c r="A2766" t="s">
        <v>817</v>
      </c>
      <c r="B2766" s="33">
        <v>43284</v>
      </c>
      <c r="C2766" s="34" t="s">
        <v>4174</v>
      </c>
      <c r="D2766" s="34">
        <v>4301</v>
      </c>
      <c r="E2766" s="35" t="s">
        <v>4175</v>
      </c>
      <c r="F2766" s="35" t="s">
        <v>92</v>
      </c>
      <c r="G2766" s="106" t="s">
        <v>3852</v>
      </c>
      <c r="H2766" s="33">
        <v>43252</v>
      </c>
      <c r="I2766" s="34" t="s">
        <v>4309</v>
      </c>
      <c r="J2766" s="36">
        <v>225</v>
      </c>
      <c r="K2766" t="s">
        <v>2030</v>
      </c>
    </row>
    <row r="2767" spans="1:11" x14ac:dyDescent="0.3">
      <c r="A2767" t="s">
        <v>817</v>
      </c>
      <c r="B2767" s="33">
        <v>43284</v>
      </c>
      <c r="C2767" s="34" t="s">
        <v>4174</v>
      </c>
      <c r="D2767" s="34">
        <v>4301</v>
      </c>
      <c r="E2767" s="35" t="s">
        <v>4175</v>
      </c>
      <c r="F2767" s="35" t="s">
        <v>88</v>
      </c>
      <c r="G2767" s="106" t="s">
        <v>3852</v>
      </c>
      <c r="H2767" s="33">
        <v>43252</v>
      </c>
      <c r="I2767" s="34" t="s">
        <v>4310</v>
      </c>
      <c r="J2767" s="36">
        <v>225</v>
      </c>
      <c r="K2767" t="s">
        <v>2030</v>
      </c>
    </row>
    <row r="2768" spans="1:11" x14ac:dyDescent="0.3">
      <c r="A2768" t="s">
        <v>817</v>
      </c>
      <c r="B2768" s="33">
        <v>43284</v>
      </c>
      <c r="C2768" s="34" t="s">
        <v>4174</v>
      </c>
      <c r="D2768" s="34">
        <v>4301</v>
      </c>
      <c r="E2768" s="35" t="s">
        <v>4175</v>
      </c>
      <c r="F2768" s="35" t="s">
        <v>91</v>
      </c>
      <c r="G2768" s="106" t="s">
        <v>3852</v>
      </c>
      <c r="H2768" s="33">
        <v>43252</v>
      </c>
      <c r="I2768" s="34" t="s">
        <v>4311</v>
      </c>
      <c r="J2768" s="36">
        <v>225</v>
      </c>
      <c r="K2768" t="s">
        <v>2030</v>
      </c>
    </row>
    <row r="2769" spans="1:11" x14ac:dyDescent="0.3">
      <c r="A2769" t="s">
        <v>817</v>
      </c>
      <c r="B2769" s="33">
        <v>43284</v>
      </c>
      <c r="C2769" s="34" t="s">
        <v>4174</v>
      </c>
      <c r="D2769" s="34">
        <v>4301</v>
      </c>
      <c r="E2769" s="35" t="s">
        <v>4175</v>
      </c>
      <c r="F2769" s="35" t="s">
        <v>87</v>
      </c>
      <c r="G2769" s="106" t="s">
        <v>3852</v>
      </c>
      <c r="H2769" s="33">
        <v>43252</v>
      </c>
      <c r="I2769" s="34" t="s">
        <v>4312</v>
      </c>
      <c r="J2769" s="36">
        <v>225</v>
      </c>
      <c r="K2769" t="s">
        <v>2030</v>
      </c>
    </row>
    <row r="2770" spans="1:11" x14ac:dyDescent="0.3">
      <c r="A2770" t="s">
        <v>817</v>
      </c>
      <c r="B2770" s="33">
        <v>43284</v>
      </c>
      <c r="C2770" s="34" t="s">
        <v>4174</v>
      </c>
      <c r="D2770" s="34">
        <v>4301</v>
      </c>
      <c r="E2770" s="35" t="s">
        <v>4175</v>
      </c>
      <c r="F2770" s="35" t="s">
        <v>8</v>
      </c>
      <c r="G2770" s="106" t="s">
        <v>3852</v>
      </c>
      <c r="H2770" s="33">
        <v>43252</v>
      </c>
      <c r="I2770" s="34" t="s">
        <v>4313</v>
      </c>
      <c r="J2770" s="36">
        <v>420</v>
      </c>
      <c r="K2770" t="s">
        <v>2030</v>
      </c>
    </row>
    <row r="2771" spans="1:11" x14ac:dyDescent="0.3">
      <c r="A2771" t="s">
        <v>817</v>
      </c>
      <c r="B2771" s="33">
        <v>43284</v>
      </c>
      <c r="C2771" s="34" t="s">
        <v>4174</v>
      </c>
      <c r="D2771" s="34">
        <v>4301</v>
      </c>
      <c r="E2771" s="35" t="s">
        <v>4175</v>
      </c>
      <c r="F2771" s="35" t="s">
        <v>86</v>
      </c>
      <c r="G2771" s="106" t="s">
        <v>3852</v>
      </c>
      <c r="H2771" s="33">
        <v>43252</v>
      </c>
      <c r="I2771" s="34" t="s">
        <v>4314</v>
      </c>
      <c r="J2771" s="36">
        <v>225</v>
      </c>
      <c r="K2771" t="s">
        <v>2030</v>
      </c>
    </row>
    <row r="2772" spans="1:11" x14ac:dyDescent="0.3">
      <c r="A2772" t="s">
        <v>817</v>
      </c>
      <c r="B2772" s="33">
        <v>43284</v>
      </c>
      <c r="C2772" s="34" t="s">
        <v>4174</v>
      </c>
      <c r="D2772" s="34">
        <v>4301</v>
      </c>
      <c r="E2772" s="35" t="s">
        <v>4175</v>
      </c>
      <c r="F2772" s="35" t="s">
        <v>89</v>
      </c>
      <c r="G2772" s="106" t="s">
        <v>3852</v>
      </c>
      <c r="H2772" s="33">
        <v>43252</v>
      </c>
      <c r="I2772" s="34" t="s">
        <v>4315</v>
      </c>
      <c r="J2772" s="36">
        <v>225</v>
      </c>
      <c r="K2772" t="s">
        <v>2030</v>
      </c>
    </row>
    <row r="2773" spans="1:11" x14ac:dyDescent="0.3">
      <c r="A2773" t="s">
        <v>817</v>
      </c>
      <c r="B2773" s="33">
        <v>43284</v>
      </c>
      <c r="C2773" s="34" t="s">
        <v>4174</v>
      </c>
      <c r="D2773" s="34">
        <v>4301</v>
      </c>
      <c r="E2773" s="35" t="s">
        <v>4175</v>
      </c>
      <c r="F2773" s="35" t="s">
        <v>85</v>
      </c>
      <c r="G2773" s="106" t="s">
        <v>3852</v>
      </c>
      <c r="H2773" s="33">
        <v>43252</v>
      </c>
      <c r="I2773" s="34" t="s">
        <v>4316</v>
      </c>
      <c r="J2773" s="36">
        <v>225</v>
      </c>
      <c r="K2773" t="s">
        <v>2030</v>
      </c>
    </row>
    <row r="2774" spans="1:11" x14ac:dyDescent="0.3">
      <c r="A2774" t="s">
        <v>817</v>
      </c>
      <c r="B2774" s="33">
        <v>43284</v>
      </c>
      <c r="C2774" s="34" t="s">
        <v>4174</v>
      </c>
      <c r="D2774" s="34">
        <v>4301</v>
      </c>
      <c r="E2774" s="35" t="s">
        <v>4175</v>
      </c>
      <c r="F2774" s="35" t="s">
        <v>78</v>
      </c>
      <c r="G2774" s="106" t="s">
        <v>3852</v>
      </c>
      <c r="H2774" s="33">
        <v>43252</v>
      </c>
      <c r="I2774" s="34" t="s">
        <v>4317</v>
      </c>
      <c r="J2774" s="36">
        <v>225</v>
      </c>
      <c r="K2774" t="s">
        <v>2030</v>
      </c>
    </row>
    <row r="2775" spans="1:11" x14ac:dyDescent="0.3">
      <c r="A2775" t="s">
        <v>817</v>
      </c>
      <c r="B2775" s="33">
        <v>43284</v>
      </c>
      <c r="C2775" s="34" t="s">
        <v>4174</v>
      </c>
      <c r="D2775" s="34">
        <v>4301</v>
      </c>
      <c r="E2775" s="35" t="s">
        <v>4175</v>
      </c>
      <c r="F2775" s="35" t="s">
        <v>80</v>
      </c>
      <c r="G2775" s="106" t="s">
        <v>3852</v>
      </c>
      <c r="H2775" s="33">
        <v>43252</v>
      </c>
      <c r="I2775" s="34" t="s">
        <v>4318</v>
      </c>
      <c r="J2775" s="36">
        <v>225</v>
      </c>
      <c r="K2775" t="s">
        <v>2030</v>
      </c>
    </row>
    <row r="2776" spans="1:11" x14ac:dyDescent="0.3">
      <c r="A2776" t="s">
        <v>817</v>
      </c>
      <c r="B2776" s="33">
        <v>43284</v>
      </c>
      <c r="C2776" s="34" t="s">
        <v>4174</v>
      </c>
      <c r="D2776" s="34">
        <v>4301</v>
      </c>
      <c r="E2776" s="35" t="s">
        <v>4175</v>
      </c>
      <c r="F2776" s="35" t="s">
        <v>82</v>
      </c>
      <c r="G2776" s="106" t="s">
        <v>3852</v>
      </c>
      <c r="H2776" s="33">
        <v>43252</v>
      </c>
      <c r="I2776" s="34" t="s">
        <v>4319</v>
      </c>
      <c r="J2776" s="36">
        <v>420</v>
      </c>
      <c r="K2776" t="s">
        <v>2030</v>
      </c>
    </row>
    <row r="2777" spans="1:11" x14ac:dyDescent="0.3">
      <c r="A2777" t="s">
        <v>817</v>
      </c>
      <c r="B2777" s="33">
        <v>43284</v>
      </c>
      <c r="C2777" s="34" t="s">
        <v>4174</v>
      </c>
      <c r="D2777" s="34">
        <v>4301</v>
      </c>
      <c r="E2777" s="35" t="s">
        <v>4175</v>
      </c>
      <c r="F2777" s="35" t="s">
        <v>79</v>
      </c>
      <c r="G2777" s="106" t="s">
        <v>3852</v>
      </c>
      <c r="H2777" s="33">
        <v>43252</v>
      </c>
      <c r="I2777" s="34" t="s">
        <v>4320</v>
      </c>
      <c r="J2777" s="36">
        <v>225</v>
      </c>
      <c r="K2777" t="s">
        <v>2030</v>
      </c>
    </row>
    <row r="2778" spans="1:11" x14ac:dyDescent="0.3">
      <c r="A2778" t="s">
        <v>817</v>
      </c>
      <c r="B2778" s="33">
        <v>43284</v>
      </c>
      <c r="C2778" s="34" t="s">
        <v>4174</v>
      </c>
      <c r="D2778" s="34">
        <v>4301</v>
      </c>
      <c r="E2778" s="35" t="s">
        <v>4175</v>
      </c>
      <c r="F2778" s="35" t="s">
        <v>77</v>
      </c>
      <c r="G2778" s="106" t="s">
        <v>3852</v>
      </c>
      <c r="H2778" s="33">
        <v>43252</v>
      </c>
      <c r="I2778" s="34" t="s">
        <v>4321</v>
      </c>
      <c r="J2778" s="36">
        <v>225</v>
      </c>
      <c r="K2778" t="s">
        <v>2030</v>
      </c>
    </row>
    <row r="2779" spans="1:11" x14ac:dyDescent="0.3">
      <c r="A2779" t="s">
        <v>817</v>
      </c>
      <c r="B2779" s="33">
        <v>43284</v>
      </c>
      <c r="C2779" s="34" t="s">
        <v>4174</v>
      </c>
      <c r="D2779" s="34">
        <v>4301</v>
      </c>
      <c r="E2779" s="35" t="s">
        <v>4175</v>
      </c>
      <c r="F2779" s="35" t="s">
        <v>84</v>
      </c>
      <c r="G2779" s="106" t="s">
        <v>3852</v>
      </c>
      <c r="H2779" s="33">
        <v>43252</v>
      </c>
      <c r="I2779" s="34" t="s">
        <v>4322</v>
      </c>
      <c r="J2779" s="36">
        <v>225</v>
      </c>
      <c r="K2779" t="s">
        <v>2030</v>
      </c>
    </row>
    <row r="2780" spans="1:11" x14ac:dyDescent="0.3">
      <c r="A2780" t="s">
        <v>817</v>
      </c>
      <c r="B2780" s="33">
        <v>43284</v>
      </c>
      <c r="C2780" s="34" t="s">
        <v>4174</v>
      </c>
      <c r="D2780" s="34">
        <v>4301</v>
      </c>
      <c r="E2780" s="35" t="s">
        <v>4175</v>
      </c>
      <c r="F2780" s="35" t="s">
        <v>81</v>
      </c>
      <c r="G2780" s="106" t="s">
        <v>3852</v>
      </c>
      <c r="H2780" s="33">
        <v>43252</v>
      </c>
      <c r="I2780" s="34" t="s">
        <v>4323</v>
      </c>
      <c r="J2780" s="36">
        <v>420</v>
      </c>
      <c r="K2780" t="s">
        <v>2030</v>
      </c>
    </row>
    <row r="2781" spans="1:11" x14ac:dyDescent="0.3">
      <c r="A2781" t="s">
        <v>817</v>
      </c>
      <c r="B2781" s="33">
        <v>43284</v>
      </c>
      <c r="C2781" s="34" t="s">
        <v>4174</v>
      </c>
      <c r="D2781" s="34">
        <v>4301</v>
      </c>
      <c r="E2781" s="35" t="s">
        <v>4175</v>
      </c>
      <c r="F2781" s="35" t="s">
        <v>67</v>
      </c>
      <c r="G2781" s="106" t="s">
        <v>3852</v>
      </c>
      <c r="H2781" s="33">
        <v>43252</v>
      </c>
      <c r="I2781" s="34" t="s">
        <v>4324</v>
      </c>
      <c r="J2781" s="36">
        <v>225</v>
      </c>
      <c r="K2781" t="s">
        <v>2030</v>
      </c>
    </row>
    <row r="2782" spans="1:11" x14ac:dyDescent="0.3">
      <c r="A2782" t="s">
        <v>817</v>
      </c>
      <c r="B2782" s="33">
        <v>43284</v>
      </c>
      <c r="C2782" s="34" t="s">
        <v>4174</v>
      </c>
      <c r="D2782" s="34">
        <v>4301</v>
      </c>
      <c r="E2782" s="35" t="s">
        <v>4175</v>
      </c>
      <c r="F2782" s="35" t="s">
        <v>69</v>
      </c>
      <c r="G2782" s="106" t="s">
        <v>3852</v>
      </c>
      <c r="H2782" s="33">
        <v>43252</v>
      </c>
      <c r="I2782" s="34" t="s">
        <v>4325</v>
      </c>
      <c r="J2782" s="36">
        <v>420</v>
      </c>
      <c r="K2782" t="s">
        <v>2030</v>
      </c>
    </row>
    <row r="2783" spans="1:11" x14ac:dyDescent="0.3">
      <c r="A2783" t="s">
        <v>817</v>
      </c>
      <c r="B2783" s="33">
        <v>43284</v>
      </c>
      <c r="C2783" s="34" t="s">
        <v>4174</v>
      </c>
      <c r="D2783" s="34">
        <v>4301</v>
      </c>
      <c r="E2783" s="35" t="s">
        <v>4175</v>
      </c>
      <c r="F2783" s="35" t="s">
        <v>72</v>
      </c>
      <c r="G2783" s="106" t="s">
        <v>3852</v>
      </c>
      <c r="H2783" s="33">
        <v>43252</v>
      </c>
      <c r="I2783" s="34" t="s">
        <v>4326</v>
      </c>
      <c r="J2783" s="36">
        <v>420</v>
      </c>
      <c r="K2783" t="s">
        <v>2030</v>
      </c>
    </row>
    <row r="2784" spans="1:11" x14ac:dyDescent="0.3">
      <c r="A2784" t="s">
        <v>817</v>
      </c>
      <c r="B2784" s="33">
        <v>43284</v>
      </c>
      <c r="C2784" s="34" t="s">
        <v>4174</v>
      </c>
      <c r="D2784" s="34">
        <v>4301</v>
      </c>
      <c r="E2784" s="35" t="s">
        <v>4175</v>
      </c>
      <c r="F2784" s="35" t="s">
        <v>70</v>
      </c>
      <c r="G2784" s="106" t="s">
        <v>3852</v>
      </c>
      <c r="H2784" s="33">
        <v>43252</v>
      </c>
      <c r="I2784" s="34" t="s">
        <v>4327</v>
      </c>
      <c r="J2784" s="36">
        <v>225</v>
      </c>
      <c r="K2784" t="s">
        <v>2030</v>
      </c>
    </row>
    <row r="2785" spans="1:11" x14ac:dyDescent="0.3">
      <c r="A2785" t="s">
        <v>817</v>
      </c>
      <c r="B2785" s="33">
        <v>43284</v>
      </c>
      <c r="C2785" s="34" t="s">
        <v>4174</v>
      </c>
      <c r="D2785" s="34">
        <v>4301</v>
      </c>
      <c r="E2785" s="35" t="s">
        <v>4175</v>
      </c>
      <c r="F2785" s="35" t="s">
        <v>73</v>
      </c>
      <c r="G2785" s="106" t="s">
        <v>3852</v>
      </c>
      <c r="H2785" s="33">
        <v>43252</v>
      </c>
      <c r="I2785" s="34" t="s">
        <v>4328</v>
      </c>
      <c r="J2785" s="36">
        <v>420</v>
      </c>
      <c r="K2785" t="s">
        <v>2030</v>
      </c>
    </row>
    <row r="2786" spans="1:11" x14ac:dyDescent="0.3">
      <c r="A2786" t="s">
        <v>817</v>
      </c>
      <c r="B2786" s="33">
        <v>43284</v>
      </c>
      <c r="C2786" s="34" t="s">
        <v>4174</v>
      </c>
      <c r="D2786" s="34">
        <v>4301</v>
      </c>
      <c r="E2786" s="35" t="s">
        <v>4175</v>
      </c>
      <c r="F2786" s="35" t="s">
        <v>76</v>
      </c>
      <c r="G2786" s="106" t="s">
        <v>3852</v>
      </c>
      <c r="H2786" s="33">
        <v>43252</v>
      </c>
      <c r="I2786" s="34" t="s">
        <v>4329</v>
      </c>
      <c r="J2786" s="36">
        <v>225</v>
      </c>
      <c r="K2786" t="s">
        <v>2030</v>
      </c>
    </row>
    <row r="2787" spans="1:11" x14ac:dyDescent="0.3">
      <c r="A2787" t="s">
        <v>817</v>
      </c>
      <c r="B2787" s="33">
        <v>43284</v>
      </c>
      <c r="C2787" s="34" t="s">
        <v>4174</v>
      </c>
      <c r="D2787" s="34">
        <v>4301</v>
      </c>
      <c r="E2787" s="35" t="s">
        <v>4175</v>
      </c>
      <c r="F2787" s="35" t="s">
        <v>75</v>
      </c>
      <c r="G2787" s="106" t="s">
        <v>3852</v>
      </c>
      <c r="H2787" s="33">
        <v>43252</v>
      </c>
      <c r="I2787" s="34" t="s">
        <v>4330</v>
      </c>
      <c r="J2787" s="36">
        <v>420</v>
      </c>
      <c r="K2787" t="s">
        <v>2030</v>
      </c>
    </row>
    <row r="2788" spans="1:11" x14ac:dyDescent="0.3">
      <c r="A2788" t="s">
        <v>817</v>
      </c>
      <c r="B2788" s="33">
        <v>43284</v>
      </c>
      <c r="C2788" s="34" t="s">
        <v>4174</v>
      </c>
      <c r="D2788" s="34">
        <v>4301</v>
      </c>
      <c r="E2788" s="35" t="s">
        <v>4175</v>
      </c>
      <c r="F2788" s="35" t="s">
        <v>74</v>
      </c>
      <c r="G2788" s="106" t="s">
        <v>3852</v>
      </c>
      <c r="H2788" s="33">
        <v>43252</v>
      </c>
      <c r="I2788" s="34" t="s">
        <v>4331</v>
      </c>
      <c r="J2788" s="36">
        <v>420</v>
      </c>
      <c r="K2788" t="s">
        <v>2030</v>
      </c>
    </row>
    <row r="2789" spans="1:11" x14ac:dyDescent="0.3">
      <c r="A2789" t="s">
        <v>817</v>
      </c>
      <c r="B2789" s="33">
        <v>43284</v>
      </c>
      <c r="C2789" s="34" t="s">
        <v>4174</v>
      </c>
      <c r="D2789" s="34">
        <v>4301</v>
      </c>
      <c r="E2789" s="35" t="s">
        <v>4175</v>
      </c>
      <c r="F2789" s="35" t="s">
        <v>71</v>
      </c>
      <c r="G2789" s="106" t="s">
        <v>3852</v>
      </c>
      <c r="H2789" s="33">
        <v>43252</v>
      </c>
      <c r="I2789" s="34" t="s">
        <v>4332</v>
      </c>
      <c r="J2789" s="36">
        <v>420</v>
      </c>
      <c r="K2789" t="s">
        <v>2030</v>
      </c>
    </row>
    <row r="2790" spans="1:11" x14ac:dyDescent="0.3">
      <c r="A2790" t="s">
        <v>817</v>
      </c>
      <c r="B2790" s="33">
        <v>43284</v>
      </c>
      <c r="C2790" s="34" t="s">
        <v>4174</v>
      </c>
      <c r="D2790" s="34">
        <v>4301</v>
      </c>
      <c r="E2790" s="35" t="s">
        <v>4175</v>
      </c>
      <c r="F2790" s="35" t="s">
        <v>64</v>
      </c>
      <c r="G2790" s="106" t="s">
        <v>3852</v>
      </c>
      <c r="H2790" s="33">
        <v>43252</v>
      </c>
      <c r="I2790" s="34" t="s">
        <v>4333</v>
      </c>
      <c r="J2790" s="36">
        <v>225</v>
      </c>
      <c r="K2790" t="s">
        <v>2030</v>
      </c>
    </row>
    <row r="2791" spans="1:11" x14ac:dyDescent="0.3">
      <c r="A2791" t="s">
        <v>817</v>
      </c>
      <c r="B2791" s="33">
        <v>43284</v>
      </c>
      <c r="C2791" s="34" t="s">
        <v>4174</v>
      </c>
      <c r="D2791" s="34">
        <v>4301</v>
      </c>
      <c r="E2791" s="35" t="s">
        <v>4175</v>
      </c>
      <c r="F2791" s="35" t="s">
        <v>7</v>
      </c>
      <c r="G2791" s="106" t="s">
        <v>3852</v>
      </c>
      <c r="H2791" s="33">
        <v>43252</v>
      </c>
      <c r="I2791" s="34" t="s">
        <v>4334</v>
      </c>
      <c r="J2791" s="36">
        <v>172.5</v>
      </c>
      <c r="K2791" t="s">
        <v>2030</v>
      </c>
    </row>
    <row r="2792" spans="1:11" x14ac:dyDescent="0.3">
      <c r="A2792" t="s">
        <v>817</v>
      </c>
      <c r="B2792" s="33">
        <v>43284</v>
      </c>
      <c r="C2792" s="34" t="s">
        <v>4174</v>
      </c>
      <c r="D2792" s="34">
        <v>4301</v>
      </c>
      <c r="E2792" s="35" t="s">
        <v>4175</v>
      </c>
      <c r="F2792" s="35" t="s">
        <v>68</v>
      </c>
      <c r="G2792" s="106" t="s">
        <v>3852</v>
      </c>
      <c r="H2792" s="33">
        <v>43252</v>
      </c>
      <c r="I2792" s="34" t="s">
        <v>4335</v>
      </c>
      <c r="J2792" s="36">
        <v>172.5</v>
      </c>
      <c r="K2792" t="s">
        <v>2030</v>
      </c>
    </row>
    <row r="2793" spans="1:11" x14ac:dyDescent="0.3">
      <c r="A2793" t="s">
        <v>817</v>
      </c>
      <c r="B2793" s="33">
        <v>43284</v>
      </c>
      <c r="C2793" s="34" t="s">
        <v>4174</v>
      </c>
      <c r="D2793" s="34">
        <v>4301</v>
      </c>
      <c r="E2793" s="35" t="s">
        <v>4175</v>
      </c>
      <c r="F2793" s="35" t="s">
        <v>65</v>
      </c>
      <c r="G2793" s="106" t="s">
        <v>3852</v>
      </c>
      <c r="H2793" s="33">
        <v>43252</v>
      </c>
      <c r="I2793" s="34" t="s">
        <v>4336</v>
      </c>
      <c r="J2793" s="36">
        <v>225</v>
      </c>
      <c r="K2793" t="s">
        <v>2030</v>
      </c>
    </row>
    <row r="2794" spans="1:11" x14ac:dyDescent="0.3">
      <c r="A2794" t="s">
        <v>817</v>
      </c>
      <c r="B2794" s="33">
        <v>43284</v>
      </c>
      <c r="C2794" s="34" t="s">
        <v>4174</v>
      </c>
      <c r="D2794" s="34">
        <v>4301</v>
      </c>
      <c r="E2794" s="35" t="s">
        <v>4175</v>
      </c>
      <c r="F2794" s="35" t="s">
        <v>66</v>
      </c>
      <c r="G2794" s="106" t="s">
        <v>3852</v>
      </c>
      <c r="H2794" s="33">
        <v>43252</v>
      </c>
      <c r="I2794" s="34" t="s">
        <v>4337</v>
      </c>
      <c r="J2794" s="36">
        <v>225</v>
      </c>
      <c r="K2794" t="s">
        <v>2030</v>
      </c>
    </row>
    <row r="2795" spans="1:11" x14ac:dyDescent="0.3">
      <c r="A2795" t="s">
        <v>817</v>
      </c>
      <c r="B2795" s="33">
        <v>43284</v>
      </c>
      <c r="C2795" s="34" t="s">
        <v>4174</v>
      </c>
      <c r="D2795" s="34">
        <v>4301</v>
      </c>
      <c r="E2795" s="35" t="s">
        <v>4175</v>
      </c>
      <c r="F2795" s="35" t="s">
        <v>61</v>
      </c>
      <c r="G2795" s="106" t="s">
        <v>3852</v>
      </c>
      <c r="H2795" s="33">
        <v>43252</v>
      </c>
      <c r="I2795" s="34" t="s">
        <v>4338</v>
      </c>
      <c r="J2795" s="36">
        <v>225</v>
      </c>
      <c r="K2795" t="s">
        <v>2030</v>
      </c>
    </row>
    <row r="2796" spans="1:11" x14ac:dyDescent="0.3">
      <c r="A2796" t="s">
        <v>817</v>
      </c>
      <c r="B2796" s="33">
        <v>43284</v>
      </c>
      <c r="C2796" s="34" t="s">
        <v>4174</v>
      </c>
      <c r="D2796" s="34">
        <v>4301</v>
      </c>
      <c r="E2796" s="35" t="s">
        <v>4175</v>
      </c>
      <c r="F2796" s="35" t="s">
        <v>63</v>
      </c>
      <c r="G2796" s="106" t="s">
        <v>3852</v>
      </c>
      <c r="H2796" s="33">
        <v>43252</v>
      </c>
      <c r="I2796" s="34" t="s">
        <v>4339</v>
      </c>
      <c r="J2796" s="36">
        <v>225</v>
      </c>
      <c r="K2796" t="s">
        <v>2030</v>
      </c>
    </row>
    <row r="2797" spans="1:11" x14ac:dyDescent="0.3">
      <c r="A2797" t="s">
        <v>817</v>
      </c>
      <c r="B2797" s="33">
        <v>43284</v>
      </c>
      <c r="C2797" s="34" t="s">
        <v>4174</v>
      </c>
      <c r="D2797" s="34">
        <v>4301</v>
      </c>
      <c r="E2797" s="35" t="s">
        <v>4175</v>
      </c>
      <c r="F2797" s="35" t="s">
        <v>62</v>
      </c>
      <c r="G2797" s="106" t="s">
        <v>3852</v>
      </c>
      <c r="H2797" s="33">
        <v>43252</v>
      </c>
      <c r="I2797" s="34" t="s">
        <v>4340</v>
      </c>
      <c r="J2797" s="36">
        <v>225</v>
      </c>
      <c r="K2797" t="s">
        <v>2030</v>
      </c>
    </row>
    <row r="2798" spans="1:11" x14ac:dyDescent="0.3">
      <c r="A2798" t="s">
        <v>817</v>
      </c>
      <c r="B2798" s="33">
        <v>43284</v>
      </c>
      <c r="C2798" s="34" t="s">
        <v>4174</v>
      </c>
      <c r="D2798" s="34">
        <v>4301</v>
      </c>
      <c r="E2798" s="35" t="s">
        <v>4281</v>
      </c>
      <c r="F2798" s="35" t="s">
        <v>22</v>
      </c>
      <c r="G2798" s="106" t="s">
        <v>3852</v>
      </c>
      <c r="H2798" s="33">
        <v>43221</v>
      </c>
      <c r="I2798" s="34" t="s">
        <v>4282</v>
      </c>
      <c r="J2798" s="36">
        <v>1600</v>
      </c>
      <c r="K2798" t="s">
        <v>2030</v>
      </c>
    </row>
    <row r="2799" spans="1:11" x14ac:dyDescent="0.3">
      <c r="A2799" t="s">
        <v>817</v>
      </c>
      <c r="B2799" s="33">
        <v>43284</v>
      </c>
      <c r="C2799" s="34" t="s">
        <v>4174</v>
      </c>
      <c r="D2799" s="34">
        <v>4301</v>
      </c>
      <c r="E2799" s="35" t="s">
        <v>4281</v>
      </c>
      <c r="F2799" s="35" t="s">
        <v>23</v>
      </c>
      <c r="G2799" s="106" t="s">
        <v>3852</v>
      </c>
      <c r="H2799" s="33">
        <v>43221</v>
      </c>
      <c r="I2799" s="34" t="s">
        <v>4283</v>
      </c>
      <c r="J2799" s="36">
        <v>90</v>
      </c>
      <c r="K2799" t="s">
        <v>2030</v>
      </c>
    </row>
    <row r="2800" spans="1:11" x14ac:dyDescent="0.3">
      <c r="A2800" t="s">
        <v>817</v>
      </c>
      <c r="B2800" s="33">
        <v>43284</v>
      </c>
      <c r="C2800" s="34" t="s">
        <v>4174</v>
      </c>
      <c r="D2800" s="34">
        <v>4301</v>
      </c>
      <c r="E2800" s="35" t="s">
        <v>4281</v>
      </c>
      <c r="F2800" s="35" t="s">
        <v>21</v>
      </c>
      <c r="G2800" s="106" t="s">
        <v>3852</v>
      </c>
      <c r="H2800" s="33">
        <v>43221</v>
      </c>
      <c r="I2800" s="34" t="s">
        <v>4284</v>
      </c>
      <c r="J2800" s="36">
        <v>275.8</v>
      </c>
      <c r="K2800" t="s">
        <v>2030</v>
      </c>
    </row>
    <row r="2801" spans="1:11" x14ac:dyDescent="0.3">
      <c r="A2801" t="s">
        <v>817</v>
      </c>
      <c r="B2801" s="33">
        <v>43284</v>
      </c>
      <c r="C2801" s="34" t="s">
        <v>4174</v>
      </c>
      <c r="D2801" s="34">
        <v>4301</v>
      </c>
      <c r="E2801" s="35" t="s">
        <v>4281</v>
      </c>
      <c r="F2801" s="35" t="s">
        <v>20</v>
      </c>
      <c r="G2801" s="106" t="s">
        <v>3852</v>
      </c>
      <c r="H2801" s="33">
        <v>43221</v>
      </c>
      <c r="I2801" s="34" t="s">
        <v>4285</v>
      </c>
      <c r="J2801" s="36">
        <v>90</v>
      </c>
      <c r="K2801" t="s">
        <v>2030</v>
      </c>
    </row>
    <row r="2802" spans="1:11" x14ac:dyDescent="0.3">
      <c r="A2802" t="s">
        <v>817</v>
      </c>
      <c r="B2802" s="33">
        <v>43284</v>
      </c>
      <c r="C2802" s="34" t="s">
        <v>4174</v>
      </c>
      <c r="D2802" s="34">
        <v>4301</v>
      </c>
      <c r="E2802" s="35" t="s">
        <v>4281</v>
      </c>
      <c r="F2802" s="35" t="s">
        <v>18</v>
      </c>
      <c r="G2802" s="106" t="s">
        <v>3852</v>
      </c>
      <c r="H2802" s="33">
        <v>43221</v>
      </c>
      <c r="I2802" s="34" t="s">
        <v>4286</v>
      </c>
      <c r="J2802" s="36">
        <v>275.8</v>
      </c>
      <c r="K2802" t="s">
        <v>2030</v>
      </c>
    </row>
    <row r="2803" spans="1:11" x14ac:dyDescent="0.3">
      <c r="A2803" t="s">
        <v>817</v>
      </c>
      <c r="B2803" s="33">
        <v>43284</v>
      </c>
      <c r="C2803" s="34" t="s">
        <v>4174</v>
      </c>
      <c r="D2803" s="34">
        <v>4301</v>
      </c>
      <c r="E2803" s="35" t="s">
        <v>4281</v>
      </c>
      <c r="F2803" s="35" t="s">
        <v>12</v>
      </c>
      <c r="G2803" s="106" t="s">
        <v>3852</v>
      </c>
      <c r="H2803" s="33">
        <v>43221</v>
      </c>
      <c r="I2803" s="34" t="s">
        <v>4287</v>
      </c>
      <c r="J2803" s="36">
        <v>285.64999999999998</v>
      </c>
      <c r="K2803" t="s">
        <v>2030</v>
      </c>
    </row>
    <row r="2804" spans="1:11" x14ac:dyDescent="0.3">
      <c r="A2804" t="s">
        <v>817</v>
      </c>
      <c r="B2804" s="33">
        <v>43284</v>
      </c>
      <c r="C2804" s="34" t="s">
        <v>4174</v>
      </c>
      <c r="D2804" s="34">
        <v>4301</v>
      </c>
      <c r="E2804" s="35" t="s">
        <v>4281</v>
      </c>
      <c r="F2804" s="35" t="s">
        <v>17</v>
      </c>
      <c r="G2804" s="106" t="s">
        <v>3852</v>
      </c>
      <c r="H2804" s="33">
        <v>43221</v>
      </c>
      <c r="I2804" s="34" t="s">
        <v>4288</v>
      </c>
      <c r="J2804" s="36">
        <v>90</v>
      </c>
      <c r="K2804" t="s">
        <v>2030</v>
      </c>
    </row>
    <row r="2805" spans="1:11" x14ac:dyDescent="0.3">
      <c r="A2805" t="s">
        <v>817</v>
      </c>
      <c r="B2805" s="33">
        <v>43284</v>
      </c>
      <c r="C2805" s="34" t="s">
        <v>4174</v>
      </c>
      <c r="D2805" s="34">
        <v>4301</v>
      </c>
      <c r="E2805" s="35" t="s">
        <v>4281</v>
      </c>
      <c r="F2805" s="35" t="s">
        <v>14</v>
      </c>
      <c r="G2805" s="106" t="s">
        <v>3852</v>
      </c>
      <c r="H2805" s="33">
        <v>43221</v>
      </c>
      <c r="I2805" s="34" t="s">
        <v>4289</v>
      </c>
      <c r="J2805" s="36">
        <v>90</v>
      </c>
      <c r="K2805" t="s">
        <v>2030</v>
      </c>
    </row>
    <row r="2806" spans="1:11" x14ac:dyDescent="0.3">
      <c r="A2806" t="s">
        <v>817</v>
      </c>
      <c r="B2806" s="33">
        <v>43284</v>
      </c>
      <c r="C2806" s="34" t="s">
        <v>4174</v>
      </c>
      <c r="D2806" s="34">
        <v>4301</v>
      </c>
      <c r="E2806" s="35" t="s">
        <v>4281</v>
      </c>
      <c r="F2806" s="35" t="s">
        <v>13</v>
      </c>
      <c r="G2806" s="106" t="s">
        <v>3852</v>
      </c>
      <c r="H2806" s="33">
        <v>43221</v>
      </c>
      <c r="I2806" s="34" t="s">
        <v>4290</v>
      </c>
      <c r="J2806" s="36">
        <v>1600</v>
      </c>
      <c r="K2806" t="s">
        <v>2030</v>
      </c>
    </row>
    <row r="2807" spans="1:11" x14ac:dyDescent="0.3">
      <c r="A2807" t="s">
        <v>817</v>
      </c>
      <c r="B2807" s="33">
        <v>43284</v>
      </c>
      <c r="C2807" s="34" t="s">
        <v>4174</v>
      </c>
      <c r="D2807" s="34">
        <v>4301</v>
      </c>
      <c r="E2807" s="35" t="s">
        <v>4281</v>
      </c>
      <c r="F2807" s="35" t="s">
        <v>19</v>
      </c>
      <c r="G2807" s="106" t="s">
        <v>3852</v>
      </c>
      <c r="H2807" s="33">
        <v>43221</v>
      </c>
      <c r="I2807" s="34" t="s">
        <v>4291</v>
      </c>
      <c r="J2807" s="36">
        <v>1600</v>
      </c>
      <c r="K2807" t="s">
        <v>2030</v>
      </c>
    </row>
    <row r="2808" spans="1:11" x14ac:dyDescent="0.3">
      <c r="A2808" t="s">
        <v>817</v>
      </c>
      <c r="B2808" s="33">
        <v>43284</v>
      </c>
      <c r="C2808" s="34" t="s">
        <v>4174</v>
      </c>
      <c r="D2808" s="34">
        <v>4301</v>
      </c>
      <c r="E2808" s="35" t="s">
        <v>4281</v>
      </c>
      <c r="F2808" s="35" t="s">
        <v>16</v>
      </c>
      <c r="G2808" s="106" t="s">
        <v>3852</v>
      </c>
      <c r="H2808" s="33">
        <v>43221</v>
      </c>
      <c r="I2808" s="34" t="s">
        <v>4292</v>
      </c>
      <c r="J2808" s="36">
        <v>1600</v>
      </c>
      <c r="K2808" t="s">
        <v>2030</v>
      </c>
    </row>
    <row r="2809" spans="1:11" x14ac:dyDescent="0.3">
      <c r="A2809" t="s">
        <v>817</v>
      </c>
      <c r="B2809" s="33">
        <v>43284</v>
      </c>
      <c r="C2809" s="34" t="s">
        <v>4174</v>
      </c>
      <c r="D2809" s="34">
        <v>4301</v>
      </c>
      <c r="E2809" s="35" t="s">
        <v>4281</v>
      </c>
      <c r="F2809" s="35" t="s">
        <v>15</v>
      </c>
      <c r="G2809" s="106" t="s">
        <v>3852</v>
      </c>
      <c r="H2809" s="33">
        <v>43221</v>
      </c>
      <c r="I2809" s="34" t="s">
        <v>4293</v>
      </c>
      <c r="J2809" s="36">
        <v>285.64999999999998</v>
      </c>
      <c r="K2809" t="s">
        <v>2030</v>
      </c>
    </row>
    <row r="2810" spans="1:11" x14ac:dyDescent="0.3">
      <c r="A2810" t="s">
        <v>817</v>
      </c>
      <c r="B2810" s="33">
        <v>43284</v>
      </c>
      <c r="C2810" s="34" t="s">
        <v>4174</v>
      </c>
      <c r="D2810" s="34">
        <v>4301</v>
      </c>
      <c r="E2810" s="35" t="s">
        <v>4281</v>
      </c>
      <c r="F2810" s="35" t="s">
        <v>7</v>
      </c>
      <c r="G2810" s="106" t="s">
        <v>3852</v>
      </c>
      <c r="H2810" s="33">
        <v>43221</v>
      </c>
      <c r="I2810" s="34" t="s">
        <v>4294</v>
      </c>
      <c r="J2810" s="36">
        <v>1600</v>
      </c>
      <c r="K2810" t="s">
        <v>2030</v>
      </c>
    </row>
    <row r="2811" spans="1:11" x14ac:dyDescent="0.3">
      <c r="A2811" t="s">
        <v>817</v>
      </c>
      <c r="B2811" s="33">
        <v>43284</v>
      </c>
      <c r="C2811" s="34" t="s">
        <v>4174</v>
      </c>
      <c r="D2811" s="34">
        <v>4301</v>
      </c>
      <c r="E2811" s="35" t="s">
        <v>4281</v>
      </c>
      <c r="F2811" s="35" t="s">
        <v>10</v>
      </c>
      <c r="G2811" s="106" t="s">
        <v>3852</v>
      </c>
      <c r="H2811" s="33">
        <v>43221</v>
      </c>
      <c r="I2811" s="34" t="s">
        <v>4295</v>
      </c>
      <c r="J2811" s="36">
        <v>1600</v>
      </c>
      <c r="K2811" t="s">
        <v>2030</v>
      </c>
    </row>
    <row r="2812" spans="1:11" x14ac:dyDescent="0.3">
      <c r="A2812" t="s">
        <v>817</v>
      </c>
      <c r="B2812" s="33">
        <v>43284</v>
      </c>
      <c r="C2812" s="34" t="s">
        <v>4174</v>
      </c>
      <c r="D2812" s="34">
        <v>4301</v>
      </c>
      <c r="E2812" s="35" t="s">
        <v>4281</v>
      </c>
      <c r="F2812" s="35" t="s">
        <v>9</v>
      </c>
      <c r="G2812" s="106" t="s">
        <v>3852</v>
      </c>
      <c r="H2812" s="33">
        <v>43221</v>
      </c>
      <c r="I2812" s="34" t="s">
        <v>4296</v>
      </c>
      <c r="J2812" s="36">
        <v>226.55</v>
      </c>
      <c r="K2812" t="s">
        <v>2030</v>
      </c>
    </row>
    <row r="2813" spans="1:11" x14ac:dyDescent="0.3">
      <c r="A2813" t="s">
        <v>817</v>
      </c>
      <c r="B2813" s="33">
        <v>43284</v>
      </c>
      <c r="C2813" s="34" t="s">
        <v>4174</v>
      </c>
      <c r="D2813" s="34">
        <v>4301</v>
      </c>
      <c r="E2813" s="35" t="s">
        <v>4281</v>
      </c>
      <c r="F2813" s="35" t="s">
        <v>6</v>
      </c>
      <c r="G2813" s="106" t="s">
        <v>3852</v>
      </c>
      <c r="H2813" s="33">
        <v>43221</v>
      </c>
      <c r="I2813" s="34" t="s">
        <v>4297</v>
      </c>
      <c r="J2813" s="36">
        <v>90</v>
      </c>
      <c r="K2813" t="s">
        <v>2030</v>
      </c>
    </row>
    <row r="2814" spans="1:11" x14ac:dyDescent="0.3">
      <c r="A2814" t="s">
        <v>817</v>
      </c>
      <c r="B2814" s="33">
        <v>43284</v>
      </c>
      <c r="C2814" s="34" t="s">
        <v>4174</v>
      </c>
      <c r="D2814" s="34">
        <v>4301</v>
      </c>
      <c r="E2814" s="35" t="s">
        <v>4281</v>
      </c>
      <c r="F2814" s="35" t="s">
        <v>8</v>
      </c>
      <c r="G2814" s="106" t="s">
        <v>3852</v>
      </c>
      <c r="H2814" s="33">
        <v>43221</v>
      </c>
      <c r="I2814" s="34" t="s">
        <v>4298</v>
      </c>
      <c r="J2814" s="36">
        <v>226.55</v>
      </c>
      <c r="K2814" t="s">
        <v>2030</v>
      </c>
    </row>
    <row r="2815" spans="1:11" x14ac:dyDescent="0.3">
      <c r="A2815" t="s">
        <v>817</v>
      </c>
      <c r="B2815" s="33">
        <v>43284</v>
      </c>
      <c r="C2815" s="34" t="s">
        <v>4174</v>
      </c>
      <c r="D2815" s="34">
        <v>4301</v>
      </c>
      <c r="E2815" s="35" t="s">
        <v>4281</v>
      </c>
      <c r="F2815" s="35" t="s">
        <v>11</v>
      </c>
      <c r="G2815" s="106" t="s">
        <v>3852</v>
      </c>
      <c r="H2815" s="33">
        <v>43221</v>
      </c>
      <c r="I2815" s="34" t="s">
        <v>4299</v>
      </c>
      <c r="J2815" s="36">
        <v>90</v>
      </c>
      <c r="K2815" t="s">
        <v>2030</v>
      </c>
    </row>
    <row r="2816" spans="1:11" x14ac:dyDescent="0.3">
      <c r="A2816" t="s">
        <v>817</v>
      </c>
      <c r="B2816" s="33">
        <v>43286</v>
      </c>
      <c r="C2816" s="34"/>
      <c r="D2816" s="34"/>
      <c r="E2816" s="35" t="s">
        <v>3748</v>
      </c>
      <c r="F2816" s="35"/>
      <c r="G2816" s="106" t="s">
        <v>3751</v>
      </c>
      <c r="H2816" s="33">
        <v>43252</v>
      </c>
      <c r="I2816" s="34" t="s">
        <v>2114</v>
      </c>
      <c r="J2816" s="36">
        <v>2700</v>
      </c>
      <c r="K2816" t="s">
        <v>2030</v>
      </c>
    </row>
    <row r="2817" spans="1:11" x14ac:dyDescent="0.3">
      <c r="A2817" t="s">
        <v>813</v>
      </c>
      <c r="B2817" s="33">
        <v>43286</v>
      </c>
      <c r="C2817" s="34" t="s">
        <v>4346</v>
      </c>
      <c r="D2817" s="34">
        <v>16</v>
      </c>
      <c r="E2817" s="35" t="s">
        <v>4347</v>
      </c>
      <c r="F2817" s="35" t="s">
        <v>6</v>
      </c>
      <c r="G2817" s="106" t="s">
        <v>4349</v>
      </c>
      <c r="H2817" s="33">
        <v>43101</v>
      </c>
      <c r="I2817" s="34" t="s">
        <v>2114</v>
      </c>
      <c r="J2817" s="118">
        <v>21770.99</v>
      </c>
      <c r="K2817" t="s">
        <v>2030</v>
      </c>
    </row>
    <row r="2818" spans="1:11" x14ac:dyDescent="0.3">
      <c r="A2818" t="s">
        <v>813</v>
      </c>
      <c r="B2818" s="33">
        <v>43286</v>
      </c>
      <c r="C2818" s="34" t="s">
        <v>4346</v>
      </c>
      <c r="D2818" s="34">
        <v>16</v>
      </c>
      <c r="E2818" s="35" t="s">
        <v>4348</v>
      </c>
      <c r="F2818" s="35" t="s">
        <v>6</v>
      </c>
      <c r="G2818" s="106" t="s">
        <v>4349</v>
      </c>
      <c r="H2818" s="33">
        <v>43132</v>
      </c>
      <c r="I2818" s="34" t="s">
        <v>2114</v>
      </c>
      <c r="J2818" s="118">
        <v>19664.12</v>
      </c>
      <c r="K2818" t="s">
        <v>2030</v>
      </c>
    </row>
    <row r="2819" spans="1:11" x14ac:dyDescent="0.3">
      <c r="A2819" t="s">
        <v>812</v>
      </c>
      <c r="B2819" s="33">
        <v>43286</v>
      </c>
      <c r="C2819" s="34" t="s">
        <v>2237</v>
      </c>
      <c r="D2819" s="34">
        <v>5405</v>
      </c>
      <c r="E2819" s="35" t="s">
        <v>4344</v>
      </c>
      <c r="F2819" s="35" t="s">
        <v>73</v>
      </c>
      <c r="G2819" s="106" t="s">
        <v>4345</v>
      </c>
      <c r="H2819" s="33">
        <v>43160</v>
      </c>
      <c r="I2819" s="34" t="s">
        <v>2114</v>
      </c>
      <c r="J2819" s="36">
        <v>90</v>
      </c>
      <c r="K2819" t="s">
        <v>2030</v>
      </c>
    </row>
    <row r="2820" spans="1:11" x14ac:dyDescent="0.3">
      <c r="A2820" t="s">
        <v>812</v>
      </c>
      <c r="B2820" s="33">
        <v>43286</v>
      </c>
      <c r="C2820" s="34" t="s">
        <v>2237</v>
      </c>
      <c r="D2820" s="34">
        <v>5405</v>
      </c>
      <c r="E2820" s="35" t="s">
        <v>4344</v>
      </c>
      <c r="F2820" s="35" t="s">
        <v>560</v>
      </c>
      <c r="G2820" s="106" t="s">
        <v>4345</v>
      </c>
      <c r="H2820" s="33">
        <v>43160</v>
      </c>
      <c r="I2820" s="34" t="s">
        <v>2114</v>
      </c>
      <c r="J2820" s="36">
        <v>180</v>
      </c>
      <c r="K2820" t="s">
        <v>2030</v>
      </c>
    </row>
    <row r="2821" spans="1:11" x14ac:dyDescent="0.3">
      <c r="A2821" t="s">
        <v>812</v>
      </c>
      <c r="B2821" s="33">
        <v>43286</v>
      </c>
      <c r="C2821" s="34" t="s">
        <v>2237</v>
      </c>
      <c r="D2821" s="34">
        <v>5405</v>
      </c>
      <c r="E2821" s="35" t="s">
        <v>4344</v>
      </c>
      <c r="F2821" s="35" t="s">
        <v>74</v>
      </c>
      <c r="G2821" s="106" t="s">
        <v>4345</v>
      </c>
      <c r="H2821" s="33">
        <v>43160</v>
      </c>
      <c r="I2821" s="34" t="s">
        <v>2114</v>
      </c>
      <c r="J2821" s="36">
        <v>160</v>
      </c>
      <c r="K2821" t="s">
        <v>2030</v>
      </c>
    </row>
    <row r="2822" spans="1:11" x14ac:dyDescent="0.3">
      <c r="A2822" t="s">
        <v>812</v>
      </c>
      <c r="B2822" s="33">
        <v>43286</v>
      </c>
      <c r="C2822" s="34" t="s">
        <v>2237</v>
      </c>
      <c r="D2822" s="34">
        <v>5405</v>
      </c>
      <c r="E2822" s="35" t="s">
        <v>4344</v>
      </c>
      <c r="F2822" s="35" t="s">
        <v>77</v>
      </c>
      <c r="G2822" s="106" t="s">
        <v>4345</v>
      </c>
      <c r="H2822" s="33">
        <v>43160</v>
      </c>
      <c r="I2822" s="34" t="s">
        <v>2114</v>
      </c>
      <c r="J2822" s="36">
        <v>90</v>
      </c>
      <c r="K2822" t="s">
        <v>2030</v>
      </c>
    </row>
    <row r="2823" spans="1:11" x14ac:dyDescent="0.3">
      <c r="A2823" t="s">
        <v>812</v>
      </c>
      <c r="B2823" s="33">
        <v>43286</v>
      </c>
      <c r="C2823" s="34" t="s">
        <v>2237</v>
      </c>
      <c r="D2823" s="34">
        <v>5405</v>
      </c>
      <c r="E2823" s="35" t="s">
        <v>4344</v>
      </c>
      <c r="F2823" s="35" t="s">
        <v>131</v>
      </c>
      <c r="G2823" s="106" t="s">
        <v>4345</v>
      </c>
      <c r="H2823" s="33">
        <v>43160</v>
      </c>
      <c r="I2823" s="34" t="s">
        <v>2114</v>
      </c>
      <c r="J2823" s="36">
        <v>263.5</v>
      </c>
      <c r="K2823" t="s">
        <v>2030</v>
      </c>
    </row>
    <row r="2824" spans="1:11" x14ac:dyDescent="0.3">
      <c r="A2824" t="s">
        <v>812</v>
      </c>
      <c r="B2824" s="33">
        <v>43286</v>
      </c>
      <c r="C2824" s="34" t="s">
        <v>2237</v>
      </c>
      <c r="D2824" s="34">
        <v>5405</v>
      </c>
      <c r="E2824" s="35" t="s">
        <v>4344</v>
      </c>
      <c r="F2824" s="35" t="s">
        <v>76</v>
      </c>
      <c r="G2824" s="106" t="s">
        <v>4345</v>
      </c>
      <c r="H2824" s="33">
        <v>43160</v>
      </c>
      <c r="I2824" s="34" t="s">
        <v>2114</v>
      </c>
      <c r="J2824" s="36">
        <v>160</v>
      </c>
      <c r="K2824" t="s">
        <v>2030</v>
      </c>
    </row>
    <row r="2825" spans="1:11" x14ac:dyDescent="0.3">
      <c r="A2825" t="s">
        <v>818</v>
      </c>
      <c r="B2825" s="33">
        <v>43286</v>
      </c>
      <c r="C2825" s="34"/>
      <c r="D2825" s="34"/>
      <c r="E2825" s="35" t="s">
        <v>2683</v>
      </c>
      <c r="F2825" s="35"/>
      <c r="G2825" s="106" t="s">
        <v>4343</v>
      </c>
      <c r="H2825" s="33">
        <v>43221</v>
      </c>
      <c r="I2825" s="34" t="s">
        <v>2114</v>
      </c>
      <c r="J2825" s="36">
        <v>10972.5</v>
      </c>
      <c r="K2825" t="s">
        <v>2030</v>
      </c>
    </row>
    <row r="2826" spans="1:11" x14ac:dyDescent="0.3">
      <c r="A2826" t="s">
        <v>818</v>
      </c>
      <c r="B2826" s="33">
        <v>43286</v>
      </c>
      <c r="C2826" s="34"/>
      <c r="D2826" s="34"/>
      <c r="E2826" s="35" t="s">
        <v>2682</v>
      </c>
      <c r="F2826" s="35"/>
      <c r="G2826" s="106" t="s">
        <v>4343</v>
      </c>
      <c r="H2826" s="33">
        <v>43221</v>
      </c>
      <c r="I2826" s="34" t="s">
        <v>2114</v>
      </c>
      <c r="J2826" s="36">
        <v>9603.5</v>
      </c>
      <c r="K2826" t="s">
        <v>2030</v>
      </c>
    </row>
    <row r="2827" spans="1:11" x14ac:dyDescent="0.3">
      <c r="A2827" t="s">
        <v>813</v>
      </c>
      <c r="B2827" s="33">
        <v>43286</v>
      </c>
      <c r="C2827" s="34" t="s">
        <v>4346</v>
      </c>
      <c r="D2827" s="34">
        <v>16</v>
      </c>
      <c r="E2827" s="35" t="s">
        <v>4350</v>
      </c>
      <c r="F2827" s="35" t="s">
        <v>27</v>
      </c>
      <c r="G2827" s="106" t="s">
        <v>4351</v>
      </c>
      <c r="H2827" s="33">
        <v>43252</v>
      </c>
      <c r="I2827" s="34" t="s">
        <v>2114</v>
      </c>
      <c r="J2827" s="36">
        <v>6360</v>
      </c>
      <c r="K2827" t="s">
        <v>2030</v>
      </c>
    </row>
    <row r="2828" spans="1:11" x14ac:dyDescent="0.3">
      <c r="A2828" t="s">
        <v>1550</v>
      </c>
      <c r="B2828" s="33">
        <v>43290</v>
      </c>
      <c r="C2828" s="34" t="s">
        <v>4352</v>
      </c>
      <c r="D2828" s="34">
        <v>16</v>
      </c>
      <c r="E2828" s="35" t="s">
        <v>4446</v>
      </c>
      <c r="F2828" s="35" t="s">
        <v>1441</v>
      </c>
      <c r="G2828" s="106" t="s">
        <v>3852</v>
      </c>
      <c r="H2828" s="33">
        <v>43256</v>
      </c>
      <c r="I2828" s="34" t="s">
        <v>4447</v>
      </c>
      <c r="J2828" s="36">
        <v>7500</v>
      </c>
      <c r="K2828" t="s">
        <v>2030</v>
      </c>
    </row>
    <row r="2829" spans="1:11" x14ac:dyDescent="0.3">
      <c r="A2829" t="s">
        <v>812</v>
      </c>
      <c r="B2829" s="33">
        <v>43290</v>
      </c>
      <c r="C2829" s="34" t="s">
        <v>2237</v>
      </c>
      <c r="D2829" s="34">
        <v>5405</v>
      </c>
      <c r="E2829" s="35" t="s">
        <v>5137</v>
      </c>
      <c r="F2829" s="35" t="s">
        <v>23</v>
      </c>
      <c r="G2829" s="106" t="s">
        <v>3852</v>
      </c>
      <c r="H2829" s="33">
        <v>42856</v>
      </c>
      <c r="I2829" s="34" t="s">
        <v>2114</v>
      </c>
      <c r="J2829" s="36">
        <v>248</v>
      </c>
      <c r="K2829" t="s">
        <v>2030</v>
      </c>
    </row>
    <row r="2830" spans="1:11" x14ac:dyDescent="0.3">
      <c r="A2830" t="s">
        <v>812</v>
      </c>
      <c r="B2830" s="33">
        <v>43290</v>
      </c>
      <c r="C2830" s="34" t="s">
        <v>2237</v>
      </c>
      <c r="D2830" s="34">
        <v>5405</v>
      </c>
      <c r="E2830" s="35" t="s">
        <v>5137</v>
      </c>
      <c r="F2830" s="35" t="s">
        <v>26</v>
      </c>
      <c r="G2830" s="106" t="s">
        <v>3852</v>
      </c>
      <c r="H2830" s="33">
        <v>42856</v>
      </c>
      <c r="I2830" s="34" t="s">
        <v>2114</v>
      </c>
      <c r="J2830" s="36">
        <v>248</v>
      </c>
      <c r="K2830" t="s">
        <v>2030</v>
      </c>
    </row>
    <row r="2831" spans="1:11" x14ac:dyDescent="0.3">
      <c r="A2831" t="s">
        <v>812</v>
      </c>
      <c r="B2831" s="33">
        <v>43290</v>
      </c>
      <c r="C2831" s="34" t="s">
        <v>2237</v>
      </c>
      <c r="D2831" s="34">
        <v>5405</v>
      </c>
      <c r="E2831" s="35" t="s">
        <v>5137</v>
      </c>
      <c r="F2831" s="35" t="s">
        <v>28</v>
      </c>
      <c r="G2831" s="106" t="s">
        <v>3852</v>
      </c>
      <c r="H2831" s="33">
        <v>42856</v>
      </c>
      <c r="I2831" s="34" t="s">
        <v>2114</v>
      </c>
      <c r="J2831" s="36">
        <v>248</v>
      </c>
      <c r="K2831" t="s">
        <v>2030</v>
      </c>
    </row>
    <row r="2832" spans="1:11" x14ac:dyDescent="0.3">
      <c r="A2832" t="s">
        <v>812</v>
      </c>
      <c r="B2832" s="33">
        <v>43290</v>
      </c>
      <c r="C2832" s="34" t="s">
        <v>2237</v>
      </c>
      <c r="D2832" s="34">
        <v>5405</v>
      </c>
      <c r="E2832" s="35" t="s">
        <v>5137</v>
      </c>
      <c r="F2832" s="35" t="s">
        <v>27</v>
      </c>
      <c r="G2832" s="106" t="s">
        <v>3852</v>
      </c>
      <c r="H2832" s="33">
        <v>42856</v>
      </c>
      <c r="I2832" s="34" t="s">
        <v>2114</v>
      </c>
      <c r="J2832" s="36">
        <v>248</v>
      </c>
      <c r="K2832" t="s">
        <v>2030</v>
      </c>
    </row>
    <row r="2833" spans="1:11" x14ac:dyDescent="0.3">
      <c r="A2833" t="s">
        <v>812</v>
      </c>
      <c r="B2833" s="33">
        <v>43290</v>
      </c>
      <c r="C2833" s="34" t="s">
        <v>2237</v>
      </c>
      <c r="D2833" s="34">
        <v>5405</v>
      </c>
      <c r="E2833" s="35" t="s">
        <v>5137</v>
      </c>
      <c r="F2833" s="35" t="s">
        <v>24</v>
      </c>
      <c r="G2833" s="106" t="s">
        <v>3852</v>
      </c>
      <c r="H2833" s="33">
        <v>42856</v>
      </c>
      <c r="I2833" s="34" t="s">
        <v>2114</v>
      </c>
      <c r="J2833" s="36">
        <v>248</v>
      </c>
      <c r="K2833" t="s">
        <v>2030</v>
      </c>
    </row>
    <row r="2834" spans="1:11" x14ac:dyDescent="0.3">
      <c r="A2834" t="s">
        <v>812</v>
      </c>
      <c r="B2834" s="33">
        <v>43290</v>
      </c>
      <c r="C2834" s="34" t="s">
        <v>2237</v>
      </c>
      <c r="D2834" s="34">
        <v>5405</v>
      </c>
      <c r="E2834" s="35" t="s">
        <v>5137</v>
      </c>
      <c r="F2834" s="35" t="s">
        <v>25</v>
      </c>
      <c r="G2834" s="106" t="s">
        <v>3852</v>
      </c>
      <c r="H2834" s="33">
        <v>42856</v>
      </c>
      <c r="I2834" s="34" t="s">
        <v>2114</v>
      </c>
      <c r="J2834" s="36">
        <v>248</v>
      </c>
      <c r="K2834" t="s">
        <v>2030</v>
      </c>
    </row>
    <row r="2835" spans="1:11" x14ac:dyDescent="0.3">
      <c r="A2835" t="s">
        <v>813</v>
      </c>
      <c r="B2835" s="33">
        <v>43290</v>
      </c>
      <c r="C2835" s="34" t="s">
        <v>4352</v>
      </c>
      <c r="D2835" s="34">
        <v>16</v>
      </c>
      <c r="E2835" s="35" t="s">
        <v>4350</v>
      </c>
      <c r="F2835" s="35" t="s">
        <v>28</v>
      </c>
      <c r="G2835" s="106" t="s">
        <v>4387</v>
      </c>
      <c r="H2835" s="33">
        <v>43252</v>
      </c>
      <c r="I2835" s="34" t="s">
        <v>4388</v>
      </c>
      <c r="J2835" s="36">
        <v>27000</v>
      </c>
      <c r="K2835" t="s">
        <v>2030</v>
      </c>
    </row>
    <row r="2836" spans="1:11" x14ac:dyDescent="0.3">
      <c r="A2836" t="s">
        <v>813</v>
      </c>
      <c r="B2836" s="33">
        <v>43290</v>
      </c>
      <c r="C2836" s="34" t="s">
        <v>4352</v>
      </c>
      <c r="D2836" s="34">
        <v>16</v>
      </c>
      <c r="E2836" s="35" t="s">
        <v>4350</v>
      </c>
      <c r="F2836" s="35" t="s">
        <v>10</v>
      </c>
      <c r="G2836" s="106" t="s">
        <v>4394</v>
      </c>
      <c r="H2836" s="33">
        <v>43252</v>
      </c>
      <c r="I2836" s="34" t="s">
        <v>4395</v>
      </c>
      <c r="J2836" s="36">
        <v>1140</v>
      </c>
      <c r="K2836" t="s">
        <v>2030</v>
      </c>
    </row>
    <row r="2837" spans="1:11" x14ac:dyDescent="0.3">
      <c r="A2837" t="s">
        <v>813</v>
      </c>
      <c r="B2837" s="33">
        <v>43290</v>
      </c>
      <c r="C2837" s="34" t="s">
        <v>4352</v>
      </c>
      <c r="D2837" s="34">
        <v>16</v>
      </c>
      <c r="E2837" s="35" t="s">
        <v>4350</v>
      </c>
      <c r="F2837" s="35" t="s">
        <v>8</v>
      </c>
      <c r="G2837" s="106" t="s">
        <v>4396</v>
      </c>
      <c r="H2837" s="33">
        <v>43252</v>
      </c>
      <c r="I2837" s="34" t="s">
        <v>4397</v>
      </c>
      <c r="J2837" s="36">
        <v>172.5</v>
      </c>
      <c r="K2837" t="s">
        <v>2030</v>
      </c>
    </row>
    <row r="2838" spans="1:11" x14ac:dyDescent="0.3">
      <c r="A2838" t="s">
        <v>813</v>
      </c>
      <c r="B2838" s="33">
        <v>43290</v>
      </c>
      <c r="C2838" s="34" t="s">
        <v>4352</v>
      </c>
      <c r="D2838" s="34">
        <v>16</v>
      </c>
      <c r="E2838" s="35" t="s">
        <v>4350</v>
      </c>
      <c r="F2838" s="35" t="s">
        <v>9</v>
      </c>
      <c r="G2838" s="106" t="s">
        <v>4398</v>
      </c>
      <c r="H2838" s="33">
        <v>43252</v>
      </c>
      <c r="I2838" s="34" t="s">
        <v>4399</v>
      </c>
      <c r="J2838" s="36">
        <v>11597.7</v>
      </c>
      <c r="K2838" t="s">
        <v>2030</v>
      </c>
    </row>
    <row r="2839" spans="1:11" x14ac:dyDescent="0.3">
      <c r="A2839" t="s">
        <v>813</v>
      </c>
      <c r="B2839" s="33">
        <v>43290</v>
      </c>
      <c r="C2839" s="34" t="s">
        <v>4352</v>
      </c>
      <c r="D2839" s="34">
        <v>16</v>
      </c>
      <c r="E2839" s="35" t="s">
        <v>4350</v>
      </c>
      <c r="F2839" s="35" t="s">
        <v>7</v>
      </c>
      <c r="G2839" s="106" t="s">
        <v>4400</v>
      </c>
      <c r="H2839" s="33">
        <v>43252</v>
      </c>
      <c r="I2839" s="34" t="s">
        <v>4401</v>
      </c>
      <c r="J2839" s="36">
        <v>24563.1</v>
      </c>
      <c r="K2839" t="s">
        <v>2030</v>
      </c>
    </row>
    <row r="2840" spans="1:11" x14ac:dyDescent="0.3">
      <c r="A2840" t="s">
        <v>813</v>
      </c>
      <c r="B2840" s="33">
        <v>43290</v>
      </c>
      <c r="C2840" s="34" t="s">
        <v>4352</v>
      </c>
      <c r="D2840" s="34">
        <v>16</v>
      </c>
      <c r="E2840" s="35" t="s">
        <v>4350</v>
      </c>
      <c r="F2840" s="35" t="s">
        <v>6</v>
      </c>
      <c r="G2840" s="106" t="s">
        <v>4349</v>
      </c>
      <c r="H2840" s="33">
        <v>43252</v>
      </c>
      <c r="I2840" s="34" t="s">
        <v>4402</v>
      </c>
      <c r="J2840" s="36">
        <v>21068.7</v>
      </c>
      <c r="K2840" t="s">
        <v>2030</v>
      </c>
    </row>
    <row r="2841" spans="1:11" x14ac:dyDescent="0.3">
      <c r="A2841" t="s">
        <v>813</v>
      </c>
      <c r="B2841" s="33">
        <v>43290</v>
      </c>
      <c r="C2841" s="34" t="s">
        <v>4352</v>
      </c>
      <c r="D2841" s="34">
        <v>16</v>
      </c>
      <c r="E2841" s="35" t="s">
        <v>4350</v>
      </c>
      <c r="F2841" s="35" t="s">
        <v>15</v>
      </c>
      <c r="G2841" s="106" t="s">
        <v>4403</v>
      </c>
      <c r="H2841" s="33">
        <v>43252</v>
      </c>
      <c r="I2841" s="34" t="s">
        <v>4404</v>
      </c>
      <c r="J2841" s="36">
        <v>8580</v>
      </c>
      <c r="K2841" t="s">
        <v>2030</v>
      </c>
    </row>
    <row r="2842" spans="1:11" x14ac:dyDescent="0.3">
      <c r="A2842" t="s">
        <v>813</v>
      </c>
      <c r="B2842" s="33">
        <v>43290</v>
      </c>
      <c r="C2842" s="34" t="s">
        <v>4352</v>
      </c>
      <c r="D2842" s="34">
        <v>16</v>
      </c>
      <c r="E2842" s="35" t="s">
        <v>4350</v>
      </c>
      <c r="F2842" s="35" t="s">
        <v>12</v>
      </c>
      <c r="G2842" s="106" t="s">
        <v>4405</v>
      </c>
      <c r="H2842" s="33">
        <v>43252</v>
      </c>
      <c r="I2842" s="34" t="s">
        <v>4406</v>
      </c>
      <c r="J2842" s="36">
        <v>517.5</v>
      </c>
      <c r="K2842" t="s">
        <v>2030</v>
      </c>
    </row>
    <row r="2843" spans="1:11" x14ac:dyDescent="0.3">
      <c r="A2843" t="s">
        <v>813</v>
      </c>
      <c r="B2843" s="33">
        <v>43290</v>
      </c>
      <c r="C2843" s="34" t="s">
        <v>4352</v>
      </c>
      <c r="D2843" s="34">
        <v>16</v>
      </c>
      <c r="E2843" s="35" t="s">
        <v>4350</v>
      </c>
      <c r="F2843" s="35" t="s">
        <v>13</v>
      </c>
      <c r="G2843" s="106" t="s">
        <v>4407</v>
      </c>
      <c r="H2843" s="33">
        <v>43252</v>
      </c>
      <c r="I2843" s="34" t="s">
        <v>4408</v>
      </c>
      <c r="J2843" s="36">
        <v>1935</v>
      </c>
      <c r="K2843" t="s">
        <v>2030</v>
      </c>
    </row>
    <row r="2844" spans="1:11" x14ac:dyDescent="0.3">
      <c r="A2844" t="s">
        <v>813</v>
      </c>
      <c r="B2844" s="33">
        <v>43290</v>
      </c>
      <c r="C2844" s="34" t="s">
        <v>4352</v>
      </c>
      <c r="D2844" s="34">
        <v>16</v>
      </c>
      <c r="E2844" s="35" t="s">
        <v>4350</v>
      </c>
      <c r="F2844" s="35" t="s">
        <v>14</v>
      </c>
      <c r="G2844" s="106" t="s">
        <v>4409</v>
      </c>
      <c r="H2844" s="33">
        <v>43252</v>
      </c>
      <c r="I2844" s="34" t="s">
        <v>4410</v>
      </c>
      <c r="J2844" s="36">
        <v>18160.8</v>
      </c>
      <c r="K2844" t="s">
        <v>2030</v>
      </c>
    </row>
    <row r="2845" spans="1:11" x14ac:dyDescent="0.3">
      <c r="A2845" t="s">
        <v>813</v>
      </c>
      <c r="B2845" s="33">
        <v>43290</v>
      </c>
      <c r="C2845" s="34" t="s">
        <v>4352</v>
      </c>
      <c r="D2845" s="34">
        <v>16</v>
      </c>
      <c r="E2845" s="35" t="s">
        <v>4350</v>
      </c>
      <c r="F2845" s="35" t="s">
        <v>11</v>
      </c>
      <c r="G2845" s="106" t="s">
        <v>4411</v>
      </c>
      <c r="H2845" s="33">
        <v>43252</v>
      </c>
      <c r="I2845" s="34" t="s">
        <v>4412</v>
      </c>
      <c r="J2845" s="36">
        <v>6900</v>
      </c>
      <c r="K2845" t="s">
        <v>2030</v>
      </c>
    </row>
    <row r="2846" spans="1:11" x14ac:dyDescent="0.3">
      <c r="A2846" t="s">
        <v>813</v>
      </c>
      <c r="B2846" s="33">
        <v>43290</v>
      </c>
      <c r="C2846" s="34" t="s">
        <v>4352</v>
      </c>
      <c r="D2846" s="34">
        <v>16</v>
      </c>
      <c r="E2846" s="35" t="s">
        <v>4350</v>
      </c>
      <c r="F2846" s="35" t="s">
        <v>18</v>
      </c>
      <c r="G2846" s="106" t="s">
        <v>4413</v>
      </c>
      <c r="H2846" s="33">
        <v>43252</v>
      </c>
      <c r="I2846" s="34" t="s">
        <v>4414</v>
      </c>
      <c r="J2846" s="36">
        <v>862.5</v>
      </c>
      <c r="K2846" t="s">
        <v>2030</v>
      </c>
    </row>
    <row r="2847" spans="1:11" x14ac:dyDescent="0.3">
      <c r="A2847" t="s">
        <v>813</v>
      </c>
      <c r="B2847" s="33">
        <v>43290</v>
      </c>
      <c r="C2847" s="34" t="s">
        <v>4352</v>
      </c>
      <c r="D2847" s="34">
        <v>16</v>
      </c>
      <c r="E2847" s="35" t="s">
        <v>4350</v>
      </c>
      <c r="F2847" s="35" t="s">
        <v>21</v>
      </c>
      <c r="G2847" s="106" t="s">
        <v>4415</v>
      </c>
      <c r="H2847" s="33">
        <v>43252</v>
      </c>
      <c r="I2847" s="34" t="s">
        <v>4416</v>
      </c>
      <c r="J2847" s="36">
        <v>870</v>
      </c>
      <c r="K2847" t="s">
        <v>2030</v>
      </c>
    </row>
    <row r="2848" spans="1:11" x14ac:dyDescent="0.3">
      <c r="A2848" t="s">
        <v>813</v>
      </c>
      <c r="B2848" s="33">
        <v>43290</v>
      </c>
      <c r="C2848" s="34" t="s">
        <v>4352</v>
      </c>
      <c r="D2848" s="34">
        <v>16</v>
      </c>
      <c r="E2848" s="35" t="s">
        <v>4350</v>
      </c>
      <c r="F2848" s="35" t="s">
        <v>17</v>
      </c>
      <c r="G2848" s="106" t="s">
        <v>4417</v>
      </c>
      <c r="H2848" s="33">
        <v>43252</v>
      </c>
      <c r="I2848" s="34" t="s">
        <v>4418</v>
      </c>
      <c r="J2848" s="36">
        <v>3000</v>
      </c>
      <c r="K2848" t="s">
        <v>2030</v>
      </c>
    </row>
    <row r="2849" spans="1:11" x14ac:dyDescent="0.3">
      <c r="A2849" t="s">
        <v>813</v>
      </c>
      <c r="B2849" s="33">
        <v>43290</v>
      </c>
      <c r="C2849" s="34" t="s">
        <v>4352</v>
      </c>
      <c r="D2849" s="34">
        <v>16</v>
      </c>
      <c r="E2849" s="35" t="s">
        <v>4350</v>
      </c>
      <c r="F2849" s="35" t="s">
        <v>16</v>
      </c>
      <c r="G2849" s="106" t="s">
        <v>4419</v>
      </c>
      <c r="H2849" s="33">
        <v>43252</v>
      </c>
      <c r="I2849" s="34" t="s">
        <v>4420</v>
      </c>
      <c r="J2849" s="36">
        <v>8122.5</v>
      </c>
      <c r="K2849" t="s">
        <v>2030</v>
      </c>
    </row>
    <row r="2850" spans="1:11" x14ac:dyDescent="0.3">
      <c r="A2850" t="s">
        <v>813</v>
      </c>
      <c r="B2850" s="33">
        <v>43290</v>
      </c>
      <c r="C2850" s="34" t="s">
        <v>4352</v>
      </c>
      <c r="D2850" s="34">
        <v>16</v>
      </c>
      <c r="E2850" s="35" t="s">
        <v>4350</v>
      </c>
      <c r="F2850" s="35" t="s">
        <v>19</v>
      </c>
      <c r="G2850" s="106" t="s">
        <v>4421</v>
      </c>
      <c r="H2850" s="33">
        <v>43252</v>
      </c>
      <c r="I2850" s="34" t="s">
        <v>4422</v>
      </c>
      <c r="J2850" s="36">
        <v>7245</v>
      </c>
      <c r="K2850" t="s">
        <v>2030</v>
      </c>
    </row>
    <row r="2851" spans="1:11" x14ac:dyDescent="0.3">
      <c r="A2851" t="s">
        <v>813</v>
      </c>
      <c r="B2851" s="33">
        <v>43290</v>
      </c>
      <c r="C2851" s="34" t="s">
        <v>4352</v>
      </c>
      <c r="D2851" s="34">
        <v>16</v>
      </c>
      <c r="E2851" s="35" t="s">
        <v>4350</v>
      </c>
      <c r="F2851" s="35" t="s">
        <v>23</v>
      </c>
      <c r="G2851" s="106" t="s">
        <v>4423</v>
      </c>
      <c r="H2851" s="33">
        <v>43252</v>
      </c>
      <c r="I2851" s="34" t="s">
        <v>4424</v>
      </c>
      <c r="J2851" s="36">
        <v>23964</v>
      </c>
      <c r="K2851" t="s">
        <v>2030</v>
      </c>
    </row>
    <row r="2852" spans="1:11" x14ac:dyDescent="0.3">
      <c r="A2852" t="s">
        <v>813</v>
      </c>
      <c r="B2852" s="33">
        <v>43290</v>
      </c>
      <c r="C2852" s="34" t="s">
        <v>4352</v>
      </c>
      <c r="D2852" s="34">
        <v>16</v>
      </c>
      <c r="E2852" s="35" t="s">
        <v>4350</v>
      </c>
      <c r="F2852" s="35" t="s">
        <v>22</v>
      </c>
      <c r="G2852" s="106" t="s">
        <v>4425</v>
      </c>
      <c r="H2852" s="33">
        <v>43252</v>
      </c>
      <c r="I2852" s="34" t="s">
        <v>4426</v>
      </c>
      <c r="J2852" s="36">
        <v>2037</v>
      </c>
      <c r="K2852" t="s">
        <v>2030</v>
      </c>
    </row>
    <row r="2853" spans="1:11" x14ac:dyDescent="0.3">
      <c r="A2853" t="s">
        <v>813</v>
      </c>
      <c r="B2853" s="33">
        <v>43290</v>
      </c>
      <c r="C2853" s="34" t="s">
        <v>4352</v>
      </c>
      <c r="D2853" s="34">
        <v>16</v>
      </c>
      <c r="E2853" s="35" t="s">
        <v>4350</v>
      </c>
      <c r="F2853" s="35" t="s">
        <v>25</v>
      </c>
      <c r="G2853" s="106" t="s">
        <v>4427</v>
      </c>
      <c r="H2853" s="33">
        <v>43252</v>
      </c>
      <c r="I2853" s="34" t="s">
        <v>4428</v>
      </c>
      <c r="J2853" s="36">
        <v>3072</v>
      </c>
      <c r="K2853" t="s">
        <v>2030</v>
      </c>
    </row>
    <row r="2854" spans="1:11" x14ac:dyDescent="0.3">
      <c r="A2854" t="s">
        <v>813</v>
      </c>
      <c r="B2854" s="33">
        <v>43290</v>
      </c>
      <c r="C2854" s="34" t="s">
        <v>4352</v>
      </c>
      <c r="D2854" s="34">
        <v>16</v>
      </c>
      <c r="E2854" s="35" t="s">
        <v>4350</v>
      </c>
      <c r="F2854" s="35" t="s">
        <v>24</v>
      </c>
      <c r="G2854" s="106" t="s">
        <v>4429</v>
      </c>
      <c r="H2854" s="33">
        <v>43252</v>
      </c>
      <c r="I2854" s="34" t="s">
        <v>4430</v>
      </c>
      <c r="J2854" s="36">
        <v>24563.1</v>
      </c>
      <c r="K2854" t="s">
        <v>2030</v>
      </c>
    </row>
    <row r="2855" spans="1:11" x14ac:dyDescent="0.3">
      <c r="A2855" t="s">
        <v>813</v>
      </c>
      <c r="B2855" s="33">
        <v>43290</v>
      </c>
      <c r="C2855" s="34" t="s">
        <v>4352</v>
      </c>
      <c r="D2855" s="34">
        <v>16</v>
      </c>
      <c r="E2855" s="35" t="s">
        <v>4350</v>
      </c>
      <c r="F2855" s="35" t="s">
        <v>20</v>
      </c>
      <c r="G2855" s="106" t="s">
        <v>4431</v>
      </c>
      <c r="H2855" s="33">
        <v>43252</v>
      </c>
      <c r="I2855" s="34" t="s">
        <v>4432</v>
      </c>
      <c r="J2855" s="36">
        <v>27416.799999999999</v>
      </c>
      <c r="K2855" t="s">
        <v>2030</v>
      </c>
    </row>
    <row r="2856" spans="1:11" x14ac:dyDescent="0.3">
      <c r="A2856" t="s">
        <v>813</v>
      </c>
      <c r="B2856" s="33">
        <v>43290</v>
      </c>
      <c r="C2856" s="34" t="s">
        <v>4352</v>
      </c>
      <c r="D2856" s="34">
        <v>16</v>
      </c>
      <c r="E2856" s="35" t="s">
        <v>4350</v>
      </c>
      <c r="F2856" s="35" t="s">
        <v>26</v>
      </c>
      <c r="G2856" s="106" t="s">
        <v>4433</v>
      </c>
      <c r="H2856" s="33">
        <v>43252</v>
      </c>
      <c r="I2856" s="34" t="s">
        <v>4434</v>
      </c>
      <c r="J2856" s="36">
        <v>4457.3999999999996</v>
      </c>
      <c r="K2856" t="s">
        <v>2030</v>
      </c>
    </row>
    <row r="2857" spans="1:11" x14ac:dyDescent="0.3">
      <c r="A2857" t="s">
        <v>1550</v>
      </c>
      <c r="B2857" s="33">
        <v>43290</v>
      </c>
      <c r="C2857" s="34" t="s">
        <v>4352</v>
      </c>
      <c r="D2857" s="34">
        <v>16</v>
      </c>
      <c r="E2857" s="35" t="s">
        <v>4353</v>
      </c>
      <c r="F2857" s="35" t="s">
        <v>1446</v>
      </c>
      <c r="G2857" s="106" t="s">
        <v>3852</v>
      </c>
      <c r="H2857" s="33">
        <v>43252</v>
      </c>
      <c r="I2857" s="34" t="s">
        <v>4354</v>
      </c>
      <c r="J2857" s="36">
        <v>172.5</v>
      </c>
      <c r="K2857" t="s">
        <v>2030</v>
      </c>
    </row>
    <row r="2858" spans="1:11" x14ac:dyDescent="0.3">
      <c r="A2858" t="s">
        <v>1550</v>
      </c>
      <c r="B2858" s="33">
        <v>43290</v>
      </c>
      <c r="C2858" s="34" t="s">
        <v>4352</v>
      </c>
      <c r="D2858" s="34">
        <v>16</v>
      </c>
      <c r="E2858" s="35" t="s">
        <v>4353</v>
      </c>
      <c r="F2858" s="35" t="s">
        <v>1445</v>
      </c>
      <c r="G2858" s="106" t="s">
        <v>3852</v>
      </c>
      <c r="H2858" s="33">
        <v>43252</v>
      </c>
      <c r="I2858" s="34" t="s">
        <v>4355</v>
      </c>
      <c r="J2858" s="36">
        <v>172.5</v>
      </c>
      <c r="K2858" t="s">
        <v>2030</v>
      </c>
    </row>
    <row r="2859" spans="1:11" x14ac:dyDescent="0.3">
      <c r="A2859" t="s">
        <v>1550</v>
      </c>
      <c r="B2859" s="33">
        <v>43290</v>
      </c>
      <c r="C2859" s="34" t="s">
        <v>4352</v>
      </c>
      <c r="D2859" s="34">
        <v>16</v>
      </c>
      <c r="E2859" s="35" t="s">
        <v>4353</v>
      </c>
      <c r="F2859" s="35" t="s">
        <v>1447</v>
      </c>
      <c r="G2859" s="106" t="s">
        <v>3852</v>
      </c>
      <c r="H2859" s="33">
        <v>43252</v>
      </c>
      <c r="I2859" s="34" t="s">
        <v>4356</v>
      </c>
      <c r="J2859" s="36">
        <v>172.5</v>
      </c>
      <c r="K2859" t="s">
        <v>2030</v>
      </c>
    </row>
    <row r="2860" spans="1:11" x14ac:dyDescent="0.3">
      <c r="A2860" t="s">
        <v>1550</v>
      </c>
      <c r="B2860" s="33">
        <v>43290</v>
      </c>
      <c r="C2860" s="34" t="s">
        <v>4352</v>
      </c>
      <c r="D2860" s="34">
        <v>16</v>
      </c>
      <c r="E2860" s="35" t="s">
        <v>4353</v>
      </c>
      <c r="F2860" s="35" t="s">
        <v>1448</v>
      </c>
      <c r="G2860" s="106" t="s">
        <v>3852</v>
      </c>
      <c r="H2860" s="33">
        <v>43252</v>
      </c>
      <c r="I2860" s="34" t="s">
        <v>4357</v>
      </c>
      <c r="J2860" s="36">
        <v>172.5</v>
      </c>
      <c r="K2860" t="s">
        <v>2030</v>
      </c>
    </row>
    <row r="2861" spans="1:11" x14ac:dyDescent="0.3">
      <c r="A2861" t="s">
        <v>1550</v>
      </c>
      <c r="B2861" s="33">
        <v>43290</v>
      </c>
      <c r="C2861" s="34" t="s">
        <v>4352</v>
      </c>
      <c r="D2861" s="34">
        <v>16</v>
      </c>
      <c r="E2861" s="35" t="s">
        <v>4353</v>
      </c>
      <c r="F2861" s="35" t="s">
        <v>1452</v>
      </c>
      <c r="G2861" s="106" t="s">
        <v>3852</v>
      </c>
      <c r="H2861" s="33">
        <v>43252</v>
      </c>
      <c r="I2861" s="34" t="s">
        <v>4358</v>
      </c>
      <c r="J2861" s="36">
        <v>172.5</v>
      </c>
      <c r="K2861" t="s">
        <v>2030</v>
      </c>
    </row>
    <row r="2862" spans="1:11" x14ac:dyDescent="0.3">
      <c r="A2862" t="s">
        <v>1550</v>
      </c>
      <c r="B2862" s="33">
        <v>43290</v>
      </c>
      <c r="C2862" s="34" t="s">
        <v>4352</v>
      </c>
      <c r="D2862" s="34">
        <v>16</v>
      </c>
      <c r="E2862" s="35" t="s">
        <v>4353</v>
      </c>
      <c r="F2862" s="35" t="s">
        <v>1449</v>
      </c>
      <c r="G2862" s="106" t="s">
        <v>3852</v>
      </c>
      <c r="H2862" s="33">
        <v>43252</v>
      </c>
      <c r="I2862" s="34" t="s">
        <v>4359</v>
      </c>
      <c r="J2862" s="36">
        <v>172.5</v>
      </c>
      <c r="K2862" t="s">
        <v>2030</v>
      </c>
    </row>
    <row r="2863" spans="1:11" x14ac:dyDescent="0.3">
      <c r="A2863" t="s">
        <v>1550</v>
      </c>
      <c r="B2863" s="33">
        <v>43290</v>
      </c>
      <c r="C2863" s="34" t="s">
        <v>4352</v>
      </c>
      <c r="D2863" s="34">
        <v>16</v>
      </c>
      <c r="E2863" s="35" t="s">
        <v>4353</v>
      </c>
      <c r="F2863" s="35" t="s">
        <v>1451</v>
      </c>
      <c r="G2863" s="106" t="s">
        <v>3852</v>
      </c>
      <c r="H2863" s="33">
        <v>43252</v>
      </c>
      <c r="I2863" s="34" t="s">
        <v>4360</v>
      </c>
      <c r="J2863" s="36">
        <v>172.5</v>
      </c>
      <c r="K2863" t="s">
        <v>2030</v>
      </c>
    </row>
    <row r="2864" spans="1:11" x14ac:dyDescent="0.3">
      <c r="A2864" t="s">
        <v>1550</v>
      </c>
      <c r="B2864" s="33">
        <v>43290</v>
      </c>
      <c r="C2864" s="34" t="s">
        <v>4352</v>
      </c>
      <c r="D2864" s="34">
        <v>16</v>
      </c>
      <c r="E2864" s="35" t="s">
        <v>4353</v>
      </c>
      <c r="F2864" s="35" t="s">
        <v>1457</v>
      </c>
      <c r="G2864" s="106" t="s">
        <v>3852</v>
      </c>
      <c r="H2864" s="33">
        <v>43252</v>
      </c>
      <c r="I2864" s="34" t="s">
        <v>4361</v>
      </c>
      <c r="J2864" s="36">
        <v>172.5</v>
      </c>
      <c r="K2864" t="s">
        <v>2030</v>
      </c>
    </row>
    <row r="2865" spans="1:11" x14ac:dyDescent="0.3">
      <c r="A2865" t="s">
        <v>1550</v>
      </c>
      <c r="B2865" s="33">
        <v>43290</v>
      </c>
      <c r="C2865" s="34" t="s">
        <v>4352</v>
      </c>
      <c r="D2865" s="34">
        <v>16</v>
      </c>
      <c r="E2865" s="35" t="s">
        <v>4353</v>
      </c>
      <c r="F2865" s="35" t="s">
        <v>1456</v>
      </c>
      <c r="G2865" s="106" t="s">
        <v>3852</v>
      </c>
      <c r="H2865" s="33">
        <v>43252</v>
      </c>
      <c r="I2865" s="34" t="s">
        <v>4362</v>
      </c>
      <c r="J2865" s="36">
        <v>172.5</v>
      </c>
      <c r="K2865" t="s">
        <v>2030</v>
      </c>
    </row>
    <row r="2866" spans="1:11" x14ac:dyDescent="0.3">
      <c r="A2866" t="s">
        <v>1550</v>
      </c>
      <c r="B2866" s="33">
        <v>43290</v>
      </c>
      <c r="C2866" s="34" t="s">
        <v>4352</v>
      </c>
      <c r="D2866" s="34">
        <v>16</v>
      </c>
      <c r="E2866" s="35" t="s">
        <v>4353</v>
      </c>
      <c r="F2866" s="35" t="s">
        <v>1454</v>
      </c>
      <c r="G2866" s="106" t="s">
        <v>3852</v>
      </c>
      <c r="H2866" s="33">
        <v>43252</v>
      </c>
      <c r="I2866" s="34" t="s">
        <v>4363</v>
      </c>
      <c r="J2866" s="36">
        <v>172.5</v>
      </c>
      <c r="K2866" t="s">
        <v>2030</v>
      </c>
    </row>
    <row r="2867" spans="1:11" x14ac:dyDescent="0.3">
      <c r="A2867" t="s">
        <v>1550</v>
      </c>
      <c r="B2867" s="33">
        <v>43290</v>
      </c>
      <c r="C2867" s="34" t="s">
        <v>4352</v>
      </c>
      <c r="D2867" s="34">
        <v>16</v>
      </c>
      <c r="E2867" s="35" t="s">
        <v>4353</v>
      </c>
      <c r="F2867" s="35" t="s">
        <v>1458</v>
      </c>
      <c r="G2867" s="106" t="s">
        <v>3852</v>
      </c>
      <c r="H2867" s="33">
        <v>43252</v>
      </c>
      <c r="I2867" s="34" t="s">
        <v>4364</v>
      </c>
      <c r="J2867" s="36">
        <v>172.5</v>
      </c>
      <c r="K2867" t="s">
        <v>2030</v>
      </c>
    </row>
    <row r="2868" spans="1:11" x14ac:dyDescent="0.3">
      <c r="A2868" t="s">
        <v>1550</v>
      </c>
      <c r="B2868" s="33">
        <v>43290</v>
      </c>
      <c r="C2868" s="34" t="s">
        <v>4352</v>
      </c>
      <c r="D2868" s="34">
        <v>16</v>
      </c>
      <c r="E2868" s="35" t="s">
        <v>4353</v>
      </c>
      <c r="F2868" s="35" t="s">
        <v>1453</v>
      </c>
      <c r="G2868" s="106" t="s">
        <v>3852</v>
      </c>
      <c r="H2868" s="33">
        <v>43252</v>
      </c>
      <c r="I2868" s="34" t="s">
        <v>4365</v>
      </c>
      <c r="J2868" s="36">
        <v>172.5</v>
      </c>
      <c r="K2868" t="s">
        <v>2030</v>
      </c>
    </row>
    <row r="2869" spans="1:11" x14ac:dyDescent="0.3">
      <c r="A2869" t="s">
        <v>1550</v>
      </c>
      <c r="B2869" s="33">
        <v>43290</v>
      </c>
      <c r="C2869" s="34" t="s">
        <v>4352</v>
      </c>
      <c r="D2869" s="34">
        <v>16</v>
      </c>
      <c r="E2869" s="35" t="s">
        <v>4353</v>
      </c>
      <c r="F2869" s="35" t="s">
        <v>1455</v>
      </c>
      <c r="G2869" s="106" t="s">
        <v>3852</v>
      </c>
      <c r="H2869" s="33">
        <v>43252</v>
      </c>
      <c r="I2869" s="34" t="s">
        <v>4366</v>
      </c>
      <c r="J2869" s="36">
        <v>172.5</v>
      </c>
      <c r="K2869" t="s">
        <v>2030</v>
      </c>
    </row>
    <row r="2870" spans="1:11" x14ac:dyDescent="0.3">
      <c r="A2870" t="s">
        <v>1550</v>
      </c>
      <c r="B2870" s="33">
        <v>43290</v>
      </c>
      <c r="C2870" s="34" t="s">
        <v>4352</v>
      </c>
      <c r="D2870" s="34">
        <v>16</v>
      </c>
      <c r="E2870" s="35" t="s">
        <v>4353</v>
      </c>
      <c r="F2870" s="35" t="s">
        <v>1459</v>
      </c>
      <c r="G2870" s="106" t="s">
        <v>3852</v>
      </c>
      <c r="H2870" s="33">
        <v>43252</v>
      </c>
      <c r="I2870" s="34" t="s">
        <v>4367</v>
      </c>
      <c r="J2870" s="36">
        <v>172.5</v>
      </c>
      <c r="K2870" t="s">
        <v>2030</v>
      </c>
    </row>
    <row r="2871" spans="1:11" x14ac:dyDescent="0.3">
      <c r="A2871" t="s">
        <v>1550</v>
      </c>
      <c r="B2871" s="33">
        <v>43290</v>
      </c>
      <c r="C2871" s="34" t="s">
        <v>4352</v>
      </c>
      <c r="D2871" s="34">
        <v>16</v>
      </c>
      <c r="E2871" s="35" t="s">
        <v>4353</v>
      </c>
      <c r="F2871" s="35" t="s">
        <v>1461</v>
      </c>
      <c r="G2871" s="106" t="s">
        <v>3852</v>
      </c>
      <c r="H2871" s="33">
        <v>43252</v>
      </c>
      <c r="I2871" s="34" t="s">
        <v>4368</v>
      </c>
      <c r="J2871" s="36">
        <v>172.5</v>
      </c>
      <c r="K2871" t="s">
        <v>2030</v>
      </c>
    </row>
    <row r="2872" spans="1:11" x14ac:dyDescent="0.3">
      <c r="A2872" t="s">
        <v>1550</v>
      </c>
      <c r="B2872" s="33">
        <v>43290</v>
      </c>
      <c r="C2872" s="34" t="s">
        <v>4352</v>
      </c>
      <c r="D2872" s="34">
        <v>16</v>
      </c>
      <c r="E2872" s="35" t="s">
        <v>4353</v>
      </c>
      <c r="F2872" s="35" t="s">
        <v>1460</v>
      </c>
      <c r="G2872" s="106" t="s">
        <v>3852</v>
      </c>
      <c r="H2872" s="33">
        <v>43252</v>
      </c>
      <c r="I2872" s="34" t="s">
        <v>4373</v>
      </c>
      <c r="J2872" s="36">
        <v>172.5</v>
      </c>
      <c r="K2872" t="s">
        <v>2030</v>
      </c>
    </row>
    <row r="2873" spans="1:11" x14ac:dyDescent="0.3">
      <c r="A2873" t="s">
        <v>1550</v>
      </c>
      <c r="B2873" s="33">
        <v>43290</v>
      </c>
      <c r="C2873" s="34" t="s">
        <v>4352</v>
      </c>
      <c r="D2873" s="34">
        <v>16</v>
      </c>
      <c r="E2873" s="35" t="s">
        <v>4353</v>
      </c>
      <c r="F2873" s="35" t="s">
        <v>1464</v>
      </c>
      <c r="G2873" s="106" t="s">
        <v>3852</v>
      </c>
      <c r="H2873" s="33">
        <v>43252</v>
      </c>
      <c r="I2873" s="34" t="s">
        <v>4389</v>
      </c>
      <c r="J2873" s="36">
        <v>172.5</v>
      </c>
      <c r="K2873" t="s">
        <v>2030</v>
      </c>
    </row>
    <row r="2874" spans="1:11" x14ac:dyDescent="0.3">
      <c r="A2874" t="s">
        <v>1550</v>
      </c>
      <c r="B2874" s="33">
        <v>43290</v>
      </c>
      <c r="C2874" s="34" t="s">
        <v>4352</v>
      </c>
      <c r="D2874" s="34">
        <v>16</v>
      </c>
      <c r="E2874" s="35" t="s">
        <v>4353</v>
      </c>
      <c r="F2874" s="35" t="s">
        <v>1463</v>
      </c>
      <c r="G2874" s="106" t="s">
        <v>3852</v>
      </c>
      <c r="H2874" s="33">
        <v>43252</v>
      </c>
      <c r="I2874" s="34" t="s">
        <v>4390</v>
      </c>
      <c r="J2874" s="36">
        <v>172.5</v>
      </c>
      <c r="K2874" t="s">
        <v>2030</v>
      </c>
    </row>
    <row r="2875" spans="1:11" x14ac:dyDescent="0.3">
      <c r="A2875" t="s">
        <v>1550</v>
      </c>
      <c r="B2875" s="33">
        <v>43290</v>
      </c>
      <c r="C2875" s="34" t="s">
        <v>4352</v>
      </c>
      <c r="D2875" s="34">
        <v>16</v>
      </c>
      <c r="E2875" s="35" t="s">
        <v>4353</v>
      </c>
      <c r="F2875" s="35" t="s">
        <v>1462</v>
      </c>
      <c r="G2875" s="106" t="s">
        <v>3852</v>
      </c>
      <c r="H2875" s="33">
        <v>43252</v>
      </c>
      <c r="I2875" s="34" t="s">
        <v>4391</v>
      </c>
      <c r="J2875" s="36">
        <v>172.5</v>
      </c>
      <c r="K2875" t="s">
        <v>2030</v>
      </c>
    </row>
    <row r="2876" spans="1:11" x14ac:dyDescent="0.3">
      <c r="A2876" t="s">
        <v>1550</v>
      </c>
      <c r="B2876" s="33">
        <v>43290</v>
      </c>
      <c r="C2876" s="34" t="s">
        <v>4352</v>
      </c>
      <c r="D2876" s="34">
        <v>16</v>
      </c>
      <c r="E2876" s="35" t="s">
        <v>4353</v>
      </c>
      <c r="F2876" s="35" t="s">
        <v>1450</v>
      </c>
      <c r="G2876" s="106" t="s">
        <v>3852</v>
      </c>
      <c r="H2876" s="33">
        <v>43252</v>
      </c>
      <c r="I2876" s="34" t="s">
        <v>4392</v>
      </c>
      <c r="J2876" s="36">
        <v>172.5</v>
      </c>
      <c r="K2876" t="s">
        <v>2030</v>
      </c>
    </row>
    <row r="2877" spans="1:11" x14ac:dyDescent="0.3">
      <c r="A2877" t="s">
        <v>1550</v>
      </c>
      <c r="B2877" s="33">
        <v>43290</v>
      </c>
      <c r="C2877" s="34" t="s">
        <v>4352</v>
      </c>
      <c r="D2877" s="34">
        <v>16</v>
      </c>
      <c r="E2877" s="35" t="s">
        <v>4353</v>
      </c>
      <c r="F2877" s="35" t="s">
        <v>1444</v>
      </c>
      <c r="G2877" s="106" t="s">
        <v>3852</v>
      </c>
      <c r="H2877" s="33">
        <v>43252</v>
      </c>
      <c r="I2877" s="34" t="s">
        <v>4393</v>
      </c>
      <c r="J2877" s="36">
        <v>172.5</v>
      </c>
      <c r="K2877" t="s">
        <v>2030</v>
      </c>
    </row>
    <row r="2878" spans="1:11" x14ac:dyDescent="0.3">
      <c r="A2878" t="s">
        <v>1550</v>
      </c>
      <c r="B2878" s="33">
        <v>43290</v>
      </c>
      <c r="C2878" s="34" t="s">
        <v>4352</v>
      </c>
      <c r="D2878" s="34">
        <v>16</v>
      </c>
      <c r="E2878" s="35" t="s">
        <v>4353</v>
      </c>
      <c r="F2878" s="35" t="s">
        <v>1442</v>
      </c>
      <c r="G2878" s="106" t="s">
        <v>3852</v>
      </c>
      <c r="H2878" s="33">
        <v>43252</v>
      </c>
      <c r="I2878" s="34" t="s">
        <v>4448</v>
      </c>
      <c r="J2878" s="36">
        <v>172.5</v>
      </c>
      <c r="K2878" t="s">
        <v>2030</v>
      </c>
    </row>
    <row r="2879" spans="1:11" x14ac:dyDescent="0.3">
      <c r="A2879" t="s">
        <v>1550</v>
      </c>
      <c r="B2879" s="33">
        <v>43290</v>
      </c>
      <c r="C2879" s="34" t="s">
        <v>4352</v>
      </c>
      <c r="D2879" s="34">
        <v>16</v>
      </c>
      <c r="E2879" s="35" t="s">
        <v>4353</v>
      </c>
      <c r="F2879" s="35" t="s">
        <v>1443</v>
      </c>
      <c r="G2879" s="106" t="s">
        <v>3852</v>
      </c>
      <c r="H2879" s="33">
        <v>43252</v>
      </c>
      <c r="I2879" s="34" t="s">
        <v>4449</v>
      </c>
      <c r="J2879" s="36">
        <v>172.5</v>
      </c>
      <c r="K2879" t="s">
        <v>2030</v>
      </c>
    </row>
    <row r="2880" spans="1:11" x14ac:dyDescent="0.3">
      <c r="A2880" t="s">
        <v>1550</v>
      </c>
      <c r="B2880" s="33">
        <v>43290</v>
      </c>
      <c r="C2880" s="34" t="s">
        <v>4450</v>
      </c>
      <c r="D2880" s="34">
        <v>2000</v>
      </c>
      <c r="E2880" s="35" t="s">
        <v>4353</v>
      </c>
      <c r="F2880" s="35" t="s">
        <v>1511</v>
      </c>
      <c r="G2880" s="106" t="s">
        <v>3852</v>
      </c>
      <c r="H2880" s="33">
        <v>43252</v>
      </c>
      <c r="I2880" s="34" t="s">
        <v>4451</v>
      </c>
      <c r="J2880" s="36">
        <v>172.5</v>
      </c>
      <c r="K2880" t="s">
        <v>2030</v>
      </c>
    </row>
    <row r="2881" spans="1:11" x14ac:dyDescent="0.3">
      <c r="A2881" t="s">
        <v>1550</v>
      </c>
      <c r="B2881" s="33">
        <v>43290</v>
      </c>
      <c r="C2881" s="34" t="s">
        <v>4450</v>
      </c>
      <c r="D2881" s="34">
        <v>2000</v>
      </c>
      <c r="E2881" s="35" t="s">
        <v>4353</v>
      </c>
      <c r="F2881" s="35" t="s">
        <v>1507</v>
      </c>
      <c r="G2881" s="106" t="s">
        <v>3852</v>
      </c>
      <c r="H2881" s="33">
        <v>43252</v>
      </c>
      <c r="I2881" s="34" t="s">
        <v>4452</v>
      </c>
      <c r="J2881" s="36">
        <v>172.5</v>
      </c>
      <c r="K2881" t="s">
        <v>2030</v>
      </c>
    </row>
    <row r="2882" spans="1:11" x14ac:dyDescent="0.3">
      <c r="A2882" t="s">
        <v>1550</v>
      </c>
      <c r="B2882" s="33">
        <v>43290</v>
      </c>
      <c r="C2882" s="34" t="s">
        <v>4450</v>
      </c>
      <c r="D2882" s="34">
        <v>2000</v>
      </c>
      <c r="E2882" s="35" t="s">
        <v>4353</v>
      </c>
      <c r="F2882" s="35" t="s">
        <v>1509</v>
      </c>
      <c r="G2882" s="106" t="s">
        <v>3852</v>
      </c>
      <c r="H2882" s="33">
        <v>43252</v>
      </c>
      <c r="I2882" s="34" t="s">
        <v>4453</v>
      </c>
      <c r="J2882" s="36">
        <v>172.5</v>
      </c>
      <c r="K2882" t="s">
        <v>2030</v>
      </c>
    </row>
    <row r="2883" spans="1:11" x14ac:dyDescent="0.3">
      <c r="A2883" t="s">
        <v>1550</v>
      </c>
      <c r="B2883" s="33">
        <v>43290</v>
      </c>
      <c r="C2883" s="34" t="s">
        <v>4450</v>
      </c>
      <c r="D2883" s="34">
        <v>2000</v>
      </c>
      <c r="E2883" s="35" t="s">
        <v>4353</v>
      </c>
      <c r="F2883" s="35" t="s">
        <v>1513</v>
      </c>
      <c r="G2883" s="106" t="s">
        <v>3852</v>
      </c>
      <c r="H2883" s="33">
        <v>43252</v>
      </c>
      <c r="I2883" s="34" t="s">
        <v>4454</v>
      </c>
      <c r="J2883" s="36">
        <v>172.5</v>
      </c>
      <c r="K2883" t="s">
        <v>2030</v>
      </c>
    </row>
    <row r="2884" spans="1:11" x14ac:dyDescent="0.3">
      <c r="A2884" t="s">
        <v>1550</v>
      </c>
      <c r="B2884" s="33">
        <v>43290</v>
      </c>
      <c r="C2884" s="34" t="s">
        <v>4450</v>
      </c>
      <c r="D2884" s="34">
        <v>2000</v>
      </c>
      <c r="E2884" s="35" t="s">
        <v>4353</v>
      </c>
      <c r="F2884" s="35" t="s">
        <v>1512</v>
      </c>
      <c r="G2884" s="106" t="s">
        <v>3852</v>
      </c>
      <c r="H2884" s="33">
        <v>43252</v>
      </c>
      <c r="I2884" s="34" t="s">
        <v>4455</v>
      </c>
      <c r="J2884" s="36">
        <v>172.5</v>
      </c>
      <c r="K2884" t="s">
        <v>2030</v>
      </c>
    </row>
    <row r="2885" spans="1:11" x14ac:dyDescent="0.3">
      <c r="A2885" t="s">
        <v>1550</v>
      </c>
      <c r="B2885" s="33">
        <v>43290</v>
      </c>
      <c r="C2885" s="34" t="s">
        <v>4450</v>
      </c>
      <c r="D2885" s="34">
        <v>2000</v>
      </c>
      <c r="E2885" s="35" t="s">
        <v>4353</v>
      </c>
      <c r="F2885" s="35" t="s">
        <v>1510</v>
      </c>
      <c r="G2885" s="106" t="s">
        <v>3852</v>
      </c>
      <c r="H2885" s="33">
        <v>43252</v>
      </c>
      <c r="I2885" s="34" t="s">
        <v>4456</v>
      </c>
      <c r="J2885" s="36">
        <v>172.5</v>
      </c>
      <c r="K2885" t="s">
        <v>2030</v>
      </c>
    </row>
    <row r="2886" spans="1:11" x14ac:dyDescent="0.3">
      <c r="A2886" t="s">
        <v>1550</v>
      </c>
      <c r="B2886" s="33">
        <v>43290</v>
      </c>
      <c r="C2886" s="34" t="s">
        <v>4450</v>
      </c>
      <c r="D2886" s="34">
        <v>2000</v>
      </c>
      <c r="E2886" s="35" t="s">
        <v>4353</v>
      </c>
      <c r="F2886" s="35" t="s">
        <v>1514</v>
      </c>
      <c r="G2886" s="106" t="s">
        <v>3852</v>
      </c>
      <c r="H2886" s="33">
        <v>43252</v>
      </c>
      <c r="I2886" s="34" t="s">
        <v>4457</v>
      </c>
      <c r="J2886" s="36">
        <v>172.5</v>
      </c>
      <c r="K2886" t="s">
        <v>2030</v>
      </c>
    </row>
    <row r="2887" spans="1:11" x14ac:dyDescent="0.3">
      <c r="A2887" t="s">
        <v>1550</v>
      </c>
      <c r="B2887" s="33">
        <v>43290</v>
      </c>
      <c r="C2887" s="34" t="s">
        <v>4450</v>
      </c>
      <c r="D2887" s="34">
        <v>2000</v>
      </c>
      <c r="E2887" s="35" t="s">
        <v>4353</v>
      </c>
      <c r="F2887" s="35" t="s">
        <v>1506</v>
      </c>
      <c r="G2887" s="106" t="s">
        <v>3852</v>
      </c>
      <c r="H2887" s="33">
        <v>43252</v>
      </c>
      <c r="I2887" s="34" t="s">
        <v>4458</v>
      </c>
      <c r="J2887" s="36">
        <v>172.5</v>
      </c>
      <c r="K2887" t="s">
        <v>2030</v>
      </c>
    </row>
    <row r="2888" spans="1:11" x14ac:dyDescent="0.3">
      <c r="A2888" t="s">
        <v>1550</v>
      </c>
      <c r="B2888" s="33">
        <v>43290</v>
      </c>
      <c r="C2888" s="34" t="s">
        <v>4450</v>
      </c>
      <c r="D2888" s="34">
        <v>2000</v>
      </c>
      <c r="E2888" s="35" t="s">
        <v>4353</v>
      </c>
      <c r="F2888" s="35" t="s">
        <v>1504</v>
      </c>
      <c r="G2888" s="106" t="s">
        <v>3852</v>
      </c>
      <c r="H2888" s="33">
        <v>43252</v>
      </c>
      <c r="I2888" s="34" t="s">
        <v>4459</v>
      </c>
      <c r="J2888" s="36">
        <v>172.5</v>
      </c>
      <c r="K2888" t="s">
        <v>2030</v>
      </c>
    </row>
    <row r="2889" spans="1:11" x14ac:dyDescent="0.3">
      <c r="A2889" t="s">
        <v>1550</v>
      </c>
      <c r="B2889" s="33">
        <v>43290</v>
      </c>
      <c r="C2889" s="34" t="s">
        <v>4450</v>
      </c>
      <c r="D2889" s="34">
        <v>2000</v>
      </c>
      <c r="E2889" s="35" t="s">
        <v>4353</v>
      </c>
      <c r="F2889" s="35" t="s">
        <v>1518</v>
      </c>
      <c r="G2889" s="106" t="s">
        <v>3852</v>
      </c>
      <c r="H2889" s="33">
        <v>43252</v>
      </c>
      <c r="I2889" s="34" t="s">
        <v>4460</v>
      </c>
      <c r="J2889" s="36">
        <v>172.5</v>
      </c>
      <c r="K2889" t="s">
        <v>2030</v>
      </c>
    </row>
    <row r="2890" spans="1:11" x14ac:dyDescent="0.3">
      <c r="A2890" t="s">
        <v>1550</v>
      </c>
      <c r="B2890" s="33">
        <v>43290</v>
      </c>
      <c r="C2890" s="34" t="s">
        <v>4450</v>
      </c>
      <c r="D2890" s="34">
        <v>2000</v>
      </c>
      <c r="E2890" s="35" t="s">
        <v>4353</v>
      </c>
      <c r="F2890" s="35" t="s">
        <v>1521</v>
      </c>
      <c r="G2890" s="106" t="s">
        <v>3852</v>
      </c>
      <c r="H2890" s="33">
        <v>43252</v>
      </c>
      <c r="I2890" s="34" t="s">
        <v>4461</v>
      </c>
      <c r="J2890" s="36">
        <v>172.5</v>
      </c>
      <c r="K2890" t="s">
        <v>2030</v>
      </c>
    </row>
    <row r="2891" spans="1:11" x14ac:dyDescent="0.3">
      <c r="A2891" t="s">
        <v>1550</v>
      </c>
      <c r="B2891" s="33">
        <v>43290</v>
      </c>
      <c r="C2891" s="34" t="s">
        <v>4450</v>
      </c>
      <c r="D2891" s="34">
        <v>2000</v>
      </c>
      <c r="E2891" s="35" t="s">
        <v>4353</v>
      </c>
      <c r="F2891" s="35" t="s">
        <v>1519</v>
      </c>
      <c r="G2891" s="106" t="s">
        <v>3852</v>
      </c>
      <c r="H2891" s="33">
        <v>43252</v>
      </c>
      <c r="I2891" s="34" t="s">
        <v>4462</v>
      </c>
      <c r="J2891" s="36">
        <v>172.5</v>
      </c>
      <c r="K2891" t="s">
        <v>2030</v>
      </c>
    </row>
    <row r="2892" spans="1:11" x14ac:dyDescent="0.3">
      <c r="A2892" t="s">
        <v>1550</v>
      </c>
      <c r="B2892" s="33">
        <v>43290</v>
      </c>
      <c r="C2892" s="34" t="s">
        <v>4450</v>
      </c>
      <c r="D2892" s="34">
        <v>2000</v>
      </c>
      <c r="E2892" s="35" t="s">
        <v>4353</v>
      </c>
      <c r="F2892" s="35" t="s">
        <v>1517</v>
      </c>
      <c r="G2892" s="106" t="s">
        <v>3852</v>
      </c>
      <c r="H2892" s="33">
        <v>43252</v>
      </c>
      <c r="I2892" s="34" t="s">
        <v>4463</v>
      </c>
      <c r="J2892" s="36">
        <v>172.5</v>
      </c>
      <c r="K2892" t="s">
        <v>2030</v>
      </c>
    </row>
    <row r="2893" spans="1:11" x14ac:dyDescent="0.3">
      <c r="A2893" t="s">
        <v>1550</v>
      </c>
      <c r="B2893" s="33">
        <v>43290</v>
      </c>
      <c r="C2893" s="34" t="s">
        <v>4450</v>
      </c>
      <c r="D2893" s="34">
        <v>2000</v>
      </c>
      <c r="E2893" s="35" t="s">
        <v>4353</v>
      </c>
      <c r="F2893" s="35" t="s">
        <v>1520</v>
      </c>
      <c r="G2893" s="106" t="s">
        <v>3852</v>
      </c>
      <c r="H2893" s="33">
        <v>43252</v>
      </c>
      <c r="I2893" s="34" t="s">
        <v>4464</v>
      </c>
      <c r="J2893" s="36">
        <v>172.5</v>
      </c>
      <c r="K2893" t="s">
        <v>2030</v>
      </c>
    </row>
    <row r="2894" spans="1:11" x14ac:dyDescent="0.3">
      <c r="A2894" t="s">
        <v>1550</v>
      </c>
      <c r="B2894" s="33">
        <v>43290</v>
      </c>
      <c r="C2894" s="34" t="s">
        <v>4450</v>
      </c>
      <c r="D2894" s="34">
        <v>2000</v>
      </c>
      <c r="E2894" s="35" t="s">
        <v>4353</v>
      </c>
      <c r="F2894" s="35" t="s">
        <v>1516</v>
      </c>
      <c r="G2894" s="106" t="s">
        <v>3852</v>
      </c>
      <c r="H2894" s="33">
        <v>43252</v>
      </c>
      <c r="I2894" s="34" t="s">
        <v>4465</v>
      </c>
      <c r="J2894" s="36">
        <v>172.5</v>
      </c>
      <c r="K2894" t="s">
        <v>2030</v>
      </c>
    </row>
    <row r="2895" spans="1:11" x14ac:dyDescent="0.3">
      <c r="A2895" t="s">
        <v>1550</v>
      </c>
      <c r="B2895" s="33">
        <v>43290</v>
      </c>
      <c r="C2895" s="34" t="s">
        <v>4450</v>
      </c>
      <c r="D2895" s="34">
        <v>2000</v>
      </c>
      <c r="E2895" s="35" t="s">
        <v>4353</v>
      </c>
      <c r="F2895" s="35" t="s">
        <v>1523</v>
      </c>
      <c r="G2895" s="106" t="s">
        <v>3852</v>
      </c>
      <c r="H2895" s="33">
        <v>43252</v>
      </c>
      <c r="I2895" s="34" t="s">
        <v>4466</v>
      </c>
      <c r="J2895" s="36">
        <v>172.5</v>
      </c>
      <c r="K2895" t="s">
        <v>2030</v>
      </c>
    </row>
    <row r="2896" spans="1:11" x14ac:dyDescent="0.3">
      <c r="A2896" t="s">
        <v>1550</v>
      </c>
      <c r="B2896" s="33">
        <v>43290</v>
      </c>
      <c r="C2896" s="34" t="s">
        <v>4450</v>
      </c>
      <c r="D2896" s="34">
        <v>2000</v>
      </c>
      <c r="E2896" s="35" t="s">
        <v>4353</v>
      </c>
      <c r="F2896" s="35" t="s">
        <v>1525</v>
      </c>
      <c r="G2896" s="106" t="s">
        <v>3852</v>
      </c>
      <c r="H2896" s="33">
        <v>43252</v>
      </c>
      <c r="I2896" s="34" t="s">
        <v>4467</v>
      </c>
      <c r="J2896" s="36">
        <v>172.5</v>
      </c>
      <c r="K2896" t="s">
        <v>2030</v>
      </c>
    </row>
    <row r="2897" spans="1:11" x14ac:dyDescent="0.3">
      <c r="A2897" t="s">
        <v>1550</v>
      </c>
      <c r="B2897" s="33">
        <v>43290</v>
      </c>
      <c r="C2897" s="34" t="s">
        <v>4450</v>
      </c>
      <c r="D2897" s="34">
        <v>2000</v>
      </c>
      <c r="E2897" s="35" t="s">
        <v>4353</v>
      </c>
      <c r="F2897" s="35" t="s">
        <v>1515</v>
      </c>
      <c r="G2897" s="106" t="s">
        <v>3852</v>
      </c>
      <c r="H2897" s="33">
        <v>43252</v>
      </c>
      <c r="I2897" s="34" t="s">
        <v>4468</v>
      </c>
      <c r="J2897" s="36">
        <v>172.5</v>
      </c>
      <c r="K2897" t="s">
        <v>2030</v>
      </c>
    </row>
    <row r="2898" spans="1:11" x14ac:dyDescent="0.3">
      <c r="A2898" t="s">
        <v>1550</v>
      </c>
      <c r="B2898" s="33">
        <v>43290</v>
      </c>
      <c r="C2898" s="34" t="s">
        <v>4450</v>
      </c>
      <c r="D2898" s="34">
        <v>2000</v>
      </c>
      <c r="E2898" s="35" t="s">
        <v>4353</v>
      </c>
      <c r="F2898" s="35" t="s">
        <v>1522</v>
      </c>
      <c r="G2898" s="106" t="s">
        <v>3852</v>
      </c>
      <c r="H2898" s="33">
        <v>43252</v>
      </c>
      <c r="I2898" s="34" t="s">
        <v>4469</v>
      </c>
      <c r="J2898" s="36">
        <v>172.5</v>
      </c>
      <c r="K2898" t="s">
        <v>2030</v>
      </c>
    </row>
    <row r="2899" spans="1:11" x14ac:dyDescent="0.3">
      <c r="A2899" t="s">
        <v>1550</v>
      </c>
      <c r="B2899" s="33">
        <v>43290</v>
      </c>
      <c r="C2899" s="34" t="s">
        <v>4450</v>
      </c>
      <c r="D2899" s="34">
        <v>2000</v>
      </c>
      <c r="E2899" s="35" t="s">
        <v>4353</v>
      </c>
      <c r="F2899" s="35" t="s">
        <v>1528</v>
      </c>
      <c r="G2899" s="106" t="s">
        <v>3852</v>
      </c>
      <c r="H2899" s="33">
        <v>43252</v>
      </c>
      <c r="I2899" s="34" t="s">
        <v>4470</v>
      </c>
      <c r="J2899" s="36">
        <v>172.5</v>
      </c>
      <c r="K2899" t="s">
        <v>2030</v>
      </c>
    </row>
    <row r="2900" spans="1:11" x14ac:dyDescent="0.3">
      <c r="A2900" t="s">
        <v>1550</v>
      </c>
      <c r="B2900" s="33">
        <v>43290</v>
      </c>
      <c r="C2900" s="34" t="s">
        <v>4450</v>
      </c>
      <c r="D2900" s="34">
        <v>2000</v>
      </c>
      <c r="E2900" s="35" t="s">
        <v>4353</v>
      </c>
      <c r="F2900" s="35" t="s">
        <v>1527</v>
      </c>
      <c r="G2900" s="106" t="s">
        <v>3852</v>
      </c>
      <c r="H2900" s="33">
        <v>43252</v>
      </c>
      <c r="I2900" s="34" t="s">
        <v>4471</v>
      </c>
      <c r="J2900" s="36">
        <v>172.5</v>
      </c>
      <c r="K2900" t="s">
        <v>2030</v>
      </c>
    </row>
    <row r="2901" spans="1:11" x14ac:dyDescent="0.3">
      <c r="A2901" t="s">
        <v>1550</v>
      </c>
      <c r="B2901" s="33">
        <v>43290</v>
      </c>
      <c r="C2901" s="34" t="s">
        <v>4450</v>
      </c>
      <c r="D2901" s="34">
        <v>2000</v>
      </c>
      <c r="E2901" s="35" t="s">
        <v>4353</v>
      </c>
      <c r="F2901" s="35" t="s">
        <v>1524</v>
      </c>
      <c r="G2901" s="106" t="s">
        <v>3852</v>
      </c>
      <c r="H2901" s="33">
        <v>43252</v>
      </c>
      <c r="I2901" s="34" t="s">
        <v>4472</v>
      </c>
      <c r="J2901" s="36">
        <v>172.5</v>
      </c>
      <c r="K2901" t="s">
        <v>2030</v>
      </c>
    </row>
    <row r="2902" spans="1:11" x14ac:dyDescent="0.3">
      <c r="A2902" t="s">
        <v>1550</v>
      </c>
      <c r="B2902" s="33">
        <v>43290</v>
      </c>
      <c r="C2902" s="34" t="s">
        <v>4450</v>
      </c>
      <c r="D2902" s="34">
        <v>2000</v>
      </c>
      <c r="E2902" s="35" t="s">
        <v>4353</v>
      </c>
      <c r="F2902" s="35" t="s">
        <v>1526</v>
      </c>
      <c r="G2902" s="106" t="s">
        <v>3852</v>
      </c>
      <c r="H2902" s="33">
        <v>43252</v>
      </c>
      <c r="I2902" s="34" t="s">
        <v>4473</v>
      </c>
      <c r="J2902" s="36">
        <v>172.5</v>
      </c>
      <c r="K2902" t="s">
        <v>2030</v>
      </c>
    </row>
    <row r="2903" spans="1:11" x14ac:dyDescent="0.3">
      <c r="A2903" t="s">
        <v>1550</v>
      </c>
      <c r="B2903" s="33">
        <v>43290</v>
      </c>
      <c r="C2903" s="34" t="s">
        <v>4450</v>
      </c>
      <c r="D2903" s="34">
        <v>2000</v>
      </c>
      <c r="E2903" s="35" t="s">
        <v>4353</v>
      </c>
      <c r="F2903" s="35" t="s">
        <v>1532</v>
      </c>
      <c r="G2903" s="106" t="s">
        <v>3852</v>
      </c>
      <c r="H2903" s="33">
        <v>43252</v>
      </c>
      <c r="I2903" s="34" t="s">
        <v>4474</v>
      </c>
      <c r="J2903" s="36">
        <v>172.5</v>
      </c>
      <c r="K2903" t="s">
        <v>2030</v>
      </c>
    </row>
    <row r="2904" spans="1:11" x14ac:dyDescent="0.3">
      <c r="A2904" t="s">
        <v>1550</v>
      </c>
      <c r="B2904" s="33">
        <v>43290</v>
      </c>
      <c r="C2904" s="34" t="s">
        <v>4450</v>
      </c>
      <c r="D2904" s="34">
        <v>2000</v>
      </c>
      <c r="E2904" s="35" t="s">
        <v>4353</v>
      </c>
      <c r="F2904" s="35" t="s">
        <v>35</v>
      </c>
      <c r="G2904" s="106" t="s">
        <v>3852</v>
      </c>
      <c r="H2904" s="33">
        <v>43252</v>
      </c>
      <c r="I2904" s="34" t="s">
        <v>4475</v>
      </c>
      <c r="J2904" s="36">
        <v>172.5</v>
      </c>
      <c r="K2904" t="s">
        <v>2030</v>
      </c>
    </row>
    <row r="2905" spans="1:11" x14ac:dyDescent="0.3">
      <c r="A2905" t="s">
        <v>1550</v>
      </c>
      <c r="B2905" s="33">
        <v>43290</v>
      </c>
      <c r="C2905" s="34" t="s">
        <v>4450</v>
      </c>
      <c r="D2905" s="34">
        <v>2000</v>
      </c>
      <c r="E2905" s="35" t="s">
        <v>4353</v>
      </c>
      <c r="F2905" s="35" t="s">
        <v>1533</v>
      </c>
      <c r="G2905" s="106" t="s">
        <v>3852</v>
      </c>
      <c r="H2905" s="33">
        <v>43252</v>
      </c>
      <c r="I2905" s="34" t="s">
        <v>4476</v>
      </c>
      <c r="J2905" s="36">
        <v>172.5</v>
      </c>
      <c r="K2905" t="s">
        <v>2030</v>
      </c>
    </row>
    <row r="2906" spans="1:11" x14ac:dyDescent="0.3">
      <c r="A2906" t="s">
        <v>1550</v>
      </c>
      <c r="B2906" s="33">
        <v>43290</v>
      </c>
      <c r="C2906" s="34" t="s">
        <v>4450</v>
      </c>
      <c r="D2906" s="34">
        <v>2000</v>
      </c>
      <c r="E2906" s="35" t="s">
        <v>4353</v>
      </c>
      <c r="F2906" s="35" t="s">
        <v>1537</v>
      </c>
      <c r="G2906" s="106" t="s">
        <v>3852</v>
      </c>
      <c r="H2906" s="33">
        <v>43252</v>
      </c>
      <c r="I2906" s="34" t="s">
        <v>4479</v>
      </c>
      <c r="J2906" s="36">
        <v>172.5</v>
      </c>
      <c r="K2906" t="s">
        <v>2030</v>
      </c>
    </row>
    <row r="2907" spans="1:11" x14ac:dyDescent="0.3">
      <c r="A2907" t="s">
        <v>1550</v>
      </c>
      <c r="B2907" s="33">
        <v>43290</v>
      </c>
      <c r="C2907" s="34" t="s">
        <v>4450</v>
      </c>
      <c r="D2907" s="34">
        <v>2000</v>
      </c>
      <c r="E2907" s="35" t="s">
        <v>4353</v>
      </c>
      <c r="F2907" s="35" t="s">
        <v>1539</v>
      </c>
      <c r="G2907" s="106" t="s">
        <v>3852</v>
      </c>
      <c r="H2907" s="33">
        <v>43252</v>
      </c>
      <c r="I2907" s="34" t="s">
        <v>4480</v>
      </c>
      <c r="J2907" s="36">
        <v>172.5</v>
      </c>
      <c r="K2907" t="s">
        <v>2030</v>
      </c>
    </row>
    <row r="2908" spans="1:11" x14ac:dyDescent="0.3">
      <c r="A2908" t="s">
        <v>1550</v>
      </c>
      <c r="B2908" s="33">
        <v>43290</v>
      </c>
      <c r="C2908" s="34" t="s">
        <v>4450</v>
      </c>
      <c r="D2908" s="34">
        <v>2000</v>
      </c>
      <c r="E2908" s="35" t="s">
        <v>4353</v>
      </c>
      <c r="F2908" s="35" t="s">
        <v>1540</v>
      </c>
      <c r="G2908" s="106" t="s">
        <v>3852</v>
      </c>
      <c r="H2908" s="33">
        <v>43252</v>
      </c>
      <c r="I2908" s="34" t="s">
        <v>4481</v>
      </c>
      <c r="J2908" s="36">
        <v>172.5</v>
      </c>
      <c r="K2908" t="s">
        <v>2030</v>
      </c>
    </row>
    <row r="2909" spans="1:11" x14ac:dyDescent="0.3">
      <c r="A2909" t="s">
        <v>1550</v>
      </c>
      <c r="B2909" s="33">
        <v>43290</v>
      </c>
      <c r="C2909" s="34" t="s">
        <v>4450</v>
      </c>
      <c r="D2909" s="34">
        <v>2000</v>
      </c>
      <c r="E2909" s="35" t="s">
        <v>4353</v>
      </c>
      <c r="F2909" s="35" t="s">
        <v>1534</v>
      </c>
      <c r="G2909" s="106" t="s">
        <v>3852</v>
      </c>
      <c r="H2909" s="33">
        <v>43252</v>
      </c>
      <c r="I2909" s="34" t="s">
        <v>4482</v>
      </c>
      <c r="J2909" s="36">
        <v>172.5</v>
      </c>
      <c r="K2909" t="s">
        <v>2030</v>
      </c>
    </row>
    <row r="2910" spans="1:11" x14ac:dyDescent="0.3">
      <c r="A2910" t="s">
        <v>1550</v>
      </c>
      <c r="B2910" s="33">
        <v>43290</v>
      </c>
      <c r="C2910" s="34" t="s">
        <v>4450</v>
      </c>
      <c r="D2910" s="34">
        <v>2000</v>
      </c>
      <c r="E2910" s="35" t="s">
        <v>4353</v>
      </c>
      <c r="F2910" s="35" t="s">
        <v>1538</v>
      </c>
      <c r="G2910" s="106" t="s">
        <v>3852</v>
      </c>
      <c r="H2910" s="33">
        <v>43252</v>
      </c>
      <c r="I2910" s="34" t="s">
        <v>4485</v>
      </c>
      <c r="J2910" s="36">
        <v>172.5</v>
      </c>
      <c r="K2910" t="s">
        <v>2030</v>
      </c>
    </row>
    <row r="2911" spans="1:11" x14ac:dyDescent="0.3">
      <c r="A2911" t="s">
        <v>1550</v>
      </c>
      <c r="B2911" s="33">
        <v>43290</v>
      </c>
      <c r="C2911" s="34" t="s">
        <v>4450</v>
      </c>
      <c r="D2911" s="34">
        <v>2000</v>
      </c>
      <c r="E2911" s="35" t="s">
        <v>4353</v>
      </c>
      <c r="F2911" s="35" t="s">
        <v>1536</v>
      </c>
      <c r="G2911" s="106" t="s">
        <v>3852</v>
      </c>
      <c r="H2911" s="33">
        <v>43252</v>
      </c>
      <c r="I2911" s="34" t="s">
        <v>4486</v>
      </c>
      <c r="J2911" s="36">
        <v>172.5</v>
      </c>
      <c r="K2911" t="s">
        <v>2030</v>
      </c>
    </row>
    <row r="2912" spans="1:11" x14ac:dyDescent="0.3">
      <c r="A2912" t="s">
        <v>1550</v>
      </c>
      <c r="B2912" s="33">
        <v>43290</v>
      </c>
      <c r="C2912" s="34" t="s">
        <v>4450</v>
      </c>
      <c r="D2912" s="34">
        <v>2000</v>
      </c>
      <c r="E2912" s="35" t="s">
        <v>4353</v>
      </c>
      <c r="F2912" s="35" t="s">
        <v>1535</v>
      </c>
      <c r="G2912" s="106" t="s">
        <v>3852</v>
      </c>
      <c r="H2912" s="33">
        <v>43252</v>
      </c>
      <c r="I2912" s="34" t="s">
        <v>4487</v>
      </c>
      <c r="J2912" s="36">
        <v>172.5</v>
      </c>
      <c r="K2912" t="s">
        <v>2030</v>
      </c>
    </row>
    <row r="2913" spans="1:11" x14ac:dyDescent="0.3">
      <c r="A2913" t="s">
        <v>1550</v>
      </c>
      <c r="B2913" s="33">
        <v>43290</v>
      </c>
      <c r="C2913" s="34" t="s">
        <v>4450</v>
      </c>
      <c r="D2913" s="34">
        <v>2000</v>
      </c>
      <c r="E2913" s="35" t="s">
        <v>4353</v>
      </c>
      <c r="F2913" s="35" t="s">
        <v>1529</v>
      </c>
      <c r="G2913" s="106" t="s">
        <v>3852</v>
      </c>
      <c r="H2913" s="33">
        <v>43252</v>
      </c>
      <c r="I2913" s="34" t="s">
        <v>4490</v>
      </c>
      <c r="J2913" s="36">
        <v>172.5</v>
      </c>
      <c r="K2913" t="s">
        <v>2030</v>
      </c>
    </row>
    <row r="2914" spans="1:11" x14ac:dyDescent="0.3">
      <c r="A2914" t="s">
        <v>1550</v>
      </c>
      <c r="B2914" s="33">
        <v>43290</v>
      </c>
      <c r="C2914" s="34" t="s">
        <v>4450</v>
      </c>
      <c r="D2914" s="34">
        <v>2000</v>
      </c>
      <c r="E2914" s="35" t="s">
        <v>4353</v>
      </c>
      <c r="F2914" s="35" t="s">
        <v>1530</v>
      </c>
      <c r="G2914" s="106" t="s">
        <v>3852</v>
      </c>
      <c r="H2914" s="33">
        <v>43252</v>
      </c>
      <c r="I2914" s="34" t="s">
        <v>4491</v>
      </c>
      <c r="J2914" s="36">
        <v>172.5</v>
      </c>
      <c r="K2914" t="s">
        <v>2030</v>
      </c>
    </row>
    <row r="2915" spans="1:11" x14ac:dyDescent="0.3">
      <c r="A2915" t="s">
        <v>1550</v>
      </c>
      <c r="B2915" s="33">
        <v>43290</v>
      </c>
      <c r="C2915" s="34" t="s">
        <v>4450</v>
      </c>
      <c r="D2915" s="34">
        <v>2000</v>
      </c>
      <c r="E2915" s="35" t="s">
        <v>4353</v>
      </c>
      <c r="F2915" s="35" t="s">
        <v>1531</v>
      </c>
      <c r="G2915" s="106" t="s">
        <v>3852</v>
      </c>
      <c r="H2915" s="33">
        <v>43252</v>
      </c>
      <c r="I2915" s="34" t="s">
        <v>4492</v>
      </c>
      <c r="J2915" s="36">
        <v>172.5</v>
      </c>
      <c r="K2915" t="s">
        <v>2030</v>
      </c>
    </row>
    <row r="2916" spans="1:11" x14ac:dyDescent="0.3">
      <c r="A2916" t="s">
        <v>1550</v>
      </c>
      <c r="B2916" s="33">
        <v>43290</v>
      </c>
      <c r="C2916" s="34" t="s">
        <v>4450</v>
      </c>
      <c r="D2916" s="34">
        <v>2000</v>
      </c>
      <c r="E2916" s="35" t="s">
        <v>4353</v>
      </c>
      <c r="F2916" s="35" t="s">
        <v>1508</v>
      </c>
      <c r="G2916" s="106" t="s">
        <v>3852</v>
      </c>
      <c r="H2916" s="33">
        <v>43252</v>
      </c>
      <c r="I2916" s="34" t="s">
        <v>4494</v>
      </c>
      <c r="J2916" s="36">
        <v>172.5</v>
      </c>
      <c r="K2916" t="s">
        <v>2030</v>
      </c>
    </row>
    <row r="2917" spans="1:11" x14ac:dyDescent="0.3">
      <c r="A2917" t="s">
        <v>1550</v>
      </c>
      <c r="B2917" s="33">
        <v>43290</v>
      </c>
      <c r="C2917" s="34" t="s">
        <v>4450</v>
      </c>
      <c r="D2917" s="34">
        <v>2000</v>
      </c>
      <c r="E2917" s="35" t="s">
        <v>4353</v>
      </c>
      <c r="F2917" s="35" t="s">
        <v>1481</v>
      </c>
      <c r="G2917" s="106" t="s">
        <v>3852</v>
      </c>
      <c r="H2917" s="33">
        <v>43252</v>
      </c>
      <c r="I2917" s="34" t="s">
        <v>4508</v>
      </c>
      <c r="J2917" s="36">
        <v>172.5</v>
      </c>
      <c r="K2917" t="s">
        <v>2030</v>
      </c>
    </row>
    <row r="2918" spans="1:11" x14ac:dyDescent="0.3">
      <c r="A2918" t="s">
        <v>1550</v>
      </c>
      <c r="B2918" s="33">
        <v>43290</v>
      </c>
      <c r="C2918" s="34" t="s">
        <v>4450</v>
      </c>
      <c r="D2918" s="34">
        <v>2000</v>
      </c>
      <c r="E2918" s="35" t="s">
        <v>4353</v>
      </c>
      <c r="F2918" s="35" t="s">
        <v>1475</v>
      </c>
      <c r="G2918" s="106" t="s">
        <v>3852</v>
      </c>
      <c r="H2918" s="33">
        <v>43252</v>
      </c>
      <c r="I2918" s="34" t="s">
        <v>4509</v>
      </c>
      <c r="J2918" s="36">
        <v>420</v>
      </c>
      <c r="K2918" t="s">
        <v>2030</v>
      </c>
    </row>
    <row r="2919" spans="1:11" x14ac:dyDescent="0.3">
      <c r="A2919" t="s">
        <v>1550</v>
      </c>
      <c r="B2919" s="33">
        <v>43290</v>
      </c>
      <c r="C2919" s="34" t="s">
        <v>4450</v>
      </c>
      <c r="D2919" s="34">
        <v>2000</v>
      </c>
      <c r="E2919" s="35" t="s">
        <v>4353</v>
      </c>
      <c r="F2919" s="35" t="s">
        <v>1479</v>
      </c>
      <c r="G2919" s="106" t="s">
        <v>3852</v>
      </c>
      <c r="H2919" s="33">
        <v>43252</v>
      </c>
      <c r="I2919" s="34" t="s">
        <v>4510</v>
      </c>
      <c r="J2919" s="36">
        <v>172.5</v>
      </c>
      <c r="K2919" t="s">
        <v>2030</v>
      </c>
    </row>
    <row r="2920" spans="1:11" x14ac:dyDescent="0.3">
      <c r="A2920" t="s">
        <v>1550</v>
      </c>
      <c r="B2920" s="33">
        <v>43290</v>
      </c>
      <c r="C2920" s="34" t="s">
        <v>4450</v>
      </c>
      <c r="D2920" s="34">
        <v>2000</v>
      </c>
      <c r="E2920" s="35" t="s">
        <v>4353</v>
      </c>
      <c r="F2920" s="35" t="s">
        <v>1477</v>
      </c>
      <c r="G2920" s="106" t="s">
        <v>3852</v>
      </c>
      <c r="H2920" s="33">
        <v>43252</v>
      </c>
      <c r="I2920" s="34" t="s">
        <v>4511</v>
      </c>
      <c r="J2920" s="36">
        <v>420</v>
      </c>
      <c r="K2920" t="s">
        <v>2030</v>
      </c>
    </row>
    <row r="2921" spans="1:11" x14ac:dyDescent="0.3">
      <c r="A2921" t="s">
        <v>1550</v>
      </c>
      <c r="B2921" s="33">
        <v>43290</v>
      </c>
      <c r="C2921" s="34" t="s">
        <v>4450</v>
      </c>
      <c r="D2921" s="34">
        <v>2000</v>
      </c>
      <c r="E2921" s="35" t="s">
        <v>4353</v>
      </c>
      <c r="F2921" s="35" t="s">
        <v>1476</v>
      </c>
      <c r="G2921" s="106" t="s">
        <v>3852</v>
      </c>
      <c r="H2921" s="33">
        <v>43252</v>
      </c>
      <c r="I2921" s="34" t="s">
        <v>4512</v>
      </c>
      <c r="J2921" s="36">
        <v>420</v>
      </c>
      <c r="K2921" t="s">
        <v>2030</v>
      </c>
    </row>
    <row r="2922" spans="1:11" x14ac:dyDescent="0.3">
      <c r="A2922" t="s">
        <v>1550</v>
      </c>
      <c r="B2922" s="33">
        <v>43290</v>
      </c>
      <c r="C2922" s="34" t="s">
        <v>4450</v>
      </c>
      <c r="D2922" s="34">
        <v>2000</v>
      </c>
      <c r="E2922" s="35" t="s">
        <v>4353</v>
      </c>
      <c r="F2922" s="35" t="s">
        <v>1478</v>
      </c>
      <c r="G2922" s="106" t="s">
        <v>3852</v>
      </c>
      <c r="H2922" s="33">
        <v>43252</v>
      </c>
      <c r="I2922" s="34" t="s">
        <v>4513</v>
      </c>
      <c r="J2922" s="36">
        <v>172.5</v>
      </c>
      <c r="K2922" t="s">
        <v>2030</v>
      </c>
    </row>
    <row r="2923" spans="1:11" x14ac:dyDescent="0.3">
      <c r="A2923" t="s">
        <v>1550</v>
      </c>
      <c r="B2923" s="33">
        <v>43290</v>
      </c>
      <c r="C2923" s="34" t="s">
        <v>4450</v>
      </c>
      <c r="D2923" s="34">
        <v>2000</v>
      </c>
      <c r="E2923" s="35" t="s">
        <v>4353</v>
      </c>
      <c r="F2923" s="35" t="s">
        <v>1483</v>
      </c>
      <c r="G2923" s="106" t="s">
        <v>3852</v>
      </c>
      <c r="H2923" s="33">
        <v>43252</v>
      </c>
      <c r="I2923" s="34" t="s">
        <v>4514</v>
      </c>
      <c r="J2923" s="36">
        <v>172.5</v>
      </c>
      <c r="K2923" t="s">
        <v>2030</v>
      </c>
    </row>
    <row r="2924" spans="1:11" x14ac:dyDescent="0.3">
      <c r="A2924" t="s">
        <v>1550</v>
      </c>
      <c r="B2924" s="33">
        <v>43290</v>
      </c>
      <c r="C2924" s="34" t="s">
        <v>4450</v>
      </c>
      <c r="D2924" s="34">
        <v>2000</v>
      </c>
      <c r="E2924" s="35" t="s">
        <v>4353</v>
      </c>
      <c r="F2924" s="35" t="s">
        <v>1489</v>
      </c>
      <c r="G2924" s="106" t="s">
        <v>3852</v>
      </c>
      <c r="H2924" s="33">
        <v>43252</v>
      </c>
      <c r="I2924" s="34" t="s">
        <v>4515</v>
      </c>
      <c r="J2924" s="36">
        <v>172.5</v>
      </c>
      <c r="K2924" t="s">
        <v>2030</v>
      </c>
    </row>
    <row r="2925" spans="1:11" x14ac:dyDescent="0.3">
      <c r="A2925" t="s">
        <v>1550</v>
      </c>
      <c r="B2925" s="33">
        <v>43290</v>
      </c>
      <c r="C2925" s="34" t="s">
        <v>4450</v>
      </c>
      <c r="D2925" s="34">
        <v>2000</v>
      </c>
      <c r="E2925" s="35" t="s">
        <v>4353</v>
      </c>
      <c r="F2925" s="35" t="s">
        <v>1480</v>
      </c>
      <c r="G2925" s="106" t="s">
        <v>3852</v>
      </c>
      <c r="H2925" s="33">
        <v>43252</v>
      </c>
      <c r="I2925" s="34" t="s">
        <v>4516</v>
      </c>
      <c r="J2925" s="36">
        <v>172.5</v>
      </c>
      <c r="K2925" t="s">
        <v>2030</v>
      </c>
    </row>
    <row r="2926" spans="1:11" x14ac:dyDescent="0.3">
      <c r="A2926" t="s">
        <v>1550</v>
      </c>
      <c r="B2926" s="33">
        <v>43290</v>
      </c>
      <c r="C2926" s="34" t="s">
        <v>4450</v>
      </c>
      <c r="D2926" s="34">
        <v>2000</v>
      </c>
      <c r="E2926" s="35" t="s">
        <v>4353</v>
      </c>
      <c r="F2926" s="35" t="s">
        <v>1488</v>
      </c>
      <c r="G2926" s="106" t="s">
        <v>3852</v>
      </c>
      <c r="H2926" s="33">
        <v>43252</v>
      </c>
      <c r="I2926" s="34" t="s">
        <v>4517</v>
      </c>
      <c r="J2926" s="36">
        <v>172.5</v>
      </c>
      <c r="K2926" t="s">
        <v>2030</v>
      </c>
    </row>
    <row r="2927" spans="1:11" x14ac:dyDescent="0.3">
      <c r="A2927" t="s">
        <v>1550</v>
      </c>
      <c r="B2927" s="33">
        <v>43290</v>
      </c>
      <c r="C2927" s="34" t="s">
        <v>4450</v>
      </c>
      <c r="D2927" s="34">
        <v>2000</v>
      </c>
      <c r="E2927" s="35" t="s">
        <v>4353</v>
      </c>
      <c r="F2927" s="35" t="s">
        <v>1492</v>
      </c>
      <c r="G2927" s="106" t="s">
        <v>3852</v>
      </c>
      <c r="H2927" s="33">
        <v>43252</v>
      </c>
      <c r="I2927" s="34" t="s">
        <v>4518</v>
      </c>
      <c r="J2927" s="36">
        <v>172.5</v>
      </c>
      <c r="K2927" t="s">
        <v>2030</v>
      </c>
    </row>
    <row r="2928" spans="1:11" x14ac:dyDescent="0.3">
      <c r="A2928" t="s">
        <v>1550</v>
      </c>
      <c r="B2928" s="33">
        <v>43290</v>
      </c>
      <c r="C2928" s="34" t="s">
        <v>4450</v>
      </c>
      <c r="D2928" s="34">
        <v>2000</v>
      </c>
      <c r="E2928" s="35" t="s">
        <v>4353</v>
      </c>
      <c r="F2928" s="35" t="s">
        <v>1487</v>
      </c>
      <c r="G2928" s="106" t="s">
        <v>3852</v>
      </c>
      <c r="H2928" s="33">
        <v>43252</v>
      </c>
      <c r="I2928" s="34" t="s">
        <v>4519</v>
      </c>
      <c r="J2928" s="36">
        <v>172.5</v>
      </c>
      <c r="K2928" t="s">
        <v>2030</v>
      </c>
    </row>
    <row r="2929" spans="1:11" x14ac:dyDescent="0.3">
      <c r="A2929" t="s">
        <v>1550</v>
      </c>
      <c r="B2929" s="33">
        <v>43290</v>
      </c>
      <c r="C2929" s="34" t="s">
        <v>4450</v>
      </c>
      <c r="D2929" s="34">
        <v>2000</v>
      </c>
      <c r="E2929" s="35" t="s">
        <v>4353</v>
      </c>
      <c r="F2929" s="35" t="s">
        <v>1484</v>
      </c>
      <c r="G2929" s="106" t="s">
        <v>3852</v>
      </c>
      <c r="H2929" s="33">
        <v>43252</v>
      </c>
      <c r="I2929" s="34" t="s">
        <v>4520</v>
      </c>
      <c r="J2929" s="36">
        <v>172.5</v>
      </c>
      <c r="K2929" t="s">
        <v>2030</v>
      </c>
    </row>
    <row r="2930" spans="1:11" x14ac:dyDescent="0.3">
      <c r="A2930" t="s">
        <v>1550</v>
      </c>
      <c r="B2930" s="33">
        <v>43290</v>
      </c>
      <c r="C2930" s="34" t="s">
        <v>4450</v>
      </c>
      <c r="D2930" s="34">
        <v>2000</v>
      </c>
      <c r="E2930" s="35" t="s">
        <v>4353</v>
      </c>
      <c r="F2930" s="35" t="s">
        <v>1486</v>
      </c>
      <c r="G2930" s="106" t="s">
        <v>3852</v>
      </c>
      <c r="H2930" s="33">
        <v>43252</v>
      </c>
      <c r="I2930" s="34" t="s">
        <v>4521</v>
      </c>
      <c r="J2930" s="36">
        <v>172.5</v>
      </c>
      <c r="K2930" t="s">
        <v>2030</v>
      </c>
    </row>
    <row r="2931" spans="1:11" x14ac:dyDescent="0.3">
      <c r="A2931" t="s">
        <v>1550</v>
      </c>
      <c r="B2931" s="33">
        <v>43290</v>
      </c>
      <c r="C2931" s="34" t="s">
        <v>4450</v>
      </c>
      <c r="D2931" s="34">
        <v>2000</v>
      </c>
      <c r="E2931" s="35" t="s">
        <v>4353</v>
      </c>
      <c r="F2931" s="35" t="s">
        <v>1482</v>
      </c>
      <c r="G2931" s="106" t="s">
        <v>3852</v>
      </c>
      <c r="H2931" s="33">
        <v>43252</v>
      </c>
      <c r="I2931" s="34" t="s">
        <v>4522</v>
      </c>
      <c r="J2931" s="36">
        <v>172.5</v>
      </c>
      <c r="K2931" t="s">
        <v>2030</v>
      </c>
    </row>
    <row r="2932" spans="1:11" x14ac:dyDescent="0.3">
      <c r="A2932" t="s">
        <v>1550</v>
      </c>
      <c r="B2932" s="33">
        <v>43290</v>
      </c>
      <c r="C2932" s="34" t="s">
        <v>4450</v>
      </c>
      <c r="D2932" s="34">
        <v>2000</v>
      </c>
      <c r="E2932" s="35" t="s">
        <v>4353</v>
      </c>
      <c r="F2932" s="35" t="s">
        <v>1485</v>
      </c>
      <c r="G2932" s="106" t="s">
        <v>3852</v>
      </c>
      <c r="H2932" s="33">
        <v>43252</v>
      </c>
      <c r="I2932" s="34" t="s">
        <v>4523</v>
      </c>
      <c r="J2932" s="36">
        <v>172.5</v>
      </c>
      <c r="K2932" t="s">
        <v>2030</v>
      </c>
    </row>
    <row r="2933" spans="1:11" x14ac:dyDescent="0.3">
      <c r="A2933" t="s">
        <v>1550</v>
      </c>
      <c r="B2933" s="33">
        <v>43290</v>
      </c>
      <c r="C2933" s="34" t="s">
        <v>4450</v>
      </c>
      <c r="D2933" s="34">
        <v>2000</v>
      </c>
      <c r="E2933" s="35" t="s">
        <v>4353</v>
      </c>
      <c r="F2933" s="35" t="s">
        <v>1490</v>
      </c>
      <c r="G2933" s="106" t="s">
        <v>3852</v>
      </c>
      <c r="H2933" s="33">
        <v>43252</v>
      </c>
      <c r="I2933" s="34" t="s">
        <v>4524</v>
      </c>
      <c r="J2933" s="36">
        <v>172.5</v>
      </c>
      <c r="K2933" t="s">
        <v>2030</v>
      </c>
    </row>
    <row r="2934" spans="1:11" x14ac:dyDescent="0.3">
      <c r="A2934" t="s">
        <v>1550</v>
      </c>
      <c r="B2934" s="33">
        <v>43290</v>
      </c>
      <c r="C2934" s="34" t="s">
        <v>4450</v>
      </c>
      <c r="D2934" s="34">
        <v>2000</v>
      </c>
      <c r="E2934" s="35" t="s">
        <v>4353</v>
      </c>
      <c r="F2934" s="35" t="s">
        <v>1491</v>
      </c>
      <c r="G2934" s="106" t="s">
        <v>3852</v>
      </c>
      <c r="H2934" s="33">
        <v>43252</v>
      </c>
      <c r="I2934" s="34" t="s">
        <v>4525</v>
      </c>
      <c r="J2934" s="36">
        <v>172.5</v>
      </c>
      <c r="K2934" t="s">
        <v>2030</v>
      </c>
    </row>
    <row r="2935" spans="1:11" x14ac:dyDescent="0.3">
      <c r="A2935" t="s">
        <v>1550</v>
      </c>
      <c r="B2935" s="33">
        <v>43290</v>
      </c>
      <c r="C2935" s="34" t="s">
        <v>4450</v>
      </c>
      <c r="D2935" s="34">
        <v>2000</v>
      </c>
      <c r="E2935" s="35" t="s">
        <v>4353</v>
      </c>
      <c r="F2935" s="35" t="s">
        <v>1495</v>
      </c>
      <c r="G2935" s="106" t="s">
        <v>3852</v>
      </c>
      <c r="H2935" s="33">
        <v>43252</v>
      </c>
      <c r="I2935" s="34" t="s">
        <v>4526</v>
      </c>
      <c r="J2935" s="36">
        <v>172.5</v>
      </c>
      <c r="K2935" t="s">
        <v>2030</v>
      </c>
    </row>
    <row r="2936" spans="1:11" x14ac:dyDescent="0.3">
      <c r="A2936" t="s">
        <v>1550</v>
      </c>
      <c r="B2936" s="33">
        <v>43290</v>
      </c>
      <c r="C2936" s="34" t="s">
        <v>4450</v>
      </c>
      <c r="D2936" s="34">
        <v>2000</v>
      </c>
      <c r="E2936" s="35" t="s">
        <v>4353</v>
      </c>
      <c r="F2936" s="35" t="s">
        <v>1494</v>
      </c>
      <c r="G2936" s="106" t="s">
        <v>3852</v>
      </c>
      <c r="H2936" s="33">
        <v>43252</v>
      </c>
      <c r="I2936" s="34" t="s">
        <v>4527</v>
      </c>
      <c r="J2936" s="36">
        <v>172.5</v>
      </c>
      <c r="K2936" t="s">
        <v>2030</v>
      </c>
    </row>
    <row r="2937" spans="1:11" x14ac:dyDescent="0.3">
      <c r="A2937" t="s">
        <v>1550</v>
      </c>
      <c r="B2937" s="33">
        <v>43290</v>
      </c>
      <c r="C2937" s="34" t="s">
        <v>4450</v>
      </c>
      <c r="D2937" s="34">
        <v>2000</v>
      </c>
      <c r="E2937" s="35" t="s">
        <v>4353</v>
      </c>
      <c r="F2937" s="35" t="s">
        <v>1498</v>
      </c>
      <c r="G2937" s="106" t="s">
        <v>3852</v>
      </c>
      <c r="H2937" s="33">
        <v>43252</v>
      </c>
      <c r="I2937" s="34" t="s">
        <v>4528</v>
      </c>
      <c r="J2937" s="36">
        <v>172.5</v>
      </c>
      <c r="K2937" t="s">
        <v>2030</v>
      </c>
    </row>
    <row r="2938" spans="1:11" x14ac:dyDescent="0.3">
      <c r="A2938" t="s">
        <v>1550</v>
      </c>
      <c r="B2938" s="33">
        <v>43290</v>
      </c>
      <c r="C2938" s="34" t="s">
        <v>4450</v>
      </c>
      <c r="D2938" s="34">
        <v>2000</v>
      </c>
      <c r="E2938" s="35" t="s">
        <v>4353</v>
      </c>
      <c r="F2938" s="35" t="s">
        <v>1493</v>
      </c>
      <c r="G2938" s="106" t="s">
        <v>3852</v>
      </c>
      <c r="H2938" s="33">
        <v>43252</v>
      </c>
      <c r="I2938" s="34" t="s">
        <v>4529</v>
      </c>
      <c r="J2938" s="36">
        <v>172.5</v>
      </c>
      <c r="K2938" t="s">
        <v>2030</v>
      </c>
    </row>
    <row r="2939" spans="1:11" x14ac:dyDescent="0.3">
      <c r="A2939" t="s">
        <v>1550</v>
      </c>
      <c r="B2939" s="33">
        <v>43290</v>
      </c>
      <c r="C2939" s="34" t="s">
        <v>4450</v>
      </c>
      <c r="D2939" s="34">
        <v>2000</v>
      </c>
      <c r="E2939" s="35" t="s">
        <v>4353</v>
      </c>
      <c r="F2939" s="35" t="s">
        <v>1496</v>
      </c>
      <c r="G2939" s="106" t="s">
        <v>3852</v>
      </c>
      <c r="H2939" s="33">
        <v>43252</v>
      </c>
      <c r="I2939" s="34" t="s">
        <v>4530</v>
      </c>
      <c r="J2939" s="36">
        <v>172.5</v>
      </c>
      <c r="K2939" t="s">
        <v>2030</v>
      </c>
    </row>
    <row r="2940" spans="1:11" x14ac:dyDescent="0.3">
      <c r="A2940" t="s">
        <v>1550</v>
      </c>
      <c r="B2940" s="33">
        <v>43290</v>
      </c>
      <c r="C2940" s="34" t="s">
        <v>4450</v>
      </c>
      <c r="D2940" s="34">
        <v>2000</v>
      </c>
      <c r="E2940" s="35" t="s">
        <v>4353</v>
      </c>
      <c r="F2940" s="35" t="s">
        <v>1501</v>
      </c>
      <c r="G2940" s="106" t="s">
        <v>3852</v>
      </c>
      <c r="H2940" s="33">
        <v>43252</v>
      </c>
      <c r="I2940" s="34" t="s">
        <v>4531</v>
      </c>
      <c r="J2940" s="36">
        <v>172.5</v>
      </c>
      <c r="K2940" t="s">
        <v>2030</v>
      </c>
    </row>
    <row r="2941" spans="1:11" x14ac:dyDescent="0.3">
      <c r="A2941" t="s">
        <v>1550</v>
      </c>
      <c r="B2941" s="33">
        <v>43290</v>
      </c>
      <c r="C2941" s="34" t="s">
        <v>4450</v>
      </c>
      <c r="D2941" s="34">
        <v>2000</v>
      </c>
      <c r="E2941" s="35" t="s">
        <v>4353</v>
      </c>
      <c r="F2941" s="35" t="s">
        <v>1497</v>
      </c>
      <c r="G2941" s="106" t="s">
        <v>3852</v>
      </c>
      <c r="H2941" s="33">
        <v>43252</v>
      </c>
      <c r="I2941" s="34" t="s">
        <v>4532</v>
      </c>
      <c r="J2941" s="36">
        <v>172.5</v>
      </c>
      <c r="K2941" t="s">
        <v>2030</v>
      </c>
    </row>
    <row r="2942" spans="1:11" x14ac:dyDescent="0.3">
      <c r="A2942" t="s">
        <v>1550</v>
      </c>
      <c r="B2942" s="33">
        <v>43290</v>
      </c>
      <c r="C2942" s="34" t="s">
        <v>4450</v>
      </c>
      <c r="D2942" s="34">
        <v>2000</v>
      </c>
      <c r="E2942" s="35" t="s">
        <v>4353</v>
      </c>
      <c r="F2942" s="35" t="s">
        <v>1502</v>
      </c>
      <c r="G2942" s="106" t="s">
        <v>3852</v>
      </c>
      <c r="H2942" s="33">
        <v>43252</v>
      </c>
      <c r="I2942" s="34" t="s">
        <v>4533</v>
      </c>
      <c r="J2942" s="36">
        <v>172.5</v>
      </c>
      <c r="K2942" t="s">
        <v>2030</v>
      </c>
    </row>
    <row r="2943" spans="1:11" x14ac:dyDescent="0.3">
      <c r="A2943" t="s">
        <v>1550</v>
      </c>
      <c r="B2943" s="33">
        <v>43290</v>
      </c>
      <c r="C2943" s="34" t="s">
        <v>4450</v>
      </c>
      <c r="D2943" s="34">
        <v>2000</v>
      </c>
      <c r="E2943" s="35" t="s">
        <v>4353</v>
      </c>
      <c r="F2943" s="35" t="s">
        <v>1499</v>
      </c>
      <c r="G2943" s="106" t="s">
        <v>3852</v>
      </c>
      <c r="H2943" s="33">
        <v>43252</v>
      </c>
      <c r="I2943" s="34" t="s">
        <v>4534</v>
      </c>
      <c r="J2943" s="36">
        <v>172.5</v>
      </c>
      <c r="K2943" t="s">
        <v>2030</v>
      </c>
    </row>
    <row r="2944" spans="1:11" x14ac:dyDescent="0.3">
      <c r="A2944" t="s">
        <v>1550</v>
      </c>
      <c r="B2944" s="33">
        <v>43290</v>
      </c>
      <c r="C2944" s="34" t="s">
        <v>4450</v>
      </c>
      <c r="D2944" s="34">
        <v>2000</v>
      </c>
      <c r="E2944" s="35" t="s">
        <v>4353</v>
      </c>
      <c r="F2944" s="35" t="s">
        <v>1500</v>
      </c>
      <c r="G2944" s="106" t="s">
        <v>3852</v>
      </c>
      <c r="H2944" s="33">
        <v>43252</v>
      </c>
      <c r="I2944" s="34" t="s">
        <v>4535</v>
      </c>
      <c r="J2944" s="36">
        <v>172.5</v>
      </c>
      <c r="K2944" t="s">
        <v>2030</v>
      </c>
    </row>
    <row r="2945" spans="1:11" x14ac:dyDescent="0.3">
      <c r="A2945" t="s">
        <v>1550</v>
      </c>
      <c r="B2945" s="33">
        <v>43290</v>
      </c>
      <c r="C2945" s="34" t="s">
        <v>4450</v>
      </c>
      <c r="D2945" s="34">
        <v>2000</v>
      </c>
      <c r="E2945" s="35" t="s">
        <v>4353</v>
      </c>
      <c r="F2945" s="35" t="s">
        <v>1503</v>
      </c>
      <c r="G2945" s="106" t="s">
        <v>3852</v>
      </c>
      <c r="H2945" s="33">
        <v>43252</v>
      </c>
      <c r="I2945" s="34" t="s">
        <v>4536</v>
      </c>
      <c r="J2945" s="36">
        <v>172.5</v>
      </c>
      <c r="K2945" t="s">
        <v>2030</v>
      </c>
    </row>
    <row r="2946" spans="1:11" x14ac:dyDescent="0.3">
      <c r="A2946" t="s">
        <v>1550</v>
      </c>
      <c r="B2946" s="33">
        <v>43290</v>
      </c>
      <c r="C2946" s="34" t="s">
        <v>4450</v>
      </c>
      <c r="D2946" s="34">
        <v>2000</v>
      </c>
      <c r="E2946" s="35" t="s">
        <v>4353</v>
      </c>
      <c r="F2946" s="35" t="s">
        <v>1505</v>
      </c>
      <c r="G2946" s="106" t="s">
        <v>3852</v>
      </c>
      <c r="H2946" s="33">
        <v>43252</v>
      </c>
      <c r="I2946" s="34" t="s">
        <v>4537</v>
      </c>
      <c r="J2946" s="36">
        <v>172.5</v>
      </c>
      <c r="K2946" t="s">
        <v>2030</v>
      </c>
    </row>
    <row r="2947" spans="1:11" x14ac:dyDescent="0.3">
      <c r="A2947" t="s">
        <v>1550</v>
      </c>
      <c r="B2947" s="33">
        <v>43290</v>
      </c>
      <c r="C2947" s="34" t="s">
        <v>4538</v>
      </c>
      <c r="D2947" s="34">
        <v>1</v>
      </c>
      <c r="E2947" s="35" t="s">
        <v>4353</v>
      </c>
      <c r="F2947" s="35" t="s">
        <v>331</v>
      </c>
      <c r="G2947" s="106" t="s">
        <v>3852</v>
      </c>
      <c r="H2947" s="33">
        <v>43252</v>
      </c>
      <c r="I2947" s="34" t="s">
        <v>4539</v>
      </c>
      <c r="J2947" s="36">
        <v>172.5</v>
      </c>
      <c r="K2947" t="s">
        <v>2030</v>
      </c>
    </row>
    <row r="2948" spans="1:11" x14ac:dyDescent="0.3">
      <c r="A2948" t="s">
        <v>1550</v>
      </c>
      <c r="B2948" s="33">
        <v>43290</v>
      </c>
      <c r="C2948" s="34" t="s">
        <v>4538</v>
      </c>
      <c r="D2948" s="34">
        <v>1</v>
      </c>
      <c r="E2948" s="35" t="s">
        <v>4353</v>
      </c>
      <c r="F2948" s="35" t="s">
        <v>334</v>
      </c>
      <c r="G2948" s="106" t="s">
        <v>3852</v>
      </c>
      <c r="H2948" s="33">
        <v>43252</v>
      </c>
      <c r="I2948" s="34" t="s">
        <v>4540</v>
      </c>
      <c r="J2948" s="36">
        <v>172.5</v>
      </c>
      <c r="K2948" t="s">
        <v>2030</v>
      </c>
    </row>
    <row r="2949" spans="1:11" x14ac:dyDescent="0.3">
      <c r="A2949" t="s">
        <v>1550</v>
      </c>
      <c r="B2949" s="33">
        <v>43290</v>
      </c>
      <c r="C2949" s="34" t="s">
        <v>4538</v>
      </c>
      <c r="D2949" s="34">
        <v>1</v>
      </c>
      <c r="E2949" s="35" t="s">
        <v>4353</v>
      </c>
      <c r="F2949" s="35" t="s">
        <v>344</v>
      </c>
      <c r="G2949" s="106" t="s">
        <v>3852</v>
      </c>
      <c r="H2949" s="33">
        <v>43252</v>
      </c>
      <c r="I2949" s="34" t="s">
        <v>4541</v>
      </c>
      <c r="J2949" s="36">
        <v>172.5</v>
      </c>
      <c r="K2949" t="s">
        <v>2030</v>
      </c>
    </row>
    <row r="2950" spans="1:11" x14ac:dyDescent="0.3">
      <c r="A2950" t="s">
        <v>1550</v>
      </c>
      <c r="B2950" s="33">
        <v>43290</v>
      </c>
      <c r="C2950" s="34" t="s">
        <v>4538</v>
      </c>
      <c r="D2950" s="34">
        <v>1</v>
      </c>
      <c r="E2950" s="35" t="s">
        <v>4353</v>
      </c>
      <c r="F2950" s="35" t="s">
        <v>339</v>
      </c>
      <c r="G2950" s="106" t="s">
        <v>3852</v>
      </c>
      <c r="H2950" s="33">
        <v>43252</v>
      </c>
      <c r="I2950" s="34" t="s">
        <v>4542</v>
      </c>
      <c r="J2950" s="36">
        <v>172.5</v>
      </c>
      <c r="K2950" t="s">
        <v>2030</v>
      </c>
    </row>
    <row r="2951" spans="1:11" x14ac:dyDescent="0.3">
      <c r="A2951" t="s">
        <v>1550</v>
      </c>
      <c r="B2951" s="33">
        <v>43290</v>
      </c>
      <c r="C2951" s="34" t="s">
        <v>4538</v>
      </c>
      <c r="D2951" s="34">
        <v>1</v>
      </c>
      <c r="E2951" s="35" t="s">
        <v>4353</v>
      </c>
      <c r="F2951" s="35" t="s">
        <v>332</v>
      </c>
      <c r="G2951" s="106" t="s">
        <v>3852</v>
      </c>
      <c r="H2951" s="33">
        <v>43252</v>
      </c>
      <c r="I2951" s="34" t="s">
        <v>4543</v>
      </c>
      <c r="J2951" s="36">
        <v>172.5</v>
      </c>
      <c r="K2951" t="s">
        <v>2030</v>
      </c>
    </row>
    <row r="2952" spans="1:11" x14ac:dyDescent="0.3">
      <c r="A2952" t="s">
        <v>1550</v>
      </c>
      <c r="B2952" s="33">
        <v>43290</v>
      </c>
      <c r="C2952" s="34" t="s">
        <v>4538</v>
      </c>
      <c r="D2952" s="34">
        <v>1</v>
      </c>
      <c r="E2952" s="35" t="s">
        <v>4353</v>
      </c>
      <c r="F2952" s="35" t="s">
        <v>335</v>
      </c>
      <c r="G2952" s="106" t="s">
        <v>3852</v>
      </c>
      <c r="H2952" s="33">
        <v>43252</v>
      </c>
      <c r="I2952" s="34" t="s">
        <v>4544</v>
      </c>
      <c r="J2952" s="36">
        <v>172.5</v>
      </c>
      <c r="K2952" t="s">
        <v>2030</v>
      </c>
    </row>
    <row r="2953" spans="1:11" x14ac:dyDescent="0.3">
      <c r="A2953" t="s">
        <v>1550</v>
      </c>
      <c r="B2953" s="33">
        <v>43290</v>
      </c>
      <c r="C2953" s="34" t="s">
        <v>4538</v>
      </c>
      <c r="D2953" s="34">
        <v>1</v>
      </c>
      <c r="E2953" s="35" t="s">
        <v>4353</v>
      </c>
      <c r="F2953" s="35" t="s">
        <v>329</v>
      </c>
      <c r="G2953" s="106" t="s">
        <v>3852</v>
      </c>
      <c r="H2953" s="33">
        <v>43252</v>
      </c>
      <c r="I2953" s="34" t="s">
        <v>4545</v>
      </c>
      <c r="J2953" s="36">
        <v>465</v>
      </c>
      <c r="K2953" t="s">
        <v>2030</v>
      </c>
    </row>
    <row r="2954" spans="1:11" x14ac:dyDescent="0.3">
      <c r="A2954" t="s">
        <v>1550</v>
      </c>
      <c r="B2954" s="33">
        <v>43290</v>
      </c>
      <c r="C2954" s="34" t="s">
        <v>4538</v>
      </c>
      <c r="D2954" s="34">
        <v>1</v>
      </c>
      <c r="E2954" s="35" t="s">
        <v>4353</v>
      </c>
      <c r="F2954" s="35" t="s">
        <v>12</v>
      </c>
      <c r="G2954" s="106" t="s">
        <v>3852</v>
      </c>
      <c r="H2954" s="33">
        <v>43252</v>
      </c>
      <c r="I2954" s="34" t="s">
        <v>4546</v>
      </c>
      <c r="J2954" s="36">
        <v>172.5</v>
      </c>
      <c r="K2954" t="s">
        <v>2030</v>
      </c>
    </row>
    <row r="2955" spans="1:11" x14ac:dyDescent="0.3">
      <c r="A2955" t="s">
        <v>1550</v>
      </c>
      <c r="B2955" s="33">
        <v>43290</v>
      </c>
      <c r="C2955" s="34" t="s">
        <v>4538</v>
      </c>
      <c r="D2955" s="34">
        <v>1</v>
      </c>
      <c r="E2955" s="35" t="s">
        <v>4353</v>
      </c>
      <c r="F2955" s="35" t="s">
        <v>328</v>
      </c>
      <c r="G2955" s="106" t="s">
        <v>3852</v>
      </c>
      <c r="H2955" s="33">
        <v>43252</v>
      </c>
      <c r="I2955" s="34" t="s">
        <v>4547</v>
      </c>
      <c r="J2955" s="36">
        <v>172.5</v>
      </c>
      <c r="K2955" t="s">
        <v>2030</v>
      </c>
    </row>
    <row r="2956" spans="1:11" x14ac:dyDescent="0.3">
      <c r="A2956" t="s">
        <v>1550</v>
      </c>
      <c r="B2956" s="33">
        <v>43290</v>
      </c>
      <c r="C2956" s="34" t="s">
        <v>4538</v>
      </c>
      <c r="D2956" s="34">
        <v>1</v>
      </c>
      <c r="E2956" s="35" t="s">
        <v>4353</v>
      </c>
      <c r="F2956" s="35" t="s">
        <v>340</v>
      </c>
      <c r="G2956" s="106" t="s">
        <v>3852</v>
      </c>
      <c r="H2956" s="33">
        <v>43252</v>
      </c>
      <c r="I2956" s="34" t="s">
        <v>4548</v>
      </c>
      <c r="J2956" s="36">
        <v>172.5</v>
      </c>
      <c r="K2956" t="s">
        <v>2030</v>
      </c>
    </row>
    <row r="2957" spans="1:11" x14ac:dyDescent="0.3">
      <c r="A2957" t="s">
        <v>1550</v>
      </c>
      <c r="B2957" s="33">
        <v>43290</v>
      </c>
      <c r="C2957" s="34" t="s">
        <v>4538</v>
      </c>
      <c r="D2957" s="34">
        <v>1</v>
      </c>
      <c r="E2957" s="35" t="s">
        <v>4353</v>
      </c>
      <c r="F2957" s="35" t="s">
        <v>342</v>
      </c>
      <c r="G2957" s="106" t="s">
        <v>3852</v>
      </c>
      <c r="H2957" s="33">
        <v>43252</v>
      </c>
      <c r="I2957" s="34" t="s">
        <v>4549</v>
      </c>
      <c r="J2957" s="36">
        <v>172.5</v>
      </c>
      <c r="K2957" t="s">
        <v>2030</v>
      </c>
    </row>
    <row r="2958" spans="1:11" x14ac:dyDescent="0.3">
      <c r="A2958" t="s">
        <v>1550</v>
      </c>
      <c r="B2958" s="33">
        <v>43290</v>
      </c>
      <c r="C2958" s="34" t="s">
        <v>4538</v>
      </c>
      <c r="D2958" s="34">
        <v>1</v>
      </c>
      <c r="E2958" s="35" t="s">
        <v>4353</v>
      </c>
      <c r="F2958" s="35" t="s">
        <v>337</v>
      </c>
      <c r="G2958" s="106" t="s">
        <v>3852</v>
      </c>
      <c r="H2958" s="33">
        <v>43252</v>
      </c>
      <c r="I2958" s="34" t="s">
        <v>4550</v>
      </c>
      <c r="J2958" s="36">
        <v>172.5</v>
      </c>
      <c r="K2958" t="s">
        <v>2030</v>
      </c>
    </row>
    <row r="2959" spans="1:11" x14ac:dyDescent="0.3">
      <c r="A2959" t="s">
        <v>1550</v>
      </c>
      <c r="B2959" s="33">
        <v>43290</v>
      </c>
      <c r="C2959" s="34" t="s">
        <v>4538</v>
      </c>
      <c r="D2959" s="34">
        <v>1</v>
      </c>
      <c r="E2959" s="35" t="s">
        <v>4353</v>
      </c>
      <c r="F2959" s="35" t="s">
        <v>336</v>
      </c>
      <c r="G2959" s="106" t="s">
        <v>3852</v>
      </c>
      <c r="H2959" s="33">
        <v>43252</v>
      </c>
      <c r="I2959" s="34" t="s">
        <v>4551</v>
      </c>
      <c r="J2959" s="36">
        <v>172.5</v>
      </c>
      <c r="K2959" t="s">
        <v>2030</v>
      </c>
    </row>
    <row r="2960" spans="1:11" x14ac:dyDescent="0.3">
      <c r="A2960" t="s">
        <v>1550</v>
      </c>
      <c r="B2960" s="33">
        <v>43290</v>
      </c>
      <c r="C2960" s="34" t="s">
        <v>4538</v>
      </c>
      <c r="D2960" s="34">
        <v>1</v>
      </c>
      <c r="E2960" s="35" t="s">
        <v>4353</v>
      </c>
      <c r="F2960" s="35" t="s">
        <v>338</v>
      </c>
      <c r="G2960" s="106" t="s">
        <v>3852</v>
      </c>
      <c r="H2960" s="33">
        <v>43252</v>
      </c>
      <c r="I2960" s="34" t="s">
        <v>4552</v>
      </c>
      <c r="J2960" s="36">
        <v>172.5</v>
      </c>
      <c r="K2960" t="s">
        <v>2030</v>
      </c>
    </row>
    <row r="2961" spans="1:11" x14ac:dyDescent="0.3">
      <c r="A2961" t="s">
        <v>1550</v>
      </c>
      <c r="B2961" s="33">
        <v>43290</v>
      </c>
      <c r="C2961" s="34" t="s">
        <v>4538</v>
      </c>
      <c r="D2961" s="34">
        <v>1</v>
      </c>
      <c r="E2961" s="35" t="s">
        <v>4353</v>
      </c>
      <c r="F2961" s="35" t="s">
        <v>341</v>
      </c>
      <c r="G2961" s="106" t="s">
        <v>3852</v>
      </c>
      <c r="H2961" s="33">
        <v>43252</v>
      </c>
      <c r="I2961" s="34" t="s">
        <v>4553</v>
      </c>
      <c r="J2961" s="36">
        <v>172.5</v>
      </c>
      <c r="K2961" t="s">
        <v>2030</v>
      </c>
    </row>
    <row r="2962" spans="1:11" x14ac:dyDescent="0.3">
      <c r="A2962" t="s">
        <v>1550</v>
      </c>
      <c r="B2962" s="33">
        <v>43290</v>
      </c>
      <c r="C2962" s="34" t="s">
        <v>4538</v>
      </c>
      <c r="D2962" s="34">
        <v>1</v>
      </c>
      <c r="E2962" s="35" t="s">
        <v>4353</v>
      </c>
      <c r="F2962" s="35" t="s">
        <v>345</v>
      </c>
      <c r="G2962" s="106" t="s">
        <v>3852</v>
      </c>
      <c r="H2962" s="33">
        <v>43252</v>
      </c>
      <c r="I2962" s="34" t="s">
        <v>4554</v>
      </c>
      <c r="J2962" s="36">
        <v>172.5</v>
      </c>
      <c r="K2962" t="s">
        <v>2030</v>
      </c>
    </row>
    <row r="2963" spans="1:11" x14ac:dyDescent="0.3">
      <c r="A2963" t="s">
        <v>1550</v>
      </c>
      <c r="B2963" s="33">
        <v>43290</v>
      </c>
      <c r="C2963" s="34" t="s">
        <v>4538</v>
      </c>
      <c r="D2963" s="34">
        <v>1</v>
      </c>
      <c r="E2963" s="35" t="s">
        <v>4353</v>
      </c>
      <c r="F2963" s="35" t="s">
        <v>343</v>
      </c>
      <c r="G2963" s="106" t="s">
        <v>3852</v>
      </c>
      <c r="H2963" s="33">
        <v>43252</v>
      </c>
      <c r="I2963" s="34" t="s">
        <v>4555</v>
      </c>
      <c r="J2963" s="36">
        <v>172.5</v>
      </c>
      <c r="K2963" t="s">
        <v>2030</v>
      </c>
    </row>
    <row r="2964" spans="1:11" x14ac:dyDescent="0.3">
      <c r="A2964" t="s">
        <v>1550</v>
      </c>
      <c r="B2964" s="33">
        <v>43290</v>
      </c>
      <c r="C2964" s="34" t="s">
        <v>4538</v>
      </c>
      <c r="D2964" s="34">
        <v>1</v>
      </c>
      <c r="E2964" s="35" t="s">
        <v>4353</v>
      </c>
      <c r="F2964" s="35" t="s">
        <v>557</v>
      </c>
      <c r="G2964" s="106" t="s">
        <v>3852</v>
      </c>
      <c r="H2964" s="33">
        <v>43252</v>
      </c>
      <c r="I2964" s="34" t="s">
        <v>4556</v>
      </c>
      <c r="J2964" s="36">
        <v>172.5</v>
      </c>
      <c r="K2964" t="s">
        <v>2030</v>
      </c>
    </row>
    <row r="2965" spans="1:11" x14ac:dyDescent="0.3">
      <c r="A2965" t="s">
        <v>1550</v>
      </c>
      <c r="B2965" s="33">
        <v>43290</v>
      </c>
      <c r="C2965" s="34" t="s">
        <v>4538</v>
      </c>
      <c r="D2965" s="34">
        <v>1</v>
      </c>
      <c r="E2965" s="35" t="s">
        <v>4353</v>
      </c>
      <c r="F2965" s="35" t="s">
        <v>330</v>
      </c>
      <c r="G2965" s="106" t="s">
        <v>3852</v>
      </c>
      <c r="H2965" s="33">
        <v>43252</v>
      </c>
      <c r="I2965" s="34" t="s">
        <v>4557</v>
      </c>
      <c r="J2965" s="36">
        <v>172.5</v>
      </c>
      <c r="K2965" t="s">
        <v>2030</v>
      </c>
    </row>
    <row r="2966" spans="1:11" x14ac:dyDescent="0.3">
      <c r="A2966" t="s">
        <v>1550</v>
      </c>
      <c r="B2966" s="33">
        <v>43290</v>
      </c>
      <c r="C2966" s="34" t="s">
        <v>4538</v>
      </c>
      <c r="D2966" s="34">
        <v>1</v>
      </c>
      <c r="E2966" s="35" t="s">
        <v>4353</v>
      </c>
      <c r="F2966" s="35" t="s">
        <v>333</v>
      </c>
      <c r="G2966" s="106" t="s">
        <v>3852</v>
      </c>
      <c r="H2966" s="33">
        <v>43252</v>
      </c>
      <c r="I2966" s="34" t="s">
        <v>4558</v>
      </c>
      <c r="J2966" s="36">
        <v>172.5</v>
      </c>
      <c r="K2966" t="s">
        <v>2030</v>
      </c>
    </row>
    <row r="2967" spans="1:11" x14ac:dyDescent="0.3">
      <c r="A2967" t="s">
        <v>1550</v>
      </c>
      <c r="B2967" s="33">
        <v>43290</v>
      </c>
      <c r="C2967" s="34" t="s">
        <v>4538</v>
      </c>
      <c r="D2967" s="34">
        <v>1</v>
      </c>
      <c r="E2967" s="35" t="s">
        <v>4353</v>
      </c>
      <c r="F2967" s="35" t="s">
        <v>325</v>
      </c>
      <c r="G2967" s="106" t="s">
        <v>3852</v>
      </c>
      <c r="H2967" s="33">
        <v>43252</v>
      </c>
      <c r="I2967" s="34" t="s">
        <v>4559</v>
      </c>
      <c r="J2967" s="36">
        <v>172.5</v>
      </c>
      <c r="K2967" t="s">
        <v>2030</v>
      </c>
    </row>
    <row r="2968" spans="1:11" x14ac:dyDescent="0.3">
      <c r="A2968" t="s">
        <v>1550</v>
      </c>
      <c r="B2968" s="33">
        <v>43290</v>
      </c>
      <c r="C2968" s="34" t="s">
        <v>4538</v>
      </c>
      <c r="D2968" s="34">
        <v>1</v>
      </c>
      <c r="E2968" s="35" t="s">
        <v>4353</v>
      </c>
      <c r="F2968" s="35" t="s">
        <v>318</v>
      </c>
      <c r="G2968" s="106" t="s">
        <v>3852</v>
      </c>
      <c r="H2968" s="33">
        <v>43252</v>
      </c>
      <c r="I2968" s="34" t="s">
        <v>4560</v>
      </c>
      <c r="J2968" s="36">
        <v>172.5</v>
      </c>
      <c r="K2968" t="s">
        <v>2030</v>
      </c>
    </row>
    <row r="2969" spans="1:11" x14ac:dyDescent="0.3">
      <c r="A2969" t="s">
        <v>1550</v>
      </c>
      <c r="B2969" s="33">
        <v>43290</v>
      </c>
      <c r="C2969" s="34" t="s">
        <v>4538</v>
      </c>
      <c r="D2969" s="34">
        <v>1</v>
      </c>
      <c r="E2969" s="35" t="s">
        <v>4353</v>
      </c>
      <c r="F2969" s="35" t="s">
        <v>322</v>
      </c>
      <c r="G2969" s="106" t="s">
        <v>3852</v>
      </c>
      <c r="H2969" s="33">
        <v>43252</v>
      </c>
      <c r="I2969" s="34" t="s">
        <v>4561</v>
      </c>
      <c r="J2969" s="36">
        <v>172.5</v>
      </c>
      <c r="K2969" t="s">
        <v>2030</v>
      </c>
    </row>
    <row r="2970" spans="1:11" x14ac:dyDescent="0.3">
      <c r="A2970" t="s">
        <v>1550</v>
      </c>
      <c r="B2970" s="33">
        <v>43290</v>
      </c>
      <c r="C2970" s="34" t="s">
        <v>4538</v>
      </c>
      <c r="D2970" s="34">
        <v>1</v>
      </c>
      <c r="E2970" s="35" t="s">
        <v>4353</v>
      </c>
      <c r="F2970" s="35" t="s">
        <v>326</v>
      </c>
      <c r="G2970" s="106" t="s">
        <v>3852</v>
      </c>
      <c r="H2970" s="33">
        <v>43252</v>
      </c>
      <c r="I2970" s="34" t="s">
        <v>4562</v>
      </c>
      <c r="J2970" s="36">
        <v>172.5</v>
      </c>
      <c r="K2970" t="s">
        <v>2030</v>
      </c>
    </row>
    <row r="2971" spans="1:11" x14ac:dyDescent="0.3">
      <c r="A2971" t="s">
        <v>1550</v>
      </c>
      <c r="B2971" s="33">
        <v>43290</v>
      </c>
      <c r="C2971" s="34" t="s">
        <v>4538</v>
      </c>
      <c r="D2971" s="34">
        <v>1</v>
      </c>
      <c r="E2971" s="35" t="s">
        <v>4353</v>
      </c>
      <c r="F2971" s="35" t="s">
        <v>327</v>
      </c>
      <c r="G2971" s="106" t="s">
        <v>3852</v>
      </c>
      <c r="H2971" s="33">
        <v>43252</v>
      </c>
      <c r="I2971" s="34" t="s">
        <v>4563</v>
      </c>
      <c r="J2971" s="36">
        <v>172.5</v>
      </c>
      <c r="K2971" t="s">
        <v>2030</v>
      </c>
    </row>
    <row r="2972" spans="1:11" x14ac:dyDescent="0.3">
      <c r="A2972" t="s">
        <v>1550</v>
      </c>
      <c r="B2972" s="33">
        <v>43290</v>
      </c>
      <c r="C2972" s="34" t="s">
        <v>4538</v>
      </c>
      <c r="D2972" s="34">
        <v>1</v>
      </c>
      <c r="E2972" s="35" t="s">
        <v>4353</v>
      </c>
      <c r="F2972" s="35" t="s">
        <v>324</v>
      </c>
      <c r="G2972" s="106" t="s">
        <v>3852</v>
      </c>
      <c r="H2972" s="33">
        <v>43252</v>
      </c>
      <c r="I2972" s="34" t="s">
        <v>4564</v>
      </c>
      <c r="J2972" s="36">
        <v>172.5</v>
      </c>
      <c r="K2972" t="s">
        <v>2030</v>
      </c>
    </row>
    <row r="2973" spans="1:11" x14ac:dyDescent="0.3">
      <c r="A2973" t="s">
        <v>1550</v>
      </c>
      <c r="B2973" s="33">
        <v>43290</v>
      </c>
      <c r="C2973" s="34" t="s">
        <v>4538</v>
      </c>
      <c r="D2973" s="34">
        <v>1</v>
      </c>
      <c r="E2973" s="35" t="s">
        <v>4353</v>
      </c>
      <c r="F2973" s="35" t="s">
        <v>320</v>
      </c>
      <c r="G2973" s="106" t="s">
        <v>3852</v>
      </c>
      <c r="H2973" s="33">
        <v>43252</v>
      </c>
      <c r="I2973" s="34" t="s">
        <v>4565</v>
      </c>
      <c r="J2973" s="36">
        <v>172.5</v>
      </c>
      <c r="K2973" t="s">
        <v>2030</v>
      </c>
    </row>
    <row r="2974" spans="1:11" x14ac:dyDescent="0.3">
      <c r="A2974" t="s">
        <v>1550</v>
      </c>
      <c r="B2974" s="33">
        <v>43290</v>
      </c>
      <c r="C2974" s="34" t="s">
        <v>4538</v>
      </c>
      <c r="D2974" s="34">
        <v>1</v>
      </c>
      <c r="E2974" s="35" t="s">
        <v>4353</v>
      </c>
      <c r="F2974" s="35" t="s">
        <v>321</v>
      </c>
      <c r="G2974" s="106" t="s">
        <v>3852</v>
      </c>
      <c r="H2974" s="33">
        <v>43252</v>
      </c>
      <c r="I2974" s="34" t="s">
        <v>4566</v>
      </c>
      <c r="J2974" s="36">
        <v>172.5</v>
      </c>
      <c r="K2974" t="s">
        <v>2030</v>
      </c>
    </row>
    <row r="2975" spans="1:11" x14ac:dyDescent="0.3">
      <c r="A2975" t="s">
        <v>1550</v>
      </c>
      <c r="B2975" s="33">
        <v>43290</v>
      </c>
      <c r="C2975" s="34" t="s">
        <v>4538</v>
      </c>
      <c r="D2975" s="34">
        <v>1</v>
      </c>
      <c r="E2975" s="35" t="s">
        <v>4353</v>
      </c>
      <c r="F2975" s="35" t="s">
        <v>319</v>
      </c>
      <c r="G2975" s="106" t="s">
        <v>3852</v>
      </c>
      <c r="H2975" s="33">
        <v>43252</v>
      </c>
      <c r="I2975" s="34" t="s">
        <v>4567</v>
      </c>
      <c r="J2975" s="36">
        <v>172.5</v>
      </c>
      <c r="K2975" t="s">
        <v>2030</v>
      </c>
    </row>
    <row r="2976" spans="1:11" x14ac:dyDescent="0.3">
      <c r="A2976" t="s">
        <v>1550</v>
      </c>
      <c r="B2976" s="33">
        <v>43290</v>
      </c>
      <c r="C2976" s="34" t="s">
        <v>4538</v>
      </c>
      <c r="D2976" s="34">
        <v>1</v>
      </c>
      <c r="E2976" s="35" t="s">
        <v>4353</v>
      </c>
      <c r="F2976" s="35" t="s">
        <v>323</v>
      </c>
      <c r="G2976" s="106" t="s">
        <v>3852</v>
      </c>
      <c r="H2976" s="33">
        <v>43252</v>
      </c>
      <c r="I2976" s="34" t="s">
        <v>4568</v>
      </c>
      <c r="J2976" s="36">
        <v>172.5</v>
      </c>
      <c r="K2976" t="s">
        <v>2030</v>
      </c>
    </row>
    <row r="2977" spans="1:11" x14ac:dyDescent="0.3">
      <c r="A2977" t="s">
        <v>1550</v>
      </c>
      <c r="B2977" s="33">
        <v>43290</v>
      </c>
      <c r="C2977" s="34" t="s">
        <v>4538</v>
      </c>
      <c r="D2977" s="34">
        <v>1</v>
      </c>
      <c r="E2977" s="35" t="s">
        <v>4353</v>
      </c>
      <c r="F2977" s="35" t="s">
        <v>310</v>
      </c>
      <c r="G2977" s="106" t="s">
        <v>3852</v>
      </c>
      <c r="H2977" s="33">
        <v>43252</v>
      </c>
      <c r="I2977" s="34" t="s">
        <v>4569</v>
      </c>
      <c r="J2977" s="36">
        <v>172.5</v>
      </c>
      <c r="K2977" t="s">
        <v>2030</v>
      </c>
    </row>
    <row r="2978" spans="1:11" x14ac:dyDescent="0.3">
      <c r="A2978" t="s">
        <v>1550</v>
      </c>
      <c r="B2978" s="33">
        <v>43290</v>
      </c>
      <c r="C2978" s="34" t="s">
        <v>4538</v>
      </c>
      <c r="D2978" s="34">
        <v>1</v>
      </c>
      <c r="E2978" s="35" t="s">
        <v>4353</v>
      </c>
      <c r="F2978" s="35" t="s">
        <v>11</v>
      </c>
      <c r="G2978" s="106" t="s">
        <v>3852</v>
      </c>
      <c r="H2978" s="33">
        <v>43252</v>
      </c>
      <c r="I2978" s="34" t="s">
        <v>4570</v>
      </c>
      <c r="J2978" s="36">
        <v>172.5</v>
      </c>
      <c r="K2978" t="s">
        <v>2030</v>
      </c>
    </row>
    <row r="2979" spans="1:11" x14ac:dyDescent="0.3">
      <c r="A2979" t="s">
        <v>1550</v>
      </c>
      <c r="B2979" s="33">
        <v>43290</v>
      </c>
      <c r="C2979" s="34" t="s">
        <v>4538</v>
      </c>
      <c r="D2979" s="34">
        <v>1</v>
      </c>
      <c r="E2979" s="35" t="s">
        <v>4353</v>
      </c>
      <c r="F2979" s="35" t="s">
        <v>313</v>
      </c>
      <c r="G2979" s="106" t="s">
        <v>3852</v>
      </c>
      <c r="H2979" s="33">
        <v>43252</v>
      </c>
      <c r="I2979" s="34" t="s">
        <v>4571</v>
      </c>
      <c r="J2979" s="36">
        <v>172.5</v>
      </c>
      <c r="K2979" t="s">
        <v>2030</v>
      </c>
    </row>
    <row r="2980" spans="1:11" x14ac:dyDescent="0.3">
      <c r="A2980" t="s">
        <v>1550</v>
      </c>
      <c r="B2980" s="33">
        <v>43290</v>
      </c>
      <c r="C2980" s="34" t="s">
        <v>4538</v>
      </c>
      <c r="D2980" s="34">
        <v>1</v>
      </c>
      <c r="E2980" s="35" t="s">
        <v>4353</v>
      </c>
      <c r="F2980" s="35" t="s">
        <v>309</v>
      </c>
      <c r="G2980" s="106" t="s">
        <v>3852</v>
      </c>
      <c r="H2980" s="33">
        <v>43252</v>
      </c>
      <c r="I2980" s="34" t="s">
        <v>4572</v>
      </c>
      <c r="J2980" s="36">
        <v>172.5</v>
      </c>
      <c r="K2980" t="s">
        <v>2030</v>
      </c>
    </row>
    <row r="2981" spans="1:11" x14ac:dyDescent="0.3">
      <c r="A2981" t="s">
        <v>1550</v>
      </c>
      <c r="B2981" s="33">
        <v>43290</v>
      </c>
      <c r="C2981" s="34" t="s">
        <v>4538</v>
      </c>
      <c r="D2981" s="34">
        <v>1</v>
      </c>
      <c r="E2981" s="35" t="s">
        <v>4353</v>
      </c>
      <c r="F2981" s="35" t="s">
        <v>315</v>
      </c>
      <c r="G2981" s="106" t="s">
        <v>3852</v>
      </c>
      <c r="H2981" s="33">
        <v>43252</v>
      </c>
      <c r="I2981" s="34" t="s">
        <v>4573</v>
      </c>
      <c r="J2981" s="36">
        <v>172.5</v>
      </c>
      <c r="K2981" t="s">
        <v>2030</v>
      </c>
    </row>
    <row r="2982" spans="1:11" x14ac:dyDescent="0.3">
      <c r="A2982" t="s">
        <v>1550</v>
      </c>
      <c r="B2982" s="33">
        <v>43290</v>
      </c>
      <c r="C2982" s="34" t="s">
        <v>4538</v>
      </c>
      <c r="D2982" s="34">
        <v>1</v>
      </c>
      <c r="E2982" s="35" t="s">
        <v>4353</v>
      </c>
      <c r="F2982" s="35" t="s">
        <v>317</v>
      </c>
      <c r="G2982" s="106" t="s">
        <v>3852</v>
      </c>
      <c r="H2982" s="33">
        <v>43252</v>
      </c>
      <c r="I2982" s="34" t="s">
        <v>4574</v>
      </c>
      <c r="J2982" s="36">
        <v>172.5</v>
      </c>
      <c r="K2982" t="s">
        <v>2030</v>
      </c>
    </row>
    <row r="2983" spans="1:11" x14ac:dyDescent="0.3">
      <c r="A2983" t="s">
        <v>1550</v>
      </c>
      <c r="B2983" s="33">
        <v>43290</v>
      </c>
      <c r="C2983" s="34" t="s">
        <v>4538</v>
      </c>
      <c r="D2983" s="34">
        <v>1</v>
      </c>
      <c r="E2983" s="35" t="s">
        <v>4353</v>
      </c>
      <c r="F2983" s="35" t="s">
        <v>586</v>
      </c>
      <c r="G2983" s="106" t="s">
        <v>3852</v>
      </c>
      <c r="H2983" s="33">
        <v>43252</v>
      </c>
      <c r="I2983" s="34" t="s">
        <v>4575</v>
      </c>
      <c r="J2983" s="36">
        <v>172.5</v>
      </c>
      <c r="K2983" t="s">
        <v>2030</v>
      </c>
    </row>
    <row r="2984" spans="1:11" x14ac:dyDescent="0.3">
      <c r="A2984" t="s">
        <v>1550</v>
      </c>
      <c r="B2984" s="33">
        <v>43290</v>
      </c>
      <c r="C2984" s="34" t="s">
        <v>4538</v>
      </c>
      <c r="D2984" s="34">
        <v>1</v>
      </c>
      <c r="E2984" s="35" t="s">
        <v>4353</v>
      </c>
      <c r="F2984" s="35" t="s">
        <v>1322</v>
      </c>
      <c r="G2984" s="106" t="s">
        <v>3852</v>
      </c>
      <c r="H2984" s="33">
        <v>43252</v>
      </c>
      <c r="I2984" s="34" t="s">
        <v>4576</v>
      </c>
      <c r="J2984" s="36">
        <v>172.5</v>
      </c>
      <c r="K2984" t="s">
        <v>2030</v>
      </c>
    </row>
    <row r="2985" spans="1:11" x14ac:dyDescent="0.3">
      <c r="A2985" t="s">
        <v>1550</v>
      </c>
      <c r="B2985" s="33">
        <v>43290</v>
      </c>
      <c r="C2985" s="34" t="s">
        <v>4538</v>
      </c>
      <c r="D2985" s="34">
        <v>1</v>
      </c>
      <c r="E2985" s="35" t="s">
        <v>4353</v>
      </c>
      <c r="F2985" s="35" t="s">
        <v>584</v>
      </c>
      <c r="G2985" s="106" t="s">
        <v>3852</v>
      </c>
      <c r="H2985" s="33">
        <v>43252</v>
      </c>
      <c r="I2985" s="34" t="s">
        <v>4577</v>
      </c>
      <c r="J2985" s="36">
        <v>172.5</v>
      </c>
      <c r="K2985" t="s">
        <v>2030</v>
      </c>
    </row>
    <row r="2986" spans="1:11" x14ac:dyDescent="0.3">
      <c r="A2986" t="s">
        <v>1550</v>
      </c>
      <c r="B2986" s="33">
        <v>43290</v>
      </c>
      <c r="C2986" s="34" t="s">
        <v>4538</v>
      </c>
      <c r="D2986" s="34">
        <v>1</v>
      </c>
      <c r="E2986" s="35" t="s">
        <v>4353</v>
      </c>
      <c r="F2986" s="35" t="s">
        <v>588</v>
      </c>
      <c r="G2986" s="106" t="s">
        <v>3852</v>
      </c>
      <c r="H2986" s="33">
        <v>43252</v>
      </c>
      <c r="I2986" s="34" t="s">
        <v>4578</v>
      </c>
      <c r="J2986" s="36">
        <v>172.5</v>
      </c>
      <c r="K2986" t="s">
        <v>2030</v>
      </c>
    </row>
    <row r="2987" spans="1:11" x14ac:dyDescent="0.3">
      <c r="A2987" t="s">
        <v>1550</v>
      </c>
      <c r="B2987" s="33">
        <v>43290</v>
      </c>
      <c r="C2987" s="34" t="s">
        <v>4538</v>
      </c>
      <c r="D2987" s="34">
        <v>1</v>
      </c>
      <c r="E2987" s="35" t="s">
        <v>4353</v>
      </c>
      <c r="F2987" s="35" t="s">
        <v>1321</v>
      </c>
      <c r="G2987" s="106" t="s">
        <v>3852</v>
      </c>
      <c r="H2987" s="33">
        <v>43252</v>
      </c>
      <c r="I2987" s="34" t="s">
        <v>4579</v>
      </c>
      <c r="J2987" s="36">
        <v>172.5</v>
      </c>
      <c r="K2987" t="s">
        <v>2030</v>
      </c>
    </row>
    <row r="2988" spans="1:11" x14ac:dyDescent="0.3">
      <c r="A2988" t="s">
        <v>1550</v>
      </c>
      <c r="B2988" s="33">
        <v>43290</v>
      </c>
      <c r="C2988" s="34" t="s">
        <v>4538</v>
      </c>
      <c r="D2988" s="34">
        <v>1</v>
      </c>
      <c r="E2988" s="35" t="s">
        <v>4353</v>
      </c>
      <c r="F2988" s="35" t="s">
        <v>587</v>
      </c>
      <c r="G2988" s="106" t="s">
        <v>3852</v>
      </c>
      <c r="H2988" s="33">
        <v>43252</v>
      </c>
      <c r="I2988" s="34" t="s">
        <v>4580</v>
      </c>
      <c r="J2988" s="36">
        <v>172.5</v>
      </c>
      <c r="K2988" t="s">
        <v>2030</v>
      </c>
    </row>
    <row r="2989" spans="1:11" x14ac:dyDescent="0.3">
      <c r="A2989" t="s">
        <v>1550</v>
      </c>
      <c r="B2989" s="33">
        <v>43290</v>
      </c>
      <c r="C2989" s="34" t="s">
        <v>4538</v>
      </c>
      <c r="D2989" s="34">
        <v>1</v>
      </c>
      <c r="E2989" s="35" t="s">
        <v>4353</v>
      </c>
      <c r="F2989" s="35" t="s">
        <v>583</v>
      </c>
      <c r="G2989" s="106" t="s">
        <v>3852</v>
      </c>
      <c r="H2989" s="33">
        <v>43252</v>
      </c>
      <c r="I2989" s="34" t="s">
        <v>4581</v>
      </c>
      <c r="J2989" s="36">
        <v>172.5</v>
      </c>
      <c r="K2989" t="s">
        <v>2030</v>
      </c>
    </row>
    <row r="2990" spans="1:11" x14ac:dyDescent="0.3">
      <c r="A2990" t="s">
        <v>1550</v>
      </c>
      <c r="B2990" s="33">
        <v>43290</v>
      </c>
      <c r="C2990" s="34" t="s">
        <v>4538</v>
      </c>
      <c r="D2990" s="34">
        <v>1</v>
      </c>
      <c r="E2990" s="35" t="s">
        <v>4353</v>
      </c>
      <c r="F2990" s="35" t="s">
        <v>585</v>
      </c>
      <c r="G2990" s="106" t="s">
        <v>3852</v>
      </c>
      <c r="H2990" s="33">
        <v>43252</v>
      </c>
      <c r="I2990" s="34" t="s">
        <v>4582</v>
      </c>
      <c r="J2990" s="36">
        <v>172.5</v>
      </c>
      <c r="K2990" t="s">
        <v>2030</v>
      </c>
    </row>
    <row r="2991" spans="1:11" x14ac:dyDescent="0.3">
      <c r="A2991" t="s">
        <v>1550</v>
      </c>
      <c r="B2991" s="33">
        <v>43290</v>
      </c>
      <c r="C2991" s="34" t="s">
        <v>4538</v>
      </c>
      <c r="D2991" s="34">
        <v>1</v>
      </c>
      <c r="E2991" s="35" t="s">
        <v>4353</v>
      </c>
      <c r="F2991" s="35" t="s">
        <v>589</v>
      </c>
      <c r="G2991" s="106" t="s">
        <v>3852</v>
      </c>
      <c r="H2991" s="33">
        <v>43252</v>
      </c>
      <c r="I2991" s="34" t="s">
        <v>4583</v>
      </c>
      <c r="J2991" s="36">
        <v>172.5</v>
      </c>
      <c r="K2991" t="s">
        <v>2030</v>
      </c>
    </row>
    <row r="2992" spans="1:11" x14ac:dyDescent="0.3">
      <c r="A2992" t="s">
        <v>1550</v>
      </c>
      <c r="B2992" s="33">
        <v>43290</v>
      </c>
      <c r="C2992" s="34" t="s">
        <v>4538</v>
      </c>
      <c r="D2992" s="34">
        <v>1</v>
      </c>
      <c r="E2992" s="35" t="s">
        <v>4353</v>
      </c>
      <c r="F2992" s="35" t="s">
        <v>577</v>
      </c>
      <c r="G2992" s="106" t="s">
        <v>3852</v>
      </c>
      <c r="H2992" s="33">
        <v>43252</v>
      </c>
      <c r="I2992" s="34" t="s">
        <v>4584</v>
      </c>
      <c r="J2992" s="36">
        <v>172.5</v>
      </c>
      <c r="K2992" t="s">
        <v>2030</v>
      </c>
    </row>
    <row r="2993" spans="1:11" x14ac:dyDescent="0.3">
      <c r="A2993" t="s">
        <v>1550</v>
      </c>
      <c r="B2993" s="33">
        <v>43290</v>
      </c>
      <c r="C2993" s="34" t="s">
        <v>4538</v>
      </c>
      <c r="D2993" s="34">
        <v>1</v>
      </c>
      <c r="E2993" s="35" t="s">
        <v>4353</v>
      </c>
      <c r="F2993" s="35" t="s">
        <v>575</v>
      </c>
      <c r="G2993" s="106" t="s">
        <v>3852</v>
      </c>
      <c r="H2993" s="33">
        <v>43252</v>
      </c>
      <c r="I2993" s="34" t="s">
        <v>4585</v>
      </c>
      <c r="J2993" s="36">
        <v>172.5</v>
      </c>
      <c r="K2993" t="s">
        <v>2030</v>
      </c>
    </row>
    <row r="2994" spans="1:11" x14ac:dyDescent="0.3">
      <c r="A2994" t="s">
        <v>1550</v>
      </c>
      <c r="B2994" s="33">
        <v>43290</v>
      </c>
      <c r="C2994" s="34" t="s">
        <v>4538</v>
      </c>
      <c r="D2994" s="34">
        <v>1</v>
      </c>
      <c r="E2994" s="35" t="s">
        <v>4353</v>
      </c>
      <c r="F2994" s="35" t="s">
        <v>576</v>
      </c>
      <c r="G2994" s="106" t="s">
        <v>3852</v>
      </c>
      <c r="H2994" s="33">
        <v>43252</v>
      </c>
      <c r="I2994" s="34" t="s">
        <v>4586</v>
      </c>
      <c r="J2994" s="36">
        <v>172.5</v>
      </c>
      <c r="K2994" t="s">
        <v>2030</v>
      </c>
    </row>
    <row r="2995" spans="1:11" x14ac:dyDescent="0.3">
      <c r="A2995" t="s">
        <v>1550</v>
      </c>
      <c r="B2995" s="33">
        <v>43290</v>
      </c>
      <c r="C2995" s="34" t="s">
        <v>4538</v>
      </c>
      <c r="D2995" s="34">
        <v>1</v>
      </c>
      <c r="E2995" s="35" t="s">
        <v>4353</v>
      </c>
      <c r="F2995" s="35" t="s">
        <v>573</v>
      </c>
      <c r="G2995" s="106" t="s">
        <v>3852</v>
      </c>
      <c r="H2995" s="33">
        <v>43252</v>
      </c>
      <c r="I2995" s="34" t="s">
        <v>4587</v>
      </c>
      <c r="J2995" s="36">
        <v>172.5</v>
      </c>
      <c r="K2995" t="s">
        <v>2030</v>
      </c>
    </row>
    <row r="2996" spans="1:11" x14ac:dyDescent="0.3">
      <c r="A2996" t="s">
        <v>1550</v>
      </c>
      <c r="B2996" s="33">
        <v>43290</v>
      </c>
      <c r="C2996" s="34" t="s">
        <v>4538</v>
      </c>
      <c r="D2996" s="34">
        <v>1</v>
      </c>
      <c r="E2996" s="35" t="s">
        <v>4353</v>
      </c>
      <c r="F2996" s="35" t="s">
        <v>581</v>
      </c>
      <c r="G2996" s="106" t="s">
        <v>3852</v>
      </c>
      <c r="H2996" s="33">
        <v>43252</v>
      </c>
      <c r="I2996" s="34" t="s">
        <v>4588</v>
      </c>
      <c r="J2996" s="36">
        <v>172.5</v>
      </c>
      <c r="K2996" t="s">
        <v>2030</v>
      </c>
    </row>
    <row r="2997" spans="1:11" x14ac:dyDescent="0.3">
      <c r="A2997" t="s">
        <v>1550</v>
      </c>
      <c r="B2997" s="33">
        <v>43290</v>
      </c>
      <c r="C2997" s="34" t="s">
        <v>4538</v>
      </c>
      <c r="D2997" s="34">
        <v>1</v>
      </c>
      <c r="E2997" s="35" t="s">
        <v>4353</v>
      </c>
      <c r="F2997" s="35" t="s">
        <v>579</v>
      </c>
      <c r="G2997" s="106" t="s">
        <v>3852</v>
      </c>
      <c r="H2997" s="33">
        <v>43252</v>
      </c>
      <c r="I2997" s="34" t="s">
        <v>4589</v>
      </c>
      <c r="J2997" s="36">
        <v>172.5</v>
      </c>
      <c r="K2997" t="s">
        <v>2030</v>
      </c>
    </row>
    <row r="2998" spans="1:11" x14ac:dyDescent="0.3">
      <c r="A2998" t="s">
        <v>1550</v>
      </c>
      <c r="B2998" s="33">
        <v>43290</v>
      </c>
      <c r="C2998" s="34" t="s">
        <v>4538</v>
      </c>
      <c r="D2998" s="34">
        <v>1</v>
      </c>
      <c r="E2998" s="35" t="s">
        <v>4353</v>
      </c>
      <c r="F2998" s="35" t="s">
        <v>578</v>
      </c>
      <c r="G2998" s="106" t="s">
        <v>3852</v>
      </c>
      <c r="H2998" s="33">
        <v>43252</v>
      </c>
      <c r="I2998" s="34" t="s">
        <v>4590</v>
      </c>
      <c r="J2998" s="36">
        <v>172.5</v>
      </c>
      <c r="K2998" t="s">
        <v>2030</v>
      </c>
    </row>
    <row r="2999" spans="1:11" x14ac:dyDescent="0.3">
      <c r="A2999" t="s">
        <v>1550</v>
      </c>
      <c r="B2999" s="33">
        <v>43290</v>
      </c>
      <c r="C2999" s="34" t="s">
        <v>4538</v>
      </c>
      <c r="D2999" s="34">
        <v>1</v>
      </c>
      <c r="E2999" s="35" t="s">
        <v>4353</v>
      </c>
      <c r="F2999" s="35" t="s">
        <v>574</v>
      </c>
      <c r="G2999" s="106" t="s">
        <v>3852</v>
      </c>
      <c r="H2999" s="33">
        <v>43252</v>
      </c>
      <c r="I2999" s="34" t="s">
        <v>4591</v>
      </c>
      <c r="J2999" s="36">
        <v>172.5</v>
      </c>
      <c r="K2999" t="s">
        <v>2030</v>
      </c>
    </row>
    <row r="3000" spans="1:11" x14ac:dyDescent="0.3">
      <c r="A3000" t="s">
        <v>1550</v>
      </c>
      <c r="B3000" s="33">
        <v>43290</v>
      </c>
      <c r="C3000" s="34" t="s">
        <v>4538</v>
      </c>
      <c r="D3000" s="34">
        <v>1</v>
      </c>
      <c r="E3000" s="35" t="s">
        <v>4353</v>
      </c>
      <c r="F3000" s="35" t="s">
        <v>580</v>
      </c>
      <c r="G3000" s="106" t="s">
        <v>3852</v>
      </c>
      <c r="H3000" s="33">
        <v>43252</v>
      </c>
      <c r="I3000" s="34" t="s">
        <v>4592</v>
      </c>
      <c r="J3000" s="36">
        <v>172.5</v>
      </c>
      <c r="K3000" t="s">
        <v>2030</v>
      </c>
    </row>
    <row r="3001" spans="1:11" x14ac:dyDescent="0.3">
      <c r="A3001" t="s">
        <v>1550</v>
      </c>
      <c r="B3001" s="33">
        <v>43290</v>
      </c>
      <c r="C3001" s="34" t="s">
        <v>4538</v>
      </c>
      <c r="D3001" s="34">
        <v>1</v>
      </c>
      <c r="E3001" s="35" t="s">
        <v>4353</v>
      </c>
      <c r="F3001" s="35" t="s">
        <v>582</v>
      </c>
      <c r="G3001" s="106" t="s">
        <v>3852</v>
      </c>
      <c r="H3001" s="33">
        <v>43252</v>
      </c>
      <c r="I3001" s="34" t="s">
        <v>4593</v>
      </c>
      <c r="J3001" s="36">
        <v>172.5</v>
      </c>
      <c r="K3001" t="s">
        <v>2030</v>
      </c>
    </row>
    <row r="3002" spans="1:11" x14ac:dyDescent="0.3">
      <c r="A3002" t="s">
        <v>1550</v>
      </c>
      <c r="B3002" s="33">
        <v>43290</v>
      </c>
      <c r="C3002" s="34" t="s">
        <v>4538</v>
      </c>
      <c r="D3002" s="34">
        <v>1</v>
      </c>
      <c r="E3002" s="35" t="s">
        <v>4353</v>
      </c>
      <c r="F3002" s="35" t="s">
        <v>13</v>
      </c>
      <c r="G3002" s="106" t="s">
        <v>3852</v>
      </c>
      <c r="H3002" s="33">
        <v>43252</v>
      </c>
      <c r="I3002" s="34" t="s">
        <v>4594</v>
      </c>
      <c r="J3002" s="36">
        <v>172.5</v>
      </c>
      <c r="K3002" t="s">
        <v>2030</v>
      </c>
    </row>
    <row r="3003" spans="1:11" x14ac:dyDescent="0.3">
      <c r="A3003" t="s">
        <v>1550</v>
      </c>
      <c r="B3003" s="33">
        <v>43290</v>
      </c>
      <c r="C3003" s="34" t="s">
        <v>4538</v>
      </c>
      <c r="D3003" s="34">
        <v>1</v>
      </c>
      <c r="E3003" s="35" t="s">
        <v>4353</v>
      </c>
      <c r="F3003" s="35" t="s">
        <v>568</v>
      </c>
      <c r="G3003" s="106" t="s">
        <v>3852</v>
      </c>
      <c r="H3003" s="33">
        <v>43252</v>
      </c>
      <c r="I3003" s="34" t="s">
        <v>4595</v>
      </c>
      <c r="J3003" s="36">
        <v>172.5</v>
      </c>
      <c r="K3003" t="s">
        <v>2030</v>
      </c>
    </row>
    <row r="3004" spans="1:11" x14ac:dyDescent="0.3">
      <c r="A3004" t="s">
        <v>1550</v>
      </c>
      <c r="B3004" s="33">
        <v>43290</v>
      </c>
      <c r="C3004" s="34" t="s">
        <v>4538</v>
      </c>
      <c r="D3004" s="34">
        <v>1</v>
      </c>
      <c r="E3004" s="35" t="s">
        <v>4353</v>
      </c>
      <c r="F3004" s="35" t="s">
        <v>572</v>
      </c>
      <c r="G3004" s="106" t="s">
        <v>3852</v>
      </c>
      <c r="H3004" s="33">
        <v>43252</v>
      </c>
      <c r="I3004" s="34" t="s">
        <v>4596</v>
      </c>
      <c r="J3004" s="36">
        <v>172.5</v>
      </c>
      <c r="K3004" t="s">
        <v>2030</v>
      </c>
    </row>
    <row r="3005" spans="1:11" x14ac:dyDescent="0.3">
      <c r="A3005" t="s">
        <v>1550</v>
      </c>
      <c r="B3005" s="33">
        <v>43290</v>
      </c>
      <c r="C3005" s="34" t="s">
        <v>4538</v>
      </c>
      <c r="D3005" s="34">
        <v>1</v>
      </c>
      <c r="E3005" s="35" t="s">
        <v>4353</v>
      </c>
      <c r="F3005" s="35" t="s">
        <v>571</v>
      </c>
      <c r="G3005" s="106" t="s">
        <v>3852</v>
      </c>
      <c r="H3005" s="33">
        <v>43252</v>
      </c>
      <c r="I3005" s="34" t="s">
        <v>4597</v>
      </c>
      <c r="J3005" s="36">
        <v>172.5</v>
      </c>
      <c r="K3005" t="s">
        <v>2030</v>
      </c>
    </row>
    <row r="3006" spans="1:11" x14ac:dyDescent="0.3">
      <c r="A3006" t="s">
        <v>1550</v>
      </c>
      <c r="B3006" s="33">
        <v>43290</v>
      </c>
      <c r="C3006" s="34" t="s">
        <v>4538</v>
      </c>
      <c r="D3006" s="34">
        <v>1</v>
      </c>
      <c r="E3006" s="35" t="s">
        <v>4353</v>
      </c>
      <c r="F3006" s="35" t="s">
        <v>566</v>
      </c>
      <c r="G3006" s="106" t="s">
        <v>3852</v>
      </c>
      <c r="H3006" s="33">
        <v>43252</v>
      </c>
      <c r="I3006" s="34" t="s">
        <v>4598</v>
      </c>
      <c r="J3006" s="36">
        <v>172.5</v>
      </c>
      <c r="K3006" t="s">
        <v>2030</v>
      </c>
    </row>
    <row r="3007" spans="1:11" x14ac:dyDescent="0.3">
      <c r="A3007" t="s">
        <v>1550</v>
      </c>
      <c r="B3007" s="33">
        <v>43290</v>
      </c>
      <c r="C3007" s="34" t="s">
        <v>4538</v>
      </c>
      <c r="D3007" s="34">
        <v>1</v>
      </c>
      <c r="E3007" s="35" t="s">
        <v>4353</v>
      </c>
      <c r="F3007" s="35" t="s">
        <v>569</v>
      </c>
      <c r="G3007" s="106" t="s">
        <v>3852</v>
      </c>
      <c r="H3007" s="33">
        <v>43252</v>
      </c>
      <c r="I3007" s="34" t="s">
        <v>4599</v>
      </c>
      <c r="J3007" s="36">
        <v>172.5</v>
      </c>
      <c r="K3007" t="s">
        <v>2030</v>
      </c>
    </row>
    <row r="3008" spans="1:11" x14ac:dyDescent="0.3">
      <c r="A3008" t="s">
        <v>1550</v>
      </c>
      <c r="B3008" s="33">
        <v>43290</v>
      </c>
      <c r="C3008" s="34" t="s">
        <v>4538</v>
      </c>
      <c r="D3008" s="34">
        <v>1</v>
      </c>
      <c r="E3008" s="35" t="s">
        <v>4353</v>
      </c>
      <c r="F3008" s="35" t="s">
        <v>570</v>
      </c>
      <c r="G3008" s="106" t="s">
        <v>3852</v>
      </c>
      <c r="H3008" s="33">
        <v>43252</v>
      </c>
      <c r="I3008" s="34" t="s">
        <v>4600</v>
      </c>
      <c r="J3008" s="36">
        <v>172.5</v>
      </c>
      <c r="K3008" t="s">
        <v>2030</v>
      </c>
    </row>
    <row r="3009" spans="1:11" x14ac:dyDescent="0.3">
      <c r="A3009" t="s">
        <v>1550</v>
      </c>
      <c r="B3009" s="33">
        <v>43290</v>
      </c>
      <c r="C3009" s="34" t="s">
        <v>4538</v>
      </c>
      <c r="D3009" s="34">
        <v>1</v>
      </c>
      <c r="E3009" s="35" t="s">
        <v>4353</v>
      </c>
      <c r="F3009" s="35" t="s">
        <v>565</v>
      </c>
      <c r="G3009" s="106" t="s">
        <v>3852</v>
      </c>
      <c r="H3009" s="33">
        <v>43252</v>
      </c>
      <c r="I3009" s="34" t="s">
        <v>4601</v>
      </c>
      <c r="J3009" s="36">
        <v>172.5</v>
      </c>
      <c r="K3009" t="s">
        <v>2030</v>
      </c>
    </row>
    <row r="3010" spans="1:11" x14ac:dyDescent="0.3">
      <c r="A3010" t="s">
        <v>1550</v>
      </c>
      <c r="B3010" s="33">
        <v>43290</v>
      </c>
      <c r="C3010" s="34" t="s">
        <v>4538</v>
      </c>
      <c r="D3010" s="34">
        <v>1</v>
      </c>
      <c r="E3010" s="35" t="s">
        <v>4353</v>
      </c>
      <c r="F3010" s="35" t="s">
        <v>558</v>
      </c>
      <c r="G3010" s="106" t="s">
        <v>3852</v>
      </c>
      <c r="H3010" s="33">
        <v>43252</v>
      </c>
      <c r="I3010" s="34" t="s">
        <v>4602</v>
      </c>
      <c r="J3010" s="36">
        <v>172.5</v>
      </c>
      <c r="K3010" t="s">
        <v>2030</v>
      </c>
    </row>
    <row r="3011" spans="1:11" x14ac:dyDescent="0.3">
      <c r="A3011" t="s">
        <v>1550</v>
      </c>
      <c r="B3011" s="33">
        <v>43290</v>
      </c>
      <c r="C3011" s="34" t="s">
        <v>4538</v>
      </c>
      <c r="D3011" s="34">
        <v>1</v>
      </c>
      <c r="E3011" s="35" t="s">
        <v>4353</v>
      </c>
      <c r="F3011" s="35" t="s">
        <v>562</v>
      </c>
      <c r="G3011" s="106" t="s">
        <v>3852</v>
      </c>
      <c r="H3011" s="33">
        <v>43252</v>
      </c>
      <c r="I3011" s="34" t="s">
        <v>4603</v>
      </c>
      <c r="J3011" s="36">
        <v>172.5</v>
      </c>
      <c r="K3011" t="s">
        <v>2030</v>
      </c>
    </row>
    <row r="3012" spans="1:11" x14ac:dyDescent="0.3">
      <c r="A3012" t="s">
        <v>1550</v>
      </c>
      <c r="B3012" s="33">
        <v>43290</v>
      </c>
      <c r="C3012" s="34" t="s">
        <v>4538</v>
      </c>
      <c r="D3012" s="34">
        <v>1</v>
      </c>
      <c r="E3012" s="35" t="s">
        <v>4353</v>
      </c>
      <c r="F3012" s="35" t="s">
        <v>564</v>
      </c>
      <c r="G3012" s="106" t="s">
        <v>3852</v>
      </c>
      <c r="H3012" s="33">
        <v>43252</v>
      </c>
      <c r="I3012" s="34" t="s">
        <v>4604</v>
      </c>
      <c r="J3012" s="36">
        <v>172.5</v>
      </c>
      <c r="K3012" t="s">
        <v>2030</v>
      </c>
    </row>
    <row r="3013" spans="1:11" x14ac:dyDescent="0.3">
      <c r="A3013" t="s">
        <v>1550</v>
      </c>
      <c r="B3013" s="33">
        <v>43290</v>
      </c>
      <c r="C3013" s="34" t="s">
        <v>4538</v>
      </c>
      <c r="D3013" s="34">
        <v>1</v>
      </c>
      <c r="E3013" s="35" t="s">
        <v>4353</v>
      </c>
      <c r="F3013" s="35" t="s">
        <v>567</v>
      </c>
      <c r="G3013" s="106" t="s">
        <v>3852</v>
      </c>
      <c r="H3013" s="33">
        <v>43252</v>
      </c>
      <c r="I3013" s="34" t="s">
        <v>4605</v>
      </c>
      <c r="J3013" s="36">
        <v>172.5</v>
      </c>
      <c r="K3013" t="s">
        <v>2030</v>
      </c>
    </row>
    <row r="3014" spans="1:11" x14ac:dyDescent="0.3">
      <c r="A3014" t="s">
        <v>1550</v>
      </c>
      <c r="B3014" s="33">
        <v>43290</v>
      </c>
      <c r="C3014" s="34" t="s">
        <v>4538</v>
      </c>
      <c r="D3014" s="34">
        <v>1</v>
      </c>
      <c r="E3014" s="35" t="s">
        <v>4353</v>
      </c>
      <c r="F3014" s="35" t="s">
        <v>563</v>
      </c>
      <c r="G3014" s="106" t="s">
        <v>3852</v>
      </c>
      <c r="H3014" s="33">
        <v>43252</v>
      </c>
      <c r="I3014" s="34" t="s">
        <v>4606</v>
      </c>
      <c r="J3014" s="36">
        <v>172.5</v>
      </c>
      <c r="K3014" t="s">
        <v>2030</v>
      </c>
    </row>
    <row r="3015" spans="1:11" x14ac:dyDescent="0.3">
      <c r="A3015" t="s">
        <v>1550</v>
      </c>
      <c r="B3015" s="33">
        <v>43290</v>
      </c>
      <c r="C3015" s="34" t="s">
        <v>4538</v>
      </c>
      <c r="D3015" s="34">
        <v>1</v>
      </c>
      <c r="E3015" s="35" t="s">
        <v>4353</v>
      </c>
      <c r="F3015" s="35" t="s">
        <v>561</v>
      </c>
      <c r="G3015" s="106" t="s">
        <v>3852</v>
      </c>
      <c r="H3015" s="33">
        <v>43252</v>
      </c>
      <c r="I3015" s="34" t="s">
        <v>4607</v>
      </c>
      <c r="J3015" s="36">
        <v>172.5</v>
      </c>
      <c r="K3015" t="s">
        <v>2030</v>
      </c>
    </row>
    <row r="3016" spans="1:11" x14ac:dyDescent="0.3">
      <c r="A3016" t="s">
        <v>1550</v>
      </c>
      <c r="B3016" s="33">
        <v>43290</v>
      </c>
      <c r="C3016" s="34" t="s">
        <v>4538</v>
      </c>
      <c r="D3016" s="34">
        <v>1</v>
      </c>
      <c r="E3016" s="35" t="s">
        <v>4353</v>
      </c>
      <c r="F3016" s="35" t="s">
        <v>346</v>
      </c>
      <c r="G3016" s="106" t="s">
        <v>3852</v>
      </c>
      <c r="H3016" s="33">
        <v>43252</v>
      </c>
      <c r="I3016" s="34" t="s">
        <v>4608</v>
      </c>
      <c r="J3016" s="36">
        <v>172.5</v>
      </c>
      <c r="K3016" t="s">
        <v>2030</v>
      </c>
    </row>
    <row r="3017" spans="1:11" x14ac:dyDescent="0.3">
      <c r="A3017" t="s">
        <v>1550</v>
      </c>
      <c r="B3017" s="33">
        <v>43290</v>
      </c>
      <c r="C3017" s="34" t="s">
        <v>4538</v>
      </c>
      <c r="D3017" s="34">
        <v>1</v>
      </c>
      <c r="E3017" s="35" t="s">
        <v>4353</v>
      </c>
      <c r="F3017" s="35" t="s">
        <v>560</v>
      </c>
      <c r="G3017" s="106" t="s">
        <v>3852</v>
      </c>
      <c r="H3017" s="33">
        <v>43252</v>
      </c>
      <c r="I3017" s="34" t="s">
        <v>4609</v>
      </c>
      <c r="J3017" s="36">
        <v>172.5</v>
      </c>
      <c r="K3017" t="s">
        <v>2030</v>
      </c>
    </row>
    <row r="3018" spans="1:11" x14ac:dyDescent="0.3">
      <c r="A3018" t="s">
        <v>1550</v>
      </c>
      <c r="B3018" s="33">
        <v>43290</v>
      </c>
      <c r="C3018" s="34" t="s">
        <v>4538</v>
      </c>
      <c r="D3018" s="34">
        <v>1</v>
      </c>
      <c r="E3018" s="35" t="s">
        <v>4353</v>
      </c>
      <c r="F3018" s="35" t="s">
        <v>559</v>
      </c>
      <c r="G3018" s="106" t="s">
        <v>3852</v>
      </c>
      <c r="H3018" s="33">
        <v>43252</v>
      </c>
      <c r="I3018" s="34" t="s">
        <v>4610</v>
      </c>
      <c r="J3018" s="36">
        <v>172.5</v>
      </c>
      <c r="K3018" t="s">
        <v>2030</v>
      </c>
    </row>
    <row r="3019" spans="1:11" x14ac:dyDescent="0.3">
      <c r="A3019" t="s">
        <v>1550</v>
      </c>
      <c r="B3019" s="33">
        <v>43290</v>
      </c>
      <c r="C3019" s="34" t="s">
        <v>4538</v>
      </c>
      <c r="D3019" s="34">
        <v>1</v>
      </c>
      <c r="E3019" s="35" t="s">
        <v>4353</v>
      </c>
      <c r="F3019" s="35" t="s">
        <v>312</v>
      </c>
      <c r="G3019" s="106" t="s">
        <v>3852</v>
      </c>
      <c r="H3019" s="33">
        <v>43252</v>
      </c>
      <c r="I3019" s="34" t="s">
        <v>4611</v>
      </c>
      <c r="J3019" s="36">
        <v>172.5</v>
      </c>
      <c r="K3019" t="s">
        <v>2030</v>
      </c>
    </row>
    <row r="3020" spans="1:11" x14ac:dyDescent="0.3">
      <c r="A3020" t="s">
        <v>1550</v>
      </c>
      <c r="B3020" s="33">
        <v>43290</v>
      </c>
      <c r="C3020" s="34" t="s">
        <v>4538</v>
      </c>
      <c r="D3020" s="34">
        <v>1</v>
      </c>
      <c r="E3020" s="35" t="s">
        <v>4353</v>
      </c>
      <c r="F3020" s="35" t="s">
        <v>136</v>
      </c>
      <c r="G3020" s="106" t="s">
        <v>3852</v>
      </c>
      <c r="H3020" s="33">
        <v>43252</v>
      </c>
      <c r="I3020" s="34" t="s">
        <v>4612</v>
      </c>
      <c r="J3020" s="36">
        <v>172.5</v>
      </c>
      <c r="K3020" t="s">
        <v>2030</v>
      </c>
    </row>
    <row r="3021" spans="1:11" x14ac:dyDescent="0.3">
      <c r="A3021" t="s">
        <v>1550</v>
      </c>
      <c r="B3021" s="33">
        <v>43290</v>
      </c>
      <c r="C3021" s="34" t="s">
        <v>4538</v>
      </c>
      <c r="D3021" s="34">
        <v>1</v>
      </c>
      <c r="E3021" s="35" t="s">
        <v>4353</v>
      </c>
      <c r="F3021" s="35" t="s">
        <v>133</v>
      </c>
      <c r="G3021" s="106" t="s">
        <v>3852</v>
      </c>
      <c r="H3021" s="33">
        <v>43252</v>
      </c>
      <c r="I3021" s="34" t="s">
        <v>4613</v>
      </c>
      <c r="J3021" s="36">
        <v>172.5</v>
      </c>
      <c r="K3021" t="s">
        <v>2030</v>
      </c>
    </row>
    <row r="3022" spans="1:11" x14ac:dyDescent="0.3">
      <c r="A3022" t="s">
        <v>1550</v>
      </c>
      <c r="B3022" s="33">
        <v>43290</v>
      </c>
      <c r="C3022" s="34" t="s">
        <v>4538</v>
      </c>
      <c r="D3022" s="34">
        <v>1</v>
      </c>
      <c r="E3022" s="35" t="s">
        <v>4353</v>
      </c>
      <c r="F3022" s="35" t="s">
        <v>132</v>
      </c>
      <c r="G3022" s="106" t="s">
        <v>3852</v>
      </c>
      <c r="H3022" s="33">
        <v>43252</v>
      </c>
      <c r="I3022" s="34" t="s">
        <v>4614</v>
      </c>
      <c r="J3022" s="36">
        <v>172.5</v>
      </c>
      <c r="K3022" t="s">
        <v>2030</v>
      </c>
    </row>
    <row r="3023" spans="1:11" x14ac:dyDescent="0.3">
      <c r="A3023" t="s">
        <v>1550</v>
      </c>
      <c r="B3023" s="33">
        <v>43290</v>
      </c>
      <c r="C3023" s="34" t="s">
        <v>4538</v>
      </c>
      <c r="D3023" s="34">
        <v>1</v>
      </c>
      <c r="E3023" s="35" t="s">
        <v>4353</v>
      </c>
      <c r="F3023" s="35" t="s">
        <v>127</v>
      </c>
      <c r="G3023" s="106" t="s">
        <v>3852</v>
      </c>
      <c r="H3023" s="33">
        <v>43252</v>
      </c>
      <c r="I3023" s="34" t="s">
        <v>4615</v>
      </c>
      <c r="J3023" s="36">
        <v>172.5</v>
      </c>
      <c r="K3023" t="s">
        <v>2030</v>
      </c>
    </row>
    <row r="3024" spans="1:11" x14ac:dyDescent="0.3">
      <c r="A3024" t="s">
        <v>1550</v>
      </c>
      <c r="B3024" s="33">
        <v>43290</v>
      </c>
      <c r="C3024" s="34" t="s">
        <v>4538</v>
      </c>
      <c r="D3024" s="34">
        <v>1</v>
      </c>
      <c r="E3024" s="35" t="s">
        <v>4353</v>
      </c>
      <c r="F3024" s="35" t="s">
        <v>124</v>
      </c>
      <c r="G3024" s="106" t="s">
        <v>3852</v>
      </c>
      <c r="H3024" s="33">
        <v>43252</v>
      </c>
      <c r="I3024" s="34" t="s">
        <v>4616</v>
      </c>
      <c r="J3024" s="36">
        <v>172.5</v>
      </c>
      <c r="K3024" t="s">
        <v>2030</v>
      </c>
    </row>
    <row r="3025" spans="1:11" x14ac:dyDescent="0.3">
      <c r="A3025" t="s">
        <v>1550</v>
      </c>
      <c r="B3025" s="33">
        <v>43290</v>
      </c>
      <c r="C3025" s="34" t="s">
        <v>4538</v>
      </c>
      <c r="D3025" s="34">
        <v>1</v>
      </c>
      <c r="E3025" s="35" t="s">
        <v>4353</v>
      </c>
      <c r="F3025" s="35" t="s">
        <v>122</v>
      </c>
      <c r="G3025" s="106" t="s">
        <v>3852</v>
      </c>
      <c r="H3025" s="33">
        <v>43252</v>
      </c>
      <c r="I3025" s="34" t="s">
        <v>4617</v>
      </c>
      <c r="J3025" s="36">
        <v>172.5</v>
      </c>
      <c r="K3025" t="s">
        <v>2030</v>
      </c>
    </row>
    <row r="3026" spans="1:11" x14ac:dyDescent="0.3">
      <c r="A3026" t="s">
        <v>1550</v>
      </c>
      <c r="B3026" s="33">
        <v>43290</v>
      </c>
      <c r="C3026" s="34" t="s">
        <v>4538</v>
      </c>
      <c r="D3026" s="34">
        <v>1</v>
      </c>
      <c r="E3026" s="35" t="s">
        <v>4353</v>
      </c>
      <c r="F3026" s="35" t="s">
        <v>126</v>
      </c>
      <c r="G3026" s="106" t="s">
        <v>3852</v>
      </c>
      <c r="H3026" s="33">
        <v>43252</v>
      </c>
      <c r="I3026" s="34" t="s">
        <v>4618</v>
      </c>
      <c r="J3026" s="36">
        <v>172.5</v>
      </c>
      <c r="K3026" t="s">
        <v>2030</v>
      </c>
    </row>
    <row r="3027" spans="1:11" x14ac:dyDescent="0.3">
      <c r="A3027" t="s">
        <v>1550</v>
      </c>
      <c r="B3027" s="33">
        <v>43290</v>
      </c>
      <c r="C3027" s="34" t="s">
        <v>4538</v>
      </c>
      <c r="D3027" s="34">
        <v>1</v>
      </c>
      <c r="E3027" s="35" t="s">
        <v>4353</v>
      </c>
      <c r="F3027" s="35" t="s">
        <v>130</v>
      </c>
      <c r="G3027" s="106" t="s">
        <v>3852</v>
      </c>
      <c r="H3027" s="33">
        <v>43252</v>
      </c>
      <c r="I3027" s="34" t="s">
        <v>4619</v>
      </c>
      <c r="J3027" s="36">
        <v>172.5</v>
      </c>
      <c r="K3027" t="s">
        <v>2030</v>
      </c>
    </row>
    <row r="3028" spans="1:11" x14ac:dyDescent="0.3">
      <c r="A3028" t="s">
        <v>1550</v>
      </c>
      <c r="B3028" s="33">
        <v>43290</v>
      </c>
      <c r="C3028" s="34" t="s">
        <v>4538</v>
      </c>
      <c r="D3028" s="34">
        <v>1</v>
      </c>
      <c r="E3028" s="35" t="s">
        <v>4353</v>
      </c>
      <c r="F3028" s="35" t="s">
        <v>123</v>
      </c>
      <c r="G3028" s="106" t="s">
        <v>3852</v>
      </c>
      <c r="H3028" s="33">
        <v>43252</v>
      </c>
      <c r="I3028" s="34" t="s">
        <v>4620</v>
      </c>
      <c r="J3028" s="36">
        <v>172.5</v>
      </c>
      <c r="K3028" t="s">
        <v>2030</v>
      </c>
    </row>
    <row r="3029" spans="1:11" x14ac:dyDescent="0.3">
      <c r="A3029" t="s">
        <v>1550</v>
      </c>
      <c r="B3029" s="33">
        <v>43290</v>
      </c>
      <c r="C3029" s="34" t="s">
        <v>4538</v>
      </c>
      <c r="D3029" s="34">
        <v>1</v>
      </c>
      <c r="E3029" s="35" t="s">
        <v>4353</v>
      </c>
      <c r="F3029" s="35" t="s">
        <v>125</v>
      </c>
      <c r="G3029" s="106" t="s">
        <v>3852</v>
      </c>
      <c r="H3029" s="33">
        <v>43252</v>
      </c>
      <c r="I3029" s="34" t="s">
        <v>4621</v>
      </c>
      <c r="J3029" s="36">
        <v>172.5</v>
      </c>
      <c r="K3029" t="s">
        <v>2030</v>
      </c>
    </row>
    <row r="3030" spans="1:11" x14ac:dyDescent="0.3">
      <c r="A3030" t="s">
        <v>1550</v>
      </c>
      <c r="B3030" s="33">
        <v>43290</v>
      </c>
      <c r="C3030" s="34" t="s">
        <v>4538</v>
      </c>
      <c r="D3030" s="34">
        <v>1</v>
      </c>
      <c r="E3030" s="35" t="s">
        <v>4353</v>
      </c>
      <c r="F3030" s="35" t="s">
        <v>129</v>
      </c>
      <c r="G3030" s="106" t="s">
        <v>3852</v>
      </c>
      <c r="H3030" s="33">
        <v>43252</v>
      </c>
      <c r="I3030" s="34" t="s">
        <v>4622</v>
      </c>
      <c r="J3030" s="36">
        <v>172.5</v>
      </c>
      <c r="K3030" t="s">
        <v>2030</v>
      </c>
    </row>
    <row r="3031" spans="1:11" x14ac:dyDescent="0.3">
      <c r="A3031" t="s">
        <v>1550</v>
      </c>
      <c r="B3031" s="33">
        <v>43290</v>
      </c>
      <c r="C3031" s="34" t="s">
        <v>4538</v>
      </c>
      <c r="D3031" s="34">
        <v>1</v>
      </c>
      <c r="E3031" s="35" t="s">
        <v>4353</v>
      </c>
      <c r="F3031" s="35" t="s">
        <v>128</v>
      </c>
      <c r="G3031" s="106" t="s">
        <v>3852</v>
      </c>
      <c r="H3031" s="33">
        <v>43252</v>
      </c>
      <c r="I3031" s="34" t="s">
        <v>4623</v>
      </c>
      <c r="J3031" s="36">
        <v>172.5</v>
      </c>
      <c r="K3031" t="s">
        <v>2030</v>
      </c>
    </row>
    <row r="3032" spans="1:11" x14ac:dyDescent="0.3">
      <c r="A3032" t="s">
        <v>1550</v>
      </c>
      <c r="B3032" s="33">
        <v>43290</v>
      </c>
      <c r="C3032" s="34" t="s">
        <v>4538</v>
      </c>
      <c r="D3032" s="34">
        <v>1</v>
      </c>
      <c r="E3032" s="35" t="s">
        <v>4353</v>
      </c>
      <c r="F3032" s="35" t="s">
        <v>121</v>
      </c>
      <c r="G3032" s="106" t="s">
        <v>3852</v>
      </c>
      <c r="H3032" s="33">
        <v>43252</v>
      </c>
      <c r="I3032" s="34" t="s">
        <v>4624</v>
      </c>
      <c r="J3032" s="36">
        <v>172.5</v>
      </c>
      <c r="K3032" t="s">
        <v>2030</v>
      </c>
    </row>
    <row r="3033" spans="1:11" x14ac:dyDescent="0.3">
      <c r="A3033" t="s">
        <v>1550</v>
      </c>
      <c r="B3033" s="33">
        <v>43290</v>
      </c>
      <c r="C3033" s="34" t="s">
        <v>4538</v>
      </c>
      <c r="D3033" s="34">
        <v>1</v>
      </c>
      <c r="E3033" s="35" t="s">
        <v>4353</v>
      </c>
      <c r="F3033" s="35" t="s">
        <v>9</v>
      </c>
      <c r="G3033" s="106" t="s">
        <v>3852</v>
      </c>
      <c r="H3033" s="33">
        <v>43252</v>
      </c>
      <c r="I3033" s="34" t="s">
        <v>4625</v>
      </c>
      <c r="J3033" s="36">
        <v>172.5</v>
      </c>
      <c r="K3033" t="s">
        <v>2030</v>
      </c>
    </row>
    <row r="3034" spans="1:11" x14ac:dyDescent="0.3">
      <c r="A3034" t="s">
        <v>1550</v>
      </c>
      <c r="B3034" s="33">
        <v>43290</v>
      </c>
      <c r="C3034" s="34" t="s">
        <v>4538</v>
      </c>
      <c r="D3034" s="34">
        <v>1</v>
      </c>
      <c r="E3034" s="35" t="s">
        <v>4353</v>
      </c>
      <c r="F3034" s="35" t="s">
        <v>118</v>
      </c>
      <c r="G3034" s="106" t="s">
        <v>3852</v>
      </c>
      <c r="H3034" s="33">
        <v>43252</v>
      </c>
      <c r="I3034" s="34" t="s">
        <v>4626</v>
      </c>
      <c r="J3034" s="36">
        <v>172.5</v>
      </c>
      <c r="K3034" t="s">
        <v>2030</v>
      </c>
    </row>
    <row r="3035" spans="1:11" x14ac:dyDescent="0.3">
      <c r="A3035" t="s">
        <v>1550</v>
      </c>
      <c r="B3035" s="33">
        <v>43290</v>
      </c>
      <c r="C3035" s="34" t="s">
        <v>4538</v>
      </c>
      <c r="D3035" s="34">
        <v>1</v>
      </c>
      <c r="E3035" s="35" t="s">
        <v>4353</v>
      </c>
      <c r="F3035" s="35" t="s">
        <v>119</v>
      </c>
      <c r="G3035" s="106" t="s">
        <v>3852</v>
      </c>
      <c r="H3035" s="33">
        <v>43252</v>
      </c>
      <c r="I3035" s="34" t="s">
        <v>4627</v>
      </c>
      <c r="J3035" s="36">
        <v>172.5</v>
      </c>
      <c r="K3035" t="s">
        <v>2030</v>
      </c>
    </row>
    <row r="3036" spans="1:11" x14ac:dyDescent="0.3">
      <c r="A3036" t="s">
        <v>1550</v>
      </c>
      <c r="B3036" s="33">
        <v>43290</v>
      </c>
      <c r="C3036" s="34" t="s">
        <v>4538</v>
      </c>
      <c r="D3036" s="34">
        <v>1</v>
      </c>
      <c r="E3036" s="35" t="s">
        <v>4353</v>
      </c>
      <c r="F3036" s="35" t="s">
        <v>120</v>
      </c>
      <c r="G3036" s="106" t="s">
        <v>3852</v>
      </c>
      <c r="H3036" s="33">
        <v>43252</v>
      </c>
      <c r="I3036" s="34" t="s">
        <v>4628</v>
      </c>
      <c r="J3036" s="36">
        <v>172.5</v>
      </c>
      <c r="K3036" t="s">
        <v>2030</v>
      </c>
    </row>
    <row r="3037" spans="1:11" x14ac:dyDescent="0.3">
      <c r="A3037" t="s">
        <v>1550</v>
      </c>
      <c r="B3037" s="33">
        <v>43290</v>
      </c>
      <c r="C3037" s="34" t="s">
        <v>4538</v>
      </c>
      <c r="D3037" s="34">
        <v>1</v>
      </c>
      <c r="E3037" s="35" t="s">
        <v>4353</v>
      </c>
      <c r="F3037" s="35" t="s">
        <v>116</v>
      </c>
      <c r="G3037" s="106" t="s">
        <v>3852</v>
      </c>
      <c r="H3037" s="33">
        <v>43252</v>
      </c>
      <c r="I3037" s="34" t="s">
        <v>4629</v>
      </c>
      <c r="J3037" s="36">
        <v>465</v>
      </c>
      <c r="K3037" t="s">
        <v>2030</v>
      </c>
    </row>
    <row r="3038" spans="1:11" x14ac:dyDescent="0.3">
      <c r="A3038" t="s">
        <v>1550</v>
      </c>
      <c r="B3038" s="33">
        <v>43290</v>
      </c>
      <c r="C3038" s="34" t="s">
        <v>4538</v>
      </c>
      <c r="D3038" s="34">
        <v>1</v>
      </c>
      <c r="E3038" s="35" t="s">
        <v>4353</v>
      </c>
      <c r="F3038" s="35" t="s">
        <v>112</v>
      </c>
      <c r="G3038" s="106" t="s">
        <v>3852</v>
      </c>
      <c r="H3038" s="33">
        <v>43252</v>
      </c>
      <c r="I3038" s="34" t="s">
        <v>4630</v>
      </c>
      <c r="J3038" s="36">
        <v>465</v>
      </c>
      <c r="K3038" t="s">
        <v>2030</v>
      </c>
    </row>
    <row r="3039" spans="1:11" x14ac:dyDescent="0.3">
      <c r="A3039" t="s">
        <v>1550</v>
      </c>
      <c r="B3039" s="33">
        <v>43290</v>
      </c>
      <c r="C3039" s="34" t="s">
        <v>4538</v>
      </c>
      <c r="D3039" s="34">
        <v>1</v>
      </c>
      <c r="E3039" s="35" t="s">
        <v>4353</v>
      </c>
      <c r="F3039" s="35" t="s">
        <v>114</v>
      </c>
      <c r="G3039" s="106" t="s">
        <v>3852</v>
      </c>
      <c r="H3039" s="33">
        <v>43252</v>
      </c>
      <c r="I3039" s="34" t="s">
        <v>4631</v>
      </c>
      <c r="J3039" s="36">
        <v>465</v>
      </c>
      <c r="K3039" t="s">
        <v>2030</v>
      </c>
    </row>
    <row r="3040" spans="1:11" x14ac:dyDescent="0.3">
      <c r="A3040" t="s">
        <v>1550</v>
      </c>
      <c r="B3040" s="33">
        <v>43290</v>
      </c>
      <c r="C3040" s="34" t="s">
        <v>4538</v>
      </c>
      <c r="D3040" s="34">
        <v>1</v>
      </c>
      <c r="E3040" s="35" t="s">
        <v>4353</v>
      </c>
      <c r="F3040" s="35" t="s">
        <v>115</v>
      </c>
      <c r="G3040" s="106" t="s">
        <v>3852</v>
      </c>
      <c r="H3040" s="33">
        <v>43252</v>
      </c>
      <c r="I3040" s="34" t="s">
        <v>4632</v>
      </c>
      <c r="J3040" s="36">
        <v>465</v>
      </c>
      <c r="K3040" t="s">
        <v>2030</v>
      </c>
    </row>
    <row r="3041" spans="1:11" x14ac:dyDescent="0.3">
      <c r="A3041" t="s">
        <v>1550</v>
      </c>
      <c r="B3041" s="33">
        <v>43290</v>
      </c>
      <c r="C3041" s="34" t="s">
        <v>4538</v>
      </c>
      <c r="D3041" s="34">
        <v>1</v>
      </c>
      <c r="E3041" s="35" t="s">
        <v>4353</v>
      </c>
      <c r="F3041" s="35" t="s">
        <v>111</v>
      </c>
      <c r="G3041" s="106" t="s">
        <v>3852</v>
      </c>
      <c r="H3041" s="33">
        <v>43252</v>
      </c>
      <c r="I3041" s="34" t="s">
        <v>4633</v>
      </c>
      <c r="J3041" s="36">
        <v>465</v>
      </c>
      <c r="K3041" t="s">
        <v>2030</v>
      </c>
    </row>
    <row r="3042" spans="1:11" x14ac:dyDescent="0.3">
      <c r="A3042" t="s">
        <v>1550</v>
      </c>
      <c r="B3042" s="33">
        <v>43290</v>
      </c>
      <c r="C3042" s="34" t="s">
        <v>4538</v>
      </c>
      <c r="D3042" s="34">
        <v>1</v>
      </c>
      <c r="E3042" s="35" t="s">
        <v>4353</v>
      </c>
      <c r="F3042" s="35" t="s">
        <v>106</v>
      </c>
      <c r="G3042" s="106" t="s">
        <v>3852</v>
      </c>
      <c r="H3042" s="33">
        <v>43252</v>
      </c>
      <c r="I3042" s="34" t="s">
        <v>4634</v>
      </c>
      <c r="J3042" s="36">
        <v>465</v>
      </c>
      <c r="K3042" t="s">
        <v>2030</v>
      </c>
    </row>
    <row r="3043" spans="1:11" x14ac:dyDescent="0.3">
      <c r="A3043" t="s">
        <v>1550</v>
      </c>
      <c r="B3043" s="33">
        <v>43290</v>
      </c>
      <c r="C3043" s="34" t="s">
        <v>4538</v>
      </c>
      <c r="D3043" s="34">
        <v>1</v>
      </c>
      <c r="E3043" s="35" t="s">
        <v>4353</v>
      </c>
      <c r="F3043" s="35" t="s">
        <v>102</v>
      </c>
      <c r="G3043" s="106" t="s">
        <v>3852</v>
      </c>
      <c r="H3043" s="33">
        <v>43252</v>
      </c>
      <c r="I3043" s="34" t="s">
        <v>4635</v>
      </c>
      <c r="J3043" s="36">
        <v>465</v>
      </c>
      <c r="K3043" t="s">
        <v>2030</v>
      </c>
    </row>
    <row r="3044" spans="1:11" x14ac:dyDescent="0.3">
      <c r="A3044" t="s">
        <v>1550</v>
      </c>
      <c r="B3044" s="33">
        <v>43290</v>
      </c>
      <c r="C3044" s="34" t="s">
        <v>4538</v>
      </c>
      <c r="D3044" s="34">
        <v>1</v>
      </c>
      <c r="E3044" s="35" t="s">
        <v>4353</v>
      </c>
      <c r="F3044" s="35" t="s">
        <v>105</v>
      </c>
      <c r="G3044" s="106" t="s">
        <v>3852</v>
      </c>
      <c r="H3044" s="33">
        <v>43252</v>
      </c>
      <c r="I3044" s="34" t="s">
        <v>4636</v>
      </c>
      <c r="J3044" s="36">
        <v>465</v>
      </c>
      <c r="K3044" t="s">
        <v>2030</v>
      </c>
    </row>
    <row r="3045" spans="1:11" x14ac:dyDescent="0.3">
      <c r="A3045" t="s">
        <v>1550</v>
      </c>
      <c r="B3045" s="33">
        <v>43290</v>
      </c>
      <c r="C3045" s="34" t="s">
        <v>4538</v>
      </c>
      <c r="D3045" s="34">
        <v>1</v>
      </c>
      <c r="E3045" s="35" t="s">
        <v>4353</v>
      </c>
      <c r="F3045" s="35" t="s">
        <v>103</v>
      </c>
      <c r="G3045" s="106" t="s">
        <v>3852</v>
      </c>
      <c r="H3045" s="33">
        <v>43252</v>
      </c>
      <c r="I3045" s="34" t="s">
        <v>4637</v>
      </c>
      <c r="J3045" s="36">
        <v>465</v>
      </c>
      <c r="K3045" t="s">
        <v>2030</v>
      </c>
    </row>
    <row r="3046" spans="1:11" x14ac:dyDescent="0.3">
      <c r="A3046" t="s">
        <v>1550</v>
      </c>
      <c r="B3046" s="33">
        <v>43290</v>
      </c>
      <c r="C3046" s="34" t="s">
        <v>4538</v>
      </c>
      <c r="D3046" s="34">
        <v>1</v>
      </c>
      <c r="E3046" s="35" t="s">
        <v>4353</v>
      </c>
      <c r="F3046" s="35" t="s">
        <v>108</v>
      </c>
      <c r="G3046" s="106" t="s">
        <v>3852</v>
      </c>
      <c r="H3046" s="33">
        <v>43252</v>
      </c>
      <c r="I3046" s="34" t="s">
        <v>4638</v>
      </c>
      <c r="J3046" s="36">
        <v>465</v>
      </c>
      <c r="K3046" t="s">
        <v>2030</v>
      </c>
    </row>
    <row r="3047" spans="1:11" x14ac:dyDescent="0.3">
      <c r="A3047" t="s">
        <v>1550</v>
      </c>
      <c r="B3047" s="33">
        <v>43290</v>
      </c>
      <c r="C3047" s="34" t="s">
        <v>4538</v>
      </c>
      <c r="D3047" s="34">
        <v>1</v>
      </c>
      <c r="E3047" s="35" t="s">
        <v>4353</v>
      </c>
      <c r="F3047" s="35" t="s">
        <v>107</v>
      </c>
      <c r="G3047" s="106" t="s">
        <v>3852</v>
      </c>
      <c r="H3047" s="33">
        <v>43252</v>
      </c>
      <c r="I3047" s="34" t="s">
        <v>4639</v>
      </c>
      <c r="J3047" s="36">
        <v>465</v>
      </c>
      <c r="K3047" t="s">
        <v>2030</v>
      </c>
    </row>
    <row r="3048" spans="1:11" x14ac:dyDescent="0.3">
      <c r="A3048" t="s">
        <v>1550</v>
      </c>
      <c r="B3048" s="33">
        <v>43290</v>
      </c>
      <c r="C3048" s="34" t="s">
        <v>4538</v>
      </c>
      <c r="D3048" s="34">
        <v>1</v>
      </c>
      <c r="E3048" s="35" t="s">
        <v>4353</v>
      </c>
      <c r="F3048" s="35" t="s">
        <v>109</v>
      </c>
      <c r="G3048" s="106" t="s">
        <v>3852</v>
      </c>
      <c r="H3048" s="33">
        <v>43252</v>
      </c>
      <c r="I3048" s="34" t="s">
        <v>4640</v>
      </c>
      <c r="J3048" s="36">
        <v>465</v>
      </c>
      <c r="K3048" t="s">
        <v>2030</v>
      </c>
    </row>
    <row r="3049" spans="1:11" x14ac:dyDescent="0.3">
      <c r="A3049" t="s">
        <v>1550</v>
      </c>
      <c r="B3049" s="33">
        <v>43290</v>
      </c>
      <c r="C3049" s="34" t="s">
        <v>4538</v>
      </c>
      <c r="D3049" s="34">
        <v>1</v>
      </c>
      <c r="E3049" s="35" t="s">
        <v>4353</v>
      </c>
      <c r="F3049" s="35" t="s">
        <v>113</v>
      </c>
      <c r="G3049" s="106" t="s">
        <v>3852</v>
      </c>
      <c r="H3049" s="33">
        <v>43252</v>
      </c>
      <c r="I3049" s="34" t="s">
        <v>4641</v>
      </c>
      <c r="J3049" s="36">
        <v>465</v>
      </c>
      <c r="K3049" t="s">
        <v>2030</v>
      </c>
    </row>
    <row r="3050" spans="1:11" x14ac:dyDescent="0.3">
      <c r="A3050" t="s">
        <v>1550</v>
      </c>
      <c r="B3050" s="33">
        <v>43290</v>
      </c>
      <c r="C3050" s="34" t="s">
        <v>4538</v>
      </c>
      <c r="D3050" s="34">
        <v>1</v>
      </c>
      <c r="E3050" s="35" t="s">
        <v>4353</v>
      </c>
      <c r="F3050" s="35" t="s">
        <v>110</v>
      </c>
      <c r="G3050" s="106" t="s">
        <v>3852</v>
      </c>
      <c r="H3050" s="33">
        <v>43252</v>
      </c>
      <c r="I3050" s="34" t="s">
        <v>4642</v>
      </c>
      <c r="J3050" s="36">
        <v>465</v>
      </c>
      <c r="K3050" t="s">
        <v>2030</v>
      </c>
    </row>
    <row r="3051" spans="1:11" x14ac:dyDescent="0.3">
      <c r="A3051" t="s">
        <v>1550</v>
      </c>
      <c r="B3051" s="33">
        <v>43290</v>
      </c>
      <c r="C3051" s="34" t="s">
        <v>4538</v>
      </c>
      <c r="D3051" s="34">
        <v>1</v>
      </c>
      <c r="E3051" s="35" t="s">
        <v>4353</v>
      </c>
      <c r="F3051" s="35" t="s">
        <v>101</v>
      </c>
      <c r="G3051" s="106" t="s">
        <v>3852</v>
      </c>
      <c r="H3051" s="33">
        <v>43252</v>
      </c>
      <c r="I3051" s="34" t="s">
        <v>4643</v>
      </c>
      <c r="J3051" s="36">
        <v>465</v>
      </c>
      <c r="K3051" t="s">
        <v>2030</v>
      </c>
    </row>
    <row r="3052" spans="1:11" x14ac:dyDescent="0.3">
      <c r="A3052" t="s">
        <v>1550</v>
      </c>
      <c r="B3052" s="33">
        <v>43290</v>
      </c>
      <c r="C3052" s="34" t="s">
        <v>4538</v>
      </c>
      <c r="D3052" s="34">
        <v>1</v>
      </c>
      <c r="E3052" s="35" t="s">
        <v>4353</v>
      </c>
      <c r="F3052" s="35" t="s">
        <v>98</v>
      </c>
      <c r="G3052" s="106" t="s">
        <v>3852</v>
      </c>
      <c r="H3052" s="33">
        <v>43252</v>
      </c>
      <c r="I3052" s="34" t="s">
        <v>4644</v>
      </c>
      <c r="J3052" s="36">
        <v>465</v>
      </c>
      <c r="K3052" t="s">
        <v>2030</v>
      </c>
    </row>
    <row r="3053" spans="1:11" x14ac:dyDescent="0.3">
      <c r="A3053" t="s">
        <v>1550</v>
      </c>
      <c r="B3053" s="33">
        <v>43290</v>
      </c>
      <c r="C3053" s="34" t="s">
        <v>4538</v>
      </c>
      <c r="D3053" s="34">
        <v>1</v>
      </c>
      <c r="E3053" s="35" t="s">
        <v>4353</v>
      </c>
      <c r="F3053" s="35" t="s">
        <v>104</v>
      </c>
      <c r="G3053" s="106" t="s">
        <v>3852</v>
      </c>
      <c r="H3053" s="33">
        <v>43252</v>
      </c>
      <c r="I3053" s="34" t="s">
        <v>4645</v>
      </c>
      <c r="J3053" s="36">
        <v>465</v>
      </c>
      <c r="K3053" t="s">
        <v>2030</v>
      </c>
    </row>
    <row r="3054" spans="1:11" x14ac:dyDescent="0.3">
      <c r="A3054" t="s">
        <v>1550</v>
      </c>
      <c r="B3054" s="33">
        <v>43290</v>
      </c>
      <c r="C3054" s="34" t="s">
        <v>4538</v>
      </c>
      <c r="D3054" s="34">
        <v>1</v>
      </c>
      <c r="E3054" s="35" t="s">
        <v>4353</v>
      </c>
      <c r="F3054" s="35" t="s">
        <v>97</v>
      </c>
      <c r="G3054" s="106" t="s">
        <v>3852</v>
      </c>
      <c r="H3054" s="33">
        <v>43252</v>
      </c>
      <c r="I3054" s="34" t="s">
        <v>4646</v>
      </c>
      <c r="J3054" s="36">
        <v>465</v>
      </c>
      <c r="K3054" t="s">
        <v>2030</v>
      </c>
    </row>
    <row r="3055" spans="1:11" x14ac:dyDescent="0.3">
      <c r="A3055" t="s">
        <v>1550</v>
      </c>
      <c r="B3055" s="33">
        <v>43290</v>
      </c>
      <c r="C3055" s="34" t="s">
        <v>4538</v>
      </c>
      <c r="D3055" s="34">
        <v>1</v>
      </c>
      <c r="E3055" s="35" t="s">
        <v>4353</v>
      </c>
      <c r="F3055" s="35" t="s">
        <v>100</v>
      </c>
      <c r="G3055" s="106" t="s">
        <v>3852</v>
      </c>
      <c r="H3055" s="33">
        <v>43252</v>
      </c>
      <c r="I3055" s="34" t="s">
        <v>4647</v>
      </c>
      <c r="J3055" s="36">
        <v>465</v>
      </c>
      <c r="K3055" t="s">
        <v>2030</v>
      </c>
    </row>
    <row r="3056" spans="1:11" x14ac:dyDescent="0.3">
      <c r="A3056" t="s">
        <v>1550</v>
      </c>
      <c r="B3056" s="33">
        <v>43290</v>
      </c>
      <c r="C3056" s="34" t="s">
        <v>4538</v>
      </c>
      <c r="D3056" s="34">
        <v>1</v>
      </c>
      <c r="E3056" s="35" t="s">
        <v>4353</v>
      </c>
      <c r="F3056" s="35" t="s">
        <v>311</v>
      </c>
      <c r="G3056" s="106" t="s">
        <v>3852</v>
      </c>
      <c r="H3056" s="33">
        <v>43252</v>
      </c>
      <c r="I3056" s="34" t="s">
        <v>4648</v>
      </c>
      <c r="J3056" s="36">
        <v>172.5</v>
      </c>
      <c r="K3056" t="s">
        <v>2030</v>
      </c>
    </row>
    <row r="3057" spans="1:11" x14ac:dyDescent="0.3">
      <c r="A3057" t="s">
        <v>1550</v>
      </c>
      <c r="B3057" s="33">
        <v>43290</v>
      </c>
      <c r="C3057" s="34" t="s">
        <v>4538</v>
      </c>
      <c r="D3057" s="34">
        <v>1</v>
      </c>
      <c r="E3057" s="35" t="s">
        <v>4353</v>
      </c>
      <c r="F3057" s="35" t="s">
        <v>316</v>
      </c>
      <c r="G3057" s="106" t="s">
        <v>3852</v>
      </c>
      <c r="H3057" s="33">
        <v>43252</v>
      </c>
      <c r="I3057" s="34" t="s">
        <v>4649</v>
      </c>
      <c r="J3057" s="36">
        <v>172.5</v>
      </c>
      <c r="K3057" t="s">
        <v>2030</v>
      </c>
    </row>
    <row r="3058" spans="1:11" x14ac:dyDescent="0.3">
      <c r="A3058" t="s">
        <v>1550</v>
      </c>
      <c r="B3058" s="33">
        <v>43290</v>
      </c>
      <c r="C3058" s="34" t="s">
        <v>4538</v>
      </c>
      <c r="D3058" s="34">
        <v>1</v>
      </c>
      <c r="E3058" s="35" t="s">
        <v>4353</v>
      </c>
      <c r="F3058" s="35" t="s">
        <v>314</v>
      </c>
      <c r="G3058" s="106" t="s">
        <v>3852</v>
      </c>
      <c r="H3058" s="33">
        <v>43252</v>
      </c>
      <c r="I3058" s="34" t="s">
        <v>4650</v>
      </c>
      <c r="J3058" s="36">
        <v>172.5</v>
      </c>
      <c r="K3058" t="s">
        <v>2030</v>
      </c>
    </row>
    <row r="3059" spans="1:11" x14ac:dyDescent="0.3">
      <c r="A3059" t="s">
        <v>1550</v>
      </c>
      <c r="B3059" s="33">
        <v>43290</v>
      </c>
      <c r="C3059" s="34" t="s">
        <v>4538</v>
      </c>
      <c r="D3059" s="34">
        <v>1</v>
      </c>
      <c r="E3059" s="35" t="s">
        <v>4353</v>
      </c>
      <c r="F3059" s="35" t="s">
        <v>308</v>
      </c>
      <c r="G3059" s="106" t="s">
        <v>3852</v>
      </c>
      <c r="H3059" s="33">
        <v>43252</v>
      </c>
      <c r="I3059" s="34" t="s">
        <v>4651</v>
      </c>
      <c r="J3059" s="36">
        <v>172.5</v>
      </c>
      <c r="K3059" t="s">
        <v>2030</v>
      </c>
    </row>
    <row r="3060" spans="1:11" x14ac:dyDescent="0.3">
      <c r="A3060" t="s">
        <v>1550</v>
      </c>
      <c r="B3060" s="33">
        <v>43290</v>
      </c>
      <c r="C3060" s="34" t="s">
        <v>4538</v>
      </c>
      <c r="D3060" s="34">
        <v>1</v>
      </c>
      <c r="E3060" s="35" t="s">
        <v>4353</v>
      </c>
      <c r="F3060" s="35" t="s">
        <v>299</v>
      </c>
      <c r="G3060" s="106" t="s">
        <v>3852</v>
      </c>
      <c r="H3060" s="33">
        <v>43252</v>
      </c>
      <c r="I3060" s="34" t="s">
        <v>4652</v>
      </c>
      <c r="J3060" s="36">
        <v>172.5</v>
      </c>
      <c r="K3060" t="s">
        <v>2030</v>
      </c>
    </row>
    <row r="3061" spans="1:11" x14ac:dyDescent="0.3">
      <c r="A3061" t="s">
        <v>1550</v>
      </c>
      <c r="B3061" s="33">
        <v>43290</v>
      </c>
      <c r="C3061" s="34" t="s">
        <v>4538</v>
      </c>
      <c r="D3061" s="34">
        <v>1</v>
      </c>
      <c r="E3061" s="35" t="s">
        <v>4353</v>
      </c>
      <c r="F3061" s="35" t="s">
        <v>304</v>
      </c>
      <c r="G3061" s="106" t="s">
        <v>3852</v>
      </c>
      <c r="H3061" s="33">
        <v>43252</v>
      </c>
      <c r="I3061" s="34" t="s">
        <v>4653</v>
      </c>
      <c r="J3061" s="36">
        <v>172.5</v>
      </c>
      <c r="K3061" t="s">
        <v>2030</v>
      </c>
    </row>
    <row r="3062" spans="1:11" x14ac:dyDescent="0.3">
      <c r="A3062" t="s">
        <v>1550</v>
      </c>
      <c r="B3062" s="33">
        <v>43290</v>
      </c>
      <c r="C3062" s="34" t="s">
        <v>4538</v>
      </c>
      <c r="D3062" s="34">
        <v>1</v>
      </c>
      <c r="E3062" s="35" t="s">
        <v>4353</v>
      </c>
      <c r="F3062" s="35" t="s">
        <v>307</v>
      </c>
      <c r="G3062" s="106" t="s">
        <v>3852</v>
      </c>
      <c r="H3062" s="33">
        <v>43252</v>
      </c>
      <c r="I3062" s="34" t="s">
        <v>4654</v>
      </c>
      <c r="J3062" s="36">
        <v>172.5</v>
      </c>
      <c r="K3062" t="s">
        <v>2030</v>
      </c>
    </row>
    <row r="3063" spans="1:11" x14ac:dyDescent="0.3">
      <c r="A3063" t="s">
        <v>1550</v>
      </c>
      <c r="B3063" s="33">
        <v>43290</v>
      </c>
      <c r="C3063" s="34" t="s">
        <v>4538</v>
      </c>
      <c r="D3063" s="34">
        <v>1</v>
      </c>
      <c r="E3063" s="35" t="s">
        <v>4353</v>
      </c>
      <c r="F3063" s="35" t="s">
        <v>303</v>
      </c>
      <c r="G3063" s="106" t="s">
        <v>3852</v>
      </c>
      <c r="H3063" s="33">
        <v>43252</v>
      </c>
      <c r="I3063" s="34" t="s">
        <v>4655</v>
      </c>
      <c r="J3063" s="36">
        <v>172.5</v>
      </c>
      <c r="K3063" t="s">
        <v>2030</v>
      </c>
    </row>
    <row r="3064" spans="1:11" x14ac:dyDescent="0.3">
      <c r="A3064" t="s">
        <v>1550</v>
      </c>
      <c r="B3064" s="33">
        <v>43290</v>
      </c>
      <c r="C3064" s="34" t="s">
        <v>4538</v>
      </c>
      <c r="D3064" s="34">
        <v>1</v>
      </c>
      <c r="E3064" s="35" t="s">
        <v>4353</v>
      </c>
      <c r="F3064" s="35" t="s">
        <v>302</v>
      </c>
      <c r="G3064" s="106" t="s">
        <v>3852</v>
      </c>
      <c r="H3064" s="33">
        <v>43252</v>
      </c>
      <c r="I3064" s="34" t="s">
        <v>4656</v>
      </c>
      <c r="J3064" s="36">
        <v>172.5</v>
      </c>
      <c r="K3064" t="s">
        <v>2030</v>
      </c>
    </row>
    <row r="3065" spans="1:11" x14ac:dyDescent="0.3">
      <c r="A3065" t="s">
        <v>1550</v>
      </c>
      <c r="B3065" s="33">
        <v>43290</v>
      </c>
      <c r="C3065" s="34" t="s">
        <v>4538</v>
      </c>
      <c r="D3065" s="34">
        <v>1</v>
      </c>
      <c r="E3065" s="35" t="s">
        <v>4353</v>
      </c>
      <c r="F3065" s="35" t="s">
        <v>301</v>
      </c>
      <c r="G3065" s="106" t="s">
        <v>3852</v>
      </c>
      <c r="H3065" s="33">
        <v>43252</v>
      </c>
      <c r="I3065" s="34" t="s">
        <v>4657</v>
      </c>
      <c r="J3065" s="36">
        <v>172.5</v>
      </c>
      <c r="K3065" t="s">
        <v>2030</v>
      </c>
    </row>
    <row r="3066" spans="1:11" x14ac:dyDescent="0.3">
      <c r="A3066" t="s">
        <v>1550</v>
      </c>
      <c r="B3066" s="33">
        <v>43290</v>
      </c>
      <c r="C3066" s="34" t="s">
        <v>4538</v>
      </c>
      <c r="D3066" s="34">
        <v>1</v>
      </c>
      <c r="E3066" s="35" t="s">
        <v>4353</v>
      </c>
      <c r="F3066" s="35" t="s">
        <v>305</v>
      </c>
      <c r="G3066" s="106" t="s">
        <v>3852</v>
      </c>
      <c r="H3066" s="33">
        <v>43252</v>
      </c>
      <c r="I3066" s="34" t="s">
        <v>4658</v>
      </c>
      <c r="J3066" s="36">
        <v>172.5</v>
      </c>
      <c r="K3066" t="s">
        <v>2030</v>
      </c>
    </row>
    <row r="3067" spans="1:11" x14ac:dyDescent="0.3">
      <c r="A3067" t="s">
        <v>1550</v>
      </c>
      <c r="B3067" s="33">
        <v>43290</v>
      </c>
      <c r="C3067" s="34" t="s">
        <v>4538</v>
      </c>
      <c r="D3067" s="34">
        <v>1</v>
      </c>
      <c r="E3067" s="35" t="s">
        <v>4353</v>
      </c>
      <c r="F3067" s="35" t="s">
        <v>306</v>
      </c>
      <c r="G3067" s="106" t="s">
        <v>3852</v>
      </c>
      <c r="H3067" s="33">
        <v>43252</v>
      </c>
      <c r="I3067" s="34" t="s">
        <v>4659</v>
      </c>
      <c r="J3067" s="36">
        <v>172.5</v>
      </c>
      <c r="K3067" t="s">
        <v>2030</v>
      </c>
    </row>
    <row r="3068" spans="1:11" x14ac:dyDescent="0.3">
      <c r="A3068" t="s">
        <v>1550</v>
      </c>
      <c r="B3068" s="33">
        <v>43290</v>
      </c>
      <c r="C3068" s="34" t="s">
        <v>4538</v>
      </c>
      <c r="D3068" s="34">
        <v>1</v>
      </c>
      <c r="E3068" s="35" t="s">
        <v>4353</v>
      </c>
      <c r="F3068" s="35" t="s">
        <v>297</v>
      </c>
      <c r="G3068" s="106" t="s">
        <v>3852</v>
      </c>
      <c r="H3068" s="33">
        <v>43252</v>
      </c>
      <c r="I3068" s="34" t="s">
        <v>4660</v>
      </c>
      <c r="J3068" s="36">
        <v>172.5</v>
      </c>
      <c r="K3068" t="s">
        <v>2030</v>
      </c>
    </row>
    <row r="3069" spans="1:11" x14ac:dyDescent="0.3">
      <c r="A3069" t="s">
        <v>1550</v>
      </c>
      <c r="B3069" s="33">
        <v>43290</v>
      </c>
      <c r="C3069" s="34" t="s">
        <v>4538</v>
      </c>
      <c r="D3069" s="34">
        <v>1</v>
      </c>
      <c r="E3069" s="35" t="s">
        <v>4353</v>
      </c>
      <c r="F3069" s="35" t="s">
        <v>149</v>
      </c>
      <c r="G3069" s="106" t="s">
        <v>3852</v>
      </c>
      <c r="H3069" s="33">
        <v>43252</v>
      </c>
      <c r="I3069" s="34" t="s">
        <v>4661</v>
      </c>
      <c r="J3069" s="36">
        <v>172.5</v>
      </c>
      <c r="K3069" t="s">
        <v>2030</v>
      </c>
    </row>
    <row r="3070" spans="1:11" x14ac:dyDescent="0.3">
      <c r="A3070" t="s">
        <v>1550</v>
      </c>
      <c r="B3070" s="33">
        <v>43290</v>
      </c>
      <c r="C3070" s="34" t="s">
        <v>4538</v>
      </c>
      <c r="D3070" s="34">
        <v>1</v>
      </c>
      <c r="E3070" s="35" t="s">
        <v>4353</v>
      </c>
      <c r="F3070" s="35" t="s">
        <v>150</v>
      </c>
      <c r="G3070" s="106" t="s">
        <v>3852</v>
      </c>
      <c r="H3070" s="33">
        <v>43252</v>
      </c>
      <c r="I3070" s="34" t="s">
        <v>4662</v>
      </c>
      <c r="J3070" s="36">
        <v>172.5</v>
      </c>
      <c r="K3070" t="s">
        <v>2030</v>
      </c>
    </row>
    <row r="3071" spans="1:11" x14ac:dyDescent="0.3">
      <c r="A3071" t="s">
        <v>1550</v>
      </c>
      <c r="B3071" s="33">
        <v>43290</v>
      </c>
      <c r="C3071" s="34" t="s">
        <v>4538</v>
      </c>
      <c r="D3071" s="34">
        <v>1</v>
      </c>
      <c r="E3071" s="35" t="s">
        <v>4353</v>
      </c>
      <c r="F3071" s="35" t="s">
        <v>151</v>
      </c>
      <c r="G3071" s="106" t="s">
        <v>3852</v>
      </c>
      <c r="H3071" s="33">
        <v>43252</v>
      </c>
      <c r="I3071" s="34" t="s">
        <v>4663</v>
      </c>
      <c r="J3071" s="36">
        <v>172.5</v>
      </c>
      <c r="K3071" t="s">
        <v>2030</v>
      </c>
    </row>
    <row r="3072" spans="1:11" x14ac:dyDescent="0.3">
      <c r="A3072" t="s">
        <v>1550</v>
      </c>
      <c r="B3072" s="33">
        <v>43290</v>
      </c>
      <c r="C3072" s="34" t="s">
        <v>4538</v>
      </c>
      <c r="D3072" s="34">
        <v>1</v>
      </c>
      <c r="E3072" s="35" t="s">
        <v>4353</v>
      </c>
      <c r="F3072" s="35" t="s">
        <v>146</v>
      </c>
      <c r="G3072" s="106" t="s">
        <v>3852</v>
      </c>
      <c r="H3072" s="33">
        <v>43252</v>
      </c>
      <c r="I3072" s="34" t="s">
        <v>4664</v>
      </c>
      <c r="J3072" s="36">
        <v>172.5</v>
      </c>
      <c r="K3072" t="s">
        <v>2030</v>
      </c>
    </row>
    <row r="3073" spans="1:11" x14ac:dyDescent="0.3">
      <c r="A3073" t="s">
        <v>1550</v>
      </c>
      <c r="B3073" s="33">
        <v>43290</v>
      </c>
      <c r="C3073" s="34" t="s">
        <v>4538</v>
      </c>
      <c r="D3073" s="34">
        <v>1</v>
      </c>
      <c r="E3073" s="35" t="s">
        <v>4353</v>
      </c>
      <c r="F3073" s="35" t="s">
        <v>298</v>
      </c>
      <c r="G3073" s="106" t="s">
        <v>3852</v>
      </c>
      <c r="H3073" s="33">
        <v>43252</v>
      </c>
      <c r="I3073" s="34" t="s">
        <v>4665</v>
      </c>
      <c r="J3073" s="36">
        <v>172.5</v>
      </c>
      <c r="K3073" t="s">
        <v>2030</v>
      </c>
    </row>
    <row r="3074" spans="1:11" x14ac:dyDescent="0.3">
      <c r="A3074" t="s">
        <v>1550</v>
      </c>
      <c r="B3074" s="33">
        <v>43290</v>
      </c>
      <c r="C3074" s="34" t="s">
        <v>4538</v>
      </c>
      <c r="D3074" s="34">
        <v>1</v>
      </c>
      <c r="E3074" s="35" t="s">
        <v>4353</v>
      </c>
      <c r="F3074" s="35" t="s">
        <v>152</v>
      </c>
      <c r="G3074" s="106" t="s">
        <v>3852</v>
      </c>
      <c r="H3074" s="33">
        <v>43252</v>
      </c>
      <c r="I3074" s="34" t="s">
        <v>4666</v>
      </c>
      <c r="J3074" s="36">
        <v>172.5</v>
      </c>
      <c r="K3074" t="s">
        <v>2030</v>
      </c>
    </row>
    <row r="3075" spans="1:11" x14ac:dyDescent="0.3">
      <c r="A3075" t="s">
        <v>1550</v>
      </c>
      <c r="B3075" s="33">
        <v>43290</v>
      </c>
      <c r="C3075" s="34" t="s">
        <v>4538</v>
      </c>
      <c r="D3075" s="34">
        <v>1</v>
      </c>
      <c r="E3075" s="35" t="s">
        <v>4353</v>
      </c>
      <c r="F3075" s="35" t="s">
        <v>300</v>
      </c>
      <c r="G3075" s="106" t="s">
        <v>3852</v>
      </c>
      <c r="H3075" s="33">
        <v>43252</v>
      </c>
      <c r="I3075" s="34" t="s">
        <v>4667</v>
      </c>
      <c r="J3075" s="36">
        <v>172.5</v>
      </c>
      <c r="K3075" t="s">
        <v>2030</v>
      </c>
    </row>
    <row r="3076" spans="1:11" x14ac:dyDescent="0.3">
      <c r="A3076" t="s">
        <v>1550</v>
      </c>
      <c r="B3076" s="33">
        <v>43290</v>
      </c>
      <c r="C3076" s="34" t="s">
        <v>4538</v>
      </c>
      <c r="D3076" s="34">
        <v>1</v>
      </c>
      <c r="E3076" s="35" t="s">
        <v>4353</v>
      </c>
      <c r="F3076" s="35" t="s">
        <v>296</v>
      </c>
      <c r="G3076" s="106" t="s">
        <v>3852</v>
      </c>
      <c r="H3076" s="33">
        <v>43252</v>
      </c>
      <c r="I3076" s="34" t="s">
        <v>4668</v>
      </c>
      <c r="J3076" s="36">
        <v>172.5</v>
      </c>
      <c r="K3076" t="s">
        <v>2030</v>
      </c>
    </row>
    <row r="3077" spans="1:11" x14ac:dyDescent="0.3">
      <c r="A3077" t="s">
        <v>1550</v>
      </c>
      <c r="B3077" s="33">
        <v>43290</v>
      </c>
      <c r="C3077" s="34" t="s">
        <v>4538</v>
      </c>
      <c r="D3077" s="34">
        <v>1</v>
      </c>
      <c r="E3077" s="35" t="s">
        <v>4353</v>
      </c>
      <c r="F3077" s="35" t="s">
        <v>144</v>
      </c>
      <c r="G3077" s="106" t="s">
        <v>3852</v>
      </c>
      <c r="H3077" s="33">
        <v>43252</v>
      </c>
      <c r="I3077" s="34" t="s">
        <v>4669</v>
      </c>
      <c r="J3077" s="36">
        <v>172.5</v>
      </c>
      <c r="K3077" t="s">
        <v>2030</v>
      </c>
    </row>
    <row r="3078" spans="1:11" x14ac:dyDescent="0.3">
      <c r="A3078" t="s">
        <v>1550</v>
      </c>
      <c r="B3078" s="33">
        <v>43290</v>
      </c>
      <c r="C3078" s="34" t="s">
        <v>4538</v>
      </c>
      <c r="D3078" s="34">
        <v>1</v>
      </c>
      <c r="E3078" s="35" t="s">
        <v>4353</v>
      </c>
      <c r="F3078" s="35" t="s">
        <v>142</v>
      </c>
      <c r="G3078" s="106" t="s">
        <v>3852</v>
      </c>
      <c r="H3078" s="33">
        <v>43252</v>
      </c>
      <c r="I3078" s="34" t="s">
        <v>4670</v>
      </c>
      <c r="J3078" s="36">
        <v>172.5</v>
      </c>
      <c r="K3078" t="s">
        <v>2030</v>
      </c>
    </row>
    <row r="3079" spans="1:11" x14ac:dyDescent="0.3">
      <c r="A3079" t="s">
        <v>1550</v>
      </c>
      <c r="B3079" s="33">
        <v>43290</v>
      </c>
      <c r="C3079" s="34" t="s">
        <v>4538</v>
      </c>
      <c r="D3079" s="34">
        <v>1</v>
      </c>
      <c r="E3079" s="35" t="s">
        <v>4353</v>
      </c>
      <c r="F3079" s="35" t="s">
        <v>141</v>
      </c>
      <c r="G3079" s="106" t="s">
        <v>3852</v>
      </c>
      <c r="H3079" s="33">
        <v>43252</v>
      </c>
      <c r="I3079" s="34" t="s">
        <v>4671</v>
      </c>
      <c r="J3079" s="36">
        <v>172.5</v>
      </c>
      <c r="K3079" t="s">
        <v>2030</v>
      </c>
    </row>
    <row r="3080" spans="1:11" x14ac:dyDescent="0.3">
      <c r="A3080" t="s">
        <v>1550</v>
      </c>
      <c r="B3080" s="33">
        <v>43290</v>
      </c>
      <c r="C3080" s="34" t="s">
        <v>4538</v>
      </c>
      <c r="D3080" s="34">
        <v>1</v>
      </c>
      <c r="E3080" s="35" t="s">
        <v>4353</v>
      </c>
      <c r="F3080" s="35" t="s">
        <v>148</v>
      </c>
      <c r="G3080" s="106" t="s">
        <v>3852</v>
      </c>
      <c r="H3080" s="33">
        <v>43252</v>
      </c>
      <c r="I3080" s="34" t="s">
        <v>4672</v>
      </c>
      <c r="J3080" s="36">
        <v>172.5</v>
      </c>
      <c r="K3080" t="s">
        <v>2030</v>
      </c>
    </row>
    <row r="3081" spans="1:11" x14ac:dyDescent="0.3">
      <c r="A3081" t="s">
        <v>1550</v>
      </c>
      <c r="B3081" s="33">
        <v>43290</v>
      </c>
      <c r="C3081" s="34" t="s">
        <v>4538</v>
      </c>
      <c r="D3081" s="34">
        <v>1</v>
      </c>
      <c r="E3081" s="35" t="s">
        <v>4353</v>
      </c>
      <c r="F3081" s="35" t="s">
        <v>145</v>
      </c>
      <c r="G3081" s="106" t="s">
        <v>3852</v>
      </c>
      <c r="H3081" s="33">
        <v>43252</v>
      </c>
      <c r="I3081" s="34" t="s">
        <v>4673</v>
      </c>
      <c r="J3081" s="36">
        <v>172.5</v>
      </c>
      <c r="K3081" t="s">
        <v>2030</v>
      </c>
    </row>
    <row r="3082" spans="1:11" x14ac:dyDescent="0.3">
      <c r="A3082" t="s">
        <v>1550</v>
      </c>
      <c r="B3082" s="33">
        <v>43290</v>
      </c>
      <c r="C3082" s="34" t="s">
        <v>4538</v>
      </c>
      <c r="D3082" s="34">
        <v>1</v>
      </c>
      <c r="E3082" s="35" t="s">
        <v>4353</v>
      </c>
      <c r="F3082" s="35" t="s">
        <v>143</v>
      </c>
      <c r="G3082" s="106" t="s">
        <v>3852</v>
      </c>
      <c r="H3082" s="33">
        <v>43252</v>
      </c>
      <c r="I3082" s="34" t="s">
        <v>4674</v>
      </c>
      <c r="J3082" s="36">
        <v>172.5</v>
      </c>
      <c r="K3082" t="s">
        <v>2030</v>
      </c>
    </row>
    <row r="3083" spans="1:11" x14ac:dyDescent="0.3">
      <c r="A3083" t="s">
        <v>1550</v>
      </c>
      <c r="B3083" s="33">
        <v>43290</v>
      </c>
      <c r="C3083" s="34" t="s">
        <v>4538</v>
      </c>
      <c r="D3083" s="34">
        <v>1</v>
      </c>
      <c r="E3083" s="35" t="s">
        <v>4353</v>
      </c>
      <c r="F3083" s="35" t="s">
        <v>147</v>
      </c>
      <c r="G3083" s="106" t="s">
        <v>3852</v>
      </c>
      <c r="H3083" s="33">
        <v>43252</v>
      </c>
      <c r="I3083" s="34" t="s">
        <v>4675</v>
      </c>
      <c r="J3083" s="36">
        <v>172.5</v>
      </c>
      <c r="K3083" t="s">
        <v>2030</v>
      </c>
    </row>
    <row r="3084" spans="1:11" x14ac:dyDescent="0.3">
      <c r="A3084" t="s">
        <v>1550</v>
      </c>
      <c r="B3084" s="33">
        <v>43290</v>
      </c>
      <c r="C3084" s="34" t="s">
        <v>4538</v>
      </c>
      <c r="D3084" s="34">
        <v>1</v>
      </c>
      <c r="E3084" s="35" t="s">
        <v>4353</v>
      </c>
      <c r="F3084" s="35" t="s">
        <v>139</v>
      </c>
      <c r="G3084" s="106" t="s">
        <v>3852</v>
      </c>
      <c r="H3084" s="33">
        <v>43252</v>
      </c>
      <c r="I3084" s="34" t="s">
        <v>4676</v>
      </c>
      <c r="J3084" s="36">
        <v>172.5</v>
      </c>
      <c r="K3084" t="s">
        <v>2030</v>
      </c>
    </row>
    <row r="3085" spans="1:11" x14ac:dyDescent="0.3">
      <c r="A3085" t="s">
        <v>1550</v>
      </c>
      <c r="B3085" s="33">
        <v>43290</v>
      </c>
      <c r="C3085" s="34" t="s">
        <v>4538</v>
      </c>
      <c r="D3085" s="34">
        <v>1</v>
      </c>
      <c r="E3085" s="35" t="s">
        <v>4353</v>
      </c>
      <c r="F3085" s="35" t="s">
        <v>10</v>
      </c>
      <c r="G3085" s="106" t="s">
        <v>3852</v>
      </c>
      <c r="H3085" s="33">
        <v>43252</v>
      </c>
      <c r="I3085" s="34" t="s">
        <v>4677</v>
      </c>
      <c r="J3085" s="36">
        <v>172.5</v>
      </c>
      <c r="K3085" t="s">
        <v>2030</v>
      </c>
    </row>
    <row r="3086" spans="1:11" x14ac:dyDescent="0.3">
      <c r="A3086" t="s">
        <v>1550</v>
      </c>
      <c r="B3086" s="33">
        <v>43290</v>
      </c>
      <c r="C3086" s="34" t="s">
        <v>4538</v>
      </c>
      <c r="D3086" s="34">
        <v>1</v>
      </c>
      <c r="E3086" s="35" t="s">
        <v>4353</v>
      </c>
      <c r="F3086" s="35" t="s">
        <v>137</v>
      </c>
      <c r="G3086" s="106" t="s">
        <v>3852</v>
      </c>
      <c r="H3086" s="33">
        <v>43252</v>
      </c>
      <c r="I3086" s="34" t="s">
        <v>4678</v>
      </c>
      <c r="J3086" s="36">
        <v>172.5</v>
      </c>
      <c r="K3086" t="s">
        <v>2030</v>
      </c>
    </row>
    <row r="3087" spans="1:11" x14ac:dyDescent="0.3">
      <c r="A3087" t="s">
        <v>1550</v>
      </c>
      <c r="B3087" s="33">
        <v>43290</v>
      </c>
      <c r="C3087" s="34" t="s">
        <v>4538</v>
      </c>
      <c r="D3087" s="34">
        <v>1</v>
      </c>
      <c r="E3087" s="35" t="s">
        <v>4353</v>
      </c>
      <c r="F3087" s="35" t="s">
        <v>134</v>
      </c>
      <c r="G3087" s="106" t="s">
        <v>3852</v>
      </c>
      <c r="H3087" s="33">
        <v>43252</v>
      </c>
      <c r="I3087" s="34" t="s">
        <v>4679</v>
      </c>
      <c r="J3087" s="36">
        <v>172.5</v>
      </c>
      <c r="K3087" t="s">
        <v>2030</v>
      </c>
    </row>
    <row r="3088" spans="1:11" x14ac:dyDescent="0.3">
      <c r="A3088" t="s">
        <v>1550</v>
      </c>
      <c r="B3088" s="33">
        <v>43290</v>
      </c>
      <c r="C3088" s="34" t="s">
        <v>4538</v>
      </c>
      <c r="D3088" s="34">
        <v>1</v>
      </c>
      <c r="E3088" s="35" t="s">
        <v>4353</v>
      </c>
      <c r="F3088" s="35" t="s">
        <v>140</v>
      </c>
      <c r="G3088" s="106" t="s">
        <v>3852</v>
      </c>
      <c r="H3088" s="33">
        <v>43252</v>
      </c>
      <c r="I3088" s="34" t="s">
        <v>4680</v>
      </c>
      <c r="J3088" s="36">
        <v>172.5</v>
      </c>
      <c r="K3088" t="s">
        <v>2030</v>
      </c>
    </row>
    <row r="3089" spans="1:11" x14ac:dyDescent="0.3">
      <c r="A3089" t="s">
        <v>1550</v>
      </c>
      <c r="B3089" s="33">
        <v>43290</v>
      </c>
      <c r="C3089" s="34" t="s">
        <v>4538</v>
      </c>
      <c r="D3089" s="34">
        <v>1</v>
      </c>
      <c r="E3089" s="35" t="s">
        <v>4353</v>
      </c>
      <c r="F3089" s="35" t="s">
        <v>131</v>
      </c>
      <c r="G3089" s="106" t="s">
        <v>3852</v>
      </c>
      <c r="H3089" s="33">
        <v>43252</v>
      </c>
      <c r="I3089" s="34" t="s">
        <v>4681</v>
      </c>
      <c r="J3089" s="36">
        <v>172.5</v>
      </c>
      <c r="K3089" t="s">
        <v>2030</v>
      </c>
    </row>
    <row r="3090" spans="1:11" x14ac:dyDescent="0.3">
      <c r="A3090" t="s">
        <v>1550</v>
      </c>
      <c r="B3090" s="33">
        <v>43290</v>
      </c>
      <c r="C3090" s="34" t="s">
        <v>4538</v>
      </c>
      <c r="D3090" s="34">
        <v>1</v>
      </c>
      <c r="E3090" s="35" t="s">
        <v>4353</v>
      </c>
      <c r="F3090" s="35" t="s">
        <v>138</v>
      </c>
      <c r="G3090" s="106" t="s">
        <v>3852</v>
      </c>
      <c r="H3090" s="33">
        <v>43252</v>
      </c>
      <c r="I3090" s="34" t="s">
        <v>4682</v>
      </c>
      <c r="J3090" s="36">
        <v>172.5</v>
      </c>
      <c r="K3090" t="s">
        <v>2030</v>
      </c>
    </row>
    <row r="3091" spans="1:11" x14ac:dyDescent="0.3">
      <c r="A3091" t="s">
        <v>1550</v>
      </c>
      <c r="B3091" s="33">
        <v>43290</v>
      </c>
      <c r="C3091" s="34" t="s">
        <v>4538</v>
      </c>
      <c r="D3091" s="34">
        <v>1</v>
      </c>
      <c r="E3091" s="35" t="s">
        <v>4353</v>
      </c>
      <c r="F3091" s="35" t="s">
        <v>135</v>
      </c>
      <c r="G3091" s="106" t="s">
        <v>3852</v>
      </c>
      <c r="H3091" s="33">
        <v>43252</v>
      </c>
      <c r="I3091" s="34" t="s">
        <v>4683</v>
      </c>
      <c r="J3091" s="36">
        <v>172.5</v>
      </c>
      <c r="K3091" t="s">
        <v>2030</v>
      </c>
    </row>
    <row r="3092" spans="1:11" x14ac:dyDescent="0.3">
      <c r="A3092" t="s">
        <v>1550</v>
      </c>
      <c r="B3092" s="33">
        <v>43290</v>
      </c>
      <c r="C3092" s="34" t="s">
        <v>4538</v>
      </c>
      <c r="D3092" s="34">
        <v>1</v>
      </c>
      <c r="E3092" s="35" t="s">
        <v>4353</v>
      </c>
      <c r="F3092" s="35" t="s">
        <v>1328</v>
      </c>
      <c r="G3092" s="106" t="s">
        <v>3852</v>
      </c>
      <c r="H3092" s="33">
        <v>43252</v>
      </c>
      <c r="I3092" s="34" t="s">
        <v>4684</v>
      </c>
      <c r="J3092" s="36">
        <v>172.5</v>
      </c>
      <c r="K3092" t="s">
        <v>2030</v>
      </c>
    </row>
    <row r="3093" spans="1:11" x14ac:dyDescent="0.3">
      <c r="A3093" t="s">
        <v>1550</v>
      </c>
      <c r="B3093" s="33">
        <v>43290</v>
      </c>
      <c r="C3093" s="34" t="s">
        <v>4538</v>
      </c>
      <c r="D3093" s="34">
        <v>1</v>
      </c>
      <c r="E3093" s="35" t="s">
        <v>4353</v>
      </c>
      <c r="F3093" s="35" t="s">
        <v>53</v>
      </c>
      <c r="G3093" s="106" t="s">
        <v>3852</v>
      </c>
      <c r="H3093" s="33">
        <v>43252</v>
      </c>
      <c r="I3093" s="34" t="s">
        <v>4722</v>
      </c>
      <c r="J3093" s="36">
        <v>172.5</v>
      </c>
      <c r="K3093" t="s">
        <v>2030</v>
      </c>
    </row>
    <row r="3094" spans="1:11" x14ac:dyDescent="0.3">
      <c r="A3094" t="s">
        <v>1550</v>
      </c>
      <c r="B3094" s="33">
        <v>43290</v>
      </c>
      <c r="C3094" s="34" t="s">
        <v>4538</v>
      </c>
      <c r="D3094" s="34">
        <v>1</v>
      </c>
      <c r="E3094" s="35" t="s">
        <v>4353</v>
      </c>
      <c r="F3094" s="35" t="s">
        <v>117</v>
      </c>
      <c r="G3094" s="106" t="s">
        <v>3852</v>
      </c>
      <c r="H3094" s="33">
        <v>43252</v>
      </c>
      <c r="I3094" s="34" t="s">
        <v>4724</v>
      </c>
      <c r="J3094" s="36">
        <v>172.5</v>
      </c>
      <c r="K3094" t="s">
        <v>2030</v>
      </c>
    </row>
    <row r="3095" spans="1:11" x14ac:dyDescent="0.3">
      <c r="A3095" t="s">
        <v>1550</v>
      </c>
      <c r="B3095" s="33">
        <v>43290</v>
      </c>
      <c r="C3095" s="34" t="s">
        <v>4538</v>
      </c>
      <c r="D3095" s="34">
        <v>1</v>
      </c>
      <c r="E3095" s="35" t="s">
        <v>4353</v>
      </c>
      <c r="F3095" s="35" t="s">
        <v>56</v>
      </c>
      <c r="G3095" s="106" t="s">
        <v>3852</v>
      </c>
      <c r="H3095" s="33">
        <v>43252</v>
      </c>
      <c r="I3095" s="34" t="s">
        <v>4725</v>
      </c>
      <c r="J3095" s="36">
        <v>172.5</v>
      </c>
      <c r="K3095" t="s">
        <v>2030</v>
      </c>
    </row>
    <row r="3096" spans="1:11" x14ac:dyDescent="0.3">
      <c r="A3096" t="s">
        <v>1550</v>
      </c>
      <c r="B3096" s="33">
        <v>43290</v>
      </c>
      <c r="C3096" s="34" t="s">
        <v>4538</v>
      </c>
      <c r="D3096" s="34">
        <v>1</v>
      </c>
      <c r="E3096" s="35" t="s">
        <v>4353</v>
      </c>
      <c r="F3096" s="35" t="s">
        <v>57</v>
      </c>
      <c r="G3096" s="106" t="s">
        <v>3852</v>
      </c>
      <c r="H3096" s="33">
        <v>43252</v>
      </c>
      <c r="I3096" s="34" t="s">
        <v>4726</v>
      </c>
      <c r="J3096" s="36">
        <v>172.5</v>
      </c>
      <c r="K3096" t="s">
        <v>2030</v>
      </c>
    </row>
    <row r="3097" spans="1:11" x14ac:dyDescent="0.3">
      <c r="A3097" t="s">
        <v>1550</v>
      </c>
      <c r="B3097" s="33">
        <v>43290</v>
      </c>
      <c r="C3097" s="34" t="s">
        <v>4538</v>
      </c>
      <c r="D3097" s="34">
        <v>1</v>
      </c>
      <c r="E3097" s="35" t="s">
        <v>4353</v>
      </c>
      <c r="F3097" s="35" t="s">
        <v>54</v>
      </c>
      <c r="G3097" s="106" t="s">
        <v>3852</v>
      </c>
      <c r="H3097" s="33">
        <v>43252</v>
      </c>
      <c r="I3097" s="34" t="s">
        <v>4727</v>
      </c>
      <c r="J3097" s="36">
        <v>172.5</v>
      </c>
      <c r="K3097" t="s">
        <v>2030</v>
      </c>
    </row>
    <row r="3098" spans="1:11" x14ac:dyDescent="0.3">
      <c r="A3098" t="s">
        <v>1550</v>
      </c>
      <c r="B3098" s="33">
        <v>43290</v>
      </c>
      <c r="C3098" s="34" t="s">
        <v>4538</v>
      </c>
      <c r="D3098" s="34">
        <v>1</v>
      </c>
      <c r="E3098" s="35" t="s">
        <v>4353</v>
      </c>
      <c r="F3098" s="35" t="s">
        <v>50</v>
      </c>
      <c r="G3098" s="106" t="s">
        <v>3852</v>
      </c>
      <c r="H3098" s="33">
        <v>43252</v>
      </c>
      <c r="I3098" s="34" t="s">
        <v>4728</v>
      </c>
      <c r="J3098" s="36">
        <v>172.5</v>
      </c>
      <c r="K3098" t="s">
        <v>2030</v>
      </c>
    </row>
    <row r="3099" spans="1:11" x14ac:dyDescent="0.3">
      <c r="A3099" t="s">
        <v>1550</v>
      </c>
      <c r="B3099" s="33">
        <v>43290</v>
      </c>
      <c r="C3099" s="34" t="s">
        <v>4538</v>
      </c>
      <c r="D3099" s="34">
        <v>1</v>
      </c>
      <c r="E3099" s="35" t="s">
        <v>4353</v>
      </c>
      <c r="F3099" s="35" t="s">
        <v>55</v>
      </c>
      <c r="G3099" s="106" t="s">
        <v>3852</v>
      </c>
      <c r="H3099" s="33">
        <v>43252</v>
      </c>
      <c r="I3099" s="34" t="s">
        <v>4729</v>
      </c>
      <c r="J3099" s="36">
        <v>172.5</v>
      </c>
      <c r="K3099" t="s">
        <v>2030</v>
      </c>
    </row>
    <row r="3100" spans="1:11" x14ac:dyDescent="0.3">
      <c r="A3100" t="s">
        <v>1550</v>
      </c>
      <c r="B3100" s="33">
        <v>43290</v>
      </c>
      <c r="C3100" s="34" t="s">
        <v>4538</v>
      </c>
      <c r="D3100" s="34">
        <v>1</v>
      </c>
      <c r="E3100" s="35" t="s">
        <v>4353</v>
      </c>
      <c r="F3100" s="35" t="s">
        <v>58</v>
      </c>
      <c r="G3100" s="106" t="s">
        <v>3852</v>
      </c>
      <c r="H3100" s="33">
        <v>43252</v>
      </c>
      <c r="I3100" s="34" t="s">
        <v>4730</v>
      </c>
      <c r="J3100" s="36">
        <v>172.5</v>
      </c>
      <c r="K3100" t="s">
        <v>2030</v>
      </c>
    </row>
    <row r="3101" spans="1:11" x14ac:dyDescent="0.3">
      <c r="A3101" t="s">
        <v>1550</v>
      </c>
      <c r="B3101" s="33">
        <v>43290</v>
      </c>
      <c r="C3101" s="34" t="s">
        <v>4538</v>
      </c>
      <c r="D3101" s="34">
        <v>1</v>
      </c>
      <c r="E3101" s="35" t="s">
        <v>4353</v>
      </c>
      <c r="F3101" s="35" t="s">
        <v>28</v>
      </c>
      <c r="G3101" s="106" t="s">
        <v>3852</v>
      </c>
      <c r="H3101" s="33">
        <v>43252</v>
      </c>
      <c r="I3101" s="34" t="s">
        <v>4762</v>
      </c>
      <c r="J3101" s="36">
        <v>172.5</v>
      </c>
      <c r="K3101" t="s">
        <v>2030</v>
      </c>
    </row>
    <row r="3102" spans="1:11" x14ac:dyDescent="0.3">
      <c r="A3102" t="s">
        <v>1550</v>
      </c>
      <c r="B3102" s="33">
        <v>43290</v>
      </c>
      <c r="C3102" s="34" t="s">
        <v>4538</v>
      </c>
      <c r="D3102" s="34">
        <v>1</v>
      </c>
      <c r="E3102" s="35" t="s">
        <v>4353</v>
      </c>
      <c r="F3102" s="35" t="s">
        <v>39</v>
      </c>
      <c r="G3102" s="106" t="s">
        <v>3852</v>
      </c>
      <c r="H3102" s="33">
        <v>43252</v>
      </c>
      <c r="I3102" s="34" t="s">
        <v>4763</v>
      </c>
      <c r="J3102" s="36">
        <v>172.5</v>
      </c>
      <c r="K3102" t="s">
        <v>2030</v>
      </c>
    </row>
    <row r="3103" spans="1:11" x14ac:dyDescent="0.3">
      <c r="A3103" t="s">
        <v>1550</v>
      </c>
      <c r="B3103" s="33">
        <v>43290</v>
      </c>
      <c r="C3103" s="34" t="s">
        <v>4538</v>
      </c>
      <c r="D3103" s="34">
        <v>1</v>
      </c>
      <c r="E3103" s="35" t="s">
        <v>4353</v>
      </c>
      <c r="F3103" s="35" t="s">
        <v>27</v>
      </c>
      <c r="G3103" s="106" t="s">
        <v>3852</v>
      </c>
      <c r="H3103" s="33">
        <v>43252</v>
      </c>
      <c r="I3103" s="34" t="s">
        <v>4765</v>
      </c>
      <c r="J3103" s="36">
        <v>172.5</v>
      </c>
      <c r="K3103" t="s">
        <v>2030</v>
      </c>
    </row>
    <row r="3104" spans="1:11" x14ac:dyDescent="0.3">
      <c r="A3104" t="s">
        <v>1550</v>
      </c>
      <c r="B3104" s="33">
        <v>43290</v>
      </c>
      <c r="C3104" s="34" t="s">
        <v>4538</v>
      </c>
      <c r="D3104" s="34">
        <v>1</v>
      </c>
      <c r="E3104" s="35" t="s">
        <v>4353</v>
      </c>
      <c r="F3104" s="35" t="s">
        <v>24</v>
      </c>
      <c r="G3104" s="106" t="s">
        <v>3852</v>
      </c>
      <c r="H3104" s="33">
        <v>43252</v>
      </c>
      <c r="I3104" s="34" t="s">
        <v>4766</v>
      </c>
      <c r="J3104" s="36">
        <v>172.5</v>
      </c>
      <c r="K3104" t="s">
        <v>2030</v>
      </c>
    </row>
    <row r="3105" spans="1:11" x14ac:dyDescent="0.3">
      <c r="A3105" t="s">
        <v>1550</v>
      </c>
      <c r="B3105" s="33">
        <v>43290</v>
      </c>
      <c r="C3105" s="34" t="s">
        <v>4538</v>
      </c>
      <c r="D3105" s="34">
        <v>1</v>
      </c>
      <c r="E3105" s="35" t="s">
        <v>4353</v>
      </c>
      <c r="F3105" s="35" t="s">
        <v>20</v>
      </c>
      <c r="G3105" s="106" t="s">
        <v>3852</v>
      </c>
      <c r="H3105" s="33">
        <v>43252</v>
      </c>
      <c r="I3105" s="34" t="s">
        <v>4767</v>
      </c>
      <c r="J3105" s="36">
        <v>172.5</v>
      </c>
      <c r="K3105" t="s">
        <v>2030</v>
      </c>
    </row>
    <row r="3106" spans="1:11" x14ac:dyDescent="0.3">
      <c r="A3106" t="s">
        <v>1550</v>
      </c>
      <c r="B3106" s="33">
        <v>43290</v>
      </c>
      <c r="C3106" s="34" t="s">
        <v>4538</v>
      </c>
      <c r="D3106" s="34">
        <v>1</v>
      </c>
      <c r="E3106" s="35" t="s">
        <v>4353</v>
      </c>
      <c r="F3106" s="35" t="s">
        <v>16</v>
      </c>
      <c r="G3106" s="106" t="s">
        <v>3852</v>
      </c>
      <c r="H3106" s="33">
        <v>43252</v>
      </c>
      <c r="I3106" s="34" t="s">
        <v>4770</v>
      </c>
      <c r="J3106" s="36">
        <v>172.5</v>
      </c>
      <c r="K3106" t="s">
        <v>2030</v>
      </c>
    </row>
    <row r="3107" spans="1:11" x14ac:dyDescent="0.3">
      <c r="A3107" t="s">
        <v>1550</v>
      </c>
      <c r="B3107" s="33">
        <v>43290</v>
      </c>
      <c r="C3107" s="34" t="s">
        <v>4538</v>
      </c>
      <c r="D3107" s="34">
        <v>1</v>
      </c>
      <c r="E3107" s="35" t="s">
        <v>4353</v>
      </c>
      <c r="F3107" s="35" t="s">
        <v>17</v>
      </c>
      <c r="G3107" s="106" t="s">
        <v>3852</v>
      </c>
      <c r="H3107" s="33">
        <v>43252</v>
      </c>
      <c r="I3107" s="34" t="s">
        <v>4771</v>
      </c>
      <c r="J3107" s="36">
        <v>172.5</v>
      </c>
      <c r="K3107" t="s">
        <v>2030</v>
      </c>
    </row>
    <row r="3108" spans="1:11" x14ac:dyDescent="0.3">
      <c r="A3108" t="s">
        <v>1550</v>
      </c>
      <c r="B3108" s="33">
        <v>43290</v>
      </c>
      <c r="C3108" s="34" t="s">
        <v>4538</v>
      </c>
      <c r="D3108" s="34">
        <v>1</v>
      </c>
      <c r="E3108" s="35" t="s">
        <v>4353</v>
      </c>
      <c r="F3108" s="35" t="s">
        <v>18</v>
      </c>
      <c r="G3108" s="106" t="s">
        <v>3852</v>
      </c>
      <c r="H3108" s="33">
        <v>43252</v>
      </c>
      <c r="I3108" s="34" t="s">
        <v>4773</v>
      </c>
      <c r="J3108" s="36">
        <v>172.5</v>
      </c>
      <c r="K3108" t="s">
        <v>2030</v>
      </c>
    </row>
    <row r="3109" spans="1:11" x14ac:dyDescent="0.3">
      <c r="A3109" t="s">
        <v>1550</v>
      </c>
      <c r="B3109" s="33">
        <v>43290</v>
      </c>
      <c r="C3109" s="34" t="s">
        <v>4538</v>
      </c>
      <c r="D3109" s="34">
        <v>1</v>
      </c>
      <c r="E3109" s="35" t="s">
        <v>4353</v>
      </c>
      <c r="F3109" s="35" t="s">
        <v>21</v>
      </c>
      <c r="G3109" s="106" t="s">
        <v>3852</v>
      </c>
      <c r="H3109" s="33">
        <v>43252</v>
      </c>
      <c r="I3109" s="34" t="s">
        <v>4775</v>
      </c>
      <c r="J3109" s="36">
        <v>172.5</v>
      </c>
      <c r="K3109" t="s">
        <v>2030</v>
      </c>
    </row>
    <row r="3110" spans="1:11" x14ac:dyDescent="0.3">
      <c r="A3110" t="s">
        <v>1550</v>
      </c>
      <c r="B3110" s="33">
        <v>43290</v>
      </c>
      <c r="C3110" s="34" t="s">
        <v>4538</v>
      </c>
      <c r="D3110" s="34">
        <v>1</v>
      </c>
      <c r="E3110" s="35" t="s">
        <v>4353</v>
      </c>
      <c r="F3110" s="35" t="s">
        <v>25</v>
      </c>
      <c r="G3110" s="106" t="s">
        <v>3852</v>
      </c>
      <c r="H3110" s="33">
        <v>43252</v>
      </c>
      <c r="I3110" s="34" t="s">
        <v>4776</v>
      </c>
      <c r="J3110" s="36">
        <v>172.5</v>
      </c>
      <c r="K3110" t="s">
        <v>2030</v>
      </c>
    </row>
    <row r="3111" spans="1:11" x14ac:dyDescent="0.3">
      <c r="A3111" t="s">
        <v>1550</v>
      </c>
      <c r="B3111" s="33">
        <v>43290</v>
      </c>
      <c r="C3111" s="34" t="s">
        <v>4538</v>
      </c>
      <c r="D3111" s="34">
        <v>1</v>
      </c>
      <c r="E3111" s="35" t="s">
        <v>4353</v>
      </c>
      <c r="F3111" s="35" t="s">
        <v>23</v>
      </c>
      <c r="G3111" s="106" t="s">
        <v>3852</v>
      </c>
      <c r="H3111" s="33">
        <v>43252</v>
      </c>
      <c r="I3111" s="34" t="s">
        <v>4777</v>
      </c>
      <c r="J3111" s="36">
        <v>172.5</v>
      </c>
      <c r="K3111" t="s">
        <v>2030</v>
      </c>
    </row>
    <row r="3112" spans="1:11" x14ac:dyDescent="0.3">
      <c r="A3112" t="s">
        <v>1550</v>
      </c>
      <c r="B3112" s="33">
        <v>43290</v>
      </c>
      <c r="C3112" s="34" t="s">
        <v>4538</v>
      </c>
      <c r="D3112" s="34">
        <v>1</v>
      </c>
      <c r="E3112" s="35" t="s">
        <v>4353</v>
      </c>
      <c r="F3112" s="35" t="s">
        <v>19</v>
      </c>
      <c r="G3112" s="106" t="s">
        <v>3852</v>
      </c>
      <c r="H3112" s="33">
        <v>43252</v>
      </c>
      <c r="I3112" s="34" t="s">
        <v>4778</v>
      </c>
      <c r="J3112" s="36">
        <v>172.5</v>
      </c>
      <c r="K3112" t="s">
        <v>2030</v>
      </c>
    </row>
    <row r="3113" spans="1:11" x14ac:dyDescent="0.3">
      <c r="A3113" t="s">
        <v>1550</v>
      </c>
      <c r="B3113" s="33">
        <v>43290</v>
      </c>
      <c r="C3113" s="34" t="s">
        <v>4538</v>
      </c>
      <c r="D3113" s="34">
        <v>1</v>
      </c>
      <c r="E3113" s="35" t="s">
        <v>4353</v>
      </c>
      <c r="F3113" s="35" t="s">
        <v>22</v>
      </c>
      <c r="G3113" s="106" t="s">
        <v>3852</v>
      </c>
      <c r="H3113" s="33">
        <v>43252</v>
      </c>
      <c r="I3113" s="34" t="s">
        <v>4780</v>
      </c>
      <c r="J3113" s="36">
        <v>172.5</v>
      </c>
      <c r="K3113" t="s">
        <v>2030</v>
      </c>
    </row>
    <row r="3114" spans="1:11" x14ac:dyDescent="0.3">
      <c r="A3114" t="s">
        <v>1550</v>
      </c>
      <c r="B3114" s="33">
        <v>43290</v>
      </c>
      <c r="C3114" s="34" t="s">
        <v>4538</v>
      </c>
      <c r="D3114" s="34">
        <v>1</v>
      </c>
      <c r="E3114" s="35" t="s">
        <v>4353</v>
      </c>
      <c r="F3114" s="35" t="s">
        <v>1335</v>
      </c>
      <c r="G3114" s="106" t="s">
        <v>3852</v>
      </c>
      <c r="H3114" s="33">
        <v>43252</v>
      </c>
      <c r="I3114" s="34" t="s">
        <v>4781</v>
      </c>
      <c r="J3114" s="36">
        <v>465</v>
      </c>
      <c r="K3114" t="s">
        <v>2030</v>
      </c>
    </row>
    <row r="3115" spans="1:11" x14ac:dyDescent="0.3">
      <c r="A3115" t="s">
        <v>1550</v>
      </c>
      <c r="B3115" s="33">
        <v>43290</v>
      </c>
      <c r="C3115" s="34" t="s">
        <v>4538</v>
      </c>
      <c r="D3115" s="34">
        <v>1</v>
      </c>
      <c r="E3115" s="35" t="s">
        <v>4353</v>
      </c>
      <c r="F3115" s="35" t="s">
        <v>1337</v>
      </c>
      <c r="G3115" s="106" t="s">
        <v>3852</v>
      </c>
      <c r="H3115" s="33">
        <v>43252</v>
      </c>
      <c r="I3115" s="34" t="s">
        <v>4782</v>
      </c>
      <c r="J3115" s="36">
        <v>172.5</v>
      </c>
      <c r="K3115" t="s">
        <v>2030</v>
      </c>
    </row>
    <row r="3116" spans="1:11" x14ac:dyDescent="0.3">
      <c r="A3116" t="s">
        <v>1550</v>
      </c>
      <c r="B3116" s="33">
        <v>43290</v>
      </c>
      <c r="C3116" s="34" t="s">
        <v>4538</v>
      </c>
      <c r="D3116" s="34">
        <v>1</v>
      </c>
      <c r="E3116" s="35" t="s">
        <v>4353</v>
      </c>
      <c r="F3116" s="35" t="s">
        <v>1332</v>
      </c>
      <c r="G3116" s="106" t="s">
        <v>3852</v>
      </c>
      <c r="H3116" s="33">
        <v>43252</v>
      </c>
      <c r="I3116" s="34" t="s">
        <v>4783</v>
      </c>
      <c r="J3116" s="36">
        <v>172.5</v>
      </c>
      <c r="K3116" t="s">
        <v>2030</v>
      </c>
    </row>
    <row r="3117" spans="1:11" x14ac:dyDescent="0.3">
      <c r="A3117" t="s">
        <v>1550</v>
      </c>
      <c r="B3117" s="33">
        <v>43290</v>
      </c>
      <c r="C3117" s="34" t="s">
        <v>4538</v>
      </c>
      <c r="D3117" s="34">
        <v>1</v>
      </c>
      <c r="E3117" s="35" t="s">
        <v>4353</v>
      </c>
      <c r="F3117" s="35" t="s">
        <v>15</v>
      </c>
      <c r="G3117" s="106" t="s">
        <v>3852</v>
      </c>
      <c r="H3117" s="33">
        <v>43252</v>
      </c>
      <c r="I3117" s="34" t="s">
        <v>4784</v>
      </c>
      <c r="J3117" s="36">
        <v>172.5</v>
      </c>
      <c r="K3117" t="s">
        <v>2030</v>
      </c>
    </row>
    <row r="3118" spans="1:11" x14ac:dyDescent="0.3">
      <c r="A3118" t="s">
        <v>1550</v>
      </c>
      <c r="B3118" s="33">
        <v>43290</v>
      </c>
      <c r="C3118" s="34" t="s">
        <v>4538</v>
      </c>
      <c r="D3118" s="34">
        <v>1</v>
      </c>
      <c r="E3118" s="35" t="s">
        <v>4353</v>
      </c>
      <c r="F3118" s="35" t="s">
        <v>1329</v>
      </c>
      <c r="G3118" s="106" t="s">
        <v>3852</v>
      </c>
      <c r="H3118" s="33">
        <v>43252</v>
      </c>
      <c r="I3118" s="34" t="s">
        <v>4785</v>
      </c>
      <c r="J3118" s="36">
        <v>172.5</v>
      </c>
      <c r="K3118" t="s">
        <v>2030</v>
      </c>
    </row>
    <row r="3119" spans="1:11" x14ac:dyDescent="0.3">
      <c r="A3119" t="s">
        <v>1550</v>
      </c>
      <c r="B3119" s="33">
        <v>43290</v>
      </c>
      <c r="C3119" s="34" t="s">
        <v>4538</v>
      </c>
      <c r="D3119" s="34">
        <v>1</v>
      </c>
      <c r="E3119" s="35" t="s">
        <v>4353</v>
      </c>
      <c r="F3119" s="35" t="s">
        <v>1336</v>
      </c>
      <c r="G3119" s="106" t="s">
        <v>3852</v>
      </c>
      <c r="H3119" s="33">
        <v>43252</v>
      </c>
      <c r="I3119" s="34" t="s">
        <v>4786</v>
      </c>
      <c r="J3119" s="36">
        <v>465</v>
      </c>
      <c r="K3119" t="s">
        <v>2030</v>
      </c>
    </row>
    <row r="3120" spans="1:11" x14ac:dyDescent="0.3">
      <c r="A3120" t="s">
        <v>1550</v>
      </c>
      <c r="B3120" s="33">
        <v>43290</v>
      </c>
      <c r="C3120" s="34" t="s">
        <v>4538</v>
      </c>
      <c r="D3120" s="34">
        <v>1</v>
      </c>
      <c r="E3120" s="35" t="s">
        <v>4353</v>
      </c>
      <c r="F3120" s="35" t="s">
        <v>1334</v>
      </c>
      <c r="G3120" s="106" t="s">
        <v>3852</v>
      </c>
      <c r="H3120" s="33">
        <v>43252</v>
      </c>
      <c r="I3120" s="34" t="s">
        <v>4787</v>
      </c>
      <c r="J3120" s="36">
        <v>465</v>
      </c>
      <c r="K3120" t="s">
        <v>2030</v>
      </c>
    </row>
    <row r="3121" spans="1:11" x14ac:dyDescent="0.3">
      <c r="A3121" t="s">
        <v>1550</v>
      </c>
      <c r="B3121" s="33">
        <v>43290</v>
      </c>
      <c r="C3121" s="34" t="s">
        <v>4538</v>
      </c>
      <c r="D3121" s="34">
        <v>1</v>
      </c>
      <c r="E3121" s="35" t="s">
        <v>4353</v>
      </c>
      <c r="F3121" s="35" t="s">
        <v>1333</v>
      </c>
      <c r="G3121" s="106" t="s">
        <v>3852</v>
      </c>
      <c r="H3121" s="33">
        <v>43252</v>
      </c>
      <c r="I3121" s="34" t="s">
        <v>4788</v>
      </c>
      <c r="J3121" s="36">
        <v>172.5</v>
      </c>
      <c r="K3121" t="s">
        <v>2030</v>
      </c>
    </row>
    <row r="3122" spans="1:11" x14ac:dyDescent="0.3">
      <c r="A3122" t="s">
        <v>1550</v>
      </c>
      <c r="B3122" s="33">
        <v>43290</v>
      </c>
      <c r="C3122" s="34" t="s">
        <v>4538</v>
      </c>
      <c r="D3122" s="34">
        <v>1</v>
      </c>
      <c r="E3122" s="35" t="s">
        <v>4353</v>
      </c>
      <c r="F3122" s="35" t="s">
        <v>1323</v>
      </c>
      <c r="G3122" s="106" t="s">
        <v>3852</v>
      </c>
      <c r="H3122" s="33">
        <v>43252</v>
      </c>
      <c r="I3122" s="34" t="s">
        <v>4789</v>
      </c>
      <c r="J3122" s="36">
        <v>172.5</v>
      </c>
      <c r="K3122" t="s">
        <v>2030</v>
      </c>
    </row>
    <row r="3123" spans="1:11" x14ac:dyDescent="0.3">
      <c r="A3123" t="s">
        <v>1550</v>
      </c>
      <c r="B3123" s="33">
        <v>43290</v>
      </c>
      <c r="C3123" s="34" t="s">
        <v>4538</v>
      </c>
      <c r="D3123" s="34">
        <v>1</v>
      </c>
      <c r="E3123" s="35" t="s">
        <v>4353</v>
      </c>
      <c r="F3123" s="35" t="s">
        <v>1324</v>
      </c>
      <c r="G3123" s="106" t="s">
        <v>3852</v>
      </c>
      <c r="H3123" s="33">
        <v>43252</v>
      </c>
      <c r="I3123" s="34" t="s">
        <v>4790</v>
      </c>
      <c r="J3123" s="36">
        <v>172.5</v>
      </c>
      <c r="K3123" t="s">
        <v>2030</v>
      </c>
    </row>
    <row r="3124" spans="1:11" x14ac:dyDescent="0.3">
      <c r="A3124" t="s">
        <v>1550</v>
      </c>
      <c r="B3124" s="33">
        <v>43290</v>
      </c>
      <c r="C3124" s="34" t="s">
        <v>4538</v>
      </c>
      <c r="D3124" s="34">
        <v>1</v>
      </c>
      <c r="E3124" s="35" t="s">
        <v>4353</v>
      </c>
      <c r="F3124" s="35" t="s">
        <v>1325</v>
      </c>
      <c r="G3124" s="106" t="s">
        <v>3852</v>
      </c>
      <c r="H3124" s="33">
        <v>43252</v>
      </c>
      <c r="I3124" s="34" t="s">
        <v>4791</v>
      </c>
      <c r="J3124" s="36">
        <v>172.5</v>
      </c>
      <c r="K3124" t="s">
        <v>2030</v>
      </c>
    </row>
    <row r="3125" spans="1:11" x14ac:dyDescent="0.3">
      <c r="A3125" t="s">
        <v>1550</v>
      </c>
      <c r="B3125" s="33">
        <v>43290</v>
      </c>
      <c r="C3125" s="34" t="s">
        <v>4538</v>
      </c>
      <c r="D3125" s="34">
        <v>1</v>
      </c>
      <c r="E3125" s="35" t="s">
        <v>4353</v>
      </c>
      <c r="F3125" s="35" t="s">
        <v>1327</v>
      </c>
      <c r="G3125" s="106" t="s">
        <v>3852</v>
      </c>
      <c r="H3125" s="33">
        <v>43252</v>
      </c>
      <c r="I3125" s="34" t="s">
        <v>4792</v>
      </c>
      <c r="J3125" s="36">
        <v>172.5</v>
      </c>
      <c r="K3125" t="s">
        <v>2030</v>
      </c>
    </row>
    <row r="3126" spans="1:11" x14ac:dyDescent="0.3">
      <c r="A3126" t="s">
        <v>1550</v>
      </c>
      <c r="B3126" s="33">
        <v>43290</v>
      </c>
      <c r="C3126" s="34" t="s">
        <v>4538</v>
      </c>
      <c r="D3126" s="34">
        <v>1</v>
      </c>
      <c r="E3126" s="35" t="s">
        <v>4353</v>
      </c>
      <c r="F3126" s="35" t="s">
        <v>1331</v>
      </c>
      <c r="G3126" s="106" t="s">
        <v>3852</v>
      </c>
      <c r="H3126" s="33">
        <v>43252</v>
      </c>
      <c r="I3126" s="34" t="s">
        <v>4793</v>
      </c>
      <c r="J3126" s="36">
        <v>172.5</v>
      </c>
      <c r="K3126" t="s">
        <v>2030</v>
      </c>
    </row>
    <row r="3127" spans="1:11" x14ac:dyDescent="0.3">
      <c r="A3127" t="s">
        <v>1550</v>
      </c>
      <c r="B3127" s="33">
        <v>43290</v>
      </c>
      <c r="C3127" s="34" t="s">
        <v>4538</v>
      </c>
      <c r="D3127" s="34">
        <v>1</v>
      </c>
      <c r="E3127" s="35" t="s">
        <v>4353</v>
      </c>
      <c r="F3127" s="35" t="s">
        <v>1326</v>
      </c>
      <c r="G3127" s="106" t="s">
        <v>3852</v>
      </c>
      <c r="H3127" s="33">
        <v>43252</v>
      </c>
      <c r="I3127" s="34" t="s">
        <v>4794</v>
      </c>
      <c r="J3127" s="36">
        <v>172.5</v>
      </c>
      <c r="K3127" t="s">
        <v>2030</v>
      </c>
    </row>
    <row r="3128" spans="1:11" x14ac:dyDescent="0.3">
      <c r="A3128" t="s">
        <v>1550</v>
      </c>
      <c r="B3128" s="33">
        <v>43290</v>
      </c>
      <c r="C3128" s="34" t="s">
        <v>4538</v>
      </c>
      <c r="D3128" s="34">
        <v>1</v>
      </c>
      <c r="E3128" s="35" t="s">
        <v>4353</v>
      </c>
      <c r="F3128" s="35" t="s">
        <v>14</v>
      </c>
      <c r="G3128" s="106" t="s">
        <v>3852</v>
      </c>
      <c r="H3128" s="33">
        <v>43252</v>
      </c>
      <c r="I3128" s="34" t="s">
        <v>4795</v>
      </c>
      <c r="J3128" s="36">
        <v>172.5</v>
      </c>
      <c r="K3128" t="s">
        <v>2030</v>
      </c>
    </row>
    <row r="3129" spans="1:11" x14ac:dyDescent="0.3">
      <c r="A3129" t="s">
        <v>1550</v>
      </c>
      <c r="B3129" s="33">
        <v>43290</v>
      </c>
      <c r="C3129" s="34" t="s">
        <v>4538</v>
      </c>
      <c r="D3129" s="34">
        <v>1</v>
      </c>
      <c r="E3129" s="35" t="s">
        <v>4353</v>
      </c>
      <c r="F3129" s="35" t="s">
        <v>1330</v>
      </c>
      <c r="G3129" s="106" t="s">
        <v>3852</v>
      </c>
      <c r="H3129" s="33">
        <v>43252</v>
      </c>
      <c r="I3129" s="34" t="s">
        <v>4796</v>
      </c>
      <c r="J3129" s="36">
        <v>172.5</v>
      </c>
      <c r="K3129" t="s">
        <v>2030</v>
      </c>
    </row>
    <row r="3130" spans="1:11" x14ac:dyDescent="0.3">
      <c r="A3130" t="s">
        <v>1550</v>
      </c>
      <c r="B3130" s="33">
        <v>43290</v>
      </c>
      <c r="C3130" s="34" t="s">
        <v>4538</v>
      </c>
      <c r="D3130" s="34">
        <v>1</v>
      </c>
      <c r="E3130" s="35" t="s">
        <v>4353</v>
      </c>
      <c r="F3130" s="35" t="s">
        <v>37</v>
      </c>
      <c r="G3130" s="106" t="s">
        <v>3852</v>
      </c>
      <c r="H3130" s="33">
        <v>43252</v>
      </c>
      <c r="I3130" s="34" t="s">
        <v>4825</v>
      </c>
      <c r="J3130" s="36">
        <v>172.5</v>
      </c>
      <c r="K3130" t="s">
        <v>2030</v>
      </c>
    </row>
    <row r="3131" spans="1:11" x14ac:dyDescent="0.3">
      <c r="A3131" t="s">
        <v>1550</v>
      </c>
      <c r="B3131" s="33">
        <v>43290</v>
      </c>
      <c r="C3131" s="34" t="s">
        <v>4538</v>
      </c>
      <c r="D3131" s="34">
        <v>1</v>
      </c>
      <c r="E3131" s="35" t="s">
        <v>4353</v>
      </c>
      <c r="F3131" s="35" t="s">
        <v>26</v>
      </c>
      <c r="G3131" s="106" t="s">
        <v>3852</v>
      </c>
      <c r="H3131" s="33">
        <v>43252</v>
      </c>
      <c r="I3131" s="34" t="s">
        <v>4829</v>
      </c>
      <c r="J3131" s="36">
        <v>172.5</v>
      </c>
      <c r="K3131" t="s">
        <v>2030</v>
      </c>
    </row>
    <row r="3132" spans="1:11" x14ac:dyDescent="0.3">
      <c r="A3132" t="s">
        <v>1550</v>
      </c>
      <c r="B3132" s="33">
        <v>43290</v>
      </c>
      <c r="C3132" s="34" t="s">
        <v>4538</v>
      </c>
      <c r="D3132" s="34">
        <v>1</v>
      </c>
      <c r="E3132" s="35" t="s">
        <v>4353</v>
      </c>
      <c r="F3132" s="35" t="s">
        <v>38</v>
      </c>
      <c r="G3132" s="106" t="s">
        <v>3852</v>
      </c>
      <c r="H3132" s="33">
        <v>43252</v>
      </c>
      <c r="I3132" s="34" t="s">
        <v>4831</v>
      </c>
      <c r="J3132" s="36">
        <v>172.5</v>
      </c>
      <c r="K3132" t="s">
        <v>2030</v>
      </c>
    </row>
    <row r="3133" spans="1:11" x14ac:dyDescent="0.3">
      <c r="A3133" t="s">
        <v>1550</v>
      </c>
      <c r="B3133" s="33">
        <v>43290</v>
      </c>
      <c r="C3133" s="34" t="s">
        <v>4538</v>
      </c>
      <c r="D3133" s="34">
        <v>1</v>
      </c>
      <c r="E3133" s="35" t="s">
        <v>4353</v>
      </c>
      <c r="F3133" s="35" t="s">
        <v>67</v>
      </c>
      <c r="G3133" s="106" t="s">
        <v>3852</v>
      </c>
      <c r="H3133" s="33">
        <v>43252</v>
      </c>
      <c r="I3133" s="34" t="s">
        <v>4986</v>
      </c>
      <c r="J3133" s="36">
        <v>172.5</v>
      </c>
      <c r="K3133" t="s">
        <v>2030</v>
      </c>
    </row>
    <row r="3134" spans="1:11" x14ac:dyDescent="0.3">
      <c r="A3134" t="s">
        <v>1550</v>
      </c>
      <c r="B3134" s="33">
        <v>43290</v>
      </c>
      <c r="C3134" s="34" t="s">
        <v>4538</v>
      </c>
      <c r="D3134" s="34">
        <v>1</v>
      </c>
      <c r="E3134" s="35" t="s">
        <v>4353</v>
      </c>
      <c r="F3134" s="35" t="s">
        <v>63</v>
      </c>
      <c r="G3134" s="106" t="s">
        <v>3852</v>
      </c>
      <c r="H3134" s="33">
        <v>43252</v>
      </c>
      <c r="I3134" s="34" t="s">
        <v>4987</v>
      </c>
      <c r="J3134" s="36">
        <v>172.5</v>
      </c>
      <c r="K3134" t="s">
        <v>2030</v>
      </c>
    </row>
    <row r="3135" spans="1:11" x14ac:dyDescent="0.3">
      <c r="A3135" t="s">
        <v>1550</v>
      </c>
      <c r="B3135" s="33">
        <v>43290</v>
      </c>
      <c r="C3135" s="34" t="s">
        <v>4538</v>
      </c>
      <c r="D3135" s="34">
        <v>1</v>
      </c>
      <c r="E3135" s="35" t="s">
        <v>4353</v>
      </c>
      <c r="F3135" s="35" t="s">
        <v>66</v>
      </c>
      <c r="G3135" s="106" t="s">
        <v>3852</v>
      </c>
      <c r="H3135" s="33">
        <v>43252</v>
      </c>
      <c r="I3135" s="34" t="s">
        <v>4988</v>
      </c>
      <c r="J3135" s="36">
        <v>172.5</v>
      </c>
      <c r="K3135" t="s">
        <v>2030</v>
      </c>
    </row>
    <row r="3136" spans="1:11" x14ac:dyDescent="0.3">
      <c r="A3136" t="s">
        <v>1550</v>
      </c>
      <c r="B3136" s="33">
        <v>43290</v>
      </c>
      <c r="C3136" s="34" t="s">
        <v>4538</v>
      </c>
      <c r="D3136" s="34">
        <v>1</v>
      </c>
      <c r="E3136" s="35" t="s">
        <v>4353</v>
      </c>
      <c r="F3136" s="35" t="s">
        <v>7</v>
      </c>
      <c r="G3136" s="106" t="s">
        <v>3852</v>
      </c>
      <c r="H3136" s="33">
        <v>43252</v>
      </c>
      <c r="I3136" s="34" t="s">
        <v>4989</v>
      </c>
      <c r="J3136" s="36">
        <v>172.5</v>
      </c>
      <c r="K3136" t="s">
        <v>2030</v>
      </c>
    </row>
    <row r="3137" spans="1:11" x14ac:dyDescent="0.3">
      <c r="A3137" t="s">
        <v>1550</v>
      </c>
      <c r="B3137" s="33">
        <v>43290</v>
      </c>
      <c r="C3137" s="34" t="s">
        <v>4538</v>
      </c>
      <c r="D3137" s="34">
        <v>1</v>
      </c>
      <c r="E3137" s="35" t="s">
        <v>4353</v>
      </c>
      <c r="F3137" s="35" t="s">
        <v>64</v>
      </c>
      <c r="G3137" s="106" t="s">
        <v>3852</v>
      </c>
      <c r="H3137" s="33">
        <v>43252</v>
      </c>
      <c r="I3137" s="34" t="s">
        <v>4990</v>
      </c>
      <c r="J3137" s="36">
        <v>172.5</v>
      </c>
      <c r="K3137" t="s">
        <v>2030</v>
      </c>
    </row>
    <row r="3138" spans="1:11" x14ac:dyDescent="0.3">
      <c r="A3138" t="s">
        <v>1550</v>
      </c>
      <c r="B3138" s="33">
        <v>43290</v>
      </c>
      <c r="C3138" s="34" t="s">
        <v>4538</v>
      </c>
      <c r="D3138" s="34">
        <v>1</v>
      </c>
      <c r="E3138" s="35" t="s">
        <v>4353</v>
      </c>
      <c r="F3138" s="35" t="s">
        <v>45</v>
      </c>
      <c r="G3138" s="106" t="s">
        <v>3852</v>
      </c>
      <c r="H3138" s="33">
        <v>43252</v>
      </c>
      <c r="I3138" s="34" t="s">
        <v>4991</v>
      </c>
      <c r="J3138" s="36">
        <v>172.5</v>
      </c>
      <c r="K3138" t="s">
        <v>2030</v>
      </c>
    </row>
    <row r="3139" spans="1:11" x14ac:dyDescent="0.3">
      <c r="A3139" t="s">
        <v>1550</v>
      </c>
      <c r="B3139" s="33">
        <v>43290</v>
      </c>
      <c r="C3139" s="34" t="s">
        <v>4538</v>
      </c>
      <c r="D3139" s="34">
        <v>1</v>
      </c>
      <c r="E3139" s="35" t="s">
        <v>4353</v>
      </c>
      <c r="F3139" s="35" t="s">
        <v>59</v>
      </c>
      <c r="G3139" s="106" t="s">
        <v>3852</v>
      </c>
      <c r="H3139" s="33">
        <v>43252</v>
      </c>
      <c r="I3139" s="34" t="s">
        <v>4992</v>
      </c>
      <c r="J3139" s="36">
        <v>172.5</v>
      </c>
      <c r="K3139" t="s">
        <v>2030</v>
      </c>
    </row>
    <row r="3140" spans="1:11" x14ac:dyDescent="0.3">
      <c r="A3140" t="s">
        <v>1550</v>
      </c>
      <c r="B3140" s="33">
        <v>43290</v>
      </c>
      <c r="C3140" s="34" t="s">
        <v>4538</v>
      </c>
      <c r="D3140" s="34">
        <v>1</v>
      </c>
      <c r="E3140" s="35" t="s">
        <v>4353</v>
      </c>
      <c r="F3140" s="35" t="s">
        <v>51</v>
      </c>
      <c r="G3140" s="106" t="s">
        <v>3852</v>
      </c>
      <c r="H3140" s="33">
        <v>43252</v>
      </c>
      <c r="I3140" s="34" t="s">
        <v>4993</v>
      </c>
      <c r="J3140" s="36">
        <v>172.5</v>
      </c>
      <c r="K3140" t="s">
        <v>2030</v>
      </c>
    </row>
    <row r="3141" spans="1:11" x14ac:dyDescent="0.3">
      <c r="A3141" t="s">
        <v>1550</v>
      </c>
      <c r="B3141" s="33">
        <v>43290</v>
      </c>
      <c r="C3141" s="34" t="s">
        <v>4538</v>
      </c>
      <c r="D3141" s="34">
        <v>1</v>
      </c>
      <c r="E3141" s="35" t="s">
        <v>4353</v>
      </c>
      <c r="F3141" s="35" t="s">
        <v>52</v>
      </c>
      <c r="G3141" s="106" t="s">
        <v>3852</v>
      </c>
      <c r="H3141" s="33">
        <v>43252</v>
      </c>
      <c r="I3141" s="34" t="s">
        <v>4994</v>
      </c>
      <c r="J3141" s="36">
        <v>172.5</v>
      </c>
      <c r="K3141" t="s">
        <v>2030</v>
      </c>
    </row>
    <row r="3142" spans="1:11" x14ac:dyDescent="0.3">
      <c r="A3142" t="s">
        <v>1550</v>
      </c>
      <c r="B3142" s="33">
        <v>43290</v>
      </c>
      <c r="C3142" s="34" t="s">
        <v>4538</v>
      </c>
      <c r="D3142" s="34">
        <v>1</v>
      </c>
      <c r="E3142" s="35" t="s">
        <v>4353</v>
      </c>
      <c r="F3142" s="35" t="s">
        <v>49</v>
      </c>
      <c r="G3142" s="106" t="s">
        <v>3852</v>
      </c>
      <c r="H3142" s="33">
        <v>43252</v>
      </c>
      <c r="I3142" s="34" t="s">
        <v>4995</v>
      </c>
      <c r="J3142" s="36">
        <v>172.5</v>
      </c>
      <c r="K3142" t="s">
        <v>2030</v>
      </c>
    </row>
    <row r="3143" spans="1:11" x14ac:dyDescent="0.3">
      <c r="A3143" t="s">
        <v>1550</v>
      </c>
      <c r="B3143" s="33">
        <v>43290</v>
      </c>
      <c r="C3143" s="34" t="s">
        <v>4538</v>
      </c>
      <c r="D3143" s="34">
        <v>1</v>
      </c>
      <c r="E3143" s="35" t="s">
        <v>4353</v>
      </c>
      <c r="F3143" s="35" t="s">
        <v>47</v>
      </c>
      <c r="G3143" s="106" t="s">
        <v>3852</v>
      </c>
      <c r="H3143" s="33">
        <v>43252</v>
      </c>
      <c r="I3143" s="34" t="s">
        <v>4996</v>
      </c>
      <c r="J3143" s="36">
        <v>172.5</v>
      </c>
      <c r="K3143" t="s">
        <v>2030</v>
      </c>
    </row>
    <row r="3144" spans="1:11" x14ac:dyDescent="0.3">
      <c r="A3144" t="s">
        <v>1550</v>
      </c>
      <c r="B3144" s="33">
        <v>43290</v>
      </c>
      <c r="C3144" s="34" t="s">
        <v>4538</v>
      </c>
      <c r="D3144" s="34">
        <v>1</v>
      </c>
      <c r="E3144" s="35" t="s">
        <v>4353</v>
      </c>
      <c r="F3144" s="35" t="s">
        <v>43</v>
      </c>
      <c r="G3144" s="106" t="s">
        <v>3852</v>
      </c>
      <c r="H3144" s="33">
        <v>43252</v>
      </c>
      <c r="I3144" s="34" t="s">
        <v>4997</v>
      </c>
      <c r="J3144" s="36">
        <v>172.5</v>
      </c>
      <c r="K3144" t="s">
        <v>2030</v>
      </c>
    </row>
    <row r="3145" spans="1:11" x14ac:dyDescent="0.3">
      <c r="A3145" t="s">
        <v>1550</v>
      </c>
      <c r="B3145" s="33">
        <v>43290</v>
      </c>
      <c r="C3145" s="34" t="s">
        <v>4538</v>
      </c>
      <c r="D3145" s="34">
        <v>1</v>
      </c>
      <c r="E3145" s="35" t="s">
        <v>4353</v>
      </c>
      <c r="F3145" s="35" t="s">
        <v>46</v>
      </c>
      <c r="G3145" s="106" t="s">
        <v>3852</v>
      </c>
      <c r="H3145" s="33">
        <v>43252</v>
      </c>
      <c r="I3145" s="34" t="s">
        <v>4998</v>
      </c>
      <c r="J3145" s="36">
        <v>172.5</v>
      </c>
      <c r="K3145" t="s">
        <v>2030</v>
      </c>
    </row>
    <row r="3146" spans="1:11" x14ac:dyDescent="0.3">
      <c r="A3146" t="s">
        <v>1550</v>
      </c>
      <c r="B3146" s="33">
        <v>43290</v>
      </c>
      <c r="C3146" s="34" t="s">
        <v>4538</v>
      </c>
      <c r="D3146" s="34">
        <v>1</v>
      </c>
      <c r="E3146" s="35" t="s">
        <v>4353</v>
      </c>
      <c r="F3146" s="35" t="s">
        <v>44</v>
      </c>
      <c r="G3146" s="106" t="s">
        <v>3852</v>
      </c>
      <c r="H3146" s="33">
        <v>43252</v>
      </c>
      <c r="I3146" s="34" t="s">
        <v>4999</v>
      </c>
      <c r="J3146" s="36">
        <v>172.5</v>
      </c>
      <c r="K3146" t="s">
        <v>2030</v>
      </c>
    </row>
    <row r="3147" spans="1:11" x14ac:dyDescent="0.3">
      <c r="A3147" t="s">
        <v>1550</v>
      </c>
      <c r="B3147" s="33">
        <v>43290</v>
      </c>
      <c r="C3147" s="34" t="s">
        <v>4538</v>
      </c>
      <c r="D3147" s="34">
        <v>1</v>
      </c>
      <c r="E3147" s="35" t="s">
        <v>4353</v>
      </c>
      <c r="F3147" s="35" t="s">
        <v>295</v>
      </c>
      <c r="G3147" s="106" t="s">
        <v>3852</v>
      </c>
      <c r="H3147" s="33">
        <v>43252</v>
      </c>
      <c r="I3147" s="34" t="s">
        <v>5000</v>
      </c>
      <c r="J3147" s="36">
        <v>172.5</v>
      </c>
      <c r="K3147" t="s">
        <v>2030</v>
      </c>
    </row>
    <row r="3148" spans="1:11" x14ac:dyDescent="0.3">
      <c r="A3148" t="s">
        <v>1550</v>
      </c>
      <c r="B3148" s="33">
        <v>43290</v>
      </c>
      <c r="C3148" s="34" t="s">
        <v>4538</v>
      </c>
      <c r="D3148" s="34">
        <v>1</v>
      </c>
      <c r="E3148" s="35" t="s">
        <v>4353</v>
      </c>
      <c r="F3148" s="35" t="s">
        <v>42</v>
      </c>
      <c r="G3148" s="106" t="s">
        <v>3852</v>
      </c>
      <c r="H3148" s="33">
        <v>43252</v>
      </c>
      <c r="I3148" s="34" t="s">
        <v>5001</v>
      </c>
      <c r="J3148" s="36">
        <v>172.5</v>
      </c>
      <c r="K3148" t="s">
        <v>2030</v>
      </c>
    </row>
    <row r="3149" spans="1:11" x14ac:dyDescent="0.3">
      <c r="A3149" t="s">
        <v>1550</v>
      </c>
      <c r="B3149" s="33">
        <v>43290</v>
      </c>
      <c r="C3149" s="34" t="s">
        <v>4538</v>
      </c>
      <c r="D3149" s="34">
        <v>1</v>
      </c>
      <c r="E3149" s="35" t="s">
        <v>4353</v>
      </c>
      <c r="F3149" s="35" t="s">
        <v>48</v>
      </c>
      <c r="G3149" s="106" t="s">
        <v>3852</v>
      </c>
      <c r="H3149" s="33">
        <v>43252</v>
      </c>
      <c r="I3149" s="34" t="s">
        <v>5002</v>
      </c>
      <c r="J3149" s="36">
        <v>172.5</v>
      </c>
      <c r="K3149" t="s">
        <v>2030</v>
      </c>
    </row>
    <row r="3150" spans="1:11" x14ac:dyDescent="0.3">
      <c r="A3150" t="s">
        <v>1550</v>
      </c>
      <c r="B3150" s="33">
        <v>43290</v>
      </c>
      <c r="C3150" s="34" t="s">
        <v>4538</v>
      </c>
      <c r="D3150" s="34">
        <v>1</v>
      </c>
      <c r="E3150" s="35" t="s">
        <v>4353</v>
      </c>
      <c r="F3150" s="35" t="s">
        <v>6</v>
      </c>
      <c r="G3150" s="106" t="s">
        <v>3852</v>
      </c>
      <c r="H3150" s="33">
        <v>43252</v>
      </c>
      <c r="I3150" s="34" t="s">
        <v>5003</v>
      </c>
      <c r="J3150" s="36">
        <v>172.5</v>
      </c>
      <c r="K3150" t="s">
        <v>2030</v>
      </c>
    </row>
    <row r="3151" spans="1:11" x14ac:dyDescent="0.3">
      <c r="A3151" t="s">
        <v>1550</v>
      </c>
      <c r="B3151" s="33">
        <v>43290</v>
      </c>
      <c r="C3151" s="34" t="s">
        <v>4538</v>
      </c>
      <c r="D3151" s="34">
        <v>1</v>
      </c>
      <c r="E3151" s="35" t="s">
        <v>4353</v>
      </c>
      <c r="F3151" s="35" t="s">
        <v>41</v>
      </c>
      <c r="G3151" s="106" t="s">
        <v>3852</v>
      </c>
      <c r="H3151" s="33">
        <v>43252</v>
      </c>
      <c r="I3151" s="34" t="s">
        <v>5004</v>
      </c>
      <c r="J3151" s="36">
        <v>172.5</v>
      </c>
      <c r="K3151" t="s">
        <v>2030</v>
      </c>
    </row>
    <row r="3152" spans="1:11" x14ac:dyDescent="0.3">
      <c r="A3152" t="s">
        <v>1550</v>
      </c>
      <c r="B3152" s="33">
        <v>43290</v>
      </c>
      <c r="C3152" s="34" t="s">
        <v>4538</v>
      </c>
      <c r="D3152" s="34">
        <v>1</v>
      </c>
      <c r="E3152" s="35" t="s">
        <v>4353</v>
      </c>
      <c r="F3152" s="35" t="s">
        <v>40</v>
      </c>
      <c r="G3152" s="106" t="s">
        <v>3852</v>
      </c>
      <c r="H3152" s="33">
        <v>43252</v>
      </c>
      <c r="I3152" s="34" t="s">
        <v>5005</v>
      </c>
      <c r="J3152" s="36">
        <v>172.5</v>
      </c>
      <c r="K3152" t="s">
        <v>2030</v>
      </c>
    </row>
    <row r="3153" spans="1:11" x14ac:dyDescent="0.3">
      <c r="A3153" t="s">
        <v>1550</v>
      </c>
      <c r="B3153" s="33">
        <v>43290</v>
      </c>
      <c r="C3153" s="34" t="s">
        <v>4538</v>
      </c>
      <c r="D3153" s="34">
        <v>1</v>
      </c>
      <c r="E3153" s="35" t="s">
        <v>4353</v>
      </c>
      <c r="F3153" s="35" t="s">
        <v>99</v>
      </c>
      <c r="G3153" s="106" t="s">
        <v>3852</v>
      </c>
      <c r="H3153" s="33">
        <v>43252</v>
      </c>
      <c r="I3153" s="34" t="s">
        <v>5022</v>
      </c>
      <c r="J3153" s="36">
        <v>465</v>
      </c>
      <c r="K3153" t="s">
        <v>2030</v>
      </c>
    </row>
    <row r="3154" spans="1:11" x14ac:dyDescent="0.3">
      <c r="A3154" t="s">
        <v>1550</v>
      </c>
      <c r="B3154" s="33">
        <v>43290</v>
      </c>
      <c r="C3154" s="34" t="s">
        <v>4538</v>
      </c>
      <c r="D3154" s="34">
        <v>1</v>
      </c>
      <c r="E3154" s="35" t="s">
        <v>4353</v>
      </c>
      <c r="F3154" s="35" t="s">
        <v>91</v>
      </c>
      <c r="G3154" s="106" t="s">
        <v>3852</v>
      </c>
      <c r="H3154" s="33">
        <v>43252</v>
      </c>
      <c r="I3154" s="34" t="s">
        <v>5023</v>
      </c>
      <c r="J3154" s="36">
        <v>465</v>
      </c>
      <c r="K3154" t="s">
        <v>2030</v>
      </c>
    </row>
    <row r="3155" spans="1:11" x14ac:dyDescent="0.3">
      <c r="A3155" t="s">
        <v>1550</v>
      </c>
      <c r="B3155" s="33">
        <v>43290</v>
      </c>
      <c r="C3155" s="34" t="s">
        <v>4538</v>
      </c>
      <c r="D3155" s="34">
        <v>1</v>
      </c>
      <c r="E3155" s="35" t="s">
        <v>4353</v>
      </c>
      <c r="F3155" s="35" t="s">
        <v>96</v>
      </c>
      <c r="G3155" s="106" t="s">
        <v>3852</v>
      </c>
      <c r="H3155" s="33">
        <v>43252</v>
      </c>
      <c r="I3155" s="34" t="s">
        <v>5024</v>
      </c>
      <c r="J3155" s="36">
        <v>465</v>
      </c>
      <c r="K3155" t="s">
        <v>2030</v>
      </c>
    </row>
    <row r="3156" spans="1:11" x14ac:dyDescent="0.3">
      <c r="A3156" t="s">
        <v>1550</v>
      </c>
      <c r="B3156" s="33">
        <v>43290</v>
      </c>
      <c r="C3156" s="34" t="s">
        <v>4538</v>
      </c>
      <c r="D3156" s="34">
        <v>1</v>
      </c>
      <c r="E3156" s="35" t="s">
        <v>4353</v>
      </c>
      <c r="F3156" s="35" t="s">
        <v>95</v>
      </c>
      <c r="G3156" s="106" t="s">
        <v>3852</v>
      </c>
      <c r="H3156" s="33">
        <v>43252</v>
      </c>
      <c r="I3156" s="34" t="s">
        <v>5025</v>
      </c>
      <c r="J3156" s="36">
        <v>577.5</v>
      </c>
      <c r="K3156" t="s">
        <v>2030</v>
      </c>
    </row>
    <row r="3157" spans="1:11" x14ac:dyDescent="0.3">
      <c r="A3157" t="s">
        <v>1550</v>
      </c>
      <c r="B3157" s="33">
        <v>43290</v>
      </c>
      <c r="C3157" s="34" t="s">
        <v>4538</v>
      </c>
      <c r="D3157" s="34">
        <v>1</v>
      </c>
      <c r="E3157" s="35" t="s">
        <v>4353</v>
      </c>
      <c r="F3157" s="35" t="s">
        <v>8</v>
      </c>
      <c r="G3157" s="106" t="s">
        <v>3852</v>
      </c>
      <c r="H3157" s="33">
        <v>43252</v>
      </c>
      <c r="I3157" s="34" t="s">
        <v>5026</v>
      </c>
      <c r="J3157" s="36">
        <v>172.5</v>
      </c>
      <c r="K3157" t="s">
        <v>2030</v>
      </c>
    </row>
    <row r="3158" spans="1:11" x14ac:dyDescent="0.3">
      <c r="A3158" t="s">
        <v>1550</v>
      </c>
      <c r="B3158" s="33">
        <v>43290</v>
      </c>
      <c r="C3158" s="34" t="s">
        <v>4538</v>
      </c>
      <c r="D3158" s="34">
        <v>1</v>
      </c>
      <c r="E3158" s="35" t="s">
        <v>4353</v>
      </c>
      <c r="F3158" s="35" t="s">
        <v>87</v>
      </c>
      <c r="G3158" s="106" t="s">
        <v>3852</v>
      </c>
      <c r="H3158" s="33">
        <v>43252</v>
      </c>
      <c r="I3158" s="34" t="s">
        <v>5027</v>
      </c>
      <c r="J3158" s="36">
        <v>465</v>
      </c>
      <c r="K3158" t="s">
        <v>2030</v>
      </c>
    </row>
    <row r="3159" spans="1:11" x14ac:dyDescent="0.3">
      <c r="A3159" t="s">
        <v>1550</v>
      </c>
      <c r="B3159" s="33">
        <v>43290</v>
      </c>
      <c r="C3159" s="34" t="s">
        <v>4538</v>
      </c>
      <c r="D3159" s="34">
        <v>1</v>
      </c>
      <c r="E3159" s="35" t="s">
        <v>4353</v>
      </c>
      <c r="F3159" s="35" t="s">
        <v>30</v>
      </c>
      <c r="G3159" s="106" t="s">
        <v>3852</v>
      </c>
      <c r="H3159" s="33">
        <v>43252</v>
      </c>
      <c r="I3159" s="34" t="s">
        <v>5028</v>
      </c>
      <c r="J3159" s="36">
        <v>577.5</v>
      </c>
      <c r="K3159" t="s">
        <v>2030</v>
      </c>
    </row>
    <row r="3160" spans="1:11" x14ac:dyDescent="0.3">
      <c r="A3160" t="s">
        <v>1550</v>
      </c>
      <c r="B3160" s="33">
        <v>43290</v>
      </c>
      <c r="C3160" s="34" t="s">
        <v>4538</v>
      </c>
      <c r="D3160" s="34">
        <v>1</v>
      </c>
      <c r="E3160" s="35" t="s">
        <v>4353</v>
      </c>
      <c r="F3160" s="35" t="s">
        <v>93</v>
      </c>
      <c r="G3160" s="106" t="s">
        <v>3852</v>
      </c>
      <c r="H3160" s="33">
        <v>43252</v>
      </c>
      <c r="I3160" s="34" t="s">
        <v>5029</v>
      </c>
      <c r="J3160" s="36">
        <v>577.5</v>
      </c>
      <c r="K3160" t="s">
        <v>2030</v>
      </c>
    </row>
    <row r="3161" spans="1:11" x14ac:dyDescent="0.3">
      <c r="A3161" t="s">
        <v>1550</v>
      </c>
      <c r="B3161" s="33">
        <v>43290</v>
      </c>
      <c r="C3161" s="34" t="s">
        <v>4538</v>
      </c>
      <c r="D3161" s="34">
        <v>1</v>
      </c>
      <c r="E3161" s="35" t="s">
        <v>4353</v>
      </c>
      <c r="F3161" s="35" t="s">
        <v>90</v>
      </c>
      <c r="G3161" s="106" t="s">
        <v>3852</v>
      </c>
      <c r="H3161" s="33">
        <v>43252</v>
      </c>
      <c r="I3161" s="34" t="s">
        <v>5030</v>
      </c>
      <c r="J3161" s="36">
        <v>465</v>
      </c>
      <c r="K3161" t="s">
        <v>2030</v>
      </c>
    </row>
    <row r="3162" spans="1:11" x14ac:dyDescent="0.3">
      <c r="A3162" t="s">
        <v>1550</v>
      </c>
      <c r="B3162" s="33">
        <v>43290</v>
      </c>
      <c r="C3162" s="34" t="s">
        <v>4538</v>
      </c>
      <c r="D3162" s="34">
        <v>1</v>
      </c>
      <c r="E3162" s="35" t="s">
        <v>4353</v>
      </c>
      <c r="F3162" s="35" t="s">
        <v>88</v>
      </c>
      <c r="G3162" s="106" t="s">
        <v>3852</v>
      </c>
      <c r="H3162" s="33">
        <v>43252</v>
      </c>
      <c r="I3162" s="34" t="s">
        <v>5031</v>
      </c>
      <c r="J3162" s="36">
        <v>465</v>
      </c>
      <c r="K3162" t="s">
        <v>2030</v>
      </c>
    </row>
    <row r="3163" spans="1:11" x14ac:dyDescent="0.3">
      <c r="A3163" t="s">
        <v>1550</v>
      </c>
      <c r="B3163" s="33">
        <v>43290</v>
      </c>
      <c r="C3163" s="34" t="s">
        <v>4538</v>
      </c>
      <c r="D3163" s="34">
        <v>1</v>
      </c>
      <c r="E3163" s="35" t="s">
        <v>4353</v>
      </c>
      <c r="F3163" s="35" t="s">
        <v>89</v>
      </c>
      <c r="G3163" s="106" t="s">
        <v>3852</v>
      </c>
      <c r="H3163" s="33">
        <v>43252</v>
      </c>
      <c r="I3163" s="34" t="s">
        <v>5032</v>
      </c>
      <c r="J3163" s="36">
        <v>465</v>
      </c>
      <c r="K3163" t="s">
        <v>2030</v>
      </c>
    </row>
    <row r="3164" spans="1:11" x14ac:dyDescent="0.3">
      <c r="A3164" t="s">
        <v>1550</v>
      </c>
      <c r="B3164" s="33">
        <v>43290</v>
      </c>
      <c r="C3164" s="34" t="s">
        <v>4538</v>
      </c>
      <c r="D3164" s="34">
        <v>1</v>
      </c>
      <c r="E3164" s="35" t="s">
        <v>4353</v>
      </c>
      <c r="F3164" s="35" t="s">
        <v>86</v>
      </c>
      <c r="G3164" s="106" t="s">
        <v>3852</v>
      </c>
      <c r="H3164" s="33">
        <v>43252</v>
      </c>
      <c r="I3164" s="34" t="s">
        <v>5033</v>
      </c>
      <c r="J3164" s="36">
        <v>465</v>
      </c>
      <c r="K3164" t="s">
        <v>2030</v>
      </c>
    </row>
    <row r="3165" spans="1:11" x14ac:dyDescent="0.3">
      <c r="A3165" t="s">
        <v>1550</v>
      </c>
      <c r="B3165" s="33">
        <v>43290</v>
      </c>
      <c r="C3165" s="34" t="s">
        <v>4538</v>
      </c>
      <c r="D3165" s="34">
        <v>1</v>
      </c>
      <c r="E3165" s="35" t="s">
        <v>4353</v>
      </c>
      <c r="F3165" s="35" t="s">
        <v>94</v>
      </c>
      <c r="G3165" s="106" t="s">
        <v>3852</v>
      </c>
      <c r="H3165" s="33">
        <v>43252</v>
      </c>
      <c r="I3165" s="34" t="s">
        <v>5034</v>
      </c>
      <c r="J3165" s="36">
        <v>577.5</v>
      </c>
      <c r="K3165" t="s">
        <v>2030</v>
      </c>
    </row>
    <row r="3166" spans="1:11" x14ac:dyDescent="0.3">
      <c r="A3166" t="s">
        <v>1550</v>
      </c>
      <c r="B3166" s="33">
        <v>43290</v>
      </c>
      <c r="C3166" s="34" t="s">
        <v>4538</v>
      </c>
      <c r="D3166" s="34">
        <v>1</v>
      </c>
      <c r="E3166" s="35" t="s">
        <v>4353</v>
      </c>
      <c r="F3166" s="35" t="s">
        <v>92</v>
      </c>
      <c r="G3166" s="106" t="s">
        <v>3852</v>
      </c>
      <c r="H3166" s="33">
        <v>43252</v>
      </c>
      <c r="I3166" s="34" t="s">
        <v>5035</v>
      </c>
      <c r="J3166" s="36">
        <v>465</v>
      </c>
      <c r="K3166" t="s">
        <v>2030</v>
      </c>
    </row>
    <row r="3167" spans="1:11" x14ac:dyDescent="0.3">
      <c r="A3167" t="s">
        <v>1550</v>
      </c>
      <c r="B3167" s="33">
        <v>43290</v>
      </c>
      <c r="C3167" s="34" t="s">
        <v>4538</v>
      </c>
      <c r="D3167" s="34">
        <v>1</v>
      </c>
      <c r="E3167" s="35" t="s">
        <v>4353</v>
      </c>
      <c r="F3167" s="35" t="s">
        <v>85</v>
      </c>
      <c r="G3167" s="106" t="s">
        <v>3852</v>
      </c>
      <c r="H3167" s="33">
        <v>43252</v>
      </c>
      <c r="I3167" s="34" t="s">
        <v>5036</v>
      </c>
      <c r="J3167" s="36">
        <v>172.5</v>
      </c>
      <c r="K3167" t="s">
        <v>2030</v>
      </c>
    </row>
    <row r="3168" spans="1:11" x14ac:dyDescent="0.3">
      <c r="A3168" t="s">
        <v>1550</v>
      </c>
      <c r="B3168" s="33">
        <v>43290</v>
      </c>
      <c r="C3168" s="34" t="s">
        <v>4538</v>
      </c>
      <c r="D3168" s="34">
        <v>1</v>
      </c>
      <c r="E3168" s="35" t="s">
        <v>4353</v>
      </c>
      <c r="F3168" s="35" t="s">
        <v>81</v>
      </c>
      <c r="G3168" s="106" t="s">
        <v>3852</v>
      </c>
      <c r="H3168" s="33">
        <v>43252</v>
      </c>
      <c r="I3168" s="34" t="s">
        <v>5037</v>
      </c>
      <c r="J3168" s="36">
        <v>172.5</v>
      </c>
      <c r="K3168" t="s">
        <v>2030</v>
      </c>
    </row>
    <row r="3169" spans="1:11" x14ac:dyDescent="0.3">
      <c r="A3169" t="s">
        <v>1550</v>
      </c>
      <c r="B3169" s="33">
        <v>43290</v>
      </c>
      <c r="C3169" s="34" t="s">
        <v>4538</v>
      </c>
      <c r="D3169" s="34">
        <v>1</v>
      </c>
      <c r="E3169" s="35" t="s">
        <v>4353</v>
      </c>
      <c r="F3169" s="35" t="s">
        <v>78</v>
      </c>
      <c r="G3169" s="106" t="s">
        <v>3852</v>
      </c>
      <c r="H3169" s="33">
        <v>43252</v>
      </c>
      <c r="I3169" s="34" t="s">
        <v>5038</v>
      </c>
      <c r="J3169" s="36">
        <v>172.5</v>
      </c>
      <c r="K3169" t="s">
        <v>2030</v>
      </c>
    </row>
    <row r="3170" spans="1:11" x14ac:dyDescent="0.3">
      <c r="A3170" t="s">
        <v>1550</v>
      </c>
      <c r="B3170" s="33">
        <v>43290</v>
      </c>
      <c r="C3170" s="34" t="s">
        <v>4538</v>
      </c>
      <c r="D3170" s="34">
        <v>1</v>
      </c>
      <c r="E3170" s="35" t="s">
        <v>4353</v>
      </c>
      <c r="F3170" s="35" t="s">
        <v>83</v>
      </c>
      <c r="G3170" s="106" t="s">
        <v>3852</v>
      </c>
      <c r="H3170" s="33">
        <v>43252</v>
      </c>
      <c r="I3170" s="34" t="s">
        <v>5039</v>
      </c>
      <c r="J3170" s="36">
        <v>172.5</v>
      </c>
      <c r="K3170" t="s">
        <v>2030</v>
      </c>
    </row>
    <row r="3171" spans="1:11" x14ac:dyDescent="0.3">
      <c r="A3171" t="s">
        <v>1550</v>
      </c>
      <c r="B3171" s="33">
        <v>43290</v>
      </c>
      <c r="C3171" s="34" t="s">
        <v>4538</v>
      </c>
      <c r="D3171" s="34">
        <v>1</v>
      </c>
      <c r="E3171" s="35" t="s">
        <v>4353</v>
      </c>
      <c r="F3171" s="35" t="s">
        <v>84</v>
      </c>
      <c r="G3171" s="106" t="s">
        <v>3852</v>
      </c>
      <c r="H3171" s="33">
        <v>43252</v>
      </c>
      <c r="I3171" s="34" t="s">
        <v>5040</v>
      </c>
      <c r="J3171" s="36">
        <v>172.5</v>
      </c>
      <c r="K3171" t="s">
        <v>2030</v>
      </c>
    </row>
    <row r="3172" spans="1:11" x14ac:dyDescent="0.3">
      <c r="A3172" t="s">
        <v>1550</v>
      </c>
      <c r="B3172" s="33">
        <v>43290</v>
      </c>
      <c r="C3172" s="34" t="s">
        <v>4538</v>
      </c>
      <c r="D3172" s="34">
        <v>1</v>
      </c>
      <c r="E3172" s="35" t="s">
        <v>4353</v>
      </c>
      <c r="F3172" s="35" t="s">
        <v>80</v>
      </c>
      <c r="G3172" s="106" t="s">
        <v>3852</v>
      </c>
      <c r="H3172" s="33">
        <v>43252</v>
      </c>
      <c r="I3172" s="34" t="s">
        <v>5041</v>
      </c>
      <c r="J3172" s="36">
        <v>172.5</v>
      </c>
      <c r="K3172" t="s">
        <v>2030</v>
      </c>
    </row>
    <row r="3173" spans="1:11" x14ac:dyDescent="0.3">
      <c r="A3173" t="s">
        <v>1550</v>
      </c>
      <c r="B3173" s="33">
        <v>43290</v>
      </c>
      <c r="C3173" s="34" t="s">
        <v>4538</v>
      </c>
      <c r="D3173" s="34">
        <v>1</v>
      </c>
      <c r="E3173" s="35" t="s">
        <v>4353</v>
      </c>
      <c r="F3173" s="35" t="s">
        <v>82</v>
      </c>
      <c r="G3173" s="106" t="s">
        <v>3852</v>
      </c>
      <c r="H3173" s="33">
        <v>43252</v>
      </c>
      <c r="I3173" s="34" t="s">
        <v>5042</v>
      </c>
      <c r="J3173" s="36">
        <v>172.5</v>
      </c>
      <c r="K3173" t="s">
        <v>2030</v>
      </c>
    </row>
    <row r="3174" spans="1:11" x14ac:dyDescent="0.3">
      <c r="A3174" t="s">
        <v>1550</v>
      </c>
      <c r="B3174" s="33">
        <v>43290</v>
      </c>
      <c r="C3174" s="34" t="s">
        <v>4538</v>
      </c>
      <c r="D3174" s="34">
        <v>1</v>
      </c>
      <c r="E3174" s="35" t="s">
        <v>4353</v>
      </c>
      <c r="F3174" s="35" t="s">
        <v>79</v>
      </c>
      <c r="G3174" s="106" t="s">
        <v>3852</v>
      </c>
      <c r="H3174" s="33">
        <v>43252</v>
      </c>
      <c r="I3174" s="34" t="s">
        <v>5043</v>
      </c>
      <c r="J3174" s="36">
        <v>172.5</v>
      </c>
      <c r="K3174" t="s">
        <v>2030</v>
      </c>
    </row>
    <row r="3175" spans="1:11" x14ac:dyDescent="0.3">
      <c r="A3175" t="s">
        <v>1550</v>
      </c>
      <c r="B3175" s="33">
        <v>43290</v>
      </c>
      <c r="C3175" s="34" t="s">
        <v>4538</v>
      </c>
      <c r="D3175" s="34">
        <v>1</v>
      </c>
      <c r="E3175" s="35" t="s">
        <v>4353</v>
      </c>
      <c r="F3175" s="35" t="s">
        <v>74</v>
      </c>
      <c r="G3175" s="106" t="s">
        <v>3852</v>
      </c>
      <c r="H3175" s="33">
        <v>43252</v>
      </c>
      <c r="I3175" s="34" t="s">
        <v>5044</v>
      </c>
      <c r="J3175" s="36">
        <v>172.5</v>
      </c>
      <c r="K3175" t="s">
        <v>2030</v>
      </c>
    </row>
    <row r="3176" spans="1:11" x14ac:dyDescent="0.3">
      <c r="A3176" t="s">
        <v>1550</v>
      </c>
      <c r="B3176" s="33">
        <v>43290</v>
      </c>
      <c r="C3176" s="34" t="s">
        <v>4538</v>
      </c>
      <c r="D3176" s="34">
        <v>1</v>
      </c>
      <c r="E3176" s="35" t="s">
        <v>4353</v>
      </c>
      <c r="F3176" s="35" t="s">
        <v>73</v>
      </c>
      <c r="G3176" s="106" t="s">
        <v>3852</v>
      </c>
      <c r="H3176" s="33">
        <v>43252</v>
      </c>
      <c r="I3176" s="34" t="s">
        <v>5045</v>
      </c>
      <c r="J3176" s="36">
        <v>172.5</v>
      </c>
      <c r="K3176" t="s">
        <v>2030</v>
      </c>
    </row>
    <row r="3177" spans="1:11" x14ac:dyDescent="0.3">
      <c r="A3177" t="s">
        <v>1550</v>
      </c>
      <c r="B3177" s="33">
        <v>43290</v>
      </c>
      <c r="C3177" s="34" t="s">
        <v>4538</v>
      </c>
      <c r="D3177" s="34">
        <v>1</v>
      </c>
      <c r="E3177" s="35" t="s">
        <v>4353</v>
      </c>
      <c r="F3177" s="35" t="s">
        <v>70</v>
      </c>
      <c r="G3177" s="106" t="s">
        <v>3852</v>
      </c>
      <c r="H3177" s="33">
        <v>43252</v>
      </c>
      <c r="I3177" s="34" t="s">
        <v>5046</v>
      </c>
      <c r="J3177" s="36">
        <v>172.5</v>
      </c>
      <c r="K3177" t="s">
        <v>2030</v>
      </c>
    </row>
    <row r="3178" spans="1:11" x14ac:dyDescent="0.3">
      <c r="A3178" t="s">
        <v>1550</v>
      </c>
      <c r="B3178" s="33">
        <v>43290</v>
      </c>
      <c r="C3178" s="34" t="s">
        <v>4538</v>
      </c>
      <c r="D3178" s="34">
        <v>1</v>
      </c>
      <c r="E3178" s="35" t="s">
        <v>4353</v>
      </c>
      <c r="F3178" s="35" t="s">
        <v>76</v>
      </c>
      <c r="G3178" s="106" t="s">
        <v>3852</v>
      </c>
      <c r="H3178" s="33">
        <v>43252</v>
      </c>
      <c r="I3178" s="34" t="s">
        <v>5047</v>
      </c>
      <c r="J3178" s="36">
        <v>420</v>
      </c>
      <c r="K3178" t="s">
        <v>2030</v>
      </c>
    </row>
    <row r="3179" spans="1:11" x14ac:dyDescent="0.3">
      <c r="A3179" t="s">
        <v>1550</v>
      </c>
      <c r="B3179" s="33">
        <v>43290</v>
      </c>
      <c r="C3179" s="34" t="s">
        <v>4538</v>
      </c>
      <c r="D3179" s="34">
        <v>1</v>
      </c>
      <c r="E3179" s="35" t="s">
        <v>4353</v>
      </c>
      <c r="F3179" s="35" t="s">
        <v>75</v>
      </c>
      <c r="G3179" s="106" t="s">
        <v>3852</v>
      </c>
      <c r="H3179" s="33">
        <v>43252</v>
      </c>
      <c r="I3179" s="34" t="s">
        <v>5048</v>
      </c>
      <c r="J3179" s="36">
        <v>420</v>
      </c>
      <c r="K3179" t="s">
        <v>2030</v>
      </c>
    </row>
    <row r="3180" spans="1:11" x14ac:dyDescent="0.3">
      <c r="A3180" t="s">
        <v>1550</v>
      </c>
      <c r="B3180" s="33">
        <v>43290</v>
      </c>
      <c r="C3180" s="34" t="s">
        <v>4538</v>
      </c>
      <c r="D3180" s="34">
        <v>1</v>
      </c>
      <c r="E3180" s="35" t="s">
        <v>4353</v>
      </c>
      <c r="F3180" s="35" t="s">
        <v>72</v>
      </c>
      <c r="G3180" s="106" t="s">
        <v>3852</v>
      </c>
      <c r="H3180" s="33">
        <v>43252</v>
      </c>
      <c r="I3180" s="34" t="s">
        <v>5049</v>
      </c>
      <c r="J3180" s="36">
        <v>172.5</v>
      </c>
      <c r="K3180" t="s">
        <v>2030</v>
      </c>
    </row>
    <row r="3181" spans="1:11" x14ac:dyDescent="0.3">
      <c r="A3181" t="s">
        <v>1550</v>
      </c>
      <c r="B3181" s="33">
        <v>43290</v>
      </c>
      <c r="C3181" s="34" t="s">
        <v>4538</v>
      </c>
      <c r="D3181" s="34">
        <v>1</v>
      </c>
      <c r="E3181" s="35" t="s">
        <v>4353</v>
      </c>
      <c r="F3181" s="35" t="s">
        <v>77</v>
      </c>
      <c r="G3181" s="106" t="s">
        <v>3852</v>
      </c>
      <c r="H3181" s="33">
        <v>43252</v>
      </c>
      <c r="I3181" s="34" t="s">
        <v>5050</v>
      </c>
      <c r="J3181" s="36">
        <v>420</v>
      </c>
      <c r="K3181" t="s">
        <v>2030</v>
      </c>
    </row>
    <row r="3182" spans="1:11" x14ac:dyDescent="0.3">
      <c r="A3182" t="s">
        <v>1550</v>
      </c>
      <c r="B3182" s="33">
        <v>43290</v>
      </c>
      <c r="C3182" s="34" t="s">
        <v>4538</v>
      </c>
      <c r="D3182" s="34">
        <v>1</v>
      </c>
      <c r="E3182" s="35" t="s">
        <v>4353</v>
      </c>
      <c r="F3182" s="35" t="s">
        <v>69</v>
      </c>
      <c r="G3182" s="106" t="s">
        <v>3852</v>
      </c>
      <c r="H3182" s="33">
        <v>43252</v>
      </c>
      <c r="I3182" s="34" t="s">
        <v>5051</v>
      </c>
      <c r="J3182" s="36">
        <v>172.5</v>
      </c>
      <c r="K3182" t="s">
        <v>2030</v>
      </c>
    </row>
    <row r="3183" spans="1:11" x14ac:dyDescent="0.3">
      <c r="A3183" t="s">
        <v>1550</v>
      </c>
      <c r="B3183" s="33">
        <v>43290</v>
      </c>
      <c r="C3183" s="34" t="s">
        <v>4538</v>
      </c>
      <c r="D3183" s="34">
        <v>1</v>
      </c>
      <c r="E3183" s="35" t="s">
        <v>4353</v>
      </c>
      <c r="F3183" s="35" t="s">
        <v>71</v>
      </c>
      <c r="G3183" s="106" t="s">
        <v>3852</v>
      </c>
      <c r="H3183" s="33">
        <v>43252</v>
      </c>
      <c r="I3183" s="34" t="s">
        <v>5052</v>
      </c>
      <c r="J3183" s="36">
        <v>172.5</v>
      </c>
      <c r="K3183" t="s">
        <v>2030</v>
      </c>
    </row>
    <row r="3184" spans="1:11" x14ac:dyDescent="0.3">
      <c r="A3184" t="s">
        <v>1550</v>
      </c>
      <c r="B3184" s="33">
        <v>43290</v>
      </c>
      <c r="C3184" s="34" t="s">
        <v>4538</v>
      </c>
      <c r="D3184" s="34">
        <v>1</v>
      </c>
      <c r="E3184" s="35" t="s">
        <v>4353</v>
      </c>
      <c r="F3184" s="35" t="s">
        <v>68</v>
      </c>
      <c r="G3184" s="106" t="s">
        <v>3852</v>
      </c>
      <c r="H3184" s="33">
        <v>43252</v>
      </c>
      <c r="I3184" s="34" t="s">
        <v>5053</v>
      </c>
      <c r="J3184" s="36">
        <v>172.5</v>
      </c>
      <c r="K3184" t="s">
        <v>2030</v>
      </c>
    </row>
    <row r="3185" spans="1:11" x14ac:dyDescent="0.3">
      <c r="A3185" t="s">
        <v>1550</v>
      </c>
      <c r="B3185" s="33">
        <v>43290</v>
      </c>
      <c r="C3185" s="34" t="s">
        <v>4538</v>
      </c>
      <c r="D3185" s="34">
        <v>1</v>
      </c>
      <c r="E3185" s="35" t="s">
        <v>4353</v>
      </c>
      <c r="F3185" s="35" t="s">
        <v>65</v>
      </c>
      <c r="G3185" s="106" t="s">
        <v>3852</v>
      </c>
      <c r="H3185" s="33">
        <v>43252</v>
      </c>
      <c r="I3185" s="34" t="s">
        <v>5054</v>
      </c>
      <c r="J3185" s="36">
        <v>172.5</v>
      </c>
      <c r="K3185" t="s">
        <v>2030</v>
      </c>
    </row>
    <row r="3186" spans="1:11" x14ac:dyDescent="0.3">
      <c r="A3186" t="s">
        <v>1550</v>
      </c>
      <c r="B3186" s="33">
        <v>43290</v>
      </c>
      <c r="C3186" s="34" t="s">
        <v>4538</v>
      </c>
      <c r="D3186" s="34">
        <v>1</v>
      </c>
      <c r="E3186" s="35" t="s">
        <v>4353</v>
      </c>
      <c r="F3186" s="35" t="s">
        <v>62</v>
      </c>
      <c r="G3186" s="106" t="s">
        <v>3852</v>
      </c>
      <c r="H3186" s="33">
        <v>43252</v>
      </c>
      <c r="I3186" s="34" t="s">
        <v>5055</v>
      </c>
      <c r="J3186" s="36">
        <v>172.5</v>
      </c>
      <c r="K3186" t="s">
        <v>2030</v>
      </c>
    </row>
    <row r="3187" spans="1:11" x14ac:dyDescent="0.3">
      <c r="A3187" t="s">
        <v>1550</v>
      </c>
      <c r="B3187" s="33">
        <v>43290</v>
      </c>
      <c r="C3187" s="34" t="s">
        <v>4538</v>
      </c>
      <c r="D3187" s="34">
        <v>1</v>
      </c>
      <c r="E3187" s="35" t="s">
        <v>4353</v>
      </c>
      <c r="F3187" s="35" t="s">
        <v>61</v>
      </c>
      <c r="G3187" s="106" t="s">
        <v>3852</v>
      </c>
      <c r="H3187" s="33">
        <v>43252</v>
      </c>
      <c r="I3187" s="34" t="s">
        <v>5056</v>
      </c>
      <c r="J3187" s="36">
        <v>172.5</v>
      </c>
      <c r="K3187" t="s">
        <v>2030</v>
      </c>
    </row>
    <row r="3188" spans="1:11" x14ac:dyDescent="0.3">
      <c r="A3188" t="s">
        <v>1550</v>
      </c>
      <c r="B3188" s="33">
        <v>43290</v>
      </c>
      <c r="C3188" s="34" t="s">
        <v>4538</v>
      </c>
      <c r="D3188" s="34">
        <v>1</v>
      </c>
      <c r="E3188" s="35" t="s">
        <v>4353</v>
      </c>
      <c r="F3188" s="35" t="s">
        <v>60</v>
      </c>
      <c r="G3188" s="106" t="s">
        <v>3852</v>
      </c>
      <c r="H3188" s="33">
        <v>43252</v>
      </c>
      <c r="I3188" s="34" t="s">
        <v>5057</v>
      </c>
      <c r="J3188" s="36">
        <v>172.5</v>
      </c>
      <c r="K3188" t="s">
        <v>2030</v>
      </c>
    </row>
    <row r="3189" spans="1:11" x14ac:dyDescent="0.3">
      <c r="A3189" t="s">
        <v>1550</v>
      </c>
      <c r="B3189" s="33">
        <v>43290</v>
      </c>
      <c r="C3189" s="34" t="s">
        <v>4538</v>
      </c>
      <c r="D3189" s="34">
        <v>1</v>
      </c>
      <c r="E3189" s="35" t="s">
        <v>4720</v>
      </c>
      <c r="F3189" s="35" t="s">
        <v>1351</v>
      </c>
      <c r="G3189" s="106" t="s">
        <v>3852</v>
      </c>
      <c r="H3189" s="33">
        <v>43252</v>
      </c>
      <c r="I3189" s="34" t="s">
        <v>4721</v>
      </c>
      <c r="J3189" s="36">
        <v>172.5</v>
      </c>
      <c r="K3189" t="s">
        <v>2030</v>
      </c>
    </row>
    <row r="3190" spans="1:11" x14ac:dyDescent="0.3">
      <c r="A3190" t="s">
        <v>1550</v>
      </c>
      <c r="B3190" s="33">
        <v>43290</v>
      </c>
      <c r="C3190" s="34" t="s">
        <v>4538</v>
      </c>
      <c r="D3190" s="34">
        <v>1</v>
      </c>
      <c r="E3190" s="35" t="s">
        <v>4720</v>
      </c>
      <c r="F3190" s="35" t="s">
        <v>1338</v>
      </c>
      <c r="G3190" s="106" t="s">
        <v>3852</v>
      </c>
      <c r="H3190" s="33">
        <v>43252</v>
      </c>
      <c r="I3190" s="34" t="s">
        <v>4761</v>
      </c>
      <c r="J3190" s="36">
        <v>225</v>
      </c>
      <c r="K3190" t="s">
        <v>2030</v>
      </c>
    </row>
    <row r="3191" spans="1:11" x14ac:dyDescent="0.3">
      <c r="A3191" t="s">
        <v>1550</v>
      </c>
      <c r="B3191" s="33">
        <v>43290</v>
      </c>
      <c r="C3191" s="34" t="s">
        <v>4538</v>
      </c>
      <c r="D3191" s="34">
        <v>1</v>
      </c>
      <c r="E3191" s="35" t="s">
        <v>4720</v>
      </c>
      <c r="F3191" s="35" t="s">
        <v>1340</v>
      </c>
      <c r="G3191" s="106" t="s">
        <v>3852</v>
      </c>
      <c r="H3191" s="33">
        <v>43252</v>
      </c>
      <c r="I3191" s="34" t="s">
        <v>4764</v>
      </c>
      <c r="J3191" s="36">
        <v>172.5</v>
      </c>
      <c r="K3191" t="s">
        <v>2030</v>
      </c>
    </row>
    <row r="3192" spans="1:11" x14ac:dyDescent="0.3">
      <c r="A3192" t="s">
        <v>1550</v>
      </c>
      <c r="B3192" s="33">
        <v>43290</v>
      </c>
      <c r="C3192" s="34" t="s">
        <v>4538</v>
      </c>
      <c r="D3192" s="34">
        <v>1</v>
      </c>
      <c r="E3192" s="35" t="s">
        <v>4720</v>
      </c>
      <c r="F3192" s="35" t="s">
        <v>1353</v>
      </c>
      <c r="G3192" s="106" t="s">
        <v>3852</v>
      </c>
      <c r="H3192" s="33">
        <v>43252</v>
      </c>
      <c r="I3192" s="34" t="s">
        <v>4807</v>
      </c>
      <c r="J3192" s="36">
        <v>172.5</v>
      </c>
      <c r="K3192" t="s">
        <v>2030</v>
      </c>
    </row>
    <row r="3193" spans="1:11" x14ac:dyDescent="0.3">
      <c r="A3193" t="s">
        <v>1550</v>
      </c>
      <c r="B3193" s="33">
        <v>43290</v>
      </c>
      <c r="C3193" s="34" t="s">
        <v>4538</v>
      </c>
      <c r="D3193" s="34">
        <v>1</v>
      </c>
      <c r="E3193" s="35" t="s">
        <v>4720</v>
      </c>
      <c r="F3193" s="35" t="s">
        <v>1358</v>
      </c>
      <c r="G3193" s="106" t="s">
        <v>3852</v>
      </c>
      <c r="H3193" s="33">
        <v>43252</v>
      </c>
      <c r="I3193" s="34" t="s">
        <v>4809</v>
      </c>
      <c r="J3193" s="36">
        <v>225</v>
      </c>
      <c r="K3193" t="s">
        <v>2030</v>
      </c>
    </row>
    <row r="3194" spans="1:11" x14ac:dyDescent="0.3">
      <c r="A3194" t="s">
        <v>1550</v>
      </c>
      <c r="B3194" s="33">
        <v>43290</v>
      </c>
      <c r="C3194" s="34" t="s">
        <v>4538</v>
      </c>
      <c r="D3194" s="34">
        <v>1</v>
      </c>
      <c r="E3194" s="35" t="s">
        <v>4720</v>
      </c>
      <c r="F3194" s="35" t="s">
        <v>1355</v>
      </c>
      <c r="G3194" s="106" t="s">
        <v>3852</v>
      </c>
      <c r="H3194" s="33">
        <v>43252</v>
      </c>
      <c r="I3194" s="34" t="s">
        <v>4810</v>
      </c>
      <c r="J3194" s="36">
        <v>172.5</v>
      </c>
      <c r="K3194" t="s">
        <v>2030</v>
      </c>
    </row>
    <row r="3195" spans="1:11" x14ac:dyDescent="0.3">
      <c r="A3195" t="s">
        <v>1550</v>
      </c>
      <c r="B3195" s="33">
        <v>43290</v>
      </c>
      <c r="C3195" s="34" t="s">
        <v>4538</v>
      </c>
      <c r="D3195" s="34">
        <v>1</v>
      </c>
      <c r="E3195" s="35" t="s">
        <v>4720</v>
      </c>
      <c r="F3195" s="35" t="s">
        <v>1356</v>
      </c>
      <c r="G3195" s="106" t="s">
        <v>3852</v>
      </c>
      <c r="H3195" s="33">
        <v>43252</v>
      </c>
      <c r="I3195" s="34" t="s">
        <v>4812</v>
      </c>
      <c r="J3195" s="36">
        <v>225</v>
      </c>
      <c r="K3195" t="s">
        <v>2030</v>
      </c>
    </row>
    <row r="3196" spans="1:11" x14ac:dyDescent="0.3">
      <c r="A3196" t="s">
        <v>1550</v>
      </c>
      <c r="B3196" s="33">
        <v>43290</v>
      </c>
      <c r="C3196" s="34" t="s">
        <v>4538</v>
      </c>
      <c r="D3196" s="34">
        <v>1</v>
      </c>
      <c r="E3196" s="35" t="s">
        <v>4720</v>
      </c>
      <c r="F3196" s="35" t="s">
        <v>1354</v>
      </c>
      <c r="G3196" s="106" t="s">
        <v>3852</v>
      </c>
      <c r="H3196" s="33">
        <v>43252</v>
      </c>
      <c r="I3196" s="34" t="s">
        <v>4813</v>
      </c>
      <c r="J3196" s="36">
        <v>172.5</v>
      </c>
      <c r="K3196" t="s">
        <v>2030</v>
      </c>
    </row>
    <row r="3197" spans="1:11" x14ac:dyDescent="0.3">
      <c r="A3197" t="s">
        <v>1550</v>
      </c>
      <c r="B3197" s="33">
        <v>43290</v>
      </c>
      <c r="C3197" s="34" t="s">
        <v>4538</v>
      </c>
      <c r="D3197" s="34">
        <v>1</v>
      </c>
      <c r="E3197" s="35" t="s">
        <v>4720</v>
      </c>
      <c r="F3197" s="35" t="s">
        <v>1357</v>
      </c>
      <c r="G3197" s="106" t="s">
        <v>3852</v>
      </c>
      <c r="H3197" s="33">
        <v>43252</v>
      </c>
      <c r="I3197" s="34" t="s">
        <v>4814</v>
      </c>
      <c r="J3197" s="36">
        <v>225</v>
      </c>
      <c r="K3197" t="s">
        <v>2030</v>
      </c>
    </row>
    <row r="3198" spans="1:11" x14ac:dyDescent="0.3">
      <c r="A3198" t="s">
        <v>1550</v>
      </c>
      <c r="B3198" s="33">
        <v>43290</v>
      </c>
      <c r="C3198" s="34" t="s">
        <v>4538</v>
      </c>
      <c r="D3198" s="34">
        <v>1</v>
      </c>
      <c r="E3198" s="35" t="s">
        <v>4720</v>
      </c>
      <c r="F3198" s="35" t="s">
        <v>1352</v>
      </c>
      <c r="G3198" s="106" t="s">
        <v>3852</v>
      </c>
      <c r="H3198" s="33">
        <v>43252</v>
      </c>
      <c r="I3198" s="34" t="s">
        <v>4815</v>
      </c>
      <c r="J3198" s="36">
        <v>172.5</v>
      </c>
      <c r="K3198" t="s">
        <v>2030</v>
      </c>
    </row>
    <row r="3199" spans="1:11" x14ac:dyDescent="0.3">
      <c r="A3199" t="s">
        <v>1550</v>
      </c>
      <c r="B3199" s="33">
        <v>43290</v>
      </c>
      <c r="C3199" s="34" t="s">
        <v>4538</v>
      </c>
      <c r="D3199" s="34">
        <v>1</v>
      </c>
      <c r="E3199" s="35" t="s">
        <v>4720</v>
      </c>
      <c r="F3199" s="35" t="s">
        <v>1343</v>
      </c>
      <c r="G3199" s="106" t="s">
        <v>3852</v>
      </c>
      <c r="H3199" s="33">
        <v>43252</v>
      </c>
      <c r="I3199" s="34" t="s">
        <v>4816</v>
      </c>
      <c r="J3199" s="36">
        <v>172.5</v>
      </c>
      <c r="K3199" t="s">
        <v>2030</v>
      </c>
    </row>
    <row r="3200" spans="1:11" x14ac:dyDescent="0.3">
      <c r="A3200" t="s">
        <v>1550</v>
      </c>
      <c r="B3200" s="33">
        <v>43290</v>
      </c>
      <c r="C3200" s="34" t="s">
        <v>4538</v>
      </c>
      <c r="D3200" s="34">
        <v>1</v>
      </c>
      <c r="E3200" s="35" t="s">
        <v>4720</v>
      </c>
      <c r="F3200" s="35" t="s">
        <v>1350</v>
      </c>
      <c r="G3200" s="106" t="s">
        <v>3852</v>
      </c>
      <c r="H3200" s="33">
        <v>43252</v>
      </c>
      <c r="I3200" s="34" t="s">
        <v>4817</v>
      </c>
      <c r="J3200" s="36">
        <v>172.5</v>
      </c>
      <c r="K3200" t="s">
        <v>2030</v>
      </c>
    </row>
    <row r="3201" spans="1:11" x14ac:dyDescent="0.3">
      <c r="A3201" t="s">
        <v>1550</v>
      </c>
      <c r="B3201" s="33">
        <v>43290</v>
      </c>
      <c r="C3201" s="34" t="s">
        <v>4538</v>
      </c>
      <c r="D3201" s="34">
        <v>1</v>
      </c>
      <c r="E3201" s="35" t="s">
        <v>4720</v>
      </c>
      <c r="F3201" s="35" t="s">
        <v>1348</v>
      </c>
      <c r="G3201" s="106" t="s">
        <v>3852</v>
      </c>
      <c r="H3201" s="33">
        <v>43252</v>
      </c>
      <c r="I3201" s="34" t="s">
        <v>4818</v>
      </c>
      <c r="J3201" s="36">
        <v>225</v>
      </c>
      <c r="K3201" t="s">
        <v>2030</v>
      </c>
    </row>
    <row r="3202" spans="1:11" x14ac:dyDescent="0.3">
      <c r="A3202" t="s">
        <v>1550</v>
      </c>
      <c r="B3202" s="33">
        <v>43290</v>
      </c>
      <c r="C3202" s="34" t="s">
        <v>4538</v>
      </c>
      <c r="D3202" s="34">
        <v>1</v>
      </c>
      <c r="E3202" s="35" t="s">
        <v>4720</v>
      </c>
      <c r="F3202" s="35" t="s">
        <v>1349</v>
      </c>
      <c r="G3202" s="106" t="s">
        <v>3852</v>
      </c>
      <c r="H3202" s="33">
        <v>43252</v>
      </c>
      <c r="I3202" s="34" t="s">
        <v>4819</v>
      </c>
      <c r="J3202" s="36">
        <v>225</v>
      </c>
      <c r="K3202" t="s">
        <v>2030</v>
      </c>
    </row>
    <row r="3203" spans="1:11" x14ac:dyDescent="0.3">
      <c r="A3203" t="s">
        <v>1550</v>
      </c>
      <c r="B3203" s="33">
        <v>43290</v>
      </c>
      <c r="C3203" s="34" t="s">
        <v>4538</v>
      </c>
      <c r="D3203" s="34">
        <v>1</v>
      </c>
      <c r="E3203" s="35" t="s">
        <v>4720</v>
      </c>
      <c r="F3203" s="35" t="s">
        <v>1347</v>
      </c>
      <c r="G3203" s="106" t="s">
        <v>3852</v>
      </c>
      <c r="H3203" s="33">
        <v>43252</v>
      </c>
      <c r="I3203" s="34" t="s">
        <v>4820</v>
      </c>
      <c r="J3203" s="36">
        <v>300</v>
      </c>
      <c r="K3203" t="s">
        <v>2030</v>
      </c>
    </row>
    <row r="3204" spans="1:11" x14ac:dyDescent="0.3">
      <c r="A3204" t="s">
        <v>1550</v>
      </c>
      <c r="B3204" s="33">
        <v>43290</v>
      </c>
      <c r="C3204" s="34" t="s">
        <v>4538</v>
      </c>
      <c r="D3204" s="34">
        <v>1</v>
      </c>
      <c r="E3204" s="35" t="s">
        <v>4720</v>
      </c>
      <c r="F3204" s="35" t="s">
        <v>1344</v>
      </c>
      <c r="G3204" s="106" t="s">
        <v>3852</v>
      </c>
      <c r="H3204" s="33">
        <v>43252</v>
      </c>
      <c r="I3204" s="34" t="s">
        <v>4821</v>
      </c>
      <c r="J3204" s="36">
        <v>225</v>
      </c>
      <c r="K3204" t="s">
        <v>2030</v>
      </c>
    </row>
    <row r="3205" spans="1:11" x14ac:dyDescent="0.3">
      <c r="A3205" t="s">
        <v>1550</v>
      </c>
      <c r="B3205" s="33">
        <v>43290</v>
      </c>
      <c r="C3205" s="34" t="s">
        <v>4538</v>
      </c>
      <c r="D3205" s="34">
        <v>1</v>
      </c>
      <c r="E3205" s="35" t="s">
        <v>4720</v>
      </c>
      <c r="F3205" s="35" t="s">
        <v>1345</v>
      </c>
      <c r="G3205" s="106" t="s">
        <v>3852</v>
      </c>
      <c r="H3205" s="33">
        <v>43252</v>
      </c>
      <c r="I3205" s="34" t="s">
        <v>4822</v>
      </c>
      <c r="J3205" s="36">
        <v>225</v>
      </c>
      <c r="K3205" t="s">
        <v>2030</v>
      </c>
    </row>
    <row r="3206" spans="1:11" x14ac:dyDescent="0.3">
      <c r="A3206" t="s">
        <v>1550</v>
      </c>
      <c r="B3206" s="33">
        <v>43290</v>
      </c>
      <c r="C3206" s="34" t="s">
        <v>4538</v>
      </c>
      <c r="D3206" s="34">
        <v>1</v>
      </c>
      <c r="E3206" s="35" t="s">
        <v>4720</v>
      </c>
      <c r="F3206" s="35" t="s">
        <v>1346</v>
      </c>
      <c r="G3206" s="106" t="s">
        <v>3852</v>
      </c>
      <c r="H3206" s="33">
        <v>43252</v>
      </c>
      <c r="I3206" s="34" t="s">
        <v>4823</v>
      </c>
      <c r="J3206" s="36">
        <v>172.5</v>
      </c>
      <c r="K3206" t="s">
        <v>2030</v>
      </c>
    </row>
    <row r="3207" spans="1:11" x14ac:dyDescent="0.3">
      <c r="A3207" t="s">
        <v>1550</v>
      </c>
      <c r="B3207" s="33">
        <v>43290</v>
      </c>
      <c r="C3207" s="34" t="s">
        <v>4538</v>
      </c>
      <c r="D3207" s="34">
        <v>1</v>
      </c>
      <c r="E3207" s="35" t="s">
        <v>4720</v>
      </c>
      <c r="F3207" s="35" t="s">
        <v>1342</v>
      </c>
      <c r="G3207" s="106" t="s">
        <v>3852</v>
      </c>
      <c r="H3207" s="33">
        <v>43252</v>
      </c>
      <c r="I3207" s="34" t="s">
        <v>4824</v>
      </c>
      <c r="J3207" s="36">
        <v>172.5</v>
      </c>
      <c r="K3207" t="s">
        <v>2030</v>
      </c>
    </row>
    <row r="3208" spans="1:11" x14ac:dyDescent="0.3">
      <c r="A3208" t="s">
        <v>1550</v>
      </c>
      <c r="B3208" s="33">
        <v>43290</v>
      </c>
      <c r="C3208" s="34" t="s">
        <v>4538</v>
      </c>
      <c r="D3208" s="34">
        <v>1</v>
      </c>
      <c r="E3208" s="35" t="s">
        <v>4720</v>
      </c>
      <c r="F3208" s="35" t="s">
        <v>1339</v>
      </c>
      <c r="G3208" s="106" t="s">
        <v>3852</v>
      </c>
      <c r="H3208" s="33">
        <v>43252</v>
      </c>
      <c r="I3208" s="34" t="s">
        <v>4827</v>
      </c>
      <c r="J3208" s="36">
        <v>225</v>
      </c>
      <c r="K3208" t="s">
        <v>2030</v>
      </c>
    </row>
    <row r="3209" spans="1:11" x14ac:dyDescent="0.3">
      <c r="A3209" t="s">
        <v>1550</v>
      </c>
      <c r="B3209" s="33">
        <v>43290</v>
      </c>
      <c r="C3209" s="34" t="s">
        <v>4538</v>
      </c>
      <c r="D3209" s="34">
        <v>1</v>
      </c>
      <c r="E3209" s="35" t="s">
        <v>4720</v>
      </c>
      <c r="F3209" s="35" t="s">
        <v>1341</v>
      </c>
      <c r="G3209" s="106" t="s">
        <v>3852</v>
      </c>
      <c r="H3209" s="33">
        <v>43252</v>
      </c>
      <c r="I3209" s="34" t="s">
        <v>4830</v>
      </c>
      <c r="J3209" s="36">
        <v>172.5</v>
      </c>
      <c r="K3209" t="s">
        <v>2030</v>
      </c>
    </row>
    <row r="3210" spans="1:11" x14ac:dyDescent="0.3">
      <c r="A3210" t="s">
        <v>1550</v>
      </c>
      <c r="B3210" s="33">
        <v>43290</v>
      </c>
      <c r="C3210" s="34" t="s">
        <v>4538</v>
      </c>
      <c r="D3210" s="34">
        <v>1</v>
      </c>
      <c r="E3210" s="35" t="s">
        <v>4934</v>
      </c>
      <c r="F3210" s="35" t="s">
        <v>13</v>
      </c>
      <c r="G3210" s="106" t="s">
        <v>4935</v>
      </c>
      <c r="H3210" s="33">
        <v>43252</v>
      </c>
      <c r="I3210" s="34" t="s">
        <v>4936</v>
      </c>
      <c r="J3210" s="36">
        <v>172.5</v>
      </c>
      <c r="K3210" t="s">
        <v>2030</v>
      </c>
    </row>
    <row r="3211" spans="1:11" x14ac:dyDescent="0.3">
      <c r="A3211" t="s">
        <v>1550</v>
      </c>
      <c r="B3211" s="33">
        <v>43290</v>
      </c>
      <c r="C3211" s="34" t="s">
        <v>4538</v>
      </c>
      <c r="D3211" s="34">
        <v>1</v>
      </c>
      <c r="E3211" s="35" t="s">
        <v>4934</v>
      </c>
      <c r="F3211" s="35" t="s">
        <v>10</v>
      </c>
      <c r="G3211" s="106" t="s">
        <v>4937</v>
      </c>
      <c r="H3211" s="33">
        <v>43252</v>
      </c>
      <c r="I3211" s="34" t="s">
        <v>4938</v>
      </c>
      <c r="J3211" s="36">
        <v>172.5</v>
      </c>
      <c r="K3211" t="s">
        <v>2030</v>
      </c>
    </row>
    <row r="3212" spans="1:11" x14ac:dyDescent="0.3">
      <c r="A3212" t="s">
        <v>1550</v>
      </c>
      <c r="B3212" s="33">
        <v>43290</v>
      </c>
      <c r="C3212" s="34" t="s">
        <v>4538</v>
      </c>
      <c r="D3212" s="34">
        <v>1</v>
      </c>
      <c r="E3212" s="35" t="s">
        <v>4934</v>
      </c>
      <c r="F3212" s="35" t="s">
        <v>6</v>
      </c>
      <c r="G3212" s="106" t="s">
        <v>4939</v>
      </c>
      <c r="H3212" s="33">
        <v>43252</v>
      </c>
      <c r="I3212" s="34" t="s">
        <v>4940</v>
      </c>
      <c r="J3212" s="36">
        <v>172.5</v>
      </c>
      <c r="K3212" t="s">
        <v>2030</v>
      </c>
    </row>
    <row r="3213" spans="1:11" x14ac:dyDescent="0.3">
      <c r="A3213" t="s">
        <v>1550</v>
      </c>
      <c r="B3213" s="33">
        <v>43290</v>
      </c>
      <c r="C3213" s="34" t="s">
        <v>4538</v>
      </c>
      <c r="D3213" s="34">
        <v>1</v>
      </c>
      <c r="E3213" s="35" t="s">
        <v>4934</v>
      </c>
      <c r="F3213" s="35" t="s">
        <v>9</v>
      </c>
      <c r="G3213" s="106" t="s">
        <v>4937</v>
      </c>
      <c r="H3213" s="33">
        <v>43252</v>
      </c>
      <c r="I3213" s="34" t="s">
        <v>4941</v>
      </c>
      <c r="J3213" s="36">
        <v>172.5</v>
      </c>
      <c r="K3213" t="s">
        <v>2030</v>
      </c>
    </row>
    <row r="3214" spans="1:11" x14ac:dyDescent="0.3">
      <c r="A3214" t="s">
        <v>1550</v>
      </c>
      <c r="B3214" s="33">
        <v>43290</v>
      </c>
      <c r="C3214" s="34" t="s">
        <v>4538</v>
      </c>
      <c r="D3214" s="34">
        <v>1</v>
      </c>
      <c r="E3214" s="35" t="s">
        <v>4934</v>
      </c>
      <c r="F3214" s="35" t="s">
        <v>8</v>
      </c>
      <c r="G3214" s="106" t="s">
        <v>4942</v>
      </c>
      <c r="H3214" s="33">
        <v>43252</v>
      </c>
      <c r="I3214" s="34" t="s">
        <v>4943</v>
      </c>
      <c r="J3214" s="36">
        <v>172.5</v>
      </c>
      <c r="K3214" t="s">
        <v>2030</v>
      </c>
    </row>
    <row r="3215" spans="1:11" x14ac:dyDescent="0.3">
      <c r="A3215" t="s">
        <v>1550</v>
      </c>
      <c r="B3215" s="33">
        <v>43290</v>
      </c>
      <c r="C3215" s="34" t="s">
        <v>4538</v>
      </c>
      <c r="D3215" s="34">
        <v>1</v>
      </c>
      <c r="E3215" s="35" t="s">
        <v>4934</v>
      </c>
      <c r="F3215" s="35" t="s">
        <v>11</v>
      </c>
      <c r="G3215" s="106" t="s">
        <v>4944</v>
      </c>
      <c r="H3215" s="33">
        <v>43252</v>
      </c>
      <c r="I3215" s="34" t="s">
        <v>4945</v>
      </c>
      <c r="J3215" s="36">
        <v>172.5</v>
      </c>
      <c r="K3215" t="s">
        <v>2030</v>
      </c>
    </row>
    <row r="3216" spans="1:11" x14ac:dyDescent="0.3">
      <c r="A3216" t="s">
        <v>1550</v>
      </c>
      <c r="B3216" s="33">
        <v>43290</v>
      </c>
      <c r="C3216" s="34" t="s">
        <v>4538</v>
      </c>
      <c r="D3216" s="34">
        <v>1</v>
      </c>
      <c r="E3216" s="35" t="s">
        <v>4934</v>
      </c>
      <c r="F3216" s="35" t="s">
        <v>12</v>
      </c>
      <c r="G3216" s="106" t="s">
        <v>4944</v>
      </c>
      <c r="H3216" s="33">
        <v>43252</v>
      </c>
      <c r="I3216" s="34" t="s">
        <v>4946</v>
      </c>
      <c r="J3216" s="36">
        <v>172.5</v>
      </c>
      <c r="K3216" t="s">
        <v>2030</v>
      </c>
    </row>
    <row r="3217" spans="1:11" x14ac:dyDescent="0.3">
      <c r="A3217" t="s">
        <v>1550</v>
      </c>
      <c r="B3217" s="33">
        <v>43290</v>
      </c>
      <c r="C3217" s="34" t="s">
        <v>4538</v>
      </c>
      <c r="D3217" s="34">
        <v>1</v>
      </c>
      <c r="E3217" s="35" t="s">
        <v>4934</v>
      </c>
      <c r="F3217" s="35" t="s">
        <v>7</v>
      </c>
      <c r="G3217" s="106" t="s">
        <v>4947</v>
      </c>
      <c r="H3217" s="33">
        <v>43252</v>
      </c>
      <c r="I3217" s="34" t="s">
        <v>4948</v>
      </c>
      <c r="J3217" s="36">
        <v>172.5</v>
      </c>
      <c r="K3217" t="s">
        <v>2030</v>
      </c>
    </row>
    <row r="3218" spans="1:11" x14ac:dyDescent="0.3">
      <c r="A3218" t="s">
        <v>1550</v>
      </c>
      <c r="B3218" s="33">
        <v>43290</v>
      </c>
      <c r="C3218" s="34" t="s">
        <v>4352</v>
      </c>
      <c r="D3218" s="34">
        <v>16</v>
      </c>
      <c r="E3218" s="35" t="s">
        <v>4435</v>
      </c>
      <c r="F3218" s="35" t="s">
        <v>52</v>
      </c>
      <c r="G3218" s="106" t="s">
        <v>3852</v>
      </c>
      <c r="H3218" s="33">
        <v>43252</v>
      </c>
      <c r="I3218" s="34" t="s">
        <v>4436</v>
      </c>
      <c r="J3218" s="36">
        <v>853.28</v>
      </c>
      <c r="K3218" t="s">
        <v>2030</v>
      </c>
    </row>
    <row r="3219" spans="1:11" x14ac:dyDescent="0.3">
      <c r="A3219" t="s">
        <v>1550</v>
      </c>
      <c r="B3219" s="33">
        <v>43290</v>
      </c>
      <c r="C3219" s="34" t="s">
        <v>4352</v>
      </c>
      <c r="D3219" s="34">
        <v>16</v>
      </c>
      <c r="E3219" s="35" t="s">
        <v>4435</v>
      </c>
      <c r="F3219" s="35" t="s">
        <v>49</v>
      </c>
      <c r="G3219" s="106" t="s">
        <v>3852</v>
      </c>
      <c r="H3219" s="33">
        <v>43252</v>
      </c>
      <c r="I3219" s="34" t="s">
        <v>4437</v>
      </c>
      <c r="J3219" s="36">
        <v>1279.92</v>
      </c>
      <c r="K3219" t="s">
        <v>2030</v>
      </c>
    </row>
    <row r="3220" spans="1:11" x14ac:dyDescent="0.3">
      <c r="A3220" t="s">
        <v>1550</v>
      </c>
      <c r="B3220" s="33">
        <v>43290</v>
      </c>
      <c r="C3220" s="34" t="s">
        <v>4352</v>
      </c>
      <c r="D3220" s="34">
        <v>16</v>
      </c>
      <c r="E3220" s="35" t="s">
        <v>4435</v>
      </c>
      <c r="F3220" s="35" t="s">
        <v>48</v>
      </c>
      <c r="G3220" s="106" t="s">
        <v>3852</v>
      </c>
      <c r="H3220" s="33">
        <v>43252</v>
      </c>
      <c r="I3220" s="34" t="s">
        <v>4438</v>
      </c>
      <c r="J3220" s="36">
        <v>426.64</v>
      </c>
      <c r="K3220" t="s">
        <v>2030</v>
      </c>
    </row>
    <row r="3221" spans="1:11" x14ac:dyDescent="0.3">
      <c r="A3221" t="s">
        <v>1550</v>
      </c>
      <c r="B3221" s="33">
        <v>43290</v>
      </c>
      <c r="C3221" s="34" t="s">
        <v>4352</v>
      </c>
      <c r="D3221" s="34">
        <v>16</v>
      </c>
      <c r="E3221" s="35" t="s">
        <v>4435</v>
      </c>
      <c r="F3221" s="35" t="s">
        <v>51</v>
      </c>
      <c r="G3221" s="106" t="s">
        <v>3852</v>
      </c>
      <c r="H3221" s="33">
        <v>43252</v>
      </c>
      <c r="I3221" s="34" t="s">
        <v>4439</v>
      </c>
      <c r="J3221" s="36">
        <v>213.32</v>
      </c>
      <c r="K3221" t="s">
        <v>2030</v>
      </c>
    </row>
    <row r="3222" spans="1:11" x14ac:dyDescent="0.3">
      <c r="A3222" t="s">
        <v>1550</v>
      </c>
      <c r="B3222" s="33">
        <v>43290</v>
      </c>
      <c r="C3222" s="34" t="s">
        <v>4352</v>
      </c>
      <c r="D3222" s="34">
        <v>16</v>
      </c>
      <c r="E3222" s="35" t="s">
        <v>4435</v>
      </c>
      <c r="F3222" s="35" t="s">
        <v>54</v>
      </c>
      <c r="G3222" s="106" t="s">
        <v>3852</v>
      </c>
      <c r="H3222" s="33">
        <v>43252</v>
      </c>
      <c r="I3222" s="34" t="s">
        <v>4440</v>
      </c>
      <c r="J3222" s="36">
        <v>426.64</v>
      </c>
      <c r="K3222" t="s">
        <v>2030</v>
      </c>
    </row>
    <row r="3223" spans="1:11" x14ac:dyDescent="0.3">
      <c r="A3223" t="s">
        <v>1550</v>
      </c>
      <c r="B3223" s="33">
        <v>43290</v>
      </c>
      <c r="C3223" s="34" t="s">
        <v>4352</v>
      </c>
      <c r="D3223" s="34">
        <v>16</v>
      </c>
      <c r="E3223" s="35" t="s">
        <v>4435</v>
      </c>
      <c r="F3223" s="35" t="s">
        <v>55</v>
      </c>
      <c r="G3223" s="106" t="s">
        <v>3852</v>
      </c>
      <c r="H3223" s="33">
        <v>43252</v>
      </c>
      <c r="I3223" s="34" t="s">
        <v>4441</v>
      </c>
      <c r="J3223" s="36">
        <v>213.32</v>
      </c>
      <c r="K3223" t="s">
        <v>2030</v>
      </c>
    </row>
    <row r="3224" spans="1:11" x14ac:dyDescent="0.3">
      <c r="A3224" t="s">
        <v>1550</v>
      </c>
      <c r="B3224" s="33">
        <v>43290</v>
      </c>
      <c r="C3224" s="34" t="s">
        <v>4352</v>
      </c>
      <c r="D3224" s="34">
        <v>16</v>
      </c>
      <c r="E3224" s="35" t="s">
        <v>4435</v>
      </c>
      <c r="F3224" s="35" t="s">
        <v>53</v>
      </c>
      <c r="G3224" s="106" t="s">
        <v>3852</v>
      </c>
      <c r="H3224" s="33">
        <v>43252</v>
      </c>
      <c r="I3224" s="34" t="s">
        <v>4442</v>
      </c>
      <c r="J3224" s="36">
        <v>639.96</v>
      </c>
      <c r="K3224" t="s">
        <v>2030</v>
      </c>
    </row>
    <row r="3225" spans="1:11" x14ac:dyDescent="0.3">
      <c r="A3225" t="s">
        <v>1550</v>
      </c>
      <c r="B3225" s="33">
        <v>43290</v>
      </c>
      <c r="C3225" s="34" t="s">
        <v>4352</v>
      </c>
      <c r="D3225" s="34">
        <v>16</v>
      </c>
      <c r="E3225" s="35" t="s">
        <v>4435</v>
      </c>
      <c r="F3225" s="35" t="s">
        <v>57</v>
      </c>
      <c r="G3225" s="106" t="s">
        <v>3852</v>
      </c>
      <c r="H3225" s="33">
        <v>43252</v>
      </c>
      <c r="I3225" s="34" t="s">
        <v>4443</v>
      </c>
      <c r="J3225" s="36">
        <v>426.64</v>
      </c>
      <c r="K3225" t="s">
        <v>2030</v>
      </c>
    </row>
    <row r="3226" spans="1:11" x14ac:dyDescent="0.3">
      <c r="A3226" t="s">
        <v>1550</v>
      </c>
      <c r="B3226" s="33">
        <v>43290</v>
      </c>
      <c r="C3226" s="34" t="s">
        <v>4352</v>
      </c>
      <c r="D3226" s="34">
        <v>16</v>
      </c>
      <c r="E3226" s="35" t="s">
        <v>4435</v>
      </c>
      <c r="F3226" s="35" t="s">
        <v>56</v>
      </c>
      <c r="G3226" s="106" t="s">
        <v>3852</v>
      </c>
      <c r="H3226" s="33">
        <v>43252</v>
      </c>
      <c r="I3226" s="34" t="s">
        <v>4444</v>
      </c>
      <c r="J3226" s="36">
        <v>213.32</v>
      </c>
      <c r="K3226" t="s">
        <v>2030</v>
      </c>
    </row>
    <row r="3227" spans="1:11" x14ac:dyDescent="0.3">
      <c r="A3227" t="s">
        <v>1550</v>
      </c>
      <c r="B3227" s="33">
        <v>43290</v>
      </c>
      <c r="C3227" s="34" t="s">
        <v>4352</v>
      </c>
      <c r="D3227" s="34">
        <v>16</v>
      </c>
      <c r="E3227" s="35" t="s">
        <v>4435</v>
      </c>
      <c r="F3227" s="35" t="s">
        <v>50</v>
      </c>
      <c r="G3227" s="106" t="s">
        <v>3852</v>
      </c>
      <c r="H3227" s="33">
        <v>43252</v>
      </c>
      <c r="I3227" s="34" t="s">
        <v>4445</v>
      </c>
      <c r="J3227" s="36">
        <v>213.32</v>
      </c>
      <c r="K3227" t="s">
        <v>2030</v>
      </c>
    </row>
    <row r="3228" spans="1:11" x14ac:dyDescent="0.3">
      <c r="A3228" t="s">
        <v>1550</v>
      </c>
      <c r="B3228" s="33">
        <v>43290</v>
      </c>
      <c r="C3228" s="34" t="s">
        <v>4450</v>
      </c>
      <c r="D3228" s="34">
        <v>2000</v>
      </c>
      <c r="E3228" s="35" t="s">
        <v>4435</v>
      </c>
      <c r="F3228" s="35" t="s">
        <v>58</v>
      </c>
      <c r="G3228" s="106" t="s">
        <v>3852</v>
      </c>
      <c r="H3228" s="33">
        <v>43252</v>
      </c>
      <c r="I3228" s="34" t="s">
        <v>4498</v>
      </c>
      <c r="J3228" s="36">
        <v>639.96</v>
      </c>
      <c r="K3228" t="s">
        <v>2030</v>
      </c>
    </row>
    <row r="3229" spans="1:11" x14ac:dyDescent="0.3">
      <c r="A3229" t="s">
        <v>1550</v>
      </c>
      <c r="B3229" s="33">
        <v>43290</v>
      </c>
      <c r="C3229" s="34" t="s">
        <v>4450</v>
      </c>
      <c r="D3229" s="34">
        <v>2000</v>
      </c>
      <c r="E3229" s="35" t="s">
        <v>4435</v>
      </c>
      <c r="F3229" s="35" t="s">
        <v>59</v>
      </c>
      <c r="G3229" s="106" t="s">
        <v>3852</v>
      </c>
      <c r="H3229" s="33">
        <v>43252</v>
      </c>
      <c r="I3229" s="34" t="s">
        <v>4499</v>
      </c>
      <c r="J3229" s="36">
        <v>426.64</v>
      </c>
      <c r="K3229" t="s">
        <v>2030</v>
      </c>
    </row>
    <row r="3230" spans="1:11" x14ac:dyDescent="0.3">
      <c r="A3230" t="s">
        <v>1550</v>
      </c>
      <c r="B3230" s="33">
        <v>43290</v>
      </c>
      <c r="C3230" s="34" t="s">
        <v>4450</v>
      </c>
      <c r="D3230" s="34">
        <v>2000</v>
      </c>
      <c r="E3230" s="35" t="s">
        <v>4435</v>
      </c>
      <c r="F3230" s="35" t="s">
        <v>61</v>
      </c>
      <c r="G3230" s="106" t="s">
        <v>3852</v>
      </c>
      <c r="H3230" s="33">
        <v>43252</v>
      </c>
      <c r="I3230" s="34" t="s">
        <v>4500</v>
      </c>
      <c r="J3230" s="36">
        <v>2986.49</v>
      </c>
      <c r="K3230" t="s">
        <v>2030</v>
      </c>
    </row>
    <row r="3231" spans="1:11" x14ac:dyDescent="0.3">
      <c r="A3231" t="s">
        <v>1550</v>
      </c>
      <c r="B3231" s="33">
        <v>43290</v>
      </c>
      <c r="C3231" s="34" t="s">
        <v>4450</v>
      </c>
      <c r="D3231" s="34">
        <v>2000</v>
      </c>
      <c r="E3231" s="35" t="s">
        <v>4435</v>
      </c>
      <c r="F3231" s="35" t="s">
        <v>63</v>
      </c>
      <c r="G3231" s="106" t="s">
        <v>3852</v>
      </c>
      <c r="H3231" s="33">
        <v>43252</v>
      </c>
      <c r="I3231" s="34" t="s">
        <v>4501</v>
      </c>
      <c r="J3231" s="36">
        <v>2133.21</v>
      </c>
      <c r="K3231" t="s">
        <v>2030</v>
      </c>
    </row>
    <row r="3232" spans="1:11" x14ac:dyDescent="0.3">
      <c r="A3232" t="s">
        <v>1550</v>
      </c>
      <c r="B3232" s="33">
        <v>43290</v>
      </c>
      <c r="C3232" s="34" t="s">
        <v>4450</v>
      </c>
      <c r="D3232" s="34">
        <v>2000</v>
      </c>
      <c r="E3232" s="35" t="s">
        <v>4435</v>
      </c>
      <c r="F3232" s="35" t="s">
        <v>62</v>
      </c>
      <c r="G3232" s="106" t="s">
        <v>3852</v>
      </c>
      <c r="H3232" s="33">
        <v>43252</v>
      </c>
      <c r="I3232" s="34" t="s">
        <v>4502</v>
      </c>
      <c r="J3232" s="36">
        <v>2133.21</v>
      </c>
      <c r="K3232" t="s">
        <v>2030</v>
      </c>
    </row>
    <row r="3233" spans="1:11" x14ac:dyDescent="0.3">
      <c r="A3233" t="s">
        <v>1550</v>
      </c>
      <c r="B3233" s="33">
        <v>43290</v>
      </c>
      <c r="C3233" s="34" t="s">
        <v>4450</v>
      </c>
      <c r="D3233" s="34">
        <v>2000</v>
      </c>
      <c r="E3233" s="35" t="s">
        <v>4435</v>
      </c>
      <c r="F3233" s="35" t="s">
        <v>64</v>
      </c>
      <c r="G3233" s="106" t="s">
        <v>3852</v>
      </c>
      <c r="H3233" s="33">
        <v>43252</v>
      </c>
      <c r="I3233" s="34" t="s">
        <v>4503</v>
      </c>
      <c r="J3233" s="36">
        <v>1066.5999999999999</v>
      </c>
      <c r="K3233" t="s">
        <v>2030</v>
      </c>
    </row>
    <row r="3234" spans="1:11" x14ac:dyDescent="0.3">
      <c r="A3234" t="s">
        <v>1550</v>
      </c>
      <c r="B3234" s="33">
        <v>43290</v>
      </c>
      <c r="C3234" s="34" t="s">
        <v>4450</v>
      </c>
      <c r="D3234" s="34">
        <v>2000</v>
      </c>
      <c r="E3234" s="35" t="s">
        <v>4435</v>
      </c>
      <c r="F3234" s="35" t="s">
        <v>60</v>
      </c>
      <c r="G3234" s="106" t="s">
        <v>3852</v>
      </c>
      <c r="H3234" s="33">
        <v>43252</v>
      </c>
      <c r="I3234" s="34" t="s">
        <v>4504</v>
      </c>
      <c r="J3234" s="36">
        <v>2133.21</v>
      </c>
      <c r="K3234" t="s">
        <v>2030</v>
      </c>
    </row>
    <row r="3235" spans="1:11" x14ac:dyDescent="0.3">
      <c r="A3235" t="s">
        <v>1550</v>
      </c>
      <c r="B3235" s="33">
        <v>43290</v>
      </c>
      <c r="C3235" s="34" t="s">
        <v>4450</v>
      </c>
      <c r="D3235" s="34">
        <v>2000</v>
      </c>
      <c r="E3235" s="35" t="s">
        <v>4435</v>
      </c>
      <c r="F3235" s="35" t="s">
        <v>67</v>
      </c>
      <c r="G3235" s="106" t="s">
        <v>3852</v>
      </c>
      <c r="H3235" s="33">
        <v>43252</v>
      </c>
      <c r="I3235" s="34" t="s">
        <v>4505</v>
      </c>
      <c r="J3235" s="36">
        <v>1919.89</v>
      </c>
      <c r="K3235" t="s">
        <v>2030</v>
      </c>
    </row>
    <row r="3236" spans="1:11" x14ac:dyDescent="0.3">
      <c r="A3236" t="s">
        <v>1550</v>
      </c>
      <c r="B3236" s="33">
        <v>43290</v>
      </c>
      <c r="C3236" s="34" t="s">
        <v>4450</v>
      </c>
      <c r="D3236" s="34">
        <v>2000</v>
      </c>
      <c r="E3236" s="35" t="s">
        <v>4435</v>
      </c>
      <c r="F3236" s="35" t="s">
        <v>65</v>
      </c>
      <c r="G3236" s="106" t="s">
        <v>3852</v>
      </c>
      <c r="H3236" s="33">
        <v>43252</v>
      </c>
      <c r="I3236" s="34" t="s">
        <v>4506</v>
      </c>
      <c r="J3236" s="36">
        <v>213.32</v>
      </c>
      <c r="K3236" t="s">
        <v>2030</v>
      </c>
    </row>
    <row r="3237" spans="1:11" x14ac:dyDescent="0.3">
      <c r="A3237" t="s">
        <v>1550</v>
      </c>
      <c r="B3237" s="33">
        <v>43290</v>
      </c>
      <c r="C3237" s="34" t="s">
        <v>4450</v>
      </c>
      <c r="D3237" s="34">
        <v>2000</v>
      </c>
      <c r="E3237" s="35" t="s">
        <v>4435</v>
      </c>
      <c r="F3237" s="35" t="s">
        <v>66</v>
      </c>
      <c r="G3237" s="106" t="s">
        <v>3852</v>
      </c>
      <c r="H3237" s="33">
        <v>43252</v>
      </c>
      <c r="I3237" s="34" t="s">
        <v>4507</v>
      </c>
      <c r="J3237" s="36">
        <v>639.96</v>
      </c>
      <c r="K3237" t="s">
        <v>2030</v>
      </c>
    </row>
    <row r="3238" spans="1:11" x14ac:dyDescent="0.3">
      <c r="A3238" t="s">
        <v>1550</v>
      </c>
      <c r="B3238" s="33">
        <v>43290</v>
      </c>
      <c r="C3238" s="34" t="s">
        <v>4538</v>
      </c>
      <c r="D3238" s="34">
        <v>1</v>
      </c>
      <c r="E3238" s="35" t="s">
        <v>4435</v>
      </c>
      <c r="F3238" s="35" t="s">
        <v>43</v>
      </c>
      <c r="G3238" s="106" t="s">
        <v>3852</v>
      </c>
      <c r="H3238" s="33">
        <v>43252</v>
      </c>
      <c r="I3238" s="34" t="s">
        <v>5006</v>
      </c>
      <c r="J3238" s="36">
        <v>213.32</v>
      </c>
      <c r="K3238" t="s">
        <v>2030</v>
      </c>
    </row>
    <row r="3239" spans="1:11" x14ac:dyDescent="0.3">
      <c r="A3239" t="s">
        <v>1550</v>
      </c>
      <c r="B3239" s="33">
        <v>43290</v>
      </c>
      <c r="C3239" s="34" t="s">
        <v>4538</v>
      </c>
      <c r="D3239" s="34">
        <v>1</v>
      </c>
      <c r="E3239" s="35" t="s">
        <v>4435</v>
      </c>
      <c r="F3239" s="35" t="s">
        <v>12</v>
      </c>
      <c r="G3239" s="106" t="s">
        <v>3852</v>
      </c>
      <c r="H3239" s="33">
        <v>43252</v>
      </c>
      <c r="I3239" s="34" t="s">
        <v>5007</v>
      </c>
      <c r="J3239" s="36">
        <v>213.32</v>
      </c>
      <c r="K3239" t="s">
        <v>2030</v>
      </c>
    </row>
    <row r="3240" spans="1:11" x14ac:dyDescent="0.3">
      <c r="A3240" t="s">
        <v>1550</v>
      </c>
      <c r="B3240" s="33">
        <v>43290</v>
      </c>
      <c r="C3240" s="34" t="s">
        <v>4538</v>
      </c>
      <c r="D3240" s="34">
        <v>1</v>
      </c>
      <c r="E3240" s="35" t="s">
        <v>4435</v>
      </c>
      <c r="F3240" s="35" t="s">
        <v>10</v>
      </c>
      <c r="G3240" s="106" t="s">
        <v>3852</v>
      </c>
      <c r="H3240" s="33">
        <v>43252</v>
      </c>
      <c r="I3240" s="34" t="s">
        <v>5008</v>
      </c>
      <c r="J3240" s="36">
        <v>213.32</v>
      </c>
      <c r="K3240" t="s">
        <v>2030</v>
      </c>
    </row>
    <row r="3241" spans="1:11" x14ac:dyDescent="0.3">
      <c r="A3241" t="s">
        <v>1550</v>
      </c>
      <c r="B3241" s="33">
        <v>43290</v>
      </c>
      <c r="C3241" s="34" t="s">
        <v>4538</v>
      </c>
      <c r="D3241" s="34">
        <v>1</v>
      </c>
      <c r="E3241" s="35" t="s">
        <v>4435</v>
      </c>
      <c r="F3241" s="35" t="s">
        <v>13</v>
      </c>
      <c r="G3241" s="106" t="s">
        <v>3852</v>
      </c>
      <c r="H3241" s="33">
        <v>43252</v>
      </c>
      <c r="I3241" s="34" t="s">
        <v>5009</v>
      </c>
      <c r="J3241" s="36">
        <v>639.96</v>
      </c>
      <c r="K3241" t="s">
        <v>2030</v>
      </c>
    </row>
    <row r="3242" spans="1:11" x14ac:dyDescent="0.3">
      <c r="A3242" t="s">
        <v>1550</v>
      </c>
      <c r="B3242" s="33">
        <v>43290</v>
      </c>
      <c r="C3242" s="34" t="s">
        <v>4538</v>
      </c>
      <c r="D3242" s="34">
        <v>1</v>
      </c>
      <c r="E3242" s="35" t="s">
        <v>4435</v>
      </c>
      <c r="F3242" s="35" t="s">
        <v>14</v>
      </c>
      <c r="G3242" s="106" t="s">
        <v>3852</v>
      </c>
      <c r="H3242" s="33">
        <v>43252</v>
      </c>
      <c r="I3242" s="34" t="s">
        <v>5010</v>
      </c>
      <c r="J3242" s="36">
        <v>426.64</v>
      </c>
      <c r="K3242" t="s">
        <v>2030</v>
      </c>
    </row>
    <row r="3243" spans="1:11" x14ac:dyDescent="0.3">
      <c r="A3243" t="s">
        <v>1550</v>
      </c>
      <c r="B3243" s="33">
        <v>43290</v>
      </c>
      <c r="C3243" s="34" t="s">
        <v>4538</v>
      </c>
      <c r="D3243" s="34">
        <v>1</v>
      </c>
      <c r="E3243" s="35" t="s">
        <v>4435</v>
      </c>
      <c r="F3243" s="35" t="s">
        <v>27</v>
      </c>
      <c r="G3243" s="106" t="s">
        <v>3852</v>
      </c>
      <c r="H3243" s="33">
        <v>43252</v>
      </c>
      <c r="I3243" s="34" t="s">
        <v>5011</v>
      </c>
      <c r="J3243" s="36">
        <v>213.32</v>
      </c>
      <c r="K3243" t="s">
        <v>2030</v>
      </c>
    </row>
    <row r="3244" spans="1:11" x14ac:dyDescent="0.3">
      <c r="A3244" t="s">
        <v>1550</v>
      </c>
      <c r="B3244" s="33">
        <v>43290</v>
      </c>
      <c r="C3244" s="34" t="s">
        <v>4538</v>
      </c>
      <c r="D3244" s="34">
        <v>1</v>
      </c>
      <c r="E3244" s="35" t="s">
        <v>4435</v>
      </c>
      <c r="F3244" s="35" t="s">
        <v>22</v>
      </c>
      <c r="G3244" s="106" t="s">
        <v>3852</v>
      </c>
      <c r="H3244" s="33">
        <v>43252</v>
      </c>
      <c r="I3244" s="34" t="s">
        <v>5012</v>
      </c>
      <c r="J3244" s="36">
        <v>639.96</v>
      </c>
      <c r="K3244" t="s">
        <v>2030</v>
      </c>
    </row>
    <row r="3245" spans="1:11" x14ac:dyDescent="0.3">
      <c r="A3245" t="s">
        <v>1550</v>
      </c>
      <c r="B3245" s="33">
        <v>43290</v>
      </c>
      <c r="C3245" s="34" t="s">
        <v>4538</v>
      </c>
      <c r="D3245" s="34">
        <v>1</v>
      </c>
      <c r="E3245" s="35" t="s">
        <v>4435</v>
      </c>
      <c r="F3245" s="35" t="s">
        <v>39</v>
      </c>
      <c r="G3245" s="106" t="s">
        <v>3852</v>
      </c>
      <c r="H3245" s="33">
        <v>43252</v>
      </c>
      <c r="I3245" s="34" t="s">
        <v>5013</v>
      </c>
      <c r="J3245" s="36">
        <v>639.96</v>
      </c>
      <c r="K3245" t="s">
        <v>2030</v>
      </c>
    </row>
    <row r="3246" spans="1:11" x14ac:dyDescent="0.3">
      <c r="A3246" t="s">
        <v>1550</v>
      </c>
      <c r="B3246" s="33">
        <v>43290</v>
      </c>
      <c r="C3246" s="34" t="s">
        <v>4538</v>
      </c>
      <c r="D3246" s="34">
        <v>1</v>
      </c>
      <c r="E3246" s="35" t="s">
        <v>4435</v>
      </c>
      <c r="F3246" s="35" t="s">
        <v>38</v>
      </c>
      <c r="G3246" s="106" t="s">
        <v>3852</v>
      </c>
      <c r="H3246" s="33">
        <v>43252</v>
      </c>
      <c r="I3246" s="34" t="s">
        <v>5014</v>
      </c>
      <c r="J3246" s="36">
        <v>213.32</v>
      </c>
      <c r="K3246" t="s">
        <v>2030</v>
      </c>
    </row>
    <row r="3247" spans="1:11" x14ac:dyDescent="0.3">
      <c r="A3247" t="s">
        <v>1550</v>
      </c>
      <c r="B3247" s="33">
        <v>43290</v>
      </c>
      <c r="C3247" s="34" t="s">
        <v>4538</v>
      </c>
      <c r="D3247" s="34">
        <v>1</v>
      </c>
      <c r="E3247" s="35" t="s">
        <v>4435</v>
      </c>
      <c r="F3247" s="35" t="s">
        <v>28</v>
      </c>
      <c r="G3247" s="106" t="s">
        <v>3852</v>
      </c>
      <c r="H3247" s="33">
        <v>43252</v>
      </c>
      <c r="I3247" s="34" t="s">
        <v>5015</v>
      </c>
      <c r="J3247" s="36">
        <v>426.64</v>
      </c>
      <c r="K3247" t="s">
        <v>2030</v>
      </c>
    </row>
    <row r="3248" spans="1:11" x14ac:dyDescent="0.3">
      <c r="A3248" t="s">
        <v>1550</v>
      </c>
      <c r="B3248" s="33">
        <v>43290</v>
      </c>
      <c r="C3248" s="34" t="s">
        <v>4538</v>
      </c>
      <c r="D3248" s="34">
        <v>1</v>
      </c>
      <c r="E3248" s="35" t="s">
        <v>4435</v>
      </c>
      <c r="F3248" s="35" t="s">
        <v>24</v>
      </c>
      <c r="G3248" s="106" t="s">
        <v>3852</v>
      </c>
      <c r="H3248" s="33">
        <v>43252</v>
      </c>
      <c r="I3248" s="34" t="s">
        <v>5016</v>
      </c>
      <c r="J3248" s="36">
        <v>213.32</v>
      </c>
      <c r="K3248" t="s">
        <v>2030</v>
      </c>
    </row>
    <row r="3249" spans="1:11" x14ac:dyDescent="0.3">
      <c r="A3249" t="s">
        <v>1550</v>
      </c>
      <c r="B3249" s="33">
        <v>43290</v>
      </c>
      <c r="C3249" s="34" t="s">
        <v>4538</v>
      </c>
      <c r="D3249" s="34">
        <v>1</v>
      </c>
      <c r="E3249" s="35" t="s">
        <v>4435</v>
      </c>
      <c r="F3249" s="35" t="s">
        <v>23</v>
      </c>
      <c r="G3249" s="106" t="s">
        <v>3852</v>
      </c>
      <c r="H3249" s="33">
        <v>43252</v>
      </c>
      <c r="I3249" s="34" t="s">
        <v>5017</v>
      </c>
      <c r="J3249" s="36">
        <v>426.64</v>
      </c>
      <c r="K3249" t="s">
        <v>2030</v>
      </c>
    </row>
    <row r="3250" spans="1:11" x14ac:dyDescent="0.3">
      <c r="A3250" t="s">
        <v>1550</v>
      </c>
      <c r="B3250" s="33">
        <v>43290</v>
      </c>
      <c r="C3250" s="34" t="s">
        <v>4538</v>
      </c>
      <c r="D3250" s="34">
        <v>1</v>
      </c>
      <c r="E3250" s="35" t="s">
        <v>4435</v>
      </c>
      <c r="F3250" s="35" t="s">
        <v>21</v>
      </c>
      <c r="G3250" s="106" t="s">
        <v>3852</v>
      </c>
      <c r="H3250" s="33">
        <v>43252</v>
      </c>
      <c r="I3250" s="34" t="s">
        <v>5018</v>
      </c>
      <c r="J3250" s="36">
        <v>213.32</v>
      </c>
      <c r="K3250" t="s">
        <v>2030</v>
      </c>
    </row>
    <row r="3251" spans="1:11" x14ac:dyDescent="0.3">
      <c r="A3251" t="s">
        <v>1550</v>
      </c>
      <c r="B3251" s="33">
        <v>43290</v>
      </c>
      <c r="C3251" s="34" t="s">
        <v>4538</v>
      </c>
      <c r="D3251" s="34">
        <v>1</v>
      </c>
      <c r="E3251" s="35" t="s">
        <v>4435</v>
      </c>
      <c r="F3251" s="35" t="s">
        <v>25</v>
      </c>
      <c r="G3251" s="106" t="s">
        <v>3852</v>
      </c>
      <c r="H3251" s="33">
        <v>43252</v>
      </c>
      <c r="I3251" s="34" t="s">
        <v>5019</v>
      </c>
      <c r="J3251" s="36">
        <v>213.32</v>
      </c>
      <c r="K3251" t="s">
        <v>2030</v>
      </c>
    </row>
    <row r="3252" spans="1:11" x14ac:dyDescent="0.3">
      <c r="A3252" t="s">
        <v>1550</v>
      </c>
      <c r="B3252" s="33">
        <v>43290</v>
      </c>
      <c r="C3252" s="34" t="s">
        <v>4538</v>
      </c>
      <c r="D3252" s="34">
        <v>1</v>
      </c>
      <c r="E3252" s="35" t="s">
        <v>4435</v>
      </c>
      <c r="F3252" s="35" t="s">
        <v>37</v>
      </c>
      <c r="G3252" s="106" t="s">
        <v>3852</v>
      </c>
      <c r="H3252" s="33">
        <v>43252</v>
      </c>
      <c r="I3252" s="34" t="s">
        <v>5020</v>
      </c>
      <c r="J3252" s="36">
        <v>1066.5999999999999</v>
      </c>
      <c r="K3252" t="s">
        <v>2030</v>
      </c>
    </row>
    <row r="3253" spans="1:11" x14ac:dyDescent="0.3">
      <c r="A3253" t="s">
        <v>1550</v>
      </c>
      <c r="B3253" s="33">
        <v>43290</v>
      </c>
      <c r="C3253" s="34" t="s">
        <v>4538</v>
      </c>
      <c r="D3253" s="34">
        <v>1</v>
      </c>
      <c r="E3253" s="35" t="s">
        <v>4435</v>
      </c>
      <c r="F3253" s="35" t="s">
        <v>26</v>
      </c>
      <c r="G3253" s="106" t="s">
        <v>3852</v>
      </c>
      <c r="H3253" s="33">
        <v>43252</v>
      </c>
      <c r="I3253" s="34" t="s">
        <v>5021</v>
      </c>
      <c r="J3253" s="36">
        <v>6826.27</v>
      </c>
      <c r="K3253" t="s">
        <v>2030</v>
      </c>
    </row>
    <row r="3254" spans="1:11" x14ac:dyDescent="0.3">
      <c r="A3254" t="s">
        <v>1550</v>
      </c>
      <c r="B3254" s="33">
        <v>43290</v>
      </c>
      <c r="C3254" s="34" t="s">
        <v>4538</v>
      </c>
      <c r="D3254" s="34">
        <v>1</v>
      </c>
      <c r="E3254" s="35" t="s">
        <v>4435</v>
      </c>
      <c r="F3254" s="35" t="s">
        <v>17</v>
      </c>
      <c r="G3254" s="106" t="s">
        <v>3852</v>
      </c>
      <c r="H3254" s="33">
        <v>43252</v>
      </c>
      <c r="I3254" s="34" t="s">
        <v>5058</v>
      </c>
      <c r="J3254" s="36">
        <v>639.96</v>
      </c>
      <c r="K3254" t="s">
        <v>2030</v>
      </c>
    </row>
    <row r="3255" spans="1:11" x14ac:dyDescent="0.3">
      <c r="A3255" t="s">
        <v>1550</v>
      </c>
      <c r="B3255" s="33">
        <v>43290</v>
      </c>
      <c r="C3255" s="34" t="s">
        <v>4538</v>
      </c>
      <c r="D3255" s="34">
        <v>1</v>
      </c>
      <c r="E3255" s="35" t="s">
        <v>4435</v>
      </c>
      <c r="F3255" s="35" t="s">
        <v>20</v>
      </c>
      <c r="G3255" s="106" t="s">
        <v>3852</v>
      </c>
      <c r="H3255" s="33">
        <v>43252</v>
      </c>
      <c r="I3255" s="34" t="s">
        <v>5095</v>
      </c>
      <c r="J3255" s="36">
        <v>853.28</v>
      </c>
      <c r="K3255" t="s">
        <v>2030</v>
      </c>
    </row>
    <row r="3256" spans="1:11" x14ac:dyDescent="0.3">
      <c r="A3256" t="s">
        <v>1550</v>
      </c>
      <c r="B3256" s="33">
        <v>43290</v>
      </c>
      <c r="C3256" s="34" t="s">
        <v>4538</v>
      </c>
      <c r="D3256" s="34">
        <v>1</v>
      </c>
      <c r="E3256" s="35" t="s">
        <v>4435</v>
      </c>
      <c r="F3256" s="35" t="s">
        <v>15</v>
      </c>
      <c r="G3256" s="106" t="s">
        <v>3852</v>
      </c>
      <c r="H3256" s="33">
        <v>43252</v>
      </c>
      <c r="I3256" s="34" t="s">
        <v>5096</v>
      </c>
      <c r="J3256" s="36">
        <v>1919.89</v>
      </c>
      <c r="K3256" t="s">
        <v>2030</v>
      </c>
    </row>
    <row r="3257" spans="1:11" x14ac:dyDescent="0.3">
      <c r="A3257" t="s">
        <v>1550</v>
      </c>
      <c r="B3257" s="33">
        <v>43290</v>
      </c>
      <c r="C3257" s="34" t="s">
        <v>4538</v>
      </c>
      <c r="D3257" s="34">
        <v>1</v>
      </c>
      <c r="E3257" s="35" t="s">
        <v>4435</v>
      </c>
      <c r="F3257" s="35" t="s">
        <v>18</v>
      </c>
      <c r="G3257" s="106" t="s">
        <v>3852</v>
      </c>
      <c r="H3257" s="33">
        <v>43252</v>
      </c>
      <c r="I3257" s="34" t="s">
        <v>5097</v>
      </c>
      <c r="J3257" s="36">
        <v>213.32</v>
      </c>
      <c r="K3257" t="s">
        <v>2030</v>
      </c>
    </row>
    <row r="3258" spans="1:11" x14ac:dyDescent="0.3">
      <c r="A3258" t="s">
        <v>1550</v>
      </c>
      <c r="B3258" s="33">
        <v>43290</v>
      </c>
      <c r="C3258" s="34" t="s">
        <v>4538</v>
      </c>
      <c r="D3258" s="34">
        <v>1</v>
      </c>
      <c r="E3258" s="35" t="s">
        <v>4435</v>
      </c>
      <c r="F3258" s="35" t="s">
        <v>19</v>
      </c>
      <c r="G3258" s="106" t="s">
        <v>3852</v>
      </c>
      <c r="H3258" s="33">
        <v>43252</v>
      </c>
      <c r="I3258" s="34" t="s">
        <v>5098</v>
      </c>
      <c r="J3258" s="36">
        <v>213.32</v>
      </c>
      <c r="K3258" t="s">
        <v>2030</v>
      </c>
    </row>
    <row r="3259" spans="1:11" x14ac:dyDescent="0.3">
      <c r="A3259" t="s">
        <v>1550</v>
      </c>
      <c r="B3259" s="33">
        <v>43290</v>
      </c>
      <c r="C3259" s="34" t="s">
        <v>4538</v>
      </c>
      <c r="D3259" s="34">
        <v>1</v>
      </c>
      <c r="E3259" s="35" t="s">
        <v>4435</v>
      </c>
      <c r="F3259" s="35" t="s">
        <v>11</v>
      </c>
      <c r="G3259" s="106" t="s">
        <v>3852</v>
      </c>
      <c r="H3259" s="33">
        <v>43252</v>
      </c>
      <c r="I3259" s="34" t="s">
        <v>5099</v>
      </c>
      <c r="J3259" s="36">
        <v>426.64</v>
      </c>
      <c r="K3259" t="s">
        <v>2030</v>
      </c>
    </row>
    <row r="3260" spans="1:11" x14ac:dyDescent="0.3">
      <c r="A3260" t="s">
        <v>1550</v>
      </c>
      <c r="B3260" s="33">
        <v>43290</v>
      </c>
      <c r="C3260" s="34" t="s">
        <v>4538</v>
      </c>
      <c r="D3260" s="34">
        <v>1</v>
      </c>
      <c r="E3260" s="35" t="s">
        <v>4435</v>
      </c>
      <c r="F3260" s="35" t="s">
        <v>9</v>
      </c>
      <c r="G3260" s="106" t="s">
        <v>3852</v>
      </c>
      <c r="H3260" s="33">
        <v>43252</v>
      </c>
      <c r="I3260" s="34" t="s">
        <v>5100</v>
      </c>
      <c r="J3260" s="36">
        <v>213.32</v>
      </c>
      <c r="K3260" t="s">
        <v>2030</v>
      </c>
    </row>
    <row r="3261" spans="1:11" x14ac:dyDescent="0.3">
      <c r="A3261" t="s">
        <v>1550</v>
      </c>
      <c r="B3261" s="33">
        <v>43290</v>
      </c>
      <c r="C3261" s="34" t="s">
        <v>4538</v>
      </c>
      <c r="D3261" s="34">
        <v>1</v>
      </c>
      <c r="E3261" s="35" t="s">
        <v>4435</v>
      </c>
      <c r="F3261" s="35" t="s">
        <v>16</v>
      </c>
      <c r="G3261" s="106" t="s">
        <v>3852</v>
      </c>
      <c r="H3261" s="33">
        <v>43252</v>
      </c>
      <c r="I3261" s="34" t="s">
        <v>5101</v>
      </c>
      <c r="J3261" s="36">
        <v>213.32</v>
      </c>
      <c r="K3261" t="s">
        <v>2030</v>
      </c>
    </row>
    <row r="3262" spans="1:11" x14ac:dyDescent="0.3">
      <c r="A3262" t="s">
        <v>1550</v>
      </c>
      <c r="B3262" s="33">
        <v>43290</v>
      </c>
      <c r="C3262" s="34" t="s">
        <v>4538</v>
      </c>
      <c r="D3262" s="34">
        <v>1</v>
      </c>
      <c r="E3262" s="35" t="s">
        <v>4435</v>
      </c>
      <c r="F3262" s="35" t="s">
        <v>44</v>
      </c>
      <c r="G3262" s="106" t="s">
        <v>3852</v>
      </c>
      <c r="H3262" s="33">
        <v>43252</v>
      </c>
      <c r="I3262" s="34" t="s">
        <v>5102</v>
      </c>
      <c r="J3262" s="36">
        <v>426.64</v>
      </c>
      <c r="K3262" t="s">
        <v>2030</v>
      </c>
    </row>
    <row r="3263" spans="1:11" x14ac:dyDescent="0.3">
      <c r="A3263" t="s">
        <v>1550</v>
      </c>
      <c r="B3263" s="33">
        <v>43290</v>
      </c>
      <c r="C3263" s="34" t="s">
        <v>4538</v>
      </c>
      <c r="D3263" s="34">
        <v>1</v>
      </c>
      <c r="E3263" s="35" t="s">
        <v>4435</v>
      </c>
      <c r="F3263" s="35" t="s">
        <v>7</v>
      </c>
      <c r="G3263" s="106" t="s">
        <v>3852</v>
      </c>
      <c r="H3263" s="33">
        <v>43252</v>
      </c>
      <c r="I3263" s="34" t="s">
        <v>5103</v>
      </c>
      <c r="J3263" s="36">
        <v>213.32</v>
      </c>
      <c r="K3263" t="s">
        <v>2030</v>
      </c>
    </row>
    <row r="3264" spans="1:11" x14ac:dyDescent="0.3">
      <c r="A3264" t="s">
        <v>1550</v>
      </c>
      <c r="B3264" s="33">
        <v>43290</v>
      </c>
      <c r="C3264" s="34" t="s">
        <v>4538</v>
      </c>
      <c r="D3264" s="34">
        <v>1</v>
      </c>
      <c r="E3264" s="35" t="s">
        <v>4435</v>
      </c>
      <c r="F3264" s="35" t="s">
        <v>45</v>
      </c>
      <c r="G3264" s="106" t="s">
        <v>3852</v>
      </c>
      <c r="H3264" s="33">
        <v>43252</v>
      </c>
      <c r="I3264" s="34" t="s">
        <v>5104</v>
      </c>
      <c r="J3264" s="36">
        <v>213.32</v>
      </c>
      <c r="K3264" t="s">
        <v>2030</v>
      </c>
    </row>
    <row r="3265" spans="1:11" x14ac:dyDescent="0.3">
      <c r="A3265" t="s">
        <v>1550</v>
      </c>
      <c r="B3265" s="33">
        <v>43290</v>
      </c>
      <c r="C3265" s="34" t="s">
        <v>4538</v>
      </c>
      <c r="D3265" s="34">
        <v>1</v>
      </c>
      <c r="E3265" s="35" t="s">
        <v>4435</v>
      </c>
      <c r="F3265" s="35" t="s">
        <v>8</v>
      </c>
      <c r="G3265" s="106" t="s">
        <v>3852</v>
      </c>
      <c r="H3265" s="33">
        <v>43252</v>
      </c>
      <c r="I3265" s="34" t="s">
        <v>5105</v>
      </c>
      <c r="J3265" s="36">
        <v>1066.5999999999999</v>
      </c>
      <c r="K3265" t="s">
        <v>2030</v>
      </c>
    </row>
    <row r="3266" spans="1:11" x14ac:dyDescent="0.3">
      <c r="A3266" t="s">
        <v>1550</v>
      </c>
      <c r="B3266" s="33">
        <v>43290</v>
      </c>
      <c r="C3266" s="34" t="s">
        <v>4538</v>
      </c>
      <c r="D3266" s="34">
        <v>1</v>
      </c>
      <c r="E3266" s="35" t="s">
        <v>4435</v>
      </c>
      <c r="F3266" s="35" t="s">
        <v>69</v>
      </c>
      <c r="G3266" s="106" t="s">
        <v>3852</v>
      </c>
      <c r="H3266" s="33">
        <v>43252</v>
      </c>
      <c r="I3266" s="34" t="s">
        <v>5106</v>
      </c>
      <c r="J3266" s="36">
        <v>12159.35</v>
      </c>
      <c r="K3266" t="s">
        <v>2030</v>
      </c>
    </row>
    <row r="3267" spans="1:11" x14ac:dyDescent="0.3">
      <c r="A3267" t="s">
        <v>1550</v>
      </c>
      <c r="B3267" s="33">
        <v>43290</v>
      </c>
      <c r="C3267" s="34" t="s">
        <v>4538</v>
      </c>
      <c r="D3267" s="34">
        <v>1</v>
      </c>
      <c r="E3267" s="35" t="s">
        <v>4435</v>
      </c>
      <c r="F3267" s="35" t="s">
        <v>68</v>
      </c>
      <c r="G3267" s="106" t="s">
        <v>3852</v>
      </c>
      <c r="H3267" s="33">
        <v>43252</v>
      </c>
      <c r="I3267" s="34" t="s">
        <v>5107</v>
      </c>
      <c r="J3267" s="36">
        <v>426.64</v>
      </c>
      <c r="K3267" t="s">
        <v>2030</v>
      </c>
    </row>
    <row r="3268" spans="1:11" x14ac:dyDescent="0.3">
      <c r="A3268" t="s">
        <v>1550</v>
      </c>
      <c r="B3268" s="33">
        <v>43290</v>
      </c>
      <c r="C3268" s="34" t="s">
        <v>4538</v>
      </c>
      <c r="D3268" s="34">
        <v>1</v>
      </c>
      <c r="E3268" s="35" t="s">
        <v>4435</v>
      </c>
      <c r="F3268" s="35" t="s">
        <v>47</v>
      </c>
      <c r="G3268" s="106" t="s">
        <v>3852</v>
      </c>
      <c r="H3268" s="33">
        <v>43252</v>
      </c>
      <c r="I3268" s="34" t="s">
        <v>5108</v>
      </c>
      <c r="J3268" s="36">
        <v>213.32</v>
      </c>
      <c r="K3268" t="s">
        <v>2030</v>
      </c>
    </row>
    <row r="3269" spans="1:11" x14ac:dyDescent="0.3">
      <c r="A3269" t="s">
        <v>1550</v>
      </c>
      <c r="B3269" s="33">
        <v>43290</v>
      </c>
      <c r="C3269" s="34" t="s">
        <v>4538</v>
      </c>
      <c r="D3269" s="34">
        <v>1</v>
      </c>
      <c r="E3269" s="35" t="s">
        <v>4435</v>
      </c>
      <c r="F3269" s="35" t="s">
        <v>295</v>
      </c>
      <c r="G3269" s="106" t="s">
        <v>3852</v>
      </c>
      <c r="H3269" s="33">
        <v>43252</v>
      </c>
      <c r="I3269" s="34" t="s">
        <v>5109</v>
      </c>
      <c r="J3269" s="36">
        <v>213.32</v>
      </c>
      <c r="K3269" t="s">
        <v>2030</v>
      </c>
    </row>
    <row r="3270" spans="1:11" x14ac:dyDescent="0.3">
      <c r="A3270" t="s">
        <v>1550</v>
      </c>
      <c r="B3270" s="33">
        <v>43290</v>
      </c>
      <c r="C3270" s="34" t="s">
        <v>4538</v>
      </c>
      <c r="D3270" s="34">
        <v>1</v>
      </c>
      <c r="E3270" s="35" t="s">
        <v>4435</v>
      </c>
      <c r="F3270" s="35" t="s">
        <v>46</v>
      </c>
      <c r="G3270" s="106" t="s">
        <v>3852</v>
      </c>
      <c r="H3270" s="33">
        <v>43252</v>
      </c>
      <c r="I3270" s="34" t="s">
        <v>5110</v>
      </c>
      <c r="J3270" s="36">
        <v>1279.92</v>
      </c>
      <c r="K3270" t="s">
        <v>2030</v>
      </c>
    </row>
    <row r="3271" spans="1:11" x14ac:dyDescent="0.3">
      <c r="A3271" t="s">
        <v>1550</v>
      </c>
      <c r="B3271" s="33">
        <v>43290</v>
      </c>
      <c r="C3271" s="34" t="s">
        <v>4538</v>
      </c>
      <c r="D3271" s="34">
        <v>1</v>
      </c>
      <c r="E3271" s="35" t="s">
        <v>4435</v>
      </c>
      <c r="F3271" s="35" t="s">
        <v>6</v>
      </c>
      <c r="G3271" s="106" t="s">
        <v>3852</v>
      </c>
      <c r="H3271" s="33">
        <v>43252</v>
      </c>
      <c r="I3271" s="34" t="s">
        <v>5111</v>
      </c>
      <c r="J3271" s="36">
        <v>6399.62</v>
      </c>
      <c r="K3271" t="s">
        <v>2030</v>
      </c>
    </row>
    <row r="3272" spans="1:11" x14ac:dyDescent="0.3">
      <c r="A3272" t="s">
        <v>1550</v>
      </c>
      <c r="B3272" s="33">
        <v>43290</v>
      </c>
      <c r="C3272" s="34" t="s">
        <v>4538</v>
      </c>
      <c r="D3272" s="34">
        <v>1</v>
      </c>
      <c r="E3272" s="35" t="s">
        <v>4435</v>
      </c>
      <c r="F3272" s="35" t="s">
        <v>42</v>
      </c>
      <c r="G3272" s="106" t="s">
        <v>3852</v>
      </c>
      <c r="H3272" s="33">
        <v>43252</v>
      </c>
      <c r="I3272" s="34" t="s">
        <v>5112</v>
      </c>
      <c r="J3272" s="36">
        <v>213.32</v>
      </c>
      <c r="K3272" t="s">
        <v>2030</v>
      </c>
    </row>
    <row r="3273" spans="1:11" x14ac:dyDescent="0.3">
      <c r="A3273" t="s">
        <v>1550</v>
      </c>
      <c r="B3273" s="33">
        <v>43290</v>
      </c>
      <c r="C3273" s="34" t="s">
        <v>4538</v>
      </c>
      <c r="D3273" s="34">
        <v>1</v>
      </c>
      <c r="E3273" s="35" t="s">
        <v>4435</v>
      </c>
      <c r="F3273" s="35" t="s">
        <v>40</v>
      </c>
      <c r="G3273" s="106" t="s">
        <v>3852</v>
      </c>
      <c r="H3273" s="33">
        <v>43252</v>
      </c>
      <c r="I3273" s="34" t="s">
        <v>5113</v>
      </c>
      <c r="J3273" s="36">
        <v>11092.68</v>
      </c>
      <c r="K3273" t="s">
        <v>2030</v>
      </c>
    </row>
    <row r="3274" spans="1:11" x14ac:dyDescent="0.3">
      <c r="A3274" t="s">
        <v>1550</v>
      </c>
      <c r="B3274" s="33">
        <v>43290</v>
      </c>
      <c r="C3274" s="34" t="s">
        <v>4538</v>
      </c>
      <c r="D3274" s="34">
        <v>1</v>
      </c>
      <c r="E3274" s="35" t="s">
        <v>4435</v>
      </c>
      <c r="F3274" s="35" t="s">
        <v>41</v>
      </c>
      <c r="G3274" s="106" t="s">
        <v>3852</v>
      </c>
      <c r="H3274" s="33">
        <v>43252</v>
      </c>
      <c r="I3274" s="34" t="s">
        <v>5114</v>
      </c>
      <c r="J3274" s="36">
        <v>213.32</v>
      </c>
      <c r="K3274" t="s">
        <v>2030</v>
      </c>
    </row>
    <row r="3275" spans="1:11" x14ac:dyDescent="0.3">
      <c r="A3275" t="s">
        <v>818</v>
      </c>
      <c r="B3275" s="33">
        <v>43290</v>
      </c>
      <c r="C3275" s="34" t="s">
        <v>4450</v>
      </c>
      <c r="D3275" s="34">
        <v>2000</v>
      </c>
      <c r="E3275" s="35" t="s">
        <v>4495</v>
      </c>
      <c r="F3275" s="35" t="s">
        <v>346</v>
      </c>
      <c r="G3275" s="106" t="s">
        <v>3852</v>
      </c>
      <c r="H3275" s="33">
        <v>43252</v>
      </c>
      <c r="I3275" s="34" t="s">
        <v>4496</v>
      </c>
      <c r="J3275" s="36">
        <v>172.5</v>
      </c>
      <c r="K3275" t="s">
        <v>2030</v>
      </c>
    </row>
    <row r="3276" spans="1:11" x14ac:dyDescent="0.3">
      <c r="A3276" t="s">
        <v>818</v>
      </c>
      <c r="B3276" s="33">
        <v>43290</v>
      </c>
      <c r="C3276" s="34" t="s">
        <v>4450</v>
      </c>
      <c r="D3276" s="34">
        <v>2000</v>
      </c>
      <c r="E3276" s="35" t="s">
        <v>4495</v>
      </c>
      <c r="F3276" s="35" t="s">
        <v>345</v>
      </c>
      <c r="G3276" s="106" t="s">
        <v>3852</v>
      </c>
      <c r="H3276" s="33">
        <v>43252</v>
      </c>
      <c r="I3276" s="34" t="s">
        <v>4497</v>
      </c>
      <c r="J3276" s="36">
        <v>172.5</v>
      </c>
      <c r="K3276" t="s">
        <v>2030</v>
      </c>
    </row>
    <row r="3277" spans="1:11" x14ac:dyDescent="0.3">
      <c r="A3277" t="s">
        <v>818</v>
      </c>
      <c r="B3277" s="33">
        <v>43290</v>
      </c>
      <c r="C3277" s="34" t="s">
        <v>4538</v>
      </c>
      <c r="D3277" s="34">
        <v>1</v>
      </c>
      <c r="E3277" s="35" t="s">
        <v>4495</v>
      </c>
      <c r="F3277" s="35" t="s">
        <v>122</v>
      </c>
      <c r="G3277" s="106" t="s">
        <v>3852</v>
      </c>
      <c r="H3277" s="33">
        <v>43252</v>
      </c>
      <c r="I3277" s="34" t="s">
        <v>4833</v>
      </c>
      <c r="J3277" s="36">
        <v>172.5</v>
      </c>
      <c r="K3277" t="s">
        <v>2030</v>
      </c>
    </row>
    <row r="3278" spans="1:11" x14ac:dyDescent="0.3">
      <c r="A3278" t="s">
        <v>818</v>
      </c>
      <c r="B3278" s="33">
        <v>43290</v>
      </c>
      <c r="C3278" s="34" t="s">
        <v>4538</v>
      </c>
      <c r="D3278" s="34">
        <v>1</v>
      </c>
      <c r="E3278" s="35" t="s">
        <v>4495</v>
      </c>
      <c r="F3278" s="35" t="s">
        <v>119</v>
      </c>
      <c r="G3278" s="106" t="s">
        <v>3852</v>
      </c>
      <c r="H3278" s="33">
        <v>43252</v>
      </c>
      <c r="I3278" s="34" t="s">
        <v>4834</v>
      </c>
      <c r="J3278" s="36">
        <v>270</v>
      </c>
      <c r="K3278" t="s">
        <v>2030</v>
      </c>
    </row>
    <row r="3279" spans="1:11" x14ac:dyDescent="0.3">
      <c r="A3279" t="s">
        <v>818</v>
      </c>
      <c r="B3279" s="33">
        <v>43290</v>
      </c>
      <c r="C3279" s="34" t="s">
        <v>4538</v>
      </c>
      <c r="D3279" s="34">
        <v>1</v>
      </c>
      <c r="E3279" s="35" t="s">
        <v>4495</v>
      </c>
      <c r="F3279" s="35" t="s">
        <v>127</v>
      </c>
      <c r="G3279" s="106" t="s">
        <v>3852</v>
      </c>
      <c r="H3279" s="33">
        <v>43252</v>
      </c>
      <c r="I3279" s="34" t="s">
        <v>4835</v>
      </c>
      <c r="J3279" s="36">
        <v>172.5</v>
      </c>
      <c r="K3279" t="s">
        <v>2030</v>
      </c>
    </row>
    <row r="3280" spans="1:11" x14ac:dyDescent="0.3">
      <c r="A3280" t="s">
        <v>818</v>
      </c>
      <c r="B3280" s="33">
        <v>43290</v>
      </c>
      <c r="C3280" s="34" t="s">
        <v>4538</v>
      </c>
      <c r="D3280" s="34">
        <v>1</v>
      </c>
      <c r="E3280" s="35" t="s">
        <v>4495</v>
      </c>
      <c r="F3280" s="35" t="s">
        <v>129</v>
      </c>
      <c r="G3280" s="106" t="s">
        <v>3852</v>
      </c>
      <c r="H3280" s="33">
        <v>43252</v>
      </c>
      <c r="I3280" s="34" t="s">
        <v>4836</v>
      </c>
      <c r="J3280" s="36">
        <v>172.5</v>
      </c>
      <c r="K3280" t="s">
        <v>2030</v>
      </c>
    </row>
    <row r="3281" spans="1:11" x14ac:dyDescent="0.3">
      <c r="A3281" t="s">
        <v>818</v>
      </c>
      <c r="B3281" s="33">
        <v>43290</v>
      </c>
      <c r="C3281" s="34" t="s">
        <v>4538</v>
      </c>
      <c r="D3281" s="34">
        <v>1</v>
      </c>
      <c r="E3281" s="35" t="s">
        <v>4495</v>
      </c>
      <c r="F3281" s="35" t="s">
        <v>9</v>
      </c>
      <c r="G3281" s="106" t="s">
        <v>3852</v>
      </c>
      <c r="H3281" s="33">
        <v>43252</v>
      </c>
      <c r="I3281" s="34" t="s">
        <v>4837</v>
      </c>
      <c r="J3281" s="36">
        <v>225</v>
      </c>
      <c r="K3281" t="s">
        <v>2030</v>
      </c>
    </row>
    <row r="3282" spans="1:11" x14ac:dyDescent="0.3">
      <c r="A3282" t="s">
        <v>818</v>
      </c>
      <c r="B3282" s="33">
        <v>43290</v>
      </c>
      <c r="C3282" s="34" t="s">
        <v>4538</v>
      </c>
      <c r="D3282" s="34">
        <v>1</v>
      </c>
      <c r="E3282" s="35" t="s">
        <v>4495</v>
      </c>
      <c r="F3282" s="35" t="s">
        <v>114</v>
      </c>
      <c r="G3282" s="106" t="s">
        <v>3852</v>
      </c>
      <c r="H3282" s="33">
        <v>43252</v>
      </c>
      <c r="I3282" s="34" t="s">
        <v>4838</v>
      </c>
      <c r="J3282" s="36">
        <v>480</v>
      </c>
      <c r="K3282" t="s">
        <v>2030</v>
      </c>
    </row>
    <row r="3283" spans="1:11" x14ac:dyDescent="0.3">
      <c r="A3283" t="s">
        <v>818</v>
      </c>
      <c r="B3283" s="33">
        <v>43290</v>
      </c>
      <c r="C3283" s="34" t="s">
        <v>4538</v>
      </c>
      <c r="D3283" s="34">
        <v>1</v>
      </c>
      <c r="E3283" s="35" t="s">
        <v>4495</v>
      </c>
      <c r="F3283" s="35" t="s">
        <v>115</v>
      </c>
      <c r="G3283" s="106" t="s">
        <v>3852</v>
      </c>
      <c r="H3283" s="33">
        <v>43252</v>
      </c>
      <c r="I3283" s="34" t="s">
        <v>4839</v>
      </c>
      <c r="J3283" s="36">
        <v>480</v>
      </c>
      <c r="K3283" t="s">
        <v>2030</v>
      </c>
    </row>
    <row r="3284" spans="1:11" x14ac:dyDescent="0.3">
      <c r="A3284" t="s">
        <v>818</v>
      </c>
      <c r="B3284" s="33">
        <v>43290</v>
      </c>
      <c r="C3284" s="34" t="s">
        <v>4538</v>
      </c>
      <c r="D3284" s="34">
        <v>1</v>
      </c>
      <c r="E3284" s="35" t="s">
        <v>4495</v>
      </c>
      <c r="F3284" s="35" t="s">
        <v>123</v>
      </c>
      <c r="G3284" s="106" t="s">
        <v>3852</v>
      </c>
      <c r="H3284" s="33">
        <v>43252</v>
      </c>
      <c r="I3284" s="34" t="s">
        <v>4840</v>
      </c>
      <c r="J3284" s="36">
        <v>172.5</v>
      </c>
      <c r="K3284" t="s">
        <v>2030</v>
      </c>
    </row>
    <row r="3285" spans="1:11" x14ac:dyDescent="0.3">
      <c r="A3285" t="s">
        <v>818</v>
      </c>
      <c r="B3285" s="33">
        <v>43290</v>
      </c>
      <c r="C3285" s="34" t="s">
        <v>4538</v>
      </c>
      <c r="D3285" s="34">
        <v>1</v>
      </c>
      <c r="E3285" s="35" t="s">
        <v>4495</v>
      </c>
      <c r="F3285" s="35" t="s">
        <v>121</v>
      </c>
      <c r="G3285" s="106" t="s">
        <v>3852</v>
      </c>
      <c r="H3285" s="33">
        <v>43252</v>
      </c>
      <c r="I3285" s="34" t="s">
        <v>4841</v>
      </c>
      <c r="J3285" s="36">
        <v>172.5</v>
      </c>
      <c r="K3285" t="s">
        <v>2030</v>
      </c>
    </row>
    <row r="3286" spans="1:11" x14ac:dyDescent="0.3">
      <c r="A3286" t="s">
        <v>818</v>
      </c>
      <c r="B3286" s="33">
        <v>43290</v>
      </c>
      <c r="C3286" s="34" t="s">
        <v>4538</v>
      </c>
      <c r="D3286" s="34">
        <v>1</v>
      </c>
      <c r="E3286" s="35" t="s">
        <v>4495</v>
      </c>
      <c r="F3286" s="35" t="s">
        <v>132</v>
      </c>
      <c r="G3286" s="106" t="s">
        <v>3852</v>
      </c>
      <c r="H3286" s="33">
        <v>43252</v>
      </c>
      <c r="I3286" s="34" t="s">
        <v>4842</v>
      </c>
      <c r="J3286" s="36">
        <v>172.5</v>
      </c>
      <c r="K3286" t="s">
        <v>2030</v>
      </c>
    </row>
    <row r="3287" spans="1:11" x14ac:dyDescent="0.3">
      <c r="A3287" t="s">
        <v>818</v>
      </c>
      <c r="B3287" s="33">
        <v>43290</v>
      </c>
      <c r="C3287" s="34" t="s">
        <v>4538</v>
      </c>
      <c r="D3287" s="34">
        <v>1</v>
      </c>
      <c r="E3287" s="35" t="s">
        <v>4495</v>
      </c>
      <c r="F3287" s="35" t="s">
        <v>131</v>
      </c>
      <c r="G3287" s="106" t="s">
        <v>3852</v>
      </c>
      <c r="H3287" s="33">
        <v>43252</v>
      </c>
      <c r="I3287" s="34" t="s">
        <v>4843</v>
      </c>
      <c r="J3287" s="36">
        <v>172.5</v>
      </c>
      <c r="K3287" t="s">
        <v>2030</v>
      </c>
    </row>
    <row r="3288" spans="1:11" x14ac:dyDescent="0.3">
      <c r="A3288" t="s">
        <v>818</v>
      </c>
      <c r="B3288" s="33">
        <v>43290</v>
      </c>
      <c r="C3288" s="34" t="s">
        <v>4538</v>
      </c>
      <c r="D3288" s="34">
        <v>1</v>
      </c>
      <c r="E3288" s="35" t="s">
        <v>4495</v>
      </c>
      <c r="F3288" s="35" t="s">
        <v>130</v>
      </c>
      <c r="G3288" s="106" t="s">
        <v>3852</v>
      </c>
      <c r="H3288" s="33">
        <v>43252</v>
      </c>
      <c r="I3288" s="34" t="s">
        <v>4844</v>
      </c>
      <c r="J3288" s="36">
        <v>172.5</v>
      </c>
      <c r="K3288" t="s">
        <v>2030</v>
      </c>
    </row>
    <row r="3289" spans="1:11" x14ac:dyDescent="0.3">
      <c r="A3289" t="s">
        <v>818</v>
      </c>
      <c r="B3289" s="33">
        <v>43290</v>
      </c>
      <c r="C3289" s="34" t="s">
        <v>4538</v>
      </c>
      <c r="D3289" s="34">
        <v>1</v>
      </c>
      <c r="E3289" s="35" t="s">
        <v>4495</v>
      </c>
      <c r="F3289" s="35" t="s">
        <v>133</v>
      </c>
      <c r="G3289" s="106" t="s">
        <v>3852</v>
      </c>
      <c r="H3289" s="33">
        <v>43252</v>
      </c>
      <c r="I3289" s="34" t="s">
        <v>4845</v>
      </c>
      <c r="J3289" s="36">
        <v>172.5</v>
      </c>
      <c r="K3289" t="s">
        <v>2030</v>
      </c>
    </row>
    <row r="3290" spans="1:11" x14ac:dyDescent="0.3">
      <c r="A3290" t="s">
        <v>818</v>
      </c>
      <c r="B3290" s="33">
        <v>43290</v>
      </c>
      <c r="C3290" s="34" t="s">
        <v>4538</v>
      </c>
      <c r="D3290" s="34">
        <v>1</v>
      </c>
      <c r="E3290" s="35" t="s">
        <v>4495</v>
      </c>
      <c r="F3290" s="35" t="s">
        <v>128</v>
      </c>
      <c r="G3290" s="106" t="s">
        <v>3852</v>
      </c>
      <c r="H3290" s="33">
        <v>43252</v>
      </c>
      <c r="I3290" s="34" t="s">
        <v>4846</v>
      </c>
      <c r="J3290" s="36">
        <v>172.5</v>
      </c>
      <c r="K3290" t="s">
        <v>2030</v>
      </c>
    </row>
    <row r="3291" spans="1:11" x14ac:dyDescent="0.3">
      <c r="A3291" t="s">
        <v>818</v>
      </c>
      <c r="B3291" s="33">
        <v>43290</v>
      </c>
      <c r="C3291" s="34" t="s">
        <v>4538</v>
      </c>
      <c r="D3291" s="34">
        <v>1</v>
      </c>
      <c r="E3291" s="35" t="s">
        <v>4495</v>
      </c>
      <c r="F3291" s="35" t="s">
        <v>124</v>
      </c>
      <c r="G3291" s="106" t="s">
        <v>3852</v>
      </c>
      <c r="H3291" s="33">
        <v>43252</v>
      </c>
      <c r="I3291" s="34" t="s">
        <v>4847</v>
      </c>
      <c r="J3291" s="36">
        <v>172.5</v>
      </c>
      <c r="K3291" t="s">
        <v>2030</v>
      </c>
    </row>
    <row r="3292" spans="1:11" x14ac:dyDescent="0.3">
      <c r="A3292" t="s">
        <v>818</v>
      </c>
      <c r="B3292" s="33">
        <v>43290</v>
      </c>
      <c r="C3292" s="34" t="s">
        <v>4538</v>
      </c>
      <c r="D3292" s="34">
        <v>1</v>
      </c>
      <c r="E3292" s="35" t="s">
        <v>4495</v>
      </c>
      <c r="F3292" s="35" t="s">
        <v>142</v>
      </c>
      <c r="G3292" s="106" t="s">
        <v>3852</v>
      </c>
      <c r="H3292" s="33">
        <v>43252</v>
      </c>
      <c r="I3292" s="34" t="s">
        <v>4848</v>
      </c>
      <c r="J3292" s="36">
        <v>225</v>
      </c>
      <c r="K3292" t="s">
        <v>2030</v>
      </c>
    </row>
    <row r="3293" spans="1:11" x14ac:dyDescent="0.3">
      <c r="A3293" t="s">
        <v>818</v>
      </c>
      <c r="B3293" s="33">
        <v>43290</v>
      </c>
      <c r="C3293" s="34" t="s">
        <v>4538</v>
      </c>
      <c r="D3293" s="34">
        <v>1</v>
      </c>
      <c r="E3293" s="35" t="s">
        <v>4495</v>
      </c>
      <c r="F3293" s="35" t="s">
        <v>141</v>
      </c>
      <c r="G3293" s="106" t="s">
        <v>3852</v>
      </c>
      <c r="H3293" s="33">
        <v>43252</v>
      </c>
      <c r="I3293" s="34" t="s">
        <v>4849</v>
      </c>
      <c r="J3293" s="36">
        <v>225</v>
      </c>
      <c r="K3293" t="s">
        <v>2030</v>
      </c>
    </row>
    <row r="3294" spans="1:11" x14ac:dyDescent="0.3">
      <c r="A3294" t="s">
        <v>818</v>
      </c>
      <c r="B3294" s="33">
        <v>43290</v>
      </c>
      <c r="C3294" s="34" t="s">
        <v>4538</v>
      </c>
      <c r="D3294" s="34">
        <v>1</v>
      </c>
      <c r="E3294" s="35" t="s">
        <v>4495</v>
      </c>
      <c r="F3294" s="35" t="s">
        <v>135</v>
      </c>
      <c r="G3294" s="106" t="s">
        <v>3852</v>
      </c>
      <c r="H3294" s="33">
        <v>43252</v>
      </c>
      <c r="I3294" s="34" t="s">
        <v>4850</v>
      </c>
      <c r="J3294" s="36">
        <v>172.5</v>
      </c>
      <c r="K3294" t="s">
        <v>2030</v>
      </c>
    </row>
    <row r="3295" spans="1:11" x14ac:dyDescent="0.3">
      <c r="A3295" t="s">
        <v>818</v>
      </c>
      <c r="B3295" s="33">
        <v>43290</v>
      </c>
      <c r="C3295" s="34" t="s">
        <v>4538</v>
      </c>
      <c r="D3295" s="34">
        <v>1</v>
      </c>
      <c r="E3295" s="35" t="s">
        <v>4495</v>
      </c>
      <c r="F3295" s="35" t="s">
        <v>120</v>
      </c>
      <c r="G3295" s="106" t="s">
        <v>3852</v>
      </c>
      <c r="H3295" s="33">
        <v>43252</v>
      </c>
      <c r="I3295" s="34" t="s">
        <v>4851</v>
      </c>
      <c r="J3295" s="36">
        <v>270</v>
      </c>
      <c r="K3295" t="s">
        <v>2030</v>
      </c>
    </row>
    <row r="3296" spans="1:11" x14ac:dyDescent="0.3">
      <c r="A3296" t="s">
        <v>818</v>
      </c>
      <c r="B3296" s="33">
        <v>43290</v>
      </c>
      <c r="C3296" s="34" t="s">
        <v>4538</v>
      </c>
      <c r="D3296" s="34">
        <v>1</v>
      </c>
      <c r="E3296" s="35" t="s">
        <v>4495</v>
      </c>
      <c r="F3296" s="35" t="s">
        <v>117</v>
      </c>
      <c r="G3296" s="106" t="s">
        <v>3852</v>
      </c>
      <c r="H3296" s="33">
        <v>43252</v>
      </c>
      <c r="I3296" s="34" t="s">
        <v>4852</v>
      </c>
      <c r="J3296" s="36">
        <v>270</v>
      </c>
      <c r="K3296" t="s">
        <v>2030</v>
      </c>
    </row>
    <row r="3297" spans="1:11" x14ac:dyDescent="0.3">
      <c r="A3297" t="s">
        <v>818</v>
      </c>
      <c r="B3297" s="33">
        <v>43290</v>
      </c>
      <c r="C3297" s="34" t="s">
        <v>4538</v>
      </c>
      <c r="D3297" s="34">
        <v>1</v>
      </c>
      <c r="E3297" s="35" t="s">
        <v>4495</v>
      </c>
      <c r="F3297" s="35" t="s">
        <v>118</v>
      </c>
      <c r="G3297" s="106" t="s">
        <v>3852</v>
      </c>
      <c r="H3297" s="33">
        <v>43252</v>
      </c>
      <c r="I3297" s="34" t="s">
        <v>4853</v>
      </c>
      <c r="J3297" s="36">
        <v>270</v>
      </c>
      <c r="K3297" t="s">
        <v>2030</v>
      </c>
    </row>
    <row r="3298" spans="1:11" x14ac:dyDescent="0.3">
      <c r="A3298" t="s">
        <v>818</v>
      </c>
      <c r="B3298" s="33">
        <v>43290</v>
      </c>
      <c r="C3298" s="34" t="s">
        <v>4538</v>
      </c>
      <c r="D3298" s="34">
        <v>1</v>
      </c>
      <c r="E3298" s="35" t="s">
        <v>4495</v>
      </c>
      <c r="F3298" s="35" t="s">
        <v>116</v>
      </c>
      <c r="G3298" s="106" t="s">
        <v>3852</v>
      </c>
      <c r="H3298" s="33">
        <v>43252</v>
      </c>
      <c r="I3298" s="34" t="s">
        <v>4854</v>
      </c>
      <c r="J3298" s="36">
        <v>270</v>
      </c>
      <c r="K3298" t="s">
        <v>2030</v>
      </c>
    </row>
    <row r="3299" spans="1:11" x14ac:dyDescent="0.3">
      <c r="A3299" t="s">
        <v>818</v>
      </c>
      <c r="B3299" s="33">
        <v>43290</v>
      </c>
      <c r="C3299" s="34" t="s">
        <v>4538</v>
      </c>
      <c r="D3299" s="34">
        <v>1</v>
      </c>
      <c r="E3299" s="35" t="s">
        <v>4495</v>
      </c>
      <c r="F3299" s="35" t="s">
        <v>112</v>
      </c>
      <c r="G3299" s="106" t="s">
        <v>3852</v>
      </c>
      <c r="H3299" s="33">
        <v>43252</v>
      </c>
      <c r="I3299" s="34" t="s">
        <v>4855</v>
      </c>
      <c r="J3299" s="36">
        <v>480</v>
      </c>
      <c r="K3299" t="s">
        <v>2030</v>
      </c>
    </row>
    <row r="3300" spans="1:11" x14ac:dyDescent="0.3">
      <c r="A3300" t="s">
        <v>818</v>
      </c>
      <c r="B3300" s="33">
        <v>43290</v>
      </c>
      <c r="C3300" s="34" t="s">
        <v>4538</v>
      </c>
      <c r="D3300" s="34">
        <v>1</v>
      </c>
      <c r="E3300" s="35" t="s">
        <v>4495</v>
      </c>
      <c r="F3300" s="35" t="s">
        <v>106</v>
      </c>
      <c r="G3300" s="106" t="s">
        <v>3852</v>
      </c>
      <c r="H3300" s="33">
        <v>43252</v>
      </c>
      <c r="I3300" s="34" t="s">
        <v>4856</v>
      </c>
      <c r="J3300" s="36">
        <v>300</v>
      </c>
      <c r="K3300" t="s">
        <v>2030</v>
      </c>
    </row>
    <row r="3301" spans="1:11" x14ac:dyDescent="0.3">
      <c r="A3301" t="s">
        <v>818</v>
      </c>
      <c r="B3301" s="33">
        <v>43290</v>
      </c>
      <c r="C3301" s="34" t="s">
        <v>4538</v>
      </c>
      <c r="D3301" s="34">
        <v>1</v>
      </c>
      <c r="E3301" s="35" t="s">
        <v>4495</v>
      </c>
      <c r="F3301" s="35" t="s">
        <v>111</v>
      </c>
      <c r="G3301" s="106" t="s">
        <v>3852</v>
      </c>
      <c r="H3301" s="33">
        <v>43252</v>
      </c>
      <c r="I3301" s="34" t="s">
        <v>4857</v>
      </c>
      <c r="J3301" s="36">
        <v>480</v>
      </c>
      <c r="K3301" t="s">
        <v>2030</v>
      </c>
    </row>
    <row r="3302" spans="1:11" x14ac:dyDescent="0.3">
      <c r="A3302" t="s">
        <v>818</v>
      </c>
      <c r="B3302" s="33">
        <v>43290</v>
      </c>
      <c r="C3302" s="34" t="s">
        <v>4538</v>
      </c>
      <c r="D3302" s="34">
        <v>1</v>
      </c>
      <c r="E3302" s="35" t="s">
        <v>4495</v>
      </c>
      <c r="F3302" s="35" t="s">
        <v>107</v>
      </c>
      <c r="G3302" s="106" t="s">
        <v>3852</v>
      </c>
      <c r="H3302" s="33">
        <v>43252</v>
      </c>
      <c r="I3302" s="34" t="s">
        <v>4858</v>
      </c>
      <c r="J3302" s="36">
        <v>300</v>
      </c>
      <c r="K3302" t="s">
        <v>2030</v>
      </c>
    </row>
    <row r="3303" spans="1:11" x14ac:dyDescent="0.3">
      <c r="A3303" t="s">
        <v>818</v>
      </c>
      <c r="B3303" s="33">
        <v>43290</v>
      </c>
      <c r="C3303" s="34" t="s">
        <v>4538</v>
      </c>
      <c r="D3303" s="34">
        <v>1</v>
      </c>
      <c r="E3303" s="35" t="s">
        <v>4495</v>
      </c>
      <c r="F3303" s="35" t="s">
        <v>105</v>
      </c>
      <c r="G3303" s="106" t="s">
        <v>3852</v>
      </c>
      <c r="H3303" s="33">
        <v>43252</v>
      </c>
      <c r="I3303" s="34" t="s">
        <v>4859</v>
      </c>
      <c r="J3303" s="36">
        <v>300</v>
      </c>
      <c r="K3303" t="s">
        <v>2030</v>
      </c>
    </row>
    <row r="3304" spans="1:11" x14ac:dyDescent="0.3">
      <c r="A3304" t="s">
        <v>818</v>
      </c>
      <c r="B3304" s="33">
        <v>43290</v>
      </c>
      <c r="C3304" s="34" t="s">
        <v>4538</v>
      </c>
      <c r="D3304" s="34">
        <v>1</v>
      </c>
      <c r="E3304" s="35" t="s">
        <v>4495</v>
      </c>
      <c r="F3304" s="35" t="s">
        <v>109</v>
      </c>
      <c r="G3304" s="106" t="s">
        <v>3852</v>
      </c>
      <c r="H3304" s="33">
        <v>43252</v>
      </c>
      <c r="I3304" s="34" t="s">
        <v>4860</v>
      </c>
      <c r="J3304" s="36">
        <v>172.5</v>
      </c>
      <c r="K3304" t="s">
        <v>2030</v>
      </c>
    </row>
    <row r="3305" spans="1:11" x14ac:dyDescent="0.3">
      <c r="A3305" t="s">
        <v>818</v>
      </c>
      <c r="B3305" s="33">
        <v>43290</v>
      </c>
      <c r="C3305" s="34" t="s">
        <v>4538</v>
      </c>
      <c r="D3305" s="34">
        <v>1</v>
      </c>
      <c r="E3305" s="35" t="s">
        <v>4495</v>
      </c>
      <c r="F3305" s="35" t="s">
        <v>103</v>
      </c>
      <c r="G3305" s="106" t="s">
        <v>3852</v>
      </c>
      <c r="H3305" s="33">
        <v>43252</v>
      </c>
      <c r="I3305" s="34" t="s">
        <v>4861</v>
      </c>
      <c r="J3305" s="36">
        <v>172.5</v>
      </c>
      <c r="K3305" t="s">
        <v>2030</v>
      </c>
    </row>
    <row r="3306" spans="1:11" x14ac:dyDescent="0.3">
      <c r="A3306" t="s">
        <v>818</v>
      </c>
      <c r="B3306" s="33">
        <v>43290</v>
      </c>
      <c r="C3306" s="34" t="s">
        <v>4538</v>
      </c>
      <c r="D3306" s="34">
        <v>1</v>
      </c>
      <c r="E3306" s="35" t="s">
        <v>4495</v>
      </c>
      <c r="F3306" s="35" t="s">
        <v>104</v>
      </c>
      <c r="G3306" s="106" t="s">
        <v>3852</v>
      </c>
      <c r="H3306" s="33">
        <v>43252</v>
      </c>
      <c r="I3306" s="34" t="s">
        <v>4862</v>
      </c>
      <c r="J3306" s="36">
        <v>172.5</v>
      </c>
      <c r="K3306" t="s">
        <v>2030</v>
      </c>
    </row>
    <row r="3307" spans="1:11" x14ac:dyDescent="0.3">
      <c r="A3307" t="s">
        <v>818</v>
      </c>
      <c r="B3307" s="33">
        <v>43290</v>
      </c>
      <c r="C3307" s="34" t="s">
        <v>4538</v>
      </c>
      <c r="D3307" s="34">
        <v>1</v>
      </c>
      <c r="E3307" s="35" t="s">
        <v>4495</v>
      </c>
      <c r="F3307" s="35" t="s">
        <v>113</v>
      </c>
      <c r="G3307" s="106" t="s">
        <v>3852</v>
      </c>
      <c r="H3307" s="33">
        <v>43252</v>
      </c>
      <c r="I3307" s="34" t="s">
        <v>4863</v>
      </c>
      <c r="J3307" s="36">
        <v>480</v>
      </c>
      <c r="K3307" t="s">
        <v>2030</v>
      </c>
    </row>
    <row r="3308" spans="1:11" x14ac:dyDescent="0.3">
      <c r="A3308" t="s">
        <v>818</v>
      </c>
      <c r="B3308" s="33">
        <v>43290</v>
      </c>
      <c r="C3308" s="34" t="s">
        <v>4538</v>
      </c>
      <c r="D3308" s="34">
        <v>1</v>
      </c>
      <c r="E3308" s="35" t="s">
        <v>4495</v>
      </c>
      <c r="F3308" s="35" t="s">
        <v>108</v>
      </c>
      <c r="G3308" s="106" t="s">
        <v>3852</v>
      </c>
      <c r="H3308" s="33">
        <v>43252</v>
      </c>
      <c r="I3308" s="34" t="s">
        <v>4864</v>
      </c>
      <c r="J3308" s="36">
        <v>172.5</v>
      </c>
      <c r="K3308" t="s">
        <v>2030</v>
      </c>
    </row>
    <row r="3309" spans="1:11" x14ac:dyDescent="0.3">
      <c r="A3309" t="s">
        <v>818</v>
      </c>
      <c r="B3309" s="33">
        <v>43290</v>
      </c>
      <c r="C3309" s="34" t="s">
        <v>4538</v>
      </c>
      <c r="D3309" s="34">
        <v>1</v>
      </c>
      <c r="E3309" s="35" t="s">
        <v>4495</v>
      </c>
      <c r="F3309" s="35" t="s">
        <v>101</v>
      </c>
      <c r="G3309" s="106" t="s">
        <v>3852</v>
      </c>
      <c r="H3309" s="33">
        <v>43252</v>
      </c>
      <c r="I3309" s="34" t="s">
        <v>4865</v>
      </c>
      <c r="J3309" s="36">
        <v>225</v>
      </c>
      <c r="K3309" t="s">
        <v>2030</v>
      </c>
    </row>
    <row r="3310" spans="1:11" x14ac:dyDescent="0.3">
      <c r="A3310" t="s">
        <v>818</v>
      </c>
      <c r="B3310" s="33">
        <v>43290</v>
      </c>
      <c r="C3310" s="34" t="s">
        <v>4538</v>
      </c>
      <c r="D3310" s="34">
        <v>1</v>
      </c>
      <c r="E3310" s="35" t="s">
        <v>4495</v>
      </c>
      <c r="F3310" s="35" t="s">
        <v>110</v>
      </c>
      <c r="G3310" s="106" t="s">
        <v>3852</v>
      </c>
      <c r="H3310" s="33">
        <v>43252</v>
      </c>
      <c r="I3310" s="34" t="s">
        <v>4866</v>
      </c>
      <c r="J3310" s="36">
        <v>172.5</v>
      </c>
      <c r="K3310" t="s">
        <v>2030</v>
      </c>
    </row>
    <row r="3311" spans="1:11" x14ac:dyDescent="0.3">
      <c r="A3311" t="s">
        <v>818</v>
      </c>
      <c r="B3311" s="33">
        <v>43290</v>
      </c>
      <c r="C3311" s="34" t="s">
        <v>4538</v>
      </c>
      <c r="D3311" s="34">
        <v>1</v>
      </c>
      <c r="E3311" s="35" t="s">
        <v>4495</v>
      </c>
      <c r="F3311" s="35" t="s">
        <v>102</v>
      </c>
      <c r="G3311" s="106" t="s">
        <v>3852</v>
      </c>
      <c r="H3311" s="33">
        <v>43252</v>
      </c>
      <c r="I3311" s="34" t="s">
        <v>4867</v>
      </c>
      <c r="J3311" s="36">
        <v>225</v>
      </c>
      <c r="K3311" t="s">
        <v>2030</v>
      </c>
    </row>
    <row r="3312" spans="1:11" x14ac:dyDescent="0.3">
      <c r="A3312" t="s">
        <v>818</v>
      </c>
      <c r="B3312" s="33">
        <v>43290</v>
      </c>
      <c r="C3312" s="34" t="s">
        <v>4538</v>
      </c>
      <c r="D3312" s="34">
        <v>1</v>
      </c>
      <c r="E3312" s="35" t="s">
        <v>4495</v>
      </c>
      <c r="F3312" s="35" t="s">
        <v>98</v>
      </c>
      <c r="G3312" s="106" t="s">
        <v>3852</v>
      </c>
      <c r="H3312" s="33">
        <v>43252</v>
      </c>
      <c r="I3312" s="34" t="s">
        <v>4868</v>
      </c>
      <c r="J3312" s="36">
        <v>225</v>
      </c>
      <c r="K3312" t="s">
        <v>2030</v>
      </c>
    </row>
    <row r="3313" spans="1:11" x14ac:dyDescent="0.3">
      <c r="A3313" t="s">
        <v>818</v>
      </c>
      <c r="B3313" s="33">
        <v>43290</v>
      </c>
      <c r="C3313" s="34" t="s">
        <v>4538</v>
      </c>
      <c r="D3313" s="34">
        <v>1</v>
      </c>
      <c r="E3313" s="35" t="s">
        <v>4495</v>
      </c>
      <c r="F3313" s="35" t="s">
        <v>307</v>
      </c>
      <c r="G3313" s="106" t="s">
        <v>3852</v>
      </c>
      <c r="H3313" s="33">
        <v>43252</v>
      </c>
      <c r="I3313" s="34" t="s">
        <v>4869</v>
      </c>
      <c r="J3313" s="36">
        <v>172.5</v>
      </c>
      <c r="K3313" t="s">
        <v>2030</v>
      </c>
    </row>
    <row r="3314" spans="1:11" x14ac:dyDescent="0.3">
      <c r="A3314" t="s">
        <v>818</v>
      </c>
      <c r="B3314" s="33">
        <v>43290</v>
      </c>
      <c r="C3314" s="34" t="s">
        <v>4538</v>
      </c>
      <c r="D3314" s="34">
        <v>1</v>
      </c>
      <c r="E3314" s="35" t="s">
        <v>4495</v>
      </c>
      <c r="F3314" s="35" t="s">
        <v>298</v>
      </c>
      <c r="G3314" s="106" t="s">
        <v>3852</v>
      </c>
      <c r="H3314" s="33">
        <v>43252</v>
      </c>
      <c r="I3314" s="34" t="s">
        <v>4870</v>
      </c>
      <c r="J3314" s="36">
        <v>172.5</v>
      </c>
      <c r="K3314" t="s">
        <v>2030</v>
      </c>
    </row>
    <row r="3315" spans="1:11" x14ac:dyDescent="0.3">
      <c r="A3315" t="s">
        <v>818</v>
      </c>
      <c r="B3315" s="33">
        <v>43290</v>
      </c>
      <c r="C3315" s="34" t="s">
        <v>4538</v>
      </c>
      <c r="D3315" s="34">
        <v>1</v>
      </c>
      <c r="E3315" s="35" t="s">
        <v>4495</v>
      </c>
      <c r="F3315" s="35" t="s">
        <v>38</v>
      </c>
      <c r="G3315" s="106" t="s">
        <v>3852</v>
      </c>
      <c r="H3315" s="33">
        <v>43252</v>
      </c>
      <c r="I3315" s="34" t="s">
        <v>4871</v>
      </c>
      <c r="J3315" s="36">
        <v>172.5</v>
      </c>
      <c r="K3315" t="s">
        <v>2030</v>
      </c>
    </row>
    <row r="3316" spans="1:11" x14ac:dyDescent="0.3">
      <c r="A3316" t="s">
        <v>818</v>
      </c>
      <c r="B3316" s="33">
        <v>43290</v>
      </c>
      <c r="C3316" s="34" t="s">
        <v>4538</v>
      </c>
      <c r="D3316" s="34">
        <v>1</v>
      </c>
      <c r="E3316" s="35" t="s">
        <v>4495</v>
      </c>
      <c r="F3316" s="35" t="s">
        <v>306</v>
      </c>
      <c r="G3316" s="106" t="s">
        <v>3852</v>
      </c>
      <c r="H3316" s="33">
        <v>43252</v>
      </c>
      <c r="I3316" s="34" t="s">
        <v>4872</v>
      </c>
      <c r="J3316" s="36">
        <v>172.5</v>
      </c>
      <c r="K3316" t="s">
        <v>2030</v>
      </c>
    </row>
    <row r="3317" spans="1:11" x14ac:dyDescent="0.3">
      <c r="A3317" t="s">
        <v>818</v>
      </c>
      <c r="B3317" s="33">
        <v>43290</v>
      </c>
      <c r="C3317" s="34" t="s">
        <v>4538</v>
      </c>
      <c r="D3317" s="34">
        <v>1</v>
      </c>
      <c r="E3317" s="35" t="s">
        <v>4495</v>
      </c>
      <c r="F3317" s="35" t="s">
        <v>297</v>
      </c>
      <c r="G3317" s="106" t="s">
        <v>3852</v>
      </c>
      <c r="H3317" s="33">
        <v>43252</v>
      </c>
      <c r="I3317" s="34" t="s">
        <v>4873</v>
      </c>
      <c r="J3317" s="36">
        <v>172.5</v>
      </c>
      <c r="K3317" t="s">
        <v>2030</v>
      </c>
    </row>
    <row r="3318" spans="1:11" x14ac:dyDescent="0.3">
      <c r="A3318" t="s">
        <v>818</v>
      </c>
      <c r="B3318" s="33">
        <v>43290</v>
      </c>
      <c r="C3318" s="34" t="s">
        <v>4538</v>
      </c>
      <c r="D3318" s="34">
        <v>1</v>
      </c>
      <c r="E3318" s="35" t="s">
        <v>4495</v>
      </c>
      <c r="F3318" s="35" t="s">
        <v>302</v>
      </c>
      <c r="G3318" s="106" t="s">
        <v>3852</v>
      </c>
      <c r="H3318" s="33">
        <v>43252</v>
      </c>
      <c r="I3318" s="34" t="s">
        <v>4874</v>
      </c>
      <c r="J3318" s="36">
        <v>172.5</v>
      </c>
      <c r="K3318" t="s">
        <v>2030</v>
      </c>
    </row>
    <row r="3319" spans="1:11" x14ac:dyDescent="0.3">
      <c r="A3319" t="s">
        <v>818</v>
      </c>
      <c r="B3319" s="33">
        <v>43290</v>
      </c>
      <c r="C3319" s="34" t="s">
        <v>4538</v>
      </c>
      <c r="D3319" s="34">
        <v>1</v>
      </c>
      <c r="E3319" s="35" t="s">
        <v>4495</v>
      </c>
      <c r="F3319" s="35" t="s">
        <v>303</v>
      </c>
      <c r="G3319" s="106" t="s">
        <v>3852</v>
      </c>
      <c r="H3319" s="33">
        <v>43252</v>
      </c>
      <c r="I3319" s="34" t="s">
        <v>4875</v>
      </c>
      <c r="J3319" s="36">
        <v>172.5</v>
      </c>
      <c r="K3319" t="s">
        <v>2030</v>
      </c>
    </row>
    <row r="3320" spans="1:11" x14ac:dyDescent="0.3">
      <c r="A3320" t="s">
        <v>818</v>
      </c>
      <c r="B3320" s="33">
        <v>43290</v>
      </c>
      <c r="C3320" s="34" t="s">
        <v>4538</v>
      </c>
      <c r="D3320" s="34">
        <v>1</v>
      </c>
      <c r="E3320" s="35" t="s">
        <v>4495</v>
      </c>
      <c r="F3320" s="35" t="s">
        <v>39</v>
      </c>
      <c r="G3320" s="106" t="s">
        <v>3852</v>
      </c>
      <c r="H3320" s="33">
        <v>43252</v>
      </c>
      <c r="I3320" s="34" t="s">
        <v>4876</v>
      </c>
      <c r="J3320" s="36">
        <v>172.5</v>
      </c>
      <c r="K3320" t="s">
        <v>2030</v>
      </c>
    </row>
    <row r="3321" spans="1:11" x14ac:dyDescent="0.3">
      <c r="A3321" t="s">
        <v>818</v>
      </c>
      <c r="B3321" s="33">
        <v>43290</v>
      </c>
      <c r="C3321" s="34" t="s">
        <v>4538</v>
      </c>
      <c r="D3321" s="34">
        <v>1</v>
      </c>
      <c r="E3321" s="35" t="s">
        <v>4495</v>
      </c>
      <c r="F3321" s="35" t="s">
        <v>299</v>
      </c>
      <c r="G3321" s="106" t="s">
        <v>3852</v>
      </c>
      <c r="H3321" s="33">
        <v>43252</v>
      </c>
      <c r="I3321" s="34" t="s">
        <v>4877</v>
      </c>
      <c r="J3321" s="36">
        <v>172.5</v>
      </c>
      <c r="K3321" t="s">
        <v>2030</v>
      </c>
    </row>
    <row r="3322" spans="1:11" x14ac:dyDescent="0.3">
      <c r="A3322" t="s">
        <v>818</v>
      </c>
      <c r="B3322" s="33">
        <v>43290</v>
      </c>
      <c r="C3322" s="34" t="s">
        <v>4538</v>
      </c>
      <c r="D3322" s="34">
        <v>1</v>
      </c>
      <c r="E3322" s="35" t="s">
        <v>4495</v>
      </c>
      <c r="F3322" s="35" t="s">
        <v>308</v>
      </c>
      <c r="G3322" s="106" t="s">
        <v>3852</v>
      </c>
      <c r="H3322" s="33">
        <v>43252</v>
      </c>
      <c r="I3322" s="34" t="s">
        <v>4878</v>
      </c>
      <c r="J3322" s="36">
        <v>172.5</v>
      </c>
      <c r="K3322" t="s">
        <v>2030</v>
      </c>
    </row>
    <row r="3323" spans="1:11" x14ac:dyDescent="0.3">
      <c r="A3323" t="s">
        <v>818</v>
      </c>
      <c r="B3323" s="33">
        <v>43290</v>
      </c>
      <c r="C3323" s="34" t="s">
        <v>4538</v>
      </c>
      <c r="D3323" s="34">
        <v>1</v>
      </c>
      <c r="E3323" s="35" t="s">
        <v>4495</v>
      </c>
      <c r="F3323" s="35" t="s">
        <v>301</v>
      </c>
      <c r="G3323" s="106" t="s">
        <v>3852</v>
      </c>
      <c r="H3323" s="33">
        <v>43252</v>
      </c>
      <c r="I3323" s="34" t="s">
        <v>4879</v>
      </c>
      <c r="J3323" s="36">
        <v>172.5</v>
      </c>
      <c r="K3323" t="s">
        <v>2030</v>
      </c>
    </row>
    <row r="3324" spans="1:11" x14ac:dyDescent="0.3">
      <c r="A3324" t="s">
        <v>818</v>
      </c>
      <c r="B3324" s="33">
        <v>43290</v>
      </c>
      <c r="C3324" s="34" t="s">
        <v>4538</v>
      </c>
      <c r="D3324" s="34">
        <v>1</v>
      </c>
      <c r="E3324" s="35" t="s">
        <v>4495</v>
      </c>
      <c r="F3324" s="35" t="s">
        <v>304</v>
      </c>
      <c r="G3324" s="106" t="s">
        <v>3852</v>
      </c>
      <c r="H3324" s="33">
        <v>43252</v>
      </c>
      <c r="I3324" s="34" t="s">
        <v>4880</v>
      </c>
      <c r="J3324" s="36">
        <v>172.5</v>
      </c>
      <c r="K3324" t="s">
        <v>2030</v>
      </c>
    </row>
    <row r="3325" spans="1:11" x14ac:dyDescent="0.3">
      <c r="A3325" t="s">
        <v>818</v>
      </c>
      <c r="B3325" s="33">
        <v>43290</v>
      </c>
      <c r="C3325" s="34" t="s">
        <v>4538</v>
      </c>
      <c r="D3325" s="34">
        <v>1</v>
      </c>
      <c r="E3325" s="35" t="s">
        <v>4495</v>
      </c>
      <c r="F3325" s="35" t="s">
        <v>300</v>
      </c>
      <c r="G3325" s="106" t="s">
        <v>3852</v>
      </c>
      <c r="H3325" s="33">
        <v>43252</v>
      </c>
      <c r="I3325" s="34" t="s">
        <v>4881</v>
      </c>
      <c r="J3325" s="36">
        <v>172.5</v>
      </c>
      <c r="K3325" t="s">
        <v>2030</v>
      </c>
    </row>
    <row r="3326" spans="1:11" x14ac:dyDescent="0.3">
      <c r="A3326" t="s">
        <v>818</v>
      </c>
      <c r="B3326" s="33">
        <v>43290</v>
      </c>
      <c r="C3326" s="34" t="s">
        <v>4538</v>
      </c>
      <c r="D3326" s="34">
        <v>1</v>
      </c>
      <c r="E3326" s="35" t="s">
        <v>4495</v>
      </c>
      <c r="F3326" s="35" t="s">
        <v>27</v>
      </c>
      <c r="G3326" s="106" t="s">
        <v>3852</v>
      </c>
      <c r="H3326" s="33">
        <v>43252</v>
      </c>
      <c r="I3326" s="34" t="s">
        <v>4882</v>
      </c>
      <c r="J3326" s="36">
        <v>172.5</v>
      </c>
      <c r="K3326" t="s">
        <v>2030</v>
      </c>
    </row>
    <row r="3327" spans="1:11" x14ac:dyDescent="0.3">
      <c r="A3327" t="s">
        <v>818</v>
      </c>
      <c r="B3327" s="33">
        <v>43290</v>
      </c>
      <c r="C3327" s="34" t="s">
        <v>4538</v>
      </c>
      <c r="D3327" s="34">
        <v>1</v>
      </c>
      <c r="E3327" s="35" t="s">
        <v>4495</v>
      </c>
      <c r="F3327" s="35" t="s">
        <v>144</v>
      </c>
      <c r="G3327" s="106" t="s">
        <v>3852</v>
      </c>
      <c r="H3327" s="33">
        <v>43252</v>
      </c>
      <c r="I3327" s="34" t="s">
        <v>4883</v>
      </c>
      <c r="J3327" s="36">
        <v>225</v>
      </c>
      <c r="K3327" t="s">
        <v>2030</v>
      </c>
    </row>
    <row r="3328" spans="1:11" x14ac:dyDescent="0.3">
      <c r="A3328" t="s">
        <v>818</v>
      </c>
      <c r="B3328" s="33">
        <v>43290</v>
      </c>
      <c r="C3328" s="34" t="s">
        <v>4538</v>
      </c>
      <c r="D3328" s="34">
        <v>1</v>
      </c>
      <c r="E3328" s="35" t="s">
        <v>4495</v>
      </c>
      <c r="F3328" s="35" t="s">
        <v>150</v>
      </c>
      <c r="G3328" s="106" t="s">
        <v>3852</v>
      </c>
      <c r="H3328" s="33">
        <v>43252</v>
      </c>
      <c r="I3328" s="34" t="s">
        <v>4884</v>
      </c>
      <c r="J3328" s="36">
        <v>172.5</v>
      </c>
      <c r="K3328" t="s">
        <v>2030</v>
      </c>
    </row>
    <row r="3329" spans="1:11" x14ac:dyDescent="0.3">
      <c r="A3329" t="s">
        <v>818</v>
      </c>
      <c r="B3329" s="33">
        <v>43290</v>
      </c>
      <c r="C3329" s="34" t="s">
        <v>4538</v>
      </c>
      <c r="D3329" s="34">
        <v>1</v>
      </c>
      <c r="E3329" s="35" t="s">
        <v>4495</v>
      </c>
      <c r="F3329" s="35" t="s">
        <v>28</v>
      </c>
      <c r="G3329" s="106" t="s">
        <v>3852</v>
      </c>
      <c r="H3329" s="33">
        <v>43252</v>
      </c>
      <c r="I3329" s="34" t="s">
        <v>4885</v>
      </c>
      <c r="J3329" s="36">
        <v>172.5</v>
      </c>
      <c r="K3329" t="s">
        <v>2030</v>
      </c>
    </row>
    <row r="3330" spans="1:11" x14ac:dyDescent="0.3">
      <c r="A3330" t="s">
        <v>818</v>
      </c>
      <c r="B3330" s="33">
        <v>43290</v>
      </c>
      <c r="C3330" s="34" t="s">
        <v>4538</v>
      </c>
      <c r="D3330" s="34">
        <v>1</v>
      </c>
      <c r="E3330" s="35" t="s">
        <v>4495</v>
      </c>
      <c r="F3330" s="35" t="s">
        <v>152</v>
      </c>
      <c r="G3330" s="106" t="s">
        <v>3852</v>
      </c>
      <c r="H3330" s="33">
        <v>43252</v>
      </c>
      <c r="I3330" s="34" t="s">
        <v>4886</v>
      </c>
      <c r="J3330" s="36">
        <v>172.5</v>
      </c>
      <c r="K3330" t="s">
        <v>2030</v>
      </c>
    </row>
    <row r="3331" spans="1:11" x14ac:dyDescent="0.3">
      <c r="A3331" t="s">
        <v>818</v>
      </c>
      <c r="B3331" s="33">
        <v>43290</v>
      </c>
      <c r="C3331" s="34" t="s">
        <v>4538</v>
      </c>
      <c r="D3331" s="34">
        <v>1</v>
      </c>
      <c r="E3331" s="35" t="s">
        <v>4495</v>
      </c>
      <c r="F3331" s="35" t="s">
        <v>149</v>
      </c>
      <c r="G3331" s="106" t="s">
        <v>3852</v>
      </c>
      <c r="H3331" s="33">
        <v>43252</v>
      </c>
      <c r="I3331" s="34" t="s">
        <v>4887</v>
      </c>
      <c r="J3331" s="36">
        <v>172.5</v>
      </c>
      <c r="K3331" t="s">
        <v>2030</v>
      </c>
    </row>
    <row r="3332" spans="1:11" x14ac:dyDescent="0.3">
      <c r="A3332" t="s">
        <v>818</v>
      </c>
      <c r="B3332" s="33">
        <v>43290</v>
      </c>
      <c r="C3332" s="34" t="s">
        <v>4538</v>
      </c>
      <c r="D3332" s="34">
        <v>1</v>
      </c>
      <c r="E3332" s="35" t="s">
        <v>4495</v>
      </c>
      <c r="F3332" s="35" t="s">
        <v>148</v>
      </c>
      <c r="G3332" s="106" t="s">
        <v>3852</v>
      </c>
      <c r="H3332" s="33">
        <v>43252</v>
      </c>
      <c r="I3332" s="34" t="s">
        <v>4888</v>
      </c>
      <c r="J3332" s="36">
        <v>172.5</v>
      </c>
      <c r="K3332" t="s">
        <v>2030</v>
      </c>
    </row>
    <row r="3333" spans="1:11" x14ac:dyDescent="0.3">
      <c r="A3333" t="s">
        <v>818</v>
      </c>
      <c r="B3333" s="33">
        <v>43290</v>
      </c>
      <c r="C3333" s="34" t="s">
        <v>4538</v>
      </c>
      <c r="D3333" s="34">
        <v>1</v>
      </c>
      <c r="E3333" s="35" t="s">
        <v>4495</v>
      </c>
      <c r="F3333" s="35" t="s">
        <v>296</v>
      </c>
      <c r="G3333" s="106" t="s">
        <v>3852</v>
      </c>
      <c r="H3333" s="33">
        <v>43252</v>
      </c>
      <c r="I3333" s="34" t="s">
        <v>4889</v>
      </c>
      <c r="J3333" s="36">
        <v>172.5</v>
      </c>
      <c r="K3333" t="s">
        <v>2030</v>
      </c>
    </row>
    <row r="3334" spans="1:11" x14ac:dyDescent="0.3">
      <c r="A3334" t="s">
        <v>818</v>
      </c>
      <c r="B3334" s="33">
        <v>43290</v>
      </c>
      <c r="C3334" s="34" t="s">
        <v>4538</v>
      </c>
      <c r="D3334" s="34">
        <v>1</v>
      </c>
      <c r="E3334" s="35" t="s">
        <v>4495</v>
      </c>
      <c r="F3334" s="35" t="s">
        <v>37</v>
      </c>
      <c r="G3334" s="106" t="s">
        <v>3852</v>
      </c>
      <c r="H3334" s="33">
        <v>43252</v>
      </c>
      <c r="I3334" s="34" t="s">
        <v>4890</v>
      </c>
      <c r="J3334" s="36">
        <v>172.5</v>
      </c>
      <c r="K3334" t="s">
        <v>2030</v>
      </c>
    </row>
    <row r="3335" spans="1:11" x14ac:dyDescent="0.3">
      <c r="A3335" t="s">
        <v>818</v>
      </c>
      <c r="B3335" s="33">
        <v>43290</v>
      </c>
      <c r="C3335" s="34" t="s">
        <v>4538</v>
      </c>
      <c r="D3335" s="34">
        <v>1</v>
      </c>
      <c r="E3335" s="35" t="s">
        <v>4495</v>
      </c>
      <c r="F3335" s="35" t="s">
        <v>143</v>
      </c>
      <c r="G3335" s="106" t="s">
        <v>3852</v>
      </c>
      <c r="H3335" s="33">
        <v>43252</v>
      </c>
      <c r="I3335" s="34" t="s">
        <v>4891</v>
      </c>
      <c r="J3335" s="36">
        <v>225</v>
      </c>
      <c r="K3335" t="s">
        <v>2030</v>
      </c>
    </row>
    <row r="3336" spans="1:11" x14ac:dyDescent="0.3">
      <c r="A3336" t="s">
        <v>818</v>
      </c>
      <c r="B3336" s="33">
        <v>43290</v>
      </c>
      <c r="C3336" s="34" t="s">
        <v>4538</v>
      </c>
      <c r="D3336" s="34">
        <v>1</v>
      </c>
      <c r="E3336" s="35" t="s">
        <v>4495</v>
      </c>
      <c r="F3336" s="35" t="s">
        <v>146</v>
      </c>
      <c r="G3336" s="106" t="s">
        <v>3852</v>
      </c>
      <c r="H3336" s="33">
        <v>43252</v>
      </c>
      <c r="I3336" s="34" t="s">
        <v>4892</v>
      </c>
      <c r="J3336" s="36">
        <v>172.5</v>
      </c>
      <c r="K3336" t="s">
        <v>2030</v>
      </c>
    </row>
    <row r="3337" spans="1:11" x14ac:dyDescent="0.3">
      <c r="A3337" t="s">
        <v>818</v>
      </c>
      <c r="B3337" s="33">
        <v>43290</v>
      </c>
      <c r="C3337" s="34" t="s">
        <v>4538</v>
      </c>
      <c r="D3337" s="34">
        <v>1</v>
      </c>
      <c r="E3337" s="35" t="s">
        <v>4495</v>
      </c>
      <c r="F3337" s="35" t="s">
        <v>151</v>
      </c>
      <c r="G3337" s="106" t="s">
        <v>3852</v>
      </c>
      <c r="H3337" s="33">
        <v>43252</v>
      </c>
      <c r="I3337" s="34" t="s">
        <v>4893</v>
      </c>
      <c r="J3337" s="36">
        <v>172.5</v>
      </c>
      <c r="K3337" t="s">
        <v>2030</v>
      </c>
    </row>
    <row r="3338" spans="1:11" x14ac:dyDescent="0.3">
      <c r="A3338" t="s">
        <v>818</v>
      </c>
      <c r="B3338" s="33">
        <v>43290</v>
      </c>
      <c r="C3338" s="34" t="s">
        <v>4538</v>
      </c>
      <c r="D3338" s="34">
        <v>1</v>
      </c>
      <c r="E3338" s="35" t="s">
        <v>4495</v>
      </c>
      <c r="F3338" s="35" t="s">
        <v>25</v>
      </c>
      <c r="G3338" s="106" t="s">
        <v>3852</v>
      </c>
      <c r="H3338" s="33">
        <v>43252</v>
      </c>
      <c r="I3338" s="34" t="s">
        <v>4894</v>
      </c>
      <c r="J3338" s="36">
        <v>225</v>
      </c>
      <c r="K3338" t="s">
        <v>2030</v>
      </c>
    </row>
    <row r="3339" spans="1:11" x14ac:dyDescent="0.3">
      <c r="A3339" t="s">
        <v>818</v>
      </c>
      <c r="B3339" s="33">
        <v>43290</v>
      </c>
      <c r="C3339" s="34" t="s">
        <v>4538</v>
      </c>
      <c r="D3339" s="34">
        <v>1</v>
      </c>
      <c r="E3339" s="35" t="s">
        <v>4495</v>
      </c>
      <c r="F3339" s="35" t="s">
        <v>145</v>
      </c>
      <c r="G3339" s="106" t="s">
        <v>3852</v>
      </c>
      <c r="H3339" s="33">
        <v>43252</v>
      </c>
      <c r="I3339" s="34" t="s">
        <v>4895</v>
      </c>
      <c r="J3339" s="36">
        <v>172.5</v>
      </c>
      <c r="K3339" t="s">
        <v>2030</v>
      </c>
    </row>
    <row r="3340" spans="1:11" x14ac:dyDescent="0.3">
      <c r="A3340" t="s">
        <v>818</v>
      </c>
      <c r="B3340" s="33">
        <v>43290</v>
      </c>
      <c r="C3340" s="34" t="s">
        <v>4538</v>
      </c>
      <c r="D3340" s="34">
        <v>1</v>
      </c>
      <c r="E3340" s="35" t="s">
        <v>4495</v>
      </c>
      <c r="F3340" s="35" t="s">
        <v>147</v>
      </c>
      <c r="G3340" s="106" t="s">
        <v>3852</v>
      </c>
      <c r="H3340" s="33">
        <v>43252</v>
      </c>
      <c r="I3340" s="34" t="s">
        <v>4896</v>
      </c>
      <c r="J3340" s="36">
        <v>172.5</v>
      </c>
      <c r="K3340" t="s">
        <v>2030</v>
      </c>
    </row>
    <row r="3341" spans="1:11" x14ac:dyDescent="0.3">
      <c r="A3341" t="s">
        <v>818</v>
      </c>
      <c r="B3341" s="33">
        <v>43290</v>
      </c>
      <c r="C3341" s="34" t="s">
        <v>4538</v>
      </c>
      <c r="D3341" s="34">
        <v>1</v>
      </c>
      <c r="E3341" s="35" t="s">
        <v>4495</v>
      </c>
      <c r="F3341" s="35" t="s">
        <v>26</v>
      </c>
      <c r="G3341" s="106" t="s">
        <v>3852</v>
      </c>
      <c r="H3341" s="33">
        <v>43252</v>
      </c>
      <c r="I3341" s="34" t="s">
        <v>4897</v>
      </c>
      <c r="J3341" s="36">
        <v>225</v>
      </c>
      <c r="K3341" t="s">
        <v>2030</v>
      </c>
    </row>
    <row r="3342" spans="1:11" x14ac:dyDescent="0.3">
      <c r="A3342" t="s">
        <v>818</v>
      </c>
      <c r="B3342" s="33">
        <v>43290</v>
      </c>
      <c r="C3342" s="34" t="s">
        <v>4538</v>
      </c>
      <c r="D3342" s="34">
        <v>1</v>
      </c>
      <c r="E3342" s="35" t="s">
        <v>4495</v>
      </c>
      <c r="F3342" s="35" t="s">
        <v>138</v>
      </c>
      <c r="G3342" s="106" t="s">
        <v>3852</v>
      </c>
      <c r="H3342" s="33">
        <v>43252</v>
      </c>
      <c r="I3342" s="34" t="s">
        <v>4898</v>
      </c>
      <c r="J3342" s="36">
        <v>225</v>
      </c>
      <c r="K3342" t="s">
        <v>2030</v>
      </c>
    </row>
    <row r="3343" spans="1:11" x14ac:dyDescent="0.3">
      <c r="A3343" t="s">
        <v>818</v>
      </c>
      <c r="B3343" s="33">
        <v>43290</v>
      </c>
      <c r="C3343" s="34" t="s">
        <v>4538</v>
      </c>
      <c r="D3343" s="34">
        <v>1</v>
      </c>
      <c r="E3343" s="35" t="s">
        <v>4495</v>
      </c>
      <c r="F3343" s="35" t="s">
        <v>140</v>
      </c>
      <c r="G3343" s="106" t="s">
        <v>3852</v>
      </c>
      <c r="H3343" s="33">
        <v>43252</v>
      </c>
      <c r="I3343" s="34" t="s">
        <v>4899</v>
      </c>
      <c r="J3343" s="36">
        <v>225</v>
      </c>
      <c r="K3343" t="s">
        <v>2030</v>
      </c>
    </row>
    <row r="3344" spans="1:11" x14ac:dyDescent="0.3">
      <c r="A3344" t="s">
        <v>818</v>
      </c>
      <c r="B3344" s="33">
        <v>43290</v>
      </c>
      <c r="C3344" s="34" t="s">
        <v>4538</v>
      </c>
      <c r="D3344" s="34">
        <v>1</v>
      </c>
      <c r="E3344" s="35" t="s">
        <v>4495</v>
      </c>
      <c r="F3344" s="35" t="s">
        <v>139</v>
      </c>
      <c r="G3344" s="106" t="s">
        <v>3852</v>
      </c>
      <c r="H3344" s="33">
        <v>43252</v>
      </c>
      <c r="I3344" s="34" t="s">
        <v>4900</v>
      </c>
      <c r="J3344" s="36">
        <v>225</v>
      </c>
      <c r="K3344" t="s">
        <v>2030</v>
      </c>
    </row>
    <row r="3345" spans="1:11" x14ac:dyDescent="0.3">
      <c r="A3345" t="s">
        <v>818</v>
      </c>
      <c r="B3345" s="33">
        <v>43290</v>
      </c>
      <c r="C3345" s="34" t="s">
        <v>4538</v>
      </c>
      <c r="D3345" s="34">
        <v>1</v>
      </c>
      <c r="E3345" s="35" t="s">
        <v>4495</v>
      </c>
      <c r="F3345" s="35" t="s">
        <v>10</v>
      </c>
      <c r="G3345" s="106" t="s">
        <v>3852</v>
      </c>
      <c r="H3345" s="33">
        <v>43252</v>
      </c>
      <c r="I3345" s="34" t="s">
        <v>4901</v>
      </c>
      <c r="J3345" s="36">
        <v>225</v>
      </c>
      <c r="K3345" t="s">
        <v>2030</v>
      </c>
    </row>
    <row r="3346" spans="1:11" x14ac:dyDescent="0.3">
      <c r="A3346" t="s">
        <v>818</v>
      </c>
      <c r="B3346" s="33">
        <v>43290</v>
      </c>
      <c r="C3346" s="34" t="s">
        <v>4538</v>
      </c>
      <c r="D3346" s="34">
        <v>1</v>
      </c>
      <c r="E3346" s="35" t="s">
        <v>4495</v>
      </c>
      <c r="F3346" s="35" t="s">
        <v>136</v>
      </c>
      <c r="G3346" s="106" t="s">
        <v>3852</v>
      </c>
      <c r="H3346" s="33">
        <v>43252</v>
      </c>
      <c r="I3346" s="34" t="s">
        <v>4902</v>
      </c>
      <c r="J3346" s="36">
        <v>172.5</v>
      </c>
      <c r="K3346" t="s">
        <v>2030</v>
      </c>
    </row>
    <row r="3347" spans="1:11" x14ac:dyDescent="0.3">
      <c r="A3347" t="s">
        <v>818</v>
      </c>
      <c r="B3347" s="33">
        <v>43290</v>
      </c>
      <c r="C3347" s="34" t="s">
        <v>4538</v>
      </c>
      <c r="D3347" s="34">
        <v>1</v>
      </c>
      <c r="E3347" s="35" t="s">
        <v>4495</v>
      </c>
      <c r="F3347" s="35" t="s">
        <v>134</v>
      </c>
      <c r="G3347" s="106" t="s">
        <v>3852</v>
      </c>
      <c r="H3347" s="33">
        <v>43252</v>
      </c>
      <c r="I3347" s="34" t="s">
        <v>4903</v>
      </c>
      <c r="J3347" s="36">
        <v>172.5</v>
      </c>
      <c r="K3347" t="s">
        <v>2030</v>
      </c>
    </row>
    <row r="3348" spans="1:11" x14ac:dyDescent="0.3">
      <c r="A3348" t="s">
        <v>818</v>
      </c>
      <c r="B3348" s="33">
        <v>43290</v>
      </c>
      <c r="C3348" s="34" t="s">
        <v>4538</v>
      </c>
      <c r="D3348" s="34">
        <v>1</v>
      </c>
      <c r="E3348" s="35" t="s">
        <v>4495</v>
      </c>
      <c r="F3348" s="35" t="s">
        <v>137</v>
      </c>
      <c r="G3348" s="106" t="s">
        <v>3852</v>
      </c>
      <c r="H3348" s="33">
        <v>43252</v>
      </c>
      <c r="I3348" s="34" t="s">
        <v>4904</v>
      </c>
      <c r="J3348" s="36">
        <v>225</v>
      </c>
      <c r="K3348" t="s">
        <v>2030</v>
      </c>
    </row>
    <row r="3349" spans="1:11" x14ac:dyDescent="0.3">
      <c r="A3349" t="s">
        <v>818</v>
      </c>
      <c r="B3349" s="33">
        <v>43290</v>
      </c>
      <c r="C3349" s="34" t="s">
        <v>4538</v>
      </c>
      <c r="D3349" s="34">
        <v>1</v>
      </c>
      <c r="E3349" s="35" t="s">
        <v>4495</v>
      </c>
      <c r="F3349" s="35" t="s">
        <v>30</v>
      </c>
      <c r="G3349" s="106" t="s">
        <v>3852</v>
      </c>
      <c r="H3349" s="33">
        <v>43252</v>
      </c>
      <c r="I3349" s="34" t="s">
        <v>4905</v>
      </c>
      <c r="J3349" s="36">
        <v>225</v>
      </c>
      <c r="K3349" t="s">
        <v>2030</v>
      </c>
    </row>
    <row r="3350" spans="1:11" x14ac:dyDescent="0.3">
      <c r="A3350" t="s">
        <v>818</v>
      </c>
      <c r="B3350" s="33">
        <v>43290</v>
      </c>
      <c r="C3350" s="34" t="s">
        <v>4538</v>
      </c>
      <c r="D3350" s="34">
        <v>1</v>
      </c>
      <c r="E3350" s="35" t="s">
        <v>4495</v>
      </c>
      <c r="F3350" s="35" t="s">
        <v>66</v>
      </c>
      <c r="G3350" s="106" t="s">
        <v>3852</v>
      </c>
      <c r="H3350" s="33">
        <v>43252</v>
      </c>
      <c r="I3350" s="34" t="s">
        <v>4906</v>
      </c>
      <c r="J3350" s="36">
        <v>225</v>
      </c>
      <c r="K3350" t="s">
        <v>2030</v>
      </c>
    </row>
    <row r="3351" spans="1:11" x14ac:dyDescent="0.3">
      <c r="A3351" t="s">
        <v>818</v>
      </c>
      <c r="B3351" s="33">
        <v>43290</v>
      </c>
      <c r="C3351" s="34" t="s">
        <v>4538</v>
      </c>
      <c r="D3351" s="34">
        <v>1</v>
      </c>
      <c r="E3351" s="35" t="s">
        <v>4495</v>
      </c>
      <c r="F3351" s="35" t="s">
        <v>68</v>
      </c>
      <c r="G3351" s="106" t="s">
        <v>3852</v>
      </c>
      <c r="H3351" s="33">
        <v>43252</v>
      </c>
      <c r="I3351" s="34" t="s">
        <v>4907</v>
      </c>
      <c r="J3351" s="36">
        <v>225</v>
      </c>
      <c r="K3351" t="s">
        <v>2030</v>
      </c>
    </row>
    <row r="3352" spans="1:11" x14ac:dyDescent="0.3">
      <c r="A3352" t="s">
        <v>818</v>
      </c>
      <c r="B3352" s="33">
        <v>43290</v>
      </c>
      <c r="C3352" s="34" t="s">
        <v>4538</v>
      </c>
      <c r="D3352" s="34">
        <v>1</v>
      </c>
      <c r="E3352" s="35" t="s">
        <v>4495</v>
      </c>
      <c r="F3352" s="35" t="s">
        <v>65</v>
      </c>
      <c r="G3352" s="106" t="s">
        <v>3852</v>
      </c>
      <c r="H3352" s="33">
        <v>43252</v>
      </c>
      <c r="I3352" s="34" t="s">
        <v>4908</v>
      </c>
      <c r="J3352" s="36">
        <v>225</v>
      </c>
      <c r="K3352" t="s">
        <v>2030</v>
      </c>
    </row>
    <row r="3353" spans="1:11" x14ac:dyDescent="0.3">
      <c r="A3353" t="s">
        <v>818</v>
      </c>
      <c r="B3353" s="33">
        <v>43290</v>
      </c>
      <c r="C3353" s="34" t="s">
        <v>4538</v>
      </c>
      <c r="D3353" s="34">
        <v>1</v>
      </c>
      <c r="E3353" s="35" t="s">
        <v>4495</v>
      </c>
      <c r="F3353" s="35" t="s">
        <v>61</v>
      </c>
      <c r="G3353" s="106" t="s">
        <v>3852</v>
      </c>
      <c r="H3353" s="33">
        <v>43252</v>
      </c>
      <c r="I3353" s="34" t="s">
        <v>4909</v>
      </c>
      <c r="J3353" s="36">
        <v>225</v>
      </c>
      <c r="K3353" t="s">
        <v>2030</v>
      </c>
    </row>
    <row r="3354" spans="1:11" x14ac:dyDescent="0.3">
      <c r="A3354" t="s">
        <v>818</v>
      </c>
      <c r="B3354" s="33">
        <v>43290</v>
      </c>
      <c r="C3354" s="34" t="s">
        <v>4538</v>
      </c>
      <c r="D3354" s="34">
        <v>1</v>
      </c>
      <c r="E3354" s="35" t="s">
        <v>4495</v>
      </c>
      <c r="F3354" s="35" t="s">
        <v>62</v>
      </c>
      <c r="G3354" s="106" t="s">
        <v>3852</v>
      </c>
      <c r="H3354" s="33">
        <v>43252</v>
      </c>
      <c r="I3354" s="34" t="s">
        <v>4910</v>
      </c>
      <c r="J3354" s="36">
        <v>225</v>
      </c>
      <c r="K3354" t="s">
        <v>2030</v>
      </c>
    </row>
    <row r="3355" spans="1:11" x14ac:dyDescent="0.3">
      <c r="A3355" t="s">
        <v>818</v>
      </c>
      <c r="B3355" s="33">
        <v>43290</v>
      </c>
      <c r="C3355" s="34" t="s">
        <v>4538</v>
      </c>
      <c r="D3355" s="34">
        <v>1</v>
      </c>
      <c r="E3355" s="35" t="s">
        <v>4495</v>
      </c>
      <c r="F3355" s="35" t="s">
        <v>60</v>
      </c>
      <c r="G3355" s="106" t="s">
        <v>3852</v>
      </c>
      <c r="H3355" s="33">
        <v>43252</v>
      </c>
      <c r="I3355" s="34" t="s">
        <v>4911</v>
      </c>
      <c r="J3355" s="36">
        <v>225</v>
      </c>
      <c r="K3355" t="s">
        <v>2030</v>
      </c>
    </row>
    <row r="3356" spans="1:11" x14ac:dyDescent="0.3">
      <c r="A3356" t="s">
        <v>818</v>
      </c>
      <c r="B3356" s="33">
        <v>43290</v>
      </c>
      <c r="C3356" s="34" t="s">
        <v>4538</v>
      </c>
      <c r="D3356" s="34">
        <v>1</v>
      </c>
      <c r="E3356" s="35" t="s">
        <v>4495</v>
      </c>
      <c r="F3356" s="35" t="s">
        <v>59</v>
      </c>
      <c r="G3356" s="106" t="s">
        <v>3852</v>
      </c>
      <c r="H3356" s="33">
        <v>43252</v>
      </c>
      <c r="I3356" s="34" t="s">
        <v>4912</v>
      </c>
      <c r="J3356" s="36">
        <v>225</v>
      </c>
      <c r="K3356" t="s">
        <v>2030</v>
      </c>
    </row>
    <row r="3357" spans="1:11" x14ac:dyDescent="0.3">
      <c r="A3357" t="s">
        <v>818</v>
      </c>
      <c r="B3357" s="33">
        <v>43290</v>
      </c>
      <c r="C3357" s="34" t="s">
        <v>4538</v>
      </c>
      <c r="D3357" s="34">
        <v>1</v>
      </c>
      <c r="E3357" s="35" t="s">
        <v>4495</v>
      </c>
      <c r="F3357" s="35" t="s">
        <v>57</v>
      </c>
      <c r="G3357" s="106" t="s">
        <v>3852</v>
      </c>
      <c r="H3357" s="33">
        <v>43252</v>
      </c>
      <c r="I3357" s="34" t="s">
        <v>4913</v>
      </c>
      <c r="J3357" s="36">
        <v>225</v>
      </c>
      <c r="K3357" t="s">
        <v>2030</v>
      </c>
    </row>
    <row r="3358" spans="1:11" x14ac:dyDescent="0.3">
      <c r="A3358" t="s">
        <v>818</v>
      </c>
      <c r="B3358" s="33">
        <v>43290</v>
      </c>
      <c r="C3358" s="34" t="s">
        <v>4538</v>
      </c>
      <c r="D3358" s="34">
        <v>1</v>
      </c>
      <c r="E3358" s="35" t="s">
        <v>4495</v>
      </c>
      <c r="F3358" s="35" t="s">
        <v>58</v>
      </c>
      <c r="G3358" s="106" t="s">
        <v>3852</v>
      </c>
      <c r="H3358" s="33">
        <v>43252</v>
      </c>
      <c r="I3358" s="34" t="s">
        <v>4914</v>
      </c>
      <c r="J3358" s="36">
        <v>225</v>
      </c>
      <c r="K3358" t="s">
        <v>2030</v>
      </c>
    </row>
    <row r="3359" spans="1:11" x14ac:dyDescent="0.3">
      <c r="A3359" t="s">
        <v>818</v>
      </c>
      <c r="B3359" s="33">
        <v>43290</v>
      </c>
      <c r="C3359" s="34" t="s">
        <v>4538</v>
      </c>
      <c r="D3359" s="34">
        <v>1</v>
      </c>
      <c r="E3359" s="35" t="s">
        <v>4495</v>
      </c>
      <c r="F3359" s="35" t="s">
        <v>52</v>
      </c>
      <c r="G3359" s="106" t="s">
        <v>3852</v>
      </c>
      <c r="H3359" s="33">
        <v>43252</v>
      </c>
      <c r="I3359" s="34" t="s">
        <v>4915</v>
      </c>
      <c r="J3359" s="36">
        <v>225</v>
      </c>
      <c r="K3359" t="s">
        <v>2030</v>
      </c>
    </row>
    <row r="3360" spans="1:11" x14ac:dyDescent="0.3">
      <c r="A3360" t="s">
        <v>818</v>
      </c>
      <c r="B3360" s="33">
        <v>43290</v>
      </c>
      <c r="C3360" s="34" t="s">
        <v>4538</v>
      </c>
      <c r="D3360" s="34">
        <v>1</v>
      </c>
      <c r="E3360" s="35" t="s">
        <v>4495</v>
      </c>
      <c r="F3360" s="35" t="s">
        <v>56</v>
      </c>
      <c r="G3360" s="106" t="s">
        <v>3852</v>
      </c>
      <c r="H3360" s="33">
        <v>43252</v>
      </c>
      <c r="I3360" s="34" t="s">
        <v>4916</v>
      </c>
      <c r="J3360" s="36">
        <v>225</v>
      </c>
      <c r="K3360" t="s">
        <v>2030</v>
      </c>
    </row>
    <row r="3361" spans="1:11" x14ac:dyDescent="0.3">
      <c r="A3361" t="s">
        <v>818</v>
      </c>
      <c r="B3361" s="33">
        <v>43290</v>
      </c>
      <c r="C3361" s="34" t="s">
        <v>4538</v>
      </c>
      <c r="D3361" s="34">
        <v>1</v>
      </c>
      <c r="E3361" s="35" t="s">
        <v>4495</v>
      </c>
      <c r="F3361" s="35" t="s">
        <v>53</v>
      </c>
      <c r="G3361" s="106" t="s">
        <v>3852</v>
      </c>
      <c r="H3361" s="33">
        <v>43252</v>
      </c>
      <c r="I3361" s="34" t="s">
        <v>4917</v>
      </c>
      <c r="J3361" s="36">
        <v>225</v>
      </c>
      <c r="K3361" t="s">
        <v>2030</v>
      </c>
    </row>
    <row r="3362" spans="1:11" x14ac:dyDescent="0.3">
      <c r="A3362" t="s">
        <v>818</v>
      </c>
      <c r="B3362" s="33">
        <v>43290</v>
      </c>
      <c r="C3362" s="34" t="s">
        <v>4538</v>
      </c>
      <c r="D3362" s="34">
        <v>1</v>
      </c>
      <c r="E3362" s="35" t="s">
        <v>4495</v>
      </c>
      <c r="F3362" s="35" t="s">
        <v>54</v>
      </c>
      <c r="G3362" s="106" t="s">
        <v>3852</v>
      </c>
      <c r="H3362" s="33">
        <v>43252</v>
      </c>
      <c r="I3362" s="34" t="s">
        <v>4918</v>
      </c>
      <c r="J3362" s="36">
        <v>225</v>
      </c>
      <c r="K3362" t="s">
        <v>2030</v>
      </c>
    </row>
    <row r="3363" spans="1:11" x14ac:dyDescent="0.3">
      <c r="A3363" t="s">
        <v>818</v>
      </c>
      <c r="B3363" s="33">
        <v>43290</v>
      </c>
      <c r="C3363" s="34" t="s">
        <v>4538</v>
      </c>
      <c r="D3363" s="34">
        <v>1</v>
      </c>
      <c r="E3363" s="35" t="s">
        <v>4495</v>
      </c>
      <c r="F3363" s="35" t="s">
        <v>51</v>
      </c>
      <c r="G3363" s="106" t="s">
        <v>3852</v>
      </c>
      <c r="H3363" s="33">
        <v>43252</v>
      </c>
      <c r="I3363" s="34" t="s">
        <v>4919</v>
      </c>
      <c r="J3363" s="36">
        <v>225</v>
      </c>
      <c r="K3363" t="s">
        <v>2030</v>
      </c>
    </row>
    <row r="3364" spans="1:11" x14ac:dyDescent="0.3">
      <c r="A3364" t="s">
        <v>818</v>
      </c>
      <c r="B3364" s="33">
        <v>43290</v>
      </c>
      <c r="C3364" s="34" t="s">
        <v>4538</v>
      </c>
      <c r="D3364" s="34">
        <v>1</v>
      </c>
      <c r="E3364" s="35" t="s">
        <v>4495</v>
      </c>
      <c r="F3364" s="35" t="s">
        <v>44</v>
      </c>
      <c r="G3364" s="106" t="s">
        <v>3852</v>
      </c>
      <c r="H3364" s="33">
        <v>43252</v>
      </c>
      <c r="I3364" s="34" t="s">
        <v>4920</v>
      </c>
      <c r="J3364" s="36">
        <v>225</v>
      </c>
      <c r="K3364" t="s">
        <v>2030</v>
      </c>
    </row>
    <row r="3365" spans="1:11" x14ac:dyDescent="0.3">
      <c r="A3365" t="s">
        <v>818</v>
      </c>
      <c r="B3365" s="33">
        <v>43290</v>
      </c>
      <c r="C3365" s="34" t="s">
        <v>4538</v>
      </c>
      <c r="D3365" s="34">
        <v>1</v>
      </c>
      <c r="E3365" s="35" t="s">
        <v>4495</v>
      </c>
      <c r="F3365" s="35" t="s">
        <v>50</v>
      </c>
      <c r="G3365" s="106" t="s">
        <v>3852</v>
      </c>
      <c r="H3365" s="33">
        <v>43252</v>
      </c>
      <c r="I3365" s="34" t="s">
        <v>4921</v>
      </c>
      <c r="J3365" s="36">
        <v>225</v>
      </c>
      <c r="K3365" t="s">
        <v>2030</v>
      </c>
    </row>
    <row r="3366" spans="1:11" x14ac:dyDescent="0.3">
      <c r="A3366" t="s">
        <v>818</v>
      </c>
      <c r="B3366" s="33">
        <v>43290</v>
      </c>
      <c r="C3366" s="34" t="s">
        <v>4538</v>
      </c>
      <c r="D3366" s="34">
        <v>1</v>
      </c>
      <c r="E3366" s="35" t="s">
        <v>4495</v>
      </c>
      <c r="F3366" s="35" t="s">
        <v>47</v>
      </c>
      <c r="G3366" s="106" t="s">
        <v>3852</v>
      </c>
      <c r="H3366" s="33">
        <v>43252</v>
      </c>
      <c r="I3366" s="34" t="s">
        <v>4922</v>
      </c>
      <c r="J3366" s="36">
        <v>225</v>
      </c>
      <c r="K3366" t="s">
        <v>2030</v>
      </c>
    </row>
    <row r="3367" spans="1:11" x14ac:dyDescent="0.3">
      <c r="A3367" t="s">
        <v>818</v>
      </c>
      <c r="B3367" s="33">
        <v>43290</v>
      </c>
      <c r="C3367" s="34" t="s">
        <v>4538</v>
      </c>
      <c r="D3367" s="34">
        <v>1</v>
      </c>
      <c r="E3367" s="35" t="s">
        <v>4495</v>
      </c>
      <c r="F3367" s="35" t="s">
        <v>49</v>
      </c>
      <c r="G3367" s="106" t="s">
        <v>3852</v>
      </c>
      <c r="H3367" s="33">
        <v>43252</v>
      </c>
      <c r="I3367" s="34" t="s">
        <v>4923</v>
      </c>
      <c r="J3367" s="36">
        <v>225</v>
      </c>
      <c r="K3367" t="s">
        <v>2030</v>
      </c>
    </row>
    <row r="3368" spans="1:11" x14ac:dyDescent="0.3">
      <c r="A3368" t="s">
        <v>818</v>
      </c>
      <c r="B3368" s="33">
        <v>43290</v>
      </c>
      <c r="C3368" s="34" t="s">
        <v>4538</v>
      </c>
      <c r="D3368" s="34">
        <v>1</v>
      </c>
      <c r="E3368" s="35" t="s">
        <v>4495</v>
      </c>
      <c r="F3368" s="35" t="s">
        <v>48</v>
      </c>
      <c r="G3368" s="106" t="s">
        <v>3852</v>
      </c>
      <c r="H3368" s="33">
        <v>43252</v>
      </c>
      <c r="I3368" s="34" t="s">
        <v>4924</v>
      </c>
      <c r="J3368" s="36">
        <v>225</v>
      </c>
      <c r="K3368" t="s">
        <v>2030</v>
      </c>
    </row>
    <row r="3369" spans="1:11" x14ac:dyDescent="0.3">
      <c r="A3369" t="s">
        <v>818</v>
      </c>
      <c r="B3369" s="33">
        <v>43290</v>
      </c>
      <c r="C3369" s="34" t="s">
        <v>4538</v>
      </c>
      <c r="D3369" s="34">
        <v>1</v>
      </c>
      <c r="E3369" s="35" t="s">
        <v>4495</v>
      </c>
      <c r="F3369" s="35" t="s">
        <v>55</v>
      </c>
      <c r="G3369" s="106" t="s">
        <v>3852</v>
      </c>
      <c r="H3369" s="33">
        <v>43252</v>
      </c>
      <c r="I3369" s="34" t="s">
        <v>4925</v>
      </c>
      <c r="J3369" s="36">
        <v>225</v>
      </c>
      <c r="K3369" t="s">
        <v>2030</v>
      </c>
    </row>
    <row r="3370" spans="1:11" x14ac:dyDescent="0.3">
      <c r="A3370" t="s">
        <v>818</v>
      </c>
      <c r="B3370" s="33">
        <v>43290</v>
      </c>
      <c r="C3370" s="34" t="s">
        <v>4538</v>
      </c>
      <c r="D3370" s="34">
        <v>1</v>
      </c>
      <c r="E3370" s="35" t="s">
        <v>4495</v>
      </c>
      <c r="F3370" s="35" t="s">
        <v>46</v>
      </c>
      <c r="G3370" s="106" t="s">
        <v>3852</v>
      </c>
      <c r="H3370" s="33">
        <v>43252</v>
      </c>
      <c r="I3370" s="34" t="s">
        <v>4926</v>
      </c>
      <c r="J3370" s="36">
        <v>225</v>
      </c>
      <c r="K3370" t="s">
        <v>2030</v>
      </c>
    </row>
    <row r="3371" spans="1:11" x14ac:dyDescent="0.3">
      <c r="A3371" t="s">
        <v>818</v>
      </c>
      <c r="B3371" s="33">
        <v>43290</v>
      </c>
      <c r="C3371" s="34" t="s">
        <v>4538</v>
      </c>
      <c r="D3371" s="34">
        <v>1</v>
      </c>
      <c r="E3371" s="35" t="s">
        <v>4495</v>
      </c>
      <c r="F3371" s="35" t="s">
        <v>45</v>
      </c>
      <c r="G3371" s="106" t="s">
        <v>3852</v>
      </c>
      <c r="H3371" s="33">
        <v>43252</v>
      </c>
      <c r="I3371" s="34" t="s">
        <v>4927</v>
      </c>
      <c r="J3371" s="36">
        <v>225</v>
      </c>
      <c r="K3371" t="s">
        <v>2030</v>
      </c>
    </row>
    <row r="3372" spans="1:11" x14ac:dyDescent="0.3">
      <c r="A3372" t="s">
        <v>818</v>
      </c>
      <c r="B3372" s="33">
        <v>43290</v>
      </c>
      <c r="C3372" s="34" t="s">
        <v>4538</v>
      </c>
      <c r="D3372" s="34">
        <v>1</v>
      </c>
      <c r="E3372" s="35" t="s">
        <v>4495</v>
      </c>
      <c r="F3372" s="35" t="s">
        <v>295</v>
      </c>
      <c r="G3372" s="106" t="s">
        <v>3852</v>
      </c>
      <c r="H3372" s="33">
        <v>43252</v>
      </c>
      <c r="I3372" s="34" t="s">
        <v>4928</v>
      </c>
      <c r="J3372" s="36">
        <v>225</v>
      </c>
      <c r="K3372" t="s">
        <v>2030</v>
      </c>
    </row>
    <row r="3373" spans="1:11" x14ac:dyDescent="0.3">
      <c r="A3373" t="s">
        <v>818</v>
      </c>
      <c r="B3373" s="33">
        <v>43290</v>
      </c>
      <c r="C3373" s="34" t="s">
        <v>4538</v>
      </c>
      <c r="D3373" s="34">
        <v>1</v>
      </c>
      <c r="E3373" s="35" t="s">
        <v>4495</v>
      </c>
      <c r="F3373" s="35" t="s">
        <v>6</v>
      </c>
      <c r="G3373" s="106" t="s">
        <v>3852</v>
      </c>
      <c r="H3373" s="33">
        <v>43252</v>
      </c>
      <c r="I3373" s="34" t="s">
        <v>4929</v>
      </c>
      <c r="J3373" s="36">
        <v>172.5</v>
      </c>
      <c r="K3373" t="s">
        <v>2030</v>
      </c>
    </row>
    <row r="3374" spans="1:11" x14ac:dyDescent="0.3">
      <c r="A3374" t="s">
        <v>818</v>
      </c>
      <c r="B3374" s="33">
        <v>43290</v>
      </c>
      <c r="C3374" s="34" t="s">
        <v>4538</v>
      </c>
      <c r="D3374" s="34">
        <v>1</v>
      </c>
      <c r="E3374" s="35" t="s">
        <v>4495</v>
      </c>
      <c r="F3374" s="35" t="s">
        <v>41</v>
      </c>
      <c r="G3374" s="106" t="s">
        <v>3852</v>
      </c>
      <c r="H3374" s="33">
        <v>43252</v>
      </c>
      <c r="I3374" s="34" t="s">
        <v>4930</v>
      </c>
      <c r="J3374" s="36">
        <v>172.5</v>
      </c>
      <c r="K3374" t="s">
        <v>2030</v>
      </c>
    </row>
    <row r="3375" spans="1:11" x14ac:dyDescent="0.3">
      <c r="A3375" t="s">
        <v>818</v>
      </c>
      <c r="B3375" s="33">
        <v>43290</v>
      </c>
      <c r="C3375" s="34" t="s">
        <v>4538</v>
      </c>
      <c r="D3375" s="34">
        <v>1</v>
      </c>
      <c r="E3375" s="35" t="s">
        <v>4495</v>
      </c>
      <c r="F3375" s="35" t="s">
        <v>43</v>
      </c>
      <c r="G3375" s="106" t="s">
        <v>3852</v>
      </c>
      <c r="H3375" s="33">
        <v>43252</v>
      </c>
      <c r="I3375" s="34" t="s">
        <v>4931</v>
      </c>
      <c r="J3375" s="36">
        <v>225</v>
      </c>
      <c r="K3375" t="s">
        <v>2030</v>
      </c>
    </row>
    <row r="3376" spans="1:11" x14ac:dyDescent="0.3">
      <c r="A3376" t="s">
        <v>818</v>
      </c>
      <c r="B3376" s="33">
        <v>43290</v>
      </c>
      <c r="C3376" s="34" t="s">
        <v>4538</v>
      </c>
      <c r="D3376" s="34">
        <v>1</v>
      </c>
      <c r="E3376" s="35" t="s">
        <v>4495</v>
      </c>
      <c r="F3376" s="35" t="s">
        <v>40</v>
      </c>
      <c r="G3376" s="106" t="s">
        <v>3852</v>
      </c>
      <c r="H3376" s="33">
        <v>43252</v>
      </c>
      <c r="I3376" s="34" t="s">
        <v>4932</v>
      </c>
      <c r="J3376" s="36">
        <v>172.5</v>
      </c>
      <c r="K3376" t="s">
        <v>2030</v>
      </c>
    </row>
    <row r="3377" spans="1:11" x14ac:dyDescent="0.3">
      <c r="A3377" t="s">
        <v>818</v>
      </c>
      <c r="B3377" s="33">
        <v>43290</v>
      </c>
      <c r="C3377" s="34" t="s">
        <v>4538</v>
      </c>
      <c r="D3377" s="34">
        <v>1</v>
      </c>
      <c r="E3377" s="35" t="s">
        <v>4495</v>
      </c>
      <c r="F3377" s="35" t="s">
        <v>42</v>
      </c>
      <c r="G3377" s="106" t="s">
        <v>3852</v>
      </c>
      <c r="H3377" s="33">
        <v>43252</v>
      </c>
      <c r="I3377" s="34" t="s">
        <v>4933</v>
      </c>
      <c r="J3377" s="36">
        <v>225</v>
      </c>
      <c r="K3377" t="s">
        <v>2030</v>
      </c>
    </row>
    <row r="3378" spans="1:11" x14ac:dyDescent="0.3">
      <c r="A3378" t="s">
        <v>818</v>
      </c>
      <c r="B3378" s="33">
        <v>43290</v>
      </c>
      <c r="C3378" s="34" t="s">
        <v>4538</v>
      </c>
      <c r="D3378" s="34">
        <v>1</v>
      </c>
      <c r="E3378" s="35" t="s">
        <v>4495</v>
      </c>
      <c r="F3378" s="35" t="s">
        <v>96</v>
      </c>
      <c r="G3378" s="106" t="s">
        <v>3852</v>
      </c>
      <c r="H3378" s="33">
        <v>43252</v>
      </c>
      <c r="I3378" s="34" t="s">
        <v>4949</v>
      </c>
      <c r="J3378" s="36">
        <v>225</v>
      </c>
      <c r="K3378" t="s">
        <v>2030</v>
      </c>
    </row>
    <row r="3379" spans="1:11" x14ac:dyDescent="0.3">
      <c r="A3379" t="s">
        <v>818</v>
      </c>
      <c r="B3379" s="33">
        <v>43290</v>
      </c>
      <c r="C3379" s="34" t="s">
        <v>4538</v>
      </c>
      <c r="D3379" s="34">
        <v>1</v>
      </c>
      <c r="E3379" s="35" t="s">
        <v>4495</v>
      </c>
      <c r="F3379" s="35" t="s">
        <v>94</v>
      </c>
      <c r="G3379" s="106" t="s">
        <v>3852</v>
      </c>
      <c r="H3379" s="33">
        <v>43252</v>
      </c>
      <c r="I3379" s="34" t="s">
        <v>4950</v>
      </c>
      <c r="J3379" s="36">
        <v>225</v>
      </c>
      <c r="K3379" t="s">
        <v>2030</v>
      </c>
    </row>
    <row r="3380" spans="1:11" x14ac:dyDescent="0.3">
      <c r="A3380" t="s">
        <v>818</v>
      </c>
      <c r="B3380" s="33">
        <v>43290</v>
      </c>
      <c r="C3380" s="34" t="s">
        <v>4538</v>
      </c>
      <c r="D3380" s="34">
        <v>1</v>
      </c>
      <c r="E3380" s="35" t="s">
        <v>4495</v>
      </c>
      <c r="F3380" s="35" t="s">
        <v>95</v>
      </c>
      <c r="G3380" s="106" t="s">
        <v>3852</v>
      </c>
      <c r="H3380" s="33">
        <v>43252</v>
      </c>
      <c r="I3380" s="34" t="s">
        <v>4951</v>
      </c>
      <c r="J3380" s="36">
        <v>225</v>
      </c>
      <c r="K3380" t="s">
        <v>2030</v>
      </c>
    </row>
    <row r="3381" spans="1:11" x14ac:dyDescent="0.3">
      <c r="A3381" t="s">
        <v>818</v>
      </c>
      <c r="B3381" s="33">
        <v>43290</v>
      </c>
      <c r="C3381" s="34" t="s">
        <v>4538</v>
      </c>
      <c r="D3381" s="34">
        <v>1</v>
      </c>
      <c r="E3381" s="35" t="s">
        <v>4495</v>
      </c>
      <c r="F3381" s="35" t="s">
        <v>100</v>
      </c>
      <c r="G3381" s="106" t="s">
        <v>3852</v>
      </c>
      <c r="H3381" s="33">
        <v>43252</v>
      </c>
      <c r="I3381" s="34" t="s">
        <v>4952</v>
      </c>
      <c r="J3381" s="36">
        <v>225</v>
      </c>
      <c r="K3381" t="s">
        <v>2030</v>
      </c>
    </row>
    <row r="3382" spans="1:11" x14ac:dyDescent="0.3">
      <c r="A3382" t="s">
        <v>818</v>
      </c>
      <c r="B3382" s="33">
        <v>43290</v>
      </c>
      <c r="C3382" s="34" t="s">
        <v>4538</v>
      </c>
      <c r="D3382" s="34">
        <v>1</v>
      </c>
      <c r="E3382" s="35" t="s">
        <v>4495</v>
      </c>
      <c r="F3382" s="35" t="s">
        <v>97</v>
      </c>
      <c r="G3382" s="106" t="s">
        <v>3852</v>
      </c>
      <c r="H3382" s="33">
        <v>43252</v>
      </c>
      <c r="I3382" s="34" t="s">
        <v>4953</v>
      </c>
      <c r="J3382" s="36">
        <v>225</v>
      </c>
      <c r="K3382" t="s">
        <v>2030</v>
      </c>
    </row>
    <row r="3383" spans="1:11" x14ac:dyDescent="0.3">
      <c r="A3383" t="s">
        <v>818</v>
      </c>
      <c r="B3383" s="33">
        <v>43290</v>
      </c>
      <c r="C3383" s="34" t="s">
        <v>4538</v>
      </c>
      <c r="D3383" s="34">
        <v>1</v>
      </c>
      <c r="E3383" s="35" t="s">
        <v>4495</v>
      </c>
      <c r="F3383" s="35" t="s">
        <v>99</v>
      </c>
      <c r="G3383" s="106" t="s">
        <v>3852</v>
      </c>
      <c r="H3383" s="33">
        <v>43252</v>
      </c>
      <c r="I3383" s="34" t="s">
        <v>4954</v>
      </c>
      <c r="J3383" s="36">
        <v>225</v>
      </c>
      <c r="K3383" t="s">
        <v>2030</v>
      </c>
    </row>
    <row r="3384" spans="1:11" x14ac:dyDescent="0.3">
      <c r="A3384" t="s">
        <v>818</v>
      </c>
      <c r="B3384" s="33">
        <v>43290</v>
      </c>
      <c r="C3384" s="34" t="s">
        <v>4538</v>
      </c>
      <c r="D3384" s="34">
        <v>1</v>
      </c>
      <c r="E3384" s="35" t="s">
        <v>4495</v>
      </c>
      <c r="F3384" s="35" t="s">
        <v>93</v>
      </c>
      <c r="G3384" s="106" t="s">
        <v>3852</v>
      </c>
      <c r="H3384" s="33">
        <v>43252</v>
      </c>
      <c r="I3384" s="34" t="s">
        <v>4955</v>
      </c>
      <c r="J3384" s="36">
        <v>225</v>
      </c>
      <c r="K3384" t="s">
        <v>2030</v>
      </c>
    </row>
    <row r="3385" spans="1:11" x14ac:dyDescent="0.3">
      <c r="A3385" t="s">
        <v>818</v>
      </c>
      <c r="B3385" s="33">
        <v>43290</v>
      </c>
      <c r="C3385" s="34" t="s">
        <v>4538</v>
      </c>
      <c r="D3385" s="34">
        <v>1</v>
      </c>
      <c r="E3385" s="35" t="s">
        <v>4495</v>
      </c>
      <c r="F3385" s="35" t="s">
        <v>92</v>
      </c>
      <c r="G3385" s="106" t="s">
        <v>3852</v>
      </c>
      <c r="H3385" s="33">
        <v>43252</v>
      </c>
      <c r="I3385" s="34" t="s">
        <v>4956</v>
      </c>
      <c r="J3385" s="36">
        <v>225</v>
      </c>
      <c r="K3385" t="s">
        <v>2030</v>
      </c>
    </row>
    <row r="3386" spans="1:11" x14ac:dyDescent="0.3">
      <c r="A3386" t="s">
        <v>818</v>
      </c>
      <c r="B3386" s="33">
        <v>43290</v>
      </c>
      <c r="C3386" s="34" t="s">
        <v>4538</v>
      </c>
      <c r="D3386" s="34">
        <v>1</v>
      </c>
      <c r="E3386" s="35" t="s">
        <v>4495</v>
      </c>
      <c r="F3386" s="35" t="s">
        <v>81</v>
      </c>
      <c r="G3386" s="106" t="s">
        <v>3852</v>
      </c>
      <c r="H3386" s="33">
        <v>43252</v>
      </c>
      <c r="I3386" s="34" t="s">
        <v>4957</v>
      </c>
      <c r="J3386" s="36">
        <v>225</v>
      </c>
      <c r="K3386" t="s">
        <v>2030</v>
      </c>
    </row>
    <row r="3387" spans="1:11" x14ac:dyDescent="0.3">
      <c r="A3387" t="s">
        <v>818</v>
      </c>
      <c r="B3387" s="33">
        <v>43290</v>
      </c>
      <c r="C3387" s="34" t="s">
        <v>4538</v>
      </c>
      <c r="D3387" s="34">
        <v>1</v>
      </c>
      <c r="E3387" s="35" t="s">
        <v>4495</v>
      </c>
      <c r="F3387" s="35" t="s">
        <v>8</v>
      </c>
      <c r="G3387" s="106" t="s">
        <v>3852</v>
      </c>
      <c r="H3387" s="33">
        <v>43252</v>
      </c>
      <c r="I3387" s="34" t="s">
        <v>4958</v>
      </c>
      <c r="J3387" s="36">
        <v>172.5</v>
      </c>
      <c r="K3387" t="s">
        <v>2030</v>
      </c>
    </row>
    <row r="3388" spans="1:11" x14ac:dyDescent="0.3">
      <c r="A3388" t="s">
        <v>818</v>
      </c>
      <c r="B3388" s="33">
        <v>43290</v>
      </c>
      <c r="C3388" s="34" t="s">
        <v>4538</v>
      </c>
      <c r="D3388" s="34">
        <v>1</v>
      </c>
      <c r="E3388" s="35" t="s">
        <v>4495</v>
      </c>
      <c r="F3388" s="35" t="s">
        <v>85</v>
      </c>
      <c r="G3388" s="106" t="s">
        <v>3852</v>
      </c>
      <c r="H3388" s="33">
        <v>43252</v>
      </c>
      <c r="I3388" s="34" t="s">
        <v>4959</v>
      </c>
      <c r="J3388" s="36">
        <v>225</v>
      </c>
      <c r="K3388" t="s">
        <v>2030</v>
      </c>
    </row>
    <row r="3389" spans="1:11" x14ac:dyDescent="0.3">
      <c r="A3389" t="s">
        <v>818</v>
      </c>
      <c r="B3389" s="33">
        <v>43290</v>
      </c>
      <c r="C3389" s="34" t="s">
        <v>4538</v>
      </c>
      <c r="D3389" s="34">
        <v>1</v>
      </c>
      <c r="E3389" s="35" t="s">
        <v>4495</v>
      </c>
      <c r="F3389" s="35" t="s">
        <v>91</v>
      </c>
      <c r="G3389" s="106" t="s">
        <v>3852</v>
      </c>
      <c r="H3389" s="33">
        <v>43252</v>
      </c>
      <c r="I3389" s="34" t="s">
        <v>4960</v>
      </c>
      <c r="J3389" s="36">
        <v>225</v>
      </c>
      <c r="K3389" t="s">
        <v>2030</v>
      </c>
    </row>
    <row r="3390" spans="1:11" x14ac:dyDescent="0.3">
      <c r="A3390" t="s">
        <v>818</v>
      </c>
      <c r="B3390" s="33">
        <v>43290</v>
      </c>
      <c r="C3390" s="34" t="s">
        <v>4538</v>
      </c>
      <c r="D3390" s="34">
        <v>1</v>
      </c>
      <c r="E3390" s="35" t="s">
        <v>4495</v>
      </c>
      <c r="F3390" s="35" t="s">
        <v>86</v>
      </c>
      <c r="G3390" s="106" t="s">
        <v>3852</v>
      </c>
      <c r="H3390" s="33">
        <v>43252</v>
      </c>
      <c r="I3390" s="34" t="s">
        <v>4961</v>
      </c>
      <c r="J3390" s="36">
        <v>225</v>
      </c>
      <c r="K3390" t="s">
        <v>2030</v>
      </c>
    </row>
    <row r="3391" spans="1:11" x14ac:dyDescent="0.3">
      <c r="A3391" t="s">
        <v>818</v>
      </c>
      <c r="B3391" s="33">
        <v>43290</v>
      </c>
      <c r="C3391" s="34" t="s">
        <v>4538</v>
      </c>
      <c r="D3391" s="34">
        <v>1</v>
      </c>
      <c r="E3391" s="35" t="s">
        <v>4495</v>
      </c>
      <c r="F3391" s="35" t="s">
        <v>89</v>
      </c>
      <c r="G3391" s="106" t="s">
        <v>3852</v>
      </c>
      <c r="H3391" s="33">
        <v>43252</v>
      </c>
      <c r="I3391" s="34" t="s">
        <v>4962</v>
      </c>
      <c r="J3391" s="36">
        <v>225</v>
      </c>
      <c r="K3391" t="s">
        <v>2030</v>
      </c>
    </row>
    <row r="3392" spans="1:11" x14ac:dyDescent="0.3">
      <c r="A3392" t="s">
        <v>818</v>
      </c>
      <c r="B3392" s="33">
        <v>43290</v>
      </c>
      <c r="C3392" s="34" t="s">
        <v>4538</v>
      </c>
      <c r="D3392" s="34">
        <v>1</v>
      </c>
      <c r="E3392" s="35" t="s">
        <v>4495</v>
      </c>
      <c r="F3392" s="35" t="s">
        <v>87</v>
      </c>
      <c r="G3392" s="106" t="s">
        <v>3852</v>
      </c>
      <c r="H3392" s="33">
        <v>43252</v>
      </c>
      <c r="I3392" s="34" t="s">
        <v>4963</v>
      </c>
      <c r="J3392" s="36">
        <v>225</v>
      </c>
      <c r="K3392" t="s">
        <v>2030</v>
      </c>
    </row>
    <row r="3393" spans="1:11" x14ac:dyDescent="0.3">
      <c r="A3393" t="s">
        <v>818</v>
      </c>
      <c r="B3393" s="33">
        <v>43290</v>
      </c>
      <c r="C3393" s="34" t="s">
        <v>4538</v>
      </c>
      <c r="D3393" s="34">
        <v>1</v>
      </c>
      <c r="E3393" s="35" t="s">
        <v>4495</v>
      </c>
      <c r="F3393" s="35" t="s">
        <v>84</v>
      </c>
      <c r="G3393" s="106" t="s">
        <v>3852</v>
      </c>
      <c r="H3393" s="33">
        <v>43252</v>
      </c>
      <c r="I3393" s="34" t="s">
        <v>4964</v>
      </c>
      <c r="J3393" s="36">
        <v>225</v>
      </c>
      <c r="K3393" t="s">
        <v>2030</v>
      </c>
    </row>
    <row r="3394" spans="1:11" x14ac:dyDescent="0.3">
      <c r="A3394" t="s">
        <v>818</v>
      </c>
      <c r="B3394" s="33">
        <v>43290</v>
      </c>
      <c r="C3394" s="34" t="s">
        <v>4538</v>
      </c>
      <c r="D3394" s="34">
        <v>1</v>
      </c>
      <c r="E3394" s="35" t="s">
        <v>4495</v>
      </c>
      <c r="F3394" s="35" t="s">
        <v>88</v>
      </c>
      <c r="G3394" s="106" t="s">
        <v>3852</v>
      </c>
      <c r="H3394" s="33">
        <v>43252</v>
      </c>
      <c r="I3394" s="34" t="s">
        <v>4965</v>
      </c>
      <c r="J3394" s="36">
        <v>225</v>
      </c>
      <c r="K3394" t="s">
        <v>2030</v>
      </c>
    </row>
    <row r="3395" spans="1:11" x14ac:dyDescent="0.3">
      <c r="A3395" t="s">
        <v>818</v>
      </c>
      <c r="B3395" s="33">
        <v>43290</v>
      </c>
      <c r="C3395" s="34" t="s">
        <v>4538</v>
      </c>
      <c r="D3395" s="34">
        <v>1</v>
      </c>
      <c r="E3395" s="35" t="s">
        <v>4495</v>
      </c>
      <c r="F3395" s="35" t="s">
        <v>90</v>
      </c>
      <c r="G3395" s="106" t="s">
        <v>3852</v>
      </c>
      <c r="H3395" s="33">
        <v>43252</v>
      </c>
      <c r="I3395" s="34" t="s">
        <v>4966</v>
      </c>
      <c r="J3395" s="36">
        <v>225</v>
      </c>
      <c r="K3395" t="s">
        <v>2030</v>
      </c>
    </row>
    <row r="3396" spans="1:11" x14ac:dyDescent="0.3">
      <c r="A3396" t="s">
        <v>818</v>
      </c>
      <c r="B3396" s="33">
        <v>43290</v>
      </c>
      <c r="C3396" s="34" t="s">
        <v>4538</v>
      </c>
      <c r="D3396" s="34">
        <v>1</v>
      </c>
      <c r="E3396" s="35" t="s">
        <v>4495</v>
      </c>
      <c r="F3396" s="35" t="s">
        <v>78</v>
      </c>
      <c r="G3396" s="106" t="s">
        <v>3852</v>
      </c>
      <c r="H3396" s="33">
        <v>43252</v>
      </c>
      <c r="I3396" s="34" t="s">
        <v>4967</v>
      </c>
      <c r="J3396" s="36">
        <v>225</v>
      </c>
      <c r="K3396" t="s">
        <v>2030</v>
      </c>
    </row>
    <row r="3397" spans="1:11" x14ac:dyDescent="0.3">
      <c r="A3397" t="s">
        <v>818</v>
      </c>
      <c r="B3397" s="33">
        <v>43290</v>
      </c>
      <c r="C3397" s="34" t="s">
        <v>4538</v>
      </c>
      <c r="D3397" s="34">
        <v>1</v>
      </c>
      <c r="E3397" s="35" t="s">
        <v>4495</v>
      </c>
      <c r="F3397" s="35" t="s">
        <v>83</v>
      </c>
      <c r="G3397" s="106" t="s">
        <v>3852</v>
      </c>
      <c r="H3397" s="33">
        <v>43252</v>
      </c>
      <c r="I3397" s="34" t="s">
        <v>4968</v>
      </c>
      <c r="J3397" s="36">
        <v>225</v>
      </c>
      <c r="K3397" t="s">
        <v>2030</v>
      </c>
    </row>
    <row r="3398" spans="1:11" x14ac:dyDescent="0.3">
      <c r="A3398" t="s">
        <v>818</v>
      </c>
      <c r="B3398" s="33">
        <v>43290</v>
      </c>
      <c r="C3398" s="34" t="s">
        <v>4538</v>
      </c>
      <c r="D3398" s="34">
        <v>1</v>
      </c>
      <c r="E3398" s="35" t="s">
        <v>4495</v>
      </c>
      <c r="F3398" s="35" t="s">
        <v>79</v>
      </c>
      <c r="G3398" s="106" t="s">
        <v>3852</v>
      </c>
      <c r="H3398" s="33">
        <v>43252</v>
      </c>
      <c r="I3398" s="34" t="s">
        <v>4969</v>
      </c>
      <c r="J3398" s="36">
        <v>225</v>
      </c>
      <c r="K3398" t="s">
        <v>2030</v>
      </c>
    </row>
    <row r="3399" spans="1:11" x14ac:dyDescent="0.3">
      <c r="A3399" t="s">
        <v>818</v>
      </c>
      <c r="B3399" s="33">
        <v>43290</v>
      </c>
      <c r="C3399" s="34" t="s">
        <v>4538</v>
      </c>
      <c r="D3399" s="34">
        <v>1</v>
      </c>
      <c r="E3399" s="35" t="s">
        <v>4495</v>
      </c>
      <c r="F3399" s="35" t="s">
        <v>76</v>
      </c>
      <c r="G3399" s="106" t="s">
        <v>3852</v>
      </c>
      <c r="H3399" s="33">
        <v>43252</v>
      </c>
      <c r="I3399" s="34" t="s">
        <v>4970</v>
      </c>
      <c r="J3399" s="36">
        <v>225</v>
      </c>
      <c r="K3399" t="s">
        <v>2030</v>
      </c>
    </row>
    <row r="3400" spans="1:11" x14ac:dyDescent="0.3">
      <c r="A3400" t="s">
        <v>818</v>
      </c>
      <c r="B3400" s="33">
        <v>43290</v>
      </c>
      <c r="C3400" s="34" t="s">
        <v>4538</v>
      </c>
      <c r="D3400" s="34">
        <v>1</v>
      </c>
      <c r="E3400" s="35" t="s">
        <v>4495</v>
      </c>
      <c r="F3400" s="35" t="s">
        <v>77</v>
      </c>
      <c r="G3400" s="106" t="s">
        <v>3852</v>
      </c>
      <c r="H3400" s="33">
        <v>43252</v>
      </c>
      <c r="I3400" s="34" t="s">
        <v>4971</v>
      </c>
      <c r="J3400" s="36">
        <v>225</v>
      </c>
      <c r="K3400" t="s">
        <v>2030</v>
      </c>
    </row>
    <row r="3401" spans="1:11" x14ac:dyDescent="0.3">
      <c r="A3401" t="s">
        <v>818</v>
      </c>
      <c r="B3401" s="33">
        <v>43290</v>
      </c>
      <c r="C3401" s="34" t="s">
        <v>4538</v>
      </c>
      <c r="D3401" s="34">
        <v>1</v>
      </c>
      <c r="E3401" s="35" t="s">
        <v>4495</v>
      </c>
      <c r="F3401" s="35" t="s">
        <v>80</v>
      </c>
      <c r="G3401" s="106" t="s">
        <v>3852</v>
      </c>
      <c r="H3401" s="33">
        <v>43252</v>
      </c>
      <c r="I3401" s="34" t="s">
        <v>4972</v>
      </c>
      <c r="J3401" s="36">
        <v>225</v>
      </c>
      <c r="K3401" t="s">
        <v>2030</v>
      </c>
    </row>
    <row r="3402" spans="1:11" x14ac:dyDescent="0.3">
      <c r="A3402" t="s">
        <v>818</v>
      </c>
      <c r="B3402" s="33">
        <v>43290</v>
      </c>
      <c r="C3402" s="34" t="s">
        <v>4538</v>
      </c>
      <c r="D3402" s="34">
        <v>1</v>
      </c>
      <c r="E3402" s="35" t="s">
        <v>4495</v>
      </c>
      <c r="F3402" s="35" t="s">
        <v>82</v>
      </c>
      <c r="G3402" s="106" t="s">
        <v>3852</v>
      </c>
      <c r="H3402" s="33">
        <v>43252</v>
      </c>
      <c r="I3402" s="34" t="s">
        <v>4973</v>
      </c>
      <c r="J3402" s="36">
        <v>225</v>
      </c>
      <c r="K3402" t="s">
        <v>2030</v>
      </c>
    </row>
    <row r="3403" spans="1:11" x14ac:dyDescent="0.3">
      <c r="A3403" t="s">
        <v>818</v>
      </c>
      <c r="B3403" s="33">
        <v>43290</v>
      </c>
      <c r="C3403" s="34" t="s">
        <v>4538</v>
      </c>
      <c r="D3403" s="34">
        <v>1</v>
      </c>
      <c r="E3403" s="35" t="s">
        <v>4495</v>
      </c>
      <c r="F3403" s="35" t="s">
        <v>72</v>
      </c>
      <c r="G3403" s="106" t="s">
        <v>3852</v>
      </c>
      <c r="H3403" s="33">
        <v>43252</v>
      </c>
      <c r="I3403" s="34" t="s">
        <v>4974</v>
      </c>
      <c r="J3403" s="36">
        <v>225</v>
      </c>
      <c r="K3403" t="s">
        <v>2030</v>
      </c>
    </row>
    <row r="3404" spans="1:11" x14ac:dyDescent="0.3">
      <c r="A3404" t="s">
        <v>818</v>
      </c>
      <c r="B3404" s="33">
        <v>43290</v>
      </c>
      <c r="C3404" s="34" t="s">
        <v>4538</v>
      </c>
      <c r="D3404" s="34">
        <v>1</v>
      </c>
      <c r="E3404" s="35" t="s">
        <v>4495</v>
      </c>
      <c r="F3404" s="35" t="s">
        <v>70</v>
      </c>
      <c r="G3404" s="106" t="s">
        <v>3852</v>
      </c>
      <c r="H3404" s="33">
        <v>43252</v>
      </c>
      <c r="I3404" s="34" t="s">
        <v>4975</v>
      </c>
      <c r="J3404" s="36">
        <v>225</v>
      </c>
      <c r="K3404" t="s">
        <v>2030</v>
      </c>
    </row>
    <row r="3405" spans="1:11" x14ac:dyDescent="0.3">
      <c r="A3405" t="s">
        <v>818</v>
      </c>
      <c r="B3405" s="33">
        <v>43290</v>
      </c>
      <c r="C3405" s="34" t="s">
        <v>4538</v>
      </c>
      <c r="D3405" s="34">
        <v>1</v>
      </c>
      <c r="E3405" s="35" t="s">
        <v>4495</v>
      </c>
      <c r="F3405" s="35" t="s">
        <v>71</v>
      </c>
      <c r="G3405" s="106" t="s">
        <v>3852</v>
      </c>
      <c r="H3405" s="33">
        <v>43252</v>
      </c>
      <c r="I3405" s="34" t="s">
        <v>4976</v>
      </c>
      <c r="J3405" s="36">
        <v>225</v>
      </c>
      <c r="K3405" t="s">
        <v>2030</v>
      </c>
    </row>
    <row r="3406" spans="1:11" x14ac:dyDescent="0.3">
      <c r="A3406" t="s">
        <v>818</v>
      </c>
      <c r="B3406" s="33">
        <v>43290</v>
      </c>
      <c r="C3406" s="34" t="s">
        <v>4538</v>
      </c>
      <c r="D3406" s="34">
        <v>1</v>
      </c>
      <c r="E3406" s="35" t="s">
        <v>4495</v>
      </c>
      <c r="F3406" s="35" t="s">
        <v>7</v>
      </c>
      <c r="G3406" s="106" t="s">
        <v>3852</v>
      </c>
      <c r="H3406" s="33">
        <v>43252</v>
      </c>
      <c r="I3406" s="34" t="s">
        <v>4977</v>
      </c>
      <c r="J3406" s="36">
        <v>172.5</v>
      </c>
      <c r="K3406" t="s">
        <v>2030</v>
      </c>
    </row>
    <row r="3407" spans="1:11" x14ac:dyDescent="0.3">
      <c r="A3407" t="s">
        <v>818</v>
      </c>
      <c r="B3407" s="33">
        <v>43290</v>
      </c>
      <c r="C3407" s="34" t="s">
        <v>4538</v>
      </c>
      <c r="D3407" s="34">
        <v>1</v>
      </c>
      <c r="E3407" s="35" t="s">
        <v>4495</v>
      </c>
      <c r="F3407" s="35" t="s">
        <v>73</v>
      </c>
      <c r="G3407" s="106" t="s">
        <v>3852</v>
      </c>
      <c r="H3407" s="33">
        <v>43252</v>
      </c>
      <c r="I3407" s="34" t="s">
        <v>4978</v>
      </c>
      <c r="J3407" s="36">
        <v>225</v>
      </c>
      <c r="K3407" t="s">
        <v>2030</v>
      </c>
    </row>
    <row r="3408" spans="1:11" x14ac:dyDescent="0.3">
      <c r="A3408" t="s">
        <v>818</v>
      </c>
      <c r="B3408" s="33">
        <v>43290</v>
      </c>
      <c r="C3408" s="34" t="s">
        <v>4538</v>
      </c>
      <c r="D3408" s="34">
        <v>1</v>
      </c>
      <c r="E3408" s="35" t="s">
        <v>4495</v>
      </c>
      <c r="F3408" s="35" t="s">
        <v>74</v>
      </c>
      <c r="G3408" s="106" t="s">
        <v>3852</v>
      </c>
      <c r="H3408" s="33">
        <v>43252</v>
      </c>
      <c r="I3408" s="34" t="s">
        <v>4979</v>
      </c>
      <c r="J3408" s="36">
        <v>225</v>
      </c>
      <c r="K3408" t="s">
        <v>2030</v>
      </c>
    </row>
    <row r="3409" spans="1:11" x14ac:dyDescent="0.3">
      <c r="A3409" t="s">
        <v>818</v>
      </c>
      <c r="B3409" s="33">
        <v>43290</v>
      </c>
      <c r="C3409" s="34" t="s">
        <v>4538</v>
      </c>
      <c r="D3409" s="34">
        <v>1</v>
      </c>
      <c r="E3409" s="35" t="s">
        <v>4495</v>
      </c>
      <c r="F3409" s="35" t="s">
        <v>75</v>
      </c>
      <c r="G3409" s="106" t="s">
        <v>3852</v>
      </c>
      <c r="H3409" s="33">
        <v>43252</v>
      </c>
      <c r="I3409" s="34" t="s">
        <v>4980</v>
      </c>
      <c r="J3409" s="36">
        <v>225</v>
      </c>
      <c r="K3409" t="s">
        <v>2030</v>
      </c>
    </row>
    <row r="3410" spans="1:11" x14ac:dyDescent="0.3">
      <c r="A3410" t="s">
        <v>818</v>
      </c>
      <c r="B3410" s="33">
        <v>43290</v>
      </c>
      <c r="C3410" s="34" t="s">
        <v>4538</v>
      </c>
      <c r="D3410" s="34">
        <v>1</v>
      </c>
      <c r="E3410" s="35" t="s">
        <v>4495</v>
      </c>
      <c r="F3410" s="35" t="s">
        <v>67</v>
      </c>
      <c r="G3410" s="106" t="s">
        <v>3852</v>
      </c>
      <c r="H3410" s="33">
        <v>43252</v>
      </c>
      <c r="I3410" s="34" t="s">
        <v>4981</v>
      </c>
      <c r="J3410" s="36">
        <v>225</v>
      </c>
      <c r="K3410" t="s">
        <v>2030</v>
      </c>
    </row>
    <row r="3411" spans="1:11" x14ac:dyDescent="0.3">
      <c r="A3411" t="s">
        <v>818</v>
      </c>
      <c r="B3411" s="33">
        <v>43290</v>
      </c>
      <c r="C3411" s="34" t="s">
        <v>4538</v>
      </c>
      <c r="D3411" s="34">
        <v>1</v>
      </c>
      <c r="E3411" s="35" t="s">
        <v>4495</v>
      </c>
      <c r="F3411" s="35" t="s">
        <v>64</v>
      </c>
      <c r="G3411" s="106" t="s">
        <v>3852</v>
      </c>
      <c r="H3411" s="33">
        <v>43252</v>
      </c>
      <c r="I3411" s="34" t="s">
        <v>4982</v>
      </c>
      <c r="J3411" s="36">
        <v>225</v>
      </c>
      <c r="K3411" t="s">
        <v>2030</v>
      </c>
    </row>
    <row r="3412" spans="1:11" x14ac:dyDescent="0.3">
      <c r="A3412" t="s">
        <v>818</v>
      </c>
      <c r="B3412" s="33">
        <v>43290</v>
      </c>
      <c r="C3412" s="34" t="s">
        <v>4538</v>
      </c>
      <c r="D3412" s="34">
        <v>1</v>
      </c>
      <c r="E3412" s="35" t="s">
        <v>4495</v>
      </c>
      <c r="F3412" s="35" t="s">
        <v>63</v>
      </c>
      <c r="G3412" s="106" t="s">
        <v>3852</v>
      </c>
      <c r="H3412" s="33">
        <v>43252</v>
      </c>
      <c r="I3412" s="34" t="s">
        <v>4983</v>
      </c>
      <c r="J3412" s="36">
        <v>225</v>
      </c>
      <c r="K3412" t="s">
        <v>2030</v>
      </c>
    </row>
    <row r="3413" spans="1:11" x14ac:dyDescent="0.3">
      <c r="A3413" t="s">
        <v>818</v>
      </c>
      <c r="B3413" s="33">
        <v>43290</v>
      </c>
      <c r="C3413" s="34" t="s">
        <v>4538</v>
      </c>
      <c r="D3413" s="34">
        <v>1</v>
      </c>
      <c r="E3413" s="35" t="s">
        <v>4495</v>
      </c>
      <c r="F3413" s="35" t="s">
        <v>69</v>
      </c>
      <c r="G3413" s="106" t="s">
        <v>3852</v>
      </c>
      <c r="H3413" s="33">
        <v>43252</v>
      </c>
      <c r="I3413" s="34" t="s">
        <v>4984</v>
      </c>
      <c r="J3413" s="36">
        <v>225</v>
      </c>
      <c r="K3413" t="s">
        <v>2030</v>
      </c>
    </row>
    <row r="3414" spans="1:11" x14ac:dyDescent="0.3">
      <c r="A3414" t="s">
        <v>818</v>
      </c>
      <c r="B3414" s="33">
        <v>43290</v>
      </c>
      <c r="C3414" s="34" t="s">
        <v>4538</v>
      </c>
      <c r="D3414" s="34">
        <v>1</v>
      </c>
      <c r="E3414" s="35" t="s">
        <v>4495</v>
      </c>
      <c r="F3414" s="35" t="s">
        <v>312</v>
      </c>
      <c r="G3414" s="106" t="s">
        <v>3852</v>
      </c>
      <c r="H3414" s="33">
        <v>43252</v>
      </c>
      <c r="I3414" s="34" t="s">
        <v>4985</v>
      </c>
      <c r="J3414" s="36">
        <v>225</v>
      </c>
      <c r="K3414" t="s">
        <v>2030</v>
      </c>
    </row>
    <row r="3415" spans="1:11" x14ac:dyDescent="0.3">
      <c r="A3415" t="s">
        <v>818</v>
      </c>
      <c r="B3415" s="33">
        <v>43290</v>
      </c>
      <c r="C3415" s="34" t="s">
        <v>4538</v>
      </c>
      <c r="D3415" s="34">
        <v>1</v>
      </c>
      <c r="E3415" s="35" t="s">
        <v>4495</v>
      </c>
      <c r="F3415" s="35" t="s">
        <v>340</v>
      </c>
      <c r="G3415" s="106" t="s">
        <v>3852</v>
      </c>
      <c r="H3415" s="33">
        <v>43252</v>
      </c>
      <c r="I3415" s="34" t="s">
        <v>5059</v>
      </c>
      <c r="J3415" s="36">
        <v>172.5</v>
      </c>
      <c r="K3415" t="s">
        <v>2030</v>
      </c>
    </row>
    <row r="3416" spans="1:11" x14ac:dyDescent="0.3">
      <c r="A3416" t="s">
        <v>818</v>
      </c>
      <c r="B3416" s="33">
        <v>43290</v>
      </c>
      <c r="C3416" s="34" t="s">
        <v>4538</v>
      </c>
      <c r="D3416" s="34">
        <v>1</v>
      </c>
      <c r="E3416" s="35" t="s">
        <v>4495</v>
      </c>
      <c r="F3416" s="35" t="s">
        <v>334</v>
      </c>
      <c r="G3416" s="106" t="s">
        <v>3852</v>
      </c>
      <c r="H3416" s="33">
        <v>43252</v>
      </c>
      <c r="I3416" s="34" t="s">
        <v>5060</v>
      </c>
      <c r="J3416" s="36">
        <v>225</v>
      </c>
      <c r="K3416" t="s">
        <v>2030</v>
      </c>
    </row>
    <row r="3417" spans="1:11" x14ac:dyDescent="0.3">
      <c r="A3417" t="s">
        <v>818</v>
      </c>
      <c r="B3417" s="33">
        <v>43290</v>
      </c>
      <c r="C3417" s="34" t="s">
        <v>4538</v>
      </c>
      <c r="D3417" s="34">
        <v>1</v>
      </c>
      <c r="E3417" s="35" t="s">
        <v>4495</v>
      </c>
      <c r="F3417" s="35" t="s">
        <v>341</v>
      </c>
      <c r="G3417" s="106" t="s">
        <v>3852</v>
      </c>
      <c r="H3417" s="33">
        <v>43252</v>
      </c>
      <c r="I3417" s="34" t="s">
        <v>5061</v>
      </c>
      <c r="J3417" s="36">
        <v>172.5</v>
      </c>
      <c r="K3417" t="s">
        <v>2030</v>
      </c>
    </row>
    <row r="3418" spans="1:11" x14ac:dyDescent="0.3">
      <c r="A3418" t="s">
        <v>818</v>
      </c>
      <c r="B3418" s="33">
        <v>43290</v>
      </c>
      <c r="C3418" s="34" t="s">
        <v>4538</v>
      </c>
      <c r="D3418" s="34">
        <v>1</v>
      </c>
      <c r="E3418" s="35" t="s">
        <v>4495</v>
      </c>
      <c r="F3418" s="35" t="s">
        <v>12</v>
      </c>
      <c r="G3418" s="106" t="s">
        <v>3852</v>
      </c>
      <c r="H3418" s="33">
        <v>43252</v>
      </c>
      <c r="I3418" s="34" t="s">
        <v>5062</v>
      </c>
      <c r="J3418" s="36">
        <v>225</v>
      </c>
      <c r="K3418" t="s">
        <v>2030</v>
      </c>
    </row>
    <row r="3419" spans="1:11" x14ac:dyDescent="0.3">
      <c r="A3419" t="s">
        <v>818</v>
      </c>
      <c r="B3419" s="33">
        <v>43290</v>
      </c>
      <c r="C3419" s="34" t="s">
        <v>4538</v>
      </c>
      <c r="D3419" s="34">
        <v>1</v>
      </c>
      <c r="E3419" s="35" t="s">
        <v>4495</v>
      </c>
      <c r="F3419" s="35" t="s">
        <v>344</v>
      </c>
      <c r="G3419" s="106" t="s">
        <v>3852</v>
      </c>
      <c r="H3419" s="33">
        <v>43252</v>
      </c>
      <c r="I3419" s="34" t="s">
        <v>5063</v>
      </c>
      <c r="J3419" s="36">
        <v>172.5</v>
      </c>
      <c r="K3419" t="s">
        <v>2030</v>
      </c>
    </row>
    <row r="3420" spans="1:11" x14ac:dyDescent="0.3">
      <c r="A3420" t="s">
        <v>818</v>
      </c>
      <c r="B3420" s="33">
        <v>43290</v>
      </c>
      <c r="C3420" s="34" t="s">
        <v>4538</v>
      </c>
      <c r="D3420" s="34">
        <v>1</v>
      </c>
      <c r="E3420" s="35" t="s">
        <v>4495</v>
      </c>
      <c r="F3420" s="35" t="s">
        <v>339</v>
      </c>
      <c r="G3420" s="106" t="s">
        <v>3852</v>
      </c>
      <c r="H3420" s="33">
        <v>43252</v>
      </c>
      <c r="I3420" s="34" t="s">
        <v>5064</v>
      </c>
      <c r="J3420" s="36">
        <v>225</v>
      </c>
      <c r="K3420" t="s">
        <v>2030</v>
      </c>
    </row>
    <row r="3421" spans="1:11" x14ac:dyDescent="0.3">
      <c r="A3421" t="s">
        <v>818</v>
      </c>
      <c r="B3421" s="33">
        <v>43290</v>
      </c>
      <c r="C3421" s="34" t="s">
        <v>4538</v>
      </c>
      <c r="D3421" s="34">
        <v>1</v>
      </c>
      <c r="E3421" s="35" t="s">
        <v>4495</v>
      </c>
      <c r="F3421" s="35" t="s">
        <v>343</v>
      </c>
      <c r="G3421" s="106" t="s">
        <v>3852</v>
      </c>
      <c r="H3421" s="33">
        <v>43252</v>
      </c>
      <c r="I3421" s="34" t="s">
        <v>5065</v>
      </c>
      <c r="J3421" s="36">
        <v>172.5</v>
      </c>
      <c r="K3421" t="s">
        <v>2030</v>
      </c>
    </row>
    <row r="3422" spans="1:11" x14ac:dyDescent="0.3">
      <c r="A3422" t="s">
        <v>818</v>
      </c>
      <c r="B3422" s="33">
        <v>43290</v>
      </c>
      <c r="C3422" s="34" t="s">
        <v>4538</v>
      </c>
      <c r="D3422" s="34">
        <v>1</v>
      </c>
      <c r="E3422" s="35" t="s">
        <v>4495</v>
      </c>
      <c r="F3422" s="35" t="s">
        <v>335</v>
      </c>
      <c r="G3422" s="106" t="s">
        <v>3852</v>
      </c>
      <c r="H3422" s="33">
        <v>43252</v>
      </c>
      <c r="I3422" s="34" t="s">
        <v>5066</v>
      </c>
      <c r="J3422" s="36">
        <v>225</v>
      </c>
      <c r="K3422" t="s">
        <v>2030</v>
      </c>
    </row>
    <row r="3423" spans="1:11" x14ac:dyDescent="0.3">
      <c r="A3423" t="s">
        <v>818</v>
      </c>
      <c r="B3423" s="33">
        <v>43290</v>
      </c>
      <c r="C3423" s="34" t="s">
        <v>4538</v>
      </c>
      <c r="D3423" s="34">
        <v>1</v>
      </c>
      <c r="E3423" s="35" t="s">
        <v>4495</v>
      </c>
      <c r="F3423" s="35" t="s">
        <v>338</v>
      </c>
      <c r="G3423" s="106" t="s">
        <v>3852</v>
      </c>
      <c r="H3423" s="33">
        <v>43252</v>
      </c>
      <c r="I3423" s="34" t="s">
        <v>5067</v>
      </c>
      <c r="J3423" s="36">
        <v>225</v>
      </c>
      <c r="K3423" t="s">
        <v>2030</v>
      </c>
    </row>
    <row r="3424" spans="1:11" x14ac:dyDescent="0.3">
      <c r="A3424" t="s">
        <v>818</v>
      </c>
      <c r="B3424" s="33">
        <v>43290</v>
      </c>
      <c r="C3424" s="34" t="s">
        <v>4538</v>
      </c>
      <c r="D3424" s="34">
        <v>1</v>
      </c>
      <c r="E3424" s="35" t="s">
        <v>4495</v>
      </c>
      <c r="F3424" s="35" t="s">
        <v>336</v>
      </c>
      <c r="G3424" s="106" t="s">
        <v>3852</v>
      </c>
      <c r="H3424" s="33">
        <v>43252</v>
      </c>
      <c r="I3424" s="34" t="s">
        <v>5068</v>
      </c>
      <c r="J3424" s="36">
        <v>225</v>
      </c>
      <c r="K3424" t="s">
        <v>2030</v>
      </c>
    </row>
    <row r="3425" spans="1:11" x14ac:dyDescent="0.3">
      <c r="A3425" t="s">
        <v>818</v>
      </c>
      <c r="B3425" s="33">
        <v>43290</v>
      </c>
      <c r="C3425" s="34" t="s">
        <v>4538</v>
      </c>
      <c r="D3425" s="34">
        <v>1</v>
      </c>
      <c r="E3425" s="35" t="s">
        <v>4495</v>
      </c>
      <c r="F3425" s="35" t="s">
        <v>327</v>
      </c>
      <c r="G3425" s="106" t="s">
        <v>3852</v>
      </c>
      <c r="H3425" s="33">
        <v>43252</v>
      </c>
      <c r="I3425" s="34" t="s">
        <v>5069</v>
      </c>
      <c r="J3425" s="36">
        <v>172.5</v>
      </c>
      <c r="K3425" t="s">
        <v>2030</v>
      </c>
    </row>
    <row r="3426" spans="1:11" x14ac:dyDescent="0.3">
      <c r="A3426" t="s">
        <v>818</v>
      </c>
      <c r="B3426" s="33">
        <v>43290</v>
      </c>
      <c r="C3426" s="34" t="s">
        <v>4538</v>
      </c>
      <c r="D3426" s="34">
        <v>1</v>
      </c>
      <c r="E3426" s="35" t="s">
        <v>4495</v>
      </c>
      <c r="F3426" s="35" t="s">
        <v>324</v>
      </c>
      <c r="G3426" s="106" t="s">
        <v>3852</v>
      </c>
      <c r="H3426" s="33">
        <v>43252</v>
      </c>
      <c r="I3426" s="34" t="s">
        <v>5070</v>
      </c>
      <c r="J3426" s="36">
        <v>172.5</v>
      </c>
      <c r="K3426" t="s">
        <v>2030</v>
      </c>
    </row>
    <row r="3427" spans="1:11" x14ac:dyDescent="0.3">
      <c r="A3427" t="s">
        <v>818</v>
      </c>
      <c r="B3427" s="33">
        <v>43290</v>
      </c>
      <c r="C3427" s="34" t="s">
        <v>4538</v>
      </c>
      <c r="D3427" s="34">
        <v>1</v>
      </c>
      <c r="E3427" s="35" t="s">
        <v>4495</v>
      </c>
      <c r="F3427" s="35" t="s">
        <v>326</v>
      </c>
      <c r="G3427" s="106" t="s">
        <v>3852</v>
      </c>
      <c r="H3427" s="33">
        <v>43252</v>
      </c>
      <c r="I3427" s="34" t="s">
        <v>5071</v>
      </c>
      <c r="J3427" s="36">
        <v>172.5</v>
      </c>
      <c r="K3427" t="s">
        <v>2030</v>
      </c>
    </row>
    <row r="3428" spans="1:11" x14ac:dyDescent="0.3">
      <c r="A3428" t="s">
        <v>818</v>
      </c>
      <c r="B3428" s="33">
        <v>43290</v>
      </c>
      <c r="C3428" s="34" t="s">
        <v>4538</v>
      </c>
      <c r="D3428" s="34">
        <v>1</v>
      </c>
      <c r="E3428" s="35" t="s">
        <v>4495</v>
      </c>
      <c r="F3428" s="35" t="s">
        <v>322</v>
      </c>
      <c r="G3428" s="106" t="s">
        <v>3852</v>
      </c>
      <c r="H3428" s="33">
        <v>43252</v>
      </c>
      <c r="I3428" s="34" t="s">
        <v>5072</v>
      </c>
      <c r="J3428" s="36">
        <v>172.5</v>
      </c>
      <c r="K3428" t="s">
        <v>2030</v>
      </c>
    </row>
    <row r="3429" spans="1:11" x14ac:dyDescent="0.3">
      <c r="A3429" t="s">
        <v>818</v>
      </c>
      <c r="B3429" s="33">
        <v>43290</v>
      </c>
      <c r="C3429" s="34" t="s">
        <v>4538</v>
      </c>
      <c r="D3429" s="34">
        <v>1</v>
      </c>
      <c r="E3429" s="35" t="s">
        <v>4495</v>
      </c>
      <c r="F3429" s="35" t="s">
        <v>331</v>
      </c>
      <c r="G3429" s="106" t="s">
        <v>3852</v>
      </c>
      <c r="H3429" s="33">
        <v>43252</v>
      </c>
      <c r="I3429" s="34" t="s">
        <v>5073</v>
      </c>
      <c r="J3429" s="36">
        <v>225</v>
      </c>
      <c r="K3429" t="s">
        <v>2030</v>
      </c>
    </row>
    <row r="3430" spans="1:11" x14ac:dyDescent="0.3">
      <c r="A3430" t="s">
        <v>818</v>
      </c>
      <c r="B3430" s="33">
        <v>43290</v>
      </c>
      <c r="C3430" s="34" t="s">
        <v>4538</v>
      </c>
      <c r="D3430" s="34">
        <v>1</v>
      </c>
      <c r="E3430" s="35" t="s">
        <v>4495</v>
      </c>
      <c r="F3430" s="35" t="s">
        <v>328</v>
      </c>
      <c r="G3430" s="106" t="s">
        <v>3852</v>
      </c>
      <c r="H3430" s="33">
        <v>43252</v>
      </c>
      <c r="I3430" s="34" t="s">
        <v>5074</v>
      </c>
      <c r="J3430" s="36">
        <v>172.5</v>
      </c>
      <c r="K3430" t="s">
        <v>2030</v>
      </c>
    </row>
    <row r="3431" spans="1:11" x14ac:dyDescent="0.3">
      <c r="A3431" t="s">
        <v>818</v>
      </c>
      <c r="B3431" s="33">
        <v>43290</v>
      </c>
      <c r="C3431" s="34" t="s">
        <v>4538</v>
      </c>
      <c r="D3431" s="34">
        <v>1</v>
      </c>
      <c r="E3431" s="35" t="s">
        <v>4495</v>
      </c>
      <c r="F3431" s="35" t="s">
        <v>330</v>
      </c>
      <c r="G3431" s="106" t="s">
        <v>3852</v>
      </c>
      <c r="H3431" s="33">
        <v>43252</v>
      </c>
      <c r="I3431" s="34" t="s">
        <v>5075</v>
      </c>
      <c r="J3431" s="36">
        <v>225</v>
      </c>
      <c r="K3431" t="s">
        <v>2030</v>
      </c>
    </row>
    <row r="3432" spans="1:11" x14ac:dyDescent="0.3">
      <c r="A3432" t="s">
        <v>818</v>
      </c>
      <c r="B3432" s="33">
        <v>43290</v>
      </c>
      <c r="C3432" s="34" t="s">
        <v>4538</v>
      </c>
      <c r="D3432" s="34">
        <v>1</v>
      </c>
      <c r="E3432" s="35" t="s">
        <v>4495</v>
      </c>
      <c r="F3432" s="35" t="s">
        <v>332</v>
      </c>
      <c r="G3432" s="106" t="s">
        <v>3852</v>
      </c>
      <c r="H3432" s="33">
        <v>43252</v>
      </c>
      <c r="I3432" s="34" t="s">
        <v>5076</v>
      </c>
      <c r="J3432" s="36">
        <v>225</v>
      </c>
      <c r="K3432" t="s">
        <v>2030</v>
      </c>
    </row>
    <row r="3433" spans="1:11" x14ac:dyDescent="0.3">
      <c r="A3433" t="s">
        <v>818</v>
      </c>
      <c r="B3433" s="33">
        <v>43290</v>
      </c>
      <c r="C3433" s="34" t="s">
        <v>4538</v>
      </c>
      <c r="D3433" s="34">
        <v>1</v>
      </c>
      <c r="E3433" s="35" t="s">
        <v>4495</v>
      </c>
      <c r="F3433" s="35" t="s">
        <v>325</v>
      </c>
      <c r="G3433" s="106" t="s">
        <v>3852</v>
      </c>
      <c r="H3433" s="33">
        <v>43252</v>
      </c>
      <c r="I3433" s="34" t="s">
        <v>5077</v>
      </c>
      <c r="J3433" s="36">
        <v>172.5</v>
      </c>
      <c r="K3433" t="s">
        <v>2030</v>
      </c>
    </row>
    <row r="3434" spans="1:11" x14ac:dyDescent="0.3">
      <c r="A3434" t="s">
        <v>818</v>
      </c>
      <c r="B3434" s="33">
        <v>43290</v>
      </c>
      <c r="C3434" s="34" t="s">
        <v>4538</v>
      </c>
      <c r="D3434" s="34">
        <v>1</v>
      </c>
      <c r="E3434" s="35" t="s">
        <v>4495</v>
      </c>
      <c r="F3434" s="35" t="s">
        <v>333</v>
      </c>
      <c r="G3434" s="106" t="s">
        <v>3852</v>
      </c>
      <c r="H3434" s="33">
        <v>43252</v>
      </c>
      <c r="I3434" s="34" t="s">
        <v>5078</v>
      </c>
      <c r="J3434" s="36">
        <v>225</v>
      </c>
      <c r="K3434" t="s">
        <v>2030</v>
      </c>
    </row>
    <row r="3435" spans="1:11" x14ac:dyDescent="0.3">
      <c r="A3435" t="s">
        <v>818</v>
      </c>
      <c r="B3435" s="33">
        <v>43290</v>
      </c>
      <c r="C3435" s="34" t="s">
        <v>4538</v>
      </c>
      <c r="D3435" s="34">
        <v>1</v>
      </c>
      <c r="E3435" s="35" t="s">
        <v>4495</v>
      </c>
      <c r="F3435" s="35" t="s">
        <v>329</v>
      </c>
      <c r="G3435" s="106" t="s">
        <v>3852</v>
      </c>
      <c r="H3435" s="33">
        <v>43252</v>
      </c>
      <c r="I3435" s="34" t="s">
        <v>5079</v>
      </c>
      <c r="J3435" s="36">
        <v>172.5</v>
      </c>
      <c r="K3435" t="s">
        <v>2030</v>
      </c>
    </row>
    <row r="3436" spans="1:11" x14ac:dyDescent="0.3">
      <c r="A3436" t="s">
        <v>818</v>
      </c>
      <c r="B3436" s="33">
        <v>43290</v>
      </c>
      <c r="C3436" s="34" t="s">
        <v>4538</v>
      </c>
      <c r="D3436" s="34">
        <v>1</v>
      </c>
      <c r="E3436" s="35" t="s">
        <v>4495</v>
      </c>
      <c r="F3436" s="35" t="s">
        <v>314</v>
      </c>
      <c r="G3436" s="106" t="s">
        <v>3852</v>
      </c>
      <c r="H3436" s="33">
        <v>43252</v>
      </c>
      <c r="I3436" s="34" t="s">
        <v>5080</v>
      </c>
      <c r="J3436" s="36">
        <v>225</v>
      </c>
      <c r="K3436" t="s">
        <v>2030</v>
      </c>
    </row>
    <row r="3437" spans="1:11" x14ac:dyDescent="0.3">
      <c r="A3437" t="s">
        <v>818</v>
      </c>
      <c r="B3437" s="33">
        <v>43290</v>
      </c>
      <c r="C3437" s="34" t="s">
        <v>4538</v>
      </c>
      <c r="D3437" s="34">
        <v>1</v>
      </c>
      <c r="E3437" s="35" t="s">
        <v>4495</v>
      </c>
      <c r="F3437" s="35" t="s">
        <v>321</v>
      </c>
      <c r="G3437" s="106" t="s">
        <v>3852</v>
      </c>
      <c r="H3437" s="33">
        <v>43252</v>
      </c>
      <c r="I3437" s="34" t="s">
        <v>5081</v>
      </c>
      <c r="J3437" s="36">
        <v>172.5</v>
      </c>
      <c r="K3437" t="s">
        <v>2030</v>
      </c>
    </row>
    <row r="3438" spans="1:11" x14ac:dyDescent="0.3">
      <c r="A3438" t="s">
        <v>818</v>
      </c>
      <c r="B3438" s="33">
        <v>43290</v>
      </c>
      <c r="C3438" s="34" t="s">
        <v>4538</v>
      </c>
      <c r="D3438" s="34">
        <v>1</v>
      </c>
      <c r="E3438" s="35" t="s">
        <v>4495</v>
      </c>
      <c r="F3438" s="35" t="s">
        <v>316</v>
      </c>
      <c r="G3438" s="106" t="s">
        <v>3852</v>
      </c>
      <c r="H3438" s="33">
        <v>43252</v>
      </c>
      <c r="I3438" s="34" t="s">
        <v>5082</v>
      </c>
      <c r="J3438" s="36">
        <v>225</v>
      </c>
      <c r="K3438" t="s">
        <v>2030</v>
      </c>
    </row>
    <row r="3439" spans="1:11" x14ac:dyDescent="0.3">
      <c r="A3439" t="s">
        <v>818</v>
      </c>
      <c r="B3439" s="33">
        <v>43290</v>
      </c>
      <c r="C3439" s="34" t="s">
        <v>4538</v>
      </c>
      <c r="D3439" s="34">
        <v>1</v>
      </c>
      <c r="E3439" s="35" t="s">
        <v>4495</v>
      </c>
      <c r="F3439" s="35" t="s">
        <v>323</v>
      </c>
      <c r="G3439" s="106" t="s">
        <v>3852</v>
      </c>
      <c r="H3439" s="33">
        <v>43252</v>
      </c>
      <c r="I3439" s="34" t="s">
        <v>5083</v>
      </c>
      <c r="J3439" s="36">
        <v>172.5</v>
      </c>
      <c r="K3439" t="s">
        <v>2030</v>
      </c>
    </row>
    <row r="3440" spans="1:11" x14ac:dyDescent="0.3">
      <c r="A3440" t="s">
        <v>818</v>
      </c>
      <c r="B3440" s="33">
        <v>43290</v>
      </c>
      <c r="C3440" s="34" t="s">
        <v>4538</v>
      </c>
      <c r="D3440" s="34">
        <v>1</v>
      </c>
      <c r="E3440" s="35" t="s">
        <v>4495</v>
      </c>
      <c r="F3440" s="35" t="s">
        <v>317</v>
      </c>
      <c r="G3440" s="106" t="s">
        <v>3852</v>
      </c>
      <c r="H3440" s="33">
        <v>43252</v>
      </c>
      <c r="I3440" s="34" t="s">
        <v>5084</v>
      </c>
      <c r="J3440" s="36">
        <v>225</v>
      </c>
      <c r="K3440" t="s">
        <v>2030</v>
      </c>
    </row>
    <row r="3441" spans="1:11" x14ac:dyDescent="0.3">
      <c r="A3441" t="s">
        <v>818</v>
      </c>
      <c r="B3441" s="33">
        <v>43290</v>
      </c>
      <c r="C3441" s="34" t="s">
        <v>4538</v>
      </c>
      <c r="D3441" s="34">
        <v>1</v>
      </c>
      <c r="E3441" s="35" t="s">
        <v>4495</v>
      </c>
      <c r="F3441" s="35" t="s">
        <v>318</v>
      </c>
      <c r="G3441" s="106" t="s">
        <v>3852</v>
      </c>
      <c r="H3441" s="33">
        <v>43252</v>
      </c>
      <c r="I3441" s="34" t="s">
        <v>5085</v>
      </c>
      <c r="J3441" s="36">
        <v>172.5</v>
      </c>
      <c r="K3441" t="s">
        <v>2030</v>
      </c>
    </row>
    <row r="3442" spans="1:11" x14ac:dyDescent="0.3">
      <c r="A3442" t="s">
        <v>818</v>
      </c>
      <c r="B3442" s="33">
        <v>43290</v>
      </c>
      <c r="C3442" s="34" t="s">
        <v>4538</v>
      </c>
      <c r="D3442" s="34">
        <v>1</v>
      </c>
      <c r="E3442" s="35" t="s">
        <v>4495</v>
      </c>
      <c r="F3442" s="35" t="s">
        <v>320</v>
      </c>
      <c r="G3442" s="106" t="s">
        <v>3852</v>
      </c>
      <c r="H3442" s="33">
        <v>43252</v>
      </c>
      <c r="I3442" s="34" t="s">
        <v>5086</v>
      </c>
      <c r="J3442" s="36">
        <v>172.5</v>
      </c>
      <c r="K3442" t="s">
        <v>2030</v>
      </c>
    </row>
    <row r="3443" spans="1:11" x14ac:dyDescent="0.3">
      <c r="A3443" t="s">
        <v>818</v>
      </c>
      <c r="B3443" s="33">
        <v>43290</v>
      </c>
      <c r="C3443" s="34" t="s">
        <v>4538</v>
      </c>
      <c r="D3443" s="34">
        <v>1</v>
      </c>
      <c r="E3443" s="35" t="s">
        <v>4495</v>
      </c>
      <c r="F3443" s="35" t="s">
        <v>315</v>
      </c>
      <c r="G3443" s="106" t="s">
        <v>3852</v>
      </c>
      <c r="H3443" s="33">
        <v>43252</v>
      </c>
      <c r="I3443" s="34" t="s">
        <v>5087</v>
      </c>
      <c r="J3443" s="36">
        <v>225</v>
      </c>
      <c r="K3443" t="s">
        <v>2030</v>
      </c>
    </row>
    <row r="3444" spans="1:11" x14ac:dyDescent="0.3">
      <c r="A3444" t="s">
        <v>818</v>
      </c>
      <c r="B3444" s="33">
        <v>43290</v>
      </c>
      <c r="C3444" s="34" t="s">
        <v>4538</v>
      </c>
      <c r="D3444" s="34">
        <v>1</v>
      </c>
      <c r="E3444" s="35" t="s">
        <v>4495</v>
      </c>
      <c r="F3444" s="35" t="s">
        <v>319</v>
      </c>
      <c r="G3444" s="106" t="s">
        <v>3852</v>
      </c>
      <c r="H3444" s="33">
        <v>43252</v>
      </c>
      <c r="I3444" s="34" t="s">
        <v>5088</v>
      </c>
      <c r="J3444" s="36">
        <v>172.5</v>
      </c>
      <c r="K3444" t="s">
        <v>2030</v>
      </c>
    </row>
    <row r="3445" spans="1:11" x14ac:dyDescent="0.3">
      <c r="A3445" t="s">
        <v>818</v>
      </c>
      <c r="B3445" s="33">
        <v>43290</v>
      </c>
      <c r="C3445" s="34" t="s">
        <v>4538</v>
      </c>
      <c r="D3445" s="34">
        <v>1</v>
      </c>
      <c r="E3445" s="35" t="s">
        <v>4495</v>
      </c>
      <c r="F3445" s="35" t="s">
        <v>313</v>
      </c>
      <c r="G3445" s="106" t="s">
        <v>3852</v>
      </c>
      <c r="H3445" s="33">
        <v>43252</v>
      </c>
      <c r="I3445" s="34" t="s">
        <v>5089</v>
      </c>
      <c r="J3445" s="36">
        <v>225</v>
      </c>
      <c r="K3445" t="s">
        <v>2030</v>
      </c>
    </row>
    <row r="3446" spans="1:11" x14ac:dyDescent="0.3">
      <c r="A3446" t="s">
        <v>818</v>
      </c>
      <c r="B3446" s="33">
        <v>43290</v>
      </c>
      <c r="C3446" s="34" t="s">
        <v>4538</v>
      </c>
      <c r="D3446" s="34">
        <v>1</v>
      </c>
      <c r="E3446" s="35" t="s">
        <v>4495</v>
      </c>
      <c r="F3446" s="35" t="s">
        <v>309</v>
      </c>
      <c r="G3446" s="106" t="s">
        <v>3852</v>
      </c>
      <c r="H3446" s="33">
        <v>43252</v>
      </c>
      <c r="I3446" s="34" t="s">
        <v>5090</v>
      </c>
      <c r="J3446" s="36">
        <v>172.5</v>
      </c>
      <c r="K3446" t="s">
        <v>2030</v>
      </c>
    </row>
    <row r="3447" spans="1:11" x14ac:dyDescent="0.3">
      <c r="A3447" t="s">
        <v>818</v>
      </c>
      <c r="B3447" s="33">
        <v>43290</v>
      </c>
      <c r="C3447" s="34" t="s">
        <v>4538</v>
      </c>
      <c r="D3447" s="34">
        <v>1</v>
      </c>
      <c r="E3447" s="35" t="s">
        <v>4495</v>
      </c>
      <c r="F3447" s="35" t="s">
        <v>311</v>
      </c>
      <c r="G3447" s="106" t="s">
        <v>3852</v>
      </c>
      <c r="H3447" s="33">
        <v>43252</v>
      </c>
      <c r="I3447" s="34" t="s">
        <v>5091</v>
      </c>
      <c r="J3447" s="36">
        <v>172.5</v>
      </c>
      <c r="K3447" t="s">
        <v>2030</v>
      </c>
    </row>
    <row r="3448" spans="1:11" x14ac:dyDescent="0.3">
      <c r="A3448" t="s">
        <v>818</v>
      </c>
      <c r="B3448" s="33">
        <v>43290</v>
      </c>
      <c r="C3448" s="34" t="s">
        <v>4538</v>
      </c>
      <c r="D3448" s="34">
        <v>1</v>
      </c>
      <c r="E3448" s="35" t="s">
        <v>4495</v>
      </c>
      <c r="F3448" s="35" t="s">
        <v>11</v>
      </c>
      <c r="G3448" s="106" t="s">
        <v>3852</v>
      </c>
      <c r="H3448" s="33">
        <v>43252</v>
      </c>
      <c r="I3448" s="34" t="s">
        <v>5092</v>
      </c>
      <c r="J3448" s="36">
        <v>225</v>
      </c>
      <c r="K3448" t="s">
        <v>2030</v>
      </c>
    </row>
    <row r="3449" spans="1:11" x14ac:dyDescent="0.3">
      <c r="A3449" t="s">
        <v>818</v>
      </c>
      <c r="B3449" s="33">
        <v>43290</v>
      </c>
      <c r="C3449" s="34" t="s">
        <v>4538</v>
      </c>
      <c r="D3449" s="34">
        <v>1</v>
      </c>
      <c r="E3449" s="35" t="s">
        <v>4495</v>
      </c>
      <c r="F3449" s="35" t="s">
        <v>310</v>
      </c>
      <c r="G3449" s="106" t="s">
        <v>3852</v>
      </c>
      <c r="H3449" s="33">
        <v>43252</v>
      </c>
      <c r="I3449" s="34" t="s">
        <v>5093</v>
      </c>
      <c r="J3449" s="36">
        <v>172.5</v>
      </c>
      <c r="K3449" t="s">
        <v>2030</v>
      </c>
    </row>
    <row r="3450" spans="1:11" x14ac:dyDescent="0.3">
      <c r="A3450" t="s">
        <v>818</v>
      </c>
      <c r="B3450" s="33">
        <v>43290</v>
      </c>
      <c r="C3450" s="34" t="s">
        <v>4538</v>
      </c>
      <c r="D3450" s="34">
        <v>1</v>
      </c>
      <c r="E3450" s="35" t="s">
        <v>4495</v>
      </c>
      <c r="F3450" s="35" t="s">
        <v>305</v>
      </c>
      <c r="G3450" s="106" t="s">
        <v>3852</v>
      </c>
      <c r="H3450" s="33">
        <v>43252</v>
      </c>
      <c r="I3450" s="34" t="s">
        <v>5094</v>
      </c>
      <c r="J3450" s="36">
        <v>172.5</v>
      </c>
      <c r="K3450" t="s">
        <v>2030</v>
      </c>
    </row>
    <row r="3451" spans="1:11" x14ac:dyDescent="0.3">
      <c r="A3451" t="s">
        <v>818</v>
      </c>
      <c r="B3451" s="33">
        <v>43290</v>
      </c>
      <c r="C3451" s="34" t="s">
        <v>4538</v>
      </c>
      <c r="D3451" s="34">
        <v>1</v>
      </c>
      <c r="E3451" s="35" t="s">
        <v>4495</v>
      </c>
      <c r="F3451" s="35" t="s">
        <v>126</v>
      </c>
      <c r="G3451" s="106" t="s">
        <v>3852</v>
      </c>
      <c r="H3451" s="33">
        <v>43252</v>
      </c>
      <c r="I3451" s="34" t="s">
        <v>5115</v>
      </c>
      <c r="J3451" s="36">
        <v>172.5</v>
      </c>
      <c r="K3451" t="s">
        <v>2030</v>
      </c>
    </row>
    <row r="3452" spans="1:11" x14ac:dyDescent="0.3">
      <c r="A3452" t="s">
        <v>818</v>
      </c>
      <c r="B3452" s="33">
        <v>43290</v>
      </c>
      <c r="C3452" s="34" t="s">
        <v>4538</v>
      </c>
      <c r="D3452" s="34">
        <v>1</v>
      </c>
      <c r="E3452" s="35" t="s">
        <v>4495</v>
      </c>
      <c r="F3452" s="35" t="s">
        <v>125</v>
      </c>
      <c r="G3452" s="106" t="s">
        <v>3852</v>
      </c>
      <c r="H3452" s="33">
        <v>43252</v>
      </c>
      <c r="I3452" s="34" t="s">
        <v>5116</v>
      </c>
      <c r="J3452" s="36">
        <v>172.5</v>
      </c>
      <c r="K3452" t="s">
        <v>2030</v>
      </c>
    </row>
    <row r="3453" spans="1:11" x14ac:dyDescent="0.3">
      <c r="A3453" t="s">
        <v>818</v>
      </c>
      <c r="B3453" s="33">
        <v>43290</v>
      </c>
      <c r="C3453" s="34" t="s">
        <v>4538</v>
      </c>
      <c r="D3453" s="34">
        <v>1</v>
      </c>
      <c r="E3453" s="35" t="s">
        <v>4495</v>
      </c>
      <c r="F3453" s="35" t="s">
        <v>20</v>
      </c>
      <c r="G3453" s="106" t="s">
        <v>3852</v>
      </c>
      <c r="H3453" s="33">
        <v>43252</v>
      </c>
      <c r="I3453" s="34" t="s">
        <v>5117</v>
      </c>
      <c r="J3453" s="36">
        <v>225</v>
      </c>
      <c r="K3453" t="s">
        <v>2030</v>
      </c>
    </row>
    <row r="3454" spans="1:11" x14ac:dyDescent="0.3">
      <c r="A3454" t="s">
        <v>818</v>
      </c>
      <c r="B3454" s="33">
        <v>43290</v>
      </c>
      <c r="C3454" s="34" t="s">
        <v>4538</v>
      </c>
      <c r="D3454" s="34">
        <v>1</v>
      </c>
      <c r="E3454" s="35" t="s">
        <v>4495</v>
      </c>
      <c r="F3454" s="35" t="s">
        <v>22</v>
      </c>
      <c r="G3454" s="106" t="s">
        <v>3852</v>
      </c>
      <c r="H3454" s="33">
        <v>43252</v>
      </c>
      <c r="I3454" s="34" t="s">
        <v>5118</v>
      </c>
      <c r="J3454" s="36">
        <v>225</v>
      </c>
      <c r="K3454" t="s">
        <v>2030</v>
      </c>
    </row>
    <row r="3455" spans="1:11" x14ac:dyDescent="0.3">
      <c r="A3455" t="s">
        <v>818</v>
      </c>
      <c r="B3455" s="33">
        <v>43290</v>
      </c>
      <c r="C3455" s="34" t="s">
        <v>4538</v>
      </c>
      <c r="D3455" s="34">
        <v>1</v>
      </c>
      <c r="E3455" s="35" t="s">
        <v>4495</v>
      </c>
      <c r="F3455" s="35" t="s">
        <v>19</v>
      </c>
      <c r="G3455" s="106" t="s">
        <v>3852</v>
      </c>
      <c r="H3455" s="33">
        <v>43252</v>
      </c>
      <c r="I3455" s="34" t="s">
        <v>5119</v>
      </c>
      <c r="J3455" s="36">
        <v>225</v>
      </c>
      <c r="K3455" t="s">
        <v>2030</v>
      </c>
    </row>
    <row r="3456" spans="1:11" x14ac:dyDescent="0.3">
      <c r="A3456" t="s">
        <v>818</v>
      </c>
      <c r="B3456" s="33">
        <v>43290</v>
      </c>
      <c r="C3456" s="34" t="s">
        <v>4538</v>
      </c>
      <c r="D3456" s="34">
        <v>1</v>
      </c>
      <c r="E3456" s="35" t="s">
        <v>4495</v>
      </c>
      <c r="F3456" s="35" t="s">
        <v>13</v>
      </c>
      <c r="G3456" s="106" t="s">
        <v>3852</v>
      </c>
      <c r="H3456" s="33">
        <v>43252</v>
      </c>
      <c r="I3456" s="34" t="s">
        <v>5120</v>
      </c>
      <c r="J3456" s="36">
        <v>225</v>
      </c>
      <c r="K3456" t="s">
        <v>2030</v>
      </c>
    </row>
    <row r="3457" spans="1:11" x14ac:dyDescent="0.3">
      <c r="A3457" t="s">
        <v>818</v>
      </c>
      <c r="B3457" s="33">
        <v>43290</v>
      </c>
      <c r="C3457" s="34" t="s">
        <v>4538</v>
      </c>
      <c r="D3457" s="34">
        <v>1</v>
      </c>
      <c r="E3457" s="35" t="s">
        <v>4495</v>
      </c>
      <c r="F3457" s="35" t="s">
        <v>17</v>
      </c>
      <c r="G3457" s="106" t="s">
        <v>3852</v>
      </c>
      <c r="H3457" s="33">
        <v>43252</v>
      </c>
      <c r="I3457" s="34" t="s">
        <v>5121</v>
      </c>
      <c r="J3457" s="36">
        <v>225</v>
      </c>
      <c r="K3457" t="s">
        <v>2030</v>
      </c>
    </row>
    <row r="3458" spans="1:11" x14ac:dyDescent="0.3">
      <c r="A3458" t="s">
        <v>818</v>
      </c>
      <c r="B3458" s="33">
        <v>43290</v>
      </c>
      <c r="C3458" s="34" t="s">
        <v>4538</v>
      </c>
      <c r="D3458" s="34">
        <v>1</v>
      </c>
      <c r="E3458" s="35" t="s">
        <v>4495</v>
      </c>
      <c r="F3458" s="35" t="s">
        <v>16</v>
      </c>
      <c r="G3458" s="106" t="s">
        <v>3852</v>
      </c>
      <c r="H3458" s="33">
        <v>43252</v>
      </c>
      <c r="I3458" s="34" t="s">
        <v>5122</v>
      </c>
      <c r="J3458" s="36">
        <v>225</v>
      </c>
      <c r="K3458" t="s">
        <v>2030</v>
      </c>
    </row>
    <row r="3459" spans="1:11" x14ac:dyDescent="0.3">
      <c r="A3459" t="s">
        <v>818</v>
      </c>
      <c r="B3459" s="33">
        <v>43290</v>
      </c>
      <c r="C3459" s="34" t="s">
        <v>4538</v>
      </c>
      <c r="D3459" s="34">
        <v>1</v>
      </c>
      <c r="E3459" s="35" t="s">
        <v>4495</v>
      </c>
      <c r="F3459" s="35" t="s">
        <v>342</v>
      </c>
      <c r="G3459" s="106" t="s">
        <v>3852</v>
      </c>
      <c r="H3459" s="33">
        <v>43252</v>
      </c>
      <c r="I3459" s="34" t="s">
        <v>5123</v>
      </c>
      <c r="J3459" s="36">
        <v>172.5</v>
      </c>
      <c r="K3459" t="s">
        <v>2030</v>
      </c>
    </row>
    <row r="3460" spans="1:11" x14ac:dyDescent="0.3">
      <c r="A3460" t="s">
        <v>818</v>
      </c>
      <c r="B3460" s="33">
        <v>43290</v>
      </c>
      <c r="C3460" s="34" t="s">
        <v>4538</v>
      </c>
      <c r="D3460" s="34">
        <v>1</v>
      </c>
      <c r="E3460" s="35" t="s">
        <v>4495</v>
      </c>
      <c r="F3460" s="35" t="s">
        <v>24</v>
      </c>
      <c r="G3460" s="106" t="s">
        <v>3852</v>
      </c>
      <c r="H3460" s="33">
        <v>43252</v>
      </c>
      <c r="I3460" s="34" t="s">
        <v>5124</v>
      </c>
      <c r="J3460" s="36">
        <v>225</v>
      </c>
      <c r="K3460" t="s">
        <v>2030</v>
      </c>
    </row>
    <row r="3461" spans="1:11" x14ac:dyDescent="0.3">
      <c r="A3461" t="s">
        <v>818</v>
      </c>
      <c r="B3461" s="33">
        <v>43290</v>
      </c>
      <c r="C3461" s="34" t="s">
        <v>4538</v>
      </c>
      <c r="D3461" s="34">
        <v>1</v>
      </c>
      <c r="E3461" s="35" t="s">
        <v>4495</v>
      </c>
      <c r="F3461" s="35" t="s">
        <v>23</v>
      </c>
      <c r="G3461" s="106" t="s">
        <v>3852</v>
      </c>
      <c r="H3461" s="33">
        <v>43252</v>
      </c>
      <c r="I3461" s="34" t="s">
        <v>5125</v>
      </c>
      <c r="J3461" s="36">
        <v>225</v>
      </c>
      <c r="K3461" t="s">
        <v>2030</v>
      </c>
    </row>
    <row r="3462" spans="1:11" x14ac:dyDescent="0.3">
      <c r="A3462" t="s">
        <v>818</v>
      </c>
      <c r="B3462" s="33">
        <v>43290</v>
      </c>
      <c r="C3462" s="34" t="s">
        <v>4538</v>
      </c>
      <c r="D3462" s="34">
        <v>1</v>
      </c>
      <c r="E3462" s="35" t="s">
        <v>4495</v>
      </c>
      <c r="F3462" s="35" t="s">
        <v>21</v>
      </c>
      <c r="G3462" s="106" t="s">
        <v>3852</v>
      </c>
      <c r="H3462" s="33">
        <v>43252</v>
      </c>
      <c r="I3462" s="34" t="s">
        <v>5126</v>
      </c>
      <c r="J3462" s="36">
        <v>225</v>
      </c>
      <c r="K3462" t="s">
        <v>2030</v>
      </c>
    </row>
    <row r="3463" spans="1:11" x14ac:dyDescent="0.3">
      <c r="A3463" t="s">
        <v>818</v>
      </c>
      <c r="B3463" s="33">
        <v>43290</v>
      </c>
      <c r="C3463" s="34" t="s">
        <v>4538</v>
      </c>
      <c r="D3463" s="34">
        <v>1</v>
      </c>
      <c r="E3463" s="35" t="s">
        <v>4495</v>
      </c>
      <c r="F3463" s="35" t="s">
        <v>18</v>
      </c>
      <c r="G3463" s="106" t="s">
        <v>3852</v>
      </c>
      <c r="H3463" s="33">
        <v>43252</v>
      </c>
      <c r="I3463" s="34" t="s">
        <v>5127</v>
      </c>
      <c r="J3463" s="36">
        <v>225</v>
      </c>
      <c r="K3463" t="s">
        <v>2030</v>
      </c>
    </row>
    <row r="3464" spans="1:11" x14ac:dyDescent="0.3">
      <c r="A3464" t="s">
        <v>818</v>
      </c>
      <c r="B3464" s="33">
        <v>43290</v>
      </c>
      <c r="C3464" s="34" t="s">
        <v>4538</v>
      </c>
      <c r="D3464" s="34">
        <v>1</v>
      </c>
      <c r="E3464" s="35" t="s">
        <v>4495</v>
      </c>
      <c r="F3464" s="35" t="s">
        <v>15</v>
      </c>
      <c r="G3464" s="106" t="s">
        <v>3852</v>
      </c>
      <c r="H3464" s="33">
        <v>43252</v>
      </c>
      <c r="I3464" s="34" t="s">
        <v>5128</v>
      </c>
      <c r="J3464" s="36">
        <v>225</v>
      </c>
      <c r="K3464" t="s">
        <v>2030</v>
      </c>
    </row>
    <row r="3465" spans="1:11" x14ac:dyDescent="0.3">
      <c r="A3465" t="s">
        <v>818</v>
      </c>
      <c r="B3465" s="33">
        <v>43290</v>
      </c>
      <c r="C3465" s="34" t="s">
        <v>4538</v>
      </c>
      <c r="D3465" s="34">
        <v>1</v>
      </c>
      <c r="E3465" s="35" t="s">
        <v>4495</v>
      </c>
      <c r="F3465" s="35" t="s">
        <v>14</v>
      </c>
      <c r="G3465" s="106" t="s">
        <v>3852</v>
      </c>
      <c r="H3465" s="33">
        <v>43252</v>
      </c>
      <c r="I3465" s="34" t="s">
        <v>5129</v>
      </c>
      <c r="J3465" s="36">
        <v>225</v>
      </c>
      <c r="K3465" t="s">
        <v>2030</v>
      </c>
    </row>
    <row r="3466" spans="1:11" x14ac:dyDescent="0.3">
      <c r="A3466" t="s">
        <v>818</v>
      </c>
      <c r="B3466" s="33">
        <v>43290</v>
      </c>
      <c r="C3466" s="34" t="s">
        <v>4538</v>
      </c>
      <c r="D3466" s="34">
        <v>1</v>
      </c>
      <c r="E3466" s="35" t="s">
        <v>4495</v>
      </c>
      <c r="F3466" s="35" t="s">
        <v>337</v>
      </c>
      <c r="G3466" s="106" t="s">
        <v>3852</v>
      </c>
      <c r="H3466" s="33">
        <v>43252</v>
      </c>
      <c r="I3466" s="34" t="s">
        <v>5130</v>
      </c>
      <c r="J3466" s="36">
        <v>225</v>
      </c>
      <c r="K3466" t="s">
        <v>2030</v>
      </c>
    </row>
    <row r="3467" spans="1:11" x14ac:dyDescent="0.3">
      <c r="A3467" t="s">
        <v>1550</v>
      </c>
      <c r="B3467" s="33">
        <v>43290</v>
      </c>
      <c r="C3467" s="34" t="s">
        <v>4450</v>
      </c>
      <c r="D3467" s="34">
        <v>2000</v>
      </c>
      <c r="E3467" s="35" t="s">
        <v>4477</v>
      </c>
      <c r="F3467" s="35" t="s">
        <v>1543</v>
      </c>
      <c r="G3467" s="106" t="s">
        <v>3852</v>
      </c>
      <c r="H3467" s="33">
        <v>43252</v>
      </c>
      <c r="I3467" s="34" t="s">
        <v>4478</v>
      </c>
      <c r="J3467" s="36">
        <v>172.5</v>
      </c>
      <c r="K3467" t="s">
        <v>2030</v>
      </c>
    </row>
    <row r="3468" spans="1:11" x14ac:dyDescent="0.3">
      <c r="A3468" t="s">
        <v>1550</v>
      </c>
      <c r="B3468" s="33">
        <v>43290</v>
      </c>
      <c r="C3468" s="34" t="s">
        <v>4450</v>
      </c>
      <c r="D3468" s="34">
        <v>2000</v>
      </c>
      <c r="E3468" s="35" t="s">
        <v>4477</v>
      </c>
      <c r="F3468" s="35" t="s">
        <v>1542</v>
      </c>
      <c r="G3468" s="106" t="s">
        <v>3852</v>
      </c>
      <c r="H3468" s="33">
        <v>43252</v>
      </c>
      <c r="I3468" s="34" t="s">
        <v>4483</v>
      </c>
      <c r="J3468" s="36">
        <v>172.5</v>
      </c>
      <c r="K3468" t="s">
        <v>2030</v>
      </c>
    </row>
    <row r="3469" spans="1:11" x14ac:dyDescent="0.3">
      <c r="A3469" t="s">
        <v>1550</v>
      </c>
      <c r="B3469" s="33">
        <v>43290</v>
      </c>
      <c r="C3469" s="34" t="s">
        <v>4450</v>
      </c>
      <c r="D3469" s="34">
        <v>2000</v>
      </c>
      <c r="E3469" s="35" t="s">
        <v>4477</v>
      </c>
      <c r="F3469" s="35" t="s">
        <v>1541</v>
      </c>
      <c r="G3469" s="106" t="s">
        <v>3852</v>
      </c>
      <c r="H3469" s="33">
        <v>43252</v>
      </c>
      <c r="I3469" s="34" t="s">
        <v>4484</v>
      </c>
      <c r="J3469" s="36">
        <v>172.5</v>
      </c>
      <c r="K3469" t="s">
        <v>2030</v>
      </c>
    </row>
    <row r="3470" spans="1:11" x14ac:dyDescent="0.3">
      <c r="A3470" t="s">
        <v>1550</v>
      </c>
      <c r="B3470" s="33">
        <v>43290</v>
      </c>
      <c r="C3470" s="34" t="s">
        <v>4450</v>
      </c>
      <c r="D3470" s="34">
        <v>2000</v>
      </c>
      <c r="E3470" s="35" t="s">
        <v>4477</v>
      </c>
      <c r="F3470" s="35" t="s">
        <v>1544</v>
      </c>
      <c r="G3470" s="106" t="s">
        <v>3852</v>
      </c>
      <c r="H3470" s="33">
        <v>43252</v>
      </c>
      <c r="I3470" s="34" t="s">
        <v>4488</v>
      </c>
      <c r="J3470" s="36">
        <v>172.5</v>
      </c>
      <c r="K3470" t="s">
        <v>2030</v>
      </c>
    </row>
    <row r="3471" spans="1:11" x14ac:dyDescent="0.3">
      <c r="A3471" t="s">
        <v>1550</v>
      </c>
      <c r="B3471" s="33">
        <v>43290</v>
      </c>
      <c r="C3471" s="34" t="s">
        <v>4450</v>
      </c>
      <c r="D3471" s="34">
        <v>2000</v>
      </c>
      <c r="E3471" s="35" t="s">
        <v>4477</v>
      </c>
      <c r="F3471" s="35" t="s">
        <v>1546</v>
      </c>
      <c r="G3471" s="106" t="s">
        <v>3852</v>
      </c>
      <c r="H3471" s="33">
        <v>43252</v>
      </c>
      <c r="I3471" s="34" t="s">
        <v>4489</v>
      </c>
      <c r="J3471" s="36">
        <v>270</v>
      </c>
      <c r="K3471" t="s">
        <v>2030</v>
      </c>
    </row>
    <row r="3472" spans="1:11" x14ac:dyDescent="0.3">
      <c r="A3472" t="s">
        <v>1550</v>
      </c>
      <c r="B3472" s="33">
        <v>43290</v>
      </c>
      <c r="C3472" s="34" t="s">
        <v>4450</v>
      </c>
      <c r="D3472" s="34">
        <v>2000</v>
      </c>
      <c r="E3472" s="35" t="s">
        <v>4477</v>
      </c>
      <c r="F3472" s="35" t="s">
        <v>1545</v>
      </c>
      <c r="G3472" s="106" t="s">
        <v>3852</v>
      </c>
      <c r="H3472" s="33">
        <v>43252</v>
      </c>
      <c r="I3472" s="34" t="s">
        <v>4493</v>
      </c>
      <c r="J3472" s="36">
        <v>480</v>
      </c>
      <c r="K3472" t="s">
        <v>2030</v>
      </c>
    </row>
    <row r="3473" spans="1:11" x14ac:dyDescent="0.3">
      <c r="A3473" t="s">
        <v>1550</v>
      </c>
      <c r="B3473" s="33">
        <v>43290</v>
      </c>
      <c r="C3473" s="34" t="s">
        <v>4538</v>
      </c>
      <c r="D3473" s="34">
        <v>1</v>
      </c>
      <c r="E3473" s="35" t="s">
        <v>4477</v>
      </c>
      <c r="F3473" s="35" t="s">
        <v>1410</v>
      </c>
      <c r="G3473" s="106" t="s">
        <v>3852</v>
      </c>
      <c r="H3473" s="33">
        <v>43252</v>
      </c>
      <c r="I3473" s="34" t="s">
        <v>4685</v>
      </c>
      <c r="J3473" s="36">
        <v>270</v>
      </c>
      <c r="K3473" t="s">
        <v>2030</v>
      </c>
    </row>
    <row r="3474" spans="1:11" x14ac:dyDescent="0.3">
      <c r="A3474" t="s">
        <v>1550</v>
      </c>
      <c r="B3474" s="33">
        <v>43290</v>
      </c>
      <c r="C3474" s="34" t="s">
        <v>4538</v>
      </c>
      <c r="D3474" s="34">
        <v>1</v>
      </c>
      <c r="E3474" s="35" t="s">
        <v>4477</v>
      </c>
      <c r="F3474" s="35" t="s">
        <v>1408</v>
      </c>
      <c r="G3474" s="106" t="s">
        <v>3852</v>
      </c>
      <c r="H3474" s="33">
        <v>43252</v>
      </c>
      <c r="I3474" s="34" t="s">
        <v>4686</v>
      </c>
      <c r="J3474" s="36">
        <v>270</v>
      </c>
      <c r="K3474" t="s">
        <v>2030</v>
      </c>
    </row>
    <row r="3475" spans="1:11" x14ac:dyDescent="0.3">
      <c r="A3475" t="s">
        <v>1550</v>
      </c>
      <c r="B3475" s="33">
        <v>43290</v>
      </c>
      <c r="C3475" s="34" t="s">
        <v>4538</v>
      </c>
      <c r="D3475" s="34">
        <v>1</v>
      </c>
      <c r="E3475" s="35" t="s">
        <v>4477</v>
      </c>
      <c r="F3475" s="35" t="s">
        <v>1397</v>
      </c>
      <c r="G3475" s="106" t="s">
        <v>3852</v>
      </c>
      <c r="H3475" s="33">
        <v>43252</v>
      </c>
      <c r="I3475" s="34" t="s">
        <v>4687</v>
      </c>
      <c r="J3475" s="36">
        <v>232.5</v>
      </c>
      <c r="K3475" t="s">
        <v>2030</v>
      </c>
    </row>
    <row r="3476" spans="1:11" x14ac:dyDescent="0.3">
      <c r="A3476" t="s">
        <v>1550</v>
      </c>
      <c r="B3476" s="33">
        <v>43290</v>
      </c>
      <c r="C3476" s="34" t="s">
        <v>4538</v>
      </c>
      <c r="D3476" s="34">
        <v>1</v>
      </c>
      <c r="E3476" s="35" t="s">
        <v>4477</v>
      </c>
      <c r="F3476" s="35" t="s">
        <v>1403</v>
      </c>
      <c r="G3476" s="106" t="s">
        <v>3852</v>
      </c>
      <c r="H3476" s="33">
        <v>43252</v>
      </c>
      <c r="I3476" s="34" t="s">
        <v>4688</v>
      </c>
      <c r="J3476" s="36">
        <v>480</v>
      </c>
      <c r="K3476" t="s">
        <v>2030</v>
      </c>
    </row>
    <row r="3477" spans="1:11" x14ac:dyDescent="0.3">
      <c r="A3477" t="s">
        <v>1550</v>
      </c>
      <c r="B3477" s="33">
        <v>43290</v>
      </c>
      <c r="C3477" s="34" t="s">
        <v>4538</v>
      </c>
      <c r="D3477" s="34">
        <v>1</v>
      </c>
      <c r="E3477" s="35" t="s">
        <v>4477</v>
      </c>
      <c r="F3477" s="35" t="s">
        <v>1400</v>
      </c>
      <c r="G3477" s="106" t="s">
        <v>3852</v>
      </c>
      <c r="H3477" s="33">
        <v>43252</v>
      </c>
      <c r="I3477" s="34" t="s">
        <v>4689</v>
      </c>
      <c r="J3477" s="36">
        <v>232.5</v>
      </c>
      <c r="K3477" t="s">
        <v>2030</v>
      </c>
    </row>
    <row r="3478" spans="1:11" x14ac:dyDescent="0.3">
      <c r="A3478" t="s">
        <v>1550</v>
      </c>
      <c r="B3478" s="33">
        <v>43290</v>
      </c>
      <c r="C3478" s="34" t="s">
        <v>4538</v>
      </c>
      <c r="D3478" s="34">
        <v>1</v>
      </c>
      <c r="E3478" s="35" t="s">
        <v>4477</v>
      </c>
      <c r="F3478" s="35" t="s">
        <v>1399</v>
      </c>
      <c r="G3478" s="106" t="s">
        <v>3852</v>
      </c>
      <c r="H3478" s="33">
        <v>43252</v>
      </c>
      <c r="I3478" s="34" t="s">
        <v>4690</v>
      </c>
      <c r="J3478" s="36">
        <v>232.5</v>
      </c>
      <c r="K3478" t="s">
        <v>2030</v>
      </c>
    </row>
    <row r="3479" spans="1:11" x14ac:dyDescent="0.3">
      <c r="A3479" t="s">
        <v>1550</v>
      </c>
      <c r="B3479" s="33">
        <v>43290</v>
      </c>
      <c r="C3479" s="34" t="s">
        <v>4538</v>
      </c>
      <c r="D3479" s="34">
        <v>1</v>
      </c>
      <c r="E3479" s="35" t="s">
        <v>4477</v>
      </c>
      <c r="F3479" s="35" t="s">
        <v>1398</v>
      </c>
      <c r="G3479" s="106" t="s">
        <v>3852</v>
      </c>
      <c r="H3479" s="33">
        <v>43252</v>
      </c>
      <c r="I3479" s="34" t="s">
        <v>4691</v>
      </c>
      <c r="J3479" s="36">
        <v>232.5</v>
      </c>
      <c r="K3479" t="s">
        <v>2030</v>
      </c>
    </row>
    <row r="3480" spans="1:11" x14ac:dyDescent="0.3">
      <c r="A3480" t="s">
        <v>1550</v>
      </c>
      <c r="B3480" s="33">
        <v>43290</v>
      </c>
      <c r="C3480" s="34" t="s">
        <v>4538</v>
      </c>
      <c r="D3480" s="34">
        <v>1</v>
      </c>
      <c r="E3480" s="35" t="s">
        <v>4477</v>
      </c>
      <c r="F3480" s="35" t="s">
        <v>1396</v>
      </c>
      <c r="G3480" s="106" t="s">
        <v>3852</v>
      </c>
      <c r="H3480" s="33">
        <v>43252</v>
      </c>
      <c r="I3480" s="34" t="s">
        <v>4692</v>
      </c>
      <c r="J3480" s="36">
        <v>232.5</v>
      </c>
      <c r="K3480" t="s">
        <v>2030</v>
      </c>
    </row>
    <row r="3481" spans="1:11" x14ac:dyDescent="0.3">
      <c r="A3481" t="s">
        <v>1550</v>
      </c>
      <c r="B3481" s="33">
        <v>43290</v>
      </c>
      <c r="C3481" s="34" t="s">
        <v>4538</v>
      </c>
      <c r="D3481" s="34">
        <v>1</v>
      </c>
      <c r="E3481" s="35" t="s">
        <v>4477</v>
      </c>
      <c r="F3481" s="35" t="s">
        <v>1405</v>
      </c>
      <c r="G3481" s="106" t="s">
        <v>3852</v>
      </c>
      <c r="H3481" s="33">
        <v>43252</v>
      </c>
      <c r="I3481" s="34" t="s">
        <v>4693</v>
      </c>
      <c r="J3481" s="36">
        <v>480</v>
      </c>
      <c r="K3481" t="s">
        <v>2030</v>
      </c>
    </row>
    <row r="3482" spans="1:11" x14ac:dyDescent="0.3">
      <c r="A3482" t="s">
        <v>1550</v>
      </c>
      <c r="B3482" s="33">
        <v>43290</v>
      </c>
      <c r="C3482" s="34" t="s">
        <v>4538</v>
      </c>
      <c r="D3482" s="34">
        <v>1</v>
      </c>
      <c r="E3482" s="35" t="s">
        <v>4477</v>
      </c>
      <c r="F3482" s="35" t="s">
        <v>1402</v>
      </c>
      <c r="G3482" s="106" t="s">
        <v>3852</v>
      </c>
      <c r="H3482" s="33">
        <v>43252</v>
      </c>
      <c r="I3482" s="34" t="s">
        <v>4694</v>
      </c>
      <c r="J3482" s="36">
        <v>480</v>
      </c>
      <c r="K3482" t="s">
        <v>2030</v>
      </c>
    </row>
    <row r="3483" spans="1:11" x14ac:dyDescent="0.3">
      <c r="A3483" t="s">
        <v>1550</v>
      </c>
      <c r="B3483" s="33">
        <v>43290</v>
      </c>
      <c r="C3483" s="34" t="s">
        <v>4538</v>
      </c>
      <c r="D3483" s="34">
        <v>1</v>
      </c>
      <c r="E3483" s="35" t="s">
        <v>4477</v>
      </c>
      <c r="F3483" s="35" t="s">
        <v>1404</v>
      </c>
      <c r="G3483" s="106" t="s">
        <v>3852</v>
      </c>
      <c r="H3483" s="33">
        <v>43252</v>
      </c>
      <c r="I3483" s="34" t="s">
        <v>4695</v>
      </c>
      <c r="J3483" s="36">
        <v>480</v>
      </c>
      <c r="K3483" t="s">
        <v>2030</v>
      </c>
    </row>
    <row r="3484" spans="1:11" x14ac:dyDescent="0.3">
      <c r="A3484" t="s">
        <v>1550</v>
      </c>
      <c r="B3484" s="33">
        <v>43290</v>
      </c>
      <c r="C3484" s="34" t="s">
        <v>4538</v>
      </c>
      <c r="D3484" s="34">
        <v>1</v>
      </c>
      <c r="E3484" s="35" t="s">
        <v>4477</v>
      </c>
      <c r="F3484" s="35" t="s">
        <v>1395</v>
      </c>
      <c r="G3484" s="106" t="s">
        <v>3852</v>
      </c>
      <c r="H3484" s="33">
        <v>43252</v>
      </c>
      <c r="I3484" s="34" t="s">
        <v>4696</v>
      </c>
      <c r="J3484" s="36">
        <v>232.5</v>
      </c>
      <c r="K3484" t="s">
        <v>2030</v>
      </c>
    </row>
    <row r="3485" spans="1:11" x14ac:dyDescent="0.3">
      <c r="A3485" t="s">
        <v>1550</v>
      </c>
      <c r="B3485" s="33">
        <v>43290</v>
      </c>
      <c r="C3485" s="34" t="s">
        <v>4538</v>
      </c>
      <c r="D3485" s="34">
        <v>1</v>
      </c>
      <c r="E3485" s="35" t="s">
        <v>4477</v>
      </c>
      <c r="F3485" s="35" t="s">
        <v>1394</v>
      </c>
      <c r="G3485" s="106" t="s">
        <v>3852</v>
      </c>
      <c r="H3485" s="33">
        <v>43252</v>
      </c>
      <c r="I3485" s="34" t="s">
        <v>4697</v>
      </c>
      <c r="J3485" s="36">
        <v>556.79999999999995</v>
      </c>
      <c r="K3485" t="s">
        <v>2030</v>
      </c>
    </row>
    <row r="3486" spans="1:11" x14ac:dyDescent="0.3">
      <c r="A3486" t="s">
        <v>1550</v>
      </c>
      <c r="B3486" s="33">
        <v>43290</v>
      </c>
      <c r="C3486" s="34" t="s">
        <v>4538</v>
      </c>
      <c r="D3486" s="34">
        <v>1</v>
      </c>
      <c r="E3486" s="35" t="s">
        <v>4477</v>
      </c>
      <c r="F3486" s="35" t="s">
        <v>1391</v>
      </c>
      <c r="G3486" s="106" t="s">
        <v>3852</v>
      </c>
      <c r="H3486" s="33">
        <v>43252</v>
      </c>
      <c r="I3486" s="34" t="s">
        <v>4698</v>
      </c>
      <c r="J3486" s="36">
        <v>556.79999999999995</v>
      </c>
      <c r="K3486" t="s">
        <v>2030</v>
      </c>
    </row>
    <row r="3487" spans="1:11" x14ac:dyDescent="0.3">
      <c r="A3487" t="s">
        <v>1550</v>
      </c>
      <c r="B3487" s="33">
        <v>43290</v>
      </c>
      <c r="C3487" s="34" t="s">
        <v>4538</v>
      </c>
      <c r="D3487" s="34">
        <v>1</v>
      </c>
      <c r="E3487" s="35" t="s">
        <v>4477</v>
      </c>
      <c r="F3487" s="35" t="s">
        <v>1382</v>
      </c>
      <c r="G3487" s="106" t="s">
        <v>3852</v>
      </c>
      <c r="H3487" s="33">
        <v>43252</v>
      </c>
      <c r="I3487" s="34" t="s">
        <v>4699</v>
      </c>
      <c r="J3487" s="36">
        <v>480</v>
      </c>
      <c r="K3487" t="s">
        <v>2030</v>
      </c>
    </row>
    <row r="3488" spans="1:11" x14ac:dyDescent="0.3">
      <c r="A3488" t="s">
        <v>1550</v>
      </c>
      <c r="B3488" s="33">
        <v>43290</v>
      </c>
      <c r="C3488" s="34" t="s">
        <v>4538</v>
      </c>
      <c r="D3488" s="34">
        <v>1</v>
      </c>
      <c r="E3488" s="35" t="s">
        <v>4477</v>
      </c>
      <c r="F3488" s="35" t="s">
        <v>1390</v>
      </c>
      <c r="G3488" s="106" t="s">
        <v>3852</v>
      </c>
      <c r="H3488" s="33">
        <v>43252</v>
      </c>
      <c r="I3488" s="34" t="s">
        <v>4700</v>
      </c>
      <c r="J3488" s="36">
        <v>556.79999999999995</v>
      </c>
      <c r="K3488" t="s">
        <v>2030</v>
      </c>
    </row>
    <row r="3489" spans="1:11" x14ac:dyDescent="0.3">
      <c r="A3489" t="s">
        <v>1550</v>
      </c>
      <c r="B3489" s="33">
        <v>43290</v>
      </c>
      <c r="C3489" s="34" t="s">
        <v>4538</v>
      </c>
      <c r="D3489" s="34">
        <v>1</v>
      </c>
      <c r="E3489" s="35" t="s">
        <v>4477</v>
      </c>
      <c r="F3489" s="35" t="s">
        <v>1393</v>
      </c>
      <c r="G3489" s="106" t="s">
        <v>3852</v>
      </c>
      <c r="H3489" s="33">
        <v>43252</v>
      </c>
      <c r="I3489" s="34" t="s">
        <v>4701</v>
      </c>
      <c r="J3489" s="36">
        <v>556.79999999999995</v>
      </c>
      <c r="K3489" t="s">
        <v>2030</v>
      </c>
    </row>
    <row r="3490" spans="1:11" x14ac:dyDescent="0.3">
      <c r="A3490" t="s">
        <v>1550</v>
      </c>
      <c r="B3490" s="33">
        <v>43290</v>
      </c>
      <c r="C3490" s="34" t="s">
        <v>4538</v>
      </c>
      <c r="D3490" s="34">
        <v>1</v>
      </c>
      <c r="E3490" s="35" t="s">
        <v>4477</v>
      </c>
      <c r="F3490" s="35" t="s">
        <v>1388</v>
      </c>
      <c r="G3490" s="106" t="s">
        <v>3852</v>
      </c>
      <c r="H3490" s="33">
        <v>43252</v>
      </c>
      <c r="I3490" s="34" t="s">
        <v>4702</v>
      </c>
      <c r="J3490" s="36">
        <v>270</v>
      </c>
      <c r="K3490" t="s">
        <v>2030</v>
      </c>
    </row>
    <row r="3491" spans="1:11" x14ac:dyDescent="0.3">
      <c r="A3491" t="s">
        <v>1550</v>
      </c>
      <c r="B3491" s="33">
        <v>43290</v>
      </c>
      <c r="C3491" s="34" t="s">
        <v>4538</v>
      </c>
      <c r="D3491" s="34">
        <v>1</v>
      </c>
      <c r="E3491" s="35" t="s">
        <v>4477</v>
      </c>
      <c r="F3491" s="35" t="s">
        <v>1383</v>
      </c>
      <c r="G3491" s="106" t="s">
        <v>3852</v>
      </c>
      <c r="H3491" s="33">
        <v>43252</v>
      </c>
      <c r="I3491" s="34" t="s">
        <v>4703</v>
      </c>
      <c r="J3491" s="36">
        <v>480</v>
      </c>
      <c r="K3491" t="s">
        <v>2030</v>
      </c>
    </row>
    <row r="3492" spans="1:11" x14ac:dyDescent="0.3">
      <c r="A3492" t="s">
        <v>1550</v>
      </c>
      <c r="B3492" s="33">
        <v>43290</v>
      </c>
      <c r="C3492" s="34" t="s">
        <v>4538</v>
      </c>
      <c r="D3492" s="34">
        <v>1</v>
      </c>
      <c r="E3492" s="35" t="s">
        <v>4477</v>
      </c>
      <c r="F3492" s="35" t="s">
        <v>1386</v>
      </c>
      <c r="G3492" s="106" t="s">
        <v>3852</v>
      </c>
      <c r="H3492" s="33">
        <v>43252</v>
      </c>
      <c r="I3492" s="34" t="s">
        <v>4704</v>
      </c>
      <c r="J3492" s="36">
        <v>270</v>
      </c>
      <c r="K3492" t="s">
        <v>2030</v>
      </c>
    </row>
    <row r="3493" spans="1:11" x14ac:dyDescent="0.3">
      <c r="A3493" t="s">
        <v>1550</v>
      </c>
      <c r="B3493" s="33">
        <v>43290</v>
      </c>
      <c r="C3493" s="34" t="s">
        <v>4538</v>
      </c>
      <c r="D3493" s="34">
        <v>1</v>
      </c>
      <c r="E3493" s="35" t="s">
        <v>4477</v>
      </c>
      <c r="F3493" s="35" t="s">
        <v>1389</v>
      </c>
      <c r="G3493" s="106" t="s">
        <v>3852</v>
      </c>
      <c r="H3493" s="33">
        <v>43252</v>
      </c>
      <c r="I3493" s="34" t="s">
        <v>4705</v>
      </c>
      <c r="J3493" s="36">
        <v>556.79999999999995</v>
      </c>
      <c r="K3493" t="s">
        <v>2030</v>
      </c>
    </row>
    <row r="3494" spans="1:11" x14ac:dyDescent="0.3">
      <c r="A3494" t="s">
        <v>1550</v>
      </c>
      <c r="B3494" s="33">
        <v>43290</v>
      </c>
      <c r="C3494" s="34" t="s">
        <v>4538</v>
      </c>
      <c r="D3494" s="34">
        <v>1</v>
      </c>
      <c r="E3494" s="35" t="s">
        <v>4477</v>
      </c>
      <c r="F3494" s="35" t="s">
        <v>1385</v>
      </c>
      <c r="G3494" s="106" t="s">
        <v>3852</v>
      </c>
      <c r="H3494" s="33">
        <v>43252</v>
      </c>
      <c r="I3494" s="34" t="s">
        <v>4706</v>
      </c>
      <c r="J3494" s="36">
        <v>480</v>
      </c>
      <c r="K3494" t="s">
        <v>2030</v>
      </c>
    </row>
    <row r="3495" spans="1:11" x14ac:dyDescent="0.3">
      <c r="A3495" t="s">
        <v>1550</v>
      </c>
      <c r="B3495" s="33">
        <v>43290</v>
      </c>
      <c r="C3495" s="34" t="s">
        <v>4538</v>
      </c>
      <c r="D3495" s="34">
        <v>1</v>
      </c>
      <c r="E3495" s="35" t="s">
        <v>4477</v>
      </c>
      <c r="F3495" s="35" t="s">
        <v>1387</v>
      </c>
      <c r="G3495" s="106" t="s">
        <v>3852</v>
      </c>
      <c r="H3495" s="33">
        <v>43252</v>
      </c>
      <c r="I3495" s="34" t="s">
        <v>4707</v>
      </c>
      <c r="J3495" s="36">
        <v>270</v>
      </c>
      <c r="K3495" t="s">
        <v>2030</v>
      </c>
    </row>
    <row r="3496" spans="1:11" x14ac:dyDescent="0.3">
      <c r="A3496" t="s">
        <v>1550</v>
      </c>
      <c r="B3496" s="33">
        <v>43290</v>
      </c>
      <c r="C3496" s="34" t="s">
        <v>4538</v>
      </c>
      <c r="D3496" s="34">
        <v>1</v>
      </c>
      <c r="E3496" s="35" t="s">
        <v>4477</v>
      </c>
      <c r="F3496" s="35" t="s">
        <v>1392</v>
      </c>
      <c r="G3496" s="106" t="s">
        <v>3852</v>
      </c>
      <c r="H3496" s="33">
        <v>43252</v>
      </c>
      <c r="I3496" s="34" t="s">
        <v>4708</v>
      </c>
      <c r="J3496" s="36">
        <v>556.79999999999995</v>
      </c>
      <c r="K3496" t="s">
        <v>2030</v>
      </c>
    </row>
    <row r="3497" spans="1:11" x14ac:dyDescent="0.3">
      <c r="A3497" t="s">
        <v>1550</v>
      </c>
      <c r="B3497" s="33">
        <v>43290</v>
      </c>
      <c r="C3497" s="34" t="s">
        <v>4538</v>
      </c>
      <c r="D3497" s="34">
        <v>1</v>
      </c>
      <c r="E3497" s="35" t="s">
        <v>4477</v>
      </c>
      <c r="F3497" s="35" t="s">
        <v>1372</v>
      </c>
      <c r="G3497" s="106" t="s">
        <v>3852</v>
      </c>
      <c r="H3497" s="33">
        <v>43252</v>
      </c>
      <c r="I3497" s="34" t="s">
        <v>4709</v>
      </c>
      <c r="J3497" s="36">
        <v>480</v>
      </c>
      <c r="K3497" t="s">
        <v>2030</v>
      </c>
    </row>
    <row r="3498" spans="1:11" x14ac:dyDescent="0.3">
      <c r="A3498" t="s">
        <v>1550</v>
      </c>
      <c r="B3498" s="33">
        <v>43290</v>
      </c>
      <c r="C3498" s="34" t="s">
        <v>4538</v>
      </c>
      <c r="D3498" s="34">
        <v>1</v>
      </c>
      <c r="E3498" s="35" t="s">
        <v>4477</v>
      </c>
      <c r="F3498" s="35" t="s">
        <v>1373</v>
      </c>
      <c r="G3498" s="106" t="s">
        <v>3852</v>
      </c>
      <c r="H3498" s="33">
        <v>43252</v>
      </c>
      <c r="I3498" s="34" t="s">
        <v>4710</v>
      </c>
      <c r="J3498" s="36">
        <v>480</v>
      </c>
      <c r="K3498" t="s">
        <v>2030</v>
      </c>
    </row>
    <row r="3499" spans="1:11" x14ac:dyDescent="0.3">
      <c r="A3499" t="s">
        <v>1550</v>
      </c>
      <c r="B3499" s="33">
        <v>43290</v>
      </c>
      <c r="C3499" s="34" t="s">
        <v>4538</v>
      </c>
      <c r="D3499" s="34">
        <v>1</v>
      </c>
      <c r="E3499" s="35" t="s">
        <v>4477</v>
      </c>
      <c r="F3499" s="35" t="s">
        <v>1380</v>
      </c>
      <c r="G3499" s="106" t="s">
        <v>3852</v>
      </c>
      <c r="H3499" s="33">
        <v>43252</v>
      </c>
      <c r="I3499" s="34" t="s">
        <v>4711</v>
      </c>
      <c r="J3499" s="36">
        <v>270</v>
      </c>
      <c r="K3499" t="s">
        <v>2030</v>
      </c>
    </row>
    <row r="3500" spans="1:11" x14ac:dyDescent="0.3">
      <c r="A3500" t="s">
        <v>1550</v>
      </c>
      <c r="B3500" s="33">
        <v>43290</v>
      </c>
      <c r="C3500" s="34" t="s">
        <v>4538</v>
      </c>
      <c r="D3500" s="34">
        <v>1</v>
      </c>
      <c r="E3500" s="35" t="s">
        <v>4477</v>
      </c>
      <c r="F3500" s="35" t="s">
        <v>1381</v>
      </c>
      <c r="G3500" s="106" t="s">
        <v>3852</v>
      </c>
      <c r="H3500" s="33">
        <v>43252</v>
      </c>
      <c r="I3500" s="34" t="s">
        <v>4712</v>
      </c>
      <c r="J3500" s="36">
        <v>270</v>
      </c>
      <c r="K3500" t="s">
        <v>2030</v>
      </c>
    </row>
    <row r="3501" spans="1:11" x14ac:dyDescent="0.3">
      <c r="A3501" t="s">
        <v>1550</v>
      </c>
      <c r="B3501" s="33">
        <v>43290</v>
      </c>
      <c r="C3501" s="34" t="s">
        <v>4538</v>
      </c>
      <c r="D3501" s="34">
        <v>1</v>
      </c>
      <c r="E3501" s="35" t="s">
        <v>4477</v>
      </c>
      <c r="F3501" s="35" t="s">
        <v>1379</v>
      </c>
      <c r="G3501" s="106" t="s">
        <v>3852</v>
      </c>
      <c r="H3501" s="33">
        <v>43252</v>
      </c>
      <c r="I3501" s="34" t="s">
        <v>4713</v>
      </c>
      <c r="J3501" s="36">
        <v>480</v>
      </c>
      <c r="K3501" t="s">
        <v>2030</v>
      </c>
    </row>
    <row r="3502" spans="1:11" x14ac:dyDescent="0.3">
      <c r="A3502" t="s">
        <v>1550</v>
      </c>
      <c r="B3502" s="33">
        <v>43290</v>
      </c>
      <c r="C3502" s="34" t="s">
        <v>4538</v>
      </c>
      <c r="D3502" s="34">
        <v>1</v>
      </c>
      <c r="E3502" s="35" t="s">
        <v>4477</v>
      </c>
      <c r="F3502" s="35" t="s">
        <v>1384</v>
      </c>
      <c r="G3502" s="106" t="s">
        <v>3852</v>
      </c>
      <c r="H3502" s="33">
        <v>43252</v>
      </c>
      <c r="I3502" s="34" t="s">
        <v>4714</v>
      </c>
      <c r="J3502" s="36">
        <v>480</v>
      </c>
      <c r="K3502" t="s">
        <v>2030</v>
      </c>
    </row>
    <row r="3503" spans="1:11" x14ac:dyDescent="0.3">
      <c r="A3503" t="s">
        <v>1550</v>
      </c>
      <c r="B3503" s="33">
        <v>43290</v>
      </c>
      <c r="C3503" s="34" t="s">
        <v>4538</v>
      </c>
      <c r="D3503" s="34">
        <v>1</v>
      </c>
      <c r="E3503" s="35" t="s">
        <v>4477</v>
      </c>
      <c r="F3503" s="35" t="s">
        <v>1375</v>
      </c>
      <c r="G3503" s="106" t="s">
        <v>3852</v>
      </c>
      <c r="H3503" s="33">
        <v>43252</v>
      </c>
      <c r="I3503" s="34" t="s">
        <v>4715</v>
      </c>
      <c r="J3503" s="36">
        <v>270</v>
      </c>
      <c r="K3503" t="s">
        <v>2030</v>
      </c>
    </row>
    <row r="3504" spans="1:11" x14ac:dyDescent="0.3">
      <c r="A3504" t="s">
        <v>1550</v>
      </c>
      <c r="B3504" s="33">
        <v>43290</v>
      </c>
      <c r="C3504" s="34" t="s">
        <v>4538</v>
      </c>
      <c r="D3504" s="34">
        <v>1</v>
      </c>
      <c r="E3504" s="35" t="s">
        <v>4477</v>
      </c>
      <c r="F3504" s="35" t="s">
        <v>1376</v>
      </c>
      <c r="G3504" s="106" t="s">
        <v>3852</v>
      </c>
      <c r="H3504" s="33">
        <v>43252</v>
      </c>
      <c r="I3504" s="34" t="s">
        <v>4716</v>
      </c>
      <c r="J3504" s="36">
        <v>270</v>
      </c>
      <c r="K3504" t="s">
        <v>2030</v>
      </c>
    </row>
    <row r="3505" spans="1:11" x14ac:dyDescent="0.3">
      <c r="A3505" t="s">
        <v>1550</v>
      </c>
      <c r="B3505" s="33">
        <v>43290</v>
      </c>
      <c r="C3505" s="34" t="s">
        <v>4538</v>
      </c>
      <c r="D3505" s="34">
        <v>1</v>
      </c>
      <c r="E3505" s="35" t="s">
        <v>4477</v>
      </c>
      <c r="F3505" s="35" t="s">
        <v>1378</v>
      </c>
      <c r="G3505" s="106" t="s">
        <v>3852</v>
      </c>
      <c r="H3505" s="33">
        <v>43252</v>
      </c>
      <c r="I3505" s="34" t="s">
        <v>4717</v>
      </c>
      <c r="J3505" s="36">
        <v>270</v>
      </c>
      <c r="K3505" t="s">
        <v>2030</v>
      </c>
    </row>
    <row r="3506" spans="1:11" x14ac:dyDescent="0.3">
      <c r="A3506" t="s">
        <v>1550</v>
      </c>
      <c r="B3506" s="33">
        <v>43290</v>
      </c>
      <c r="C3506" s="34" t="s">
        <v>4538</v>
      </c>
      <c r="D3506" s="34">
        <v>1</v>
      </c>
      <c r="E3506" s="35" t="s">
        <v>4477</v>
      </c>
      <c r="F3506" s="35" t="s">
        <v>1374</v>
      </c>
      <c r="G3506" s="106" t="s">
        <v>3852</v>
      </c>
      <c r="H3506" s="33">
        <v>43252</v>
      </c>
      <c r="I3506" s="34" t="s">
        <v>4718</v>
      </c>
      <c r="J3506" s="36">
        <v>480</v>
      </c>
      <c r="K3506" t="s">
        <v>2030</v>
      </c>
    </row>
    <row r="3507" spans="1:11" x14ac:dyDescent="0.3">
      <c r="A3507" t="s">
        <v>1550</v>
      </c>
      <c r="B3507" s="33">
        <v>43290</v>
      </c>
      <c r="C3507" s="34" t="s">
        <v>4538</v>
      </c>
      <c r="D3507" s="34">
        <v>1</v>
      </c>
      <c r="E3507" s="35" t="s">
        <v>4477</v>
      </c>
      <c r="F3507" s="35" t="s">
        <v>1377</v>
      </c>
      <c r="G3507" s="106" t="s">
        <v>3852</v>
      </c>
      <c r="H3507" s="33">
        <v>43252</v>
      </c>
      <c r="I3507" s="34" t="s">
        <v>4719</v>
      </c>
      <c r="J3507" s="36">
        <v>270</v>
      </c>
      <c r="K3507" t="s">
        <v>2030</v>
      </c>
    </row>
    <row r="3508" spans="1:11" x14ac:dyDescent="0.3">
      <c r="A3508" t="s">
        <v>1550</v>
      </c>
      <c r="B3508" s="33">
        <v>43290</v>
      </c>
      <c r="C3508" s="34" t="s">
        <v>4538</v>
      </c>
      <c r="D3508" s="34">
        <v>1</v>
      </c>
      <c r="E3508" s="35" t="s">
        <v>4477</v>
      </c>
      <c r="F3508" s="35" t="s">
        <v>1401</v>
      </c>
      <c r="G3508" s="106" t="s">
        <v>3852</v>
      </c>
      <c r="H3508" s="33">
        <v>43252</v>
      </c>
      <c r="I3508" s="34" t="s">
        <v>4723</v>
      </c>
      <c r="J3508" s="36">
        <v>480</v>
      </c>
      <c r="K3508" t="s">
        <v>2030</v>
      </c>
    </row>
    <row r="3509" spans="1:11" x14ac:dyDescent="0.3">
      <c r="A3509" t="s">
        <v>1550</v>
      </c>
      <c r="B3509" s="33">
        <v>43290</v>
      </c>
      <c r="C3509" s="34" t="s">
        <v>4538</v>
      </c>
      <c r="D3509" s="34">
        <v>1</v>
      </c>
      <c r="E3509" s="35" t="s">
        <v>4477</v>
      </c>
      <c r="F3509" s="35" t="s">
        <v>1440</v>
      </c>
      <c r="G3509" s="106" t="s">
        <v>3852</v>
      </c>
      <c r="H3509" s="33">
        <v>43252</v>
      </c>
      <c r="I3509" s="34" t="s">
        <v>4735</v>
      </c>
      <c r="J3509" s="36">
        <v>225</v>
      </c>
      <c r="K3509" t="s">
        <v>2030</v>
      </c>
    </row>
    <row r="3510" spans="1:11" x14ac:dyDescent="0.3">
      <c r="A3510" t="s">
        <v>1550</v>
      </c>
      <c r="B3510" s="33">
        <v>43290</v>
      </c>
      <c r="C3510" s="34" t="s">
        <v>4538</v>
      </c>
      <c r="D3510" s="34">
        <v>1</v>
      </c>
      <c r="E3510" s="35" t="s">
        <v>4477</v>
      </c>
      <c r="F3510" s="35" t="s">
        <v>1439</v>
      </c>
      <c r="G3510" s="106" t="s">
        <v>3852</v>
      </c>
      <c r="H3510" s="33">
        <v>43252</v>
      </c>
      <c r="I3510" s="34" t="s">
        <v>4736</v>
      </c>
      <c r="J3510" s="36">
        <v>225</v>
      </c>
      <c r="K3510" t="s">
        <v>2030</v>
      </c>
    </row>
    <row r="3511" spans="1:11" x14ac:dyDescent="0.3">
      <c r="A3511" t="s">
        <v>1550</v>
      </c>
      <c r="B3511" s="33">
        <v>43290</v>
      </c>
      <c r="C3511" s="34" t="s">
        <v>4538</v>
      </c>
      <c r="D3511" s="34">
        <v>1</v>
      </c>
      <c r="E3511" s="35" t="s">
        <v>4477</v>
      </c>
      <c r="F3511" s="35" t="s">
        <v>1438</v>
      </c>
      <c r="G3511" s="106" t="s">
        <v>3852</v>
      </c>
      <c r="H3511" s="33">
        <v>43252</v>
      </c>
      <c r="I3511" s="34" t="s">
        <v>4737</v>
      </c>
      <c r="J3511" s="36">
        <v>225</v>
      </c>
      <c r="K3511" t="s">
        <v>2030</v>
      </c>
    </row>
    <row r="3512" spans="1:11" x14ac:dyDescent="0.3">
      <c r="A3512" t="s">
        <v>1550</v>
      </c>
      <c r="B3512" s="33">
        <v>43290</v>
      </c>
      <c r="C3512" s="34" t="s">
        <v>4538</v>
      </c>
      <c r="D3512" s="34">
        <v>1</v>
      </c>
      <c r="E3512" s="35" t="s">
        <v>4477</v>
      </c>
      <c r="F3512" s="35" t="s">
        <v>1432</v>
      </c>
      <c r="G3512" s="106" t="s">
        <v>3852</v>
      </c>
      <c r="H3512" s="33">
        <v>43252</v>
      </c>
      <c r="I3512" s="34" t="s">
        <v>4738</v>
      </c>
      <c r="J3512" s="36">
        <v>225</v>
      </c>
      <c r="K3512" t="s">
        <v>2030</v>
      </c>
    </row>
    <row r="3513" spans="1:11" x14ac:dyDescent="0.3">
      <c r="A3513" t="s">
        <v>1550</v>
      </c>
      <c r="B3513" s="33">
        <v>43290</v>
      </c>
      <c r="C3513" s="34" t="s">
        <v>4538</v>
      </c>
      <c r="D3513" s="34">
        <v>1</v>
      </c>
      <c r="E3513" s="35" t="s">
        <v>4477</v>
      </c>
      <c r="F3513" s="35" t="s">
        <v>1434</v>
      </c>
      <c r="G3513" s="106" t="s">
        <v>3852</v>
      </c>
      <c r="H3513" s="33">
        <v>43252</v>
      </c>
      <c r="I3513" s="34" t="s">
        <v>4739</v>
      </c>
      <c r="J3513" s="36">
        <v>225</v>
      </c>
      <c r="K3513" t="s">
        <v>2030</v>
      </c>
    </row>
    <row r="3514" spans="1:11" x14ac:dyDescent="0.3">
      <c r="A3514" t="s">
        <v>1550</v>
      </c>
      <c r="B3514" s="33">
        <v>43290</v>
      </c>
      <c r="C3514" s="34" t="s">
        <v>4538</v>
      </c>
      <c r="D3514" s="34">
        <v>1</v>
      </c>
      <c r="E3514" s="35" t="s">
        <v>4477</v>
      </c>
      <c r="F3514" s="35" t="s">
        <v>1431</v>
      </c>
      <c r="G3514" s="106" t="s">
        <v>3852</v>
      </c>
      <c r="H3514" s="33">
        <v>43252</v>
      </c>
      <c r="I3514" s="34" t="s">
        <v>4740</v>
      </c>
      <c r="J3514" s="36">
        <v>225</v>
      </c>
      <c r="K3514" t="s">
        <v>2030</v>
      </c>
    </row>
    <row r="3515" spans="1:11" x14ac:dyDescent="0.3">
      <c r="A3515" t="s">
        <v>1550</v>
      </c>
      <c r="B3515" s="33">
        <v>43290</v>
      </c>
      <c r="C3515" s="34" t="s">
        <v>4538</v>
      </c>
      <c r="D3515" s="34">
        <v>1</v>
      </c>
      <c r="E3515" s="35" t="s">
        <v>4477</v>
      </c>
      <c r="F3515" s="35" t="s">
        <v>1435</v>
      </c>
      <c r="G3515" s="106" t="s">
        <v>3852</v>
      </c>
      <c r="H3515" s="33">
        <v>43252</v>
      </c>
      <c r="I3515" s="34" t="s">
        <v>4741</v>
      </c>
      <c r="J3515" s="36">
        <v>225</v>
      </c>
      <c r="K3515" t="s">
        <v>2030</v>
      </c>
    </row>
    <row r="3516" spans="1:11" x14ac:dyDescent="0.3">
      <c r="A3516" t="s">
        <v>1550</v>
      </c>
      <c r="B3516" s="33">
        <v>43290</v>
      </c>
      <c r="C3516" s="34" t="s">
        <v>4538</v>
      </c>
      <c r="D3516" s="34">
        <v>1</v>
      </c>
      <c r="E3516" s="35" t="s">
        <v>4477</v>
      </c>
      <c r="F3516" s="35" t="s">
        <v>1436</v>
      </c>
      <c r="G3516" s="106" t="s">
        <v>3852</v>
      </c>
      <c r="H3516" s="33">
        <v>43252</v>
      </c>
      <c r="I3516" s="34" t="s">
        <v>4742</v>
      </c>
      <c r="J3516" s="36">
        <v>225</v>
      </c>
      <c r="K3516" t="s">
        <v>2030</v>
      </c>
    </row>
    <row r="3517" spans="1:11" x14ac:dyDescent="0.3">
      <c r="A3517" t="s">
        <v>1550</v>
      </c>
      <c r="B3517" s="33">
        <v>43290</v>
      </c>
      <c r="C3517" s="34" t="s">
        <v>4538</v>
      </c>
      <c r="D3517" s="34">
        <v>1</v>
      </c>
      <c r="E3517" s="35" t="s">
        <v>4477</v>
      </c>
      <c r="F3517" s="35" t="s">
        <v>1437</v>
      </c>
      <c r="G3517" s="106" t="s">
        <v>3852</v>
      </c>
      <c r="H3517" s="33">
        <v>43252</v>
      </c>
      <c r="I3517" s="34" t="s">
        <v>4743</v>
      </c>
      <c r="J3517" s="36">
        <v>225</v>
      </c>
      <c r="K3517" t="s">
        <v>2030</v>
      </c>
    </row>
    <row r="3518" spans="1:11" x14ac:dyDescent="0.3">
      <c r="A3518" t="s">
        <v>1550</v>
      </c>
      <c r="B3518" s="33">
        <v>43290</v>
      </c>
      <c r="C3518" s="34" t="s">
        <v>4538</v>
      </c>
      <c r="D3518" s="34">
        <v>1</v>
      </c>
      <c r="E3518" s="35" t="s">
        <v>4477</v>
      </c>
      <c r="F3518" s="35" t="s">
        <v>1433</v>
      </c>
      <c r="G3518" s="106" t="s">
        <v>3852</v>
      </c>
      <c r="H3518" s="33">
        <v>43252</v>
      </c>
      <c r="I3518" s="34" t="s">
        <v>4744</v>
      </c>
      <c r="J3518" s="36">
        <v>225</v>
      </c>
      <c r="K3518" t="s">
        <v>2030</v>
      </c>
    </row>
    <row r="3519" spans="1:11" x14ac:dyDescent="0.3">
      <c r="A3519" t="s">
        <v>1550</v>
      </c>
      <c r="B3519" s="33">
        <v>43290</v>
      </c>
      <c r="C3519" s="34" t="s">
        <v>4538</v>
      </c>
      <c r="D3519" s="34">
        <v>1</v>
      </c>
      <c r="E3519" s="35" t="s">
        <v>4477</v>
      </c>
      <c r="F3519" s="35" t="s">
        <v>1428</v>
      </c>
      <c r="G3519" s="106" t="s">
        <v>3852</v>
      </c>
      <c r="H3519" s="33">
        <v>43252</v>
      </c>
      <c r="I3519" s="34" t="s">
        <v>4745</v>
      </c>
      <c r="J3519" s="36">
        <v>172.5</v>
      </c>
      <c r="K3519" t="s">
        <v>2030</v>
      </c>
    </row>
    <row r="3520" spans="1:11" x14ac:dyDescent="0.3">
      <c r="A3520" t="s">
        <v>1550</v>
      </c>
      <c r="B3520" s="33">
        <v>43290</v>
      </c>
      <c r="C3520" s="34" t="s">
        <v>4538</v>
      </c>
      <c r="D3520" s="34">
        <v>1</v>
      </c>
      <c r="E3520" s="35" t="s">
        <v>4477</v>
      </c>
      <c r="F3520" s="35" t="s">
        <v>1426</v>
      </c>
      <c r="G3520" s="106" t="s">
        <v>3852</v>
      </c>
      <c r="H3520" s="33">
        <v>43252</v>
      </c>
      <c r="I3520" s="34" t="s">
        <v>4746</v>
      </c>
      <c r="J3520" s="36">
        <v>172.5</v>
      </c>
      <c r="K3520" t="s">
        <v>2030</v>
      </c>
    </row>
    <row r="3521" spans="1:11" x14ac:dyDescent="0.3">
      <c r="A3521" t="s">
        <v>1550</v>
      </c>
      <c r="B3521" s="33">
        <v>43290</v>
      </c>
      <c r="C3521" s="34" t="s">
        <v>4538</v>
      </c>
      <c r="D3521" s="34">
        <v>1</v>
      </c>
      <c r="E3521" s="35" t="s">
        <v>4477</v>
      </c>
      <c r="F3521" s="35" t="s">
        <v>1424</v>
      </c>
      <c r="G3521" s="106" t="s">
        <v>3852</v>
      </c>
      <c r="H3521" s="33">
        <v>43252</v>
      </c>
      <c r="I3521" s="34" t="s">
        <v>4747</v>
      </c>
      <c r="J3521" s="36">
        <v>172.5</v>
      </c>
      <c r="K3521" t="s">
        <v>2030</v>
      </c>
    </row>
    <row r="3522" spans="1:11" x14ac:dyDescent="0.3">
      <c r="A3522" t="s">
        <v>1550</v>
      </c>
      <c r="B3522" s="33">
        <v>43290</v>
      </c>
      <c r="C3522" s="34" t="s">
        <v>4538</v>
      </c>
      <c r="D3522" s="34">
        <v>1</v>
      </c>
      <c r="E3522" s="35" t="s">
        <v>4477</v>
      </c>
      <c r="F3522" s="35" t="s">
        <v>1429</v>
      </c>
      <c r="G3522" s="106" t="s">
        <v>3852</v>
      </c>
      <c r="H3522" s="33">
        <v>43252</v>
      </c>
      <c r="I3522" s="34" t="s">
        <v>4748</v>
      </c>
      <c r="J3522" s="36">
        <v>225</v>
      </c>
      <c r="K3522" t="s">
        <v>2030</v>
      </c>
    </row>
    <row r="3523" spans="1:11" x14ac:dyDescent="0.3">
      <c r="A3523" t="s">
        <v>1550</v>
      </c>
      <c r="B3523" s="33">
        <v>43290</v>
      </c>
      <c r="C3523" s="34" t="s">
        <v>4538</v>
      </c>
      <c r="D3523" s="34">
        <v>1</v>
      </c>
      <c r="E3523" s="35" t="s">
        <v>4477</v>
      </c>
      <c r="F3523" s="35" t="s">
        <v>1422</v>
      </c>
      <c r="G3523" s="106" t="s">
        <v>3852</v>
      </c>
      <c r="H3523" s="33">
        <v>43252</v>
      </c>
      <c r="I3523" s="34" t="s">
        <v>4749</v>
      </c>
      <c r="J3523" s="36">
        <v>172.5</v>
      </c>
      <c r="K3523" t="s">
        <v>2030</v>
      </c>
    </row>
    <row r="3524" spans="1:11" x14ac:dyDescent="0.3">
      <c r="A3524" t="s">
        <v>1550</v>
      </c>
      <c r="B3524" s="33">
        <v>43290</v>
      </c>
      <c r="C3524" s="34" t="s">
        <v>4538</v>
      </c>
      <c r="D3524" s="34">
        <v>1</v>
      </c>
      <c r="E3524" s="35" t="s">
        <v>4477</v>
      </c>
      <c r="F3524" s="35" t="s">
        <v>1421</v>
      </c>
      <c r="G3524" s="106" t="s">
        <v>3852</v>
      </c>
      <c r="H3524" s="33">
        <v>43252</v>
      </c>
      <c r="I3524" s="34" t="s">
        <v>4750</v>
      </c>
      <c r="J3524" s="36">
        <v>172.5</v>
      </c>
      <c r="K3524" t="s">
        <v>2030</v>
      </c>
    </row>
    <row r="3525" spans="1:11" x14ac:dyDescent="0.3">
      <c r="A3525" t="s">
        <v>1550</v>
      </c>
      <c r="B3525" s="33">
        <v>43290</v>
      </c>
      <c r="C3525" s="34" t="s">
        <v>4538</v>
      </c>
      <c r="D3525" s="34">
        <v>1</v>
      </c>
      <c r="E3525" s="35" t="s">
        <v>4477</v>
      </c>
      <c r="F3525" s="35" t="s">
        <v>1427</v>
      </c>
      <c r="G3525" s="106" t="s">
        <v>3852</v>
      </c>
      <c r="H3525" s="33">
        <v>43252</v>
      </c>
      <c r="I3525" s="34" t="s">
        <v>4751</v>
      </c>
      <c r="J3525" s="36">
        <v>172.5</v>
      </c>
      <c r="K3525" t="s">
        <v>2030</v>
      </c>
    </row>
    <row r="3526" spans="1:11" x14ac:dyDescent="0.3">
      <c r="A3526" t="s">
        <v>1550</v>
      </c>
      <c r="B3526" s="33">
        <v>43290</v>
      </c>
      <c r="C3526" s="34" t="s">
        <v>4538</v>
      </c>
      <c r="D3526" s="34">
        <v>1</v>
      </c>
      <c r="E3526" s="35" t="s">
        <v>4477</v>
      </c>
      <c r="F3526" s="35" t="s">
        <v>1430</v>
      </c>
      <c r="G3526" s="106" t="s">
        <v>3852</v>
      </c>
      <c r="H3526" s="33">
        <v>43252</v>
      </c>
      <c r="I3526" s="34" t="s">
        <v>4752</v>
      </c>
      <c r="J3526" s="36">
        <v>225</v>
      </c>
      <c r="K3526" t="s">
        <v>2030</v>
      </c>
    </row>
    <row r="3527" spans="1:11" x14ac:dyDescent="0.3">
      <c r="A3527" t="s">
        <v>1550</v>
      </c>
      <c r="B3527" s="33">
        <v>43290</v>
      </c>
      <c r="C3527" s="34" t="s">
        <v>4538</v>
      </c>
      <c r="D3527" s="34">
        <v>1</v>
      </c>
      <c r="E3527" s="35" t="s">
        <v>4477</v>
      </c>
      <c r="F3527" s="35" t="s">
        <v>1423</v>
      </c>
      <c r="G3527" s="106" t="s">
        <v>3852</v>
      </c>
      <c r="H3527" s="33">
        <v>43252</v>
      </c>
      <c r="I3527" s="34" t="s">
        <v>4753</v>
      </c>
      <c r="J3527" s="36">
        <v>172.5</v>
      </c>
      <c r="K3527" t="s">
        <v>2030</v>
      </c>
    </row>
    <row r="3528" spans="1:11" x14ac:dyDescent="0.3">
      <c r="A3528" t="s">
        <v>1550</v>
      </c>
      <c r="B3528" s="33">
        <v>43290</v>
      </c>
      <c r="C3528" s="34" t="s">
        <v>4538</v>
      </c>
      <c r="D3528" s="34">
        <v>1</v>
      </c>
      <c r="E3528" s="35" t="s">
        <v>4477</v>
      </c>
      <c r="F3528" s="35" t="s">
        <v>1425</v>
      </c>
      <c r="G3528" s="106" t="s">
        <v>3852</v>
      </c>
      <c r="H3528" s="33">
        <v>43252</v>
      </c>
      <c r="I3528" s="34" t="s">
        <v>4754</v>
      </c>
      <c r="J3528" s="36">
        <v>172.5</v>
      </c>
      <c r="K3528" t="s">
        <v>2030</v>
      </c>
    </row>
    <row r="3529" spans="1:11" x14ac:dyDescent="0.3">
      <c r="A3529" t="s">
        <v>1550</v>
      </c>
      <c r="B3529" s="33">
        <v>43290</v>
      </c>
      <c r="C3529" s="34" t="s">
        <v>4538</v>
      </c>
      <c r="D3529" s="34">
        <v>1</v>
      </c>
      <c r="E3529" s="35" t="s">
        <v>4477</v>
      </c>
      <c r="F3529" s="35" t="s">
        <v>1411</v>
      </c>
      <c r="G3529" s="106" t="s">
        <v>3852</v>
      </c>
      <c r="H3529" s="33">
        <v>43252</v>
      </c>
      <c r="I3529" s="34" t="s">
        <v>4755</v>
      </c>
      <c r="J3529" s="36">
        <v>270</v>
      </c>
      <c r="K3529" t="s">
        <v>2030</v>
      </c>
    </row>
    <row r="3530" spans="1:11" x14ac:dyDescent="0.3">
      <c r="A3530" t="s">
        <v>1550</v>
      </c>
      <c r="B3530" s="33">
        <v>43290</v>
      </c>
      <c r="C3530" s="34" t="s">
        <v>4538</v>
      </c>
      <c r="D3530" s="34">
        <v>1</v>
      </c>
      <c r="E3530" s="35" t="s">
        <v>4477</v>
      </c>
      <c r="F3530" s="35" t="s">
        <v>1406</v>
      </c>
      <c r="G3530" s="106" t="s">
        <v>3852</v>
      </c>
      <c r="H3530" s="33">
        <v>43252</v>
      </c>
      <c r="I3530" s="34" t="s">
        <v>4756</v>
      </c>
      <c r="J3530" s="36">
        <v>480</v>
      </c>
      <c r="K3530" t="s">
        <v>2030</v>
      </c>
    </row>
    <row r="3531" spans="1:11" x14ac:dyDescent="0.3">
      <c r="A3531" t="s">
        <v>1550</v>
      </c>
      <c r="B3531" s="33">
        <v>43290</v>
      </c>
      <c r="C3531" s="34" t="s">
        <v>4538</v>
      </c>
      <c r="D3531" s="34">
        <v>1</v>
      </c>
      <c r="E3531" s="35" t="s">
        <v>4477</v>
      </c>
      <c r="F3531" s="35" t="s">
        <v>1409</v>
      </c>
      <c r="G3531" s="106" t="s">
        <v>3852</v>
      </c>
      <c r="H3531" s="33">
        <v>43252</v>
      </c>
      <c r="I3531" s="34" t="s">
        <v>4757</v>
      </c>
      <c r="J3531" s="36">
        <v>270</v>
      </c>
      <c r="K3531" t="s">
        <v>2030</v>
      </c>
    </row>
    <row r="3532" spans="1:11" x14ac:dyDescent="0.3">
      <c r="A3532" t="s">
        <v>1550</v>
      </c>
      <c r="B3532" s="33">
        <v>43290</v>
      </c>
      <c r="C3532" s="34" t="s">
        <v>4538</v>
      </c>
      <c r="D3532" s="34">
        <v>1</v>
      </c>
      <c r="E3532" s="35" t="s">
        <v>4477</v>
      </c>
      <c r="F3532" s="35" t="s">
        <v>1407</v>
      </c>
      <c r="G3532" s="106" t="s">
        <v>3852</v>
      </c>
      <c r="H3532" s="33">
        <v>43252</v>
      </c>
      <c r="I3532" s="34" t="s">
        <v>4758</v>
      </c>
      <c r="J3532" s="36">
        <v>270</v>
      </c>
      <c r="K3532" t="s">
        <v>2030</v>
      </c>
    </row>
    <row r="3533" spans="1:11" x14ac:dyDescent="0.3">
      <c r="A3533" t="s">
        <v>1550</v>
      </c>
      <c r="B3533" s="33">
        <v>43290</v>
      </c>
      <c r="C3533" s="34" t="s">
        <v>4538</v>
      </c>
      <c r="D3533" s="34">
        <v>1</v>
      </c>
      <c r="E3533" s="35" t="s">
        <v>4477</v>
      </c>
      <c r="F3533" s="35" t="s">
        <v>1412</v>
      </c>
      <c r="G3533" s="106" t="s">
        <v>3852</v>
      </c>
      <c r="H3533" s="33">
        <v>43252</v>
      </c>
      <c r="I3533" s="34" t="s">
        <v>4759</v>
      </c>
      <c r="J3533" s="36">
        <v>270</v>
      </c>
      <c r="K3533" t="s">
        <v>2030</v>
      </c>
    </row>
    <row r="3534" spans="1:11" x14ac:dyDescent="0.3">
      <c r="A3534" t="s">
        <v>1550</v>
      </c>
      <c r="B3534" s="33">
        <v>43290</v>
      </c>
      <c r="C3534" s="34" t="s">
        <v>4538</v>
      </c>
      <c r="D3534" s="34">
        <v>1</v>
      </c>
      <c r="E3534" s="35" t="s">
        <v>4477</v>
      </c>
      <c r="F3534" s="35" t="s">
        <v>1365</v>
      </c>
      <c r="G3534" s="106" t="s">
        <v>3852</v>
      </c>
      <c r="H3534" s="33">
        <v>43252</v>
      </c>
      <c r="I3534" s="34" t="s">
        <v>4760</v>
      </c>
      <c r="J3534" s="36">
        <v>172.5</v>
      </c>
      <c r="K3534" t="s">
        <v>2030</v>
      </c>
    </row>
    <row r="3535" spans="1:11" x14ac:dyDescent="0.3">
      <c r="A3535" t="s">
        <v>1550</v>
      </c>
      <c r="B3535" s="33">
        <v>43290</v>
      </c>
      <c r="C3535" s="34" t="s">
        <v>4538</v>
      </c>
      <c r="D3535" s="34">
        <v>1</v>
      </c>
      <c r="E3535" s="35" t="s">
        <v>4477</v>
      </c>
      <c r="F3535" s="35" t="s">
        <v>1416</v>
      </c>
      <c r="G3535" s="106" t="s">
        <v>3852</v>
      </c>
      <c r="H3535" s="33">
        <v>43252</v>
      </c>
      <c r="I3535" s="34" t="s">
        <v>4768</v>
      </c>
      <c r="J3535" s="36">
        <v>225</v>
      </c>
      <c r="K3535" t="s">
        <v>2030</v>
      </c>
    </row>
    <row r="3536" spans="1:11" x14ac:dyDescent="0.3">
      <c r="A3536" t="s">
        <v>1550</v>
      </c>
      <c r="B3536" s="33">
        <v>43290</v>
      </c>
      <c r="C3536" s="34" t="s">
        <v>4538</v>
      </c>
      <c r="D3536" s="34">
        <v>1</v>
      </c>
      <c r="E3536" s="35" t="s">
        <v>4477</v>
      </c>
      <c r="F3536" s="35" t="s">
        <v>1415</v>
      </c>
      <c r="G3536" s="106" t="s">
        <v>3852</v>
      </c>
      <c r="H3536" s="33">
        <v>43252</v>
      </c>
      <c r="I3536" s="34" t="s">
        <v>4769</v>
      </c>
      <c r="J3536" s="36">
        <v>232.5</v>
      </c>
      <c r="K3536" t="s">
        <v>2030</v>
      </c>
    </row>
    <row r="3537" spans="1:11" x14ac:dyDescent="0.3">
      <c r="A3537" t="s">
        <v>1550</v>
      </c>
      <c r="B3537" s="33">
        <v>43290</v>
      </c>
      <c r="C3537" s="34" t="s">
        <v>4538</v>
      </c>
      <c r="D3537" s="34">
        <v>1</v>
      </c>
      <c r="E3537" s="35" t="s">
        <v>4477</v>
      </c>
      <c r="F3537" s="35" t="s">
        <v>1414</v>
      </c>
      <c r="G3537" s="106" t="s">
        <v>3852</v>
      </c>
      <c r="H3537" s="33">
        <v>43252</v>
      </c>
      <c r="I3537" s="34" t="s">
        <v>4772</v>
      </c>
      <c r="J3537" s="36">
        <v>540</v>
      </c>
      <c r="K3537" t="s">
        <v>2030</v>
      </c>
    </row>
    <row r="3538" spans="1:11" x14ac:dyDescent="0.3">
      <c r="A3538" t="s">
        <v>1550</v>
      </c>
      <c r="B3538" s="33">
        <v>43290</v>
      </c>
      <c r="C3538" s="34" t="s">
        <v>4538</v>
      </c>
      <c r="D3538" s="34">
        <v>1</v>
      </c>
      <c r="E3538" s="35" t="s">
        <v>4477</v>
      </c>
      <c r="F3538" s="35" t="s">
        <v>1413</v>
      </c>
      <c r="G3538" s="106" t="s">
        <v>3852</v>
      </c>
      <c r="H3538" s="33">
        <v>43252</v>
      </c>
      <c r="I3538" s="34" t="s">
        <v>4774</v>
      </c>
      <c r="J3538" s="36">
        <v>465</v>
      </c>
      <c r="K3538" t="s">
        <v>2030</v>
      </c>
    </row>
    <row r="3539" spans="1:11" x14ac:dyDescent="0.3">
      <c r="A3539" t="s">
        <v>1550</v>
      </c>
      <c r="B3539" s="33">
        <v>43290</v>
      </c>
      <c r="C3539" s="34" t="s">
        <v>4538</v>
      </c>
      <c r="D3539" s="34">
        <v>1</v>
      </c>
      <c r="E3539" s="35" t="s">
        <v>4477</v>
      </c>
      <c r="F3539" s="35" t="s">
        <v>1417</v>
      </c>
      <c r="G3539" s="106" t="s">
        <v>3852</v>
      </c>
      <c r="H3539" s="33">
        <v>43252</v>
      </c>
      <c r="I3539" s="34" t="s">
        <v>4779</v>
      </c>
      <c r="J3539" s="36">
        <v>172.5</v>
      </c>
      <c r="K3539" t="s">
        <v>2030</v>
      </c>
    </row>
    <row r="3540" spans="1:11" x14ac:dyDescent="0.3">
      <c r="A3540" t="s">
        <v>1550</v>
      </c>
      <c r="B3540" s="33">
        <v>43290</v>
      </c>
      <c r="C3540" s="34" t="s">
        <v>4538</v>
      </c>
      <c r="D3540" s="34">
        <v>1</v>
      </c>
      <c r="E3540" s="35" t="s">
        <v>4477</v>
      </c>
      <c r="F3540" s="35" t="s">
        <v>1366</v>
      </c>
      <c r="G3540" s="106" t="s">
        <v>3852</v>
      </c>
      <c r="H3540" s="33">
        <v>43252</v>
      </c>
      <c r="I3540" s="34" t="s">
        <v>4797</v>
      </c>
      <c r="J3540" s="36">
        <v>225</v>
      </c>
      <c r="K3540" t="s">
        <v>2030</v>
      </c>
    </row>
    <row r="3541" spans="1:11" x14ac:dyDescent="0.3">
      <c r="A3541" t="s">
        <v>1550</v>
      </c>
      <c r="B3541" s="33">
        <v>43290</v>
      </c>
      <c r="C3541" s="34" t="s">
        <v>4538</v>
      </c>
      <c r="D3541" s="34">
        <v>1</v>
      </c>
      <c r="E3541" s="35" t="s">
        <v>4477</v>
      </c>
      <c r="F3541" s="35" t="s">
        <v>1362</v>
      </c>
      <c r="G3541" s="106" t="s">
        <v>3852</v>
      </c>
      <c r="H3541" s="33">
        <v>43252</v>
      </c>
      <c r="I3541" s="34" t="s">
        <v>4798</v>
      </c>
      <c r="J3541" s="36">
        <v>172.5</v>
      </c>
      <c r="K3541" t="s">
        <v>2030</v>
      </c>
    </row>
    <row r="3542" spans="1:11" x14ac:dyDescent="0.3">
      <c r="A3542" t="s">
        <v>1550</v>
      </c>
      <c r="B3542" s="33">
        <v>43290</v>
      </c>
      <c r="C3542" s="34" t="s">
        <v>4538</v>
      </c>
      <c r="D3542" s="34">
        <v>1</v>
      </c>
      <c r="E3542" s="35" t="s">
        <v>4477</v>
      </c>
      <c r="F3542" s="35" t="s">
        <v>1368</v>
      </c>
      <c r="G3542" s="106" t="s">
        <v>3852</v>
      </c>
      <c r="H3542" s="33">
        <v>43252</v>
      </c>
      <c r="I3542" s="34" t="s">
        <v>4799</v>
      </c>
      <c r="J3542" s="36">
        <v>225</v>
      </c>
      <c r="K3542" t="s">
        <v>2030</v>
      </c>
    </row>
    <row r="3543" spans="1:11" x14ac:dyDescent="0.3">
      <c r="A3543" t="s">
        <v>1550</v>
      </c>
      <c r="B3543" s="33">
        <v>43290</v>
      </c>
      <c r="C3543" s="34" t="s">
        <v>4538</v>
      </c>
      <c r="D3543" s="34">
        <v>1</v>
      </c>
      <c r="E3543" s="35" t="s">
        <v>4477</v>
      </c>
      <c r="F3543" s="35" t="s">
        <v>1371</v>
      </c>
      <c r="G3543" s="106" t="s">
        <v>3852</v>
      </c>
      <c r="H3543" s="33">
        <v>43252</v>
      </c>
      <c r="I3543" s="34" t="s">
        <v>4800</v>
      </c>
      <c r="J3543" s="36">
        <v>480</v>
      </c>
      <c r="K3543" t="s">
        <v>2030</v>
      </c>
    </row>
    <row r="3544" spans="1:11" x14ac:dyDescent="0.3">
      <c r="A3544" t="s">
        <v>1550</v>
      </c>
      <c r="B3544" s="33">
        <v>43290</v>
      </c>
      <c r="C3544" s="34" t="s">
        <v>4538</v>
      </c>
      <c r="D3544" s="34">
        <v>1</v>
      </c>
      <c r="E3544" s="35" t="s">
        <v>4477</v>
      </c>
      <c r="F3544" s="35" t="s">
        <v>1370</v>
      </c>
      <c r="G3544" s="106" t="s">
        <v>3852</v>
      </c>
      <c r="H3544" s="33">
        <v>43252</v>
      </c>
      <c r="I3544" s="34" t="s">
        <v>4801</v>
      </c>
      <c r="J3544" s="36">
        <v>225</v>
      </c>
      <c r="K3544" t="s">
        <v>2030</v>
      </c>
    </row>
    <row r="3545" spans="1:11" x14ac:dyDescent="0.3">
      <c r="A3545" t="s">
        <v>1550</v>
      </c>
      <c r="B3545" s="33">
        <v>43290</v>
      </c>
      <c r="C3545" s="34" t="s">
        <v>4538</v>
      </c>
      <c r="D3545" s="34">
        <v>1</v>
      </c>
      <c r="E3545" s="35" t="s">
        <v>4477</v>
      </c>
      <c r="F3545" s="35" t="s">
        <v>1359</v>
      </c>
      <c r="G3545" s="106" t="s">
        <v>3852</v>
      </c>
      <c r="H3545" s="33">
        <v>43252</v>
      </c>
      <c r="I3545" s="34" t="s">
        <v>4802</v>
      </c>
      <c r="J3545" s="36">
        <v>172.5</v>
      </c>
      <c r="K3545" t="s">
        <v>2030</v>
      </c>
    </row>
    <row r="3546" spans="1:11" x14ac:dyDescent="0.3">
      <c r="A3546" t="s">
        <v>1550</v>
      </c>
      <c r="B3546" s="33">
        <v>43290</v>
      </c>
      <c r="C3546" s="34" t="s">
        <v>4538</v>
      </c>
      <c r="D3546" s="34">
        <v>1</v>
      </c>
      <c r="E3546" s="35" t="s">
        <v>4477</v>
      </c>
      <c r="F3546" s="35" t="s">
        <v>1369</v>
      </c>
      <c r="G3546" s="106" t="s">
        <v>3852</v>
      </c>
      <c r="H3546" s="33">
        <v>43252</v>
      </c>
      <c r="I3546" s="34" t="s">
        <v>4803</v>
      </c>
      <c r="J3546" s="36">
        <v>225</v>
      </c>
      <c r="K3546" t="s">
        <v>2030</v>
      </c>
    </row>
    <row r="3547" spans="1:11" x14ac:dyDescent="0.3">
      <c r="A3547" t="s">
        <v>1550</v>
      </c>
      <c r="B3547" s="33">
        <v>43290</v>
      </c>
      <c r="C3547" s="34" t="s">
        <v>4538</v>
      </c>
      <c r="D3547" s="34">
        <v>1</v>
      </c>
      <c r="E3547" s="35" t="s">
        <v>4477</v>
      </c>
      <c r="F3547" s="35" t="s">
        <v>1363</v>
      </c>
      <c r="G3547" s="106" t="s">
        <v>3852</v>
      </c>
      <c r="H3547" s="33">
        <v>43252</v>
      </c>
      <c r="I3547" s="34" t="s">
        <v>4804</v>
      </c>
      <c r="J3547" s="36">
        <v>172.5</v>
      </c>
      <c r="K3547" t="s">
        <v>2030</v>
      </c>
    </row>
    <row r="3548" spans="1:11" x14ac:dyDescent="0.3">
      <c r="A3548" t="s">
        <v>1550</v>
      </c>
      <c r="B3548" s="33">
        <v>43290</v>
      </c>
      <c r="C3548" s="34" t="s">
        <v>4538</v>
      </c>
      <c r="D3548" s="34">
        <v>1</v>
      </c>
      <c r="E3548" s="35" t="s">
        <v>4477</v>
      </c>
      <c r="F3548" s="35" t="s">
        <v>1364</v>
      </c>
      <c r="G3548" s="106" t="s">
        <v>3852</v>
      </c>
      <c r="H3548" s="33">
        <v>43252</v>
      </c>
      <c r="I3548" s="34" t="s">
        <v>4805</v>
      </c>
      <c r="J3548" s="36">
        <v>172.5</v>
      </c>
      <c r="K3548" t="s">
        <v>2030</v>
      </c>
    </row>
    <row r="3549" spans="1:11" x14ac:dyDescent="0.3">
      <c r="A3549" t="s">
        <v>1550</v>
      </c>
      <c r="B3549" s="33">
        <v>43290</v>
      </c>
      <c r="C3549" s="34" t="s">
        <v>4538</v>
      </c>
      <c r="D3549" s="34">
        <v>1</v>
      </c>
      <c r="E3549" s="35" t="s">
        <v>4477</v>
      </c>
      <c r="F3549" s="35" t="s">
        <v>1367</v>
      </c>
      <c r="G3549" s="106" t="s">
        <v>3852</v>
      </c>
      <c r="H3549" s="33">
        <v>43252</v>
      </c>
      <c r="I3549" s="34" t="s">
        <v>4806</v>
      </c>
      <c r="J3549" s="36">
        <v>225</v>
      </c>
      <c r="K3549" t="s">
        <v>2030</v>
      </c>
    </row>
    <row r="3550" spans="1:11" x14ac:dyDescent="0.3">
      <c r="A3550" t="s">
        <v>1550</v>
      </c>
      <c r="B3550" s="33">
        <v>43290</v>
      </c>
      <c r="C3550" s="34" t="s">
        <v>4538</v>
      </c>
      <c r="D3550" s="34">
        <v>1</v>
      </c>
      <c r="E3550" s="35" t="s">
        <v>4477</v>
      </c>
      <c r="F3550" s="35" t="s">
        <v>1360</v>
      </c>
      <c r="G3550" s="106" t="s">
        <v>3852</v>
      </c>
      <c r="H3550" s="33">
        <v>43252</v>
      </c>
      <c r="I3550" s="34" t="s">
        <v>4808</v>
      </c>
      <c r="J3550" s="36">
        <v>172.5</v>
      </c>
      <c r="K3550" t="s">
        <v>2030</v>
      </c>
    </row>
    <row r="3551" spans="1:11" x14ac:dyDescent="0.3">
      <c r="A3551" t="s">
        <v>1550</v>
      </c>
      <c r="B3551" s="33">
        <v>43290</v>
      </c>
      <c r="C3551" s="34" t="s">
        <v>4538</v>
      </c>
      <c r="D3551" s="34">
        <v>1</v>
      </c>
      <c r="E3551" s="35" t="s">
        <v>4477</v>
      </c>
      <c r="F3551" s="35" t="s">
        <v>1361</v>
      </c>
      <c r="G3551" s="106" t="s">
        <v>3852</v>
      </c>
      <c r="H3551" s="33">
        <v>43252</v>
      </c>
      <c r="I3551" s="34" t="s">
        <v>4811</v>
      </c>
      <c r="J3551" s="36">
        <v>172.5</v>
      </c>
      <c r="K3551" t="s">
        <v>2030</v>
      </c>
    </row>
    <row r="3552" spans="1:11" x14ac:dyDescent="0.3">
      <c r="A3552" t="s">
        <v>1550</v>
      </c>
      <c r="B3552" s="33">
        <v>43290</v>
      </c>
      <c r="C3552" s="34" t="s">
        <v>4538</v>
      </c>
      <c r="D3552" s="34">
        <v>1</v>
      </c>
      <c r="E3552" s="35" t="s">
        <v>4477</v>
      </c>
      <c r="F3552" s="35" t="s">
        <v>1420</v>
      </c>
      <c r="G3552" s="106" t="s">
        <v>3852</v>
      </c>
      <c r="H3552" s="33">
        <v>43252</v>
      </c>
      <c r="I3552" s="34" t="s">
        <v>4826</v>
      </c>
      <c r="J3552" s="36">
        <v>172.5</v>
      </c>
      <c r="K3552" t="s">
        <v>2030</v>
      </c>
    </row>
    <row r="3553" spans="1:11" x14ac:dyDescent="0.3">
      <c r="A3553" t="s">
        <v>1550</v>
      </c>
      <c r="B3553" s="33">
        <v>43290</v>
      </c>
      <c r="C3553" s="34" t="s">
        <v>4538</v>
      </c>
      <c r="D3553" s="34">
        <v>1</v>
      </c>
      <c r="E3553" s="35" t="s">
        <v>4477</v>
      </c>
      <c r="F3553" s="35" t="s">
        <v>1419</v>
      </c>
      <c r="G3553" s="106" t="s">
        <v>3852</v>
      </c>
      <c r="H3553" s="33">
        <v>43252</v>
      </c>
      <c r="I3553" s="34" t="s">
        <v>4828</v>
      </c>
      <c r="J3553" s="36">
        <v>172.5</v>
      </c>
      <c r="K3553" t="s">
        <v>2030</v>
      </c>
    </row>
    <row r="3554" spans="1:11" x14ac:dyDescent="0.3">
      <c r="A3554" t="s">
        <v>1550</v>
      </c>
      <c r="B3554" s="33">
        <v>43290</v>
      </c>
      <c r="C3554" s="34" t="s">
        <v>4538</v>
      </c>
      <c r="D3554" s="34">
        <v>1</v>
      </c>
      <c r="E3554" s="35" t="s">
        <v>4477</v>
      </c>
      <c r="F3554" s="35" t="s">
        <v>1418</v>
      </c>
      <c r="G3554" s="106" t="s">
        <v>3852</v>
      </c>
      <c r="H3554" s="33">
        <v>43252</v>
      </c>
      <c r="I3554" s="34" t="s">
        <v>4832</v>
      </c>
      <c r="J3554" s="36">
        <v>172.5</v>
      </c>
      <c r="K3554" t="s">
        <v>2030</v>
      </c>
    </row>
    <row r="3555" spans="1:11" x14ac:dyDescent="0.3">
      <c r="A3555" t="s">
        <v>1550</v>
      </c>
      <c r="B3555" s="33">
        <v>43290</v>
      </c>
      <c r="C3555" s="34" t="s">
        <v>4352</v>
      </c>
      <c r="D3555" s="34">
        <v>16</v>
      </c>
      <c r="E3555" s="35" t="s">
        <v>4369</v>
      </c>
      <c r="F3555" s="35" t="s">
        <v>1465</v>
      </c>
      <c r="G3555" s="106" t="s">
        <v>3852</v>
      </c>
      <c r="H3555" s="33">
        <v>43252</v>
      </c>
      <c r="I3555" s="34" t="s">
        <v>4370</v>
      </c>
      <c r="J3555" s="36">
        <v>90</v>
      </c>
      <c r="K3555" t="s">
        <v>2030</v>
      </c>
    </row>
    <row r="3556" spans="1:11" x14ac:dyDescent="0.3">
      <c r="A3556" t="s">
        <v>1550</v>
      </c>
      <c r="B3556" s="33">
        <v>43290</v>
      </c>
      <c r="C3556" s="34" t="s">
        <v>4352</v>
      </c>
      <c r="D3556" s="34">
        <v>16</v>
      </c>
      <c r="E3556" s="35" t="s">
        <v>4369</v>
      </c>
      <c r="F3556" s="35" t="s">
        <v>1466</v>
      </c>
      <c r="G3556" s="106" t="s">
        <v>3852</v>
      </c>
      <c r="H3556" s="33">
        <v>43252</v>
      </c>
      <c r="I3556" s="34" t="s">
        <v>4371</v>
      </c>
      <c r="J3556" s="36">
        <v>86.25</v>
      </c>
      <c r="K3556" t="s">
        <v>2030</v>
      </c>
    </row>
    <row r="3557" spans="1:11" x14ac:dyDescent="0.3">
      <c r="A3557" t="s">
        <v>1550</v>
      </c>
      <c r="B3557" s="33">
        <v>43290</v>
      </c>
      <c r="C3557" s="34" t="s">
        <v>4352</v>
      </c>
      <c r="D3557" s="34">
        <v>16</v>
      </c>
      <c r="E3557" s="35" t="s">
        <v>4369</v>
      </c>
      <c r="F3557" s="35" t="s">
        <v>1467</v>
      </c>
      <c r="G3557" s="106" t="s">
        <v>3852</v>
      </c>
      <c r="H3557" s="33">
        <v>43252</v>
      </c>
      <c r="I3557" s="34" t="s">
        <v>4372</v>
      </c>
      <c r="J3557" s="36">
        <v>-11.5</v>
      </c>
      <c r="K3557" t="s">
        <v>2030</v>
      </c>
    </row>
    <row r="3558" spans="1:11" x14ac:dyDescent="0.3">
      <c r="A3558" t="s">
        <v>1550</v>
      </c>
      <c r="B3558" s="33">
        <v>43290</v>
      </c>
      <c r="C3558" s="34" t="s">
        <v>4352</v>
      </c>
      <c r="D3558" s="34">
        <v>16</v>
      </c>
      <c r="E3558" s="35" t="s">
        <v>4369</v>
      </c>
      <c r="F3558" s="35" t="s">
        <v>1468</v>
      </c>
      <c r="G3558" s="106" t="s">
        <v>3852</v>
      </c>
      <c r="H3558" s="33">
        <v>43252</v>
      </c>
      <c r="I3558" s="34" t="s">
        <v>4374</v>
      </c>
      <c r="J3558" s="36">
        <v>90</v>
      </c>
      <c r="K3558" t="s">
        <v>2030</v>
      </c>
    </row>
    <row r="3559" spans="1:11" x14ac:dyDescent="0.3">
      <c r="A3559" t="s">
        <v>1550</v>
      </c>
      <c r="B3559" s="33">
        <v>43290</v>
      </c>
      <c r="C3559" s="34" t="s">
        <v>4352</v>
      </c>
      <c r="D3559" s="34">
        <v>16</v>
      </c>
      <c r="E3559" s="35" t="s">
        <v>4369</v>
      </c>
      <c r="F3559" s="35" t="s">
        <v>1470</v>
      </c>
      <c r="G3559" s="106" t="s">
        <v>3852</v>
      </c>
      <c r="H3559" s="33">
        <v>43252</v>
      </c>
      <c r="I3559" s="34" t="s">
        <v>4375</v>
      </c>
      <c r="J3559" s="36">
        <v>90</v>
      </c>
      <c r="K3559" t="s">
        <v>2030</v>
      </c>
    </row>
    <row r="3560" spans="1:11" x14ac:dyDescent="0.3">
      <c r="A3560" t="s">
        <v>1550</v>
      </c>
      <c r="B3560" s="33">
        <v>43290</v>
      </c>
      <c r="C3560" s="34" t="s">
        <v>4352</v>
      </c>
      <c r="D3560" s="34">
        <v>16</v>
      </c>
      <c r="E3560" s="35" t="s">
        <v>4369</v>
      </c>
      <c r="F3560" s="35" t="s">
        <v>1473</v>
      </c>
      <c r="G3560" s="106" t="s">
        <v>3852</v>
      </c>
      <c r="H3560" s="33">
        <v>43252</v>
      </c>
      <c r="I3560" s="34" t="s">
        <v>4376</v>
      </c>
      <c r="J3560" s="36">
        <v>90</v>
      </c>
      <c r="K3560" t="s">
        <v>2030</v>
      </c>
    </row>
    <row r="3561" spans="1:11" x14ac:dyDescent="0.3">
      <c r="A3561" t="s">
        <v>1550</v>
      </c>
      <c r="B3561" s="33">
        <v>43290</v>
      </c>
      <c r="C3561" s="34" t="s">
        <v>4352</v>
      </c>
      <c r="D3561" s="34">
        <v>16</v>
      </c>
      <c r="E3561" s="35" t="s">
        <v>4369</v>
      </c>
      <c r="F3561" s="35" t="s">
        <v>1471</v>
      </c>
      <c r="G3561" s="106" t="s">
        <v>3852</v>
      </c>
      <c r="H3561" s="33">
        <v>43252</v>
      </c>
      <c r="I3561" s="34" t="s">
        <v>4377</v>
      </c>
      <c r="J3561" s="36">
        <v>86.25</v>
      </c>
      <c r="K3561" t="s">
        <v>2030</v>
      </c>
    </row>
    <row r="3562" spans="1:11" x14ac:dyDescent="0.3">
      <c r="A3562" t="s">
        <v>1550</v>
      </c>
      <c r="B3562" s="33">
        <v>43290</v>
      </c>
      <c r="C3562" s="34" t="s">
        <v>4352</v>
      </c>
      <c r="D3562" s="34">
        <v>16</v>
      </c>
      <c r="E3562" s="35" t="s">
        <v>4369</v>
      </c>
      <c r="F3562" s="35" t="s">
        <v>1472</v>
      </c>
      <c r="G3562" s="106" t="s">
        <v>3852</v>
      </c>
      <c r="H3562" s="33">
        <v>43252</v>
      </c>
      <c r="I3562" s="34" t="s">
        <v>4378</v>
      </c>
      <c r="J3562" s="36">
        <v>-11.5</v>
      </c>
      <c r="K3562" t="s">
        <v>2030</v>
      </c>
    </row>
    <row r="3563" spans="1:11" x14ac:dyDescent="0.3">
      <c r="A3563" t="s">
        <v>1550</v>
      </c>
      <c r="B3563" s="33">
        <v>43290</v>
      </c>
      <c r="C3563" s="34" t="s">
        <v>4352</v>
      </c>
      <c r="D3563" s="34">
        <v>16</v>
      </c>
      <c r="E3563" s="35" t="s">
        <v>4369</v>
      </c>
      <c r="F3563" s="35" t="s">
        <v>1469</v>
      </c>
      <c r="G3563" s="106" t="s">
        <v>3852</v>
      </c>
      <c r="H3563" s="33">
        <v>43252</v>
      </c>
      <c r="I3563" s="34" t="s">
        <v>4379</v>
      </c>
      <c r="J3563" s="36">
        <v>86.25</v>
      </c>
      <c r="K3563" t="s">
        <v>2030</v>
      </c>
    </row>
    <row r="3564" spans="1:11" x14ac:dyDescent="0.3">
      <c r="A3564" t="s">
        <v>1550</v>
      </c>
      <c r="B3564" s="33">
        <v>43290</v>
      </c>
      <c r="C3564" s="34" t="s">
        <v>4352</v>
      </c>
      <c r="D3564" s="34">
        <v>16</v>
      </c>
      <c r="E3564" s="35" t="s">
        <v>4369</v>
      </c>
      <c r="F3564" s="35" t="s">
        <v>1474</v>
      </c>
      <c r="G3564" s="106" t="s">
        <v>3852</v>
      </c>
      <c r="H3564" s="33">
        <v>43252</v>
      </c>
      <c r="I3564" s="34" t="s">
        <v>4380</v>
      </c>
      <c r="J3564" s="36">
        <v>86.25</v>
      </c>
      <c r="K3564" t="s">
        <v>2030</v>
      </c>
    </row>
    <row r="3565" spans="1:11" x14ac:dyDescent="0.3">
      <c r="A3565" t="s">
        <v>1550</v>
      </c>
      <c r="B3565" s="33">
        <v>43290</v>
      </c>
      <c r="C3565" s="34" t="s">
        <v>4538</v>
      </c>
      <c r="D3565" s="34">
        <v>1</v>
      </c>
      <c r="E3565" s="35" t="s">
        <v>4731</v>
      </c>
      <c r="F3565" s="35" t="s">
        <v>1547</v>
      </c>
      <c r="G3565" s="106" t="s">
        <v>3852</v>
      </c>
      <c r="H3565" s="33">
        <v>43250</v>
      </c>
      <c r="I3565" s="34" t="s">
        <v>4732</v>
      </c>
      <c r="J3565" s="36">
        <v>2626.31</v>
      </c>
      <c r="K3565" t="s">
        <v>2030</v>
      </c>
    </row>
    <row r="3566" spans="1:11" x14ac:dyDescent="0.3">
      <c r="A3566" t="s">
        <v>1550</v>
      </c>
      <c r="B3566" s="33">
        <v>43290</v>
      </c>
      <c r="C3566" s="34" t="s">
        <v>4538</v>
      </c>
      <c r="D3566" s="34">
        <v>1</v>
      </c>
      <c r="E3566" s="35" t="s">
        <v>4733</v>
      </c>
      <c r="F3566" s="35" t="s">
        <v>4145</v>
      </c>
      <c r="G3566" s="106" t="s">
        <v>3852</v>
      </c>
      <c r="H3566" s="33">
        <v>43250</v>
      </c>
      <c r="I3566" s="34" t="s">
        <v>4734</v>
      </c>
      <c r="J3566" s="36">
        <v>2365.2199999999998</v>
      </c>
      <c r="K3566" t="s">
        <v>2030</v>
      </c>
    </row>
    <row r="3567" spans="1:11" x14ac:dyDescent="0.3">
      <c r="A3567" t="s">
        <v>1550</v>
      </c>
      <c r="B3567" s="33">
        <v>43290</v>
      </c>
      <c r="C3567" s="34" t="s">
        <v>4352</v>
      </c>
      <c r="D3567" s="34">
        <v>16</v>
      </c>
      <c r="E3567" s="35" t="s">
        <v>4385</v>
      </c>
      <c r="F3567" s="35" t="s">
        <v>4148</v>
      </c>
      <c r="G3567" s="106" t="s">
        <v>3852</v>
      </c>
      <c r="H3567" s="33">
        <v>43250</v>
      </c>
      <c r="I3567" s="34" t="s">
        <v>4386</v>
      </c>
      <c r="J3567" s="36">
        <v>2372.94</v>
      </c>
      <c r="K3567" t="s">
        <v>2030</v>
      </c>
    </row>
    <row r="3568" spans="1:11" x14ac:dyDescent="0.3">
      <c r="A3568" t="s">
        <v>1550</v>
      </c>
      <c r="B3568" s="33">
        <v>43290</v>
      </c>
      <c r="C3568" s="34" t="s">
        <v>4352</v>
      </c>
      <c r="D3568" s="34">
        <v>16</v>
      </c>
      <c r="E3568" s="35" t="s">
        <v>4381</v>
      </c>
      <c r="F3568" s="35" t="s">
        <v>4151</v>
      </c>
      <c r="G3568" s="106" t="s">
        <v>3852</v>
      </c>
      <c r="H3568" s="33">
        <v>43250</v>
      </c>
      <c r="I3568" s="34" t="s">
        <v>4382</v>
      </c>
      <c r="J3568" s="36">
        <v>2377.04</v>
      </c>
      <c r="K3568" t="s">
        <v>2030</v>
      </c>
    </row>
    <row r="3569" spans="1:11" x14ac:dyDescent="0.3">
      <c r="A3569" t="s">
        <v>1550</v>
      </c>
      <c r="B3569" s="33">
        <v>43290</v>
      </c>
      <c r="C3569" s="34" t="s">
        <v>4352</v>
      </c>
      <c r="D3569" s="34">
        <v>16</v>
      </c>
      <c r="E3569" s="35" t="s">
        <v>4383</v>
      </c>
      <c r="F3569" s="35" t="s">
        <v>4154</v>
      </c>
      <c r="G3569" s="106" t="s">
        <v>3852</v>
      </c>
      <c r="H3569" s="33">
        <v>43250</v>
      </c>
      <c r="I3569" s="34" t="s">
        <v>4384</v>
      </c>
      <c r="J3569" s="36">
        <v>2665.03</v>
      </c>
      <c r="K3569" t="s">
        <v>2030</v>
      </c>
    </row>
    <row r="3570" spans="1:11" x14ac:dyDescent="0.3">
      <c r="A3570" t="s">
        <v>1550</v>
      </c>
      <c r="B3570" s="33">
        <v>43292</v>
      </c>
      <c r="C3570" s="34" t="s">
        <v>2221</v>
      </c>
      <c r="D3570" s="34" t="s">
        <v>5141</v>
      </c>
      <c r="E3570" s="35" t="s">
        <v>5140</v>
      </c>
      <c r="F3570" s="124" t="s">
        <v>9</v>
      </c>
      <c r="G3570" s="106"/>
      <c r="H3570" s="33">
        <v>43252</v>
      </c>
      <c r="I3570" s="34" t="s">
        <v>2114</v>
      </c>
      <c r="J3570" s="73">
        <v>270</v>
      </c>
      <c r="K3570" t="s">
        <v>2030</v>
      </c>
    </row>
    <row r="3571" spans="1:11" x14ac:dyDescent="0.3">
      <c r="A3571" t="s">
        <v>1550</v>
      </c>
      <c r="B3571" s="33">
        <v>43292</v>
      </c>
      <c r="C3571" s="34" t="s">
        <v>2221</v>
      </c>
      <c r="D3571" s="34" t="s">
        <v>5141</v>
      </c>
      <c r="E3571" s="35" t="s">
        <v>5140</v>
      </c>
      <c r="F3571" s="125" t="s">
        <v>8</v>
      </c>
      <c r="G3571" s="106"/>
      <c r="H3571" s="33">
        <v>43252</v>
      </c>
      <c r="I3571" s="34" t="s">
        <v>2114</v>
      </c>
      <c r="J3571" s="74">
        <v>270</v>
      </c>
      <c r="K3571" t="s">
        <v>2030</v>
      </c>
    </row>
    <row r="3572" spans="1:11" x14ac:dyDescent="0.3">
      <c r="A3572" t="s">
        <v>1550</v>
      </c>
      <c r="B3572" s="33">
        <v>43292</v>
      </c>
      <c r="C3572" s="34" t="s">
        <v>2221</v>
      </c>
      <c r="D3572" s="34" t="s">
        <v>5141</v>
      </c>
      <c r="E3572" s="35" t="s">
        <v>5140</v>
      </c>
      <c r="F3572" s="124" t="s">
        <v>7</v>
      </c>
      <c r="G3572" s="106"/>
      <c r="H3572" s="33">
        <v>43252</v>
      </c>
      <c r="I3572" s="34" t="s">
        <v>2114</v>
      </c>
      <c r="J3572" s="73">
        <v>480</v>
      </c>
      <c r="K3572" t="s">
        <v>2030</v>
      </c>
    </row>
    <row r="3573" spans="1:11" x14ac:dyDescent="0.3">
      <c r="A3573" t="s">
        <v>1550</v>
      </c>
      <c r="B3573" s="33">
        <v>43292</v>
      </c>
      <c r="C3573" s="34" t="s">
        <v>2221</v>
      </c>
      <c r="D3573" s="34" t="s">
        <v>5141</v>
      </c>
      <c r="E3573" s="35" t="s">
        <v>5140</v>
      </c>
      <c r="F3573" s="125" t="s">
        <v>6</v>
      </c>
      <c r="G3573" s="106"/>
      <c r="H3573" s="33">
        <v>43252</v>
      </c>
      <c r="I3573" s="34" t="s">
        <v>2114</v>
      </c>
      <c r="J3573" s="74">
        <v>480</v>
      </c>
      <c r="K3573" t="s">
        <v>2030</v>
      </c>
    </row>
    <row r="3574" spans="1:11" x14ac:dyDescent="0.3">
      <c r="A3574" t="s">
        <v>812</v>
      </c>
      <c r="B3574" s="33">
        <v>43294</v>
      </c>
      <c r="C3574" s="34" t="s">
        <v>3754</v>
      </c>
      <c r="D3574" s="34"/>
      <c r="E3574" s="35" t="s">
        <v>2684</v>
      </c>
      <c r="F3574" s="35"/>
      <c r="G3574" s="106"/>
      <c r="H3574" s="33">
        <v>43221</v>
      </c>
      <c r="I3574" s="34" t="s">
        <v>2114</v>
      </c>
      <c r="J3574" s="36">
        <v>1164.8</v>
      </c>
      <c r="K3574" t="s">
        <v>2030</v>
      </c>
    </row>
    <row r="3575" spans="1:11" x14ac:dyDescent="0.3">
      <c r="A3575" t="s">
        <v>813</v>
      </c>
      <c r="B3575" s="33">
        <v>43294</v>
      </c>
      <c r="C3575" s="34" t="s">
        <v>4346</v>
      </c>
      <c r="D3575" s="34"/>
      <c r="E3575" s="35" t="s">
        <v>4166</v>
      </c>
      <c r="F3575" s="35"/>
      <c r="G3575" s="106" t="s">
        <v>3852</v>
      </c>
      <c r="H3575" s="33">
        <v>43252</v>
      </c>
      <c r="I3575" s="34" t="s">
        <v>2114</v>
      </c>
      <c r="J3575" s="36">
        <v>1725</v>
      </c>
      <c r="K3575" t="s">
        <v>2030</v>
      </c>
    </row>
    <row r="3576" spans="1:11" x14ac:dyDescent="0.3">
      <c r="A3576" t="s">
        <v>818</v>
      </c>
      <c r="B3576" s="33">
        <v>43299</v>
      </c>
      <c r="C3576" s="34" t="s">
        <v>2237</v>
      </c>
      <c r="D3576" s="34">
        <v>1</v>
      </c>
      <c r="E3576" s="35" t="s">
        <v>5147</v>
      </c>
      <c r="F3576" s="35" t="s">
        <v>139</v>
      </c>
      <c r="G3576" s="106" t="s">
        <v>3852</v>
      </c>
      <c r="H3576" s="33">
        <v>43101</v>
      </c>
      <c r="I3576" s="34" t="s">
        <v>2114</v>
      </c>
      <c r="J3576" s="36">
        <v>289.85000000000002</v>
      </c>
      <c r="K3576" t="s">
        <v>2030</v>
      </c>
    </row>
    <row r="3577" spans="1:11" x14ac:dyDescent="0.3">
      <c r="A3577" t="s">
        <v>818</v>
      </c>
      <c r="B3577" s="33">
        <v>43299</v>
      </c>
      <c r="C3577" s="34" t="s">
        <v>2237</v>
      </c>
      <c r="D3577" s="34">
        <v>1</v>
      </c>
      <c r="E3577" s="35" t="s">
        <v>5147</v>
      </c>
      <c r="F3577" s="35" t="s">
        <v>138</v>
      </c>
      <c r="G3577" s="106" t="s">
        <v>3852</v>
      </c>
      <c r="H3577" s="33">
        <v>43101</v>
      </c>
      <c r="I3577" s="34" t="s">
        <v>2114</v>
      </c>
      <c r="J3577" s="36">
        <v>289.85000000000002</v>
      </c>
      <c r="K3577" t="s">
        <v>2030</v>
      </c>
    </row>
    <row r="3578" spans="1:11" x14ac:dyDescent="0.3">
      <c r="A3578" t="s">
        <v>818</v>
      </c>
      <c r="B3578" s="33">
        <v>43299</v>
      </c>
      <c r="C3578" s="34" t="s">
        <v>2237</v>
      </c>
      <c r="D3578" s="34">
        <v>1</v>
      </c>
      <c r="E3578" s="35" t="s">
        <v>5147</v>
      </c>
      <c r="F3578" s="35" t="s">
        <v>321</v>
      </c>
      <c r="G3578" s="106" t="s">
        <v>3852</v>
      </c>
      <c r="H3578" s="33">
        <v>43101</v>
      </c>
      <c r="I3578" s="34" t="s">
        <v>2114</v>
      </c>
      <c r="J3578" s="36">
        <v>299.2</v>
      </c>
      <c r="K3578" t="s">
        <v>2030</v>
      </c>
    </row>
    <row r="3579" spans="1:11" x14ac:dyDescent="0.3">
      <c r="A3579" t="s">
        <v>818</v>
      </c>
      <c r="B3579" s="33">
        <v>43299</v>
      </c>
      <c r="C3579" s="34" t="s">
        <v>2237</v>
      </c>
      <c r="D3579" s="34">
        <v>1</v>
      </c>
      <c r="E3579" s="35" t="s">
        <v>5147</v>
      </c>
      <c r="F3579" s="35" t="s">
        <v>140</v>
      </c>
      <c r="G3579" s="106" t="s">
        <v>3852</v>
      </c>
      <c r="H3579" s="33">
        <v>43101</v>
      </c>
      <c r="I3579" s="34" t="s">
        <v>2114</v>
      </c>
      <c r="J3579" s="36">
        <v>196.35</v>
      </c>
      <c r="K3579" t="s">
        <v>2030</v>
      </c>
    </row>
    <row r="3580" spans="1:11" x14ac:dyDescent="0.3">
      <c r="A3580" t="s">
        <v>818</v>
      </c>
      <c r="B3580" s="33">
        <v>43299</v>
      </c>
      <c r="C3580" s="34" t="s">
        <v>5185</v>
      </c>
      <c r="D3580" s="34">
        <v>1</v>
      </c>
      <c r="E3580" s="35" t="s">
        <v>5147</v>
      </c>
      <c r="F3580" s="35" t="s">
        <v>134</v>
      </c>
      <c r="G3580" s="106" t="s">
        <v>5286</v>
      </c>
      <c r="H3580" s="33">
        <v>43101</v>
      </c>
      <c r="I3580" s="34" t="s">
        <v>5287</v>
      </c>
      <c r="J3580" s="36">
        <v>74.8</v>
      </c>
      <c r="K3580" t="s">
        <v>2030</v>
      </c>
    </row>
    <row r="3581" spans="1:11" x14ac:dyDescent="0.3">
      <c r="A3581" t="s">
        <v>818</v>
      </c>
      <c r="B3581" s="33">
        <v>43299</v>
      </c>
      <c r="C3581" s="34" t="s">
        <v>5185</v>
      </c>
      <c r="D3581" s="34">
        <v>1</v>
      </c>
      <c r="E3581" s="35" t="s">
        <v>5255</v>
      </c>
      <c r="F3581" s="35" t="s">
        <v>39</v>
      </c>
      <c r="G3581" s="106" t="s">
        <v>3852</v>
      </c>
      <c r="H3581" s="33">
        <v>43252</v>
      </c>
      <c r="I3581" s="34" t="s">
        <v>5256</v>
      </c>
      <c r="J3581" s="36">
        <v>3872.62</v>
      </c>
      <c r="K3581" t="s">
        <v>2030</v>
      </c>
    </row>
    <row r="3582" spans="1:11" x14ac:dyDescent="0.3">
      <c r="A3582" t="s">
        <v>818</v>
      </c>
      <c r="B3582" s="33">
        <v>43299</v>
      </c>
      <c r="C3582" s="34" t="s">
        <v>5185</v>
      </c>
      <c r="D3582" s="34">
        <v>1</v>
      </c>
      <c r="E3582" s="35" t="s">
        <v>5255</v>
      </c>
      <c r="F3582" s="35" t="s">
        <v>37</v>
      </c>
      <c r="G3582" s="106" t="s">
        <v>3852</v>
      </c>
      <c r="H3582" s="33">
        <v>43252</v>
      </c>
      <c r="I3582" s="34" t="s">
        <v>5257</v>
      </c>
      <c r="J3582" s="36">
        <v>8223.02</v>
      </c>
      <c r="K3582" t="s">
        <v>2030</v>
      </c>
    </row>
    <row r="3583" spans="1:11" x14ac:dyDescent="0.3">
      <c r="A3583" t="s">
        <v>818</v>
      </c>
      <c r="B3583" s="33">
        <v>43299</v>
      </c>
      <c r="C3583" s="34" t="s">
        <v>5185</v>
      </c>
      <c r="D3583" s="34">
        <v>1</v>
      </c>
      <c r="E3583" s="35" t="s">
        <v>5255</v>
      </c>
      <c r="F3583" s="35" t="s">
        <v>38</v>
      </c>
      <c r="G3583" s="106" t="s">
        <v>3852</v>
      </c>
      <c r="H3583" s="33">
        <v>43252</v>
      </c>
      <c r="I3583" s="34" t="s">
        <v>5258</v>
      </c>
      <c r="J3583" s="36">
        <v>4511.22</v>
      </c>
      <c r="K3583" t="s">
        <v>2030</v>
      </c>
    </row>
    <row r="3584" spans="1:11" x14ac:dyDescent="0.3">
      <c r="A3584" t="s">
        <v>818</v>
      </c>
      <c r="B3584" s="33">
        <v>43299</v>
      </c>
      <c r="C3584" s="34" t="s">
        <v>5185</v>
      </c>
      <c r="D3584" s="34">
        <v>1</v>
      </c>
      <c r="E3584" s="35" t="s">
        <v>5255</v>
      </c>
      <c r="F3584" s="35" t="s">
        <v>54</v>
      </c>
      <c r="G3584" s="106" t="s">
        <v>3852</v>
      </c>
      <c r="H3584" s="33">
        <v>43252</v>
      </c>
      <c r="I3584" s="34" t="s">
        <v>5262</v>
      </c>
      <c r="J3584" s="36">
        <v>585.87</v>
      </c>
      <c r="K3584" t="s">
        <v>2030</v>
      </c>
    </row>
    <row r="3585" spans="1:11" x14ac:dyDescent="0.3">
      <c r="A3585" t="s">
        <v>818</v>
      </c>
      <c r="B3585" s="33">
        <v>43299</v>
      </c>
      <c r="C3585" s="34" t="s">
        <v>5185</v>
      </c>
      <c r="D3585" s="34">
        <v>1</v>
      </c>
      <c r="E3585" s="35" t="s">
        <v>5255</v>
      </c>
      <c r="F3585" s="35" t="s">
        <v>28</v>
      </c>
      <c r="G3585" s="106" t="s">
        <v>3852</v>
      </c>
      <c r="H3585" s="33">
        <v>43252</v>
      </c>
      <c r="I3585" s="34" t="s">
        <v>5263</v>
      </c>
      <c r="J3585" s="36">
        <v>8540.6299999999992</v>
      </c>
      <c r="K3585" t="s">
        <v>2030</v>
      </c>
    </row>
    <row r="3586" spans="1:11" x14ac:dyDescent="0.3">
      <c r="A3586" t="s">
        <v>818</v>
      </c>
      <c r="B3586" s="33">
        <v>43299</v>
      </c>
      <c r="C3586" s="34" t="s">
        <v>5185</v>
      </c>
      <c r="D3586" s="34">
        <v>1</v>
      </c>
      <c r="E3586" s="35" t="s">
        <v>5255</v>
      </c>
      <c r="F3586" s="35" t="s">
        <v>295</v>
      </c>
      <c r="G3586" s="106" t="s">
        <v>3852</v>
      </c>
      <c r="H3586" s="33">
        <v>43252</v>
      </c>
      <c r="I3586" s="34" t="s">
        <v>5265</v>
      </c>
      <c r="J3586" s="36">
        <v>1435.39</v>
      </c>
      <c r="K3586" t="s">
        <v>2030</v>
      </c>
    </row>
    <row r="3587" spans="1:11" x14ac:dyDescent="0.3">
      <c r="A3587" t="s">
        <v>818</v>
      </c>
      <c r="B3587" s="33">
        <v>43299</v>
      </c>
      <c r="C3587" s="34" t="s">
        <v>5185</v>
      </c>
      <c r="D3587" s="34">
        <v>1</v>
      </c>
      <c r="E3587" s="35" t="s">
        <v>5255</v>
      </c>
      <c r="F3587" s="35" t="s">
        <v>53</v>
      </c>
      <c r="G3587" s="106" t="s">
        <v>3852</v>
      </c>
      <c r="H3587" s="33">
        <v>43252</v>
      </c>
      <c r="I3587" s="34" t="s">
        <v>5267</v>
      </c>
      <c r="J3587" s="36">
        <v>585.87</v>
      </c>
      <c r="K3587" t="s">
        <v>2030</v>
      </c>
    </row>
    <row r="3588" spans="1:11" x14ac:dyDescent="0.3">
      <c r="A3588" t="s">
        <v>818</v>
      </c>
      <c r="B3588" s="33">
        <v>43299</v>
      </c>
      <c r="C3588" s="34" t="s">
        <v>5185</v>
      </c>
      <c r="D3588" s="34">
        <v>1</v>
      </c>
      <c r="E3588" s="35" t="s">
        <v>5255</v>
      </c>
      <c r="F3588" s="35" t="s">
        <v>52</v>
      </c>
      <c r="G3588" s="106" t="s">
        <v>3852</v>
      </c>
      <c r="H3588" s="33">
        <v>43252</v>
      </c>
      <c r="I3588" s="34" t="s">
        <v>5271</v>
      </c>
      <c r="J3588" s="36">
        <v>585.87</v>
      </c>
      <c r="K3588" t="s">
        <v>2030</v>
      </c>
    </row>
    <row r="3589" spans="1:11" x14ac:dyDescent="0.3">
      <c r="A3589" t="s">
        <v>818</v>
      </c>
      <c r="B3589" s="33">
        <v>43299</v>
      </c>
      <c r="C3589" s="34" t="s">
        <v>5185</v>
      </c>
      <c r="D3589" s="34">
        <v>1</v>
      </c>
      <c r="E3589" s="35" t="s">
        <v>5255</v>
      </c>
      <c r="F3589" s="35" t="s">
        <v>49</v>
      </c>
      <c r="G3589" s="106" t="s">
        <v>3852</v>
      </c>
      <c r="H3589" s="33">
        <v>43252</v>
      </c>
      <c r="I3589" s="34" t="s">
        <v>5272</v>
      </c>
      <c r="J3589" s="36">
        <v>1165.8900000000001</v>
      </c>
      <c r="K3589" t="s">
        <v>2030</v>
      </c>
    </row>
    <row r="3590" spans="1:11" x14ac:dyDescent="0.3">
      <c r="A3590" t="s">
        <v>818</v>
      </c>
      <c r="B3590" s="33">
        <v>43299</v>
      </c>
      <c r="C3590" s="34" t="s">
        <v>5185</v>
      </c>
      <c r="D3590" s="34">
        <v>1</v>
      </c>
      <c r="E3590" s="35" t="s">
        <v>5255</v>
      </c>
      <c r="F3590" s="35" t="s">
        <v>51</v>
      </c>
      <c r="G3590" s="106" t="s">
        <v>3852</v>
      </c>
      <c r="H3590" s="33">
        <v>43252</v>
      </c>
      <c r="I3590" s="34" t="s">
        <v>5274</v>
      </c>
      <c r="J3590" s="36">
        <v>732.34</v>
      </c>
      <c r="K3590" t="s">
        <v>2030</v>
      </c>
    </row>
    <row r="3591" spans="1:11" x14ac:dyDescent="0.3">
      <c r="A3591" t="s">
        <v>818</v>
      </c>
      <c r="B3591" s="33">
        <v>43299</v>
      </c>
      <c r="C3591" s="34" t="s">
        <v>5185</v>
      </c>
      <c r="D3591" s="34">
        <v>1</v>
      </c>
      <c r="E3591" s="35" t="s">
        <v>5255</v>
      </c>
      <c r="F3591" s="35" t="s">
        <v>47</v>
      </c>
      <c r="G3591" s="106" t="s">
        <v>3852</v>
      </c>
      <c r="H3591" s="33">
        <v>43252</v>
      </c>
      <c r="I3591" s="34" t="s">
        <v>5275</v>
      </c>
      <c r="J3591" s="36">
        <v>1593.57</v>
      </c>
      <c r="K3591" t="s">
        <v>2030</v>
      </c>
    </row>
    <row r="3592" spans="1:11" x14ac:dyDescent="0.3">
      <c r="A3592" t="s">
        <v>818</v>
      </c>
      <c r="B3592" s="33">
        <v>43299</v>
      </c>
      <c r="C3592" s="34" t="s">
        <v>5185</v>
      </c>
      <c r="D3592" s="34">
        <v>1</v>
      </c>
      <c r="E3592" s="35" t="s">
        <v>5255</v>
      </c>
      <c r="F3592" s="35" t="s">
        <v>50</v>
      </c>
      <c r="G3592" s="106" t="s">
        <v>3852</v>
      </c>
      <c r="H3592" s="33">
        <v>43252</v>
      </c>
      <c r="I3592" s="34" t="s">
        <v>5276</v>
      </c>
      <c r="J3592" s="36">
        <v>1113.1600000000001</v>
      </c>
      <c r="K3592" t="s">
        <v>2030</v>
      </c>
    </row>
    <row r="3593" spans="1:11" x14ac:dyDescent="0.3">
      <c r="A3593" t="s">
        <v>818</v>
      </c>
      <c r="B3593" s="33">
        <v>43299</v>
      </c>
      <c r="C3593" s="34" t="s">
        <v>5185</v>
      </c>
      <c r="D3593" s="34">
        <v>1</v>
      </c>
      <c r="E3593" s="35" t="s">
        <v>5255</v>
      </c>
      <c r="F3593" s="35" t="s">
        <v>42</v>
      </c>
      <c r="G3593" s="106" t="s">
        <v>3852</v>
      </c>
      <c r="H3593" s="33">
        <v>43252</v>
      </c>
      <c r="I3593" s="34" t="s">
        <v>5278</v>
      </c>
      <c r="J3593" s="36">
        <v>2232.17</v>
      </c>
      <c r="K3593" t="s">
        <v>2030</v>
      </c>
    </row>
    <row r="3594" spans="1:11" x14ac:dyDescent="0.3">
      <c r="A3594" t="s">
        <v>818</v>
      </c>
      <c r="B3594" s="33">
        <v>43299</v>
      </c>
      <c r="C3594" s="34" t="s">
        <v>5185</v>
      </c>
      <c r="D3594" s="34">
        <v>1</v>
      </c>
      <c r="E3594" s="35" t="s">
        <v>5255</v>
      </c>
      <c r="F3594" s="35" t="s">
        <v>40</v>
      </c>
      <c r="G3594" s="106" t="s">
        <v>3852</v>
      </c>
      <c r="H3594" s="33">
        <v>43252</v>
      </c>
      <c r="I3594" s="34" t="s">
        <v>5279</v>
      </c>
      <c r="J3594" s="36">
        <v>2601.27</v>
      </c>
      <c r="K3594" t="s">
        <v>2030</v>
      </c>
    </row>
    <row r="3595" spans="1:11" x14ac:dyDescent="0.3">
      <c r="A3595" t="s">
        <v>818</v>
      </c>
      <c r="B3595" s="33">
        <v>43299</v>
      </c>
      <c r="C3595" s="34" t="s">
        <v>5185</v>
      </c>
      <c r="D3595" s="34">
        <v>1</v>
      </c>
      <c r="E3595" s="35" t="s">
        <v>5255</v>
      </c>
      <c r="F3595" s="35" t="s">
        <v>45</v>
      </c>
      <c r="G3595" s="106" t="s">
        <v>3852</v>
      </c>
      <c r="H3595" s="33">
        <v>43252</v>
      </c>
      <c r="I3595" s="34" t="s">
        <v>5280</v>
      </c>
      <c r="J3595" s="36">
        <v>1745.9</v>
      </c>
      <c r="K3595" t="s">
        <v>2030</v>
      </c>
    </row>
    <row r="3596" spans="1:11" x14ac:dyDescent="0.3">
      <c r="A3596" t="s">
        <v>818</v>
      </c>
      <c r="B3596" s="33">
        <v>43299</v>
      </c>
      <c r="C3596" s="34" t="s">
        <v>5185</v>
      </c>
      <c r="D3596" s="34">
        <v>1</v>
      </c>
      <c r="E3596" s="35" t="s">
        <v>5255</v>
      </c>
      <c r="F3596" s="35" t="s">
        <v>44</v>
      </c>
      <c r="G3596" s="106" t="s">
        <v>3852</v>
      </c>
      <c r="H3596" s="33">
        <v>43252</v>
      </c>
      <c r="I3596" s="34" t="s">
        <v>5281</v>
      </c>
      <c r="J3596" s="36">
        <v>1816.2</v>
      </c>
      <c r="K3596" t="s">
        <v>2030</v>
      </c>
    </row>
    <row r="3597" spans="1:11" x14ac:dyDescent="0.3">
      <c r="A3597" t="s">
        <v>818</v>
      </c>
      <c r="B3597" s="33">
        <v>43299</v>
      </c>
      <c r="C3597" s="34" t="s">
        <v>5185</v>
      </c>
      <c r="D3597" s="34">
        <v>1</v>
      </c>
      <c r="E3597" s="35" t="s">
        <v>5255</v>
      </c>
      <c r="F3597" s="35" t="s">
        <v>43</v>
      </c>
      <c r="G3597" s="106" t="s">
        <v>3852</v>
      </c>
      <c r="H3597" s="33">
        <v>43252</v>
      </c>
      <c r="I3597" s="34" t="s">
        <v>5282</v>
      </c>
      <c r="J3597" s="36">
        <v>2015.4</v>
      </c>
      <c r="K3597" t="s">
        <v>2030</v>
      </c>
    </row>
    <row r="3598" spans="1:11" x14ac:dyDescent="0.3">
      <c r="A3598" t="s">
        <v>818</v>
      </c>
      <c r="B3598" s="33">
        <v>43299</v>
      </c>
      <c r="C3598" s="34" t="s">
        <v>5185</v>
      </c>
      <c r="D3598" s="34">
        <v>1</v>
      </c>
      <c r="E3598" s="35" t="s">
        <v>5255</v>
      </c>
      <c r="F3598" s="35" t="s">
        <v>46</v>
      </c>
      <c r="G3598" s="106" t="s">
        <v>3852</v>
      </c>
      <c r="H3598" s="33">
        <v>43252</v>
      </c>
      <c r="I3598" s="34" t="s">
        <v>5283</v>
      </c>
      <c r="J3598" s="36">
        <v>1599.43</v>
      </c>
      <c r="K3598" t="s">
        <v>2030</v>
      </c>
    </row>
    <row r="3599" spans="1:11" x14ac:dyDescent="0.3">
      <c r="A3599" t="s">
        <v>818</v>
      </c>
      <c r="B3599" s="33">
        <v>43299</v>
      </c>
      <c r="C3599" s="34" t="s">
        <v>5185</v>
      </c>
      <c r="D3599" s="34">
        <v>1</v>
      </c>
      <c r="E3599" s="35" t="s">
        <v>5255</v>
      </c>
      <c r="F3599" s="35" t="s">
        <v>41</v>
      </c>
      <c r="G3599" s="106" t="s">
        <v>3852</v>
      </c>
      <c r="H3599" s="33">
        <v>43252</v>
      </c>
      <c r="I3599" s="34" t="s">
        <v>5284</v>
      </c>
      <c r="J3599" s="36">
        <v>2595.42</v>
      </c>
      <c r="K3599" t="s">
        <v>2030</v>
      </c>
    </row>
    <row r="3600" spans="1:11" x14ac:dyDescent="0.3">
      <c r="A3600" t="s">
        <v>818</v>
      </c>
      <c r="B3600" s="33">
        <v>43299</v>
      </c>
      <c r="C3600" s="34" t="s">
        <v>5185</v>
      </c>
      <c r="D3600" s="34">
        <v>1</v>
      </c>
      <c r="E3600" s="35" t="s">
        <v>5255</v>
      </c>
      <c r="F3600" s="35" t="s">
        <v>48</v>
      </c>
      <c r="G3600" s="106" t="s">
        <v>3852</v>
      </c>
      <c r="H3600" s="33">
        <v>43252</v>
      </c>
      <c r="I3600" s="34" t="s">
        <v>5285</v>
      </c>
      <c r="J3600" s="36">
        <v>1359.22</v>
      </c>
      <c r="K3600" t="s">
        <v>2030</v>
      </c>
    </row>
    <row r="3601" spans="1:11" x14ac:dyDescent="0.3">
      <c r="A3601" t="s">
        <v>818</v>
      </c>
      <c r="B3601" s="33">
        <v>43299</v>
      </c>
      <c r="C3601" s="34" t="s">
        <v>5185</v>
      </c>
      <c r="D3601" s="34">
        <v>1</v>
      </c>
      <c r="E3601" s="35" t="s">
        <v>5255</v>
      </c>
      <c r="F3601" s="35" t="s">
        <v>27</v>
      </c>
      <c r="G3601" s="106" t="s">
        <v>3852</v>
      </c>
      <c r="H3601" s="33">
        <v>43252</v>
      </c>
      <c r="I3601" s="34" t="s">
        <v>5320</v>
      </c>
      <c r="J3601" s="36">
        <v>9676.7900000000009</v>
      </c>
      <c r="K3601" t="s">
        <v>2030</v>
      </c>
    </row>
    <row r="3602" spans="1:11" x14ac:dyDescent="0.3">
      <c r="A3602" t="s">
        <v>1550</v>
      </c>
      <c r="B3602" s="33">
        <v>43299</v>
      </c>
      <c r="C3602" s="34" t="s">
        <v>5176</v>
      </c>
      <c r="D3602" s="34">
        <v>4049</v>
      </c>
      <c r="E3602" s="35" t="s">
        <v>5178</v>
      </c>
      <c r="F3602" s="35" t="s">
        <v>9</v>
      </c>
      <c r="G3602" s="106" t="s">
        <v>3852</v>
      </c>
      <c r="H3602" s="33">
        <v>43252</v>
      </c>
      <c r="I3602" s="34" t="s">
        <v>5179</v>
      </c>
      <c r="J3602" s="36">
        <v>172.5</v>
      </c>
      <c r="K3602" t="s">
        <v>2030</v>
      </c>
    </row>
    <row r="3603" spans="1:11" x14ac:dyDescent="0.3">
      <c r="A3603" t="s">
        <v>1550</v>
      </c>
      <c r="B3603" s="33">
        <v>43299</v>
      </c>
      <c r="C3603" s="34" t="s">
        <v>5176</v>
      </c>
      <c r="D3603" s="34">
        <v>4049</v>
      </c>
      <c r="E3603" s="35" t="s">
        <v>5178</v>
      </c>
      <c r="F3603" s="35" t="s">
        <v>7</v>
      </c>
      <c r="G3603" s="106" t="s">
        <v>3852</v>
      </c>
      <c r="H3603" s="33">
        <v>43252</v>
      </c>
      <c r="I3603" s="34" t="s">
        <v>5180</v>
      </c>
      <c r="J3603" s="36">
        <v>172.5</v>
      </c>
      <c r="K3603" t="s">
        <v>2030</v>
      </c>
    </row>
    <row r="3604" spans="1:11" x14ac:dyDescent="0.3">
      <c r="A3604" t="s">
        <v>1550</v>
      </c>
      <c r="B3604" s="33">
        <v>43299</v>
      </c>
      <c r="C3604" s="34" t="s">
        <v>5176</v>
      </c>
      <c r="D3604" s="34">
        <v>4049</v>
      </c>
      <c r="E3604" s="35" t="s">
        <v>5178</v>
      </c>
      <c r="F3604" s="35" t="s">
        <v>8</v>
      </c>
      <c r="G3604" s="106" t="s">
        <v>3852</v>
      </c>
      <c r="H3604" s="33">
        <v>43252</v>
      </c>
      <c r="I3604" s="34" t="s">
        <v>5181</v>
      </c>
      <c r="J3604" s="36">
        <v>172.5</v>
      </c>
      <c r="K3604" t="s">
        <v>2030</v>
      </c>
    </row>
    <row r="3605" spans="1:11" x14ac:dyDescent="0.3">
      <c r="A3605" t="s">
        <v>1550</v>
      </c>
      <c r="B3605" s="33">
        <v>43299</v>
      </c>
      <c r="C3605" s="34" t="s">
        <v>5176</v>
      </c>
      <c r="D3605" s="34">
        <v>4049</v>
      </c>
      <c r="E3605" s="35" t="s">
        <v>5178</v>
      </c>
      <c r="F3605" s="35" t="s">
        <v>11</v>
      </c>
      <c r="G3605" s="106" t="s">
        <v>3852</v>
      </c>
      <c r="H3605" s="33">
        <v>43252</v>
      </c>
      <c r="I3605" s="34" t="s">
        <v>5182</v>
      </c>
      <c r="J3605" s="36">
        <v>172.5</v>
      </c>
      <c r="K3605" t="s">
        <v>2030</v>
      </c>
    </row>
    <row r="3606" spans="1:11" x14ac:dyDescent="0.3">
      <c r="A3606" t="s">
        <v>1550</v>
      </c>
      <c r="B3606" s="33">
        <v>43299</v>
      </c>
      <c r="C3606" s="34" t="s">
        <v>5176</v>
      </c>
      <c r="D3606" s="34">
        <v>4049</v>
      </c>
      <c r="E3606" s="35" t="s">
        <v>5178</v>
      </c>
      <c r="F3606" s="35" t="s">
        <v>12</v>
      </c>
      <c r="G3606" s="106" t="s">
        <v>3852</v>
      </c>
      <c r="H3606" s="33">
        <v>43252</v>
      </c>
      <c r="I3606" s="34" t="s">
        <v>5183</v>
      </c>
      <c r="J3606" s="36">
        <v>172.5</v>
      </c>
      <c r="K3606" t="s">
        <v>2030</v>
      </c>
    </row>
    <row r="3607" spans="1:11" x14ac:dyDescent="0.3">
      <c r="A3607" t="s">
        <v>1550</v>
      </c>
      <c r="B3607" s="33">
        <v>43299</v>
      </c>
      <c r="C3607" s="34" t="s">
        <v>5176</v>
      </c>
      <c r="D3607" s="34">
        <v>4049</v>
      </c>
      <c r="E3607" s="35" t="s">
        <v>5178</v>
      </c>
      <c r="F3607" s="35" t="s">
        <v>10</v>
      </c>
      <c r="G3607" s="106" t="s">
        <v>3852</v>
      </c>
      <c r="H3607" s="33">
        <v>43252</v>
      </c>
      <c r="I3607" s="34" t="s">
        <v>5184</v>
      </c>
      <c r="J3607" s="36">
        <v>172.5</v>
      </c>
      <c r="K3607" t="s">
        <v>2030</v>
      </c>
    </row>
    <row r="3608" spans="1:11" x14ac:dyDescent="0.3">
      <c r="A3608" t="s">
        <v>818</v>
      </c>
      <c r="B3608" s="33">
        <v>43299</v>
      </c>
      <c r="C3608" s="34" t="s">
        <v>5185</v>
      </c>
      <c r="D3608" s="34">
        <v>1</v>
      </c>
      <c r="E3608" s="35" t="s">
        <v>5253</v>
      </c>
      <c r="F3608" s="35" t="s">
        <v>57</v>
      </c>
      <c r="G3608" s="106" t="s">
        <v>3852</v>
      </c>
      <c r="H3608" s="33">
        <v>43252</v>
      </c>
      <c r="I3608" s="34" t="s">
        <v>5254</v>
      </c>
      <c r="J3608" s="36">
        <v>2210.59</v>
      </c>
      <c r="K3608" t="s">
        <v>2030</v>
      </c>
    </row>
    <row r="3609" spans="1:11" x14ac:dyDescent="0.3">
      <c r="A3609" t="s">
        <v>818</v>
      </c>
      <c r="B3609" s="33">
        <v>43299</v>
      </c>
      <c r="C3609" s="34" t="s">
        <v>5185</v>
      </c>
      <c r="D3609" s="34">
        <v>1</v>
      </c>
      <c r="E3609" s="35" t="s">
        <v>5253</v>
      </c>
      <c r="F3609" s="35" t="s">
        <v>59</v>
      </c>
      <c r="G3609" s="106" t="s">
        <v>3852</v>
      </c>
      <c r="H3609" s="33">
        <v>43252</v>
      </c>
      <c r="I3609" s="34" t="s">
        <v>5259</v>
      </c>
      <c r="J3609" s="36">
        <v>1041.08</v>
      </c>
      <c r="K3609" t="s">
        <v>2030</v>
      </c>
    </row>
    <row r="3610" spans="1:11" x14ac:dyDescent="0.3">
      <c r="A3610" t="s">
        <v>818</v>
      </c>
      <c r="B3610" s="33">
        <v>43299</v>
      </c>
      <c r="C3610" s="34" t="s">
        <v>5185</v>
      </c>
      <c r="D3610" s="34">
        <v>1</v>
      </c>
      <c r="E3610" s="35" t="s">
        <v>5253</v>
      </c>
      <c r="F3610" s="35" t="s">
        <v>58</v>
      </c>
      <c r="G3610" s="106" t="s">
        <v>3852</v>
      </c>
      <c r="H3610" s="33">
        <v>43252</v>
      </c>
      <c r="I3610" s="34" t="s">
        <v>5260</v>
      </c>
      <c r="J3610" s="36">
        <v>1212.75</v>
      </c>
      <c r="K3610" t="s">
        <v>2030</v>
      </c>
    </row>
    <row r="3611" spans="1:11" x14ac:dyDescent="0.3">
      <c r="A3611" t="s">
        <v>818</v>
      </c>
      <c r="B3611" s="33">
        <v>43299</v>
      </c>
      <c r="C3611" s="34" t="s">
        <v>5185</v>
      </c>
      <c r="D3611" s="34">
        <v>1</v>
      </c>
      <c r="E3611" s="35" t="s">
        <v>5253</v>
      </c>
      <c r="F3611" s="35" t="s">
        <v>55</v>
      </c>
      <c r="G3611" s="106" t="s">
        <v>3852</v>
      </c>
      <c r="H3611" s="33">
        <v>43252</v>
      </c>
      <c r="I3611" s="34" t="s">
        <v>5261</v>
      </c>
      <c r="J3611" s="36">
        <v>2601.37</v>
      </c>
      <c r="K3611" t="s">
        <v>2030</v>
      </c>
    </row>
    <row r="3612" spans="1:11" x14ac:dyDescent="0.3">
      <c r="A3612" t="s">
        <v>818</v>
      </c>
      <c r="B3612" s="33">
        <v>43299</v>
      </c>
      <c r="C3612" s="34" t="s">
        <v>5185</v>
      </c>
      <c r="D3612" s="34">
        <v>1</v>
      </c>
      <c r="E3612" s="35" t="s">
        <v>5253</v>
      </c>
      <c r="F3612" s="35" t="s">
        <v>64</v>
      </c>
      <c r="G3612" s="106" t="s">
        <v>3852</v>
      </c>
      <c r="H3612" s="33">
        <v>43252</v>
      </c>
      <c r="I3612" s="34" t="s">
        <v>5264</v>
      </c>
      <c r="J3612" s="36">
        <v>488.25</v>
      </c>
      <c r="K3612" t="s">
        <v>2030</v>
      </c>
    </row>
    <row r="3613" spans="1:11" x14ac:dyDescent="0.3">
      <c r="A3613" t="s">
        <v>818</v>
      </c>
      <c r="B3613" s="33">
        <v>43299</v>
      </c>
      <c r="C3613" s="34" t="s">
        <v>5185</v>
      </c>
      <c r="D3613" s="34">
        <v>1</v>
      </c>
      <c r="E3613" s="35" t="s">
        <v>5253</v>
      </c>
      <c r="F3613" s="35" t="s">
        <v>65</v>
      </c>
      <c r="G3613" s="106" t="s">
        <v>3852</v>
      </c>
      <c r="H3613" s="33">
        <v>43252</v>
      </c>
      <c r="I3613" s="34" t="s">
        <v>5266</v>
      </c>
      <c r="J3613" s="36">
        <v>469.35</v>
      </c>
      <c r="K3613" t="s">
        <v>2030</v>
      </c>
    </row>
    <row r="3614" spans="1:11" x14ac:dyDescent="0.3">
      <c r="A3614" t="s">
        <v>818</v>
      </c>
      <c r="B3614" s="33">
        <v>43299</v>
      </c>
      <c r="C3614" s="34" t="s">
        <v>5185</v>
      </c>
      <c r="D3614" s="34">
        <v>1</v>
      </c>
      <c r="E3614" s="35" t="s">
        <v>5253</v>
      </c>
      <c r="F3614" s="35" t="s">
        <v>60</v>
      </c>
      <c r="G3614" s="106" t="s">
        <v>3852</v>
      </c>
      <c r="H3614" s="33">
        <v>43252</v>
      </c>
      <c r="I3614" s="34" t="s">
        <v>5268</v>
      </c>
      <c r="J3614" s="36">
        <v>699.3</v>
      </c>
      <c r="K3614" t="s">
        <v>2030</v>
      </c>
    </row>
    <row r="3615" spans="1:11" x14ac:dyDescent="0.3">
      <c r="A3615" t="s">
        <v>818</v>
      </c>
      <c r="B3615" s="33">
        <v>43299</v>
      </c>
      <c r="C3615" s="34" t="s">
        <v>5185</v>
      </c>
      <c r="D3615" s="34">
        <v>1</v>
      </c>
      <c r="E3615" s="35" t="s">
        <v>5253</v>
      </c>
      <c r="F3615" s="35" t="s">
        <v>63</v>
      </c>
      <c r="G3615" s="106" t="s">
        <v>3852</v>
      </c>
      <c r="H3615" s="33">
        <v>43252</v>
      </c>
      <c r="I3615" s="34" t="s">
        <v>5269</v>
      </c>
      <c r="J3615" s="36">
        <v>541.79999999999995</v>
      </c>
      <c r="K3615" t="s">
        <v>2030</v>
      </c>
    </row>
    <row r="3616" spans="1:11" x14ac:dyDescent="0.3">
      <c r="A3616" t="s">
        <v>818</v>
      </c>
      <c r="B3616" s="33">
        <v>43299</v>
      </c>
      <c r="C3616" s="34" t="s">
        <v>5185</v>
      </c>
      <c r="D3616" s="34">
        <v>1</v>
      </c>
      <c r="E3616" s="35" t="s">
        <v>5253</v>
      </c>
      <c r="F3616" s="35" t="s">
        <v>61</v>
      </c>
      <c r="G3616" s="106" t="s">
        <v>3852</v>
      </c>
      <c r="H3616" s="33">
        <v>43252</v>
      </c>
      <c r="I3616" s="34" t="s">
        <v>5270</v>
      </c>
      <c r="J3616" s="36">
        <v>697.73</v>
      </c>
      <c r="K3616" t="s">
        <v>2030</v>
      </c>
    </row>
    <row r="3617" spans="1:11" x14ac:dyDescent="0.3">
      <c r="A3617" t="s">
        <v>818</v>
      </c>
      <c r="B3617" s="33">
        <v>43299</v>
      </c>
      <c r="C3617" s="34" t="s">
        <v>5185</v>
      </c>
      <c r="D3617" s="34">
        <v>1</v>
      </c>
      <c r="E3617" s="35" t="s">
        <v>5253</v>
      </c>
      <c r="F3617" s="35" t="s">
        <v>66</v>
      </c>
      <c r="G3617" s="106" t="s">
        <v>3852</v>
      </c>
      <c r="H3617" s="33">
        <v>43252</v>
      </c>
      <c r="I3617" s="34" t="s">
        <v>5273</v>
      </c>
      <c r="J3617" s="36">
        <v>429.98</v>
      </c>
      <c r="K3617" t="s">
        <v>2030</v>
      </c>
    </row>
    <row r="3618" spans="1:11" x14ac:dyDescent="0.3">
      <c r="A3618" t="s">
        <v>818</v>
      </c>
      <c r="B3618" s="33">
        <v>43299</v>
      </c>
      <c r="C3618" s="34" t="s">
        <v>5185</v>
      </c>
      <c r="D3618" s="34">
        <v>1</v>
      </c>
      <c r="E3618" s="35" t="s">
        <v>5253</v>
      </c>
      <c r="F3618" s="35" t="s">
        <v>62</v>
      </c>
      <c r="G3618" s="106" t="s">
        <v>3852</v>
      </c>
      <c r="H3618" s="33">
        <v>43252</v>
      </c>
      <c r="I3618" s="34" t="s">
        <v>5277</v>
      </c>
      <c r="J3618" s="36">
        <v>600.08000000000004</v>
      </c>
      <c r="K3618" t="s">
        <v>2030</v>
      </c>
    </row>
    <row r="3619" spans="1:11" x14ac:dyDescent="0.3">
      <c r="A3619" t="s">
        <v>818</v>
      </c>
      <c r="B3619" s="33">
        <v>43299</v>
      </c>
      <c r="C3619" s="34" t="s">
        <v>5185</v>
      </c>
      <c r="D3619" s="34">
        <v>1</v>
      </c>
      <c r="E3619" s="35" t="s">
        <v>5253</v>
      </c>
      <c r="F3619" s="35" t="s">
        <v>67</v>
      </c>
      <c r="G3619" s="106" t="s">
        <v>3852</v>
      </c>
      <c r="H3619" s="33">
        <v>43252</v>
      </c>
      <c r="I3619" s="34" t="s">
        <v>5308</v>
      </c>
      <c r="J3619" s="36">
        <v>428.4</v>
      </c>
      <c r="K3619" t="s">
        <v>2030</v>
      </c>
    </row>
    <row r="3620" spans="1:11" x14ac:dyDescent="0.3">
      <c r="A3620" t="s">
        <v>818</v>
      </c>
      <c r="B3620" s="33">
        <v>43299</v>
      </c>
      <c r="C3620" s="34" t="s">
        <v>5185</v>
      </c>
      <c r="D3620" s="34">
        <v>1</v>
      </c>
      <c r="E3620" s="35" t="s">
        <v>5253</v>
      </c>
      <c r="F3620" s="35" t="s">
        <v>75</v>
      </c>
      <c r="G3620" s="106" t="s">
        <v>3852</v>
      </c>
      <c r="H3620" s="33">
        <v>43252</v>
      </c>
      <c r="I3620" s="34" t="s">
        <v>5309</v>
      </c>
      <c r="J3620" s="36">
        <v>157.5</v>
      </c>
      <c r="K3620" t="s">
        <v>2030</v>
      </c>
    </row>
    <row r="3621" spans="1:11" x14ac:dyDescent="0.3">
      <c r="A3621" t="s">
        <v>818</v>
      </c>
      <c r="B3621" s="33">
        <v>43299</v>
      </c>
      <c r="C3621" s="34" t="s">
        <v>5185</v>
      </c>
      <c r="D3621" s="34">
        <v>1</v>
      </c>
      <c r="E3621" s="35" t="s">
        <v>5253</v>
      </c>
      <c r="F3621" s="35" t="s">
        <v>71</v>
      </c>
      <c r="G3621" s="106" t="s">
        <v>3852</v>
      </c>
      <c r="H3621" s="33">
        <v>43252</v>
      </c>
      <c r="I3621" s="34" t="s">
        <v>5310</v>
      </c>
      <c r="J3621" s="36">
        <v>299.25</v>
      </c>
      <c r="K3621" t="s">
        <v>2030</v>
      </c>
    </row>
    <row r="3622" spans="1:11" x14ac:dyDescent="0.3">
      <c r="A3622" t="s">
        <v>818</v>
      </c>
      <c r="B3622" s="33">
        <v>43299</v>
      </c>
      <c r="C3622" s="34" t="s">
        <v>5185</v>
      </c>
      <c r="D3622" s="34">
        <v>1</v>
      </c>
      <c r="E3622" s="35" t="s">
        <v>5253</v>
      </c>
      <c r="F3622" s="35" t="s">
        <v>70</v>
      </c>
      <c r="G3622" s="106" t="s">
        <v>3852</v>
      </c>
      <c r="H3622" s="33">
        <v>43252</v>
      </c>
      <c r="I3622" s="34" t="s">
        <v>5311</v>
      </c>
      <c r="J3622" s="36">
        <v>313.43</v>
      </c>
      <c r="K3622" t="s">
        <v>2030</v>
      </c>
    </row>
    <row r="3623" spans="1:11" x14ac:dyDescent="0.3">
      <c r="A3623" t="s">
        <v>818</v>
      </c>
      <c r="B3623" s="33">
        <v>43299</v>
      </c>
      <c r="C3623" s="34" t="s">
        <v>5185</v>
      </c>
      <c r="D3623" s="34">
        <v>1</v>
      </c>
      <c r="E3623" s="35" t="s">
        <v>5253</v>
      </c>
      <c r="F3623" s="35" t="s">
        <v>74</v>
      </c>
      <c r="G3623" s="106" t="s">
        <v>3852</v>
      </c>
      <c r="H3623" s="33">
        <v>43252</v>
      </c>
      <c r="I3623" s="34" t="s">
        <v>5312</v>
      </c>
      <c r="J3623" s="36">
        <v>157.5</v>
      </c>
      <c r="K3623" t="s">
        <v>2030</v>
      </c>
    </row>
    <row r="3624" spans="1:11" x14ac:dyDescent="0.3">
      <c r="A3624" t="s">
        <v>818</v>
      </c>
      <c r="B3624" s="33">
        <v>43299</v>
      </c>
      <c r="C3624" s="34" t="s">
        <v>5185</v>
      </c>
      <c r="D3624" s="34">
        <v>1</v>
      </c>
      <c r="E3624" s="35" t="s">
        <v>5253</v>
      </c>
      <c r="F3624" s="35" t="s">
        <v>68</v>
      </c>
      <c r="G3624" s="106" t="s">
        <v>3852</v>
      </c>
      <c r="H3624" s="33">
        <v>43252</v>
      </c>
      <c r="I3624" s="34" t="s">
        <v>5313</v>
      </c>
      <c r="J3624" s="36">
        <v>385.88</v>
      </c>
      <c r="K3624" t="s">
        <v>2030</v>
      </c>
    </row>
    <row r="3625" spans="1:11" x14ac:dyDescent="0.3">
      <c r="A3625" t="s">
        <v>818</v>
      </c>
      <c r="B3625" s="33">
        <v>43299</v>
      </c>
      <c r="C3625" s="34" t="s">
        <v>5185</v>
      </c>
      <c r="D3625" s="34">
        <v>1</v>
      </c>
      <c r="E3625" s="35" t="s">
        <v>5253</v>
      </c>
      <c r="F3625" s="35" t="s">
        <v>69</v>
      </c>
      <c r="G3625" s="106" t="s">
        <v>3852</v>
      </c>
      <c r="H3625" s="33">
        <v>43252</v>
      </c>
      <c r="I3625" s="34" t="s">
        <v>5314</v>
      </c>
      <c r="J3625" s="36">
        <v>365.4</v>
      </c>
      <c r="K3625" t="s">
        <v>2030</v>
      </c>
    </row>
    <row r="3626" spans="1:11" x14ac:dyDescent="0.3">
      <c r="A3626" t="s">
        <v>818</v>
      </c>
      <c r="B3626" s="33">
        <v>43299</v>
      </c>
      <c r="C3626" s="34" t="s">
        <v>5185</v>
      </c>
      <c r="D3626" s="34">
        <v>1</v>
      </c>
      <c r="E3626" s="35" t="s">
        <v>5253</v>
      </c>
      <c r="F3626" s="35" t="s">
        <v>73</v>
      </c>
      <c r="G3626" s="106" t="s">
        <v>3852</v>
      </c>
      <c r="H3626" s="33">
        <v>43252</v>
      </c>
      <c r="I3626" s="34" t="s">
        <v>5315</v>
      </c>
      <c r="J3626" s="36">
        <v>157.5</v>
      </c>
      <c r="K3626" t="s">
        <v>2030</v>
      </c>
    </row>
    <row r="3627" spans="1:11" x14ac:dyDescent="0.3">
      <c r="A3627" t="s">
        <v>818</v>
      </c>
      <c r="B3627" s="33">
        <v>43299</v>
      </c>
      <c r="C3627" s="34" t="s">
        <v>5185</v>
      </c>
      <c r="D3627" s="34">
        <v>1</v>
      </c>
      <c r="E3627" s="35" t="s">
        <v>5253</v>
      </c>
      <c r="F3627" s="35" t="s">
        <v>72</v>
      </c>
      <c r="G3627" s="106" t="s">
        <v>3852</v>
      </c>
      <c r="H3627" s="33">
        <v>43252</v>
      </c>
      <c r="I3627" s="34" t="s">
        <v>5318</v>
      </c>
      <c r="J3627" s="36">
        <v>196.88</v>
      </c>
      <c r="K3627" t="s">
        <v>2030</v>
      </c>
    </row>
    <row r="3628" spans="1:11" x14ac:dyDescent="0.3">
      <c r="A3628" t="s">
        <v>818</v>
      </c>
      <c r="B3628" s="33">
        <v>43299</v>
      </c>
      <c r="C3628" s="34" t="s">
        <v>5185</v>
      </c>
      <c r="D3628" s="34">
        <v>1</v>
      </c>
      <c r="E3628" s="35" t="s">
        <v>5253</v>
      </c>
      <c r="F3628" s="35" t="s">
        <v>56</v>
      </c>
      <c r="G3628" s="106" t="s">
        <v>3852</v>
      </c>
      <c r="H3628" s="33">
        <v>43252</v>
      </c>
      <c r="I3628" s="34" t="s">
        <v>5319</v>
      </c>
      <c r="J3628" s="36">
        <v>2295.98</v>
      </c>
      <c r="K3628" t="s">
        <v>2030</v>
      </c>
    </row>
    <row r="3629" spans="1:11" x14ac:dyDescent="0.3">
      <c r="A3629" t="s">
        <v>818</v>
      </c>
      <c r="B3629" s="33">
        <v>43299</v>
      </c>
      <c r="C3629" s="34" t="s">
        <v>5185</v>
      </c>
      <c r="D3629" s="34">
        <v>1</v>
      </c>
      <c r="E3629" s="35" t="s">
        <v>5288</v>
      </c>
      <c r="F3629" s="35" t="s">
        <v>26</v>
      </c>
      <c r="G3629" s="106" t="s">
        <v>3852</v>
      </c>
      <c r="H3629" s="33">
        <v>43252</v>
      </c>
      <c r="I3629" s="34" t="s">
        <v>5289</v>
      </c>
      <c r="J3629" s="36">
        <v>804.62</v>
      </c>
      <c r="K3629" t="s">
        <v>2030</v>
      </c>
    </row>
    <row r="3630" spans="1:11" x14ac:dyDescent="0.3">
      <c r="A3630" t="s">
        <v>818</v>
      </c>
      <c r="B3630" s="33">
        <v>43299</v>
      </c>
      <c r="C3630" s="34" t="s">
        <v>5185</v>
      </c>
      <c r="D3630" s="34">
        <v>1</v>
      </c>
      <c r="E3630" s="35" t="s">
        <v>5288</v>
      </c>
      <c r="F3630" s="35" t="s">
        <v>23</v>
      </c>
      <c r="G3630" s="106" t="s">
        <v>3852</v>
      </c>
      <c r="H3630" s="33">
        <v>43252</v>
      </c>
      <c r="I3630" s="34" t="s">
        <v>5290</v>
      </c>
      <c r="J3630" s="36">
        <v>1005.77</v>
      </c>
      <c r="K3630" t="s">
        <v>2030</v>
      </c>
    </row>
    <row r="3631" spans="1:11" x14ac:dyDescent="0.3">
      <c r="A3631" t="s">
        <v>818</v>
      </c>
      <c r="B3631" s="33">
        <v>43299</v>
      </c>
      <c r="C3631" s="34" t="s">
        <v>5185</v>
      </c>
      <c r="D3631" s="34">
        <v>1</v>
      </c>
      <c r="E3631" s="35" t="s">
        <v>5288</v>
      </c>
      <c r="F3631" s="35" t="s">
        <v>25</v>
      </c>
      <c r="G3631" s="106" t="s">
        <v>3852</v>
      </c>
      <c r="H3631" s="33">
        <v>43252</v>
      </c>
      <c r="I3631" s="34" t="s">
        <v>5291</v>
      </c>
      <c r="J3631" s="36">
        <v>804.62</v>
      </c>
      <c r="K3631" t="s">
        <v>2030</v>
      </c>
    </row>
    <row r="3632" spans="1:11" x14ac:dyDescent="0.3">
      <c r="A3632" t="s">
        <v>818</v>
      </c>
      <c r="B3632" s="33">
        <v>43299</v>
      </c>
      <c r="C3632" s="34" t="s">
        <v>5185</v>
      </c>
      <c r="D3632" s="34">
        <v>1</v>
      </c>
      <c r="E3632" s="35" t="s">
        <v>5288</v>
      </c>
      <c r="F3632" s="35" t="s">
        <v>22</v>
      </c>
      <c r="G3632" s="106" t="s">
        <v>3852</v>
      </c>
      <c r="H3632" s="33">
        <v>43252</v>
      </c>
      <c r="I3632" s="34" t="s">
        <v>5292</v>
      </c>
      <c r="J3632" s="36">
        <v>1528.78</v>
      </c>
      <c r="K3632" t="s">
        <v>2030</v>
      </c>
    </row>
    <row r="3633" spans="1:11" x14ac:dyDescent="0.3">
      <c r="A3633" t="s">
        <v>818</v>
      </c>
      <c r="B3633" s="33">
        <v>43299</v>
      </c>
      <c r="C3633" s="34" t="s">
        <v>5185</v>
      </c>
      <c r="D3633" s="34">
        <v>1</v>
      </c>
      <c r="E3633" s="35" t="s">
        <v>5288</v>
      </c>
      <c r="F3633" s="35" t="s">
        <v>24</v>
      </c>
      <c r="G3633" s="106" t="s">
        <v>3852</v>
      </c>
      <c r="H3633" s="33">
        <v>43252</v>
      </c>
      <c r="I3633" s="34" t="s">
        <v>5293</v>
      </c>
      <c r="J3633" s="36">
        <v>804.62</v>
      </c>
      <c r="K3633" t="s">
        <v>2030</v>
      </c>
    </row>
    <row r="3634" spans="1:11" x14ac:dyDescent="0.3">
      <c r="A3634" t="s">
        <v>818</v>
      </c>
      <c r="B3634" s="33">
        <v>43299</v>
      </c>
      <c r="C3634" s="34" t="s">
        <v>5185</v>
      </c>
      <c r="D3634" s="34">
        <v>1</v>
      </c>
      <c r="E3634" s="35" t="s">
        <v>5288</v>
      </c>
      <c r="F3634" s="35" t="s">
        <v>21</v>
      </c>
      <c r="G3634" s="106" t="s">
        <v>3852</v>
      </c>
      <c r="H3634" s="33">
        <v>43252</v>
      </c>
      <c r="I3634" s="34" t="s">
        <v>5294</v>
      </c>
      <c r="J3634" s="36">
        <v>1601.19</v>
      </c>
      <c r="K3634" t="s">
        <v>2030</v>
      </c>
    </row>
    <row r="3635" spans="1:11" x14ac:dyDescent="0.3">
      <c r="A3635" t="s">
        <v>818</v>
      </c>
      <c r="B3635" s="33">
        <v>43299</v>
      </c>
      <c r="C3635" s="34" t="s">
        <v>5185</v>
      </c>
      <c r="D3635" s="34">
        <v>1</v>
      </c>
      <c r="E3635" s="35" t="s">
        <v>5288</v>
      </c>
      <c r="F3635" s="35" t="s">
        <v>11</v>
      </c>
      <c r="G3635" s="106" t="s">
        <v>3852</v>
      </c>
      <c r="H3635" s="33">
        <v>43252</v>
      </c>
      <c r="I3635" s="34" t="s">
        <v>5295</v>
      </c>
      <c r="J3635" s="36">
        <v>3572.51</v>
      </c>
      <c r="K3635" t="s">
        <v>2030</v>
      </c>
    </row>
    <row r="3636" spans="1:11" x14ac:dyDescent="0.3">
      <c r="A3636" t="s">
        <v>818</v>
      </c>
      <c r="B3636" s="33">
        <v>43299</v>
      </c>
      <c r="C3636" s="34" t="s">
        <v>5185</v>
      </c>
      <c r="D3636" s="34">
        <v>1</v>
      </c>
      <c r="E3636" s="35" t="s">
        <v>5288</v>
      </c>
      <c r="F3636" s="35" t="s">
        <v>19</v>
      </c>
      <c r="G3636" s="106" t="s">
        <v>3852</v>
      </c>
      <c r="H3636" s="33">
        <v>43252</v>
      </c>
      <c r="I3636" s="34" t="s">
        <v>5296</v>
      </c>
      <c r="J3636" s="36">
        <v>1971.32</v>
      </c>
      <c r="K3636" t="s">
        <v>2030</v>
      </c>
    </row>
    <row r="3637" spans="1:11" x14ac:dyDescent="0.3">
      <c r="A3637" t="s">
        <v>818</v>
      </c>
      <c r="B3637" s="33">
        <v>43299</v>
      </c>
      <c r="C3637" s="34" t="s">
        <v>5185</v>
      </c>
      <c r="D3637" s="34">
        <v>1</v>
      </c>
      <c r="E3637" s="35" t="s">
        <v>5288</v>
      </c>
      <c r="F3637" s="35" t="s">
        <v>16</v>
      </c>
      <c r="G3637" s="106" t="s">
        <v>3852</v>
      </c>
      <c r="H3637" s="33">
        <v>43252</v>
      </c>
      <c r="I3637" s="34" t="s">
        <v>5297</v>
      </c>
      <c r="J3637" s="36">
        <v>2397.77</v>
      </c>
      <c r="K3637" t="s">
        <v>2030</v>
      </c>
    </row>
    <row r="3638" spans="1:11" x14ac:dyDescent="0.3">
      <c r="A3638" t="s">
        <v>818</v>
      </c>
      <c r="B3638" s="33">
        <v>43299</v>
      </c>
      <c r="C3638" s="34" t="s">
        <v>5185</v>
      </c>
      <c r="D3638" s="34">
        <v>1</v>
      </c>
      <c r="E3638" s="35" t="s">
        <v>5288</v>
      </c>
      <c r="F3638" s="35" t="s">
        <v>18</v>
      </c>
      <c r="G3638" s="106" t="s">
        <v>3852</v>
      </c>
      <c r="H3638" s="33">
        <v>43252</v>
      </c>
      <c r="I3638" s="34" t="s">
        <v>5298</v>
      </c>
      <c r="J3638" s="36">
        <v>2188.5700000000002</v>
      </c>
      <c r="K3638" t="s">
        <v>2030</v>
      </c>
    </row>
    <row r="3639" spans="1:11" x14ac:dyDescent="0.3">
      <c r="A3639" t="s">
        <v>818</v>
      </c>
      <c r="B3639" s="33">
        <v>43299</v>
      </c>
      <c r="C3639" s="34" t="s">
        <v>5185</v>
      </c>
      <c r="D3639" s="34">
        <v>1</v>
      </c>
      <c r="E3639" s="35" t="s">
        <v>5288</v>
      </c>
      <c r="F3639" s="35" t="s">
        <v>9</v>
      </c>
      <c r="G3639" s="106" t="s">
        <v>3852</v>
      </c>
      <c r="H3639" s="33">
        <v>43252</v>
      </c>
      <c r="I3639" s="34" t="s">
        <v>5299</v>
      </c>
      <c r="J3639" s="36">
        <v>6195.57</v>
      </c>
      <c r="K3639" t="s">
        <v>2030</v>
      </c>
    </row>
    <row r="3640" spans="1:11" x14ac:dyDescent="0.3">
      <c r="A3640" t="s">
        <v>818</v>
      </c>
      <c r="B3640" s="33">
        <v>43299</v>
      </c>
      <c r="C3640" s="34" t="s">
        <v>5185</v>
      </c>
      <c r="D3640" s="34">
        <v>1</v>
      </c>
      <c r="E3640" s="35" t="s">
        <v>5288</v>
      </c>
      <c r="F3640" s="35" t="s">
        <v>12</v>
      </c>
      <c r="G3640" s="106" t="s">
        <v>3852</v>
      </c>
      <c r="H3640" s="33">
        <v>43252</v>
      </c>
      <c r="I3640" s="34" t="s">
        <v>5300</v>
      </c>
      <c r="J3640" s="36">
        <v>3564.46</v>
      </c>
      <c r="K3640" t="s">
        <v>2030</v>
      </c>
    </row>
    <row r="3641" spans="1:11" x14ac:dyDescent="0.3">
      <c r="A3641" t="s">
        <v>818</v>
      </c>
      <c r="B3641" s="33">
        <v>43299</v>
      </c>
      <c r="C3641" s="34" t="s">
        <v>5185</v>
      </c>
      <c r="D3641" s="34">
        <v>1</v>
      </c>
      <c r="E3641" s="35" t="s">
        <v>5288</v>
      </c>
      <c r="F3641" s="35" t="s">
        <v>17</v>
      </c>
      <c r="G3641" s="106" t="s">
        <v>3852</v>
      </c>
      <c r="H3641" s="33">
        <v>43252</v>
      </c>
      <c r="I3641" s="34" t="s">
        <v>5301</v>
      </c>
      <c r="J3641" s="36">
        <v>2196.61</v>
      </c>
      <c r="K3641" t="s">
        <v>2030</v>
      </c>
    </row>
    <row r="3642" spans="1:11" x14ac:dyDescent="0.3">
      <c r="A3642" t="s">
        <v>818</v>
      </c>
      <c r="B3642" s="33">
        <v>43299</v>
      </c>
      <c r="C3642" s="34" t="s">
        <v>5185</v>
      </c>
      <c r="D3642" s="34">
        <v>1</v>
      </c>
      <c r="E3642" s="35" t="s">
        <v>5288</v>
      </c>
      <c r="F3642" s="35" t="s">
        <v>8</v>
      </c>
      <c r="G3642" s="106" t="s">
        <v>3852</v>
      </c>
      <c r="H3642" s="33">
        <v>43252</v>
      </c>
      <c r="I3642" s="34" t="s">
        <v>5302</v>
      </c>
      <c r="J3642" s="36">
        <v>11293.24</v>
      </c>
      <c r="K3642" t="s">
        <v>2030</v>
      </c>
    </row>
    <row r="3643" spans="1:11" x14ac:dyDescent="0.3">
      <c r="A3643" t="s">
        <v>818</v>
      </c>
      <c r="B3643" s="33">
        <v>43299</v>
      </c>
      <c r="C3643" s="34" t="s">
        <v>5185</v>
      </c>
      <c r="D3643" s="34">
        <v>1</v>
      </c>
      <c r="E3643" s="35" t="s">
        <v>5288</v>
      </c>
      <c r="F3643" s="35" t="s">
        <v>15</v>
      </c>
      <c r="G3643" s="106" t="s">
        <v>3852</v>
      </c>
      <c r="H3643" s="33">
        <v>43252</v>
      </c>
      <c r="I3643" s="34" t="s">
        <v>5303</v>
      </c>
      <c r="J3643" s="36">
        <v>2494.3200000000002</v>
      </c>
      <c r="K3643" t="s">
        <v>2030</v>
      </c>
    </row>
    <row r="3644" spans="1:11" x14ac:dyDescent="0.3">
      <c r="A3644" t="s">
        <v>818</v>
      </c>
      <c r="B3644" s="33">
        <v>43299</v>
      </c>
      <c r="C3644" s="34" t="s">
        <v>5185</v>
      </c>
      <c r="D3644" s="34">
        <v>1</v>
      </c>
      <c r="E3644" s="35" t="s">
        <v>5288</v>
      </c>
      <c r="F3644" s="35" t="s">
        <v>20</v>
      </c>
      <c r="G3644" s="106" t="s">
        <v>3852</v>
      </c>
      <c r="H3644" s="33">
        <v>43252</v>
      </c>
      <c r="I3644" s="34" t="s">
        <v>5304</v>
      </c>
      <c r="J3644" s="36">
        <v>1866.72</v>
      </c>
      <c r="K3644" t="s">
        <v>2030</v>
      </c>
    </row>
    <row r="3645" spans="1:11" x14ac:dyDescent="0.3">
      <c r="A3645" t="s">
        <v>818</v>
      </c>
      <c r="B3645" s="33">
        <v>43299</v>
      </c>
      <c r="C3645" s="34" t="s">
        <v>5185</v>
      </c>
      <c r="D3645" s="34">
        <v>1</v>
      </c>
      <c r="E3645" s="35" t="s">
        <v>5288</v>
      </c>
      <c r="F3645" s="35" t="s">
        <v>10</v>
      </c>
      <c r="G3645" s="106" t="s">
        <v>3852</v>
      </c>
      <c r="H3645" s="33">
        <v>43252</v>
      </c>
      <c r="I3645" s="34" t="s">
        <v>5305</v>
      </c>
      <c r="J3645" s="36">
        <v>5318.53</v>
      </c>
      <c r="K3645" t="s">
        <v>2030</v>
      </c>
    </row>
    <row r="3646" spans="1:11" x14ac:dyDescent="0.3">
      <c r="A3646" t="s">
        <v>818</v>
      </c>
      <c r="B3646" s="33">
        <v>43299</v>
      </c>
      <c r="C3646" s="34" t="s">
        <v>5185</v>
      </c>
      <c r="D3646" s="34">
        <v>1</v>
      </c>
      <c r="E3646" s="35" t="s">
        <v>5288</v>
      </c>
      <c r="F3646" s="35" t="s">
        <v>13</v>
      </c>
      <c r="G3646" s="106" t="s">
        <v>3852</v>
      </c>
      <c r="H3646" s="33">
        <v>43252</v>
      </c>
      <c r="I3646" s="34" t="s">
        <v>5306</v>
      </c>
      <c r="J3646" s="36">
        <v>3065.6</v>
      </c>
      <c r="K3646" t="s">
        <v>2030</v>
      </c>
    </row>
    <row r="3647" spans="1:11" x14ac:dyDescent="0.3">
      <c r="A3647" t="s">
        <v>818</v>
      </c>
      <c r="B3647" s="33">
        <v>43299</v>
      </c>
      <c r="C3647" s="34" t="s">
        <v>5185</v>
      </c>
      <c r="D3647" s="34">
        <v>1</v>
      </c>
      <c r="E3647" s="35" t="s">
        <v>5288</v>
      </c>
      <c r="F3647" s="35" t="s">
        <v>14</v>
      </c>
      <c r="G3647" s="106" t="s">
        <v>3852</v>
      </c>
      <c r="H3647" s="33">
        <v>43252</v>
      </c>
      <c r="I3647" s="34" t="s">
        <v>5307</v>
      </c>
      <c r="J3647" s="36">
        <v>2767.89</v>
      </c>
      <c r="K3647" t="s">
        <v>2030</v>
      </c>
    </row>
    <row r="3648" spans="1:11" x14ac:dyDescent="0.3">
      <c r="A3648" t="s">
        <v>818</v>
      </c>
      <c r="B3648" s="33">
        <v>43299</v>
      </c>
      <c r="C3648" s="34" t="s">
        <v>5185</v>
      </c>
      <c r="D3648" s="34">
        <v>1</v>
      </c>
      <c r="E3648" s="35" t="s">
        <v>5288</v>
      </c>
      <c r="F3648" s="35" t="s">
        <v>6</v>
      </c>
      <c r="G3648" s="106" t="s">
        <v>3852</v>
      </c>
      <c r="H3648" s="33">
        <v>43252</v>
      </c>
      <c r="I3648" s="34" t="s">
        <v>5316</v>
      </c>
      <c r="J3648" s="36">
        <v>13289.8</v>
      </c>
      <c r="K3648" t="s">
        <v>2030</v>
      </c>
    </row>
    <row r="3649" spans="1:11" x14ac:dyDescent="0.3">
      <c r="A3649" t="s">
        <v>818</v>
      </c>
      <c r="B3649" s="33">
        <v>43299</v>
      </c>
      <c r="C3649" s="34" t="s">
        <v>5185</v>
      </c>
      <c r="D3649" s="34">
        <v>1</v>
      </c>
      <c r="E3649" s="35" t="s">
        <v>5288</v>
      </c>
      <c r="F3649" s="35" t="s">
        <v>7</v>
      </c>
      <c r="G3649" s="106" t="s">
        <v>3852</v>
      </c>
      <c r="H3649" s="33">
        <v>43252</v>
      </c>
      <c r="I3649" s="34" t="s">
        <v>5317</v>
      </c>
      <c r="J3649" s="36">
        <v>11729.44</v>
      </c>
      <c r="K3649" t="s">
        <v>2030</v>
      </c>
    </row>
    <row r="3650" spans="1:11" x14ac:dyDescent="0.3">
      <c r="A3650" t="s">
        <v>818</v>
      </c>
      <c r="B3650" s="33">
        <v>43299</v>
      </c>
      <c r="C3650" s="34" t="s">
        <v>5185</v>
      </c>
      <c r="D3650" s="34">
        <v>1</v>
      </c>
      <c r="E3650" s="35" t="s">
        <v>5150</v>
      </c>
      <c r="F3650" s="35" t="s">
        <v>150</v>
      </c>
      <c r="G3650" s="106" t="s">
        <v>4052</v>
      </c>
      <c r="H3650" s="33">
        <v>43252</v>
      </c>
      <c r="I3650" s="34" t="s">
        <v>5186</v>
      </c>
      <c r="J3650" s="36">
        <v>289.85000000000002</v>
      </c>
      <c r="K3650" t="s">
        <v>2030</v>
      </c>
    </row>
    <row r="3651" spans="1:11" x14ac:dyDescent="0.3">
      <c r="A3651" t="s">
        <v>818</v>
      </c>
      <c r="B3651" s="33">
        <v>43299</v>
      </c>
      <c r="C3651" s="34" t="s">
        <v>5185</v>
      </c>
      <c r="D3651" s="34">
        <v>1</v>
      </c>
      <c r="E3651" s="35" t="s">
        <v>5150</v>
      </c>
      <c r="F3651" s="35" t="s">
        <v>144</v>
      </c>
      <c r="G3651" s="106" t="s">
        <v>3961</v>
      </c>
      <c r="H3651" s="33">
        <v>43252</v>
      </c>
      <c r="I3651" s="34" t="s">
        <v>5187</v>
      </c>
      <c r="J3651" s="36">
        <v>289.85000000000002</v>
      </c>
      <c r="K3651" t="s">
        <v>2030</v>
      </c>
    </row>
    <row r="3652" spans="1:11" x14ac:dyDescent="0.3">
      <c r="A3652" t="s">
        <v>818</v>
      </c>
      <c r="B3652" s="33">
        <v>43299</v>
      </c>
      <c r="C3652" s="34" t="s">
        <v>5185</v>
      </c>
      <c r="D3652" s="34">
        <v>1</v>
      </c>
      <c r="E3652" s="35" t="s">
        <v>5150</v>
      </c>
      <c r="F3652" s="35" t="s">
        <v>132</v>
      </c>
      <c r="G3652" s="106" t="s">
        <v>4025</v>
      </c>
      <c r="H3652" s="33">
        <v>43252</v>
      </c>
      <c r="I3652" s="34" t="s">
        <v>5188</v>
      </c>
      <c r="J3652" s="36">
        <v>289.85000000000002</v>
      </c>
      <c r="K3652" t="s">
        <v>2030</v>
      </c>
    </row>
    <row r="3653" spans="1:11" x14ac:dyDescent="0.3">
      <c r="A3653" t="s">
        <v>818</v>
      </c>
      <c r="B3653" s="33">
        <v>43299</v>
      </c>
      <c r="C3653" s="34" t="s">
        <v>5185</v>
      </c>
      <c r="D3653" s="34">
        <v>1</v>
      </c>
      <c r="E3653" s="35" t="s">
        <v>5150</v>
      </c>
      <c r="F3653" s="35" t="s">
        <v>143</v>
      </c>
      <c r="G3653" s="106" t="s">
        <v>4033</v>
      </c>
      <c r="H3653" s="33">
        <v>43252</v>
      </c>
      <c r="I3653" s="34" t="s">
        <v>5189</v>
      </c>
      <c r="J3653" s="36">
        <v>289.85000000000002</v>
      </c>
      <c r="K3653" t="s">
        <v>2030</v>
      </c>
    </row>
    <row r="3654" spans="1:11" x14ac:dyDescent="0.3">
      <c r="A3654" t="s">
        <v>818</v>
      </c>
      <c r="B3654" s="33">
        <v>43299</v>
      </c>
      <c r="C3654" s="34" t="s">
        <v>5185</v>
      </c>
      <c r="D3654" s="34">
        <v>1</v>
      </c>
      <c r="E3654" s="35" t="s">
        <v>5150</v>
      </c>
      <c r="F3654" s="35" t="s">
        <v>135</v>
      </c>
      <c r="G3654" s="106" t="s">
        <v>3982</v>
      </c>
      <c r="H3654" s="33">
        <v>43252</v>
      </c>
      <c r="I3654" s="34" t="s">
        <v>5190</v>
      </c>
      <c r="J3654" s="36">
        <v>289.85000000000002</v>
      </c>
      <c r="K3654" t="s">
        <v>2030</v>
      </c>
    </row>
    <row r="3655" spans="1:11" x14ac:dyDescent="0.3">
      <c r="A3655" t="s">
        <v>818</v>
      </c>
      <c r="B3655" s="33">
        <v>43299</v>
      </c>
      <c r="C3655" s="34" t="s">
        <v>5185</v>
      </c>
      <c r="D3655" s="34">
        <v>1</v>
      </c>
      <c r="E3655" s="35" t="s">
        <v>5150</v>
      </c>
      <c r="F3655" s="35" t="s">
        <v>131</v>
      </c>
      <c r="G3655" s="106" t="s">
        <v>3992</v>
      </c>
      <c r="H3655" s="33">
        <v>43252</v>
      </c>
      <c r="I3655" s="34" t="s">
        <v>5191</v>
      </c>
      <c r="J3655" s="36">
        <v>289.85000000000002</v>
      </c>
      <c r="K3655" t="s">
        <v>2030</v>
      </c>
    </row>
    <row r="3656" spans="1:11" x14ac:dyDescent="0.3">
      <c r="A3656" t="s">
        <v>818</v>
      </c>
      <c r="B3656" s="33">
        <v>43299</v>
      </c>
      <c r="C3656" s="34" t="s">
        <v>5185</v>
      </c>
      <c r="D3656" s="34">
        <v>1</v>
      </c>
      <c r="E3656" s="35" t="s">
        <v>5150</v>
      </c>
      <c r="F3656" s="35" t="s">
        <v>129</v>
      </c>
      <c r="G3656" s="106" t="s">
        <v>4042</v>
      </c>
      <c r="H3656" s="33">
        <v>43252</v>
      </c>
      <c r="I3656" s="34" t="s">
        <v>5192</v>
      </c>
      <c r="J3656" s="36">
        <v>289.85000000000002</v>
      </c>
      <c r="K3656" t="s">
        <v>2030</v>
      </c>
    </row>
    <row r="3657" spans="1:11" x14ac:dyDescent="0.3">
      <c r="A3657" t="s">
        <v>818</v>
      </c>
      <c r="B3657" s="33">
        <v>43299</v>
      </c>
      <c r="C3657" s="34" t="s">
        <v>5185</v>
      </c>
      <c r="D3657" s="34">
        <v>1</v>
      </c>
      <c r="E3657" s="35" t="s">
        <v>5150</v>
      </c>
      <c r="F3657" s="35" t="s">
        <v>136</v>
      </c>
      <c r="G3657" s="106" t="s">
        <v>4061</v>
      </c>
      <c r="H3657" s="33">
        <v>43252</v>
      </c>
      <c r="I3657" s="34" t="s">
        <v>5193</v>
      </c>
      <c r="J3657" s="36">
        <v>289.85000000000002</v>
      </c>
      <c r="K3657" t="s">
        <v>2030</v>
      </c>
    </row>
    <row r="3658" spans="1:11" x14ac:dyDescent="0.3">
      <c r="A3658" t="s">
        <v>818</v>
      </c>
      <c r="B3658" s="33">
        <v>43299</v>
      </c>
      <c r="C3658" s="34" t="s">
        <v>5185</v>
      </c>
      <c r="D3658" s="34">
        <v>1</v>
      </c>
      <c r="E3658" s="35" t="s">
        <v>5150</v>
      </c>
      <c r="F3658" s="35" t="s">
        <v>128</v>
      </c>
      <c r="G3658" s="106" t="s">
        <v>3871</v>
      </c>
      <c r="H3658" s="33">
        <v>43252</v>
      </c>
      <c r="I3658" s="34" t="s">
        <v>5194</v>
      </c>
      <c r="J3658" s="36">
        <v>289.85000000000002</v>
      </c>
      <c r="K3658" t="s">
        <v>2030</v>
      </c>
    </row>
    <row r="3659" spans="1:11" x14ac:dyDescent="0.3">
      <c r="A3659" t="s">
        <v>818</v>
      </c>
      <c r="B3659" s="33">
        <v>43299</v>
      </c>
      <c r="C3659" s="34" t="s">
        <v>5185</v>
      </c>
      <c r="D3659" s="34">
        <v>1</v>
      </c>
      <c r="E3659" s="35" t="s">
        <v>5150</v>
      </c>
      <c r="F3659" s="35" t="s">
        <v>126</v>
      </c>
      <c r="G3659" s="106" t="s">
        <v>4002</v>
      </c>
      <c r="H3659" s="33">
        <v>43252</v>
      </c>
      <c r="I3659" s="34" t="s">
        <v>5195</v>
      </c>
      <c r="J3659" s="36">
        <v>289.85000000000002</v>
      </c>
      <c r="K3659" t="s">
        <v>2030</v>
      </c>
    </row>
    <row r="3660" spans="1:11" x14ac:dyDescent="0.3">
      <c r="A3660" t="s">
        <v>818</v>
      </c>
      <c r="B3660" s="33">
        <v>43299</v>
      </c>
      <c r="C3660" s="34" t="s">
        <v>5185</v>
      </c>
      <c r="D3660" s="34">
        <v>1</v>
      </c>
      <c r="E3660" s="35" t="s">
        <v>5150</v>
      </c>
      <c r="F3660" s="35" t="s">
        <v>121</v>
      </c>
      <c r="G3660" s="106" t="s">
        <v>4031</v>
      </c>
      <c r="H3660" s="33">
        <v>43252</v>
      </c>
      <c r="I3660" s="34" t="s">
        <v>5196</v>
      </c>
      <c r="J3660" s="36">
        <v>289.85000000000002</v>
      </c>
      <c r="K3660" t="s">
        <v>2030</v>
      </c>
    </row>
    <row r="3661" spans="1:11" x14ac:dyDescent="0.3">
      <c r="A3661" t="s">
        <v>818</v>
      </c>
      <c r="B3661" s="33">
        <v>43299</v>
      </c>
      <c r="C3661" s="34" t="s">
        <v>5185</v>
      </c>
      <c r="D3661" s="34">
        <v>1</v>
      </c>
      <c r="E3661" s="35" t="s">
        <v>5150</v>
      </c>
      <c r="F3661" s="35" t="s">
        <v>124</v>
      </c>
      <c r="G3661" s="106" t="s">
        <v>3941</v>
      </c>
      <c r="H3661" s="33">
        <v>43252</v>
      </c>
      <c r="I3661" s="34" t="s">
        <v>5197</v>
      </c>
      <c r="J3661" s="36">
        <v>65.45</v>
      </c>
      <c r="K3661" t="s">
        <v>2030</v>
      </c>
    </row>
    <row r="3662" spans="1:11" x14ac:dyDescent="0.3">
      <c r="A3662" t="s">
        <v>818</v>
      </c>
      <c r="B3662" s="33">
        <v>43299</v>
      </c>
      <c r="C3662" s="34" t="s">
        <v>5185</v>
      </c>
      <c r="D3662" s="34">
        <v>1</v>
      </c>
      <c r="E3662" s="35" t="s">
        <v>5150</v>
      </c>
      <c r="F3662" s="35" t="s">
        <v>127</v>
      </c>
      <c r="G3662" s="106" t="s">
        <v>4054</v>
      </c>
      <c r="H3662" s="33">
        <v>43252</v>
      </c>
      <c r="I3662" s="34" t="s">
        <v>5198</v>
      </c>
      <c r="J3662" s="36">
        <v>289.85000000000002</v>
      </c>
      <c r="K3662" t="s">
        <v>2030</v>
      </c>
    </row>
    <row r="3663" spans="1:11" x14ac:dyDescent="0.3">
      <c r="A3663" t="s">
        <v>818</v>
      </c>
      <c r="B3663" s="33">
        <v>43299</v>
      </c>
      <c r="C3663" s="34" t="s">
        <v>5185</v>
      </c>
      <c r="D3663" s="34">
        <v>1</v>
      </c>
      <c r="E3663" s="35" t="s">
        <v>5150</v>
      </c>
      <c r="F3663" s="35" t="s">
        <v>123</v>
      </c>
      <c r="G3663" s="106" t="s">
        <v>4103</v>
      </c>
      <c r="H3663" s="33">
        <v>43252</v>
      </c>
      <c r="I3663" s="34" t="s">
        <v>5199</v>
      </c>
      <c r="J3663" s="36">
        <v>289.85000000000002</v>
      </c>
      <c r="K3663" t="s">
        <v>2030</v>
      </c>
    </row>
    <row r="3664" spans="1:11" x14ac:dyDescent="0.3">
      <c r="A3664" t="s">
        <v>818</v>
      </c>
      <c r="B3664" s="33">
        <v>43299</v>
      </c>
      <c r="C3664" s="34" t="s">
        <v>5185</v>
      </c>
      <c r="D3664" s="34">
        <v>1</v>
      </c>
      <c r="E3664" s="35" t="s">
        <v>5150</v>
      </c>
      <c r="F3664" s="35" t="s">
        <v>125</v>
      </c>
      <c r="G3664" s="106" t="s">
        <v>4109</v>
      </c>
      <c r="H3664" s="33">
        <v>43252</v>
      </c>
      <c r="I3664" s="34" t="s">
        <v>5200</v>
      </c>
      <c r="J3664" s="36">
        <v>289.85000000000002</v>
      </c>
      <c r="K3664" t="s">
        <v>2030</v>
      </c>
    </row>
    <row r="3665" spans="1:11" x14ac:dyDescent="0.3">
      <c r="A3665" t="s">
        <v>818</v>
      </c>
      <c r="B3665" s="33">
        <v>43299</v>
      </c>
      <c r="C3665" s="34" t="s">
        <v>5185</v>
      </c>
      <c r="D3665" s="34">
        <v>1</v>
      </c>
      <c r="E3665" s="35" t="s">
        <v>5150</v>
      </c>
      <c r="F3665" s="35" t="s">
        <v>122</v>
      </c>
      <c r="G3665" s="106" t="s">
        <v>3873</v>
      </c>
      <c r="H3665" s="33">
        <v>43252</v>
      </c>
      <c r="I3665" s="34" t="s">
        <v>5201</v>
      </c>
      <c r="J3665" s="36">
        <v>289.85000000000002</v>
      </c>
      <c r="K3665" t="s">
        <v>2030</v>
      </c>
    </row>
    <row r="3666" spans="1:11" x14ac:dyDescent="0.3">
      <c r="A3666" t="s">
        <v>818</v>
      </c>
      <c r="B3666" s="33">
        <v>43299</v>
      </c>
      <c r="C3666" s="34" t="s">
        <v>5185</v>
      </c>
      <c r="D3666" s="34">
        <v>1</v>
      </c>
      <c r="E3666" s="35" t="s">
        <v>5150</v>
      </c>
      <c r="F3666" s="35" t="s">
        <v>119</v>
      </c>
      <c r="G3666" s="106" t="s">
        <v>4012</v>
      </c>
      <c r="H3666" s="33">
        <v>43252</v>
      </c>
      <c r="I3666" s="34" t="s">
        <v>5202</v>
      </c>
      <c r="J3666" s="36">
        <v>289.85000000000002</v>
      </c>
      <c r="K3666" t="s">
        <v>2030</v>
      </c>
    </row>
    <row r="3667" spans="1:11" x14ac:dyDescent="0.3">
      <c r="A3667" t="s">
        <v>818</v>
      </c>
      <c r="B3667" s="33">
        <v>43299</v>
      </c>
      <c r="C3667" s="34" t="s">
        <v>5185</v>
      </c>
      <c r="D3667" s="34">
        <v>1</v>
      </c>
      <c r="E3667" s="35" t="s">
        <v>5150</v>
      </c>
      <c r="F3667" s="35" t="s">
        <v>114</v>
      </c>
      <c r="G3667" s="106" t="s">
        <v>4105</v>
      </c>
      <c r="H3667" s="33">
        <v>43252</v>
      </c>
      <c r="I3667" s="34" t="s">
        <v>5203</v>
      </c>
      <c r="J3667" s="36">
        <v>289.85000000000002</v>
      </c>
      <c r="K3667" t="s">
        <v>2030</v>
      </c>
    </row>
    <row r="3668" spans="1:11" x14ac:dyDescent="0.3">
      <c r="A3668" t="s">
        <v>818</v>
      </c>
      <c r="B3668" s="33">
        <v>43299</v>
      </c>
      <c r="C3668" s="34" t="s">
        <v>5185</v>
      </c>
      <c r="D3668" s="34">
        <v>1</v>
      </c>
      <c r="E3668" s="35" t="s">
        <v>5150</v>
      </c>
      <c r="F3668" s="35" t="s">
        <v>117</v>
      </c>
      <c r="G3668" s="106" t="s">
        <v>3996</v>
      </c>
      <c r="H3668" s="33">
        <v>43252</v>
      </c>
      <c r="I3668" s="34" t="s">
        <v>5204</v>
      </c>
      <c r="J3668" s="36">
        <v>289.85000000000002</v>
      </c>
      <c r="K3668" t="s">
        <v>2030</v>
      </c>
    </row>
    <row r="3669" spans="1:11" x14ac:dyDescent="0.3">
      <c r="A3669" t="s">
        <v>818</v>
      </c>
      <c r="B3669" s="33">
        <v>43299</v>
      </c>
      <c r="C3669" s="34" t="s">
        <v>5185</v>
      </c>
      <c r="D3669" s="34">
        <v>1</v>
      </c>
      <c r="E3669" s="35" t="s">
        <v>5150</v>
      </c>
      <c r="F3669" s="35" t="s">
        <v>120</v>
      </c>
      <c r="G3669" s="106" t="s">
        <v>4063</v>
      </c>
      <c r="H3669" s="33">
        <v>43252</v>
      </c>
      <c r="I3669" s="34" t="s">
        <v>5205</v>
      </c>
      <c r="J3669" s="36">
        <v>289.85000000000002</v>
      </c>
      <c r="K3669" t="s">
        <v>2030</v>
      </c>
    </row>
    <row r="3670" spans="1:11" x14ac:dyDescent="0.3">
      <c r="A3670" t="s">
        <v>818</v>
      </c>
      <c r="B3670" s="33">
        <v>43299</v>
      </c>
      <c r="C3670" s="34" t="s">
        <v>5185</v>
      </c>
      <c r="D3670" s="34">
        <v>1</v>
      </c>
      <c r="E3670" s="35" t="s">
        <v>5150</v>
      </c>
      <c r="F3670" s="35" t="s">
        <v>113</v>
      </c>
      <c r="G3670" s="106" t="s">
        <v>4093</v>
      </c>
      <c r="H3670" s="33">
        <v>43252</v>
      </c>
      <c r="I3670" s="34" t="s">
        <v>5206</v>
      </c>
      <c r="J3670" s="36">
        <v>289.85000000000002</v>
      </c>
      <c r="K3670" t="s">
        <v>2030</v>
      </c>
    </row>
    <row r="3671" spans="1:11" x14ac:dyDescent="0.3">
      <c r="A3671" t="s">
        <v>818</v>
      </c>
      <c r="B3671" s="33">
        <v>43299</v>
      </c>
      <c r="C3671" s="34" t="s">
        <v>5185</v>
      </c>
      <c r="D3671" s="34">
        <v>1</v>
      </c>
      <c r="E3671" s="35" t="s">
        <v>5150</v>
      </c>
      <c r="F3671" s="35" t="s">
        <v>112</v>
      </c>
      <c r="G3671" s="106" t="s">
        <v>4107</v>
      </c>
      <c r="H3671" s="33">
        <v>43252</v>
      </c>
      <c r="I3671" s="34" t="s">
        <v>5207</v>
      </c>
      <c r="J3671" s="36">
        <v>289.85000000000002</v>
      </c>
      <c r="K3671" t="s">
        <v>2030</v>
      </c>
    </row>
    <row r="3672" spans="1:11" x14ac:dyDescent="0.3">
      <c r="A3672" t="s">
        <v>818</v>
      </c>
      <c r="B3672" s="33">
        <v>43299</v>
      </c>
      <c r="C3672" s="34" t="s">
        <v>5185</v>
      </c>
      <c r="D3672" s="34">
        <v>1</v>
      </c>
      <c r="E3672" s="35" t="s">
        <v>5150</v>
      </c>
      <c r="F3672" s="35" t="s">
        <v>105</v>
      </c>
      <c r="G3672" s="106" t="s">
        <v>4103</v>
      </c>
      <c r="H3672" s="33">
        <v>43252</v>
      </c>
      <c r="I3672" s="34" t="s">
        <v>5208</v>
      </c>
      <c r="J3672" s="36">
        <v>289.85000000000002</v>
      </c>
      <c r="K3672" t="s">
        <v>2030</v>
      </c>
    </row>
    <row r="3673" spans="1:11" x14ac:dyDescent="0.3">
      <c r="A3673" t="s">
        <v>818</v>
      </c>
      <c r="B3673" s="33">
        <v>43299</v>
      </c>
      <c r="C3673" s="34" t="s">
        <v>5185</v>
      </c>
      <c r="D3673" s="34">
        <v>1</v>
      </c>
      <c r="E3673" s="35" t="s">
        <v>5150</v>
      </c>
      <c r="F3673" s="35" t="s">
        <v>107</v>
      </c>
      <c r="G3673" s="106" t="s">
        <v>4029</v>
      </c>
      <c r="H3673" s="33">
        <v>43252</v>
      </c>
      <c r="I3673" s="34" t="s">
        <v>5209</v>
      </c>
      <c r="J3673" s="36">
        <v>289.85000000000002</v>
      </c>
      <c r="K3673" t="s">
        <v>2030</v>
      </c>
    </row>
    <row r="3674" spans="1:11" x14ac:dyDescent="0.3">
      <c r="A3674" t="s">
        <v>818</v>
      </c>
      <c r="B3674" s="33">
        <v>43299</v>
      </c>
      <c r="C3674" s="34" t="s">
        <v>5185</v>
      </c>
      <c r="D3674" s="34">
        <v>1</v>
      </c>
      <c r="E3674" s="35" t="s">
        <v>5150</v>
      </c>
      <c r="F3674" s="35" t="s">
        <v>109</v>
      </c>
      <c r="G3674" s="106" t="s">
        <v>4004</v>
      </c>
      <c r="H3674" s="33">
        <v>43252</v>
      </c>
      <c r="I3674" s="34" t="s">
        <v>5210</v>
      </c>
      <c r="J3674" s="36">
        <v>289.85000000000002</v>
      </c>
      <c r="K3674" t="s">
        <v>2030</v>
      </c>
    </row>
    <row r="3675" spans="1:11" x14ac:dyDescent="0.3">
      <c r="A3675" t="s">
        <v>818</v>
      </c>
      <c r="B3675" s="33">
        <v>43299</v>
      </c>
      <c r="C3675" s="34" t="s">
        <v>5185</v>
      </c>
      <c r="D3675" s="34">
        <v>1</v>
      </c>
      <c r="E3675" s="35" t="s">
        <v>5150</v>
      </c>
      <c r="F3675" s="35" t="s">
        <v>108</v>
      </c>
      <c r="G3675" s="106" t="s">
        <v>3986</v>
      </c>
      <c r="H3675" s="33">
        <v>43252</v>
      </c>
      <c r="I3675" s="34" t="s">
        <v>5211</v>
      </c>
      <c r="J3675" s="36">
        <v>289.85000000000002</v>
      </c>
      <c r="K3675" t="s">
        <v>2030</v>
      </c>
    </row>
    <row r="3676" spans="1:11" x14ac:dyDescent="0.3">
      <c r="A3676" t="s">
        <v>818</v>
      </c>
      <c r="B3676" s="33">
        <v>43299</v>
      </c>
      <c r="C3676" s="34" t="s">
        <v>5185</v>
      </c>
      <c r="D3676" s="34">
        <v>1</v>
      </c>
      <c r="E3676" s="35" t="s">
        <v>5150</v>
      </c>
      <c r="F3676" s="35" t="s">
        <v>111</v>
      </c>
      <c r="G3676" s="106" t="s">
        <v>3984</v>
      </c>
      <c r="H3676" s="33">
        <v>43252</v>
      </c>
      <c r="I3676" s="34" t="s">
        <v>5212</v>
      </c>
      <c r="J3676" s="36">
        <v>289.85000000000002</v>
      </c>
      <c r="K3676" t="s">
        <v>2030</v>
      </c>
    </row>
    <row r="3677" spans="1:11" x14ac:dyDescent="0.3">
      <c r="A3677" t="s">
        <v>818</v>
      </c>
      <c r="B3677" s="33">
        <v>43299</v>
      </c>
      <c r="C3677" s="34" t="s">
        <v>5185</v>
      </c>
      <c r="D3677" s="34">
        <v>1</v>
      </c>
      <c r="E3677" s="35" t="s">
        <v>5150</v>
      </c>
      <c r="F3677" s="35" t="s">
        <v>100</v>
      </c>
      <c r="G3677" s="106" t="s">
        <v>3954</v>
      </c>
      <c r="H3677" s="33">
        <v>43252</v>
      </c>
      <c r="I3677" s="34" t="s">
        <v>5213</v>
      </c>
      <c r="J3677" s="36">
        <v>289.85000000000002</v>
      </c>
      <c r="K3677" t="s">
        <v>2030</v>
      </c>
    </row>
    <row r="3678" spans="1:11" x14ac:dyDescent="0.3">
      <c r="A3678" t="s">
        <v>818</v>
      </c>
      <c r="B3678" s="33">
        <v>43299</v>
      </c>
      <c r="C3678" s="34" t="s">
        <v>5185</v>
      </c>
      <c r="D3678" s="34">
        <v>1</v>
      </c>
      <c r="E3678" s="35" t="s">
        <v>5150</v>
      </c>
      <c r="F3678" s="35" t="s">
        <v>99</v>
      </c>
      <c r="G3678" s="106" t="s">
        <v>3980</v>
      </c>
      <c r="H3678" s="33">
        <v>43252</v>
      </c>
      <c r="I3678" s="34" t="s">
        <v>5214</v>
      </c>
      <c r="J3678" s="36">
        <v>289.85000000000002</v>
      </c>
      <c r="K3678" t="s">
        <v>2030</v>
      </c>
    </row>
    <row r="3679" spans="1:11" x14ac:dyDescent="0.3">
      <c r="A3679" t="s">
        <v>818</v>
      </c>
      <c r="B3679" s="33">
        <v>43299</v>
      </c>
      <c r="C3679" s="34" t="s">
        <v>5185</v>
      </c>
      <c r="D3679" s="34">
        <v>1</v>
      </c>
      <c r="E3679" s="35" t="s">
        <v>5150</v>
      </c>
      <c r="F3679" s="35" t="s">
        <v>102</v>
      </c>
      <c r="G3679" s="106" t="s">
        <v>4016</v>
      </c>
      <c r="H3679" s="33">
        <v>43252</v>
      </c>
      <c r="I3679" s="34" t="s">
        <v>5215</v>
      </c>
      <c r="J3679" s="36">
        <v>289.85000000000002</v>
      </c>
      <c r="K3679" t="s">
        <v>2030</v>
      </c>
    </row>
    <row r="3680" spans="1:11" x14ac:dyDescent="0.3">
      <c r="A3680" t="s">
        <v>818</v>
      </c>
      <c r="B3680" s="33">
        <v>43299</v>
      </c>
      <c r="C3680" s="34" t="s">
        <v>5185</v>
      </c>
      <c r="D3680" s="34">
        <v>1</v>
      </c>
      <c r="E3680" s="35" t="s">
        <v>5150</v>
      </c>
      <c r="F3680" s="35" t="s">
        <v>7</v>
      </c>
      <c r="G3680" s="106" t="s">
        <v>3865</v>
      </c>
      <c r="H3680" s="33">
        <v>43252</v>
      </c>
      <c r="I3680" s="34" t="s">
        <v>5216</v>
      </c>
      <c r="J3680" s="36">
        <v>289.85000000000002</v>
      </c>
      <c r="K3680" t="s">
        <v>2030</v>
      </c>
    </row>
    <row r="3681" spans="1:11" x14ac:dyDescent="0.3">
      <c r="A3681" t="s">
        <v>818</v>
      </c>
      <c r="B3681" s="33">
        <v>43299</v>
      </c>
      <c r="C3681" s="34" t="s">
        <v>5185</v>
      </c>
      <c r="D3681" s="34">
        <v>1</v>
      </c>
      <c r="E3681" s="35" t="s">
        <v>5150</v>
      </c>
      <c r="F3681" s="35" t="s">
        <v>62</v>
      </c>
      <c r="G3681" s="106" t="s">
        <v>5217</v>
      </c>
      <c r="H3681" s="33">
        <v>43252</v>
      </c>
      <c r="I3681" s="34" t="s">
        <v>5218</v>
      </c>
      <c r="J3681" s="36">
        <v>18.7</v>
      </c>
      <c r="K3681" t="s">
        <v>2030</v>
      </c>
    </row>
    <row r="3682" spans="1:11" x14ac:dyDescent="0.3">
      <c r="A3682" t="s">
        <v>818</v>
      </c>
      <c r="B3682" s="33">
        <v>43299</v>
      </c>
      <c r="C3682" s="34" t="s">
        <v>5185</v>
      </c>
      <c r="D3682" s="34">
        <v>1</v>
      </c>
      <c r="E3682" s="35" t="s">
        <v>5150</v>
      </c>
      <c r="F3682" s="35" t="s">
        <v>145</v>
      </c>
      <c r="G3682" s="106" t="s">
        <v>3961</v>
      </c>
      <c r="H3682" s="33">
        <v>43252</v>
      </c>
      <c r="I3682" s="34" t="s">
        <v>5219</v>
      </c>
      <c r="J3682" s="36">
        <v>289.85000000000002</v>
      </c>
      <c r="K3682" t="s">
        <v>2030</v>
      </c>
    </row>
    <row r="3683" spans="1:11" x14ac:dyDescent="0.3">
      <c r="A3683" t="s">
        <v>818</v>
      </c>
      <c r="B3683" s="33">
        <v>43299</v>
      </c>
      <c r="C3683" s="34" t="s">
        <v>5185</v>
      </c>
      <c r="D3683" s="34">
        <v>1</v>
      </c>
      <c r="E3683" s="35" t="s">
        <v>5150</v>
      </c>
      <c r="F3683" s="35" t="s">
        <v>324</v>
      </c>
      <c r="G3683" s="106" t="s">
        <v>3956</v>
      </c>
      <c r="H3683" s="33">
        <v>43252</v>
      </c>
      <c r="I3683" s="34" t="s">
        <v>5220</v>
      </c>
      <c r="J3683" s="36">
        <v>289.85000000000002</v>
      </c>
      <c r="K3683" t="s">
        <v>2030</v>
      </c>
    </row>
    <row r="3684" spans="1:11" x14ac:dyDescent="0.3">
      <c r="A3684" t="s">
        <v>818</v>
      </c>
      <c r="B3684" s="33">
        <v>43299</v>
      </c>
      <c r="C3684" s="34" t="s">
        <v>5185</v>
      </c>
      <c r="D3684" s="34">
        <v>1</v>
      </c>
      <c r="E3684" s="35" t="s">
        <v>5150</v>
      </c>
      <c r="F3684" s="35" t="s">
        <v>101</v>
      </c>
      <c r="G3684" s="106" t="s">
        <v>3963</v>
      </c>
      <c r="H3684" s="33">
        <v>43252</v>
      </c>
      <c r="I3684" s="34" t="s">
        <v>5221</v>
      </c>
      <c r="J3684" s="36">
        <v>289.85000000000002</v>
      </c>
      <c r="K3684" t="s">
        <v>2030</v>
      </c>
    </row>
    <row r="3685" spans="1:11" x14ac:dyDescent="0.3">
      <c r="A3685" t="s">
        <v>818</v>
      </c>
      <c r="B3685" s="33">
        <v>43299</v>
      </c>
      <c r="C3685" s="34" t="s">
        <v>5185</v>
      </c>
      <c r="D3685" s="34">
        <v>1</v>
      </c>
      <c r="E3685" s="35" t="s">
        <v>5150</v>
      </c>
      <c r="F3685" s="35" t="s">
        <v>318</v>
      </c>
      <c r="G3685" s="106" t="s">
        <v>3956</v>
      </c>
      <c r="H3685" s="33">
        <v>43252</v>
      </c>
      <c r="I3685" s="34" t="s">
        <v>5222</v>
      </c>
      <c r="J3685" s="36">
        <v>289.85000000000002</v>
      </c>
      <c r="K3685" t="s">
        <v>2030</v>
      </c>
    </row>
    <row r="3686" spans="1:11" x14ac:dyDescent="0.3">
      <c r="A3686" t="s">
        <v>818</v>
      </c>
      <c r="B3686" s="33">
        <v>43299</v>
      </c>
      <c r="C3686" s="34" t="s">
        <v>5185</v>
      </c>
      <c r="D3686" s="34">
        <v>1</v>
      </c>
      <c r="E3686" s="35" t="s">
        <v>5150</v>
      </c>
      <c r="F3686" s="35" t="s">
        <v>147</v>
      </c>
      <c r="G3686" s="106" t="s">
        <v>3961</v>
      </c>
      <c r="H3686" s="33">
        <v>43252</v>
      </c>
      <c r="I3686" s="34" t="s">
        <v>5223</v>
      </c>
      <c r="J3686" s="36">
        <v>289.85000000000002</v>
      </c>
      <c r="K3686" t="s">
        <v>2030</v>
      </c>
    </row>
    <row r="3687" spans="1:11" x14ac:dyDescent="0.3">
      <c r="A3687" t="s">
        <v>818</v>
      </c>
      <c r="B3687" s="33">
        <v>43299</v>
      </c>
      <c r="C3687" s="34" t="s">
        <v>5185</v>
      </c>
      <c r="D3687" s="34">
        <v>1</v>
      </c>
      <c r="E3687" s="35" t="s">
        <v>5150</v>
      </c>
      <c r="F3687" s="35" t="s">
        <v>323</v>
      </c>
      <c r="G3687" s="106" t="s">
        <v>4020</v>
      </c>
      <c r="H3687" s="33">
        <v>43252</v>
      </c>
      <c r="I3687" s="34" t="s">
        <v>5224</v>
      </c>
      <c r="J3687" s="36">
        <v>289.85000000000002</v>
      </c>
      <c r="K3687" t="s">
        <v>2030</v>
      </c>
    </row>
    <row r="3688" spans="1:11" x14ac:dyDescent="0.3">
      <c r="A3688" t="s">
        <v>818</v>
      </c>
      <c r="B3688" s="33">
        <v>43299</v>
      </c>
      <c r="C3688" s="34" t="s">
        <v>5185</v>
      </c>
      <c r="D3688" s="34">
        <v>1</v>
      </c>
      <c r="E3688" s="35" t="s">
        <v>5150</v>
      </c>
      <c r="F3688" s="35" t="s">
        <v>326</v>
      </c>
      <c r="G3688" s="106" t="s">
        <v>3994</v>
      </c>
      <c r="H3688" s="33">
        <v>43252</v>
      </c>
      <c r="I3688" s="34" t="s">
        <v>5225</v>
      </c>
      <c r="J3688" s="36">
        <v>168.3</v>
      </c>
      <c r="K3688" t="s">
        <v>2030</v>
      </c>
    </row>
    <row r="3689" spans="1:11" x14ac:dyDescent="0.3">
      <c r="A3689" t="s">
        <v>818</v>
      </c>
      <c r="B3689" s="33">
        <v>43299</v>
      </c>
      <c r="C3689" s="34" t="s">
        <v>5185</v>
      </c>
      <c r="D3689" s="34">
        <v>1</v>
      </c>
      <c r="E3689" s="35" t="s">
        <v>5150</v>
      </c>
      <c r="F3689" s="35" t="s">
        <v>327</v>
      </c>
      <c r="G3689" s="106" t="s">
        <v>3998</v>
      </c>
      <c r="H3689" s="33">
        <v>43252</v>
      </c>
      <c r="I3689" s="34" t="s">
        <v>5226</v>
      </c>
      <c r="J3689" s="36">
        <v>289.85000000000002</v>
      </c>
      <c r="K3689" t="s">
        <v>2030</v>
      </c>
    </row>
    <row r="3690" spans="1:11" x14ac:dyDescent="0.3">
      <c r="A3690" t="s">
        <v>818</v>
      </c>
      <c r="B3690" s="33">
        <v>43299</v>
      </c>
      <c r="C3690" s="34" t="s">
        <v>5185</v>
      </c>
      <c r="D3690" s="34">
        <v>1</v>
      </c>
      <c r="E3690" s="35" t="s">
        <v>5150</v>
      </c>
      <c r="F3690" s="35" t="s">
        <v>325</v>
      </c>
      <c r="G3690" s="106" t="s">
        <v>3988</v>
      </c>
      <c r="H3690" s="33">
        <v>43252</v>
      </c>
      <c r="I3690" s="34" t="s">
        <v>5227</v>
      </c>
      <c r="J3690" s="36">
        <v>289.85000000000002</v>
      </c>
      <c r="K3690" t="s">
        <v>2030</v>
      </c>
    </row>
    <row r="3691" spans="1:11" x14ac:dyDescent="0.3">
      <c r="A3691" t="s">
        <v>818</v>
      </c>
      <c r="B3691" s="33">
        <v>43299</v>
      </c>
      <c r="C3691" s="34" t="s">
        <v>5185</v>
      </c>
      <c r="D3691" s="34">
        <v>1</v>
      </c>
      <c r="E3691" s="35" t="s">
        <v>5150</v>
      </c>
      <c r="F3691" s="35" t="s">
        <v>322</v>
      </c>
      <c r="G3691" s="106" t="s">
        <v>4035</v>
      </c>
      <c r="H3691" s="33">
        <v>43252</v>
      </c>
      <c r="I3691" s="34" t="s">
        <v>5228</v>
      </c>
      <c r="J3691" s="36">
        <v>289.85000000000002</v>
      </c>
      <c r="K3691" t="s">
        <v>2030</v>
      </c>
    </row>
    <row r="3692" spans="1:11" x14ac:dyDescent="0.3">
      <c r="A3692" t="s">
        <v>818</v>
      </c>
      <c r="B3692" s="33">
        <v>43299</v>
      </c>
      <c r="C3692" s="34" t="s">
        <v>5185</v>
      </c>
      <c r="D3692" s="34">
        <v>1</v>
      </c>
      <c r="E3692" s="35" t="s">
        <v>5150</v>
      </c>
      <c r="F3692" s="35" t="s">
        <v>316</v>
      </c>
      <c r="G3692" s="106" t="s">
        <v>4101</v>
      </c>
      <c r="H3692" s="33">
        <v>43252</v>
      </c>
      <c r="I3692" s="34" t="s">
        <v>5229</v>
      </c>
      <c r="J3692" s="36">
        <v>289.85000000000002</v>
      </c>
      <c r="K3692" t="s">
        <v>2030</v>
      </c>
    </row>
    <row r="3693" spans="1:11" x14ac:dyDescent="0.3">
      <c r="A3693" t="s">
        <v>818</v>
      </c>
      <c r="B3693" s="33">
        <v>43299</v>
      </c>
      <c r="C3693" s="34" t="s">
        <v>5185</v>
      </c>
      <c r="D3693" s="34">
        <v>1</v>
      </c>
      <c r="E3693" s="35" t="s">
        <v>5150</v>
      </c>
      <c r="F3693" s="35" t="s">
        <v>305</v>
      </c>
      <c r="G3693" s="106" t="s">
        <v>4027</v>
      </c>
      <c r="H3693" s="33">
        <v>43252</v>
      </c>
      <c r="I3693" s="34" t="s">
        <v>5230</v>
      </c>
      <c r="J3693" s="36">
        <v>84.15</v>
      </c>
      <c r="K3693" t="s">
        <v>2030</v>
      </c>
    </row>
    <row r="3694" spans="1:11" x14ac:dyDescent="0.3">
      <c r="A3694" t="s">
        <v>818</v>
      </c>
      <c r="B3694" s="33">
        <v>43299</v>
      </c>
      <c r="C3694" s="34" t="s">
        <v>5185</v>
      </c>
      <c r="D3694" s="34">
        <v>1</v>
      </c>
      <c r="E3694" s="35" t="s">
        <v>5150</v>
      </c>
      <c r="F3694" s="35" t="s">
        <v>317</v>
      </c>
      <c r="G3694" s="106" t="s">
        <v>4056</v>
      </c>
      <c r="H3694" s="33">
        <v>43252</v>
      </c>
      <c r="I3694" s="34" t="s">
        <v>5231</v>
      </c>
      <c r="J3694" s="36">
        <v>289.85000000000002</v>
      </c>
      <c r="K3694" t="s">
        <v>2030</v>
      </c>
    </row>
    <row r="3695" spans="1:11" x14ac:dyDescent="0.3">
      <c r="A3695" t="s">
        <v>818</v>
      </c>
      <c r="B3695" s="33">
        <v>43299</v>
      </c>
      <c r="C3695" s="34" t="s">
        <v>5185</v>
      </c>
      <c r="D3695" s="34">
        <v>1</v>
      </c>
      <c r="E3695" s="35" t="s">
        <v>5150</v>
      </c>
      <c r="F3695" s="35" t="s">
        <v>311</v>
      </c>
      <c r="G3695" s="106" t="s">
        <v>4091</v>
      </c>
      <c r="H3695" s="33">
        <v>43252</v>
      </c>
      <c r="I3695" s="34" t="s">
        <v>5232</v>
      </c>
      <c r="J3695" s="36">
        <v>289.85000000000002</v>
      </c>
      <c r="K3695" t="s">
        <v>2030</v>
      </c>
    </row>
    <row r="3696" spans="1:11" x14ac:dyDescent="0.3">
      <c r="A3696" t="s">
        <v>818</v>
      </c>
      <c r="B3696" s="33">
        <v>43299</v>
      </c>
      <c r="C3696" s="34" t="s">
        <v>5185</v>
      </c>
      <c r="D3696" s="34">
        <v>1</v>
      </c>
      <c r="E3696" s="35" t="s">
        <v>5150</v>
      </c>
      <c r="F3696" s="35" t="s">
        <v>314</v>
      </c>
      <c r="G3696" s="106" t="s">
        <v>3990</v>
      </c>
      <c r="H3696" s="33">
        <v>43252</v>
      </c>
      <c r="I3696" s="34" t="s">
        <v>5233</v>
      </c>
      <c r="J3696" s="36">
        <v>289.85000000000002</v>
      </c>
      <c r="K3696" t="s">
        <v>2030</v>
      </c>
    </row>
    <row r="3697" spans="1:11" x14ac:dyDescent="0.3">
      <c r="A3697" t="s">
        <v>818</v>
      </c>
      <c r="B3697" s="33">
        <v>43299</v>
      </c>
      <c r="C3697" s="34" t="s">
        <v>5185</v>
      </c>
      <c r="D3697" s="34">
        <v>1</v>
      </c>
      <c r="E3697" s="35" t="s">
        <v>5150</v>
      </c>
      <c r="F3697" s="35" t="s">
        <v>310</v>
      </c>
      <c r="G3697" s="106" t="s">
        <v>3956</v>
      </c>
      <c r="H3697" s="33">
        <v>43252</v>
      </c>
      <c r="I3697" s="34" t="s">
        <v>5234</v>
      </c>
      <c r="J3697" s="36">
        <v>289.85000000000002</v>
      </c>
      <c r="K3697" t="s">
        <v>2030</v>
      </c>
    </row>
    <row r="3698" spans="1:11" x14ac:dyDescent="0.3">
      <c r="A3698" t="s">
        <v>818</v>
      </c>
      <c r="B3698" s="33">
        <v>43299</v>
      </c>
      <c r="C3698" s="34" t="s">
        <v>5185</v>
      </c>
      <c r="D3698" s="34">
        <v>1</v>
      </c>
      <c r="E3698" s="35" t="s">
        <v>5150</v>
      </c>
      <c r="F3698" s="35" t="s">
        <v>313</v>
      </c>
      <c r="G3698" s="106" t="s">
        <v>4040</v>
      </c>
      <c r="H3698" s="33">
        <v>43252</v>
      </c>
      <c r="I3698" s="34" t="s">
        <v>5235</v>
      </c>
      <c r="J3698" s="36">
        <v>289.85000000000002</v>
      </c>
      <c r="K3698" t="s">
        <v>2030</v>
      </c>
    </row>
    <row r="3699" spans="1:11" x14ac:dyDescent="0.3">
      <c r="A3699" t="s">
        <v>818</v>
      </c>
      <c r="B3699" s="33">
        <v>43299</v>
      </c>
      <c r="C3699" s="34" t="s">
        <v>5185</v>
      </c>
      <c r="D3699" s="34">
        <v>1</v>
      </c>
      <c r="E3699" s="35" t="s">
        <v>5150</v>
      </c>
      <c r="F3699" s="35" t="s">
        <v>315</v>
      </c>
      <c r="G3699" s="106" t="s">
        <v>4044</v>
      </c>
      <c r="H3699" s="33">
        <v>43252</v>
      </c>
      <c r="I3699" s="34" t="s">
        <v>5236</v>
      </c>
      <c r="J3699" s="36">
        <v>289.85000000000002</v>
      </c>
      <c r="K3699" t="s">
        <v>2030</v>
      </c>
    </row>
    <row r="3700" spans="1:11" x14ac:dyDescent="0.3">
      <c r="A3700" t="s">
        <v>818</v>
      </c>
      <c r="B3700" s="33">
        <v>43299</v>
      </c>
      <c r="C3700" s="34" t="s">
        <v>5185</v>
      </c>
      <c r="D3700" s="34">
        <v>1</v>
      </c>
      <c r="E3700" s="35" t="s">
        <v>5150</v>
      </c>
      <c r="F3700" s="35" t="s">
        <v>298</v>
      </c>
      <c r="G3700" s="106" t="s">
        <v>4058</v>
      </c>
      <c r="H3700" s="33">
        <v>43252</v>
      </c>
      <c r="I3700" s="34" t="s">
        <v>5237</v>
      </c>
      <c r="J3700" s="36">
        <v>289.85000000000002</v>
      </c>
      <c r="K3700" t="s">
        <v>2030</v>
      </c>
    </row>
    <row r="3701" spans="1:11" x14ac:dyDescent="0.3">
      <c r="A3701" t="s">
        <v>818</v>
      </c>
      <c r="B3701" s="33">
        <v>43299</v>
      </c>
      <c r="C3701" s="34" t="s">
        <v>5185</v>
      </c>
      <c r="D3701" s="34">
        <v>1</v>
      </c>
      <c r="E3701" s="35" t="s">
        <v>5150</v>
      </c>
      <c r="F3701" s="35" t="s">
        <v>301</v>
      </c>
      <c r="G3701" s="106" t="s">
        <v>3883</v>
      </c>
      <c r="H3701" s="33">
        <v>43252</v>
      </c>
      <c r="I3701" s="34" t="s">
        <v>5238</v>
      </c>
      <c r="J3701" s="36">
        <v>289.85000000000002</v>
      </c>
      <c r="K3701" t="s">
        <v>2030</v>
      </c>
    </row>
    <row r="3702" spans="1:11" x14ac:dyDescent="0.3">
      <c r="A3702" t="s">
        <v>818</v>
      </c>
      <c r="B3702" s="33">
        <v>43299</v>
      </c>
      <c r="C3702" s="34" t="s">
        <v>5185</v>
      </c>
      <c r="D3702" s="34">
        <v>1</v>
      </c>
      <c r="E3702" s="35" t="s">
        <v>5150</v>
      </c>
      <c r="F3702" s="35" t="s">
        <v>307</v>
      </c>
      <c r="G3702" s="106" t="s">
        <v>4037</v>
      </c>
      <c r="H3702" s="33">
        <v>43252</v>
      </c>
      <c r="I3702" s="34" t="s">
        <v>5239</v>
      </c>
      <c r="J3702" s="36">
        <v>289.85000000000002</v>
      </c>
      <c r="K3702" t="s">
        <v>2030</v>
      </c>
    </row>
    <row r="3703" spans="1:11" x14ac:dyDescent="0.3">
      <c r="A3703" t="s">
        <v>818</v>
      </c>
      <c r="B3703" s="33">
        <v>43299</v>
      </c>
      <c r="C3703" s="34" t="s">
        <v>5185</v>
      </c>
      <c r="D3703" s="34">
        <v>1</v>
      </c>
      <c r="E3703" s="35" t="s">
        <v>5150</v>
      </c>
      <c r="F3703" s="35" t="s">
        <v>302</v>
      </c>
      <c r="G3703" s="106" t="s">
        <v>3978</v>
      </c>
      <c r="H3703" s="33">
        <v>43252</v>
      </c>
      <c r="I3703" s="34" t="s">
        <v>5240</v>
      </c>
      <c r="J3703" s="36">
        <v>289.85000000000002</v>
      </c>
      <c r="K3703" t="s">
        <v>2030</v>
      </c>
    </row>
    <row r="3704" spans="1:11" x14ac:dyDescent="0.3">
      <c r="A3704" t="s">
        <v>818</v>
      </c>
      <c r="B3704" s="33">
        <v>43299</v>
      </c>
      <c r="C3704" s="34" t="s">
        <v>5185</v>
      </c>
      <c r="D3704" s="34">
        <v>1</v>
      </c>
      <c r="E3704" s="35" t="s">
        <v>5150</v>
      </c>
      <c r="F3704" s="35" t="s">
        <v>300</v>
      </c>
      <c r="G3704" s="106" t="s">
        <v>4023</v>
      </c>
      <c r="H3704" s="33">
        <v>43252</v>
      </c>
      <c r="I3704" s="34" t="s">
        <v>5241</v>
      </c>
      <c r="J3704" s="36">
        <v>289.85000000000002</v>
      </c>
      <c r="K3704" t="s">
        <v>2030</v>
      </c>
    </row>
    <row r="3705" spans="1:11" x14ac:dyDescent="0.3">
      <c r="A3705" t="s">
        <v>818</v>
      </c>
      <c r="B3705" s="33">
        <v>43299</v>
      </c>
      <c r="C3705" s="34" t="s">
        <v>5185</v>
      </c>
      <c r="D3705" s="34">
        <v>1</v>
      </c>
      <c r="E3705" s="35" t="s">
        <v>5150</v>
      </c>
      <c r="F3705" s="35" t="s">
        <v>297</v>
      </c>
      <c r="G3705" s="106" t="s">
        <v>4111</v>
      </c>
      <c r="H3705" s="33">
        <v>43252</v>
      </c>
      <c r="I3705" s="34" t="s">
        <v>5242</v>
      </c>
      <c r="J3705" s="36">
        <v>289.85000000000002</v>
      </c>
      <c r="K3705" t="s">
        <v>2030</v>
      </c>
    </row>
    <row r="3706" spans="1:11" x14ac:dyDescent="0.3">
      <c r="A3706" t="s">
        <v>818</v>
      </c>
      <c r="B3706" s="33">
        <v>43299</v>
      </c>
      <c r="C3706" s="34" t="s">
        <v>5185</v>
      </c>
      <c r="D3706" s="34">
        <v>1</v>
      </c>
      <c r="E3706" s="35" t="s">
        <v>5150</v>
      </c>
      <c r="F3706" s="35" t="s">
        <v>152</v>
      </c>
      <c r="G3706" s="106" t="s">
        <v>3871</v>
      </c>
      <c r="H3706" s="33">
        <v>43252</v>
      </c>
      <c r="I3706" s="34" t="s">
        <v>5243</v>
      </c>
      <c r="J3706" s="36">
        <v>289.85000000000002</v>
      </c>
      <c r="K3706" t="s">
        <v>2030</v>
      </c>
    </row>
    <row r="3707" spans="1:11" x14ac:dyDescent="0.3">
      <c r="A3707" t="s">
        <v>818</v>
      </c>
      <c r="B3707" s="33">
        <v>43299</v>
      </c>
      <c r="C3707" s="34" t="s">
        <v>5185</v>
      </c>
      <c r="D3707" s="34">
        <v>1</v>
      </c>
      <c r="E3707" s="35" t="s">
        <v>5150</v>
      </c>
      <c r="F3707" s="35" t="s">
        <v>296</v>
      </c>
      <c r="G3707" s="106" t="s">
        <v>3976</v>
      </c>
      <c r="H3707" s="33">
        <v>43252</v>
      </c>
      <c r="I3707" s="34" t="s">
        <v>5244</v>
      </c>
      <c r="J3707" s="36">
        <v>289.85000000000002</v>
      </c>
      <c r="K3707" t="s">
        <v>2030</v>
      </c>
    </row>
    <row r="3708" spans="1:11" x14ac:dyDescent="0.3">
      <c r="A3708" t="s">
        <v>818</v>
      </c>
      <c r="B3708" s="33">
        <v>43299</v>
      </c>
      <c r="C3708" s="34" t="s">
        <v>5185</v>
      </c>
      <c r="D3708" s="34">
        <v>1</v>
      </c>
      <c r="E3708" s="35" t="s">
        <v>5150</v>
      </c>
      <c r="F3708" s="35" t="s">
        <v>299</v>
      </c>
      <c r="G3708" s="106" t="s">
        <v>4046</v>
      </c>
      <c r="H3708" s="33">
        <v>43252</v>
      </c>
      <c r="I3708" s="34" t="s">
        <v>5245</v>
      </c>
      <c r="J3708" s="36">
        <v>289.85000000000002</v>
      </c>
      <c r="K3708" t="s">
        <v>2030</v>
      </c>
    </row>
    <row r="3709" spans="1:11" x14ac:dyDescent="0.3">
      <c r="A3709" t="s">
        <v>818</v>
      </c>
      <c r="B3709" s="33">
        <v>43299</v>
      </c>
      <c r="C3709" s="34" t="s">
        <v>5185</v>
      </c>
      <c r="D3709" s="34">
        <v>1</v>
      </c>
      <c r="E3709" s="35" t="s">
        <v>5150</v>
      </c>
      <c r="F3709" s="35" t="s">
        <v>149</v>
      </c>
      <c r="G3709" s="106" t="s">
        <v>4052</v>
      </c>
      <c r="H3709" s="33">
        <v>43252</v>
      </c>
      <c r="I3709" s="34" t="s">
        <v>5246</v>
      </c>
      <c r="J3709" s="36">
        <v>289.85000000000002</v>
      </c>
      <c r="K3709" t="s">
        <v>2030</v>
      </c>
    </row>
    <row r="3710" spans="1:11" x14ac:dyDescent="0.3">
      <c r="A3710" t="s">
        <v>818</v>
      </c>
      <c r="B3710" s="33">
        <v>43299</v>
      </c>
      <c r="C3710" s="34" t="s">
        <v>5185</v>
      </c>
      <c r="D3710" s="34">
        <v>1</v>
      </c>
      <c r="E3710" s="35" t="s">
        <v>5150</v>
      </c>
      <c r="F3710" s="35" t="s">
        <v>151</v>
      </c>
      <c r="G3710" s="106" t="s">
        <v>4010</v>
      </c>
      <c r="H3710" s="33">
        <v>43252</v>
      </c>
      <c r="I3710" s="34" t="s">
        <v>5247</v>
      </c>
      <c r="J3710" s="36">
        <v>289.85000000000002</v>
      </c>
      <c r="K3710" t="s">
        <v>2030</v>
      </c>
    </row>
    <row r="3711" spans="1:11" x14ac:dyDescent="0.3">
      <c r="A3711" t="s">
        <v>818</v>
      </c>
      <c r="B3711" s="33">
        <v>43299</v>
      </c>
      <c r="C3711" s="34" t="s">
        <v>5185</v>
      </c>
      <c r="D3711" s="34">
        <v>1</v>
      </c>
      <c r="E3711" s="35" t="s">
        <v>5150</v>
      </c>
      <c r="F3711" s="20" t="s">
        <v>146</v>
      </c>
      <c r="G3711" s="106" t="s">
        <v>4099</v>
      </c>
      <c r="H3711" s="33">
        <v>43252</v>
      </c>
      <c r="I3711" s="34" t="s">
        <v>5248</v>
      </c>
      <c r="J3711" s="21">
        <v>289.85000000000002</v>
      </c>
      <c r="K3711" t="s">
        <v>2030</v>
      </c>
    </row>
    <row r="3712" spans="1:11" x14ac:dyDescent="0.3">
      <c r="A3712" t="s">
        <v>818</v>
      </c>
      <c r="B3712" s="33">
        <v>43299</v>
      </c>
      <c r="C3712" s="34" t="s">
        <v>5185</v>
      </c>
      <c r="D3712" s="34">
        <v>1</v>
      </c>
      <c r="E3712" s="35" t="s">
        <v>5150</v>
      </c>
      <c r="F3712" s="20" t="s">
        <v>130</v>
      </c>
      <c r="G3712" s="106" t="s">
        <v>4097</v>
      </c>
      <c r="H3712" s="33">
        <v>43252</v>
      </c>
      <c r="I3712" s="34" t="s">
        <v>5249</v>
      </c>
      <c r="J3712" s="21">
        <v>289.85000000000002</v>
      </c>
      <c r="K3712" t="s">
        <v>2030</v>
      </c>
    </row>
    <row r="3713" spans="1:11" x14ac:dyDescent="0.3">
      <c r="A3713" t="s">
        <v>818</v>
      </c>
      <c r="B3713" s="33">
        <v>43299</v>
      </c>
      <c r="C3713" s="34" t="s">
        <v>5185</v>
      </c>
      <c r="D3713" s="34">
        <v>1</v>
      </c>
      <c r="E3713" s="35" t="s">
        <v>5150</v>
      </c>
      <c r="F3713" s="20" t="s">
        <v>148</v>
      </c>
      <c r="G3713" s="106" t="s">
        <v>4095</v>
      </c>
      <c r="H3713" s="33">
        <v>43252</v>
      </c>
      <c r="I3713" s="34" t="s">
        <v>5250</v>
      </c>
      <c r="J3713" s="21">
        <v>289.85000000000002</v>
      </c>
      <c r="K3713" t="s">
        <v>2030</v>
      </c>
    </row>
    <row r="3714" spans="1:11" x14ac:dyDescent="0.3">
      <c r="A3714" t="s">
        <v>818</v>
      </c>
      <c r="B3714" s="33">
        <v>43299</v>
      </c>
      <c r="C3714" s="34" t="s">
        <v>5185</v>
      </c>
      <c r="D3714" s="34">
        <v>1</v>
      </c>
      <c r="E3714" s="35" t="s">
        <v>5150</v>
      </c>
      <c r="F3714" s="20" t="s">
        <v>6</v>
      </c>
      <c r="G3714" s="106" t="s">
        <v>5251</v>
      </c>
      <c r="H3714" s="33">
        <v>43252</v>
      </c>
      <c r="I3714" s="34" t="s">
        <v>5252</v>
      </c>
      <c r="J3714" s="21">
        <v>18.7</v>
      </c>
      <c r="K3714" t="s">
        <v>2030</v>
      </c>
    </row>
    <row r="3715" spans="1:11" x14ac:dyDescent="0.3">
      <c r="A3715" t="s">
        <v>818</v>
      </c>
      <c r="B3715" s="33">
        <v>43299</v>
      </c>
      <c r="C3715" s="34" t="s">
        <v>5149</v>
      </c>
      <c r="D3715" s="34">
        <v>2000</v>
      </c>
      <c r="E3715" s="35" t="s">
        <v>5150</v>
      </c>
      <c r="F3715" s="35" t="s">
        <v>133</v>
      </c>
      <c r="G3715" s="106" t="s">
        <v>3831</v>
      </c>
      <c r="H3715" s="33">
        <v>43252</v>
      </c>
      <c r="I3715" s="34" t="s">
        <v>5151</v>
      </c>
      <c r="J3715" s="36">
        <v>289.85000000000002</v>
      </c>
      <c r="K3715" t="s">
        <v>2030</v>
      </c>
    </row>
    <row r="3716" spans="1:11" x14ac:dyDescent="0.3">
      <c r="A3716" t="s">
        <v>818</v>
      </c>
      <c r="B3716" s="33">
        <v>43299</v>
      </c>
      <c r="C3716" s="34" t="s">
        <v>5149</v>
      </c>
      <c r="D3716" s="34">
        <v>2000</v>
      </c>
      <c r="E3716" s="35" t="s">
        <v>5150</v>
      </c>
      <c r="F3716" s="35" t="s">
        <v>321</v>
      </c>
      <c r="G3716" s="106" t="s">
        <v>3843</v>
      </c>
      <c r="H3716" s="33">
        <v>43252</v>
      </c>
      <c r="I3716" s="34" t="s">
        <v>5152</v>
      </c>
      <c r="J3716" s="36">
        <v>289.85000000000002</v>
      </c>
      <c r="K3716" t="s">
        <v>2030</v>
      </c>
    </row>
    <row r="3717" spans="1:11" x14ac:dyDescent="0.3">
      <c r="A3717" t="s">
        <v>818</v>
      </c>
      <c r="B3717" s="33">
        <v>43299</v>
      </c>
      <c r="C3717" s="34" t="s">
        <v>5149</v>
      </c>
      <c r="D3717" s="34">
        <v>2000</v>
      </c>
      <c r="E3717" s="35" t="s">
        <v>5150</v>
      </c>
      <c r="F3717" s="35" t="s">
        <v>17</v>
      </c>
      <c r="G3717" s="106" t="s">
        <v>5153</v>
      </c>
      <c r="H3717" s="33">
        <v>43252</v>
      </c>
      <c r="I3717" s="34" t="s">
        <v>5154</v>
      </c>
      <c r="J3717" s="36">
        <v>37.4</v>
      </c>
      <c r="K3717" t="s">
        <v>2030</v>
      </c>
    </row>
    <row r="3718" spans="1:11" x14ac:dyDescent="0.3">
      <c r="A3718" t="s">
        <v>818</v>
      </c>
      <c r="B3718" s="33">
        <v>43299</v>
      </c>
      <c r="C3718" s="34" t="s">
        <v>5149</v>
      </c>
      <c r="D3718" s="34">
        <v>2000</v>
      </c>
      <c r="E3718" s="35" t="s">
        <v>5150</v>
      </c>
      <c r="F3718" s="35" t="s">
        <v>309</v>
      </c>
      <c r="G3718" s="106" t="s">
        <v>3846</v>
      </c>
      <c r="H3718" s="33">
        <v>43252</v>
      </c>
      <c r="I3718" s="34" t="s">
        <v>5155</v>
      </c>
      <c r="J3718" s="36">
        <v>289.85000000000002</v>
      </c>
      <c r="K3718" t="s">
        <v>2030</v>
      </c>
    </row>
    <row r="3719" spans="1:11" x14ac:dyDescent="0.3">
      <c r="A3719" t="s">
        <v>818</v>
      </c>
      <c r="B3719" s="33">
        <v>43299</v>
      </c>
      <c r="C3719" s="34" t="s">
        <v>5149</v>
      </c>
      <c r="D3719" s="34">
        <v>2000</v>
      </c>
      <c r="E3719" s="35" t="s">
        <v>5150</v>
      </c>
      <c r="F3719" s="35" t="s">
        <v>308</v>
      </c>
      <c r="G3719" s="106" t="s">
        <v>3841</v>
      </c>
      <c r="H3719" s="33">
        <v>43252</v>
      </c>
      <c r="I3719" s="34" t="s">
        <v>5156</v>
      </c>
      <c r="J3719" s="36">
        <v>289.85000000000002</v>
      </c>
      <c r="K3719" t="s">
        <v>2030</v>
      </c>
    </row>
    <row r="3720" spans="1:11" x14ac:dyDescent="0.3">
      <c r="A3720" t="s">
        <v>818</v>
      </c>
      <c r="B3720" s="33">
        <v>43299</v>
      </c>
      <c r="C3720" s="34" t="s">
        <v>5149</v>
      </c>
      <c r="D3720" s="34">
        <v>2000</v>
      </c>
      <c r="E3720" s="35" t="s">
        <v>5150</v>
      </c>
      <c r="F3720" s="35" t="s">
        <v>319</v>
      </c>
      <c r="G3720" s="106" t="s">
        <v>3837</v>
      </c>
      <c r="H3720" s="33">
        <v>43252</v>
      </c>
      <c r="I3720" s="34" t="s">
        <v>5157</v>
      </c>
      <c r="J3720" s="36">
        <v>289.85000000000002</v>
      </c>
      <c r="K3720" t="s">
        <v>2030</v>
      </c>
    </row>
    <row r="3721" spans="1:11" x14ac:dyDescent="0.3">
      <c r="A3721" t="s">
        <v>818</v>
      </c>
      <c r="B3721" s="33">
        <v>43299</v>
      </c>
      <c r="C3721" s="34" t="s">
        <v>5149</v>
      </c>
      <c r="D3721" s="34">
        <v>2000</v>
      </c>
      <c r="E3721" s="35" t="s">
        <v>5150</v>
      </c>
      <c r="F3721" s="35" t="s">
        <v>312</v>
      </c>
      <c r="G3721" s="106" t="s">
        <v>3817</v>
      </c>
      <c r="H3721" s="33">
        <v>43252</v>
      </c>
      <c r="I3721" s="34" t="s">
        <v>5158</v>
      </c>
      <c r="J3721" s="36">
        <v>289.85000000000002</v>
      </c>
      <c r="K3721" t="s">
        <v>2030</v>
      </c>
    </row>
    <row r="3722" spans="1:11" x14ac:dyDescent="0.3">
      <c r="A3722" t="s">
        <v>818</v>
      </c>
      <c r="B3722" s="33">
        <v>43299</v>
      </c>
      <c r="C3722" s="34" t="s">
        <v>5149</v>
      </c>
      <c r="D3722" s="34">
        <v>2000</v>
      </c>
      <c r="E3722" s="35" t="s">
        <v>5150</v>
      </c>
      <c r="F3722" s="35" t="s">
        <v>320</v>
      </c>
      <c r="G3722" s="106" t="s">
        <v>3825</v>
      </c>
      <c r="H3722" s="33">
        <v>43252</v>
      </c>
      <c r="I3722" s="34" t="s">
        <v>5159</v>
      </c>
      <c r="J3722" s="36">
        <v>289.85000000000002</v>
      </c>
      <c r="K3722" t="s">
        <v>2030</v>
      </c>
    </row>
    <row r="3723" spans="1:11" x14ac:dyDescent="0.3">
      <c r="A3723" t="s">
        <v>818</v>
      </c>
      <c r="B3723" s="33">
        <v>43299</v>
      </c>
      <c r="C3723" s="34" t="s">
        <v>5149</v>
      </c>
      <c r="D3723" s="34">
        <v>2000</v>
      </c>
      <c r="E3723" s="35" t="s">
        <v>5150</v>
      </c>
      <c r="F3723" s="35" t="s">
        <v>306</v>
      </c>
      <c r="G3723" s="106" t="s">
        <v>3835</v>
      </c>
      <c r="H3723" s="33">
        <v>43252</v>
      </c>
      <c r="I3723" s="34" t="s">
        <v>5160</v>
      </c>
      <c r="J3723" s="36">
        <v>289.85000000000002</v>
      </c>
      <c r="K3723" t="s">
        <v>2030</v>
      </c>
    </row>
    <row r="3724" spans="1:11" x14ac:dyDescent="0.3">
      <c r="A3724" t="s">
        <v>818</v>
      </c>
      <c r="B3724" s="33">
        <v>43299</v>
      </c>
      <c r="C3724" s="34" t="s">
        <v>5149</v>
      </c>
      <c r="D3724" s="34">
        <v>2000</v>
      </c>
      <c r="E3724" s="35" t="s">
        <v>5150</v>
      </c>
      <c r="F3724" s="35" t="s">
        <v>304</v>
      </c>
      <c r="G3724" s="106" t="s">
        <v>3848</v>
      </c>
      <c r="H3724" s="33">
        <v>43252</v>
      </c>
      <c r="I3724" s="34" t="s">
        <v>5161</v>
      </c>
      <c r="J3724" s="36">
        <v>289.85000000000002</v>
      </c>
      <c r="K3724" t="s">
        <v>2030</v>
      </c>
    </row>
    <row r="3725" spans="1:11" x14ac:dyDescent="0.3">
      <c r="A3725" t="s">
        <v>818</v>
      </c>
      <c r="B3725" s="33">
        <v>43299</v>
      </c>
      <c r="C3725" s="34" t="s">
        <v>5149</v>
      </c>
      <c r="D3725" s="34">
        <v>2000</v>
      </c>
      <c r="E3725" s="35" t="s">
        <v>5150</v>
      </c>
      <c r="F3725" s="35" t="s">
        <v>134</v>
      </c>
      <c r="G3725" s="106" t="s">
        <v>3809</v>
      </c>
      <c r="H3725" s="33">
        <v>43252</v>
      </c>
      <c r="I3725" s="34" t="s">
        <v>5162</v>
      </c>
      <c r="J3725" s="36">
        <v>289.85000000000002</v>
      </c>
      <c r="K3725" t="s">
        <v>2030</v>
      </c>
    </row>
    <row r="3726" spans="1:11" x14ac:dyDescent="0.3">
      <c r="A3726" t="s">
        <v>818</v>
      </c>
      <c r="B3726" s="33">
        <v>43299</v>
      </c>
      <c r="C3726" s="34" t="s">
        <v>5149</v>
      </c>
      <c r="D3726" s="34">
        <v>2000</v>
      </c>
      <c r="E3726" s="35" t="s">
        <v>5150</v>
      </c>
      <c r="F3726" s="35" t="s">
        <v>303</v>
      </c>
      <c r="G3726" s="106" t="s">
        <v>3807</v>
      </c>
      <c r="H3726" s="33">
        <v>43252</v>
      </c>
      <c r="I3726" s="34" t="s">
        <v>5163</v>
      </c>
      <c r="J3726" s="36">
        <v>289.85000000000002</v>
      </c>
      <c r="K3726" t="s">
        <v>2030</v>
      </c>
    </row>
    <row r="3727" spans="1:11" x14ac:dyDescent="0.3">
      <c r="A3727" t="s">
        <v>818</v>
      </c>
      <c r="B3727" s="33">
        <v>43299</v>
      </c>
      <c r="C3727" s="34" t="s">
        <v>5149</v>
      </c>
      <c r="D3727" s="34">
        <v>2000</v>
      </c>
      <c r="E3727" s="35" t="s">
        <v>5150</v>
      </c>
      <c r="F3727" s="35" t="s">
        <v>118</v>
      </c>
      <c r="G3727" s="106" t="s">
        <v>3813</v>
      </c>
      <c r="H3727" s="33">
        <v>43252</v>
      </c>
      <c r="I3727" s="34" t="s">
        <v>5164</v>
      </c>
      <c r="J3727" s="36">
        <v>289.85000000000002</v>
      </c>
      <c r="K3727" t="s">
        <v>2030</v>
      </c>
    </row>
    <row r="3728" spans="1:11" x14ac:dyDescent="0.3">
      <c r="A3728" t="s">
        <v>818</v>
      </c>
      <c r="B3728" s="33">
        <v>43299</v>
      </c>
      <c r="C3728" s="34" t="s">
        <v>5149</v>
      </c>
      <c r="D3728" s="34">
        <v>2000</v>
      </c>
      <c r="E3728" s="35" t="s">
        <v>5150</v>
      </c>
      <c r="F3728" s="35" t="s">
        <v>142</v>
      </c>
      <c r="G3728" s="106" t="s">
        <v>3811</v>
      </c>
      <c r="H3728" s="33">
        <v>43252</v>
      </c>
      <c r="I3728" s="34" t="s">
        <v>5165</v>
      </c>
      <c r="J3728" s="36">
        <v>289.85000000000002</v>
      </c>
      <c r="K3728" t="s">
        <v>2030</v>
      </c>
    </row>
    <row r="3729" spans="1:11" x14ac:dyDescent="0.3">
      <c r="A3729" t="s">
        <v>818</v>
      </c>
      <c r="B3729" s="33">
        <v>43299</v>
      </c>
      <c r="C3729" s="34" t="s">
        <v>5149</v>
      </c>
      <c r="D3729" s="34">
        <v>2000</v>
      </c>
      <c r="E3729" s="35" t="s">
        <v>5150</v>
      </c>
      <c r="F3729" s="35" t="s">
        <v>138</v>
      </c>
      <c r="G3729" s="106" t="s">
        <v>3829</v>
      </c>
      <c r="H3729" s="33">
        <v>43252</v>
      </c>
      <c r="I3729" s="34" t="s">
        <v>5166</v>
      </c>
      <c r="J3729" s="36">
        <v>289.85000000000002</v>
      </c>
      <c r="K3729" t="s">
        <v>2030</v>
      </c>
    </row>
    <row r="3730" spans="1:11" x14ac:dyDescent="0.3">
      <c r="A3730" t="s">
        <v>818</v>
      </c>
      <c r="B3730" s="33">
        <v>43299</v>
      </c>
      <c r="C3730" s="34" t="s">
        <v>5149</v>
      </c>
      <c r="D3730" s="34">
        <v>2000</v>
      </c>
      <c r="E3730" s="35" t="s">
        <v>5150</v>
      </c>
      <c r="F3730" s="35" t="s">
        <v>116</v>
      </c>
      <c r="G3730" s="106" t="s">
        <v>3827</v>
      </c>
      <c r="H3730" s="33">
        <v>43252</v>
      </c>
      <c r="I3730" s="34" t="s">
        <v>5167</v>
      </c>
      <c r="J3730" s="36">
        <v>289.85000000000002</v>
      </c>
      <c r="K3730" t="s">
        <v>2030</v>
      </c>
    </row>
    <row r="3731" spans="1:11" x14ac:dyDescent="0.3">
      <c r="A3731" t="s">
        <v>818</v>
      </c>
      <c r="B3731" s="33">
        <v>43299</v>
      </c>
      <c r="C3731" s="34" t="s">
        <v>5149</v>
      </c>
      <c r="D3731" s="34">
        <v>2000</v>
      </c>
      <c r="E3731" s="35" t="s">
        <v>5150</v>
      </c>
      <c r="F3731" s="35" t="s">
        <v>139</v>
      </c>
      <c r="G3731" s="106" t="s">
        <v>3831</v>
      </c>
      <c r="H3731" s="33">
        <v>43252</v>
      </c>
      <c r="I3731" s="34" t="s">
        <v>5168</v>
      </c>
      <c r="J3731" s="36">
        <v>289.85000000000002</v>
      </c>
      <c r="K3731" t="s">
        <v>2030</v>
      </c>
    </row>
    <row r="3732" spans="1:11" x14ac:dyDescent="0.3">
      <c r="A3732" t="s">
        <v>818</v>
      </c>
      <c r="B3732" s="33">
        <v>43299</v>
      </c>
      <c r="C3732" s="34" t="s">
        <v>5149</v>
      </c>
      <c r="D3732" s="34">
        <v>2000</v>
      </c>
      <c r="E3732" s="35" t="s">
        <v>5150</v>
      </c>
      <c r="F3732" s="35" t="s">
        <v>141</v>
      </c>
      <c r="G3732" s="106" t="s">
        <v>3839</v>
      </c>
      <c r="H3732" s="33">
        <v>43252</v>
      </c>
      <c r="I3732" s="34" t="s">
        <v>5169</v>
      </c>
      <c r="J3732" s="36">
        <v>289.85000000000002</v>
      </c>
      <c r="K3732" t="s">
        <v>2030</v>
      </c>
    </row>
    <row r="3733" spans="1:11" x14ac:dyDescent="0.3">
      <c r="A3733" t="s">
        <v>818</v>
      </c>
      <c r="B3733" s="33">
        <v>43299</v>
      </c>
      <c r="C3733" s="34" t="s">
        <v>5149</v>
      </c>
      <c r="D3733" s="34">
        <v>2000</v>
      </c>
      <c r="E3733" s="35" t="s">
        <v>5150</v>
      </c>
      <c r="F3733" s="35" t="s">
        <v>137</v>
      </c>
      <c r="G3733" s="106" t="s">
        <v>3823</v>
      </c>
      <c r="H3733" s="33">
        <v>43252</v>
      </c>
      <c r="I3733" s="34" t="s">
        <v>5170</v>
      </c>
      <c r="J3733" s="36">
        <v>289.85000000000002</v>
      </c>
      <c r="K3733" t="s">
        <v>2030</v>
      </c>
    </row>
    <row r="3734" spans="1:11" x14ac:dyDescent="0.3">
      <c r="A3734" t="s">
        <v>818</v>
      </c>
      <c r="B3734" s="33">
        <v>43299</v>
      </c>
      <c r="C3734" s="34" t="s">
        <v>5149</v>
      </c>
      <c r="D3734" s="34">
        <v>2000</v>
      </c>
      <c r="E3734" s="35" t="s">
        <v>5150</v>
      </c>
      <c r="F3734" s="35" t="s">
        <v>115</v>
      </c>
      <c r="G3734" s="106" t="s">
        <v>3821</v>
      </c>
      <c r="H3734" s="33">
        <v>43252</v>
      </c>
      <c r="I3734" s="34" t="s">
        <v>5171</v>
      </c>
      <c r="J3734" s="36">
        <v>289.85000000000002</v>
      </c>
      <c r="K3734" t="s">
        <v>2030</v>
      </c>
    </row>
    <row r="3735" spans="1:11" x14ac:dyDescent="0.3">
      <c r="A3735" t="s">
        <v>818</v>
      </c>
      <c r="B3735" s="33">
        <v>43299</v>
      </c>
      <c r="C3735" s="34" t="s">
        <v>5149</v>
      </c>
      <c r="D3735" s="34">
        <v>2000</v>
      </c>
      <c r="E3735" s="35" t="s">
        <v>5150</v>
      </c>
      <c r="F3735" s="35" t="s">
        <v>106</v>
      </c>
      <c r="G3735" s="106" t="s">
        <v>3809</v>
      </c>
      <c r="H3735" s="33">
        <v>43252</v>
      </c>
      <c r="I3735" s="34" t="s">
        <v>5172</v>
      </c>
      <c r="J3735" s="36">
        <v>289.85000000000002</v>
      </c>
      <c r="K3735" t="s">
        <v>2030</v>
      </c>
    </row>
    <row r="3736" spans="1:11" x14ac:dyDescent="0.3">
      <c r="A3736" t="s">
        <v>818</v>
      </c>
      <c r="B3736" s="33">
        <v>43299</v>
      </c>
      <c r="C3736" s="34" t="s">
        <v>5149</v>
      </c>
      <c r="D3736" s="34">
        <v>2000</v>
      </c>
      <c r="E3736" s="35" t="s">
        <v>5150</v>
      </c>
      <c r="F3736" s="35" t="s">
        <v>103</v>
      </c>
      <c r="G3736" s="106" t="s">
        <v>3807</v>
      </c>
      <c r="H3736" s="33">
        <v>43252</v>
      </c>
      <c r="I3736" s="34" t="s">
        <v>5173</v>
      </c>
      <c r="J3736" s="36">
        <v>289.85000000000002</v>
      </c>
      <c r="K3736" t="s">
        <v>2030</v>
      </c>
    </row>
    <row r="3737" spans="1:11" x14ac:dyDescent="0.3">
      <c r="A3737" t="s">
        <v>818</v>
      </c>
      <c r="B3737" s="33">
        <v>43299</v>
      </c>
      <c r="C3737" s="34" t="s">
        <v>5149</v>
      </c>
      <c r="D3737" s="34">
        <v>2000</v>
      </c>
      <c r="E3737" s="35" t="s">
        <v>5150</v>
      </c>
      <c r="F3737" s="35" t="s">
        <v>110</v>
      </c>
      <c r="G3737" s="106" t="s">
        <v>3819</v>
      </c>
      <c r="H3737" s="33">
        <v>43252</v>
      </c>
      <c r="I3737" s="34" t="s">
        <v>5174</v>
      </c>
      <c r="J3737" s="36">
        <v>289.85000000000002</v>
      </c>
      <c r="K3737" t="s">
        <v>2030</v>
      </c>
    </row>
    <row r="3738" spans="1:11" x14ac:dyDescent="0.3">
      <c r="A3738" t="s">
        <v>818</v>
      </c>
      <c r="B3738" s="33">
        <v>43299</v>
      </c>
      <c r="C3738" s="34" t="s">
        <v>5149</v>
      </c>
      <c r="D3738" s="34">
        <v>2000</v>
      </c>
      <c r="E3738" s="35" t="s">
        <v>5150</v>
      </c>
      <c r="F3738" s="35" t="s">
        <v>98</v>
      </c>
      <c r="G3738" s="106" t="s">
        <v>3833</v>
      </c>
      <c r="H3738" s="33">
        <v>43252</v>
      </c>
      <c r="I3738" s="34" t="s">
        <v>5175</v>
      </c>
      <c r="J3738" s="36">
        <v>289.85000000000002</v>
      </c>
      <c r="K3738" t="s">
        <v>2030</v>
      </c>
    </row>
    <row r="3739" spans="1:11" x14ac:dyDescent="0.3">
      <c r="A3739" t="s">
        <v>1550</v>
      </c>
      <c r="B3739" s="33">
        <v>43299</v>
      </c>
      <c r="C3739" s="34" t="s">
        <v>2112</v>
      </c>
      <c r="D3739" s="34">
        <v>4007</v>
      </c>
      <c r="E3739" s="35" t="s">
        <v>5148</v>
      </c>
      <c r="F3739" s="35" t="s">
        <v>6</v>
      </c>
      <c r="G3739" s="106" t="s">
        <v>3852</v>
      </c>
      <c r="H3739" s="33">
        <v>43252</v>
      </c>
      <c r="I3739" s="34" t="s">
        <v>2114</v>
      </c>
      <c r="J3739" s="36">
        <v>172.5</v>
      </c>
      <c r="K3739" t="s">
        <v>2030</v>
      </c>
    </row>
    <row r="3740" spans="1:11" x14ac:dyDescent="0.3">
      <c r="A3740" t="s">
        <v>1550</v>
      </c>
      <c r="B3740" s="33">
        <v>43304</v>
      </c>
      <c r="C3740" s="34" t="s">
        <v>5331</v>
      </c>
      <c r="D3740" s="34">
        <v>1</v>
      </c>
      <c r="E3740" s="35" t="s">
        <v>5387</v>
      </c>
      <c r="F3740" s="35" t="s">
        <v>12</v>
      </c>
      <c r="G3740" s="106" t="s">
        <v>5388</v>
      </c>
      <c r="H3740" s="33">
        <v>42917</v>
      </c>
      <c r="I3740" s="34" t="s">
        <v>5389</v>
      </c>
      <c r="J3740" s="36">
        <v>255.75</v>
      </c>
      <c r="K3740" t="s">
        <v>2030</v>
      </c>
    </row>
    <row r="3741" spans="1:11" x14ac:dyDescent="0.3">
      <c r="A3741" t="s">
        <v>1550</v>
      </c>
      <c r="B3741" s="33">
        <v>43304</v>
      </c>
      <c r="C3741" s="34" t="s">
        <v>5331</v>
      </c>
      <c r="D3741" s="34">
        <v>1</v>
      </c>
      <c r="E3741" s="35" t="s">
        <v>5387</v>
      </c>
      <c r="F3741" s="35" t="s">
        <v>16</v>
      </c>
      <c r="G3741" s="106" t="s">
        <v>5388</v>
      </c>
      <c r="H3741" s="33">
        <v>42917</v>
      </c>
      <c r="I3741" s="34" t="s">
        <v>5390</v>
      </c>
      <c r="J3741" s="36">
        <v>260.39999999999998</v>
      </c>
      <c r="K3741" t="s">
        <v>2030</v>
      </c>
    </row>
    <row r="3742" spans="1:11" x14ac:dyDescent="0.3">
      <c r="A3742" t="s">
        <v>818</v>
      </c>
      <c r="B3742" s="33">
        <v>43304</v>
      </c>
      <c r="C3742" s="34" t="s">
        <v>5331</v>
      </c>
      <c r="D3742" s="34">
        <v>1</v>
      </c>
      <c r="E3742" s="35" t="s">
        <v>5150</v>
      </c>
      <c r="F3742" s="35" t="s">
        <v>56</v>
      </c>
      <c r="G3742" s="106" t="s">
        <v>5332</v>
      </c>
      <c r="H3742" s="33">
        <v>43252</v>
      </c>
      <c r="I3742" s="34" t="s">
        <v>5393</v>
      </c>
      <c r="J3742" s="36">
        <v>93.5</v>
      </c>
      <c r="K3742" t="s">
        <v>2030</v>
      </c>
    </row>
    <row r="3743" spans="1:11" x14ac:dyDescent="0.3">
      <c r="A3743" t="s">
        <v>818</v>
      </c>
      <c r="B3743" s="33">
        <v>43304</v>
      </c>
      <c r="C3743" s="34" t="s">
        <v>5331</v>
      </c>
      <c r="D3743" s="34">
        <v>1</v>
      </c>
      <c r="E3743" s="35" t="s">
        <v>5150</v>
      </c>
      <c r="F3743" s="35" t="s">
        <v>90</v>
      </c>
      <c r="G3743" s="106" t="s">
        <v>5363</v>
      </c>
      <c r="H3743" s="33">
        <v>43252</v>
      </c>
      <c r="I3743" s="34" t="s">
        <v>5394</v>
      </c>
      <c r="J3743" s="36">
        <v>102.85</v>
      </c>
      <c r="K3743" t="s">
        <v>2030</v>
      </c>
    </row>
    <row r="3744" spans="1:11" x14ac:dyDescent="0.3">
      <c r="A3744" t="s">
        <v>818</v>
      </c>
      <c r="B3744" s="33">
        <v>43304</v>
      </c>
      <c r="C3744" s="34" t="s">
        <v>5331</v>
      </c>
      <c r="D3744" s="34">
        <v>1</v>
      </c>
      <c r="E3744" s="35" t="s">
        <v>5150</v>
      </c>
      <c r="F3744" s="35" t="s">
        <v>85</v>
      </c>
      <c r="G3744" s="106" t="s">
        <v>5395</v>
      </c>
      <c r="H3744" s="33">
        <v>43252</v>
      </c>
      <c r="I3744" s="34" t="s">
        <v>5396</v>
      </c>
      <c r="J3744" s="36">
        <v>149.6</v>
      </c>
      <c r="K3744" t="s">
        <v>2030</v>
      </c>
    </row>
    <row r="3745" spans="1:11" x14ac:dyDescent="0.3">
      <c r="A3745" t="s">
        <v>818</v>
      </c>
      <c r="B3745" s="33">
        <v>43304</v>
      </c>
      <c r="C3745" s="34" t="s">
        <v>5331</v>
      </c>
      <c r="D3745" s="34">
        <v>1</v>
      </c>
      <c r="E3745" s="35" t="s">
        <v>5150</v>
      </c>
      <c r="F3745" s="35" t="s">
        <v>84</v>
      </c>
      <c r="G3745" s="106" t="s">
        <v>5371</v>
      </c>
      <c r="H3745" s="33">
        <v>43252</v>
      </c>
      <c r="I3745" s="34" t="s">
        <v>5397</v>
      </c>
      <c r="J3745" s="36">
        <v>140.25</v>
      </c>
      <c r="K3745" t="s">
        <v>2030</v>
      </c>
    </row>
    <row r="3746" spans="1:11" x14ac:dyDescent="0.3">
      <c r="A3746" t="s">
        <v>818</v>
      </c>
      <c r="B3746" s="33">
        <v>43304</v>
      </c>
      <c r="C3746" s="34" t="s">
        <v>5331</v>
      </c>
      <c r="D3746" s="34">
        <v>1</v>
      </c>
      <c r="E3746" s="35" t="s">
        <v>5150</v>
      </c>
      <c r="F3746" s="35" t="s">
        <v>74</v>
      </c>
      <c r="G3746" s="106" t="s">
        <v>5335</v>
      </c>
      <c r="H3746" s="33">
        <v>43252</v>
      </c>
      <c r="I3746" s="34" t="s">
        <v>5398</v>
      </c>
      <c r="J3746" s="36">
        <v>158.94999999999999</v>
      </c>
      <c r="K3746" t="s">
        <v>2030</v>
      </c>
    </row>
    <row r="3747" spans="1:11" x14ac:dyDescent="0.3">
      <c r="A3747" t="s">
        <v>818</v>
      </c>
      <c r="B3747" s="33">
        <v>43304</v>
      </c>
      <c r="C3747" s="34" t="s">
        <v>5331</v>
      </c>
      <c r="D3747" s="34">
        <v>1</v>
      </c>
      <c r="E3747" s="35" t="s">
        <v>5150</v>
      </c>
      <c r="F3747" s="35" t="s">
        <v>60</v>
      </c>
      <c r="G3747" s="106" t="s">
        <v>5332</v>
      </c>
      <c r="H3747" s="33">
        <v>43252</v>
      </c>
      <c r="I3747" s="34" t="s">
        <v>5399</v>
      </c>
      <c r="J3747" s="36">
        <v>65.45</v>
      </c>
      <c r="K3747" t="s">
        <v>2030</v>
      </c>
    </row>
    <row r="3748" spans="1:11" x14ac:dyDescent="0.3">
      <c r="A3748" t="s">
        <v>818</v>
      </c>
      <c r="B3748" s="33">
        <v>43304</v>
      </c>
      <c r="C3748" s="34" t="s">
        <v>5331</v>
      </c>
      <c r="D3748" s="34">
        <v>1</v>
      </c>
      <c r="E3748" s="35" t="s">
        <v>5150</v>
      </c>
      <c r="F3748" s="35" t="s">
        <v>53</v>
      </c>
      <c r="G3748" s="106" t="s">
        <v>5332</v>
      </c>
      <c r="H3748" s="33">
        <v>43252</v>
      </c>
      <c r="I3748" s="34" t="s">
        <v>5400</v>
      </c>
      <c r="J3748" s="36">
        <v>93.5</v>
      </c>
      <c r="K3748" t="s">
        <v>2030</v>
      </c>
    </row>
    <row r="3749" spans="1:11" x14ac:dyDescent="0.3">
      <c r="A3749" t="s">
        <v>818</v>
      </c>
      <c r="B3749" s="33">
        <v>43304</v>
      </c>
      <c r="C3749" s="34" t="s">
        <v>5331</v>
      </c>
      <c r="D3749" s="34">
        <v>1</v>
      </c>
      <c r="E3749" s="35" t="s">
        <v>5150</v>
      </c>
      <c r="F3749" s="35" t="s">
        <v>54</v>
      </c>
      <c r="G3749" s="106" t="s">
        <v>5335</v>
      </c>
      <c r="H3749" s="33">
        <v>43252</v>
      </c>
      <c r="I3749" s="34" t="s">
        <v>5401</v>
      </c>
      <c r="J3749" s="36">
        <v>215.05</v>
      </c>
      <c r="K3749" t="s">
        <v>2030</v>
      </c>
    </row>
    <row r="3750" spans="1:11" x14ac:dyDescent="0.3">
      <c r="A3750" t="s">
        <v>818</v>
      </c>
      <c r="B3750" s="33">
        <v>43304</v>
      </c>
      <c r="C3750" s="34" t="s">
        <v>5331</v>
      </c>
      <c r="D3750" s="34">
        <v>1</v>
      </c>
      <c r="E3750" s="35" t="s">
        <v>5150</v>
      </c>
      <c r="F3750" s="35" t="s">
        <v>52</v>
      </c>
      <c r="G3750" s="106" t="s">
        <v>5332</v>
      </c>
      <c r="H3750" s="33">
        <v>43252</v>
      </c>
      <c r="I3750" s="34" t="s">
        <v>5402</v>
      </c>
      <c r="J3750" s="36">
        <v>149.6</v>
      </c>
      <c r="K3750" t="s">
        <v>2030</v>
      </c>
    </row>
    <row r="3751" spans="1:11" x14ac:dyDescent="0.3">
      <c r="A3751" t="s">
        <v>818</v>
      </c>
      <c r="B3751" s="33">
        <v>43304</v>
      </c>
      <c r="C3751" s="34" t="s">
        <v>5331</v>
      </c>
      <c r="D3751" s="34">
        <v>1</v>
      </c>
      <c r="E3751" s="35" t="s">
        <v>5150</v>
      </c>
      <c r="F3751" s="35" t="s">
        <v>50</v>
      </c>
      <c r="G3751" s="106" t="s">
        <v>5403</v>
      </c>
      <c r="H3751" s="33">
        <v>43252</v>
      </c>
      <c r="I3751" s="34" t="s">
        <v>5404</v>
      </c>
      <c r="J3751" s="36">
        <v>140.25</v>
      </c>
      <c r="K3751" t="s">
        <v>2030</v>
      </c>
    </row>
    <row r="3752" spans="1:11" x14ac:dyDescent="0.3">
      <c r="A3752" t="s">
        <v>818</v>
      </c>
      <c r="B3752" s="33">
        <v>43304</v>
      </c>
      <c r="C3752" s="34" t="s">
        <v>5331</v>
      </c>
      <c r="D3752" s="34">
        <v>1</v>
      </c>
      <c r="E3752" s="35" t="s">
        <v>5150</v>
      </c>
      <c r="F3752" s="35" t="s">
        <v>30</v>
      </c>
      <c r="G3752" s="106" t="s">
        <v>5405</v>
      </c>
      <c r="H3752" s="33">
        <v>43252</v>
      </c>
      <c r="I3752" s="34" t="s">
        <v>5406</v>
      </c>
      <c r="J3752" s="36">
        <v>84.15</v>
      </c>
      <c r="K3752" t="s">
        <v>2030</v>
      </c>
    </row>
    <row r="3753" spans="1:11" x14ac:dyDescent="0.3">
      <c r="A3753" t="s">
        <v>818</v>
      </c>
      <c r="B3753" s="33">
        <v>43304</v>
      </c>
      <c r="C3753" s="34" t="s">
        <v>5331</v>
      </c>
      <c r="D3753" s="34">
        <v>1</v>
      </c>
      <c r="E3753" s="35" t="s">
        <v>5150</v>
      </c>
      <c r="F3753" s="35" t="s">
        <v>8</v>
      </c>
      <c r="G3753" s="106" t="s">
        <v>5332</v>
      </c>
      <c r="H3753" s="33">
        <v>43252</v>
      </c>
      <c r="I3753" s="34" t="s">
        <v>5407</v>
      </c>
      <c r="J3753" s="36">
        <v>149.6</v>
      </c>
      <c r="K3753" t="s">
        <v>2030</v>
      </c>
    </row>
    <row r="3754" spans="1:11" x14ac:dyDescent="0.3">
      <c r="A3754" t="s">
        <v>818</v>
      </c>
      <c r="B3754" s="33">
        <v>43304</v>
      </c>
      <c r="C3754" s="34" t="s">
        <v>5331</v>
      </c>
      <c r="D3754" s="34">
        <v>1</v>
      </c>
      <c r="E3754" s="35" t="s">
        <v>5150</v>
      </c>
      <c r="F3754" s="35" t="s">
        <v>89</v>
      </c>
      <c r="G3754" s="106" t="s">
        <v>5382</v>
      </c>
      <c r="H3754" s="33">
        <v>43252</v>
      </c>
      <c r="I3754" s="34" t="s">
        <v>5408</v>
      </c>
      <c r="J3754" s="36">
        <v>140.25</v>
      </c>
      <c r="K3754" t="s">
        <v>2030</v>
      </c>
    </row>
    <row r="3755" spans="1:11" x14ac:dyDescent="0.3">
      <c r="A3755" t="s">
        <v>818</v>
      </c>
      <c r="B3755" s="33">
        <v>43304</v>
      </c>
      <c r="C3755" s="34" t="s">
        <v>5331</v>
      </c>
      <c r="D3755" s="34">
        <v>1</v>
      </c>
      <c r="E3755" s="35" t="s">
        <v>5150</v>
      </c>
      <c r="F3755" s="35" t="s">
        <v>86</v>
      </c>
      <c r="G3755" s="106" t="s">
        <v>5382</v>
      </c>
      <c r="H3755" s="33">
        <v>43252</v>
      </c>
      <c r="I3755" s="34" t="s">
        <v>5409</v>
      </c>
      <c r="J3755" s="36">
        <v>149.6</v>
      </c>
      <c r="K3755" t="s">
        <v>2030</v>
      </c>
    </row>
    <row r="3756" spans="1:11" x14ac:dyDescent="0.3">
      <c r="A3756" t="s">
        <v>818</v>
      </c>
      <c r="B3756" s="33">
        <v>43304</v>
      </c>
      <c r="C3756" s="34" t="s">
        <v>5331</v>
      </c>
      <c r="D3756" s="34">
        <v>1</v>
      </c>
      <c r="E3756" s="35" t="s">
        <v>5150</v>
      </c>
      <c r="F3756" s="35" t="s">
        <v>72</v>
      </c>
      <c r="G3756" s="106" t="s">
        <v>5335</v>
      </c>
      <c r="H3756" s="33">
        <v>43252</v>
      </c>
      <c r="I3756" s="34" t="s">
        <v>5410</v>
      </c>
      <c r="J3756" s="36">
        <v>158.94999999999999</v>
      </c>
      <c r="K3756" t="s">
        <v>2030</v>
      </c>
    </row>
    <row r="3757" spans="1:11" x14ac:dyDescent="0.3">
      <c r="A3757" t="s">
        <v>818</v>
      </c>
      <c r="B3757" s="33">
        <v>43304</v>
      </c>
      <c r="C3757" s="34" t="s">
        <v>5331</v>
      </c>
      <c r="D3757" s="34">
        <v>1</v>
      </c>
      <c r="E3757" s="35" t="s">
        <v>5150</v>
      </c>
      <c r="F3757" s="35" t="s">
        <v>55</v>
      </c>
      <c r="G3757" s="106" t="s">
        <v>5332</v>
      </c>
      <c r="H3757" s="33">
        <v>43252</v>
      </c>
      <c r="I3757" s="34" t="s">
        <v>5411</v>
      </c>
      <c r="J3757" s="36">
        <v>84.15</v>
      </c>
      <c r="K3757" t="s">
        <v>2030</v>
      </c>
    </row>
    <row r="3758" spans="1:11" x14ac:dyDescent="0.3">
      <c r="A3758" t="s">
        <v>818</v>
      </c>
      <c r="B3758" s="33">
        <v>43304</v>
      </c>
      <c r="C3758" s="34" t="s">
        <v>5331</v>
      </c>
      <c r="D3758" s="34">
        <v>1</v>
      </c>
      <c r="E3758" s="35" t="s">
        <v>5150</v>
      </c>
      <c r="F3758" s="35" t="s">
        <v>49</v>
      </c>
      <c r="G3758" s="106" t="s">
        <v>5412</v>
      </c>
      <c r="H3758" s="33">
        <v>43252</v>
      </c>
      <c r="I3758" s="34" t="s">
        <v>5413</v>
      </c>
      <c r="J3758" s="36">
        <v>196.35</v>
      </c>
      <c r="K3758" t="s">
        <v>2030</v>
      </c>
    </row>
    <row r="3759" spans="1:11" x14ac:dyDescent="0.3">
      <c r="A3759" t="s">
        <v>818</v>
      </c>
      <c r="B3759" s="33">
        <v>43304</v>
      </c>
      <c r="C3759" s="34" t="s">
        <v>5331</v>
      </c>
      <c r="D3759" s="34">
        <v>1</v>
      </c>
      <c r="E3759" s="35" t="s">
        <v>5150</v>
      </c>
      <c r="F3759" s="35" t="s">
        <v>44</v>
      </c>
      <c r="G3759" s="106" t="s">
        <v>5332</v>
      </c>
      <c r="H3759" s="33">
        <v>43252</v>
      </c>
      <c r="I3759" s="34" t="s">
        <v>5414</v>
      </c>
      <c r="J3759" s="36">
        <v>84.15</v>
      </c>
      <c r="K3759" t="s">
        <v>2030</v>
      </c>
    </row>
    <row r="3760" spans="1:11" x14ac:dyDescent="0.3">
      <c r="A3760" t="s">
        <v>818</v>
      </c>
      <c r="B3760" s="33">
        <v>43304</v>
      </c>
      <c r="C3760" s="34" t="s">
        <v>5331</v>
      </c>
      <c r="D3760" s="34">
        <v>1</v>
      </c>
      <c r="E3760" s="35" t="s">
        <v>5150</v>
      </c>
      <c r="F3760" s="35" t="s">
        <v>66</v>
      </c>
      <c r="G3760" s="106" t="s">
        <v>5335</v>
      </c>
      <c r="H3760" s="33">
        <v>43252</v>
      </c>
      <c r="I3760" s="34" t="s">
        <v>5415</v>
      </c>
      <c r="J3760" s="36">
        <v>121.55</v>
      </c>
      <c r="K3760" t="s">
        <v>2030</v>
      </c>
    </row>
    <row r="3761" spans="1:11" x14ac:dyDescent="0.3">
      <c r="A3761" t="s">
        <v>818</v>
      </c>
      <c r="B3761" s="33">
        <v>43304</v>
      </c>
      <c r="C3761" s="34" t="s">
        <v>5331</v>
      </c>
      <c r="D3761" s="34">
        <v>1</v>
      </c>
      <c r="E3761" s="35" t="s">
        <v>5150</v>
      </c>
      <c r="F3761" s="35" t="s">
        <v>65</v>
      </c>
      <c r="G3761" s="106" t="s">
        <v>5335</v>
      </c>
      <c r="H3761" s="33">
        <v>43252</v>
      </c>
      <c r="I3761" s="34" t="s">
        <v>5416</v>
      </c>
      <c r="J3761" s="36">
        <v>74.8</v>
      </c>
      <c r="K3761" t="s">
        <v>2030</v>
      </c>
    </row>
    <row r="3762" spans="1:11" x14ac:dyDescent="0.3">
      <c r="A3762" t="s">
        <v>818</v>
      </c>
      <c r="B3762" s="33">
        <v>43304</v>
      </c>
      <c r="C3762" s="34" t="s">
        <v>5331</v>
      </c>
      <c r="D3762" s="34">
        <v>1</v>
      </c>
      <c r="E3762" s="35" t="s">
        <v>5150</v>
      </c>
      <c r="F3762" s="35" t="s">
        <v>64</v>
      </c>
      <c r="G3762" s="106" t="s">
        <v>5335</v>
      </c>
      <c r="H3762" s="33">
        <v>43252</v>
      </c>
      <c r="I3762" s="34" t="s">
        <v>5417</v>
      </c>
      <c r="J3762" s="36">
        <v>84.15</v>
      </c>
      <c r="K3762" t="s">
        <v>2030</v>
      </c>
    </row>
    <row r="3763" spans="1:11" x14ac:dyDescent="0.3">
      <c r="A3763" t="s">
        <v>818</v>
      </c>
      <c r="B3763" s="33">
        <v>43304</v>
      </c>
      <c r="C3763" s="34" t="s">
        <v>5331</v>
      </c>
      <c r="D3763" s="34">
        <v>1</v>
      </c>
      <c r="E3763" s="35" t="s">
        <v>5150</v>
      </c>
      <c r="F3763" s="35" t="s">
        <v>63</v>
      </c>
      <c r="G3763" s="106" t="s">
        <v>5335</v>
      </c>
      <c r="H3763" s="33">
        <v>43252</v>
      </c>
      <c r="I3763" s="34" t="s">
        <v>5418</v>
      </c>
      <c r="J3763" s="36">
        <v>74.8</v>
      </c>
      <c r="K3763" t="s">
        <v>2030</v>
      </c>
    </row>
    <row r="3764" spans="1:11" x14ac:dyDescent="0.3">
      <c r="A3764" t="s">
        <v>818</v>
      </c>
      <c r="B3764" s="33">
        <v>43304</v>
      </c>
      <c r="C3764" s="34" t="s">
        <v>5331</v>
      </c>
      <c r="D3764" s="34">
        <v>1</v>
      </c>
      <c r="E3764" s="35" t="s">
        <v>5150</v>
      </c>
      <c r="F3764" s="35" t="s">
        <v>61</v>
      </c>
      <c r="G3764" s="106" t="s">
        <v>5335</v>
      </c>
      <c r="H3764" s="33">
        <v>43252</v>
      </c>
      <c r="I3764" s="34" t="s">
        <v>5419</v>
      </c>
      <c r="J3764" s="36">
        <v>130.9</v>
      </c>
      <c r="K3764" t="s">
        <v>2030</v>
      </c>
    </row>
    <row r="3765" spans="1:11" x14ac:dyDescent="0.3">
      <c r="A3765" t="s">
        <v>818</v>
      </c>
      <c r="B3765" s="33">
        <v>43304</v>
      </c>
      <c r="C3765" s="34" t="s">
        <v>5331</v>
      </c>
      <c r="D3765" s="34">
        <v>1</v>
      </c>
      <c r="E3765" s="35" t="s">
        <v>5150</v>
      </c>
      <c r="F3765" s="35" t="s">
        <v>57</v>
      </c>
      <c r="G3765" s="106" t="s">
        <v>5332</v>
      </c>
      <c r="H3765" s="33">
        <v>43252</v>
      </c>
      <c r="I3765" s="34" t="s">
        <v>5420</v>
      </c>
      <c r="J3765" s="36">
        <v>37.4</v>
      </c>
      <c r="K3765" t="s">
        <v>2030</v>
      </c>
    </row>
    <row r="3766" spans="1:11" x14ac:dyDescent="0.3">
      <c r="A3766" t="s">
        <v>818</v>
      </c>
      <c r="B3766" s="33">
        <v>43304</v>
      </c>
      <c r="C3766" s="34" t="s">
        <v>5331</v>
      </c>
      <c r="D3766" s="34">
        <v>1</v>
      </c>
      <c r="E3766" s="35" t="s">
        <v>5150</v>
      </c>
      <c r="F3766" s="35" t="s">
        <v>51</v>
      </c>
      <c r="G3766" s="106" t="s">
        <v>5332</v>
      </c>
      <c r="H3766" s="33">
        <v>43252</v>
      </c>
      <c r="I3766" s="34" t="s">
        <v>5421</v>
      </c>
      <c r="J3766" s="36">
        <v>84.15</v>
      </c>
      <c r="K3766" t="s">
        <v>2030</v>
      </c>
    </row>
    <row r="3767" spans="1:11" x14ac:dyDescent="0.3">
      <c r="A3767" t="s">
        <v>818</v>
      </c>
      <c r="B3767" s="33">
        <v>43304</v>
      </c>
      <c r="C3767" s="34" t="s">
        <v>5331</v>
      </c>
      <c r="D3767" s="34">
        <v>1</v>
      </c>
      <c r="E3767" s="35" t="s">
        <v>5150</v>
      </c>
      <c r="F3767" s="35" t="s">
        <v>69</v>
      </c>
      <c r="G3767" s="106" t="s">
        <v>5335</v>
      </c>
      <c r="H3767" s="33">
        <v>43252</v>
      </c>
      <c r="I3767" s="34" t="s">
        <v>5422</v>
      </c>
      <c r="J3767" s="36">
        <v>74.8</v>
      </c>
      <c r="K3767" t="s">
        <v>2030</v>
      </c>
    </row>
    <row r="3768" spans="1:11" x14ac:dyDescent="0.3">
      <c r="A3768" t="s">
        <v>818</v>
      </c>
      <c r="B3768" s="33">
        <v>43304</v>
      </c>
      <c r="C3768" s="34" t="s">
        <v>5331</v>
      </c>
      <c r="D3768" s="34">
        <v>1</v>
      </c>
      <c r="E3768" s="35" t="s">
        <v>5150</v>
      </c>
      <c r="F3768" s="35" t="s">
        <v>68</v>
      </c>
      <c r="G3768" s="106" t="s">
        <v>5335</v>
      </c>
      <c r="H3768" s="33">
        <v>43252</v>
      </c>
      <c r="I3768" s="34" t="s">
        <v>5423</v>
      </c>
      <c r="J3768" s="36">
        <v>149.6</v>
      </c>
      <c r="K3768" t="s">
        <v>2030</v>
      </c>
    </row>
    <row r="3769" spans="1:11" x14ac:dyDescent="0.3">
      <c r="A3769" t="s">
        <v>818</v>
      </c>
      <c r="B3769" s="33">
        <v>43304</v>
      </c>
      <c r="C3769" s="34" t="s">
        <v>5331</v>
      </c>
      <c r="D3769" s="34">
        <v>1</v>
      </c>
      <c r="E3769" s="35" t="s">
        <v>5150</v>
      </c>
      <c r="F3769" s="35" t="s">
        <v>43</v>
      </c>
      <c r="G3769" s="106" t="s">
        <v>5332</v>
      </c>
      <c r="H3769" s="33">
        <v>43252</v>
      </c>
      <c r="I3769" s="34" t="s">
        <v>5424</v>
      </c>
      <c r="J3769" s="36">
        <v>130.9</v>
      </c>
      <c r="K3769" t="s">
        <v>2030</v>
      </c>
    </row>
    <row r="3770" spans="1:11" x14ac:dyDescent="0.3">
      <c r="A3770" t="s">
        <v>818</v>
      </c>
      <c r="B3770" s="33">
        <v>43304</v>
      </c>
      <c r="C3770" s="34" t="s">
        <v>5331</v>
      </c>
      <c r="D3770" s="34">
        <v>1</v>
      </c>
      <c r="E3770" s="35" t="s">
        <v>5150</v>
      </c>
      <c r="F3770" s="35" t="s">
        <v>42</v>
      </c>
      <c r="G3770" s="106" t="s">
        <v>5425</v>
      </c>
      <c r="H3770" s="33">
        <v>43252</v>
      </c>
      <c r="I3770" s="34" t="s">
        <v>5426</v>
      </c>
      <c r="J3770" s="36">
        <v>74.8</v>
      </c>
      <c r="K3770" t="s">
        <v>2030</v>
      </c>
    </row>
    <row r="3771" spans="1:11" x14ac:dyDescent="0.3">
      <c r="A3771" t="s">
        <v>818</v>
      </c>
      <c r="B3771" s="33">
        <v>43304</v>
      </c>
      <c r="C3771" s="34" t="s">
        <v>5331</v>
      </c>
      <c r="D3771" s="34">
        <v>1</v>
      </c>
      <c r="E3771" s="35" t="s">
        <v>5150</v>
      </c>
      <c r="F3771" s="35" t="s">
        <v>41</v>
      </c>
      <c r="G3771" s="106" t="s">
        <v>5332</v>
      </c>
      <c r="H3771" s="33">
        <v>43252</v>
      </c>
      <c r="I3771" s="34" t="s">
        <v>5427</v>
      </c>
      <c r="J3771" s="36">
        <v>65.45</v>
      </c>
      <c r="K3771" t="s">
        <v>2030</v>
      </c>
    </row>
    <row r="3772" spans="1:11" x14ac:dyDescent="0.3">
      <c r="A3772" t="s">
        <v>818</v>
      </c>
      <c r="B3772" s="33">
        <v>43304</v>
      </c>
      <c r="C3772" s="34" t="s">
        <v>5331</v>
      </c>
      <c r="D3772" s="34">
        <v>1</v>
      </c>
      <c r="E3772" s="35" t="s">
        <v>5150</v>
      </c>
      <c r="F3772" s="35" t="s">
        <v>78</v>
      </c>
      <c r="G3772" s="106" t="s">
        <v>5335</v>
      </c>
      <c r="H3772" s="33">
        <v>43252</v>
      </c>
      <c r="I3772" s="34" t="s">
        <v>5428</v>
      </c>
      <c r="J3772" s="36">
        <v>140.25</v>
      </c>
      <c r="K3772" t="s">
        <v>2030</v>
      </c>
    </row>
    <row r="3773" spans="1:11" x14ac:dyDescent="0.3">
      <c r="A3773" t="s">
        <v>818</v>
      </c>
      <c r="B3773" s="33">
        <v>43304</v>
      </c>
      <c r="C3773" s="34" t="s">
        <v>5331</v>
      </c>
      <c r="D3773" s="34">
        <v>1</v>
      </c>
      <c r="E3773" s="35" t="s">
        <v>5150</v>
      </c>
      <c r="F3773" s="35" t="s">
        <v>76</v>
      </c>
      <c r="G3773" s="106" t="s">
        <v>5335</v>
      </c>
      <c r="H3773" s="33">
        <v>43252</v>
      </c>
      <c r="I3773" s="34" t="s">
        <v>5429</v>
      </c>
      <c r="J3773" s="36">
        <v>168.3</v>
      </c>
      <c r="K3773" t="s">
        <v>2030</v>
      </c>
    </row>
    <row r="3774" spans="1:11" x14ac:dyDescent="0.3">
      <c r="A3774" t="s">
        <v>818</v>
      </c>
      <c r="B3774" s="33">
        <v>43304</v>
      </c>
      <c r="C3774" s="34" t="s">
        <v>5331</v>
      </c>
      <c r="D3774" s="34">
        <v>1</v>
      </c>
      <c r="E3774" s="35" t="s">
        <v>5150</v>
      </c>
      <c r="F3774" s="35" t="s">
        <v>77</v>
      </c>
      <c r="G3774" s="106" t="s">
        <v>5335</v>
      </c>
      <c r="H3774" s="33">
        <v>43252</v>
      </c>
      <c r="I3774" s="34" t="s">
        <v>5430</v>
      </c>
      <c r="J3774" s="36">
        <v>158.94999999999999</v>
      </c>
      <c r="K3774" t="s">
        <v>2030</v>
      </c>
    </row>
    <row r="3775" spans="1:11" x14ac:dyDescent="0.3">
      <c r="A3775" t="s">
        <v>818</v>
      </c>
      <c r="B3775" s="33">
        <v>43304</v>
      </c>
      <c r="C3775" s="34" t="s">
        <v>5331</v>
      </c>
      <c r="D3775" s="34">
        <v>1</v>
      </c>
      <c r="E3775" s="35" t="s">
        <v>5150</v>
      </c>
      <c r="F3775" s="35" t="s">
        <v>75</v>
      </c>
      <c r="G3775" s="106" t="s">
        <v>5335</v>
      </c>
      <c r="H3775" s="33">
        <v>43252</v>
      </c>
      <c r="I3775" s="34" t="s">
        <v>5431</v>
      </c>
      <c r="J3775" s="36">
        <v>158.94999999999999</v>
      </c>
      <c r="K3775" t="s">
        <v>2030</v>
      </c>
    </row>
    <row r="3776" spans="1:11" x14ac:dyDescent="0.3">
      <c r="A3776" t="s">
        <v>818</v>
      </c>
      <c r="B3776" s="33">
        <v>43304</v>
      </c>
      <c r="C3776" s="34" t="s">
        <v>5331</v>
      </c>
      <c r="D3776" s="34">
        <v>1</v>
      </c>
      <c r="E3776" s="35" t="s">
        <v>5150</v>
      </c>
      <c r="F3776" s="35" t="s">
        <v>73</v>
      </c>
      <c r="G3776" s="106" t="s">
        <v>5335</v>
      </c>
      <c r="H3776" s="33">
        <v>43252</v>
      </c>
      <c r="I3776" s="34" t="s">
        <v>5432</v>
      </c>
      <c r="J3776" s="36">
        <v>158.94999999999999</v>
      </c>
      <c r="K3776" t="s">
        <v>2030</v>
      </c>
    </row>
    <row r="3777" spans="1:11" x14ac:dyDescent="0.3">
      <c r="A3777" t="s">
        <v>818</v>
      </c>
      <c r="B3777" s="33">
        <v>43304</v>
      </c>
      <c r="C3777" s="34" t="s">
        <v>5331</v>
      </c>
      <c r="D3777" s="34">
        <v>1</v>
      </c>
      <c r="E3777" s="35" t="s">
        <v>5150</v>
      </c>
      <c r="F3777" s="35" t="s">
        <v>59</v>
      </c>
      <c r="G3777" s="106" t="s">
        <v>5332</v>
      </c>
      <c r="H3777" s="33">
        <v>43252</v>
      </c>
      <c r="I3777" s="34" t="s">
        <v>5433</v>
      </c>
      <c r="J3777" s="36">
        <v>37.4</v>
      </c>
      <c r="K3777" t="s">
        <v>2030</v>
      </c>
    </row>
    <row r="3778" spans="1:11" x14ac:dyDescent="0.3">
      <c r="A3778" t="s">
        <v>818</v>
      </c>
      <c r="B3778" s="33">
        <v>43304</v>
      </c>
      <c r="C3778" s="34" t="s">
        <v>5331</v>
      </c>
      <c r="D3778" s="34">
        <v>1</v>
      </c>
      <c r="E3778" s="35" t="s">
        <v>5150</v>
      </c>
      <c r="F3778" s="35" t="s">
        <v>48</v>
      </c>
      <c r="G3778" s="106" t="s">
        <v>5412</v>
      </c>
      <c r="H3778" s="33">
        <v>43252</v>
      </c>
      <c r="I3778" s="34" t="s">
        <v>5434</v>
      </c>
      <c r="J3778" s="36">
        <v>84.15</v>
      </c>
      <c r="K3778" t="s">
        <v>2030</v>
      </c>
    </row>
    <row r="3779" spans="1:11" x14ac:dyDescent="0.3">
      <c r="A3779" t="s">
        <v>818</v>
      </c>
      <c r="B3779" s="33">
        <v>43304</v>
      </c>
      <c r="C3779" s="34" t="s">
        <v>5331</v>
      </c>
      <c r="D3779" s="34">
        <v>1</v>
      </c>
      <c r="E3779" s="35" t="s">
        <v>5150</v>
      </c>
      <c r="F3779" s="35" t="s">
        <v>45</v>
      </c>
      <c r="G3779" s="106" t="s">
        <v>5425</v>
      </c>
      <c r="H3779" s="33">
        <v>43252</v>
      </c>
      <c r="I3779" s="34" t="s">
        <v>5435</v>
      </c>
      <c r="J3779" s="36">
        <v>65.45</v>
      </c>
      <c r="K3779" t="s">
        <v>2030</v>
      </c>
    </row>
    <row r="3780" spans="1:11" x14ac:dyDescent="0.3">
      <c r="A3780" t="s">
        <v>818</v>
      </c>
      <c r="B3780" s="33">
        <v>43304</v>
      </c>
      <c r="C3780" s="34" t="s">
        <v>5331</v>
      </c>
      <c r="D3780" s="34">
        <v>1</v>
      </c>
      <c r="E3780" s="35" t="s">
        <v>5150</v>
      </c>
      <c r="F3780" s="35" t="s">
        <v>46</v>
      </c>
      <c r="G3780" s="106" t="s">
        <v>5335</v>
      </c>
      <c r="H3780" s="33">
        <v>43252</v>
      </c>
      <c r="I3780" s="34" t="s">
        <v>5436</v>
      </c>
      <c r="J3780" s="36">
        <v>93.5</v>
      </c>
      <c r="K3780" t="s">
        <v>2030</v>
      </c>
    </row>
    <row r="3781" spans="1:11" x14ac:dyDescent="0.3">
      <c r="A3781" t="s">
        <v>818</v>
      </c>
      <c r="B3781" s="33">
        <v>43304</v>
      </c>
      <c r="C3781" s="34" t="s">
        <v>5322</v>
      </c>
      <c r="D3781" s="34">
        <v>2000</v>
      </c>
      <c r="E3781" s="35" t="s">
        <v>5150</v>
      </c>
      <c r="F3781" s="35" t="s">
        <v>15</v>
      </c>
      <c r="G3781" s="106" t="s">
        <v>3801</v>
      </c>
      <c r="H3781" s="33">
        <v>43252</v>
      </c>
      <c r="I3781" s="34" t="s">
        <v>5323</v>
      </c>
      <c r="J3781" s="36">
        <v>280.5</v>
      </c>
      <c r="K3781" t="s">
        <v>2030</v>
      </c>
    </row>
    <row r="3782" spans="1:11" x14ac:dyDescent="0.3">
      <c r="A3782" t="s">
        <v>818</v>
      </c>
      <c r="B3782" s="33">
        <v>43304</v>
      </c>
      <c r="C3782" s="34" t="s">
        <v>5322</v>
      </c>
      <c r="D3782" s="34">
        <v>2000</v>
      </c>
      <c r="E3782" s="35" t="s">
        <v>5150</v>
      </c>
      <c r="F3782" s="35" t="s">
        <v>14</v>
      </c>
      <c r="G3782" s="106" t="s">
        <v>3801</v>
      </c>
      <c r="H3782" s="33">
        <v>43252</v>
      </c>
      <c r="I3782" s="34" t="s">
        <v>5324</v>
      </c>
      <c r="J3782" s="36">
        <v>289.85000000000002</v>
      </c>
      <c r="K3782" t="s">
        <v>2030</v>
      </c>
    </row>
    <row r="3783" spans="1:11" x14ac:dyDescent="0.3">
      <c r="A3783" t="s">
        <v>818</v>
      </c>
      <c r="B3783" s="33">
        <v>43304</v>
      </c>
      <c r="C3783" s="34" t="s">
        <v>5322</v>
      </c>
      <c r="D3783" s="34">
        <v>2000</v>
      </c>
      <c r="E3783" s="35" t="s">
        <v>5150</v>
      </c>
      <c r="F3783" s="35" t="s">
        <v>83</v>
      </c>
      <c r="G3783" s="106" t="s">
        <v>5325</v>
      </c>
      <c r="H3783" s="33">
        <v>43252</v>
      </c>
      <c r="I3783" s="34" t="s">
        <v>5326</v>
      </c>
      <c r="J3783" s="36">
        <v>84.15</v>
      </c>
      <c r="K3783" t="s">
        <v>2030</v>
      </c>
    </row>
    <row r="3784" spans="1:11" x14ac:dyDescent="0.3">
      <c r="A3784" t="s">
        <v>818</v>
      </c>
      <c r="B3784" s="33">
        <v>43304</v>
      </c>
      <c r="C3784" s="34" t="s">
        <v>5322</v>
      </c>
      <c r="D3784" s="34">
        <v>2000</v>
      </c>
      <c r="E3784" s="35" t="s">
        <v>5150</v>
      </c>
      <c r="F3784" s="35" t="s">
        <v>80</v>
      </c>
      <c r="G3784" s="106" t="s">
        <v>5327</v>
      </c>
      <c r="H3784" s="33">
        <v>43252</v>
      </c>
      <c r="I3784" s="34" t="s">
        <v>5328</v>
      </c>
      <c r="J3784" s="36">
        <v>158.94999999999999</v>
      </c>
      <c r="K3784" t="s">
        <v>2030</v>
      </c>
    </row>
    <row r="3785" spans="1:11" x14ac:dyDescent="0.3">
      <c r="A3785" t="s">
        <v>818</v>
      </c>
      <c r="B3785" s="33">
        <v>43304</v>
      </c>
      <c r="C3785" s="34" t="s">
        <v>5322</v>
      </c>
      <c r="D3785" s="34">
        <v>2000</v>
      </c>
      <c r="E3785" s="35" t="s">
        <v>5150</v>
      </c>
      <c r="F3785" s="35" t="s">
        <v>97</v>
      </c>
      <c r="G3785" s="106" t="s">
        <v>5329</v>
      </c>
      <c r="H3785" s="33">
        <v>43252</v>
      </c>
      <c r="I3785" s="34" t="s">
        <v>5330</v>
      </c>
      <c r="J3785" s="36">
        <v>37.4</v>
      </c>
      <c r="K3785" t="s">
        <v>2030</v>
      </c>
    </row>
    <row r="3786" spans="1:11" x14ac:dyDescent="0.3">
      <c r="A3786" t="s">
        <v>818</v>
      </c>
      <c r="B3786" s="33">
        <v>43304</v>
      </c>
      <c r="C3786" s="34" t="s">
        <v>5331</v>
      </c>
      <c r="D3786" s="34">
        <v>1</v>
      </c>
      <c r="E3786" s="35" t="s">
        <v>5150</v>
      </c>
      <c r="F3786" s="35" t="s">
        <v>295</v>
      </c>
      <c r="G3786" s="106" t="s">
        <v>5332</v>
      </c>
      <c r="H3786" s="33">
        <v>43252</v>
      </c>
      <c r="I3786" s="34" t="s">
        <v>5333</v>
      </c>
      <c r="J3786" s="36">
        <v>93.5</v>
      </c>
      <c r="K3786" t="s">
        <v>2030</v>
      </c>
    </row>
    <row r="3787" spans="1:11" x14ac:dyDescent="0.3">
      <c r="A3787" t="s">
        <v>818</v>
      </c>
      <c r="B3787" s="33">
        <v>43304</v>
      </c>
      <c r="C3787" s="34" t="s">
        <v>5331</v>
      </c>
      <c r="D3787" s="34">
        <v>1</v>
      </c>
      <c r="E3787" s="35" t="s">
        <v>5150</v>
      </c>
      <c r="F3787" s="35" t="s">
        <v>47</v>
      </c>
      <c r="G3787" s="106" t="s">
        <v>5332</v>
      </c>
      <c r="H3787" s="33">
        <v>43252</v>
      </c>
      <c r="I3787" s="34" t="s">
        <v>5334</v>
      </c>
      <c r="J3787" s="36">
        <v>93.5</v>
      </c>
      <c r="K3787" t="s">
        <v>2030</v>
      </c>
    </row>
    <row r="3788" spans="1:11" x14ac:dyDescent="0.3">
      <c r="A3788" t="s">
        <v>818</v>
      </c>
      <c r="B3788" s="33">
        <v>43304</v>
      </c>
      <c r="C3788" s="34" t="s">
        <v>5331</v>
      </c>
      <c r="D3788" s="34">
        <v>1</v>
      </c>
      <c r="E3788" s="35" t="s">
        <v>5150</v>
      </c>
      <c r="F3788" s="35" t="s">
        <v>58</v>
      </c>
      <c r="G3788" s="106" t="s">
        <v>5335</v>
      </c>
      <c r="H3788" s="33">
        <v>43252</v>
      </c>
      <c r="I3788" s="34" t="s">
        <v>5336</v>
      </c>
      <c r="J3788" s="36">
        <v>121.55</v>
      </c>
      <c r="K3788" t="s">
        <v>2030</v>
      </c>
    </row>
    <row r="3789" spans="1:11" x14ac:dyDescent="0.3">
      <c r="A3789" t="s">
        <v>818</v>
      </c>
      <c r="B3789" s="33">
        <v>43304</v>
      </c>
      <c r="C3789" s="34" t="s">
        <v>5331</v>
      </c>
      <c r="D3789" s="34">
        <v>1</v>
      </c>
      <c r="E3789" s="35" t="s">
        <v>5150</v>
      </c>
      <c r="F3789" s="35" t="s">
        <v>26</v>
      </c>
      <c r="G3789" s="106" t="s">
        <v>5337</v>
      </c>
      <c r="H3789" s="33">
        <v>43252</v>
      </c>
      <c r="I3789" s="34" t="s">
        <v>5338</v>
      </c>
      <c r="J3789" s="36">
        <v>233.75</v>
      </c>
      <c r="K3789" t="s">
        <v>2030</v>
      </c>
    </row>
    <row r="3790" spans="1:11" x14ac:dyDescent="0.3">
      <c r="A3790" t="s">
        <v>818</v>
      </c>
      <c r="B3790" s="33">
        <v>43304</v>
      </c>
      <c r="C3790" s="34" t="s">
        <v>5331</v>
      </c>
      <c r="D3790" s="34">
        <v>1</v>
      </c>
      <c r="E3790" s="35" t="s">
        <v>5150</v>
      </c>
      <c r="F3790" s="35" t="s">
        <v>23</v>
      </c>
      <c r="G3790" s="106" t="s">
        <v>5339</v>
      </c>
      <c r="H3790" s="33">
        <v>43252</v>
      </c>
      <c r="I3790" s="34" t="s">
        <v>5340</v>
      </c>
      <c r="J3790" s="36">
        <v>289.85000000000002</v>
      </c>
      <c r="K3790" t="s">
        <v>2030</v>
      </c>
    </row>
    <row r="3791" spans="1:11" x14ac:dyDescent="0.3">
      <c r="A3791" t="s">
        <v>818</v>
      </c>
      <c r="B3791" s="33">
        <v>43304</v>
      </c>
      <c r="C3791" s="34" t="s">
        <v>5331</v>
      </c>
      <c r="D3791" s="34">
        <v>1</v>
      </c>
      <c r="E3791" s="35" t="s">
        <v>5150</v>
      </c>
      <c r="F3791" s="35" t="s">
        <v>28</v>
      </c>
      <c r="G3791" s="106" t="s">
        <v>3966</v>
      </c>
      <c r="H3791" s="33">
        <v>43252</v>
      </c>
      <c r="I3791" s="34" t="s">
        <v>5341</v>
      </c>
      <c r="J3791" s="36">
        <v>130.9</v>
      </c>
      <c r="K3791" t="s">
        <v>2030</v>
      </c>
    </row>
    <row r="3792" spans="1:11" x14ac:dyDescent="0.3">
      <c r="A3792" t="s">
        <v>818</v>
      </c>
      <c r="B3792" s="33">
        <v>43304</v>
      </c>
      <c r="C3792" s="34" t="s">
        <v>5331</v>
      </c>
      <c r="D3792" s="34">
        <v>1</v>
      </c>
      <c r="E3792" s="35" t="s">
        <v>5150</v>
      </c>
      <c r="F3792" s="35" t="s">
        <v>20</v>
      </c>
      <c r="G3792" s="106" t="s">
        <v>5342</v>
      </c>
      <c r="H3792" s="33">
        <v>43252</v>
      </c>
      <c r="I3792" s="34" t="s">
        <v>5343</v>
      </c>
      <c r="J3792" s="36">
        <v>187</v>
      </c>
      <c r="K3792" t="s">
        <v>2030</v>
      </c>
    </row>
    <row r="3793" spans="1:11" x14ac:dyDescent="0.3">
      <c r="A3793" t="s">
        <v>818</v>
      </c>
      <c r="B3793" s="33">
        <v>43304</v>
      </c>
      <c r="C3793" s="34" t="s">
        <v>5331</v>
      </c>
      <c r="D3793" s="34">
        <v>1</v>
      </c>
      <c r="E3793" s="35" t="s">
        <v>5150</v>
      </c>
      <c r="F3793" s="35" t="s">
        <v>19</v>
      </c>
      <c r="G3793" s="106" t="s">
        <v>5342</v>
      </c>
      <c r="H3793" s="33">
        <v>43252</v>
      </c>
      <c r="I3793" s="34" t="s">
        <v>5344</v>
      </c>
      <c r="J3793" s="36">
        <v>233.75</v>
      </c>
      <c r="K3793" t="s">
        <v>2030</v>
      </c>
    </row>
    <row r="3794" spans="1:11" x14ac:dyDescent="0.3">
      <c r="A3794" t="s">
        <v>818</v>
      </c>
      <c r="B3794" s="33">
        <v>43304</v>
      </c>
      <c r="C3794" s="34" t="s">
        <v>5331</v>
      </c>
      <c r="D3794" s="34">
        <v>1</v>
      </c>
      <c r="E3794" s="35" t="s">
        <v>5150</v>
      </c>
      <c r="F3794" s="35" t="s">
        <v>12</v>
      </c>
      <c r="G3794" s="106" t="s">
        <v>3856</v>
      </c>
      <c r="H3794" s="33">
        <v>43252</v>
      </c>
      <c r="I3794" s="34" t="s">
        <v>5345</v>
      </c>
      <c r="J3794" s="36">
        <v>289.85000000000002</v>
      </c>
      <c r="K3794" t="s">
        <v>2030</v>
      </c>
    </row>
    <row r="3795" spans="1:11" x14ac:dyDescent="0.3">
      <c r="A3795" t="s">
        <v>818</v>
      </c>
      <c r="B3795" s="33">
        <v>43304</v>
      </c>
      <c r="C3795" s="34" t="s">
        <v>5331</v>
      </c>
      <c r="D3795" s="34">
        <v>1</v>
      </c>
      <c r="E3795" s="35" t="s">
        <v>5150</v>
      </c>
      <c r="F3795" s="35" t="s">
        <v>25</v>
      </c>
      <c r="G3795" s="106" t="s">
        <v>5346</v>
      </c>
      <c r="H3795" s="33">
        <v>43252</v>
      </c>
      <c r="I3795" s="34" t="s">
        <v>5347</v>
      </c>
      <c r="J3795" s="36">
        <v>289.85000000000002</v>
      </c>
      <c r="K3795" t="s">
        <v>2030</v>
      </c>
    </row>
    <row r="3796" spans="1:11" x14ac:dyDescent="0.3">
      <c r="A3796" t="s">
        <v>818</v>
      </c>
      <c r="B3796" s="33">
        <v>43304</v>
      </c>
      <c r="C3796" s="34" t="s">
        <v>5331</v>
      </c>
      <c r="D3796" s="34">
        <v>1</v>
      </c>
      <c r="E3796" s="35" t="s">
        <v>5150</v>
      </c>
      <c r="F3796" s="35" t="s">
        <v>21</v>
      </c>
      <c r="G3796" s="106" t="s">
        <v>5348</v>
      </c>
      <c r="H3796" s="33">
        <v>43252</v>
      </c>
      <c r="I3796" s="34" t="s">
        <v>5349</v>
      </c>
      <c r="J3796" s="36">
        <v>289.85000000000002</v>
      </c>
      <c r="K3796" t="s">
        <v>2030</v>
      </c>
    </row>
    <row r="3797" spans="1:11" x14ac:dyDescent="0.3">
      <c r="A3797" t="s">
        <v>818</v>
      </c>
      <c r="B3797" s="33">
        <v>43304</v>
      </c>
      <c r="C3797" s="34" t="s">
        <v>5331</v>
      </c>
      <c r="D3797" s="34">
        <v>1</v>
      </c>
      <c r="E3797" s="35" t="s">
        <v>5150</v>
      </c>
      <c r="F3797" s="35" t="s">
        <v>38</v>
      </c>
      <c r="G3797" s="106" t="s">
        <v>3966</v>
      </c>
      <c r="H3797" s="33">
        <v>43252</v>
      </c>
      <c r="I3797" s="34" t="s">
        <v>5350</v>
      </c>
      <c r="J3797" s="36">
        <v>121.55</v>
      </c>
      <c r="K3797" t="s">
        <v>2030</v>
      </c>
    </row>
    <row r="3798" spans="1:11" x14ac:dyDescent="0.3">
      <c r="A3798" t="s">
        <v>818</v>
      </c>
      <c r="B3798" s="33">
        <v>43304</v>
      </c>
      <c r="C3798" s="34" t="s">
        <v>5331</v>
      </c>
      <c r="D3798" s="34">
        <v>1</v>
      </c>
      <c r="E3798" s="35" t="s">
        <v>5150</v>
      </c>
      <c r="F3798" s="35" t="s">
        <v>39</v>
      </c>
      <c r="G3798" s="106" t="s">
        <v>5332</v>
      </c>
      <c r="H3798" s="33">
        <v>43252</v>
      </c>
      <c r="I3798" s="34" t="s">
        <v>5351</v>
      </c>
      <c r="J3798" s="36">
        <v>102.85</v>
      </c>
      <c r="K3798" t="s">
        <v>2030</v>
      </c>
    </row>
    <row r="3799" spans="1:11" x14ac:dyDescent="0.3">
      <c r="A3799" t="s">
        <v>818</v>
      </c>
      <c r="B3799" s="33">
        <v>43304</v>
      </c>
      <c r="C3799" s="34" t="s">
        <v>5331</v>
      </c>
      <c r="D3799" s="34">
        <v>1</v>
      </c>
      <c r="E3799" s="35" t="s">
        <v>5150</v>
      </c>
      <c r="F3799" s="35" t="s">
        <v>24</v>
      </c>
      <c r="G3799" s="106" t="s">
        <v>5346</v>
      </c>
      <c r="H3799" s="33">
        <v>43252</v>
      </c>
      <c r="I3799" s="34" t="s">
        <v>5352</v>
      </c>
      <c r="J3799" s="36">
        <v>289.85000000000002</v>
      </c>
      <c r="K3799" t="s">
        <v>2030</v>
      </c>
    </row>
    <row r="3800" spans="1:11" x14ac:dyDescent="0.3">
      <c r="A3800" t="s">
        <v>818</v>
      </c>
      <c r="B3800" s="33">
        <v>43304</v>
      </c>
      <c r="C3800" s="34" t="s">
        <v>5331</v>
      </c>
      <c r="D3800" s="34">
        <v>1</v>
      </c>
      <c r="E3800" s="35" t="s">
        <v>5150</v>
      </c>
      <c r="F3800" s="35" t="s">
        <v>22</v>
      </c>
      <c r="G3800" s="106" t="s">
        <v>5348</v>
      </c>
      <c r="H3800" s="33">
        <v>43252</v>
      </c>
      <c r="I3800" s="34" t="s">
        <v>5353</v>
      </c>
      <c r="J3800" s="36">
        <v>233.75</v>
      </c>
      <c r="K3800" t="s">
        <v>2030</v>
      </c>
    </row>
    <row r="3801" spans="1:11" x14ac:dyDescent="0.3">
      <c r="A3801" t="s">
        <v>818</v>
      </c>
      <c r="B3801" s="33">
        <v>43304</v>
      </c>
      <c r="C3801" s="34" t="s">
        <v>5331</v>
      </c>
      <c r="D3801" s="34">
        <v>1</v>
      </c>
      <c r="E3801" s="35" t="s">
        <v>5150</v>
      </c>
      <c r="F3801" s="35" t="s">
        <v>18</v>
      </c>
      <c r="G3801" s="106" t="s">
        <v>5342</v>
      </c>
      <c r="H3801" s="33">
        <v>43252</v>
      </c>
      <c r="I3801" s="34" t="s">
        <v>5354</v>
      </c>
      <c r="J3801" s="36">
        <v>187</v>
      </c>
      <c r="K3801" t="s">
        <v>2030</v>
      </c>
    </row>
    <row r="3802" spans="1:11" x14ac:dyDescent="0.3">
      <c r="A3802" t="s">
        <v>818</v>
      </c>
      <c r="B3802" s="33">
        <v>43304</v>
      </c>
      <c r="C3802" s="34" t="s">
        <v>5331</v>
      </c>
      <c r="D3802" s="34">
        <v>1</v>
      </c>
      <c r="E3802" s="35" t="s">
        <v>5150</v>
      </c>
      <c r="F3802" s="35" t="s">
        <v>16</v>
      </c>
      <c r="G3802" s="106" t="s">
        <v>5355</v>
      </c>
      <c r="H3802" s="33">
        <v>43252</v>
      </c>
      <c r="I3802" s="34" t="s">
        <v>5356</v>
      </c>
      <c r="J3802" s="36">
        <v>289.85000000000002</v>
      </c>
      <c r="K3802" t="s">
        <v>2030</v>
      </c>
    </row>
    <row r="3803" spans="1:11" x14ac:dyDescent="0.3">
      <c r="A3803" t="s">
        <v>818</v>
      </c>
      <c r="B3803" s="33">
        <v>43304</v>
      </c>
      <c r="C3803" s="34" t="s">
        <v>5331</v>
      </c>
      <c r="D3803" s="34">
        <v>1</v>
      </c>
      <c r="E3803" s="35" t="s">
        <v>5150</v>
      </c>
      <c r="F3803" s="35" t="s">
        <v>11</v>
      </c>
      <c r="G3803" s="106" t="s">
        <v>5357</v>
      </c>
      <c r="H3803" s="33">
        <v>43252</v>
      </c>
      <c r="I3803" s="34" t="s">
        <v>5358</v>
      </c>
      <c r="J3803" s="36">
        <v>233.75</v>
      </c>
      <c r="K3803" t="s">
        <v>2030</v>
      </c>
    </row>
    <row r="3804" spans="1:11" x14ac:dyDescent="0.3">
      <c r="A3804" t="s">
        <v>818</v>
      </c>
      <c r="B3804" s="33">
        <v>43304</v>
      </c>
      <c r="C3804" s="34" t="s">
        <v>5331</v>
      </c>
      <c r="D3804" s="34">
        <v>1</v>
      </c>
      <c r="E3804" s="35" t="s">
        <v>5150</v>
      </c>
      <c r="F3804" s="35" t="s">
        <v>37</v>
      </c>
      <c r="G3804" s="106" t="s">
        <v>3966</v>
      </c>
      <c r="H3804" s="33">
        <v>43252</v>
      </c>
      <c r="I3804" s="34" t="s">
        <v>5359</v>
      </c>
      <c r="J3804" s="36">
        <v>74.8</v>
      </c>
      <c r="K3804" t="s">
        <v>2030</v>
      </c>
    </row>
    <row r="3805" spans="1:11" x14ac:dyDescent="0.3">
      <c r="A3805" t="s">
        <v>818</v>
      </c>
      <c r="B3805" s="33">
        <v>43304</v>
      </c>
      <c r="C3805" s="34" t="s">
        <v>5331</v>
      </c>
      <c r="D3805" s="34">
        <v>1</v>
      </c>
      <c r="E3805" s="35" t="s">
        <v>5150</v>
      </c>
      <c r="F3805" s="35" t="s">
        <v>10</v>
      </c>
      <c r="G3805" s="106" t="s">
        <v>3856</v>
      </c>
      <c r="H3805" s="33">
        <v>43252</v>
      </c>
      <c r="I3805" s="34" t="s">
        <v>5360</v>
      </c>
      <c r="J3805" s="36">
        <v>196.35</v>
      </c>
      <c r="K3805" t="s">
        <v>2030</v>
      </c>
    </row>
    <row r="3806" spans="1:11" x14ac:dyDescent="0.3">
      <c r="A3806" t="s">
        <v>818</v>
      </c>
      <c r="B3806" s="33">
        <v>43304</v>
      </c>
      <c r="C3806" s="34" t="s">
        <v>5331</v>
      </c>
      <c r="D3806" s="34">
        <v>1</v>
      </c>
      <c r="E3806" s="35" t="s">
        <v>5150</v>
      </c>
      <c r="F3806" s="35" t="s">
        <v>27</v>
      </c>
      <c r="G3806" s="106" t="s">
        <v>5348</v>
      </c>
      <c r="H3806" s="33">
        <v>43252</v>
      </c>
      <c r="I3806" s="34" t="s">
        <v>5361</v>
      </c>
      <c r="J3806" s="36">
        <v>74.8</v>
      </c>
      <c r="K3806" t="s">
        <v>2030</v>
      </c>
    </row>
    <row r="3807" spans="1:11" x14ac:dyDescent="0.3">
      <c r="A3807" t="s">
        <v>818</v>
      </c>
      <c r="B3807" s="33">
        <v>43304</v>
      </c>
      <c r="C3807" s="34" t="s">
        <v>5331</v>
      </c>
      <c r="D3807" s="34">
        <v>1</v>
      </c>
      <c r="E3807" s="35" t="s">
        <v>5150</v>
      </c>
      <c r="F3807" s="35" t="s">
        <v>104</v>
      </c>
      <c r="G3807" s="106" t="s">
        <v>5357</v>
      </c>
      <c r="H3807" s="33">
        <v>43252</v>
      </c>
      <c r="I3807" s="34" t="s">
        <v>5362</v>
      </c>
      <c r="J3807" s="36">
        <v>289.85000000000002</v>
      </c>
      <c r="K3807" t="s">
        <v>2030</v>
      </c>
    </row>
    <row r="3808" spans="1:11" x14ac:dyDescent="0.3">
      <c r="A3808" t="s">
        <v>818</v>
      </c>
      <c r="B3808" s="33">
        <v>43304</v>
      </c>
      <c r="C3808" s="34" t="s">
        <v>5331</v>
      </c>
      <c r="D3808" s="34">
        <v>1</v>
      </c>
      <c r="E3808" s="35" t="s">
        <v>5150</v>
      </c>
      <c r="F3808" s="35" t="s">
        <v>92</v>
      </c>
      <c r="G3808" s="106" t="s">
        <v>5363</v>
      </c>
      <c r="H3808" s="33">
        <v>43252</v>
      </c>
      <c r="I3808" s="34" t="s">
        <v>5364</v>
      </c>
      <c r="J3808" s="36">
        <v>102.85</v>
      </c>
      <c r="K3808" t="s">
        <v>2030</v>
      </c>
    </row>
    <row r="3809" spans="1:11" x14ac:dyDescent="0.3">
      <c r="A3809" t="s">
        <v>818</v>
      </c>
      <c r="B3809" s="33">
        <v>43304</v>
      </c>
      <c r="C3809" s="34" t="s">
        <v>5331</v>
      </c>
      <c r="D3809" s="34">
        <v>1</v>
      </c>
      <c r="E3809" s="35" t="s">
        <v>5150</v>
      </c>
      <c r="F3809" s="35" t="s">
        <v>94</v>
      </c>
      <c r="G3809" s="106" t="s">
        <v>5365</v>
      </c>
      <c r="H3809" s="33">
        <v>43252</v>
      </c>
      <c r="I3809" s="34" t="s">
        <v>5366</v>
      </c>
      <c r="J3809" s="36">
        <v>65.45</v>
      </c>
      <c r="K3809" t="s">
        <v>2030</v>
      </c>
    </row>
    <row r="3810" spans="1:11" x14ac:dyDescent="0.3">
      <c r="A3810" t="s">
        <v>818</v>
      </c>
      <c r="B3810" s="33">
        <v>43304</v>
      </c>
      <c r="C3810" s="34" t="s">
        <v>5331</v>
      </c>
      <c r="D3810" s="34">
        <v>1</v>
      </c>
      <c r="E3810" s="35" t="s">
        <v>5150</v>
      </c>
      <c r="F3810" s="35" t="s">
        <v>93</v>
      </c>
      <c r="G3810" s="106" t="s">
        <v>5365</v>
      </c>
      <c r="H3810" s="33">
        <v>43252</v>
      </c>
      <c r="I3810" s="34" t="s">
        <v>5367</v>
      </c>
      <c r="J3810" s="36">
        <v>37.4</v>
      </c>
      <c r="K3810" t="s">
        <v>2030</v>
      </c>
    </row>
    <row r="3811" spans="1:11" x14ac:dyDescent="0.3">
      <c r="A3811" t="s">
        <v>818</v>
      </c>
      <c r="B3811" s="33">
        <v>43304</v>
      </c>
      <c r="C3811" s="34" t="s">
        <v>5331</v>
      </c>
      <c r="D3811" s="34">
        <v>1</v>
      </c>
      <c r="E3811" s="35" t="s">
        <v>5150</v>
      </c>
      <c r="F3811" s="35" t="s">
        <v>13</v>
      </c>
      <c r="G3811" s="106" t="s">
        <v>5368</v>
      </c>
      <c r="H3811" s="33">
        <v>43252</v>
      </c>
      <c r="I3811" s="34" t="s">
        <v>5369</v>
      </c>
      <c r="J3811" s="36">
        <v>289.85000000000002</v>
      </c>
      <c r="K3811" t="s">
        <v>2030</v>
      </c>
    </row>
    <row r="3812" spans="1:11" x14ac:dyDescent="0.3">
      <c r="A3812" t="s">
        <v>818</v>
      </c>
      <c r="B3812" s="33">
        <v>43304</v>
      </c>
      <c r="C3812" s="34" t="s">
        <v>5331</v>
      </c>
      <c r="D3812" s="34">
        <v>1</v>
      </c>
      <c r="E3812" s="35" t="s">
        <v>5150</v>
      </c>
      <c r="F3812" s="35" t="s">
        <v>91</v>
      </c>
      <c r="G3812" s="106" t="s">
        <v>5363</v>
      </c>
      <c r="H3812" s="33">
        <v>43252</v>
      </c>
      <c r="I3812" s="34" t="s">
        <v>5370</v>
      </c>
      <c r="J3812" s="36">
        <v>102.85</v>
      </c>
      <c r="K3812" t="s">
        <v>2030</v>
      </c>
    </row>
    <row r="3813" spans="1:11" x14ac:dyDescent="0.3">
      <c r="A3813" t="s">
        <v>818</v>
      </c>
      <c r="B3813" s="33">
        <v>43304</v>
      </c>
      <c r="C3813" s="34" t="s">
        <v>5331</v>
      </c>
      <c r="D3813" s="34">
        <v>1</v>
      </c>
      <c r="E3813" s="35" t="s">
        <v>5150</v>
      </c>
      <c r="F3813" s="35" t="s">
        <v>81</v>
      </c>
      <c r="G3813" s="106" t="s">
        <v>5371</v>
      </c>
      <c r="H3813" s="33">
        <v>43252</v>
      </c>
      <c r="I3813" s="34" t="s">
        <v>5372</v>
      </c>
      <c r="J3813" s="36">
        <v>158.94999999999999</v>
      </c>
      <c r="K3813" t="s">
        <v>2030</v>
      </c>
    </row>
    <row r="3814" spans="1:11" x14ac:dyDescent="0.3">
      <c r="A3814" t="s">
        <v>818</v>
      </c>
      <c r="B3814" s="33">
        <v>43304</v>
      </c>
      <c r="C3814" s="34" t="s">
        <v>5331</v>
      </c>
      <c r="D3814" s="34">
        <v>1</v>
      </c>
      <c r="E3814" s="35" t="s">
        <v>5150</v>
      </c>
      <c r="F3814" s="35" t="s">
        <v>9</v>
      </c>
      <c r="G3814" s="106" t="s">
        <v>3856</v>
      </c>
      <c r="H3814" s="33">
        <v>43252</v>
      </c>
      <c r="I3814" s="34" t="s">
        <v>5373</v>
      </c>
      <c r="J3814" s="36">
        <v>289.85000000000002</v>
      </c>
      <c r="K3814" t="s">
        <v>2030</v>
      </c>
    </row>
    <row r="3815" spans="1:11" x14ac:dyDescent="0.3">
      <c r="A3815" t="s">
        <v>818</v>
      </c>
      <c r="B3815" s="33">
        <v>43304</v>
      </c>
      <c r="C3815" s="34" t="s">
        <v>5331</v>
      </c>
      <c r="D3815" s="34">
        <v>1</v>
      </c>
      <c r="E3815" s="35" t="s">
        <v>5150</v>
      </c>
      <c r="F3815" s="35" t="s">
        <v>96</v>
      </c>
      <c r="G3815" s="106" t="s">
        <v>5374</v>
      </c>
      <c r="H3815" s="33">
        <v>43252</v>
      </c>
      <c r="I3815" s="34" t="s">
        <v>5375</v>
      </c>
      <c r="J3815" s="36">
        <v>28.05</v>
      </c>
      <c r="K3815" t="s">
        <v>2030</v>
      </c>
    </row>
    <row r="3816" spans="1:11" x14ac:dyDescent="0.3">
      <c r="A3816" t="s">
        <v>818</v>
      </c>
      <c r="B3816" s="33">
        <v>43304</v>
      </c>
      <c r="C3816" s="34" t="s">
        <v>5331</v>
      </c>
      <c r="D3816" s="34">
        <v>1</v>
      </c>
      <c r="E3816" s="35" t="s">
        <v>5150</v>
      </c>
      <c r="F3816" s="35" t="s">
        <v>82</v>
      </c>
      <c r="G3816" s="106" t="s">
        <v>5371</v>
      </c>
      <c r="H3816" s="33">
        <v>43252</v>
      </c>
      <c r="I3816" s="34" t="s">
        <v>5376</v>
      </c>
      <c r="J3816" s="36">
        <v>158.94999999999999</v>
      </c>
      <c r="K3816" t="s">
        <v>2030</v>
      </c>
    </row>
    <row r="3817" spans="1:11" x14ac:dyDescent="0.3">
      <c r="A3817" t="s">
        <v>818</v>
      </c>
      <c r="B3817" s="33">
        <v>43304</v>
      </c>
      <c r="C3817" s="34" t="s">
        <v>5331</v>
      </c>
      <c r="D3817" s="34">
        <v>1</v>
      </c>
      <c r="E3817" s="35" t="s">
        <v>5150</v>
      </c>
      <c r="F3817" s="35" t="s">
        <v>71</v>
      </c>
      <c r="G3817" s="106" t="s">
        <v>5377</v>
      </c>
      <c r="H3817" s="33">
        <v>43252</v>
      </c>
      <c r="I3817" s="34" t="s">
        <v>5378</v>
      </c>
      <c r="J3817" s="36">
        <v>168.3</v>
      </c>
      <c r="K3817" t="s">
        <v>2030</v>
      </c>
    </row>
    <row r="3818" spans="1:11" x14ac:dyDescent="0.3">
      <c r="A3818" t="s">
        <v>818</v>
      </c>
      <c r="B3818" s="33">
        <v>43304</v>
      </c>
      <c r="C3818" s="34" t="s">
        <v>5331</v>
      </c>
      <c r="D3818" s="34">
        <v>1</v>
      </c>
      <c r="E3818" s="35" t="s">
        <v>5150</v>
      </c>
      <c r="F3818" s="35" t="s">
        <v>67</v>
      </c>
      <c r="G3818" s="106" t="s">
        <v>5335</v>
      </c>
      <c r="H3818" s="33">
        <v>43252</v>
      </c>
      <c r="I3818" s="34" t="s">
        <v>5379</v>
      </c>
      <c r="J3818" s="36">
        <v>93.5</v>
      </c>
      <c r="K3818" t="s">
        <v>2030</v>
      </c>
    </row>
    <row r="3819" spans="1:11" x14ac:dyDescent="0.3">
      <c r="A3819" t="s">
        <v>818</v>
      </c>
      <c r="B3819" s="33">
        <v>43304</v>
      </c>
      <c r="C3819" s="34" t="s">
        <v>5331</v>
      </c>
      <c r="D3819" s="34">
        <v>1</v>
      </c>
      <c r="E3819" s="35" t="s">
        <v>5150</v>
      </c>
      <c r="F3819" s="35" t="s">
        <v>95</v>
      </c>
      <c r="G3819" s="106" t="s">
        <v>5374</v>
      </c>
      <c r="H3819" s="33">
        <v>43252</v>
      </c>
      <c r="I3819" s="34" t="s">
        <v>5380</v>
      </c>
      <c r="J3819" s="36">
        <v>74.8</v>
      </c>
      <c r="K3819" t="s">
        <v>2030</v>
      </c>
    </row>
    <row r="3820" spans="1:11" x14ac:dyDescent="0.3">
      <c r="A3820" t="s">
        <v>818</v>
      </c>
      <c r="B3820" s="33">
        <v>43304</v>
      </c>
      <c r="C3820" s="34" t="s">
        <v>5331</v>
      </c>
      <c r="D3820" s="34">
        <v>1</v>
      </c>
      <c r="E3820" s="35" t="s">
        <v>5150</v>
      </c>
      <c r="F3820" s="35" t="s">
        <v>88</v>
      </c>
      <c r="G3820" s="106" t="s">
        <v>5365</v>
      </c>
      <c r="H3820" s="33">
        <v>43252</v>
      </c>
      <c r="I3820" s="34" t="s">
        <v>5381</v>
      </c>
      <c r="J3820" s="36">
        <v>93.5</v>
      </c>
      <c r="K3820" t="s">
        <v>2030</v>
      </c>
    </row>
    <row r="3821" spans="1:11" x14ac:dyDescent="0.3">
      <c r="A3821" t="s">
        <v>818</v>
      </c>
      <c r="B3821" s="33">
        <v>43304</v>
      </c>
      <c r="C3821" s="34" t="s">
        <v>5331</v>
      </c>
      <c r="D3821" s="34">
        <v>1</v>
      </c>
      <c r="E3821" s="35" t="s">
        <v>5150</v>
      </c>
      <c r="F3821" s="35" t="s">
        <v>87</v>
      </c>
      <c r="G3821" s="106" t="s">
        <v>5382</v>
      </c>
      <c r="H3821" s="33">
        <v>43252</v>
      </c>
      <c r="I3821" s="34" t="s">
        <v>5383</v>
      </c>
      <c r="J3821" s="36">
        <v>121.55</v>
      </c>
      <c r="K3821" t="s">
        <v>2030</v>
      </c>
    </row>
    <row r="3822" spans="1:11" x14ac:dyDescent="0.3">
      <c r="A3822" t="s">
        <v>818</v>
      </c>
      <c r="B3822" s="33">
        <v>43304</v>
      </c>
      <c r="C3822" s="34" t="s">
        <v>5331</v>
      </c>
      <c r="D3822" s="34">
        <v>1</v>
      </c>
      <c r="E3822" s="35" t="s">
        <v>5150</v>
      </c>
      <c r="F3822" s="35" t="s">
        <v>79</v>
      </c>
      <c r="G3822" s="106" t="s">
        <v>5384</v>
      </c>
      <c r="H3822" s="33">
        <v>43252</v>
      </c>
      <c r="I3822" s="34" t="s">
        <v>5385</v>
      </c>
      <c r="J3822" s="36">
        <v>93.5</v>
      </c>
      <c r="K3822" t="s">
        <v>2030</v>
      </c>
    </row>
    <row r="3823" spans="1:11" x14ac:dyDescent="0.3">
      <c r="A3823" t="s">
        <v>818</v>
      </c>
      <c r="B3823" s="33">
        <v>43304</v>
      </c>
      <c r="C3823" s="34" t="s">
        <v>5331</v>
      </c>
      <c r="D3823" s="34">
        <v>1</v>
      </c>
      <c r="E3823" s="35" t="s">
        <v>5150</v>
      </c>
      <c r="F3823" s="35" t="s">
        <v>70</v>
      </c>
      <c r="G3823" s="106" t="s">
        <v>5335</v>
      </c>
      <c r="H3823" s="33">
        <v>43252</v>
      </c>
      <c r="I3823" s="34" t="s">
        <v>5386</v>
      </c>
      <c r="J3823" s="36">
        <v>140.25</v>
      </c>
      <c r="K3823" t="s">
        <v>2030</v>
      </c>
    </row>
    <row r="3824" spans="1:11" x14ac:dyDescent="0.3">
      <c r="A3824" t="s">
        <v>1550</v>
      </c>
      <c r="B3824" s="33">
        <v>43304</v>
      </c>
      <c r="C3824" s="34" t="s">
        <v>5331</v>
      </c>
      <c r="D3824" s="34">
        <v>1</v>
      </c>
      <c r="E3824" s="35" t="s">
        <v>5391</v>
      </c>
      <c r="F3824" s="35" t="s">
        <v>4157</v>
      </c>
      <c r="G3824" s="106" t="s">
        <v>3852</v>
      </c>
      <c r="H3824" s="33">
        <v>43270</v>
      </c>
      <c r="I3824" s="34" t="s">
        <v>5392</v>
      </c>
      <c r="J3824" s="36">
        <v>2296.29</v>
      </c>
      <c r="K3824" t="s">
        <v>2030</v>
      </c>
    </row>
  </sheetData>
  <pageMargins left="0.7" right="0.7" top="0.75" bottom="0.75" header="0.3" footer="0.3"/>
  <pageSetup orientation="portrait" horizontalDpi="200" verticalDpi="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C29"/>
  <sheetViews>
    <sheetView zoomScale="70" zoomScaleNormal="70" workbookViewId="0">
      <selection activeCell="U5" sqref="U5"/>
    </sheetView>
  </sheetViews>
  <sheetFormatPr defaultRowHeight="14.4" x14ac:dyDescent="0.3"/>
  <cols>
    <col min="1" max="1" width="11.21875" bestFit="1" customWidth="1"/>
    <col min="2" max="2" width="12.6640625" bestFit="1" customWidth="1"/>
    <col min="3" max="3" width="10.44140625" bestFit="1" customWidth="1"/>
    <col min="4" max="4" width="13.77734375" bestFit="1" customWidth="1"/>
    <col min="5" max="5" width="4.109375" customWidth="1"/>
    <col min="6" max="6" width="11.109375" bestFit="1" customWidth="1"/>
    <col min="7" max="7" width="11.5546875" bestFit="1" customWidth="1"/>
    <col min="8" max="8" width="5.21875" bestFit="1" customWidth="1"/>
    <col min="9" max="9" width="13.77734375" bestFit="1" customWidth="1"/>
    <col min="10" max="10" width="4.6640625" customWidth="1"/>
    <col min="11" max="11" width="11.21875" bestFit="1" customWidth="1"/>
    <col min="12" max="13" width="12.6640625" bestFit="1" customWidth="1"/>
    <col min="14" max="14" width="13.77734375" bestFit="1" customWidth="1"/>
    <col min="15" max="15" width="4.33203125" customWidth="1"/>
    <col min="16" max="16" width="11.21875" bestFit="1" customWidth="1"/>
    <col min="17" max="18" width="10.44140625" bestFit="1" customWidth="1"/>
    <col min="19" max="19" width="13.77734375" bestFit="1" customWidth="1"/>
    <col min="20" max="20" width="4" customWidth="1"/>
    <col min="21" max="21" width="14.5546875" bestFit="1" customWidth="1"/>
    <col min="22" max="23" width="12.6640625" bestFit="1" customWidth="1"/>
    <col min="24" max="24" width="13.77734375" bestFit="1" customWidth="1"/>
    <col min="25" max="25" width="5.109375" customWidth="1"/>
    <col min="26" max="26" width="11.21875" bestFit="1" customWidth="1"/>
    <col min="27" max="27" width="12.21875" bestFit="1" customWidth="1"/>
    <col min="28" max="28" width="5.21875" bestFit="1" customWidth="1"/>
    <col min="29" max="29" width="13.77734375" bestFit="1" customWidth="1"/>
  </cols>
  <sheetData>
    <row r="1" spans="1:29" x14ac:dyDescent="0.3">
      <c r="A1" s="42" t="s">
        <v>2229</v>
      </c>
      <c r="B1" t="s">
        <v>2230</v>
      </c>
      <c r="F1" s="42" t="s">
        <v>2229</v>
      </c>
      <c r="G1" t="s">
        <v>2230</v>
      </c>
      <c r="K1" s="42" t="s">
        <v>2229</v>
      </c>
      <c r="L1" t="s">
        <v>2230</v>
      </c>
      <c r="P1" s="42" t="s">
        <v>2229</v>
      </c>
      <c r="Q1" t="s">
        <v>2230</v>
      </c>
      <c r="U1" s="42" t="s">
        <v>2229</v>
      </c>
      <c r="V1" t="s">
        <v>2230</v>
      </c>
      <c r="Z1" s="42" t="s">
        <v>2229</v>
      </c>
      <c r="AA1" t="s">
        <v>2230</v>
      </c>
    </row>
    <row r="3" spans="1:29" x14ac:dyDescent="0.3">
      <c r="A3" s="16" t="s">
        <v>812</v>
      </c>
      <c r="B3" t="s">
        <v>814</v>
      </c>
      <c r="C3" t="s">
        <v>815</v>
      </c>
      <c r="D3" t="s">
        <v>816</v>
      </c>
      <c r="F3" s="16" t="s">
        <v>813</v>
      </c>
      <c r="G3" t="s">
        <v>814</v>
      </c>
      <c r="H3" t="s">
        <v>815</v>
      </c>
      <c r="I3" t="s">
        <v>816</v>
      </c>
      <c r="K3" s="16" t="s">
        <v>817</v>
      </c>
      <c r="L3" t="s">
        <v>814</v>
      </c>
      <c r="M3" t="s">
        <v>815</v>
      </c>
      <c r="N3" t="s">
        <v>816</v>
      </c>
      <c r="P3" s="16" t="s">
        <v>1550</v>
      </c>
      <c r="Q3" t="s">
        <v>814</v>
      </c>
      <c r="R3" t="s">
        <v>815</v>
      </c>
      <c r="S3" t="s">
        <v>816</v>
      </c>
      <c r="U3" s="16" t="s">
        <v>818</v>
      </c>
      <c r="V3" t="s">
        <v>814</v>
      </c>
      <c r="W3" t="s">
        <v>815</v>
      </c>
      <c r="X3" t="s">
        <v>816</v>
      </c>
      <c r="Z3" s="37" t="s">
        <v>2033</v>
      </c>
      <c r="AA3" t="s">
        <v>814</v>
      </c>
      <c r="AB3" t="s">
        <v>815</v>
      </c>
      <c r="AC3" t="s">
        <v>816</v>
      </c>
    </row>
    <row r="4" spans="1:29" x14ac:dyDescent="0.3">
      <c r="A4" s="17" t="s">
        <v>5138</v>
      </c>
      <c r="B4" s="5">
        <v>1202.8</v>
      </c>
      <c r="C4" s="5"/>
      <c r="D4" s="5">
        <v>1202.8</v>
      </c>
      <c r="F4" s="17" t="s">
        <v>2199</v>
      </c>
      <c r="G4" s="5">
        <v>15762</v>
      </c>
      <c r="H4" s="5"/>
      <c r="I4" s="5">
        <v>15762</v>
      </c>
      <c r="K4" s="17" t="s">
        <v>2155</v>
      </c>
      <c r="L4" s="5">
        <v>540</v>
      </c>
      <c r="M4" s="5"/>
      <c r="N4" s="5">
        <v>540</v>
      </c>
      <c r="P4" s="17" t="s">
        <v>2152</v>
      </c>
      <c r="Q4" s="5">
        <v>496</v>
      </c>
      <c r="R4" s="5"/>
      <c r="S4" s="5">
        <v>496</v>
      </c>
      <c r="U4" s="17" t="s">
        <v>5177</v>
      </c>
      <c r="V4" s="5">
        <v>598.4</v>
      </c>
      <c r="W4" s="5"/>
      <c r="X4" s="5">
        <v>598.4</v>
      </c>
      <c r="Z4" s="17" t="s">
        <v>2032</v>
      </c>
      <c r="AA4" s="5">
        <v>248</v>
      </c>
      <c r="AB4" s="5"/>
      <c r="AC4" s="5">
        <v>248</v>
      </c>
    </row>
    <row r="5" spans="1:29" x14ac:dyDescent="0.3">
      <c r="A5" s="17" t="s">
        <v>2054</v>
      </c>
      <c r="B5" s="5">
        <v>240</v>
      </c>
      <c r="C5" s="5"/>
      <c r="D5" s="5">
        <v>240</v>
      </c>
      <c r="F5" s="17" t="s">
        <v>2200</v>
      </c>
      <c r="G5" s="5">
        <v>15879</v>
      </c>
      <c r="H5" s="5"/>
      <c r="I5" s="5">
        <v>15879</v>
      </c>
      <c r="K5" s="17" t="s">
        <v>2165</v>
      </c>
      <c r="L5" s="5">
        <v>51732</v>
      </c>
      <c r="M5" s="5">
        <v>49812</v>
      </c>
      <c r="N5" s="5">
        <v>1920</v>
      </c>
      <c r="P5" s="17" t="s">
        <v>3753</v>
      </c>
      <c r="Q5" s="5">
        <v>516.15</v>
      </c>
      <c r="R5" s="5">
        <v>516.15</v>
      </c>
      <c r="S5" s="5">
        <v>0</v>
      </c>
      <c r="U5" s="17" t="s">
        <v>2149</v>
      </c>
      <c r="V5" s="5">
        <v>1645.6000000000001</v>
      </c>
      <c r="W5" s="5">
        <v>1150.05</v>
      </c>
      <c r="X5" s="5">
        <v>495.54999999999995</v>
      </c>
      <c r="Z5" s="17" t="s">
        <v>2035</v>
      </c>
      <c r="AA5" s="5">
        <v>248</v>
      </c>
      <c r="AB5" s="5"/>
      <c r="AC5" s="5">
        <v>248</v>
      </c>
    </row>
    <row r="6" spans="1:29" x14ac:dyDescent="0.3">
      <c r="A6" s="17" t="s">
        <v>2139</v>
      </c>
      <c r="B6" s="5">
        <v>37429.090000000004</v>
      </c>
      <c r="C6" s="5"/>
      <c r="D6" s="5">
        <v>37429.090000000004</v>
      </c>
      <c r="F6" s="17" t="s">
        <v>811</v>
      </c>
      <c r="G6" s="5">
        <v>31641</v>
      </c>
      <c r="H6" s="5"/>
      <c r="I6" s="5">
        <v>31641</v>
      </c>
      <c r="K6" s="17" t="s">
        <v>2166</v>
      </c>
      <c r="L6" s="5">
        <v>53456.4</v>
      </c>
      <c r="M6" s="5">
        <v>51472.4</v>
      </c>
      <c r="N6" s="5">
        <v>1984</v>
      </c>
      <c r="P6" s="17" t="s">
        <v>4156</v>
      </c>
      <c r="Q6" s="5">
        <v>2296.29</v>
      </c>
      <c r="R6" s="5">
        <v>2296.29</v>
      </c>
      <c r="S6" s="5">
        <v>0</v>
      </c>
      <c r="U6" s="17" t="s">
        <v>2151</v>
      </c>
      <c r="V6" s="5">
        <v>299.2</v>
      </c>
      <c r="W6" s="5"/>
      <c r="X6" s="5">
        <v>299.2</v>
      </c>
      <c r="Z6" s="17" t="s">
        <v>2036</v>
      </c>
      <c r="AA6" s="5">
        <v>224</v>
      </c>
      <c r="AB6" s="5"/>
      <c r="AC6" s="5">
        <v>224</v>
      </c>
    </row>
    <row r="7" spans="1:29" x14ac:dyDescent="0.3">
      <c r="A7" s="17" t="s">
        <v>2140</v>
      </c>
      <c r="B7" s="5">
        <v>4309</v>
      </c>
      <c r="C7" s="5"/>
      <c r="D7" s="5">
        <v>4309</v>
      </c>
      <c r="K7" s="17" t="s">
        <v>2156</v>
      </c>
      <c r="L7" s="5">
        <v>7840</v>
      </c>
      <c r="M7" s="5"/>
      <c r="N7" s="5">
        <v>7840</v>
      </c>
      <c r="P7" s="17" t="s">
        <v>4159</v>
      </c>
      <c r="Q7" s="5">
        <v>1470</v>
      </c>
      <c r="R7" s="5"/>
      <c r="S7" s="5">
        <v>1470</v>
      </c>
      <c r="U7" s="17" t="s">
        <v>2146</v>
      </c>
      <c r="V7" s="5">
        <v>116955.00000000049</v>
      </c>
      <c r="W7" s="5">
        <v>116188.30000000048</v>
      </c>
      <c r="X7" s="5">
        <v>766.7</v>
      </c>
      <c r="Z7" s="17" t="s">
        <v>2037</v>
      </c>
      <c r="AA7" s="5">
        <v>240</v>
      </c>
      <c r="AB7" s="5"/>
      <c r="AC7" s="5">
        <v>240</v>
      </c>
    </row>
    <row r="8" spans="1:29" x14ac:dyDescent="0.3">
      <c r="A8" s="17" t="s">
        <v>2141</v>
      </c>
      <c r="B8" s="5">
        <v>2881</v>
      </c>
      <c r="C8" s="5"/>
      <c r="D8" s="5">
        <v>2881</v>
      </c>
      <c r="K8" s="17" t="s">
        <v>2157</v>
      </c>
      <c r="L8" s="5">
        <v>8680</v>
      </c>
      <c r="M8" s="5"/>
      <c r="N8" s="5">
        <v>8680</v>
      </c>
      <c r="P8" s="17" t="s">
        <v>811</v>
      </c>
      <c r="Q8" s="5">
        <v>4778.4400000000005</v>
      </c>
      <c r="R8" s="5">
        <v>2812.44</v>
      </c>
      <c r="S8" s="5">
        <v>1966</v>
      </c>
      <c r="U8" s="17" t="s">
        <v>3730</v>
      </c>
      <c r="V8" s="5">
        <v>120853.49999999975</v>
      </c>
      <c r="W8" s="5">
        <v>120348.59999999976</v>
      </c>
      <c r="X8" s="5">
        <v>504.9</v>
      </c>
      <c r="Z8" s="17" t="s">
        <v>2144</v>
      </c>
      <c r="AA8" s="5">
        <v>248</v>
      </c>
      <c r="AB8" s="5"/>
      <c r="AC8" s="5">
        <v>248</v>
      </c>
    </row>
    <row r="9" spans="1:29" x14ac:dyDescent="0.3">
      <c r="A9" s="17" t="s">
        <v>2142</v>
      </c>
      <c r="B9" s="5">
        <v>460.5</v>
      </c>
      <c r="C9" s="5"/>
      <c r="D9" s="5">
        <v>460.5</v>
      </c>
      <c r="K9" s="17" t="s">
        <v>2158</v>
      </c>
      <c r="L9" s="5">
        <v>8400</v>
      </c>
      <c r="M9" s="5"/>
      <c r="N9" s="5">
        <v>8400</v>
      </c>
      <c r="U9" s="17" t="s">
        <v>4133</v>
      </c>
      <c r="V9" s="5">
        <v>116955.00000000052</v>
      </c>
      <c r="W9" s="5">
        <v>116655.80000000051</v>
      </c>
      <c r="X9" s="5">
        <v>299.20000000000005</v>
      </c>
      <c r="Z9" s="17" t="s">
        <v>2686</v>
      </c>
      <c r="AA9" s="5">
        <v>240</v>
      </c>
      <c r="AB9" s="5"/>
      <c r="AC9" s="5">
        <v>240</v>
      </c>
    </row>
    <row r="10" spans="1:29" x14ac:dyDescent="0.3">
      <c r="A10" s="17" t="s">
        <v>2217</v>
      </c>
      <c r="B10" s="5">
        <v>1202.8</v>
      </c>
      <c r="C10" s="5"/>
      <c r="D10" s="5">
        <v>1202.8</v>
      </c>
      <c r="K10" s="17" t="s">
        <v>2159</v>
      </c>
      <c r="L10" s="5">
        <v>8680</v>
      </c>
      <c r="M10" s="5"/>
      <c r="N10" s="5">
        <v>8680</v>
      </c>
      <c r="U10" s="17" t="s">
        <v>4170</v>
      </c>
      <c r="V10" s="5">
        <v>8625</v>
      </c>
      <c r="W10" s="5"/>
      <c r="X10" s="5">
        <v>8625</v>
      </c>
      <c r="Z10" s="17" t="s">
        <v>4169</v>
      </c>
      <c r="AA10" s="5">
        <v>248</v>
      </c>
      <c r="AB10" s="5"/>
      <c r="AC10" s="5">
        <v>248</v>
      </c>
    </row>
    <row r="11" spans="1:29" x14ac:dyDescent="0.3">
      <c r="A11" s="17" t="s">
        <v>2218</v>
      </c>
      <c r="B11" s="5">
        <v>1164</v>
      </c>
      <c r="C11" s="5"/>
      <c r="D11" s="5">
        <v>1164</v>
      </c>
      <c r="K11" s="17" t="s">
        <v>3749</v>
      </c>
      <c r="L11" s="5">
        <v>8400</v>
      </c>
      <c r="M11" s="5"/>
      <c r="N11" s="5">
        <v>8400</v>
      </c>
      <c r="U11" s="17" t="s">
        <v>811</v>
      </c>
      <c r="V11" s="5">
        <v>365931.70000000077</v>
      </c>
      <c r="W11" s="5">
        <v>354342.75000000076</v>
      </c>
      <c r="X11" s="5">
        <v>11588.95</v>
      </c>
      <c r="Z11" s="17" t="s">
        <v>811</v>
      </c>
      <c r="AA11" s="5">
        <v>1696</v>
      </c>
      <c r="AB11" s="5"/>
      <c r="AC11" s="5">
        <v>1696</v>
      </c>
    </row>
    <row r="12" spans="1:29" x14ac:dyDescent="0.3">
      <c r="A12" s="17" t="s">
        <v>2684</v>
      </c>
      <c r="B12" s="5">
        <v>1202.8</v>
      </c>
      <c r="C12" s="5">
        <v>1164.8</v>
      </c>
      <c r="D12" s="5">
        <v>38</v>
      </c>
      <c r="K12" s="17" t="s">
        <v>4126</v>
      </c>
      <c r="L12" s="5">
        <v>45511.100000000006</v>
      </c>
      <c r="M12" s="5"/>
      <c r="N12" s="5">
        <v>45511.100000000006</v>
      </c>
    </row>
    <row r="13" spans="1:29" x14ac:dyDescent="0.3">
      <c r="A13" s="17" t="s">
        <v>4130</v>
      </c>
      <c r="B13" s="5">
        <v>57297.299999999988</v>
      </c>
      <c r="C13" s="5"/>
      <c r="D13" s="5">
        <v>57297.299999999988</v>
      </c>
      <c r="K13" s="17" t="s">
        <v>4171</v>
      </c>
      <c r="L13" s="5">
        <v>2790</v>
      </c>
      <c r="M13" s="5"/>
      <c r="N13" s="5">
        <v>2790</v>
      </c>
    </row>
    <row r="14" spans="1:29" x14ac:dyDescent="0.3">
      <c r="A14" s="17" t="s">
        <v>4164</v>
      </c>
      <c r="B14" s="5">
        <v>1164</v>
      </c>
      <c r="C14" s="5"/>
      <c r="D14" s="5">
        <v>1164</v>
      </c>
      <c r="K14" s="17" t="s">
        <v>2163</v>
      </c>
      <c r="L14" s="5">
        <v>-2396.15</v>
      </c>
      <c r="M14" s="5"/>
      <c r="N14" s="5">
        <v>-2396.15</v>
      </c>
    </row>
    <row r="15" spans="1:29" x14ac:dyDescent="0.3">
      <c r="A15" s="17" t="s">
        <v>811</v>
      </c>
      <c r="B15" s="5">
        <v>108553.29000000001</v>
      </c>
      <c r="C15" s="5">
        <v>1164.8</v>
      </c>
      <c r="D15" s="5">
        <v>107388.48999999999</v>
      </c>
      <c r="K15" s="17" t="s">
        <v>2161</v>
      </c>
      <c r="L15" s="5">
        <v>8680</v>
      </c>
      <c r="M15" s="5"/>
      <c r="N15" s="5">
        <v>8680</v>
      </c>
    </row>
    <row r="16" spans="1:29" x14ac:dyDescent="0.3">
      <c r="K16" s="17" t="s">
        <v>4129</v>
      </c>
      <c r="L16" s="5">
        <v>3725.75</v>
      </c>
      <c r="M16" s="5"/>
      <c r="N16" s="5">
        <v>3725.75</v>
      </c>
    </row>
    <row r="17" spans="11:27" x14ac:dyDescent="0.3">
      <c r="K17" s="17" t="s">
        <v>811</v>
      </c>
      <c r="L17" s="5">
        <v>206039.1</v>
      </c>
      <c r="M17" s="5">
        <v>101284.4</v>
      </c>
      <c r="N17" s="5">
        <v>104754.70000000001</v>
      </c>
    </row>
    <row r="25" spans="11:27" x14ac:dyDescent="0.3">
      <c r="V25" s="16" t="s">
        <v>3732</v>
      </c>
      <c r="W25" s="83" t="s">
        <v>3733</v>
      </c>
      <c r="Z25" s="37" t="s">
        <v>3718</v>
      </c>
      <c r="AA25" s="83" t="s">
        <v>3719</v>
      </c>
    </row>
    <row r="26" spans="11:27" x14ac:dyDescent="0.3">
      <c r="V26" s="17" t="s">
        <v>812</v>
      </c>
      <c r="W26" s="5">
        <v>61000.69</v>
      </c>
      <c r="Z26" s="17" t="s">
        <v>812</v>
      </c>
      <c r="AA26" s="5">
        <v>-24</v>
      </c>
    </row>
    <row r="27" spans="11:27" x14ac:dyDescent="0.3">
      <c r="V27" s="17" t="s">
        <v>813</v>
      </c>
      <c r="W27" s="5">
        <v>2100</v>
      </c>
      <c r="Z27" s="17" t="s">
        <v>817</v>
      </c>
      <c r="AA27" s="5">
        <v>-744</v>
      </c>
    </row>
    <row r="28" spans="11:27" x14ac:dyDescent="0.3">
      <c r="V28" s="17" t="s">
        <v>817</v>
      </c>
      <c r="W28" s="5">
        <v>40397.5</v>
      </c>
      <c r="Z28" s="17" t="s">
        <v>818</v>
      </c>
      <c r="AA28" s="5">
        <v>-29513.78</v>
      </c>
    </row>
    <row r="29" spans="11:27" x14ac:dyDescent="0.3">
      <c r="V29" s="17" t="s">
        <v>811</v>
      </c>
      <c r="W29" s="5">
        <v>103498.19</v>
      </c>
      <c r="Z29" s="17" t="s">
        <v>811</v>
      </c>
      <c r="AA29" s="5">
        <v>-30281.78</v>
      </c>
    </row>
  </sheetData>
  <pageMargins left="0.7" right="0.7" top="0.75" bottom="0.75" header="0.3" footer="0.3"/>
  <pageSetup orientation="portrait" horizontalDpi="200" verticalDpi="200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2" name="Button 1">
              <controlPr defaultSize="0" print="0" autoFill="0" autoPict="0" macro="[0]!Update_Pivots">
                <anchor moveWithCells="1" sizeWithCells="1">
                  <from>
                    <xdr:col>6</xdr:col>
                    <xdr:colOff>480060</xdr:colOff>
                    <xdr:row>31</xdr:row>
                    <xdr:rowOff>22860</xdr:rowOff>
                  </from>
                  <to>
                    <xdr:col>11</xdr:col>
                    <xdr:colOff>144780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13" name="Button 2">
              <controlPr defaultSize="0" print="0" autoFill="0" autoPict="0" macro="[0]!Clear_Zeroes">
                <anchor moveWithCells="1" sizeWithCells="1">
                  <from>
                    <xdr:col>15</xdr:col>
                    <xdr:colOff>647700</xdr:colOff>
                    <xdr:row>31</xdr:row>
                    <xdr:rowOff>7620</xdr:rowOff>
                  </from>
                  <to>
                    <xdr:col>20</xdr:col>
                    <xdr:colOff>281940</xdr:colOff>
                    <xdr:row>37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14" name="Button 3">
              <controlPr defaultSize="0" print="0" autoFill="0" autoPict="0" macro="[0]!SchPayReceived">
                <anchor moveWithCells="1" sizeWithCells="1">
                  <from>
                    <xdr:col>11</xdr:col>
                    <xdr:colOff>525780</xdr:colOff>
                    <xdr:row>31</xdr:row>
                    <xdr:rowOff>22860</xdr:rowOff>
                  </from>
                  <to>
                    <xdr:col>15</xdr:col>
                    <xdr:colOff>182880</xdr:colOff>
                    <xdr:row>37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F2"/>
  <sheetViews>
    <sheetView workbookViewId="0">
      <selection activeCell="F2" sqref="F2"/>
    </sheetView>
  </sheetViews>
  <sheetFormatPr defaultRowHeight="14.4" x14ac:dyDescent="0.3"/>
  <cols>
    <col min="1" max="1" width="10.21875" customWidth="1"/>
    <col min="2" max="2" width="14.109375" customWidth="1"/>
    <col min="3" max="3" width="10.88671875" style="7" customWidth="1"/>
    <col min="4" max="4" width="11" customWidth="1"/>
    <col min="5" max="5" width="15.88671875" bestFit="1" customWidth="1"/>
    <col min="6" max="6" width="15.44140625" bestFit="1" customWidth="1"/>
  </cols>
  <sheetData>
    <row r="1" spans="1:6" x14ac:dyDescent="0.3">
      <c r="A1" t="s">
        <v>2031</v>
      </c>
      <c r="B1" t="s">
        <v>4341</v>
      </c>
      <c r="C1" s="7" t="s">
        <v>3715</v>
      </c>
      <c r="D1" t="s">
        <v>4342</v>
      </c>
      <c r="E1" t="s">
        <v>5133</v>
      </c>
      <c r="F1" t="s">
        <v>5131</v>
      </c>
    </row>
    <row r="2" spans="1:6" x14ac:dyDescent="0.3">
      <c r="D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H17"/>
  <sheetViews>
    <sheetView workbookViewId="0">
      <selection activeCell="F15" sqref="F15"/>
    </sheetView>
  </sheetViews>
  <sheetFormatPr defaultRowHeight="14.4" x14ac:dyDescent="0.3"/>
  <cols>
    <col min="1" max="1" width="10.21875" customWidth="1"/>
    <col min="2" max="2" width="15.44140625" bestFit="1" customWidth="1"/>
    <col min="3" max="3" width="12.109375" style="5" bestFit="1" customWidth="1"/>
    <col min="4" max="4" width="11" customWidth="1"/>
    <col min="5" max="5" width="11.109375" customWidth="1"/>
    <col min="6" max="6" width="14.88671875" customWidth="1"/>
    <col min="7" max="7" width="16.21875" bestFit="1" customWidth="1"/>
    <col min="12" max="12" width="20" bestFit="1" customWidth="1"/>
    <col min="13" max="13" width="11.5546875" bestFit="1" customWidth="1"/>
    <col min="14" max="14" width="11.109375" bestFit="1" customWidth="1"/>
  </cols>
  <sheetData>
    <row r="1" spans="1:8" x14ac:dyDescent="0.3">
      <c r="A1" s="119" t="s">
        <v>2031</v>
      </c>
      <c r="B1" s="120" t="s">
        <v>4341</v>
      </c>
      <c r="C1" s="121" t="s">
        <v>3715</v>
      </c>
      <c r="D1" s="120" t="s">
        <v>4342</v>
      </c>
      <c r="E1" s="120" t="s">
        <v>5135</v>
      </c>
      <c r="F1" s="122" t="s">
        <v>5133</v>
      </c>
      <c r="G1" s="120" t="s">
        <v>5131</v>
      </c>
      <c r="H1" s="120" t="s">
        <v>5438</v>
      </c>
    </row>
    <row r="2" spans="1:8" x14ac:dyDescent="0.3">
      <c r="D2" s="2"/>
      <c r="E2" s="2"/>
      <c r="G2" s="15"/>
    </row>
    <row r="12" spans="1:8" x14ac:dyDescent="0.3">
      <c r="C12"/>
    </row>
    <row r="13" spans="1:8" x14ac:dyDescent="0.3">
      <c r="C13"/>
    </row>
    <row r="14" spans="1:8" x14ac:dyDescent="0.3">
      <c r="C14"/>
    </row>
    <row r="15" spans="1:8" x14ac:dyDescent="0.3">
      <c r="C15"/>
    </row>
    <row r="16" spans="1:8" x14ac:dyDescent="0.3">
      <c r="C16"/>
    </row>
    <row r="17" spans="3:3" x14ac:dyDescent="0.3">
      <c r="C1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G20"/>
  <sheetViews>
    <sheetView workbookViewId="0">
      <selection activeCell="I19" sqref="I19"/>
    </sheetView>
  </sheetViews>
  <sheetFormatPr defaultRowHeight="14.4" x14ac:dyDescent="0.3"/>
  <cols>
    <col min="1" max="1" width="12.77734375" bestFit="1" customWidth="1"/>
    <col min="2" max="2" width="17.33203125" bestFit="1" customWidth="1"/>
    <col min="3" max="3" width="13.44140625" style="5" bestFit="1" customWidth="1"/>
    <col min="4" max="4" width="18.88671875" style="2" bestFit="1" customWidth="1"/>
    <col min="5" max="6" width="18.88671875" style="2" customWidth="1"/>
    <col min="7" max="7" width="31.6640625" bestFit="1" customWidth="1"/>
    <col min="8" max="8" width="9.5546875" bestFit="1" customWidth="1"/>
    <col min="9" max="9" width="11" bestFit="1" customWidth="1"/>
  </cols>
  <sheetData>
    <row r="1" spans="1:7" x14ac:dyDescent="0.3">
      <c r="A1" s="80" t="s">
        <v>2031</v>
      </c>
      <c r="B1" s="80" t="s">
        <v>3714</v>
      </c>
      <c r="C1" s="89" t="s">
        <v>3715</v>
      </c>
      <c r="D1" s="81" t="s">
        <v>2239</v>
      </c>
      <c r="E1" s="81" t="s">
        <v>5131</v>
      </c>
      <c r="F1" s="81" t="s">
        <v>5133</v>
      </c>
      <c r="G1" s="82" t="s">
        <v>3716</v>
      </c>
    </row>
    <row r="2" spans="1:7" x14ac:dyDescent="0.3">
      <c r="A2" t="s">
        <v>812</v>
      </c>
      <c r="B2" t="s">
        <v>3720</v>
      </c>
      <c r="C2" s="5">
        <v>-24</v>
      </c>
      <c r="D2" s="2">
        <v>43255</v>
      </c>
      <c r="E2" s="2" t="str">
        <f ca="1">IF((TODAY()-(COA[PAYMENT DATE]+30))&lt;30,"Less than 30 days",IF((TODAY()-(COA[PAYMENT DATE]+30))&gt;60,"More than 60 days","30-60 days"))</f>
        <v>Less than 30 days</v>
      </c>
      <c r="F2" s="2" t="s">
        <v>5134</v>
      </c>
      <c r="G2" t="s">
        <v>3740</v>
      </c>
    </row>
    <row r="3" spans="1:7" x14ac:dyDescent="0.3">
      <c r="A3" t="s">
        <v>817</v>
      </c>
      <c r="B3" t="s">
        <v>3721</v>
      </c>
      <c r="C3" s="5">
        <v>-744</v>
      </c>
      <c r="D3" s="2">
        <v>42902</v>
      </c>
      <c r="E3" s="2" t="str">
        <f ca="1">IF((TODAY()-(COA[PAYMENT DATE]+30))&lt;30,"Less than 30 days",IF((TODAY()-(COA[PAYMENT DATE]+30))&gt;60,"More than 60 days","30-60 days"))</f>
        <v>More than 60 days</v>
      </c>
      <c r="F3" s="2" t="s">
        <v>5134</v>
      </c>
      <c r="G3" t="s">
        <v>3741</v>
      </c>
    </row>
    <row r="4" spans="1:7" x14ac:dyDescent="0.3">
      <c r="A4" t="s">
        <v>818</v>
      </c>
      <c r="B4" t="s">
        <v>3722</v>
      </c>
      <c r="C4" s="5">
        <v>-7970.76</v>
      </c>
      <c r="D4" s="2">
        <v>43213</v>
      </c>
      <c r="E4" s="2" t="str">
        <f ca="1">IF((TODAY()-(COA[PAYMENT DATE]+30))&lt;30,"Less than 30 days",IF((TODAY()-(COA[PAYMENT DATE]+30))&gt;60,"More than 60 days","30-60 days"))</f>
        <v>More than 60 days</v>
      </c>
      <c r="F4" s="2" t="s">
        <v>5134</v>
      </c>
    </row>
    <row r="5" spans="1:7" x14ac:dyDescent="0.3">
      <c r="A5" t="s">
        <v>818</v>
      </c>
      <c r="B5" t="s">
        <v>3723</v>
      </c>
      <c r="C5" s="5">
        <v>-20355.57</v>
      </c>
      <c r="D5" s="2">
        <v>43215</v>
      </c>
      <c r="E5" s="2" t="str">
        <f ca="1">IF((TODAY()-(COA[PAYMENT DATE]+30))&lt;30,"Less than 30 days",IF((TODAY()-(COA[PAYMENT DATE]+30))&gt;60,"More than 60 days","30-60 days"))</f>
        <v>30-60 days</v>
      </c>
      <c r="F5" s="2" t="s">
        <v>5134</v>
      </c>
    </row>
    <row r="6" spans="1:7" x14ac:dyDescent="0.3">
      <c r="A6" t="s">
        <v>818</v>
      </c>
      <c r="B6" t="s">
        <v>3724</v>
      </c>
      <c r="C6" s="5">
        <v>-289.85000000000002</v>
      </c>
      <c r="D6" s="2">
        <v>43215</v>
      </c>
      <c r="E6" s="2" t="str">
        <f ca="1">IF((TODAY()-(COA[PAYMENT DATE]+30))&lt;30,"Less than 30 days",IF((TODAY()-(COA[PAYMENT DATE]+30))&gt;60,"More than 60 days","30-60 days"))</f>
        <v>30-60 days</v>
      </c>
      <c r="F6" s="2" t="s">
        <v>5134</v>
      </c>
    </row>
    <row r="7" spans="1:7" x14ac:dyDescent="0.3">
      <c r="A7" t="s">
        <v>818</v>
      </c>
      <c r="B7" t="s">
        <v>3725</v>
      </c>
      <c r="C7" s="5">
        <v>-289.85000000000002</v>
      </c>
      <c r="D7" s="2">
        <v>43215</v>
      </c>
      <c r="E7" s="2" t="str">
        <f ca="1">IF((TODAY()-(COA[PAYMENT DATE]+30))&lt;30,"Less than 30 days",IF((TODAY()-(COA[PAYMENT DATE]+30))&gt;60,"More than 60 days","30-60 days"))</f>
        <v>30-60 days</v>
      </c>
      <c r="F7" s="2" t="s">
        <v>5134</v>
      </c>
    </row>
    <row r="8" spans="1:7" x14ac:dyDescent="0.3">
      <c r="A8" t="s">
        <v>818</v>
      </c>
      <c r="B8" t="s">
        <v>3726</v>
      </c>
      <c r="C8" s="5">
        <v>-46.75</v>
      </c>
      <c r="D8" s="2">
        <v>43222</v>
      </c>
      <c r="E8" s="2" t="str">
        <f ca="1">IF((TODAY()-(COA[PAYMENT DATE]+30))&lt;30,"Less than 30 days",IF((TODAY()-(COA[PAYMENT DATE]+30))&gt;60,"More than 60 days","30-60 days"))</f>
        <v>30-60 days</v>
      </c>
      <c r="F8" s="2" t="s">
        <v>5134</v>
      </c>
    </row>
    <row r="9" spans="1:7" x14ac:dyDescent="0.3">
      <c r="A9" t="s">
        <v>818</v>
      </c>
      <c r="B9" t="s">
        <v>3727</v>
      </c>
      <c r="C9" s="5">
        <v>-289.85000000000002</v>
      </c>
      <c r="D9" s="2">
        <v>43236</v>
      </c>
      <c r="E9" s="2" t="str">
        <f ca="1">IF((TODAY()-(COA[PAYMENT DATE]+30))&lt;30,"Less than 30 days",IF((TODAY()-(COA[PAYMENT DATE]+30))&gt;60,"More than 60 days","30-60 days"))</f>
        <v>30-60 days</v>
      </c>
      <c r="F9" s="2" t="s">
        <v>5134</v>
      </c>
    </row>
    <row r="10" spans="1:7" x14ac:dyDescent="0.3">
      <c r="A10" t="s">
        <v>818</v>
      </c>
      <c r="B10" s="15" t="s">
        <v>5132</v>
      </c>
      <c r="C10" s="5">
        <v>-271.14999999999998</v>
      </c>
      <c r="D10" s="2">
        <v>43264</v>
      </c>
      <c r="E10" s="2" t="str">
        <f ca="1">IF((TODAY()-(COA[PAYMENT DATE]+30))&lt;30,"Less than 30 days",IF((TODAY()-(COA[PAYMENT DATE]+30))&gt;60,"More than 60 days","30-60 days"))</f>
        <v>Less than 30 days</v>
      </c>
      <c r="F10" s="2" t="s">
        <v>5134</v>
      </c>
      <c r="G10" t="s">
        <v>3717</v>
      </c>
    </row>
    <row r="11" spans="1:7" x14ac:dyDescent="0.3">
      <c r="C11"/>
      <c r="D11"/>
      <c r="E11"/>
      <c r="F11"/>
    </row>
    <row r="12" spans="1:7" x14ac:dyDescent="0.3">
      <c r="C12"/>
      <c r="D12"/>
      <c r="E12"/>
      <c r="F12"/>
    </row>
    <row r="13" spans="1:7" x14ac:dyDescent="0.3">
      <c r="C13"/>
      <c r="D13"/>
      <c r="E13"/>
      <c r="F13"/>
    </row>
    <row r="14" spans="1:7" x14ac:dyDescent="0.3">
      <c r="C14"/>
      <c r="D14"/>
      <c r="E14"/>
      <c r="F14"/>
    </row>
    <row r="15" spans="1:7" x14ac:dyDescent="0.3">
      <c r="C15"/>
      <c r="D15"/>
      <c r="E15"/>
      <c r="F15"/>
    </row>
    <row r="16" spans="1:7" x14ac:dyDescent="0.3">
      <c r="C16"/>
      <c r="D16"/>
      <c r="E16"/>
      <c r="F16"/>
    </row>
    <row r="17" spans="3:6" x14ac:dyDescent="0.3">
      <c r="C17"/>
      <c r="D17"/>
      <c r="E17"/>
      <c r="F17"/>
    </row>
    <row r="18" spans="3:6" x14ac:dyDescent="0.3">
      <c r="C18"/>
      <c r="D18"/>
      <c r="E18"/>
      <c r="F18"/>
    </row>
    <row r="19" spans="3:6" x14ac:dyDescent="0.3">
      <c r="C19"/>
      <c r="D19"/>
      <c r="E19"/>
      <c r="F19"/>
    </row>
    <row r="20" spans="3:6" x14ac:dyDescent="0.3">
      <c r="C20"/>
      <c r="D20"/>
      <c r="E20"/>
      <c r="F2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H10"/>
  <sheetViews>
    <sheetView workbookViewId="0">
      <selection activeCell="D23" sqref="D23"/>
    </sheetView>
  </sheetViews>
  <sheetFormatPr defaultRowHeight="14.4" x14ac:dyDescent="0.3"/>
  <cols>
    <col min="1" max="1" width="12.77734375" bestFit="1" customWidth="1"/>
    <col min="2" max="2" width="24" bestFit="1" customWidth="1"/>
    <col min="3" max="3" width="13.44140625" style="7" bestFit="1" customWidth="1"/>
    <col min="4" max="4" width="17.5546875" style="2" bestFit="1" customWidth="1"/>
    <col min="5" max="5" width="34.44140625" bestFit="1" customWidth="1"/>
    <col min="6" max="6" width="15.6640625" bestFit="1" customWidth="1"/>
    <col min="7" max="7" width="16.88671875" bestFit="1" customWidth="1"/>
    <col min="8" max="8" width="15.44140625" bestFit="1" customWidth="1"/>
  </cols>
  <sheetData>
    <row r="1" spans="1:8" x14ac:dyDescent="0.3">
      <c r="A1" s="84" t="s">
        <v>2031</v>
      </c>
      <c r="B1" s="84" t="s">
        <v>3728</v>
      </c>
      <c r="C1" s="85" t="s">
        <v>3715</v>
      </c>
      <c r="D1" s="86" t="s">
        <v>3729</v>
      </c>
      <c r="E1" s="87" t="s">
        <v>3716</v>
      </c>
      <c r="F1" s="84" t="s">
        <v>3734</v>
      </c>
      <c r="G1" s="84" t="s">
        <v>3737</v>
      </c>
      <c r="H1" s="84" t="s">
        <v>5131</v>
      </c>
    </row>
    <row r="2" spans="1:8" x14ac:dyDescent="0.3">
      <c r="A2" s="6" t="s">
        <v>813</v>
      </c>
      <c r="B2" s="79" t="s">
        <v>4165</v>
      </c>
      <c r="C2" s="78">
        <v>2100</v>
      </c>
      <c r="D2" s="77">
        <v>43252</v>
      </c>
      <c r="E2" s="113" t="s">
        <v>4163</v>
      </c>
      <c r="F2" s="115" t="str">
        <f>IF(ISBLANK(PendingBilling[[#This Row],[INVOICE DATE]]),"N/A",TEXT(PendingBilling[[#This Row],[INVOICE DATE]],"mmm-yyyy"))</f>
        <v>Jun-2018</v>
      </c>
      <c r="G2" s="114" t="s">
        <v>3699</v>
      </c>
      <c r="H2" t="str">
        <f ca="1">IF((TODAY()-(PendingBilling[INVOICE DATE]+30))&lt;30,"Less than 30 Days",IF((TODAY()-(PendingBilling[INVOICE DATE]+30))&gt;60,"More than 60 days","30-60 days"))</f>
        <v>Less than 30 Days</v>
      </c>
    </row>
    <row r="3" spans="1:8" x14ac:dyDescent="0.3">
      <c r="A3" s="6" t="s">
        <v>817</v>
      </c>
      <c r="B3" s="79" t="s">
        <v>4167</v>
      </c>
      <c r="C3" s="78">
        <v>24665</v>
      </c>
      <c r="D3" s="77">
        <v>43252</v>
      </c>
      <c r="E3" s="113" t="s">
        <v>5139</v>
      </c>
      <c r="F3" s="115" t="str">
        <f>IF(ISBLANK(PendingBilling[[#This Row],[INVOICE DATE]]),"N/A",TEXT(PendingBilling[[#This Row],[INVOICE DATE]],"mmm-yyyy"))</f>
        <v>Jun-2018</v>
      </c>
      <c r="G3" s="114" t="s">
        <v>3699</v>
      </c>
      <c r="H3" t="str">
        <f ca="1">IF((TODAY()-(PendingBilling[INVOICE DATE]+30))&lt;30,"Less than 30 Days",IF((TODAY()-(PendingBilling[INVOICE DATE]+30))&gt;60,"More than 60 days","30-60 days"))</f>
        <v>Less than 30 Days</v>
      </c>
    </row>
    <row r="4" spans="1:8" x14ac:dyDescent="0.3">
      <c r="A4" t="s">
        <v>817</v>
      </c>
      <c r="B4" s="1" t="s">
        <v>4172</v>
      </c>
      <c r="C4" s="7">
        <v>8680</v>
      </c>
      <c r="D4" s="2">
        <v>43282</v>
      </c>
      <c r="E4" s="123" t="s">
        <v>4163</v>
      </c>
      <c r="F4" s="115" t="str">
        <f>IF(ISBLANK(PendingBilling[[#This Row],[INVOICE DATE]]),"N/A",TEXT(PendingBilling[[#This Row],[INVOICE DATE]],"mmm-yyyy"))</f>
        <v>Jul-2018</v>
      </c>
      <c r="G4" s="83" t="s">
        <v>3699</v>
      </c>
      <c r="H4" t="str">
        <f ca="1">IF((TODAY()-(PendingBilling[INVOICE DATE]+30))&lt;30,"Less than 30 Days",IF((TODAY()-(PendingBilling[INVOICE DATE]+30))&gt;60,"More than 60 days","30-60 days"))</f>
        <v>Less than 30 Days</v>
      </c>
    </row>
    <row r="5" spans="1:8" x14ac:dyDescent="0.3">
      <c r="A5" t="s">
        <v>817</v>
      </c>
      <c r="B5" s="1" t="s">
        <v>4173</v>
      </c>
      <c r="C5" s="7">
        <v>7052.5</v>
      </c>
      <c r="D5" s="2">
        <v>43282</v>
      </c>
      <c r="E5" s="83" t="s">
        <v>4163</v>
      </c>
      <c r="F5" s="115" t="str">
        <f>IF(ISBLANK(PendingBilling[[#This Row],[INVOICE DATE]]),"N/A",TEXT(PendingBilling[[#This Row],[INVOICE DATE]],"mmm-yyyy"))</f>
        <v>Jul-2018</v>
      </c>
      <c r="G5" s="83" t="s">
        <v>3699</v>
      </c>
      <c r="H5" t="str">
        <f ca="1">IF((TODAY()-(PendingBilling[INVOICE DATE]+30))&lt;30,"Less than 30 Days",IF((TODAY()-(PendingBilling[INVOICE DATE]+30))&gt;60,"More than 60 days","30-60 days"))</f>
        <v>Less than 30 Days</v>
      </c>
    </row>
    <row r="6" spans="1:8" x14ac:dyDescent="0.3">
      <c r="A6" t="s">
        <v>812</v>
      </c>
      <c r="B6" s="126" t="s">
        <v>5142</v>
      </c>
      <c r="C6" s="7">
        <v>59207.21</v>
      </c>
      <c r="D6" s="2">
        <v>43282</v>
      </c>
      <c r="E6" s="83" t="s">
        <v>4163</v>
      </c>
      <c r="F6" s="115" t="str">
        <f>IF(ISBLANK(PendingBilling[[#This Row],[INVOICE DATE]]),"N/A",TEXT(PendingBilling[[#This Row],[INVOICE DATE]],"mmm-yyyy"))</f>
        <v>Jul-2018</v>
      </c>
      <c r="G6" s="83" t="s">
        <v>3699</v>
      </c>
      <c r="H6" s="15" t="str">
        <f ca="1">IF((TODAY()-(PendingBilling[INVOICE DATE]+30))&lt;30,"Less than 30 Days",IF((TODAY()-(PendingBilling[INVOICE DATE]+30))&gt;60,"More than 60 days","30-60 days"))</f>
        <v>Less than 30 Days</v>
      </c>
    </row>
    <row r="7" spans="1:8" x14ac:dyDescent="0.3">
      <c r="A7" t="s">
        <v>812</v>
      </c>
      <c r="B7" s="126" t="s">
        <v>5143</v>
      </c>
      <c r="C7" s="7">
        <v>458.44</v>
      </c>
      <c r="D7" s="2">
        <v>43294</v>
      </c>
      <c r="E7" s="83" t="s">
        <v>4163</v>
      </c>
      <c r="F7" s="115" t="str">
        <f>IF(ISBLANK(PendingBilling[[#This Row],[INVOICE DATE]]),"N/A",TEXT(PendingBilling[[#This Row],[INVOICE DATE]],"mmm-yyyy"))</f>
        <v>Jul-2018</v>
      </c>
      <c r="G7" s="83" t="s">
        <v>2212</v>
      </c>
      <c r="H7" s="15" t="str">
        <f ca="1">IF((TODAY()-(PendingBilling[INVOICE DATE]+30))&lt;30,"Less than 30 Days",IF((TODAY()-(PendingBilling[INVOICE DATE]+30))&gt;60,"More than 60 days","30-60 days"))</f>
        <v>Less than 30 Days</v>
      </c>
    </row>
    <row r="8" spans="1:8" x14ac:dyDescent="0.3">
      <c r="A8" t="s">
        <v>812</v>
      </c>
      <c r="B8" s="126" t="s">
        <v>5144</v>
      </c>
      <c r="C8" s="7">
        <v>471.88</v>
      </c>
      <c r="D8" s="2">
        <v>43294</v>
      </c>
      <c r="E8" s="83" t="s">
        <v>4163</v>
      </c>
      <c r="F8" s="115" t="str">
        <f>IF(ISBLANK(PendingBilling[[#This Row],[INVOICE DATE]]),"N/A",TEXT(PendingBilling[[#This Row],[INVOICE DATE]],"mmm-yyyy"))</f>
        <v>Jul-2018</v>
      </c>
      <c r="G8" s="83" t="s">
        <v>2212</v>
      </c>
      <c r="H8" s="15" t="str">
        <f ca="1">IF((TODAY()-(PendingBilling[INVOICE DATE]+30))&lt;30,"Less than 30 Days",IF((TODAY()-(PendingBilling[INVOICE DATE]+30))&gt;60,"More than 60 days","30-60 days"))</f>
        <v>Less than 30 Days</v>
      </c>
    </row>
    <row r="9" spans="1:8" x14ac:dyDescent="0.3">
      <c r="A9" t="s">
        <v>812</v>
      </c>
      <c r="B9" s="126" t="s">
        <v>5145</v>
      </c>
      <c r="C9" s="7">
        <v>431.58</v>
      </c>
      <c r="D9" s="2">
        <v>43294</v>
      </c>
      <c r="E9" s="83" t="s">
        <v>4163</v>
      </c>
      <c r="F9" s="115" t="str">
        <f>IF(ISBLANK(PendingBilling[[#This Row],[INVOICE DATE]]),"N/A",TEXT(PendingBilling[[#This Row],[INVOICE DATE]],"mmm-yyyy"))</f>
        <v>Jul-2018</v>
      </c>
      <c r="G9" s="83" t="s">
        <v>2212</v>
      </c>
      <c r="H9" s="15" t="str">
        <f ca="1">IF((TODAY()-(PendingBilling[INVOICE DATE]+30))&lt;30,"Less than 30 Days",IF((TODAY()-(PendingBilling[INVOICE DATE]+30))&gt;60,"More than 60 days","30-60 days"))</f>
        <v>Less than 30 Days</v>
      </c>
    </row>
    <row r="10" spans="1:8" x14ac:dyDescent="0.3">
      <c r="A10" t="s">
        <v>812</v>
      </c>
      <c r="B10" s="126" t="s">
        <v>5146</v>
      </c>
      <c r="C10" s="7">
        <v>431.58</v>
      </c>
      <c r="D10" s="2">
        <v>43294</v>
      </c>
      <c r="E10" s="83" t="s">
        <v>4163</v>
      </c>
      <c r="F10" s="115" t="str">
        <f>IF(ISBLANK(PendingBilling[[#This Row],[INVOICE DATE]]),"N/A",TEXT(PendingBilling[[#This Row],[INVOICE DATE]],"mmm-yyyy"))</f>
        <v>Jul-2018</v>
      </c>
      <c r="G10" s="83" t="s">
        <v>2212</v>
      </c>
      <c r="H10" s="15" t="str">
        <f ca="1">IF((TODAY()-(PendingBilling[INVOICE DATE]+30))&lt;30,"Less than 30 Days",IF((TODAY()-(PendingBilling[INVOICE DATE]+30))&gt;60,"More than 60 days","30-60 days"))</f>
        <v>Less than 30 Days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D57E017-DDE3-497C-975B-43E88913E27B}">
  <ds:schemaRefs/>
</ds:datastoreItem>
</file>

<file path=customXml/itemProps2.xml><?xml version="1.0" encoding="utf-8"?>
<ds:datastoreItem xmlns:ds="http://schemas.openxmlformats.org/officeDocument/2006/customXml" ds:itemID="{719572A6-352F-4560-8E57-D36BB41756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CUSTOMERS</vt:lpstr>
      <vt:lpstr>BCOXT</vt:lpstr>
      <vt:lpstr>DAGXX</vt:lpstr>
      <vt:lpstr>DCPXX</vt:lpstr>
      <vt:lpstr>DHMXX</vt:lpstr>
      <vt:lpstr>DOCXX</vt:lpstr>
      <vt:lpstr>DWMXX</vt:lpstr>
      <vt:lpstr>PAYMENTS</vt:lpstr>
      <vt:lpstr>PIVOTS</vt:lpstr>
      <vt:lpstr>NOTPOSTED</vt:lpstr>
      <vt:lpstr>TBAPPLIED</vt:lpstr>
      <vt:lpstr>COA</vt:lpstr>
      <vt:lpstr>PENDING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Gargurevich</dc:creator>
  <cp:lastModifiedBy>Roberto Gargurevich</cp:lastModifiedBy>
  <cp:lastPrinted>2018-05-09T18:19:38Z</cp:lastPrinted>
  <dcterms:created xsi:type="dcterms:W3CDTF">2018-05-07T16:05:45Z</dcterms:created>
  <dcterms:modified xsi:type="dcterms:W3CDTF">2018-07-23T19:30:04Z</dcterms:modified>
</cp:coreProperties>
</file>